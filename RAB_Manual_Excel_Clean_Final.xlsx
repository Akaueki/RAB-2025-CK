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_RAB" sheetId="1" state="visible" r:id="rId1"/>
    <sheet xmlns:r="http://schemas.openxmlformats.org/officeDocument/2006/relationships" name="2_RAB_Detail" sheetId="2" state="visible" r:id="rId2"/>
    <sheet xmlns:r="http://schemas.openxmlformats.org/officeDocument/2006/relationships" name="3_Daftar_AHSP" sheetId="3" state="visible" r:id="rId3"/>
    <sheet xmlns:r="http://schemas.openxmlformats.org/officeDocument/2006/relationships" name="4_Detail_AHSP" sheetId="4" state="visible" r:id="rId4"/>
    <sheet xmlns:r="http://schemas.openxmlformats.org/officeDocument/2006/relationships" name="5_Analisa_Alat" sheetId="5" state="visible" r:id="rId5"/>
    <sheet xmlns:r="http://schemas.openxmlformats.org/officeDocument/2006/relationships" name="6_Analisa_SMKK" sheetId="6" state="visible" r:id="rId6"/>
    <sheet xmlns:r="http://schemas.openxmlformats.org/officeDocument/2006/relationships" name="7_Database_Upah" sheetId="7" state="visible" r:id="rId7"/>
    <sheet xmlns:r="http://schemas.openxmlformats.org/officeDocument/2006/relationships" name="8_Database_Materi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;(&quot;-Rp&quot;#,##0);&quot;-&quot;;@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E4E7EB"/>
        <bgColor rgb="00E4E7EB"/>
      </patternFill>
    </fill>
    <fill>
      <patternFill patternType="solid">
        <fgColor rgb="00FFF2CC"/>
        <bgColor rgb="00FFF2CC"/>
      </patternFill>
    </fill>
    <fill>
      <patternFill patternType="solid">
        <fgColor rgb="0010AC84"/>
        <bgColor rgb="0010AC84"/>
      </patternFill>
    </fill>
  </fills>
  <borders count="2">
    <border>
      <left/>
      <right/>
      <top/>
      <bottom/>
      <diagonal/>
    </border>
    <border>
      <left style="thin">
        <color rgb="00CED6E0"/>
      </left>
      <right style="thin">
        <color rgb="00CED6E0"/>
      </right>
      <top style="thin">
        <color rgb="00CED6E0"/>
      </top>
      <bottom style="thin">
        <color rgb="00CED6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3" fillId="0" borderId="1" pivotButton="0" quotePrefix="0" xfId="0"/>
    <xf numFmtId="164" fontId="3" fillId="5" borderId="1" pivotButton="0" quotePrefix="0" xfId="0"/>
    <xf numFmtId="0" fontId="4" fillId="0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1" pivotButton="0" quotePrefix="0" xfId="0"/>
    <xf numFmtId="2" fontId="0" fillId="4" borderId="1" pivotButton="0" quotePrefix="0" xfId="0"/>
    <xf numFmtId="0" fontId="3" fillId="0" borderId="1" applyAlignment="1" pivotButton="0" quotePrefix="0" xfId="0">
      <alignment horizontal="right"/>
    </xf>
    <xf numFmtId="0" fontId="3" fillId="3" borderId="0" pivotButton="0" quotePrefix="0" xfId="0"/>
    <xf numFmtId="165" fontId="0" fillId="0" borderId="1" pivotButton="0" quotePrefix="0" xfId="0"/>
    <xf numFmtId="164" fontId="0" fillId="0" borderId="0" pivotButton="0" quotePrefix="0" xfId="0"/>
    <xf numFmtId="164" fontId="3" fillId="0" borderId="0" pivotButton="0" quotePrefix="0" xfId="0"/>
    <xf numFmtId="164" fontId="0" fillId="5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35" customWidth="1" min="2" max="2"/>
    <col width="40" customWidth="1" min="3" max="3"/>
  </cols>
  <sheetData>
    <row r="2">
      <c r="B2" s="1" t="inlineStr">
        <is>
          <t>SUMMARY RENCANA ANGGARAN BIAYA &amp; SMKK</t>
        </is>
      </c>
    </row>
    <row r="4">
      <c r="B4" s="2" t="inlineStr">
        <is>
          <t>A. REKAPITULASI BIAYA</t>
        </is>
      </c>
    </row>
    <row r="5">
      <c r="B5" s="3" t="inlineStr">
        <is>
          <t>1. Total Biaya Konstruksi Murni</t>
        </is>
      </c>
      <c r="C5" s="4">
        <f>'2_RAB_Detail'!G35</f>
        <v/>
      </c>
    </row>
    <row r="6">
      <c r="B6" s="3" t="inlineStr">
        <is>
          <t>2. Total Biaya K3 / SMKK (Manual Input jika ada)</t>
        </is>
      </c>
      <c r="C6" s="5" t="n">
        <v>0</v>
      </c>
    </row>
    <row r="7">
      <c r="B7" s="6" t="inlineStr">
        <is>
          <t>GRAND TOTAL BIAYA PROYEK</t>
        </is>
      </c>
      <c r="C7" s="7">
        <f>C5+C6</f>
        <v/>
      </c>
    </row>
    <row r="8">
      <c r="B8" s="6" t="inlineStr">
        <is>
          <t>TERBILANG:</t>
        </is>
      </c>
      <c r="C8" s="8">
        <f>Terbilang(C7) &amp; " Rupiah"</f>
        <v/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8" customWidth="1" min="2" max="2"/>
    <col width="45" customWidth="1" min="3" max="3"/>
    <col width="18" customWidth="1" min="6" max="6"/>
    <col width="18" customWidth="1" min="7" max="7"/>
  </cols>
  <sheetData>
    <row r="1">
      <c r="A1" s="9" t="inlineStr">
        <is>
          <t>RENCANA ANGGARAN BIAYA (RAB) MANUAL</t>
        </is>
      </c>
    </row>
    <row r="2">
      <c r="A2" t="inlineStr">
        <is>
          <t>Ketik/Pilih Kode AHSP pada kolom B (Kuning), Harga Satuan akan ditarik secara otomatis!</t>
        </is>
      </c>
    </row>
    <row r="4">
      <c r="A4" s="10" t="inlineStr">
        <is>
          <t>No</t>
        </is>
      </c>
      <c r="B4" s="10" t="inlineStr">
        <is>
          <t>Kode AHSP</t>
        </is>
      </c>
      <c r="C4" s="10" t="inlineStr">
        <is>
          <t>Uraian Pekerjaan</t>
        </is>
      </c>
      <c r="D4" s="10" t="inlineStr">
        <is>
          <t>Satuan</t>
        </is>
      </c>
      <c r="E4" s="10" t="inlineStr">
        <is>
          <t>Volume (Input)</t>
        </is>
      </c>
      <c r="F4" s="10" t="inlineStr">
        <is>
          <t>Harga Satuan (Rp)</t>
        </is>
      </c>
      <c r="G4" s="10" t="inlineStr">
        <is>
          <t>Jumlah Harga (Rp)</t>
        </is>
      </c>
    </row>
    <row r="5">
      <c r="A5" s="3" t="n">
        <v>1</v>
      </c>
      <c r="B5" s="11" t="inlineStr">
        <is>
          <t>1.2.1.1.1</t>
        </is>
      </c>
      <c r="C5" s="3">
        <f>IF(ISBLANK(B5), "", IF(ISNA(VLOOKUP(B5,'3_Daftar_AHSP'!A:E,3,FALSE)), "Kode Salah", VLOOKUP(B5,'3_Daftar_AHSP'!A:E,3,FALSE)))</f>
        <v/>
      </c>
      <c r="D5" s="3">
        <f>IF(ISBLANK(B5), "", IF(ISNA(VLOOKUP(B5,'3_Daftar_AHSP'!A:E,4,FALSE)), "", VLOOKUP(B5,'3_Daftar_AHSP'!A:E,4,FALSE)))</f>
        <v/>
      </c>
      <c r="E5" s="12" t="n">
        <v>45</v>
      </c>
      <c r="F5" s="4">
        <f>IF(ISBLANK(B5), 0, IF(ISNA(VLOOKUP(B5,'3_Daftar_AHSP'!A:E,5,FALSE)), 0, VLOOKUP(B5,'3_Daftar_AHSP'!A:E,5,FALSE)))</f>
        <v/>
      </c>
      <c r="G5" s="4">
        <f>IF(ISNUMBER(E5),E5*F5,0)</f>
        <v/>
      </c>
    </row>
    <row r="6">
      <c r="A6" s="3" t="n">
        <v>2</v>
      </c>
      <c r="B6" s="11" t="n"/>
      <c r="C6" s="3">
        <f>IF(ISBLANK(B6), "", IF(ISNA(VLOOKUP(B6,'3_Daftar_AHSP'!A:E,3,FALSE)), "Kode Salah", VLOOKUP(B6,'3_Daftar_AHSP'!A:E,3,FALSE)))</f>
        <v/>
      </c>
      <c r="D6" s="3">
        <f>IF(ISBLANK(B6), "", IF(ISNA(VLOOKUP(B6,'3_Daftar_AHSP'!A:E,4,FALSE)), "", VLOOKUP(B6,'3_Daftar_AHSP'!A:E,4,FALSE)))</f>
        <v/>
      </c>
      <c r="E6" s="12" t="n"/>
      <c r="F6" s="4">
        <f>IF(ISBLANK(B6), 0, IF(ISNA(VLOOKUP(B6,'3_Daftar_AHSP'!A:E,5,FALSE)), 0, VLOOKUP(B6,'3_Daftar_AHSP'!A:E,5,FALSE)))</f>
        <v/>
      </c>
      <c r="G6" s="4">
        <f>IF(ISNUMBER(E6),E6*F6,0)</f>
        <v/>
      </c>
    </row>
    <row r="7">
      <c r="A7" s="3" t="n">
        <v>3</v>
      </c>
      <c r="B7" s="11" t="n"/>
      <c r="C7" s="3">
        <f>IF(ISBLANK(B7), "", IF(ISNA(VLOOKUP(B7,'3_Daftar_AHSP'!A:E,3,FALSE)), "Kode Salah", VLOOKUP(B7,'3_Daftar_AHSP'!A:E,3,FALSE)))</f>
        <v/>
      </c>
      <c r="D7" s="3">
        <f>IF(ISBLANK(B7), "", IF(ISNA(VLOOKUP(B7,'3_Daftar_AHSP'!A:E,4,FALSE)), "", VLOOKUP(B7,'3_Daftar_AHSP'!A:E,4,FALSE)))</f>
        <v/>
      </c>
      <c r="E7" s="12" t="n"/>
      <c r="F7" s="4">
        <f>IF(ISBLANK(B7), 0, IF(ISNA(VLOOKUP(B7,'3_Daftar_AHSP'!A:E,5,FALSE)), 0, VLOOKUP(B7,'3_Daftar_AHSP'!A:E,5,FALSE)))</f>
        <v/>
      </c>
      <c r="G7" s="4">
        <f>IF(ISNUMBER(E7),E7*F7,0)</f>
        <v/>
      </c>
    </row>
    <row r="8">
      <c r="A8" s="3" t="n">
        <v>4</v>
      </c>
      <c r="B8" s="11" t="n"/>
      <c r="C8" s="3">
        <f>IF(ISBLANK(B8), "", IF(ISNA(VLOOKUP(B8,'3_Daftar_AHSP'!A:E,3,FALSE)), "Kode Salah", VLOOKUP(B8,'3_Daftar_AHSP'!A:E,3,FALSE)))</f>
        <v/>
      </c>
      <c r="D8" s="3">
        <f>IF(ISBLANK(B8), "", IF(ISNA(VLOOKUP(B8,'3_Daftar_AHSP'!A:E,4,FALSE)), "", VLOOKUP(B8,'3_Daftar_AHSP'!A:E,4,FALSE)))</f>
        <v/>
      </c>
      <c r="E8" s="12" t="n"/>
      <c r="F8" s="4">
        <f>IF(ISBLANK(B8), 0, IF(ISNA(VLOOKUP(B8,'3_Daftar_AHSP'!A:E,5,FALSE)), 0, VLOOKUP(B8,'3_Daftar_AHSP'!A:E,5,FALSE)))</f>
        <v/>
      </c>
      <c r="G8" s="4">
        <f>IF(ISNUMBER(E8),E8*F8,0)</f>
        <v/>
      </c>
    </row>
    <row r="9">
      <c r="A9" s="3" t="n">
        <v>5</v>
      </c>
      <c r="B9" s="11" t="n"/>
      <c r="C9" s="3">
        <f>IF(ISBLANK(B9), "", IF(ISNA(VLOOKUP(B9,'3_Daftar_AHSP'!A:E,3,FALSE)), "Kode Salah", VLOOKUP(B9,'3_Daftar_AHSP'!A:E,3,FALSE)))</f>
        <v/>
      </c>
      <c r="D9" s="3">
        <f>IF(ISBLANK(B9), "", IF(ISNA(VLOOKUP(B9,'3_Daftar_AHSP'!A:E,4,FALSE)), "", VLOOKUP(B9,'3_Daftar_AHSP'!A:E,4,FALSE)))</f>
        <v/>
      </c>
      <c r="E9" s="12" t="n"/>
      <c r="F9" s="4">
        <f>IF(ISBLANK(B9), 0, IF(ISNA(VLOOKUP(B9,'3_Daftar_AHSP'!A:E,5,FALSE)), 0, VLOOKUP(B9,'3_Daftar_AHSP'!A:E,5,FALSE)))</f>
        <v/>
      </c>
      <c r="G9" s="4">
        <f>IF(ISNUMBER(E9),E9*F9,0)</f>
        <v/>
      </c>
    </row>
    <row r="10">
      <c r="A10" s="3" t="n">
        <v>6</v>
      </c>
      <c r="B10" s="11" t="n"/>
      <c r="C10" s="3">
        <f>IF(ISBLANK(B10), "", IF(ISNA(VLOOKUP(B10,'3_Daftar_AHSP'!A:E,3,FALSE)), "Kode Salah", VLOOKUP(B10,'3_Daftar_AHSP'!A:E,3,FALSE)))</f>
        <v/>
      </c>
      <c r="D10" s="3">
        <f>IF(ISBLANK(B10), "", IF(ISNA(VLOOKUP(B10,'3_Daftar_AHSP'!A:E,4,FALSE)), "", VLOOKUP(B10,'3_Daftar_AHSP'!A:E,4,FALSE)))</f>
        <v/>
      </c>
      <c r="E10" s="12" t="n"/>
      <c r="F10" s="4">
        <f>IF(ISBLANK(B10), 0, IF(ISNA(VLOOKUP(B10,'3_Daftar_AHSP'!A:E,5,FALSE)), 0, VLOOKUP(B10,'3_Daftar_AHSP'!A:E,5,FALSE)))</f>
        <v/>
      </c>
      <c r="G10" s="4">
        <f>IF(ISNUMBER(E10),E10*F10,0)</f>
        <v/>
      </c>
    </row>
    <row r="11">
      <c r="A11" s="3" t="n">
        <v>7</v>
      </c>
      <c r="B11" s="11" t="n"/>
      <c r="C11" s="3">
        <f>IF(ISBLANK(B11), "", IF(ISNA(VLOOKUP(B11,'3_Daftar_AHSP'!A:E,3,FALSE)), "Kode Salah", VLOOKUP(B11,'3_Daftar_AHSP'!A:E,3,FALSE)))</f>
        <v/>
      </c>
      <c r="D11" s="3">
        <f>IF(ISBLANK(B11), "", IF(ISNA(VLOOKUP(B11,'3_Daftar_AHSP'!A:E,4,FALSE)), "", VLOOKUP(B11,'3_Daftar_AHSP'!A:E,4,FALSE)))</f>
        <v/>
      </c>
      <c r="E11" s="12" t="n"/>
      <c r="F11" s="4">
        <f>IF(ISBLANK(B11), 0, IF(ISNA(VLOOKUP(B11,'3_Daftar_AHSP'!A:E,5,FALSE)), 0, VLOOKUP(B11,'3_Daftar_AHSP'!A:E,5,FALSE)))</f>
        <v/>
      </c>
      <c r="G11" s="4">
        <f>IF(ISNUMBER(E11),E11*F11,0)</f>
        <v/>
      </c>
    </row>
    <row r="12">
      <c r="A12" s="3" t="n">
        <v>8</v>
      </c>
      <c r="B12" s="11" t="n"/>
      <c r="C12" s="3">
        <f>IF(ISBLANK(B12), "", IF(ISNA(VLOOKUP(B12,'3_Daftar_AHSP'!A:E,3,FALSE)), "Kode Salah", VLOOKUP(B12,'3_Daftar_AHSP'!A:E,3,FALSE)))</f>
        <v/>
      </c>
      <c r="D12" s="3">
        <f>IF(ISBLANK(B12), "", IF(ISNA(VLOOKUP(B12,'3_Daftar_AHSP'!A:E,4,FALSE)), "", VLOOKUP(B12,'3_Daftar_AHSP'!A:E,4,FALSE)))</f>
        <v/>
      </c>
      <c r="E12" s="12" t="n"/>
      <c r="F12" s="4">
        <f>IF(ISBLANK(B12), 0, IF(ISNA(VLOOKUP(B12,'3_Daftar_AHSP'!A:E,5,FALSE)), 0, VLOOKUP(B12,'3_Daftar_AHSP'!A:E,5,FALSE)))</f>
        <v/>
      </c>
      <c r="G12" s="4">
        <f>IF(ISNUMBER(E12),E12*F12,0)</f>
        <v/>
      </c>
    </row>
    <row r="13">
      <c r="A13" s="3" t="n">
        <v>9</v>
      </c>
      <c r="B13" s="11" t="n"/>
      <c r="C13" s="3">
        <f>IF(ISBLANK(B13), "", IF(ISNA(VLOOKUP(B13,'3_Daftar_AHSP'!A:E,3,FALSE)), "Kode Salah", VLOOKUP(B13,'3_Daftar_AHSP'!A:E,3,FALSE)))</f>
        <v/>
      </c>
      <c r="D13" s="3">
        <f>IF(ISBLANK(B13), "", IF(ISNA(VLOOKUP(B13,'3_Daftar_AHSP'!A:E,4,FALSE)), "", VLOOKUP(B13,'3_Daftar_AHSP'!A:E,4,FALSE)))</f>
        <v/>
      </c>
      <c r="E13" s="12" t="n"/>
      <c r="F13" s="4">
        <f>IF(ISBLANK(B13), 0, IF(ISNA(VLOOKUP(B13,'3_Daftar_AHSP'!A:E,5,FALSE)), 0, VLOOKUP(B13,'3_Daftar_AHSP'!A:E,5,FALSE)))</f>
        <v/>
      </c>
      <c r="G13" s="4">
        <f>IF(ISNUMBER(E13),E13*F13,0)</f>
        <v/>
      </c>
    </row>
    <row r="14">
      <c r="A14" s="3" t="n">
        <v>10</v>
      </c>
      <c r="B14" s="11" t="n"/>
      <c r="C14" s="3">
        <f>IF(ISBLANK(B14), "", IF(ISNA(VLOOKUP(B14,'3_Daftar_AHSP'!A:E,3,FALSE)), "Kode Salah", VLOOKUP(B14,'3_Daftar_AHSP'!A:E,3,FALSE)))</f>
        <v/>
      </c>
      <c r="D14" s="3">
        <f>IF(ISBLANK(B14), "", IF(ISNA(VLOOKUP(B14,'3_Daftar_AHSP'!A:E,4,FALSE)), "", VLOOKUP(B14,'3_Daftar_AHSP'!A:E,4,FALSE)))</f>
        <v/>
      </c>
      <c r="E14" s="12" t="n"/>
      <c r="F14" s="4">
        <f>IF(ISBLANK(B14), 0, IF(ISNA(VLOOKUP(B14,'3_Daftar_AHSP'!A:E,5,FALSE)), 0, VLOOKUP(B14,'3_Daftar_AHSP'!A:E,5,FALSE)))</f>
        <v/>
      </c>
      <c r="G14" s="4">
        <f>IF(ISNUMBER(E14),E14*F14,0)</f>
        <v/>
      </c>
    </row>
    <row r="15">
      <c r="A15" s="3" t="n">
        <v>11</v>
      </c>
      <c r="B15" s="11" t="n"/>
      <c r="C15" s="3">
        <f>IF(ISBLANK(B15), "", IF(ISNA(VLOOKUP(B15,'3_Daftar_AHSP'!A:E,3,FALSE)), "Kode Salah", VLOOKUP(B15,'3_Daftar_AHSP'!A:E,3,FALSE)))</f>
        <v/>
      </c>
      <c r="D15" s="3">
        <f>IF(ISBLANK(B15), "", IF(ISNA(VLOOKUP(B15,'3_Daftar_AHSP'!A:E,4,FALSE)), "", VLOOKUP(B15,'3_Daftar_AHSP'!A:E,4,FALSE)))</f>
        <v/>
      </c>
      <c r="E15" s="12" t="n"/>
      <c r="F15" s="4">
        <f>IF(ISBLANK(B15), 0, IF(ISNA(VLOOKUP(B15,'3_Daftar_AHSP'!A:E,5,FALSE)), 0, VLOOKUP(B15,'3_Daftar_AHSP'!A:E,5,FALSE)))</f>
        <v/>
      </c>
      <c r="G15" s="4">
        <f>IF(ISNUMBER(E15),E15*F15,0)</f>
        <v/>
      </c>
    </row>
    <row r="16">
      <c r="A16" s="3" t="n">
        <v>12</v>
      </c>
      <c r="B16" s="11" t="n"/>
      <c r="C16" s="3">
        <f>IF(ISBLANK(B16), "", IF(ISNA(VLOOKUP(B16,'3_Daftar_AHSP'!A:E,3,FALSE)), "Kode Salah", VLOOKUP(B16,'3_Daftar_AHSP'!A:E,3,FALSE)))</f>
        <v/>
      </c>
      <c r="D16" s="3">
        <f>IF(ISBLANK(B16), "", IF(ISNA(VLOOKUP(B16,'3_Daftar_AHSP'!A:E,4,FALSE)), "", VLOOKUP(B16,'3_Daftar_AHSP'!A:E,4,FALSE)))</f>
        <v/>
      </c>
      <c r="E16" s="12" t="n"/>
      <c r="F16" s="4">
        <f>IF(ISBLANK(B16), 0, IF(ISNA(VLOOKUP(B16,'3_Daftar_AHSP'!A:E,5,FALSE)), 0, VLOOKUP(B16,'3_Daftar_AHSP'!A:E,5,FALSE)))</f>
        <v/>
      </c>
      <c r="G16" s="4">
        <f>IF(ISNUMBER(E16),E16*F16,0)</f>
        <v/>
      </c>
    </row>
    <row r="17">
      <c r="A17" s="3" t="n">
        <v>13</v>
      </c>
      <c r="B17" s="11" t="n"/>
      <c r="C17" s="3">
        <f>IF(ISBLANK(B17), "", IF(ISNA(VLOOKUP(B17,'3_Daftar_AHSP'!A:E,3,FALSE)), "Kode Salah", VLOOKUP(B17,'3_Daftar_AHSP'!A:E,3,FALSE)))</f>
        <v/>
      </c>
      <c r="D17" s="3">
        <f>IF(ISBLANK(B17), "", IF(ISNA(VLOOKUP(B17,'3_Daftar_AHSP'!A:E,4,FALSE)), "", VLOOKUP(B17,'3_Daftar_AHSP'!A:E,4,FALSE)))</f>
        <v/>
      </c>
      <c r="E17" s="12" t="n"/>
      <c r="F17" s="4">
        <f>IF(ISBLANK(B17), 0, IF(ISNA(VLOOKUP(B17,'3_Daftar_AHSP'!A:E,5,FALSE)), 0, VLOOKUP(B17,'3_Daftar_AHSP'!A:E,5,FALSE)))</f>
        <v/>
      </c>
      <c r="G17" s="4">
        <f>IF(ISNUMBER(E17),E17*F17,0)</f>
        <v/>
      </c>
    </row>
    <row r="18">
      <c r="A18" s="3" t="n">
        <v>14</v>
      </c>
      <c r="B18" s="11" t="n"/>
      <c r="C18" s="3">
        <f>IF(ISBLANK(B18), "", IF(ISNA(VLOOKUP(B18,'3_Daftar_AHSP'!A:E,3,FALSE)), "Kode Salah", VLOOKUP(B18,'3_Daftar_AHSP'!A:E,3,FALSE)))</f>
        <v/>
      </c>
      <c r="D18" s="3">
        <f>IF(ISBLANK(B18), "", IF(ISNA(VLOOKUP(B18,'3_Daftar_AHSP'!A:E,4,FALSE)), "", VLOOKUP(B18,'3_Daftar_AHSP'!A:E,4,FALSE)))</f>
        <v/>
      </c>
      <c r="E18" s="12" t="n"/>
      <c r="F18" s="4">
        <f>IF(ISBLANK(B18), 0, IF(ISNA(VLOOKUP(B18,'3_Daftar_AHSP'!A:E,5,FALSE)), 0, VLOOKUP(B18,'3_Daftar_AHSP'!A:E,5,FALSE)))</f>
        <v/>
      </c>
      <c r="G18" s="4">
        <f>IF(ISNUMBER(E18),E18*F18,0)</f>
        <v/>
      </c>
    </row>
    <row r="19">
      <c r="A19" s="3" t="n">
        <v>15</v>
      </c>
      <c r="B19" s="11" t="n"/>
      <c r="C19" s="3">
        <f>IF(ISBLANK(B19), "", IF(ISNA(VLOOKUP(B19,'3_Daftar_AHSP'!A:E,3,FALSE)), "Kode Salah", VLOOKUP(B19,'3_Daftar_AHSP'!A:E,3,FALSE)))</f>
        <v/>
      </c>
      <c r="D19" s="3">
        <f>IF(ISBLANK(B19), "", IF(ISNA(VLOOKUP(B19,'3_Daftar_AHSP'!A:E,4,FALSE)), "", VLOOKUP(B19,'3_Daftar_AHSP'!A:E,4,FALSE)))</f>
        <v/>
      </c>
      <c r="E19" s="12" t="n"/>
      <c r="F19" s="4">
        <f>IF(ISBLANK(B19), 0, IF(ISNA(VLOOKUP(B19,'3_Daftar_AHSP'!A:E,5,FALSE)), 0, VLOOKUP(B19,'3_Daftar_AHSP'!A:E,5,FALSE)))</f>
        <v/>
      </c>
      <c r="G19" s="4">
        <f>IF(ISNUMBER(E19),E19*F19,0)</f>
        <v/>
      </c>
    </row>
    <row r="20">
      <c r="A20" s="3" t="n">
        <v>16</v>
      </c>
      <c r="B20" s="11" t="n"/>
      <c r="C20" s="3">
        <f>IF(ISBLANK(B20), "", IF(ISNA(VLOOKUP(B20,'3_Daftar_AHSP'!A:E,3,FALSE)), "Kode Salah", VLOOKUP(B20,'3_Daftar_AHSP'!A:E,3,FALSE)))</f>
        <v/>
      </c>
      <c r="D20" s="3">
        <f>IF(ISBLANK(B20), "", IF(ISNA(VLOOKUP(B20,'3_Daftar_AHSP'!A:E,4,FALSE)), "", VLOOKUP(B20,'3_Daftar_AHSP'!A:E,4,FALSE)))</f>
        <v/>
      </c>
      <c r="E20" s="12" t="n"/>
      <c r="F20" s="4">
        <f>IF(ISBLANK(B20), 0, IF(ISNA(VLOOKUP(B20,'3_Daftar_AHSP'!A:E,5,FALSE)), 0, VLOOKUP(B20,'3_Daftar_AHSP'!A:E,5,FALSE)))</f>
        <v/>
      </c>
      <c r="G20" s="4">
        <f>IF(ISNUMBER(E20),E20*F20,0)</f>
        <v/>
      </c>
    </row>
    <row r="21">
      <c r="A21" s="3" t="n">
        <v>17</v>
      </c>
      <c r="B21" s="11" t="n"/>
      <c r="C21" s="3">
        <f>IF(ISBLANK(B21), "", IF(ISNA(VLOOKUP(B21,'3_Daftar_AHSP'!A:E,3,FALSE)), "Kode Salah", VLOOKUP(B21,'3_Daftar_AHSP'!A:E,3,FALSE)))</f>
        <v/>
      </c>
      <c r="D21" s="3">
        <f>IF(ISBLANK(B21), "", IF(ISNA(VLOOKUP(B21,'3_Daftar_AHSP'!A:E,4,FALSE)), "", VLOOKUP(B21,'3_Daftar_AHSP'!A:E,4,FALSE)))</f>
        <v/>
      </c>
      <c r="E21" s="12" t="n"/>
      <c r="F21" s="4">
        <f>IF(ISBLANK(B21), 0, IF(ISNA(VLOOKUP(B21,'3_Daftar_AHSP'!A:E,5,FALSE)), 0, VLOOKUP(B21,'3_Daftar_AHSP'!A:E,5,FALSE)))</f>
        <v/>
      </c>
      <c r="G21" s="4">
        <f>IF(ISNUMBER(E21),E21*F21,0)</f>
        <v/>
      </c>
    </row>
    <row r="22">
      <c r="A22" s="3" t="n">
        <v>18</v>
      </c>
      <c r="B22" s="11" t="n"/>
      <c r="C22" s="3">
        <f>IF(ISBLANK(B22), "", IF(ISNA(VLOOKUP(B22,'3_Daftar_AHSP'!A:E,3,FALSE)), "Kode Salah", VLOOKUP(B22,'3_Daftar_AHSP'!A:E,3,FALSE)))</f>
        <v/>
      </c>
      <c r="D22" s="3">
        <f>IF(ISBLANK(B22), "", IF(ISNA(VLOOKUP(B22,'3_Daftar_AHSP'!A:E,4,FALSE)), "", VLOOKUP(B22,'3_Daftar_AHSP'!A:E,4,FALSE)))</f>
        <v/>
      </c>
      <c r="E22" s="12" t="n"/>
      <c r="F22" s="4">
        <f>IF(ISBLANK(B22), 0, IF(ISNA(VLOOKUP(B22,'3_Daftar_AHSP'!A:E,5,FALSE)), 0, VLOOKUP(B22,'3_Daftar_AHSP'!A:E,5,FALSE)))</f>
        <v/>
      </c>
      <c r="G22" s="4">
        <f>IF(ISNUMBER(E22),E22*F22,0)</f>
        <v/>
      </c>
    </row>
    <row r="23">
      <c r="A23" s="3" t="n">
        <v>19</v>
      </c>
      <c r="B23" s="11" t="n"/>
      <c r="C23" s="3">
        <f>IF(ISBLANK(B23), "", IF(ISNA(VLOOKUP(B23,'3_Daftar_AHSP'!A:E,3,FALSE)), "Kode Salah", VLOOKUP(B23,'3_Daftar_AHSP'!A:E,3,FALSE)))</f>
        <v/>
      </c>
      <c r="D23" s="3">
        <f>IF(ISBLANK(B23), "", IF(ISNA(VLOOKUP(B23,'3_Daftar_AHSP'!A:E,4,FALSE)), "", VLOOKUP(B23,'3_Daftar_AHSP'!A:E,4,FALSE)))</f>
        <v/>
      </c>
      <c r="E23" s="12" t="n"/>
      <c r="F23" s="4">
        <f>IF(ISBLANK(B23), 0, IF(ISNA(VLOOKUP(B23,'3_Daftar_AHSP'!A:E,5,FALSE)), 0, VLOOKUP(B23,'3_Daftar_AHSP'!A:E,5,FALSE)))</f>
        <v/>
      </c>
      <c r="G23" s="4">
        <f>IF(ISNUMBER(E23),E23*F23,0)</f>
        <v/>
      </c>
    </row>
    <row r="24">
      <c r="A24" s="3" t="n">
        <v>20</v>
      </c>
      <c r="B24" s="11" t="n"/>
      <c r="C24" s="3">
        <f>IF(ISBLANK(B24), "", IF(ISNA(VLOOKUP(B24,'3_Daftar_AHSP'!A:E,3,FALSE)), "Kode Salah", VLOOKUP(B24,'3_Daftar_AHSP'!A:E,3,FALSE)))</f>
        <v/>
      </c>
      <c r="D24" s="3">
        <f>IF(ISBLANK(B24), "", IF(ISNA(VLOOKUP(B24,'3_Daftar_AHSP'!A:E,4,FALSE)), "", VLOOKUP(B24,'3_Daftar_AHSP'!A:E,4,FALSE)))</f>
        <v/>
      </c>
      <c r="E24" s="12" t="n"/>
      <c r="F24" s="4">
        <f>IF(ISBLANK(B24), 0, IF(ISNA(VLOOKUP(B24,'3_Daftar_AHSP'!A:E,5,FALSE)), 0, VLOOKUP(B24,'3_Daftar_AHSP'!A:E,5,FALSE)))</f>
        <v/>
      </c>
      <c r="G24" s="4">
        <f>IF(ISNUMBER(E24),E24*F24,0)</f>
        <v/>
      </c>
    </row>
    <row r="25">
      <c r="A25" s="3" t="n">
        <v>21</v>
      </c>
      <c r="B25" s="11" t="n"/>
      <c r="C25" s="3">
        <f>IF(ISBLANK(B25), "", IF(ISNA(VLOOKUP(B25,'3_Daftar_AHSP'!A:E,3,FALSE)), "Kode Salah", VLOOKUP(B25,'3_Daftar_AHSP'!A:E,3,FALSE)))</f>
        <v/>
      </c>
      <c r="D25" s="3">
        <f>IF(ISBLANK(B25), "", IF(ISNA(VLOOKUP(B25,'3_Daftar_AHSP'!A:E,4,FALSE)), "", VLOOKUP(B25,'3_Daftar_AHSP'!A:E,4,FALSE)))</f>
        <v/>
      </c>
      <c r="E25" s="12" t="n"/>
      <c r="F25" s="4">
        <f>IF(ISBLANK(B25), 0, IF(ISNA(VLOOKUP(B25,'3_Daftar_AHSP'!A:E,5,FALSE)), 0, VLOOKUP(B25,'3_Daftar_AHSP'!A:E,5,FALSE)))</f>
        <v/>
      </c>
      <c r="G25" s="4">
        <f>IF(ISNUMBER(E25),E25*F25,0)</f>
        <v/>
      </c>
    </row>
    <row r="26">
      <c r="A26" s="3" t="n">
        <v>22</v>
      </c>
      <c r="B26" s="11" t="n"/>
      <c r="C26" s="3">
        <f>IF(ISBLANK(B26), "", IF(ISNA(VLOOKUP(B26,'3_Daftar_AHSP'!A:E,3,FALSE)), "Kode Salah", VLOOKUP(B26,'3_Daftar_AHSP'!A:E,3,FALSE)))</f>
        <v/>
      </c>
      <c r="D26" s="3">
        <f>IF(ISBLANK(B26), "", IF(ISNA(VLOOKUP(B26,'3_Daftar_AHSP'!A:E,4,FALSE)), "", VLOOKUP(B26,'3_Daftar_AHSP'!A:E,4,FALSE)))</f>
        <v/>
      </c>
      <c r="E26" s="12" t="n"/>
      <c r="F26" s="4">
        <f>IF(ISBLANK(B26), 0, IF(ISNA(VLOOKUP(B26,'3_Daftar_AHSP'!A:E,5,FALSE)), 0, VLOOKUP(B26,'3_Daftar_AHSP'!A:E,5,FALSE)))</f>
        <v/>
      </c>
      <c r="G26" s="4">
        <f>IF(ISNUMBER(E26),E26*F26,0)</f>
        <v/>
      </c>
    </row>
    <row r="27">
      <c r="A27" s="3" t="n">
        <v>23</v>
      </c>
      <c r="B27" s="11" t="n"/>
      <c r="C27" s="3">
        <f>IF(ISBLANK(B27), "", IF(ISNA(VLOOKUP(B27,'3_Daftar_AHSP'!A:E,3,FALSE)), "Kode Salah", VLOOKUP(B27,'3_Daftar_AHSP'!A:E,3,FALSE)))</f>
        <v/>
      </c>
      <c r="D27" s="3">
        <f>IF(ISBLANK(B27), "", IF(ISNA(VLOOKUP(B27,'3_Daftar_AHSP'!A:E,4,FALSE)), "", VLOOKUP(B27,'3_Daftar_AHSP'!A:E,4,FALSE)))</f>
        <v/>
      </c>
      <c r="E27" s="12" t="n"/>
      <c r="F27" s="4">
        <f>IF(ISBLANK(B27), 0, IF(ISNA(VLOOKUP(B27,'3_Daftar_AHSP'!A:E,5,FALSE)), 0, VLOOKUP(B27,'3_Daftar_AHSP'!A:E,5,FALSE)))</f>
        <v/>
      </c>
      <c r="G27" s="4">
        <f>IF(ISNUMBER(E27),E27*F27,0)</f>
        <v/>
      </c>
    </row>
    <row r="28">
      <c r="A28" s="3" t="n">
        <v>24</v>
      </c>
      <c r="B28" s="11" t="n"/>
      <c r="C28" s="3">
        <f>IF(ISBLANK(B28), "", IF(ISNA(VLOOKUP(B28,'3_Daftar_AHSP'!A:E,3,FALSE)), "Kode Salah", VLOOKUP(B28,'3_Daftar_AHSP'!A:E,3,FALSE)))</f>
        <v/>
      </c>
      <c r="D28" s="3">
        <f>IF(ISBLANK(B28), "", IF(ISNA(VLOOKUP(B28,'3_Daftar_AHSP'!A:E,4,FALSE)), "", VLOOKUP(B28,'3_Daftar_AHSP'!A:E,4,FALSE)))</f>
        <v/>
      </c>
      <c r="E28" s="12" t="n"/>
      <c r="F28" s="4">
        <f>IF(ISBLANK(B28), 0, IF(ISNA(VLOOKUP(B28,'3_Daftar_AHSP'!A:E,5,FALSE)), 0, VLOOKUP(B28,'3_Daftar_AHSP'!A:E,5,FALSE)))</f>
        <v/>
      </c>
      <c r="G28" s="4">
        <f>IF(ISNUMBER(E28),E28*F28,0)</f>
        <v/>
      </c>
    </row>
    <row r="29">
      <c r="A29" s="3" t="n">
        <v>25</v>
      </c>
      <c r="B29" s="11" t="n"/>
      <c r="C29" s="3">
        <f>IF(ISBLANK(B29), "", IF(ISNA(VLOOKUP(B29,'3_Daftar_AHSP'!A:E,3,FALSE)), "Kode Salah", VLOOKUP(B29,'3_Daftar_AHSP'!A:E,3,FALSE)))</f>
        <v/>
      </c>
      <c r="D29" s="3">
        <f>IF(ISBLANK(B29), "", IF(ISNA(VLOOKUP(B29,'3_Daftar_AHSP'!A:E,4,FALSE)), "", VLOOKUP(B29,'3_Daftar_AHSP'!A:E,4,FALSE)))</f>
        <v/>
      </c>
      <c r="E29" s="12" t="n"/>
      <c r="F29" s="4">
        <f>IF(ISBLANK(B29), 0, IF(ISNA(VLOOKUP(B29,'3_Daftar_AHSP'!A:E,5,FALSE)), 0, VLOOKUP(B29,'3_Daftar_AHSP'!A:E,5,FALSE)))</f>
        <v/>
      </c>
      <c r="G29" s="4">
        <f>IF(ISNUMBER(E29),E29*F29,0)</f>
        <v/>
      </c>
    </row>
    <row r="30">
      <c r="A30" s="3" t="n">
        <v>26</v>
      </c>
      <c r="B30" s="11" t="n"/>
      <c r="C30" s="3">
        <f>IF(ISBLANK(B30), "", IF(ISNA(VLOOKUP(B30,'3_Daftar_AHSP'!A:E,3,FALSE)), "Kode Salah", VLOOKUP(B30,'3_Daftar_AHSP'!A:E,3,FALSE)))</f>
        <v/>
      </c>
      <c r="D30" s="3">
        <f>IF(ISBLANK(B30), "", IF(ISNA(VLOOKUP(B30,'3_Daftar_AHSP'!A:E,4,FALSE)), "", VLOOKUP(B30,'3_Daftar_AHSP'!A:E,4,FALSE)))</f>
        <v/>
      </c>
      <c r="E30" s="12" t="n"/>
      <c r="F30" s="4">
        <f>IF(ISBLANK(B30), 0, IF(ISNA(VLOOKUP(B30,'3_Daftar_AHSP'!A:E,5,FALSE)), 0, VLOOKUP(B30,'3_Daftar_AHSP'!A:E,5,FALSE)))</f>
        <v/>
      </c>
      <c r="G30" s="4">
        <f>IF(ISNUMBER(E30),E30*F30,0)</f>
        <v/>
      </c>
    </row>
    <row r="31">
      <c r="A31" s="3" t="n">
        <v>27</v>
      </c>
      <c r="B31" s="11" t="n"/>
      <c r="C31" s="3">
        <f>IF(ISBLANK(B31), "", IF(ISNA(VLOOKUP(B31,'3_Daftar_AHSP'!A:E,3,FALSE)), "Kode Salah", VLOOKUP(B31,'3_Daftar_AHSP'!A:E,3,FALSE)))</f>
        <v/>
      </c>
      <c r="D31" s="3">
        <f>IF(ISBLANK(B31), "", IF(ISNA(VLOOKUP(B31,'3_Daftar_AHSP'!A:E,4,FALSE)), "", VLOOKUP(B31,'3_Daftar_AHSP'!A:E,4,FALSE)))</f>
        <v/>
      </c>
      <c r="E31" s="12" t="n"/>
      <c r="F31" s="4">
        <f>IF(ISBLANK(B31), 0, IF(ISNA(VLOOKUP(B31,'3_Daftar_AHSP'!A:E,5,FALSE)), 0, VLOOKUP(B31,'3_Daftar_AHSP'!A:E,5,FALSE)))</f>
        <v/>
      </c>
      <c r="G31" s="4">
        <f>IF(ISNUMBER(E31),E31*F31,0)</f>
        <v/>
      </c>
    </row>
    <row r="32">
      <c r="A32" s="3" t="n">
        <v>28</v>
      </c>
      <c r="B32" s="11" t="n"/>
      <c r="C32" s="3">
        <f>IF(ISBLANK(B32), "", IF(ISNA(VLOOKUP(B32,'3_Daftar_AHSP'!A:E,3,FALSE)), "Kode Salah", VLOOKUP(B32,'3_Daftar_AHSP'!A:E,3,FALSE)))</f>
        <v/>
      </c>
      <c r="D32" s="3">
        <f>IF(ISBLANK(B32), "", IF(ISNA(VLOOKUP(B32,'3_Daftar_AHSP'!A:E,4,FALSE)), "", VLOOKUP(B32,'3_Daftar_AHSP'!A:E,4,FALSE)))</f>
        <v/>
      </c>
      <c r="E32" s="12" t="n"/>
      <c r="F32" s="4">
        <f>IF(ISBLANK(B32), 0, IF(ISNA(VLOOKUP(B32,'3_Daftar_AHSP'!A:E,5,FALSE)), 0, VLOOKUP(B32,'3_Daftar_AHSP'!A:E,5,FALSE)))</f>
        <v/>
      </c>
      <c r="G32" s="4">
        <f>IF(ISNUMBER(E32),E32*F32,0)</f>
        <v/>
      </c>
    </row>
    <row r="33">
      <c r="A33" s="3" t="n">
        <v>29</v>
      </c>
      <c r="B33" s="11" t="n"/>
      <c r="C33" s="3">
        <f>IF(ISBLANK(B33), "", IF(ISNA(VLOOKUP(B33,'3_Daftar_AHSP'!A:E,3,FALSE)), "Kode Salah", VLOOKUP(B33,'3_Daftar_AHSP'!A:E,3,FALSE)))</f>
        <v/>
      </c>
      <c r="D33" s="3">
        <f>IF(ISBLANK(B33), "", IF(ISNA(VLOOKUP(B33,'3_Daftar_AHSP'!A:E,4,FALSE)), "", VLOOKUP(B33,'3_Daftar_AHSP'!A:E,4,FALSE)))</f>
        <v/>
      </c>
      <c r="E33" s="12" t="n"/>
      <c r="F33" s="4">
        <f>IF(ISBLANK(B33), 0, IF(ISNA(VLOOKUP(B33,'3_Daftar_AHSP'!A:E,5,FALSE)), 0, VLOOKUP(B33,'3_Daftar_AHSP'!A:E,5,FALSE)))</f>
        <v/>
      </c>
      <c r="G33" s="4">
        <f>IF(ISNUMBER(E33),E33*F33,0)</f>
        <v/>
      </c>
    </row>
    <row r="34">
      <c r="A34" s="3" t="n">
        <v>30</v>
      </c>
      <c r="B34" s="11" t="n"/>
      <c r="C34" s="3">
        <f>IF(ISBLANK(B34), "", IF(ISNA(VLOOKUP(B34,'3_Daftar_AHSP'!A:E,3,FALSE)), "Kode Salah", VLOOKUP(B34,'3_Daftar_AHSP'!A:E,3,FALSE)))</f>
        <v/>
      </c>
      <c r="D34" s="3">
        <f>IF(ISBLANK(B34), "", IF(ISNA(VLOOKUP(B34,'3_Daftar_AHSP'!A:E,4,FALSE)), "", VLOOKUP(B34,'3_Daftar_AHSP'!A:E,4,FALSE)))</f>
        <v/>
      </c>
      <c r="E34" s="12" t="n"/>
      <c r="F34" s="4">
        <f>IF(ISBLANK(B34), 0, IF(ISNA(VLOOKUP(B34,'3_Daftar_AHSP'!A:E,5,FALSE)), 0, VLOOKUP(B34,'3_Daftar_AHSP'!A:E,5,FALSE)))</f>
        <v/>
      </c>
      <c r="G34" s="4">
        <f>IF(ISNUMBER(E34),E34*F34,0)</f>
        <v/>
      </c>
    </row>
    <row r="35">
      <c r="A35" s="13" t="inlineStr">
        <is>
          <t>TOTAL BIAYA KONSTRUKSI (RAB DETAIL)</t>
        </is>
      </c>
      <c r="B35" s="3" t="n"/>
      <c r="C35" s="3" t="n"/>
      <c r="D35" s="3" t="n"/>
      <c r="E35" s="3" t="n"/>
      <c r="F35" s="3" t="n"/>
      <c r="G35" s="7">
        <f>SUM(G5:G34)</f>
        <v/>
      </c>
    </row>
  </sheetData>
  <mergeCells count="1">
    <mergeCell ref="A35:F35"/>
  </mergeCells>
  <dataValidations count="1">
    <dataValidation sqref="B5 B6 B7 B8 B9 B10 B11 B12 B13 B14 B15 B16 B17 B18 B19 B20 B21 B22 B23 B24 B25 B26 B27 B28 B29 B30 B31 B32 B33 B34" showDropDown="0" showInputMessage="0" showErrorMessage="0" allowBlank="1" type="list">
      <formula1>'3_Daftar_AHSP'!$B$3:$B$1000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4"/>
  <sheetViews>
    <sheetView workbookViewId="0">
      <selection activeCell="A1" sqref="A1"/>
    </sheetView>
  </sheetViews>
  <sheetFormatPr baseColWidth="8" defaultRowHeight="15"/>
  <cols>
    <col width="50" customWidth="1" min="3" max="3"/>
    <col width="18" customWidth="1" min="5" max="5"/>
  </cols>
  <sheetData>
    <row r="1">
      <c r="A1" s="9" t="inlineStr">
        <is>
          <t>DAFTAR HARGA SATUAN PEKERJAAN (AHSP SE BINKON 182/2025)</t>
        </is>
      </c>
    </row>
    <row r="2">
      <c r="A2" s="10" t="inlineStr">
        <is>
          <t>No</t>
        </is>
      </c>
      <c r="B2" s="10" t="inlineStr">
        <is>
          <t>Kode AHSP</t>
        </is>
      </c>
      <c r="C2" s="10" t="inlineStr">
        <is>
          <t>Uraian Pekerjaan</t>
        </is>
      </c>
      <c r="D2" s="10" t="inlineStr">
        <is>
          <t>Satuan</t>
        </is>
      </c>
      <c r="E2" s="10" t="inlineStr">
        <is>
          <t>Harga Satuan Total (Rp)</t>
        </is>
      </c>
    </row>
    <row r="3">
      <c r="A3" s="3" t="n">
        <v>1</v>
      </c>
      <c r="B3" s="3" t="inlineStr">
        <is>
          <t>1.1.1.1</t>
        </is>
      </c>
      <c r="C3" s="3" t="inlineStr">
        <is>
          <t>Pembuatan 1 m’ pagar sementara dari kayu tinggi 2 meter</t>
        </is>
      </c>
      <c r="D3" s="3" t="inlineStr">
        <is>
          <t>m'</t>
        </is>
      </c>
      <c r="E3" s="4" t="n">
        <v>787397</v>
      </c>
    </row>
    <row r="4">
      <c r="A4" s="3" t="n">
        <v>2</v>
      </c>
      <c r="B4" s="3" t="inlineStr">
        <is>
          <t>1.1.1.2</t>
        </is>
      </c>
      <c r="C4" s="3" t="inlineStr">
        <is>
          <t>Pembuatan 1 m’ pagar sementara dari seng gelombang rangka kayu tinggi 2 meter</t>
        </is>
      </c>
      <c r="D4" s="3" t="inlineStr">
        <is>
          <t>m'</t>
        </is>
      </c>
      <c r="E4" s="4" t="n">
        <v>635526</v>
      </c>
    </row>
    <row r="5">
      <c r="A5" s="3" t="n">
        <v>3</v>
      </c>
      <c r="B5" s="3" t="inlineStr">
        <is>
          <t>1.1.1.3</t>
        </is>
      </c>
      <c r="C5" s="3" t="inlineStr">
        <is>
          <t>Pembuatan 1 m’ pagar sementara dari kawat duri tinggi 2 meter</t>
        </is>
      </c>
      <c r="D5" s="3" t="inlineStr">
        <is>
          <t>m'</t>
        </is>
      </c>
      <c r="E5" s="4" t="n">
        <v>378239</v>
      </c>
    </row>
    <row r="6">
      <c r="A6" s="3" t="n">
        <v>4</v>
      </c>
      <c r="B6" s="3" t="inlineStr">
        <is>
          <t>1.1.1.4</t>
        </is>
      </c>
      <c r="C6" s="3" t="inlineStr">
        <is>
          <t>Pembuatan 1 m’ pagar sementara  seng gelombang rangka baja L.40.40.4 tinggi pagar 1.8 meter</t>
        </is>
      </c>
      <c r="D6" s="3" t="inlineStr">
        <is>
          <t>m'</t>
        </is>
      </c>
      <c r="E6" s="4" t="n">
        <v>428906</v>
      </c>
    </row>
    <row r="7">
      <c r="A7" s="3" t="n">
        <v>5</v>
      </c>
      <c r="B7" s="3" t="inlineStr">
        <is>
          <t>1.1.1.5</t>
        </is>
      </c>
      <c r="C7" s="3" t="inlineStr">
        <is>
          <t>Pembuatan 1 m2 pagar BRC Galvanis</t>
        </is>
      </c>
      <c r="D7" s="3" t="inlineStr">
        <is>
          <t>m2</t>
        </is>
      </c>
      <c r="E7" s="4" t="n">
        <v>17431</v>
      </c>
    </row>
    <row r="8">
      <c r="A8" s="3" t="n">
        <v>6</v>
      </c>
      <c r="B8" s="3" t="inlineStr">
        <is>
          <t>1.1.1.6</t>
        </is>
      </c>
      <c r="C8" s="3" t="inlineStr">
        <is>
          <t>Pemasangan 1 m2 panel beton pracetak 50x50x240 untuk pagar</t>
        </is>
      </c>
      <c r="D8" s="3" t="inlineStr">
        <is>
          <t>m2</t>
        </is>
      </c>
      <c r="E8" s="4" t="n">
        <v>484982</v>
      </c>
    </row>
    <row r="9">
      <c r="A9" s="3" t="n">
        <v>7</v>
      </c>
      <c r="B9" s="3" t="inlineStr">
        <is>
          <t>1.1.2</t>
        </is>
      </c>
      <c r="C9" s="3" t="inlineStr">
        <is>
          <t>Alat dan/atau sarana penunjang</t>
        </is>
      </c>
      <c r="D9" s="3" t="n">
        <v/>
      </c>
      <c r="E9" s="4" t="n">
        <v>0</v>
      </c>
    </row>
    <row r="10">
      <c r="A10" s="3" t="n">
        <v>8</v>
      </c>
      <c r="B10" s="3" t="inlineStr">
        <is>
          <t>1.1.2.1</t>
        </is>
      </c>
      <c r="C10" s="3" t="inlineStr">
        <is>
          <t>1 buah papan nama pekerjaan ukuran 0.8x1.2 menggunakan multiflex 18 mm, frame besi siku dan tiang kayu 8/12</t>
        </is>
      </c>
      <c r="D10" s="3" t="inlineStr">
        <is>
          <t>buah</t>
        </is>
      </c>
      <c r="E10" s="4" t="n">
        <v>1909085</v>
      </c>
    </row>
    <row r="11">
      <c r="A11" s="3" t="n">
        <v>9</v>
      </c>
      <c r="B11" s="3" t="inlineStr">
        <is>
          <t>1.1.2.2</t>
        </is>
      </c>
      <c r="C11" s="3" t="inlineStr">
        <is>
          <t>1 buah papan nama pekerjaan ukuran 0.6x08 menggunakan multiplex 10 mm, frame allumunium siku dan tiang kayu 5/7, printing banner plastik</t>
        </is>
      </c>
      <c r="D11" s="3" t="inlineStr">
        <is>
          <t>buah</t>
        </is>
      </c>
      <c r="E11" s="4" t="n">
        <v>702576</v>
      </c>
    </row>
    <row r="12">
      <c r="A12" s="3" t="n">
        <v>10</v>
      </c>
      <c r="B12" s="3" t="inlineStr">
        <is>
          <t>1.1.2.3</t>
        </is>
      </c>
      <c r="C12" s="3" t="inlineStr">
        <is>
          <t>Pembuatan 1 m2 kantor sementara/rumah jaga/gudang semen dan peralatan lantai plesteran, dinding setengah tembok</t>
        </is>
      </c>
      <c r="D12" s="3" t="inlineStr">
        <is>
          <t>m2</t>
        </is>
      </c>
      <c r="E12" s="4" t="n">
        <v>3501283</v>
      </c>
    </row>
    <row r="13">
      <c r="A13" s="3" t="n">
        <v>11</v>
      </c>
      <c r="B13" s="3" t="inlineStr">
        <is>
          <t>1.1.2.4</t>
        </is>
      </c>
      <c r="C13" s="3" t="inlineStr">
        <is>
          <t>Pembuatan 1 m2 direksi keet (Kantor), los kerja dan gudang</t>
        </is>
      </c>
      <c r="D13" s="3" t="inlineStr">
        <is>
          <t>m2</t>
        </is>
      </c>
      <c r="E13" s="4" t="n">
        <v>5699688</v>
      </c>
    </row>
    <row r="14">
      <c r="A14" s="3" t="n">
        <v>12</v>
      </c>
      <c r="B14" s="3" t="inlineStr">
        <is>
          <t>1.1.2.5</t>
        </is>
      </c>
      <c r="C14" s="3" t="inlineStr">
        <is>
          <t>Pembuatan 1 m2 jalan sementara lapis macadam</t>
        </is>
      </c>
      <c r="D14" s="3" t="inlineStr">
        <is>
          <t>m2</t>
        </is>
      </c>
      <c r="E14" s="4" t="n">
        <v>1368398</v>
      </c>
    </row>
    <row r="15">
      <c r="A15" s="3" t="n">
        <v>13</v>
      </c>
      <c r="B15" s="3" t="inlineStr">
        <is>
          <t>1.1.2.6</t>
        </is>
      </c>
      <c r="C15" s="3" t="inlineStr">
        <is>
          <t>Pembuatan 1 m2 jalan sementara (Jalan Tanah)</t>
        </is>
      </c>
      <c r="D15" s="3" t="inlineStr">
        <is>
          <t>m2</t>
        </is>
      </c>
      <c r="E15" s="4" t="n">
        <v>1281336</v>
      </c>
    </row>
    <row r="16">
      <c r="A16" s="3" t="n">
        <v>14</v>
      </c>
      <c r="B16" s="3" t="inlineStr">
        <is>
          <t>1.1.2.7</t>
        </is>
      </c>
      <c r="C16" s="3" t="inlineStr">
        <is>
          <t>Pembuatan 1 m2 jalan sementara (Jalan Kerikil)</t>
        </is>
      </c>
      <c r="D16" s="3" t="inlineStr">
        <is>
          <t>m2</t>
        </is>
      </c>
      <c r="E16" s="4" t="n">
        <v>1343259</v>
      </c>
    </row>
    <row r="17">
      <c r="A17" s="3" t="n">
        <v>15</v>
      </c>
      <c r="B17" s="3" t="inlineStr">
        <is>
          <t>1.1.3.1</t>
        </is>
      </c>
      <c r="C17" s="3" t="inlineStr">
        <is>
          <t>1 m3 Pembersihan dan pengupasan permukaan tanah (striping) s.d. tanaman ∅ 2 cm</t>
        </is>
      </c>
      <c r="D17" s="3" t="inlineStr">
        <is>
          <t>m2</t>
        </is>
      </c>
      <c r="E17" s="4" t="n">
        <v>12100</v>
      </c>
    </row>
    <row r="18">
      <c r="A18" s="3" t="n">
        <v>16</v>
      </c>
      <c r="B18" s="3" t="inlineStr">
        <is>
          <t>1.1.3.2</t>
        </is>
      </c>
      <c r="C18" s="3" t="inlineStr">
        <is>
          <t>Tebas tebang 1 m2 tanaman/tumbuhan ∅ &lt; 5 cm</t>
        </is>
      </c>
      <c r="D18" s="3" t="inlineStr">
        <is>
          <t>m2</t>
        </is>
      </c>
      <c r="E18" s="4" t="n">
        <v>3960</v>
      </c>
    </row>
    <row r="19">
      <c r="A19" s="3" t="n">
        <v>17</v>
      </c>
      <c r="B19" s="3" t="inlineStr">
        <is>
          <t>1.1.3.3.</t>
        </is>
      </c>
      <c r="C19" s="3" t="inlineStr">
        <is>
          <t>Tebas tebang 1 m
2
 tanaman/tumbuhan ∅ &gt;5 s.d. 15 cm</t>
        </is>
      </c>
      <c r="D19" s="3" t="inlineStr">
        <is>
          <t>m2</t>
        </is>
      </c>
      <c r="E19" s="4" t="n">
        <v>6600</v>
      </c>
    </row>
    <row r="20">
      <c r="A20" s="3" t="n">
        <v>18</v>
      </c>
      <c r="B20" s="3" t="inlineStr">
        <is>
          <t>1.1.3.4</t>
        </is>
      </c>
      <c r="C20" s="3" t="inlineStr">
        <is>
          <t>Tebas tebang 1 batang pohon/tumbuhan ∅ &gt;15 s.d. 30 cm</t>
        </is>
      </c>
      <c r="D20" s="3" t="inlineStr">
        <is>
          <t>btg</t>
        </is>
      </c>
      <c r="E20" s="4" t="n">
        <v>22341</v>
      </c>
    </row>
    <row r="21">
      <c r="A21" s="3" t="n">
        <v>19</v>
      </c>
      <c r="B21" s="3" t="inlineStr">
        <is>
          <t>1.1.3.5</t>
        </is>
      </c>
      <c r="C21" s="3" t="inlineStr">
        <is>
          <t>Tebas tebang 1 batang pohon/tumbuhan ∅ &gt; 30 s.d 50 cm</t>
        </is>
      </c>
      <c r="D21" s="3" t="inlineStr">
        <is>
          <t>btg</t>
        </is>
      </c>
      <c r="E21" s="4" t="n">
        <v>22209</v>
      </c>
    </row>
    <row r="22">
      <c r="A22" s="3" t="n">
        <v>20</v>
      </c>
      <c r="B22" s="3" t="inlineStr">
        <is>
          <t>1.1.3.6</t>
        </is>
      </c>
      <c r="C22" s="3" t="inlineStr">
        <is>
          <t>Tebas tebang 1 batang pohon/tumbuhan ∅ &gt; 50 s.d 75 cm (diameter pohon diukur 1 m di atas permukaan tanah)</t>
        </is>
      </c>
      <c r="D22" s="3" t="inlineStr">
        <is>
          <t>btg</t>
        </is>
      </c>
      <c r="E22" s="4" t="n">
        <v>48840</v>
      </c>
    </row>
    <row r="23">
      <c r="A23" s="3" t="n">
        <v>21</v>
      </c>
      <c r="B23" s="3" t="inlineStr">
        <is>
          <t>1.1.3.7</t>
        </is>
      </c>
      <c r="C23" s="3" t="inlineStr">
        <is>
          <t>Tebas tebang 1 batang pohon/tumbuhan ∅ &gt; 75 cm (diameter pohon diukur 1 m di atas permukaan tanah)</t>
        </is>
      </c>
      <c r="D23" s="3" t="inlineStr">
        <is>
          <t>btg</t>
        </is>
      </c>
      <c r="E23" s="4" t="n">
        <v>62700</v>
      </c>
    </row>
    <row r="24">
      <c r="A24" s="3" t="n">
        <v>22</v>
      </c>
      <c r="B24" s="3" t="inlineStr">
        <is>
          <t>1.1.3.8</t>
        </is>
      </c>
      <c r="C24" s="3" t="inlineStr">
        <is>
          <t>Gali dan cabut 1 tunggul pohon tanaman keras ∅ &gt; 5 s.d. 15 cm (termasuk pembuangan sisa tunggul tanpa menutup kembali bekas lubang)</t>
        </is>
      </c>
      <c r="D24" s="3" t="inlineStr">
        <is>
          <t>tgl</t>
        </is>
      </c>
      <c r="E24" s="4" t="n">
        <v>48565</v>
      </c>
    </row>
    <row r="25">
      <c r="A25" s="3" t="n">
        <v>23</v>
      </c>
      <c r="B25" s="3" t="inlineStr">
        <is>
          <t>1.1.3.9</t>
        </is>
      </c>
      <c r="C25" s="3" t="inlineStr">
        <is>
          <t>Gali dan cabut 1 tunggul pohon tanaman keras ∅ &gt; 15 cm  s.d. 30 cm (termasuk pembuangan sisa tunggul tanpa menutup kembali bekas lubang)</t>
        </is>
      </c>
      <c r="D25" s="3" t="inlineStr">
        <is>
          <t>tgl</t>
        </is>
      </c>
      <c r="E25" s="4" t="n">
        <v>68321</v>
      </c>
    </row>
    <row r="26">
      <c r="A26" s="3" t="n">
        <v>24</v>
      </c>
      <c r="B26" s="3" t="inlineStr">
        <is>
          <t>1.1.3.10</t>
        </is>
      </c>
      <c r="C26" s="3" t="inlineStr">
        <is>
          <t>Gali dan cabut 1 tunggul pohon tanaman keras ∅ &gt; 30 cm  s.d. 50 cm (termasuk pembuangan sisa tunggul tanpa menutup kembali bekas lubang)</t>
        </is>
      </c>
      <c r="D26" s="3" t="inlineStr">
        <is>
          <t>tgl</t>
        </is>
      </c>
      <c r="E26" s="4" t="n">
        <v>96679</v>
      </c>
    </row>
    <row r="27">
      <c r="A27" s="3" t="n">
        <v>25</v>
      </c>
      <c r="B27" s="3" t="inlineStr">
        <is>
          <t>1.1.3.11</t>
        </is>
      </c>
      <c r="C27" s="3" t="inlineStr">
        <is>
          <t>Gali dan cabut 1 tunggul pohon tanaman keras ∅ &gt; 50 cm  s.d. 75 cm (termasuk pembuangan sisa tunggul tanpa menutup kembali bekas lubang)</t>
        </is>
      </c>
      <c r="D27" s="3" t="inlineStr">
        <is>
          <t>tgl</t>
        </is>
      </c>
      <c r="E27" s="4" t="n">
        <v>149985</v>
      </c>
    </row>
    <row r="28">
      <c r="A28" s="3" t="n">
        <v>26</v>
      </c>
      <c r="B28" s="3" t="inlineStr">
        <is>
          <t>1.1.3.12</t>
        </is>
      </c>
      <c r="C28" s="3" t="inlineStr">
        <is>
          <t>Gali dan cabut 1 tunggul pohon tanaman keras ∅ &gt; 75 cm (termasuk pembuangan sisa tunggul tanpa menutup kembali bekas lubang)</t>
        </is>
      </c>
      <c r="D28" s="3" t="inlineStr">
        <is>
          <t>tgl</t>
        </is>
      </c>
      <c r="E28" s="4" t="n">
        <v>218229</v>
      </c>
    </row>
    <row r="29">
      <c r="A29" s="3" t="n">
        <v>27</v>
      </c>
      <c r="B29" s="3" t="inlineStr">
        <is>
          <t>1.1.3.13</t>
        </is>
      </c>
      <c r="C29" s="3" t="inlineStr">
        <is>
          <t>Gali dan cabut 1 tunggul pohon tanaman keras ∅ &gt; 5 s.d. 15 cm (termasuk pembuangan sisa tunggul dengan menutup kembali bekas lubang)</t>
        </is>
      </c>
      <c r="D29" s="3" t="inlineStr">
        <is>
          <t>tgl</t>
        </is>
      </c>
      <c r="E29" s="4" t="n">
        <v>49599</v>
      </c>
    </row>
    <row r="30">
      <c r="A30" s="3" t="n">
        <v>28</v>
      </c>
      <c r="B30" s="3" t="inlineStr">
        <is>
          <t>1.1.3.14</t>
        </is>
      </c>
      <c r="C30" s="3" t="inlineStr">
        <is>
          <t>Gali dan cabut 1 tunggul pohon tanaman keras ∅ &gt; 15 cm s.d. 30 cm (termasuk pembuangan sisa tunggul dengan menutup kembali bekas lubang)</t>
        </is>
      </c>
      <c r="D30" s="3" t="inlineStr">
        <is>
          <t>tgl</t>
        </is>
      </c>
      <c r="E30" s="4" t="n">
        <v>79145</v>
      </c>
    </row>
    <row r="31">
      <c r="A31" s="3" t="n">
        <v>29</v>
      </c>
      <c r="B31" s="3" t="inlineStr">
        <is>
          <t>1.1.3.15</t>
        </is>
      </c>
      <c r="C31" s="3" t="inlineStr">
        <is>
          <t>Gali dan cabut 1 tunggul pohon tanaman keras ∅ &gt; 15 cm s.d. 50 cm (termasuk pembuangan sisa tunggul dengan menutup kembali bekas lubang)</t>
        </is>
      </c>
      <c r="D31" s="3" t="inlineStr">
        <is>
          <t>Ha</t>
        </is>
      </c>
      <c r="E31" s="4" t="n">
        <v>113289</v>
      </c>
    </row>
    <row r="32">
      <c r="A32" s="3" t="n">
        <v>30</v>
      </c>
      <c r="B32" s="3" t="inlineStr">
        <is>
          <t>1.1.3.16</t>
        </is>
      </c>
      <c r="C32" s="3" t="inlineStr">
        <is>
          <t>Gali dan cabut 1 tunggul pohon tanaman keras ∅ &gt; 15 cm s.d. 75 cm (termasuk pembuangan sisa tunggul dengan menutup kembali bekas lubang)</t>
        </is>
      </c>
      <c r="D32" s="3" t="inlineStr">
        <is>
          <t>m'</t>
        </is>
      </c>
      <c r="E32" s="4" t="n">
        <v>177705</v>
      </c>
    </row>
    <row r="33">
      <c r="A33" s="3" t="n">
        <v>31</v>
      </c>
      <c r="B33" s="3" t="inlineStr">
        <is>
          <t>1.1.3.17</t>
        </is>
      </c>
      <c r="C33" s="3" t="inlineStr">
        <is>
          <t>Gali dan cabut 1 tunggul pohon tanaman keras ∅ &gt;  75 cm (termasuk pembuangan sisa tunggul dengan menutup kembali bekas lubang)</t>
        </is>
      </c>
      <c r="D33" s="3" t="inlineStr">
        <is>
          <t>m'</t>
        </is>
      </c>
      <c r="E33" s="4" t="n">
        <v>271920</v>
      </c>
    </row>
    <row r="34">
      <c r="A34" s="3" t="n">
        <v>32</v>
      </c>
      <c r="B34" s="3" t="inlineStr">
        <is>
          <t>1.1.4</t>
        </is>
      </c>
      <c r="C34" s="3" t="inlineStr">
        <is>
          <t>Pengukuran dan Pasangan Bouwplank</t>
        </is>
      </c>
      <c r="D34" s="3" t="n">
        <v/>
      </c>
      <c r="E34" s="4" t="n">
        <v>0</v>
      </c>
    </row>
    <row r="35">
      <c r="A35" s="3" t="n">
        <v>33</v>
      </c>
      <c r="B35" s="3" t="inlineStr">
        <is>
          <t>1.1.4.1</t>
        </is>
      </c>
      <c r="C35" s="3" t="inlineStr">
        <is>
          <t>Pengukuran ulang topografi seluas 1 Ha</t>
        </is>
      </c>
      <c r="D35" s="3" t="inlineStr">
        <is>
          <t>Ha</t>
        </is>
      </c>
      <c r="E35" s="4" t="n">
        <v>3277091</v>
      </c>
    </row>
    <row r="36">
      <c r="A36" s="3" t="n">
        <v>34</v>
      </c>
      <c r="B36" s="3" t="inlineStr">
        <is>
          <t>1.1.4.2</t>
        </is>
      </c>
      <c r="C36" s="3" t="inlineStr">
        <is>
          <t>Pasangan 1 m' bouwplank</t>
        </is>
      </c>
      <c r="D36" s="3" t="inlineStr">
        <is>
          <t>m'</t>
        </is>
      </c>
      <c r="E36" s="4" t="n">
        <v>171528</v>
      </c>
    </row>
    <row r="37">
      <c r="A37" s="3" t="n">
        <v>35</v>
      </c>
      <c r="B37" s="3" t="inlineStr">
        <is>
          <t>1.1.4.3</t>
        </is>
      </c>
      <c r="C37" s="3" t="inlineStr">
        <is>
          <t>Patok Kayu (kaso5/7) Panjang 0,5 m'</t>
        </is>
      </c>
      <c r="D37" s="3" t="inlineStr">
        <is>
          <t>m'</t>
        </is>
      </c>
      <c r="E37" s="4" t="n">
        <v>191337</v>
      </c>
    </row>
    <row r="38">
      <c r="A38" s="3" t="n">
        <v>36</v>
      </c>
      <c r="B38" s="3" t="inlineStr">
        <is>
          <t>1.1.4.4</t>
        </is>
      </c>
      <c r="C38" s="3" t="inlineStr">
        <is>
          <t>1 Buah Patok Kayu (Kaso 5/7) panjang 1 m'</t>
        </is>
      </c>
      <c r="D38" s="3" t="inlineStr">
        <is>
          <t>m'</t>
        </is>
      </c>
      <c r="E38" s="4" t="n">
        <v>85540</v>
      </c>
    </row>
    <row r="39">
      <c r="A39" s="3" t="n">
        <v>37</v>
      </c>
      <c r="B39" s="3" t="inlineStr">
        <is>
          <t>1.1.4.5</t>
        </is>
      </c>
      <c r="C39" s="3" t="inlineStr">
        <is>
          <t>Patok Tetap Bantu (PTB)</t>
        </is>
      </c>
      <c r="D39" s="3" t="inlineStr">
        <is>
          <t>m'</t>
        </is>
      </c>
      <c r="E39" s="4" t="n">
        <v>144262</v>
      </c>
    </row>
    <row r="40">
      <c r="A40" s="3" t="n">
        <v>38</v>
      </c>
      <c r="B40" s="3" t="inlineStr">
        <is>
          <t>1.1.4.6</t>
        </is>
      </c>
      <c r="C40" s="3" t="inlineStr">
        <is>
          <t>Patok Tetap Utama (PTU)</t>
        </is>
      </c>
      <c r="D40" s="3" t="inlineStr">
        <is>
          <t>m'</t>
        </is>
      </c>
      <c r="E40" s="4" t="n">
        <v>215837</v>
      </c>
    </row>
    <row r="41">
      <c r="A41" s="3" t="n">
        <v>39</v>
      </c>
      <c r="B41" s="3" t="inlineStr">
        <is>
          <t>1.2.1.1.1</t>
        </is>
      </c>
      <c r="C41" s="3" t="inlineStr">
        <is>
          <t>Penggalian 1 m3 tanah biasa sedalam 0 s.d. 1 m untuk volume s.d. 200 m3 secara manual</t>
        </is>
      </c>
      <c r="D41" s="3" t="inlineStr">
        <is>
          <t>m3</t>
        </is>
      </c>
      <c r="E41" s="4" t="n">
        <v>90860</v>
      </c>
    </row>
    <row r="42">
      <c r="A42" s="3" t="n">
        <v>40</v>
      </c>
      <c r="B42" s="3" t="inlineStr">
        <is>
          <t>1.2.1.1.2</t>
        </is>
      </c>
      <c r="C42" s="3" t="inlineStr">
        <is>
          <t>Penggalian 1 m3 tanah biasa sedalam 0 s.d. 1 m untuk volume 200 m3 s.d 2.000 m3 secara manual</t>
        </is>
      </c>
      <c r="D42" s="3" t="inlineStr">
        <is>
          <t>m3</t>
        </is>
      </c>
      <c r="E42" s="4" t="n">
        <v>74316</v>
      </c>
    </row>
    <row r="43">
      <c r="A43" s="3" t="n">
        <v>41</v>
      </c>
      <c r="B43" s="3" t="inlineStr">
        <is>
          <t>1.2.1.1.3</t>
        </is>
      </c>
      <c r="C43" s="3" t="inlineStr">
        <is>
          <t>Penggalian 1 m3 tanah biasa sedalam 0 s.d. 1 m untuk volume &gt; 2.000 m3 secara Manual</t>
        </is>
      </c>
      <c r="D43" s="3" t="inlineStr">
        <is>
          <t>m3</t>
        </is>
      </c>
      <c r="E43" s="4" t="n">
        <v>52800</v>
      </c>
    </row>
    <row r="44">
      <c r="A44" s="3" t="n">
        <v>42</v>
      </c>
      <c r="B44" s="3" t="inlineStr">
        <is>
          <t>1.2.1.1.4</t>
        </is>
      </c>
      <c r="C44" s="3" t="inlineStr">
        <is>
          <t>Penggalian 1 m3 tanah biasa sedalam &gt; 1 s.d. 2 m untuk volume s.d 200 m3 secara manual</t>
        </is>
      </c>
      <c r="D44" s="3" t="inlineStr">
        <is>
          <t>m3</t>
        </is>
      </c>
      <c r="E44" s="4" t="n">
        <v>108900</v>
      </c>
    </row>
    <row r="45">
      <c r="A45" s="3" t="n">
        <v>43</v>
      </c>
      <c r="B45" s="3" t="inlineStr">
        <is>
          <t>1.2.1.1.5</t>
        </is>
      </c>
      <c r="C45" s="3" t="inlineStr">
        <is>
          <t>Penggalian 1 m3 tanah biasa sedalam &gt; 1 s.d. 2 m untuk volume &gt; 200 m3 secara manual</t>
        </is>
      </c>
      <c r="D45" s="3" t="inlineStr">
        <is>
          <t>m3</t>
        </is>
      </c>
      <c r="E45" s="4" t="n">
        <v>89100</v>
      </c>
    </row>
    <row r="46">
      <c r="A46" s="3" t="n">
        <v>44</v>
      </c>
      <c r="B46" s="3" t="inlineStr">
        <is>
          <t>1.2.1.1.6</t>
        </is>
      </c>
      <c r="C46" s="3" t="inlineStr">
        <is>
          <t>Penggalian 1 m3 tanah biasa sedalam &gt; 2 s.d. 3 m untuk volume s.d 200 m3 secara manual</t>
        </is>
      </c>
      <c r="D46" s="3" t="inlineStr">
        <is>
          <t>m3</t>
        </is>
      </c>
      <c r="E46" s="4" t="n">
        <v>130240</v>
      </c>
    </row>
    <row r="47">
      <c r="A47" s="3" t="n">
        <v>45</v>
      </c>
      <c r="B47" s="3" t="inlineStr">
        <is>
          <t>1.2.1.1.7</t>
        </is>
      </c>
      <c r="C47" s="3" t="inlineStr">
        <is>
          <t>Penggalian 1 m3 tanah biasa sedalam &gt; 2 s.d. 3 m untuk volume &gt; 200 m3 secara manual</t>
        </is>
      </c>
      <c r="D47" s="3" t="inlineStr">
        <is>
          <t>m3</t>
        </is>
      </c>
      <c r="E47" s="4" t="n">
        <v>100320</v>
      </c>
    </row>
    <row r="48">
      <c r="A48" s="3" t="n">
        <v>46</v>
      </c>
      <c r="B48" s="3" t="inlineStr">
        <is>
          <t>1.2.1.1.8</t>
        </is>
      </c>
      <c r="C48" s="3" t="inlineStr">
        <is>
          <t>Penggalian 1 m3 tanah biasa sedalam &gt; 3 m, setiap penambahan kedalaman 1 m secara manual</t>
        </is>
      </c>
      <c r="D48" s="3" t="inlineStr">
        <is>
          <t>m3</t>
        </is>
      </c>
      <c r="E48" s="4" t="n">
        <v>9900</v>
      </c>
    </row>
    <row r="49">
      <c r="A49" s="3" t="n">
        <v>47</v>
      </c>
      <c r="B49" s="3" t="inlineStr">
        <is>
          <t>1.2.1.2.1</t>
        </is>
      </c>
      <c r="C49" s="3" t="inlineStr">
        <is>
          <t>Penggalian 1 m3 tanh biasa sedalam &gt; 0 s.d 1 m secara semi mekanis</t>
        </is>
      </c>
      <c r="D49" s="3" t="inlineStr">
        <is>
          <t>m3</t>
        </is>
      </c>
      <c r="E49" s="4" t="n">
        <v>131670</v>
      </c>
    </row>
    <row r="50">
      <c r="A50" s="3" t="n">
        <v>48</v>
      </c>
      <c r="B50" s="3" t="inlineStr">
        <is>
          <t>1.2.1.2.2</t>
        </is>
      </c>
      <c r="C50" s="3" t="inlineStr">
        <is>
          <t>Penggalian 1 m3 tanah biasa sedalam &gt;1 s.d 2 m secara semi mekanis</t>
        </is>
      </c>
      <c r="D50" s="3" t="inlineStr">
        <is>
          <t>m3</t>
        </is>
      </c>
      <c r="E50" s="4" t="n">
        <v>143726</v>
      </c>
    </row>
    <row r="51">
      <c r="A51" s="3" t="n">
        <v>49</v>
      </c>
      <c r="B51" s="3" t="inlineStr">
        <is>
          <t>1.2.1.2.3</t>
        </is>
      </c>
      <c r="C51" s="3" t="inlineStr">
        <is>
          <t>Penggalian 1 m3 tanah biasa sedalam &gt;2 s.d 3 m secara semi mekanis</t>
        </is>
      </c>
      <c r="D51" s="3" t="inlineStr">
        <is>
          <t>m3</t>
        </is>
      </c>
      <c r="E51" s="4" t="n">
        <v>159500</v>
      </c>
    </row>
    <row r="52">
      <c r="A52" s="3" t="n">
        <v>50</v>
      </c>
      <c r="B52" s="3" t="inlineStr">
        <is>
          <t>1.2.1.2.4</t>
        </is>
      </c>
      <c r="C52" s="3" t="inlineStr">
        <is>
          <t>Penggalian 1 m3 tanah biasa &gt; 3 m untuk setiap  penambahan kedalaman 1 m secara semi mekanis</t>
        </is>
      </c>
      <c r="D52" s="3" t="inlineStr">
        <is>
          <t>m3</t>
        </is>
      </c>
      <c r="E52" s="4" t="n">
        <v>17490</v>
      </c>
    </row>
    <row r="53">
      <c r="A53" s="3" t="n">
        <v>51</v>
      </c>
      <c r="B53" s="3" t="inlineStr">
        <is>
          <t>1.2.2.1.1</t>
        </is>
      </c>
      <c r="C53" s="3" t="inlineStr">
        <is>
          <t>Penggalian 1 m3 pasir sedalam &gt;0 s.d 1 m secara manual</t>
        </is>
      </c>
      <c r="D53" s="3" t="inlineStr">
        <is>
          <t>m3</t>
        </is>
      </c>
      <c r="E53" s="4" t="n">
        <v>87120</v>
      </c>
    </row>
    <row r="54">
      <c r="A54" s="3" t="n">
        <v>52</v>
      </c>
      <c r="B54" s="3" t="inlineStr">
        <is>
          <t>1.2.2.1.2</t>
        </is>
      </c>
      <c r="C54" s="3" t="inlineStr">
        <is>
          <t>Penggalian 1 m3 pasir sedalam &gt; 1 s.d 2 m secara manual</t>
        </is>
      </c>
      <c r="D54" s="3" t="inlineStr">
        <is>
          <t>m3</t>
        </is>
      </c>
      <c r="E54" s="4" t="n">
        <v>89760</v>
      </c>
    </row>
    <row r="55">
      <c r="A55" s="3" t="n">
        <v>53</v>
      </c>
      <c r="B55" s="3" t="inlineStr">
        <is>
          <t>1.2.2.1.3</t>
        </is>
      </c>
      <c r="C55" s="3" t="inlineStr">
        <is>
          <t>Penggalian 1 m3 pasir sedalam &gt; 2 s.d 3 m secara manual</t>
        </is>
      </c>
      <c r="D55" s="3" t="inlineStr">
        <is>
          <t>m3</t>
        </is>
      </c>
      <c r="E55" s="4" t="n">
        <v>121440</v>
      </c>
    </row>
    <row r="56">
      <c r="A56" s="3" t="n">
        <v>54</v>
      </c>
      <c r="B56" s="3" t="inlineStr">
        <is>
          <t>1.2.2.1.4</t>
        </is>
      </c>
      <c r="C56" s="3" t="inlineStr">
        <is>
          <t>Penggalian 1 m3 pasir sedalam &gt;  3 m  tiap tambahan dalam 1 msecara manual</t>
        </is>
      </c>
      <c r="D56" s="3" t="inlineStr">
        <is>
          <t>m3</t>
        </is>
      </c>
      <c r="E56" s="4" t="n">
        <v>13200</v>
      </c>
    </row>
    <row r="57">
      <c r="A57" s="3" t="n">
        <v>55</v>
      </c>
      <c r="B57" s="3" t="inlineStr">
        <is>
          <t>1.2.2.2.1</t>
        </is>
      </c>
      <c r="C57" s="3" t="inlineStr">
        <is>
          <t>Penggalian 1 m3 pasir sedalam &gt;  0 s.d 1 m secara semi mekanis</t>
        </is>
      </c>
      <c r="D57" s="3" t="inlineStr">
        <is>
          <t>m3</t>
        </is>
      </c>
      <c r="E57" s="4" t="n">
        <v>45320</v>
      </c>
    </row>
    <row r="58">
      <c r="A58" s="3" t="n">
        <v>56</v>
      </c>
      <c r="B58" s="3" t="inlineStr">
        <is>
          <t>1.2.2.2.2</t>
        </is>
      </c>
      <c r="C58" s="3" t="inlineStr">
        <is>
          <t>Penggalian 1 m3 pasir sedalam &gt;  1 s.d 2 m secara semi mekanis</t>
        </is>
      </c>
      <c r="D58" s="3" t="inlineStr">
        <is>
          <t>m3</t>
        </is>
      </c>
      <c r="E58" s="4" t="n">
        <v>51920</v>
      </c>
    </row>
    <row r="59">
      <c r="A59" s="3" t="n">
        <v>57</v>
      </c>
      <c r="B59" s="3" t="inlineStr">
        <is>
          <t>1.2.2.2.3</t>
        </is>
      </c>
      <c r="C59" s="3" t="inlineStr">
        <is>
          <t>Penggalian 1 m3 pasir sedalam &gt;  2 s.d 3 m secara semi mekanis</t>
        </is>
      </c>
      <c r="D59" s="3" t="inlineStr">
        <is>
          <t>m3</t>
        </is>
      </c>
      <c r="E59" s="4" t="n">
        <v>59136</v>
      </c>
    </row>
    <row r="60">
      <c r="A60" s="3" t="n">
        <v>58</v>
      </c>
      <c r="B60" s="3" t="inlineStr">
        <is>
          <t>1.2.2.2.4</t>
        </is>
      </c>
      <c r="C60" s="3" t="inlineStr">
        <is>
          <t>Penggalian 1 m3 pasir sedalam &gt;   3 m secara semi mekanis untuk setiap tambahan dalm 1 m</t>
        </is>
      </c>
      <c r="D60" s="3" t="inlineStr">
        <is>
          <t>m3</t>
        </is>
      </c>
      <c r="E60" s="4" t="n">
        <v>8756</v>
      </c>
    </row>
    <row r="61">
      <c r="A61" s="3" t="n">
        <v>59</v>
      </c>
      <c r="B61" s="3" t="inlineStr">
        <is>
          <t>1.2.3.1.1</t>
        </is>
      </c>
      <c r="C61" s="3" t="inlineStr">
        <is>
          <t>Penggalian 1 m3 tanah berbatu sedalam &gt; 0 s.d 1 m secara Manual</t>
        </is>
      </c>
      <c r="D61" s="3" t="inlineStr">
        <is>
          <t>m3</t>
        </is>
      </c>
      <c r="E61" s="4" t="n">
        <v>151582</v>
      </c>
    </row>
    <row r="62">
      <c r="A62" s="3" t="n">
        <v>60</v>
      </c>
      <c r="B62" s="3" t="inlineStr">
        <is>
          <t>1.2.3.1.2</t>
        </is>
      </c>
      <c r="C62" s="3" t="inlineStr">
        <is>
          <t>Penggalian 1 m3 tanah berbatu sedalam &gt; 1 s.d 2 m secara Manual</t>
        </is>
      </c>
      <c r="D62" s="3" t="inlineStr">
        <is>
          <t>m3</t>
        </is>
      </c>
      <c r="E62" s="4" t="n">
        <v>198000</v>
      </c>
    </row>
    <row r="63">
      <c r="A63" s="3" t="n">
        <v>61</v>
      </c>
      <c r="B63" s="3" t="inlineStr">
        <is>
          <t>1.2.3.1.3</t>
        </is>
      </c>
      <c r="C63" s="3" t="inlineStr">
        <is>
          <t>Penggalian 1 m3 tanah berbatu sedalam &gt; 2 s.d 3 m secara Manual</t>
        </is>
      </c>
      <c r="D63" s="3" t="inlineStr">
        <is>
          <t>m3</t>
        </is>
      </c>
      <c r="E63" s="4" t="n">
        <v>217800</v>
      </c>
    </row>
    <row r="64">
      <c r="A64" s="3" t="n">
        <v>62</v>
      </c>
      <c r="B64" s="3" t="inlineStr">
        <is>
          <t>1.2.3.1.4</t>
        </is>
      </c>
      <c r="C64" s="3" t="inlineStr">
        <is>
          <t>Penggalian 1 m3 tanah berbatu sedalam &gt;3 m, setiap tambah dalam 1 m secara Manual</t>
        </is>
      </c>
      <c r="D64" s="3" t="inlineStr">
        <is>
          <t>m3</t>
        </is>
      </c>
      <c r="E64" s="4" t="n">
        <v>18480</v>
      </c>
    </row>
    <row r="65">
      <c r="A65" s="3" t="n">
        <v>63</v>
      </c>
      <c r="B65" s="3" t="inlineStr">
        <is>
          <t>1.2.3.2.1</t>
        </is>
      </c>
      <c r="C65" s="3" t="inlineStr">
        <is>
          <t>Penggalian 1 m3 tanah berbatu sedalam &gt; 0 s.d 1 m secara semi mekanis</t>
        </is>
      </c>
      <c r="D65" s="3" t="inlineStr">
        <is>
          <t>m3</t>
        </is>
      </c>
      <c r="E65" s="4" t="n">
        <v>231176</v>
      </c>
    </row>
    <row r="66">
      <c r="A66" s="3" t="n">
        <v>64</v>
      </c>
      <c r="B66" s="3" t="inlineStr">
        <is>
          <t>1.2.3.2.2</t>
        </is>
      </c>
      <c r="C66" s="3" t="inlineStr">
        <is>
          <t>Penggalian 1 m3 tanah berbatu sedalam &gt; 1 s.d 2 m secara semi mekanis</t>
        </is>
      </c>
      <c r="D66" s="3" t="inlineStr">
        <is>
          <t>m3</t>
        </is>
      </c>
      <c r="E66" s="4" t="n">
        <v>252010</v>
      </c>
    </row>
    <row r="67">
      <c r="A67" s="3" t="n">
        <v>65</v>
      </c>
      <c r="B67" s="3" t="inlineStr">
        <is>
          <t>1.2.3.2.3</t>
        </is>
      </c>
      <c r="C67" s="3" t="inlineStr">
        <is>
          <t>Penggalian 1 m3 tanah berbatu sedalam &gt; 2 s.d 3 m secara semi mekanis</t>
        </is>
      </c>
      <c r="D67" s="3" t="inlineStr">
        <is>
          <t>m3</t>
        </is>
      </c>
      <c r="E67" s="4" t="n">
        <v>279048</v>
      </c>
    </row>
    <row r="68">
      <c r="A68" s="3" t="n">
        <v>66</v>
      </c>
      <c r="B68" s="3" t="inlineStr">
        <is>
          <t>1.2.3.2.4</t>
        </is>
      </c>
      <c r="C68" s="3" t="inlineStr">
        <is>
          <t>Penggalian 1 m3 tanah berbatu sedalam &gt; 3 , setiap tambahan dalam 1 m secara semi mekanis</t>
        </is>
      </c>
      <c r="D68" s="3" t="inlineStr">
        <is>
          <t>m3</t>
        </is>
      </c>
      <c r="E68" s="4" t="n">
        <v>31130</v>
      </c>
    </row>
    <row r="69">
      <c r="A69" s="3" t="n">
        <v>67</v>
      </c>
      <c r="B69" s="3" t="inlineStr">
        <is>
          <t>1.2.4.1.1</t>
        </is>
      </c>
      <c r="C69" s="3" t="inlineStr">
        <is>
          <t>Penggalian 1 m3 cadas atau tanah keras sedalam &gt; 0 s.d 1 m untuk volume s.d 200m3 secara manual</t>
        </is>
      </c>
      <c r="D69" s="3" t="inlineStr">
        <is>
          <t>m3</t>
        </is>
      </c>
      <c r="E69" s="4" t="n">
        <v>181500</v>
      </c>
    </row>
    <row r="70">
      <c r="A70" s="3" t="n">
        <v>68</v>
      </c>
      <c r="B70" s="3" t="inlineStr">
        <is>
          <t>1.2.4.1.2</t>
        </is>
      </c>
      <c r="C70" s="3" t="inlineStr">
        <is>
          <t>Penggalian 1 m3 cadas atau tanah keras sedalam &gt; 0 s.d 1 m untuk volume &gt; 200 m3 secara manual</t>
        </is>
      </c>
      <c r="D70" s="3" t="inlineStr">
        <is>
          <t>m3</t>
        </is>
      </c>
      <c r="E70" s="4" t="n">
        <v>140250</v>
      </c>
    </row>
    <row r="71">
      <c r="A71" s="3" t="n">
        <v>69</v>
      </c>
      <c r="B71" s="3" t="inlineStr">
        <is>
          <t>1.2.4.1.3</t>
        </is>
      </c>
      <c r="C71" s="3" t="inlineStr">
        <is>
          <t>Penggalian 1 m3 cadas atau tanah keras sedalam &gt; 1 s.d 2 m untuk volume s.d 200 m3 secara manual</t>
        </is>
      </c>
      <c r="D71" s="3" t="inlineStr">
        <is>
          <t>m3</t>
        </is>
      </c>
      <c r="E71" s="4" t="n">
        <v>178200</v>
      </c>
    </row>
    <row r="72">
      <c r="A72" s="3" t="n">
        <v>70</v>
      </c>
      <c r="B72" s="3" t="inlineStr">
        <is>
          <t>1.2.4.1.4</t>
        </is>
      </c>
      <c r="C72" s="3" t="inlineStr">
        <is>
          <t>Penggalian 1 m3 cadas atau tanah keras sedalam &gt; 1 s.d 2 m untuk volume &gt; 200 m3 secara manual</t>
        </is>
      </c>
      <c r="D72" s="3" t="inlineStr">
        <is>
          <t>m3</t>
        </is>
      </c>
      <c r="E72" s="4" t="n">
        <v>183744</v>
      </c>
    </row>
    <row r="73">
      <c r="A73" s="3" t="n">
        <v>71</v>
      </c>
      <c r="B73" s="3" t="inlineStr">
        <is>
          <t>1.2.4.1.5</t>
        </is>
      </c>
      <c r="C73" s="3" t="inlineStr">
        <is>
          <t>Penggalian 1 m3 cadas atau tanah keras sedalam &gt; 2 s.d 3 m untuk volume &gt;s.d 200 m3 secara manual</t>
        </is>
      </c>
      <c r="D73" s="3" t="inlineStr">
        <is>
          <t>m3</t>
        </is>
      </c>
      <c r="E73" s="4" t="n">
        <v>198000</v>
      </c>
    </row>
    <row r="74">
      <c r="A74" s="3" t="n">
        <v>72</v>
      </c>
      <c r="B74" s="3" t="inlineStr">
        <is>
          <t>1.2.4.1.6</t>
        </is>
      </c>
      <c r="C74" s="3" t="inlineStr">
        <is>
          <t>Penggalian 1 m3 cadas atau tanah keras sedalam &gt; 3 m tiap tambahan dalam 1 m  secara manual</t>
        </is>
      </c>
      <c r="D74" s="3" t="inlineStr">
        <is>
          <t>m3</t>
        </is>
      </c>
      <c r="E74" s="4" t="n">
        <v>13200</v>
      </c>
    </row>
    <row r="75">
      <c r="A75" s="3" t="n">
        <v>73</v>
      </c>
      <c r="B75" s="3" t="inlineStr">
        <is>
          <t>1.2.4.2.1</t>
        </is>
      </c>
      <c r="C75" s="3" t="inlineStr">
        <is>
          <t>Penggalian 1 m3 cadas atau tanah keras sedalam &gt; 0 s.d 1 m secara semi mekanis</t>
        </is>
      </c>
      <c r="D75" s="3" t="inlineStr">
        <is>
          <t>m3</t>
        </is>
      </c>
      <c r="E75" s="4" t="n">
        <v>189332</v>
      </c>
    </row>
    <row r="76">
      <c r="A76" s="3" t="n">
        <v>74</v>
      </c>
      <c r="B76" s="3" t="inlineStr">
        <is>
          <t>1.2.4.2.2</t>
        </is>
      </c>
      <c r="C76" s="3" t="inlineStr">
        <is>
          <t>Penggalian 1 m3 cadas atau tanah keras sedalam &gt; 1 s.d 2 m secara semi mekanis</t>
        </is>
      </c>
      <c r="D76" s="3" t="inlineStr">
        <is>
          <t>m3</t>
        </is>
      </c>
      <c r="E76" s="4" t="n">
        <v>206437</v>
      </c>
    </row>
    <row r="77">
      <c r="A77" s="3" t="n">
        <v>75</v>
      </c>
      <c r="B77" s="3" t="inlineStr">
        <is>
          <t>1.2.4.2.3</t>
        </is>
      </c>
      <c r="C77" s="3" t="inlineStr">
        <is>
          <t>Penggalian 1 m3 cadas atau tanah keras sedalam &gt; 2 s.d 3 m secara semi mekanis</t>
        </is>
      </c>
      <c r="D77" s="3" t="inlineStr">
        <is>
          <t>m3</t>
        </is>
      </c>
      <c r="E77" s="4" t="n">
        <v>228844</v>
      </c>
    </row>
    <row r="78">
      <c r="A78" s="3" t="n">
        <v>76</v>
      </c>
      <c r="B78" s="3" t="inlineStr">
        <is>
          <t>1.2.4.2.4</t>
        </is>
      </c>
      <c r="C78" s="3" t="inlineStr">
        <is>
          <t>Penggalian 1 m3 cadas atau tanah keras sedalam &gt; 3 m tiap tambahan dalam 1 m secara semi mekanis</t>
        </is>
      </c>
      <c r="D78" s="3" t="inlineStr">
        <is>
          <t>m3</t>
        </is>
      </c>
      <c r="E78" s="4" t="n">
        <v>23320</v>
      </c>
    </row>
    <row r="79">
      <c r="A79" s="3" t="n">
        <v>77</v>
      </c>
      <c r="B79" s="3" t="inlineStr">
        <is>
          <t>1.2.5.1.1</t>
        </is>
      </c>
      <c r="C79" s="3" t="inlineStr">
        <is>
          <t>Penggalian 1 m3 galian lumpur sedalam &gt;0 s.d 1 m untuk volume s.d 200 m3 secara manual</t>
        </is>
      </c>
      <c r="D79" s="3" t="inlineStr">
        <is>
          <t>m3</t>
        </is>
      </c>
      <c r="E79" s="4" t="n">
        <v>145200</v>
      </c>
    </row>
    <row r="80">
      <c r="A80" s="3" t="n">
        <v>78</v>
      </c>
      <c r="B80" s="3" t="inlineStr">
        <is>
          <t>1.2.5.1.2</t>
        </is>
      </c>
      <c r="C80" s="3" t="inlineStr">
        <is>
          <t>Penggalian 1 m3 galian lumpur sedalam &gt;0 s.d 1 m untuk volume &gt; 200 m3 secara manual</t>
        </is>
      </c>
      <c r="D80" s="3" t="inlineStr">
        <is>
          <t>m3</t>
        </is>
      </c>
      <c r="E80" s="4" t="n">
        <v>109560</v>
      </c>
    </row>
    <row r="81">
      <c r="A81" s="3" t="n">
        <v>79</v>
      </c>
      <c r="B81" s="3" t="inlineStr">
        <is>
          <t>1.2.5.1.3</t>
        </is>
      </c>
      <c r="C81" s="3" t="inlineStr">
        <is>
          <t>Penggalian 1 m3 galian lumpur sedalam &gt; 1 m s.d 2 m untuk volume s.d 200 m3 secara manual</t>
        </is>
      </c>
      <c r="D81" s="3" t="inlineStr">
        <is>
          <t>m3</t>
        </is>
      </c>
      <c r="E81" s="4" t="n">
        <v>174240</v>
      </c>
    </row>
    <row r="82">
      <c r="A82" s="3" t="n">
        <v>80</v>
      </c>
      <c r="B82" s="3" t="inlineStr">
        <is>
          <t>1.2.5.1.4</t>
        </is>
      </c>
      <c r="C82" s="3" t="inlineStr">
        <is>
          <t>Penggalian 1 m3 galian lumpur sedalam &gt; 1 m s.d 2 m untuk volume &gt; 200 m3 secara manual</t>
        </is>
      </c>
      <c r="D82" s="3" t="inlineStr">
        <is>
          <t>m3</t>
        </is>
      </c>
      <c r="E82" s="4" t="n">
        <v>132000</v>
      </c>
    </row>
    <row r="83">
      <c r="A83" s="3" t="n">
        <v>81</v>
      </c>
      <c r="B83" s="3" t="inlineStr">
        <is>
          <t>1.2.5.1.5</t>
        </is>
      </c>
      <c r="C83" s="3" t="inlineStr">
        <is>
          <t>Penggalian 1 m3 galian lumpur sedalam &gt;  2 m s.d 3 m  secara manual</t>
        </is>
      </c>
      <c r="D83" s="3" t="inlineStr">
        <is>
          <t>m3</t>
        </is>
      </c>
      <c r="E83" s="4" t="n">
        <v>151800</v>
      </c>
    </row>
    <row r="84">
      <c r="A84" s="3" t="n">
        <v>82</v>
      </c>
      <c r="B84" s="3" t="inlineStr">
        <is>
          <t>1.2.5.1.6</t>
        </is>
      </c>
      <c r="C84" s="3" t="inlineStr">
        <is>
          <t>Penggalian 1 m3 galian lumpur sedalam &gt;   3 m setiap tambahan dalam 1 m  secara manual</t>
        </is>
      </c>
      <c r="D84" s="3" t="inlineStr">
        <is>
          <t>m3</t>
        </is>
      </c>
      <c r="E84" s="4" t="n">
        <v>19800</v>
      </c>
    </row>
    <row r="85">
      <c r="A85" s="3" t="n">
        <v>83</v>
      </c>
      <c r="B85" s="3" t="inlineStr">
        <is>
          <t>1.2.5.2.1</t>
        </is>
      </c>
      <c r="C85" s="3" t="inlineStr">
        <is>
          <t>Penggalian 1 m3 lumpur sedalam &gt;0 s.d 1 m secara semi mekanis</t>
        </is>
      </c>
      <c r="D85" s="3" t="inlineStr">
        <is>
          <t>m3</t>
        </is>
      </c>
      <c r="E85" s="4" t="n">
        <v>38830</v>
      </c>
    </row>
    <row r="86">
      <c r="A86" s="3" t="n">
        <v>84</v>
      </c>
      <c r="B86" s="3" t="inlineStr">
        <is>
          <t>1.2.5.2.2</t>
        </is>
      </c>
      <c r="C86" s="3" t="inlineStr">
        <is>
          <t>Penggalian 1 m3 lumpur sedalam &gt; 1 m s.d 2 m secara semi mekanis</t>
        </is>
      </c>
      <c r="D86" s="3" t="inlineStr">
        <is>
          <t>m3</t>
        </is>
      </c>
      <c r="E86" s="4" t="n">
        <v>64240</v>
      </c>
    </row>
    <row r="87">
      <c r="A87" s="3" t="n">
        <v>85</v>
      </c>
      <c r="B87" s="3" t="inlineStr">
        <is>
          <t>1.2.5.2.3</t>
        </is>
      </c>
      <c r="C87" s="3" t="inlineStr">
        <is>
          <t>Penggalian 1 m3 lumpur sedalam &gt; 2 m s.d 3 m secara semi mekanis</t>
        </is>
      </c>
      <c r="D87" s="3" t="inlineStr">
        <is>
          <t>m3</t>
        </is>
      </c>
      <c r="E87" s="4" t="n">
        <v>51810</v>
      </c>
    </row>
    <row r="88">
      <c r="A88" s="3" t="n">
        <v>86</v>
      </c>
      <c r="B88" s="3" t="inlineStr">
        <is>
          <t>1.2.5.2.4</t>
        </is>
      </c>
      <c r="C88" s="3" t="inlineStr">
        <is>
          <t>Penggalian 1 m3 lumpur sedalam &gt; 3 m setiap tambah kedalaman 1 m secara semi mekanis</t>
        </is>
      </c>
      <c r="D88" s="3" t="inlineStr">
        <is>
          <t>m3</t>
        </is>
      </c>
      <c r="E88" s="4" t="n">
        <v>5500</v>
      </c>
    </row>
    <row r="89">
      <c r="A89" s="3" t="n">
        <v>87</v>
      </c>
      <c r="B89" s="3" t="inlineStr">
        <is>
          <t>1.3.1.1</t>
        </is>
      </c>
      <c r="C89" s="3" t="inlineStr">
        <is>
          <t>1 m3 urukan kembali galian tanah ( &gt;0 s.d 200 m3) tanpa pemadatan secara manual</t>
        </is>
      </c>
      <c r="D89" s="3" t="inlineStr">
        <is>
          <t>m3</t>
        </is>
      </c>
      <c r="E89" s="4" t="n">
        <v>60500</v>
      </c>
    </row>
    <row r="90">
      <c r="A90" s="3" t="n">
        <v>88</v>
      </c>
      <c r="B90" s="3" t="inlineStr">
        <is>
          <t>1.3.1.2</t>
        </is>
      </c>
      <c r="C90" s="3" t="inlineStr">
        <is>
          <t>1 m3 urukan pasir uruk untuk volume s.d 200 m3 tanpa pemadatan secara manual</t>
        </is>
      </c>
      <c r="D90" s="3" t="inlineStr">
        <is>
          <t>m3</t>
        </is>
      </c>
      <c r="E90" s="4" t="n">
        <v>372504</v>
      </c>
    </row>
    <row r="91">
      <c r="A91" s="3" t="n">
        <v>89</v>
      </c>
      <c r="B91" s="3" t="inlineStr">
        <is>
          <t>1.3.1.3</t>
        </is>
      </c>
      <c r="C91" s="3" t="inlineStr">
        <is>
          <t>1 m3 urukan pasir uruk untuk volume &gt; 200 m3 tanpa pemadatan secara manual</t>
        </is>
      </c>
      <c r="D91" s="3" t="inlineStr">
        <is>
          <t>m3</t>
        </is>
      </c>
      <c r="E91" s="4" t="n">
        <v>344784</v>
      </c>
    </row>
    <row r="92">
      <c r="A92" s="3" t="n">
        <v>90</v>
      </c>
      <c r="B92" s="3" t="inlineStr">
        <is>
          <t>1.3.1.4</t>
        </is>
      </c>
      <c r="C92" s="3" t="inlineStr">
        <is>
          <t>1 m3 urukan tanah biasa atau tanah liat berpasir tanpa pemadatan secara manual</t>
        </is>
      </c>
      <c r="D92" s="3" t="inlineStr">
        <is>
          <t>m3</t>
        </is>
      </c>
      <c r="E92" s="4" t="n">
        <v>239426</v>
      </c>
    </row>
    <row r="93">
      <c r="A93" s="3" t="n">
        <v>91</v>
      </c>
      <c r="B93" s="3" t="inlineStr">
        <is>
          <t>1.3.1.5</t>
        </is>
      </c>
      <c r="C93" s="3" t="inlineStr">
        <is>
          <t>1 m3 Urukan tanah liat (lempung) tanpa pemadatan secara manual</t>
        </is>
      </c>
      <c r="D93" s="3" t="inlineStr">
        <is>
          <t>m3</t>
        </is>
      </c>
      <c r="E93" s="4" t="n">
        <v>262900</v>
      </c>
    </row>
    <row r="94">
      <c r="A94" s="3" t="n">
        <v>92</v>
      </c>
      <c r="B94" s="3" t="inlineStr">
        <is>
          <t>1.3.1.6</t>
        </is>
      </c>
      <c r="C94" s="3" t="inlineStr">
        <is>
          <t>1m3 Urukan Batu Kerikil Tanpa Pemadatan secara manual</t>
        </is>
      </c>
      <c r="D94" s="3" t="inlineStr">
        <is>
          <t>m3</t>
        </is>
      </c>
      <c r="E94" s="4" t="n">
        <v>578842</v>
      </c>
    </row>
    <row r="95">
      <c r="A95" s="3" t="n">
        <v>93</v>
      </c>
      <c r="B95" s="3" t="inlineStr">
        <is>
          <t>1.3.1.7</t>
        </is>
      </c>
      <c r="C95" s="3" t="inlineStr">
        <is>
          <t>1 m3 Urukan tanah subur tanpa pemadatan secara manual</t>
        </is>
      </c>
      <c r="D95" s="3" t="inlineStr">
        <is>
          <t>m3</t>
        </is>
      </c>
      <c r="E95" s="4" t="n">
        <v>217800</v>
      </c>
    </row>
    <row r="96">
      <c r="A96" s="3" t="n">
        <v>94</v>
      </c>
      <c r="B96" s="3" t="inlineStr">
        <is>
          <t>1.3.2.1</t>
        </is>
      </c>
      <c r="C96" s="3" t="inlineStr">
        <is>
          <t>1 m3 pemadatan tanah per 20 cm menggunakan alat timbris secara manual</t>
        </is>
      </c>
      <c r="D96" s="3" t="inlineStr">
        <is>
          <t>m3</t>
        </is>
      </c>
      <c r="E96" s="4" t="n">
        <v>60500</v>
      </c>
    </row>
    <row r="97">
      <c r="A97" s="3" t="n">
        <v>95</v>
      </c>
      <c r="B97" s="3" t="inlineStr">
        <is>
          <t>1.3.2.2</t>
        </is>
      </c>
      <c r="C97" s="3" t="inlineStr">
        <is>
          <t>1 m3 timbunan dan pemadatan sirtu  secara manual</t>
        </is>
      </c>
      <c r="D97" s="3" t="inlineStr">
        <is>
          <t>m3</t>
        </is>
      </c>
      <c r="E97" s="4" t="n">
        <v>375936</v>
      </c>
    </row>
    <row r="98">
      <c r="A98" s="3" t="n">
        <v>96</v>
      </c>
      <c r="B98" s="3" t="inlineStr">
        <is>
          <t>1.3.3.1</t>
        </is>
      </c>
      <c r="C98" s="3" t="inlineStr">
        <is>
          <t>1 m3 Pemadatan tanah setebal 10 cm menggunakan  mesin Stemper kuda semi mekanis</t>
        </is>
      </c>
      <c r="D98" s="3" t="inlineStr">
        <is>
          <t>m3</t>
        </is>
      </c>
      <c r="E98" s="4" t="n">
        <v>24563</v>
      </c>
    </row>
    <row r="99">
      <c r="A99" s="3" t="n">
        <v>97</v>
      </c>
      <c r="B99" s="3" t="inlineStr">
        <is>
          <t>1.3.3.2</t>
        </is>
      </c>
      <c r="C99" s="3" t="inlineStr">
        <is>
          <t>1 m3 Pemadatan pasir setebal 15 cm menggunakan mesin Stamper kodok semi mekanis</t>
        </is>
      </c>
      <c r="D99" s="3" t="inlineStr">
        <is>
          <t>m3</t>
        </is>
      </c>
      <c r="E99" s="4" t="n">
        <v>22099</v>
      </c>
    </row>
    <row r="100">
      <c r="A100" s="3" t="n">
        <v>98</v>
      </c>
      <c r="B100" s="3" t="inlineStr">
        <is>
          <t>1.3.3.3</t>
        </is>
      </c>
      <c r="C100" s="3" t="inlineStr">
        <is>
          <t>1 m3 Pemadatan pasir setebal 20 cm menggunakan mesin Stamper VRR-550 kg semi mekanis</t>
        </is>
      </c>
      <c r="D100" s="3" t="inlineStr">
        <is>
          <t>m3</t>
        </is>
      </c>
      <c r="E100" s="4" t="n">
        <v>6240</v>
      </c>
    </row>
    <row r="101">
      <c r="A101" s="3" t="n">
        <v>99</v>
      </c>
      <c r="B101" s="3" t="inlineStr">
        <is>
          <t>1.3.3.4</t>
        </is>
      </c>
      <c r="C101" s="3" t="inlineStr">
        <is>
          <t>1 m3 Pemadatan pasir setebal 20 cm menggunakan mesin Stamper VRR-1,5 Ton semi mekanis</t>
        </is>
      </c>
      <c r="D101" s="3" t="inlineStr">
        <is>
          <t>m3</t>
        </is>
      </c>
      <c r="E101" s="4" t="n">
        <v>3426</v>
      </c>
    </row>
    <row r="102">
      <c r="A102" s="3" t="n">
        <v>100</v>
      </c>
      <c r="B102" s="3" t="inlineStr">
        <is>
          <t>1.3.3.5</t>
        </is>
      </c>
      <c r="C102" s="3" t="inlineStr">
        <is>
          <t>1 m3 Tipbunan dan Pemadatan batu kerikil meggunakan mein stamper kodok semi mekanis</t>
        </is>
      </c>
      <c r="D102" s="3" t="inlineStr">
        <is>
          <t>m3</t>
        </is>
      </c>
      <c r="E102" s="4" t="n">
        <v>496307</v>
      </c>
    </row>
    <row r="103">
      <c r="A103" s="3" t="n">
        <v>101</v>
      </c>
      <c r="B103" s="3" t="inlineStr">
        <is>
          <t>1.3.3.6</t>
        </is>
      </c>
      <c r="C103" s="3" t="inlineStr">
        <is>
          <t>1 m3 Timbunan dan Pemadatan Makadam semi mekanis</t>
        </is>
      </c>
      <c r="D103" s="3" t="inlineStr">
        <is>
          <t>m3</t>
        </is>
      </c>
      <c r="E103" s="4" t="n">
        <v>507786</v>
      </c>
    </row>
    <row r="104">
      <c r="A104" s="3" t="n">
        <v>102</v>
      </c>
      <c r="B104" s="3" t="inlineStr">
        <is>
          <t>1.4.1.1</t>
        </is>
      </c>
      <c r="C104" s="3" t="inlineStr">
        <is>
          <t>Mengangkut 1 m3 tanah lepas, jarak angkut s.d 10 m</t>
        </is>
      </c>
      <c r="D104" s="3" t="inlineStr">
        <is>
          <t>m3</t>
        </is>
      </c>
      <c r="E104" s="4" t="n">
        <v>25454</v>
      </c>
    </row>
    <row r="105">
      <c r="A105" s="3" t="n">
        <v>103</v>
      </c>
      <c r="B105" s="3" t="inlineStr">
        <is>
          <t>1.4.1.2</t>
        </is>
      </c>
      <c r="C105" s="3" t="inlineStr">
        <is>
          <t>Mengangkut 1 m3 tanah lepas, jarak angkut  &gt; 10 m s.d 20 m</t>
        </is>
      </c>
      <c r="D105" s="3" t="inlineStr">
        <is>
          <t>m3</t>
        </is>
      </c>
      <c r="E105" s="4" t="n">
        <v>27258</v>
      </c>
    </row>
    <row r="106">
      <c r="A106" s="3" t="n">
        <v>104</v>
      </c>
      <c r="B106" s="3" t="inlineStr">
        <is>
          <t>1.4.1.3</t>
        </is>
      </c>
      <c r="C106" s="3" t="inlineStr">
        <is>
          <t>Mengangkut 1 m3 tanah lepas, jarak angkut &gt; 20 m s.d 30 m</t>
        </is>
      </c>
      <c r="D106" s="3" t="inlineStr">
        <is>
          <t>m3</t>
        </is>
      </c>
      <c r="E106" s="4" t="n">
        <v>29953</v>
      </c>
    </row>
    <row r="107">
      <c r="A107" s="3" t="n">
        <v>105</v>
      </c>
      <c r="B107" s="3" t="inlineStr">
        <is>
          <t>1.4.1.4</t>
        </is>
      </c>
      <c r="C107" s="3" t="inlineStr">
        <is>
          <t>Mengangkut 1 m3 tanah lepas, jarak angkut &gt; 30 m s.d 40 m</t>
        </is>
      </c>
      <c r="D107" s="3" t="inlineStr">
        <is>
          <t>m3</t>
        </is>
      </c>
      <c r="E107" s="4" t="n">
        <v>30305</v>
      </c>
    </row>
    <row r="108">
      <c r="A108" s="3" t="n">
        <v>106</v>
      </c>
      <c r="B108" s="3" t="inlineStr">
        <is>
          <t>1.4.1.5</t>
        </is>
      </c>
      <c r="C108" s="3" t="inlineStr">
        <is>
          <t>Mengangkut 1 m3 tanah lepas, jarak angkut &gt; 40 m s.d 50 m</t>
        </is>
      </c>
      <c r="D108" s="3" t="inlineStr">
        <is>
          <t>m3</t>
        </is>
      </c>
      <c r="E108" s="4" t="n">
        <v>32934</v>
      </c>
    </row>
    <row r="109">
      <c r="A109" s="3" t="n">
        <v>107</v>
      </c>
      <c r="B109" s="3" t="inlineStr">
        <is>
          <t>1.4.1.6</t>
        </is>
      </c>
      <c r="C109" s="3" t="inlineStr">
        <is>
          <t>Mengangkut 1 m3 tanah lepas, jarak angkut &gt; 50 m s.d 100 m</t>
        </is>
      </c>
      <c r="D109" s="3" t="inlineStr">
        <is>
          <t>m3</t>
        </is>
      </c>
      <c r="E109" s="4" t="n">
        <v>41624</v>
      </c>
    </row>
    <row r="110">
      <c r="A110" s="3" t="n">
        <v>108</v>
      </c>
      <c r="B110" s="3" t="inlineStr">
        <is>
          <t>1.4.1.7</t>
        </is>
      </c>
      <c r="C110" s="3" t="inlineStr">
        <is>
          <t>Mengangkut 1 m3 tanah lepas, jarak angkut &gt; 100 m s.d 200 m</t>
        </is>
      </c>
      <c r="D110" s="3" t="inlineStr">
        <is>
          <t>m3</t>
        </is>
      </c>
      <c r="E110" s="4" t="n">
        <v>58597</v>
      </c>
    </row>
    <row r="111">
      <c r="A111" s="3" t="n">
        <v>109</v>
      </c>
      <c r="B111" s="3" t="inlineStr">
        <is>
          <t>1.4.1.8</t>
        </is>
      </c>
      <c r="C111" s="3" t="inlineStr">
        <is>
          <t>Mengangkut 1 m3 tanah lepas, jarak angkut &gt; 200 m s.d 300 m</t>
        </is>
      </c>
      <c r="D111" s="3" t="inlineStr">
        <is>
          <t>m3</t>
        </is>
      </c>
      <c r="E111" s="4" t="n">
        <v>78793</v>
      </c>
    </row>
    <row r="112">
      <c r="A112" s="3" t="n">
        <v>110</v>
      </c>
      <c r="B112" s="3" t="inlineStr">
        <is>
          <t>1.4.1.9</t>
        </is>
      </c>
      <c r="C112" s="3" t="inlineStr">
        <is>
          <t>Mengangkut 1 m3 tanah lepas, jarak angkut &gt; 300 m s.d 400 m</t>
        </is>
      </c>
      <c r="D112" s="3" t="inlineStr">
        <is>
          <t>m3</t>
        </is>
      </c>
      <c r="E112" s="4" t="n">
        <v>102531</v>
      </c>
    </row>
    <row r="113">
      <c r="A113" s="3" t="n">
        <v>111</v>
      </c>
      <c r="B113" s="3" t="inlineStr">
        <is>
          <t>1.4.1.10</t>
        </is>
      </c>
      <c r="C113" s="3" t="inlineStr">
        <is>
          <t>Mengangkut 1 m3 tanah lepas, jarak angkut &gt; 400 m s.d 500 m</t>
        </is>
      </c>
      <c r="D113" s="3" t="inlineStr">
        <is>
          <t>m3</t>
        </is>
      </c>
      <c r="E113" s="4" t="n">
        <v>132330</v>
      </c>
    </row>
    <row r="114">
      <c r="A114" s="3" t="n">
        <v>112</v>
      </c>
      <c r="B114" s="3" t="inlineStr">
        <is>
          <t>1.4.1.11</t>
        </is>
      </c>
      <c r="C114" s="3" t="inlineStr">
        <is>
          <t>Mengangkut 1 m3 tanah lepas, jarak angkut &gt; 500 m s.d 600 m</t>
        </is>
      </c>
      <c r="D114" s="3" t="inlineStr">
        <is>
          <t>m3</t>
        </is>
      </c>
      <c r="E114" s="4" t="n">
        <v>166683</v>
      </c>
    </row>
    <row r="115">
      <c r="A115" s="3" t="n">
        <v>113</v>
      </c>
      <c r="B115" s="3" t="inlineStr">
        <is>
          <t>1.4.1.12</t>
        </is>
      </c>
      <c r="C115" s="3" t="inlineStr">
        <is>
          <t>Mengangkut 1 m3 tanah lepas, jarak angkut &gt; 600 m untuk setiap penambahan jarak angkut 100m</t>
        </is>
      </c>
      <c r="D115" s="3" t="inlineStr">
        <is>
          <t>m3</t>
        </is>
      </c>
      <c r="E115" s="4" t="n">
        <v>33264</v>
      </c>
    </row>
    <row r="116">
      <c r="A116" s="3" t="n">
        <v>114</v>
      </c>
      <c r="B116" s="3" t="inlineStr">
        <is>
          <t>1.4.2.1</t>
        </is>
      </c>
      <c r="C116" s="3" t="inlineStr">
        <is>
          <t>1 m3 Pembuangan tanah lumpur sejauh 1 km</t>
        </is>
      </c>
      <c r="D116" s="3" t="inlineStr">
        <is>
          <t>m3</t>
        </is>
      </c>
      <c r="E116" s="4" t="n">
        <v>143941</v>
      </c>
    </row>
    <row r="117">
      <c r="A117" s="3" t="n">
        <v>115</v>
      </c>
      <c r="B117" s="3" t="inlineStr">
        <is>
          <t>1.4.2.2</t>
        </is>
      </c>
      <c r="C117" s="3" t="inlineStr">
        <is>
          <t>1 m3 Pembuangan tanah lumpur sejauh 2 km</t>
        </is>
      </c>
      <c r="D117" s="3" t="inlineStr">
        <is>
          <t>m3</t>
        </is>
      </c>
      <c r="E117" s="4" t="n">
        <v>158757</v>
      </c>
    </row>
    <row r="118">
      <c r="A118" s="3" t="n">
        <v>116</v>
      </c>
      <c r="B118" s="3" t="inlineStr">
        <is>
          <t>1.4.2.3</t>
        </is>
      </c>
      <c r="C118" s="3" t="inlineStr">
        <is>
          <t>1 m3 Pembuangan tanah lumpur sejauh 3 km</t>
        </is>
      </c>
      <c r="D118" s="3" t="inlineStr">
        <is>
          <t>m3</t>
        </is>
      </c>
      <c r="E118" s="4" t="n">
        <v>173580</v>
      </c>
    </row>
    <row r="119">
      <c r="A119" s="3" t="n">
        <v>117</v>
      </c>
      <c r="B119" s="3" t="inlineStr">
        <is>
          <t>1.4.2.4</t>
        </is>
      </c>
      <c r="C119" s="3" t="inlineStr">
        <is>
          <t>1 m3 Pembuangan tanah lumpur sejauh 4 km</t>
        </is>
      </c>
      <c r="D119" s="3" t="inlineStr">
        <is>
          <t>m3</t>
        </is>
      </c>
      <c r="E119" s="4" t="n">
        <v>188396</v>
      </c>
    </row>
    <row r="120">
      <c r="A120" s="3" t="n">
        <v>118</v>
      </c>
      <c r="B120" s="3" t="inlineStr">
        <is>
          <t>1.4.2.5</t>
        </is>
      </c>
      <c r="C120" s="3" t="inlineStr">
        <is>
          <t>1 m3 Pembuangan tanah lumpur sejauh 5 km</t>
        </is>
      </c>
      <c r="D120" s="3" t="inlineStr">
        <is>
          <t>m3</t>
        </is>
      </c>
      <c r="E120" s="4" t="n">
        <v>160278</v>
      </c>
    </row>
    <row r="121">
      <c r="A121" s="3" t="n">
        <v>119</v>
      </c>
      <c r="B121" s="3" t="inlineStr">
        <is>
          <t>1.5.1</t>
        </is>
      </c>
      <c r="C121" s="3" t="inlineStr">
        <is>
          <t>1 m2 Pasangan Geotekstil, Tipis ( &gt; 100 s.d &lt;400 gr/m2), Secara Manual</t>
        </is>
      </c>
      <c r="D121" s="3" t="inlineStr">
        <is>
          <t>m2</t>
        </is>
      </c>
      <c r="E121" s="4" t="n">
        <v>23196</v>
      </c>
    </row>
    <row r="122">
      <c r="A122" s="3" t="n">
        <v>120</v>
      </c>
      <c r="B122" s="3" t="inlineStr">
        <is>
          <t>1.5.2</t>
        </is>
      </c>
      <c r="C122" s="3" t="inlineStr">
        <is>
          <t>1 m2 Pasangan Geotekstil, Tipis ( &gt; 100 s.d &lt;400 gr/m2), Secara Mekanis</t>
        </is>
      </c>
      <c r="D122" s="3" t="inlineStr">
        <is>
          <t>m2</t>
        </is>
      </c>
      <c r="E122" s="4" t="n">
        <v>21990</v>
      </c>
    </row>
    <row r="123">
      <c r="A123" s="3" t="n">
        <v>121</v>
      </c>
      <c r="B123" s="3" t="inlineStr">
        <is>
          <t>1.5.3</t>
        </is>
      </c>
      <c r="C123" s="3" t="inlineStr">
        <is>
          <t>1 m2 Pasangan Geotekstil, Tebal Sedang ( &gt; 400 s.d &lt;800 gr/m2), Secara Manual</t>
        </is>
      </c>
      <c r="D123" s="3" t="inlineStr">
        <is>
          <t>m2</t>
        </is>
      </c>
      <c r="E123" s="4" t="n">
        <v>30430</v>
      </c>
    </row>
    <row r="124">
      <c r="A124" s="3" t="n">
        <v>122</v>
      </c>
      <c r="B124" s="3" t="inlineStr">
        <is>
          <t>1.5.4</t>
        </is>
      </c>
      <c r="C124" s="3" t="inlineStr">
        <is>
          <t>1 m2 Pasangan Geotekstil, Tebal Sedang ( &gt; 400 s.d &lt;800 gr/m2), Secara Semi Mekanis( untuk bangunan gedung)</t>
        </is>
      </c>
      <c r="D124" s="3" t="inlineStr">
        <is>
          <t>m2</t>
        </is>
      </c>
      <c r="E124" s="4" t="n">
        <v>28688</v>
      </c>
    </row>
    <row r="125">
      <c r="A125" s="3" t="n">
        <v>123</v>
      </c>
      <c r="B125" s="3" t="inlineStr">
        <is>
          <t>1.5.5</t>
        </is>
      </c>
      <c r="C125" s="3" t="inlineStr">
        <is>
          <t>1 m2 Pasangan Geotekstil, Tebal (  &gt;800 gr/m2), Secara Manual ( untuk bangunan gedung)</t>
        </is>
      </c>
      <c r="D125" s="3" t="inlineStr">
        <is>
          <t>m2</t>
        </is>
      </c>
      <c r="E125" s="4" t="n">
        <v>49995</v>
      </c>
    </row>
    <row r="126">
      <c r="A126" s="3" t="n">
        <v>124</v>
      </c>
      <c r="B126" s="3" t="inlineStr">
        <is>
          <t>1.5.6</t>
        </is>
      </c>
      <c r="C126" s="3" t="inlineStr">
        <is>
          <t>1 m2 Pasangan Geotekstil, Tebal (  &gt;800 gr/m2), Secara Semi Mekanis ( untuk bangunan gedung)</t>
        </is>
      </c>
      <c r="D126" s="3" t="inlineStr">
        <is>
          <t>m2</t>
        </is>
      </c>
      <c r="E126" s="4" t="n">
        <v>47014</v>
      </c>
    </row>
    <row r="127">
      <c r="A127" s="3" t="n">
        <v>125</v>
      </c>
      <c r="B127" s="3" t="inlineStr">
        <is>
          <t>1.5.7</t>
        </is>
      </c>
      <c r="C127" s="3" t="inlineStr">
        <is>
          <t>1 m2 Pasangan Geomembran, t=1,5 mm, secara semi mekanis</t>
        </is>
      </c>
      <c r="D127" s="3" t="inlineStr">
        <is>
          <t>m2</t>
        </is>
      </c>
      <c r="E127" s="4" t="n">
        <v>24669</v>
      </c>
    </row>
    <row r="128">
      <c r="A128" s="3" t="n">
        <v>126</v>
      </c>
      <c r="B128" s="3" t="inlineStr">
        <is>
          <t>1.5.8</t>
        </is>
      </c>
      <c r="C128" s="3" t="inlineStr">
        <is>
          <t>1 m2 Pasangan Geosynthetic Clay Liner (GCL), secara semi mekanis</t>
        </is>
      </c>
      <c r="D128" s="3" t="inlineStr">
        <is>
          <t>m2</t>
        </is>
      </c>
      <c r="E128" s="4" t="n">
        <v>466166</v>
      </c>
    </row>
    <row r="129">
      <c r="A129" s="3" t="n">
        <v>127</v>
      </c>
      <c r="B129" s="3" t="inlineStr">
        <is>
          <t>1.6.1</t>
        </is>
      </c>
      <c r="C129" s="3" t="inlineStr">
        <is>
          <t>Bongkaran 1 m3 pasangan batu (manual) untuk bangunan gedung</t>
        </is>
      </c>
      <c r="D129" s="3" t="inlineStr">
        <is>
          <t>m3</t>
        </is>
      </c>
      <c r="E129" s="4" t="n">
        <v>146173</v>
      </c>
    </row>
    <row r="130">
      <c r="A130" s="3" t="n">
        <v>128</v>
      </c>
      <c r="B130" s="3" t="inlineStr">
        <is>
          <t>1.6.2</t>
        </is>
      </c>
      <c r="C130" s="3" t="inlineStr">
        <is>
          <t>Bongkaran 1 m3 pasangan batu dengan jack hammer untuk bangunan gedung</t>
        </is>
      </c>
      <c r="D130" s="3" t="inlineStr">
        <is>
          <t>m3</t>
        </is>
      </c>
      <c r="E130" s="4" t="n">
        <v>150700</v>
      </c>
    </row>
    <row r="131">
      <c r="A131" s="3" t="n">
        <v>129</v>
      </c>
      <c r="B131" s="3" t="inlineStr">
        <is>
          <t>1.6.3</t>
        </is>
      </c>
      <c r="C131" s="3" t="inlineStr">
        <is>
          <t>Bongkaran 1 m3 beton mutu rendah f’c &lt; 20 MPa secara manual</t>
        </is>
      </c>
      <c r="D131" s="3" t="inlineStr">
        <is>
          <t>m3</t>
        </is>
      </c>
      <c r="E131" s="4" t="n">
        <v>211090</v>
      </c>
    </row>
    <row r="132">
      <c r="A132" s="3" t="n">
        <v>130</v>
      </c>
      <c r="B132" s="3" t="inlineStr">
        <is>
          <t>1.6.4</t>
        </is>
      </c>
      <c r="C132" s="3" t="inlineStr">
        <is>
          <t>Bongkaran 1 m3 beton mutu rendah f’c ≥ 20 MPa secara manual</t>
        </is>
      </c>
      <c r="D132" s="3" t="inlineStr">
        <is>
          <t>m3</t>
        </is>
      </c>
      <c r="E132" s="4" t="n">
        <v>504680</v>
      </c>
    </row>
    <row r="133">
      <c r="A133" s="3" t="n">
        <v>131</v>
      </c>
      <c r="B133" s="3" t="inlineStr">
        <is>
          <t>1.6.5</t>
        </is>
      </c>
      <c r="C133" s="3" t="inlineStr">
        <is>
          <t>Bongkaran 1 m3 beton mutu rendah f’c &lt; 20 MPa dengan jack hammer</t>
        </is>
      </c>
      <c r="D133" s="3" t="inlineStr">
        <is>
          <t>m3</t>
        </is>
      </c>
      <c r="E133" s="4" t="n">
        <v>152900</v>
      </c>
    </row>
    <row r="134">
      <c r="A134" s="3" t="n">
        <v>132</v>
      </c>
      <c r="B134" s="3" t="inlineStr">
        <is>
          <t>1.6.6</t>
        </is>
      </c>
      <c r="C134" s="3" t="inlineStr">
        <is>
          <t>Bongkaran 1 m3 beton mutu sedang 20 MPa ≤ f’c ≤ 40 MPa dengan jack hammer</t>
        </is>
      </c>
      <c r="D134" s="3" t="inlineStr">
        <is>
          <t>m3</t>
        </is>
      </c>
      <c r="E134" s="4" t="n">
        <v>174900</v>
      </c>
    </row>
    <row r="135">
      <c r="A135" s="3" t="n">
        <v>133</v>
      </c>
      <c r="B135" s="3" t="inlineStr">
        <is>
          <t>1.6.7</t>
        </is>
      </c>
      <c r="C135" s="3" t="inlineStr">
        <is>
          <t>Bongkaran 1 m3 pasangan bata merah secara manual</t>
        </is>
      </c>
      <c r="D135" s="3" t="inlineStr">
        <is>
          <t>m3</t>
        </is>
      </c>
      <c r="E135" s="4" t="n">
        <v>39935</v>
      </c>
    </row>
    <row r="136">
      <c r="A136" s="3" t="n">
        <v>134</v>
      </c>
      <c r="B136" s="3" t="inlineStr">
        <is>
          <t>1.6.8</t>
        </is>
      </c>
      <c r="C136" s="3" t="inlineStr">
        <is>
          <t>Bongkaran 1 m3 pasangan bata merah dengan jack hammer</t>
        </is>
      </c>
      <c r="D136" s="3" t="inlineStr">
        <is>
          <t>m3</t>
        </is>
      </c>
      <c r="E136" s="4" t="n">
        <v>25575</v>
      </c>
    </row>
    <row r="137">
      <c r="A137" s="3" t="n">
        <v>135</v>
      </c>
      <c r="B137" s="3" t="inlineStr">
        <is>
          <t>1.6.9</t>
        </is>
      </c>
      <c r="C137" s="3" t="inlineStr">
        <is>
          <t>Bongkaran 1 m3 rangka atap / reng/ kaso struktur kayu dan ditempatkan di pemyimpanan sementara (bongkaran tidak dipakai kembali)</t>
        </is>
      </c>
      <c r="D137" s="3" t="inlineStr">
        <is>
          <t>m3</t>
        </is>
      </c>
      <c r="E137" s="4" t="n">
        <v>13904</v>
      </c>
    </row>
    <row r="138">
      <c r="A138" s="3" t="n">
        <v>136</v>
      </c>
      <c r="B138" s="3" t="inlineStr">
        <is>
          <t>1.6.10</t>
        </is>
      </c>
      <c r="C138" s="3" t="inlineStr">
        <is>
          <t>Bongkaran 1 m3 kuda-kuda / gording/ balok kayu dan ditempatkan di pemyimpanan sementara (bogkaran dipakai kembali)</t>
        </is>
      </c>
      <c r="D138" s="3" t="inlineStr">
        <is>
          <t>m3</t>
        </is>
      </c>
      <c r="E138" s="4" t="n">
        <v>1858158</v>
      </c>
    </row>
    <row r="139">
      <c r="A139" s="3" t="n">
        <v>137</v>
      </c>
      <c r="B139" s="3" t="inlineStr">
        <is>
          <t>1.6.11</t>
        </is>
      </c>
      <c r="C139" s="3" t="inlineStr">
        <is>
          <t>Bongkaran 1 m3 kuda-kuda / gording/ balok kayu dan ditempatkan di pemyimpanan sementara (bogkaran tidak dipakai kembali)</t>
        </is>
      </c>
      <c r="D139" s="3" t="inlineStr">
        <is>
          <t>m3</t>
        </is>
      </c>
      <c r="E139" s="4" t="n">
        <v>1690058</v>
      </c>
    </row>
    <row r="140">
      <c r="A140" s="3" t="n">
        <v>138</v>
      </c>
      <c r="B140" s="3" t="inlineStr">
        <is>
          <t>1.6.12</t>
        </is>
      </c>
      <c r="C140" s="3" t="inlineStr">
        <is>
          <t>Bongkaran 1 m2 plafon termasuk rangka kayu/hollow dan ditempatkan di peyimpanan sementara (bongkaran tidak dipakai kembali)</t>
        </is>
      </c>
      <c r="D140" s="3" t="inlineStr">
        <is>
          <t>m3</t>
        </is>
      </c>
      <c r="E140" s="4" t="n">
        <v>17222</v>
      </c>
    </row>
    <row r="141">
      <c r="A141" s="3" t="n">
        <v>139</v>
      </c>
      <c r="B141" s="3" t="inlineStr">
        <is>
          <t>1.6.13</t>
        </is>
      </c>
      <c r="C141" s="3" t="inlineStr">
        <is>
          <t>Bongkaran 1 m2 plafon termasuk rangka kayu/hollow dan ditempatkan di peyimpanan sementara (bongkaran  dipakai kembali)</t>
        </is>
      </c>
      <c r="D141" s="3" t="inlineStr">
        <is>
          <t>m3</t>
        </is>
      </c>
      <c r="E141" s="4" t="n">
        <v>34449</v>
      </c>
    </row>
    <row r="142">
      <c r="A142" s="3" t="n">
        <v>140</v>
      </c>
      <c r="B142" s="3" t="inlineStr">
        <is>
          <t>1.6.14</t>
        </is>
      </c>
      <c r="C142" s="3" t="inlineStr">
        <is>
          <t>Pembongkaran 1 m2 Lantai Parkeet</t>
        </is>
      </c>
      <c r="D142" s="3" t="inlineStr">
        <is>
          <t>m2</t>
        </is>
      </c>
      <c r="E142" s="4" t="n">
        <v>11836</v>
      </c>
    </row>
    <row r="143">
      <c r="A143" s="3" t="n">
        <v>141</v>
      </c>
      <c r="B143" s="3" t="inlineStr">
        <is>
          <t>1.6.15</t>
        </is>
      </c>
      <c r="C143" s="3" t="inlineStr">
        <is>
          <t>Pembongkaran 1 m2 Lantai Vinyl</t>
        </is>
      </c>
      <c r="D143" s="3" t="inlineStr">
        <is>
          <t>m2</t>
        </is>
      </c>
      <c r="E143" s="4" t="n">
        <v>9851</v>
      </c>
    </row>
    <row r="144">
      <c r="A144" s="3" t="n">
        <v>142</v>
      </c>
      <c r="B144" s="3" t="inlineStr">
        <is>
          <t>1.6.16</t>
        </is>
      </c>
      <c r="C144" s="3" t="inlineStr">
        <is>
          <t>Pembongkaran 1 Buah Kloset Jongkok tanpa Flushing</t>
        </is>
      </c>
      <c r="D144" s="3" t="inlineStr">
        <is>
          <t>buah</t>
        </is>
      </c>
      <c r="E144" s="4" t="n">
        <v>50767</v>
      </c>
    </row>
    <row r="145">
      <c r="A145" s="3" t="n">
        <v>143</v>
      </c>
      <c r="B145" s="3" t="inlineStr">
        <is>
          <t>1.6.17</t>
        </is>
      </c>
      <c r="C145" s="3" t="inlineStr">
        <is>
          <t>Pembongkaran 1 Buah Kloset Jongkok dengan Flushing</t>
        </is>
      </c>
      <c r="D145" s="3" t="inlineStr">
        <is>
          <t>buah</t>
        </is>
      </c>
      <c r="E145" s="4" t="n">
        <v>67698</v>
      </c>
    </row>
    <row r="146">
      <c r="A146" s="3" t="n">
        <v>144</v>
      </c>
      <c r="B146" s="3" t="inlineStr">
        <is>
          <t>1.6.18</t>
        </is>
      </c>
      <c r="C146" s="3" t="inlineStr">
        <is>
          <t>Pembongkaran 1 Buah Kloset Duduk</t>
        </is>
      </c>
      <c r="D146" s="3" t="inlineStr">
        <is>
          <t>buah</t>
        </is>
      </c>
      <c r="E146" s="4" t="n">
        <v>50767</v>
      </c>
    </row>
    <row r="147">
      <c r="A147" s="3" t="n">
        <v>145</v>
      </c>
      <c r="B147" s="3" t="inlineStr">
        <is>
          <t>1.6.19</t>
        </is>
      </c>
      <c r="C147" s="3" t="inlineStr">
        <is>
          <t>Pembongkaran 1 Buah Wastafel</t>
        </is>
      </c>
      <c r="D147" s="3" t="inlineStr">
        <is>
          <t>buah</t>
        </is>
      </c>
      <c r="E147" s="4" t="n">
        <v>40601</v>
      </c>
    </row>
    <row r="148">
      <c r="A148" s="3" t="n">
        <v>146</v>
      </c>
      <c r="B148" s="3" t="inlineStr">
        <is>
          <t>1.6.20</t>
        </is>
      </c>
      <c r="C148" s="3" t="inlineStr">
        <is>
          <t>Pembongkaran 1 Buah Urinoir</t>
        </is>
      </c>
      <c r="D148" s="3" t="inlineStr">
        <is>
          <t>buah</t>
        </is>
      </c>
      <c r="E148" s="4" t="n">
        <v>40601</v>
      </c>
    </row>
    <row r="149">
      <c r="A149" s="3" t="n">
        <v>147</v>
      </c>
      <c r="B149" s="3" t="inlineStr">
        <is>
          <t>1.6.21</t>
        </is>
      </c>
      <c r="C149" s="3" t="inlineStr">
        <is>
          <t>Pembongkaran 1 Buah Floor Drain</t>
        </is>
      </c>
      <c r="D149" s="3" t="inlineStr">
        <is>
          <t>buah</t>
        </is>
      </c>
      <c r="E149" s="4" t="n">
        <v>11660</v>
      </c>
    </row>
    <row r="150">
      <c r="A150" s="3" t="n">
        <v>148</v>
      </c>
      <c r="B150" s="3" t="inlineStr">
        <is>
          <t>1.6.22</t>
        </is>
      </c>
      <c r="C150" s="3" t="inlineStr">
        <is>
          <t>Pembongkaran 1 m2 Partisi Cubical Kamar Mandi</t>
        </is>
      </c>
      <c r="D150" s="3" t="inlineStr">
        <is>
          <t>m2</t>
        </is>
      </c>
      <c r="E150" s="4" t="n">
        <v>10744</v>
      </c>
    </row>
    <row r="151">
      <c r="A151" s="3" t="n">
        <v>149</v>
      </c>
      <c r="B151" s="3" t="inlineStr">
        <is>
          <t>1.6.23</t>
        </is>
      </c>
      <c r="C151" s="3" t="inlineStr">
        <is>
          <t>Pembongkaran 1 m2 Partisi Kayu atau Backdrop termasuk Rangka Kayu</t>
        </is>
      </c>
      <c r="D151" s="3" t="inlineStr">
        <is>
          <t>m2</t>
        </is>
      </c>
      <c r="E151" s="4" t="n">
        <v>1857</v>
      </c>
    </row>
    <row r="152">
      <c r="A152" s="3" t="n">
        <v>150</v>
      </c>
      <c r="B152" s="3" t="inlineStr">
        <is>
          <t>1.6.24</t>
        </is>
      </c>
      <c r="C152" s="3" t="inlineStr">
        <is>
          <t>Pembongkaran 1 m2 Dinding Partisi (Double) termasuk Insulasi dan Rangka Besi Hollow</t>
        </is>
      </c>
      <c r="D152" s="3" t="inlineStr">
        <is>
          <t>m2</t>
        </is>
      </c>
      <c r="E152" s="4" t="n">
        <v>5082</v>
      </c>
    </row>
    <row r="153">
      <c r="A153" s="3" t="n">
        <v>151</v>
      </c>
      <c r="B153" s="3" t="inlineStr">
        <is>
          <t>1.6.25</t>
        </is>
      </c>
      <c r="C153" s="3" t="inlineStr">
        <is>
          <t>Pembongkaran 1 Buah Daun Pintu Single termasuk Kusen</t>
        </is>
      </c>
      <c r="D153" s="3" t="inlineStr">
        <is>
          <t>buah</t>
        </is>
      </c>
      <c r="E153" s="4" t="n">
        <v>48342</v>
      </c>
    </row>
    <row r="154">
      <c r="A154" s="3" t="n">
        <v>152</v>
      </c>
      <c r="B154" s="3" t="inlineStr">
        <is>
          <t>1.6.26</t>
        </is>
      </c>
      <c r="C154" s="3" t="inlineStr">
        <is>
          <t>Pembongkaran 1 Buah Daun Pintu Double termasuk Kusen</t>
        </is>
      </c>
      <c r="D154" s="3" t="inlineStr">
        <is>
          <t>buah</t>
        </is>
      </c>
      <c r="E154" s="4" t="n">
        <v>67698</v>
      </c>
    </row>
    <row r="155">
      <c r="A155" s="3" t="n">
        <v>153</v>
      </c>
      <c r="B155" s="3" t="inlineStr">
        <is>
          <t>1.6.27</t>
        </is>
      </c>
      <c r="C155" s="3" t="inlineStr">
        <is>
          <t>Pembongkaran 1 Buah Daun Pintu Single</t>
        </is>
      </c>
      <c r="D155" s="3" t="inlineStr">
        <is>
          <t>buah</t>
        </is>
      </c>
      <c r="E155" s="4" t="n">
        <v>19340</v>
      </c>
    </row>
    <row r="156">
      <c r="A156" s="3" t="n">
        <v>154</v>
      </c>
      <c r="B156" s="3" t="inlineStr">
        <is>
          <t>1.6.28</t>
        </is>
      </c>
      <c r="C156" s="3" t="inlineStr">
        <is>
          <t>Pembongkaran 1 Buah Daun Pintu Double</t>
        </is>
      </c>
      <c r="D156" s="3" t="inlineStr">
        <is>
          <t>buah</t>
        </is>
      </c>
      <c r="E156" s="4" t="n">
        <v>24175</v>
      </c>
    </row>
    <row r="157">
      <c r="A157" s="3" t="n">
        <v>155</v>
      </c>
      <c r="B157" s="3" t="inlineStr">
        <is>
          <t>1.6.29</t>
        </is>
      </c>
      <c r="C157" s="3" t="inlineStr">
        <is>
          <t>Pembongkaran 1 Buah Daun Jendela Single termasuk Kusen Kayu</t>
        </is>
      </c>
      <c r="D157" s="3" t="inlineStr">
        <is>
          <t>buah</t>
        </is>
      </c>
      <c r="E157" s="4" t="n">
        <v>36262</v>
      </c>
    </row>
    <row r="158">
      <c r="A158" s="3" t="n">
        <v>156</v>
      </c>
      <c r="B158" s="3" t="inlineStr">
        <is>
          <t>1.6.30</t>
        </is>
      </c>
      <c r="C158" s="3" t="inlineStr">
        <is>
          <t>Pembongkaran 1 Buah Daun Jendela Double termasuk Kusen Kayu</t>
        </is>
      </c>
      <c r="D158" s="3" t="inlineStr">
        <is>
          <t>buah</t>
        </is>
      </c>
      <c r="E158" s="4" t="n">
        <v>50767</v>
      </c>
    </row>
    <row r="159">
      <c r="A159" s="3" t="n">
        <v>157</v>
      </c>
      <c r="B159" s="3" t="inlineStr">
        <is>
          <t>1.6.31</t>
        </is>
      </c>
      <c r="C159" s="3" t="inlineStr">
        <is>
          <t>Pembongkaran 1 Buah Daun Jendela Single</t>
        </is>
      </c>
      <c r="D159" s="3" t="inlineStr">
        <is>
          <t>buah</t>
        </is>
      </c>
      <c r="E159" s="4" t="n">
        <v>14505</v>
      </c>
    </row>
    <row r="160">
      <c r="A160" s="3" t="n">
        <v>158</v>
      </c>
      <c r="B160" s="3" t="inlineStr">
        <is>
          <t>1.6.32</t>
        </is>
      </c>
      <c r="C160" s="3" t="inlineStr">
        <is>
          <t>Pembongkaran 1 Buah Daun Jendela Double</t>
        </is>
      </c>
      <c r="D160" s="3" t="inlineStr">
        <is>
          <t>buah</t>
        </is>
      </c>
      <c r="E160" s="4" t="n">
        <v>18132</v>
      </c>
    </row>
    <row r="161">
      <c r="A161" s="3" t="n">
        <v>159</v>
      </c>
      <c r="B161" s="3" t="inlineStr">
        <is>
          <t>1.6.33</t>
        </is>
      </c>
      <c r="C161" s="3" t="inlineStr">
        <is>
          <t>Pembongkaran 1 m2 Partisi Kaca dengan Kusen Alumunium</t>
        </is>
      </c>
      <c r="D161" s="3" t="inlineStr">
        <is>
          <t>m2</t>
        </is>
      </c>
      <c r="E161" s="4" t="n">
        <v>7358</v>
      </c>
    </row>
    <row r="162">
      <c r="A162" s="3" t="n">
        <v>160</v>
      </c>
      <c r="B162" s="3" t="inlineStr">
        <is>
          <t>1.6.34</t>
        </is>
      </c>
      <c r="C162" s="3" t="inlineStr">
        <is>
          <t>Pembongkaran 1 m2 Penutup Atap Genteng Tanah Liat</t>
        </is>
      </c>
      <c r="D162" s="3" t="inlineStr">
        <is>
          <t>m2</t>
        </is>
      </c>
      <c r="E162" s="4" t="n">
        <v>4731</v>
      </c>
    </row>
    <row r="163">
      <c r="A163" s="3" t="n">
        <v>161</v>
      </c>
      <c r="B163" s="3" t="inlineStr">
        <is>
          <t>1.6.35</t>
        </is>
      </c>
      <c r="C163" s="3" t="inlineStr">
        <is>
          <t>Pembongkaran 1 m2 Atap Genteng Beton</t>
        </is>
      </c>
      <c r="D163" s="3" t="inlineStr">
        <is>
          <t>m2</t>
        </is>
      </c>
      <c r="E163" s="4" t="n">
        <v>3951</v>
      </c>
    </row>
    <row r="164">
      <c r="A164" s="3" t="n">
        <v>162</v>
      </c>
      <c r="B164" s="3" t="inlineStr">
        <is>
          <t>1.6.36</t>
        </is>
      </c>
      <c r="C164" s="3" t="inlineStr">
        <is>
          <t>Pembongkaran 1 m2 Penutup Atap Serat Semen</t>
        </is>
      </c>
      <c r="D164" s="3" t="inlineStr">
        <is>
          <t>m2</t>
        </is>
      </c>
      <c r="E164" s="4" t="n">
        <v>6516</v>
      </c>
    </row>
    <row r="165">
      <c r="A165" s="3" t="n">
        <v>163</v>
      </c>
      <c r="B165" s="3" t="inlineStr">
        <is>
          <t>1.6.37</t>
        </is>
      </c>
      <c r="C165" s="3" t="inlineStr">
        <is>
          <t>Pembongkaran 1 m2 Penutup Atap Seng Gelombang</t>
        </is>
      </c>
      <c r="D165" s="3" t="inlineStr">
        <is>
          <t>m2</t>
        </is>
      </c>
      <c r="E165" s="4" t="n">
        <v>7779</v>
      </c>
    </row>
    <row r="166">
      <c r="A166" s="3" t="n">
        <v>164</v>
      </c>
      <c r="B166" s="3" t="inlineStr">
        <is>
          <t>1.6.38</t>
        </is>
      </c>
      <c r="C166" s="3" t="inlineStr">
        <is>
          <t>Pembongkaran 1 m2 Penutup Atap Alumunium Gelombang</t>
        </is>
      </c>
      <c r="D166" s="3" t="inlineStr">
        <is>
          <t>m2</t>
        </is>
      </c>
      <c r="E166" s="4" t="n">
        <v>6046</v>
      </c>
    </row>
    <row r="167">
      <c r="A167" s="3" t="n">
        <v>165</v>
      </c>
      <c r="B167" s="3" t="inlineStr">
        <is>
          <t>1.6.39</t>
        </is>
      </c>
      <c r="C167" s="3" t="inlineStr">
        <is>
          <t>Pembongkaran 1 m2 Penutup Atap Fiberglass/ Rooflight</t>
        </is>
      </c>
      <c r="D167" s="3" t="inlineStr">
        <is>
          <t>m2</t>
        </is>
      </c>
      <c r="E167" s="4" t="n">
        <v>6399</v>
      </c>
    </row>
    <row r="168">
      <c r="A168" s="3" t="n">
        <v>166</v>
      </c>
      <c r="B168" s="3" t="inlineStr">
        <is>
          <t>1.6.40</t>
        </is>
      </c>
      <c r="C168" s="3" t="inlineStr">
        <is>
          <t>Pembongkaran 1 m2 Penutup Atap uPVC</t>
        </is>
      </c>
      <c r="D168" s="3" t="inlineStr">
        <is>
          <t>m2</t>
        </is>
      </c>
      <c r="E168" s="4" t="n">
        <v>6837</v>
      </c>
    </row>
    <row r="169">
      <c r="A169" s="3" t="n">
        <v>167</v>
      </c>
      <c r="B169" s="3" t="inlineStr">
        <is>
          <t>1.6.41</t>
        </is>
      </c>
      <c r="C169" s="3" t="inlineStr">
        <is>
          <t>Pembongkaran 1 m2 Penutup Atap Metal Lembaran</t>
        </is>
      </c>
      <c r="D169" s="3" t="inlineStr">
        <is>
          <t>m2</t>
        </is>
      </c>
      <c r="E169" s="4" t="n">
        <v>5477</v>
      </c>
    </row>
    <row r="170">
      <c r="A170" s="3" t="n">
        <v>168</v>
      </c>
      <c r="B170" s="3" t="inlineStr">
        <is>
          <t>1.6.42</t>
        </is>
      </c>
      <c r="C170" s="3" t="inlineStr">
        <is>
          <t>Pembongkaran 1 m2 Plafond tanpa Rangka Kayu/Hollow (Parsial)</t>
        </is>
      </c>
      <c r="D170" s="3" t="inlineStr">
        <is>
          <t>m2</t>
        </is>
      </c>
      <c r="E170" s="4" t="n">
        <v>13547</v>
      </c>
    </row>
    <row r="171">
      <c r="A171" s="3" t="n">
        <v>169</v>
      </c>
      <c r="B171" s="3" t="inlineStr">
        <is>
          <t>1.6.43</t>
        </is>
      </c>
      <c r="C171" s="3" t="inlineStr">
        <is>
          <t>Pembongkaran 1 m2 Plafond tanpa Rangka Kayu/Hollow (Total)</t>
        </is>
      </c>
      <c r="D171" s="3" t="inlineStr">
        <is>
          <t>m2</t>
        </is>
      </c>
      <c r="E171" s="4" t="n">
        <v>6796</v>
      </c>
    </row>
    <row r="172">
      <c r="A172" s="3" t="n">
        <v>170</v>
      </c>
      <c r="B172" s="3" t="inlineStr">
        <is>
          <t>1.6.44</t>
        </is>
      </c>
      <c r="C172" s="3" t="inlineStr">
        <is>
          <t>Pembongkaran 1 m2 Paving Block (Block Beton) Tebal 6 cm - 8 cm Secara Manual (Bongkaran Dipakai Kembali)</t>
        </is>
      </c>
      <c r="D172" s="3" t="inlineStr">
        <is>
          <t>m2</t>
        </is>
      </c>
      <c r="E172" s="4" t="n">
        <v>13525</v>
      </c>
    </row>
    <row r="173">
      <c r="A173" s="3" t="n">
        <v>171</v>
      </c>
      <c r="B173" s="3" t="inlineStr">
        <is>
          <t>1.6.45</t>
        </is>
      </c>
      <c r="C173" s="3" t="inlineStr">
        <is>
          <t>Pembongkaran 1 m2 Paving Block (Block Beton) Tebal 6 cm - 8 cm Secara Manual (Bongkaran Tidak Dipakai Kembali)</t>
        </is>
      </c>
      <c r="D173" s="3" t="inlineStr">
        <is>
          <t>m2</t>
        </is>
      </c>
      <c r="E173" s="4" t="n">
        <v>9002</v>
      </c>
    </row>
    <row r="174">
      <c r="A174" s="3" t="n">
        <v>172</v>
      </c>
      <c r="B174" s="3" t="inlineStr">
        <is>
          <t>2.1.1.1</t>
        </is>
      </c>
      <c r="C174" s="3" t="inlineStr">
        <is>
          <t>Pemasangan 1 m2 rangka atap pelana baja ringan (canai dingin) profil C75</t>
        </is>
      </c>
      <c r="D174" s="3" t="inlineStr">
        <is>
          <t>m2</t>
        </is>
      </c>
      <c r="E174" s="4" t="n">
        <v>187281</v>
      </c>
    </row>
    <row r="175">
      <c r="A175" s="3" t="n">
        <v>173</v>
      </c>
      <c r="B175" s="3" t="inlineStr">
        <is>
          <t>2.1.1.2</t>
        </is>
      </c>
      <c r="C175" s="3" t="inlineStr">
        <is>
          <t>Pemasangan 1 m2 rangka atap jurai/limasan baja ringan (canai dingin) profil C75</t>
        </is>
      </c>
      <c r="D175" s="3" t="inlineStr">
        <is>
          <t>m2</t>
        </is>
      </c>
      <c r="E175" s="4" t="n">
        <v>306672</v>
      </c>
    </row>
    <row r="176">
      <c r="A176" s="3" t="n">
        <v>174</v>
      </c>
      <c r="B176" s="3" t="inlineStr">
        <is>
          <t>2.1.1.3</t>
        </is>
      </c>
      <c r="C176" s="3" t="inlineStr">
        <is>
          <t>Pemasangan 1 m Kaso Baja Ringan C75 tebal 0,75 mm</t>
        </is>
      </c>
      <c r="D176" s="3" t="inlineStr">
        <is>
          <t>m2</t>
        </is>
      </c>
      <c r="E176" s="4" t="n">
        <v>24971</v>
      </c>
    </row>
    <row r="177">
      <c r="A177" s="3" t="n">
        <v>175</v>
      </c>
      <c r="B177" s="3" t="inlineStr">
        <is>
          <t>2.1.1.4</t>
        </is>
      </c>
      <c r="C177" s="3" t="inlineStr">
        <is>
          <t>Pemasangan 1 m  Baja Ringan R.32 tebal 0,45 mm</t>
        </is>
      </c>
      <c r="D177" s="3" t="inlineStr">
        <is>
          <t>m2</t>
        </is>
      </c>
      <c r="E177" s="4" t="n">
        <v>43997</v>
      </c>
    </row>
    <row r="178">
      <c r="A178" s="3" t="n">
        <v>176</v>
      </c>
      <c r="B178" s="3" t="inlineStr">
        <is>
          <t>2.1.2.1</t>
        </is>
      </c>
      <c r="C178" s="3" t="inlineStr">
        <is>
          <t>Pemasangan 1 m3 konstruksi kuda-kuda konvensional, kayu kelas I, II, dan III bentang s.d. 6 meter</t>
        </is>
      </c>
      <c r="D178" s="3" t="inlineStr">
        <is>
          <t>m2</t>
        </is>
      </c>
      <c r="E178" s="4" t="n">
        <v>17265490</v>
      </c>
    </row>
    <row r="179">
      <c r="A179" s="3" t="n">
        <v>177</v>
      </c>
      <c r="B179" s="3" t="inlineStr">
        <is>
          <t>2.1.2.2</t>
        </is>
      </c>
      <c r="C179" s="3" t="inlineStr">
        <is>
          <t>Pemasangan 1 m3 konstruksi kuda-kuda ekspose, kayu kelas I</t>
        </is>
      </c>
      <c r="D179" s="3" t="inlineStr">
        <is>
          <t>m2</t>
        </is>
      </c>
      <c r="E179" s="4" t="n">
        <v>37610265</v>
      </c>
    </row>
    <row r="180">
      <c r="A180" s="3" t="n">
        <v>178</v>
      </c>
      <c r="B180" s="3" t="inlineStr">
        <is>
          <t>2.1.2.3</t>
        </is>
      </c>
      <c r="C180" s="3" t="inlineStr">
        <is>
          <t>Pemasangan 1 m3 konstruksi gordeng, kayu kelas II</t>
        </is>
      </c>
      <c r="D180" s="3" t="inlineStr">
        <is>
          <t>m2</t>
        </is>
      </c>
      <c r="E180" s="4" t="n">
        <v>16192000</v>
      </c>
    </row>
    <row r="181">
      <c r="A181" s="3" t="n">
        <v>179</v>
      </c>
      <c r="B181" s="3" t="inlineStr">
        <is>
          <t>2.1.2.4</t>
        </is>
      </c>
      <c r="C181" s="3" t="inlineStr">
        <is>
          <t>Pemasangan 1 m2 rangka atap genteng keramik, kayu kelas II</t>
        </is>
      </c>
      <c r="D181" s="3" t="inlineStr">
        <is>
          <t>m2</t>
        </is>
      </c>
      <c r="E181" s="4" t="n">
        <v>227049</v>
      </c>
    </row>
    <row r="182">
      <c r="A182" s="3" t="n">
        <v>180</v>
      </c>
      <c r="B182" s="3" t="inlineStr">
        <is>
          <t>2.1.2.5</t>
        </is>
      </c>
      <c r="C182" s="3" t="inlineStr">
        <is>
          <t>Pemasangan 1 m2 rangka atap genteng beton, kayu kelas II</t>
        </is>
      </c>
      <c r="D182" s="3" t="inlineStr">
        <is>
          <t>m2</t>
        </is>
      </c>
      <c r="E182" s="4" t="n">
        <v>250723</v>
      </c>
    </row>
    <row r="183">
      <c r="A183" s="3" t="n">
        <v>181</v>
      </c>
      <c r="B183" s="3" t="inlineStr">
        <is>
          <t>2.1.2.6</t>
        </is>
      </c>
      <c r="C183" s="3" t="inlineStr">
        <is>
          <t>Pemasangan 1 m2 rangka atap sirap, kayu kelas II</t>
        </is>
      </c>
      <c r="D183" s="3" t="inlineStr">
        <is>
          <t>m2</t>
        </is>
      </c>
      <c r="E183" s="4" t="n">
        <v>114851</v>
      </c>
    </row>
    <row r="184">
      <c r="A184" s="3" t="n">
        <v>182</v>
      </c>
      <c r="B184" s="3" t="inlineStr">
        <is>
          <t>2.2.1.1.1</t>
        </is>
      </c>
      <c r="C184" s="3" t="inlineStr">
        <is>
          <t>1 kg penulangan slab untuk BjTP atau BjTS dia. &lt; 12 mm, cara manual (untuk bangunan gedung)</t>
        </is>
      </c>
      <c r="D184" s="3" t="inlineStr">
        <is>
          <t>kg</t>
        </is>
      </c>
      <c r="E184" s="4" t="n">
        <v>18473</v>
      </c>
    </row>
    <row r="185">
      <c r="A185" s="3" t="n">
        <v>183</v>
      </c>
      <c r="B185" s="3" t="inlineStr">
        <is>
          <t>2.2.1.1.1a</t>
        </is>
      </c>
      <c r="C185" s="3" t="inlineStr">
        <is>
          <t>1 kg penulangan slab untuk  BjTS atau BjTS dia. &lt; 12 mm, cara manual (untuk bangunan gedung)</t>
        </is>
      </c>
      <c r="D185" s="3" t="inlineStr">
        <is>
          <t>kg</t>
        </is>
      </c>
      <c r="E185" s="4" t="n">
        <v>18754</v>
      </c>
    </row>
    <row r="186">
      <c r="A186" s="3" t="n">
        <v>184</v>
      </c>
      <c r="B186" s="3" t="inlineStr">
        <is>
          <t>2.2.1.1.2</t>
        </is>
      </c>
      <c r="C186" s="3" t="inlineStr">
        <is>
          <t>1 kg penulangan slab untuk BjTP dia. ≥ 12 mm, cara semi mekanis (untuk bangunan gedung)</t>
        </is>
      </c>
      <c r="D186" s="3" t="inlineStr">
        <is>
          <t>kg</t>
        </is>
      </c>
      <c r="E186" s="4" t="n">
        <v>18802</v>
      </c>
    </row>
    <row r="187">
      <c r="A187" s="3" t="n">
        <v>185</v>
      </c>
      <c r="B187" s="3" t="inlineStr">
        <is>
          <t>2.2.1.1.2a</t>
        </is>
      </c>
      <c r="C187" s="3" t="inlineStr">
        <is>
          <t>1 kg penulangan slab untuk BjTS dia. ≥ 12 mm, cara semi mekanis (untuk bangunan gedung)</t>
        </is>
      </c>
      <c r="D187" s="3" t="inlineStr">
        <is>
          <t>kg</t>
        </is>
      </c>
      <c r="E187" s="4" t="n">
        <v>19387</v>
      </c>
    </row>
    <row r="188">
      <c r="A188" s="3" t="n">
        <v>186</v>
      </c>
      <c r="B188" s="3" t="inlineStr">
        <is>
          <t>2.2.1.1.3</t>
        </is>
      </c>
      <c r="C188" s="3" t="inlineStr">
        <is>
          <t>1 kg Penulangan Kolom, Balok, Ring Balk dan Sloof untuk BjTP diameter &lt;12 mm cara Manual</t>
        </is>
      </c>
      <c r="D188" s="3" t="inlineStr">
        <is>
          <t>kg</t>
        </is>
      </c>
      <c r="E188" s="4" t="n">
        <v>17064</v>
      </c>
    </row>
    <row r="189">
      <c r="A189" s="3" t="n">
        <v>187</v>
      </c>
      <c r="B189" s="3" t="inlineStr">
        <is>
          <t>2.2.1.1.3a</t>
        </is>
      </c>
      <c r="C189" s="3" t="inlineStr">
        <is>
          <t>1 kg Penulangan Kolom, Balok, Ring Balk dan Sloof untuk BjTS diameter &lt;12 mm cara Manual</t>
        </is>
      </c>
      <c r="D189" s="3" t="inlineStr">
        <is>
          <t>kg</t>
        </is>
      </c>
      <c r="E189" s="4" t="n">
        <v>17345</v>
      </c>
    </row>
    <row r="190">
      <c r="A190" s="3" t="n">
        <v>188</v>
      </c>
      <c r="B190" s="3" t="inlineStr">
        <is>
          <t>2.2.1.1.4</t>
        </is>
      </c>
      <c r="C190" s="3" t="inlineStr">
        <is>
          <t>1 kg penulangan kolom, balok, ring balk, sloof, dan shearwall untuk BjTP  dia. ≥ 12 mm, cara semi mekanis (untuk bangunan gedung)</t>
        </is>
      </c>
      <c r="D190" s="3" t="inlineStr">
        <is>
          <t>kg</t>
        </is>
      </c>
      <c r="E190" s="4" t="n">
        <v>91628</v>
      </c>
    </row>
    <row r="191">
      <c r="A191" s="3" t="n">
        <v>189</v>
      </c>
      <c r="B191" s="3" t="inlineStr">
        <is>
          <t>2.2.1.1.4a</t>
        </is>
      </c>
      <c r="C191" s="3" t="inlineStr">
        <is>
          <t>1 kg penulangan kolom, balok, ring balk, sloof, dan shearwall untuk BjTPS  dia. ≥ 12 mm, cara semi mekanis (untuk bangunan gedung)</t>
        </is>
      </c>
      <c r="D191" s="3" t="inlineStr">
        <is>
          <t>Kg</t>
        </is>
      </c>
      <c r="E191" s="4" t="n">
        <v>92286</v>
      </c>
    </row>
    <row r="192">
      <c r="A192" s="3" t="n">
        <v>190</v>
      </c>
      <c r="B192" s="3" t="inlineStr">
        <is>
          <t>2.2.1.1.5</t>
        </is>
      </c>
      <c r="C192" s="3" t="inlineStr">
        <is>
          <t>1 kg penulangan wiremesh M6-M10 untuk slab atau dinding atau ferrocement, secara manual (untuk bangunan gedung)</t>
        </is>
      </c>
      <c r="D192" s="3" t="inlineStr">
        <is>
          <t>kg</t>
        </is>
      </c>
      <c r="E192" s="4" t="n">
        <v>13807</v>
      </c>
    </row>
    <row r="193">
      <c r="A193" s="3" t="n">
        <v>191</v>
      </c>
      <c r="B193" s="3" t="inlineStr">
        <is>
          <t>2.2.1.1.6</t>
        </is>
      </c>
      <c r="C193" s="3" t="inlineStr">
        <is>
          <t>1 kg penulangan wiremesh M6-M10 untuk slab atau dinding atau ferrocement, secara semi mekanis</t>
        </is>
      </c>
      <c r="D193" s="3" t="inlineStr">
        <is>
          <t>kg</t>
        </is>
      </c>
      <c r="E193" s="4" t="n">
        <v>13239</v>
      </c>
    </row>
    <row r="194">
      <c r="A194" s="3" t="n">
        <v>192</v>
      </c>
      <c r="B194" s="3" t="inlineStr">
        <is>
          <t>2.2.1.1.7</t>
        </is>
      </c>
      <c r="C194" s="3" t="inlineStr">
        <is>
          <t>Menaikkan 1 kg tulangan tiap kenaikan vertikal 4 m ke tapak pemasangan secara manual (untuk bangunan gedung)</t>
        </is>
      </c>
      <c r="D194" s="3" t="inlineStr">
        <is>
          <t>kg</t>
        </is>
      </c>
      <c r="E194" s="4" t="n">
        <v>59</v>
      </c>
    </row>
    <row r="195">
      <c r="A195" s="3" t="n">
        <v>193</v>
      </c>
      <c r="B195" s="3" t="inlineStr">
        <is>
          <t>2.2.1.1.8</t>
        </is>
      </c>
      <c r="C195" s="3" t="inlineStr">
        <is>
          <t>Mengangkut 1 kg tulangan tiap tambahan jarak horizontal 25 m ke tapak pemasangan secara manual (untuk bangunan gedung)</t>
        </is>
      </c>
      <c r="D195" s="3" t="inlineStr">
        <is>
          <t>kg</t>
        </is>
      </c>
      <c r="E195" s="4" t="n">
        <v>27</v>
      </c>
    </row>
    <row r="196">
      <c r="A196" s="3" t="n">
        <v>194</v>
      </c>
      <c r="B196" s="3" t="inlineStr">
        <is>
          <t>2.2.1.1.9</t>
        </is>
      </c>
      <c r="C196" s="3" t="inlineStr">
        <is>
          <t>Mengangkut/menaikkan 1 kg tulangan tiap kenaikan vertikal 4 m atau tambahan jarak horizontal 25 m ke tapak pemasangan secara mekanis (untuk bangunan gedung)</t>
        </is>
      </c>
      <c r="D196" s="3" t="inlineStr">
        <is>
          <t>kg</t>
        </is>
      </c>
      <c r="E196" s="4" t="n">
        <v>1274</v>
      </c>
    </row>
    <row r="197">
      <c r="A197" s="3" t="n">
        <v>195</v>
      </c>
      <c r="B197" s="3" t="inlineStr">
        <is>
          <t>2.2.1.1.10</t>
        </is>
      </c>
      <c r="C197" s="3" t="inlineStr">
        <is>
          <t>1 Kg Penulangan Wiremesh M12 untuk Slab atau Dinding atau Ferrocement secara Manual (Untuk Bangunan Gedung)</t>
        </is>
      </c>
      <c r="D197" s="3" t="inlineStr">
        <is>
          <t>kg</t>
        </is>
      </c>
      <c r="E197" s="4" t="n">
        <v>15084</v>
      </c>
    </row>
    <row r="198">
      <c r="A198" s="3" t="n">
        <v>196</v>
      </c>
      <c r="B198" s="3" t="inlineStr">
        <is>
          <t>2.2.1.1.11</t>
        </is>
      </c>
      <c r="C198" s="3" t="inlineStr">
        <is>
          <t>1 Kg Penulangan Wiremesh M12 untuk Slab atau Dinding atau Ferrocement secara Semi Mekanis (Untuk Bangunan Gedung)</t>
        </is>
      </c>
      <c r="D198" s="3" t="inlineStr">
        <is>
          <t>kg</t>
        </is>
      </c>
      <c r="E198" s="4" t="n">
        <v>14516</v>
      </c>
    </row>
    <row r="199">
      <c r="A199" s="3" t="n">
        <v>197</v>
      </c>
      <c r="B199" s="3" t="inlineStr">
        <is>
          <t>2.2.1.2.1</t>
        </is>
      </c>
      <c r="C199" s="3" t="inlineStr">
        <is>
          <t>Pemasangan 1 m' PVC waterstop lebar 150 mm (untuk bangunan gedung)</t>
        </is>
      </c>
      <c r="D199" s="3" t="inlineStr">
        <is>
          <t>m</t>
        </is>
      </c>
      <c r="E199" s="4" t="n">
        <v>98807</v>
      </c>
    </row>
    <row r="200">
      <c r="A200" s="3" t="n">
        <v>198</v>
      </c>
      <c r="B200" s="3" t="inlineStr">
        <is>
          <t>2.2.1.2.2</t>
        </is>
      </c>
      <c r="C200" s="3" t="inlineStr">
        <is>
          <t>Pemasangan 1 m' PVC waterstop lebar 200 mm</t>
        </is>
      </c>
      <c r="D200" s="3" t="inlineStr">
        <is>
          <t>m</t>
        </is>
      </c>
      <c r="E200" s="4" t="n">
        <v>122842</v>
      </c>
    </row>
    <row r="201">
      <c r="A201" s="3" t="n">
        <v>199</v>
      </c>
      <c r="B201" s="3" t="inlineStr">
        <is>
          <t>2.2.1.2.3</t>
        </is>
      </c>
      <c r="C201" s="3" t="inlineStr">
        <is>
          <t>Pemasangan 1 m' PVC waterstop lebar 230-320 mm</t>
        </is>
      </c>
      <c r="D201" s="3" t="inlineStr">
        <is>
          <t>m</t>
        </is>
      </c>
      <c r="E201" s="4" t="n">
        <v>174996</v>
      </c>
    </row>
    <row r="202">
      <c r="A202" s="3" t="n">
        <v>200</v>
      </c>
      <c r="B202" s="3" t="inlineStr">
        <is>
          <t>2.2.1.3.1</t>
        </is>
      </c>
      <c r="C202" s="3" t="inlineStr">
        <is>
          <t>Pemasangan 1 m2 bekisting untuk pondasi telapak (3 kali pakai)</t>
        </is>
      </c>
      <c r="D202" s="3" t="inlineStr">
        <is>
          <t>m2</t>
        </is>
      </c>
      <c r="E202" s="4" t="n">
        <v>254573</v>
      </c>
    </row>
    <row r="203">
      <c r="A203" s="3" t="n">
        <v>201</v>
      </c>
      <c r="B203" s="3" t="inlineStr">
        <is>
          <t>2.2.1.3.2</t>
        </is>
      </c>
      <c r="C203" s="3" t="inlineStr">
        <is>
          <t>Pemasangan 1 m2 bekisting untuk sloof  (3 kali pakai)</t>
        </is>
      </c>
      <c r="D203" s="3" t="inlineStr">
        <is>
          <t>m2</t>
        </is>
      </c>
      <c r="E203" s="4" t="n">
        <v>272173</v>
      </c>
    </row>
    <row r="204">
      <c r="A204" s="3" t="n">
        <v>202</v>
      </c>
      <c r="B204" s="3" t="inlineStr">
        <is>
          <t>2.2.1.3.3</t>
        </is>
      </c>
      <c r="C204" s="3" t="inlineStr">
        <is>
          <t>Pemasangan 1 m2 bekisting untuk kolom (3 kali pakai)</t>
        </is>
      </c>
      <c r="D204" s="3" t="inlineStr">
        <is>
          <t>m2</t>
        </is>
      </c>
      <c r="E204" s="4" t="n">
        <v>226443</v>
      </c>
    </row>
    <row r="205">
      <c r="A205" s="3" t="n">
        <v>203</v>
      </c>
      <c r="B205" s="3" t="inlineStr">
        <is>
          <t>2.2.1.3.4</t>
        </is>
      </c>
      <c r="C205" s="3" t="inlineStr">
        <is>
          <t>Pemasangan 1 m2 bekisting untuk balok (3 kali pakai)</t>
        </is>
      </c>
      <c r="D205" s="3" t="inlineStr">
        <is>
          <t>m2</t>
        </is>
      </c>
      <c r="E205" s="4" t="n">
        <v>238668</v>
      </c>
    </row>
    <row r="206">
      <c r="A206" s="3" t="n">
        <v>204</v>
      </c>
      <c r="B206" s="3" t="inlineStr">
        <is>
          <t>2.2.1.3.5</t>
        </is>
      </c>
      <c r="C206" s="3" t="inlineStr">
        <is>
          <t>Pemasangan 1 m2 bekisting untuk plat lantai (3 kali pakai)</t>
        </is>
      </c>
      <c r="D206" s="3" t="inlineStr">
        <is>
          <t>m2</t>
        </is>
      </c>
      <c r="E206" s="4" t="n">
        <v>241284</v>
      </c>
    </row>
    <row r="207">
      <c r="A207" s="3" t="n">
        <v>205</v>
      </c>
      <c r="B207" s="3" t="inlineStr">
        <is>
          <t>2.2.1.3.6</t>
        </is>
      </c>
      <c r="C207" s="3" t="inlineStr">
        <is>
          <t>Pemasangan 1 m2 bekisting untuk dinding shearwall (3 kali pakai)</t>
        </is>
      </c>
      <c r="D207" s="3" t="inlineStr">
        <is>
          <t>m2</t>
        </is>
      </c>
      <c r="E207" s="4" t="n">
        <v>284467</v>
      </c>
    </row>
    <row r="208">
      <c r="A208" s="3" t="n">
        <v>206</v>
      </c>
      <c r="B208" s="3" t="inlineStr">
        <is>
          <t>2.2.1.3.7</t>
        </is>
      </c>
      <c r="C208" s="3" t="inlineStr">
        <is>
          <t>Pemasangan 1 m2 bekisting untuk tangga (3 kali pakai)</t>
        </is>
      </c>
      <c r="D208" s="3" t="inlineStr">
        <is>
          <t>m2</t>
        </is>
      </c>
      <c r="E208" s="4" t="n">
        <v>237811</v>
      </c>
    </row>
    <row r="209">
      <c r="A209" s="3" t="n">
        <v>207</v>
      </c>
      <c r="B209" s="3" t="inlineStr">
        <is>
          <t>2.2.1.3.8</t>
        </is>
      </c>
      <c r="C209" s="3" t="inlineStr">
        <is>
          <t>Pemasangan 1 m2 bekisting jembatan untuk pengecoran beton (3 kali pakai)</t>
        </is>
      </c>
      <c r="D209" s="3" t="inlineStr">
        <is>
          <t>m2</t>
        </is>
      </c>
      <c r="E209" s="4" t="n">
        <v>121041</v>
      </c>
    </row>
    <row r="210">
      <c r="A210" s="3" t="n">
        <v>208</v>
      </c>
      <c r="B210" s="3" t="inlineStr">
        <is>
          <t>2.2.1.3.9</t>
        </is>
      </c>
      <c r="C210" s="3" t="inlineStr">
        <is>
          <t>Pembongkaran 1 m2 bekisting secara biasa pada bangunan gedung (termasuk membersihkan dan membereskan puing-puing)</t>
        </is>
      </c>
      <c r="D210" s="3" t="inlineStr">
        <is>
          <t>m2</t>
        </is>
      </c>
      <c r="E210" s="4" t="n">
        <v>5280</v>
      </c>
    </row>
    <row r="211">
      <c r="A211" s="3" t="n">
        <v>209</v>
      </c>
      <c r="B211" s="3" t="inlineStr">
        <is>
          <t>2.2.1.3.10</t>
        </is>
      </c>
      <c r="C211" s="3" t="inlineStr">
        <is>
          <t>Pembongkaran 1 m2 bekisting secara hati-hati pada bangunan gedung (untuk beton expose dan/atau pemanfaatan kembali bekisting)</t>
        </is>
      </c>
      <c r="D211" s="3" t="inlineStr">
        <is>
          <t>m2</t>
        </is>
      </c>
      <c r="E211" s="4" t="n">
        <v>7920</v>
      </c>
    </row>
    <row r="212">
      <c r="A212" s="3" t="n">
        <v>210</v>
      </c>
      <c r="B212" s="3" t="inlineStr">
        <is>
          <t>2.2.1.4.1</t>
        </is>
      </c>
      <c r="C212" s="3" t="inlineStr">
        <is>
          <t>1 m3 beton mutu rendah f'c 7,5 MPa, slump (100 ± 25) mm, agregat maks 19 mm secara manual</t>
        </is>
      </c>
      <c r="D212" s="3" t="inlineStr">
        <is>
          <t>m3</t>
        </is>
      </c>
      <c r="E212" s="4" t="n">
        <v>928002</v>
      </c>
    </row>
    <row r="213">
      <c r="A213" s="3" t="n">
        <v>211</v>
      </c>
      <c r="B213" s="3" t="inlineStr">
        <is>
          <t>2.2.1.4.2</t>
        </is>
      </c>
      <c r="C213" s="3" t="inlineStr">
        <is>
          <t>1 m3 beton mutu rendah f'c 10 MPa, slump (100 ± 25) mm, agregat maks 19 mm secara manual</t>
        </is>
      </c>
      <c r="D213" s="3" t="inlineStr">
        <is>
          <t>m3</t>
        </is>
      </c>
      <c r="E213" s="4" t="n">
        <v>1236055</v>
      </c>
    </row>
    <row r="214">
      <c r="A214" s="3" t="n">
        <v>212</v>
      </c>
      <c r="B214" s="3" t="inlineStr">
        <is>
          <t>2.2.1.4.3</t>
        </is>
      </c>
      <c r="C214" s="3" t="inlineStr">
        <is>
          <t>1 m3 beton mutu rendah f'c 15 MPa, slump (100 ± 25) mm, agregat maks 19 mm secara manual</t>
        </is>
      </c>
      <c r="D214" s="3" t="inlineStr">
        <is>
          <t>m3</t>
        </is>
      </c>
      <c r="E214" s="4" t="n">
        <v>1278955</v>
      </c>
    </row>
    <row r="215">
      <c r="A215" s="3" t="n">
        <v>213</v>
      </c>
      <c r="B215" s="3" t="inlineStr">
        <is>
          <t>2.2.1.4.4</t>
        </is>
      </c>
      <c r="C215" s="3" t="inlineStr">
        <is>
          <t>1 m3 beton mutu rendah f'c 17 MPa, slump (100 ± 25) mm, agregat maks 19 mm secara manual</t>
        </is>
      </c>
      <c r="D215" s="3" t="inlineStr">
        <is>
          <t>m3</t>
        </is>
      </c>
      <c r="E215" s="4" t="n">
        <v>1296885</v>
      </c>
    </row>
    <row r="216">
      <c r="A216" s="3" t="n">
        <v>214</v>
      </c>
      <c r="B216" s="3" t="inlineStr">
        <is>
          <t>2.2.1.4.5</t>
        </is>
      </c>
      <c r="C216" s="3" t="inlineStr">
        <is>
          <t>1 m3 beton mutu sedang f'c 20 MPa, slump (100 ± 25) mm, agregat maks 19 mm secara manual</t>
        </is>
      </c>
      <c r="D216" s="3" t="inlineStr">
        <is>
          <t>m3</t>
        </is>
      </c>
      <c r="E216" s="4" t="n">
        <v>1325155</v>
      </c>
    </row>
    <row r="217">
      <c r="A217" s="3" t="n">
        <v>215</v>
      </c>
      <c r="B217" s="3" t="inlineStr">
        <is>
          <t>2.2.1.4.6</t>
        </is>
      </c>
      <c r="C217" s="3" t="inlineStr">
        <is>
          <t>1 m3 beton mutu sedang f'c 21 MPa, slump (100 ± 25) mm, agregat maks 19 mm secara manual</t>
        </is>
      </c>
      <c r="D217" s="3" t="inlineStr">
        <is>
          <t>m3</t>
        </is>
      </c>
      <c r="E217" s="4" t="n">
        <v>1347155</v>
      </c>
    </row>
    <row r="218">
      <c r="A218" s="3" t="n">
        <v>216</v>
      </c>
      <c r="B218" s="3" t="inlineStr">
        <is>
          <t>2.2.1.5.1</t>
        </is>
      </c>
      <c r="C218" s="3" t="inlineStr">
        <is>
          <t>1 m3 beton mutu rendah f'c 10 MPa, slump (100 ± 25) mm, agregat maks 19 mm secara semi mekanis</t>
        </is>
      </c>
      <c r="D218" s="3" t="inlineStr">
        <is>
          <t>m3</t>
        </is>
      </c>
      <c r="E218" s="4" t="n">
        <v>1228685</v>
      </c>
    </row>
    <row r="219">
      <c r="A219" s="3" t="n">
        <v>217</v>
      </c>
      <c r="B219" s="3" t="inlineStr">
        <is>
          <t>2.2.1.5.2</t>
        </is>
      </c>
      <c r="C219" s="3" t="inlineStr">
        <is>
          <t>1 m3 beton mutu rendah f'c 15 MPa, slump (100 ± 25) mm, agregat maks 19 mm secara semi mekanis</t>
        </is>
      </c>
      <c r="D219" s="3" t="inlineStr">
        <is>
          <t>m3</t>
        </is>
      </c>
      <c r="E219" s="4" t="n">
        <v>1271585</v>
      </c>
    </row>
    <row r="220">
      <c r="A220" s="3" t="n">
        <v>218</v>
      </c>
      <c r="B220" s="3" t="inlineStr">
        <is>
          <t>2.2.1.5.3</t>
        </is>
      </c>
      <c r="C220" s="3" t="inlineStr">
        <is>
          <t>1 m3 beton mutu rendah f'c 17 MPa, slump (100 ± 25) mm, agregat maks 19 mm secara semi mekanis</t>
        </is>
      </c>
      <c r="D220" s="3" t="inlineStr">
        <is>
          <t>m3</t>
        </is>
      </c>
      <c r="E220" s="4" t="n">
        <v>1289515</v>
      </c>
    </row>
    <row r="221">
      <c r="A221" s="3" t="n">
        <v>219</v>
      </c>
      <c r="B221" s="3" t="inlineStr">
        <is>
          <t>2.2.1.5.4</t>
        </is>
      </c>
      <c r="C221" s="3" t="inlineStr">
        <is>
          <t>1 m3 beton mutu sedang f'c 20 MPa, slump (100 ± 25) mm, agregat maks 19 mm secara semi mekanis</t>
        </is>
      </c>
      <c r="D221" s="3" t="inlineStr">
        <is>
          <t>m3</t>
        </is>
      </c>
      <c r="E221" s="4" t="n">
        <v>1317785</v>
      </c>
    </row>
    <row r="222">
      <c r="A222" s="3" t="n">
        <v>220</v>
      </c>
      <c r="B222" s="3" t="inlineStr">
        <is>
          <t>2.2.1.5.5</t>
        </is>
      </c>
      <c r="C222" s="3" t="inlineStr">
        <is>
          <t>1 m3 beton mutu sedang f'c 21 MPa, slump (100 ± 25) mm, agregat maks 19 mm secara semi mekanis</t>
        </is>
      </c>
      <c r="D222" s="3" t="inlineStr">
        <is>
          <t>m3</t>
        </is>
      </c>
      <c r="E222" s="4" t="n">
        <v>1339785</v>
      </c>
    </row>
    <row r="223">
      <c r="A223" s="3" t="n">
        <v>221</v>
      </c>
      <c r="B223" s="3" t="inlineStr">
        <is>
          <t>2.2.1.5.6</t>
        </is>
      </c>
      <c r="C223" s="3" t="inlineStr">
        <is>
          <t>1 m3 beton mutu sedang f'c 25 MPa, slump (100 ± 25) mm, agregat maks 19 mm secara semi mekanis</t>
        </is>
      </c>
      <c r="D223" s="3" t="inlineStr">
        <is>
          <t>m3</t>
        </is>
      </c>
      <c r="E223" s="4" t="n">
        <v>1382685</v>
      </c>
    </row>
    <row r="224">
      <c r="A224" s="3" t="n">
        <v>222</v>
      </c>
      <c r="B224" s="3" t="inlineStr">
        <is>
          <t>2.2.1.5.7</t>
        </is>
      </c>
      <c r="C224" s="3" t="inlineStr">
        <is>
          <t>1 m3 beton mutu sedang f'c 28 MPa, slump (100 ± 25) mm, agregat maks 19 mm secara semi mekanis</t>
        </is>
      </c>
      <c r="D224" s="3" t="inlineStr">
        <is>
          <t>m3</t>
        </is>
      </c>
      <c r="E224" s="4" t="n">
        <v>1415685</v>
      </c>
    </row>
    <row r="225">
      <c r="A225" s="3" t="n">
        <v>223</v>
      </c>
      <c r="B225" s="3" t="inlineStr">
        <is>
          <t>2.2.1.5.8</t>
        </is>
      </c>
      <c r="C225" s="3" t="inlineStr">
        <is>
          <t>1 m3 beton mutu sedang f'c 30 MPa, slump (100 ± 25) mm, agregat maks 19 mm secara semi mekanis</t>
        </is>
      </c>
      <c r="D225" s="3" t="inlineStr">
        <is>
          <t>m3</t>
        </is>
      </c>
      <c r="E225" s="4" t="n">
        <v>1437685</v>
      </c>
    </row>
    <row r="226">
      <c r="A226" s="3" t="n">
        <v>224</v>
      </c>
      <c r="B226" s="3" t="inlineStr">
        <is>
          <t>2.2.1.5.9</t>
        </is>
      </c>
      <c r="C226" s="3" t="inlineStr">
        <is>
          <t>1 m3 beton mutu sedang f'c 31 MPa, slump (100 ± 25) mm, agregat maks 19 mm secara semi mekanis</t>
        </is>
      </c>
      <c r="D226" s="3" t="inlineStr">
        <is>
          <t>m3</t>
        </is>
      </c>
      <c r="E226" s="4" t="n">
        <v>1450115</v>
      </c>
    </row>
    <row r="227">
      <c r="A227" s="3" t="n">
        <v>225</v>
      </c>
      <c r="B227" s="3" t="inlineStr">
        <is>
          <t>2.2.1.5.10</t>
        </is>
      </c>
      <c r="C227" s="3" t="inlineStr">
        <is>
          <t>1 m3 beton mutu sedang f'c 35 MPa, slump (100 ± 25) mm, agregat maks 19 mm secara semi mekanis</t>
        </is>
      </c>
      <c r="D227" s="3" t="inlineStr">
        <is>
          <t>m3</t>
        </is>
      </c>
      <c r="E227" s="4" t="n">
        <v>1417775</v>
      </c>
    </row>
    <row r="228">
      <c r="A228" s="3" t="n">
        <v>226</v>
      </c>
      <c r="B228" s="3" t="inlineStr">
        <is>
          <t>2.2.1.5.11</t>
        </is>
      </c>
      <c r="C228" s="3" t="inlineStr">
        <is>
          <t>1 m3 beton kedap air dengan aditif secara semi mekanis</t>
        </is>
      </c>
      <c r="D228" s="3" t="inlineStr">
        <is>
          <t>m3</t>
        </is>
      </c>
      <c r="E228" s="4" t="n">
        <v>1502979</v>
      </c>
    </row>
    <row r="229">
      <c r="A229" s="3" t="n">
        <v>227</v>
      </c>
      <c r="B229" s="3" t="inlineStr">
        <is>
          <t>2.2.1.6.1</t>
        </is>
      </c>
      <c r="C229" s="3" t="inlineStr">
        <is>
          <t>Pengecoran 1 M3 Beton Menggunakan Ready Mixed F'c 10 Mpa</t>
        </is>
      </c>
      <c r="D229" s="3" t="inlineStr">
        <is>
          <t>m3</t>
        </is>
      </c>
      <c r="E229" s="4" t="n">
        <v>1323933</v>
      </c>
    </row>
    <row r="230">
      <c r="A230" s="3" t="n">
        <v>228</v>
      </c>
      <c r="B230" s="3" t="inlineStr">
        <is>
          <t>2.2.1.6.2</t>
        </is>
      </c>
      <c r="C230" s="3" t="inlineStr">
        <is>
          <t>Pengecoran 1 M3 Beton Menggunakan Ready Mixed F'c 15 Mpa</t>
        </is>
      </c>
      <c r="D230" s="3" t="inlineStr">
        <is>
          <t>m4</t>
        </is>
      </c>
      <c r="E230" s="4" t="n">
        <v>1367691</v>
      </c>
    </row>
    <row r="231">
      <c r="A231" s="3" t="n">
        <v>229</v>
      </c>
      <c r="B231" s="3" t="inlineStr">
        <is>
          <t>2.2.1.6.3</t>
        </is>
      </c>
      <c r="C231" s="3" t="inlineStr">
        <is>
          <t>Pengecoran 1 M3 Beton Menggunakan Ready Mixed F'c 17 Mpa</t>
        </is>
      </c>
      <c r="D231" s="3" t="inlineStr">
        <is>
          <t>m5</t>
        </is>
      </c>
      <c r="E231" s="4" t="n">
        <v>1385980</v>
      </c>
    </row>
    <row r="232">
      <c r="A232" s="3" t="n">
        <v>230</v>
      </c>
      <c r="B232" s="3" t="inlineStr">
        <is>
          <t>2.2.1.6.4</t>
        </is>
      </c>
      <c r="C232" s="3" t="inlineStr">
        <is>
          <t>Pengecoran 1 M3 Beton Menggunakan Ready Mixed F'c 20 Mpa</t>
        </is>
      </c>
      <c r="D232" s="3" t="inlineStr">
        <is>
          <t>m6</t>
        </is>
      </c>
      <c r="E232" s="4" t="n">
        <v>1414815</v>
      </c>
    </row>
    <row r="233">
      <c r="A233" s="3" t="n">
        <v>231</v>
      </c>
      <c r="B233" s="3" t="inlineStr">
        <is>
          <t>2.2.1.6.5</t>
        </is>
      </c>
      <c r="C233" s="3" t="inlineStr">
        <is>
          <t>Pengecoran 1 M3 Beton Menggunakan Ready Mixed F'c 21 Mpa</t>
        </is>
      </c>
      <c r="D233" s="3" t="inlineStr">
        <is>
          <t>m7</t>
        </is>
      </c>
      <c r="E233" s="4" t="n">
        <v>1437255</v>
      </c>
    </row>
    <row r="234">
      <c r="A234" s="3" t="n">
        <v>232</v>
      </c>
      <c r="B234" s="3" t="inlineStr">
        <is>
          <t>2.2.1.6.6</t>
        </is>
      </c>
      <c r="C234" s="3" t="inlineStr">
        <is>
          <t>Pengecoran 1 M3 Beton Menggunakan Ready Mixed F'c 25 Mpa</t>
        </is>
      </c>
      <c r="D234" s="3" t="inlineStr">
        <is>
          <t>m8</t>
        </is>
      </c>
      <c r="E234" s="4" t="n">
        <v>1481013</v>
      </c>
    </row>
    <row r="235">
      <c r="A235" s="3" t="n">
        <v>233</v>
      </c>
      <c r="B235" s="3" t="inlineStr">
        <is>
          <t>2.2.1.6.7</t>
        </is>
      </c>
      <c r="C235" s="3" t="inlineStr">
        <is>
          <t>Pengecoran 1 M3 Beton Menggunakan Ready Mixed F'c 28 Mpa</t>
        </is>
      </c>
      <c r="D235" s="3" t="inlineStr">
        <is>
          <t>m9</t>
        </is>
      </c>
      <c r="E235" s="4" t="n">
        <v>1514673</v>
      </c>
    </row>
    <row r="236">
      <c r="A236" s="3" t="n">
        <v>234</v>
      </c>
      <c r="B236" s="3" t="inlineStr">
        <is>
          <t>2.2.1.6.8</t>
        </is>
      </c>
      <c r="C236" s="3" t="inlineStr">
        <is>
          <t>Pengecoran 1 M3 Beton Menggunakan Ready Mixed F'c 30 Mpa</t>
        </is>
      </c>
      <c r="D236" s="3" t="inlineStr">
        <is>
          <t>m10</t>
        </is>
      </c>
      <c r="E236" s="4" t="n">
        <v>1537113</v>
      </c>
    </row>
    <row r="237">
      <c r="A237" s="3" t="n">
        <v>235</v>
      </c>
      <c r="B237" s="3" t="inlineStr">
        <is>
          <t>2.2.1.6.9</t>
        </is>
      </c>
      <c r="C237" s="3" t="inlineStr">
        <is>
          <t>Pengecoran 1 M3 Beton Menggunakan Ready Mixed F'c 31 Mpa</t>
        </is>
      </c>
      <c r="D237" s="3" t="inlineStr">
        <is>
          <t>m11</t>
        </is>
      </c>
      <c r="E237" s="4" t="n">
        <v>1549792</v>
      </c>
    </row>
    <row r="238">
      <c r="A238" s="3" t="n">
        <v>236</v>
      </c>
      <c r="B238" s="3" t="inlineStr">
        <is>
          <t>2.2.1.6.10</t>
        </is>
      </c>
      <c r="C238" s="3" t="inlineStr">
        <is>
          <t>Pengecoran 1 M3 Beton Menggunakan Ready Mixed F'c 35 Mpa</t>
        </is>
      </c>
      <c r="D238" s="3" t="inlineStr">
        <is>
          <t>m12</t>
        </is>
      </c>
      <c r="E238" s="4" t="n">
        <v>1516805</v>
      </c>
    </row>
    <row r="239">
      <c r="A239" s="3" t="n">
        <v>237</v>
      </c>
      <c r="B239" s="3" t="inlineStr">
        <is>
          <t>2.2.1.7.1</t>
        </is>
      </c>
      <c r="C239" s="3" t="inlineStr">
        <is>
          <t>1 m3 beton dicorkan pada tapak setiap tambah jarak 25 m', secara manual</t>
        </is>
      </c>
      <c r="D239" s="3" t="inlineStr">
        <is>
          <t>m3</t>
        </is>
      </c>
      <c r="E239" s="4" t="n">
        <v>66495</v>
      </c>
    </row>
    <row r="240">
      <c r="A240" s="3" t="n">
        <v>238</v>
      </c>
      <c r="B240" s="3" t="inlineStr">
        <is>
          <t>2.2.1.7.2</t>
        </is>
      </c>
      <c r="C240" s="3" t="inlineStr">
        <is>
          <t>1 m3 beton dicorkan pada tapak setiap kenaikan 4 m', secara manual</t>
        </is>
      </c>
      <c r="D240" s="3" t="inlineStr">
        <is>
          <t>m3</t>
        </is>
      </c>
      <c r="E240" s="4" t="n">
        <v>141680</v>
      </c>
    </row>
    <row r="241">
      <c r="A241" s="3" t="n">
        <v>239</v>
      </c>
      <c r="B241" s="3" t="inlineStr">
        <is>
          <t>2.2.1.7.3</t>
        </is>
      </c>
      <c r="C241" s="3" t="inlineStr">
        <is>
          <t>Pengecoran pakai pompa beton ø 1,5"; 5 KW; 8 bar; T = 5 m' (untuk Bangunan Gedung)</t>
        </is>
      </c>
      <c r="D241" s="3" t="inlineStr">
        <is>
          <t>m3</t>
        </is>
      </c>
      <c r="E241" s="4" t="n">
        <v>942480</v>
      </c>
    </row>
    <row r="242">
      <c r="A242" s="3" t="n">
        <v>240</v>
      </c>
      <c r="B242" s="3" t="inlineStr">
        <is>
          <t>2.2.1.7.4</t>
        </is>
      </c>
      <c r="C242" s="3" t="inlineStr">
        <is>
          <t>Pengecoran pakai pompa beton ø 2,5", 20 KW, 20 bar, T = 18m'</t>
        </is>
      </c>
      <c r="D242" s="3" t="inlineStr">
        <is>
          <t>m3</t>
        </is>
      </c>
      <c r="E242" s="4" t="n">
        <v>847440</v>
      </c>
    </row>
    <row r="243">
      <c r="A243" s="3" t="n">
        <v>241</v>
      </c>
      <c r="B243" s="3" t="inlineStr">
        <is>
          <t>2.2.1.7.5</t>
        </is>
      </c>
      <c r="C243" s="3" t="inlineStr">
        <is>
          <t>Pengecoran pakai pompa beton ∅ 2,5”, 75 KW; 120 bar, T = 50 m’/H= 80 m’</t>
        </is>
      </c>
      <c r="D243" s="3" t="inlineStr">
        <is>
          <t>m3</t>
        </is>
      </c>
      <c r="E243" s="4" t="n">
        <v>739200</v>
      </c>
    </row>
    <row r="244">
      <c r="A244" s="3" t="n">
        <v>242</v>
      </c>
      <c r="B244" s="3" t="inlineStr">
        <is>
          <t>2.2.1.7.6</t>
        </is>
      </c>
      <c r="C244" s="3" t="inlineStr">
        <is>
          <t>Pengecoran pakai pompa beton ∅ 3”,140 KW; 180 bar, T=75 m'/H=150 m'</t>
        </is>
      </c>
      <c r="D244" s="3" t="inlineStr">
        <is>
          <t>m3</t>
        </is>
      </c>
      <c r="E244" s="4" t="n">
        <v>725120</v>
      </c>
    </row>
    <row r="245">
      <c r="A245" s="3" t="n">
        <v>243</v>
      </c>
      <c r="B245" s="3" t="inlineStr">
        <is>
          <t>2.2.1.8.1</t>
        </is>
      </c>
      <c r="C245" s="3" t="inlineStr">
        <is>
          <t>Pemadatan 1 m3 beton dengan baja tulangan pada bangunan gedung</t>
        </is>
      </c>
      <c r="D245" s="3" t="inlineStr">
        <is>
          <t>m3</t>
        </is>
      </c>
      <c r="E245" s="4" t="n">
        <v>26400</v>
      </c>
    </row>
    <row r="246">
      <c r="A246" s="3" t="n">
        <v>244</v>
      </c>
      <c r="B246" s="3" t="inlineStr">
        <is>
          <t>2.2.1.8.2</t>
        </is>
      </c>
      <c r="C246" s="3" t="inlineStr">
        <is>
          <t>Pemadatan 1 m3 beton menggunakan vibrator pada bangunan gedung</t>
        </is>
      </c>
      <c r="D246" s="3" t="inlineStr">
        <is>
          <t>m3</t>
        </is>
      </c>
      <c r="E246" s="4" t="n">
        <v>80960</v>
      </c>
    </row>
    <row r="247">
      <c r="A247" s="3" t="n">
        <v>245</v>
      </c>
      <c r="B247" s="3" t="inlineStr">
        <is>
          <t>2.2.1.9.1</t>
        </is>
      </c>
      <c r="C247" s="3" t="inlineStr">
        <is>
          <t>Menggenangi 1 m2 permukaan beton dengan air selama 4 hari (untuk bangunan gedung)</t>
        </is>
      </c>
      <c r="D247" s="3" t="inlineStr">
        <is>
          <t>m2</t>
        </is>
      </c>
      <c r="E247" s="4" t="n">
        <v>2964</v>
      </c>
    </row>
    <row r="248">
      <c r="A248" s="3" t="n">
        <v>246</v>
      </c>
      <c r="B248" s="3" t="inlineStr">
        <is>
          <t>2.2.1.9.2</t>
        </is>
      </c>
      <c r="C248" s="3" t="inlineStr">
        <is>
          <t>Menyirami 1 m2 permukaan beton menggunakan media kain terpal selama 4 hari (untuk Bangunan Gedung)</t>
        </is>
      </c>
      <c r="D248" s="3" t="inlineStr">
        <is>
          <t>m2</t>
        </is>
      </c>
      <c r="E248" s="4" t="n">
        <v>15884</v>
      </c>
    </row>
    <row r="249">
      <c r="A249" s="3" t="n">
        <v>247</v>
      </c>
      <c r="B249" s="3" t="inlineStr">
        <is>
          <t>2.2.1.9.3</t>
        </is>
      </c>
      <c r="C249" s="3" t="inlineStr">
        <is>
          <t>Menyirami 1 m2 permukaan beton menggunakan media karung goni selama 4 hari</t>
        </is>
      </c>
      <c r="D249" s="3" t="inlineStr">
        <is>
          <t>m2</t>
        </is>
      </c>
      <c r="E249" s="4" t="n">
        <v>18689</v>
      </c>
    </row>
    <row r="250">
      <c r="A250" s="3" t="n">
        <v>248</v>
      </c>
      <c r="B250" s="3" t="inlineStr">
        <is>
          <t>2.2.1.10.1</t>
        </is>
      </c>
      <c r="C250" s="3" t="inlineStr">
        <is>
          <t>Pembuatan 1 m' kolom praktis beton bertulang (11x11)</t>
        </is>
      </c>
      <c r="D250" s="3" t="inlineStr">
        <is>
          <t>m</t>
        </is>
      </c>
      <c r="E250" s="4" t="n">
        <v>116740</v>
      </c>
    </row>
    <row r="251">
      <c r="A251" s="3" t="n">
        <v>249</v>
      </c>
      <c r="B251" s="3" t="inlineStr">
        <is>
          <t>2.2.1.10.2</t>
        </is>
      </c>
      <c r="C251" s="3" t="inlineStr">
        <is>
          <t>Pembuatan 1 m' balok praktis beton bertulang (10x15)</t>
        </is>
      </c>
      <c r="D251" s="3" t="inlineStr">
        <is>
          <t>m</t>
        </is>
      </c>
      <c r="E251" s="4" t="n">
        <v>156276</v>
      </c>
    </row>
    <row r="252">
      <c r="A252" s="3" t="n">
        <v>250</v>
      </c>
      <c r="B252" s="3" t="inlineStr">
        <is>
          <t>2.2.1.11.1</t>
        </is>
      </c>
      <c r="C252" s="3" t="inlineStr">
        <is>
          <t>1 m3 pekerjaan grouting secara manual pada bangunan gedung</t>
        </is>
      </c>
      <c r="D252" s="3" t="inlineStr">
        <is>
          <t>m3</t>
        </is>
      </c>
      <c r="E252" s="4" t="n">
        <v>13027229</v>
      </c>
    </row>
    <row r="253">
      <c r="A253" s="3" t="n">
        <v>251</v>
      </c>
      <c r="B253" s="3" t="inlineStr">
        <is>
          <t>2.2.1.11.2</t>
        </is>
      </c>
      <c r="C253" s="3" t="inlineStr">
        <is>
          <t>1 kg pekerjaan grouting secara injeksi pada bangunan gedung</t>
        </is>
      </c>
      <c r="D253" s="3" t="inlineStr">
        <is>
          <t>kg</t>
        </is>
      </c>
      <c r="E253" s="4" t="n">
        <v>285490</v>
      </c>
    </row>
    <row r="254">
      <c r="A254" s="3" t="n">
        <v>252</v>
      </c>
      <c r="B254" s="3" t="inlineStr">
        <is>
          <t>2.2.2.1.1</t>
        </is>
      </c>
      <c r="C254" s="3" t="inlineStr">
        <is>
          <t>Pemasangan 1 m3 batu kosong (anstamping) untuk pondasi gedung</t>
        </is>
      </c>
      <c r="D254" s="3" t="inlineStr">
        <is>
          <t>m3</t>
        </is>
      </c>
      <c r="E254" s="4" t="n">
        <v>657585</v>
      </c>
    </row>
    <row r="255">
      <c r="A255" s="3" t="n">
        <v>253</v>
      </c>
      <c r="B255" s="3" t="inlineStr">
        <is>
          <t>2.2.2.1.2</t>
        </is>
      </c>
      <c r="C255" s="3" t="inlineStr">
        <is>
          <t>Pemasangan 1 m3 pondasi batu belah mortar tipe M 17,5 Mpa setara 1SP : 2PP, cara manual</t>
        </is>
      </c>
      <c r="D255" s="3" t="inlineStr">
        <is>
          <t>m3</t>
        </is>
      </c>
      <c r="E255" s="4" t="n">
        <v>1149390</v>
      </c>
    </row>
    <row r="256">
      <c r="A256" s="3" t="n">
        <v>254</v>
      </c>
      <c r="B256" s="3" t="inlineStr">
        <is>
          <t>2.2.2.1.3</t>
        </is>
      </c>
      <c r="C256" s="3" t="inlineStr">
        <is>
          <t>Pemasangan 1 m3 pondasi batu belah mortar tipe M 17,5 Mpa (setara 1SP : 2PP), cara semi mekanis</t>
        </is>
      </c>
      <c r="D256" s="3" t="inlineStr">
        <is>
          <t>m3</t>
        </is>
      </c>
      <c r="E256" s="4" t="n">
        <v>1098009</v>
      </c>
    </row>
    <row r="257">
      <c r="A257" s="3" t="n">
        <v>255</v>
      </c>
      <c r="B257" s="3" t="inlineStr">
        <is>
          <t>2.2.2.1.4</t>
        </is>
      </c>
      <c r="C257" s="3" t="inlineStr">
        <is>
          <t>Pemasangan 1 m3 pondasi batu belah mortar tipe S 12,5 Mpa (setara 1SP : 3PP), cara manual</t>
        </is>
      </c>
      <c r="D257" s="3" t="inlineStr">
        <is>
          <t>m3</t>
        </is>
      </c>
      <c r="E257" s="4" t="n">
        <v>1091502</v>
      </c>
    </row>
    <row r="258">
      <c r="A258" s="3" t="n">
        <v>256</v>
      </c>
      <c r="B258" s="3" t="inlineStr">
        <is>
          <t>2.2.2.1.5</t>
        </is>
      </c>
      <c r="C258" s="3" t="inlineStr">
        <is>
          <t>Pemasangan 1 m3 pondasi batu belah mortar tipe S 12,5 Mpa (setara 1SP : 3PP), cara semi mekanis</t>
        </is>
      </c>
      <c r="D258" s="3" t="inlineStr">
        <is>
          <t>m3</t>
        </is>
      </c>
      <c r="E258" s="4" t="n">
        <v>1040121</v>
      </c>
    </row>
    <row r="259">
      <c r="A259" s="3" t="n">
        <v>257</v>
      </c>
      <c r="B259" s="3" t="inlineStr">
        <is>
          <t>2.2.2.1.6</t>
        </is>
      </c>
      <c r="C259" s="3" t="inlineStr">
        <is>
          <t>Pemasangan 1 m3 pondasi batu belah mortar tipe N 5,2 Mpa (setara 1SP : 4PP), cara manual</t>
        </is>
      </c>
      <c r="D259" s="3" t="inlineStr">
        <is>
          <t>m3</t>
        </is>
      </c>
      <c r="E259" s="4" t="n">
        <v>1046320</v>
      </c>
    </row>
    <row r="260">
      <c r="A260" s="3" t="n">
        <v>258</v>
      </c>
      <c r="B260" s="3" t="inlineStr">
        <is>
          <t>2.2.2.1.7</t>
        </is>
      </c>
      <c r="C260" s="3" t="inlineStr">
        <is>
          <t>Pemasangan 1 m3 pondasi batu belah mortar tipe N 5,2 Mpa (setara 1SP : 4PP), cara semi mekanis</t>
        </is>
      </c>
      <c r="D260" s="3" t="inlineStr">
        <is>
          <t>m3</t>
        </is>
      </c>
      <c r="E260" s="4" t="n">
        <v>994939</v>
      </c>
    </row>
    <row r="261">
      <c r="A261" s="3" t="n">
        <v>259</v>
      </c>
      <c r="B261" s="3" t="inlineStr">
        <is>
          <t>2.2.2.1.8</t>
        </is>
      </c>
      <c r="C261" s="3" t="inlineStr">
        <is>
          <t>Pemasangan 1 m3 pondasi batu belah mortar tipe O 2,4 Mpa (setara 1SP : 5PP), cara manual</t>
        </is>
      </c>
      <c r="D261" s="3" t="inlineStr">
        <is>
          <t>m3</t>
        </is>
      </c>
      <c r="E261" s="4" t="n">
        <v>1013540</v>
      </c>
    </row>
    <row r="262">
      <c r="A262" s="3" t="n">
        <v>260</v>
      </c>
      <c r="B262" s="3" t="inlineStr">
        <is>
          <t>2.2.2.1.9</t>
        </is>
      </c>
      <c r="C262" s="3" t="inlineStr">
        <is>
          <t>Pemasangan 1 m3 pondasi batu belah mortar tipe O 2,4 Mpa (setara 1SP : 5PP), cara semi mekanis</t>
        </is>
      </c>
      <c r="D262" s="3" t="inlineStr">
        <is>
          <t>m3</t>
        </is>
      </c>
      <c r="E262" s="4" t="n">
        <v>962159</v>
      </c>
    </row>
    <row r="263">
      <c r="A263" s="3" t="n">
        <v>261</v>
      </c>
      <c r="B263" s="3" t="inlineStr">
        <is>
          <t>2.2.2.1.10</t>
        </is>
      </c>
      <c r="C263" s="3" t="inlineStr">
        <is>
          <t>Pemasangan 1 m3 pondasi batu belah campuran 1SP : 6PP, cara manual</t>
        </is>
      </c>
      <c r="D263" s="3" t="inlineStr">
        <is>
          <t>m3</t>
        </is>
      </c>
      <c r="E263" s="4" t="n">
        <v>992942</v>
      </c>
    </row>
    <row r="264">
      <c r="A264" s="3" t="n">
        <v>262</v>
      </c>
      <c r="B264" s="3" t="inlineStr">
        <is>
          <t>2.2.2.2.11</t>
        </is>
      </c>
      <c r="C264" s="3" t="inlineStr">
        <is>
          <t>Pemasangan 1 m3 pondasi batu belah campuran 1SP : 6PP, cara semi mekanis</t>
        </is>
      </c>
      <c r="D264" s="3" t="inlineStr">
        <is>
          <t>m3</t>
        </is>
      </c>
      <c r="E264" s="4" t="n">
        <v>941561</v>
      </c>
    </row>
    <row r="265">
      <c r="A265" s="3" t="n">
        <v>263</v>
      </c>
      <c r="B265" s="3" t="inlineStr">
        <is>
          <t>2.2.2.2.1</t>
        </is>
      </c>
      <c r="C265" s="3" t="inlineStr">
        <is>
          <t>Pembuatan 1 m3 pondasi beton siklop, 60% beton fc' 15 MPa : 40% batu belah untuk vol. s.d 200 m3 secara manual</t>
        </is>
      </c>
      <c r="D265" s="3" t="inlineStr">
        <is>
          <t>m3</t>
        </is>
      </c>
      <c r="E265" s="4" t="n">
        <v>1012906</v>
      </c>
    </row>
    <row r="266">
      <c r="A266" s="3" t="n">
        <v>264</v>
      </c>
      <c r="B266" s="3" t="inlineStr">
        <is>
          <t>2.2.2.2.2</t>
        </is>
      </c>
      <c r="C266" s="3" t="inlineStr">
        <is>
          <t>Pembuatan 1 m3 pondasi beton siklop, 60% beton fc' 15 MPa : 40% batu belah untuk vol. &gt; 200 m3 secara manual</t>
        </is>
      </c>
      <c r="D266" s="3" t="inlineStr">
        <is>
          <t>m3</t>
        </is>
      </c>
      <c r="E266" s="4" t="n">
        <v>1005253</v>
      </c>
    </row>
    <row r="267">
      <c r="A267" s="3" t="n">
        <v>265</v>
      </c>
      <c r="B267" s="3" t="inlineStr">
        <is>
          <t>2.2.2.2.3</t>
        </is>
      </c>
      <c r="C267" s="3" t="inlineStr">
        <is>
          <t>Pembuatan 1 m3 pondasi beton siklop, 60% beton fc' 15 MPa : 40% batu belah untuk vol. &gt; 200 m3 secara semi mekanis</t>
        </is>
      </c>
      <c r="D267" s="3" t="inlineStr">
        <is>
          <t>m3</t>
        </is>
      </c>
      <c r="E267" s="4" t="n">
        <v>972394</v>
      </c>
    </row>
    <row r="268">
      <c r="A268" s="3" t="n">
        <v>266</v>
      </c>
      <c r="B268" s="3" t="inlineStr">
        <is>
          <t>2.2.2.2.4</t>
        </is>
      </c>
      <c r="C268" s="3" t="inlineStr">
        <is>
          <t>Pembuatan 1 m3 pondasi beton siklop, 70% beton fc' 15 MPa : 30% batu belah untuk vol. &gt; 200 m3 secara manual</t>
        </is>
      </c>
      <c r="D268" s="3" t="inlineStr">
        <is>
          <t>m3</t>
        </is>
      </c>
      <c r="E268" s="4" t="n">
        <v>1081050</v>
      </c>
    </row>
    <row r="269">
      <c r="A269" s="3" t="n">
        <v>267</v>
      </c>
      <c r="B269" s="3" t="inlineStr">
        <is>
          <t>2.2.2.2.5</t>
        </is>
      </c>
      <c r="C269" s="3" t="inlineStr">
        <is>
          <t>Pembuatan 1 m3 pondasi beton siklop, 70% beton fc' 15 MPa : 30% batu belah untuk vol. &gt; 200 m3 secara semi mekanis</t>
        </is>
      </c>
      <c r="D269" s="3" t="inlineStr">
        <is>
          <t>m3</t>
        </is>
      </c>
      <c r="E269" s="4" t="n">
        <v>1049751</v>
      </c>
    </row>
    <row r="270">
      <c r="A270" s="3" t="n">
        <v>268</v>
      </c>
      <c r="B270" s="3" t="inlineStr">
        <is>
          <t>2.2.2.2.6</t>
        </is>
      </c>
      <c r="C270" s="3" t="inlineStr">
        <is>
          <t>Pembuatan 1 m3 pondasi sumuran, diameter 100 cm masif</t>
        </is>
      </c>
      <c r="D270" s="3" t="inlineStr">
        <is>
          <t>m3</t>
        </is>
      </c>
      <c r="E270" s="4" t="n">
        <v>973176</v>
      </c>
    </row>
    <row r="271">
      <c r="A271" s="3" t="n">
        <v>269</v>
      </c>
      <c r="B271" s="3" t="inlineStr">
        <is>
          <t>2.2.2.3.1</t>
        </is>
      </c>
      <c r="C271" s="3" t="inlineStr">
        <is>
          <t>Pengeboran 1 m' lubang bored pile φ 20 cm pada pada tanah lunak (manual)</t>
        </is>
      </c>
      <c r="D271" s="3" t="inlineStr">
        <is>
          <t>m'</t>
        </is>
      </c>
      <c r="E271" s="4" t="n">
        <v>708693</v>
      </c>
    </row>
    <row r="272">
      <c r="A272" s="3" t="n">
        <v>270</v>
      </c>
      <c r="B272" s="3" t="inlineStr">
        <is>
          <t>2.2.2.3.2</t>
        </is>
      </c>
      <c r="C272" s="3" t="inlineStr">
        <is>
          <t>Pengeboran 1 m' lubang bored pile φ 20 cm pada pada tanah sedang (manual)</t>
        </is>
      </c>
      <c r="D272" s="3" t="inlineStr">
        <is>
          <t>m'</t>
        </is>
      </c>
      <c r="E272" s="4" t="n">
        <v>19818</v>
      </c>
    </row>
    <row r="273">
      <c r="A273" s="3" t="n">
        <v>271</v>
      </c>
      <c r="B273" s="3" t="inlineStr">
        <is>
          <t>2.2.2.3.3</t>
        </is>
      </c>
      <c r="C273" s="3" t="inlineStr">
        <is>
          <t>Pengeboran 1 m' lubang bored pile φ 20 cm pada pada tanah keras, sangat padat, dan batuan lunak (manual)</t>
        </is>
      </c>
      <c r="D273" s="3" t="inlineStr">
        <is>
          <t>m'</t>
        </is>
      </c>
      <c r="E273" s="4" t="n">
        <v>131870</v>
      </c>
    </row>
    <row r="274">
      <c r="A274" s="3" t="n">
        <v>272</v>
      </c>
      <c r="B274" s="3" t="inlineStr">
        <is>
          <t>2.2.2.3.4</t>
        </is>
      </c>
      <c r="C274" s="3" t="inlineStr">
        <is>
          <t>Pengeboran 1 m' lubang bored pile φ 20 cm pada tanah berbatu (manual)</t>
        </is>
      </c>
      <c r="D274" s="3" t="inlineStr">
        <is>
          <t>m'</t>
        </is>
      </c>
      <c r="E274" s="4" t="n">
        <v>198018</v>
      </c>
    </row>
    <row r="275">
      <c r="A275" s="3" t="n">
        <v>273</v>
      </c>
      <c r="B275" s="3" t="inlineStr">
        <is>
          <t>2.2.2.3.5</t>
        </is>
      </c>
      <c r="C275" s="3" t="inlineStr">
        <is>
          <t>Pengeboran 1 m' lubang bored pile φ 30 cm pada tanah lunak (manual)</t>
        </is>
      </c>
      <c r="D275" s="3" t="inlineStr">
        <is>
          <t>m'</t>
        </is>
      </c>
      <c r="E275" s="4" t="n">
        <v>1576562</v>
      </c>
    </row>
    <row r="276">
      <c r="A276" s="3" t="n">
        <v>274</v>
      </c>
      <c r="B276" s="3" t="inlineStr">
        <is>
          <t>2.2.2.3.6</t>
        </is>
      </c>
      <c r="C276" s="3" t="inlineStr">
        <is>
          <t>Pengeboran 1 m' lubang bored pile φ 30 cm pada tanah sedang (manual)</t>
        </is>
      </c>
      <c r="D276" s="3" t="inlineStr">
        <is>
          <t>m'</t>
        </is>
      </c>
      <c r="E276" s="4" t="n">
        <v>49170</v>
      </c>
    </row>
    <row r="277">
      <c r="A277" s="3" t="n">
        <v>275</v>
      </c>
      <c r="B277" s="3" t="inlineStr">
        <is>
          <t>2.2.2.3.7</t>
        </is>
      </c>
      <c r="C277" s="3" t="inlineStr">
        <is>
          <t>Pengeboran 1 m' lubang bored pile φ 30 cm pada pada tanah keras, sangat padat, dan batuan lunak (manual)</t>
        </is>
      </c>
      <c r="D277" s="3" t="inlineStr">
        <is>
          <t>m'</t>
        </is>
      </c>
      <c r="E277" s="4" t="n">
        <v>297000</v>
      </c>
    </row>
    <row r="278">
      <c r="A278" s="3" t="n">
        <v>276</v>
      </c>
      <c r="B278" s="3" t="inlineStr">
        <is>
          <t>2.2.2.3.8</t>
        </is>
      </c>
      <c r="C278" s="3" t="inlineStr">
        <is>
          <t>Pengeboran 1 m' lubang bored pile φ 30 cm pada tanah berbatu (manual)</t>
        </is>
      </c>
      <c r="D278" s="3" t="inlineStr">
        <is>
          <t>m'</t>
        </is>
      </c>
      <c r="E278" s="4" t="n">
        <v>445423</v>
      </c>
    </row>
    <row r="279">
      <c r="A279" s="3" t="n">
        <v>277</v>
      </c>
      <c r="B279" s="3" t="inlineStr">
        <is>
          <t>2.2.2.3.9</t>
        </is>
      </c>
      <c r="C279" s="3" t="inlineStr">
        <is>
          <t>Pengeboran 1 m' lubang bored pile φ 40 cm pada tanah lunak (manual)</t>
        </is>
      </c>
      <c r="D279" s="3" t="inlineStr">
        <is>
          <t>m'</t>
        </is>
      </c>
      <c r="E279" s="4" t="n">
        <v>2811732</v>
      </c>
    </row>
    <row r="280">
      <c r="A280" s="3" t="n">
        <v>278</v>
      </c>
      <c r="B280" s="3" t="inlineStr">
        <is>
          <t>2.2.2.3.10</t>
        </is>
      </c>
      <c r="C280" s="3" t="inlineStr">
        <is>
          <t>Pengeboran 1 m' lubang bored pile φ 40 cm pada tanah sedang (manual)</t>
        </is>
      </c>
      <c r="D280" s="3" t="inlineStr">
        <is>
          <t>m'</t>
        </is>
      </c>
      <c r="E280" s="4" t="n">
        <v>96834</v>
      </c>
    </row>
    <row r="281">
      <c r="A281" s="3" t="n">
        <v>279</v>
      </c>
      <c r="B281" s="3" t="inlineStr">
        <is>
          <t>2.2.2.3.11</t>
        </is>
      </c>
      <c r="C281" s="3" t="inlineStr">
        <is>
          <t>Pengeboran 1 m' lubang bored pile φ 40 cm pada pada tanah keras, sangat padat, dan batuan lunak (manual)</t>
        </is>
      </c>
      <c r="D281" s="3" t="inlineStr">
        <is>
          <t>m'</t>
        </is>
      </c>
      <c r="E281" s="4" t="n">
        <v>432352</v>
      </c>
    </row>
    <row r="282">
      <c r="A282" s="3" t="n">
        <v>280</v>
      </c>
      <c r="B282" s="3" t="inlineStr">
        <is>
          <t>2.2.2.3.12</t>
        </is>
      </c>
      <c r="C282" s="3" t="inlineStr">
        <is>
          <t>Pengeboran 1 m' lubang bored pile φ 40 cm pada tanah berbatu (manual)</t>
        </is>
      </c>
      <c r="D282" s="3" t="inlineStr">
        <is>
          <t>m'</t>
        </is>
      </c>
      <c r="E282" s="4" t="n">
        <v>648676</v>
      </c>
    </row>
    <row r="283">
      <c r="A283" s="3" t="n">
        <v>281</v>
      </c>
      <c r="B283" s="3" t="inlineStr">
        <is>
          <t>2.2.2.3.13</t>
        </is>
      </c>
      <c r="C283" s="3" t="inlineStr">
        <is>
          <t>Pengeboran 1 m' lubang bored pile φ 50 cm pada tanah lunak (manual)</t>
        </is>
      </c>
      <c r="D283" s="3" t="inlineStr">
        <is>
          <t>m'</t>
        </is>
      </c>
      <c r="E283" s="4" t="n">
        <v>4420477</v>
      </c>
    </row>
    <row r="284">
      <c r="A284" s="3" t="n">
        <v>282</v>
      </c>
      <c r="B284" s="3" t="inlineStr">
        <is>
          <t>2.2.2.3.14</t>
        </is>
      </c>
      <c r="C284" s="3" t="inlineStr">
        <is>
          <t>Pengeboran 1 m' lubang bored pile φ 50 cm pada tanah sedang (manual)</t>
        </is>
      </c>
      <c r="D284" s="3" t="inlineStr">
        <is>
          <t>m'</t>
        </is>
      </c>
      <c r="E284" s="4" t="n">
        <v>167674</v>
      </c>
    </row>
    <row r="285">
      <c r="A285" s="3" t="n">
        <v>283</v>
      </c>
      <c r="B285" s="3" t="inlineStr">
        <is>
          <t>2.2.2.3.15</t>
        </is>
      </c>
      <c r="C285" s="3" t="inlineStr">
        <is>
          <t>Pengeboran 1 m' lubang bored pile φ 50 cm pada pada tanah keras, sangat padat, dan batuan lunak (manual)</t>
        </is>
      </c>
      <c r="D285" s="3" t="inlineStr">
        <is>
          <t>m'</t>
        </is>
      </c>
      <c r="E285" s="4" t="n">
        <v>1118313</v>
      </c>
    </row>
    <row r="286">
      <c r="A286" s="3" t="n">
        <v>284</v>
      </c>
      <c r="B286" s="3" t="inlineStr">
        <is>
          <t>2.2.2.3.16</t>
        </is>
      </c>
      <c r="C286" s="3" t="inlineStr">
        <is>
          <t>Pengeboran 1 m' lubang bored pile φ 50 cm pada tanah berbatu (manual)</t>
        </is>
      </c>
      <c r="D286" s="3" t="inlineStr">
        <is>
          <t>m'</t>
        </is>
      </c>
      <c r="E286" s="4" t="n">
        <v>1677424</v>
      </c>
    </row>
    <row r="287">
      <c r="A287" s="3" t="n">
        <v>285</v>
      </c>
      <c r="B287" s="3" t="inlineStr">
        <is>
          <t>2.2.2.3.17</t>
        </is>
      </c>
      <c r="C287" s="3" t="inlineStr">
        <is>
          <t>Pengeboran 1 m' lubang bored pile φ 60 cm (mekanis) untuk  bangunan gedung</t>
        </is>
      </c>
      <c r="D287" s="3" t="inlineStr">
        <is>
          <t>m'</t>
        </is>
      </c>
      <c r="E287" s="4" t="n">
        <v>139919</v>
      </c>
    </row>
    <row r="288">
      <c r="A288" s="3" t="n">
        <v>286</v>
      </c>
      <c r="B288" s="3" t="inlineStr">
        <is>
          <t>2.2.2.3.18</t>
        </is>
      </c>
      <c r="C288" s="3" t="inlineStr">
        <is>
          <t>Pengeboran 1 m' lubang bored pile φ 80 cm (mekanis) untuk  bangunan gedung</t>
        </is>
      </c>
      <c r="D288" s="3" t="inlineStr">
        <is>
          <t>m'</t>
        </is>
      </c>
      <c r="E288" s="4" t="n">
        <v>153833</v>
      </c>
    </row>
    <row r="289">
      <c r="A289" s="3" t="n">
        <v>287</v>
      </c>
      <c r="B289" s="3" t="inlineStr">
        <is>
          <t>2.2.2.3.19</t>
        </is>
      </c>
      <c r="C289" s="3" t="inlineStr">
        <is>
          <t>Pengeboran 1 m' lubang bored pile φ 100 cm (mekanis) untuk  bangunan gedung</t>
        </is>
      </c>
      <c r="D289" s="3" t="inlineStr">
        <is>
          <t>m'</t>
        </is>
      </c>
      <c r="E289" s="4" t="n">
        <v>168029</v>
      </c>
    </row>
    <row r="290">
      <c r="A290" s="3" t="n">
        <v>288</v>
      </c>
      <c r="B290" s="3" t="inlineStr">
        <is>
          <t>2.2.2.3.20</t>
        </is>
      </c>
      <c r="C290" s="3" t="inlineStr">
        <is>
          <t>Pengeboran 1 m' lubang bored pile φ 120 cm (mekanis) untuk  bangunan gedung</t>
        </is>
      </c>
      <c r="D290" s="3" t="inlineStr">
        <is>
          <t>m'</t>
        </is>
      </c>
      <c r="E290" s="4" t="n">
        <v>208981</v>
      </c>
    </row>
    <row r="291">
      <c r="A291" s="3" t="n">
        <v>289</v>
      </c>
      <c r="B291" s="3" t="inlineStr">
        <is>
          <t>2.2.2.4.1</t>
        </is>
      </c>
      <c r="C291" s="3" t="inlineStr">
        <is>
          <t>Per m' penetrasi Tiang Beton ∆  28 cm secara mekanis</t>
        </is>
      </c>
      <c r="D291" s="3" t="inlineStr">
        <is>
          <t>m'</t>
        </is>
      </c>
      <c r="E291" s="4" t="n">
        <v>89504</v>
      </c>
    </row>
    <row r="292">
      <c r="A292" s="3" t="n">
        <v>290</v>
      </c>
      <c r="B292" s="3" t="inlineStr">
        <is>
          <t>2.2.2.4.2</t>
        </is>
      </c>
      <c r="C292" s="3" t="inlineStr">
        <is>
          <t>Per m' penetrasi Tiang Beton ∆  32 cm secara mekanis</t>
        </is>
      </c>
      <c r="D292" s="3" t="inlineStr">
        <is>
          <t>m'</t>
        </is>
      </c>
      <c r="E292" s="4" t="n">
        <v>92399</v>
      </c>
    </row>
    <row r="293">
      <c r="A293" s="3" t="n">
        <v>291</v>
      </c>
      <c r="B293" s="3" t="inlineStr">
        <is>
          <t>2.2.2.4.3</t>
        </is>
      </c>
      <c r="C293" s="3" t="inlineStr">
        <is>
          <t>Per m' penetrasi Tiang Beton persegi 20cm x 20 cm secara mekanis</t>
        </is>
      </c>
      <c r="D293" s="3" t="inlineStr">
        <is>
          <t>m'</t>
        </is>
      </c>
      <c r="E293" s="4" t="n">
        <v>100121</v>
      </c>
    </row>
    <row r="294">
      <c r="A294" s="3" t="n">
        <v>292</v>
      </c>
      <c r="B294" s="3" t="inlineStr">
        <is>
          <t>2.2.2.4.4</t>
        </is>
      </c>
      <c r="C294" s="3" t="inlineStr">
        <is>
          <t>Per m' penetrasi Tiang Beton persegi 25 cm x 25 cm secara mekanis</t>
        </is>
      </c>
      <c r="D294" s="3" t="inlineStr">
        <is>
          <t>m'</t>
        </is>
      </c>
      <c r="E294" s="4" t="n">
        <v>104464</v>
      </c>
    </row>
    <row r="295">
      <c r="A295" s="3" t="n">
        <v>293</v>
      </c>
      <c r="B295" s="3" t="inlineStr">
        <is>
          <t>2.2.2.4.5</t>
        </is>
      </c>
      <c r="C295" s="3" t="inlineStr">
        <is>
          <t>Per m' penetrasi Tiang Beton persegi 30 cm x 30 cm secara mekanis</t>
        </is>
      </c>
      <c r="D295" s="3" t="inlineStr">
        <is>
          <t>m'</t>
        </is>
      </c>
      <c r="E295" s="4" t="n">
        <v>107096</v>
      </c>
    </row>
    <row r="296">
      <c r="A296" s="3" t="n">
        <v>294</v>
      </c>
      <c r="B296" s="3" t="inlineStr">
        <is>
          <t>2.2.2.4.6</t>
        </is>
      </c>
      <c r="C296" s="3" t="inlineStr">
        <is>
          <t>Per m' penetrasi Tiang Beton persegi 35 cm x 35 cm secara mekanis</t>
        </is>
      </c>
      <c r="D296" s="3" t="inlineStr">
        <is>
          <t>m'</t>
        </is>
      </c>
      <c r="E296" s="4" t="n">
        <v>107755</v>
      </c>
    </row>
    <row r="297">
      <c r="A297" s="3" t="n">
        <v>295</v>
      </c>
      <c r="B297" s="3" t="inlineStr">
        <is>
          <t>2.2.2.4.7</t>
        </is>
      </c>
      <c r="C297" s="3" t="inlineStr">
        <is>
          <t>Per m' penetrasi Tiang Beton persegi 40 cm x 40 cm secara mekanis</t>
        </is>
      </c>
      <c r="D297" s="3" t="inlineStr">
        <is>
          <t>m'</t>
        </is>
      </c>
      <c r="E297" s="4" t="n">
        <v>111830</v>
      </c>
    </row>
    <row r="298">
      <c r="A298" s="3" t="n">
        <v>296</v>
      </c>
      <c r="B298" s="3" t="inlineStr">
        <is>
          <t>2.2.2.4.8</t>
        </is>
      </c>
      <c r="C298" s="3" t="inlineStr">
        <is>
          <t>Per m' penetrasi Tiang Beton persegi 45 cm x 45 cm secara mekanis</t>
        </is>
      </c>
      <c r="D298" s="3" t="inlineStr">
        <is>
          <t>m'</t>
        </is>
      </c>
      <c r="E298" s="4" t="n">
        <v>116042</v>
      </c>
    </row>
    <row r="299">
      <c r="A299" s="3" t="n">
        <v>297</v>
      </c>
      <c r="B299" s="3" t="inlineStr">
        <is>
          <t>2.2.2.4.9</t>
        </is>
      </c>
      <c r="C299" s="3" t="inlineStr">
        <is>
          <t>Per m' penetrasi Tiang Beton persegi 50 cm x 50 cm secara mekanis</t>
        </is>
      </c>
      <c r="D299" s="3" t="inlineStr">
        <is>
          <t>m'</t>
        </is>
      </c>
      <c r="E299" s="4" t="n">
        <v>116571</v>
      </c>
    </row>
    <row r="300">
      <c r="A300" s="3" t="n">
        <v>298</v>
      </c>
      <c r="B300" s="3" t="inlineStr">
        <is>
          <t>2.2.2.4.10</t>
        </is>
      </c>
      <c r="C300" s="3" t="inlineStr">
        <is>
          <t>Per m' penetrasi Spun Pile Diameter 30 cm secara mekanis</t>
        </is>
      </c>
      <c r="D300" s="3" t="inlineStr">
        <is>
          <t>m'</t>
        </is>
      </c>
      <c r="E300" s="4" t="n">
        <v>103824</v>
      </c>
    </row>
    <row r="301">
      <c r="A301" s="3" t="n">
        <v>299</v>
      </c>
      <c r="B301" s="3" t="inlineStr">
        <is>
          <t>2.2.2.4.11</t>
        </is>
      </c>
      <c r="C301" s="3" t="inlineStr">
        <is>
          <t>Per m' penetrasi Spun Pile Diameter 35 cm secara mekanis</t>
        </is>
      </c>
      <c r="D301" s="3" t="inlineStr">
        <is>
          <t>m'</t>
        </is>
      </c>
      <c r="E301" s="4" t="n">
        <v>106184</v>
      </c>
    </row>
    <row r="302">
      <c r="A302" s="3" t="n">
        <v>300</v>
      </c>
      <c r="B302" s="3" t="inlineStr">
        <is>
          <t>2.2.2.4.12</t>
        </is>
      </c>
      <c r="C302" s="3" t="inlineStr">
        <is>
          <t>Per m' penetrasi Spun Pile Diameter 40 cm secara mekanis</t>
        </is>
      </c>
      <c r="D302" s="3" t="inlineStr">
        <is>
          <t>m'</t>
        </is>
      </c>
      <c r="E302" s="4" t="n">
        <v>108478</v>
      </c>
    </row>
    <row r="303">
      <c r="A303" s="3" t="n">
        <v>301</v>
      </c>
      <c r="B303" s="3" t="inlineStr">
        <is>
          <t>2.2.2.4.13</t>
        </is>
      </c>
      <c r="C303" s="3" t="inlineStr">
        <is>
          <t>Per m' penetrasi Spun Pile Diameter 45 cm secara mekanis</t>
        </is>
      </c>
      <c r="D303" s="3" t="inlineStr">
        <is>
          <t>m'</t>
        </is>
      </c>
      <c r="E303" s="4" t="n">
        <v>112690</v>
      </c>
    </row>
    <row r="304">
      <c r="A304" s="3" t="n">
        <v>302</v>
      </c>
      <c r="B304" s="3" t="inlineStr">
        <is>
          <t>2.2.2.4.14</t>
        </is>
      </c>
      <c r="C304" s="3" t="inlineStr">
        <is>
          <t>Per m' penetrasi Spun Pile Diameter 50 cm secara mekanis</t>
        </is>
      </c>
      <c r="D304" s="3" t="inlineStr">
        <is>
          <t>m'</t>
        </is>
      </c>
      <c r="E304" s="4" t="n">
        <v>113281</v>
      </c>
    </row>
    <row r="305">
      <c r="A305" s="3" t="n">
        <v>303</v>
      </c>
      <c r="B305" s="3" t="inlineStr">
        <is>
          <t>2.2.2.4.15</t>
        </is>
      </c>
      <c r="C305" s="3" t="inlineStr">
        <is>
          <t>Per m' penetrasi Spun Pile Diameter 60 cm secara mekanis</t>
        </is>
      </c>
      <c r="D305" s="3" t="inlineStr">
        <is>
          <t>m'</t>
        </is>
      </c>
      <c r="E305" s="4" t="n">
        <v>114200</v>
      </c>
    </row>
    <row r="306">
      <c r="A306" s="3" t="n">
        <v>304</v>
      </c>
      <c r="B306" s="3" t="inlineStr">
        <is>
          <t>2.2.2.4.16</t>
        </is>
      </c>
      <c r="C306" s="3" t="inlineStr">
        <is>
          <t>Per m' Pengelasan Tiang Beton tebal 5 mm</t>
        </is>
      </c>
      <c r="D306" s="3" t="inlineStr">
        <is>
          <t>m'</t>
        </is>
      </c>
      <c r="E306" s="4" t="n">
        <v>12600</v>
      </c>
    </row>
    <row r="307">
      <c r="A307" s="3" t="n">
        <v>305</v>
      </c>
      <c r="B307" s="3" t="inlineStr">
        <is>
          <t>2.2.2.4.17</t>
        </is>
      </c>
      <c r="C307" s="3" t="inlineStr">
        <is>
          <t>Per m' Pengelasan Tiang Beton tebal 6 mm</t>
        </is>
      </c>
      <c r="D307" s="3" t="inlineStr">
        <is>
          <t>m'</t>
        </is>
      </c>
      <c r="E307" s="4" t="n">
        <v>17556</v>
      </c>
    </row>
    <row r="308">
      <c r="A308" s="3" t="n">
        <v>306</v>
      </c>
      <c r="B308" s="3" t="inlineStr">
        <is>
          <t>2.2.2.4.18</t>
        </is>
      </c>
      <c r="C308" s="3" t="inlineStr">
        <is>
          <t>Per m' Pengelasan Tiang Beton tebal 8 mm</t>
        </is>
      </c>
      <c r="D308" s="3" t="inlineStr">
        <is>
          <t>m'</t>
        </is>
      </c>
      <c r="E308" s="4" t="n">
        <v>30686</v>
      </c>
    </row>
    <row r="309">
      <c r="A309" s="3" t="n">
        <v>307</v>
      </c>
      <c r="B309" s="3" t="inlineStr">
        <is>
          <t>2.2.2.4.19</t>
        </is>
      </c>
      <c r="C309" s="3" t="inlineStr">
        <is>
          <t>Per m' Pengelasan Tiang Beton tebal 10 mm</t>
        </is>
      </c>
      <c r="D309" s="3" t="inlineStr">
        <is>
          <t>m'</t>
        </is>
      </c>
      <c r="E309" s="4" t="n">
        <v>47582</v>
      </c>
    </row>
    <row r="310">
      <c r="A310" s="3" t="n">
        <v>308</v>
      </c>
      <c r="B310" s="3" t="inlineStr">
        <is>
          <t>2.2.2.5.1</t>
        </is>
      </c>
      <c r="C310" s="3" t="inlineStr">
        <is>
          <t>Per m' penetrasi turap beton pre-cast 12 x 30 cm , pjg -4 m; berat 100 kg/m'</t>
        </is>
      </c>
      <c r="D310" s="3" t="inlineStr">
        <is>
          <t>m'</t>
        </is>
      </c>
      <c r="E310" s="4" t="n">
        <v>47597</v>
      </c>
    </row>
    <row r="311">
      <c r="A311" s="3" t="n">
        <v>309</v>
      </c>
      <c r="B311" s="3" t="inlineStr">
        <is>
          <t>2.2.2.5.2</t>
        </is>
      </c>
      <c r="C311" s="3" t="inlineStr">
        <is>
          <t>Per m' penetrasi turap beton pre-cast 15 x 40 cm , pjg -4 m; berat 150 kg/m'</t>
        </is>
      </c>
      <c r="D311" s="3" t="inlineStr">
        <is>
          <t>m'</t>
        </is>
      </c>
      <c r="E311" s="4" t="n">
        <v>59029</v>
      </c>
    </row>
    <row r="312">
      <c r="A312" s="3" t="n">
        <v>310</v>
      </c>
      <c r="B312" s="3" t="inlineStr">
        <is>
          <t>2.2.2.5.3</t>
        </is>
      </c>
      <c r="C312" s="3" t="inlineStr">
        <is>
          <t>Per m' penetrasi turap beton pre-cast 22 x 50 cm , pjg -4 m; berat 275 kg/m'</t>
        </is>
      </c>
      <c r="D312" s="3" t="inlineStr">
        <is>
          <t>m'</t>
        </is>
      </c>
      <c r="E312" s="4" t="n">
        <v>78792</v>
      </c>
    </row>
    <row r="313">
      <c r="A313" s="3" t="n">
        <v>311</v>
      </c>
      <c r="B313" s="3" t="inlineStr">
        <is>
          <t>2.2.2.5.4</t>
        </is>
      </c>
      <c r="C313" s="3" t="inlineStr">
        <is>
          <t>Per m' penetrasi turap beton pre-cast 32 x 50 cm , pjg -4 m; berat 400 kg/m'</t>
        </is>
      </c>
      <c r="D313" s="3" t="inlineStr">
        <is>
          <t>m'</t>
        </is>
      </c>
      <c r="E313" s="4" t="n">
        <v>85940</v>
      </c>
    </row>
    <row r="314">
      <c r="A314" s="3" t="n">
        <v>312</v>
      </c>
      <c r="B314" s="3" t="inlineStr">
        <is>
          <t>2.2.2.5.5</t>
        </is>
      </c>
      <c r="C314" s="3" t="inlineStr">
        <is>
          <t>Per m' penetrasi turap beton tulang  pre-cast W-400; ebar 1,0 m; pjg -4 m; berat 350 kg/m'</t>
        </is>
      </c>
      <c r="D314" s="3" t="inlineStr">
        <is>
          <t>m'</t>
        </is>
      </c>
      <c r="E314" s="4" t="n">
        <v>105874</v>
      </c>
    </row>
    <row r="315">
      <c r="A315" s="3" t="n">
        <v>313</v>
      </c>
      <c r="B315" s="3" t="inlineStr">
        <is>
          <t>2.2.2.5.6</t>
        </is>
      </c>
      <c r="C315" s="3" t="inlineStr">
        <is>
          <t>Per m' penetrasi turap beton tulang  pre-cast W-600; lebar 1,0 m; pjg -4 m; berat 375 kg/m' (untuk bangunan gedung)</t>
        </is>
      </c>
      <c r="D315" s="3" t="inlineStr">
        <is>
          <t>m'</t>
        </is>
      </c>
      <c r="E315" s="4" t="n">
        <v>114826</v>
      </c>
    </row>
    <row r="316">
      <c r="A316" s="3" t="n">
        <v>314</v>
      </c>
      <c r="B316" s="3" t="inlineStr">
        <is>
          <t>2.3.1.1</t>
        </is>
      </c>
      <c r="C316" s="3" t="inlineStr">
        <is>
          <t>1 kg Pabrikasi dan Ereksi Baja Profil</t>
        </is>
      </c>
      <c r="D316" s="3" t="inlineStr">
        <is>
          <t>Kg</t>
        </is>
      </c>
      <c r="E316" s="4" t="n">
        <v>34049</v>
      </c>
    </row>
    <row r="317">
      <c r="A317" s="3" t="n">
        <v>315</v>
      </c>
      <c r="B317" s="3" t="inlineStr">
        <is>
          <t>2.3.1.2</t>
        </is>
      </c>
      <c r="C317" s="3" t="inlineStr">
        <is>
          <t>1 kg Pemasangan angkur</t>
        </is>
      </c>
      <c r="D317" s="3" t="inlineStr">
        <is>
          <t>Kg</t>
        </is>
      </c>
      <c r="E317" s="4" t="n">
        <v>30091</v>
      </c>
    </row>
    <row r="318">
      <c r="A318" s="3" t="n">
        <v>316</v>
      </c>
      <c r="B318" s="3" t="inlineStr">
        <is>
          <t>2.3.1.3</t>
        </is>
      </c>
      <c r="C318" s="3" t="inlineStr">
        <is>
          <t>1 kg Pemasangan baut</t>
        </is>
      </c>
      <c r="D318" s="3" t="inlineStr">
        <is>
          <t>Kg</t>
        </is>
      </c>
      <c r="E318" s="4" t="n">
        <v>29278</v>
      </c>
    </row>
    <row r="319">
      <c r="A319" s="3" t="n">
        <v>317</v>
      </c>
      <c r="B319" s="3" t="inlineStr">
        <is>
          <t>2.3.1.4</t>
        </is>
      </c>
      <c r="C319" s="3" t="inlineStr">
        <is>
          <t>1 kg pekerjaan  baja pelat secara semi mekanis</t>
        </is>
      </c>
      <c r="D319" s="3" t="inlineStr">
        <is>
          <t>Kg</t>
        </is>
      </c>
      <c r="E319" s="4" t="n">
        <v>44589</v>
      </c>
    </row>
    <row r="320">
      <c r="A320" s="3" t="n">
        <v>318</v>
      </c>
      <c r="B320" s="3" t="inlineStr">
        <is>
          <t>2.3.1.5</t>
        </is>
      </c>
      <c r="C320" s="3" t="inlineStr">
        <is>
          <t>1 kg pekerjaan  baja profil siku dengan pengelasan secara semi mekanis</t>
        </is>
      </c>
      <c r="D320" s="3" t="inlineStr">
        <is>
          <t>Kg</t>
        </is>
      </c>
      <c r="E320" s="4" t="n">
        <v>32571</v>
      </c>
    </row>
    <row r="321">
      <c r="A321" s="3" t="n">
        <v>319</v>
      </c>
      <c r="B321" s="3" t="inlineStr">
        <is>
          <t>2.3.1.6</t>
        </is>
      </c>
      <c r="C321" s="3" t="inlineStr">
        <is>
          <t>1 kg pekerjaan  baja profil siku tanpa pengelasan secara manual</t>
        </is>
      </c>
      <c r="D321" s="3" t="inlineStr">
        <is>
          <t>Kg</t>
        </is>
      </c>
      <c r="E321" s="4" t="n">
        <v>28093</v>
      </c>
    </row>
    <row r="322">
      <c r="A322" s="3" t="n">
        <v>320</v>
      </c>
      <c r="B322" s="3" t="inlineStr">
        <is>
          <t>2.4.1.1</t>
        </is>
      </c>
      <c r="C322" s="3" t="inlineStr">
        <is>
          <t>Pembuatan 1 m2 Bekisting untuk pelat Beton Pracetak Komponen Modular Bangunan gedung ( 5kali pakai )</t>
        </is>
      </c>
      <c r="D322" s="3" t="inlineStr">
        <is>
          <t>m2</t>
        </is>
      </c>
      <c r="E322" s="4" t="n">
        <v>264320</v>
      </c>
    </row>
    <row r="323">
      <c r="A323" s="3" t="n">
        <v>321</v>
      </c>
      <c r="B323" s="3" t="inlineStr">
        <is>
          <t>2.4.1.2</t>
        </is>
      </c>
      <c r="C323" s="3" t="inlineStr">
        <is>
          <t>Pembuatan 1 m2 Bekisting untuk balok Beton Pracetak ( 10 - 12 kali pakai )</t>
        </is>
      </c>
      <c r="D323" s="3" t="inlineStr">
        <is>
          <t>m2</t>
        </is>
      </c>
      <c r="E323" s="4" t="n">
        <v>82623</v>
      </c>
    </row>
    <row r="324">
      <c r="A324" s="3" t="n">
        <v>322</v>
      </c>
      <c r="B324" s="3" t="inlineStr">
        <is>
          <t>2.4.1.3</t>
        </is>
      </c>
      <c r="C324" s="3" t="inlineStr">
        <is>
          <t>Pembuatan 1 m2 Bekisting untuk kolom Beton Pracetak ( 10 - 12 kali pakai )</t>
        </is>
      </c>
      <c r="D324" s="3" t="inlineStr">
        <is>
          <t>m2</t>
        </is>
      </c>
      <c r="E324" s="4" t="n">
        <v>80290</v>
      </c>
    </row>
    <row r="325">
      <c r="A325" s="3" t="n">
        <v>323</v>
      </c>
      <c r="B325" s="3" t="inlineStr">
        <is>
          <t>2.4.1.4</t>
        </is>
      </c>
      <c r="C325" s="3" t="inlineStr">
        <is>
          <t>Pemasangan 1 titik bekisting joint pracetak</t>
        </is>
      </c>
      <c r="D325" s="3" t="inlineStr">
        <is>
          <t>m2</t>
        </is>
      </c>
      <c r="E325" s="4" t="n">
        <v>232144</v>
      </c>
    </row>
    <row r="326">
      <c r="A326" s="3" t="n">
        <v>324</v>
      </c>
      <c r="B326" s="3" t="inlineStr">
        <is>
          <t>2.4.2.1</t>
        </is>
      </c>
      <c r="C326" s="3" t="inlineStr">
        <is>
          <t>Pemasangan dan membuka cetakan 1 buah komponen pelat beton pracetak</t>
        </is>
      </c>
      <c r="D326" s="3" t="inlineStr">
        <is>
          <t>buah</t>
        </is>
      </c>
      <c r="E326" s="4" t="n">
        <v>9306</v>
      </c>
    </row>
    <row r="327">
      <c r="A327" s="3" t="n">
        <v>325</v>
      </c>
      <c r="B327" s="3" t="inlineStr">
        <is>
          <t>2.4.2.2</t>
        </is>
      </c>
      <c r="C327" s="3" t="inlineStr">
        <is>
          <t>Pemasangan dan membuka cetakan 1 buah komponen balok beton pracetak</t>
        </is>
      </c>
      <c r="D327" s="3" t="inlineStr">
        <is>
          <t>buah</t>
        </is>
      </c>
      <c r="E327" s="4" t="n">
        <v>15372</v>
      </c>
    </row>
    <row r="328">
      <c r="A328" s="3" t="n">
        <v>326</v>
      </c>
      <c r="B328" s="3" t="inlineStr">
        <is>
          <t>2.4.2.3</t>
        </is>
      </c>
      <c r="C328" s="3" t="inlineStr">
        <is>
          <t>Pemasangan dan membuka cetakan 1 buah komponen kolom beton pracetak</t>
        </is>
      </c>
      <c r="D328" s="3" t="inlineStr">
        <is>
          <t>buah</t>
        </is>
      </c>
      <c r="E328" s="4" t="n">
        <v>12243</v>
      </c>
    </row>
    <row r="329">
      <c r="A329" s="3" t="n">
        <v>327</v>
      </c>
      <c r="B329" s="3" t="inlineStr">
        <is>
          <t>2.4.3.1</t>
        </is>
      </c>
      <c r="C329" s="3" t="inlineStr">
        <is>
          <t>Penuangan / Menebar Beton 1 m3 untuk Pelat Beton Pracetak</t>
        </is>
      </c>
      <c r="D329" s="3" t="inlineStr">
        <is>
          <t>m3</t>
        </is>
      </c>
      <c r="E329" s="4" t="n">
        <v>75339</v>
      </c>
    </row>
    <row r="330">
      <c r="A330" s="3" t="n">
        <v>328</v>
      </c>
      <c r="B330" s="3" t="inlineStr">
        <is>
          <t>2.4.3.2</t>
        </is>
      </c>
      <c r="C330" s="3" t="inlineStr">
        <is>
          <t>Penuangan / Menebar Beton 1 m3 untuk Balok Beton Pracetak</t>
        </is>
      </c>
      <c r="D330" s="3" t="inlineStr">
        <is>
          <t>m3</t>
        </is>
      </c>
      <c r="E330" s="4" t="n">
        <v>77962</v>
      </c>
    </row>
    <row r="331">
      <c r="A331" s="3" t="n">
        <v>329</v>
      </c>
      <c r="B331" s="3" t="inlineStr">
        <is>
          <t>2.4.3.3</t>
        </is>
      </c>
      <c r="C331" s="3" t="inlineStr">
        <is>
          <t>Penuangan / Menebar Beton 1 m3 untuk KOLOM Beton Pracetak</t>
        </is>
      </c>
      <c r="D331" s="3" t="inlineStr">
        <is>
          <t>m3</t>
        </is>
      </c>
      <c r="E331" s="4" t="n">
        <v>68915</v>
      </c>
    </row>
    <row r="332">
      <c r="A332" s="3" t="n">
        <v>330</v>
      </c>
      <c r="B332" s="3" t="inlineStr">
        <is>
          <t>2.4.4.1</t>
        </is>
      </c>
      <c r="C332" s="3" t="inlineStr">
        <is>
          <t>Pemindahan 1 buah Komponen untuk Pelat Pracetak (± 20 m)</t>
        </is>
      </c>
      <c r="D332" s="3" t="inlineStr">
        <is>
          <t>buah</t>
        </is>
      </c>
      <c r="E332" s="4" t="n">
        <v>78969</v>
      </c>
    </row>
    <row r="333">
      <c r="A333" s="3" t="n">
        <v>331</v>
      </c>
      <c r="B333" s="3" t="inlineStr">
        <is>
          <t>2.4.4.2</t>
        </is>
      </c>
      <c r="C333" s="3" t="inlineStr">
        <is>
          <t>Pemindahan 1 buah Komponen untuk Balok Pracetak (± 20 m)</t>
        </is>
      </c>
      <c r="D333" s="3" t="inlineStr">
        <is>
          <t>buah</t>
        </is>
      </c>
      <c r="E333" s="4" t="n">
        <v>78969</v>
      </c>
    </row>
    <row r="334">
      <c r="A334" s="3" t="n">
        <v>332</v>
      </c>
      <c r="B334" s="3" t="inlineStr">
        <is>
          <t>2.4.4.3</t>
        </is>
      </c>
      <c r="C334" s="3" t="inlineStr">
        <is>
          <t>Pemindahan 1 buah Komponen untuk Kolom Pracetak (± 20 m)</t>
        </is>
      </c>
      <c r="D334" s="3" t="inlineStr">
        <is>
          <t>buah</t>
        </is>
      </c>
      <c r="E334" s="4" t="n">
        <v>78969</v>
      </c>
    </row>
    <row r="335">
      <c r="A335" s="3" t="n">
        <v>333</v>
      </c>
      <c r="B335" s="3" t="inlineStr">
        <is>
          <t>2.4.5.1</t>
        </is>
      </c>
      <c r="C335" s="3" t="inlineStr">
        <is>
          <t>Pemasangan 1 buah Komponen untuk Pelat Beton Pracetak Beserta Indeks Kenaikan Lantai Ereksi Pelat  Hingga 24 Lantai</t>
        </is>
      </c>
      <c r="D335" s="3" t="inlineStr">
        <is>
          <t>buah</t>
        </is>
      </c>
      <c r="E335" s="4" t="n">
        <v>311937</v>
      </c>
    </row>
    <row r="336">
      <c r="A336" s="3" t="n">
        <v>334</v>
      </c>
      <c r="B336" s="3" t="inlineStr">
        <is>
          <t>2.4.5.2</t>
        </is>
      </c>
      <c r="C336" s="3" t="inlineStr">
        <is>
          <t>Pemasangan 1 buah Komponen untuk Balok  Pracetak Beserta Indeks Kenaikan Lantai Ereksi Pelat  Hingga 24 Lantai</t>
        </is>
      </c>
      <c r="D336" s="3" t="inlineStr">
        <is>
          <t xml:space="preserve">buah </t>
        </is>
      </c>
      <c r="E336" s="4" t="n">
        <v>283769</v>
      </c>
    </row>
    <row r="337">
      <c r="A337" s="3" t="n">
        <v>335</v>
      </c>
      <c r="B337" s="3" t="inlineStr">
        <is>
          <t>2.4.5.3</t>
        </is>
      </c>
      <c r="C337" s="3" t="inlineStr">
        <is>
          <t>Ereksi 1 buah komponen untuk pelat pracetak</t>
        </is>
      </c>
      <c r="D337" s="3" t="inlineStr">
        <is>
          <t xml:space="preserve">buah </t>
        </is>
      </c>
      <c r="E337" s="4" t="n">
        <v>311618</v>
      </c>
    </row>
    <row r="338">
      <c r="A338" s="3" t="n">
        <v>336</v>
      </c>
      <c r="B338" s="3" t="inlineStr">
        <is>
          <t>2.4.5.4</t>
        </is>
      </c>
      <c r="C338" s="3" t="inlineStr">
        <is>
          <t>Ereksi 1 buah komponen untuk balok pracetak</t>
        </is>
      </c>
      <c r="D338" s="3" t="inlineStr">
        <is>
          <t xml:space="preserve">buah </t>
        </is>
      </c>
      <c r="E338" s="4" t="n">
        <v>283769</v>
      </c>
    </row>
    <row r="339">
      <c r="A339" s="3" t="n">
        <v>337</v>
      </c>
      <c r="B339" s="3" t="inlineStr">
        <is>
          <t>2.4.5.5</t>
        </is>
      </c>
      <c r="C339" s="3" t="inlineStr">
        <is>
          <t>Ereksi 1 buah komponen untuk kolom pracetak</t>
        </is>
      </c>
      <c r="D339" s="3" t="inlineStr">
        <is>
          <t xml:space="preserve">buah </t>
        </is>
      </c>
      <c r="E339" s="4" t="n">
        <v>386739</v>
      </c>
    </row>
    <row r="340">
      <c r="A340" s="3" t="n">
        <v>338</v>
      </c>
      <c r="B340" s="3" t="inlineStr">
        <is>
          <t>2.4.5.6</t>
        </is>
      </c>
      <c r="C340" s="3" t="inlineStr">
        <is>
          <t>Upah 1 tititk pekerjaan Grout pada Joint Beton Pracetak</t>
        </is>
      </c>
      <c r="D340" s="3" t="inlineStr">
        <is>
          <t>titik</t>
        </is>
      </c>
      <c r="E340" s="4" t="n">
        <v>78281</v>
      </c>
    </row>
    <row r="341">
      <c r="A341" s="3" t="n">
        <v>339</v>
      </c>
      <c r="B341" s="3" t="inlineStr">
        <is>
          <t>2.4.5.7</t>
        </is>
      </c>
      <c r="C341" s="3" t="inlineStr">
        <is>
          <t>Upah 1 titik joint dengan sling</t>
        </is>
      </c>
      <c r="D341" s="3" t="inlineStr">
        <is>
          <t>titik</t>
        </is>
      </c>
      <c r="E341" s="4" t="n">
        <v>78859</v>
      </c>
    </row>
    <row r="342">
      <c r="A342" s="3" t="n">
        <v>340</v>
      </c>
      <c r="B342" s="3" t="inlineStr">
        <is>
          <t>2.4.6.1</t>
        </is>
      </c>
      <c r="C342" s="3" t="inlineStr">
        <is>
          <t>Pembuatan 1 m2 lahan produksi tebal 8 cm beton fc' = 14.5 Mpa, slump ( 120 ± 20) mm</t>
        </is>
      </c>
      <c r="D342" s="3" t="inlineStr">
        <is>
          <t>m2</t>
        </is>
      </c>
      <c r="E342" s="4" t="n">
        <v>98792</v>
      </c>
    </row>
    <row r="343">
      <c r="A343" s="3" t="n">
        <v>341</v>
      </c>
      <c r="B343" s="3" t="inlineStr">
        <is>
          <t>2.4.6.2</t>
        </is>
      </c>
      <c r="C343" s="3" t="inlineStr">
        <is>
          <t>Pembuatan 1 m2 lahan produksi tebal 10 cm beton fc' = 14.5 Mpa, slump ( 120 ± 20) mm</t>
        </is>
      </c>
      <c r="D343" s="3" t="inlineStr">
        <is>
          <t>m2</t>
        </is>
      </c>
      <c r="E343" s="4" t="n">
        <v>123611</v>
      </c>
    </row>
    <row r="344">
      <c r="A344" s="3" t="n">
        <v>342</v>
      </c>
      <c r="B344" s="3" t="inlineStr">
        <is>
          <t>2.4.6.3</t>
        </is>
      </c>
      <c r="C344" s="3" t="inlineStr">
        <is>
          <t>Pembuatan 1 m2 lahan produksi tebal 12 cm beton fc' = 14.5 Mpa, slump ( 120 ± 20) mm</t>
        </is>
      </c>
      <c r="D344" s="3" t="inlineStr">
        <is>
          <t>m2</t>
        </is>
      </c>
      <c r="E344" s="4" t="n">
        <v>148078</v>
      </c>
    </row>
    <row r="345">
      <c r="A345" s="3" t="n">
        <v>343</v>
      </c>
      <c r="B345" s="3" t="inlineStr">
        <is>
          <t>2.4.6.4</t>
        </is>
      </c>
      <c r="C345" s="3" t="inlineStr">
        <is>
          <t>Pembuatan 1 m2 lahan produksi tebal 15 cm beton fc' = 14.5 Mpa, slump ( 120 ± 20) mm</t>
        </is>
      </c>
      <c r="D345" s="3" t="inlineStr">
        <is>
          <t>m2</t>
        </is>
      </c>
      <c r="E345" s="4" t="n">
        <v>185106</v>
      </c>
    </row>
    <row r="346">
      <c r="A346" s="3" t="n">
        <v>344</v>
      </c>
      <c r="B346" s="3" t="inlineStr">
        <is>
          <t>2.5.1</t>
        </is>
      </c>
      <c r="C346" s="3" t="inlineStr">
        <is>
          <t>Pemasangan 1 kg kabel prategang (prestressed) polos/strand</t>
        </is>
      </c>
      <c r="D346" s="3" t="inlineStr">
        <is>
          <t>kg</t>
        </is>
      </c>
      <c r="E346" s="4" t="n">
        <v>90398</v>
      </c>
    </row>
    <row r="347">
      <c r="A347" s="3" t="n">
        <v>345</v>
      </c>
      <c r="B347" s="3" t="inlineStr">
        <is>
          <t>2.6.2.1</t>
        </is>
      </c>
      <c r="C347" s="3" t="inlineStr">
        <is>
          <t>Pemancangan per m' tiang pancang kayu atau dolken dia. 6-8 cm</t>
        </is>
      </c>
      <c r="D347" s="3" t="inlineStr">
        <is>
          <t>m</t>
        </is>
      </c>
      <c r="E347" s="4" t="n">
        <v>164749</v>
      </c>
    </row>
    <row r="348">
      <c r="A348" s="3" t="n">
        <v>346</v>
      </c>
      <c r="B348" s="3" t="inlineStr">
        <is>
          <t>2.6.2.2</t>
        </is>
      </c>
      <c r="C348" s="3" t="inlineStr">
        <is>
          <t>Pemancangan per m' Tiang kayu Gelondongan dia. 18-20 cm</t>
        </is>
      </c>
      <c r="D348" s="3" t="inlineStr">
        <is>
          <t>m</t>
        </is>
      </c>
      <c r="E348" s="4" t="n">
        <v>270391</v>
      </c>
    </row>
    <row r="349">
      <c r="A349" s="3" t="n">
        <v>347</v>
      </c>
      <c r="B349" s="3" t="inlineStr">
        <is>
          <t>2.6.2.3</t>
        </is>
      </c>
      <c r="C349" s="3" t="inlineStr">
        <is>
          <t>1 m2 Turap bambu dari geribig bambu secara manual, JAT &lt; 0,5 m</t>
        </is>
      </c>
      <c r="D349" s="3" t="inlineStr">
        <is>
          <t>m2</t>
        </is>
      </c>
      <c r="E349" s="4" t="n">
        <v>55582</v>
      </c>
    </row>
    <row r="350">
      <c r="A350" s="3" t="n">
        <v>348</v>
      </c>
      <c r="B350" s="3" t="inlineStr">
        <is>
          <t>2.7.1</t>
        </is>
      </c>
      <c r="C350" s="3" t="inlineStr">
        <is>
          <t>Pemasangan 1 M' pipa suling -suling menggunakan pipa PVC dia. 1" (untuk bangunan gedung)</t>
        </is>
      </c>
      <c r="D350" s="3" t="inlineStr">
        <is>
          <t>m'</t>
        </is>
      </c>
      <c r="E350" s="4" t="n">
        <v>30921</v>
      </c>
    </row>
    <row r="351">
      <c r="A351" s="3" t="n">
        <v>349</v>
      </c>
      <c r="B351" s="3" t="inlineStr">
        <is>
          <t>2.7.2</t>
        </is>
      </c>
      <c r="C351" s="3" t="inlineStr">
        <is>
          <t>Pemasangan 1 M' pipa suling -suling menggunakan pipa PVC dia. 2" (untuk bangunan gedung)</t>
        </is>
      </c>
      <c r="D351" s="3" t="inlineStr">
        <is>
          <t>m2</t>
        </is>
      </c>
      <c r="E351" s="4" t="n">
        <v>55297</v>
      </c>
    </row>
    <row r="352">
      <c r="A352" s="3" t="n">
        <v>350</v>
      </c>
      <c r="B352" s="3" t="inlineStr">
        <is>
          <t>2.7.3</t>
        </is>
      </c>
      <c r="C352" s="3" t="inlineStr">
        <is>
          <t>Pemasangan 1 m2 Lapisan Ijuk tebal 10 cm</t>
        </is>
      </c>
      <c r="D352" s="3" t="inlineStr">
        <is>
          <t>m2</t>
        </is>
      </c>
      <c r="E352" s="4" t="n">
        <v>66000</v>
      </c>
    </row>
    <row r="353">
      <c r="A353" s="3" t="n">
        <v>351</v>
      </c>
      <c r="B353" s="3" t="inlineStr">
        <is>
          <t>2.7.4</t>
        </is>
      </c>
      <c r="C353" s="3" t="inlineStr">
        <is>
          <t>Pemasangan 1 m2 finishing siar pasangan batu kali, campuran 1SP : 2PP</t>
        </is>
      </c>
      <c r="D353" s="3" t="inlineStr">
        <is>
          <t>m2</t>
        </is>
      </c>
      <c r="E353" s="4" t="n">
        <v>74818</v>
      </c>
    </row>
    <row r="354">
      <c r="A354" s="3" t="n">
        <v>352</v>
      </c>
      <c r="B354" s="3" t="inlineStr">
        <is>
          <t>2.7.5</t>
        </is>
      </c>
      <c r="C354" s="3" t="inlineStr">
        <is>
          <t>1 m3 bronjong kawat digalvanis, lubang heksagonal 80 x 100 mm, beda tinggi &gt;0 s.d 1 m' berkontak langsung dengan tanah ( kawat dibuat sendiri)</t>
        </is>
      </c>
      <c r="D354" s="3" t="inlineStr">
        <is>
          <t>m2</t>
        </is>
      </c>
      <c r="E354" s="4" t="n">
        <v>617742</v>
      </c>
    </row>
    <row r="355">
      <c r="A355" s="3" t="n">
        <v>353</v>
      </c>
      <c r="B355" s="3" t="inlineStr">
        <is>
          <t>2.7.6</t>
        </is>
      </c>
      <c r="C355" s="3" t="inlineStr">
        <is>
          <t>1 m3 bronjong kawat digalvanis, lubang heksagonal 80 x 100 mm; beda tinggi &gt; 0 s.d 1 m' tidak berkontak langsung dengan tanah (kawat dibuat sendiri)</t>
        </is>
      </c>
      <c r="D355" s="3" t="inlineStr">
        <is>
          <t>m3</t>
        </is>
      </c>
      <c r="E355" s="4" t="n">
        <v>522702</v>
      </c>
    </row>
    <row r="356">
      <c r="A356" s="3" t="n">
        <v>354</v>
      </c>
      <c r="B356" s="3" t="inlineStr">
        <is>
          <t>2.7.7</t>
        </is>
      </c>
      <c r="C356" s="3" t="inlineStr">
        <is>
          <t>1 m3 bronjong kawat digalvanis, lubang heksagonal 80x100mm; beda tinggi &gt;3 s.d 4 m' berkontak langsung dengan tanah (kawat dibuat sendiri)</t>
        </is>
      </c>
      <c r="D356" s="3" t="inlineStr">
        <is>
          <t>m3</t>
        </is>
      </c>
      <c r="E356" s="4" t="n">
        <v>693561</v>
      </c>
    </row>
    <row r="357">
      <c r="A357" s="3" t="n">
        <v>355</v>
      </c>
      <c r="B357" s="3" t="inlineStr">
        <is>
          <t>2.7.8</t>
        </is>
      </c>
      <c r="C357" s="3" t="inlineStr">
        <is>
          <t>1 m3 bronjong kawat digalvanis, lubang heksagonal 80x100mm; beda tinggi &gt;3 s.d 4 m' tidak berkontak langsung dengan tanah (kawat dibuat sendiri)</t>
        </is>
      </c>
      <c r="D357" s="3" t="inlineStr">
        <is>
          <t>m3</t>
        </is>
      </c>
      <c r="E357" s="4" t="n">
        <v>598521</v>
      </c>
    </row>
    <row r="358">
      <c r="A358" s="3" t="n">
        <v>356</v>
      </c>
      <c r="B358" s="3" t="inlineStr">
        <is>
          <t>2.7.9</t>
        </is>
      </c>
      <c r="C358" s="3" t="inlineStr">
        <is>
          <t>1 m3 kawat bronjong kawat digalvanis, lubang heksagonal 100x120mm; beda tinggi &gt;0 s.d 1 m' berkontak langsung dengan tanah (kawat dibuat sendiri)</t>
        </is>
      </c>
      <c r="D358" s="3" t="inlineStr">
        <is>
          <t>m3</t>
        </is>
      </c>
      <c r="E358" s="4" t="n">
        <v>607222</v>
      </c>
    </row>
    <row r="359">
      <c r="A359" s="3" t="n">
        <v>357</v>
      </c>
      <c r="B359" s="3" t="inlineStr">
        <is>
          <t>2.7.10</t>
        </is>
      </c>
      <c r="C359" s="3" t="inlineStr">
        <is>
          <t>1 m3 kawat bronjong kawat digalvanis, lubang heksagonal 100x120mm; beda tinggi &gt; 0 s.d 1 m' berkontak langsung dengan tanah (kawat dibuat sendiri)</t>
        </is>
      </c>
      <c r="D359" s="3" t="inlineStr">
        <is>
          <t>m3</t>
        </is>
      </c>
      <c r="E359" s="4" t="n">
        <v>512182</v>
      </c>
    </row>
    <row r="360">
      <c r="A360" s="3" t="n">
        <v>358</v>
      </c>
      <c r="B360" s="3" t="inlineStr">
        <is>
          <t>2.7.11</t>
        </is>
      </c>
      <c r="C360" s="3" t="inlineStr">
        <is>
          <t>1 m3 kawat bronjong kawat digalvanis, lubang heksagonal 100x120mm; beda tinggi &gt; 3 s.d 4 m' berkontak langsung dengan tanah (kawat dibuat sendiri)</t>
        </is>
      </c>
      <c r="D360" s="3" t="inlineStr">
        <is>
          <t>m3</t>
        </is>
      </c>
      <c r="E360" s="4" t="n">
        <v>670500</v>
      </c>
    </row>
    <row r="361">
      <c r="A361" s="3" t="n">
        <v>359</v>
      </c>
      <c r="B361" s="3" t="inlineStr">
        <is>
          <t>2.7.12</t>
        </is>
      </c>
      <c r="C361" s="3" t="inlineStr">
        <is>
          <t>1 m3 kawat bronjong kawat digalvanis, lubang heksagonal 100x120mm; beda tinggi &gt; 3 s.d 4 m'  tidak berkontak langsung dengan tanah (kawat dibuat sendiri)</t>
        </is>
      </c>
      <c r="D361" s="3" t="inlineStr">
        <is>
          <t>m3</t>
        </is>
      </c>
      <c r="E361" s="4" t="n">
        <v>575460</v>
      </c>
    </row>
    <row r="362">
      <c r="A362" s="3" t="n">
        <v>360</v>
      </c>
      <c r="B362" s="3" t="inlineStr">
        <is>
          <t>2.7.13</t>
        </is>
      </c>
      <c r="C362" s="3" t="inlineStr">
        <is>
          <t>1 m3 pasangan batu bronjong kawat paprikasi; beda tinggi &gt; 0 s.d 1 m' berkontak langsung dengan tanah</t>
        </is>
      </c>
      <c r="D362" s="3" t="inlineStr">
        <is>
          <t>m3</t>
        </is>
      </c>
      <c r="E362" s="4" t="n">
        <v>712085</v>
      </c>
    </row>
    <row r="363">
      <c r="A363" s="3" t="n">
        <v>361</v>
      </c>
      <c r="B363" s="3" t="inlineStr">
        <is>
          <t>2.7.14</t>
        </is>
      </c>
      <c r="C363" s="3" t="inlineStr">
        <is>
          <t>1 m3 pasangan batu bronjong kawat paprikasi; beda tinggi &gt; 0 s.d 1 m' tidak berkontak langsung dengan tanah</t>
        </is>
      </c>
      <c r="D363" s="3" t="inlineStr">
        <is>
          <t>m3</t>
        </is>
      </c>
      <c r="E363" s="4" t="n">
        <v>712085</v>
      </c>
    </row>
    <row r="364">
      <c r="A364" s="3" t="n">
        <v>362</v>
      </c>
      <c r="B364" s="3" t="inlineStr">
        <is>
          <t>2.7.15</t>
        </is>
      </c>
      <c r="C364" s="3" t="inlineStr">
        <is>
          <t>1 m3 pasangan batu bronjong kawat paprikasi; beda tinggi &gt; 3 s.4  m' berkontak langsung dengan tanah</t>
        </is>
      </c>
      <c r="D364" s="3" t="inlineStr">
        <is>
          <t>m3</t>
        </is>
      </c>
      <c r="E364" s="4" t="n">
        <v>775341</v>
      </c>
    </row>
    <row r="365">
      <c r="A365" s="3" t="n">
        <v>363</v>
      </c>
      <c r="B365" s="3" t="inlineStr">
        <is>
          <t>2.7.16</t>
        </is>
      </c>
      <c r="C365" s="3" t="inlineStr">
        <is>
          <t>1 m3 pasangan batu bronjong kawat paprikasi; beda tinggi &gt; 3 s.4  m' tidak berkontak langsung dengan tanah</t>
        </is>
      </c>
      <c r="D365" s="3" t="inlineStr">
        <is>
          <t>m3</t>
        </is>
      </c>
      <c r="E365" s="4" t="n">
        <v>775341</v>
      </c>
    </row>
    <row r="366">
      <c r="A366" s="3" t="n">
        <v>364</v>
      </c>
      <c r="B366" s="3" t="inlineStr">
        <is>
          <t>3.1.1.1</t>
        </is>
      </c>
      <c r="C366" s="3" t="inlineStr">
        <is>
          <t>Pemasangan 1 m2 atap Genteng Palentong  Kecil</t>
        </is>
      </c>
      <c r="D366" s="3" t="inlineStr">
        <is>
          <t>m2</t>
        </is>
      </c>
      <c r="E366" s="4" t="n">
        <v>107456</v>
      </c>
    </row>
    <row r="367">
      <c r="A367" s="3" t="n">
        <v>365</v>
      </c>
      <c r="B367" s="3" t="inlineStr">
        <is>
          <t>3.1.1.2</t>
        </is>
      </c>
      <c r="C367" s="3" t="inlineStr">
        <is>
          <t>Pemasangan 1 m2 atap genteng kodok glazuur</t>
        </is>
      </c>
      <c r="D367" s="3" t="inlineStr">
        <is>
          <t>m2</t>
        </is>
      </c>
      <c r="E367" s="4" t="n">
        <v>189956</v>
      </c>
    </row>
    <row r="368">
      <c r="A368" s="3" t="n">
        <v>366</v>
      </c>
      <c r="B368" s="3" t="inlineStr">
        <is>
          <t>3.1.1.3</t>
        </is>
      </c>
      <c r="C368" s="3" t="inlineStr">
        <is>
          <t>Pemasangan 1 m2 atap genteng palentong besar</t>
        </is>
      </c>
      <c r="D368" s="3" t="inlineStr">
        <is>
          <t>m2</t>
        </is>
      </c>
      <c r="E368" s="4" t="n">
        <v>100416</v>
      </c>
    </row>
    <row r="369">
      <c r="A369" s="3" t="n">
        <v>367</v>
      </c>
      <c r="B369" s="3" t="inlineStr">
        <is>
          <t>3.1.1.4</t>
        </is>
      </c>
      <c r="C369" s="3" t="inlineStr">
        <is>
          <t>Pemasangan 1 m2 atap genteng beton</t>
        </is>
      </c>
      <c r="D369" s="3" t="inlineStr">
        <is>
          <t>m2</t>
        </is>
      </c>
      <c r="E369" s="4" t="n">
        <v>123541</v>
      </c>
    </row>
    <row r="370">
      <c r="A370" s="3" t="n">
        <v>368</v>
      </c>
      <c r="B370" s="3" t="inlineStr">
        <is>
          <t>3.1.1.5</t>
        </is>
      </c>
      <c r="C370" s="3" t="inlineStr">
        <is>
          <t>Pemasangan 1 m' Nok/bubung genteng palentong kecil</t>
        </is>
      </c>
      <c r="D370" s="3" t="inlineStr">
        <is>
          <t>m2</t>
        </is>
      </c>
      <c r="E370" s="4" t="n">
        <v>161194</v>
      </c>
    </row>
    <row r="371">
      <c r="A371" s="3" t="n">
        <v>369</v>
      </c>
      <c r="B371" s="3" t="inlineStr">
        <is>
          <t>3.1.1.6</t>
        </is>
      </c>
      <c r="C371" s="3" t="inlineStr">
        <is>
          <t>Pemasangan 1 m' Nok/bubung genteng kodok glazuur</t>
        </is>
      </c>
      <c r="D371" s="3" t="inlineStr">
        <is>
          <t>m2</t>
        </is>
      </c>
      <c r="E371" s="4" t="n">
        <v>149644</v>
      </c>
    </row>
    <row r="372">
      <c r="A372" s="3" t="n">
        <v>370</v>
      </c>
      <c r="B372" s="3" t="inlineStr">
        <is>
          <t>3.1.1.7</t>
        </is>
      </c>
      <c r="C372" s="3" t="inlineStr">
        <is>
          <t>Pemasangan 1 m' Nok/bubung genteng palentong besar</t>
        </is>
      </c>
      <c r="D372" s="3" t="inlineStr">
        <is>
          <t>m2</t>
        </is>
      </c>
      <c r="E372" s="4" t="n">
        <v>149424</v>
      </c>
    </row>
    <row r="373">
      <c r="A373" s="3" t="n">
        <v>371</v>
      </c>
      <c r="B373" s="3" t="inlineStr">
        <is>
          <t>3.1.1.8</t>
        </is>
      </c>
      <c r="C373" s="3" t="inlineStr">
        <is>
          <t>Pemasangan 1 m' Nok/bubung genteng beton</t>
        </is>
      </c>
      <c r="D373" s="3" t="inlineStr">
        <is>
          <t>m2</t>
        </is>
      </c>
      <c r="E373" s="4" t="n">
        <v>152713</v>
      </c>
    </row>
    <row r="374">
      <c r="A374" s="3" t="n">
        <v>372</v>
      </c>
      <c r="B374" s="3" t="inlineStr">
        <is>
          <t>3.1.2.1</t>
        </is>
      </c>
      <c r="C374" s="3" t="inlineStr">
        <is>
          <t>Pemasangan 1 m2 atap serat semen gelombang 92 cm x 250 cm x 5 mm</t>
        </is>
      </c>
      <c r="D374" s="3" t="inlineStr">
        <is>
          <t>m2</t>
        </is>
      </c>
      <c r="E374" s="4" t="n">
        <v>94294</v>
      </c>
    </row>
    <row r="375">
      <c r="A375" s="3" t="n">
        <v>373</v>
      </c>
      <c r="B375" s="3" t="inlineStr">
        <is>
          <t>3.1.2.2</t>
        </is>
      </c>
      <c r="C375" s="3" t="inlineStr">
        <is>
          <t>Pemasangan 1 m2 atap serat semen gelombang 92 cm x 225 cm x 5 mm</t>
        </is>
      </c>
      <c r="D375" s="3" t="inlineStr">
        <is>
          <t>m2</t>
        </is>
      </c>
      <c r="E375" s="4" t="n">
        <v>101158</v>
      </c>
    </row>
    <row r="376">
      <c r="A376" s="3" t="n">
        <v>374</v>
      </c>
      <c r="B376" s="3" t="inlineStr">
        <is>
          <t>3.1.2.3</t>
        </is>
      </c>
      <c r="C376" s="3" t="inlineStr">
        <is>
          <t>Pemasangan 1 m2 atap Serat Semen gelombang 92 cm x 200 cm x 5 mm</t>
        </is>
      </c>
      <c r="D376" s="3" t="inlineStr">
        <is>
          <t>m2</t>
        </is>
      </c>
      <c r="E376" s="4" t="n">
        <v>93027</v>
      </c>
    </row>
    <row r="377">
      <c r="A377" s="3" t="n">
        <v>375</v>
      </c>
      <c r="B377" s="3" t="inlineStr">
        <is>
          <t>3.1.2.4</t>
        </is>
      </c>
      <c r="C377" s="3" t="inlineStr">
        <is>
          <t>Pemasangan 1 m2 atap Serat Semen gelombang 92 cm x 180 cm x 5 mm</t>
        </is>
      </c>
      <c r="D377" s="3" t="inlineStr">
        <is>
          <t>m2</t>
        </is>
      </c>
      <c r="E377" s="4" t="n">
        <v>101524</v>
      </c>
    </row>
    <row r="378">
      <c r="A378" s="3" t="n">
        <v>376</v>
      </c>
      <c r="B378" s="3" t="inlineStr">
        <is>
          <t>3.1.2.5</t>
        </is>
      </c>
      <c r="C378" s="3" t="inlineStr">
        <is>
          <t>Pemasangan 1 m2 atap Serat Semen gelombang 105 cm x 270 cm x 4 mm</t>
        </is>
      </c>
      <c r="D378" s="3" t="inlineStr">
        <is>
          <t>m2</t>
        </is>
      </c>
      <c r="E378" s="4" t="n">
        <v>71828</v>
      </c>
    </row>
    <row r="379">
      <c r="A379" s="3" t="n">
        <v>377</v>
      </c>
      <c r="B379" s="3" t="inlineStr">
        <is>
          <t>3.1.2.6</t>
        </is>
      </c>
      <c r="C379" s="3" t="inlineStr">
        <is>
          <t>Pemasangan 1 m2 atap Serat Semen gelombang 105 cm x 300 cm x 5 mm</t>
        </is>
      </c>
      <c r="D379" s="3" t="inlineStr">
        <is>
          <t>m2</t>
        </is>
      </c>
      <c r="E379" s="4" t="n">
        <v>82962</v>
      </c>
    </row>
    <row r="380">
      <c r="A380" s="3" t="n">
        <v>378</v>
      </c>
      <c r="B380" s="3" t="inlineStr">
        <is>
          <t>3.1.2.7</t>
        </is>
      </c>
      <c r="C380" s="3" t="inlineStr">
        <is>
          <t>Pemasangan 1 m2 atap Serat Semen gelombang 105 cm x 240 cm x 5 mm</t>
        </is>
      </c>
      <c r="D380" s="3" t="inlineStr">
        <is>
          <t>m2</t>
        </is>
      </c>
      <c r="E380" s="4" t="n">
        <v>93907</v>
      </c>
    </row>
    <row r="381">
      <c r="A381" s="3" t="n">
        <v>379</v>
      </c>
      <c r="B381" s="3" t="inlineStr">
        <is>
          <t>3.1.2.8</t>
        </is>
      </c>
      <c r="C381" s="3" t="inlineStr">
        <is>
          <t>Pemasangan 1 m2 atap Serat gelombang 105 cm x 210 cm x 5 mm</t>
        </is>
      </c>
      <c r="D381" s="3" t="inlineStr">
        <is>
          <t>m2</t>
        </is>
      </c>
      <c r="E381" s="4" t="n">
        <v>101112</v>
      </c>
    </row>
    <row r="382">
      <c r="A382" s="3" t="n">
        <v>380</v>
      </c>
      <c r="B382" s="3" t="inlineStr">
        <is>
          <t>3.1.2.9</t>
        </is>
      </c>
      <c r="C382" s="3" t="inlineStr">
        <is>
          <t>Pemasangan 1 m2 atap Serat Semen gelombang 105 cm x 150 cm x 5 mm</t>
        </is>
      </c>
      <c r="D382" s="3" t="inlineStr">
        <is>
          <t>m2</t>
        </is>
      </c>
      <c r="E382" s="4" t="n">
        <v>136587</v>
      </c>
    </row>
    <row r="383">
      <c r="A383" s="3" t="n">
        <v>381</v>
      </c>
      <c r="B383" s="3" t="inlineStr">
        <is>
          <t>3.1.2.10</t>
        </is>
      </c>
      <c r="C383" s="3" t="inlineStr">
        <is>
          <t>Pemasangan 1 m2 atap Serat Semen gelombang 108 cm x 300 cm x 6 mm</t>
        </is>
      </c>
      <c r="D383" s="3" t="inlineStr">
        <is>
          <t>m2</t>
        </is>
      </c>
      <c r="E383" s="4" t="n">
        <v>84304</v>
      </c>
    </row>
    <row r="384">
      <c r="A384" s="3" t="n">
        <v>382</v>
      </c>
      <c r="B384" s="3" t="inlineStr">
        <is>
          <t>3.1.2.11</t>
        </is>
      </c>
      <c r="C384" s="3" t="inlineStr">
        <is>
          <t>Pemasangan 1 m2 atap serat Semen gelombang 108 cm x 270 cm x 6 mm</t>
        </is>
      </c>
      <c r="D384" s="3" t="inlineStr">
        <is>
          <t>m2</t>
        </is>
      </c>
      <c r="E384" s="4" t="n">
        <v>78388</v>
      </c>
    </row>
    <row r="385">
      <c r="A385" s="3" t="n">
        <v>383</v>
      </c>
      <c r="B385" s="3" t="inlineStr">
        <is>
          <t>3.1.2.12</t>
        </is>
      </c>
      <c r="C385" s="3" t="inlineStr">
        <is>
          <t>Pemasangan 1 m2 atap Serat Semen gelombang 108 cm x 240 cm x 6 mm</t>
        </is>
      </c>
      <c r="D385" s="3" t="inlineStr">
        <is>
          <t>m2</t>
        </is>
      </c>
      <c r="E385" s="4" t="n">
        <v>81384</v>
      </c>
    </row>
    <row r="386">
      <c r="A386" s="3" t="n">
        <v>384</v>
      </c>
      <c r="B386" s="3" t="inlineStr">
        <is>
          <t>3.1.2.13</t>
        </is>
      </c>
      <c r="C386" s="3" t="inlineStr">
        <is>
          <t>Pemasangan 1 m2 atap Serat Semen gelombang 108 cm x 210 cm x 6 mm</t>
        </is>
      </c>
      <c r="D386" s="3" t="inlineStr">
        <is>
          <t>m2</t>
        </is>
      </c>
      <c r="E386" s="4" t="n">
        <v>81060</v>
      </c>
    </row>
    <row r="387">
      <c r="A387" s="3" t="n">
        <v>385</v>
      </c>
      <c r="B387" s="3" t="inlineStr">
        <is>
          <t>3.1.2.14</t>
        </is>
      </c>
      <c r="C387" s="3" t="inlineStr">
        <is>
          <t>Pemasangan 1 m2 atap Serat Semen gelombang 108 cm x 180 cm x 6 mm</t>
        </is>
      </c>
      <c r="D387" s="3" t="inlineStr">
        <is>
          <t>m2</t>
        </is>
      </c>
      <c r="E387" s="4" t="n">
        <v>89298</v>
      </c>
    </row>
    <row r="388">
      <c r="A388" s="3" t="n">
        <v>386</v>
      </c>
      <c r="B388" s="3" t="inlineStr">
        <is>
          <t>3.1.2.15</t>
        </is>
      </c>
      <c r="C388" s="3" t="inlineStr">
        <is>
          <t>Pemasangan 1 m' Nok/bubung setel gelombang 92 cm</t>
        </is>
      </c>
      <c r="D388" s="3" t="inlineStr">
        <is>
          <t>m'</t>
        </is>
      </c>
      <c r="E388" s="4" t="n">
        <v>389501</v>
      </c>
    </row>
    <row r="389">
      <c r="A389" s="3" t="n">
        <v>387</v>
      </c>
      <c r="B389" s="3" t="inlineStr">
        <is>
          <t>3.1.2.16</t>
        </is>
      </c>
      <c r="C389" s="3" t="inlineStr">
        <is>
          <t>Pemasangan 1 m' Nok/bubung stel gelombang 105 cm</t>
        </is>
      </c>
      <c r="D389" s="3" t="inlineStr">
        <is>
          <t>m'</t>
        </is>
      </c>
      <c r="E389" s="4" t="n">
        <v>392801</v>
      </c>
    </row>
    <row r="390">
      <c r="A390" s="3" t="n">
        <v>388</v>
      </c>
      <c r="B390" s="3" t="inlineStr">
        <is>
          <t>3.1.2.17</t>
        </is>
      </c>
      <c r="C390" s="3" t="inlineStr">
        <is>
          <t>Pemasangan 1 m' Nok/bubung stel gelombang 108 cm</t>
        </is>
      </c>
      <c r="D390" s="3" t="inlineStr">
        <is>
          <t>m'</t>
        </is>
      </c>
      <c r="E390" s="4" t="n">
        <v>407101</v>
      </c>
    </row>
    <row r="391">
      <c r="A391" s="3" t="n">
        <v>389</v>
      </c>
      <c r="B391" s="3" t="inlineStr">
        <is>
          <t>3.1.2.18</t>
        </is>
      </c>
      <c r="C391" s="3" t="inlineStr">
        <is>
          <t>Pemasangan 1 m'Nok/ bubung paten (Permanen) 92 cm</t>
        </is>
      </c>
      <c r="D391" s="3" t="inlineStr">
        <is>
          <t>m'</t>
        </is>
      </c>
      <c r="E391" s="4" t="n">
        <v>309751</v>
      </c>
    </row>
    <row r="392">
      <c r="A392" s="3" t="n">
        <v>390</v>
      </c>
      <c r="B392" s="3" t="inlineStr">
        <is>
          <t>3.1.2.19</t>
        </is>
      </c>
      <c r="C392" s="3" t="inlineStr">
        <is>
          <t>Pemasangan 1 m' Nok/bubung paten (Permanen) 105 cm</t>
        </is>
      </c>
      <c r="D392" s="3" t="inlineStr">
        <is>
          <t>m'</t>
        </is>
      </c>
      <c r="E392" s="4" t="n">
        <v>323501</v>
      </c>
    </row>
    <row r="393">
      <c r="A393" s="3" t="n">
        <v>391</v>
      </c>
      <c r="B393" s="3" t="inlineStr">
        <is>
          <t>3.1.2.20</t>
        </is>
      </c>
      <c r="C393" s="3" t="inlineStr">
        <is>
          <t>Pemasangan 1 m' Nok/bubung paten(Permanen) 108 cm</t>
        </is>
      </c>
      <c r="D393" s="3" t="inlineStr">
        <is>
          <t>m'</t>
        </is>
      </c>
      <c r="E393" s="4" t="n">
        <v>330101</v>
      </c>
    </row>
    <row r="394">
      <c r="A394" s="3" t="n">
        <v>392</v>
      </c>
      <c r="B394" s="3" t="inlineStr">
        <is>
          <t>3.1.2.21</t>
        </is>
      </c>
      <c r="C394" s="3" t="inlineStr">
        <is>
          <t>Pemasangan 1 m' Nok/bubung setel rata 92 cm</t>
        </is>
      </c>
      <c r="D394" s="3" t="inlineStr">
        <is>
          <t>m'</t>
        </is>
      </c>
      <c r="E394" s="4" t="n">
        <v>315801</v>
      </c>
    </row>
    <row r="395">
      <c r="A395" s="3" t="n">
        <v>393</v>
      </c>
      <c r="B395" s="3" t="inlineStr">
        <is>
          <t>3.1.2.22</t>
        </is>
      </c>
      <c r="C395" s="3" t="inlineStr">
        <is>
          <t>Pemasangan 1 m' ok/bubung setel rata 105 cm</t>
        </is>
      </c>
      <c r="D395" s="3" t="inlineStr">
        <is>
          <t>m'</t>
        </is>
      </c>
      <c r="E395" s="4" t="n">
        <v>321851</v>
      </c>
    </row>
    <row r="396">
      <c r="A396" s="3" t="n">
        <v>394</v>
      </c>
      <c r="B396" s="3" t="inlineStr">
        <is>
          <t>3.1.2.23</t>
        </is>
      </c>
      <c r="C396" s="3" t="inlineStr">
        <is>
          <t>Pemasangan 1 m' Nok/bubung setel rata 108 cm</t>
        </is>
      </c>
      <c r="D396" s="3" t="inlineStr">
        <is>
          <t>m'</t>
        </is>
      </c>
      <c r="E396" s="4" t="n">
        <v>327901</v>
      </c>
    </row>
    <row r="397">
      <c r="A397" s="3" t="n">
        <v>395</v>
      </c>
      <c r="B397" s="3" t="inlineStr">
        <is>
          <t>3.1.3.1</t>
        </is>
      </c>
      <c r="C397" s="3" t="inlineStr">
        <is>
          <t>Pemasangan 1 m2 atap seng gelombang 105x180 cm</t>
        </is>
      </c>
      <c r="D397" s="3" t="inlineStr">
        <is>
          <t>m2</t>
        </is>
      </c>
      <c r="E397" s="4" t="n">
        <v>90145</v>
      </c>
    </row>
    <row r="398">
      <c r="A398" s="3" t="n">
        <v>396</v>
      </c>
      <c r="B398" s="3" t="inlineStr">
        <is>
          <t>3.1.3.2</t>
        </is>
      </c>
      <c r="C398" s="3" t="inlineStr">
        <is>
          <t>Pemasangan 1 m2 atap aluminium gelombang 95x180 cm</t>
        </is>
      </c>
      <c r="D398" s="3" t="inlineStr">
        <is>
          <t>m2</t>
        </is>
      </c>
      <c r="E398" s="4" t="n">
        <v>305320</v>
      </c>
    </row>
    <row r="399">
      <c r="A399" s="3" t="n">
        <v>397</v>
      </c>
      <c r="B399" s="3" t="inlineStr">
        <is>
          <t>3.1.3.3</t>
        </is>
      </c>
      <c r="C399" s="3" t="inlineStr">
        <is>
          <t>Pemasangan 1 m2 atap sirap kayu</t>
        </is>
      </c>
      <c r="D399" s="3" t="inlineStr">
        <is>
          <t>m2</t>
        </is>
      </c>
      <c r="E399" s="4" t="n">
        <v>233073</v>
      </c>
    </row>
    <row r="400">
      <c r="A400" s="3" t="n">
        <v>398</v>
      </c>
      <c r="B400" s="3" t="inlineStr">
        <is>
          <t>3.1.3.4</t>
        </is>
      </c>
      <c r="C400" s="3" t="inlineStr">
        <is>
          <t>Pemasangan 1 m2 atap fibreglass 90x180 cm</t>
        </is>
      </c>
      <c r="D400" s="3" t="inlineStr">
        <is>
          <t>m2</t>
        </is>
      </c>
      <c r="E400" s="4" t="n">
        <v>111596</v>
      </c>
    </row>
    <row r="401">
      <c r="A401" s="3" t="n">
        <v>399</v>
      </c>
      <c r="B401" s="3" t="inlineStr">
        <is>
          <t>3.1.3.5</t>
        </is>
      </c>
      <c r="C401" s="3" t="inlineStr">
        <is>
          <t>Pemasangan 1 m2 atap UPVC</t>
        </is>
      </c>
      <c r="D401" s="3" t="inlineStr">
        <is>
          <t>m2</t>
        </is>
      </c>
      <c r="E401" s="4" t="n">
        <v>76725</v>
      </c>
    </row>
    <row r="402">
      <c r="A402" s="3" t="n">
        <v>400</v>
      </c>
      <c r="B402" s="3" t="inlineStr">
        <is>
          <t>3.1.3.6</t>
        </is>
      </c>
      <c r="C402" s="3" t="inlineStr">
        <is>
          <t>Pemasangan 1 m2 atap aspal/bitumen</t>
        </is>
      </c>
      <c r="D402" s="3" t="inlineStr">
        <is>
          <t>m2</t>
        </is>
      </c>
      <c r="E402" s="4" t="n">
        <v>366487</v>
      </c>
    </row>
    <row r="403">
      <c r="A403" s="3" t="n">
        <v>401</v>
      </c>
      <c r="B403" s="3" t="inlineStr">
        <is>
          <t>3.1.3.7</t>
        </is>
      </c>
      <c r="C403" s="3" t="inlineStr">
        <is>
          <t>Pemasangan 1 m2 atap metal lembaran</t>
        </is>
      </c>
      <c r="D403" s="3" t="inlineStr">
        <is>
          <t>m2</t>
        </is>
      </c>
      <c r="E403" s="4" t="n">
        <v>188775</v>
      </c>
    </row>
    <row r="404">
      <c r="A404" s="3" t="n">
        <v>402</v>
      </c>
      <c r="B404" s="3" t="inlineStr">
        <is>
          <t>3.1.3.8</t>
        </is>
      </c>
      <c r="C404" s="3" t="inlineStr">
        <is>
          <t>Pemasangan 1 m2 atap metal menerus tebal 0,4 mm</t>
        </is>
      </c>
      <c r="D404" s="3" t="inlineStr">
        <is>
          <t>m2</t>
        </is>
      </c>
      <c r="E404" s="4" t="n">
        <v>135600</v>
      </c>
    </row>
    <row r="405">
      <c r="A405" s="3" t="n">
        <v>403</v>
      </c>
      <c r="B405" s="3" t="inlineStr">
        <is>
          <t>3.1.3.9</t>
        </is>
      </c>
      <c r="C405" s="3" t="inlineStr">
        <is>
          <t>Pemasangan 1 m2 Atap Kaca Tempered</t>
        </is>
      </c>
      <c r="D405" s="3" t="inlineStr">
        <is>
          <t>m2</t>
        </is>
      </c>
      <c r="E405" s="4" t="n">
        <v>0</v>
      </c>
    </row>
    <row r="406">
      <c r="A406" s="3" t="n">
        <v>404</v>
      </c>
      <c r="B406" s="3" t="inlineStr">
        <is>
          <t>3.1.3.9.1</t>
        </is>
      </c>
      <c r="C406" s="3" t="inlineStr">
        <is>
          <t>Pemasangan 1 m2 atap kaca ketebalan 8/10/12 mm</t>
        </is>
      </c>
      <c r="D406" s="3" t="inlineStr">
        <is>
          <t>m2</t>
        </is>
      </c>
      <c r="E406" s="4" t="n">
        <v>779355</v>
      </c>
    </row>
    <row r="407">
      <c r="A407" s="3" t="n">
        <v>405</v>
      </c>
      <c r="B407" s="3" t="inlineStr">
        <is>
          <t>3.1.3.10</t>
        </is>
      </c>
      <c r="C407" s="3" t="inlineStr">
        <is>
          <t>Pemasangan 1 m' Nok/bubung atap seng gelombang</t>
        </is>
      </c>
      <c r="D407" s="3" t="inlineStr">
        <is>
          <t>m'</t>
        </is>
      </c>
      <c r="E407" s="4" t="n">
        <v>54004</v>
      </c>
    </row>
    <row r="408">
      <c r="A408" s="3" t="n">
        <v>406</v>
      </c>
      <c r="B408" s="3" t="inlineStr">
        <is>
          <t>3.1.3.11</t>
        </is>
      </c>
      <c r="C408" s="3" t="inlineStr">
        <is>
          <t>Pemasangan 1 m' Nok/bubung atap aluminium gelombang</t>
        </is>
      </c>
      <c r="D408" s="3" t="inlineStr">
        <is>
          <t>m;'</t>
        </is>
      </c>
      <c r="E408" s="4" t="n">
        <v>285944</v>
      </c>
    </row>
    <row r="409">
      <c r="A409" s="3" t="n">
        <v>407</v>
      </c>
      <c r="B409" s="3" t="inlineStr">
        <is>
          <t>3.1.3.12</t>
        </is>
      </c>
      <c r="C409" s="3" t="inlineStr">
        <is>
          <t>Pemasangan 1 m' Nok/bubung atap sirap kayu</t>
        </is>
      </c>
      <c r="D409" s="3" t="inlineStr">
        <is>
          <t>m'</t>
        </is>
      </c>
      <c r="E409" s="4" t="n">
        <v>92856</v>
      </c>
    </row>
    <row r="410">
      <c r="A410" s="3" t="n">
        <v>408</v>
      </c>
      <c r="B410" s="3" t="inlineStr">
        <is>
          <t>3.1.3.13</t>
        </is>
      </c>
      <c r="C410" s="3" t="inlineStr">
        <is>
          <t>Pemasangan 1 m' Nok/bubung atap aspal/bitumen</t>
        </is>
      </c>
      <c r="D410" s="3" t="inlineStr">
        <is>
          <t>m'</t>
        </is>
      </c>
      <c r="E410" s="4" t="n">
        <v>280483</v>
      </c>
    </row>
    <row r="411">
      <c r="A411" s="3" t="n">
        <v>409</v>
      </c>
      <c r="B411" s="3" t="inlineStr">
        <is>
          <t>3.1.3.14</t>
        </is>
      </c>
      <c r="C411" s="3" t="inlineStr">
        <is>
          <t>Pemasangan 1 m' Nok/bubung genteng metal</t>
        </is>
      </c>
      <c r="D411" s="3" t="inlineStr">
        <is>
          <t>m'</t>
        </is>
      </c>
      <c r="E411" s="4" t="n">
        <v>88043</v>
      </c>
    </row>
    <row r="412">
      <c r="A412" s="3" t="n">
        <v>410</v>
      </c>
      <c r="B412" s="3" t="inlineStr">
        <is>
          <t>3.2.1</t>
        </is>
      </c>
      <c r="C412" s="3" t="inlineStr">
        <is>
          <t>Pemasangan 1 m2 lembaran insulasi atap</t>
        </is>
      </c>
      <c r="D412" s="3" t="inlineStr">
        <is>
          <t>m2</t>
        </is>
      </c>
      <c r="E412" s="4" t="n">
        <v>29546</v>
      </c>
    </row>
    <row r="413">
      <c r="A413" s="3" t="n">
        <v>411</v>
      </c>
      <c r="B413" s="3" t="inlineStr">
        <is>
          <t>3.2.2</t>
        </is>
      </c>
      <c r="C413" s="3" t="inlineStr">
        <is>
          <t>Pemasangan 1 m2 modul insulasi tebal 8 mm</t>
        </is>
      </c>
      <c r="D413" s="3" t="inlineStr">
        <is>
          <t>m2</t>
        </is>
      </c>
      <c r="E413" s="4" t="n">
        <v>102993</v>
      </c>
    </row>
    <row r="414">
      <c r="A414" s="3" t="n">
        <v>412</v>
      </c>
      <c r="B414" s="3" t="inlineStr">
        <is>
          <t>3.2.3</t>
        </is>
      </c>
      <c r="C414" s="3" t="inlineStr">
        <is>
          <t>Pemasangan 1 m2 foam insulasi atap</t>
        </is>
      </c>
      <c r="D414" s="3" t="inlineStr">
        <is>
          <t>m2</t>
        </is>
      </c>
      <c r="E414" s="4" t="n">
        <v>105011</v>
      </c>
    </row>
    <row r="415">
      <c r="A415" s="3" t="n">
        <v>413</v>
      </c>
      <c r="B415" s="3" t="inlineStr">
        <is>
          <t>3.3.1</t>
        </is>
      </c>
      <c r="C415" s="3" t="inlineStr">
        <is>
          <t>Pemasangan 1 m' talang datar/jurai seng BJLS 28 lebar 90 cm</t>
        </is>
      </c>
      <c r="D415" s="3" t="inlineStr">
        <is>
          <t>m'</t>
        </is>
      </c>
      <c r="E415" s="4" t="n">
        <v>313296</v>
      </c>
    </row>
    <row r="416">
      <c r="A416" s="3" t="n">
        <v>414</v>
      </c>
      <c r="B416" s="3" t="inlineStr">
        <is>
          <t>3.3.2</t>
        </is>
      </c>
      <c r="C416" s="3" t="inlineStr">
        <is>
          <t>Pemasangan 1 m' talang ½ lingkaran D-15 cm seng plat BJLS 30</t>
        </is>
      </c>
      <c r="D416" s="3" t="inlineStr">
        <is>
          <t>m'</t>
        </is>
      </c>
      <c r="E416" s="4" t="n">
        <v>235592</v>
      </c>
    </row>
    <row r="417">
      <c r="A417" s="3" t="n">
        <v>415</v>
      </c>
      <c r="B417" s="3" t="inlineStr">
        <is>
          <t>3.3.3</t>
        </is>
      </c>
      <c r="C417" s="3" t="inlineStr">
        <is>
          <t>Pemasangan 1 m' lisplank uk. 3x20 cm, kayu kelas I atau II</t>
        </is>
      </c>
      <c r="D417" s="3" t="inlineStr">
        <is>
          <t>m'</t>
        </is>
      </c>
      <c r="E417" s="4" t="n">
        <v>216524</v>
      </c>
    </row>
    <row r="418">
      <c r="A418" s="3" t="n">
        <v>416</v>
      </c>
      <c r="B418" s="3" t="inlineStr">
        <is>
          <t>3.3.4</t>
        </is>
      </c>
      <c r="C418" s="3" t="inlineStr">
        <is>
          <t>Pemasangan 1 m' lisplank uk. 3x30 cm, kayu kelas I atau II</t>
        </is>
      </c>
      <c r="D418" s="3" t="inlineStr">
        <is>
          <t>m'</t>
        </is>
      </c>
      <c r="E418" s="4" t="n">
        <v>218614</v>
      </c>
    </row>
    <row r="419">
      <c r="A419" s="3" t="n">
        <v>417</v>
      </c>
      <c r="B419" s="3" t="inlineStr">
        <is>
          <t>3.3.5</t>
        </is>
      </c>
      <c r="C419" s="3" t="inlineStr">
        <is>
          <t>Pemasangan 1 m' lisplank non kayu (GRC, serat semen) lebar 30 cm</t>
        </is>
      </c>
      <c r="D419" s="3" t="inlineStr">
        <is>
          <t>m'</t>
        </is>
      </c>
      <c r="E419" s="4" t="n">
        <v>75779</v>
      </c>
    </row>
    <row r="420">
      <c r="A420" s="3" t="n">
        <v>418</v>
      </c>
      <c r="B420" s="3" t="inlineStr">
        <is>
          <t>3.3.6</t>
        </is>
      </c>
      <c r="C420" s="3" t="inlineStr">
        <is>
          <t>Pemasangan 1 m' lisplank non kayu (GRC, serat semen) lebar 20 cm</t>
        </is>
      </c>
      <c r="D420" s="3" t="inlineStr">
        <is>
          <t>m'</t>
        </is>
      </c>
      <c r="E420" s="4" t="n">
        <v>73469</v>
      </c>
    </row>
    <row r="421">
      <c r="A421" s="3" t="n">
        <v>419</v>
      </c>
      <c r="B421" s="3" t="inlineStr">
        <is>
          <t>3.4.1</t>
        </is>
      </c>
      <c r="C421" s="3" t="inlineStr">
        <is>
          <t>Pemasangan 1 m2 Waterproofing Membran Bakar</t>
        </is>
      </c>
      <c r="D421" s="3" t="inlineStr">
        <is>
          <t>m2</t>
        </is>
      </c>
      <c r="E421" s="4" t="n">
        <v>207102</v>
      </c>
    </row>
    <row r="422">
      <c r="A422" s="3" t="n">
        <v>420</v>
      </c>
      <c r="B422" s="3" t="inlineStr">
        <is>
          <t>3.4.2</t>
        </is>
      </c>
      <c r="C422" s="3" t="inlineStr">
        <is>
          <t>Pelapisan 1 M2 Waterproofing Cristalin</t>
        </is>
      </c>
      <c r="D422" s="3" t="inlineStr">
        <is>
          <t>m2</t>
        </is>
      </c>
      <c r="E422" s="4" t="n">
        <v>124330</v>
      </c>
    </row>
    <row r="423">
      <c r="A423" s="3" t="n">
        <v>421</v>
      </c>
      <c r="B423" s="3" t="inlineStr">
        <is>
          <t>3.4.3</t>
        </is>
      </c>
      <c r="C423" s="3" t="inlineStr">
        <is>
          <t>Pelapisan 1 M2 Waterproofing  Semen Base</t>
        </is>
      </c>
      <c r="D423" s="3" t="inlineStr">
        <is>
          <t>m2</t>
        </is>
      </c>
      <c r="E423" s="4" t="n">
        <v>143429</v>
      </c>
    </row>
    <row r="424">
      <c r="A424" s="3" t="n">
        <v>422</v>
      </c>
      <c r="B424" s="3" t="inlineStr">
        <is>
          <t>3.4.4</t>
        </is>
      </c>
      <c r="C424" s="3" t="inlineStr">
        <is>
          <t>Pelapisan 1 M2 Waterproofing Acrylic Base</t>
        </is>
      </c>
      <c r="D424" s="3" t="inlineStr">
        <is>
          <t>m2</t>
        </is>
      </c>
      <c r="E424" s="4" t="n">
        <v>127386</v>
      </c>
    </row>
    <row r="425">
      <c r="A425" s="3" t="n">
        <v>423</v>
      </c>
      <c r="B425" s="3" t="inlineStr">
        <is>
          <t>3.2.1.1</t>
        </is>
      </c>
      <c r="C425" s="3" t="inlineStr">
        <is>
          <t>Pemasangan 1 m2 plafon akustik uk. 30x30 cm</t>
        </is>
      </c>
      <c r="D425" s="3" t="inlineStr">
        <is>
          <t>m2</t>
        </is>
      </c>
      <c r="E425" s="4" t="n">
        <v>117370</v>
      </c>
    </row>
    <row r="426">
      <c r="A426" s="3" t="n">
        <v>424</v>
      </c>
      <c r="B426" s="3" t="inlineStr">
        <is>
          <t>3.5.1.2</t>
        </is>
      </c>
      <c r="C426" s="3" t="inlineStr">
        <is>
          <t>Pemasangan 1 m2 plafon akustik uk. 30x60 cm</t>
        </is>
      </c>
      <c r="D426" s="3" t="inlineStr">
        <is>
          <t>m2</t>
        </is>
      </c>
      <c r="E426" s="4" t="n">
        <v>124212</v>
      </c>
    </row>
    <row r="427">
      <c r="A427" s="3" t="n">
        <v>425</v>
      </c>
      <c r="B427" s="3" t="inlineStr">
        <is>
          <t>3.5.1.3</t>
        </is>
      </c>
      <c r="C427" s="3" t="inlineStr">
        <is>
          <t>Pemasangan 1 m2 plafon akustik uk. 60x120 cm</t>
        </is>
      </c>
      <c r="D427" s="3" t="inlineStr">
        <is>
          <t>m2</t>
        </is>
      </c>
      <c r="E427" s="4" t="n">
        <v>69201</v>
      </c>
    </row>
    <row r="428">
      <c r="A428" s="3" t="n">
        <v>426</v>
      </c>
      <c r="B428" s="3" t="inlineStr">
        <is>
          <t>3.5.1.4</t>
        </is>
      </c>
      <c r="C428" s="3" t="inlineStr">
        <is>
          <t>Pemasangan 1 m2 plafon akustik uk. 60x120 cm dengan profil aluminium</t>
        </is>
      </c>
      <c r="D428" s="3" t="inlineStr">
        <is>
          <t>m2</t>
        </is>
      </c>
      <c r="E428" s="4" t="n">
        <v>256520</v>
      </c>
    </row>
    <row r="429">
      <c r="A429" s="3" t="n">
        <v>427</v>
      </c>
      <c r="B429" s="3" t="inlineStr">
        <is>
          <t>3.5.2.1</t>
        </is>
      </c>
      <c r="C429" s="3" t="inlineStr">
        <is>
          <t>Pemasangan 1 m2 plafon papan gypsum tebal 9 mm</t>
        </is>
      </c>
      <c r="D429" s="3" t="inlineStr">
        <is>
          <t>m2</t>
        </is>
      </c>
      <c r="E429" s="4" t="n">
        <v>51980</v>
      </c>
    </row>
    <row r="430">
      <c r="A430" s="3" t="n">
        <v>428</v>
      </c>
      <c r="B430" s="3" t="inlineStr">
        <is>
          <t>3.5.2.2</t>
        </is>
      </c>
      <c r="C430" s="3" t="inlineStr">
        <is>
          <t>Pemasangan 1 m2 plafon serat semen/GRC tebal 4 mm, 5 mm, dan 6 mm</t>
        </is>
      </c>
      <c r="D430" s="3" t="inlineStr">
        <is>
          <t>m2</t>
        </is>
      </c>
      <c r="E430" s="4" t="n">
        <v>76411</v>
      </c>
    </row>
    <row r="431">
      <c r="A431" s="3" t="n">
        <v>429</v>
      </c>
      <c r="B431" s="3" t="inlineStr">
        <is>
          <t>3.5.2.3</t>
        </is>
      </c>
      <c r="C431" s="3" t="inlineStr">
        <is>
          <t>Pemasangan 1 m2 langit-langit (plafon) kayu lapis, tebal 3 mm, 4 mm dan 6 mm</t>
        </is>
      </c>
      <c r="D431" s="3" t="inlineStr">
        <is>
          <t>m2</t>
        </is>
      </c>
      <c r="E431" s="4" t="n">
        <v>0</v>
      </c>
    </row>
    <row r="432">
      <c r="A432" s="3" t="n">
        <v>430</v>
      </c>
      <c r="B432" s="3" t="inlineStr">
        <is>
          <t>3.5.2.3.1</t>
        </is>
      </c>
      <c r="C432" s="3" t="inlineStr">
        <is>
          <t>Pemasangan 1 m2 plafon kayu lapis tebal 3 mm</t>
        </is>
      </c>
      <c r="D432" s="3" t="inlineStr">
        <is>
          <t>m2</t>
        </is>
      </c>
      <c r="E432" s="4" t="n">
        <v>55959</v>
      </c>
    </row>
    <row r="433">
      <c r="A433" s="3" t="n">
        <v>431</v>
      </c>
      <c r="B433" s="3" t="inlineStr">
        <is>
          <t>3.5.2.3.2</t>
        </is>
      </c>
      <c r="C433" s="3" t="inlineStr">
        <is>
          <t>Pemasangan 1 m2 plafon kayu lapis tebal 4 mm</t>
        </is>
      </c>
      <c r="D433" s="3" t="inlineStr">
        <is>
          <t>m2</t>
        </is>
      </c>
      <c r="E433" s="4" t="n">
        <v>61116</v>
      </c>
    </row>
    <row r="434">
      <c r="A434" s="3" t="n">
        <v>432</v>
      </c>
      <c r="B434" s="3" t="inlineStr">
        <is>
          <t>3.5.2.3.3</t>
        </is>
      </c>
      <c r="C434" s="3" t="inlineStr">
        <is>
          <t>Pemasangan 1 m2 plafon kayu lapis tebal 6 mm</t>
        </is>
      </c>
      <c r="D434" s="3" t="inlineStr">
        <is>
          <t>m2</t>
        </is>
      </c>
      <c r="E434" s="4" t="n">
        <v>64911</v>
      </c>
    </row>
    <row r="435">
      <c r="A435" s="3" t="n">
        <v>433</v>
      </c>
      <c r="B435" s="3" t="inlineStr">
        <is>
          <t>3.5.2.4</t>
        </is>
      </c>
      <c r="C435" s="3" t="inlineStr">
        <is>
          <t>Pemasangan 1 m2 plafon lambisering kayu tebal 9 mm</t>
        </is>
      </c>
      <c r="D435" s="3" t="inlineStr">
        <is>
          <t>m2</t>
        </is>
      </c>
      <c r="E435" s="4" t="n">
        <v>315441</v>
      </c>
    </row>
    <row r="436">
      <c r="A436" s="3" t="n">
        <v>434</v>
      </c>
      <c r="B436" s="3" t="inlineStr">
        <is>
          <t>3.5.2.5</t>
        </is>
      </c>
      <c r="C436" s="3" t="inlineStr">
        <is>
          <t>Pemasangan 1 m' list plafon kayu profil</t>
        </is>
      </c>
      <c r="D436" s="3" t="inlineStr">
        <is>
          <t>m'</t>
        </is>
      </c>
      <c r="E436" s="4" t="n">
        <v>13775</v>
      </c>
    </row>
    <row r="437">
      <c r="A437" s="3" t="n">
        <v>435</v>
      </c>
      <c r="B437" s="3" t="inlineStr">
        <is>
          <t>3.5.2.6</t>
        </is>
      </c>
      <c r="C437" s="3" t="inlineStr">
        <is>
          <t>Pemasangan 1 m' list plafon gypsum</t>
        </is>
      </c>
      <c r="D437" s="3" t="inlineStr">
        <is>
          <t>m'</t>
        </is>
      </c>
      <c r="E437" s="4" t="n">
        <v>26843</v>
      </c>
    </row>
    <row r="438">
      <c r="A438" s="3" t="n">
        <v>436</v>
      </c>
      <c r="B438" s="3" t="inlineStr">
        <is>
          <t>3.5.2.7</t>
        </is>
      </c>
      <c r="C438" s="3" t="inlineStr">
        <is>
          <t>Pemasangan 1 m2 plafon aluminium spandrel</t>
        </is>
      </c>
      <c r="D438" s="3" t="inlineStr">
        <is>
          <t>m2</t>
        </is>
      </c>
      <c r="E438" s="4" t="n">
        <v>415080</v>
      </c>
    </row>
    <row r="439">
      <c r="A439" s="3" t="n">
        <v>437</v>
      </c>
      <c r="B439" s="3" t="inlineStr">
        <is>
          <t>3.5.3.1</t>
        </is>
      </c>
      <c r="C439" s="3" t="inlineStr">
        <is>
          <t>Pemasangan 1 m2 rangka plafon besi hollow 40.40, modul 60x60 cm</t>
        </is>
      </c>
      <c r="D439" s="3" t="inlineStr">
        <is>
          <t>m2</t>
        </is>
      </c>
      <c r="E439" s="4" t="n">
        <v>133641</v>
      </c>
    </row>
    <row r="440">
      <c r="A440" s="3" t="n">
        <v>438</v>
      </c>
      <c r="B440" s="3" t="inlineStr">
        <is>
          <t>3.5.3.2</t>
        </is>
      </c>
      <c r="C440" s="3" t="inlineStr">
        <is>
          <t>Pemasangan 1 m2 Rangka Langit-langit (Plafon) (50x 100) cm, Kayu Kelas II atau III</t>
        </is>
      </c>
      <c r="D440" s="3" t="inlineStr">
        <is>
          <t>m2</t>
        </is>
      </c>
      <c r="E440" s="4" t="n">
        <v>246359</v>
      </c>
    </row>
    <row r="441">
      <c r="A441" s="3" t="n">
        <v>439</v>
      </c>
      <c r="B441" s="3" t="inlineStr">
        <is>
          <t>3.5.3.3</t>
        </is>
      </c>
      <c r="C441" s="3" t="inlineStr">
        <is>
          <t>Pemasangan 1 m2 Rangka Langit-langit (Plafon) (60x 100) cm, Kayu Kelas II atau III</t>
        </is>
      </c>
      <c r="D441" s="3" t="inlineStr">
        <is>
          <t>m2</t>
        </is>
      </c>
      <c r="E441" s="4" t="n">
        <v>266465</v>
      </c>
    </row>
    <row r="442">
      <c r="A442" s="3" t="n">
        <v>440</v>
      </c>
      <c r="B442" s="3" t="inlineStr">
        <is>
          <t>3.6.1.1</t>
        </is>
      </c>
      <c r="C442" s="3" t="inlineStr">
        <is>
          <t>Pemasangan 1 m2 dinding bata merah tebal 1 batu dengan mortar tipe M,fc’ 17,2 MPa (Setara Campuran 1SP : 2PP)</t>
        </is>
      </c>
      <c r="D442" s="3" t="inlineStr">
        <is>
          <t>m2</t>
        </is>
      </c>
      <c r="E442" s="4" t="n">
        <v>278362</v>
      </c>
    </row>
    <row r="443">
      <c r="A443" s="3" t="n">
        <v>441</v>
      </c>
      <c r="B443" s="3" t="inlineStr">
        <is>
          <t>3.6.1.2</t>
        </is>
      </c>
      <c r="C443" s="3" t="inlineStr">
        <is>
          <t>Pemasangan 1 m2 dinding bata merah tebal 1 batu dengan mortar tipe S,fc’ 12,5 MPa (Setara Campuran 1SP : 3PP)</t>
        </is>
      </c>
      <c r="D443" s="3" t="inlineStr">
        <is>
          <t>m2</t>
        </is>
      </c>
      <c r="E443" s="4" t="n">
        <v>266603</v>
      </c>
    </row>
    <row r="444">
      <c r="A444" s="3" t="n">
        <v>442</v>
      </c>
      <c r="B444" s="3" t="inlineStr">
        <is>
          <t>3.6.1.3</t>
        </is>
      </c>
      <c r="C444" s="3" t="inlineStr">
        <is>
          <t>Pemasangan 1 m2 dinding bata merah tebal 1 batu dengan mortar tipe N,fc’ 5,2 MPa (Setara Campuran 1SP : 4PP)</t>
        </is>
      </c>
      <c r="D444" s="3" t="inlineStr">
        <is>
          <t>m2</t>
        </is>
      </c>
      <c r="E444" s="4" t="n">
        <v>258056</v>
      </c>
    </row>
    <row r="445">
      <c r="A445" s="3" t="n">
        <v>443</v>
      </c>
      <c r="B445" s="3" t="inlineStr">
        <is>
          <t>3.6.1.4</t>
        </is>
      </c>
      <c r="C445" s="3" t="inlineStr">
        <is>
          <t>Pemasangan 1 m2 dinding bata merah tebal 1 batu dengan mortar tipe O,fc’ 2,4 MPa (Setara Campuran 1SP : 5PP)</t>
        </is>
      </c>
      <c r="D445" s="3" t="inlineStr">
        <is>
          <t>m2</t>
        </is>
      </c>
      <c r="E445" s="4" t="n">
        <v>254558</v>
      </c>
    </row>
    <row r="446">
      <c r="A446" s="3" t="n">
        <v>444</v>
      </c>
      <c r="B446" s="3" t="inlineStr">
        <is>
          <t>3.6.1.5</t>
        </is>
      </c>
      <c r="C446" s="3" t="inlineStr">
        <is>
          <t>Pemasangan 1 m2 dinding bata merah tebal 1 batu campuran 1SP : 6PP</t>
        </is>
      </c>
      <c r="D446" s="3" t="inlineStr">
        <is>
          <t>m2</t>
        </is>
      </c>
      <c r="E446" s="4" t="n">
        <v>255317</v>
      </c>
    </row>
    <row r="447">
      <c r="A447" s="3" t="n">
        <v>445</v>
      </c>
      <c r="B447" s="3" t="inlineStr">
        <is>
          <t>3.6.1.6</t>
        </is>
      </c>
      <c r="C447" s="3" t="inlineStr">
        <is>
          <t>Pemasangan 1 m2 dinding bata merah tebal 1/2 batu dengan mortar tipe M,fc’ 17,2 MPa (Setara Campuran 1SP : 2PP)</t>
        </is>
      </c>
      <c r="D447" s="3" t="inlineStr">
        <is>
          <t>m2</t>
        </is>
      </c>
      <c r="E447" s="4" t="n">
        <v>134565</v>
      </c>
    </row>
    <row r="448">
      <c r="A448" s="3" t="n">
        <v>446</v>
      </c>
      <c r="B448" s="3" t="inlineStr">
        <is>
          <t>3.6.1.7</t>
        </is>
      </c>
      <c r="C448" s="3" t="inlineStr">
        <is>
          <t>Pemasangan 1 m2 dinding bata merah tebal 1/2 batu dengan mortar tipe S,fc’ 12,5 MPa (Setara Campuran 1SP : 3PP)</t>
        </is>
      </c>
      <c r="D448" s="3" t="inlineStr">
        <is>
          <t>m2</t>
        </is>
      </c>
      <c r="E448" s="4" t="n">
        <v>128620</v>
      </c>
    </row>
    <row r="449">
      <c r="A449" s="3" t="n">
        <v>447</v>
      </c>
      <c r="B449" s="3" t="inlineStr">
        <is>
          <t>3.6.1.8</t>
        </is>
      </c>
      <c r="C449" s="3" t="inlineStr">
        <is>
          <t>Pemasangan 1 m2 dinding bata merah tebal 1/2 batu dengan mortar tipe N,fc’ 5,2 MPa (Setara Campuran 1SP : 4PP)</t>
        </is>
      </c>
      <c r="D449" s="3" t="inlineStr">
        <is>
          <t>m2</t>
        </is>
      </c>
      <c r="E449" s="4" t="n">
        <v>125424</v>
      </c>
    </row>
    <row r="450">
      <c r="A450" s="3" t="n">
        <v>448</v>
      </c>
      <c r="B450" s="3" t="inlineStr">
        <is>
          <t>3.6.1.9</t>
        </is>
      </c>
      <c r="C450" s="3" t="inlineStr">
        <is>
          <t>Pemasangan 1 m2 dinding bata merah tebal 1/2 batu dengan mortar tipe O,fc’ 2,4 MPa (Setara Campuran 1SP : 5PP)</t>
        </is>
      </c>
      <c r="D450" s="3" t="inlineStr">
        <is>
          <t>m2</t>
        </is>
      </c>
      <c r="E450" s="4" t="n">
        <v>123426</v>
      </c>
    </row>
    <row r="451">
      <c r="A451" s="3" t="n">
        <v>449</v>
      </c>
      <c r="B451" s="3" t="inlineStr">
        <is>
          <t>3.6.1.10</t>
        </is>
      </c>
      <c r="C451" s="3" t="inlineStr">
        <is>
          <t>Pemasangan 1 m2 dinding bata merah tebal 1/2 batu campuran 1SP : 6PP</t>
        </is>
      </c>
      <c r="D451" s="3" t="inlineStr">
        <is>
          <t>m2</t>
        </is>
      </c>
      <c r="E451" s="4" t="n">
        <v>122691</v>
      </c>
    </row>
    <row r="452">
      <c r="A452" s="3" t="n">
        <v>450</v>
      </c>
      <c r="B452" s="3" t="inlineStr">
        <is>
          <t>3.6.2.1</t>
        </is>
      </c>
      <c r="C452" s="3" t="inlineStr">
        <is>
          <t>Pemasangan 1 m2 dinding conblock HB20 dengan mortar tipe S,fc’ 12,5 MPa (Setara Campuran 1SP : 3PP)</t>
        </is>
      </c>
      <c r="D452" s="3" t="inlineStr">
        <is>
          <t>m2</t>
        </is>
      </c>
      <c r="E452" s="4" t="n">
        <v>508394</v>
      </c>
    </row>
    <row r="453">
      <c r="A453" s="3" t="n">
        <v>451</v>
      </c>
      <c r="B453" s="3" t="inlineStr">
        <is>
          <t>3.6.2.2</t>
        </is>
      </c>
      <c r="C453" s="3" t="inlineStr">
        <is>
          <t>Pemasangan 1 m2 dinding conblock HB20 dengan mortar tipe N,fc’ 5,2 MPa (Setara Campuran 1SP : 4PP)</t>
        </is>
      </c>
      <c r="D453" s="3" t="inlineStr">
        <is>
          <t>m2</t>
        </is>
      </c>
      <c r="E453" s="4" t="n">
        <v>519802</v>
      </c>
    </row>
    <row r="454">
      <c r="A454" s="3" t="n">
        <v>452</v>
      </c>
      <c r="B454" s="3" t="inlineStr">
        <is>
          <t>3.6.2.3</t>
        </is>
      </c>
      <c r="C454" s="3" t="inlineStr">
        <is>
          <t>Pemasangan 1 m2 dinding conblock HB15 dengan mortar tipe S,fc’ 12,5 MPa (Setara Campuran 1SP : 3PP)</t>
        </is>
      </c>
      <c r="D454" s="3" t="inlineStr">
        <is>
          <t>m2</t>
        </is>
      </c>
      <c r="E454" s="4" t="n">
        <v>408510</v>
      </c>
    </row>
    <row r="455">
      <c r="A455" s="3" t="n">
        <v>453</v>
      </c>
      <c r="B455" s="3" t="inlineStr">
        <is>
          <t>3.6.2.4</t>
        </is>
      </c>
      <c r="C455" s="3" t="inlineStr">
        <is>
          <t>Pemasangan 1 m2 dinding conblock HB15 dengan mortar tipe N,fc’ 5,2 MPa (Setara Campuran 1SP : 4PP)</t>
        </is>
      </c>
      <c r="D455" s="3" t="inlineStr">
        <is>
          <t>m2</t>
        </is>
      </c>
      <c r="E455" s="4" t="n">
        <v>411698</v>
      </c>
    </row>
    <row r="456">
      <c r="A456" s="3" t="n">
        <v>454</v>
      </c>
      <c r="B456" s="3" t="inlineStr">
        <is>
          <t>3.6.2.5</t>
        </is>
      </c>
      <c r="C456" s="3" t="inlineStr">
        <is>
          <t>Pemasangan 1 m2 dinding conblock HB10 dengan mortar tipe S,fc’ 12,5 MPa (Setara Campuran 1SP : 3PP)</t>
        </is>
      </c>
      <c r="D456" s="3" t="inlineStr">
        <is>
          <t>m2</t>
        </is>
      </c>
      <c r="E456" s="4" t="n">
        <v>341405</v>
      </c>
    </row>
    <row r="457">
      <c r="A457" s="3" t="n">
        <v>455</v>
      </c>
      <c r="B457" s="3" t="inlineStr">
        <is>
          <t>3.6.2.6</t>
        </is>
      </c>
      <c r="C457" s="3" t="inlineStr">
        <is>
          <t>Pemasangan 1 m2 dinding conblock HB10 dengan mortar tipe N,fc’ 5,2 MPa (Setara Campuran 1SP : 4PP)</t>
        </is>
      </c>
      <c r="D457" s="3" t="inlineStr">
        <is>
          <t>m2</t>
        </is>
      </c>
      <c r="E457" s="4" t="n">
        <v>344333</v>
      </c>
    </row>
    <row r="458">
      <c r="A458" s="3" t="n">
        <v>456</v>
      </c>
      <c r="B458" s="3" t="inlineStr">
        <is>
          <t>3.6.3.1</t>
        </is>
      </c>
      <c r="C458" s="3" t="inlineStr">
        <is>
          <t>Pemasangan 1 m2 dinding kerawang (rooster) 12x11x24 dengan mortar tipe S,fc’ 12,5 MPa (Setara Campuran 1SP : 3PP)</t>
        </is>
      </c>
      <c r="D458" s="3" t="inlineStr">
        <is>
          <t>m2</t>
        </is>
      </c>
      <c r="E458" s="4" t="n">
        <v>672798</v>
      </c>
    </row>
    <row r="459">
      <c r="A459" s="3" t="n">
        <v>457</v>
      </c>
      <c r="B459" s="3" t="inlineStr">
        <is>
          <t>3.6.3.2</t>
        </is>
      </c>
      <c r="C459" s="3" t="inlineStr">
        <is>
          <t>Pemasangan 1 m2 dinding kerawang (rooster) 12x11x24 dengan mortar tipe N,fc’ 5,2 MPa (Setara Campuran 1SP : 4PP)</t>
        </is>
      </c>
      <c r="D459" s="3" t="inlineStr">
        <is>
          <t>m2</t>
        </is>
      </c>
      <c r="E459" s="4" t="n">
        <v>668508</v>
      </c>
    </row>
    <row r="460">
      <c r="A460" s="3" t="n">
        <v>458</v>
      </c>
      <c r="B460" s="3" t="inlineStr">
        <is>
          <t>3.6.3.3</t>
        </is>
      </c>
      <c r="C460" s="3" t="inlineStr">
        <is>
          <t>Pemasangan 1 m2 dinding bata berongga ekspose 12x11x24 dengan mortar tipe S,fc’ 12,5 MPa (Setara Campuran 1SP : 3PP)</t>
        </is>
      </c>
      <c r="D460" s="3" t="inlineStr">
        <is>
          <t>m2</t>
        </is>
      </c>
      <c r="E460" s="4" t="n">
        <v>692202</v>
      </c>
    </row>
    <row r="461">
      <c r="A461" s="3" t="n">
        <v>459</v>
      </c>
      <c r="B461" s="3" t="inlineStr">
        <is>
          <t>3.6.3.4</t>
        </is>
      </c>
      <c r="C461" s="3" t="inlineStr">
        <is>
          <t>Pemasangan 1 m2 glass block 20x20 cm, 1PC : 3PP</t>
        </is>
      </c>
      <c r="D461" s="3" t="inlineStr">
        <is>
          <t>m2</t>
        </is>
      </c>
      <c r="E461" s="4" t="n">
        <v>142488</v>
      </c>
    </row>
    <row r="462">
      <c r="A462" s="3" t="n">
        <v>460</v>
      </c>
      <c r="B462" s="3" t="inlineStr">
        <is>
          <t>3.6.3.5</t>
        </is>
      </c>
      <c r="C462" s="3" t="inlineStr">
        <is>
          <t>Pemasangan 1 m2 dinding kerawang (rooster) 20x20 (Setara Campuran 1SP : 3PP)</t>
        </is>
      </c>
      <c r="D462" s="3" t="inlineStr">
        <is>
          <t>m2</t>
        </is>
      </c>
      <c r="E462" s="4" t="n">
        <v>503426</v>
      </c>
    </row>
    <row r="463">
      <c r="A463" s="3" t="n">
        <v>461</v>
      </c>
      <c r="B463" s="3" t="inlineStr">
        <is>
          <t>3.6.4.1</t>
        </is>
      </c>
      <c r="C463" s="3" t="inlineStr">
        <is>
          <t>Pemasangan 1 m2 dinding bata ringan tebal 7,5 cm dengan mortar siap pakai</t>
        </is>
      </c>
      <c r="D463" s="3" t="inlineStr">
        <is>
          <t>m2</t>
        </is>
      </c>
      <c r="E463" s="4" t="n">
        <v>120991</v>
      </c>
    </row>
    <row r="464">
      <c r="A464" s="3" t="n">
        <v>462</v>
      </c>
      <c r="B464" s="3" t="inlineStr">
        <is>
          <t>3.6.4.2</t>
        </is>
      </c>
      <c r="C464" s="3" t="inlineStr">
        <is>
          <t>Pemasangan 1 m2 dinding bata ringan tebal 10 cm dengan mortar siap pakai</t>
        </is>
      </c>
      <c r="D464" s="3" t="inlineStr">
        <is>
          <t>m2</t>
        </is>
      </c>
      <c r="E464" s="4" t="n">
        <v>146800</v>
      </c>
    </row>
    <row r="465">
      <c r="A465" s="3" t="n">
        <v>463</v>
      </c>
      <c r="B465" s="3" t="inlineStr">
        <is>
          <t>3.6.4.3</t>
        </is>
      </c>
      <c r="C465" s="3" t="inlineStr">
        <is>
          <t>Pemasangan 1 m2 dinding bata ringan tebal 20 cm dengan mortar siap pakai</t>
        </is>
      </c>
      <c r="D465" s="3" t="inlineStr">
        <is>
          <t>m2</t>
        </is>
      </c>
      <c r="E465" s="4" t="n">
        <v>257221</v>
      </c>
    </row>
    <row r="466">
      <c r="A466" s="3" t="n">
        <v>464</v>
      </c>
      <c r="B466" s="3" t="inlineStr">
        <is>
          <t>3.6.5.1</t>
        </is>
      </c>
      <c r="C466" s="3" t="inlineStr">
        <is>
          <t>Pemasangan 1 m2 dinding batako dengan mortar tipe S,fc’ 12,5 MPa (Setara Campuran 1SP : 3PP)</t>
        </is>
      </c>
      <c r="D466" s="3" t="inlineStr">
        <is>
          <t>m2</t>
        </is>
      </c>
      <c r="E466" s="4" t="n">
        <v>225677</v>
      </c>
    </row>
    <row r="467">
      <c r="A467" s="3" t="n">
        <v>465</v>
      </c>
      <c r="B467" s="3" t="inlineStr">
        <is>
          <t>3.6.5.2</t>
        </is>
      </c>
      <c r="C467" s="3" t="inlineStr">
        <is>
          <t>Pemasangan 1 m2 dinding batako dengan mortar tipe N,fc’ 5,2 MPa (Setara Campuran 1SP : 4PP)</t>
        </is>
      </c>
      <c r="D467" s="3" t="inlineStr">
        <is>
          <t>m2</t>
        </is>
      </c>
      <c r="E467" s="4" t="n">
        <v>225533</v>
      </c>
    </row>
    <row r="468">
      <c r="A468" s="3" t="n">
        <v>466</v>
      </c>
      <c r="B468" s="3" t="inlineStr">
        <is>
          <t>3.6.6.1</t>
        </is>
      </c>
      <c r="C468" s="3" t="inlineStr">
        <is>
          <t>Pemasangan 1 m2 dinding partisi, Gypsumboard t=12mm</t>
        </is>
      </c>
      <c r="D468" s="3" t="inlineStr">
        <is>
          <t>m2</t>
        </is>
      </c>
      <c r="E468" s="4" t="n">
        <v>471536</v>
      </c>
    </row>
    <row r="469">
      <c r="A469" s="3" t="n">
        <v>467</v>
      </c>
      <c r="B469" s="3" t="inlineStr">
        <is>
          <t>3.7.1</t>
        </is>
      </c>
      <c r="C469" s="3" t="inlineStr">
        <is>
          <t>Pemasangan 1 m2 plesteran 1SP : 1PP tebal 15 mm</t>
        </is>
      </c>
      <c r="D469" s="3" t="inlineStr">
        <is>
          <t>m2</t>
        </is>
      </c>
      <c r="E469" s="4" t="n">
        <v>67611</v>
      </c>
    </row>
    <row r="470">
      <c r="A470" s="3" t="n">
        <v>468</v>
      </c>
      <c r="B470" s="3" t="inlineStr">
        <is>
          <t>3.7.2</t>
        </is>
      </c>
      <c r="C470" s="3" t="inlineStr">
        <is>
          <t>Pemasangan 1 m2 plesteran 1SP : 2PP tebal 15 mm</t>
        </is>
      </c>
      <c r="D470" s="3" t="inlineStr">
        <is>
          <t>m2</t>
        </is>
      </c>
      <c r="E470" s="4" t="n">
        <v>61271</v>
      </c>
    </row>
    <row r="471">
      <c r="A471" s="3" t="n">
        <v>469</v>
      </c>
      <c r="B471" s="3" t="inlineStr">
        <is>
          <t>3.7.3</t>
        </is>
      </c>
      <c r="C471" s="3" t="inlineStr">
        <is>
          <t>Pemasangan 1 m2 plesteran 1SP : 3PP tebal 15 mm</t>
        </is>
      </c>
      <c r="D471" s="3" t="inlineStr">
        <is>
          <t>m2</t>
        </is>
      </c>
      <c r="E471" s="4" t="n">
        <v>58678</v>
      </c>
    </row>
    <row r="472">
      <c r="A472" s="3" t="n">
        <v>470</v>
      </c>
      <c r="B472" s="3" t="inlineStr">
        <is>
          <t>3.7.4</t>
        </is>
      </c>
      <c r="C472" s="3" t="inlineStr">
        <is>
          <t>Pemasangan 1 m2 plesteran 1SP : 4PP tebal 15 mm</t>
        </is>
      </c>
      <c r="D472" s="3" t="inlineStr">
        <is>
          <t>m2</t>
        </is>
      </c>
      <c r="E472" s="4" t="n">
        <v>56784</v>
      </c>
    </row>
    <row r="473">
      <c r="A473" s="3" t="n">
        <v>471</v>
      </c>
      <c r="B473" s="3" t="inlineStr">
        <is>
          <t>3.7.5</t>
        </is>
      </c>
      <c r="C473" s="3" t="inlineStr">
        <is>
          <t>Pemasangan 1 m2 plesteran 1SP : 5PP tebal 15 mm</t>
        </is>
      </c>
      <c r="D473" s="3" t="inlineStr">
        <is>
          <t>m2</t>
        </is>
      </c>
      <c r="E473" s="4" t="n">
        <v>55879</v>
      </c>
    </row>
    <row r="474">
      <c r="A474" s="3" t="n">
        <v>472</v>
      </c>
      <c r="B474" s="3" t="inlineStr">
        <is>
          <t>3.7.6</t>
        </is>
      </c>
      <c r="C474" s="3" t="inlineStr">
        <is>
          <t>Pemasangan 1 m2 plesteran 1SP : 6PP tebal 15 mm</t>
        </is>
      </c>
      <c r="D474" s="3" t="inlineStr">
        <is>
          <t>m2</t>
        </is>
      </c>
      <c r="E474" s="4" t="n">
        <v>55083</v>
      </c>
    </row>
    <row r="475">
      <c r="A475" s="3" t="n">
        <v>473</v>
      </c>
      <c r="B475" s="3" t="inlineStr">
        <is>
          <t>3.7.7</t>
        </is>
      </c>
      <c r="C475" s="3" t="inlineStr">
        <is>
          <t>Pemasangan 1 m2 plesteran dengan semen instan tebal 10 mm</t>
        </is>
      </c>
      <c r="D475" s="3" t="inlineStr">
        <is>
          <t>m2</t>
        </is>
      </c>
      <c r="E475" s="4" t="n">
        <v>67745</v>
      </c>
    </row>
    <row r="476">
      <c r="A476" s="3" t="n">
        <v>474</v>
      </c>
      <c r="B476" s="3" t="inlineStr">
        <is>
          <t>3.7.8</t>
        </is>
      </c>
      <c r="C476" s="3" t="inlineStr">
        <is>
          <t>Pemasangan 1 m2 acian</t>
        </is>
      </c>
      <c r="D476" s="3" t="inlineStr">
        <is>
          <t>m2</t>
        </is>
      </c>
      <c r="E476" s="4" t="n">
        <v>45248</v>
      </c>
    </row>
    <row r="477">
      <c r="A477" s="3" t="n">
        <v>475</v>
      </c>
      <c r="B477" s="3" t="inlineStr">
        <is>
          <t>3.7.9</t>
        </is>
      </c>
      <c r="C477" s="3" t="inlineStr">
        <is>
          <t>Pemasangan 1 m2 berapen 1SP : 5PP tebal 15 mm</t>
        </is>
      </c>
      <c r="D477" s="3" t="inlineStr">
        <is>
          <t>m2</t>
        </is>
      </c>
      <c r="E477" s="4" t="n">
        <v>66950</v>
      </c>
    </row>
    <row r="478">
      <c r="A478" s="3" t="n">
        <v>476</v>
      </c>
      <c r="B478" s="3" t="inlineStr">
        <is>
          <t>3.7.10</t>
        </is>
      </c>
      <c r="C478" s="3" t="inlineStr">
        <is>
          <t>Pemasangan 1 m' plesteran skoning 1SP : 3PP lebar 10 cm</t>
        </is>
      </c>
      <c r="D478" s="3" t="inlineStr">
        <is>
          <t>m2</t>
        </is>
      </c>
      <c r="E478" s="4" t="n">
        <v>57545</v>
      </c>
    </row>
    <row r="479">
      <c r="A479" s="3" t="n">
        <v>477</v>
      </c>
      <c r="B479" s="3" t="inlineStr">
        <is>
          <t>3.7.11</t>
        </is>
      </c>
      <c r="C479" s="3" t="inlineStr">
        <is>
          <t>Pemasangan 1 m2 plesteran serbuk batu granit 1SP : 2 granit, tebal 10 mm</t>
        </is>
      </c>
      <c r="D479" s="3" t="inlineStr">
        <is>
          <t>m2</t>
        </is>
      </c>
      <c r="E479" s="4" t="n">
        <v>252835</v>
      </c>
    </row>
    <row r="480">
      <c r="A480" s="3" t="n">
        <v>478</v>
      </c>
      <c r="B480" s="3" t="inlineStr">
        <is>
          <t>3.7.12</t>
        </is>
      </c>
      <c r="C480" s="3" t="inlineStr">
        <is>
          <t>Pemasangan 1 m2 plesteran serbuk batu traso 1SP : 2 traso, tebal 10 mm</t>
        </is>
      </c>
      <c r="D480" s="3" t="inlineStr">
        <is>
          <t>m2</t>
        </is>
      </c>
      <c r="E480" s="4" t="n">
        <v>269335</v>
      </c>
    </row>
    <row r="481">
      <c r="A481" s="3" t="n">
        <v>479</v>
      </c>
      <c r="B481" s="3" t="inlineStr">
        <is>
          <t>3.7.13</t>
        </is>
      </c>
      <c r="C481" s="3" t="inlineStr">
        <is>
          <t>Pemasangan 1 m2 kamprotan untuk finishing 1SP : 2PP</t>
        </is>
      </c>
      <c r="D481" s="3" t="inlineStr">
        <is>
          <t>m2</t>
        </is>
      </c>
      <c r="E481" s="4" t="n">
        <v>34601</v>
      </c>
    </row>
    <row r="482">
      <c r="A482" s="3" t="n">
        <v>480</v>
      </c>
      <c r="B482" s="3" t="inlineStr">
        <is>
          <t>3.7.14</t>
        </is>
      </c>
      <c r="C482" s="3" t="inlineStr">
        <is>
          <t>Pemasangan 1 m2 finishing siar pasangan bata merah</t>
        </is>
      </c>
      <c r="D482" s="3" t="inlineStr">
        <is>
          <t>m2</t>
        </is>
      </c>
      <c r="E482" s="4" t="n">
        <v>36410</v>
      </c>
    </row>
    <row r="483">
      <c r="A483" s="3" t="n">
        <v>481</v>
      </c>
      <c r="B483" s="3" t="inlineStr">
        <is>
          <t>3.7.15</t>
        </is>
      </c>
      <c r="C483" s="3" t="inlineStr">
        <is>
          <t>Pemasangan 1 m2 finishing dinding siar pasangan conblock ekspose</t>
        </is>
      </c>
      <c r="D483" s="3" t="inlineStr">
        <is>
          <t>m2</t>
        </is>
      </c>
      <c r="E483" s="4" t="n">
        <v>26323</v>
      </c>
    </row>
    <row r="484">
      <c r="A484" s="3" t="n">
        <v>482</v>
      </c>
      <c r="B484" s="3" t="inlineStr">
        <is>
          <t>3.7.16</t>
        </is>
      </c>
      <c r="C484" s="3" t="inlineStr">
        <is>
          <t>Pekerjaan 1 m2 Beton Expose</t>
        </is>
      </c>
      <c r="D484" s="3" t="inlineStr">
        <is>
          <t>m2</t>
        </is>
      </c>
      <c r="E484" s="4" t="n">
        <v>40755</v>
      </c>
    </row>
    <row r="485">
      <c r="A485" s="3" t="n">
        <v>483</v>
      </c>
      <c r="B485" s="3" t="inlineStr">
        <is>
          <t>3.8.1</t>
        </is>
      </c>
      <c r="C485" s="3" t="inlineStr">
        <is>
          <t>Pengikisan/pengerokan 1 m2 permukaan cat lama (cat minyak)</t>
        </is>
      </c>
      <c r="D485" s="3" t="inlineStr">
        <is>
          <t>m2</t>
        </is>
      </c>
      <c r="E485" s="4" t="n">
        <v>19134</v>
      </c>
    </row>
    <row r="486">
      <c r="A486" s="3" t="n">
        <v>484</v>
      </c>
      <c r="B486" s="3" t="inlineStr">
        <is>
          <t>3.8.2</t>
        </is>
      </c>
      <c r="C486" s="3" t="inlineStr">
        <is>
          <t>Pencucian 1 m2 permukaan tembok yang pernah dicat</t>
        </is>
      </c>
      <c r="D486" s="3" t="inlineStr">
        <is>
          <t>m2</t>
        </is>
      </c>
      <c r="E486" s="4" t="n">
        <v>19217</v>
      </c>
    </row>
    <row r="487">
      <c r="A487" s="3" t="n">
        <v>485</v>
      </c>
      <c r="B487" s="3" t="inlineStr">
        <is>
          <t>3.8.3</t>
        </is>
      </c>
      <c r="C487" s="3" t="inlineStr">
        <is>
          <t>Pengerokan 1 m2 karat pada permukaan baja cara manual</t>
        </is>
      </c>
      <c r="D487" s="3" t="inlineStr">
        <is>
          <t>m2</t>
        </is>
      </c>
      <c r="E487" s="4" t="n">
        <v>19250</v>
      </c>
    </row>
    <row r="488">
      <c r="A488" s="3" t="n">
        <v>486</v>
      </c>
      <c r="B488" s="3" t="inlineStr">
        <is>
          <t>3.8.4</t>
        </is>
      </c>
      <c r="C488" s="3" t="inlineStr">
        <is>
          <t>Pengecatan 1 m2 bidang kayu baru (1 lapis plamir, 1 lapis cat dasar, 2 lapis cat penutup)</t>
        </is>
      </c>
      <c r="D488" s="3" t="inlineStr">
        <is>
          <t>m2</t>
        </is>
      </c>
      <c r="E488" s="4" t="n">
        <v>47438</v>
      </c>
    </row>
    <row r="489">
      <c r="A489" s="3" t="n">
        <v>487</v>
      </c>
      <c r="B489" s="3" t="inlineStr">
        <is>
          <t>3.8.5</t>
        </is>
      </c>
      <c r="C489" s="3" t="inlineStr">
        <is>
          <t>Pengecatan 1 m2 bidang kayu baru (1 lapis plamir, 1 lapis cat dasar, 3 lapis cat penutup)</t>
        </is>
      </c>
      <c r="D489" s="3" t="inlineStr">
        <is>
          <t>m2</t>
        </is>
      </c>
      <c r="E489" s="4" t="n">
        <v>71093</v>
      </c>
    </row>
    <row r="490">
      <c r="A490" s="3" t="n">
        <v>488</v>
      </c>
      <c r="B490" s="3" t="inlineStr">
        <is>
          <t>3.8.6</t>
        </is>
      </c>
      <c r="C490" s="3" t="inlineStr">
        <is>
          <t>Pelaburan 1 m2 bidang kayu dengan teak oil</t>
        </is>
      </c>
      <c r="D490" s="3" t="inlineStr">
        <is>
          <t>m2</t>
        </is>
      </c>
      <c r="E490" s="4" t="n">
        <v>27686</v>
      </c>
    </row>
    <row r="491">
      <c r="A491" s="3" t="n">
        <v>489</v>
      </c>
      <c r="B491" s="3" t="inlineStr">
        <is>
          <t>3.8.7</t>
        </is>
      </c>
      <c r="C491" s="3" t="inlineStr">
        <is>
          <t>Pelaburan 1 m2 bidang kayu dengan pelitur</t>
        </is>
      </c>
      <c r="D491" s="3" t="inlineStr">
        <is>
          <t>m2</t>
        </is>
      </c>
      <c r="E491" s="4" t="n">
        <v>63394</v>
      </c>
    </row>
    <row r="492">
      <c r="A492" s="3" t="n">
        <v>490</v>
      </c>
      <c r="B492" s="3" t="inlineStr">
        <is>
          <t>3.8.8</t>
        </is>
      </c>
      <c r="C492" s="3" t="inlineStr">
        <is>
          <t>Pelaburan 1 m2 bidang kayu dengan residu atau Ter</t>
        </is>
      </c>
      <c r="D492" s="3" t="inlineStr">
        <is>
          <t>m2</t>
        </is>
      </c>
      <c r="E492" s="4" t="n">
        <v>20185</v>
      </c>
    </row>
    <row r="493">
      <c r="A493" s="3" t="n">
        <v>491</v>
      </c>
      <c r="B493" s="3" t="inlineStr">
        <is>
          <t>3.8.9</t>
        </is>
      </c>
      <c r="C493" s="3" t="inlineStr">
        <is>
          <t>Pelaburan 1 m2 bidang kayu dengan vernis</t>
        </is>
      </c>
      <c r="D493" s="3" t="inlineStr">
        <is>
          <t>m2</t>
        </is>
      </c>
      <c r="E493" s="4" t="n">
        <v>56980</v>
      </c>
    </row>
    <row r="494">
      <c r="A494" s="3" t="n">
        <v>492</v>
      </c>
      <c r="B494" s="3" t="inlineStr">
        <is>
          <t>3.8.10.1</t>
        </is>
      </c>
      <c r="C494" s="3" t="inlineStr">
        <is>
          <t>Pengecatan 1 m2 tembok baru Interior( 1 lapis cat dasar, 2 lapis cat penutup)</t>
        </is>
      </c>
      <c r="D494" s="3" t="inlineStr">
        <is>
          <t>m2</t>
        </is>
      </c>
      <c r="E494" s="4" t="n">
        <v>70173</v>
      </c>
    </row>
    <row r="495">
      <c r="A495" s="3" t="n">
        <v>493</v>
      </c>
      <c r="B495" s="3" t="inlineStr">
        <is>
          <t>3.8.10.2</t>
        </is>
      </c>
      <c r="C495" s="3" t="inlineStr">
        <is>
          <t>Pengecatan 1 m2 tembok baru Ekterior (1 lapis cat dasar, 2 lapis cat penutup), eksterior</t>
        </is>
      </c>
      <c r="D495" s="3" t="inlineStr">
        <is>
          <t>m2</t>
        </is>
      </c>
      <c r="E495" s="4" t="n">
        <v>75981</v>
      </c>
    </row>
    <row r="496">
      <c r="A496" s="3" t="n">
        <v>494</v>
      </c>
      <c r="B496" s="3" t="inlineStr">
        <is>
          <t>3.8.11.1</t>
        </is>
      </c>
      <c r="C496" s="3" t="inlineStr">
        <is>
          <t>Pengecatan 1 m2 tembok lama Interior  (1 lapis cat dasar, 2 lapis cat penutup)</t>
        </is>
      </c>
      <c r="D496" s="3" t="inlineStr">
        <is>
          <t>m2</t>
        </is>
      </c>
      <c r="E496" s="4" t="n">
        <v>56371</v>
      </c>
    </row>
    <row r="497">
      <c r="A497" s="3" t="n">
        <v>495</v>
      </c>
      <c r="B497" s="3" t="inlineStr">
        <is>
          <t>3.8.11.2</t>
        </is>
      </c>
      <c r="C497" s="3" t="inlineStr">
        <is>
          <t>Pengecatan 1 m2 tembok lama Ekterior (1 lapis cat dasar, 2 lapis cat penutup)</t>
        </is>
      </c>
      <c r="D497" s="3" t="inlineStr">
        <is>
          <t>m2</t>
        </is>
      </c>
      <c r="E497" s="4" t="n">
        <v>58820</v>
      </c>
    </row>
    <row r="498">
      <c r="A498" s="3" t="n">
        <v>496</v>
      </c>
      <c r="B498" s="3" t="inlineStr">
        <is>
          <t>3.8.12</t>
        </is>
      </c>
      <c r="C498" s="3" t="inlineStr">
        <is>
          <t>Pelaburan 1 m2 tembok baru dengan kapur padam (kapur pemutih)</t>
        </is>
      </c>
      <c r="D498" s="3" t="inlineStr">
        <is>
          <t>m2</t>
        </is>
      </c>
      <c r="E498" s="4" t="n">
        <v>26520</v>
      </c>
    </row>
    <row r="499">
      <c r="A499" s="3" t="n">
        <v>497</v>
      </c>
      <c r="B499" s="3" t="inlineStr">
        <is>
          <t>3.8.13</t>
        </is>
      </c>
      <c r="C499" s="3" t="inlineStr">
        <is>
          <t>Pelaburan 1 m2 tembok lama dengan kapur padam (kapur pemutih)</t>
        </is>
      </c>
      <c r="D499" s="3" t="inlineStr">
        <is>
          <t>m2</t>
        </is>
      </c>
      <c r="E499" s="4" t="n">
        <v>16755</v>
      </c>
    </row>
    <row r="500">
      <c r="A500" s="3" t="n">
        <v>498</v>
      </c>
      <c r="B500" s="3" t="inlineStr">
        <is>
          <t>3.8.14</t>
        </is>
      </c>
      <c r="C500" s="3" t="inlineStr">
        <is>
          <t>Pengecatan 1 m2 permukaan baja galvanis 3 lapis cat terakhir secara semprot</t>
        </is>
      </c>
      <c r="D500" s="3" t="inlineStr">
        <is>
          <t>m2</t>
        </is>
      </c>
      <c r="E500" s="4" t="n">
        <v>76703</v>
      </c>
    </row>
    <row r="501">
      <c r="A501" s="3" t="n">
        <v>499</v>
      </c>
      <c r="B501" s="3" t="inlineStr">
        <is>
          <t>3.8.15</t>
        </is>
      </c>
      <c r="C501" s="3" t="inlineStr">
        <is>
          <t>Pengecatan 1 m2 permukaan baja galvanis secara manual sistem 3 lapis</t>
        </is>
      </c>
      <c r="D501" s="3" t="inlineStr">
        <is>
          <t>m2</t>
        </is>
      </c>
      <c r="E501" s="4" t="n">
        <v>213644</v>
      </c>
    </row>
    <row r="502">
      <c r="A502" s="3" t="n">
        <v>500</v>
      </c>
      <c r="B502" s="3" t="inlineStr">
        <is>
          <t>3.8.16</t>
        </is>
      </c>
      <c r="C502" s="3" t="inlineStr">
        <is>
          <t>Pengecatan 1 m2 permukaan baja dengan menie besi (Zinc Chromate)</t>
        </is>
      </c>
      <c r="D502" s="3" t="inlineStr">
        <is>
          <t>m2</t>
        </is>
      </c>
      <c r="E502" s="4" t="n">
        <v>44211</v>
      </c>
    </row>
    <row r="503">
      <c r="A503" s="3" t="n">
        <v>501</v>
      </c>
      <c r="B503" s="3" t="inlineStr">
        <is>
          <t>3.8.17</t>
        </is>
      </c>
      <c r="C503" s="3" t="inlineStr">
        <is>
          <t>Pengecatan 1 m2 permukaan baja dengan menie besi dengan perancah</t>
        </is>
      </c>
      <c r="D503" s="3" t="inlineStr">
        <is>
          <t>m2</t>
        </is>
      </c>
      <c r="E503" s="4" t="n">
        <v>79570</v>
      </c>
    </row>
    <row r="504">
      <c r="A504" s="3" t="n">
        <v>502</v>
      </c>
      <c r="B504" s="3" t="inlineStr">
        <is>
          <t>3.8.18</t>
        </is>
      </c>
      <c r="C504" s="3" t="inlineStr">
        <is>
          <t>Pengecatan 1 m2 permukaan baja galvanis secara manual sistem 4 lapis</t>
        </is>
      </c>
      <c r="D504" s="3" t="inlineStr">
        <is>
          <t>m2</t>
        </is>
      </c>
      <c r="E504" s="4" t="n">
        <v>90381</v>
      </c>
    </row>
    <row r="505">
      <c r="A505" s="3" t="n">
        <v>503</v>
      </c>
      <c r="B505" s="3" t="inlineStr">
        <is>
          <t>3.8.19</t>
        </is>
      </c>
      <c r="C505" s="3" t="inlineStr">
        <is>
          <t>Pengecatan 1 m2 permukaan baja galvanis secara manual sistem 1 lapis cat penutup</t>
        </is>
      </c>
      <c r="D505" s="3" t="inlineStr">
        <is>
          <t>m2</t>
        </is>
      </c>
      <c r="E505" s="4" t="n">
        <v>36150</v>
      </c>
    </row>
    <row r="506">
      <c r="A506" s="3" t="n">
        <v>504</v>
      </c>
      <c r="B506" s="3" t="inlineStr">
        <is>
          <t>3.8.20.1</t>
        </is>
      </c>
      <c r="C506" s="3" t="inlineStr">
        <is>
          <t>Pengecatan 1 m2 plafon Interior ( 1 lapis Cat Dasar dan 2 Lapis Cat Penutup)</t>
        </is>
      </c>
      <c r="D506" s="3" t="inlineStr">
        <is>
          <t>m2</t>
        </is>
      </c>
      <c r="E506" s="4" t="n">
        <v>60078</v>
      </c>
    </row>
    <row r="507">
      <c r="A507" s="3" t="n">
        <v>505</v>
      </c>
      <c r="B507" s="3" t="inlineStr">
        <is>
          <t>3.8.20.2</t>
        </is>
      </c>
      <c r="C507" s="3" t="inlineStr">
        <is>
          <t>Pengecatan 1 m2 plafon eksterior ( 1 lapis Cat Dasar dan 2 Lapis Cat Penutup)</t>
        </is>
      </c>
      <c r="D507" s="3" t="inlineStr">
        <is>
          <t>m2</t>
        </is>
      </c>
      <c r="E507" s="4" t="n">
        <v>59062</v>
      </c>
    </row>
    <row r="508">
      <c r="A508" s="3" t="n">
        <v>506</v>
      </c>
      <c r="B508" s="3" t="inlineStr">
        <is>
          <t>3.8.21</t>
        </is>
      </c>
      <c r="C508" s="3" t="inlineStr">
        <is>
          <t>Pengecatan 1 m2 cat epoxy tebal 2 mm</t>
        </is>
      </c>
      <c r="D508" s="3" t="inlineStr">
        <is>
          <t>m2</t>
        </is>
      </c>
      <c r="E508" s="4" t="n">
        <v>92224</v>
      </c>
    </row>
    <row r="509">
      <c r="A509" s="3" t="n">
        <v>507</v>
      </c>
      <c r="B509" s="3" t="inlineStr">
        <is>
          <t>3.8.22</t>
        </is>
      </c>
      <c r="C509" s="3" t="inlineStr">
        <is>
          <t>Pelituran 1 m2 dengan pelitur melamic</t>
        </is>
      </c>
      <c r="D509" s="3" t="inlineStr">
        <is>
          <t>m2</t>
        </is>
      </c>
      <c r="E509" s="4" t="n">
        <v>306460</v>
      </c>
    </row>
    <row r="510">
      <c r="A510" s="3" t="n">
        <v>508</v>
      </c>
      <c r="B510" s="3" t="inlineStr">
        <is>
          <t>3.9.1</t>
        </is>
      </c>
      <c r="C510" s="3" t="inlineStr">
        <is>
          <t>Pemasangan 1 m2 lantai ubin PC abu-abu uk. 20x20 cm (1SP : 2PP)</t>
        </is>
      </c>
      <c r="D510" s="3" t="inlineStr">
        <is>
          <t>m2</t>
        </is>
      </c>
      <c r="E510" s="4" t="n">
        <v>112486</v>
      </c>
    </row>
    <row r="511">
      <c r="A511" s="3" t="n">
        <v>509</v>
      </c>
      <c r="B511" s="3" t="inlineStr">
        <is>
          <t>3.9.1.2</t>
        </is>
      </c>
      <c r="C511" s="3" t="inlineStr">
        <is>
          <t>Pemasangan 1 m2 lantai ubin PC abu-abu uk. 30x30 cm (1SP : 2PP)</t>
        </is>
      </c>
      <c r="D511" s="3" t="inlineStr">
        <is>
          <t>m2</t>
        </is>
      </c>
      <c r="E511" s="4" t="n">
        <v>100297</v>
      </c>
    </row>
    <row r="512">
      <c r="A512" s="3" t="n">
        <v>510</v>
      </c>
      <c r="B512" s="3" t="inlineStr">
        <is>
          <t>3.9.1.3</t>
        </is>
      </c>
      <c r="C512" s="3" t="inlineStr">
        <is>
          <t>Pemasangan 1 m2 lantai ubin PC abu-abu uk. 40x40 cm (1SP : 2PP)</t>
        </is>
      </c>
      <c r="D512" s="3" t="inlineStr">
        <is>
          <t>m2</t>
        </is>
      </c>
      <c r="E512" s="4" t="n">
        <v>92107</v>
      </c>
    </row>
    <row r="513">
      <c r="A513" s="3" t="n">
        <v>511</v>
      </c>
      <c r="B513" s="3" t="inlineStr">
        <is>
          <t>3.9.1.4</t>
        </is>
      </c>
      <c r="C513" s="3" t="inlineStr">
        <is>
          <t>Pemasangan 1 m2 lantai ubin PC abu-abu uk. 60x60 cm (1SP : 2PP)</t>
        </is>
      </c>
      <c r="D513" s="3" t="inlineStr">
        <is>
          <t>m2</t>
        </is>
      </c>
      <c r="E513" s="4" t="n">
        <v>89913</v>
      </c>
    </row>
    <row r="514">
      <c r="A514" s="3" t="n">
        <v>512</v>
      </c>
      <c r="B514" s="3" t="inlineStr">
        <is>
          <t>3.9.1.5</t>
        </is>
      </c>
      <c r="C514" s="3" t="inlineStr">
        <is>
          <t>Pemasangan 1 m’ plint ubin PC abu-abu uk. 10 s.d. 15x20 cm (1SP : 2PP)</t>
        </is>
      </c>
      <c r="D514" s="3" t="inlineStr">
        <is>
          <t>m'</t>
        </is>
      </c>
      <c r="E514" s="4" t="n">
        <v>20740</v>
      </c>
    </row>
    <row r="515">
      <c r="A515" s="3" t="n">
        <v>513</v>
      </c>
      <c r="B515" s="3" t="inlineStr">
        <is>
          <t>3.9.1.6</t>
        </is>
      </c>
      <c r="C515" s="3" t="inlineStr">
        <is>
          <t>Pemasangan 1 m’ plint ubin PC abu-abu uk. 10 s.d. 15x30 cm (1SP : 2PP)</t>
        </is>
      </c>
      <c r="D515" s="3" t="inlineStr">
        <is>
          <t>m'</t>
        </is>
      </c>
      <c r="E515" s="4" t="n">
        <v>21803</v>
      </c>
    </row>
    <row r="516">
      <c r="A516" s="3" t="n">
        <v>514</v>
      </c>
      <c r="B516" s="3" t="inlineStr">
        <is>
          <t>3.9.1.7</t>
        </is>
      </c>
      <c r="C516" s="3" t="inlineStr">
        <is>
          <t>Pemasangan 1 m’ plint ubin PC abu-abu uk. 10 s.d. 15x40 cm (1SP : 2PP)</t>
        </is>
      </c>
      <c r="D516" s="3" t="inlineStr">
        <is>
          <t>m'</t>
        </is>
      </c>
      <c r="E516" s="4" t="n">
        <v>22644</v>
      </c>
    </row>
    <row r="517">
      <c r="A517" s="3" t="n">
        <v>515</v>
      </c>
      <c r="B517" s="3" t="inlineStr">
        <is>
          <t>3.9.1.8</t>
        </is>
      </c>
      <c r="C517" s="3" t="inlineStr">
        <is>
          <t>Pemasangan 1 m’ plint ubin PC abu-abu uk. 10 s.d. 15x60 cm (1SP : 2PP)</t>
        </is>
      </c>
      <c r="D517" s="3" t="inlineStr">
        <is>
          <t>m'</t>
        </is>
      </c>
      <c r="E517" s="4" t="n">
        <v>22661</v>
      </c>
    </row>
    <row r="518">
      <c r="A518" s="3" t="n">
        <v>516</v>
      </c>
      <c r="B518" s="3" t="inlineStr">
        <is>
          <t>3.9.2.1</t>
        </is>
      </c>
      <c r="C518" s="3" t="inlineStr">
        <is>
          <t>Pemasangan 1 m2 lantai ubin warna uk. 20x20 cm (1SP : 2PP)</t>
        </is>
      </c>
      <c r="D518" s="3" t="inlineStr">
        <is>
          <t>m2</t>
        </is>
      </c>
      <c r="E518" s="4" t="n">
        <v>125356</v>
      </c>
    </row>
    <row r="519">
      <c r="A519" s="3" t="n">
        <v>517</v>
      </c>
      <c r="B519" s="3" t="inlineStr">
        <is>
          <t>3.9.2.2</t>
        </is>
      </c>
      <c r="C519" s="3" t="inlineStr">
        <is>
          <t>Pemasangan 1 m2 lantai ubin warna uk. 30x30 cm (1SP : 2PP)</t>
        </is>
      </c>
      <c r="D519" s="3" t="inlineStr">
        <is>
          <t>m2</t>
        </is>
      </c>
      <c r="E519" s="4" t="n">
        <v>127284</v>
      </c>
    </row>
    <row r="520">
      <c r="A520" s="3" t="n">
        <v>518</v>
      </c>
      <c r="B520" s="3" t="inlineStr">
        <is>
          <t>3.9.2.3</t>
        </is>
      </c>
      <c r="C520" s="3" t="inlineStr">
        <is>
          <t>Pemasangan 1 m2 lantai ubin warna uk. 40x40 cm (1SP : 2PP)</t>
        </is>
      </c>
      <c r="D520" s="3" t="inlineStr">
        <is>
          <t>m2</t>
        </is>
      </c>
      <c r="E520" s="4" t="n">
        <v>115084</v>
      </c>
    </row>
    <row r="521">
      <c r="A521" s="3" t="n">
        <v>519</v>
      </c>
      <c r="B521" s="3" t="inlineStr">
        <is>
          <t>3.9.2.4</t>
        </is>
      </c>
      <c r="C521" s="3" t="inlineStr">
        <is>
          <t>Pemasangan 1 m2 lantai ubin warna uk. 60x60 cm (1SP : 2PP)</t>
        </is>
      </c>
      <c r="D521" s="3" t="inlineStr">
        <is>
          <t>m2</t>
        </is>
      </c>
      <c r="E521" s="4" t="n">
        <v>109200</v>
      </c>
    </row>
    <row r="522">
      <c r="A522" s="3" t="n">
        <v>520</v>
      </c>
      <c r="B522" s="3" t="inlineStr">
        <is>
          <t>3.9.2.5</t>
        </is>
      </c>
      <c r="C522" s="3" t="inlineStr">
        <is>
          <t>Pemasangan 1 m' plint ubin warna uk. 10 s.d. 15x20 cm (1SP : 2PP)</t>
        </is>
      </c>
      <c r="D522" s="3" t="inlineStr">
        <is>
          <t>m2</t>
        </is>
      </c>
      <c r="E522" s="4" t="n">
        <v>25240</v>
      </c>
    </row>
    <row r="523">
      <c r="A523" s="3" t="n">
        <v>521</v>
      </c>
      <c r="B523" s="3" t="inlineStr">
        <is>
          <t>3.9.2.6</t>
        </is>
      </c>
      <c r="C523" s="3" t="inlineStr">
        <is>
          <t>Pemasangan 1 m' plint ubin warna uk. 10 s.d. 15x30 cm (1SP : 2PP)</t>
        </is>
      </c>
      <c r="D523" s="3" t="inlineStr">
        <is>
          <t>m2</t>
        </is>
      </c>
      <c r="E523" s="4" t="n">
        <v>25341</v>
      </c>
    </row>
    <row r="524">
      <c r="A524" s="3" t="n">
        <v>522</v>
      </c>
      <c r="B524" s="3" t="inlineStr">
        <is>
          <t>3.9.2.7</t>
        </is>
      </c>
      <c r="C524" s="3" t="inlineStr">
        <is>
          <t>Pemasangan 1 m' plint ubin warna uk. 10 s.d. 15x40 cm (1SP : 2PP)</t>
        </is>
      </c>
      <c r="D524" s="3" t="inlineStr">
        <is>
          <t>m2</t>
        </is>
      </c>
      <c r="E524" s="4" t="n">
        <v>8680982</v>
      </c>
    </row>
    <row r="525">
      <c r="A525" s="3" t="n">
        <v>523</v>
      </c>
      <c r="B525" s="3" t="inlineStr">
        <is>
          <t>3.9.2.8</t>
        </is>
      </c>
      <c r="C525" s="3" t="inlineStr">
        <is>
          <t>Pemasangan 1 m' plint ubin warna uk. 10 s.d. 15x60 cm (1SP : 2PP)</t>
        </is>
      </c>
      <c r="D525" s="3" t="inlineStr">
        <is>
          <t>m2</t>
        </is>
      </c>
      <c r="E525" s="4" t="n">
        <v>28124</v>
      </c>
    </row>
    <row r="526">
      <c r="A526" s="3" t="n">
        <v>524</v>
      </c>
      <c r="B526" s="3" t="inlineStr">
        <is>
          <t>3.9.3.1</t>
        </is>
      </c>
      <c r="C526" s="3" t="inlineStr">
        <is>
          <t>Pemasangan 1 m2 lantai ubin teraso uk. 30x30 cm (1SP : 2PP)</t>
        </is>
      </c>
      <c r="D526" s="3" t="inlineStr">
        <is>
          <t>m2</t>
        </is>
      </c>
      <c r="E526" s="4" t="n">
        <v>377542</v>
      </c>
    </row>
    <row r="527">
      <c r="A527" s="3" t="n">
        <v>525</v>
      </c>
      <c r="B527" s="3" t="inlineStr">
        <is>
          <t>3.9.3.2</t>
        </is>
      </c>
      <c r="C527" s="3" t="inlineStr">
        <is>
          <t>Pemasangan 1 m2 lantai ubin teraso uk. 40x40 cm (1SP : 2PP)</t>
        </is>
      </c>
      <c r="D527" s="3" t="inlineStr">
        <is>
          <t>m2</t>
        </is>
      </c>
      <c r="E527" s="4" t="n">
        <v>288348</v>
      </c>
    </row>
    <row r="528">
      <c r="A528" s="3" t="n">
        <v>526</v>
      </c>
      <c r="B528" s="3" t="inlineStr">
        <is>
          <t>3.9.3.3</t>
        </is>
      </c>
      <c r="C528" s="3" t="inlineStr">
        <is>
          <t>Pemasangan 1 m2 lantai teraso cor di tempat, tebal 3cm</t>
        </is>
      </c>
      <c r="D528" s="3" t="inlineStr">
        <is>
          <t>m2</t>
        </is>
      </c>
      <c r="E528" s="4" t="n">
        <v>212553</v>
      </c>
    </row>
    <row r="529">
      <c r="A529" s="3" t="n">
        <v>527</v>
      </c>
      <c r="B529" s="3" t="inlineStr">
        <is>
          <t>3.9.3.4</t>
        </is>
      </c>
      <c r="C529" s="3" t="inlineStr">
        <is>
          <t>Pemasangan 1 m' plint ubin teraso uk. 10 s.d. 15x30 cm (1SP : 2PP)</t>
        </is>
      </c>
      <c r="D529" s="3" t="inlineStr">
        <is>
          <t>m2</t>
        </is>
      </c>
      <c r="E529" s="4" t="n">
        <v>33041</v>
      </c>
    </row>
    <row r="530">
      <c r="A530" s="3" t="n">
        <v>528</v>
      </c>
      <c r="B530" s="3" t="inlineStr">
        <is>
          <t>3.9.3.5</t>
        </is>
      </c>
      <c r="C530" s="3" t="inlineStr">
        <is>
          <t>Pemasangan 1 m' plint ubin teraso uk. 10 s.d. 15x40 cm (1SP : 2PP)</t>
        </is>
      </c>
      <c r="D530" s="3" t="inlineStr">
        <is>
          <t>m2</t>
        </is>
      </c>
      <c r="E530" s="4" t="n">
        <v>35807</v>
      </c>
    </row>
    <row r="531">
      <c r="A531" s="3" t="n">
        <v>529</v>
      </c>
      <c r="B531" s="3" t="inlineStr">
        <is>
          <t>3.9.4.1</t>
        </is>
      </c>
      <c r="C531" s="3" t="inlineStr">
        <is>
          <t>Pemasangan 1 m2 lantai homogenous tile  Polis uk. 30x30 cm (1SP : 2PP)</t>
        </is>
      </c>
      <c r="D531" s="3" t="inlineStr">
        <is>
          <t>m2</t>
        </is>
      </c>
      <c r="E531" s="4" t="n">
        <v>326207</v>
      </c>
    </row>
    <row r="532">
      <c r="A532" s="3" t="n">
        <v>530</v>
      </c>
      <c r="B532" s="3" t="inlineStr">
        <is>
          <t>3.9.4.2</t>
        </is>
      </c>
      <c r="C532" s="3" t="inlineStr">
        <is>
          <t>Pemasangan 1 m2 lantai homogenous tile polish uk. 40x40 cm (1SP : 2PP)</t>
        </is>
      </c>
      <c r="D532" s="3" t="inlineStr">
        <is>
          <t>m2</t>
        </is>
      </c>
      <c r="E532" s="4" t="n">
        <v>288348</v>
      </c>
    </row>
    <row r="533">
      <c r="A533" s="3" t="n">
        <v>531</v>
      </c>
      <c r="B533" s="3" t="inlineStr">
        <is>
          <t>3.9.4.3</t>
        </is>
      </c>
      <c r="C533" s="3" t="inlineStr">
        <is>
          <t>Pemasangan 1 m2 lantai homogenous tile Polish  uk. 60x60 cm (1SP : 2PP)</t>
        </is>
      </c>
      <c r="D533" s="3" t="inlineStr">
        <is>
          <t>m2</t>
        </is>
      </c>
      <c r="E533" s="4" t="n">
        <v>243966</v>
      </c>
    </row>
    <row r="534">
      <c r="A534" s="3" t="n">
        <v>532</v>
      </c>
      <c r="B534" s="3" t="inlineStr">
        <is>
          <t>3.9.4.4</t>
        </is>
      </c>
      <c r="C534" s="3" t="inlineStr">
        <is>
          <t>Pemasangan 1 m' plint homogenous tile Polish  uk. 10 s.d. 15x30 cm (1SP : 2PP)</t>
        </is>
      </c>
      <c r="D534" s="3" t="inlineStr">
        <is>
          <t>m'</t>
        </is>
      </c>
      <c r="E534" s="4" t="n">
        <v>36891</v>
      </c>
    </row>
    <row r="535">
      <c r="A535" s="3" t="n">
        <v>533</v>
      </c>
      <c r="B535" s="3" t="inlineStr">
        <is>
          <t>3.9.4.5</t>
        </is>
      </c>
      <c r="C535" s="3" t="inlineStr">
        <is>
          <t>Pemasangan 1 m' plint homogenous tile polish uk. 10 s.d. 15x40 cm (1SP : 2PP)</t>
        </is>
      </c>
      <c r="D535" s="3" t="inlineStr">
        <is>
          <t>m'</t>
        </is>
      </c>
      <c r="E535" s="4" t="n">
        <v>38695</v>
      </c>
    </row>
    <row r="536">
      <c r="A536" s="3" t="n">
        <v>534</v>
      </c>
      <c r="B536" s="3" t="inlineStr">
        <is>
          <t>3.9.4.6</t>
        </is>
      </c>
      <c r="C536" s="3" t="inlineStr">
        <is>
          <t>Pemasangan 1 m' plint homogenous tile polish uk. 10 s.d. 15x60 cm (1SP : 2PP)</t>
        </is>
      </c>
      <c r="D536" s="3" t="inlineStr">
        <is>
          <t>m'</t>
        </is>
      </c>
      <c r="E536" s="4" t="n">
        <v>38712</v>
      </c>
    </row>
    <row r="537">
      <c r="A537" s="3" t="n">
        <v>535</v>
      </c>
      <c r="B537" s="3" t="inlineStr">
        <is>
          <t>3.9.4.7</t>
        </is>
      </c>
      <c r="C537" s="3" t="inlineStr">
        <is>
          <t>Pemasangan 1 m' lantai homogenous tile unpolish uk. 30x30 cm (1SP : 2PP)</t>
        </is>
      </c>
      <c r="D537" s="3" t="inlineStr">
        <is>
          <t>m'</t>
        </is>
      </c>
      <c r="E537" s="4" t="n">
        <v>416043</v>
      </c>
    </row>
    <row r="538">
      <c r="A538" s="3" t="n">
        <v>536</v>
      </c>
      <c r="B538" s="3" t="inlineStr">
        <is>
          <t>3.9.4.8</t>
        </is>
      </c>
      <c r="C538" s="3" t="inlineStr">
        <is>
          <t>Pemasangan 1 m' lantai homogenous tile unpolish uk. 40x40 cm (1SP : 2PP)</t>
        </is>
      </c>
      <c r="D538" s="3" t="inlineStr">
        <is>
          <t>m'</t>
        </is>
      </c>
      <c r="E538" s="4" t="n">
        <v>353321</v>
      </c>
    </row>
    <row r="539">
      <c r="A539" s="3" t="n">
        <v>537</v>
      </c>
      <c r="B539" s="3" t="inlineStr">
        <is>
          <t>3.9.4.9</t>
        </is>
      </c>
      <c r="C539" s="3" t="inlineStr">
        <is>
          <t>Pemasangan 1 m' lantai homogenous tile unpolish uk. 60x60 cm (1SP : 2PP)</t>
        </is>
      </c>
      <c r="D539" s="3" t="inlineStr">
        <is>
          <t>m'</t>
        </is>
      </c>
      <c r="E539" s="4" t="n">
        <v>263218</v>
      </c>
    </row>
    <row r="540">
      <c r="A540" s="3" t="n">
        <v>538</v>
      </c>
      <c r="B540" s="3" t="inlineStr">
        <is>
          <t>3.9.4.10</t>
        </is>
      </c>
      <c r="C540" s="3" t="inlineStr">
        <is>
          <t>Pemasangan 1 m' plint homogenous tile unpolish uk. 10 s.d. 15x30 cm (1SP : 2PP)</t>
        </is>
      </c>
      <c r="D540" s="3" t="inlineStr">
        <is>
          <t>m'</t>
        </is>
      </c>
      <c r="E540" s="4" t="n">
        <v>44591</v>
      </c>
    </row>
    <row r="541">
      <c r="A541" s="3" t="n">
        <v>539</v>
      </c>
      <c r="B541" s="3" t="inlineStr">
        <is>
          <t>3.9.4.11</t>
        </is>
      </c>
      <c r="C541" s="3" t="inlineStr">
        <is>
          <t>Pemasangan 1 m' plint homogenous tile unpolish uk. 10 s.d. 15x40 cm (1SP : 2PP)</t>
        </is>
      </c>
      <c r="D541" s="3" t="inlineStr">
        <is>
          <t>m'</t>
        </is>
      </c>
      <c r="E541" s="4" t="n">
        <v>44470</v>
      </c>
    </row>
    <row r="542">
      <c r="A542" s="3" t="n">
        <v>540</v>
      </c>
      <c r="B542" s="3" t="inlineStr">
        <is>
          <t>3.9.4.12</t>
        </is>
      </c>
      <c r="C542" s="3" t="inlineStr">
        <is>
          <t>Pemasangan 1 m' plint homogenous tile unpolish uk. 10 s.d. 15x60 cm (1SP : 2PP)</t>
        </is>
      </c>
      <c r="D542" s="3" t="inlineStr">
        <is>
          <t>m'</t>
        </is>
      </c>
      <c r="E542" s="4" t="n">
        <v>44487</v>
      </c>
    </row>
    <row r="543">
      <c r="A543" s="3" t="n">
        <v>541</v>
      </c>
      <c r="B543" s="3" t="inlineStr">
        <is>
          <t>3.9.5.1</t>
        </is>
      </c>
      <c r="C543" s="3" t="inlineStr">
        <is>
          <t>Pemasangan 1 m2 lantai ubin granit uk. 30x30 cm (1SP : 2PP)</t>
        </is>
      </c>
      <c r="D543" s="3" t="inlineStr">
        <is>
          <t>m2</t>
        </is>
      </c>
      <c r="E543" s="4" t="n">
        <v>251771</v>
      </c>
    </row>
    <row r="544">
      <c r="A544" s="3" t="n">
        <v>542</v>
      </c>
      <c r="B544" s="3" t="inlineStr">
        <is>
          <t>3.9.5.2</t>
        </is>
      </c>
      <c r="C544" s="3" t="inlineStr">
        <is>
          <t>Pemasangan 1 m2 lantai ubin granit uk. 40x40 cm (1SP : 2PP)</t>
        </is>
      </c>
      <c r="D544" s="3" t="inlineStr">
        <is>
          <t>m2</t>
        </is>
      </c>
      <c r="E544" s="4" t="n">
        <v>216155</v>
      </c>
    </row>
    <row r="545">
      <c r="A545" s="3" t="n">
        <v>543</v>
      </c>
      <c r="B545" s="3" t="inlineStr">
        <is>
          <t>3.9.5.3</t>
        </is>
      </c>
      <c r="C545" s="3" t="inlineStr">
        <is>
          <t>Pemasangan 1 m2 lantai ubin granit uk. 60x60 cm (1SP : 2PP)</t>
        </is>
      </c>
      <c r="D545" s="3" t="inlineStr">
        <is>
          <t>m2</t>
        </is>
      </c>
      <c r="E545" s="4" t="n">
        <v>179792</v>
      </c>
    </row>
    <row r="546">
      <c r="A546" s="3" t="n">
        <v>544</v>
      </c>
      <c r="B546" s="3" t="inlineStr">
        <is>
          <t>3.9.5.4</t>
        </is>
      </c>
      <c r="C546" s="3" t="inlineStr">
        <is>
          <t>Pemasangan 1 m' plint ubin granit uk. 10 s.d. 15x30 cm (1SP : 2PP)</t>
        </is>
      </c>
      <c r="D546" s="3" t="inlineStr">
        <is>
          <t>m2</t>
        </is>
      </c>
      <c r="E546" s="4" t="n">
        <v>40741</v>
      </c>
    </row>
    <row r="547">
      <c r="A547" s="3" t="n">
        <v>545</v>
      </c>
      <c r="B547" s="3" t="inlineStr">
        <is>
          <t>3.9.5.5</t>
        </is>
      </c>
      <c r="C547" s="3" t="inlineStr">
        <is>
          <t>Pemasangan 1 m' plint ubin granit uk. 10 s.d. 15x40 cm (1SP : 2PP)</t>
        </is>
      </c>
      <c r="D547" s="3" t="inlineStr">
        <is>
          <t>m2</t>
        </is>
      </c>
      <c r="E547" s="4" t="n">
        <v>41582</v>
      </c>
    </row>
    <row r="548">
      <c r="A548" s="3" t="n">
        <v>546</v>
      </c>
      <c r="B548" s="3" t="inlineStr">
        <is>
          <t>3.9.5.6</t>
        </is>
      </c>
      <c r="C548" s="3" t="inlineStr">
        <is>
          <t>Pemasangan 1 m' plint ubin granit uk. 10 s.d. 15x60 cm (1SP : 2PP)</t>
        </is>
      </c>
      <c r="D548" s="3" t="inlineStr">
        <is>
          <t>m2</t>
        </is>
      </c>
      <c r="E548" s="4" t="n">
        <v>38712</v>
      </c>
    </row>
    <row r="549">
      <c r="A549" s="3" t="n">
        <v>547</v>
      </c>
      <c r="B549" s="3" t="inlineStr">
        <is>
          <t>3.9.6.1</t>
        </is>
      </c>
      <c r="C549" s="3" t="inlineStr">
        <is>
          <t>Pemasangan 1 m2 lantai ubin teralux marmer uk. 30x30 cm (1SP : 2PP)</t>
        </is>
      </c>
      <c r="D549" s="3" t="inlineStr">
        <is>
          <t>m2</t>
        </is>
      </c>
      <c r="E549" s="4" t="n">
        <v>647049</v>
      </c>
    </row>
    <row r="550">
      <c r="A550" s="3" t="n">
        <v>548</v>
      </c>
      <c r="B550" s="3" t="inlineStr">
        <is>
          <t>3.9.6.2</t>
        </is>
      </c>
      <c r="C550" s="3" t="inlineStr">
        <is>
          <t>Pemasangan 1 m2 lantai ubin teralux marmer uk. 40x40 cm (1SP : 2PP)</t>
        </is>
      </c>
      <c r="D550" s="3" t="inlineStr">
        <is>
          <t>m2</t>
        </is>
      </c>
      <c r="E550" s="4" t="n">
        <v>504927</v>
      </c>
    </row>
    <row r="551">
      <c r="A551" s="3" t="n">
        <v>549</v>
      </c>
      <c r="B551" s="3" t="inlineStr">
        <is>
          <t>3.9.6.3</t>
        </is>
      </c>
      <c r="C551" s="3" t="inlineStr">
        <is>
          <t>Pemasangan 1 m2 lantai ubin teralux marmer uk. 60x60 cm (1SP : 2PP)</t>
        </is>
      </c>
      <c r="D551" s="3" t="inlineStr">
        <is>
          <t>m2</t>
        </is>
      </c>
      <c r="E551" s="4" t="n">
        <v>308140</v>
      </c>
    </row>
    <row r="552">
      <c r="A552" s="3" t="n">
        <v>550</v>
      </c>
      <c r="B552" s="3" t="inlineStr">
        <is>
          <t>3.9.6.4</t>
        </is>
      </c>
      <c r="C552" s="3" t="inlineStr">
        <is>
          <t>Pemasangan 1 m' plint ubin teralux kerang uk. 10 s.d. 15x30 cm (1SP : 2PP)</t>
        </is>
      </c>
      <c r="D552" s="3" t="inlineStr">
        <is>
          <t>m2</t>
        </is>
      </c>
      <c r="E552" s="4" t="n">
        <v>25341</v>
      </c>
    </row>
    <row r="553">
      <c r="A553" s="3" t="n">
        <v>551</v>
      </c>
      <c r="B553" s="3" t="inlineStr">
        <is>
          <t>3.9.6.5</t>
        </is>
      </c>
      <c r="C553" s="3" t="inlineStr">
        <is>
          <t>Pemasangan 1 m' plint ubin teralux kerang uk. 10 s.d. 15x40 cm (1SP : 2PP)</t>
        </is>
      </c>
      <c r="D553" s="3" t="inlineStr">
        <is>
          <t>m2</t>
        </is>
      </c>
      <c r="E553" s="4" t="n">
        <v>27145</v>
      </c>
    </row>
    <row r="554">
      <c r="A554" s="3" t="n">
        <v>552</v>
      </c>
      <c r="B554" s="3" t="inlineStr">
        <is>
          <t>3.9.6.6</t>
        </is>
      </c>
      <c r="C554" s="3" t="inlineStr">
        <is>
          <t>Pemasangan 1 m' plint ubin teralux kerang uk. 10 s.d. 15x60 cm (1SP : 2PP)</t>
        </is>
      </c>
      <c r="D554" s="3" t="inlineStr">
        <is>
          <t>m2</t>
        </is>
      </c>
      <c r="E554" s="4" t="n">
        <v>27162</v>
      </c>
    </row>
    <row r="555">
      <c r="A555" s="3" t="n">
        <v>553</v>
      </c>
      <c r="B555" s="3" t="inlineStr">
        <is>
          <t>3.9.6.7</t>
        </is>
      </c>
      <c r="C555" s="3" t="inlineStr">
        <is>
          <t>Pemasangan 1 m' plint ubin teralux marmer uk. 10 s.d. 15x30 cm (1SP : 2PP)</t>
        </is>
      </c>
      <c r="D555" s="3" t="inlineStr">
        <is>
          <t>m2</t>
        </is>
      </c>
      <c r="E555" s="4" t="n">
        <v>27266</v>
      </c>
    </row>
    <row r="556">
      <c r="A556" s="3" t="n">
        <v>554</v>
      </c>
      <c r="B556" s="3" t="inlineStr">
        <is>
          <t>3.9.6.8</t>
        </is>
      </c>
      <c r="C556" s="3" t="inlineStr">
        <is>
          <t>Pemasangan 1 m' plint ubin teralux marmer uk. 10 s.d. 15x40 cm (1SP : 2PP)</t>
        </is>
      </c>
      <c r="D556" s="3" t="inlineStr">
        <is>
          <t>m2</t>
        </is>
      </c>
      <c r="E556" s="4" t="n">
        <v>27145</v>
      </c>
    </row>
    <row r="557">
      <c r="A557" s="3" t="n">
        <v>555</v>
      </c>
      <c r="B557" s="3" t="inlineStr">
        <is>
          <t>3.9.6.9</t>
        </is>
      </c>
      <c r="C557" s="3" t="inlineStr">
        <is>
          <t>Pemasangan 1 m' plint ubin teralux marmer uk. 10 s.d. 15x60 cm (1SP : 2PP)</t>
        </is>
      </c>
      <c r="D557" s="3" t="inlineStr">
        <is>
          <t>m2</t>
        </is>
      </c>
      <c r="E557" s="4" t="n">
        <v>27162</v>
      </c>
    </row>
    <row r="558">
      <c r="A558" s="3" t="n">
        <v>556</v>
      </c>
      <c r="B558" s="3" t="inlineStr">
        <is>
          <t>3.9.7.1</t>
        </is>
      </c>
      <c r="C558" s="3" t="inlineStr">
        <is>
          <t>Pemasangan 1 m2 lantai keramik artistik uk. 8x8 cm (1SP : 2PP)</t>
        </is>
      </c>
      <c r="D558" s="3" t="inlineStr">
        <is>
          <t>m2</t>
        </is>
      </c>
      <c r="E558" s="4" t="n">
        <v>288698</v>
      </c>
    </row>
    <row r="559">
      <c r="A559" s="3" t="n">
        <v>557</v>
      </c>
      <c r="B559" s="3" t="inlineStr">
        <is>
          <t>3.9.7.2</t>
        </is>
      </c>
      <c r="C559" s="3" t="inlineStr">
        <is>
          <t>Pemasangan 1 m2 lantai keramik artistik uk. 10x10 cm (1SP : 2PP)</t>
        </is>
      </c>
      <c r="D559" s="3" t="inlineStr">
        <is>
          <t>m2</t>
        </is>
      </c>
      <c r="E559" s="4" t="n">
        <v>281479</v>
      </c>
    </row>
    <row r="560">
      <c r="A560" s="3" t="n">
        <v>558</v>
      </c>
      <c r="B560" s="3" t="inlineStr">
        <is>
          <t>3.9.7.3</t>
        </is>
      </c>
      <c r="C560" s="3" t="inlineStr">
        <is>
          <t>Pemasangan 1 m2 lantai keramik artistik uk. 20x20 cm (1SP : 2PP)</t>
        </is>
      </c>
      <c r="D560" s="3" t="inlineStr">
        <is>
          <t>m2</t>
        </is>
      </c>
      <c r="E560" s="4" t="n">
        <v>240417</v>
      </c>
    </row>
    <row r="561">
      <c r="A561" s="3" t="n">
        <v>559</v>
      </c>
      <c r="B561" s="3" t="inlineStr">
        <is>
          <t>3.9.7.4</t>
        </is>
      </c>
      <c r="C561" s="3" t="inlineStr">
        <is>
          <t>Pemasangan 1 m2 lantai keramik artistik uk. 30x30 cm (1SP : 2PP)</t>
        </is>
      </c>
      <c r="D561" s="3" t="inlineStr">
        <is>
          <t>m2</t>
        </is>
      </c>
      <c r="E561" s="4" t="n">
        <v>221168</v>
      </c>
    </row>
    <row r="562">
      <c r="A562" s="3" t="n">
        <v>560</v>
      </c>
      <c r="B562" s="3" t="inlineStr">
        <is>
          <t>3.9.7.5</t>
        </is>
      </c>
      <c r="C562" s="3" t="inlineStr">
        <is>
          <t>Pemasangan 1 m2 lantai keramik artistik uk. 40x40 cm (1SP : 2PP)</t>
        </is>
      </c>
      <c r="D562" s="3" t="inlineStr">
        <is>
          <t>m2</t>
        </is>
      </c>
      <c r="E562" s="4" t="n">
        <v>211544</v>
      </c>
    </row>
    <row r="563">
      <c r="A563" s="3" t="n">
        <v>561</v>
      </c>
      <c r="B563" s="3" t="inlineStr">
        <is>
          <t>3.9.7.6</t>
        </is>
      </c>
      <c r="C563" s="3" t="inlineStr">
        <is>
          <t>Pemasangan 1 m' plint internal cove artistik uk. 5x5x20 cm (1SP : 2PP)</t>
        </is>
      </c>
      <c r="D563" s="3" t="inlineStr">
        <is>
          <t>m2</t>
        </is>
      </c>
      <c r="E563" s="4" t="n">
        <v>256169</v>
      </c>
    </row>
    <row r="564">
      <c r="A564" s="3" t="n">
        <v>562</v>
      </c>
      <c r="B564" s="3" t="inlineStr">
        <is>
          <t>3.9.8.1</t>
        </is>
      </c>
      <c r="C564" s="3" t="inlineStr">
        <is>
          <t>Pemasangan 1 m2 lantai keramik uk. 20x20 cm (1SP : 2PP) Polished</t>
        </is>
      </c>
      <c r="D564" s="3" t="inlineStr">
        <is>
          <t>m2</t>
        </is>
      </c>
      <c r="E564" s="4" t="n">
        <v>131131</v>
      </c>
    </row>
    <row r="565">
      <c r="A565" s="3" t="n">
        <v>563</v>
      </c>
      <c r="B565" s="3" t="inlineStr">
        <is>
          <t>3.9.8.2</t>
        </is>
      </c>
      <c r="C565" s="3" t="inlineStr">
        <is>
          <t>Pemasangan 1 m2 lantai keramik uk. 25x25 cm (1SP : 2PP) Polished</t>
        </is>
      </c>
      <c r="D565" s="3" t="inlineStr">
        <is>
          <t>m2</t>
        </is>
      </c>
      <c r="E565" s="4" t="n">
        <v>120284</v>
      </c>
    </row>
    <row r="566">
      <c r="A566" s="3" t="n">
        <v>564</v>
      </c>
      <c r="B566" s="3" t="inlineStr">
        <is>
          <t>3.9.8.3</t>
        </is>
      </c>
      <c r="C566" s="3" t="inlineStr">
        <is>
          <t>Pemasangan 1 m2 lantai keramik uk. 25x40 cm (1SP : 2PP) Polished</t>
        </is>
      </c>
      <c r="D566" s="3" t="inlineStr">
        <is>
          <t>m2</t>
        </is>
      </c>
      <c r="E566" s="4" t="n">
        <v>109958</v>
      </c>
    </row>
    <row r="567">
      <c r="A567" s="3" t="n">
        <v>565</v>
      </c>
      <c r="B567" s="3" t="inlineStr">
        <is>
          <t>3.9.8.4</t>
        </is>
      </c>
      <c r="C567" s="3" t="inlineStr">
        <is>
          <t>Pemasangan 1 m2 lantai keramik uk. 30x30 cm (1SP : 2PP) Polished</t>
        </is>
      </c>
      <c r="D567" s="3" t="inlineStr">
        <is>
          <t>m2</t>
        </is>
      </c>
      <c r="E567" s="4" t="n">
        <v>120868</v>
      </c>
    </row>
    <row r="568">
      <c r="A568" s="3" t="n">
        <v>566</v>
      </c>
      <c r="B568" s="3" t="inlineStr">
        <is>
          <t>3.9.8.5</t>
        </is>
      </c>
      <c r="C568" s="3" t="inlineStr">
        <is>
          <t>Pemasangan 1 m2 lantai keramik uk. 30x60 cm (1SP : 2PP) Polished</t>
        </is>
      </c>
      <c r="D568" s="3" t="inlineStr">
        <is>
          <t>m2</t>
        </is>
      </c>
      <c r="E568" s="4" t="n">
        <v>129515</v>
      </c>
    </row>
    <row r="569">
      <c r="A569" s="3" t="n">
        <v>567</v>
      </c>
      <c r="B569" s="3" t="inlineStr">
        <is>
          <t>3.9.8.6</t>
        </is>
      </c>
      <c r="C569" s="3" t="inlineStr">
        <is>
          <t>Pemasangan 1 m2 lantai keramik uk. 40x40 cm (1SP : 2PP) Polished</t>
        </is>
      </c>
      <c r="D569" s="3" t="inlineStr">
        <is>
          <t>m2</t>
        </is>
      </c>
      <c r="E569" s="4" t="n">
        <v>130245</v>
      </c>
    </row>
    <row r="570">
      <c r="A570" s="3" t="n">
        <v>568</v>
      </c>
      <c r="B570" s="3" t="inlineStr">
        <is>
          <t>3.9.8.7</t>
        </is>
      </c>
      <c r="C570" s="3" t="inlineStr">
        <is>
          <t>Pemasangan 1 m2 lantai keramik uk. 30x30 cm  untuk Variasi/Border (1SP : 2PP) Polished</t>
        </is>
      </c>
      <c r="D570" s="3" t="inlineStr">
        <is>
          <t>m2</t>
        </is>
      </c>
      <c r="E570" s="4" t="n">
        <v>294915</v>
      </c>
    </row>
    <row r="571">
      <c r="A571" s="3" t="n">
        <v>569</v>
      </c>
      <c r="B571" s="3" t="inlineStr">
        <is>
          <t>3.9.8.8</t>
        </is>
      </c>
      <c r="C571" s="3" t="inlineStr">
        <is>
          <t>Pemasangan 1 m2 lantai keramik uk. 40x40 cm  untuk Variasi/Border (1SP : 2PP) Polished</t>
        </is>
      </c>
      <c r="D571" s="3" t="inlineStr">
        <is>
          <t>m2</t>
        </is>
      </c>
      <c r="E571" s="4" t="n">
        <v>302056</v>
      </c>
    </row>
    <row r="572">
      <c r="A572" s="3" t="n">
        <v>570</v>
      </c>
      <c r="B572" s="3" t="inlineStr">
        <is>
          <t>3.9.8.9</t>
        </is>
      </c>
      <c r="C572" s="3" t="inlineStr">
        <is>
          <t>Pemasangan 1 m2 lantai keramik uk. 20x20 cm (1SP : 2PP) Unpolished</t>
        </is>
      </c>
      <c r="D572" s="3" t="inlineStr">
        <is>
          <t>m2</t>
        </is>
      </c>
      <c r="E572" s="4" t="n">
        <v>125356</v>
      </c>
    </row>
    <row r="573">
      <c r="A573" s="3" t="n">
        <v>571</v>
      </c>
      <c r="B573" s="3" t="inlineStr">
        <is>
          <t>3.9.8.10</t>
        </is>
      </c>
      <c r="C573" s="3" t="inlineStr">
        <is>
          <t>Pemasangan 1 m2 lantai keramik uk. 25x25 cm (1SP : 2PP) Unpolished</t>
        </is>
      </c>
      <c r="D573" s="3" t="inlineStr">
        <is>
          <t>m2</t>
        </is>
      </c>
      <c r="E573" s="4" t="n">
        <v>114740</v>
      </c>
    </row>
    <row r="574">
      <c r="A574" s="3" t="n">
        <v>572</v>
      </c>
      <c r="B574" s="3" t="inlineStr">
        <is>
          <t>3.9.8.11</t>
        </is>
      </c>
      <c r="C574" s="3" t="inlineStr">
        <is>
          <t>Pemasangan 1 m2 lantai keramik uk. 25x40 cm (1SP : 2PP) Unpolished</t>
        </is>
      </c>
      <c r="D574" s="3" t="inlineStr">
        <is>
          <t>m2</t>
        </is>
      </c>
      <c r="E574" s="4" t="n">
        <v>106493</v>
      </c>
    </row>
    <row r="575">
      <c r="A575" s="3" t="n">
        <v>573</v>
      </c>
      <c r="B575" s="3" t="inlineStr">
        <is>
          <t>3.9.8.12</t>
        </is>
      </c>
      <c r="C575" s="3" t="inlineStr">
        <is>
          <t>Pemasangan 1 m2 lantai keramik uk. 30x30 cm (1SP : 2PP) Unpolished</t>
        </is>
      </c>
      <c r="D575" s="3" t="inlineStr">
        <is>
          <t>m2</t>
        </is>
      </c>
      <c r="E575" s="4" t="n">
        <v>118301</v>
      </c>
    </row>
    <row r="576">
      <c r="A576" s="3" t="n">
        <v>574</v>
      </c>
      <c r="B576" s="3" t="inlineStr">
        <is>
          <t>3.9.8.13</t>
        </is>
      </c>
      <c r="C576" s="3" t="inlineStr">
        <is>
          <t>Pemasangan 1 m2 lantai keramik uk. 30x60 cm (1SP : 2PP) Unpolished</t>
        </is>
      </c>
      <c r="D576" s="3" t="inlineStr">
        <is>
          <t>m2</t>
        </is>
      </c>
      <c r="E576" s="4" t="n">
        <v>126307</v>
      </c>
    </row>
    <row r="577">
      <c r="A577" s="3" t="n">
        <v>575</v>
      </c>
      <c r="B577" s="3" t="inlineStr">
        <is>
          <t>3.9.8.14</t>
        </is>
      </c>
      <c r="C577" s="3" t="inlineStr">
        <is>
          <t>Pemasangan 1 m2 lantai keramik uk. 40x40 cm (1SP : 2PP) Unpolished</t>
        </is>
      </c>
      <c r="D577" s="3" t="inlineStr">
        <is>
          <t>m2</t>
        </is>
      </c>
      <c r="E577" s="4" t="n">
        <v>126635</v>
      </c>
    </row>
    <row r="578">
      <c r="A578" s="3" t="n">
        <v>576</v>
      </c>
      <c r="B578" s="3" t="inlineStr">
        <is>
          <t>3.9.8.15</t>
        </is>
      </c>
      <c r="C578" s="3" t="inlineStr">
        <is>
          <t>Pemasangan 1 m2 lantai keramik uk. 30x30 cm  untuk Variasi/Border (1SP : 2PP) Unpolished</t>
        </is>
      </c>
      <c r="D578" s="3" t="inlineStr">
        <is>
          <t>m2</t>
        </is>
      </c>
      <c r="E578" s="4" t="n">
        <v>291064</v>
      </c>
    </row>
    <row r="579">
      <c r="A579" s="3" t="n">
        <v>577</v>
      </c>
      <c r="B579" s="3" t="inlineStr">
        <is>
          <t>3.9.8.16</t>
        </is>
      </c>
      <c r="C579" s="3" t="inlineStr">
        <is>
          <t>Pemasangan 1 m2 lantai keramik uk. 40x40 cm  untuk Variasi/Border (1SP : 2PP) Unpolished</t>
        </is>
      </c>
      <c r="D579" s="3" t="inlineStr">
        <is>
          <t>m2</t>
        </is>
      </c>
      <c r="E579" s="4" t="n">
        <v>298446</v>
      </c>
    </row>
    <row r="580">
      <c r="A580" s="3" t="n">
        <v>578</v>
      </c>
      <c r="B580" s="3" t="inlineStr">
        <is>
          <t>3.9.8.17</t>
        </is>
      </c>
      <c r="C580" s="3" t="inlineStr">
        <is>
          <t>Pemasangan 1 m' plint keramik uk. 10 s.d. 15x20 cm (1SP : 2PP)</t>
        </is>
      </c>
      <c r="D580" s="3" t="inlineStr">
        <is>
          <t>m2</t>
        </is>
      </c>
      <c r="E580" s="4" t="n">
        <v>28128</v>
      </c>
    </row>
    <row r="581">
      <c r="A581" s="3" t="n">
        <v>579</v>
      </c>
      <c r="B581" s="3" t="inlineStr">
        <is>
          <t>3.9.8.18</t>
        </is>
      </c>
      <c r="C581" s="3" t="inlineStr">
        <is>
          <t>Pemasangan 1 m' plint keramik uk. 10 s.d. 15x30 cm (1SP : 2PP)</t>
        </is>
      </c>
      <c r="D581" s="3" t="inlineStr">
        <is>
          <t>m2</t>
        </is>
      </c>
      <c r="E581" s="4" t="n">
        <v>29191</v>
      </c>
    </row>
    <row r="582">
      <c r="A582" s="3" t="n">
        <v>580</v>
      </c>
      <c r="B582" s="3" t="inlineStr">
        <is>
          <t>3.9.8.19</t>
        </is>
      </c>
      <c r="C582" s="3" t="inlineStr">
        <is>
          <t>Pemasangan 1 m' plint keramik uk. 10 s.d. 15x40 cm (1SP : 2PP)</t>
        </is>
      </c>
      <c r="D582" s="3" t="inlineStr">
        <is>
          <t>m2</t>
        </is>
      </c>
      <c r="E582" s="4" t="n">
        <v>30032</v>
      </c>
    </row>
    <row r="583">
      <c r="A583" s="3" t="n">
        <v>581</v>
      </c>
      <c r="B583" s="3" t="inlineStr">
        <is>
          <t>3.9.8.20</t>
        </is>
      </c>
      <c r="C583" s="3" t="inlineStr">
        <is>
          <t>Pemasangan 1 m' plint keramik uk. 10 s.d. 15x60 cm (1SP : 2PP)</t>
        </is>
      </c>
      <c r="D583" s="3" t="inlineStr">
        <is>
          <t>m2</t>
        </is>
      </c>
      <c r="E583" s="4" t="n">
        <v>29087</v>
      </c>
    </row>
    <row r="584">
      <c r="A584" s="3" t="n">
        <v>582</v>
      </c>
      <c r="B584" s="3" t="inlineStr">
        <is>
          <t>3.9.8.21</t>
        </is>
      </c>
      <c r="C584" s="3" t="inlineStr">
        <is>
          <t>Pemasangan 1 m' Step Nosing Keramik 10cm x 60 cm (1SP:2PP)</t>
        </is>
      </c>
      <c r="D584" s="3" t="inlineStr">
        <is>
          <t>m2</t>
        </is>
      </c>
      <c r="E584" s="4" t="n">
        <v>73362</v>
      </c>
    </row>
    <row r="585">
      <c r="A585" s="3" t="n">
        <v>583</v>
      </c>
      <c r="B585" s="3" t="inlineStr">
        <is>
          <t>3.9.9.1</t>
        </is>
      </c>
      <c r="C585" s="3" t="inlineStr">
        <is>
          <t>Pemasangan 1 m2 lantai marmer uk. 100x100 cm</t>
        </is>
      </c>
      <c r="D585" s="3" t="inlineStr">
        <is>
          <t>m2</t>
        </is>
      </c>
      <c r="E585" s="4" t="n">
        <v>1101410</v>
      </c>
    </row>
    <row r="586">
      <c r="A586" s="3" t="n">
        <v>584</v>
      </c>
      <c r="B586" s="3" t="inlineStr">
        <is>
          <t>3.9.9.2</t>
        </is>
      </c>
      <c r="C586" s="3" t="inlineStr">
        <is>
          <t>Pemasangan 1 m2 lantai karpet</t>
        </is>
      </c>
      <c r="D586" s="3" t="inlineStr">
        <is>
          <t>m2</t>
        </is>
      </c>
      <c r="E586" s="4" t="n">
        <v>131191</v>
      </c>
    </row>
    <row r="587">
      <c r="A587" s="3" t="n">
        <v>585</v>
      </c>
      <c r="B587" s="3" t="inlineStr">
        <is>
          <t>3.9.9.3</t>
        </is>
      </c>
      <c r="C587" s="3" t="inlineStr">
        <is>
          <t>Pemasangan 1 m2 underlayer (pelapis bawah karpet)</t>
        </is>
      </c>
      <c r="D587" s="3" t="inlineStr">
        <is>
          <t>m2</t>
        </is>
      </c>
      <c r="E587" s="4" t="n">
        <v>75955</v>
      </c>
    </row>
    <row r="588">
      <c r="A588" s="3" t="n">
        <v>586</v>
      </c>
      <c r="B588" s="3" t="inlineStr">
        <is>
          <t>3.9.9.4</t>
        </is>
      </c>
      <c r="C588" s="3" t="inlineStr">
        <is>
          <t>Pemasangan 1 m2 lantai parquet kayu solid</t>
        </is>
      </c>
      <c r="D588" s="3" t="inlineStr">
        <is>
          <t>m2</t>
        </is>
      </c>
      <c r="E588" s="4" t="n">
        <v>405548</v>
      </c>
    </row>
    <row r="589">
      <c r="A589" s="3" t="n">
        <v>587</v>
      </c>
      <c r="B589" s="3" t="inlineStr">
        <is>
          <t>9.9.9.5</t>
        </is>
      </c>
      <c r="C589" s="3" t="inlineStr">
        <is>
          <t>Pemasangan 1 m2 lantai engineering wood</t>
        </is>
      </c>
      <c r="D589" s="3" t="inlineStr">
        <is>
          <t>m2</t>
        </is>
      </c>
      <c r="E589" s="4" t="n">
        <v>282425</v>
      </c>
    </row>
    <row r="590">
      <c r="A590" s="3" t="n">
        <v>588</v>
      </c>
      <c r="B590" s="3" t="inlineStr">
        <is>
          <t>3.9.9.6</t>
        </is>
      </c>
      <c r="C590" s="3" t="inlineStr">
        <is>
          <t>Pemasangan 1 m' plint kayu tebal 2 cm lebar 10 cm</t>
        </is>
      </c>
      <c r="D590" s="3" t="inlineStr">
        <is>
          <t>m2</t>
        </is>
      </c>
      <c r="E590" s="4" t="n">
        <v>122984</v>
      </c>
    </row>
    <row r="591">
      <c r="A591" s="3" t="n">
        <v>589</v>
      </c>
      <c r="B591" s="3" t="inlineStr">
        <is>
          <t>3.9.9.7</t>
        </is>
      </c>
      <c r="C591" s="3" t="inlineStr">
        <is>
          <t>Pemasangan 1 m2 lantai vinyl uk. 30x30 cm</t>
        </is>
      </c>
      <c r="D591" s="3" t="inlineStr">
        <is>
          <t>m2</t>
        </is>
      </c>
      <c r="E591" s="4" t="n">
        <v>158911</v>
      </c>
    </row>
    <row r="592">
      <c r="A592" s="3" t="n">
        <v>590</v>
      </c>
      <c r="B592" s="3" t="inlineStr">
        <is>
          <t>3.9.9.8</t>
        </is>
      </c>
      <c r="C592" s="3" t="inlineStr">
        <is>
          <t>Pemasangan 1 m' plint vinyl uk. 15x30 cm</t>
        </is>
      </c>
      <c r="D592" s="3" t="inlineStr">
        <is>
          <t>m2</t>
        </is>
      </c>
      <c r="E592" s="4" t="n">
        <v>52844</v>
      </c>
    </row>
    <row r="593">
      <c r="A593" s="3" t="n">
        <v>591</v>
      </c>
      <c r="B593" s="3" t="inlineStr">
        <is>
          <t>3.9.9.9</t>
        </is>
      </c>
      <c r="C593" s="3" t="inlineStr">
        <is>
          <t>Pemasangan 1 m2 floor hardener</t>
        </is>
      </c>
      <c r="D593" s="3" t="inlineStr">
        <is>
          <t>m2</t>
        </is>
      </c>
      <c r="E593" s="4" t="n">
        <v>63030</v>
      </c>
    </row>
    <row r="594">
      <c r="A594" s="3" t="n">
        <v>592</v>
      </c>
      <c r="B594" s="3" t="inlineStr">
        <is>
          <t>3.9.9.10</t>
        </is>
      </c>
      <c r="C594" s="3" t="inlineStr">
        <is>
          <t>Pemasangan 1 m2 lantai UPVC decking</t>
        </is>
      </c>
      <c r="D594" s="3" t="inlineStr">
        <is>
          <t>m2</t>
        </is>
      </c>
      <c r="E594" s="4" t="n">
        <v>1531101</v>
      </c>
    </row>
    <row r="595">
      <c r="A595" s="3" t="n">
        <v>593</v>
      </c>
      <c r="B595" s="3" t="inlineStr">
        <is>
          <t>3.9.9.11</t>
        </is>
      </c>
      <c r="C595" s="3" t="inlineStr">
        <is>
          <t>Pemolesan 1 m2 lantai ubin teraso, granit, marmer</t>
        </is>
      </c>
      <c r="D595" s="3" t="inlineStr">
        <is>
          <t>m2</t>
        </is>
      </c>
      <c r="E595" s="4" t="n">
        <v>84357</v>
      </c>
    </row>
    <row r="596">
      <c r="A596" s="3" t="n">
        <v>594</v>
      </c>
      <c r="B596" s="3" t="inlineStr">
        <is>
          <t>3.9.9.12</t>
        </is>
      </c>
      <c r="C596" s="3" t="inlineStr">
        <is>
          <t>Pemasangan 1 m2 Lantai Keramik Tactile Ukuran 30x30 cm ( 1SP:2PP)</t>
        </is>
      </c>
      <c r="D596" s="3" t="inlineStr">
        <is>
          <t>m2</t>
        </is>
      </c>
      <c r="E596" s="4" t="n">
        <v>542152</v>
      </c>
    </row>
    <row r="597">
      <c r="A597" s="3" t="n">
        <v>595</v>
      </c>
      <c r="B597" s="3" t="inlineStr">
        <is>
          <t>3.9.9.13</t>
        </is>
      </c>
      <c r="C597" s="3" t="inlineStr">
        <is>
          <t>Pemasangan 1 m2 Lantai Keramik Tactile Ukuran 40x40 cm ( 1SP:2PP)</t>
        </is>
      </c>
      <c r="D597" s="3" t="inlineStr">
        <is>
          <t>m2</t>
        </is>
      </c>
      <c r="E597" s="4" t="n">
        <v>356931</v>
      </c>
    </row>
    <row r="598">
      <c r="A598" s="3" t="n">
        <v>596</v>
      </c>
      <c r="B598" s="3" t="inlineStr">
        <is>
          <t>3.10.1.1</t>
        </is>
      </c>
      <c r="C598" s="3" t="inlineStr">
        <is>
          <t>Pemasangan 1 m2 dinding keramik artistik uk. 10x20 cm (1SP : 2PP)</t>
        </is>
      </c>
      <c r="D598" s="3" t="inlineStr">
        <is>
          <t>m2</t>
        </is>
      </c>
      <c r="E598" s="4" t="n">
        <v>322064</v>
      </c>
    </row>
    <row r="599">
      <c r="A599" s="3" t="n">
        <v>597</v>
      </c>
      <c r="B599" s="3" t="inlineStr">
        <is>
          <t>3.10.1.2</t>
        </is>
      </c>
      <c r="C599" s="3" t="inlineStr">
        <is>
          <t>Pemasangan 1 m2 dinding keramik artistik uk. 5x20 cm (1SP : 2PP)</t>
        </is>
      </c>
      <c r="D599" s="3" t="inlineStr">
        <is>
          <t>m2</t>
        </is>
      </c>
      <c r="E599" s="4" t="n">
        <v>459151</v>
      </c>
    </row>
    <row r="600">
      <c r="A600" s="3" t="n">
        <v>598</v>
      </c>
      <c r="B600" s="3" t="inlineStr">
        <is>
          <t>3.10.1.3</t>
        </is>
      </c>
      <c r="C600" s="3" t="inlineStr">
        <is>
          <t>Pemasangan 1 m2 dinding keramik uk. 10x20 cm (1SP : 2PP)</t>
        </is>
      </c>
      <c r="D600" s="3" t="inlineStr">
        <is>
          <t>m2</t>
        </is>
      </c>
      <c r="E600" s="4" t="n">
        <v>258186</v>
      </c>
    </row>
    <row r="601">
      <c r="A601" s="3" t="n">
        <v>599</v>
      </c>
      <c r="B601" s="3" t="inlineStr">
        <is>
          <t>3.10.1.4</t>
        </is>
      </c>
      <c r="C601" s="3" t="inlineStr">
        <is>
          <t>Pemasangan 1 m2 dinding keramik uk. 20x20 cm (1SP : 2PP)</t>
        </is>
      </c>
      <c r="D601" s="3" t="inlineStr">
        <is>
          <t>m2</t>
        </is>
      </c>
      <c r="E601" s="4" t="n">
        <v>202479</v>
      </c>
    </row>
    <row r="602">
      <c r="A602" s="3" t="n">
        <v>600</v>
      </c>
      <c r="B602" s="3" t="inlineStr">
        <is>
          <t>3.10.2.1</t>
        </is>
      </c>
      <c r="C602" s="3" t="inlineStr">
        <is>
          <t>Pemasangan 1 m2 dinding homogeneous tile Polish uk. 30x30 cm (1SP : 2PP)</t>
        </is>
      </c>
      <c r="D602" s="3" t="inlineStr">
        <is>
          <t>m2</t>
        </is>
      </c>
      <c r="E602" s="4" t="n">
        <v>504207</v>
      </c>
    </row>
    <row r="603">
      <c r="A603" s="3" t="n">
        <v>601</v>
      </c>
      <c r="B603" s="3" t="inlineStr">
        <is>
          <t>3.10.2.2</t>
        </is>
      </c>
      <c r="C603" s="3" t="inlineStr">
        <is>
          <t>Pemasangan 1 m2 dinding homogeneous tile Polish uk. 40x40 cm (1SP : 2PP)</t>
        </is>
      </c>
      <c r="D603" s="3" t="inlineStr">
        <is>
          <t>m2</t>
        </is>
      </c>
      <c r="E603" s="4" t="n">
        <v>417961</v>
      </c>
    </row>
    <row r="604">
      <c r="A604" s="3" t="n">
        <v>602</v>
      </c>
      <c r="B604" s="3" t="inlineStr">
        <is>
          <t>3.10.2.3</t>
        </is>
      </c>
      <c r="C604" s="3" t="inlineStr">
        <is>
          <t>Pemasangan 1 m2 dinding homogeneous tile polish uk. 60x60 cm (1SP : 2PP)</t>
        </is>
      </c>
      <c r="D604" s="3" t="inlineStr">
        <is>
          <t>m2</t>
        </is>
      </c>
      <c r="E604" s="4" t="n">
        <v>212454</v>
      </c>
    </row>
    <row r="605">
      <c r="A605" s="3" t="n">
        <v>603</v>
      </c>
      <c r="B605" s="3" t="inlineStr">
        <is>
          <t>3.10.2.4</t>
        </is>
      </c>
      <c r="C605" s="3" t="inlineStr">
        <is>
          <t>Pemasangan 1 m2 dinding homogeneous tile Unpolish uk. 30x30 cm (1SP : 2PP)</t>
        </is>
      </c>
      <c r="D605" s="3" t="inlineStr">
        <is>
          <t>m2</t>
        </is>
      </c>
      <c r="E605" s="4" t="n">
        <v>504207</v>
      </c>
    </row>
    <row r="606">
      <c r="A606" s="3" t="n">
        <v>604</v>
      </c>
      <c r="B606" s="3" t="inlineStr">
        <is>
          <t>3.10.2.5</t>
        </is>
      </c>
      <c r="C606" s="3" t="inlineStr">
        <is>
          <t>Pemasangan 1 m2 dinding homogeneous tile Unpolish uk. 40x40 cm (1SP : 2PP)</t>
        </is>
      </c>
      <c r="D606" s="3" t="inlineStr">
        <is>
          <t>m2</t>
        </is>
      </c>
      <c r="E606" s="4" t="n">
        <v>417961</v>
      </c>
    </row>
    <row r="607">
      <c r="A607" s="3" t="n">
        <v>605</v>
      </c>
      <c r="B607" s="3" t="inlineStr">
        <is>
          <t>3.10.2.6</t>
        </is>
      </c>
      <c r="C607" s="3" t="inlineStr">
        <is>
          <t>Pemasangan 1 m2 dinding homogeneous tile Unpolish uk. 60x60 cm (1SP : 2PP)</t>
        </is>
      </c>
      <c r="D607" s="3" t="inlineStr">
        <is>
          <t>m2</t>
        </is>
      </c>
      <c r="E607" s="4" t="n">
        <v>212454</v>
      </c>
    </row>
    <row r="608">
      <c r="A608" s="3" t="n">
        <v>606</v>
      </c>
      <c r="B608" s="3" t="inlineStr">
        <is>
          <t>3.10.3.1</t>
        </is>
      </c>
      <c r="C608" s="3" t="inlineStr">
        <is>
          <t>Pemasangan 1 m2 dinding porselen uk. 11x11 cm (1SP : 2PP)</t>
        </is>
      </c>
      <c r="D608" s="3" t="inlineStr">
        <is>
          <t>m2</t>
        </is>
      </c>
      <c r="E608" s="4" t="n">
        <v>321948</v>
      </c>
    </row>
    <row r="609">
      <c r="A609" s="3" t="n">
        <v>607</v>
      </c>
      <c r="B609" s="3" t="inlineStr">
        <is>
          <t>3.10.3.2</t>
        </is>
      </c>
      <c r="C609" s="3" t="inlineStr">
        <is>
          <t>Pemasangan 1 m2 dinding porselen uk. 10x20 cm (1SP : 2PP)</t>
        </is>
      </c>
      <c r="D609" s="3" t="inlineStr">
        <is>
          <t>m2</t>
        </is>
      </c>
      <c r="E609" s="4" t="n">
        <v>341676</v>
      </c>
    </row>
    <row r="610">
      <c r="A610" s="3" t="n">
        <v>608</v>
      </c>
      <c r="B610" s="3" t="inlineStr">
        <is>
          <t>3.10.3.3</t>
        </is>
      </c>
      <c r="C610" s="3" t="inlineStr">
        <is>
          <t>Pemasangan 1 m2 dinding porselen uk. 20x20 cm (1SP : 2PP)</t>
        </is>
      </c>
      <c r="D610" s="3" t="inlineStr">
        <is>
          <t>m2</t>
        </is>
      </c>
      <c r="E610" s="4" t="n">
        <v>201656</v>
      </c>
    </row>
    <row r="611">
      <c r="A611" s="3" t="n">
        <v>609</v>
      </c>
      <c r="B611" s="3" t="inlineStr">
        <is>
          <t>3.10.4.1</t>
        </is>
      </c>
      <c r="C611" s="3" t="inlineStr">
        <is>
          <t>Pemasangan 1 m2 dinding bata pelapis uk. 3x7x24 cm</t>
        </is>
      </c>
      <c r="D611" s="3" t="inlineStr">
        <is>
          <t>m2</t>
        </is>
      </c>
      <c r="E611" s="4" t="n">
        <v>425311</v>
      </c>
    </row>
    <row r="612">
      <c r="A612" s="3" t="n">
        <v>610</v>
      </c>
      <c r="B612" s="3" t="inlineStr">
        <is>
          <t>3.10.4.2</t>
        </is>
      </c>
      <c r="C612" s="3" t="inlineStr">
        <is>
          <t>Pemasangan 1 m2 dinding batu paras</t>
        </is>
      </c>
      <c r="D612" s="3" t="inlineStr">
        <is>
          <t>m2</t>
        </is>
      </c>
      <c r="E612" s="4" t="n">
        <v>320842</v>
      </c>
    </row>
    <row r="613">
      <c r="A613" s="3" t="n">
        <v>611</v>
      </c>
      <c r="B613" s="3" t="inlineStr">
        <is>
          <t>3.10.4.3</t>
        </is>
      </c>
      <c r="C613" s="3" t="inlineStr">
        <is>
          <t>Pemasangan 1 m2 dinding batu tempel hitam</t>
        </is>
      </c>
      <c r="D613" s="3" t="inlineStr">
        <is>
          <t>m2</t>
        </is>
      </c>
      <c r="E613" s="4" t="n">
        <v>316728</v>
      </c>
    </row>
    <row r="614">
      <c r="A614" s="3" t="n">
        <v>612</v>
      </c>
      <c r="B614" s="3" t="inlineStr">
        <is>
          <t>3.10.5.1</t>
        </is>
      </c>
      <c r="C614" s="3" t="inlineStr">
        <is>
          <t>Pemasangan 1 m2 wallpaper lebar 50 cm</t>
        </is>
      </c>
      <c r="D614" s="3" t="inlineStr">
        <is>
          <t>m2</t>
        </is>
      </c>
      <c r="E614" s="4" t="n">
        <v>120367</v>
      </c>
    </row>
    <row r="615">
      <c r="A615" s="3" t="n">
        <v>613</v>
      </c>
      <c r="B615" s="3" t="inlineStr">
        <is>
          <t>3.10.5.2</t>
        </is>
      </c>
      <c r="C615" s="3" t="inlineStr">
        <is>
          <t>Pemasangan 1 m2 dinding pemisah plywood rangkap, rangka kayu kelas II</t>
        </is>
      </c>
      <c r="D615" s="3" t="inlineStr">
        <is>
          <t>m2</t>
        </is>
      </c>
      <c r="E615" s="4" t="n">
        <v>552649</v>
      </c>
    </row>
    <row r="616">
      <c r="A616" s="3" t="n">
        <v>614</v>
      </c>
      <c r="B616" s="3" t="inlineStr">
        <is>
          <t>3.10.5.3</t>
        </is>
      </c>
      <c r="C616" s="3" t="inlineStr">
        <is>
          <t>Pemasangan 1 m2 dinding lambisering dari papan kayu kelas I</t>
        </is>
      </c>
      <c r="D616" s="3" t="inlineStr">
        <is>
          <t>m2</t>
        </is>
      </c>
      <c r="E616" s="4" t="n">
        <v>608204</v>
      </c>
    </row>
    <row r="617">
      <c r="A617" s="3" t="n">
        <v>615</v>
      </c>
      <c r="B617" s="3" t="inlineStr">
        <is>
          <t>3.10.5.4</t>
        </is>
      </c>
      <c r="C617" s="3" t="inlineStr">
        <is>
          <t>Pemasangan 1 m2 dinding lambrisering dari plywood (Kayu Lapis) ukuran 120x240cm</t>
        </is>
      </c>
      <c r="D617" s="3" t="inlineStr">
        <is>
          <t>m2</t>
        </is>
      </c>
      <c r="E617" s="4" t="n">
        <v>2814080</v>
      </c>
    </row>
    <row r="618">
      <c r="A618" s="3" t="n">
        <v>616</v>
      </c>
      <c r="B618" s="3" t="inlineStr">
        <is>
          <t>3.10.5.5</t>
        </is>
      </c>
      <c r="C618" s="3" t="inlineStr">
        <is>
          <t>Pemasangan 1 m2 dinding bilik, rangka kayu kelas III atau IV</t>
        </is>
      </c>
      <c r="D618" s="3" t="inlineStr">
        <is>
          <t>m2</t>
        </is>
      </c>
      <c r="E618" s="4" t="n">
        <v>128991</v>
      </c>
    </row>
    <row r="619">
      <c r="A619" s="3" t="n">
        <v>617</v>
      </c>
      <c r="B619" s="3" t="inlineStr">
        <is>
          <t>3.10.5.6</t>
        </is>
      </c>
      <c r="C619" s="3" t="inlineStr">
        <is>
          <t>Pemasangan kering 1 m2 dinding marmer 100x100 cm tebal 2 cm</t>
        </is>
      </c>
      <c r="D619" s="3" t="inlineStr">
        <is>
          <t>m2</t>
        </is>
      </c>
      <c r="E619" s="4" t="n">
        <v>1548363</v>
      </c>
    </row>
    <row r="620">
      <c r="A620" s="3" t="n">
        <v>618</v>
      </c>
      <c r="B620" s="3" t="inlineStr">
        <is>
          <t>3.10.5.7</t>
        </is>
      </c>
      <c r="C620" s="3" t="inlineStr">
        <is>
          <t>Pemasangan basah 1 m2 dinding marmer 100x100 cm tebal 2 cm</t>
        </is>
      </c>
      <c r="D620" s="3" t="inlineStr">
        <is>
          <t>m2</t>
        </is>
      </c>
      <c r="E620" s="4" t="n">
        <v>1318643</v>
      </c>
    </row>
    <row r="621">
      <c r="A621" s="3" t="n">
        <v>619</v>
      </c>
      <c r="B621" s="3" t="inlineStr">
        <is>
          <t>3.10.6.1</t>
        </is>
      </c>
      <c r="C621" s="3" t="inlineStr">
        <is>
          <t>Pemasangan 1 m2 rangka besi hollow galvanis 40x40 mm, modul 60x120 cm, untuk partisi</t>
        </is>
      </c>
      <c r="D621" s="3" t="inlineStr">
        <is>
          <t>m2</t>
        </is>
      </c>
      <c r="E621" s="4" t="n">
        <v>67955</v>
      </c>
    </row>
    <row r="622">
      <c r="A622" s="3" t="n">
        <v>620</v>
      </c>
      <c r="B622" s="3" t="inlineStr">
        <is>
          <t>3.10.6.2</t>
        </is>
      </c>
      <c r="C622" s="3" t="inlineStr">
        <is>
          <t>Pemasangan 1 m2 rangka dinding pemisah 60x120 cm kayu kelas II atau III</t>
        </is>
      </c>
      <c r="D622" s="3" t="inlineStr">
        <is>
          <t>m2</t>
        </is>
      </c>
      <c r="E622" s="4" t="n">
        <v>714037</v>
      </c>
    </row>
    <row r="623">
      <c r="A623" s="3" t="n">
        <v>621</v>
      </c>
      <c r="B623" s="3" t="inlineStr">
        <is>
          <t>3.10.6.3</t>
        </is>
      </c>
      <c r="C623" s="3" t="inlineStr">
        <is>
          <t>Pemasangan 1 m2 Rangka Besi Hollow Galvanis 20x40 mm</t>
        </is>
      </c>
      <c r="D623" s="3" t="inlineStr">
        <is>
          <t>m2</t>
        </is>
      </c>
      <c r="E623" s="4" t="n">
        <v>90263</v>
      </c>
    </row>
    <row r="624">
      <c r="A624" s="3" t="n">
        <v>622</v>
      </c>
      <c r="B624" s="3" t="inlineStr">
        <is>
          <t>3.11.1.1</t>
        </is>
      </c>
      <c r="C624" s="3" t="inlineStr">
        <is>
          <t>Pemasangan 1 m2 rolling door besi</t>
        </is>
      </c>
      <c r="D624" s="3" t="inlineStr">
        <is>
          <t>m2</t>
        </is>
      </c>
      <c r="E624" s="4" t="n">
        <v>587314</v>
      </c>
    </row>
    <row r="625">
      <c r="A625" s="3" t="n">
        <v>623</v>
      </c>
      <c r="B625" s="3" t="inlineStr">
        <is>
          <t>3.11.1.2</t>
        </is>
      </c>
      <c r="C625" s="3" t="inlineStr">
        <is>
          <t>Pemasangan 1 m2 rolling door alumunium</t>
        </is>
      </c>
      <c r="D625" s="3" t="inlineStr">
        <is>
          <t>m2</t>
        </is>
      </c>
      <c r="E625" s="4" t="n">
        <v>680971</v>
      </c>
    </row>
    <row r="626">
      <c r="A626" s="3" t="n">
        <v>624</v>
      </c>
      <c r="B626" s="3" t="inlineStr">
        <is>
          <t>3.11.1.3</t>
        </is>
      </c>
      <c r="C626" s="3" t="inlineStr">
        <is>
          <t>Pemasangan 1 m2 pintu lipat PVC</t>
        </is>
      </c>
      <c r="D626" s="3" t="inlineStr">
        <is>
          <t>m2</t>
        </is>
      </c>
      <c r="E626" s="4" t="n">
        <v>841170</v>
      </c>
    </row>
    <row r="627">
      <c r="A627" s="3" t="n">
        <v>625</v>
      </c>
      <c r="B627" s="3" t="inlineStr">
        <is>
          <t>3.11.1.4</t>
        </is>
      </c>
      <c r="C627" s="3" t="inlineStr">
        <is>
          <t>Pemasangan 1 m2 pintu aluminium strip lebar 8 cm</t>
        </is>
      </c>
      <c r="D627" s="3" t="inlineStr">
        <is>
          <t>m2</t>
        </is>
      </c>
      <c r="E627" s="4" t="n">
        <v>1457500</v>
      </c>
    </row>
    <row r="628">
      <c r="A628" s="3" t="n">
        <v>626</v>
      </c>
      <c r="B628" s="3" t="inlineStr">
        <is>
          <t>3.11.1.5</t>
        </is>
      </c>
      <c r="C628" s="3" t="inlineStr">
        <is>
          <t>Pemasangan 1 m2 pintu kaca Tebal 6 mm rangka aluminium</t>
        </is>
      </c>
      <c r="D628" s="3" t="inlineStr">
        <is>
          <t>m2</t>
        </is>
      </c>
      <c r="E628" s="4" t="n">
        <v>242040</v>
      </c>
    </row>
    <row r="629">
      <c r="A629" s="3" t="n">
        <v>627</v>
      </c>
      <c r="B629" s="3" t="inlineStr">
        <is>
          <t>3.11.1.6</t>
        </is>
      </c>
      <c r="C629" s="3" t="inlineStr">
        <is>
          <t>Pemasangan 1 m2 jendela kacaTebal 6 mm  rangka aluminium</t>
        </is>
      </c>
      <c r="D629" s="3" t="inlineStr">
        <is>
          <t>m2</t>
        </is>
      </c>
      <c r="E629" s="4" t="n">
        <v>242040</v>
      </c>
    </row>
    <row r="630">
      <c r="A630" s="3" t="n">
        <v>628</v>
      </c>
      <c r="B630" s="3" t="inlineStr">
        <is>
          <t>3.11.1.7</t>
        </is>
      </c>
      <c r="C630" s="3" t="inlineStr">
        <is>
          <t>Pembuatan dan pemasangan 1 m2 pintu klamp standar, kayu kelas II</t>
        </is>
      </c>
      <c r="D630" s="3" t="inlineStr">
        <is>
          <t>m2</t>
        </is>
      </c>
      <c r="E630" s="4" t="n">
        <v>737843</v>
      </c>
    </row>
    <row r="631">
      <c r="A631" s="3" t="n">
        <v>629</v>
      </c>
      <c r="B631" s="3" t="inlineStr">
        <is>
          <t>3.11.1.8</t>
        </is>
      </c>
      <c r="C631" s="3" t="inlineStr">
        <is>
          <t>Pembuatan dan pemasangan 1 m2 pintu klamp sederhana, kayu kelas III</t>
        </is>
      </c>
      <c r="D631" s="3" t="inlineStr">
        <is>
          <t>m2</t>
        </is>
      </c>
      <c r="E631" s="4" t="n">
        <v>586987</v>
      </c>
    </row>
    <row r="632">
      <c r="A632" s="3" t="n">
        <v>630</v>
      </c>
      <c r="B632" s="3" t="inlineStr">
        <is>
          <t>3.11.1.9</t>
        </is>
      </c>
      <c r="C632" s="3" t="inlineStr">
        <is>
          <t>Pembuatan 1 m2 pintu dan jendela kaca, kayu kelas I atau II</t>
        </is>
      </c>
      <c r="D632" s="3" t="inlineStr">
        <is>
          <t>m2</t>
        </is>
      </c>
      <c r="E632" s="4" t="n">
        <v>495865</v>
      </c>
    </row>
    <row r="633">
      <c r="A633" s="3" t="n">
        <v>631</v>
      </c>
      <c r="B633" s="3" t="inlineStr">
        <is>
          <t>3.11.1.10</t>
        </is>
      </c>
      <c r="C633" s="3" t="inlineStr">
        <is>
          <t>Pembuatan 1 m2 pintu dan jendela jalusi, kayu kelas I atau II</t>
        </is>
      </c>
      <c r="D633" s="3" t="inlineStr">
        <is>
          <t>m2</t>
        </is>
      </c>
      <c r="E633" s="4" t="n">
        <v>1662870</v>
      </c>
    </row>
    <row r="634">
      <c r="A634" s="3" t="n">
        <v>632</v>
      </c>
      <c r="B634" s="3" t="inlineStr">
        <is>
          <t>3.11.1.11</t>
        </is>
      </c>
      <c r="C634" s="3" t="inlineStr">
        <is>
          <t>Pembuatan 1 m2 daun pintu panel, kayu kelas I atau II</t>
        </is>
      </c>
      <c r="D634" s="3" t="inlineStr">
        <is>
          <t>m2</t>
        </is>
      </c>
      <c r="E634" s="4" t="n">
        <v>1293270</v>
      </c>
    </row>
    <row r="635">
      <c r="A635" s="3" t="n">
        <v>633</v>
      </c>
      <c r="B635" s="3" t="inlineStr">
        <is>
          <t>3.11.1.12</t>
        </is>
      </c>
      <c r="C635" s="3" t="inlineStr">
        <is>
          <t>Pembuatan 1 m2 daun pintu plywood rangkap, rangka kayu kelas II tertutup (lebar s.d. 90 cm)</t>
        </is>
      </c>
      <c r="D635" s="3" t="inlineStr">
        <is>
          <t>m2</t>
        </is>
      </c>
      <c r="E635" s="4" t="n">
        <v>944790</v>
      </c>
    </row>
    <row r="636">
      <c r="A636" s="3" t="n">
        <v>634</v>
      </c>
      <c r="B636" s="3" t="inlineStr">
        <is>
          <t>3.11.1.13</t>
        </is>
      </c>
      <c r="C636" s="3" t="inlineStr">
        <is>
          <t>Pembuatan 1 m2 daun pintu plywood rangkap, rangka expose kayu kelas I atau II</t>
        </is>
      </c>
      <c r="D636" s="3" t="inlineStr">
        <is>
          <t>m2</t>
        </is>
      </c>
      <c r="E636" s="4" t="n">
        <v>1012055</v>
      </c>
    </row>
    <row r="637">
      <c r="A637" s="3" t="n">
        <v>635</v>
      </c>
      <c r="B637" s="3" t="inlineStr">
        <is>
          <t>3.11.1.14</t>
        </is>
      </c>
      <c r="C637" s="3" t="inlineStr">
        <is>
          <t>Pembuatan dan pemasangan 1 buah pintu panel kayu lapis timbal di tengah (khusus RS/Laboratorium/R.Radiologi)</t>
        </is>
      </c>
      <c r="D637" s="3" t="inlineStr">
        <is>
          <t>m2</t>
        </is>
      </c>
      <c r="E637" s="4" t="n">
        <v>11812174</v>
      </c>
    </row>
    <row r="638">
      <c r="A638" s="3" t="n">
        <v>636</v>
      </c>
      <c r="B638" s="3" t="inlineStr">
        <is>
          <t>3.11.1.15</t>
        </is>
      </c>
      <c r="C638" s="3" t="inlineStr">
        <is>
          <t>Pembuatan dan pemasangan 1 m2 pintu besi pelat baja tebal 2 mm rangkap, rangka baja siku</t>
        </is>
      </c>
      <c r="D638" s="3" t="inlineStr">
        <is>
          <t>m2</t>
        </is>
      </c>
      <c r="E638" s="4" t="n">
        <v>1407892</v>
      </c>
    </row>
    <row r="639">
      <c r="A639" s="3" t="n">
        <v>637</v>
      </c>
      <c r="B639" s="3" t="inlineStr">
        <is>
          <t>3.11.1.16</t>
        </is>
      </c>
      <c r="C639" s="3" t="inlineStr">
        <is>
          <t>Pemasangan 1 buah pintu besi tahan api</t>
        </is>
      </c>
      <c r="D639" s="3" t="inlineStr">
        <is>
          <t>m2</t>
        </is>
      </c>
      <c r="E639" s="4" t="n">
        <v>9266331</v>
      </c>
    </row>
    <row r="640">
      <c r="A640" s="3" t="n">
        <v>638</v>
      </c>
      <c r="B640" s="3" t="inlineStr">
        <is>
          <t>3.11.1.17</t>
        </is>
      </c>
      <c r="C640" s="3" t="inlineStr">
        <is>
          <t>Pemasangan 1 m2 pintu engineering wood</t>
        </is>
      </c>
      <c r="D640" s="3" t="inlineStr">
        <is>
          <t>m2</t>
        </is>
      </c>
      <c r="E640" s="4" t="n">
        <v>1458930</v>
      </c>
    </row>
    <row r="641">
      <c r="A641" s="3" t="n">
        <v>639</v>
      </c>
      <c r="B641" s="3" t="inlineStr">
        <is>
          <t>3.11.1.18</t>
        </is>
      </c>
      <c r="C641" s="3" t="inlineStr">
        <is>
          <t>Pemasangan 1 buah Pintu uPVC lebar 80 cm lengkap dengan aksesoris</t>
        </is>
      </c>
      <c r="D641" s="3" t="inlineStr">
        <is>
          <t>m2</t>
        </is>
      </c>
      <c r="E641" s="4" t="n">
        <v>1196928</v>
      </c>
    </row>
    <row r="642">
      <c r="A642" s="3" t="n">
        <v>640</v>
      </c>
      <c r="B642" s="3" t="inlineStr">
        <is>
          <t>3.11.1.19</t>
        </is>
      </c>
      <c r="C642" s="3" t="inlineStr">
        <is>
          <t>Pemasangan 1 buah Pintu uPVC lebar 70 cm lengkap dengan aksesoris</t>
        </is>
      </c>
      <c r="D642" s="3" t="inlineStr">
        <is>
          <t>m2</t>
        </is>
      </c>
      <c r="E642" s="4" t="n">
        <v>852518</v>
      </c>
    </row>
    <row r="643">
      <c r="A643" s="3" t="n">
        <v>641</v>
      </c>
      <c r="B643" s="3" t="inlineStr">
        <is>
          <t>3.11.2.1</t>
        </is>
      </c>
      <c r="C643" s="3" t="inlineStr">
        <is>
          <t>Pemasangan 1 m2 Jendela Kaca Tebal 5 mm Nako Aluminium</t>
        </is>
      </c>
      <c r="D643" s="3" t="inlineStr">
        <is>
          <t>m2</t>
        </is>
      </c>
      <c r="E643" s="4" t="n">
        <v>369710</v>
      </c>
    </row>
    <row r="644">
      <c r="A644" s="3" t="n">
        <v>642</v>
      </c>
      <c r="B644" s="3" t="inlineStr">
        <is>
          <t>3.11.2.2</t>
        </is>
      </c>
      <c r="C644" s="3" t="inlineStr">
        <is>
          <t>Pemasangan 1 m2 jendela Kaca Tebal 5 mm nako dan tralis</t>
        </is>
      </c>
      <c r="D644" s="3" t="inlineStr">
        <is>
          <t xml:space="preserve">buah </t>
        </is>
      </c>
      <c r="E644" s="4" t="n">
        <v>408210</v>
      </c>
    </row>
    <row r="645">
      <c r="A645" s="3" t="n">
        <v>643</v>
      </c>
      <c r="B645" s="3" t="inlineStr">
        <is>
          <t>3.11.2.4</t>
        </is>
      </c>
      <c r="C645" s="3" t="inlineStr">
        <is>
          <t>Pemasangan 1 buah Jendela Kaca Upvc 1 daun ukuran 0,79 x 1,30 m</t>
        </is>
      </c>
      <c r="D645" s="3" t="inlineStr">
        <is>
          <t xml:space="preserve">buah </t>
        </is>
      </c>
      <c r="E645" s="4" t="n">
        <v>2224568</v>
      </c>
    </row>
    <row r="646">
      <c r="A646" s="3" t="n">
        <v>644</v>
      </c>
      <c r="B646" s="3" t="inlineStr">
        <is>
          <t>3.11.3.1</t>
        </is>
      </c>
      <c r="C646" s="3" t="inlineStr">
        <is>
          <t>Pemasangan 1 m' kusen aluminium</t>
        </is>
      </c>
      <c r="D646" s="3" t="n">
        <v/>
      </c>
      <c r="E646" s="4" t="n">
        <v>175583</v>
      </c>
    </row>
    <row r="647">
      <c r="A647" s="3" t="n">
        <v>645</v>
      </c>
      <c r="B647" s="3" t="inlineStr">
        <is>
          <t>3.11.3.2</t>
        </is>
      </c>
      <c r="C647" s="3" t="inlineStr">
        <is>
          <t>Pembuatan dan pemasangan 1 m’ kusen pintu dan kusen jendela, kayu kelas I uk. 6x12 cm</t>
        </is>
      </c>
      <c r="D647" s="3" t="inlineStr">
        <is>
          <t>m'</t>
        </is>
      </c>
      <c r="E647" s="4" t="n">
        <v>312778</v>
      </c>
    </row>
    <row r="648">
      <c r="A648" s="3" t="n">
        <v>646</v>
      </c>
      <c r="B648" s="3" t="inlineStr">
        <is>
          <t>3.11.3.3</t>
        </is>
      </c>
      <c r="C648" s="3" t="inlineStr">
        <is>
          <t>Pembuatan dan pemasangan 1 m’ kusen pintu dan kusen jendela, kayu kelas I uk. 6x15 cm</t>
        </is>
      </c>
      <c r="D648" s="3" t="inlineStr">
        <is>
          <t>m'</t>
        </is>
      </c>
      <c r="E648" s="4" t="n">
        <v>373278</v>
      </c>
    </row>
    <row r="649">
      <c r="A649" s="3" t="n">
        <v>647</v>
      </c>
      <c r="B649" s="3" t="inlineStr">
        <is>
          <t>3.11.3.4</t>
        </is>
      </c>
      <c r="C649" s="3" t="inlineStr">
        <is>
          <t>Pembuatan dan pemasangan 1 m’ kusen pintu dan kusen jendela, kayu kelas II atau III uk. 6x12 cm</t>
        </is>
      </c>
      <c r="D649" s="3" t="inlineStr">
        <is>
          <t>m'</t>
        </is>
      </c>
      <c r="E649" s="4" t="n">
        <v>189325</v>
      </c>
    </row>
    <row r="650">
      <c r="A650" s="3" t="n">
        <v>648</v>
      </c>
      <c r="B650" s="3" t="inlineStr">
        <is>
          <t>3.11.3.5</t>
        </is>
      </c>
      <c r="C650" s="3" t="inlineStr">
        <is>
          <t>Pembuatan dan pemasangan 1 m’ kusen pintu dan kusen jendela, kayu kelas II atau III uk. 6x15 cm</t>
        </is>
      </c>
      <c r="D650" s="3" t="inlineStr">
        <is>
          <t>m'</t>
        </is>
      </c>
      <c r="E650" s="4" t="n">
        <v>218244</v>
      </c>
    </row>
    <row r="651">
      <c r="A651" s="3" t="n">
        <v>649</v>
      </c>
      <c r="B651" s="3" t="inlineStr">
        <is>
          <t>3.11.3.6</t>
        </is>
      </c>
      <c r="C651" s="3" t="inlineStr">
        <is>
          <t>Pembuatan dan pemasangan 1 m2 jalusi kusen, kayu kelas I atau II</t>
        </is>
      </c>
      <c r="D651" s="3" t="inlineStr">
        <is>
          <t>m2</t>
        </is>
      </c>
      <c r="E651" s="4" t="n">
        <v>1372349</v>
      </c>
    </row>
    <row r="652">
      <c r="A652" s="3" t="n">
        <v>650</v>
      </c>
      <c r="B652" s="3" t="inlineStr">
        <is>
          <t>3.11.3.7</t>
        </is>
      </c>
      <c r="C652" s="3" t="inlineStr">
        <is>
          <t>Pemasangan 1 buah Jalusi Upvc</t>
        </is>
      </c>
      <c r="D652" s="3" t="inlineStr">
        <is>
          <t xml:space="preserve">buah </t>
        </is>
      </c>
      <c r="E652" s="4" t="n">
        <v>71137</v>
      </c>
    </row>
    <row r="653">
      <c r="A653" s="3" t="n">
        <v>651</v>
      </c>
      <c r="B653" s="3" t="inlineStr">
        <is>
          <t>3.11.3.8</t>
        </is>
      </c>
      <c r="C653" s="3" t="inlineStr">
        <is>
          <t>Pemasangan 1 buah Kusen Bovenlight uPVC</t>
        </is>
      </c>
      <c r="D653" s="3" t="inlineStr">
        <is>
          <t xml:space="preserve">buah </t>
        </is>
      </c>
      <c r="E653" s="4" t="n">
        <v>313687</v>
      </c>
    </row>
    <row r="654">
      <c r="A654" s="3" t="n">
        <v>652</v>
      </c>
      <c r="B654" s="3" t="inlineStr">
        <is>
          <t>3.11.4.1</t>
        </is>
      </c>
      <c r="C654" s="3" t="inlineStr">
        <is>
          <t>Pemasangan 1 buah kunci tanam antik</t>
        </is>
      </c>
      <c r="D654" s="3" t="inlineStr">
        <is>
          <t xml:space="preserve">buah </t>
        </is>
      </c>
      <c r="E654" s="4" t="n">
        <v>276980</v>
      </c>
    </row>
    <row r="655">
      <c r="A655" s="3" t="n">
        <v>653</v>
      </c>
      <c r="B655" s="3" t="inlineStr">
        <is>
          <t>3.11.4.2</t>
        </is>
      </c>
      <c r="C655" s="3" t="inlineStr">
        <is>
          <t>Pemasangan 1 buah kunci tanam biasa</t>
        </is>
      </c>
      <c r="D655" s="3" t="inlineStr">
        <is>
          <t xml:space="preserve">buah </t>
        </is>
      </c>
      <c r="E655" s="4" t="n">
        <v>166595</v>
      </c>
    </row>
    <row r="656">
      <c r="A656" s="3" t="n">
        <v>654</v>
      </c>
      <c r="B656" s="3" t="inlineStr">
        <is>
          <t>3.11.4.3</t>
        </is>
      </c>
      <c r="C656" s="3" t="inlineStr">
        <is>
          <t>Pemasangan 1 buah kunci tanam kamar mandi</t>
        </is>
      </c>
      <c r="D656" s="3" t="inlineStr">
        <is>
          <t xml:space="preserve">buah </t>
        </is>
      </c>
      <c r="E656" s="4" t="n">
        <v>145255</v>
      </c>
    </row>
    <row r="657">
      <c r="A657" s="3" t="n">
        <v>655</v>
      </c>
      <c r="B657" s="3" t="inlineStr">
        <is>
          <t>3.11.4.4</t>
        </is>
      </c>
      <c r="C657" s="3" t="inlineStr">
        <is>
          <t>Pemasangan 1 buah kunci tanam silinder</t>
        </is>
      </c>
      <c r="D657" s="3" t="inlineStr">
        <is>
          <t xml:space="preserve">buah </t>
        </is>
      </c>
      <c r="E657" s="4" t="n">
        <v>170665</v>
      </c>
    </row>
    <row r="658">
      <c r="A658" s="3" t="n">
        <v>656</v>
      </c>
      <c r="B658" s="3" t="inlineStr">
        <is>
          <t>3.11.4.5</t>
        </is>
      </c>
      <c r="C658" s="3" t="inlineStr">
        <is>
          <t>Pemasangan 1 buah engsel pintu</t>
        </is>
      </c>
      <c r="D658" s="3" t="inlineStr">
        <is>
          <t xml:space="preserve">buah </t>
        </is>
      </c>
      <c r="E658" s="4" t="n">
        <v>64212</v>
      </c>
    </row>
    <row r="659">
      <c r="A659" s="3" t="n">
        <v>657</v>
      </c>
      <c r="B659" s="3" t="inlineStr">
        <is>
          <t>3.11.4.6</t>
        </is>
      </c>
      <c r="C659" s="3" t="inlineStr">
        <is>
          <t>Pemasangan 1 buah engsel tanam (floor hinge)</t>
        </is>
      </c>
      <c r="D659" s="3" t="inlineStr">
        <is>
          <t xml:space="preserve">buah </t>
        </is>
      </c>
      <c r="E659" s="4" t="n">
        <v>646426</v>
      </c>
    </row>
    <row r="660">
      <c r="A660" s="3" t="n">
        <v>658</v>
      </c>
      <c r="B660" s="3" t="inlineStr">
        <is>
          <t>3.11.4.7</t>
        </is>
      </c>
      <c r="C660" s="3" t="inlineStr">
        <is>
          <t>Pemasangan 1 buah Door Closer</t>
        </is>
      </c>
      <c r="D660" s="3" t="inlineStr">
        <is>
          <t xml:space="preserve">buah </t>
        </is>
      </c>
      <c r="E660" s="4" t="n">
        <v>282865</v>
      </c>
    </row>
    <row r="661">
      <c r="A661" s="3" t="n">
        <v>659</v>
      </c>
      <c r="B661" s="3" t="inlineStr">
        <is>
          <t>3.11.4.8</t>
        </is>
      </c>
      <c r="C661" s="3" t="inlineStr">
        <is>
          <t>Pemasangan 1 buah Door Holder</t>
        </is>
      </c>
      <c r="D661" s="3" t="inlineStr">
        <is>
          <t xml:space="preserve">buah </t>
        </is>
      </c>
      <c r="E661" s="4" t="n">
        <v>187715</v>
      </c>
    </row>
    <row r="662">
      <c r="A662" s="3" t="n">
        <v>660</v>
      </c>
      <c r="B662" s="3" t="inlineStr">
        <is>
          <t>3.11.4.9</t>
        </is>
      </c>
      <c r="C662" s="3" t="inlineStr">
        <is>
          <t>Pemasangan 1 buah Door Stop</t>
        </is>
      </c>
      <c r="D662" s="3" t="inlineStr">
        <is>
          <t xml:space="preserve">buah </t>
        </is>
      </c>
      <c r="E662" s="4" t="n">
        <v>83985</v>
      </c>
    </row>
    <row r="663">
      <c r="A663" s="3" t="n">
        <v>661</v>
      </c>
      <c r="B663" s="3" t="inlineStr">
        <is>
          <t>3.11.4.10</t>
        </is>
      </c>
      <c r="C663" s="3" t="inlineStr">
        <is>
          <t>Pemasangan 1 buah Rel Pintu Dorong</t>
        </is>
      </c>
      <c r="D663" s="3" t="inlineStr">
        <is>
          <t xml:space="preserve">buah </t>
        </is>
      </c>
      <c r="E663" s="4" t="n">
        <v>385660</v>
      </c>
    </row>
    <row r="664">
      <c r="A664" s="3" t="n">
        <v>662</v>
      </c>
      <c r="B664" s="3" t="inlineStr">
        <is>
          <t>3.11.4.11</t>
        </is>
      </c>
      <c r="C664" s="3" t="inlineStr">
        <is>
          <t>Pemasangan 1 buah Venetions Blinds dan Vertical Blinds</t>
        </is>
      </c>
      <c r="D664" s="3" t="inlineStr">
        <is>
          <t xml:space="preserve">buah </t>
        </is>
      </c>
      <c r="E664" s="4" t="n">
        <v>257636</v>
      </c>
    </row>
    <row r="665">
      <c r="A665" s="3" t="n">
        <v>663</v>
      </c>
      <c r="B665" s="3" t="inlineStr">
        <is>
          <t>3.11.4.12</t>
        </is>
      </c>
      <c r="C665" s="3" t="inlineStr">
        <is>
          <t>Pemasangan 1 m2 Teralis Besi Strip</t>
        </is>
      </c>
      <c r="D665" s="3" t="inlineStr">
        <is>
          <t xml:space="preserve">buah </t>
        </is>
      </c>
      <c r="E665" s="4" t="n">
        <v>197892</v>
      </c>
    </row>
    <row r="666">
      <c r="A666" s="3" t="n">
        <v>664</v>
      </c>
      <c r="B666" s="3" t="inlineStr">
        <is>
          <t>3.11.4.13</t>
        </is>
      </c>
      <c r="C666" s="3" t="inlineStr">
        <is>
          <t>Pemasangan 1 m2 Kawat Nyamuk Rangka Besi</t>
        </is>
      </c>
      <c r="D666" s="3" t="inlineStr">
        <is>
          <t xml:space="preserve">buah </t>
        </is>
      </c>
      <c r="E666" s="4" t="n">
        <v>192989</v>
      </c>
    </row>
    <row r="667">
      <c r="A667" s="3" t="n">
        <v>665</v>
      </c>
      <c r="B667" s="3" t="inlineStr">
        <is>
          <t>3.11.4.13.1</t>
        </is>
      </c>
      <c r="C667" s="3" t="inlineStr">
        <is>
          <t>Pemasangan 1 m2 Kawat Nyamuk Rangka Kayu Kelas II</t>
        </is>
      </c>
      <c r="D667" s="3" t="inlineStr">
        <is>
          <t xml:space="preserve">buah </t>
        </is>
      </c>
      <c r="E667" s="4" t="n">
        <v>99744</v>
      </c>
    </row>
    <row r="668">
      <c r="A668" s="3" t="n">
        <v>666</v>
      </c>
      <c r="B668" s="3" t="inlineStr">
        <is>
          <t>3.11.4.14</t>
        </is>
      </c>
      <c r="C668" s="3" t="inlineStr">
        <is>
          <t>Pemasangan 1 Buah Kunci Slot (Grendel) untuk Jedela</t>
        </is>
      </c>
      <c r="D668" s="3" t="inlineStr">
        <is>
          <t xml:space="preserve">buah </t>
        </is>
      </c>
      <c r="E668" s="4" t="n">
        <v>55924</v>
      </c>
    </row>
    <row r="669">
      <c r="A669" s="3" t="n">
        <v>667</v>
      </c>
      <c r="B669" s="3" t="inlineStr">
        <is>
          <t>3.11.4.15</t>
        </is>
      </c>
      <c r="C669" s="3" t="inlineStr">
        <is>
          <t>Pemasangan 1 buah engsel jendela kupu-kupu</t>
        </is>
      </c>
      <c r="D669" s="3" t="inlineStr">
        <is>
          <t xml:space="preserve">buah </t>
        </is>
      </c>
      <c r="E669" s="4" t="n">
        <v>65571</v>
      </c>
    </row>
    <row r="670">
      <c r="A670" s="3" t="n">
        <v>668</v>
      </c>
      <c r="B670" s="3" t="inlineStr">
        <is>
          <t>3.11.4.16</t>
        </is>
      </c>
      <c r="C670" s="3" t="inlineStr">
        <is>
          <t>Pemasangan 1 buah engsel angin</t>
        </is>
      </c>
      <c r="D670" s="3" t="inlineStr">
        <is>
          <t xml:space="preserve">buah </t>
        </is>
      </c>
      <c r="E670" s="4" t="n">
        <v>78364</v>
      </c>
    </row>
    <row r="671">
      <c r="A671" s="3" t="n">
        <v>669</v>
      </c>
      <c r="B671" s="3" t="inlineStr">
        <is>
          <t>3.11.4.17</t>
        </is>
      </c>
      <c r="C671" s="3" t="inlineStr">
        <is>
          <t>Pemasangan 1 buah spring knip (kunci slot) untuk jendela</t>
        </is>
      </c>
      <c r="D671" s="3" t="inlineStr">
        <is>
          <t xml:space="preserve">buah </t>
        </is>
      </c>
      <c r="E671" s="4" t="n">
        <v>53322</v>
      </c>
    </row>
    <row r="672">
      <c r="A672" s="3" t="n">
        <v>670</v>
      </c>
      <c r="B672" s="3" t="inlineStr">
        <is>
          <t>3.11.4.18</t>
        </is>
      </c>
      <c r="C672" s="3" t="inlineStr">
        <is>
          <t>Pemasangan 1 buah kait angin</t>
        </is>
      </c>
      <c r="D672" s="3" t="inlineStr">
        <is>
          <t xml:space="preserve">buah </t>
        </is>
      </c>
      <c r="E672" s="4" t="n">
        <v>42762</v>
      </c>
    </row>
    <row r="673">
      <c r="A673" s="3" t="n">
        <v>671</v>
      </c>
      <c r="B673" s="3" t="inlineStr">
        <is>
          <t>3.11.4.19</t>
        </is>
      </c>
      <c r="C673" s="3" t="inlineStr">
        <is>
          <t>Pemasangan 1 buah kunci lemari</t>
        </is>
      </c>
      <c r="D673" s="3" t="inlineStr">
        <is>
          <t xml:space="preserve">buah </t>
        </is>
      </c>
      <c r="E673" s="4" t="n">
        <v>63233</v>
      </c>
    </row>
    <row r="674">
      <c r="A674" s="3" t="n">
        <v>672</v>
      </c>
      <c r="B674" s="3" t="inlineStr">
        <is>
          <t>3.11.4.20</t>
        </is>
      </c>
      <c r="C674" s="3" t="inlineStr">
        <is>
          <t>Pemasangan 1 buah grendel</t>
        </is>
      </c>
      <c r="D674" s="3" t="inlineStr">
        <is>
          <t xml:space="preserve">buah </t>
        </is>
      </c>
      <c r="E674" s="4" t="n">
        <v>46062</v>
      </c>
    </row>
    <row r="675">
      <c r="A675" s="3" t="n">
        <v>673</v>
      </c>
      <c r="B675" s="3" t="inlineStr">
        <is>
          <t>3.11.4.21</t>
        </is>
      </c>
      <c r="C675" s="3" t="inlineStr">
        <is>
          <t>Pemasangan 1 buah grendel tanam</t>
        </is>
      </c>
      <c r="D675" s="3" t="inlineStr">
        <is>
          <t xml:space="preserve">buah </t>
        </is>
      </c>
      <c r="E675" s="4" t="n">
        <v>209343</v>
      </c>
    </row>
    <row r="676">
      <c r="A676" s="3" t="n">
        <v>674</v>
      </c>
      <c r="B676" s="3" t="inlineStr">
        <is>
          <t>3.11.4.22</t>
        </is>
      </c>
      <c r="C676" s="3" t="inlineStr">
        <is>
          <t>Pemasangan 1 buah Handle Jendela</t>
        </is>
      </c>
      <c r="D676" s="3" t="inlineStr">
        <is>
          <t xml:space="preserve">buah </t>
        </is>
      </c>
      <c r="E676" s="4" t="n">
        <v>75042</v>
      </c>
    </row>
    <row r="677">
      <c r="A677" s="3" t="n">
        <v>675</v>
      </c>
      <c r="B677" s="3" t="inlineStr">
        <is>
          <t>3.12.1</t>
        </is>
      </c>
      <c r="C677" s="3" t="inlineStr">
        <is>
          <t>Pemasangan 1 m2 sunscreen alumunium</t>
        </is>
      </c>
      <c r="D677" s="3" t="inlineStr">
        <is>
          <t>m2</t>
        </is>
      </c>
      <c r="E677" s="4" t="n">
        <v>577764</v>
      </c>
    </row>
    <row r="678">
      <c r="A678" s="3" t="n">
        <v>676</v>
      </c>
      <c r="B678" s="3" t="inlineStr">
        <is>
          <t>3.12.2</t>
        </is>
      </c>
      <c r="C678" s="3" t="inlineStr">
        <is>
          <t>Pemasangan 1 m2 kaca polos tebal 3 mm</t>
        </is>
      </c>
      <c r="D678" s="3" t="inlineStr">
        <is>
          <t>m2</t>
        </is>
      </c>
      <c r="E678" s="4" t="n">
        <v>176583</v>
      </c>
    </row>
    <row r="679">
      <c r="A679" s="3" t="n">
        <v>677</v>
      </c>
      <c r="B679" s="3" t="inlineStr">
        <is>
          <t>3.12.3</t>
        </is>
      </c>
      <c r="C679" s="3" t="inlineStr">
        <is>
          <t>Pemasangan 1 m2 kaca polos tebal 5 mm</t>
        </is>
      </c>
      <c r="D679" s="3" t="inlineStr">
        <is>
          <t>m2</t>
        </is>
      </c>
      <c r="E679" s="4" t="n">
        <v>270963</v>
      </c>
    </row>
    <row r="680">
      <c r="A680" s="3" t="n">
        <v>678</v>
      </c>
      <c r="B680" s="3" t="inlineStr">
        <is>
          <t>3.12.4</t>
        </is>
      </c>
      <c r="C680" s="3" t="inlineStr">
        <is>
          <t>Pemasangan 1 m2 kaca polos tebal 6 mm</t>
        </is>
      </c>
      <c r="D680" s="3" t="inlineStr">
        <is>
          <t>m2</t>
        </is>
      </c>
      <c r="E680" s="4" t="n">
        <v>320116</v>
      </c>
    </row>
    <row r="681">
      <c r="A681" s="3" t="n">
        <v>679</v>
      </c>
      <c r="B681" s="3" t="inlineStr">
        <is>
          <t>3.12.5</t>
        </is>
      </c>
      <c r="C681" s="3" t="inlineStr">
        <is>
          <t>Pemasangan 1 m2 kaca polos tebal 8 mm</t>
        </is>
      </c>
      <c r="D681" s="3" t="inlineStr">
        <is>
          <t>m2</t>
        </is>
      </c>
      <c r="E681" s="4" t="n">
        <v>310004</v>
      </c>
    </row>
    <row r="682">
      <c r="A682" s="3" t="n">
        <v>680</v>
      </c>
      <c r="B682" s="3" t="inlineStr">
        <is>
          <t>3.12.6</t>
        </is>
      </c>
      <c r="C682" s="3" t="inlineStr">
        <is>
          <t>Pemasangan 1 m2 kaca buram tebal 12 mm</t>
        </is>
      </c>
      <c r="D682" s="3" t="inlineStr">
        <is>
          <t>m2</t>
        </is>
      </c>
      <c r="E682" s="4" t="n">
        <v>435382</v>
      </c>
    </row>
    <row r="683">
      <c r="A683" s="3" t="n">
        <v>681</v>
      </c>
      <c r="B683" s="3" t="inlineStr">
        <is>
          <t>3.12.7</t>
        </is>
      </c>
      <c r="C683" s="3" t="inlineStr">
        <is>
          <t>Pemasangan 1 m2 kaca cermin tebal 5 mm</t>
        </is>
      </c>
      <c r="D683" s="3" t="inlineStr">
        <is>
          <t>m2</t>
        </is>
      </c>
      <c r="E683" s="4" t="n">
        <v>268994</v>
      </c>
    </row>
    <row r="684">
      <c r="A684" s="3" t="n">
        <v>682</v>
      </c>
      <c r="B684" s="3" t="inlineStr">
        <is>
          <t>3.12.8</t>
        </is>
      </c>
      <c r="C684" s="3" t="inlineStr">
        <is>
          <t>Pemasangan 1 m2 kaca cermin tebal 8 mm</t>
        </is>
      </c>
      <c r="D684" s="3" t="inlineStr">
        <is>
          <t>m2</t>
        </is>
      </c>
      <c r="E684" s="4" t="n">
        <v>996792</v>
      </c>
    </row>
    <row r="685">
      <c r="A685" s="3" t="n">
        <v>683</v>
      </c>
      <c r="B685" s="3" t="inlineStr">
        <is>
          <t>3.12.9</t>
        </is>
      </c>
      <c r="C685" s="3" t="inlineStr">
        <is>
          <t>Pemasangan 1 m2 kaca wireglass tebal 5 mm</t>
        </is>
      </c>
      <c r="D685" s="3" t="inlineStr">
        <is>
          <t>m2</t>
        </is>
      </c>
      <c r="E685" s="4" t="n">
        <v>204770</v>
      </c>
    </row>
    <row r="686">
      <c r="A686" s="3" t="n">
        <v>684</v>
      </c>
      <c r="B686" s="3" t="inlineStr">
        <is>
          <t>3.12.10</t>
        </is>
      </c>
      <c r="C686" s="3" t="inlineStr">
        <is>
          <t>Pemasangan 1 m2 kaca patri tebal 5 mm</t>
        </is>
      </c>
      <c r="D686" s="3" t="inlineStr">
        <is>
          <t>m2</t>
        </is>
      </c>
      <c r="E686" s="4" t="n">
        <v>1872706</v>
      </c>
    </row>
    <row r="687">
      <c r="A687" s="3" t="n">
        <v>685</v>
      </c>
      <c r="B687" s="3" t="inlineStr">
        <is>
          <t>3.12.11</t>
        </is>
      </c>
      <c r="C687" s="3" t="inlineStr">
        <is>
          <t>Pemasangan 1 m2 kaca laminated tebal 16 mm (8 mm double)</t>
        </is>
      </c>
      <c r="D687" s="3" t="inlineStr">
        <is>
          <t>m2</t>
        </is>
      </c>
      <c r="E687" s="4" t="n">
        <v>1673026</v>
      </c>
    </row>
    <row r="688">
      <c r="A688" s="3" t="n">
        <v>686</v>
      </c>
      <c r="B688" s="3" t="inlineStr">
        <is>
          <t>3.12.12</t>
        </is>
      </c>
      <c r="C688" s="3" t="inlineStr">
        <is>
          <t>Pemasangan 1 m2 kaca laminated tebal 16 mm (8 mm double) dengan aluminium frame</t>
        </is>
      </c>
      <c r="D688" s="3" t="inlineStr">
        <is>
          <t>m2</t>
        </is>
      </c>
      <c r="E688" s="4" t="n">
        <v>1857641</v>
      </c>
    </row>
    <row r="689">
      <c r="A689" s="3" t="n">
        <v>687</v>
      </c>
      <c r="B689" s="3" t="inlineStr">
        <is>
          <t>3.12.13</t>
        </is>
      </c>
      <c r="C689" s="3" t="inlineStr">
        <is>
          <t>Pemasangan 1 m2 kaca tempered tebal 12 mm</t>
        </is>
      </c>
      <c r="D689" s="3" t="inlineStr">
        <is>
          <t>m2</t>
        </is>
      </c>
      <c r="E689" s="4" t="n">
        <v>771807</v>
      </c>
    </row>
    <row r="690">
      <c r="A690" s="3" t="n">
        <v>688</v>
      </c>
      <c r="B690" s="3" t="inlineStr">
        <is>
          <t>3.12.14</t>
        </is>
      </c>
      <c r="C690" s="3" t="inlineStr">
        <is>
          <t>Pemasangan 1 m2 kaca laminated tebal 12 mm dengan aluminium frame</t>
        </is>
      </c>
      <c r="D690" s="3" t="inlineStr">
        <is>
          <t>m2</t>
        </is>
      </c>
      <c r="E690" s="4" t="n">
        <v>1329641</v>
      </c>
    </row>
    <row r="691">
      <c r="A691" s="3" t="n">
        <v>689</v>
      </c>
      <c r="B691" s="3" t="inlineStr">
        <is>
          <t>3.13.1</t>
        </is>
      </c>
      <c r="C691" s="3" t="inlineStr">
        <is>
          <t>Pemasangan 1 m’ Shalimar Aluminium</t>
        </is>
      </c>
      <c r="D691" s="3" t="inlineStr">
        <is>
          <t>m'</t>
        </is>
      </c>
      <c r="E691" s="4" t="n">
        <v>88844</v>
      </c>
    </row>
    <row r="692">
      <c r="A692" s="3" t="n">
        <v>690</v>
      </c>
      <c r="B692" s="3" t="inlineStr">
        <is>
          <t>3.13.2</t>
        </is>
      </c>
      <c r="C692" s="3" t="inlineStr">
        <is>
          <t>Pemasangan 1 m2 profil jalusi aluminium</t>
        </is>
      </c>
      <c r="D692" s="3" t="inlineStr">
        <is>
          <t>m2</t>
        </is>
      </c>
      <c r="E692" s="4" t="n">
        <v>740544</v>
      </c>
    </row>
    <row r="693">
      <c r="A693" s="3" t="n">
        <v>691</v>
      </c>
      <c r="B693" s="3" t="inlineStr">
        <is>
          <t>3.13.3</t>
        </is>
      </c>
      <c r="C693" s="3" t="inlineStr">
        <is>
          <t>Pengelasan 1 m’ dengan las listrik</t>
        </is>
      </c>
      <c r="D693" s="3" t="inlineStr">
        <is>
          <t>m'</t>
        </is>
      </c>
      <c r="E693" s="4" t="n">
        <v>16853</v>
      </c>
    </row>
    <row r="694">
      <c r="A694" s="3" t="n">
        <v>692</v>
      </c>
      <c r="B694" s="3" t="inlineStr">
        <is>
          <t>3.13.4</t>
        </is>
      </c>
      <c r="C694" s="3" t="inlineStr">
        <is>
          <t>Pembuatan dan pemasangan 1 m' railing besi pengaman tinggi 1.2 m</t>
        </is>
      </c>
      <c r="D694" s="3" t="inlineStr">
        <is>
          <t>m'</t>
        </is>
      </c>
      <c r="E694" s="4" t="n">
        <v>488500</v>
      </c>
    </row>
    <row r="695">
      <c r="A695" s="3" t="n">
        <v>693</v>
      </c>
      <c r="B695" s="3" t="inlineStr">
        <is>
          <t>3.13.5</t>
        </is>
      </c>
      <c r="C695" s="3" t="inlineStr">
        <is>
          <t>Pembuatan dan pemasangan 1 m' railing tangga/ramp dan hand rail tinggi 0.85 m dan 0.65 m</t>
        </is>
      </c>
      <c r="D695" s="3" t="inlineStr">
        <is>
          <t>m'</t>
        </is>
      </c>
      <c r="E695" s="4" t="n">
        <v>301338</v>
      </c>
    </row>
    <row r="696">
      <c r="A696" s="3" t="n">
        <v>694</v>
      </c>
      <c r="B696" s="3" t="inlineStr">
        <is>
          <t>3.13.6</t>
        </is>
      </c>
      <c r="C696" s="3" t="inlineStr">
        <is>
          <t>Pemasangan 1 buah Tangga Service tinggi 4 meter</t>
        </is>
      </c>
      <c r="D696" s="3" t="inlineStr">
        <is>
          <t>buah</t>
        </is>
      </c>
      <c r="E696" s="4" t="n">
        <v>1998249</v>
      </c>
    </row>
    <row r="697">
      <c r="A697" s="3" t="n">
        <v>695</v>
      </c>
      <c r="B697" s="3" t="inlineStr">
        <is>
          <t>3.14.1</t>
        </is>
      </c>
      <c r="C697" s="3" t="inlineStr">
        <is>
          <t>Pembuatan 1 m2 Plywood Rangkap, Rangka Expose Kayu Kelas I</t>
        </is>
      </c>
      <c r="D697" s="3" t="n">
        <v/>
      </c>
      <c r="E697" s="4" t="n">
        <v>924260</v>
      </c>
    </row>
    <row r="698">
      <c r="A698" s="3" t="n">
        <v>696</v>
      </c>
      <c r="B698" s="3" t="inlineStr">
        <is>
          <t>3.14.2</t>
        </is>
      </c>
      <c r="C698" s="3" t="inlineStr">
        <is>
          <t>Pembuatan 1 m2 Plywood Lapis Formika, Rangka Expose Kayu Kelas Ii</t>
        </is>
      </c>
      <c r="D698" s="3" t="n">
        <v/>
      </c>
      <c r="E698" s="4" t="n">
        <v>696780</v>
      </c>
    </row>
    <row r="699">
      <c r="A699" s="3" t="n">
        <v>697</v>
      </c>
      <c r="B699" s="3" t="inlineStr">
        <is>
          <t>3.15.1</t>
        </is>
      </c>
      <c r="C699" s="3" t="inlineStr">
        <is>
          <t>Pemasangan 1 buah jendela ornamen GRC</t>
        </is>
      </c>
      <c r="D699" s="3" t="inlineStr">
        <is>
          <t xml:space="preserve">buah </t>
        </is>
      </c>
      <c r="E699" s="4" t="n">
        <v>728417</v>
      </c>
    </row>
    <row r="700">
      <c r="A700" s="3" t="n">
        <v>698</v>
      </c>
      <c r="B700" s="3" t="inlineStr">
        <is>
          <t>3.16.1.1</t>
        </is>
      </c>
      <c r="C700" s="3" t="inlineStr">
        <is>
          <t>Pemasangan 1 buah Logo PU plat besi finish cat uk. 80x80 cm dengan scaffolding</t>
        </is>
      </c>
      <c r="D700" s="3" t="inlineStr">
        <is>
          <t>buah</t>
        </is>
      </c>
      <c r="E700" s="4" t="n">
        <v>931685</v>
      </c>
    </row>
    <row r="701">
      <c r="A701" s="3" t="n">
        <v>699</v>
      </c>
      <c r="B701" s="3" t="inlineStr">
        <is>
          <t>3.16.1.2</t>
        </is>
      </c>
      <c r="C701" s="3" t="inlineStr">
        <is>
          <t>Pemasangan Logo PU Pelat Besi Finish Cat ukuran 80x80 cm dengan gendola</t>
        </is>
      </c>
      <c r="D701" s="3" t="inlineStr">
        <is>
          <t>buah</t>
        </is>
      </c>
      <c r="E701" s="4" t="n">
        <v>22426690</v>
      </c>
    </row>
    <row r="702">
      <c r="A702" s="3" t="n">
        <v>700</v>
      </c>
      <c r="B702" s="3" t="inlineStr">
        <is>
          <t>3.16.2</t>
        </is>
      </c>
      <c r="C702" s="3" t="inlineStr">
        <is>
          <t>Pemasangan Signage Plat Baja Menggunakan Tiang</t>
        </is>
      </c>
      <c r="D702" s="3" t="inlineStr">
        <is>
          <t>buah</t>
        </is>
      </c>
      <c r="E702" s="4" t="n">
        <v>1731224</v>
      </c>
    </row>
    <row r="703">
      <c r="A703" s="3" t="n">
        <v>701</v>
      </c>
      <c r="B703" s="3" t="inlineStr">
        <is>
          <t>3.16.2.1</t>
        </is>
      </c>
      <c r="C703" s="3" t="inlineStr">
        <is>
          <t>Pemasangan Signage Plat Baja pada Dinding</t>
        </is>
      </c>
      <c r="D703" s="3" t="inlineStr">
        <is>
          <t>buah</t>
        </is>
      </c>
      <c r="E703" s="4" t="n">
        <v>1679601</v>
      </c>
    </row>
    <row r="704">
      <c r="A704" s="3" t="n">
        <v>702</v>
      </c>
      <c r="B704" s="3" t="inlineStr">
        <is>
          <t>3.16.3</t>
        </is>
      </c>
      <c r="C704" s="3" t="inlineStr">
        <is>
          <t>Pemasangan Signage dengan Acrylic</t>
        </is>
      </c>
      <c r="D704" s="3" t="inlineStr">
        <is>
          <t>buah</t>
        </is>
      </c>
      <c r="E704" s="4" t="n">
        <v>169180</v>
      </c>
    </row>
    <row r="705">
      <c r="A705" s="3" t="n">
        <v>703</v>
      </c>
      <c r="B705" s="3" t="inlineStr">
        <is>
          <t>3.16.4</t>
        </is>
      </c>
      <c r="C705" s="3" t="inlineStr">
        <is>
          <t>Pemasangan 1 m2 signage dengan cutting</t>
        </is>
      </c>
      <c r="D705" s="3" t="inlineStr">
        <is>
          <t>m2</t>
        </is>
      </c>
      <c r="E705" s="4" t="n">
        <v>123249</v>
      </c>
    </row>
    <row r="706">
      <c r="A706" s="3" t="n">
        <v>704</v>
      </c>
      <c r="B706" s="3" t="inlineStr">
        <is>
          <t>3.16.5</t>
        </is>
      </c>
      <c r="C706" s="3" t="inlineStr">
        <is>
          <t>Pemasangan 1 m2 Marka dengan Cat Thermoplast</t>
        </is>
      </c>
      <c r="D706" s="3" t="inlineStr">
        <is>
          <t>n2</t>
        </is>
      </c>
      <c r="E706" s="4" t="n">
        <v>138275</v>
      </c>
    </row>
    <row r="707">
      <c r="A707" s="3" t="n">
        <v>705</v>
      </c>
      <c r="B707" s="3" t="inlineStr">
        <is>
          <t>3.16.6</t>
        </is>
      </c>
      <c r="C707" s="3" t="inlineStr">
        <is>
          <t>Pemasangan 1 buah Logo PU Akrilik ukuran 40x40 cm</t>
        </is>
      </c>
      <c r="D707" s="3" t="inlineStr">
        <is>
          <t>buah</t>
        </is>
      </c>
      <c r="E707" s="4" t="n">
        <v>455757</v>
      </c>
    </row>
    <row r="708">
      <c r="A708" s="3" t="n">
        <v>706</v>
      </c>
      <c r="B708" s="3" t="inlineStr">
        <is>
          <t>3.16.7</t>
        </is>
      </c>
      <c r="C708" s="3" t="inlineStr">
        <is>
          <t>Pemasangan 1 buah Nomor Rumah Akrilik ukuran 15x30 cm</t>
        </is>
      </c>
      <c r="D708" s="3" t="inlineStr">
        <is>
          <t>buah</t>
        </is>
      </c>
      <c r="E708" s="4" t="n">
        <v>76257</v>
      </c>
    </row>
    <row r="709">
      <c r="A709" s="3" t="n">
        <v>707</v>
      </c>
      <c r="B709" s="3" t="inlineStr">
        <is>
          <t>3.18.1.1</t>
        </is>
      </c>
      <c r="C709" s="3" t="inlineStr">
        <is>
          <t>Pemasangan 1 buah wastafel</t>
        </is>
      </c>
      <c r="D709" s="3" t="inlineStr">
        <is>
          <t>buah</t>
        </is>
      </c>
      <c r="E709" s="4" t="n">
        <v>643786</v>
      </c>
    </row>
    <row r="710">
      <c r="A710" s="3" t="n">
        <v>708</v>
      </c>
      <c r="B710" s="3" t="inlineStr">
        <is>
          <t>3.18.2.1</t>
        </is>
      </c>
      <c r="C710" s="3" t="inlineStr">
        <is>
          <t>Pemasangan 1 buah Bak Cuci Piring Stainlessteel</t>
        </is>
      </c>
      <c r="D710" s="3" t="inlineStr">
        <is>
          <t>buah</t>
        </is>
      </c>
      <c r="E710" s="4" t="n">
        <v>666875</v>
      </c>
    </row>
    <row r="711">
      <c r="A711" s="3" t="n">
        <v>709</v>
      </c>
      <c r="B711" s="3" t="inlineStr">
        <is>
          <t>3.18.2.2</t>
        </is>
      </c>
      <c r="C711" s="3" t="inlineStr">
        <is>
          <t>Pemasangan 1 Buah Bak Cuci Piring Teraso</t>
        </is>
      </c>
      <c r="D711" s="3" t="inlineStr">
        <is>
          <t>buah</t>
        </is>
      </c>
      <c r="E711" s="4" t="n">
        <v>1152239</v>
      </c>
    </row>
    <row r="712">
      <c r="A712" s="3" t="n">
        <v>710</v>
      </c>
      <c r="B712" s="3" t="inlineStr">
        <is>
          <t>3.18.3.1</t>
        </is>
      </c>
      <c r="C712" s="3" t="inlineStr">
        <is>
          <t>Pemasangan 1 buah closet duduk/monoblock</t>
        </is>
      </c>
      <c r="D712" s="3" t="inlineStr">
        <is>
          <t>buah</t>
        </is>
      </c>
      <c r="E712" s="4" t="n">
        <v>2015640</v>
      </c>
    </row>
    <row r="713">
      <c r="A713" s="3" t="n">
        <v>711</v>
      </c>
      <c r="B713" s="3" t="inlineStr">
        <is>
          <t>3.18.3.2</t>
        </is>
      </c>
      <c r="C713" s="3" t="inlineStr">
        <is>
          <t>Pemasangan 1 buah closet jongkok</t>
        </is>
      </c>
      <c r="D713" s="3" t="inlineStr">
        <is>
          <t>buah</t>
        </is>
      </c>
      <c r="E713" s="4" t="n">
        <v>428142</v>
      </c>
    </row>
    <row r="714">
      <c r="A714" s="3" t="n">
        <v>712</v>
      </c>
      <c r="B714" s="3" t="inlineStr">
        <is>
          <t>3.18.3.3</t>
        </is>
      </c>
      <c r="C714" s="3" t="inlineStr">
        <is>
          <t>Pemasangan 1 m2 kubikel toilet</t>
        </is>
      </c>
      <c r="D714" s="3" t="inlineStr">
        <is>
          <t>m2</t>
        </is>
      </c>
      <c r="E714" s="4" t="n">
        <v>2279711</v>
      </c>
    </row>
    <row r="715">
      <c r="A715" s="3" t="n">
        <v>713</v>
      </c>
      <c r="B715" s="3" t="inlineStr">
        <is>
          <t>3.18.4.1</t>
        </is>
      </c>
      <c r="C715" s="3" t="inlineStr">
        <is>
          <t>Pemasangan 1 buah urinoir</t>
        </is>
      </c>
      <c r="D715" s="3" t="inlineStr">
        <is>
          <t>buah</t>
        </is>
      </c>
      <c r="E715" s="4" t="n">
        <v>810161</v>
      </c>
    </row>
    <row r="716">
      <c r="A716" s="3" t="n">
        <v>714</v>
      </c>
      <c r="B716" s="3" t="inlineStr">
        <is>
          <t>3.18.4.2</t>
        </is>
      </c>
      <c r="C716" s="3" t="inlineStr">
        <is>
          <t>Pemasangan 1 buah partisi urinoir</t>
        </is>
      </c>
      <c r="D716" s="3" t="inlineStr">
        <is>
          <t>buah</t>
        </is>
      </c>
      <c r="E716" s="4" t="n">
        <v>1011232</v>
      </c>
    </row>
    <row r="717">
      <c r="A717" s="3" t="n">
        <v>715</v>
      </c>
      <c r="B717" s="3" t="inlineStr">
        <is>
          <t>3.18.5.1</t>
        </is>
      </c>
      <c r="C717" s="3" t="inlineStr">
        <is>
          <t>Pemasangan 1 buah bak mandi teraso vol. 0,3 m3</t>
        </is>
      </c>
      <c r="D717" s="3" t="inlineStr">
        <is>
          <t>buah</t>
        </is>
      </c>
      <c r="E717" s="4" t="n">
        <v>1722875</v>
      </c>
    </row>
    <row r="718">
      <c r="A718" s="3" t="n">
        <v>716</v>
      </c>
      <c r="B718" s="3" t="inlineStr">
        <is>
          <t>3.18.5.2</t>
        </is>
      </c>
      <c r="C718" s="3" t="inlineStr">
        <is>
          <t>Pemasangan 1 buah bak mandi pasangan bata vol. 0,3 m3</t>
        </is>
      </c>
      <c r="D718" s="3" t="inlineStr">
        <is>
          <t>buah</t>
        </is>
      </c>
      <c r="E718" s="4" t="n">
        <v>1992100</v>
      </c>
    </row>
    <row r="719">
      <c r="A719" s="3" t="n">
        <v>717</v>
      </c>
      <c r="B719" s="3" t="inlineStr">
        <is>
          <t>3.18.5.3</t>
        </is>
      </c>
      <c r="C719" s="3" t="inlineStr">
        <is>
          <t>Pemasangan 1 buah bak fiberglass vol. 0,3 m3</t>
        </is>
      </c>
      <c r="D719" s="3" t="inlineStr">
        <is>
          <t>buah</t>
        </is>
      </c>
      <c r="E719" s="4" t="n">
        <v>648934</v>
      </c>
    </row>
    <row r="720">
      <c r="A720" s="3" t="n">
        <v>718</v>
      </c>
      <c r="B720" s="3" t="inlineStr">
        <is>
          <t>3.18.5.4</t>
        </is>
      </c>
      <c r="C720" s="3" t="inlineStr">
        <is>
          <t>Pemasangan 1 buah bak fiberglass vol. 1 m3</t>
        </is>
      </c>
      <c r="D720" s="3" t="inlineStr">
        <is>
          <t>buah</t>
        </is>
      </c>
      <c r="E720" s="4" t="n">
        <v>727743</v>
      </c>
    </row>
    <row r="721">
      <c r="A721" s="3" t="n">
        <v>719</v>
      </c>
      <c r="B721" s="3" t="inlineStr">
        <is>
          <t>3.18.5.5</t>
        </is>
      </c>
      <c r="C721" s="3" t="inlineStr">
        <is>
          <t>Pemasangan 1 buah bak beton vol. 1 m3</t>
        </is>
      </c>
      <c r="D721" s="3" t="inlineStr">
        <is>
          <t>buah</t>
        </is>
      </c>
      <c r="E721" s="4" t="n">
        <v>7977628</v>
      </c>
    </row>
    <row r="722">
      <c r="A722" s="3" t="n">
        <v>720</v>
      </c>
      <c r="B722" s="3" t="inlineStr">
        <is>
          <t>3.18.5.6</t>
        </is>
      </c>
      <c r="C722" s="3" t="inlineStr">
        <is>
          <t>Pemasangan 1 buah bathup</t>
        </is>
      </c>
      <c r="D722" s="3" t="inlineStr">
        <is>
          <t>buah</t>
        </is>
      </c>
      <c r="E722" s="4" t="n">
        <v>2962712</v>
      </c>
    </row>
    <row r="723">
      <c r="A723" s="3" t="n">
        <v>721</v>
      </c>
      <c r="B723" s="3" t="inlineStr">
        <is>
          <t>3.18.6.1</t>
        </is>
      </c>
      <c r="C723" s="3" t="inlineStr">
        <is>
          <t>Pemasangan 1 buah floor drain stainless steel</t>
        </is>
      </c>
      <c r="D723" s="3" t="inlineStr">
        <is>
          <t>buah</t>
        </is>
      </c>
      <c r="E723" s="4" t="n">
        <v>68871</v>
      </c>
    </row>
    <row r="724">
      <c r="A724" s="3" t="n">
        <v>722</v>
      </c>
      <c r="B724" s="3" t="inlineStr">
        <is>
          <t>3.18.6.2</t>
        </is>
      </c>
      <c r="C724" s="3" t="inlineStr">
        <is>
          <t>Pemasanga 1 Buah Kran</t>
        </is>
      </c>
      <c r="D724" s="3" t="inlineStr">
        <is>
          <t>buah</t>
        </is>
      </c>
      <c r="E724" s="4" t="n">
        <v>0</v>
      </c>
    </row>
    <row r="725">
      <c r="A725" s="3" t="n">
        <v>723</v>
      </c>
      <c r="B725" s="3" t="inlineStr">
        <is>
          <t>3.18.6.2.1</t>
        </is>
      </c>
      <c r="C725" s="3" t="inlineStr">
        <is>
          <t>Pemasangan 1 buah kran diameter ½" atau 3/4"</t>
        </is>
      </c>
      <c r="D725" s="3" t="inlineStr">
        <is>
          <t>buah</t>
        </is>
      </c>
      <c r="E725" s="4" t="n">
        <v>121552</v>
      </c>
    </row>
    <row r="726">
      <c r="A726" s="3" t="n">
        <v>724</v>
      </c>
      <c r="B726" s="3" t="inlineStr">
        <is>
          <t>3.18.6.3</t>
        </is>
      </c>
      <c r="C726" s="3" t="inlineStr">
        <is>
          <t>Pemasangan 1 buah jet washer</t>
        </is>
      </c>
      <c r="D726" s="3" t="inlineStr">
        <is>
          <t>buah</t>
        </is>
      </c>
      <c r="E726" s="4" t="n">
        <v>185682</v>
      </c>
    </row>
    <row r="727">
      <c r="A727" s="3" t="n">
        <v>725</v>
      </c>
      <c r="B727" s="3" t="inlineStr">
        <is>
          <t>3.18.6.4</t>
        </is>
      </c>
      <c r="C727" s="3" t="inlineStr">
        <is>
          <t>Pemasangan 1 buah gantungan baju (robe hook)</t>
        </is>
      </c>
      <c r="D727" s="3" t="inlineStr">
        <is>
          <t>buah</t>
        </is>
      </c>
      <c r="E727" s="4" t="n">
        <v>96701</v>
      </c>
    </row>
    <row r="728">
      <c r="A728" s="3" t="n">
        <v>726</v>
      </c>
      <c r="B728" s="3" t="inlineStr">
        <is>
          <t>3.18.6.5</t>
        </is>
      </c>
      <c r="C728" s="3" t="inlineStr">
        <is>
          <t>Pemasangan 1 buah towel bar</t>
        </is>
      </c>
      <c r="D728" s="3" t="inlineStr">
        <is>
          <t>buah</t>
        </is>
      </c>
      <c r="E728" s="4" t="n">
        <v>184701</v>
      </c>
    </row>
    <row r="729">
      <c r="A729" s="3" t="n">
        <v>727</v>
      </c>
      <c r="B729" s="3" t="inlineStr">
        <is>
          <t>3.18.6.6</t>
        </is>
      </c>
      <c r="C729" s="3" t="inlineStr">
        <is>
          <t>Pemasangan 1 buah grab bar</t>
        </is>
      </c>
      <c r="D729" s="3" t="inlineStr">
        <is>
          <t>buah</t>
        </is>
      </c>
      <c r="E729" s="4" t="n">
        <v>151701</v>
      </c>
    </row>
    <row r="730">
      <c r="A730" s="3" t="n">
        <v>728</v>
      </c>
      <c r="B730" s="3" t="inlineStr">
        <is>
          <t>3.18.6.7</t>
        </is>
      </c>
      <c r="C730" s="3" t="inlineStr">
        <is>
          <t>Pemasangan 1 buah soap holder</t>
        </is>
      </c>
      <c r="D730" s="3" t="inlineStr">
        <is>
          <t>buah</t>
        </is>
      </c>
      <c r="E730" s="4" t="n">
        <v>184701</v>
      </c>
    </row>
    <row r="731">
      <c r="A731" s="3" t="n">
        <v>729</v>
      </c>
      <c r="B731" s="3" t="inlineStr">
        <is>
          <t>3.18.6.8</t>
        </is>
      </c>
      <c r="C731" s="3" t="inlineStr">
        <is>
          <t>Pemasangan 1 buah tissue holder</t>
        </is>
      </c>
      <c r="D731" s="3" t="inlineStr">
        <is>
          <t>buah</t>
        </is>
      </c>
      <c r="E731" s="4" t="n">
        <v>184701</v>
      </c>
    </row>
    <row r="732">
      <c r="A732" s="3" t="n">
        <v>730</v>
      </c>
      <c r="B732" s="3" t="inlineStr">
        <is>
          <t>3.18.6.9</t>
        </is>
      </c>
      <c r="C732" s="3" t="inlineStr">
        <is>
          <t>Pemasangan 1 buah Shower Set</t>
        </is>
      </c>
      <c r="D732" s="3" t="inlineStr">
        <is>
          <t>buah</t>
        </is>
      </c>
      <c r="E732" s="4" t="n">
        <v>75682</v>
      </c>
    </row>
    <row r="733">
      <c r="A733" s="3" t="n">
        <v>731</v>
      </c>
      <c r="B733" s="3" t="inlineStr">
        <is>
          <t>4.1.1.3</t>
        </is>
      </c>
      <c r="C733" s="3" t="inlineStr">
        <is>
          <t>Pengadaan dan Pengangkutan Pohon Kecil di Polybag 20 Liter</t>
        </is>
      </c>
      <c r="D733" s="3" t="inlineStr">
        <is>
          <t>buah</t>
        </is>
      </c>
      <c r="E733" s="4" t="n">
        <v>394225</v>
      </c>
    </row>
    <row r="734">
      <c r="A734" s="3" t="n">
        <v>732</v>
      </c>
      <c r="B734" s="3" t="inlineStr">
        <is>
          <t>4.1.1.5</t>
        </is>
      </c>
      <c r="C734" s="3" t="inlineStr">
        <is>
          <t>Pengadaan dan Pengangkutan Pohon Kecil di Polybag 25 Liter</t>
        </is>
      </c>
      <c r="D734" s="3" t="inlineStr">
        <is>
          <t>buah</t>
        </is>
      </c>
      <c r="E734" s="4" t="n">
        <v>452837</v>
      </c>
    </row>
    <row r="735">
      <c r="A735" s="3" t="n">
        <v>733</v>
      </c>
      <c r="B735" s="3" t="inlineStr">
        <is>
          <t>4.1.1.6</t>
        </is>
      </c>
      <c r="C735" s="3" t="inlineStr">
        <is>
          <t>Analisis Produktivitas Truck Angkutan Pohon Sedang di Polybag 50 Liter</t>
        </is>
      </c>
      <c r="D735" s="3" t="inlineStr">
        <is>
          <t>buah</t>
        </is>
      </c>
      <c r="E735" s="4" t="n">
        <v>0</v>
      </c>
    </row>
    <row r="736">
      <c r="A736" s="3" t="n">
        <v>734</v>
      </c>
      <c r="B736" s="3" t="inlineStr">
        <is>
          <t>4.1.1.7</t>
        </is>
      </c>
      <c r="C736" s="3" t="inlineStr">
        <is>
          <t>Pengadaan dan Pengangkutan Pohon Sedang di Polybag 50 Liter</t>
        </is>
      </c>
      <c r="D736" s="3" t="inlineStr">
        <is>
          <t>buah</t>
        </is>
      </c>
      <c r="E736" s="4" t="n">
        <v>563434</v>
      </c>
    </row>
    <row r="737">
      <c r="A737" s="3" t="n">
        <v>735</v>
      </c>
      <c r="B737" s="3" t="inlineStr">
        <is>
          <t>4.1.1.8</t>
        </is>
      </c>
      <c r="C737" s="3" t="inlineStr">
        <is>
          <t>Analisis Poduktivitas Truck Angkutan Pohon Sedang di Polybag 75 Liter</t>
        </is>
      </c>
      <c r="D737" s="3" t="inlineStr">
        <is>
          <t>buah</t>
        </is>
      </c>
      <c r="E737" s="4" t="n">
        <v>0</v>
      </c>
    </row>
    <row r="738">
      <c r="A738" s="3" t="n">
        <v>736</v>
      </c>
      <c r="B738" s="3" t="inlineStr">
        <is>
          <t>4.1.1.9</t>
        </is>
      </c>
      <c r="C738" s="3" t="inlineStr">
        <is>
          <t>Pengadaan dan Pengangkutan Pohon Sedang di Polybag 75 Liter</t>
        </is>
      </c>
      <c r="D738" s="3" t="inlineStr">
        <is>
          <t>buah</t>
        </is>
      </c>
      <c r="E738" s="4" t="n">
        <v>600373</v>
      </c>
    </row>
    <row r="739">
      <c r="A739" s="3" t="n">
        <v>737</v>
      </c>
      <c r="B739" s="3" t="inlineStr">
        <is>
          <t>4.1.1.10</t>
        </is>
      </c>
      <c r="C739" s="3" t="inlineStr">
        <is>
          <t>Analisis Poduktivitas Truck Angkutan Pohon Sedang di Polybag 100 Liter</t>
        </is>
      </c>
      <c r="D739" s="3" t="inlineStr">
        <is>
          <t>buah</t>
        </is>
      </c>
      <c r="E739" s="4" t="n">
        <v>0</v>
      </c>
    </row>
    <row r="740">
      <c r="A740" s="3" t="n">
        <v>738</v>
      </c>
      <c r="B740" s="3" t="inlineStr">
        <is>
          <t>4.1.1.11</t>
        </is>
      </c>
      <c r="C740" s="3" t="inlineStr">
        <is>
          <t>Pengadaan dan Pengangkutan Pohon Besar di Polybag 100 Liter</t>
        </is>
      </c>
      <c r="D740" s="3" t="inlineStr">
        <is>
          <t>buah</t>
        </is>
      </c>
      <c r="E740" s="4" t="n">
        <v>596098</v>
      </c>
    </row>
    <row r="741">
      <c r="A741" s="3" t="n">
        <v>739</v>
      </c>
      <c r="B741" s="3" t="inlineStr">
        <is>
          <t>4.1.1.12</t>
        </is>
      </c>
      <c r="C741" s="3" t="inlineStr">
        <is>
          <t>Analisis Poduktivitas Truck Angkutan Pohon Sedang di Polybag 150 Liter</t>
        </is>
      </c>
      <c r="D741" s="3" t="inlineStr">
        <is>
          <t>buah</t>
        </is>
      </c>
      <c r="E741" s="4" t="n">
        <v>0</v>
      </c>
    </row>
    <row r="742">
      <c r="A742" s="3" t="n">
        <v>740</v>
      </c>
      <c r="B742" s="3" t="inlineStr">
        <is>
          <t>4.1.1.13</t>
        </is>
      </c>
      <c r="C742" s="3" t="inlineStr">
        <is>
          <t>Pengadaan dan Pengangkutan Pohon Besar di Polybag 150 Liter</t>
        </is>
      </c>
      <c r="D742" s="3" t="inlineStr">
        <is>
          <t>buah</t>
        </is>
      </c>
      <c r="E742" s="4" t="n">
        <v>632321</v>
      </c>
    </row>
    <row r="743">
      <c r="A743" s="3" t="n">
        <v>741</v>
      </c>
      <c r="B743" s="3" t="inlineStr">
        <is>
          <t>4.1.1.14</t>
        </is>
      </c>
      <c r="C743" s="3" t="inlineStr">
        <is>
          <t>Analisis Poduktivitas Truck Angkutan Pohon Sedang di Polybag 200 Liter</t>
        </is>
      </c>
      <c r="D743" s="3" t="inlineStr">
        <is>
          <t>buah</t>
        </is>
      </c>
      <c r="E743" s="4" t="n">
        <v>0</v>
      </c>
    </row>
    <row r="744">
      <c r="A744" s="3" t="n">
        <v>742</v>
      </c>
      <c r="B744" s="3" t="inlineStr">
        <is>
          <t>4.1.1.15</t>
        </is>
      </c>
      <c r="C744" s="3" t="inlineStr">
        <is>
          <t>Pengadaan dan Pengangkutan Pohon Besar di Polybag 200 Liter</t>
        </is>
      </c>
      <c r="D744" s="3" t="inlineStr">
        <is>
          <t>buah</t>
        </is>
      </c>
      <c r="E744" s="4" t="n">
        <v>839111</v>
      </c>
    </row>
    <row r="745">
      <c r="A745" s="3" t="n">
        <v>743</v>
      </c>
      <c r="B745" s="3" t="inlineStr">
        <is>
          <t>4.1.1.16</t>
        </is>
      </c>
      <c r="C745" s="3" t="inlineStr">
        <is>
          <t>Analisis Poduktivitas Truck Angkutan Pohon Sedang di Polybag 250 Liter</t>
        </is>
      </c>
      <c r="D745" s="3" t="inlineStr">
        <is>
          <t>buah</t>
        </is>
      </c>
      <c r="E745" s="4" t="n">
        <v>0</v>
      </c>
    </row>
    <row r="746">
      <c r="A746" s="3" t="n">
        <v>744</v>
      </c>
      <c r="B746" s="3" t="inlineStr">
        <is>
          <t>4.1.1.17</t>
        </is>
      </c>
      <c r="C746" s="3" t="inlineStr">
        <is>
          <t>Pengadaan dan Pengangkutan Pohon Besar di Polybag 250 Liter</t>
        </is>
      </c>
      <c r="D746" s="3" t="inlineStr">
        <is>
          <t>buah</t>
        </is>
      </c>
      <c r="E746" s="4" t="n">
        <v>967685</v>
      </c>
    </row>
    <row r="747">
      <c r="A747" s="3" t="n">
        <v>745</v>
      </c>
      <c r="B747" s="3" t="inlineStr">
        <is>
          <t>4.1.1.18</t>
        </is>
      </c>
      <c r="C747" s="3" t="inlineStr">
        <is>
          <t>Analisis Produktivitas Angkutan Palem Rumpun Kecil di Polybag 11 L</t>
        </is>
      </c>
      <c r="D747" s="3" t="inlineStr">
        <is>
          <t>buah</t>
        </is>
      </c>
      <c r="E747" s="4" t="n">
        <v>0</v>
      </c>
    </row>
    <row r="748">
      <c r="A748" s="3" t="n">
        <v>746</v>
      </c>
      <c r="B748" s="3" t="inlineStr">
        <is>
          <t>4.1.1.19</t>
        </is>
      </c>
      <c r="C748" s="3" t="inlineStr">
        <is>
          <t>Pengadaan dan Pengangkutan Palem Rumpun Kecil di Polybag 11 L</t>
        </is>
      </c>
      <c r="D748" s="3" t="inlineStr">
        <is>
          <t>buah</t>
        </is>
      </c>
      <c r="E748" s="4" t="n">
        <v>279904</v>
      </c>
    </row>
    <row r="749">
      <c r="A749" s="3" t="n">
        <v>747</v>
      </c>
      <c r="B749" s="3" t="inlineStr">
        <is>
          <t>4.1.1.20</t>
        </is>
      </c>
      <c r="C749" s="3" t="inlineStr">
        <is>
          <t>Analisis Produktivitas Angkutan Palem Rumpun Kecil di Polybag 20 L</t>
        </is>
      </c>
      <c r="D749" s="3" t="inlineStr">
        <is>
          <t>buah</t>
        </is>
      </c>
      <c r="E749" s="4" t="n">
        <v>0</v>
      </c>
    </row>
    <row r="750">
      <c r="A750" s="3" t="n">
        <v>748</v>
      </c>
      <c r="B750" s="3" t="inlineStr">
        <is>
          <t>4.1.1.21</t>
        </is>
      </c>
      <c r="C750" s="3" t="inlineStr">
        <is>
          <t>Pengadaan dan Pengangkutan Palem Rumpun Kecil di Polybag 20 L</t>
        </is>
      </c>
      <c r="D750" s="3" t="inlineStr">
        <is>
          <t>buah</t>
        </is>
      </c>
      <c r="E750" s="4" t="n">
        <v>344059</v>
      </c>
    </row>
    <row r="751">
      <c r="A751" s="3" t="n">
        <v>749</v>
      </c>
      <c r="B751" s="3" t="inlineStr">
        <is>
          <t>4.1.1.22</t>
        </is>
      </c>
      <c r="C751" s="3" t="inlineStr">
        <is>
          <t>Analisis Produktivitas Angkutan Palem Rumpun Besar di Polybag 50 L</t>
        </is>
      </c>
      <c r="D751" s="3" t="inlineStr">
        <is>
          <t>buah</t>
        </is>
      </c>
      <c r="E751" s="4" t="n">
        <v>0</v>
      </c>
    </row>
    <row r="752">
      <c r="A752" s="3" t="n">
        <v>750</v>
      </c>
      <c r="B752" s="3" t="inlineStr">
        <is>
          <t>4.1.1.23</t>
        </is>
      </c>
      <c r="C752" s="3" t="inlineStr">
        <is>
          <t>Pengadaan dan Pengangkutan Palem Rumpun Besar di Polybag 50 L</t>
        </is>
      </c>
      <c r="D752" s="3" t="inlineStr">
        <is>
          <t>buah</t>
        </is>
      </c>
      <c r="E752" s="4" t="n">
        <v>563394</v>
      </c>
    </row>
    <row r="753">
      <c r="A753" s="3" t="n">
        <v>751</v>
      </c>
      <c r="B753" s="3" t="inlineStr">
        <is>
          <t>4.1.1.24</t>
        </is>
      </c>
      <c r="C753" s="3" t="inlineStr">
        <is>
          <t>Analisis Produktivitas Angkutan Palem Tunggal Kecil di Polybag 11 L</t>
        </is>
      </c>
      <c r="D753" s="3" t="inlineStr">
        <is>
          <t>buah</t>
        </is>
      </c>
      <c r="E753" s="4" t="n">
        <v>0</v>
      </c>
    </row>
    <row r="754">
      <c r="A754" s="3" t="n">
        <v>752</v>
      </c>
      <c r="B754" s="3" t="inlineStr">
        <is>
          <t>4.1.1.25</t>
        </is>
      </c>
      <c r="C754" s="3" t="inlineStr">
        <is>
          <t>Pengadaan dan Pengangkutan Palem Tunggal Kecil di Polybag 11 L</t>
        </is>
      </c>
      <c r="D754" s="3" t="inlineStr">
        <is>
          <t>buah</t>
        </is>
      </c>
      <c r="E754" s="4" t="n">
        <v>114904</v>
      </c>
    </row>
    <row r="755">
      <c r="A755" s="3" t="n">
        <v>753</v>
      </c>
      <c r="B755" s="3" t="inlineStr">
        <is>
          <t>4.1.1.26</t>
        </is>
      </c>
      <c r="C755" s="3" t="inlineStr">
        <is>
          <t>Analisis Produktivitas Angkutan Palem Tunggal Kecil di Polybag 20 L</t>
        </is>
      </c>
      <c r="D755" s="3" t="inlineStr">
        <is>
          <t>buah</t>
        </is>
      </c>
      <c r="E755" s="4" t="n">
        <v>0</v>
      </c>
    </row>
    <row r="756">
      <c r="A756" s="3" t="n">
        <v>754</v>
      </c>
      <c r="B756" s="3" t="inlineStr">
        <is>
          <t>4.1.1.27</t>
        </is>
      </c>
      <c r="C756" s="3" t="inlineStr">
        <is>
          <t>Pengadaan dan Pengangkutan Palem Tunggal Kecil di Polybag 20 L</t>
        </is>
      </c>
      <c r="D756" s="3" t="inlineStr">
        <is>
          <t>buah</t>
        </is>
      </c>
      <c r="E756" s="4" t="n">
        <v>179059</v>
      </c>
    </row>
    <row r="757">
      <c r="A757" s="3" t="n">
        <v>755</v>
      </c>
      <c r="B757" s="3" t="inlineStr">
        <is>
          <t>4.1.1.28</t>
        </is>
      </c>
      <c r="C757" s="3" t="inlineStr">
        <is>
          <t>Analisis Produktivitas Angkutan Palem Tunggal Kecil di Polybag 25 L</t>
        </is>
      </c>
      <c r="D757" s="3" t="inlineStr">
        <is>
          <t>buah</t>
        </is>
      </c>
      <c r="E757" s="4" t="n">
        <v>0</v>
      </c>
    </row>
    <row r="758">
      <c r="A758" s="3" t="n">
        <v>756</v>
      </c>
      <c r="B758" s="3" t="inlineStr">
        <is>
          <t>4.1.1.29</t>
        </is>
      </c>
      <c r="C758" s="3" t="inlineStr">
        <is>
          <t>Pengadaan dan Pengangkutan Palem Tunggal Kecil di Polybag 25 L</t>
        </is>
      </c>
      <c r="D758" s="3" t="inlineStr">
        <is>
          <t>buah</t>
        </is>
      </c>
      <c r="E758" s="4" t="n">
        <v>205343</v>
      </c>
    </row>
    <row r="759">
      <c r="A759" s="3" t="n">
        <v>757</v>
      </c>
      <c r="B759" s="3" t="inlineStr">
        <is>
          <t>4.1.1.30</t>
        </is>
      </c>
      <c r="C759" s="3" t="inlineStr">
        <is>
          <t>Analisis Produktivitas Angkutan Palem Tunggal Kecil di Polybag 50 L</t>
        </is>
      </c>
      <c r="D759" s="3" t="inlineStr">
        <is>
          <t>buah</t>
        </is>
      </c>
      <c r="E759" s="4" t="n">
        <v>0</v>
      </c>
    </row>
    <row r="760">
      <c r="A760" s="3" t="n">
        <v>758</v>
      </c>
      <c r="B760" s="3" t="inlineStr">
        <is>
          <t>4.1.1.31</t>
        </is>
      </c>
      <c r="C760" s="3" t="inlineStr">
        <is>
          <t>Pengadaan dan Pengangkutan Palem Tunggal Kecil di Polybag 50 L</t>
        </is>
      </c>
      <c r="D760" s="3" t="inlineStr">
        <is>
          <t>buah</t>
        </is>
      </c>
      <c r="E760" s="4" t="n">
        <v>343394</v>
      </c>
    </row>
    <row r="761">
      <c r="A761" s="3" t="n">
        <v>759</v>
      </c>
      <c r="B761" s="3" t="inlineStr">
        <is>
          <t>4.1.1.32</t>
        </is>
      </c>
      <c r="C761" s="3" t="inlineStr">
        <is>
          <t>Analisis Produktivitas Angkutan Palem Tunggal Besar di Polybag 100 L</t>
        </is>
      </c>
      <c r="D761" s="3" t="inlineStr">
        <is>
          <t>buah</t>
        </is>
      </c>
      <c r="E761" s="4" t="n">
        <v>0</v>
      </c>
    </row>
    <row r="762">
      <c r="A762" s="3" t="n">
        <v>760</v>
      </c>
      <c r="B762" s="3" t="inlineStr">
        <is>
          <t>4.1.1.33</t>
        </is>
      </c>
      <c r="C762" s="3" t="inlineStr">
        <is>
          <t>Pengadaan dan Pengangkutan Palem Tunggal Besar di Polybag 100 L</t>
        </is>
      </c>
      <c r="D762" s="3" t="inlineStr">
        <is>
          <t>buah</t>
        </is>
      </c>
      <c r="E762" s="4" t="n">
        <v>923574</v>
      </c>
    </row>
    <row r="763">
      <c r="A763" s="3" t="n">
        <v>761</v>
      </c>
      <c r="B763" s="3" t="inlineStr">
        <is>
          <t>4.1.1.34</t>
        </is>
      </c>
      <c r="C763" s="3" t="inlineStr">
        <is>
          <t>Analisis Produktivitas Angkutan Palem Tunggal Besar di Polybag 150 L</t>
        </is>
      </c>
      <c r="D763" s="3" t="inlineStr">
        <is>
          <t>buah</t>
        </is>
      </c>
      <c r="E763" s="4" t="n">
        <v>0</v>
      </c>
    </row>
    <row r="764">
      <c r="A764" s="3" t="n">
        <v>762</v>
      </c>
      <c r="B764" s="3" t="inlineStr">
        <is>
          <t>4.1.1.35</t>
        </is>
      </c>
      <c r="C764" s="3" t="inlineStr">
        <is>
          <t>Pengadaan dan Pengangkutan Palem Tunggal Besar di Polybag 150 L</t>
        </is>
      </c>
      <c r="D764" s="3" t="inlineStr">
        <is>
          <t>buah</t>
        </is>
      </c>
      <c r="E764" s="4" t="n">
        <v>1042174</v>
      </c>
    </row>
    <row r="765">
      <c r="A765" s="3" t="n">
        <v>763</v>
      </c>
      <c r="B765" s="3" t="inlineStr">
        <is>
          <t>4.1.1.36</t>
        </is>
      </c>
      <c r="C765" s="3" t="inlineStr">
        <is>
          <t>Analisis Poduktivitas Truck Angkutan Semak di Polybag 5 Liter Liter</t>
        </is>
      </c>
      <c r="D765" s="3" t="inlineStr">
        <is>
          <t>buah</t>
        </is>
      </c>
      <c r="E765" s="4" t="n">
        <v>0</v>
      </c>
    </row>
    <row r="766">
      <c r="A766" s="3" t="n">
        <v>764</v>
      </c>
      <c r="B766" s="3" t="inlineStr">
        <is>
          <t>4.1.1.37</t>
        </is>
      </c>
      <c r="C766" s="3" t="inlineStr">
        <is>
          <t>Pengadaan dan Pengangkutan Semak di Polybag 5 Liter</t>
        </is>
      </c>
      <c r="D766" s="3" t="inlineStr">
        <is>
          <t>buah</t>
        </is>
      </c>
      <c r="E766" s="4" t="n">
        <v>14632</v>
      </c>
    </row>
    <row r="767">
      <c r="A767" s="3" t="n">
        <v>765</v>
      </c>
      <c r="B767" s="3" t="inlineStr">
        <is>
          <t>4.1.1.38</t>
        </is>
      </c>
      <c r="C767" s="3" t="inlineStr">
        <is>
          <t>Analisis Poduktivitas Truck Angkutan Semak di Polybag 11 Liter</t>
        </is>
      </c>
      <c r="D767" s="3" t="inlineStr">
        <is>
          <t>buah</t>
        </is>
      </c>
      <c r="E767" s="4" t="n">
        <v>0</v>
      </c>
    </row>
    <row r="768">
      <c r="A768" s="3" t="n">
        <v>766</v>
      </c>
      <c r="B768" s="3" t="inlineStr">
        <is>
          <t>4.1.1.39</t>
        </is>
      </c>
      <c r="C768" s="3" t="inlineStr">
        <is>
          <t>Pengadaan dan Pengangkutan Semak di Polybag 11 Liter</t>
        </is>
      </c>
      <c r="D768" s="3" t="inlineStr">
        <is>
          <t>buah</t>
        </is>
      </c>
      <c r="E768" s="4" t="n">
        <v>21404</v>
      </c>
    </row>
    <row r="769">
      <c r="A769" s="3" t="n">
        <v>767</v>
      </c>
      <c r="B769" s="3" t="inlineStr">
        <is>
          <t>4.1.1.40</t>
        </is>
      </c>
      <c r="C769" s="3" t="inlineStr">
        <is>
          <t>Analisis Poduktivitas Truck Angkutan Semak di Polybag 20 Liter</t>
        </is>
      </c>
      <c r="D769" s="3" t="inlineStr">
        <is>
          <t>buah</t>
        </is>
      </c>
      <c r="E769" s="4" t="n">
        <v>0</v>
      </c>
    </row>
    <row r="770">
      <c r="A770" s="3" t="n">
        <v>768</v>
      </c>
      <c r="B770" s="3" t="inlineStr">
        <is>
          <t>4.1.1.41</t>
        </is>
      </c>
      <c r="C770" s="3" t="inlineStr">
        <is>
          <t>Pengadaan dan Pengangkutan Semak di Polybag 20 Liter</t>
        </is>
      </c>
      <c r="D770" s="3" t="inlineStr">
        <is>
          <t>buah</t>
        </is>
      </c>
      <c r="E770" s="4" t="n">
        <v>36060</v>
      </c>
    </row>
    <row r="771">
      <c r="A771" s="3" t="n">
        <v>769</v>
      </c>
      <c r="B771" s="3" t="inlineStr">
        <is>
          <t>4.1.1.42</t>
        </is>
      </c>
      <c r="C771" s="3" t="inlineStr">
        <is>
          <t>Analisis Poduktivitas Truck Angkutan Penutup Tanah</t>
        </is>
      </c>
      <c r="D771" s="3" t="inlineStr">
        <is>
          <t>buah</t>
        </is>
      </c>
      <c r="E771" s="4" t="n">
        <v>0</v>
      </c>
    </row>
    <row r="772">
      <c r="A772" s="3" t="n">
        <v>770</v>
      </c>
      <c r="B772" s="3" t="inlineStr">
        <is>
          <t>4.1.1.43</t>
        </is>
      </c>
      <c r="C772" s="3" t="inlineStr">
        <is>
          <t>Pengadaan dan Pengangkutan Penutup Tanah</t>
        </is>
      </c>
      <c r="D772" s="3" t="inlineStr">
        <is>
          <t>buah</t>
        </is>
      </c>
      <c r="E772" s="4" t="n">
        <v>8811</v>
      </c>
    </row>
    <row r="773">
      <c r="A773" s="3" t="n">
        <v>771</v>
      </c>
      <c r="B773" s="3" t="inlineStr">
        <is>
          <t>4.1.1.44</t>
        </is>
      </c>
      <c r="C773" s="3" t="inlineStr">
        <is>
          <t>Analisis Poduktivitas Truck Angkutan Rumput</t>
        </is>
      </c>
      <c r="D773" s="3" t="inlineStr">
        <is>
          <t>buah</t>
        </is>
      </c>
      <c r="E773" s="4" t="n">
        <v>0</v>
      </c>
    </row>
    <row r="774">
      <c r="A774" s="3" t="n">
        <v>772</v>
      </c>
      <c r="B774" s="3" t="inlineStr">
        <is>
          <t>4.1.1.45</t>
        </is>
      </c>
      <c r="C774" s="3" t="inlineStr">
        <is>
          <t>Pengadaan dan Pengangkutan Rumput</t>
        </is>
      </c>
      <c r="D774" s="3" t="inlineStr">
        <is>
          <t>buah</t>
        </is>
      </c>
      <c r="E774" s="4" t="n">
        <v>28622</v>
      </c>
    </row>
    <row r="775">
      <c r="A775" s="3" t="n">
        <v>773</v>
      </c>
      <c r="B775" s="3" t="inlineStr">
        <is>
          <t>4.1.1.46</t>
        </is>
      </c>
      <c r="C775" s="3" t="inlineStr">
        <is>
          <t>Harga Satuan Dasar Water Truck untuk Penyiraman</t>
        </is>
      </c>
      <c r="D775" s="3" t="inlineStr">
        <is>
          <t>buah</t>
        </is>
      </c>
      <c r="E775" s="4" t="n">
        <v>0</v>
      </c>
    </row>
    <row r="776">
      <c r="A776" s="3" t="n">
        <v>774</v>
      </c>
      <c r="B776" s="3" t="inlineStr">
        <is>
          <t>4.1.2.1</t>
        </is>
      </c>
      <c r="C776" s="3" t="inlineStr">
        <is>
          <t>Pohon Kecil , Polibag 20 L</t>
        </is>
      </c>
      <c r="D776" s="3" t="inlineStr">
        <is>
          <t>buah</t>
        </is>
      </c>
      <c r="E776" s="4" t="n">
        <v>0</v>
      </c>
    </row>
    <row r="777">
      <c r="A777" s="3" t="n">
        <v>775</v>
      </c>
      <c r="B777" s="3" t="inlineStr">
        <is>
          <t>4.1.2.1.1</t>
        </is>
      </c>
      <c r="C777" s="3" t="inlineStr">
        <is>
          <t>Penanaman 1 Buah Pohon Kecil Bungan Mentega (Natrium Oleander ) Diameter 1-2 cm, Tinggi 2-2,5 Meter, Polibag 20 L</t>
        </is>
      </c>
      <c r="D777" s="3" t="inlineStr">
        <is>
          <t>buah</t>
        </is>
      </c>
      <c r="E777" s="4" t="n">
        <v>170893</v>
      </c>
    </row>
    <row r="778">
      <c r="A778" s="3" t="n">
        <v>776</v>
      </c>
      <c r="B778" s="3" t="inlineStr">
        <is>
          <t>4.1.2.1.2</t>
        </is>
      </c>
      <c r="C778" s="3" t="inlineStr">
        <is>
          <t>Penanaman 1 Buah Pohon Kecil Bunga Terompet Kuning (Tecoma Stans) Diameter 1-2 cm, Tinggi 2-2,5 Meter, Polibag 20 L</t>
        </is>
      </c>
      <c r="D778" s="3" t="inlineStr">
        <is>
          <t>buah</t>
        </is>
      </c>
      <c r="E778" s="4" t="n">
        <v>170893</v>
      </c>
    </row>
    <row r="779">
      <c r="A779" s="3" t="n">
        <v>777</v>
      </c>
      <c r="B779" s="3" t="inlineStr">
        <is>
          <t>4.1.2.1.3</t>
        </is>
      </c>
      <c r="C779" s="3" t="inlineStr">
        <is>
          <t>Penanaman 1 Buah Pohon Kecil Bungur Sakura / Bungur Jepang (Lagerstromia indica) Diameter 1-2 cm, Tinggi 2-2,5 Meter, Polibag 20 L</t>
        </is>
      </c>
      <c r="D779" s="3" t="inlineStr">
        <is>
          <t>buah</t>
        </is>
      </c>
      <c r="E779" s="4" t="n">
        <v>188218</v>
      </c>
    </row>
    <row r="780">
      <c r="A780" s="3" t="n">
        <v>778</v>
      </c>
      <c r="B780" s="3" t="inlineStr">
        <is>
          <t>4.1.2.1.4</t>
        </is>
      </c>
      <c r="C780" s="3" t="inlineStr">
        <is>
          <t>Penanaman 1 Buah Pohon Kecil Cassia Glauca / Hujan Emas (Sena Surttensis) Diameter 1-2 cm, Tinggi 2-2,5 Meter, Polibag 20 L</t>
        </is>
      </c>
      <c r="D780" s="3" t="inlineStr">
        <is>
          <t>buah</t>
        </is>
      </c>
      <c r="E780" s="4" t="n">
        <v>193993</v>
      </c>
    </row>
    <row r="781">
      <c r="A781" s="3" t="n">
        <v>779</v>
      </c>
      <c r="B781" s="3" t="inlineStr">
        <is>
          <t>4.1.2.1.5</t>
        </is>
      </c>
      <c r="C781" s="3" t="inlineStr">
        <is>
          <t>Penanaman 1 Buah Pohon Kecil Dracaena ' song of india' (Dracaena Reflexa "sog of india) Diameter 1-2 cm, Tinggi 2-2,5 Meter, Polibag 20 L</t>
        </is>
      </c>
      <c r="D781" s="3" t="inlineStr">
        <is>
          <t>buah</t>
        </is>
      </c>
      <c r="E781" s="4" t="n">
        <v>205543</v>
      </c>
    </row>
    <row r="782">
      <c r="A782" s="3" t="n">
        <v>780</v>
      </c>
      <c r="B782" s="3" t="inlineStr">
        <is>
          <t>4.1.2.1.6</t>
        </is>
      </c>
      <c r="C782" s="3" t="inlineStr">
        <is>
          <t>Penanaman 1 Buah Pohon Kecil Dracaena 'Song of Jamaica'
(Dracaena Reflexa "Song of Jamaica") Diameter 1-2 cm, Tinggi 2-2,5 Meter, Polibag 20 L</t>
        </is>
      </c>
      <c r="D782" s="3" t="inlineStr">
        <is>
          <t>buah</t>
        </is>
      </c>
      <c r="E782" s="4" t="n">
        <v>211318</v>
      </c>
    </row>
    <row r="783">
      <c r="A783" s="3" t="n">
        <v>781</v>
      </c>
      <c r="B783" s="3" t="inlineStr">
        <is>
          <t>4.1.2.1.7</t>
        </is>
      </c>
      <c r="C783" s="3" t="inlineStr">
        <is>
          <t>Penanaman 1 Buah Pohon Kecil Jarak Batavia (Jatropha
Integerrima) Diameter 1-2 cm, Tinggi 2-2,5 Meter, Polibag 20 L</t>
        </is>
      </c>
      <c r="D783" s="3" t="inlineStr">
        <is>
          <t>buah</t>
        </is>
      </c>
      <c r="E783" s="4" t="n">
        <v>217093</v>
      </c>
    </row>
    <row r="784">
      <c r="A784" s="3" t="n">
        <v>782</v>
      </c>
      <c r="B784" s="3" t="inlineStr">
        <is>
          <t>4.1.2.1.8</t>
        </is>
      </c>
      <c r="C784" s="3" t="inlineStr">
        <is>
          <t>Penanaman 1 Buah Pohon Kecil Kayu Putih Kuning (Melaleuca
Revolution Gold) Diameter 1-2 cm, Tinggi 2-2,5 Meter, Polibag 20 L</t>
        </is>
      </c>
      <c r="D784" s="3" t="inlineStr">
        <is>
          <t>buah</t>
        </is>
      </c>
      <c r="E784" s="4" t="n">
        <v>222868</v>
      </c>
    </row>
    <row r="785">
      <c r="A785" s="3" t="n">
        <v>783</v>
      </c>
      <c r="B785" s="3" t="inlineStr">
        <is>
          <t>4.1.2.1.9</t>
        </is>
      </c>
      <c r="C785" s="3" t="inlineStr">
        <is>
          <t>Penanaman 1 Buah Pohon Kecil Bugenvil/Bunga Kertas
(Bougainvillea sp.) Diameter 1-2 cm, Tinggi 2-2,5 Meter, Polibag 20 L</t>
        </is>
      </c>
      <c r="D785" s="3" t="inlineStr">
        <is>
          <t>buah</t>
        </is>
      </c>
      <c r="E785" s="4" t="n">
        <v>228643</v>
      </c>
    </row>
    <row r="786">
      <c r="A786" s="3" t="n">
        <v>784</v>
      </c>
      <c r="B786" s="3" t="inlineStr">
        <is>
          <t>4.1.2.1.10</t>
        </is>
      </c>
      <c r="C786" s="3" t="inlineStr">
        <is>
          <t>Penanaman 1 Buah Pohon Kecil Penda Merah (Xanthostemon
Youngii) Diameter 1-2 cm, Tinggi 2-2,5 Meter, Polibag 20 L</t>
        </is>
      </c>
      <c r="D786" s="3" t="inlineStr">
        <is>
          <t>buah</t>
        </is>
      </c>
      <c r="E786" s="4" t="n">
        <v>234418</v>
      </c>
    </row>
    <row r="787">
      <c r="A787" s="3" t="n">
        <v>785</v>
      </c>
      <c r="B787" s="3" t="inlineStr">
        <is>
          <t>4.1.2.1.11</t>
        </is>
      </c>
      <c r="C787" s="3" t="inlineStr">
        <is>
          <t>Penanaman 1 Buah Pohon Kecil Pucuk Merah (Syzygium
Myrtifolium) Diameter 1-2 cm, Tinggi 2-2,5 Meter, Polibag 20 L</t>
        </is>
      </c>
      <c r="D787" s="3" t="inlineStr">
        <is>
          <t>buah</t>
        </is>
      </c>
      <c r="E787" s="4" t="n">
        <v>419218</v>
      </c>
    </row>
    <row r="788">
      <c r="A788" s="3" t="n">
        <v>786</v>
      </c>
      <c r="B788" s="3" t="inlineStr">
        <is>
          <t>4.1.2.1.12</t>
        </is>
      </c>
      <c r="C788" s="3" t="inlineStr">
        <is>
          <t>Penanaman 1 Buah Pohon Kecil Sikat Botol (Callistemon
Viminalis) Diameter 1-2 cm, Tinggi 2-2,5 Meter, Polibag 20 L</t>
        </is>
      </c>
      <c r="D788" s="3" t="inlineStr">
        <is>
          <t>buah</t>
        </is>
      </c>
      <c r="E788" s="4" t="n">
        <v>188218</v>
      </c>
    </row>
    <row r="789">
      <c r="A789" s="3" t="n">
        <v>787</v>
      </c>
      <c r="B789" s="3" t="inlineStr">
        <is>
          <t>4.1.2.1.13</t>
        </is>
      </c>
      <c r="C789" s="3" t="inlineStr">
        <is>
          <t>Penanaman 1 Buah Pohon Kecil Thevetia (Thevetia Peruviana) Diameter 1-2 cm, Tinggi 2-2,5 Meter, Polibag 20 L</t>
        </is>
      </c>
      <c r="D789" s="3" t="inlineStr">
        <is>
          <t>buah</t>
        </is>
      </c>
      <c r="E789" s="4" t="n">
        <v>211318</v>
      </c>
    </row>
    <row r="790">
      <c r="A790" s="3" t="n">
        <v>788</v>
      </c>
      <c r="B790" s="3" t="inlineStr">
        <is>
          <t>4.1.2.1.14</t>
        </is>
      </c>
      <c r="C790" s="3" t="inlineStr">
        <is>
          <t>Penanaman 1 Buah Pohon Kecil Turi (Sesbania Grandiflora) Diameter 1-2 cm, Tinggi 2-2,5 Meter, Polibag 20 L</t>
        </is>
      </c>
      <c r="D790" s="3" t="inlineStr">
        <is>
          <t>buah</t>
        </is>
      </c>
      <c r="E790" s="4" t="n">
        <v>222868</v>
      </c>
    </row>
    <row r="791">
      <c r="A791" s="3" t="n">
        <v>789</v>
      </c>
      <c r="B791" s="3" t="inlineStr">
        <is>
          <t>4.1.2.1.15</t>
        </is>
      </c>
      <c r="C791" s="3" t="inlineStr">
        <is>
          <t>Penanaman 1 Buah Pohon Kecil Kembang Merak (Caesalpinia
Pulcherrima)Diameter 1-2 cm, Tinggi 2-2,5 Meter, Polibag 20 L</t>
        </is>
      </c>
      <c r="D791" s="3" t="inlineStr">
        <is>
          <t>buah</t>
        </is>
      </c>
      <c r="E791" s="4" t="n">
        <v>257518</v>
      </c>
    </row>
    <row r="792">
      <c r="A792" s="3" t="n">
        <v>790</v>
      </c>
      <c r="B792" s="3" t="inlineStr">
        <is>
          <t>4.1.2.1.16</t>
        </is>
      </c>
      <c r="C792" s="3" t="inlineStr">
        <is>
          <t>Penanaman 1 Buah Pohon Kecil Pandan Bali (Cordyline
Australis) Diameter 1-2 cm, Tinggi 2-2,5 Meter, Polibag 20 L</t>
        </is>
      </c>
      <c r="D792" s="3" t="inlineStr">
        <is>
          <t>buah</t>
        </is>
      </c>
      <c r="E792" s="4" t="n">
        <v>245968</v>
      </c>
    </row>
    <row r="793">
      <c r="A793" s="3" t="n">
        <v>791</v>
      </c>
      <c r="B793" s="3" t="inlineStr">
        <is>
          <t>4.1.2.1.17</t>
        </is>
      </c>
      <c r="C793" s="3" t="inlineStr">
        <is>
          <t>Penanaman 1 Buah Pohon Kecil Yucca (Yucca sp.) Diameter 1-2 cm, Tinggi 2-2,5 Meter, Polibag 20 L</t>
        </is>
      </c>
      <c r="D793" s="3" t="inlineStr">
        <is>
          <t>buah</t>
        </is>
      </c>
      <c r="E793" s="4" t="n">
        <v>234418</v>
      </c>
    </row>
    <row r="794">
      <c r="A794" s="3" t="n">
        <v>792</v>
      </c>
      <c r="B794" s="3" t="inlineStr">
        <is>
          <t>4.1.2.2.1</t>
        </is>
      </c>
      <c r="C794" s="3" t="inlineStr">
        <is>
          <t>Penanaman 1 Buah Pohon Kecil Bugan Mentega (Natrium Oleande) Diameter 2-3 cm, Tinggi 2-2,5 meter, Polybag 25 L</t>
        </is>
      </c>
      <c r="D794" s="3" t="inlineStr">
        <is>
          <t>buah</t>
        </is>
      </c>
      <c r="E794" s="4" t="n">
        <v>192363</v>
      </c>
    </row>
    <row r="795">
      <c r="A795" s="3" t="n">
        <v>793</v>
      </c>
      <c r="B795" s="3" t="inlineStr">
        <is>
          <t>4.1.2.2.2</t>
        </is>
      </c>
      <c r="C795" s="3" t="inlineStr">
        <is>
          <t>Penanaman 1 Buah Pohon Kecil Bunga Terompet Kuning
(Tecoma stans) Diameter 2-3 cm, Tinggi 2-2,5 meter, Polybag 25 L</t>
        </is>
      </c>
      <c r="D795" s="3" t="inlineStr">
        <is>
          <t>buah</t>
        </is>
      </c>
      <c r="E795" s="4" t="n">
        <v>192363</v>
      </c>
    </row>
    <row r="796">
      <c r="A796" s="3" t="n">
        <v>794</v>
      </c>
      <c r="B796" s="3" t="inlineStr">
        <is>
          <t>4.1.2.2.3</t>
        </is>
      </c>
      <c r="C796" s="3" t="inlineStr">
        <is>
          <t>Penanaman 1 Buah Pohon Kecil Bunga Terompet Kuning
(Tecoma stans)Bungur Sakura/Bungur Jepang
(Lagerstroemia indica), Diameter 2-3 cm, Tinggi 2-2,5 meter, Polybag 25 L</t>
        </is>
      </c>
      <c r="D796" s="3" t="inlineStr">
        <is>
          <t>buah</t>
        </is>
      </c>
      <c r="E796" s="4" t="n">
        <v>221238</v>
      </c>
    </row>
    <row r="797">
      <c r="A797" s="3" t="n">
        <v>795</v>
      </c>
      <c r="B797" s="3" t="inlineStr">
        <is>
          <t>4.1.2.2.4</t>
        </is>
      </c>
      <c r="C797" s="3" t="inlineStr">
        <is>
          <t>Penanaman 1 Buah Pohon KecilCassia Glauca (Senna
Surattensis), Diameter 2-3 cm, Tinggi 2-2,5 meter, Polybag 25 L</t>
        </is>
      </c>
      <c r="D797" s="3" t="inlineStr">
        <is>
          <t>buah</t>
        </is>
      </c>
      <c r="E797" s="4" t="n">
        <v>215463</v>
      </c>
    </row>
    <row r="798">
      <c r="A798" s="3" t="n">
        <v>796</v>
      </c>
      <c r="B798" s="3" t="inlineStr">
        <is>
          <t>4.1.2.2.5</t>
        </is>
      </c>
      <c r="C798" s="3" t="inlineStr">
        <is>
          <t>Penanaman 1 Buah Pohon Kecil Dracaena ‘Song of India’
(Dracaena reflexa "song of india"), Diameter 2-3 cm, Tinggi 2-2,5 meter, Polybag 25 L</t>
        </is>
      </c>
      <c r="D798" s="3" t="inlineStr">
        <is>
          <t>buah</t>
        </is>
      </c>
      <c r="E798" s="4" t="n">
        <v>227013</v>
      </c>
    </row>
    <row r="799">
      <c r="A799" s="3" t="n">
        <v>797</v>
      </c>
      <c r="B799" s="3" t="inlineStr">
        <is>
          <t>4.1.2.2.6</t>
        </is>
      </c>
      <c r="C799" s="3" t="inlineStr">
        <is>
          <t>Penanaman 1 Buah Pohon Kecil Dracaena 'Song of Jamaica'
(Dracaena reflexa "song of jamaica"), Diameter 2-3 cm, Tinggi 2-2,5 meter, Polybag 25 L</t>
        </is>
      </c>
      <c r="D799" s="3" t="inlineStr">
        <is>
          <t>buah</t>
        </is>
      </c>
      <c r="E799" s="4" t="n">
        <v>238563</v>
      </c>
    </row>
    <row r="800">
      <c r="A800" s="3" t="n">
        <v>798</v>
      </c>
      <c r="B800" s="3" t="inlineStr">
        <is>
          <t>4.1.2.2.7</t>
        </is>
      </c>
      <c r="C800" s="3" t="inlineStr">
        <is>
          <t>Penanaman 1 Buah Pohon Kecil Jarak Batavia (Jatropha Integerrima), Diameter 2-3 cm, Tinggi 2-2,5 meter, Polybag 25 L</t>
        </is>
      </c>
      <c r="D800" s="3" t="inlineStr">
        <is>
          <t>buah</t>
        </is>
      </c>
      <c r="E800" s="4" t="n">
        <v>238563</v>
      </c>
    </row>
    <row r="801">
      <c r="A801" s="3" t="n">
        <v>799</v>
      </c>
      <c r="B801" s="3" t="inlineStr">
        <is>
          <t>4.1.2.2.8</t>
        </is>
      </c>
      <c r="C801" s="3" t="inlineStr">
        <is>
          <t>Penanaman 1 Buah Pohon Kecil Kayu Putih Kuning (Melaleuca Revolution Gold),  Diameter 2-3 cm, Tinggi 2-2,5 meter, Polybag 25 L</t>
        </is>
      </c>
      <c r="D801" s="3" t="inlineStr">
        <is>
          <t>buah</t>
        </is>
      </c>
      <c r="E801" s="4" t="n">
        <v>238563</v>
      </c>
    </row>
    <row r="802">
      <c r="A802" s="3" t="n">
        <v>800</v>
      </c>
      <c r="B802" s="3" t="inlineStr">
        <is>
          <t>4.1.2.2.9</t>
        </is>
      </c>
      <c r="C802" s="3" t="inlineStr">
        <is>
          <t>Penanaman 1 Buah Pohon Kecil Pucuk Merah (Syzygium Myrtifolium), Diameter 2-3 cm, Tinggi 2-2,5 meter, Polybag 25 L</t>
        </is>
      </c>
      <c r="D802" s="3" t="inlineStr">
        <is>
          <t>buah</t>
        </is>
      </c>
      <c r="E802" s="4" t="n">
        <v>250113</v>
      </c>
    </row>
    <row r="803">
      <c r="A803" s="3" t="n">
        <v>801</v>
      </c>
      <c r="B803" s="3" t="inlineStr">
        <is>
          <t>4.1.2.2.10</t>
        </is>
      </c>
      <c r="C803" s="3" t="inlineStr">
        <is>
          <t>Penanaman 1 Buah Pohon Kecil Sikat Botol (Callistemon
Viminalis),  Diameter 2-3 cm, Tinggi 2-2,5 meter, Polybag 25 L</t>
        </is>
      </c>
      <c r="D803" s="3" t="inlineStr">
        <is>
          <t>buah</t>
        </is>
      </c>
      <c r="E803" s="4" t="n">
        <v>209688</v>
      </c>
    </row>
    <row r="804">
      <c r="A804" s="3" t="n">
        <v>802</v>
      </c>
      <c r="B804" s="3" t="inlineStr">
        <is>
          <t>4.1.2.2.11</t>
        </is>
      </c>
      <c r="C804" s="3" t="inlineStr">
        <is>
          <t>Penanaman 1 Buah Pohon Kecil Kecil Thevetia (Thevetia peruviana),  Diameter 2-3 cm, Tinggi 2-2,5 meter, Polybag 25 L</t>
        </is>
      </c>
      <c r="D804" s="3" t="inlineStr">
        <is>
          <t>buah</t>
        </is>
      </c>
      <c r="E804" s="4" t="n">
        <v>238563</v>
      </c>
    </row>
    <row r="805">
      <c r="A805" s="3" t="n">
        <v>803</v>
      </c>
      <c r="B805" s="3" t="inlineStr">
        <is>
          <t>4.1.2.2.12</t>
        </is>
      </c>
      <c r="C805" s="3" t="inlineStr">
        <is>
          <t>Penanaman 1 Buah Pohon Kecil Turi (Sesbania Grandiflora),  Diameter 2-3 cm, Tinggi 2-2,5 meter, Polybag 25 L</t>
        </is>
      </c>
      <c r="D805" s="3" t="inlineStr">
        <is>
          <t>buah</t>
        </is>
      </c>
      <c r="E805" s="4" t="n">
        <v>238563</v>
      </c>
    </row>
    <row r="806">
      <c r="A806" s="3" t="n">
        <v>804</v>
      </c>
      <c r="B806" s="3" t="inlineStr">
        <is>
          <t>4.1.2.2.13</t>
        </is>
      </c>
      <c r="C806" s="3" t="inlineStr">
        <is>
          <t>Penanaman 1 Buah Pohon Kecil Turi (Sesbania Grandiflora),  Diameter 2-3 cm, Tinggi 2-2,5 meter, Polybag 25 L</t>
        </is>
      </c>
      <c r="D806" s="3" t="inlineStr">
        <is>
          <t>buah</t>
        </is>
      </c>
      <c r="E806" s="4" t="n">
        <v>238563</v>
      </c>
    </row>
    <row r="807">
      <c r="A807" s="3" t="n">
        <v>805</v>
      </c>
      <c r="B807" s="3" t="inlineStr">
        <is>
          <t>4.1.2.3.1</t>
        </is>
      </c>
      <c r="C807" s="3" t="inlineStr">
        <is>
          <t>Penanaman 1 Buah Pohon Sedang Bintaro (Cerbera Manghas), Diameter 3-5 cm, Tinggi 3-4 Meter, Polybag 50 L</t>
        </is>
      </c>
      <c r="D807" s="3" t="inlineStr">
        <is>
          <t>Buah</t>
        </is>
      </c>
      <c r="E807" s="4" t="n">
        <v>300341</v>
      </c>
    </row>
    <row r="808">
      <c r="A808" s="3" t="n">
        <v>806</v>
      </c>
      <c r="B808" s="3" t="inlineStr">
        <is>
          <t>4.1.2.3.2</t>
        </is>
      </c>
      <c r="C808" s="3" t="inlineStr">
        <is>
          <t>Penanaman 1 Buah Pohon Sedang Bunga Kupu-Kupu (Bauhinia
Blakeana/Purpurea),, Diameter 3-5 cm, Tinggi 3-4 Meter, Polybag 50 L</t>
        </is>
      </c>
      <c r="D808" s="3" t="inlineStr">
        <is>
          <t>Buah</t>
        </is>
      </c>
      <c r="E808" s="4" t="n">
        <v>623741</v>
      </c>
    </row>
    <row r="809">
      <c r="A809" s="3" t="n">
        <v>807</v>
      </c>
      <c r="B809" s="3" t="inlineStr">
        <is>
          <t>4.1.2.3.3</t>
        </is>
      </c>
      <c r="C809" s="3" t="inlineStr">
        <is>
          <t>Penanaman 1 Buah Pohon Sedang Bunga Terompet Kuning (Tecoma stans), Diameter 3-5 cm, Tinggi 3-4 Meter, Polybag 50 L</t>
        </is>
      </c>
      <c r="D809" s="3" t="inlineStr">
        <is>
          <t>Buah</t>
        </is>
      </c>
      <c r="E809" s="4" t="n">
        <v>277241</v>
      </c>
    </row>
    <row r="810">
      <c r="A810" s="3" t="n">
        <v>808</v>
      </c>
      <c r="B810" s="3" t="inlineStr">
        <is>
          <t>4.1.2.3.4</t>
        </is>
      </c>
      <c r="C810" s="3" t="inlineStr">
        <is>
          <t>Penanaman 1 Buah Pohon Sedang Bunga Flamboyan (Delonix Regia), Diameter 3-5 cm, Tinggi 3-4 Meter, Polybag 50 L</t>
        </is>
      </c>
      <c r="D810" s="3" t="inlineStr">
        <is>
          <t>Buah</t>
        </is>
      </c>
      <c r="E810" s="4" t="n">
        <v>288791</v>
      </c>
    </row>
    <row r="811">
      <c r="A811" s="3" t="n">
        <v>809</v>
      </c>
      <c r="B811" s="3" t="inlineStr">
        <is>
          <t>4.1.2.3.5</t>
        </is>
      </c>
      <c r="C811" s="3" t="inlineStr">
        <is>
          <t>Penanaman 1 Buah Pohon Sedang Flamboyan Kuning (Peltophorum Pterocarpum), Diameter 3-5 cm, Tinggi 3-4 Meter, Polybag 50 L</t>
        </is>
      </c>
      <c r="D811" s="3" t="inlineStr">
        <is>
          <t>Buah</t>
        </is>
      </c>
      <c r="E811" s="4" t="n">
        <v>288791</v>
      </c>
    </row>
    <row r="812">
      <c r="A812" s="3" t="n">
        <v>810</v>
      </c>
      <c r="B812" s="3" t="inlineStr">
        <is>
          <t>4.1.2.3.6</t>
        </is>
      </c>
      <c r="C812" s="3" t="inlineStr">
        <is>
          <t>Penanaman 1 Buah Pohon Sedang Janda Merana (Salix Babilonica), Diameter 3-5 cm, Tinggi 3-4 Meter, Polybag 50 L</t>
        </is>
      </c>
      <c r="D812" s="3" t="inlineStr">
        <is>
          <t>Buah</t>
        </is>
      </c>
      <c r="E812" s="4" t="n">
        <v>300341</v>
      </c>
    </row>
    <row r="813">
      <c r="A813" s="3" t="n">
        <v>811</v>
      </c>
      <c r="B813" s="3" t="inlineStr">
        <is>
          <t>4.1.2.3.7</t>
        </is>
      </c>
      <c r="C813" s="3" t="inlineStr">
        <is>
          <t>Penanaman 1 Buah Pohon Sedang Ketapang kencana (Terminalia mantaly), Diameter 3-5 cm, Tinggi 3-4 Meter, Polybag 50 L</t>
        </is>
      </c>
      <c r="D813" s="3" t="inlineStr">
        <is>
          <t>Buah</t>
        </is>
      </c>
      <c r="E813" s="4" t="n">
        <v>306116</v>
      </c>
    </row>
    <row r="814">
      <c r="A814" s="3" t="n">
        <v>812</v>
      </c>
      <c r="B814" s="3" t="inlineStr">
        <is>
          <t>4.1.2.3.8</t>
        </is>
      </c>
      <c r="C814" s="3" t="inlineStr">
        <is>
          <t>Penanaman 1 Buah Pohon Sedang Sosis (Kigelia Africana), Diameter 3-5 cm, Tinggi 3-4 Meter, Polybag 50 L</t>
        </is>
      </c>
      <c r="D814" s="3" t="inlineStr">
        <is>
          <t>Buah</t>
        </is>
      </c>
      <c r="E814" s="4" t="n">
        <v>306116</v>
      </c>
    </row>
    <row r="815">
      <c r="A815" s="3" t="n">
        <v>813</v>
      </c>
      <c r="B815" s="3" t="inlineStr">
        <is>
          <t>4.1.2.3.9</t>
        </is>
      </c>
      <c r="C815" s="3" t="inlineStr">
        <is>
          <t>Penanaman 1 Buah Pohon Sedang Tabebuya (Tabebuia sp.) Diameter 3-5 cm, Tinggi 3-4 Meter, Polybag 50 L</t>
        </is>
      </c>
      <c r="D815" s="3" t="inlineStr">
        <is>
          <t>Buah</t>
        </is>
      </c>
      <c r="E815" s="4" t="n">
        <v>306116</v>
      </c>
    </row>
    <row r="816">
      <c r="A816" s="3" t="n">
        <v>814</v>
      </c>
      <c r="B816" s="3" t="inlineStr">
        <is>
          <t>4.1.2.3.10</t>
        </is>
      </c>
      <c r="C816" s="3" t="inlineStr">
        <is>
          <t>Penanaman 1 Buah Pohon Sedang Waru (Hibiscus Tiliaceus), Diameter 3-5 cm, Tinggi 3-4 Meter, Polybag 50 L</t>
        </is>
      </c>
      <c r="D816" s="3" t="inlineStr">
        <is>
          <t>Buah</t>
        </is>
      </c>
      <c r="E816" s="4" t="n">
        <v>306116</v>
      </c>
    </row>
    <row r="817">
      <c r="A817" s="3" t="n">
        <v>815</v>
      </c>
      <c r="B817" s="3" t="inlineStr">
        <is>
          <t>4.1.2.3.11</t>
        </is>
      </c>
      <c r="C817" s="3" t="inlineStr">
        <is>
          <t>Penanaman 1 Buah Pohon Sedang Pakis Brazil (Schizolobium Parahyba), Diameter 3-5 cm, Tinggi 3-4 meter, Polybag 50 L</t>
        </is>
      </c>
      <c r="D817" s="3" t="inlineStr">
        <is>
          <t>Buah</t>
        </is>
      </c>
      <c r="E817" s="4" t="n">
        <v>392741</v>
      </c>
    </row>
    <row r="818">
      <c r="A818" s="3" t="n">
        <v>816</v>
      </c>
      <c r="B818" s="3" t="inlineStr">
        <is>
          <t>4.1.2.3.12</t>
        </is>
      </c>
      <c r="C818" s="3" t="inlineStr">
        <is>
          <t>Penanaman 1 Buah Pohon Sedang Leda (Eucalyptus Deglupta), Diameter 3-5 cm, Tinggi 3-4 meter, Polybag 50 L</t>
        </is>
      </c>
      <c r="D818" s="3" t="inlineStr">
        <is>
          <t>Buah</t>
        </is>
      </c>
      <c r="E818" s="4" t="n">
        <v>450491</v>
      </c>
    </row>
    <row r="819">
      <c r="A819" s="3" t="n">
        <v>817</v>
      </c>
      <c r="B819" s="3" t="inlineStr">
        <is>
          <t>4.1.2.3.13</t>
        </is>
      </c>
      <c r="C819" s="3" t="inlineStr">
        <is>
          <t>Penanaman 1 Buah Pohon Sedang Saga (Adenanthera Pavonina), Diameter 3-5 cm, Tinggi 3-4 meter, Polybag 50 L</t>
        </is>
      </c>
      <c r="D819" s="3" t="inlineStr">
        <is>
          <t>Buah</t>
        </is>
      </c>
      <c r="E819" s="4" t="n">
        <v>508241</v>
      </c>
    </row>
    <row r="820">
      <c r="A820" s="3" t="n">
        <v>818</v>
      </c>
      <c r="B820" s="3" t="inlineStr">
        <is>
          <t>4.1.2.3.14</t>
        </is>
      </c>
      <c r="C820" s="3" t="inlineStr">
        <is>
          <t>Penanaman 1 Buah Pohon Sedang Kiara Payung (Filicium Decipiens), Diameter 3-5 cm, Tinggi 3-4 meter, Polybag 50 L</t>
        </is>
      </c>
      <c r="D820" s="3" t="inlineStr">
        <is>
          <t>Buah</t>
        </is>
      </c>
      <c r="E820" s="4" t="n">
        <v>565991</v>
      </c>
    </row>
    <row r="821">
      <c r="A821" s="3" t="n">
        <v>819</v>
      </c>
      <c r="B821" s="3" t="inlineStr">
        <is>
          <t>4.1.2.4.1</t>
        </is>
      </c>
      <c r="C821" s="3" t="inlineStr">
        <is>
          <t>Penanaman 1 Buah Poho Sedang Bitaro (Cerbera Manghas), Diameter 5-7 cm, Tinggi 3-4 Meter Polybag 75 L</t>
        </is>
      </c>
      <c r="D821" s="3" t="inlineStr">
        <is>
          <t>Buah</t>
        </is>
      </c>
      <c r="E821" s="4" t="n">
        <v>467836</v>
      </c>
    </row>
    <row r="822">
      <c r="A822" s="3" t="n">
        <v>820</v>
      </c>
      <c r="B822" s="3" t="inlineStr">
        <is>
          <t>4.1.2.4.2</t>
        </is>
      </c>
      <c r="C822" s="3" t="inlineStr">
        <is>
          <t>Penanaman 1 Buah Poho Sedang Biola Cantik (Ficus Lyrata), Diameter 5-7 cm, Tinggi 3-4 Meter Polybag 75 L</t>
        </is>
      </c>
      <c r="D822" s="3" t="inlineStr">
        <is>
          <t>Buah</t>
        </is>
      </c>
      <c r="E822" s="4" t="n">
        <v>467836</v>
      </c>
    </row>
    <row r="823">
      <c r="A823" s="3" t="n">
        <v>821</v>
      </c>
      <c r="B823" s="3" t="inlineStr">
        <is>
          <t>4.1.2.4.3</t>
        </is>
      </c>
      <c r="C823" s="3" t="inlineStr">
        <is>
          <t>Penanaman 1 Buah Poho Sedang Bunga Kupu-Kupu (Bauhinia Blakeana/Purpurea), Diameter 5-7 cm, Tinggi 3-4 Meter Polybag 75 L</t>
        </is>
      </c>
      <c r="D823" s="3" t="inlineStr">
        <is>
          <t>Buah</t>
        </is>
      </c>
      <c r="E823" s="4" t="n">
        <v>675736</v>
      </c>
    </row>
    <row r="824">
      <c r="A824" s="3" t="n">
        <v>822</v>
      </c>
      <c r="B824" s="3" t="inlineStr">
        <is>
          <t>4.1.2.4.4</t>
        </is>
      </c>
      <c r="C824" s="3" t="inlineStr">
        <is>
          <t>Penanaman 1 Buah Poho Sedang Bungur (Lagerstroemia Speciosa),  Diameter 5-7 cm, Tinggi 3-4 Meter Polybag 75 L</t>
        </is>
      </c>
      <c r="D824" s="3" t="inlineStr">
        <is>
          <t>Buah</t>
        </is>
      </c>
      <c r="E824" s="4" t="n">
        <v>467836</v>
      </c>
    </row>
    <row r="825">
      <c r="A825" s="3" t="n">
        <v>823</v>
      </c>
      <c r="B825" s="3" t="inlineStr">
        <is>
          <t>4.1.2.4.5</t>
        </is>
      </c>
      <c r="C825" s="3" t="inlineStr">
        <is>
          <t>Penanaman 1 Buah Poho Sedang Flamboyan (Delonix Regia),  Diameter 5-7 cm, Tinggi 3-4 Meter Polybag 75 L</t>
        </is>
      </c>
      <c r="D825" s="3" t="inlineStr">
        <is>
          <t>Buah</t>
        </is>
      </c>
      <c r="E825" s="4" t="n">
        <v>467836</v>
      </c>
    </row>
    <row r="826">
      <c r="A826" s="3" t="n">
        <v>824</v>
      </c>
      <c r="B826" s="3" t="inlineStr">
        <is>
          <t>4.1.2.4.6</t>
        </is>
      </c>
      <c r="C826" s="3" t="inlineStr">
        <is>
          <t>Penanaman 1 Buah Poho Sedang Flamboyan Kuning (Peltophorum Pterocarpum),  Diameter 5-7 cm, Tinggi 3-4 Meter Polybag 75 L</t>
        </is>
      </c>
      <c r="D826" s="3" t="inlineStr">
        <is>
          <t>Buah</t>
        </is>
      </c>
      <c r="E826" s="4" t="n">
        <v>467836</v>
      </c>
    </row>
    <row r="827">
      <c r="A827" s="3" t="n">
        <v>825</v>
      </c>
      <c r="B827" s="3" t="inlineStr">
        <is>
          <t>4.1.2.4.7</t>
        </is>
      </c>
      <c r="C827" s="3" t="inlineStr">
        <is>
          <t>Penanaman 1 Buah Poho SedangJanda Merana (Salix Babilonica), Diameter 5-7 cm, Tinggi 3-4 Meter Polybag 75 L</t>
        </is>
      </c>
      <c r="D827" s="3" t="inlineStr">
        <is>
          <t>Buah</t>
        </is>
      </c>
      <c r="E827" s="4" t="n">
        <v>467836</v>
      </c>
    </row>
    <row r="828">
      <c r="A828" s="3" t="n">
        <v>826</v>
      </c>
      <c r="B828" s="3" t="inlineStr">
        <is>
          <t>4.1.2.4.8</t>
        </is>
      </c>
      <c r="C828" s="3" t="inlineStr">
        <is>
          <t>Penanaman 1 Buah Poho Sedang Kamboja (Plumeria Sp.), Diameter 5-7 cm, Tinggi 3-4 Meter Polybag 75 L</t>
        </is>
      </c>
      <c r="D828" s="3" t="inlineStr">
        <is>
          <t>Buah</t>
        </is>
      </c>
      <c r="E828" s="4" t="n">
        <v>467836</v>
      </c>
    </row>
    <row r="829">
      <c r="A829" s="3" t="n">
        <v>827</v>
      </c>
      <c r="B829" s="3" t="inlineStr">
        <is>
          <t>4.1.2.4.9</t>
        </is>
      </c>
      <c r="C829" s="3" t="inlineStr">
        <is>
          <t>Penanaman 1 Buah Poho Sedang Keben (Barringtonia Asiatica), Diameter 5-7 cm, Tinggi 3-4 Meter Polybag 75 L</t>
        </is>
      </c>
      <c r="D829" s="3" t="inlineStr">
        <is>
          <t>Buah</t>
        </is>
      </c>
      <c r="E829" s="4" t="n">
        <v>467836</v>
      </c>
    </row>
    <row r="830">
      <c r="A830" s="3" t="n">
        <v>828</v>
      </c>
      <c r="B830" s="3" t="inlineStr">
        <is>
          <t>4.1.2.4.10</t>
        </is>
      </c>
      <c r="C830" s="3" t="inlineStr">
        <is>
          <t>Penanaman 1 Buah Poho Sedang Kecrutan (Spathodea
Campanulata), Diameter 5-7 cm, Tinggi 3-4 Meter Polybag 75 L</t>
        </is>
      </c>
      <c r="D830" s="3" t="inlineStr">
        <is>
          <t>Buah</t>
        </is>
      </c>
      <c r="E830" s="4" t="n">
        <v>467836</v>
      </c>
    </row>
    <row r="831">
      <c r="A831" s="3" t="n">
        <v>829</v>
      </c>
      <c r="B831" s="3" t="inlineStr">
        <is>
          <t>4.1.2.4.11</t>
        </is>
      </c>
      <c r="C831" s="3" t="inlineStr">
        <is>
          <t>Penanaman 1 Buah Poho Sedang Ketapang Kencana (Terminalia Mantaly), Diameter 5-7 cm, Tinggi 3-4 Meter Polybag 75 L</t>
        </is>
      </c>
      <c r="D831" s="3" t="inlineStr">
        <is>
          <t>Buah</t>
        </is>
      </c>
      <c r="E831" s="4" t="n">
        <v>467836</v>
      </c>
    </row>
    <row r="832">
      <c r="A832" s="3" t="n">
        <v>830</v>
      </c>
      <c r="B832" s="3" t="inlineStr">
        <is>
          <t>4.1.2.4.12</t>
        </is>
      </c>
      <c r="C832" s="3" t="inlineStr">
        <is>
          <t>Penanaman 1 Buah Poho Sedang Mahoni (Swietenia
Mahagoni), Diameter 5-7 cm, Tinggi 3-4 Meter Polybag 75 L</t>
        </is>
      </c>
      <c r="D832" s="3" t="inlineStr">
        <is>
          <t>Buah</t>
        </is>
      </c>
      <c r="E832" s="4" t="n">
        <v>236836</v>
      </c>
    </row>
    <row r="833">
      <c r="A833" s="3" t="n">
        <v>831</v>
      </c>
      <c r="B833" s="3" t="inlineStr">
        <is>
          <t>4.1.2.4.13</t>
        </is>
      </c>
      <c r="C833" s="3" t="inlineStr">
        <is>
          <t>Penanaman 1 Buah Poho Sedang Pulai (Alstonia Scholaris),, Diameter 5-7 cm, Tinggi 3-4 Meter Polybag 75 L</t>
        </is>
      </c>
      <c r="D833" s="3" t="inlineStr">
        <is>
          <t>Buah</t>
        </is>
      </c>
      <c r="E833" s="4" t="n">
        <v>236836</v>
      </c>
    </row>
    <row r="834">
      <c r="A834" s="3" t="n">
        <v>832</v>
      </c>
      <c r="B834" s="3" t="inlineStr">
        <is>
          <t>4.1.2.4.14</t>
        </is>
      </c>
      <c r="C834" s="3" t="inlineStr">
        <is>
          <t>Penanaman 1 Buah Poho Sedang Putat (Planchonia Valida), Diameter 5-7 cm, Tinggi 3-4 Meter Polybag 75 L</t>
        </is>
      </c>
      <c r="D834" s="3" t="inlineStr">
        <is>
          <t>Buah</t>
        </is>
      </c>
      <c r="E834" s="4" t="n">
        <v>236836</v>
      </c>
    </row>
    <row r="835">
      <c r="A835" s="3" t="n">
        <v>833</v>
      </c>
      <c r="B835" s="3" t="inlineStr">
        <is>
          <t>4.1.2.4.15</t>
        </is>
      </c>
      <c r="C835" s="3" t="inlineStr">
        <is>
          <t>Penanaman 1 Buah Poho Sedang Sosis (Kigelia Africana), Diameter 5-7 cm, Tinggi 3-4 Meter Polybag 75 L</t>
        </is>
      </c>
      <c r="D835" s="3" t="inlineStr">
        <is>
          <t>Buah</t>
        </is>
      </c>
      <c r="E835" s="4" t="n">
        <v>236836</v>
      </c>
    </row>
    <row r="836">
      <c r="A836" s="3" t="n">
        <v>834</v>
      </c>
      <c r="B836" s="3" t="inlineStr">
        <is>
          <t>4.1.2.4.16</t>
        </is>
      </c>
      <c r="C836" s="3" t="inlineStr">
        <is>
          <t>Penanaman 1 Buah Poho Sedang Tabebuya (Tabebuia Sp.), Diameter 5-7 cm, Tinggi 3-4 Meter Polybag 75 L</t>
        </is>
      </c>
      <c r="D836" s="3" t="inlineStr">
        <is>
          <t>Buah</t>
        </is>
      </c>
      <c r="E836" s="4" t="n">
        <v>236836</v>
      </c>
    </row>
    <row r="837">
      <c r="A837" s="3" t="n">
        <v>835</v>
      </c>
      <c r="B837" s="3" t="inlineStr">
        <is>
          <t>4.1.2.4.17</t>
        </is>
      </c>
      <c r="C837" s="3" t="inlineStr">
        <is>
          <t>Penanaman 1 Buah Poho Sedang Trembesi (Samanea Saman), Diameter 5-7 cm, Tinggi 3-4 Meter Polybag 75 L</t>
        </is>
      </c>
      <c r="D837" s="3" t="inlineStr">
        <is>
          <t>Buah</t>
        </is>
      </c>
      <c r="E837" s="4" t="n">
        <v>236836</v>
      </c>
    </row>
    <row r="838">
      <c r="A838" s="3" t="n">
        <v>836</v>
      </c>
      <c r="B838" s="3" t="inlineStr">
        <is>
          <t>4.1.2.4.18</t>
        </is>
      </c>
      <c r="C838" s="3" t="inlineStr">
        <is>
          <t>Penanaman 1 Buah Poho Sedang Waru (Hibiscus Tiliaceus), Diameter 5-7 cm, Tinggi 3-4 Meter Polybag 75 L</t>
        </is>
      </c>
      <c r="D838" s="3" t="inlineStr">
        <is>
          <t>Buah</t>
        </is>
      </c>
      <c r="E838" s="4" t="n">
        <v>352336</v>
      </c>
    </row>
    <row r="839">
      <c r="A839" s="3" t="n">
        <v>837</v>
      </c>
      <c r="B839" s="3" t="inlineStr">
        <is>
          <t>4.1.2.4.19</t>
        </is>
      </c>
      <c r="C839" s="3" t="inlineStr">
        <is>
          <t>Penanaman 1 Buah Pohon Sedang Pakis Brazil (Schizolobium Parahyba), Diameter 5-7 cm, Tinggi 3-4 meter, Polybag 75 L</t>
        </is>
      </c>
      <c r="D839" s="3" t="inlineStr">
        <is>
          <t>Buah</t>
        </is>
      </c>
      <c r="E839" s="4" t="n">
        <v>496711</v>
      </c>
    </row>
    <row r="840">
      <c r="A840" s="3" t="n">
        <v>838</v>
      </c>
      <c r="B840" s="3" t="inlineStr">
        <is>
          <t>4.1.2.4.20</t>
        </is>
      </c>
      <c r="C840" s="3" t="inlineStr">
        <is>
          <t>Penanaman 1 Buah Pohon Sedang Leda (Eucalyptus Deglupta), Diameter 5-7 cm, Tinggi 3-4 meter, Polybag 75 L</t>
        </is>
      </c>
      <c r="D840" s="3" t="inlineStr">
        <is>
          <t>Buah</t>
        </is>
      </c>
      <c r="E840" s="4" t="n">
        <v>554461</v>
      </c>
    </row>
    <row r="841">
      <c r="A841" s="3" t="n">
        <v>839</v>
      </c>
      <c r="B841" s="3" t="inlineStr">
        <is>
          <t>4.1.2.4.21</t>
        </is>
      </c>
      <c r="C841" s="3" t="inlineStr">
        <is>
          <t>Penanaman 1 Buah Pohon Sedang Saga (Adenanthera Pavonina), Diameter 5-7 cm, Tinggi 3-4 meter, Polybag 75 L</t>
        </is>
      </c>
      <c r="D841" s="3" t="inlineStr">
        <is>
          <t>Buah</t>
        </is>
      </c>
      <c r="E841" s="4" t="n">
        <v>612211</v>
      </c>
    </row>
    <row r="842">
      <c r="A842" s="3" t="n">
        <v>840</v>
      </c>
      <c r="B842" s="3" t="inlineStr">
        <is>
          <t>4.1.2.4.22</t>
        </is>
      </c>
      <c r="C842" s="3" t="inlineStr">
        <is>
          <t>Penanaman 1 Buah Pohon Sedang Kiara Payung (Filicium Decipiens), Diameter 5-7 cm, Tinggi 3-4 meter, Polybag 75 L</t>
        </is>
      </c>
      <c r="D842" s="3" t="inlineStr">
        <is>
          <t>Buah</t>
        </is>
      </c>
      <c r="E842" s="4" t="n">
        <v>669961</v>
      </c>
    </row>
    <row r="843">
      <c r="A843" s="3" t="n">
        <v>841</v>
      </c>
      <c r="B843" s="3" t="inlineStr">
        <is>
          <t>4.1.2.5.1</t>
        </is>
      </c>
      <c r="C843" s="3" t="inlineStr">
        <is>
          <t>Penanaman 1 Buah Pohon Besar Pohon Beringi (Ficus Benjamine), Diameter 7-15 cm, Tinggi diatas 5 meter, Polybag 100 L</t>
        </is>
      </c>
      <c r="D843" s="3" t="inlineStr">
        <is>
          <t>Buah</t>
        </is>
      </c>
      <c r="E843" s="4" t="n">
        <v>575556</v>
      </c>
    </row>
    <row r="844">
      <c r="A844" s="3" t="n">
        <v>842</v>
      </c>
      <c r="B844" s="3" t="inlineStr">
        <is>
          <t>4.1.2.5.2</t>
        </is>
      </c>
      <c r="C844" s="3" t="inlineStr">
        <is>
          <t>Penanaman 1 Buah Pohon Besar Biola Cantik (Ficus Lyrata), Diameter 7-15 cm, Tinggi diatas 5 meter, Polybag 100 L</t>
        </is>
      </c>
      <c r="D844" s="3" t="inlineStr">
        <is>
          <t>Buah</t>
        </is>
      </c>
      <c r="E844" s="4" t="n">
        <v>719931</v>
      </c>
    </row>
    <row r="845">
      <c r="A845" s="3" t="n">
        <v>843</v>
      </c>
      <c r="B845" s="3" t="inlineStr">
        <is>
          <t>4.1.2.5.3</t>
        </is>
      </c>
      <c r="C845" s="3" t="inlineStr">
        <is>
          <t>Penanaman 1 Buah Pohon Besar Bodhi (Ficus Religiosa), Diameter 7-15 cm, Tinggi diatas 5 meter, Polybag 100 L</t>
        </is>
      </c>
      <c r="D845" s="3" t="inlineStr">
        <is>
          <t>Buah</t>
        </is>
      </c>
      <c r="E845" s="4" t="n">
        <v>604431</v>
      </c>
    </row>
    <row r="846">
      <c r="A846" s="3" t="n">
        <v>844</v>
      </c>
      <c r="B846" s="3" t="inlineStr">
        <is>
          <t>4.1.2.5.4</t>
        </is>
      </c>
      <c r="C846" s="3" t="inlineStr">
        <is>
          <t>Penanaman 1 Buah Pohon Besar Bungur (Lagerstroemis Speciosa), Diameter 7-15 cm, Tinggi diatas 5 meter, Polybag 100 L</t>
        </is>
      </c>
      <c r="D846" s="3" t="inlineStr">
        <is>
          <t>Buah</t>
        </is>
      </c>
      <c r="E846" s="4" t="n">
        <v>719931</v>
      </c>
    </row>
    <row r="847">
      <c r="A847" s="3" t="n">
        <v>845</v>
      </c>
      <c r="B847" s="3" t="inlineStr">
        <is>
          <t>4.1.2.5.5</t>
        </is>
      </c>
      <c r="C847" s="3" t="inlineStr">
        <is>
          <t>Penanaman 1 Buah Pohon Besar Flamboyan (Delonix Regia), Diameter 7-15 cm, Tinggi diatas 5 meter, Polybag 100 L</t>
        </is>
      </c>
      <c r="D847" s="3" t="inlineStr">
        <is>
          <t>Buah</t>
        </is>
      </c>
      <c r="E847" s="4" t="n">
        <v>719931</v>
      </c>
    </row>
    <row r="848">
      <c r="A848" s="3" t="n">
        <v>846</v>
      </c>
      <c r="B848" s="3" t="inlineStr">
        <is>
          <t>4.1.2.5.6</t>
        </is>
      </c>
      <c r="C848" s="3" t="inlineStr">
        <is>
          <t>Penanaman 1 Buah Pohon Besar Kamboja (Plumeria Sp.), Diameter 7-15 cm, Tinggi diatas 5 meter, Polybag 100 L</t>
        </is>
      </c>
      <c r="D848" s="3" t="inlineStr">
        <is>
          <t>Buah</t>
        </is>
      </c>
      <c r="E848" s="4" t="n">
        <v>719931</v>
      </c>
    </row>
    <row r="849">
      <c r="A849" s="3" t="n">
        <v>847</v>
      </c>
      <c r="B849" s="3" t="inlineStr">
        <is>
          <t>4.1.2.5.7</t>
        </is>
      </c>
      <c r="C849" s="3" t="inlineStr">
        <is>
          <t>Penanaman 1 Buah Pohon Besar Keben (Barringtonia Asiatica), Diameter 7-15 cm, Tinggi diatas 5 meter, Polybag 100 L</t>
        </is>
      </c>
      <c r="D849" s="3" t="inlineStr">
        <is>
          <t>Buah</t>
        </is>
      </c>
      <c r="E849" s="4" t="n">
        <v>691056</v>
      </c>
    </row>
    <row r="850">
      <c r="A850" s="3" t="n">
        <v>848</v>
      </c>
      <c r="B850" s="3" t="inlineStr">
        <is>
          <t>4.1.2.5.8</t>
        </is>
      </c>
      <c r="C850" s="3" t="inlineStr">
        <is>
          <t>Penanaman 1 Buah Pohon Besar Kecrutan (Spathodea Campanulata), Diameter 7-15 cm, Tinggi diatas 5 meter, Polybag 100 L</t>
        </is>
      </c>
      <c r="D850" s="3" t="inlineStr">
        <is>
          <t>Buah</t>
        </is>
      </c>
      <c r="E850" s="4" t="n">
        <v>719931</v>
      </c>
    </row>
    <row r="851">
      <c r="A851" s="3" t="n">
        <v>849</v>
      </c>
      <c r="B851" s="3" t="inlineStr">
        <is>
          <t>4.1.2.5.9</t>
        </is>
      </c>
      <c r="C851" s="3" t="inlineStr">
        <is>
          <t>Penanaman 1 Buah Pohon Besar Ketapang Kencana (Terminalia Mantaly), Diameter 7-15 cm, Tinggi diatas 5 meter, Polybag 100 L</t>
        </is>
      </c>
      <c r="D851" s="3" t="inlineStr">
        <is>
          <t>Buah</t>
        </is>
      </c>
      <c r="E851" s="4" t="n">
        <v>719931</v>
      </c>
    </row>
    <row r="852">
      <c r="A852" s="3" t="n">
        <v>850</v>
      </c>
      <c r="B852" s="3" t="inlineStr">
        <is>
          <t>4.1.2.5.10</t>
        </is>
      </c>
      <c r="C852" s="3" t="inlineStr">
        <is>
          <t>Penanaman 1 Buah Pohon Besar Mahoni (Swietenia Mahagoni), Diameter 7-15 cm, Tinggi diatas 5 meter, Polybag 100 L</t>
        </is>
      </c>
      <c r="D852" s="3" t="inlineStr">
        <is>
          <t>Buah</t>
        </is>
      </c>
      <c r="E852" s="4" t="n">
        <v>748806</v>
      </c>
    </row>
    <row r="853">
      <c r="A853" s="3" t="n">
        <v>851</v>
      </c>
      <c r="B853" s="3" t="inlineStr">
        <is>
          <t>4.1.2.5.11</t>
        </is>
      </c>
      <c r="C853" s="3" t="inlineStr">
        <is>
          <t>Penanaman 1 Buah Pohon Besar Pulai (Alstonia Scholaris), Diameter 7-15 cm, Tinggi diatas 5 meter, Polybag 100 L</t>
        </is>
      </c>
      <c r="D853" s="3" t="inlineStr">
        <is>
          <t>Buah</t>
        </is>
      </c>
      <c r="E853" s="4" t="n">
        <v>604431</v>
      </c>
    </row>
    <row r="854">
      <c r="A854" s="3" t="n">
        <v>852</v>
      </c>
      <c r="B854" s="3" t="inlineStr">
        <is>
          <t>4.1.2.5.12</t>
        </is>
      </c>
      <c r="C854" s="3" t="inlineStr">
        <is>
          <t>Penanaman 1 Buah Pohon Besar Putat (Planchonia Valida), Diameter 7-15 cm, Tinggi diatas 5 meter, Polybag 100 L</t>
        </is>
      </c>
      <c r="D854" s="3" t="inlineStr">
        <is>
          <t>Buah</t>
        </is>
      </c>
      <c r="E854" s="4" t="n">
        <v>604431</v>
      </c>
    </row>
    <row r="855">
      <c r="A855" s="3" t="n">
        <v>853</v>
      </c>
      <c r="B855" s="3" t="inlineStr">
        <is>
          <t>4.1.2.5.13</t>
        </is>
      </c>
      <c r="C855" s="3" t="inlineStr">
        <is>
          <t>Penanaman 1 Buah Pohon Besar Sosis (Kigelia Africana), Diameter 7-15 cm, Tinggi diatas 5 meter, Polybag 100 L</t>
        </is>
      </c>
      <c r="D855" s="3" t="inlineStr">
        <is>
          <t>Buah</t>
        </is>
      </c>
      <c r="E855" s="4" t="n">
        <v>604431</v>
      </c>
    </row>
    <row r="856">
      <c r="A856" s="3" t="n">
        <v>854</v>
      </c>
      <c r="B856" s="3" t="inlineStr">
        <is>
          <t>4.1.2.5.14</t>
        </is>
      </c>
      <c r="C856" s="3" t="inlineStr">
        <is>
          <t>Penanaman 1 Buah Pohon Besar Trembesi (Samanea Saman), Diameter 7-15 cm, Tinggi diatas 5 meter, Polybag 100 L</t>
        </is>
      </c>
      <c r="D856" s="3" t="inlineStr">
        <is>
          <t>Buah</t>
        </is>
      </c>
      <c r="E856" s="4" t="n">
        <v>604431</v>
      </c>
    </row>
    <row r="857">
      <c r="A857" s="3" t="n">
        <v>855</v>
      </c>
      <c r="B857" s="3" t="inlineStr">
        <is>
          <t>4.1.2.6.1</t>
        </is>
      </c>
      <c r="C857" s="3" t="inlineStr">
        <is>
          <t>Penanaman 1 Buah Pohon Besar Bodhi (Ficus Religiosa), Diameter 15-20 cm, Tinggi diatas 5 meter, Polybag 150 L</t>
        </is>
      </c>
      <c r="D857" s="3" t="inlineStr">
        <is>
          <t>Buah</t>
        </is>
      </c>
      <c r="E857" s="4" t="n">
        <v>851580</v>
      </c>
    </row>
    <row r="858">
      <c r="A858" s="3" t="n">
        <v>856</v>
      </c>
      <c r="B858" s="3" t="inlineStr">
        <is>
          <t>4.1.2.6.2</t>
        </is>
      </c>
      <c r="C858" s="3" t="inlineStr">
        <is>
          <t>Penanaman 1 Buah Pohon Besar Beringin (Ficus Benjamina), Diameter 15-20 cm, Tinggi diatas 5 meter, Polybag 150 L</t>
        </is>
      </c>
      <c r="D858" s="3" t="inlineStr">
        <is>
          <t>buah</t>
        </is>
      </c>
      <c r="E858" s="4" t="n">
        <v>822705</v>
      </c>
    </row>
    <row r="859">
      <c r="A859" s="3" t="n">
        <v>857</v>
      </c>
      <c r="B859" s="3" t="inlineStr">
        <is>
          <t>4.1.2.6.3</t>
        </is>
      </c>
      <c r="C859" s="3" t="inlineStr">
        <is>
          <t>Penanaman 1 Buah Pohon Besar Bodhi (Ficus Religiosa), Diameter 15-20 cm, Tinggi diatas 5 meter, Polybag 150 L</t>
        </is>
      </c>
      <c r="D859" s="3" t="inlineStr">
        <is>
          <t>Buah</t>
        </is>
      </c>
      <c r="E859" s="4" t="n">
        <v>851580</v>
      </c>
    </row>
    <row r="860">
      <c r="A860" s="3" t="n">
        <v>858</v>
      </c>
      <c r="B860" s="3" t="inlineStr">
        <is>
          <t>4.1.2.6.4</t>
        </is>
      </c>
      <c r="C860" s="3" t="inlineStr">
        <is>
          <t>Penanaman 1 Buah Pohon Besar Flamboyan (Delonix Regia), Diameter 15-20 cm, Tinggi diatas 5 meter, Polybag 150 L</t>
        </is>
      </c>
      <c r="D860" s="3" t="inlineStr">
        <is>
          <t>buah</t>
        </is>
      </c>
      <c r="E860" s="4" t="n">
        <v>967080</v>
      </c>
    </row>
    <row r="861">
      <c r="A861" s="3" t="n">
        <v>859</v>
      </c>
      <c r="B861" s="3" t="inlineStr">
        <is>
          <t>4.1.2.6.5</t>
        </is>
      </c>
      <c r="C861" s="3" t="inlineStr">
        <is>
          <t>Penanaman 1 Buah Pohon Besar Kamboja (Plumeria Sp.), Diameter 15-20 cm, Tinggi diatas 5 meter, Polybag 150 L</t>
        </is>
      </c>
      <c r="D861" s="3" t="inlineStr">
        <is>
          <t>Buah</t>
        </is>
      </c>
      <c r="E861" s="4" t="n">
        <v>967080</v>
      </c>
    </row>
    <row r="862">
      <c r="A862" s="3" t="n">
        <v>860</v>
      </c>
      <c r="B862" s="3" t="inlineStr">
        <is>
          <t>4.1.2.6.6</t>
        </is>
      </c>
      <c r="C862" s="3" t="inlineStr">
        <is>
          <t>Penanaman 1 Buah Pohon Besar Besar Pulai (Alstonia Scholaris), Diameter 15-20 cm, Tinggi diatas 5 meter, Polybag 150 L</t>
        </is>
      </c>
      <c r="D862" s="3" t="inlineStr">
        <is>
          <t>buah</t>
        </is>
      </c>
      <c r="E862" s="4" t="n">
        <v>851580</v>
      </c>
    </row>
    <row r="863">
      <c r="A863" s="3" t="n">
        <v>861</v>
      </c>
      <c r="B863" s="3" t="inlineStr">
        <is>
          <t>4.1.2.6.7</t>
        </is>
      </c>
      <c r="C863" s="3" t="inlineStr">
        <is>
          <t>Penanaman 1 Buah Pohon Besar Besar Sosis (Kigelia Africana), Diameter 15-20 cm, Tinggi diatas 5 meter, Polybag 150 L</t>
        </is>
      </c>
      <c r="D863" s="3" t="inlineStr">
        <is>
          <t>Buah</t>
        </is>
      </c>
      <c r="E863" s="4" t="n">
        <v>851580</v>
      </c>
    </row>
    <row r="864">
      <c r="A864" s="3" t="n">
        <v>862</v>
      </c>
      <c r="B864" s="3" t="inlineStr">
        <is>
          <t>4.1.2.6.8</t>
        </is>
      </c>
      <c r="C864" s="3" t="inlineStr">
        <is>
          <t>Penanaman 1 Buah Pohon Besar Besar Trembesi (Samanea Saman), Diameter 15-20 cm, Tinggi diatas 5 meter, Polybag 150 L</t>
        </is>
      </c>
      <c r="D864" s="3" t="inlineStr">
        <is>
          <t>buah</t>
        </is>
      </c>
      <c r="E864" s="4" t="n">
        <v>851580</v>
      </c>
    </row>
    <row r="865">
      <c r="A865" s="3" t="n">
        <v>863</v>
      </c>
      <c r="B865" s="3" t="inlineStr">
        <is>
          <t>4.1.2.7.1</t>
        </is>
      </c>
      <c r="C865" s="3" t="inlineStr">
        <is>
          <t>Penanaman 1 Buah Pohon Besar Beringin (Ficus Benjamina), Diameter 20-25 cm, Tinggi Diatas 5 meter, Polybag 200 L</t>
        </is>
      </c>
      <c r="D865" s="3" t="inlineStr">
        <is>
          <t>buah</t>
        </is>
      </c>
      <c r="E865" s="4" t="n">
        <v>1298333</v>
      </c>
    </row>
    <row r="866">
      <c r="A866" s="3" t="n">
        <v>864</v>
      </c>
      <c r="B866" s="3" t="inlineStr">
        <is>
          <t>4.1.2.7.2</t>
        </is>
      </c>
      <c r="C866" s="3" t="inlineStr">
        <is>
          <t>Penanaman 1 Buah Pohon Besar Bodhi (Ficus Religiosa), Diameter 20-25 cm, Tinggi Diatas 5 meter, Polybag 200 L</t>
        </is>
      </c>
      <c r="D866" s="3" t="inlineStr">
        <is>
          <t>Buah</t>
        </is>
      </c>
      <c r="E866" s="4" t="n">
        <v>1038458</v>
      </c>
    </row>
    <row r="867">
      <c r="A867" s="3" t="n">
        <v>865</v>
      </c>
      <c r="B867" s="3" t="inlineStr">
        <is>
          <t>4.1.2.7.3</t>
        </is>
      </c>
      <c r="C867" s="3" t="inlineStr">
        <is>
          <t>Penanaman 1 Buah Pohon Besar Flamboyan (Delonix Regia), Diameter 20-25 cm, Tinggi Diatas 5 meter, Polybag 200 L</t>
        </is>
      </c>
      <c r="D867" s="3" t="inlineStr">
        <is>
          <t>buah</t>
        </is>
      </c>
      <c r="E867" s="4" t="n">
        <v>1153958</v>
      </c>
    </row>
    <row r="868">
      <c r="A868" s="3" t="n">
        <v>866</v>
      </c>
      <c r="B868" s="3" t="inlineStr">
        <is>
          <t>4.1.2.7.4</t>
        </is>
      </c>
      <c r="C868" s="3" t="inlineStr">
        <is>
          <t>Penanaman 1 Buah Pohon Besar Kamboja Fosil (Plumeria Sp.), Diameter 20-25 cm, Tinggi Diatas 5 meter, Polybag 200 L</t>
        </is>
      </c>
      <c r="D868" s="3" t="inlineStr">
        <is>
          <t>Buah</t>
        </is>
      </c>
      <c r="E868" s="4" t="n">
        <v>1153958</v>
      </c>
    </row>
    <row r="869">
      <c r="A869" s="3" t="n">
        <v>867</v>
      </c>
      <c r="B869" s="3" t="inlineStr">
        <is>
          <t>4.1.2.7.5</t>
        </is>
      </c>
      <c r="C869" s="3" t="inlineStr">
        <is>
          <t>Penanaman 1 Buah Pohon Besar Pulai (Alstonia Scholaris), Diameter 20-25 cm, Tinggi Diatas 5 meter, Polybag 200 L</t>
        </is>
      </c>
      <c r="D869" s="3" t="inlineStr">
        <is>
          <t>buah</t>
        </is>
      </c>
      <c r="E869" s="4" t="n">
        <v>1038458</v>
      </c>
    </row>
    <row r="870">
      <c r="A870" s="3" t="n">
        <v>868</v>
      </c>
      <c r="B870" s="3" t="inlineStr">
        <is>
          <t>4.1.2.7.6</t>
        </is>
      </c>
      <c r="C870" s="3" t="inlineStr">
        <is>
          <t>Penanaman 1 Buah Pohon Besar Sosis (Kigelia Africana), Diameter 20-25 cm, Tinggi Diatas 5 meter, Polybag 200 L</t>
        </is>
      </c>
      <c r="D870" s="3" t="inlineStr">
        <is>
          <t>Buah</t>
        </is>
      </c>
      <c r="E870" s="4" t="n">
        <v>1038458</v>
      </c>
    </row>
    <row r="871">
      <c r="A871" s="3" t="n">
        <v>869</v>
      </c>
      <c r="B871" s="3" t="inlineStr">
        <is>
          <t>4.1.2.7.7</t>
        </is>
      </c>
      <c r="C871" s="3" t="inlineStr">
        <is>
          <t>Penanaman 1 Buah Pohon Besar Trembesi (Samanea Saman), Diameter 20-25 cm, Tinggi Diatas 5 meter, Polybag 200 L</t>
        </is>
      </c>
      <c r="D871" s="3" t="inlineStr">
        <is>
          <t>buah</t>
        </is>
      </c>
      <c r="E871" s="4" t="n">
        <v>1038458</v>
      </c>
    </row>
    <row r="872">
      <c r="A872" s="3" t="n">
        <v>870</v>
      </c>
      <c r="B872" s="3" t="inlineStr">
        <is>
          <t>4.1.2.8.1</t>
        </is>
      </c>
      <c r="C872" s="3" t="inlineStr">
        <is>
          <t>Penanaman 1 Buah Pohon Besar Baobab (Adansonia Digitata), Diameter 25-30 cm, Tinggi Diatas 6 meter, Polybag 250 L</t>
        </is>
      </c>
      <c r="D872" s="3" t="inlineStr">
        <is>
          <t>buah</t>
        </is>
      </c>
      <c r="E872" s="4" t="n">
        <v>1145652</v>
      </c>
    </row>
    <row r="873">
      <c r="A873" s="3" t="n">
        <v>871</v>
      </c>
      <c r="B873" s="3" t="inlineStr">
        <is>
          <t>4.1.2.8.2</t>
        </is>
      </c>
      <c r="C873" s="3" t="inlineStr">
        <is>
          <t>Penanaman 1 Buah Pohon Besar Beringin (Ficus Benjamina), Diameter 25-30 cm, Tinggi Diatas 6 meter, Polybag 250 L</t>
        </is>
      </c>
      <c r="D873" s="3" t="inlineStr">
        <is>
          <t>Buah</t>
        </is>
      </c>
      <c r="E873" s="4" t="n">
        <v>1087902</v>
      </c>
    </row>
    <row r="874">
      <c r="A874" s="3" t="n">
        <v>872</v>
      </c>
      <c r="B874" s="3" t="inlineStr">
        <is>
          <t>4.1.2.8.3</t>
        </is>
      </c>
      <c r="C874" s="3" t="inlineStr">
        <is>
          <t>Penanaman 1 Buah Pohon Besar Bodhi (Ficus Religiosa), Diameter 25-30 cm, Tinggi Diatas 6 meter, Polybag 250 L</t>
        </is>
      </c>
      <c r="D874" s="3" t="inlineStr">
        <is>
          <t>buah</t>
        </is>
      </c>
      <c r="E874" s="4" t="n">
        <v>1145652</v>
      </c>
    </row>
    <row r="875">
      <c r="A875" s="3" t="n">
        <v>873</v>
      </c>
      <c r="B875" s="3" t="inlineStr">
        <is>
          <t>4.1.2.8.4</t>
        </is>
      </c>
      <c r="C875" s="3" t="inlineStr">
        <is>
          <t>Penanaman 1 Buah Pohon Besar Kamboja Fosil (Plumeria Sp.), Diameter 25-30 cm, Tinggi Diatas 6 meter, Polybag 250 L</t>
        </is>
      </c>
      <c r="D875" s="3" t="inlineStr">
        <is>
          <t>Buah</t>
        </is>
      </c>
      <c r="E875" s="4" t="n">
        <v>1145652</v>
      </c>
    </row>
    <row r="876">
      <c r="A876" s="3" t="n">
        <v>874</v>
      </c>
      <c r="B876" s="3" t="inlineStr">
        <is>
          <t>4.1.2.8.5</t>
        </is>
      </c>
      <c r="C876" s="3" t="inlineStr">
        <is>
          <t>Penanaman 1 Buah Pohon Besar Pulai (Alstonia Scholaris), Diameter 25-30 cm, Tinggi Diatas 6 meter, Polybag 250 L</t>
        </is>
      </c>
      <c r="D876" s="3" t="inlineStr">
        <is>
          <t>buah</t>
        </is>
      </c>
      <c r="E876" s="4" t="n">
        <v>1145652</v>
      </c>
    </row>
    <row r="877">
      <c r="A877" s="3" t="n">
        <v>875</v>
      </c>
      <c r="B877" s="3" t="inlineStr">
        <is>
          <t>4.1.2.8.6</t>
        </is>
      </c>
      <c r="C877" s="3" t="inlineStr">
        <is>
          <t>Penanaman 1 Buah Pohon Besar Sosis (Kigelia Africana), Diameter 25-30 cm, Tinggi Diatas 6 meter, Polybag 250 L</t>
        </is>
      </c>
      <c r="D877" s="3" t="inlineStr">
        <is>
          <t>Buah</t>
        </is>
      </c>
      <c r="E877" s="4" t="n">
        <v>1145652</v>
      </c>
    </row>
    <row r="878">
      <c r="A878" s="3" t="n">
        <v>876</v>
      </c>
      <c r="B878" s="3" t="inlineStr">
        <is>
          <t>4.1.2.8.7</t>
        </is>
      </c>
      <c r="C878" s="3" t="inlineStr">
        <is>
          <t>Penanaman 1 Buah Pohon Besar Trembesi (Samanea Saman), Diameter 25-30 cm, Tinggi Diatas 6 meter, Polybag 250 L</t>
        </is>
      </c>
      <c r="D878" s="3" t="inlineStr">
        <is>
          <t>buah</t>
        </is>
      </c>
      <c r="E878" s="4" t="n">
        <v>1145652</v>
      </c>
    </row>
    <row r="879">
      <c r="A879" s="3" t="n">
        <v>877</v>
      </c>
      <c r="B879" s="3" t="inlineStr">
        <is>
          <t>4.1.3.1.1</t>
        </is>
      </c>
      <c r="C879" s="3" t="inlineStr">
        <is>
          <t>Penanaman 1 Buah Palem Rumpun Kecil, Palem Waregu (Rhapis Excelsa), Tinggi maksimal 1 meter, Polybag 11 L</t>
        </is>
      </c>
      <c r="D879" s="3" t="inlineStr">
        <is>
          <t>Buah</t>
        </is>
      </c>
      <c r="E879" s="4" t="n">
        <v>294339</v>
      </c>
    </row>
    <row r="880">
      <c r="A880" s="3" t="n">
        <v>878</v>
      </c>
      <c r="B880" s="3" t="inlineStr">
        <is>
          <t>4.1.3.1.2</t>
        </is>
      </c>
      <c r="C880" s="3" t="inlineStr">
        <is>
          <t>Penanaman 1 Buah Palem Rumpun Kecil, Palem Kuning (Dypsis Lutescens), Tinggi maksimal 1 meter, Polybag 11 L</t>
        </is>
      </c>
      <c r="D880" s="3" t="inlineStr">
        <is>
          <t>Buah</t>
        </is>
      </c>
      <c r="E880" s="4" t="n">
        <v>63339</v>
      </c>
    </row>
    <row r="881">
      <c r="A881" s="3" t="n">
        <v>879</v>
      </c>
      <c r="B881" s="3" t="inlineStr">
        <is>
          <t>4.1.3.1.3</t>
        </is>
      </c>
      <c r="C881" s="3" t="inlineStr">
        <is>
          <t>Penanaman 1 Buah Palem Rumpun Kecil, Palem Komodoria/ Komodor/Chamadorea (Chamaedorea seifrizii), Tinggi maksimal 1 meter, Polybag 11 L</t>
        </is>
      </c>
      <c r="D881" s="3" t="inlineStr">
        <is>
          <t>Buah</t>
        </is>
      </c>
      <c r="E881" s="4" t="n">
        <v>92214</v>
      </c>
    </row>
    <row r="882">
      <c r="A882" s="3" t="n">
        <v>880</v>
      </c>
      <c r="B882" s="3" t="inlineStr">
        <is>
          <t>4.1.3.2.1</t>
        </is>
      </c>
      <c r="C882" s="3" t="inlineStr">
        <is>
          <t>Penanaman 1 Buah Palem Rumpun Kecil, Palem Waregu (Rhapis Excelsa), Tinggi 1,2 - 1,5 meter, Polybag 20 L</t>
        </is>
      </c>
      <c r="D882" s="3" t="inlineStr">
        <is>
          <t>Buah</t>
        </is>
      </c>
      <c r="E882" s="4" t="n">
        <v>354648</v>
      </c>
    </row>
    <row r="883">
      <c r="A883" s="3" t="n">
        <v>881</v>
      </c>
      <c r="B883" s="3" t="inlineStr">
        <is>
          <t>4.1.3.2.2</t>
        </is>
      </c>
      <c r="C883" s="3" t="inlineStr">
        <is>
          <t>Penanaman 1 Buah Palem Rumpun Kecil, Palem Kuning (Dypsis Lutescens), Tinggi 1,2 - 1,5 meter, Polybag 20 L</t>
        </is>
      </c>
      <c r="D883" s="3" t="inlineStr">
        <is>
          <t>Buah</t>
        </is>
      </c>
      <c r="E883" s="4" t="n">
        <v>94773</v>
      </c>
    </row>
    <row r="884">
      <c r="A884" s="3" t="n">
        <v>882</v>
      </c>
      <c r="B884" s="3" t="inlineStr">
        <is>
          <t>4.1.3.2.3</t>
        </is>
      </c>
      <c r="C884" s="3" t="inlineStr">
        <is>
          <t>Penanaman 1 Buah Palem Rumpun Kecil, Palem Komodoria/Komodor/Chamadorea (Chamaedorea seifrizii), Tinggi 1,2 - 1,5 meter, Polybag 20 L</t>
        </is>
      </c>
      <c r="D884" s="3" t="inlineStr">
        <is>
          <t>Buah</t>
        </is>
      </c>
      <c r="E884" s="4" t="n">
        <v>123648</v>
      </c>
    </row>
    <row r="885">
      <c r="A885" s="3" t="n">
        <v>883</v>
      </c>
      <c r="B885" s="3" t="inlineStr">
        <is>
          <t>4.1.3.3.1</t>
        </is>
      </c>
      <c r="C885" s="3" t="inlineStr">
        <is>
          <t>Penanaman 1 Buah Palem Rumpun Besar, Palem Jepang (Ptychosperma Macarthurii), Tinggi 2,5 - 3 meter, Polybag 50 L</t>
        </is>
      </c>
      <c r="D885" s="3" t="inlineStr">
        <is>
          <t>Buah</t>
        </is>
      </c>
      <c r="E885" s="4" t="n">
        <v>219491</v>
      </c>
    </row>
    <row r="886">
      <c r="A886" s="3" t="n">
        <v>884</v>
      </c>
      <c r="B886" s="3" t="inlineStr">
        <is>
          <t>4.1.3.3.2</t>
        </is>
      </c>
      <c r="C886" s="3" t="inlineStr">
        <is>
          <t>Penanaman 1 Buah Palem Rumpun Besar, Palem Merah/ Pinang Merah (Cyrtostachys Renda), Tinggi 2,5 - 3 meter, Polybag 50 L</t>
        </is>
      </c>
      <c r="D886" s="3" t="inlineStr">
        <is>
          <t>Buah</t>
        </is>
      </c>
      <c r="E886" s="4" t="n">
        <v>219491</v>
      </c>
    </row>
    <row r="887">
      <c r="A887" s="3" t="n">
        <v>885</v>
      </c>
      <c r="B887" s="3" t="inlineStr">
        <is>
          <t>4.1.3.3.3</t>
        </is>
      </c>
      <c r="C887" s="3" t="inlineStr">
        <is>
          <t>Penanaman 1 Buah Palem Rumpun Besar, Palem ekor ikan rumpun (Caryota mitis), Tinggi 2,5 - 3 meter, Polybag 50 L</t>
        </is>
      </c>
      <c r="D887" s="3" t="inlineStr">
        <is>
          <t>Buah</t>
        </is>
      </c>
      <c r="E887" s="4" t="n">
        <v>565991</v>
      </c>
    </row>
    <row r="888">
      <c r="A888" s="3" t="n">
        <v>886</v>
      </c>
      <c r="B888" s="3" t="inlineStr">
        <is>
          <t>4.1.3.4.1</t>
        </is>
      </c>
      <c r="C888" s="3" t="inlineStr">
        <is>
          <t>Penanaman 1 Buah Palem Tunggal Kecil, Palem kol (Licuala grandis), Tinggi 0,5 - 0,6 meter*, Polybag 11 L</t>
        </is>
      </c>
      <c r="D888" s="3" t="inlineStr">
        <is>
          <t>Buah</t>
        </is>
      </c>
      <c r="E888" s="4" t="n">
        <v>121089</v>
      </c>
    </row>
    <row r="889">
      <c r="A889" s="3" t="n">
        <v>887</v>
      </c>
      <c r="B889" s="3" t="inlineStr">
        <is>
          <t>4.1.3.4.2</t>
        </is>
      </c>
      <c r="C889" s="3" t="inlineStr">
        <is>
          <t>Penanaman 1 Buah Palem Tunggal Kecil, Palem kol (Licuala grandis), Tinggi 0,6 - 0,8 meter*, Polybag 20 L</t>
        </is>
      </c>
      <c r="D889" s="3" t="inlineStr">
        <is>
          <t>Buah</t>
        </is>
      </c>
      <c r="E889" s="4" t="n">
        <v>181398</v>
      </c>
    </row>
    <row r="890">
      <c r="A890" s="3" t="n">
        <v>888</v>
      </c>
      <c r="B890" s="3" t="inlineStr">
        <is>
          <t>4.1.3.4.3</t>
        </is>
      </c>
      <c r="C890" s="3" t="inlineStr">
        <is>
          <t>Penanaman 1 Buah Palem Tunggal Kecil, Sikas Halus/Mawar Jambe (Cycas Revoluta), Tinggi 0,5 - 0,6 meter, Polybag 25 L</t>
        </is>
      </c>
      <c r="D890" s="3" t="inlineStr">
        <is>
          <t>Buah</t>
        </is>
      </c>
      <c r="E890" s="4" t="n">
        <v>98918</v>
      </c>
    </row>
    <row r="891">
      <c r="A891" s="3" t="n">
        <v>889</v>
      </c>
      <c r="B891" s="3" t="inlineStr">
        <is>
          <t>4.1.3.5.1</t>
        </is>
      </c>
      <c r="C891" s="3" t="inlineStr">
        <is>
          <t>Penanaman 1 Buah Palem Tunggal Kecil, Palem Phoenix (Phoenix Roebelenii), Tinggi 1,2 - 1,5 meter, Polybag 50 L</t>
        </is>
      </c>
      <c r="D891" s="3" t="inlineStr">
        <is>
          <t>Buah</t>
        </is>
      </c>
      <c r="E891" s="4" t="n">
        <v>219491</v>
      </c>
    </row>
    <row r="892">
      <c r="A892" s="3" t="n">
        <v>890</v>
      </c>
      <c r="B892" s="3" t="inlineStr">
        <is>
          <t>4.1.3.5.2</t>
        </is>
      </c>
      <c r="C892" s="3" t="inlineStr">
        <is>
          <t>Penanaman 1 Buah Palem Tunggal Kecil, Palem Putri (Veitchia Merillii), Tinggi 2 - 2,5 meter, Polybag 50 L</t>
        </is>
      </c>
      <c r="D892" s="3" t="inlineStr">
        <is>
          <t>Buah</t>
        </is>
      </c>
      <c r="E892" s="4" t="n">
        <v>161741</v>
      </c>
    </row>
    <row r="893">
      <c r="A893" s="3" t="n">
        <v>891</v>
      </c>
      <c r="B893" s="3" t="inlineStr">
        <is>
          <t>4.1.3.5.3</t>
        </is>
      </c>
      <c r="C893" s="3" t="inlineStr">
        <is>
          <t>Penanaman 1 Buah Palem Tunggal Kecil, Sikas Halus/Mawar Jambe (Cycas Revoluta), Tinggi 0,8 - 1 meter, Polybag 50 L</t>
        </is>
      </c>
      <c r="D893" s="3" t="inlineStr">
        <is>
          <t>Buah</t>
        </is>
      </c>
      <c r="E893" s="4" t="n">
        <v>219491</v>
      </c>
    </row>
    <row r="894">
      <c r="A894" s="3" t="n">
        <v>892</v>
      </c>
      <c r="B894" s="3" t="inlineStr">
        <is>
          <t>4.1.3.6.1</t>
        </is>
      </c>
      <c r="C894" s="3" t="inlineStr">
        <is>
          <t>Penanaman 1 Buah Palem Tunggal Besar, Palem Ekor Tupai (Wodyetia Bifurcata), Tinggi 3 – 3,5 meter, Polybag 100L</t>
        </is>
      </c>
      <c r="D894" s="3" t="inlineStr">
        <is>
          <t>Buah</t>
        </is>
      </c>
      <c r="E894" s="4" t="n">
        <v>707996</v>
      </c>
    </row>
    <row r="895">
      <c r="A895" s="3" t="n">
        <v>893</v>
      </c>
      <c r="B895" s="3" t="inlineStr">
        <is>
          <t>4.1.3.6.2</t>
        </is>
      </c>
      <c r="C895" s="3" t="inlineStr">
        <is>
          <t>Penanaman 1 Buah Palem Tunggal Besar, Palem Raja (Roystonea Regia), Tinggi 3 – 3,5 meter, Polybag 100L</t>
        </is>
      </c>
      <c r="D895" s="3" t="inlineStr">
        <is>
          <t>Buah</t>
        </is>
      </c>
      <c r="E895" s="4" t="n">
        <v>707996</v>
      </c>
    </row>
    <row r="896">
      <c r="A896" s="3" t="n">
        <v>894</v>
      </c>
      <c r="B896" s="3" t="inlineStr">
        <is>
          <t>4.1.3.6.3</t>
        </is>
      </c>
      <c r="C896" s="3" t="inlineStr">
        <is>
          <t>Penanaman 1 Buah Palem Tunggal Besar, Palem Sadeng (Saribus Rotundifolius), Tinggi 3 – 3,5 meter, Polybag 100 L</t>
        </is>
      </c>
      <c r="D896" s="3" t="inlineStr">
        <is>
          <t>Buah</t>
        </is>
      </c>
      <c r="E896" s="4" t="n">
        <v>707996</v>
      </c>
    </row>
    <row r="897">
      <c r="A897" s="3" t="n">
        <v>895</v>
      </c>
      <c r="B897" s="3" t="inlineStr">
        <is>
          <t>4.1.3.6.4</t>
        </is>
      </c>
      <c r="C897" s="3" t="inlineStr">
        <is>
          <t>Penanaman 1 Buah Palem Tunggal Besar, Palem washingtonia (Washingtonia robusta), Tinggi 3 – 3,5 meter, Polybag 100L</t>
        </is>
      </c>
      <c r="D897" s="3" t="inlineStr">
        <is>
          <t>Buah</t>
        </is>
      </c>
      <c r="E897" s="4" t="n">
        <v>1285496</v>
      </c>
    </row>
    <row r="898">
      <c r="A898" s="3" t="n">
        <v>896</v>
      </c>
      <c r="B898" s="3" t="inlineStr">
        <is>
          <t>4.1.3.6.5</t>
        </is>
      </c>
      <c r="C898" s="3" t="inlineStr">
        <is>
          <t>Penanaman 1 Buah Palem Tunggal Besar, Palem ekor ikan tunggal/ Palem seledri (Caryota no), Tinggi 3 – 3,5 meter, Polybag 100L</t>
        </is>
      </c>
      <c r="D898" s="3" t="inlineStr">
        <is>
          <t>Buah</t>
        </is>
      </c>
      <c r="E898" s="4" t="n">
        <v>1458746</v>
      </c>
    </row>
    <row r="899">
      <c r="A899" s="3" t="n">
        <v>897</v>
      </c>
      <c r="B899" s="3" t="inlineStr">
        <is>
          <t>4.1.3.6.6</t>
        </is>
      </c>
      <c r="C899" s="3" t="inlineStr">
        <is>
          <t>Penanaman 1 Buah Palem Tunggal Besar, Palem Sinensis (Livistona chinensis), Tinggi 3 – 3,5 meter, Polybag 100L</t>
        </is>
      </c>
      <c r="D899" s="3" t="inlineStr">
        <is>
          <t>Buah</t>
        </is>
      </c>
      <c r="E899" s="4" t="n">
        <v>1400996</v>
      </c>
    </row>
    <row r="900">
      <c r="A900" s="3" t="n">
        <v>898</v>
      </c>
      <c r="B900" s="3" t="inlineStr">
        <is>
          <t>4.1.3.6.7</t>
        </is>
      </c>
      <c r="C900" s="3" t="inlineStr">
        <is>
          <t>Penanaman 1 Buah Palem Tunggal Besar, Palem Bismarkia Silver (Bismarckia nobilis 'Silver'), Tinggi 1 – 1,5 meter, Polybag 100L</t>
        </is>
      </c>
      <c r="D900" s="3" t="inlineStr">
        <is>
          <t>Buah</t>
        </is>
      </c>
      <c r="E900" s="4" t="n">
        <v>1458746</v>
      </c>
    </row>
    <row r="901">
      <c r="A901" s="3" t="n">
        <v>899</v>
      </c>
      <c r="B901" s="3" t="inlineStr">
        <is>
          <t>4.1.3.6.8</t>
        </is>
      </c>
      <c r="C901" s="3" t="inlineStr">
        <is>
          <t>Penanaman 1 Buah Palem Tunggal Besar, Pinang jambe (Areca catechu), Tinggi 3 – 3,5 meter, Polybag 100L</t>
        </is>
      </c>
      <c r="D901" s="3" t="inlineStr">
        <is>
          <t>Buah</t>
        </is>
      </c>
      <c r="E901" s="4" t="n">
        <v>1516496</v>
      </c>
    </row>
    <row r="902">
      <c r="A902" s="3" t="n">
        <v>900</v>
      </c>
      <c r="B902" s="3" t="inlineStr">
        <is>
          <t>4.1.3.7.1</t>
        </is>
      </c>
      <c r="C902" s="3" t="inlineStr">
        <is>
          <t>Penanaman 1 Buah Palem Besar,Palem Ekor Tupai (Wodyetia
Bifurcata), Diameter 15 -20 cm, Tinggi 4 – 5 meter, Polybag
150L</t>
        </is>
      </c>
      <c r="D902" s="3" t="inlineStr">
        <is>
          <t>Buah</t>
        </is>
      </c>
      <c r="E902" s="4" t="n">
        <v>851580</v>
      </c>
    </row>
    <row r="903">
      <c r="A903" s="3" t="n">
        <v>901</v>
      </c>
      <c r="B903" s="3" t="inlineStr">
        <is>
          <t>4.1.3.7.2</t>
        </is>
      </c>
      <c r="C903" s="3" t="inlineStr">
        <is>
          <t>Penanaman 1 Buah Palem Besar, Palem Raja (Roystonea Regia), Diameter 15 -20 cm, Tinggi 4 – 5 meter, Polybag
150L</t>
        </is>
      </c>
      <c r="D903" s="3" t="inlineStr">
        <is>
          <t>Buah</t>
        </is>
      </c>
      <c r="E903" s="4" t="n">
        <v>851580</v>
      </c>
    </row>
    <row r="904">
      <c r="A904" s="3" t="n">
        <v>902</v>
      </c>
      <c r="B904" s="3" t="inlineStr">
        <is>
          <t>4.1.3.7.3</t>
        </is>
      </c>
      <c r="C904" s="3" t="inlineStr">
        <is>
          <t>Penanaman 1 Buah Palem Besar, Palem Sadeng (Saribus
Rotundifolius) Diameter 15 -20 cm, Tinggi 4 – 5 meter, Polybag
150L</t>
        </is>
      </c>
      <c r="D904" s="3" t="inlineStr">
        <is>
          <t>Buah</t>
        </is>
      </c>
      <c r="E904" s="4" t="n">
        <v>851580</v>
      </c>
    </row>
    <row r="905">
      <c r="A905" s="3" t="n">
        <v>903</v>
      </c>
      <c r="B905" s="3" t="inlineStr">
        <is>
          <t>4.1.3.7.4</t>
        </is>
      </c>
      <c r="C905" s="3" t="inlineStr">
        <is>
          <t>Penanaman 1 Buah Palem Tunggal Besar, Palem washingtonia (Washingtonia robusta), Tinggi 4 – 5 meter, Polybag 150 L</t>
        </is>
      </c>
      <c r="D905" s="3" t="inlineStr">
        <is>
          <t>Buah</t>
        </is>
      </c>
      <c r="E905" s="4" t="n">
        <v>1486830</v>
      </c>
    </row>
    <row r="906">
      <c r="A906" s="3" t="n">
        <v>904</v>
      </c>
      <c r="B906" s="3" t="inlineStr">
        <is>
          <t>4.1.3.7.5</t>
        </is>
      </c>
      <c r="C906" s="3" t="inlineStr">
        <is>
          <t>Penanaman 1 Buah Palem Tunggal Besar, Palem ekor ikan tunggal/ Palem seledri (Caryota no), Tinggi 4 – 5 meter, Polybag 150 L</t>
        </is>
      </c>
      <c r="D906" s="3" t="inlineStr">
        <is>
          <t>Buah</t>
        </is>
      </c>
      <c r="E906" s="4" t="n">
        <v>1660080</v>
      </c>
    </row>
    <row r="907">
      <c r="A907" s="3" t="n">
        <v>905</v>
      </c>
      <c r="B907" s="3" t="inlineStr">
        <is>
          <t>4.1.3.7.6</t>
        </is>
      </c>
      <c r="C907" s="3" t="inlineStr">
        <is>
          <t>Penanaman 1 Buah Palem Tunggal Besar, Palem Sinensis (Livistona chinensis), Tinggi 4 – 5 meter, Polybag 150 L</t>
        </is>
      </c>
      <c r="D907" s="3" t="inlineStr">
        <is>
          <t>Buah</t>
        </is>
      </c>
      <c r="E907" s="4" t="n">
        <v>1602330</v>
      </c>
    </row>
    <row r="908">
      <c r="A908" s="3" t="n">
        <v>906</v>
      </c>
      <c r="B908" s="3" t="inlineStr">
        <is>
          <t>4.1.3.7.7</t>
        </is>
      </c>
      <c r="C908" s="3" t="inlineStr">
        <is>
          <t>Penanaman 1 Buah Palem Tunggal Besar, Palem Bismarkia Silver (Bismarckia nobilis 'Silver'), Tinggi 1,2 – 2 meter, Polybag 150 L</t>
        </is>
      </c>
      <c r="D908" s="3" t="inlineStr">
        <is>
          <t>Buah</t>
        </is>
      </c>
      <c r="E908" s="4" t="n">
        <v>1602330</v>
      </c>
    </row>
    <row r="909">
      <c r="A909" s="3" t="n">
        <v>907</v>
      </c>
      <c r="B909" s="3" t="inlineStr">
        <is>
          <t>4.1.3.7.8</t>
        </is>
      </c>
      <c r="C909" s="3" t="inlineStr">
        <is>
          <t>Penanaman 1 Buah Palem Tunggal Besar, Pinang jambe (Areca catechu), Tinggi 4 – 5 meter, Polybag 150L</t>
        </is>
      </c>
      <c r="D909" s="3" t="inlineStr">
        <is>
          <t>Buah</t>
        </is>
      </c>
      <c r="E909" s="4" t="n">
        <v>1717830</v>
      </c>
    </row>
    <row r="910">
      <c r="A910" s="3" t="n">
        <v>908</v>
      </c>
      <c r="B910" s="3" t="inlineStr">
        <is>
          <t>4.1.4.1.1</t>
        </is>
      </c>
      <c r="C910" s="3" t="inlineStr">
        <is>
          <t>Penanaman 1 m2 Semak, Alamanda/Bunga Terompet Emas ( Allamanda Cathartica), 25 Buah/m2, Polybag 5 L</t>
        </is>
      </c>
      <c r="D910" s="3" t="inlineStr">
        <is>
          <t>m2</t>
        </is>
      </c>
      <c r="E910" s="4" t="n">
        <v>97089</v>
      </c>
    </row>
    <row r="911">
      <c r="A911" s="3" t="n">
        <v>909</v>
      </c>
      <c r="B911" s="3" t="inlineStr">
        <is>
          <t>4.1.4.1.2</t>
        </is>
      </c>
      <c r="C911" s="3" t="inlineStr">
        <is>
          <t>Penanaman 1 m2 Semak,Bakung Lele (Hymenocalis Speciosa),
36 Buah/m2,, Polybag 5 L</t>
        </is>
      </c>
      <c r="D911" s="3" t="inlineStr">
        <is>
          <t>m2</t>
        </is>
      </c>
      <c r="E911" s="4" t="n">
        <v>153032</v>
      </c>
    </row>
    <row r="912">
      <c r="A912" s="3" t="n">
        <v>910</v>
      </c>
      <c r="B912" s="3" t="inlineStr">
        <is>
          <t>4.1.4.1.3</t>
        </is>
      </c>
      <c r="C912" s="3" t="inlineStr">
        <is>
          <t>Penanaman 1 m2 Semak,Bunga Iris (Neomarica Longifolia), 36
Buah/m2, Polybag 5 L</t>
        </is>
      </c>
      <c r="D912" s="3" t="inlineStr">
        <is>
          <t>m2</t>
        </is>
      </c>
      <c r="E912" s="4" t="n">
        <v>133232</v>
      </c>
    </row>
    <row r="913">
      <c r="A913" s="3" t="n">
        <v>911</v>
      </c>
      <c r="B913" s="3" t="inlineStr">
        <is>
          <t>4.1.4.1.4</t>
        </is>
      </c>
      <c r="C913" s="3" t="inlineStr">
        <is>
          <t>Penanaman 1 m2 Semak,Calathea (Calathea Sp.), 16 Buah/m2, 36
Buah/m2, Polybag 5 L</t>
        </is>
      </c>
      <c r="D913" s="3" t="inlineStr">
        <is>
          <t>m2</t>
        </is>
      </c>
      <c r="E913" s="4" t="n">
        <v>67232</v>
      </c>
    </row>
    <row r="914">
      <c r="A914" s="3" t="n">
        <v>912</v>
      </c>
      <c r="B914" s="3" t="inlineStr">
        <is>
          <t>4.1.4.1.5</t>
        </is>
      </c>
      <c r="C914" s="3" t="inlineStr">
        <is>
          <t>Penanaman 1 m2 Semak,Cendrawasih (Phyllanthus Myrtifolius),
36 Buah/m2, Polybag 5 L</t>
        </is>
      </c>
      <c r="D914" s="3" t="inlineStr">
        <is>
          <t>m2</t>
        </is>
      </c>
      <c r="E914" s="4" t="n">
        <v>133232</v>
      </c>
    </row>
    <row r="915">
      <c r="A915" s="3" t="n">
        <v>913</v>
      </c>
      <c r="B915" s="3" t="inlineStr">
        <is>
          <t>4.1.4.1.6</t>
        </is>
      </c>
      <c r="C915" s="3" t="inlineStr">
        <is>
          <t>Penanaman 1 m2 SemakHujan Mas (Galphimia Glauca), 25
Buah/m2, Polybag 5 L</t>
        </is>
      </c>
      <c r="D915" s="3" t="inlineStr">
        <is>
          <t>m2</t>
        </is>
      </c>
      <c r="E915" s="4" t="n">
        <v>97089</v>
      </c>
    </row>
    <row r="916">
      <c r="A916" s="3" t="n">
        <v>914</v>
      </c>
      <c r="B916" s="3" t="inlineStr">
        <is>
          <t>4.1.4.1.7</t>
        </is>
      </c>
      <c r="C916" s="3" t="inlineStr">
        <is>
          <t>Penanaman 1 m2 Semak, Kacapiring Wangi/Gardenia (Gardenia
Jasminoides), 25 Buah/m2 Polybag 5 L</t>
        </is>
      </c>
      <c r="D916" s="3" t="inlineStr">
        <is>
          <t>m2</t>
        </is>
      </c>
      <c r="E916" s="4" t="n">
        <v>97089</v>
      </c>
    </row>
    <row r="917">
      <c r="A917" s="3" t="n">
        <v>915</v>
      </c>
      <c r="B917" s="3" t="inlineStr">
        <is>
          <t>4.1.4.1.8</t>
        </is>
      </c>
      <c r="C917" s="3" t="inlineStr">
        <is>
          <t>Penanaman 1 m2 Semak,Kemuning (Murraya Paniculata), 25
Buah/m2, 25 Buah/m2 Polybag 5 L</t>
        </is>
      </c>
      <c r="D917" s="3" t="inlineStr">
        <is>
          <t>m2</t>
        </is>
      </c>
      <c r="E917" s="4" t="n">
        <v>97089</v>
      </c>
    </row>
    <row r="918">
      <c r="A918" s="3" t="n">
        <v>916</v>
      </c>
      <c r="B918" s="3" t="inlineStr">
        <is>
          <t>4.1.4.1.9</t>
        </is>
      </c>
      <c r="C918" s="3" t="inlineStr">
        <is>
          <t>Penanaman 1 m2 Semak Melati Putih (Jasminum Sambac), 25
Buah/m2, Polybag 5 L</t>
        </is>
      </c>
      <c r="D918" s="3" t="inlineStr">
        <is>
          <t>m2</t>
        </is>
      </c>
      <c r="E918" s="4" t="n">
        <v>97089</v>
      </c>
    </row>
    <row r="919">
      <c r="A919" s="3" t="n">
        <v>917</v>
      </c>
      <c r="B919" s="3" t="inlineStr">
        <is>
          <t>4.1.4.1.10</t>
        </is>
      </c>
      <c r="C919" s="3" t="inlineStr">
        <is>
          <t>Penanaman 1 m2 Semak, Pandan Kuning (Pandanus
Pygmaeus), 25 Buah/m2, Polybag 5 L</t>
        </is>
      </c>
      <c r="D919" s="3" t="inlineStr">
        <is>
          <t>m2</t>
        </is>
      </c>
      <c r="E919" s="4" t="n">
        <v>97089</v>
      </c>
    </row>
    <row r="920">
      <c r="A920" s="3" t="n">
        <v>918</v>
      </c>
      <c r="B920" s="3" t="inlineStr">
        <is>
          <t>4.1.4.1.11</t>
        </is>
      </c>
      <c r="C920" s="3" t="inlineStr">
        <is>
          <t>Penanaman 1 m2 Semak, Pretty Pink (Breynia Disticha), 25
Buah/m2, 25 Buah/m2, Polybag 5 L</t>
        </is>
      </c>
      <c r="D920" s="3" t="inlineStr">
        <is>
          <t>m2</t>
        </is>
      </c>
      <c r="E920" s="4" t="n">
        <v>97089</v>
      </c>
    </row>
    <row r="921">
      <c r="A921" s="3" t="n">
        <v>919</v>
      </c>
      <c r="B921" s="3" t="inlineStr">
        <is>
          <t>4.1.4.1.12</t>
        </is>
      </c>
      <c r="C921" s="3" t="inlineStr">
        <is>
          <t>Penanaman 1 m2 Semak, Sansevieria/Lidah Mertua
(Sansevieria Trifasciata), 25 Buah/m2, Polybag 5 L</t>
        </is>
      </c>
      <c r="D921" s="3" t="inlineStr">
        <is>
          <t>m2</t>
        </is>
      </c>
      <c r="E921" s="4" t="n">
        <v>97089</v>
      </c>
    </row>
    <row r="922">
      <c r="A922" s="3" t="n">
        <v>920</v>
      </c>
      <c r="B922" s="3" t="inlineStr">
        <is>
          <t>4.1.4.1.13</t>
        </is>
      </c>
      <c r="C922" s="3" t="inlineStr">
        <is>
          <t>Penanaman 1 m2 Semak,Tabernae/Mondokaki
(Tabernaemontana Divaricata ), 25 Buah/m2, Polybag 5 L</t>
        </is>
      </c>
      <c r="D922" s="3" t="inlineStr">
        <is>
          <t>m2</t>
        </is>
      </c>
      <c r="E922" s="4" t="n">
        <v>97089</v>
      </c>
    </row>
    <row r="923">
      <c r="A923" s="3" t="n">
        <v>921</v>
      </c>
      <c r="B923" s="3" t="inlineStr">
        <is>
          <t>4.1.4.1.14</t>
        </is>
      </c>
      <c r="C923" s="3" t="inlineStr">
        <is>
          <t>Penanaman 1 m2 Semak,Walisongo/Umbrella Tree (Schefflera
Arboricola), 25 Buah/m2, Polybag 5 L</t>
        </is>
      </c>
      <c r="D923" s="3" t="inlineStr">
        <is>
          <t>m2</t>
        </is>
      </c>
      <c r="E923" s="4" t="n">
        <v>97089</v>
      </c>
    </row>
    <row r="924">
      <c r="A924" s="3" t="n">
        <v>922</v>
      </c>
      <c r="B924" s="3" t="inlineStr">
        <is>
          <t>4.1.4.1.15</t>
        </is>
      </c>
      <c r="C924" s="3" t="inlineStr">
        <is>
          <t>Penanaman 1 m2 Semak, Ruelia / Kencana Ungu (Ruellia simplex), 25 Buah/m2, Polybag 5 L</t>
        </is>
      </c>
      <c r="D924" s="3" t="inlineStr">
        <is>
          <t>m2</t>
        </is>
      </c>
      <c r="E924" s="4" t="n">
        <v>69589</v>
      </c>
    </row>
    <row r="925">
      <c r="A925" s="3" t="n">
        <v>923</v>
      </c>
      <c r="B925" s="3" t="inlineStr">
        <is>
          <t>4.1.4.1.16</t>
        </is>
      </c>
      <c r="C925" s="3" t="inlineStr">
        <is>
          <t>Penanaman 1 m2 Semak, Ararea (Osmoxylon lineare), 25 Buah/m2, Polybag 5 L</t>
        </is>
      </c>
      <c r="D925" s="3" t="inlineStr">
        <is>
          <t>m2</t>
        </is>
      </c>
      <c r="E925" s="4" t="n">
        <v>97089</v>
      </c>
    </row>
    <row r="926">
      <c r="A926" s="3" t="n">
        <v>924</v>
      </c>
      <c r="B926" s="3" t="inlineStr">
        <is>
          <t>4.1.4.1.17</t>
        </is>
      </c>
      <c r="C926" s="3" t="inlineStr">
        <is>
          <t>Penanaman 1 m2 Semak, Paku Pedang (Neprolepis biserrata), 25 Buah/m2, Polybag 5 L</t>
        </is>
      </c>
      <c r="D926" s="3" t="inlineStr">
        <is>
          <t>m2</t>
        </is>
      </c>
      <c r="E926" s="4" t="n">
        <v>97089</v>
      </c>
    </row>
    <row r="927">
      <c r="A927" s="3" t="n">
        <v>925</v>
      </c>
      <c r="B927" s="3" t="inlineStr">
        <is>
          <t>4.1.4.1.18</t>
        </is>
      </c>
      <c r="C927" s="3" t="inlineStr">
        <is>
          <t>Penanaman 1 m2 Semak, Rumput Ekor Kuda (Pennisetum alopecuroides), 25 Buah/m2, Polybag 5 L</t>
        </is>
      </c>
      <c r="D927" s="3" t="inlineStr">
        <is>
          <t>m2</t>
        </is>
      </c>
      <c r="E927" s="4" t="n">
        <v>69589</v>
      </c>
    </row>
    <row r="928">
      <c r="A928" s="3" t="n">
        <v>926</v>
      </c>
      <c r="B928" s="3" t="inlineStr">
        <is>
          <t>4.1.4.1.19</t>
        </is>
      </c>
      <c r="C928" s="3" t="inlineStr">
        <is>
          <t>Penanaman 1 m2 Semak, Alang-alang Merah (Pennisetum setaceum rubrum), 25 Buah/m2, Polybag 5 L</t>
        </is>
      </c>
      <c r="D928" s="3" t="inlineStr">
        <is>
          <t>m2</t>
        </is>
      </c>
      <c r="E928" s="4" t="n">
        <v>83339</v>
      </c>
    </row>
    <row r="929">
      <c r="A929" s="3" t="n">
        <v>927</v>
      </c>
      <c r="B929" s="3" t="inlineStr">
        <is>
          <t>4.1.4.1.20</t>
        </is>
      </c>
      <c r="C929" s="3" t="inlineStr">
        <is>
          <t>Penanaman 1 m2 Semak, Akar wangi (Vetiveria zizanioides), 25 Buah/m2, Polybag 5 L</t>
        </is>
      </c>
      <c r="D929" s="3" t="inlineStr">
        <is>
          <t>m2</t>
        </is>
      </c>
      <c r="E929" s="4" t="n">
        <v>97089</v>
      </c>
    </row>
    <row r="930">
      <c r="A930" s="3" t="n">
        <v>928</v>
      </c>
      <c r="B930" s="3" t="inlineStr">
        <is>
          <t>4.1.4.1.21</t>
        </is>
      </c>
      <c r="C930" s="3" t="inlineStr">
        <is>
          <t>Penanaman 1 m2 Semak, Blanceng (Dieffenbachia seguine), 25 Buah/m2, Polybag 5 L</t>
        </is>
      </c>
      <c r="D930" s="3" t="inlineStr">
        <is>
          <t>m2</t>
        </is>
      </c>
      <c r="E930" s="4" t="n">
        <v>110839</v>
      </c>
    </row>
    <row r="931">
      <c r="A931" s="3" t="n">
        <v>929</v>
      </c>
      <c r="B931" s="3" t="inlineStr">
        <is>
          <t>4.1.4.2.1</t>
        </is>
      </c>
      <c r="C931" s="3" t="inlineStr">
        <is>
          <t>Penanaman 1 m2 Semak, Agave/ Lidah Naga ( Agave Americana), 5 buah/m2, Polybag 11 L</t>
        </is>
      </c>
      <c r="D931" s="3" t="inlineStr">
        <is>
          <t>m2</t>
        </is>
      </c>
      <c r="E931" s="4" t="n">
        <v>43561</v>
      </c>
    </row>
    <row r="932">
      <c r="A932" s="3" t="n">
        <v>930</v>
      </c>
      <c r="B932" s="3" t="inlineStr">
        <is>
          <t>4.1.4.2.2</t>
        </is>
      </c>
      <c r="C932" s="3" t="inlineStr">
        <is>
          <t>Penanaman 1 m2 Semak, Alamanda/Bunga Terompet Emas
(Allamanda Cathartica), 9 Buah/m2, Polybag 11 L</t>
        </is>
      </c>
      <c r="D932" s="3" t="inlineStr">
        <is>
          <t>m2</t>
        </is>
      </c>
      <c r="E932" s="4" t="n">
        <v>65561</v>
      </c>
    </row>
    <row r="933">
      <c r="A933" s="3" t="n">
        <v>931</v>
      </c>
      <c r="B933" s="3" t="inlineStr">
        <is>
          <t>4.1.4.2.3</t>
        </is>
      </c>
      <c r="C933" s="3" t="inlineStr">
        <is>
          <t>Penanaman 1 m2 Semak, Bakung Jawa (Crinum Asiaticum), 16
Buah/m2,, Polybag 11 L</t>
        </is>
      </c>
      <c r="D933" s="3" t="inlineStr">
        <is>
          <t>m2</t>
        </is>
      </c>
      <c r="E933" s="4" t="n">
        <v>104218</v>
      </c>
    </row>
    <row r="934">
      <c r="A934" s="3" t="n">
        <v>932</v>
      </c>
      <c r="B934" s="3" t="inlineStr">
        <is>
          <t>4.1.4.2.4</t>
        </is>
      </c>
      <c r="C934" s="3" t="inlineStr">
        <is>
          <t>Penanaman 1 m2 Semak, Bakung Lele (Hymenocalis Speciosa),
16 Buah/m2, Polybag 11 L</t>
        </is>
      </c>
      <c r="D934" s="3" t="inlineStr">
        <is>
          <t>m2</t>
        </is>
      </c>
      <c r="E934" s="4" t="n">
        <v>104218</v>
      </c>
    </row>
    <row r="935">
      <c r="A935" s="3" t="n">
        <v>933</v>
      </c>
      <c r="B935" s="3" t="inlineStr">
        <is>
          <t>4.1.4.2.5</t>
        </is>
      </c>
      <c r="C935" s="3" t="inlineStr">
        <is>
          <t>Penanaman 1 m2 Semak, Bromelia (Bromelia Sp.), 5 Buah/m2, Polybag 11 L</t>
        </is>
      </c>
      <c r="D935" s="3" t="inlineStr">
        <is>
          <t>m2</t>
        </is>
      </c>
      <c r="E935" s="4" t="n">
        <v>43561</v>
      </c>
    </row>
    <row r="936">
      <c r="A936" s="3" t="n">
        <v>934</v>
      </c>
      <c r="B936" s="3" t="inlineStr">
        <is>
          <t>4.1.4.2.6</t>
        </is>
      </c>
      <c r="C936" s="3" t="inlineStr">
        <is>
          <t>Penanaman 1 m2 Semak,Bunga Terompet Kuning (Tecoma
Stans), 9 Buah/m2, Polybag 11 L</t>
        </is>
      </c>
      <c r="D936" s="3" t="inlineStr">
        <is>
          <t>m2</t>
        </is>
      </c>
      <c r="E936" s="4" t="n">
        <v>65561</v>
      </c>
    </row>
    <row r="937">
      <c r="A937" s="3" t="n">
        <v>935</v>
      </c>
      <c r="B937" s="3" t="inlineStr">
        <is>
          <t>4.1.4.2.7</t>
        </is>
      </c>
      <c r="C937" s="3" t="inlineStr">
        <is>
          <t>Penanaman 1 m2 Semak, Costus (Costus Woodsonii), 16
Buah/m2, Polybag 11 L</t>
        </is>
      </c>
      <c r="D937" s="3" t="inlineStr">
        <is>
          <t>m2</t>
        </is>
      </c>
      <c r="E937" s="4" t="n">
        <v>104218</v>
      </c>
    </row>
    <row r="938">
      <c r="A938" s="3" t="n">
        <v>936</v>
      </c>
      <c r="B938" s="3" t="inlineStr">
        <is>
          <t>4.1.4.2.8</t>
        </is>
      </c>
      <c r="C938" s="3" t="inlineStr">
        <is>
          <t>Penanaman 1 m2 Semak, Dracaena ‘Song Of India’ (Dracaena
Reflexa "Song Of India"), 9 Buah/m2,  Polybag 11 L</t>
        </is>
      </c>
      <c r="D938" s="3" t="inlineStr">
        <is>
          <t>m2</t>
        </is>
      </c>
      <c r="E938" s="4" t="n">
        <v>65561</v>
      </c>
    </row>
    <row r="939">
      <c r="A939" s="3" t="n">
        <v>937</v>
      </c>
      <c r="B939" s="3" t="inlineStr">
        <is>
          <t>4.1.4.2.9</t>
        </is>
      </c>
      <c r="C939" s="3" t="inlineStr">
        <is>
          <t>Penanaman 1 m2 Semak,Dracaena 'Song Of Jamaica' (Dracaena
Reflexa "Song Of Jamaica"), 9 Buah/m2,  Polybag 11 L</t>
        </is>
      </c>
      <c r="D939" s="3" t="inlineStr">
        <is>
          <t>m2</t>
        </is>
      </c>
      <c r="E939" s="4" t="n">
        <v>65561</v>
      </c>
    </row>
    <row r="940">
      <c r="A940" s="3" t="n">
        <v>938</v>
      </c>
      <c r="B940" s="3" t="inlineStr">
        <is>
          <t>4.1.4.2.10</t>
        </is>
      </c>
      <c r="C940" s="3" t="inlineStr">
        <is>
          <t>Penanaman 1 m2 Semak, Helliconia (Heliconia Psittacorum),
16 Buah/m2,, 9 Buah/m2,  Polybag 11 L</t>
        </is>
      </c>
      <c r="D940" s="3" t="inlineStr">
        <is>
          <t>m2</t>
        </is>
      </c>
      <c r="E940" s="4" t="n">
        <v>104218</v>
      </c>
    </row>
    <row r="941">
      <c r="A941" s="3" t="n">
        <v>939</v>
      </c>
      <c r="B941" s="3" t="inlineStr">
        <is>
          <t>4.1.4.2.11</t>
        </is>
      </c>
      <c r="C941" s="3" t="inlineStr">
        <is>
          <t>Penanaman 1 m2 Semak, Honje/Kecombrang (Etlingera
Elatior), 16 Buah/m2,  Polybag 11 L</t>
        </is>
      </c>
      <c r="D941" s="3" t="inlineStr">
        <is>
          <t>m2</t>
        </is>
      </c>
      <c r="E941" s="4" t="n">
        <v>104218</v>
      </c>
    </row>
    <row r="942">
      <c r="A942" s="3" t="n">
        <v>940</v>
      </c>
      <c r="B942" s="3" t="inlineStr">
        <is>
          <t>4.1.4.2.12</t>
        </is>
      </c>
      <c r="C942" s="3" t="inlineStr">
        <is>
          <t>Penanaman 1 m2 Semak, Hujan Mas (Galphimia Glauca), 16
Buah/m2,  Polybag 11 L</t>
        </is>
      </c>
      <c r="D942" s="3" t="inlineStr">
        <is>
          <t>m2</t>
        </is>
      </c>
      <c r="E942" s="4" t="n">
        <v>104218</v>
      </c>
    </row>
    <row r="943">
      <c r="A943" s="3" t="n">
        <v>941</v>
      </c>
      <c r="B943" s="3" t="inlineStr">
        <is>
          <t>4.1.4.2.13</t>
        </is>
      </c>
      <c r="C943" s="3" t="inlineStr">
        <is>
          <t>Penanaman 1 m2 Semak, Kaca Piring (Gardenia Augusta), 16
Buah/m2, Polybag 11 L</t>
        </is>
      </c>
      <c r="D943" s="3" t="inlineStr">
        <is>
          <t>m2</t>
        </is>
      </c>
      <c r="E943" s="4" t="n">
        <v>104218</v>
      </c>
    </row>
    <row r="944">
      <c r="A944" s="3" t="n">
        <v>942</v>
      </c>
      <c r="B944" s="3" t="inlineStr">
        <is>
          <t>4.1.4.2.14</t>
        </is>
      </c>
      <c r="C944" s="3" t="inlineStr">
        <is>
          <t>Penanaman 1 m2 Semak, Kacapiring Wangi/Gardenia
(Gardenia Jasminoides), 16 Buah/m2 Polybag 11 L</t>
        </is>
      </c>
      <c r="D944" s="3" t="inlineStr">
        <is>
          <t>m2</t>
        </is>
      </c>
      <c r="E944" s="4" t="n">
        <v>104218</v>
      </c>
    </row>
    <row r="945">
      <c r="A945" s="3" t="n">
        <v>943</v>
      </c>
      <c r="B945" s="3" t="inlineStr">
        <is>
          <t>4.1.4.2.15</t>
        </is>
      </c>
      <c r="C945" s="3" t="inlineStr">
        <is>
          <t>Penanaman 1 m2 Semak, Kana (Canna Indica), 16 Buah/m2, Polybag 11 L</t>
        </is>
      </c>
      <c r="D945" s="3" t="inlineStr">
        <is>
          <t>m2</t>
        </is>
      </c>
      <c r="E945" s="4" t="n">
        <v>104218</v>
      </c>
    </row>
    <row r="946">
      <c r="A946" s="3" t="n">
        <v>944</v>
      </c>
      <c r="B946" s="3" t="inlineStr">
        <is>
          <t>4.1.4.2.16</t>
        </is>
      </c>
      <c r="C946" s="3" t="inlineStr">
        <is>
          <t>Penanaman 1 m2 Semak,Lili Brazil (Dianella Tasmanica), 16
Buah/m2, Polybag 11 L</t>
        </is>
      </c>
      <c r="D946" s="3" t="inlineStr">
        <is>
          <t>m2</t>
        </is>
      </c>
      <c r="E946" s="4" t="n">
        <v>104218</v>
      </c>
    </row>
    <row r="947">
      <c r="A947" s="3" t="n">
        <v>945</v>
      </c>
      <c r="B947" s="3" t="inlineStr">
        <is>
          <t>4.1.4.2.17</t>
        </is>
      </c>
      <c r="C947" s="3" t="inlineStr">
        <is>
          <t>Penanaman 1 m2 Semak,Melati Putih (Jasminum Sambac), 16
Buah/m2, Polybag 11 L</t>
        </is>
      </c>
      <c r="D947" s="3" t="inlineStr">
        <is>
          <t>m2</t>
        </is>
      </c>
      <c r="E947" s="4" t="n">
        <v>104218</v>
      </c>
    </row>
    <row r="948">
      <c r="A948" s="3" t="n">
        <v>946</v>
      </c>
      <c r="B948" s="3" t="inlineStr">
        <is>
          <t>4.1.4.2.18</t>
        </is>
      </c>
      <c r="C948" s="3" t="inlineStr">
        <is>
          <t>Penanaman 1 m2 Semak, Nusa Indah (Mussaenda), 9 Buah/m2, Polybag 11 L</t>
        </is>
      </c>
      <c r="D948" s="3" t="inlineStr">
        <is>
          <t>m2</t>
        </is>
      </c>
      <c r="E948" s="4" t="n">
        <v>65561</v>
      </c>
    </row>
    <row r="949">
      <c r="A949" s="3" t="n">
        <v>947</v>
      </c>
      <c r="B949" s="3" t="inlineStr">
        <is>
          <t>4.1.4.2.19</t>
        </is>
      </c>
      <c r="C949" s="3" t="inlineStr">
        <is>
          <t>Penanaman 1 m2 Semak, Oleander/Bunga Mentega (Nerium
Oleander), 16 Buah/m2,, Polybag 11 L</t>
        </is>
      </c>
      <c r="D949" s="3" t="inlineStr">
        <is>
          <t>m2</t>
        </is>
      </c>
      <c r="E949" s="4" t="n">
        <v>104218</v>
      </c>
    </row>
    <row r="950">
      <c r="A950" s="3" t="n">
        <v>948</v>
      </c>
      <c r="B950" s="3" t="inlineStr">
        <is>
          <t>4.1.4.2.20</t>
        </is>
      </c>
      <c r="C950" s="3" t="inlineStr">
        <is>
          <t>Penanaman 1 m2 Semak, Pretty Pink (Breynia Disticha), 16
Buah/m2, Polybag 11 L</t>
        </is>
      </c>
      <c r="D950" s="3" t="inlineStr">
        <is>
          <t>m2</t>
        </is>
      </c>
      <c r="E950" s="4" t="n">
        <v>104218</v>
      </c>
    </row>
    <row r="951">
      <c r="A951" s="3" t="n">
        <v>949</v>
      </c>
      <c r="B951" s="3" t="inlineStr">
        <is>
          <t>4.1.4.2.21</t>
        </is>
      </c>
      <c r="C951" s="3" t="inlineStr">
        <is>
          <t>Penanaman 1 m2 Semak, Puring (Codiaeum Variegatum), 16
Buah/m2, Polybag 11 L</t>
        </is>
      </c>
      <c r="D951" s="3" t="inlineStr">
        <is>
          <t>m2</t>
        </is>
      </c>
      <c r="E951" s="4" t="n">
        <v>104218</v>
      </c>
    </row>
    <row r="952">
      <c r="A952" s="3" t="n">
        <v>950</v>
      </c>
      <c r="B952" s="3" t="inlineStr">
        <is>
          <t>4.1.4.2.22</t>
        </is>
      </c>
      <c r="C952" s="3" t="inlineStr">
        <is>
          <t>Penanaman 1 m2 Semak, Ruelia / Kencana Ungu (Ruellia
Simplex), 16 Buah/m2, Polybag 11 L</t>
        </is>
      </c>
      <c r="D952" s="3" t="inlineStr">
        <is>
          <t>m2</t>
        </is>
      </c>
      <c r="E952" s="4" t="n">
        <v>104218</v>
      </c>
    </row>
    <row r="953">
      <c r="A953" s="3" t="n">
        <v>951</v>
      </c>
      <c r="B953" s="3" t="inlineStr">
        <is>
          <t>4.1.4.2.23</t>
        </is>
      </c>
      <c r="C953" s="3" t="inlineStr">
        <is>
          <t>Penanaman 1 m2 Semak, Sansevieria/Lidah Mertua
(Sansevieria Trifasciata), 16 Buah/m2, Polybag 11 L</t>
        </is>
      </c>
      <c r="D953" s="3" t="inlineStr">
        <is>
          <t>m2</t>
        </is>
      </c>
      <c r="E953" s="4" t="n">
        <v>104218</v>
      </c>
    </row>
    <row r="954">
      <c r="A954" s="3" t="n">
        <v>952</v>
      </c>
      <c r="B954" s="3" t="inlineStr">
        <is>
          <t>4.1.4.2.24</t>
        </is>
      </c>
      <c r="C954" s="3" t="inlineStr">
        <is>
          <t>Penanaman 1 m2 Semak, Soka (Ixora Coccinea), 16 Buah/m2, Polybag 11 L</t>
        </is>
      </c>
      <c r="D954" s="3" t="inlineStr">
        <is>
          <t>m2</t>
        </is>
      </c>
      <c r="E954" s="4" t="n">
        <v>104218</v>
      </c>
    </row>
    <row r="955">
      <c r="A955" s="3" t="n">
        <v>953</v>
      </c>
      <c r="B955" s="3" t="inlineStr">
        <is>
          <t>4.1.4.2.25</t>
        </is>
      </c>
      <c r="C955" s="3" t="inlineStr">
        <is>
          <t>Penanaman 1 m2 Semak, Tabernae (Tabernaemontana Sp.), 16
Buah/m2, Polybag 11 L</t>
        </is>
      </c>
      <c r="D955" s="3" t="inlineStr">
        <is>
          <t>m2</t>
        </is>
      </c>
      <c r="E955" s="4" t="n">
        <v>104218</v>
      </c>
    </row>
    <row r="956">
      <c r="A956" s="3" t="n">
        <v>954</v>
      </c>
      <c r="B956" s="3" t="inlineStr">
        <is>
          <t>4.1.4.2.26</t>
        </is>
      </c>
      <c r="C956" s="3" t="inlineStr">
        <is>
          <t>Penanaman 1 m2 Semak,Walisongo/Umbrella Tree (Schefflera
Arboricola), 16 Buah/m2,, Polybag 11 L</t>
        </is>
      </c>
      <c r="D956" s="3" t="inlineStr">
        <is>
          <t>m2</t>
        </is>
      </c>
      <c r="E956" s="4" t="n">
        <v>104218</v>
      </c>
    </row>
    <row r="957">
      <c r="A957" s="3" t="n">
        <v>955</v>
      </c>
      <c r="B957" s="3" t="inlineStr">
        <is>
          <t>4.1.4.2.27</t>
        </is>
      </c>
      <c r="C957" s="3" t="inlineStr">
        <is>
          <t>Penanaman 1 m2 Semak, Taiwan Beauty (Cuphea hyssopifolia), 16 Buah/m2, Polybag 11 L</t>
        </is>
      </c>
      <c r="D957" s="3" t="inlineStr">
        <is>
          <t>m2</t>
        </is>
      </c>
      <c r="E957" s="4" t="n">
        <v>130618</v>
      </c>
    </row>
    <row r="958">
      <c r="A958" s="3" t="n">
        <v>956</v>
      </c>
      <c r="B958" s="3" t="inlineStr">
        <is>
          <t>4.1.4.2.28</t>
        </is>
      </c>
      <c r="C958" s="3" t="inlineStr">
        <is>
          <t>Penanaman 1 m2 Semak, Andong (Cordyline fruticosa), 16 Buah/m2, Polybag 11 L</t>
        </is>
      </c>
      <c r="D958" s="3" t="inlineStr">
        <is>
          <t>m2</t>
        </is>
      </c>
      <c r="E958" s="4" t="n">
        <v>104218</v>
      </c>
    </row>
    <row r="959">
      <c r="A959" s="3" t="n">
        <v>957</v>
      </c>
      <c r="B959" s="3" t="inlineStr">
        <is>
          <t>4.1.4.2.29</t>
        </is>
      </c>
      <c r="C959" s="3" t="inlineStr">
        <is>
          <t>Penanaman 1 m2 Semak, Peace Lily (Spathiphyllum wallisii), 16 Buah/m2, Polybag 11 L</t>
        </is>
      </c>
      <c r="D959" s="3" t="inlineStr">
        <is>
          <t>m2</t>
        </is>
      </c>
      <c r="E959" s="4" t="n">
        <v>130618</v>
      </c>
    </row>
    <row r="960">
      <c r="A960" s="3" t="n">
        <v>958</v>
      </c>
      <c r="B960" s="3" t="inlineStr">
        <is>
          <t>4.1.4.2.30</t>
        </is>
      </c>
      <c r="C960" s="3" t="inlineStr">
        <is>
          <t>Penanaman 1 m2 Semak, Philo Jari (Philodendron selloium), 16 Buah/m2, Polybag 11 L</t>
        </is>
      </c>
      <c r="D960" s="3" t="inlineStr">
        <is>
          <t>m2</t>
        </is>
      </c>
      <c r="E960" s="4" t="n">
        <v>130618</v>
      </c>
    </row>
    <row r="961">
      <c r="A961" s="3" t="n">
        <v>959</v>
      </c>
      <c r="B961" s="3" t="inlineStr">
        <is>
          <t>4.1.4.2.31</t>
        </is>
      </c>
      <c r="C961" s="3" t="inlineStr">
        <is>
          <t>Penanaman 1 m2 Semak, Rombusa (Tabernaemontana corymbosa), 16 Buah/m2, Polybag 11 L</t>
        </is>
      </c>
      <c r="D961" s="3" t="inlineStr">
        <is>
          <t>m2</t>
        </is>
      </c>
      <c r="E961" s="4" t="n">
        <v>104218</v>
      </c>
    </row>
    <row r="962">
      <c r="A962" s="3" t="n">
        <v>960</v>
      </c>
      <c r="B962" s="3" t="inlineStr">
        <is>
          <t>4.1.4.3.1</t>
        </is>
      </c>
      <c r="C962" s="3" t="inlineStr">
        <is>
          <t>Penanaman 1 m2 Semak, Agave/ Lidah Naga (Agave Americana), 3 Buah/m2, Polybag 20 L</t>
        </is>
      </c>
      <c r="D962" s="3" t="inlineStr">
        <is>
          <t>m2</t>
        </is>
      </c>
      <c r="E962" s="4" t="n">
        <v>47786</v>
      </c>
    </row>
    <row r="963">
      <c r="A963" s="3" t="n">
        <v>961</v>
      </c>
      <c r="B963" s="3" t="inlineStr">
        <is>
          <t>4.1.4.3.2</t>
        </is>
      </c>
      <c r="C963" s="3" t="inlineStr">
        <is>
          <t>Penanaman 1 m2 Semak, Alamanda/Bunga Terompet Emas
(Allamanda Cathartica), 5 Buah/ m2, Polybag 20 L</t>
        </is>
      </c>
      <c r="D963" s="3" t="inlineStr">
        <is>
          <t>m2</t>
        </is>
      </c>
      <c r="E963" s="4" t="n">
        <v>67586</v>
      </c>
    </row>
    <row r="964">
      <c r="A964" s="3" t="n">
        <v>962</v>
      </c>
      <c r="B964" s="3" t="inlineStr">
        <is>
          <t>4.1.4.3.3</t>
        </is>
      </c>
      <c r="C964" s="3" t="inlineStr">
        <is>
          <t>Penanaman 1 m2 Semak, Bakung Jawa (Crinum Asiaticum), 12
Buah/ m2, Polybag 20 L</t>
        </is>
      </c>
      <c r="D964" s="3" t="inlineStr">
        <is>
          <t>m2</t>
        </is>
      </c>
      <c r="E964" s="4" t="n">
        <v>136886</v>
      </c>
    </row>
    <row r="965">
      <c r="A965" s="3" t="n">
        <v>963</v>
      </c>
      <c r="B965" s="3" t="inlineStr">
        <is>
          <t>4.1.4.3.4</t>
        </is>
      </c>
      <c r="C965" s="3" t="inlineStr">
        <is>
          <t>Penanaman 1 m2 Semak, Bromelia (Bromelia Sp.), 3 Buah/ m2,, Polybag 20 L</t>
        </is>
      </c>
      <c r="D965" s="3" t="inlineStr">
        <is>
          <t>m2</t>
        </is>
      </c>
      <c r="E965" s="4" t="n">
        <v>47786</v>
      </c>
    </row>
    <row r="966">
      <c r="A966" s="3" t="n">
        <v>964</v>
      </c>
      <c r="B966" s="3" t="inlineStr">
        <is>
          <t>4.1.4.3.5</t>
        </is>
      </c>
      <c r="C966" s="3" t="inlineStr">
        <is>
          <t>Penanaman 1 m2 Semak, Bugenvil/Bunga Kertas (Bougenvillea
Sp), 12 Buah/ m2, Polybag 20 L</t>
        </is>
      </c>
      <c r="D966" s="3" t="inlineStr">
        <is>
          <t>m2</t>
        </is>
      </c>
      <c r="E966" s="4" t="n">
        <v>136886</v>
      </c>
    </row>
    <row r="967">
      <c r="A967" s="3" t="n">
        <v>965</v>
      </c>
      <c r="B967" s="3" t="inlineStr">
        <is>
          <t>4.1.4.3.6</t>
        </is>
      </c>
      <c r="C967" s="3" t="inlineStr">
        <is>
          <t>Penanaman 1 m2 Semak, Bunga Terompet Kuning (Tecoma
Stans), 12 Buah/ m2, Polybag 20 L</t>
        </is>
      </c>
      <c r="D967" s="3" t="inlineStr">
        <is>
          <t>m2</t>
        </is>
      </c>
      <c r="E967" s="4" t="n">
        <v>136886</v>
      </c>
    </row>
    <row r="968">
      <c r="A968" s="3" t="n">
        <v>966</v>
      </c>
      <c r="B968" s="3" t="inlineStr">
        <is>
          <t>4.1.4.3.7</t>
        </is>
      </c>
      <c r="C968" s="3" t="inlineStr">
        <is>
          <t>Penanaman 1 m2 Semak, Canna (Canna Indica), 12 Buah/ m2, Polybag 20 L</t>
        </is>
      </c>
      <c r="D968" s="3" t="inlineStr">
        <is>
          <t>m2</t>
        </is>
      </c>
      <c r="E968" s="4" t="n">
        <v>136886</v>
      </c>
    </row>
    <row r="969">
      <c r="A969" s="3" t="n">
        <v>967</v>
      </c>
      <c r="B969" s="3" t="inlineStr">
        <is>
          <t>4.1.4.3.8</t>
        </is>
      </c>
      <c r="C969" s="3" t="inlineStr">
        <is>
          <t>Penanaman 1 m2 Semak, Dracaena ‘Song Of India’ (Dracaena
Reflexa "Song Of India"), 12 Buah/ m2,  Polybag 20 L</t>
        </is>
      </c>
      <c r="D969" s="3" t="inlineStr">
        <is>
          <t>m2</t>
        </is>
      </c>
      <c r="E969" s="4" t="n">
        <v>136886</v>
      </c>
    </row>
    <row r="970">
      <c r="A970" s="3" t="n">
        <v>968</v>
      </c>
      <c r="B970" s="3" t="inlineStr">
        <is>
          <t>4.1.4.3.9</t>
        </is>
      </c>
      <c r="C970" s="3" t="inlineStr">
        <is>
          <t>Penanaman 1 m2 Semak, Dracaena 'Song Of Jamaica' (Dracaena
Reflexa "Song Of Jamaica"), 12 Buah/ m2,  Polybag 20 L</t>
        </is>
      </c>
      <c r="D970" s="3" t="inlineStr">
        <is>
          <t>m2</t>
        </is>
      </c>
      <c r="E970" s="4" t="n">
        <v>136886</v>
      </c>
    </row>
    <row r="971">
      <c r="A971" s="3" t="n">
        <v>969</v>
      </c>
      <c r="B971" s="3" t="inlineStr">
        <is>
          <t>4.1.4.3.10</t>
        </is>
      </c>
      <c r="C971" s="3" t="inlineStr">
        <is>
          <t>Penanaman 1 m2 Semak, Helliconia (Heliconia Psittacorum),
12 Buah/ m2,,  Polybag 20 L</t>
        </is>
      </c>
      <c r="D971" s="3" t="inlineStr">
        <is>
          <t>m2</t>
        </is>
      </c>
      <c r="E971" s="4" t="n">
        <v>136886</v>
      </c>
    </row>
    <row r="972">
      <c r="A972" s="3" t="n">
        <v>970</v>
      </c>
      <c r="B972" s="3" t="inlineStr">
        <is>
          <t>4.1.4.3.11</t>
        </is>
      </c>
      <c r="C972" s="3" t="inlineStr">
        <is>
          <t>Penanaman 1 m2 Semak, Honje/Kecombrang (Etlingera
Elatior), 12 Buah/ m2, Polybag 20 L</t>
        </is>
      </c>
      <c r="D972" s="3" t="inlineStr">
        <is>
          <t>m2</t>
        </is>
      </c>
      <c r="E972" s="4" t="n">
        <v>136886</v>
      </c>
    </row>
    <row r="973">
      <c r="A973" s="3" t="n">
        <v>971</v>
      </c>
      <c r="B973" s="3" t="inlineStr">
        <is>
          <t>4.1.4.3.12</t>
        </is>
      </c>
      <c r="C973" s="3" t="inlineStr">
        <is>
          <t>Penanaman 1 m2 Semak, Hujan Mas (Galphimia Glauca), 12
Buah/ m2, Polybag 20 L</t>
        </is>
      </c>
      <c r="D973" s="3" t="inlineStr">
        <is>
          <t>m2</t>
        </is>
      </c>
      <c r="E973" s="4" t="n">
        <v>136886</v>
      </c>
    </row>
    <row r="974">
      <c r="A974" s="3" t="n">
        <v>972</v>
      </c>
      <c r="B974" s="3" t="inlineStr">
        <is>
          <t>4.1.4.3.13</t>
        </is>
      </c>
      <c r="C974" s="3" t="inlineStr">
        <is>
          <t>Penanaman 1 m2 Semak, Kacapiring Wangi/Gardenia (Gardenia
Jasminoides), 12 Buah/ m2, Polybag 20 L</t>
        </is>
      </c>
      <c r="D974" s="3" t="inlineStr">
        <is>
          <t>m2</t>
        </is>
      </c>
      <c r="E974" s="4" t="n">
        <v>136886</v>
      </c>
    </row>
    <row r="975">
      <c r="A975" s="3" t="n">
        <v>973</v>
      </c>
      <c r="B975" s="3" t="inlineStr">
        <is>
          <t>4.1.4.3.14</t>
        </is>
      </c>
      <c r="C975" s="3" t="inlineStr">
        <is>
          <t>Penanaman 1 m2 Semak, Kembang Sepatu (Hibiscus Rosa-
Sinensis), 12 Buah/ m2,, Polybag 20 L</t>
        </is>
      </c>
      <c r="D975" s="3" t="inlineStr">
        <is>
          <t>m2</t>
        </is>
      </c>
      <c r="E975" s="4" t="n">
        <v>136886</v>
      </c>
    </row>
    <row r="976">
      <c r="A976" s="3" t="n">
        <v>974</v>
      </c>
      <c r="B976" s="3" t="inlineStr">
        <is>
          <t>4.1.4.3.15</t>
        </is>
      </c>
      <c r="C976" s="3" t="inlineStr">
        <is>
          <t>Penanaman 1 m2 Semak, Oleander/Bunga Mentega (Nerium
Oleander), 12 Buah/ m2, Polybag 20 L</t>
        </is>
      </c>
      <c r="D976" s="3" t="inlineStr">
        <is>
          <t>m2</t>
        </is>
      </c>
      <c r="E976" s="4" t="n">
        <v>136886</v>
      </c>
    </row>
    <row r="977">
      <c r="A977" s="3" t="n">
        <v>975</v>
      </c>
      <c r="B977" s="3" t="inlineStr">
        <is>
          <t>4.1.4.3.16</t>
        </is>
      </c>
      <c r="C977" s="3" t="inlineStr">
        <is>
          <t>Penanaman 1 m2 Semak, Penda Emas (Xanthostemon
Chrysanthus), 12 Buah/ m2, Polybag 20 L</t>
        </is>
      </c>
      <c r="D977" s="3" t="inlineStr">
        <is>
          <t>m2</t>
        </is>
      </c>
      <c r="E977" s="4" t="n">
        <v>136886</v>
      </c>
    </row>
    <row r="978">
      <c r="A978" s="3" t="n">
        <v>976</v>
      </c>
      <c r="B978" s="3" t="inlineStr">
        <is>
          <t>4.1.4.3.17</t>
        </is>
      </c>
      <c r="C978" s="3" t="inlineStr">
        <is>
          <t>Penanaman 1 m2 Semak,Puring (Codiaeum Variegatum), 12
Buah/ m2, Polybag 20 L</t>
        </is>
      </c>
      <c r="D978" s="3" t="inlineStr">
        <is>
          <t>m2</t>
        </is>
      </c>
      <c r="E978" s="4" t="n">
        <v>136886</v>
      </c>
    </row>
    <row r="979">
      <c r="A979" s="3" t="n">
        <v>977</v>
      </c>
      <c r="B979" s="3" t="inlineStr">
        <is>
          <t>4.1.4.3.18</t>
        </is>
      </c>
      <c r="C979" s="3" t="inlineStr">
        <is>
          <t>Penanaman 1 m2 Semak, Tabernac (Tabernaemontana Sp. ), 12
Buah/ m2, Polybag 20 L</t>
        </is>
      </c>
      <c r="D979" s="3" t="inlineStr">
        <is>
          <t>m2</t>
        </is>
      </c>
      <c r="E979" s="4" t="n">
        <v>136886</v>
      </c>
    </row>
    <row r="980">
      <c r="A980" s="3" t="n">
        <v>978</v>
      </c>
      <c r="B980" s="3" t="inlineStr">
        <is>
          <t>4.1.4.3.19</t>
        </is>
      </c>
      <c r="C980" s="3" t="inlineStr">
        <is>
          <t>Penanaman 1 m2 SemakWalisongo/Umbrella Tree (Schefflera
Arboricola), 12 Buah/ m2, Polybag 20 L</t>
        </is>
      </c>
      <c r="D980" s="3" t="inlineStr">
        <is>
          <t>m2</t>
        </is>
      </c>
      <c r="E980" s="4" t="n">
        <v>136886</v>
      </c>
    </row>
    <row r="981">
      <c r="A981" s="3" t="n">
        <v>979</v>
      </c>
      <c r="B981" s="3" t="inlineStr">
        <is>
          <t>4.1.4.3.20</t>
        </is>
      </c>
      <c r="C981" s="3" t="inlineStr">
        <is>
          <t>Penanaman 1 m2 Semak, Keladi Sente (Alocasia macrorrhiz), 9 Buah/ m2, Polybag 20 L</t>
        </is>
      </c>
      <c r="D981" s="3" t="inlineStr">
        <is>
          <t>m2</t>
        </is>
      </c>
      <c r="E981" s="4" t="n">
        <v>136886</v>
      </c>
    </row>
    <row r="982">
      <c r="A982" s="3" t="n">
        <v>980</v>
      </c>
      <c r="B982" s="3" t="inlineStr">
        <is>
          <t>4.1.5.1</t>
        </is>
      </c>
      <c r="C982" s="3" t="inlineStr">
        <is>
          <t>Penanaman 1 m2 Penutup Tanah, Kacang Hias (Arachis Pintoi ), 25 Buah/ m2, Polybag 0.5 L</t>
        </is>
      </c>
      <c r="D982" s="3" t="inlineStr">
        <is>
          <t>m2</t>
        </is>
      </c>
      <c r="E982" s="4" t="n">
        <v>28037</v>
      </c>
    </row>
    <row r="983">
      <c r="A983" s="3" t="n">
        <v>981</v>
      </c>
      <c r="B983" s="3" t="inlineStr">
        <is>
          <t>4.1.5.2</t>
        </is>
      </c>
      <c r="C983" s="3" t="inlineStr">
        <is>
          <t>Penanaman 1 m2 Penutup Tanah, Kacang Hias (Arachis Pintoi ), 36 Buah/ m2, Polybag 0.5 L</t>
        </is>
      </c>
      <c r="D983" s="3" t="inlineStr">
        <is>
          <t>m2</t>
        </is>
      </c>
      <c r="E983" s="4" t="n">
        <v>28037</v>
      </c>
    </row>
    <row r="984">
      <c r="A984" s="3" t="n">
        <v>982</v>
      </c>
      <c r="B984" s="3" t="inlineStr">
        <is>
          <t>4.1.5.3</t>
        </is>
      </c>
      <c r="C984" s="3" t="inlineStr">
        <is>
          <t>Penanaman 1 m2 Penutup Tanah, Widelia (Wedelia Trilobata), 36 Buah/ m2, Polybag 0.5 L</t>
        </is>
      </c>
      <c r="D984" s="3" t="inlineStr">
        <is>
          <t>m2</t>
        </is>
      </c>
      <c r="E984" s="4" t="n">
        <v>28037</v>
      </c>
    </row>
    <row r="985">
      <c r="A985" s="3" t="n">
        <v>983</v>
      </c>
      <c r="B985" s="3" t="inlineStr">
        <is>
          <t>4.1.5.4</t>
        </is>
      </c>
      <c r="C985" s="3" t="inlineStr">
        <is>
          <t>Penanaman 1 m2 Penutup Tanah, Sutra Bombay (Portulaca Sp.), 36 Buah/ m2, Polybag 0.5 L</t>
        </is>
      </c>
      <c r="D985" s="3" t="inlineStr">
        <is>
          <t>m2</t>
        </is>
      </c>
      <c r="E985" s="4" t="n">
        <v>28037</v>
      </c>
    </row>
    <row r="986">
      <c r="A986" s="3" t="n">
        <v>984</v>
      </c>
      <c r="B986" s="3" t="inlineStr">
        <is>
          <t>4.1.5.5</t>
        </is>
      </c>
      <c r="C986" s="3" t="inlineStr">
        <is>
          <t>Penanaman 1 m2 Penutup Tanah, Lantana (Lantana Camara), 36 Buah/ m2, Polybag 0.5 L</t>
        </is>
      </c>
      <c r="D986" s="3" t="inlineStr">
        <is>
          <t>m2</t>
        </is>
      </c>
      <c r="E986" s="4" t="n">
        <v>28037</v>
      </c>
    </row>
    <row r="987">
      <c r="A987" s="3" t="n">
        <v>985</v>
      </c>
      <c r="B987" s="3" t="inlineStr">
        <is>
          <t>4.1.5.6</t>
        </is>
      </c>
      <c r="C987" s="3" t="inlineStr">
        <is>
          <t>Penanaman 1 m2 Penutup Tanah,Kucai Mini (Ophiopogon
Japonicus), 50 Buah/ m2, Polybag 0,5 L</t>
        </is>
      </c>
      <c r="D987" s="3" t="inlineStr">
        <is>
          <t>m2</t>
        </is>
      </c>
      <c r="E987" s="4" t="n">
        <v>28037</v>
      </c>
    </row>
    <row r="988">
      <c r="A988" s="3" t="n">
        <v>986</v>
      </c>
      <c r="B988" s="3" t="inlineStr">
        <is>
          <t>4.1.6.1</t>
        </is>
      </c>
      <c r="C988" s="3" t="inlineStr">
        <is>
          <t>Penanaman 1 m2 Rumput,Rumput Gajah (Pennisetum Purpureum)</t>
        </is>
      </c>
      <c r="D988" s="3" t="inlineStr">
        <is>
          <t>m2</t>
        </is>
      </c>
      <c r="E988" s="4" t="n">
        <v>36971</v>
      </c>
    </row>
    <row r="989">
      <c r="A989" s="3" t="n">
        <v>987</v>
      </c>
      <c r="B989" s="3" t="inlineStr">
        <is>
          <t>4.1.6.2</t>
        </is>
      </c>
      <c r="C989" s="3" t="inlineStr">
        <is>
          <t>Penanaman 1 m2 Rumput,Rumput Gajah Mini (Axonopus
Compressus)</t>
        </is>
      </c>
      <c r="D989" s="3" t="inlineStr">
        <is>
          <t>m2</t>
        </is>
      </c>
      <c r="E989" s="4" t="n">
        <v>42471</v>
      </c>
    </row>
    <row r="990">
      <c r="A990" s="3" t="n">
        <v>988</v>
      </c>
      <c r="B990" s="3" t="inlineStr">
        <is>
          <t>4.1.6.3</t>
        </is>
      </c>
      <c r="C990" s="3" t="inlineStr">
        <is>
          <t>Penanaman 1 m2 Rumput,Rumput Peking (Agrostis Stolonifera)</t>
        </is>
      </c>
      <c r="D990" s="3" t="inlineStr">
        <is>
          <t>m2</t>
        </is>
      </c>
      <c r="E990" s="4" t="n">
        <v>46871</v>
      </c>
    </row>
    <row r="991">
      <c r="A991" s="3" t="n">
        <v>989</v>
      </c>
      <c r="B991" s="3" t="inlineStr">
        <is>
          <t>4.1.6.4</t>
        </is>
      </c>
      <c r="C991" s="3" t="inlineStr">
        <is>
          <t>Penanaman 1 m2 Rumput, Rumput Embun (Bothriochloa Pertusa)</t>
        </is>
      </c>
      <c r="D991" s="3" t="inlineStr">
        <is>
          <t>m2</t>
        </is>
      </c>
      <c r="E991" s="4" t="n">
        <v>44671</v>
      </c>
    </row>
    <row r="992">
      <c r="A992" s="3" t="n">
        <v>990</v>
      </c>
      <c r="B992" s="3" t="inlineStr">
        <is>
          <t>4.1.7.1</t>
        </is>
      </c>
      <c r="C992" s="3" t="inlineStr">
        <is>
          <t>Penanaman pada Lereng Tanah 1:2 (13-26,5° ), Metode Hydroseeding per m2 permukaan lereng ( Menggunakan Jenis Biji Rumput)</t>
        </is>
      </c>
      <c r="D992" s="3" t="inlineStr">
        <is>
          <t>m2</t>
        </is>
      </c>
      <c r="E992" s="4" t="n">
        <v>137911</v>
      </c>
    </row>
    <row r="993">
      <c r="A993" s="3" t="n">
        <v>991</v>
      </c>
      <c r="B993" s="3" t="inlineStr">
        <is>
          <t>4.1.7.2</t>
        </is>
      </c>
      <c r="C993" s="3" t="inlineStr">
        <is>
          <t>Penanaman pada Lereng Tanah 1:2 (13°-26.5°), Metode Taplok per
m2 Permukaan Lereng (Menggunakan Jenis Biji Rumput)</t>
        </is>
      </c>
      <c r="D993" s="3" t="inlineStr">
        <is>
          <t>m2</t>
        </is>
      </c>
      <c r="E993" s="4" t="n">
        <v>153291</v>
      </c>
    </row>
    <row r="994">
      <c r="A994" s="3" t="n">
        <v>992</v>
      </c>
      <c r="B994" s="3" t="inlineStr">
        <is>
          <t>4.1.7.3</t>
        </is>
      </c>
      <c r="C994" s="3" t="inlineStr">
        <is>
          <t>Penanaman pada Lereng Tanah 1:1 (26.5°-45°), Metode
Hydroseeding per m2 Permukaan Lereng (Menggunakan Jenis Biji
Rumput)</t>
        </is>
      </c>
      <c r="D994" s="3" t="inlineStr">
        <is>
          <t>m2</t>
        </is>
      </c>
      <c r="E994" s="4" t="n">
        <v>179448</v>
      </c>
    </row>
    <row r="995">
      <c r="A995" s="3" t="n">
        <v>993</v>
      </c>
      <c r="B995" s="3" t="inlineStr">
        <is>
          <t>4.1.7.4</t>
        </is>
      </c>
      <c r="C995" s="3" t="inlineStr">
        <is>
          <t>Penanaman pada Lereng Tanah 1:1 (26.5°-45°), Metode Taplok per
m2 Permukaan Lereng (Menggunakan Jenis Biji Rumput</t>
        </is>
      </c>
      <c r="D995" s="3" t="inlineStr">
        <is>
          <t>m2</t>
        </is>
      </c>
      <c r="E995" s="4" t="n">
        <v>192464</v>
      </c>
    </row>
    <row r="996">
      <c r="A996" s="3" t="n">
        <v>994</v>
      </c>
      <c r="B996" s="3" t="inlineStr">
        <is>
          <t>4.1.7.5</t>
        </is>
      </c>
      <c r="C996" s="3" t="inlineStr">
        <is>
          <t>Penanaman pada Lereng Tanah dan/atau Kombinasi Tanah dan
Batuan 1:0.5 (45°-63°), Metode Hydroseeding per m2 Permukaan
Lereng (Menggunakan Jenis Biji Rumput)</t>
        </is>
      </c>
      <c r="D996" s="3" t="inlineStr">
        <is>
          <t>m2</t>
        </is>
      </c>
      <c r="E996" s="4" t="n">
        <v>222245</v>
      </c>
    </row>
    <row r="997">
      <c r="A997" s="3" t="n">
        <v>995</v>
      </c>
      <c r="B997" s="3" t="inlineStr">
        <is>
          <t>4.1.7.6</t>
        </is>
      </c>
      <c r="C997" s="3" t="inlineStr">
        <is>
          <t>Penanaman pada Lereng Tanah dan/atau Kombinasi Tanah dan
Batuan 1:0.5 (45°-63°), Metode Taplok per m2 Permukaan Lereng
(Menggunakan Jenis Biji Rumput</t>
        </is>
      </c>
      <c r="D997" s="3" t="inlineStr">
        <is>
          <t>m2</t>
        </is>
      </c>
      <c r="E997" s="4" t="n">
        <v>283410</v>
      </c>
    </row>
    <row r="998">
      <c r="A998" s="3" t="n">
        <v>996</v>
      </c>
      <c r="B998" s="3" t="inlineStr">
        <is>
          <t>4.1.7.7</t>
        </is>
      </c>
      <c r="C998" s="3" t="inlineStr">
        <is>
          <t>Penanaman pada Lereng Tanah 1:2 (13°-26.5°), Metode
Hydroseeding per m2 Permukaan Lereng (Menggunakan Jenis Biji
Legume Crop Cover/LCC)</t>
        </is>
      </c>
      <c r="D998" s="3" t="inlineStr">
        <is>
          <t>m2</t>
        </is>
      </c>
      <c r="E998" s="4" t="n">
        <v>139770</v>
      </c>
    </row>
    <row r="999">
      <c r="A999" s="3" t="n">
        <v>997</v>
      </c>
      <c r="B999" s="3" t="inlineStr">
        <is>
          <t>4.1.7.8</t>
        </is>
      </c>
      <c r="C999" s="3" t="inlineStr">
        <is>
          <t>Penanaman pada Lereng Tanah 1:2 (13°-26.5°), Metode Taplok per
m2 Permukaan Lereng (Menggunakan Jenis Biji Legume Crop
Cover/LCC)</t>
        </is>
      </c>
      <c r="D999" s="3" t="inlineStr">
        <is>
          <t>m2</t>
        </is>
      </c>
      <c r="E999" s="4" t="n">
        <v>155150</v>
      </c>
    </row>
    <row r="1000">
      <c r="A1000" s="3" t="n">
        <v>998</v>
      </c>
      <c r="B1000" s="3" t="inlineStr">
        <is>
          <t>4.1.7.9</t>
        </is>
      </c>
      <c r="C1000" s="3" t="inlineStr">
        <is>
          <t>Penanaman pada Lereng Tanah 1:1 (26.5°-45°), Metode
Hydroseeding per m2 Permukaan Lereng (Menggunakan Jenis Biji
Legume Crop Cover/LCC)</t>
        </is>
      </c>
      <c r="D1000" s="3" t="inlineStr">
        <is>
          <t>m2</t>
        </is>
      </c>
      <c r="E1000" s="4" t="n">
        <v>181307</v>
      </c>
    </row>
    <row r="1001">
      <c r="A1001" s="3" t="n">
        <v>999</v>
      </c>
      <c r="B1001" s="3" t="inlineStr">
        <is>
          <t>4.1.7.10</t>
        </is>
      </c>
      <c r="C1001" s="3" t="inlineStr">
        <is>
          <t>Penanaman Pada Lereng Tanah 1:1 (26.5°-45°), Metode Taplok per
m2 Permukaan Lereng (Menggunakan Jenis Biji Legume Crop
Cover/LCC)</t>
        </is>
      </c>
      <c r="D1001" s="3" t="inlineStr">
        <is>
          <t>m2</t>
        </is>
      </c>
      <c r="E1001" s="4" t="n">
        <v>194323</v>
      </c>
    </row>
    <row r="1002">
      <c r="A1002" s="3" t="n">
        <v>1000</v>
      </c>
      <c r="B1002" s="3" t="inlineStr">
        <is>
          <t>4.1.7.11</t>
        </is>
      </c>
      <c r="C1002" s="3" t="inlineStr">
        <is>
          <t>Penanaman pada Lereng Tanah dan/atau Kombinasi Tanah dan
Batuan 1:0.5 (45°-63°), Metode Hydroseeding per m2 Permukaan
Lereng (Menggunakan Jenis Biji Legume Crop Cover/LCC)</t>
        </is>
      </c>
      <c r="D1002" s="3" t="inlineStr">
        <is>
          <t>m2</t>
        </is>
      </c>
      <c r="E1002" s="4" t="n">
        <v>223237</v>
      </c>
    </row>
    <row r="1003">
      <c r="A1003" s="3" t="n">
        <v>1001</v>
      </c>
      <c r="B1003" s="3" t="inlineStr">
        <is>
          <t>4.1.7.12</t>
        </is>
      </c>
      <c r="C1003" s="3" t="inlineStr">
        <is>
          <t>Penanaman pada Lereng Tanah dan/atau Kombinasi Tanah dan
Batuan 1:0.5 (45°-63°), Metode Taplok per m2 Permukaan Lereng
(Menggunakan Jenis Biji Legume Crop Cover/LCC)</t>
        </is>
      </c>
      <c r="D1003" s="3" t="inlineStr">
        <is>
          <t>m2</t>
        </is>
      </c>
      <c r="E1003" s="4" t="n">
        <v>285269</v>
      </c>
    </row>
    <row r="1004">
      <c r="A1004" s="3" t="n">
        <v>1002</v>
      </c>
      <c r="B1004" s="3" t="inlineStr">
        <is>
          <t>4.1.8.1</t>
        </is>
      </c>
      <c r="C1004" s="3" t="inlineStr">
        <is>
          <t>Cara Perhitungan AHSP Pengelolaan Tanah Tidak Subur</t>
        </is>
      </c>
      <c r="D1004" s="3" t="n">
        <v/>
      </c>
      <c r="E1004" s="4" t="n">
        <v>0</v>
      </c>
    </row>
    <row r="1005">
      <c r="A1005" s="3" t="n">
        <v>1003</v>
      </c>
      <c r="B1005" s="3" t="inlineStr">
        <is>
          <t>4.1.8.2</t>
        </is>
      </c>
      <c r="C1005" s="3" t="inlineStr">
        <is>
          <t>Pengolahan Tanah berPH 4,50-5,50 dan bertekstur Pasir 60,01%-100,00% atau tanah sandy per m3</t>
        </is>
      </c>
      <c r="D1005" s="3" t="n">
        <v/>
      </c>
      <c r="E1005" s="4" t="n">
        <v>76725</v>
      </c>
    </row>
    <row r="1006">
      <c r="A1006" s="3" t="n">
        <v>1004</v>
      </c>
      <c r="B1006" s="3" t="inlineStr">
        <is>
          <t>4.1.8.3</t>
        </is>
      </c>
      <c r="C1006" s="3" t="inlineStr">
        <is>
          <t>Pengolahan Tanah berPH 4.50-5.50 dan Bertekstur Liat 40.01% -
60.00% atau Tanah Sandy Loam per m3</t>
        </is>
      </c>
      <c r="D1006" s="3" t="n">
        <v/>
      </c>
      <c r="E1006" s="4" t="n">
        <v>76725</v>
      </c>
    </row>
    <row r="1007">
      <c r="A1007" s="3" t="n">
        <v>1005</v>
      </c>
      <c r="B1007" s="3" t="inlineStr">
        <is>
          <t>4.1.8.4</t>
        </is>
      </c>
      <c r="C1007" s="3" t="inlineStr">
        <is>
          <t>Pengolahan Tanah berPH 4.50-5.50 dan Bertekstur Liat 60.01% -
100.00% atau Tanah Loam To Clay Loam per m3</t>
        </is>
      </c>
      <c r="D1007" s="3" t="n">
        <v/>
      </c>
      <c r="E1007" s="4" t="n">
        <v>118998</v>
      </c>
    </row>
    <row r="1008">
      <c r="A1008" s="3" t="n">
        <v>1006</v>
      </c>
      <c r="B1008" s="3" t="inlineStr">
        <is>
          <t>4.1.8.5</t>
        </is>
      </c>
      <c r="C1008" s="3" t="inlineStr">
        <is>
          <t>Pengolahan Tanah berPH 3.50-4.49 dan Bertekstur Liat 60.01% -
100.00% atau Tanah Sandy per m3</t>
        </is>
      </c>
      <c r="D1008" s="3" t="n">
        <v/>
      </c>
      <c r="E1008" s="4" t="n">
        <v>77407</v>
      </c>
    </row>
    <row r="1009">
      <c r="A1009" s="3" t="n">
        <v>1007</v>
      </c>
      <c r="B1009" s="3" t="inlineStr">
        <is>
          <t>4.1.8.6</t>
        </is>
      </c>
      <c r="C1009" s="3" t="inlineStr">
        <is>
          <t>Pengolahan Tanah berPH 3.50-4.49 dan Bertekstur Liat 40.01% -
60.00% atau Tanah Sandy Loam per m3</t>
        </is>
      </c>
      <c r="D1009" s="3" t="n">
        <v/>
      </c>
      <c r="E1009" s="4" t="n">
        <v>77682</v>
      </c>
    </row>
    <row r="1010">
      <c r="A1010" s="3" t="n">
        <v>1008</v>
      </c>
      <c r="B1010" s="3" t="inlineStr">
        <is>
          <t>4.1.8.7</t>
        </is>
      </c>
      <c r="C1010" s="3" t="inlineStr">
        <is>
          <t>Pengolahan Tanah berPH 3.50-4.49 dan Bertekstur Liat 60.01% -
100.00% atau Tanah Loam To Clay Loam per m3</t>
        </is>
      </c>
      <c r="D1010" s="3" t="n">
        <v/>
      </c>
      <c r="E1010" s="4" t="n">
        <v>120362</v>
      </c>
    </row>
    <row r="1011">
      <c r="A1011" s="3" t="n">
        <v>1009</v>
      </c>
      <c r="B1011" s="3" t="inlineStr">
        <is>
          <t>4.1.8.8</t>
        </is>
      </c>
      <c r="C1011" s="3" t="inlineStr">
        <is>
          <t>Pengolahan Tanah berPH &gt;7.5 per m3</t>
        </is>
      </c>
      <c r="D1011" s="3" t="n">
        <v/>
      </c>
      <c r="E1011" s="4" t="n">
        <v>77104</v>
      </c>
    </row>
    <row r="1012">
      <c r="A1012" s="3" t="n">
        <v>1010</v>
      </c>
      <c r="B1012" s="3" t="inlineStr">
        <is>
          <t>4.1.8.9</t>
        </is>
      </c>
      <c r="C1012" s="3" t="inlineStr">
        <is>
          <t>Pengolahan Tanah berPH &gt;7.5 dan Bertekstur Pasir 60.01% -
100.00% atau Tanah Sandy per m3</t>
        </is>
      </c>
      <c r="D1012" s="3" t="n">
        <v/>
      </c>
      <c r="E1012" s="4" t="n">
        <v>77682</v>
      </c>
    </row>
    <row r="1013">
      <c r="A1013" s="3" t="n">
        <v>1011</v>
      </c>
      <c r="B1013" s="3" t="inlineStr">
        <is>
          <t>4.1.8.10</t>
        </is>
      </c>
      <c r="C1013" s="3" t="inlineStr">
        <is>
          <t>Pengolahan Tanah berPH &gt;7.5 dan Bertekstur Liat 40.01% -
60.00% atau Tanah Sandy Loam per m3</t>
        </is>
      </c>
      <c r="D1013" s="3" t="n">
        <v/>
      </c>
      <c r="E1013" s="4" t="n">
        <v>77104</v>
      </c>
    </row>
    <row r="1014">
      <c r="A1014" s="3" t="n">
        <v>1012</v>
      </c>
      <c r="B1014" s="3" t="inlineStr">
        <is>
          <t>4.1.8.11</t>
        </is>
      </c>
      <c r="C1014" s="3" t="inlineStr">
        <is>
          <t>Pengolahan Tanah berPH &gt;7.5 dan Bertekstur Liat 60.01% -
100.00% atau Tanah Loam To Clay Loam per m3</t>
        </is>
      </c>
      <c r="D1014" s="3" t="n">
        <v/>
      </c>
      <c r="E1014" s="4" t="n">
        <v>118932</v>
      </c>
    </row>
    <row r="1015">
      <c r="A1015" s="3" t="n">
        <v>1013</v>
      </c>
      <c r="B1015" s="3" t="inlineStr">
        <is>
          <t>4.1.9.1</t>
        </is>
      </c>
      <c r="C1015" s="3" t="inlineStr">
        <is>
          <t>Pengolahan Tanah bertekstur  liat  40,01%-60,00% atau tanah Sandy per m3</t>
        </is>
      </c>
      <c r="D1015" s="3" t="inlineStr">
        <is>
          <t>m3</t>
        </is>
      </c>
      <c r="E1015" s="4" t="n">
        <v>75124</v>
      </c>
    </row>
    <row r="1016">
      <c r="A1016" s="3" t="n">
        <v>1014</v>
      </c>
      <c r="B1016" s="3" t="inlineStr">
        <is>
          <t>4.1.9.2</t>
        </is>
      </c>
      <c r="C1016" s="3" t="inlineStr">
        <is>
          <t>Pengolahan Tanah bertekstur  liat  60,01%-100,00% atau tanah Sandy Loam per m3</t>
        </is>
      </c>
      <c r="D1016" s="3" t="inlineStr">
        <is>
          <t>m2</t>
        </is>
      </c>
      <c r="E1016" s="4" t="n">
        <v>116900</v>
      </c>
    </row>
    <row r="1017">
      <c r="A1017" s="3" t="n">
        <v>1015</v>
      </c>
      <c r="B1017" s="3" t="inlineStr">
        <is>
          <t>4.1.9.3</t>
        </is>
      </c>
      <c r="C1017" s="3" t="inlineStr">
        <is>
          <t>Pengolahan Tanah bertekstur  liat  60,01%-100,00% atau tanah Loam to Clay Loam per m3</t>
        </is>
      </c>
      <c r="D1017" s="3" t="inlineStr">
        <is>
          <t>m3</t>
        </is>
      </c>
      <c r="E1017" s="4" t="n">
        <v>75702</v>
      </c>
    </row>
    <row r="1018">
      <c r="A1018" s="3" t="n">
        <v>1016</v>
      </c>
      <c r="B1018" s="3" t="inlineStr">
        <is>
          <t>4.1.10.1</t>
        </is>
      </c>
      <c r="C1018" s="3" t="inlineStr">
        <is>
          <t>Peyiraman untuk 1 hari ( dengan selang plastik 3/4 ich) untuk 1 buah pohon/palem</t>
        </is>
      </c>
      <c r="D1018" s="3" t="inlineStr">
        <is>
          <t>hari</t>
        </is>
      </c>
      <c r="E1018" s="4" t="n">
        <v>3315</v>
      </c>
    </row>
    <row r="1019">
      <c r="A1019" s="3" t="n">
        <v>1017</v>
      </c>
      <c r="B1019" s="3" t="inlineStr">
        <is>
          <t>4.1.10.2</t>
        </is>
      </c>
      <c r="C1019" s="3" t="inlineStr">
        <is>
          <t>Peyiraman untuk 1 m2 Semak/Penutup tanah untuk 1 hari ( dengan selang plastik 3/4 ich)</t>
        </is>
      </c>
      <c r="D1019" s="3" t="inlineStr">
        <is>
          <t>m2</t>
        </is>
      </c>
      <c r="E1019" s="4" t="n">
        <v>1863</v>
      </c>
    </row>
    <row r="1020">
      <c r="A1020" s="3" t="n">
        <v>1018</v>
      </c>
      <c r="B1020" s="3" t="inlineStr">
        <is>
          <t>4.1.10.3</t>
        </is>
      </c>
      <c r="C1020" s="3" t="inlineStr">
        <is>
          <t>Peyiraman untuk 1 m2 Rumput untuk 1 hari ( dengan selang plastik 3/4 ich)</t>
        </is>
      </c>
      <c r="D1020" s="3" t="inlineStr">
        <is>
          <t>m2</t>
        </is>
      </c>
      <c r="E1020" s="4" t="n">
        <v>2552</v>
      </c>
    </row>
    <row r="1021">
      <c r="A1021" s="3" t="n">
        <v>1019</v>
      </c>
      <c r="B1021" s="3" t="inlineStr">
        <is>
          <t>4.1.10.4</t>
        </is>
      </c>
      <c r="C1021" s="3" t="inlineStr">
        <is>
          <t>Peyiraman untuk 1 m2 Semak/Penutup Tanah  untuk 1 hari ( dengan Sprinkler) *Sistem Sprinkler tersedia</t>
        </is>
      </c>
      <c r="D1021" s="3" t="inlineStr">
        <is>
          <t>m2</t>
        </is>
      </c>
      <c r="E1021" s="4" t="n">
        <v>1847</v>
      </c>
    </row>
    <row r="1022">
      <c r="A1022" s="3" t="n">
        <v>1020</v>
      </c>
      <c r="B1022" s="3" t="inlineStr">
        <is>
          <t>4.1.10.5</t>
        </is>
      </c>
      <c r="C1022" s="3" t="inlineStr">
        <is>
          <t>Peyiraman untuk 1 m2 Rumput untuk 1 hari ( dengan Sprinkler) *Sistem Sprinkler tersedia</t>
        </is>
      </c>
      <c r="D1022" s="3" t="inlineStr">
        <is>
          <t>m2</t>
        </is>
      </c>
      <c r="E1022" s="4" t="n">
        <v>2452</v>
      </c>
    </row>
    <row r="1023">
      <c r="A1023" s="3" t="n">
        <v>1021</v>
      </c>
      <c r="B1023" s="3" t="inlineStr">
        <is>
          <t>4.1.11.1</t>
        </is>
      </c>
      <c r="C1023" s="3" t="inlineStr">
        <is>
          <t>Penyiraman untuk 1 hari (dengan Selang Plastik 3/4 inch) untuk 1 buah pohon/palem di tanah tidak subur di lahan datar dan tidak memiliki jaringa air yang baik</t>
        </is>
      </c>
      <c r="D1023" s="3" t="inlineStr">
        <is>
          <t>hari</t>
        </is>
      </c>
      <c r="E1023" s="4" t="n">
        <v>7192</v>
      </c>
    </row>
    <row r="1024">
      <c r="A1024" s="3" t="n">
        <v>1022</v>
      </c>
      <c r="B1024" s="3" t="inlineStr">
        <is>
          <t>4.1.11.2</t>
        </is>
      </c>
      <c r="C1024" s="3" t="inlineStr">
        <is>
          <t>Penyiraman untuk 1 Hari (dengan Selang Plastik 3/4 inch) untuk
1 m2 Semak/Penutup Tanah di Tanah Tidak Subur di Lahan Datar
dan Tidak Memiliki Jaringan Air Yang Baik</t>
        </is>
      </c>
      <c r="D1024" s="3" t="inlineStr">
        <is>
          <t>hari/m2</t>
        </is>
      </c>
      <c r="E1024" s="4" t="n">
        <v>4570</v>
      </c>
    </row>
    <row r="1025">
      <c r="A1025" s="3" t="n">
        <v>1023</v>
      </c>
      <c r="B1025" s="3" t="inlineStr">
        <is>
          <t>4.1.11.3</t>
        </is>
      </c>
      <c r="C1025" s="3" t="inlineStr">
        <is>
          <t>Penyiraman untuk 1 Hari (dengan Selang Plastik 3/4 inch) untuk
1 m2 Rumput di Tanah Tidak Subur di Lahan Datar dan Tidak
Memiliki Jaringan Air Yang Baik</t>
        </is>
      </c>
      <c r="D1025" s="3" t="inlineStr">
        <is>
          <t>hari/m2</t>
        </is>
      </c>
      <c r="E1025" s="4" t="n">
        <v>5780</v>
      </c>
    </row>
    <row r="1026">
      <c r="A1026" s="3" t="n">
        <v>1024</v>
      </c>
      <c r="B1026" s="3" t="inlineStr">
        <is>
          <t>4.1.11.4</t>
        </is>
      </c>
      <c r="C1026" s="3" t="inlineStr">
        <is>
          <t>Penyiraman untuk 1 Hari (dengan Selang Plastik 3/4 inch) untuk
1 m2 Rumput di Tanah Tidak Subur di Lahan Datar dan Tidak
Memiliki Jaringan Air Yang Baik</t>
        </is>
      </c>
      <c r="D1026" s="3" t="inlineStr">
        <is>
          <t>hari/m2</t>
        </is>
      </c>
      <c r="E1026" s="4" t="n">
        <v>5780</v>
      </c>
    </row>
    <row r="1027">
      <c r="A1027" s="3" t="n">
        <v>1025</v>
      </c>
      <c r="B1027" s="3" t="inlineStr">
        <is>
          <t>4.1.11.5</t>
        </is>
      </c>
      <c r="C1027" s="3" t="inlineStr">
        <is>
          <t>Penyiraman untuk 1 Hari (dengan Sprinkler*) untuk 1 m2 Rumput
di Tanah Tidak Subur di Lahan Datar dan Tidak Memiliki Jaringan
Air Yang Baik</t>
        </is>
      </c>
      <c r="D1027" s="3" t="inlineStr">
        <is>
          <t>hari/m2</t>
        </is>
      </c>
      <c r="E1027" s="4" t="n">
        <v>5725</v>
      </c>
    </row>
    <row r="1028">
      <c r="A1028" s="3" t="n">
        <v>1026</v>
      </c>
      <c r="B1028" s="3" t="inlineStr">
        <is>
          <t>4.1.11.6</t>
        </is>
      </c>
      <c r="C1028" s="3" t="inlineStr">
        <is>
          <t>Penyiraman untuk 1 Hari (dengan Selang Plastik 3/4 inch) untuk
1 Buah Pohon/Palem di Tanah Tidak Subur di Lahan Datar dan
Memiliki Jaringan Air Yang Baik</t>
        </is>
      </c>
      <c r="D1028" s="3" t="inlineStr">
        <is>
          <t>hari/m2</t>
        </is>
      </c>
      <c r="E1028" s="4" t="n">
        <v>7192</v>
      </c>
    </row>
    <row r="1029">
      <c r="A1029" s="3" t="n">
        <v>1027</v>
      </c>
      <c r="B1029" s="3" t="inlineStr">
        <is>
          <t>4.1.11.7</t>
        </is>
      </c>
      <c r="C1029" s="3" t="inlineStr">
        <is>
          <t>Penyiraman untuk 1 Hari (dengan Selang Plastik 3/4 inch) untuk
1 m2 Semak/Penutup Tanah di Tanah Tidak Subur di Lahan Datar
dan Memiliki Jaringan Air Yang Baik</t>
        </is>
      </c>
      <c r="D1029" s="3" t="inlineStr">
        <is>
          <t>hari/m2</t>
        </is>
      </c>
      <c r="E1029" s="4" t="n">
        <v>3718</v>
      </c>
    </row>
    <row r="1030">
      <c r="A1030" s="3" t="n">
        <v>1028</v>
      </c>
      <c r="B1030" s="3" t="inlineStr">
        <is>
          <t>4.1.11.8</t>
        </is>
      </c>
      <c r="C1030" s="3" t="inlineStr">
        <is>
          <t>Penyiraman untuk 1 Hari (dengan Selang Plastik 3/4 inch) untuk
1 m2 Rumput di Tanah Tidak Subur di Lahan Datar dan Memiliki
Jaringan Air Yang Baik</t>
        </is>
      </c>
      <c r="D1030" s="3" t="inlineStr">
        <is>
          <t>hari/m2</t>
        </is>
      </c>
      <c r="E1030" s="4" t="n">
        <v>4928</v>
      </c>
    </row>
    <row r="1031">
      <c r="A1031" s="3" t="n">
        <v>1029</v>
      </c>
      <c r="B1031" s="3" t="inlineStr">
        <is>
          <t>4.1.11.9</t>
        </is>
      </c>
      <c r="C1031" s="3" t="inlineStr">
        <is>
          <t>Penyiraman untuk 1 Hari (dengan Sprinkler*) untuk 1 m2
Semak/Penutup Tanah di Tanah Tidak Subur di Lahan Datar dan
Memiliki Jaringan Air Yang Baik</t>
        </is>
      </c>
      <c r="D1031" s="3" t="inlineStr">
        <is>
          <t>hari/m2</t>
        </is>
      </c>
      <c r="E1031" s="4" t="n">
        <v>3662</v>
      </c>
    </row>
    <row r="1032">
      <c r="A1032" s="3" t="n">
        <v>1030</v>
      </c>
      <c r="B1032" s="3" t="inlineStr">
        <is>
          <t>4.1.11.10</t>
        </is>
      </c>
      <c r="C1032" s="3" t="inlineStr">
        <is>
          <t>Penyiraman untuk 1 Hari (dengan Sprinkler*) untuk 1 m2
Rumput di Tanah Tidak Subur di Lahan Datar dan Memiliki
Jaringan Air Yang Baik</t>
        </is>
      </c>
      <c r="D1032" s="3" t="inlineStr">
        <is>
          <t>hari/m2</t>
        </is>
      </c>
      <c r="E1032" s="4" t="n">
        <v>4872</v>
      </c>
    </row>
    <row r="1033">
      <c r="A1033" s="3" t="n">
        <v>1031</v>
      </c>
      <c r="B1033" s="3" t="inlineStr">
        <is>
          <t>4.1.12.1</t>
        </is>
      </c>
      <c r="C1033" s="3" t="inlineStr">
        <is>
          <t>Penyiraman untuk 1 Hari di Tanah Subur di Kelerengan Tanah 1:2
(13° - 26.5°) per m2</t>
        </is>
      </c>
      <c r="D1033" s="3" t="inlineStr">
        <is>
          <t>hari/m2</t>
        </is>
      </c>
      <c r="E1033" s="4" t="n">
        <v>3092</v>
      </c>
    </row>
    <row r="1034">
      <c r="A1034" s="3" t="n">
        <v>1032</v>
      </c>
      <c r="B1034" s="3" t="inlineStr">
        <is>
          <t>4.1.12.2</t>
        </is>
      </c>
      <c r="C1034" s="3" t="inlineStr">
        <is>
          <t>Penyiraman untuk 1 Hari di Tanah Subur di Kelerengan Tanah 1:2
(26.5°- 45°) per m2</t>
        </is>
      </c>
      <c r="D1034" s="3" t="inlineStr">
        <is>
          <t>hari.m2</t>
        </is>
      </c>
      <c r="E1034" s="4" t="n">
        <v>3113</v>
      </c>
    </row>
    <row r="1035">
      <c r="A1035" s="3" t="n">
        <v>1033</v>
      </c>
      <c r="B1035" s="3" t="inlineStr">
        <is>
          <t>4.1.12.3</t>
        </is>
      </c>
      <c r="C1035" s="3" t="inlineStr">
        <is>
          <t>Penyiraman untuk 1 Hari di Tanah Subur di Kelerengan Tanah
1:0.5 (45° - 63°) per m2</t>
        </is>
      </c>
      <c r="D1035" s="3" t="inlineStr">
        <is>
          <t>hari/m3</t>
        </is>
      </c>
      <c r="E1035" s="4" t="n">
        <v>3195</v>
      </c>
    </row>
    <row r="1036">
      <c r="A1036" s="3" t="n">
        <v>1034</v>
      </c>
      <c r="B1036" s="3" t="inlineStr">
        <is>
          <t>4.1.13.1</t>
        </is>
      </c>
      <c r="C1036" s="3" t="inlineStr">
        <is>
          <t>Penyiraman untuk 1 Hari di Tanah Tidak Subur di Kelerengan
Tanah 1:2 (13° - 26.5°) per m2 untuk Sumber Air Dari Luar Lokasi
Pekerjaan</t>
        </is>
      </c>
      <c r="D1036" s="3" t="inlineStr">
        <is>
          <t>hari/m4</t>
        </is>
      </c>
      <c r="E1036" s="4" t="n">
        <v>6969</v>
      </c>
    </row>
    <row r="1037">
      <c r="A1037" s="3" t="n">
        <v>1035</v>
      </c>
      <c r="B1037" s="3" t="inlineStr">
        <is>
          <t>4.1.13.2</t>
        </is>
      </c>
      <c r="C1037" s="3" t="inlineStr">
        <is>
          <t>Penyiraman untuk 1 Hari di Tanah Tidak Subur di Kelerengan
Tanah 1:1 (26.5° - 45°) per m2 untuk Sumber Air Dari Luar Lokasi
Pekerjaan</t>
        </is>
      </c>
      <c r="D1037" s="3" t="inlineStr">
        <is>
          <t>hari.m4</t>
        </is>
      </c>
      <c r="E1037" s="4" t="n">
        <v>6990</v>
      </c>
    </row>
    <row r="1038">
      <c r="A1038" s="3" t="n">
        <v>1036</v>
      </c>
      <c r="B1038" s="3" t="inlineStr">
        <is>
          <t>4.1.13.3</t>
        </is>
      </c>
      <c r="C1038" s="3" t="inlineStr">
        <is>
          <t>Penyiraman untuk 1 Hari di Tanah Tidak Subur di Kelerengan
Tanah 1:0.5 (45° - 63°) per m2 untuk Sumber Air Dari Luar Lokasi
Pekerjaan</t>
        </is>
      </c>
      <c r="D1038" s="3" t="inlineStr">
        <is>
          <t>hari/m5</t>
        </is>
      </c>
      <c r="E1038" s="4" t="n">
        <v>7073</v>
      </c>
    </row>
    <row r="1039">
      <c r="A1039" s="3" t="n">
        <v>1037</v>
      </c>
      <c r="B1039" s="3" t="inlineStr">
        <is>
          <t>4.1.13.4</t>
        </is>
      </c>
      <c r="C1039" s="3" t="inlineStr">
        <is>
          <t>Penyiraman untuk 1 Hari di Tanah Tidak Subur di Kelerengan
Tanah 1:2 (13° - 26.5°) per m2 untuk Sumber Air Tersedia Lokasi
Pekerjaan</t>
        </is>
      </c>
      <c r="D1039" s="3" t="inlineStr">
        <is>
          <t>hari.m5</t>
        </is>
      </c>
      <c r="E1039" s="4" t="n">
        <v>6117</v>
      </c>
    </row>
    <row r="1040">
      <c r="A1040" s="3" t="n">
        <v>1038</v>
      </c>
      <c r="B1040" s="3" t="inlineStr">
        <is>
          <t>4.1.13.5</t>
        </is>
      </c>
      <c r="C1040" s="3" t="inlineStr">
        <is>
          <t>Penyiraman untuk 1 Hari di Tanah Tidak Subur di Kelerengan
Tanah 1:1 (26.5° - 45°) per m2 untuk Sumber Air Tersedia Lokasi
Pekerjaan</t>
        </is>
      </c>
      <c r="D1040" s="3" t="inlineStr">
        <is>
          <t>hari/m6</t>
        </is>
      </c>
      <c r="E1040" s="4" t="n">
        <v>6138</v>
      </c>
    </row>
    <row r="1041">
      <c r="A1041" s="3" t="n">
        <v>1039</v>
      </c>
      <c r="B1041" s="3" t="inlineStr">
        <is>
          <t>4.1.13.6</t>
        </is>
      </c>
      <c r="C1041" s="3" t="inlineStr">
        <is>
          <t>Penyiraman untuk 1 Hari di Tanah Tidak Subur di Kelerengan
Tanah 1:0.5 (45° - 63°) per m2 untuk Sumber Air Tersedia Lokasi
Pekerjaan</t>
        </is>
      </c>
      <c r="D1041" s="3" t="inlineStr">
        <is>
          <t>hari.m6</t>
        </is>
      </c>
      <c r="E1041" s="4" t="n">
        <v>6220</v>
      </c>
    </row>
    <row r="1042">
      <c r="A1042" s="3" t="n">
        <v>1040</v>
      </c>
      <c r="B1042" s="3" t="inlineStr">
        <is>
          <t>4.2.1.1</t>
        </is>
      </c>
      <c r="C1042" s="3" t="inlineStr">
        <is>
          <t>Penyiraman 1m2 Area Tanam untuk 1 hari (dengan Selang Plastik
3/4 inch)</t>
        </is>
      </c>
      <c r="D1042" s="3" t="inlineStr">
        <is>
          <t>m2</t>
        </is>
      </c>
      <c r="E1042" s="4" t="n">
        <v>3073</v>
      </c>
    </row>
    <row r="1043">
      <c r="A1043" s="3" t="n">
        <v>1041</v>
      </c>
      <c r="B1043" s="3" t="inlineStr">
        <is>
          <t>4.2.1.2</t>
        </is>
      </c>
      <c r="C1043" s="3" t="inlineStr">
        <is>
          <t>Penyiraman 1 m2 Area Tanam untuk 1 hari (dengan Sprinkler)
*Sistem Sprinkler Tersedia</t>
        </is>
      </c>
      <c r="D1043" s="3" t="inlineStr">
        <is>
          <t>m2</t>
        </is>
      </c>
      <c r="E1043" s="4" t="n">
        <v>3057</v>
      </c>
    </row>
    <row r="1044">
      <c r="A1044" s="3" t="n">
        <v>1042</v>
      </c>
      <c r="B1044" s="3" t="inlineStr">
        <is>
          <t>4.2.2.1</t>
        </is>
      </c>
      <c r="C1044" s="3" t="inlineStr">
        <is>
          <t>Pemupukan Pupuk Organik (1 kali) untuk 1 Buah Pohon/Palem</t>
        </is>
      </c>
      <c r="D1044" s="3" t="inlineStr">
        <is>
          <t>buah</t>
        </is>
      </c>
      <c r="E1044" s="4" t="n">
        <v>3950</v>
      </c>
    </row>
    <row r="1045">
      <c r="A1045" s="3" t="n">
        <v>1043</v>
      </c>
      <c r="B1045" s="3" t="inlineStr">
        <is>
          <t>4.2.2.2</t>
        </is>
      </c>
      <c r="C1045" s="3" t="inlineStr">
        <is>
          <t>Pemupukan Pupuk Organik (1 kali) untuk 1 m2 Semak/Penutup
Tanah/Rumput</t>
        </is>
      </c>
      <c r="D1045" s="3" t="inlineStr">
        <is>
          <t>m2</t>
        </is>
      </c>
      <c r="E1045" s="4" t="n">
        <v>742</v>
      </c>
    </row>
    <row r="1046">
      <c r="A1046" s="3" t="n">
        <v>1044</v>
      </c>
      <c r="B1046" s="3" t="inlineStr">
        <is>
          <t>4.2.3.1</t>
        </is>
      </c>
      <c r="C1046" s="3" t="inlineStr">
        <is>
          <t>Pemupukan Pupuk Anorganik Padat (1 kali) untuk 1 Buah
Pohon/Palem</t>
        </is>
      </c>
      <c r="D1046" s="3" t="inlineStr">
        <is>
          <t>buah</t>
        </is>
      </c>
      <c r="E1046" s="4" t="n">
        <v>4425</v>
      </c>
    </row>
    <row r="1047">
      <c r="A1047" s="3" t="n">
        <v>1045</v>
      </c>
      <c r="B1047" s="3" t="inlineStr">
        <is>
          <t>4.2.3.2</t>
        </is>
      </c>
      <c r="C1047" s="3" t="inlineStr">
        <is>
          <t>Pemupukan Pupuk Anorganik Padat (1 kali) untuk 1 m2 Semak</t>
        </is>
      </c>
      <c r="D1047" s="3" t="inlineStr">
        <is>
          <t>m2</t>
        </is>
      </c>
      <c r="E1047" s="4" t="n">
        <v>1410</v>
      </c>
    </row>
    <row r="1048">
      <c r="A1048" s="3" t="n">
        <v>1046</v>
      </c>
      <c r="B1048" s="3" t="inlineStr">
        <is>
          <t>4.2.3.2a</t>
        </is>
      </c>
      <c r="C1048" s="3" t="inlineStr">
        <is>
          <t>Pemupukan Pupuk Anorganik Padat (1 kali) untuk 1 m2 Semak</t>
        </is>
      </c>
      <c r="D1048" s="3" t="inlineStr">
        <is>
          <t>m2</t>
        </is>
      </c>
      <c r="E1048" s="4" t="n">
        <v>1410</v>
      </c>
    </row>
    <row r="1049">
      <c r="A1049" s="3" t="n">
        <v>1047</v>
      </c>
      <c r="B1049" s="3" t="inlineStr">
        <is>
          <t>4.2.3.3</t>
        </is>
      </c>
      <c r="C1049" s="3" t="inlineStr">
        <is>
          <t>Pemupukan pupuk anorganik cair (1 kali) untuk 1 buah
pohon/palem</t>
        </is>
      </c>
      <c r="D1049" s="3" t="inlineStr">
        <is>
          <t>buah</t>
        </is>
      </c>
      <c r="E1049" s="4" t="n">
        <v>6941</v>
      </c>
    </row>
    <row r="1050">
      <c r="A1050" s="3" t="n">
        <v>1048</v>
      </c>
      <c r="B1050" s="3" t="inlineStr">
        <is>
          <t>4.2.3.4</t>
        </is>
      </c>
      <c r="C1050" s="3" t="inlineStr">
        <is>
          <t>Pemupukan pupuk anorganik cair (1 kali) untuk 1 buah
semak/penutup tanah/rumput</t>
        </is>
      </c>
      <c r="D1050" s="3" t="inlineStr">
        <is>
          <t>buah</t>
        </is>
      </c>
      <c r="E1050" s="4" t="n">
        <v>3105</v>
      </c>
    </row>
    <row r="1051">
      <c r="A1051" s="3" t="n">
        <v>1049</v>
      </c>
      <c r="B1051" s="3" t="inlineStr">
        <is>
          <t>4.2.4.1</t>
        </is>
      </c>
      <c r="C1051" s="3" t="inlineStr">
        <is>
          <t>Pemangkasan 1 Buah Pohon Kecil (Dia. Tajuk &lt; 5 m, Tinggi 3-6m)
Termasuk Pengangkutan Keluar Area Tanam</t>
        </is>
      </c>
      <c r="D1051" s="3" t="inlineStr">
        <is>
          <t>buah</t>
        </is>
      </c>
      <c r="E1051" s="4" t="n">
        <v>10236</v>
      </c>
    </row>
    <row r="1052">
      <c r="A1052" s="3" t="n">
        <v>1050</v>
      </c>
      <c r="B1052" s="3" t="inlineStr">
        <is>
          <t>4.2.4.2</t>
        </is>
      </c>
      <c r="C1052" s="3" t="inlineStr">
        <is>
          <t>Pemangkasan 1 Buah Pohon Kecil (Dia. Tajuk &lt; 5 m, Tinggi 3-6m)
Termasuk Pengangkutan Keluar Area Tanam</t>
        </is>
      </c>
      <c r="D1052" s="3" t="inlineStr">
        <is>
          <t>buah</t>
        </is>
      </c>
      <c r="E1052" s="4" t="n">
        <v>10236</v>
      </c>
    </row>
    <row r="1053">
      <c r="A1053" s="3" t="n">
        <v>1051</v>
      </c>
      <c r="B1053" s="3" t="inlineStr">
        <is>
          <t>4.2.4.3</t>
        </is>
      </c>
      <c r="C1053" s="3" t="inlineStr">
        <is>
          <t>Pemangkasan 1 Buah Pohon Besar (Dia. Tajuk &gt; 10 m) Termasuk
Pengangkutan Keluar Area Tanam</t>
        </is>
      </c>
      <c r="D1053" s="3" t="inlineStr">
        <is>
          <t>buah</t>
        </is>
      </c>
      <c r="E1053" s="4" t="n">
        <v>32322</v>
      </c>
    </row>
    <row r="1054">
      <c r="A1054" s="3" t="n">
        <v>1052</v>
      </c>
      <c r="B1054" s="3" t="inlineStr">
        <is>
          <t>4.2.4.3a</t>
        </is>
      </c>
      <c r="C1054" s="3" t="inlineStr">
        <is>
          <t>Pemangkasan 1 Buah Palem Sedang/Besar, Termasuk
Pengangkutan Keluar Area Tanam</t>
        </is>
      </c>
      <c r="D1054" s="3" t="inlineStr">
        <is>
          <t>buah</t>
        </is>
      </c>
      <c r="E1054" s="4" t="n">
        <v>17875</v>
      </c>
    </row>
    <row r="1055">
      <c r="A1055" s="3" t="n">
        <v>1053</v>
      </c>
      <c r="B1055" s="3" t="inlineStr">
        <is>
          <t>4.2.4.4</t>
        </is>
      </c>
      <c r="C1055" s="3" t="inlineStr">
        <is>
          <t>Pemangkasan 1 m2 Semak dengan Gunting Pangkas</t>
        </is>
      </c>
      <c r="D1055" s="3" t="inlineStr">
        <is>
          <t>m2</t>
        </is>
      </c>
      <c r="E1055" s="4" t="n">
        <v>2580</v>
      </c>
    </row>
    <row r="1056">
      <c r="A1056" s="3" t="n">
        <v>1054</v>
      </c>
      <c r="B1056" s="3" t="inlineStr">
        <is>
          <t>4.2.4.4a</t>
        </is>
      </c>
      <c r="C1056" s="3" t="inlineStr">
        <is>
          <t>Pemangkasan 1 m2 Penutup Tanah dengan Gunting Pangkas</t>
        </is>
      </c>
      <c r="D1056" s="3" t="inlineStr">
        <is>
          <t>m2</t>
        </is>
      </c>
      <c r="E1056" s="4" t="n">
        <v>1650</v>
      </c>
    </row>
    <row r="1057">
      <c r="A1057" s="3" t="n">
        <v>1055</v>
      </c>
      <c r="B1057" s="3" t="inlineStr">
        <is>
          <t>4.2.4.5</t>
        </is>
      </c>
      <c r="C1057" s="3" t="inlineStr">
        <is>
          <t>Pemangkasan 1 m2 Rumput dengan Mesin Gendong</t>
        </is>
      </c>
      <c r="D1057" s="3" t="inlineStr">
        <is>
          <t>m2</t>
        </is>
      </c>
      <c r="E1057" s="4" t="n">
        <v>1439</v>
      </c>
    </row>
    <row r="1058">
      <c r="A1058" s="3" t="n">
        <v>1056</v>
      </c>
      <c r="B1058" s="3" t="inlineStr">
        <is>
          <t>4.2.4.6</t>
        </is>
      </c>
      <c r="C1058" s="3" t="inlineStr">
        <is>
          <t>Pemangkasan 1 m2 Rumput dengan Mesin Dorong</t>
        </is>
      </c>
      <c r="D1058" s="3" t="inlineStr">
        <is>
          <t>m 2</t>
        </is>
      </c>
      <c r="E1058" s="4" t="n">
        <v>48</v>
      </c>
    </row>
    <row r="1059">
      <c r="A1059" s="3" t="n">
        <v>1057</v>
      </c>
      <c r="B1059" s="3" t="inlineStr">
        <is>
          <t>4.2.5.1</t>
        </is>
      </c>
      <c r="C1059" s="3" t="inlineStr">
        <is>
          <t>Penyemprotan Pestisida (Insektisida/Fungisida) dengan Sprayer
Gendong 1 Kali untuk 1 Buah Pohon/Palem</t>
        </is>
      </c>
      <c r="D1059" s="3" t="inlineStr">
        <is>
          <t>buah</t>
        </is>
      </c>
      <c r="E1059" s="4" t="n">
        <v>4132</v>
      </c>
    </row>
    <row r="1060">
      <c r="A1060" s="3" t="n">
        <v>1058</v>
      </c>
      <c r="B1060" s="3" t="inlineStr">
        <is>
          <t>4.2.5.2</t>
        </is>
      </c>
      <c r="C1060" s="3" t="inlineStr">
        <is>
          <t>Penyemprotan Pestisida (Fungisida /Insektisida) dengan Sprayer
Gendong 1 Kali untuk 1 m2 Semak</t>
        </is>
      </c>
      <c r="D1060" s="3" t="inlineStr">
        <is>
          <t>m2</t>
        </is>
      </c>
      <c r="E1060" s="4" t="n">
        <v>1411</v>
      </c>
    </row>
    <row r="1061">
      <c r="A1061" s="3" t="n">
        <v>1059</v>
      </c>
      <c r="B1061" s="3" t="inlineStr">
        <is>
          <t>4.2.5.3</t>
        </is>
      </c>
      <c r="C1061" s="3" t="inlineStr">
        <is>
          <t>Penyemprotan Pestisida (Fungisida /Insektisida) dengan Sprayer
Gendong 1 Kali untuk 1 m2 Penutup Tanah/Rumput</t>
        </is>
      </c>
      <c r="D1061" s="3" t="inlineStr">
        <is>
          <t>m2</t>
        </is>
      </c>
      <c r="E1061" s="4" t="n">
        <v>1264</v>
      </c>
    </row>
    <row r="1062">
      <c r="A1062" s="3" t="n">
        <v>1060</v>
      </c>
      <c r="B1062" s="3" t="inlineStr">
        <is>
          <t>4.2.6</t>
        </is>
      </c>
      <c r="C1062" s="3" t="inlineStr">
        <is>
          <t>Pembersihan Lahan (Menyapu)</t>
        </is>
      </c>
      <c r="D1062" s="3" t="n">
        <v/>
      </c>
      <c r="E1062" s="4" t="n">
        <v>0</v>
      </c>
    </row>
    <row r="1063">
      <c r="A1063" s="3" t="n">
        <v>1061</v>
      </c>
      <c r="B1063" s="3" t="inlineStr">
        <is>
          <t>4.2.6.1</t>
        </is>
      </c>
      <c r="C1063" s="3" t="inlineStr">
        <is>
          <t>Pembersihan (Penyapuan) 1 m2 Area Tanam</t>
        </is>
      </c>
      <c r="D1063" s="3" t="inlineStr">
        <is>
          <t>m2</t>
        </is>
      </c>
      <c r="E1063" s="4" t="n">
        <v>31</v>
      </c>
    </row>
    <row r="1064">
      <c r="A1064" s="3" t="n">
        <v>1062</v>
      </c>
      <c r="B1064" s="3" t="inlineStr">
        <is>
          <t>4.2.7.1</t>
        </is>
      </c>
      <c r="C1064" s="3" t="inlineStr">
        <is>
          <t>Pencabutan Gulma (Intensitas Gulma di Atas 50%) 1 m2 Rumput</t>
        </is>
      </c>
      <c r="D1064" s="3" t="inlineStr">
        <is>
          <t>m2</t>
        </is>
      </c>
      <c r="E1064" s="4" t="n">
        <v>2728</v>
      </c>
    </row>
    <row r="1065">
      <c r="A1065" s="3" t="n">
        <v>1063</v>
      </c>
      <c r="B1065" s="3" t="inlineStr">
        <is>
          <t>4.2.7.2</t>
        </is>
      </c>
      <c r="C1065" s="3" t="inlineStr">
        <is>
          <t>Pencabutan Gulma (Intensitas Gulma di Atas 20%) 1 m2 Rumput</t>
        </is>
      </c>
      <c r="D1065" s="3" t="inlineStr">
        <is>
          <t>m2</t>
        </is>
      </c>
      <c r="E1065" s="4" t="n">
        <v>1650</v>
      </c>
    </row>
    <row r="1066">
      <c r="A1066" s="3" t="n">
        <v>1064</v>
      </c>
      <c r="B1066" s="3" t="inlineStr">
        <is>
          <t>4.3.1</t>
        </is>
      </c>
      <c r="C1066" s="3" t="inlineStr">
        <is>
          <t>Pembuatan dan pemasangan 1 buah Tong Sampah Kaleng 2 Tabung dengan Rangka Hollow 30x60</t>
        </is>
      </c>
      <c r="D1066" s="3" t="inlineStr">
        <is>
          <t>buah</t>
        </is>
      </c>
      <c r="E1066" s="4" t="n">
        <v>454652</v>
      </c>
    </row>
    <row r="1067">
      <c r="A1067" s="3" t="n">
        <v>1065</v>
      </c>
      <c r="B1067" s="3" t="inlineStr">
        <is>
          <t>5.1.1.1.1</t>
        </is>
      </c>
      <c r="C1067" s="3" t="inlineStr">
        <is>
          <t>Pemasangan 1 m' kabel NYY 1 x 4 mm²</t>
        </is>
      </c>
      <c r="D1067" s="3" t="inlineStr">
        <is>
          <t>m'</t>
        </is>
      </c>
      <c r="E1067" s="4" t="n">
        <v>19497</v>
      </c>
    </row>
    <row r="1068">
      <c r="A1068" s="3" t="n">
        <v>1066</v>
      </c>
      <c r="B1068" s="3" t="inlineStr">
        <is>
          <t>5.1.1.1.2</t>
        </is>
      </c>
      <c r="C1068" s="3" t="inlineStr">
        <is>
          <t>Pemasangan 1 m' kabel NYY 1 x 6 mm²</t>
        </is>
      </c>
      <c r="D1068" s="3" t="inlineStr">
        <is>
          <t>m'</t>
        </is>
      </c>
      <c r="E1068" s="4" t="n">
        <v>25190</v>
      </c>
    </row>
    <row r="1069">
      <c r="A1069" s="3" t="n">
        <v>1067</v>
      </c>
      <c r="B1069" s="3" t="inlineStr">
        <is>
          <t>5.1.1.1.3</t>
        </is>
      </c>
      <c r="C1069" s="3" t="inlineStr">
        <is>
          <t>Pemasangan 1 m' kabel NYY 1 x 10 mm²</t>
        </is>
      </c>
      <c r="D1069" s="3" t="inlineStr">
        <is>
          <t>m'</t>
        </is>
      </c>
      <c r="E1069" s="4" t="n">
        <v>32780</v>
      </c>
    </row>
    <row r="1070">
      <c r="A1070" s="3" t="n">
        <v>1068</v>
      </c>
      <c r="B1070" s="3" t="inlineStr">
        <is>
          <t>5.1.1.1.4</t>
        </is>
      </c>
      <c r="C1070" s="3" t="inlineStr">
        <is>
          <t>Pemasangan 1 m' kabel NYY 1 x 16 mm²</t>
        </is>
      </c>
      <c r="D1070" s="3" t="inlineStr">
        <is>
          <t>m'</t>
        </is>
      </c>
      <c r="E1070" s="4" t="n">
        <v>55550</v>
      </c>
    </row>
    <row r="1071">
      <c r="A1071" s="3" t="n">
        <v>1069</v>
      </c>
      <c r="B1071" s="3" t="inlineStr">
        <is>
          <t>5.1.1.1.5</t>
        </is>
      </c>
      <c r="C1071" s="3" t="inlineStr">
        <is>
          <t>Pemasangan 1 m' kabel NYY 1 x 25 mm²</t>
        </is>
      </c>
      <c r="D1071" s="3" t="inlineStr">
        <is>
          <t>m'</t>
        </is>
      </c>
      <c r="E1071" s="4" t="n">
        <v>83088</v>
      </c>
    </row>
    <row r="1072">
      <c r="A1072" s="3" t="n">
        <v>1070</v>
      </c>
      <c r="B1072" s="3" t="inlineStr">
        <is>
          <t>5.1.1.1.6</t>
        </is>
      </c>
      <c r="C1072" s="3" t="inlineStr">
        <is>
          <t>Pemasangan 1 m' kabel NYY 1 x 35 mm²</t>
        </is>
      </c>
      <c r="D1072" s="3" t="inlineStr">
        <is>
          <t>m'</t>
        </is>
      </c>
      <c r="E1072" s="4" t="n">
        <v>110000</v>
      </c>
    </row>
    <row r="1073">
      <c r="A1073" s="3" t="n">
        <v>1071</v>
      </c>
      <c r="B1073" s="3" t="inlineStr">
        <is>
          <t>5.1.1.1.7</t>
        </is>
      </c>
      <c r="C1073" s="3" t="inlineStr">
        <is>
          <t>Pemasangan 1 m' kabel NYY 1 x 50 mm²</t>
        </is>
      </c>
      <c r="D1073" s="3" t="inlineStr">
        <is>
          <t>m'</t>
        </is>
      </c>
      <c r="E1073" s="4" t="n">
        <v>141119</v>
      </c>
    </row>
    <row r="1074">
      <c r="A1074" s="3" t="n">
        <v>1072</v>
      </c>
      <c r="B1074" s="3" t="inlineStr">
        <is>
          <t>5.1.1.1.8</t>
        </is>
      </c>
      <c r="C1074" s="3" t="inlineStr">
        <is>
          <t>Pemasangan 1 m' kabel NYY 1 x 70 mm²</t>
        </is>
      </c>
      <c r="D1074" s="3" t="inlineStr">
        <is>
          <t>m'</t>
        </is>
      </c>
      <c r="E1074" s="4" t="n">
        <v>204605</v>
      </c>
    </row>
    <row r="1075">
      <c r="A1075" s="3" t="n">
        <v>1073</v>
      </c>
      <c r="B1075" s="3" t="inlineStr">
        <is>
          <t>5.1.1.1.9</t>
        </is>
      </c>
      <c r="C1075" s="3" t="inlineStr">
        <is>
          <t>Pemasangan 1 m' kabel NYY 1 x 95 mm²</t>
        </is>
      </c>
      <c r="D1075" s="3" t="inlineStr">
        <is>
          <t>m'</t>
        </is>
      </c>
      <c r="E1075" s="4" t="n">
        <v>273548</v>
      </c>
    </row>
    <row r="1076">
      <c r="A1076" s="3" t="n">
        <v>1074</v>
      </c>
      <c r="B1076" s="3" t="inlineStr">
        <is>
          <t>5.1.1.1.10</t>
        </is>
      </c>
      <c r="C1076" s="3" t="inlineStr">
        <is>
          <t>Pemasangan 1 m' kabel NYY 1 x 120 mm²</t>
        </is>
      </c>
      <c r="D1076" s="3" t="inlineStr">
        <is>
          <t>m'</t>
        </is>
      </c>
      <c r="E1076" s="4" t="n">
        <v>336798</v>
      </c>
    </row>
    <row r="1077">
      <c r="A1077" s="3" t="n">
        <v>1075</v>
      </c>
      <c r="B1077" s="3" t="inlineStr">
        <is>
          <t>5.1.1.1.11</t>
        </is>
      </c>
      <c r="C1077" s="3" t="inlineStr">
        <is>
          <t>Pemasangan 1 m' kabel NYY 1 x 150 mm²</t>
        </is>
      </c>
      <c r="D1077" s="3" t="inlineStr">
        <is>
          <t>m'</t>
        </is>
      </c>
      <c r="E1077" s="4" t="n">
        <v>408270</v>
      </c>
    </row>
    <row r="1078">
      <c r="A1078" s="3" t="n">
        <v>1076</v>
      </c>
      <c r="B1078" s="3" t="inlineStr">
        <is>
          <t>5.1.1.1.12</t>
        </is>
      </c>
      <c r="C1078" s="3" t="inlineStr">
        <is>
          <t>Pemasangan 1 m' kabel NYY 1 x 185 mm²</t>
        </is>
      </c>
      <c r="D1078" s="3" t="inlineStr">
        <is>
          <t>m'</t>
        </is>
      </c>
      <c r="E1078" s="4" t="n">
        <v>506885</v>
      </c>
    </row>
    <row r="1079">
      <c r="A1079" s="3" t="n">
        <v>1077</v>
      </c>
      <c r="B1079" s="3" t="inlineStr">
        <is>
          <t>5.1.1.1.13</t>
        </is>
      </c>
      <c r="C1079" s="3" t="inlineStr">
        <is>
          <t>Pemasangan 1 m' kabel NYY 1 x 240 mm²</t>
        </is>
      </c>
      <c r="D1079" s="3" t="inlineStr">
        <is>
          <t>m'</t>
        </is>
      </c>
      <c r="E1079" s="4" t="n">
        <v>599230</v>
      </c>
    </row>
    <row r="1080">
      <c r="A1080" s="3" t="n">
        <v>1078</v>
      </c>
      <c r="B1080" s="3" t="inlineStr">
        <is>
          <t>5.1.1.1.14</t>
        </is>
      </c>
      <c r="C1080" s="3" t="inlineStr">
        <is>
          <t>Pemasangan 1 m' kabel NYY 1 x 300 mm²</t>
        </is>
      </c>
      <c r="D1080" s="3" t="inlineStr">
        <is>
          <t>m'</t>
        </is>
      </c>
      <c r="E1080" s="4" t="n">
        <v>818130</v>
      </c>
    </row>
    <row r="1081">
      <c r="A1081" s="3" t="n">
        <v>1079</v>
      </c>
      <c r="B1081" s="3" t="inlineStr">
        <is>
          <t>5.1.1.1.15</t>
        </is>
      </c>
      <c r="C1081" s="3" t="inlineStr">
        <is>
          <t>Pemasangan 1 m' kabel NYY 1 x 400 mm²</t>
        </is>
      </c>
      <c r="D1081" s="3" t="inlineStr">
        <is>
          <t>m'</t>
        </is>
      </c>
      <c r="E1081" s="4" t="n">
        <v>1034280</v>
      </c>
    </row>
    <row r="1082">
      <c r="A1082" s="3" t="n">
        <v>1080</v>
      </c>
      <c r="B1082" s="3" t="inlineStr">
        <is>
          <t>5.1.1.1.16</t>
        </is>
      </c>
      <c r="C1082" s="3" t="inlineStr">
        <is>
          <t>Pemasangan 1 m' kabel NYY 1 x 500 mm²</t>
        </is>
      </c>
      <c r="D1082" s="3" t="inlineStr">
        <is>
          <t>m'</t>
        </is>
      </c>
      <c r="E1082" s="4" t="n">
        <v>1320786</v>
      </c>
    </row>
    <row r="1083">
      <c r="A1083" s="3" t="n">
        <v>1081</v>
      </c>
      <c r="B1083" s="3" t="inlineStr">
        <is>
          <t>5.1.1.1.17</t>
        </is>
      </c>
      <c r="C1083" s="3" t="inlineStr">
        <is>
          <t>Pemasangan 1 m' kabel NYY 1 x 630 mm²</t>
        </is>
      </c>
      <c r="D1083" s="3" t="inlineStr">
        <is>
          <t>m'</t>
        </is>
      </c>
      <c r="E1083" s="4" t="n">
        <v>1635155</v>
      </c>
    </row>
    <row r="1084">
      <c r="A1084" s="3" t="n">
        <v>1082</v>
      </c>
      <c r="B1084" s="3" t="inlineStr">
        <is>
          <t>5.1.1.1.18</t>
        </is>
      </c>
      <c r="C1084" s="3" t="inlineStr">
        <is>
          <t>Pemasangan 1 m' kabel NYY 2 x 1,5 mm²</t>
        </is>
      </c>
      <c r="D1084" s="3" t="inlineStr">
        <is>
          <t>m'</t>
        </is>
      </c>
      <c r="E1084" s="4" t="n">
        <v>25190</v>
      </c>
    </row>
    <row r="1085">
      <c r="A1085" s="3" t="n">
        <v>1083</v>
      </c>
      <c r="B1085" s="3" t="inlineStr">
        <is>
          <t>5.1.1.1.19</t>
        </is>
      </c>
      <c r="C1085" s="3" t="inlineStr">
        <is>
          <t>Pemasangan 1 m' kabel NYY 2 x 2,5 mm²</t>
        </is>
      </c>
      <c r="D1085" s="3" t="inlineStr">
        <is>
          <t>m'</t>
        </is>
      </c>
      <c r="E1085" s="4" t="n">
        <v>30958</v>
      </c>
    </row>
    <row r="1086">
      <c r="A1086" s="3" t="n">
        <v>1084</v>
      </c>
      <c r="B1086" s="3" t="inlineStr">
        <is>
          <t>5.1.1.1.20</t>
        </is>
      </c>
      <c r="C1086" s="3" t="inlineStr">
        <is>
          <t>Pemasangan 1 m' kabel NYY 2 x 4 mm²</t>
        </is>
      </c>
      <c r="D1086" s="3" t="inlineStr">
        <is>
          <t>m'</t>
        </is>
      </c>
      <c r="E1086" s="4" t="n">
        <v>39105</v>
      </c>
    </row>
    <row r="1087">
      <c r="A1087" s="3" t="n">
        <v>1085</v>
      </c>
      <c r="B1087" s="3" t="inlineStr">
        <is>
          <t>5.1.1.1..21</t>
        </is>
      </c>
      <c r="C1087" s="3" t="inlineStr">
        <is>
          <t>Pemasangan 1 m' kabel NYY 2 x 6 mm²</t>
        </is>
      </c>
      <c r="D1087" s="3" t="inlineStr">
        <is>
          <t>m'</t>
        </is>
      </c>
      <c r="E1087" s="4" t="n">
        <v>54285</v>
      </c>
    </row>
    <row r="1088">
      <c r="A1088" s="3" t="n">
        <v>1086</v>
      </c>
      <c r="B1088" s="3" t="inlineStr">
        <is>
          <t>5.1.1.1.22</t>
        </is>
      </c>
      <c r="C1088" s="3" t="inlineStr">
        <is>
          <t>Pemasangan 1 m' kabel NYY 2 x 10 mm²</t>
        </is>
      </c>
      <c r="D1088" s="3" t="inlineStr">
        <is>
          <t>m'</t>
        </is>
      </c>
      <c r="E1088" s="4" t="n">
        <v>82747</v>
      </c>
    </row>
    <row r="1089">
      <c r="A1089" s="3" t="n">
        <v>1087</v>
      </c>
      <c r="B1089" s="3" t="inlineStr">
        <is>
          <t>5.1.1.1.23</t>
        </is>
      </c>
      <c r="C1089" s="3" t="inlineStr">
        <is>
          <t>Pemasangan 1 m' kabel NYY 2 x 16 mm²</t>
        </is>
      </c>
      <c r="D1089" s="3" t="inlineStr">
        <is>
          <t>m'</t>
        </is>
      </c>
      <c r="E1089" s="4" t="n">
        <v>126390</v>
      </c>
    </row>
    <row r="1090">
      <c r="A1090" s="3" t="n">
        <v>1088</v>
      </c>
      <c r="B1090" s="3" t="inlineStr">
        <is>
          <t>5.1.1.1.24</t>
        </is>
      </c>
      <c r="C1090" s="3" t="inlineStr">
        <is>
          <t>Pemasangan 1 m' kabel NYY 3 x 1,5 mm²</t>
        </is>
      </c>
      <c r="D1090" s="3" t="inlineStr">
        <is>
          <t>m'</t>
        </is>
      </c>
      <c r="E1090" s="4" t="n">
        <v>28985</v>
      </c>
    </row>
    <row r="1091">
      <c r="A1091" s="3" t="n">
        <v>1089</v>
      </c>
      <c r="B1091" s="3" t="inlineStr">
        <is>
          <t>5.1.1.1.25</t>
        </is>
      </c>
      <c r="C1091" s="3" t="inlineStr">
        <is>
          <t>Pemasangan 1 m' kabel NYY 3 x 2,5 mm²</t>
        </is>
      </c>
      <c r="D1091" s="3" t="inlineStr">
        <is>
          <t>m'</t>
        </is>
      </c>
      <c r="E1091" s="4" t="n">
        <v>37207</v>
      </c>
    </row>
    <row r="1092">
      <c r="A1092" s="3" t="n">
        <v>1090</v>
      </c>
      <c r="B1092" s="3" t="inlineStr">
        <is>
          <t>5.1.1.1.26</t>
        </is>
      </c>
      <c r="C1092" s="3" t="inlineStr">
        <is>
          <t>Pemasangan 1 m' kabel NYY 3 x 4 mm²</t>
        </is>
      </c>
      <c r="D1092" s="3" t="inlineStr">
        <is>
          <t>m'</t>
        </is>
      </c>
      <c r="E1092" s="4" t="n">
        <v>53993</v>
      </c>
    </row>
    <row r="1093">
      <c r="A1093" s="3" t="n">
        <v>1091</v>
      </c>
      <c r="B1093" s="3" t="inlineStr">
        <is>
          <t>5.1.1.1.27</t>
        </is>
      </c>
      <c r="C1093" s="3" t="inlineStr">
        <is>
          <t>Pemasangan 1 m' kabel NYY 3 x 6 mm²</t>
        </is>
      </c>
      <c r="D1093" s="3" t="inlineStr">
        <is>
          <t>m'</t>
        </is>
      </c>
      <c r="E1093" s="4" t="n">
        <v>70438</v>
      </c>
    </row>
    <row r="1094">
      <c r="A1094" s="3" t="n">
        <v>1092</v>
      </c>
      <c r="B1094" s="3" t="inlineStr">
        <is>
          <t>5.1.1.1.28</t>
        </is>
      </c>
      <c r="C1094" s="3" t="inlineStr">
        <is>
          <t>Pemasangan 1 m' kabel NYY 3 x 10 mm²</t>
        </is>
      </c>
      <c r="D1094" s="3" t="inlineStr">
        <is>
          <t>m'</t>
        </is>
      </c>
      <c r="E1094" s="4" t="n">
        <v>109494</v>
      </c>
    </row>
    <row r="1095">
      <c r="A1095" s="3" t="n">
        <v>1093</v>
      </c>
      <c r="B1095" s="3" t="inlineStr">
        <is>
          <t>5.1.1.1.29</t>
        </is>
      </c>
      <c r="C1095" s="3" t="inlineStr">
        <is>
          <t>Pemasangan 1 m' kabel NYY 3 x 16 mm²</t>
        </is>
      </c>
      <c r="D1095" s="3" t="inlineStr">
        <is>
          <t>m'</t>
        </is>
      </c>
      <c r="E1095" s="4" t="n">
        <v>159335</v>
      </c>
    </row>
    <row r="1096">
      <c r="A1096" s="3" t="n">
        <v>1094</v>
      </c>
      <c r="B1096" s="3" t="inlineStr">
        <is>
          <t>5.1.1.1.30</t>
        </is>
      </c>
      <c r="C1096" s="3" t="inlineStr">
        <is>
          <t>Pemasangan 1 m' kabel NYY 3 x 25 mm²</t>
        </is>
      </c>
      <c r="D1096" s="3" t="inlineStr">
        <is>
          <t>m'</t>
        </is>
      </c>
      <c r="E1096" s="4" t="n">
        <v>236373</v>
      </c>
    </row>
    <row r="1097">
      <c r="A1097" s="3" t="n">
        <v>1095</v>
      </c>
      <c r="B1097" s="3" t="inlineStr">
        <is>
          <t>5.1.1.1.31</t>
        </is>
      </c>
      <c r="C1097" s="3" t="inlineStr">
        <is>
          <t>Pemasangan 1 m' kabel NYY 3 x 35 mm²</t>
        </is>
      </c>
      <c r="D1097" s="3" t="inlineStr">
        <is>
          <t>m'</t>
        </is>
      </c>
      <c r="E1097" s="4" t="n">
        <v>315909</v>
      </c>
    </row>
    <row r="1098">
      <c r="A1098" s="3" t="n">
        <v>1096</v>
      </c>
      <c r="B1098" s="3" t="inlineStr">
        <is>
          <t>5.1.1.1.32</t>
        </is>
      </c>
      <c r="C1098" s="3" t="inlineStr">
        <is>
          <t>Pemasangan 1 m' kabel NYY 3 x 50 mm²</t>
        </is>
      </c>
      <c r="D1098" s="3" t="inlineStr">
        <is>
          <t>m'</t>
        </is>
      </c>
      <c r="E1098" s="4" t="n">
        <v>406950</v>
      </c>
    </row>
    <row r="1099">
      <c r="A1099" s="3" t="n">
        <v>1097</v>
      </c>
      <c r="B1099" s="3" t="inlineStr">
        <is>
          <t>5.1.1.1.33</t>
        </is>
      </c>
      <c r="C1099" s="3" t="inlineStr">
        <is>
          <t>Pemasangan 1 m' kabel NYY 4 x 1,5 mm²</t>
        </is>
      </c>
      <c r="D1099" s="3" t="inlineStr">
        <is>
          <t>m'</t>
        </is>
      </c>
      <c r="E1099" s="4" t="n">
        <v>33539</v>
      </c>
    </row>
    <row r="1100">
      <c r="A1100" s="3" t="n">
        <v>1098</v>
      </c>
      <c r="B1100" s="3" t="inlineStr">
        <is>
          <t>5.1.1.1.34</t>
        </is>
      </c>
      <c r="C1100" s="3" t="inlineStr">
        <is>
          <t>Pemasangan 1 m' kabel NYY 4 x 2,5 mm²</t>
        </is>
      </c>
      <c r="D1100" s="3" t="inlineStr">
        <is>
          <t>m'</t>
        </is>
      </c>
      <c r="E1100" s="4" t="n">
        <v>46214</v>
      </c>
    </row>
    <row r="1101">
      <c r="A1101" s="3" t="n">
        <v>1099</v>
      </c>
      <c r="B1101" s="3" t="inlineStr">
        <is>
          <t>5.1.1.1.35</t>
        </is>
      </c>
      <c r="C1101" s="3" t="inlineStr">
        <is>
          <t>Pemasangan 1 m' kabel NYY 4 x 4 mm²</t>
        </is>
      </c>
      <c r="D1101" s="3" t="inlineStr">
        <is>
          <t>m'</t>
        </is>
      </c>
      <c r="E1101" s="4" t="n">
        <v>66643</v>
      </c>
    </row>
    <row r="1102">
      <c r="A1102" s="3" t="n">
        <v>1100</v>
      </c>
      <c r="B1102" s="3" t="inlineStr">
        <is>
          <t>5.1.1.1.36</t>
        </is>
      </c>
      <c r="C1102" s="3" t="inlineStr">
        <is>
          <t>Pemasangan 1 m' kabel NYY 4 x 6 mm²</t>
        </is>
      </c>
      <c r="D1102" s="3" t="inlineStr">
        <is>
          <t>m'</t>
        </is>
      </c>
      <c r="E1102" s="4" t="n">
        <v>89413</v>
      </c>
    </row>
    <row r="1103">
      <c r="A1103" s="3" t="n">
        <v>1101</v>
      </c>
      <c r="B1103" s="3" t="inlineStr">
        <is>
          <t>5.1.1.1.37</t>
        </is>
      </c>
      <c r="C1103" s="3" t="inlineStr">
        <is>
          <t>Pemasangan 1 m' kabel NYY 4 x 10 mm²</t>
        </is>
      </c>
      <c r="D1103" s="3" t="inlineStr">
        <is>
          <t>m'</t>
        </is>
      </c>
      <c r="E1103" s="4" t="n">
        <v>136565</v>
      </c>
    </row>
    <row r="1104">
      <c r="A1104" s="3" t="n">
        <v>1102</v>
      </c>
      <c r="B1104" s="3" t="inlineStr">
        <is>
          <t>5.1.1.1.38</t>
        </is>
      </c>
      <c r="C1104" s="3" t="inlineStr">
        <is>
          <t>Pemasangan 1 m' kabel NYY 4 x 16 mm²</t>
        </is>
      </c>
      <c r="D1104" s="3" t="inlineStr">
        <is>
          <t>m'</t>
        </is>
      </c>
      <c r="E1104" s="4" t="n">
        <v>202977</v>
      </c>
    </row>
    <row r="1105">
      <c r="A1105" s="3" t="n">
        <v>1103</v>
      </c>
      <c r="B1105" s="3" t="inlineStr">
        <is>
          <t>5.1.1.1.39</t>
        </is>
      </c>
      <c r="C1105" s="3" t="inlineStr">
        <is>
          <t>Pemasangan 1 m' kabel NYY 4 x 25 mm²</t>
        </is>
      </c>
      <c r="D1105" s="3" t="inlineStr">
        <is>
          <t>m'</t>
        </is>
      </c>
      <c r="E1105" s="4" t="n">
        <v>308660</v>
      </c>
    </row>
    <row r="1106">
      <c r="A1106" s="3" t="n">
        <v>1104</v>
      </c>
      <c r="B1106" s="3" t="inlineStr">
        <is>
          <t>5.1.1.1.40</t>
        </is>
      </c>
      <c r="C1106" s="3" t="inlineStr">
        <is>
          <t>Pemasangan 1 m' kabel NYY 4 x 35 mm²</t>
        </is>
      </c>
      <c r="D1106" s="3" t="inlineStr">
        <is>
          <t>m'</t>
        </is>
      </c>
      <c r="E1106" s="4" t="n">
        <v>417758</v>
      </c>
    </row>
    <row r="1107">
      <c r="A1107" s="3" t="n">
        <v>1105</v>
      </c>
      <c r="B1107" s="3" t="inlineStr">
        <is>
          <t>5.1.1.1.41</t>
        </is>
      </c>
      <c r="C1107" s="3" t="inlineStr">
        <is>
          <t>Pemasangan 1 m' kabel NYY 4 x 50 mm²</t>
        </is>
      </c>
      <c r="D1107" s="3" t="inlineStr">
        <is>
          <t>m'</t>
        </is>
      </c>
      <c r="E1107" s="4" t="n">
        <v>551413</v>
      </c>
    </row>
    <row r="1108">
      <c r="A1108" s="3" t="n">
        <v>1106</v>
      </c>
      <c r="B1108" s="3" t="inlineStr">
        <is>
          <t>5.1.1.1.42</t>
        </is>
      </c>
      <c r="C1108" s="3" t="inlineStr">
        <is>
          <t>Pemasangan 1 m' kabel NYY 4 x 70 mm²</t>
        </is>
      </c>
      <c r="D1108" s="3" t="inlineStr">
        <is>
          <t>m'</t>
        </is>
      </c>
      <c r="E1108" s="4" t="n">
        <v>784751</v>
      </c>
    </row>
    <row r="1109">
      <c r="A1109" s="3" t="n">
        <v>1107</v>
      </c>
      <c r="B1109" s="3" t="inlineStr">
        <is>
          <t>5.1.1.1.43</t>
        </is>
      </c>
      <c r="C1109" s="3" t="inlineStr">
        <is>
          <t>Pemasangan 1 m' kabel NYY 4 x 95 mm²</t>
        </is>
      </c>
      <c r="D1109" s="3" t="inlineStr">
        <is>
          <t>m'</t>
        </is>
      </c>
      <c r="E1109" s="4" t="n">
        <v>1078808</v>
      </c>
    </row>
    <row r="1110">
      <c r="A1110" s="3" t="n">
        <v>1108</v>
      </c>
      <c r="B1110" s="3" t="inlineStr">
        <is>
          <t>5.1.1.1.44</t>
        </is>
      </c>
      <c r="C1110" s="3" t="inlineStr">
        <is>
          <t>Pemasangan 1 m' kabel NYY 4 x 120 mm²</t>
        </is>
      </c>
      <c r="D1110" s="3" t="inlineStr">
        <is>
          <t>m'</t>
        </is>
      </c>
      <c r="E1110" s="4" t="n">
        <v>1340284</v>
      </c>
    </row>
    <row r="1111">
      <c r="A1111" s="3" t="n">
        <v>1109</v>
      </c>
      <c r="B1111" s="3" t="inlineStr">
        <is>
          <t>5.1.1.1.45</t>
        </is>
      </c>
      <c r="C1111" s="3" t="inlineStr">
        <is>
          <t>Pemasangan 1 m' kabel NYY 4 x 150 mm²</t>
        </is>
      </c>
      <c r="D1111" s="3" t="inlineStr">
        <is>
          <t>m'</t>
        </is>
      </c>
      <c r="E1111" s="4" t="n">
        <v>1650121</v>
      </c>
    </row>
    <row r="1112">
      <c r="A1112" s="3" t="n">
        <v>1110</v>
      </c>
      <c r="B1112" s="3" t="inlineStr">
        <is>
          <t>5.1.1.1.46</t>
        </is>
      </c>
      <c r="C1112" s="3" t="inlineStr">
        <is>
          <t>Pemasangan 1 m' kabel NYY 4 x 185 mm²</t>
        </is>
      </c>
      <c r="D1112" s="3" t="inlineStr">
        <is>
          <t>m'</t>
        </is>
      </c>
      <c r="E1112" s="4" t="n">
        <v>2039488</v>
      </c>
    </row>
    <row r="1113">
      <c r="A1113" s="3" t="n">
        <v>1111</v>
      </c>
      <c r="B1113" s="3" t="inlineStr">
        <is>
          <t>5.1.1.1.47</t>
        </is>
      </c>
      <c r="C1113" s="3" t="inlineStr">
        <is>
          <t>Pemasangan 1 m' kabel NYY 4 x 240 mm²</t>
        </is>
      </c>
      <c r="D1113" s="3" t="inlineStr">
        <is>
          <t>m'</t>
        </is>
      </c>
      <c r="E1113" s="4" t="n">
        <v>2686893</v>
      </c>
    </row>
    <row r="1114">
      <c r="A1114" s="3" t="n">
        <v>1112</v>
      </c>
      <c r="B1114" s="3" t="inlineStr">
        <is>
          <t>5.1.1.1.48</t>
        </is>
      </c>
      <c r="C1114" s="3" t="inlineStr">
        <is>
          <t>Pemasangan 1 m' kabel NYY 4 x 300 mm²</t>
        </is>
      </c>
      <c r="D1114" s="3" t="inlineStr">
        <is>
          <t>m'</t>
        </is>
      </c>
      <c r="E1114" s="4" t="n">
        <v>3327109</v>
      </c>
    </row>
    <row r="1115">
      <c r="A1115" s="3" t="n">
        <v>1113</v>
      </c>
      <c r="B1115" s="3" t="inlineStr">
        <is>
          <t>5.1.1.2.1</t>
        </is>
      </c>
      <c r="C1115" s="3" t="inlineStr">
        <is>
          <t>Pemasangan 1 m' kabel NYA 1 x 1,5 mm²</t>
        </is>
      </c>
      <c r="D1115" s="3" t="inlineStr">
        <is>
          <t>m'</t>
        </is>
      </c>
      <c r="E1115" s="4" t="n">
        <v>9163</v>
      </c>
    </row>
    <row r="1116">
      <c r="A1116" s="3" t="n">
        <v>1114</v>
      </c>
      <c r="B1116" s="3" t="inlineStr">
        <is>
          <t>5.1.1.2.2</t>
        </is>
      </c>
      <c r="C1116" s="3" t="inlineStr">
        <is>
          <t>Pemasangan 1 m' kabel NYA 1 x 2,5 mm²</t>
        </is>
      </c>
      <c r="D1116" s="3" t="inlineStr">
        <is>
          <t>m'</t>
        </is>
      </c>
      <c r="E1116" s="4" t="n">
        <v>11819</v>
      </c>
    </row>
    <row r="1117">
      <c r="A1117" s="3" t="n">
        <v>1115</v>
      </c>
      <c r="B1117" s="3" t="inlineStr">
        <is>
          <t>5.1.1.2.3</t>
        </is>
      </c>
      <c r="C1117" s="3" t="inlineStr">
        <is>
          <t>Pemasangan 1 m' kabel NYA 1 x 4 mm²</t>
        </is>
      </c>
      <c r="D1117" s="3" t="inlineStr">
        <is>
          <t>m'</t>
        </is>
      </c>
      <c r="E1117" s="4" t="n">
        <v>18491</v>
      </c>
    </row>
    <row r="1118">
      <c r="A1118" s="3" t="n">
        <v>1116</v>
      </c>
      <c r="B1118" s="3" t="inlineStr">
        <is>
          <t>5.1.1.2.4</t>
        </is>
      </c>
      <c r="C1118" s="3" t="inlineStr">
        <is>
          <t>Pemasangan 1 m' kabel NYA 1 x 6 mm²</t>
        </is>
      </c>
      <c r="D1118" s="3" t="inlineStr">
        <is>
          <t>m'</t>
        </is>
      </c>
      <c r="E1118" s="4" t="n">
        <v>23424</v>
      </c>
    </row>
    <row r="1119">
      <c r="A1119" s="3" t="n">
        <v>1117</v>
      </c>
      <c r="B1119" s="3" t="inlineStr">
        <is>
          <t>5.1.1.2.5</t>
        </is>
      </c>
      <c r="C1119" s="3" t="inlineStr">
        <is>
          <t>Pemasangan 1 m' kabel NYA 1 x 10 mm²</t>
        </is>
      </c>
      <c r="D1119" s="3" t="inlineStr">
        <is>
          <t>m'</t>
        </is>
      </c>
      <c r="E1119" s="4" t="n">
        <v>35310</v>
      </c>
    </row>
    <row r="1120">
      <c r="A1120" s="3" t="n">
        <v>1118</v>
      </c>
      <c r="B1120" s="3" t="inlineStr">
        <is>
          <t>5.1.1.2.6</t>
        </is>
      </c>
      <c r="C1120" s="3" t="inlineStr">
        <is>
          <t>Pemasangan 1 m' kabel NYA 1 x 16 mm²</t>
        </is>
      </c>
      <c r="D1120" s="3" t="inlineStr">
        <is>
          <t>m'</t>
        </is>
      </c>
      <c r="E1120" s="4" t="n">
        <v>51755</v>
      </c>
    </row>
    <row r="1121">
      <c r="A1121" s="3" t="n">
        <v>1119</v>
      </c>
      <c r="B1121" s="3" t="inlineStr">
        <is>
          <t>5.1.1.2.7</t>
        </is>
      </c>
      <c r="C1121" s="3" t="inlineStr">
        <is>
          <t>Pemasangan 1 m' kabel NYA 2 x 1,5 mm² + PVC conduit HI 20 mm²</t>
        </is>
      </c>
      <c r="D1121" s="3" t="inlineStr">
        <is>
          <t>m'</t>
        </is>
      </c>
      <c r="E1121" s="4" t="n">
        <v>26834</v>
      </c>
    </row>
    <row r="1122">
      <c r="A1122" s="3" t="n">
        <v>1120</v>
      </c>
      <c r="B1122" s="3" t="inlineStr">
        <is>
          <t>5.1.1.2.8</t>
        </is>
      </c>
      <c r="C1122" s="3" t="inlineStr">
        <is>
          <t>Pemasangan 1 m' kabel NYA 3 x 1,5 mm² + PVC conduit HI 20 mm²</t>
        </is>
      </c>
      <c r="D1122" s="3" t="inlineStr">
        <is>
          <t>m'</t>
        </is>
      </c>
      <c r="E1122" s="4" t="n">
        <v>32906</v>
      </c>
    </row>
    <row r="1123">
      <c r="A1123" s="3" t="n">
        <v>1121</v>
      </c>
      <c r="B1123" s="3" t="inlineStr">
        <is>
          <t>5.1.1.2.9</t>
        </is>
      </c>
      <c r="C1123" s="3" t="inlineStr">
        <is>
          <t>Pemasangan 1 m' kabel NYA 3 x 2,5 mm² + PVC conduit HI 20 mm²</t>
        </is>
      </c>
      <c r="D1123" s="3" t="inlineStr">
        <is>
          <t>m'</t>
        </is>
      </c>
      <c r="E1123" s="4" t="n">
        <v>39798</v>
      </c>
    </row>
    <row r="1124">
      <c r="A1124" s="3" t="n">
        <v>1122</v>
      </c>
      <c r="B1124" s="3" t="inlineStr">
        <is>
          <t>5.1.1.2.10</t>
        </is>
      </c>
      <c r="C1124" s="3" t="inlineStr">
        <is>
          <t>Pemasangan 1 m' kabel NYA 3 x 2,5 mm² + PVC conduit HI 32 mm²</t>
        </is>
      </c>
      <c r="D1124" s="3" t="inlineStr">
        <is>
          <t>m'</t>
        </is>
      </c>
      <c r="E1124" s="4" t="n">
        <v>59911</v>
      </c>
    </row>
    <row r="1125">
      <c r="A1125" s="3" t="n">
        <v>1123</v>
      </c>
      <c r="B1125" s="3" t="inlineStr">
        <is>
          <t>5.1.1.2.11</t>
        </is>
      </c>
      <c r="C1125" s="3" t="inlineStr">
        <is>
          <t>Pemasangan 1 m' kabel NYA 5 x 2,5 mm² + PVC conduit HI 20 mm²</t>
        </is>
      </c>
      <c r="D1125" s="3" t="inlineStr">
        <is>
          <t>m'</t>
        </is>
      </c>
      <c r="E1125" s="4" t="n">
        <v>80344</v>
      </c>
    </row>
    <row r="1126">
      <c r="A1126" s="3" t="n">
        <v>1124</v>
      </c>
      <c r="B1126" s="3" t="inlineStr">
        <is>
          <t>5.1.1.2.12</t>
        </is>
      </c>
      <c r="C1126" s="3" t="inlineStr">
        <is>
          <t>Pemasangan 1 m' kabel NYA 5 x 2,5 mm² + PVC conduit HI 32 mm²</t>
        </is>
      </c>
      <c r="D1126" s="3" t="inlineStr">
        <is>
          <t>m'</t>
        </is>
      </c>
      <c r="E1126" s="4" t="n">
        <v>100457</v>
      </c>
    </row>
    <row r="1127">
      <c r="A1127" s="3" t="n">
        <v>1125</v>
      </c>
      <c r="B1127" s="3" t="inlineStr">
        <is>
          <t>5.1.1.2.13</t>
        </is>
      </c>
      <c r="C1127" s="3" t="inlineStr">
        <is>
          <t>Pemasangan 1 m' kabel NYA 1 x 35 mm²</t>
        </is>
      </c>
      <c r="D1127" s="3" t="inlineStr">
        <is>
          <t>m'</t>
        </is>
      </c>
      <c r="E1127" s="4" t="n">
        <v>105256</v>
      </c>
    </row>
    <row r="1128">
      <c r="A1128" s="3" t="n">
        <v>1126</v>
      </c>
      <c r="B1128" s="3" t="inlineStr">
        <is>
          <t>5.1.1.2.14</t>
        </is>
      </c>
      <c r="C1128" s="3" t="inlineStr">
        <is>
          <t>Pemasangan 1 m' kabel NYA 1 x 95 mm²</t>
        </is>
      </c>
      <c r="D1128" s="3" t="inlineStr">
        <is>
          <t>m'</t>
        </is>
      </c>
      <c r="E1128" s="4" t="n">
        <v>253940</v>
      </c>
    </row>
    <row r="1129">
      <c r="A1129" s="3" t="n">
        <v>1127</v>
      </c>
      <c r="B1129" s="3" t="inlineStr">
        <is>
          <t>5.1.1.2.15</t>
        </is>
      </c>
      <c r="C1129" s="3" t="inlineStr">
        <is>
          <t>Pemasangan 1 m' Kabel NYA 1 x 25 mm²</t>
        </is>
      </c>
      <c r="D1129" s="3" t="inlineStr">
        <is>
          <t>m'</t>
        </is>
      </c>
      <c r="E1129" s="4" t="n">
        <v>73260</v>
      </c>
    </row>
    <row r="1130">
      <c r="A1130" s="3" t="n">
        <v>1128</v>
      </c>
      <c r="B1130" s="3" t="inlineStr">
        <is>
          <t>5.1.1.2.16</t>
        </is>
      </c>
      <c r="C1130" s="3" t="inlineStr">
        <is>
          <t>Pemasangan 1 m' Kabel NYA 1 x 50 mm²</t>
        </is>
      </c>
      <c r="D1130" s="3" t="inlineStr">
        <is>
          <t>m'</t>
        </is>
      </c>
      <c r="E1130" s="4" t="n">
        <v>122650</v>
      </c>
    </row>
    <row r="1131">
      <c r="A1131" s="3" t="n">
        <v>1129</v>
      </c>
      <c r="B1131" s="3" t="inlineStr">
        <is>
          <t>5.1.1.2.17</t>
        </is>
      </c>
      <c r="C1131" s="3" t="inlineStr">
        <is>
          <t>Pemasangan 1 m' Kabel NYA 1 x 70 mm²</t>
        </is>
      </c>
      <c r="D1131" s="3" t="inlineStr">
        <is>
          <t>m'</t>
        </is>
      </c>
      <c r="E1131" s="4" t="n">
        <v>176775</v>
      </c>
    </row>
    <row r="1132">
      <c r="A1132" s="3" t="n">
        <v>1130</v>
      </c>
      <c r="B1132" s="3" t="inlineStr">
        <is>
          <t>5.1.1.3.1</t>
        </is>
      </c>
      <c r="C1132" s="3" t="inlineStr">
        <is>
          <t>Pemasangan 1 m' kabel NYM 2 x 1,5 mm²</t>
        </is>
      </c>
      <c r="D1132" s="3" t="inlineStr">
        <is>
          <t>m'</t>
        </is>
      </c>
      <c r="E1132" s="4" t="n">
        <v>21731</v>
      </c>
    </row>
    <row r="1133">
      <c r="A1133" s="3" t="n">
        <v>1131</v>
      </c>
      <c r="B1133" s="3" t="inlineStr">
        <is>
          <t>5.1.1.3.2</t>
        </is>
      </c>
      <c r="C1133" s="3" t="inlineStr">
        <is>
          <t>Pemasangan 1 m' kabel NYM 2 x 2,5 mm²</t>
        </is>
      </c>
      <c r="D1133" s="3" t="inlineStr">
        <is>
          <t>m'</t>
        </is>
      </c>
      <c r="E1133" s="4" t="n">
        <v>27500</v>
      </c>
    </row>
    <row r="1134">
      <c r="A1134" s="3" t="n">
        <v>1132</v>
      </c>
      <c r="B1134" s="3" t="inlineStr">
        <is>
          <t>5.1.1.3.3</t>
        </is>
      </c>
      <c r="C1134" s="3" t="inlineStr">
        <is>
          <t>Pemasangan 1 m' kabel NYM 2 x 4 mm²</t>
        </is>
      </c>
      <c r="D1134" s="3" t="inlineStr">
        <is>
          <t>m'</t>
        </is>
      </c>
      <c r="E1134" s="4" t="n">
        <v>36344</v>
      </c>
    </row>
    <row r="1135">
      <c r="A1135" s="3" t="n">
        <v>1133</v>
      </c>
      <c r="B1135" s="3" t="inlineStr">
        <is>
          <t>5.1.1.3.4</t>
        </is>
      </c>
      <c r="C1135" s="3" t="inlineStr">
        <is>
          <t>Pemasangan 1 m' kabel NYM 2 x 6 mm²</t>
        </is>
      </c>
      <c r="D1135" s="3" t="inlineStr">
        <is>
          <t>m'</t>
        </is>
      </c>
      <c r="E1135" s="4" t="n">
        <v>48290</v>
      </c>
    </row>
    <row r="1136">
      <c r="A1136" s="3" t="n">
        <v>1134</v>
      </c>
      <c r="B1136" s="3" t="inlineStr">
        <is>
          <t>5.1.1.3.5</t>
        </is>
      </c>
      <c r="C1136" s="3" t="inlineStr">
        <is>
          <t>Pemasangan 1 m' kabel NYM 2 x 10 mm²</t>
        </is>
      </c>
      <c r="D1136" s="3" t="inlineStr">
        <is>
          <t>m'</t>
        </is>
      </c>
      <c r="E1136" s="4" t="n">
        <v>74690</v>
      </c>
    </row>
    <row r="1137">
      <c r="A1137" s="3" t="n">
        <v>1135</v>
      </c>
      <c r="B1137" s="3" t="inlineStr">
        <is>
          <t>5.1.1.3.6</t>
        </is>
      </c>
      <c r="C1137" s="3" t="inlineStr">
        <is>
          <t>Pemasangan 1 m' kabel NYM 3 x 1,5 mm²</t>
        </is>
      </c>
      <c r="D1137" s="3" t="inlineStr">
        <is>
          <t>m'</t>
        </is>
      </c>
      <c r="E1137" s="4" t="n">
        <v>25058</v>
      </c>
    </row>
    <row r="1138">
      <c r="A1138" s="3" t="n">
        <v>1136</v>
      </c>
      <c r="B1138" s="3" t="inlineStr">
        <is>
          <t>5.1.1.3.7</t>
        </is>
      </c>
      <c r="C1138" s="3" t="inlineStr">
        <is>
          <t>Pemasangan 1 m' kabel NYM 3 x 2,5 mm²</t>
        </is>
      </c>
      <c r="D1138" s="3" t="inlineStr">
        <is>
          <t>m'</t>
        </is>
      </c>
      <c r="E1138" s="4" t="n">
        <v>38126</v>
      </c>
    </row>
    <row r="1139">
      <c r="A1139" s="3" t="n">
        <v>1137</v>
      </c>
      <c r="B1139" s="3" t="inlineStr">
        <is>
          <t>5.1.1.3.8</t>
        </is>
      </c>
      <c r="C1139" s="3" t="inlineStr">
        <is>
          <t>Pemasangan 1 m' kabel NYM 3 x 4 mm²</t>
        </is>
      </c>
      <c r="D1139" s="3" t="inlineStr">
        <is>
          <t>m'</t>
        </is>
      </c>
      <c r="E1139" s="4" t="n">
        <v>47888</v>
      </c>
    </row>
    <row r="1140">
      <c r="A1140" s="3" t="n">
        <v>1138</v>
      </c>
      <c r="B1140" s="3" t="inlineStr">
        <is>
          <t>5.1.1.3.9</t>
        </is>
      </c>
      <c r="C1140" s="3" t="inlineStr">
        <is>
          <t>Pemasangan 1 m' kabel NYM 3 x 6 mm²</t>
        </is>
      </c>
      <c r="D1140" s="3" t="inlineStr">
        <is>
          <t>m'</t>
        </is>
      </c>
      <c r="E1140" s="4" t="n">
        <v>69140</v>
      </c>
    </row>
    <row r="1141">
      <c r="A1141" s="3" t="n">
        <v>1139</v>
      </c>
      <c r="B1141" s="3" t="inlineStr">
        <is>
          <t>5.1.1.3.10</t>
        </is>
      </c>
      <c r="C1141" s="3" t="inlineStr">
        <is>
          <t>Pemasangan 1 m' kabel NYM 3 x 10 mm²</t>
        </is>
      </c>
      <c r="D1141" s="3" t="inlineStr">
        <is>
          <t>m'</t>
        </is>
      </c>
      <c r="E1141" s="4" t="n">
        <v>106469</v>
      </c>
    </row>
    <row r="1142">
      <c r="A1142" s="3" t="n">
        <v>1140</v>
      </c>
      <c r="B1142" s="3" t="inlineStr">
        <is>
          <t>5.1.1.3.11</t>
        </is>
      </c>
      <c r="C1142" s="3" t="inlineStr">
        <is>
          <t>Pemasangan 1 m' kabel NYM 4 x 1,5 mm²</t>
        </is>
      </c>
      <c r="D1142" s="3" t="inlineStr">
        <is>
          <t>m'</t>
        </is>
      </c>
      <c r="E1142" s="4" t="n">
        <v>29018</v>
      </c>
    </row>
    <row r="1143">
      <c r="A1143" s="3" t="n">
        <v>1141</v>
      </c>
      <c r="B1143" s="3" t="inlineStr">
        <is>
          <t>5.1.1.3.12</t>
        </is>
      </c>
      <c r="C1143" s="3" t="inlineStr">
        <is>
          <t>Pemasangan 1 m' kabel NYM 4 x 2,5 mm²</t>
        </is>
      </c>
      <c r="D1143" s="3" t="inlineStr">
        <is>
          <t>m'</t>
        </is>
      </c>
      <c r="E1143" s="4" t="n">
        <v>39974</v>
      </c>
    </row>
    <row r="1144">
      <c r="A1144" s="3" t="n">
        <v>1142</v>
      </c>
      <c r="B1144" s="3" t="inlineStr">
        <is>
          <t>5.1.1.3.13</t>
        </is>
      </c>
      <c r="C1144" s="3" t="inlineStr">
        <is>
          <t>Pemasangan 1 m' kabel NYM 4 x 4 mm²</t>
        </is>
      </c>
      <c r="D1144" s="3" t="inlineStr">
        <is>
          <t>m'</t>
        </is>
      </c>
      <c r="E1144" s="4" t="n">
        <v>61088</v>
      </c>
    </row>
    <row r="1145">
      <c r="A1145" s="3" t="n">
        <v>1143</v>
      </c>
      <c r="B1145" s="3" t="inlineStr">
        <is>
          <t>5.1.1.3.14</t>
        </is>
      </c>
      <c r="C1145" s="3" t="inlineStr">
        <is>
          <t>Pemasangan 1 m' kabel NYM 4 x 6 mm²</t>
        </is>
      </c>
      <c r="D1145" s="3" t="inlineStr">
        <is>
          <t>m'</t>
        </is>
      </c>
      <c r="E1145" s="4" t="n">
        <v>84056</v>
      </c>
    </row>
    <row r="1146">
      <c r="A1146" s="3" t="n">
        <v>1144</v>
      </c>
      <c r="B1146" s="3" t="inlineStr">
        <is>
          <t>5.1.1.3.15</t>
        </is>
      </c>
      <c r="C1146" s="3" t="inlineStr">
        <is>
          <t>Pemasangan 1 m' kabel NYM 4 x 10 mm²</t>
        </is>
      </c>
      <c r="D1146" s="3" t="inlineStr">
        <is>
          <t>m'</t>
        </is>
      </c>
      <c r="E1146" s="4" t="n">
        <v>137753</v>
      </c>
    </row>
    <row r="1147">
      <c r="A1147" s="3" t="n">
        <v>1145</v>
      </c>
      <c r="B1147" s="3" t="inlineStr">
        <is>
          <t>5.1.1.3.16</t>
        </is>
      </c>
      <c r="C1147" s="3" t="inlineStr">
        <is>
          <t>Pemasangan 1 m' kabel NYM 4 x 16 mm²</t>
        </is>
      </c>
      <c r="D1147" s="3" t="inlineStr">
        <is>
          <t>m'</t>
        </is>
      </c>
      <c r="E1147" s="4" t="n">
        <v>213125</v>
      </c>
    </row>
    <row r="1148">
      <c r="A1148" s="3" t="n">
        <v>1146</v>
      </c>
      <c r="B1148" s="3" t="inlineStr">
        <is>
          <t>5.1.1.4.1</t>
        </is>
      </c>
      <c r="C1148" s="3" t="inlineStr">
        <is>
          <t>Pemasangan 1 m' kabel NYMHY 2 x 1,5 mm²</t>
        </is>
      </c>
      <c r="D1148" s="3" t="inlineStr">
        <is>
          <t>m'</t>
        </is>
      </c>
      <c r="E1148" s="4" t="n">
        <v>22286</v>
      </c>
    </row>
    <row r="1149">
      <c r="A1149" s="3" t="n">
        <v>1147</v>
      </c>
      <c r="B1149" s="3" t="inlineStr">
        <is>
          <t>5.1.1.4.2</t>
        </is>
      </c>
      <c r="C1149" s="3" t="inlineStr">
        <is>
          <t>Pemasangan 1 m' kabel NYMHY 2 x 2,5 mm²</t>
        </is>
      </c>
      <c r="D1149" s="3" t="inlineStr">
        <is>
          <t>m'</t>
        </is>
      </c>
      <c r="E1149" s="4" t="n">
        <v>28358</v>
      </c>
    </row>
    <row r="1150">
      <c r="A1150" s="3" t="n">
        <v>1148</v>
      </c>
      <c r="B1150" s="3" t="inlineStr">
        <is>
          <t>5.1.1.4.3</t>
        </is>
      </c>
      <c r="C1150" s="3" t="inlineStr">
        <is>
          <t>Pemasangan 1 m' kabel NYMHY 3 x 1,5 mm²</t>
        </is>
      </c>
      <c r="D1150" s="3" t="inlineStr">
        <is>
          <t>m'</t>
        </is>
      </c>
      <c r="E1150" s="4" t="n">
        <v>27698</v>
      </c>
    </row>
    <row r="1151">
      <c r="A1151" s="3" t="n">
        <v>1149</v>
      </c>
      <c r="B1151" s="3" t="inlineStr">
        <is>
          <t>5.1.1.4.4</t>
        </is>
      </c>
      <c r="C1151" s="3" t="inlineStr">
        <is>
          <t>Pemasangan 1 m' kabel NYMHY 3 x 2,5 mm²</t>
        </is>
      </c>
      <c r="D1151" s="3" t="inlineStr">
        <is>
          <t>m'</t>
        </is>
      </c>
      <c r="E1151" s="4" t="n">
        <v>38126</v>
      </c>
    </row>
    <row r="1152">
      <c r="A1152" s="3" t="n">
        <v>1150</v>
      </c>
      <c r="B1152" s="3" t="inlineStr">
        <is>
          <t>5.1.1.4.5</t>
        </is>
      </c>
      <c r="C1152" s="3" t="inlineStr">
        <is>
          <t>Pemasangan 1 m' kabel NYMHY 4 x 2,5 mm²</t>
        </is>
      </c>
      <c r="D1152" s="3" t="inlineStr">
        <is>
          <t>m'</t>
        </is>
      </c>
      <c r="E1152" s="4" t="n">
        <v>47894</v>
      </c>
    </row>
    <row r="1153">
      <c r="A1153" s="3" t="n">
        <v>1151</v>
      </c>
      <c r="B1153" s="3" t="inlineStr">
        <is>
          <t>5.1.1.4.6</t>
        </is>
      </c>
      <c r="C1153" s="3" t="inlineStr">
        <is>
          <t>Pemasangan 1 m' kabel NYMHY 3 x 1,5 mm² + PVC conduit HI 20 mm²</t>
        </is>
      </c>
      <c r="D1153" s="3" t="inlineStr">
        <is>
          <t>m'</t>
        </is>
      </c>
      <c r="E1153" s="4" t="n">
        <v>33110</v>
      </c>
    </row>
    <row r="1154">
      <c r="A1154" s="3" t="n">
        <v>1152</v>
      </c>
      <c r="B1154" s="3" t="inlineStr">
        <is>
          <t>5.1.1.4.7</t>
        </is>
      </c>
      <c r="C1154" s="3" t="inlineStr">
        <is>
          <t>Pemasangan 1 m' kabel NYMHY 2 (3 x 1,5 mm²) + PVC conduit HI 20 mm²</t>
        </is>
      </c>
      <c r="D1154" s="3" t="inlineStr">
        <is>
          <t>m'</t>
        </is>
      </c>
      <c r="E1154" s="4" t="n">
        <v>59306</v>
      </c>
    </row>
    <row r="1155">
      <c r="A1155" s="3" t="n">
        <v>1153</v>
      </c>
      <c r="B1155" s="3" t="inlineStr">
        <is>
          <t>5.1.1.4.8</t>
        </is>
      </c>
      <c r="C1155" s="3" t="inlineStr">
        <is>
          <t>Pemasangan 1 m' Kabel NYMHY 2 x 0,75 mm² + Conduit PVC HI 20 mm</t>
        </is>
      </c>
      <c r="D1155" s="3" t="inlineStr">
        <is>
          <t>m'</t>
        </is>
      </c>
      <c r="E1155" s="4" t="n">
        <v>23210</v>
      </c>
    </row>
    <row r="1156">
      <c r="A1156" s="3" t="n">
        <v>1154</v>
      </c>
      <c r="B1156" s="3" t="inlineStr">
        <is>
          <t>5.1.1.5.1</t>
        </is>
      </c>
      <c r="C1156" s="3" t="inlineStr">
        <is>
          <t>Pemasangan 1 m' kabel NYFGBY 2 x 1,5 mm²</t>
        </is>
      </c>
      <c r="D1156" s="3" t="inlineStr">
        <is>
          <t>m'</t>
        </is>
      </c>
      <c r="E1156" s="4" t="n">
        <v>40040</v>
      </c>
    </row>
    <row r="1157">
      <c r="A1157" s="3" t="n">
        <v>1155</v>
      </c>
      <c r="B1157" s="3" t="inlineStr">
        <is>
          <t>5.1.1.5.2</t>
        </is>
      </c>
      <c r="C1157" s="3" t="inlineStr">
        <is>
          <t>Pemasangan 1 m' kabel NYFGBY 2 x 2,5 mm²</t>
        </is>
      </c>
      <c r="D1157" s="3" t="inlineStr">
        <is>
          <t>m'</t>
        </is>
      </c>
      <c r="E1157" s="4" t="n">
        <v>50270</v>
      </c>
    </row>
    <row r="1158">
      <c r="A1158" s="3" t="n">
        <v>1156</v>
      </c>
      <c r="B1158" s="3" t="inlineStr">
        <is>
          <t>5.1.1.5.3</t>
        </is>
      </c>
      <c r="C1158" s="3" t="inlineStr">
        <is>
          <t>Pemasangan 1 m' kabel NYFGBY 2 x 4 mm²</t>
        </is>
      </c>
      <c r="D1158" s="3" t="inlineStr">
        <is>
          <t>m'</t>
        </is>
      </c>
      <c r="E1158" s="4" t="n">
        <v>56474</v>
      </c>
    </row>
    <row r="1159">
      <c r="A1159" s="3" t="n">
        <v>1157</v>
      </c>
      <c r="B1159" s="3" t="inlineStr">
        <is>
          <t>5.1.1.5.4</t>
        </is>
      </c>
      <c r="C1159" s="3" t="inlineStr">
        <is>
          <t>Pemasangan 1 m' kabel NYFGBY 2 x 6 mm²</t>
        </is>
      </c>
      <c r="D1159" s="3" t="inlineStr">
        <is>
          <t>m'</t>
        </is>
      </c>
      <c r="E1159" s="4" t="n">
        <v>67232</v>
      </c>
    </row>
    <row r="1160">
      <c r="A1160" s="3" t="n">
        <v>1158</v>
      </c>
      <c r="B1160" s="3" t="inlineStr">
        <is>
          <t>5.1.1.5.5</t>
        </is>
      </c>
      <c r="C1160" s="3" t="inlineStr">
        <is>
          <t>Pemasangan 1 m' kabel NYFGBY 2 x 10 mm²</t>
        </is>
      </c>
      <c r="D1160" s="3" t="inlineStr">
        <is>
          <t>m'</t>
        </is>
      </c>
      <c r="E1160" s="4" t="n">
        <v>90200</v>
      </c>
    </row>
    <row r="1161">
      <c r="A1161" s="3" t="n">
        <v>1159</v>
      </c>
      <c r="B1161" s="3" t="inlineStr">
        <is>
          <t>5.1.1.5.6</t>
        </is>
      </c>
      <c r="C1161" s="3" t="inlineStr">
        <is>
          <t>Pemasangan 1 m' kabel NYFGBY 2 x 16 mm²</t>
        </is>
      </c>
      <c r="D1161" s="3" t="inlineStr">
        <is>
          <t>m'</t>
        </is>
      </c>
      <c r="E1161" s="4" t="n">
        <v>118250</v>
      </c>
    </row>
    <row r="1162">
      <c r="A1162" s="3" t="n">
        <v>1160</v>
      </c>
      <c r="B1162" s="3" t="inlineStr">
        <is>
          <t>5.1.1.5.7</t>
        </is>
      </c>
      <c r="C1162" s="3" t="inlineStr">
        <is>
          <t>Pemasangan 1 m' kabel NYFGBY 3 x 1,5 mm²</t>
        </is>
      </c>
      <c r="D1162" s="3" t="inlineStr">
        <is>
          <t>m'</t>
        </is>
      </c>
      <c r="E1162" s="4" t="n">
        <v>47630</v>
      </c>
    </row>
    <row r="1163">
      <c r="A1163" s="3" t="n">
        <v>1161</v>
      </c>
      <c r="B1163" s="3" t="inlineStr">
        <is>
          <t>5.1.1.5.8</t>
        </is>
      </c>
      <c r="C1163" s="3" t="inlineStr">
        <is>
          <t>Pemasangan 1 m' kabel NYFGBY 3 x 2,5 mm²</t>
        </is>
      </c>
      <c r="D1163" s="3" t="inlineStr">
        <is>
          <t>m'</t>
        </is>
      </c>
      <c r="E1163" s="4" t="n">
        <v>55676</v>
      </c>
    </row>
    <row r="1164">
      <c r="A1164" s="3" t="n">
        <v>1162</v>
      </c>
      <c r="B1164" s="3" t="inlineStr">
        <is>
          <t>5.1.1.5.9</t>
        </is>
      </c>
      <c r="C1164" s="3" t="inlineStr">
        <is>
          <t>Pemasangan 1 m' kabel NYFGBY 3 x 4 mm²</t>
        </is>
      </c>
      <c r="D1164" s="3" t="inlineStr">
        <is>
          <t>m'</t>
        </is>
      </c>
      <c r="E1164" s="4" t="n">
        <v>76928</v>
      </c>
    </row>
    <row r="1165">
      <c r="A1165" s="3" t="n">
        <v>1163</v>
      </c>
      <c r="B1165" s="3" t="inlineStr">
        <is>
          <t>5.1.1.5.10</t>
        </is>
      </c>
      <c r="C1165" s="3" t="inlineStr">
        <is>
          <t>Pemasangan 1 m' kabel NYFGBY 3 x 6 mm²</t>
        </is>
      </c>
      <c r="D1165" s="3" t="inlineStr">
        <is>
          <t>m'</t>
        </is>
      </c>
      <c r="E1165" s="4" t="n">
        <v>98945</v>
      </c>
    </row>
    <row r="1166">
      <c r="A1166" s="3" t="n">
        <v>1164</v>
      </c>
      <c r="B1166" s="3" t="inlineStr">
        <is>
          <t>5.1.1.5.11</t>
        </is>
      </c>
      <c r="C1166" s="3" t="inlineStr">
        <is>
          <t>Pemasangan 1 m' kabel NYFGBY 3 x 10 mm²</t>
        </is>
      </c>
      <c r="D1166" s="3" t="inlineStr">
        <is>
          <t>m'</t>
        </is>
      </c>
      <c r="E1166" s="4" t="n">
        <v>120197</v>
      </c>
    </row>
    <row r="1167">
      <c r="A1167" s="3" t="n">
        <v>1165</v>
      </c>
      <c r="B1167" s="3" t="inlineStr">
        <is>
          <t>5.1.1.5.12</t>
        </is>
      </c>
      <c r="C1167" s="3" t="inlineStr">
        <is>
          <t>Pemasangan 1 m' kabel NYFGBY 3 x 16 mm²</t>
        </is>
      </c>
      <c r="D1167" s="3" t="inlineStr">
        <is>
          <t>m'</t>
        </is>
      </c>
      <c r="E1167" s="4" t="n">
        <v>185273</v>
      </c>
    </row>
    <row r="1168">
      <c r="A1168" s="3" t="n">
        <v>1166</v>
      </c>
      <c r="B1168" s="3" t="inlineStr">
        <is>
          <t>5.1.1.5.13</t>
        </is>
      </c>
      <c r="C1168" s="3" t="inlineStr">
        <is>
          <t>Pemasangan 1 m' kabel NYFGBY 4 x 1,5 mm²</t>
        </is>
      </c>
      <c r="D1168" s="3" t="inlineStr">
        <is>
          <t>m'</t>
        </is>
      </c>
      <c r="E1168" s="4" t="n">
        <v>48818</v>
      </c>
    </row>
    <row r="1169">
      <c r="A1169" s="3" t="n">
        <v>1167</v>
      </c>
      <c r="B1169" s="3" t="inlineStr">
        <is>
          <t>5.1.1.5.14</t>
        </is>
      </c>
      <c r="C1169" s="3" t="inlineStr">
        <is>
          <t>Pemasangan 1 m' kabel NYFGBY 4 x 2,5 mm²</t>
        </is>
      </c>
      <c r="D1169" s="3" t="inlineStr">
        <is>
          <t>m'</t>
        </is>
      </c>
      <c r="E1169" s="4" t="n">
        <v>63200</v>
      </c>
    </row>
    <row r="1170">
      <c r="A1170" s="3" t="n">
        <v>1168</v>
      </c>
      <c r="B1170" s="3" t="inlineStr">
        <is>
          <t>5.1.1.5.15</t>
        </is>
      </c>
      <c r="C1170" s="3" t="inlineStr">
        <is>
          <t>Pemasangan 1 m' kabel NYFGBY 4 x 4 mm²</t>
        </is>
      </c>
      <c r="D1170" s="3" t="inlineStr">
        <is>
          <t>m'</t>
        </is>
      </c>
      <c r="E1170" s="4" t="n">
        <v>99368</v>
      </c>
    </row>
    <row r="1171">
      <c r="A1171" s="3" t="n">
        <v>1169</v>
      </c>
      <c r="B1171" s="3" t="inlineStr">
        <is>
          <t>5.1.1.5.16</t>
        </is>
      </c>
      <c r="C1171" s="3" t="inlineStr">
        <is>
          <t>Pemasangan 1 m' kabel NYFGBY 4 x 6 mm²</t>
        </is>
      </c>
      <c r="D1171" s="3" t="inlineStr">
        <is>
          <t>m'</t>
        </is>
      </c>
      <c r="E1171" s="4" t="n">
        <v>107789</v>
      </c>
    </row>
    <row r="1172">
      <c r="A1172" s="3" t="n">
        <v>1170</v>
      </c>
      <c r="B1172" s="3" t="inlineStr">
        <is>
          <t>5.1.1.5.17</t>
        </is>
      </c>
      <c r="C1172" s="3" t="inlineStr">
        <is>
          <t>Pemasangan 1 m' kabel NYFGBY 4 x 10 mm²</t>
        </is>
      </c>
      <c r="D1172" s="3" t="inlineStr">
        <is>
          <t>m'</t>
        </is>
      </c>
      <c r="E1172" s="4" t="n">
        <v>147917</v>
      </c>
    </row>
    <row r="1173">
      <c r="A1173" s="3" t="n">
        <v>1171</v>
      </c>
      <c r="B1173" s="3" t="inlineStr">
        <is>
          <t>5.1.1.5.18</t>
        </is>
      </c>
      <c r="C1173" s="3" t="inlineStr">
        <is>
          <t>Pemasangan 1 m' kabel NYFGBY 4 x 16 mm²</t>
        </is>
      </c>
      <c r="D1173" s="3" t="inlineStr">
        <is>
          <t>m'</t>
        </is>
      </c>
      <c r="E1173" s="4" t="n">
        <v>230516</v>
      </c>
    </row>
    <row r="1174">
      <c r="A1174" s="3" t="n">
        <v>1172</v>
      </c>
      <c r="B1174" s="3" t="inlineStr">
        <is>
          <t>5.1.1.5.19</t>
        </is>
      </c>
      <c r="C1174" s="3" t="inlineStr">
        <is>
          <t>Pemasangan 1 m' kabel NYFGBY 4 x 25 mm²</t>
        </is>
      </c>
      <c r="D1174" s="3" t="inlineStr">
        <is>
          <t>m'</t>
        </is>
      </c>
      <c r="E1174" s="4" t="n">
        <v>351279</v>
      </c>
    </row>
    <row r="1175">
      <c r="A1175" s="3" t="n">
        <v>1173</v>
      </c>
      <c r="B1175" s="3" t="inlineStr">
        <is>
          <t>5.1.1.5.20</t>
        </is>
      </c>
      <c r="C1175" s="3" t="inlineStr">
        <is>
          <t>Pemasangan 1 m' kabel NYFGBY 4 x 35 mm²</t>
        </is>
      </c>
      <c r="D1175" s="3" t="inlineStr">
        <is>
          <t>m'</t>
        </is>
      </c>
      <c r="E1175" s="4" t="n">
        <v>445450</v>
      </c>
    </row>
    <row r="1176">
      <c r="A1176" s="3" t="n">
        <v>1174</v>
      </c>
      <c r="B1176" s="3" t="inlineStr">
        <is>
          <t>5.1.1.5.21</t>
        </is>
      </c>
      <c r="C1176" s="3" t="inlineStr">
        <is>
          <t>Pemasangan 1 m' kabel NYFGBY 4 x 50 mm²</t>
        </is>
      </c>
      <c r="D1176" s="3" t="inlineStr">
        <is>
          <t>m'</t>
        </is>
      </c>
      <c r="E1176" s="4" t="n">
        <v>588417</v>
      </c>
    </row>
    <row r="1177">
      <c r="A1177" s="3" t="n">
        <v>1175</v>
      </c>
      <c r="B1177" s="3" t="inlineStr">
        <is>
          <t>5.1.1.5.22</t>
        </is>
      </c>
      <c r="C1177" s="3" t="inlineStr">
        <is>
          <t>Pemasangan 1 m' kabel NYFGBY 4 x 70 mm²</t>
        </is>
      </c>
      <c r="D1177" s="3" t="inlineStr">
        <is>
          <t>m'</t>
        </is>
      </c>
      <c r="E1177" s="4" t="n">
        <v>819560</v>
      </c>
    </row>
    <row r="1178">
      <c r="A1178" s="3" t="n">
        <v>1176</v>
      </c>
      <c r="B1178" s="3" t="inlineStr">
        <is>
          <t>5.1.1.5.23</t>
        </is>
      </c>
      <c r="C1178" s="3" t="inlineStr">
        <is>
          <t>Pemasangan 1 m' kabel NYFGBY 4 x 95 mm²</t>
        </is>
      </c>
      <c r="D1178" s="3" t="inlineStr">
        <is>
          <t>m'</t>
        </is>
      </c>
      <c r="E1178" s="4" t="n">
        <v>1041980</v>
      </c>
    </row>
    <row r="1179">
      <c r="A1179" s="3" t="n">
        <v>1177</v>
      </c>
      <c r="B1179" s="3" t="inlineStr">
        <is>
          <t>5.1.1.5.24</t>
        </is>
      </c>
      <c r="C1179" s="3" t="inlineStr">
        <is>
          <t>Pemasangan 1 m' kabel NYFGBY 4 x 120 mm²</t>
        </is>
      </c>
      <c r="D1179" s="3" t="inlineStr">
        <is>
          <t>m'</t>
        </is>
      </c>
      <c r="E1179" s="4" t="n">
        <v>1354936</v>
      </c>
    </row>
    <row r="1180">
      <c r="A1180" s="3" t="n">
        <v>1178</v>
      </c>
      <c r="B1180" s="3" t="inlineStr">
        <is>
          <t>5.1.1.5.25</t>
        </is>
      </c>
      <c r="C1180" s="3" t="inlineStr">
        <is>
          <t>Pemasangan 1 m' kabel NYFGBY 4 x 150 mm²</t>
        </is>
      </c>
      <c r="D1180" s="3" t="inlineStr">
        <is>
          <t>m'</t>
        </is>
      </c>
      <c r="E1180" s="4" t="n">
        <v>1642894</v>
      </c>
    </row>
    <row r="1181">
      <c r="A1181" s="3" t="n">
        <v>1179</v>
      </c>
      <c r="B1181" s="3" t="inlineStr">
        <is>
          <t>5.1.1.5.26</t>
        </is>
      </c>
      <c r="C1181" s="3" t="inlineStr">
        <is>
          <t>Pemasangan 1 m' kabel NYFGBY 4 x 185 mm²</t>
        </is>
      </c>
      <c r="D1181" s="3" t="inlineStr">
        <is>
          <t>m'</t>
        </is>
      </c>
      <c r="E1181" s="4" t="n">
        <v>2041479</v>
      </c>
    </row>
    <row r="1182">
      <c r="A1182" s="3" t="n">
        <v>1180</v>
      </c>
      <c r="B1182" s="3" t="inlineStr">
        <is>
          <t>5.1.1.5.27</t>
        </is>
      </c>
      <c r="C1182" s="3" t="inlineStr">
        <is>
          <t>Pemasangan 1 m' kabel NYFGBY 4 x 240 mm²</t>
        </is>
      </c>
      <c r="D1182" s="3" t="inlineStr">
        <is>
          <t>m'</t>
        </is>
      </c>
      <c r="E1182" s="4" t="n">
        <v>2636601</v>
      </c>
    </row>
    <row r="1183">
      <c r="A1183" s="3" t="n">
        <v>1181</v>
      </c>
      <c r="B1183" s="3" t="inlineStr">
        <is>
          <t>5.1.1.5.28</t>
        </is>
      </c>
      <c r="C1183" s="3" t="inlineStr">
        <is>
          <t>Pemasangan 1 m' kabel NYFGBY 4 x 300 mm²</t>
        </is>
      </c>
      <c r="D1183" s="3" t="inlineStr">
        <is>
          <t>m'</t>
        </is>
      </c>
      <c r="E1183" s="4" t="n">
        <v>3257991</v>
      </c>
    </row>
    <row r="1184">
      <c r="A1184" s="3" t="n">
        <v>1182</v>
      </c>
      <c r="B1184" s="3" t="inlineStr">
        <is>
          <t>5.1.1.6.1</t>
        </is>
      </c>
      <c r="C1184" s="3" t="inlineStr">
        <is>
          <t>Pemasangan 1 m' kabel FRC 3 x 2,5 mm²</t>
        </is>
      </c>
      <c r="D1184" s="3" t="inlineStr">
        <is>
          <t>m'</t>
        </is>
      </c>
      <c r="E1184" s="4" t="n">
        <v>60610</v>
      </c>
    </row>
    <row r="1185">
      <c r="A1185" s="3" t="n">
        <v>1183</v>
      </c>
      <c r="B1185" s="3" t="inlineStr">
        <is>
          <t>5.1.1.6.2</t>
        </is>
      </c>
      <c r="C1185" s="3" t="inlineStr">
        <is>
          <t>Pemasangan 1 m' kabel FRC 4 x 4 mm²</t>
        </is>
      </c>
      <c r="D1185" s="3" t="inlineStr">
        <is>
          <t>m'</t>
        </is>
      </c>
      <c r="E1185" s="4" t="n">
        <v>126098</v>
      </c>
    </row>
    <row r="1186">
      <c r="A1186" s="3" t="n">
        <v>1184</v>
      </c>
      <c r="B1186" s="3" t="inlineStr">
        <is>
          <t>5.1.1.6.3</t>
        </is>
      </c>
      <c r="C1186" s="3" t="inlineStr">
        <is>
          <t>Pemasangan 1 m' kabel FRC 4 x 6 mm²</t>
        </is>
      </c>
      <c r="D1186" s="3" t="inlineStr">
        <is>
          <t>m'</t>
        </is>
      </c>
      <c r="E1186" s="4" t="n">
        <v>151398</v>
      </c>
    </row>
    <row r="1187">
      <c r="A1187" s="3" t="n">
        <v>1185</v>
      </c>
      <c r="B1187" s="3" t="inlineStr">
        <is>
          <t>5.1.1.6.4</t>
        </is>
      </c>
      <c r="C1187" s="3" t="inlineStr">
        <is>
          <t>Pemasangan 1 m' kabel FRC 4 x 150 mm²</t>
        </is>
      </c>
      <c r="D1187" s="3" t="inlineStr">
        <is>
          <t>m'</t>
        </is>
      </c>
      <c r="E1187" s="4" t="n">
        <v>2108557</v>
      </c>
    </row>
    <row r="1188">
      <c r="A1188" s="3" t="n">
        <v>1186</v>
      </c>
      <c r="B1188" s="3" t="inlineStr">
        <is>
          <t>5.1.1.6.5</t>
        </is>
      </c>
      <c r="C1188" s="3" t="inlineStr">
        <is>
          <t>Pemasangan 1 m' kabel FRC 1 x 150 mm²</t>
        </is>
      </c>
      <c r="D1188" s="3" t="inlineStr">
        <is>
          <t>m'</t>
        </is>
      </c>
      <c r="E1188" s="4" t="n">
        <v>408105</v>
      </c>
    </row>
    <row r="1189">
      <c r="A1189" s="3" t="n">
        <v>1187</v>
      </c>
      <c r="B1189" s="3" t="inlineStr">
        <is>
          <t>5.1.1.6.6</t>
        </is>
      </c>
      <c r="C1189" s="3" t="inlineStr">
        <is>
          <t>Pemasangan 1 m' kabel FRC 2 x 1,5 mm² + PVC Conduit HI 20 mm2</t>
        </is>
      </c>
      <c r="D1189" s="3" t="inlineStr">
        <is>
          <t>m'</t>
        </is>
      </c>
      <c r="E1189" s="4" t="n">
        <v>44291</v>
      </c>
    </row>
    <row r="1190">
      <c r="A1190" s="3" t="n">
        <v>1188</v>
      </c>
      <c r="B1190" s="3" t="inlineStr">
        <is>
          <t>5.1.1.6.7</t>
        </is>
      </c>
      <c r="C1190" s="3" t="inlineStr">
        <is>
          <t>Pemasangan 1 m' kabel FRC 2 x 2,5 mm² + PVC Conduit HI 20 mm2</t>
        </is>
      </c>
      <c r="D1190" s="3" t="inlineStr">
        <is>
          <t>m'</t>
        </is>
      </c>
      <c r="E1190" s="4" t="n">
        <v>87554</v>
      </c>
    </row>
    <row r="1191">
      <c r="A1191" s="3" t="n">
        <v>1189</v>
      </c>
      <c r="B1191" s="3" t="inlineStr">
        <is>
          <t>5.1.1.6.8</t>
        </is>
      </c>
      <c r="C1191" s="3" t="inlineStr">
        <is>
          <t>Pemasangan 1 m’ Kabel FRC 1 x 10 mm2</t>
        </is>
      </c>
      <c r="D1191" s="3" t="inlineStr">
        <is>
          <t>m'</t>
        </is>
      </c>
      <c r="E1191" s="4" t="n">
        <v>104885</v>
      </c>
    </row>
    <row r="1192">
      <c r="A1192" s="3" t="n">
        <v>1190</v>
      </c>
      <c r="B1192" s="3" t="inlineStr">
        <is>
          <t>5.1.1.7.1</t>
        </is>
      </c>
      <c r="C1192" s="3" t="inlineStr">
        <is>
          <t>Pemasangan 1 m' kabel BCC 4 mm² (0,04 kg/m)</t>
        </is>
      </c>
      <c r="D1192" s="3" t="inlineStr">
        <is>
          <t>m'</t>
        </is>
      </c>
      <c r="E1192" s="4" t="n">
        <v>23171</v>
      </c>
    </row>
    <row r="1193">
      <c r="A1193" s="3" t="n">
        <v>1191</v>
      </c>
      <c r="B1193" s="3" t="inlineStr">
        <is>
          <t>5.1.1.7.2</t>
        </is>
      </c>
      <c r="C1193" s="3" t="inlineStr">
        <is>
          <t>Pemasangan 1 m' kabel BCC 6 mm² (0,06 kg/m)</t>
        </is>
      </c>
      <c r="D1193" s="3" t="inlineStr">
        <is>
          <t>m'</t>
        </is>
      </c>
      <c r="E1193" s="4" t="n">
        <v>56441</v>
      </c>
    </row>
    <row r="1194">
      <c r="A1194" s="3" t="n">
        <v>1192</v>
      </c>
      <c r="B1194" s="3" t="inlineStr">
        <is>
          <t>5.1.1.7.3</t>
        </is>
      </c>
      <c r="C1194" s="3" t="inlineStr">
        <is>
          <t>Pemasangan 1 m' kabel BCC 10 mm² (0,10 kg/m)</t>
        </is>
      </c>
      <c r="D1194" s="3" t="inlineStr">
        <is>
          <t>m'</t>
        </is>
      </c>
      <c r="E1194" s="4" t="n">
        <v>46695</v>
      </c>
    </row>
    <row r="1195">
      <c r="A1195" s="3" t="n">
        <v>1193</v>
      </c>
      <c r="B1195" s="3" t="inlineStr">
        <is>
          <t>5.1.1.7.4</t>
        </is>
      </c>
      <c r="C1195" s="3" t="inlineStr">
        <is>
          <t>Pemasangan 1 m' kabel BCC 16 mm² (0,16 kg/m)</t>
        </is>
      </c>
      <c r="D1195" s="3" t="inlineStr">
        <is>
          <t>m'</t>
        </is>
      </c>
      <c r="E1195" s="4" t="n">
        <v>51755</v>
      </c>
    </row>
    <row r="1196">
      <c r="A1196" s="3" t="n">
        <v>1194</v>
      </c>
      <c r="B1196" s="3" t="inlineStr">
        <is>
          <t>5.1.1.7.5</t>
        </is>
      </c>
      <c r="C1196" s="3" t="inlineStr">
        <is>
          <t>Pemasangan 1 m' kabel BCC 25 mm² (0,25 kg/m)</t>
        </is>
      </c>
      <c r="D1196" s="3" t="inlineStr">
        <is>
          <t>m'</t>
        </is>
      </c>
      <c r="E1196" s="4" t="n">
        <v>79293</v>
      </c>
    </row>
    <row r="1197">
      <c r="A1197" s="3" t="n">
        <v>1195</v>
      </c>
      <c r="B1197" s="3" t="inlineStr">
        <is>
          <t>5.1.1.7.6</t>
        </is>
      </c>
      <c r="C1197" s="3" t="inlineStr">
        <is>
          <t>Pemasangan 1 m' kabel BCC 35 mm² (0,35 kg/m)</t>
        </is>
      </c>
      <c r="D1197" s="3" t="inlineStr">
        <is>
          <t>m'</t>
        </is>
      </c>
      <c r="E1197" s="4" t="n">
        <v>106205</v>
      </c>
    </row>
    <row r="1198">
      <c r="A1198" s="3" t="n">
        <v>1196</v>
      </c>
      <c r="B1198" s="3" t="inlineStr">
        <is>
          <t>5.1.1.7.7</t>
        </is>
      </c>
      <c r="C1198" s="3" t="inlineStr">
        <is>
          <t>Pemasangan 1 m' kabel BCC 50 mm² (0,50 kg/m)</t>
        </is>
      </c>
      <c r="D1198" s="3" t="inlineStr">
        <is>
          <t>m'</t>
        </is>
      </c>
      <c r="E1198" s="4" t="n">
        <v>135932</v>
      </c>
    </row>
    <row r="1199">
      <c r="A1199" s="3" t="n">
        <v>1197</v>
      </c>
      <c r="B1199" s="3" t="inlineStr">
        <is>
          <t>5.1.1.7.8</t>
        </is>
      </c>
      <c r="C1199" s="3" t="inlineStr">
        <is>
          <t>Pemasangan 1 m' kabel BCC 70 mm² (0,70 kg/m)</t>
        </is>
      </c>
      <c r="D1199" s="3" t="inlineStr">
        <is>
          <t>m'</t>
        </is>
      </c>
      <c r="E1199" s="4" t="n">
        <v>197015</v>
      </c>
    </row>
    <row r="1200">
      <c r="A1200" s="3" t="n">
        <v>1198</v>
      </c>
      <c r="B1200" s="3" t="inlineStr">
        <is>
          <t>5.1.1.7.9</t>
        </is>
      </c>
      <c r="C1200" s="3" t="inlineStr">
        <is>
          <t>Pemasangan 1 m' kabel BCC 95 mm² (0,95 kg/m)</t>
        </is>
      </c>
      <c r="D1200" s="3" t="inlineStr">
        <is>
          <t>m'</t>
        </is>
      </c>
      <c r="E1200" s="4" t="n">
        <v>259000</v>
      </c>
    </row>
    <row r="1201">
      <c r="A1201" s="3" t="n">
        <v>1199</v>
      </c>
      <c r="B1201" s="3" t="inlineStr">
        <is>
          <t>5.1.1.8.1</t>
        </is>
      </c>
      <c r="C1201" s="3" t="inlineStr">
        <is>
          <t>Pemasangan 1 m' Kabel STP AWG 18 + PVC Conduit HI 20 mm</t>
        </is>
      </c>
      <c r="D1201" s="3" t="inlineStr">
        <is>
          <t>m'</t>
        </is>
      </c>
      <c r="E1201" s="4" t="n">
        <v>23545</v>
      </c>
    </row>
    <row r="1202">
      <c r="A1202" s="3" t="n">
        <v>1200</v>
      </c>
      <c r="B1202" s="3" t="inlineStr">
        <is>
          <t>5.1.1.9.1</t>
        </is>
      </c>
      <c r="C1202" s="3" t="inlineStr">
        <is>
          <t>Pemasangan 1 m' kabel ITC 2x2x0,6 mm2 + PVC Conduit HI 20 mm</t>
        </is>
      </c>
      <c r="D1202" s="3" t="inlineStr">
        <is>
          <t>m'</t>
        </is>
      </c>
      <c r="E1202" s="4" t="n">
        <v>26221</v>
      </c>
    </row>
    <row r="1203">
      <c r="A1203" s="3" t="n">
        <v>1201</v>
      </c>
      <c r="B1203" s="3" t="inlineStr">
        <is>
          <t>5.1.1.9.2</t>
        </is>
      </c>
      <c r="C1203" s="3" t="inlineStr">
        <is>
          <t>Pemasangan 1 m' Kabel ITC 20 x 2 x 0,6 mm + PVC Conduit HI 20 mm</t>
        </is>
      </c>
      <c r="D1203" s="3" t="inlineStr">
        <is>
          <t>m'</t>
        </is>
      </c>
      <c r="E1203" s="4" t="n">
        <v>133760</v>
      </c>
    </row>
    <row r="1204">
      <c r="A1204" s="3" t="n">
        <v>1202</v>
      </c>
      <c r="B1204" s="3" t="inlineStr">
        <is>
          <t>5.1.1.10.1</t>
        </is>
      </c>
      <c r="C1204" s="3" t="inlineStr">
        <is>
          <t>Pemasangan 1 m' kabel UTP CAT 6 + PVC Conduit HI 20 mm2</t>
        </is>
      </c>
      <c r="D1204" s="3" t="inlineStr">
        <is>
          <t>m'</t>
        </is>
      </c>
      <c r="E1204" s="4" t="n">
        <v>17094</v>
      </c>
    </row>
    <row r="1205">
      <c r="A1205" s="3" t="n">
        <v>1203</v>
      </c>
      <c r="B1205" s="3" t="inlineStr">
        <is>
          <t>5.1.1.11</t>
        </is>
      </c>
      <c r="C1205" s="3" t="inlineStr">
        <is>
          <t>Kabel Coaxial</t>
        </is>
      </c>
      <c r="D1205" s="3" t="inlineStr">
        <is>
          <t>m'</t>
        </is>
      </c>
      <c r="E1205" s="4" t="n">
        <v>0</v>
      </c>
    </row>
    <row r="1206">
      <c r="A1206" s="3" t="n">
        <v>1204</v>
      </c>
      <c r="B1206" s="3" t="inlineStr">
        <is>
          <t>5.1.1.11.1</t>
        </is>
      </c>
      <c r="C1206" s="3" t="inlineStr">
        <is>
          <t>Pemasangan 1 m' kabel Coaxial 7C-2V</t>
        </is>
      </c>
      <c r="D1206" s="3" t="inlineStr">
        <is>
          <t>m'</t>
        </is>
      </c>
      <c r="E1206" s="4" t="n">
        <v>41948</v>
      </c>
    </row>
    <row r="1207">
      <c r="A1207" s="3" t="n">
        <v>1205</v>
      </c>
      <c r="B1207" s="3" t="inlineStr">
        <is>
          <t>5.1.1.12.1</t>
        </is>
      </c>
      <c r="C1207" s="3" t="inlineStr">
        <is>
          <t>Pemasangan 1 Unit Kabel Tray (Horizontal) 600x100mm TRU Powder Coating</t>
        </is>
      </c>
      <c r="D1207" s="3" t="inlineStr">
        <is>
          <t>unit</t>
        </is>
      </c>
      <c r="E1207" s="4" t="n">
        <v>534220</v>
      </c>
    </row>
    <row r="1208">
      <c r="A1208" s="3" t="n">
        <v>1206</v>
      </c>
      <c r="B1208" s="3" t="inlineStr">
        <is>
          <t>5.1.1.12.2</t>
        </is>
      </c>
      <c r="C1208" s="3" t="inlineStr">
        <is>
          <t>Pemasangan 1 unit kabel tray (horizontal) 500 x 100 mm</t>
        </is>
      </c>
      <c r="D1208" s="3" t="inlineStr">
        <is>
          <t>unit</t>
        </is>
      </c>
      <c r="E1208" s="4" t="n">
        <v>475095</v>
      </c>
    </row>
    <row r="1209">
      <c r="A1209" s="3" t="n">
        <v>1207</v>
      </c>
      <c r="B1209" s="3" t="inlineStr">
        <is>
          <t>5.1.1.12.3</t>
        </is>
      </c>
      <c r="C1209" s="3" t="inlineStr">
        <is>
          <t>Pemasangan 1 unit kabel tray (horizontal) 400 x 100 mm</t>
        </is>
      </c>
      <c r="D1209" s="3" t="inlineStr">
        <is>
          <t>unit</t>
        </is>
      </c>
      <c r="E1209" s="4" t="n">
        <v>414595</v>
      </c>
    </row>
    <row r="1210">
      <c r="A1210" s="3" t="n">
        <v>1208</v>
      </c>
      <c r="B1210" s="3" t="inlineStr">
        <is>
          <t>5.1.1.12.4</t>
        </is>
      </c>
      <c r="C1210" s="3" t="inlineStr">
        <is>
          <t>Pemasangan 1 unit kabel tray (horizontal) 300 x 100 mm</t>
        </is>
      </c>
      <c r="D1210" s="3" t="inlineStr">
        <is>
          <t>unit</t>
        </is>
      </c>
      <c r="E1210" s="4" t="n">
        <v>351345</v>
      </c>
    </row>
    <row r="1211">
      <c r="A1211" s="3" t="n">
        <v>1209</v>
      </c>
      <c r="B1211" s="3" t="inlineStr">
        <is>
          <t>5.1.1.12.5</t>
        </is>
      </c>
      <c r="C1211" s="3" t="inlineStr">
        <is>
          <t>Pemasangan 1 unit kabel tray (horizontal) 200 x 100 mm</t>
        </is>
      </c>
      <c r="D1211" s="3" t="inlineStr">
        <is>
          <t>unit</t>
        </is>
      </c>
      <c r="E1211" s="4" t="n">
        <v>290845</v>
      </c>
    </row>
    <row r="1212">
      <c r="A1212" s="3" t="n">
        <v>1210</v>
      </c>
      <c r="B1212" s="3" t="inlineStr">
        <is>
          <t>5.1.1.12.6</t>
        </is>
      </c>
      <c r="C1212" s="3" t="inlineStr">
        <is>
          <t>Pemasangan 1 unit kabel tray (vertikal) 600 x 100 mm</t>
        </is>
      </c>
      <c r="D1212" s="3" t="inlineStr">
        <is>
          <t>unit</t>
        </is>
      </c>
      <c r="E1212" s="4" t="n">
        <v>514860</v>
      </c>
    </row>
    <row r="1213">
      <c r="A1213" s="3" t="n">
        <v>1211</v>
      </c>
      <c r="B1213" s="3" t="inlineStr">
        <is>
          <t>51.1.12.7</t>
        </is>
      </c>
      <c r="C1213" s="3" t="inlineStr">
        <is>
          <t>Pemasangan 1 unit kabel tray (vertikal) 500 x 100 mm</t>
        </is>
      </c>
      <c r="D1213" s="3" t="inlineStr">
        <is>
          <t>unit</t>
        </is>
      </c>
      <c r="E1213" s="4" t="n">
        <v>458100</v>
      </c>
    </row>
    <row r="1214">
      <c r="A1214" s="3" t="n">
        <v>1212</v>
      </c>
      <c r="B1214" s="3" t="inlineStr">
        <is>
          <t>5.1.1.12.8</t>
        </is>
      </c>
      <c r="C1214" s="3" t="inlineStr">
        <is>
          <t>Pemasangan 1 unit kabel tray (vertikal) 400 x 100 mm</t>
        </is>
      </c>
      <c r="D1214" s="3" t="inlineStr">
        <is>
          <t>unit</t>
        </is>
      </c>
      <c r="E1214" s="4" t="n">
        <v>400020</v>
      </c>
    </row>
    <row r="1215">
      <c r="A1215" s="3" t="n">
        <v>1213</v>
      </c>
      <c r="B1215" s="3" t="inlineStr">
        <is>
          <t>5.1.1.12.9</t>
        </is>
      </c>
      <c r="C1215" s="3" t="inlineStr">
        <is>
          <t>Pemasangan 1 unit kabel tray (vertikal) 300 x 100 mm</t>
        </is>
      </c>
      <c r="D1215" s="3" t="inlineStr">
        <is>
          <t>unit</t>
        </is>
      </c>
      <c r="E1215" s="4" t="n">
        <v>339300</v>
      </c>
    </row>
    <row r="1216">
      <c r="A1216" s="3" t="n">
        <v>1214</v>
      </c>
      <c r="B1216" s="3" t="inlineStr">
        <is>
          <t>5.1.1.12.10</t>
        </is>
      </c>
      <c r="C1216" s="3" t="inlineStr">
        <is>
          <t>Pemasangan 1 unit kabel tray (vertikal) 200 x 100 mm</t>
        </is>
      </c>
      <c r="D1216" s="3" t="inlineStr">
        <is>
          <t>unit</t>
        </is>
      </c>
      <c r="E1216" s="4" t="n">
        <v>281220</v>
      </c>
    </row>
    <row r="1217">
      <c r="A1217" s="3" t="n">
        <v>1215</v>
      </c>
      <c r="B1217" s="3" t="inlineStr">
        <is>
          <t>5.1.1.12.11</t>
        </is>
      </c>
      <c r="C1217" s="3" t="inlineStr">
        <is>
          <t>Pemasangan 1 unit kabel Ladder  500 x 100 mm</t>
        </is>
      </c>
      <c r="D1217" s="3" t="inlineStr">
        <is>
          <t>unit</t>
        </is>
      </c>
      <c r="E1217" s="4" t="n">
        <v>708867</v>
      </c>
    </row>
    <row r="1218">
      <c r="A1218" s="3" t="n">
        <v>1216</v>
      </c>
      <c r="B1218" s="3" t="inlineStr">
        <is>
          <t>5.1.1.12.12</t>
        </is>
      </c>
      <c r="C1218" s="3" t="inlineStr">
        <is>
          <t>Pemasangan 1 unit kabel Ladder  600 x 100 mm</t>
        </is>
      </c>
      <c r="D1218" s="3" t="inlineStr">
        <is>
          <t>unit</t>
        </is>
      </c>
      <c r="E1218" s="4" t="n">
        <v>762987</v>
      </c>
    </row>
    <row r="1219">
      <c r="A1219" s="3" t="n">
        <v>1217</v>
      </c>
      <c r="B1219" s="3" t="inlineStr">
        <is>
          <t>5.1.1.12.13</t>
        </is>
      </c>
      <c r="C1219" s="3" t="inlineStr">
        <is>
          <t>Pemasangan 1 unit kabel Ladder  800 x 100 mm</t>
        </is>
      </c>
      <c r="D1219" s="3" t="inlineStr">
        <is>
          <t>unit</t>
        </is>
      </c>
      <c r="E1219" s="4" t="n">
        <v>807867</v>
      </c>
    </row>
    <row r="1220">
      <c r="A1220" s="3" t="n">
        <v>1218</v>
      </c>
      <c r="B1220" s="3" t="inlineStr">
        <is>
          <t>5.1.1.12.14</t>
        </is>
      </c>
      <c r="C1220" s="3" t="inlineStr">
        <is>
          <t>Pemasangan 1 unit pasang baja ringan 75 x 35 mm + Hanger</t>
        </is>
      </c>
      <c r="D1220" s="3" t="inlineStr">
        <is>
          <t>unit</t>
        </is>
      </c>
      <c r="E1220" s="4" t="n">
        <v>441302</v>
      </c>
    </row>
    <row r="1221">
      <c r="A1221" s="3" t="n">
        <v>1219</v>
      </c>
      <c r="B1221" s="3" t="inlineStr">
        <is>
          <t>5.1.1.12.15</t>
        </is>
      </c>
      <c r="C1221" s="3" t="inlineStr">
        <is>
          <t>Pemasangan 1 Unit Kabel Tray (Horizontal) 1000 x 100 mm TRU Powder Coating</t>
        </is>
      </c>
      <c r="D1221" s="3" t="inlineStr">
        <is>
          <t>unit</t>
        </is>
      </c>
      <c r="E1221" s="4" t="n">
        <v>968946</v>
      </c>
    </row>
    <row r="1222">
      <c r="A1222" s="3" t="n">
        <v>1220</v>
      </c>
      <c r="B1222" s="3" t="inlineStr">
        <is>
          <t>5.1.1.12.16</t>
        </is>
      </c>
      <c r="C1222" s="3" t="inlineStr">
        <is>
          <t>Pemasangan 1 Unit Kabel Tray (Horizontal) 1000 x 100 mm TRU Hot Dip Galvanized</t>
        </is>
      </c>
      <c r="D1222" s="3" t="inlineStr">
        <is>
          <t>unit</t>
        </is>
      </c>
      <c r="E1222" s="4" t="n">
        <v>996446</v>
      </c>
    </row>
    <row r="1223">
      <c r="A1223" s="3" t="n">
        <v>1221</v>
      </c>
      <c r="B1223" s="3" t="inlineStr">
        <is>
          <t>5.1.1.12.17</t>
        </is>
      </c>
      <c r="C1223" s="3" t="inlineStr">
        <is>
          <t>Pemasangan 1 Unit Kabel Tray (Horizontal) 1000 x 100 mm TRU OCP</t>
        </is>
      </c>
      <c r="D1223" s="3" t="inlineStr">
        <is>
          <t>unit</t>
        </is>
      </c>
      <c r="E1223" s="4" t="n">
        <v>1051446</v>
      </c>
    </row>
    <row r="1224">
      <c r="A1224" s="3" t="n">
        <v>1222</v>
      </c>
      <c r="B1224" s="3" t="inlineStr">
        <is>
          <t>5.1.1.12.18</t>
        </is>
      </c>
      <c r="C1224" s="3" t="inlineStr">
        <is>
          <t>Pemasangan 1 Unit Kabel Tray (Horizontal) 1000 x 100 mm TRC Powder Coating</t>
        </is>
      </c>
      <c r="D1224" s="3" t="inlineStr">
        <is>
          <t>unit</t>
        </is>
      </c>
      <c r="E1224" s="4" t="n">
        <v>1106446</v>
      </c>
    </row>
    <row r="1225">
      <c r="A1225" s="3" t="n">
        <v>1223</v>
      </c>
      <c r="B1225" s="3" t="inlineStr">
        <is>
          <t>5.1.1.12.19</t>
        </is>
      </c>
      <c r="C1225" s="3" t="inlineStr">
        <is>
          <t>Pemasangan 1 Unit Kabel Tray (Horizontal) 1000 x 100 mm TRC Hot Dip Galvanized</t>
        </is>
      </c>
      <c r="D1225" s="3" t="inlineStr">
        <is>
          <t>unit</t>
        </is>
      </c>
      <c r="E1225" s="4" t="n">
        <v>996446</v>
      </c>
    </row>
    <row r="1226">
      <c r="A1226" s="3" t="n">
        <v>1224</v>
      </c>
      <c r="B1226" s="3" t="inlineStr">
        <is>
          <t>5.1.1.12.20</t>
        </is>
      </c>
      <c r="C1226" s="3" t="inlineStr">
        <is>
          <t>Pemasangan 1 Unit Kabel Tray (Horizontal) 1000 x 100 mm TRC OCP</t>
        </is>
      </c>
      <c r="D1226" s="3" t="inlineStr">
        <is>
          <t>unit</t>
        </is>
      </c>
      <c r="E1226" s="4" t="n">
        <v>1051446</v>
      </c>
    </row>
    <row r="1227">
      <c r="A1227" s="3" t="n">
        <v>1225</v>
      </c>
      <c r="B1227" s="3" t="inlineStr">
        <is>
          <t>5.1.1.12.21</t>
        </is>
      </c>
      <c r="C1227" s="3" t="inlineStr">
        <is>
          <t>Pemasangan 1 Unit Kabel Tray (Horizontal) 900 x 100 mm TRU Powder Coating</t>
        </is>
      </c>
      <c r="D1227" s="3" t="inlineStr">
        <is>
          <t>unit</t>
        </is>
      </c>
      <c r="E1227" s="4" t="n">
        <v>831446</v>
      </c>
    </row>
    <row r="1228">
      <c r="A1228" s="3" t="n">
        <v>1226</v>
      </c>
      <c r="B1228" s="3" t="inlineStr">
        <is>
          <t>5.1.1.12.22</t>
        </is>
      </c>
      <c r="C1228" s="3" t="inlineStr">
        <is>
          <t>Pemasangan 1 Unit Kabel Tray (Horizontal) 900 x 100 mm
TRU Hot Dip Galvanized</t>
        </is>
      </c>
      <c r="D1228" s="3" t="inlineStr">
        <is>
          <t>unit</t>
        </is>
      </c>
      <c r="E1228" s="4" t="n">
        <v>858946</v>
      </c>
    </row>
    <row r="1229">
      <c r="A1229" s="3" t="n">
        <v>1227</v>
      </c>
      <c r="B1229" s="3" t="inlineStr">
        <is>
          <t>5.1.1.12.23</t>
        </is>
      </c>
      <c r="C1229" s="3" t="inlineStr">
        <is>
          <t>Pemasangan 1 Unit Kabel Tray (Horizontal) 900 x 100 mm
TRU OCP</t>
        </is>
      </c>
      <c r="D1229" s="3" t="inlineStr">
        <is>
          <t>unit</t>
        </is>
      </c>
      <c r="E1229" s="4" t="n">
        <v>886446</v>
      </c>
    </row>
    <row r="1230">
      <c r="A1230" s="3" t="n">
        <v>1228</v>
      </c>
      <c r="B1230" s="3" t="inlineStr">
        <is>
          <t>5.1.1.12.24</t>
        </is>
      </c>
      <c r="C1230" s="3" t="inlineStr">
        <is>
          <t>Pemasangan 1 Unit Kabel Tray (Horizontal) 900 x 100 mm TRC Powder Coating</t>
        </is>
      </c>
      <c r="D1230" s="3" t="inlineStr">
        <is>
          <t>unit</t>
        </is>
      </c>
      <c r="E1230" s="4" t="n">
        <v>900196</v>
      </c>
    </row>
    <row r="1231">
      <c r="A1231" s="3" t="n">
        <v>1229</v>
      </c>
      <c r="B1231" s="3" t="inlineStr">
        <is>
          <t>5.1.1.12.25</t>
        </is>
      </c>
      <c r="C1231" s="3" t="inlineStr">
        <is>
          <t>Pemasangan 1 Unit Kabel Tray (Horizontal) 900 x 100 mm TRC Hot Dip Galvanized</t>
        </is>
      </c>
      <c r="D1231" s="3" t="inlineStr">
        <is>
          <t>unit</t>
        </is>
      </c>
      <c r="E1231" s="4" t="n">
        <v>941446</v>
      </c>
    </row>
    <row r="1232">
      <c r="A1232" s="3" t="n">
        <v>1230</v>
      </c>
      <c r="B1232" s="3" t="inlineStr">
        <is>
          <t>5.1.1.12.26</t>
        </is>
      </c>
      <c r="C1232" s="3" t="inlineStr">
        <is>
          <t>Pemasangan 1 Unit Kabel Tray (Horizontal) 900 x 100 mm
TRC OCP</t>
        </is>
      </c>
      <c r="D1232" s="3" t="inlineStr">
        <is>
          <t>unit</t>
        </is>
      </c>
      <c r="E1232" s="4" t="n">
        <v>968946</v>
      </c>
    </row>
    <row r="1233">
      <c r="A1233" s="3" t="n">
        <v>1231</v>
      </c>
      <c r="B1233" s="3" t="inlineStr">
        <is>
          <t>5.1.1.12.27</t>
        </is>
      </c>
      <c r="C1233" s="3" t="inlineStr">
        <is>
          <t>Pemasangan 1 Unit Kabel Tray (Horizontal) 800 x 100 mm
TRU Powder Coating</t>
        </is>
      </c>
      <c r="D1233" s="3" t="inlineStr">
        <is>
          <t>unit</t>
        </is>
      </c>
      <c r="E1233" s="4" t="n">
        <v>625196</v>
      </c>
    </row>
    <row r="1234">
      <c r="A1234" s="3" t="n">
        <v>1232</v>
      </c>
      <c r="B1234" s="3" t="inlineStr">
        <is>
          <t>5.1.1.12.28</t>
        </is>
      </c>
      <c r="C1234" s="3" t="inlineStr">
        <is>
          <t>Pemasangan 1 Unit Kabel Tray (Horizontal) 800 x 100 mm
TRU Hot Dip Galvanized</t>
        </is>
      </c>
      <c r="D1234" s="3" t="inlineStr">
        <is>
          <t>unit</t>
        </is>
      </c>
      <c r="E1234" s="4" t="n">
        <v>666446</v>
      </c>
    </row>
    <row r="1235">
      <c r="A1235" s="3" t="n">
        <v>1233</v>
      </c>
      <c r="B1235" s="3" t="inlineStr">
        <is>
          <t>5.1.1.12.29</t>
        </is>
      </c>
      <c r="C1235" s="3" t="inlineStr">
        <is>
          <t>Pemasangan 1 Unit Kabel Tray (Horizontal) 800 x 100 mm
TRU OCP</t>
        </is>
      </c>
      <c r="D1235" s="3" t="inlineStr">
        <is>
          <t>unit</t>
        </is>
      </c>
      <c r="E1235" s="4" t="n">
        <v>693946</v>
      </c>
    </row>
    <row r="1236">
      <c r="A1236" s="3" t="n">
        <v>1234</v>
      </c>
      <c r="B1236" s="3" t="inlineStr">
        <is>
          <t>5.1.1.12.30</t>
        </is>
      </c>
      <c r="C1236" s="3" t="inlineStr">
        <is>
          <t>Pemasangan 1 Unit Kabel Tray (Horizontal) 800 x 100 mm
TRC Powder Coating</t>
        </is>
      </c>
      <c r="D1236" s="3" t="inlineStr">
        <is>
          <t>unit</t>
        </is>
      </c>
      <c r="E1236" s="4" t="n">
        <v>721446</v>
      </c>
    </row>
    <row r="1237">
      <c r="A1237" s="3" t="n">
        <v>1235</v>
      </c>
      <c r="B1237" s="3" t="inlineStr">
        <is>
          <t>5.1.1.12.31</t>
        </is>
      </c>
      <c r="C1237" s="3" t="inlineStr">
        <is>
          <t>Pemasangan 1 Unit Kabel Tray (Horizontal) 800 x 100 mm
TRC Hot Dip Galvanized</t>
        </is>
      </c>
      <c r="D1237" s="3" t="inlineStr">
        <is>
          <t>unit</t>
        </is>
      </c>
      <c r="E1237" s="4" t="n">
        <v>748946</v>
      </c>
    </row>
    <row r="1238">
      <c r="A1238" s="3" t="n">
        <v>1236</v>
      </c>
      <c r="B1238" s="3" t="inlineStr">
        <is>
          <t>5.1.1.12.32</t>
        </is>
      </c>
      <c r="C1238" s="3" t="inlineStr">
        <is>
          <t>Pemasangan 1 Unit Kabel Tray (Horizontal) 800 x 100 mm TRC OCP</t>
        </is>
      </c>
      <c r="D1238" s="3" t="inlineStr">
        <is>
          <t>unit</t>
        </is>
      </c>
      <c r="E1238" s="4" t="n">
        <v>776446</v>
      </c>
    </row>
    <row r="1239">
      <c r="A1239" s="3" t="n">
        <v>1237</v>
      </c>
      <c r="B1239" s="3" t="inlineStr">
        <is>
          <t>5.1.1.12.33</t>
        </is>
      </c>
      <c r="C1239" s="3" t="inlineStr">
        <is>
          <t>Pemasangan 1 Unit Kabel Tray (Horizontal) 700 x 100 mm TRU Powder Coating</t>
        </is>
      </c>
      <c r="D1239" s="3" t="inlineStr">
        <is>
          <t>unit</t>
        </is>
      </c>
      <c r="E1239" s="4" t="n">
        <v>531470</v>
      </c>
    </row>
    <row r="1240">
      <c r="A1240" s="3" t="n">
        <v>1238</v>
      </c>
      <c r="B1240" s="3" t="inlineStr">
        <is>
          <t>5.1.1.12.34</t>
        </is>
      </c>
      <c r="C1240" s="3" t="inlineStr">
        <is>
          <t>Pemasangan 1 Unit Kabel Tray (Horizontal) 700 x 100 mm TRU Hot Dip Galvanized</t>
        </is>
      </c>
      <c r="D1240" s="3" t="inlineStr">
        <is>
          <t>unit</t>
        </is>
      </c>
      <c r="E1240" s="4" t="n">
        <v>558970</v>
      </c>
    </row>
    <row r="1241">
      <c r="A1241" s="3" t="n">
        <v>1239</v>
      </c>
      <c r="B1241" s="3" t="inlineStr">
        <is>
          <t>5.1.1.12.35</t>
        </is>
      </c>
      <c r="C1241" s="3" t="inlineStr">
        <is>
          <t>Pemasangan 1 Unit Kabel Tray (Horizontal) 700 x 100 mm TRU OCP</t>
        </is>
      </c>
      <c r="D1241" s="3" t="inlineStr">
        <is>
          <t>unit</t>
        </is>
      </c>
      <c r="E1241" s="4" t="n">
        <v>586470</v>
      </c>
    </row>
    <row r="1242">
      <c r="A1242" s="3" t="n">
        <v>1240</v>
      </c>
      <c r="B1242" s="3" t="inlineStr">
        <is>
          <t>5.1.1.12.36</t>
        </is>
      </c>
      <c r="C1242" s="3" t="inlineStr">
        <is>
          <t>Pemasangan 1 Unit Kabel Tray (Horizontal) 700 x 100 mm TRC Powder Coating</t>
        </is>
      </c>
      <c r="D1242" s="3" t="inlineStr">
        <is>
          <t>unit</t>
        </is>
      </c>
      <c r="E1242" s="4" t="n">
        <v>613970</v>
      </c>
    </row>
    <row r="1243">
      <c r="A1243" s="3" t="n">
        <v>1241</v>
      </c>
      <c r="B1243" s="3" t="inlineStr">
        <is>
          <t>5.1.1.12.37</t>
        </is>
      </c>
      <c r="C1243" s="3" t="inlineStr">
        <is>
          <t>Pemasangan 1 Unit Kabel Tray (Horizontal) 700 x 100 mm TRC Hot Dip Galvanized</t>
        </is>
      </c>
      <c r="D1243" s="3" t="inlineStr">
        <is>
          <t>unit</t>
        </is>
      </c>
      <c r="E1243" s="4" t="n">
        <v>641470</v>
      </c>
    </row>
    <row r="1244">
      <c r="A1244" s="3" t="n">
        <v>1242</v>
      </c>
      <c r="B1244" s="3" t="inlineStr">
        <is>
          <t>5.1.1.12.38</t>
        </is>
      </c>
      <c r="C1244" s="3" t="inlineStr">
        <is>
          <t>Pemasangan 1 Unit Kabel Tray (Horizontal) 700 x 100 mm TRC OCP</t>
        </is>
      </c>
      <c r="D1244" s="3" t="inlineStr">
        <is>
          <t>unit</t>
        </is>
      </c>
      <c r="E1244" s="4" t="n">
        <v>668970</v>
      </c>
    </row>
    <row r="1245">
      <c r="A1245" s="3" t="n">
        <v>1243</v>
      </c>
      <c r="B1245" s="3" t="inlineStr">
        <is>
          <t>5.1.1.12.39</t>
        </is>
      </c>
      <c r="C1245" s="3" t="inlineStr">
        <is>
          <t>Pemasangan 1 unit Kabel Tray (Horizontal) 600x100mm TRU Hot Dip Galvanizer</t>
        </is>
      </c>
      <c r="D1245" s="3" t="inlineStr">
        <is>
          <t>unit</t>
        </is>
      </c>
      <c r="E1245" s="4" t="n">
        <v>2303845</v>
      </c>
    </row>
    <row r="1246">
      <c r="A1246" s="3" t="n">
        <v>1244</v>
      </c>
      <c r="B1246" s="3" t="inlineStr">
        <is>
          <t>5.1.1.12.40</t>
        </is>
      </c>
      <c r="C1246" s="3" t="inlineStr">
        <is>
          <t>Pemasangan 1 unit Kabel Tray (Horizontal) 600x100mm TRU OCP</t>
        </is>
      </c>
      <c r="D1246" s="3" t="inlineStr">
        <is>
          <t>unit</t>
        </is>
      </c>
      <c r="E1246" s="4" t="n">
        <v>1776533</v>
      </c>
    </row>
    <row r="1247">
      <c r="A1247" s="3" t="n">
        <v>1245</v>
      </c>
      <c r="B1247" s="3" t="inlineStr">
        <is>
          <t>5.1.1.12.41</t>
        </is>
      </c>
      <c r="C1247" s="3" t="inlineStr">
        <is>
          <t>Pemasangan 1 unit Kabel Tray (Horizontal) 600x100mm TRC Powder Coating</t>
        </is>
      </c>
      <c r="D1247" s="3" t="inlineStr">
        <is>
          <t>unit</t>
        </is>
      </c>
      <c r="E1247" s="4" t="n">
        <v>1273970</v>
      </c>
    </row>
    <row r="1248">
      <c r="A1248" s="3" t="n">
        <v>1246</v>
      </c>
      <c r="B1248" s="3" t="inlineStr">
        <is>
          <t>5.1.1.12.42</t>
        </is>
      </c>
      <c r="C1248" s="3" t="inlineStr">
        <is>
          <t>Pemasangan 1 Unit Kabel Tray (Horizontal) 600 x 100 mm TRC Hot Dip Galvanized</t>
        </is>
      </c>
      <c r="D1248" s="3" t="inlineStr">
        <is>
          <t>unit</t>
        </is>
      </c>
      <c r="E1248" s="4" t="n">
        <v>531470</v>
      </c>
    </row>
    <row r="1249">
      <c r="A1249" s="3" t="n">
        <v>1247</v>
      </c>
      <c r="B1249" s="3" t="inlineStr">
        <is>
          <t>5.1.1.12.43</t>
        </is>
      </c>
      <c r="C1249" s="3" t="inlineStr">
        <is>
          <t>Pemasangan 1 Unit Kabel Tray (Horizontal) 600 x 100 mm TRC OCP</t>
        </is>
      </c>
      <c r="D1249" s="3" t="inlineStr">
        <is>
          <t>unit</t>
        </is>
      </c>
      <c r="E1249" s="4" t="n">
        <v>558970</v>
      </c>
    </row>
    <row r="1250">
      <c r="A1250" s="3" t="n">
        <v>1248</v>
      </c>
      <c r="B1250" s="3" t="inlineStr">
        <is>
          <t>5.1.1.12.44</t>
        </is>
      </c>
      <c r="C1250" s="3" t="inlineStr">
        <is>
          <t>Pemasangan 1 Unit Kabel Tray (Horizontal) 500 x 100 mm TRU Hot Dip Galvanized</t>
        </is>
      </c>
      <c r="D1250" s="3" t="inlineStr">
        <is>
          <t>unit</t>
        </is>
      </c>
      <c r="E1250" s="4" t="n">
        <v>579595</v>
      </c>
    </row>
    <row r="1251">
      <c r="A1251" s="3" t="n">
        <v>1249</v>
      </c>
      <c r="B1251" s="3" t="inlineStr">
        <is>
          <t>5.1.1.12.45</t>
        </is>
      </c>
      <c r="C1251" s="3" t="inlineStr">
        <is>
          <t>Pemasangan 1 Unit Kabel Tray (Horizontal) 500 x 100 mm TRU OCP</t>
        </is>
      </c>
      <c r="D1251" s="3" t="inlineStr">
        <is>
          <t>unit</t>
        </is>
      </c>
      <c r="E1251" s="4" t="n">
        <v>593345</v>
      </c>
    </row>
    <row r="1252">
      <c r="A1252" s="3" t="n">
        <v>1250</v>
      </c>
      <c r="B1252" s="3" t="inlineStr">
        <is>
          <t>5.1.1.12.46</t>
        </is>
      </c>
      <c r="C1252" s="3" t="inlineStr">
        <is>
          <t>Pemasangan 1 Unit Kabel Tray (Horizontal) 500 x 100 mm TRC Powder Coating</t>
        </is>
      </c>
      <c r="D1252" s="3" t="inlineStr">
        <is>
          <t>unit</t>
        </is>
      </c>
      <c r="E1252" s="4" t="n">
        <v>620845</v>
      </c>
    </row>
    <row r="1253">
      <c r="A1253" s="3" t="n">
        <v>1251</v>
      </c>
      <c r="B1253" s="3" t="inlineStr">
        <is>
          <t>5.1.1.12.47</t>
        </is>
      </c>
      <c r="C1253" s="3" t="inlineStr">
        <is>
          <t>Pemasangan 1 Unit Kabel Tray (Horizontal) 500 x 100 mm TRC Hot Dip Galvanized</t>
        </is>
      </c>
      <c r="D1253" s="3" t="inlineStr">
        <is>
          <t>unit</t>
        </is>
      </c>
      <c r="E1253" s="4" t="n">
        <v>641470</v>
      </c>
    </row>
    <row r="1254">
      <c r="A1254" s="3" t="n">
        <v>1252</v>
      </c>
      <c r="B1254" s="3" t="inlineStr">
        <is>
          <t>5.1.1.12.48</t>
        </is>
      </c>
      <c r="C1254" s="3" t="inlineStr">
        <is>
          <t>Pemasangan 1 Unit Kabel Tray (Horizontal) 500 x 100 mm TRC OCP</t>
        </is>
      </c>
      <c r="D1254" s="3" t="inlineStr">
        <is>
          <t>unit</t>
        </is>
      </c>
      <c r="E1254" s="4" t="n">
        <v>662095</v>
      </c>
    </row>
    <row r="1255">
      <c r="A1255" s="3" t="n">
        <v>1253</v>
      </c>
      <c r="B1255" s="3" t="inlineStr">
        <is>
          <t>5.1.1.12.49</t>
        </is>
      </c>
      <c r="C1255" s="3" t="inlineStr">
        <is>
          <t>Pemasangan 1 Unit Kabel Tray (Horizontal) 400 x 100 mm TRU Hot Dip Galvanized</t>
        </is>
      </c>
      <c r="D1255" s="3" t="inlineStr">
        <is>
          <t>unit</t>
        </is>
      </c>
      <c r="E1255" s="4" t="n">
        <v>531470</v>
      </c>
    </row>
    <row r="1256">
      <c r="A1256" s="3" t="n">
        <v>1254</v>
      </c>
      <c r="B1256" s="3" t="inlineStr">
        <is>
          <t>5.1.1.12.50</t>
        </is>
      </c>
      <c r="C1256" s="3" t="inlineStr">
        <is>
          <t>Pemasangan 1 Unit Kabel Tray (Horizontal) 400 x 100 mm TRU OCP</t>
        </is>
      </c>
      <c r="D1256" s="3" t="inlineStr">
        <is>
          <t>unit</t>
        </is>
      </c>
      <c r="E1256" s="4" t="n">
        <v>531470</v>
      </c>
    </row>
    <row r="1257">
      <c r="A1257" s="3" t="n">
        <v>1255</v>
      </c>
      <c r="B1257" s="3" t="inlineStr">
        <is>
          <t>5.1.1.12.51</t>
        </is>
      </c>
      <c r="C1257" s="3" t="inlineStr">
        <is>
          <t>Pemasangan 1 Unit Kabel Tray (Horizontal) 400 x 100 mm TRC Powder Coating</t>
        </is>
      </c>
      <c r="D1257" s="3" t="inlineStr">
        <is>
          <t>unit</t>
        </is>
      </c>
      <c r="E1257" s="4" t="n">
        <v>572720</v>
      </c>
    </row>
    <row r="1258">
      <c r="A1258" s="3" t="n">
        <v>1256</v>
      </c>
      <c r="B1258" s="3" t="inlineStr">
        <is>
          <t>5.1.1.12.52</t>
        </is>
      </c>
      <c r="C1258" s="3" t="inlineStr">
        <is>
          <t>Pemasangan 1 Unit Kabel Tray (Horizontal) 400 x 100 mm TRC Hot Dip Galvanized</t>
        </is>
      </c>
      <c r="D1258" s="3" t="inlineStr">
        <is>
          <t>unit</t>
        </is>
      </c>
      <c r="E1258" s="4" t="n">
        <v>593345</v>
      </c>
    </row>
    <row r="1259">
      <c r="A1259" s="3" t="n">
        <v>1257</v>
      </c>
      <c r="B1259" s="3" t="inlineStr">
        <is>
          <t>5.1.1.12.53</t>
        </is>
      </c>
      <c r="C1259" s="3" t="inlineStr">
        <is>
          <t>Pemasangan 1 Unit Kabel Tray (Horizontal) 400 x 100 mm TRC OCP</t>
        </is>
      </c>
      <c r="D1259" s="3" t="inlineStr">
        <is>
          <t>unit</t>
        </is>
      </c>
      <c r="E1259" s="4" t="n">
        <v>613970</v>
      </c>
    </row>
    <row r="1260">
      <c r="A1260" s="3" t="n">
        <v>1258</v>
      </c>
      <c r="B1260" s="3" t="inlineStr">
        <is>
          <t>5.1.1.12.54</t>
        </is>
      </c>
      <c r="C1260" s="3" t="inlineStr">
        <is>
          <t>Pemasangan 1 Unit Kabel Tray (Horizontal) 300 x 100 mm TRU Hot Dip Galvanized</t>
        </is>
      </c>
      <c r="D1260" s="3" t="inlineStr">
        <is>
          <t>unit</t>
        </is>
      </c>
      <c r="E1260" s="4" t="n">
        <v>462720</v>
      </c>
    </row>
    <row r="1261">
      <c r="A1261" s="3" t="n">
        <v>1259</v>
      </c>
      <c r="B1261" s="3" t="inlineStr">
        <is>
          <t>5.1.1.12.55</t>
        </is>
      </c>
      <c r="C1261" s="3" t="inlineStr">
        <is>
          <t>Pemasangan 1 Unit Kabel Tray (Horizontal) 300 x 100 mm TRU OCP</t>
        </is>
      </c>
      <c r="D1261" s="3" t="inlineStr">
        <is>
          <t>unit</t>
        </is>
      </c>
      <c r="E1261" s="4" t="n">
        <v>490220</v>
      </c>
    </row>
    <row r="1262">
      <c r="A1262" s="3" t="n">
        <v>1260</v>
      </c>
      <c r="B1262" s="3" t="inlineStr">
        <is>
          <t>5.1.1.12.56</t>
        </is>
      </c>
      <c r="C1262" s="3" t="inlineStr">
        <is>
          <t>Pemasangan 1 Unit Kabel Tray (Horizontal) 300 x 100 mm TRC Powder Coating</t>
        </is>
      </c>
      <c r="D1262" s="3" t="inlineStr">
        <is>
          <t>unit</t>
        </is>
      </c>
      <c r="E1262" s="4" t="n">
        <v>517720</v>
      </c>
    </row>
    <row r="1263">
      <c r="A1263" s="3" t="n">
        <v>1261</v>
      </c>
      <c r="B1263" s="3" t="inlineStr">
        <is>
          <t>5.1.1.12.57</t>
        </is>
      </c>
      <c r="C1263" s="3" t="inlineStr">
        <is>
          <t>Pemasangan 1 Unit Kabel Tray (Horizontal) 300 x 100 mm TRC Hot Dip Galvanized</t>
        </is>
      </c>
      <c r="D1263" s="3" t="inlineStr">
        <is>
          <t>unit</t>
        </is>
      </c>
      <c r="E1263" s="4" t="n">
        <v>545220</v>
      </c>
    </row>
    <row r="1264">
      <c r="A1264" s="3" t="n">
        <v>1262</v>
      </c>
      <c r="B1264" s="3" t="inlineStr">
        <is>
          <t>5.1.1.12.58</t>
        </is>
      </c>
      <c r="C1264" s="3" t="inlineStr">
        <is>
          <t>Pemasangan 1 Unit Kabel Tray (Horizontal) 300 x 100 mm TRC OCP</t>
        </is>
      </c>
      <c r="D1264" s="3" t="inlineStr">
        <is>
          <t>unit</t>
        </is>
      </c>
      <c r="E1264" s="4" t="n">
        <v>572720</v>
      </c>
    </row>
    <row r="1265">
      <c r="A1265" s="3" t="n">
        <v>1263</v>
      </c>
      <c r="B1265" s="3" t="inlineStr">
        <is>
          <t>5.1.1.12.59</t>
        </is>
      </c>
      <c r="C1265" s="3" t="inlineStr">
        <is>
          <t>Pemasangan 1 Unit Kabel Tray (Horizontal) 200 x 100 mm TRU Hot Dip Galvanized</t>
        </is>
      </c>
      <c r="D1265" s="3" t="inlineStr">
        <is>
          <t>unit</t>
        </is>
      </c>
      <c r="E1265" s="4" t="n">
        <v>600220</v>
      </c>
    </row>
    <row r="1266">
      <c r="A1266" s="3" t="n">
        <v>1264</v>
      </c>
      <c r="B1266" s="3" t="inlineStr">
        <is>
          <t>5.1.1.12.60</t>
        </is>
      </c>
      <c r="C1266" s="3" t="inlineStr">
        <is>
          <t>Pemasangan 1 Unit Kabel Tray (Horizontal) 200 x 100 mm TRU OCP</t>
        </is>
      </c>
      <c r="D1266" s="3" t="inlineStr">
        <is>
          <t>unit</t>
        </is>
      </c>
      <c r="E1266" s="4" t="n">
        <v>393970</v>
      </c>
    </row>
    <row r="1267">
      <c r="A1267" s="3" t="n">
        <v>1265</v>
      </c>
      <c r="B1267" s="3" t="inlineStr">
        <is>
          <t>5.1.1.12.61</t>
        </is>
      </c>
      <c r="C1267" s="3" t="inlineStr">
        <is>
          <t>Pemasangan 1 Unit Kabel Tray (Horizontal) 200 x 100 mm TRC Powder Coating</t>
        </is>
      </c>
      <c r="D1267" s="3" t="inlineStr">
        <is>
          <t>unit</t>
        </is>
      </c>
      <c r="E1267" s="4" t="n">
        <v>421470</v>
      </c>
    </row>
    <row r="1268">
      <c r="A1268" s="3" t="n">
        <v>1266</v>
      </c>
      <c r="B1268" s="3" t="inlineStr">
        <is>
          <t>5.1.1.12.62</t>
        </is>
      </c>
      <c r="C1268" s="3" t="inlineStr">
        <is>
          <t>Pemasangan 1 Unit Kabel Tray (Horizontal) 200 x 100 mm TRC Hot Dip Galvanized</t>
        </is>
      </c>
      <c r="D1268" s="3" t="inlineStr">
        <is>
          <t>unit</t>
        </is>
      </c>
      <c r="E1268" s="4" t="n">
        <v>435220</v>
      </c>
    </row>
    <row r="1269">
      <c r="A1269" s="3" t="n">
        <v>1267</v>
      </c>
      <c r="B1269" s="3" t="inlineStr">
        <is>
          <t>5.1.1.12.63</t>
        </is>
      </c>
      <c r="C1269" s="3" t="inlineStr">
        <is>
          <t>Pemasangan 1 Unit Kabel Tray (Horizontal) 200 x 100 mm TRC OCP</t>
        </is>
      </c>
      <c r="D1269" s="3" t="inlineStr">
        <is>
          <t>unit</t>
        </is>
      </c>
      <c r="E1269" s="4" t="n">
        <v>462720</v>
      </c>
    </row>
    <row r="1270">
      <c r="A1270" s="3" t="n">
        <v>1268</v>
      </c>
      <c r="B1270" s="3" t="inlineStr">
        <is>
          <t>5.1.1.12.64</t>
        </is>
      </c>
      <c r="C1270" s="3" t="inlineStr">
        <is>
          <t>Pemasangan 1 Unit Kabel Tray (Horizontal) 150 x 100 mm TRU Powder Coating</t>
        </is>
      </c>
      <c r="D1270" s="3" t="inlineStr">
        <is>
          <t>unit</t>
        </is>
      </c>
      <c r="E1270" s="4" t="n">
        <v>393970</v>
      </c>
    </row>
    <row r="1271">
      <c r="A1271" s="3" t="n">
        <v>1269</v>
      </c>
      <c r="B1271" s="3" t="inlineStr">
        <is>
          <t>5.1.1.12.65</t>
        </is>
      </c>
      <c r="C1271" s="3" t="inlineStr">
        <is>
          <t>Pemasangan 1 Unit Kabel Tray (Horizontal) 150 x 100 mm TRU Hot Dip Galvanized</t>
        </is>
      </c>
      <c r="D1271" s="3" t="inlineStr">
        <is>
          <t>unit</t>
        </is>
      </c>
      <c r="E1271" s="4" t="n">
        <v>407720</v>
      </c>
    </row>
    <row r="1272">
      <c r="A1272" s="3" t="n">
        <v>1270</v>
      </c>
      <c r="B1272" s="3" t="inlineStr">
        <is>
          <t>5.1.1.12.66</t>
        </is>
      </c>
      <c r="C1272" s="3" t="inlineStr">
        <is>
          <t>Pemasangan 1 Unit Kabel Tray (Horizontal) 150 x 100 mm TRU OCP</t>
        </is>
      </c>
      <c r="D1272" s="3" t="inlineStr">
        <is>
          <t>unit</t>
        </is>
      </c>
      <c r="E1272" s="4" t="n">
        <v>435220</v>
      </c>
    </row>
    <row r="1273">
      <c r="A1273" s="3" t="n">
        <v>1271</v>
      </c>
      <c r="B1273" s="3" t="inlineStr">
        <is>
          <t>5.1.1.12.67</t>
        </is>
      </c>
      <c r="C1273" s="3" t="inlineStr">
        <is>
          <t>Pemasangan 1 Unit Kabel Tray (Horizontal) 150 x 100 mm TRC Powder Coatingmasangan 1 Unit Kabel Tray (Horizontal) 150 x 100 mm TRU OCP</t>
        </is>
      </c>
      <c r="D1273" s="3" t="inlineStr">
        <is>
          <t>unit</t>
        </is>
      </c>
      <c r="E1273" s="4" t="n">
        <v>462720</v>
      </c>
    </row>
    <row r="1274">
      <c r="A1274" s="3" t="n">
        <v>1272</v>
      </c>
      <c r="B1274" s="3" t="inlineStr">
        <is>
          <t>5.1.1.12.68</t>
        </is>
      </c>
      <c r="C1274" s="3" t="inlineStr">
        <is>
          <t>Pemasangan 1 Unit Kabel Tray (Horizontal) 150 x 100 mm TRC Hot Dip Galvanized</t>
        </is>
      </c>
      <c r="D1274" s="3" t="inlineStr">
        <is>
          <t>unit</t>
        </is>
      </c>
      <c r="E1274" s="4" t="n">
        <v>490220</v>
      </c>
    </row>
    <row r="1275">
      <c r="A1275" s="3" t="n">
        <v>1273</v>
      </c>
      <c r="B1275" s="3" t="inlineStr">
        <is>
          <t>5.1.1.12.69</t>
        </is>
      </c>
      <c r="C1275" s="3" t="inlineStr">
        <is>
          <t>Pemasangan 1 Unit Kabel Tray (Horizontal) 150 x 100 mm TRC OCP</t>
        </is>
      </c>
      <c r="D1275" s="3" t="inlineStr">
        <is>
          <t>unit</t>
        </is>
      </c>
      <c r="E1275" s="4" t="n">
        <v>556446</v>
      </c>
    </row>
    <row r="1276">
      <c r="A1276" s="3" t="n">
        <v>1274</v>
      </c>
      <c r="B1276" s="3" t="inlineStr">
        <is>
          <t>5.1.1.12.70</t>
        </is>
      </c>
      <c r="C1276" s="3" t="inlineStr">
        <is>
          <t>Pemasangan 1 Unit Kabel Tray (Vertikal) 1000 x 100 mm TRU Powder Coating</t>
        </is>
      </c>
      <c r="D1276" s="3" t="inlineStr">
        <is>
          <t>unit</t>
        </is>
      </c>
      <c r="E1276" s="4" t="n">
        <v>531470</v>
      </c>
    </row>
    <row r="1277">
      <c r="A1277" s="3" t="n">
        <v>1275</v>
      </c>
      <c r="B1277" s="3" t="inlineStr">
        <is>
          <t>5.1.1.12.71</t>
        </is>
      </c>
      <c r="C1277" s="3" t="inlineStr">
        <is>
          <t>Pemasangan 1 Unit Kabel Tray (Vertikal) 1000 x 100 mm TRU Hot Dip Galvanized</t>
        </is>
      </c>
      <c r="D1277" s="3" t="inlineStr">
        <is>
          <t>unit</t>
        </is>
      </c>
      <c r="E1277" s="4" t="n">
        <v>563596</v>
      </c>
    </row>
    <row r="1278">
      <c r="A1278" s="3" t="n">
        <v>1276</v>
      </c>
      <c r="B1278" s="3" t="inlineStr">
        <is>
          <t>5.1.1.12.72</t>
        </is>
      </c>
      <c r="C1278" s="3" t="inlineStr">
        <is>
          <t>Pemasangan 1 Unit Kabel Tray (Vertikal) 1000 x 100 mm TRU OCP</t>
        </is>
      </c>
      <c r="D1278" s="3" t="inlineStr">
        <is>
          <t>unit</t>
        </is>
      </c>
      <c r="E1278" s="4" t="n">
        <v>589996</v>
      </c>
    </row>
    <row r="1279">
      <c r="A1279" s="3" t="n">
        <v>1277</v>
      </c>
      <c r="B1279" s="3" t="inlineStr">
        <is>
          <t>5.1.1.12.73</t>
        </is>
      </c>
      <c r="C1279" s="3" t="inlineStr">
        <is>
          <t>Pemasangan 1 Unit Kabel Tray (Vertikal) 1000 x 100 mm TRC Powder Coating</t>
        </is>
      </c>
      <c r="D1279" s="3" t="inlineStr">
        <is>
          <t>unit</t>
        </is>
      </c>
      <c r="E1279" s="4" t="n">
        <v>603196</v>
      </c>
    </row>
    <row r="1280">
      <c r="A1280" s="3" t="n">
        <v>1278</v>
      </c>
      <c r="B1280" s="3" t="inlineStr">
        <is>
          <t>5.1.1.12.74</t>
        </is>
      </c>
      <c r="C1280" s="3" t="inlineStr">
        <is>
          <t>Pemasangan 1 Unit Kabel Tray (Vertikal) 1000 x 100 mm TRC Hot Dip Galvanized\</t>
        </is>
      </c>
      <c r="D1280" s="3" t="inlineStr">
        <is>
          <t>unit</t>
        </is>
      </c>
      <c r="E1280" s="4" t="n">
        <v>616396</v>
      </c>
    </row>
    <row r="1281">
      <c r="A1281" s="3" t="n">
        <v>1279</v>
      </c>
      <c r="B1281" s="3" t="inlineStr">
        <is>
          <t>5.1.1.12.75</t>
        </is>
      </c>
      <c r="C1281" s="3" t="inlineStr">
        <is>
          <t>Pemasangan 1 Unit Kabel Tray (Vertikal) 1000 x 100 mm TRC OCP</t>
        </is>
      </c>
      <c r="D1281" s="3" t="inlineStr">
        <is>
          <t>unit</t>
        </is>
      </c>
      <c r="E1281" s="4" t="n">
        <v>629596</v>
      </c>
    </row>
    <row r="1282">
      <c r="A1282" s="3" t="n">
        <v>1280</v>
      </c>
      <c r="B1282" s="3" t="inlineStr">
        <is>
          <t>5.1.1.12.76</t>
        </is>
      </c>
      <c r="C1282" s="3" t="inlineStr">
        <is>
          <t>Pemasangan 1 Unit Kabel Tray (Vertikal) 900 x 100 mm TRU Powder Coating</t>
        </is>
      </c>
      <c r="D1282" s="3" t="inlineStr">
        <is>
          <t>unit</t>
        </is>
      </c>
      <c r="E1282" s="4" t="n">
        <v>523996</v>
      </c>
    </row>
    <row r="1283">
      <c r="A1283" s="3" t="n">
        <v>1281</v>
      </c>
      <c r="B1283" s="3" t="inlineStr">
        <is>
          <t>5.1.1.12.77</t>
        </is>
      </c>
      <c r="C1283" s="3" t="inlineStr">
        <is>
          <t>Pemasangan 1 Unit Kabel Tray (Vertikal) 900 x 100 mm TRU Hot Dip Galvanized</t>
        </is>
      </c>
      <c r="D1283" s="3" t="inlineStr">
        <is>
          <t>unit</t>
        </is>
      </c>
      <c r="E1283" s="4" t="n">
        <v>537196</v>
      </c>
    </row>
    <row r="1284">
      <c r="A1284" s="3" t="n">
        <v>1282</v>
      </c>
      <c r="B1284" s="3" t="inlineStr">
        <is>
          <t>5.1.1.12.78</t>
        </is>
      </c>
      <c r="C1284" s="3" t="inlineStr">
        <is>
          <t>Pemasangan 1 Unit Kabel Tray (Vertikal) 900 x 100 mm TRU OCP</t>
        </is>
      </c>
      <c r="D1284" s="3" t="inlineStr">
        <is>
          <t>unit</t>
        </is>
      </c>
      <c r="E1284" s="4" t="n">
        <v>550396</v>
      </c>
    </row>
    <row r="1285">
      <c r="A1285" s="3" t="n">
        <v>1283</v>
      </c>
      <c r="B1285" s="3" t="inlineStr">
        <is>
          <t>5.1.1.12.79</t>
        </is>
      </c>
      <c r="C1285" s="3" t="inlineStr">
        <is>
          <t>Pemasangan 1 Unit Kabel Tray (Vertikal) 900 x 100 mm TRC Powder Coating</t>
        </is>
      </c>
      <c r="D1285" s="3" t="inlineStr">
        <is>
          <t>unit</t>
        </is>
      </c>
      <c r="E1285" s="4" t="n">
        <v>563596</v>
      </c>
    </row>
    <row r="1286">
      <c r="A1286" s="3" t="n">
        <v>1284</v>
      </c>
      <c r="B1286" s="3" t="inlineStr">
        <is>
          <t>5.1.1.12.80</t>
        </is>
      </c>
      <c r="C1286" s="3" t="inlineStr">
        <is>
          <t>Pemasangan 1 Unit Kabel Tray (Vertikal) 900 x 100 mm TRC Hot Dip Galvanized</t>
        </is>
      </c>
      <c r="D1286" s="3" t="inlineStr">
        <is>
          <t>unit</t>
        </is>
      </c>
      <c r="E1286" s="4" t="n">
        <v>576796</v>
      </c>
    </row>
    <row r="1287">
      <c r="A1287" s="3" t="n">
        <v>1285</v>
      </c>
      <c r="B1287" s="3" t="inlineStr">
        <is>
          <t>5.1.1.12.81</t>
        </is>
      </c>
      <c r="C1287" s="3" t="inlineStr">
        <is>
          <t>Pemasangan 1 Unit Kabel Tray (Vertikal) 900 x 100 mm TRC OCP</t>
        </is>
      </c>
      <c r="D1287" s="3" t="inlineStr">
        <is>
          <t>unit</t>
        </is>
      </c>
      <c r="E1287" s="4" t="n">
        <v>589996</v>
      </c>
    </row>
    <row r="1288">
      <c r="A1288" s="3" t="n">
        <v>1286</v>
      </c>
      <c r="B1288" s="3" t="inlineStr">
        <is>
          <t>5.1.1.12.82</t>
        </is>
      </c>
      <c r="C1288" s="3" t="inlineStr">
        <is>
          <t>Pemasangan 1 Unit Kabel Tray (Vertikal) 800 x 100 mm TRU Powder Coating</t>
        </is>
      </c>
      <c r="D1288" s="3" t="inlineStr">
        <is>
          <t>unit</t>
        </is>
      </c>
      <c r="E1288" s="4" t="n">
        <v>537196</v>
      </c>
    </row>
    <row r="1289">
      <c r="A1289" s="3" t="n">
        <v>1287</v>
      </c>
      <c r="B1289" s="3" t="inlineStr">
        <is>
          <t>5.1.1.12.83</t>
        </is>
      </c>
      <c r="C1289" s="3" t="inlineStr">
        <is>
          <t>Pemasangan 1 Unit Kabel Tray (Vertikal) 800 x 100 mm TRU Hot Dip Galvanized</t>
        </is>
      </c>
      <c r="D1289" s="3" t="inlineStr">
        <is>
          <t>unit</t>
        </is>
      </c>
      <c r="E1289" s="4" t="n">
        <v>550396</v>
      </c>
    </row>
    <row r="1290">
      <c r="A1290" s="3" t="n">
        <v>1288</v>
      </c>
      <c r="B1290" s="3" t="inlineStr">
        <is>
          <t>5.1.1.12.84</t>
        </is>
      </c>
      <c r="C1290" s="3" t="inlineStr">
        <is>
          <t>Pemasangan 1 Unit Kabel Tray (Vertikal) 800 x 100 mm TRU OCP</t>
        </is>
      </c>
      <c r="D1290" s="3" t="inlineStr">
        <is>
          <t>unit</t>
        </is>
      </c>
      <c r="E1290" s="4" t="n">
        <v>563596</v>
      </c>
    </row>
    <row r="1291">
      <c r="A1291" s="3" t="n">
        <v>1289</v>
      </c>
      <c r="B1291" s="3" t="inlineStr">
        <is>
          <t>5.1.1.12.85</t>
        </is>
      </c>
      <c r="C1291" s="3" t="inlineStr">
        <is>
          <t>Pemasangan 1 Unit Kabel Tray (Vertikal) 800 x 100 mm TRC Powder Coating</t>
        </is>
      </c>
      <c r="D1291" s="3" t="inlineStr">
        <is>
          <t>unit</t>
        </is>
      </c>
      <c r="E1291" s="4" t="n">
        <v>576796</v>
      </c>
    </row>
    <row r="1292">
      <c r="A1292" s="3" t="n">
        <v>1290</v>
      </c>
      <c r="B1292" s="3" t="inlineStr">
        <is>
          <t>5.1.1.12.86</t>
        </is>
      </c>
      <c r="C1292" s="3" t="inlineStr">
        <is>
          <t>Pemasangan 1 Unit Kabel Tray (Vertikal) 800 x 100 mm TRC Hot Dip Galvanized</t>
        </is>
      </c>
      <c r="D1292" s="3" t="inlineStr">
        <is>
          <t>unit</t>
        </is>
      </c>
      <c r="E1292" s="4" t="n">
        <v>589996</v>
      </c>
    </row>
    <row r="1293">
      <c r="A1293" s="3" t="n">
        <v>1291</v>
      </c>
      <c r="B1293" s="3" t="inlineStr">
        <is>
          <t>5.1.1.12.87</t>
        </is>
      </c>
      <c r="C1293" s="3" t="inlineStr">
        <is>
          <t>Pemasangan 1 Unit Kabel Tray (Vertikal) 800 x 100 mm TRC OCP</t>
        </is>
      </c>
      <c r="D1293" s="3" t="inlineStr">
        <is>
          <t>unit</t>
        </is>
      </c>
      <c r="E1293" s="4" t="n">
        <v>603196</v>
      </c>
    </row>
    <row r="1294">
      <c r="A1294" s="3" t="n">
        <v>1292</v>
      </c>
      <c r="B1294" s="3" t="inlineStr">
        <is>
          <t>5.1.1.12.88</t>
        </is>
      </c>
      <c r="C1294" s="3" t="inlineStr">
        <is>
          <t>Pemasangan 1 Unit Kabel Tray (Vertikal) 700 x 100 mm TRU Powder Coating</t>
        </is>
      </c>
      <c r="D1294" s="3" t="inlineStr">
        <is>
          <t>unit</t>
        </is>
      </c>
      <c r="E1294" s="4" t="n">
        <v>499020</v>
      </c>
    </row>
    <row r="1295">
      <c r="A1295" s="3" t="n">
        <v>1293</v>
      </c>
      <c r="B1295" s="3" t="inlineStr">
        <is>
          <t>5.1.1.12.89</t>
        </is>
      </c>
      <c r="C1295" s="3" t="inlineStr">
        <is>
          <t>Pemasangan 1 Unit Kabel Tray (Vertikal) 700 x 100 mm TRU Hot Dip Galvanized</t>
        </is>
      </c>
      <c r="D1295" s="3" t="inlineStr">
        <is>
          <t>unit</t>
        </is>
      </c>
      <c r="E1295" s="4" t="n">
        <v>512220</v>
      </c>
    </row>
    <row r="1296">
      <c r="A1296" s="3" t="n">
        <v>1294</v>
      </c>
      <c r="B1296" s="3" t="inlineStr">
        <is>
          <t>5.1.1.12.90</t>
        </is>
      </c>
      <c r="C1296" s="3" t="inlineStr">
        <is>
          <t>Pemasangan 1 Unit Kabel Tray (Vertikal) 700 x 100 mm TRU OCP</t>
        </is>
      </c>
      <c r="D1296" s="3" t="inlineStr">
        <is>
          <t>unit</t>
        </is>
      </c>
      <c r="E1296" s="4" t="n">
        <v>525420</v>
      </c>
    </row>
    <row r="1297">
      <c r="A1297" s="3" t="n">
        <v>1295</v>
      </c>
      <c r="B1297" s="3" t="inlineStr">
        <is>
          <t>5.1.1.12.91</t>
        </is>
      </c>
      <c r="C1297" s="3" t="inlineStr">
        <is>
          <t>Pemasangan 1 Unit Kabel Tray (Vertikal) 700 x 100 mm TRC Powder Coating</t>
        </is>
      </c>
      <c r="D1297" s="3" t="inlineStr">
        <is>
          <t>unit</t>
        </is>
      </c>
      <c r="E1297" s="4" t="n">
        <v>538620</v>
      </c>
    </row>
    <row r="1298">
      <c r="A1298" s="3" t="n">
        <v>1296</v>
      </c>
      <c r="B1298" s="3" t="inlineStr">
        <is>
          <t>5.1.1.12.92</t>
        </is>
      </c>
      <c r="C1298" s="3" t="inlineStr">
        <is>
          <t>Pemasangan 1 Unit Kabel Tray (Vertikal) 700 x 100 mm TRC Hot Dip Galvanized</t>
        </is>
      </c>
      <c r="D1298" s="3" t="inlineStr">
        <is>
          <t>unit</t>
        </is>
      </c>
      <c r="E1298" s="4" t="n">
        <v>551820</v>
      </c>
    </row>
    <row r="1299">
      <c r="A1299" s="3" t="n">
        <v>1297</v>
      </c>
      <c r="B1299" s="3" t="inlineStr">
        <is>
          <t>5.1.1.12.93</t>
        </is>
      </c>
      <c r="C1299" s="3" t="inlineStr">
        <is>
          <t>Pemasangan 1 Unit Kabel Tray (Vertikal) 700 x 100 mm TRC OCP</t>
        </is>
      </c>
      <c r="D1299" s="3" t="inlineStr">
        <is>
          <t>unit</t>
        </is>
      </c>
      <c r="E1299" s="4" t="n">
        <v>565020</v>
      </c>
    </row>
    <row r="1300">
      <c r="A1300" s="3" t="n">
        <v>1298</v>
      </c>
      <c r="B1300" s="3" t="inlineStr">
        <is>
          <t>5.1.1.12.94</t>
        </is>
      </c>
      <c r="C1300" s="3" t="inlineStr">
        <is>
          <t>Pemasangan 1 Unit Kabel Tray (Vertikal) 600 x 100 mm TRU Hot Dip Galvanized</t>
        </is>
      </c>
      <c r="D1300" s="3" t="inlineStr">
        <is>
          <t>unit</t>
        </is>
      </c>
      <c r="E1300" s="4" t="n">
        <v>499020</v>
      </c>
    </row>
    <row r="1301">
      <c r="A1301" s="3" t="n">
        <v>1299</v>
      </c>
      <c r="B1301" s="3" t="inlineStr">
        <is>
          <t>5.1.1.12.95</t>
        </is>
      </c>
      <c r="C1301" s="3" t="inlineStr">
        <is>
          <t>Pemasangan 1 Unit Kabel Tray (Vertikal) 600 x 100 mm TRU OCP</t>
        </is>
      </c>
      <c r="D1301" s="3" t="inlineStr">
        <is>
          <t>unit</t>
        </is>
      </c>
      <c r="E1301" s="4" t="n">
        <v>512220</v>
      </c>
    </row>
    <row r="1302">
      <c r="A1302" s="3" t="n">
        <v>1300</v>
      </c>
      <c r="B1302" s="3" t="inlineStr">
        <is>
          <t>5.1.1.12.96</t>
        </is>
      </c>
      <c r="C1302" s="3" t="inlineStr">
        <is>
          <t>Pemasangan 1 Unit Kabel Tray (Vertikal) 600 x 100 mm TRC
Powder Coating</t>
        </is>
      </c>
      <c r="D1302" s="3" t="inlineStr">
        <is>
          <t>unit</t>
        </is>
      </c>
      <c r="E1302" s="4" t="n">
        <v>525420</v>
      </c>
    </row>
    <row r="1303">
      <c r="A1303" s="3" t="n">
        <v>1301</v>
      </c>
      <c r="B1303" s="3" t="inlineStr">
        <is>
          <t>5.1.1.12.97</t>
        </is>
      </c>
      <c r="C1303" s="3" t="inlineStr">
        <is>
          <t>Pemasangan 1 Unit Kabel Tray (Vertikal) 600 x 100 mm TRC
Hot Dip Galvanized</t>
        </is>
      </c>
      <c r="D1303" s="3" t="inlineStr">
        <is>
          <t>unit</t>
        </is>
      </c>
      <c r="E1303" s="4" t="n">
        <v>538620</v>
      </c>
    </row>
    <row r="1304">
      <c r="A1304" s="3" t="n">
        <v>1302</v>
      </c>
      <c r="B1304" s="3" t="inlineStr">
        <is>
          <t>5.1.1.12.98</t>
        </is>
      </c>
      <c r="C1304" s="3" t="inlineStr">
        <is>
          <t>Pemasangan 1 Unit Kabel Tray (Vertikal) 600 x 100 mm TRC
OCP</t>
        </is>
      </c>
      <c r="D1304" s="3" t="inlineStr">
        <is>
          <t>unit</t>
        </is>
      </c>
      <c r="E1304" s="4" t="n">
        <v>565020</v>
      </c>
    </row>
    <row r="1305">
      <c r="A1305" s="3" t="n">
        <v>1303</v>
      </c>
      <c r="B1305" s="3" t="inlineStr">
        <is>
          <t>5.1.1.12.99</t>
        </is>
      </c>
      <c r="C1305" s="3" t="inlineStr">
        <is>
          <t>Pemasangan 1 Unit Kabel Tray (Vertikal) 500 x 100 mm TRU
Hot Dip Galvanized</t>
        </is>
      </c>
      <c r="D1305" s="3" t="inlineStr">
        <is>
          <t>unit</t>
        </is>
      </c>
      <c r="E1305" s="4" t="n">
        <v>499020</v>
      </c>
    </row>
    <row r="1306">
      <c r="A1306" s="3" t="n">
        <v>1304</v>
      </c>
      <c r="B1306" s="3" t="inlineStr">
        <is>
          <t>5.1.1.12.100</t>
        </is>
      </c>
      <c r="C1306" s="3" t="inlineStr">
        <is>
          <t>Pemasangan 1 Unit Kabel Tray (Vertikal) 500 x 100 mm TRU
OCP</t>
        </is>
      </c>
      <c r="D1306" s="3" t="inlineStr">
        <is>
          <t>unit</t>
        </is>
      </c>
      <c r="E1306" s="4" t="n">
        <v>512220</v>
      </c>
    </row>
    <row r="1307">
      <c r="A1307" s="3" t="n">
        <v>1305</v>
      </c>
      <c r="B1307" s="3" t="inlineStr">
        <is>
          <t>5.1.1.12.101</t>
        </is>
      </c>
      <c r="C1307" s="3" t="inlineStr">
        <is>
          <t>Pemasangan 1 Unit Kabel Tray (Vertikal) 500 x 100 mm TRC
Powder Coating</t>
        </is>
      </c>
      <c r="D1307" s="3" t="inlineStr">
        <is>
          <t>unit</t>
        </is>
      </c>
      <c r="E1307" s="4" t="n">
        <v>525420</v>
      </c>
    </row>
    <row r="1308">
      <c r="A1308" s="3" t="n">
        <v>1306</v>
      </c>
      <c r="B1308" s="3" t="inlineStr">
        <is>
          <t>5.1.1.12.102</t>
        </is>
      </c>
      <c r="C1308" s="3" t="inlineStr">
        <is>
          <t>Pemasangan 1 Unit Kabel Tray (Vertikal) 500 x 100 mm TRC
Hot Dip Galvanized</t>
        </is>
      </c>
      <c r="D1308" s="3" t="inlineStr">
        <is>
          <t>unit</t>
        </is>
      </c>
      <c r="E1308" s="4" t="n">
        <v>538620</v>
      </c>
    </row>
    <row r="1309">
      <c r="A1309" s="3" t="n">
        <v>1307</v>
      </c>
      <c r="B1309" s="3" t="inlineStr">
        <is>
          <t>5.1.1.12.103</t>
        </is>
      </c>
      <c r="C1309" s="3" t="inlineStr">
        <is>
          <t>Pemasangan 1 Unit Kabel Tray (Vertikal) 500 x 100 mm TRC
OCP</t>
        </is>
      </c>
      <c r="D1309" s="3" t="inlineStr">
        <is>
          <t>unit</t>
        </is>
      </c>
      <c r="E1309" s="4" t="n">
        <v>551820</v>
      </c>
    </row>
    <row r="1310">
      <c r="A1310" s="3" t="n">
        <v>1308</v>
      </c>
      <c r="B1310" s="3" t="inlineStr">
        <is>
          <t>5.1.1.12.104</t>
        </is>
      </c>
      <c r="C1310" s="3" t="inlineStr">
        <is>
          <t>Pemasangan 1 Unit Kabel Tray (Vertikal) 400 x 100 mm TRU
Hot Dip Galvanized</t>
        </is>
      </c>
      <c r="D1310" s="3" t="inlineStr">
        <is>
          <t>unit</t>
        </is>
      </c>
      <c r="E1310" s="4" t="n">
        <v>499020</v>
      </c>
    </row>
    <row r="1311">
      <c r="A1311" s="3" t="n">
        <v>1309</v>
      </c>
      <c r="B1311" s="3" t="inlineStr">
        <is>
          <t>5.1.1.12.105</t>
        </is>
      </c>
      <c r="C1311" s="3" t="inlineStr">
        <is>
          <t>Pemasangan 1 Unit Kabel Tray (Vertikal) 400 x 100 mm TRU
OCP</t>
        </is>
      </c>
      <c r="D1311" s="3" t="inlineStr">
        <is>
          <t>unit</t>
        </is>
      </c>
      <c r="E1311" s="4" t="n">
        <v>512220</v>
      </c>
    </row>
    <row r="1312">
      <c r="A1312" s="3" t="n">
        <v>1310</v>
      </c>
      <c r="B1312" s="3" t="inlineStr">
        <is>
          <t>5.1.1.12.106</t>
        </is>
      </c>
      <c r="C1312" s="3" t="inlineStr">
        <is>
          <t>Pemasangan 1 Unit Kabel Tray (Vertikal) 400 x 100 mm TRC
Powder Coating</t>
        </is>
      </c>
      <c r="D1312" s="3" t="inlineStr">
        <is>
          <t>unit</t>
        </is>
      </c>
      <c r="E1312" s="4" t="n">
        <v>525420</v>
      </c>
    </row>
    <row r="1313">
      <c r="A1313" s="3" t="n">
        <v>1311</v>
      </c>
      <c r="B1313" s="3" t="inlineStr">
        <is>
          <t>5.1.1.12.107</t>
        </is>
      </c>
      <c r="C1313" s="3" t="inlineStr">
        <is>
          <t>Pemasangan 1 Unit Kabel Tray (Vertikal) 400 x 100 mm TRC
Hot Dip Galvanized</t>
        </is>
      </c>
      <c r="D1313" s="3" t="inlineStr">
        <is>
          <t>unit</t>
        </is>
      </c>
      <c r="E1313" s="4" t="n">
        <v>538620</v>
      </c>
    </row>
    <row r="1314">
      <c r="A1314" s="3" t="n">
        <v>1312</v>
      </c>
      <c r="B1314" s="3" t="inlineStr">
        <is>
          <t>5.1.1.12.108</t>
        </is>
      </c>
      <c r="C1314" s="3" t="inlineStr">
        <is>
          <t>Pemasangan 1 Unit Kabel Tray (Vertikal) 400 x 100 mm TRC
OCP</t>
        </is>
      </c>
      <c r="D1314" s="3" t="inlineStr">
        <is>
          <t>unit</t>
        </is>
      </c>
      <c r="E1314" s="4" t="n">
        <v>551820</v>
      </c>
    </row>
    <row r="1315">
      <c r="A1315" s="3" t="n">
        <v>1313</v>
      </c>
      <c r="B1315" s="3" t="inlineStr">
        <is>
          <t>5.1.1.12.109</t>
        </is>
      </c>
      <c r="C1315" s="3" t="inlineStr">
        <is>
          <t>Pemasangan 1 Unit Kabel Tray (Vertikal) 300 x 100 mm TRU
Hot Dip Galvanized</t>
        </is>
      </c>
      <c r="D1315" s="3" t="inlineStr">
        <is>
          <t>unit</t>
        </is>
      </c>
      <c r="E1315" s="4" t="n">
        <v>499020</v>
      </c>
    </row>
    <row r="1316">
      <c r="A1316" s="3" t="n">
        <v>1314</v>
      </c>
      <c r="B1316" s="3" t="inlineStr">
        <is>
          <t>5.1.1.12.110</t>
        </is>
      </c>
      <c r="C1316" s="3" t="inlineStr">
        <is>
          <t>Pemasangan 1 Unit Kabel Tray (Vertikal) 300 x 100 mm TRU
OCP</t>
        </is>
      </c>
      <c r="D1316" s="3" t="inlineStr">
        <is>
          <t>unit</t>
        </is>
      </c>
      <c r="E1316" s="4" t="n">
        <v>512220</v>
      </c>
    </row>
    <row r="1317">
      <c r="A1317" s="3" t="n">
        <v>1315</v>
      </c>
      <c r="B1317" s="3" t="inlineStr">
        <is>
          <t>5.1.1.12.111</t>
        </is>
      </c>
      <c r="C1317" s="3" t="inlineStr">
        <is>
          <t>Pemasangan 1 Unit Kabel Tray (Vertikal) 300 x 100 mm TRC
Powder Coating</t>
        </is>
      </c>
      <c r="D1317" s="3" t="inlineStr">
        <is>
          <t>unit</t>
        </is>
      </c>
      <c r="E1317" s="4" t="n">
        <v>525420</v>
      </c>
    </row>
    <row r="1318">
      <c r="A1318" s="3" t="n">
        <v>1316</v>
      </c>
      <c r="B1318" s="3" t="inlineStr">
        <is>
          <t>5.1.1.12.112</t>
        </is>
      </c>
      <c r="C1318" s="3" t="inlineStr">
        <is>
          <t>Pemasangan 1 Unit Kabel Tray (Vertikal) 300 x 100 mm TRC
Hot Dip Galvanized</t>
        </is>
      </c>
      <c r="D1318" s="3" t="inlineStr">
        <is>
          <t>unit</t>
        </is>
      </c>
      <c r="E1318" s="4" t="n">
        <v>538620</v>
      </c>
    </row>
    <row r="1319">
      <c r="A1319" s="3" t="n">
        <v>1317</v>
      </c>
      <c r="B1319" s="3" t="inlineStr">
        <is>
          <t>5.1.1.12.113</t>
        </is>
      </c>
      <c r="C1319" s="3" t="inlineStr">
        <is>
          <t>Pemasangan 1 Unit Kabel Tray (Vertikal) 300 x 100 mm TRC
OCP</t>
        </is>
      </c>
      <c r="D1319" s="3" t="inlineStr">
        <is>
          <t>unit</t>
        </is>
      </c>
      <c r="E1319" s="4" t="n">
        <v>551820</v>
      </c>
    </row>
    <row r="1320">
      <c r="A1320" s="3" t="n">
        <v>1318</v>
      </c>
      <c r="B1320" s="3" t="inlineStr">
        <is>
          <t>5.1.1.12.114</t>
        </is>
      </c>
      <c r="C1320" s="3" t="inlineStr">
        <is>
          <t>Pemasangan 1 Unit Kabel Tray (Vertikal) 200 x 100 mm TRU
Hot Dip Galvanized</t>
        </is>
      </c>
      <c r="D1320" s="3" t="inlineStr">
        <is>
          <t>unit</t>
        </is>
      </c>
      <c r="E1320" s="4" t="n">
        <v>485820</v>
      </c>
    </row>
    <row r="1321">
      <c r="A1321" s="3" t="n">
        <v>1319</v>
      </c>
      <c r="B1321" s="3" t="inlineStr">
        <is>
          <t>5.1.1.12.115</t>
        </is>
      </c>
      <c r="C1321" s="3" t="inlineStr">
        <is>
          <t>Pemasangan 1 Unit Kabel Tray (Vertikal) 200 x 100 mm TRU
OCP</t>
        </is>
      </c>
      <c r="D1321" s="3" t="inlineStr">
        <is>
          <t>unit</t>
        </is>
      </c>
      <c r="E1321" s="4" t="n">
        <v>499020</v>
      </c>
    </row>
    <row r="1322">
      <c r="A1322" s="3" t="n">
        <v>1320</v>
      </c>
      <c r="B1322" s="3" t="inlineStr">
        <is>
          <t>5.1.1.12.116</t>
        </is>
      </c>
      <c r="C1322" s="3" t="inlineStr">
        <is>
          <t>Pemasangan 1 Unit Kabel Tray (Vertikal) 200 x 100 mm TRC
Powder Coating</t>
        </is>
      </c>
      <c r="D1322" s="3" t="inlineStr">
        <is>
          <t>unit</t>
        </is>
      </c>
      <c r="E1322" s="4" t="n">
        <v>512220</v>
      </c>
    </row>
    <row r="1323">
      <c r="A1323" s="3" t="n">
        <v>1321</v>
      </c>
      <c r="B1323" s="3" t="inlineStr">
        <is>
          <t>5.1.1.12.117</t>
        </is>
      </c>
      <c r="C1323" s="3" t="inlineStr">
        <is>
          <t>Pemasangan 1 Unit Kabel Tray (Vertikal) 200 x 100 mm TRC
Hot Dip Galvanized</t>
        </is>
      </c>
      <c r="D1323" s="3" t="inlineStr">
        <is>
          <t>unit</t>
        </is>
      </c>
      <c r="E1323" s="4" t="n">
        <v>525420</v>
      </c>
    </row>
    <row r="1324">
      <c r="A1324" s="3" t="n">
        <v>1322</v>
      </c>
      <c r="B1324" s="3" t="inlineStr">
        <is>
          <t>5.1.1.12.118</t>
        </is>
      </c>
      <c r="C1324" s="3" t="inlineStr">
        <is>
          <t>Pemasangan 1 Unit Kabel Tray (Vertikal) 200 x 100 mm TRC
OCP</t>
        </is>
      </c>
      <c r="D1324" s="3" t="inlineStr">
        <is>
          <t>unit</t>
        </is>
      </c>
      <c r="E1324" s="4" t="n">
        <v>538620</v>
      </c>
    </row>
    <row r="1325">
      <c r="A1325" s="3" t="n">
        <v>1323</v>
      </c>
      <c r="B1325" s="3" t="inlineStr">
        <is>
          <t>5.1.1.12.119</t>
        </is>
      </c>
      <c r="C1325" s="3" t="inlineStr">
        <is>
          <t>Pemasangan 1 Unit Kabel Tray (Vertikal) 150 x 100 mm TRU
Powder Coating</t>
        </is>
      </c>
      <c r="D1325" s="3" t="inlineStr">
        <is>
          <t>unit</t>
        </is>
      </c>
      <c r="E1325" s="4" t="n">
        <v>485820</v>
      </c>
    </row>
    <row r="1326">
      <c r="A1326" s="3" t="n">
        <v>1324</v>
      </c>
      <c r="B1326" s="3" t="inlineStr">
        <is>
          <t>5.1.1.12.120</t>
        </is>
      </c>
      <c r="C1326" s="3" t="inlineStr">
        <is>
          <t>Pemasangan 1 Unit Kabel Tray (Vertikal) 150 x 100 mm TRU
Hot Dip Galvanized</t>
        </is>
      </c>
      <c r="D1326" s="3" t="inlineStr">
        <is>
          <t>unit</t>
        </is>
      </c>
      <c r="E1326" s="4" t="n">
        <v>499020</v>
      </c>
    </row>
    <row r="1327">
      <c r="A1327" s="3" t="n">
        <v>1325</v>
      </c>
      <c r="B1327" s="3" t="inlineStr">
        <is>
          <t>5.1.1.12.121</t>
        </is>
      </c>
      <c r="C1327" s="3" t="inlineStr">
        <is>
          <t>Pemasangan 1 Unit Kabel Tray (Vertikal) 150 x 100 mm TRU
OCP</t>
        </is>
      </c>
      <c r="D1327" s="3" t="inlineStr">
        <is>
          <t>unit</t>
        </is>
      </c>
      <c r="E1327" s="4" t="n">
        <v>512220</v>
      </c>
    </row>
    <row r="1328">
      <c r="A1328" s="3" t="n">
        <v>1326</v>
      </c>
      <c r="B1328" s="3" t="inlineStr">
        <is>
          <t>5.1.1.12.122</t>
        </is>
      </c>
      <c r="C1328" s="3" t="inlineStr">
        <is>
          <t>Pemasangan 1 Unit Kabel Tray (Vertikal) 150 x 100 mm TRC
Powder Coating</t>
        </is>
      </c>
      <c r="D1328" s="3" t="inlineStr">
        <is>
          <t>unit</t>
        </is>
      </c>
      <c r="E1328" s="4" t="n">
        <v>525420</v>
      </c>
    </row>
    <row r="1329">
      <c r="A1329" s="3" t="n">
        <v>1327</v>
      </c>
      <c r="B1329" s="3" t="inlineStr">
        <is>
          <t>5.1.1.12.123</t>
        </is>
      </c>
      <c r="C1329" s="3" t="inlineStr">
        <is>
          <t>Pemasangan 1 Unit Kabel Tray (Vertikal) 150 x 100 mm TRC
Hot Dip Galvanized</t>
        </is>
      </c>
      <c r="D1329" s="3" t="inlineStr">
        <is>
          <t>unit</t>
        </is>
      </c>
      <c r="E1329" s="4" t="n">
        <v>538620</v>
      </c>
    </row>
    <row r="1330">
      <c r="A1330" s="3" t="n">
        <v>1328</v>
      </c>
      <c r="B1330" s="3" t="inlineStr">
        <is>
          <t>5.1.1.12.124</t>
        </is>
      </c>
      <c r="C1330" s="3" t="inlineStr">
        <is>
          <t>Pemasangan 1 Unit Kabel Tray (Vertikal) 150 x 100 mm TRC
OCP</t>
        </is>
      </c>
      <c r="D1330" s="3" t="inlineStr">
        <is>
          <t>unit</t>
        </is>
      </c>
      <c r="E1330" s="4" t="n">
        <v>551820</v>
      </c>
    </row>
    <row r="1331">
      <c r="A1331" s="3" t="n">
        <v>1329</v>
      </c>
      <c r="B1331" s="3" t="inlineStr">
        <is>
          <t>5.1.1.13.1</t>
        </is>
      </c>
      <c r="C1331" s="3" t="inlineStr">
        <is>
          <t>Pemasangan 1 m' N2XSYGBY 3 x 120 mm²</t>
        </is>
      </c>
      <c r="D1331" s="3" t="inlineStr">
        <is>
          <t>unit</t>
        </is>
      </c>
      <c r="E1331" s="4" t="n">
        <v>2353516</v>
      </c>
    </row>
    <row r="1332">
      <c r="A1332" s="3" t="n">
        <v>1330</v>
      </c>
      <c r="B1332" s="3" t="inlineStr">
        <is>
          <t>5.1.2.1</t>
        </is>
      </c>
      <c r="C1332" s="3" t="inlineStr">
        <is>
          <t>Pemasangan 1 Unit Panel Utama Tegangan Menengah (PUTM)</t>
        </is>
      </c>
      <c r="D1332" s="3" t="inlineStr">
        <is>
          <t>unit</t>
        </is>
      </c>
      <c r="E1332" s="4" t="n">
        <v>4987933</v>
      </c>
    </row>
    <row r="1333">
      <c r="A1333" s="3" t="n">
        <v>1331</v>
      </c>
      <c r="B1333" s="3" t="inlineStr">
        <is>
          <t>5.1.2.2</t>
        </is>
      </c>
      <c r="C1333" s="3" t="inlineStr">
        <is>
          <t>Pemasangan 1 Unit Panel Utama Tegangan Redah (PUTR) per Kubikal</t>
        </is>
      </c>
      <c r="D1333" s="3" t="inlineStr">
        <is>
          <t>unit</t>
        </is>
      </c>
      <c r="E1333" s="4" t="n">
        <v>3052709</v>
      </c>
    </row>
    <row r="1334">
      <c r="A1334" s="3" t="n">
        <v>1332</v>
      </c>
      <c r="B1334" s="3" t="inlineStr">
        <is>
          <t>5.1.2.3</t>
        </is>
      </c>
      <c r="C1334" s="3" t="inlineStr">
        <is>
          <t>Pemasangan 1 Unit Main Distribution Panel (MDP) Floor Standing</t>
        </is>
      </c>
      <c r="D1334" s="3" t="inlineStr">
        <is>
          <t>unit</t>
        </is>
      </c>
      <c r="E1334" s="4" t="n">
        <v>5511044</v>
      </c>
    </row>
    <row r="1335">
      <c r="A1335" s="3" t="n">
        <v>1333</v>
      </c>
      <c r="B1335" s="3" t="inlineStr">
        <is>
          <t>5.1.2.4</t>
        </is>
      </c>
      <c r="C1335" s="3" t="inlineStr">
        <is>
          <t>Pemasangan 1 Unit Main Distribution Panel (MDP) Wall Mounted</t>
        </is>
      </c>
      <c r="D1335" s="3" t="inlineStr">
        <is>
          <t>unit</t>
        </is>
      </c>
      <c r="E1335" s="4" t="n">
        <v>5880913</v>
      </c>
    </row>
    <row r="1336">
      <c r="A1336" s="3" t="n">
        <v>1334</v>
      </c>
      <c r="B1336" s="3" t="inlineStr">
        <is>
          <t>5.1.2.5</t>
        </is>
      </c>
      <c r="C1336" s="3" t="inlineStr">
        <is>
          <t>Pemasangan 1 Unit Sub Distribution Panel (SDP) Floor Standig</t>
        </is>
      </c>
      <c r="D1336" s="3" t="inlineStr">
        <is>
          <t>unit</t>
        </is>
      </c>
      <c r="E1336" s="4" t="n">
        <v>4302831</v>
      </c>
    </row>
    <row r="1337">
      <c r="A1337" s="3" t="n">
        <v>1335</v>
      </c>
      <c r="B1337" s="3" t="inlineStr">
        <is>
          <t>5.1.2.6</t>
        </is>
      </c>
      <c r="C1337" s="3" t="inlineStr">
        <is>
          <t>Pemasangan 1 Unit Sub Distribution Panel (SDP) Wall Maunted</t>
        </is>
      </c>
      <c r="D1337" s="3" t="inlineStr">
        <is>
          <t>unit</t>
        </is>
      </c>
      <c r="E1337" s="4" t="n">
        <v>4006777</v>
      </c>
    </row>
    <row r="1338">
      <c r="A1338" s="3" t="n">
        <v>1336</v>
      </c>
      <c r="B1338" s="3" t="inlineStr">
        <is>
          <t>5.1.2.7</t>
        </is>
      </c>
      <c r="C1338" s="3" t="inlineStr">
        <is>
          <t>Pemasangan 1 Unit Panel Lantai Wall Mounted (800x 600 x200 mm)</t>
        </is>
      </c>
      <c r="D1338" s="3" t="inlineStr">
        <is>
          <t>unit</t>
        </is>
      </c>
      <c r="E1338" s="4" t="n">
        <v>3783609</v>
      </c>
    </row>
    <row r="1339">
      <c r="A1339" s="3" t="n">
        <v>1337</v>
      </c>
      <c r="B1339" s="3" t="inlineStr">
        <is>
          <t>5.1.2.8</t>
        </is>
      </c>
      <c r="C1339" s="3" t="inlineStr">
        <is>
          <t>Pemasangan 1 Unit Panel Lantai Wall Mounted (600x 400 x200 mm)</t>
        </is>
      </c>
      <c r="D1339" s="3" t="inlineStr">
        <is>
          <t>unit</t>
        </is>
      </c>
      <c r="E1339" s="4" t="n">
        <v>3536346</v>
      </c>
    </row>
    <row r="1340">
      <c r="A1340" s="3" t="n">
        <v>1338</v>
      </c>
      <c r="B1340" s="3" t="inlineStr">
        <is>
          <t>5.1.2.9</t>
        </is>
      </c>
      <c r="C1340" s="3" t="inlineStr">
        <is>
          <t>Pemasangan 1 Unit Panel kWh Meter</t>
        </is>
      </c>
      <c r="D1340" s="3" t="inlineStr">
        <is>
          <t>unit</t>
        </is>
      </c>
      <c r="E1340" s="4" t="n">
        <v>3202831</v>
      </c>
    </row>
    <row r="1341">
      <c r="A1341" s="3" t="n">
        <v>1339</v>
      </c>
      <c r="B1341" s="3" t="inlineStr">
        <is>
          <t>5.1.2.10</t>
        </is>
      </c>
      <c r="C1341" s="3" t="inlineStr">
        <is>
          <t>Pemasangan 1 Unit Panel Penerang Luar Outdoor</t>
        </is>
      </c>
      <c r="D1341" s="3" t="inlineStr">
        <is>
          <t>unit</t>
        </is>
      </c>
      <c r="E1341" s="4" t="n">
        <v>4043479</v>
      </c>
    </row>
    <row r="1342">
      <c r="A1342" s="3" t="n">
        <v>1340</v>
      </c>
      <c r="B1342" s="3" t="inlineStr">
        <is>
          <t>5.1.2.11</t>
        </is>
      </c>
      <c r="C1342" s="3" t="inlineStr">
        <is>
          <t>Pemasangan 1 Unit Panel Kontrol (Pompa Transfer, Pompa Kolam Renang,Water Treatment Plat (WTP), Instalasi Pengelolaan Air Limbah ( IPAL), dan Power Lift)</t>
        </is>
      </c>
      <c r="D1342" s="3" t="inlineStr">
        <is>
          <t>unit</t>
        </is>
      </c>
      <c r="E1342" s="4" t="n">
        <v>6286346</v>
      </c>
    </row>
    <row r="1343">
      <c r="A1343" s="3" t="n">
        <v>1341</v>
      </c>
      <c r="B1343" s="3" t="inlineStr">
        <is>
          <t>5.1.2.16</t>
        </is>
      </c>
      <c r="C1343" s="3" t="inlineStr">
        <is>
          <t>Pemasangan 1 Unit Panel Power Gondola</t>
        </is>
      </c>
      <c r="D1343" s="3" t="inlineStr">
        <is>
          <t>unit</t>
        </is>
      </c>
      <c r="E1343" s="4" t="n">
        <v>6463479</v>
      </c>
    </row>
    <row r="1344">
      <c r="A1344" s="3" t="n">
        <v>1342</v>
      </c>
      <c r="B1344" s="3" t="inlineStr">
        <is>
          <t>5.1.2.17</t>
        </is>
      </c>
      <c r="C1344" s="3" t="inlineStr">
        <is>
          <t>Pemasangan 1 Unit Panel Power Elektronik</t>
        </is>
      </c>
      <c r="D1344" s="3" t="inlineStr">
        <is>
          <t>unit</t>
        </is>
      </c>
      <c r="E1344" s="4" t="n">
        <v>4113609</v>
      </c>
    </row>
    <row r="1345">
      <c r="A1345" s="3" t="n">
        <v>1343</v>
      </c>
      <c r="B1345" s="3" t="inlineStr">
        <is>
          <t>5.1.2.18</t>
        </is>
      </c>
      <c r="C1345" s="3" t="inlineStr">
        <is>
          <t>Pemasangan 1 Unit Panel Power AHU</t>
        </is>
      </c>
      <c r="D1345" s="3" t="inlineStr">
        <is>
          <t>unit</t>
        </is>
      </c>
      <c r="E1345" s="4" t="n">
        <v>5880913</v>
      </c>
    </row>
    <row r="1346">
      <c r="A1346" s="3" t="n">
        <v>1344</v>
      </c>
      <c r="B1346" s="3" t="inlineStr">
        <is>
          <t>5.1.2.19</t>
        </is>
      </c>
      <c r="C1346" s="3" t="inlineStr">
        <is>
          <t>Pemasangan 1 Unit Panel Power AC (VRF/DX System)</t>
        </is>
      </c>
      <c r="D1346" s="3" t="inlineStr">
        <is>
          <t>unit</t>
        </is>
      </c>
      <c r="E1346" s="4" t="n">
        <v>2246777</v>
      </c>
    </row>
    <row r="1347">
      <c r="A1347" s="3" t="n">
        <v>1345</v>
      </c>
      <c r="B1347" s="3" t="inlineStr">
        <is>
          <t>5.1.2.20</t>
        </is>
      </c>
      <c r="C1347" s="3" t="inlineStr">
        <is>
          <t>Pemasangan 1 Unit Panel Power Chiller</t>
        </is>
      </c>
      <c r="D1347" s="3" t="inlineStr">
        <is>
          <t>unit</t>
        </is>
      </c>
      <c r="E1347" s="4" t="n">
        <v>3208276</v>
      </c>
    </row>
    <row r="1348">
      <c r="A1348" s="3" t="n">
        <v>1346</v>
      </c>
      <c r="B1348" s="3" t="inlineStr">
        <is>
          <t>5.1.2.21</t>
        </is>
      </c>
      <c r="C1348" s="3" t="inlineStr">
        <is>
          <t>Pemasangan 1 Unit Panel Kontrol Power Chiller</t>
        </is>
      </c>
      <c r="D1348" s="3" t="inlineStr">
        <is>
          <t>unit</t>
        </is>
      </c>
      <c r="E1348" s="4" t="n">
        <v>3163699</v>
      </c>
    </row>
    <row r="1349">
      <c r="A1349" s="3" t="n">
        <v>1347</v>
      </c>
      <c r="B1349" s="3" t="inlineStr">
        <is>
          <t>5.1.2.22</t>
        </is>
      </c>
      <c r="C1349" s="3" t="inlineStr">
        <is>
          <t>Pemasangan 1 Unit Panel Kontrol Pompa Cooling Tower</t>
        </is>
      </c>
      <c r="D1349" s="3" t="inlineStr">
        <is>
          <t>unit</t>
        </is>
      </c>
      <c r="E1349" s="4" t="n">
        <v>2608177</v>
      </c>
    </row>
    <row r="1350">
      <c r="A1350" s="3" t="n">
        <v>1348</v>
      </c>
      <c r="B1350" s="3" t="inlineStr">
        <is>
          <t>5.1.2.23</t>
        </is>
      </c>
      <c r="C1350" s="3" t="inlineStr">
        <is>
          <t>Pemasangan 1 Unit Panel Kontrol Fan Presurisasi</t>
        </is>
      </c>
      <c r="D1350" s="3" t="inlineStr">
        <is>
          <t>unit</t>
        </is>
      </c>
      <c r="E1350" s="4" t="n">
        <v>2641672</v>
      </c>
    </row>
    <row r="1351">
      <c r="A1351" s="3" t="n">
        <v>1349</v>
      </c>
      <c r="B1351" s="3" t="inlineStr">
        <is>
          <t>5.1.2.24</t>
        </is>
      </c>
      <c r="C1351" s="3" t="inlineStr">
        <is>
          <t>Pemasangan 1 Unit MCB Box</t>
        </is>
      </c>
      <c r="D1351" s="3" t="inlineStr">
        <is>
          <t>unit</t>
        </is>
      </c>
      <c r="E1351" s="4" t="n">
        <v>553905</v>
      </c>
    </row>
    <row r="1352">
      <c r="A1352" s="3" t="n">
        <v>1350</v>
      </c>
      <c r="B1352" s="3" t="inlineStr">
        <is>
          <t>5.1.3.1</t>
        </is>
      </c>
      <c r="C1352" s="3" t="inlineStr">
        <is>
          <t>Pemasanga 1 Unit Genset Kap : 75 Kva Silent Type</t>
        </is>
      </c>
      <c r="D1352" s="3" t="inlineStr">
        <is>
          <t>unit</t>
        </is>
      </c>
      <c r="E1352" s="4" t="n">
        <v>312715672</v>
      </c>
    </row>
    <row r="1353">
      <c r="A1353" s="3" t="n">
        <v>1351</v>
      </c>
      <c r="B1353" s="3" t="inlineStr">
        <is>
          <t>5.1.3.2</t>
        </is>
      </c>
      <c r="C1353" s="3" t="inlineStr">
        <is>
          <t>Pemasanga 1 Unit Genset Kap : 100 Kva Silent Type</t>
        </is>
      </c>
      <c r="D1353" s="3" t="inlineStr">
        <is>
          <t>unit</t>
        </is>
      </c>
      <c r="E1353" s="4" t="n">
        <v>430836422</v>
      </c>
    </row>
    <row r="1354">
      <c r="A1354" s="3" t="n">
        <v>1352</v>
      </c>
      <c r="B1354" s="3" t="inlineStr">
        <is>
          <t>5.1.3.3</t>
        </is>
      </c>
      <c r="C1354" s="3" t="inlineStr">
        <is>
          <t>Pemasanga 1 Unit Genset Kap : 400 Kva Silent Type</t>
        </is>
      </c>
      <c r="D1354" s="3" t="inlineStr">
        <is>
          <t>unit</t>
        </is>
      </c>
      <c r="E1354" s="4" t="n">
        <v>586793707</v>
      </c>
    </row>
    <row r="1355">
      <c r="A1355" s="3" t="n">
        <v>1353</v>
      </c>
      <c r="B1355" s="3" t="inlineStr">
        <is>
          <t>5.1.3.4</t>
        </is>
      </c>
      <c r="C1355" s="3" t="inlineStr">
        <is>
          <t>Pemasanga 1 Unit UPS KVA/3P Type  Online Back Up Battery 15 menit</t>
        </is>
      </c>
      <c r="D1355" s="3" t="inlineStr">
        <is>
          <t>unit</t>
        </is>
      </c>
      <c r="E1355" s="4" t="n">
        <v>20681677</v>
      </c>
    </row>
    <row r="1356">
      <c r="A1356" s="3" t="n">
        <v>1354</v>
      </c>
      <c r="B1356" s="3" t="inlineStr">
        <is>
          <t>5.1.3.5</t>
        </is>
      </c>
      <c r="C1356" s="3" t="inlineStr">
        <is>
          <t>Pemasanga 1 Unit Tangki Solar Harian 500 Liter</t>
        </is>
      </c>
      <c r="D1356" s="3" t="inlineStr">
        <is>
          <t>unit</t>
        </is>
      </c>
      <c r="E1356" s="4" t="n">
        <v>5347677</v>
      </c>
    </row>
    <row r="1357">
      <c r="A1357" s="3" t="n">
        <v>1355</v>
      </c>
      <c r="B1357" s="3" t="inlineStr">
        <is>
          <t>5.1.3.6</t>
        </is>
      </c>
      <c r="C1357" s="3" t="inlineStr">
        <is>
          <t>Pemasanga 1 Unit Hand Pump Solar</t>
        </is>
      </c>
      <c r="D1357" s="3" t="inlineStr">
        <is>
          <t>unit</t>
        </is>
      </c>
      <c r="E1357" s="4" t="n">
        <v>4867725</v>
      </c>
    </row>
    <row r="1358">
      <c r="A1358" s="3" t="n">
        <v>1356</v>
      </c>
      <c r="B1358" s="3" t="inlineStr">
        <is>
          <t>5.1.3.7</t>
        </is>
      </c>
      <c r="C1358" s="3" t="inlineStr">
        <is>
          <t>Pemasanga 1 Unit Genset Kap : 35 Kva Silent Type</t>
        </is>
      </c>
      <c r="D1358" s="3" t="inlineStr">
        <is>
          <t>unit</t>
        </is>
      </c>
      <c r="E1358" s="4" t="n">
        <v>198991468</v>
      </c>
    </row>
    <row r="1359">
      <c r="A1359" s="3" t="n">
        <v>1357</v>
      </c>
      <c r="B1359" s="3" t="inlineStr">
        <is>
          <t>5.1.3.8</t>
        </is>
      </c>
      <c r="C1359" s="3" t="inlineStr">
        <is>
          <t>Pemasanga 1 Unit Genset Kap : 700 Kva Silent Type</t>
        </is>
      </c>
      <c r="D1359" s="3" t="inlineStr">
        <is>
          <t>unit</t>
        </is>
      </c>
      <c r="E1359" s="4" t="n">
        <v>2046302775</v>
      </c>
    </row>
    <row r="1360">
      <c r="A1360" s="3" t="n">
        <v>1358</v>
      </c>
      <c r="B1360" s="3" t="inlineStr">
        <is>
          <t>5.1.3.9</t>
        </is>
      </c>
      <c r="C1360" s="3" t="inlineStr">
        <is>
          <t>Pemasanga 1 Unit Genset Kap : 1000 Kva Silent Type</t>
        </is>
      </c>
      <c r="D1360" s="3" t="inlineStr">
        <is>
          <t>unit</t>
        </is>
      </c>
      <c r="E1360" s="4" t="n">
        <v>2293091075</v>
      </c>
    </row>
    <row r="1361">
      <c r="A1361" s="3" t="n">
        <v>1359</v>
      </c>
      <c r="B1361" s="3" t="inlineStr">
        <is>
          <t>5.1.4.1</t>
        </is>
      </c>
      <c r="C1361" s="3" t="inlineStr">
        <is>
          <t>Pemasanga 1 Unit Trafo Kap : 630 Kva : Synthetic Oil Ester (Termasuk Terminasi Instalasi Trafo)</t>
        </is>
      </c>
      <c r="D1361" s="3" t="inlineStr">
        <is>
          <t>unit</t>
        </is>
      </c>
      <c r="E1361" s="4" t="n">
        <v>303601754</v>
      </c>
    </row>
    <row r="1362">
      <c r="A1362" s="3" t="n">
        <v>1360</v>
      </c>
      <c r="B1362" s="3" t="inlineStr">
        <is>
          <t>5.1.4.2</t>
        </is>
      </c>
      <c r="C1362" s="3" t="inlineStr">
        <is>
          <t>Pemasangan 1 Unit Trafo Kap : 1.250 kVA ; Synthetic Oil Ester (Termasuk Terminasi Instalasi Trafo)</t>
        </is>
      </c>
      <c r="D1362" s="3" t="inlineStr">
        <is>
          <t>unit</t>
        </is>
      </c>
      <c r="E1362" s="4" t="n">
        <v>607203377</v>
      </c>
    </row>
    <row r="1363">
      <c r="A1363" s="3" t="n">
        <v>1361</v>
      </c>
      <c r="B1363" s="3" t="inlineStr">
        <is>
          <t>5.1.5.1</t>
        </is>
      </c>
      <c r="C1363" s="3" t="inlineStr">
        <is>
          <t>Pemasanga 1 Unit Saklar Tunggal</t>
        </is>
      </c>
      <c r="D1363" s="3" t="inlineStr">
        <is>
          <t>unit</t>
        </is>
      </c>
      <c r="E1363" s="4" t="n">
        <v>42146</v>
      </c>
    </row>
    <row r="1364">
      <c r="A1364" s="3" t="n">
        <v>1362</v>
      </c>
      <c r="B1364" s="3" t="inlineStr">
        <is>
          <t>5.1.5.2</t>
        </is>
      </c>
      <c r="C1364" s="3" t="inlineStr">
        <is>
          <t>Pemasanga 1 Unit Saklar Ganda</t>
        </is>
      </c>
      <c r="D1364" s="3" t="inlineStr">
        <is>
          <t>unit</t>
        </is>
      </c>
      <c r="E1364" s="4" t="n">
        <v>53036</v>
      </c>
    </row>
    <row r="1365">
      <c r="A1365" s="3" t="n">
        <v>1363</v>
      </c>
      <c r="B1365" s="3" t="inlineStr">
        <is>
          <t>5.1.5.3</t>
        </is>
      </c>
      <c r="C1365" s="3" t="inlineStr">
        <is>
          <t>Pemasanga 1 Unit Saklar Triple</t>
        </is>
      </c>
      <c r="D1365" s="3" t="inlineStr">
        <is>
          <t>unit</t>
        </is>
      </c>
      <c r="E1365" s="4" t="n">
        <v>105066</v>
      </c>
    </row>
    <row r="1366">
      <c r="A1366" s="3" t="n">
        <v>1364</v>
      </c>
      <c r="B1366" s="3" t="inlineStr">
        <is>
          <t>5.1.5.4</t>
        </is>
      </c>
      <c r="C1366" s="3" t="inlineStr">
        <is>
          <t>Pemasanga 1 Unit Grid Switch 2 x 2</t>
        </is>
      </c>
      <c r="D1366" s="3" t="inlineStr">
        <is>
          <t>unit</t>
        </is>
      </c>
      <c r="E1366" s="4" t="n">
        <v>161628</v>
      </c>
    </row>
    <row r="1367">
      <c r="A1367" s="3" t="n">
        <v>1365</v>
      </c>
      <c r="B1367" s="3" t="inlineStr">
        <is>
          <t>5.1.5.5</t>
        </is>
      </c>
      <c r="C1367" s="3" t="inlineStr">
        <is>
          <t>Pemasanga 1 Unit Grid Switch 2 x 12  dan 14</t>
        </is>
      </c>
      <c r="D1367" s="3" t="inlineStr">
        <is>
          <t>unit</t>
        </is>
      </c>
      <c r="E1367" s="4" t="n">
        <v>191768</v>
      </c>
    </row>
    <row r="1368">
      <c r="A1368" s="3" t="n">
        <v>1366</v>
      </c>
      <c r="B1368" s="3" t="inlineStr">
        <is>
          <t>5.1.5.7</t>
        </is>
      </c>
      <c r="C1368" s="3" t="inlineStr">
        <is>
          <t>Pemasanga 1 Unit Grid Switch 2 x 24</t>
        </is>
      </c>
      <c r="D1368" s="3" t="inlineStr">
        <is>
          <t>unit</t>
        </is>
      </c>
      <c r="E1368" s="4" t="n">
        <v>222909</v>
      </c>
    </row>
    <row r="1369">
      <c r="A1369" s="3" t="n">
        <v>1367</v>
      </c>
      <c r="B1369" s="3" t="inlineStr">
        <is>
          <t>5.1.5.8</t>
        </is>
      </c>
      <c r="C1369" s="3" t="inlineStr">
        <is>
          <t>Pemasanga 1 Unit Grid Switch 4 x 2 Gang</t>
        </is>
      </c>
      <c r="D1369" s="3" t="inlineStr">
        <is>
          <t>unit</t>
        </is>
      </c>
      <c r="E1369" s="4" t="n">
        <v>278888</v>
      </c>
    </row>
    <row r="1370">
      <c r="A1370" s="3" t="n">
        <v>1368</v>
      </c>
      <c r="B1370" s="3" t="inlineStr">
        <is>
          <t>5.1.5.9</t>
        </is>
      </c>
      <c r="C1370" s="3" t="inlineStr">
        <is>
          <t>Pemasangan 1 Unit Stop Kontak 1 P, 10 A, 200 W</t>
        </is>
      </c>
      <c r="D1370" s="3" t="inlineStr">
        <is>
          <t>unit</t>
        </is>
      </c>
      <c r="E1370" s="4" t="n">
        <v>65318</v>
      </c>
    </row>
    <row r="1371">
      <c r="A1371" s="3" t="n">
        <v>1369</v>
      </c>
      <c r="B1371" s="3" t="inlineStr">
        <is>
          <t>5.1.5.10</t>
        </is>
      </c>
      <c r="C1371" s="3" t="inlineStr">
        <is>
          <t>Pemasangan 1 Unit Stop Kontak 1 P, 10 A, 200 W + cover</t>
        </is>
      </c>
      <c r="D1371" s="3" t="inlineStr">
        <is>
          <t>unit</t>
        </is>
      </c>
      <c r="E1371" s="4" t="n">
        <v>83468</v>
      </c>
    </row>
    <row r="1372">
      <c r="A1372" s="3" t="n">
        <v>1370</v>
      </c>
      <c r="B1372" s="3" t="inlineStr">
        <is>
          <t>5.1.5.11</t>
        </is>
      </c>
      <c r="C1372" s="3" t="inlineStr">
        <is>
          <t>Pemasangan 1 Unit Stop Kontak Hand Dryer 1 Ph 1.000 W</t>
        </is>
      </c>
      <c r="D1372" s="3" t="inlineStr">
        <is>
          <t>unit</t>
        </is>
      </c>
      <c r="E1372" s="4" t="n">
        <v>107668</v>
      </c>
    </row>
    <row r="1373">
      <c r="A1373" s="3" t="n">
        <v>1371</v>
      </c>
      <c r="B1373" s="3" t="inlineStr">
        <is>
          <t>5.1.5.12</t>
        </is>
      </c>
      <c r="C1373" s="3" t="inlineStr">
        <is>
          <t>Pemasanga 1 Unit Stop Kontak AC</t>
        </is>
      </c>
      <c r="D1373" s="3" t="inlineStr">
        <is>
          <t>unit</t>
        </is>
      </c>
      <c r="E1373" s="4" t="n">
        <v>98142</v>
      </c>
    </row>
    <row r="1374">
      <c r="A1374" s="3" t="n">
        <v>1372</v>
      </c>
      <c r="B1374" s="3" t="inlineStr">
        <is>
          <t>5.1.5.13</t>
        </is>
      </c>
      <c r="C1374" s="3" t="inlineStr">
        <is>
          <t>Pemasanga 1 titik Instalasi Stop Kontak</t>
        </is>
      </c>
      <c r="D1374" s="3" t="inlineStr">
        <is>
          <t>unit</t>
        </is>
      </c>
      <c r="E1374" s="4" t="n">
        <v>502700</v>
      </c>
    </row>
    <row r="1375">
      <c r="A1375" s="3" t="n">
        <v>1373</v>
      </c>
      <c r="B1375" s="3" t="inlineStr">
        <is>
          <t>5.1.5.14</t>
        </is>
      </c>
      <c r="C1375" s="3" t="inlineStr">
        <is>
          <t>Pemasanga 1 titik Instalasi Stop Kontak (Kabel LSOH)</t>
        </is>
      </c>
      <c r="D1375" s="3" t="inlineStr">
        <is>
          <t>unit</t>
        </is>
      </c>
      <c r="E1375" s="4" t="n">
        <v>502700</v>
      </c>
    </row>
    <row r="1376">
      <c r="A1376" s="3" t="n">
        <v>1374</v>
      </c>
      <c r="B1376" s="3" t="inlineStr">
        <is>
          <t>5.1.5.15</t>
        </is>
      </c>
      <c r="C1376" s="3" t="inlineStr">
        <is>
          <t>Pemasangan 1 Unit Stop Kontak 1 P, 16 A, 200 W</t>
        </is>
      </c>
      <c r="D1376" s="3" t="inlineStr">
        <is>
          <t>unit</t>
        </is>
      </c>
      <c r="E1376" s="4" t="n">
        <v>89518</v>
      </c>
    </row>
    <row r="1377">
      <c r="A1377" s="3" t="n">
        <v>1375</v>
      </c>
      <c r="B1377" s="3" t="inlineStr">
        <is>
          <t>5.1.5.16</t>
        </is>
      </c>
      <c r="C1377" s="3" t="inlineStr">
        <is>
          <t>Pemasangan 1 Unit Stop Kontak 1 P, 16 A, 200 W + cover</t>
        </is>
      </c>
      <c r="D1377" s="3" t="inlineStr">
        <is>
          <t>unit</t>
        </is>
      </c>
      <c r="E1377" s="4" t="n">
        <v>107668</v>
      </c>
    </row>
    <row r="1378">
      <c r="A1378" s="3" t="n">
        <v>1376</v>
      </c>
      <c r="B1378" s="3" t="inlineStr">
        <is>
          <t>5.1.5.17</t>
        </is>
      </c>
      <c r="C1378" s="3" t="inlineStr">
        <is>
          <t>Pemasangan 1 Unit Stop Kontak Lantai</t>
        </is>
      </c>
      <c r="D1378" s="3" t="inlineStr">
        <is>
          <t>unit</t>
        </is>
      </c>
      <c r="E1378" s="4" t="n">
        <v>388564</v>
      </c>
    </row>
    <row r="1379">
      <c r="A1379" s="3" t="n">
        <v>1377</v>
      </c>
      <c r="B1379" s="3" t="inlineStr">
        <is>
          <t>5.1.6.1</t>
        </is>
      </c>
      <c r="C1379" s="3" t="inlineStr">
        <is>
          <t>Pemasangan 1 unit kWh Meter Token 1 Phase</t>
        </is>
      </c>
      <c r="D1379" s="3" t="inlineStr">
        <is>
          <t>unit</t>
        </is>
      </c>
      <c r="E1379" s="4" t="n">
        <v>696201</v>
      </c>
    </row>
    <row r="1380">
      <c r="A1380" s="3" t="n">
        <v>1378</v>
      </c>
      <c r="B1380" s="3" t="inlineStr">
        <is>
          <t>5.1.6.2</t>
        </is>
      </c>
      <c r="C1380" s="3" t="inlineStr">
        <is>
          <t>Pemasangan 1 unit kWh Meter Token 3 Phase</t>
        </is>
      </c>
      <c r="D1380" s="3" t="inlineStr">
        <is>
          <t>unit</t>
        </is>
      </c>
      <c r="E1380" s="4" t="n">
        <v>3705234</v>
      </c>
    </row>
    <row r="1381">
      <c r="A1381" s="3" t="n">
        <v>1379</v>
      </c>
      <c r="B1381" s="3" t="inlineStr">
        <is>
          <t>5.1.6.3</t>
        </is>
      </c>
      <c r="C1381" s="3" t="inlineStr">
        <is>
          <t>Pemasangan 1 unit Softwer Sistem Offile / online untuk kWh Meter Swakelola Prabayar</t>
        </is>
      </c>
      <c r="D1381" s="3" t="inlineStr">
        <is>
          <t>unit</t>
        </is>
      </c>
      <c r="E1381" s="4" t="n">
        <v>2577454</v>
      </c>
    </row>
    <row r="1382">
      <c r="A1382" s="3" t="n">
        <v>1380</v>
      </c>
      <c r="B1382" s="3" t="inlineStr">
        <is>
          <t>5.1.6.4</t>
        </is>
      </c>
      <c r="C1382" s="3" t="inlineStr">
        <is>
          <t>Pemasangan 1 Unit PC Server termasuk OS Windows Server, monitor, keyboard dan Mouse</t>
        </is>
      </c>
      <c r="D1382" s="3" t="inlineStr">
        <is>
          <t>unit</t>
        </is>
      </c>
      <c r="E1382" s="4" t="n">
        <v>39421954</v>
      </c>
    </row>
    <row r="1383">
      <c r="A1383" s="3" t="n">
        <v>1381</v>
      </c>
      <c r="B1383" s="3" t="inlineStr">
        <is>
          <t>5.1.8.1</t>
        </is>
      </c>
      <c r="C1383" s="3" t="inlineStr">
        <is>
          <t>Pemasangan 1 set pembumian sistem elektrikal dengan batang tembaga dia.5/8"</t>
        </is>
      </c>
      <c r="D1383" s="3" t="inlineStr">
        <is>
          <t>set</t>
        </is>
      </c>
      <c r="E1383" s="4" t="n">
        <v>14885706</v>
      </c>
    </row>
    <row r="1384">
      <c r="A1384" s="3" t="n">
        <v>1382</v>
      </c>
      <c r="B1384" s="3" t="inlineStr">
        <is>
          <t>5.1.8.2</t>
        </is>
      </c>
      <c r="C1384" s="3" t="inlineStr">
        <is>
          <t>Pemasangan 1 set pembumian sistem elektrikal dengan batang tembaga dia.3/4"</t>
        </is>
      </c>
      <c r="D1384" s="3" t="inlineStr">
        <is>
          <t>sey</t>
        </is>
      </c>
      <c r="E1384" s="4" t="n">
        <v>18390306</v>
      </c>
    </row>
    <row r="1385">
      <c r="A1385" s="3" t="n">
        <v>1383</v>
      </c>
      <c r="B1385" s="3" t="inlineStr">
        <is>
          <t>5.1.9.1</t>
        </is>
      </c>
      <c r="C1385" s="3" t="inlineStr">
        <is>
          <t>Pemasangan 1 m' Busduct 1.000A</t>
        </is>
      </c>
      <c r="D1385" s="3" t="inlineStr">
        <is>
          <t>sey</t>
        </is>
      </c>
      <c r="E1385" s="4" t="n">
        <v>3105487</v>
      </c>
    </row>
    <row r="1386">
      <c r="A1386" s="3" t="n">
        <v>1384</v>
      </c>
      <c r="B1386" s="3" t="inlineStr">
        <is>
          <t>5.1.9.2</t>
        </is>
      </c>
      <c r="C1386" s="3" t="inlineStr">
        <is>
          <t>Pemasangan 1 m' Busduct 2.000A</t>
        </is>
      </c>
      <c r="D1386" s="3" t="inlineStr">
        <is>
          <t>sey</t>
        </is>
      </c>
      <c r="E1386" s="4" t="n">
        <v>5305487</v>
      </c>
    </row>
    <row r="1387">
      <c r="A1387" s="3" t="n">
        <v>1385</v>
      </c>
      <c r="B1387" s="3" t="inlineStr">
        <is>
          <t>5.1.9.3</t>
        </is>
      </c>
      <c r="C1387" s="3" t="inlineStr">
        <is>
          <t>Pemasangan 1 m' Plug in Busway 1.000A</t>
        </is>
      </c>
      <c r="D1387" s="3" t="inlineStr">
        <is>
          <t>sey</t>
        </is>
      </c>
      <c r="E1387" s="4" t="n">
        <v>3655487</v>
      </c>
    </row>
    <row r="1388">
      <c r="A1388" s="3" t="n">
        <v>1386</v>
      </c>
      <c r="B1388" s="3" t="inlineStr">
        <is>
          <t>5.1.9.4</t>
        </is>
      </c>
      <c r="C1388" s="3" t="inlineStr">
        <is>
          <t>Pemasangan 1 m' Plug in Busway 2.000A</t>
        </is>
      </c>
      <c r="D1388" s="3" t="inlineStr">
        <is>
          <t>sey</t>
        </is>
      </c>
      <c r="E1388" s="4" t="n">
        <v>6405487</v>
      </c>
    </row>
    <row r="1389">
      <c r="A1389" s="3" t="n">
        <v>1387</v>
      </c>
      <c r="B1389" s="3" t="inlineStr">
        <is>
          <t>5.1.9.5</t>
        </is>
      </c>
      <c r="C1389" s="3" t="inlineStr">
        <is>
          <t>Pemasangan 1 unit Flange End 1.000A</t>
        </is>
      </c>
      <c r="D1389" s="3" t="inlineStr">
        <is>
          <t>sey</t>
        </is>
      </c>
      <c r="E1389" s="4" t="n">
        <v>5855487</v>
      </c>
    </row>
    <row r="1390">
      <c r="A1390" s="3" t="n">
        <v>1388</v>
      </c>
      <c r="B1390" s="3" t="inlineStr">
        <is>
          <t>5.1.9.6</t>
        </is>
      </c>
      <c r="C1390" s="3" t="inlineStr">
        <is>
          <t>Pemasangan 1 unit Flange End 2.000A</t>
        </is>
      </c>
      <c r="D1390" s="3" t="inlineStr">
        <is>
          <t>sey</t>
        </is>
      </c>
      <c r="E1390" s="4" t="n">
        <v>10805487</v>
      </c>
    </row>
    <row r="1391">
      <c r="A1391" s="3" t="n">
        <v>1389</v>
      </c>
      <c r="B1391" s="3" t="inlineStr">
        <is>
          <t>5.1.9.7</t>
        </is>
      </c>
      <c r="C1391" s="3" t="inlineStr">
        <is>
          <t>Pemasangan 1 unit Edgewise Elbow 1.000A</t>
        </is>
      </c>
      <c r="D1391" s="3" t="inlineStr">
        <is>
          <t>sey</t>
        </is>
      </c>
      <c r="E1391" s="4" t="n">
        <v>9705487</v>
      </c>
    </row>
    <row r="1392">
      <c r="A1392" s="3" t="n">
        <v>1390</v>
      </c>
      <c r="B1392" s="3" t="inlineStr">
        <is>
          <t>5.1.9.8</t>
        </is>
      </c>
      <c r="C1392" s="3" t="inlineStr">
        <is>
          <t>Pemasangan 1 unit Edgewise Elbow 2.000A</t>
        </is>
      </c>
      <c r="D1392" s="3" t="inlineStr">
        <is>
          <t>sey</t>
        </is>
      </c>
      <c r="E1392" s="4" t="n">
        <v>17955487</v>
      </c>
    </row>
    <row r="1393">
      <c r="A1393" s="3" t="n">
        <v>1391</v>
      </c>
      <c r="B1393" s="3" t="inlineStr">
        <is>
          <t>5.1.9.9</t>
        </is>
      </c>
      <c r="C1393" s="3" t="inlineStr">
        <is>
          <t>Pemasangan 1 unit End Closure 1.000A</t>
        </is>
      </c>
      <c r="D1393" s="3" t="inlineStr">
        <is>
          <t>sey</t>
        </is>
      </c>
      <c r="E1393" s="4" t="n">
        <v>5855487</v>
      </c>
    </row>
    <row r="1394">
      <c r="A1394" s="3" t="n">
        <v>1392</v>
      </c>
      <c r="B1394" s="3" t="inlineStr">
        <is>
          <t>5.1.9.10</t>
        </is>
      </c>
      <c r="C1394" s="3" t="inlineStr">
        <is>
          <t>Pemasangan 1 unit End Closure 2.000A</t>
        </is>
      </c>
      <c r="D1394" s="3" t="inlineStr">
        <is>
          <t>sey</t>
        </is>
      </c>
      <c r="E1394" s="4" t="n">
        <v>10255487</v>
      </c>
    </row>
    <row r="1395">
      <c r="A1395" s="3" t="n">
        <v>1393</v>
      </c>
      <c r="B1395" s="3" t="inlineStr">
        <is>
          <t>5.1.9.11</t>
        </is>
      </c>
      <c r="C1395" s="3" t="inlineStr">
        <is>
          <t>Pemasangan 1 unit Plug in Box (with MCCB 800A/50KA)</t>
        </is>
      </c>
      <c r="D1395" s="3" t="inlineStr">
        <is>
          <t>sey</t>
        </is>
      </c>
      <c r="E1395" s="4" t="n">
        <v>38968814</v>
      </c>
    </row>
    <row r="1396">
      <c r="A1396" s="3" t="n">
        <v>1394</v>
      </c>
      <c r="B1396" s="3" t="inlineStr">
        <is>
          <t>5.1.9.12</t>
        </is>
      </c>
      <c r="C1396" s="3" t="inlineStr">
        <is>
          <t>Pemasangan 1 unit Plug in Box (with MCCB 400A/50KA)</t>
        </is>
      </c>
      <c r="D1396" s="3" t="inlineStr">
        <is>
          <t>sey</t>
        </is>
      </c>
      <c r="E1396" s="4" t="n">
        <v>19024538</v>
      </c>
    </row>
    <row r="1397">
      <c r="A1397" s="3" t="n">
        <v>1395</v>
      </c>
      <c r="B1397" s="3" t="inlineStr">
        <is>
          <t>5.1.9.13</t>
        </is>
      </c>
      <c r="C1397" s="3" t="inlineStr">
        <is>
          <t>Pemasangan 1 unit Plug in Box (with MCCB 150A/36KA)</t>
        </is>
      </c>
      <c r="D1397" s="3" t="inlineStr">
        <is>
          <t>sey</t>
        </is>
      </c>
      <c r="E1397" s="4" t="n">
        <v>11324538</v>
      </c>
    </row>
    <row r="1398">
      <c r="A1398" s="3" t="n">
        <v>1396</v>
      </c>
      <c r="B1398" s="3" t="inlineStr">
        <is>
          <t>5.1.9.14</t>
        </is>
      </c>
      <c r="C1398" s="3" t="inlineStr">
        <is>
          <t>Pemasangan 1 unit Plug in Box (with MCCB 100A/36KA)</t>
        </is>
      </c>
      <c r="D1398" s="3" t="inlineStr">
        <is>
          <t>sey</t>
        </is>
      </c>
      <c r="E1398" s="4" t="n">
        <v>8430532</v>
      </c>
    </row>
    <row r="1399">
      <c r="A1399" s="3" t="n">
        <v>1397</v>
      </c>
      <c r="B1399" s="3" t="inlineStr">
        <is>
          <t>5.1.9.15</t>
        </is>
      </c>
      <c r="C1399" s="3" t="inlineStr">
        <is>
          <t>Pemasangan 1 unit Plug in Box (with MCCB 80A/36KA)</t>
        </is>
      </c>
      <c r="D1399" s="3" t="inlineStr">
        <is>
          <t>sey</t>
        </is>
      </c>
      <c r="E1399" s="4" t="n">
        <v>5680532</v>
      </c>
    </row>
    <row r="1400">
      <c r="A1400" s="3" t="n">
        <v>1398</v>
      </c>
      <c r="B1400" s="3" t="inlineStr">
        <is>
          <t>5.1.9.16</t>
        </is>
      </c>
      <c r="C1400" s="3" t="inlineStr">
        <is>
          <t>Pemasangan 1 unit Plug in Box (with MCCB 50A/36KA)</t>
        </is>
      </c>
      <c r="D1400" s="3" t="inlineStr">
        <is>
          <t>sey</t>
        </is>
      </c>
      <c r="E1400" s="4" t="n">
        <v>8430532</v>
      </c>
    </row>
    <row r="1401">
      <c r="A1401" s="3" t="n">
        <v>1399</v>
      </c>
      <c r="B1401" s="3" t="inlineStr">
        <is>
          <t>5.2.1</t>
        </is>
      </c>
      <c r="C1401" s="3" t="inlineStr">
        <is>
          <t>Pemasangan 1 unit Air Terminal @1.000 mm</t>
        </is>
      </c>
      <c r="D1401" s="3" t="inlineStr">
        <is>
          <t>unit</t>
        </is>
      </c>
      <c r="E1401" s="4" t="n">
        <v>2057341</v>
      </c>
    </row>
    <row r="1402">
      <c r="A1402" s="3" t="n">
        <v>1400</v>
      </c>
      <c r="B1402" s="3" t="inlineStr">
        <is>
          <t>5.2.2</t>
        </is>
      </c>
      <c r="C1402" s="3" t="inlineStr">
        <is>
          <t>Pemasangan 1 unit Base Air Terminal</t>
        </is>
      </c>
      <c r="D1402" s="3" t="inlineStr">
        <is>
          <t>unit</t>
        </is>
      </c>
      <c r="E1402" s="4" t="n">
        <v>791197</v>
      </c>
    </row>
    <row r="1403">
      <c r="A1403" s="3" t="n">
        <v>1401</v>
      </c>
      <c r="B1403" s="3" t="inlineStr">
        <is>
          <t>5.2.3</t>
        </is>
      </c>
      <c r="C1403" s="3" t="inlineStr">
        <is>
          <t>Pemasangan 1 Unit DC Clip Non Metalic Clamp</t>
        </is>
      </c>
      <c r="D1403" s="3" t="inlineStr">
        <is>
          <t>unit</t>
        </is>
      </c>
      <c r="E1403" s="4" t="n">
        <v>96536</v>
      </c>
    </row>
    <row r="1404">
      <c r="A1404" s="3" t="n">
        <v>1402</v>
      </c>
      <c r="B1404" s="3" t="inlineStr">
        <is>
          <t>5.2.4</t>
        </is>
      </c>
      <c r="C1404" s="3" t="inlineStr">
        <is>
          <t>Pemasangan 1 UnitSquare Tape Clamp</t>
        </is>
      </c>
      <c r="D1404" s="3" t="inlineStr">
        <is>
          <t>unit</t>
        </is>
      </c>
      <c r="E1404" s="4" t="n">
        <v>114532</v>
      </c>
    </row>
    <row r="1405">
      <c r="A1405" s="3" t="n">
        <v>1403</v>
      </c>
      <c r="B1405" s="3" t="inlineStr">
        <is>
          <t>5.2.5</t>
        </is>
      </c>
      <c r="C1405" s="3" t="inlineStr">
        <is>
          <t>Pemasangan 1 Unit Bimetallic Connector</t>
        </is>
      </c>
      <c r="D1405" s="3" t="inlineStr">
        <is>
          <t>unit</t>
        </is>
      </c>
      <c r="E1405" s="4" t="n">
        <v>90332</v>
      </c>
    </row>
    <row r="1406">
      <c r="A1406" s="3" t="n">
        <v>1404</v>
      </c>
      <c r="B1406" s="3" t="inlineStr">
        <is>
          <t>5.2.6</t>
        </is>
      </c>
      <c r="C1406" s="3" t="inlineStr">
        <is>
          <t>Pemasangan 1 Unit Grounding Test Box</t>
        </is>
      </c>
      <c r="D1406" s="3" t="inlineStr">
        <is>
          <t>unit</t>
        </is>
      </c>
      <c r="E1406" s="4" t="n">
        <v>675521</v>
      </c>
    </row>
    <row r="1407">
      <c r="A1407" s="3" t="n">
        <v>1405</v>
      </c>
      <c r="B1407" s="3" t="inlineStr">
        <is>
          <t>5.2.7</t>
        </is>
      </c>
      <c r="C1407" s="3" t="inlineStr">
        <is>
          <t>Pemasangan 1 Unit 5/8" Rod Coupling</t>
        </is>
      </c>
      <c r="D1407" s="3" t="inlineStr">
        <is>
          <t>unit</t>
        </is>
      </c>
      <c r="E1407" s="4" t="n">
        <v>132176</v>
      </c>
    </row>
    <row r="1408">
      <c r="A1408" s="3" t="n">
        <v>1406</v>
      </c>
      <c r="B1408" s="3" t="inlineStr">
        <is>
          <t>5.2.8</t>
        </is>
      </c>
      <c r="C1408" s="3" t="inlineStr">
        <is>
          <t>Pemasangan 1 Unit 5/8"Driving Stud</t>
        </is>
      </c>
      <c r="D1408" s="3" t="inlineStr">
        <is>
          <t>unit</t>
        </is>
      </c>
      <c r="E1408" s="4" t="n">
        <v>120670</v>
      </c>
    </row>
    <row r="1409">
      <c r="A1409" s="3" t="n">
        <v>1407</v>
      </c>
      <c r="B1409" s="3" t="inlineStr">
        <is>
          <t>5.2.9</t>
        </is>
      </c>
      <c r="C1409" s="3" t="inlineStr">
        <is>
          <t>Pemasangan 1 Unit Rod to Cable Clamp (Type GUV)</t>
        </is>
      </c>
      <c r="D1409" s="3" t="inlineStr">
        <is>
          <t>unit</t>
        </is>
      </c>
      <c r="E1409" s="4" t="n">
        <v>353991</v>
      </c>
    </row>
    <row r="1410">
      <c r="A1410" s="3" t="n">
        <v>1408</v>
      </c>
      <c r="B1410" s="3" t="inlineStr">
        <is>
          <t>5.2.10</t>
        </is>
      </c>
      <c r="C1410" s="3" t="inlineStr">
        <is>
          <t>Pemasangan 1 Unit Polymer Inspection Pit</t>
        </is>
      </c>
      <c r="D1410" s="3" t="inlineStr">
        <is>
          <t>unit</t>
        </is>
      </c>
      <c r="E1410" s="4" t="n">
        <v>721501</v>
      </c>
    </row>
    <row r="1411">
      <c r="A1411" s="3" t="n">
        <v>1409</v>
      </c>
      <c r="B1411" s="3" t="inlineStr">
        <is>
          <t>5.2.11</t>
        </is>
      </c>
      <c r="C1411" s="3" t="inlineStr">
        <is>
          <t>Pemasangan 1 Unit Coupling Bonding Grounded Rod 70 mm2</t>
        </is>
      </c>
      <c r="D1411" s="3" t="inlineStr">
        <is>
          <t>unit</t>
        </is>
      </c>
      <c r="E1411" s="4" t="n">
        <v>2707925</v>
      </c>
    </row>
    <row r="1412">
      <c r="A1412" s="3" t="n">
        <v>1410</v>
      </c>
      <c r="B1412" s="3" t="inlineStr">
        <is>
          <t>5.2.12</t>
        </is>
      </c>
      <c r="C1412" s="3" t="inlineStr">
        <is>
          <t>Pemasangan 1 Unit Clamp BC L ukuran BC 70 mm2</t>
        </is>
      </c>
      <c r="D1412" s="3" t="inlineStr">
        <is>
          <t>unit</t>
        </is>
      </c>
      <c r="E1412" s="4" t="n">
        <v>45980</v>
      </c>
    </row>
    <row r="1413">
      <c r="A1413" s="3" t="n">
        <v>1411</v>
      </c>
      <c r="B1413" s="3" t="inlineStr">
        <is>
          <t>5.2.13</t>
        </is>
      </c>
      <c r="C1413" s="3" t="inlineStr">
        <is>
          <t>Pemasangan 1 Unit Clamp PVC 1"</t>
        </is>
      </c>
      <c r="D1413" s="3" t="inlineStr">
        <is>
          <t>unit</t>
        </is>
      </c>
      <c r="E1413" s="4" t="n">
        <v>7095</v>
      </c>
    </row>
    <row r="1414">
      <c r="A1414" s="3" t="n">
        <v>1412</v>
      </c>
      <c r="B1414" s="3" t="inlineStr">
        <is>
          <t>5.2.14</t>
        </is>
      </c>
      <c r="C1414" s="3" t="inlineStr">
        <is>
          <t>Pemasangan 1 unit Copper Air Terminal Base 15 mm (dudukan)</t>
        </is>
      </c>
      <c r="D1414" s="3" t="inlineStr">
        <is>
          <t>unit</t>
        </is>
      </c>
      <c r="E1414" s="4" t="n">
        <v>319869</v>
      </c>
    </row>
    <row r="1415">
      <c r="A1415" s="3" t="n">
        <v>1413</v>
      </c>
      <c r="B1415" s="3" t="inlineStr">
        <is>
          <t>5.2.15</t>
        </is>
      </c>
      <c r="C1415" s="3" t="inlineStr">
        <is>
          <t>Pemasangan 1 unit 15x500 mm Aluminium Air Rod</t>
        </is>
      </c>
      <c r="D1415" s="3" t="inlineStr">
        <is>
          <t>unit</t>
        </is>
      </c>
      <c r="E1415" s="4" t="n">
        <v>273801</v>
      </c>
    </row>
    <row r="1416">
      <c r="A1416" s="3" t="n">
        <v>1414</v>
      </c>
      <c r="B1416" s="3" t="inlineStr">
        <is>
          <t>5.2.16</t>
        </is>
      </c>
      <c r="C1416" s="3" t="inlineStr">
        <is>
          <t>Pemasangan 1 unit 15x500 mm Coper Air Rod</t>
        </is>
      </c>
      <c r="D1416" s="3" t="inlineStr">
        <is>
          <t>unit</t>
        </is>
      </c>
      <c r="E1416" s="4" t="n">
        <v>784421</v>
      </c>
    </row>
    <row r="1417">
      <c r="A1417" s="3" t="n">
        <v>1415</v>
      </c>
      <c r="B1417" s="3" t="inlineStr">
        <is>
          <t>5.2.17</t>
        </is>
      </c>
      <c r="C1417" s="3" t="inlineStr">
        <is>
          <t>Pemasangan 1 m' 25x3 mm Bare Aluminium Tape</t>
        </is>
      </c>
      <c r="D1417" s="3" t="inlineStr">
        <is>
          <t>unit</t>
        </is>
      </c>
      <c r="E1417" s="4" t="n">
        <v>151131</v>
      </c>
    </row>
    <row r="1418">
      <c r="A1418" s="3" t="n">
        <v>1416</v>
      </c>
      <c r="B1418" s="3" t="inlineStr">
        <is>
          <t>5.2.18</t>
        </is>
      </c>
      <c r="C1418" s="3" t="inlineStr">
        <is>
          <t>Pemasangan 1 buah 5/8" x 1800 mm Extensible Copperbond Rod</t>
        </is>
      </c>
      <c r="D1418" s="3" t="inlineStr">
        <is>
          <t>buah</t>
        </is>
      </c>
      <c r="E1418" s="4" t="n">
        <v>680361</v>
      </c>
    </row>
    <row r="1419">
      <c r="A1419" s="3" t="n">
        <v>1417</v>
      </c>
      <c r="B1419" s="3" t="inlineStr">
        <is>
          <t>5.2.19</t>
        </is>
      </c>
      <c r="C1419" s="3" t="inlineStr">
        <is>
          <t>Pemasangan 1 buah 5/8" Copperbond Rod</t>
        </is>
      </c>
      <c r="D1419" s="3" t="inlineStr">
        <is>
          <t>buah</t>
        </is>
      </c>
      <c r="E1419" s="4" t="n">
        <v>304051</v>
      </c>
    </row>
    <row r="1420">
      <c r="A1420" s="3" t="n">
        <v>1418</v>
      </c>
      <c r="B1420" s="3" t="inlineStr">
        <is>
          <t>5.2.20</t>
        </is>
      </c>
      <c r="C1420" s="3" t="inlineStr">
        <is>
          <t>Pemasangan 1 buah Grounding Rod Gip 1" Panjang 1 m</t>
        </is>
      </c>
      <c r="D1420" s="3" t="inlineStr">
        <is>
          <t>buah</t>
        </is>
      </c>
      <c r="E1420" s="4" t="n">
        <v>244788</v>
      </c>
    </row>
    <row r="1421">
      <c r="A1421" s="3" t="n">
        <v>1419</v>
      </c>
      <c r="B1421" s="3" t="inlineStr">
        <is>
          <t>5.2.21</t>
        </is>
      </c>
      <c r="C1421" s="3" t="inlineStr">
        <is>
          <t>Pemasangan 1 buah Grounding Rod Gip 1" Panjang 2m</t>
        </is>
      </c>
      <c r="D1421" s="3" t="inlineStr">
        <is>
          <t>buah</t>
        </is>
      </c>
      <c r="E1421" s="4" t="n">
        <v>409376</v>
      </c>
    </row>
    <row r="1422">
      <c r="A1422" s="3" t="n">
        <v>1420</v>
      </c>
      <c r="B1422" s="3" t="inlineStr">
        <is>
          <t>5.2.22</t>
        </is>
      </c>
      <c r="C1422" s="3" t="inlineStr">
        <is>
          <t>Pemasangan 1 buah 1" Rod Coupling</t>
        </is>
      </c>
      <c r="D1422" s="3" t="inlineStr">
        <is>
          <t>buah</t>
        </is>
      </c>
      <c r="E1422" s="4" t="n">
        <v>230351</v>
      </c>
    </row>
    <row r="1423">
      <c r="A1423" s="3" t="n">
        <v>1421</v>
      </c>
      <c r="B1423" s="3" t="inlineStr">
        <is>
          <t>5.2.23</t>
        </is>
      </c>
      <c r="C1423" s="3" t="inlineStr">
        <is>
          <t>Pemasangan 1 buah Exothermic Welding</t>
        </is>
      </c>
      <c r="D1423" s="3" t="inlineStr">
        <is>
          <t>buah</t>
        </is>
      </c>
      <c r="E1423" s="4" t="n">
        <v>279823</v>
      </c>
    </row>
    <row r="1424">
      <c r="A1424" s="3" t="n">
        <v>1422</v>
      </c>
      <c r="B1424" s="3" t="inlineStr">
        <is>
          <t>5.2.24</t>
        </is>
      </c>
      <c r="C1424" s="3" t="inlineStr">
        <is>
          <t>Pemasangan 1 unit Surge Arrester 1 Phase ( 15 KA)</t>
        </is>
      </c>
      <c r="D1424" s="3" t="inlineStr">
        <is>
          <t>unit</t>
        </is>
      </c>
      <c r="E1424" s="4" t="n">
        <v>910954</v>
      </c>
    </row>
    <row r="1425">
      <c r="A1425" s="3" t="n">
        <v>1423</v>
      </c>
      <c r="B1425" s="3" t="inlineStr">
        <is>
          <t>5.2.25</t>
        </is>
      </c>
      <c r="C1425" s="3" t="inlineStr">
        <is>
          <t>Pemasangan 1 unit Surge Arrester 3 Phase ( 15 KA)</t>
        </is>
      </c>
      <c r="D1425" s="3" t="inlineStr">
        <is>
          <t>unit</t>
        </is>
      </c>
      <c r="E1425" s="4" t="n">
        <v>1272073</v>
      </c>
    </row>
    <row r="1426">
      <c r="A1426" s="3" t="n">
        <v>1424</v>
      </c>
      <c r="B1426" s="3" t="inlineStr">
        <is>
          <t>5.3.1.1</t>
        </is>
      </c>
      <c r="C1426" s="3" t="inlineStr">
        <is>
          <t>Pemasangan 1 titik Instalasi Lampu</t>
        </is>
      </c>
      <c r="D1426" s="3" t="inlineStr">
        <is>
          <t>titik</t>
        </is>
      </c>
      <c r="E1426" s="4" t="n">
        <v>354750</v>
      </c>
    </row>
    <row r="1427">
      <c r="A1427" s="3" t="n">
        <v>1425</v>
      </c>
      <c r="B1427" s="3" t="inlineStr">
        <is>
          <t>5.3.1.2</t>
        </is>
      </c>
      <c r="C1427" s="3" t="inlineStr">
        <is>
          <t>Pemasangan 1 titik Instalasi Lampu (Kabel LSOH)</t>
        </is>
      </c>
      <c r="D1427" s="3" t="inlineStr">
        <is>
          <t>titk</t>
        </is>
      </c>
      <c r="E1427" s="4" t="n">
        <v>354750</v>
      </c>
    </row>
    <row r="1428">
      <c r="A1428" s="3" t="n">
        <v>1426</v>
      </c>
      <c r="B1428" s="3" t="inlineStr">
        <is>
          <t>5.3.1.3</t>
        </is>
      </c>
      <c r="C1428" s="3" t="inlineStr">
        <is>
          <t>Pemasangan 1 Unit Downlight 5 inch 14,5 Watt LED</t>
        </is>
      </c>
      <c r="D1428" s="3" t="inlineStr">
        <is>
          <t>unit</t>
        </is>
      </c>
      <c r="E1428" s="4" t="n">
        <v>126324</v>
      </c>
    </row>
    <row r="1429">
      <c r="A1429" s="3" t="n">
        <v>1427</v>
      </c>
      <c r="B1429" s="3" t="inlineStr">
        <is>
          <t>5.3.1.4</t>
        </is>
      </c>
      <c r="C1429" s="3" t="inlineStr">
        <is>
          <t>Pemasangan 1 Unit Fitting E27 + 10 Watt LED</t>
        </is>
      </c>
      <c r="D1429" s="3" t="inlineStr">
        <is>
          <t>unit</t>
        </is>
      </c>
      <c r="E1429" s="4" t="n">
        <v>60016</v>
      </c>
    </row>
    <row r="1430">
      <c r="A1430" s="3" t="n">
        <v>1428</v>
      </c>
      <c r="B1430" s="3" t="inlineStr">
        <is>
          <t>5.3.1.5</t>
        </is>
      </c>
      <c r="C1430" s="3" t="inlineStr">
        <is>
          <t>Pemasangan 1 Unit Fitting E27 + 10 Watt LED c/w Nicad Battery</t>
        </is>
      </c>
      <c r="D1430" s="3" t="inlineStr">
        <is>
          <t>unit</t>
        </is>
      </c>
      <c r="E1430" s="4" t="n">
        <v>193116</v>
      </c>
    </row>
    <row r="1431">
      <c r="A1431" s="3" t="n">
        <v>1429</v>
      </c>
      <c r="B1431" s="3" t="inlineStr">
        <is>
          <t>5.3.1.6</t>
        </is>
      </c>
      <c r="C1431" s="3" t="inlineStr">
        <is>
          <t>Pemasangan 1 Unit Fitting E27 + 19 Watt LED</t>
        </is>
      </c>
      <c r="D1431" s="3" t="inlineStr">
        <is>
          <t>unit</t>
        </is>
      </c>
      <c r="E1431" s="4" t="n">
        <v>118701</v>
      </c>
    </row>
    <row r="1432">
      <c r="A1432" s="3" t="n">
        <v>1430</v>
      </c>
      <c r="B1432" s="3" t="inlineStr">
        <is>
          <t>5.3.1.7</t>
        </is>
      </c>
      <c r="C1432" s="3" t="inlineStr">
        <is>
          <t>Pemasangan 1 Unit Fitting E27 + 19 Watt LED  c/w Nicad Battery</t>
        </is>
      </c>
      <c r="D1432" s="3" t="inlineStr">
        <is>
          <t>unit</t>
        </is>
      </c>
      <c r="E1432" s="4" t="n">
        <v>251801</v>
      </c>
    </row>
    <row r="1433">
      <c r="A1433" s="3" t="n">
        <v>1431</v>
      </c>
      <c r="B1433" s="3" t="inlineStr">
        <is>
          <t>5.3.1.8</t>
        </is>
      </c>
      <c r="C1433" s="3" t="inlineStr">
        <is>
          <t>Pemasangan 1 Unit RM TKI 2 x 16 Watt LED</t>
        </is>
      </c>
      <c r="D1433" s="3" t="inlineStr">
        <is>
          <t>unit</t>
        </is>
      </c>
      <c r="E1433" s="4" t="n">
        <v>374715</v>
      </c>
    </row>
    <row r="1434">
      <c r="A1434" s="3" t="n">
        <v>1432</v>
      </c>
      <c r="B1434" s="3" t="inlineStr">
        <is>
          <t>5.3.1.9</t>
        </is>
      </c>
      <c r="C1434" s="3" t="inlineStr">
        <is>
          <t>Pemasangan 1 Unit Lampu Sorot LED 100 watt</t>
        </is>
      </c>
      <c r="D1434" s="3" t="inlineStr">
        <is>
          <t>unit</t>
        </is>
      </c>
      <c r="E1434" s="4" t="n">
        <v>205315</v>
      </c>
    </row>
    <row r="1435">
      <c r="A1435" s="3" t="n">
        <v>1433</v>
      </c>
      <c r="B1435" s="3" t="inlineStr">
        <is>
          <t>5.3.1.10</t>
        </is>
      </c>
      <c r="C1435" s="3" t="inlineStr">
        <is>
          <t>Pemasangan 1 Unit Lampu Sorot RGB 30 Watt 100 untuk Outdoor</t>
        </is>
      </c>
      <c r="D1435" s="3" t="inlineStr">
        <is>
          <t>unit</t>
        </is>
      </c>
      <c r="E1435" s="4" t="n">
        <v>116985</v>
      </c>
    </row>
    <row r="1436">
      <c r="A1436" s="3" t="n">
        <v>1434</v>
      </c>
      <c r="B1436" s="3" t="inlineStr">
        <is>
          <t>5.3.1.11</t>
        </is>
      </c>
      <c r="C1436" s="3" t="inlineStr">
        <is>
          <t>Pemasangan 1 Unit Lampu High Bay 100 Watt</t>
        </is>
      </c>
      <c r="D1436" s="3" t="inlineStr">
        <is>
          <t>unit</t>
        </is>
      </c>
      <c r="E1436" s="4" t="n">
        <v>2245595</v>
      </c>
    </row>
    <row r="1437">
      <c r="A1437" s="3" t="n">
        <v>1435</v>
      </c>
      <c r="B1437" s="3" t="inlineStr">
        <is>
          <t>5.3.1.12</t>
        </is>
      </c>
      <c r="C1437" s="3" t="inlineStr">
        <is>
          <t>Pemasangan 1 Unit Lampu Eksit LED 3 Watt c/w Battery</t>
        </is>
      </c>
      <c r="D1437" s="3" t="inlineStr">
        <is>
          <t>unit</t>
        </is>
      </c>
      <c r="E1437" s="4" t="n">
        <v>211079</v>
      </c>
    </row>
    <row r="1438">
      <c r="A1438" s="3" t="n">
        <v>1436</v>
      </c>
      <c r="B1438" s="3" t="inlineStr">
        <is>
          <t>5.3.1.13</t>
        </is>
      </c>
      <c r="C1438" s="3" t="inlineStr">
        <is>
          <t>Pemasangan 1 Unit Lampu TLED 1 X 14 Watt 2.100 Lumen (Dust Proof)</t>
        </is>
      </c>
      <c r="D1438" s="3" t="inlineStr">
        <is>
          <t>unit</t>
        </is>
      </c>
      <c r="E1438" s="4" t="n">
        <v>126632</v>
      </c>
    </row>
    <row r="1439">
      <c r="A1439" s="3" t="n">
        <v>1437</v>
      </c>
      <c r="B1439" s="3" t="inlineStr">
        <is>
          <t>5.3.1.14</t>
        </is>
      </c>
      <c r="C1439" s="3" t="inlineStr">
        <is>
          <t>Pemasangan 1 Unit Lampu TLED 1 X 24 Watt 2.100 Lumen (Balk)</t>
        </is>
      </c>
      <c r="D1439" s="3" t="inlineStr">
        <is>
          <t>unit</t>
        </is>
      </c>
      <c r="E1439" s="4" t="n">
        <v>135102</v>
      </c>
    </row>
    <row r="1440">
      <c r="A1440" s="3" t="n">
        <v>1438</v>
      </c>
      <c r="B1440" s="3" t="inlineStr">
        <is>
          <t>5.3.1.15</t>
        </is>
      </c>
      <c r="C1440" s="3" t="inlineStr">
        <is>
          <t>Pemasangan 1 Unit Lampu TLED 1 X 24 Watt 2.100 Lumen (Balk) c/w Niced Battery</t>
        </is>
      </c>
      <c r="D1440" s="3" t="inlineStr">
        <is>
          <t>unit</t>
        </is>
      </c>
      <c r="E1440" s="4" t="n">
        <v>268202</v>
      </c>
    </row>
    <row r="1441">
      <c r="A1441" s="3" t="n">
        <v>1439</v>
      </c>
      <c r="B1441" s="3" t="inlineStr">
        <is>
          <t>5.3.1.16</t>
        </is>
      </c>
      <c r="C1441" s="3" t="inlineStr">
        <is>
          <t>Pemasangan 1 Unit Lampu TLED 2 X 24 Watt 2.100 Lumen (Balk)</t>
        </is>
      </c>
      <c r="D1441" s="3" t="inlineStr">
        <is>
          <t>unit</t>
        </is>
      </c>
      <c r="E1441" s="4" t="n">
        <v>244321</v>
      </c>
    </row>
    <row r="1442">
      <c r="A1442" s="3" t="n">
        <v>1440</v>
      </c>
      <c r="B1442" s="3" t="inlineStr">
        <is>
          <t>5.3.1.17</t>
        </is>
      </c>
      <c r="C1442" s="3" t="inlineStr">
        <is>
          <t>Pemasangan 1 Unit Lampu TLED 2 X 24 Watt 2.100 Lumen (Balk) c/w Nicad Battery</t>
        </is>
      </c>
      <c r="D1442" s="3" t="inlineStr">
        <is>
          <t>unit</t>
        </is>
      </c>
      <c r="E1442" s="4" t="n">
        <v>377421</v>
      </c>
    </row>
    <row r="1443">
      <c r="A1443" s="3" t="n">
        <v>1441</v>
      </c>
      <c r="B1443" s="3" t="inlineStr">
        <is>
          <t>5.3.1.18</t>
        </is>
      </c>
      <c r="C1443" s="3" t="inlineStr">
        <is>
          <t>Pemasangan 1 unit Lampu PJU Kawasan LED 50 Watt + Tiang 6-7 M (single Pool)</t>
        </is>
      </c>
      <c r="D1443" s="3" t="inlineStr">
        <is>
          <t>unit</t>
        </is>
      </c>
      <c r="E1443" s="4" t="n">
        <v>3468822</v>
      </c>
    </row>
    <row r="1444">
      <c r="A1444" s="3" t="n">
        <v>1442</v>
      </c>
      <c r="B1444" s="3" t="inlineStr">
        <is>
          <t>5.3.1.19</t>
        </is>
      </c>
      <c r="C1444" s="3" t="inlineStr">
        <is>
          <t>Pemasangan 1 Unit Lampu Kawasan LED 50 Watt + Solar Cell + Tiang 6-7 M ( Single Pool)</t>
        </is>
      </c>
      <c r="D1444" s="3" t="inlineStr">
        <is>
          <t>unit</t>
        </is>
      </c>
      <c r="E1444" s="4" t="n">
        <v>3972193</v>
      </c>
    </row>
    <row r="1445">
      <c r="A1445" s="3" t="n">
        <v>1443</v>
      </c>
      <c r="B1445" s="3" t="inlineStr">
        <is>
          <t>5.3.1.20</t>
        </is>
      </c>
      <c r="C1445" s="3" t="inlineStr">
        <is>
          <t>Pemasangan 1 Unit Lampu Taman 25 Watt + Tiang 1 M</t>
        </is>
      </c>
      <c r="D1445" s="3" t="inlineStr">
        <is>
          <t>unit</t>
        </is>
      </c>
      <c r="E1445" s="4" t="n">
        <v>294745</v>
      </c>
    </row>
    <row r="1446">
      <c r="A1446" s="3" t="n">
        <v>1444</v>
      </c>
      <c r="B1446" s="3" t="inlineStr">
        <is>
          <t>5.3.1.21</t>
        </is>
      </c>
      <c r="C1446" s="3" t="inlineStr">
        <is>
          <t>Pemasangan 1 Unit Fitting + 7 Watt LED</t>
        </is>
      </c>
      <c r="D1446" s="3" t="inlineStr">
        <is>
          <t>unit</t>
        </is>
      </c>
      <c r="E1446" s="4" t="n">
        <v>79134</v>
      </c>
    </row>
    <row r="1447">
      <c r="A1447" s="3" t="n">
        <v>1445</v>
      </c>
      <c r="B1447" s="3" t="inlineStr">
        <is>
          <t>5.3.1.22</t>
        </is>
      </c>
      <c r="C1447" s="3" t="inlineStr">
        <is>
          <t>Pemasangan 1 Unit Fitting + 7 Watt LED c/w Nicad Battery</t>
        </is>
      </c>
      <c r="D1447" s="3" t="inlineStr">
        <is>
          <t>unit</t>
        </is>
      </c>
      <c r="E1447" s="4" t="n">
        <v>212234</v>
      </c>
    </row>
    <row r="1448">
      <c r="A1448" s="3" t="n">
        <v>1446</v>
      </c>
      <c r="B1448" s="3" t="inlineStr">
        <is>
          <t>5.3.1.23</t>
        </is>
      </c>
      <c r="C1448" s="3" t="inlineStr">
        <is>
          <t>Pemasangan 1 Unit Fitting +  9 Watt LED</t>
        </is>
      </c>
      <c r="D1448" s="3" t="inlineStr">
        <is>
          <t>unit</t>
        </is>
      </c>
      <c r="E1448" s="4" t="n">
        <v>87604</v>
      </c>
    </row>
    <row r="1449">
      <c r="A1449" s="3" t="n">
        <v>1447</v>
      </c>
      <c r="B1449" s="3" t="inlineStr">
        <is>
          <t>5.3.1.24</t>
        </is>
      </c>
      <c r="C1449" s="3" t="inlineStr">
        <is>
          <t>Pemasangan 1 Unit Fitting +  9 Watt LED c/w Nicad Battery</t>
        </is>
      </c>
      <c r="D1449" s="3" t="inlineStr">
        <is>
          <t>unit</t>
        </is>
      </c>
      <c r="E1449" s="4" t="n">
        <v>220704</v>
      </c>
    </row>
    <row r="1450">
      <c r="A1450" s="3" t="n">
        <v>1448</v>
      </c>
      <c r="B1450" s="3" t="inlineStr">
        <is>
          <t>5.3.1.25</t>
        </is>
      </c>
      <c r="C1450" s="3" t="inlineStr">
        <is>
          <t>Pemasangan 1 Unit Fitting +  20 Watt Baret c/w Nicad Battery</t>
        </is>
      </c>
      <c r="D1450" s="3" t="inlineStr">
        <is>
          <t>unit</t>
        </is>
      </c>
      <c r="E1450" s="4" t="n">
        <v>272734</v>
      </c>
    </row>
    <row r="1451">
      <c r="A1451" s="3" t="n">
        <v>1449</v>
      </c>
      <c r="B1451" s="3" t="inlineStr">
        <is>
          <t>5.3.1.26</t>
        </is>
      </c>
      <c r="C1451" s="3" t="inlineStr">
        <is>
          <t>Pemasangan 1 Unit Fitting +  32 Watt Baret c/w Nicad Battery</t>
        </is>
      </c>
      <c r="D1451" s="3" t="inlineStr">
        <is>
          <t>unit</t>
        </is>
      </c>
      <c r="E1451" s="4" t="n">
        <v>296934</v>
      </c>
    </row>
    <row r="1452">
      <c r="A1452" s="3" t="n">
        <v>1450</v>
      </c>
      <c r="B1452" s="3" t="inlineStr">
        <is>
          <t>5.3.1.27</t>
        </is>
      </c>
      <c r="C1452" s="3" t="inlineStr">
        <is>
          <t>Pemasangan 1 Unit Fitting +  40 Watt Lampu Pijar</t>
        </is>
      </c>
      <c r="D1452" s="3" t="inlineStr">
        <is>
          <t>unit</t>
        </is>
      </c>
      <c r="E1452" s="4" t="n">
        <v>80344</v>
      </c>
    </row>
    <row r="1453">
      <c r="A1453" s="3" t="n">
        <v>1451</v>
      </c>
      <c r="B1453" s="3" t="inlineStr">
        <is>
          <t>5.3.1.28</t>
        </is>
      </c>
      <c r="C1453" s="3" t="inlineStr">
        <is>
          <t>Pemasangan 1 Unit Lampu TL 18 Watt ( Balk)</t>
        </is>
      </c>
      <c r="D1453" s="3" t="inlineStr">
        <is>
          <t>unit</t>
        </is>
      </c>
      <c r="E1453" s="4" t="n">
        <v>72182</v>
      </c>
    </row>
    <row r="1454">
      <c r="A1454" s="3" t="n">
        <v>1452</v>
      </c>
      <c r="B1454" s="3" t="inlineStr">
        <is>
          <t>5.3.1.29</t>
        </is>
      </c>
      <c r="C1454" s="3" t="inlineStr">
        <is>
          <t>Pemasangan 1 Unit Lampu TLED 18 Watt ( Balk)</t>
        </is>
      </c>
      <c r="D1454" s="3" t="inlineStr">
        <is>
          <t>unit</t>
        </is>
      </c>
      <c r="E1454" s="4" t="n">
        <v>84282</v>
      </c>
    </row>
    <row r="1455">
      <c r="A1455" s="3" t="n">
        <v>1453</v>
      </c>
      <c r="B1455" s="3" t="inlineStr">
        <is>
          <t>5.3.1.30</t>
        </is>
      </c>
      <c r="C1455" s="3" t="inlineStr">
        <is>
          <t>Pemasangan 1 Unit Lampu TL  36 Watt ( Balk)</t>
        </is>
      </c>
      <c r="D1455" s="3" t="inlineStr">
        <is>
          <t>unit</t>
        </is>
      </c>
      <c r="E1455" s="4" t="n">
        <v>78232</v>
      </c>
    </row>
    <row r="1456">
      <c r="A1456" s="3" t="n">
        <v>1454</v>
      </c>
      <c r="B1456" s="3" t="inlineStr">
        <is>
          <t>5.3.1.31</t>
        </is>
      </c>
      <c r="C1456" s="3" t="inlineStr">
        <is>
          <t>Pemasangan 1 Unit Lampu TL ED 36 Watt ( Balk)</t>
        </is>
      </c>
      <c r="D1456" s="3" t="inlineStr">
        <is>
          <t>unit</t>
        </is>
      </c>
      <c r="E1456" s="4" t="n">
        <v>138732</v>
      </c>
    </row>
    <row r="1457">
      <c r="A1457" s="3" t="n">
        <v>1455</v>
      </c>
      <c r="B1457" s="3" t="inlineStr">
        <is>
          <t>5.3.1.32</t>
        </is>
      </c>
      <c r="C1457" s="3" t="inlineStr">
        <is>
          <t>Pemasangan 1 titik Instalasi Lampu Luar/Taman ( dengan Kabel NYFGBY)</t>
        </is>
      </c>
      <c r="D1457" s="3" t="inlineStr">
        <is>
          <t>titik</t>
        </is>
      </c>
      <c r="E1457" s="4" t="n">
        <v>683878</v>
      </c>
    </row>
    <row r="1458">
      <c r="A1458" s="3" t="n">
        <v>1456</v>
      </c>
      <c r="B1458" s="3" t="inlineStr">
        <is>
          <t>5.3.1.33</t>
        </is>
      </c>
      <c r="C1458" s="3" t="inlineStr">
        <is>
          <t>Pemasangan 1 titik Instalasi Lampu Luar/Taman ( dengan Kabel NYY)</t>
        </is>
      </c>
      <c r="D1458" s="3" t="inlineStr">
        <is>
          <t>titk</t>
        </is>
      </c>
      <c r="E1458" s="4" t="n">
        <v>3340048</v>
      </c>
    </row>
    <row r="1459">
      <c r="A1459" s="3" t="n">
        <v>1457</v>
      </c>
      <c r="B1459" s="3" t="inlineStr">
        <is>
          <t>5.3.1.34</t>
        </is>
      </c>
      <c r="C1459" s="3" t="inlineStr">
        <is>
          <t>Pemasangan 1 titik Instalasi Lampu Luar/Taman ( dengan Kabel NYM)</t>
        </is>
      </c>
      <c r="D1459" s="3" t="inlineStr">
        <is>
          <t>titik</t>
        </is>
      </c>
      <c r="E1459" s="4" t="n">
        <v>159662</v>
      </c>
    </row>
    <row r="1460">
      <c r="A1460" s="3" t="n">
        <v>1458</v>
      </c>
      <c r="B1460" s="3" t="inlineStr">
        <is>
          <t>5.3.1.35</t>
        </is>
      </c>
      <c r="C1460" s="3" t="inlineStr">
        <is>
          <t>Pemasangan 1 titik Instalasi Lampu PJU ( dengan Kabel NYFGBY)</t>
        </is>
      </c>
      <c r="D1460" s="3" t="inlineStr">
        <is>
          <t>titk</t>
        </is>
      </c>
      <c r="E1460" s="4" t="n">
        <v>1281013</v>
      </c>
    </row>
    <row r="1461">
      <c r="A1461" s="3" t="n">
        <v>1459</v>
      </c>
      <c r="B1461" s="3" t="inlineStr">
        <is>
          <t>5.3.1.36</t>
        </is>
      </c>
      <c r="C1461" s="3" t="inlineStr">
        <is>
          <t>Pemasangan 1 titik Instalasi Lampu PJU ( dengan Kabel NYY)</t>
        </is>
      </c>
      <c r="D1461" s="3" t="inlineStr">
        <is>
          <t>titik</t>
        </is>
      </c>
      <c r="E1461" s="4" t="n">
        <v>1018663</v>
      </c>
    </row>
    <row r="1462">
      <c r="A1462" s="3" t="n">
        <v>1460</v>
      </c>
      <c r="B1462" s="3" t="inlineStr">
        <is>
          <t>5.3.1.37</t>
        </is>
      </c>
      <c r="C1462" s="3" t="inlineStr">
        <is>
          <t>Pemasangan 1 titik Instalasi Lampu PJU Tiang 7 m  ( dengan Kabel NYM)</t>
        </is>
      </c>
      <c r="D1462" s="3" t="inlineStr">
        <is>
          <t>titk</t>
        </is>
      </c>
      <c r="E1462" s="4" t="n">
        <v>288527</v>
      </c>
    </row>
    <row r="1463">
      <c r="A1463" s="3" t="n">
        <v>1461</v>
      </c>
      <c r="B1463" s="3" t="inlineStr">
        <is>
          <t>5.3.1.38</t>
        </is>
      </c>
      <c r="C1463" s="3" t="inlineStr">
        <is>
          <t>Pemasangan 1 titik Instalasi Lampu PJU Tiang 9 m  ( dengan Kabel NYM)</t>
        </is>
      </c>
      <c r="D1463" s="3" t="inlineStr">
        <is>
          <t>titik</t>
        </is>
      </c>
      <c r="E1463" s="4" t="n">
        <v>340073</v>
      </c>
    </row>
    <row r="1464">
      <c r="A1464" s="3" t="n">
        <v>1462</v>
      </c>
      <c r="B1464" s="3" t="inlineStr">
        <is>
          <t>5.3.1.39</t>
        </is>
      </c>
      <c r="C1464" s="3" t="inlineStr">
        <is>
          <t>Pemasangan 1 Unit Sport Floodlight LED, Min 180000 Lumen, Max. 1340 W, 5700K, min. CRI 80, min. IP 66 c/w DMX Led Driver &amp; Customized Bracklet ( Field of Play)</t>
        </is>
      </c>
      <c r="D1464" s="3" t="inlineStr">
        <is>
          <t>unit</t>
        </is>
      </c>
      <c r="E1464" s="4" t="n">
        <v>1756909</v>
      </c>
    </row>
    <row r="1465">
      <c r="A1465" s="3" t="n">
        <v>1463</v>
      </c>
      <c r="B1465" s="3" t="inlineStr">
        <is>
          <t>5.3.1.40</t>
        </is>
      </c>
      <c r="C1465" s="3" t="inlineStr">
        <is>
          <t>Pemasangan 1 buah Junction Box IP Rated</t>
        </is>
      </c>
      <c r="D1465" s="3" t="inlineStr">
        <is>
          <t>buah</t>
        </is>
      </c>
      <c r="E1465" s="4" t="n">
        <v>207883</v>
      </c>
    </row>
    <row r="1466">
      <c r="A1466" s="3" t="n">
        <v>1464</v>
      </c>
      <c r="B1466" s="3" t="inlineStr">
        <is>
          <t>5.3.1.41</t>
        </is>
      </c>
      <c r="C1466" s="3" t="inlineStr">
        <is>
          <t>Setting &amp; Aiming 1 titik Lampu Field Of Play (FOP) Eksisting</t>
        </is>
      </c>
      <c r="D1466" s="3" t="inlineStr">
        <is>
          <t>titik</t>
        </is>
      </c>
      <c r="E1466" s="4" t="n">
        <v>139777</v>
      </c>
    </row>
    <row r="1467">
      <c r="A1467" s="3" t="n">
        <v>1465</v>
      </c>
      <c r="B1467" s="3" t="inlineStr">
        <is>
          <t>5.3.1.42</t>
        </is>
      </c>
      <c r="C1467" s="3" t="inlineStr">
        <is>
          <t>Pemasangan 1 m' Kabel Fiber Optic Dual Core Single Mode + Pipa HDPE Conduit 20 mm</t>
        </is>
      </c>
      <c r="D1467" s="3" t="inlineStr">
        <is>
          <t>m'</t>
        </is>
      </c>
      <c r="E1467" s="4" t="n">
        <v>28281</v>
      </c>
    </row>
    <row r="1468">
      <c r="A1468" s="3" t="n">
        <v>1466</v>
      </c>
      <c r="B1468" s="3" t="inlineStr">
        <is>
          <t>5.3.1.43</t>
        </is>
      </c>
      <c r="C1468" s="3" t="inlineStr">
        <is>
          <t>Pemasangan 1 buah DMX LED Controller , 1 Universe</t>
        </is>
      </c>
      <c r="D1468" s="3" t="inlineStr">
        <is>
          <t>buah</t>
        </is>
      </c>
      <c r="E1468" s="4" t="n">
        <v>1980566</v>
      </c>
    </row>
    <row r="1469">
      <c r="A1469" s="3" t="n">
        <v>1467</v>
      </c>
      <c r="B1469" s="3" t="inlineStr">
        <is>
          <t>5.3.1.44</t>
        </is>
      </c>
      <c r="C1469" s="3" t="inlineStr">
        <is>
          <t>Pemasangan 1 Unit Downlight LED-E27 9W 3000K (Recessed)</t>
        </is>
      </c>
      <c r="D1469" s="3" t="inlineStr">
        <is>
          <t>buah</t>
        </is>
      </c>
      <c r="E1469" s="4" t="n">
        <v>142054</v>
      </c>
    </row>
    <row r="1470">
      <c r="A1470" s="3" t="n">
        <v>1468</v>
      </c>
      <c r="B1470" s="3" t="inlineStr">
        <is>
          <t>5.3.1.45</t>
        </is>
      </c>
      <c r="C1470" s="3" t="inlineStr">
        <is>
          <t>Pemasangan 1 Unit Downlight LED-E27 9W 4000K (Recessed)</t>
        </is>
      </c>
      <c r="D1470" s="3" t="inlineStr">
        <is>
          <t>buah</t>
        </is>
      </c>
      <c r="E1470" s="4" t="n">
        <v>160204</v>
      </c>
    </row>
    <row r="1471">
      <c r="A1471" s="3" t="n">
        <v>1469</v>
      </c>
      <c r="B1471" s="3" t="inlineStr">
        <is>
          <t>5.3.1.46</t>
        </is>
      </c>
      <c r="C1471" s="3" t="inlineStr">
        <is>
          <t>Pemasangan 1 Unit Downlight LED-E27 9W 4000K (Recessed) + Battery</t>
        </is>
      </c>
      <c r="D1471" s="3" t="inlineStr">
        <is>
          <t>buah</t>
        </is>
      </c>
      <c r="E1471" s="4" t="n">
        <v>220704</v>
      </c>
    </row>
    <row r="1472">
      <c r="A1472" s="3" t="n">
        <v>1470</v>
      </c>
      <c r="B1472" s="3" t="inlineStr">
        <is>
          <t>5.3.1.47</t>
        </is>
      </c>
      <c r="C1472" s="3" t="inlineStr">
        <is>
          <t>Pemasangan 1 Unit Downlight LED 9 Watt</t>
        </is>
      </c>
      <c r="D1472" s="3" t="inlineStr">
        <is>
          <t>buah</t>
        </is>
      </c>
      <c r="E1472" s="4" t="n">
        <v>87604</v>
      </c>
    </row>
    <row r="1473">
      <c r="A1473" s="3" t="n">
        <v>1471</v>
      </c>
      <c r="B1473" s="3" t="inlineStr">
        <is>
          <t>5.3.1.48</t>
        </is>
      </c>
      <c r="C1473" s="3" t="inlineStr">
        <is>
          <t>Pemasangan 1 Unit Downlight LED 17 Watt</t>
        </is>
      </c>
      <c r="D1473" s="3" t="inlineStr">
        <is>
          <t>buah</t>
        </is>
      </c>
      <c r="E1473" s="4" t="n">
        <v>111804</v>
      </c>
    </row>
    <row r="1474">
      <c r="A1474" s="3" t="n">
        <v>1472</v>
      </c>
      <c r="B1474" s="3" t="inlineStr">
        <is>
          <t>5.3.1.49</t>
        </is>
      </c>
      <c r="C1474" s="3" t="inlineStr">
        <is>
          <t>Pemasangan 1 Unit Downlight LED 24 Watt</t>
        </is>
      </c>
      <c r="D1474" s="3" t="inlineStr">
        <is>
          <t>buah</t>
        </is>
      </c>
      <c r="E1474" s="4" t="n">
        <v>136004</v>
      </c>
    </row>
    <row r="1475">
      <c r="A1475" s="3" t="n">
        <v>1473</v>
      </c>
      <c r="B1475" s="3" t="inlineStr">
        <is>
          <t>5.3.1.50</t>
        </is>
      </c>
      <c r="C1475" s="3" t="inlineStr">
        <is>
          <t>Pemasangan 1 Unit Downlight 5 Inch 12 Watt LED</t>
        </is>
      </c>
      <c r="D1475" s="3" t="inlineStr">
        <is>
          <t>buah</t>
        </is>
      </c>
      <c r="E1475" s="4" t="n">
        <v>105754</v>
      </c>
    </row>
    <row r="1476">
      <c r="A1476" s="3" t="n">
        <v>1474</v>
      </c>
      <c r="B1476" s="3" t="inlineStr">
        <is>
          <t>5.3.1.51</t>
        </is>
      </c>
      <c r="C1476" s="3" t="inlineStr">
        <is>
          <t>Pemasangan 1 Unit Downlight 13 Watt</t>
        </is>
      </c>
      <c r="D1476" s="3" t="inlineStr">
        <is>
          <t>buah</t>
        </is>
      </c>
      <c r="E1476" s="4" t="n">
        <v>69454</v>
      </c>
    </row>
    <row r="1477">
      <c r="A1477" s="3" t="n">
        <v>1475</v>
      </c>
      <c r="B1477" s="3" t="inlineStr">
        <is>
          <t>5.3.1.52</t>
        </is>
      </c>
      <c r="C1477" s="3" t="inlineStr">
        <is>
          <t>Pemasangan 1 Unit Lampu Sorot LED 50 Watt</t>
        </is>
      </c>
      <c r="D1477" s="3" t="inlineStr">
        <is>
          <t>buah</t>
        </is>
      </c>
      <c r="E1477" s="4" t="n">
        <v>235565</v>
      </c>
    </row>
    <row r="1478">
      <c r="A1478" s="3" t="n">
        <v>1476</v>
      </c>
      <c r="B1478" s="3" t="inlineStr">
        <is>
          <t>5.3.1.53</t>
        </is>
      </c>
      <c r="C1478" s="3" t="inlineStr">
        <is>
          <t>Pemasangan 1 Unit Lampu Sorot LED 9 Watt</t>
        </is>
      </c>
      <c r="D1478" s="3" t="inlineStr">
        <is>
          <t>buah</t>
        </is>
      </c>
      <c r="E1478" s="4" t="n">
        <v>87604</v>
      </c>
    </row>
    <row r="1479">
      <c r="A1479" s="3" t="n">
        <v>1477</v>
      </c>
      <c r="B1479" s="3" t="inlineStr">
        <is>
          <t>5.3.1.54</t>
        </is>
      </c>
      <c r="C1479" s="3" t="inlineStr">
        <is>
          <t>Pemasangan 1 Unit Lampu TLED 1x18W 4000K</t>
        </is>
      </c>
      <c r="D1479" s="3" t="inlineStr">
        <is>
          <t>buah</t>
        </is>
      </c>
      <c r="E1479" s="4" t="n">
        <v>138732</v>
      </c>
    </row>
    <row r="1480">
      <c r="A1480" s="3" t="n">
        <v>1478</v>
      </c>
      <c r="B1480" s="3" t="inlineStr">
        <is>
          <t>5.3.1.55</t>
        </is>
      </c>
      <c r="C1480" s="3" t="inlineStr">
        <is>
          <t>Pemasangan 1 Unit Lampu TLED 2x18W</t>
        </is>
      </c>
      <c r="D1480" s="3" t="inlineStr">
        <is>
          <t>buah</t>
        </is>
      </c>
      <c r="E1480" s="4" t="n">
        <v>239481</v>
      </c>
    </row>
    <row r="1481">
      <c r="A1481" s="3" t="n">
        <v>1479</v>
      </c>
      <c r="B1481" s="3" t="inlineStr">
        <is>
          <t>5.3.1.56</t>
        </is>
      </c>
      <c r="C1481" s="3" t="inlineStr">
        <is>
          <t>Pemasangan 1 Unit Lampu Taman LED 50 watt + Tiang 3,8 m (single pool)</t>
        </is>
      </c>
      <c r="D1481" s="3" t="inlineStr">
        <is>
          <t>buah</t>
        </is>
      </c>
      <c r="E1481" s="4" t="n">
        <v>3844357</v>
      </c>
    </row>
    <row r="1482">
      <c r="A1482" s="3" t="n">
        <v>1480</v>
      </c>
      <c r="B1482" s="3" t="inlineStr">
        <is>
          <t>5.3.1.57</t>
        </is>
      </c>
      <c r="C1482" s="3" t="inlineStr">
        <is>
          <t>Pemasangan 1 Unit Lampu Taman LED 18 watt + Tiang 3 m (single pool)</t>
        </is>
      </c>
      <c r="D1482" s="3" t="inlineStr">
        <is>
          <t>buah</t>
        </is>
      </c>
      <c r="E1482" s="4" t="n">
        <v>2271357</v>
      </c>
    </row>
    <row r="1483">
      <c r="A1483" s="3" t="n">
        <v>1481</v>
      </c>
      <c r="B1483" s="3" t="inlineStr">
        <is>
          <t>5.3.1.58</t>
        </is>
      </c>
      <c r="C1483" s="3" t="inlineStr">
        <is>
          <t>Pemasangan 1 Unit Fitting + 20 Watt Lampu Baret</t>
        </is>
      </c>
      <c r="D1483" s="3" t="inlineStr">
        <is>
          <t>buah</t>
        </is>
      </c>
      <c r="E1483" s="4" t="n">
        <v>208604</v>
      </c>
    </row>
    <row r="1484">
      <c r="A1484" s="3" t="n">
        <v>1482</v>
      </c>
      <c r="B1484" s="3" t="inlineStr">
        <is>
          <t>5.3.1.59</t>
        </is>
      </c>
      <c r="C1484" s="3" t="inlineStr">
        <is>
          <t>Pemasangan 1 Unit Fitting + 32 Watt Lampu Baret</t>
        </is>
      </c>
      <c r="D1484" s="3" t="inlineStr">
        <is>
          <t>buah</t>
        </is>
      </c>
      <c r="E1484" s="4" t="n">
        <v>305404</v>
      </c>
    </row>
    <row r="1485">
      <c r="A1485" s="3" t="n">
        <v>1483</v>
      </c>
      <c r="B1485" s="3" t="inlineStr">
        <is>
          <t>5.3.1.60</t>
        </is>
      </c>
      <c r="C1485" s="3" t="inlineStr">
        <is>
          <t>Pemasangan 1 Unit Tiang PJU Octagonal Single Ornament Parabole</t>
        </is>
      </c>
      <c r="D1485" s="3" t="inlineStr">
        <is>
          <t>buah</t>
        </is>
      </c>
      <c r="E1485" s="4" t="n">
        <v>4976097</v>
      </c>
    </row>
    <row r="1486">
      <c r="A1486" s="3" t="n">
        <v>1484</v>
      </c>
      <c r="B1486" s="3" t="inlineStr">
        <is>
          <t>5.3.1.61</t>
        </is>
      </c>
      <c r="C1486" s="3" t="inlineStr">
        <is>
          <t>Pemasangan 1 Unit Tiang PJU Octagonal Double Ornament Parabole</t>
        </is>
      </c>
      <c r="D1486" s="3" t="inlineStr">
        <is>
          <t>buah</t>
        </is>
      </c>
      <c r="E1486" s="4" t="n">
        <v>9713462</v>
      </c>
    </row>
    <row r="1487">
      <c r="A1487" s="3" t="n">
        <v>1485</v>
      </c>
      <c r="B1487" s="3" t="inlineStr">
        <is>
          <t>5.3.1.62</t>
        </is>
      </c>
      <c r="C1487" s="3" t="inlineStr">
        <is>
          <t>Pemasangan 1 Unit Downlight Outbow LED 9W 4000K</t>
        </is>
      </c>
      <c r="D1487" s="3" t="inlineStr">
        <is>
          <t>buah</t>
        </is>
      </c>
      <c r="E1487" s="4" t="n">
        <v>305404</v>
      </c>
    </row>
    <row r="1488">
      <c r="A1488" s="3" t="n">
        <v>1486</v>
      </c>
      <c r="B1488" s="3" t="inlineStr">
        <is>
          <t>5.3.1.63</t>
        </is>
      </c>
      <c r="C1488" s="3" t="inlineStr">
        <is>
          <t>Pemasangan 1 Unit Downlight Outbow LED 9W 4000K + Battery</t>
        </is>
      </c>
      <c r="D1488" s="3" t="inlineStr">
        <is>
          <t>buah</t>
        </is>
      </c>
      <c r="E1488" s="4" t="n">
        <v>305404</v>
      </c>
    </row>
    <row r="1489">
      <c r="A1489" s="3" t="n">
        <v>1487</v>
      </c>
      <c r="B1489" s="3" t="inlineStr">
        <is>
          <t>5.3.1.64</t>
        </is>
      </c>
      <c r="C1489" s="3" t="inlineStr">
        <is>
          <t>Pemasangan 1 Unit Lampu Sorot Washlight LED 3 Watt</t>
        </is>
      </c>
      <c r="D1489" s="3" t="inlineStr">
        <is>
          <t>buah</t>
        </is>
      </c>
      <c r="E1489" s="4" t="n">
        <v>111804</v>
      </c>
    </row>
    <row r="1490">
      <c r="A1490" s="3" t="n">
        <v>1488</v>
      </c>
      <c r="B1490" s="3" t="inlineStr">
        <is>
          <t>5.3.1.65</t>
        </is>
      </c>
      <c r="C1490" s="3" t="inlineStr">
        <is>
          <t>Pemasangan 1 Unit Spotlight LED-E27 20W 4000K</t>
        </is>
      </c>
      <c r="D1490" s="3" t="inlineStr">
        <is>
          <t>buah</t>
        </is>
      </c>
      <c r="E1490" s="4" t="n">
        <v>208604</v>
      </c>
    </row>
    <row r="1491">
      <c r="A1491" s="3" t="n">
        <v>1489</v>
      </c>
      <c r="B1491" s="3" t="inlineStr">
        <is>
          <t>5.3.1.66</t>
        </is>
      </c>
      <c r="C1491" s="3" t="inlineStr">
        <is>
          <t>Pemasangan 1 Unit Lampu Bollard LED 20 Watt</t>
        </is>
      </c>
      <c r="D1491" s="3" t="inlineStr">
        <is>
          <t>buah</t>
        </is>
      </c>
      <c r="E1491" s="4" t="n">
        <v>276595</v>
      </c>
    </row>
    <row r="1492">
      <c r="A1492" s="3" t="n">
        <v>1490</v>
      </c>
      <c r="B1492" s="3" t="inlineStr">
        <is>
          <t>5.3.1.67</t>
        </is>
      </c>
      <c r="C1492" s="3" t="inlineStr">
        <is>
          <t>Pemasangan 1 Unit Lampu Outdoor Bollard H400xW110 10W 4000K, IP65</t>
        </is>
      </c>
      <c r="D1492" s="3" t="inlineStr">
        <is>
          <t>buah</t>
        </is>
      </c>
      <c r="E1492" s="4" t="n">
        <v>2164195</v>
      </c>
    </row>
    <row r="1493">
      <c r="A1493" s="3" t="n">
        <v>1491</v>
      </c>
      <c r="B1493" s="3" t="inlineStr">
        <is>
          <t>5.3.1.68</t>
        </is>
      </c>
      <c r="C1493" s="3" t="inlineStr">
        <is>
          <t>Pemasangan 1 Unit Lampu TLED Panel 31 Watt</t>
        </is>
      </c>
      <c r="D1493" s="3" t="inlineStr">
        <is>
          <t>buah</t>
        </is>
      </c>
      <c r="E1493" s="4" t="n">
        <v>471482</v>
      </c>
    </row>
    <row r="1494">
      <c r="A1494" s="3" t="n">
        <v>1492</v>
      </c>
      <c r="B1494" s="3" t="inlineStr">
        <is>
          <t>5.3.1.69</t>
        </is>
      </c>
      <c r="C1494" s="3" t="inlineStr">
        <is>
          <t>Pemasangan 1 Unit Lampu TLED Panel 31 Watt + Battery</t>
        </is>
      </c>
      <c r="D1494" s="3" t="inlineStr">
        <is>
          <t>buah</t>
        </is>
      </c>
      <c r="E1494" s="4" t="n">
        <v>652982</v>
      </c>
    </row>
    <row r="1495">
      <c r="A1495" s="3" t="n">
        <v>1493</v>
      </c>
      <c r="B1495" s="3" t="inlineStr">
        <is>
          <t>5.3.1.70</t>
        </is>
      </c>
      <c r="C1495" s="3" t="inlineStr">
        <is>
          <t>Pemasangan 1 unit LED Panel 36 Watt Uk 30 x 120 cm</t>
        </is>
      </c>
      <c r="D1495" s="3" t="inlineStr">
        <is>
          <t>buah</t>
        </is>
      </c>
      <c r="E1495" s="4" t="n">
        <v>380732</v>
      </c>
    </row>
    <row r="1496">
      <c r="A1496" s="3" t="n">
        <v>1494</v>
      </c>
      <c r="B1496" s="3" t="inlineStr">
        <is>
          <t>5.3.1.71</t>
        </is>
      </c>
      <c r="C1496" s="3" t="inlineStr">
        <is>
          <t>Pemasangan 1 unit Downlight LED panel dia. 150 mm 15 Watt</t>
        </is>
      </c>
      <c r="D1496" s="3" t="inlineStr">
        <is>
          <t>buah</t>
        </is>
      </c>
      <c r="E1496" s="4" t="n">
        <v>269104</v>
      </c>
    </row>
    <row r="1497">
      <c r="A1497" s="3" t="n">
        <v>1495</v>
      </c>
      <c r="B1497" s="3" t="inlineStr">
        <is>
          <t>5.3.1.72</t>
        </is>
      </c>
      <c r="C1497" s="3" t="inlineStr">
        <is>
          <t>Pemasangan 1 unit Downlight LED Slim panel dia. 127 mm 10 Watt</t>
        </is>
      </c>
      <c r="D1497" s="3" t="inlineStr">
        <is>
          <t>buah</t>
        </is>
      </c>
      <c r="E1497" s="4" t="n">
        <v>329604</v>
      </c>
    </row>
    <row r="1498">
      <c r="A1498" s="3" t="n">
        <v>1496</v>
      </c>
      <c r="B1498" s="3" t="inlineStr">
        <is>
          <t>5.3.2.1</t>
        </is>
      </c>
      <c r="C1498" s="3" t="inlineStr">
        <is>
          <t>Pemasangan 1 Unit Sensor Cahaya</t>
        </is>
      </c>
      <c r="D1498" s="3" t="inlineStr">
        <is>
          <t>unit</t>
        </is>
      </c>
      <c r="E1498" s="4" t="n">
        <v>97284</v>
      </c>
    </row>
    <row r="1499">
      <c r="A1499" s="3" t="n">
        <v>1497</v>
      </c>
      <c r="B1499" s="3" t="inlineStr">
        <is>
          <t>5.3.2.2</t>
        </is>
      </c>
      <c r="C1499" s="3" t="inlineStr">
        <is>
          <t>Pemasangan 1 Unit Sensor Gerak</t>
        </is>
      </c>
      <c r="D1499" s="3" t="inlineStr">
        <is>
          <t>unit</t>
        </is>
      </c>
      <c r="E1499" s="4" t="n">
        <v>106843</v>
      </c>
    </row>
    <row r="1500">
      <c r="A1500" s="3" t="n">
        <v>1498</v>
      </c>
      <c r="B1500" s="3" t="inlineStr">
        <is>
          <t>5.4.1.1</t>
        </is>
      </c>
      <c r="C1500" s="3" t="inlineStr">
        <is>
          <t>Pemasangan 1 Unit MCP-FA (Semi Addressable 1 Loop)</t>
        </is>
      </c>
      <c r="D1500" s="3" t="inlineStr">
        <is>
          <t>unit</t>
        </is>
      </c>
      <c r="E1500" s="4" t="n">
        <v>34427486</v>
      </c>
    </row>
    <row r="1501">
      <c r="A1501" s="3" t="n">
        <v>1499</v>
      </c>
      <c r="B1501" s="3" t="inlineStr">
        <is>
          <t>5.4.1.2</t>
        </is>
      </c>
      <c r="C1501" s="3" t="inlineStr">
        <is>
          <t>Pemasangan 1  Unit PC Komputer</t>
        </is>
      </c>
      <c r="D1501" s="3" t="inlineStr">
        <is>
          <t>unit</t>
        </is>
      </c>
      <c r="E1501" s="4" t="n">
        <v>4217917</v>
      </c>
    </row>
    <row r="1502">
      <c r="A1502" s="3" t="n">
        <v>1500</v>
      </c>
      <c r="B1502" s="3" t="inlineStr">
        <is>
          <t>5.4.1.3</t>
        </is>
      </c>
      <c r="C1502" s="3" t="inlineStr">
        <is>
          <t>Pemasangan 1 Unit Alarm Printer</t>
        </is>
      </c>
      <c r="D1502" s="3" t="inlineStr">
        <is>
          <t>unit</t>
        </is>
      </c>
      <c r="E1502" s="4" t="n">
        <v>3014632</v>
      </c>
    </row>
    <row r="1503">
      <c r="A1503" s="3" t="n">
        <v>1501</v>
      </c>
      <c r="B1503" s="3" t="inlineStr">
        <is>
          <t>5.4.1.4</t>
        </is>
      </c>
      <c r="C1503" s="3" t="inlineStr">
        <is>
          <t>Pemasangan 1 Unit Report Printer</t>
        </is>
      </c>
      <c r="D1503" s="3" t="inlineStr">
        <is>
          <t>unit</t>
        </is>
      </c>
      <c r="E1503" s="4" t="n">
        <v>2321632</v>
      </c>
    </row>
    <row r="1504">
      <c r="A1504" s="3" t="n">
        <v>1502</v>
      </c>
      <c r="B1504" s="3" t="inlineStr">
        <is>
          <t>5.4.1.5</t>
        </is>
      </c>
      <c r="C1504" s="3" t="inlineStr">
        <is>
          <t>Pemasangan 1 Unit Announciator</t>
        </is>
      </c>
      <c r="D1504" s="3" t="inlineStr">
        <is>
          <t>unit</t>
        </is>
      </c>
      <c r="E1504" s="4" t="n">
        <v>2961832</v>
      </c>
    </row>
    <row r="1505">
      <c r="A1505" s="3" t="n">
        <v>1503</v>
      </c>
      <c r="B1505" s="3" t="inlineStr">
        <is>
          <t>5.4.1.6</t>
        </is>
      </c>
      <c r="C1505" s="3" t="inlineStr">
        <is>
          <t>Pemasangan 1 Unit Terminal Box Fire Alarm (Lengkap dengan Modul)</t>
        </is>
      </c>
      <c r="D1505" s="3" t="inlineStr">
        <is>
          <t>unit</t>
        </is>
      </c>
      <c r="E1505" s="4" t="n">
        <v>741482</v>
      </c>
    </row>
    <row r="1506">
      <c r="A1506" s="3" t="n">
        <v>1504</v>
      </c>
      <c r="B1506" s="3" t="inlineStr">
        <is>
          <t>5.4.1.7</t>
        </is>
      </c>
      <c r="C1506" s="3" t="inlineStr">
        <is>
          <t>Pemasangan 1 Unit Some Detector Addressable</t>
        </is>
      </c>
      <c r="D1506" s="3" t="inlineStr">
        <is>
          <t>unit</t>
        </is>
      </c>
      <c r="E1506" s="4" t="n">
        <v>940890</v>
      </c>
    </row>
    <row r="1507">
      <c r="A1507" s="3" t="n">
        <v>1505</v>
      </c>
      <c r="B1507" s="3" t="inlineStr">
        <is>
          <t>5.4.1.8</t>
        </is>
      </c>
      <c r="C1507" s="3" t="inlineStr">
        <is>
          <t>Pemasangan 1 Unit Rate of Rise Detector Addressable</t>
        </is>
      </c>
      <c r="D1507" s="3" t="inlineStr">
        <is>
          <t>unit</t>
        </is>
      </c>
      <c r="E1507" s="4" t="n">
        <v>436155</v>
      </c>
    </row>
    <row r="1508">
      <c r="A1508" s="3" t="n">
        <v>1506</v>
      </c>
      <c r="B1508" s="3" t="inlineStr">
        <is>
          <t>5.4.1.9</t>
        </is>
      </c>
      <c r="C1508" s="3" t="inlineStr">
        <is>
          <t>Pemasangan 1 Unit Fix Heat Detector Addressable</t>
        </is>
      </c>
      <c r="D1508" s="3" t="inlineStr">
        <is>
          <t>unit</t>
        </is>
      </c>
      <c r="E1508" s="4" t="n">
        <v>407280</v>
      </c>
    </row>
    <row r="1509">
      <c r="A1509" s="3" t="n">
        <v>1507</v>
      </c>
      <c r="B1509" s="3" t="inlineStr">
        <is>
          <t>5.4.1.10</t>
        </is>
      </c>
      <c r="C1509" s="3" t="inlineStr">
        <is>
          <t>Pemasangan 1 Unit Smoke Detector Konvensional</t>
        </is>
      </c>
      <c r="D1509" s="3" t="inlineStr">
        <is>
          <t>unit</t>
        </is>
      </c>
      <c r="E1509" s="4" t="n">
        <v>322965</v>
      </c>
    </row>
    <row r="1510">
      <c r="A1510" s="3" t="n">
        <v>1508</v>
      </c>
      <c r="B1510" s="3" t="inlineStr">
        <is>
          <t>5.4.1.11</t>
        </is>
      </c>
      <c r="C1510" s="3" t="inlineStr">
        <is>
          <t>Pemasangan 1 Unit Rate of Rise Detector Konvensional</t>
        </is>
      </c>
      <c r="D1510" s="3" t="inlineStr">
        <is>
          <t>unit</t>
        </is>
      </c>
      <c r="E1510" s="4" t="n">
        <v>317190</v>
      </c>
    </row>
    <row r="1511">
      <c r="A1511" s="3" t="n">
        <v>1509</v>
      </c>
      <c r="B1511" s="3" t="inlineStr">
        <is>
          <t>5.4.1.12</t>
        </is>
      </c>
      <c r="C1511" s="3" t="inlineStr">
        <is>
          <t>Pemasangan 1 Unit Fix Heat Detector Konvensional</t>
        </is>
      </c>
      <c r="D1511" s="3" t="inlineStr">
        <is>
          <t>unit</t>
        </is>
      </c>
      <c r="E1511" s="4" t="n">
        <v>374940</v>
      </c>
    </row>
    <row r="1512">
      <c r="A1512" s="3" t="n">
        <v>1510</v>
      </c>
      <c r="B1512" s="3" t="inlineStr">
        <is>
          <t>5.4.1.13</t>
        </is>
      </c>
      <c r="C1512" s="3" t="inlineStr">
        <is>
          <t>Pemasangan 1 Unit  Lamp Indicator</t>
        </is>
      </c>
      <c r="D1512" s="3" t="inlineStr">
        <is>
          <t>unit</t>
        </is>
      </c>
      <c r="E1512" s="4" t="n">
        <v>92939</v>
      </c>
    </row>
    <row r="1513">
      <c r="A1513" s="3" t="n">
        <v>1511</v>
      </c>
      <c r="B1513" s="3" t="inlineStr">
        <is>
          <t>5.4.1.14</t>
        </is>
      </c>
      <c r="C1513" s="3" t="inlineStr">
        <is>
          <t>Pemasangan 1 Unit Manual Break Glass</t>
        </is>
      </c>
      <c r="D1513" s="3" t="inlineStr">
        <is>
          <t>unit</t>
        </is>
      </c>
      <c r="E1513" s="4" t="n">
        <v>96404</v>
      </c>
    </row>
    <row r="1514">
      <c r="A1514" s="3" t="n">
        <v>1512</v>
      </c>
      <c r="B1514" s="3" t="inlineStr">
        <is>
          <t>5.4.1.15</t>
        </is>
      </c>
      <c r="C1514" s="3" t="inlineStr">
        <is>
          <t>Pemasangan 1 Unit  Horn Strobe</t>
        </is>
      </c>
      <c r="D1514" s="3" t="inlineStr">
        <is>
          <t>unit</t>
        </is>
      </c>
      <c r="E1514" s="4" t="n">
        <v>229229</v>
      </c>
    </row>
    <row r="1515">
      <c r="A1515" s="3" t="n">
        <v>1513</v>
      </c>
      <c r="B1515" s="3" t="inlineStr">
        <is>
          <t>5.4.1.16</t>
        </is>
      </c>
      <c r="C1515" s="3" t="inlineStr">
        <is>
          <t>Pemasangan 1 Unit  Fire Fighting Telepon</t>
        </is>
      </c>
      <c r="D1515" s="3" t="inlineStr">
        <is>
          <t>unit</t>
        </is>
      </c>
      <c r="E1515" s="4" t="n">
        <v>183029</v>
      </c>
    </row>
    <row r="1516">
      <c r="A1516" s="3" t="n">
        <v>1514</v>
      </c>
      <c r="B1516" s="3" t="inlineStr">
        <is>
          <t>5.4.1.17</t>
        </is>
      </c>
      <c r="C1516" s="3" t="inlineStr">
        <is>
          <t>Pemasangan 1 Unit  Alrm Bell</t>
        </is>
      </c>
      <c r="D1516" s="3" t="inlineStr">
        <is>
          <t>unit</t>
        </is>
      </c>
      <c r="E1516" s="4" t="n">
        <v>125279</v>
      </c>
    </row>
    <row r="1517">
      <c r="A1517" s="3" t="n">
        <v>1515</v>
      </c>
      <c r="B1517" s="3" t="inlineStr">
        <is>
          <t>5.4.1.18</t>
        </is>
      </c>
      <c r="C1517" s="3" t="inlineStr">
        <is>
          <t>Pemasangan 1 titik Instalasi Detector Adressable Per Titik</t>
        </is>
      </c>
      <c r="D1517" s="3" t="inlineStr">
        <is>
          <t>titik</t>
        </is>
      </c>
      <c r="E1517" s="4" t="n">
        <v>186925</v>
      </c>
    </row>
    <row r="1518">
      <c r="A1518" s="3" t="n">
        <v>1516</v>
      </c>
      <c r="B1518" s="3" t="inlineStr">
        <is>
          <t>5.4.1.19</t>
        </is>
      </c>
      <c r="C1518" s="3" t="inlineStr">
        <is>
          <t>Pemasangan 1 titik Instalasi Detector Konvensional Per Tititk</t>
        </is>
      </c>
      <c r="D1518" s="3" t="inlineStr">
        <is>
          <t>titik</t>
        </is>
      </c>
      <c r="E1518" s="4" t="n">
        <v>232421</v>
      </c>
    </row>
    <row r="1519">
      <c r="A1519" s="3" t="n">
        <v>1517</v>
      </c>
      <c r="B1519" s="3" t="inlineStr">
        <is>
          <t>5.4.1.20</t>
        </is>
      </c>
      <c r="C1519" s="3" t="inlineStr">
        <is>
          <t>Pemasangan 1 titik Instalasi Lamp Indicator</t>
        </is>
      </c>
      <c r="D1519" s="3" t="inlineStr">
        <is>
          <t>titik</t>
        </is>
      </c>
      <c r="E1519" s="4" t="n">
        <v>355509</v>
      </c>
    </row>
    <row r="1520">
      <c r="A1520" s="3" t="n">
        <v>1518</v>
      </c>
      <c r="B1520" s="3" t="inlineStr">
        <is>
          <t>5.4.1.21</t>
        </is>
      </c>
      <c r="C1520" s="3" t="inlineStr">
        <is>
          <t>Pemasangan 1 titik Instalasi Manual Push Button</t>
        </is>
      </c>
      <c r="D1520" s="3" t="inlineStr">
        <is>
          <t>titik</t>
        </is>
      </c>
      <c r="E1520" s="4" t="n">
        <v>605979</v>
      </c>
    </row>
    <row r="1521">
      <c r="A1521" s="3" t="n">
        <v>1519</v>
      </c>
      <c r="B1521" s="3" t="inlineStr">
        <is>
          <t>5.4.1.22</t>
        </is>
      </c>
      <c r="C1521" s="3" t="inlineStr">
        <is>
          <t>Pemasangan 1 titik Instalasi Alarm Bell</t>
        </is>
      </c>
      <c r="D1521" s="3" t="inlineStr">
        <is>
          <t>titik</t>
        </is>
      </c>
      <c r="E1521" s="4" t="n">
        <v>355509</v>
      </c>
    </row>
    <row r="1522">
      <c r="A1522" s="3" t="n">
        <v>1520</v>
      </c>
      <c r="B1522" s="3" t="inlineStr">
        <is>
          <t>5.4.1.23</t>
        </is>
      </c>
      <c r="C1522" s="3" t="inlineStr">
        <is>
          <t>Pemasangan 1 titik Instalasi  Indicator Bell</t>
        </is>
      </c>
      <c r="D1522" s="3" t="inlineStr">
        <is>
          <t>titik</t>
        </is>
      </c>
      <c r="E1522" s="4" t="n">
        <v>605979</v>
      </c>
    </row>
    <row r="1523">
      <c r="A1523" s="3" t="n">
        <v>1521</v>
      </c>
      <c r="B1523" s="3" t="inlineStr">
        <is>
          <t>5.4.1.24</t>
        </is>
      </c>
      <c r="C1523" s="3" t="inlineStr">
        <is>
          <t>Pemasangan 1 titik Instalasi Intercom Jack</t>
        </is>
      </c>
      <c r="D1523" s="3" t="inlineStr">
        <is>
          <t>titik</t>
        </is>
      </c>
      <c r="E1523" s="4" t="n">
        <v>259750</v>
      </c>
    </row>
    <row r="1524">
      <c r="A1524" s="3" t="n">
        <v>1522</v>
      </c>
      <c r="B1524" s="3" t="inlineStr">
        <is>
          <t>5.4.1.25</t>
        </is>
      </c>
      <c r="C1524" s="3" t="inlineStr">
        <is>
          <t>Pemasangan 1 titik Instalasi Flow &amp; Temper Switch</t>
        </is>
      </c>
      <c r="D1524" s="3" t="inlineStr">
        <is>
          <t>titik</t>
        </is>
      </c>
      <c r="E1524" s="4" t="n">
        <v>617657</v>
      </c>
    </row>
    <row r="1525">
      <c r="A1525" s="3" t="n">
        <v>1523</v>
      </c>
      <c r="B1525" s="3" t="inlineStr">
        <is>
          <t>5.4.1.26</t>
        </is>
      </c>
      <c r="C1525" s="3" t="inlineStr">
        <is>
          <t>Pemasangan 1 buah Sirine Module</t>
        </is>
      </c>
      <c r="D1525" s="3" t="inlineStr">
        <is>
          <t>buah</t>
        </is>
      </c>
      <c r="E1525" s="4" t="n">
        <v>815622</v>
      </c>
    </row>
    <row r="1526">
      <c r="A1526" s="3" t="n">
        <v>1524</v>
      </c>
      <c r="B1526" s="3" t="inlineStr">
        <is>
          <t>5.4.1.27</t>
        </is>
      </c>
      <c r="C1526" s="3" t="inlineStr">
        <is>
          <t>Pemasangan 1 buah Control Module</t>
        </is>
      </c>
      <c r="D1526" s="3" t="inlineStr">
        <is>
          <t>buah</t>
        </is>
      </c>
      <c r="E1526" s="4" t="n">
        <v>452622</v>
      </c>
    </row>
    <row r="1527">
      <c r="A1527" s="3" t="n">
        <v>1525</v>
      </c>
      <c r="B1527" s="3" t="inlineStr">
        <is>
          <t>5.4.1.28</t>
        </is>
      </c>
      <c r="C1527" s="3" t="inlineStr">
        <is>
          <t>Pemasangan 1 buah Relay Module</t>
        </is>
      </c>
      <c r="D1527" s="3" t="inlineStr">
        <is>
          <t>buah</t>
        </is>
      </c>
      <c r="E1527" s="4" t="n">
        <v>154357</v>
      </c>
    </row>
    <row r="1528">
      <c r="A1528" s="3" t="n">
        <v>1526</v>
      </c>
      <c r="B1528" s="3" t="inlineStr">
        <is>
          <t>5.4.1.29</t>
        </is>
      </c>
      <c r="C1528" s="3" t="inlineStr">
        <is>
          <t>Pemasangan 1 buah Isolator Module</t>
        </is>
      </c>
      <c r="D1528" s="3" t="inlineStr">
        <is>
          <t>buah</t>
        </is>
      </c>
      <c r="E1528" s="4" t="n">
        <v>295322</v>
      </c>
    </row>
    <row r="1529">
      <c r="A1529" s="3" t="n">
        <v>1527</v>
      </c>
      <c r="B1529" s="3" t="inlineStr">
        <is>
          <t>5.4.1.30</t>
        </is>
      </c>
      <c r="C1529" s="3" t="inlineStr">
        <is>
          <t>Pemasangan 1 buah Monitor  Module</t>
        </is>
      </c>
      <c r="D1529" s="3" t="inlineStr">
        <is>
          <t>buah</t>
        </is>
      </c>
      <c r="E1529" s="4" t="n">
        <v>271122</v>
      </c>
    </row>
    <row r="1530">
      <c r="A1530" s="3" t="n">
        <v>1528</v>
      </c>
      <c r="B1530" s="3" t="inlineStr">
        <is>
          <t>5.4.1.31</t>
        </is>
      </c>
      <c r="C1530" s="3" t="inlineStr">
        <is>
          <t>Pemasangan 1 buah Terminal Box Fire Alarm ( Tanpa Modul)</t>
        </is>
      </c>
      <c r="D1530" s="3" t="inlineStr">
        <is>
          <t>buah</t>
        </is>
      </c>
      <c r="E1530" s="4" t="n">
        <v>374000</v>
      </c>
    </row>
    <row r="1531">
      <c r="A1531" s="3" t="n">
        <v>1529</v>
      </c>
      <c r="B1531" s="3" t="inlineStr">
        <is>
          <t>5.4.1.32</t>
        </is>
      </c>
      <c r="C1531" s="3" t="inlineStr">
        <is>
          <t>Pemasangan 1 buah Kabel Power Fire Alarm NYA 20x1,5 mm2</t>
        </is>
      </c>
      <c r="D1531" s="3" t="inlineStr">
        <is>
          <t>buah</t>
        </is>
      </c>
      <c r="E1531" s="4" t="n">
        <v>26763</v>
      </c>
    </row>
    <row r="1532">
      <c r="A1532" s="3" t="n">
        <v>1530</v>
      </c>
      <c r="B1532" s="3" t="inlineStr">
        <is>
          <t>5.4.1.33</t>
        </is>
      </c>
      <c r="C1532" s="3" t="inlineStr">
        <is>
          <t>Pemasangan 1 buah Kabel Power Fire Alarm NYA 3x2x2,5 mm2</t>
        </is>
      </c>
      <c r="D1532" s="3" t="inlineStr">
        <is>
          <t>buah</t>
        </is>
      </c>
      <c r="E1532" s="4" t="n">
        <v>34611</v>
      </c>
    </row>
    <row r="1533">
      <c r="A1533" s="3" t="n">
        <v>1531</v>
      </c>
      <c r="B1533" s="3" t="inlineStr">
        <is>
          <t>5.4.1.34</t>
        </is>
      </c>
      <c r="C1533" s="3" t="inlineStr">
        <is>
          <t>Pemasangan 1 buah Kabel Power Fire Alarm NYA 5x2x2,5 mm2</t>
        </is>
      </c>
      <c r="D1533" s="3" t="inlineStr">
        <is>
          <t>buah</t>
        </is>
      </c>
      <c r="E1533" s="4" t="n">
        <v>80272</v>
      </c>
    </row>
    <row r="1534">
      <c r="A1534" s="3" t="n">
        <v>1532</v>
      </c>
      <c r="B1534" s="3" t="inlineStr">
        <is>
          <t>5.4.1.35</t>
        </is>
      </c>
      <c r="C1534" s="3" t="inlineStr">
        <is>
          <t>Pemasangan 1 Unit Rectifier</t>
        </is>
      </c>
      <c r="D1534" s="3" t="inlineStr">
        <is>
          <t>unit</t>
        </is>
      </c>
      <c r="E1534" s="4" t="n">
        <v>4271063</v>
      </c>
    </row>
    <row r="1535">
      <c r="A1535" s="3" t="n">
        <v>1533</v>
      </c>
      <c r="B1535" s="3" t="inlineStr">
        <is>
          <t>5.4.1.36</t>
        </is>
      </c>
      <c r="C1535" s="3" t="inlineStr">
        <is>
          <t>Pemasangan 1 Unit Power Surge Arrester</t>
        </is>
      </c>
      <c r="D1535" s="3" t="inlineStr">
        <is>
          <t>unit</t>
        </is>
      </c>
      <c r="E1535" s="4" t="n">
        <v>1623644</v>
      </c>
    </row>
    <row r="1536">
      <c r="A1536" s="3" t="n">
        <v>1534</v>
      </c>
      <c r="B1536" s="3" t="inlineStr">
        <is>
          <t>5.4.1.37</t>
        </is>
      </c>
      <c r="C1536" s="3" t="inlineStr">
        <is>
          <t>Pemasangan 1 Unit UPS 2 KVA ( Inverter, Rectifier, Battery Backup 15 menit)</t>
        </is>
      </c>
      <c r="D1536" s="3" t="inlineStr">
        <is>
          <t>unit</t>
        </is>
      </c>
      <c r="E1536" s="4" t="n">
        <v>4494336</v>
      </c>
    </row>
    <row r="1537">
      <c r="A1537" s="3" t="n">
        <v>1535</v>
      </c>
      <c r="B1537" s="3" t="inlineStr">
        <is>
          <t>5.4.1.38</t>
        </is>
      </c>
      <c r="C1537" s="3" t="inlineStr">
        <is>
          <t>Pemasangan 1 Unit UPS 2 KVA ( Inverter, Rectifier, Battery Backup 30 menit)</t>
        </is>
      </c>
      <c r="D1537" s="3" t="inlineStr">
        <is>
          <t>unit</t>
        </is>
      </c>
      <c r="E1537" s="4" t="n">
        <v>4840836</v>
      </c>
    </row>
    <row r="1538">
      <c r="A1538" s="3" t="n">
        <v>1536</v>
      </c>
      <c r="B1538" s="3" t="inlineStr">
        <is>
          <t>5.4.1.39</t>
        </is>
      </c>
      <c r="C1538" s="3" t="inlineStr">
        <is>
          <t>Pemasangan 1 Unit UPS 2 KVA ( Inverter, Rectifier, Battery Backup 1 Jam)</t>
        </is>
      </c>
      <c r="D1538" s="3" t="inlineStr">
        <is>
          <t>unit</t>
        </is>
      </c>
      <c r="E1538" s="4" t="n">
        <v>5764836</v>
      </c>
    </row>
    <row r="1539">
      <c r="A1539" s="3" t="n">
        <v>1537</v>
      </c>
      <c r="B1539" s="3" t="inlineStr">
        <is>
          <t>5.4.1.40</t>
        </is>
      </c>
      <c r="C1539" s="3" t="inlineStr">
        <is>
          <t>Pemasangan 1 Unit UPS 2 KVA ( Inverter, Rectifier, Battery Backup 2Jam)</t>
        </is>
      </c>
      <c r="D1539" s="3" t="inlineStr">
        <is>
          <t>unit</t>
        </is>
      </c>
      <c r="E1539" s="4" t="n">
        <v>6111336</v>
      </c>
    </row>
    <row r="1540">
      <c r="A1540" s="3" t="n">
        <v>1538</v>
      </c>
      <c r="B1540" s="3" t="inlineStr">
        <is>
          <t>5.4.1.41</t>
        </is>
      </c>
      <c r="C1540" s="3" t="inlineStr">
        <is>
          <t>Pemasangan 1 Unit UPS 2 KVA ( Inverter, Rectifier, Battery Backup 4 Jam)</t>
        </is>
      </c>
      <c r="D1540" s="3" t="inlineStr">
        <is>
          <t>unit</t>
        </is>
      </c>
      <c r="E1540" s="4" t="n">
        <v>6688836</v>
      </c>
    </row>
    <row r="1541">
      <c r="A1541" s="3" t="n">
        <v>1539</v>
      </c>
      <c r="B1541" s="3" t="inlineStr">
        <is>
          <t>5.4.1.42</t>
        </is>
      </c>
      <c r="C1541" s="3" t="inlineStr">
        <is>
          <t>Pemasangan 1 Buah End of Line Resistor</t>
        </is>
      </c>
      <c r="D1541" s="3" t="inlineStr">
        <is>
          <t>buah</t>
        </is>
      </c>
      <c r="E1541" s="4" t="n">
        <v>30233</v>
      </c>
    </row>
    <row r="1542">
      <c r="A1542" s="3" t="n">
        <v>1540</v>
      </c>
      <c r="B1542" s="3" t="inlineStr">
        <is>
          <t>5.4.2.1</t>
        </is>
      </c>
      <c r="C1542" s="3" t="inlineStr">
        <is>
          <t>Pemasangan 1 Unit Patch Panel UTP Cat 6 4 Port</t>
        </is>
      </c>
      <c r="D1542" s="3" t="inlineStr">
        <is>
          <t>unit</t>
        </is>
      </c>
      <c r="E1542" s="4" t="n">
        <v>1884036</v>
      </c>
    </row>
    <row r="1543">
      <c r="A1543" s="3" t="n">
        <v>1541</v>
      </c>
      <c r="B1543" s="3" t="inlineStr">
        <is>
          <t>5.4.2.2</t>
        </is>
      </c>
      <c r="C1543" s="3" t="inlineStr">
        <is>
          <t>Pemasangan 1 Unit  Wirig Mangement</t>
        </is>
      </c>
      <c r="D1543" s="3" t="inlineStr">
        <is>
          <t>unit</t>
        </is>
      </c>
      <c r="E1543" s="4" t="n">
        <v>180147</v>
      </c>
    </row>
    <row r="1544">
      <c r="A1544" s="3" t="n">
        <v>1542</v>
      </c>
      <c r="B1544" s="3" t="inlineStr">
        <is>
          <t>5.4.2.3</t>
        </is>
      </c>
      <c r="C1544" s="3" t="inlineStr">
        <is>
          <t>Pemasangan 1 Unit  PoE Switch HUB</t>
        </is>
      </c>
      <c r="D1544" s="3" t="inlineStr">
        <is>
          <t>unit</t>
        </is>
      </c>
      <c r="E1544" s="4" t="n">
        <v>644369</v>
      </c>
    </row>
    <row r="1545">
      <c r="A1545" s="3" t="n">
        <v>1543</v>
      </c>
      <c r="B1545" s="3" t="inlineStr">
        <is>
          <t>5.4.2.4</t>
        </is>
      </c>
      <c r="C1545" s="3" t="inlineStr">
        <is>
          <t>Pemasangan 1 Unit  Network Video Recorder (NVR) Kapasitas 32 Chanel + 8TB Hardisk</t>
        </is>
      </c>
      <c r="D1545" s="3" t="inlineStr">
        <is>
          <t>unit</t>
        </is>
      </c>
      <c r="E1545" s="4" t="n">
        <v>8837554</v>
      </c>
    </row>
    <row r="1546">
      <c r="A1546" s="3" t="n">
        <v>1544</v>
      </c>
      <c r="B1546" s="3" t="inlineStr">
        <is>
          <t>5.4.2.5</t>
        </is>
      </c>
      <c r="C1546" s="3" t="inlineStr">
        <is>
          <t>Pemasangan 1 Unit  RAK HUB 12 U ( Lengkap dengan Power Outlet)</t>
        </is>
      </c>
      <c r="D1546" s="3" t="inlineStr">
        <is>
          <t>unit</t>
        </is>
      </c>
      <c r="E1546" s="4" t="n">
        <v>1049642</v>
      </c>
    </row>
    <row r="1547">
      <c r="A1547" s="3" t="n">
        <v>1545</v>
      </c>
      <c r="B1547" s="3" t="inlineStr">
        <is>
          <t>5.4.2.6</t>
        </is>
      </c>
      <c r="C1547" s="3" t="inlineStr">
        <is>
          <t>Pemasangan 1 Unit  LCD Monitor 32"</t>
        </is>
      </c>
      <c r="D1547" s="3" t="inlineStr">
        <is>
          <t>unit</t>
        </is>
      </c>
      <c r="E1547" s="4" t="n">
        <v>2899226</v>
      </c>
    </row>
    <row r="1548">
      <c r="A1548" s="3" t="n">
        <v>1546</v>
      </c>
      <c r="B1548" s="3" t="inlineStr">
        <is>
          <t>5.4.2.7</t>
        </is>
      </c>
      <c r="C1548" s="3" t="inlineStr">
        <is>
          <t>Pemasangan 1 Unit  LED Monitor 50"</t>
        </is>
      </c>
      <c r="D1548" s="3" t="inlineStr">
        <is>
          <t>unit</t>
        </is>
      </c>
      <c r="E1548" s="4" t="n">
        <v>4341012</v>
      </c>
    </row>
    <row r="1549">
      <c r="A1549" s="3" t="n">
        <v>1547</v>
      </c>
      <c r="B1549" s="3" t="inlineStr">
        <is>
          <t>5.4.2.8</t>
        </is>
      </c>
      <c r="C1549" s="3" t="inlineStr">
        <is>
          <t>Pemasangan 1 Unit  Keyboard + Mouse</t>
        </is>
      </c>
      <c r="D1549" s="3" t="inlineStr">
        <is>
          <t>unit</t>
        </is>
      </c>
      <c r="E1549" s="4" t="n">
        <v>416790</v>
      </c>
    </row>
    <row r="1550">
      <c r="A1550" s="3" t="n">
        <v>1548</v>
      </c>
      <c r="B1550" s="3" t="inlineStr">
        <is>
          <t>5.4.2.9</t>
        </is>
      </c>
      <c r="C1550" s="3" t="inlineStr">
        <is>
          <t>Pemasangan 1 Unit  Indoor Fix Dome IP Camera</t>
        </is>
      </c>
      <c r="D1550" s="3" t="inlineStr">
        <is>
          <t>unit</t>
        </is>
      </c>
      <c r="E1550" s="4" t="n">
        <v>617276</v>
      </c>
    </row>
    <row r="1551">
      <c r="A1551" s="3" t="n">
        <v>1549</v>
      </c>
      <c r="B1551" s="3" t="inlineStr">
        <is>
          <t>5.4.2.10</t>
        </is>
      </c>
      <c r="C1551" s="3" t="inlineStr">
        <is>
          <t>Pemasangan 1 Unit Outdoor Fix Dome IP Camera</t>
        </is>
      </c>
      <c r="D1551" s="3" t="inlineStr">
        <is>
          <t>unit</t>
        </is>
      </c>
      <c r="E1551" s="4" t="n">
        <v>662321</v>
      </c>
    </row>
    <row r="1552">
      <c r="A1552" s="3" t="n">
        <v>1550</v>
      </c>
      <c r="B1552" s="3" t="inlineStr">
        <is>
          <t>5.4.2.11</t>
        </is>
      </c>
      <c r="C1552" s="3" t="inlineStr">
        <is>
          <t>Pemasangan 1 titik Instalasi Camera CCTV</t>
        </is>
      </c>
      <c r="D1552" s="3" t="inlineStr">
        <is>
          <t>titik</t>
        </is>
      </c>
      <c r="E1552" s="4" t="n">
        <v>485674</v>
      </c>
    </row>
    <row r="1553">
      <c r="A1553" s="3" t="n">
        <v>1551</v>
      </c>
      <c r="B1553" s="3" t="inlineStr">
        <is>
          <t>5.4.2.12</t>
        </is>
      </c>
      <c r="C1553" s="3" t="inlineStr">
        <is>
          <t>Pemasangan 1 Unit  LED Monitor 43"</t>
        </is>
      </c>
      <c r="D1553" s="3" t="inlineStr">
        <is>
          <t>titik</t>
        </is>
      </c>
      <c r="E1553" s="4" t="n">
        <v>3774512</v>
      </c>
    </row>
    <row r="1554">
      <c r="A1554" s="3" t="n">
        <v>1552</v>
      </c>
      <c r="B1554" s="3" t="inlineStr">
        <is>
          <t>5.4.2.13</t>
        </is>
      </c>
      <c r="C1554" s="3" t="inlineStr">
        <is>
          <t>Pemasangan 1 Unit  LED Monitor 32"</t>
        </is>
      </c>
      <c r="D1554" s="3" t="inlineStr">
        <is>
          <t>titik</t>
        </is>
      </c>
      <c r="E1554" s="4" t="n">
        <v>3064385</v>
      </c>
    </row>
    <row r="1555">
      <c r="A1555" s="3" t="n">
        <v>1553</v>
      </c>
      <c r="B1555" s="3" t="inlineStr">
        <is>
          <t>5.4.2.14</t>
        </is>
      </c>
      <c r="C1555" s="3" t="inlineStr">
        <is>
          <t>Pemasangan 1 Unit  RAK HUB 15 U ( Lengkap dengan Power Outlet)</t>
        </is>
      </c>
      <c r="D1555" s="3" t="inlineStr">
        <is>
          <t>titik</t>
        </is>
      </c>
      <c r="E1555" s="4" t="n">
        <v>1546292</v>
      </c>
    </row>
    <row r="1556">
      <c r="A1556" s="3" t="n">
        <v>1554</v>
      </c>
      <c r="B1556" s="3" t="inlineStr">
        <is>
          <t>5.4.2.15</t>
        </is>
      </c>
      <c r="C1556" s="3" t="inlineStr">
        <is>
          <t>Pemasangan 1 Unit Rack Mount 10 U</t>
        </is>
      </c>
      <c r="D1556" s="3" t="inlineStr">
        <is>
          <t>titik</t>
        </is>
      </c>
      <c r="E1556" s="4" t="n">
        <v>853292</v>
      </c>
    </row>
    <row r="1557">
      <c r="A1557" s="3" t="n">
        <v>1555</v>
      </c>
      <c r="B1557" s="3" t="inlineStr">
        <is>
          <t>5.4.2.16</t>
        </is>
      </c>
      <c r="C1557" s="3" t="inlineStr">
        <is>
          <t>Pemasangan 1 Unit Outdoor Smart Wifi CCTV 360</t>
        </is>
      </c>
      <c r="D1557" s="3" t="inlineStr">
        <is>
          <t>titik</t>
        </is>
      </c>
      <c r="E1557" s="4" t="n">
        <v>2967701</v>
      </c>
    </row>
    <row r="1558">
      <c r="A1558" s="3" t="n">
        <v>1556</v>
      </c>
      <c r="B1558" s="3" t="inlineStr">
        <is>
          <t>5.4.3.1</t>
        </is>
      </c>
      <c r="C1558" s="3" t="inlineStr">
        <is>
          <t>Pemasangan 1 Unit MDF - SS</t>
        </is>
      </c>
      <c r="D1558" s="3" t="inlineStr">
        <is>
          <t>unit</t>
        </is>
      </c>
      <c r="E1558" s="4" t="n">
        <v>1728815</v>
      </c>
    </row>
    <row r="1559">
      <c r="A1559" s="3" t="n">
        <v>1557</v>
      </c>
      <c r="B1559" s="3" t="inlineStr">
        <is>
          <t>5.4.3.2</t>
        </is>
      </c>
      <c r="C1559" s="3" t="inlineStr">
        <is>
          <t>Pemasangan 1 Unit Selector Switch c/w Control Panel</t>
        </is>
      </c>
      <c r="D1559" s="3" t="inlineStr">
        <is>
          <t>unit</t>
        </is>
      </c>
      <c r="E1559" s="4" t="n">
        <v>1142042</v>
      </c>
    </row>
    <row r="1560">
      <c r="A1560" s="3" t="n">
        <v>1558</v>
      </c>
      <c r="B1560" s="3" t="inlineStr">
        <is>
          <t>5.4.3.3</t>
        </is>
      </c>
      <c r="C1560" s="3" t="inlineStr">
        <is>
          <t>Pemasangan 1 Unit Power Amplifier 360 Watt</t>
        </is>
      </c>
      <c r="D1560" s="3" t="inlineStr">
        <is>
          <t>unit</t>
        </is>
      </c>
      <c r="E1560" s="4" t="n">
        <v>1812701</v>
      </c>
    </row>
    <row r="1561">
      <c r="A1561" s="3" t="n">
        <v>1559</v>
      </c>
      <c r="B1561" s="3" t="inlineStr">
        <is>
          <t>5.4.3.4</t>
        </is>
      </c>
      <c r="C1561" s="3" t="inlineStr">
        <is>
          <t>Pemasangan 1 Unit Power Amplifier 240 Watt</t>
        </is>
      </c>
      <c r="D1561" s="3" t="inlineStr">
        <is>
          <t>unit</t>
        </is>
      </c>
      <c r="E1561" s="4" t="n">
        <v>1466201</v>
      </c>
    </row>
    <row r="1562">
      <c r="A1562" s="3" t="n">
        <v>1560</v>
      </c>
      <c r="B1562" s="3" t="inlineStr">
        <is>
          <t>5.4.3.5</t>
        </is>
      </c>
      <c r="C1562" s="3" t="inlineStr">
        <is>
          <t>Pemasangan 1 Unit Power Amplifier 120 Watt</t>
        </is>
      </c>
      <c r="D1562" s="3" t="inlineStr">
        <is>
          <t>unit</t>
        </is>
      </c>
      <c r="E1562" s="4" t="n">
        <v>1235201</v>
      </c>
    </row>
    <row r="1563">
      <c r="A1563" s="3" t="n">
        <v>1561</v>
      </c>
      <c r="B1563" s="3" t="inlineStr">
        <is>
          <t>5.4.3.6</t>
        </is>
      </c>
      <c r="C1563" s="3" t="inlineStr">
        <is>
          <t>Pemasangan 1 Unit  System Controller ( Mixer Pre Amp-Equalizer)</t>
        </is>
      </c>
      <c r="D1563" s="3" t="inlineStr">
        <is>
          <t>unit</t>
        </is>
      </c>
      <c r="E1563" s="4" t="n">
        <v>438042</v>
      </c>
    </row>
    <row r="1564">
      <c r="A1564" s="3" t="n">
        <v>1562</v>
      </c>
      <c r="B1564" s="3" t="inlineStr">
        <is>
          <t>5.4.3.7</t>
        </is>
      </c>
      <c r="C1564" s="3" t="inlineStr">
        <is>
          <t>Pemasangan 1 Unit VCD/DVD/MP3/MP4</t>
        </is>
      </c>
      <c r="D1564" s="3" t="inlineStr">
        <is>
          <t>unit</t>
        </is>
      </c>
      <c r="E1564" s="4" t="n">
        <v>310354</v>
      </c>
    </row>
    <row r="1565">
      <c r="A1565" s="3" t="n">
        <v>1563</v>
      </c>
      <c r="B1565" s="3" t="inlineStr">
        <is>
          <t>5.4.3.8</t>
        </is>
      </c>
      <c r="C1565" s="3" t="inlineStr">
        <is>
          <t>Pemasangan 1 Unit Sound Source</t>
        </is>
      </c>
      <c r="D1565" s="3" t="inlineStr">
        <is>
          <t>unit</t>
        </is>
      </c>
      <c r="E1565" s="4" t="n">
        <v>310354</v>
      </c>
    </row>
    <row r="1566">
      <c r="A1566" s="3" t="n">
        <v>1564</v>
      </c>
      <c r="B1566" s="3" t="inlineStr">
        <is>
          <t>5.4.3.9</t>
        </is>
      </c>
      <c r="C1566" s="3" t="inlineStr">
        <is>
          <t>Pemasangan 1 Unit Automatic Alarm System</t>
        </is>
      </c>
      <c r="D1566" s="3" t="inlineStr">
        <is>
          <t>unit</t>
        </is>
      </c>
      <c r="E1566" s="4" t="n">
        <v>1202982</v>
      </c>
    </row>
    <row r="1567">
      <c r="A1567" s="3" t="n">
        <v>1565</v>
      </c>
      <c r="B1567" s="3" t="inlineStr">
        <is>
          <t>5.4.3.10</t>
        </is>
      </c>
      <c r="C1567" s="3" t="inlineStr">
        <is>
          <t>Pemasangan 1 Unit Paging Mic Keyboard</t>
        </is>
      </c>
      <c r="D1567" s="3" t="inlineStr">
        <is>
          <t>unit</t>
        </is>
      </c>
      <c r="E1567" s="4" t="n">
        <v>771199</v>
      </c>
    </row>
    <row r="1568">
      <c r="A1568" s="3" t="n">
        <v>1566</v>
      </c>
      <c r="B1568" s="3" t="inlineStr">
        <is>
          <t>5.4.3.11</t>
        </is>
      </c>
      <c r="C1568" s="3" t="inlineStr">
        <is>
          <t>Pemasangan 1 Unit UPS 1 KVA ( Inverter, Rectifier, Battery Backup 4 Jam)</t>
        </is>
      </c>
      <c r="D1568" s="3" t="inlineStr">
        <is>
          <t>unit</t>
        </is>
      </c>
      <c r="E1568" s="4" t="n">
        <v>2963961</v>
      </c>
    </row>
    <row r="1569">
      <c r="A1569" s="3" t="n">
        <v>1567</v>
      </c>
      <c r="B1569" s="3" t="inlineStr">
        <is>
          <t>5.4.3.12</t>
        </is>
      </c>
      <c r="C1569" s="3" t="inlineStr">
        <is>
          <t>Pemasangan 1 Unit Rack Cabinet</t>
        </is>
      </c>
      <c r="D1569" s="3" t="inlineStr">
        <is>
          <t>unit</t>
        </is>
      </c>
      <c r="E1569" s="4" t="n">
        <v>987239</v>
      </c>
    </row>
    <row r="1570">
      <c r="A1570" s="3" t="n">
        <v>1568</v>
      </c>
      <c r="B1570" s="3" t="inlineStr">
        <is>
          <t>5.4.3.13</t>
        </is>
      </c>
      <c r="C1570" s="3" t="inlineStr">
        <is>
          <t>Pemasangan 1 Unit Terminal Box Tata Suara (TBTS)</t>
        </is>
      </c>
      <c r="D1570" s="3" t="inlineStr">
        <is>
          <t>unit</t>
        </is>
      </c>
      <c r="E1570" s="4" t="n">
        <v>154550</v>
      </c>
    </row>
    <row r="1571">
      <c r="A1571" s="3" t="n">
        <v>1569</v>
      </c>
      <c r="B1571" s="3" t="inlineStr">
        <is>
          <t>5.4.3.14</t>
        </is>
      </c>
      <c r="C1571" s="3" t="inlineStr">
        <is>
          <t>Pemasangan 1 Unit Ceiling Speaker</t>
        </is>
      </c>
      <c r="D1571" s="3" t="inlineStr">
        <is>
          <t>unit</t>
        </is>
      </c>
      <c r="E1571" s="4" t="n">
        <v>825390</v>
      </c>
    </row>
    <row r="1572">
      <c r="A1572" s="3" t="n">
        <v>1570</v>
      </c>
      <c r="B1572" s="3" t="inlineStr">
        <is>
          <t>5.4.3.15</t>
        </is>
      </c>
      <c r="C1572" s="3" t="inlineStr">
        <is>
          <t>Pemasangan 1 Unit Wall Speaker</t>
        </is>
      </c>
      <c r="D1572" s="3" t="inlineStr">
        <is>
          <t>unit</t>
        </is>
      </c>
      <c r="E1572" s="4" t="n">
        <v>876947</v>
      </c>
    </row>
    <row r="1573">
      <c r="A1573" s="3" t="n">
        <v>1571</v>
      </c>
      <c r="B1573" s="3" t="inlineStr">
        <is>
          <t>5.4.3.16</t>
        </is>
      </c>
      <c r="C1573" s="3" t="inlineStr">
        <is>
          <t>Pemasangan 1 Unit Horn Speaker</t>
        </is>
      </c>
      <c r="D1573" s="3" t="inlineStr">
        <is>
          <t>unit</t>
        </is>
      </c>
      <c r="E1573" s="4" t="n">
        <v>328740</v>
      </c>
    </row>
    <row r="1574">
      <c r="A1574" s="3" t="n">
        <v>1572</v>
      </c>
      <c r="B1574" s="3" t="inlineStr">
        <is>
          <t>5.4.3.17</t>
        </is>
      </c>
      <c r="C1574" s="3" t="inlineStr">
        <is>
          <t>Pemasangan 1 Unit Horn Speaker+ Tiang</t>
        </is>
      </c>
      <c r="D1574" s="3" t="inlineStr">
        <is>
          <t>unit</t>
        </is>
      </c>
      <c r="E1574" s="4" t="n">
        <v>601667</v>
      </c>
    </row>
    <row r="1575">
      <c r="A1575" s="3" t="n">
        <v>1573</v>
      </c>
      <c r="B1575" s="3" t="inlineStr">
        <is>
          <t>5.4.3.18</t>
        </is>
      </c>
      <c r="C1575" s="3" t="inlineStr">
        <is>
          <t>Pemasangan 1 titik Instalasi  Horn Speaker</t>
        </is>
      </c>
      <c r="D1575" s="3" t="inlineStr">
        <is>
          <t>titik</t>
        </is>
      </c>
      <c r="E1575" s="4" t="n">
        <v>589201</v>
      </c>
    </row>
    <row r="1576">
      <c r="A1576" s="3" t="n">
        <v>1574</v>
      </c>
      <c r="B1576" s="3" t="inlineStr">
        <is>
          <t>5.4.3.19</t>
        </is>
      </c>
      <c r="C1576" s="3" t="inlineStr">
        <is>
          <t>Pemasangan 1 titik Instalasi  Ceiling Speaker</t>
        </is>
      </c>
      <c r="D1576" s="3" t="inlineStr">
        <is>
          <t>titik</t>
        </is>
      </c>
      <c r="E1576" s="4" t="n">
        <v>252239</v>
      </c>
    </row>
    <row r="1577">
      <c r="A1577" s="3" t="n">
        <v>1575</v>
      </c>
      <c r="B1577" s="3" t="inlineStr">
        <is>
          <t>5.4.3.20</t>
        </is>
      </c>
      <c r="C1577" s="3" t="inlineStr">
        <is>
          <t>Pemasangan 1 Unit UPS 1 KVA (Inverter, Rectifier, Battery Backup 15 menit)</t>
        </is>
      </c>
      <c r="D1577" s="3" t="inlineStr">
        <is>
          <t>titik</t>
        </is>
      </c>
      <c r="E1577" s="4" t="n">
        <v>4494336</v>
      </c>
    </row>
    <row r="1578">
      <c r="A1578" s="3" t="n">
        <v>1576</v>
      </c>
      <c r="B1578" s="3" t="inlineStr">
        <is>
          <t>5.4.3.21</t>
        </is>
      </c>
      <c r="C1578" s="3" t="inlineStr">
        <is>
          <t>Pemasangan 1 Unit UPS 1 KVA (Inverter, Rectifier, Battery Backup 30 menit)</t>
        </is>
      </c>
      <c r="D1578" s="3" t="inlineStr">
        <is>
          <t>titik</t>
        </is>
      </c>
      <c r="E1578" s="4" t="n">
        <v>4840836</v>
      </c>
    </row>
    <row r="1579">
      <c r="A1579" s="3" t="n">
        <v>1577</v>
      </c>
      <c r="B1579" s="3" t="inlineStr">
        <is>
          <t>5.4.3.22</t>
        </is>
      </c>
      <c r="C1579" s="3" t="inlineStr">
        <is>
          <t>Pemasangan 1 Unit UPS 1 KVA (Inverter, Rectifier, Battery Backup 1 jam)</t>
        </is>
      </c>
      <c r="D1579" s="3" t="inlineStr">
        <is>
          <t>titik</t>
        </is>
      </c>
      <c r="E1579" s="4" t="n">
        <v>5764836</v>
      </c>
    </row>
    <row r="1580">
      <c r="A1580" s="3" t="n">
        <v>1578</v>
      </c>
      <c r="B1580" s="3" t="inlineStr">
        <is>
          <t>5.4.3.23</t>
        </is>
      </c>
      <c r="C1580" s="3" t="inlineStr">
        <is>
          <t>Pemasangan 1 Unit UPS 1 KVA (Inverter, Rectifier, Battery Backup 2 jam)</t>
        </is>
      </c>
      <c r="D1580" s="3" t="inlineStr">
        <is>
          <t>titik</t>
        </is>
      </c>
      <c r="E1580" s="4" t="n">
        <v>6111336</v>
      </c>
    </row>
    <row r="1581">
      <c r="A1581" s="3" t="n">
        <v>1579</v>
      </c>
      <c r="B1581" s="3" t="inlineStr">
        <is>
          <t>5.4.3.24</t>
        </is>
      </c>
      <c r="C1581" s="3" t="inlineStr">
        <is>
          <t>Pemasangan 1 Unit Power Amplifier 480 Watt</t>
        </is>
      </c>
      <c r="D1581" s="3" t="inlineStr">
        <is>
          <t>titik</t>
        </is>
      </c>
      <c r="E1581" s="4" t="n">
        <v>2967701</v>
      </c>
    </row>
    <row r="1582">
      <c r="A1582" s="3" t="n">
        <v>1580</v>
      </c>
      <c r="B1582" s="3" t="inlineStr">
        <is>
          <t>5.4.3.25</t>
        </is>
      </c>
      <c r="C1582" s="3" t="inlineStr">
        <is>
          <t>Pemasangan 1 Unit Firedome Speaker c/w Wall Metal Box</t>
        </is>
      </c>
      <c r="D1582" s="3" t="inlineStr">
        <is>
          <t>titik</t>
        </is>
      </c>
      <c r="E1582" s="4" t="n">
        <v>1869065</v>
      </c>
    </row>
    <row r="1583">
      <c r="A1583" s="3" t="n">
        <v>1581</v>
      </c>
      <c r="B1583" s="3" t="inlineStr">
        <is>
          <t>5.4.3.26</t>
        </is>
      </c>
      <c r="C1583" s="3" t="inlineStr">
        <is>
          <t>Pemasangan 1 Unit Equalizer</t>
        </is>
      </c>
      <c r="D1583" s="3" t="inlineStr">
        <is>
          <t>titik</t>
        </is>
      </c>
      <c r="E1583" s="4" t="n">
        <v>1812701</v>
      </c>
    </row>
    <row r="1584">
      <c r="A1584" s="3" t="n">
        <v>1582</v>
      </c>
      <c r="B1584" s="3" t="inlineStr">
        <is>
          <t>5.4.3.27</t>
        </is>
      </c>
      <c r="C1584" s="3" t="inlineStr">
        <is>
          <t>Pemasangan 1 Unit Volume Control</t>
        </is>
      </c>
      <c r="D1584" s="3" t="inlineStr">
        <is>
          <t>titik</t>
        </is>
      </c>
      <c r="E1584" s="4" t="n">
        <v>618106</v>
      </c>
    </row>
    <row r="1585">
      <c r="A1585" s="3" t="n">
        <v>1583</v>
      </c>
      <c r="B1585" s="3" t="inlineStr">
        <is>
          <t>5.4.3.28</t>
        </is>
      </c>
      <c r="C1585" s="3" t="inlineStr">
        <is>
          <t>Pemasangan 1 Titik Instalasi Volume Kontrol</t>
        </is>
      </c>
      <c r="D1585" s="3" t="inlineStr">
        <is>
          <t>titik</t>
        </is>
      </c>
      <c r="E1585" s="4" t="n">
        <v>283311</v>
      </c>
    </row>
    <row r="1586">
      <c r="A1586" s="3" t="n">
        <v>1584</v>
      </c>
      <c r="B1586" s="3" t="inlineStr">
        <is>
          <t>5.4.4.1</t>
        </is>
      </c>
      <c r="C1586" s="3" t="inlineStr">
        <is>
          <t>Pemasangan 1 Unit MDF 2 x 8 pair</t>
        </is>
      </c>
      <c r="D1586" s="3" t="inlineStr">
        <is>
          <t>unit</t>
        </is>
      </c>
      <c r="E1586" s="4" t="n">
        <v>205315</v>
      </c>
    </row>
    <row r="1587">
      <c r="A1587" s="3" t="n">
        <v>1585</v>
      </c>
      <c r="B1587" s="3" t="inlineStr">
        <is>
          <t>5.4.4.2</t>
        </is>
      </c>
      <c r="C1587" s="3" t="inlineStr">
        <is>
          <t>Pemasangan 1 Unit MDF 2 x 10 pair</t>
        </is>
      </c>
      <c r="D1587" s="3" t="inlineStr">
        <is>
          <t>unit</t>
        </is>
      </c>
      <c r="E1587" s="4" t="n">
        <v>235565</v>
      </c>
    </row>
    <row r="1588">
      <c r="A1588" s="3" t="n">
        <v>1586</v>
      </c>
      <c r="B1588" s="3" t="inlineStr">
        <is>
          <t>5.4.4.3</t>
        </is>
      </c>
      <c r="C1588" s="3" t="inlineStr">
        <is>
          <t>Pemasangan 1 Unit PABX Kap: 1 Line 10 Extension ( Lengkap dengan Pemprograman)</t>
        </is>
      </c>
      <c r="D1588" s="3" t="inlineStr">
        <is>
          <t>unit</t>
        </is>
      </c>
      <c r="E1588" s="4" t="n">
        <v>1475391</v>
      </c>
    </row>
    <row r="1589">
      <c r="A1589" s="3" t="n">
        <v>1587</v>
      </c>
      <c r="B1589" s="3" t="inlineStr">
        <is>
          <t>5.4.4.4</t>
        </is>
      </c>
      <c r="C1589" s="3" t="inlineStr">
        <is>
          <t>Pemasangan 1 Unit PABX Kap: 1 Line 8 Extension ( Lengkap dengan Pemprograman)</t>
        </is>
      </c>
      <c r="D1589" s="3" t="inlineStr">
        <is>
          <t>unit</t>
        </is>
      </c>
      <c r="E1589" s="4" t="n">
        <v>1218239</v>
      </c>
    </row>
    <row r="1590">
      <c r="A1590" s="3" t="n">
        <v>1588</v>
      </c>
      <c r="B1590" s="3" t="inlineStr">
        <is>
          <t>5.4.4.5</t>
        </is>
      </c>
      <c r="C1590" s="3" t="inlineStr">
        <is>
          <t>Pemasangan 1 Unit Terminal Box Telepon</t>
        </is>
      </c>
      <c r="D1590" s="3" t="inlineStr">
        <is>
          <t>unit</t>
        </is>
      </c>
      <c r="E1590" s="4" t="n">
        <v>342815</v>
      </c>
    </row>
    <row r="1591">
      <c r="A1591" s="3" t="n">
        <v>1589</v>
      </c>
      <c r="B1591" s="3" t="inlineStr">
        <is>
          <t>5.4.4.6</t>
        </is>
      </c>
      <c r="C1591" s="3" t="inlineStr">
        <is>
          <t>Pemasangan 1 Unit Outlet Telepon</t>
        </is>
      </c>
      <c r="D1591" s="3" t="inlineStr">
        <is>
          <t>unit</t>
        </is>
      </c>
      <c r="E1591" s="4" t="n">
        <v>161744</v>
      </c>
    </row>
    <row r="1592">
      <c r="A1592" s="3" t="n">
        <v>1590</v>
      </c>
      <c r="B1592" s="3" t="inlineStr">
        <is>
          <t>5.4.4.7</t>
        </is>
      </c>
      <c r="C1592" s="3" t="inlineStr">
        <is>
          <t>Pemasangan 1 Unit Instalasi Outlet Telepon</t>
        </is>
      </c>
      <c r="D1592" s="3" t="inlineStr">
        <is>
          <t>unit</t>
        </is>
      </c>
      <c r="E1592" s="4" t="n">
        <v>429444</v>
      </c>
    </row>
    <row r="1593">
      <c r="A1593" s="3" t="n">
        <v>1591</v>
      </c>
      <c r="B1593" s="3" t="inlineStr">
        <is>
          <t>5.4.4.8</t>
        </is>
      </c>
      <c r="C1593" s="3" t="inlineStr">
        <is>
          <t>Pemasangan 1 Unit Telepon Kabel</t>
        </is>
      </c>
      <c r="D1593" s="3" t="inlineStr">
        <is>
          <t>unit</t>
        </is>
      </c>
      <c r="E1593" s="4" t="n">
        <v>703868</v>
      </c>
    </row>
    <row r="1594">
      <c r="A1594" s="3" t="n">
        <v>1592</v>
      </c>
      <c r="B1594" s="3" t="inlineStr">
        <is>
          <t>5.4.5.1</t>
        </is>
      </c>
      <c r="C1594" s="3" t="inlineStr">
        <is>
          <t>Pemasangan 1 Unit Sever / Gateway c/w PC, Monitor, Keyboar, Mouse</t>
        </is>
      </c>
      <c r="D1594" s="3" t="inlineStr">
        <is>
          <t>unit</t>
        </is>
      </c>
      <c r="E1594" s="4" t="n">
        <v>7876093</v>
      </c>
    </row>
    <row r="1595">
      <c r="A1595" s="3" t="n">
        <v>1593</v>
      </c>
      <c r="B1595" s="3" t="inlineStr">
        <is>
          <t>5.4.5.2</t>
        </is>
      </c>
      <c r="C1595" s="3" t="inlineStr">
        <is>
          <t>Pemasangan 1 Unit Main Switch HUB 24 Port</t>
        </is>
      </c>
      <c r="D1595" s="3" t="inlineStr">
        <is>
          <t>unit</t>
        </is>
      </c>
      <c r="E1595" s="4" t="n">
        <v>1416783</v>
      </c>
    </row>
    <row r="1596">
      <c r="A1596" s="3" t="n">
        <v>1594</v>
      </c>
      <c r="B1596" s="3" t="inlineStr">
        <is>
          <t>5.4.5.3</t>
        </is>
      </c>
      <c r="C1596" s="3" t="inlineStr">
        <is>
          <t>Pemasangan 1 Unit Main Switch HUB 12 Port</t>
        </is>
      </c>
      <c r="D1596" s="3" t="inlineStr">
        <is>
          <t>unit</t>
        </is>
      </c>
      <c r="E1596" s="4" t="n">
        <v>1070283</v>
      </c>
    </row>
    <row r="1597">
      <c r="A1597" s="3" t="n">
        <v>1595</v>
      </c>
      <c r="B1597" s="3" t="inlineStr">
        <is>
          <t>5.4.5.4</t>
        </is>
      </c>
      <c r="C1597" s="3" t="inlineStr">
        <is>
          <t>Pemasangan 1 Unit Router Broadband</t>
        </is>
      </c>
      <c r="D1597" s="3" t="inlineStr">
        <is>
          <t>unit</t>
        </is>
      </c>
      <c r="E1597" s="4" t="n">
        <v>715451</v>
      </c>
    </row>
    <row r="1598">
      <c r="A1598" s="3" t="n">
        <v>1596</v>
      </c>
      <c r="B1598" s="3" t="inlineStr">
        <is>
          <t>5.4.5.5</t>
        </is>
      </c>
      <c r="C1598" s="3" t="inlineStr">
        <is>
          <t>Pemasangan 1 Unit Fire Wall + Anti Virus</t>
        </is>
      </c>
      <c r="D1598" s="3" t="inlineStr">
        <is>
          <t>unit</t>
        </is>
      </c>
      <c r="E1598" s="4" t="n">
        <v>419919</v>
      </c>
    </row>
    <row r="1599">
      <c r="A1599" s="3" t="n">
        <v>1597</v>
      </c>
      <c r="B1599" s="3" t="inlineStr">
        <is>
          <t>5.4.5.6</t>
        </is>
      </c>
      <c r="C1599" s="3" t="inlineStr">
        <is>
          <t>Pemasangan 1 Unit  Outlet Data</t>
        </is>
      </c>
      <c r="D1599" s="3" t="inlineStr">
        <is>
          <t>unit</t>
        </is>
      </c>
      <c r="E1599" s="4" t="n">
        <v>195239</v>
      </c>
    </row>
    <row r="1600">
      <c r="A1600" s="3" t="n">
        <v>1598</v>
      </c>
      <c r="B1600" s="3" t="inlineStr">
        <is>
          <t>5.4.5.7</t>
        </is>
      </c>
      <c r="C1600" s="3" t="inlineStr">
        <is>
          <t>Pemasangan 1 Titik Instalasi Outlet Data</t>
        </is>
      </c>
      <c r="D1600" s="3" t="inlineStr">
        <is>
          <t>unit</t>
        </is>
      </c>
      <c r="E1600" s="4" t="n">
        <v>427934</v>
      </c>
    </row>
    <row r="1601">
      <c r="A1601" s="3" t="n">
        <v>1599</v>
      </c>
      <c r="B1601" s="3" t="inlineStr">
        <is>
          <t>5.4.5.8</t>
        </is>
      </c>
      <c r="C1601" s="3" t="inlineStr">
        <is>
          <t>Pemasangan 1 Unit Patch Cord</t>
        </is>
      </c>
      <c r="D1601" s="3" t="inlineStr">
        <is>
          <t>unit</t>
        </is>
      </c>
      <c r="E1601" s="4" t="n">
        <v>54890</v>
      </c>
    </row>
    <row r="1602">
      <c r="A1602" s="3" t="n">
        <v>1600</v>
      </c>
      <c r="B1602" s="3" t="inlineStr">
        <is>
          <t>5.4.5.9</t>
        </is>
      </c>
      <c r="C1602" s="3" t="inlineStr">
        <is>
          <t>Pemasangan 1 Unit Patch  Panel 24 Port</t>
        </is>
      </c>
      <c r="D1602" s="3" t="inlineStr">
        <is>
          <t>unit</t>
        </is>
      </c>
      <c r="E1602" s="4" t="n">
        <v>710908</v>
      </c>
    </row>
    <row r="1603">
      <c r="A1603" s="3" t="n">
        <v>1601</v>
      </c>
      <c r="B1603" s="3" t="inlineStr">
        <is>
          <t>5.4.5.10</t>
        </is>
      </c>
      <c r="C1603" s="3" t="inlineStr">
        <is>
          <t>Pemasangan 1 Unit Wifi Access Ponit ( Wifi 6 Radius 50 m)</t>
        </is>
      </c>
      <c r="D1603" s="3" t="inlineStr">
        <is>
          <t>unit</t>
        </is>
      </c>
      <c r="E1603" s="4" t="n">
        <v>1748483</v>
      </c>
    </row>
    <row r="1604">
      <c r="A1604" s="3" t="n">
        <v>1602</v>
      </c>
      <c r="B1604" s="3" t="inlineStr">
        <is>
          <t>5.4.5.11</t>
        </is>
      </c>
      <c r="C1604" s="3" t="inlineStr">
        <is>
          <t>Pemasangan 1 Unit Switch HUB 8 Port, Unmanaged c/w OTB</t>
        </is>
      </c>
      <c r="D1604" s="3" t="inlineStr">
        <is>
          <t>unit</t>
        </is>
      </c>
      <c r="E1604" s="4" t="n">
        <v>1249154</v>
      </c>
    </row>
    <row r="1605">
      <c r="A1605" s="3" t="n">
        <v>1603</v>
      </c>
      <c r="B1605" s="3" t="inlineStr">
        <is>
          <t>5.4.5.12</t>
        </is>
      </c>
      <c r="C1605" s="3" t="inlineStr">
        <is>
          <t>Pemasangan 1 Unit Touch Screen Panel 7"</t>
        </is>
      </c>
      <c r="D1605" s="3" t="inlineStr">
        <is>
          <t>unit</t>
        </is>
      </c>
      <c r="E1605" s="4" t="n">
        <v>2963532</v>
      </c>
    </row>
    <row r="1606">
      <c r="A1606" s="3" t="n">
        <v>1604</v>
      </c>
      <c r="B1606" s="3" t="inlineStr">
        <is>
          <t>5.4.5.13</t>
        </is>
      </c>
      <c r="C1606" s="3" t="inlineStr">
        <is>
          <t>Pemasangan 1 Unit Touch Screen Panel 10"</t>
        </is>
      </c>
      <c r="D1606" s="3" t="inlineStr">
        <is>
          <t>unit</t>
        </is>
      </c>
      <c r="E1606" s="4" t="n">
        <v>3205532</v>
      </c>
    </row>
    <row r="1607">
      <c r="A1607" s="3" t="n">
        <v>1605</v>
      </c>
      <c r="B1607" s="3" t="inlineStr">
        <is>
          <t>5.4.5.14</t>
        </is>
      </c>
      <c r="C1607" s="3" t="inlineStr">
        <is>
          <t>Pemasangan 1 Unit Touch Screen Panel 12"</t>
        </is>
      </c>
      <c r="D1607" s="3" t="inlineStr">
        <is>
          <t>unit</t>
        </is>
      </c>
      <c r="E1607" s="4" t="n">
        <v>3794516</v>
      </c>
    </row>
    <row r="1608">
      <c r="A1608" s="3" t="n">
        <v>1606</v>
      </c>
      <c r="B1608" s="3" t="inlineStr">
        <is>
          <t>5.4.5.15</t>
        </is>
      </c>
      <c r="C1608" s="3" t="inlineStr">
        <is>
          <t>Pemasangan 1 Unit Touch Screen Panel 14"</t>
        </is>
      </c>
      <c r="D1608" s="3" t="inlineStr">
        <is>
          <t>unit</t>
        </is>
      </c>
      <c r="E1608" s="4" t="n">
        <v>4157516</v>
      </c>
    </row>
    <row r="1609">
      <c r="A1609" s="3" t="n">
        <v>1607</v>
      </c>
      <c r="B1609" s="3" t="inlineStr">
        <is>
          <t>5.4.5.16</t>
        </is>
      </c>
      <c r="C1609" s="3" t="inlineStr">
        <is>
          <t>Pemasangan 1 Unit Wall Mounted Rack 15U</t>
        </is>
      </c>
      <c r="D1609" s="3" t="inlineStr">
        <is>
          <t>unit</t>
        </is>
      </c>
      <c r="E1609" s="4" t="n">
        <v>458766</v>
      </c>
    </row>
    <row r="1610">
      <c r="A1610" s="3" t="n">
        <v>1608</v>
      </c>
      <c r="B1610" s="3" t="inlineStr">
        <is>
          <t>5.4.5.17</t>
        </is>
      </c>
      <c r="C1610" s="3" t="inlineStr">
        <is>
          <t>Pemasangan 1 Unit Workstation, Meja + Kursi</t>
        </is>
      </c>
      <c r="D1610" s="3" t="inlineStr">
        <is>
          <t>unit</t>
        </is>
      </c>
      <c r="E1610" s="4" t="n">
        <v>3120667</v>
      </c>
    </row>
    <row r="1611">
      <c r="A1611" s="3" t="n">
        <v>1609</v>
      </c>
      <c r="B1611" s="3" t="inlineStr">
        <is>
          <t>5.4.5.18</t>
        </is>
      </c>
      <c r="C1611" s="3" t="inlineStr">
        <is>
          <t>Pemasangan 1 Unit Modular Jack</t>
        </is>
      </c>
      <c r="D1611" s="3" t="inlineStr">
        <is>
          <t>unit</t>
        </is>
      </c>
      <c r="E1611" s="4" t="n">
        <v>135740</v>
      </c>
    </row>
    <row r="1612">
      <c r="A1612" s="3" t="n">
        <v>1610</v>
      </c>
      <c r="B1612" s="3" t="inlineStr">
        <is>
          <t>5.4.5.19</t>
        </is>
      </c>
      <c r="C1612" s="3" t="inlineStr">
        <is>
          <t>Pemasangan 1 m' Kabel Fiber Optic 4 Core + Pipa Conduit HDPE 20 mm</t>
        </is>
      </c>
      <c r="D1612" s="3" t="inlineStr">
        <is>
          <t>unit</t>
        </is>
      </c>
      <c r="E1612" s="4" t="n">
        <v>38808</v>
      </c>
    </row>
    <row r="1613">
      <c r="A1613" s="3" t="n">
        <v>1611</v>
      </c>
      <c r="B1613" s="3" t="inlineStr">
        <is>
          <t>5.4.5.20</t>
        </is>
      </c>
      <c r="C1613" s="3" t="inlineStr">
        <is>
          <t>Pemasangan 1 Unit Wireless Access Point Outdoor</t>
        </is>
      </c>
      <c r="D1613" s="3" t="inlineStr">
        <is>
          <t>unit</t>
        </is>
      </c>
      <c r="E1613" s="4" t="n">
        <v>1748483</v>
      </c>
    </row>
    <row r="1614">
      <c r="A1614" s="3" t="n">
        <v>1612</v>
      </c>
      <c r="B1614" s="3" t="inlineStr">
        <is>
          <t>5.4.6.1</t>
        </is>
      </c>
      <c r="C1614" s="3" t="inlineStr">
        <is>
          <t>Pemasangan 1 Titik Instalasi TV</t>
        </is>
      </c>
      <c r="D1614" s="3" t="inlineStr">
        <is>
          <t>titik</t>
        </is>
      </c>
      <c r="E1614" s="4" t="n">
        <v>1163462</v>
      </c>
    </row>
    <row r="1615">
      <c r="A1615" s="3" t="n">
        <v>1613</v>
      </c>
      <c r="B1615" s="3" t="inlineStr">
        <is>
          <t>5.4.6.2</t>
        </is>
      </c>
      <c r="C1615" s="3" t="inlineStr">
        <is>
          <t>Pemasangan 1 Unit Splitter TV 6 Port</t>
        </is>
      </c>
      <c r="D1615" s="3" t="inlineStr">
        <is>
          <t>unit</t>
        </is>
      </c>
      <c r="E1615" s="4" t="n">
        <v>142604</v>
      </c>
    </row>
    <row r="1616">
      <c r="A1616" s="3" t="n">
        <v>1614</v>
      </c>
      <c r="B1616" s="3" t="inlineStr">
        <is>
          <t>5.4.6.3</t>
        </is>
      </c>
      <c r="C1616" s="3" t="inlineStr">
        <is>
          <t>Pemasangan 1 Unit Splitter TV 7 Port</t>
        </is>
      </c>
      <c r="D1616" s="3" t="inlineStr">
        <is>
          <t>unit</t>
        </is>
      </c>
      <c r="E1616" s="4" t="n">
        <v>171479</v>
      </c>
    </row>
    <row r="1617">
      <c r="A1617" s="3" t="n">
        <v>1615</v>
      </c>
      <c r="B1617" s="3" t="inlineStr">
        <is>
          <t>5.4.6.4</t>
        </is>
      </c>
      <c r="C1617" s="3" t="inlineStr">
        <is>
          <t>Pemasangan 1 Unit Terminal Box TV</t>
        </is>
      </c>
      <c r="D1617" s="3" t="inlineStr">
        <is>
          <t>unit</t>
        </is>
      </c>
      <c r="E1617" s="4" t="n">
        <v>310739</v>
      </c>
    </row>
    <row r="1618">
      <c r="A1618" s="3" t="n">
        <v>1616</v>
      </c>
      <c r="B1618" s="3" t="inlineStr">
        <is>
          <t>5.4.6.5</t>
        </is>
      </c>
      <c r="C1618" s="3" t="inlineStr">
        <is>
          <t>Pemasangan 1 Unit Antena UHF</t>
        </is>
      </c>
      <c r="D1618" s="3" t="inlineStr">
        <is>
          <t>unit</t>
        </is>
      </c>
      <c r="E1618" s="4" t="n">
        <v>264297</v>
      </c>
    </row>
    <row r="1619">
      <c r="A1619" s="3" t="n">
        <v>1617</v>
      </c>
      <c r="B1619" s="3" t="inlineStr">
        <is>
          <t>5.4.6.6</t>
        </is>
      </c>
      <c r="C1619" s="3" t="inlineStr">
        <is>
          <t>Pemasangan 1 Unit Antena VHF</t>
        </is>
      </c>
      <c r="D1619" s="3" t="inlineStr">
        <is>
          <t>unit</t>
        </is>
      </c>
      <c r="E1619" s="4" t="n">
        <v>287397</v>
      </c>
    </row>
    <row r="1620">
      <c r="A1620" s="3" t="n">
        <v>1618</v>
      </c>
      <c r="B1620" s="3" t="inlineStr">
        <is>
          <t>5.4.7.1</t>
        </is>
      </c>
      <c r="C1620" s="3" t="inlineStr">
        <is>
          <t>Pemasangan 1 Unit Main Control Unit (MCU)</t>
        </is>
      </c>
      <c r="D1620" s="3" t="inlineStr">
        <is>
          <t>unit</t>
        </is>
      </c>
      <c r="E1620" s="4" t="n">
        <v>17656672</v>
      </c>
    </row>
    <row r="1621">
      <c r="A1621" s="3" t="n">
        <v>1619</v>
      </c>
      <c r="B1621" s="3" t="inlineStr">
        <is>
          <t>5.4.7.2</t>
        </is>
      </c>
      <c r="C1621" s="3" t="inlineStr">
        <is>
          <t>Pemasangan 1 Unit Remote Display 10''</t>
        </is>
      </c>
      <c r="D1621" s="3" t="inlineStr">
        <is>
          <t>unit</t>
        </is>
      </c>
      <c r="E1621" s="4" t="n">
        <v>1260336</v>
      </c>
    </row>
    <row r="1622">
      <c r="A1622" s="3" t="n">
        <v>1620</v>
      </c>
      <c r="B1622" s="3" t="inlineStr">
        <is>
          <t>5.4.7.3</t>
        </is>
      </c>
      <c r="C1622" s="3" t="inlineStr">
        <is>
          <t>Pemasangan 1 Unit Cable Communication Module</t>
        </is>
      </c>
      <c r="D1622" s="3" t="inlineStr">
        <is>
          <t>unit</t>
        </is>
      </c>
      <c r="E1622" s="4" t="n">
        <v>2940597</v>
      </c>
    </row>
    <row r="1623">
      <c r="A1623" s="3" t="n">
        <v>1621</v>
      </c>
      <c r="B1623" s="3" t="inlineStr">
        <is>
          <t>5.4.7.4</t>
        </is>
      </c>
      <c r="C1623" s="3" t="inlineStr">
        <is>
          <t>Pemasangan 1 Unit Box Panel DDC</t>
        </is>
      </c>
      <c r="D1623" s="3" t="inlineStr">
        <is>
          <t>unit</t>
        </is>
      </c>
      <c r="E1623" s="4" t="n">
        <v>1865908</v>
      </c>
    </row>
    <row r="1624">
      <c r="A1624" s="3" t="n">
        <v>1622</v>
      </c>
      <c r="B1624" s="3" t="inlineStr">
        <is>
          <t>5.4.7.5</t>
        </is>
      </c>
      <c r="C1624" s="3" t="inlineStr">
        <is>
          <t>Pemasangan 1 Unit Room Temperature Sensor</t>
        </is>
      </c>
      <c r="D1624" s="3" t="inlineStr">
        <is>
          <t>unit</t>
        </is>
      </c>
      <c r="E1624" s="4" t="n">
        <v>1439097</v>
      </c>
    </row>
    <row r="1625">
      <c r="A1625" s="3" t="n">
        <v>1623</v>
      </c>
      <c r="B1625" s="3" t="inlineStr">
        <is>
          <t>5.4.7.6</t>
        </is>
      </c>
      <c r="C1625" s="3" t="inlineStr">
        <is>
          <t>Pemasangan 1 Unit Level Switch</t>
        </is>
      </c>
      <c r="D1625" s="3" t="inlineStr">
        <is>
          <t>unit</t>
        </is>
      </c>
      <c r="E1625" s="4" t="n">
        <v>266772</v>
      </c>
    </row>
    <row r="1626">
      <c r="A1626" s="3" t="n">
        <v>1624</v>
      </c>
      <c r="B1626" s="3" t="inlineStr">
        <is>
          <t>5.4.7.7</t>
        </is>
      </c>
      <c r="C1626" s="3" t="inlineStr">
        <is>
          <t>Pemasangan 1 Unit Digital Input</t>
        </is>
      </c>
      <c r="D1626" s="3" t="inlineStr">
        <is>
          <t>unit</t>
        </is>
      </c>
      <c r="E1626" s="4" t="n">
        <v>5796989</v>
      </c>
    </row>
    <row r="1627">
      <c r="A1627" s="3" t="n">
        <v>1625</v>
      </c>
      <c r="B1627" s="3" t="inlineStr">
        <is>
          <t>5.4.7.8</t>
        </is>
      </c>
      <c r="C1627" s="3" t="inlineStr">
        <is>
          <t>Pemasangan 1 Titik Instalasi Kabel Power DDC</t>
        </is>
      </c>
      <c r="D1627" s="3" t="inlineStr">
        <is>
          <t>unit</t>
        </is>
      </c>
      <c r="E1627" s="4" t="n">
        <v>408475</v>
      </c>
    </row>
    <row r="1628">
      <c r="A1628" s="3" t="n">
        <v>1626</v>
      </c>
      <c r="B1628" s="3" t="inlineStr">
        <is>
          <t>5.5.1.1</t>
        </is>
      </c>
      <c r="C1628" s="3" t="inlineStr">
        <is>
          <t>Pemasangan 1 Unit AC Wall Mounted Kap: 5.000 BTUH</t>
        </is>
      </c>
      <c r="D1628" s="3" t="inlineStr">
        <is>
          <t>unit</t>
        </is>
      </c>
      <c r="E1628" s="4" t="n">
        <v>4192391</v>
      </c>
    </row>
    <row r="1629">
      <c r="A1629" s="3" t="n">
        <v>1627</v>
      </c>
      <c r="B1629" s="3" t="inlineStr">
        <is>
          <t>5.5.1.2</t>
        </is>
      </c>
      <c r="C1629" s="3" t="inlineStr">
        <is>
          <t>Pemasangan 1 Unit AC Wall Mounted Kap: 6.500 BTUH</t>
        </is>
      </c>
      <c r="D1629" s="3" t="inlineStr">
        <is>
          <t>unit</t>
        </is>
      </c>
      <c r="E1629" s="4" t="n">
        <v>4973727</v>
      </c>
    </row>
    <row r="1630">
      <c r="A1630" s="3" t="n">
        <v>1628</v>
      </c>
      <c r="B1630" s="3" t="inlineStr">
        <is>
          <t>5.5.1.3</t>
        </is>
      </c>
      <c r="C1630" s="3" t="inlineStr">
        <is>
          <t>Pemasangan 1 Unit AC Wall Mounted Kap: 7.000 BTUH</t>
        </is>
      </c>
      <c r="D1630" s="3" t="inlineStr">
        <is>
          <t>unit</t>
        </is>
      </c>
      <c r="E1630" s="4" t="n">
        <v>5457727</v>
      </c>
    </row>
    <row r="1631">
      <c r="A1631" s="3" t="n">
        <v>1629</v>
      </c>
      <c r="B1631" s="3" t="inlineStr">
        <is>
          <t>5.5.1.4</t>
        </is>
      </c>
      <c r="C1631" s="3" t="inlineStr">
        <is>
          <t>Pemasangan 1 Unit AC Wall Mounted Kap: 9.000 BTUH</t>
        </is>
      </c>
      <c r="D1631" s="3" t="inlineStr">
        <is>
          <t>unit</t>
        </is>
      </c>
      <c r="E1631" s="4" t="n">
        <v>5820727</v>
      </c>
    </row>
    <row r="1632">
      <c r="A1632" s="3" t="n">
        <v>1630</v>
      </c>
      <c r="B1632" s="3" t="inlineStr">
        <is>
          <t>5.5.1.5</t>
        </is>
      </c>
      <c r="C1632" s="3" t="inlineStr">
        <is>
          <t>Pemasangan 1 Unit AC Wall Mounted Kap:12.000 BTUH</t>
        </is>
      </c>
      <c r="D1632" s="3" t="inlineStr">
        <is>
          <t>unit</t>
        </is>
      </c>
      <c r="E1632" s="4" t="n">
        <v>6788727</v>
      </c>
    </row>
    <row r="1633">
      <c r="A1633" s="3" t="n">
        <v>1631</v>
      </c>
      <c r="B1633" s="3" t="inlineStr">
        <is>
          <t>5.5.1.6</t>
        </is>
      </c>
      <c r="C1633" s="3" t="inlineStr">
        <is>
          <t>Pemasangan 1 Unit AC Wall Mounted Kap:24.000 BTUH</t>
        </is>
      </c>
      <c r="D1633" s="3" t="inlineStr">
        <is>
          <t>unit</t>
        </is>
      </c>
      <c r="E1633" s="4" t="n">
        <v>9727762</v>
      </c>
    </row>
    <row r="1634">
      <c r="A1634" s="3" t="n">
        <v>1632</v>
      </c>
      <c r="B1634" s="3" t="inlineStr">
        <is>
          <t>5.5.1.7</t>
        </is>
      </c>
      <c r="C1634" s="3" t="inlineStr">
        <is>
          <t>Pemasangan 1 Unit AC Wall Mounted Kap:35.000 BTUH</t>
        </is>
      </c>
      <c r="D1634" s="3" t="inlineStr">
        <is>
          <t>unit</t>
        </is>
      </c>
      <c r="E1634" s="4" t="n">
        <v>12951675</v>
      </c>
    </row>
    <row r="1635">
      <c r="A1635" s="3" t="n">
        <v>1633</v>
      </c>
      <c r="B1635" s="3" t="inlineStr">
        <is>
          <t>5.5.1.8</t>
        </is>
      </c>
      <c r="C1635" s="3" t="inlineStr">
        <is>
          <t>Pemasangan 1 Titik Kabel Power AC NYM 3x2,5 mm2</t>
        </is>
      </c>
      <c r="D1635" s="3" t="inlineStr">
        <is>
          <t>titik</t>
        </is>
      </c>
      <c r="E1635" s="4" t="n">
        <v>40744</v>
      </c>
    </row>
    <row r="1636">
      <c r="A1636" s="3" t="n">
        <v>1634</v>
      </c>
      <c r="B1636" s="3" t="inlineStr">
        <is>
          <t>5.5.1.9</t>
        </is>
      </c>
      <c r="C1636" s="3" t="inlineStr">
        <is>
          <t>Pemasangan 1 Titik Kabel Kontrol AC NYM 3x2,5 mm2</t>
        </is>
      </c>
      <c r="D1636" s="3" t="inlineStr">
        <is>
          <t>titik</t>
        </is>
      </c>
      <c r="E1636" s="4" t="n">
        <v>274769</v>
      </c>
    </row>
    <row r="1637">
      <c r="A1637" s="3" t="n">
        <v>1635</v>
      </c>
      <c r="B1637" s="3" t="inlineStr">
        <is>
          <t>5.5.1.10</t>
        </is>
      </c>
      <c r="C1637" s="3" t="inlineStr">
        <is>
          <t>Pemasangan 1 Unit AC Wall Mounted Kap : 15.400 BTUH</t>
        </is>
      </c>
      <c r="D1637" s="3" t="inlineStr">
        <is>
          <t>titik</t>
        </is>
      </c>
      <c r="E1637" s="4" t="n">
        <v>7635727</v>
      </c>
    </row>
    <row r="1638">
      <c r="A1638" s="3" t="n">
        <v>1636</v>
      </c>
      <c r="B1638" s="3" t="inlineStr">
        <is>
          <t>5.5.1.11</t>
        </is>
      </c>
      <c r="C1638" s="3" t="inlineStr">
        <is>
          <t>Pemasangan 1 Unit AC Wall Mounted Kap : 19.100 BTUH</t>
        </is>
      </c>
      <c r="D1638" s="3" t="inlineStr">
        <is>
          <t>titik</t>
        </is>
      </c>
      <c r="E1638" s="4" t="n">
        <v>8396762</v>
      </c>
    </row>
    <row r="1639">
      <c r="A1639" s="3" t="n">
        <v>1637</v>
      </c>
      <c r="B1639" s="3" t="inlineStr">
        <is>
          <t>5.5.1.12</t>
        </is>
      </c>
      <c r="C1639" s="3" t="inlineStr">
        <is>
          <t>Pemasangan 1 Unit AC Cassette Kap : 15.400 BTUH</t>
        </is>
      </c>
      <c r="D1639" s="3" t="inlineStr">
        <is>
          <t>titik</t>
        </is>
      </c>
      <c r="E1639" s="4" t="n">
        <v>18681762</v>
      </c>
    </row>
    <row r="1640">
      <c r="A1640" s="3" t="n">
        <v>1638</v>
      </c>
      <c r="B1640" s="3" t="inlineStr">
        <is>
          <t>5.5.1.13</t>
        </is>
      </c>
      <c r="C1640" s="3" t="inlineStr">
        <is>
          <t>Pemasangan 1 Unit AC Cassette Kap : 19.100 BTUH</t>
        </is>
      </c>
      <c r="D1640" s="3" t="inlineStr">
        <is>
          <t>titik</t>
        </is>
      </c>
      <c r="E1640" s="4" t="n">
        <v>21706762</v>
      </c>
    </row>
    <row r="1641">
      <c r="A1641" s="3" t="n">
        <v>1639</v>
      </c>
      <c r="B1641" s="3" t="inlineStr">
        <is>
          <t>5.5.1.14</t>
        </is>
      </c>
      <c r="C1641" s="3" t="inlineStr">
        <is>
          <t>Pemasangan 1 Unit AC Cassette Kap : 24.200 BTUH</t>
        </is>
      </c>
      <c r="D1641" s="3" t="inlineStr">
        <is>
          <t>titik</t>
        </is>
      </c>
      <c r="E1641" s="4" t="n">
        <v>27756762</v>
      </c>
    </row>
    <row r="1642">
      <c r="A1642" s="3" t="n">
        <v>1640</v>
      </c>
      <c r="B1642" s="3" t="inlineStr">
        <is>
          <t>5.5.1.15</t>
        </is>
      </c>
      <c r="C1642" s="3" t="inlineStr">
        <is>
          <t>Pemasangan 1 Unit AC Cassette Kap : 30.700 BTUH</t>
        </is>
      </c>
      <c r="D1642" s="3" t="inlineStr">
        <is>
          <t>titik</t>
        </is>
      </c>
      <c r="E1642" s="4" t="n">
        <v>36831762</v>
      </c>
    </row>
    <row r="1643">
      <c r="A1643" s="3" t="n">
        <v>1641</v>
      </c>
      <c r="B1643" s="3" t="inlineStr">
        <is>
          <t>5.5.1.16</t>
        </is>
      </c>
      <c r="C1643" s="3" t="inlineStr">
        <is>
          <t>Pemasangan 1 Unit AC Cassette Kap : 38.200 BTUH</t>
        </is>
      </c>
      <c r="D1643" s="3" t="inlineStr">
        <is>
          <t>titik</t>
        </is>
      </c>
      <c r="E1643" s="4" t="n">
        <v>43201675</v>
      </c>
    </row>
    <row r="1644">
      <c r="A1644" s="3" t="n">
        <v>1642</v>
      </c>
      <c r="B1644" s="3" t="inlineStr">
        <is>
          <t>5.5.1.17</t>
        </is>
      </c>
      <c r="C1644" s="3" t="inlineStr">
        <is>
          <t>Pemasangan 1 Unit AC Cassette Kap : 47.800 BTUH</t>
        </is>
      </c>
      <c r="D1644" s="3" t="inlineStr">
        <is>
          <t>titik</t>
        </is>
      </c>
      <c r="E1644" s="4" t="n">
        <v>49251675</v>
      </c>
    </row>
    <row r="1645">
      <c r="A1645" s="3" t="n">
        <v>1643</v>
      </c>
      <c r="B1645" s="3" t="inlineStr">
        <is>
          <t>5.5.1.18</t>
        </is>
      </c>
      <c r="C1645" s="3" t="inlineStr">
        <is>
          <t>Pemasangan 1 Unit AC Cassette Kap : 54.600 BTUH</t>
        </is>
      </c>
      <c r="D1645" s="3" t="inlineStr">
        <is>
          <t>titik</t>
        </is>
      </c>
      <c r="E1645" s="4" t="n">
        <v>55556880</v>
      </c>
    </row>
    <row r="1646">
      <c r="A1646" s="3" t="n">
        <v>1644</v>
      </c>
      <c r="B1646" s="3" t="inlineStr">
        <is>
          <t>5.5.1.19</t>
        </is>
      </c>
      <c r="C1646" s="3" t="inlineStr">
        <is>
          <t>Pemasangan 1 Unit AC Cassette Duct Kap. 24.200 Btu/h</t>
        </is>
      </c>
      <c r="D1646" s="3" t="inlineStr">
        <is>
          <t>titik</t>
        </is>
      </c>
      <c r="E1646" s="4" t="n">
        <v>20549859</v>
      </c>
    </row>
    <row r="1647">
      <c r="A1647" s="3" t="n">
        <v>1645</v>
      </c>
      <c r="B1647" s="3" t="inlineStr">
        <is>
          <t>5.5.1.20</t>
        </is>
      </c>
      <c r="C1647" s="3" t="inlineStr">
        <is>
          <t>Pemasangan 1 Unit AC Cassette Duct Kap. 30.700 Btu/h</t>
        </is>
      </c>
      <c r="D1647" s="3" t="inlineStr">
        <is>
          <t>titik</t>
        </is>
      </c>
      <c r="E1647" s="4" t="n">
        <v>39304859</v>
      </c>
    </row>
    <row r="1648">
      <c r="A1648" s="3" t="n">
        <v>1646</v>
      </c>
      <c r="B1648" s="3" t="inlineStr">
        <is>
          <t>5.5.1.21</t>
        </is>
      </c>
      <c r="C1648" s="3" t="inlineStr">
        <is>
          <t>Pemasangan 1 Unit AC Cassette Duct Kap. 38.200 Btu/h</t>
        </is>
      </c>
      <c r="D1648" s="3" t="inlineStr">
        <is>
          <t>titik</t>
        </is>
      </c>
      <c r="E1648" s="4" t="n">
        <v>45706771</v>
      </c>
    </row>
    <row r="1649">
      <c r="A1649" s="3" t="n">
        <v>1647</v>
      </c>
      <c r="B1649" s="3" t="inlineStr">
        <is>
          <t>5.5.1.22</t>
        </is>
      </c>
      <c r="C1649" s="3" t="inlineStr">
        <is>
          <t>Pemasangan 1 Unit AC Split Duct Kap. 12.300 Btu/h</t>
        </is>
      </c>
      <c r="D1649" s="3" t="inlineStr">
        <is>
          <t>titik</t>
        </is>
      </c>
      <c r="E1649" s="4" t="n">
        <v>13670602</v>
      </c>
    </row>
    <row r="1650">
      <c r="A1650" s="3" t="n">
        <v>1648</v>
      </c>
      <c r="B1650" s="3" t="inlineStr">
        <is>
          <t>5.5.1.23</t>
        </is>
      </c>
      <c r="C1650" s="3" t="inlineStr">
        <is>
          <t>Pemasangan 1 Unit AC Split Duct Kap. 15.400 Btu/h</t>
        </is>
      </c>
      <c r="D1650" s="3" t="inlineStr">
        <is>
          <t>titik</t>
        </is>
      </c>
      <c r="E1650" s="4" t="n">
        <v>19756605</v>
      </c>
    </row>
    <row r="1651">
      <c r="A1651" s="3" t="n">
        <v>1649</v>
      </c>
      <c r="B1651" s="3" t="inlineStr">
        <is>
          <t>5.5.1.24</t>
        </is>
      </c>
      <c r="C1651" s="3" t="inlineStr">
        <is>
          <t>Pemasangan 1 Unit AC Split Duct Kap. 24.200 Btu/h</t>
        </is>
      </c>
      <c r="D1651" s="3" t="inlineStr">
        <is>
          <t>titik</t>
        </is>
      </c>
      <c r="E1651" s="4" t="n">
        <v>28976134</v>
      </c>
    </row>
    <row r="1652">
      <c r="A1652" s="3" t="n">
        <v>1650</v>
      </c>
      <c r="B1652" s="3" t="inlineStr">
        <is>
          <t>5.5.1.25</t>
        </is>
      </c>
      <c r="C1652" s="3" t="inlineStr">
        <is>
          <t>Pemasangan 1 Unit AC Split Duct Kap. 30.700 Btu/h</t>
        </is>
      </c>
      <c r="D1652" s="3" t="inlineStr">
        <is>
          <t>titik</t>
        </is>
      </c>
      <c r="E1652" s="4" t="n">
        <v>38375672</v>
      </c>
    </row>
    <row r="1653">
      <c r="A1653" s="3" t="n">
        <v>1651</v>
      </c>
      <c r="B1653" s="3" t="inlineStr">
        <is>
          <t>5.5.1.26</t>
        </is>
      </c>
      <c r="C1653" s="3" t="inlineStr">
        <is>
          <t>Pemasangan 1 Unit AC Split Duct Kap. 38.200 Btu/h</t>
        </is>
      </c>
      <c r="D1653" s="3" t="inlineStr">
        <is>
          <t>titik</t>
        </is>
      </c>
      <c r="E1653" s="4" t="n">
        <v>44425672</v>
      </c>
    </row>
    <row r="1654">
      <c r="A1654" s="3" t="n">
        <v>1652</v>
      </c>
      <c r="B1654" s="3" t="inlineStr">
        <is>
          <t>5.5.1.27</t>
        </is>
      </c>
      <c r="C1654" s="3" t="inlineStr">
        <is>
          <t>Pemasangan 1 Unit AC Split Duct Kap. 47.800 Btu/h</t>
        </is>
      </c>
      <c r="D1654" s="3" t="inlineStr">
        <is>
          <t>titik</t>
        </is>
      </c>
      <c r="E1654" s="4" t="n">
        <v>50475672</v>
      </c>
    </row>
    <row r="1655">
      <c r="A1655" s="3" t="n">
        <v>1653</v>
      </c>
      <c r="B1655" s="3" t="inlineStr">
        <is>
          <t>5.5.1.28</t>
        </is>
      </c>
      <c r="C1655" s="3" t="inlineStr">
        <is>
          <t>Pemasangan 1 Unit AC Split Duct Kap. 54.600 Btu/h</t>
        </is>
      </c>
      <c r="D1655" s="3" t="inlineStr">
        <is>
          <t>titik</t>
        </is>
      </c>
      <c r="E1655" s="4" t="n">
        <v>57843692</v>
      </c>
    </row>
    <row r="1656">
      <c r="A1656" s="3" t="n">
        <v>1654</v>
      </c>
      <c r="B1656" s="3" t="inlineStr">
        <is>
          <t>5.5.1.29</t>
        </is>
      </c>
      <c r="C1656" s="3" t="inlineStr">
        <is>
          <t>Pemasangan 1 Unit AC High Static Duct Kap. 76.400 Btu/h</t>
        </is>
      </c>
      <c r="D1656" s="3" t="inlineStr">
        <is>
          <t>titik</t>
        </is>
      </c>
      <c r="E1656" s="4" t="n">
        <v>70051745</v>
      </c>
    </row>
    <row r="1657">
      <c r="A1657" s="3" t="n">
        <v>1655</v>
      </c>
      <c r="B1657" s="3" t="inlineStr">
        <is>
          <t>5.5.1.30</t>
        </is>
      </c>
      <c r="C1657" s="3" t="inlineStr">
        <is>
          <t>Pemasangan 1 Unit AC High Static Duct Kap. 95.500 Btu/h</t>
        </is>
      </c>
      <c r="D1657" s="3" t="inlineStr">
        <is>
          <t>titik</t>
        </is>
      </c>
      <c r="E1657" s="4" t="n">
        <v>70051745</v>
      </c>
    </row>
    <row r="1658">
      <c r="A1658" s="3" t="n">
        <v>1656</v>
      </c>
      <c r="B1658" s="3" t="inlineStr">
        <is>
          <t>5.5.1.31</t>
        </is>
      </c>
      <c r="C1658" s="3" t="inlineStr">
        <is>
          <t>Pemasangan 1 Unit Outdoor Air Processing Kap. 30.700 Btu/h</t>
        </is>
      </c>
      <c r="D1658" s="3" t="inlineStr">
        <is>
          <t>titik</t>
        </is>
      </c>
      <c r="E1658" s="4" t="n">
        <v>43215672</v>
      </c>
    </row>
    <row r="1659">
      <c r="A1659" s="3" t="n">
        <v>1657</v>
      </c>
      <c r="B1659" s="3" t="inlineStr">
        <is>
          <t>5.5.1.32</t>
        </is>
      </c>
      <c r="C1659" s="3" t="inlineStr">
        <is>
          <t>Pemasangan 1 Unit Outdoor Air Processing Kap. 38.200 Btu/h</t>
        </is>
      </c>
      <c r="D1659" s="3" t="inlineStr">
        <is>
          <t>titik</t>
        </is>
      </c>
      <c r="E1659" s="4" t="n">
        <v>55315672</v>
      </c>
    </row>
    <row r="1660">
      <c r="A1660" s="3" t="n">
        <v>1658</v>
      </c>
      <c r="B1660" s="3" t="inlineStr">
        <is>
          <t>5.5.1.33</t>
        </is>
      </c>
      <c r="C1660" s="3" t="inlineStr">
        <is>
          <t>Pemasangan 1 Unit Outdoor Air Processing Kap. 76.400 Btu/h</t>
        </is>
      </c>
      <c r="D1660" s="3" t="inlineStr">
        <is>
          <t>titik</t>
        </is>
      </c>
      <c r="E1660" s="4" t="n">
        <v>91831745</v>
      </c>
    </row>
    <row r="1661">
      <c r="A1661" s="3" t="n">
        <v>1659</v>
      </c>
      <c r="B1661" s="3" t="inlineStr">
        <is>
          <t>5.5.1.34</t>
        </is>
      </c>
      <c r="C1661" s="3" t="inlineStr">
        <is>
          <t>Pemasangan 1 Unit Outdoor Air Processing Kap. 95.500 Btu/h</t>
        </is>
      </c>
      <c r="D1661" s="3" t="inlineStr">
        <is>
          <t>titik</t>
        </is>
      </c>
      <c r="E1661" s="4" t="n">
        <v>116031745</v>
      </c>
    </row>
    <row r="1662">
      <c r="A1662" s="3" t="n">
        <v>1660</v>
      </c>
      <c r="B1662" s="3" t="inlineStr">
        <is>
          <t>5.5.2.1</t>
        </is>
      </c>
      <c r="C1662" s="3" t="inlineStr">
        <is>
          <t>Pemasangan 1 Unit Ceiling Fan : 50 CFM</t>
        </is>
      </c>
      <c r="D1662" s="3" t="inlineStr">
        <is>
          <t>unit</t>
        </is>
      </c>
      <c r="E1662" s="4" t="n">
        <v>1196195</v>
      </c>
    </row>
    <row r="1663">
      <c r="A1663" s="3" t="n">
        <v>1661</v>
      </c>
      <c r="B1663" s="3" t="inlineStr">
        <is>
          <t>5.5.2.2</t>
        </is>
      </c>
      <c r="C1663" s="3" t="inlineStr">
        <is>
          <t>Pemasangan 1 Unit Ceiling Fan : 75 CFM</t>
        </is>
      </c>
      <c r="D1663" s="3" t="inlineStr">
        <is>
          <t>unit</t>
        </is>
      </c>
      <c r="E1663" s="4" t="n">
        <v>1559195</v>
      </c>
    </row>
    <row r="1664">
      <c r="A1664" s="3" t="n">
        <v>1662</v>
      </c>
      <c r="B1664" s="3" t="inlineStr">
        <is>
          <t>5.5.2.3</t>
        </is>
      </c>
      <c r="C1664" s="3" t="inlineStr">
        <is>
          <t>Pemasangan 1 Unit Ceiling Fan : 100 CFM</t>
        </is>
      </c>
      <c r="D1664" s="3" t="inlineStr">
        <is>
          <t>unit</t>
        </is>
      </c>
      <c r="E1664" s="4" t="n">
        <v>1740695</v>
      </c>
    </row>
    <row r="1665">
      <c r="A1665" s="3" t="n">
        <v>1663</v>
      </c>
      <c r="B1665" s="3" t="inlineStr">
        <is>
          <t>5.5.2.4</t>
        </is>
      </c>
      <c r="C1665" s="3" t="inlineStr">
        <is>
          <t>Pemasangan 1 Unit Ceiling Fan : 200 CFM</t>
        </is>
      </c>
      <c r="D1665" s="3" t="inlineStr">
        <is>
          <t>unit</t>
        </is>
      </c>
      <c r="E1665" s="4" t="n">
        <v>1922195</v>
      </c>
    </row>
    <row r="1666">
      <c r="A1666" s="3" t="n">
        <v>1664</v>
      </c>
      <c r="B1666" s="3" t="inlineStr">
        <is>
          <t>5.5.2.5</t>
        </is>
      </c>
      <c r="C1666" s="3" t="inlineStr">
        <is>
          <t>Pemasangan 1 Unit Inline Fan : 500 CFM</t>
        </is>
      </c>
      <c r="D1666" s="3" t="inlineStr">
        <is>
          <t>unit</t>
        </is>
      </c>
      <c r="E1666" s="4" t="n">
        <v>2035533</v>
      </c>
    </row>
    <row r="1667">
      <c r="A1667" s="3" t="n">
        <v>1665</v>
      </c>
      <c r="B1667" s="3" t="inlineStr">
        <is>
          <t>5.5.2.6</t>
        </is>
      </c>
      <c r="C1667" s="3" t="inlineStr">
        <is>
          <t>Pemasangan 1 Unit Inline Fan : 700 CFM</t>
        </is>
      </c>
      <c r="D1667" s="3" t="inlineStr">
        <is>
          <t>unit</t>
        </is>
      </c>
      <c r="E1667" s="4" t="n">
        <v>2563533</v>
      </c>
    </row>
    <row r="1668">
      <c r="A1668" s="3" t="n">
        <v>1666</v>
      </c>
      <c r="B1668" s="3" t="inlineStr">
        <is>
          <t>5.5.2.7</t>
        </is>
      </c>
      <c r="C1668" s="3" t="inlineStr">
        <is>
          <t>Pemasangan 1 Unit Axial Fan : 2.600 CFM</t>
        </is>
      </c>
      <c r="D1668" s="3" t="inlineStr">
        <is>
          <t>unit</t>
        </is>
      </c>
      <c r="E1668" s="4" t="n">
        <v>1987309</v>
      </c>
    </row>
    <row r="1669">
      <c r="A1669" s="3" t="n">
        <v>1667</v>
      </c>
      <c r="B1669" s="3" t="inlineStr">
        <is>
          <t>5.5.2.8</t>
        </is>
      </c>
      <c r="C1669" s="3" t="inlineStr">
        <is>
          <t>Pemasangan 1 Unit Axial Fan : 2.800 CFM</t>
        </is>
      </c>
      <c r="D1669" s="3" t="inlineStr">
        <is>
          <t>unit</t>
        </is>
      </c>
      <c r="E1669" s="4" t="n">
        <v>2092909</v>
      </c>
    </row>
    <row r="1670">
      <c r="A1670" s="3" t="n">
        <v>1668</v>
      </c>
      <c r="B1670" s="3" t="inlineStr">
        <is>
          <t>5.5.2.9</t>
        </is>
      </c>
      <c r="C1670" s="3" t="inlineStr">
        <is>
          <t>Pemasangan 1 Unit Axial Fan : 3.200 CFM</t>
        </is>
      </c>
      <c r="D1670" s="3" t="inlineStr">
        <is>
          <t>unit</t>
        </is>
      </c>
      <c r="E1670" s="4" t="n">
        <v>2271109</v>
      </c>
    </row>
    <row r="1671">
      <c r="A1671" s="3" t="n">
        <v>1669</v>
      </c>
      <c r="B1671" s="3" t="inlineStr">
        <is>
          <t>5.5.2.10</t>
        </is>
      </c>
      <c r="C1671" s="3" t="inlineStr">
        <is>
          <t>Pemasangan 1 Unit Axial Fan : 3.500 CFM</t>
        </is>
      </c>
      <c r="D1671" s="3" t="inlineStr">
        <is>
          <t>unit</t>
        </is>
      </c>
      <c r="E1671" s="4" t="n">
        <v>2728979</v>
      </c>
    </row>
    <row r="1672">
      <c r="A1672" s="3" t="n">
        <v>1670</v>
      </c>
      <c r="B1672" s="3" t="inlineStr">
        <is>
          <t>5.5.2.11</t>
        </is>
      </c>
      <c r="C1672" s="3" t="inlineStr">
        <is>
          <t>Pemasangan 1 Unit Axial Fan : 4.000 CFM</t>
        </is>
      </c>
      <c r="D1672" s="3" t="inlineStr">
        <is>
          <t>unit</t>
        </is>
      </c>
      <c r="E1672" s="4" t="n">
        <v>3908129</v>
      </c>
    </row>
    <row r="1673">
      <c r="A1673" s="3" t="n">
        <v>1671</v>
      </c>
      <c r="B1673" s="3" t="inlineStr">
        <is>
          <t>5.5.2.12</t>
        </is>
      </c>
      <c r="C1673" s="3" t="inlineStr">
        <is>
          <t>Pemasangan 1 Unit Axial Fan : 5.500 CFM</t>
        </is>
      </c>
      <c r="D1673" s="3" t="inlineStr">
        <is>
          <t>unit</t>
        </is>
      </c>
      <c r="E1673" s="4" t="n">
        <v>4370129</v>
      </c>
    </row>
    <row r="1674">
      <c r="A1674" s="3" t="n">
        <v>1672</v>
      </c>
      <c r="B1674" s="3" t="inlineStr">
        <is>
          <t>5.5.2.13</t>
        </is>
      </c>
      <c r="C1674" s="3" t="inlineStr">
        <is>
          <t>Pemasangan 1 Unit Rotary Fan</t>
        </is>
      </c>
      <c r="D1674" s="3" t="inlineStr">
        <is>
          <t>unit</t>
        </is>
      </c>
      <c r="E1674" s="4" t="n">
        <v>1014695</v>
      </c>
    </row>
    <row r="1675">
      <c r="A1675" s="3" t="n">
        <v>1673</v>
      </c>
      <c r="B1675" s="3" t="inlineStr">
        <is>
          <t>5.5.2.14</t>
        </is>
      </c>
      <c r="C1675" s="3" t="inlineStr">
        <is>
          <t>Pemasangan 1 Unit Ceiling Fan Rotary</t>
        </is>
      </c>
      <c r="D1675" s="3" t="inlineStr">
        <is>
          <t>unit</t>
        </is>
      </c>
      <c r="E1675" s="4" t="n">
        <v>1922195</v>
      </c>
    </row>
    <row r="1676">
      <c r="A1676" s="3" t="n">
        <v>1674</v>
      </c>
      <c r="B1676" s="3" t="inlineStr">
        <is>
          <t>5.5.2.15</t>
        </is>
      </c>
      <c r="C1676" s="3" t="inlineStr">
        <is>
          <t>Pemasangan 1 Unit Bifurcated Fan : 1.500 CFM</t>
        </is>
      </c>
      <c r="D1676" s="3" t="inlineStr">
        <is>
          <t>unit</t>
        </is>
      </c>
      <c r="E1676" s="4" t="n">
        <v>11487781</v>
      </c>
    </row>
    <row r="1677">
      <c r="A1677" s="3" t="n">
        <v>1675</v>
      </c>
      <c r="B1677" s="3" t="inlineStr">
        <is>
          <t>5.5.2.16</t>
        </is>
      </c>
      <c r="C1677" s="3" t="inlineStr">
        <is>
          <t>Pemasangan 1 Unit Propeller Fan ; 75 CFM</t>
        </is>
      </c>
      <c r="D1677" s="3" t="inlineStr">
        <is>
          <t>unit</t>
        </is>
      </c>
      <c r="E1677" s="4" t="n">
        <v>2536292</v>
      </c>
    </row>
    <row r="1678">
      <c r="A1678" s="3" t="n">
        <v>1676</v>
      </c>
      <c r="B1678" s="3" t="inlineStr">
        <is>
          <t>5.5.2.17</t>
        </is>
      </c>
      <c r="C1678" s="3" t="inlineStr">
        <is>
          <t>Pemasangan 1 Unit Propeller Fan ; 100 CFM</t>
        </is>
      </c>
      <c r="D1678" s="3" t="inlineStr">
        <is>
          <t>unit</t>
        </is>
      </c>
      <c r="E1678" s="4" t="n">
        <v>2932292</v>
      </c>
    </row>
    <row r="1679">
      <c r="A1679" s="3" t="n">
        <v>1677</v>
      </c>
      <c r="B1679" s="3" t="inlineStr">
        <is>
          <t>5.5.2.18</t>
        </is>
      </c>
      <c r="C1679" s="3" t="inlineStr">
        <is>
          <t>Pemasangan 1 Unit Propeller Fan ; 150 CFM</t>
        </is>
      </c>
      <c r="D1679" s="3" t="inlineStr">
        <is>
          <t>unit</t>
        </is>
      </c>
      <c r="E1679" s="4" t="n">
        <v>3196292</v>
      </c>
    </row>
    <row r="1680">
      <c r="A1680" s="3" t="n">
        <v>1678</v>
      </c>
      <c r="B1680" s="3" t="inlineStr">
        <is>
          <t>5.5.2.19</t>
        </is>
      </c>
      <c r="C1680" s="3" t="inlineStr">
        <is>
          <t>Pemasangan 1 Unit Propeller Fan ; 375 CFM</t>
        </is>
      </c>
      <c r="D1680" s="3" t="inlineStr">
        <is>
          <t>unit</t>
        </is>
      </c>
      <c r="E1680" s="4" t="n">
        <v>3722389</v>
      </c>
    </row>
    <row r="1681">
      <c r="A1681" s="3" t="n">
        <v>1679</v>
      </c>
      <c r="B1681" s="3" t="inlineStr">
        <is>
          <t>5.5.2.20</t>
        </is>
      </c>
      <c r="C1681" s="3" t="inlineStr">
        <is>
          <t>Pemasangan 1 Unit Propeller Fan ; 500 CFM</t>
        </is>
      </c>
      <c r="D1681" s="3" t="inlineStr">
        <is>
          <t>unit</t>
        </is>
      </c>
      <c r="E1681" s="4" t="n">
        <v>4607630</v>
      </c>
    </row>
    <row r="1682">
      <c r="A1682" s="3" t="n">
        <v>1680</v>
      </c>
      <c r="B1682" s="3" t="inlineStr">
        <is>
          <t>5.5.2.21</t>
        </is>
      </c>
      <c r="C1682" s="3" t="inlineStr">
        <is>
          <t>Pemasangan 1 Unit Propeller Fan ; 600 CFM</t>
        </is>
      </c>
      <c r="D1682" s="3" t="inlineStr">
        <is>
          <t>unit</t>
        </is>
      </c>
      <c r="E1682" s="4" t="n">
        <v>5091630</v>
      </c>
    </row>
    <row r="1683">
      <c r="A1683" s="3" t="n">
        <v>1681</v>
      </c>
      <c r="B1683" s="3" t="inlineStr">
        <is>
          <t>5.5.2.22</t>
        </is>
      </c>
      <c r="C1683" s="3" t="inlineStr">
        <is>
          <t>Pemasangan 1 Unit Intake Grille 600x300 mm</t>
        </is>
      </c>
      <c r="D1683" s="3" t="inlineStr">
        <is>
          <t>unit</t>
        </is>
      </c>
      <c r="E1683" s="4" t="n">
        <v>142054</v>
      </c>
    </row>
    <row r="1684">
      <c r="A1684" s="3" t="n">
        <v>1682</v>
      </c>
      <c r="B1684" s="3" t="inlineStr">
        <is>
          <t>5.5.2.23</t>
        </is>
      </c>
      <c r="C1684" s="3" t="inlineStr">
        <is>
          <t>Pemasangan 1 Unit Intake Grille 650x350 mm</t>
        </is>
      </c>
      <c r="D1684" s="3" t="inlineStr">
        <is>
          <t>unit</t>
        </is>
      </c>
      <c r="E1684" s="4" t="n">
        <v>166254</v>
      </c>
    </row>
    <row r="1685">
      <c r="A1685" s="3" t="n">
        <v>1683</v>
      </c>
      <c r="B1685" s="3" t="inlineStr">
        <is>
          <t>5.5.2.24</t>
        </is>
      </c>
      <c r="C1685" s="3" t="inlineStr">
        <is>
          <t>Pemasangan 1 Unit Intake Grille 800x350 mm</t>
        </is>
      </c>
      <c r="D1685" s="3" t="inlineStr">
        <is>
          <t>unit</t>
        </is>
      </c>
      <c r="E1685" s="4" t="n">
        <v>189299</v>
      </c>
    </row>
    <row r="1686">
      <c r="A1686" s="3" t="n">
        <v>1684</v>
      </c>
      <c r="B1686" s="3" t="inlineStr">
        <is>
          <t>5.5.2.25</t>
        </is>
      </c>
      <c r="C1686" s="3" t="inlineStr">
        <is>
          <t>Pemasangan 1 Unit Intake Grille 800x400 mm</t>
        </is>
      </c>
      <c r="D1686" s="3" t="inlineStr">
        <is>
          <t>unit</t>
        </is>
      </c>
      <c r="E1686" s="4" t="n">
        <v>207449</v>
      </c>
    </row>
    <row r="1687">
      <c r="A1687" s="3" t="n">
        <v>1685</v>
      </c>
      <c r="B1687" s="3" t="inlineStr">
        <is>
          <t>5.5.2.26</t>
        </is>
      </c>
      <c r="C1687" s="3" t="inlineStr">
        <is>
          <t>Pemasangan 1 Unit Intake Louvre 700x400 mm</t>
        </is>
      </c>
      <c r="D1687" s="3" t="inlineStr">
        <is>
          <t>unit</t>
        </is>
      </c>
      <c r="E1687" s="4" t="n">
        <v>270545</v>
      </c>
    </row>
    <row r="1688">
      <c r="A1688" s="3" t="n">
        <v>1686</v>
      </c>
      <c r="B1688" s="3" t="inlineStr">
        <is>
          <t>5.5.2.27</t>
        </is>
      </c>
      <c r="C1688" s="3" t="inlineStr">
        <is>
          <t>Pemasangan 1 Unit Intake Louvre 750x400 mm</t>
        </is>
      </c>
      <c r="D1688" s="3" t="inlineStr">
        <is>
          <t>unit</t>
        </is>
      </c>
      <c r="E1688" s="4" t="n">
        <v>288695</v>
      </c>
    </row>
    <row r="1689">
      <c r="A1689" s="3" t="n">
        <v>1687</v>
      </c>
      <c r="B1689" s="3" t="inlineStr">
        <is>
          <t>5.5.2.28</t>
        </is>
      </c>
      <c r="C1689" s="3" t="inlineStr">
        <is>
          <t>Pemasangan 1 Unit Fan Louvre900 x 500</t>
        </is>
      </c>
      <c r="D1689" s="3" t="inlineStr">
        <is>
          <t>unit</t>
        </is>
      </c>
      <c r="E1689" s="4" t="n">
        <v>426492</v>
      </c>
    </row>
    <row r="1690">
      <c r="A1690" s="3" t="n">
        <v>1688</v>
      </c>
      <c r="B1690" s="3" t="inlineStr">
        <is>
          <t>5.5.2.29</t>
        </is>
      </c>
      <c r="C1690" s="3" t="inlineStr">
        <is>
          <t>Pemasangan 1 Unit Fan Louvre 1.000 x 400 mm</t>
        </is>
      </c>
      <c r="D1690" s="3" t="inlineStr">
        <is>
          <t>unit</t>
        </is>
      </c>
      <c r="E1690" s="4" t="n">
        <v>515889</v>
      </c>
    </row>
    <row r="1691">
      <c r="A1691" s="3" t="n">
        <v>1689</v>
      </c>
      <c r="B1691" s="3" t="inlineStr">
        <is>
          <t>5.5.2.30</t>
        </is>
      </c>
      <c r="C1691" s="3" t="inlineStr">
        <is>
          <t>Pemasangan 1 Unit Fan Louvre 1.000 x 450 mm</t>
        </is>
      </c>
      <c r="D1691" s="3" t="inlineStr">
        <is>
          <t>unit</t>
        </is>
      </c>
      <c r="E1691" s="4" t="n">
        <v>540089</v>
      </c>
    </row>
    <row r="1692">
      <c r="A1692" s="3" t="n">
        <v>1690</v>
      </c>
      <c r="B1692" s="3" t="inlineStr">
        <is>
          <t>5.5.2.31</t>
        </is>
      </c>
      <c r="C1692" s="3" t="inlineStr">
        <is>
          <t>Pemasangan 1 Unit Exhaust Grille 150 x 150 mm</t>
        </is>
      </c>
      <c r="D1692" s="3" t="inlineStr">
        <is>
          <t>unit</t>
        </is>
      </c>
      <c r="E1692" s="4" t="n">
        <v>196504</v>
      </c>
    </row>
    <row r="1693">
      <c r="A1693" s="3" t="n">
        <v>1691</v>
      </c>
      <c r="B1693" s="3" t="inlineStr">
        <is>
          <t>5.5.2.32</t>
        </is>
      </c>
      <c r="C1693" s="3" t="inlineStr">
        <is>
          <t>Pemasangan 1 Unit Exhaust Grille 200 x 200 mm</t>
        </is>
      </c>
      <c r="D1693" s="3" t="inlineStr">
        <is>
          <t>unit</t>
        </is>
      </c>
      <c r="E1693" s="4" t="n">
        <v>220704</v>
      </c>
    </row>
    <row r="1694">
      <c r="A1694" s="3" t="n">
        <v>1692</v>
      </c>
      <c r="B1694" s="3" t="inlineStr">
        <is>
          <t>5.5.2.33</t>
        </is>
      </c>
      <c r="C1694" s="3" t="inlineStr">
        <is>
          <t>Pemasangan 1 Unit Exhaust Grille 600 x 300 mm</t>
        </is>
      </c>
      <c r="D1694" s="3" t="inlineStr">
        <is>
          <t>unit</t>
        </is>
      </c>
      <c r="E1694" s="4" t="n">
        <v>269104</v>
      </c>
    </row>
    <row r="1695">
      <c r="A1695" s="3" t="n">
        <v>1693</v>
      </c>
      <c r="B1695" s="3" t="inlineStr">
        <is>
          <t>5.5.2.34</t>
        </is>
      </c>
      <c r="C1695" s="3" t="inlineStr">
        <is>
          <t>Pemasangan 1 Unit Exhaust Grille 650 x 350 mm</t>
        </is>
      </c>
      <c r="D1695" s="3" t="inlineStr">
        <is>
          <t>unit</t>
        </is>
      </c>
      <c r="E1695" s="4" t="n">
        <v>305404</v>
      </c>
    </row>
    <row r="1696">
      <c r="A1696" s="3" t="n">
        <v>1694</v>
      </c>
      <c r="B1696" s="3" t="inlineStr">
        <is>
          <t>5.5.2.35</t>
        </is>
      </c>
      <c r="C1696" s="3" t="inlineStr">
        <is>
          <t>Pemasangan 1 Unit Exhaust Grille 900 x 400 mm</t>
        </is>
      </c>
      <c r="D1696" s="3" t="inlineStr">
        <is>
          <t>unit</t>
        </is>
      </c>
      <c r="E1696" s="4" t="n">
        <v>394999</v>
      </c>
    </row>
    <row r="1697">
      <c r="A1697" s="3" t="n">
        <v>1695</v>
      </c>
      <c r="B1697" s="3" t="inlineStr">
        <is>
          <t>5.5.2.36</t>
        </is>
      </c>
      <c r="C1697" s="3" t="inlineStr">
        <is>
          <t>Pemasangan 1 Unit Exhaust Louvre 200 x 200 mm s/d 750 x 350 mm</t>
        </is>
      </c>
      <c r="D1697" s="3" t="inlineStr">
        <is>
          <t>unit</t>
        </is>
      </c>
      <c r="E1697" s="4" t="n">
        <v>651695</v>
      </c>
    </row>
    <row r="1698">
      <c r="A1698" s="3" t="n">
        <v>1696</v>
      </c>
      <c r="B1698" s="3" t="inlineStr">
        <is>
          <t>5.5.2.40</t>
        </is>
      </c>
      <c r="C1698" s="3" t="inlineStr">
        <is>
          <t>Pemasangan 1 Unit Exhaust Louvre 800 x 400 mm</t>
        </is>
      </c>
      <c r="D1698" s="3" t="inlineStr">
        <is>
          <t>unit</t>
        </is>
      </c>
      <c r="E1698" s="4" t="n">
        <v>704792</v>
      </c>
    </row>
    <row r="1699">
      <c r="A1699" s="3" t="n">
        <v>1697</v>
      </c>
      <c r="B1699" s="3" t="inlineStr">
        <is>
          <t>5.5.2.41</t>
        </is>
      </c>
      <c r="C1699" s="3" t="inlineStr">
        <is>
          <t>Pemasangan 1 Unit Exhaust Louvre 850 x 400 mm &amp; 900 X 500 mm</t>
        </is>
      </c>
      <c r="D1699" s="3" t="inlineStr">
        <is>
          <t>unit</t>
        </is>
      </c>
      <c r="E1699" s="4" t="n">
        <v>752499</v>
      </c>
    </row>
    <row r="1700">
      <c r="A1700" s="3" t="n">
        <v>1698</v>
      </c>
      <c r="B1700" s="3" t="inlineStr">
        <is>
          <t>5.5.2.43</t>
        </is>
      </c>
      <c r="C1700" s="3" t="inlineStr">
        <is>
          <t>Pemasangan 1 Unit Exhaust Louvre 1.000 x 400 mm</t>
        </is>
      </c>
      <c r="D1700" s="3" t="inlineStr">
        <is>
          <t>unit</t>
        </is>
      </c>
      <c r="E1700" s="4" t="n">
        <v>810986</v>
      </c>
    </row>
    <row r="1701">
      <c r="A1701" s="3" t="n">
        <v>1699</v>
      </c>
      <c r="B1701" s="3" t="inlineStr">
        <is>
          <t>5.5.2.44</t>
        </is>
      </c>
      <c r="C1701" s="3" t="inlineStr">
        <is>
          <t>Pemasangan 1 Unit Exhaust Louvre 1.000 x 400 mm &amp; 1.000 x 450 mm</t>
        </is>
      </c>
      <c r="D1701" s="3" t="inlineStr">
        <is>
          <t>unit</t>
        </is>
      </c>
      <c r="E1701" s="4" t="n">
        <v>810986</v>
      </c>
    </row>
    <row r="1702">
      <c r="A1702" s="3" t="n">
        <v>1700</v>
      </c>
      <c r="B1702" s="3" t="inlineStr">
        <is>
          <t>5.5.2.45</t>
        </is>
      </c>
      <c r="C1702" s="3" t="inlineStr">
        <is>
          <t>Pemasangan 1 Tititk Kabel Powwer Fan NYM 3 x 2,5 mm2</t>
        </is>
      </c>
      <c r="D1702" s="3" t="inlineStr">
        <is>
          <t>titik</t>
        </is>
      </c>
      <c r="E1702" s="4" t="n">
        <v>539528</v>
      </c>
    </row>
    <row r="1703">
      <c r="A1703" s="3" t="n">
        <v>1701</v>
      </c>
      <c r="B1703" s="3" t="inlineStr">
        <is>
          <t>5.5.2.46</t>
        </is>
      </c>
      <c r="C1703" s="3" t="inlineStr">
        <is>
          <t>Pemasangan 1 Tititk Kabel Kontrol  Fan NYM 3 x 2,5 mm2</t>
        </is>
      </c>
      <c r="D1703" s="3" t="inlineStr">
        <is>
          <t>titik</t>
        </is>
      </c>
      <c r="E1703" s="4" t="n">
        <v>274769</v>
      </c>
    </row>
    <row r="1704">
      <c r="A1704" s="3" t="n">
        <v>1702</v>
      </c>
      <c r="B1704" s="3" t="inlineStr">
        <is>
          <t>5.5.2.47</t>
        </is>
      </c>
      <c r="C1704" s="3" t="inlineStr">
        <is>
          <t>Pemasangan 1 Unit Proppeller Fan ; 370 CMF</t>
        </is>
      </c>
      <c r="D1704" s="3" t="inlineStr">
        <is>
          <t>unit</t>
        </is>
      </c>
      <c r="E1704" s="4" t="n">
        <v>515889</v>
      </c>
    </row>
    <row r="1705">
      <c r="A1705" s="3" t="n">
        <v>1703</v>
      </c>
      <c r="B1705" s="3" t="inlineStr">
        <is>
          <t>5.5.2.48</t>
        </is>
      </c>
      <c r="C1705" s="3" t="inlineStr">
        <is>
          <t>Pemasangan 1 Unit Proppeller Fan ; 1200 CMF</t>
        </is>
      </c>
      <c r="D1705" s="3" t="inlineStr">
        <is>
          <t>unit</t>
        </is>
      </c>
      <c r="E1705" s="4" t="n">
        <v>6006044</v>
      </c>
    </row>
    <row r="1706">
      <c r="A1706" s="3" t="n">
        <v>1704</v>
      </c>
      <c r="B1706" s="3" t="inlineStr">
        <is>
          <t>5.5.2.49</t>
        </is>
      </c>
      <c r="C1706" s="3" t="inlineStr">
        <is>
          <t>Pemasangan 1 Titik Kabel Power Exhaust Fan NYY 3x2,5 mm2</t>
        </is>
      </c>
      <c r="D1706" s="3" t="inlineStr">
        <is>
          <t>unit</t>
        </is>
      </c>
      <c r="E1706" s="4" t="n">
        <v>544500</v>
      </c>
    </row>
    <row r="1707">
      <c r="A1707" s="3" t="n">
        <v>1705</v>
      </c>
      <c r="B1707" s="3" t="inlineStr">
        <is>
          <t>5.5.2.50</t>
        </is>
      </c>
      <c r="C1707" s="3" t="inlineStr">
        <is>
          <t>Pemasangan 1 Unit Exhaust Grille dia. 4"</t>
        </is>
      </c>
      <c r="D1707" s="3" t="inlineStr">
        <is>
          <t>unit</t>
        </is>
      </c>
      <c r="E1707" s="4" t="n">
        <v>208604</v>
      </c>
    </row>
    <row r="1708">
      <c r="A1708" s="3" t="n">
        <v>1706</v>
      </c>
      <c r="B1708" s="3" t="inlineStr">
        <is>
          <t>5.5.2.51</t>
        </is>
      </c>
      <c r="C1708" s="3" t="inlineStr">
        <is>
          <t>Pemasangan 1 Unit Ceiling Fan Sirroco</t>
        </is>
      </c>
      <c r="D1708" s="3" t="inlineStr">
        <is>
          <t>unit</t>
        </is>
      </c>
      <c r="E1708" s="4" t="n">
        <v>3132195</v>
      </c>
    </row>
    <row r="1709">
      <c r="A1709" s="3" t="n">
        <v>1707</v>
      </c>
      <c r="B1709" s="3" t="inlineStr">
        <is>
          <t>5.5.2.52</t>
        </is>
      </c>
      <c r="C1709" s="3" t="inlineStr">
        <is>
          <t>Pemasangan 1 Unit Centrifugal Fan Kap. 15.800 cfm</t>
        </is>
      </c>
      <c r="D1709" s="3" t="inlineStr">
        <is>
          <t>unit</t>
        </is>
      </c>
      <c r="E1709" s="4" t="n">
        <v>34081745</v>
      </c>
    </row>
    <row r="1710">
      <c r="A1710" s="3" t="n">
        <v>1708</v>
      </c>
      <c r="B1710" s="3" t="inlineStr">
        <is>
          <t>5.5.2.53</t>
        </is>
      </c>
      <c r="C1710" s="3" t="inlineStr">
        <is>
          <t>Pemasangan 1 Unit Centrifugal Fan Kap. 15.800 cfm c/w Panel Control VSD</t>
        </is>
      </c>
      <c r="D1710" s="3" t="inlineStr">
        <is>
          <t>unit</t>
        </is>
      </c>
      <c r="E1710" s="4" t="n">
        <v>40681745</v>
      </c>
    </row>
    <row r="1711">
      <c r="A1711" s="3" t="n">
        <v>1709</v>
      </c>
      <c r="B1711" s="3" t="inlineStr">
        <is>
          <t>5.5.2.54</t>
        </is>
      </c>
      <c r="C1711" s="3" t="inlineStr">
        <is>
          <t>Pemasangan 1 Unit Centrifugal Fan Kap. 9.600 cfm</t>
        </is>
      </c>
      <c r="D1711" s="3" t="inlineStr">
        <is>
          <t>unit</t>
        </is>
      </c>
      <c r="E1711" s="4" t="n">
        <v>23016867</v>
      </c>
    </row>
    <row r="1712">
      <c r="A1712" s="3" t="n">
        <v>1710</v>
      </c>
      <c r="B1712" s="3" t="inlineStr">
        <is>
          <t>5.5.2.55</t>
        </is>
      </c>
      <c r="C1712" s="3" t="inlineStr">
        <is>
          <t>Pemasangan 1 Unit Centrifugal Fan Kap. 9.600 cfm c/w Panel Control VSD</t>
        </is>
      </c>
      <c r="D1712" s="3" t="inlineStr">
        <is>
          <t>unit</t>
        </is>
      </c>
      <c r="E1712" s="4" t="n">
        <v>26976867</v>
      </c>
    </row>
    <row r="1713">
      <c r="A1713" s="3" t="n">
        <v>1711</v>
      </c>
      <c r="B1713" s="3" t="inlineStr">
        <is>
          <t>5.5.2.56</t>
        </is>
      </c>
      <c r="C1713" s="3" t="inlineStr">
        <is>
          <t>Pemasangan 1 Unit Centrifugal Fan Kap. 4.800 cfm</t>
        </is>
      </c>
      <c r="D1713" s="3" t="inlineStr">
        <is>
          <t>unit</t>
        </is>
      </c>
      <c r="E1713" s="4" t="n">
        <v>16344878</v>
      </c>
    </row>
    <row r="1714">
      <c r="A1714" s="3" t="n">
        <v>1712</v>
      </c>
      <c r="B1714" s="3" t="inlineStr">
        <is>
          <t>5.5.2.57</t>
        </is>
      </c>
      <c r="C1714" s="3" t="inlineStr">
        <is>
          <t>Pemasangan 1 Unit Centrifugal Fan Kap. 4.800 cfm c/w Panel Control VSD</t>
        </is>
      </c>
      <c r="D1714" s="3" t="inlineStr">
        <is>
          <t>unit</t>
        </is>
      </c>
      <c r="E1714" s="4" t="n">
        <v>20304878</v>
      </c>
    </row>
    <row r="1715">
      <c r="A1715" s="3" t="n">
        <v>1713</v>
      </c>
      <c r="B1715" s="3" t="inlineStr">
        <is>
          <t>5.5.2.58</t>
        </is>
      </c>
      <c r="C1715" s="3" t="inlineStr">
        <is>
          <t>Pemasangan 1 Unit Box Louvre 450 x 300 mm</t>
        </is>
      </c>
      <c r="D1715" s="3" t="inlineStr">
        <is>
          <t>unit</t>
        </is>
      </c>
      <c r="E1715" s="4" t="n">
        <v>291252</v>
      </c>
    </row>
    <row r="1716">
      <c r="A1716" s="3" t="n">
        <v>1714</v>
      </c>
      <c r="B1716" s="3" t="inlineStr">
        <is>
          <t>5.5.2.59</t>
        </is>
      </c>
      <c r="C1716" s="3" t="inlineStr">
        <is>
          <t>Pemasangan 1 Unit Exhaust Louvre 450 x 300 mm</t>
        </is>
      </c>
      <c r="D1716" s="3" t="inlineStr">
        <is>
          <t>unit</t>
        </is>
      </c>
      <c r="E1716" s="4" t="n">
        <v>470195</v>
      </c>
    </row>
    <row r="1717">
      <c r="A1717" s="3" t="n">
        <v>1715</v>
      </c>
      <c r="B1717" s="3" t="inlineStr">
        <is>
          <t>5.5.3.1</t>
        </is>
      </c>
      <c r="C1717" s="3" t="inlineStr">
        <is>
          <t>Pemasangan 1 m2 BJLS 50 (Tanpa Isolasi)</t>
        </is>
      </c>
      <c r="D1717" s="3" t="inlineStr">
        <is>
          <t>m2</t>
        </is>
      </c>
      <c r="E1717" s="4" t="n">
        <v>574480</v>
      </c>
    </row>
    <row r="1718">
      <c r="A1718" s="3" t="n">
        <v>1716</v>
      </c>
      <c r="B1718" s="3" t="inlineStr">
        <is>
          <t>5.5.3.2</t>
        </is>
      </c>
      <c r="C1718" s="3" t="inlineStr">
        <is>
          <t>Pemasangan 1 m2 BJLS 60 (Tanpa Isolasi)</t>
        </is>
      </c>
      <c r="D1718" s="3" t="inlineStr">
        <is>
          <t>m2</t>
        </is>
      </c>
      <c r="E1718" s="4" t="n">
        <v>706480</v>
      </c>
    </row>
    <row r="1719">
      <c r="A1719" s="3" t="n">
        <v>1717</v>
      </c>
      <c r="B1719" s="3" t="inlineStr">
        <is>
          <t>5.5.3.3</t>
        </is>
      </c>
      <c r="C1719" s="3" t="inlineStr">
        <is>
          <t>Pemasangan 1 m2 BJLS 70 (Tanpa Isolasi)</t>
        </is>
      </c>
      <c r="D1719" s="3" t="inlineStr">
        <is>
          <t>m2</t>
        </is>
      </c>
      <c r="E1719" s="4" t="n">
        <v>838480</v>
      </c>
    </row>
    <row r="1720">
      <c r="A1720" s="3" t="n">
        <v>1718</v>
      </c>
      <c r="B1720" s="3" t="inlineStr">
        <is>
          <t>5.5.3.4</t>
        </is>
      </c>
      <c r="C1720" s="3" t="inlineStr">
        <is>
          <t>Pemasangan 1 m2 BJLS 80 (Tanpa Isolasi)</t>
        </is>
      </c>
      <c r="D1720" s="3" t="inlineStr">
        <is>
          <t>m2</t>
        </is>
      </c>
      <c r="E1720" s="4" t="n">
        <v>970480</v>
      </c>
    </row>
    <row r="1721">
      <c r="A1721" s="3" t="n">
        <v>1719</v>
      </c>
      <c r="B1721" s="3" t="inlineStr">
        <is>
          <t>5.5.3.5</t>
        </is>
      </c>
      <c r="C1721" s="3" t="inlineStr">
        <is>
          <t>Pemasangan 1 m2 BJLS 100 (Tanpa Isolasi)</t>
        </is>
      </c>
      <c r="D1721" s="3" t="inlineStr">
        <is>
          <t>m2</t>
        </is>
      </c>
      <c r="E1721" s="4" t="n">
        <v>1366480</v>
      </c>
    </row>
    <row r="1722">
      <c r="A1722" s="3" t="n">
        <v>1720</v>
      </c>
      <c r="B1722" s="3" t="inlineStr">
        <is>
          <t>5.5.3.6</t>
        </is>
      </c>
      <c r="C1722" s="3" t="inlineStr">
        <is>
          <t>Pemasangan 1 m2 BJLS 50 (Isolasi Luar)</t>
        </is>
      </c>
      <c r="D1722" s="3" t="inlineStr">
        <is>
          <t>m2</t>
        </is>
      </c>
      <c r="E1722" s="4" t="n">
        <v>686851</v>
      </c>
    </row>
    <row r="1723">
      <c r="A1723" s="3" t="n">
        <v>1721</v>
      </c>
      <c r="B1723" s="3" t="inlineStr">
        <is>
          <t>5.5.3.7</t>
        </is>
      </c>
      <c r="C1723" s="3" t="inlineStr">
        <is>
          <t>Pemasangan 1 m2 BJLS 60 (Isolasi Luar)</t>
        </is>
      </c>
      <c r="D1723" s="3" t="inlineStr">
        <is>
          <t>m2</t>
        </is>
      </c>
      <c r="E1723" s="4" t="n">
        <v>818851</v>
      </c>
    </row>
    <row r="1724">
      <c r="A1724" s="3" t="n">
        <v>1722</v>
      </c>
      <c r="B1724" s="3" t="inlineStr">
        <is>
          <t>5.5.3.8</t>
        </is>
      </c>
      <c r="C1724" s="3" t="inlineStr">
        <is>
          <t>Pemasangan 1 m2 BJLS 70 (Isolasi Luar)</t>
        </is>
      </c>
      <c r="D1724" s="3" t="inlineStr">
        <is>
          <t>m2</t>
        </is>
      </c>
      <c r="E1724" s="4" t="n">
        <v>950851</v>
      </c>
    </row>
    <row r="1725">
      <c r="A1725" s="3" t="n">
        <v>1723</v>
      </c>
      <c r="B1725" s="3" t="inlineStr">
        <is>
          <t>5.5.3.9</t>
        </is>
      </c>
      <c r="C1725" s="3" t="inlineStr">
        <is>
          <t>Pemasangan 1 m2 BJLS 80 (Isolasi Luar)</t>
        </is>
      </c>
      <c r="D1725" s="3" t="inlineStr">
        <is>
          <t>m2</t>
        </is>
      </c>
      <c r="E1725" s="4" t="n">
        <v>1082851</v>
      </c>
    </row>
    <row r="1726">
      <c r="A1726" s="3" t="n">
        <v>1724</v>
      </c>
      <c r="B1726" s="3" t="inlineStr">
        <is>
          <t>5.5.3.10</t>
        </is>
      </c>
      <c r="C1726" s="3" t="inlineStr">
        <is>
          <t>Pemasangan 1 m2 BJLS 100 (Isolasi Luar)</t>
        </is>
      </c>
      <c r="D1726" s="3" t="inlineStr">
        <is>
          <t>m2</t>
        </is>
      </c>
      <c r="E1726" s="4" t="n">
        <v>1610851</v>
      </c>
    </row>
    <row r="1727">
      <c r="A1727" s="3" t="n">
        <v>1725</v>
      </c>
      <c r="B1727" s="3" t="inlineStr">
        <is>
          <t>5.5.3.11</t>
        </is>
      </c>
      <c r="C1727" s="3" t="inlineStr">
        <is>
          <t>Pemasangan 1 m2 BJLS 50 (Isolasi Luar Dalam)</t>
        </is>
      </c>
      <c r="D1727" s="3" t="inlineStr">
        <is>
          <t>m2</t>
        </is>
      </c>
      <c r="E1727" s="4" t="n">
        <v>829829</v>
      </c>
    </row>
    <row r="1728">
      <c r="A1728" s="3" t="n">
        <v>1726</v>
      </c>
      <c r="B1728" s="3" t="inlineStr">
        <is>
          <t>5.5.3.12</t>
        </is>
      </c>
      <c r="C1728" s="3" t="inlineStr">
        <is>
          <t>Pemasangan 1 m2 BJLS 60 (Isolasi Luar Dalam)</t>
        </is>
      </c>
      <c r="D1728" s="3" t="inlineStr">
        <is>
          <t>m2</t>
        </is>
      </c>
      <c r="E1728" s="4" t="n">
        <v>961829</v>
      </c>
    </row>
    <row r="1729">
      <c r="A1729" s="3" t="n">
        <v>1727</v>
      </c>
      <c r="B1729" s="3" t="inlineStr">
        <is>
          <t>5.5.3.13</t>
        </is>
      </c>
      <c r="C1729" s="3" t="inlineStr">
        <is>
          <t>Pemasangan 1 m2 BJLS 70 (Isolasi Luar Dalam)</t>
        </is>
      </c>
      <c r="D1729" s="3" t="inlineStr">
        <is>
          <t>m2</t>
        </is>
      </c>
      <c r="E1729" s="4" t="n">
        <v>1093829</v>
      </c>
    </row>
    <row r="1730">
      <c r="A1730" s="3" t="n">
        <v>1728</v>
      </c>
      <c r="B1730" s="3" t="inlineStr">
        <is>
          <t>5.5.3.14</t>
        </is>
      </c>
      <c r="C1730" s="3" t="inlineStr">
        <is>
          <t>Pemasangan 1 m2 BJLS 80 (Isolasi Luar Dalam)</t>
        </is>
      </c>
      <c r="D1730" s="3" t="inlineStr">
        <is>
          <t>m2</t>
        </is>
      </c>
      <c r="E1730" s="4" t="n">
        <v>1225829</v>
      </c>
    </row>
    <row r="1731">
      <c r="A1731" s="3" t="n">
        <v>1729</v>
      </c>
      <c r="B1731" s="3" t="inlineStr">
        <is>
          <t>5.5.3.15</t>
        </is>
      </c>
      <c r="C1731" s="3" t="inlineStr">
        <is>
          <t>Pemasangan 1 m2 BJLS 100 (Isolasi Luar Dalam)</t>
        </is>
      </c>
      <c r="D1731" s="3" t="inlineStr">
        <is>
          <t>m2</t>
        </is>
      </c>
      <c r="E1731" s="4" t="n">
        <v>1767029</v>
      </c>
    </row>
    <row r="1732">
      <c r="A1732" s="3" t="n">
        <v>1730</v>
      </c>
      <c r="B1732" s="3" t="inlineStr">
        <is>
          <t>5.5.3.16</t>
        </is>
      </c>
      <c r="C1732" s="3" t="inlineStr">
        <is>
          <t>Pemasangan 1 m2 Ducting PU</t>
        </is>
      </c>
      <c r="D1732" s="3" t="inlineStr">
        <is>
          <t>m2</t>
        </is>
      </c>
      <c r="E1732" s="4" t="n">
        <v>628232</v>
      </c>
    </row>
    <row r="1733">
      <c r="A1733" s="3" t="n">
        <v>1731</v>
      </c>
      <c r="B1733" s="3" t="inlineStr">
        <is>
          <t>5.5.3.17</t>
        </is>
      </c>
      <c r="C1733" s="3" t="inlineStr">
        <is>
          <t>Pemasangan 1 m' Flexible Duct 200 mm</t>
        </is>
      </c>
      <c r="D1733" s="3" t="inlineStr">
        <is>
          <t>m2</t>
        </is>
      </c>
      <c r="E1733" s="4" t="n">
        <v>160160</v>
      </c>
    </row>
    <row r="1734">
      <c r="A1734" s="3" t="n">
        <v>1732</v>
      </c>
      <c r="B1734" s="3" t="inlineStr">
        <is>
          <t>5.5.3.18</t>
        </is>
      </c>
      <c r="C1734" s="3" t="inlineStr">
        <is>
          <t>Pemasangan 1 m' Flexible Duct 250 mm</t>
        </is>
      </c>
      <c r="D1734" s="3" t="inlineStr">
        <is>
          <t>m2</t>
        </is>
      </c>
      <c r="E1734" s="4" t="n">
        <v>217910</v>
      </c>
    </row>
    <row r="1735">
      <c r="A1735" s="3" t="n">
        <v>1733</v>
      </c>
      <c r="B1735" s="3" t="inlineStr">
        <is>
          <t>5.5.4.1</t>
        </is>
      </c>
      <c r="C1735" s="3" t="inlineStr">
        <is>
          <t>Pemasangan 1 m Pipa Tembaga B280 Dia. 6,4 mm (1/4")</t>
        </is>
      </c>
      <c r="D1735" s="3" t="inlineStr">
        <is>
          <t>m'</t>
        </is>
      </c>
      <c r="E1735" s="4" t="n">
        <v>99598</v>
      </c>
    </row>
    <row r="1736">
      <c r="A1736" s="3" t="n">
        <v>1734</v>
      </c>
      <c r="B1736" s="3" t="inlineStr">
        <is>
          <t>5.5.4.2</t>
        </is>
      </c>
      <c r="C1736" s="3" t="inlineStr">
        <is>
          <t>Pemasangan 1 m Pipa Tembaga B280 Dia. 9,5 mm (3/8")</t>
        </is>
      </c>
      <c r="D1736" s="3" t="inlineStr">
        <is>
          <t>m'</t>
        </is>
      </c>
      <c r="E1736" s="4" t="n">
        <v>247746</v>
      </c>
    </row>
    <row r="1737">
      <c r="A1737" s="3" t="n">
        <v>1735</v>
      </c>
      <c r="B1737" s="3" t="inlineStr">
        <is>
          <t>5.5.4.3</t>
        </is>
      </c>
      <c r="C1737" s="3" t="inlineStr">
        <is>
          <t>Pemasangan 1 m Pipa Tembaga B280 Dia. 12,7 mm (1/2")</t>
        </is>
      </c>
      <c r="D1737" s="3" t="inlineStr">
        <is>
          <t>m'</t>
        </is>
      </c>
      <c r="E1737" s="4" t="n">
        <v>142493</v>
      </c>
    </row>
    <row r="1738">
      <c r="A1738" s="3" t="n">
        <v>1736</v>
      </c>
      <c r="B1738" s="3" t="inlineStr">
        <is>
          <t>5.5.4.4</t>
        </is>
      </c>
      <c r="C1738" s="3" t="inlineStr">
        <is>
          <t>Pemasangan 1 m Pipa Tembaga B280 Dia. 15,9 mm (5/8")</t>
        </is>
      </c>
      <c r="D1738" s="3" t="inlineStr">
        <is>
          <t>m'</t>
        </is>
      </c>
      <c r="E1738" s="4" t="n">
        <v>279113</v>
      </c>
    </row>
    <row r="1739">
      <c r="A1739" s="3" t="n">
        <v>1737</v>
      </c>
      <c r="B1739" s="3" t="inlineStr">
        <is>
          <t>5.5.4.5</t>
        </is>
      </c>
      <c r="C1739" s="3" t="inlineStr">
        <is>
          <t>Pemasangan 1 m Pipa Tembaga B280 Dia. 19,1 mm (3/4")</t>
        </is>
      </c>
      <c r="D1739" s="3" t="inlineStr">
        <is>
          <t>m'</t>
        </is>
      </c>
      <c r="E1739" s="4" t="n">
        <v>344222</v>
      </c>
    </row>
    <row r="1740">
      <c r="A1740" s="3" t="n">
        <v>1738</v>
      </c>
      <c r="B1740" s="3" t="inlineStr">
        <is>
          <t>5.5.4.6</t>
        </is>
      </c>
      <c r="C1740" s="3" t="inlineStr">
        <is>
          <t>Pemasangan 1 m Pipa Tembaga B280 Dia. 22,2 mm (7/8")</t>
        </is>
      </c>
      <c r="D1740" s="3" t="inlineStr">
        <is>
          <t>m'</t>
        </is>
      </c>
      <c r="E1740" s="4" t="n">
        <v>917883</v>
      </c>
    </row>
    <row r="1741">
      <c r="A1741" s="3" t="n">
        <v>1739</v>
      </c>
      <c r="B1741" s="3" t="inlineStr">
        <is>
          <t>5.5.4.7</t>
        </is>
      </c>
      <c r="C1741" s="3" t="inlineStr">
        <is>
          <t>Pemasangan 1 m Pipa Tembaga B280 Dia. 25,4 mm (1")</t>
        </is>
      </c>
      <c r="D1741" s="3" t="inlineStr">
        <is>
          <t>m'</t>
        </is>
      </c>
      <c r="E1741" s="4" t="n">
        <v>970364</v>
      </c>
    </row>
    <row r="1742">
      <c r="A1742" s="3" t="n">
        <v>1740</v>
      </c>
      <c r="B1742" s="3" t="inlineStr">
        <is>
          <t>5.5.4.8</t>
        </is>
      </c>
      <c r="C1742" s="3" t="inlineStr">
        <is>
          <t>Pemasangan 1 m Pipa Tembaga B280 Dia. 28,6 mm (1-1/8")</t>
        </is>
      </c>
      <c r="D1742" s="3" t="inlineStr">
        <is>
          <t>m'</t>
        </is>
      </c>
      <c r="E1742" s="4" t="n">
        <v>988904</v>
      </c>
    </row>
    <row r="1743">
      <c r="A1743" s="3" t="n">
        <v>1741</v>
      </c>
      <c r="B1743" s="3" t="inlineStr">
        <is>
          <t>5.5.4.9</t>
        </is>
      </c>
      <c r="C1743" s="3" t="inlineStr">
        <is>
          <t>Pemasangan 1 m Pipa Tembaga B280 Dia. 34,9 mm (1-3/8")</t>
        </is>
      </c>
      <c r="D1743" s="3" t="inlineStr">
        <is>
          <t>m'</t>
        </is>
      </c>
      <c r="E1743" s="4" t="n">
        <v>1014226</v>
      </c>
    </row>
    <row r="1744">
      <c r="A1744" s="3" t="n">
        <v>1742</v>
      </c>
      <c r="B1744" s="3" t="inlineStr">
        <is>
          <t>5.5.4.10</t>
        </is>
      </c>
      <c r="C1744" s="3" t="inlineStr">
        <is>
          <t>Pemasangan 1 m Pipa Tembaga B280 Dia. 41,3 mm (1-5/8")</t>
        </is>
      </c>
      <c r="D1744" s="3" t="inlineStr">
        <is>
          <t>m'</t>
        </is>
      </c>
      <c r="E1744" s="4" t="n">
        <v>805633</v>
      </c>
    </row>
    <row r="1745">
      <c r="A1745" s="3" t="n">
        <v>1743</v>
      </c>
      <c r="B1745" s="3" t="inlineStr">
        <is>
          <t>5.5.4.11</t>
        </is>
      </c>
      <c r="C1745" s="3" t="inlineStr">
        <is>
          <t>Pemasangan 1 m' pipa PVC AW, DN. 1/2" (15 mm) + Isolasi</t>
        </is>
      </c>
      <c r="D1745" s="3" t="inlineStr">
        <is>
          <t>m'</t>
        </is>
      </c>
      <c r="E1745" s="4" t="n">
        <v>26091</v>
      </c>
    </row>
    <row r="1746">
      <c r="A1746" s="3" t="n">
        <v>1744</v>
      </c>
      <c r="B1746" s="3" t="inlineStr">
        <is>
          <t>5.5.4.12</t>
        </is>
      </c>
      <c r="C1746" s="3" t="inlineStr">
        <is>
          <t>Pemasangan 1 m' pipa PVC AW, DN. 3/4" (20 mm) + Isolasi</t>
        </is>
      </c>
      <c r="D1746" s="3" t="inlineStr">
        <is>
          <t>m'</t>
        </is>
      </c>
      <c r="E1746" s="4" t="n">
        <v>35474</v>
      </c>
    </row>
    <row r="1747">
      <c r="A1747" s="3" t="n">
        <v>1745</v>
      </c>
      <c r="B1747" s="3" t="inlineStr">
        <is>
          <t>5.5.4.13</t>
        </is>
      </c>
      <c r="C1747" s="3" t="inlineStr">
        <is>
          <t>Pemasangan 1 m' pipa PVC AW, DN. 1" (25 mm) + Isolasi</t>
        </is>
      </c>
      <c r="D1747" s="3" t="inlineStr">
        <is>
          <t>m'</t>
        </is>
      </c>
      <c r="E1747" s="4" t="n">
        <v>46628</v>
      </c>
    </row>
    <row r="1748">
      <c r="A1748" s="3" t="n">
        <v>1746</v>
      </c>
      <c r="B1748" s="3" t="inlineStr">
        <is>
          <t>5.5.4.14</t>
        </is>
      </c>
      <c r="C1748" s="3" t="inlineStr">
        <is>
          <t>Pemasangan 1 m' pipa PVC AW, DN. 1-1/4" (32 mm) + Isolasi</t>
        </is>
      </c>
      <c r="D1748" s="3" t="inlineStr">
        <is>
          <t>m'</t>
        </is>
      </c>
      <c r="E1748" s="4" t="n">
        <v>65971</v>
      </c>
    </row>
    <row r="1749">
      <c r="A1749" s="3" t="n">
        <v>1747</v>
      </c>
      <c r="B1749" s="3" t="inlineStr">
        <is>
          <t>5.5.4.15</t>
        </is>
      </c>
      <c r="C1749" s="3" t="inlineStr">
        <is>
          <t>Pemasangan 1 m' pipa PVC AW, DN. 1-1/2" (40 mm) + Isolasi</t>
        </is>
      </c>
      <c r="D1749" s="3" t="inlineStr">
        <is>
          <t>m'</t>
        </is>
      </c>
      <c r="E1749" s="4" t="n">
        <v>74364</v>
      </c>
    </row>
    <row r="1750">
      <c r="A1750" s="3" t="n">
        <v>1748</v>
      </c>
      <c r="B1750" s="3" t="inlineStr">
        <is>
          <t>5.5.4.16</t>
        </is>
      </c>
      <c r="C1750" s="3" t="inlineStr">
        <is>
          <t>Pemasangan 1 m' pipa PVC AW, DN. 2" (50 mm) + Isolasi</t>
        </is>
      </c>
      <c r="D1750" s="3" t="inlineStr">
        <is>
          <t>m'</t>
        </is>
      </c>
      <c r="E1750" s="4" t="n">
        <v>98339</v>
      </c>
    </row>
    <row r="1751">
      <c r="A1751" s="3" t="n">
        <v>1749</v>
      </c>
      <c r="B1751" s="3" t="inlineStr">
        <is>
          <t>5.3.4.17</t>
        </is>
      </c>
      <c r="C1751" s="3" t="inlineStr">
        <is>
          <t>Pemasangan 1 m' pipa PVC AW, DN. 2-1/2" (65 mm) + Isolasi</t>
        </is>
      </c>
      <c r="D1751" s="3" t="inlineStr">
        <is>
          <t>m'</t>
        </is>
      </c>
      <c r="E1751" s="4" t="n">
        <v>123688</v>
      </c>
    </row>
    <row r="1752">
      <c r="A1752" s="3" t="n">
        <v>1750</v>
      </c>
      <c r="B1752" s="3" t="inlineStr">
        <is>
          <t>5.5.4.18</t>
        </is>
      </c>
      <c r="C1752" s="3" t="inlineStr">
        <is>
          <t>Pemasangan 1 m' pipa PVC AW, DN. 3" (80 mm) + Isolasi</t>
        </is>
      </c>
      <c r="D1752" s="3" t="inlineStr">
        <is>
          <t>m'</t>
        </is>
      </c>
      <c r="E1752" s="4" t="n">
        <v>165725</v>
      </c>
    </row>
    <row r="1753">
      <c r="A1753" s="3" t="n">
        <v>1751</v>
      </c>
      <c r="B1753" s="3" t="inlineStr">
        <is>
          <t>5.5.4.19</t>
        </is>
      </c>
      <c r="C1753" s="3" t="inlineStr">
        <is>
          <t>Pemasangan 1 m' pipa PVC AW, DN. 4" (100 mm) + Isolasi</t>
        </is>
      </c>
      <c r="D1753" s="3" t="inlineStr">
        <is>
          <t>m'</t>
        </is>
      </c>
      <c r="E1753" s="4" t="n">
        <v>227699</v>
      </c>
    </row>
    <row r="1754">
      <c r="A1754" s="3" t="n">
        <v>1752</v>
      </c>
      <c r="B1754" s="3" t="inlineStr">
        <is>
          <t>5.5.4.20</t>
        </is>
      </c>
      <c r="C1754" s="3" t="inlineStr">
        <is>
          <t>Pemasangan 1 m Pipa Tembaga B280 Dia. 1/4" + 3/8"</t>
        </is>
      </c>
      <c r="D1754" s="3" t="inlineStr">
        <is>
          <t>m'</t>
        </is>
      </c>
      <c r="E1754" s="4" t="n">
        <v>197257</v>
      </c>
    </row>
    <row r="1755">
      <c r="A1755" s="3" t="n">
        <v>1753</v>
      </c>
      <c r="B1755" s="3" t="inlineStr">
        <is>
          <t>5.5.4.21</t>
        </is>
      </c>
      <c r="C1755" s="3" t="inlineStr">
        <is>
          <t>Pemasangan 1 m Pipa Tembaga B280 Dia. 1/4" + 1/2"</t>
        </is>
      </c>
      <c r="D1755" s="3" t="inlineStr">
        <is>
          <t>m'</t>
        </is>
      </c>
      <c r="E1755" s="4" t="n">
        <v>250822</v>
      </c>
    </row>
    <row r="1756">
      <c r="A1756" s="3" t="n">
        <v>1754</v>
      </c>
      <c r="B1756" s="3" t="inlineStr">
        <is>
          <t>5.5.4.22</t>
        </is>
      </c>
      <c r="C1756" s="3" t="inlineStr">
        <is>
          <t>Pemasangan 1 m Pipa Tembaga B280 Dia. 1/4" + 5/8"</t>
        </is>
      </c>
      <c r="D1756" s="3" t="inlineStr">
        <is>
          <t>m'</t>
        </is>
      </c>
      <c r="E1756" s="4" t="n">
        <v>355987</v>
      </c>
    </row>
    <row r="1757">
      <c r="A1757" s="3" t="n">
        <v>1755</v>
      </c>
      <c r="B1757" s="3" t="inlineStr">
        <is>
          <t>5.5.5.1</t>
        </is>
      </c>
      <c r="C1757" s="3" t="inlineStr">
        <is>
          <t>Pemasangan 1 Unit Box Diffuser 250 x 250 mm</t>
        </is>
      </c>
      <c r="D1757" s="3" t="inlineStr">
        <is>
          <t>m'</t>
        </is>
      </c>
      <c r="E1757" s="4" t="n">
        <v>461472</v>
      </c>
    </row>
    <row r="1758">
      <c r="A1758" s="3" t="n">
        <v>1756</v>
      </c>
      <c r="B1758" s="3" t="inlineStr">
        <is>
          <t>5.5.5.2</t>
        </is>
      </c>
      <c r="C1758" s="3" t="inlineStr">
        <is>
          <t>Pemasangan 1 Unit Box Diffuser 350 x 350 mm</t>
        </is>
      </c>
      <c r="D1758" s="3" t="inlineStr">
        <is>
          <t>m'</t>
        </is>
      </c>
      <c r="E1758" s="4" t="n">
        <v>582472</v>
      </c>
    </row>
    <row r="1759">
      <c r="A1759" s="3" t="n">
        <v>1757</v>
      </c>
      <c r="B1759" s="3" t="inlineStr">
        <is>
          <t>5.6.1.1</t>
        </is>
      </c>
      <c r="C1759" s="3" t="inlineStr">
        <is>
          <t>Pemasanga 1 Unit PRV Set Dia. 50 mm</t>
        </is>
      </c>
      <c r="D1759" s="3" t="inlineStr">
        <is>
          <t>unit</t>
        </is>
      </c>
      <c r="E1759" s="4" t="n">
        <v>7970930</v>
      </c>
    </row>
    <row r="1760">
      <c r="A1760" s="3" t="n">
        <v>1758</v>
      </c>
      <c r="B1760" s="3" t="inlineStr">
        <is>
          <t>5.6.1.2</t>
        </is>
      </c>
      <c r="C1760" s="3" t="inlineStr">
        <is>
          <t>Pemasanga 1 Unit PRV Set Dia. 65 mm</t>
        </is>
      </c>
      <c r="D1760" s="3" t="inlineStr">
        <is>
          <t>unit</t>
        </is>
      </c>
      <c r="E1760" s="4" t="n">
        <v>10889659</v>
      </c>
    </row>
    <row r="1761">
      <c r="A1761" s="3" t="n">
        <v>1759</v>
      </c>
      <c r="B1761" s="3" t="inlineStr">
        <is>
          <t>5.6.1.3</t>
        </is>
      </c>
      <c r="C1761" s="3" t="inlineStr">
        <is>
          <t>Pemasanga 1 Unit PRV Set Dia. 80 mm</t>
        </is>
      </c>
      <c r="D1761" s="3" t="inlineStr">
        <is>
          <t>unit</t>
        </is>
      </c>
      <c r="E1761" s="4" t="n">
        <v>12493954</v>
      </c>
    </row>
    <row r="1762">
      <c r="A1762" s="3" t="n">
        <v>1760</v>
      </c>
      <c r="B1762" s="3" t="inlineStr">
        <is>
          <t>5.6.1.4</t>
        </is>
      </c>
      <c r="C1762" s="3" t="inlineStr">
        <is>
          <t>Pemasanga 1 Unit PRV Set Dia. 100 mm</t>
        </is>
      </c>
      <c r="D1762" s="3" t="inlineStr">
        <is>
          <t>unit</t>
        </is>
      </c>
      <c r="E1762" s="4" t="n">
        <v>20803227</v>
      </c>
    </row>
    <row r="1763">
      <c r="A1763" s="3" t="n">
        <v>1761</v>
      </c>
      <c r="B1763" s="3" t="inlineStr">
        <is>
          <t>5.6.1.5</t>
        </is>
      </c>
      <c r="C1763" s="3" t="inlineStr">
        <is>
          <t>Pemasangan 1 Unit PRV SET dia. 150 mm</t>
        </is>
      </c>
      <c r="D1763" s="3" t="inlineStr">
        <is>
          <t>unit</t>
        </is>
      </c>
      <c r="E1763" s="4" t="n">
        <v>21376162</v>
      </c>
    </row>
    <row r="1764">
      <c r="A1764" s="3" t="n">
        <v>1762</v>
      </c>
      <c r="B1764" s="3" t="inlineStr">
        <is>
          <t>5.6.1.6</t>
        </is>
      </c>
      <c r="C1764" s="3" t="inlineStr">
        <is>
          <t>Pemasangan 1 Unit PRV SET dia. 200 mm</t>
        </is>
      </c>
      <c r="D1764" s="3" t="inlineStr">
        <is>
          <t>unit</t>
        </is>
      </c>
      <c r="E1764" s="4" t="n">
        <v>23018693</v>
      </c>
    </row>
    <row r="1765">
      <c r="A1765" s="3" t="n">
        <v>1763</v>
      </c>
      <c r="B1765" s="3" t="inlineStr">
        <is>
          <t>5.6.1.7</t>
        </is>
      </c>
      <c r="C1765" s="3" t="inlineStr">
        <is>
          <t>Pemasangan 1 Unit MCV Set dia. 80 mm</t>
        </is>
      </c>
      <c r="D1765" s="3" t="inlineStr">
        <is>
          <t>unit</t>
        </is>
      </c>
      <c r="E1765" s="4" t="n">
        <v>29507098</v>
      </c>
    </row>
    <row r="1766">
      <c r="A1766" s="3" t="n">
        <v>1764</v>
      </c>
      <c r="B1766" s="3" t="inlineStr">
        <is>
          <t>5.6.1.8</t>
        </is>
      </c>
      <c r="C1766" s="3" t="inlineStr">
        <is>
          <t>Pemasangan 1 Unit MCV Set dia. 100 mm</t>
        </is>
      </c>
      <c r="D1766" s="3" t="inlineStr">
        <is>
          <t>unit</t>
        </is>
      </c>
      <c r="E1766" s="4" t="n">
        <v>30142425</v>
      </c>
    </row>
    <row r="1767">
      <c r="A1767" s="3" t="n">
        <v>1765</v>
      </c>
      <c r="B1767" s="3" t="inlineStr">
        <is>
          <t>5.6.1.9</t>
        </is>
      </c>
      <c r="C1767" s="3" t="inlineStr">
        <is>
          <t>Pemasangan 1 Unit MCV Set dia. 150 mm</t>
        </is>
      </c>
      <c r="D1767" s="3" t="inlineStr">
        <is>
          <t>unit</t>
        </is>
      </c>
      <c r="E1767" s="4" t="n">
        <v>43714737</v>
      </c>
    </row>
    <row r="1768">
      <c r="A1768" s="3" t="n">
        <v>1766</v>
      </c>
      <c r="B1768" s="3" t="inlineStr">
        <is>
          <t>5.6.1.10</t>
        </is>
      </c>
      <c r="C1768" s="3" t="inlineStr">
        <is>
          <t>Pemasangan 1 Unit BCV Set dia. 50 mm</t>
        </is>
      </c>
      <c r="D1768" s="3" t="inlineStr">
        <is>
          <t>unit</t>
        </is>
      </c>
      <c r="E1768" s="4" t="n">
        <v>2538195</v>
      </c>
    </row>
    <row r="1769">
      <c r="A1769" s="3" t="n">
        <v>1767</v>
      </c>
      <c r="B1769" s="3" t="inlineStr">
        <is>
          <t>5.6.1.11</t>
        </is>
      </c>
      <c r="C1769" s="3" t="inlineStr">
        <is>
          <t>Pemasangan 1 Unit BCV Set dia. 65 mm</t>
        </is>
      </c>
      <c r="D1769" s="3" t="inlineStr">
        <is>
          <t>unit</t>
        </is>
      </c>
      <c r="E1769" s="4" t="n">
        <v>2852316</v>
      </c>
    </row>
    <row r="1770">
      <c r="A1770" s="3" t="n">
        <v>1768</v>
      </c>
      <c r="B1770" s="3" t="inlineStr">
        <is>
          <t>5.6.1.12</t>
        </is>
      </c>
      <c r="C1770" s="3" t="inlineStr">
        <is>
          <t>Pemasangan 1 Unit BCV Set dia. 80 mm</t>
        </is>
      </c>
      <c r="D1770" s="3" t="inlineStr">
        <is>
          <t>unit</t>
        </is>
      </c>
      <c r="E1770" s="4" t="n">
        <v>3163292</v>
      </c>
    </row>
    <row r="1771">
      <c r="A1771" s="3" t="n">
        <v>1769</v>
      </c>
      <c r="B1771" s="3" t="inlineStr">
        <is>
          <t>5.6.1.13</t>
        </is>
      </c>
      <c r="C1771" s="3" t="inlineStr">
        <is>
          <t>Pemasangan 1 Unit BCV Set dia. 100 mm</t>
        </is>
      </c>
      <c r="D1771" s="3" t="inlineStr">
        <is>
          <t>unit</t>
        </is>
      </c>
      <c r="E1771" s="4" t="n">
        <v>3647215</v>
      </c>
    </row>
    <row r="1772">
      <c r="A1772" s="3" t="n">
        <v>1770</v>
      </c>
      <c r="B1772" s="3" t="inlineStr">
        <is>
          <t>5.6.1.14</t>
        </is>
      </c>
      <c r="C1772" s="3" t="inlineStr">
        <is>
          <t>Pemasangan 1 Unit BCV Set dia. 150 mm</t>
        </is>
      </c>
      <c r="D1772" s="3" t="inlineStr">
        <is>
          <t>unit</t>
        </is>
      </c>
      <c r="E1772" s="4" t="n">
        <v>4038391</v>
      </c>
    </row>
    <row r="1773">
      <c r="A1773" s="3" t="n">
        <v>1771</v>
      </c>
      <c r="B1773" s="3" t="inlineStr">
        <is>
          <t>5.6.1.15</t>
        </is>
      </c>
      <c r="C1773" s="3" t="inlineStr">
        <is>
          <t>Pemasangan 1 Unit Automatic Air Vent dia. 50mm</t>
        </is>
      </c>
      <c r="D1773" s="3" t="inlineStr">
        <is>
          <t>unit</t>
        </is>
      </c>
      <c r="E1773" s="4" t="n">
        <v>842407</v>
      </c>
    </row>
    <row r="1774">
      <c r="A1774" s="3" t="n">
        <v>1772</v>
      </c>
      <c r="B1774" s="3" t="inlineStr">
        <is>
          <t>5.6.1.16</t>
        </is>
      </c>
      <c r="C1774" s="3" t="inlineStr">
        <is>
          <t>Pemasangan 1 Unit Automatic Air Vent dia. 80mm</t>
        </is>
      </c>
      <c r="D1774" s="3" t="inlineStr">
        <is>
          <t>unit</t>
        </is>
      </c>
      <c r="E1774" s="4" t="n">
        <v>1046727</v>
      </c>
    </row>
    <row r="1775">
      <c r="A1775" s="3" t="n">
        <v>1773</v>
      </c>
      <c r="B1775" s="3" t="inlineStr">
        <is>
          <t>5.6.1.17</t>
        </is>
      </c>
      <c r="C1775" s="3" t="inlineStr">
        <is>
          <t>Pemasangan 1 Unit Automatic Air Vent dia. 100mm</t>
        </is>
      </c>
      <c r="D1775" s="3" t="inlineStr">
        <is>
          <t>unit</t>
        </is>
      </c>
      <c r="E1775" s="4" t="n">
        <v>1666835</v>
      </c>
    </row>
    <row r="1776">
      <c r="A1776" s="3" t="n">
        <v>1774</v>
      </c>
      <c r="B1776" s="3" t="inlineStr">
        <is>
          <t>5.6.1.18</t>
        </is>
      </c>
      <c r="C1776" s="3" t="inlineStr">
        <is>
          <t>Pemasangan 1 Unit Automatic Air Vent dia. 150mm</t>
        </is>
      </c>
      <c r="D1776" s="3" t="inlineStr">
        <is>
          <t>unit</t>
        </is>
      </c>
      <c r="E1776" s="4" t="n">
        <v>2040137</v>
      </c>
    </row>
    <row r="1777">
      <c r="A1777" s="3" t="n">
        <v>1775</v>
      </c>
      <c r="B1777" s="3" t="inlineStr">
        <is>
          <t>5.6.1.19</t>
        </is>
      </c>
      <c r="C1777" s="3" t="inlineStr">
        <is>
          <t>Pemasangan 1 Unit Flow Meter Analog dia.100 mm</t>
        </is>
      </c>
      <c r="D1777" s="3" t="inlineStr">
        <is>
          <t>unit</t>
        </is>
      </c>
      <c r="E1777" s="4" t="n">
        <v>1876407</v>
      </c>
    </row>
    <row r="1778">
      <c r="A1778" s="3" t="n">
        <v>1776</v>
      </c>
      <c r="B1778" s="3" t="inlineStr">
        <is>
          <t>5.6.1.20</t>
        </is>
      </c>
      <c r="C1778" s="3" t="inlineStr">
        <is>
          <t>Pemasangan 1 Unit Flow Meter Analog dia.200 mm</t>
        </is>
      </c>
      <c r="D1778" s="3" t="inlineStr">
        <is>
          <t>unit</t>
        </is>
      </c>
      <c r="E1778" s="4" t="n">
        <v>2135391</v>
      </c>
    </row>
    <row r="1779">
      <c r="A1779" s="3" t="n">
        <v>1777</v>
      </c>
      <c r="B1779" s="3" t="inlineStr">
        <is>
          <t>5.6.1.21</t>
        </is>
      </c>
      <c r="C1779" s="3" t="inlineStr">
        <is>
          <t>Pemasangan 1 Unit Landing Velve 2,5"</t>
        </is>
      </c>
      <c r="D1779" s="3" t="inlineStr">
        <is>
          <t>unit</t>
        </is>
      </c>
      <c r="E1779" s="4" t="n">
        <v>1680937</v>
      </c>
    </row>
    <row r="1780">
      <c r="A1780" s="3" t="n">
        <v>1778</v>
      </c>
      <c r="B1780" s="3" t="inlineStr">
        <is>
          <t>5.6.1.22</t>
        </is>
      </c>
      <c r="C1780" s="3" t="inlineStr">
        <is>
          <t>Pemasangan 1 Unit Orifice Plate dia. 25 mm</t>
        </is>
      </c>
      <c r="D1780" s="3" t="inlineStr">
        <is>
          <t>unit</t>
        </is>
      </c>
      <c r="E1780" s="4" t="n">
        <v>1842104</v>
      </c>
    </row>
    <row r="1781">
      <c r="A1781" s="3" t="n">
        <v>1779</v>
      </c>
      <c r="B1781" s="3" t="inlineStr">
        <is>
          <t>5.6.2.1</t>
        </is>
      </c>
      <c r="C1781" s="3" t="inlineStr">
        <is>
          <t>Pemasangan 1 unit Sprinkler Head Pendant</t>
        </is>
      </c>
      <c r="D1781" s="3" t="inlineStr">
        <is>
          <t>unit</t>
        </is>
      </c>
      <c r="E1781" s="4" t="n">
        <v>124839</v>
      </c>
    </row>
    <row r="1782">
      <c r="A1782" s="3" t="n">
        <v>1780</v>
      </c>
      <c r="B1782" s="3" t="inlineStr">
        <is>
          <t>5.6.2.2</t>
        </is>
      </c>
      <c r="C1782" s="3" t="inlineStr">
        <is>
          <t>Pemasangan 1 unit Sprinkler Head Upright</t>
        </is>
      </c>
      <c r="D1782" s="3" t="inlineStr">
        <is>
          <t>unit</t>
        </is>
      </c>
      <c r="E1782" s="4" t="n">
        <v>122298</v>
      </c>
    </row>
    <row r="1783">
      <c r="A1783" s="3" t="n">
        <v>1781</v>
      </c>
      <c r="B1783" s="3" t="inlineStr">
        <is>
          <t>5.6.2.3</t>
        </is>
      </c>
      <c r="C1783" s="3" t="inlineStr">
        <is>
          <t>Pemasangan 1 unit Hydrant Pillar</t>
        </is>
      </c>
      <c r="D1783" s="3" t="inlineStr">
        <is>
          <t>unit</t>
        </is>
      </c>
      <c r="E1783" s="4" t="n">
        <v>5071500</v>
      </c>
    </row>
    <row r="1784">
      <c r="A1784" s="3" t="n">
        <v>1782</v>
      </c>
      <c r="B1784" s="3" t="inlineStr">
        <is>
          <t>5.6.2.4</t>
        </is>
      </c>
      <c r="C1784" s="3" t="inlineStr">
        <is>
          <t>Pemasangan 1 unit Indoor Hydrant Box (IHB)</t>
        </is>
      </c>
      <c r="D1784" s="3" t="inlineStr">
        <is>
          <t>unit</t>
        </is>
      </c>
      <c r="E1784" s="4" t="n">
        <v>1986000</v>
      </c>
    </row>
    <row r="1785">
      <c r="A1785" s="3" t="n">
        <v>1783</v>
      </c>
      <c r="B1785" s="3" t="inlineStr">
        <is>
          <t>5.6.2.5</t>
        </is>
      </c>
      <c r="C1785" s="3" t="inlineStr">
        <is>
          <t>Pemasangan 1 unit outdoor Hydrant Box (OHB)</t>
        </is>
      </c>
      <c r="D1785" s="3" t="inlineStr">
        <is>
          <t>unit</t>
        </is>
      </c>
      <c r="E1785" s="4" t="n">
        <v>2803339</v>
      </c>
    </row>
    <row r="1786">
      <c r="A1786" s="3" t="n">
        <v>1784</v>
      </c>
      <c r="B1786" s="3" t="inlineStr">
        <is>
          <t>5.6.2.6</t>
        </is>
      </c>
      <c r="C1786" s="3" t="inlineStr">
        <is>
          <t>Pemasangan 1 unit Siamesse Connection</t>
        </is>
      </c>
      <c r="D1786" s="3" t="inlineStr">
        <is>
          <t>unit</t>
        </is>
      </c>
      <c r="E1786" s="4" t="n">
        <v>2982391</v>
      </c>
    </row>
    <row r="1787">
      <c r="A1787" s="3" t="n">
        <v>1785</v>
      </c>
      <c r="B1787" s="3" t="inlineStr">
        <is>
          <t>5.6.2.7</t>
        </is>
      </c>
      <c r="C1787" s="3" t="inlineStr">
        <is>
          <t>Pemasangan 1 Unit Sprinkler Thermatic C02 3,5 Kg</t>
        </is>
      </c>
      <c r="D1787" s="3" t="inlineStr">
        <is>
          <t>unit</t>
        </is>
      </c>
      <c r="E1787" s="4" t="n">
        <v>2484757</v>
      </c>
    </row>
    <row r="1788">
      <c r="A1788" s="3" t="n">
        <v>1786</v>
      </c>
      <c r="B1788" s="3" t="inlineStr">
        <is>
          <t>5.6.3.1</t>
        </is>
      </c>
      <c r="C1788" s="3" t="inlineStr">
        <is>
          <t>Pemasangan 1 unit Fire Extinguisher 3 kg</t>
        </is>
      </c>
      <c r="D1788" s="3" t="inlineStr">
        <is>
          <t>unit</t>
        </is>
      </c>
      <c r="E1788" s="4" t="n">
        <v>250602</v>
      </c>
    </row>
    <row r="1789">
      <c r="A1789" s="3" t="n">
        <v>1787</v>
      </c>
      <c r="B1789" s="3" t="inlineStr">
        <is>
          <t>5.6.3.2</t>
        </is>
      </c>
      <c r="C1789" s="3" t="inlineStr">
        <is>
          <t>Pemasangan 1 unit Fire Extinguisher 5 kg</t>
        </is>
      </c>
      <c r="D1789" s="3" t="inlineStr">
        <is>
          <t>unit</t>
        </is>
      </c>
      <c r="E1789" s="4" t="n">
        <v>318846</v>
      </c>
    </row>
    <row r="1790">
      <c r="A1790" s="3" t="n">
        <v>1788</v>
      </c>
      <c r="B1790" s="3" t="inlineStr">
        <is>
          <t>5.6.3.3</t>
        </is>
      </c>
      <c r="C1790" s="3" t="inlineStr">
        <is>
          <t>Pemasangan 1 unit Fire Extinguisher 25 kg</t>
        </is>
      </c>
      <c r="D1790" s="3" t="inlineStr">
        <is>
          <t>unit</t>
        </is>
      </c>
      <c r="E1790" s="4" t="n">
        <v>2342087</v>
      </c>
    </row>
    <row r="1791">
      <c r="A1791" s="3" t="n">
        <v>1789</v>
      </c>
      <c r="B1791" s="3" t="inlineStr">
        <is>
          <t>5.6.3.4</t>
        </is>
      </c>
      <c r="C1791" s="3" t="inlineStr">
        <is>
          <t>Pemasangan 1 unit Fire Extinguisher 6 kg</t>
        </is>
      </c>
      <c r="D1791" s="3" t="inlineStr">
        <is>
          <t>unit</t>
        </is>
      </c>
      <c r="E1791" s="4" t="n">
        <v>466587</v>
      </c>
    </row>
    <row r="1792">
      <c r="A1792" s="3" t="n">
        <v>1790</v>
      </c>
      <c r="B1792" s="3" t="inlineStr">
        <is>
          <t>5.6.4.1</t>
        </is>
      </c>
      <c r="C1792" s="3" t="inlineStr">
        <is>
          <t>Pemasangan 1 Unit Jockey Fire Pump Vertical Multi Stage, 25 USGPM</t>
        </is>
      </c>
      <c r="D1792" s="3" t="inlineStr">
        <is>
          <t>unit</t>
        </is>
      </c>
      <c r="E1792" s="4" t="n">
        <v>11213812</v>
      </c>
    </row>
    <row r="1793">
      <c r="A1793" s="3" t="n">
        <v>1791</v>
      </c>
      <c r="B1793" s="3" t="inlineStr">
        <is>
          <t>5.6.4.2</t>
        </is>
      </c>
      <c r="C1793" s="3" t="inlineStr">
        <is>
          <t>Pemasangan 1 Unit Main Fire Pump Centrifugal End Suction, 1.000 USGPM</t>
        </is>
      </c>
      <c r="D1793" s="3" t="inlineStr">
        <is>
          <t>unit</t>
        </is>
      </c>
      <c r="E1793" s="4" t="n">
        <v>21152191</v>
      </c>
    </row>
    <row r="1794">
      <c r="A1794" s="3" t="n">
        <v>1792</v>
      </c>
      <c r="B1794" s="3" t="inlineStr">
        <is>
          <t>5.6.4.3</t>
        </is>
      </c>
      <c r="C1794" s="3" t="inlineStr">
        <is>
          <t>Pemasangan 1 Unit Diesel Fire Pump Centrifugal End Suction, 1.000 USGPM</t>
        </is>
      </c>
      <c r="D1794" s="3" t="inlineStr">
        <is>
          <t>unit</t>
        </is>
      </c>
      <c r="E1794" s="4" t="n">
        <v>26683277</v>
      </c>
    </row>
    <row r="1795">
      <c r="A1795" s="3" t="n">
        <v>1793</v>
      </c>
      <c r="B1795" s="3" t="inlineStr">
        <is>
          <t>5.6.4.4</t>
        </is>
      </c>
      <c r="C1795" s="3" t="inlineStr">
        <is>
          <t>Pemasangan 1 Unit Main Fire Pump Centrifugal End Suction, 1.250 USGPM</t>
        </is>
      </c>
      <c r="D1795" s="3" t="inlineStr">
        <is>
          <t>unit</t>
        </is>
      </c>
      <c r="E1795" s="4" t="n">
        <v>26840808</v>
      </c>
    </row>
    <row r="1796">
      <c r="A1796" s="3" t="n">
        <v>1794</v>
      </c>
      <c r="B1796" s="3" t="inlineStr">
        <is>
          <t>5.6.4.5</t>
        </is>
      </c>
      <c r="C1796" s="3" t="inlineStr">
        <is>
          <t>Pemasangan 1 Unit Diesel Fire Centrifugal Ed Suction, 1.250 USGPM</t>
        </is>
      </c>
      <c r="D1796" s="3" t="inlineStr">
        <is>
          <t>unit</t>
        </is>
      </c>
      <c r="E1796" s="4" t="n">
        <v>27937151</v>
      </c>
    </row>
    <row r="1797">
      <c r="A1797" s="3" t="n">
        <v>1795</v>
      </c>
      <c r="B1797" s="3" t="inlineStr">
        <is>
          <t>5.6.5.1</t>
        </is>
      </c>
      <c r="C1797" s="3" t="inlineStr">
        <is>
          <t>Pemasangan 1 m2 Fire Stop Mortar + Rockwool</t>
        </is>
      </c>
      <c r="D1797" s="3" t="inlineStr">
        <is>
          <t>unit</t>
        </is>
      </c>
      <c r="E1797" s="4" t="n">
        <v>3317781</v>
      </c>
    </row>
    <row r="1798">
      <c r="A1798" s="3" t="n">
        <v>1796</v>
      </c>
      <c r="B1798" s="3" t="inlineStr">
        <is>
          <t>6.1.1.1</t>
        </is>
      </c>
      <c r="C1798" s="3" t="inlineStr">
        <is>
          <t>Pemasangan 1 Unit Rof Tank Fiberglass Kap. 2 m3</t>
        </is>
      </c>
      <c r="D1798" s="3" t="inlineStr">
        <is>
          <t>unit</t>
        </is>
      </c>
      <c r="E1798" s="4" t="n">
        <v>7302977</v>
      </c>
    </row>
    <row r="1799">
      <c r="A1799" s="3" t="n">
        <v>1797</v>
      </c>
      <c r="B1799" s="3" t="inlineStr">
        <is>
          <t>6.1.1.2</t>
        </is>
      </c>
      <c r="C1799" s="3" t="inlineStr">
        <is>
          <t>Pemasangan 1 unit roof tank fiberglass kap. 4 m3</t>
        </is>
      </c>
      <c r="D1799" s="3" t="inlineStr">
        <is>
          <t>unit</t>
        </is>
      </c>
      <c r="E1799" s="4" t="n">
        <v>14790990</v>
      </c>
    </row>
    <row r="1800">
      <c r="A1800" s="3" t="n">
        <v>1798</v>
      </c>
      <c r="B1800" s="3" t="inlineStr">
        <is>
          <t>6.1.1.3</t>
        </is>
      </c>
      <c r="C1800" s="3" t="inlineStr">
        <is>
          <t>Pemasangan 1 unit roof tank fiberglass kap. 12 m3</t>
        </is>
      </c>
      <c r="D1800" s="3" t="inlineStr">
        <is>
          <t>unit</t>
        </is>
      </c>
      <c r="E1800" s="4" t="n">
        <v>44675658</v>
      </c>
    </row>
    <row r="1801">
      <c r="A1801" s="3" t="n">
        <v>1799</v>
      </c>
      <c r="B1801" s="3" t="inlineStr">
        <is>
          <t>6.1.1.4</t>
        </is>
      </c>
      <c r="C1801" s="3" t="inlineStr">
        <is>
          <t>Pemasangan 1 unit roof tank stainless kap. 2 m3</t>
        </is>
      </c>
      <c r="D1801" s="3" t="inlineStr">
        <is>
          <t>unit</t>
        </is>
      </c>
      <c r="E1801" s="4" t="n">
        <v>8270977</v>
      </c>
    </row>
    <row r="1802">
      <c r="A1802" s="3" t="n">
        <v>1800</v>
      </c>
      <c r="B1802" s="3" t="inlineStr">
        <is>
          <t>6.1.1.5</t>
        </is>
      </c>
      <c r="C1802" s="3" t="inlineStr">
        <is>
          <t>Pemasangan 1 unit roof tank stainless kap. 4 m3</t>
        </is>
      </c>
      <c r="D1802" s="3" t="inlineStr">
        <is>
          <t>unit</t>
        </is>
      </c>
      <c r="E1802" s="4" t="n">
        <v>19245990</v>
      </c>
    </row>
    <row r="1803">
      <c r="A1803" s="3" t="n">
        <v>1801</v>
      </c>
      <c r="B1803" s="3" t="inlineStr">
        <is>
          <t>6.1.1.6</t>
        </is>
      </c>
      <c r="C1803" s="3" t="inlineStr">
        <is>
          <t>Pemasangan 1 unit roof tank stainless kap. 12 m3</t>
        </is>
      </c>
      <c r="D1803" s="3" t="inlineStr">
        <is>
          <t>unit</t>
        </is>
      </c>
      <c r="E1803" s="4" t="n">
        <v>61043658</v>
      </c>
    </row>
    <row r="1804">
      <c r="A1804" s="3" t="n">
        <v>1802</v>
      </c>
      <c r="B1804" s="3" t="inlineStr">
        <is>
          <t>6.1.1.7</t>
        </is>
      </c>
      <c r="C1804" s="3" t="inlineStr">
        <is>
          <t>Pemasangan 1 unit tangki toren kap. 0,7 m3</t>
        </is>
      </c>
      <c r="D1804" s="3" t="inlineStr">
        <is>
          <t>unit</t>
        </is>
      </c>
      <c r="E1804" s="4" t="n">
        <v>1288045</v>
      </c>
    </row>
    <row r="1805">
      <c r="A1805" s="3" t="n">
        <v>1803</v>
      </c>
      <c r="B1805" s="3" t="inlineStr">
        <is>
          <t>6.1.1.8</t>
        </is>
      </c>
      <c r="C1805" s="3" t="inlineStr">
        <is>
          <t>Pemasangan 1 unit tangki toren kap. 1,5 m3</t>
        </is>
      </c>
      <c r="D1805" s="3" t="inlineStr">
        <is>
          <t>unit</t>
        </is>
      </c>
      <c r="E1805" s="4" t="n">
        <v>2138477</v>
      </c>
    </row>
    <row r="1806">
      <c r="A1806" s="3" t="n">
        <v>1804</v>
      </c>
      <c r="B1806" s="3" t="inlineStr">
        <is>
          <t>6.1.1.9</t>
        </is>
      </c>
      <c r="C1806" s="3" t="inlineStr">
        <is>
          <t>Pemasangan 1 unit tangki toren kap. 2,5 m3</t>
        </is>
      </c>
      <c r="D1806" s="3" t="inlineStr">
        <is>
          <t>unit</t>
        </is>
      </c>
      <c r="E1806" s="4" t="n">
        <v>4101977</v>
      </c>
    </row>
    <row r="1807">
      <c r="A1807" s="3" t="n">
        <v>1805</v>
      </c>
      <c r="B1807" s="3" t="inlineStr">
        <is>
          <t>6.1.1.10</t>
        </is>
      </c>
      <c r="C1807" s="3" t="inlineStr">
        <is>
          <t>Pemasangan 1 unit tangki toren kap. 3 m3</t>
        </is>
      </c>
      <c r="D1807" s="3" t="inlineStr">
        <is>
          <t>unit</t>
        </is>
      </c>
      <c r="E1807" s="4" t="n">
        <v>5583990</v>
      </c>
    </row>
    <row r="1808">
      <c r="A1808" s="3" t="n">
        <v>1806</v>
      </c>
      <c r="B1808" s="3" t="inlineStr">
        <is>
          <t>6.1.1.11</t>
        </is>
      </c>
      <c r="C1808" s="3" t="inlineStr">
        <is>
          <t>Pemasangan 1 unit tangki toren kap. 4 m3</t>
        </is>
      </c>
      <c r="D1808" s="3" t="inlineStr">
        <is>
          <t>unit</t>
        </is>
      </c>
      <c r="E1808" s="4" t="n">
        <v>6381490</v>
      </c>
    </row>
    <row r="1809">
      <c r="A1809" s="3" t="n">
        <v>1807</v>
      </c>
      <c r="B1809" s="3" t="inlineStr">
        <is>
          <t>6.1.1.12</t>
        </is>
      </c>
      <c r="C1809" s="3" t="inlineStr">
        <is>
          <t>Pemasangan 1 unit tangki toren kap. 5 m3</t>
        </is>
      </c>
      <c r="D1809" s="3" t="inlineStr">
        <is>
          <t>unit</t>
        </is>
      </c>
      <c r="E1809" s="4" t="n">
        <v>7936890</v>
      </c>
    </row>
    <row r="1810">
      <c r="A1810" s="3" t="n">
        <v>1808</v>
      </c>
      <c r="B1810" s="3" t="inlineStr">
        <is>
          <t>6.1.1.13</t>
        </is>
      </c>
      <c r="C1810" s="3" t="inlineStr">
        <is>
          <t>Pemasangan 1 unit tangki toren kap. 5,5 m3</t>
        </is>
      </c>
      <c r="D1810" s="3" t="inlineStr">
        <is>
          <t>unit</t>
        </is>
      </c>
      <c r="E1810" s="4" t="n">
        <v>8159090</v>
      </c>
    </row>
    <row r="1811">
      <c r="A1811" s="3" t="n">
        <v>1809</v>
      </c>
      <c r="B1811" s="3" t="inlineStr">
        <is>
          <t>6.1.1.14</t>
        </is>
      </c>
      <c r="C1811" s="3" t="inlineStr">
        <is>
          <t>Pemasangan 1 unit tangki toren kap. 6 m3</t>
        </is>
      </c>
      <c r="D1811" s="3" t="inlineStr">
        <is>
          <t>unit</t>
        </is>
      </c>
      <c r="E1811" s="4" t="n">
        <v>9040861</v>
      </c>
    </row>
    <row r="1812">
      <c r="A1812" s="3" t="n">
        <v>1810</v>
      </c>
      <c r="B1812" s="3" t="inlineStr">
        <is>
          <t>6.1.1.15</t>
        </is>
      </c>
      <c r="C1812" s="3" t="inlineStr">
        <is>
          <t>Pemasangan 1 buah Tangki Panel FRP Kap.12 m3</t>
        </is>
      </c>
      <c r="D1812" s="3" t="inlineStr">
        <is>
          <t>buah</t>
        </is>
      </c>
      <c r="E1812" s="4" t="n">
        <v>18473658</v>
      </c>
    </row>
    <row r="1813">
      <c r="A1813" s="3" t="n">
        <v>1811</v>
      </c>
      <c r="B1813" s="3" t="inlineStr">
        <is>
          <t>6.1.1.16</t>
        </is>
      </c>
      <c r="C1813" s="3" t="inlineStr">
        <is>
          <t>Pemasangan 1 buah Tangki Panel Stainless Steel Kap. 12 m3</t>
        </is>
      </c>
      <c r="D1813" s="3" t="inlineStr">
        <is>
          <t>buah</t>
        </is>
      </c>
      <c r="E1813" s="4" t="n">
        <v>15448658</v>
      </c>
    </row>
    <row r="1814">
      <c r="A1814" s="3" t="n">
        <v>1812</v>
      </c>
      <c r="B1814" s="3" t="inlineStr">
        <is>
          <t>6.1.1.17</t>
        </is>
      </c>
      <c r="C1814" s="3" t="inlineStr">
        <is>
          <t>Pemasangan 1 buah Tangki Panel GRP Kap. 12 m3</t>
        </is>
      </c>
      <c r="D1814" s="3" t="inlineStr">
        <is>
          <t>buah</t>
        </is>
      </c>
      <c r="E1814" s="4" t="n">
        <v>14843658</v>
      </c>
    </row>
    <row r="1815">
      <c r="A1815" s="3" t="n">
        <v>1813</v>
      </c>
      <c r="B1815" s="3" t="inlineStr">
        <is>
          <t>6.1.1.18</t>
        </is>
      </c>
      <c r="C1815" s="3" t="inlineStr">
        <is>
          <t>Pemasangan 1 buah Tangki Toren Kap. 0,5 m3</t>
        </is>
      </c>
      <c r="D1815" s="3" t="inlineStr">
        <is>
          <t>buah</t>
        </is>
      </c>
      <c r="E1815" s="4" t="n">
        <v>783145</v>
      </c>
    </row>
    <row r="1816">
      <c r="A1816" s="3" t="n">
        <v>1814</v>
      </c>
      <c r="B1816" s="3" t="inlineStr">
        <is>
          <t>6.1.1.19</t>
        </is>
      </c>
      <c r="C1816" s="3" t="inlineStr">
        <is>
          <t>Pemasangan 1 buah Tangki Panel GRP Kap. 16 m3</t>
        </is>
      </c>
      <c r="D1816" s="3" t="inlineStr">
        <is>
          <t>buah</t>
        </is>
      </c>
      <c r="E1816" s="4" t="n">
        <v>22105506</v>
      </c>
    </row>
    <row r="1817">
      <c r="A1817" s="3" t="n">
        <v>1815</v>
      </c>
      <c r="B1817" s="3" t="inlineStr">
        <is>
          <t>6.1.1.20</t>
        </is>
      </c>
      <c r="C1817" s="3" t="inlineStr">
        <is>
          <t>Pemasangan 1 buah Tangki Toren Kap. 2.2 m3</t>
        </is>
      </c>
      <c r="D1817" s="3" t="inlineStr">
        <is>
          <t>buah</t>
        </is>
      </c>
      <c r="E1817" s="4" t="n">
        <v>1561417</v>
      </c>
    </row>
    <row r="1818">
      <c r="A1818" s="3" t="n">
        <v>1816</v>
      </c>
      <c r="B1818" s="3" t="inlineStr">
        <is>
          <t>6.1.2.1</t>
        </is>
      </c>
      <c r="C1818" s="3" t="inlineStr">
        <is>
          <t>Pemasangan 1 unit pompa transfer 150 lpm; centrifugal end suction</t>
        </is>
      </c>
      <c r="D1818" s="3" t="inlineStr">
        <is>
          <t>unit</t>
        </is>
      </c>
      <c r="E1818" s="4" t="n">
        <v>1433426</v>
      </c>
    </row>
    <row r="1819">
      <c r="A1819" s="3" t="n">
        <v>1817</v>
      </c>
      <c r="B1819" s="3" t="inlineStr">
        <is>
          <t>6.1.2.2</t>
        </is>
      </c>
      <c r="C1819" s="3" t="inlineStr">
        <is>
          <t>Pemasangan 1 unit pompa booster 450 lpm; centrifugal end suction</t>
        </is>
      </c>
      <c r="D1819" s="3" t="inlineStr">
        <is>
          <t>unit</t>
        </is>
      </c>
      <c r="E1819" s="4" t="n">
        <v>3523652</v>
      </c>
    </row>
    <row r="1820">
      <c r="A1820" s="3" t="n">
        <v>1818</v>
      </c>
      <c r="B1820" s="3" t="inlineStr">
        <is>
          <t>6.1.2.3</t>
        </is>
      </c>
      <c r="C1820" s="3" t="inlineStr">
        <is>
          <t>Pemasangan 1 unit pompa booster 150 lpm; vertical in line-packaged</t>
        </is>
      </c>
      <c r="D1820" s="3" t="inlineStr">
        <is>
          <t>unit</t>
        </is>
      </c>
      <c r="E1820" s="4" t="n">
        <v>1527977</v>
      </c>
    </row>
    <row r="1821">
      <c r="A1821" s="3" t="n">
        <v>1819</v>
      </c>
      <c r="B1821" s="3" t="inlineStr">
        <is>
          <t>6.1.2.4</t>
        </is>
      </c>
      <c r="C1821" s="3" t="inlineStr">
        <is>
          <t>Pemasangan 1 unit pompa jet 27 lpm</t>
        </is>
      </c>
      <c r="D1821" s="3" t="inlineStr">
        <is>
          <t>unit</t>
        </is>
      </c>
      <c r="E1821" s="4" t="n">
        <v>1408940</v>
      </c>
    </row>
    <row r="1822">
      <c r="A1822" s="3" t="n">
        <v>1820</v>
      </c>
      <c r="B1822" s="3" t="inlineStr">
        <is>
          <t>6.1.2.5</t>
        </is>
      </c>
      <c r="C1822" s="3" t="inlineStr">
        <is>
          <t>Pemasangan 1 unit pompa jet 34 lpm</t>
        </is>
      </c>
      <c r="D1822" s="3" t="inlineStr">
        <is>
          <t>unit</t>
        </is>
      </c>
      <c r="E1822" s="4" t="n">
        <v>1771940</v>
      </c>
    </row>
    <row r="1823">
      <c r="A1823" s="3" t="n">
        <v>1821</v>
      </c>
      <c r="B1823" s="3" t="inlineStr">
        <is>
          <t>6.1.2.6</t>
        </is>
      </c>
      <c r="C1823" s="3" t="inlineStr">
        <is>
          <t>Pemasangan 1 unit pompa jet 100 lpm</t>
        </is>
      </c>
      <c r="D1823" s="3" t="inlineStr">
        <is>
          <t>unit</t>
        </is>
      </c>
      <c r="E1823" s="4" t="n">
        <v>2739940</v>
      </c>
    </row>
    <row r="1824">
      <c r="A1824" s="3" t="n">
        <v>1822</v>
      </c>
      <c r="B1824" s="3" t="inlineStr">
        <is>
          <t>6.1.2.7</t>
        </is>
      </c>
      <c r="C1824" s="3" t="inlineStr">
        <is>
          <t>Pemasangan 1 unit pompa lift 80 lpm</t>
        </is>
      </c>
      <c r="D1824" s="3" t="inlineStr">
        <is>
          <t>unit</t>
        </is>
      </c>
      <c r="E1824" s="4" t="n">
        <v>1417108</v>
      </c>
    </row>
    <row r="1825">
      <c r="A1825" s="3" t="n">
        <v>1823</v>
      </c>
      <c r="B1825" s="3" t="inlineStr">
        <is>
          <t>6.1.2.8</t>
        </is>
      </c>
      <c r="C1825" s="3" t="inlineStr">
        <is>
          <t>Pemasangan 1 unit pompa lift 250 lpm</t>
        </is>
      </c>
      <c r="D1825" s="3" t="inlineStr">
        <is>
          <t>unit</t>
        </is>
      </c>
      <c r="E1825" s="4" t="n">
        <v>4348586</v>
      </c>
    </row>
    <row r="1826">
      <c r="A1826" s="3" t="n">
        <v>1824</v>
      </c>
      <c r="B1826" s="3" t="inlineStr">
        <is>
          <t>6.1.2.9</t>
        </is>
      </c>
      <c r="C1826" s="3" t="inlineStr">
        <is>
          <t>Pemasangan 1 unit Pompa Jet 30 lpm</t>
        </is>
      </c>
      <c r="D1826" s="3" t="inlineStr">
        <is>
          <t>unit</t>
        </is>
      </c>
      <c r="E1826" s="4" t="n">
        <v>1203240</v>
      </c>
    </row>
    <row r="1827">
      <c r="A1827" s="3" t="n">
        <v>1825</v>
      </c>
      <c r="B1827" s="3" t="inlineStr">
        <is>
          <t>6.1.2.10</t>
        </is>
      </c>
      <c r="C1827" s="3" t="inlineStr">
        <is>
          <t>Pemasangan 1 Unit Pompa Transfer 500 lpm; Centrifugal End Suction</t>
        </is>
      </c>
      <c r="D1827" s="3" t="inlineStr">
        <is>
          <t>unit</t>
        </is>
      </c>
      <c r="E1827" s="4" t="n">
        <v>6081806</v>
      </c>
    </row>
    <row r="1828">
      <c r="A1828" s="3" t="n">
        <v>1826</v>
      </c>
      <c r="B1828" s="3" t="inlineStr">
        <is>
          <t>6.1.2.11</t>
        </is>
      </c>
      <c r="C1828" s="3" t="inlineStr">
        <is>
          <t>Pemasangan 1 Unit Pompa Transfer 50 lpm; Centrifugal End Suction</t>
        </is>
      </c>
      <c r="D1828" s="3" t="inlineStr">
        <is>
          <t>unit</t>
        </is>
      </c>
      <c r="E1828" s="4" t="n">
        <v>1090820</v>
      </c>
    </row>
    <row r="1829">
      <c r="A1829" s="3" t="n">
        <v>1827</v>
      </c>
      <c r="B1829" s="3" t="inlineStr">
        <is>
          <t>6.3.1</t>
        </is>
      </c>
      <c r="C1829" s="3" t="inlineStr">
        <is>
          <t>Filter</t>
        </is>
      </c>
      <c r="D1829" s="3" t="n">
        <v/>
      </c>
      <c r="E1829" s="4" t="n">
        <v>0</v>
      </c>
    </row>
    <row r="1830">
      <c r="A1830" s="3" t="n">
        <v>1828</v>
      </c>
      <c r="B1830" s="3" t="inlineStr">
        <is>
          <t>6.1.3.1</t>
        </is>
      </c>
      <c r="C1830" s="3" t="inlineStr">
        <is>
          <t>Pemasangan 1 unit sand filter kap. 0,1 m3 / hari</t>
        </is>
      </c>
      <c r="D1830" s="3" t="inlineStr">
        <is>
          <t>unit</t>
        </is>
      </c>
      <c r="E1830" s="4" t="n">
        <v>3281828</v>
      </c>
    </row>
    <row r="1831">
      <c r="A1831" s="3" t="n">
        <v>1829</v>
      </c>
      <c r="B1831" s="3" t="inlineStr">
        <is>
          <t>6.1.3.2</t>
        </is>
      </c>
      <c r="C1831" s="3" t="inlineStr">
        <is>
          <t>Pemasangan 1 unit sand filter kap. 14 m3 / hari</t>
        </is>
      </c>
      <c r="D1831" s="3" t="inlineStr">
        <is>
          <t>unit</t>
        </is>
      </c>
      <c r="E1831" s="4" t="n">
        <v>7903890</v>
      </c>
    </row>
    <row r="1832">
      <c r="A1832" s="3" t="n">
        <v>1830</v>
      </c>
      <c r="B1832" s="3" t="inlineStr">
        <is>
          <t>6.1.3.3</t>
        </is>
      </c>
      <c r="C1832" s="3" t="inlineStr">
        <is>
          <t>Pemasangan 1 unit carbon filter kap. 0,1 m3 / hari</t>
        </is>
      </c>
      <c r="D1832" s="3" t="inlineStr">
        <is>
          <t>unit</t>
        </is>
      </c>
      <c r="E1832" s="4" t="n">
        <v>1195953</v>
      </c>
    </row>
    <row r="1833">
      <c r="A1833" s="3" t="n">
        <v>1831</v>
      </c>
      <c r="B1833" s="3" t="inlineStr">
        <is>
          <t>6.1.3.4</t>
        </is>
      </c>
      <c r="C1833" s="3" t="inlineStr">
        <is>
          <t>Pemasangan 1 unit carbon filter kap. 0,6 m3 / hari</t>
        </is>
      </c>
      <c r="D1833" s="3" t="inlineStr">
        <is>
          <t>unit</t>
        </is>
      </c>
      <c r="E1833" s="4" t="n">
        <v>5742390</v>
      </c>
    </row>
    <row r="1834">
      <c r="A1834" s="3" t="n">
        <v>1832</v>
      </c>
      <c r="B1834" s="3" t="inlineStr">
        <is>
          <t>6.1.3.5</t>
        </is>
      </c>
      <c r="C1834" s="3" t="inlineStr">
        <is>
          <t>Pemasangan 1 unit silika filter kap. 0,1 m3 / hari</t>
        </is>
      </c>
      <c r="D1834" s="3" t="inlineStr">
        <is>
          <t>unit</t>
        </is>
      </c>
      <c r="E1834" s="4" t="n">
        <v>1026828</v>
      </c>
    </row>
    <row r="1835">
      <c r="A1835" s="3" t="n">
        <v>1833</v>
      </c>
      <c r="B1835" s="3" t="inlineStr">
        <is>
          <t>6.1.4</t>
        </is>
      </c>
      <c r="C1835" s="3" t="inlineStr">
        <is>
          <t>Ground Water Tank (Fiber)</t>
        </is>
      </c>
      <c r="D1835" s="3" t="n">
        <v/>
      </c>
      <c r="E1835" s="4" t="n">
        <v>0</v>
      </c>
    </row>
    <row r="1836">
      <c r="A1836" s="3" t="n">
        <v>1834</v>
      </c>
      <c r="B1836" s="3" t="inlineStr">
        <is>
          <t>6.1.4.1</t>
        </is>
      </c>
      <c r="C1836" s="3" t="inlineStr">
        <is>
          <t>Pemasangan 1 set priming tank 500 liter</t>
        </is>
      </c>
      <c r="D1836" s="3" t="inlineStr">
        <is>
          <t>set</t>
        </is>
      </c>
      <c r="E1836" s="4" t="n">
        <v>1727858</v>
      </c>
    </row>
    <row r="1837">
      <c r="A1837" s="3" t="n">
        <v>1835</v>
      </c>
      <c r="B1837" s="3" t="inlineStr">
        <is>
          <t>6.1.4.2</t>
        </is>
      </c>
      <c r="C1837" s="3" t="inlineStr">
        <is>
          <t>Pemasangan 1 set priming tank 800 liter</t>
        </is>
      </c>
      <c r="D1837" s="3" t="inlineStr">
        <is>
          <t>set</t>
        </is>
      </c>
      <c r="E1837" s="4" t="n">
        <v>2624721</v>
      </c>
    </row>
    <row r="1838">
      <c r="A1838" s="3" t="n">
        <v>1836</v>
      </c>
      <c r="B1838" s="3" t="inlineStr">
        <is>
          <t>6.1.4.3</t>
        </is>
      </c>
      <c r="C1838" s="3" t="inlineStr">
        <is>
          <t>Pemasangan 1 set priming tank 1.000 liter</t>
        </is>
      </c>
      <c r="D1838" s="3" t="inlineStr">
        <is>
          <t>set</t>
        </is>
      </c>
      <c r="E1838" s="4" t="n">
        <v>3519461</v>
      </c>
    </row>
    <row r="1839">
      <c r="A1839" s="3" t="n">
        <v>1837</v>
      </c>
      <c r="B1839" s="3" t="inlineStr">
        <is>
          <t>6.1.4.4</t>
        </is>
      </c>
      <c r="C1839" s="3" t="inlineStr">
        <is>
          <t>Pemasangan 1 set priming tank 2.000 liter</t>
        </is>
      </c>
      <c r="D1839" s="3" t="inlineStr">
        <is>
          <t>set</t>
        </is>
      </c>
      <c r="E1839" s="4" t="n">
        <v>4859651</v>
      </c>
    </row>
    <row r="1840">
      <c r="A1840" s="3" t="n">
        <v>1838</v>
      </c>
      <c r="B1840" s="3" t="inlineStr">
        <is>
          <t>6.1.4.5</t>
        </is>
      </c>
      <c r="C1840" s="3" t="inlineStr">
        <is>
          <t>Pemasangan 1 set pressure tank 1.000 liter</t>
        </is>
      </c>
      <c r="D1840" s="3" t="inlineStr">
        <is>
          <t>set</t>
        </is>
      </c>
      <c r="E1840" s="4" t="n">
        <v>19473586</v>
      </c>
    </row>
    <row r="1841">
      <c r="A1841" s="3" t="n">
        <v>1839</v>
      </c>
      <c r="B1841" s="3" t="inlineStr">
        <is>
          <t>6.2.1.1</t>
        </is>
      </c>
      <c r="C1841" s="3" t="inlineStr">
        <is>
          <t>Pemasangan 1 set Sewage Treatment Plant (STP) fiberglass kap. 2 m3</t>
        </is>
      </c>
      <c r="D1841" s="3" t="inlineStr">
        <is>
          <t>set</t>
        </is>
      </c>
      <c r="E1841" s="4" t="n">
        <v>32730357</v>
      </c>
    </row>
    <row r="1842">
      <c r="A1842" s="3" t="n">
        <v>1840</v>
      </c>
      <c r="B1842" s="3" t="inlineStr">
        <is>
          <t>6.2.1.2</t>
        </is>
      </c>
      <c r="C1842" s="3" t="inlineStr">
        <is>
          <t>Pemasangan 1 set Sewage Treatment Plant (STP) fiberglass kap. 5 m3</t>
        </is>
      </c>
      <c r="D1842" s="3" t="inlineStr">
        <is>
          <t>set</t>
        </is>
      </c>
      <c r="E1842" s="4" t="n">
        <v>55836341</v>
      </c>
    </row>
    <row r="1843">
      <c r="A1843" s="3" t="n">
        <v>1841</v>
      </c>
      <c r="B1843" s="3" t="inlineStr">
        <is>
          <t>6.2.1.3</t>
        </is>
      </c>
      <c r="C1843" s="3" t="inlineStr">
        <is>
          <t>Pemasangan 1 set Sewage Treatment Plant (STP) fiberglass kap. 10 m3</t>
        </is>
      </c>
      <c r="D1843" s="3" t="inlineStr">
        <is>
          <t>set</t>
        </is>
      </c>
      <c r="E1843" s="4" t="n">
        <v>90576816</v>
      </c>
    </row>
    <row r="1844">
      <c r="A1844" s="3" t="n">
        <v>1842</v>
      </c>
      <c r="B1844" s="3" t="inlineStr">
        <is>
          <t>6.2.1.4</t>
        </is>
      </c>
      <c r="C1844" s="3" t="inlineStr">
        <is>
          <t>Pemasangan 1 set Sewage Treatment Plant (STP) fiberglass kap. 30 m3</t>
        </is>
      </c>
      <c r="D1844" s="3" t="inlineStr">
        <is>
          <t>set</t>
        </is>
      </c>
      <c r="E1844" s="4" t="n">
        <v>173347124</v>
      </c>
    </row>
    <row r="1845">
      <c r="A1845" s="3" t="n">
        <v>1843</v>
      </c>
      <c r="B1845" s="3" t="inlineStr">
        <is>
          <t>6.2.1.5</t>
        </is>
      </c>
      <c r="C1845" s="3" t="inlineStr">
        <is>
          <t>Pemasangan 1 set Sewage Treatment Plant (STP) precast kap. 30 m3</t>
        </is>
      </c>
      <c r="D1845" s="3" t="inlineStr">
        <is>
          <t>set</t>
        </is>
      </c>
      <c r="E1845" s="4" t="n">
        <v>113658000</v>
      </c>
    </row>
    <row r="1846">
      <c r="A1846" s="3" t="n">
        <v>1844</v>
      </c>
      <c r="B1846" s="3" t="inlineStr">
        <is>
          <t>6.2.1.6</t>
        </is>
      </c>
      <c r="C1846" s="3" t="inlineStr">
        <is>
          <t>Pemasangan 1 set Sewage Treatment Plant (STP) Fiberglass kap. 1 m3</t>
        </is>
      </c>
      <c r="D1846" s="3" t="inlineStr">
        <is>
          <t>set</t>
        </is>
      </c>
      <c r="E1846" s="4" t="n">
        <v>165277695</v>
      </c>
    </row>
    <row r="1847">
      <c r="A1847" s="3" t="n">
        <v>1845</v>
      </c>
      <c r="B1847" s="3" t="inlineStr">
        <is>
          <t>6.2.1.7</t>
        </is>
      </c>
      <c r="C1847" s="3" t="inlineStr">
        <is>
          <t>Pemasangan 1 Set BioFilter Anaerobic Aerobic Clarifier Packed Kap. 50 m3</t>
        </is>
      </c>
      <c r="D1847" s="3" t="inlineStr">
        <is>
          <t>set</t>
        </is>
      </c>
      <c r="E1847" s="4" t="n">
        <v>331771275</v>
      </c>
    </row>
    <row r="1848">
      <c r="A1848" s="3" t="n">
        <v>1846</v>
      </c>
      <c r="B1848" s="3" t="inlineStr">
        <is>
          <t>6.2.2.1</t>
        </is>
      </c>
      <c r="C1848" s="3" t="inlineStr">
        <is>
          <t>Pemasangan 1 unit pompa sump pit air kotor 100 m3/jam, submersible cutter pump</t>
        </is>
      </c>
      <c r="D1848" s="3" t="inlineStr">
        <is>
          <t>unit</t>
        </is>
      </c>
      <c r="E1848" s="4" t="n">
        <v>9769166</v>
      </c>
    </row>
    <row r="1849">
      <c r="A1849" s="3" t="n">
        <v>1847</v>
      </c>
      <c r="B1849" s="3" t="inlineStr">
        <is>
          <t>6.2.2.2</t>
        </is>
      </c>
      <c r="C1849" s="3" t="inlineStr">
        <is>
          <t>Pemasangan 1 Unit Pompa Jenis Submersible Cutter Pump Kap. 75 LPM</t>
        </is>
      </c>
      <c r="D1849" s="3" t="inlineStr">
        <is>
          <t>unit</t>
        </is>
      </c>
      <c r="E1849" s="4" t="n">
        <v>5259287</v>
      </c>
    </row>
    <row r="1850">
      <c r="A1850" s="3" t="n">
        <v>1848</v>
      </c>
      <c r="B1850" s="3" t="inlineStr">
        <is>
          <t>6.2.2.3</t>
        </is>
      </c>
      <c r="C1850" s="3" t="inlineStr">
        <is>
          <t>Pemasangan 1 Unit Pompa Jenis Submersible Cutter Pump Kap. 100 LPM</t>
        </is>
      </c>
      <c r="D1850" s="3" t="inlineStr">
        <is>
          <t>unit</t>
        </is>
      </c>
      <c r="E1850" s="4" t="n">
        <v>7516113</v>
      </c>
    </row>
    <row r="1851">
      <c r="A1851" s="3" t="n">
        <v>1849</v>
      </c>
      <c r="B1851" s="3" t="inlineStr">
        <is>
          <t>6.2.3.1</t>
        </is>
      </c>
      <c r="C1851" s="3" t="inlineStr">
        <is>
          <t>Pemasangan 1 unit grease trap portable fiberglass, kap. 30 Liter</t>
        </is>
      </c>
      <c r="D1851" s="3" t="inlineStr">
        <is>
          <t>unit</t>
        </is>
      </c>
      <c r="E1851" s="4" t="n">
        <v>1232616</v>
      </c>
    </row>
    <row r="1852">
      <c r="A1852" s="3" t="n">
        <v>1850</v>
      </c>
      <c r="B1852" s="3" t="inlineStr">
        <is>
          <t>6.2.3.2</t>
        </is>
      </c>
      <c r="C1852" s="3" t="inlineStr">
        <is>
          <t>Pemasangan 1 unit grease trap portable stainless, kap. 30 Liter</t>
        </is>
      </c>
      <c r="D1852" s="3" t="inlineStr">
        <is>
          <t>unit</t>
        </is>
      </c>
      <c r="E1852" s="4" t="n">
        <v>1796366</v>
      </c>
    </row>
    <row r="1853">
      <c r="A1853" s="3" t="n">
        <v>1851</v>
      </c>
      <c r="B1853" s="3" t="inlineStr">
        <is>
          <t>6.2.3.3</t>
        </is>
      </c>
      <c r="C1853" s="3" t="inlineStr">
        <is>
          <t>Pemasangan 1 unit grease trap central fiberglass, kap. 5 m3</t>
        </is>
      </c>
      <c r="D1853" s="3" t="inlineStr">
        <is>
          <t>unit</t>
        </is>
      </c>
      <c r="E1853" s="4" t="n">
        <v>22987085</v>
      </c>
    </row>
    <row r="1854">
      <c r="A1854" s="3" t="n">
        <v>1852</v>
      </c>
      <c r="B1854" s="3" t="inlineStr">
        <is>
          <t>6.2.4.1</t>
        </is>
      </c>
      <c r="C1854" s="3" t="inlineStr">
        <is>
          <t>Pemasangan 1 buah Sumur Resapan Air Limbah diameter 80 cm, t=100 cm ( dengan tutup Beton)</t>
        </is>
      </c>
      <c r="D1854" s="3" t="inlineStr">
        <is>
          <t>unit</t>
        </is>
      </c>
      <c r="E1854" s="4" t="n">
        <v>973078</v>
      </c>
    </row>
    <row r="1855">
      <c r="A1855" s="3" t="n">
        <v>1853</v>
      </c>
      <c r="B1855" s="3" t="inlineStr">
        <is>
          <t>6.2.4.2</t>
        </is>
      </c>
      <c r="C1855" s="3" t="inlineStr">
        <is>
          <t>Pemasangan 1 buah Sumur Resapan Air Limbah diameter 80 cm, t=100 cm ( tanpa tutup Beton)</t>
        </is>
      </c>
      <c r="D1855" s="3" t="inlineStr">
        <is>
          <t>unit</t>
        </is>
      </c>
      <c r="E1855" s="4" t="n">
        <v>842566</v>
      </c>
    </row>
    <row r="1856">
      <c r="A1856" s="3" t="n">
        <v>1854</v>
      </c>
      <c r="B1856" s="3" t="inlineStr">
        <is>
          <t>6.3.1</t>
        </is>
      </c>
      <c r="C1856" s="3" t="inlineStr">
        <is>
          <t>Pemasangan 1 buah bak kontrol pas. bata 30x30 cm tinggi 35 cm dengan tutup beton</t>
        </is>
      </c>
      <c r="D1856" s="3" t="inlineStr">
        <is>
          <t>buah</t>
        </is>
      </c>
      <c r="E1856" s="4" t="n">
        <v>561633</v>
      </c>
    </row>
    <row r="1857">
      <c r="A1857" s="3" t="n">
        <v>1855</v>
      </c>
      <c r="B1857" s="3" t="inlineStr">
        <is>
          <t>6.3.2</t>
        </is>
      </c>
      <c r="C1857" s="3" t="inlineStr">
        <is>
          <t>Pemasangan 1 buah bak kontrol pas. bata 45x45 cm tinggi 50 cm dengan tutup beton</t>
        </is>
      </c>
      <c r="D1857" s="3" t="inlineStr">
        <is>
          <t>buah</t>
        </is>
      </c>
      <c r="E1857" s="4" t="n">
        <v>829946</v>
      </c>
    </row>
    <row r="1858">
      <c r="A1858" s="3" t="n">
        <v>1856</v>
      </c>
      <c r="B1858" s="3" t="inlineStr">
        <is>
          <t>6.3.3</t>
        </is>
      </c>
      <c r="C1858" s="3" t="inlineStr">
        <is>
          <t>Pemasangan 1 buah bak kontrol pas. bata 60x60 cm tinggi 65 cm dengan tutup beton</t>
        </is>
      </c>
      <c r="D1858" s="3" t="inlineStr">
        <is>
          <t>buah</t>
        </is>
      </c>
      <c r="E1858" s="4" t="n">
        <v>992780</v>
      </c>
    </row>
    <row r="1859">
      <c r="A1859" s="3" t="n">
        <v>1857</v>
      </c>
      <c r="B1859" s="3" t="inlineStr">
        <is>
          <t>6.4.1.1</t>
        </is>
      </c>
      <c r="C1859" s="3" t="inlineStr">
        <is>
          <t>Pemasangan 1 m pipa PVC AW, DN. 1/2" (15 mm)</t>
        </is>
      </c>
      <c r="D1859" s="3" t="inlineStr">
        <is>
          <t>m'</t>
        </is>
      </c>
      <c r="E1859" s="4" t="n">
        <v>20438</v>
      </c>
    </row>
    <row r="1860">
      <c r="A1860" s="3" t="n">
        <v>1858</v>
      </c>
      <c r="B1860" s="3" t="inlineStr">
        <is>
          <t>6.4.1.2</t>
        </is>
      </c>
      <c r="C1860" s="3" t="inlineStr">
        <is>
          <t>Pemasangan 1 m pipa PVC AW, DN. 3/4" (20 mm)</t>
        </is>
      </c>
      <c r="D1860" s="3" t="inlineStr">
        <is>
          <t>m'</t>
        </is>
      </c>
      <c r="E1860" s="4" t="n">
        <v>24843</v>
      </c>
    </row>
    <row r="1861">
      <c r="A1861" s="3" t="n">
        <v>1859</v>
      </c>
      <c r="B1861" s="3" t="inlineStr">
        <is>
          <t>6.4.1.3</t>
        </is>
      </c>
      <c r="C1861" s="3" t="inlineStr">
        <is>
          <t>Pemasangan 1 m pipa PVC AW, DN. 1" (25 mm)</t>
        </is>
      </c>
      <c r="D1861" s="3" t="inlineStr">
        <is>
          <t>m'</t>
        </is>
      </c>
      <c r="E1861" s="4" t="n">
        <v>31768</v>
      </c>
    </row>
    <row r="1862">
      <c r="A1862" s="3" t="n">
        <v>1860</v>
      </c>
      <c r="B1862" s="3" t="inlineStr">
        <is>
          <t>6.4.1.4</t>
        </is>
      </c>
      <c r="C1862" s="3" t="inlineStr">
        <is>
          <t>Pemasangan 1 m pipa PVC AW, DN. 1-1/4" (32 mm)</t>
        </is>
      </c>
      <c r="D1862" s="3" t="inlineStr">
        <is>
          <t>m'</t>
        </is>
      </c>
      <c r="E1862" s="4" t="n">
        <v>47338</v>
      </c>
    </row>
    <row r="1863">
      <c r="A1863" s="3" t="n">
        <v>1861</v>
      </c>
      <c r="B1863" s="3" t="inlineStr">
        <is>
          <t>6.4.1.5</t>
        </is>
      </c>
      <c r="C1863" s="3" t="inlineStr">
        <is>
          <t>Pemasangan 1 m pipa PVC AW, DN. 1-1/2" (40 mm)</t>
        </is>
      </c>
      <c r="D1863" s="3" t="inlineStr">
        <is>
          <t>m'</t>
        </is>
      </c>
      <c r="E1863" s="4" t="n">
        <v>55110</v>
      </c>
    </row>
    <row r="1864">
      <c r="A1864" s="3" t="n">
        <v>1862</v>
      </c>
      <c r="B1864" s="3" t="inlineStr">
        <is>
          <t>6.4.1.6</t>
        </is>
      </c>
      <c r="C1864" s="3" t="inlineStr">
        <is>
          <t>Pemasangan 1 m pipa PVC AW, DN. 2" (50 mm)</t>
        </is>
      </c>
      <c r="D1864" s="3" t="inlineStr">
        <is>
          <t>m'</t>
        </is>
      </c>
      <c r="E1864" s="4" t="n">
        <v>70763</v>
      </c>
    </row>
    <row r="1865">
      <c r="A1865" s="3" t="n">
        <v>1863</v>
      </c>
      <c r="B1865" s="3" t="inlineStr">
        <is>
          <t>6.4.1.7</t>
        </is>
      </c>
      <c r="C1865" s="3" t="inlineStr">
        <is>
          <t>Pemasangan 1 m pipa PVC AW, DN. 2-1/2" (65 mm)</t>
        </is>
      </c>
      <c r="D1865" s="3" t="inlineStr">
        <is>
          <t>m'</t>
        </is>
      </c>
      <c r="E1865" s="4" t="n">
        <v>96228</v>
      </c>
    </row>
    <row r="1866">
      <c r="A1866" s="3" t="n">
        <v>1864</v>
      </c>
      <c r="B1866" s="3" t="inlineStr">
        <is>
          <t>6.4.1.8</t>
        </is>
      </c>
      <c r="C1866" s="3" t="inlineStr">
        <is>
          <t>Pemasangan 1 m pipa PVC AW, DN. 3" (80 mm)</t>
        </is>
      </c>
      <c r="D1866" s="3" t="inlineStr">
        <is>
          <t>m'</t>
        </is>
      </c>
      <c r="E1866" s="4" t="n">
        <v>124096</v>
      </c>
    </row>
    <row r="1867">
      <c r="A1867" s="3" t="n">
        <v>1865</v>
      </c>
      <c r="B1867" s="3" t="inlineStr">
        <is>
          <t>6.4.1.9</t>
        </is>
      </c>
      <c r="C1867" s="3" t="inlineStr">
        <is>
          <t>Pemasangan 1 m pipa PVC AW, DN. 4" (100 mm)</t>
        </is>
      </c>
      <c r="D1867" s="3" t="inlineStr">
        <is>
          <t>m'</t>
        </is>
      </c>
      <c r="E1867" s="4" t="n">
        <v>169620</v>
      </c>
    </row>
    <row r="1868">
      <c r="A1868" s="3" t="n">
        <v>1866</v>
      </c>
      <c r="B1868" s="3" t="inlineStr">
        <is>
          <t>6.4.1.10</t>
        </is>
      </c>
      <c r="C1868" s="3" t="inlineStr">
        <is>
          <t>Pemasangan 1 m pipa PVC AW, DN. 5" (125 mm)</t>
        </is>
      </c>
      <c r="D1868" s="3" t="inlineStr">
        <is>
          <t>m'</t>
        </is>
      </c>
      <c r="E1868" s="4" t="n">
        <v>224900</v>
      </c>
    </row>
    <row r="1869">
      <c r="A1869" s="3" t="n">
        <v>1867</v>
      </c>
      <c r="B1869" s="3" t="inlineStr">
        <is>
          <t>6.4.1.11</t>
        </is>
      </c>
      <c r="C1869" s="3" t="inlineStr">
        <is>
          <t>Pemasangan 1 m pipa PVC AW, DN. 6" (150 mm)</t>
        </is>
      </c>
      <c r="D1869" s="3" t="inlineStr">
        <is>
          <t>m'</t>
        </is>
      </c>
      <c r="E1869" s="4" t="n">
        <v>249144</v>
      </c>
    </row>
    <row r="1870">
      <c r="A1870" s="3" t="n">
        <v>1868</v>
      </c>
      <c r="B1870" s="3" t="inlineStr">
        <is>
          <t>6.4.1.12</t>
        </is>
      </c>
      <c r="C1870" s="3" t="inlineStr">
        <is>
          <t>Pemasangan 1 m pipa PVC AW, DN. 8" (200 mm)</t>
        </is>
      </c>
      <c r="D1870" s="3" t="inlineStr">
        <is>
          <t>m'</t>
        </is>
      </c>
      <c r="E1870" s="4" t="n">
        <v>315282</v>
      </c>
    </row>
    <row r="1871">
      <c r="A1871" s="3" t="n">
        <v>1869</v>
      </c>
      <c r="B1871" s="3" t="inlineStr">
        <is>
          <t>6.4.1.13</t>
        </is>
      </c>
      <c r="C1871" s="3" t="inlineStr">
        <is>
          <t>Pemasangan 1 m pipa PVC AW, DN. 10" (250 mm)</t>
        </is>
      </c>
      <c r="D1871" s="3" t="inlineStr">
        <is>
          <t>m'</t>
        </is>
      </c>
      <c r="E1871" s="4" t="n">
        <v>498322</v>
      </c>
    </row>
    <row r="1872">
      <c r="A1872" s="3" t="n">
        <v>1870</v>
      </c>
      <c r="B1872" s="3" t="inlineStr">
        <is>
          <t>6.4.1.14</t>
        </is>
      </c>
      <c r="C1872" s="3" t="inlineStr">
        <is>
          <t>Pemasangan 1 m pipa PVC AW, DN. 12" (300 mm)</t>
        </is>
      </c>
      <c r="D1872" s="3" t="inlineStr">
        <is>
          <t>m'</t>
        </is>
      </c>
      <c r="E1872" s="4" t="n">
        <v>439351</v>
      </c>
    </row>
    <row r="1873">
      <c r="A1873" s="3" t="n">
        <v>1871</v>
      </c>
      <c r="B1873" s="3" t="inlineStr">
        <is>
          <t>6.4.1.15</t>
        </is>
      </c>
      <c r="C1873" s="3" t="inlineStr">
        <is>
          <t>Pemasangan 1 m pipa PVC AW, DN. 14" (350 mm)</t>
        </is>
      </c>
      <c r="D1873" s="3" t="inlineStr">
        <is>
          <t>m'</t>
        </is>
      </c>
      <c r="E1873" s="4" t="n">
        <v>499576</v>
      </c>
    </row>
    <row r="1874">
      <c r="A1874" s="3" t="n">
        <v>1872</v>
      </c>
      <c r="B1874" s="3" t="inlineStr">
        <is>
          <t>6.4.1.16</t>
        </is>
      </c>
      <c r="C1874" s="3" t="inlineStr">
        <is>
          <t>Pemasangan 1 m pipa PVC AW, DN. 16" (400 mm)</t>
        </is>
      </c>
      <c r="D1874" s="3" t="inlineStr">
        <is>
          <t>m'</t>
        </is>
      </c>
      <c r="E1874" s="4" t="n">
        <v>577775</v>
      </c>
    </row>
    <row r="1875">
      <c r="A1875" s="3" t="n">
        <v>1873</v>
      </c>
      <c r="B1875" s="3" t="inlineStr">
        <is>
          <t>6.4.1.17</t>
        </is>
      </c>
      <c r="C1875" s="3" t="inlineStr">
        <is>
          <t>Pemasangan 1 m pipa PVC D, DN. 1-1/4" (32 mm)</t>
        </is>
      </c>
      <c r="D1875" s="3" t="inlineStr">
        <is>
          <t>m'</t>
        </is>
      </c>
      <c r="E1875" s="4" t="n">
        <v>34419</v>
      </c>
    </row>
    <row r="1876">
      <c r="A1876" s="3" t="n">
        <v>1874</v>
      </c>
      <c r="B1876" s="3" t="inlineStr">
        <is>
          <t>6.4.1.18</t>
        </is>
      </c>
      <c r="C1876" s="3" t="inlineStr">
        <is>
          <t>Pemasangan 1 m pipa PVC D, DN. 1-1/2" (40 mm)</t>
        </is>
      </c>
      <c r="D1876" s="3" t="inlineStr">
        <is>
          <t>m'</t>
        </is>
      </c>
      <c r="E1876" s="4" t="n">
        <v>39160</v>
      </c>
    </row>
    <row r="1877">
      <c r="A1877" s="3" t="n">
        <v>1875</v>
      </c>
      <c r="B1877" s="3" t="inlineStr">
        <is>
          <t>6.4.1.19</t>
        </is>
      </c>
      <c r="C1877" s="3" t="inlineStr">
        <is>
          <t>Pemasangan 1 m pipa PVC D, DN. 2" (50 mm)</t>
        </is>
      </c>
      <c r="D1877" s="3" t="inlineStr">
        <is>
          <t>m'</t>
        </is>
      </c>
      <c r="E1877" s="4" t="n">
        <v>50028</v>
      </c>
    </row>
    <row r="1878">
      <c r="A1878" s="3" t="n">
        <v>1876</v>
      </c>
      <c r="B1878" s="3" t="inlineStr">
        <is>
          <t>6.4.1.20</t>
        </is>
      </c>
      <c r="C1878" s="3" t="inlineStr">
        <is>
          <t>Pemasangan 1 m pipa PVC D, DN. 2-1/2" (65 mm)</t>
        </is>
      </c>
      <c r="D1878" s="3" t="inlineStr">
        <is>
          <t>m'</t>
        </is>
      </c>
      <c r="E1878" s="4" t="n">
        <v>65923</v>
      </c>
    </row>
    <row r="1879">
      <c r="A1879" s="3" t="n">
        <v>1877</v>
      </c>
      <c r="B1879" s="3" t="inlineStr">
        <is>
          <t>6.4.1.21</t>
        </is>
      </c>
      <c r="C1879" s="3" t="inlineStr">
        <is>
          <t>Pemasangan 1 m pipa PVC D, DN. 3" (80 mm)</t>
        </is>
      </c>
      <c r="D1879" s="3" t="inlineStr">
        <is>
          <t>m'</t>
        </is>
      </c>
      <c r="E1879" s="4" t="n">
        <v>85816</v>
      </c>
    </row>
    <row r="1880">
      <c r="A1880" s="3" t="n">
        <v>1878</v>
      </c>
      <c r="B1880" s="3" t="inlineStr">
        <is>
          <t>6.4.1.22</t>
        </is>
      </c>
      <c r="C1880" s="3" t="inlineStr">
        <is>
          <t>Pemasangan 1 m pipa PVC D, DN. 4" (100 mm)</t>
        </is>
      </c>
      <c r="D1880" s="3" t="inlineStr">
        <is>
          <t>m'</t>
        </is>
      </c>
      <c r="E1880" s="4" t="n">
        <v>115390</v>
      </c>
    </row>
    <row r="1881">
      <c r="A1881" s="3" t="n">
        <v>1879</v>
      </c>
      <c r="B1881" s="3" t="inlineStr">
        <is>
          <t>6.4.1.23</t>
        </is>
      </c>
      <c r="C1881" s="3" t="inlineStr">
        <is>
          <t>Pemasangan 1 m pipa PVC D, DN. 5" (125 mm)</t>
        </is>
      </c>
      <c r="D1881" s="3" t="inlineStr">
        <is>
          <t>m'</t>
        </is>
      </c>
      <c r="E1881" s="4" t="n">
        <v>165885</v>
      </c>
    </row>
    <row r="1882">
      <c r="A1882" s="3" t="n">
        <v>1880</v>
      </c>
      <c r="B1882" s="3" t="inlineStr">
        <is>
          <t>6.4.1.24</t>
        </is>
      </c>
      <c r="C1882" s="3" t="inlineStr">
        <is>
          <t>Pemasangan 1 m pipa PVC D, DN. 6" (150 mm)</t>
        </is>
      </c>
      <c r="D1882" s="3" t="inlineStr">
        <is>
          <t>m'</t>
        </is>
      </c>
      <c r="E1882" s="4" t="n">
        <v>204484</v>
      </c>
    </row>
    <row r="1883">
      <c r="A1883" s="3" t="n">
        <v>1881</v>
      </c>
      <c r="B1883" s="3" t="inlineStr">
        <is>
          <t>6.4.1.25</t>
        </is>
      </c>
      <c r="C1883" s="3" t="inlineStr">
        <is>
          <t>Pemasangan 1 m pipa PVC D, DN. 8" (200 mm)</t>
        </is>
      </c>
      <c r="D1883" s="3" t="inlineStr">
        <is>
          <t>m'</t>
        </is>
      </c>
      <c r="E1883" s="4" t="n">
        <v>326447</v>
      </c>
    </row>
    <row r="1884">
      <c r="A1884" s="3" t="n">
        <v>1882</v>
      </c>
      <c r="B1884" s="3" t="inlineStr">
        <is>
          <t>6.4.1.26</t>
        </is>
      </c>
      <c r="C1884" s="3" t="inlineStr">
        <is>
          <t>Pemasangan 1 m pipa PVC D, DN. 10" (250 mm)</t>
        </is>
      </c>
      <c r="D1884" s="3" t="inlineStr">
        <is>
          <t>m'</t>
        </is>
      </c>
      <c r="E1884" s="4" t="n">
        <v>499917</v>
      </c>
    </row>
    <row r="1885">
      <c r="A1885" s="3" t="n">
        <v>1883</v>
      </c>
      <c r="B1885" s="3" t="inlineStr">
        <is>
          <t>6.4.1.27</t>
        </is>
      </c>
      <c r="C1885" s="3" t="inlineStr">
        <is>
          <t>Pemasangan 1 m pipa PVC D, DN. 12" (300 mm)</t>
        </is>
      </c>
      <c r="D1885" s="3" t="inlineStr">
        <is>
          <t>m'</t>
        </is>
      </c>
      <c r="E1885" s="4" t="n">
        <v>664246</v>
      </c>
    </row>
    <row r="1886">
      <c r="A1886" s="3" t="n">
        <v>1884</v>
      </c>
      <c r="B1886" s="3" t="inlineStr">
        <is>
          <t>6.4.1.28</t>
        </is>
      </c>
      <c r="C1886" s="3" t="inlineStr">
        <is>
          <t>Pemasangan 1 m pipa PVC D, DN. 14" (350 mm)</t>
        </is>
      </c>
      <c r="D1886" s="3" t="inlineStr">
        <is>
          <t>m'</t>
        </is>
      </c>
      <c r="E1886" s="4" t="n">
        <v>694166</v>
      </c>
    </row>
    <row r="1887">
      <c r="A1887" s="3" t="n">
        <v>1885</v>
      </c>
      <c r="B1887" s="3" t="inlineStr">
        <is>
          <t>6.4.1.29</t>
        </is>
      </c>
      <c r="C1887" s="3" t="inlineStr">
        <is>
          <t>Pemasangan 1 m pipa PVC D, DN. 16" (400 mm)</t>
        </is>
      </c>
      <c r="D1887" s="3" t="inlineStr">
        <is>
          <t>m'</t>
        </is>
      </c>
      <c r="E1887" s="4" t="n">
        <v>783370</v>
      </c>
    </row>
    <row r="1888">
      <c r="A1888" s="3" t="n">
        <v>1886</v>
      </c>
      <c r="B1888" s="3" t="inlineStr">
        <is>
          <t>6.4.2.1</t>
        </is>
      </c>
      <c r="C1888" s="3" t="inlineStr">
        <is>
          <t>Pemasangan 1 m Pipa Galvanis MED CLASS, DN. 1/2" (15 mm)</t>
        </is>
      </c>
      <c r="D1888" s="3" t="inlineStr">
        <is>
          <t>m'</t>
        </is>
      </c>
      <c r="E1888" s="4" t="n">
        <v>60896</v>
      </c>
    </row>
    <row r="1889">
      <c r="A1889" s="3" t="n">
        <v>1887</v>
      </c>
      <c r="B1889" s="3" t="inlineStr">
        <is>
          <t>6.4.2.2</t>
        </is>
      </c>
      <c r="C1889" s="3" t="inlineStr">
        <is>
          <t>Pemasangan 1 m Pipa Galvanis MED CLASS, DN. 3/4" (20 mm)</t>
        </is>
      </c>
      <c r="D1889" s="3" t="inlineStr">
        <is>
          <t>m'</t>
        </is>
      </c>
      <c r="E1889" s="4" t="n">
        <v>81389</v>
      </c>
    </row>
    <row r="1890">
      <c r="A1890" s="3" t="n">
        <v>1888</v>
      </c>
      <c r="B1890" s="3" t="inlineStr">
        <is>
          <t>6.4.2.3</t>
        </is>
      </c>
      <c r="C1890" s="3" t="inlineStr">
        <is>
          <t>Pemasangan 1 m Pipa Galvanis MED CLASS, DN. 1" (25 mm)</t>
        </is>
      </c>
      <c r="D1890" s="3" t="inlineStr">
        <is>
          <t>m'</t>
        </is>
      </c>
      <c r="E1890" s="4" t="n">
        <v>111210</v>
      </c>
    </row>
    <row r="1891">
      <c r="A1891" s="3" t="n">
        <v>1889</v>
      </c>
      <c r="B1891" s="3" t="inlineStr">
        <is>
          <t>6.4.2.4</t>
        </is>
      </c>
      <c r="C1891" s="3" t="inlineStr">
        <is>
          <t>Pemasangan 1 m Pipa Galvanis MED CLASS, DN. 1-1/4" (32 mm)</t>
        </is>
      </c>
      <c r="D1891" s="3" t="inlineStr">
        <is>
          <t>m'</t>
        </is>
      </c>
      <c r="E1891" s="4" t="n">
        <v>169383</v>
      </c>
    </row>
    <row r="1892">
      <c r="A1892" s="3" t="n">
        <v>1890</v>
      </c>
      <c r="B1892" s="3" t="inlineStr">
        <is>
          <t>6.4.2.5</t>
        </is>
      </c>
      <c r="C1892" s="3" t="inlineStr">
        <is>
          <t>Pemasangan 1 m Pipa Galvanis MED CLASS, DN. 1-1/2" (40 mm)</t>
        </is>
      </c>
      <c r="D1892" s="3" t="inlineStr">
        <is>
          <t>m'</t>
        </is>
      </c>
      <c r="E1892" s="4" t="n">
        <v>179690</v>
      </c>
    </row>
    <row r="1893">
      <c r="A1893" s="3" t="n">
        <v>1891</v>
      </c>
      <c r="B1893" s="3" t="inlineStr">
        <is>
          <t>6.4.2.6</t>
        </is>
      </c>
      <c r="C1893" s="3" t="inlineStr">
        <is>
          <t>Pemasangan 1 m Pipa Galvanis MED CLASS, DN. 2" (50 mm)</t>
        </is>
      </c>
      <c r="D1893" s="3" t="inlineStr">
        <is>
          <t>m'</t>
        </is>
      </c>
      <c r="E1893" s="4" t="n">
        <v>212932</v>
      </c>
    </row>
    <row r="1894">
      <c r="A1894" s="3" t="n">
        <v>1892</v>
      </c>
      <c r="B1894" s="3" t="inlineStr">
        <is>
          <t>6.4.2.7</t>
        </is>
      </c>
      <c r="C1894" s="3" t="inlineStr">
        <is>
          <t>Pemasangan 1 m Pipa Galvanis MED CLASS, DN. 2-1/2" (65 mm)</t>
        </is>
      </c>
      <c r="D1894" s="3" t="inlineStr">
        <is>
          <t>m'</t>
        </is>
      </c>
      <c r="E1894" s="4" t="n">
        <v>228580</v>
      </c>
    </row>
    <row r="1895">
      <c r="A1895" s="3" t="n">
        <v>1893</v>
      </c>
      <c r="B1895" s="3" t="inlineStr">
        <is>
          <t>6.4.2.8</t>
        </is>
      </c>
      <c r="C1895" s="3" t="inlineStr">
        <is>
          <t>Pemasangan 1 m Pipa Galvanis MED CLASS, DN. 3" (80 mm)</t>
        </is>
      </c>
      <c r="D1895" s="3" t="inlineStr">
        <is>
          <t>m'</t>
        </is>
      </c>
      <c r="E1895" s="4" t="n">
        <v>390241</v>
      </c>
    </row>
    <row r="1896">
      <c r="A1896" s="3" t="n">
        <v>1894</v>
      </c>
      <c r="B1896" s="3" t="inlineStr">
        <is>
          <t>6.4.2.9</t>
        </is>
      </c>
      <c r="C1896" s="3" t="inlineStr">
        <is>
          <t>Pemasangan 1 m Pipa Galvanis MED CLASS, DN. 4" (100 mm)</t>
        </is>
      </c>
      <c r="D1896" s="3" t="inlineStr">
        <is>
          <t>m'</t>
        </is>
      </c>
      <c r="E1896" s="4" t="n">
        <v>551243</v>
      </c>
    </row>
    <row r="1897">
      <c r="A1897" s="3" t="n">
        <v>1895</v>
      </c>
      <c r="B1897" s="3" t="inlineStr">
        <is>
          <t>6.4.2.10</t>
        </is>
      </c>
      <c r="C1897" s="3" t="inlineStr">
        <is>
          <t>Pemasangan 1 m Pipa Galvanis MED CLASS, DN. 5" (125 mm)</t>
        </is>
      </c>
      <c r="D1897" s="3" t="inlineStr">
        <is>
          <t>m'</t>
        </is>
      </c>
      <c r="E1897" s="4" t="n">
        <v>719796</v>
      </c>
    </row>
    <row r="1898">
      <c r="A1898" s="3" t="n">
        <v>1896</v>
      </c>
      <c r="B1898" s="3" t="inlineStr">
        <is>
          <t>6.4.2.11</t>
        </is>
      </c>
      <c r="C1898" s="3" t="inlineStr">
        <is>
          <t>Pemasangan 1 m Pipa Galvanis MED CLASS, DN. 6" (150 mm)</t>
        </is>
      </c>
      <c r="D1898" s="3" t="inlineStr">
        <is>
          <t>m'</t>
        </is>
      </c>
      <c r="E1898" s="4" t="n">
        <v>637422</v>
      </c>
    </row>
    <row r="1899">
      <c r="A1899" s="3" t="n">
        <v>1897</v>
      </c>
      <c r="B1899" s="3" t="inlineStr">
        <is>
          <t>6.4.2.12</t>
        </is>
      </c>
      <c r="C1899" s="3" t="inlineStr">
        <is>
          <t>Pemasangan 1 m Pipa Galvanis MED CLASS, DN. 8" (200 mm)</t>
        </is>
      </c>
      <c r="D1899" s="3" t="inlineStr">
        <is>
          <t>m'</t>
        </is>
      </c>
      <c r="E1899" s="4" t="n">
        <v>897677</v>
      </c>
    </row>
    <row r="1900">
      <c r="A1900" s="3" t="n">
        <v>1898</v>
      </c>
      <c r="B1900" s="3" t="inlineStr">
        <is>
          <t>6.4.2.13</t>
        </is>
      </c>
      <c r="C1900" s="3" t="inlineStr">
        <is>
          <t>Pemasangan 1 m Pipa Galvanis MED CLASS, DN. 10" (250 mm)</t>
        </is>
      </c>
      <c r="D1900" s="3" t="inlineStr">
        <is>
          <t>m'</t>
        </is>
      </c>
      <c r="E1900" s="4" t="n">
        <v>975562</v>
      </c>
    </row>
    <row r="1901">
      <c r="A1901" s="3" t="n">
        <v>1899</v>
      </c>
      <c r="B1901" s="3" t="inlineStr">
        <is>
          <t>6.4.2.14</t>
        </is>
      </c>
      <c r="C1901" s="3" t="inlineStr">
        <is>
          <t>Pemasangan 1 m Pipa Galvanis MED CLASS, DN. 12" (300 mm)</t>
        </is>
      </c>
      <c r="D1901" s="3" t="inlineStr">
        <is>
          <t>m'</t>
        </is>
      </c>
      <c r="E1901" s="4" t="n">
        <v>956967</v>
      </c>
    </row>
    <row r="1902">
      <c r="A1902" s="3" t="n">
        <v>1900</v>
      </c>
      <c r="B1902" s="3" t="inlineStr">
        <is>
          <t>6.4.2.15</t>
        </is>
      </c>
      <c r="C1902" s="3" t="inlineStr">
        <is>
          <t>Pemasangan 1 m Pipa Galvanis MED CLASS, DN. 14" (350 mm)</t>
        </is>
      </c>
      <c r="D1902" s="3" t="inlineStr">
        <is>
          <t>m'</t>
        </is>
      </c>
      <c r="E1902" s="4" t="n">
        <v>1140370</v>
      </c>
    </row>
    <row r="1903">
      <c r="A1903" s="3" t="n">
        <v>1901</v>
      </c>
      <c r="B1903" s="3" t="inlineStr">
        <is>
          <t>6.4.2.16</t>
        </is>
      </c>
      <c r="C1903" s="3" t="inlineStr">
        <is>
          <t>Pemasangan 1 m Pipa Galvanis MED CLASS, DN. 16" (400 mm)</t>
        </is>
      </c>
      <c r="D1903" s="3" t="inlineStr">
        <is>
          <t>m'</t>
        </is>
      </c>
      <c r="E1903" s="4" t="n">
        <v>1217474</v>
      </c>
    </row>
    <row r="1904">
      <c r="A1904" s="3" t="n">
        <v>1902</v>
      </c>
      <c r="B1904" s="3" t="inlineStr">
        <is>
          <t>6.4.2.17</t>
        </is>
      </c>
      <c r="C1904" s="3" t="inlineStr">
        <is>
          <t>Pemasangan 1 m Pipa Galvanis SCH 40, DN. 1/2" (15 mm)</t>
        </is>
      </c>
      <c r="D1904" s="3" t="inlineStr">
        <is>
          <t>m'</t>
        </is>
      </c>
      <c r="E1904" s="4" t="n">
        <v>80696</v>
      </c>
    </row>
    <row r="1905">
      <c r="A1905" s="3" t="n">
        <v>1903</v>
      </c>
      <c r="B1905" s="3" t="inlineStr">
        <is>
          <t>6.4.2.18</t>
        </is>
      </c>
      <c r="C1905" s="3" t="inlineStr">
        <is>
          <t>Pemasangan 1 m Pipa Galvanis SCH 40, DN. 3/4" (20 mm)</t>
        </is>
      </c>
      <c r="D1905" s="3" t="inlineStr">
        <is>
          <t>m'</t>
        </is>
      </c>
      <c r="E1905" s="4" t="n">
        <v>101189</v>
      </c>
    </row>
    <row r="1906">
      <c r="A1906" s="3" t="n">
        <v>1904</v>
      </c>
      <c r="B1906" s="3" t="inlineStr">
        <is>
          <t>6.4.2.19</t>
        </is>
      </c>
      <c r="C1906" s="3" t="inlineStr">
        <is>
          <t>Pemasangan 1 m Pipa Galvanis SCH 40, DN. 1" (25 mm)</t>
        </is>
      </c>
      <c r="D1906" s="3" t="inlineStr">
        <is>
          <t>m'</t>
        </is>
      </c>
      <c r="E1906" s="4" t="n">
        <v>138435</v>
      </c>
    </row>
    <row r="1907">
      <c r="A1907" s="3" t="n">
        <v>1905</v>
      </c>
      <c r="B1907" s="3" t="inlineStr">
        <is>
          <t>6.4.2.20</t>
        </is>
      </c>
      <c r="C1907" s="3" t="inlineStr">
        <is>
          <t>Pemasangan 1 m Pipa Galvanis SCH 40, DN. 1-1/4" (32 mm)</t>
        </is>
      </c>
      <c r="D1907" s="3" t="inlineStr">
        <is>
          <t>m'</t>
        </is>
      </c>
      <c r="E1907" s="4" t="n">
        <v>181758</v>
      </c>
    </row>
    <row r="1908">
      <c r="A1908" s="3" t="n">
        <v>1906</v>
      </c>
      <c r="B1908" s="3" t="inlineStr">
        <is>
          <t>6.4.2.21</t>
        </is>
      </c>
      <c r="C1908" s="3" t="inlineStr">
        <is>
          <t>Pemasangan 1 m Pipa Galvanis SCH 40, DN. 1-1/2" (40 mm)</t>
        </is>
      </c>
      <c r="D1908" s="3" t="inlineStr">
        <is>
          <t>m'</t>
        </is>
      </c>
      <c r="E1908" s="4" t="n">
        <v>213515</v>
      </c>
    </row>
    <row r="1909">
      <c r="A1909" s="3" t="n">
        <v>1907</v>
      </c>
      <c r="B1909" s="3" t="inlineStr">
        <is>
          <t>6.4.2.22</t>
        </is>
      </c>
      <c r="C1909" s="3" t="inlineStr">
        <is>
          <t>Pemasangan 1 m Pipa Galvanis SCH 40, DN. 2" (50 mm)</t>
        </is>
      </c>
      <c r="D1909" s="3" t="inlineStr">
        <is>
          <t>m'</t>
        </is>
      </c>
      <c r="E1909" s="4" t="n">
        <v>369682</v>
      </c>
    </row>
    <row r="1910">
      <c r="A1910" s="3" t="n">
        <v>1908</v>
      </c>
      <c r="B1910" s="3" t="inlineStr">
        <is>
          <t>6.4.2.23</t>
        </is>
      </c>
      <c r="C1910" s="3" t="inlineStr">
        <is>
          <t>Pemasangan 1 m Pipa Galvanis SCH 40, DN. 2-1/2" (65 mm)</t>
        </is>
      </c>
      <c r="D1910" s="3" t="inlineStr">
        <is>
          <t>m'</t>
        </is>
      </c>
      <c r="E1910" s="4" t="n">
        <v>411730</v>
      </c>
    </row>
    <row r="1911">
      <c r="A1911" s="3" t="n">
        <v>1909</v>
      </c>
      <c r="B1911" s="3" t="inlineStr">
        <is>
          <t>6.4.2.24</t>
        </is>
      </c>
      <c r="C1911" s="3" t="inlineStr">
        <is>
          <t>Pemasangan 1 m Pipa Galvanis SCH 40, DN. 3" (80 mm)</t>
        </is>
      </c>
      <c r="D1911" s="3" t="inlineStr">
        <is>
          <t>m'</t>
        </is>
      </c>
      <c r="E1911" s="4" t="n">
        <v>693841</v>
      </c>
    </row>
    <row r="1912">
      <c r="A1912" s="3" t="n">
        <v>1910</v>
      </c>
      <c r="B1912" s="3" t="inlineStr">
        <is>
          <t>6.4.2.25</t>
        </is>
      </c>
      <c r="C1912" s="3" t="inlineStr">
        <is>
          <t>Pemasangan 1 m Pipa Galvanis SCH 40, DN. 4" (100 mm)</t>
        </is>
      </c>
      <c r="D1912" s="3" t="inlineStr">
        <is>
          <t>m'</t>
        </is>
      </c>
      <c r="E1912" s="4" t="n">
        <v>761618</v>
      </c>
    </row>
    <row r="1913">
      <c r="A1913" s="3" t="n">
        <v>1911</v>
      </c>
      <c r="B1913" s="3" t="inlineStr">
        <is>
          <t>6.4.2.26</t>
        </is>
      </c>
      <c r="C1913" s="3" t="inlineStr">
        <is>
          <t>Pemasangan 1 m Pipa Galvanis SCH 40, DN. 5" (125 mm)</t>
        </is>
      </c>
      <c r="D1913" s="3" t="inlineStr">
        <is>
          <t>m'</t>
        </is>
      </c>
      <c r="E1913" s="4" t="n">
        <v>993696</v>
      </c>
    </row>
    <row r="1914">
      <c r="A1914" s="3" t="n">
        <v>1912</v>
      </c>
      <c r="B1914" s="3" t="inlineStr">
        <is>
          <t>6.4.2.27</t>
        </is>
      </c>
      <c r="C1914" s="3" t="inlineStr">
        <is>
          <t>Pemasangan 1 m Pipa Galvanis SCH 40, DN. 6" (150 mm)</t>
        </is>
      </c>
      <c r="D1914" s="3" t="inlineStr">
        <is>
          <t>m'</t>
        </is>
      </c>
      <c r="E1914" s="4" t="n">
        <v>1247922</v>
      </c>
    </row>
    <row r="1915">
      <c r="A1915" s="3" t="n">
        <v>1913</v>
      </c>
      <c r="B1915" s="3" t="inlineStr">
        <is>
          <t>6.4.2.28</t>
        </is>
      </c>
      <c r="C1915" s="3" t="inlineStr">
        <is>
          <t>Pemasangan 1 m Pipa Galvanis SCH 40, DN. 8" (200 mm)</t>
        </is>
      </c>
      <c r="D1915" s="3" t="inlineStr">
        <is>
          <t>m'</t>
        </is>
      </c>
      <c r="E1915" s="4" t="n">
        <v>1893452</v>
      </c>
    </row>
    <row r="1916">
      <c r="A1916" s="3" t="n">
        <v>1914</v>
      </c>
      <c r="B1916" s="3" t="inlineStr">
        <is>
          <t>6.4.2.29</t>
        </is>
      </c>
      <c r="C1916" s="3" t="inlineStr">
        <is>
          <t>Pemasangan 1 m Pipa Galvanis SCH 40, DN. 10" (250 mm</t>
        </is>
      </c>
      <c r="D1916" s="3" t="inlineStr">
        <is>
          <t>m'</t>
        </is>
      </c>
      <c r="E1916" s="4" t="n">
        <v>2512537</v>
      </c>
    </row>
    <row r="1917">
      <c r="A1917" s="3" t="n">
        <v>1915</v>
      </c>
      <c r="B1917" s="3" t="inlineStr">
        <is>
          <t>6.4.2.30</t>
        </is>
      </c>
      <c r="C1917" s="3" t="inlineStr">
        <is>
          <t>Pemasangan 1 m Pipa Galvanis SCH 40, DN. 12" (300 mm)</t>
        </is>
      </c>
      <c r="D1917" s="3" t="inlineStr">
        <is>
          <t>m'</t>
        </is>
      </c>
      <c r="E1917" s="4" t="n">
        <v>2715867</v>
      </c>
    </row>
    <row r="1918">
      <c r="A1918" s="3" t="n">
        <v>1916</v>
      </c>
      <c r="B1918" s="3" t="inlineStr">
        <is>
          <t>6.4.2.31</t>
        </is>
      </c>
      <c r="C1918" s="3" t="inlineStr">
        <is>
          <t>Pemasangan 1 m Pipa Galvanis SCH 40, DN. 14" (350 mm)</t>
        </is>
      </c>
      <c r="D1918" s="3" t="inlineStr">
        <is>
          <t>m'</t>
        </is>
      </c>
      <c r="E1918" s="4" t="n">
        <v>2877820</v>
      </c>
    </row>
    <row r="1919">
      <c r="A1919" s="3" t="n">
        <v>1917</v>
      </c>
      <c r="B1919" s="3" t="inlineStr">
        <is>
          <t>6.4.2.32</t>
        </is>
      </c>
      <c r="C1919" s="3" t="inlineStr">
        <is>
          <t>Pemasangan 1 m Pipa Galvanis SCH 40, DN. 16" (400 mm)</t>
        </is>
      </c>
      <c r="D1919" s="3" t="inlineStr">
        <is>
          <t>m'</t>
        </is>
      </c>
      <c r="E1919" s="4" t="n">
        <v>3006074</v>
      </c>
    </row>
    <row r="1920">
      <c r="A1920" s="3" t="n">
        <v>1918</v>
      </c>
      <c r="B1920" s="3" t="inlineStr">
        <is>
          <t>6.4.3.1</t>
        </is>
      </c>
      <c r="C1920" s="3" t="inlineStr">
        <is>
          <t>Pemasangan 1 m pipa PPR PN 10, DN. 1/2" (15 mm)</t>
        </is>
      </c>
      <c r="D1920" s="3" t="inlineStr">
        <is>
          <t>m'</t>
        </is>
      </c>
      <c r="E1920" s="4" t="n">
        <v>37911</v>
      </c>
    </row>
    <row r="1921">
      <c r="A1921" s="3" t="n">
        <v>1919</v>
      </c>
      <c r="B1921" s="3" t="inlineStr">
        <is>
          <t>6.4.3.2</t>
        </is>
      </c>
      <c r="C1921" s="3" t="inlineStr">
        <is>
          <t>Pemasangan 1 m pipa PPR PN 10, DN. 3/4" (20 mm)</t>
        </is>
      </c>
      <c r="D1921" s="3" t="inlineStr">
        <is>
          <t>m'</t>
        </is>
      </c>
      <c r="E1921" s="4" t="n">
        <v>48862</v>
      </c>
    </row>
    <row r="1922">
      <c r="A1922" s="3" t="n">
        <v>1920</v>
      </c>
      <c r="B1922" s="3" t="inlineStr">
        <is>
          <t>6.4.3.3</t>
        </is>
      </c>
      <c r="C1922" s="3" t="inlineStr">
        <is>
          <t>Pemasangan 1 m pipa PPR PN 10, DN. 1" (25 mm)</t>
        </is>
      </c>
      <c r="D1922" s="3" t="inlineStr">
        <is>
          <t>m'</t>
        </is>
      </c>
      <c r="E1922" s="4" t="n">
        <v>69998</v>
      </c>
    </row>
    <row r="1923">
      <c r="A1923" s="3" t="n">
        <v>1921</v>
      </c>
      <c r="B1923" s="3" t="inlineStr">
        <is>
          <t>6.4.3.4</t>
        </is>
      </c>
      <c r="C1923" s="3" t="inlineStr">
        <is>
          <t>Pemasangan 1 m pipa PPR PN 10, DN. 1-1/4" (32 mm)</t>
        </is>
      </c>
      <c r="D1923" s="3" t="inlineStr">
        <is>
          <t>m'</t>
        </is>
      </c>
      <c r="E1923" s="4" t="n">
        <v>98917</v>
      </c>
    </row>
    <row r="1924">
      <c r="A1924" s="3" t="n">
        <v>1922</v>
      </c>
      <c r="B1924" s="3" t="inlineStr">
        <is>
          <t>6.4.3.5</t>
        </is>
      </c>
      <c r="C1924" s="3" t="inlineStr">
        <is>
          <t>Pemasangan 1 m pipa PPR PN 10, DN. 1-1/2" (40 mm)</t>
        </is>
      </c>
      <c r="D1924" s="3" t="inlineStr">
        <is>
          <t>m'</t>
        </is>
      </c>
      <c r="E1924" s="4" t="n">
        <v>140591</v>
      </c>
    </row>
    <row r="1925">
      <c r="A1925" s="3" t="n">
        <v>1923</v>
      </c>
      <c r="B1925" s="3" t="inlineStr">
        <is>
          <t>6.4.3.6</t>
        </is>
      </c>
      <c r="C1925" s="3" t="inlineStr">
        <is>
          <t>Pemasangan 1 m pipa PPR PN 10, DN. 2" (50 mm)</t>
        </is>
      </c>
      <c r="D1925" s="3" t="inlineStr">
        <is>
          <t>m'</t>
        </is>
      </c>
      <c r="E1925" s="4" t="n">
        <v>206668</v>
      </c>
    </row>
    <row r="1926">
      <c r="A1926" s="3" t="n">
        <v>1924</v>
      </c>
      <c r="B1926" s="3" t="inlineStr">
        <is>
          <t>6.4.3.7</t>
        </is>
      </c>
      <c r="C1926" s="3" t="inlineStr">
        <is>
          <t>Pemasangan 1 m pipa PPR PN 10, DN. 2-1/2" (65 mm)</t>
        </is>
      </c>
      <c r="D1926" s="3" t="inlineStr">
        <is>
          <t>m'</t>
        </is>
      </c>
      <c r="E1926" s="4" t="n">
        <v>284894</v>
      </c>
    </row>
    <row r="1927">
      <c r="A1927" s="3" t="n">
        <v>1925</v>
      </c>
      <c r="B1927" s="3" t="inlineStr">
        <is>
          <t>6.4.3.8</t>
        </is>
      </c>
      <c r="C1927" s="3" t="inlineStr">
        <is>
          <t>Pemasangan 1 m pipa PPR PN 10, DN. 3" (80 mm)</t>
        </is>
      </c>
      <c r="D1927" s="3" t="inlineStr">
        <is>
          <t>m'</t>
        </is>
      </c>
      <c r="E1927" s="4" t="n">
        <v>387249</v>
      </c>
    </row>
    <row r="1928">
      <c r="A1928" s="3" t="n">
        <v>1926</v>
      </c>
      <c r="B1928" s="3" t="inlineStr">
        <is>
          <t>6.4.3.9</t>
        </is>
      </c>
      <c r="C1928" s="3" t="inlineStr">
        <is>
          <t>Pemasangan 1 m pipa PPR PN 10, DN. 4" (100 mm)</t>
        </is>
      </c>
      <c r="D1928" s="3" t="inlineStr">
        <is>
          <t>m'</t>
        </is>
      </c>
      <c r="E1928" s="4" t="n">
        <v>574717</v>
      </c>
    </row>
    <row r="1929">
      <c r="A1929" s="3" t="n">
        <v>1927</v>
      </c>
      <c r="B1929" s="3" t="inlineStr">
        <is>
          <t>6.4.3.10</t>
        </is>
      </c>
      <c r="C1929" s="3" t="inlineStr">
        <is>
          <t>Pemasangan 1 m pipa PPR PN 10, DN. 6" (150 mm)</t>
        </is>
      </c>
      <c r="D1929" s="3" t="inlineStr">
        <is>
          <t>m'</t>
        </is>
      </c>
      <c r="E1929" s="4" t="n">
        <v>1797977</v>
      </c>
    </row>
    <row r="1930">
      <c r="A1930" s="3" t="n">
        <v>1928</v>
      </c>
      <c r="B1930" s="3" t="inlineStr">
        <is>
          <t>6.4.3.11</t>
        </is>
      </c>
      <c r="C1930" s="3" t="inlineStr">
        <is>
          <t>Pemasangan 1 m pipa PPR PN 20, DN. 1/2" (15 mm)</t>
        </is>
      </c>
      <c r="D1930" s="3" t="inlineStr">
        <is>
          <t>m'</t>
        </is>
      </c>
      <c r="E1930" s="4" t="n">
        <v>1698455</v>
      </c>
    </row>
    <row r="1931">
      <c r="A1931" s="3" t="n">
        <v>1929</v>
      </c>
      <c r="B1931" s="3" t="inlineStr">
        <is>
          <t>6.4.3.12</t>
        </is>
      </c>
      <c r="C1931" s="3" t="inlineStr">
        <is>
          <t>Pemasangan 1 m pipa PPR PN 20, DN. 3/4" (20 mm)</t>
        </is>
      </c>
      <c r="D1931" s="3" t="inlineStr">
        <is>
          <t>m'</t>
        </is>
      </c>
      <c r="E1931" s="4" t="n">
        <v>65741</v>
      </c>
    </row>
    <row r="1932">
      <c r="A1932" s="3" t="n">
        <v>1930</v>
      </c>
      <c r="B1932" s="3" t="inlineStr">
        <is>
          <t>6.4.3.13</t>
        </is>
      </c>
      <c r="C1932" s="3" t="inlineStr">
        <is>
          <t>Pemasangan 1 m pipa PPR PN 20, DN. 1" (25 mm)</t>
        </is>
      </c>
      <c r="D1932" s="3" t="inlineStr">
        <is>
          <t>m'</t>
        </is>
      </c>
      <c r="E1932" s="4" t="n">
        <v>98131</v>
      </c>
    </row>
    <row r="1933">
      <c r="A1933" s="3" t="n">
        <v>1931</v>
      </c>
      <c r="B1933" s="3" t="inlineStr">
        <is>
          <t>6.4.3.14</t>
        </is>
      </c>
      <c r="C1933" s="3" t="inlineStr">
        <is>
          <t>Pemasangan 1 m pipa PPR PN 20, DN. 1-1/4" (32 mm)</t>
        </is>
      </c>
      <c r="D1933" s="3" t="inlineStr">
        <is>
          <t>m'</t>
        </is>
      </c>
      <c r="E1933" s="4" t="n">
        <v>140662</v>
      </c>
    </row>
    <row r="1934">
      <c r="A1934" s="3" t="n">
        <v>1932</v>
      </c>
      <c r="B1934" s="3" t="inlineStr">
        <is>
          <t>6.4.3.15</t>
        </is>
      </c>
      <c r="C1934" s="3" t="inlineStr">
        <is>
          <t>Pemasangan 1 m pipa PPR PN 20, DN. 1-1/2" (40 mm)</t>
        </is>
      </c>
      <c r="D1934" s="3" t="inlineStr">
        <is>
          <t>m'</t>
        </is>
      </c>
      <c r="E1934" s="4" t="n">
        <v>205931</v>
      </c>
    </row>
    <row r="1935">
      <c r="A1935" s="3" t="n">
        <v>1933</v>
      </c>
      <c r="B1935" s="3" t="inlineStr">
        <is>
          <t>6.4.3.16</t>
        </is>
      </c>
      <c r="C1935" s="3" t="inlineStr">
        <is>
          <t>Pemasangan 1 m pipa PPR PN 20, DN. 2" (50 mm)</t>
        </is>
      </c>
      <c r="D1935" s="3" t="inlineStr">
        <is>
          <t>m'</t>
        </is>
      </c>
      <c r="E1935" s="4" t="n">
        <v>314589</v>
      </c>
    </row>
    <row r="1936">
      <c r="A1936" s="3" t="n">
        <v>1934</v>
      </c>
      <c r="B1936" s="3" t="inlineStr">
        <is>
          <t>6.4.3.17</t>
        </is>
      </c>
      <c r="C1936" s="3" t="inlineStr">
        <is>
          <t>Pemasangan 1 m pipa PPR PN 20, DN. 2-1/2" (65 mm)</t>
        </is>
      </c>
      <c r="D1936" s="3" t="inlineStr">
        <is>
          <t>m'</t>
        </is>
      </c>
      <c r="E1936" s="4" t="n">
        <v>434632</v>
      </c>
    </row>
    <row r="1937">
      <c r="A1937" s="3" t="n">
        <v>1935</v>
      </c>
      <c r="B1937" s="3" t="inlineStr">
        <is>
          <t>6.4.3.18</t>
        </is>
      </c>
      <c r="C1937" s="3" t="inlineStr">
        <is>
          <t>Pemasangan 1 m pipa PPR PN 20, DN. 3" (80 mm)</t>
        </is>
      </c>
      <c r="D1937" s="3" t="inlineStr">
        <is>
          <t>m'</t>
        </is>
      </c>
      <c r="E1937" s="4" t="n">
        <v>608679</v>
      </c>
    </row>
    <row r="1938">
      <c r="A1938" s="3" t="n">
        <v>1936</v>
      </c>
      <c r="B1938" s="3" t="inlineStr">
        <is>
          <t>6.4.3.19</t>
        </is>
      </c>
      <c r="C1938" s="3" t="inlineStr">
        <is>
          <t>Pemasangan 1 m pipa PPR PN 20, DN. 4" (100 mm)</t>
        </is>
      </c>
      <c r="D1938" s="3" t="inlineStr">
        <is>
          <t>m'</t>
        </is>
      </c>
      <c r="E1938" s="4" t="n">
        <v>896698</v>
      </c>
    </row>
    <row r="1939">
      <c r="A1939" s="3" t="n">
        <v>1937</v>
      </c>
      <c r="B1939" s="3" t="inlineStr">
        <is>
          <t>6.4.3.20</t>
        </is>
      </c>
      <c r="C1939" s="3" t="inlineStr">
        <is>
          <t>Pemasangan 1 m pipa PPR PN 20, DN. 6" (150 mm)</t>
        </is>
      </c>
      <c r="D1939" s="3" t="inlineStr">
        <is>
          <t>m'</t>
        </is>
      </c>
      <c r="E1939" s="4" t="n">
        <v>2895145</v>
      </c>
    </row>
    <row r="1940">
      <c r="A1940" s="3" t="n">
        <v>1938</v>
      </c>
      <c r="B1940" s="3" t="inlineStr">
        <is>
          <t>6.4.4.1</t>
        </is>
      </c>
      <c r="C1940" s="3" t="inlineStr">
        <is>
          <t>Pemasangan 1 m pipa BS MED CLASS, DN. 1/2" (15 mm)</t>
        </is>
      </c>
      <c r="D1940" s="3" t="inlineStr">
        <is>
          <t>m'</t>
        </is>
      </c>
      <c r="E1940" s="4" t="n">
        <v>66698</v>
      </c>
    </row>
    <row r="1941">
      <c r="A1941" s="3" t="n">
        <v>1939</v>
      </c>
      <c r="B1941" s="3" t="inlineStr">
        <is>
          <t>6.4.4.2</t>
        </is>
      </c>
      <c r="C1941" s="3" t="inlineStr">
        <is>
          <t>Pemasangan 1 m pipa BS MED CLASS, DN. 3/4" (20 mm)</t>
        </is>
      </c>
      <c r="D1941" s="3" t="inlineStr">
        <is>
          <t>m'</t>
        </is>
      </c>
      <c r="E1941" s="4" t="n">
        <v>85926</v>
      </c>
    </row>
    <row r="1942">
      <c r="A1942" s="3" t="n">
        <v>1940</v>
      </c>
      <c r="B1942" s="3" t="inlineStr">
        <is>
          <t>6.4.4.3</t>
        </is>
      </c>
      <c r="C1942" s="3" t="inlineStr">
        <is>
          <t>Pemasangan 1 m pipa BS MED CLASS, DN. 1" (25 mm)</t>
        </is>
      </c>
      <c r="D1942" s="3" t="inlineStr">
        <is>
          <t>m'</t>
        </is>
      </c>
      <c r="E1942" s="4" t="n">
        <v>119075</v>
      </c>
    </row>
    <row r="1943">
      <c r="A1943" s="3" t="n">
        <v>1941</v>
      </c>
      <c r="B1943" s="3" t="inlineStr">
        <is>
          <t>6.4.4.4</t>
        </is>
      </c>
      <c r="C1943" s="3" t="inlineStr">
        <is>
          <t>Pemasangan 1 m pipa BS MED CLASS, DN. 1-1/4" (32 mm)</t>
        </is>
      </c>
      <c r="D1943" s="3" t="inlineStr">
        <is>
          <t>m'</t>
        </is>
      </c>
      <c r="E1943" s="4" t="n">
        <v>151673</v>
      </c>
    </row>
    <row r="1944">
      <c r="A1944" s="3" t="n">
        <v>1942</v>
      </c>
      <c r="B1944" s="3" t="inlineStr">
        <is>
          <t>6.4.4.5</t>
        </is>
      </c>
      <c r="C1944" s="3" t="inlineStr">
        <is>
          <t>Pemasangan 1 m pipa BS MED CLASS, DN. 1-1/2" (40 mm)</t>
        </is>
      </c>
      <c r="D1944" s="3" t="inlineStr">
        <is>
          <t>m'</t>
        </is>
      </c>
      <c r="E1944" s="4" t="n">
        <v>174850</v>
      </c>
    </row>
    <row r="1945">
      <c r="A1945" s="3" t="n">
        <v>1943</v>
      </c>
      <c r="B1945" s="3" t="inlineStr">
        <is>
          <t>6.4.4.6</t>
        </is>
      </c>
      <c r="C1945" s="3" t="inlineStr">
        <is>
          <t>Pemasangan 1 m pipa BS MED CLASS, DN. 2" (50 mm)</t>
        </is>
      </c>
      <c r="D1945" s="3" t="inlineStr">
        <is>
          <t>m'</t>
        </is>
      </c>
      <c r="E1945" s="4" t="n">
        <v>233447</v>
      </c>
    </row>
    <row r="1946">
      <c r="A1946" s="3" t="n">
        <v>1944</v>
      </c>
      <c r="B1946" s="3" t="inlineStr">
        <is>
          <t>6.4.4.7</t>
        </is>
      </c>
      <c r="C1946" s="3" t="inlineStr">
        <is>
          <t>Pemasangan 1 m pipa BS MED CLASS, DN. 2-1/2" (65 mm)</t>
        </is>
      </c>
      <c r="D1946" s="3" t="inlineStr">
        <is>
          <t>m'</t>
        </is>
      </c>
      <c r="E1946" s="4" t="n">
        <v>293480</v>
      </c>
    </row>
    <row r="1947">
      <c r="A1947" s="3" t="n">
        <v>1945</v>
      </c>
      <c r="B1947" s="3" t="inlineStr">
        <is>
          <t>6.4.4.8</t>
        </is>
      </c>
      <c r="C1947" s="3" t="inlineStr">
        <is>
          <t>Pemasangan 1 m pipa BS MED CLASS, DN. 3" (80 mm)</t>
        </is>
      </c>
      <c r="D1947" s="3" t="inlineStr">
        <is>
          <t>m'</t>
        </is>
      </c>
      <c r="E1947" s="4" t="n">
        <v>382871</v>
      </c>
    </row>
    <row r="1948">
      <c r="A1948" s="3" t="n">
        <v>1946</v>
      </c>
      <c r="B1948" s="3" t="inlineStr">
        <is>
          <t>6.4.4.9</t>
        </is>
      </c>
      <c r="C1948" s="3" t="inlineStr">
        <is>
          <t>Pemasangan 1 m pipa BS MED CLASS, DN. 4" (100 mm)</t>
        </is>
      </c>
      <c r="D1948" s="3" t="inlineStr">
        <is>
          <t>m'</t>
        </is>
      </c>
      <c r="E1948" s="4" t="n">
        <v>537905</v>
      </c>
    </row>
    <row r="1949">
      <c r="A1949" s="3" t="n">
        <v>1947</v>
      </c>
      <c r="B1949" s="3" t="inlineStr">
        <is>
          <t>6.4.4.10</t>
        </is>
      </c>
      <c r="C1949" s="3" t="inlineStr">
        <is>
          <t>Pemasangan 1 m pipa BS MED CLASS, DN. 5" (125 mm)</t>
        </is>
      </c>
      <c r="D1949" s="3" t="inlineStr">
        <is>
          <t>m'</t>
        </is>
      </c>
      <c r="E1949" s="4" t="n">
        <v>706733</v>
      </c>
    </row>
    <row r="1950">
      <c r="A1950" s="3" t="n">
        <v>1948</v>
      </c>
      <c r="B1950" s="3" t="inlineStr">
        <is>
          <t>6.4.4.11</t>
        </is>
      </c>
      <c r="C1950" s="3" t="inlineStr">
        <is>
          <t>Pemasangan 1 m pipa BS MED CLASS, DN. 6" (150 mm)</t>
        </is>
      </c>
      <c r="D1950" s="3" t="inlineStr">
        <is>
          <t>m'</t>
        </is>
      </c>
      <c r="E1950" s="4" t="n">
        <v>841307</v>
      </c>
    </row>
    <row r="1951">
      <c r="A1951" s="3" t="n">
        <v>1949</v>
      </c>
      <c r="B1951" s="3" t="inlineStr">
        <is>
          <t>6.4.4.12</t>
        </is>
      </c>
      <c r="C1951" s="3" t="inlineStr">
        <is>
          <t>Pemasangan 1 m pipa BS MED CLASS, DN. 8" (200 mm)</t>
        </is>
      </c>
      <c r="D1951" s="3" t="inlineStr">
        <is>
          <t>m'</t>
        </is>
      </c>
      <c r="E1951" s="4" t="n">
        <v>1395344</v>
      </c>
    </row>
    <row r="1952">
      <c r="A1952" s="3" t="n">
        <v>1950</v>
      </c>
      <c r="B1952" s="3" t="inlineStr">
        <is>
          <t>6.4.4.13</t>
        </is>
      </c>
      <c r="C1952" s="3" t="inlineStr">
        <is>
          <t>Pemasangan 1 m pipa BS MED CLASS, DN. 10" (250 mm)</t>
        </is>
      </c>
      <c r="D1952" s="3" t="inlineStr">
        <is>
          <t>m'</t>
        </is>
      </c>
      <c r="E1952" s="4" t="n">
        <v>1619392</v>
      </c>
    </row>
    <row r="1953">
      <c r="A1953" s="3" t="n">
        <v>1951</v>
      </c>
      <c r="B1953" s="3" t="inlineStr">
        <is>
          <t>6.4.4.14</t>
        </is>
      </c>
      <c r="C1953" s="3" t="inlineStr">
        <is>
          <t>Pemasangan 1 m pipa BS MED CLASS, DN. 12" (300 mm)</t>
        </is>
      </c>
      <c r="D1953" s="3" t="inlineStr">
        <is>
          <t>m'</t>
        </is>
      </c>
      <c r="E1953" s="4" t="n">
        <v>1901482</v>
      </c>
    </row>
    <row r="1954">
      <c r="A1954" s="3" t="n">
        <v>1952</v>
      </c>
      <c r="B1954" s="3" t="inlineStr">
        <is>
          <t>6.4.4.15</t>
        </is>
      </c>
      <c r="C1954" s="3" t="inlineStr">
        <is>
          <t>Pemasangan 1 m pipa BS MED CLASS, DN. 14" (350 mm)</t>
        </is>
      </c>
      <c r="D1954" s="3" t="inlineStr">
        <is>
          <t>m'</t>
        </is>
      </c>
      <c r="E1954" s="4" t="n">
        <v>2313850</v>
      </c>
    </row>
    <row r="1955">
      <c r="A1955" s="3" t="n">
        <v>1953</v>
      </c>
      <c r="B1955" s="3" t="inlineStr">
        <is>
          <t>6.4.4.16</t>
        </is>
      </c>
      <c r="C1955" s="3" t="inlineStr">
        <is>
          <t>Pemasangan 1 m pipa BS MED CLASS, DN. 16" (400 mm)</t>
        </is>
      </c>
      <c r="D1955" s="3" t="inlineStr">
        <is>
          <t>m'</t>
        </is>
      </c>
      <c r="E1955" s="4" t="n">
        <v>2643679</v>
      </c>
    </row>
    <row r="1956">
      <c r="A1956" s="3" t="n">
        <v>1954</v>
      </c>
      <c r="B1956" s="3" t="inlineStr">
        <is>
          <t>6.4.4.17</t>
        </is>
      </c>
      <c r="C1956" s="3" t="inlineStr">
        <is>
          <t>Pemasangan 1 m pipa BS SCH 40, DN. 1/2" (15 mm)</t>
        </is>
      </c>
      <c r="D1956" s="3" t="inlineStr">
        <is>
          <t>m'</t>
        </is>
      </c>
      <c r="E1956" s="4" t="n">
        <v>440946</v>
      </c>
    </row>
    <row r="1957">
      <c r="A1957" s="3" t="n">
        <v>1955</v>
      </c>
      <c r="B1957" s="3" t="inlineStr">
        <is>
          <t>6.4.4.18</t>
        </is>
      </c>
      <c r="C1957" s="3" t="inlineStr">
        <is>
          <t>Pemasangan 1 m pipa BS SCH 40, DN. 3/4" (20 mm)</t>
        </is>
      </c>
      <c r="D1957" s="3" t="inlineStr">
        <is>
          <t>m'</t>
        </is>
      </c>
      <c r="E1957" s="4" t="n">
        <v>465289</v>
      </c>
    </row>
    <row r="1958">
      <c r="A1958" s="3" t="n">
        <v>1956</v>
      </c>
      <c r="B1958" s="3" t="inlineStr">
        <is>
          <t>6.4.4.19</t>
        </is>
      </c>
      <c r="C1958" s="3" t="inlineStr">
        <is>
          <t>Pemasangan 1 m pipa BS SCH 40, DN. 1" (25 mm)</t>
        </is>
      </c>
      <c r="D1958" s="3" t="inlineStr">
        <is>
          <t>m'</t>
        </is>
      </c>
      <c r="E1958" s="4" t="n">
        <v>472010</v>
      </c>
    </row>
    <row r="1959">
      <c r="A1959" s="3" t="n">
        <v>1957</v>
      </c>
      <c r="B1959" s="3" t="inlineStr">
        <is>
          <t>6.4.4.20</t>
        </is>
      </c>
      <c r="C1959" s="3" t="inlineStr">
        <is>
          <t>Pemasangan 1 m pipa BS SCH 40, DN. 1-1/4" (32 mm)</t>
        </is>
      </c>
      <c r="D1959" s="3" t="inlineStr">
        <is>
          <t>m'</t>
        </is>
      </c>
      <c r="E1959" s="4" t="n">
        <v>496083</v>
      </c>
    </row>
    <row r="1960">
      <c r="A1960" s="3" t="n">
        <v>1958</v>
      </c>
      <c r="B1960" s="3" t="inlineStr">
        <is>
          <t>6.4.4.21</t>
        </is>
      </c>
      <c r="C1960" s="3" t="inlineStr">
        <is>
          <t>Pemasangan 1 m pipa BS SCH 40, DN. 1-1/2" (40 mm)</t>
        </is>
      </c>
      <c r="D1960" s="3" t="inlineStr">
        <is>
          <t>m'</t>
        </is>
      </c>
      <c r="E1960" s="4" t="n">
        <v>520965</v>
      </c>
    </row>
    <row r="1961">
      <c r="A1961" s="3" t="n">
        <v>1959</v>
      </c>
      <c r="B1961" s="3" t="inlineStr">
        <is>
          <t>6.4.4.22</t>
        </is>
      </c>
      <c r="C1961" s="3" t="inlineStr">
        <is>
          <t>Pemasangan 1 m pipa BS SCH 40, DN. 2" (50 mm)</t>
        </is>
      </c>
      <c r="D1961" s="3" t="inlineStr">
        <is>
          <t>m'</t>
        </is>
      </c>
      <c r="E1961" s="4" t="n">
        <v>552282</v>
      </c>
    </row>
    <row r="1962">
      <c r="A1962" s="3" t="n">
        <v>1960</v>
      </c>
      <c r="B1962" s="3" t="inlineStr">
        <is>
          <t>6.4.4.23</t>
        </is>
      </c>
      <c r="C1962" s="3" t="inlineStr">
        <is>
          <t>Pemasangan 1 m pipa BS SCH 40, DN. 2-1/2" (65 mm)</t>
        </is>
      </c>
      <c r="D1962" s="3" t="inlineStr">
        <is>
          <t>m'</t>
        </is>
      </c>
      <c r="E1962" s="4" t="n">
        <v>583330</v>
      </c>
    </row>
    <row r="1963">
      <c r="A1963" s="3" t="n">
        <v>1961</v>
      </c>
      <c r="B1963" s="3" t="inlineStr">
        <is>
          <t>6.4.4.24</t>
        </is>
      </c>
      <c r="C1963" s="3" t="inlineStr">
        <is>
          <t>Pemasangan 1 m pipa BS SCH 40, DN. 3" (80 mm)</t>
        </is>
      </c>
      <c r="D1963" s="3" t="inlineStr">
        <is>
          <t>m'</t>
        </is>
      </c>
      <c r="E1963" s="4" t="n">
        <v>628391</v>
      </c>
    </row>
    <row r="1964">
      <c r="A1964" s="3" t="n">
        <v>1962</v>
      </c>
      <c r="B1964" s="3" t="inlineStr">
        <is>
          <t>6.4.4.25</t>
        </is>
      </c>
      <c r="C1964" s="3" t="inlineStr">
        <is>
          <t>Pemasangan 1 m pipa BS SCH 40, DN. 4" (100 mm)</t>
        </is>
      </c>
      <c r="D1964" s="3" t="inlineStr">
        <is>
          <t>m'</t>
        </is>
      </c>
      <c r="E1964" s="4" t="n">
        <v>678568</v>
      </c>
    </row>
    <row r="1965">
      <c r="A1965" s="3" t="n">
        <v>1963</v>
      </c>
      <c r="B1965" s="3" t="inlineStr">
        <is>
          <t>6.4.4.26</t>
        </is>
      </c>
      <c r="C1965" s="3" t="inlineStr">
        <is>
          <t>Pemasangan 1 m pipa BS SCH 40, DN. 5" (125 mm)</t>
        </is>
      </c>
      <c r="D1965" s="3" t="inlineStr">
        <is>
          <t>m'</t>
        </is>
      </c>
      <c r="E1965" s="4" t="n">
        <v>728046</v>
      </c>
    </row>
    <row r="1966">
      <c r="A1966" s="3" t="n">
        <v>1964</v>
      </c>
      <c r="B1966" s="3" t="inlineStr">
        <is>
          <t>6.4.4.27</t>
        </is>
      </c>
      <c r="C1966" s="3" t="inlineStr">
        <is>
          <t>Pemasangan 1 m pipa BS SCH 40, DN. 6" (150 mm)</t>
        </is>
      </c>
      <c r="D1966" s="3" t="inlineStr">
        <is>
          <t>m'</t>
        </is>
      </c>
      <c r="E1966" s="4" t="n">
        <v>778222</v>
      </c>
    </row>
    <row r="1967">
      <c r="A1967" s="3" t="n">
        <v>1965</v>
      </c>
      <c r="B1967" s="3" t="inlineStr">
        <is>
          <t>6.4.4.28</t>
        </is>
      </c>
      <c r="C1967" s="3" t="inlineStr">
        <is>
          <t>Pemasangan 1 m pipa BS SCH 40, DN. 8" (200 mm)</t>
        </is>
      </c>
      <c r="D1967" s="3" t="inlineStr">
        <is>
          <t>m'</t>
        </is>
      </c>
      <c r="E1967" s="4" t="n">
        <v>860827</v>
      </c>
    </row>
    <row r="1968">
      <c r="A1968" s="3" t="n">
        <v>1966</v>
      </c>
      <c r="B1968" s="3" t="inlineStr">
        <is>
          <t>6.4.4.29</t>
        </is>
      </c>
      <c r="C1968" s="3" t="inlineStr">
        <is>
          <t>Pemasangan 1 m pipa BS SCH 40, DN. 10" (250 mm)</t>
        </is>
      </c>
      <c r="D1968" s="3" t="inlineStr">
        <is>
          <t>m'</t>
        </is>
      </c>
      <c r="E1968" s="4" t="n">
        <v>944212</v>
      </c>
    </row>
    <row r="1969">
      <c r="A1969" s="3" t="n">
        <v>1967</v>
      </c>
      <c r="B1969" s="3" t="inlineStr">
        <is>
          <t>6.4.4.30</t>
        </is>
      </c>
      <c r="C1969" s="3" t="inlineStr">
        <is>
          <t>Pemasangan 1 m pipa BS SCH 40, DN. 12" (300 mm)</t>
        </is>
      </c>
      <c r="D1969" s="3" t="inlineStr">
        <is>
          <t>m'</t>
        </is>
      </c>
      <c r="E1969" s="4" t="n">
        <v>1026817</v>
      </c>
    </row>
    <row r="1970">
      <c r="A1970" s="3" t="n">
        <v>1968</v>
      </c>
      <c r="B1970" s="3" t="inlineStr">
        <is>
          <t>6.4.4.31</t>
        </is>
      </c>
      <c r="C1970" s="3" t="inlineStr">
        <is>
          <t>Pemasangan 1 m pipa BS SCH 40, DN. 14" (350 mm)</t>
        </is>
      </c>
      <c r="D1970" s="3" t="inlineStr">
        <is>
          <t>m'</t>
        </is>
      </c>
      <c r="E1970" s="4" t="n">
        <v>1110120</v>
      </c>
    </row>
    <row r="1971">
      <c r="A1971" s="3" t="n">
        <v>1969</v>
      </c>
      <c r="B1971" s="3" t="inlineStr">
        <is>
          <t>6.4.4.32</t>
        </is>
      </c>
      <c r="C1971" s="3" t="inlineStr">
        <is>
          <t>Pemasangan 1 m pipa BS SCH 40, DN. 16" (400 mm)</t>
        </is>
      </c>
      <c r="D1971" s="3" t="inlineStr">
        <is>
          <t>m'</t>
        </is>
      </c>
      <c r="E1971" s="4" t="n">
        <v>1192724</v>
      </c>
    </row>
    <row r="1972">
      <c r="A1972" s="3" t="n">
        <v>1970</v>
      </c>
      <c r="B1972" s="3" t="inlineStr">
        <is>
          <t>6.4.5</t>
        </is>
      </c>
      <c r="C1972" s="3" t="inlineStr">
        <is>
          <t>Pipa Tanah</t>
        </is>
      </c>
      <c r="D1972" s="3" t="inlineStr">
        <is>
          <t>m'</t>
        </is>
      </c>
      <c r="E1972" s="4" t="n">
        <v>0</v>
      </c>
    </row>
    <row r="1973">
      <c r="A1973" s="3" t="n">
        <v>1971</v>
      </c>
      <c r="B1973" s="3" t="inlineStr">
        <is>
          <t>6.4.5.1</t>
        </is>
      </c>
      <c r="C1973" s="3" t="inlineStr">
        <is>
          <t>Pemasangan 1 m’ Pipa Air Limbah Jenis Pipa Tanah, DN. 6" (150 mm)</t>
        </is>
      </c>
      <c r="D1973" s="3" t="inlineStr">
        <is>
          <t>m'</t>
        </is>
      </c>
      <c r="E1973" s="4" t="n">
        <v>351009</v>
      </c>
    </row>
    <row r="1974">
      <c r="A1974" s="3" t="n">
        <v>1972</v>
      </c>
      <c r="B1974" s="3" t="inlineStr">
        <is>
          <t>6.4.5.2</t>
        </is>
      </c>
      <c r="C1974" s="3" t="inlineStr">
        <is>
          <t>Pemasangan 1 m’ Pipa Air Limbah Jenis Pipa Tanah, DN. 8" (200 mm)</t>
        </is>
      </c>
      <c r="D1974" s="3" t="inlineStr">
        <is>
          <t>m'</t>
        </is>
      </c>
      <c r="E1974" s="4" t="n">
        <v>435837</v>
      </c>
    </row>
    <row r="1975">
      <c r="A1975" s="3" t="n">
        <v>1973</v>
      </c>
      <c r="B1975" s="3" t="inlineStr">
        <is>
          <t>6.5.1.1</t>
        </is>
      </c>
      <c r="C1975" s="3" t="inlineStr">
        <is>
          <t>Pemasangan 1 buah gate velve (10,16,20) K, dia. 1/2" (15 mm)</t>
        </is>
      </c>
      <c r="D1975" s="3" t="inlineStr">
        <is>
          <t>buah</t>
        </is>
      </c>
      <c r="E1975" s="4" t="n">
        <v>1919489</v>
      </c>
    </row>
    <row r="1976">
      <c r="A1976" s="3" t="n">
        <v>1974</v>
      </c>
      <c r="B1976" s="3" t="inlineStr">
        <is>
          <t>6.5.1.2</t>
        </is>
      </c>
      <c r="C1976" s="3" t="inlineStr">
        <is>
          <t>Pemasangan 1 buah gate velve (10, 16) K, dia. 3/4" (20 mm)</t>
        </is>
      </c>
      <c r="D1976" s="3" t="inlineStr">
        <is>
          <t>buah</t>
        </is>
      </c>
      <c r="E1976" s="4" t="n">
        <v>2183467</v>
      </c>
    </row>
    <row r="1977">
      <c r="A1977" s="3" t="n">
        <v>1975</v>
      </c>
      <c r="B1977" s="3" t="inlineStr">
        <is>
          <t>6.5.1.3</t>
        </is>
      </c>
      <c r="C1977" s="3" t="inlineStr">
        <is>
          <t>Pemasangan 1 buah gate velve (10, 16, 20) K, dia. 1" (25 mm)</t>
        </is>
      </c>
      <c r="D1977" s="3" t="inlineStr">
        <is>
          <t>buah</t>
        </is>
      </c>
      <c r="E1977" s="4" t="n">
        <v>2447335</v>
      </c>
    </row>
    <row r="1978">
      <c r="A1978" s="3" t="n">
        <v>1976</v>
      </c>
      <c r="B1978" s="3" t="inlineStr">
        <is>
          <t>6.5.1.4</t>
        </is>
      </c>
      <c r="C1978" s="3" t="inlineStr">
        <is>
          <t>Pemasangan 1 buah gate velve (10, 16) K, dia. 1-1/4" (32 mm)</t>
        </is>
      </c>
      <c r="D1978" s="3" t="inlineStr">
        <is>
          <t>buah</t>
        </is>
      </c>
      <c r="E1978" s="4" t="n">
        <v>2647095</v>
      </c>
    </row>
    <row r="1979">
      <c r="A1979" s="3" t="n">
        <v>1977</v>
      </c>
      <c r="B1979" s="3" t="inlineStr">
        <is>
          <t>6.5.1.5</t>
        </is>
      </c>
      <c r="C1979" s="3" t="inlineStr">
        <is>
          <t>Pemasangan 1 buah gate velve (10, 16) K, dia. 1-1/2" (40 mm)</t>
        </is>
      </c>
      <c r="D1979" s="3" t="inlineStr">
        <is>
          <t>buah</t>
        </is>
      </c>
      <c r="E1979" s="4" t="n">
        <v>2753949</v>
      </c>
    </row>
    <row r="1980">
      <c r="A1980" s="3" t="n">
        <v>1978</v>
      </c>
      <c r="B1980" s="3" t="inlineStr">
        <is>
          <t>6.5.1.6</t>
        </is>
      </c>
      <c r="C1980" s="3" t="inlineStr">
        <is>
          <t>Pemasangan 1 buah gate velve (10, 16, 20) K, dia. 2" (50 mm)</t>
        </is>
      </c>
      <c r="D1980" s="3" t="inlineStr">
        <is>
          <t>buah</t>
        </is>
      </c>
      <c r="E1980" s="4" t="n">
        <v>3015369</v>
      </c>
    </row>
    <row r="1981">
      <c r="A1981" s="3" t="n">
        <v>1979</v>
      </c>
      <c r="B1981" s="3" t="inlineStr">
        <is>
          <t>6.5.1.7</t>
        </is>
      </c>
      <c r="C1981" s="3" t="inlineStr">
        <is>
          <t>Pemasangan 1 buah gate velve (10, 16, 20)K, dia. 2-1/2" (65 mm)</t>
        </is>
      </c>
      <c r="D1981" s="3" t="inlineStr">
        <is>
          <t>buah</t>
        </is>
      </c>
      <c r="E1981" s="4" t="n">
        <v>3239676</v>
      </c>
    </row>
    <row r="1982">
      <c r="A1982" s="3" t="n">
        <v>1980</v>
      </c>
      <c r="B1982" s="3" t="inlineStr">
        <is>
          <t>6.5.1.8</t>
        </is>
      </c>
      <c r="C1982" s="3" t="inlineStr">
        <is>
          <t>Pemasangan 1 buah gate velve (10, 16, 25) K, dia. 3" (80 mm)</t>
        </is>
      </c>
      <c r="D1982" s="3" t="inlineStr">
        <is>
          <t>buah</t>
        </is>
      </c>
      <c r="E1982" s="4" t="n">
        <v>4130324</v>
      </c>
    </row>
    <row r="1983">
      <c r="A1983" s="3" t="n">
        <v>1981</v>
      </c>
      <c r="B1983" s="3" t="inlineStr">
        <is>
          <t>6.5.1.9</t>
        </is>
      </c>
      <c r="C1983" s="3" t="inlineStr">
        <is>
          <t>Pemasangan 1 buah gate velve (10, 16, 25) K, dia. 4" (100 mm)</t>
        </is>
      </c>
      <c r="D1983" s="3" t="inlineStr">
        <is>
          <t>buah</t>
        </is>
      </c>
      <c r="E1983" s="4" t="n">
        <v>4547625</v>
      </c>
    </row>
    <row r="1984">
      <c r="A1984" s="3" t="n">
        <v>1982</v>
      </c>
      <c r="B1984" s="3" t="inlineStr">
        <is>
          <t>6.5.1.10</t>
        </is>
      </c>
      <c r="C1984" s="3" t="inlineStr">
        <is>
          <t>Pemasangan 1 buah gate velve (10, 16) K, dia. 5" (125 mm)</t>
        </is>
      </c>
      <c r="D1984" s="3" t="inlineStr">
        <is>
          <t>buah</t>
        </is>
      </c>
      <c r="E1984" s="4" t="n">
        <v>4978072</v>
      </c>
    </row>
    <row r="1985">
      <c r="A1985" s="3" t="n">
        <v>1983</v>
      </c>
      <c r="B1985" s="3" t="inlineStr">
        <is>
          <t>6.5.1.11</t>
        </is>
      </c>
      <c r="C1985" s="3" t="inlineStr">
        <is>
          <t>Pemasangan 1 buah gate velve (10, 12, 16, 25)K, dia. 6" (150 mm)</t>
        </is>
      </c>
      <c r="D1985" s="3" t="inlineStr">
        <is>
          <t>buah</t>
        </is>
      </c>
      <c r="E1985" s="4" t="n">
        <v>5501655</v>
      </c>
    </row>
    <row r="1986">
      <c r="A1986" s="3" t="n">
        <v>1984</v>
      </c>
      <c r="B1986" s="3" t="inlineStr">
        <is>
          <t>6.5.1.12</t>
        </is>
      </c>
      <c r="C1986" s="3" t="inlineStr">
        <is>
          <t>Pemasangan 1 buah gate velve (10, 16) K, dia. 8" (200 mm)</t>
        </is>
      </c>
      <c r="D1986" s="3" t="inlineStr">
        <is>
          <t>buah</t>
        </is>
      </c>
      <c r="E1986" s="4" t="n">
        <v>6176813</v>
      </c>
    </row>
    <row r="1987">
      <c r="A1987" s="3" t="n">
        <v>1985</v>
      </c>
      <c r="B1987" s="3" t="inlineStr">
        <is>
          <t>6.5.1.13</t>
        </is>
      </c>
      <c r="C1987" s="3" t="inlineStr">
        <is>
          <t>Pemasangan 1 buah gate velve (10, 16) K, dia. 10" (250 mm)</t>
        </is>
      </c>
      <c r="D1987" s="3" t="inlineStr">
        <is>
          <t>buah</t>
        </is>
      </c>
      <c r="E1987" s="4" t="n">
        <v>6680613</v>
      </c>
    </row>
    <row r="1988">
      <c r="A1988" s="3" t="n">
        <v>1986</v>
      </c>
      <c r="B1988" s="3" t="inlineStr">
        <is>
          <t>6.5.1.14</t>
        </is>
      </c>
      <c r="C1988" s="3" t="inlineStr">
        <is>
          <t>Pemasangan 1 buah gate velve (10, 16) K, dia. 12" (300 mm)</t>
        </is>
      </c>
      <c r="D1988" s="3" t="inlineStr">
        <is>
          <t>buah</t>
        </is>
      </c>
      <c r="E1988" s="4" t="n">
        <v>7254643</v>
      </c>
    </row>
    <row r="1989">
      <c r="A1989" s="3" t="n">
        <v>1987</v>
      </c>
      <c r="B1989" s="3" t="inlineStr">
        <is>
          <t>6.5.2.1</t>
        </is>
      </c>
      <c r="C1989" s="3" t="inlineStr">
        <is>
          <t>Pemasangan 1 buah ball velve, Dia. 1/2" (15 mm)</t>
        </is>
      </c>
      <c r="D1989" s="3" t="inlineStr">
        <is>
          <t>buah</t>
        </is>
      </c>
      <c r="E1989" s="4" t="n">
        <v>53614</v>
      </c>
    </row>
    <row r="1990">
      <c r="A1990" s="3" t="n">
        <v>1988</v>
      </c>
      <c r="B1990" s="3" t="inlineStr">
        <is>
          <t>6.5.2.2</t>
        </is>
      </c>
      <c r="C1990" s="3" t="inlineStr">
        <is>
          <t>Pemasangan 1 buah ball velve, Dia. 3/4" (20 mm)</t>
        </is>
      </c>
      <c r="D1990" s="3" t="inlineStr">
        <is>
          <t>buah</t>
        </is>
      </c>
      <c r="E1990" s="4" t="n">
        <v>79455</v>
      </c>
    </row>
    <row r="1991">
      <c r="A1991" s="3" t="n">
        <v>1989</v>
      </c>
      <c r="B1991" s="3" t="inlineStr">
        <is>
          <t>6.5.2.3</t>
        </is>
      </c>
      <c r="C1991" s="3" t="inlineStr">
        <is>
          <t>Pemasangan 1 buah ball velve, Dia. 1" (25 mm)</t>
        </is>
      </c>
      <c r="D1991" s="3" t="inlineStr">
        <is>
          <t>buah</t>
        </is>
      </c>
      <c r="E1991" s="4" t="n">
        <v>102151</v>
      </c>
    </row>
    <row r="1992">
      <c r="A1992" s="3" t="n">
        <v>1990</v>
      </c>
      <c r="B1992" s="3" t="inlineStr">
        <is>
          <t>6.5.2.4</t>
        </is>
      </c>
      <c r="C1992" s="3" t="inlineStr">
        <is>
          <t>Pemasangan 1 buah ball velve, Dia. 1-1/4" (32 mm)</t>
        </is>
      </c>
      <c r="D1992" s="3" t="inlineStr">
        <is>
          <t>buah</t>
        </is>
      </c>
      <c r="E1992" s="4" t="n">
        <v>139865</v>
      </c>
    </row>
    <row r="1993">
      <c r="A1993" s="3" t="n">
        <v>1991</v>
      </c>
      <c r="B1993" s="3" t="inlineStr">
        <is>
          <t>6.5.2.5</t>
        </is>
      </c>
      <c r="C1993" s="3" t="inlineStr">
        <is>
          <t>Pemasangan 1 buah ball velve, Dia. 1-1/2" (40 mm)</t>
        </is>
      </c>
      <c r="D1993" s="3" t="inlineStr">
        <is>
          <t>buah</t>
        </is>
      </c>
      <c r="E1993" s="4" t="n">
        <v>165759</v>
      </c>
    </row>
    <row r="1994">
      <c r="A1994" s="3" t="n">
        <v>1992</v>
      </c>
      <c r="B1994" s="3" t="inlineStr">
        <is>
          <t>6.5.2.6</t>
        </is>
      </c>
      <c r="C1994" s="3" t="inlineStr">
        <is>
          <t>Pemasangan 1 buah ball velve, Dia.2" (50 mm)</t>
        </is>
      </c>
      <c r="D1994" s="3" t="inlineStr">
        <is>
          <t>buah</t>
        </is>
      </c>
      <c r="E1994" s="4" t="n">
        <v>236164</v>
      </c>
    </row>
    <row r="1995">
      <c r="A1995" s="3" t="n">
        <v>1993</v>
      </c>
      <c r="B1995" s="3" t="inlineStr">
        <is>
          <t>6.5.2.7</t>
        </is>
      </c>
      <c r="C1995" s="3" t="inlineStr">
        <is>
          <t>Pemasangan 1 buah ball velve, Dia.2-1/2" (65 mm)</t>
        </is>
      </c>
      <c r="D1995" s="3" t="inlineStr">
        <is>
          <t>buah</t>
        </is>
      </c>
      <c r="E1995" s="4" t="n">
        <v>292226</v>
      </c>
    </row>
    <row r="1996">
      <c r="A1996" s="3" t="n">
        <v>1994</v>
      </c>
      <c r="B1996" s="3" t="inlineStr">
        <is>
          <t>6.5.2.8</t>
        </is>
      </c>
      <c r="C1996" s="3" t="inlineStr">
        <is>
          <t>Pemasangan 1 buah ball velve, Dia.3" (80 mm)</t>
        </is>
      </c>
      <c r="D1996" s="3" t="inlineStr">
        <is>
          <t>buah</t>
        </is>
      </c>
      <c r="E1996" s="4" t="n">
        <v>505274</v>
      </c>
    </row>
    <row r="1997">
      <c r="A1997" s="3" t="n">
        <v>1995</v>
      </c>
      <c r="B1997" s="3" t="inlineStr">
        <is>
          <t>6.5.2.9</t>
        </is>
      </c>
      <c r="C1997" s="3" t="inlineStr">
        <is>
          <t>Pemasangan 1 buah ball velve, Dia.4" (100 mm)</t>
        </is>
      </c>
      <c r="D1997" s="3" t="inlineStr">
        <is>
          <t>buah</t>
        </is>
      </c>
      <c r="E1997" s="4" t="n">
        <v>598394</v>
      </c>
    </row>
    <row r="1998">
      <c r="A1998" s="3" t="n">
        <v>1996</v>
      </c>
      <c r="B1998" s="3" t="inlineStr">
        <is>
          <t>6.5.3.1</t>
        </is>
      </c>
      <c r="C1998" s="3" t="inlineStr">
        <is>
          <t>Pemasangan 1 buah Check Velve 10 K, Dia. 1/2" (15 mm)</t>
        </is>
      </c>
      <c r="D1998" s="3" t="inlineStr">
        <is>
          <t>buah</t>
        </is>
      </c>
      <c r="E1998" s="4" t="n">
        <v>71324</v>
      </c>
    </row>
    <row r="1999">
      <c r="A1999" s="3" t="n">
        <v>1997</v>
      </c>
      <c r="B1999" s="3" t="inlineStr">
        <is>
          <t>6.5.3.2</t>
        </is>
      </c>
      <c r="C1999" s="3" t="inlineStr">
        <is>
          <t>Pemasangan 1 buah Check Velve 10 K, Dia. 3/4" (20 mm)</t>
        </is>
      </c>
      <c r="D1999" s="3" t="inlineStr">
        <is>
          <t>buah</t>
        </is>
      </c>
      <c r="E1999" s="4" t="n">
        <v>107602</v>
      </c>
    </row>
    <row r="2000">
      <c r="A2000" s="3" t="n">
        <v>1998</v>
      </c>
      <c r="B2000" s="3" t="inlineStr">
        <is>
          <t>6.5.3.3</t>
        </is>
      </c>
      <c r="C2000" s="3" t="inlineStr">
        <is>
          <t>Pemasangan 1 buah Check Velve 10 K, Dia. 1" (25 mm)</t>
        </is>
      </c>
      <c r="D2000" s="3" t="inlineStr">
        <is>
          <t>buah</t>
        </is>
      </c>
      <c r="E2000" s="4" t="n">
        <v>155597</v>
      </c>
    </row>
    <row r="2001">
      <c r="A2001" s="3" t="n">
        <v>1999</v>
      </c>
      <c r="B2001" s="3" t="inlineStr">
        <is>
          <t>6.5.3.4</t>
        </is>
      </c>
      <c r="C2001" s="3" t="inlineStr">
        <is>
          <t>Pemasangan 1 buah Check Velve 10 K, Dia. 1-1/4" (32 mm)</t>
        </is>
      </c>
      <c r="D2001" s="3" t="inlineStr">
        <is>
          <t>buah</t>
        </is>
      </c>
      <c r="E2001" s="4" t="n">
        <v>194209</v>
      </c>
    </row>
    <row r="2002">
      <c r="A2002" s="3" t="n">
        <v>2000</v>
      </c>
      <c r="B2002" s="3" t="inlineStr">
        <is>
          <t>6.5.3.5</t>
        </is>
      </c>
      <c r="C2002" s="3" t="inlineStr">
        <is>
          <t>Pemasangan 1 buah Check Velve 10 K, Dia. 1-1/2" (40 mm)</t>
        </is>
      </c>
      <c r="D2002" s="3" t="inlineStr">
        <is>
          <t>buah</t>
        </is>
      </c>
      <c r="E2002" s="4" t="n">
        <v>254258</v>
      </c>
    </row>
    <row r="2003">
      <c r="A2003" s="3" t="n">
        <v>2001</v>
      </c>
      <c r="B2003" s="3" t="inlineStr">
        <is>
          <t>6.5.3.6</t>
        </is>
      </c>
      <c r="C2003" s="3" t="inlineStr">
        <is>
          <t>Pemasangan 1 buah Check Velve (10, 16) K, Dia. 2" (50 mm)</t>
        </is>
      </c>
      <c r="D2003" s="3" t="inlineStr">
        <is>
          <t>buah</t>
        </is>
      </c>
      <c r="E2003" s="4" t="n">
        <v>359451</v>
      </c>
    </row>
    <row r="2004">
      <c r="A2004" s="3" t="n">
        <v>2002</v>
      </c>
      <c r="B2004" s="3" t="inlineStr">
        <is>
          <t>6.5.3.7</t>
        </is>
      </c>
      <c r="C2004" s="3" t="inlineStr">
        <is>
          <t>Pemasangan 1 buah Check Velve (10,16) K, Dia. 2-1/2" (65 mm)</t>
        </is>
      </c>
      <c r="D2004" s="3" t="inlineStr">
        <is>
          <t>buah</t>
        </is>
      </c>
      <c r="E2004" s="4" t="n">
        <v>444026</v>
      </c>
    </row>
    <row r="2005">
      <c r="A2005" s="3" t="n">
        <v>2003</v>
      </c>
      <c r="B2005" s="3" t="inlineStr">
        <is>
          <t>6.5.3.8</t>
        </is>
      </c>
      <c r="C2005" s="3" t="inlineStr">
        <is>
          <t>Pemasangan 1 buah Check Velve (10,16) K, Dia. 3" (80 mm)</t>
        </is>
      </c>
      <c r="D2005" s="3" t="inlineStr">
        <is>
          <t>buah</t>
        </is>
      </c>
      <c r="E2005" s="4" t="n">
        <v>1037234</v>
      </c>
    </row>
    <row r="2006">
      <c r="A2006" s="3" t="n">
        <v>2004</v>
      </c>
      <c r="B2006" s="3" t="inlineStr">
        <is>
          <t>6.5.3.9</t>
        </is>
      </c>
      <c r="C2006" s="3" t="inlineStr">
        <is>
          <t>Pemasangan 1 buah Check Velve (10,16) K, Dia. 4" (100 mm)</t>
        </is>
      </c>
      <c r="D2006" s="3" t="inlineStr">
        <is>
          <t>buah</t>
        </is>
      </c>
      <c r="E2006" s="4" t="n">
        <v>2323975</v>
      </c>
    </row>
    <row r="2007">
      <c r="A2007" s="3" t="n">
        <v>2005</v>
      </c>
      <c r="B2007" s="3" t="inlineStr">
        <is>
          <t>6.5.3.10</t>
        </is>
      </c>
      <c r="C2007" s="3" t="inlineStr">
        <is>
          <t>Pemasangan 1 buah Check Velve (10, 16) K, Dia. 5" (125 mm)</t>
        </is>
      </c>
      <c r="D2007" s="3" t="inlineStr">
        <is>
          <t>buah</t>
        </is>
      </c>
      <c r="E2007" s="4" t="n">
        <v>4263072</v>
      </c>
    </row>
    <row r="2008">
      <c r="A2008" s="3" t="n">
        <v>2006</v>
      </c>
      <c r="B2008" s="3" t="inlineStr">
        <is>
          <t>6.5.3.11</t>
        </is>
      </c>
      <c r="C2008" s="3" t="inlineStr">
        <is>
          <t>Pemasangan 1 buah Check Velve (10, 16) K, Dia. 6" (150 mm)</t>
        </is>
      </c>
      <c r="D2008" s="3" t="inlineStr">
        <is>
          <t>buah</t>
        </is>
      </c>
      <c r="E2008" s="4" t="n">
        <v>4758055</v>
      </c>
    </row>
    <row r="2009">
      <c r="A2009" s="3" t="n">
        <v>2007</v>
      </c>
      <c r="B2009" s="3" t="inlineStr">
        <is>
          <t>6.5.3.12</t>
        </is>
      </c>
      <c r="C2009" s="3" t="inlineStr">
        <is>
          <t>Pemasangan 1 buah Check Velve (10, 16) K, Dia. 8" (200 mm)</t>
        </is>
      </c>
      <c r="D2009" s="3" t="inlineStr">
        <is>
          <t>buah</t>
        </is>
      </c>
      <c r="E2009" s="4" t="n">
        <v>5490413</v>
      </c>
    </row>
    <row r="2010">
      <c r="A2010" s="3" t="n">
        <v>2008</v>
      </c>
      <c r="B2010" s="3" t="inlineStr">
        <is>
          <t>6.5.3.13</t>
        </is>
      </c>
      <c r="C2010" s="3" t="inlineStr">
        <is>
          <t>Pemasangan 1 buah Check Velve (10,16)  K, Dia. 10" (250 mm)</t>
        </is>
      </c>
      <c r="D2010" s="3" t="inlineStr">
        <is>
          <t>buah</t>
        </is>
      </c>
      <c r="E2010" s="4" t="n">
        <v>5922713</v>
      </c>
    </row>
    <row r="2011">
      <c r="A2011" s="3" t="n">
        <v>2009</v>
      </c>
      <c r="B2011" s="3" t="inlineStr">
        <is>
          <t>6.5.3.14</t>
        </is>
      </c>
      <c r="C2011" s="3" t="inlineStr">
        <is>
          <t>Pemasangan 1 buah Check Velve (10, 16) K, Dia. 12" (300 mm)</t>
        </is>
      </c>
      <c r="D2011" s="3" t="inlineStr">
        <is>
          <t>buah</t>
        </is>
      </c>
      <c r="E2011" s="4" t="n">
        <v>6468143</v>
      </c>
    </row>
    <row r="2012">
      <c r="A2012" s="3" t="n">
        <v>2010</v>
      </c>
      <c r="B2012" s="3" t="inlineStr">
        <is>
          <t>6.5.4.1</t>
        </is>
      </c>
      <c r="C2012" s="3" t="inlineStr">
        <is>
          <t>Pemasangan 1 buah strainer 10 K, Dia. 1/2 " (15 mm)</t>
        </is>
      </c>
      <c r="D2012" s="3" t="inlineStr">
        <is>
          <t>buah</t>
        </is>
      </c>
      <c r="E2012" s="4" t="n">
        <v>67529</v>
      </c>
    </row>
    <row r="2013">
      <c r="A2013" s="3" t="n">
        <v>2011</v>
      </c>
      <c r="B2013" s="3" t="inlineStr">
        <is>
          <t>6.5.4.2</t>
        </is>
      </c>
      <c r="C2013" s="3" t="inlineStr">
        <is>
          <t>Pemasangan 1 buah strainer 10 K, Dia. 3/4 " (20 mm)</t>
        </is>
      </c>
      <c r="D2013" s="3" t="inlineStr">
        <is>
          <t>buah</t>
        </is>
      </c>
      <c r="E2013" s="4" t="n">
        <v>92422</v>
      </c>
    </row>
    <row r="2014">
      <c r="A2014" s="3" t="n">
        <v>2012</v>
      </c>
      <c r="B2014" s="3" t="inlineStr">
        <is>
          <t>6.5.4.3</t>
        </is>
      </c>
      <c r="C2014" s="3" t="inlineStr">
        <is>
          <t>Pemasangan 1 buah strainer 10 K, Dia. 1 " (25 mm)</t>
        </is>
      </c>
      <c r="D2014" s="3" t="inlineStr">
        <is>
          <t>buah</t>
        </is>
      </c>
      <c r="E2014" s="4" t="n">
        <v>118470</v>
      </c>
    </row>
    <row r="2015">
      <c r="A2015" s="3" t="n">
        <v>2013</v>
      </c>
      <c r="B2015" s="3" t="inlineStr">
        <is>
          <t>6.5.4.4</t>
        </is>
      </c>
      <c r="C2015" s="3" t="inlineStr">
        <is>
          <t>Pemasangan 1 buah strainer 10 K, Dia. 1-1/4 " (32 mm)</t>
        </is>
      </c>
      <c r="D2015" s="3" t="inlineStr">
        <is>
          <t>buah</t>
        </is>
      </c>
      <c r="E2015" s="4" t="n">
        <v>174779</v>
      </c>
    </row>
    <row r="2016">
      <c r="A2016" s="3" t="n">
        <v>2014</v>
      </c>
      <c r="B2016" s="3" t="inlineStr">
        <is>
          <t>6.5.4.5</t>
        </is>
      </c>
      <c r="C2016" s="3" t="inlineStr">
        <is>
          <t>Pemasangan 1 buah strainer 10 K, Dia. 1-1/2 " (40 mm)</t>
        </is>
      </c>
      <c r="D2016" s="3" t="inlineStr">
        <is>
          <t>buah</t>
        </is>
      </c>
      <c r="E2016" s="4" t="n">
        <v>246719</v>
      </c>
    </row>
    <row r="2017">
      <c r="A2017" s="3" t="n">
        <v>2015</v>
      </c>
      <c r="B2017" s="3" t="inlineStr">
        <is>
          <t>6.5.4.6</t>
        </is>
      </c>
      <c r="C2017" s="3" t="inlineStr">
        <is>
          <t>Pemasangan 1 buah strainer (10, 16) K, Dia. 2 " (50 mm)</t>
        </is>
      </c>
      <c r="D2017" s="3" t="inlineStr">
        <is>
          <t>buah</t>
        </is>
      </c>
      <c r="E2017" s="4" t="n">
        <v>470948</v>
      </c>
    </row>
    <row r="2018">
      <c r="A2018" s="3" t="n">
        <v>2016</v>
      </c>
      <c r="B2018" s="3" t="inlineStr">
        <is>
          <t>6.5.4.7</t>
        </is>
      </c>
      <c r="C2018" s="3" t="inlineStr">
        <is>
          <t>Pemasangan 1 buah strainer (10, 16) K, Dia. 2-1/2 " (65 mm)</t>
        </is>
      </c>
      <c r="D2018" s="3" t="inlineStr">
        <is>
          <t>buah</t>
        </is>
      </c>
      <c r="E2018" s="4" t="n">
        <v>634535</v>
      </c>
    </row>
    <row r="2019">
      <c r="A2019" s="3" t="n">
        <v>2017</v>
      </c>
      <c r="B2019" s="3" t="inlineStr">
        <is>
          <t>6.5.4.8</t>
        </is>
      </c>
      <c r="C2019" s="3" t="inlineStr">
        <is>
          <t>Pemasangan 1 buah strainer (10, 16) K, Dia. 3 " (80 mm)</t>
        </is>
      </c>
      <c r="D2019" s="3" t="inlineStr">
        <is>
          <t>buah</t>
        </is>
      </c>
      <c r="E2019" s="4" t="n">
        <v>987184</v>
      </c>
    </row>
    <row r="2020">
      <c r="A2020" s="3" t="n">
        <v>2018</v>
      </c>
      <c r="B2020" s="3" t="inlineStr">
        <is>
          <t>6.5.4.9</t>
        </is>
      </c>
      <c r="C2020" s="3" t="inlineStr">
        <is>
          <t>Pemasangan 1 buah strainer (10, 16) K, Dia. 4" (100 mm)</t>
        </is>
      </c>
      <c r="D2020" s="3" t="inlineStr">
        <is>
          <t>buah</t>
        </is>
      </c>
      <c r="E2020" s="4" t="n">
        <v>1422503</v>
      </c>
    </row>
    <row r="2021">
      <c r="A2021" s="3" t="n">
        <v>2019</v>
      </c>
      <c r="B2021" s="3" t="inlineStr">
        <is>
          <t>6.5.4.10</t>
        </is>
      </c>
      <c r="C2021" s="3" t="inlineStr">
        <is>
          <t>Pemasangan 1 buah strainer (10, 16) K, Dia. 5" (125 mm)</t>
        </is>
      </c>
      <c r="D2021" s="3" t="inlineStr">
        <is>
          <t>buah</t>
        </is>
      </c>
      <c r="E2021" s="4" t="n">
        <v>1578962</v>
      </c>
    </row>
    <row r="2022">
      <c r="A2022" s="3" t="n">
        <v>2020</v>
      </c>
      <c r="B2022" s="3" t="inlineStr">
        <is>
          <t>6.5.4.11</t>
        </is>
      </c>
      <c r="C2022" s="3" t="inlineStr">
        <is>
          <t>Pemasangan 1 buah strainer (10, 16) K, Dia. 6" (150 mm)</t>
        </is>
      </c>
      <c r="D2022" s="3" t="inlineStr">
        <is>
          <t>buah</t>
        </is>
      </c>
      <c r="E2022" s="4" t="n">
        <v>1784370</v>
      </c>
    </row>
    <row r="2023">
      <c r="A2023" s="3" t="n">
        <v>2021</v>
      </c>
      <c r="B2023" s="3" t="inlineStr">
        <is>
          <t>6.5.4.12</t>
        </is>
      </c>
      <c r="C2023" s="3" t="inlineStr">
        <is>
          <t>Pemasangan 1 buah strainer (10, 16) K, Dia. 8" (200 mm)</t>
        </is>
      </c>
      <c r="D2023" s="3" t="inlineStr">
        <is>
          <t>buah</t>
        </is>
      </c>
      <c r="E2023" s="4" t="n">
        <v>2330113</v>
      </c>
    </row>
    <row r="2024">
      <c r="A2024" s="3" t="n">
        <v>2022</v>
      </c>
      <c r="B2024" s="3" t="inlineStr">
        <is>
          <t>6.5.4.13</t>
        </is>
      </c>
      <c r="C2024" s="3" t="inlineStr">
        <is>
          <t>Pemasangan 1 buah strainer (10, 16) K, Dia. 10" (250 mm)</t>
        </is>
      </c>
      <c r="D2024" s="3" t="inlineStr">
        <is>
          <t>buah</t>
        </is>
      </c>
      <c r="E2024" s="4" t="n">
        <v>2862513</v>
      </c>
    </row>
    <row r="2025">
      <c r="A2025" s="3" t="n">
        <v>2023</v>
      </c>
      <c r="B2025" s="3" t="inlineStr">
        <is>
          <t>6.5.4.14</t>
        </is>
      </c>
      <c r="C2025" s="3" t="inlineStr">
        <is>
          <t>Pemasangan 1 buah strainer (10, 16) K, Dia. 12" (300 mm)</t>
        </is>
      </c>
      <c r="D2025" s="3" t="inlineStr">
        <is>
          <t>buah</t>
        </is>
      </c>
      <c r="E2025" s="4" t="n">
        <v>3179143</v>
      </c>
    </row>
    <row r="2026">
      <c r="A2026" s="3" t="n">
        <v>2024</v>
      </c>
      <c r="B2026" s="3" t="inlineStr">
        <is>
          <t>6.5.4.15</t>
        </is>
      </c>
      <c r="C2026" s="3" t="inlineStr">
        <is>
          <t>Pemasangan 1 buah strainer 10 K, Dia. 14" (350 mm)</t>
        </is>
      </c>
      <c r="D2026" s="3" t="inlineStr">
        <is>
          <t>buah</t>
        </is>
      </c>
      <c r="E2026" s="4" t="n">
        <v>3526501</v>
      </c>
    </row>
    <row r="2027">
      <c r="A2027" s="3" t="n">
        <v>2025</v>
      </c>
      <c r="B2027" s="3" t="inlineStr">
        <is>
          <t>6.5.5.1</t>
        </is>
      </c>
      <c r="C2027" s="3" t="inlineStr">
        <is>
          <t>Pemasangan 1 buah Floater Velve, Dia 1/2" ( 15 mm)</t>
        </is>
      </c>
      <c r="D2027" s="3" t="inlineStr">
        <is>
          <t>buah</t>
        </is>
      </c>
      <c r="E2027" s="4" t="n">
        <v>301554</v>
      </c>
    </row>
    <row r="2028">
      <c r="A2028" s="3" t="n">
        <v>2026</v>
      </c>
      <c r="B2028" s="3" t="inlineStr">
        <is>
          <t>6.5.5.2</t>
        </is>
      </c>
      <c r="C2028" s="3" t="inlineStr">
        <is>
          <t>Pemasangan 1 buah Floater Velve, Dia 3/4" ( 20 mm)</t>
        </is>
      </c>
      <c r="D2028" s="3" t="inlineStr">
        <is>
          <t>buah</t>
        </is>
      </c>
      <c r="E2028" s="4" t="n">
        <v>349217</v>
      </c>
    </row>
    <row r="2029">
      <c r="A2029" s="3" t="n">
        <v>2027</v>
      </c>
      <c r="B2029" s="3" t="inlineStr">
        <is>
          <t>6.5.5.3</t>
        </is>
      </c>
      <c r="C2029" s="3" t="inlineStr">
        <is>
          <t>Pemasangan 1 buah Floater Velve, Dia 1" ( 25 mm)</t>
        </is>
      </c>
      <c r="D2029" s="3" t="inlineStr">
        <is>
          <t>buah</t>
        </is>
      </c>
      <c r="E2029" s="4" t="n">
        <v>518210</v>
      </c>
    </row>
    <row r="2030">
      <c r="A2030" s="3" t="n">
        <v>2028</v>
      </c>
      <c r="B2030" s="3" t="inlineStr">
        <is>
          <t>6.5.5.4</t>
        </is>
      </c>
      <c r="C2030" s="3" t="inlineStr">
        <is>
          <t>Pemasangan 1 buah Floater Velve Dia. 1-1/4 " (32 mm)</t>
        </is>
      </c>
      <c r="D2030" s="3" t="inlineStr">
        <is>
          <t>buah</t>
        </is>
      </c>
      <c r="E2030" s="4" t="n">
        <v>667370</v>
      </c>
    </row>
    <row r="2031">
      <c r="A2031" s="3" t="n">
        <v>2029</v>
      </c>
      <c r="B2031" s="3" t="inlineStr">
        <is>
          <t>6.5.5.5</t>
        </is>
      </c>
      <c r="C2031" s="3" t="inlineStr">
        <is>
          <t>Pemasangan 1 buah Floater Velve, Dia. 1-1/2 " (40 mm)</t>
        </is>
      </c>
      <c r="D2031" s="3" t="inlineStr">
        <is>
          <t>buah</t>
        </is>
      </c>
      <c r="E2031" s="4" t="n">
        <v>862774</v>
      </c>
    </row>
    <row r="2032">
      <c r="A2032" s="3" t="n">
        <v>2030</v>
      </c>
      <c r="B2032" s="3" t="inlineStr">
        <is>
          <t>6.5.5.6</t>
        </is>
      </c>
      <c r="C2032" s="3" t="inlineStr">
        <is>
          <t>Pemasangan 1 buahFloater Velve, Dia. 2 " (50 mm)</t>
        </is>
      </c>
      <c r="D2032" s="3" t="inlineStr">
        <is>
          <t>buah</t>
        </is>
      </c>
      <c r="E2032" s="4" t="n">
        <v>1187444</v>
      </c>
    </row>
    <row r="2033">
      <c r="A2033" s="3" t="n">
        <v>2031</v>
      </c>
      <c r="B2033" s="3" t="inlineStr">
        <is>
          <t>6.5.5.7</t>
        </is>
      </c>
      <c r="C2033" s="3" t="inlineStr">
        <is>
          <t>Pemasangan 1 buah Floater Velve, Dia. 2-1/2 " (65 mm)</t>
        </is>
      </c>
      <c r="D2033" s="3" t="inlineStr">
        <is>
          <t>buah</t>
        </is>
      </c>
      <c r="E2033" s="4" t="n">
        <v>1348501</v>
      </c>
    </row>
    <row r="2034">
      <c r="A2034" s="3" t="n">
        <v>2032</v>
      </c>
      <c r="B2034" s="3" t="inlineStr">
        <is>
          <t>6.5.5.8</t>
        </is>
      </c>
      <c r="C2034" s="3" t="inlineStr">
        <is>
          <t>Pemasangan 1 buah Floater Velve, Dia. 3 " (80 mm)</t>
        </is>
      </c>
      <c r="D2034" s="3" t="inlineStr">
        <is>
          <t>buah</t>
        </is>
      </c>
      <c r="E2034" s="4" t="n">
        <v>1870924</v>
      </c>
    </row>
    <row r="2035">
      <c r="A2035" s="3" t="n">
        <v>2033</v>
      </c>
      <c r="B2035" s="3" t="inlineStr">
        <is>
          <t>6.5.5.9</t>
        </is>
      </c>
      <c r="C2035" s="3" t="inlineStr">
        <is>
          <t>Pemasangan 1 buah Floater Velve, Dia. 4" (100 mm)</t>
        </is>
      </c>
      <c r="D2035" s="3" t="inlineStr">
        <is>
          <t>buah</t>
        </is>
      </c>
      <c r="E2035" s="4" t="n">
        <v>2223875</v>
      </c>
    </row>
    <row r="2036">
      <c r="A2036" s="3" t="n">
        <v>2034</v>
      </c>
      <c r="B2036" s="3" t="inlineStr">
        <is>
          <t>6.5.5.10</t>
        </is>
      </c>
      <c r="C2036" s="3" t="inlineStr">
        <is>
          <t>Pemasangan 1 buah Floater Velve, Dia. 5" (125 mm)</t>
        </is>
      </c>
      <c r="D2036" s="3" t="inlineStr">
        <is>
          <t>buah</t>
        </is>
      </c>
      <c r="E2036" s="4" t="n">
        <v>2504172</v>
      </c>
    </row>
    <row r="2037">
      <c r="A2037" s="3" t="n">
        <v>2035</v>
      </c>
      <c r="B2037" s="3" t="inlineStr">
        <is>
          <t>6.5.5.11</t>
        </is>
      </c>
      <c r="C2037" s="3" t="inlineStr">
        <is>
          <t>Pemasangan 1 buah Floater Velve, Dia. 6" (150 mm)</t>
        </is>
      </c>
      <c r="D2037" s="3" t="inlineStr">
        <is>
          <t>buah</t>
        </is>
      </c>
      <c r="E2037" s="4" t="n">
        <v>2884755</v>
      </c>
    </row>
    <row r="2038">
      <c r="A2038" s="3" t="n">
        <v>2036</v>
      </c>
      <c r="B2038" s="3" t="inlineStr">
        <is>
          <t>6.5.5.12</t>
        </is>
      </c>
      <c r="C2038" s="3" t="inlineStr">
        <is>
          <t>Pemasangan 1 buah Floater Velve, Dia. 8" (200 mm)</t>
        </is>
      </c>
      <c r="D2038" s="3" t="inlineStr">
        <is>
          <t>buah</t>
        </is>
      </c>
      <c r="E2038" s="4" t="n">
        <v>3331113</v>
      </c>
    </row>
    <row r="2039">
      <c r="A2039" s="3" t="n">
        <v>2037</v>
      </c>
      <c r="B2039" s="3" t="inlineStr">
        <is>
          <t>6.5.5.13</t>
        </is>
      </c>
      <c r="C2039" s="3" t="inlineStr">
        <is>
          <t>Pemasangan 1 buah Floater Velve, Dia. 10" (250 mm)</t>
        </is>
      </c>
      <c r="D2039" s="3" t="inlineStr">
        <is>
          <t>buah</t>
        </is>
      </c>
      <c r="E2039" s="4" t="n">
        <v>3706213</v>
      </c>
    </row>
    <row r="2040">
      <c r="A2040" s="3" t="n">
        <v>2038</v>
      </c>
      <c r="B2040" s="3" t="inlineStr">
        <is>
          <t>6.5.5.14</t>
        </is>
      </c>
      <c r="C2040" s="3" t="inlineStr">
        <is>
          <t>Pemasangan 1 buah Floater Velve, Dia. 12" (300 mm)</t>
        </is>
      </c>
      <c r="D2040" s="3" t="inlineStr">
        <is>
          <t>buah</t>
        </is>
      </c>
      <c r="E2040" s="4" t="n">
        <v>4337443</v>
      </c>
    </row>
    <row r="2041">
      <c r="A2041" s="3" t="n">
        <v>2039</v>
      </c>
      <c r="B2041" s="3" t="inlineStr">
        <is>
          <t>6.5.6.1</t>
        </is>
      </c>
      <c r="C2041" s="3" t="inlineStr">
        <is>
          <t>Pemasangan 1 buah Foot Velve, Dia 1/2" ( 15 mm)</t>
        </is>
      </c>
      <c r="D2041" s="3" t="inlineStr">
        <is>
          <t>buah</t>
        </is>
      </c>
      <c r="E2041" s="4" t="n">
        <v>49123</v>
      </c>
    </row>
    <row r="2042">
      <c r="A2042" s="3" t="n">
        <v>2040</v>
      </c>
      <c r="B2042" s="3" t="inlineStr">
        <is>
          <t>6.5.6.2</t>
        </is>
      </c>
      <c r="C2042" s="3" t="inlineStr">
        <is>
          <t>Pemasangan 1 buah Foot Velve, Dia 3/4" ( 20 mm)</t>
        </is>
      </c>
      <c r="D2042" s="3" t="inlineStr">
        <is>
          <t>buah</t>
        </is>
      </c>
      <c r="E2042" s="4" t="n">
        <v>120758</v>
      </c>
    </row>
    <row r="2043">
      <c r="A2043" s="3" t="n">
        <v>2041</v>
      </c>
      <c r="B2043" s="3" t="inlineStr">
        <is>
          <t>6.5.6.3</t>
        </is>
      </c>
      <c r="C2043" s="3" t="inlineStr">
        <is>
          <t>Pemasangan 1 buah Floater Velve, Dia 1" ( 25 mm)</t>
        </is>
      </c>
      <c r="D2043" s="3" t="inlineStr">
        <is>
          <t>buah</t>
        </is>
      </c>
      <c r="E2043" s="4" t="n">
        <v>518210</v>
      </c>
    </row>
    <row r="2044">
      <c r="A2044" s="3" t="n">
        <v>2042</v>
      </c>
      <c r="B2044" s="3" t="inlineStr">
        <is>
          <t>6.5.5.4</t>
        </is>
      </c>
      <c r="C2044" s="3" t="inlineStr">
        <is>
          <t>Pemasangan 1 buah Floater Velve Dia. 1-1/4 " (32 mm)</t>
        </is>
      </c>
      <c r="D2044" s="3" t="inlineStr">
        <is>
          <t>buah</t>
        </is>
      </c>
      <c r="E2044" s="4" t="n">
        <v>667370</v>
      </c>
    </row>
    <row r="2045">
      <c r="A2045" s="3" t="n">
        <v>2043</v>
      </c>
      <c r="B2045" s="3" t="inlineStr">
        <is>
          <t>6.5.5.5</t>
        </is>
      </c>
      <c r="C2045" s="3" t="inlineStr">
        <is>
          <t>Pemasangan 1 buah Floater Velve, Dia. 1-1/2 " (40 mm)</t>
        </is>
      </c>
      <c r="D2045" s="3" t="inlineStr">
        <is>
          <t>buah</t>
        </is>
      </c>
      <c r="E2045" s="4" t="n">
        <v>862774</v>
      </c>
    </row>
    <row r="2046">
      <c r="A2046" s="3" t="n">
        <v>2044</v>
      </c>
      <c r="B2046" s="3" t="inlineStr">
        <is>
          <t>6.5.6.6</t>
        </is>
      </c>
      <c r="C2046" s="3" t="inlineStr">
        <is>
          <t>Pemasangan 1 buah Foot Velve, Dia. 2 " (50 mm)</t>
        </is>
      </c>
      <c r="D2046" s="3" t="inlineStr">
        <is>
          <t>buah</t>
        </is>
      </c>
      <c r="E2046" s="4" t="n">
        <v>505989</v>
      </c>
    </row>
    <row r="2047">
      <c r="A2047" s="3" t="n">
        <v>2045</v>
      </c>
      <c r="B2047" s="3" t="inlineStr">
        <is>
          <t>6.5.6.7</t>
        </is>
      </c>
      <c r="C2047" s="3" t="inlineStr">
        <is>
          <t>Pemasangan 1 buah Foot Velve, Dia. 2-1/2 " (65 mm)</t>
        </is>
      </c>
      <c r="D2047" s="3" t="inlineStr">
        <is>
          <t>buah</t>
        </is>
      </c>
      <c r="E2047" s="4" t="n">
        <v>549021</v>
      </c>
    </row>
    <row r="2048">
      <c r="A2048" s="3" t="n">
        <v>2046</v>
      </c>
      <c r="B2048" s="3" t="inlineStr">
        <is>
          <t>6.5.6.8</t>
        </is>
      </c>
      <c r="C2048" s="3" t="inlineStr">
        <is>
          <t>Pemasangan 1 buah Foot Velve, Dia. 3 " (80 mm)</t>
        </is>
      </c>
      <c r="D2048" s="3" t="inlineStr">
        <is>
          <t>buah</t>
        </is>
      </c>
      <c r="E2048" s="4" t="n">
        <v>1068694</v>
      </c>
    </row>
    <row r="2049">
      <c r="A2049" s="3" t="n">
        <v>2047</v>
      </c>
      <c r="B2049" s="3" t="inlineStr">
        <is>
          <t>6.5.6.9</t>
        </is>
      </c>
      <c r="C2049" s="3" t="inlineStr">
        <is>
          <t>Pemasangan 1 buah Foot Velve, Dia. 4" (100 mm)</t>
        </is>
      </c>
      <c r="D2049" s="3" t="inlineStr">
        <is>
          <t>buah</t>
        </is>
      </c>
      <c r="E2049" s="4" t="n">
        <v>1508875</v>
      </c>
    </row>
    <row r="2050">
      <c r="A2050" s="3" t="n">
        <v>2048</v>
      </c>
      <c r="B2050" s="3" t="inlineStr">
        <is>
          <t>6.5.6.10</t>
        </is>
      </c>
      <c r="C2050" s="3" t="inlineStr">
        <is>
          <t>Pemasangan 1 buah Foot Velve, Dia. 5" (125 mm)</t>
        </is>
      </c>
      <c r="D2050" s="3" t="inlineStr">
        <is>
          <t>buah</t>
        </is>
      </c>
      <c r="E2050" s="4" t="n">
        <v>1646887</v>
      </c>
    </row>
    <row r="2051">
      <c r="A2051" s="3" t="n">
        <v>2049</v>
      </c>
      <c r="B2051" s="3" t="inlineStr">
        <is>
          <t>6.5.6.11</t>
        </is>
      </c>
      <c r="C2051" s="3" t="inlineStr">
        <is>
          <t>Pemasangan 1 buah Foot Velve, Dia. 6" (150 mm)</t>
        </is>
      </c>
      <c r="D2051" s="3" t="inlineStr">
        <is>
          <t>buah</t>
        </is>
      </c>
      <c r="E2051" s="4" t="n">
        <v>1905205</v>
      </c>
    </row>
    <row r="2052">
      <c r="A2052" s="3" t="n">
        <v>2050</v>
      </c>
      <c r="B2052" s="3" t="inlineStr">
        <is>
          <t>6.5.6.12</t>
        </is>
      </c>
      <c r="C2052" s="3" t="inlineStr">
        <is>
          <t>Pemasangan 1 buah Floater Velve, Dia. 8" (200 mm)</t>
        </is>
      </c>
      <c r="D2052" s="3" t="inlineStr">
        <is>
          <t>buah</t>
        </is>
      </c>
      <c r="E2052" s="4" t="n">
        <v>3331113</v>
      </c>
    </row>
    <row r="2053">
      <c r="A2053" s="3" t="n">
        <v>2051</v>
      </c>
      <c r="B2053" s="3" t="inlineStr">
        <is>
          <t>6.5.6.13</t>
        </is>
      </c>
      <c r="C2053" s="3" t="inlineStr">
        <is>
          <t>Pemasangan 1 buah Foot Velve, Dia. 10" (250 mm)</t>
        </is>
      </c>
      <c r="D2053" s="3" t="inlineStr">
        <is>
          <t>buah</t>
        </is>
      </c>
      <c r="E2053" s="4" t="n">
        <v>2841063</v>
      </c>
    </row>
    <row r="2054">
      <c r="A2054" s="3" t="n">
        <v>2052</v>
      </c>
      <c r="B2054" s="3" t="inlineStr">
        <is>
          <t>6.5.6.14</t>
        </is>
      </c>
      <c r="C2054" s="3" t="inlineStr">
        <is>
          <t>Pemasangan 1 buah Foot Velve, Dia. 12" (300 mm)</t>
        </is>
      </c>
      <c r="D2054" s="3" t="inlineStr">
        <is>
          <t>buah</t>
        </is>
      </c>
      <c r="E2054" s="4" t="n">
        <v>3279243</v>
      </c>
    </row>
    <row r="2055">
      <c r="A2055" s="3" t="n">
        <v>2053</v>
      </c>
      <c r="B2055" s="3" t="inlineStr">
        <is>
          <t>6.5.6.15</t>
        </is>
      </c>
      <c r="C2055" s="3" t="inlineStr">
        <is>
          <t>Pemasangan 1 buah Foot Velve, Dia. 14" (350 mm)</t>
        </is>
      </c>
      <c r="D2055" s="3" t="inlineStr">
        <is>
          <t>buah</t>
        </is>
      </c>
      <c r="E2055" s="4" t="n">
        <v>3755301</v>
      </c>
    </row>
    <row r="2056">
      <c r="A2056" s="3" t="n">
        <v>2054</v>
      </c>
      <c r="B2056" s="3" t="inlineStr">
        <is>
          <t>6.5.7.1</t>
        </is>
      </c>
      <c r="C2056" s="3" t="inlineStr">
        <is>
          <t>Pemasangan 1 buah Flexible Joint 10 K, Dia 1/2" ( 15 mm)</t>
        </is>
      </c>
      <c r="D2056" s="3" t="inlineStr">
        <is>
          <t>buah</t>
        </is>
      </c>
      <c r="E2056" s="4" t="n">
        <v>64493</v>
      </c>
    </row>
    <row r="2057">
      <c r="A2057" s="3" t="n">
        <v>2055</v>
      </c>
      <c r="B2057" s="3" t="inlineStr">
        <is>
          <t>6.5.7.2</t>
        </is>
      </c>
      <c r="C2057" s="3" t="inlineStr">
        <is>
          <t>Pemasangan 1 buah Flexible Joint 10 K, Dia 3/4" ( 20 mm)</t>
        </is>
      </c>
      <c r="D2057" s="3" t="inlineStr">
        <is>
          <t>buah</t>
        </is>
      </c>
      <c r="E2057" s="4" t="n">
        <v>91789</v>
      </c>
    </row>
    <row r="2058">
      <c r="A2058" s="3" t="n">
        <v>2056</v>
      </c>
      <c r="B2058" s="3" t="inlineStr">
        <is>
          <t>6.5.7.3</t>
        </is>
      </c>
      <c r="C2058" s="3" t="inlineStr">
        <is>
          <t>Pemasangan 1 buah Flexible Joint 10 K, Dia 1" ( 25 mm)</t>
        </is>
      </c>
      <c r="D2058" s="3" t="inlineStr">
        <is>
          <t>buah</t>
        </is>
      </c>
      <c r="E2058" s="4" t="n">
        <v>154522</v>
      </c>
    </row>
    <row r="2059">
      <c r="A2059" s="3" t="n">
        <v>2057</v>
      </c>
      <c r="B2059" s="3" t="inlineStr">
        <is>
          <t>6.5.7.4</t>
        </is>
      </c>
      <c r="C2059" s="3" t="inlineStr">
        <is>
          <t>Pemasangan 1 buah Flexible Joint 10 K, Dia. 1-1/4 " (32 mm)</t>
        </is>
      </c>
      <c r="D2059" s="3" t="inlineStr">
        <is>
          <t>buah</t>
        </is>
      </c>
      <c r="E2059" s="4" t="n">
        <v>177562</v>
      </c>
    </row>
    <row r="2060">
      <c r="A2060" s="3" t="n">
        <v>2058</v>
      </c>
      <c r="B2060" s="3" t="inlineStr">
        <is>
          <t>6.5.7.5</t>
        </is>
      </c>
      <c r="C2060" s="3" t="inlineStr">
        <is>
          <t>Pemasangan 1 buah Flexible Joint 10 K, Dia. 1-1/2 " (40 mm)</t>
        </is>
      </c>
      <c r="D2060" s="3" t="inlineStr">
        <is>
          <t>buah</t>
        </is>
      </c>
      <c r="E2060" s="4" t="n">
        <v>199534</v>
      </c>
    </row>
    <row r="2061">
      <c r="A2061" s="3" t="n">
        <v>2059</v>
      </c>
      <c r="B2061" s="3" t="inlineStr">
        <is>
          <t>6.5.7.6</t>
        </is>
      </c>
      <c r="C2061" s="3" t="inlineStr">
        <is>
          <t>Pemasangan 1 buah Flexible Joint (10, 20) K, Dia. 2 " (50 mm)</t>
        </is>
      </c>
      <c r="D2061" s="3" t="inlineStr">
        <is>
          <t>buah</t>
        </is>
      </c>
      <c r="E2061" s="4" t="n">
        <v>259567</v>
      </c>
    </row>
    <row r="2062">
      <c r="A2062" s="3" t="n">
        <v>2060</v>
      </c>
      <c r="B2062" s="3" t="inlineStr">
        <is>
          <t>6.5.7.7</t>
        </is>
      </c>
      <c r="C2062" s="3" t="inlineStr">
        <is>
          <t>Pemasangan 1 buah Flexible Joint (10, 20) K, Dia. 2-1/2 " (65 mm)</t>
        </is>
      </c>
      <c r="D2062" s="3" t="inlineStr">
        <is>
          <t>buah</t>
        </is>
      </c>
      <c r="E2062" s="4" t="n">
        <v>308544</v>
      </c>
    </row>
    <row r="2063">
      <c r="A2063" s="3" t="n">
        <v>2061</v>
      </c>
      <c r="B2063" s="3" t="inlineStr">
        <is>
          <t>6.5.7.8</t>
        </is>
      </c>
      <c r="C2063" s="3" t="inlineStr">
        <is>
          <t>Pemasangan 1 buah Flexible Joint (10, 20) K, Dia. 3 " (80 mm)</t>
        </is>
      </c>
      <c r="D2063" s="3" t="inlineStr">
        <is>
          <t>buah</t>
        </is>
      </c>
      <c r="E2063" s="4" t="n">
        <v>434346</v>
      </c>
    </row>
    <row r="2064">
      <c r="A2064" s="3" t="n">
        <v>2062</v>
      </c>
      <c r="B2064" s="3" t="inlineStr">
        <is>
          <t>6.5.7.9</t>
        </is>
      </c>
      <c r="C2064" s="3" t="inlineStr">
        <is>
          <t>Pemasangan 1 buah Flexible Joint (10, 20) K, Dia. 4" (100 mm)</t>
        </is>
      </c>
      <c r="D2064" s="3" t="inlineStr">
        <is>
          <t>buah</t>
        </is>
      </c>
      <c r="E2064" s="4" t="n">
        <v>779575</v>
      </c>
    </row>
    <row r="2065">
      <c r="A2065" s="3" t="n">
        <v>2063</v>
      </c>
      <c r="B2065" s="3" t="inlineStr">
        <is>
          <t>6.5.7.10</t>
        </is>
      </c>
      <c r="C2065" s="3" t="inlineStr">
        <is>
          <t>Pemasangan 1 buah Flexible Joint (10, 20) K, Dia. 5" (125 mm)</t>
        </is>
      </c>
      <c r="D2065" s="3" t="inlineStr">
        <is>
          <t>buah</t>
        </is>
      </c>
      <c r="E2065" s="4" t="n">
        <v>1390059</v>
      </c>
    </row>
    <row r="2066">
      <c r="A2066" s="3" t="n">
        <v>2064</v>
      </c>
      <c r="B2066" s="3" t="inlineStr">
        <is>
          <t>6.5.7.11</t>
        </is>
      </c>
      <c r="C2066" s="3" t="inlineStr">
        <is>
          <t>Pemasangan 1 buah Flexible Joint (10, 20) K, Dia. 6" (150 mm)</t>
        </is>
      </c>
      <c r="D2066" s="3" t="inlineStr">
        <is>
          <t>buah</t>
        </is>
      </c>
      <c r="E2066" s="4" t="n">
        <v>1737180</v>
      </c>
    </row>
    <row r="2067">
      <c r="A2067" s="3" t="n">
        <v>2065</v>
      </c>
      <c r="B2067" s="3" t="inlineStr">
        <is>
          <t>6.5.7.12</t>
        </is>
      </c>
      <c r="C2067" s="3" t="inlineStr">
        <is>
          <t>Pemasangan 1 buah Flexible Joint (10, 20) K, Dia. 8" (200 mm)</t>
        </is>
      </c>
      <c r="D2067" s="3" t="inlineStr">
        <is>
          <t>buah</t>
        </is>
      </c>
      <c r="E2067" s="4" t="n">
        <v>2031100</v>
      </c>
    </row>
    <row r="2068">
      <c r="A2068" s="3" t="n">
        <v>2066</v>
      </c>
      <c r="B2068" s="3" t="inlineStr">
        <is>
          <t>6.5.7.13</t>
        </is>
      </c>
      <c r="C2068" s="3" t="inlineStr">
        <is>
          <t>Pemasangan 1 buah Flexible Joint (10, 20) K, Dia. 10" (250 mm)</t>
        </is>
      </c>
      <c r="D2068" s="3" t="inlineStr">
        <is>
          <t>buah</t>
        </is>
      </c>
      <c r="E2068" s="4" t="n">
        <v>2583663</v>
      </c>
    </row>
    <row r="2069">
      <c r="A2069" s="3" t="n">
        <v>2067</v>
      </c>
      <c r="B2069" s="3" t="inlineStr">
        <is>
          <t>6.5.7.14</t>
        </is>
      </c>
      <c r="C2069" s="3" t="inlineStr">
        <is>
          <t>Pemasangan 1 buah Flexible Joint 10 K, Dia. 12" (300 mm)</t>
        </is>
      </c>
      <c r="D2069" s="3" t="inlineStr">
        <is>
          <t>buah</t>
        </is>
      </c>
      <c r="E2069" s="4" t="n">
        <v>3092012</v>
      </c>
    </row>
    <row r="2070">
      <c r="A2070" s="3" t="n">
        <v>2068</v>
      </c>
      <c r="B2070" s="3" t="inlineStr">
        <is>
          <t>6.5.7.23</t>
        </is>
      </c>
      <c r="C2070" s="3" t="inlineStr">
        <is>
          <t>Pemasangan 1 buah Flexible Joint 20 K, Dia. 12" (300 mm)</t>
        </is>
      </c>
      <c r="D2070" s="3" t="inlineStr">
        <is>
          <t>buah</t>
        </is>
      </c>
      <c r="E2070" s="4" t="n">
        <v>3190583</v>
      </c>
    </row>
    <row r="2071">
      <c r="A2071" s="3" t="n">
        <v>2069</v>
      </c>
      <c r="B2071" s="3" t="inlineStr">
        <is>
          <t>6.5.7.24</t>
        </is>
      </c>
      <c r="C2071" s="3" t="inlineStr">
        <is>
          <t>Pemasangan 1 buah Flexible Joint 20 K, Dia. 14" (350 mm)</t>
        </is>
      </c>
      <c r="D2071" s="3" t="inlineStr">
        <is>
          <t>buah</t>
        </is>
      </c>
      <c r="E2071" s="4" t="n">
        <v>3705251</v>
      </c>
    </row>
    <row r="2072">
      <c r="A2072" s="3" t="n">
        <v>2070</v>
      </c>
      <c r="B2072" s="3" t="inlineStr">
        <is>
          <t>6.5.8.1</t>
        </is>
      </c>
      <c r="C2072" s="3" t="inlineStr">
        <is>
          <t>Pemasangan 1 buah Butterfly Velve, Dia. 2" (50 mm)</t>
        </is>
      </c>
      <c r="D2072" s="3" t="inlineStr">
        <is>
          <t>buah</t>
        </is>
      </c>
      <c r="E2072" s="4" t="n">
        <v>259061</v>
      </c>
    </row>
    <row r="2073">
      <c r="A2073" s="3" t="n">
        <v>2071</v>
      </c>
      <c r="B2073" s="3" t="inlineStr">
        <is>
          <t>6.5.8.2</t>
        </is>
      </c>
      <c r="C2073" s="3" t="inlineStr">
        <is>
          <t>Pemasangan 1 buah Butterfly Velve, Dia. 2-1/2 " (65 mm)</t>
        </is>
      </c>
      <c r="D2073" s="3" t="inlineStr">
        <is>
          <t>buah</t>
        </is>
      </c>
      <c r="E2073" s="4" t="n">
        <v>324736</v>
      </c>
    </row>
    <row r="2074">
      <c r="A2074" s="3" t="n">
        <v>2072</v>
      </c>
      <c r="B2074" s="3" t="inlineStr">
        <is>
          <t>6.5.8.3</t>
        </is>
      </c>
      <c r="C2074" s="3" t="inlineStr">
        <is>
          <t>Pemasangan 1 buah Butterfly Velve, Dia. 3 " (80 mm)</t>
        </is>
      </c>
      <c r="D2074" s="3" t="inlineStr">
        <is>
          <t>buah</t>
        </is>
      </c>
      <c r="E2074" s="4" t="n">
        <v>593076</v>
      </c>
    </row>
    <row r="2075">
      <c r="A2075" s="3" t="n">
        <v>2073</v>
      </c>
      <c r="B2075" s="3" t="inlineStr">
        <is>
          <t>6.5.8.4</t>
        </is>
      </c>
      <c r="C2075" s="3" t="inlineStr">
        <is>
          <t>Pemasangan 1 buah Butterfly Velve, Dia. 4" (100 mm)</t>
        </is>
      </c>
      <c r="D2075" s="3" t="inlineStr">
        <is>
          <t>buah</t>
        </is>
      </c>
      <c r="E2075" s="4" t="n">
        <v>698923</v>
      </c>
    </row>
    <row r="2076">
      <c r="A2076" s="3" t="n">
        <v>2074</v>
      </c>
      <c r="B2076" s="3" t="inlineStr">
        <is>
          <t>6.5.8.5</t>
        </is>
      </c>
      <c r="C2076" s="3" t="inlineStr">
        <is>
          <t>Pemasangan 1 buah Buttefly Velve, Dia. 5" (125 mm)</t>
        </is>
      </c>
      <c r="D2076" s="3" t="inlineStr">
        <is>
          <t>buah</t>
        </is>
      </c>
      <c r="E2076" s="4" t="n">
        <v>1067308</v>
      </c>
    </row>
    <row r="2077">
      <c r="A2077" s="3" t="n">
        <v>2075</v>
      </c>
      <c r="B2077" s="3" t="inlineStr">
        <is>
          <t>6.5.8.6</t>
        </is>
      </c>
      <c r="C2077" s="3" t="inlineStr">
        <is>
          <t>Pemasangan 1 buah Butterfly Velve, Dia. 6" (150 mm)</t>
        </is>
      </c>
      <c r="D2077" s="3" t="inlineStr">
        <is>
          <t>buah</t>
        </is>
      </c>
      <c r="E2077" s="4" t="n">
        <v>1582454</v>
      </c>
    </row>
    <row r="2078">
      <c r="A2078" s="3" t="n">
        <v>2076</v>
      </c>
      <c r="B2078" s="3" t="inlineStr">
        <is>
          <t>6.5.8.7</t>
        </is>
      </c>
      <c r="C2078" s="3" t="inlineStr">
        <is>
          <t>Pemasangan 1 buah Butterfly Velve, Dia. 8" (200 mm)</t>
        </is>
      </c>
      <c r="D2078" s="3" t="inlineStr">
        <is>
          <t>buah</t>
        </is>
      </c>
      <c r="E2078" s="4" t="n">
        <v>2479548</v>
      </c>
    </row>
    <row r="2079">
      <c r="A2079" s="3" t="n">
        <v>2077</v>
      </c>
      <c r="B2079" s="3" t="inlineStr">
        <is>
          <t>6.5.8.8</t>
        </is>
      </c>
      <c r="C2079" s="3" t="inlineStr">
        <is>
          <t>Pemasangan 1 buah Butterfly Velve, Dia. 10" (250 mm)</t>
        </is>
      </c>
      <c r="D2079" s="3" t="inlineStr">
        <is>
          <t>buah</t>
        </is>
      </c>
      <c r="E2079" s="4" t="n">
        <v>3247040</v>
      </c>
    </row>
    <row r="2080">
      <c r="A2080" s="3" t="n">
        <v>2078</v>
      </c>
      <c r="B2080" s="3" t="inlineStr">
        <is>
          <t>6.5.8.9</t>
        </is>
      </c>
      <c r="C2080" s="3" t="inlineStr">
        <is>
          <t>Pemasangan 1 buah Butterfly Velve, Dia. 12" (300 mm)</t>
        </is>
      </c>
      <c r="D2080" s="3" t="inlineStr">
        <is>
          <t>buah</t>
        </is>
      </c>
      <c r="E2080" s="4" t="n">
        <v>3796716</v>
      </c>
    </row>
    <row r="2081">
      <c r="A2081" s="3" t="n">
        <v>2079</v>
      </c>
      <c r="B2081" s="3" t="inlineStr">
        <is>
          <t>6.5.8.10</t>
        </is>
      </c>
      <c r="C2081" s="3" t="inlineStr">
        <is>
          <t>Pemasangan 1 buah Butterfly Velve, Dia. 12" (300 mm)</t>
        </is>
      </c>
      <c r="D2081" s="3" t="inlineStr">
        <is>
          <t>buah</t>
        </is>
      </c>
      <c r="E2081" s="4" t="n">
        <v>3796716</v>
      </c>
    </row>
    <row r="2082">
      <c r="A2082" s="3" t="n">
        <v>2080</v>
      </c>
      <c r="B2082" s="3" t="inlineStr">
        <is>
          <t>6.5.9.1</t>
        </is>
      </c>
      <c r="C2082" s="3" t="inlineStr">
        <is>
          <t>Pemasangan 1 buah Globe Velve, Dia. 1/2" (15 mm)</t>
        </is>
      </c>
      <c r="D2082" s="3" t="inlineStr">
        <is>
          <t>buah</t>
        </is>
      </c>
      <c r="E2082" s="4" t="n">
        <v>154181</v>
      </c>
    </row>
    <row r="2083">
      <c r="A2083" s="3" t="n">
        <v>2081</v>
      </c>
      <c r="B2083" s="3" t="inlineStr">
        <is>
          <t>6.5.9.2</t>
        </is>
      </c>
      <c r="C2083" s="3" t="inlineStr">
        <is>
          <t>Pemasangan 1 buah Globe Velve, Dia 3/4" ( 20 mm)</t>
        </is>
      </c>
      <c r="D2083" s="3" t="inlineStr">
        <is>
          <t>buah</t>
        </is>
      </c>
      <c r="E2083" s="4" t="n">
        <v>182237</v>
      </c>
    </row>
    <row r="2084">
      <c r="A2084" s="3" t="n">
        <v>2082</v>
      </c>
      <c r="B2084" s="3" t="inlineStr">
        <is>
          <t>6.5.9.3</t>
        </is>
      </c>
      <c r="C2084" s="3" t="inlineStr">
        <is>
          <t>Pemasangan 1 buah Globe Velve, Dia 1" ( 25 mm)</t>
        </is>
      </c>
      <c r="D2084" s="3" t="inlineStr">
        <is>
          <t>buah</t>
        </is>
      </c>
      <c r="E2084" s="4" t="n">
        <v>221567</v>
      </c>
    </row>
    <row r="2085">
      <c r="A2085" s="3" t="n">
        <v>2083</v>
      </c>
      <c r="B2085" s="3" t="inlineStr">
        <is>
          <t>6.5.9.4</t>
        </is>
      </c>
      <c r="C2085" s="3" t="inlineStr">
        <is>
          <t>Pemasangan 1 buah Globe Velve, Dia. 1-1/4 " (32 mm)</t>
        </is>
      </c>
      <c r="D2085" s="3" t="inlineStr">
        <is>
          <t>buah</t>
        </is>
      </c>
      <c r="E2085" s="4" t="n">
        <v>294068</v>
      </c>
    </row>
    <row r="2086">
      <c r="A2086" s="3" t="n">
        <v>2084</v>
      </c>
      <c r="B2086" s="3" t="inlineStr">
        <is>
          <t>6.5.9.5</t>
        </is>
      </c>
      <c r="C2086" s="3" t="inlineStr">
        <is>
          <t>Pemasangan 1 buah Globe Velve, Dia. 1-1/2 " (40 mm)</t>
        </is>
      </c>
      <c r="D2086" s="3" t="inlineStr">
        <is>
          <t>buah</t>
        </is>
      </c>
      <c r="E2086" s="4" t="n">
        <v>385742</v>
      </c>
    </row>
    <row r="2087">
      <c r="A2087" s="3" t="n">
        <v>2085</v>
      </c>
      <c r="B2087" s="3" t="inlineStr">
        <is>
          <t>6.5.9.6</t>
        </is>
      </c>
      <c r="C2087" s="3" t="inlineStr">
        <is>
          <t>Pemasangan 1 buah Globe Velve, Dia. 2 " (50 mm)</t>
        </is>
      </c>
      <c r="D2087" s="3" t="inlineStr">
        <is>
          <t>buah</t>
        </is>
      </c>
      <c r="E2087" s="4" t="n">
        <v>1309264</v>
      </c>
    </row>
    <row r="2088">
      <c r="A2088" s="3" t="n">
        <v>2086</v>
      </c>
      <c r="B2088" s="3" t="inlineStr">
        <is>
          <t>6.5.9.7</t>
        </is>
      </c>
      <c r="C2088" s="3" t="inlineStr">
        <is>
          <t>Pemasangan 1 buah Globe Velve, Dia. 2-1/2 " (65 mm)</t>
        </is>
      </c>
      <c r="D2088" s="3" t="inlineStr">
        <is>
          <t>buah</t>
        </is>
      </c>
      <c r="E2088" s="4" t="n">
        <v>1644890</v>
      </c>
    </row>
    <row r="2089">
      <c r="A2089" s="3" t="n">
        <v>2087</v>
      </c>
      <c r="B2089" s="3" t="inlineStr">
        <is>
          <t>6.5.9.8</t>
        </is>
      </c>
      <c r="C2089" s="3" t="inlineStr">
        <is>
          <t>Pemasangan 1 buah Globe Velve, Dia. 3 " (80 mm)</t>
        </is>
      </c>
      <c r="D2089" s="3" t="inlineStr">
        <is>
          <t>buah</t>
        </is>
      </c>
      <c r="E2089" s="4" t="n">
        <v>2447357</v>
      </c>
    </row>
    <row r="2090">
      <c r="A2090" s="3" t="n">
        <v>2088</v>
      </c>
      <c r="B2090" s="3" t="inlineStr">
        <is>
          <t>6.5.9.9</t>
        </is>
      </c>
      <c r="C2090" s="3" t="inlineStr">
        <is>
          <t>Pemasangan 1 buah Flexible Joint (10, 20) K, Dia. 4" (100 mm)</t>
        </is>
      </c>
      <c r="D2090" s="3" t="inlineStr">
        <is>
          <t>buah</t>
        </is>
      </c>
      <c r="E2090" s="4" t="n">
        <v>779575</v>
      </c>
    </row>
    <row r="2091">
      <c r="A2091" s="3" t="n">
        <v>2089</v>
      </c>
      <c r="B2091" s="3" t="inlineStr">
        <is>
          <t>6.5.9.10</t>
        </is>
      </c>
      <c r="C2091" s="3" t="inlineStr">
        <is>
          <t>Pemasangan 1 buah Flexible Joint (10, 20) K, Dia. 5" (125 mm)</t>
        </is>
      </c>
      <c r="D2091" s="3" t="inlineStr">
        <is>
          <t>buah</t>
        </is>
      </c>
      <c r="E2091" s="4" t="n">
        <v>1390059</v>
      </c>
    </row>
    <row r="2092">
      <c r="A2092" s="3" t="n">
        <v>2090</v>
      </c>
      <c r="B2092" s="3" t="inlineStr">
        <is>
          <t>6.5.9.11</t>
        </is>
      </c>
      <c r="C2092" s="3" t="inlineStr">
        <is>
          <t>Pemasangan 1 buah Globe Velve, Dia. 6" (150 mm)</t>
        </is>
      </c>
      <c r="D2092" s="3" t="inlineStr">
        <is>
          <t>buah</t>
        </is>
      </c>
      <c r="E2092" s="4" t="n">
        <v>7540835</v>
      </c>
    </row>
    <row r="2093">
      <c r="A2093" s="3" t="n">
        <v>2091</v>
      </c>
      <c r="B2093" s="3" t="inlineStr">
        <is>
          <t>6.5.9.12</t>
        </is>
      </c>
      <c r="C2093" s="3" t="inlineStr">
        <is>
          <t>Pemasangan 1 buah Globe Velve, Dia. 8" (200 mm)</t>
        </is>
      </c>
      <c r="D2093" s="3" t="inlineStr">
        <is>
          <t>buah</t>
        </is>
      </c>
      <c r="E2093" s="4" t="n">
        <v>8736513</v>
      </c>
    </row>
    <row r="2094">
      <c r="A2094" s="3" t="n">
        <v>2092</v>
      </c>
      <c r="B2094" s="3" t="inlineStr">
        <is>
          <t>6.5.10.1</t>
        </is>
      </c>
      <c r="C2094" s="3" t="inlineStr">
        <is>
          <t>Pemasangan 1 buah Pressure Gauge (16,25, 40) K + Gate Velve, Dia. 1/2" (15 mm)</t>
        </is>
      </c>
      <c r="D2094" s="3" t="inlineStr">
        <is>
          <t>buah</t>
        </is>
      </c>
      <c r="E2094" s="4" t="n">
        <v>1745359</v>
      </c>
    </row>
    <row r="2095">
      <c r="A2095" s="3" t="n">
        <v>2093</v>
      </c>
      <c r="B2095" s="3" t="inlineStr">
        <is>
          <t>6.5.10.2</t>
        </is>
      </c>
      <c r="C2095" s="3" t="inlineStr">
        <is>
          <t>Pemasangan 1 buah Pressure Gauge (16, 25, 40) K + Gate Valve, Dia 1" ( 25 mm)</t>
        </is>
      </c>
      <c r="D2095" s="3" t="inlineStr">
        <is>
          <t>buah</t>
        </is>
      </c>
      <c r="E2095" s="4" t="n">
        <v>2234782</v>
      </c>
    </row>
    <row r="2096">
      <c r="A2096" s="3" t="n">
        <v>2094</v>
      </c>
      <c r="B2096" s="3" t="inlineStr">
        <is>
          <t>6.5.10.3</t>
        </is>
      </c>
      <c r="C2096" s="3" t="inlineStr">
        <is>
          <t>Pemasangan 1 buah Pressure Gauge (16, 25) K + Gate Valve, Dia. 2 " (50 mm)</t>
        </is>
      </c>
      <c r="D2096" s="3" t="inlineStr">
        <is>
          <t>buah</t>
        </is>
      </c>
      <c r="E2096" s="4" t="n">
        <v>2788989</v>
      </c>
    </row>
    <row r="2097">
      <c r="A2097" s="3" t="n">
        <v>2095</v>
      </c>
      <c r="B2097" s="3" t="inlineStr">
        <is>
          <t>6.5.10.4</t>
        </is>
      </c>
      <c r="C2097" s="3" t="inlineStr">
        <is>
          <t>Pemasangan 1 buah Pressure Gauge + Gate Valve, Dia. 3 " (80 mm)</t>
        </is>
      </c>
      <c r="D2097" s="3" t="inlineStr">
        <is>
          <t>buah</t>
        </is>
      </c>
      <c r="E2097" s="4" t="n">
        <v>3459346</v>
      </c>
    </row>
    <row r="2098">
      <c r="A2098" s="3" t="n">
        <v>2096</v>
      </c>
      <c r="B2098" s="3" t="inlineStr">
        <is>
          <t>6.5.10.5</t>
        </is>
      </c>
      <c r="C2098" s="3" t="inlineStr">
        <is>
          <t>Pemasangan 1 buah Pressure Gauge 16 K + Gate Vave, Dia. 4" (100 mm)</t>
        </is>
      </c>
      <c r="D2098" s="3" t="inlineStr">
        <is>
          <t>buah</t>
        </is>
      </c>
      <c r="E2098" s="4" t="n">
        <v>3871730</v>
      </c>
    </row>
    <row r="2099">
      <c r="A2099" s="3" t="n">
        <v>2097</v>
      </c>
      <c r="B2099" s="3" t="inlineStr">
        <is>
          <t>6.5.10.9</t>
        </is>
      </c>
      <c r="C2099" s="3" t="inlineStr">
        <is>
          <t>Pemasangan 1 buah Pressure Gauge 25 K +Gate Valve, Dia. 4" (100 mm)</t>
        </is>
      </c>
      <c r="D2099" s="3" t="inlineStr">
        <is>
          <t>buah</t>
        </is>
      </c>
      <c r="E2099" s="4" t="n">
        <v>3804779</v>
      </c>
    </row>
    <row r="2100">
      <c r="A2100" s="3" t="n">
        <v>2098</v>
      </c>
      <c r="B2100" s="3" t="inlineStr">
        <is>
          <t>6.5.10.10</t>
        </is>
      </c>
      <c r="C2100" s="3" t="inlineStr">
        <is>
          <t>Pemasangan 1 buah Pressure Gauge 25 K + Gate Valve, Dia. 3" (80 mm)</t>
        </is>
      </c>
      <c r="D2100" s="3" t="inlineStr">
        <is>
          <t>buah</t>
        </is>
      </c>
      <c r="E2100" s="4" t="n">
        <v>3526297</v>
      </c>
    </row>
    <row r="2101">
      <c r="A2101" s="3" t="n">
        <v>2099</v>
      </c>
      <c r="B2101" s="3" t="inlineStr">
        <is>
          <t>6.5.11.1</t>
        </is>
      </c>
      <c r="C2101" s="3" t="inlineStr">
        <is>
          <t>Pemasangan 1 buah Water Meter, Dia. 1/2" (15 mm)</t>
        </is>
      </c>
      <c r="D2101" s="3" t="inlineStr">
        <is>
          <t>buah</t>
        </is>
      </c>
      <c r="E2101" s="4" t="n">
        <v>349596</v>
      </c>
    </row>
    <row r="2102">
      <c r="A2102" s="3" t="n">
        <v>2100</v>
      </c>
      <c r="B2102" s="3" t="inlineStr">
        <is>
          <t>6.5.11.2</t>
        </is>
      </c>
      <c r="C2102" s="3" t="inlineStr">
        <is>
          <t>Pemasangan 1 buah Water Meter, Dia. 3/4" (20 mm)</t>
        </is>
      </c>
      <c r="D2102" s="3" t="inlineStr">
        <is>
          <t>buah</t>
        </is>
      </c>
      <c r="E2102" s="4" t="n">
        <v>826622</v>
      </c>
    </row>
    <row r="2103">
      <c r="A2103" s="3" t="n">
        <v>2101</v>
      </c>
      <c r="B2103" s="3" t="inlineStr">
        <is>
          <t>6.5.11.3</t>
        </is>
      </c>
      <c r="C2103" s="3" t="inlineStr">
        <is>
          <t>Pemasangan 1 buah Water Meter, Dia 1" ( 25 mm)</t>
        </is>
      </c>
      <c r="D2103" s="3" t="inlineStr">
        <is>
          <t>buah</t>
        </is>
      </c>
      <c r="E2103" s="4" t="n">
        <v>1758163</v>
      </c>
    </row>
    <row r="2104">
      <c r="A2104" s="3" t="n">
        <v>2102</v>
      </c>
      <c r="B2104" s="3" t="inlineStr">
        <is>
          <t>6.5.11.4</t>
        </is>
      </c>
      <c r="C2104" s="3" t="inlineStr">
        <is>
          <t>Pemasangan 1 buah Water Meter, Dia 1-1/2" ( 40 mm)</t>
        </is>
      </c>
      <c r="D2104" s="3" t="inlineStr">
        <is>
          <t>buah</t>
        </is>
      </c>
      <c r="E2104" s="4" t="n">
        <v>2171950</v>
      </c>
    </row>
    <row r="2105">
      <c r="A2105" s="3" t="n">
        <v>2103</v>
      </c>
      <c r="B2105" s="3" t="inlineStr">
        <is>
          <t>6.5.11.5</t>
        </is>
      </c>
      <c r="C2105" s="3" t="inlineStr">
        <is>
          <t>Pemasangan 1 buah Water Meter, Dia. 2 " (50 mm)</t>
        </is>
      </c>
      <c r="D2105" s="3" t="inlineStr">
        <is>
          <t>buah</t>
        </is>
      </c>
      <c r="E2105" s="4" t="n">
        <v>2981214</v>
      </c>
    </row>
    <row r="2106">
      <c r="A2106" s="3" t="n">
        <v>2104</v>
      </c>
      <c r="B2106" s="3" t="inlineStr">
        <is>
          <t>6.5.11.6</t>
        </is>
      </c>
      <c r="C2106" s="3" t="inlineStr">
        <is>
          <t>Pemasangan 1 buah Water Meter, Dia. 3 " (80 mm)</t>
        </is>
      </c>
      <c r="D2106" s="3" t="inlineStr">
        <is>
          <t>buah</t>
        </is>
      </c>
      <c r="E2106" s="4" t="n">
        <v>4058824</v>
      </c>
    </row>
    <row r="2107">
      <c r="A2107" s="3" t="n">
        <v>2105</v>
      </c>
      <c r="B2107" s="3" t="inlineStr">
        <is>
          <t>6.5.11.7</t>
        </is>
      </c>
      <c r="C2107" s="3" t="inlineStr">
        <is>
          <t>Pemasangan 1 buah Water Meter, Dia. 4" (100 mm)</t>
        </is>
      </c>
      <c r="D2107" s="3" t="inlineStr">
        <is>
          <t>buah</t>
        </is>
      </c>
      <c r="E2107" s="4" t="n">
        <v>4526175</v>
      </c>
    </row>
    <row r="2108">
      <c r="A2108" s="3" t="n">
        <v>2106</v>
      </c>
      <c r="B2108" s="3" t="inlineStr">
        <is>
          <t>6.5.11.8</t>
        </is>
      </c>
      <c r="C2108" s="3" t="inlineStr">
        <is>
          <t>Pemasangan 1 buah Water Meter, Dia. 6" (150 mm)</t>
        </is>
      </c>
      <c r="D2108" s="3" t="inlineStr">
        <is>
          <t>buah</t>
        </is>
      </c>
      <c r="E2108" s="4" t="n">
        <v>5460042</v>
      </c>
    </row>
    <row r="2109">
      <c r="A2109" s="3" t="n">
        <v>2107</v>
      </c>
      <c r="B2109" s="3" t="inlineStr">
        <is>
          <t>6.5.11.9</t>
        </is>
      </c>
      <c r="C2109" s="3" t="inlineStr">
        <is>
          <t>Pemasangan 1 buah Water Meter, Dia. 8" (200 mm)</t>
        </is>
      </c>
      <c r="D2109" s="3" t="inlineStr">
        <is>
          <t>buah</t>
        </is>
      </c>
      <c r="E2109" s="4" t="n">
        <v>6172523</v>
      </c>
    </row>
    <row r="2110">
      <c r="A2110" s="3" t="n">
        <v>2108</v>
      </c>
      <c r="B2110" s="3" t="inlineStr">
        <is>
          <t>6.5.11.10</t>
        </is>
      </c>
      <c r="C2110" s="3" t="inlineStr">
        <is>
          <t>Pemasangan 1 buah Water Meter, Dia. 10" (250 mm)</t>
        </is>
      </c>
      <c r="D2110" s="3" t="inlineStr">
        <is>
          <t>buah</t>
        </is>
      </c>
      <c r="E2110" s="4" t="n">
        <v>6710500</v>
      </c>
    </row>
    <row r="2111">
      <c r="A2111" s="3" t="n">
        <v>2109</v>
      </c>
      <c r="B2111" s="3" t="inlineStr">
        <is>
          <t>6.5.11.11</t>
        </is>
      </c>
      <c r="C2111" s="3" t="inlineStr">
        <is>
          <t>Pemasangan 1 buah Water Meter, Dia. 12" (300 mm)</t>
        </is>
      </c>
      <c r="D2111" s="3" t="inlineStr">
        <is>
          <t>buah</t>
        </is>
      </c>
      <c r="E2111" s="4" t="n">
        <v>7311843</v>
      </c>
    </row>
    <row r="2112">
      <c r="A2112" s="3" t="n">
        <v>2110</v>
      </c>
      <c r="B2112" s="3" t="inlineStr">
        <is>
          <t>6.5.11.12</t>
        </is>
      </c>
      <c r="C2112" s="3" t="inlineStr">
        <is>
          <t>Pemasangan 1 buah Water Meter, Dia. 16" (400 mm)</t>
        </is>
      </c>
      <c r="D2112" s="3" t="inlineStr">
        <is>
          <t>buah</t>
        </is>
      </c>
      <c r="E2112" s="4" t="n">
        <v>7731988</v>
      </c>
    </row>
    <row r="2113">
      <c r="A2113" s="3" t="n">
        <v>2111</v>
      </c>
      <c r="B2113" s="3" t="inlineStr">
        <is>
          <t>6.5.11.13</t>
        </is>
      </c>
      <c r="C2113" s="3" t="inlineStr">
        <is>
          <t>Pemasangan 1 buah Flow Meter Analog 10 K, Dia. 4" (100 mm)</t>
        </is>
      </c>
      <c r="D2113" s="3" t="inlineStr">
        <is>
          <t>buah</t>
        </is>
      </c>
      <c r="E2113" s="4" t="n">
        <v>3766845</v>
      </c>
    </row>
    <row r="2114">
      <c r="A2114" s="3" t="n">
        <v>2112</v>
      </c>
      <c r="B2114" s="3" t="inlineStr">
        <is>
          <t>6.5.11.14</t>
        </is>
      </c>
      <c r="C2114" s="3" t="inlineStr">
        <is>
          <t>Pemasangan 1 buah flow meter analog 10 K, Dia 1" (25 mm)</t>
        </is>
      </c>
      <c r="D2114" s="3" t="inlineStr">
        <is>
          <t>buah</t>
        </is>
      </c>
      <c r="E2114" s="4" t="n">
        <v>830335</v>
      </c>
    </row>
    <row r="2115">
      <c r="A2115" s="3" t="n">
        <v>2113</v>
      </c>
      <c r="B2115" s="3" t="inlineStr">
        <is>
          <t>6.5.11.15</t>
        </is>
      </c>
      <c r="C2115" s="3" t="inlineStr">
        <is>
          <t>Pemasangan 1 buah water meter, DN 2-1/2" (65 mm)</t>
        </is>
      </c>
      <c r="D2115" s="3" t="inlineStr">
        <is>
          <t>buah</t>
        </is>
      </c>
      <c r="E2115" s="4" t="n">
        <v>994834</v>
      </c>
    </row>
    <row r="2116">
      <c r="A2116" s="3" t="n">
        <v>2114</v>
      </c>
      <c r="B2116" s="3" t="inlineStr">
        <is>
          <t>6.5.12.1</t>
        </is>
      </c>
      <c r="C2116" s="3" t="inlineStr">
        <is>
          <t>Pemasangan 1 buah Clean Out, Dia. 2" (50 mm)</t>
        </is>
      </c>
      <c r="D2116" s="3" t="inlineStr">
        <is>
          <t>buah</t>
        </is>
      </c>
      <c r="E2116" s="4" t="n">
        <v>97036</v>
      </c>
    </row>
    <row r="2117">
      <c r="A2117" s="3" t="n">
        <v>2115</v>
      </c>
      <c r="B2117" s="3" t="inlineStr">
        <is>
          <t>6.5.12.2</t>
        </is>
      </c>
      <c r="C2117" s="3" t="inlineStr">
        <is>
          <t>Pemasangan 1 buah Clean Out, Dia. 2-1/2" (65 mm)</t>
        </is>
      </c>
      <c r="D2117" s="3" t="inlineStr">
        <is>
          <t>buah</t>
        </is>
      </c>
      <c r="E2117" s="4" t="n">
        <v>117018</v>
      </c>
    </row>
    <row r="2118">
      <c r="A2118" s="3" t="n">
        <v>2116</v>
      </c>
      <c r="B2118" s="3" t="inlineStr">
        <is>
          <t>6.5.12.3</t>
        </is>
      </c>
      <c r="C2118" s="3" t="inlineStr">
        <is>
          <t>Pemasangan 1 buah Clean Out, Dia. 3" (80 mm)</t>
        </is>
      </c>
      <c r="D2118" s="3" t="inlineStr">
        <is>
          <t>buah</t>
        </is>
      </c>
      <c r="E2118" s="4" t="n">
        <v>155534</v>
      </c>
    </row>
    <row r="2119">
      <c r="A2119" s="3" t="n">
        <v>2117</v>
      </c>
      <c r="B2119" s="3" t="inlineStr">
        <is>
          <t>6.5.12.4</t>
        </is>
      </c>
      <c r="C2119" s="3" t="inlineStr">
        <is>
          <t>Pemasangan 1 buah Clean Out, Dia. 4" (100 mm)</t>
        </is>
      </c>
      <c r="D2119" s="3" t="inlineStr">
        <is>
          <t>buah</t>
        </is>
      </c>
      <c r="E2119" s="4" t="n">
        <v>190173</v>
      </c>
    </row>
    <row r="2120">
      <c r="A2120" s="3" t="n">
        <v>2118</v>
      </c>
      <c r="B2120" s="3" t="inlineStr">
        <is>
          <t>6.5.12.5</t>
        </is>
      </c>
      <c r="C2120" s="3" t="inlineStr">
        <is>
          <t>Pemasangan 1 buah Clean Out, Dia. 5" (125 mm)</t>
        </is>
      </c>
      <c r="D2120" s="3" t="inlineStr">
        <is>
          <t>buah</t>
        </is>
      </c>
      <c r="E2120" s="4" t="n">
        <v>344322</v>
      </c>
    </row>
    <row r="2121">
      <c r="A2121" s="3" t="n">
        <v>2119</v>
      </c>
      <c r="B2121" s="3" t="inlineStr">
        <is>
          <t>6.5.12.6</t>
        </is>
      </c>
      <c r="C2121" s="3" t="inlineStr">
        <is>
          <t>Pemasangan 1 buah Clean Out, Dia. 6" (150 mm)</t>
        </is>
      </c>
      <c r="D2121" s="3" t="inlineStr">
        <is>
          <t>buah</t>
        </is>
      </c>
      <c r="E2121" s="4" t="n">
        <v>433051</v>
      </c>
    </row>
    <row r="2122">
      <c r="A2122" s="3" t="n">
        <v>2120</v>
      </c>
      <c r="B2122" s="3" t="inlineStr">
        <is>
          <t>6.5.12.7</t>
        </is>
      </c>
      <c r="C2122" s="3" t="inlineStr">
        <is>
          <t>Pemasangan 1 buah Clean Out, Dia. 8" (200 mm)</t>
        </is>
      </c>
      <c r="D2122" s="3" t="inlineStr">
        <is>
          <t>buah</t>
        </is>
      </c>
      <c r="E2122" s="4" t="n">
        <v>652437</v>
      </c>
    </row>
    <row r="2123">
      <c r="A2123" s="3" t="n">
        <v>2121</v>
      </c>
      <c r="B2123" s="3" t="inlineStr">
        <is>
          <t>6.5.13.1</t>
        </is>
      </c>
      <c r="C2123" s="3" t="inlineStr">
        <is>
          <t>Pemasangan 1 buahRoof Drain, Dia. 2" (50 mm)</t>
        </is>
      </c>
      <c r="D2123" s="3" t="inlineStr">
        <is>
          <t>buah</t>
        </is>
      </c>
      <c r="E2123" s="4" t="n">
        <v>98967</v>
      </c>
    </row>
    <row r="2124">
      <c r="A2124" s="3" t="n">
        <v>2122</v>
      </c>
      <c r="B2124" s="3" t="inlineStr">
        <is>
          <t>6.5.13.2</t>
        </is>
      </c>
      <c r="C2124" s="3" t="inlineStr">
        <is>
          <t>Pemasangan 1 buahRoof Drain, Dia. 2-1/2" (65 mm)</t>
        </is>
      </c>
      <c r="D2124" s="3" t="inlineStr">
        <is>
          <t>buah</t>
        </is>
      </c>
      <c r="E2124" s="4" t="n">
        <v>119334</v>
      </c>
    </row>
    <row r="2125">
      <c r="A2125" s="3" t="n">
        <v>2123</v>
      </c>
      <c r="B2125" s="3" t="inlineStr">
        <is>
          <t>6.5.13.3</t>
        </is>
      </c>
      <c r="C2125" s="3" t="inlineStr">
        <is>
          <t>Pemasangan 1 buahRoof Drain, Dia. 3" (80 mm)</t>
        </is>
      </c>
      <c r="D2125" s="3" t="inlineStr">
        <is>
          <t>buah</t>
        </is>
      </c>
      <c r="E2125" s="4" t="n">
        <v>138714</v>
      </c>
    </row>
    <row r="2126">
      <c r="A2126" s="3" t="n">
        <v>2124</v>
      </c>
      <c r="B2126" s="3" t="inlineStr">
        <is>
          <t>6.5.13.4</t>
        </is>
      </c>
      <c r="C2126" s="3" t="inlineStr">
        <is>
          <t>Pemasangan 1 buahRoof Drain, Dia. 4" (100 mm)</t>
        </is>
      </c>
      <c r="D2126" s="3" t="inlineStr">
        <is>
          <t>buah</t>
        </is>
      </c>
      <c r="E2126" s="4" t="n">
        <v>168071</v>
      </c>
    </row>
    <row r="2127">
      <c r="A2127" s="3" t="n">
        <v>2125</v>
      </c>
      <c r="B2127" s="3" t="inlineStr">
        <is>
          <t>6.5.13.5</t>
        </is>
      </c>
      <c r="C2127" s="3" t="inlineStr">
        <is>
          <t>Pemasangan 1 buahRoof Drain, Dia. 5" (125 mm)</t>
        </is>
      </c>
      <c r="D2127" s="3" t="inlineStr">
        <is>
          <t>buah</t>
        </is>
      </c>
      <c r="E2127" s="4" t="n">
        <v>215352</v>
      </c>
    </row>
    <row r="2128">
      <c r="A2128" s="3" t="n">
        <v>2126</v>
      </c>
      <c r="B2128" s="3" t="inlineStr">
        <is>
          <t>6.5.13.6</t>
        </is>
      </c>
      <c r="C2128" s="3" t="inlineStr">
        <is>
          <t>Pemasangan 1 buahRoof Drain, Dia. 6" (150 mm)</t>
        </is>
      </c>
      <c r="D2128" s="3" t="inlineStr">
        <is>
          <t>buah</t>
        </is>
      </c>
      <c r="E2128" s="4" t="n">
        <v>257400</v>
      </c>
    </row>
    <row r="2129">
      <c r="A2129" s="3" t="n">
        <v>2127</v>
      </c>
      <c r="B2129" s="3" t="inlineStr">
        <is>
          <t>6.5.13.7</t>
        </is>
      </c>
      <c r="C2129" s="3" t="inlineStr">
        <is>
          <t>Pemasangan 1 buahRoof Drain, Dia. 8" (200 mm)</t>
        </is>
      </c>
      <c r="D2129" s="3" t="inlineStr">
        <is>
          <t>buah</t>
        </is>
      </c>
      <c r="E2129" s="4" t="n">
        <v>355044</v>
      </c>
    </row>
    <row r="2130">
      <c r="A2130" s="3" t="n">
        <v>2128</v>
      </c>
      <c r="B2130" s="3" t="inlineStr">
        <is>
          <t>6.5.13.8</t>
        </is>
      </c>
      <c r="C2130" s="3" t="inlineStr">
        <is>
          <t>Pemasangan 1 buahRoof Drain, Dia. 10" (200 mm)</t>
        </is>
      </c>
      <c r="D2130" s="3" t="inlineStr">
        <is>
          <t>buah</t>
        </is>
      </c>
      <c r="E2130" s="4" t="n">
        <v>484500</v>
      </c>
    </row>
    <row r="2131">
      <c r="A2131" s="3" t="n">
        <v>2129</v>
      </c>
      <c r="B2131" s="3" t="inlineStr">
        <is>
          <t>6.5.13.9</t>
        </is>
      </c>
      <c r="C2131" s="3" t="inlineStr">
        <is>
          <t>Pemasangan 1 buahRoof Drain, Dia. 12" (300 mm)</t>
        </is>
      </c>
      <c r="D2131" s="3" t="inlineStr">
        <is>
          <t>buah</t>
        </is>
      </c>
      <c r="E2131" s="4" t="n">
        <v>576009</v>
      </c>
    </row>
    <row r="2132">
      <c r="A2132" s="3" t="n">
        <v>2130</v>
      </c>
      <c r="B2132" s="3" t="inlineStr">
        <is>
          <t>6.5.14.1</t>
        </is>
      </c>
      <c r="C2132" s="3" t="inlineStr">
        <is>
          <t>Pemasangan 1 buah Floor Clean Out, Dia. 2" (50 mm)</t>
        </is>
      </c>
      <c r="D2132" s="3" t="inlineStr">
        <is>
          <t>buah</t>
        </is>
      </c>
      <c r="E2132" s="4" t="n">
        <v>231044</v>
      </c>
    </row>
    <row r="2133">
      <c r="A2133" s="3" t="n">
        <v>2131</v>
      </c>
      <c r="B2133" s="3" t="inlineStr">
        <is>
          <t>6.5.14.2</t>
        </is>
      </c>
      <c r="C2133" s="3" t="inlineStr">
        <is>
          <t>Pemasangan 1 buah Floor Clean Out, Dia. 2-1/2" (65 mm)</t>
        </is>
      </c>
      <c r="D2133" s="3" t="inlineStr">
        <is>
          <t>buah</t>
        </is>
      </c>
      <c r="E2133" s="4" t="n">
        <v>296950</v>
      </c>
    </row>
    <row r="2134">
      <c r="A2134" s="3" t="n">
        <v>2132</v>
      </c>
      <c r="B2134" s="3" t="inlineStr">
        <is>
          <t>6.5.14.3</t>
        </is>
      </c>
      <c r="C2134" s="3" t="inlineStr">
        <is>
          <t>Pemasangan 1 buah Floor Clean Out, Dia. 3" (80 mm)</t>
        </is>
      </c>
      <c r="D2134" s="3" t="inlineStr">
        <is>
          <t>buah</t>
        </is>
      </c>
      <c r="E2134" s="4" t="n">
        <v>361636</v>
      </c>
    </row>
    <row r="2135">
      <c r="A2135" s="3" t="n">
        <v>2133</v>
      </c>
      <c r="B2135" s="3" t="inlineStr">
        <is>
          <t>6.5.14.4</t>
        </is>
      </c>
      <c r="C2135" s="3" t="inlineStr">
        <is>
          <t>Pemasangan 1 buah Floor Clean Out, Dia. 4" (100 mm)</t>
        </is>
      </c>
      <c r="D2135" s="3" t="inlineStr">
        <is>
          <t>buah</t>
        </is>
      </c>
      <c r="E2135" s="4" t="n">
        <v>525640</v>
      </c>
    </row>
    <row r="2136">
      <c r="A2136" s="3" t="n">
        <v>2134</v>
      </c>
      <c r="B2136" s="3" t="inlineStr">
        <is>
          <t>6.5.14.5</t>
        </is>
      </c>
      <c r="C2136" s="3" t="inlineStr">
        <is>
          <t>Pemasangan 1 buah Floor Clean Out, Dia. 6" (150 mm)</t>
        </is>
      </c>
      <c r="D2136" s="3" t="inlineStr">
        <is>
          <t>buah</t>
        </is>
      </c>
      <c r="E2136" s="4" t="n">
        <v>744700</v>
      </c>
    </row>
    <row r="2137">
      <c r="A2137" s="3" t="n">
        <v>2135</v>
      </c>
      <c r="B2137" s="3" t="inlineStr">
        <is>
          <t>6.5.14.6</t>
        </is>
      </c>
      <c r="C2137" s="3" t="inlineStr">
        <is>
          <t>Pemasangan 1 buah Floor Clean Out, Dia. 8" (200 mm)</t>
        </is>
      </c>
      <c r="D2137" s="3" t="inlineStr">
        <is>
          <t>buah</t>
        </is>
      </c>
      <c r="E2137" s="4" t="n">
        <v>928900</v>
      </c>
    </row>
    <row r="2138">
      <c r="A2138" s="3" t="n">
        <v>2136</v>
      </c>
      <c r="B2138" s="3" t="inlineStr">
        <is>
          <t>6.5.15.1</t>
        </is>
      </c>
      <c r="C2138" s="3" t="inlineStr">
        <is>
          <t>Pemasangan 1 buah Vent Cap, Dia 2" (50 mm)</t>
        </is>
      </c>
      <c r="D2138" s="3" t="inlineStr">
        <is>
          <t>buah</t>
        </is>
      </c>
      <c r="E2138" s="4" t="n">
        <v>94011</v>
      </c>
    </row>
    <row r="2139">
      <c r="A2139" s="3" t="n">
        <v>2137</v>
      </c>
      <c r="B2139" s="3" t="inlineStr">
        <is>
          <t>6.5.15.2</t>
        </is>
      </c>
      <c r="C2139" s="3" t="inlineStr">
        <is>
          <t>Pemasangan 1 buah Vent Cap, Dia 3" (80 mm)</t>
        </is>
      </c>
      <c r="D2139" s="3" t="inlineStr">
        <is>
          <t>buah</t>
        </is>
      </c>
      <c r="E2139" s="4" t="n">
        <v>155534</v>
      </c>
    </row>
    <row r="2140">
      <c r="A2140" s="3" t="n">
        <v>2138</v>
      </c>
      <c r="B2140" s="3" t="inlineStr">
        <is>
          <t>6.5.15.3</t>
        </is>
      </c>
      <c r="C2140" s="3" t="inlineStr">
        <is>
          <t>Pemasangan 1 buah Vent Cap, Dia 4" (100 mm)</t>
        </is>
      </c>
      <c r="D2140" s="3" t="inlineStr">
        <is>
          <t>buah</t>
        </is>
      </c>
      <c r="E2140" s="4" t="n">
        <v>201228</v>
      </c>
    </row>
    <row r="2141">
      <c r="A2141" s="3" t="n">
        <v>2139</v>
      </c>
      <c r="B2141" s="3" t="inlineStr">
        <is>
          <t>6.5.16.1</t>
        </is>
      </c>
      <c r="C2141" s="3" t="inlineStr">
        <is>
          <t>Pemasangan 1 buah PRV, Dia 2" (50 mm)</t>
        </is>
      </c>
      <c r="D2141" s="3" t="inlineStr">
        <is>
          <t>buah</t>
        </is>
      </c>
      <c r="E2141" s="4" t="n">
        <v>6417202</v>
      </c>
    </row>
    <row r="2142">
      <c r="A2142" s="3" t="n">
        <v>2140</v>
      </c>
      <c r="B2142" s="3" t="inlineStr">
        <is>
          <t>6.5.16.2</t>
        </is>
      </c>
      <c r="C2142" s="3" t="inlineStr">
        <is>
          <t>Pemasangan 1 buah PRV, Dia 2-1/2" (65 mm)</t>
        </is>
      </c>
      <c r="D2142" s="3" t="inlineStr">
        <is>
          <t>buah</t>
        </is>
      </c>
      <c r="E2142" s="4" t="n">
        <v>7034544</v>
      </c>
    </row>
    <row r="2143">
      <c r="A2143" s="3" t="n">
        <v>2141</v>
      </c>
      <c r="B2143" s="3" t="inlineStr">
        <is>
          <t>6.5.16.3</t>
        </is>
      </c>
      <c r="C2143" s="3" t="inlineStr">
        <is>
          <t>Pemasangan 1 buah PRV Dia 3" (80 mm)</t>
        </is>
      </c>
      <c r="D2143" s="3" t="inlineStr">
        <is>
          <t>buah</t>
        </is>
      </c>
      <c r="E2143" s="4" t="n">
        <v>11045562</v>
      </c>
    </row>
    <row r="2144">
      <c r="A2144" s="3" t="n">
        <v>2142</v>
      </c>
      <c r="B2144" s="3" t="inlineStr">
        <is>
          <t>6.5.16.4</t>
        </is>
      </c>
      <c r="C2144" s="3" t="inlineStr">
        <is>
          <t>Pemasangan 1 buah PRV Dia 4" (100 mm)</t>
        </is>
      </c>
      <c r="D2144" s="3" t="inlineStr">
        <is>
          <t>buah</t>
        </is>
      </c>
      <c r="E2144" s="4" t="n">
        <v>12512054</v>
      </c>
    </row>
    <row r="2145">
      <c r="A2145" s="3" t="n">
        <v>2143</v>
      </c>
      <c r="B2145" s="3" t="inlineStr">
        <is>
          <t>6.5.16.5</t>
        </is>
      </c>
      <c r="C2145" s="3" t="inlineStr">
        <is>
          <t>Pemasangan 1 buah PRV Dia 6" (150 mm)</t>
        </is>
      </c>
      <c r="D2145" s="3" t="inlineStr">
        <is>
          <t>buah</t>
        </is>
      </c>
      <c r="E2145" s="4" t="n">
        <v>13416645</v>
      </c>
    </row>
    <row r="2146">
      <c r="A2146" s="3" t="n">
        <v>2144</v>
      </c>
      <c r="B2146" s="3" t="inlineStr">
        <is>
          <t>6.5.16.6</t>
        </is>
      </c>
      <c r="C2146" s="3" t="inlineStr">
        <is>
          <t>Pemasangan 1 buah PRV Dia 8" (200 mm)</t>
        </is>
      </c>
      <c r="D2146" s="3" t="inlineStr">
        <is>
          <t>buah</t>
        </is>
      </c>
      <c r="E2146" s="4" t="n">
        <v>14337031</v>
      </c>
    </row>
    <row r="2147">
      <c r="A2147" s="3" t="n">
        <v>2145</v>
      </c>
      <c r="B2147" s="3" t="inlineStr">
        <is>
          <t>6.5.17.1</t>
        </is>
      </c>
      <c r="C2147" s="3" t="inlineStr">
        <is>
          <t>Pemasangan 1 buah Automatic Air Vent, Dia. 1/2" (15 mm)</t>
        </is>
      </c>
      <c r="D2147" s="3" t="inlineStr">
        <is>
          <t>buah</t>
        </is>
      </c>
      <c r="E2147" s="4" t="n">
        <v>326260</v>
      </c>
    </row>
    <row r="2148">
      <c r="A2148" s="3" t="n">
        <v>2146</v>
      </c>
      <c r="B2148" s="3" t="inlineStr">
        <is>
          <t>6.5.17.2</t>
        </is>
      </c>
      <c r="C2148" s="3" t="inlineStr">
        <is>
          <t>Pemasangan 1 buah Automatic Air Vent, Dia. 1" (25 mm)</t>
        </is>
      </c>
      <c r="D2148" s="3" t="inlineStr">
        <is>
          <t>buah</t>
        </is>
      </c>
      <c r="E2148" s="4" t="n">
        <v>1095270</v>
      </c>
    </row>
    <row r="2149">
      <c r="A2149" s="3" t="n">
        <v>2147</v>
      </c>
      <c r="B2149" s="3" t="inlineStr">
        <is>
          <t>6.5.17.3</t>
        </is>
      </c>
      <c r="C2149" s="3" t="inlineStr">
        <is>
          <t>Pemasangan 1 buah Automatic Air Vent, Dia. 2" (50 mm)</t>
        </is>
      </c>
      <c r="D2149" s="3" t="inlineStr">
        <is>
          <t>buah</t>
        </is>
      </c>
      <c r="E2149" s="4" t="n">
        <v>1367811</v>
      </c>
    </row>
    <row r="2150">
      <c r="A2150" s="3" t="n">
        <v>2148</v>
      </c>
      <c r="B2150" s="3" t="inlineStr">
        <is>
          <t>6.5.17.4</t>
        </is>
      </c>
      <c r="C2150" s="3" t="inlineStr">
        <is>
          <t>Pemasangan 1 buah Automatic Air Vent, Dia. 3" (80 mm)</t>
        </is>
      </c>
      <c r="D2150" s="3" t="inlineStr">
        <is>
          <t>buah</t>
        </is>
      </c>
      <c r="E2150" s="4" t="n">
        <v>1633846</v>
      </c>
    </row>
    <row r="2151">
      <c r="A2151" s="3" t="n">
        <v>2149</v>
      </c>
      <c r="B2151" s="3" t="inlineStr">
        <is>
          <t>6.5.17.5</t>
        </is>
      </c>
      <c r="C2151" s="3" t="inlineStr">
        <is>
          <t>Pemasangan 1 buah Automatic Air Vent, Dia. 4" (100 mm)</t>
        </is>
      </c>
      <c r="D2151" s="3" t="inlineStr">
        <is>
          <t>buah</t>
        </is>
      </c>
      <c r="E2151" s="4" t="n">
        <v>1913928</v>
      </c>
    </row>
    <row r="2152">
      <c r="A2152" s="3" t="n">
        <v>2150</v>
      </c>
      <c r="B2152" s="3" t="inlineStr">
        <is>
          <t>6.5.17.6</t>
        </is>
      </c>
      <c r="C2152" s="3" t="inlineStr">
        <is>
          <t>Pemasangan 1 buah Automatic Air Vent, Dia. 6" (150 mm)</t>
        </is>
      </c>
      <c r="D2152" s="3" t="inlineStr">
        <is>
          <t>buah</t>
        </is>
      </c>
      <c r="E2152" s="4" t="n">
        <v>2244192</v>
      </c>
    </row>
    <row r="2153">
      <c r="A2153" s="3" t="n">
        <v>2151</v>
      </c>
      <c r="B2153" s="3" t="inlineStr">
        <is>
          <t>6.5.18.1</t>
        </is>
      </c>
      <c r="C2153" s="3" t="inlineStr">
        <is>
          <t>Pemasangan 1 buah Vent Out, Dia. 2" (50 mm)</t>
        </is>
      </c>
      <c r="D2153" s="3" t="inlineStr">
        <is>
          <t>buah</t>
        </is>
      </c>
      <c r="E2153" s="4" t="n">
        <v>333811</v>
      </c>
    </row>
    <row r="2154">
      <c r="A2154" s="3" t="n">
        <v>2152</v>
      </c>
      <c r="B2154" s="3" t="inlineStr">
        <is>
          <t>6.5.19.1</t>
        </is>
      </c>
      <c r="C2154" s="3" t="inlineStr">
        <is>
          <t>Pemasangan 1 buah Vent OutWLC &amp; Pengkabelan</t>
        </is>
      </c>
      <c r="D2154" s="3" t="inlineStr">
        <is>
          <t>buah</t>
        </is>
      </c>
      <c r="E2154" s="4" t="n">
        <v>174190</v>
      </c>
    </row>
    <row r="2155">
      <c r="A2155" s="3" t="n">
        <v>2153</v>
      </c>
      <c r="B2155" s="3" t="inlineStr">
        <is>
          <t>6.5.20.1</t>
        </is>
      </c>
      <c r="C2155" s="3" t="inlineStr">
        <is>
          <t>Pemasangan 1 buah Pressure Switch</t>
        </is>
      </c>
      <c r="D2155" s="3" t="inlineStr">
        <is>
          <t>buah</t>
        </is>
      </c>
      <c r="E2155" s="4" t="n">
        <v>308869</v>
      </c>
    </row>
    <row r="2156">
      <c r="A2156" s="3" t="n">
        <v>2154</v>
      </c>
      <c r="B2156" s="3" t="inlineStr">
        <is>
          <t>6.5.21.1</t>
        </is>
      </c>
      <c r="C2156" s="3" t="inlineStr">
        <is>
          <t>Pemasangan 1 m Header Pipa PVC AW, Dia. 4" ( 100 mm)</t>
        </is>
      </c>
      <c r="D2156" s="3" t="inlineStr">
        <is>
          <t>m'</t>
        </is>
      </c>
      <c r="E2156" s="4" t="n">
        <v>1997198</v>
      </c>
    </row>
    <row r="2157">
      <c r="A2157" s="3" t="n">
        <v>2155</v>
      </c>
      <c r="B2157" s="3" t="inlineStr">
        <is>
          <t>6.5.22.1</t>
        </is>
      </c>
      <c r="C2157" s="3" t="inlineStr">
        <is>
          <t>Pemasangan 1 m Header Pipa Galvanis Medd Class, Dia. 4" ( 100 mm)</t>
        </is>
      </c>
      <c r="D2157" s="3" t="inlineStr">
        <is>
          <t>m'</t>
        </is>
      </c>
      <c r="E2157" s="4" t="n">
        <v>1959408</v>
      </c>
    </row>
    <row r="2158">
      <c r="A2158" s="3" t="n">
        <v>2156</v>
      </c>
      <c r="B2158" s="3" t="inlineStr">
        <is>
          <t>6.5.22.2</t>
        </is>
      </c>
      <c r="C2158" s="3" t="inlineStr">
        <is>
          <t>Pemasangan 1 Unit Header Pipa Galvanis MED CLASS, DN 6" (150 mm)</t>
        </is>
      </c>
      <c r="D2158" s="3" t="inlineStr">
        <is>
          <t>m'</t>
        </is>
      </c>
      <c r="E2158" s="4" t="n">
        <v>2553232</v>
      </c>
    </row>
    <row r="2159">
      <c r="A2159" s="3" t="n">
        <v>2157</v>
      </c>
      <c r="B2159" s="3" t="inlineStr">
        <is>
          <t>6.5.22.3</t>
        </is>
      </c>
      <c r="C2159" s="3" t="inlineStr">
        <is>
          <t>Pemasangan 1 Unit Header Pipa Galvanis MED CLASS, DN 8" (200 mm)</t>
        </is>
      </c>
      <c r="D2159" s="3" t="inlineStr">
        <is>
          <t>m'</t>
        </is>
      </c>
      <c r="E2159" s="4" t="n">
        <v>3741435</v>
      </c>
    </row>
    <row r="2160">
      <c r="A2160" s="3" t="n">
        <v>2158</v>
      </c>
      <c r="B2160" s="3" t="inlineStr">
        <is>
          <t>6.5.22.4</t>
        </is>
      </c>
      <c r="C2160" s="3" t="inlineStr">
        <is>
          <t>Pemasangan 1 Unit Header Pipa Galvanis MED CLASS, DN 10" (250 mm)</t>
        </is>
      </c>
      <c r="D2160" s="3" t="inlineStr">
        <is>
          <t>m'</t>
        </is>
      </c>
      <c r="E2160" s="4" t="n">
        <v>4710530</v>
      </c>
    </row>
    <row r="2161">
      <c r="A2161" s="3" t="n">
        <v>2159</v>
      </c>
      <c r="B2161" s="3" t="inlineStr">
        <is>
          <t>6.5.23.1</t>
        </is>
      </c>
      <c r="C2161" s="3" t="inlineStr">
        <is>
          <t>Pemasangan 1 m Header Pipa BS SCH 40, Dia. 8" ( 200 mm)</t>
        </is>
      </c>
      <c r="D2161" s="3" t="inlineStr">
        <is>
          <t>m'</t>
        </is>
      </c>
      <c r="E2161" s="4" t="n">
        <v>5917021</v>
      </c>
    </row>
    <row r="2162">
      <c r="A2162" s="3" t="n">
        <v>2160</v>
      </c>
      <c r="B2162" s="3" t="inlineStr">
        <is>
          <t>6.5.23.2</t>
        </is>
      </c>
      <c r="C2162" s="3" t="inlineStr">
        <is>
          <t>Pemasangan 1 m Header Pipa BS SCH 40, Dia. 10" ( 250 mm)</t>
        </is>
      </c>
      <c r="D2162" s="3" t="inlineStr">
        <is>
          <t>m'</t>
        </is>
      </c>
      <c r="E2162" s="4" t="n">
        <v>7745072</v>
      </c>
    </row>
    <row r="2163">
      <c r="A2163" s="3" t="n">
        <v>2161</v>
      </c>
      <c r="B2163" s="3" t="inlineStr">
        <is>
          <t>6.5.24.1</t>
        </is>
      </c>
      <c r="C2163" s="3" t="inlineStr">
        <is>
          <t>Pemasangan 1 buah DOP PVC dia. 3" (80 mm)</t>
        </is>
      </c>
      <c r="D2163" s="3" t="inlineStr">
        <is>
          <t>buah</t>
        </is>
      </c>
      <c r="E2163" s="4" t="n">
        <v>32059</v>
      </c>
    </row>
    <row r="2164">
      <c r="A2164" s="3" t="n">
        <v>2162</v>
      </c>
      <c r="B2164" s="3" t="inlineStr">
        <is>
          <t>6.5.24.2</t>
        </is>
      </c>
      <c r="C2164" s="3" t="inlineStr">
        <is>
          <t>Pemasangan 1 buah DOP PVC dia. 4" (100 mm)</t>
        </is>
      </c>
      <c r="D2164" s="3" t="inlineStr">
        <is>
          <t>buah</t>
        </is>
      </c>
      <c r="E2164" s="4" t="n">
        <v>49428</v>
      </c>
    </row>
    <row r="2165">
      <c r="A2165" s="3" t="n">
        <v>2163</v>
      </c>
      <c r="B2165" s="3" t="inlineStr">
        <is>
          <t>6.5.24.3</t>
        </is>
      </c>
      <c r="C2165" s="3" t="inlineStr">
        <is>
          <t>Pemasangan 1 buah DOP PVC dia. 6" (150 mm)</t>
        </is>
      </c>
      <c r="D2165" s="3" t="inlineStr">
        <is>
          <t>buah</t>
        </is>
      </c>
      <c r="E2165" s="4" t="n">
        <v>73870</v>
      </c>
    </row>
    <row r="2166">
      <c r="A2166" s="3" t="n">
        <v>2164</v>
      </c>
      <c r="B2166" s="3" t="inlineStr">
        <is>
          <t>6.6.1.1</t>
        </is>
      </c>
      <c r="C2166" s="3" t="inlineStr">
        <is>
          <t>Pembuatan 1 buah sumur Resapan Air Hujan diameter 80 cm, t=100 cm</t>
        </is>
      </c>
      <c r="D2166" s="3" t="inlineStr">
        <is>
          <t>buah</t>
        </is>
      </c>
      <c r="E2166" s="4" t="n">
        <v>505518</v>
      </c>
    </row>
    <row r="2167">
      <c r="A2167" s="3" t="n">
        <v>2165</v>
      </c>
      <c r="B2167" s="3" t="inlineStr">
        <is>
          <t>7.1.1</t>
        </is>
      </c>
      <c r="C2167" s="3" t="inlineStr">
        <is>
          <t>Pemasangan Paving Block</t>
        </is>
      </c>
      <c r="D2167" s="3" t="n">
        <v/>
      </c>
      <c r="E2167" s="4" t="n">
        <v>0</v>
      </c>
    </row>
    <row r="2168">
      <c r="A2168" s="3" t="n">
        <v>2166</v>
      </c>
      <c r="B2168" s="3" t="inlineStr">
        <is>
          <t>7.1.1.1</t>
        </is>
      </c>
      <c r="C2168" s="3" t="inlineStr">
        <is>
          <t>Pemasangan 1 m2 Paving Block (Blok Beton) Natural Tebal 6 cm fc'20 Mpa dan Pengunci Uskup untuk Jalan Lingkungan (Jalan Lokal) Secara Manual</t>
        </is>
      </c>
      <c r="D2168" s="3" t="inlineStr">
        <is>
          <t>m2</t>
        </is>
      </c>
      <c r="E2168" s="4" t="n">
        <v>146808</v>
      </c>
    </row>
    <row r="2169">
      <c r="A2169" s="3" t="n">
        <v>2167</v>
      </c>
      <c r="B2169" s="3" t="inlineStr">
        <is>
          <t>7.1.1.2</t>
        </is>
      </c>
      <c r="C2169" s="3" t="inlineStr">
        <is>
          <t>Pemasangan 1 m2 Paving Block (Blok Beton) Natural Tebal 6 cm fc'25 Mpa dan Pengunci Uskup untuk Jalan Lakses/Penghubug (Jalan Kolektor) Secara Manual</t>
        </is>
      </c>
      <c r="D2169" s="3" t="inlineStr">
        <is>
          <t>m2</t>
        </is>
      </c>
      <c r="E2169" s="4" t="n">
        <v>160668</v>
      </c>
    </row>
    <row r="2170">
      <c r="A2170" s="3" t="n">
        <v>2168</v>
      </c>
      <c r="B2170" s="3" t="inlineStr">
        <is>
          <t>7.1.1.3</t>
        </is>
      </c>
      <c r="C2170" s="3" t="inlineStr">
        <is>
          <t>Pemasangan 1 m2 Paving Block (Blok Beton) Natural Tebal 6 cm fc'20 Mpa dan Pengunci Uskup untuk Jalan Lingkungan (Jalan Lokal) Secara semi mekanis</t>
        </is>
      </c>
      <c r="D2170" s="3" t="inlineStr">
        <is>
          <t>m2</t>
        </is>
      </c>
      <c r="E2170" s="4" t="n">
        <v>131174</v>
      </c>
    </row>
    <row r="2171">
      <c r="A2171" s="3" t="n">
        <v>2169</v>
      </c>
      <c r="B2171" s="3" t="inlineStr">
        <is>
          <t>7.1.1.4</t>
        </is>
      </c>
      <c r="C2171" s="3" t="inlineStr">
        <is>
          <t>Pemasangan 1 m2 Paving Block (Blok Beton) Natural Tebal 6 cm fc'25 Mpa dan Pengunci Uskup untuk Jalan Lingkungan (Jalan Lokal) Secara semi mekanis</t>
        </is>
      </c>
      <c r="D2171" s="3" t="inlineStr">
        <is>
          <t>m2</t>
        </is>
      </c>
      <c r="E2171" s="4" t="n">
        <v>145034</v>
      </c>
    </row>
    <row r="2172">
      <c r="A2172" s="3" t="n">
        <v>2170</v>
      </c>
      <c r="B2172" s="3" t="inlineStr">
        <is>
          <t>7.1.1.5</t>
        </is>
      </c>
      <c r="C2172" s="3" t="inlineStr">
        <is>
          <t>Pemasangan 1 m2 Paving Block (Blok Beton) Natural Tebal 8 cm fc'20 Mpa dan Pengunci Topi Uskup untuk Jalan Lingkungan (Jalan Lokal) Secara manual</t>
        </is>
      </c>
      <c r="D2172" s="3" t="inlineStr">
        <is>
          <t>m2</t>
        </is>
      </c>
      <c r="E2172" s="4" t="n">
        <v>179123</v>
      </c>
    </row>
    <row r="2173">
      <c r="A2173" s="3" t="n">
        <v>2171</v>
      </c>
      <c r="B2173" s="3" t="inlineStr">
        <is>
          <t>7.1.1.6</t>
        </is>
      </c>
      <c r="C2173" s="3" t="inlineStr">
        <is>
          <t>Pemasangan 1 m2 Paving Block (Blok Beton) Natural Tebal 8 cm fc'25 Mpa dan Pengunci Topi Uskup untuk Jalan akses/penghubung (Jalan kolektor) Secara manual</t>
        </is>
      </c>
      <c r="D2173" s="3" t="inlineStr">
        <is>
          <t>m2</t>
        </is>
      </c>
      <c r="E2173" s="4" t="n">
        <v>192983</v>
      </c>
    </row>
    <row r="2174">
      <c r="A2174" s="3" t="n">
        <v>2172</v>
      </c>
      <c r="B2174" s="3" t="inlineStr">
        <is>
          <t>7.1.1.7</t>
        </is>
      </c>
      <c r="C2174" s="3" t="inlineStr">
        <is>
          <t>Pemasangan 1 m2 Paving Block (Blok Beton) Natural Tebal 8 cm fc'20 Mpa dan Pengunci Topi Uskup untuk Jalan Lingkungan (Jalan Lokal) Secara semi mekanis</t>
        </is>
      </c>
      <c r="D2174" s="3" t="inlineStr">
        <is>
          <t>m2</t>
        </is>
      </c>
      <c r="E2174" s="4" t="n">
        <v>175796</v>
      </c>
    </row>
    <row r="2175">
      <c r="A2175" s="3" t="n">
        <v>2173</v>
      </c>
      <c r="B2175" s="3" t="inlineStr">
        <is>
          <t>7.1.1.8</t>
        </is>
      </c>
      <c r="C2175" s="3" t="inlineStr">
        <is>
          <t>Pemasangan 1 m2 Paving Block (Blok Beton) Natural Tebal 8 cm fc'25 Mpa dan Pengunci Topi Uskup untuk Jalan Akses/Penghubung  (Jalan Kolektor) Secara semi mekanis</t>
        </is>
      </c>
      <c r="D2175" s="3" t="inlineStr">
        <is>
          <t>m2</t>
        </is>
      </c>
      <c r="E2175" s="4" t="n">
        <v>177776</v>
      </c>
    </row>
    <row r="2176">
      <c r="A2176" s="3" t="n">
        <v>2174</v>
      </c>
      <c r="B2176" s="3" t="inlineStr">
        <is>
          <t>7.1.2</t>
        </is>
      </c>
      <c r="C2176" s="3" t="inlineStr">
        <is>
          <t>Pemasangan Kanstin</t>
        </is>
      </c>
      <c r="D2176" s="3" t="n">
        <v/>
      </c>
      <c r="E2176" s="4" t="n">
        <v>0</v>
      </c>
    </row>
    <row r="2177">
      <c r="A2177" s="3" t="n">
        <v>2175</v>
      </c>
      <c r="B2177" s="3" t="inlineStr">
        <is>
          <t>7.1.2.1</t>
        </is>
      </c>
      <c r="C2177" s="3" t="inlineStr">
        <is>
          <t>Pemasangan 1 m' Kanstin, Tebal 10x20x40 cm dengan kupingan untuk jalan Lingkungan (Jalan Lokal)</t>
        </is>
      </c>
      <c r="D2177" s="3" t="inlineStr">
        <is>
          <t>m'</t>
        </is>
      </c>
      <c r="E2177" s="4" t="n">
        <v>86226</v>
      </c>
    </row>
    <row r="2178">
      <c r="A2178" s="3" t="n">
        <v>2176</v>
      </c>
      <c r="B2178" s="3" t="inlineStr">
        <is>
          <t>7.1.2.2</t>
        </is>
      </c>
      <c r="C2178" s="3" t="inlineStr">
        <is>
          <t>Pemasangan 1 m' Kanstin, Tebal 15x40x460 cm dengan kupingan untuk jalan Akses/penghubung (Jalan Kolektor)</t>
        </is>
      </c>
      <c r="D2178" s="3" t="inlineStr">
        <is>
          <t>m'</t>
        </is>
      </c>
      <c r="E2178" s="4" t="n">
        <v>183537</v>
      </c>
    </row>
    <row r="2179">
      <c r="A2179" s="3" t="n">
        <v>2177</v>
      </c>
      <c r="B2179" s="3" t="inlineStr">
        <is>
          <t>7.1.2.3</t>
        </is>
      </c>
      <c r="C2179" s="3" t="inlineStr">
        <is>
          <t>Pemasangan 1 m' Kanstin, Tebal 10x20x40 cm tanpa kupingan untuk jalan Lingkungan (Jalan Lokal)</t>
        </is>
      </c>
      <c r="D2179" s="3" t="inlineStr">
        <is>
          <t>m'</t>
        </is>
      </c>
      <c r="E2179" s="4" t="n">
        <v>84339</v>
      </c>
    </row>
    <row r="2180">
      <c r="A2180" s="3" t="n">
        <v>2178</v>
      </c>
      <c r="B2180" s="3" t="inlineStr">
        <is>
          <t>7.1.2.4</t>
        </is>
      </c>
      <c r="C2180" s="3" t="inlineStr">
        <is>
          <t>Pemasangan 1 m' Kanstin, Tebal 15x40x460 cm Tanpa kupingan untuk jalan Akses/penghubung (Jalan Kolektor)</t>
        </is>
      </c>
      <c r="D2180" s="3" t="inlineStr">
        <is>
          <t>m'</t>
        </is>
      </c>
      <c r="E2180" s="4" t="n">
        <v>181809</v>
      </c>
    </row>
    <row r="2181">
      <c r="A2181" s="3" t="n">
        <v>2179</v>
      </c>
      <c r="B2181" s="3" t="inlineStr">
        <is>
          <t>7.2.1.1</t>
        </is>
      </c>
      <c r="C2181" s="3" t="inlineStr">
        <is>
          <t>1 m3 Beton Kurus f'c 10 MPa secara Semi Mekanis</t>
        </is>
      </c>
      <c r="D2181" s="3" t="inlineStr">
        <is>
          <t>m3</t>
        </is>
      </c>
      <c r="E2181" s="4" t="n">
        <v>1464801</v>
      </c>
    </row>
    <row r="2182">
      <c r="A2182" s="3" t="n">
        <v>2180</v>
      </c>
      <c r="B2182" s="3" t="inlineStr">
        <is>
          <t>7.2.1.2</t>
        </is>
      </c>
      <c r="C2182" s="3" t="inlineStr">
        <is>
          <t>1 m3 Beton Kurus f'c 10 MPa menggunakan Ready Mixed</t>
        </is>
      </c>
      <c r="D2182" s="3" t="inlineStr">
        <is>
          <t>m3</t>
        </is>
      </c>
      <c r="E2182" s="4" t="n">
        <v>1225541</v>
      </c>
    </row>
    <row r="2183">
      <c r="A2183" s="3" t="n">
        <v>2181</v>
      </c>
      <c r="B2183" s="3" t="inlineStr">
        <is>
          <t>7.2.2.1</t>
        </is>
      </c>
      <c r="C2183" s="3" t="inlineStr">
        <is>
          <t>1 m3Perkerasan Beton Sc 3,5 Mpa (Setara Fc 25 Mpa) untuk Jalan Lingkungan (Jalan Lokal) Semi Mekanis</t>
        </is>
      </c>
      <c r="D2183" s="3" t="inlineStr">
        <is>
          <t>m3</t>
        </is>
      </c>
      <c r="E2183" s="4" t="n">
        <v>1991015</v>
      </c>
    </row>
    <row r="2184">
      <c r="A2184" s="3" t="n">
        <v>2182</v>
      </c>
      <c r="B2184" s="3" t="inlineStr">
        <is>
          <t>7.2.2.2</t>
        </is>
      </c>
      <c r="C2184" s="3" t="inlineStr">
        <is>
          <t>1 m3 Perkerasan Beton Sc 3,8 Mpa (Setara Fc 30 Mpa) untuk Jalan Akses/Penghubung (Jalan Kolektor) Semi Mekanis</t>
        </is>
      </c>
      <c r="D2184" s="3" t="inlineStr">
        <is>
          <t>m3</t>
        </is>
      </c>
      <c r="E2184" s="4" t="n">
        <v>2737936</v>
      </c>
    </row>
    <row r="2185">
      <c r="A2185" s="3" t="n">
        <v>2183</v>
      </c>
      <c r="B2185" s="3" t="inlineStr">
        <is>
          <t>7.2.2.3</t>
        </is>
      </c>
      <c r="C2185" s="3" t="inlineStr">
        <is>
          <t>1 m3 Perkerasan Beton Sc 3,5 Mpa (Setara Fc 25 Mpa) untuk Jalan Lingkungan (Jalan Lokal) Ready Mixed</t>
        </is>
      </c>
      <c r="D2185" s="3" t="inlineStr">
        <is>
          <t>m3</t>
        </is>
      </c>
      <c r="E2185" s="4" t="n">
        <v>1759124</v>
      </c>
    </row>
    <row r="2186">
      <c r="A2186" s="3" t="n">
        <v>2184</v>
      </c>
      <c r="B2186" s="3" t="inlineStr">
        <is>
          <t>7.2.2.4</t>
        </is>
      </c>
      <c r="C2186" s="3" t="inlineStr">
        <is>
          <t>1 m3 Perkerasan Beton Sc 3,8 Mpa (Setara Fc 30 Mpa) untuk Jalan Akses/Penghubung (Jalan Jalan Kolektor) Ready Mixed</t>
        </is>
      </c>
      <c r="D2186" s="3" t="inlineStr">
        <is>
          <t>m3</t>
        </is>
      </c>
      <c r="E2186" s="4" t="n">
        <v>2488786</v>
      </c>
    </row>
    <row r="2187">
      <c r="A2187" s="3" t="n">
        <v>2185</v>
      </c>
      <c r="B2187" s="3" t="inlineStr">
        <is>
          <t>7.3.1</t>
        </is>
      </c>
      <c r="C2187" s="3" t="inlineStr">
        <is>
          <t>1 Ton Pekerjaan Lapisan Antara (AC-BC)</t>
        </is>
      </c>
      <c r="D2187" s="3" t="inlineStr">
        <is>
          <t xml:space="preserve">ton </t>
        </is>
      </c>
      <c r="E2187" s="4" t="n">
        <v>1572465</v>
      </c>
    </row>
    <row r="2188">
      <c r="A2188" s="3" t="n">
        <v>2186</v>
      </c>
      <c r="B2188" s="3" t="inlineStr">
        <is>
          <t>7.3.2</t>
        </is>
      </c>
      <c r="C2188" s="3" t="inlineStr">
        <is>
          <t>1 Ton Pekerjaan Lapisan Aus (AC-WC)</t>
        </is>
      </c>
      <c r="D2188" s="3" t="inlineStr">
        <is>
          <t xml:space="preserve">ton </t>
        </is>
      </c>
      <c r="E2188" s="4" t="n">
        <v>1819013</v>
      </c>
    </row>
    <row r="2189">
      <c r="A2189" s="3" t="n">
        <v>2187</v>
      </c>
      <c r="B2189" s="3" t="inlineStr">
        <is>
          <t>8.1.1.1</t>
        </is>
      </c>
      <c r="C2189" s="3" t="inlineStr">
        <is>
          <t>1 m' Saluran U-Ditch 30x30x120 cm dengan lantai kerja fc 10 Mpa</t>
        </is>
      </c>
      <c r="D2189" s="3" t="inlineStr">
        <is>
          <t>m'</t>
        </is>
      </c>
      <c r="E2189" s="4" t="n">
        <v>445551</v>
      </c>
    </row>
    <row r="2190">
      <c r="A2190" s="3" t="n">
        <v>2188</v>
      </c>
      <c r="B2190" s="3" t="inlineStr">
        <is>
          <t>8.1.1.2</t>
        </is>
      </c>
      <c r="C2190" s="3" t="inlineStr">
        <is>
          <t>1 m Saluran U-Ditch 30x40x120 cm dengan lantai kerja fc 10 Mpa</t>
        </is>
      </c>
      <c r="D2190" s="3" t="inlineStr">
        <is>
          <t>m'</t>
        </is>
      </c>
      <c r="E2190" s="4" t="n">
        <v>492960</v>
      </c>
    </row>
    <row r="2191">
      <c r="A2191" s="3" t="n">
        <v>2189</v>
      </c>
      <c r="B2191" s="3" t="inlineStr">
        <is>
          <t>8.1.1.3</t>
        </is>
      </c>
      <c r="C2191" s="3" t="inlineStr">
        <is>
          <t>1 m Saluran U-Ditch 40x40x120 cm dengan lantai kerja fc 10 Mpa</t>
        </is>
      </c>
      <c r="D2191" s="3" t="inlineStr">
        <is>
          <t>m'</t>
        </is>
      </c>
      <c r="E2191" s="4" t="n">
        <v>561216</v>
      </c>
    </row>
    <row r="2192">
      <c r="A2192" s="3" t="n">
        <v>2190</v>
      </c>
      <c r="B2192" s="3" t="inlineStr">
        <is>
          <t>8.1.1.4</t>
        </is>
      </c>
      <c r="C2192" s="3" t="inlineStr">
        <is>
          <t>1 m Saluran U-Ditch 50x50x120 cm dengan lantai kerja fc 10 Mpa</t>
        </is>
      </c>
      <c r="D2192" s="3" t="inlineStr">
        <is>
          <t>m'</t>
        </is>
      </c>
      <c r="E2192" s="4" t="n">
        <v>599796</v>
      </c>
    </row>
    <row r="2193">
      <c r="A2193" s="3" t="n">
        <v>2191</v>
      </c>
      <c r="B2193" s="3" t="inlineStr">
        <is>
          <t>8.1.1.5</t>
        </is>
      </c>
      <c r="C2193" s="3" t="inlineStr">
        <is>
          <t>1 m Saluran U-Ditch 40x60x120 cm dengan lantai kerja fc 10 Mpa</t>
        </is>
      </c>
      <c r="D2193" s="3" t="inlineStr">
        <is>
          <t>m'</t>
        </is>
      </c>
      <c r="E2193" s="4" t="n">
        <v>639480</v>
      </c>
    </row>
    <row r="2194">
      <c r="A2194" s="3" t="n">
        <v>2192</v>
      </c>
      <c r="B2194" s="3" t="inlineStr">
        <is>
          <t>8.1.1.6</t>
        </is>
      </c>
      <c r="C2194" s="3" t="inlineStr">
        <is>
          <t>1 m Saluran U-Ditch 50x50x120 cm dengan lantai kerja fc 10 Mpa</t>
        </is>
      </c>
      <c r="D2194" s="3" t="inlineStr">
        <is>
          <t>m'</t>
        </is>
      </c>
      <c r="E2194" s="4" t="n">
        <v>599796</v>
      </c>
    </row>
    <row r="2195">
      <c r="A2195" s="3" t="n">
        <v>2193</v>
      </c>
      <c r="B2195" s="3" t="inlineStr">
        <is>
          <t>8.1.1.7</t>
        </is>
      </c>
      <c r="C2195" s="3" t="inlineStr">
        <is>
          <t>1 m Saluran U-Ditch 50x60x120 cm dengan lantai kerja fc 10 Mpa</t>
        </is>
      </c>
      <c r="D2195" s="3" t="inlineStr">
        <is>
          <t>m'</t>
        </is>
      </c>
      <c r="E2195" s="4" t="n">
        <v>807549</v>
      </c>
    </row>
    <row r="2196">
      <c r="A2196" s="3" t="n">
        <v>2194</v>
      </c>
      <c r="B2196" s="3" t="inlineStr">
        <is>
          <t>8.1.1.8</t>
        </is>
      </c>
      <c r="C2196" s="3" t="inlineStr">
        <is>
          <t>1 m Saluran U-Ditch 50x70x120 cm dengan lantai kerja fc 10 Mpa</t>
        </is>
      </c>
      <c r="D2196" s="3" t="inlineStr">
        <is>
          <t>m'</t>
        </is>
      </c>
      <c r="E2196" s="4" t="n">
        <v>835282</v>
      </c>
    </row>
    <row r="2197">
      <c r="A2197" s="3" t="n">
        <v>2195</v>
      </c>
      <c r="B2197" s="3" t="inlineStr">
        <is>
          <t>8.1.1.9</t>
        </is>
      </c>
      <c r="C2197" s="3" t="inlineStr">
        <is>
          <t>1 m Saluran U-Ditch 60x60x120 cm dengan lantai kerja fc 10 Mpa</t>
        </is>
      </c>
      <c r="D2197" s="3" t="inlineStr">
        <is>
          <t>m'</t>
        </is>
      </c>
      <c r="E2197" s="4" t="n">
        <v>898014</v>
      </c>
    </row>
    <row r="2198">
      <c r="A2198" s="3" t="n">
        <v>2196</v>
      </c>
      <c r="B2198" s="3" t="inlineStr">
        <is>
          <t>8.1.1.10</t>
        </is>
      </c>
      <c r="C2198" s="3" t="inlineStr">
        <is>
          <t>1 m Saluran U-Ditch 60x70x120 cm dengan lantai kerja fc 10 Mpa</t>
        </is>
      </c>
      <c r="D2198" s="3" t="inlineStr">
        <is>
          <t>m'</t>
        </is>
      </c>
      <c r="E2198" s="4" t="n">
        <v>916720</v>
      </c>
    </row>
    <row r="2199">
      <c r="A2199" s="3" t="n">
        <v>2197</v>
      </c>
      <c r="B2199" s="3" t="inlineStr">
        <is>
          <t>8.1.1.11</t>
        </is>
      </c>
      <c r="C2199" s="3" t="inlineStr">
        <is>
          <t>1 m Saluran U-Ditch 60x80x120 cm dengan lantai kerja fc 10 Mpa</t>
        </is>
      </c>
      <c r="D2199" s="3" t="inlineStr">
        <is>
          <t>m'</t>
        </is>
      </c>
      <c r="E2199" s="4" t="n">
        <v>948715</v>
      </c>
    </row>
    <row r="2200">
      <c r="A2200" s="3" t="n">
        <v>2198</v>
      </c>
      <c r="B2200" s="3" t="inlineStr">
        <is>
          <t>8.1.1.12</t>
        </is>
      </c>
      <c r="C2200" s="3" t="inlineStr">
        <is>
          <t>1 m Saluran U-Ditch 80x60x120 cm dengan lantai kerja fc 10 Mpa</t>
        </is>
      </c>
      <c r="D2200" s="3" t="inlineStr">
        <is>
          <t>m'</t>
        </is>
      </c>
      <c r="E2200" s="4" t="n">
        <v>995979</v>
      </c>
    </row>
    <row r="2201">
      <c r="A2201" s="3" t="n">
        <v>2199</v>
      </c>
      <c r="B2201" s="3" t="inlineStr">
        <is>
          <t>8.1.1.13</t>
        </is>
      </c>
      <c r="C2201" s="3" t="inlineStr">
        <is>
          <t>1 m Saluran U-Ditch 80x80x120 cm dengan lantai kerja fc 10 Mpa</t>
        </is>
      </c>
      <c r="D2201" s="3" t="inlineStr">
        <is>
          <t>m'</t>
        </is>
      </c>
      <c r="E2201" s="4" t="n">
        <v>1115410</v>
      </c>
    </row>
    <row r="2202">
      <c r="A2202" s="3" t="n">
        <v>2200</v>
      </c>
      <c r="B2202" s="3" t="inlineStr">
        <is>
          <t>8.1.1.14</t>
        </is>
      </c>
      <c r="C2202" s="3" t="inlineStr">
        <is>
          <t>1 m Saluran U-Ditch 80x100x120 cm dengan lantai kerja fc 10 Mpa</t>
        </is>
      </c>
      <c r="D2202" s="3" t="inlineStr">
        <is>
          <t>m'</t>
        </is>
      </c>
      <c r="E2202" s="4" t="n">
        <v>1160604</v>
      </c>
    </row>
    <row r="2203">
      <c r="A2203" s="3" t="n">
        <v>2201</v>
      </c>
      <c r="B2203" s="3" t="inlineStr">
        <is>
          <t>8.1.1.15</t>
        </is>
      </c>
      <c r="C2203" s="3" t="inlineStr">
        <is>
          <t>1 m Saluran U-Ditch 100x100x120 cm dengan lantai kerja fc 10 Mpa</t>
        </is>
      </c>
      <c r="D2203" s="3" t="inlineStr">
        <is>
          <t>m'</t>
        </is>
      </c>
      <c r="E2203" s="4" t="n">
        <v>1224461</v>
      </c>
    </row>
    <row r="2204">
      <c r="A2204" s="3" t="n">
        <v>2202</v>
      </c>
      <c r="B2204" s="3" t="inlineStr">
        <is>
          <t>8.1.1.16</t>
        </is>
      </c>
      <c r="C2204" s="3" t="inlineStr">
        <is>
          <t>1 m Saluran U-Ditch 100x120x120 cm dengan lantai kerja fc 10 Mpa</t>
        </is>
      </c>
      <c r="D2204" s="3" t="inlineStr">
        <is>
          <t>m'</t>
        </is>
      </c>
      <c r="E2204" s="4" t="n">
        <v>1253327</v>
      </c>
    </row>
    <row r="2205">
      <c r="A2205" s="3" t="n">
        <v>2203</v>
      </c>
      <c r="B2205" s="3" t="inlineStr">
        <is>
          <t>8.1.1.17</t>
        </is>
      </c>
      <c r="C2205" s="3" t="inlineStr">
        <is>
          <t>1 m Saluran U-Ditch 120x120x120 cm dengan lantai kerja fc 10 Mpa</t>
        </is>
      </c>
      <c r="D2205" s="3" t="inlineStr">
        <is>
          <t>m'</t>
        </is>
      </c>
      <c r="E2205" s="4" t="n">
        <v>1373106</v>
      </c>
    </row>
    <row r="2206">
      <c r="A2206" s="3" t="n">
        <v>2204</v>
      </c>
      <c r="B2206" s="3" t="inlineStr">
        <is>
          <t>8.1.1.18</t>
        </is>
      </c>
      <c r="C2206" s="3" t="inlineStr">
        <is>
          <t>1 m Saluran U-Ditch 120x140x120 cm dengan lantai kerja fc 10 Mpa</t>
        </is>
      </c>
      <c r="D2206" s="3" t="inlineStr">
        <is>
          <t>m'</t>
        </is>
      </c>
      <c r="E2206" s="4" t="n">
        <v>1404156</v>
      </c>
    </row>
    <row r="2207">
      <c r="A2207" s="3" t="n">
        <v>2205</v>
      </c>
      <c r="B2207" s="3" t="inlineStr">
        <is>
          <t>8.1.1.19</t>
        </is>
      </c>
      <c r="C2207" s="3" t="inlineStr">
        <is>
          <t>1 m Saluran U-Ditch 140x140x120 cm dengan lantai kerja fc 10 Mpa</t>
        </is>
      </c>
      <c r="D2207" s="3" t="inlineStr">
        <is>
          <t>m'</t>
        </is>
      </c>
      <c r="E2207" s="4" t="n">
        <v>1546088</v>
      </c>
    </row>
    <row r="2208">
      <c r="A2208" s="3" t="n">
        <v>2206</v>
      </c>
      <c r="B2208" s="3" t="inlineStr">
        <is>
          <t>8.1.1.20</t>
        </is>
      </c>
      <c r="C2208" s="3" t="inlineStr">
        <is>
          <t>1 m Saluran U-Ditch 150x100x120 cm dengan lantai kerja fc 10 Mpa</t>
        </is>
      </c>
      <c r="D2208" s="3" t="inlineStr">
        <is>
          <t>m'</t>
        </is>
      </c>
      <c r="E2208" s="4" t="n">
        <v>1495345</v>
      </c>
    </row>
    <row r="2209">
      <c r="A2209" s="3" t="n">
        <v>2207</v>
      </c>
      <c r="B2209" s="3" t="inlineStr">
        <is>
          <t>8.1.1.21</t>
        </is>
      </c>
      <c r="C2209" s="3" t="inlineStr">
        <is>
          <t>1 m Saluran U-Ditch 150x150x120 cm dengan lantai kerja fc 10 Mpa</t>
        </is>
      </c>
      <c r="D2209" s="3" t="inlineStr">
        <is>
          <t>m'</t>
        </is>
      </c>
      <c r="E2209" s="4" t="n">
        <v>1606240</v>
      </c>
    </row>
    <row r="2210">
      <c r="A2210" s="3" t="n">
        <v>2208</v>
      </c>
      <c r="B2210" s="3" t="inlineStr">
        <is>
          <t>8.1.1.22</t>
        </is>
      </c>
      <c r="C2210" s="3" t="inlineStr">
        <is>
          <t>1 m Saluran U-Ditch 150x170x120 cm dengan lantai kerja fc 10 Mpa</t>
        </is>
      </c>
      <c r="D2210" s="3" t="inlineStr">
        <is>
          <t>m'</t>
        </is>
      </c>
      <c r="E2210" s="4" t="n">
        <v>1626602</v>
      </c>
    </row>
    <row r="2211">
      <c r="A2211" s="3" t="n">
        <v>2209</v>
      </c>
      <c r="B2211" s="3" t="inlineStr">
        <is>
          <t>8.1.1.23</t>
        </is>
      </c>
      <c r="C2211" s="3" t="inlineStr">
        <is>
          <t>1 m Saluran U-Ditch 160x160x120 cm dengan lantai kerja fc 10 Mpa</t>
        </is>
      </c>
      <c r="D2211" s="3" t="inlineStr">
        <is>
          <t>m'</t>
        </is>
      </c>
      <c r="E2211" s="4" t="n">
        <v>1672105</v>
      </c>
    </row>
    <row r="2212">
      <c r="A2212" s="3" t="n">
        <v>2210</v>
      </c>
      <c r="B2212" s="3" t="inlineStr">
        <is>
          <t>8.1.1.24</t>
        </is>
      </c>
      <c r="C2212" s="3" t="inlineStr">
        <is>
          <t>1 m Saluran U-Ditch 160x180x120 cm dengan lantai kerja fc 10 Mpa</t>
        </is>
      </c>
      <c r="D2212" s="3" t="inlineStr">
        <is>
          <t>m'</t>
        </is>
      </c>
      <c r="E2212" s="4" t="n">
        <v>1708385</v>
      </c>
    </row>
    <row r="2213">
      <c r="A2213" s="3" t="n">
        <v>2211</v>
      </c>
      <c r="B2213" s="3" t="inlineStr">
        <is>
          <t>8.1.1.25</t>
        </is>
      </c>
      <c r="C2213" s="3" t="inlineStr">
        <is>
          <t>1 m Saluran U-Ditch 180x180x120 cm dengan lantai kerja fc 10 Mpa</t>
        </is>
      </c>
      <c r="D2213" s="3" t="inlineStr">
        <is>
          <t>m'</t>
        </is>
      </c>
      <c r="E2213" s="4" t="n">
        <v>1761896</v>
      </c>
    </row>
    <row r="2214">
      <c r="A2214" s="3" t="n">
        <v>2212</v>
      </c>
      <c r="B2214" s="3" t="inlineStr">
        <is>
          <t>8.1.1.26</t>
        </is>
      </c>
      <c r="C2214" s="3" t="inlineStr">
        <is>
          <t>1 m Saluran U-Ditch 180x200x120 cm dengan lantai kerja fc 10 Mpa</t>
        </is>
      </c>
      <c r="D2214" s="3" t="inlineStr">
        <is>
          <t>m'</t>
        </is>
      </c>
      <c r="E2214" s="4" t="n">
        <v>1798360</v>
      </c>
    </row>
    <row r="2215">
      <c r="A2215" s="3" t="n">
        <v>2213</v>
      </c>
      <c r="B2215" s="3" t="inlineStr">
        <is>
          <t>8.1.1.27</t>
        </is>
      </c>
      <c r="C2215" s="3" t="inlineStr">
        <is>
          <t>1 m Saluran U-Ditch 200x200x120 cm dengan lantai kerja fc 10 Mpa</t>
        </is>
      </c>
      <c r="D2215" s="3" t="inlineStr">
        <is>
          <t>m'</t>
        </is>
      </c>
      <c r="E2215" s="4" t="n">
        <v>1970532</v>
      </c>
    </row>
    <row r="2216">
      <c r="A2216" s="3" t="n">
        <v>2214</v>
      </c>
      <c r="B2216" s="3" t="inlineStr">
        <is>
          <t>8.1.2.1</t>
        </is>
      </c>
      <c r="C2216" s="3" t="inlineStr">
        <is>
          <t>1 m Saluran U-Ditch 30x30x120 cm dengan lantai kerja fc 7,5 Mpa</t>
        </is>
      </c>
      <c r="D2216" s="3" t="inlineStr">
        <is>
          <t>m'</t>
        </is>
      </c>
      <c r="E2216" s="4" t="n">
        <v>437081</v>
      </c>
    </row>
    <row r="2217">
      <c r="A2217" s="3" t="n">
        <v>2215</v>
      </c>
      <c r="B2217" s="3" t="inlineStr">
        <is>
          <t>8.1.2.2</t>
        </is>
      </c>
      <c r="C2217" s="3" t="inlineStr">
        <is>
          <t>1 m Saluran U-Ditch 30x40x120 cm dengan lantai kerja fc 7,5 Mpa</t>
        </is>
      </c>
      <c r="D2217" s="3" t="inlineStr">
        <is>
          <t>m'</t>
        </is>
      </c>
      <c r="E2217" s="4" t="n">
        <v>484490</v>
      </c>
    </row>
    <row r="2218">
      <c r="A2218" s="3" t="n">
        <v>2216</v>
      </c>
      <c r="B2218" s="3" t="inlineStr">
        <is>
          <t>8.1.2.3</t>
        </is>
      </c>
      <c r="C2218" s="3" t="inlineStr">
        <is>
          <t>1 m Saluran U-Ditch 40x40x120 cm dengan lantai kerja fc 7,5 Mpa</t>
        </is>
      </c>
      <c r="D2218" s="3" t="inlineStr">
        <is>
          <t>m'</t>
        </is>
      </c>
      <c r="E2218" s="4" t="n">
        <v>550205</v>
      </c>
    </row>
    <row r="2219">
      <c r="A2219" s="3" t="n">
        <v>2217</v>
      </c>
      <c r="B2219" s="3" t="inlineStr">
        <is>
          <t>8.1.2.4</t>
        </is>
      </c>
      <c r="C2219" s="3" t="inlineStr">
        <is>
          <t>1 m Saluran U-Ditch 40x50x120 cm dengan lantai kerja fc 7,5 Mpa</t>
        </is>
      </c>
      <c r="D2219" s="3" t="inlineStr">
        <is>
          <t>m'</t>
        </is>
      </c>
      <c r="E2219" s="4" t="n">
        <v>588785</v>
      </c>
    </row>
    <row r="2220">
      <c r="A2220" s="3" t="n">
        <v>2218</v>
      </c>
      <c r="B2220" s="3" t="inlineStr">
        <is>
          <t>8.1.2.5</t>
        </is>
      </c>
      <c r="C2220" s="3" t="inlineStr">
        <is>
          <t>1 m Saluran U-Ditch 40x60x120 cm dengan lantai kerja fc 7,5 Mpa</t>
        </is>
      </c>
      <c r="D2220" s="3" t="inlineStr">
        <is>
          <t>m'</t>
        </is>
      </c>
      <c r="E2220" s="4" t="n">
        <v>628469</v>
      </c>
    </row>
    <row r="2221">
      <c r="A2221" s="3" t="n">
        <v>2219</v>
      </c>
      <c r="B2221" s="3" t="inlineStr">
        <is>
          <t>8.1.2.6</t>
        </is>
      </c>
      <c r="C2221" s="3" t="inlineStr">
        <is>
          <t>1 m Saluran U-Ditch 50x50x120 cm dengan lantai kerja fc 7,5 Mpa</t>
        </is>
      </c>
      <c r="D2221" s="3" t="inlineStr">
        <is>
          <t>m'</t>
        </is>
      </c>
      <c r="E2221" s="4" t="n">
        <v>672159</v>
      </c>
    </row>
    <row r="2222">
      <c r="A2222" s="3" t="n">
        <v>2220</v>
      </c>
      <c r="B2222" s="3" t="inlineStr">
        <is>
          <t>8.1.2.7</t>
        </is>
      </c>
      <c r="C2222" s="3" t="inlineStr">
        <is>
          <t>1 m Saluran U-Ditch 50x60x120 cm dengan lantai kerja fc 7,5 Mpa</t>
        </is>
      </c>
      <c r="D2222" s="3" t="inlineStr">
        <is>
          <t>m'</t>
        </is>
      </c>
      <c r="E2222" s="4" t="n">
        <v>794365</v>
      </c>
    </row>
    <row r="2223">
      <c r="A2223" s="3" t="n">
        <v>2221</v>
      </c>
      <c r="B2223" s="3" t="inlineStr">
        <is>
          <t>8.1.2.8</t>
        </is>
      </c>
      <c r="C2223" s="3" t="inlineStr">
        <is>
          <t>1 m Saluran U-Ditch 50x70x120 cm dengan lantai kerja fc 7,5 Mpa</t>
        </is>
      </c>
      <c r="D2223" s="3" t="inlineStr">
        <is>
          <t>m'</t>
        </is>
      </c>
      <c r="E2223" s="4" t="n">
        <v>821899</v>
      </c>
    </row>
    <row r="2224">
      <c r="A2224" s="3" t="n">
        <v>2222</v>
      </c>
      <c r="B2224" s="3" t="inlineStr">
        <is>
          <t>8.1.2.9</t>
        </is>
      </c>
      <c r="C2224" s="3" t="inlineStr">
        <is>
          <t>1 m Saluran U-Ditch 60x60x120 cm dengan lantai kerja fc 7,5 Mpa</t>
        </is>
      </c>
      <c r="D2224" s="3" t="inlineStr">
        <is>
          <t>m'</t>
        </is>
      </c>
      <c r="E2224" s="4" t="n">
        <v>882938</v>
      </c>
    </row>
    <row r="2225">
      <c r="A2225" s="3" t="n">
        <v>2223</v>
      </c>
      <c r="B2225" s="3" t="inlineStr">
        <is>
          <t>8.1.2.10</t>
        </is>
      </c>
      <c r="C2225" s="3" t="inlineStr">
        <is>
          <t>1 m Saluran U-Ditch 60x70x120 cm dengan lantai kerja fc 7,5 Mpa</t>
        </is>
      </c>
      <c r="D2225" s="3" t="inlineStr">
        <is>
          <t>m'</t>
        </is>
      </c>
      <c r="E2225" s="4" t="n">
        <v>901643</v>
      </c>
    </row>
    <row r="2226">
      <c r="A2226" s="3" t="n">
        <v>2224</v>
      </c>
      <c r="B2226" s="3" t="inlineStr">
        <is>
          <t>8.1.2.11</t>
        </is>
      </c>
      <c r="C2226" s="3" t="inlineStr">
        <is>
          <t>1 m Saluran U-Ditch 60x80x120 cm dengan lantai kerja fc 7,5 Mpa</t>
        </is>
      </c>
      <c r="D2226" s="3" t="inlineStr">
        <is>
          <t>m'</t>
        </is>
      </c>
      <c r="E2226" s="4" t="n">
        <v>933639</v>
      </c>
    </row>
    <row r="2227">
      <c r="A2227" s="3" t="n">
        <v>2225</v>
      </c>
      <c r="B2227" s="3" t="inlineStr">
        <is>
          <t>8.1.2.12</t>
        </is>
      </c>
      <c r="C2227" s="3" t="inlineStr">
        <is>
          <t>1 m Saluran U-Ditch 80x60x120 cm dengan lantai kerja fc 7,5 Mpa</t>
        </is>
      </c>
      <c r="D2227" s="3" t="inlineStr">
        <is>
          <t>m'</t>
        </is>
      </c>
      <c r="E2227" s="4" t="n">
        <v>977345</v>
      </c>
    </row>
    <row r="2228">
      <c r="A2228" s="3" t="n">
        <v>2226</v>
      </c>
      <c r="B2228" s="3" t="inlineStr">
        <is>
          <t>8.1.2.13</t>
        </is>
      </c>
      <c r="C2228" s="3" t="inlineStr">
        <is>
          <t>1 m Saluran U-Ditch 80x80x120 cm dengan lantai kerja fc 7,5 Mpa</t>
        </is>
      </c>
      <c r="D2228" s="3" t="inlineStr">
        <is>
          <t>m'</t>
        </is>
      </c>
      <c r="E2228" s="4" t="n">
        <v>1096945</v>
      </c>
    </row>
    <row r="2229">
      <c r="A2229" s="3" t="n">
        <v>2227</v>
      </c>
      <c r="B2229" s="3" t="inlineStr">
        <is>
          <t>8.1.2.14</t>
        </is>
      </c>
      <c r="C2229" s="3" t="inlineStr">
        <is>
          <t>1 m Saluran U-Ditch 80x100x120 cm dengan lantai kerja fc 7,5 Mpa</t>
        </is>
      </c>
      <c r="D2229" s="3" t="inlineStr">
        <is>
          <t>m'</t>
        </is>
      </c>
      <c r="E2229" s="4" t="n">
        <v>1142140</v>
      </c>
    </row>
    <row r="2230">
      <c r="A2230" s="3" t="n">
        <v>2228</v>
      </c>
      <c r="B2230" s="3" t="inlineStr">
        <is>
          <t>8.1.2.15</t>
        </is>
      </c>
      <c r="C2230" s="3" t="inlineStr">
        <is>
          <t>1 m Saluran U-Ditch 100x100x120 cm dengan lantai kerja fc 7,5 Mpa</t>
        </is>
      </c>
      <c r="D2230" s="3" t="inlineStr">
        <is>
          <t>m'</t>
        </is>
      </c>
      <c r="E2230" s="4" t="n">
        <v>1201930</v>
      </c>
    </row>
    <row r="2231">
      <c r="A2231" s="3" t="n">
        <v>2229</v>
      </c>
      <c r="B2231" s="3" t="inlineStr">
        <is>
          <t>8.1.2.16</t>
        </is>
      </c>
      <c r="C2231" s="3" t="inlineStr">
        <is>
          <t>1 m Saluran U-Ditch 100x120x120 cm dengan lantai kerja fc 7,5 Mpa</t>
        </is>
      </c>
      <c r="D2231" s="3" t="inlineStr">
        <is>
          <t>m'</t>
        </is>
      </c>
      <c r="E2231" s="4" t="n">
        <v>1230797</v>
      </c>
    </row>
    <row r="2232">
      <c r="A2232" s="3" t="n">
        <v>2230</v>
      </c>
      <c r="B2232" s="3" t="inlineStr">
        <is>
          <t>8.1.2.17</t>
        </is>
      </c>
      <c r="C2232" s="3" t="inlineStr">
        <is>
          <t>1 m Saluran U-Ditch 120x120x120 cm dengan lantai kerja fc 7,5 Mpa</t>
        </is>
      </c>
      <c r="D2232" s="3" t="inlineStr">
        <is>
          <t>m'</t>
        </is>
      </c>
      <c r="E2232" s="4" t="n">
        <v>1347018</v>
      </c>
    </row>
    <row r="2233">
      <c r="A2233" s="3" t="n">
        <v>2231</v>
      </c>
      <c r="B2233" s="3" t="inlineStr">
        <is>
          <t>8.1.2.18</t>
        </is>
      </c>
      <c r="C2233" s="3" t="inlineStr">
        <is>
          <t>1 m Saluran U-Ditch 120x140x120 cm dengan lantai kerja fc 7,5 Mpa</t>
        </is>
      </c>
      <c r="D2233" s="3" t="inlineStr">
        <is>
          <t>m'</t>
        </is>
      </c>
      <c r="E2233" s="4" t="n">
        <v>1378069</v>
      </c>
    </row>
    <row r="2234">
      <c r="A2234" s="3" t="n">
        <v>2232</v>
      </c>
      <c r="B2234" s="3" t="inlineStr">
        <is>
          <t>8.1.2.19</t>
        </is>
      </c>
      <c r="C2234" s="3" t="inlineStr">
        <is>
          <t>1 m Saluran U-Ditch 140x140x120 cm dengan lantai kerja fc 7,5 Mpa</t>
        </is>
      </c>
      <c r="D2234" s="3" t="inlineStr">
        <is>
          <t>m'</t>
        </is>
      </c>
      <c r="E2234" s="4" t="n">
        <v>1515621</v>
      </c>
    </row>
    <row r="2235">
      <c r="A2235" s="3" t="n">
        <v>2233</v>
      </c>
      <c r="B2235" s="3" t="inlineStr">
        <is>
          <t>8.1.2.20</t>
        </is>
      </c>
      <c r="C2235" s="3" t="inlineStr">
        <is>
          <t>1 m Saluran U-Ditch 150x100x120 cm dengan lantai kerja fc 7,5 Mpa</t>
        </is>
      </c>
      <c r="D2235" s="3" t="inlineStr">
        <is>
          <t>m'</t>
        </is>
      </c>
      <c r="E2235" s="4" t="n">
        <v>1462820</v>
      </c>
    </row>
    <row r="2236">
      <c r="A2236" s="3" t="n">
        <v>2234</v>
      </c>
      <c r="B2236" s="3" t="inlineStr">
        <is>
          <t>8.1.2.21</t>
        </is>
      </c>
      <c r="C2236" s="3" t="inlineStr">
        <is>
          <t>1 m Saluran U-Ditch 150x150x120 cm dengan lantai kerja fc 7,5 Mpa</t>
        </is>
      </c>
      <c r="D2236" s="3" t="inlineStr">
        <is>
          <t>m'</t>
        </is>
      </c>
      <c r="E2236" s="4" t="n">
        <v>1573884</v>
      </c>
    </row>
    <row r="2237">
      <c r="A2237" s="3" t="n">
        <v>2235</v>
      </c>
      <c r="B2237" s="3" t="inlineStr">
        <is>
          <t>8.1.2.22</t>
        </is>
      </c>
      <c r="C2237" s="3" t="inlineStr">
        <is>
          <t>1 m Saluran U-Ditch 150x170x120 cm dengan lantai kerja fc 7,5 Mpa</t>
        </is>
      </c>
      <c r="D2237" s="3" t="inlineStr">
        <is>
          <t>m'</t>
        </is>
      </c>
      <c r="E2237" s="4" t="n">
        <v>1594247</v>
      </c>
    </row>
    <row r="2238">
      <c r="A2238" s="3" t="n">
        <v>2236</v>
      </c>
      <c r="B2238" s="3" t="inlineStr">
        <is>
          <t>8.1.2.23</t>
        </is>
      </c>
      <c r="C2238" s="3" t="inlineStr">
        <is>
          <t>1 m Saluran U-Ditch 160x160x120 cm dengan lantai kerja fc 7,5 Mpa</t>
        </is>
      </c>
      <c r="D2238" s="3" t="inlineStr">
        <is>
          <t>m'</t>
        </is>
      </c>
      <c r="E2238" s="4" t="n">
        <v>1638395</v>
      </c>
    </row>
    <row r="2239">
      <c r="A2239" s="3" t="n">
        <v>2237</v>
      </c>
      <c r="B2239" s="3" t="inlineStr">
        <is>
          <t>8.1.2.24</t>
        </is>
      </c>
      <c r="C2239" s="3" t="inlineStr">
        <is>
          <t>1 m Saluran U-Ditch 160x180x120 cm dengan lantai kerja fc 7,5 Mpa</t>
        </is>
      </c>
      <c r="D2239" s="3" t="inlineStr">
        <is>
          <t>m'</t>
        </is>
      </c>
      <c r="E2239" s="4" t="n">
        <v>1675013</v>
      </c>
    </row>
    <row r="2240">
      <c r="A2240" s="3" t="n">
        <v>2238</v>
      </c>
      <c r="B2240" s="3" t="inlineStr">
        <is>
          <t>8.1.2.25</t>
        </is>
      </c>
      <c r="C2240" s="3" t="inlineStr">
        <is>
          <t>1 m Saluran U-Ditch 180x180x120 cm dengan lantai kerja fc 7,5 Mpa</t>
        </is>
      </c>
      <c r="D2240" s="3" t="inlineStr">
        <is>
          <t>m'</t>
        </is>
      </c>
      <c r="E2240" s="4" t="n">
        <v>1723781</v>
      </c>
    </row>
    <row r="2241">
      <c r="A2241" s="3" t="n">
        <v>2239</v>
      </c>
      <c r="B2241" s="3" t="inlineStr">
        <is>
          <t>8.1.2.26</t>
        </is>
      </c>
      <c r="C2241" s="3" t="inlineStr">
        <is>
          <t>1 m Saluran U-Ditch 180x200x120 cm dengan lantai kerja fc 7,5 Mpa</t>
        </is>
      </c>
      <c r="D2241" s="3" t="inlineStr">
        <is>
          <t>m'</t>
        </is>
      </c>
      <c r="E2241" s="4" t="n">
        <v>1760245</v>
      </c>
    </row>
    <row r="2242">
      <c r="A2242" s="3" t="n">
        <v>2240</v>
      </c>
      <c r="B2242" s="3" t="inlineStr">
        <is>
          <t>8.1.2.27</t>
        </is>
      </c>
      <c r="C2242" s="3" t="inlineStr">
        <is>
          <t>1 m Saluran U-Ditch 200x200x120 cm dengan lantai kerja fc 7,5 Mpa</t>
        </is>
      </c>
      <c r="D2242" s="3" t="inlineStr">
        <is>
          <t>m'</t>
        </is>
      </c>
      <c r="E2242" s="4" t="n">
        <v>1912089</v>
      </c>
    </row>
    <row r="2243">
      <c r="A2243" s="3" t="n">
        <v>2241</v>
      </c>
      <c r="B2243" s="3" t="inlineStr">
        <is>
          <t>8.1.3.1</t>
        </is>
      </c>
      <c r="C2243" s="3" t="inlineStr">
        <is>
          <t>1 m' Tutup U-Ditch 39x60x6 (Tipe LD) untuk 30x30x120 cm</t>
        </is>
      </c>
      <c r="D2243" s="3" t="inlineStr">
        <is>
          <t>m'</t>
        </is>
      </c>
      <c r="E2243" s="4" t="n">
        <v>138353</v>
      </c>
    </row>
    <row r="2244">
      <c r="A2244" s="3" t="n">
        <v>2242</v>
      </c>
      <c r="B2244" s="3" t="inlineStr">
        <is>
          <t>8.1.3.2</t>
        </is>
      </c>
      <c r="C2244" s="3" t="inlineStr">
        <is>
          <t>1 m' Tutup U-Ditch 51x60x7 (Tipe LD) untuk 40x40x120 cm</t>
        </is>
      </c>
      <c r="D2244" s="3" t="inlineStr">
        <is>
          <t>m'</t>
        </is>
      </c>
      <c r="E2244" s="4" t="n">
        <v>199283</v>
      </c>
    </row>
    <row r="2245">
      <c r="A2245" s="3" t="n">
        <v>2243</v>
      </c>
      <c r="B2245" s="3" t="inlineStr">
        <is>
          <t>8.1.3.3</t>
        </is>
      </c>
      <c r="C2245" s="3" t="inlineStr">
        <is>
          <t>1 m' Tutup U-Ditch 62x60x7,5 (Tipe LD) untuk 50x50x120 cm</t>
        </is>
      </c>
      <c r="D2245" s="3" t="inlineStr">
        <is>
          <t>m'</t>
        </is>
      </c>
      <c r="E2245" s="4" t="n">
        <v>246712</v>
      </c>
    </row>
    <row r="2246">
      <c r="A2246" s="3" t="n">
        <v>2244</v>
      </c>
      <c r="B2246" s="3" t="inlineStr">
        <is>
          <t>8.1.3.4</t>
        </is>
      </c>
      <c r="C2246" s="3" t="inlineStr">
        <is>
          <t>1 m' Tutup U-Ditch 73x60x8 (Tipe LD) untuk 60x60x120 cm</t>
        </is>
      </c>
      <c r="D2246" s="3" t="inlineStr">
        <is>
          <t>m'</t>
        </is>
      </c>
      <c r="E2246" s="4" t="n">
        <v>323232</v>
      </c>
    </row>
    <row r="2247">
      <c r="A2247" s="3" t="n">
        <v>2245</v>
      </c>
      <c r="B2247" s="3" t="inlineStr">
        <is>
          <t>8.1.3.5</t>
        </is>
      </c>
      <c r="C2247" s="3" t="inlineStr">
        <is>
          <t>1 m' Tutup U-Ditch 94x60x8 (Tipe LD) untuk 80x80x120 cm</t>
        </is>
      </c>
      <c r="D2247" s="3" t="inlineStr">
        <is>
          <t>m'</t>
        </is>
      </c>
      <c r="E2247" s="4" t="n">
        <v>377757</v>
      </c>
    </row>
    <row r="2248">
      <c r="A2248" s="3" t="n">
        <v>2246</v>
      </c>
      <c r="B2248" s="3" t="inlineStr">
        <is>
          <t>8.1.3.6</t>
        </is>
      </c>
      <c r="C2248" s="3" t="inlineStr">
        <is>
          <t>1 m' Tutup U-Ditch 39x60x9 (Tipe HD) untuk 30x30x120 cm</t>
        </is>
      </c>
      <c r="D2248" s="3" t="inlineStr">
        <is>
          <t>m'</t>
        </is>
      </c>
      <c r="E2248" s="4" t="n">
        <v>243511</v>
      </c>
    </row>
    <row r="2249">
      <c r="A2249" s="3" t="n">
        <v>2247</v>
      </c>
      <c r="B2249" s="3" t="inlineStr">
        <is>
          <t>8.1.3.7</t>
        </is>
      </c>
      <c r="C2249" s="3" t="inlineStr">
        <is>
          <t>1 m' Tutup U-Ditch 51x60x10 (Tipe HD) untuk 40x40x120 cm</t>
        </is>
      </c>
      <c r="D2249" s="3" t="inlineStr">
        <is>
          <t>m'</t>
        </is>
      </c>
      <c r="E2249" s="4" t="n">
        <v>341793</v>
      </c>
    </row>
    <row r="2250">
      <c r="A2250" s="3" t="n">
        <v>2248</v>
      </c>
      <c r="B2250" s="3" t="inlineStr">
        <is>
          <t>8.1.3.8</t>
        </is>
      </c>
      <c r="C2250" s="3" t="inlineStr">
        <is>
          <t>1 m' Tutup U-Ditch 62x60x13 (Tipe HD) untuk 50x50x120 cm</t>
        </is>
      </c>
      <c r="D2250" s="3" t="inlineStr">
        <is>
          <t>m'</t>
        </is>
      </c>
      <c r="E2250" s="4" t="n">
        <v>375555</v>
      </c>
    </row>
    <row r="2251">
      <c r="A2251" s="3" t="n">
        <v>2249</v>
      </c>
      <c r="B2251" s="3" t="inlineStr">
        <is>
          <t>8.1.3.9</t>
        </is>
      </c>
      <c r="C2251" s="3" t="inlineStr">
        <is>
          <t>1 m' Tutup U-Ditch 73x60x14 (Tipe HD) untuk 60x60x120 cm</t>
        </is>
      </c>
      <c r="D2251" s="3" t="inlineStr">
        <is>
          <t>m'</t>
        </is>
      </c>
      <c r="E2251" s="4" t="n">
        <v>490032</v>
      </c>
    </row>
    <row r="2252">
      <c r="A2252" s="3" t="n">
        <v>2250</v>
      </c>
      <c r="B2252" s="3" t="inlineStr">
        <is>
          <t>8.1.3.10</t>
        </is>
      </c>
      <c r="C2252" s="3" t="inlineStr">
        <is>
          <t>1 m' Tutup U-Ditch 94x60x15 (Tipe HD) untuk 80x80x120 cm</t>
        </is>
      </c>
      <c r="D2252" s="3" t="inlineStr">
        <is>
          <t>m'</t>
        </is>
      </c>
      <c r="E2252" s="4" t="n">
        <v>755268</v>
      </c>
    </row>
    <row r="2253">
      <c r="A2253" s="3" t="n">
        <v>2251</v>
      </c>
      <c r="B2253" s="3" t="inlineStr">
        <is>
          <t>8.1.3.11</t>
        </is>
      </c>
      <c r="C2253" s="3" t="inlineStr">
        <is>
          <t>1 m' Grill Penutup Saluran, Besi Siku+Plat Strip</t>
        </is>
      </c>
      <c r="D2253" s="3" t="inlineStr">
        <is>
          <t>m'</t>
        </is>
      </c>
      <c r="E2253" s="4" t="n">
        <v>268785</v>
      </c>
    </row>
    <row r="2254">
      <c r="A2254" s="3" t="n">
        <v>2252</v>
      </c>
      <c r="B2254" s="3" t="inlineStr">
        <is>
          <t>8.2.1</t>
        </is>
      </c>
      <c r="C2254" s="3" t="inlineStr">
        <is>
          <t>1 m' Buis Beton 1/2 D 30-100 cm</t>
        </is>
      </c>
      <c r="D2254" s="3" t="inlineStr">
        <is>
          <t>m'</t>
        </is>
      </c>
      <c r="E2254" s="4" t="n">
        <v>124192</v>
      </c>
    </row>
    <row r="2255">
      <c r="A2255" s="3" t="n">
        <v>2253</v>
      </c>
      <c r="B2255" s="3" t="inlineStr">
        <is>
          <t>8.2.2</t>
        </is>
      </c>
      <c r="C2255" s="3" t="inlineStr">
        <is>
          <t>1 m' Buis Beton 1/2 D 40-100 cm</t>
        </is>
      </c>
      <c r="D2255" s="3" t="inlineStr">
        <is>
          <t>m'</t>
        </is>
      </c>
      <c r="E2255" s="4" t="n">
        <v>151919</v>
      </c>
    </row>
    <row r="2256">
      <c r="A2256" s="3" t="n">
        <v>2254</v>
      </c>
      <c r="B2256" s="3" t="inlineStr">
        <is>
          <t>8.2.3</t>
        </is>
      </c>
      <c r="C2256" s="3" t="inlineStr">
        <is>
          <t>1 m' Buis Beton 1/2 D 50-100 cm</t>
        </is>
      </c>
      <c r="D2256" s="3" t="inlineStr">
        <is>
          <t>m'</t>
        </is>
      </c>
      <c r="E2256" s="4" t="n">
        <v>162309</v>
      </c>
    </row>
    <row r="2257">
      <c r="A2257" s="3" t="n">
        <v>2255</v>
      </c>
      <c r="B2257" s="3" t="inlineStr">
        <is>
          <t>8.2.4</t>
        </is>
      </c>
      <c r="C2257" s="3" t="inlineStr">
        <is>
          <t>1 m' Buis Beton 1/2 D 60-100 cm</t>
        </is>
      </c>
      <c r="D2257" s="3" t="inlineStr">
        <is>
          <t>m'</t>
        </is>
      </c>
      <c r="E2257" s="4" t="n">
        <v>210202</v>
      </c>
    </row>
    <row r="2258">
      <c r="A2258" s="3" t="n">
        <v>2256</v>
      </c>
      <c r="B2258" s="3" t="inlineStr">
        <is>
          <t>8.2.5</t>
        </is>
      </c>
      <c r="C2258" s="3" t="inlineStr">
        <is>
          <t>1 m' Buis Beton 1/2 D 80-100 cm</t>
        </is>
      </c>
      <c r="D2258" s="3" t="inlineStr">
        <is>
          <t>m'</t>
        </is>
      </c>
      <c r="E2258" s="4" t="n">
        <v>432014</v>
      </c>
    </row>
    <row r="2259">
      <c r="A2259" s="3" t="n">
        <v>2257</v>
      </c>
      <c r="B2259" s="3" t="inlineStr">
        <is>
          <t>8.2.6</t>
        </is>
      </c>
      <c r="C2259" s="3" t="inlineStr">
        <is>
          <t>1 m' Buis Beton 1/2 D 100-100 cm</t>
        </is>
      </c>
      <c r="D2259" s="3" t="inlineStr">
        <is>
          <t>m'</t>
        </is>
      </c>
      <c r="E2259" s="4" t="n">
        <v>540611</v>
      </c>
    </row>
    <row r="2260">
      <c r="A2260" s="3" t="n">
        <v>2258</v>
      </c>
      <c r="B2260" s="3" t="inlineStr">
        <is>
          <t>8.2.7</t>
        </is>
      </c>
      <c r="C2260" s="3" t="inlineStr">
        <is>
          <t>1 m' Buis Beton  D 30-100 cm</t>
        </is>
      </c>
      <c r="D2260" s="3" t="inlineStr">
        <is>
          <t>m'</t>
        </is>
      </c>
      <c r="E2260" s="4" t="n">
        <v>117369</v>
      </c>
    </row>
    <row r="2261">
      <c r="A2261" s="3" t="n">
        <v>2259</v>
      </c>
      <c r="B2261" s="3" t="inlineStr">
        <is>
          <t>8.2.8</t>
        </is>
      </c>
      <c r="C2261" s="3" t="inlineStr">
        <is>
          <t>1 m' Buis Beton D 40-100 cm</t>
        </is>
      </c>
      <c r="D2261" s="3" t="inlineStr">
        <is>
          <t>m'</t>
        </is>
      </c>
      <c r="E2261" s="4" t="n">
        <v>200806</v>
      </c>
    </row>
    <row r="2262">
      <c r="A2262" s="3" t="n">
        <v>2260</v>
      </c>
      <c r="B2262" s="3" t="inlineStr">
        <is>
          <t>8.2.9</t>
        </is>
      </c>
      <c r="C2262" s="3" t="inlineStr">
        <is>
          <t>1 m' Buis Beton D 50-100 cm</t>
        </is>
      </c>
      <c r="D2262" s="3" t="inlineStr">
        <is>
          <t>m'</t>
        </is>
      </c>
      <c r="E2262" s="4" t="n">
        <v>222806</v>
      </c>
    </row>
    <row r="2263">
      <c r="A2263" s="3" t="n">
        <v>2261</v>
      </c>
      <c r="B2263" s="3" t="inlineStr">
        <is>
          <t>8.2.10</t>
        </is>
      </c>
      <c r="C2263" s="3" t="inlineStr">
        <is>
          <t>1 m' Buis Beton D 60-100 cm</t>
        </is>
      </c>
      <c r="D2263" s="3" t="inlineStr">
        <is>
          <t>m'</t>
        </is>
      </c>
      <c r="E2263" s="4" t="n">
        <v>379631</v>
      </c>
    </row>
    <row r="2264">
      <c r="A2264" s="3" t="n">
        <v>2262</v>
      </c>
      <c r="B2264" s="3" t="inlineStr">
        <is>
          <t>8.2.11</t>
        </is>
      </c>
      <c r="C2264" s="3" t="inlineStr">
        <is>
          <t>1 m' Buis Beton D 80-100 cm</t>
        </is>
      </c>
      <c r="D2264" s="3" t="inlineStr">
        <is>
          <t>m'</t>
        </is>
      </c>
      <c r="E2264" s="4" t="n">
        <v>696858</v>
      </c>
    </row>
    <row r="2265">
      <c r="A2265" s="3" t="n">
        <v>2263</v>
      </c>
      <c r="B2265" s="3" t="inlineStr">
        <is>
          <t>8.2.12</t>
        </is>
      </c>
      <c r="C2265" s="3" t="inlineStr">
        <is>
          <t>1 m' Buis Beton D 100-100 cm</t>
        </is>
      </c>
      <c r="D2265" s="3" t="inlineStr">
        <is>
          <t>m'</t>
        </is>
      </c>
      <c r="E2265" s="4" t="n">
        <v>750885</v>
      </c>
    </row>
    <row r="2266">
      <c r="A2266" s="3" t="n">
        <v>2264</v>
      </c>
      <c r="B2266" s="3" t="inlineStr">
        <is>
          <t>8.3.1.1</t>
        </is>
      </c>
      <c r="C2266" s="3" t="inlineStr">
        <is>
          <t>1 m' Box Culvert 40x40x100 dengan lantai kerja fc 10 Mpa</t>
        </is>
      </c>
      <c r="D2266" s="3" t="inlineStr">
        <is>
          <t>m'</t>
        </is>
      </c>
      <c r="E2266" s="4" t="n">
        <v>1216485</v>
      </c>
    </row>
    <row r="2267">
      <c r="A2267" s="3" t="n">
        <v>2265</v>
      </c>
      <c r="B2267" s="3" t="inlineStr">
        <is>
          <t>8.3.1.2</t>
        </is>
      </c>
      <c r="C2267" s="3" t="inlineStr">
        <is>
          <t>1 m' Box Culvert 50x50x100 dengan lantai kerja fc 10 Mpa</t>
        </is>
      </c>
      <c r="D2267" s="3" t="inlineStr">
        <is>
          <t>m'</t>
        </is>
      </c>
      <c r="E2267" s="4" t="n">
        <v>1773008</v>
      </c>
    </row>
    <row r="2268">
      <c r="A2268" s="3" t="n">
        <v>2266</v>
      </c>
      <c r="B2268" s="3" t="inlineStr">
        <is>
          <t>8.3.1.3</t>
        </is>
      </c>
      <c r="C2268" s="3" t="inlineStr">
        <is>
          <t>1 m' Box Culvert 60x60x100 dengan lantai kerja fc 10 Mpa</t>
        </is>
      </c>
      <c r="D2268" s="3" t="inlineStr">
        <is>
          <t>m'</t>
        </is>
      </c>
      <c r="E2268" s="4" t="n">
        <v>2248234</v>
      </c>
    </row>
    <row r="2269">
      <c r="A2269" s="3" t="n">
        <v>2267</v>
      </c>
      <c r="B2269" s="3" t="inlineStr">
        <is>
          <t>8.3.1.4</t>
        </is>
      </c>
      <c r="C2269" s="3" t="inlineStr">
        <is>
          <t>1 m' Box Culvert 80x80x100 dengan lantai kerja fc 10 Mpa</t>
        </is>
      </c>
      <c r="D2269" s="3" t="inlineStr">
        <is>
          <t>m'</t>
        </is>
      </c>
      <c r="E2269" s="4" t="n">
        <v>3615744</v>
      </c>
    </row>
    <row r="2270">
      <c r="A2270" s="3" t="n">
        <v>2268</v>
      </c>
      <c r="B2270" s="3" t="inlineStr">
        <is>
          <t>8.3.1.5</t>
        </is>
      </c>
      <c r="C2270" s="3" t="inlineStr">
        <is>
          <t>1 m' Box Culvert 100x100x100 dengan lantai kerja fc 10 Mpa</t>
        </is>
      </c>
      <c r="D2270" s="3" t="inlineStr">
        <is>
          <t>m'</t>
        </is>
      </c>
      <c r="E2270" s="4" t="n">
        <v>4452025</v>
      </c>
    </row>
    <row r="2271">
      <c r="A2271" s="3" t="n">
        <v>2269</v>
      </c>
      <c r="B2271" s="3" t="inlineStr">
        <is>
          <t>8.3.1. 6</t>
        </is>
      </c>
      <c r="C2271" s="3" t="inlineStr">
        <is>
          <t>1 m' Box Culvert 150x150x100 dengan lantai kerja fc 10 Mpa</t>
        </is>
      </c>
      <c r="D2271" s="3" t="inlineStr">
        <is>
          <t>m'</t>
        </is>
      </c>
      <c r="E2271" s="4" t="n">
        <v>5209175</v>
      </c>
    </row>
    <row r="2272">
      <c r="A2272" s="3" t="n">
        <v>2270</v>
      </c>
      <c r="B2272" s="3" t="inlineStr">
        <is>
          <t>8.3.1.7</t>
        </is>
      </c>
      <c r="C2272" s="3" t="inlineStr">
        <is>
          <t>1 m' Box Culvert 200x200x100 dengan lantai kerja fc 10 Mpa</t>
        </is>
      </c>
      <c r="D2272" s="3" t="inlineStr">
        <is>
          <t>m'</t>
        </is>
      </c>
      <c r="E2272" s="4" t="n">
        <v>6010388</v>
      </c>
    </row>
    <row r="2273">
      <c r="A2273" s="3" t="n">
        <v>2271</v>
      </c>
      <c r="B2273" s="3" t="inlineStr">
        <is>
          <t>8.3.1. 8</t>
        </is>
      </c>
      <c r="C2273" s="3" t="inlineStr">
        <is>
          <t>1 m' Box Culvert 300x300x100 dengan lantai kerja fc 10 Mpa</t>
        </is>
      </c>
      <c r="D2273" s="3" t="inlineStr">
        <is>
          <t>m'</t>
        </is>
      </c>
      <c r="E2273" s="4" t="n">
        <v>7019480</v>
      </c>
    </row>
    <row r="2274">
      <c r="A2274" s="3" t="n">
        <v>2272</v>
      </c>
      <c r="B2274" s="3" t="inlineStr">
        <is>
          <t>8.3.2</t>
        </is>
      </c>
      <c r="C2274" s="3" t="inlineStr">
        <is>
          <t>Saluran Box Culvert dengan lantai kerja 7,5 Mpa</t>
        </is>
      </c>
      <c r="D2274" s="3" t="n">
        <v/>
      </c>
      <c r="E2274" s="4" t="n">
        <v>0</v>
      </c>
    </row>
    <row r="2275">
      <c r="A2275" s="3" t="n">
        <v>2273</v>
      </c>
      <c r="B2275" s="3" t="inlineStr">
        <is>
          <t>8.3.2.1</t>
        </is>
      </c>
      <c r="C2275" s="3" t="inlineStr">
        <is>
          <t>1 m' Box Culvert 40x40x100 dengan lantai kerja fc 7,5 Mpa</t>
        </is>
      </c>
      <c r="D2275" s="3" t="inlineStr">
        <is>
          <t>m'</t>
        </is>
      </c>
      <c r="E2275" s="4" t="n">
        <v>1435394</v>
      </c>
    </row>
    <row r="2276">
      <c r="A2276" s="3" t="n">
        <v>2274</v>
      </c>
      <c r="B2276" s="3" t="inlineStr">
        <is>
          <t>8.3.2.2</t>
        </is>
      </c>
      <c r="C2276" s="3" t="inlineStr">
        <is>
          <t>1 m' Box Culvert 50x50x100 dengan lantai kerja fc 7,5 Mpa</t>
        </is>
      </c>
      <c r="D2276" s="3" t="inlineStr">
        <is>
          <t>m'</t>
        </is>
      </c>
      <c r="E2276" s="4" t="n">
        <v>1758609</v>
      </c>
    </row>
    <row r="2277">
      <c r="A2277" s="3" t="n">
        <v>2275</v>
      </c>
      <c r="B2277" s="3" t="inlineStr">
        <is>
          <t>8.3.2.3</t>
        </is>
      </c>
      <c r="C2277" s="3" t="inlineStr">
        <is>
          <t>1 m' Box Culvert 60x60x100 dengan lantai kerja fc 7,5 Mpa</t>
        </is>
      </c>
      <c r="D2277" s="3" t="inlineStr">
        <is>
          <t>m'</t>
        </is>
      </c>
      <c r="E2277" s="4" t="n">
        <v>1807964</v>
      </c>
    </row>
    <row r="2278">
      <c r="A2278" s="3" t="n">
        <v>2276</v>
      </c>
      <c r="B2278" s="3" t="inlineStr">
        <is>
          <t>8.3.2.4</t>
        </is>
      </c>
      <c r="C2278" s="3" t="inlineStr">
        <is>
          <t>1 m' Box Culvert 80x80x100 dengan lantai kerja fc 7,5 Mpa</t>
        </is>
      </c>
      <c r="D2278" s="3" t="inlineStr">
        <is>
          <t>m'</t>
        </is>
      </c>
      <c r="E2278" s="4" t="n">
        <v>3594569</v>
      </c>
    </row>
    <row r="2279">
      <c r="A2279" s="3" t="n">
        <v>2277</v>
      </c>
      <c r="B2279" s="3" t="inlineStr">
        <is>
          <t>8.3.2.5</t>
        </is>
      </c>
      <c r="C2279" s="3" t="inlineStr">
        <is>
          <t>1 m' Box Culvert 100x100x100 dengan lantai kerja fc 7,5 Mpa</t>
        </is>
      </c>
      <c r="D2279" s="3" t="inlineStr">
        <is>
          <t>m'</t>
        </is>
      </c>
      <c r="E2279" s="4" t="n">
        <v>4427462</v>
      </c>
    </row>
    <row r="2280">
      <c r="A2280" s="3" t="n">
        <v>2278</v>
      </c>
      <c r="B2280" s="3" t="inlineStr">
        <is>
          <t>8.3.2.6</t>
        </is>
      </c>
      <c r="C2280" s="3" t="inlineStr">
        <is>
          <t>1 m' Box Culvert 150x150x100 dengan lantai kerja fc 7,5 Mpa</t>
        </is>
      </c>
      <c r="D2280" s="3" t="inlineStr">
        <is>
          <t>m'</t>
        </is>
      </c>
      <c r="E2280" s="4" t="n">
        <v>5175125</v>
      </c>
    </row>
    <row r="2281">
      <c r="A2281" s="3" t="n">
        <v>2279</v>
      </c>
      <c r="B2281" s="3" t="inlineStr">
        <is>
          <t>8.3.2.7</t>
        </is>
      </c>
      <c r="C2281" s="3" t="inlineStr">
        <is>
          <t>1 m' Box Culvert 200x200x100 dengan lantai kerja fc 7,5 Mpa</t>
        </is>
      </c>
      <c r="D2281" s="3" t="inlineStr">
        <is>
          <t>m'</t>
        </is>
      </c>
      <c r="E2281" s="4" t="n">
        <v>5967191</v>
      </c>
    </row>
    <row r="2282">
      <c r="A2282" s="3" t="n">
        <v>2280</v>
      </c>
      <c r="B2282" s="3" t="inlineStr">
        <is>
          <t>8.3.2.8</t>
        </is>
      </c>
      <c r="C2282" s="3" t="inlineStr">
        <is>
          <t>1 m' Box Culvert 300x300x100 dengan lantai kerja fc 7,5 Mpa</t>
        </is>
      </c>
      <c r="D2282" s="3" t="inlineStr">
        <is>
          <t>m'</t>
        </is>
      </c>
      <c r="E2282" s="4" t="n">
        <v>6955955</v>
      </c>
    </row>
    <row r="2283">
      <c r="A2283" s="3" t="n">
        <v>2281</v>
      </c>
      <c r="B2283" s="3" t="inlineStr">
        <is>
          <t>9.1.1.1</t>
        </is>
      </c>
      <c r="C2283" s="3" t="inlineStr">
        <is>
          <t>Pemasangan 1 m Pipa PVC, DN. 2-1/2" (65 mm)</t>
        </is>
      </c>
      <c r="D2283" s="3" t="inlineStr">
        <is>
          <t>m</t>
        </is>
      </c>
      <c r="E2283" s="4" t="n">
        <v>33709</v>
      </c>
    </row>
    <row r="2284">
      <c r="A2284" s="3" t="n">
        <v>2282</v>
      </c>
      <c r="B2284" s="3" t="inlineStr">
        <is>
          <t>9.1.1.2</t>
        </is>
      </c>
      <c r="C2284" s="3" t="inlineStr">
        <is>
          <t>Pemasangan 1 m Pipa PVC, DN. 3" (80 mm)</t>
        </is>
      </c>
      <c r="D2284" s="3" t="inlineStr">
        <is>
          <t>m</t>
        </is>
      </c>
      <c r="E2284" s="4" t="n">
        <v>51716</v>
      </c>
    </row>
    <row r="2285">
      <c r="A2285" s="3" t="n">
        <v>2283</v>
      </c>
      <c r="B2285" s="3" t="inlineStr">
        <is>
          <t>9.1.1.3</t>
        </is>
      </c>
      <c r="C2285" s="3" t="inlineStr">
        <is>
          <t>Pemasangan 1 m Pipa PVC, DN. 4" (100 mm)</t>
        </is>
      </c>
      <c r="D2285" s="3" t="inlineStr">
        <is>
          <t>m</t>
        </is>
      </c>
      <c r="E2285" s="4" t="n">
        <v>66423</v>
      </c>
    </row>
    <row r="2286">
      <c r="A2286" s="3" t="n">
        <v>2284</v>
      </c>
      <c r="B2286" s="3" t="inlineStr">
        <is>
          <t>9.1.1.4</t>
        </is>
      </c>
      <c r="C2286" s="3" t="inlineStr">
        <is>
          <t>Pemasangan 1 m Pipa PVC, DN. 6" (150 mm)</t>
        </is>
      </c>
      <c r="D2286" s="3" t="inlineStr">
        <is>
          <t>m</t>
        </is>
      </c>
      <c r="E2286" s="4" t="n">
        <v>95430</v>
      </c>
    </row>
    <row r="2287">
      <c r="A2287" s="3" t="n">
        <v>2285</v>
      </c>
      <c r="B2287" s="3" t="inlineStr">
        <is>
          <t>9.1.1.5</t>
        </is>
      </c>
      <c r="C2287" s="3" t="inlineStr">
        <is>
          <t>Pemasangan 1 m Pipa PVC, DN. 8" (200 mm)</t>
        </is>
      </c>
      <c r="D2287" s="3" t="inlineStr">
        <is>
          <t>m</t>
        </is>
      </c>
      <c r="E2287" s="4" t="n">
        <v>194122</v>
      </c>
    </row>
    <row r="2288">
      <c r="A2288" s="3" t="n">
        <v>2286</v>
      </c>
      <c r="B2288" s="3" t="inlineStr">
        <is>
          <t>9.1.1.6</t>
        </is>
      </c>
      <c r="C2288" s="3" t="inlineStr">
        <is>
          <t>Pemasangan 1 m Pipa PVC, DN. 10" (250 mm)</t>
        </is>
      </c>
      <c r="D2288" s="3" t="inlineStr">
        <is>
          <t>m</t>
        </is>
      </c>
      <c r="E2288" s="4" t="n">
        <v>375135</v>
      </c>
    </row>
    <row r="2289">
      <c r="A2289" s="3" t="n">
        <v>2287</v>
      </c>
      <c r="B2289" s="3" t="inlineStr">
        <is>
          <t>9.1.1.7</t>
        </is>
      </c>
      <c r="C2289" s="3" t="inlineStr">
        <is>
          <t>Pemasangan 1 m Pipa PVC, DN. 12" (300 mm)</t>
        </is>
      </c>
      <c r="D2289" s="3" t="inlineStr">
        <is>
          <t>m</t>
        </is>
      </c>
      <c r="E2289" s="4" t="n">
        <v>403518</v>
      </c>
    </row>
    <row r="2290">
      <c r="A2290" s="3" t="n">
        <v>2288</v>
      </c>
      <c r="B2290" s="3" t="inlineStr">
        <is>
          <t>9.1.1.8</t>
        </is>
      </c>
      <c r="C2290" s="3" t="inlineStr">
        <is>
          <t>Pemasangan 1 m Pipa PVC, DN. 16" (400 mm)</t>
        </is>
      </c>
      <c r="D2290" s="3" t="inlineStr">
        <is>
          <t>m</t>
        </is>
      </c>
      <c r="E2290" s="4" t="n">
        <v>456262</v>
      </c>
    </row>
    <row r="2291">
      <c r="A2291" s="3" t="n">
        <v>2289</v>
      </c>
      <c r="B2291" s="3" t="inlineStr">
        <is>
          <t>9.1.1.9</t>
        </is>
      </c>
      <c r="C2291" s="3" t="inlineStr">
        <is>
          <t>Pemasangan 1 m Pipa PVC, DN. 18" (450 mm)</t>
        </is>
      </c>
      <c r="D2291" s="3" t="inlineStr">
        <is>
          <t>m</t>
        </is>
      </c>
      <c r="E2291" s="4" t="n">
        <v>559542</v>
      </c>
    </row>
    <row r="2292">
      <c r="A2292" s="3" t="n">
        <v>2290</v>
      </c>
      <c r="B2292" s="3" t="inlineStr">
        <is>
          <t>9.1.1.10</t>
        </is>
      </c>
      <c r="C2292" s="3" t="inlineStr">
        <is>
          <t>Pemasangan 1 m Pipa PVC, DN. 20" (500 mm)</t>
        </is>
      </c>
      <c r="D2292" s="3" t="inlineStr">
        <is>
          <t>m</t>
        </is>
      </c>
      <c r="E2292" s="4" t="n">
        <v>624801</v>
      </c>
    </row>
    <row r="2293">
      <c r="A2293" s="3" t="n">
        <v>2291</v>
      </c>
      <c r="B2293" s="3" t="inlineStr">
        <is>
          <t>9.1.1.11</t>
        </is>
      </c>
      <c r="C2293" s="3" t="inlineStr">
        <is>
          <t>Pemasangan 1 m Pipa PVC, DN. 24" (600 mm)</t>
        </is>
      </c>
      <c r="D2293" s="3" t="inlineStr">
        <is>
          <t>m</t>
        </is>
      </c>
      <c r="E2293" s="4" t="n">
        <v>688616</v>
      </c>
    </row>
    <row r="2294">
      <c r="A2294" s="3" t="n">
        <v>2292</v>
      </c>
      <c r="B2294" s="3" t="inlineStr">
        <is>
          <t>9.1.1.12</t>
        </is>
      </c>
      <c r="C2294" s="3" t="inlineStr">
        <is>
          <t>Pemasangan 1 m Pipa PVC, DN. 32" (800 mm)</t>
        </is>
      </c>
      <c r="D2294" s="3" t="inlineStr">
        <is>
          <t>m</t>
        </is>
      </c>
      <c r="E2294" s="4" t="n">
        <v>909155</v>
      </c>
    </row>
    <row r="2295">
      <c r="A2295" s="3" t="n">
        <v>2293</v>
      </c>
      <c r="B2295" s="3" t="inlineStr">
        <is>
          <t>9.1.1.13</t>
        </is>
      </c>
      <c r="C2295" s="3" t="inlineStr">
        <is>
          <t>Pemasangan 1 m Pipa PVC, DN. 36" (900 mm)</t>
        </is>
      </c>
      <c r="D2295" s="3" t="inlineStr">
        <is>
          <t>m</t>
        </is>
      </c>
      <c r="E2295" s="4" t="n">
        <v>956852</v>
      </c>
    </row>
    <row r="2296">
      <c r="A2296" s="3" t="n">
        <v>2294</v>
      </c>
      <c r="B2296" s="3" t="inlineStr">
        <is>
          <t>9.1.1.14</t>
        </is>
      </c>
      <c r="C2296" s="3" t="inlineStr">
        <is>
          <t>Pemasangan 1 m Pipa PVC, DN. 40" (1000 mm)</t>
        </is>
      </c>
      <c r="D2296" s="3" t="inlineStr">
        <is>
          <t>m</t>
        </is>
      </c>
      <c r="E2296" s="4" t="n">
        <v>1039183</v>
      </c>
    </row>
    <row r="2297">
      <c r="A2297" s="3" t="n">
        <v>2295</v>
      </c>
      <c r="B2297" s="3" t="inlineStr">
        <is>
          <t>9.1.1.15</t>
        </is>
      </c>
      <c r="C2297" s="3" t="inlineStr">
        <is>
          <t>Pemasangan 1 m Pipa PVC, DN. 44" (1100 mm)</t>
        </is>
      </c>
      <c r="D2297" s="3" t="inlineStr">
        <is>
          <t>m</t>
        </is>
      </c>
      <c r="E2297" s="4" t="n">
        <v>1132412</v>
      </c>
    </row>
    <row r="2298">
      <c r="A2298" s="3" t="n">
        <v>2296</v>
      </c>
      <c r="B2298" s="3" t="inlineStr">
        <is>
          <t>9.1.1.16</t>
        </is>
      </c>
      <c r="C2298" s="3" t="inlineStr">
        <is>
          <t>Pemasangan 1 m Pipa PVC, DN. 48" (1200 mm)</t>
        </is>
      </c>
      <c r="D2298" s="3" t="inlineStr">
        <is>
          <t>m</t>
        </is>
      </c>
      <c r="E2298" s="4" t="n">
        <v>1198243</v>
      </c>
    </row>
    <row r="2299">
      <c r="A2299" s="3" t="n">
        <v>2297</v>
      </c>
      <c r="B2299" s="3" t="inlineStr">
        <is>
          <t>9.1.1.17</t>
        </is>
      </c>
      <c r="C2299" s="3" t="inlineStr">
        <is>
          <t>Pemasangan 1 m Pipa PVC, DN. 1/2" (15 mm)</t>
        </is>
      </c>
      <c r="D2299" s="3" t="inlineStr">
        <is>
          <t>m</t>
        </is>
      </c>
      <c r="E2299" s="4" t="n">
        <v>16797</v>
      </c>
    </row>
    <row r="2300">
      <c r="A2300" s="3" t="n">
        <v>2298</v>
      </c>
      <c r="B2300" s="3" t="inlineStr">
        <is>
          <t>9.1.1.18</t>
        </is>
      </c>
      <c r="C2300" s="3" t="inlineStr">
        <is>
          <t>Pemasangan 1 m Pipa PVC, DN. 3/4" (20 mm)</t>
        </is>
      </c>
      <c r="D2300" s="3" t="inlineStr">
        <is>
          <t>m</t>
        </is>
      </c>
      <c r="E2300" s="4" t="n">
        <v>19327</v>
      </c>
    </row>
    <row r="2301">
      <c r="A2301" s="3" t="n">
        <v>2299</v>
      </c>
      <c r="B2301" s="3" t="inlineStr">
        <is>
          <t>9.1.1.19</t>
        </is>
      </c>
      <c r="C2301" s="3" t="inlineStr">
        <is>
          <t>Pemasangan 1 m Pipa PVC, DN. 1" (25 mm)</t>
        </is>
      </c>
      <c r="D2301" s="3" t="inlineStr">
        <is>
          <t>m</t>
        </is>
      </c>
      <c r="E2301" s="4" t="n">
        <v>23193</v>
      </c>
    </row>
    <row r="2302">
      <c r="A2302" s="3" t="n">
        <v>2300</v>
      </c>
      <c r="B2302" s="3" t="inlineStr">
        <is>
          <t>9.1.1.20</t>
        </is>
      </c>
      <c r="C2302" s="3" t="inlineStr">
        <is>
          <t>Pemasangan 1 m Pipa PVC, DN. 1-1/4" (32 mm)</t>
        </is>
      </c>
      <c r="D2302" s="3" t="inlineStr">
        <is>
          <t>m</t>
        </is>
      </c>
      <c r="E2302" s="4" t="n">
        <v>24953</v>
      </c>
    </row>
    <row r="2303">
      <c r="A2303" s="3" t="n">
        <v>2301</v>
      </c>
      <c r="B2303" s="3" t="inlineStr">
        <is>
          <t>9.1.1.21</t>
        </is>
      </c>
      <c r="C2303" s="3" t="inlineStr">
        <is>
          <t>Pemasangan 1 m Pipa PVC, DN. 1-1/2" (40 mm)</t>
        </is>
      </c>
      <c r="D2303" s="3" t="inlineStr">
        <is>
          <t>m</t>
        </is>
      </c>
      <c r="E2303" s="4" t="n">
        <v>25613</v>
      </c>
    </row>
    <row r="2304">
      <c r="A2304" s="3" t="n">
        <v>2302</v>
      </c>
      <c r="B2304" s="3" t="inlineStr">
        <is>
          <t>9.1.1.22</t>
        </is>
      </c>
      <c r="C2304" s="3" t="inlineStr">
        <is>
          <t>Pemasangan 1 m Pipa PVC, DN. 2" (50 mm)</t>
        </is>
      </c>
      <c r="D2304" s="3" t="inlineStr">
        <is>
          <t>m</t>
        </is>
      </c>
      <c r="E2304" s="4" t="n">
        <v>32389</v>
      </c>
    </row>
    <row r="2305">
      <c r="A2305" s="3" t="n">
        <v>2303</v>
      </c>
      <c r="B2305" s="3" t="inlineStr">
        <is>
          <t>9.1.2.1</t>
        </is>
      </c>
      <c r="C2305" s="3" t="inlineStr">
        <is>
          <t>Pemotongan 1 Buah Pipa PVC, DN. 2-1/2" (65 mm)</t>
        </is>
      </c>
      <c r="D2305" s="3" t="inlineStr">
        <is>
          <t>buah</t>
        </is>
      </c>
      <c r="E2305" s="4" t="n">
        <v>1094</v>
      </c>
    </row>
    <row r="2306">
      <c r="A2306" s="3" t="n">
        <v>2304</v>
      </c>
      <c r="B2306" s="3" t="inlineStr">
        <is>
          <t>9.1.2.2</t>
        </is>
      </c>
      <c r="C2306" s="3" t="inlineStr">
        <is>
          <t>Pemotongan 1 Buah Pipa PVC, DN. 3" (80 mm)</t>
        </is>
      </c>
      <c r="D2306" s="3" t="inlineStr">
        <is>
          <t>buah</t>
        </is>
      </c>
      <c r="E2306" s="4" t="n">
        <v>2992</v>
      </c>
    </row>
    <row r="2307">
      <c r="A2307" s="3" t="n">
        <v>2305</v>
      </c>
      <c r="B2307" s="3" t="inlineStr">
        <is>
          <t>9.1.2.3</t>
        </is>
      </c>
      <c r="C2307" s="3" t="inlineStr">
        <is>
          <t>Pemotongan 1 Buah Pipa PVC, DN. 4" (100 mm)</t>
        </is>
      </c>
      <c r="D2307" s="3" t="inlineStr">
        <is>
          <t>buah</t>
        </is>
      </c>
      <c r="E2307" s="4" t="n">
        <v>4730</v>
      </c>
    </row>
    <row r="2308">
      <c r="A2308" s="3" t="n">
        <v>2306</v>
      </c>
      <c r="B2308" s="3" t="inlineStr">
        <is>
          <t>9.1.2.4</t>
        </is>
      </c>
      <c r="C2308" s="3" t="inlineStr">
        <is>
          <t>Pemotongan 1 Buah Pipa PVC, DN. 6" (150 mm)</t>
        </is>
      </c>
      <c r="D2308" s="3" t="inlineStr">
        <is>
          <t>buah</t>
        </is>
      </c>
      <c r="E2308" s="4" t="n">
        <v>6578</v>
      </c>
    </row>
    <row r="2309">
      <c r="A2309" s="3" t="n">
        <v>2307</v>
      </c>
      <c r="B2309" s="3" t="inlineStr">
        <is>
          <t>9.1.2.5</t>
        </is>
      </c>
      <c r="C2309" s="3" t="inlineStr">
        <is>
          <t>Pemotongan 1 Buah Pipa PVC, DN. 8" (200 mm)</t>
        </is>
      </c>
      <c r="D2309" s="3" t="inlineStr">
        <is>
          <t>buah</t>
        </is>
      </c>
      <c r="E2309" s="4" t="n">
        <v>17704</v>
      </c>
    </row>
    <row r="2310">
      <c r="A2310" s="3" t="n">
        <v>2308</v>
      </c>
      <c r="B2310" s="3" t="inlineStr">
        <is>
          <t>9.1.2.6</t>
        </is>
      </c>
      <c r="C2310" s="3" t="inlineStr">
        <is>
          <t>Pemotongan 1 Buah Pipa PVC, DN. 10" (250 mm)</t>
        </is>
      </c>
      <c r="D2310" s="3" t="inlineStr">
        <is>
          <t>buah</t>
        </is>
      </c>
      <c r="E2310" s="4" t="n">
        <v>28303</v>
      </c>
    </row>
    <row r="2311">
      <c r="A2311" s="3" t="n">
        <v>2309</v>
      </c>
      <c r="B2311" s="3" t="inlineStr">
        <is>
          <t>9.1.2.7</t>
        </is>
      </c>
      <c r="C2311" s="3" t="inlineStr">
        <is>
          <t>Pemotongan 1 Buah Pipa PVC, DN. 12" (300 mm)</t>
        </is>
      </c>
      <c r="D2311" s="3" t="inlineStr">
        <is>
          <t>buah</t>
        </is>
      </c>
      <c r="E2311" s="4" t="n">
        <v>34056</v>
      </c>
    </row>
    <row r="2312">
      <c r="A2312" s="3" t="n">
        <v>2310</v>
      </c>
      <c r="B2312" s="3" t="inlineStr">
        <is>
          <t>9.1.2.8</t>
        </is>
      </c>
      <c r="C2312" s="3" t="inlineStr">
        <is>
          <t>Pemotongan 1 Buah Pipa PVC, DN. 16" (400 mm)</t>
        </is>
      </c>
      <c r="D2312" s="3" t="inlineStr">
        <is>
          <t>buah</t>
        </is>
      </c>
      <c r="E2312" s="4" t="n">
        <v>71995</v>
      </c>
    </row>
    <row r="2313">
      <c r="A2313" s="3" t="n">
        <v>2311</v>
      </c>
      <c r="B2313" s="3" t="inlineStr">
        <is>
          <t>9.1.2.9</t>
        </is>
      </c>
      <c r="C2313" s="3" t="inlineStr">
        <is>
          <t>Pemotongan 1 Buah Pipa PVC, DN. 18" (450 mm)</t>
        </is>
      </c>
      <c r="D2313" s="3" t="inlineStr">
        <is>
          <t>buah</t>
        </is>
      </c>
      <c r="E2313" s="4" t="n">
        <v>91014</v>
      </c>
    </row>
    <row r="2314">
      <c r="A2314" s="3" t="n">
        <v>2312</v>
      </c>
      <c r="B2314" s="3" t="inlineStr">
        <is>
          <t>9.1.2.10</t>
        </is>
      </c>
      <c r="C2314" s="3" t="inlineStr">
        <is>
          <t>Pemotongan 1 Buah Pipa PVC, DN. 20" (500 mm)</t>
        </is>
      </c>
      <c r="D2314" s="3" t="inlineStr">
        <is>
          <t>buah</t>
        </is>
      </c>
      <c r="E2314" s="4" t="n">
        <v>112387</v>
      </c>
    </row>
    <row r="2315">
      <c r="A2315" s="3" t="n">
        <v>2313</v>
      </c>
      <c r="B2315" s="3" t="inlineStr">
        <is>
          <t>9.1.2.11</t>
        </is>
      </c>
      <c r="C2315" s="3" t="inlineStr">
        <is>
          <t>Pemotongan 1 Buah Pipa PVC, DN. 24" (600 mm)</t>
        </is>
      </c>
      <c r="D2315" s="3" t="inlineStr">
        <is>
          <t>buah</t>
        </is>
      </c>
      <c r="E2315" s="4" t="n">
        <v>135085</v>
      </c>
    </row>
    <row r="2316">
      <c r="A2316" s="3" t="n">
        <v>2314</v>
      </c>
      <c r="B2316" s="3" t="inlineStr">
        <is>
          <t>9.1.2.12</t>
        </is>
      </c>
      <c r="C2316" s="3" t="inlineStr">
        <is>
          <t>Pemotongan 1 Buah Pipa PVC, DN. 32" (800 mm)</t>
        </is>
      </c>
      <c r="D2316" s="3" t="inlineStr">
        <is>
          <t>buah</t>
        </is>
      </c>
      <c r="E2316" s="4" t="n">
        <v>236857</v>
      </c>
    </row>
    <row r="2317">
      <c r="A2317" s="3" t="n">
        <v>2315</v>
      </c>
      <c r="B2317" s="3" t="inlineStr">
        <is>
          <t>9.1.2.13</t>
        </is>
      </c>
      <c r="C2317" s="3" t="inlineStr">
        <is>
          <t>Pemotongan 1 Buah Pipa PVC, DN. 36" (900 mm)</t>
        </is>
      </c>
      <c r="D2317" s="3" t="inlineStr">
        <is>
          <t>buah</t>
        </is>
      </c>
      <c r="E2317" s="4" t="n">
        <v>248132</v>
      </c>
    </row>
    <row r="2318">
      <c r="A2318" s="3" t="n">
        <v>2316</v>
      </c>
      <c r="B2318" s="3" t="inlineStr">
        <is>
          <t>9.1.2.14</t>
        </is>
      </c>
      <c r="C2318" s="3" t="inlineStr">
        <is>
          <t>Pemotongan 1 Buah Pipa PVC, DN. 40" (1000 mm)</t>
        </is>
      </c>
      <c r="D2318" s="3" t="inlineStr">
        <is>
          <t>buah</t>
        </is>
      </c>
      <c r="E2318" s="4" t="n">
        <v>279642</v>
      </c>
    </row>
    <row r="2319">
      <c r="A2319" s="3" t="n">
        <v>2317</v>
      </c>
      <c r="B2319" s="3" t="inlineStr">
        <is>
          <t>9.1.2.15</t>
        </is>
      </c>
      <c r="C2319" s="3" t="inlineStr">
        <is>
          <t>Pemotongan 1 Buah Pipa PVC, DN. 44" (1100 mm)</t>
        </is>
      </c>
      <c r="D2319" s="3" t="inlineStr">
        <is>
          <t>buah</t>
        </is>
      </c>
      <c r="E2319" s="4" t="n">
        <v>310893</v>
      </c>
    </row>
    <row r="2320">
      <c r="A2320" s="3" t="n">
        <v>2318</v>
      </c>
      <c r="B2320" s="3" t="inlineStr">
        <is>
          <t>9.1.2.16</t>
        </is>
      </c>
      <c r="C2320" s="3" t="inlineStr">
        <is>
          <t>Pemotongan 1 Buah Pipa PVC, DN. 48" (1200 mm)</t>
        </is>
      </c>
      <c r="D2320" s="3" t="inlineStr">
        <is>
          <t>buah</t>
        </is>
      </c>
      <c r="E2320" s="4" t="n">
        <v>342182</v>
      </c>
    </row>
    <row r="2321">
      <c r="A2321" s="3" t="n">
        <v>2319</v>
      </c>
      <c r="B2321" s="3" t="inlineStr">
        <is>
          <t>9.2.1.1</t>
        </is>
      </c>
      <c r="C2321" s="3" t="inlineStr">
        <is>
          <t>Pemasangan 1 m Pipa Galvanis, DN. 2-1/2" (65 mm)</t>
        </is>
      </c>
      <c r="D2321" s="3" t="inlineStr">
        <is>
          <t>m</t>
        </is>
      </c>
      <c r="E2321" s="4" t="n">
        <v>278621</v>
      </c>
    </row>
    <row r="2322">
      <c r="A2322" s="3" t="n">
        <v>2320</v>
      </c>
      <c r="B2322" s="3" t="inlineStr">
        <is>
          <t>9.2.1.2</t>
        </is>
      </c>
      <c r="C2322" s="3" t="inlineStr">
        <is>
          <t>Pemasangan 1 m Pipa Galvanis, DN. 4" (100 mm)</t>
        </is>
      </c>
      <c r="D2322" s="3" t="inlineStr">
        <is>
          <t>m</t>
        </is>
      </c>
      <c r="E2322" s="4" t="n">
        <v>427957</v>
      </c>
    </row>
    <row r="2323">
      <c r="A2323" s="3" t="n">
        <v>2321</v>
      </c>
      <c r="B2323" s="3" t="inlineStr">
        <is>
          <t>9.2.1.3</t>
        </is>
      </c>
      <c r="C2323" s="3" t="inlineStr">
        <is>
          <t>Pemasangan 1 m Pipa Galvanis, DN. 5" (125 mm)</t>
        </is>
      </c>
      <c r="D2323" s="3" t="inlineStr">
        <is>
          <t>m</t>
        </is>
      </c>
      <c r="E2323" s="4" t="n">
        <v>576765</v>
      </c>
    </row>
    <row r="2324">
      <c r="A2324" s="3" t="n">
        <v>2322</v>
      </c>
      <c r="B2324" s="3" t="inlineStr">
        <is>
          <t>9.2.1.4</t>
        </is>
      </c>
      <c r="C2324" s="3" t="inlineStr">
        <is>
          <t>Pemasangan 1 m Pipa Galvanis, DN. 6" (150 mm)</t>
        </is>
      </c>
      <c r="D2324" s="3" t="inlineStr">
        <is>
          <t>m</t>
        </is>
      </c>
      <c r="E2324" s="4" t="n">
        <v>545090</v>
      </c>
    </row>
    <row r="2325">
      <c r="A2325" s="3" t="n">
        <v>2323</v>
      </c>
      <c r="B2325" s="3" t="inlineStr">
        <is>
          <t>9.2.1.5</t>
        </is>
      </c>
      <c r="C2325" s="3" t="inlineStr">
        <is>
          <t>Pemasangan 1 m Pipa Galvanis, DN. 8" (200 mm)</t>
        </is>
      </c>
      <c r="D2325" s="3" t="inlineStr">
        <is>
          <t>m</t>
        </is>
      </c>
      <c r="E2325" s="4" t="n">
        <v>630698</v>
      </c>
    </row>
    <row r="2326">
      <c r="A2326" s="3" t="n">
        <v>2324</v>
      </c>
      <c r="B2326" s="3" t="inlineStr">
        <is>
          <t>9.2.1.6</t>
        </is>
      </c>
      <c r="C2326" s="3" t="inlineStr">
        <is>
          <t>Pemasangan 1 m Pipa Galvanis, DN.10" (250 mm)</t>
        </is>
      </c>
      <c r="D2326" s="3" t="inlineStr">
        <is>
          <t>m</t>
        </is>
      </c>
      <c r="E2326" s="4" t="n">
        <v>720842</v>
      </c>
    </row>
    <row r="2327">
      <c r="A2327" s="3" t="n">
        <v>2325</v>
      </c>
      <c r="B2327" s="3" t="inlineStr">
        <is>
          <t>9.2.1.7</t>
        </is>
      </c>
      <c r="C2327" s="3" t="inlineStr">
        <is>
          <t>Pemasangan 1 m Pipa Galvanis, DN. 12" (300 mm)</t>
        </is>
      </c>
      <c r="D2327" s="3" t="inlineStr">
        <is>
          <t>m</t>
        </is>
      </c>
      <c r="E2327" s="4" t="n">
        <v>774922</v>
      </c>
    </row>
    <row r="2328">
      <c r="A2328" s="3" t="n">
        <v>2326</v>
      </c>
      <c r="B2328" s="3" t="inlineStr">
        <is>
          <t>9.2.1.8</t>
        </is>
      </c>
      <c r="C2328" s="3" t="inlineStr">
        <is>
          <t>Pemasangan 1 m Pipa Galvanis, DN. 16" (400 mm)</t>
        </is>
      </c>
      <c r="D2328" s="3" t="inlineStr">
        <is>
          <t>m</t>
        </is>
      </c>
      <c r="E2328" s="4" t="n">
        <v>928054</v>
      </c>
    </row>
    <row r="2329">
      <c r="A2329" s="3" t="n">
        <v>2327</v>
      </c>
      <c r="B2329" s="3" t="inlineStr">
        <is>
          <t>9.2.1.9</t>
        </is>
      </c>
      <c r="C2329" s="3" t="inlineStr">
        <is>
          <t>Pemasangan 1 m Pipa Galvanis, DN. 18" (450 mm)</t>
        </is>
      </c>
      <c r="D2329" s="3" t="inlineStr">
        <is>
          <t>m</t>
        </is>
      </c>
      <c r="E2329" s="4" t="n">
        <v>377542</v>
      </c>
    </row>
    <row r="2330">
      <c r="A2330" s="3" t="n">
        <v>2328</v>
      </c>
      <c r="B2330" s="3" t="inlineStr">
        <is>
          <t>9.2.1.10</t>
        </is>
      </c>
      <c r="C2330" s="3" t="inlineStr">
        <is>
          <t>Pemasangan 1 m Pipa Galvanis, DN. 20" (500 mm)</t>
        </is>
      </c>
      <c r="D2330" s="3" t="inlineStr">
        <is>
          <t>m</t>
        </is>
      </c>
      <c r="E2330" s="4" t="n">
        <v>1062581</v>
      </c>
    </row>
    <row r="2331">
      <c r="A2331" s="3" t="n">
        <v>2329</v>
      </c>
      <c r="B2331" s="3" t="inlineStr">
        <is>
          <t>9.2.1.11</t>
        </is>
      </c>
      <c r="C2331" s="3" t="inlineStr">
        <is>
          <t>Pemasangan 1 m Pipa Galvanis, DN. 24" (600 mm)</t>
        </is>
      </c>
      <c r="D2331" s="3" t="inlineStr">
        <is>
          <t>m</t>
        </is>
      </c>
      <c r="E2331" s="4" t="n">
        <v>1085409</v>
      </c>
    </row>
    <row r="2332">
      <c r="A2332" s="3" t="n">
        <v>2330</v>
      </c>
      <c r="B2332" s="3" t="inlineStr">
        <is>
          <t>9.2.1.12</t>
        </is>
      </c>
      <c r="C2332" s="3" t="inlineStr">
        <is>
          <t>Pemasangan 1 m Pipa Galvanis, DN. 32" (800 mm)</t>
        </is>
      </c>
      <c r="D2332" s="3" t="inlineStr">
        <is>
          <t>m</t>
        </is>
      </c>
      <c r="E2332" s="4" t="n">
        <v>1348400</v>
      </c>
    </row>
    <row r="2333">
      <c r="A2333" s="3" t="n">
        <v>2331</v>
      </c>
      <c r="B2333" s="3" t="inlineStr">
        <is>
          <t>9.2.1.13</t>
        </is>
      </c>
      <c r="C2333" s="3" t="inlineStr">
        <is>
          <t>Pemasangan 1 m Pipa Galvanis, DN. 36" (900 mm)</t>
        </is>
      </c>
      <c r="D2333" s="3" t="inlineStr">
        <is>
          <t>m</t>
        </is>
      </c>
      <c r="E2333" s="4" t="n">
        <v>1493034</v>
      </c>
    </row>
    <row r="2334">
      <c r="A2334" s="3" t="n">
        <v>2332</v>
      </c>
      <c r="B2334" s="3" t="inlineStr">
        <is>
          <t>9.2.1.14</t>
        </is>
      </c>
      <c r="C2334" s="3" t="inlineStr">
        <is>
          <t>Pemasangan 1 m Pipa Galvanis, DN. 40" (1000 mm)</t>
        </is>
      </c>
      <c r="D2334" s="3" t="inlineStr">
        <is>
          <t>m</t>
        </is>
      </c>
      <c r="E2334" s="4" t="n">
        <v>1604310</v>
      </c>
    </row>
    <row r="2335">
      <c r="A2335" s="3" t="n">
        <v>2333</v>
      </c>
      <c r="B2335" s="3" t="inlineStr">
        <is>
          <t>9.2.1.15</t>
        </is>
      </c>
      <c r="C2335" s="3" t="inlineStr">
        <is>
          <t>Pemasangan 1 m Pipa Galvanis, DN. 44" (1100 mm)</t>
        </is>
      </c>
      <c r="D2335" s="3" t="inlineStr">
        <is>
          <t>m</t>
        </is>
      </c>
      <c r="E2335" s="4" t="n">
        <v>1734854</v>
      </c>
    </row>
    <row r="2336">
      <c r="A2336" s="3" t="n">
        <v>2334</v>
      </c>
      <c r="B2336" s="3" t="inlineStr">
        <is>
          <t>9.2.1.16</t>
        </is>
      </c>
      <c r="C2336" s="3" t="inlineStr">
        <is>
          <t>Pemasangan 1 m Pipa Galvanis, DN. 48" (1200 mm)</t>
        </is>
      </c>
      <c r="D2336" s="3" t="inlineStr">
        <is>
          <t>m</t>
        </is>
      </c>
      <c r="E2336" s="4" t="n">
        <v>1881607</v>
      </c>
    </row>
    <row r="2337">
      <c r="A2337" s="3" t="n">
        <v>2335</v>
      </c>
      <c r="B2337" s="3" t="inlineStr">
        <is>
          <t>9.2.1.17</t>
        </is>
      </c>
      <c r="C2337" s="3" t="inlineStr">
        <is>
          <t>Pemasangan 1 m Pipa Galvanis, DN. 1/2" (15 mm)</t>
        </is>
      </c>
      <c r="D2337" s="3" t="inlineStr">
        <is>
          <t>m</t>
        </is>
      </c>
      <c r="E2337" s="4" t="n">
        <v>103785</v>
      </c>
    </row>
    <row r="2338">
      <c r="A2338" s="3" t="n">
        <v>2336</v>
      </c>
      <c r="B2338" s="3" t="inlineStr">
        <is>
          <t>9.2.1.18</t>
        </is>
      </c>
      <c r="C2338" s="3" t="inlineStr">
        <is>
          <t>Pemasangan 1 m Pipa Galvanis, DN. 3/4" (20 mm)</t>
        </is>
      </c>
      <c r="D2338" s="3" t="inlineStr">
        <is>
          <t>m</t>
        </is>
      </c>
      <c r="E2338" s="4" t="n">
        <v>121385</v>
      </c>
    </row>
    <row r="2339">
      <c r="A2339" s="3" t="n">
        <v>2337</v>
      </c>
      <c r="B2339" s="3" t="inlineStr">
        <is>
          <t>9.2.1.19</t>
        </is>
      </c>
      <c r="C2339" s="3" t="inlineStr">
        <is>
          <t>Pemasangan 1 m Pipa Galvanis, DN. 1" (25 mm)</t>
        </is>
      </c>
      <c r="D2339" s="3" t="inlineStr">
        <is>
          <t>m</t>
        </is>
      </c>
      <c r="E2339" s="4" t="n">
        <v>137621</v>
      </c>
    </row>
    <row r="2340">
      <c r="A2340" s="3" t="n">
        <v>2338</v>
      </c>
      <c r="B2340" s="3" t="inlineStr">
        <is>
          <t>9.2.1.20</t>
        </is>
      </c>
      <c r="C2340" s="3" t="inlineStr">
        <is>
          <t>Pemasangan 1 m Pipa Galvanis, DN. 1-1/4" (32 mm)</t>
        </is>
      </c>
      <c r="D2340" s="3" t="inlineStr">
        <is>
          <t>m</t>
        </is>
      </c>
      <c r="E2340" s="4" t="n">
        <v>146421</v>
      </c>
    </row>
    <row r="2341">
      <c r="A2341" s="3" t="n">
        <v>2339</v>
      </c>
      <c r="B2341" s="3" t="inlineStr">
        <is>
          <t>9.2.1.21</t>
        </is>
      </c>
      <c r="C2341" s="3" t="inlineStr">
        <is>
          <t>Pemasangan 1 m Pipa Galvanis, DN. 1-1/2" (40 mm)</t>
        </is>
      </c>
      <c r="D2341" s="3" t="inlineStr">
        <is>
          <t>m</t>
        </is>
      </c>
      <c r="E2341" s="4" t="n">
        <v>154121</v>
      </c>
    </row>
    <row r="2342">
      <c r="A2342" s="3" t="n">
        <v>2340</v>
      </c>
      <c r="B2342" s="3" t="inlineStr">
        <is>
          <t>9.2.1.22</t>
        </is>
      </c>
      <c r="C2342" s="3" t="inlineStr">
        <is>
          <t>Pemasangan 1 m Pipa Galvanis, DN. 2" (50 mm)</t>
        </is>
      </c>
      <c r="D2342" s="3" t="inlineStr">
        <is>
          <t>m</t>
        </is>
      </c>
      <c r="E2342" s="4" t="n">
        <v>177364</v>
      </c>
    </row>
    <row r="2343">
      <c r="A2343" s="3" t="n">
        <v>2341</v>
      </c>
      <c r="B2343" s="3" t="inlineStr">
        <is>
          <t>9.2.1.23</t>
        </is>
      </c>
      <c r="C2343" s="3" t="inlineStr">
        <is>
          <t>Pemasangan 1 m Pipa Galvanis, DN. 25" (650 mm)</t>
        </is>
      </c>
      <c r="D2343" s="3" t="inlineStr">
        <is>
          <t>m</t>
        </is>
      </c>
      <c r="E2343" s="4" t="n">
        <v>1124805</v>
      </c>
    </row>
    <row r="2344">
      <c r="A2344" s="3" t="n">
        <v>2342</v>
      </c>
      <c r="B2344" s="3" t="inlineStr">
        <is>
          <t>9.2.1.24</t>
        </is>
      </c>
      <c r="C2344" s="3" t="inlineStr">
        <is>
          <t>Pemasangan 1 m Pipa Galvanis, DN. 30" (700 mm)</t>
        </is>
      </c>
      <c r="D2344" s="3" t="inlineStr">
        <is>
          <t>m</t>
        </is>
      </c>
      <c r="E2344" s="4" t="n">
        <v>1205105</v>
      </c>
    </row>
    <row r="2345">
      <c r="A2345" s="3" t="n">
        <v>2343</v>
      </c>
      <c r="B2345" s="3" t="inlineStr">
        <is>
          <t>9.2.1.25</t>
        </is>
      </c>
      <c r="C2345" s="3" t="inlineStr">
        <is>
          <t>Pemasangan 1 m Pipa Galvanis, DN. 40" (1050 mm)</t>
        </is>
      </c>
      <c r="D2345" s="3" t="inlineStr">
        <is>
          <t>m</t>
        </is>
      </c>
      <c r="E2345" s="4" t="n">
        <v>1670619</v>
      </c>
    </row>
    <row r="2346">
      <c r="A2346" s="3" t="n">
        <v>2344</v>
      </c>
      <c r="B2346" s="3" t="inlineStr">
        <is>
          <t>9.2.1.26</t>
        </is>
      </c>
      <c r="C2346" s="3" t="inlineStr">
        <is>
          <t>Pemasangan 1 m Pipa Galvanis, DN. 45" (1150 mm)</t>
        </is>
      </c>
      <c r="D2346" s="3" t="inlineStr">
        <is>
          <t>m</t>
        </is>
      </c>
      <c r="E2346" s="4" t="n">
        <v>1786647</v>
      </c>
    </row>
    <row r="2347">
      <c r="A2347" s="3" t="n">
        <v>2345</v>
      </c>
      <c r="B2347" s="3" t="inlineStr">
        <is>
          <t>9.2.2.1</t>
        </is>
      </c>
      <c r="C2347" s="3" t="inlineStr">
        <is>
          <t>Pemotongan 1 Buah Pipa Galvanis, DN. 2-1/2" (65 mm)</t>
        </is>
      </c>
      <c r="D2347" s="3" t="inlineStr">
        <is>
          <t>buah</t>
        </is>
      </c>
      <c r="E2347" s="4" t="n">
        <v>4455</v>
      </c>
    </row>
    <row r="2348">
      <c r="A2348" s="3" t="n">
        <v>2346</v>
      </c>
      <c r="B2348" s="3" t="inlineStr">
        <is>
          <t>9.2.2.2</t>
        </is>
      </c>
      <c r="C2348" s="3" t="inlineStr">
        <is>
          <t>Pemotongan 1 Buah Pipa Galvanis, DN. 4" (100 mm)</t>
        </is>
      </c>
      <c r="D2348" s="3" t="inlineStr">
        <is>
          <t>buah</t>
        </is>
      </c>
      <c r="E2348" s="4" t="n">
        <v>12738</v>
      </c>
    </row>
    <row r="2349">
      <c r="A2349" s="3" t="n">
        <v>2347</v>
      </c>
      <c r="B2349" s="3" t="inlineStr">
        <is>
          <t>9.2.2.3</t>
        </is>
      </c>
      <c r="C2349" s="3" t="inlineStr">
        <is>
          <t>Pemotongan 1 Buah Pipa Galvanis, DN. 5" (125 mm)</t>
        </is>
      </c>
      <c r="D2349" s="3" t="inlineStr">
        <is>
          <t>buah</t>
        </is>
      </c>
      <c r="E2349" s="4" t="n">
        <v>19932</v>
      </c>
    </row>
    <row r="2350">
      <c r="A2350" s="3" t="n">
        <v>2348</v>
      </c>
      <c r="B2350" s="3" t="inlineStr">
        <is>
          <t>9.2.2.4</t>
        </is>
      </c>
      <c r="C2350" s="3" t="inlineStr">
        <is>
          <t>Pemotongan 1 Buah Pipa Galvanis, DN. 6" (150 mm)</t>
        </is>
      </c>
      <c r="D2350" s="3" t="inlineStr">
        <is>
          <t>buah</t>
        </is>
      </c>
      <c r="E2350" s="4" t="n">
        <v>28539</v>
      </c>
    </row>
    <row r="2351">
      <c r="A2351" s="3" t="n">
        <v>2349</v>
      </c>
      <c r="B2351" s="3" t="inlineStr">
        <is>
          <t>9.2.2.5</t>
        </is>
      </c>
      <c r="C2351" s="3" t="inlineStr">
        <is>
          <t>Pemotongan 1 Buah Pipa Galvanis, DN. 8" (200 mm)</t>
        </is>
      </c>
      <c r="D2351" s="3" t="inlineStr">
        <is>
          <t>buah</t>
        </is>
      </c>
      <c r="E2351" s="4" t="n">
        <v>73397</v>
      </c>
    </row>
    <row r="2352">
      <c r="A2352" s="3" t="n">
        <v>2350</v>
      </c>
      <c r="B2352" s="3" t="inlineStr">
        <is>
          <t>9.2.2.6</t>
        </is>
      </c>
      <c r="C2352" s="3" t="inlineStr">
        <is>
          <t>Pemotongan 1 Buah Pipa Galvanis, DN.10" (250 mm)</t>
        </is>
      </c>
      <c r="D2352" s="3" t="inlineStr">
        <is>
          <t>buah</t>
        </is>
      </c>
      <c r="E2352" s="4" t="n">
        <v>102289</v>
      </c>
    </row>
    <row r="2353">
      <c r="A2353" s="3" t="n">
        <v>2351</v>
      </c>
      <c r="B2353" s="3" t="inlineStr">
        <is>
          <t>9.2.2.7</t>
        </is>
      </c>
      <c r="C2353" s="3" t="inlineStr">
        <is>
          <t>Pemotongan 1 Buah Pipa Galvanis, DN. 12" (300 mm)</t>
        </is>
      </c>
      <c r="D2353" s="3" t="inlineStr">
        <is>
          <t>buah</t>
        </is>
      </c>
      <c r="E2353" s="4" t="n">
        <v>109109</v>
      </c>
    </row>
    <row r="2354">
      <c r="A2354" s="3" t="n">
        <v>2352</v>
      </c>
      <c r="B2354" s="3" t="inlineStr">
        <is>
          <t>9.2.2.8</t>
        </is>
      </c>
      <c r="C2354" s="3" t="inlineStr">
        <is>
          <t>Pemotongan 1 Buah Pipa Galvanis, DN. 16" (400 mm)</t>
        </is>
      </c>
      <c r="D2354" s="3" t="inlineStr">
        <is>
          <t>buah</t>
        </is>
      </c>
      <c r="E2354" s="4" t="n">
        <v>160853</v>
      </c>
    </row>
    <row r="2355">
      <c r="A2355" s="3" t="n">
        <v>2353</v>
      </c>
      <c r="B2355" s="3" t="inlineStr">
        <is>
          <t>9.2.2.9</t>
        </is>
      </c>
      <c r="C2355" s="3" t="inlineStr">
        <is>
          <t>Pemotongan 1 Buah Pipa Galvanis, DN. 18" (450 mm)</t>
        </is>
      </c>
      <c r="D2355" s="3" t="inlineStr">
        <is>
          <t>buah</t>
        </is>
      </c>
      <c r="E2355" s="4" t="n">
        <v>185383</v>
      </c>
    </row>
    <row r="2356">
      <c r="A2356" s="3" t="n">
        <v>2354</v>
      </c>
      <c r="B2356" s="3" t="inlineStr">
        <is>
          <t>9.2.2.10</t>
        </is>
      </c>
      <c r="C2356" s="3" t="inlineStr">
        <is>
          <t>Pemotongan 1 Buah Pipa Galvanis, DN. 20" (500 mm)</t>
        </is>
      </c>
      <c r="D2356" s="3" t="inlineStr">
        <is>
          <t>buah</t>
        </is>
      </c>
      <c r="E2356" s="4" t="n">
        <v>206327</v>
      </c>
    </row>
    <row r="2357">
      <c r="A2357" s="3" t="n">
        <v>2355</v>
      </c>
      <c r="B2357" s="3" t="inlineStr">
        <is>
          <t>9.2.2.11</t>
        </is>
      </c>
      <c r="C2357" s="3" t="inlineStr">
        <is>
          <t>Pemotongan 1 Buah Pipa Galvanis, DN. 24" (600 mm)</t>
        </is>
      </c>
      <c r="D2357" s="3" t="inlineStr">
        <is>
          <t>buah</t>
        </is>
      </c>
      <c r="E2357" s="4" t="n">
        <v>257169</v>
      </c>
    </row>
    <row r="2358">
      <c r="A2358" s="3" t="n">
        <v>2356</v>
      </c>
      <c r="B2358" s="3" t="inlineStr">
        <is>
          <t>9.2.2.12</t>
        </is>
      </c>
      <c r="C2358" s="3" t="inlineStr">
        <is>
          <t>Pemotongan 1 Buah Pipa Galvanis, DN. 32" (800 mm)</t>
        </is>
      </c>
      <c r="D2358" s="3" t="inlineStr">
        <is>
          <t>buah</t>
        </is>
      </c>
      <c r="E2358" s="4" t="n">
        <v>346566</v>
      </c>
    </row>
    <row r="2359">
      <c r="A2359" s="3" t="n">
        <v>2357</v>
      </c>
      <c r="B2359" s="3" t="inlineStr">
        <is>
          <t>9.2.2.13</t>
        </is>
      </c>
      <c r="C2359" s="3" t="inlineStr">
        <is>
          <t>Pemotongan 1 Buah Pipa Galvanis, DN. 36" (900 mm)</t>
        </is>
      </c>
      <c r="D2359" s="3" t="inlineStr">
        <is>
          <t>buah</t>
        </is>
      </c>
      <c r="E2359" s="4" t="n">
        <v>397072</v>
      </c>
    </row>
    <row r="2360">
      <c r="A2360" s="3" t="n">
        <v>2358</v>
      </c>
      <c r="B2360" s="3" t="inlineStr">
        <is>
          <t>9.2.2.14</t>
        </is>
      </c>
      <c r="C2360" s="3" t="inlineStr">
        <is>
          <t>Pemotongan 1 Buah Pipa Galvanis, DN. 40" (1000 mm)</t>
        </is>
      </c>
      <c r="D2360" s="3" t="inlineStr">
        <is>
          <t>buah</t>
        </is>
      </c>
      <c r="E2360" s="4" t="n">
        <v>445296</v>
      </c>
    </row>
    <row r="2361">
      <c r="A2361" s="3" t="n">
        <v>2359</v>
      </c>
      <c r="B2361" s="3" t="inlineStr">
        <is>
          <t>9.2.2.15</t>
        </is>
      </c>
      <c r="C2361" s="3" t="inlineStr">
        <is>
          <t>Pemotongan 1 Buah Pipa Galvanis, DN. 44" (1100 mm)</t>
        </is>
      </c>
      <c r="D2361" s="3" t="inlineStr">
        <is>
          <t>buah</t>
        </is>
      </c>
      <c r="E2361" s="4" t="n">
        <v>491348</v>
      </c>
    </row>
    <row r="2362">
      <c r="A2362" s="3" t="n">
        <v>2360</v>
      </c>
      <c r="B2362" s="3" t="inlineStr">
        <is>
          <t>9.2.2.16</t>
        </is>
      </c>
      <c r="C2362" s="3" t="inlineStr">
        <is>
          <t>Pemotongan 1 Buah Pipa Galvanis, DN. 48" (1200 mm)</t>
        </is>
      </c>
      <c r="D2362" s="3" t="inlineStr">
        <is>
          <t>buah</t>
        </is>
      </c>
      <c r="E2362" s="4" t="n">
        <v>543697</v>
      </c>
    </row>
    <row r="2363">
      <c r="A2363" s="3" t="n">
        <v>2361</v>
      </c>
      <c r="B2363" s="3" t="inlineStr">
        <is>
          <t>9.3.1.1</t>
        </is>
      </c>
      <c r="C2363" s="3" t="inlineStr">
        <is>
          <t>Pemasangan 1 m Pipa HDPE, DN. 2-1/2" (65 mm)</t>
        </is>
      </c>
      <c r="D2363" s="3" t="inlineStr">
        <is>
          <t>m</t>
        </is>
      </c>
      <c r="E2363" s="4" t="n">
        <v>36978</v>
      </c>
    </row>
    <row r="2364">
      <c r="A2364" s="3" t="n">
        <v>2362</v>
      </c>
      <c r="B2364" s="3" t="inlineStr">
        <is>
          <t>9.3.1.2</t>
        </is>
      </c>
      <c r="C2364" s="3" t="inlineStr">
        <is>
          <t>Pemasangan 1 m Pipa HDPE, DN. 4" (100 mm)</t>
        </is>
      </c>
      <c r="D2364" s="3" t="inlineStr">
        <is>
          <t>m</t>
        </is>
      </c>
      <c r="E2364" s="4" t="n">
        <v>65727</v>
      </c>
    </row>
    <row r="2365">
      <c r="A2365" s="3" t="n">
        <v>2363</v>
      </c>
      <c r="B2365" s="3" t="inlineStr">
        <is>
          <t>9.3.1.3</t>
        </is>
      </c>
      <c r="C2365" s="3" t="inlineStr">
        <is>
          <t>Pemasangan 1 m Pipa HDPE, DN. 5" (125 mm)</t>
        </is>
      </c>
      <c r="D2365" s="3" t="inlineStr">
        <is>
          <t>m</t>
        </is>
      </c>
      <c r="E2365" s="4" t="n">
        <v>75775</v>
      </c>
    </row>
    <row r="2366">
      <c r="A2366" s="3" t="n">
        <v>2364</v>
      </c>
      <c r="B2366" s="3" t="inlineStr">
        <is>
          <t>9.3.1.4</t>
        </is>
      </c>
      <c r="C2366" s="3" t="inlineStr">
        <is>
          <t>Pemasangan 1 m Pipa HDPE, DN. 6" (150 mm)</t>
        </is>
      </c>
      <c r="D2366" s="3" t="inlineStr">
        <is>
          <t>m</t>
        </is>
      </c>
      <c r="E2366" s="4" t="n">
        <v>85741</v>
      </c>
    </row>
    <row r="2367">
      <c r="A2367" s="3" t="n">
        <v>2365</v>
      </c>
      <c r="B2367" s="3" t="inlineStr">
        <is>
          <t>9.3.1.5</t>
        </is>
      </c>
      <c r="C2367" s="3" t="inlineStr">
        <is>
          <t>Pemasangan 1 m Pipa HDPE, DN. 8" (200 mm)</t>
        </is>
      </c>
      <c r="D2367" s="3" t="inlineStr">
        <is>
          <t>m</t>
        </is>
      </c>
      <c r="E2367" s="4" t="n">
        <v>106311</v>
      </c>
    </row>
    <row r="2368">
      <c r="A2368" s="3" t="n">
        <v>2366</v>
      </c>
      <c r="B2368" s="3" t="inlineStr">
        <is>
          <t>9.3.1.6</t>
        </is>
      </c>
      <c r="C2368" s="3" t="inlineStr">
        <is>
          <t>Pemasangan 1 m Pipa HDPE, DN.10" (250 mm)</t>
        </is>
      </c>
      <c r="D2368" s="3" t="inlineStr">
        <is>
          <t>m</t>
        </is>
      </c>
      <c r="E2368" s="4" t="n">
        <v>123366</v>
      </c>
    </row>
    <row r="2369">
      <c r="A2369" s="3" t="n">
        <v>2367</v>
      </c>
      <c r="B2369" s="3" t="inlineStr">
        <is>
          <t>9.3.1.7</t>
        </is>
      </c>
      <c r="C2369" s="3" t="inlineStr">
        <is>
          <t>Pemasangan 1 m Pipa HDPE, DN. 12" (300 mm)</t>
        </is>
      </c>
      <c r="D2369" s="3" t="inlineStr">
        <is>
          <t>m</t>
        </is>
      </c>
      <c r="E2369" s="4" t="n">
        <v>147119</v>
      </c>
    </row>
    <row r="2370">
      <c r="A2370" s="3" t="n">
        <v>2368</v>
      </c>
      <c r="B2370" s="3" t="inlineStr">
        <is>
          <t>9.3.1.8</t>
        </is>
      </c>
      <c r="C2370" s="3" t="inlineStr">
        <is>
          <t>Pemasangan 1 m Pipa HDPE, DN. 16" (400 mm)</t>
        </is>
      </c>
      <c r="D2370" s="3" t="inlineStr">
        <is>
          <t>m</t>
        </is>
      </c>
      <c r="E2370" s="4" t="n">
        <v>191665</v>
      </c>
    </row>
    <row r="2371">
      <c r="A2371" s="3" t="n">
        <v>2369</v>
      </c>
      <c r="B2371" s="3" t="inlineStr">
        <is>
          <t>9.3.1.9</t>
        </is>
      </c>
      <c r="C2371" s="3" t="inlineStr">
        <is>
          <t>Pemasangan 1 m Pipa HDPE, DN. 18" (450 mm)</t>
        </is>
      </c>
      <c r="D2371" s="3" t="inlineStr">
        <is>
          <t>m</t>
        </is>
      </c>
      <c r="E2371" s="4" t="n">
        <v>236280</v>
      </c>
    </row>
    <row r="2372">
      <c r="A2372" s="3" t="n">
        <v>2370</v>
      </c>
      <c r="B2372" s="3" t="inlineStr">
        <is>
          <t>9.3.1.10</t>
        </is>
      </c>
      <c r="C2372" s="3" t="inlineStr">
        <is>
          <t>Pemasangan 1 m Pipa HDPE, DN. 20" (500 mm)</t>
        </is>
      </c>
      <c r="D2372" s="3" t="inlineStr">
        <is>
          <t>m</t>
        </is>
      </c>
      <c r="E2372" s="4" t="n">
        <v>278660</v>
      </c>
    </row>
    <row r="2373">
      <c r="A2373" s="3" t="n">
        <v>2371</v>
      </c>
      <c r="B2373" s="3" t="inlineStr">
        <is>
          <t>9.3.1.11</t>
        </is>
      </c>
      <c r="C2373" s="3" t="inlineStr">
        <is>
          <t>Pemasangan 1 m Pipa HDPE, DN. 24" (600 mm)</t>
        </is>
      </c>
      <c r="D2373" s="3" t="inlineStr">
        <is>
          <t>m</t>
        </is>
      </c>
      <c r="E2373" s="4" t="n">
        <v>317543</v>
      </c>
    </row>
    <row r="2374">
      <c r="A2374" s="3" t="n">
        <v>2372</v>
      </c>
      <c r="B2374" s="3" t="inlineStr">
        <is>
          <t>9.3.1.12</t>
        </is>
      </c>
      <c r="C2374" s="3" t="inlineStr">
        <is>
          <t>Pemasangan 1 m Pipa HDPE, DN. 32" (800 mm)</t>
        </is>
      </c>
      <c r="D2374" s="3" t="inlineStr">
        <is>
          <t>m</t>
        </is>
      </c>
      <c r="E2374" s="4" t="n">
        <v>438519</v>
      </c>
    </row>
    <row r="2375">
      <c r="A2375" s="3" t="n">
        <v>2373</v>
      </c>
      <c r="B2375" s="3" t="inlineStr">
        <is>
          <t>9.3.1.13</t>
        </is>
      </c>
      <c r="C2375" s="3" t="inlineStr">
        <is>
          <t>Pemasangan 1 m Pipa HDPE, DN. 36" (900 mm)</t>
        </is>
      </c>
      <c r="D2375" s="3" t="inlineStr">
        <is>
          <t>m</t>
        </is>
      </c>
      <c r="E2375" s="4" t="n">
        <v>575771</v>
      </c>
    </row>
    <row r="2376">
      <c r="A2376" s="3" t="n">
        <v>2374</v>
      </c>
      <c r="B2376" s="3" t="inlineStr">
        <is>
          <t>9.3.1.14</t>
        </is>
      </c>
      <c r="C2376" s="3" t="inlineStr">
        <is>
          <t>Pemasangan 1 m Pipa HDPE, DN. 40" (1000 mm)</t>
        </is>
      </c>
      <c r="D2376" s="3" t="inlineStr">
        <is>
          <t>m</t>
        </is>
      </c>
      <c r="E2376" s="4" t="n">
        <v>686943</v>
      </c>
    </row>
    <row r="2377">
      <c r="A2377" s="3" t="n">
        <v>2375</v>
      </c>
      <c r="B2377" s="3" t="inlineStr">
        <is>
          <t>9.3.1.15</t>
        </is>
      </c>
      <c r="C2377" s="3" t="inlineStr">
        <is>
          <t>Pemasangan 1 m Pipa HDPE, DN. 44" (1100 mm)</t>
        </is>
      </c>
      <c r="D2377" s="3" t="inlineStr">
        <is>
          <t>m</t>
        </is>
      </c>
      <c r="E2377" s="4" t="n">
        <v>745959</v>
      </c>
    </row>
    <row r="2378">
      <c r="A2378" s="3" t="n">
        <v>2376</v>
      </c>
      <c r="B2378" s="3" t="inlineStr">
        <is>
          <t>9.3.1.16</t>
        </is>
      </c>
      <c r="C2378" s="3" t="inlineStr">
        <is>
          <t>Pemasangan 1 m Pipa HDPE, DN. 48" (1200 mm)</t>
        </is>
      </c>
      <c r="D2378" s="3" t="inlineStr">
        <is>
          <t>m</t>
        </is>
      </c>
      <c r="E2378" s="4" t="n">
        <v>927626</v>
      </c>
    </row>
    <row r="2379">
      <c r="A2379" s="3" t="n">
        <v>2377</v>
      </c>
      <c r="B2379" s="3" t="inlineStr">
        <is>
          <t>9.3.1.17</t>
        </is>
      </c>
      <c r="C2379" s="3" t="inlineStr">
        <is>
          <t>Pemasangan 1 m Pipa HDPE, DN. 1/2" (15 mm)</t>
        </is>
      </c>
      <c r="D2379" s="3" t="inlineStr">
        <is>
          <t>m</t>
        </is>
      </c>
      <c r="E2379" s="4" t="n">
        <v>18914</v>
      </c>
    </row>
    <row r="2380">
      <c r="A2380" s="3" t="n">
        <v>2378</v>
      </c>
      <c r="B2380" s="3" t="inlineStr">
        <is>
          <t>9.3.1.18</t>
        </is>
      </c>
      <c r="C2380" s="3" t="inlineStr">
        <is>
          <t>Pemasangan 1 m Pipa HDPE, DN. 3/4" (20 mm)</t>
        </is>
      </c>
      <c r="D2380" s="3" t="inlineStr">
        <is>
          <t>m</t>
        </is>
      </c>
      <c r="E2380" s="4" t="n">
        <v>24414</v>
      </c>
    </row>
    <row r="2381">
      <c r="A2381" s="3" t="n">
        <v>2379</v>
      </c>
      <c r="B2381" s="3" t="inlineStr">
        <is>
          <t>9.3.1.19</t>
        </is>
      </c>
      <c r="C2381" s="3" t="inlineStr">
        <is>
          <t>Pemasangan 1 m Pipa HDPE, DN. 1" (25 mm)</t>
        </is>
      </c>
      <c r="D2381" s="3" t="inlineStr">
        <is>
          <t>m</t>
        </is>
      </c>
      <c r="E2381" s="4" t="n">
        <v>29073</v>
      </c>
    </row>
    <row r="2382">
      <c r="A2382" s="3" t="n">
        <v>2380</v>
      </c>
      <c r="B2382" s="3" t="inlineStr">
        <is>
          <t>9.3.1.20</t>
        </is>
      </c>
      <c r="C2382" s="3" t="inlineStr">
        <is>
          <t>Pemasangan 1 m Pipa HDPE, DN. 1-1/4" (32 mm)</t>
        </is>
      </c>
      <c r="D2382" s="3" t="inlineStr">
        <is>
          <t>m</t>
        </is>
      </c>
      <c r="E2382" s="4" t="n">
        <v>30173</v>
      </c>
    </row>
    <row r="2383">
      <c r="A2383" s="3" t="n">
        <v>2381</v>
      </c>
      <c r="B2383" s="3" t="inlineStr">
        <is>
          <t>9.3.1.21</t>
        </is>
      </c>
      <c r="C2383" s="3" t="inlineStr">
        <is>
          <t>Pemasangan 1 m Pipa HDPE, DN. 1-1/2" (40 mm)</t>
        </is>
      </c>
      <c r="D2383" s="3" t="inlineStr">
        <is>
          <t>m</t>
        </is>
      </c>
      <c r="E2383" s="4" t="n">
        <v>31273</v>
      </c>
    </row>
    <row r="2384">
      <c r="A2384" s="3" t="n">
        <v>2382</v>
      </c>
      <c r="B2384" s="3" t="inlineStr">
        <is>
          <t>9.3.1.22</t>
        </is>
      </c>
      <c r="C2384" s="3" t="inlineStr">
        <is>
          <t>Pemasangan 1 m Pipa HDPE, DN. 2" (50 mm)</t>
        </is>
      </c>
      <c r="D2384" s="3" t="inlineStr">
        <is>
          <t>m</t>
        </is>
      </c>
      <c r="E2384" s="4" t="n">
        <v>33621</v>
      </c>
    </row>
    <row r="2385">
      <c r="A2385" s="3" t="n">
        <v>2383</v>
      </c>
      <c r="B2385" s="3" t="inlineStr">
        <is>
          <t>9.3.1.23</t>
        </is>
      </c>
      <c r="C2385" s="3" t="inlineStr">
        <is>
          <t>Pemasangan 1 m Pipa HDPE, DN. 3" (75 mm)</t>
        </is>
      </c>
      <c r="D2385" s="3" t="inlineStr">
        <is>
          <t>m</t>
        </is>
      </c>
      <c r="E2385" s="4" t="n">
        <v>43078</v>
      </c>
    </row>
    <row r="2386">
      <c r="A2386" s="3" t="n">
        <v>2384</v>
      </c>
      <c r="B2386" s="3" t="inlineStr">
        <is>
          <t>9.3.1.24</t>
        </is>
      </c>
      <c r="C2386" s="3" t="inlineStr">
        <is>
          <t>Pemasangan 1 m Pipa HDPE, DN. 3.5" (90 mm)</t>
        </is>
      </c>
      <c r="D2386" s="3" t="inlineStr">
        <is>
          <t>m</t>
        </is>
      </c>
      <c r="E2386" s="4" t="n">
        <v>49117</v>
      </c>
    </row>
    <row r="2387">
      <c r="A2387" s="3" t="n">
        <v>2385</v>
      </c>
      <c r="B2387" s="3" t="inlineStr">
        <is>
          <t>9.3.1.25</t>
        </is>
      </c>
      <c r="C2387" s="3" t="inlineStr">
        <is>
          <t>Pemasangan 1 m Pipa HDPE, DN. 7" (180 mm)</t>
        </is>
      </c>
      <c r="D2387" s="3" t="inlineStr">
        <is>
          <t>m</t>
        </is>
      </c>
      <c r="E2387" s="4" t="n">
        <v>75066</v>
      </c>
    </row>
    <row r="2388">
      <c r="A2388" s="3" t="n">
        <v>2386</v>
      </c>
      <c r="B2388" s="3" t="inlineStr">
        <is>
          <t>9.3.1.26</t>
        </is>
      </c>
      <c r="C2388" s="3" t="inlineStr">
        <is>
          <t>Pemasangan 1 m Pipa HDPE, DN. 9" (225 mm)</t>
        </is>
      </c>
      <c r="D2388" s="3" t="inlineStr">
        <is>
          <t>m</t>
        </is>
      </c>
      <c r="E2388" s="4" t="n">
        <v>114485</v>
      </c>
    </row>
    <row r="2389">
      <c r="A2389" s="3" t="n">
        <v>2387</v>
      </c>
      <c r="B2389" s="3" t="inlineStr">
        <is>
          <t>9.3.1.27</t>
        </is>
      </c>
      <c r="C2389" s="3" t="inlineStr">
        <is>
          <t>Pemasangan 1 m Pipa HDPE, DN. 14" (355 mm)</t>
        </is>
      </c>
      <c r="D2389" s="3" t="inlineStr">
        <is>
          <t>m</t>
        </is>
      </c>
      <c r="E2389" s="4" t="n">
        <v>154678</v>
      </c>
    </row>
    <row r="2390">
      <c r="A2390" s="3" t="n">
        <v>2388</v>
      </c>
      <c r="B2390" s="3" t="inlineStr">
        <is>
          <t>9.3.1.28</t>
        </is>
      </c>
      <c r="C2390" s="3" t="inlineStr">
        <is>
          <t>Pemasangan 1 m Pipa HDPE, DN. 22" (560 mm)</t>
        </is>
      </c>
      <c r="D2390" s="3" t="inlineStr">
        <is>
          <t>m</t>
        </is>
      </c>
      <c r="E2390" s="4" t="n">
        <v>298426</v>
      </c>
    </row>
    <row r="2391">
      <c r="A2391" s="3" t="n">
        <v>2389</v>
      </c>
      <c r="B2391" s="3" t="inlineStr">
        <is>
          <t>9.3.1.29</t>
        </is>
      </c>
      <c r="C2391" s="3" t="inlineStr">
        <is>
          <t>Pemasangan 1 m Pipa HDPE, DN. 28" (710 mm)</t>
        </is>
      </c>
      <c r="D2391" s="3" t="inlineStr">
        <is>
          <t>m</t>
        </is>
      </c>
      <c r="E2391" s="4" t="n">
        <v>377366</v>
      </c>
    </row>
    <row r="2392">
      <c r="A2392" s="3" t="n">
        <v>2390</v>
      </c>
      <c r="B2392" s="3" t="inlineStr">
        <is>
          <t>9.3.2.1</t>
        </is>
      </c>
      <c r="C2392" s="3" t="inlineStr">
        <is>
          <t>Pemotongan 1 Buah Pipa HDPE, DN. 2-1/2" (65 mm)</t>
        </is>
      </c>
      <c r="D2392" s="3" t="inlineStr">
        <is>
          <t>buah</t>
        </is>
      </c>
      <c r="E2392" s="4" t="n">
        <v>753</v>
      </c>
    </row>
    <row r="2393">
      <c r="A2393" s="3" t="n">
        <v>2391</v>
      </c>
      <c r="B2393" s="3" t="inlineStr">
        <is>
          <t>9.3.2.2</t>
        </is>
      </c>
      <c r="C2393" s="3" t="inlineStr">
        <is>
          <t>Pemotongan 1 Buah Pipa HDPE, DN. 4" (100 mm)</t>
        </is>
      </c>
      <c r="D2393" s="3" t="inlineStr">
        <is>
          <t>buah</t>
        </is>
      </c>
      <c r="E2393" s="4" t="n">
        <v>1771</v>
      </c>
    </row>
    <row r="2394">
      <c r="A2394" s="3" t="n">
        <v>2392</v>
      </c>
      <c r="B2394" s="3" t="inlineStr">
        <is>
          <t>9.3.2.3</t>
        </is>
      </c>
      <c r="C2394" s="3" t="inlineStr">
        <is>
          <t>Pemotongan 1 Buah Pipa HDPE, DN. 5" (125 mm)</t>
        </is>
      </c>
      <c r="D2394" s="3" t="inlineStr">
        <is>
          <t>buah</t>
        </is>
      </c>
      <c r="E2394" s="4" t="n">
        <v>2502</v>
      </c>
    </row>
    <row r="2395">
      <c r="A2395" s="3" t="n">
        <v>2393</v>
      </c>
      <c r="B2395" s="3" t="inlineStr">
        <is>
          <t>9.3.2.4</t>
        </is>
      </c>
      <c r="C2395" s="3" t="inlineStr">
        <is>
          <t>Pemotongan 1 Buah Pipa HDPE, DN. 6" (150 mm)</t>
        </is>
      </c>
      <c r="D2395" s="3" t="inlineStr">
        <is>
          <t>buah</t>
        </is>
      </c>
      <c r="E2395" s="4" t="n">
        <v>4218</v>
      </c>
    </row>
    <row r="2396">
      <c r="A2396" s="3" t="n">
        <v>2394</v>
      </c>
      <c r="B2396" s="3" t="inlineStr">
        <is>
          <t>9.3.2.5</t>
        </is>
      </c>
      <c r="C2396" s="3" t="inlineStr">
        <is>
          <t>Pemotongan 1 Buah Pipa HDPE, DN. 8" (200 mm)</t>
        </is>
      </c>
      <c r="D2396" s="3" t="inlineStr">
        <is>
          <t>buah</t>
        </is>
      </c>
      <c r="E2396" s="4" t="n">
        <v>10631</v>
      </c>
    </row>
    <row r="2397">
      <c r="A2397" s="3" t="n">
        <v>2395</v>
      </c>
      <c r="B2397" s="3" t="inlineStr">
        <is>
          <t>9.3.2.6</t>
        </is>
      </c>
      <c r="C2397" s="3" t="inlineStr">
        <is>
          <t>Pemotongan 1 Buah Pipa HDPE, DN. 10" (250 mm)</t>
        </is>
      </c>
      <c r="D2397" s="3" t="inlineStr">
        <is>
          <t>buah</t>
        </is>
      </c>
      <c r="E2397" s="4" t="n">
        <v>16071</v>
      </c>
    </row>
    <row r="2398">
      <c r="A2398" s="3" t="n">
        <v>2396</v>
      </c>
      <c r="B2398" s="3" t="inlineStr">
        <is>
          <t>9.3.2.7</t>
        </is>
      </c>
      <c r="C2398" s="3" t="inlineStr">
        <is>
          <t>Pemotongan 1 Buah Pipa HDPE, DN. 12" (300 mm)</t>
        </is>
      </c>
      <c r="D2398" s="3" t="inlineStr">
        <is>
          <t>buah</t>
        </is>
      </c>
      <c r="E2398" s="4" t="n">
        <v>21532</v>
      </c>
    </row>
    <row r="2399">
      <c r="A2399" s="3" t="n">
        <v>2397</v>
      </c>
      <c r="B2399" s="3" t="inlineStr">
        <is>
          <t>9.3.2.8</t>
        </is>
      </c>
      <c r="C2399" s="3" t="inlineStr">
        <is>
          <t>Pemotongan 1 Buah Pipa HDPE, DN. 16" (400 mm)</t>
        </is>
      </c>
      <c r="D2399" s="3" t="inlineStr">
        <is>
          <t>buah</t>
        </is>
      </c>
      <c r="E2399" s="4" t="n">
        <v>42003</v>
      </c>
    </row>
    <row r="2400">
      <c r="A2400" s="3" t="n">
        <v>2398</v>
      </c>
      <c r="B2400" s="3" t="inlineStr">
        <is>
          <t>9.3.2.9</t>
        </is>
      </c>
      <c r="C2400" s="3" t="inlineStr">
        <is>
          <t>Pemotongan 1 Buah Pipa HDPE, DN. 18" (450 mm)</t>
        </is>
      </c>
      <c r="D2400" s="3" t="inlineStr">
        <is>
          <t>buah</t>
        </is>
      </c>
      <c r="E2400" s="4" t="n">
        <v>53608</v>
      </c>
    </row>
    <row r="2401">
      <c r="A2401" s="3" t="n">
        <v>2399</v>
      </c>
      <c r="B2401" s="3" t="inlineStr">
        <is>
          <t>9.3.2.10</t>
        </is>
      </c>
      <c r="C2401" s="3" t="inlineStr">
        <is>
          <t>Pemotongan 1 Buah Pipa HDPE, DN. 20" (500 mm)</t>
        </is>
      </c>
      <c r="D2401" s="3" t="inlineStr">
        <is>
          <t>buah</t>
        </is>
      </c>
      <c r="E2401" s="4" t="n">
        <v>65813</v>
      </c>
    </row>
    <row r="2402">
      <c r="A2402" s="3" t="n">
        <v>2400</v>
      </c>
      <c r="B2402" s="3" t="inlineStr">
        <is>
          <t>9.3.2.11</t>
        </is>
      </c>
      <c r="C2402" s="3" t="inlineStr">
        <is>
          <t>Pemotongan 1 Buah Pipa HDPE, DN. 24" (600 mm)</t>
        </is>
      </c>
      <c r="D2402" s="3" t="inlineStr">
        <is>
          <t>buah</t>
        </is>
      </c>
      <c r="E2402" s="4" t="n">
        <v>78859</v>
      </c>
    </row>
    <row r="2403">
      <c r="A2403" s="3" t="n">
        <v>2401</v>
      </c>
      <c r="B2403" s="3" t="inlineStr">
        <is>
          <t>9.3.2.12</t>
        </is>
      </c>
      <c r="C2403" s="3" t="inlineStr">
        <is>
          <t>Pemotongan 1 Buah Pipa HDPE, DN. 32" (800 mm)</t>
        </is>
      </c>
      <c r="D2403" s="3" t="inlineStr">
        <is>
          <t>buah</t>
        </is>
      </c>
      <c r="E2403" s="4" t="n">
        <v>142087</v>
      </c>
    </row>
    <row r="2404">
      <c r="A2404" s="3" t="n">
        <v>2402</v>
      </c>
      <c r="B2404" s="3" t="inlineStr">
        <is>
          <t>9.3.2.13</t>
        </is>
      </c>
      <c r="C2404" s="3" t="inlineStr">
        <is>
          <t>Pemotongan 1 Buah Pipa HDPE, DN. 36" (900 mm)</t>
        </is>
      </c>
      <c r="D2404" s="3" t="inlineStr">
        <is>
          <t>buah</t>
        </is>
      </c>
      <c r="E2404" s="4" t="n">
        <v>217437</v>
      </c>
    </row>
    <row r="2405">
      <c r="A2405" s="3" t="n">
        <v>2403</v>
      </c>
      <c r="B2405" s="3" t="inlineStr">
        <is>
          <t>9.3.2.14</t>
        </is>
      </c>
      <c r="C2405" s="3" t="inlineStr">
        <is>
          <t>Pemotongan 1 Buah Pipa HDPE, DN. 40" (1000 mm)</t>
        </is>
      </c>
      <c r="D2405" s="3" t="inlineStr">
        <is>
          <t>buah</t>
        </is>
      </c>
      <c r="E2405" s="4" t="n">
        <v>267619</v>
      </c>
    </row>
    <row r="2406">
      <c r="A2406" s="3" t="n">
        <v>2404</v>
      </c>
      <c r="B2406" s="3" t="inlineStr">
        <is>
          <t>9.3.2.15</t>
        </is>
      </c>
      <c r="C2406" s="3" t="inlineStr">
        <is>
          <t>Pemotongan 1 Buah Pipa HDPE, DN. 44" (1100 mm)</t>
        </is>
      </c>
      <c r="D2406" s="3" t="inlineStr">
        <is>
          <t>buah</t>
        </is>
      </c>
      <c r="E2406" s="4" t="n">
        <v>292303</v>
      </c>
    </row>
    <row r="2407">
      <c r="A2407" s="3" t="n">
        <v>2405</v>
      </c>
      <c r="B2407" s="3" t="inlineStr">
        <is>
          <t>9.3.2.16</t>
        </is>
      </c>
      <c r="C2407" s="3" t="inlineStr">
        <is>
          <t>Pemotongan 1 Buah Pipa HDPE, DN. 48" (1200 mm)</t>
        </is>
      </c>
      <c r="D2407" s="3" t="inlineStr">
        <is>
          <t>buah</t>
        </is>
      </c>
      <c r="E2407" s="4" t="n">
        <v>382118</v>
      </c>
    </row>
    <row r="2408">
      <c r="A2408" s="3" t="n">
        <v>2406</v>
      </c>
      <c r="B2408" s="3" t="inlineStr">
        <is>
          <t>9.3.3.1</t>
        </is>
      </c>
      <c r="C2408" s="3" t="inlineStr">
        <is>
          <t>Pengelasan 1 m Pipa HDPE, DN. 2.5” (63 mm)</t>
        </is>
      </c>
      <c r="D2408" s="3" t="inlineStr">
        <is>
          <t>buah</t>
        </is>
      </c>
      <c r="E2408" s="4" t="n">
        <v>189442</v>
      </c>
    </row>
    <row r="2409">
      <c r="A2409" s="3" t="n">
        <v>2407</v>
      </c>
      <c r="B2409" s="3" t="inlineStr">
        <is>
          <t>9.3.3.2</t>
        </is>
      </c>
      <c r="C2409" s="3" t="inlineStr">
        <is>
          <t>Pengelasan 1 m Pipa HDPE, DN. 3,5” (90 mm)</t>
        </is>
      </c>
      <c r="D2409" s="3" t="inlineStr">
        <is>
          <t>buah</t>
        </is>
      </c>
      <c r="E2409" s="4" t="n">
        <v>189442</v>
      </c>
    </row>
    <row r="2410">
      <c r="A2410" s="3" t="n">
        <v>2408</v>
      </c>
      <c r="B2410" s="3" t="inlineStr">
        <is>
          <t>9.3.3.3</t>
        </is>
      </c>
      <c r="C2410" s="3" t="inlineStr">
        <is>
          <t>Pengelasan 1 m Pipa HDPE, DN. 4” (110 mm)</t>
        </is>
      </c>
      <c r="D2410" s="3" t="inlineStr">
        <is>
          <t>buah</t>
        </is>
      </c>
      <c r="E2410" s="4" t="n">
        <v>387783</v>
      </c>
    </row>
    <row r="2411">
      <c r="A2411" s="3" t="n">
        <v>2409</v>
      </c>
      <c r="B2411" s="3" t="inlineStr">
        <is>
          <t>9.3.3.4</t>
        </is>
      </c>
      <c r="C2411" s="3" t="inlineStr">
        <is>
          <t>Pengelasan 1 m Pipa HDPE, DN. 6” (160 mm)</t>
        </is>
      </c>
      <c r="D2411" s="3" t="inlineStr">
        <is>
          <t>buah</t>
        </is>
      </c>
      <c r="E2411" s="4" t="n">
        <v>407522</v>
      </c>
    </row>
    <row r="2412">
      <c r="A2412" s="3" t="n">
        <v>2410</v>
      </c>
      <c r="B2412" s="3" t="inlineStr">
        <is>
          <t>9.3.3.5</t>
        </is>
      </c>
      <c r="C2412" s="3" t="inlineStr">
        <is>
          <t>Pengelasan 1 m Pipa HDPE, DN. 8” (200 mm)</t>
        </is>
      </c>
      <c r="D2412" s="3" t="inlineStr">
        <is>
          <t>buah</t>
        </is>
      </c>
      <c r="E2412" s="4" t="n">
        <v>498118</v>
      </c>
    </row>
    <row r="2413">
      <c r="A2413" s="3" t="n">
        <v>2411</v>
      </c>
      <c r="B2413" s="3" t="inlineStr">
        <is>
          <t>9.3.3.6</t>
        </is>
      </c>
      <c r="C2413" s="3" t="inlineStr">
        <is>
          <t>Pengelasan 1 m Pipa HDPE, DN. 10” (250 mm)</t>
        </is>
      </c>
      <c r="D2413" s="3" t="inlineStr">
        <is>
          <t>buah</t>
        </is>
      </c>
      <c r="E2413" s="4" t="n">
        <v>605374</v>
      </c>
    </row>
    <row r="2414">
      <c r="A2414" s="3" t="n">
        <v>2412</v>
      </c>
      <c r="B2414" s="3" t="inlineStr">
        <is>
          <t>9.3.3.7</t>
        </is>
      </c>
      <c r="C2414" s="3" t="inlineStr">
        <is>
          <t>Pengelasan 1 m Pipa HDPE, DN. 12” (315 mm)</t>
        </is>
      </c>
      <c r="D2414" s="3" t="inlineStr">
        <is>
          <t>buah</t>
        </is>
      </c>
      <c r="E2414" s="4" t="n">
        <v>746927</v>
      </c>
    </row>
    <row r="2415">
      <c r="A2415" s="3" t="n">
        <v>2413</v>
      </c>
      <c r="B2415" s="3" t="inlineStr">
        <is>
          <t>9.3.3.8</t>
        </is>
      </c>
      <c r="C2415" s="3" t="inlineStr">
        <is>
          <t>Pengelasan 1 m Pipa HDPE, DN. 16” (400 mm)</t>
        </is>
      </c>
      <c r="D2415" s="3" t="inlineStr">
        <is>
          <t>buah</t>
        </is>
      </c>
      <c r="E2415" s="4" t="n">
        <v>927960</v>
      </c>
    </row>
    <row r="2416">
      <c r="A2416" s="3" t="n">
        <v>2414</v>
      </c>
      <c r="B2416" s="3" t="inlineStr">
        <is>
          <t>9.3.3.9</t>
        </is>
      </c>
      <c r="C2416" s="3" t="inlineStr">
        <is>
          <t>Pengelasan 1 m Pipa HDPE, DN. 20” (500 mm)</t>
        </is>
      </c>
      <c r="D2416" s="3" t="inlineStr">
        <is>
          <t>buah</t>
        </is>
      </c>
      <c r="E2416" s="4" t="n">
        <v>1148950</v>
      </c>
    </row>
    <row r="2417">
      <c r="A2417" s="3" t="n">
        <v>2415</v>
      </c>
      <c r="B2417" s="3" t="inlineStr">
        <is>
          <t>9.3.3.10</t>
        </is>
      </c>
      <c r="C2417" s="3" t="inlineStr">
        <is>
          <t>Pengelasan 1 m Pipa HDPE, DN. 24” (600 mm)</t>
        </is>
      </c>
      <c r="D2417" s="3" t="inlineStr">
        <is>
          <t>buah</t>
        </is>
      </c>
      <c r="E2417" s="4" t="n">
        <v>1437238</v>
      </c>
    </row>
    <row r="2418">
      <c r="A2418" s="3" t="n">
        <v>2416</v>
      </c>
      <c r="B2418" s="3" t="inlineStr">
        <is>
          <t>9.3.3.11</t>
        </is>
      </c>
      <c r="C2418" s="3" t="inlineStr">
        <is>
          <t>Pengelasan 1 m Pipa HDPE, DN. 28” (700 mm)</t>
        </is>
      </c>
      <c r="D2418" s="3" t="inlineStr">
        <is>
          <t>buah</t>
        </is>
      </c>
      <c r="E2418" s="4" t="n">
        <v>1737175</v>
      </c>
    </row>
    <row r="2419">
      <c r="A2419" s="3" t="n">
        <v>2417</v>
      </c>
      <c r="B2419" s="3" t="inlineStr">
        <is>
          <t>9.3.3.12</t>
        </is>
      </c>
      <c r="C2419" s="3" t="inlineStr">
        <is>
          <t>Pengelasan 1 m Pipa HDPE, DN. 30” (800 mm)</t>
        </is>
      </c>
      <c r="D2419" s="3" t="inlineStr">
        <is>
          <t>buah</t>
        </is>
      </c>
      <c r="E2419" s="4" t="n">
        <v>2011713</v>
      </c>
    </row>
    <row r="2420">
      <c r="A2420" s="3" t="n">
        <v>2418</v>
      </c>
      <c r="B2420" s="3" t="inlineStr">
        <is>
          <t>9.3.3.13</t>
        </is>
      </c>
      <c r="C2420" s="3" t="inlineStr">
        <is>
          <t>Pengelasan 1 m Pipa HDPE, DN. 35” (900 mm)</t>
        </is>
      </c>
      <c r="D2420" s="3" t="inlineStr">
        <is>
          <t>buah</t>
        </is>
      </c>
      <c r="E2420" s="4" t="n">
        <v>2286251</v>
      </c>
    </row>
    <row r="2421">
      <c r="A2421" s="3" t="n">
        <v>2419</v>
      </c>
      <c r="B2421" s="3" t="inlineStr">
        <is>
          <t>9.3.3.14</t>
        </is>
      </c>
      <c r="C2421" s="3" t="inlineStr">
        <is>
          <t>Pengelasan 1 m Pipa HDPE, DN. 40” (1000 mm)</t>
        </is>
      </c>
      <c r="D2421" s="3" t="inlineStr">
        <is>
          <t>buah</t>
        </is>
      </c>
      <c r="E2421" s="4" t="n">
        <v>2560789</v>
      </c>
    </row>
    <row r="2422">
      <c r="A2422" s="3" t="n">
        <v>2420</v>
      </c>
      <c r="B2422" s="3" t="inlineStr">
        <is>
          <t>9.3.3.15</t>
        </is>
      </c>
      <c r="C2422" s="3" t="inlineStr">
        <is>
          <t>Pengelasan 1 m Pipa HDPE, DN. 45” (1100 mm)</t>
        </is>
      </c>
      <c r="D2422" s="3" t="inlineStr">
        <is>
          <t>buah</t>
        </is>
      </c>
      <c r="E2422" s="4" t="n">
        <v>2835327</v>
      </c>
    </row>
    <row r="2423">
      <c r="A2423" s="3" t="n">
        <v>2421</v>
      </c>
      <c r="B2423" s="3" t="inlineStr">
        <is>
          <t>9.3.3.16</t>
        </is>
      </c>
      <c r="C2423" s="3" t="inlineStr">
        <is>
          <t>Pengelasan 1 m Pipa HDPE, DN. 48” (1200 mm)</t>
        </is>
      </c>
      <c r="D2423" s="3" t="inlineStr">
        <is>
          <t>buah</t>
        </is>
      </c>
      <c r="E2423" s="4" t="n">
        <v>3112455</v>
      </c>
    </row>
    <row r="2424">
      <c r="A2424" s="3" t="n">
        <v>2422</v>
      </c>
      <c r="B2424" s="3" t="inlineStr">
        <is>
          <t>9.4.1.1</t>
        </is>
      </c>
      <c r="C2424" s="3" t="inlineStr">
        <is>
          <t>Pemasangan 1 m Pipa DCI, DN. 4" (100 mm)</t>
        </is>
      </c>
      <c r="D2424" s="3" t="inlineStr">
        <is>
          <t>m</t>
        </is>
      </c>
      <c r="E2424" s="4" t="n">
        <v>1316645</v>
      </c>
    </row>
    <row r="2425">
      <c r="A2425" s="3" t="n">
        <v>2423</v>
      </c>
      <c r="B2425" s="3" t="inlineStr">
        <is>
          <t>9.4.1.2</t>
        </is>
      </c>
      <c r="C2425" s="3" t="inlineStr">
        <is>
          <t>Pemasangan 1 m Pipa DCI, DN. 5" (125 mm)</t>
        </is>
      </c>
      <c r="D2425" s="3" t="inlineStr">
        <is>
          <t>m</t>
        </is>
      </c>
      <c r="E2425" s="4" t="n">
        <v>1344799</v>
      </c>
    </row>
    <row r="2426">
      <c r="A2426" s="3" t="n">
        <v>2424</v>
      </c>
      <c r="B2426" s="3" t="inlineStr">
        <is>
          <t>9.4.1.3</t>
        </is>
      </c>
      <c r="C2426" s="3" t="inlineStr">
        <is>
          <t>Pemasangan 1 m Pipa DCI, DN. 6" (150 mm)</t>
        </is>
      </c>
      <c r="D2426" s="3" t="inlineStr">
        <is>
          <t>m</t>
        </is>
      </c>
      <c r="E2426" s="4" t="n">
        <v>1575612</v>
      </c>
    </row>
    <row r="2427">
      <c r="A2427" s="3" t="n">
        <v>2425</v>
      </c>
      <c r="B2427" s="3" t="inlineStr">
        <is>
          <t>9.4.1.4</t>
        </is>
      </c>
      <c r="C2427" s="3" t="inlineStr">
        <is>
          <t>Pemasangan 1 m Pipa DCI, DN. 8" (200 mm)</t>
        </is>
      </c>
      <c r="D2427" s="3" t="inlineStr">
        <is>
          <t>m</t>
        </is>
      </c>
      <c r="E2427" s="4" t="n">
        <v>1780168</v>
      </c>
    </row>
    <row r="2428">
      <c r="A2428" s="3" t="n">
        <v>2426</v>
      </c>
      <c r="B2428" s="3" t="inlineStr">
        <is>
          <t>9.4.1.5</t>
        </is>
      </c>
      <c r="C2428" s="3" t="inlineStr">
        <is>
          <t>Pemasangan 1 m Pipa DCI, DN. 10" (250 mm)</t>
        </is>
      </c>
      <c r="D2428" s="3" t="inlineStr">
        <is>
          <t>m</t>
        </is>
      </c>
      <c r="E2428" s="4" t="n">
        <v>1888755</v>
      </c>
    </row>
    <row r="2429">
      <c r="A2429" s="3" t="n">
        <v>2427</v>
      </c>
      <c r="B2429" s="3" t="inlineStr">
        <is>
          <t>9.4.1.6</t>
        </is>
      </c>
      <c r="C2429" s="3" t="inlineStr">
        <is>
          <t>Pemasangan 1 m Pipa DCI, DN. 12" (300 mm)</t>
        </is>
      </c>
      <c r="D2429" s="3" t="inlineStr">
        <is>
          <t>m</t>
        </is>
      </c>
      <c r="E2429" s="4" t="n">
        <v>1971907</v>
      </c>
    </row>
    <row r="2430">
      <c r="A2430" s="3" t="n">
        <v>2428</v>
      </c>
      <c r="B2430" s="3" t="inlineStr">
        <is>
          <t>9.4.1.7</t>
        </is>
      </c>
      <c r="C2430" s="3" t="inlineStr">
        <is>
          <t>Pemasangan 1 m Pipa DCI, DN. 16" (400 mm)</t>
        </is>
      </c>
      <c r="D2430" s="3" t="inlineStr">
        <is>
          <t>m</t>
        </is>
      </c>
      <c r="E2430" s="4" t="n">
        <v>2356093</v>
      </c>
    </row>
    <row r="2431">
      <c r="A2431" s="3" t="n">
        <v>2429</v>
      </c>
      <c r="B2431" s="3" t="inlineStr">
        <is>
          <t>9.4.1.8</t>
        </is>
      </c>
      <c r="C2431" s="3" t="inlineStr">
        <is>
          <t>Pemasangan 1 m Pipa DCI, DN. 18" (450 mm)</t>
        </is>
      </c>
      <c r="D2431" s="3" t="inlineStr">
        <is>
          <t>m</t>
        </is>
      </c>
      <c r="E2431" s="4" t="n">
        <v>2501066</v>
      </c>
    </row>
    <row r="2432">
      <c r="A2432" s="3" t="n">
        <v>2430</v>
      </c>
      <c r="B2432" s="3" t="inlineStr">
        <is>
          <t>9.4.1.9</t>
        </is>
      </c>
      <c r="C2432" s="3" t="inlineStr">
        <is>
          <t>Pemasangan 1 m Pipa DCI, DN. 20" (500 mm)</t>
        </is>
      </c>
      <c r="D2432" s="3" t="inlineStr">
        <is>
          <t>m</t>
        </is>
      </c>
      <c r="E2432" s="4" t="n">
        <v>2689461</v>
      </c>
    </row>
    <row r="2433">
      <c r="A2433" s="3" t="n">
        <v>2431</v>
      </c>
      <c r="B2433" s="3" t="inlineStr">
        <is>
          <t>9.4.1.10</t>
        </is>
      </c>
      <c r="C2433" s="3" t="inlineStr">
        <is>
          <t>Pemasangan 1 m Pipa DCI, DN. 24" (600 mm)</t>
        </is>
      </c>
      <c r="D2433" s="3" t="inlineStr">
        <is>
          <t>m</t>
        </is>
      </c>
      <c r="E2433" s="4" t="n">
        <v>3138708</v>
      </c>
    </row>
    <row r="2434">
      <c r="A2434" s="3" t="n">
        <v>2432</v>
      </c>
      <c r="B2434" s="3" t="inlineStr">
        <is>
          <t>9.4.1.11</t>
        </is>
      </c>
      <c r="C2434" s="3" t="inlineStr">
        <is>
          <t>Pemasangan 1 m Pipa DCI, DN. 32" (800 mm)</t>
        </is>
      </c>
      <c r="D2434" s="3" t="inlineStr">
        <is>
          <t>m</t>
        </is>
      </c>
      <c r="E2434" s="4" t="n">
        <v>3731134</v>
      </c>
    </row>
    <row r="2435">
      <c r="A2435" s="3" t="n">
        <v>2433</v>
      </c>
      <c r="B2435" s="3" t="inlineStr">
        <is>
          <t>9.4.1.12</t>
        </is>
      </c>
      <c r="C2435" s="3" t="inlineStr">
        <is>
          <t>Pemasangan 1 m Pipa DCI, DN. 36" (900 mm)</t>
        </is>
      </c>
      <c r="D2435" s="3" t="inlineStr">
        <is>
          <t>m</t>
        </is>
      </c>
      <c r="E2435" s="4" t="n">
        <v>4058877</v>
      </c>
    </row>
    <row r="2436">
      <c r="A2436" s="3" t="n">
        <v>2434</v>
      </c>
      <c r="B2436" s="3" t="inlineStr">
        <is>
          <t>9.4.1.13</t>
        </is>
      </c>
      <c r="C2436" s="3" t="inlineStr">
        <is>
          <t>Pemasangan 1 m Pipa DCI, DN. 40" (1000 mm)</t>
        </is>
      </c>
      <c r="D2436" s="3" t="inlineStr">
        <is>
          <t>m</t>
        </is>
      </c>
      <c r="E2436" s="4" t="n">
        <v>4490919</v>
      </c>
    </row>
    <row r="2437">
      <c r="A2437" s="3" t="n">
        <v>2435</v>
      </c>
      <c r="B2437" s="3" t="inlineStr">
        <is>
          <t>9.4.1.14</t>
        </is>
      </c>
      <c r="C2437" s="3" t="inlineStr">
        <is>
          <t>Pemasangan 1 m Pipa DCI, DN. 44" (1100 mm)</t>
        </is>
      </c>
      <c r="D2437" s="3" t="inlineStr">
        <is>
          <t>m</t>
        </is>
      </c>
      <c r="E2437" s="4" t="n">
        <v>5039190</v>
      </c>
    </row>
    <row r="2438">
      <c r="A2438" s="3" t="n">
        <v>2436</v>
      </c>
      <c r="B2438" s="3" t="inlineStr">
        <is>
          <t>9.4.1.15</t>
        </is>
      </c>
      <c r="C2438" s="3" t="inlineStr">
        <is>
          <t>Pemasangan 1 m Pipa DCI, DN. 48" (1200 mm)</t>
        </is>
      </c>
      <c r="D2438" s="3" t="inlineStr">
        <is>
          <t>m</t>
        </is>
      </c>
      <c r="E2438" s="4" t="n">
        <v>2630622</v>
      </c>
    </row>
    <row r="2439">
      <c r="A2439" s="3" t="n">
        <v>2437</v>
      </c>
      <c r="B2439" s="3" t="inlineStr">
        <is>
          <t>9.4.2.1</t>
        </is>
      </c>
      <c r="C2439" s="3" t="inlineStr">
        <is>
          <t>Pemotongan 1 Buah Pipa DCI, DN. 4" (100 mm)</t>
        </is>
      </c>
      <c r="D2439" s="3" t="inlineStr">
        <is>
          <t>buah</t>
        </is>
      </c>
      <c r="E2439" s="4" t="n">
        <v>11830</v>
      </c>
    </row>
    <row r="2440">
      <c r="A2440" s="3" t="n">
        <v>2438</v>
      </c>
      <c r="B2440" s="3" t="inlineStr">
        <is>
          <t>9.4.2.2</t>
        </is>
      </c>
      <c r="C2440" s="3" t="inlineStr">
        <is>
          <t>Pemotongan 1 Buah Pipa DCI, DN. 5" (125 mm)</t>
        </is>
      </c>
      <c r="D2440" s="3" t="inlineStr">
        <is>
          <t>buah</t>
        </is>
      </c>
      <c r="E2440" s="4" t="n">
        <v>19074</v>
      </c>
    </row>
    <row r="2441">
      <c r="A2441" s="3" t="n">
        <v>2439</v>
      </c>
      <c r="B2441" s="3" t="inlineStr">
        <is>
          <t>9.4.2.3</t>
        </is>
      </c>
      <c r="C2441" s="3" t="inlineStr">
        <is>
          <t>Pemotongan 1 Buah Pipa DCI, DN. 6" (150 mm)</t>
        </is>
      </c>
      <c r="D2441" s="3" t="inlineStr">
        <is>
          <t>buah</t>
        </is>
      </c>
      <c r="E2441" s="4" t="n">
        <v>27599</v>
      </c>
    </row>
    <row r="2442">
      <c r="A2442" s="3" t="n">
        <v>2440</v>
      </c>
      <c r="B2442" s="3" t="inlineStr">
        <is>
          <t>9.4.2.4</t>
        </is>
      </c>
      <c r="C2442" s="3" t="inlineStr">
        <is>
          <t>Pemotongan 1 Buah Pipa DCI, DN. 8" (200 mm)</t>
        </is>
      </c>
      <c r="D2442" s="3" t="inlineStr">
        <is>
          <t>buah</t>
        </is>
      </c>
      <c r="E2442" s="4" t="n">
        <v>64498</v>
      </c>
    </row>
    <row r="2443">
      <c r="A2443" s="3" t="n">
        <v>2441</v>
      </c>
      <c r="B2443" s="3" t="inlineStr">
        <is>
          <t>9.4.2.5</t>
        </is>
      </c>
      <c r="C2443" s="3" t="inlineStr">
        <is>
          <t>Pemotongan 1 Buah Pipa DCI, DN. 10" (250 mm)</t>
        </is>
      </c>
      <c r="D2443" s="3" t="inlineStr">
        <is>
          <t>buah</t>
        </is>
      </c>
      <c r="E2443" s="4" t="n">
        <v>84095</v>
      </c>
    </row>
    <row r="2444">
      <c r="A2444" s="3" t="n">
        <v>2442</v>
      </c>
      <c r="B2444" s="3" t="inlineStr">
        <is>
          <t>9.4.2.6</t>
        </is>
      </c>
      <c r="C2444" s="3" t="inlineStr">
        <is>
          <t>Pemotongan 1 Buah Pipa DCI, DN. 12" (300 mm)</t>
        </is>
      </c>
      <c r="D2444" s="3" t="inlineStr">
        <is>
          <t>buah</t>
        </is>
      </c>
      <c r="E2444" s="4" t="n">
        <v>90326</v>
      </c>
    </row>
    <row r="2445">
      <c r="A2445" s="3" t="n">
        <v>2443</v>
      </c>
      <c r="B2445" s="3" t="inlineStr">
        <is>
          <t>9.4.2.7</t>
        </is>
      </c>
      <c r="C2445" s="3" t="inlineStr">
        <is>
          <t>Pemotongan 1 Buah Pipa DCI, DN. 16" (400 mm)</t>
        </is>
      </c>
      <c r="D2445" s="3" t="inlineStr">
        <is>
          <t>buah</t>
        </is>
      </c>
      <c r="E2445" s="4" t="n">
        <v>167211</v>
      </c>
    </row>
    <row r="2446">
      <c r="A2446" s="3" t="n">
        <v>2444</v>
      </c>
      <c r="B2446" s="3" t="inlineStr">
        <is>
          <t>9.4.2.8</t>
        </is>
      </c>
      <c r="C2446" s="3" t="inlineStr">
        <is>
          <t>Pemotongan 1 Buah Pipa DCI, DN. 18" (450 mm)</t>
        </is>
      </c>
      <c r="D2446" s="3" t="inlineStr">
        <is>
          <t>buah</t>
        </is>
      </c>
      <c r="E2446" s="4" t="n">
        <v>200876</v>
      </c>
    </row>
    <row r="2447">
      <c r="A2447" s="3" t="n">
        <v>2445</v>
      </c>
      <c r="B2447" s="3" t="inlineStr">
        <is>
          <t>9.4.2.9</t>
        </is>
      </c>
      <c r="C2447" s="3" t="inlineStr">
        <is>
          <t>Pemotongan 1 Buah Pipa DCI, DN. 20" (500 mm)</t>
        </is>
      </c>
      <c r="D2447" s="3" t="inlineStr">
        <is>
          <t>buah</t>
        </is>
      </c>
      <c r="E2447" s="4" t="n">
        <v>230769</v>
      </c>
    </row>
    <row r="2448">
      <c r="A2448" s="3" t="n">
        <v>2446</v>
      </c>
      <c r="B2448" s="3" t="inlineStr">
        <is>
          <t>9.4.2.10</t>
        </is>
      </c>
      <c r="C2448" s="3" t="inlineStr">
        <is>
          <t>Pemotongan 1 Buah Pipa DCI, DN. 24" (600 mm)</t>
        </is>
      </c>
      <c r="D2448" s="3" t="inlineStr">
        <is>
          <t>buah</t>
        </is>
      </c>
      <c r="E2448" s="4" t="n">
        <v>276738</v>
      </c>
    </row>
    <row r="2449">
      <c r="A2449" s="3" t="n">
        <v>2447</v>
      </c>
      <c r="B2449" s="3" t="inlineStr">
        <is>
          <t>9.4.2.11</t>
        </is>
      </c>
      <c r="C2449" s="3" t="inlineStr">
        <is>
          <t>Pemotongan 1 Buah Pipa DCI, DN. 32" (800 mm)</t>
        </is>
      </c>
      <c r="D2449" s="3" t="inlineStr">
        <is>
          <t>buah</t>
        </is>
      </c>
      <c r="E2449" s="4" t="n">
        <v>451495</v>
      </c>
    </row>
    <row r="2450">
      <c r="A2450" s="3" t="n">
        <v>2448</v>
      </c>
      <c r="B2450" s="3" t="inlineStr">
        <is>
          <t>9.4.2.12</t>
        </is>
      </c>
      <c r="C2450" s="3" t="inlineStr">
        <is>
          <t>Pemotongan 1 Buah Pipa DCI, DN. 36" (900 mm)</t>
        </is>
      </c>
      <c r="D2450" s="3" t="inlineStr">
        <is>
          <t>buah</t>
        </is>
      </c>
      <c r="E2450" s="4" t="n">
        <v>583775</v>
      </c>
    </row>
    <row r="2451">
      <c r="A2451" s="3" t="n">
        <v>2449</v>
      </c>
      <c r="B2451" s="3" t="inlineStr">
        <is>
          <t>9.4.2.13</t>
        </is>
      </c>
      <c r="C2451" s="3" t="inlineStr">
        <is>
          <t>Pemotongan 1 Buah Pipa DCI, DN. 40" (1000 mm)</t>
        </is>
      </c>
      <c r="D2451" s="3" t="inlineStr">
        <is>
          <t>buah</t>
        </is>
      </c>
      <c r="E2451" s="4" t="n">
        <v>695370</v>
      </c>
    </row>
    <row r="2452">
      <c r="A2452" s="3" t="n">
        <v>2450</v>
      </c>
      <c r="B2452" s="3" t="inlineStr">
        <is>
          <t>9.4.2.14</t>
        </is>
      </c>
      <c r="C2452" s="3" t="inlineStr">
        <is>
          <t>Pemotongan 1 Buah Pipa DCI, DN. 44" (1100 mm)</t>
        </is>
      </c>
      <c r="D2452" s="3" t="inlineStr">
        <is>
          <t>buah</t>
        </is>
      </c>
      <c r="E2452" s="4" t="n">
        <v>817102</v>
      </c>
    </row>
    <row r="2453">
      <c r="A2453" s="3" t="n">
        <v>2451</v>
      </c>
      <c r="B2453" s="3" t="inlineStr">
        <is>
          <t>9.4.2.15</t>
        </is>
      </c>
      <c r="C2453" s="3" t="inlineStr">
        <is>
          <t>Pemotongan 1 Buah Pipa DCI, DN. 48" (1200 mm)</t>
        </is>
      </c>
      <c r="D2453" s="3" t="inlineStr">
        <is>
          <t>buah</t>
        </is>
      </c>
      <c r="E2453" s="4" t="n">
        <v>949190</v>
      </c>
    </row>
    <row r="2454">
      <c r="A2454" s="3" t="n">
        <v>2452</v>
      </c>
      <c r="B2454" s="3" t="inlineStr">
        <is>
          <t>9.5.1.1</t>
        </is>
      </c>
      <c r="C2454" s="3" t="inlineStr">
        <is>
          <t>Pemasangan 1 m Pipa Baja Karbon, DN. 2-1/2" (65 mm)</t>
        </is>
      </c>
      <c r="D2454" s="3" t="inlineStr">
        <is>
          <t>m</t>
        </is>
      </c>
      <c r="E2454" s="4" t="n">
        <v>659815</v>
      </c>
    </row>
    <row r="2455">
      <c r="A2455" s="3" t="n">
        <v>2453</v>
      </c>
      <c r="B2455" s="3" t="inlineStr">
        <is>
          <t>9.5.1.2</t>
        </is>
      </c>
      <c r="C2455" s="3" t="inlineStr">
        <is>
          <t>Pemasangan 1 m Pipa Baja Karbon, DN. 4" (100 mm)</t>
        </is>
      </c>
      <c r="D2455" s="3" t="inlineStr">
        <is>
          <t>m</t>
        </is>
      </c>
      <c r="E2455" s="4" t="n">
        <v>810427</v>
      </c>
    </row>
    <row r="2456">
      <c r="A2456" s="3" t="n">
        <v>2454</v>
      </c>
      <c r="B2456" s="3" t="inlineStr">
        <is>
          <t>9.5.1.3</t>
        </is>
      </c>
      <c r="C2456" s="3" t="inlineStr">
        <is>
          <t>Pemasangan 1 m Pipa Baja Karbon, DN. 5" (125 mm)</t>
        </is>
      </c>
      <c r="D2456" s="3" t="inlineStr">
        <is>
          <t>m</t>
        </is>
      </c>
      <c r="E2456" s="4" t="n">
        <v>953790</v>
      </c>
    </row>
    <row r="2457">
      <c r="A2457" s="3" t="n">
        <v>2455</v>
      </c>
      <c r="B2457" s="3" t="inlineStr">
        <is>
          <t>9.5.1.4</t>
        </is>
      </c>
      <c r="C2457" s="3" t="inlineStr">
        <is>
          <t>Pemasangan 1 m Pipa Baja Karbon, DN. 6" (150 mm)</t>
        </is>
      </c>
      <c r="D2457" s="3" t="inlineStr">
        <is>
          <t>m</t>
        </is>
      </c>
      <c r="E2457" s="4" t="n">
        <v>1013124</v>
      </c>
    </row>
    <row r="2458">
      <c r="A2458" s="3" t="n">
        <v>2456</v>
      </c>
      <c r="B2458" s="3" t="inlineStr">
        <is>
          <t>9.5.1.5</t>
        </is>
      </c>
      <c r="C2458" s="3" t="inlineStr">
        <is>
          <t>Pemasangan 1 m Pipa Baja Karbon, DN. 8" (200 mm)</t>
        </is>
      </c>
      <c r="D2458" s="3" t="inlineStr">
        <is>
          <t>m</t>
        </is>
      </c>
      <c r="E2458" s="4" t="n">
        <v>1167393</v>
      </c>
    </row>
    <row r="2459">
      <c r="A2459" s="3" t="n">
        <v>2457</v>
      </c>
      <c r="B2459" s="3" t="inlineStr">
        <is>
          <t>9.5.1.6</t>
        </is>
      </c>
      <c r="C2459" s="3" t="inlineStr">
        <is>
          <t>Pemasangan 1 m Pipa Baja Karbon, DN. 10" (250 mm)</t>
        </is>
      </c>
      <c r="D2459" s="3" t="inlineStr">
        <is>
          <t>m</t>
        </is>
      </c>
      <c r="E2459" s="4" t="n">
        <v>1257252</v>
      </c>
    </row>
    <row r="2460">
      <c r="A2460" s="3" t="n">
        <v>2458</v>
      </c>
      <c r="B2460" s="3" t="inlineStr">
        <is>
          <t>9.5.1.7</t>
        </is>
      </c>
      <c r="C2460" s="3" t="inlineStr">
        <is>
          <t>Pemasangan 1 m Pipa Baja Karbon, DN. 12" (300 mm)</t>
        </is>
      </c>
      <c r="D2460" s="3" t="inlineStr">
        <is>
          <t>m</t>
        </is>
      </c>
      <c r="E2460" s="4" t="n">
        <v>1392783</v>
      </c>
    </row>
    <row r="2461">
      <c r="A2461" s="3" t="n">
        <v>2459</v>
      </c>
      <c r="B2461" s="3" t="inlineStr">
        <is>
          <t>9.5.1.8</t>
        </is>
      </c>
      <c r="C2461" s="3" t="inlineStr">
        <is>
          <t>Pemasangan 1 m Pipa Baja Karbon, DN. 16" (400 mm)</t>
        </is>
      </c>
      <c r="D2461" s="3" t="inlineStr">
        <is>
          <t>m</t>
        </is>
      </c>
      <c r="E2461" s="4" t="n">
        <v>3080931</v>
      </c>
    </row>
    <row r="2462">
      <c r="A2462" s="3" t="n">
        <v>2460</v>
      </c>
      <c r="B2462" s="3" t="inlineStr">
        <is>
          <t>9.5.1.9</t>
        </is>
      </c>
      <c r="C2462" s="3" t="inlineStr">
        <is>
          <t>Pemasangan 1 m Pipa Baja Karbon, DN. 18" (450 mm)</t>
        </is>
      </c>
      <c r="D2462" s="3" t="inlineStr">
        <is>
          <t>m</t>
        </is>
      </c>
      <c r="E2462" s="4" t="n">
        <v>3312091</v>
      </c>
    </row>
    <row r="2463">
      <c r="A2463" s="3" t="n">
        <v>2461</v>
      </c>
      <c r="B2463" s="3" t="inlineStr">
        <is>
          <t>9.5.1.10</t>
        </is>
      </c>
      <c r="C2463" s="3" t="inlineStr">
        <is>
          <t>Pemasangan 1 m Pipa Baja Karbon, DN. 20" (500 mm)</t>
        </is>
      </c>
      <c r="D2463" s="3" t="inlineStr">
        <is>
          <t>m</t>
        </is>
      </c>
      <c r="E2463" s="4" t="n">
        <v>3504695</v>
      </c>
    </row>
    <row r="2464">
      <c r="A2464" s="3" t="n">
        <v>2462</v>
      </c>
      <c r="B2464" s="3" t="inlineStr">
        <is>
          <t>9.5.1.11</t>
        </is>
      </c>
      <c r="C2464" s="3" t="inlineStr">
        <is>
          <t>Pemasangan 1 m Pipa Baja Karbon, DN. 24" (600 mm)</t>
        </is>
      </c>
      <c r="D2464" s="3" t="inlineStr">
        <is>
          <t>m</t>
        </is>
      </c>
      <c r="E2464" s="4" t="n">
        <v>3741729</v>
      </c>
    </row>
    <row r="2465">
      <c r="A2465" s="3" t="n">
        <v>2463</v>
      </c>
      <c r="B2465" s="3" t="inlineStr">
        <is>
          <t>9.5.1.12</t>
        </is>
      </c>
      <c r="C2465" s="3" t="inlineStr">
        <is>
          <t>Pemasangan 1 m Pipa Baja Karbon, DN. 32" (800 mm)</t>
        </is>
      </c>
      <c r="D2465" s="3" t="inlineStr">
        <is>
          <t>m</t>
        </is>
      </c>
      <c r="E2465" s="4" t="n">
        <v>3985452</v>
      </c>
    </row>
    <row r="2466">
      <c r="A2466" s="3" t="n">
        <v>2464</v>
      </c>
      <c r="B2466" s="3" t="inlineStr">
        <is>
          <t>9.5.1.13</t>
        </is>
      </c>
      <c r="C2466" s="3" t="inlineStr">
        <is>
          <t>Pemasangan 1 m Pipa Baja Karbon, DN. 36" (900 mm)</t>
        </is>
      </c>
      <c r="D2466" s="3" t="inlineStr">
        <is>
          <t>m</t>
        </is>
      </c>
      <c r="E2466" s="4" t="n">
        <v>4152791</v>
      </c>
    </row>
    <row r="2467">
      <c r="A2467" s="3" t="n">
        <v>2465</v>
      </c>
      <c r="B2467" s="3" t="inlineStr">
        <is>
          <t>9.5.1.14</t>
        </is>
      </c>
      <c r="C2467" s="3" t="inlineStr">
        <is>
          <t>Pemasangan 1 m Pipa Baja Karbon, DN. 40" (1000 mm)</t>
        </is>
      </c>
      <c r="D2467" s="3" t="inlineStr">
        <is>
          <t>m</t>
        </is>
      </c>
      <c r="E2467" s="4" t="n">
        <v>4573050</v>
      </c>
    </row>
    <row r="2468">
      <c r="A2468" s="3" t="n">
        <v>2466</v>
      </c>
      <c r="B2468" s="3" t="inlineStr">
        <is>
          <t>9.5.1.15</t>
        </is>
      </c>
      <c r="C2468" s="3" t="inlineStr">
        <is>
          <t>Pemasangan 1 m Pipa Baja Karbon, DN. 44" (1100 mm)</t>
        </is>
      </c>
      <c r="D2468" s="3" t="inlineStr">
        <is>
          <t>m</t>
        </is>
      </c>
      <c r="E2468" s="4" t="n">
        <v>4821811</v>
      </c>
    </row>
    <row r="2469">
      <c r="A2469" s="3" t="n">
        <v>2467</v>
      </c>
      <c r="B2469" s="3" t="inlineStr">
        <is>
          <t>9.5.1.16</t>
        </is>
      </c>
      <c r="C2469" s="3" t="inlineStr">
        <is>
          <t>Pemasangan 1 m Pipa Baja Karbon, DN. 48" (1200 mm)</t>
        </is>
      </c>
      <c r="D2469" s="3" t="inlineStr">
        <is>
          <t>m</t>
        </is>
      </c>
      <c r="E2469" s="4" t="n">
        <v>5072491</v>
      </c>
    </row>
    <row r="2470">
      <c r="A2470" s="3" t="n">
        <v>2468</v>
      </c>
      <c r="B2470" s="3" t="inlineStr">
        <is>
          <t>9.5.2.1</t>
        </is>
      </c>
      <c r="C2470" s="3" t="inlineStr">
        <is>
          <t>Pemotongan 1 Buah Pipa Baja Karbon, DN. 2-1/2" (65 mm)</t>
        </is>
      </c>
      <c r="D2470" s="3" t="inlineStr">
        <is>
          <t>buah</t>
        </is>
      </c>
      <c r="E2470" s="4" t="n">
        <v>18474</v>
      </c>
    </row>
    <row r="2471">
      <c r="A2471" s="3" t="n">
        <v>2469</v>
      </c>
      <c r="B2471" s="3" t="inlineStr">
        <is>
          <t>9.5.2.2</t>
        </is>
      </c>
      <c r="C2471" s="3" t="inlineStr">
        <is>
          <t>Pemotongan 1 Buah Pipa Baja Karbon, DN. 4" (100 mm)</t>
        </is>
      </c>
      <c r="D2471" s="3" t="inlineStr">
        <is>
          <t>buah</t>
        </is>
      </c>
      <c r="E2471" s="4" t="n">
        <v>17121</v>
      </c>
    </row>
    <row r="2472">
      <c r="A2472" s="3" t="n">
        <v>2470</v>
      </c>
      <c r="B2472" s="3" t="inlineStr">
        <is>
          <t>9.5.2.3</t>
        </is>
      </c>
      <c r="C2472" s="3" t="inlineStr">
        <is>
          <t>Pemotongan 1 Buah Pipa Baja Karbon, DN. 5" (125 mm)</t>
        </is>
      </c>
      <c r="D2472" s="3" t="inlineStr">
        <is>
          <t>buah</t>
        </is>
      </c>
      <c r="E2472" s="4" t="n">
        <v>25261</v>
      </c>
    </row>
    <row r="2473">
      <c r="A2473" s="3" t="n">
        <v>2471</v>
      </c>
      <c r="B2473" s="3" t="inlineStr">
        <is>
          <t>9.5.2.4</t>
        </is>
      </c>
      <c r="C2473" s="3" t="inlineStr">
        <is>
          <t>Pemotongan 1 Buah Pipa Baja Karbon, DN. 6" (150 mm)</t>
        </is>
      </c>
      <c r="D2473" s="3" t="inlineStr">
        <is>
          <t>buah</t>
        </is>
      </c>
      <c r="E2473" s="4" t="n">
        <v>33814</v>
      </c>
    </row>
    <row r="2474">
      <c r="A2474" s="3" t="n">
        <v>2472</v>
      </c>
      <c r="B2474" s="3" t="inlineStr">
        <is>
          <t>9.5.2.5</t>
        </is>
      </c>
      <c r="C2474" s="3" t="inlineStr">
        <is>
          <t>Pemotongan 1 Buah Pipa Baja Karbon, DN. 8" (200 mm)</t>
        </is>
      </c>
      <c r="D2474" s="3" t="inlineStr">
        <is>
          <t>buah</t>
        </is>
      </c>
      <c r="E2474" s="4" t="n">
        <v>83022</v>
      </c>
    </row>
    <row r="2475">
      <c r="A2475" s="3" t="n">
        <v>2473</v>
      </c>
      <c r="B2475" s="3" t="inlineStr">
        <is>
          <t>9.5.2.6</t>
        </is>
      </c>
      <c r="C2475" s="3" t="inlineStr">
        <is>
          <t>Pemotongan 1 Buah Pipa Baja Karbon, DN. 10" (250 mm)</t>
        </is>
      </c>
      <c r="D2475" s="3" t="inlineStr">
        <is>
          <t>buah</t>
        </is>
      </c>
      <c r="E2475" s="4" t="n">
        <v>114273</v>
      </c>
    </row>
    <row r="2476">
      <c r="A2476" s="3" t="n">
        <v>2474</v>
      </c>
      <c r="B2476" s="3" t="inlineStr">
        <is>
          <t>9.5.2.7</t>
        </is>
      </c>
      <c r="C2476" s="3" t="inlineStr">
        <is>
          <t>Pemotongan 1 Buah Pipa Baja Karbon, DN. 12" (300 mm)</t>
        </is>
      </c>
      <c r="D2476" s="3" t="inlineStr">
        <is>
          <t>buah</t>
        </is>
      </c>
      <c r="E2476" s="4" t="n">
        <v>127935</v>
      </c>
    </row>
    <row r="2477">
      <c r="A2477" s="3" t="n">
        <v>2475</v>
      </c>
      <c r="B2477" s="3" t="inlineStr">
        <is>
          <t>9.5.2.8</t>
        </is>
      </c>
      <c r="C2477" s="3" t="inlineStr">
        <is>
          <t>Pemotongan 1 Buah Pipa Baja Karbon, DN. 16" (400 mm)</t>
        </is>
      </c>
      <c r="D2477" s="3" t="inlineStr">
        <is>
          <t>buah</t>
        </is>
      </c>
      <c r="E2477" s="4" t="n">
        <v>244678</v>
      </c>
    </row>
    <row r="2478">
      <c r="A2478" s="3" t="n">
        <v>2476</v>
      </c>
      <c r="B2478" s="3" t="inlineStr">
        <is>
          <t>9.5.2.9</t>
        </is>
      </c>
      <c r="C2478" s="3" t="inlineStr">
        <is>
          <t>Pemotongan 1 Buah Pipa Baja Karbon, DN. 18" (450 mm)</t>
        </is>
      </c>
      <c r="D2478" s="3" t="inlineStr">
        <is>
          <t>buah</t>
        </is>
      </c>
      <c r="E2478" s="4" t="n">
        <v>254485</v>
      </c>
    </row>
    <row r="2479">
      <c r="A2479" s="3" t="n">
        <v>2477</v>
      </c>
      <c r="B2479" s="3" t="inlineStr">
        <is>
          <t>9.5.2.10</t>
        </is>
      </c>
      <c r="C2479" s="3" t="inlineStr">
        <is>
          <t>Pemotongan 1 Buah Pipa Baja Karbon, DN. 20" (500 mm)</t>
        </is>
      </c>
      <c r="D2479" s="3" t="inlineStr">
        <is>
          <t>buah</t>
        </is>
      </c>
      <c r="E2479" s="4" t="n">
        <v>264291</v>
      </c>
    </row>
    <row r="2480">
      <c r="A2480" s="3" t="n">
        <v>2478</v>
      </c>
      <c r="B2480" s="3" t="inlineStr">
        <is>
          <t>9.5.2.11</t>
        </is>
      </c>
      <c r="C2480" s="3" t="inlineStr">
        <is>
          <t>Pemotongan 1 Buah Pipa Baja Karbon, DN. 24" (600 mm)</t>
        </is>
      </c>
      <c r="D2480" s="3" t="inlineStr">
        <is>
          <t>buah</t>
        </is>
      </c>
      <c r="E2480" s="4" t="n">
        <v>332975</v>
      </c>
    </row>
    <row r="2481">
      <c r="A2481" s="3" t="n">
        <v>2479</v>
      </c>
      <c r="B2481" s="3" t="inlineStr">
        <is>
          <t>9.5.2.12</t>
        </is>
      </c>
      <c r="C2481" s="3" t="inlineStr">
        <is>
          <t>Pemotongan 1 Buah Pipa Baja Karbon, DN. 32" (800 mm)</t>
        </is>
      </c>
      <c r="D2481" s="3" t="inlineStr">
        <is>
          <t>buah</t>
        </is>
      </c>
      <c r="E2481" s="4" t="n">
        <v>404112</v>
      </c>
    </row>
    <row r="2482">
      <c r="A2482" s="3" t="n">
        <v>2480</v>
      </c>
      <c r="B2482" s="3" t="inlineStr">
        <is>
          <t>9.5.2.13</t>
        </is>
      </c>
      <c r="C2482" s="3" t="inlineStr">
        <is>
          <t>Pemotongan 1 Buah Pipa Baja Karbon, DN. 36" (900 mm)</t>
        </is>
      </c>
      <c r="D2482" s="3" t="inlineStr">
        <is>
          <t>buah</t>
        </is>
      </c>
      <c r="E2482" s="4" t="n">
        <v>501990</v>
      </c>
    </row>
    <row r="2483">
      <c r="A2483" s="3" t="n">
        <v>2481</v>
      </c>
      <c r="B2483" s="3" t="inlineStr">
        <is>
          <t>9.5.2.14</t>
        </is>
      </c>
      <c r="C2483" s="3" t="inlineStr">
        <is>
          <t>Pemotongan 1 Buah Pipa Baja Karbon, DN. 40" (1000 mm)</t>
        </is>
      </c>
      <c r="D2483" s="3" t="inlineStr">
        <is>
          <t>buah</t>
        </is>
      </c>
      <c r="E2483" s="4" t="n">
        <v>560620</v>
      </c>
    </row>
    <row r="2484">
      <c r="A2484" s="3" t="n">
        <v>2482</v>
      </c>
      <c r="B2484" s="3" t="inlineStr">
        <is>
          <t>9.5.2.15</t>
        </is>
      </c>
      <c r="C2484" s="3" t="inlineStr">
        <is>
          <t>Pemotongan 1 Buah Pipa Baja Karbon, DN. 44" (1100 mm)</t>
        </is>
      </c>
      <c r="D2484" s="3" t="inlineStr">
        <is>
          <t>buah</t>
        </is>
      </c>
      <c r="E2484" s="4" t="n">
        <v>619008</v>
      </c>
    </row>
    <row r="2485">
      <c r="A2485" s="3" t="n">
        <v>2483</v>
      </c>
      <c r="B2485" s="3" t="inlineStr">
        <is>
          <t>9.5.2.16</t>
        </is>
      </c>
      <c r="C2485" s="3" t="inlineStr">
        <is>
          <t>Pemotongan 1 Buah Pipa Baja Karbon, DN. 48" (1200 mm)</t>
        </is>
      </c>
      <c r="D2485" s="3" t="inlineStr">
        <is>
          <t>buah</t>
        </is>
      </c>
      <c r="E2485" s="4" t="n">
        <v>677638</v>
      </c>
    </row>
    <row r="2486">
      <c r="A2486" s="3" t="n">
        <v>2484</v>
      </c>
      <c r="B2486" s="3" t="inlineStr">
        <is>
          <t>9.6.1.1</t>
        </is>
      </c>
      <c r="C2486" s="3" t="inlineStr">
        <is>
          <t>Pemasangan 1 m Pipa Beton, DN. 8" (200 mm)</t>
        </is>
      </c>
      <c r="D2486" s="3" t="inlineStr">
        <is>
          <t>m</t>
        </is>
      </c>
      <c r="E2486" s="4" t="n">
        <v>289904</v>
      </c>
    </row>
    <row r="2487">
      <c r="A2487" s="3" t="n">
        <v>2485</v>
      </c>
      <c r="B2487" s="3" t="inlineStr">
        <is>
          <t>9.6.1.2</t>
        </is>
      </c>
      <c r="C2487" s="3" t="inlineStr">
        <is>
          <t>Pemasangan 1 m Pipa Beton, DN. 12" (300 mm)</t>
        </is>
      </c>
      <c r="D2487" s="3" t="inlineStr">
        <is>
          <t>m</t>
        </is>
      </c>
      <c r="E2487" s="4" t="n">
        <v>325387</v>
      </c>
    </row>
    <row r="2488">
      <c r="A2488" s="3" t="n">
        <v>2486</v>
      </c>
      <c r="B2488" s="3" t="inlineStr">
        <is>
          <t>9.6.1.3</t>
        </is>
      </c>
      <c r="C2488" s="3" t="inlineStr">
        <is>
          <t>Pemasangan 1 m Pipa Beton, DN. 16" (400 mm)</t>
        </is>
      </c>
      <c r="D2488" s="3" t="inlineStr">
        <is>
          <t>m</t>
        </is>
      </c>
      <c r="E2488" s="4" t="n">
        <v>359389</v>
      </c>
    </row>
    <row r="2489">
      <c r="A2489" s="3" t="n">
        <v>2487</v>
      </c>
      <c r="B2489" s="3" t="inlineStr">
        <is>
          <t>9.6.1.4</t>
        </is>
      </c>
      <c r="C2489" s="3" t="inlineStr">
        <is>
          <t>Pemasangan 1 m Pipa Beton, DN. 20" (500 mm)</t>
        </is>
      </c>
      <c r="D2489" s="3" t="inlineStr">
        <is>
          <t>m</t>
        </is>
      </c>
      <c r="E2489" s="4" t="n">
        <v>380067</v>
      </c>
    </row>
    <row r="2490">
      <c r="A2490" s="3" t="n">
        <v>2488</v>
      </c>
      <c r="B2490" s="3" t="inlineStr">
        <is>
          <t>9.6.1.5</t>
        </is>
      </c>
      <c r="C2490" s="3" t="inlineStr">
        <is>
          <t>Pemasangan 1 m Pipa Beton, DN. 24" (600 mm)</t>
        </is>
      </c>
      <c r="D2490" s="3" t="inlineStr">
        <is>
          <t>m</t>
        </is>
      </c>
      <c r="E2490" s="4" t="n">
        <v>459144</v>
      </c>
    </row>
    <row r="2491">
      <c r="A2491" s="3" t="n">
        <v>2489</v>
      </c>
      <c r="B2491" s="3" t="inlineStr">
        <is>
          <t>9.6.1.6</t>
        </is>
      </c>
      <c r="C2491" s="3" t="inlineStr">
        <is>
          <t>Pemasangan 1 m Pipa Beton, DN. 28" (700 mm)</t>
        </is>
      </c>
      <c r="D2491" s="3" t="inlineStr">
        <is>
          <t>m</t>
        </is>
      </c>
      <c r="E2491" s="4" t="n">
        <v>533610</v>
      </c>
    </row>
    <row r="2492">
      <c r="A2492" s="3" t="n">
        <v>2490</v>
      </c>
      <c r="B2492" s="3" t="inlineStr">
        <is>
          <t>9.6.1.7</t>
        </is>
      </c>
      <c r="C2492" s="3" t="inlineStr">
        <is>
          <t>Pemasangan 1 m Pipa Beton, DN. 32" (800 mm)</t>
        </is>
      </c>
      <c r="D2492" s="3" t="inlineStr">
        <is>
          <t>m</t>
        </is>
      </c>
      <c r="E2492" s="4" t="n">
        <v>672066</v>
      </c>
    </row>
    <row r="2493">
      <c r="A2493" s="3" t="n">
        <v>2491</v>
      </c>
      <c r="B2493" s="3" t="inlineStr">
        <is>
          <t>9.6.1.8</t>
        </is>
      </c>
      <c r="C2493" s="3" t="inlineStr">
        <is>
          <t>Pemasangan 1 m Pipa Beton, DN. 40" (1000 mm)</t>
        </is>
      </c>
      <c r="D2493" s="3" t="inlineStr">
        <is>
          <t>m</t>
        </is>
      </c>
      <c r="E2493" s="4" t="n">
        <v>760066</v>
      </c>
    </row>
    <row r="2494">
      <c r="A2494" s="3" t="n">
        <v>2492</v>
      </c>
      <c r="B2494" s="3" t="inlineStr">
        <is>
          <t>9.6.1.9</t>
        </is>
      </c>
      <c r="C2494" s="3" t="inlineStr">
        <is>
          <t>Pemasangan 1 m Pipa Beton, DN. 48" (1200 mm)</t>
        </is>
      </c>
      <c r="D2494" s="3" t="inlineStr">
        <is>
          <t>m</t>
        </is>
      </c>
      <c r="E2494" s="4" t="n">
        <v>864352</v>
      </c>
    </row>
    <row r="2495">
      <c r="A2495" s="3" t="n">
        <v>2493</v>
      </c>
      <c r="B2495" s="3" t="inlineStr">
        <is>
          <t>9.7.1.1</t>
        </is>
      </c>
      <c r="C2495" s="3" t="inlineStr">
        <is>
          <t>Penyambungan 1 buah Pipa Baru ke Pipa Yang Ada, DN. 3" (80 mm)</t>
        </is>
      </c>
      <c r="D2495" s="3" t="inlineStr">
        <is>
          <t>buah</t>
        </is>
      </c>
      <c r="E2495" s="4" t="n">
        <v>773789</v>
      </c>
    </row>
    <row r="2496">
      <c r="A2496" s="3" t="n">
        <v>2494</v>
      </c>
      <c r="B2496" s="3" t="inlineStr">
        <is>
          <t>9.7.1.2</t>
        </is>
      </c>
      <c r="C2496" s="3" t="inlineStr">
        <is>
          <t>Penyambungan 1 buah Pipa Baru ke Pipa Yang Ada, DN. 4" (100 mm)</t>
        </is>
      </c>
      <c r="D2496" s="3" t="inlineStr">
        <is>
          <t>buah</t>
        </is>
      </c>
      <c r="E2496" s="4" t="n">
        <v>868739</v>
      </c>
    </row>
    <row r="2497">
      <c r="A2497" s="3" t="n">
        <v>2495</v>
      </c>
      <c r="B2497" s="3" t="inlineStr">
        <is>
          <t>9.7.1.3</t>
        </is>
      </c>
      <c r="C2497" s="3" t="inlineStr">
        <is>
          <t>Penyambungan 1 buah Pipa Baru ke Pipa Yang Ada, DN. 6" (150 mm)</t>
        </is>
      </c>
      <c r="D2497" s="3" t="inlineStr">
        <is>
          <t>buah</t>
        </is>
      </c>
      <c r="E2497" s="4" t="n">
        <v>1106113</v>
      </c>
    </row>
    <row r="2498">
      <c r="A2498" s="3" t="n">
        <v>2496</v>
      </c>
      <c r="B2498" s="3" t="inlineStr">
        <is>
          <t>9.7.1.4</t>
        </is>
      </c>
      <c r="C2498" s="3" t="inlineStr">
        <is>
          <t>Penyambungan 1 buah Pipa Baru ke Pipa Yang Ada, DN. 8" (200 mm)</t>
        </is>
      </c>
      <c r="D2498" s="3" t="inlineStr">
        <is>
          <t>buah</t>
        </is>
      </c>
      <c r="E2498" s="4" t="n">
        <v>1343488</v>
      </c>
    </row>
    <row r="2499">
      <c r="A2499" s="3" t="n">
        <v>2497</v>
      </c>
      <c r="B2499" s="3" t="inlineStr">
        <is>
          <t>9.7.1.5</t>
        </is>
      </c>
      <c r="C2499" s="3" t="inlineStr">
        <is>
          <t>Penyambungan 1 buah Pipa Baru ke Pipa Yang Ada, DN. 10" (250 mm)</t>
        </is>
      </c>
      <c r="D2499" s="3" t="inlineStr">
        <is>
          <t>buah</t>
        </is>
      </c>
      <c r="E2499" s="4" t="n">
        <v>1580862</v>
      </c>
    </row>
    <row r="2500">
      <c r="A2500" s="3" t="n">
        <v>2498</v>
      </c>
      <c r="B2500" s="3" t="inlineStr">
        <is>
          <t>9.7.1.6</t>
        </is>
      </c>
      <c r="C2500" s="3" t="inlineStr">
        <is>
          <t>Penyambungan 1 buah Pipa Baru ke Pipa Yang Ada, DN. 12" (300 mm)</t>
        </is>
      </c>
      <c r="D2500" s="3" t="inlineStr">
        <is>
          <t>buah</t>
        </is>
      </c>
      <c r="E2500" s="4" t="n">
        <v>1818237</v>
      </c>
    </row>
    <row r="2501">
      <c r="A2501" s="3" t="n">
        <v>2499</v>
      </c>
      <c r="B2501" s="3" t="inlineStr">
        <is>
          <t>9.7.1.7</t>
        </is>
      </c>
      <c r="C2501" s="3" t="inlineStr">
        <is>
          <t>Penyambungan 1 buah Pipa Baru ke Pipa Yang Ada, DN. 16" (400 mm)</t>
        </is>
      </c>
      <c r="D2501" s="3" t="inlineStr">
        <is>
          <t>buah</t>
        </is>
      </c>
      <c r="E2501" s="4" t="n">
        <v>2292986</v>
      </c>
    </row>
    <row r="2502">
      <c r="A2502" s="3" t="n">
        <v>2500</v>
      </c>
      <c r="B2502" s="3" t="inlineStr">
        <is>
          <t>9.7.1.8</t>
        </is>
      </c>
      <c r="C2502" s="3" t="inlineStr">
        <is>
          <t>Penyambungan 1 buah Pipa Baru ke Pipa Yang Ada, DN. 18" (450 mm)</t>
        </is>
      </c>
      <c r="D2502" s="3" t="inlineStr">
        <is>
          <t>buah</t>
        </is>
      </c>
      <c r="E2502" s="4" t="n">
        <v>2530360</v>
      </c>
    </row>
    <row r="2503">
      <c r="A2503" s="3" t="n">
        <v>2501</v>
      </c>
      <c r="B2503" s="3" t="inlineStr">
        <is>
          <t>9.7.1.9</t>
        </is>
      </c>
      <c r="C2503" s="3" t="inlineStr">
        <is>
          <t>Penyambungan 1 buah Pipa Baru ke Pipa Yang Ada, DN. 20" (500 mm)</t>
        </is>
      </c>
      <c r="D2503" s="3" t="inlineStr">
        <is>
          <t>buah</t>
        </is>
      </c>
      <c r="E2503" s="4" t="n">
        <v>2767735</v>
      </c>
    </row>
    <row r="2504">
      <c r="A2504" s="3" t="n">
        <v>2502</v>
      </c>
      <c r="B2504" s="3" t="inlineStr">
        <is>
          <t>9.7.1.10</t>
        </is>
      </c>
      <c r="C2504" s="3" t="inlineStr">
        <is>
          <t>Penyambungan 1 buah Pipa Baru ke Pipa Yang Ada, DN. 24" (600 mm)</t>
        </is>
      </c>
      <c r="D2504" s="3" t="inlineStr">
        <is>
          <t>buah</t>
        </is>
      </c>
      <c r="E2504" s="4" t="n">
        <v>3242484</v>
      </c>
    </row>
    <row r="2505">
      <c r="A2505" s="3" t="n">
        <v>2503</v>
      </c>
      <c r="B2505" s="3" t="inlineStr">
        <is>
          <t>9.7.1.11</t>
        </is>
      </c>
      <c r="C2505" s="3" t="inlineStr">
        <is>
          <t>Penyambungan 1 buah Pipa Baru ke Pipa Yang Ada, DN. 28" (700 mm)</t>
        </is>
      </c>
      <c r="D2505" s="3" t="inlineStr">
        <is>
          <t>buah</t>
        </is>
      </c>
      <c r="E2505" s="4" t="n">
        <v>3717233</v>
      </c>
    </row>
    <row r="2506">
      <c r="A2506" s="3" t="n">
        <v>2504</v>
      </c>
      <c r="B2506" s="3" t="inlineStr">
        <is>
          <t>9.7.1.12</t>
        </is>
      </c>
      <c r="C2506" s="3" t="inlineStr">
        <is>
          <t>Penyambungan 1 buah Pipa Baru ke Pipa Yang Ada, DN. 32" (800 mm)</t>
        </is>
      </c>
      <c r="D2506" s="3" t="inlineStr">
        <is>
          <t>buah</t>
        </is>
      </c>
      <c r="E2506" s="4" t="n">
        <v>4191982</v>
      </c>
    </row>
    <row r="2507">
      <c r="A2507" s="3" t="n">
        <v>2505</v>
      </c>
      <c r="B2507" s="3" t="inlineStr">
        <is>
          <t>9.7.1.13</t>
        </is>
      </c>
      <c r="C2507" s="3" t="inlineStr">
        <is>
          <t>Penyambungan 1 buah Pipa Baru ke Pipa Yang Ada, DN. 1/2" (15 mm)</t>
        </is>
      </c>
      <c r="D2507" s="3" t="inlineStr">
        <is>
          <t>buah</t>
        </is>
      </c>
      <c r="E2507" s="4" t="n">
        <v>159456</v>
      </c>
    </row>
    <row r="2508">
      <c r="A2508" s="3" t="n">
        <v>2506</v>
      </c>
      <c r="B2508" s="3" t="inlineStr">
        <is>
          <t>9.7.1.14</t>
        </is>
      </c>
      <c r="C2508" s="3" t="inlineStr">
        <is>
          <t>Penyambungan 1 buah Pipa Baru ke Pipa Yang Ada, DN. 3/4" (20 mm)</t>
        </is>
      </c>
      <c r="D2508" s="3" t="inlineStr">
        <is>
          <t>buah</t>
        </is>
      </c>
      <c r="E2508" s="4" t="n">
        <v>199276</v>
      </c>
    </row>
    <row r="2509">
      <c r="A2509" s="3" t="n">
        <v>2507</v>
      </c>
      <c r="B2509" s="3" t="inlineStr">
        <is>
          <t>9.7.1.15</t>
        </is>
      </c>
      <c r="C2509" s="3" t="inlineStr">
        <is>
          <t>Penyambungan 1 buah Pipa Baru ke Pipa Yang Ada, DN. 1" (25 mm)</t>
        </is>
      </c>
      <c r="D2509" s="3" t="inlineStr">
        <is>
          <t>buah</t>
        </is>
      </c>
      <c r="E2509" s="4" t="n">
        <v>249128</v>
      </c>
    </row>
    <row r="2510">
      <c r="A2510" s="3" t="n">
        <v>2508</v>
      </c>
      <c r="B2510" s="3" t="inlineStr">
        <is>
          <t>9.7.1.16</t>
        </is>
      </c>
      <c r="C2510" s="3" t="inlineStr">
        <is>
          <t>Penyambungan 1 buah Pipa Baru ke Pipa Yang Ada, DN. 1-1/4" (32 mm)</t>
        </is>
      </c>
      <c r="D2510" s="3" t="inlineStr">
        <is>
          <t>buah</t>
        </is>
      </c>
      <c r="E2510" s="4" t="n">
        <v>311690</v>
      </c>
    </row>
    <row r="2511">
      <c r="A2511" s="3" t="n">
        <v>2509</v>
      </c>
      <c r="B2511" s="3" t="inlineStr">
        <is>
          <t>9.7.1.17</t>
        </is>
      </c>
      <c r="C2511" s="3" t="inlineStr">
        <is>
          <t>Penyambungan 1 buah Pipa Baru ke Pipa Yang Ada, DN. 1-1/2" (40 mm)</t>
        </is>
      </c>
      <c r="D2511" s="3" t="inlineStr">
        <is>
          <t>buah</t>
        </is>
      </c>
      <c r="E2511" s="4" t="n">
        <v>311690</v>
      </c>
    </row>
    <row r="2512">
      <c r="A2512" s="3" t="n">
        <v>2510</v>
      </c>
      <c r="B2512" s="3" t="inlineStr">
        <is>
          <t>9.7.1.18</t>
        </is>
      </c>
      <c r="C2512" s="3" t="inlineStr">
        <is>
          <t>Penyambungan 1 buah Pipa Baru ke Pipa Yang Ada, DN. 2" (50 mm)</t>
        </is>
      </c>
      <c r="D2512" s="3" t="inlineStr">
        <is>
          <t>buah</t>
        </is>
      </c>
      <c r="E2512" s="4" t="n">
        <v>389625</v>
      </c>
    </row>
    <row r="2513">
      <c r="A2513" s="3" t="n">
        <v>2511</v>
      </c>
      <c r="B2513" s="3" t="inlineStr">
        <is>
          <t>9.7.1.19</t>
        </is>
      </c>
      <c r="C2513" s="3" t="inlineStr">
        <is>
          <t>Penyambungan 1 buah Pipa Baru ke Pipa Yang Ada, DN. 2-1/2" (65 mm)</t>
        </is>
      </c>
      <c r="D2513" s="3" t="inlineStr">
        <is>
          <t>buah</t>
        </is>
      </c>
      <c r="E2513" s="4" t="n">
        <v>486788</v>
      </c>
    </row>
    <row r="2514">
      <c r="A2514" s="3" t="n">
        <v>2512</v>
      </c>
      <c r="B2514" s="3" t="inlineStr">
        <is>
          <t>9.7.2.1</t>
        </is>
      </c>
      <c r="C2514" s="3" t="inlineStr">
        <is>
          <t>Pemasangan 1 Buah Valve Ø 6" (150 mm)</t>
        </is>
      </c>
      <c r="D2514" s="3" t="inlineStr">
        <is>
          <t>buah</t>
        </is>
      </c>
      <c r="E2514" s="4" t="n">
        <v>562072</v>
      </c>
    </row>
    <row r="2515">
      <c r="A2515" s="3" t="n">
        <v>2513</v>
      </c>
      <c r="B2515" s="3" t="inlineStr">
        <is>
          <t>9.7.2.2</t>
        </is>
      </c>
      <c r="C2515" s="3" t="inlineStr">
        <is>
          <t>Pemasangan 1 Buah Valve Ø 8" (200 mm)</t>
        </is>
      </c>
      <c r="D2515" s="3" t="inlineStr">
        <is>
          <t>buah</t>
        </is>
      </c>
      <c r="E2515" s="4" t="n">
        <v>717491</v>
      </c>
    </row>
    <row r="2516">
      <c r="A2516" s="3" t="n">
        <v>2514</v>
      </c>
      <c r="B2516" s="3" t="inlineStr">
        <is>
          <t>9.7.2.3</t>
        </is>
      </c>
      <c r="C2516" s="3" t="inlineStr">
        <is>
          <t>Pemasangan 1 Buah Valve Ø 10" (250 mm)</t>
        </is>
      </c>
      <c r="D2516" s="3" t="inlineStr">
        <is>
          <t>buah</t>
        </is>
      </c>
      <c r="E2516" s="4" t="n">
        <v>825885</v>
      </c>
    </row>
    <row r="2517">
      <c r="A2517" s="3" t="n">
        <v>2515</v>
      </c>
      <c r="B2517" s="3" t="inlineStr">
        <is>
          <t>9.7.2.4</t>
        </is>
      </c>
      <c r="C2517" s="3" t="inlineStr">
        <is>
          <t>Pemasangan 1 Buah Valve Ø 12" (300 mm)</t>
        </is>
      </c>
      <c r="D2517" s="3" t="inlineStr">
        <is>
          <t>buah</t>
        </is>
      </c>
      <c r="E2517" s="4" t="n">
        <v>933900</v>
      </c>
    </row>
    <row r="2518">
      <c r="A2518" s="3" t="n">
        <v>2516</v>
      </c>
      <c r="B2518" s="3" t="inlineStr">
        <is>
          <t>9.7.2.5</t>
        </is>
      </c>
      <c r="C2518" s="3" t="inlineStr">
        <is>
          <t>Pemasangan 1 Buah Valve Ø 16" (400 mm)</t>
        </is>
      </c>
      <c r="D2518" s="3" t="inlineStr">
        <is>
          <t>buah</t>
        </is>
      </c>
      <c r="E2518" s="4" t="n">
        <v>1383992</v>
      </c>
    </row>
    <row r="2519">
      <c r="A2519" s="3" t="n">
        <v>2517</v>
      </c>
      <c r="B2519" s="3" t="inlineStr">
        <is>
          <t>9.7.2.6</t>
        </is>
      </c>
      <c r="C2519" s="3" t="inlineStr">
        <is>
          <t>Pemasangan 1 Buah Valve Ø 18" (450 mm)</t>
        </is>
      </c>
      <c r="D2519" s="3" t="inlineStr">
        <is>
          <t>buah</t>
        </is>
      </c>
      <c r="E2519" s="4" t="n">
        <v>1488641</v>
      </c>
    </row>
    <row r="2520">
      <c r="A2520" s="3" t="n">
        <v>2518</v>
      </c>
      <c r="B2520" s="3" t="inlineStr">
        <is>
          <t>9.7.2.7</t>
        </is>
      </c>
      <c r="C2520" s="3" t="inlineStr">
        <is>
          <t>Pemasangan 1 Buah Valve Ø 20" (500 mm)</t>
        </is>
      </c>
      <c r="D2520" s="3" t="inlineStr">
        <is>
          <t>buah</t>
        </is>
      </c>
      <c r="E2520" s="4" t="n">
        <v>1614800</v>
      </c>
    </row>
    <row r="2521">
      <c r="A2521" s="3" t="n">
        <v>2519</v>
      </c>
      <c r="B2521" s="3" t="inlineStr">
        <is>
          <t>9.7.2.8</t>
        </is>
      </c>
      <c r="C2521" s="3" t="inlineStr">
        <is>
          <t>Pemasangan 1 Buah Valve Ø 24" (600 mm)</t>
        </is>
      </c>
      <c r="D2521" s="3" t="inlineStr">
        <is>
          <t>buah</t>
        </is>
      </c>
      <c r="E2521" s="4" t="n">
        <v>1552094</v>
      </c>
    </row>
    <row r="2522">
      <c r="A2522" s="3" t="n">
        <v>2520</v>
      </c>
      <c r="B2522" s="3" t="inlineStr">
        <is>
          <t>9.7.2.9</t>
        </is>
      </c>
      <c r="C2522" s="3" t="inlineStr">
        <is>
          <t>Pemasangan 1 Buah Valve Ø 28" (700 mm)</t>
        </is>
      </c>
      <c r="D2522" s="3" t="inlineStr">
        <is>
          <t>buah</t>
        </is>
      </c>
      <c r="E2522" s="4" t="n">
        <v>2021679</v>
      </c>
    </row>
    <row r="2523">
      <c r="A2523" s="3" t="n">
        <v>2521</v>
      </c>
      <c r="B2523" s="3" t="inlineStr">
        <is>
          <t>9.7.2.10</t>
        </is>
      </c>
      <c r="C2523" s="3" t="inlineStr">
        <is>
          <t>Pemasangan 1 Buah Valve Ø 32" (800 mm)</t>
        </is>
      </c>
      <c r="D2523" s="3" t="inlineStr">
        <is>
          <t>buah</t>
        </is>
      </c>
      <c r="E2523" s="4" t="n">
        <v>2126173</v>
      </c>
    </row>
    <row r="2524">
      <c r="A2524" s="3" t="n">
        <v>2522</v>
      </c>
      <c r="B2524" s="3" t="inlineStr">
        <is>
          <t>9.7.2.11</t>
        </is>
      </c>
      <c r="C2524" s="3" t="inlineStr">
        <is>
          <t>Pemasangan 1 Buah Valve Ø 36" (900 mm)</t>
        </is>
      </c>
      <c r="D2524" s="3" t="inlineStr">
        <is>
          <t>buah</t>
        </is>
      </c>
      <c r="E2524" s="4" t="n">
        <v>2725855</v>
      </c>
    </row>
    <row r="2525">
      <c r="A2525" s="3" t="n">
        <v>2523</v>
      </c>
      <c r="B2525" s="3" t="inlineStr">
        <is>
          <t>9.7.2.12</t>
        </is>
      </c>
      <c r="C2525" s="3" t="inlineStr">
        <is>
          <t>Pemasangan 1 Buah Valve Ø 40" (1000 mm)</t>
        </is>
      </c>
      <c r="D2525" s="3" t="inlineStr">
        <is>
          <t>buah</t>
        </is>
      </c>
      <c r="E2525" s="4" t="n">
        <v>3303267</v>
      </c>
    </row>
    <row r="2526">
      <c r="A2526" s="3" t="n">
        <v>2524</v>
      </c>
      <c r="B2526" s="3" t="inlineStr">
        <is>
          <t>9.7.2.13</t>
        </is>
      </c>
      <c r="C2526" s="3" t="inlineStr">
        <is>
          <t>Pemasangan 1 Buah Valve Ø 44" (1100 mm)</t>
        </is>
      </c>
      <c r="D2526" s="3" t="inlineStr">
        <is>
          <t>buah</t>
        </is>
      </c>
      <c r="E2526" s="4" t="n">
        <v>3504050</v>
      </c>
    </row>
    <row r="2527">
      <c r="A2527" s="3" t="n">
        <v>2525</v>
      </c>
      <c r="B2527" s="3" t="inlineStr">
        <is>
          <t>9.7.2.14</t>
        </is>
      </c>
      <c r="C2527" s="3" t="inlineStr">
        <is>
          <t>Pemasangan 1 Buah Valve Ø 48" (1200 mm)</t>
        </is>
      </c>
      <c r="D2527" s="3" t="inlineStr">
        <is>
          <t>buah</t>
        </is>
      </c>
      <c r="E2527" s="4" t="n">
        <v>3637612</v>
      </c>
    </row>
    <row r="2528">
      <c r="A2528" s="3" t="n">
        <v>2526</v>
      </c>
      <c r="B2528" s="3" t="inlineStr">
        <is>
          <t>9.7.2.15</t>
        </is>
      </c>
      <c r="C2528" s="3" t="inlineStr">
        <is>
          <t>Pemasangan 1 Buah Valve Ø 1/2" (15 mm)</t>
        </is>
      </c>
      <c r="D2528" s="3" t="inlineStr">
        <is>
          <t>buah</t>
        </is>
      </c>
      <c r="E2528" s="4" t="n">
        <v>122798</v>
      </c>
    </row>
    <row r="2529">
      <c r="A2529" s="3" t="n">
        <v>2527</v>
      </c>
      <c r="B2529" s="3" t="inlineStr">
        <is>
          <t>9.7.2.16</t>
        </is>
      </c>
      <c r="C2529" s="3" t="inlineStr">
        <is>
          <t>Pemasangan 1 Buah Valve Ø 3/4" (20 mm)</t>
        </is>
      </c>
      <c r="D2529" s="3" t="inlineStr">
        <is>
          <t>buah</t>
        </is>
      </c>
      <c r="E2529" s="4" t="n">
        <v>138413</v>
      </c>
    </row>
    <row r="2530">
      <c r="A2530" s="3" t="n">
        <v>2528</v>
      </c>
      <c r="B2530" s="3" t="inlineStr">
        <is>
          <t>9.7.2.17</t>
        </is>
      </c>
      <c r="C2530" s="3" t="inlineStr">
        <is>
          <t>Pemasangan 1 Buah Valve Ø 1" (25 mm)</t>
        </is>
      </c>
      <c r="D2530" s="3" t="inlineStr">
        <is>
          <t>buah</t>
        </is>
      </c>
      <c r="E2530" s="4" t="n">
        <v>154896</v>
      </c>
    </row>
    <row r="2531">
      <c r="A2531" s="3" t="n">
        <v>2529</v>
      </c>
      <c r="B2531" s="3" t="inlineStr">
        <is>
          <t>9.7.2.18</t>
        </is>
      </c>
      <c r="C2531" s="3" t="inlineStr">
        <is>
          <t>Pemasangan 1 Buah Valve Ø 1-1/4" (32 mm)</t>
        </is>
      </c>
      <c r="D2531" s="3" t="inlineStr">
        <is>
          <t>buah</t>
        </is>
      </c>
      <c r="E2531" s="4" t="n">
        <v>177628</v>
      </c>
    </row>
    <row r="2532">
      <c r="A2532" s="3" t="n">
        <v>2530</v>
      </c>
      <c r="B2532" s="3" t="inlineStr">
        <is>
          <t>9.7.2.19</t>
        </is>
      </c>
      <c r="C2532" s="3" t="inlineStr">
        <is>
          <t>Pemasangan 1 Buah Valve Ø 1-1/2" (40 mm)</t>
        </is>
      </c>
      <c r="D2532" s="3" t="inlineStr">
        <is>
          <t>buah</t>
        </is>
      </c>
      <c r="E2532" s="4" t="n">
        <v>193077</v>
      </c>
    </row>
    <row r="2533">
      <c r="A2533" s="3" t="n">
        <v>2531</v>
      </c>
      <c r="B2533" s="3" t="inlineStr">
        <is>
          <t>9.7.2.20</t>
        </is>
      </c>
      <c r="C2533" s="3" t="inlineStr">
        <is>
          <t>Pemasangan 1 Buah Valve Ø 2" (50 mm)</t>
        </is>
      </c>
      <c r="D2533" s="3" t="inlineStr">
        <is>
          <t>buah</t>
        </is>
      </c>
      <c r="E2533" s="4" t="n">
        <v>220704</v>
      </c>
    </row>
    <row r="2534">
      <c r="A2534" s="3" t="n">
        <v>2532</v>
      </c>
      <c r="B2534" s="3" t="inlineStr">
        <is>
          <t>9.7.2.21</t>
        </is>
      </c>
      <c r="C2534" s="3" t="inlineStr">
        <is>
          <t>Pemasangan 1 Buah Valve Ø 2-1/2" (65 mm)</t>
        </is>
      </c>
      <c r="D2534" s="3" t="inlineStr">
        <is>
          <t>buah</t>
        </is>
      </c>
      <c r="E2534" s="4" t="n">
        <v>256767</v>
      </c>
    </row>
    <row r="2535">
      <c r="A2535" s="3" t="n">
        <v>2533</v>
      </c>
      <c r="B2535" s="3" t="inlineStr">
        <is>
          <t>9.7.2.22</t>
        </is>
      </c>
      <c r="C2535" s="3" t="inlineStr">
        <is>
          <t>Pemasangan 1 Buah Valve Ø 3" (80 mm)</t>
        </is>
      </c>
      <c r="D2535" s="3" t="inlineStr">
        <is>
          <t>buah</t>
        </is>
      </c>
      <c r="E2535" s="4" t="n">
        <v>298397</v>
      </c>
    </row>
    <row r="2536">
      <c r="A2536" s="3" t="n">
        <v>2534</v>
      </c>
      <c r="B2536" s="3" t="inlineStr">
        <is>
          <t>9.7.2.23</t>
        </is>
      </c>
      <c r="C2536" s="3" t="inlineStr">
        <is>
          <t>Pemasangan 1 Buah Valve Ø 4" (100 mm)</t>
        </is>
      </c>
      <c r="D2536" s="3" t="inlineStr">
        <is>
          <t>buah</t>
        </is>
      </c>
      <c r="E2536" s="4" t="n">
        <v>334361</v>
      </c>
    </row>
    <row r="2537">
      <c r="A2537" s="3" t="n">
        <v>2535</v>
      </c>
      <c r="B2537" s="3" t="inlineStr">
        <is>
          <t>9.7.2.24</t>
        </is>
      </c>
      <c r="C2537" s="3" t="inlineStr">
        <is>
          <t>Pemasangan 1 Buah Valve Ø 5" (125 mm)</t>
        </is>
      </c>
      <c r="D2537" s="3" t="inlineStr">
        <is>
          <t>buah</t>
        </is>
      </c>
      <c r="E2537" s="4" t="n">
        <v>410525</v>
      </c>
    </row>
    <row r="2538">
      <c r="A2538" s="3" t="n">
        <v>2536</v>
      </c>
      <c r="B2538" s="3" t="inlineStr">
        <is>
          <t>9.7.3.1</t>
        </is>
      </c>
      <c r="C2538" s="3" t="inlineStr">
        <is>
          <t>Pemasangan 1 Buah Tee Ø 6" (150 mm)</t>
        </is>
      </c>
      <c r="D2538" s="3" t="inlineStr">
        <is>
          <t>buah</t>
        </is>
      </c>
      <c r="E2538" s="4" t="n">
        <v>97359</v>
      </c>
    </row>
    <row r="2539">
      <c r="A2539" s="3" t="n">
        <v>2537</v>
      </c>
      <c r="B2539" s="3" t="inlineStr">
        <is>
          <t>9.7.3.2</t>
        </is>
      </c>
      <c r="C2539" s="3" t="inlineStr">
        <is>
          <t>Pemasangan 1 Buah Tee Ø 8" (200 mm)</t>
        </is>
      </c>
      <c r="D2539" s="3" t="inlineStr">
        <is>
          <t>buah</t>
        </is>
      </c>
      <c r="E2539" s="4" t="n">
        <v>201071</v>
      </c>
    </row>
    <row r="2540">
      <c r="A2540" s="3" t="n">
        <v>2538</v>
      </c>
      <c r="B2540" s="3" t="inlineStr">
        <is>
          <t>9.7.3.3</t>
        </is>
      </c>
      <c r="C2540" s="3" t="inlineStr">
        <is>
          <t>Pemasangan 1 Buah Tee Ø 10" (250 mm)</t>
        </is>
      </c>
      <c r="D2540" s="3" t="inlineStr">
        <is>
          <t>buah</t>
        </is>
      </c>
      <c r="E2540" s="4" t="n">
        <v>310251</v>
      </c>
    </row>
    <row r="2541">
      <c r="A2541" s="3" t="n">
        <v>2539</v>
      </c>
      <c r="B2541" s="3" t="inlineStr">
        <is>
          <t>9.7.3.4</t>
        </is>
      </c>
      <c r="C2541" s="3" t="inlineStr">
        <is>
          <t>Pemasangan 1 Buah Tee Ø 18" (450 mm)</t>
        </is>
      </c>
      <c r="D2541" s="3" t="inlineStr">
        <is>
          <t>buah</t>
        </is>
      </c>
      <c r="E2541" s="4" t="n">
        <v>535188</v>
      </c>
    </row>
    <row r="2542">
      <c r="A2542" s="3" t="n">
        <v>2540</v>
      </c>
      <c r="B2542" s="3" t="inlineStr">
        <is>
          <t>9.7.3.5</t>
        </is>
      </c>
      <c r="C2542" s="3" t="inlineStr">
        <is>
          <t>Pemasangan 1 Buah Tee Ø 20" (500 mm)</t>
        </is>
      </c>
      <c r="D2542" s="3" t="inlineStr">
        <is>
          <t>buah</t>
        </is>
      </c>
      <c r="E2542" s="4" t="n">
        <v>641861</v>
      </c>
    </row>
    <row r="2543">
      <c r="A2543" s="3" t="n">
        <v>2541</v>
      </c>
      <c r="B2543" s="3" t="inlineStr">
        <is>
          <t>9.7.3.6</t>
        </is>
      </c>
      <c r="C2543" s="3" t="inlineStr">
        <is>
          <t>Pemasangan 1 Buah Tee Ø 24" (600 mm)</t>
        </is>
      </c>
      <c r="D2543" s="3" t="inlineStr">
        <is>
          <t>buah</t>
        </is>
      </c>
      <c r="E2543" s="4" t="n">
        <v>886714</v>
      </c>
    </row>
    <row r="2544">
      <c r="A2544" s="3" t="n">
        <v>2542</v>
      </c>
      <c r="B2544" s="3" t="inlineStr">
        <is>
          <t>9.7.3.7</t>
        </is>
      </c>
      <c r="C2544" s="3" t="inlineStr">
        <is>
          <t>Pemasangan 1 Buah Tee Ø 28" (700 mm)</t>
        </is>
      </c>
      <c r="D2544" s="3" t="inlineStr">
        <is>
          <t>buah</t>
        </is>
      </c>
      <c r="E2544" s="4" t="n">
        <v>1046716</v>
      </c>
    </row>
    <row r="2545">
      <c r="A2545" s="3" t="n">
        <v>2543</v>
      </c>
      <c r="B2545" s="3" t="inlineStr">
        <is>
          <t>9.7.3.8</t>
        </is>
      </c>
      <c r="C2545" s="3" t="inlineStr">
        <is>
          <t>Pemasangan 1 Buah Tee Ø 32" (800 mm)</t>
        </is>
      </c>
      <c r="D2545" s="3" t="inlineStr">
        <is>
          <t>buah</t>
        </is>
      </c>
      <c r="E2545" s="4" t="n">
        <v>1220522</v>
      </c>
    </row>
    <row r="2546">
      <c r="A2546" s="3" t="n">
        <v>2544</v>
      </c>
      <c r="B2546" s="3" t="inlineStr">
        <is>
          <t>9.7.3.9</t>
        </is>
      </c>
      <c r="C2546" s="3" t="inlineStr">
        <is>
          <t>Pemasangan 1 Buah Tee Ø 36" (900 mm)</t>
        </is>
      </c>
      <c r="D2546" s="3" t="inlineStr">
        <is>
          <t>buah</t>
        </is>
      </c>
      <c r="E2546" s="4" t="n">
        <v>1403850</v>
      </c>
    </row>
    <row r="2547">
      <c r="A2547" s="3" t="n">
        <v>2545</v>
      </c>
      <c r="B2547" s="3" t="inlineStr">
        <is>
          <t>9.7.3.10</t>
        </is>
      </c>
      <c r="C2547" s="3" t="inlineStr">
        <is>
          <t>Pemasangan 1 Buah Tee Ø 40" (1000 mm)</t>
        </is>
      </c>
      <c r="D2547" s="3" t="inlineStr">
        <is>
          <t>buah</t>
        </is>
      </c>
      <c r="E2547" s="4" t="n">
        <v>1578871</v>
      </c>
    </row>
    <row r="2548">
      <c r="A2548" s="3" t="n">
        <v>2546</v>
      </c>
      <c r="B2548" s="3" t="inlineStr">
        <is>
          <t>9.7.3.11</t>
        </is>
      </c>
      <c r="C2548" s="3" t="inlineStr">
        <is>
          <t>Pemasangan 1 Buah Tee Ø 44" (1100 mm)</t>
        </is>
      </c>
      <c r="D2548" s="3" t="inlineStr">
        <is>
          <t>buah</t>
        </is>
      </c>
      <c r="E2548" s="4" t="n">
        <v>1731782</v>
      </c>
    </row>
    <row r="2549">
      <c r="A2549" s="3" t="n">
        <v>2547</v>
      </c>
      <c r="B2549" s="3" t="inlineStr">
        <is>
          <t>9.7.3.12</t>
        </is>
      </c>
      <c r="C2549" s="3" t="inlineStr">
        <is>
          <t>Pemasangan 1 Buah Tee Ø 48" (1200 mm)</t>
        </is>
      </c>
      <c r="D2549" s="3" t="inlineStr">
        <is>
          <t>buah</t>
        </is>
      </c>
      <c r="E2549" s="4" t="n">
        <v>1969011</v>
      </c>
    </row>
    <row r="2550">
      <c r="A2550" s="3" t="n">
        <v>2548</v>
      </c>
      <c r="B2550" s="3" t="inlineStr">
        <is>
          <t>9.7.3.13</t>
        </is>
      </c>
      <c r="C2550" s="3" t="inlineStr">
        <is>
          <t>Pemasangan 1 Buah Tee Ø 1/2" (15 mm)</t>
        </is>
      </c>
      <c r="D2550" s="3" t="inlineStr">
        <is>
          <t>buah</t>
        </is>
      </c>
      <c r="E2550" s="4" t="n">
        <v>26235</v>
      </c>
    </row>
    <row r="2551">
      <c r="A2551" s="3" t="n">
        <v>2549</v>
      </c>
      <c r="B2551" s="3" t="inlineStr">
        <is>
          <t>9.7.3.14</t>
        </is>
      </c>
      <c r="C2551" s="3" t="inlineStr">
        <is>
          <t>Pemasangan 1 Buah Tee Ø 3/4" (20 mm)</t>
        </is>
      </c>
      <c r="D2551" s="3" t="inlineStr">
        <is>
          <t>buah</t>
        </is>
      </c>
      <c r="E2551" s="4" t="n">
        <v>33935</v>
      </c>
    </row>
    <row r="2552">
      <c r="A2552" s="3" t="n">
        <v>2550</v>
      </c>
      <c r="B2552" s="3" t="inlineStr">
        <is>
          <t>9.7.3.15</t>
        </is>
      </c>
      <c r="C2552" s="3" t="inlineStr">
        <is>
          <t>Pemasangan 1 Buah Tee Ø 1" (25 mm)</t>
        </is>
      </c>
      <c r="D2552" s="3" t="inlineStr">
        <is>
          <t>buah</t>
        </is>
      </c>
      <c r="E2552" s="4" t="n">
        <v>38483</v>
      </c>
    </row>
    <row r="2553">
      <c r="A2553" s="3" t="n">
        <v>2551</v>
      </c>
      <c r="B2553" s="3" t="inlineStr">
        <is>
          <t>9.7.3.16</t>
        </is>
      </c>
      <c r="C2553" s="3" t="inlineStr">
        <is>
          <t>Pemasangan 1 Buah Tee Ø 1-1/4" (32 mm)</t>
        </is>
      </c>
      <c r="D2553" s="3" t="inlineStr">
        <is>
          <t>buah</t>
        </is>
      </c>
      <c r="E2553" s="4" t="n">
        <v>41173</v>
      </c>
    </row>
    <row r="2554">
      <c r="A2554" s="3" t="n">
        <v>2552</v>
      </c>
      <c r="B2554" s="3" t="inlineStr">
        <is>
          <t>9.7.3.17</t>
        </is>
      </c>
      <c r="C2554" s="3" t="inlineStr">
        <is>
          <t>Pemasangan 1 Buah Tee Ø 1-1/2" (40 mm)</t>
        </is>
      </c>
      <c r="D2554" s="3" t="inlineStr">
        <is>
          <t>buah</t>
        </is>
      </c>
      <c r="E2554" s="4" t="n">
        <v>49522</v>
      </c>
    </row>
    <row r="2555">
      <c r="A2555" s="3" t="n">
        <v>2553</v>
      </c>
      <c r="B2555" s="3" t="inlineStr">
        <is>
          <t>9.7.3.18</t>
        </is>
      </c>
      <c r="C2555" s="3" t="inlineStr">
        <is>
          <t>Pemasangan 1 Buah Tee Ø 2" (50 mm)</t>
        </is>
      </c>
      <c r="D2555" s="3" t="inlineStr">
        <is>
          <t>buah</t>
        </is>
      </c>
      <c r="E2555" s="4" t="n">
        <v>53421</v>
      </c>
    </row>
    <row r="2556">
      <c r="A2556" s="3" t="n">
        <v>2554</v>
      </c>
      <c r="B2556" s="3" t="inlineStr">
        <is>
          <t>9.7.3.19</t>
        </is>
      </c>
      <c r="C2556" s="3" t="inlineStr">
        <is>
          <t>Pemasangan 1 Buah Tee Ø 2-1/2" (65 mm)</t>
        </is>
      </c>
      <c r="D2556" s="3" t="inlineStr">
        <is>
          <t>buah</t>
        </is>
      </c>
      <c r="E2556" s="4" t="n">
        <v>62029</v>
      </c>
    </row>
    <row r="2557">
      <c r="A2557" s="3" t="n">
        <v>2555</v>
      </c>
      <c r="B2557" s="3" t="inlineStr">
        <is>
          <t>9.7.3.20</t>
        </is>
      </c>
      <c r="C2557" s="3" t="inlineStr">
        <is>
          <t>Pemasangan 1 Buah Tee Ø 3" (80 mm)</t>
        </is>
      </c>
      <c r="D2557" s="3" t="inlineStr">
        <is>
          <t>buah</t>
        </is>
      </c>
      <c r="E2557" s="4" t="n">
        <v>76246</v>
      </c>
    </row>
    <row r="2558">
      <c r="A2558" s="3" t="n">
        <v>2556</v>
      </c>
      <c r="B2558" s="3" t="inlineStr">
        <is>
          <t>9.7.3.21</t>
        </is>
      </c>
      <c r="C2558" s="3" t="inlineStr">
        <is>
          <t>Pemasangan 1 Buah Tee Ø 4" (100 mm)</t>
        </is>
      </c>
      <c r="D2558" s="3" t="inlineStr">
        <is>
          <t>buah</t>
        </is>
      </c>
      <c r="E2558" s="4" t="n">
        <v>82643</v>
      </c>
    </row>
    <row r="2559">
      <c r="A2559" s="3" t="n">
        <v>2557</v>
      </c>
      <c r="B2559" s="3" t="inlineStr">
        <is>
          <t>9.7.3.22</t>
        </is>
      </c>
      <c r="C2559" s="3" t="inlineStr">
        <is>
          <t>Pemasangan 1 Buah Tee Ø 5" (125 mm)</t>
        </is>
      </c>
      <c r="D2559" s="3" t="inlineStr">
        <is>
          <t>buah</t>
        </is>
      </c>
      <c r="E2559" s="4" t="n">
        <v>78688</v>
      </c>
    </row>
    <row r="2560">
      <c r="A2560" s="3" t="n">
        <v>2558</v>
      </c>
      <c r="B2560" s="3" t="inlineStr">
        <is>
          <t>9.7.3.23</t>
        </is>
      </c>
      <c r="C2560" s="3" t="inlineStr">
        <is>
          <t>Pemasangan 1 Buah Tee Ø 12" (300 mm)</t>
        </is>
      </c>
      <c r="D2560" s="3" t="inlineStr">
        <is>
          <t>buah</t>
        </is>
      </c>
      <c r="E2560" s="4" t="n">
        <v>350911</v>
      </c>
    </row>
    <row r="2561">
      <c r="A2561" s="3" t="n">
        <v>2559</v>
      </c>
      <c r="B2561" s="3" t="inlineStr">
        <is>
          <t>9.7.3.24</t>
        </is>
      </c>
      <c r="C2561" s="3" t="inlineStr">
        <is>
          <t>Pemasangan 1 Buah Tee Ø 16" (400 mm)</t>
        </is>
      </c>
      <c r="D2561" s="3" t="inlineStr">
        <is>
          <t>buah</t>
        </is>
      </c>
      <c r="E2561" s="4" t="n">
        <v>419496</v>
      </c>
    </row>
    <row r="2562">
      <c r="A2562" s="3" t="n">
        <v>2560</v>
      </c>
      <c r="B2562" s="3" t="inlineStr">
        <is>
          <t>10.1.1</t>
        </is>
      </c>
      <c r="C2562" s="3" t="inlineStr">
        <is>
          <t>Pembuatan 1 buah cetakan Panel P1 RISHA (Asumsi 400 Kali Pakai )</t>
        </is>
      </c>
      <c r="D2562" s="3" t="inlineStr">
        <is>
          <t>buah</t>
        </is>
      </c>
      <c r="E2562" s="4" t="n">
        <v>1566728</v>
      </c>
    </row>
    <row r="2563">
      <c r="A2563" s="3" t="n">
        <v>2561</v>
      </c>
      <c r="B2563" s="3" t="inlineStr">
        <is>
          <t>10.1.2</t>
        </is>
      </c>
      <c r="C2563" s="3" t="inlineStr">
        <is>
          <t>Pembuatan 1 buah cetakan Panel P2 RISHA (Asumsi 400 Kali Pakai )</t>
        </is>
      </c>
      <c r="D2563" s="3" t="inlineStr">
        <is>
          <t>buah</t>
        </is>
      </c>
      <c r="E2563" s="4" t="n">
        <v>1380634</v>
      </c>
    </row>
    <row r="2564">
      <c r="A2564" s="3" t="n">
        <v>2562</v>
      </c>
      <c r="B2564" s="3" t="inlineStr">
        <is>
          <t>10.1.3</t>
        </is>
      </c>
      <c r="C2564" s="3" t="inlineStr">
        <is>
          <t>Pembuatan 1 buah cetakan Panel P3 RISHA (Asumsi 400 Kali Pakai )</t>
        </is>
      </c>
      <c r="D2564" s="3" t="inlineStr">
        <is>
          <t>buah</t>
        </is>
      </c>
      <c r="E2564" s="4" t="n">
        <v>758435</v>
      </c>
    </row>
    <row r="2565">
      <c r="A2565" s="3" t="n">
        <v>2563</v>
      </c>
      <c r="B2565" s="3" t="inlineStr">
        <is>
          <t>10.1.4</t>
        </is>
      </c>
      <c r="C2565" s="3" t="inlineStr">
        <is>
          <t>Pasangan dan Membuka Cetakan 1 buah Komponen P1 RISHA</t>
        </is>
      </c>
      <c r="D2565" s="3" t="inlineStr">
        <is>
          <t>buah</t>
        </is>
      </c>
      <c r="E2565" s="4" t="n">
        <v>14068</v>
      </c>
    </row>
    <row r="2566">
      <c r="A2566" s="3" t="n">
        <v>2564</v>
      </c>
      <c r="B2566" s="3" t="inlineStr">
        <is>
          <t>10.1.5</t>
        </is>
      </c>
      <c r="C2566" s="3" t="inlineStr">
        <is>
          <t>Pasangan dan Membuka Cetakan 1 buah Komponen P2 RISHA</t>
        </is>
      </c>
      <c r="D2566" s="3" t="inlineStr">
        <is>
          <t>buah</t>
        </is>
      </c>
      <c r="E2566" s="4" t="n">
        <v>13625</v>
      </c>
    </row>
    <row r="2567">
      <c r="A2567" s="3" t="n">
        <v>2565</v>
      </c>
      <c r="B2567" s="3" t="inlineStr">
        <is>
          <t>10.1.6</t>
        </is>
      </c>
      <c r="C2567" s="3" t="inlineStr">
        <is>
          <t>Pasangan dan Membuka Cetakan 1 buah Komponen P3 RISHA</t>
        </is>
      </c>
      <c r="D2567" s="3" t="inlineStr">
        <is>
          <t>buah</t>
        </is>
      </c>
      <c r="E2567" s="4" t="n">
        <v>13292</v>
      </c>
    </row>
    <row r="2568">
      <c r="A2568" s="3" t="n">
        <v>2566</v>
      </c>
      <c r="B2568" s="3" t="inlineStr">
        <is>
          <t>10.1.7</t>
        </is>
      </c>
      <c r="C2568" s="3" t="inlineStr">
        <is>
          <t>Produksi 1 buah Panel P1</t>
        </is>
      </c>
      <c r="D2568" s="3" t="inlineStr">
        <is>
          <t>buah</t>
        </is>
      </c>
      <c r="E2568" s="4" t="n">
        <v>179562</v>
      </c>
    </row>
    <row r="2569">
      <c r="A2569" s="3" t="n">
        <v>2567</v>
      </c>
      <c r="B2569" s="3" t="inlineStr">
        <is>
          <t>10.1.8</t>
        </is>
      </c>
      <c r="C2569" s="3" t="inlineStr">
        <is>
          <t>Produksi 1 buah Panel P2</t>
        </is>
      </c>
      <c r="D2569" s="3" t="inlineStr">
        <is>
          <t>buah</t>
        </is>
      </c>
      <c r="E2569" s="4" t="n">
        <v>155800</v>
      </c>
    </row>
    <row r="2570">
      <c r="A2570" s="3" t="n">
        <v>2568</v>
      </c>
      <c r="B2570" s="3" t="inlineStr">
        <is>
          <t>10.1.9</t>
        </is>
      </c>
      <c r="C2570" s="3" t="inlineStr">
        <is>
          <t>Produksi 1 buah Panel P3</t>
        </is>
      </c>
      <c r="D2570" s="3" t="inlineStr">
        <is>
          <t>buah</t>
        </is>
      </c>
      <c r="E2570" s="4" t="n">
        <v>121598</v>
      </c>
    </row>
    <row r="2571">
      <c r="A2571" s="3" t="n">
        <v>2569</v>
      </c>
      <c r="B2571" s="3" t="inlineStr">
        <is>
          <t>10.2.1</t>
        </is>
      </c>
      <c r="C2571" s="3" t="inlineStr">
        <is>
          <t>Pengepakan 1 set Panel dan Aksesoris RISHA T-36</t>
        </is>
      </c>
      <c r="D2571" s="3" t="inlineStr">
        <is>
          <t>set</t>
        </is>
      </c>
      <c r="E2571" s="4" t="n">
        <v>1314700</v>
      </c>
    </row>
    <row r="2572">
      <c r="A2572" s="3" t="n">
        <v>2570</v>
      </c>
      <c r="B2572" s="3" t="inlineStr">
        <is>
          <t>10.2.2</t>
        </is>
      </c>
      <c r="C2572" s="3" t="inlineStr">
        <is>
          <t>Pengiriman 1 set Panel dan Aksesoris RISHA T-36</t>
        </is>
      </c>
      <c r="D2572" s="3" t="inlineStr">
        <is>
          <t>set</t>
        </is>
      </c>
      <c r="E2572" s="4" t="n">
        <v>24560553</v>
      </c>
    </row>
    <row r="2573">
      <c r="A2573" s="3" t="n">
        <v>2571</v>
      </c>
      <c r="B2573" s="3" t="inlineStr">
        <is>
          <t>10.3.1</t>
        </is>
      </c>
      <c r="C2573" s="3" t="inlineStr">
        <is>
          <t>Pekerjaan Perakitan Panel dan Alat Sambung Modul T36 RISHA</t>
        </is>
      </c>
      <c r="D2573" s="3" t="inlineStr">
        <is>
          <t>buah</t>
        </is>
      </c>
      <c r="E2573" s="4" t="n">
        <v>1965000</v>
      </c>
    </row>
    <row r="2574">
      <c r="A2574" s="3" t="n">
        <v>2572</v>
      </c>
      <c r="B2574" s="3" t="inlineStr">
        <is>
          <t>10.3.2</t>
        </is>
      </c>
      <c r="C2574" s="3" t="inlineStr">
        <is>
          <t>Pekerjaan Perakitan Panel Modul T36 RISHA</t>
        </is>
      </c>
      <c r="D2574" s="3" t="inlineStr">
        <is>
          <t>buah</t>
        </is>
      </c>
      <c r="E2574" s="4" t="n">
        <v>1325500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409"/>
  <sheetViews>
    <sheetView workbookViewId="0">
      <selection activeCell="A1" sqref="A1"/>
    </sheetView>
  </sheetViews>
  <sheetFormatPr baseColWidth="8" defaultRowHeight="15"/>
  <cols>
    <col width="45" customWidth="1" min="2" max="2"/>
    <col width="18" customWidth="1" min="5" max="5"/>
    <col width="18" customWidth="1" min="6" max="6"/>
  </cols>
  <sheetData>
    <row r="1">
      <c r="A1" s="9" t="inlineStr">
        <is>
          <t>DETAIL URAIAN ANALISA HARGA SATUAN PEKERJAAN (AHSP)</t>
        </is>
      </c>
    </row>
    <row r="2">
      <c r="A2" t="inlineStr">
        <is>
          <t>Tabel ini merinci komposisi bahan, alat, dan pekerja untuk setiap kode AHSP</t>
        </is>
      </c>
    </row>
    <row r="4">
      <c r="A4" s="14" t="inlineStr">
        <is>
          <t>KODE: 1.1.1.1 - Pembuatan 1 m’ pagar sementara dari kayu tinggi 2 meter</t>
        </is>
      </c>
    </row>
    <row r="5">
      <c r="A5" s="10" t="inlineStr">
        <is>
          <t>No</t>
        </is>
      </c>
      <c r="B5" s="10" t="inlineStr">
        <is>
          <t>Uraian Komponen</t>
        </is>
      </c>
      <c r="C5" s="10" t="inlineStr">
        <is>
          <t>Satuan</t>
        </is>
      </c>
      <c r="D5" s="10" t="inlineStr">
        <is>
          <t>Koef</t>
        </is>
      </c>
      <c r="E5" s="10" t="inlineStr">
        <is>
          <t>Harga Satuan (Rp)</t>
        </is>
      </c>
      <c r="F5" s="10" t="inlineStr">
        <is>
          <t>Jumlah Harga (Rp)</t>
        </is>
      </c>
    </row>
    <row r="6">
      <c r="A6" s="3" t="inlineStr">
        <is>
          <t>1</t>
        </is>
      </c>
      <c r="B6" s="3" t="inlineStr">
        <is>
          <t>Pekerja OH</t>
        </is>
      </c>
      <c r="C6" s="3" t="inlineStr">
        <is>
          <t>0.6</t>
        </is>
      </c>
      <c r="D6" s="15" t="n">
        <v>100000</v>
      </c>
      <c r="E6" s="4" t="n">
        <v>60000</v>
      </c>
      <c r="F6" s="4" t="n">
        <v>0.1</v>
      </c>
    </row>
    <row r="7">
      <c r="A7" s="3" t="inlineStr">
        <is>
          <t>2</t>
        </is>
      </c>
      <c r="B7" s="3" t="inlineStr">
        <is>
          <t>Tukang kayu</t>
        </is>
      </c>
      <c r="C7" s="3" t="inlineStr">
        <is>
          <t>OH</t>
        </is>
      </c>
      <c r="D7" s="15" t="n">
        <v>0.2</v>
      </c>
      <c r="E7" s="4" t="n">
        <v>145000</v>
      </c>
      <c r="F7" s="4" t="n">
        <v>29000</v>
      </c>
    </row>
    <row r="8">
      <c r="A8" s="3" t="inlineStr">
        <is>
          <t>3</t>
        </is>
      </c>
      <c r="B8" s="3" t="inlineStr">
        <is>
          <t>Tukang batu</t>
        </is>
      </c>
      <c r="C8" s="3" t="inlineStr">
        <is>
          <t>OH</t>
        </is>
      </c>
      <c r="D8" s="15" t="n">
        <v>0.2</v>
      </c>
      <c r="E8" s="4" t="n">
        <v>145000</v>
      </c>
      <c r="F8" s="4" t="n">
        <v>29000</v>
      </c>
    </row>
    <row r="9">
      <c r="A9" s="3" t="inlineStr">
        <is>
          <t>4</t>
        </is>
      </c>
      <c r="B9" s="3" t="inlineStr">
        <is>
          <t>Kepala tukang</t>
        </is>
      </c>
      <c r="C9" s="3" t="inlineStr">
        <is>
          <t>OH</t>
        </is>
      </c>
      <c r="D9" s="15" t="n">
        <v>0.04</v>
      </c>
      <c r="E9" s="4" t="n">
        <v>175000</v>
      </c>
      <c r="F9" s="4" t="n">
        <v>7000</v>
      </c>
    </row>
    <row r="10">
      <c r="A10" s="3" t="inlineStr">
        <is>
          <t>5</t>
        </is>
      </c>
      <c r="B10" s="3" t="inlineStr">
        <is>
          <t>Mandor</t>
        </is>
      </c>
      <c r="C10" s="3" t="inlineStr">
        <is>
          <t>OH</t>
        </is>
      </c>
      <c r="D10" s="15" t="n">
        <v>0.013</v>
      </c>
      <c r="E10" s="4" t="n">
        <v>200000</v>
      </c>
      <c r="F10" s="4" t="n">
        <v>2600</v>
      </c>
    </row>
    <row r="11">
      <c r="A11" s="3" t="inlineStr">
        <is>
          <t>1</t>
        </is>
      </c>
      <c r="B11" s="3" t="inlineStr">
        <is>
          <t>Kaso 5/7 kayu kelas II</t>
        </is>
      </c>
      <c r="C11" s="3" t="inlineStr">
        <is>
          <t>m3</t>
        </is>
      </c>
      <c r="D11" s="15" t="n">
        <v>0.0387</v>
      </c>
      <c r="E11" s="4" t="n">
        <v>10214200</v>
      </c>
      <c r="F11" s="4" t="n">
        <v>395289.54</v>
      </c>
    </row>
    <row r="12">
      <c r="A12" s="3" t="inlineStr">
        <is>
          <t>2</t>
        </is>
      </c>
      <c r="B12" s="3" t="inlineStr">
        <is>
          <t>Papan Kayu ukuran 2/20 cm</t>
        </is>
      </c>
      <c r="C12" s="3" t="inlineStr">
        <is>
          <t>m3</t>
        </is>
      </c>
      <c r="D12" s="15" t="n">
        <v>0.0396</v>
      </c>
      <c r="E12" s="4" t="n">
        <v>2500000</v>
      </c>
      <c r="F12" s="4" t="n">
        <v>99000.00000000001</v>
      </c>
    </row>
    <row r="13">
      <c r="A13" s="3" t="inlineStr">
        <is>
          <t>3</t>
        </is>
      </c>
      <c r="B13" s="3" t="inlineStr">
        <is>
          <t>Paku biasa 5 inchi</t>
        </is>
      </c>
      <c r="C13" s="3" t="inlineStr">
        <is>
          <t>kg</t>
        </is>
      </c>
      <c r="D13" s="15" t="n">
        <v>0.5872000000000001</v>
      </c>
      <c r="E13" s="4" t="n">
        <v>20000</v>
      </c>
      <c r="F13" s="4" t="n">
        <v>11744</v>
      </c>
    </row>
    <row r="14">
      <c r="A14" s="3" t="inlineStr">
        <is>
          <t>4</t>
        </is>
      </c>
      <c r="B14" s="3" t="inlineStr">
        <is>
          <t>Semen Portland (PC)</t>
        </is>
      </c>
      <c r="C14" s="3" t="inlineStr">
        <is>
          <t>kg</t>
        </is>
      </c>
      <c r="D14" s="15" t="n">
        <v>26.406</v>
      </c>
      <c r="E14" s="4" t="n">
        <v>1300</v>
      </c>
      <c r="F14" s="4" t="n">
        <v>34327.8</v>
      </c>
    </row>
    <row r="15">
      <c r="A15" s="3" t="inlineStr">
        <is>
          <t>5</t>
        </is>
      </c>
      <c r="B15" s="3" t="inlineStr">
        <is>
          <t>Pasir Beton</t>
        </is>
      </c>
      <c r="C15" s="3" t="inlineStr">
        <is>
          <t>kg</t>
        </is>
      </c>
      <c r="D15" s="15" t="n">
        <v>61.56</v>
      </c>
      <c r="E15" s="4" t="n">
        <v>300</v>
      </c>
      <c r="F15" s="4" t="n">
        <v>18468</v>
      </c>
    </row>
    <row r="16">
      <c r="A16" s="3" t="inlineStr">
        <is>
          <t>6</t>
        </is>
      </c>
      <c r="B16" s="3" t="inlineStr">
        <is>
          <t>Kerikil</t>
        </is>
      </c>
      <c r="C16" s="3" t="inlineStr">
        <is>
          <t>kg</t>
        </is>
      </c>
      <c r="D16" s="15" t="n">
        <v>83.349</v>
      </c>
      <c r="E16" s="4" t="n">
        <v>210</v>
      </c>
      <c r="F16" s="4" t="n">
        <v>17503.29</v>
      </c>
    </row>
    <row r="17">
      <c r="A17" s="3" t="inlineStr">
        <is>
          <t>7</t>
        </is>
      </c>
      <c r="B17" s="3" t="inlineStr">
        <is>
          <t>Air</t>
        </is>
      </c>
      <c r="C17" s="3" t="inlineStr">
        <is>
          <t>liter</t>
        </is>
      </c>
      <c r="D17" s="15" t="n">
        <v>17.415</v>
      </c>
      <c r="E17" s="4" t="n">
        <v>200</v>
      </c>
      <c r="F17" s="4" t="n">
        <v>3483</v>
      </c>
    </row>
    <row r="18">
      <c r="A18" s="3" t="inlineStr">
        <is>
          <t>8</t>
        </is>
      </c>
      <c r="B18" s="3" t="inlineStr">
        <is>
          <t>Residu</t>
        </is>
      </c>
      <c r="C18" s="3" t="inlineStr">
        <is>
          <t>liter</t>
        </is>
      </c>
      <c r="D18" s="15" t="n">
        <v>0.4</v>
      </c>
      <c r="E18" s="4" t="n">
        <v>21000</v>
      </c>
      <c r="F18" s="4" t="n">
        <v>8400</v>
      </c>
    </row>
    <row r="19">
      <c r="D19" s="2" t="inlineStr">
        <is>
          <t>SUBTOTAL UPAH</t>
        </is>
      </c>
      <c r="F19" s="16" t="n">
        <v>127600</v>
      </c>
    </row>
    <row r="20">
      <c r="D20" s="2" t="inlineStr">
        <is>
          <t>SUBTOTAL BAHAN</t>
        </is>
      </c>
      <c r="F20" s="16" t="n">
        <v>588215.63</v>
      </c>
    </row>
    <row r="21">
      <c r="D21" s="2" t="inlineStr">
        <is>
          <t>SUBTOTAL ALAT</t>
        </is>
      </c>
      <c r="F21" s="16" t="n">
        <v>0</v>
      </c>
    </row>
    <row r="22">
      <c r="E22" s="2" t="inlineStr">
        <is>
          <t>TOTAL HARGA SATUAN (Inc. Overhead)</t>
        </is>
      </c>
      <c r="F22" s="17" t="n">
        <v>787397</v>
      </c>
    </row>
    <row r="24">
      <c r="A24" s="14" t="inlineStr">
        <is>
          <t>KODE: 1.1.1.2 - Pembuatan 1 m’ pagar sementara dari seng gelombang rangka kayu tinggi 2 meter</t>
        </is>
      </c>
    </row>
    <row r="25">
      <c r="A25" s="10" t="inlineStr">
        <is>
          <t>No</t>
        </is>
      </c>
      <c r="B25" s="10" t="inlineStr">
        <is>
          <t>Uraian Komponen</t>
        </is>
      </c>
      <c r="C25" s="10" t="inlineStr">
        <is>
          <t>Satuan</t>
        </is>
      </c>
      <c r="D25" s="10" t="inlineStr">
        <is>
          <t>Koef</t>
        </is>
      </c>
      <c r="E25" s="10" t="inlineStr">
        <is>
          <t>Harga Satuan (Rp)</t>
        </is>
      </c>
      <c r="F25" s="10" t="inlineStr">
        <is>
          <t>Jumlah Harga (Rp)</t>
        </is>
      </c>
    </row>
    <row r="26">
      <c r="A26" s="3" t="inlineStr">
        <is>
          <t>1</t>
        </is>
      </c>
      <c r="B26" s="3" t="inlineStr">
        <is>
          <t>Pekerja</t>
        </is>
      </c>
      <c r="C26" s="3" t="inlineStr">
        <is>
          <t>OH</t>
        </is>
      </c>
      <c r="D26" s="15" t="n">
        <v>0.25</v>
      </c>
      <c r="E26" s="4" t="n">
        <v>100000</v>
      </c>
      <c r="F26" s="4" t="n">
        <v>25000</v>
      </c>
    </row>
    <row r="27">
      <c r="A27" s="3" t="inlineStr">
        <is>
          <t>2</t>
        </is>
      </c>
      <c r="B27" s="3" t="inlineStr">
        <is>
          <t>Tukang kayu</t>
        </is>
      </c>
      <c r="C27" s="3" t="inlineStr">
        <is>
          <t>OH</t>
        </is>
      </c>
      <c r="D27" s="15" t="n">
        <v>0.125</v>
      </c>
      <c r="E27" s="4" t="n">
        <v>145000</v>
      </c>
      <c r="F27" s="4" t="n">
        <v>18125</v>
      </c>
    </row>
    <row r="28">
      <c r="A28" s="3" t="inlineStr">
        <is>
          <t>3</t>
        </is>
      </c>
      <c r="B28" s="3" t="inlineStr">
        <is>
          <t>Tukang batu</t>
        </is>
      </c>
      <c r="C28" s="3" t="inlineStr">
        <is>
          <t>OH</t>
        </is>
      </c>
      <c r="D28" s="15" t="n">
        <v>0.125</v>
      </c>
      <c r="E28" s="4" t="n">
        <v>145000</v>
      </c>
      <c r="F28" s="4" t="n">
        <v>18125</v>
      </c>
    </row>
    <row r="29">
      <c r="A29" s="3" t="inlineStr">
        <is>
          <t>4</t>
        </is>
      </c>
      <c r="B29" s="3" t="inlineStr">
        <is>
          <t>Kepala tukang</t>
        </is>
      </c>
      <c r="C29" s="3" t="inlineStr">
        <is>
          <t>OH</t>
        </is>
      </c>
      <c r="D29" s="15" t="n">
        <v>0.025</v>
      </c>
      <c r="E29" s="4" t="n">
        <v>175000</v>
      </c>
      <c r="F29" s="4" t="n">
        <v>4375</v>
      </c>
    </row>
    <row r="30">
      <c r="A30" s="3" t="inlineStr">
        <is>
          <t>5</t>
        </is>
      </c>
      <c r="B30" s="3" t="inlineStr">
        <is>
          <t>Mandor</t>
        </is>
      </c>
      <c r="C30" s="3" t="inlineStr">
        <is>
          <t>OH</t>
        </is>
      </c>
      <c r="D30" s="15" t="n">
        <v>0.008</v>
      </c>
      <c r="E30" s="4" t="n">
        <v>200000</v>
      </c>
      <c r="F30" s="4" t="n">
        <v>1600</v>
      </c>
    </row>
    <row r="31">
      <c r="A31" s="3" t="inlineStr">
        <is>
          <t>1</t>
        </is>
      </c>
      <c r="B31" s="3" t="inlineStr">
        <is>
          <t>Kaso 5/7 kayu kelas II</t>
        </is>
      </c>
      <c r="C31" s="3" t="inlineStr">
        <is>
          <t>m3</t>
        </is>
      </c>
      <c r="D31" s="15" t="n">
        <v>0.031</v>
      </c>
      <c r="E31" s="4" t="n">
        <v>10214200</v>
      </c>
      <c r="F31" s="4" t="n">
        <v>316640.2</v>
      </c>
    </row>
    <row r="32">
      <c r="A32" s="3" t="inlineStr">
        <is>
          <t>2</t>
        </is>
      </c>
      <c r="B32" s="3" t="inlineStr">
        <is>
          <t>Seng gelombang</t>
        </is>
      </c>
      <c r="C32" s="3" t="inlineStr">
        <is>
          <t>lembar</t>
        </is>
      </c>
      <c r="D32" s="15" t="n">
        <v>1.3125</v>
      </c>
      <c r="E32" s="4" t="n">
        <v>85000</v>
      </c>
      <c r="F32" s="4" t="n">
        <v>111562.5</v>
      </c>
    </row>
    <row r="33">
      <c r="A33" s="3" t="inlineStr">
        <is>
          <t>3</t>
        </is>
      </c>
      <c r="B33" s="3" t="inlineStr">
        <is>
          <t>Paku biasa 5 inchi</t>
        </is>
      </c>
      <c r="C33" s="3" t="inlineStr">
        <is>
          <t>kg</t>
        </is>
      </c>
      <c r="D33" s="15" t="n">
        <v>0.4271</v>
      </c>
      <c r="E33" s="4" t="n">
        <v>20000</v>
      </c>
      <c r="F33" s="4" t="n">
        <v>8542</v>
      </c>
    </row>
    <row r="34">
      <c r="A34" s="3" t="inlineStr">
        <is>
          <t>4</t>
        </is>
      </c>
      <c r="B34" s="3" t="inlineStr">
        <is>
          <t>Semen Portland (PC)</t>
        </is>
      </c>
      <c r="C34" s="3" t="inlineStr">
        <is>
          <t>kg</t>
        </is>
      </c>
      <c r="D34" s="15" t="n">
        <v>26.406</v>
      </c>
      <c r="E34" s="4" t="n">
        <v>1300</v>
      </c>
      <c r="F34" s="4" t="n">
        <v>34327.8</v>
      </c>
    </row>
    <row r="35">
      <c r="A35" s="3" t="inlineStr">
        <is>
          <t>5</t>
        </is>
      </c>
      <c r="B35" s="3" t="inlineStr">
        <is>
          <t>Pasir beton</t>
        </is>
      </c>
      <c r="C35" s="3" t="inlineStr">
        <is>
          <t>kg</t>
        </is>
      </c>
      <c r="D35" s="15" t="n">
        <v>61.56</v>
      </c>
      <c r="E35" s="4" t="n">
        <v>300</v>
      </c>
      <c r="F35" s="4" t="n">
        <v>18468</v>
      </c>
    </row>
    <row r="36">
      <c r="A36" s="3" t="inlineStr">
        <is>
          <t>6</t>
        </is>
      </c>
      <c r="B36" s="3" t="inlineStr">
        <is>
          <t>Kerikil</t>
        </is>
      </c>
      <c r="C36" s="3" t="inlineStr">
        <is>
          <t>kg</t>
        </is>
      </c>
      <c r="D36" s="15" t="n">
        <v>83.349</v>
      </c>
      <c r="E36" s="4" t="n">
        <v>210</v>
      </c>
      <c r="F36" s="4" t="n">
        <v>17503.29</v>
      </c>
    </row>
    <row r="37">
      <c r="A37" s="3" t="inlineStr">
        <is>
          <t>7</t>
        </is>
      </c>
      <c r="B37" s="3" t="inlineStr">
        <is>
          <t>Air</t>
        </is>
      </c>
      <c r="C37" s="3" t="inlineStr">
        <is>
          <t>liter</t>
        </is>
      </c>
      <c r="D37" s="15" t="n">
        <v>17.415</v>
      </c>
      <c r="E37" s="4" t="n">
        <v>200</v>
      </c>
      <c r="F37" s="4" t="n">
        <v>3483</v>
      </c>
    </row>
    <row r="38">
      <c r="D38" s="2" t="inlineStr">
        <is>
          <t>SUBTOTAL UPAH</t>
        </is>
      </c>
      <c r="F38" s="16" t="n">
        <v>67225</v>
      </c>
    </row>
    <row r="39">
      <c r="D39" s="2" t="inlineStr">
        <is>
          <t>SUBTOTAL BAHAN</t>
        </is>
      </c>
      <c r="F39" s="16" t="n">
        <v>510526.79</v>
      </c>
    </row>
    <row r="40">
      <c r="D40" s="2" t="inlineStr">
        <is>
          <t>SUBTOTAL ALAT</t>
        </is>
      </c>
      <c r="F40" s="16" t="n">
        <v>0</v>
      </c>
    </row>
    <row r="41">
      <c r="E41" s="2" t="inlineStr">
        <is>
          <t>TOTAL HARGA SATUAN (Inc. Overhead)</t>
        </is>
      </c>
      <c r="F41" s="17" t="n">
        <v>635526</v>
      </c>
    </row>
    <row r="43">
      <c r="A43" s="14" t="inlineStr">
        <is>
          <t>KODE: 1.1.1.3 - Pembuatan 1 m’ pagar sementara dari kawat duri tinggi 2 meter</t>
        </is>
      </c>
    </row>
    <row r="44">
      <c r="A44" s="10" t="inlineStr">
        <is>
          <t>No</t>
        </is>
      </c>
      <c r="B44" s="10" t="inlineStr">
        <is>
          <t>Uraian Komponen</t>
        </is>
      </c>
      <c r="C44" s="10" t="inlineStr">
        <is>
          <t>Satuan</t>
        </is>
      </c>
      <c r="D44" s="10" t="inlineStr">
        <is>
          <t>Koef</t>
        </is>
      </c>
      <c r="E44" s="10" t="inlineStr">
        <is>
          <t>Harga Satuan (Rp)</t>
        </is>
      </c>
      <c r="F44" s="10" t="inlineStr">
        <is>
          <t>Jumlah Harga (Rp)</t>
        </is>
      </c>
    </row>
    <row r="45">
      <c r="A45" s="3" t="inlineStr">
        <is>
          <t>1</t>
        </is>
      </c>
      <c r="B45" s="3" t="inlineStr">
        <is>
          <t>Pekerja</t>
        </is>
      </c>
      <c r="C45" s="3" t="inlineStr">
        <is>
          <t>OH</t>
        </is>
      </c>
      <c r="D45" s="15" t="n">
        <v>0.308</v>
      </c>
      <c r="E45" s="4" t="n">
        <v>100000</v>
      </c>
      <c r="F45" s="4" t="n">
        <v>30800</v>
      </c>
    </row>
    <row r="46">
      <c r="A46" s="3" t="inlineStr">
        <is>
          <t>2</t>
        </is>
      </c>
      <c r="B46" s="3" t="inlineStr">
        <is>
          <t>Tukang kayu</t>
        </is>
      </c>
      <c r="C46" s="3" t="inlineStr">
        <is>
          <t>OH</t>
        </is>
      </c>
      <c r="D46" s="15" t="n">
        <v>0.154</v>
      </c>
      <c r="E46" s="4" t="n">
        <v>145000</v>
      </c>
      <c r="F46" s="4" t="n">
        <v>22330</v>
      </c>
    </row>
    <row r="47">
      <c r="A47" s="3" t="inlineStr">
        <is>
          <t>3</t>
        </is>
      </c>
      <c r="B47" s="3" t="inlineStr">
        <is>
          <t>Tukang batu</t>
        </is>
      </c>
      <c r="C47" s="3" t="inlineStr">
        <is>
          <t>OH</t>
        </is>
      </c>
      <c r="D47" s="15" t="n">
        <v>0.154</v>
      </c>
      <c r="E47" s="4" t="n">
        <v>145000</v>
      </c>
      <c r="F47" s="4" t="n">
        <v>22330</v>
      </c>
    </row>
    <row r="48">
      <c r="A48" s="3" t="inlineStr">
        <is>
          <t>4</t>
        </is>
      </c>
      <c r="B48" s="3" t="inlineStr">
        <is>
          <t>Kepala tukang</t>
        </is>
      </c>
      <c r="C48" s="3" t="inlineStr">
        <is>
          <t>OH</t>
        </is>
      </c>
      <c r="D48" s="15" t="n">
        <v>0.031</v>
      </c>
      <c r="E48" s="4" t="n">
        <v>175000</v>
      </c>
      <c r="F48" s="4" t="n">
        <v>5425</v>
      </c>
    </row>
    <row r="49">
      <c r="A49" s="3" t="inlineStr">
        <is>
          <t>5</t>
        </is>
      </c>
      <c r="B49" s="3" t="inlineStr">
        <is>
          <t>Mandor</t>
        </is>
      </c>
      <c r="C49" s="3" t="inlineStr">
        <is>
          <t>OH</t>
        </is>
      </c>
      <c r="D49" s="15" t="n">
        <v>0.01</v>
      </c>
      <c r="E49" s="4" t="n">
        <v>200000</v>
      </c>
      <c r="F49" s="4" t="n">
        <v>2000</v>
      </c>
    </row>
    <row r="50">
      <c r="A50" s="3" t="inlineStr">
        <is>
          <t>1</t>
        </is>
      </c>
      <c r="B50" s="3" t="inlineStr">
        <is>
          <t>Kaso 5/7 kayu kelas II</t>
        </is>
      </c>
      <c r="C50" s="3" t="inlineStr">
        <is>
          <t>m3</t>
        </is>
      </c>
      <c r="D50" s="15" t="n">
        <v>0.0139</v>
      </c>
      <c r="E50" s="4" t="n">
        <v>10214200</v>
      </c>
      <c r="F50" s="4" t="n">
        <v>141977.38</v>
      </c>
    </row>
    <row r="51">
      <c r="A51" s="3" t="inlineStr">
        <is>
          <t>2</t>
        </is>
      </c>
      <c r="B51" s="3" t="inlineStr">
        <is>
          <t>Kawat duri</t>
        </is>
      </c>
      <c r="C51" s="3" t="inlineStr">
        <is>
          <t>m'</t>
        </is>
      </c>
      <c r="D51" s="15" t="n">
        <v>20.4457</v>
      </c>
      <c r="E51" s="4" t="n">
        <v>1750</v>
      </c>
      <c r="F51" s="4" t="n">
        <v>35779.975</v>
      </c>
    </row>
    <row r="52">
      <c r="A52" s="3" t="inlineStr">
        <is>
          <t>3</t>
        </is>
      </c>
      <c r="B52" s="3" t="inlineStr">
        <is>
          <t>Paku biasa 5 inchi</t>
        </is>
      </c>
      <c r="C52" s="3" t="inlineStr">
        <is>
          <t>kg</t>
        </is>
      </c>
      <c r="D52" s="15" t="n">
        <v>0.4715</v>
      </c>
      <c r="E52" s="4" t="n">
        <v>20000</v>
      </c>
      <c r="F52" s="4" t="n">
        <v>9430</v>
      </c>
    </row>
    <row r="53">
      <c r="A53" s="3" t="inlineStr">
        <is>
          <t>4</t>
        </is>
      </c>
      <c r="B53" s="3" t="inlineStr">
        <is>
          <t>Semen Portland (PC)</t>
        </is>
      </c>
      <c r="C53" s="3" t="inlineStr">
        <is>
          <t>kg</t>
        </is>
      </c>
      <c r="D53" s="15" t="n">
        <v>26.406</v>
      </c>
      <c r="E53" s="4" t="n">
        <v>1300</v>
      </c>
      <c r="F53" s="4" t="n">
        <v>34327.8</v>
      </c>
    </row>
    <row r="54">
      <c r="A54" s="3" t="inlineStr">
        <is>
          <t>5</t>
        </is>
      </c>
      <c r="B54" s="3" t="inlineStr">
        <is>
          <t>Pasir beton</t>
        </is>
      </c>
      <c r="C54" s="3" t="inlineStr">
        <is>
          <t>kg</t>
        </is>
      </c>
      <c r="D54" s="15" t="n">
        <v>61.56</v>
      </c>
      <c r="E54" s="4" t="n">
        <v>300</v>
      </c>
      <c r="F54" s="4" t="n">
        <v>18468</v>
      </c>
    </row>
    <row r="55">
      <c r="A55" s="3" t="inlineStr">
        <is>
          <t>6</t>
        </is>
      </c>
      <c r="B55" s="3" t="inlineStr">
        <is>
          <t>Kerikil</t>
        </is>
      </c>
      <c r="C55" s="3" t="inlineStr">
        <is>
          <t>Kg</t>
        </is>
      </c>
      <c r="D55" s="15" t="n">
        <v>83.349</v>
      </c>
      <c r="E55" s="4" t="n">
        <v>210</v>
      </c>
      <c r="F55" s="4" t="n">
        <v>17503.29</v>
      </c>
    </row>
    <row r="56">
      <c r="A56" s="3" t="inlineStr">
        <is>
          <t>7</t>
        </is>
      </c>
      <c r="B56" s="3" t="inlineStr">
        <is>
          <t>Air</t>
        </is>
      </c>
      <c r="C56" s="3" t="inlineStr">
        <is>
          <t>liter</t>
        </is>
      </c>
      <c r="D56" s="15" t="n">
        <v>17.415</v>
      </c>
      <c r="E56" s="4" t="n">
        <v>200</v>
      </c>
      <c r="F56" s="4" t="n">
        <v>3483</v>
      </c>
    </row>
    <row r="57">
      <c r="D57" s="2" t="inlineStr">
        <is>
          <t>SUBTOTAL UPAH</t>
        </is>
      </c>
      <c r="F57" s="16" t="n">
        <v>82885</v>
      </c>
    </row>
    <row r="58">
      <c r="D58" s="2" t="inlineStr">
        <is>
          <t>SUBTOTAL BAHAN</t>
        </is>
      </c>
      <c r="F58" s="16" t="n">
        <v>260969.445</v>
      </c>
    </row>
    <row r="59">
      <c r="D59" s="2" t="inlineStr">
        <is>
          <t>SUBTOTAL ALAT</t>
        </is>
      </c>
      <c r="F59" s="16" t="n">
        <v>0</v>
      </c>
    </row>
    <row r="60">
      <c r="E60" s="2" t="inlineStr">
        <is>
          <t>TOTAL HARGA SATUAN (Inc. Overhead)</t>
        </is>
      </c>
      <c r="F60" s="17" t="n">
        <v>378239</v>
      </c>
    </row>
    <row r="62">
      <c r="A62" s="14" t="inlineStr">
        <is>
          <t>KODE: 1.1.1.4 - Pembuatan 1 m’ pagar sementara  seng gelombang rangka baja L.40.40.4 tinggi pagar 1.8 meter</t>
        </is>
      </c>
    </row>
    <row r="63">
      <c r="A63" s="10" t="inlineStr">
        <is>
          <t>No</t>
        </is>
      </c>
      <c r="B63" s="10" t="inlineStr">
        <is>
          <t>Uraian Komponen</t>
        </is>
      </c>
      <c r="C63" s="10" t="inlineStr">
        <is>
          <t>Satuan</t>
        </is>
      </c>
      <c r="D63" s="10" t="inlineStr">
        <is>
          <t>Koef</t>
        </is>
      </c>
      <c r="E63" s="10" t="inlineStr">
        <is>
          <t>Harga Satuan (Rp)</t>
        </is>
      </c>
      <c r="F63" s="10" t="inlineStr">
        <is>
          <t>Jumlah Harga (Rp)</t>
        </is>
      </c>
    </row>
    <row r="64">
      <c r="A64" s="3" t="inlineStr">
        <is>
          <t>1</t>
        </is>
      </c>
      <c r="B64" s="3" t="inlineStr">
        <is>
          <t>Pekerja</t>
        </is>
      </c>
      <c r="C64" s="3" t="inlineStr">
        <is>
          <t>OH</t>
        </is>
      </c>
      <c r="D64" s="15" t="n">
        <v>0.2</v>
      </c>
      <c r="E64" s="4" t="n">
        <v>100000</v>
      </c>
      <c r="F64" s="4" t="n">
        <v>20000</v>
      </c>
    </row>
    <row r="65">
      <c r="A65" s="3" t="inlineStr">
        <is>
          <t>2</t>
        </is>
      </c>
      <c r="B65" s="3" t="inlineStr">
        <is>
          <t>Tukang besi</t>
        </is>
      </c>
      <c r="C65" s="3" t="inlineStr">
        <is>
          <t>OH</t>
        </is>
      </c>
      <c r="D65" s="15" t="n">
        <v>0.1</v>
      </c>
      <c r="E65" s="4" t="n">
        <v>145000</v>
      </c>
      <c r="F65" s="4" t="n">
        <v>14500</v>
      </c>
    </row>
    <row r="66">
      <c r="A66" s="3" t="inlineStr">
        <is>
          <t>3</t>
        </is>
      </c>
      <c r="B66" s="3" t="inlineStr">
        <is>
          <t>Tukang batu</t>
        </is>
      </c>
      <c r="C66" s="3" t="inlineStr">
        <is>
          <t>OH</t>
        </is>
      </c>
      <c r="D66" s="15" t="n">
        <v>0.1</v>
      </c>
      <c r="E66" s="4" t="n">
        <v>145000</v>
      </c>
      <c r="F66" s="4" t="n">
        <v>14500</v>
      </c>
    </row>
    <row r="67">
      <c r="A67" s="3" t="inlineStr">
        <is>
          <t>4</t>
        </is>
      </c>
      <c r="B67" s="3" t="inlineStr">
        <is>
          <t>Mandor</t>
        </is>
      </c>
      <c r="C67" s="3" t="inlineStr">
        <is>
          <t>OH</t>
        </is>
      </c>
      <c r="D67" s="15" t="n">
        <v>0.02</v>
      </c>
      <c r="E67" s="4" t="n">
        <v>200000</v>
      </c>
      <c r="F67" s="4" t="n">
        <v>4000</v>
      </c>
    </row>
    <row r="68">
      <c r="A68" s="3" t="inlineStr">
        <is>
          <t>2</t>
        </is>
      </c>
      <c r="B68" s="3" t="inlineStr">
        <is>
          <t>Seng gelombang bjls  30 panjang 180 cm</t>
        </is>
      </c>
      <c r="C68" s="3" t="inlineStr">
        <is>
          <t>lembar</t>
        </is>
      </c>
      <c r="D68" s="15" t="n">
        <v>1.2</v>
      </c>
      <c r="E68" s="4" t="n">
        <v>73300</v>
      </c>
      <c r="F68" s="4" t="n">
        <v>87960</v>
      </c>
    </row>
    <row r="69">
      <c r="A69" s="3" t="inlineStr">
        <is>
          <t>3</t>
        </is>
      </c>
      <c r="B69" s="3" t="inlineStr">
        <is>
          <t>Baja L 40.40.4</t>
        </is>
      </c>
      <c r="C69" s="3" t="inlineStr">
        <is>
          <t>kg</t>
        </is>
      </c>
      <c r="D69" s="15" t="n">
        <v>13.5</v>
      </c>
      <c r="E69" s="4" t="n">
        <v>14840</v>
      </c>
      <c r="F69" s="4" t="n">
        <v>200340</v>
      </c>
    </row>
    <row r="70">
      <c r="A70" s="3" t="inlineStr">
        <is>
          <t>4</t>
        </is>
      </c>
      <c r="B70" s="3" t="inlineStr">
        <is>
          <t>Kawat seng 3mm</t>
        </is>
      </c>
      <c r="C70" s="3" t="inlineStr">
        <is>
          <t>kg</t>
        </is>
      </c>
      <c r="D70" s="15" t="n">
        <v>0.3</v>
      </c>
      <c r="E70" s="4" t="n">
        <v>18800</v>
      </c>
      <c r="F70" s="4" t="n">
        <v>5640</v>
      </c>
    </row>
    <row r="71">
      <c r="A71" s="3" t="inlineStr">
        <is>
          <t>5</t>
        </is>
      </c>
      <c r="B71" s="3" t="inlineStr">
        <is>
          <t>Pasangan batu ukuran 20/50 t=40cm</t>
        </is>
      </c>
      <c r="C71" s="3" t="inlineStr">
        <is>
          <t>m3</t>
        </is>
      </c>
      <c r="D71" s="15" t="n">
        <v>0.15</v>
      </c>
      <c r="E71" s="4" t="n">
        <v>286500</v>
      </c>
      <c r="F71" s="4" t="n">
        <v>42975</v>
      </c>
    </row>
    <row r="72">
      <c r="D72" s="2" t="inlineStr">
        <is>
          <t>SUBTOTAL UPAH</t>
        </is>
      </c>
      <c r="F72" s="16" t="n">
        <v>53000</v>
      </c>
    </row>
    <row r="73">
      <c r="D73" s="2" t="inlineStr">
        <is>
          <t>SUBTOTAL BAHAN</t>
        </is>
      </c>
      <c r="F73" s="16" t="n">
        <v>336915</v>
      </c>
    </row>
    <row r="74">
      <c r="D74" s="2" t="inlineStr">
        <is>
          <t>SUBTOTAL ALAT</t>
        </is>
      </c>
      <c r="F74" s="16" t="n">
        <v>0</v>
      </c>
    </row>
    <row r="75">
      <c r="E75" s="2" t="inlineStr">
        <is>
          <t>TOTAL HARGA SATUAN (Inc. Overhead)</t>
        </is>
      </c>
      <c r="F75" s="17" t="n">
        <v>428906</v>
      </c>
    </row>
    <row r="77">
      <c r="A77" s="14" t="inlineStr">
        <is>
          <t>KODE: 1.1.1.5 - Pembuatan 1 m2 pagar BRC Galvanis</t>
        </is>
      </c>
    </row>
    <row r="78">
      <c r="A78" s="10" t="inlineStr">
        <is>
          <t>No</t>
        </is>
      </c>
      <c r="B78" s="10" t="inlineStr">
        <is>
          <t>Uraian Komponen</t>
        </is>
      </c>
      <c r="C78" s="10" t="inlineStr">
        <is>
          <t>Satuan</t>
        </is>
      </c>
      <c r="D78" s="10" t="inlineStr">
        <is>
          <t>Koef</t>
        </is>
      </c>
      <c r="E78" s="10" t="inlineStr">
        <is>
          <t>Harga Satuan (Rp)</t>
        </is>
      </c>
      <c r="F78" s="10" t="inlineStr">
        <is>
          <t>Jumlah Harga (Rp)</t>
        </is>
      </c>
    </row>
    <row r="79">
      <c r="A79" s="3" t="inlineStr">
        <is>
          <t>1</t>
        </is>
      </c>
      <c r="B79" s="3" t="inlineStr">
        <is>
          <t>Pekerja</t>
        </is>
      </c>
      <c r="C79" s="3" t="inlineStr">
        <is>
          <t>OH</t>
        </is>
      </c>
      <c r="D79" s="15" t="n">
        <v>0.042</v>
      </c>
      <c r="E79" s="4" t="n">
        <v>100000</v>
      </c>
      <c r="F79" s="4" t="n">
        <v>4200</v>
      </c>
    </row>
    <row r="80">
      <c r="A80" s="3" t="inlineStr">
        <is>
          <t>2</t>
        </is>
      </c>
      <c r="B80" s="3" t="inlineStr">
        <is>
          <t>Tukang kayu</t>
        </is>
      </c>
      <c r="C80" s="3" t="inlineStr">
        <is>
          <t>OH</t>
        </is>
      </c>
      <c r="D80" s="15" t="n">
        <v>0.04</v>
      </c>
      <c r="E80" s="4" t="n">
        <v>145000</v>
      </c>
      <c r="F80" s="4" t="n">
        <v>5800</v>
      </c>
    </row>
    <row r="81">
      <c r="A81" s="3" t="inlineStr">
        <is>
          <t>3</t>
        </is>
      </c>
      <c r="B81" s="3" t="inlineStr">
        <is>
          <t>Kepala tukang</t>
        </is>
      </c>
      <c r="C81" s="3" t="inlineStr">
        <is>
          <t>OH</t>
        </is>
      </c>
      <c r="D81" s="15" t="n">
        <v>0.004</v>
      </c>
      <c r="E81" s="4" t="n">
        <v>175000</v>
      </c>
      <c r="F81" s="4" t="n">
        <v>700</v>
      </c>
    </row>
    <row r="82">
      <c r="A82" s="3" t="inlineStr">
        <is>
          <t>4</t>
        </is>
      </c>
      <c r="B82" s="3" t="inlineStr">
        <is>
          <t>Mandor</t>
        </is>
      </c>
      <c r="C82" s="3" t="inlineStr">
        <is>
          <t>OH</t>
        </is>
      </c>
      <c r="D82" s="15" t="n">
        <v>0.001</v>
      </c>
      <c r="E82" s="4" t="n">
        <v>200000</v>
      </c>
      <c r="F82" s="4" t="n">
        <v>200</v>
      </c>
    </row>
    <row r="83">
      <c r="A83" s="3" t="inlineStr">
        <is>
          <t>1</t>
        </is>
      </c>
      <c r="B83" s="3" t="inlineStr">
        <is>
          <t>Kawat jaring panjang 240 cm</t>
        </is>
      </c>
      <c r="C83" s="3" t="inlineStr">
        <is>
          <t>lembar</t>
        </is>
      </c>
      <c r="D83" s="15" t="n">
        <v>0.01649</v>
      </c>
      <c r="E83" s="4" t="n">
        <v>300000</v>
      </c>
      <c r="F83" s="4" t="n">
        <v>4947</v>
      </c>
    </row>
    <row r="84">
      <c r="D84" s="2" t="inlineStr">
        <is>
          <t>SUBTOTAL UPAH</t>
        </is>
      </c>
      <c r="F84" s="16" t="n">
        <v>10900</v>
      </c>
    </row>
    <row r="85">
      <c r="D85" s="2" t="inlineStr">
        <is>
          <t>SUBTOTAL BAHAN</t>
        </is>
      </c>
      <c r="F85" s="16" t="n">
        <v>4947</v>
      </c>
    </row>
    <row r="86">
      <c r="D86" s="2" t="inlineStr">
        <is>
          <t>SUBTOTAL ALAT</t>
        </is>
      </c>
      <c r="F86" s="16" t="n">
        <v>0</v>
      </c>
    </row>
    <row r="87">
      <c r="E87" s="2" t="inlineStr">
        <is>
          <t>TOTAL HARGA SATUAN (Inc. Overhead)</t>
        </is>
      </c>
      <c r="F87" s="17" t="n">
        <v>17431</v>
      </c>
    </row>
    <row r="89">
      <c r="A89" s="14" t="inlineStr">
        <is>
          <t>KODE: 1.1.1.6 - Pemasangan 1 m2 panel beton pracetak 50x50x240 untuk pagar</t>
        </is>
      </c>
    </row>
    <row r="90">
      <c r="A90" s="10" t="inlineStr">
        <is>
          <t>No</t>
        </is>
      </c>
      <c r="B90" s="10" t="inlineStr">
        <is>
          <t>Uraian Komponen</t>
        </is>
      </c>
      <c r="C90" s="10" t="inlineStr">
        <is>
          <t>Satuan</t>
        </is>
      </c>
      <c r="D90" s="10" t="inlineStr">
        <is>
          <t>Koef</t>
        </is>
      </c>
      <c r="E90" s="10" t="inlineStr">
        <is>
          <t>Harga Satuan (Rp)</t>
        </is>
      </c>
      <c r="F90" s="10" t="inlineStr">
        <is>
          <t>Jumlah Harga (Rp)</t>
        </is>
      </c>
    </row>
    <row r="91">
      <c r="A91" s="3" t="inlineStr">
        <is>
          <t>1</t>
        </is>
      </c>
      <c r="B91" s="3" t="inlineStr">
        <is>
          <t>Pekerja</t>
        </is>
      </c>
      <c r="C91" s="3" t="inlineStr">
        <is>
          <t>OH</t>
        </is>
      </c>
      <c r="D91" s="15" t="n">
        <v>0.375</v>
      </c>
      <c r="E91" s="4" t="n">
        <v>100000</v>
      </c>
      <c r="F91" s="4" t="n">
        <v>37500</v>
      </c>
    </row>
    <row r="92">
      <c r="A92" s="3" t="inlineStr">
        <is>
          <t>2</t>
        </is>
      </c>
      <c r="B92" s="3" t="inlineStr">
        <is>
          <t>Tukang batu</t>
        </is>
      </c>
      <c r="C92" s="3" t="inlineStr">
        <is>
          <t>OH</t>
        </is>
      </c>
      <c r="D92" s="15" t="n">
        <v>0.125</v>
      </c>
      <c r="E92" s="4" t="n">
        <v>145000</v>
      </c>
      <c r="F92" s="4" t="n">
        <v>18125</v>
      </c>
    </row>
    <row r="93">
      <c r="A93" s="3" t="inlineStr">
        <is>
          <t>3</t>
        </is>
      </c>
      <c r="B93" s="3" t="inlineStr">
        <is>
          <t>Kepala tukang</t>
        </is>
      </c>
      <c r="C93" s="3" t="inlineStr">
        <is>
          <t>OH</t>
        </is>
      </c>
      <c r="D93" s="15" t="n">
        <v>0.0012</v>
      </c>
      <c r="E93" s="4" t="n">
        <v>175000</v>
      </c>
      <c r="F93" s="4" t="n">
        <v>210</v>
      </c>
    </row>
    <row r="94">
      <c r="A94" s="3" t="inlineStr">
        <is>
          <t>4</t>
        </is>
      </c>
      <c r="B94" s="3" t="inlineStr">
        <is>
          <t>Mandor</t>
        </is>
      </c>
      <c r="C94" s="3" t="inlineStr">
        <is>
          <t>OH</t>
        </is>
      </c>
      <c r="D94" s="15" t="n">
        <v>0.019</v>
      </c>
      <c r="E94" s="4" t="n">
        <v>200000</v>
      </c>
      <c r="F94" s="4" t="n">
        <v>3800</v>
      </c>
    </row>
    <row r="95">
      <c r="A95" s="3" t="inlineStr">
        <is>
          <t>1</t>
        </is>
      </c>
      <c r="B95" s="3" t="inlineStr">
        <is>
          <t>Panel beton pracetak</t>
        </is>
      </c>
      <c r="C95" s="3" t="inlineStr">
        <is>
          <t>lembar</t>
        </is>
      </c>
      <c r="D95" s="15" t="n">
        <v>0.986</v>
      </c>
      <c r="E95" s="4" t="n">
        <v>125000</v>
      </c>
      <c r="F95" s="4" t="n">
        <v>123250</v>
      </c>
    </row>
    <row r="96">
      <c r="A96" s="3" t="inlineStr">
        <is>
          <t>2</t>
        </is>
      </c>
      <c r="B96" s="3" t="inlineStr">
        <is>
          <t>Kolom beton pracetak</t>
        </is>
      </c>
      <c r="C96" s="3" t="inlineStr">
        <is>
          <t>batang</t>
        </is>
      </c>
      <c r="D96" s="15" t="n">
        <v>0.525</v>
      </c>
      <c r="E96" s="4" t="n">
        <v>282000</v>
      </c>
      <c r="F96" s="4" t="n">
        <v>148050</v>
      </c>
    </row>
    <row r="97">
      <c r="A97" s="3" t="inlineStr">
        <is>
          <t>3</t>
        </is>
      </c>
      <c r="B97" s="3" t="inlineStr">
        <is>
          <t>Semen Portland (PC)</t>
        </is>
      </c>
      <c r="C97" s="3" t="inlineStr">
        <is>
          <t>kg</t>
        </is>
      </c>
      <c r="D97" s="15" t="n">
        <v>45</v>
      </c>
      <c r="E97" s="4" t="n">
        <v>1300</v>
      </c>
      <c r="F97" s="4" t="n">
        <v>58500</v>
      </c>
    </row>
    <row r="98">
      <c r="A98" s="3" t="inlineStr">
        <is>
          <t>4</t>
        </is>
      </c>
      <c r="B98" s="3" t="inlineStr">
        <is>
          <t>Pasir beton</t>
        </is>
      </c>
      <c r="C98" s="3" t="inlineStr">
        <is>
          <t>m3</t>
        </is>
      </c>
      <c r="D98" s="15" t="n">
        <v>0.074</v>
      </c>
      <c r="E98" s="4" t="n">
        <v>300</v>
      </c>
      <c r="F98" s="4" t="n">
        <v>22.2</v>
      </c>
    </row>
    <row r="99">
      <c r="A99" s="3" t="inlineStr">
        <is>
          <t>5</t>
        </is>
      </c>
      <c r="B99" s="3" t="inlineStr">
        <is>
          <t>Kerikil</t>
        </is>
      </c>
      <c r="C99" s="3" t="inlineStr">
        <is>
          <t>m3</t>
        </is>
      </c>
      <c r="D99" s="15" t="n">
        <v>0.146</v>
      </c>
      <c r="E99" s="4" t="n">
        <v>352300</v>
      </c>
      <c r="F99" s="4" t="n">
        <v>51435.8</v>
      </c>
    </row>
    <row r="100">
      <c r="D100" s="2" t="inlineStr">
        <is>
          <t>SUBTOTAL UPAH</t>
        </is>
      </c>
      <c r="F100" s="16" t="n">
        <v>0</v>
      </c>
    </row>
    <row r="101">
      <c r="D101" s="2" t="inlineStr">
        <is>
          <t>SUBTOTAL BAHAN</t>
        </is>
      </c>
      <c r="F101" s="16" t="n">
        <v>0</v>
      </c>
    </row>
    <row r="102">
      <c r="D102" s="2" t="inlineStr">
        <is>
          <t>SUBTOTAL ALAT</t>
        </is>
      </c>
      <c r="F102" s="16" t="n">
        <v>0</v>
      </c>
    </row>
    <row r="103">
      <c r="E103" s="2" t="inlineStr">
        <is>
          <t>TOTAL HARGA SATUAN (Inc. Overhead)</t>
        </is>
      </c>
      <c r="F103" s="17" t="n">
        <v>484982</v>
      </c>
    </row>
    <row r="105">
      <c r="A105" s="14" t="inlineStr">
        <is>
          <t>KODE: 1.1.2.1 - 1 buah papan nama pekerjaan ukuran 0.8x1.2 menggunakan multiflex 18 mm, frame besi siku dan tiang kayu 8/12</t>
        </is>
      </c>
    </row>
    <row r="106">
      <c r="A106" s="10" t="inlineStr">
        <is>
          <t>No</t>
        </is>
      </c>
      <c r="B106" s="10" t="inlineStr">
        <is>
          <t>Uraian Komponen</t>
        </is>
      </c>
      <c r="C106" s="10" t="inlineStr">
        <is>
          <t>Satuan</t>
        </is>
      </c>
      <c r="D106" s="10" t="inlineStr">
        <is>
          <t>Koef</t>
        </is>
      </c>
      <c r="E106" s="10" t="inlineStr">
        <is>
          <t>Harga Satuan (Rp)</t>
        </is>
      </c>
      <c r="F106" s="10" t="inlineStr">
        <is>
          <t>Jumlah Harga (Rp)</t>
        </is>
      </c>
    </row>
    <row r="107">
      <c r="A107" s="3" t="inlineStr">
        <is>
          <t>1</t>
        </is>
      </c>
      <c r="B107" s="3" t="inlineStr">
        <is>
          <t>Pekerja</t>
        </is>
      </c>
      <c r="C107" s="3" t="inlineStr">
        <is>
          <t>OH</t>
        </is>
      </c>
      <c r="D107" s="15" t="n">
        <v>1</v>
      </c>
      <c r="E107" s="4" t="n">
        <v>100000</v>
      </c>
      <c r="F107" s="4" t="n">
        <v>100000</v>
      </c>
    </row>
    <row r="108">
      <c r="A108" s="3" t="inlineStr">
        <is>
          <t>2</t>
        </is>
      </c>
      <c r="B108" s="3" t="inlineStr">
        <is>
          <t>Tukang kayu</t>
        </is>
      </c>
      <c r="C108" s="3" t="inlineStr">
        <is>
          <t>OH</t>
        </is>
      </c>
      <c r="D108" s="15" t="n">
        <v>1</v>
      </c>
      <c r="E108" s="4" t="n">
        <v>145000</v>
      </c>
      <c r="F108" s="4" t="n">
        <v>145000</v>
      </c>
    </row>
    <row r="109">
      <c r="A109" s="3" t="inlineStr">
        <is>
          <t>3</t>
        </is>
      </c>
      <c r="B109" s="3" t="inlineStr">
        <is>
          <t>Kepala tukang</t>
        </is>
      </c>
      <c r="C109" s="3" t="inlineStr">
        <is>
          <t>OH</t>
        </is>
      </c>
      <c r="D109" s="15" t="n">
        <v>0.1</v>
      </c>
      <c r="E109" s="4" t="n">
        <v>175000</v>
      </c>
      <c r="F109" s="4" t="n">
        <v>17500</v>
      </c>
    </row>
    <row r="110">
      <c r="A110" s="3" t="inlineStr">
        <is>
          <t>4</t>
        </is>
      </c>
      <c r="B110" s="3" t="inlineStr">
        <is>
          <t>Tukang pelitur *) L.02</t>
        </is>
      </c>
      <c r="C110" s="3" t="inlineStr">
        <is>
          <t>OH</t>
        </is>
      </c>
      <c r="D110" s="15" t="n">
        <v>1.5</v>
      </c>
      <c r="E110" s="4" t="n">
        <v>145000</v>
      </c>
      <c r="F110" s="4" t="n">
        <v>217500</v>
      </c>
    </row>
    <row r="111">
      <c r="A111" s="3" t="inlineStr">
        <is>
          <t>5</t>
        </is>
      </c>
      <c r="B111" s="3" t="inlineStr">
        <is>
          <t>Mandor</t>
        </is>
      </c>
      <c r="C111" s="3" t="inlineStr">
        <is>
          <t>OH</t>
        </is>
      </c>
      <c r="D111" s="15" t="n">
        <v>0.1</v>
      </c>
      <c r="E111" s="4" t="n">
        <v>200000</v>
      </c>
      <c r="F111" s="4" t="n">
        <v>20000</v>
      </c>
    </row>
    <row r="112">
      <c r="A112" s="3" t="inlineStr">
        <is>
          <t>1</t>
        </is>
      </c>
      <c r="B112" s="3" t="inlineStr">
        <is>
          <t>Multiplek tebal 18 mm **)</t>
        </is>
      </c>
      <c r="C112" s="3" t="inlineStr">
        <is>
          <t>lembar</t>
        </is>
      </c>
      <c r="D112" s="15" t="n">
        <v>0.35</v>
      </c>
      <c r="E112" s="4" t="n">
        <v>226600</v>
      </c>
      <c r="F112" s="4" t="n">
        <v>79310</v>
      </c>
    </row>
    <row r="113">
      <c r="A113" s="3" t="inlineStr">
        <is>
          <t>2</t>
        </is>
      </c>
      <c r="B113" s="3" t="inlineStr">
        <is>
          <t>Tiang kayu 8/12 kelas II tinggi 4m</t>
        </is>
      </c>
      <c r="C113" s="3" t="inlineStr">
        <is>
          <t>m3</t>
        </is>
      </c>
      <c r="D113" s="15" t="n">
        <v>0.077</v>
      </c>
      <c r="E113" s="4" t="n">
        <v>11950000</v>
      </c>
      <c r="F113" s="4" t="n">
        <v>920150</v>
      </c>
    </row>
    <row r="114">
      <c r="A114" s="3" t="inlineStr">
        <is>
          <t>3</t>
        </is>
      </c>
      <c r="B114" s="3" t="inlineStr">
        <is>
          <t>Frame besi L.30.30.3 ***)</t>
        </is>
      </c>
      <c r="C114" s="3" t="inlineStr">
        <is>
          <t>kg</t>
        </is>
      </c>
      <c r="D114" s="15" t="n">
        <v>5.8</v>
      </c>
      <c r="E114" s="4" t="n">
        <v>14840</v>
      </c>
      <c r="F114" s="4" t="n">
        <v>86072</v>
      </c>
    </row>
    <row r="115">
      <c r="A115" s="3" t="inlineStr">
        <is>
          <t>4</t>
        </is>
      </c>
      <c r="B115" s="3" t="inlineStr">
        <is>
          <t>Paku campuran 5 cm + 7 cm</t>
        </is>
      </c>
      <c r="C115" s="3" t="inlineStr">
        <is>
          <t>kg</t>
        </is>
      </c>
      <c r="D115" s="15" t="n">
        <v>1.25</v>
      </c>
      <c r="E115" s="4" t="n">
        <v>20000</v>
      </c>
      <c r="F115" s="4" t="n">
        <v>25000</v>
      </c>
    </row>
    <row r="116">
      <c r="A116" s="3" t="inlineStr">
        <is>
          <t>5</t>
        </is>
      </c>
      <c r="B116" s="3" t="inlineStr">
        <is>
          <t>Cat kayu</t>
        </is>
      </c>
      <c r="C116" s="3" t="inlineStr">
        <is>
          <t>kg</t>
        </is>
      </c>
      <c r="D116" s="15" t="n">
        <v>2.5</v>
      </c>
      <c r="E116" s="4" t="n">
        <v>50000</v>
      </c>
      <c r="F116" s="4" t="n">
        <v>125000</v>
      </c>
    </row>
    <row r="117">
      <c r="D117" s="2" t="inlineStr">
        <is>
          <t>SUBTOTAL UPAH</t>
        </is>
      </c>
      <c r="F117" s="16" t="n">
        <v>0</v>
      </c>
    </row>
    <row r="118">
      <c r="D118" s="2" t="inlineStr">
        <is>
          <t>SUBTOTAL BAHAN</t>
        </is>
      </c>
      <c r="F118" s="16" t="n">
        <v>0</v>
      </c>
    </row>
    <row r="119">
      <c r="D119" s="2" t="inlineStr">
        <is>
          <t>SUBTOTAL ALAT</t>
        </is>
      </c>
      <c r="F119" s="16" t="n">
        <v>0</v>
      </c>
    </row>
    <row r="120">
      <c r="E120" s="2" t="inlineStr">
        <is>
          <t>TOTAL HARGA SATUAN (Inc. Overhead)</t>
        </is>
      </c>
      <c r="F120" s="17" t="n">
        <v>1909085</v>
      </c>
    </row>
    <row r="122">
      <c r="A122" s="14" t="inlineStr">
        <is>
          <t>KODE: 1.1.2.2 - 1 buah papan nama pekerjaan ukuran 0.6x08 menggunakan multiplex 10 mm, frame allumunium siku dan tiang kayu 5/7, printing banner plastik</t>
        </is>
      </c>
    </row>
    <row r="123">
      <c r="A123" s="10" t="inlineStr">
        <is>
          <t>No</t>
        </is>
      </c>
      <c r="B123" s="10" t="inlineStr">
        <is>
          <t>Uraian Komponen</t>
        </is>
      </c>
      <c r="C123" s="10" t="inlineStr">
        <is>
          <t>Satuan</t>
        </is>
      </c>
      <c r="D123" s="10" t="inlineStr">
        <is>
          <t>Koef</t>
        </is>
      </c>
      <c r="E123" s="10" t="inlineStr">
        <is>
          <t>Harga Satuan (Rp)</t>
        </is>
      </c>
      <c r="F123" s="10" t="inlineStr">
        <is>
          <t>Jumlah Harga (Rp)</t>
        </is>
      </c>
    </row>
    <row r="124">
      <c r="A124" s="3" t="inlineStr">
        <is>
          <t>1</t>
        </is>
      </c>
      <c r="B124" s="3" t="inlineStr">
        <is>
          <t>Pekerja</t>
        </is>
      </c>
      <c r="C124" s="3" t="inlineStr">
        <is>
          <t>OH</t>
        </is>
      </c>
      <c r="D124" s="15" t="n">
        <v>0.75</v>
      </c>
      <c r="E124" s="4" t="n">
        <v>100000</v>
      </c>
      <c r="F124" s="4" t="n">
        <v>75000</v>
      </c>
    </row>
    <row r="125">
      <c r="A125" s="3" t="inlineStr">
        <is>
          <t>2</t>
        </is>
      </c>
      <c r="B125" s="3" t="inlineStr">
        <is>
          <t>Tukang kayu</t>
        </is>
      </c>
      <c r="C125" s="3" t="inlineStr">
        <is>
          <t>OH</t>
        </is>
      </c>
      <c r="D125" s="15" t="n">
        <v>0.75</v>
      </c>
      <c r="E125" s="4" t="n">
        <v>145000</v>
      </c>
      <c r="F125" s="4" t="n">
        <v>108750</v>
      </c>
    </row>
    <row r="126">
      <c r="A126" s="3" t="inlineStr">
        <is>
          <t>3</t>
        </is>
      </c>
      <c r="B126" s="3" t="inlineStr">
        <is>
          <t>Kepala tukang</t>
        </is>
      </c>
      <c r="C126" s="3" t="inlineStr">
        <is>
          <t>OH</t>
        </is>
      </c>
      <c r="D126" s="15" t="n">
        <v>0.1</v>
      </c>
      <c r="E126" s="4" t="n">
        <v>175000</v>
      </c>
      <c r="F126" s="4" t="n">
        <v>17500</v>
      </c>
    </row>
    <row r="127">
      <c r="A127" s="3" t="inlineStr">
        <is>
          <t>5</t>
        </is>
      </c>
      <c r="B127" s="3" t="inlineStr">
        <is>
          <t>Mandor</t>
        </is>
      </c>
      <c r="C127" s="3" t="inlineStr">
        <is>
          <t>OH</t>
        </is>
      </c>
      <c r="D127" s="15" t="n">
        <v>0.075</v>
      </c>
      <c r="E127" s="4" t="n">
        <v>200000</v>
      </c>
      <c r="F127" s="4" t="n">
        <v>15000</v>
      </c>
    </row>
    <row r="128">
      <c r="A128" s="3" t="inlineStr">
        <is>
          <t>1</t>
        </is>
      </c>
      <c r="B128" s="3" t="inlineStr">
        <is>
          <t>Multiplek tebal 9 mm *)</t>
        </is>
      </c>
      <c r="C128" s="3" t="inlineStr">
        <is>
          <t>lembar</t>
        </is>
      </c>
      <c r="D128" s="15" t="n">
        <v>0.18</v>
      </c>
      <c r="E128" s="4" t="n">
        <v>116700</v>
      </c>
      <c r="F128" s="4" t="n">
        <v>21006</v>
      </c>
    </row>
    <row r="129">
      <c r="A129" s="3" t="inlineStr">
        <is>
          <t>2</t>
        </is>
      </c>
      <c r="B129" s="3" t="inlineStr">
        <is>
          <t>Tiang kayu 5/7 kelas II tinggi 3m</t>
        </is>
      </c>
      <c r="C129" s="3" t="inlineStr">
        <is>
          <t>m3</t>
        </is>
      </c>
      <c r="D129" s="15" t="n">
        <v>0.021</v>
      </c>
      <c r="E129" s="4" t="n">
        <v>11950000</v>
      </c>
      <c r="F129" s="4" t="n">
        <v>250950</v>
      </c>
    </row>
    <row r="130">
      <c r="A130" s="3" t="inlineStr">
        <is>
          <t>3</t>
        </is>
      </c>
      <c r="B130" s="3" t="inlineStr">
        <is>
          <t>Frame Allum L.10.1 **)</t>
        </is>
      </c>
      <c r="C130" s="3" t="inlineStr">
        <is>
          <t>kg</t>
        </is>
      </c>
      <c r="D130" s="15" t="n">
        <v>0.1</v>
      </c>
      <c r="E130" s="4" t="n">
        <v>25000</v>
      </c>
      <c r="F130" s="4" t="n">
        <v>2500</v>
      </c>
    </row>
    <row r="131">
      <c r="A131" s="3" t="inlineStr">
        <is>
          <t>4</t>
        </is>
      </c>
      <c r="B131" s="3" t="inlineStr">
        <is>
          <t>Banner plastik 0.6x0.8 m2</t>
        </is>
      </c>
      <c r="C131" s="3" t="inlineStr">
        <is>
          <t>m2</t>
        </is>
      </c>
      <c r="D131" s="15" t="n">
        <v>0.48</v>
      </c>
      <c r="E131" s="4" t="n">
        <v>100000</v>
      </c>
      <c r="F131" s="4" t="n">
        <v>48000</v>
      </c>
    </row>
    <row r="132">
      <c r="A132" s="3" t="inlineStr">
        <is>
          <t>5</t>
        </is>
      </c>
      <c r="B132" s="3" t="inlineStr">
        <is>
          <t>Paku campuran 5 cm + 7 cm</t>
        </is>
      </c>
      <c r="C132" s="3" t="inlineStr">
        <is>
          <t>kg</t>
        </is>
      </c>
      <c r="D132" s="15" t="n">
        <v>1.25</v>
      </c>
      <c r="E132" s="4" t="n">
        <v>20000</v>
      </c>
      <c r="F132" s="4" t="n">
        <v>25000</v>
      </c>
    </row>
    <row r="133">
      <c r="A133" s="3" t="inlineStr">
        <is>
          <t>6</t>
        </is>
      </c>
      <c r="B133" s="3" t="inlineStr">
        <is>
          <t>Cat kayu</t>
        </is>
      </c>
      <c r="C133" s="3" t="inlineStr">
        <is>
          <t>kg</t>
        </is>
      </c>
      <c r="D133" s="15" t="n">
        <v>1.5</v>
      </c>
      <c r="E133" s="4" t="n">
        <v>50000</v>
      </c>
      <c r="F133" s="4" t="n">
        <v>75000</v>
      </c>
    </row>
    <row r="134">
      <c r="D134" s="2" t="inlineStr">
        <is>
          <t>SUBTOTAL UPAH</t>
        </is>
      </c>
      <c r="F134" s="16" t="n">
        <v>0</v>
      </c>
    </row>
    <row r="135">
      <c r="D135" s="2" t="inlineStr">
        <is>
          <t>SUBTOTAL BAHAN</t>
        </is>
      </c>
      <c r="F135" s="16" t="n">
        <v>0</v>
      </c>
    </row>
    <row r="136">
      <c r="D136" s="2" t="inlineStr">
        <is>
          <t>SUBTOTAL ALAT</t>
        </is>
      </c>
      <c r="F136" s="16" t="n">
        <v>0</v>
      </c>
    </row>
    <row r="137">
      <c r="E137" s="2" t="inlineStr">
        <is>
          <t>TOTAL HARGA SATUAN (Inc. Overhead)</t>
        </is>
      </c>
      <c r="F137" s="17" t="n">
        <v>702576</v>
      </c>
    </row>
    <row r="139">
      <c r="A139" s="14" t="inlineStr">
        <is>
          <t>KODE: 1.1.2.3 - Pembuatan 1 m2 kantor sementara/rumah jaga/gudang semen dan peralatan lantai plesteran, dinding setengah tembok</t>
        </is>
      </c>
    </row>
    <row r="140">
      <c r="A140" s="10" t="inlineStr">
        <is>
          <t>No</t>
        </is>
      </c>
      <c r="B140" s="10" t="inlineStr">
        <is>
          <t>Uraian Komponen</t>
        </is>
      </c>
      <c r="C140" s="10" t="inlineStr">
        <is>
          <t>Satuan</t>
        </is>
      </c>
      <c r="D140" s="10" t="inlineStr">
        <is>
          <t>Koef</t>
        </is>
      </c>
      <c r="E140" s="10" t="inlineStr">
        <is>
          <t>Harga Satuan (Rp)</t>
        </is>
      </c>
      <c r="F140" s="10" t="inlineStr">
        <is>
          <t>Jumlah Harga (Rp)</t>
        </is>
      </c>
    </row>
    <row r="141">
      <c r="A141" s="3" t="inlineStr">
        <is>
          <t>1</t>
        </is>
      </c>
      <c r="B141" s="3" t="inlineStr">
        <is>
          <t>Pekerja</t>
        </is>
      </c>
      <c r="C141" s="3" t="inlineStr">
        <is>
          <t>OH</t>
        </is>
      </c>
      <c r="D141" s="15" t="n">
        <v>2</v>
      </c>
      <c r="E141" s="4" t="n">
        <v>100000</v>
      </c>
      <c r="F141" s="4" t="n">
        <v>200000</v>
      </c>
    </row>
    <row r="142">
      <c r="A142" s="3" t="inlineStr">
        <is>
          <t>2</t>
        </is>
      </c>
      <c r="B142" s="3" t="inlineStr">
        <is>
          <t>Tukang kayu</t>
        </is>
      </c>
      <c r="C142" s="3" t="inlineStr">
        <is>
          <t>OH</t>
        </is>
      </c>
      <c r="D142" s="15" t="n">
        <v>2</v>
      </c>
      <c r="E142" s="4" t="n">
        <v>145000</v>
      </c>
      <c r="F142" s="4" t="n">
        <v>290000</v>
      </c>
    </row>
    <row r="143">
      <c r="A143" s="3" t="inlineStr">
        <is>
          <t>3</t>
        </is>
      </c>
      <c r="B143" s="3" t="inlineStr">
        <is>
          <t>Tukang batu</t>
        </is>
      </c>
      <c r="C143" s="3" t="inlineStr">
        <is>
          <t>OH</t>
        </is>
      </c>
      <c r="D143" s="15" t="n">
        <v>1</v>
      </c>
      <c r="E143" s="4" t="n">
        <v>145000</v>
      </c>
      <c r="F143" s="4" t="n">
        <v>145000</v>
      </c>
    </row>
    <row r="144">
      <c r="A144" s="3" t="inlineStr">
        <is>
          <t>4</t>
        </is>
      </c>
      <c r="B144" s="3" t="inlineStr">
        <is>
          <t>Kepala tukang</t>
        </is>
      </c>
      <c r="C144" s="3" t="inlineStr">
        <is>
          <t>OH</t>
        </is>
      </c>
      <c r="D144" s="15" t="n">
        <v>0.3</v>
      </c>
      <c r="E144" s="4" t="n">
        <v>175000</v>
      </c>
      <c r="F144" s="4" t="n">
        <v>52500</v>
      </c>
    </row>
    <row r="145">
      <c r="A145" s="3" t="inlineStr">
        <is>
          <t>5</t>
        </is>
      </c>
      <c r="B145" s="3" t="inlineStr">
        <is>
          <t>Mandor</t>
        </is>
      </c>
      <c r="C145" s="3" t="inlineStr">
        <is>
          <t>OH</t>
        </is>
      </c>
      <c r="D145" s="15" t="n">
        <v>0.1</v>
      </c>
      <c r="E145" s="4" t="n">
        <v>200000</v>
      </c>
      <c r="F145" s="4" t="n">
        <v>20000</v>
      </c>
    </row>
    <row r="146">
      <c r="A146" s="3" t="inlineStr">
        <is>
          <t>1</t>
        </is>
      </c>
      <c r="B146" s="3" t="inlineStr">
        <is>
          <t>Dolken kayu φ 8-10 panjang 400 cm</t>
        </is>
      </c>
      <c r="C146" s="3" t="inlineStr">
        <is>
          <t>m'</t>
        </is>
      </c>
      <c r="D146" s="15" t="n">
        <v>1.25</v>
      </c>
      <c r="E146" s="4" t="n">
        <v>5000</v>
      </c>
      <c r="F146" s="4" t="n">
        <v>6250</v>
      </c>
    </row>
    <row r="147">
      <c r="A147" s="3" t="inlineStr">
        <is>
          <t>2</t>
        </is>
      </c>
      <c r="B147" s="3" t="inlineStr">
        <is>
          <t>Kayu</t>
        </is>
      </c>
      <c r="C147" s="3" t="inlineStr">
        <is>
          <t>m3</t>
        </is>
      </c>
      <c r="D147" s="15" t="n">
        <v>0.18</v>
      </c>
      <c r="E147" s="4" t="n">
        <v>11950000</v>
      </c>
      <c r="F147" s="4" t="n">
        <v>2151000</v>
      </c>
    </row>
    <row r="148">
      <c r="A148" s="3" t="inlineStr">
        <is>
          <t>3</t>
        </is>
      </c>
      <c r="B148" s="3" t="inlineStr">
        <is>
          <t>Paku biasa 5 inchi</t>
        </is>
      </c>
      <c r="C148" s="3" t="inlineStr">
        <is>
          <t>kg</t>
        </is>
      </c>
      <c r="D148" s="15" t="n">
        <v>0.08</v>
      </c>
      <c r="E148" s="4" t="n">
        <v>20000</v>
      </c>
      <c r="F148" s="4" t="n">
        <v>1600</v>
      </c>
    </row>
    <row r="149">
      <c r="A149" s="3" t="inlineStr">
        <is>
          <t>4</t>
        </is>
      </c>
      <c r="B149" s="3" t="inlineStr">
        <is>
          <t>Besi strip</t>
        </is>
      </c>
      <c r="C149" s="3" t="inlineStr">
        <is>
          <t>kg</t>
        </is>
      </c>
      <c r="D149" s="15" t="n">
        <v>1.1</v>
      </c>
      <c r="E149" s="4" t="n">
        <v>7500</v>
      </c>
      <c r="F149" s="4" t="n">
        <v>8250</v>
      </c>
    </row>
    <row r="150">
      <c r="A150" s="3" t="inlineStr">
        <is>
          <t>5</t>
        </is>
      </c>
      <c r="B150" s="3" t="inlineStr">
        <is>
          <t>Semen Portland (PC)</t>
        </is>
      </c>
      <c r="C150" s="3" t="inlineStr">
        <is>
          <t>kg</t>
        </is>
      </c>
      <c r="D150" s="15" t="n">
        <v>35</v>
      </c>
      <c r="E150" s="4" t="n">
        <v>1300</v>
      </c>
      <c r="F150" s="4" t="n">
        <v>45500</v>
      </c>
    </row>
    <row r="151">
      <c r="A151" s="3" t="inlineStr">
        <is>
          <t>6</t>
        </is>
      </c>
      <c r="B151" s="3" t="inlineStr">
        <is>
          <t>Pasir pasang</t>
        </is>
      </c>
      <c r="C151" s="3" t="inlineStr">
        <is>
          <t>m3</t>
        </is>
      </c>
      <c r="D151" s="15" t="n">
        <v>0.15</v>
      </c>
      <c r="E151" s="4" t="n">
        <v>200000</v>
      </c>
      <c r="F151" s="4" t="n">
        <v>30000</v>
      </c>
    </row>
    <row r="152">
      <c r="A152" s="3" t="inlineStr">
        <is>
          <t>7</t>
        </is>
      </c>
      <c r="B152" s="3" t="inlineStr">
        <is>
          <t>Pasir beton</t>
        </is>
      </c>
      <c r="C152" s="3" t="inlineStr">
        <is>
          <t>m3</t>
        </is>
      </c>
      <c r="D152" s="15" t="n">
        <v>0.1</v>
      </c>
      <c r="E152" s="4" t="n">
        <v>370200</v>
      </c>
      <c r="F152" s="4" t="n">
        <v>37020</v>
      </c>
    </row>
    <row r="153">
      <c r="A153" s="3" t="inlineStr">
        <is>
          <t>8</t>
        </is>
      </c>
      <c r="B153" s="3" t="inlineStr">
        <is>
          <t>Koral Beton</t>
        </is>
      </c>
      <c r="C153" s="3" t="inlineStr">
        <is>
          <t>m3</t>
        </is>
      </c>
      <c r="D153" s="15" t="n">
        <v>0.15</v>
      </c>
      <c r="E153" s="4" t="n">
        <v>352300</v>
      </c>
      <c r="F153" s="4" t="n">
        <v>52845</v>
      </c>
    </row>
    <row r="154">
      <c r="A154" s="3" t="inlineStr">
        <is>
          <t>9</t>
        </is>
      </c>
      <c r="B154" s="3" t="inlineStr">
        <is>
          <t>Bata merah</t>
        </is>
      </c>
      <c r="C154" s="3" t="inlineStr">
        <is>
          <t>buah</t>
        </is>
      </c>
      <c r="D154" s="15" t="n">
        <v>30</v>
      </c>
      <c r="E154" s="4" t="n">
        <v>700</v>
      </c>
      <c r="F154" s="4" t="n">
        <v>21000</v>
      </c>
    </row>
    <row r="155">
      <c r="A155" s="3" t="inlineStr">
        <is>
          <t>10</t>
        </is>
      </c>
      <c r="B155" s="3" t="inlineStr">
        <is>
          <t>Seng pelat</t>
        </is>
      </c>
      <c r="C155" s="3" t="inlineStr">
        <is>
          <t>lembar</t>
        </is>
      </c>
      <c r="D155" s="15" t="n">
        <v>0.25</v>
      </c>
      <c r="E155" s="4" t="n">
        <v>72200</v>
      </c>
      <c r="F155" s="4" t="n">
        <v>18050</v>
      </c>
    </row>
    <row r="156">
      <c r="A156" s="3" t="inlineStr">
        <is>
          <t>11</t>
        </is>
      </c>
      <c r="B156" s="3" t="inlineStr">
        <is>
          <t>Jendela nako</t>
        </is>
      </c>
      <c r="C156" s="3" t="inlineStr">
        <is>
          <t>buah</t>
        </is>
      </c>
      <c r="D156" s="15" t="n">
        <v>0.2</v>
      </c>
      <c r="E156" s="4" t="n">
        <v>400000</v>
      </c>
      <c r="F156" s="4" t="n">
        <v>80000</v>
      </c>
    </row>
    <row r="157">
      <c r="A157" s="3" t="inlineStr">
        <is>
          <t>12</t>
        </is>
      </c>
      <c r="B157" s="3" t="inlineStr">
        <is>
          <t>Kaca polos</t>
        </is>
      </c>
      <c r="C157" s="3" t="inlineStr">
        <is>
          <t>m2</t>
        </is>
      </c>
      <c r="D157" s="15" t="n">
        <v>0.08</v>
      </c>
      <c r="E157" s="4" t="n">
        <v>120000</v>
      </c>
      <c r="F157" s="4" t="n">
        <v>9600</v>
      </c>
    </row>
    <row r="158">
      <c r="A158" s="3" t="inlineStr">
        <is>
          <t>13</t>
        </is>
      </c>
      <c r="B158" s="3" t="inlineStr">
        <is>
          <t>Kunci tanam</t>
        </is>
      </c>
      <c r="C158" s="3" t="inlineStr">
        <is>
          <t>buah</t>
        </is>
      </c>
      <c r="D158" s="15" t="n">
        <v>0.15</v>
      </c>
      <c r="E158" s="4" t="n">
        <v>65800</v>
      </c>
      <c r="F158" s="4" t="n">
        <v>9870</v>
      </c>
    </row>
    <row r="159">
      <c r="A159" s="3" t="inlineStr">
        <is>
          <t>14</t>
        </is>
      </c>
      <c r="B159" s="3" t="inlineStr">
        <is>
          <t>Plywood 4 mm</t>
        </is>
      </c>
      <c r="C159" s="3" t="inlineStr">
        <is>
          <t>lembar</t>
        </is>
      </c>
      <c r="D159" s="15" t="n">
        <v>0.06</v>
      </c>
      <c r="E159" s="4" t="n">
        <v>75000</v>
      </c>
      <c r="F159" s="4" t="n">
        <v>4500</v>
      </c>
    </row>
    <row r="160">
      <c r="D160" s="2" t="inlineStr">
        <is>
          <t>SUBTOTAL UPAH</t>
        </is>
      </c>
      <c r="F160" s="16" t="n">
        <v>707500</v>
      </c>
    </row>
    <row r="161">
      <c r="D161" s="2" t="inlineStr">
        <is>
          <t>SUBTOTAL BAHAN</t>
        </is>
      </c>
      <c r="F161" s="16" t="n">
        <v>2475485</v>
      </c>
    </row>
    <row r="162">
      <c r="D162" s="2" t="inlineStr">
        <is>
          <t>SUBTOTAL ALAT</t>
        </is>
      </c>
      <c r="F162" s="16" t="n">
        <v>0</v>
      </c>
    </row>
    <row r="163">
      <c r="E163" s="2" t="inlineStr">
        <is>
          <t>TOTAL HARGA SATUAN (Inc. Overhead)</t>
        </is>
      </c>
      <c r="F163" s="17" t="n">
        <v>3501283</v>
      </c>
    </row>
    <row r="165">
      <c r="A165" s="14" t="inlineStr">
        <is>
          <t>KODE: 1.1.2.4 - Pembuatan 1 m2 direksi keet (Kantor), los kerja dan gudang</t>
        </is>
      </c>
    </row>
    <row r="166">
      <c r="A166" s="10" t="inlineStr">
        <is>
          <t>No</t>
        </is>
      </c>
      <c r="B166" s="10" t="inlineStr">
        <is>
          <t>Uraian Komponen</t>
        </is>
      </c>
      <c r="C166" s="10" t="inlineStr">
        <is>
          <t>Satuan</t>
        </is>
      </c>
      <c r="D166" s="10" t="inlineStr">
        <is>
          <t>Koef</t>
        </is>
      </c>
      <c r="E166" s="10" t="inlineStr">
        <is>
          <t>Harga Satuan (Rp)</t>
        </is>
      </c>
      <c r="F166" s="10" t="inlineStr">
        <is>
          <t>Jumlah Harga (Rp)</t>
        </is>
      </c>
    </row>
    <row r="167">
      <c r="A167" s="3" t="inlineStr">
        <is>
          <t>1</t>
        </is>
      </c>
      <c r="B167" s="3" t="inlineStr">
        <is>
          <t>Pekerja</t>
        </is>
      </c>
      <c r="C167" s="3" t="inlineStr">
        <is>
          <t>OH</t>
        </is>
      </c>
      <c r="D167" s="15" t="n">
        <v>1.2</v>
      </c>
      <c r="E167" s="4" t="n">
        <v>100000</v>
      </c>
      <c r="F167" s="4" t="n">
        <v>120000</v>
      </c>
    </row>
    <row r="168">
      <c r="A168" s="3" t="inlineStr">
        <is>
          <t>2</t>
        </is>
      </c>
      <c r="B168" s="3" t="inlineStr">
        <is>
          <t>Tukang batu</t>
        </is>
      </c>
      <c r="C168" s="3" t="inlineStr">
        <is>
          <t>OH</t>
        </is>
      </c>
      <c r="D168" s="15" t="n">
        <v>0.4</v>
      </c>
      <c r="E168" s="4" t="n">
        <v>145000</v>
      </c>
      <c r="F168" s="4" t="n">
        <v>58000</v>
      </c>
    </row>
    <row r="169">
      <c r="A169" s="3" t="inlineStr">
        <is>
          <t>3</t>
        </is>
      </c>
      <c r="B169" s="3" t="inlineStr">
        <is>
          <t>Kepala tukang</t>
        </is>
      </c>
      <c r="C169" s="3" t="inlineStr">
        <is>
          <t>OH</t>
        </is>
      </c>
      <c r="D169" s="15" t="n">
        <v>0.04</v>
      </c>
      <c r="E169" s="4" t="n">
        <v>175000</v>
      </c>
      <c r="F169" s="4" t="n">
        <v>7000</v>
      </c>
    </row>
    <row r="170">
      <c r="A170" s="3" t="inlineStr">
        <is>
          <t>4</t>
        </is>
      </c>
      <c r="B170" s="3" t="inlineStr">
        <is>
          <t>Mandor</t>
        </is>
      </c>
      <c r="C170" s="3" t="inlineStr">
        <is>
          <t>OH</t>
        </is>
      </c>
      <c r="D170" s="15" t="n">
        <v>0.12</v>
      </c>
      <c r="E170" s="4" t="n">
        <v>200000</v>
      </c>
      <c r="F170" s="4" t="n">
        <v>24000</v>
      </c>
    </row>
    <row r="171">
      <c r="A171" s="3" t="inlineStr">
        <is>
          <t>1</t>
        </is>
      </c>
      <c r="B171" s="3" t="inlineStr">
        <is>
          <t>Kaso 5/7</t>
        </is>
      </c>
      <c r="C171" s="3" t="inlineStr">
        <is>
          <t>m3</t>
        </is>
      </c>
      <c r="D171" s="15" t="n">
        <v>0.35</v>
      </c>
      <c r="E171" s="4" t="n">
        <v>10214200</v>
      </c>
      <c r="F171" s="4" t="n">
        <v>3574970</v>
      </c>
    </row>
    <row r="172">
      <c r="A172" s="3" t="inlineStr">
        <is>
          <t>2</t>
        </is>
      </c>
      <c r="B172" s="3" t="inlineStr">
        <is>
          <t>Multiplek tebal 4 mm</t>
        </is>
      </c>
      <c r="C172" s="3" t="inlineStr">
        <is>
          <t>lembar</t>
        </is>
      </c>
      <c r="D172" s="15" t="n">
        <v>1</v>
      </c>
      <c r="E172" s="4" t="n">
        <v>116700</v>
      </c>
      <c r="F172" s="4" t="n">
        <v>116700</v>
      </c>
    </row>
    <row r="173">
      <c r="A173" s="3" t="inlineStr">
        <is>
          <t>3</t>
        </is>
      </c>
      <c r="B173" s="3" t="inlineStr">
        <is>
          <t>Fondasi pasangan batu</t>
        </is>
      </c>
      <c r="C173" s="3" t="inlineStr">
        <is>
          <t>m3</t>
        </is>
      </c>
      <c r="D173" s="15" t="n">
        <v>0.17</v>
      </c>
      <c r="E173" s="4" t="n">
        <v>286500</v>
      </c>
      <c r="F173" s="4" t="n">
        <v>48705</v>
      </c>
    </row>
    <row r="174">
      <c r="A174" s="3" t="inlineStr">
        <is>
          <t>4</t>
        </is>
      </c>
      <c r="B174" s="3" t="inlineStr">
        <is>
          <t>GRC Pelat t=4 mm uk 122x244 cm</t>
        </is>
      </c>
      <c r="C174" s="3" t="inlineStr">
        <is>
          <t>lembar</t>
        </is>
      </c>
      <c r="D174" s="15" t="n">
        <v>1.24</v>
      </c>
      <c r="E174" s="4" t="n">
        <v>200000</v>
      </c>
      <c r="F174" s="4" t="n">
        <v>248000</v>
      </c>
    </row>
    <row r="175">
      <c r="A175" s="3" t="inlineStr">
        <is>
          <t>5</t>
        </is>
      </c>
      <c r="B175" s="3" t="inlineStr">
        <is>
          <t>Paku</t>
        </is>
      </c>
      <c r="C175" s="3" t="inlineStr">
        <is>
          <t>kg</t>
        </is>
      </c>
      <c r="D175" s="15" t="n">
        <v>0.75</v>
      </c>
      <c r="E175" s="4" t="n">
        <v>20000</v>
      </c>
      <c r="F175" s="4" t="n">
        <v>15000</v>
      </c>
    </row>
    <row r="176">
      <c r="A176" s="3" t="inlineStr">
        <is>
          <t>6</t>
        </is>
      </c>
      <c r="B176" s="3" t="inlineStr">
        <is>
          <t>Asbes gelombang</t>
        </is>
      </c>
      <c r="C176" s="3" t="inlineStr">
        <is>
          <t>lembar</t>
        </is>
      </c>
      <c r="D176" s="15" t="n">
        <v>0.3</v>
      </c>
      <c r="E176" s="4" t="n">
        <v>62400</v>
      </c>
      <c r="F176" s="4" t="n">
        <v>18720</v>
      </c>
    </row>
    <row r="177">
      <c r="A177" s="3" t="inlineStr">
        <is>
          <t>7</t>
        </is>
      </c>
      <c r="B177" s="3" t="inlineStr">
        <is>
          <t>Paku asbes</t>
        </is>
      </c>
      <c r="C177" s="3" t="inlineStr">
        <is>
          <t>kg</t>
        </is>
      </c>
      <c r="D177" s="15" t="n">
        <v>0.1</v>
      </c>
      <c r="E177" s="4" t="n">
        <v>21000</v>
      </c>
      <c r="F177" s="4" t="n">
        <v>2100</v>
      </c>
    </row>
    <row r="178">
      <c r="A178" s="3" t="inlineStr">
        <is>
          <t>8</t>
        </is>
      </c>
      <c r="B178" s="3" t="inlineStr">
        <is>
          <t>Floor lantai (Beton lantai kerja)</t>
        </is>
      </c>
      <c r="C178" s="3" t="inlineStr">
        <is>
          <t>m3</t>
        </is>
      </c>
      <c r="D178" s="15" t="n">
        <v>0.15</v>
      </c>
      <c r="E178" s="4" t="n">
        <v>805600</v>
      </c>
      <c r="F178" s="4" t="n">
        <v>120840</v>
      </c>
    </row>
    <row r="179">
      <c r="A179" s="3" t="inlineStr">
        <is>
          <t>9</t>
        </is>
      </c>
      <c r="B179" s="3" t="inlineStr">
        <is>
          <t>Pintu Double teakwood rangka kayu</t>
        </is>
      </c>
      <c r="C179" s="3" t="inlineStr">
        <is>
          <t>m2</t>
        </is>
      </c>
      <c r="D179" s="15" t="n">
        <v>0.1</v>
      </c>
      <c r="E179" s="4" t="n">
        <v>150000</v>
      </c>
      <c r="F179" s="4" t="n">
        <v>15000</v>
      </c>
    </row>
    <row r="180">
      <c r="A180" s="3" t="inlineStr">
        <is>
          <t>10</t>
        </is>
      </c>
      <c r="B180" s="3" t="inlineStr">
        <is>
          <t>Frame besi kaca nako</t>
        </is>
      </c>
      <c r="C180" s="3" t="inlineStr">
        <is>
          <t>daun</t>
        </is>
      </c>
      <c r="D180" s="15" t="n">
        <v>1</v>
      </c>
      <c r="E180" s="4" t="n">
        <v>400000</v>
      </c>
      <c r="F180" s="4" t="n">
        <v>400000</v>
      </c>
    </row>
    <row r="181">
      <c r="A181" s="3" t="inlineStr">
        <is>
          <t>11</t>
        </is>
      </c>
      <c r="B181" s="3" t="inlineStr">
        <is>
          <t>cat dinding</t>
        </is>
      </c>
      <c r="C181" s="3" t="inlineStr">
        <is>
          <t>m2</t>
        </is>
      </c>
      <c r="D181" s="15" t="n">
        <v>16.5</v>
      </c>
      <c r="E181" s="4" t="n">
        <v>25000</v>
      </c>
      <c r="F181" s="4" t="n">
        <v>412500</v>
      </c>
    </row>
    <row r="182">
      <c r="D182" s="2" t="inlineStr">
        <is>
          <t>SUBTOTAL UPAH</t>
        </is>
      </c>
      <c r="F182" s="16" t="n">
        <v>209000</v>
      </c>
    </row>
    <row r="183">
      <c r="D183" s="2" t="inlineStr">
        <is>
          <t>SUBTOTAL BAHAN</t>
        </is>
      </c>
      <c r="F183" s="16" t="n">
        <v>4972535</v>
      </c>
    </row>
    <row r="184">
      <c r="D184" s="2" t="inlineStr">
        <is>
          <t>SUBTOTAL ALAT</t>
        </is>
      </c>
      <c r="F184" s="16" t="n">
        <v>0</v>
      </c>
    </row>
    <row r="185">
      <c r="E185" s="2" t="inlineStr">
        <is>
          <t>TOTAL HARGA SATUAN (Inc. Overhead)</t>
        </is>
      </c>
      <c r="F185" s="17" t="n">
        <v>5699688</v>
      </c>
    </row>
    <row r="187">
      <c r="A187" s="14" t="inlineStr">
        <is>
          <t>KODE: 1.1.2.5 - Pembuatan 1 m2 jalan sementara lapis macadam</t>
        </is>
      </c>
    </row>
    <row r="188">
      <c r="A188" s="10" t="inlineStr">
        <is>
          <t>No</t>
        </is>
      </c>
      <c r="B188" s="10" t="inlineStr">
        <is>
          <t>Uraian Komponen</t>
        </is>
      </c>
      <c r="C188" s="10" t="inlineStr">
        <is>
          <t>Satuan</t>
        </is>
      </c>
      <c r="D188" s="10" t="inlineStr">
        <is>
          <t>Koef</t>
        </is>
      </c>
      <c r="E188" s="10" t="inlineStr">
        <is>
          <t>Harga Satuan (Rp)</t>
        </is>
      </c>
      <c r="F188" s="10" t="inlineStr">
        <is>
          <t>Jumlah Harga (Rp)</t>
        </is>
      </c>
    </row>
    <row r="189">
      <c r="A189" s="3" t="inlineStr">
        <is>
          <t>1</t>
        </is>
      </c>
      <c r="B189" s="3" t="inlineStr">
        <is>
          <t>Pekerja</t>
        </is>
      </c>
      <c r="C189" s="3" t="inlineStr">
        <is>
          <t>OJ</t>
        </is>
      </c>
      <c r="D189" s="15" t="n">
        <v>2.0296</v>
      </c>
      <c r="E189" s="4" t="n">
        <v>12500</v>
      </c>
      <c r="F189" s="4" t="n">
        <v>25370</v>
      </c>
    </row>
    <row r="190">
      <c r="A190" s="3" t="inlineStr">
        <is>
          <t>2</t>
        </is>
      </c>
      <c r="B190" s="3" t="inlineStr">
        <is>
          <t>Mandor</t>
        </is>
      </c>
      <c r="C190" s="3" t="inlineStr">
        <is>
          <t>OJ</t>
        </is>
      </c>
      <c r="D190" s="15" t="n">
        <v>0.1309</v>
      </c>
      <c r="E190" s="4" t="n">
        <v>25000</v>
      </c>
      <c r="F190" s="4" t="n">
        <v>3272.5</v>
      </c>
    </row>
    <row r="191">
      <c r="A191" s="3" t="inlineStr">
        <is>
          <t>1</t>
        </is>
      </c>
      <c r="B191" s="3" t="inlineStr">
        <is>
          <t>Agg Pokok</t>
        </is>
      </c>
      <c r="C191" s="3" t="inlineStr">
        <is>
          <t>m3</t>
        </is>
      </c>
      <c r="D191" s="15" t="n">
        <v>1.0594</v>
      </c>
      <c r="E191" s="4" t="n">
        <v>350000</v>
      </c>
      <c r="F191" s="4" t="n">
        <v>370789.9999999999</v>
      </c>
    </row>
    <row r="192">
      <c r="A192" s="3" t="inlineStr">
        <is>
          <t>2</t>
        </is>
      </c>
      <c r="B192" s="3" t="inlineStr">
        <is>
          <t>Agg Pengunci</t>
        </is>
      </c>
      <c r="C192" s="3" t="inlineStr">
        <is>
          <t>m3</t>
        </is>
      </c>
      <c r="D192" s="15" t="n">
        <v>0.3311</v>
      </c>
      <c r="E192" s="4" t="n">
        <v>360000</v>
      </c>
      <c r="F192" s="4" t="n">
        <v>119196</v>
      </c>
    </row>
    <row r="193">
      <c r="A193" s="3" t="inlineStr">
        <is>
          <t>3</t>
        </is>
      </c>
      <c r="B193" s="3" t="inlineStr">
        <is>
          <t>Agg Penutup</t>
        </is>
      </c>
      <c r="C193" s="3" t="inlineStr">
        <is>
          <t>kg</t>
        </is>
      </c>
      <c r="D193" s="15" t="n">
        <v>0.1854</v>
      </c>
      <c r="E193" s="4" t="n">
        <v>370000</v>
      </c>
      <c r="F193" s="4" t="n">
        <v>68598</v>
      </c>
    </row>
    <row r="194">
      <c r="A194" s="3" t="inlineStr">
        <is>
          <t>4</t>
        </is>
      </c>
      <c r="B194" s="3" t="inlineStr">
        <is>
          <t>Aspal</t>
        </is>
      </c>
      <c r="C194" s="3" t="inlineStr">
        <is>
          <t>kg</t>
        </is>
      </c>
      <c r="D194" s="15" t="n">
        <v>80</v>
      </c>
      <c r="E194" s="4" t="n">
        <v>1200</v>
      </c>
      <c r="F194" s="4" t="n">
        <v>96000</v>
      </c>
    </row>
    <row r="195">
      <c r="A195" s="3" t="inlineStr">
        <is>
          <t>1</t>
        </is>
      </c>
      <c r="B195" s="3" t="inlineStr">
        <is>
          <t>Wheel Loader</t>
        </is>
      </c>
      <c r="C195" s="3" t="inlineStr">
        <is>
          <t>jam</t>
        </is>
      </c>
      <c r="D195" s="15" t="n">
        <v>0.0071</v>
      </c>
      <c r="E195" s="4" t="n">
        <v>472400</v>
      </c>
      <c r="F195" s="4" t="n">
        <v>3354.04</v>
      </c>
    </row>
    <row r="196">
      <c r="A196" s="3" t="inlineStr">
        <is>
          <t>2</t>
        </is>
      </c>
      <c r="B196" s="3" t="inlineStr">
        <is>
          <t>Dump Truck 1</t>
        </is>
      </c>
      <c r="C196" s="3" t="inlineStr">
        <is>
          <t>jam</t>
        </is>
      </c>
      <c r="D196" s="15" t="n">
        <v>0.3189</v>
      </c>
      <c r="E196" s="4" t="n">
        <v>556100</v>
      </c>
      <c r="F196" s="4" t="n">
        <v>177340.29</v>
      </c>
    </row>
    <row r="197">
      <c r="A197" s="3" t="inlineStr">
        <is>
          <t>3</t>
        </is>
      </c>
      <c r="B197" s="3" t="inlineStr">
        <is>
          <t>Dump Truck 2</t>
        </is>
      </c>
      <c r="C197" s="3" t="inlineStr">
        <is>
          <t>jam</t>
        </is>
      </c>
      <c r="D197" s="15" t="n">
        <v>0.3202</v>
      </c>
      <c r="E197" s="4" t="n">
        <v>556100</v>
      </c>
      <c r="F197" s="4" t="n">
        <v>178063.22</v>
      </c>
    </row>
    <row r="198">
      <c r="A198" s="3" t="inlineStr">
        <is>
          <t>4</t>
        </is>
      </c>
      <c r="B198" s="3" t="inlineStr">
        <is>
          <t>Dump Truck 3</t>
        </is>
      </c>
      <c r="C198" s="3" t="inlineStr">
        <is>
          <t>jam</t>
        </is>
      </c>
      <c r="D198" s="15" t="n">
        <v>0.3237</v>
      </c>
      <c r="E198" s="4" t="n">
        <v>556100</v>
      </c>
      <c r="F198" s="4" t="n">
        <v>180009.57</v>
      </c>
    </row>
    <row r="199">
      <c r="A199" s="3" t="inlineStr">
        <is>
          <t>5</t>
        </is>
      </c>
      <c r="B199" s="3" t="inlineStr">
        <is>
          <t>Three Wheel Roller</t>
        </is>
      </c>
      <c r="C199" s="3" t="inlineStr">
        <is>
          <t>jam</t>
        </is>
      </c>
      <c r="D199" s="15" t="n">
        <v>0.0655</v>
      </c>
      <c r="E199" s="4" t="n">
        <v>262300</v>
      </c>
      <c r="F199" s="4" t="n">
        <v>17180.65</v>
      </c>
    </row>
    <row r="200">
      <c r="A200" s="3" t="inlineStr">
        <is>
          <t>6</t>
        </is>
      </c>
      <c r="B200" s="3" t="inlineStr">
        <is>
          <t>Asphalt Distributor</t>
        </is>
      </c>
      <c r="C200" s="3" t="inlineStr">
        <is>
          <t>jam</t>
        </is>
      </c>
      <c r="D200" s="15" t="n">
        <v>0.0157</v>
      </c>
      <c r="E200" s="4" t="n">
        <v>307300</v>
      </c>
      <c r="F200" s="4" t="n">
        <v>4824.61</v>
      </c>
    </row>
    <row r="201">
      <c r="D201" s="2" t="inlineStr">
        <is>
          <t>SUBTOTAL UPAH</t>
        </is>
      </c>
      <c r="F201" s="16" t="n">
        <v>28642.5</v>
      </c>
    </row>
    <row r="202">
      <c r="D202" s="2" t="inlineStr">
        <is>
          <t>SUBTOTAL BAHAN</t>
        </is>
      </c>
      <c r="F202" s="16" t="n">
        <v>654584</v>
      </c>
    </row>
    <row r="203">
      <c r="D203" s="2" t="inlineStr">
        <is>
          <t>SUBTOTAL ALAT</t>
        </is>
      </c>
      <c r="F203" s="16" t="n">
        <v>560772.3800000001</v>
      </c>
    </row>
    <row r="204">
      <c r="E204" s="2" t="inlineStr">
        <is>
          <t>TOTAL HARGA SATUAN (Inc. Overhead)</t>
        </is>
      </c>
      <c r="F204" s="17" t="n">
        <v>1368398</v>
      </c>
    </row>
    <row r="206">
      <c r="A206" s="14" t="inlineStr">
        <is>
          <t>KODE: 1.1.2.6 - Pembuatan 1 m2 jalan sementara (Jalan Tanah)</t>
        </is>
      </c>
    </row>
    <row r="207">
      <c r="A207" s="10" t="inlineStr">
        <is>
          <t>No</t>
        </is>
      </c>
      <c r="B207" s="10" t="inlineStr">
        <is>
          <t>Uraian Komponen</t>
        </is>
      </c>
      <c r="C207" s="10" t="inlineStr">
        <is>
          <t>Satuan</t>
        </is>
      </c>
      <c r="D207" s="10" t="inlineStr">
        <is>
          <t>Koef</t>
        </is>
      </c>
      <c r="E207" s="10" t="inlineStr">
        <is>
          <t>Harga Satuan (Rp)</t>
        </is>
      </c>
      <c r="F207" s="10" t="inlineStr">
        <is>
          <t>Jumlah Harga (Rp)</t>
        </is>
      </c>
    </row>
    <row r="208">
      <c r="A208" s="3" t="inlineStr">
        <is>
          <t>1</t>
        </is>
      </c>
      <c r="B208" s="3" t="inlineStr">
        <is>
          <t>Pembersihan &amp; Pengupasan (Buang Top Soil dan Segala Tanaman)</t>
        </is>
      </c>
      <c r="C208" s="3" t="inlineStr">
        <is>
          <t>m2</t>
        </is>
      </c>
      <c r="D208" s="15" t="n">
        <v>1.0476</v>
      </c>
      <c r="E208" s="4" t="n">
        <v>12000</v>
      </c>
      <c r="F208" s="4" t="n">
        <v>12571.2</v>
      </c>
    </row>
    <row r="209">
      <c r="A209" s="3" t="inlineStr">
        <is>
          <t>2</t>
        </is>
      </c>
      <c r="B209" s="3" t="inlineStr">
        <is>
          <t>Penyiapan Badan Jalan (Pemadatan Fondasi Timbunan)</t>
        </is>
      </c>
      <c r="C209" s="3" t="inlineStr">
        <is>
          <t>m2</t>
        </is>
      </c>
      <c r="D209" s="15" t="n">
        <v>1.0476</v>
      </c>
      <c r="E209" s="4" t="n">
        <v>2900</v>
      </c>
      <c r="F209" s="4" t="n">
        <v>3038.04</v>
      </c>
    </row>
    <row r="210">
      <c r="A210" s="3" t="inlineStr">
        <is>
          <t>3</t>
        </is>
      </c>
      <c r="B210" s="3" t="inlineStr">
        <is>
          <t>Timbunan Pilihan (CBR&gt;10%)</t>
        </is>
      </c>
      <c r="C210" s="3" t="inlineStr">
        <is>
          <t>m3</t>
        </is>
      </c>
      <c r="D210" s="15" t="n">
        <v>0.2048</v>
      </c>
      <c r="E210" s="4" t="n">
        <v>496300</v>
      </c>
      <c r="F210" s="4" t="n">
        <v>101642.24</v>
      </c>
    </row>
    <row r="211">
      <c r="A211" s="3" t="inlineStr">
        <is>
          <t>1</t>
        </is>
      </c>
      <c r="B211" s="3" t="inlineStr">
        <is>
          <t>"Sewa Lahan (Jika di luar Rumija Luas lahan bisa lebih besar dari contoh)"</t>
        </is>
      </c>
      <c r="C211" s="3" t="inlineStr">
        <is>
          <t>m2</t>
        </is>
      </c>
      <c r="D211" s="15" t="n">
        <v>1.0476</v>
      </c>
      <c r="E211" s="4" t="n">
        <v>1000000</v>
      </c>
      <c r="F211" s="4" t="n">
        <v>1047600</v>
      </c>
    </row>
    <row r="212">
      <c r="D212" s="2" t="inlineStr">
        <is>
          <t>SUBTOTAL UPAH</t>
        </is>
      </c>
      <c r="F212" s="16" t="n">
        <v>0</v>
      </c>
    </row>
    <row r="213">
      <c r="D213" s="2" t="inlineStr">
        <is>
          <t>SUBTOTAL BAHAN</t>
        </is>
      </c>
      <c r="F213" s="16" t="n">
        <v>0</v>
      </c>
    </row>
    <row r="214">
      <c r="D214" s="2" t="inlineStr">
        <is>
          <t>SUBTOTAL ALAT</t>
        </is>
      </c>
      <c r="F214" s="16" t="n">
        <v>0</v>
      </c>
    </row>
    <row r="215">
      <c r="E215" s="2" t="inlineStr">
        <is>
          <t>TOTAL HARGA SATUAN (Inc. Overhead)</t>
        </is>
      </c>
      <c r="F215" s="17" t="n">
        <v>1281336</v>
      </c>
    </row>
    <row r="217">
      <c r="A217" s="14" t="inlineStr">
        <is>
          <t>KODE: 1.1.2.7 - Pembuatan 1 m2 jalan sementara (Jalan Kerikil)</t>
        </is>
      </c>
    </row>
    <row r="218">
      <c r="A218" s="10" t="inlineStr">
        <is>
          <t>No</t>
        </is>
      </c>
      <c r="B218" s="10" t="inlineStr">
        <is>
          <t>Uraian Komponen</t>
        </is>
      </c>
      <c r="C218" s="10" t="inlineStr">
        <is>
          <t>Satuan</t>
        </is>
      </c>
      <c r="D218" s="10" t="inlineStr">
        <is>
          <t>Koef</t>
        </is>
      </c>
      <c r="E218" s="10" t="inlineStr">
        <is>
          <t>Harga Satuan (Rp)</t>
        </is>
      </c>
      <c r="F218" s="10" t="inlineStr">
        <is>
          <t>Jumlah Harga (Rp)</t>
        </is>
      </c>
    </row>
    <row r="219">
      <c r="A219" s="3" t="inlineStr">
        <is>
          <t>1</t>
        </is>
      </c>
      <c r="B219" s="3" t="inlineStr">
        <is>
          <t>Pembersihan &amp; Pengupasan (Buang Top Soil dan Segala Tanaman)</t>
        </is>
      </c>
      <c r="C219" s="3" t="inlineStr">
        <is>
          <t>m2</t>
        </is>
      </c>
      <c r="D219" s="15" t="n">
        <v>1.0476</v>
      </c>
      <c r="E219" s="4" t="n">
        <v>12000</v>
      </c>
      <c r="F219" s="4" t="n">
        <v>12571.2</v>
      </c>
    </row>
    <row r="220">
      <c r="A220" s="3" t="inlineStr">
        <is>
          <t>2</t>
        </is>
      </c>
      <c r="B220" s="3" t="inlineStr">
        <is>
          <t>Penyiapan Badan Jalan (Pemadatan Fondasi Timbunan)</t>
        </is>
      </c>
      <c r="C220" s="3" t="inlineStr">
        <is>
          <t>m2</t>
        </is>
      </c>
      <c r="D220" s="15" t="n">
        <v>1.0476</v>
      </c>
      <c r="E220" s="4" t="n">
        <v>2900</v>
      </c>
      <c r="F220" s="4" t="n">
        <v>3038.04</v>
      </c>
    </row>
    <row r="221">
      <c r="A221" s="3" t="inlineStr">
        <is>
          <t>3</t>
        </is>
      </c>
      <c r="B221" s="3" t="inlineStr">
        <is>
          <t>Lapis Fondasi Agregat Kelas C (CBR &gt; 30% ukuran butiran maksimum 2.5 cm)</t>
        </is>
      </c>
      <c r="C221" s="3" t="inlineStr">
        <is>
          <t>m3</t>
        </is>
      </c>
      <c r="D221" s="15" t="n">
        <v>0.2048</v>
      </c>
      <c r="E221" s="4" t="n">
        <v>695000</v>
      </c>
      <c r="F221" s="4" t="n">
        <v>142336</v>
      </c>
    </row>
    <row r="222">
      <c r="A222" s="3" t="inlineStr">
        <is>
          <t>4</t>
        </is>
      </c>
      <c r="B222" s="3" t="inlineStr">
        <is>
          <t>Lapis Resap Pengikat</t>
        </is>
      </c>
      <c r="C222" s="3" t="inlineStr">
        <is>
          <t>liter</t>
        </is>
      </c>
      <c r="D222" s="15" t="n">
        <v>1</v>
      </c>
      <c r="E222" s="4" t="n">
        <v>15600</v>
      </c>
      <c r="F222" s="4" t="n">
        <v>15600</v>
      </c>
    </row>
    <row r="223">
      <c r="A223" s="3" t="inlineStr">
        <is>
          <t>1</t>
        </is>
      </c>
      <c r="B223" s="3" t="inlineStr">
        <is>
          <t>"Sewa Lahan (Jika di luar Rumija Luas lahan bisa lebih besar dari contoh)"</t>
        </is>
      </c>
      <c r="C223" s="3" t="inlineStr">
        <is>
          <t>m2</t>
        </is>
      </c>
      <c r="D223" s="15" t="n">
        <v>1.0476</v>
      </c>
      <c r="E223" s="4" t="n">
        <v>1000000</v>
      </c>
      <c r="F223" s="4" t="n">
        <v>1047600</v>
      </c>
    </row>
    <row r="224">
      <c r="D224" s="2" t="inlineStr">
        <is>
          <t>SUBTOTAL UPAH</t>
        </is>
      </c>
      <c r="F224" s="16" t="n">
        <v>0</v>
      </c>
    </row>
    <row r="225">
      <c r="D225" s="2" t="inlineStr">
        <is>
          <t>SUBTOTAL BAHAN</t>
        </is>
      </c>
      <c r="F225" s="16" t="n">
        <v>0</v>
      </c>
    </row>
    <row r="226">
      <c r="D226" s="2" t="inlineStr">
        <is>
          <t>SUBTOTAL ALAT</t>
        </is>
      </c>
      <c r="F226" s="16" t="n">
        <v>0</v>
      </c>
    </row>
    <row r="227">
      <c r="E227" s="2" t="inlineStr">
        <is>
          <t>TOTAL HARGA SATUAN (Inc. Overhead)</t>
        </is>
      </c>
      <c r="F227" s="17" t="n">
        <v>1343259</v>
      </c>
    </row>
    <row r="229">
      <c r="A229" s="14" t="inlineStr">
        <is>
          <t>KODE: 1.1.3.2 - Tebas tebang 1 m2 tanaman/tumbuhan ∅ &lt; 5 cm</t>
        </is>
      </c>
    </row>
    <row r="230">
      <c r="A230" s="10" t="inlineStr">
        <is>
          <t>No</t>
        </is>
      </c>
      <c r="B230" s="10" t="inlineStr">
        <is>
          <t>Uraian Komponen</t>
        </is>
      </c>
      <c r="C230" s="10" t="inlineStr">
        <is>
          <t>Satuan</t>
        </is>
      </c>
      <c r="D230" s="10" t="inlineStr">
        <is>
          <t>Koef</t>
        </is>
      </c>
      <c r="E230" s="10" t="inlineStr">
        <is>
          <t>Harga Satuan (Rp)</t>
        </is>
      </c>
      <c r="F230" s="10" t="inlineStr">
        <is>
          <t>Jumlah Harga (Rp)</t>
        </is>
      </c>
    </row>
    <row r="231">
      <c r="A231" s="3" t="inlineStr">
        <is>
          <t>1</t>
        </is>
      </c>
      <c r="B231" s="3" t="inlineStr">
        <is>
          <t>Pekerja</t>
        </is>
      </c>
      <c r="C231" s="3" t="inlineStr">
        <is>
          <t>OH</t>
        </is>
      </c>
      <c r="D231" s="15" t="n">
        <v>0.03</v>
      </c>
      <c r="E231" s="4" t="n">
        <v>100000</v>
      </c>
      <c r="F231" s="4" t="n">
        <v>3000</v>
      </c>
    </row>
    <row r="232">
      <c r="A232" s="3" t="inlineStr">
        <is>
          <t>2</t>
        </is>
      </c>
      <c r="B232" s="3" t="inlineStr">
        <is>
          <t>Mandor</t>
        </is>
      </c>
      <c r="C232" s="3" t="inlineStr">
        <is>
          <t>OH</t>
        </is>
      </c>
      <c r="D232" s="15" t="n">
        <v>0.003</v>
      </c>
      <c r="E232" s="4" t="n">
        <v>200000</v>
      </c>
      <c r="F232" s="4" t="n">
        <v>600</v>
      </c>
    </row>
    <row r="233">
      <c r="D233" s="2" t="inlineStr">
        <is>
          <t>SUBTOTAL UPAH</t>
        </is>
      </c>
      <c r="F233" s="16" t="n">
        <v>3600</v>
      </c>
    </row>
    <row r="234">
      <c r="D234" s="2" t="inlineStr">
        <is>
          <t>SUBTOTAL BAHAN</t>
        </is>
      </c>
      <c r="F234" s="16" t="n">
        <v>0</v>
      </c>
    </row>
    <row r="235">
      <c r="D235" s="2" t="inlineStr">
        <is>
          <t>SUBTOTAL ALAT</t>
        </is>
      </c>
      <c r="F235" s="16" t="n">
        <v>0</v>
      </c>
    </row>
    <row r="236">
      <c r="E236" s="2" t="inlineStr">
        <is>
          <t>TOTAL HARGA SATUAN (Inc. Overhead)</t>
        </is>
      </c>
      <c r="F236" s="17" t="n">
        <v>3960</v>
      </c>
    </row>
    <row r="238">
      <c r="A238" s="14" t="inlineStr">
        <is>
          <t>KODE: 1.1.3.5 - Tebas tebang 1 batang pohon/tumbuhan ∅ &gt; 30 s.d 50 cm</t>
        </is>
      </c>
    </row>
    <row r="239">
      <c r="A239" s="10" t="inlineStr">
        <is>
          <t>No</t>
        </is>
      </c>
      <c r="B239" s="10" t="inlineStr">
        <is>
          <t>Uraian Komponen</t>
        </is>
      </c>
      <c r="C239" s="10" t="inlineStr">
        <is>
          <t>Satuan</t>
        </is>
      </c>
      <c r="D239" s="10" t="inlineStr">
        <is>
          <t>Koef</t>
        </is>
      </c>
      <c r="E239" s="10" t="inlineStr">
        <is>
          <t>Harga Satuan (Rp)</t>
        </is>
      </c>
      <c r="F239" s="10" t="inlineStr">
        <is>
          <t>Jumlah Harga (Rp)</t>
        </is>
      </c>
    </row>
    <row r="240">
      <c r="A240" s="3" t="inlineStr">
        <is>
          <t>1</t>
        </is>
      </c>
      <c r="B240" s="3" t="inlineStr">
        <is>
          <t>Pekerja</t>
        </is>
      </c>
      <c r="C240" s="3" t="inlineStr">
        <is>
          <t>OH</t>
        </is>
      </c>
      <c r="D240" s="15" t="n">
        <v>0.012</v>
      </c>
      <c r="E240" s="4" t="n">
        <v>100000</v>
      </c>
      <c r="F240" s="4" t="n">
        <v>1200</v>
      </c>
    </row>
    <row r="241">
      <c r="A241" s="3" t="inlineStr">
        <is>
          <t>2</t>
        </is>
      </c>
      <c r="B241" s="3" t="inlineStr">
        <is>
          <t>Mandor</t>
        </is>
      </c>
      <c r="C241" s="3" t="inlineStr">
        <is>
          <t>OH</t>
        </is>
      </c>
      <c r="D241" s="15" t="n">
        <v>0.0012</v>
      </c>
      <c r="E241" s="4" t="n">
        <v>200000</v>
      </c>
      <c r="F241" s="4" t="n">
        <v>240</v>
      </c>
    </row>
    <row r="242">
      <c r="A242" s="3" t="inlineStr">
        <is>
          <t>1</t>
        </is>
      </c>
      <c r="B242" s="3" t="inlineStr">
        <is>
          <t>"Chainsaw 20”; 5 5HP"</t>
        </is>
      </c>
      <c r="C242" s="3" t="inlineStr">
        <is>
          <t>hari</t>
        </is>
      </c>
      <c r="D242" s="15" t="n">
        <v>0.0625</v>
      </c>
      <c r="E242" s="4" t="n">
        <v>300000</v>
      </c>
      <c r="F242" s="4" t="n">
        <v>18750</v>
      </c>
    </row>
    <row r="243">
      <c r="D243" s="2" t="inlineStr">
        <is>
          <t>SUBTOTAL UPAH</t>
        </is>
      </c>
      <c r="F243" s="16" t="n">
        <v>1440</v>
      </c>
    </row>
    <row r="244">
      <c r="D244" s="2" t="inlineStr">
        <is>
          <t>SUBTOTAL BAHAN</t>
        </is>
      </c>
      <c r="F244" s="16" t="n">
        <v>0</v>
      </c>
    </row>
    <row r="245">
      <c r="D245" s="2" t="inlineStr">
        <is>
          <t>SUBTOTAL ALAT</t>
        </is>
      </c>
      <c r="F245" s="16" t="n">
        <v>18750</v>
      </c>
    </row>
    <row r="246">
      <c r="E246" s="2" t="inlineStr">
        <is>
          <t>TOTAL HARGA SATUAN (Inc. Overhead)</t>
        </is>
      </c>
      <c r="F246" s="17" t="n">
        <v>22209</v>
      </c>
    </row>
    <row r="248">
      <c r="A248" s="14" t="inlineStr">
        <is>
          <t>KODE: 1.1.3.7 - Tebas tebang 1 batang pohon/tumbuhan ∅ &gt; 75 cm (diameter pohon diukur 1 m di atas permukaan tanah)</t>
        </is>
      </c>
    </row>
    <row r="249">
      <c r="A249" s="10" t="inlineStr">
        <is>
          <t>No</t>
        </is>
      </c>
      <c r="B249" s="10" t="inlineStr">
        <is>
          <t>Uraian Komponen</t>
        </is>
      </c>
      <c r="C249" s="10" t="inlineStr">
        <is>
          <t>Satuan</t>
        </is>
      </c>
      <c r="D249" s="10" t="inlineStr">
        <is>
          <t>Koef</t>
        </is>
      </c>
      <c r="E249" s="10" t="inlineStr">
        <is>
          <t>Harga Satuan (Rp)</t>
        </is>
      </c>
      <c r="F249" s="10" t="inlineStr">
        <is>
          <t>Jumlah Harga (Rp)</t>
        </is>
      </c>
    </row>
    <row r="250">
      <c r="A250" s="3" t="inlineStr">
        <is>
          <t>1</t>
        </is>
      </c>
      <c r="B250" s="3" t="inlineStr">
        <is>
          <t>Pekerja</t>
        </is>
      </c>
      <c r="C250" s="3" t="inlineStr">
        <is>
          <t>OH</t>
        </is>
      </c>
      <c r="D250" s="15" t="n">
        <v>0.25</v>
      </c>
      <c r="E250" s="4" t="n">
        <v>100000</v>
      </c>
      <c r="F250" s="4" t="n">
        <v>25000</v>
      </c>
    </row>
    <row r="251">
      <c r="A251" s="3" t="inlineStr">
        <is>
          <t>2</t>
        </is>
      </c>
      <c r="B251" s="3" t="inlineStr">
        <is>
          <t>Mandor</t>
        </is>
      </c>
      <c r="C251" s="3" t="inlineStr">
        <is>
          <t>OH</t>
        </is>
      </c>
      <c r="D251" s="15" t="n">
        <v>0.025</v>
      </c>
      <c r="E251" s="4" t="n">
        <v>200000</v>
      </c>
      <c r="F251" s="4" t="n">
        <v>5000</v>
      </c>
    </row>
    <row r="252">
      <c r="A252" s="3" t="inlineStr">
        <is>
          <t>1</t>
        </is>
      </c>
      <c r="B252" s="3" t="inlineStr">
        <is>
          <t>"Chainsaw 30”; 7 5HP"</t>
        </is>
      </c>
      <c r="C252" s="3" t="inlineStr">
        <is>
          <t>hari</t>
        </is>
      </c>
      <c r="D252" s="15" t="n">
        <v>0.09</v>
      </c>
      <c r="E252" s="4" t="n">
        <v>300000</v>
      </c>
      <c r="F252" s="4" t="n">
        <v>27000</v>
      </c>
    </row>
    <row r="253">
      <c r="D253" s="2" t="inlineStr">
        <is>
          <t>SUBTOTAL UPAH</t>
        </is>
      </c>
      <c r="F253" s="16" t="n">
        <v>30000</v>
      </c>
    </row>
    <row r="254">
      <c r="D254" s="2" t="inlineStr">
        <is>
          <t>SUBTOTAL BAHAN</t>
        </is>
      </c>
      <c r="F254" s="16" t="n">
        <v>0</v>
      </c>
    </row>
    <row r="255">
      <c r="D255" s="2" t="inlineStr">
        <is>
          <t>SUBTOTAL ALAT</t>
        </is>
      </c>
      <c r="F255" s="16" t="n">
        <v>27000</v>
      </c>
    </row>
    <row r="256">
      <c r="E256" s="2" t="inlineStr">
        <is>
          <t>TOTAL HARGA SATUAN (Inc. Overhead)</t>
        </is>
      </c>
      <c r="F256" s="17" t="n">
        <v>62700</v>
      </c>
    </row>
    <row r="258">
      <c r="A258" s="14" t="inlineStr">
        <is>
          <t>KODE: 1.1.3.8 - Gali dan cabut 1 tunggul pohon tanaman keras ∅ &gt; 5 s.d. 15 cm (termasuk pembuangan sisa tunggul tanpa menutup kembali bekas lubang)</t>
        </is>
      </c>
    </row>
    <row r="259">
      <c r="A259" s="10" t="inlineStr">
        <is>
          <t>No</t>
        </is>
      </c>
      <c r="B259" s="10" t="inlineStr">
        <is>
          <t>Uraian Komponen</t>
        </is>
      </c>
      <c r="C259" s="10" t="inlineStr">
        <is>
          <t>Satuan</t>
        </is>
      </c>
      <c r="D259" s="10" t="inlineStr">
        <is>
          <t>Koef</t>
        </is>
      </c>
      <c r="E259" s="10" t="inlineStr">
        <is>
          <t>Harga Satuan (Rp)</t>
        </is>
      </c>
      <c r="F259" s="10" t="inlineStr">
        <is>
          <t>Jumlah Harga (Rp)</t>
        </is>
      </c>
    </row>
    <row r="260">
      <c r="A260" s="3" t="inlineStr">
        <is>
          <t>1</t>
        </is>
      </c>
      <c r="B260" s="3" t="inlineStr">
        <is>
          <t>Pekerja</t>
        </is>
      </c>
      <c r="C260" s="3" t="inlineStr">
        <is>
          <t>OH</t>
        </is>
      </c>
      <c r="D260" s="15" t="n">
        <v>0.1429</v>
      </c>
      <c r="E260" s="4" t="n">
        <v>100000</v>
      </c>
      <c r="F260" s="4" t="n">
        <v>14290</v>
      </c>
    </row>
    <row r="261">
      <c r="A261" s="3" t="inlineStr">
        <is>
          <t>2</t>
        </is>
      </c>
      <c r="B261" s="3" t="inlineStr">
        <is>
          <t>Mandor</t>
        </is>
      </c>
      <c r="C261" s="3" t="inlineStr">
        <is>
          <t>OH</t>
        </is>
      </c>
      <c r="D261" s="15" t="n">
        <v>0.0143</v>
      </c>
      <c r="E261" s="4" t="n">
        <v>200000</v>
      </c>
      <c r="F261" s="4" t="n">
        <v>2860</v>
      </c>
    </row>
    <row r="262">
      <c r="A262" s="3" t="inlineStr">
        <is>
          <t>1</t>
        </is>
      </c>
      <c r="B262" s="3" t="inlineStr">
        <is>
          <t>"Chainsaw 20”; 5 5HP"</t>
        </is>
      </c>
      <c r="C262" s="3" t="inlineStr">
        <is>
          <t>hari</t>
        </is>
      </c>
      <c r="D262" s="15" t="n">
        <v>0.09</v>
      </c>
      <c r="E262" s="4" t="n">
        <v>300000</v>
      </c>
      <c r="F262" s="4" t="n">
        <v>27000</v>
      </c>
    </row>
    <row r="263">
      <c r="D263" s="2" t="inlineStr">
        <is>
          <t>SUBTOTAL UPAH</t>
        </is>
      </c>
      <c r="F263" s="16" t="n">
        <v>17150</v>
      </c>
    </row>
    <row r="264">
      <c r="D264" s="2" t="inlineStr">
        <is>
          <t>SUBTOTAL BAHAN</t>
        </is>
      </c>
      <c r="F264" s="16" t="n">
        <v>0</v>
      </c>
    </row>
    <row r="265">
      <c r="D265" s="2" t="inlineStr">
        <is>
          <t>SUBTOTAL ALAT</t>
        </is>
      </c>
      <c r="F265" s="16" t="n">
        <v>27000</v>
      </c>
    </row>
    <row r="266">
      <c r="E266" s="2" t="inlineStr">
        <is>
          <t>TOTAL HARGA SATUAN (Inc. Overhead)</t>
        </is>
      </c>
      <c r="F266" s="17" t="n">
        <v>48565</v>
      </c>
    </row>
    <row r="268">
      <c r="A268" s="14" t="inlineStr">
        <is>
          <t>KODE: 1.1.3.9 - Gali dan cabut 1 tunggul pohon tanaman keras ∅ &gt; 15 cm  s.d. 30 cm (termasuk pembuangan sisa tunggul tanpa menutup kembali bekas lubang)</t>
        </is>
      </c>
    </row>
    <row r="269">
      <c r="A269" s="10" t="inlineStr">
        <is>
          <t>No</t>
        </is>
      </c>
      <c r="B269" s="10" t="inlineStr">
        <is>
          <t>Uraian Komponen</t>
        </is>
      </c>
      <c r="C269" s="10" t="inlineStr">
        <is>
          <t>Satuan</t>
        </is>
      </c>
      <c r="D269" s="10" t="inlineStr">
        <is>
          <t>Koef</t>
        </is>
      </c>
      <c r="E269" s="10" t="inlineStr">
        <is>
          <t>Harga Satuan (Rp)</t>
        </is>
      </c>
      <c r="F269" s="10" t="inlineStr">
        <is>
          <t>Jumlah Harga (Rp)</t>
        </is>
      </c>
    </row>
    <row r="270">
      <c r="A270" s="3" t="inlineStr">
        <is>
          <t>1</t>
        </is>
      </c>
      <c r="B270" s="3" t="inlineStr">
        <is>
          <t>Pekerja</t>
        </is>
      </c>
      <c r="C270" s="3" t="inlineStr">
        <is>
          <t>OH</t>
        </is>
      </c>
      <c r="D270" s="15" t="n">
        <v>0.1675</v>
      </c>
      <c r="E270" s="4" t="n">
        <v>100000</v>
      </c>
      <c r="F270" s="4" t="n">
        <v>16750</v>
      </c>
    </row>
    <row r="271">
      <c r="A271" s="3" t="inlineStr">
        <is>
          <t>2</t>
        </is>
      </c>
      <c r="B271" s="3" t="inlineStr">
        <is>
          <t>Mandor</t>
        </is>
      </c>
      <c r="C271" s="3" t="inlineStr">
        <is>
          <t>OH</t>
        </is>
      </c>
      <c r="D271" s="15" t="n">
        <v>0.0168</v>
      </c>
      <c r="E271" s="4" t="n">
        <v>200000</v>
      </c>
      <c r="F271" s="4" t="n">
        <v>3360</v>
      </c>
    </row>
    <row r="272">
      <c r="A272" s="3" t="inlineStr">
        <is>
          <t>1</t>
        </is>
      </c>
      <c r="B272" s="3" t="inlineStr">
        <is>
          <t>"Chainsaw 20”; 5 5HP"</t>
        </is>
      </c>
      <c r="C272" s="3" t="inlineStr">
        <is>
          <t>hari</t>
        </is>
      </c>
      <c r="D272" s="15" t="n">
        <v>0.14</v>
      </c>
      <c r="E272" s="4" t="n">
        <v>300000</v>
      </c>
      <c r="F272" s="4" t="n">
        <v>42000.00000000001</v>
      </c>
    </row>
    <row r="273">
      <c r="D273" s="2" t="inlineStr">
        <is>
          <t>SUBTOTAL UPAH</t>
        </is>
      </c>
      <c r="F273" s="16" t="n">
        <v>20110</v>
      </c>
    </row>
    <row r="274">
      <c r="D274" s="2" t="inlineStr">
        <is>
          <t>SUBTOTAL BAHAN</t>
        </is>
      </c>
      <c r="F274" s="16" t="n">
        <v>0</v>
      </c>
    </row>
    <row r="275">
      <c r="D275" s="2" t="inlineStr">
        <is>
          <t>SUBTOTAL ALAT</t>
        </is>
      </c>
      <c r="F275" s="16" t="n">
        <v>42000.00000000001</v>
      </c>
    </row>
    <row r="276">
      <c r="E276" s="2" t="inlineStr">
        <is>
          <t>TOTAL HARGA SATUAN (Inc. Overhead)</t>
        </is>
      </c>
      <c r="F276" s="17" t="n">
        <v>68321</v>
      </c>
    </row>
    <row r="278">
      <c r="A278" s="14" t="inlineStr">
        <is>
          <t>KODE: 1.1.3.10 - Gali dan cabut 1 tunggul pohon tanaman keras ∅ &gt; 30 cm  s.d. 50 cm (termasuk pembuangan sisa tunggul tanpa menutup kembali bekas lubang)</t>
        </is>
      </c>
    </row>
    <row r="279">
      <c r="A279" s="10" t="inlineStr">
        <is>
          <t>No</t>
        </is>
      </c>
      <c r="B279" s="10" t="inlineStr">
        <is>
          <t>Uraian Komponen</t>
        </is>
      </c>
      <c r="C279" s="10" t="inlineStr">
        <is>
          <t>Satuan</t>
        </is>
      </c>
      <c r="D279" s="10" t="inlineStr">
        <is>
          <t>Koef</t>
        </is>
      </c>
      <c r="E279" s="10" t="inlineStr">
        <is>
          <t>Harga Satuan (Rp)</t>
        </is>
      </c>
      <c r="F279" s="10" t="inlineStr">
        <is>
          <t>Jumlah Harga (Rp)</t>
        </is>
      </c>
    </row>
    <row r="280">
      <c r="A280" s="3" t="inlineStr">
        <is>
          <t>1</t>
        </is>
      </c>
      <c r="B280" s="3" t="inlineStr">
        <is>
          <t>Pekerja</t>
        </is>
      </c>
      <c r="C280" s="3" t="inlineStr">
        <is>
          <t>OH</t>
        </is>
      </c>
      <c r="D280" s="15" t="n">
        <v>0.1825</v>
      </c>
      <c r="E280" s="4" t="n">
        <v>100000</v>
      </c>
      <c r="F280" s="4" t="n">
        <v>18250</v>
      </c>
    </row>
    <row r="281">
      <c r="A281" s="3" t="inlineStr">
        <is>
          <t>2</t>
        </is>
      </c>
      <c r="B281" s="3" t="inlineStr">
        <is>
          <t>Mandor</t>
        </is>
      </c>
      <c r="C281" s="3" t="inlineStr">
        <is>
          <t>OH</t>
        </is>
      </c>
      <c r="D281" s="15" t="n">
        <v>0.0182</v>
      </c>
      <c r="E281" s="4" t="n">
        <v>200000</v>
      </c>
      <c r="F281" s="4" t="n">
        <v>3640</v>
      </c>
    </row>
    <row r="282">
      <c r="A282" s="3" t="inlineStr">
        <is>
          <t>1</t>
        </is>
      </c>
      <c r="B282" s="3" t="inlineStr">
        <is>
          <t>"Chainsaw 20”; 5 5HP"</t>
        </is>
      </c>
      <c r="C282" s="3" t="inlineStr">
        <is>
          <t>hari</t>
        </is>
      </c>
      <c r="D282" s="15" t="n">
        <v>0.22</v>
      </c>
      <c r="E282" s="4" t="n">
        <v>300000</v>
      </c>
      <c r="F282" s="4" t="n">
        <v>66000</v>
      </c>
    </row>
    <row r="283">
      <c r="D283" s="2" t="inlineStr">
        <is>
          <t>SUBTOTAL UPAH</t>
        </is>
      </c>
      <c r="F283" s="16" t="n">
        <v>21890</v>
      </c>
    </row>
    <row r="284">
      <c r="D284" s="2" t="inlineStr">
        <is>
          <t>SUBTOTAL BAHAN</t>
        </is>
      </c>
      <c r="F284" s="16" t="n">
        <v>0</v>
      </c>
    </row>
    <row r="285">
      <c r="D285" s="2" t="inlineStr">
        <is>
          <t>SUBTOTAL ALAT</t>
        </is>
      </c>
      <c r="F285" s="16" t="n">
        <v>66000</v>
      </c>
    </row>
    <row r="286">
      <c r="E286" s="2" t="inlineStr">
        <is>
          <t>TOTAL HARGA SATUAN (Inc. Overhead)</t>
        </is>
      </c>
      <c r="F286" s="17" t="n">
        <v>96679</v>
      </c>
    </row>
    <row r="288">
      <c r="A288" s="14" t="inlineStr">
        <is>
          <t>KODE: 1.1.3.12 - Gali dan cabut 1 tunggul pohon tanaman keras ∅ &gt; 75 cm (termasuk pembuangan sisa tunggul tanpa menutup kembali bekas lubang)</t>
        </is>
      </c>
    </row>
    <row r="289">
      <c r="A289" s="10" t="inlineStr">
        <is>
          <t>No</t>
        </is>
      </c>
      <c r="B289" s="10" t="inlineStr">
        <is>
          <t>Uraian Komponen</t>
        </is>
      </c>
      <c r="C289" s="10" t="inlineStr">
        <is>
          <t>Satuan</t>
        </is>
      </c>
      <c r="D289" s="10" t="inlineStr">
        <is>
          <t>Koef</t>
        </is>
      </c>
      <c r="E289" s="10" t="inlineStr">
        <is>
          <t>Harga Satuan (Rp)</t>
        </is>
      </c>
      <c r="F289" s="10" t="inlineStr">
        <is>
          <t>Jumlah Harga (Rp)</t>
        </is>
      </c>
    </row>
    <row r="290">
      <c r="A290" s="3" t="inlineStr">
        <is>
          <t>1</t>
        </is>
      </c>
      <c r="B290" s="3" t="inlineStr">
        <is>
          <t>Pekerja</t>
        </is>
      </c>
      <c r="C290" s="3" t="inlineStr">
        <is>
          <t>OH</t>
        </is>
      </c>
      <c r="D290" s="15" t="n">
        <v>0.3433</v>
      </c>
      <c r="E290" s="4" t="n">
        <v>100000</v>
      </c>
      <c r="F290" s="4" t="n">
        <v>34330</v>
      </c>
    </row>
    <row r="291">
      <c r="A291" s="3" t="inlineStr">
        <is>
          <t>2</t>
        </is>
      </c>
      <c r="B291" s="3" t="inlineStr">
        <is>
          <t>Mandor</t>
        </is>
      </c>
      <c r="C291" s="3" t="inlineStr">
        <is>
          <t>OH</t>
        </is>
      </c>
      <c r="D291" s="15" t="n">
        <v>0.0343</v>
      </c>
      <c r="E291" s="4" t="n">
        <v>200000</v>
      </c>
      <c r="F291" s="4" t="n">
        <v>6859.999999999999</v>
      </c>
    </row>
    <row r="292">
      <c r="A292" s="3" t="inlineStr">
        <is>
          <t>1</t>
        </is>
      </c>
      <c r="B292" s="3" t="inlineStr">
        <is>
          <t>"Chainsaw 20”; 5 5HP"</t>
        </is>
      </c>
      <c r="C292" s="3" t="inlineStr">
        <is>
          <t>hari</t>
        </is>
      </c>
      <c r="D292" s="15" t="n">
        <v>0.524</v>
      </c>
      <c r="E292" s="4" t="n">
        <v>300000</v>
      </c>
      <c r="F292" s="4" t="n">
        <v>157200</v>
      </c>
    </row>
    <row r="293">
      <c r="D293" s="2" t="inlineStr">
        <is>
          <t>SUBTOTAL UPAH</t>
        </is>
      </c>
      <c r="F293" s="16" t="n">
        <v>41190</v>
      </c>
    </row>
    <row r="294">
      <c r="D294" s="2" t="inlineStr">
        <is>
          <t>SUBTOTAL BAHAN</t>
        </is>
      </c>
      <c r="F294" s="16" t="n">
        <v>0</v>
      </c>
    </row>
    <row r="295">
      <c r="D295" s="2" t="inlineStr">
        <is>
          <t>SUBTOTAL ALAT</t>
        </is>
      </c>
      <c r="F295" s="16" t="n">
        <v>157200</v>
      </c>
    </row>
    <row r="296">
      <c r="E296" s="2" t="inlineStr">
        <is>
          <t>TOTAL HARGA SATUAN (Inc. Overhead)</t>
        </is>
      </c>
      <c r="F296" s="17" t="n">
        <v>218229</v>
      </c>
    </row>
    <row r="298">
      <c r="A298" s="14" t="inlineStr">
        <is>
          <t>KODE: 1.1.3.13 - Gali dan cabut 1 tunggul pohon tanaman keras ∅ &gt; 5 s.d. 15 cm (termasuk pembuangan sisa tunggul dengan menutup kembali bekas lubang)</t>
        </is>
      </c>
    </row>
    <row r="299">
      <c r="A299" s="10" t="inlineStr">
        <is>
          <t>No</t>
        </is>
      </c>
      <c r="B299" s="10" t="inlineStr">
        <is>
          <t>Uraian Komponen</t>
        </is>
      </c>
      <c r="C299" s="10" t="inlineStr">
        <is>
          <t>Satuan</t>
        </is>
      </c>
      <c r="D299" s="10" t="inlineStr">
        <is>
          <t>Koef</t>
        </is>
      </c>
      <c r="E299" s="10" t="inlineStr">
        <is>
          <t>Harga Satuan (Rp)</t>
        </is>
      </c>
      <c r="F299" s="10" t="inlineStr">
        <is>
          <t>Jumlah Harga (Rp)</t>
        </is>
      </c>
    </row>
    <row r="300">
      <c r="A300" s="3" t="inlineStr">
        <is>
          <t>1</t>
        </is>
      </c>
      <c r="B300" s="3" t="inlineStr">
        <is>
          <t>Pekerja</t>
        </is>
      </c>
      <c r="C300" s="3" t="inlineStr">
        <is>
          <t>OH</t>
        </is>
      </c>
      <c r="D300" s="15" t="n">
        <v>0.1507</v>
      </c>
      <c r="E300" s="4" t="n">
        <v>100000</v>
      </c>
      <c r="F300" s="4" t="n">
        <v>15070</v>
      </c>
    </row>
    <row r="301">
      <c r="A301" s="3" t="inlineStr">
        <is>
          <t>2</t>
        </is>
      </c>
      <c r="B301" s="3" t="inlineStr">
        <is>
          <t>Mandor</t>
        </is>
      </c>
      <c r="C301" s="3" t="inlineStr">
        <is>
          <t>OH</t>
        </is>
      </c>
      <c r="D301" s="15" t="n">
        <v>0.0151</v>
      </c>
      <c r="E301" s="4" t="n">
        <v>200000</v>
      </c>
      <c r="F301" s="4" t="n">
        <v>3020</v>
      </c>
    </row>
    <row r="302">
      <c r="A302" s="3" t="inlineStr">
        <is>
          <t>1</t>
        </is>
      </c>
      <c r="B302" s="3" t="inlineStr">
        <is>
          <t>"Chainsaw 20”; 5 5HP"</t>
        </is>
      </c>
      <c r="C302" s="3" t="inlineStr">
        <is>
          <t>hari</t>
        </is>
      </c>
      <c r="D302" s="15" t="n">
        <v>0.09</v>
      </c>
      <c r="E302" s="4" t="n">
        <v>300000</v>
      </c>
      <c r="F302" s="4" t="n">
        <v>27000</v>
      </c>
    </row>
    <row r="303">
      <c r="D303" s="2" t="inlineStr">
        <is>
          <t>SUBTOTAL UPAH</t>
        </is>
      </c>
      <c r="F303" s="16" t="n">
        <v>18090</v>
      </c>
    </row>
    <row r="304">
      <c r="D304" s="2" t="inlineStr">
        <is>
          <t>SUBTOTAL BAHAN</t>
        </is>
      </c>
      <c r="F304" s="16" t="n">
        <v>0</v>
      </c>
    </row>
    <row r="305">
      <c r="D305" s="2" t="inlineStr">
        <is>
          <t>SUBTOTAL ALAT</t>
        </is>
      </c>
      <c r="F305" s="16" t="n">
        <v>27000</v>
      </c>
    </row>
    <row r="306">
      <c r="E306" s="2" t="inlineStr">
        <is>
          <t>TOTAL HARGA SATUAN (Inc. Overhead)</t>
        </is>
      </c>
      <c r="F306" s="17" t="n">
        <v>49599</v>
      </c>
    </row>
    <row r="308">
      <c r="A308" s="14" t="inlineStr">
        <is>
          <t>KODE: 1.1.3.14 - Gali dan cabut 1 tunggul pohon tanaman keras ∅ &gt; 15 cm s.d. 30 cm (termasuk pembuangan sisa tunggul dengan menutup kembali bekas lubang)</t>
        </is>
      </c>
    </row>
    <row r="309">
      <c r="A309" s="10" t="inlineStr">
        <is>
          <t>No</t>
        </is>
      </c>
      <c r="B309" s="10" t="inlineStr">
        <is>
          <t>Uraian Komponen</t>
        </is>
      </c>
      <c r="C309" s="10" t="inlineStr">
        <is>
          <t>Satuan</t>
        </is>
      </c>
      <c r="D309" s="10" t="inlineStr">
        <is>
          <t>Koef</t>
        </is>
      </c>
      <c r="E309" s="10" t="inlineStr">
        <is>
          <t>Harga Satuan (Rp)</t>
        </is>
      </c>
      <c r="F309" s="10" t="inlineStr">
        <is>
          <t>Jumlah Harga (Rp)</t>
        </is>
      </c>
    </row>
    <row r="310">
      <c r="A310" s="3" t="inlineStr">
        <is>
          <t>1</t>
        </is>
      </c>
      <c r="B310" s="3" t="inlineStr">
        <is>
          <t>Pekerja</t>
        </is>
      </c>
      <c r="C310" s="3" t="inlineStr">
        <is>
          <t>OH</t>
        </is>
      </c>
      <c r="D310" s="15" t="n">
        <v>0.2495</v>
      </c>
      <c r="E310" s="4" t="n">
        <v>100000</v>
      </c>
      <c r="F310" s="4" t="n">
        <v>24950</v>
      </c>
    </row>
    <row r="311">
      <c r="A311" s="3" t="inlineStr">
        <is>
          <t>2</t>
        </is>
      </c>
      <c r="B311" s="3" t="inlineStr">
        <is>
          <t>Mandor</t>
        </is>
      </c>
      <c r="C311" s="3" t="inlineStr">
        <is>
          <t>OH</t>
        </is>
      </c>
      <c r="D311" s="15" t="n">
        <v>0.025</v>
      </c>
      <c r="E311" s="4" t="n">
        <v>200000</v>
      </c>
      <c r="F311" s="4" t="n">
        <v>5000</v>
      </c>
    </row>
    <row r="312">
      <c r="A312" s="3" t="inlineStr">
        <is>
          <t>1</t>
        </is>
      </c>
      <c r="B312" s="3" t="inlineStr">
        <is>
          <t>"Chainsaw 20”; 5 5HP"</t>
        </is>
      </c>
      <c r="C312" s="3" t="inlineStr">
        <is>
          <t>hari</t>
        </is>
      </c>
      <c r="D312" s="15" t="n">
        <v>0.14</v>
      </c>
      <c r="E312" s="4" t="n">
        <v>300000</v>
      </c>
      <c r="F312" s="4" t="n">
        <v>42000.00000000001</v>
      </c>
    </row>
    <row r="313">
      <c r="D313" s="2" t="inlineStr">
        <is>
          <t>SUBTOTAL UPAH</t>
        </is>
      </c>
      <c r="F313" s="16" t="n">
        <v>29950</v>
      </c>
    </row>
    <row r="314">
      <c r="D314" s="2" t="inlineStr">
        <is>
          <t>SUBTOTAL BAHAN</t>
        </is>
      </c>
      <c r="F314" s="16" t="n">
        <v>0</v>
      </c>
    </row>
    <row r="315">
      <c r="D315" s="2" t="inlineStr">
        <is>
          <t>SUBTOTAL ALAT</t>
        </is>
      </c>
      <c r="F315" s="16" t="n">
        <v>42000.00000000001</v>
      </c>
    </row>
    <row r="316">
      <c r="E316" s="2" t="inlineStr">
        <is>
          <t>TOTAL HARGA SATUAN (Inc. Overhead)</t>
        </is>
      </c>
      <c r="F316" s="17" t="n">
        <v>79145</v>
      </c>
    </row>
    <row r="318">
      <c r="A318" s="14" t="inlineStr">
        <is>
          <t>KODE: 1.1.3.15 - Gali dan cabut 1 tunggul pohon tanaman keras ∅ &gt; 15 cm s.d. 50 cm (termasuk pembuangan sisa tunggul dengan menutup kembali bekas lubang)</t>
        </is>
      </c>
    </row>
    <row r="319">
      <c r="A319" s="10" t="inlineStr">
        <is>
          <t>No</t>
        </is>
      </c>
      <c r="B319" s="10" t="inlineStr">
        <is>
          <t>Uraian Komponen</t>
        </is>
      </c>
      <c r="C319" s="10" t="inlineStr">
        <is>
          <t>Satuan</t>
        </is>
      </c>
      <c r="D319" s="10" t="inlineStr">
        <is>
          <t>Koef</t>
        </is>
      </c>
      <c r="E319" s="10" t="inlineStr">
        <is>
          <t>Harga Satuan (Rp)</t>
        </is>
      </c>
      <c r="F319" s="10" t="inlineStr">
        <is>
          <t>Jumlah Harga (Rp)</t>
        </is>
      </c>
    </row>
    <row r="320">
      <c r="A320" s="3" t="inlineStr">
        <is>
          <t>1</t>
        </is>
      </c>
      <c r="B320" s="3" t="inlineStr">
        <is>
          <t>Pekerja</t>
        </is>
      </c>
      <c r="C320" s="3" t="inlineStr">
        <is>
          <t>OH</t>
        </is>
      </c>
      <c r="D320" s="15" t="n">
        <v>0.3083</v>
      </c>
      <c r="E320" s="4" t="n">
        <v>100000</v>
      </c>
      <c r="F320" s="4" t="n">
        <v>30830</v>
      </c>
    </row>
    <row r="321">
      <c r="A321" s="3" t="inlineStr">
        <is>
          <t>2</t>
        </is>
      </c>
      <c r="B321" s="3" t="inlineStr">
        <is>
          <t>Mandor</t>
        </is>
      </c>
      <c r="C321" s="3" t="inlineStr">
        <is>
          <t>OH</t>
        </is>
      </c>
      <c r="D321" s="15" t="n">
        <v>0.0308</v>
      </c>
      <c r="E321" s="4" t="n">
        <v>200000</v>
      </c>
      <c r="F321" s="4" t="n">
        <v>6160</v>
      </c>
    </row>
    <row r="322">
      <c r="A322" s="3" t="inlineStr">
        <is>
          <t>1</t>
        </is>
      </c>
      <c r="B322" s="3" t="inlineStr">
        <is>
          <t>"Chainsaw 20”; 5 5HP"</t>
        </is>
      </c>
      <c r="C322" s="3" t="inlineStr">
        <is>
          <t>hari</t>
        </is>
      </c>
      <c r="D322" s="15" t="n">
        <v>0.22</v>
      </c>
      <c r="E322" s="4" t="n">
        <v>300000</v>
      </c>
      <c r="F322" s="4" t="n">
        <v>66000</v>
      </c>
    </row>
    <row r="323">
      <c r="D323" s="2" t="inlineStr">
        <is>
          <t>SUBTOTAL UPAH</t>
        </is>
      </c>
      <c r="F323" s="16" t="n">
        <v>36990</v>
      </c>
    </row>
    <row r="324">
      <c r="D324" s="2" t="inlineStr">
        <is>
          <t>SUBTOTAL BAHAN</t>
        </is>
      </c>
      <c r="F324" s="16" t="n">
        <v>0</v>
      </c>
    </row>
    <row r="325">
      <c r="D325" s="2" t="inlineStr">
        <is>
          <t>SUBTOTAL ALAT</t>
        </is>
      </c>
      <c r="F325" s="16" t="n">
        <v>66000</v>
      </c>
    </row>
    <row r="326">
      <c r="E326" s="2" t="inlineStr">
        <is>
          <t>TOTAL HARGA SATUAN (Inc. Overhead)</t>
        </is>
      </c>
      <c r="F326" s="17" t="n">
        <v>113289</v>
      </c>
    </row>
    <row r="328">
      <c r="A328" s="14" t="inlineStr">
        <is>
          <t>KODE: 1.1.3.16 - Gali dan cabut 1 tunggul pohon tanaman keras ∅ &gt; 15 cm s.d. 75 cm (termasuk pembuangan sisa tunggul dengan menutup kembali bekas lubang)</t>
        </is>
      </c>
    </row>
    <row r="329">
      <c r="A329" s="10" t="inlineStr">
        <is>
          <t>No</t>
        </is>
      </c>
      <c r="B329" s="10" t="inlineStr">
        <is>
          <t>Uraian Komponen</t>
        </is>
      </c>
      <c r="C329" s="10" t="inlineStr">
        <is>
          <t>Satuan</t>
        </is>
      </c>
      <c r="D329" s="10" t="inlineStr">
        <is>
          <t>Koef</t>
        </is>
      </c>
      <c r="E329" s="10" t="inlineStr">
        <is>
          <t>Harga Satuan (Rp)</t>
        </is>
      </c>
      <c r="F329" s="10" t="inlineStr">
        <is>
          <t>Jumlah Harga (Rp)</t>
        </is>
      </c>
    </row>
    <row r="330">
      <c r="A330" s="3" t="inlineStr">
        <is>
          <t>1</t>
        </is>
      </c>
      <c r="B330" s="3" t="inlineStr">
        <is>
          <t>Pekerja</t>
        </is>
      </c>
      <c r="C330" s="3" t="inlineStr">
        <is>
          <t>OH</t>
        </is>
      </c>
      <c r="D330" s="15" t="n">
        <v>0.4713</v>
      </c>
      <c r="E330" s="4" t="n">
        <v>100000</v>
      </c>
      <c r="F330" s="4" t="n">
        <v>47130</v>
      </c>
    </row>
    <row r="331">
      <c r="A331" s="3" t="inlineStr">
        <is>
          <t>2</t>
        </is>
      </c>
      <c r="B331" s="3" t="inlineStr">
        <is>
          <t>Mandor</t>
        </is>
      </c>
      <c r="C331" s="3" t="inlineStr">
        <is>
          <t>OH</t>
        </is>
      </c>
      <c r="D331" s="15" t="n">
        <v>0.0471</v>
      </c>
      <c r="E331" s="4" t="n">
        <v>200000</v>
      </c>
      <c r="F331" s="4" t="n">
        <v>9420</v>
      </c>
    </row>
    <row r="332">
      <c r="A332" s="3" t="inlineStr">
        <is>
          <t>1</t>
        </is>
      </c>
      <c r="B332" s="3" t="inlineStr">
        <is>
          <t>"Chainsaw 20”; 5 5HP"</t>
        </is>
      </c>
      <c r="C332" s="3" t="inlineStr">
        <is>
          <t>hari</t>
        </is>
      </c>
      <c r="D332" s="15" t="n">
        <v>0.35</v>
      </c>
      <c r="E332" s="4" t="n">
        <v>300000</v>
      </c>
      <c r="F332" s="4" t="n">
        <v>105000</v>
      </c>
    </row>
    <row r="333">
      <c r="D333" s="2" t="inlineStr">
        <is>
          <t>SUBTOTAL UPAH</t>
        </is>
      </c>
      <c r="F333" s="16" t="n">
        <v>56550</v>
      </c>
    </row>
    <row r="334">
      <c r="D334" s="2" t="inlineStr">
        <is>
          <t>SUBTOTAL BAHAN</t>
        </is>
      </c>
      <c r="F334" s="16" t="n">
        <v>0</v>
      </c>
    </row>
    <row r="335">
      <c r="D335" s="2" t="inlineStr">
        <is>
          <t>SUBTOTAL ALAT</t>
        </is>
      </c>
      <c r="F335" s="16" t="n">
        <v>105000</v>
      </c>
    </row>
    <row r="336">
      <c r="E336" s="2" t="inlineStr">
        <is>
          <t>TOTAL HARGA SATUAN (Inc. Overhead)</t>
        </is>
      </c>
      <c r="F336" s="17" t="n">
        <v>177705</v>
      </c>
    </row>
    <row r="338">
      <c r="A338" s="14" t="inlineStr">
        <is>
          <t>KODE: 1.1.3.17 - Gali dan cabut 1 tunggul pohon tanaman keras ∅ &gt;  75 cm (termasuk pembuangan sisa tunggul dengan menutup kembali bekas lubang)</t>
        </is>
      </c>
    </row>
    <row r="339">
      <c r="A339" s="10" t="inlineStr">
        <is>
          <t>No</t>
        </is>
      </c>
      <c r="B339" s="10" t="inlineStr">
        <is>
          <t>Uraian Komponen</t>
        </is>
      </c>
      <c r="C339" s="10" t="inlineStr">
        <is>
          <t>Satuan</t>
        </is>
      </c>
      <c r="D339" s="10" t="inlineStr">
        <is>
          <t>Koef</t>
        </is>
      </c>
      <c r="E339" s="10" t="inlineStr">
        <is>
          <t>Harga Satuan (Rp)</t>
        </is>
      </c>
      <c r="F339" s="10" t="inlineStr">
        <is>
          <t>Jumlah Harga (Rp)</t>
        </is>
      </c>
    </row>
    <row r="340">
      <c r="A340" s="3" t="inlineStr">
        <is>
          <t>1</t>
        </is>
      </c>
      <c r="B340" s="3" t="inlineStr">
        <is>
          <t>Pekerja</t>
        </is>
      </c>
      <c r="C340" s="3" t="inlineStr">
        <is>
          <t>OH</t>
        </is>
      </c>
      <c r="D340" s="15" t="n">
        <v>0.75</v>
      </c>
      <c r="E340" s="4" t="n">
        <v>100000</v>
      </c>
      <c r="F340" s="4" t="n">
        <v>75000</v>
      </c>
    </row>
    <row r="341">
      <c r="A341" s="3" t="inlineStr">
        <is>
          <t>2</t>
        </is>
      </c>
      <c r="B341" s="3" t="inlineStr">
        <is>
          <t>Mandor</t>
        </is>
      </c>
      <c r="C341" s="3" t="inlineStr">
        <is>
          <t>OH</t>
        </is>
      </c>
      <c r="D341" s="15" t="n">
        <v>0.075</v>
      </c>
      <c r="E341" s="4" t="n">
        <v>200000</v>
      </c>
      <c r="F341" s="4" t="n">
        <v>15000</v>
      </c>
    </row>
    <row r="342">
      <c r="A342" s="3" t="inlineStr">
        <is>
          <t>1</t>
        </is>
      </c>
      <c r="B342" s="3" t="inlineStr">
        <is>
          <t>"Chainsaw 20”; 5 5HP"</t>
        </is>
      </c>
      <c r="C342" s="3" t="inlineStr">
        <is>
          <t>hari</t>
        </is>
      </c>
      <c r="D342" s="15" t="n">
        <v>0.524</v>
      </c>
      <c r="E342" s="4" t="n">
        <v>300000</v>
      </c>
      <c r="F342" s="4" t="n">
        <v>157200</v>
      </c>
    </row>
    <row r="343">
      <c r="D343" s="2" t="inlineStr">
        <is>
          <t>SUBTOTAL UPAH</t>
        </is>
      </c>
      <c r="F343" s="16" t="n">
        <v>90000</v>
      </c>
    </row>
    <row r="344">
      <c r="D344" s="2" t="inlineStr">
        <is>
          <t>SUBTOTAL BAHAN</t>
        </is>
      </c>
      <c r="F344" s="16" t="n">
        <v>0</v>
      </c>
    </row>
    <row r="345">
      <c r="D345" s="2" t="inlineStr">
        <is>
          <t>SUBTOTAL ALAT</t>
        </is>
      </c>
      <c r="F345" s="16" t="n">
        <v>157200</v>
      </c>
    </row>
    <row r="346">
      <c r="E346" s="2" t="inlineStr">
        <is>
          <t>TOTAL HARGA SATUAN (Inc. Overhead)</t>
        </is>
      </c>
      <c r="F346" s="17" t="n">
        <v>271920</v>
      </c>
    </row>
    <row r="348">
      <c r="A348" s="14" t="inlineStr">
        <is>
          <t>KODE: 1.1.4.1 - Pengukuran ulang topografi seluas 1 Ha</t>
        </is>
      </c>
    </row>
    <row r="349">
      <c r="A349" s="10" t="inlineStr">
        <is>
          <t>No</t>
        </is>
      </c>
      <c r="B349" s="10" t="inlineStr">
        <is>
          <t>Uraian Komponen</t>
        </is>
      </c>
      <c r="C349" s="10" t="inlineStr">
        <is>
          <t>Satuan</t>
        </is>
      </c>
      <c r="D349" s="10" t="inlineStr">
        <is>
          <t>Koef</t>
        </is>
      </c>
      <c r="E349" s="10" t="inlineStr">
        <is>
          <t>Harga Satuan (Rp)</t>
        </is>
      </c>
      <c r="F349" s="10" t="inlineStr">
        <is>
          <t>Jumlah Harga (Rp)</t>
        </is>
      </c>
    </row>
    <row r="350">
      <c r="A350" s="3" t="inlineStr">
        <is>
          <t>1</t>
        </is>
      </c>
      <c r="B350" s="3" t="inlineStr">
        <is>
          <t>Pekerja</t>
        </is>
      </c>
      <c r="C350" s="3" t="inlineStr">
        <is>
          <t>OH</t>
        </is>
      </c>
      <c r="D350" s="15" t="n">
        <v>0.125</v>
      </c>
      <c r="E350" s="4" t="n">
        <v>100000</v>
      </c>
      <c r="F350" s="4" t="n">
        <v>12500</v>
      </c>
    </row>
    <row r="351">
      <c r="A351" s="3" t="inlineStr">
        <is>
          <t>2</t>
        </is>
      </c>
      <c r="B351" s="3" t="inlineStr">
        <is>
          <t>Juru ukur</t>
        </is>
      </c>
      <c r="C351" s="3" t="inlineStr">
        <is>
          <t>OH</t>
        </is>
      </c>
      <c r="D351" s="15" t="n">
        <v>0.25</v>
      </c>
      <c r="E351" s="4" t="n">
        <v>175000</v>
      </c>
      <c r="F351" s="4" t="n">
        <v>43750</v>
      </c>
    </row>
    <row r="352">
      <c r="A352" s="3" t="inlineStr">
        <is>
          <t>3</t>
        </is>
      </c>
      <c r="B352" s="3" t="inlineStr">
        <is>
          <t>Pembantu juru ukur</t>
        </is>
      </c>
      <c r="C352" s="3" t="inlineStr">
        <is>
          <t>OH</t>
        </is>
      </c>
      <c r="D352" s="15" t="n">
        <v>0.25</v>
      </c>
      <c r="E352" s="4" t="n">
        <v>150000</v>
      </c>
      <c r="F352" s="4" t="n">
        <v>37500</v>
      </c>
    </row>
    <row r="353">
      <c r="A353" s="3" t="inlineStr">
        <is>
          <t>4</t>
        </is>
      </c>
      <c r="B353" s="3" t="inlineStr">
        <is>
          <t>Juru gambar</t>
        </is>
      </c>
      <c r="C353" s="3" t="inlineStr">
        <is>
          <t>OH</t>
        </is>
      </c>
      <c r="D353" s="15" t="n">
        <v>2</v>
      </c>
      <c r="E353" s="4" t="n">
        <v>150000</v>
      </c>
      <c r="F353" s="4" t="n">
        <v>300000</v>
      </c>
    </row>
    <row r="354">
      <c r="A354" s="3" t="inlineStr">
        <is>
          <t>5</t>
        </is>
      </c>
      <c r="B354" s="3" t="inlineStr">
        <is>
          <t>Ahli topografi</t>
        </is>
      </c>
      <c r="C354" s="3" t="inlineStr">
        <is>
          <t>OH</t>
        </is>
      </c>
      <c r="D354" s="15" t="n">
        <v>2</v>
      </c>
      <c r="E354" s="4" t="n">
        <v>400000</v>
      </c>
      <c r="F354" s="4" t="n">
        <v>800000</v>
      </c>
    </row>
    <row r="355">
      <c r="A355" s="3" t="inlineStr">
        <is>
          <t>1</t>
        </is>
      </c>
      <c r="B355" s="3" t="inlineStr">
        <is>
          <t>Kaso 5/7 kayu kelas II</t>
        </is>
      </c>
      <c r="C355" s="3" t="inlineStr">
        <is>
          <t>m3</t>
        </is>
      </c>
      <c r="D355" s="15" t="n">
        <v>0.151</v>
      </c>
      <c r="E355" s="4" t="n">
        <v>10214200</v>
      </c>
      <c r="F355" s="4" t="n">
        <v>1542344.2</v>
      </c>
    </row>
    <row r="356">
      <c r="A356" s="3" t="inlineStr">
        <is>
          <t>2</t>
        </is>
      </c>
      <c r="B356" s="3" t="inlineStr">
        <is>
          <t>Paku payung</t>
        </is>
      </c>
      <c r="C356" s="3" t="inlineStr">
        <is>
          <t>kg</t>
        </is>
      </c>
      <c r="D356" s="15" t="n">
        <v>0.508</v>
      </c>
      <c r="E356" s="4" t="n">
        <v>35590</v>
      </c>
      <c r="F356" s="4" t="n">
        <v>18079.72</v>
      </c>
    </row>
    <row r="357">
      <c r="A357" s="3" t="inlineStr">
        <is>
          <t>1</t>
        </is>
      </c>
      <c r="B357" s="3" t="inlineStr">
        <is>
          <t>Waterpass</t>
        </is>
      </c>
      <c r="C357" s="3" t="inlineStr">
        <is>
          <t>hari</t>
        </is>
      </c>
      <c r="D357" s="15" t="n">
        <v>1</v>
      </c>
      <c r="E357" s="4" t="n">
        <v>75000</v>
      </c>
      <c r="F357" s="4" t="n">
        <v>75000</v>
      </c>
    </row>
    <row r="358">
      <c r="A358" s="3" t="inlineStr">
        <is>
          <t>2</t>
        </is>
      </c>
      <c r="B358" s="3" t="inlineStr">
        <is>
          <t>Theodolit</t>
        </is>
      </c>
      <c r="C358" s="3" t="inlineStr">
        <is>
          <t>hari</t>
        </is>
      </c>
      <c r="D358" s="15" t="n">
        <v>1</v>
      </c>
      <c r="E358" s="4" t="n">
        <v>150000</v>
      </c>
      <c r="F358" s="4" t="n">
        <v>150000</v>
      </c>
    </row>
    <row r="359">
      <c r="D359" s="2" t="inlineStr">
        <is>
          <t>SUBTOTAL UPAH</t>
        </is>
      </c>
      <c r="F359" s="16" t="n">
        <v>1193750</v>
      </c>
    </row>
    <row r="360">
      <c r="D360" s="2" t="inlineStr">
        <is>
          <t>SUBTOTAL BAHAN</t>
        </is>
      </c>
      <c r="F360" s="16" t="n">
        <v>1560423.92</v>
      </c>
    </row>
    <row r="361">
      <c r="D361" s="2" t="inlineStr">
        <is>
          <t>SUBTOTAL ALAT</t>
        </is>
      </c>
      <c r="F361" s="16" t="n">
        <v>225000</v>
      </c>
    </row>
    <row r="362">
      <c r="E362" s="2" t="inlineStr">
        <is>
          <t>TOTAL HARGA SATUAN (Inc. Overhead)</t>
        </is>
      </c>
      <c r="F362" s="17" t="n">
        <v>3277091</v>
      </c>
    </row>
    <row r="364">
      <c r="A364" s="14" t="inlineStr">
        <is>
          <t>KODE: 1.1.4.2 - Pasangan 1 m' bouwplank</t>
        </is>
      </c>
    </row>
    <row r="365">
      <c r="A365" s="10" t="inlineStr">
        <is>
          <t>No</t>
        </is>
      </c>
      <c r="B365" s="10" t="inlineStr">
        <is>
          <t>Uraian Komponen</t>
        </is>
      </c>
      <c r="C365" s="10" t="inlineStr">
        <is>
          <t>Satuan</t>
        </is>
      </c>
      <c r="D365" s="10" t="inlineStr">
        <is>
          <t>Koef</t>
        </is>
      </c>
      <c r="E365" s="10" t="inlineStr">
        <is>
          <t>Harga Satuan (Rp)</t>
        </is>
      </c>
      <c r="F365" s="10" t="inlineStr">
        <is>
          <t>Jumlah Harga (Rp)</t>
        </is>
      </c>
    </row>
    <row r="366">
      <c r="A366" s="3" t="inlineStr">
        <is>
          <t>1</t>
        </is>
      </c>
      <c r="B366" s="3" t="inlineStr">
        <is>
          <t>Pekerja</t>
        </is>
      </c>
      <c r="C366" s="3" t="inlineStr">
        <is>
          <t>OH</t>
        </is>
      </c>
      <c r="D366" s="15" t="n">
        <v>0.012</v>
      </c>
      <c r="E366" s="4" t="n">
        <v>100000</v>
      </c>
      <c r="F366" s="4" t="n">
        <v>1200</v>
      </c>
    </row>
    <row r="367">
      <c r="A367" s="3" t="inlineStr">
        <is>
          <t>2</t>
        </is>
      </c>
      <c r="B367" s="3" t="inlineStr">
        <is>
          <t>Tukang kayu</t>
        </is>
      </c>
      <c r="C367" s="3" t="inlineStr">
        <is>
          <t>OH</t>
        </is>
      </c>
      <c r="D367" s="15" t="n">
        <v>0.006</v>
      </c>
      <c r="E367" s="4" t="n">
        <v>145000</v>
      </c>
      <c r="F367" s="4" t="n">
        <v>870</v>
      </c>
    </row>
    <row r="368">
      <c r="A368" s="3" t="inlineStr">
        <is>
          <t>3</t>
        </is>
      </c>
      <c r="B368" s="3" t="inlineStr">
        <is>
          <t>Kepala tukang</t>
        </is>
      </c>
      <c r="C368" s="3" t="inlineStr">
        <is>
          <t>OH</t>
        </is>
      </c>
      <c r="D368" s="15" t="n">
        <v>0.0005999999999999999</v>
      </c>
      <c r="E368" s="4" t="n">
        <v>175000</v>
      </c>
      <c r="F368" s="4" t="n">
        <v>105</v>
      </c>
    </row>
    <row r="369">
      <c r="A369" s="3" t="inlineStr">
        <is>
          <t>4</t>
        </is>
      </c>
      <c r="B369" s="3" t="inlineStr">
        <is>
          <t>Mandor</t>
        </is>
      </c>
      <c r="C369" s="3" t="inlineStr">
        <is>
          <t>OH</t>
        </is>
      </c>
      <c r="D369" s="15" t="n">
        <v>0.0012</v>
      </c>
      <c r="E369" s="4" t="n">
        <v>200000</v>
      </c>
      <c r="F369" s="4" t="n">
        <v>240</v>
      </c>
    </row>
    <row r="370">
      <c r="A370" s="3" t="inlineStr">
        <is>
          <t>1</t>
        </is>
      </c>
      <c r="B370" s="3" t="inlineStr">
        <is>
          <t>Kaso 5/7</t>
        </is>
      </c>
      <c r="C370" s="3" t="inlineStr">
        <is>
          <t>m3</t>
        </is>
      </c>
      <c r="D370" s="15" t="n">
        <v>0.013</v>
      </c>
      <c r="E370" s="4" t="n">
        <v>10214200</v>
      </c>
      <c r="F370" s="4" t="n">
        <v>132784.6</v>
      </c>
    </row>
    <row r="371">
      <c r="A371" s="3" t="inlineStr">
        <is>
          <t>2</t>
        </is>
      </c>
      <c r="B371" s="3" t="inlineStr">
        <is>
          <t>Kayu papan 3/20 cm</t>
        </is>
      </c>
      <c r="C371" s="3" t="inlineStr">
        <is>
          <t>m3</t>
        </is>
      </c>
      <c r="D371" s="15" t="n">
        <v>0.007</v>
      </c>
      <c r="E371" s="4" t="n">
        <v>2825000</v>
      </c>
      <c r="F371" s="4" t="n">
        <v>19775</v>
      </c>
    </row>
    <row r="372">
      <c r="A372" s="3" t="inlineStr">
        <is>
          <t>3</t>
        </is>
      </c>
      <c r="B372" s="3" t="inlineStr">
        <is>
          <t>Paku 2 inch</t>
        </is>
      </c>
      <c r="C372" s="3" t="inlineStr">
        <is>
          <t>kg</t>
        </is>
      </c>
      <c r="D372" s="15" t="n">
        <v>0.02</v>
      </c>
      <c r="E372" s="4" t="n">
        <v>18000</v>
      </c>
      <c r="F372" s="4" t="n">
        <v>360</v>
      </c>
    </row>
    <row r="373">
      <c r="A373" s="3" t="inlineStr">
        <is>
          <t>1</t>
        </is>
      </c>
      <c r="B373" s="3" t="inlineStr">
        <is>
          <t>Waterpass</t>
        </is>
      </c>
      <c r="C373" s="3" t="inlineStr">
        <is>
          <t>hari</t>
        </is>
      </c>
      <c r="D373" s="15" t="n">
        <v>0.006</v>
      </c>
      <c r="E373" s="4" t="n">
        <v>100000</v>
      </c>
      <c r="F373" s="4" t="n">
        <v>600</v>
      </c>
    </row>
    <row r="374">
      <c r="D374" s="2" t="inlineStr">
        <is>
          <t>SUBTOTAL UPAH</t>
        </is>
      </c>
      <c r="F374" s="16" t="n">
        <v>2415</v>
      </c>
    </row>
    <row r="375">
      <c r="D375" s="2" t="inlineStr">
        <is>
          <t>SUBTOTAL BAHAN</t>
        </is>
      </c>
      <c r="F375" s="16" t="n">
        <v>152919.6</v>
      </c>
    </row>
    <row r="376">
      <c r="D376" s="2" t="inlineStr">
        <is>
          <t>SUBTOTAL ALAT</t>
        </is>
      </c>
      <c r="F376" s="16" t="n">
        <v>600</v>
      </c>
    </row>
    <row r="377">
      <c r="E377" s="2" t="inlineStr">
        <is>
          <t>TOTAL HARGA SATUAN (Inc. Overhead)</t>
        </is>
      </c>
      <c r="F377" s="17" t="n">
        <v>171528</v>
      </c>
    </row>
    <row r="379">
      <c r="A379" s="14" t="inlineStr">
        <is>
          <t>KODE: 1.1.4.3 - Patok Kayu (kaso5/7) Panjang 0,5 m'</t>
        </is>
      </c>
    </row>
    <row r="380">
      <c r="A380" s="10" t="inlineStr">
        <is>
          <t>No</t>
        </is>
      </c>
      <c r="B380" s="10" t="inlineStr">
        <is>
          <t>Uraian Komponen</t>
        </is>
      </c>
      <c r="C380" s="10" t="inlineStr">
        <is>
          <t>Satuan</t>
        </is>
      </c>
      <c r="D380" s="10" t="inlineStr">
        <is>
          <t>Koef</t>
        </is>
      </c>
      <c r="E380" s="10" t="inlineStr">
        <is>
          <t>Harga Satuan (Rp)</t>
        </is>
      </c>
      <c r="F380" s="10" t="inlineStr">
        <is>
          <t>Jumlah Harga (Rp)</t>
        </is>
      </c>
    </row>
    <row r="381">
      <c r="A381" s="3" t="inlineStr">
        <is>
          <t>1</t>
        </is>
      </c>
      <c r="B381" s="3" t="inlineStr">
        <is>
          <t>Pekerja</t>
        </is>
      </c>
      <c r="C381" s="3" t="inlineStr">
        <is>
          <t>OH</t>
        </is>
      </c>
      <c r="D381" s="15" t="n">
        <v>0.008</v>
      </c>
      <c r="E381" s="4" t="n">
        <v>100000</v>
      </c>
      <c r="F381" s="4" t="n">
        <v>800</v>
      </c>
    </row>
    <row r="382">
      <c r="A382" s="3" t="inlineStr">
        <is>
          <t>2</t>
        </is>
      </c>
      <c r="B382" s="3" t="inlineStr">
        <is>
          <t>Tukang kayu</t>
        </is>
      </c>
      <c r="C382" s="3" t="inlineStr">
        <is>
          <t>OH</t>
        </is>
      </c>
      <c r="D382" s="15" t="n">
        <v>0.004</v>
      </c>
      <c r="E382" s="4" t="n">
        <v>145000</v>
      </c>
      <c r="F382" s="4" t="n">
        <v>580</v>
      </c>
    </row>
    <row r="383">
      <c r="A383" s="3" t="inlineStr">
        <is>
          <t>3</t>
        </is>
      </c>
      <c r="B383" s="3" t="inlineStr">
        <is>
          <t>Kepala tukang</t>
        </is>
      </c>
      <c r="C383" s="3" t="inlineStr">
        <is>
          <t>OH</t>
        </is>
      </c>
      <c r="D383" s="15" t="n">
        <v>0.0004</v>
      </c>
      <c r="E383" s="4" t="n">
        <v>175000</v>
      </c>
      <c r="F383" s="4" t="n">
        <v>70</v>
      </c>
    </row>
    <row r="384">
      <c r="A384" s="3" t="inlineStr">
        <is>
          <t>4</t>
        </is>
      </c>
      <c r="B384" s="3" t="inlineStr">
        <is>
          <t>Mandor</t>
        </is>
      </c>
      <c r="C384" s="3" t="inlineStr">
        <is>
          <t>OH</t>
        </is>
      </c>
      <c r="D384" s="15" t="n">
        <v>0.0008</v>
      </c>
      <c r="E384" s="4" t="n">
        <v>200000</v>
      </c>
      <c r="F384" s="4" t="n">
        <v>160</v>
      </c>
    </row>
    <row r="385">
      <c r="A385" s="3" t="inlineStr">
        <is>
          <t>1</t>
        </is>
      </c>
      <c r="B385" s="3" t="inlineStr">
        <is>
          <t>Kaso 5/7 kayu kelas II</t>
        </is>
      </c>
      <c r="C385" s="3" t="inlineStr">
        <is>
          <t>m3</t>
        </is>
      </c>
      <c r="D385" s="15" t="n">
        <v>0.013</v>
      </c>
      <c r="E385" s="4" t="n">
        <v>10214200</v>
      </c>
      <c r="F385" s="4" t="n">
        <v>132784.6</v>
      </c>
    </row>
    <row r="386">
      <c r="A386" s="3" t="inlineStr">
        <is>
          <t>3</t>
        </is>
      </c>
      <c r="B386" s="3" t="inlineStr">
        <is>
          <t>Paku Payung</t>
        </is>
      </c>
      <c r="C386" s="3" t="inlineStr">
        <is>
          <t>bh</t>
        </is>
      </c>
      <c r="D386" s="15" t="n">
        <v>1.1</v>
      </c>
      <c r="E386" s="4" t="n">
        <v>35590</v>
      </c>
      <c r="F386" s="4" t="n">
        <v>39149</v>
      </c>
    </row>
    <row r="387">
      <c r="A387" s="3" t="inlineStr">
        <is>
          <t>1</t>
        </is>
      </c>
      <c r="B387" s="3" t="inlineStr">
        <is>
          <t>Waterpass</t>
        </is>
      </c>
      <c r="C387" s="3" t="inlineStr">
        <is>
          <t>hari</t>
        </is>
      </c>
      <c r="D387" s="15" t="n">
        <v>0.004</v>
      </c>
      <c r="E387" s="4" t="n">
        <v>100000</v>
      </c>
      <c r="F387" s="4" t="n">
        <v>400</v>
      </c>
    </row>
    <row r="388">
      <c r="D388" s="2" t="inlineStr">
        <is>
          <t>SUBTOTAL UPAH</t>
        </is>
      </c>
      <c r="F388" s="16" t="n">
        <v>1610</v>
      </c>
    </row>
    <row r="389">
      <c r="D389" s="2" t="inlineStr">
        <is>
          <t>SUBTOTAL BAHAN</t>
        </is>
      </c>
      <c r="F389" s="16" t="n">
        <v>171933.6</v>
      </c>
    </row>
    <row r="390">
      <c r="D390" s="2" t="inlineStr">
        <is>
          <t>SUBTOTAL ALAT</t>
        </is>
      </c>
      <c r="F390" s="16" t="n">
        <v>400</v>
      </c>
    </row>
    <row r="391">
      <c r="E391" s="2" t="inlineStr">
        <is>
          <t>TOTAL HARGA SATUAN (Inc. Overhead)</t>
        </is>
      </c>
      <c r="F391" s="17" t="n">
        <v>191337</v>
      </c>
    </row>
    <row r="393">
      <c r="A393" s="14" t="inlineStr">
        <is>
          <t>KODE: 1.1.4.4 - 1 Buah Patok Kayu (Kaso 5/7) panjang 1 m'</t>
        </is>
      </c>
    </row>
    <row r="394">
      <c r="A394" s="10" t="inlineStr">
        <is>
          <t>No</t>
        </is>
      </c>
      <c r="B394" s="10" t="inlineStr">
        <is>
          <t>Uraian Komponen</t>
        </is>
      </c>
      <c r="C394" s="10" t="inlineStr">
        <is>
          <t>Satuan</t>
        </is>
      </c>
      <c r="D394" s="10" t="inlineStr">
        <is>
          <t>Koef</t>
        </is>
      </c>
      <c r="E394" s="10" t="inlineStr">
        <is>
          <t>Harga Satuan (Rp)</t>
        </is>
      </c>
      <c r="F394" s="10" t="inlineStr">
        <is>
          <t>Jumlah Harga (Rp)</t>
        </is>
      </c>
    </row>
    <row r="395">
      <c r="A395" s="3" t="inlineStr">
        <is>
          <t>1</t>
        </is>
      </c>
      <c r="B395" s="3" t="inlineStr">
        <is>
          <t>Pekerja</t>
        </is>
      </c>
      <c r="C395" s="3" t="inlineStr">
        <is>
          <t>OH</t>
        </is>
      </c>
      <c r="D395" s="15" t="n">
        <v>0.012</v>
      </c>
      <c r="E395" s="4" t="n">
        <v>100000</v>
      </c>
      <c r="F395" s="4" t="n">
        <v>1200</v>
      </c>
    </row>
    <row r="396">
      <c r="A396" s="3" t="inlineStr">
        <is>
          <t>2</t>
        </is>
      </c>
      <c r="B396" s="3" t="inlineStr">
        <is>
          <t>Tukang kayu</t>
        </is>
      </c>
      <c r="C396" s="3" t="inlineStr">
        <is>
          <t>OH</t>
        </is>
      </c>
      <c r="D396" s="15" t="n">
        <v>0.006</v>
      </c>
      <c r="E396" s="4" t="n">
        <v>145000</v>
      </c>
      <c r="F396" s="4" t="n">
        <v>870</v>
      </c>
    </row>
    <row r="397">
      <c r="A397" s="3" t="inlineStr">
        <is>
          <t>3</t>
        </is>
      </c>
      <c r="B397" s="3" t="inlineStr">
        <is>
          <t>Kepala tukang</t>
        </is>
      </c>
      <c r="C397" s="3" t="inlineStr">
        <is>
          <t>OH</t>
        </is>
      </c>
      <c r="D397" s="15" t="n">
        <v>0.0005999999999999999</v>
      </c>
      <c r="E397" s="4" t="n">
        <v>175000</v>
      </c>
      <c r="F397" s="4" t="n">
        <v>105</v>
      </c>
    </row>
    <row r="398">
      <c r="A398" s="3" t="inlineStr">
        <is>
          <t>4</t>
        </is>
      </c>
      <c r="B398" s="3" t="inlineStr">
        <is>
          <t>Mandor</t>
        </is>
      </c>
      <c r="C398" s="3" t="inlineStr">
        <is>
          <t>OH</t>
        </is>
      </c>
      <c r="D398" s="15" t="n">
        <v>0.0012</v>
      </c>
      <c r="E398" s="4" t="n">
        <v>200000</v>
      </c>
      <c r="F398" s="4" t="n">
        <v>240</v>
      </c>
    </row>
    <row r="399">
      <c r="A399" s="3" t="inlineStr">
        <is>
          <t>1</t>
        </is>
      </c>
      <c r="B399" s="3" t="inlineStr">
        <is>
          <t>Kaso 5/7 kayu kelas II</t>
        </is>
      </c>
      <c r="C399" s="3" t="inlineStr">
        <is>
          <t>m3</t>
        </is>
      </c>
      <c r="D399" s="15" t="n">
        <v>0.0035</v>
      </c>
      <c r="E399" s="4" t="n">
        <v>10214200</v>
      </c>
      <c r="F399" s="4" t="n">
        <v>35749.7</v>
      </c>
    </row>
    <row r="400">
      <c r="A400" s="3" t="inlineStr">
        <is>
          <t>3</t>
        </is>
      </c>
      <c r="B400" s="3" t="inlineStr">
        <is>
          <t>Paku Payung</t>
        </is>
      </c>
      <c r="C400" s="3" t="inlineStr">
        <is>
          <t>bh</t>
        </is>
      </c>
      <c r="D400" s="15" t="n">
        <v>1.1</v>
      </c>
      <c r="E400" s="4" t="n">
        <v>35590</v>
      </c>
      <c r="F400" s="4" t="n">
        <v>39149</v>
      </c>
    </row>
    <row r="401">
      <c r="A401" s="3" t="inlineStr">
        <is>
          <t>1</t>
        </is>
      </c>
      <c r="B401" s="3" t="inlineStr">
        <is>
          <t>Waterpass</t>
        </is>
      </c>
      <c r="C401" s="3" t="inlineStr">
        <is>
          <t>hari</t>
        </is>
      </c>
      <c r="D401" s="15" t="n">
        <v>0.006</v>
      </c>
      <c r="E401" s="4" t="n">
        <v>75000</v>
      </c>
      <c r="F401" s="4" t="n">
        <v>450</v>
      </c>
    </row>
    <row r="402">
      <c r="D402" s="2" t="inlineStr">
        <is>
          <t>SUBTOTAL UPAH</t>
        </is>
      </c>
      <c r="F402" s="16" t="n">
        <v>2415</v>
      </c>
    </row>
    <row r="403">
      <c r="D403" s="2" t="inlineStr">
        <is>
          <t>SUBTOTAL BAHAN</t>
        </is>
      </c>
      <c r="F403" s="16" t="n">
        <v>74898.70000000001</v>
      </c>
    </row>
    <row r="404">
      <c r="D404" s="2" t="inlineStr">
        <is>
          <t>SUBTOTAL ALAT</t>
        </is>
      </c>
      <c r="F404" s="16" t="n">
        <v>450</v>
      </c>
    </row>
    <row r="405">
      <c r="E405" s="2" t="inlineStr">
        <is>
          <t>TOTAL HARGA SATUAN (Inc. Overhead)</t>
        </is>
      </c>
      <c r="F405" s="17" t="n">
        <v>85540</v>
      </c>
    </row>
    <row r="407">
      <c r="A407" s="14" t="inlineStr">
        <is>
          <t>KODE: 1.1.4.5 - Patok Tetap Bantu (PTB)</t>
        </is>
      </c>
    </row>
    <row r="408">
      <c r="A408" s="10" t="inlineStr">
        <is>
          <t>No</t>
        </is>
      </c>
      <c r="B408" s="10" t="inlineStr">
        <is>
          <t>Uraian Komponen</t>
        </is>
      </c>
      <c r="C408" s="10" t="inlineStr">
        <is>
          <t>Satuan</t>
        </is>
      </c>
      <c r="D408" s="10" t="inlineStr">
        <is>
          <t>Koef</t>
        </is>
      </c>
      <c r="E408" s="10" t="inlineStr">
        <is>
          <t>Harga Satuan (Rp)</t>
        </is>
      </c>
      <c r="F408" s="10" t="inlineStr">
        <is>
          <t>Jumlah Harga (Rp)</t>
        </is>
      </c>
    </row>
    <row r="409">
      <c r="A409" s="3" t="inlineStr">
        <is>
          <t>1</t>
        </is>
      </c>
      <c r="B409" s="3" t="inlineStr">
        <is>
          <t>Galian tanah biasa</t>
        </is>
      </c>
      <c r="C409" s="3" t="inlineStr">
        <is>
          <t>m3</t>
        </is>
      </c>
      <c r="D409" s="15" t="n">
        <v>0.273</v>
      </c>
      <c r="E409" s="4" t="n">
        <v>90860</v>
      </c>
      <c r="F409" s="4" t="n">
        <v>24804.78</v>
      </c>
    </row>
    <row r="410">
      <c r="A410" s="3" t="inlineStr">
        <is>
          <t>2</t>
        </is>
      </c>
      <c r="B410" s="3" t="inlineStr">
        <is>
          <t>Timbunan Pasir</t>
        </is>
      </c>
      <c r="C410" s="3" t="inlineStr">
        <is>
          <t>m3</t>
        </is>
      </c>
      <c r="D410" s="15" t="n">
        <v>0.003</v>
      </c>
      <c r="E410" s="4" t="n">
        <v>372504</v>
      </c>
      <c r="F410" s="4" t="n">
        <v>1117.512</v>
      </c>
    </row>
    <row r="411">
      <c r="A411" s="3" t="inlineStr">
        <is>
          <t>3</t>
        </is>
      </c>
      <c r="B411" s="3" t="inlineStr">
        <is>
          <t>Pembesian</t>
        </is>
      </c>
      <c r="C411" s="3" t="inlineStr">
        <is>
          <t>kg</t>
        </is>
      </c>
      <c r="D411" s="15" t="n">
        <v>2.3</v>
      </c>
      <c r="E411" s="4" t="n">
        <v>17064.74</v>
      </c>
      <c r="F411" s="4" t="n">
        <v>39248.90199999999</v>
      </c>
    </row>
    <row r="412">
      <c r="A412" s="3" t="inlineStr">
        <is>
          <t>Bekisting</t>
        </is>
      </c>
      <c r="B412" s="3" t="inlineStr">
        <is>
          <t>m2</t>
        </is>
      </c>
      <c r="C412" s="3" t="n">
        <v>0.4</v>
      </c>
      <c r="D412" s="3" t="n">
        <v>238668.6115</v>
      </c>
    </row>
    <row r="413">
      <c r="A413" s="3" t="inlineStr">
        <is>
          <t>4</t>
        </is>
      </c>
      <c r="B413" s="3" t="inlineStr">
        <is>
          <t>Beton fc' 15 Mpa</t>
        </is>
      </c>
      <c r="C413" s="3" t="inlineStr">
        <is>
          <t>m3</t>
        </is>
      </c>
      <c r="D413" s="15" t="n">
        <v>0.013</v>
      </c>
      <c r="E413" s="4" t="n">
        <v>1278955.292592593</v>
      </c>
      <c r="F413" s="4" t="n">
        <v>16626.4188037037</v>
      </c>
    </row>
    <row r="414">
      <c r="A414" s="3" t="inlineStr">
        <is>
          <t>1</t>
        </is>
      </c>
      <c r="B414" s="3" t="inlineStr">
        <is>
          <t>Pen Kuningan titik acuan</t>
        </is>
      </c>
      <c r="C414" s="3" t="inlineStr">
        <is>
          <t>buah</t>
        </is>
      </c>
      <c r="D414" s="15" t="n">
        <v>1.05</v>
      </c>
      <c r="E414" s="4" t="n">
        <v>27000</v>
      </c>
      <c r="F414" s="4" t="n">
        <v>28350</v>
      </c>
    </row>
    <row r="415">
      <c r="A415" s="3" t="inlineStr">
        <is>
          <t>3</t>
        </is>
      </c>
      <c r="B415" s="3" t="inlineStr">
        <is>
          <t>Marmer Graphir 10x10 cm</t>
        </is>
      </c>
      <c r="C415" s="3" t="inlineStr">
        <is>
          <t>bauh</t>
        </is>
      </c>
      <c r="D415" s="15" t="n">
        <v>1.05</v>
      </c>
      <c r="E415" s="4" t="n">
        <v>20000</v>
      </c>
      <c r="F415" s="4" t="n">
        <v>21000</v>
      </c>
    </row>
    <row r="416">
      <c r="D416" s="2" t="inlineStr">
        <is>
          <t>SUBTOTAL UPAH</t>
        </is>
      </c>
      <c r="F416" s="16" t="n">
        <v>81797.6128037037</v>
      </c>
    </row>
    <row r="417">
      <c r="D417" s="2" t="inlineStr">
        <is>
          <t>SUBTOTAL BAHAN</t>
        </is>
      </c>
      <c r="F417" s="16" t="n">
        <v>49350</v>
      </c>
    </row>
    <row r="418">
      <c r="D418" s="2" t="inlineStr">
        <is>
          <t>SUBTOTAL ALAT</t>
        </is>
      </c>
      <c r="F418" s="16" t="n">
        <v>0</v>
      </c>
    </row>
    <row r="419">
      <c r="E419" s="2" t="inlineStr">
        <is>
          <t>TOTAL HARGA SATUAN (Inc. Overhead)</t>
        </is>
      </c>
      <c r="F419" s="17" t="n">
        <v>144262</v>
      </c>
    </row>
    <row r="421">
      <c r="A421" s="14" t="inlineStr">
        <is>
          <t>KODE: 1.1.4.6 - Patok Tetap Utama (PTU)</t>
        </is>
      </c>
    </row>
    <row r="422">
      <c r="A422" s="10" t="inlineStr">
        <is>
          <t>No</t>
        </is>
      </c>
      <c r="B422" s="10" t="inlineStr">
        <is>
          <t>Uraian Komponen</t>
        </is>
      </c>
      <c r="C422" s="10" t="inlineStr">
        <is>
          <t>Satuan</t>
        </is>
      </c>
      <c r="D422" s="10" t="inlineStr">
        <is>
          <t>Koef</t>
        </is>
      </c>
      <c r="E422" s="10" t="inlineStr">
        <is>
          <t>Harga Satuan (Rp)</t>
        </is>
      </c>
      <c r="F422" s="10" t="inlineStr">
        <is>
          <t>Jumlah Harga (Rp)</t>
        </is>
      </c>
    </row>
    <row r="423">
      <c r="A423" s="3" t="inlineStr">
        <is>
          <t>1</t>
        </is>
      </c>
      <c r="B423" s="3" t="inlineStr">
        <is>
          <t>Galian tanah biasa</t>
        </is>
      </c>
      <c r="C423" s="3" t="inlineStr">
        <is>
          <t>m3</t>
        </is>
      </c>
      <c r="D423" s="15" t="n">
        <v>0.3</v>
      </c>
      <c r="E423" s="4" t="n">
        <v>90860</v>
      </c>
      <c r="F423" s="4" t="n">
        <v>27258</v>
      </c>
    </row>
    <row r="424">
      <c r="A424" s="3" t="inlineStr">
        <is>
          <t>2</t>
        </is>
      </c>
      <c r="B424" s="3" t="inlineStr">
        <is>
          <t>Timbunan Pasir</t>
        </is>
      </c>
      <c r="C424" s="3" t="inlineStr">
        <is>
          <t>m3</t>
        </is>
      </c>
      <c r="D424" s="15" t="n">
        <v>0.02</v>
      </c>
      <c r="E424" s="4" t="n">
        <v>372504</v>
      </c>
      <c r="F424" s="4" t="n">
        <v>7450.08</v>
      </c>
    </row>
    <row r="425">
      <c r="A425" s="3" t="inlineStr">
        <is>
          <t>3</t>
        </is>
      </c>
      <c r="B425" s="3" t="inlineStr">
        <is>
          <t>BjTP</t>
        </is>
      </c>
      <c r="C425" s="3" t="inlineStr">
        <is>
          <t>kg</t>
        </is>
      </c>
      <c r="D425" s="15" t="n">
        <v>4.1</v>
      </c>
      <c r="E425" s="4" t="n">
        <v>17064.74</v>
      </c>
      <c r="F425" s="4" t="n">
        <v>69965.43399999998</v>
      </c>
    </row>
    <row r="426">
      <c r="A426" s="3" t="inlineStr">
        <is>
          <t>Bekisting</t>
        </is>
      </c>
      <c r="B426" s="3" t="inlineStr">
        <is>
          <t>m2</t>
        </is>
      </c>
      <c r="C426" s="3" t="n">
        <v>0.86</v>
      </c>
      <c r="D426" s="3" t="n">
        <v>238668.6115</v>
      </c>
    </row>
    <row r="427">
      <c r="A427" s="3" t="inlineStr">
        <is>
          <t>4</t>
        </is>
      </c>
      <c r="B427" s="3" t="inlineStr">
        <is>
          <t>Beton fc' 15 Mpa</t>
        </is>
      </c>
      <c r="C427" s="3" t="inlineStr">
        <is>
          <t>m3</t>
        </is>
      </c>
      <c r="D427" s="15" t="n">
        <v>0.05</v>
      </c>
      <c r="E427" s="4" t="n">
        <v>1278955.292592593</v>
      </c>
      <c r="F427" s="4" t="n">
        <v>63947.76462962963</v>
      </c>
    </row>
    <row r="428">
      <c r="A428" s="3" t="inlineStr">
        <is>
          <t>1</t>
        </is>
      </c>
      <c r="B428" s="3" t="inlineStr">
        <is>
          <t>Pen kuningan titik acuan</t>
        </is>
      </c>
      <c r="C428" s="3" t="inlineStr">
        <is>
          <t>m3</t>
        </is>
      </c>
      <c r="D428" s="15" t="n">
        <v>0.0035</v>
      </c>
      <c r="E428" s="4" t="n">
        <v>27000</v>
      </c>
      <c r="F428" s="4" t="n">
        <v>94.5</v>
      </c>
    </row>
    <row r="429">
      <c r="A429" s="3" t="inlineStr">
        <is>
          <t>3</t>
        </is>
      </c>
      <c r="B429" s="3" t="inlineStr">
        <is>
          <t>Marmer Graphir 12x12 cm</t>
        </is>
      </c>
      <c r="C429" s="3" t="inlineStr">
        <is>
          <t>bh</t>
        </is>
      </c>
      <c r="D429" s="15" t="n">
        <v>1.1</v>
      </c>
      <c r="E429" s="4" t="n">
        <v>25000</v>
      </c>
      <c r="F429" s="4" t="n">
        <v>27500</v>
      </c>
    </row>
    <row r="430">
      <c r="D430" s="2" t="inlineStr">
        <is>
          <t>SUBTOTAL UPAH</t>
        </is>
      </c>
      <c r="F430" s="16" t="n">
        <v>168621.2786296296</v>
      </c>
    </row>
    <row r="431">
      <c r="D431" s="2" t="inlineStr">
        <is>
          <t>SUBTOTAL BAHAN</t>
        </is>
      </c>
      <c r="F431" s="16" t="n">
        <v>27594.5</v>
      </c>
    </row>
    <row r="432">
      <c r="D432" s="2" t="inlineStr">
        <is>
          <t>SUBTOTAL ALAT</t>
        </is>
      </c>
      <c r="F432" s="16" t="n">
        <v>0</v>
      </c>
    </row>
    <row r="433">
      <c r="E433" s="2" t="inlineStr">
        <is>
          <t>TOTAL HARGA SATUAN (Inc. Overhead)</t>
        </is>
      </c>
      <c r="F433" s="17" t="n">
        <v>215837</v>
      </c>
    </row>
    <row r="435">
      <c r="A435" s="14" t="inlineStr">
        <is>
          <t>KODE: 1.3.1.1 - 1 m3 urukan kembali galian tanah ( &gt;0 s.d 200 m3) tanpa pemadatan secara manual</t>
        </is>
      </c>
    </row>
    <row r="436">
      <c r="A436" s="10" t="inlineStr">
        <is>
          <t>No</t>
        </is>
      </c>
      <c r="B436" s="10" t="inlineStr">
        <is>
          <t>Uraian Komponen</t>
        </is>
      </c>
      <c r="C436" s="10" t="inlineStr">
        <is>
          <t>Satuan</t>
        </is>
      </c>
      <c r="D436" s="10" t="inlineStr">
        <is>
          <t>Koef</t>
        </is>
      </c>
      <c r="E436" s="10" t="inlineStr">
        <is>
          <t>Harga Satuan (Rp)</t>
        </is>
      </c>
      <c r="F436" s="10" t="inlineStr">
        <is>
          <t>Jumlah Harga (Rp)</t>
        </is>
      </c>
    </row>
    <row r="437">
      <c r="A437" s="3" t="inlineStr">
        <is>
          <t>1</t>
        </is>
      </c>
      <c r="B437" s="3" t="inlineStr">
        <is>
          <t>Pekerja OH</t>
        </is>
      </c>
      <c r="C437" s="3" t="inlineStr">
        <is>
          <t>0.5</t>
        </is>
      </c>
      <c r="D437" s="15" t="n">
        <v>100000</v>
      </c>
      <c r="E437" s="4" t="n">
        <v>50000</v>
      </c>
      <c r="F437" s="4" t="n">
        <v>0.1</v>
      </c>
    </row>
    <row r="438">
      <c r="A438" s="3" t="inlineStr">
        <is>
          <t>2</t>
        </is>
      </c>
      <c r="B438" s="3" t="inlineStr">
        <is>
          <t>Mandor</t>
        </is>
      </c>
      <c r="C438" s="3" t="inlineStr">
        <is>
          <t>OH</t>
        </is>
      </c>
      <c r="D438" s="15" t="n">
        <v>0.025</v>
      </c>
      <c r="E438" s="4" t="n">
        <v>200000</v>
      </c>
      <c r="F438" s="4" t="n">
        <v>5000</v>
      </c>
    </row>
    <row r="439">
      <c r="D439" s="2" t="inlineStr">
        <is>
          <t>SUBTOTAL UPAH</t>
        </is>
      </c>
      <c r="F439" s="16" t="n">
        <v>55000</v>
      </c>
    </row>
    <row r="440">
      <c r="D440" s="2" t="inlineStr">
        <is>
          <t>SUBTOTAL BAHAN</t>
        </is>
      </c>
      <c r="F440" s="16" t="n">
        <v>0</v>
      </c>
    </row>
    <row r="441">
      <c r="D441" s="2" t="inlineStr">
        <is>
          <t>SUBTOTAL ALAT</t>
        </is>
      </c>
      <c r="F441" s="16" t="n">
        <v>0</v>
      </c>
    </row>
    <row r="442">
      <c r="E442" s="2" t="inlineStr">
        <is>
          <t>TOTAL HARGA SATUAN (Inc. Overhead)</t>
        </is>
      </c>
      <c r="F442" s="17" t="n">
        <v>60500</v>
      </c>
    </row>
    <row r="444">
      <c r="A444" s="14" t="inlineStr">
        <is>
          <t>KODE: 1.3.1.2 - 1 m3 urukan pasir uruk untuk volume s.d 200 m3 tanpa pemadatan secara manual</t>
        </is>
      </c>
    </row>
    <row r="445">
      <c r="A445" s="10" t="inlineStr">
        <is>
          <t>No</t>
        </is>
      </c>
      <c r="B445" s="10" t="inlineStr">
        <is>
          <t>Uraian Komponen</t>
        </is>
      </c>
      <c r="C445" s="10" t="inlineStr">
        <is>
          <t>Satuan</t>
        </is>
      </c>
      <c r="D445" s="10" t="inlineStr">
        <is>
          <t>Koef</t>
        </is>
      </c>
      <c r="E445" s="10" t="inlineStr">
        <is>
          <t>Harga Satuan (Rp)</t>
        </is>
      </c>
      <c r="F445" s="10" t="inlineStr">
        <is>
          <t>Jumlah Harga (Rp)</t>
        </is>
      </c>
    </row>
    <row r="446">
      <c r="A446" s="3" t="inlineStr">
        <is>
          <t>1</t>
        </is>
      </c>
      <c r="B446" s="3" t="inlineStr">
        <is>
          <t>Pekerja</t>
        </is>
      </c>
      <c r="C446" s="3" t="inlineStr">
        <is>
          <t>OH</t>
        </is>
      </c>
      <c r="D446" s="15" t="n">
        <v>0.3</v>
      </c>
      <c r="E446" s="4" t="n">
        <v>100000</v>
      </c>
      <c r="F446" s="4" t="n">
        <v>30000</v>
      </c>
    </row>
    <row r="447">
      <c r="A447" s="3" t="inlineStr">
        <is>
          <t>2</t>
        </is>
      </c>
      <c r="B447" s="3" t="inlineStr">
        <is>
          <t>Mandor</t>
        </is>
      </c>
      <c r="C447" s="3" t="inlineStr">
        <is>
          <t>OH</t>
        </is>
      </c>
      <c r="D447" s="15" t="n">
        <v>0.015</v>
      </c>
      <c r="E447" s="4" t="n">
        <v>200000</v>
      </c>
      <c r="F447" s="4" t="n">
        <v>3000</v>
      </c>
    </row>
    <row r="448">
      <c r="A448" s="3" t="inlineStr">
        <is>
          <t>1</t>
        </is>
      </c>
      <c r="B448" s="3" t="inlineStr">
        <is>
          <t>Pasir urug (quarry - lokasi pekerjaan)</t>
        </is>
      </c>
      <c r="C448" s="3" t="inlineStr">
        <is>
          <t>m3</t>
        </is>
      </c>
      <c r="D448" s="15" t="n">
        <v>1.2</v>
      </c>
      <c r="E448" s="4" t="n">
        <v>254700</v>
      </c>
      <c r="F448" s="4" t="n">
        <v>305640</v>
      </c>
    </row>
    <row r="449">
      <c r="D449" s="2" t="inlineStr">
        <is>
          <t>SUBTOTAL UPAH</t>
        </is>
      </c>
      <c r="F449" s="16" t="n">
        <v>33000</v>
      </c>
    </row>
    <row r="450">
      <c r="D450" s="2" t="inlineStr">
        <is>
          <t>SUBTOTAL BAHAN</t>
        </is>
      </c>
      <c r="F450" s="16" t="n">
        <v>305640</v>
      </c>
    </row>
    <row r="451">
      <c r="D451" s="2" t="inlineStr">
        <is>
          <t>SUBTOTAL ALAT</t>
        </is>
      </c>
      <c r="F451" s="16" t="n">
        <v>0</v>
      </c>
    </row>
    <row r="452">
      <c r="E452" s="2" t="inlineStr">
        <is>
          <t>TOTAL HARGA SATUAN (Inc. Overhead)</t>
        </is>
      </c>
      <c r="F452" s="17" t="n">
        <v>372504</v>
      </c>
    </row>
    <row r="454">
      <c r="A454" s="14" t="inlineStr">
        <is>
          <t>KODE: 1.3.1.7 - 1 m3 Urukan tanah subur tanpa pemadatan secara manual</t>
        </is>
      </c>
    </row>
    <row r="455">
      <c r="A455" s="10" t="inlineStr">
        <is>
          <t>No</t>
        </is>
      </c>
      <c r="B455" s="10" t="inlineStr">
        <is>
          <t>Uraian Komponen</t>
        </is>
      </c>
      <c r="C455" s="10" t="inlineStr">
        <is>
          <t>Satuan</t>
        </is>
      </c>
      <c r="D455" s="10" t="inlineStr">
        <is>
          <t>Koef</t>
        </is>
      </c>
      <c r="E455" s="10" t="inlineStr">
        <is>
          <t>Harga Satuan (Rp)</t>
        </is>
      </c>
      <c r="F455" s="10" t="inlineStr">
        <is>
          <t>Jumlah Harga (Rp)</t>
        </is>
      </c>
    </row>
    <row r="456">
      <c r="A456" s="3" t="inlineStr">
        <is>
          <t>1</t>
        </is>
      </c>
      <c r="B456" s="3" t="inlineStr">
        <is>
          <t>Pekerja</t>
        </is>
      </c>
      <c r="C456" s="3" t="inlineStr">
        <is>
          <t>OH</t>
        </is>
      </c>
      <c r="D456" s="15" t="n">
        <v>0.3</v>
      </c>
      <c r="E456" s="4" t="n">
        <v>100000</v>
      </c>
      <c r="F456" s="4" t="n">
        <v>30000</v>
      </c>
    </row>
    <row r="457">
      <c r="A457" s="3" t="inlineStr">
        <is>
          <t>2</t>
        </is>
      </c>
      <c r="B457" s="3" t="inlineStr">
        <is>
          <t>Mandor</t>
        </is>
      </c>
      <c r="C457" s="3" t="inlineStr">
        <is>
          <t>OH</t>
        </is>
      </c>
      <c r="D457" s="15" t="n">
        <v>0.015</v>
      </c>
      <c r="E457" s="4" t="n">
        <v>200000</v>
      </c>
      <c r="F457" s="4" t="n">
        <v>3000</v>
      </c>
    </row>
    <row r="458">
      <c r="A458" s="3" t="inlineStr">
        <is>
          <t>1</t>
        </is>
      </c>
      <c r="B458" s="3" t="inlineStr">
        <is>
          <t>Tanah Subur</t>
        </is>
      </c>
      <c r="C458" s="3" t="inlineStr">
        <is>
          <t>m3</t>
        </is>
      </c>
      <c r="D458" s="15" t="n">
        <v>1</v>
      </c>
      <c r="E458" s="4" t="n">
        <v>165000</v>
      </c>
      <c r="F458" s="4" t="n">
        <v>165000</v>
      </c>
    </row>
    <row r="459">
      <c r="D459" s="2" t="inlineStr">
        <is>
          <t>SUBTOTAL UPAH</t>
        </is>
      </c>
      <c r="F459" s="16" t="n">
        <v>33000</v>
      </c>
    </row>
    <row r="460">
      <c r="D460" s="2" t="inlineStr">
        <is>
          <t>SUBTOTAL BAHAN</t>
        </is>
      </c>
      <c r="F460" s="16" t="n">
        <v>165000</v>
      </c>
    </row>
    <row r="461">
      <c r="D461" s="2" t="inlineStr">
        <is>
          <t>SUBTOTAL ALAT</t>
        </is>
      </c>
      <c r="F461" s="16" t="n">
        <v>0</v>
      </c>
    </row>
    <row r="462">
      <c r="E462" s="2" t="inlineStr">
        <is>
          <t>TOTAL HARGA SATUAN (Inc. Overhead)</t>
        </is>
      </c>
      <c r="F462" s="17" t="n">
        <v>217800</v>
      </c>
    </row>
    <row r="464">
      <c r="A464" s="14" t="inlineStr">
        <is>
          <t>KODE: 1.3.3.2 - 1 m3 Pemadatan pasir setebal 15 cm menggunakan mesin Stamper kodok semi mekanis</t>
        </is>
      </c>
    </row>
    <row r="465">
      <c r="A465" s="10" t="inlineStr">
        <is>
          <t>No</t>
        </is>
      </c>
      <c r="B465" s="10" t="inlineStr">
        <is>
          <t>Uraian Komponen</t>
        </is>
      </c>
      <c r="C465" s="10" t="inlineStr">
        <is>
          <t>Satuan</t>
        </is>
      </c>
      <c r="D465" s="10" t="inlineStr">
        <is>
          <t>Koef</t>
        </is>
      </c>
      <c r="E465" s="10" t="inlineStr">
        <is>
          <t>Harga Satuan (Rp)</t>
        </is>
      </c>
      <c r="F465" s="10" t="inlineStr">
        <is>
          <t>Jumlah Harga (Rp)</t>
        </is>
      </c>
    </row>
    <row r="466">
      <c r="A466" s="3" t="inlineStr">
        <is>
          <t>1</t>
        </is>
      </c>
      <c r="B466" s="3" t="inlineStr">
        <is>
          <t>Stamper kodok 150 kg</t>
        </is>
      </c>
      <c r="C466" s="3" t="inlineStr">
        <is>
          <t>hari</t>
        </is>
      </c>
      <c r="D466" s="15" t="n">
        <v>0.0574</v>
      </c>
      <c r="E466" s="4" t="n">
        <v>350000</v>
      </c>
      <c r="F466" s="4" t="n">
        <v>20090</v>
      </c>
    </row>
    <row r="467">
      <c r="D467" s="2" t="inlineStr">
        <is>
          <t>SUBTOTAL UPAH</t>
        </is>
      </c>
      <c r="F467" s="16" t="n">
        <v>0</v>
      </c>
    </row>
    <row r="468">
      <c r="D468" s="2" t="inlineStr">
        <is>
          <t>SUBTOTAL BAHAN</t>
        </is>
      </c>
      <c r="F468" s="16" t="n">
        <v>0</v>
      </c>
    </row>
    <row r="469">
      <c r="D469" s="2" t="inlineStr">
        <is>
          <t>SUBTOTAL ALAT</t>
        </is>
      </c>
      <c r="F469" s="16" t="n">
        <v>20090</v>
      </c>
    </row>
    <row r="470">
      <c r="E470" s="2" t="inlineStr">
        <is>
          <t>TOTAL HARGA SATUAN (Inc. Overhead)</t>
        </is>
      </c>
      <c r="F470" s="17" t="n">
        <v>22099</v>
      </c>
    </row>
    <row r="472">
      <c r="A472" s="14" t="inlineStr">
        <is>
          <t>KODE: 1.3.3.3 - 1 m3 Pemadatan pasir setebal 20 cm menggunakan mesin Stamper VRR-550 kg semi mekanis</t>
        </is>
      </c>
    </row>
    <row r="473">
      <c r="A473" s="10" t="inlineStr">
        <is>
          <t>No</t>
        </is>
      </c>
      <c r="B473" s="10" t="inlineStr">
        <is>
          <t>Uraian Komponen</t>
        </is>
      </c>
      <c r="C473" s="10" t="inlineStr">
        <is>
          <t>Satuan</t>
        </is>
      </c>
      <c r="D473" s="10" t="inlineStr">
        <is>
          <t>Koef</t>
        </is>
      </c>
      <c r="E473" s="10" t="inlineStr">
        <is>
          <t>Harga Satuan (Rp)</t>
        </is>
      </c>
      <c r="F473" s="10" t="inlineStr">
        <is>
          <t>Jumlah Harga (Rp)</t>
        </is>
      </c>
    </row>
    <row r="474">
      <c r="A474" s="3" t="inlineStr">
        <is>
          <t>1</t>
        </is>
      </c>
      <c r="B474" s="3" t="inlineStr">
        <is>
          <t>Stamper D-Drum</t>
        </is>
      </c>
      <c r="C474" s="3" t="inlineStr">
        <is>
          <t>hari</t>
        </is>
      </c>
      <c r="D474" s="15" t="n">
        <v>0.0183</v>
      </c>
      <c r="E474" s="4" t="n">
        <v>310000</v>
      </c>
      <c r="F474" s="4" t="n">
        <v>5673</v>
      </c>
    </row>
    <row r="475">
      <c r="D475" s="2" t="inlineStr">
        <is>
          <t>SUBTOTAL UPAH</t>
        </is>
      </c>
      <c r="F475" s="16" t="n">
        <v>0</v>
      </c>
    </row>
    <row r="476">
      <c r="D476" s="2" t="inlineStr">
        <is>
          <t>SUBTOTAL BAHAN</t>
        </is>
      </c>
      <c r="F476" s="16" t="n">
        <v>0</v>
      </c>
    </row>
    <row r="477">
      <c r="D477" s="2" t="inlineStr">
        <is>
          <t>SUBTOTAL ALAT</t>
        </is>
      </c>
      <c r="F477" s="16" t="n">
        <v>5673</v>
      </c>
    </row>
    <row r="478">
      <c r="E478" s="2" t="inlineStr">
        <is>
          <t>TOTAL HARGA SATUAN (Inc. Overhead)</t>
        </is>
      </c>
      <c r="F478" s="17" t="n">
        <v>6240</v>
      </c>
    </row>
    <row r="480">
      <c r="A480" s="14" t="inlineStr">
        <is>
          <t>KODE: 1.3.3.4 - 1 m3 Pemadatan pasir setebal 20 cm menggunakan mesin Stamper VRR-1,5 Ton semi mekanis</t>
        </is>
      </c>
    </row>
    <row r="481">
      <c r="A481" s="10" t="inlineStr">
        <is>
          <t>No</t>
        </is>
      </c>
      <c r="B481" s="10" t="inlineStr">
        <is>
          <t>Uraian Komponen</t>
        </is>
      </c>
      <c r="C481" s="10" t="inlineStr">
        <is>
          <t>Satuan</t>
        </is>
      </c>
      <c r="D481" s="10" t="inlineStr">
        <is>
          <t>Koef</t>
        </is>
      </c>
      <c r="E481" s="10" t="inlineStr">
        <is>
          <t>Harga Satuan (Rp)</t>
        </is>
      </c>
      <c r="F481" s="10" t="inlineStr">
        <is>
          <t>Jumlah Harga (Rp)</t>
        </is>
      </c>
    </row>
    <row r="482">
      <c r="A482" s="3" t="inlineStr">
        <is>
          <t>1</t>
        </is>
      </c>
      <c r="B482" s="3" t="inlineStr">
        <is>
          <t>Stamper Smooth_Drum</t>
        </is>
      </c>
      <c r="C482" s="3" t="inlineStr">
        <is>
          <t>hari</t>
        </is>
      </c>
      <c r="D482" s="15" t="n">
        <v>0.0089</v>
      </c>
      <c r="E482" s="4" t="n">
        <v>350000</v>
      </c>
      <c r="F482" s="4" t="n">
        <v>3115</v>
      </c>
    </row>
    <row r="483">
      <c r="D483" s="2" t="inlineStr">
        <is>
          <t>SUBTOTAL UPAH</t>
        </is>
      </c>
      <c r="F483" s="16" t="n">
        <v>0</v>
      </c>
    </row>
    <row r="484">
      <c r="D484" s="2" t="inlineStr">
        <is>
          <t>SUBTOTAL BAHAN</t>
        </is>
      </c>
      <c r="F484" s="16" t="n">
        <v>0</v>
      </c>
    </row>
    <row r="485">
      <c r="D485" s="2" t="inlineStr">
        <is>
          <t>SUBTOTAL ALAT</t>
        </is>
      </c>
      <c r="F485" s="16" t="n">
        <v>3115</v>
      </c>
    </row>
    <row r="486">
      <c r="E486" s="2" t="inlineStr">
        <is>
          <t>TOTAL HARGA SATUAN (Inc. Overhead)</t>
        </is>
      </c>
      <c r="F486" s="17" t="n">
        <v>3426</v>
      </c>
    </row>
    <row r="488">
      <c r="A488" s="14" t="inlineStr">
        <is>
          <t>KODE: 1.3.3.5 - 1 m3 Tipbunan dan Pemadatan batu kerikil meggunakan mein stamper kodok semi mekanis</t>
        </is>
      </c>
    </row>
    <row r="489">
      <c r="A489" s="10" t="inlineStr">
        <is>
          <t>No</t>
        </is>
      </c>
      <c r="B489" s="10" t="inlineStr">
        <is>
          <t>Uraian Komponen</t>
        </is>
      </c>
      <c r="C489" s="10" t="inlineStr">
        <is>
          <t>Satuan</t>
        </is>
      </c>
      <c r="D489" s="10" t="inlineStr">
        <is>
          <t>Koef</t>
        </is>
      </c>
      <c r="E489" s="10" t="inlineStr">
        <is>
          <t>Harga Satuan (Rp)</t>
        </is>
      </c>
      <c r="F489" s="10" t="inlineStr">
        <is>
          <t>Jumlah Harga (Rp)</t>
        </is>
      </c>
    </row>
    <row r="490">
      <c r="A490" s="3" t="inlineStr">
        <is>
          <t>1</t>
        </is>
      </c>
      <c r="B490" s="3" t="inlineStr">
        <is>
          <t>Pekerja</t>
        </is>
      </c>
      <c r="C490" s="3" t="inlineStr">
        <is>
          <t>OH</t>
        </is>
      </c>
      <c r="D490" s="15" t="n">
        <v>0.3</v>
      </c>
      <c r="E490" s="4" t="n">
        <v>100000</v>
      </c>
      <c r="F490" s="4" t="n">
        <v>30000</v>
      </c>
    </row>
    <row r="491">
      <c r="A491" s="3" t="inlineStr">
        <is>
          <t>2</t>
        </is>
      </c>
      <c r="B491" s="3" t="inlineStr">
        <is>
          <t>Mandor</t>
        </is>
      </c>
      <c r="C491" s="3" t="inlineStr">
        <is>
          <t>OH</t>
        </is>
      </c>
      <c r="D491" s="15" t="n">
        <v>0.015</v>
      </c>
      <c r="E491" s="4" t="n">
        <v>200000</v>
      </c>
      <c r="F491" s="4" t="n">
        <v>3000</v>
      </c>
    </row>
    <row r="492">
      <c r="A492" s="3" t="inlineStr">
        <is>
          <t>1</t>
        </is>
      </c>
      <c r="B492" s="3" t="inlineStr">
        <is>
          <t>Kerikil</t>
        </is>
      </c>
      <c r="C492" s="3" t="inlineStr">
        <is>
          <t>m3</t>
        </is>
      </c>
      <c r="D492" s="15" t="n">
        <v>1.13</v>
      </c>
      <c r="E492" s="4" t="n">
        <v>352300</v>
      </c>
      <c r="F492" s="4" t="n">
        <v>398098.9999999999</v>
      </c>
    </row>
    <row r="493">
      <c r="A493" s="3" t="inlineStr">
        <is>
          <t>1</t>
        </is>
      </c>
      <c r="B493" s="3" t="inlineStr">
        <is>
          <t>Stamper Smooth_Drum</t>
        </is>
      </c>
      <c r="C493" s="3" t="inlineStr">
        <is>
          <t>hari</t>
        </is>
      </c>
      <c r="D493" s="15" t="n">
        <v>0.0574</v>
      </c>
      <c r="E493" s="4" t="n">
        <v>350000</v>
      </c>
      <c r="F493" s="4" t="n">
        <v>20090</v>
      </c>
    </row>
    <row r="494">
      <c r="D494" s="2" t="inlineStr">
        <is>
          <t>SUBTOTAL UPAH</t>
        </is>
      </c>
      <c r="F494" s="16" t="n">
        <v>33000</v>
      </c>
    </row>
    <row r="495">
      <c r="D495" s="2" t="inlineStr">
        <is>
          <t>SUBTOTAL BAHAN</t>
        </is>
      </c>
      <c r="F495" s="16" t="n">
        <v>398098.9999999999</v>
      </c>
    </row>
    <row r="496">
      <c r="D496" s="2" t="inlineStr">
        <is>
          <t>SUBTOTAL ALAT</t>
        </is>
      </c>
      <c r="F496" s="16" t="n">
        <v>20090</v>
      </c>
    </row>
    <row r="497">
      <c r="E497" s="2" t="inlineStr">
        <is>
          <t>TOTAL HARGA SATUAN (Inc. Overhead)</t>
        </is>
      </c>
      <c r="F497" s="17" t="n">
        <v>496307</v>
      </c>
    </row>
    <row r="499">
      <c r="A499" s="14" t="inlineStr">
        <is>
          <t>KODE: 1.3.3.6 - 1 m3 Timbunan dan Pemadatan Makadam semi mekanis</t>
        </is>
      </c>
    </row>
    <row r="500">
      <c r="A500" s="10" t="inlineStr">
        <is>
          <t>No</t>
        </is>
      </c>
      <c r="B500" s="10" t="inlineStr">
        <is>
          <t>Uraian Komponen</t>
        </is>
      </c>
      <c r="C500" s="10" t="inlineStr">
        <is>
          <t>Satuan</t>
        </is>
      </c>
      <c r="D500" s="10" t="inlineStr">
        <is>
          <t>Koef</t>
        </is>
      </c>
      <c r="E500" s="10" t="inlineStr">
        <is>
          <t>Harga Satuan (Rp)</t>
        </is>
      </c>
      <c r="F500" s="10" t="inlineStr">
        <is>
          <t>Jumlah Harga (Rp)</t>
        </is>
      </c>
    </row>
    <row r="501">
      <c r="A501" s="3" t="inlineStr">
        <is>
          <t>1</t>
        </is>
      </c>
      <c r="B501" s="3" t="inlineStr">
        <is>
          <t>Pekerja</t>
        </is>
      </c>
      <c r="C501" s="3" t="inlineStr">
        <is>
          <t>OH</t>
        </is>
      </c>
      <c r="D501" s="15" t="n">
        <v>0.4</v>
      </c>
      <c r="E501" s="4" t="n">
        <v>100000</v>
      </c>
      <c r="F501" s="4" t="n">
        <v>40000</v>
      </c>
    </row>
    <row r="502">
      <c r="A502" s="3" t="inlineStr">
        <is>
          <t>2</t>
        </is>
      </c>
      <c r="B502" s="3" t="inlineStr">
        <is>
          <t>Mandor</t>
        </is>
      </c>
      <c r="C502" s="3" t="inlineStr">
        <is>
          <t>OH</t>
        </is>
      </c>
      <c r="D502" s="15" t="n">
        <v>0.02</v>
      </c>
      <c r="E502" s="4" t="n">
        <v>200000</v>
      </c>
      <c r="F502" s="4" t="n">
        <v>4000</v>
      </c>
    </row>
    <row r="503">
      <c r="A503" s="3" t="inlineStr">
        <is>
          <t>1</t>
        </is>
      </c>
      <c r="B503" s="3" t="inlineStr">
        <is>
          <t>batu pecah 5/7</t>
        </is>
      </c>
      <c r="C503" s="3" t="inlineStr">
        <is>
          <t>m3</t>
        </is>
      </c>
      <c r="D503" s="15" t="n">
        <v>1.13</v>
      </c>
      <c r="E503" s="4" t="n">
        <v>351800</v>
      </c>
      <c r="F503" s="4" t="n">
        <v>397533.9999999999</v>
      </c>
    </row>
    <row r="504">
      <c r="A504" s="3" t="inlineStr">
        <is>
          <t>1</t>
        </is>
      </c>
      <c r="B504" s="3" t="inlineStr">
        <is>
          <t>Stamper Kodok 150 kg</t>
        </is>
      </c>
      <c r="C504" s="3" t="inlineStr">
        <is>
          <t>hari</t>
        </is>
      </c>
      <c r="D504" s="15" t="n">
        <v>0.0574</v>
      </c>
      <c r="E504" s="4" t="n">
        <v>350000</v>
      </c>
      <c r="F504" s="4" t="n">
        <v>20090</v>
      </c>
    </row>
    <row r="505">
      <c r="D505" s="2" t="inlineStr">
        <is>
          <t>SUBTOTAL UPAH</t>
        </is>
      </c>
      <c r="F505" s="16" t="n">
        <v>44000</v>
      </c>
    </row>
    <row r="506">
      <c r="D506" s="2" t="inlineStr">
        <is>
          <t>SUBTOTAL BAHAN</t>
        </is>
      </c>
      <c r="F506" s="16" t="n">
        <v>397533.9999999999</v>
      </c>
    </row>
    <row r="507">
      <c r="D507" s="2" t="inlineStr">
        <is>
          <t>SUBTOTAL ALAT</t>
        </is>
      </c>
      <c r="F507" s="16" t="n">
        <v>20090</v>
      </c>
    </row>
    <row r="508">
      <c r="E508" s="2" t="inlineStr">
        <is>
          <t>TOTAL HARGA SATUAN (Inc. Overhead)</t>
        </is>
      </c>
      <c r="F508" s="17" t="n">
        <v>507786</v>
      </c>
    </row>
    <row r="510">
      <c r="A510" s="14" t="inlineStr">
        <is>
          <t>KODE: 1.4.1.2 - Mengangkut 1 m3 tanah lepas, jarak angkut  &gt; 10 m s.d 20 m</t>
        </is>
      </c>
    </row>
    <row r="511">
      <c r="A511" s="10" t="inlineStr">
        <is>
          <t>No</t>
        </is>
      </c>
      <c r="B511" s="10" t="inlineStr">
        <is>
          <t>Uraian Komponen</t>
        </is>
      </c>
      <c r="C511" s="10" t="inlineStr">
        <is>
          <t>Satuan</t>
        </is>
      </c>
      <c r="D511" s="10" t="inlineStr">
        <is>
          <t>Koef</t>
        </is>
      </c>
      <c r="E511" s="10" t="inlineStr">
        <is>
          <t>Harga Satuan (Rp)</t>
        </is>
      </c>
      <c r="F511" s="10" t="inlineStr">
        <is>
          <t>Jumlah Harga (Rp)</t>
        </is>
      </c>
    </row>
    <row r="512">
      <c r="A512" s="3" t="inlineStr">
        <is>
          <t>1</t>
        </is>
      </c>
      <c r="B512" s="3" t="inlineStr">
        <is>
          <t>Pekerja</t>
        </is>
      </c>
      <c r="C512" s="3" t="inlineStr">
        <is>
          <t>OH</t>
        </is>
      </c>
      <c r="D512" s="15" t="n">
        <v>0.2254</v>
      </c>
      <c r="E512" s="4" t="n">
        <v>100000</v>
      </c>
      <c r="F512" s="4" t="n">
        <v>22540</v>
      </c>
    </row>
    <row r="513">
      <c r="A513" s="3" t="inlineStr">
        <is>
          <t>2</t>
        </is>
      </c>
      <c r="B513" s="3" t="inlineStr">
        <is>
          <t>Mandor</t>
        </is>
      </c>
      <c r="C513" s="3" t="inlineStr">
        <is>
          <t>OH</t>
        </is>
      </c>
      <c r="D513" s="15" t="n">
        <v>0.0112</v>
      </c>
      <c r="E513" s="4" t="n">
        <v>200000</v>
      </c>
      <c r="F513" s="4" t="n">
        <v>2240</v>
      </c>
    </row>
    <row r="514">
      <c r="D514" s="2" t="inlineStr">
        <is>
          <t>SUBTOTAL UPAH</t>
        </is>
      </c>
      <c r="F514" s="16" t="n">
        <v>24780</v>
      </c>
    </row>
    <row r="515">
      <c r="D515" s="2" t="inlineStr">
        <is>
          <t>SUBTOTAL BAHAN</t>
        </is>
      </c>
      <c r="F515" s="16" t="n">
        <v>0</v>
      </c>
    </row>
    <row r="516">
      <c r="D516" s="2" t="inlineStr">
        <is>
          <t>SUBTOTAL ALAT</t>
        </is>
      </c>
      <c r="F516" s="16" t="n">
        <v>0</v>
      </c>
    </row>
    <row r="517">
      <c r="E517" s="2" t="inlineStr">
        <is>
          <t>TOTAL HARGA SATUAN (Inc. Overhead)</t>
        </is>
      </c>
      <c r="F517" s="17" t="n">
        <v>27258</v>
      </c>
    </row>
    <row r="519">
      <c r="A519" s="14" t="inlineStr">
        <is>
          <t>KODE: 1.4.1.3 - Mengangkut 1 m3 tanah lepas, jarak angkut &gt; 20 m s.d 30 m</t>
        </is>
      </c>
    </row>
    <row r="520">
      <c r="A520" s="10" t="inlineStr">
        <is>
          <t>No</t>
        </is>
      </c>
      <c r="B520" s="10" t="inlineStr">
        <is>
          <t>Uraian Komponen</t>
        </is>
      </c>
      <c r="C520" s="10" t="inlineStr">
        <is>
          <t>Satuan</t>
        </is>
      </c>
      <c r="D520" s="10" t="inlineStr">
        <is>
          <t>Koef</t>
        </is>
      </c>
      <c r="E520" s="10" t="inlineStr">
        <is>
          <t>Harga Satuan (Rp)</t>
        </is>
      </c>
      <c r="F520" s="10" t="inlineStr">
        <is>
          <t>Jumlah Harga (Rp)</t>
        </is>
      </c>
    </row>
    <row r="521">
      <c r="A521" s="3" t="inlineStr">
        <is>
          <t>1</t>
        </is>
      </c>
      <c r="B521" s="3" t="inlineStr">
        <is>
          <t>Pekerja</t>
        </is>
      </c>
      <c r="C521" s="3" t="inlineStr">
        <is>
          <t>OH</t>
        </is>
      </c>
      <c r="D521" s="15" t="n">
        <v>0.2363</v>
      </c>
      <c r="E521" s="4" t="n">
        <v>100000</v>
      </c>
      <c r="F521" s="4" t="n">
        <v>23630</v>
      </c>
    </row>
    <row r="522">
      <c r="A522" s="3" t="inlineStr">
        <is>
          <t>2</t>
        </is>
      </c>
      <c r="B522" s="3" t="inlineStr">
        <is>
          <t>Mandor</t>
        </is>
      </c>
      <c r="C522" s="3" t="inlineStr">
        <is>
          <t>OH</t>
        </is>
      </c>
      <c r="D522" s="15" t="n">
        <v>0.018</v>
      </c>
      <c r="E522" s="4" t="n">
        <v>200000</v>
      </c>
      <c r="F522" s="4" t="n">
        <v>3600</v>
      </c>
    </row>
    <row r="523">
      <c r="D523" s="2" t="inlineStr">
        <is>
          <t>SUBTOTAL UPAH</t>
        </is>
      </c>
      <c r="F523" s="16" t="n">
        <v>27230</v>
      </c>
    </row>
    <row r="524">
      <c r="D524" s="2" t="inlineStr">
        <is>
          <t>SUBTOTAL BAHAN</t>
        </is>
      </c>
      <c r="F524" s="16" t="n">
        <v>0</v>
      </c>
    </row>
    <row r="525">
      <c r="D525" s="2" t="inlineStr">
        <is>
          <t>SUBTOTAL ALAT</t>
        </is>
      </c>
      <c r="F525" s="16" t="n">
        <v>0</v>
      </c>
    </row>
    <row r="526">
      <c r="E526" s="2" t="inlineStr">
        <is>
          <t>TOTAL HARGA SATUAN (Inc. Overhead)</t>
        </is>
      </c>
      <c r="F526" s="17" t="n">
        <v>29953</v>
      </c>
    </row>
    <row r="528">
      <c r="A528" s="14" t="inlineStr">
        <is>
          <t>KODE: 1.4.1.4 - Mengangkut 1 m3 tanah lepas, jarak angkut &gt; 30 m s.d 40 m</t>
        </is>
      </c>
    </row>
    <row r="529">
      <c r="A529" s="10" t="inlineStr">
        <is>
          <t>No</t>
        </is>
      </c>
      <c r="B529" s="10" t="inlineStr">
        <is>
          <t>Uraian Komponen</t>
        </is>
      </c>
      <c r="C529" s="10" t="inlineStr">
        <is>
          <t>Satuan</t>
        </is>
      </c>
      <c r="D529" s="10" t="inlineStr">
        <is>
          <t>Koef</t>
        </is>
      </c>
      <c r="E529" s="10" t="inlineStr">
        <is>
          <t>Harga Satuan (Rp)</t>
        </is>
      </c>
      <c r="F529" s="10" t="inlineStr">
        <is>
          <t>Jumlah Harga (Rp)</t>
        </is>
      </c>
    </row>
    <row r="530">
      <c r="A530" s="3" t="inlineStr">
        <is>
          <t>1</t>
        </is>
      </c>
      <c r="B530" s="3" t="inlineStr">
        <is>
          <t>Pekerja</t>
        </is>
      </c>
      <c r="C530" s="3" t="inlineStr">
        <is>
          <t>OH</t>
        </is>
      </c>
      <c r="D530" s="15" t="n">
        <v>0.2505</v>
      </c>
      <c r="E530" s="4" t="n">
        <v>100000</v>
      </c>
      <c r="F530" s="4" t="n">
        <v>25050</v>
      </c>
    </row>
    <row r="531">
      <c r="A531" s="3" t="inlineStr">
        <is>
          <t>2</t>
        </is>
      </c>
      <c r="B531" s="3" t="inlineStr">
        <is>
          <t>Mandor</t>
        </is>
      </c>
      <c r="C531" s="3" t="inlineStr">
        <is>
          <t>OH</t>
        </is>
      </c>
      <c r="D531" s="15" t="n">
        <v>0.0125</v>
      </c>
      <c r="E531" s="4" t="n">
        <v>200000</v>
      </c>
      <c r="F531" s="4" t="n">
        <v>2500</v>
      </c>
    </row>
    <row r="532">
      <c r="D532" s="2" t="inlineStr">
        <is>
          <t>SUBTOTAL UPAH</t>
        </is>
      </c>
      <c r="F532" s="16" t="n">
        <v>27550</v>
      </c>
    </row>
    <row r="533">
      <c r="D533" s="2" t="inlineStr">
        <is>
          <t>SUBTOTAL BAHAN</t>
        </is>
      </c>
      <c r="F533" s="16" t="n">
        <v>0</v>
      </c>
    </row>
    <row r="534">
      <c r="D534" s="2" t="inlineStr">
        <is>
          <t>SUBTOTAL ALAT</t>
        </is>
      </c>
      <c r="F534" s="16" t="n">
        <v>0</v>
      </c>
    </row>
    <row r="535">
      <c r="E535" s="2" t="inlineStr">
        <is>
          <t>TOTAL HARGA SATUAN (Inc. Overhead)</t>
        </is>
      </c>
      <c r="F535" s="17" t="n">
        <v>30305</v>
      </c>
    </row>
    <row r="537">
      <c r="A537" s="14" t="inlineStr">
        <is>
          <t>KODE: 1.4.1.5 - Mengangkut 1 m3 tanah lepas, jarak angkut &gt; 40 m s.d 50 m</t>
        </is>
      </c>
    </row>
    <row r="538">
      <c r="A538" s="10" t="inlineStr">
        <is>
          <t>No</t>
        </is>
      </c>
      <c r="B538" s="10" t="inlineStr">
        <is>
          <t>Uraian Komponen</t>
        </is>
      </c>
      <c r="C538" s="10" t="inlineStr">
        <is>
          <t>Satuan</t>
        </is>
      </c>
      <c r="D538" s="10" t="inlineStr">
        <is>
          <t>Koef</t>
        </is>
      </c>
      <c r="E538" s="10" t="inlineStr">
        <is>
          <t>Harga Satuan (Rp)</t>
        </is>
      </c>
      <c r="F538" s="10" t="inlineStr">
        <is>
          <t>Jumlah Harga (Rp)</t>
        </is>
      </c>
    </row>
    <row r="539">
      <c r="A539" s="3" t="inlineStr">
        <is>
          <t>1</t>
        </is>
      </c>
      <c r="B539" s="3" t="inlineStr">
        <is>
          <t>Pekerja</t>
        </is>
      </c>
      <c r="C539" s="3" t="inlineStr">
        <is>
          <t>OH</t>
        </is>
      </c>
      <c r="D539" s="15" t="n">
        <v>0.2722</v>
      </c>
      <c r="E539" s="4" t="n">
        <v>100000</v>
      </c>
      <c r="F539" s="4" t="n">
        <v>27220</v>
      </c>
    </row>
    <row r="540">
      <c r="A540" s="3" t="inlineStr">
        <is>
          <t>2</t>
        </is>
      </c>
      <c r="B540" s="3" t="inlineStr">
        <is>
          <t>Mandor</t>
        </is>
      </c>
      <c r="C540" s="3" t="inlineStr">
        <is>
          <t>OH</t>
        </is>
      </c>
      <c r="D540" s="15" t="n">
        <v>0.0136</v>
      </c>
      <c r="E540" s="4" t="n">
        <v>200000</v>
      </c>
      <c r="F540" s="4" t="n">
        <v>2720</v>
      </c>
    </row>
    <row r="541">
      <c r="D541" s="2" t="inlineStr">
        <is>
          <t>SUBTOTAL UPAH</t>
        </is>
      </c>
      <c r="F541" s="16" t="n">
        <v>29940</v>
      </c>
    </row>
    <row r="542">
      <c r="D542" s="2" t="inlineStr">
        <is>
          <t>SUBTOTAL BAHAN</t>
        </is>
      </c>
      <c r="F542" s="16" t="n">
        <v>0</v>
      </c>
    </row>
    <row r="543">
      <c r="D543" s="2" t="inlineStr">
        <is>
          <t>SUBTOTAL ALAT</t>
        </is>
      </c>
      <c r="F543" s="16" t="n">
        <v>0</v>
      </c>
    </row>
    <row r="544">
      <c r="E544" s="2" t="inlineStr">
        <is>
          <t>TOTAL HARGA SATUAN (Inc. Overhead)</t>
        </is>
      </c>
      <c r="F544" s="17" t="n">
        <v>32934</v>
      </c>
    </row>
    <row r="546">
      <c r="A546" s="14" t="inlineStr">
        <is>
          <t>KODE: 1.4.1.6 - Mengangkut 1 m3 tanah lepas, jarak angkut &gt; 50 m s.d 100 m</t>
        </is>
      </c>
    </row>
    <row r="547">
      <c r="A547" s="10" t="inlineStr">
        <is>
          <t>No</t>
        </is>
      </c>
      <c r="B547" s="10" t="inlineStr">
        <is>
          <t>Uraian Komponen</t>
        </is>
      </c>
      <c r="C547" s="10" t="inlineStr">
        <is>
          <t>Satuan</t>
        </is>
      </c>
      <c r="D547" s="10" t="inlineStr">
        <is>
          <t>Koef</t>
        </is>
      </c>
      <c r="E547" s="10" t="inlineStr">
        <is>
          <t>Harga Satuan (Rp)</t>
        </is>
      </c>
      <c r="F547" s="10" t="inlineStr">
        <is>
          <t>Jumlah Harga (Rp)</t>
        </is>
      </c>
    </row>
    <row r="548">
      <c r="A548" s="3" t="inlineStr">
        <is>
          <t>1</t>
        </is>
      </c>
      <c r="B548" s="3" t="inlineStr">
        <is>
          <t>Pekerja</t>
        </is>
      </c>
      <c r="C548" s="3" t="inlineStr">
        <is>
          <t>OH</t>
        </is>
      </c>
      <c r="D548" s="15" t="n">
        <v>0.344</v>
      </c>
      <c r="E548" s="4" t="n">
        <v>100000</v>
      </c>
      <c r="F548" s="4" t="n">
        <v>34400</v>
      </c>
    </row>
    <row r="549">
      <c r="A549" s="3" t="inlineStr">
        <is>
          <t>2</t>
        </is>
      </c>
      <c r="B549" s="3" t="inlineStr">
        <is>
          <t>Mandor</t>
        </is>
      </c>
      <c r="C549" s="3" t="inlineStr">
        <is>
          <t>OH</t>
        </is>
      </c>
      <c r="D549" s="15" t="n">
        <v>0.0172</v>
      </c>
      <c r="E549" s="4" t="n">
        <v>200000</v>
      </c>
      <c r="F549" s="4" t="n">
        <v>3440</v>
      </c>
    </row>
    <row r="550">
      <c r="D550" s="2" t="inlineStr">
        <is>
          <t>SUBTOTAL UPAH</t>
        </is>
      </c>
      <c r="F550" s="16" t="n">
        <v>37840</v>
      </c>
    </row>
    <row r="551">
      <c r="D551" s="2" t="inlineStr">
        <is>
          <t>SUBTOTAL BAHAN</t>
        </is>
      </c>
      <c r="F551" s="16" t="n">
        <v>0</v>
      </c>
    </row>
    <row r="552">
      <c r="D552" s="2" t="inlineStr">
        <is>
          <t>SUBTOTAL ALAT</t>
        </is>
      </c>
      <c r="F552" s="16" t="n">
        <v>0</v>
      </c>
    </row>
    <row r="553">
      <c r="E553" s="2" t="inlineStr">
        <is>
          <t>TOTAL HARGA SATUAN (Inc. Overhead)</t>
        </is>
      </c>
      <c r="F553" s="17" t="n">
        <v>41624</v>
      </c>
    </row>
    <row r="555">
      <c r="A555" s="14" t="inlineStr">
        <is>
          <t>KODE: 1.4.1.7 - Mengangkut 1 m3 tanah lepas, jarak angkut &gt; 100 m s.d 200 m</t>
        </is>
      </c>
    </row>
    <row r="556">
      <c r="A556" s="10" t="inlineStr">
        <is>
          <t>No</t>
        </is>
      </c>
      <c r="B556" s="10" t="inlineStr">
        <is>
          <t>Uraian Komponen</t>
        </is>
      </c>
      <c r="C556" s="10" t="inlineStr">
        <is>
          <t>Satuan</t>
        </is>
      </c>
      <c r="D556" s="10" t="inlineStr">
        <is>
          <t>Koef</t>
        </is>
      </c>
      <c r="E556" s="10" t="inlineStr">
        <is>
          <t>Harga Satuan (Rp)</t>
        </is>
      </c>
      <c r="F556" s="10" t="inlineStr">
        <is>
          <t>Jumlah Harga (Rp)</t>
        </is>
      </c>
    </row>
    <row r="557">
      <c r="A557" s="3" t="inlineStr">
        <is>
          <t>1</t>
        </is>
      </c>
      <c r="B557" s="3" t="inlineStr">
        <is>
          <t>Pekerja</t>
        </is>
      </c>
      <c r="C557" s="3" t="inlineStr">
        <is>
          <t>OH</t>
        </is>
      </c>
      <c r="D557" s="15" t="n">
        <v>0.4843</v>
      </c>
      <c r="E557" s="4" t="n">
        <v>100000</v>
      </c>
      <c r="F557" s="4" t="n">
        <v>48430</v>
      </c>
    </row>
    <row r="558">
      <c r="A558" s="3" t="inlineStr">
        <is>
          <t>2</t>
        </is>
      </c>
      <c r="B558" s="3" t="inlineStr">
        <is>
          <t>Mandor</t>
        </is>
      </c>
      <c r="C558" s="3" t="inlineStr">
        <is>
          <t>OH</t>
        </is>
      </c>
      <c r="D558" s="15" t="n">
        <v>0.0242</v>
      </c>
      <c r="E558" s="4" t="n">
        <v>200000</v>
      </c>
      <c r="F558" s="4" t="n">
        <v>4840</v>
      </c>
    </row>
    <row r="559">
      <c r="D559" s="2" t="inlineStr">
        <is>
          <t>SUBTOTAL UPAH</t>
        </is>
      </c>
      <c r="F559" s="16" t="n">
        <v>53270</v>
      </c>
    </row>
    <row r="560">
      <c r="D560" s="2" t="inlineStr">
        <is>
          <t>SUBTOTAL BAHAN</t>
        </is>
      </c>
      <c r="F560" s="16" t="n">
        <v>0</v>
      </c>
    </row>
    <row r="561">
      <c r="D561" s="2" t="inlineStr">
        <is>
          <t>SUBTOTAL ALAT</t>
        </is>
      </c>
      <c r="F561" s="16" t="n">
        <v>0</v>
      </c>
    </row>
    <row r="562">
      <c r="E562" s="2" t="inlineStr">
        <is>
          <t>TOTAL HARGA SATUAN (Inc. Overhead)</t>
        </is>
      </c>
      <c r="F562" s="17" t="n">
        <v>58597</v>
      </c>
    </row>
    <row r="564">
      <c r="A564" s="14" t="inlineStr">
        <is>
          <t>KODE: 1.4.1.8 - Mengangkut 1 m3 tanah lepas, jarak angkut &gt; 200 m s.d 300 m</t>
        </is>
      </c>
    </row>
    <row r="565">
      <c r="A565" s="10" t="inlineStr">
        <is>
          <t>No</t>
        </is>
      </c>
      <c r="B565" s="10" t="inlineStr">
        <is>
          <t>Uraian Komponen</t>
        </is>
      </c>
      <c r="C565" s="10" t="inlineStr">
        <is>
          <t>Satuan</t>
        </is>
      </c>
      <c r="D565" s="10" t="inlineStr">
        <is>
          <t>Koef</t>
        </is>
      </c>
      <c r="E565" s="10" t="inlineStr">
        <is>
          <t>Harga Satuan (Rp)</t>
        </is>
      </c>
      <c r="F565" s="10" t="inlineStr">
        <is>
          <t>Jumlah Harga (Rp)</t>
        </is>
      </c>
    </row>
    <row r="566">
      <c r="A566" s="3" t="inlineStr">
        <is>
          <t>1</t>
        </is>
      </c>
      <c r="B566" s="3" t="inlineStr">
        <is>
          <t>Pekerja</t>
        </is>
      </c>
      <c r="C566" s="3" t="inlineStr">
        <is>
          <t>OH</t>
        </is>
      </c>
      <c r="D566" s="15" t="n">
        <v>0.6513</v>
      </c>
      <c r="E566" s="4" t="n">
        <v>100000</v>
      </c>
      <c r="F566" s="4" t="n">
        <v>65130</v>
      </c>
    </row>
    <row r="567">
      <c r="A567" s="3" t="inlineStr">
        <is>
          <t>2</t>
        </is>
      </c>
      <c r="B567" s="3" t="inlineStr">
        <is>
          <t>Mandor</t>
        </is>
      </c>
      <c r="C567" s="3" t="inlineStr">
        <is>
          <t>OH</t>
        </is>
      </c>
      <c r="D567" s="15" t="n">
        <v>0.0325</v>
      </c>
      <c r="E567" s="4" t="n">
        <v>200000</v>
      </c>
      <c r="F567" s="4" t="n">
        <v>6500</v>
      </c>
    </row>
    <row r="568">
      <c r="D568" s="2" t="inlineStr">
        <is>
          <t>SUBTOTAL UPAH</t>
        </is>
      </c>
      <c r="F568" s="16" t="n">
        <v>71630</v>
      </c>
    </row>
    <row r="569">
      <c r="D569" s="2" t="inlineStr">
        <is>
          <t>SUBTOTAL BAHAN</t>
        </is>
      </c>
      <c r="F569" s="16" t="n">
        <v>0</v>
      </c>
    </row>
    <row r="570">
      <c r="D570" s="2" t="inlineStr">
        <is>
          <t>SUBTOTAL ALAT</t>
        </is>
      </c>
      <c r="F570" s="16" t="n">
        <v>0</v>
      </c>
    </row>
    <row r="571">
      <c r="E571" s="2" t="inlineStr">
        <is>
          <t>TOTAL HARGA SATUAN (Inc. Overhead)</t>
        </is>
      </c>
      <c r="F571" s="17" t="n">
        <v>78793</v>
      </c>
    </row>
    <row r="573">
      <c r="A573" s="14" t="inlineStr">
        <is>
          <t>KODE: 1.4.1.9 - Mengangkut 1 m3 tanah lepas, jarak angkut &gt; 300 m s.d 400 m</t>
        </is>
      </c>
    </row>
    <row r="574">
      <c r="A574" s="10" t="inlineStr">
        <is>
          <t>No</t>
        </is>
      </c>
      <c r="B574" s="10" t="inlineStr">
        <is>
          <t>Uraian Komponen</t>
        </is>
      </c>
      <c r="C574" s="10" t="inlineStr">
        <is>
          <t>Satuan</t>
        </is>
      </c>
      <c r="D574" s="10" t="inlineStr">
        <is>
          <t>Koef</t>
        </is>
      </c>
      <c r="E574" s="10" t="inlineStr">
        <is>
          <t>Harga Satuan (Rp)</t>
        </is>
      </c>
      <c r="F574" s="10" t="inlineStr">
        <is>
          <t>Jumlah Harga (Rp)</t>
        </is>
      </c>
    </row>
    <row r="575">
      <c r="A575" s="3" t="inlineStr">
        <is>
          <t>1</t>
        </is>
      </c>
      <c r="B575" s="3" t="inlineStr">
        <is>
          <t>Pekerja</t>
        </is>
      </c>
      <c r="C575" s="3" t="inlineStr">
        <is>
          <t>OH</t>
        </is>
      </c>
      <c r="D575" s="15" t="n">
        <v>0.8475</v>
      </c>
      <c r="E575" s="4" t="n">
        <v>100000</v>
      </c>
      <c r="F575" s="4" t="n">
        <v>84750</v>
      </c>
    </row>
    <row r="576">
      <c r="A576" s="3" t="inlineStr">
        <is>
          <t>2</t>
        </is>
      </c>
      <c r="B576" s="3" t="inlineStr">
        <is>
          <t>Mandor</t>
        </is>
      </c>
      <c r="C576" s="3" t="inlineStr">
        <is>
          <t>OH</t>
        </is>
      </c>
      <c r="D576" s="15" t="n">
        <v>0.0423</v>
      </c>
      <c r="E576" s="4" t="n">
        <v>200000</v>
      </c>
      <c r="F576" s="4" t="n">
        <v>8460</v>
      </c>
    </row>
    <row r="577">
      <c r="D577" s="2" t="inlineStr">
        <is>
          <t>SUBTOTAL UPAH</t>
        </is>
      </c>
      <c r="F577" s="16" t="n">
        <v>93210</v>
      </c>
    </row>
    <row r="578">
      <c r="D578" s="2" t="inlineStr">
        <is>
          <t>SUBTOTAL BAHAN</t>
        </is>
      </c>
      <c r="F578" s="16" t="n">
        <v>0</v>
      </c>
    </row>
    <row r="579">
      <c r="D579" s="2" t="inlineStr">
        <is>
          <t>SUBTOTAL ALAT</t>
        </is>
      </c>
      <c r="F579" s="16" t="n">
        <v>0</v>
      </c>
    </row>
    <row r="580">
      <c r="E580" s="2" t="inlineStr">
        <is>
          <t>TOTAL HARGA SATUAN (Inc. Overhead)</t>
        </is>
      </c>
      <c r="F580" s="17" t="n">
        <v>102531</v>
      </c>
    </row>
    <row r="582">
      <c r="A582" s="14" t="inlineStr">
        <is>
          <t>KODE: 1.4.1.10 - Mengangkut 1 m3 tanah lepas, jarak angkut &gt; 400 m s.d 500 m</t>
        </is>
      </c>
    </row>
    <row r="583">
      <c r="A583" s="10" t="inlineStr">
        <is>
          <t>No</t>
        </is>
      </c>
      <c r="B583" s="10" t="inlineStr">
        <is>
          <t>Uraian Komponen</t>
        </is>
      </c>
      <c r="C583" s="10" t="inlineStr">
        <is>
          <t>Satuan</t>
        </is>
      </c>
      <c r="D583" s="10" t="inlineStr">
        <is>
          <t>Koef</t>
        </is>
      </c>
      <c r="E583" s="10" t="inlineStr">
        <is>
          <t>Harga Satuan (Rp)</t>
        </is>
      </c>
      <c r="F583" s="10" t="inlineStr">
        <is>
          <t>Jumlah Harga (Rp)</t>
        </is>
      </c>
    </row>
    <row r="584">
      <c r="A584" s="3" t="inlineStr">
        <is>
          <t>1</t>
        </is>
      </c>
      <c r="B584" s="3" t="inlineStr">
        <is>
          <t>Pekerja</t>
        </is>
      </c>
      <c r="C584" s="3" t="inlineStr">
        <is>
          <t>OH</t>
        </is>
      </c>
      <c r="D584" s="15" t="n">
        <v>1.0938</v>
      </c>
      <c r="E584" s="4" t="n">
        <v>100000</v>
      </c>
      <c r="F584" s="4" t="n">
        <v>109380</v>
      </c>
    </row>
    <row r="585">
      <c r="A585" s="3" t="inlineStr">
        <is>
          <t>2</t>
        </is>
      </c>
      <c r="B585" s="3" t="inlineStr">
        <is>
          <t>Mandor</t>
        </is>
      </c>
      <c r="C585" s="3" t="inlineStr">
        <is>
          <t>OH</t>
        </is>
      </c>
      <c r="D585" s="15" t="n">
        <v>0.0546</v>
      </c>
      <c r="E585" s="4" t="n">
        <v>200000</v>
      </c>
      <c r="F585" s="4" t="n">
        <v>10920</v>
      </c>
    </row>
    <row r="586">
      <c r="D586" s="2" t="inlineStr">
        <is>
          <t>SUBTOTAL UPAH</t>
        </is>
      </c>
      <c r="F586" s="16" t="n">
        <v>120300</v>
      </c>
    </row>
    <row r="587">
      <c r="D587" s="2" t="inlineStr">
        <is>
          <t>SUBTOTAL BAHAN</t>
        </is>
      </c>
      <c r="F587" s="16" t="n">
        <v>0</v>
      </c>
    </row>
    <row r="588">
      <c r="D588" s="2" t="inlineStr">
        <is>
          <t>SUBTOTAL ALAT</t>
        </is>
      </c>
      <c r="F588" s="16" t="n">
        <v>0</v>
      </c>
    </row>
    <row r="589">
      <c r="E589" s="2" t="inlineStr">
        <is>
          <t>TOTAL HARGA SATUAN (Inc. Overhead)</t>
        </is>
      </c>
      <c r="F589" s="17" t="n">
        <v>132330</v>
      </c>
    </row>
    <row r="591">
      <c r="A591" s="14" t="inlineStr">
        <is>
          <t>KODE: 1.4.1.11 - Mengangkut 1 m3 tanah lepas, jarak angkut &gt; 500 m s.d 600 m</t>
        </is>
      </c>
    </row>
    <row r="592">
      <c r="A592" s="10" t="inlineStr">
        <is>
          <t>No</t>
        </is>
      </c>
      <c r="B592" s="10" t="inlineStr">
        <is>
          <t>Uraian Komponen</t>
        </is>
      </c>
      <c r="C592" s="10" t="inlineStr">
        <is>
          <t>Satuan</t>
        </is>
      </c>
      <c r="D592" s="10" t="inlineStr">
        <is>
          <t>Koef</t>
        </is>
      </c>
      <c r="E592" s="10" t="inlineStr">
        <is>
          <t>Harga Satuan (Rp)</t>
        </is>
      </c>
      <c r="F592" s="10" t="inlineStr">
        <is>
          <t>Jumlah Harga (Rp)</t>
        </is>
      </c>
    </row>
    <row r="593">
      <c r="A593" s="3" t="inlineStr">
        <is>
          <t>1</t>
        </is>
      </c>
      <c r="B593" s="3" t="inlineStr">
        <is>
          <t>Pekerja</t>
        </is>
      </c>
      <c r="C593" s="3" t="inlineStr">
        <is>
          <t>OH</t>
        </is>
      </c>
      <c r="D593" s="15" t="n">
        <v>1.3777</v>
      </c>
      <c r="E593" s="4" t="n">
        <v>100000</v>
      </c>
      <c r="F593" s="4" t="n">
        <v>137770</v>
      </c>
    </row>
    <row r="594">
      <c r="A594" s="3" t="inlineStr">
        <is>
          <t>2</t>
        </is>
      </c>
      <c r="B594" s="3" t="inlineStr">
        <is>
          <t>Mandor</t>
        </is>
      </c>
      <c r="C594" s="3" t="inlineStr">
        <is>
          <t>OH</t>
        </is>
      </c>
      <c r="D594" s="15" t="n">
        <v>0.0688</v>
      </c>
      <c r="E594" s="4" t="n">
        <v>200000</v>
      </c>
      <c r="F594" s="4" t="n">
        <v>13760</v>
      </c>
    </row>
    <row r="595">
      <c r="D595" s="2" t="inlineStr">
        <is>
          <t>SUBTOTAL UPAH</t>
        </is>
      </c>
      <c r="F595" s="16" t="n">
        <v>151530</v>
      </c>
    </row>
    <row r="596">
      <c r="D596" s="2" t="inlineStr">
        <is>
          <t>SUBTOTAL BAHAN</t>
        </is>
      </c>
      <c r="F596" s="16" t="n">
        <v>0</v>
      </c>
    </row>
    <row r="597">
      <c r="D597" s="2" t="inlineStr">
        <is>
          <t>SUBTOTAL ALAT</t>
        </is>
      </c>
      <c r="F597" s="16" t="n">
        <v>0</v>
      </c>
    </row>
    <row r="598">
      <c r="E598" s="2" t="inlineStr">
        <is>
          <t>TOTAL HARGA SATUAN (Inc. Overhead)</t>
        </is>
      </c>
      <c r="F598" s="17" t="n">
        <v>166683</v>
      </c>
    </row>
    <row r="600">
      <c r="A600" s="14" t="inlineStr">
        <is>
          <t>KODE: 1.4.1.12 - Mengangkut 1 m3 tanah lepas, jarak angkut &gt; 600 m untuk setiap penambahan jarak angkut 100m</t>
        </is>
      </c>
    </row>
    <row r="601">
      <c r="A601" s="10" t="inlineStr">
        <is>
          <t>No</t>
        </is>
      </c>
      <c r="B601" s="10" t="inlineStr">
        <is>
          <t>Uraian Komponen</t>
        </is>
      </c>
      <c r="C601" s="10" t="inlineStr">
        <is>
          <t>Satuan</t>
        </is>
      </c>
      <c r="D601" s="10" t="inlineStr">
        <is>
          <t>Koef</t>
        </is>
      </c>
      <c r="E601" s="10" t="inlineStr">
        <is>
          <t>Harga Satuan (Rp)</t>
        </is>
      </c>
      <c r="F601" s="10" t="inlineStr">
        <is>
          <t>Jumlah Harga (Rp)</t>
        </is>
      </c>
    </row>
    <row r="602">
      <c r="A602" s="3" t="inlineStr">
        <is>
          <t>1</t>
        </is>
      </c>
      <c r="B602" s="3" t="inlineStr">
        <is>
          <t>Pekerja</t>
        </is>
      </c>
      <c r="C602" s="3" t="inlineStr">
        <is>
          <t>OH</t>
        </is>
      </c>
      <c r="D602" s="15" t="n">
        <v>0.275</v>
      </c>
      <c r="E602" s="4" t="n">
        <v>100000</v>
      </c>
      <c r="F602" s="4" t="n">
        <v>27500</v>
      </c>
    </row>
    <row r="603">
      <c r="A603" s="3" t="inlineStr">
        <is>
          <t>2</t>
        </is>
      </c>
      <c r="B603" s="3" t="inlineStr">
        <is>
          <t>Mandor</t>
        </is>
      </c>
      <c r="C603" s="3" t="inlineStr">
        <is>
          <t>OH</t>
        </is>
      </c>
      <c r="D603" s="15" t="n">
        <v>0.0137</v>
      </c>
      <c r="E603" s="4" t="n">
        <v>200000</v>
      </c>
      <c r="F603" s="4" t="n">
        <v>2740</v>
      </c>
    </row>
    <row r="604">
      <c r="D604" s="2" t="inlineStr">
        <is>
          <t>SUBTOTAL UPAH</t>
        </is>
      </c>
      <c r="F604" s="16" t="n">
        <v>30240</v>
      </c>
    </row>
    <row r="605">
      <c r="D605" s="2" t="inlineStr">
        <is>
          <t>SUBTOTAL BAHAN</t>
        </is>
      </c>
      <c r="F605" s="16" t="n">
        <v>0</v>
      </c>
    </row>
    <row r="606">
      <c r="D606" s="2" t="inlineStr">
        <is>
          <t>SUBTOTAL ALAT</t>
        </is>
      </c>
      <c r="F606" s="16" t="n">
        <v>0</v>
      </c>
    </row>
    <row r="607">
      <c r="E607" s="2" t="inlineStr">
        <is>
          <t>TOTAL HARGA SATUAN (Inc. Overhead)</t>
        </is>
      </c>
      <c r="F607" s="17" t="n">
        <v>33264</v>
      </c>
    </row>
    <row r="609">
      <c r="A609" s="14" t="inlineStr">
        <is>
          <t>KODE: 1.4.2.1 - 1 m3 Pembuangan tanah lumpur sejauh 1 km</t>
        </is>
      </c>
    </row>
    <row r="610">
      <c r="A610" s="10" t="inlineStr">
        <is>
          <t>No</t>
        </is>
      </c>
      <c r="B610" s="10" t="inlineStr">
        <is>
          <t>Uraian Komponen</t>
        </is>
      </c>
      <c r="C610" s="10" t="inlineStr">
        <is>
          <t>Satuan</t>
        </is>
      </c>
      <c r="D610" s="10" t="inlineStr">
        <is>
          <t>Koef</t>
        </is>
      </c>
      <c r="E610" s="10" t="inlineStr">
        <is>
          <t>Harga Satuan (Rp)</t>
        </is>
      </c>
      <c r="F610" s="10" t="inlineStr">
        <is>
          <t>Jumlah Harga (Rp)</t>
        </is>
      </c>
    </row>
    <row r="611">
      <c r="A611" s="3" t="inlineStr">
        <is>
          <t>1</t>
        </is>
      </c>
      <c r="B611" s="3" t="inlineStr">
        <is>
          <t>Pekerja</t>
        </is>
      </c>
      <c r="C611" s="3" t="inlineStr">
        <is>
          <t>OJ</t>
        </is>
      </c>
      <c r="D611" s="15" t="n">
        <v>0.9103</v>
      </c>
      <c r="E611" s="4" t="n">
        <v>100000</v>
      </c>
      <c r="F611" s="4" t="n">
        <v>91030</v>
      </c>
    </row>
    <row r="612">
      <c r="A612" s="3" t="inlineStr">
        <is>
          <t>2</t>
        </is>
      </c>
      <c r="B612" s="3" t="inlineStr">
        <is>
          <t>Mandor</t>
        </is>
      </c>
      <c r="C612" s="3" t="inlineStr">
        <is>
          <t>OJ</t>
        </is>
      </c>
      <c r="D612" s="15" t="n">
        <v>0.0455</v>
      </c>
      <c r="E612" s="4" t="n">
        <v>200000</v>
      </c>
      <c r="F612" s="4" t="n">
        <v>9100</v>
      </c>
    </row>
    <row r="613">
      <c r="A613" s="3" t="inlineStr">
        <is>
          <t>1</t>
        </is>
      </c>
      <c r="B613" s="3" t="inlineStr">
        <is>
          <t>Mobil Sedot Lumpur</t>
        </is>
      </c>
      <c r="C613" s="3" t="inlineStr">
        <is>
          <t>Jam</t>
        </is>
      </c>
      <c r="D613" s="15" t="n">
        <v>0.4552</v>
      </c>
      <c r="E613" s="4" t="n">
        <v>67500</v>
      </c>
      <c r="F613" s="4" t="n">
        <v>30726</v>
      </c>
    </row>
    <row r="614">
      <c r="D614" s="2" t="inlineStr">
        <is>
          <t>SUBTOTAL UPAH</t>
        </is>
      </c>
      <c r="F614" s="16" t="n">
        <v>100130</v>
      </c>
    </row>
    <row r="615">
      <c r="D615" s="2" t="inlineStr">
        <is>
          <t>SUBTOTAL BAHAN</t>
        </is>
      </c>
      <c r="F615" s="16" t="n">
        <v>0</v>
      </c>
    </row>
    <row r="616">
      <c r="D616" s="2" t="inlineStr">
        <is>
          <t>SUBTOTAL ALAT</t>
        </is>
      </c>
      <c r="F616" s="16" t="n">
        <v>30726</v>
      </c>
    </row>
    <row r="617">
      <c r="E617" s="2" t="inlineStr">
        <is>
          <t>TOTAL HARGA SATUAN (Inc. Overhead)</t>
        </is>
      </c>
      <c r="F617" s="17" t="n">
        <v>143941</v>
      </c>
    </row>
    <row r="619">
      <c r="A619" s="14" t="inlineStr">
        <is>
          <t>KODE: 1.4.2.2 - 1 m3 Pembuangan tanah lumpur sejauh 2 km</t>
        </is>
      </c>
    </row>
    <row r="620">
      <c r="A620" s="10" t="inlineStr">
        <is>
          <t>No</t>
        </is>
      </c>
      <c r="B620" s="10" t="inlineStr">
        <is>
          <t>Uraian Komponen</t>
        </is>
      </c>
      <c r="C620" s="10" t="inlineStr">
        <is>
          <t>Satuan</t>
        </is>
      </c>
      <c r="D620" s="10" t="inlineStr">
        <is>
          <t>Koef</t>
        </is>
      </c>
      <c r="E620" s="10" t="inlineStr">
        <is>
          <t>Harga Satuan (Rp)</t>
        </is>
      </c>
      <c r="F620" s="10" t="inlineStr">
        <is>
          <t>Jumlah Harga (Rp)</t>
        </is>
      </c>
    </row>
    <row r="621">
      <c r="A621" s="3" t="inlineStr">
        <is>
          <t>1</t>
        </is>
      </c>
      <c r="B621" s="3" t="inlineStr">
        <is>
          <t>Pekerja</t>
        </is>
      </c>
      <c r="C621" s="3" t="inlineStr">
        <is>
          <t>OJ</t>
        </is>
      </c>
      <c r="D621" s="15" t="n">
        <v>1.004</v>
      </c>
      <c r="E621" s="4" t="n">
        <v>100000</v>
      </c>
      <c r="F621" s="4" t="n">
        <v>100400</v>
      </c>
    </row>
    <row r="622">
      <c r="A622" s="3" t="inlineStr">
        <is>
          <t>2</t>
        </is>
      </c>
      <c r="B622" s="3" t="inlineStr">
        <is>
          <t>Mandor</t>
        </is>
      </c>
      <c r="C622" s="3" t="inlineStr">
        <is>
          <t>OJ</t>
        </is>
      </c>
      <c r="D622" s="15" t="n">
        <v>0.0502</v>
      </c>
      <c r="E622" s="4" t="n">
        <v>200000</v>
      </c>
      <c r="F622" s="4" t="n">
        <v>10040</v>
      </c>
    </row>
    <row r="623">
      <c r="A623" s="3" t="inlineStr">
        <is>
          <t>1</t>
        </is>
      </c>
      <c r="B623" s="3" t="inlineStr">
        <is>
          <t>Mobil Sedot Lumpur</t>
        </is>
      </c>
      <c r="C623" s="3" t="inlineStr">
        <is>
          <t>Jam</t>
        </is>
      </c>
      <c r="D623" s="15" t="n">
        <v>0.502</v>
      </c>
      <c r="E623" s="4" t="n">
        <v>67500</v>
      </c>
      <c r="F623" s="4" t="n">
        <v>33885</v>
      </c>
    </row>
    <row r="624">
      <c r="D624" s="2" t="inlineStr">
        <is>
          <t>SUBTOTAL UPAH</t>
        </is>
      </c>
      <c r="F624" s="16" t="n">
        <v>110440</v>
      </c>
    </row>
    <row r="625">
      <c r="D625" s="2" t="inlineStr">
        <is>
          <t>SUBTOTAL BAHAN</t>
        </is>
      </c>
      <c r="F625" s="16" t="n">
        <v>0</v>
      </c>
    </row>
    <row r="626">
      <c r="D626" s="2" t="inlineStr">
        <is>
          <t>SUBTOTAL ALAT</t>
        </is>
      </c>
      <c r="F626" s="16" t="n">
        <v>33885</v>
      </c>
    </row>
    <row r="627">
      <c r="E627" s="2" t="inlineStr">
        <is>
          <t>TOTAL HARGA SATUAN (Inc. Overhead)</t>
        </is>
      </c>
      <c r="F627" s="17" t="n">
        <v>158757</v>
      </c>
    </row>
    <row r="629">
      <c r="A629" s="14" t="inlineStr">
        <is>
          <t>KODE: 1.4.2.3 - 1 m3 Pembuangan tanah lumpur sejauh 3 km</t>
        </is>
      </c>
    </row>
    <row r="630">
      <c r="A630" s="10" t="inlineStr">
        <is>
          <t>No</t>
        </is>
      </c>
      <c r="B630" s="10" t="inlineStr">
        <is>
          <t>Uraian Komponen</t>
        </is>
      </c>
      <c r="C630" s="10" t="inlineStr">
        <is>
          <t>Satuan</t>
        </is>
      </c>
      <c r="D630" s="10" t="inlineStr">
        <is>
          <t>Koef</t>
        </is>
      </c>
      <c r="E630" s="10" t="inlineStr">
        <is>
          <t>Harga Satuan (Rp)</t>
        </is>
      </c>
      <c r="F630" s="10" t="inlineStr">
        <is>
          <t>Jumlah Harga (Rp)</t>
        </is>
      </c>
    </row>
    <row r="631">
      <c r="A631" s="3" t="inlineStr">
        <is>
          <t>1</t>
        </is>
      </c>
      <c r="B631" s="3" t="inlineStr">
        <is>
          <t>Pekerja</t>
        </is>
      </c>
      <c r="C631" s="3" t="inlineStr">
        <is>
          <t>OJ</t>
        </is>
      </c>
      <c r="D631" s="15" t="n">
        <v>1.0977</v>
      </c>
      <c r="E631" s="4" t="n">
        <v>100000</v>
      </c>
      <c r="F631" s="4" t="n">
        <v>109770</v>
      </c>
    </row>
    <row r="632">
      <c r="A632" s="3" t="inlineStr">
        <is>
          <t>2</t>
        </is>
      </c>
      <c r="B632" s="3" t="inlineStr">
        <is>
          <t>Mandor</t>
        </is>
      </c>
      <c r="C632" s="3" t="inlineStr">
        <is>
          <t>OJ</t>
        </is>
      </c>
      <c r="D632" s="15" t="n">
        <v>0.0549</v>
      </c>
      <c r="E632" s="4" t="n">
        <v>200000</v>
      </c>
      <c r="F632" s="4" t="n">
        <v>10980</v>
      </c>
    </row>
    <row r="633">
      <c r="A633" s="3" t="inlineStr">
        <is>
          <t>1</t>
        </is>
      </c>
      <c r="B633" s="3" t="inlineStr">
        <is>
          <t>Mobil Sedot Lumpur</t>
        </is>
      </c>
      <c r="C633" s="3" t="inlineStr">
        <is>
          <t>Jam</t>
        </is>
      </c>
      <c r="D633" s="15" t="n">
        <v>0.5489000000000001</v>
      </c>
      <c r="E633" s="4" t="n">
        <v>67500</v>
      </c>
      <c r="F633" s="4" t="n">
        <v>37050.75000000001</v>
      </c>
    </row>
    <row r="634">
      <c r="D634" s="2" t="inlineStr">
        <is>
          <t>SUBTOTAL UPAH</t>
        </is>
      </c>
      <c r="F634" s="16" t="n">
        <v>120750</v>
      </c>
    </row>
    <row r="635">
      <c r="D635" s="2" t="inlineStr">
        <is>
          <t>SUBTOTAL BAHAN</t>
        </is>
      </c>
      <c r="F635" s="16" t="n">
        <v>0</v>
      </c>
    </row>
    <row r="636">
      <c r="D636" s="2" t="inlineStr">
        <is>
          <t>SUBTOTAL ALAT</t>
        </is>
      </c>
      <c r="F636" s="16" t="n">
        <v>37050.75000000001</v>
      </c>
    </row>
    <row r="637">
      <c r="E637" s="2" t="inlineStr">
        <is>
          <t>TOTAL HARGA SATUAN (Inc. Overhead)</t>
        </is>
      </c>
      <c r="F637" s="17" t="n">
        <v>173580</v>
      </c>
    </row>
    <row r="639">
      <c r="A639" s="14" t="inlineStr">
        <is>
          <t>KODE: 1.4.2.4 - 1 m3 Pembuangan tanah lumpur sejauh 4 km</t>
        </is>
      </c>
    </row>
    <row r="640">
      <c r="A640" s="10" t="inlineStr">
        <is>
          <t>No</t>
        </is>
      </c>
      <c r="B640" s="10" t="inlineStr">
        <is>
          <t>Uraian Komponen</t>
        </is>
      </c>
      <c r="C640" s="10" t="inlineStr">
        <is>
          <t>Satuan</t>
        </is>
      </c>
      <c r="D640" s="10" t="inlineStr">
        <is>
          <t>Koef</t>
        </is>
      </c>
      <c r="E640" s="10" t="inlineStr">
        <is>
          <t>Harga Satuan (Rp)</t>
        </is>
      </c>
      <c r="F640" s="10" t="inlineStr">
        <is>
          <t>Jumlah Harga (Rp)</t>
        </is>
      </c>
    </row>
    <row r="641">
      <c r="A641" s="3" t="inlineStr">
        <is>
          <t>1</t>
        </is>
      </c>
      <c r="B641" s="3" t="inlineStr">
        <is>
          <t>Pekerja</t>
        </is>
      </c>
      <c r="C641" s="3" t="inlineStr">
        <is>
          <t>OJ</t>
        </is>
      </c>
      <c r="D641" s="15" t="n">
        <v>1.1914</v>
      </c>
      <c r="E641" s="4" t="n">
        <v>100000</v>
      </c>
      <c r="F641" s="4" t="n">
        <v>119140</v>
      </c>
    </row>
    <row r="642">
      <c r="A642" s="3" t="inlineStr">
        <is>
          <t>2</t>
        </is>
      </c>
      <c r="B642" s="3" t="inlineStr">
        <is>
          <t>Mandor</t>
        </is>
      </c>
      <c r="C642" s="3" t="inlineStr">
        <is>
          <t>OJ</t>
        </is>
      </c>
      <c r="D642" s="15" t="n">
        <v>0.0596</v>
      </c>
      <c r="E642" s="4" t="n">
        <v>200000</v>
      </c>
      <c r="F642" s="4" t="n">
        <v>11920</v>
      </c>
    </row>
    <row r="643">
      <c r="A643" s="3" t="inlineStr">
        <is>
          <t>1</t>
        </is>
      </c>
      <c r="B643" s="3" t="inlineStr">
        <is>
          <t>Mobil Sedot Lumpur</t>
        </is>
      </c>
      <c r="C643" s="3" t="inlineStr">
        <is>
          <t>Jam</t>
        </is>
      </c>
      <c r="D643" s="15" t="n">
        <v>0.5957</v>
      </c>
      <c r="E643" s="4" t="n">
        <v>67500</v>
      </c>
      <c r="F643" s="4" t="n">
        <v>40209.75</v>
      </c>
    </row>
    <row r="644">
      <c r="D644" s="2" t="inlineStr">
        <is>
          <t>SUBTOTAL UPAH</t>
        </is>
      </c>
      <c r="F644" s="16" t="n">
        <v>131060</v>
      </c>
    </row>
    <row r="645">
      <c r="D645" s="2" t="inlineStr">
        <is>
          <t>SUBTOTAL BAHAN</t>
        </is>
      </c>
      <c r="F645" s="16" t="n">
        <v>0</v>
      </c>
    </row>
    <row r="646">
      <c r="D646" s="2" t="inlineStr">
        <is>
          <t>SUBTOTAL ALAT</t>
        </is>
      </c>
      <c r="F646" s="16" t="n">
        <v>40209.75</v>
      </c>
    </row>
    <row r="647">
      <c r="E647" s="2" t="inlineStr">
        <is>
          <t>TOTAL HARGA SATUAN (Inc. Overhead)</t>
        </is>
      </c>
      <c r="F647" s="17" t="n">
        <v>188396</v>
      </c>
    </row>
    <row r="649">
      <c r="A649" s="14" t="inlineStr">
        <is>
          <t>KODE: 1.4.2.5 - 1 m3 Pembuangan tanah lumpur sejauh 5 km</t>
        </is>
      </c>
    </row>
    <row r="650">
      <c r="A650" s="10" t="inlineStr">
        <is>
          <t>No</t>
        </is>
      </c>
      <c r="B650" s="10" t="inlineStr">
        <is>
          <t>Uraian Komponen</t>
        </is>
      </c>
      <c r="C650" s="10" t="inlineStr">
        <is>
          <t>Satuan</t>
        </is>
      </c>
      <c r="D650" s="10" t="inlineStr">
        <is>
          <t>Koef</t>
        </is>
      </c>
      <c r="E650" s="10" t="inlineStr">
        <is>
          <t>Harga Satuan (Rp)</t>
        </is>
      </c>
      <c r="F650" s="10" t="inlineStr">
        <is>
          <t>Jumlah Harga (Rp)</t>
        </is>
      </c>
    </row>
    <row r="651">
      <c r="A651" s="3" t="inlineStr">
        <is>
          <t>1</t>
        </is>
      </c>
      <c r="B651" s="3" t="inlineStr">
        <is>
          <t>Pekerja</t>
        </is>
      </c>
      <c r="C651" s="3" t="inlineStr">
        <is>
          <t>OJ</t>
        </is>
      </c>
      <c r="D651" s="15" t="n">
        <v>1.2851</v>
      </c>
      <c r="E651" s="4" t="n">
        <v>100000</v>
      </c>
      <c r="F651" s="4" t="n">
        <v>128510</v>
      </c>
    </row>
    <row r="652">
      <c r="A652" s="3" t="inlineStr">
        <is>
          <t>2</t>
        </is>
      </c>
      <c r="B652" s="3" t="inlineStr">
        <is>
          <t>Mandor</t>
        </is>
      </c>
      <c r="C652" s="3" t="inlineStr">
        <is>
          <t>OJ</t>
        </is>
      </c>
      <c r="D652" s="15" t="n">
        <v>0.0643</v>
      </c>
      <c r="E652" s="4" t="n">
        <v>200000</v>
      </c>
      <c r="F652" s="4" t="n">
        <v>12860</v>
      </c>
    </row>
    <row r="653">
      <c r="A653" s="3" t="inlineStr">
        <is>
          <t>1</t>
        </is>
      </c>
      <c r="B653" s="3" t="inlineStr">
        <is>
          <t>Mobil Sedot Lumpur</t>
        </is>
      </c>
      <c r="C653" s="3" t="inlineStr">
        <is>
          <t>Jam</t>
        </is>
      </c>
      <c r="D653" s="15" t="n">
        <v>0.06426</v>
      </c>
      <c r="E653" s="4" t="n">
        <v>67500</v>
      </c>
      <c r="F653" s="4" t="n">
        <v>4337.55</v>
      </c>
    </row>
    <row r="654">
      <c r="D654" s="2" t="inlineStr">
        <is>
          <t>SUBTOTAL UPAH</t>
        </is>
      </c>
      <c r="F654" s="16" t="n">
        <v>141370</v>
      </c>
    </row>
    <row r="655">
      <c r="D655" s="2" t="inlineStr">
        <is>
          <t>SUBTOTAL BAHAN</t>
        </is>
      </c>
      <c r="F655" s="16" t="n">
        <v>0</v>
      </c>
    </row>
    <row r="656">
      <c r="D656" s="2" t="inlineStr">
        <is>
          <t>SUBTOTAL ALAT</t>
        </is>
      </c>
      <c r="F656" s="16" t="n">
        <v>4337.55</v>
      </c>
    </row>
    <row r="657">
      <c r="E657" s="2" t="inlineStr">
        <is>
          <t>TOTAL HARGA SATUAN (Inc. Overhead)</t>
        </is>
      </c>
      <c r="F657" s="17" t="n">
        <v>160278</v>
      </c>
    </row>
    <row r="659">
      <c r="A659" s="14" t="inlineStr">
        <is>
          <t>KODE: 2.1.1.1 - Pemasangan 1 m2 rangka atap pelana baja ringan (canai dingin) profil C75</t>
        </is>
      </c>
    </row>
    <row r="660">
      <c r="A660" s="10" t="inlineStr">
        <is>
          <t>No</t>
        </is>
      </c>
      <c r="B660" s="10" t="inlineStr">
        <is>
          <t>Uraian Komponen</t>
        </is>
      </c>
      <c r="C660" s="10" t="inlineStr">
        <is>
          <t>Satuan</t>
        </is>
      </c>
      <c r="D660" s="10" t="inlineStr">
        <is>
          <t>Koef</t>
        </is>
      </c>
      <c r="E660" s="10" t="inlineStr">
        <is>
          <t>Harga Satuan (Rp)</t>
        </is>
      </c>
      <c r="F660" s="10" t="inlineStr">
        <is>
          <t>Jumlah Harga (Rp)</t>
        </is>
      </c>
    </row>
    <row r="661">
      <c r="A661" s="3" t="inlineStr">
        <is>
          <t>1</t>
        </is>
      </c>
      <c r="B661" s="3" t="inlineStr">
        <is>
          <t>Pekerja</t>
        </is>
      </c>
      <c r="C661" s="3" t="inlineStr">
        <is>
          <t>OH</t>
        </is>
      </c>
      <c r="D661" s="15" t="n">
        <v>0.1014</v>
      </c>
      <c r="E661" s="4" t="n">
        <v>100000</v>
      </c>
      <c r="F661" s="4" t="n">
        <v>10140</v>
      </c>
    </row>
    <row r="662">
      <c r="A662" s="3" t="inlineStr">
        <is>
          <t>2</t>
        </is>
      </c>
      <c r="B662" s="3" t="inlineStr">
        <is>
          <t>Tukang besi</t>
        </is>
      </c>
      <c r="C662" s="3" t="inlineStr">
        <is>
          <t>OH</t>
        </is>
      </c>
      <c r="D662" s="15" t="n">
        <v>0.0169</v>
      </c>
      <c r="E662" s="4" t="n">
        <v>145000</v>
      </c>
      <c r="F662" s="4" t="n">
        <v>2450.5</v>
      </c>
    </row>
    <row r="663">
      <c r="A663" s="3" t="inlineStr">
        <is>
          <t>3</t>
        </is>
      </c>
      <c r="B663" s="3" t="inlineStr">
        <is>
          <t>Kepala tukang</t>
        </is>
      </c>
      <c r="C663" s="3" t="inlineStr">
        <is>
          <t>OH</t>
        </is>
      </c>
      <c r="D663" s="15" t="n">
        <v>0.0017</v>
      </c>
      <c r="E663" s="4" t="n">
        <v>175000</v>
      </c>
      <c r="F663" s="4" t="n">
        <v>297.5</v>
      </c>
    </row>
    <row r="664">
      <c r="A664" s="3" t="inlineStr">
        <is>
          <t>4</t>
        </is>
      </c>
      <c r="B664" s="3" t="inlineStr">
        <is>
          <t>Mandor</t>
        </is>
      </c>
      <c r="C664" s="3" t="inlineStr">
        <is>
          <t>OH</t>
        </is>
      </c>
      <c r="D664" s="15" t="n">
        <v>0.0005999999999999999</v>
      </c>
      <c r="E664" s="4" t="n">
        <v>200000</v>
      </c>
      <c r="F664" s="4" t="n">
        <v>120</v>
      </c>
    </row>
    <row r="665">
      <c r="A665" s="3" t="inlineStr">
        <is>
          <t>1</t>
        </is>
      </c>
      <c r="B665" s="3" t="inlineStr">
        <is>
          <t>"Baja Ringan C75 t=1 mm (Batang Utama)"</t>
        </is>
      </c>
      <c r="C665" s="3" t="inlineStr">
        <is>
          <t>batang</t>
        </is>
      </c>
      <c r="D665" s="15" t="n">
        <v>0.6137</v>
      </c>
      <c r="E665" s="4" t="n">
        <v>77200</v>
      </c>
      <c r="F665" s="4" t="n">
        <v>47377.64</v>
      </c>
    </row>
    <row r="666">
      <c r="A666" s="3" t="inlineStr">
        <is>
          <t>2</t>
        </is>
      </c>
      <c r="B666" s="3" t="inlineStr">
        <is>
          <t>"Baja Ringan C75 t=0 75 mm (Batang Pengaku)"</t>
        </is>
      </c>
      <c r="C666" s="3" t="inlineStr">
        <is>
          <t>batang</t>
        </is>
      </c>
      <c r="D666" s="15" t="n">
        <v>0.5016</v>
      </c>
      <c r="E666" s="4" t="n">
        <v>60000</v>
      </c>
      <c r="F666" s="4" t="n">
        <v>30096</v>
      </c>
    </row>
    <row r="667">
      <c r="A667" s="3" t="inlineStr">
        <is>
          <t>3</t>
        </is>
      </c>
      <c r="B667" s="3" t="inlineStr">
        <is>
          <t>"Baja Ringan C.75 t=1 00 mm (L Bracket)"</t>
        </is>
      </c>
      <c r="C667" s="3" t="inlineStr">
        <is>
          <t>batang</t>
        </is>
      </c>
      <c r="D667" s="15" t="n">
        <v>0.0113</v>
      </c>
      <c r="E667" s="4" t="n">
        <v>77200</v>
      </c>
      <c r="F667" s="4" t="n">
        <v>872.3599999999999</v>
      </c>
    </row>
    <row r="668">
      <c r="A668" s="3" t="inlineStr">
        <is>
          <t>4</t>
        </is>
      </c>
      <c r="B668" s="3" t="inlineStr">
        <is>
          <t>Dynabolt dia. 12 x 120 mm</t>
        </is>
      </c>
      <c r="C668" s="3" t="inlineStr">
        <is>
          <t>buah</t>
        </is>
      </c>
      <c r="D668" s="15" t="n">
        <v>0.6429</v>
      </c>
      <c r="E668" s="4" t="n">
        <v>4000</v>
      </c>
      <c r="F668" s="4" t="n">
        <v>2571.6</v>
      </c>
    </row>
    <row r="669">
      <c r="A669" s="3" t="inlineStr">
        <is>
          <t>5</t>
        </is>
      </c>
      <c r="B669" s="3" t="inlineStr">
        <is>
          <t>Self Drilling Screw dia-6 x 20 mm (Main Truss Screw)</t>
        </is>
      </c>
      <c r="C669" s="3" t="inlineStr">
        <is>
          <t>buah</t>
        </is>
      </c>
      <c r="D669" s="15" t="n">
        <v>15.75</v>
      </c>
      <c r="E669" s="4" t="n">
        <v>500</v>
      </c>
      <c r="F669" s="4" t="n">
        <v>7875</v>
      </c>
    </row>
    <row r="670">
      <c r="A670" s="3" t="inlineStr">
        <is>
          <t>6</t>
        </is>
      </c>
      <c r="B670" s="3" t="inlineStr">
        <is>
          <t>"Reng/ Roof Bottom RT-35 t=0 45 mm"</t>
        </is>
      </c>
      <c r="C670" s="3" t="inlineStr">
        <is>
          <t>batang</t>
        </is>
      </c>
      <c r="D670" s="15" t="n">
        <v>0.3357</v>
      </c>
      <c r="E670" s="4" t="n">
        <v>106000</v>
      </c>
      <c r="F670" s="4" t="n">
        <v>35584.2</v>
      </c>
    </row>
    <row r="671">
      <c r="A671" s="3" t="inlineStr">
        <is>
          <t>7</t>
        </is>
      </c>
      <c r="B671" s="3" t="inlineStr">
        <is>
          <t>Self Drilling Screw dia-4 x 16 mm (Roof Bottom Screw)</t>
        </is>
      </c>
      <c r="C671" s="3" t="inlineStr">
        <is>
          <t>buah</t>
        </is>
      </c>
      <c r="D671" s="15" t="n">
        <v>3</v>
      </c>
      <c r="E671" s="4" t="n">
        <v>400</v>
      </c>
      <c r="F671" s="4" t="n">
        <v>1200</v>
      </c>
    </row>
    <row r="672">
      <c r="A672" s="3" t="inlineStr">
        <is>
          <t>Mesin bor (jam)</t>
        </is>
      </c>
      <c r="B672" s="3" t="inlineStr"/>
      <c r="C672" s="3" t="inlineStr">
        <is>
          <t>jam</t>
        </is>
      </c>
      <c r="D672" s="15" t="n">
        <v>0.3726</v>
      </c>
      <c r="E672" s="4" t="n">
        <v>85000</v>
      </c>
      <c r="F672" s="4" t="n">
        <v>31671</v>
      </c>
    </row>
    <row r="673">
      <c r="D673" s="2" t="inlineStr">
        <is>
          <t>SUBTOTAL UPAH</t>
        </is>
      </c>
      <c r="F673" s="16" t="n">
        <v>13008</v>
      </c>
    </row>
    <row r="674">
      <c r="D674" s="2" t="inlineStr">
        <is>
          <t>SUBTOTAL BAHAN</t>
        </is>
      </c>
      <c r="F674" s="16" t="n">
        <v>125576.8</v>
      </c>
    </row>
    <row r="675">
      <c r="D675" s="2" t="inlineStr">
        <is>
          <t>SUBTOTAL ALAT</t>
        </is>
      </c>
      <c r="F675" s="16" t="n">
        <v>31671</v>
      </c>
    </row>
    <row r="676">
      <c r="E676" s="2" t="inlineStr">
        <is>
          <t>TOTAL HARGA SATUAN (Inc. Overhead)</t>
        </is>
      </c>
      <c r="F676" s="17" t="n">
        <v>187281</v>
      </c>
    </row>
    <row r="678">
      <c r="A678" s="14" t="inlineStr">
        <is>
          <t>KODE: 2.1.1.2 - Pemasangan 1 m2 rangka atap jurai/limasan baja ringan (canai dingin) profil C75</t>
        </is>
      </c>
    </row>
    <row r="679">
      <c r="A679" s="10" t="inlineStr">
        <is>
          <t>No</t>
        </is>
      </c>
      <c r="B679" s="10" t="inlineStr">
        <is>
          <t>Uraian Komponen</t>
        </is>
      </c>
      <c r="C679" s="10" t="inlineStr">
        <is>
          <t>Satuan</t>
        </is>
      </c>
      <c r="D679" s="10" t="inlineStr">
        <is>
          <t>Koef</t>
        </is>
      </c>
      <c r="E679" s="10" t="inlineStr">
        <is>
          <t>Harga Satuan (Rp)</t>
        </is>
      </c>
      <c r="F679" s="10" t="inlineStr">
        <is>
          <t>Jumlah Harga (Rp)</t>
        </is>
      </c>
    </row>
    <row r="680">
      <c r="A680" s="3" t="inlineStr">
        <is>
          <t>1</t>
        </is>
      </c>
      <c r="B680" s="3" t="inlineStr">
        <is>
          <t>Pekerja</t>
        </is>
      </c>
      <c r="C680" s="3" t="inlineStr">
        <is>
          <t>OH</t>
        </is>
      </c>
      <c r="D680" s="15" t="n">
        <v>0.7604</v>
      </c>
      <c r="E680" s="4" t="n">
        <v>100000</v>
      </c>
      <c r="F680" s="4" t="n">
        <v>76040</v>
      </c>
    </row>
    <row r="681">
      <c r="A681" s="3" t="inlineStr">
        <is>
          <t>2</t>
        </is>
      </c>
      <c r="B681" s="3" t="inlineStr">
        <is>
          <t>Tukang besi</t>
        </is>
      </c>
      <c r="C681" s="3" t="inlineStr">
        <is>
          <t>OH</t>
        </is>
      </c>
      <c r="D681" s="15" t="n">
        <v>0.7604</v>
      </c>
      <c r="E681" s="4" t="n">
        <v>145000</v>
      </c>
      <c r="F681" s="4" t="n">
        <v>110258</v>
      </c>
    </row>
    <row r="682">
      <c r="A682" s="3" t="inlineStr">
        <is>
          <t>3</t>
        </is>
      </c>
      <c r="B682" s="3" t="inlineStr">
        <is>
          <t>Kepala tukang</t>
        </is>
      </c>
      <c r="C682" s="3" t="inlineStr">
        <is>
          <t>OH</t>
        </is>
      </c>
      <c r="D682" s="15" t="n">
        <v>0.076</v>
      </c>
      <c r="E682" s="4" t="n">
        <v>175000</v>
      </c>
      <c r="F682" s="4" t="n">
        <v>13300</v>
      </c>
    </row>
    <row r="683">
      <c r="A683" s="3" t="inlineStr">
        <is>
          <t>4</t>
        </is>
      </c>
      <c r="B683" s="3" t="inlineStr">
        <is>
          <t>Mandor</t>
        </is>
      </c>
      <c r="C683" s="3" t="inlineStr">
        <is>
          <t>OH</t>
        </is>
      </c>
      <c r="D683" s="15" t="n">
        <v>0.0253</v>
      </c>
      <c r="E683" s="4" t="n">
        <v>200000</v>
      </c>
      <c r="F683" s="4" t="n">
        <v>5060</v>
      </c>
    </row>
    <row r="684">
      <c r="A684" s="3" t="inlineStr">
        <is>
          <t>1</t>
        </is>
      </c>
      <c r="B684" s="3" t="inlineStr">
        <is>
          <t>"Baja ringan C75 x 0 75 mm"</t>
        </is>
      </c>
      <c r="C684" s="3" t="inlineStr">
        <is>
          <t>batang</t>
        </is>
      </c>
      <c r="D684" s="15" t="n">
        <v>0.9603</v>
      </c>
      <c r="E684" s="4" t="n">
        <v>77200</v>
      </c>
      <c r="F684" s="4" t="n">
        <v>74135.16</v>
      </c>
    </row>
    <row r="685">
      <c r="D685" s="2" t="inlineStr">
        <is>
          <t>SUBTOTAL UPAH</t>
        </is>
      </c>
      <c r="F685" s="16" t="n">
        <v>204658</v>
      </c>
    </row>
    <row r="686">
      <c r="D686" s="2" t="inlineStr">
        <is>
          <t>SUBTOTAL BAHAN</t>
        </is>
      </c>
      <c r="F686" s="16" t="n">
        <v>74135.16</v>
      </c>
    </row>
    <row r="687">
      <c r="D687" s="2" t="inlineStr">
        <is>
          <t>SUBTOTAL ALAT</t>
        </is>
      </c>
      <c r="F687" s="16" t="n">
        <v>0</v>
      </c>
    </row>
    <row r="688">
      <c r="E688" s="2" t="inlineStr">
        <is>
          <t>TOTAL HARGA SATUAN (Inc. Overhead)</t>
        </is>
      </c>
      <c r="F688" s="17" t="n">
        <v>306672</v>
      </c>
    </row>
    <row r="690">
      <c r="A690" s="14" t="inlineStr">
        <is>
          <t>KODE: 2.1.1.3 - Pemasangan 1 m Kaso Baja Ringan C75 tebal 0,75 mm</t>
        </is>
      </c>
    </row>
    <row r="691">
      <c r="A691" s="10" t="inlineStr">
        <is>
          <t>No</t>
        </is>
      </c>
      <c r="B691" s="10" t="inlineStr">
        <is>
          <t>Uraian Komponen</t>
        </is>
      </c>
      <c r="C691" s="10" t="inlineStr">
        <is>
          <t>Satuan</t>
        </is>
      </c>
      <c r="D691" s="10" t="inlineStr">
        <is>
          <t>Koef</t>
        </is>
      </c>
      <c r="E691" s="10" t="inlineStr">
        <is>
          <t>Harga Satuan (Rp)</t>
        </is>
      </c>
      <c r="F691" s="10" t="inlineStr">
        <is>
          <t>Jumlah Harga (Rp)</t>
        </is>
      </c>
    </row>
    <row r="692">
      <c r="A692" s="3" t="inlineStr">
        <is>
          <t>1</t>
        </is>
      </c>
      <c r="B692" s="3" t="inlineStr">
        <is>
          <t>Pekerja</t>
        </is>
      </c>
      <c r="C692" s="3" t="inlineStr">
        <is>
          <t>OH</t>
        </is>
      </c>
      <c r="D692" s="15" t="n">
        <v>0.0476</v>
      </c>
      <c r="E692" s="4" t="n">
        <v>100000</v>
      </c>
      <c r="F692" s="4" t="n">
        <v>4760</v>
      </c>
    </row>
    <row r="693">
      <c r="A693" s="3" t="inlineStr">
        <is>
          <t>2</t>
        </is>
      </c>
      <c r="B693" s="3" t="inlineStr">
        <is>
          <t>Tukang besi</t>
        </is>
      </c>
      <c r="C693" s="3" t="inlineStr">
        <is>
          <t>OH</t>
        </is>
      </c>
      <c r="D693" s="15" t="n">
        <v>0.0238</v>
      </c>
      <c r="E693" s="4" t="n">
        <v>145000</v>
      </c>
      <c r="F693" s="4" t="n">
        <v>3451</v>
      </c>
    </row>
    <row r="694">
      <c r="A694" s="3" t="inlineStr">
        <is>
          <t>3</t>
        </is>
      </c>
      <c r="B694" s="3" t="inlineStr">
        <is>
          <t>Kepala tukang</t>
        </is>
      </c>
      <c r="C694" s="3" t="inlineStr">
        <is>
          <t>OH</t>
        </is>
      </c>
      <c r="D694" s="15" t="n">
        <v>0.0024</v>
      </c>
      <c r="E694" s="4" t="n">
        <v>175000</v>
      </c>
      <c r="F694" s="4" t="n">
        <v>419.9999999999999</v>
      </c>
    </row>
    <row r="695">
      <c r="A695" s="3" t="inlineStr">
        <is>
          <t>4</t>
        </is>
      </c>
      <c r="B695" s="3" t="inlineStr">
        <is>
          <t>Mandor</t>
        </is>
      </c>
      <c r="C695" s="3" t="inlineStr">
        <is>
          <t>OH</t>
        </is>
      </c>
      <c r="D695" s="15" t="n">
        <v>0.0008</v>
      </c>
      <c r="E695" s="4" t="n">
        <v>200000</v>
      </c>
      <c r="F695" s="4" t="n">
        <v>160</v>
      </c>
    </row>
    <row r="696">
      <c r="A696" s="3" t="inlineStr">
        <is>
          <t>1</t>
        </is>
      </c>
      <c r="B696" s="3" t="inlineStr">
        <is>
          <t>"Baja ringan C75 x 0 75 mm (permeter)"</t>
        </is>
      </c>
      <c r="C696" s="3" t="inlineStr">
        <is>
          <t>m</t>
        </is>
      </c>
      <c r="D696" s="15" t="n">
        <v>1.05</v>
      </c>
      <c r="E696" s="4" t="n">
        <v>12866.66666666667</v>
      </c>
      <c r="F696" s="4" t="n">
        <v>13510</v>
      </c>
    </row>
    <row r="697">
      <c r="A697" s="3" t="inlineStr">
        <is>
          <t>2</t>
        </is>
      </c>
      <c r="B697" s="3" t="inlineStr">
        <is>
          <t>Paku Rivet</t>
        </is>
      </c>
      <c r="C697" s="3" t="inlineStr">
        <is>
          <t>buah</t>
        </is>
      </c>
      <c r="D697" s="15" t="n">
        <v>2</v>
      </c>
      <c r="E697" s="4" t="n">
        <v>200</v>
      </c>
      <c r="F697" s="4" t="n">
        <v>400</v>
      </c>
    </row>
    <row r="698">
      <c r="D698" s="2" t="inlineStr">
        <is>
          <t>SUBTOTAL UPAH</t>
        </is>
      </c>
      <c r="F698" s="16" t="n">
        <v>8791</v>
      </c>
    </row>
    <row r="699">
      <c r="D699" s="2" t="inlineStr">
        <is>
          <t>SUBTOTAL BAHAN</t>
        </is>
      </c>
      <c r="F699" s="16" t="n">
        <v>13910</v>
      </c>
    </row>
    <row r="700">
      <c r="D700" s="2" t="inlineStr">
        <is>
          <t>SUBTOTAL ALAT</t>
        </is>
      </c>
      <c r="F700" s="16" t="n">
        <v>0</v>
      </c>
    </row>
    <row r="701">
      <c r="E701" s="2" t="inlineStr">
        <is>
          <t>TOTAL HARGA SATUAN (Inc. Overhead)</t>
        </is>
      </c>
      <c r="F701" s="17" t="n">
        <v>24971</v>
      </c>
    </row>
    <row r="703">
      <c r="A703" s="14" t="inlineStr">
        <is>
          <t>KODE: 2.1.1.4 - Pemasangan 1 m  Baja Ringan R.32 tebal 0,45 mm</t>
        </is>
      </c>
    </row>
    <row r="704">
      <c r="A704" s="10" t="inlineStr">
        <is>
          <t>No</t>
        </is>
      </c>
      <c r="B704" s="10" t="inlineStr">
        <is>
          <t>Uraian Komponen</t>
        </is>
      </c>
      <c r="C704" s="10" t="inlineStr">
        <is>
          <t>Satuan</t>
        </is>
      </c>
      <c r="D704" s="10" t="inlineStr">
        <is>
          <t>Koef</t>
        </is>
      </c>
      <c r="E704" s="10" t="inlineStr">
        <is>
          <t>Harga Satuan (Rp)</t>
        </is>
      </c>
      <c r="F704" s="10" t="inlineStr">
        <is>
          <t>Jumlah Harga (Rp)</t>
        </is>
      </c>
    </row>
    <row r="705">
      <c r="A705" s="3" t="inlineStr">
        <is>
          <t>1</t>
        </is>
      </c>
      <c r="B705" s="3" t="inlineStr">
        <is>
          <t>Pekerja</t>
        </is>
      </c>
      <c r="C705" s="3" t="inlineStr">
        <is>
          <t>OH</t>
        </is>
      </c>
      <c r="D705" s="15" t="n">
        <v>0.0111</v>
      </c>
      <c r="E705" s="4" t="n">
        <v>100000</v>
      </c>
      <c r="F705" s="4" t="n">
        <v>1110</v>
      </c>
    </row>
    <row r="706">
      <c r="A706" s="3" t="inlineStr">
        <is>
          <t>2</t>
        </is>
      </c>
      <c r="B706" s="3" t="inlineStr">
        <is>
          <t>Mandor</t>
        </is>
      </c>
      <c r="C706" s="3" t="inlineStr">
        <is>
          <t>OH</t>
        </is>
      </c>
      <c r="D706" s="15" t="n">
        <v>0.0111</v>
      </c>
      <c r="E706" s="4" t="n">
        <v>200000</v>
      </c>
      <c r="F706" s="4" t="n">
        <v>2220</v>
      </c>
    </row>
    <row r="707">
      <c r="A707" s="3" t="inlineStr">
        <is>
          <t>3</t>
        </is>
      </c>
      <c r="B707" s="3" t="inlineStr">
        <is>
          <t>Kepala tukang</t>
        </is>
      </c>
      <c r="C707" s="3" t="inlineStr">
        <is>
          <t>OH</t>
        </is>
      </c>
      <c r="D707" s="15" t="n">
        <v>0.0011</v>
      </c>
      <c r="E707" s="4" t="n">
        <v>175000</v>
      </c>
      <c r="F707" s="4" t="n">
        <v>192.5</v>
      </c>
    </row>
    <row r="708">
      <c r="A708" s="3" t="inlineStr">
        <is>
          <t>4</t>
        </is>
      </c>
      <c r="B708" s="3" t="inlineStr">
        <is>
          <t>Mandor</t>
        </is>
      </c>
      <c r="C708" s="3" t="inlineStr">
        <is>
          <t>OH</t>
        </is>
      </c>
      <c r="D708" s="15" t="n">
        <v>0.0004</v>
      </c>
      <c r="E708" s="4" t="n">
        <v>200000</v>
      </c>
      <c r="F708" s="4" t="n">
        <v>80</v>
      </c>
    </row>
    <row r="709">
      <c r="A709" s="3" t="inlineStr">
        <is>
          <t>1</t>
        </is>
      </c>
      <c r="B709" s="3" t="inlineStr">
        <is>
          <t>Reng Baja Ringan</t>
        </is>
      </c>
      <c r="C709" s="3" t="inlineStr">
        <is>
          <t>m</t>
        </is>
      </c>
      <c r="D709" s="15" t="n">
        <v>1.05</v>
      </c>
      <c r="E709" s="4" t="n">
        <v>33900</v>
      </c>
      <c r="F709" s="4" t="n">
        <v>35595</v>
      </c>
    </row>
    <row r="710">
      <c r="A710" s="3" t="inlineStr">
        <is>
          <t>2</t>
        </is>
      </c>
      <c r="B710" s="3" t="inlineStr">
        <is>
          <t>Paku Rivet</t>
        </is>
      </c>
      <c r="C710" s="3" t="inlineStr">
        <is>
          <t>buah</t>
        </is>
      </c>
      <c r="D710" s="15" t="n">
        <v>4</v>
      </c>
      <c r="E710" s="4" t="n">
        <v>200</v>
      </c>
      <c r="F710" s="4" t="n">
        <v>800</v>
      </c>
    </row>
    <row r="711">
      <c r="D711" s="2" t="inlineStr">
        <is>
          <t>SUBTOTAL UPAH</t>
        </is>
      </c>
      <c r="F711" s="16" t="n">
        <v>3602.5</v>
      </c>
    </row>
    <row r="712">
      <c r="D712" s="2" t="inlineStr">
        <is>
          <t>SUBTOTAL BAHAN</t>
        </is>
      </c>
      <c r="F712" s="16" t="n">
        <v>36395</v>
      </c>
    </row>
    <row r="713">
      <c r="D713" s="2" t="inlineStr">
        <is>
          <t>SUBTOTAL ALAT</t>
        </is>
      </c>
      <c r="F713" s="16" t="n">
        <v>0</v>
      </c>
    </row>
    <row r="714">
      <c r="E714" s="2" t="inlineStr">
        <is>
          <t>TOTAL HARGA SATUAN (Inc. Overhead)</t>
        </is>
      </c>
      <c r="F714" s="17" t="n">
        <v>43997</v>
      </c>
    </row>
    <row r="716">
      <c r="A716" s="14" t="inlineStr">
        <is>
          <t>KODE: 2.1.2.1 - Pemasangan 1 m3 konstruksi kuda-kuda konvensional, kayu kelas I, II, dan III bentang s.d. 6 meter</t>
        </is>
      </c>
    </row>
    <row r="717">
      <c r="A717" s="10" t="inlineStr">
        <is>
          <t>No</t>
        </is>
      </c>
      <c r="B717" s="10" t="inlineStr">
        <is>
          <t>Uraian Komponen</t>
        </is>
      </c>
      <c r="C717" s="10" t="inlineStr">
        <is>
          <t>Satuan</t>
        </is>
      </c>
      <c r="D717" s="10" t="inlineStr">
        <is>
          <t>Koef</t>
        </is>
      </c>
      <c r="E717" s="10" t="inlineStr">
        <is>
          <t>Harga Satuan (Rp)</t>
        </is>
      </c>
      <c r="F717" s="10" t="inlineStr">
        <is>
          <t>Jumlah Harga (Rp)</t>
        </is>
      </c>
    </row>
    <row r="718">
      <c r="A718" s="3" t="inlineStr">
        <is>
          <t>1</t>
        </is>
      </c>
      <c r="B718" s="3" t="inlineStr">
        <is>
          <t>Pekerja</t>
        </is>
      </c>
      <c r="C718" s="3" t="inlineStr">
        <is>
          <t>OH</t>
        </is>
      </c>
      <c r="D718" s="15" t="n">
        <v>4</v>
      </c>
      <c r="E718" s="4" t="n">
        <v>100000</v>
      </c>
      <c r="F718" s="4" t="n">
        <v>400000</v>
      </c>
    </row>
    <row r="719">
      <c r="A719" s="3" t="inlineStr">
        <is>
          <t>2</t>
        </is>
      </c>
      <c r="B719" s="3" t="inlineStr">
        <is>
          <t>Tukang kayu</t>
        </is>
      </c>
      <c r="C719" s="3" t="inlineStr">
        <is>
          <t>OH</t>
        </is>
      </c>
      <c r="D719" s="15" t="n">
        <v>12</v>
      </c>
      <c r="E719" s="4" t="n">
        <v>145000</v>
      </c>
      <c r="F719" s="4" t="n">
        <v>1740000</v>
      </c>
    </row>
    <row r="720">
      <c r="A720" s="3" t="inlineStr">
        <is>
          <t>3</t>
        </is>
      </c>
      <c r="B720" s="3" t="inlineStr">
        <is>
          <t>Kepala tukang</t>
        </is>
      </c>
      <c r="C720" s="3" t="inlineStr">
        <is>
          <t>OH</t>
        </is>
      </c>
      <c r="D720" s="15" t="n">
        <v>1.2</v>
      </c>
      <c r="E720" s="4" t="n">
        <v>175000</v>
      </c>
      <c r="F720" s="4" t="n">
        <v>210000</v>
      </c>
    </row>
    <row r="721">
      <c r="A721" s="3" t="inlineStr">
        <is>
          <t>4</t>
        </is>
      </c>
      <c r="B721" s="3" t="inlineStr">
        <is>
          <t>Mandor</t>
        </is>
      </c>
      <c r="C721" s="3" t="inlineStr">
        <is>
          <t>OH</t>
        </is>
      </c>
      <c r="D721" s="15" t="n">
        <v>0.4</v>
      </c>
      <c r="E721" s="4" t="n">
        <v>200000</v>
      </c>
      <c r="F721" s="4" t="n">
        <v>80000</v>
      </c>
    </row>
    <row r="722">
      <c r="A722" s="3" t="inlineStr">
        <is>
          <t>1</t>
        </is>
      </c>
      <c r="B722" s="3" t="inlineStr">
        <is>
          <t>Kayu balok 6/12 kelas II</t>
        </is>
      </c>
      <c r="C722" s="3" t="inlineStr">
        <is>
          <t>m3</t>
        </is>
      </c>
      <c r="D722" s="15" t="n">
        <v>1.1</v>
      </c>
      <c r="E722" s="4" t="n">
        <v>11950000</v>
      </c>
      <c r="F722" s="4" t="n">
        <v>13145000</v>
      </c>
    </row>
    <row r="723">
      <c r="A723" s="3" t="inlineStr">
        <is>
          <t>2</t>
        </is>
      </c>
      <c r="B723" s="3" t="inlineStr">
        <is>
          <t>Besi strip tebal 5 mm</t>
        </is>
      </c>
      <c r="C723" s="3" t="inlineStr">
        <is>
          <t>kg</t>
        </is>
      </c>
      <c r="D723" s="15" t="n">
        <v>15</v>
      </c>
      <c r="E723" s="4" t="n">
        <v>7500</v>
      </c>
      <c r="F723" s="4" t="n">
        <v>112500</v>
      </c>
    </row>
    <row r="724">
      <c r="A724" s="3" t="inlineStr">
        <is>
          <t>3</t>
        </is>
      </c>
      <c r="B724" s="3" t="inlineStr">
        <is>
          <t>Paku 12 cm</t>
        </is>
      </c>
      <c r="C724" s="3" t="inlineStr">
        <is>
          <t>kg</t>
        </is>
      </c>
      <c r="D724" s="15" t="n">
        <v>5.6</v>
      </c>
      <c r="E724" s="4" t="n">
        <v>1500</v>
      </c>
      <c r="F724" s="4" t="n">
        <v>8400</v>
      </c>
    </row>
    <row r="725">
      <c r="D725" s="2" t="inlineStr">
        <is>
          <t>SUBTOTAL UPAH</t>
        </is>
      </c>
      <c r="F725" s="16" t="n">
        <v>2430000</v>
      </c>
    </row>
    <row r="726">
      <c r="D726" s="2" t="inlineStr">
        <is>
          <t>SUBTOTAL BAHAN</t>
        </is>
      </c>
      <c r="F726" s="16" t="n">
        <v>13265900</v>
      </c>
    </row>
    <row r="727">
      <c r="D727" s="2" t="inlineStr">
        <is>
          <t>SUBTOTAL ALAT</t>
        </is>
      </c>
      <c r="F727" s="16" t="n">
        <v>0</v>
      </c>
    </row>
    <row r="728">
      <c r="E728" s="2" t="inlineStr">
        <is>
          <t>TOTAL HARGA SATUAN (Inc. Overhead)</t>
        </is>
      </c>
      <c r="F728" s="17" t="n">
        <v>17265490</v>
      </c>
    </row>
    <row r="730">
      <c r="A730" s="14" t="inlineStr">
        <is>
          <t>KODE: 2.1.2.2 - Pemasangan 1 m3 konstruksi kuda-kuda ekspose, kayu kelas I</t>
        </is>
      </c>
    </row>
    <row r="731">
      <c r="A731" s="10" t="inlineStr">
        <is>
          <t>No</t>
        </is>
      </c>
      <c r="B731" s="10" t="inlineStr">
        <is>
          <t>Uraian Komponen</t>
        </is>
      </c>
      <c r="C731" s="10" t="inlineStr">
        <is>
          <t>Satuan</t>
        </is>
      </c>
      <c r="D731" s="10" t="inlineStr">
        <is>
          <t>Koef</t>
        </is>
      </c>
      <c r="E731" s="10" t="inlineStr">
        <is>
          <t>Harga Satuan (Rp)</t>
        </is>
      </c>
      <c r="F731" s="10" t="inlineStr">
        <is>
          <t>Jumlah Harga (Rp)</t>
        </is>
      </c>
    </row>
    <row r="732">
      <c r="A732" s="3" t="inlineStr">
        <is>
          <t>1</t>
        </is>
      </c>
      <c r="B732" s="3" t="inlineStr">
        <is>
          <t>Pekerja</t>
        </is>
      </c>
      <c r="C732" s="3" t="inlineStr">
        <is>
          <t>OH</t>
        </is>
      </c>
      <c r="D732" s="15" t="n">
        <v>6.7</v>
      </c>
      <c r="E732" s="4" t="n">
        <v>100000</v>
      </c>
      <c r="F732" s="4" t="n">
        <v>670000</v>
      </c>
    </row>
    <row r="733">
      <c r="A733" s="3" t="inlineStr">
        <is>
          <t>2</t>
        </is>
      </c>
      <c r="B733" s="3" t="inlineStr">
        <is>
          <t>Tukang kayu</t>
        </is>
      </c>
      <c r="C733" s="3" t="inlineStr">
        <is>
          <t>OH</t>
        </is>
      </c>
      <c r="D733" s="15" t="n">
        <v>20.1</v>
      </c>
      <c r="E733" s="4" t="n">
        <v>145000</v>
      </c>
      <c r="F733" s="4" t="n">
        <v>2914500</v>
      </c>
    </row>
    <row r="734">
      <c r="A734" s="3" t="inlineStr">
        <is>
          <t>3</t>
        </is>
      </c>
      <c r="B734" s="3" t="inlineStr">
        <is>
          <t>Kepala tukang</t>
        </is>
      </c>
      <c r="C734" s="3" t="inlineStr">
        <is>
          <t>OH</t>
        </is>
      </c>
      <c r="D734" s="15" t="n">
        <v>2.01</v>
      </c>
      <c r="E734" s="4" t="n">
        <v>175000</v>
      </c>
      <c r="F734" s="4" t="n">
        <v>351749.9999999999</v>
      </c>
    </row>
    <row r="735">
      <c r="A735" s="3" t="inlineStr">
        <is>
          <t>4</t>
        </is>
      </c>
      <c r="B735" s="3" t="inlineStr">
        <is>
          <t>Mandor</t>
        </is>
      </c>
      <c r="C735" s="3" t="inlineStr">
        <is>
          <t>OH</t>
        </is>
      </c>
      <c r="D735" s="15" t="n">
        <v>0.67</v>
      </c>
      <c r="E735" s="4" t="n">
        <v>200000</v>
      </c>
      <c r="F735" s="4" t="n">
        <v>134000</v>
      </c>
    </row>
    <row r="736">
      <c r="A736" s="3" t="inlineStr">
        <is>
          <t>1</t>
        </is>
      </c>
      <c r="B736" s="3" t="inlineStr">
        <is>
          <t>Kayu balok 6/12 kelas I</t>
        </is>
      </c>
      <c r="C736" s="3" t="inlineStr">
        <is>
          <t>m3</t>
        </is>
      </c>
      <c r="D736" s="15" t="n">
        <v>1.2</v>
      </c>
      <c r="E736" s="4" t="n">
        <v>25000000</v>
      </c>
      <c r="F736" s="4" t="n">
        <v>30000000</v>
      </c>
    </row>
    <row r="737">
      <c r="A737" s="3" t="inlineStr">
        <is>
          <t>2</t>
        </is>
      </c>
      <c r="B737" s="3" t="inlineStr">
        <is>
          <t>Besi strip tebal 5 mm</t>
        </is>
      </c>
      <c r="C737" s="3" t="inlineStr">
        <is>
          <t>kg</t>
        </is>
      </c>
      <c r="D737" s="15" t="n">
        <v>15</v>
      </c>
      <c r="E737" s="4" t="n">
        <v>7500</v>
      </c>
      <c r="F737" s="4" t="n">
        <v>112500</v>
      </c>
    </row>
    <row r="738">
      <c r="A738" s="3" t="inlineStr">
        <is>
          <t>3</t>
        </is>
      </c>
      <c r="B738" s="3" t="inlineStr">
        <is>
          <t>Paku 12 cm</t>
        </is>
      </c>
      <c r="C738" s="3" t="inlineStr">
        <is>
          <t>kg</t>
        </is>
      </c>
      <c r="D738" s="15" t="n">
        <v>5.6</v>
      </c>
      <c r="E738" s="4" t="n">
        <v>1500</v>
      </c>
      <c r="F738" s="4" t="n">
        <v>8400</v>
      </c>
    </row>
    <row r="739">
      <c r="D739" s="2" t="inlineStr">
        <is>
          <t>SUBTOTAL UPAH</t>
        </is>
      </c>
      <c r="F739" s="16" t="n">
        <v>4070250</v>
      </c>
    </row>
    <row r="740">
      <c r="D740" s="2" t="inlineStr">
        <is>
          <t>SUBTOTAL BAHAN</t>
        </is>
      </c>
      <c r="F740" s="16" t="n">
        <v>30120900</v>
      </c>
    </row>
    <row r="741">
      <c r="D741" s="2" t="inlineStr">
        <is>
          <t>SUBTOTAL ALAT</t>
        </is>
      </c>
      <c r="F741" s="16" t="n">
        <v>0</v>
      </c>
    </row>
    <row r="742">
      <c r="E742" s="2" t="inlineStr">
        <is>
          <t>TOTAL HARGA SATUAN (Inc. Overhead)</t>
        </is>
      </c>
      <c r="F742" s="17" t="n">
        <v>37610265</v>
      </c>
    </row>
    <row r="744">
      <c r="A744" s="14" t="inlineStr">
        <is>
          <t>KODE: 2.1.2.3 - Pemasangan 1 m3 konstruksi gordeng, kayu kelas II</t>
        </is>
      </c>
    </row>
    <row r="745">
      <c r="A745" s="10" t="inlineStr">
        <is>
          <t>No</t>
        </is>
      </c>
      <c r="B745" s="10" t="inlineStr">
        <is>
          <t>Uraian Komponen</t>
        </is>
      </c>
      <c r="C745" s="10" t="inlineStr">
        <is>
          <t>Satuan</t>
        </is>
      </c>
      <c r="D745" s="10" t="inlineStr">
        <is>
          <t>Koef</t>
        </is>
      </c>
      <c r="E745" s="10" t="inlineStr">
        <is>
          <t>Harga Satuan (Rp)</t>
        </is>
      </c>
      <c r="F745" s="10" t="inlineStr">
        <is>
          <t>Jumlah Harga (Rp)</t>
        </is>
      </c>
    </row>
    <row r="746">
      <c r="A746" s="3" t="inlineStr">
        <is>
          <t>1</t>
        </is>
      </c>
      <c r="B746" s="3" t="inlineStr">
        <is>
          <t>Pekerja</t>
        </is>
      </c>
      <c r="C746" s="3" t="inlineStr">
        <is>
          <t>OH</t>
        </is>
      </c>
      <c r="D746" s="15" t="n">
        <v>2.4</v>
      </c>
      <c r="E746" s="4" t="n">
        <v>100000</v>
      </c>
      <c r="F746" s="4" t="n">
        <v>240000</v>
      </c>
    </row>
    <row r="747">
      <c r="A747" s="3" t="inlineStr">
        <is>
          <t>2</t>
        </is>
      </c>
      <c r="B747" s="3" t="inlineStr">
        <is>
          <t>Tukang kayu</t>
        </is>
      </c>
      <c r="C747" s="3" t="inlineStr">
        <is>
          <t>OH</t>
        </is>
      </c>
      <c r="D747" s="15" t="n">
        <v>7.2</v>
      </c>
      <c r="E747" s="4" t="n">
        <v>145000</v>
      </c>
      <c r="F747" s="4" t="n">
        <v>1044000</v>
      </c>
    </row>
    <row r="748">
      <c r="A748" s="3" t="inlineStr">
        <is>
          <t>3</t>
        </is>
      </c>
      <c r="B748" s="3" t="inlineStr">
        <is>
          <t>Kepala tukang</t>
        </is>
      </c>
      <c r="C748" s="3" t="inlineStr">
        <is>
          <t>OH</t>
        </is>
      </c>
      <c r="D748" s="15" t="n">
        <v>0.72</v>
      </c>
      <c r="E748" s="4" t="n">
        <v>175000</v>
      </c>
      <c r="F748" s="4" t="n">
        <v>126000</v>
      </c>
    </row>
    <row r="749">
      <c r="A749" s="3" t="inlineStr">
        <is>
          <t>4</t>
        </is>
      </c>
      <c r="B749" s="3" t="inlineStr">
        <is>
          <t>Mandor</t>
        </is>
      </c>
      <c r="C749" s="3" t="inlineStr">
        <is>
          <t>OH</t>
        </is>
      </c>
      <c r="D749" s="15" t="n">
        <v>0.24</v>
      </c>
      <c r="E749" s="4" t="n">
        <v>200000</v>
      </c>
      <c r="F749" s="4" t="n">
        <v>48000</v>
      </c>
    </row>
    <row r="750">
      <c r="A750" s="3" t="inlineStr">
        <is>
          <t>1</t>
        </is>
      </c>
      <c r="B750" s="3" t="inlineStr">
        <is>
          <t>Kayu balok 6/12 kelas II</t>
        </is>
      </c>
      <c r="C750" s="3" t="inlineStr">
        <is>
          <t>m3</t>
        </is>
      </c>
      <c r="D750" s="15" t="n">
        <v>1.1</v>
      </c>
      <c r="E750" s="4" t="n">
        <v>11950000</v>
      </c>
      <c r="F750" s="4" t="n">
        <v>13145000</v>
      </c>
    </row>
    <row r="751">
      <c r="A751" s="3" t="inlineStr">
        <is>
          <t>2</t>
        </is>
      </c>
      <c r="B751" s="3" t="inlineStr">
        <is>
          <t>Besi strip tebal 5 mm</t>
        </is>
      </c>
      <c r="C751" s="3" t="inlineStr">
        <is>
          <t>kg</t>
        </is>
      </c>
      <c r="D751" s="15" t="n">
        <v>15</v>
      </c>
      <c r="E751" s="4" t="n">
        <v>7500</v>
      </c>
      <c r="F751" s="4" t="n">
        <v>112500</v>
      </c>
    </row>
    <row r="752">
      <c r="A752" s="3" t="inlineStr">
        <is>
          <t>3</t>
        </is>
      </c>
      <c r="B752" s="3" t="inlineStr">
        <is>
          <t>Paku 12 cm</t>
        </is>
      </c>
      <c r="C752" s="3" t="inlineStr">
        <is>
          <t>kg</t>
        </is>
      </c>
      <c r="D752" s="15" t="n">
        <v>3</v>
      </c>
      <c r="E752" s="4" t="n">
        <v>1500</v>
      </c>
      <c r="F752" s="4" t="n">
        <v>4500</v>
      </c>
    </row>
    <row r="753">
      <c r="D753" s="2" t="inlineStr">
        <is>
          <t>SUBTOTAL UPAH</t>
        </is>
      </c>
      <c r="F753" s="16" t="n">
        <v>1458000</v>
      </c>
    </row>
    <row r="754">
      <c r="D754" s="2" t="inlineStr">
        <is>
          <t>SUBTOTAL BAHAN</t>
        </is>
      </c>
      <c r="F754" s="16" t="n">
        <v>13262000</v>
      </c>
    </row>
    <row r="755">
      <c r="D755" s="2" t="inlineStr">
        <is>
          <t>SUBTOTAL ALAT</t>
        </is>
      </c>
      <c r="F755" s="16" t="n">
        <v>0</v>
      </c>
    </row>
    <row r="756">
      <c r="E756" s="2" t="inlineStr">
        <is>
          <t>TOTAL HARGA SATUAN (Inc. Overhead)</t>
        </is>
      </c>
      <c r="F756" s="17" t="n">
        <v>16192000</v>
      </c>
    </row>
    <row r="758">
      <c r="A758" s="14" t="inlineStr">
        <is>
          <t>KODE: 2.1.2.4 - Pemasangan 1 m2 rangka atap genteng keramik, kayu kelas II</t>
        </is>
      </c>
    </row>
    <row r="759">
      <c r="A759" s="10" t="inlineStr">
        <is>
          <t>No</t>
        </is>
      </c>
      <c r="B759" s="10" t="inlineStr">
        <is>
          <t>Uraian Komponen</t>
        </is>
      </c>
      <c r="C759" s="10" t="inlineStr">
        <is>
          <t>Satuan</t>
        </is>
      </c>
      <c r="D759" s="10" t="inlineStr">
        <is>
          <t>Koef</t>
        </is>
      </c>
      <c r="E759" s="10" t="inlineStr">
        <is>
          <t>Harga Satuan (Rp)</t>
        </is>
      </c>
      <c r="F759" s="10" t="inlineStr">
        <is>
          <t>Jumlah Harga (Rp)</t>
        </is>
      </c>
    </row>
    <row r="760">
      <c r="A760" s="3" t="inlineStr">
        <is>
          <t>1</t>
        </is>
      </c>
      <c r="B760" s="3" t="inlineStr">
        <is>
          <t>Pekerja</t>
        </is>
      </c>
      <c r="C760" s="3" t="inlineStr">
        <is>
          <t>OH</t>
        </is>
      </c>
      <c r="D760" s="15" t="n">
        <v>0.1</v>
      </c>
      <c r="E760" s="4" t="n">
        <v>100000</v>
      </c>
      <c r="F760" s="4" t="n">
        <v>10000</v>
      </c>
    </row>
    <row r="761">
      <c r="A761" s="3" t="inlineStr">
        <is>
          <t>2</t>
        </is>
      </c>
      <c r="B761" s="3" t="inlineStr">
        <is>
          <t>Tukang kayu</t>
        </is>
      </c>
      <c r="C761" s="3" t="inlineStr">
        <is>
          <t>OH</t>
        </is>
      </c>
      <c r="D761" s="15" t="n">
        <v>0.1</v>
      </c>
      <c r="E761" s="4" t="n">
        <v>145000</v>
      </c>
      <c r="F761" s="4" t="n">
        <v>14500</v>
      </c>
    </row>
    <row r="762">
      <c r="A762" s="3" t="inlineStr">
        <is>
          <t>3</t>
        </is>
      </c>
      <c r="B762" s="3" t="inlineStr">
        <is>
          <t>Kepala tukang</t>
        </is>
      </c>
      <c r="C762" s="3" t="inlineStr">
        <is>
          <t>OH</t>
        </is>
      </c>
      <c r="D762" s="15" t="n">
        <v>0.01</v>
      </c>
      <c r="E762" s="4" t="n">
        <v>175000</v>
      </c>
      <c r="F762" s="4" t="n">
        <v>1750</v>
      </c>
    </row>
    <row r="763">
      <c r="A763" s="3" t="inlineStr">
        <is>
          <t>4</t>
        </is>
      </c>
      <c r="B763" s="3" t="inlineStr">
        <is>
          <t>Mandor</t>
        </is>
      </c>
      <c r="C763" s="3" t="inlineStr">
        <is>
          <t>OH</t>
        </is>
      </c>
      <c r="D763" s="15" t="n">
        <v>0.0033</v>
      </c>
      <c r="E763" s="4" t="n">
        <v>200000</v>
      </c>
      <c r="F763" s="4" t="n">
        <v>660</v>
      </c>
    </row>
    <row r="764">
      <c r="A764" s="3" t="inlineStr">
        <is>
          <t>1</t>
        </is>
      </c>
      <c r="B764" s="3" t="inlineStr">
        <is>
          <t>Kaso 5/7 kayu Kelas II</t>
        </is>
      </c>
      <c r="C764" s="3" t="inlineStr">
        <is>
          <t>m3</t>
        </is>
      </c>
      <c r="D764" s="15" t="n">
        <v>0.014</v>
      </c>
      <c r="E764" s="4" t="n">
        <v>10214200</v>
      </c>
      <c r="F764" s="4" t="n">
        <v>142998.8</v>
      </c>
    </row>
    <row r="765">
      <c r="A765" s="3" t="inlineStr">
        <is>
          <t>2</t>
        </is>
      </c>
      <c r="B765" s="3" t="inlineStr">
        <is>
          <t>Reng 2x3 cm</t>
        </is>
      </c>
      <c r="C765" s="3" t="inlineStr">
        <is>
          <t>m3</t>
        </is>
      </c>
      <c r="D765" s="15" t="n">
        <v>0.0036</v>
      </c>
      <c r="E765" s="4" t="n">
        <v>8750000</v>
      </c>
      <c r="F765" s="4" t="n">
        <v>31500</v>
      </c>
    </row>
    <row r="766">
      <c r="A766" s="3" t="inlineStr">
        <is>
          <t>3</t>
        </is>
      </c>
      <c r="B766" s="3" t="inlineStr">
        <is>
          <t>Paku 5 dan 10 cm</t>
        </is>
      </c>
      <c r="C766" s="3" t="inlineStr">
        <is>
          <t>kg</t>
        </is>
      </c>
      <c r="D766" s="15" t="n">
        <v>0.25</v>
      </c>
      <c r="E766" s="4" t="n">
        <v>20000</v>
      </c>
      <c r="F766" s="4" t="n">
        <v>5000</v>
      </c>
    </row>
    <row r="767">
      <c r="D767" s="2" t="inlineStr">
        <is>
          <t>SUBTOTAL UPAH</t>
        </is>
      </c>
      <c r="F767" s="16" t="n">
        <v>26910</v>
      </c>
    </row>
    <row r="768">
      <c r="D768" s="2" t="inlineStr">
        <is>
          <t>SUBTOTAL BAHAN</t>
        </is>
      </c>
      <c r="F768" s="16" t="n">
        <v>179498.8</v>
      </c>
    </row>
    <row r="769">
      <c r="D769" s="2" t="inlineStr">
        <is>
          <t>SUBTOTAL ALAT</t>
        </is>
      </c>
      <c r="F769" s="16" t="n">
        <v>0</v>
      </c>
    </row>
    <row r="770">
      <c r="E770" s="2" t="inlineStr">
        <is>
          <t>TOTAL HARGA SATUAN (Inc. Overhead)</t>
        </is>
      </c>
      <c r="F770" s="17" t="n">
        <v>227049</v>
      </c>
    </row>
    <row r="772">
      <c r="A772" s="14" t="inlineStr">
        <is>
          <t>KODE: 2.1.2.5 - Pemasangan 1 m2 rangka atap genteng beton, kayu kelas II</t>
        </is>
      </c>
    </row>
    <row r="773">
      <c r="A773" s="10" t="inlineStr">
        <is>
          <t>No</t>
        </is>
      </c>
      <c r="B773" s="10" t="inlineStr">
        <is>
          <t>Uraian Komponen</t>
        </is>
      </c>
      <c r="C773" s="10" t="inlineStr">
        <is>
          <t>Satuan</t>
        </is>
      </c>
      <c r="D773" s="10" t="inlineStr">
        <is>
          <t>Koef</t>
        </is>
      </c>
      <c r="E773" s="10" t="inlineStr">
        <is>
          <t>Harga Satuan (Rp)</t>
        </is>
      </c>
      <c r="F773" s="10" t="inlineStr">
        <is>
          <t>Jumlah Harga (Rp)</t>
        </is>
      </c>
    </row>
    <row r="774">
      <c r="A774" s="3" t="inlineStr">
        <is>
          <t>1</t>
        </is>
      </c>
      <c r="B774" s="3" t="inlineStr">
        <is>
          <t>Pekerja</t>
        </is>
      </c>
      <c r="C774" s="3" t="inlineStr">
        <is>
          <t>OH</t>
        </is>
      </c>
      <c r="D774" s="15" t="n">
        <v>0.1</v>
      </c>
      <c r="E774" s="4" t="n">
        <v>100000</v>
      </c>
      <c r="F774" s="4" t="n">
        <v>10000</v>
      </c>
    </row>
    <row r="775">
      <c r="A775" s="3" t="inlineStr">
        <is>
          <t>2</t>
        </is>
      </c>
      <c r="B775" s="3" t="inlineStr">
        <is>
          <t>Tukang kayu</t>
        </is>
      </c>
      <c r="C775" s="3" t="inlineStr">
        <is>
          <t>OH</t>
        </is>
      </c>
      <c r="D775" s="15" t="n">
        <v>0.1</v>
      </c>
      <c r="E775" s="4" t="n">
        <v>145000</v>
      </c>
      <c r="F775" s="4" t="n">
        <v>14500</v>
      </c>
    </row>
    <row r="776">
      <c r="A776" s="3" t="inlineStr">
        <is>
          <t>3</t>
        </is>
      </c>
      <c r="B776" s="3" t="inlineStr">
        <is>
          <t>Kepala tukang</t>
        </is>
      </c>
      <c r="C776" s="3" t="inlineStr">
        <is>
          <t>OH</t>
        </is>
      </c>
      <c r="D776" s="15" t="n">
        <v>0.01</v>
      </c>
      <c r="E776" s="4" t="n">
        <v>175000</v>
      </c>
      <c r="F776" s="4" t="n">
        <v>1750</v>
      </c>
    </row>
    <row r="777">
      <c r="A777" s="3" t="inlineStr">
        <is>
          <t>4</t>
        </is>
      </c>
      <c r="B777" s="3" t="inlineStr">
        <is>
          <t>Mandor</t>
        </is>
      </c>
      <c r="C777" s="3" t="inlineStr">
        <is>
          <t>OH</t>
        </is>
      </c>
      <c r="D777" s="15" t="n">
        <v>0.0033</v>
      </c>
      <c r="E777" s="4" t="n">
        <v>200000</v>
      </c>
      <c r="F777" s="4" t="n">
        <v>660</v>
      </c>
    </row>
    <row r="778">
      <c r="A778" s="3" t="inlineStr">
        <is>
          <t>1</t>
        </is>
      </c>
      <c r="B778" s="3" t="inlineStr">
        <is>
          <t>kaso 5/7 kayu kelas II</t>
        </is>
      </c>
      <c r="C778" s="3" t="inlineStr">
        <is>
          <t>m3</t>
        </is>
      </c>
      <c r="D778" s="15" t="n">
        <v>0.014</v>
      </c>
      <c r="E778" s="4" t="n">
        <v>10214200</v>
      </c>
      <c r="F778" s="4" t="n">
        <v>142998.8</v>
      </c>
    </row>
    <row r="779">
      <c r="A779" s="3" t="inlineStr">
        <is>
          <t>2</t>
        </is>
      </c>
      <c r="B779" s="3" t="inlineStr">
        <is>
          <t>Reng 3x4 cm</t>
        </is>
      </c>
      <c r="C779" s="3" t="inlineStr">
        <is>
          <t>m3</t>
        </is>
      </c>
      <c r="D779" s="15" t="n">
        <v>0.0057</v>
      </c>
      <c r="E779" s="4" t="n">
        <v>9302000</v>
      </c>
      <c r="F779" s="4" t="n">
        <v>53021.4</v>
      </c>
    </row>
    <row r="780">
      <c r="A780" s="3" t="inlineStr">
        <is>
          <t>3</t>
        </is>
      </c>
      <c r="B780" s="3" t="inlineStr">
        <is>
          <t>Paku 5 dan 10 cm</t>
        </is>
      </c>
      <c r="C780" s="3" t="inlineStr">
        <is>
          <t>kg</t>
        </is>
      </c>
      <c r="D780" s="15" t="n">
        <v>0.25</v>
      </c>
      <c r="E780" s="4" t="n">
        <v>20000</v>
      </c>
      <c r="F780" s="4" t="n">
        <v>5000</v>
      </c>
    </row>
    <row r="781">
      <c r="D781" s="2" t="inlineStr">
        <is>
          <t>SUBTOTAL UPAH</t>
        </is>
      </c>
      <c r="F781" s="16" t="n">
        <v>26910</v>
      </c>
    </row>
    <row r="782">
      <c r="D782" s="2" t="inlineStr">
        <is>
          <t>SUBTOTAL BAHAN</t>
        </is>
      </c>
      <c r="F782" s="16" t="n">
        <v>201020.2</v>
      </c>
    </row>
    <row r="783">
      <c r="D783" s="2" t="inlineStr">
        <is>
          <t>SUBTOTAL ALAT</t>
        </is>
      </c>
      <c r="F783" s="16" t="n">
        <v>0</v>
      </c>
    </row>
    <row r="784">
      <c r="E784" s="2" t="inlineStr">
        <is>
          <t>TOTAL HARGA SATUAN (Inc. Overhead)</t>
        </is>
      </c>
      <c r="F784" s="17" t="n">
        <v>250723</v>
      </c>
    </row>
    <row r="786">
      <c r="A786" s="14" t="inlineStr">
        <is>
          <t>KODE: 2.1.2.6 - Pemasangan 1 m2 rangka atap sirap, kayu kelas II</t>
        </is>
      </c>
    </row>
    <row r="787">
      <c r="A787" s="10" t="inlineStr">
        <is>
          <t>No</t>
        </is>
      </c>
      <c r="B787" s="10" t="inlineStr">
        <is>
          <t>Uraian Komponen</t>
        </is>
      </c>
      <c r="C787" s="10" t="inlineStr">
        <is>
          <t>Satuan</t>
        </is>
      </c>
      <c r="D787" s="10" t="inlineStr">
        <is>
          <t>Koef</t>
        </is>
      </c>
      <c r="E787" s="10" t="inlineStr">
        <is>
          <t>Harga Satuan (Rp)</t>
        </is>
      </c>
      <c r="F787" s="10" t="inlineStr">
        <is>
          <t>Jumlah Harga (Rp)</t>
        </is>
      </c>
    </row>
    <row r="788">
      <c r="A788" s="3" t="inlineStr">
        <is>
          <t>1</t>
        </is>
      </c>
      <c r="B788" s="3" t="inlineStr">
        <is>
          <t>Pekerja</t>
        </is>
      </c>
      <c r="C788" s="3" t="inlineStr">
        <is>
          <t>OH</t>
        </is>
      </c>
      <c r="D788" s="15" t="n">
        <v>0.12</v>
      </c>
      <c r="E788" s="4" t="n">
        <v>100000</v>
      </c>
      <c r="F788" s="4" t="n">
        <v>12000</v>
      </c>
    </row>
    <row r="789">
      <c r="A789" s="3" t="inlineStr">
        <is>
          <t>2</t>
        </is>
      </c>
      <c r="B789" s="3" t="inlineStr">
        <is>
          <t>Tukang kayu</t>
        </is>
      </c>
      <c r="C789" s="3" t="inlineStr">
        <is>
          <t>OH</t>
        </is>
      </c>
      <c r="D789" s="15" t="n">
        <v>0.12</v>
      </c>
      <c r="E789" s="4" t="n">
        <v>145000</v>
      </c>
      <c r="F789" s="4" t="n">
        <v>17400</v>
      </c>
    </row>
    <row r="790">
      <c r="A790" s="3" t="inlineStr">
        <is>
          <t>3</t>
        </is>
      </c>
      <c r="B790" s="3" t="inlineStr">
        <is>
          <t>Kepala tukang</t>
        </is>
      </c>
      <c r="C790" s="3" t="inlineStr">
        <is>
          <t>OH</t>
        </is>
      </c>
      <c r="D790" s="15" t="n">
        <v>0.012</v>
      </c>
      <c r="E790" s="4" t="n">
        <v>175000</v>
      </c>
      <c r="F790" s="4" t="n">
        <v>2100</v>
      </c>
    </row>
    <row r="791">
      <c r="A791" s="3" t="inlineStr">
        <is>
          <t>4</t>
        </is>
      </c>
      <c r="B791" s="3" t="inlineStr">
        <is>
          <t>Mandor</t>
        </is>
      </c>
      <c r="C791" s="3" t="inlineStr">
        <is>
          <t>OH</t>
        </is>
      </c>
      <c r="D791" s="15" t="n">
        <v>0.004</v>
      </c>
      <c r="E791" s="4" t="n">
        <v>200000</v>
      </c>
      <c r="F791" s="4" t="n">
        <v>800</v>
      </c>
    </row>
    <row r="792">
      <c r="A792" s="3" t="inlineStr">
        <is>
          <t>1</t>
        </is>
      </c>
      <c r="B792" s="3" t="inlineStr">
        <is>
          <t>Kayu balok 6/15 kelas II (batang)</t>
        </is>
      </c>
      <c r="C792" s="3" t="inlineStr">
        <is>
          <t>batang</t>
        </is>
      </c>
      <c r="D792" s="15" t="n">
        <v>0.165</v>
      </c>
      <c r="E792" s="4" t="n">
        <v>414000</v>
      </c>
      <c r="F792" s="4" t="n">
        <v>68310</v>
      </c>
    </row>
    <row r="793">
      <c r="A793" s="3" t="inlineStr">
        <is>
          <t>2</t>
        </is>
      </c>
      <c r="B793" s="3" t="inlineStr">
        <is>
          <t>Paku 4 inch</t>
        </is>
      </c>
      <c r="C793" s="3" t="inlineStr">
        <is>
          <t>kg</t>
        </is>
      </c>
      <c r="D793" s="15" t="n">
        <v>0.2</v>
      </c>
      <c r="E793" s="4" t="n">
        <v>19000</v>
      </c>
      <c r="F793" s="4" t="n">
        <v>3800</v>
      </c>
    </row>
    <row r="794">
      <c r="D794" s="2" t="inlineStr">
        <is>
          <t>SUBTOTAL UPAH</t>
        </is>
      </c>
      <c r="F794" s="16" t="n">
        <v>32300</v>
      </c>
    </row>
    <row r="795">
      <c r="D795" s="2" t="inlineStr">
        <is>
          <t>SUBTOTAL BAHAN</t>
        </is>
      </c>
      <c r="F795" s="16" t="n">
        <v>72110</v>
      </c>
    </row>
    <row r="796">
      <c r="D796" s="2" t="inlineStr">
        <is>
          <t>SUBTOTAL ALAT</t>
        </is>
      </c>
      <c r="F796" s="16" t="n">
        <v>0</v>
      </c>
    </row>
    <row r="797">
      <c r="E797" s="2" t="inlineStr">
        <is>
          <t>TOTAL HARGA SATUAN (Inc. Overhead)</t>
        </is>
      </c>
      <c r="F797" s="17" t="n">
        <v>114851</v>
      </c>
    </row>
    <row r="799">
      <c r="A799" s="14" t="inlineStr">
        <is>
          <t>KODE: 2.3.1.1 - 1 kg Pabrikasi dan Ereksi Baja Profil</t>
        </is>
      </c>
    </row>
    <row r="800">
      <c r="A800" s="10" t="inlineStr">
        <is>
          <t>No</t>
        </is>
      </c>
      <c r="B800" s="10" t="inlineStr">
        <is>
          <t>Uraian Komponen</t>
        </is>
      </c>
      <c r="C800" s="10" t="inlineStr">
        <is>
          <t>Satuan</t>
        </is>
      </c>
      <c r="D800" s="10" t="inlineStr">
        <is>
          <t>Koef</t>
        </is>
      </c>
      <c r="E800" s="10" t="inlineStr">
        <is>
          <t>Harga Satuan (Rp)</t>
        </is>
      </c>
      <c r="F800" s="10" t="inlineStr">
        <is>
          <t>Jumlah Harga (Rp)</t>
        </is>
      </c>
    </row>
    <row r="801">
      <c r="A801" s="3" t="inlineStr">
        <is>
          <t>1</t>
        </is>
      </c>
      <c r="B801" s="3" t="inlineStr">
        <is>
          <t>Pekerja OH</t>
        </is>
      </c>
      <c r="C801" s="3" t="inlineStr">
        <is>
          <t>0.0375</t>
        </is>
      </c>
      <c r="D801" s="15" t="n">
        <v>100000</v>
      </c>
      <c r="E801" s="4" t="n">
        <v>3750</v>
      </c>
      <c r="F801" s="4" t="n">
        <v>0.1</v>
      </c>
    </row>
    <row r="802">
      <c r="A802" s="3" t="inlineStr">
        <is>
          <t>2</t>
        </is>
      </c>
      <c r="B802" s="3" t="inlineStr">
        <is>
          <t>Tukang besi</t>
        </is>
      </c>
      <c r="C802" s="3" t="inlineStr">
        <is>
          <t>OH</t>
        </is>
      </c>
      <c r="D802" s="15" t="n">
        <v>0.0125</v>
      </c>
      <c r="E802" s="4" t="n">
        <v>145000</v>
      </c>
      <c r="F802" s="4" t="n">
        <v>1812.5</v>
      </c>
    </row>
    <row r="803">
      <c r="A803" s="3" t="inlineStr">
        <is>
          <t>4</t>
        </is>
      </c>
      <c r="B803" s="3" t="inlineStr">
        <is>
          <t>Kepala tukang</t>
        </is>
      </c>
      <c r="C803" s="3" t="inlineStr">
        <is>
          <t>OH</t>
        </is>
      </c>
      <c r="D803" s="15" t="n">
        <v>0.0025</v>
      </c>
      <c r="E803" s="4" t="n">
        <v>175000</v>
      </c>
      <c r="F803" s="4" t="n">
        <v>437.5</v>
      </c>
    </row>
    <row r="804">
      <c r="A804" s="3" t="inlineStr">
        <is>
          <t>5</t>
        </is>
      </c>
      <c r="B804" s="3" t="inlineStr">
        <is>
          <t>Mandor</t>
        </is>
      </c>
      <c r="C804" s="3" t="inlineStr">
        <is>
          <t>OH</t>
        </is>
      </c>
      <c r="D804" s="15" t="n">
        <v>0.008</v>
      </c>
      <c r="E804" s="4" t="n">
        <v>200000</v>
      </c>
      <c r="F804" s="4" t="n">
        <v>1600</v>
      </c>
    </row>
    <row r="805">
      <c r="A805" s="3" t="inlineStr">
        <is>
          <t>1</t>
        </is>
      </c>
      <c r="B805" s="3" t="inlineStr">
        <is>
          <t>Baja Profil</t>
        </is>
      </c>
      <c r="C805" s="3" t="inlineStr">
        <is>
          <t>kg</t>
        </is>
      </c>
      <c r="D805" s="15" t="n">
        <v>1.15</v>
      </c>
      <c r="E805" s="4" t="n">
        <v>16480</v>
      </c>
      <c r="F805" s="4" t="n">
        <v>18952</v>
      </c>
    </row>
    <row r="806">
      <c r="A806" s="3" t="inlineStr">
        <is>
          <t>2</t>
        </is>
      </c>
      <c r="B806" s="3" t="inlineStr">
        <is>
          <t>Kawat las</t>
        </is>
      </c>
      <c r="C806" s="3" t="inlineStr">
        <is>
          <t>kg</t>
        </is>
      </c>
      <c r="D806" s="15" t="n">
        <v>0.053</v>
      </c>
      <c r="E806" s="4" t="n">
        <v>45550</v>
      </c>
      <c r="F806" s="4" t="n">
        <v>2414.15</v>
      </c>
    </row>
    <row r="807">
      <c r="A807" s="3" t="inlineStr">
        <is>
          <t>1</t>
        </is>
      </c>
      <c r="B807" s="3" t="inlineStr">
        <is>
          <t>Alat Las Listrik</t>
        </is>
      </c>
      <c r="C807" s="3" t="inlineStr">
        <is>
          <t>jam</t>
        </is>
      </c>
      <c r="D807" s="15" t="n">
        <v>0.033</v>
      </c>
      <c r="E807" s="4" t="n">
        <v>3125</v>
      </c>
      <c r="F807" s="4" t="n">
        <v>103.125</v>
      </c>
    </row>
    <row r="808">
      <c r="A808" s="3" t="inlineStr">
        <is>
          <t>2</t>
        </is>
      </c>
      <c r="B808" s="3" t="inlineStr">
        <is>
          <t>Sewa mobil crane</t>
        </is>
      </c>
      <c r="C808" s="3" t="inlineStr">
        <is>
          <t>jam</t>
        </is>
      </c>
      <c r="D808" s="15" t="n">
        <v>0.0013</v>
      </c>
      <c r="E808" s="4" t="n">
        <v>1450000</v>
      </c>
      <c r="F808" s="4" t="n">
        <v>1885</v>
      </c>
    </row>
    <row r="809">
      <c r="D809" s="2" t="inlineStr">
        <is>
          <t>SUBTOTAL UPAH</t>
        </is>
      </c>
      <c r="F809" s="16" t="n">
        <v>7600</v>
      </c>
    </row>
    <row r="810">
      <c r="D810" s="2" t="inlineStr">
        <is>
          <t>SUBTOTAL BAHAN</t>
        </is>
      </c>
      <c r="F810" s="16" t="n">
        <v>21366.15</v>
      </c>
    </row>
    <row r="811">
      <c r="D811" s="2" t="inlineStr">
        <is>
          <t>SUBTOTAL ALAT</t>
        </is>
      </c>
      <c r="F811" s="16" t="n">
        <v>1988.125</v>
      </c>
    </row>
    <row r="812">
      <c r="E812" s="2" t="inlineStr">
        <is>
          <t>TOTAL HARGA SATUAN (Inc. Overhead)</t>
        </is>
      </c>
      <c r="F812" s="17" t="n">
        <v>34049</v>
      </c>
    </row>
    <row r="814">
      <c r="A814" s="14" t="inlineStr">
        <is>
          <t>KODE: 2.3.1.2 - 1 kg Pemasangan angkur</t>
        </is>
      </c>
    </row>
    <row r="815">
      <c r="A815" s="10" t="inlineStr">
        <is>
          <t>No</t>
        </is>
      </c>
      <c r="B815" s="10" t="inlineStr">
        <is>
          <t>Uraian Komponen</t>
        </is>
      </c>
      <c r="C815" s="10" t="inlineStr">
        <is>
          <t>Satuan</t>
        </is>
      </c>
      <c r="D815" s="10" t="inlineStr">
        <is>
          <t>Koef</t>
        </is>
      </c>
      <c r="E815" s="10" t="inlineStr">
        <is>
          <t>Harga Satuan (Rp)</t>
        </is>
      </c>
      <c r="F815" s="10" t="inlineStr">
        <is>
          <t>Jumlah Harga (Rp)</t>
        </is>
      </c>
    </row>
    <row r="816">
      <c r="A816" s="3" t="inlineStr">
        <is>
          <t>1</t>
        </is>
      </c>
      <c r="B816" s="3" t="inlineStr">
        <is>
          <t>Pekerja OH</t>
        </is>
      </c>
      <c r="C816" s="3" t="inlineStr">
        <is>
          <t>0.0406</t>
        </is>
      </c>
      <c r="D816" s="15" t="n">
        <v>100000</v>
      </c>
      <c r="E816" s="4" t="n">
        <v>4060</v>
      </c>
      <c r="F816" s="4" t="n">
        <v>0.1</v>
      </c>
    </row>
    <row r="817">
      <c r="A817" s="3" t="inlineStr">
        <is>
          <t>2</t>
        </is>
      </c>
      <c r="B817" s="3" t="inlineStr">
        <is>
          <t>Tukang las</t>
        </is>
      </c>
      <c r="C817" s="3" t="inlineStr">
        <is>
          <t>OH</t>
        </is>
      </c>
      <c r="D817" s="15" t="n">
        <v>0.0406</v>
      </c>
      <c r="E817" s="4" t="n">
        <v>145000</v>
      </c>
      <c r="F817" s="4" t="n">
        <v>5887</v>
      </c>
    </row>
    <row r="818">
      <c r="A818" s="3" t="inlineStr">
        <is>
          <t>4</t>
        </is>
      </c>
      <c r="B818" s="3" t="inlineStr">
        <is>
          <t>Mandor</t>
        </is>
      </c>
      <c r="C818" s="3" t="inlineStr">
        <is>
          <t>OH</t>
        </is>
      </c>
      <c r="D818" s="15" t="n">
        <v>0.0014</v>
      </c>
      <c r="E818" s="4" t="n">
        <v>200000</v>
      </c>
      <c r="F818" s="4" t="n">
        <v>280</v>
      </c>
    </row>
    <row r="819">
      <c r="A819" s="3" t="inlineStr">
        <is>
          <t>1</t>
        </is>
      </c>
      <c r="B819" s="3" t="inlineStr">
        <is>
          <t>Besi angkur/mur/baut</t>
        </is>
      </c>
      <c r="C819" s="3" t="inlineStr">
        <is>
          <t>kg</t>
        </is>
      </c>
      <c r="D819" s="15" t="n">
        <v>1</v>
      </c>
      <c r="E819" s="4" t="n">
        <v>16660</v>
      </c>
      <c r="F819" s="4" t="n">
        <v>16660</v>
      </c>
    </row>
    <row r="820">
      <c r="A820" s="3" t="inlineStr">
        <is>
          <t>Kawat las</t>
        </is>
      </c>
      <c r="B820" s="3" t="inlineStr"/>
      <c r="C820" s="3" t="inlineStr">
        <is>
          <t>kg</t>
        </is>
      </c>
      <c r="D820" s="15" t="n">
        <v>0.0075</v>
      </c>
      <c r="E820" s="4" t="n">
        <v>45550</v>
      </c>
      <c r="F820" s="4" t="n">
        <v>341.625</v>
      </c>
    </row>
    <row r="821">
      <c r="A821" s="3" t="inlineStr">
        <is>
          <t>1</t>
        </is>
      </c>
      <c r="B821" s="3" t="inlineStr">
        <is>
          <t>Alat Las Listrik</t>
        </is>
      </c>
      <c r="C821" s="3" t="inlineStr">
        <is>
          <t>hari</t>
        </is>
      </c>
      <c r="D821" s="15" t="n">
        <v>0.0406</v>
      </c>
      <c r="E821" s="4" t="n">
        <v>3125</v>
      </c>
      <c r="F821" s="4" t="n">
        <v>126.875</v>
      </c>
    </row>
    <row r="822">
      <c r="D822" s="2" t="inlineStr">
        <is>
          <t>SUBTOTAL UPAH</t>
        </is>
      </c>
      <c r="F822" s="16" t="n">
        <v>10227</v>
      </c>
    </row>
    <row r="823">
      <c r="D823" s="2" t="inlineStr">
        <is>
          <t>SUBTOTAL BAHAN</t>
        </is>
      </c>
      <c r="F823" s="16" t="n">
        <v>17001.625</v>
      </c>
    </row>
    <row r="824">
      <c r="D824" s="2" t="inlineStr">
        <is>
          <t>SUBTOTAL ALAT</t>
        </is>
      </c>
      <c r="F824" s="16" t="n">
        <v>126.875</v>
      </c>
    </row>
    <row r="825">
      <c r="E825" s="2" t="inlineStr">
        <is>
          <t>TOTAL HARGA SATUAN (Inc. Overhead)</t>
        </is>
      </c>
      <c r="F825" s="17" t="n">
        <v>30091</v>
      </c>
    </row>
    <row r="827">
      <c r="A827" s="14" t="inlineStr">
        <is>
          <t>KODE: 2.3.1.3 - 1 kg Pemasangan baut</t>
        </is>
      </c>
    </row>
    <row r="828">
      <c r="A828" s="10" t="inlineStr">
        <is>
          <t>No</t>
        </is>
      </c>
      <c r="B828" s="10" t="inlineStr">
        <is>
          <t>Uraian Komponen</t>
        </is>
      </c>
      <c r="C828" s="10" t="inlineStr">
        <is>
          <t>Satuan</t>
        </is>
      </c>
      <c r="D828" s="10" t="inlineStr">
        <is>
          <t>Koef</t>
        </is>
      </c>
      <c r="E828" s="10" t="inlineStr">
        <is>
          <t>Harga Satuan (Rp)</t>
        </is>
      </c>
      <c r="F828" s="10" t="inlineStr">
        <is>
          <t>Jumlah Harga (Rp)</t>
        </is>
      </c>
    </row>
    <row r="829">
      <c r="A829" s="3" t="inlineStr">
        <is>
          <t>1</t>
        </is>
      </c>
      <c r="B829" s="3" t="inlineStr">
        <is>
          <t>Pekerja OH</t>
        </is>
      </c>
      <c r="C829" s="3" t="inlineStr">
        <is>
          <t>0.0357</t>
        </is>
      </c>
      <c r="D829" s="15" t="n">
        <v>100000</v>
      </c>
      <c r="E829" s="4" t="n">
        <v>3570</v>
      </c>
      <c r="F829" s="4" t="n">
        <v>0.1</v>
      </c>
    </row>
    <row r="830">
      <c r="A830" s="3" t="inlineStr">
        <is>
          <t>2</t>
        </is>
      </c>
      <c r="B830" s="3" t="inlineStr">
        <is>
          <t>Tukang besi</t>
        </is>
      </c>
      <c r="C830" s="3" t="inlineStr">
        <is>
          <t>OH</t>
        </is>
      </c>
      <c r="D830" s="15" t="n">
        <v>0.0357</v>
      </c>
      <c r="E830" s="4" t="n">
        <v>145000</v>
      </c>
      <c r="F830" s="4" t="n">
        <v>5176.5</v>
      </c>
    </row>
    <row r="831">
      <c r="A831" s="3" t="inlineStr">
        <is>
          <t>3</t>
        </is>
      </c>
      <c r="B831" s="3" t="inlineStr">
        <is>
          <t>Kepala tukang</t>
        </is>
      </c>
      <c r="C831" s="3" t="inlineStr">
        <is>
          <t>OH</t>
        </is>
      </c>
      <c r="D831" s="15" t="n">
        <v>0.0036</v>
      </c>
      <c r="E831" s="4" t="n">
        <v>175000</v>
      </c>
      <c r="F831" s="4" t="n">
        <v>630</v>
      </c>
    </row>
    <row r="832">
      <c r="A832" s="3" t="inlineStr">
        <is>
          <t>4</t>
        </is>
      </c>
      <c r="B832" s="3" t="inlineStr">
        <is>
          <t>Mandor</t>
        </is>
      </c>
      <c r="C832" s="3" t="inlineStr">
        <is>
          <t>OH</t>
        </is>
      </c>
      <c r="D832" s="15" t="n">
        <v>0.0012</v>
      </c>
      <c r="E832" s="4" t="n">
        <v>200000</v>
      </c>
      <c r="F832" s="4" t="n">
        <v>240</v>
      </c>
    </row>
    <row r="833">
      <c r="A833" s="3" t="inlineStr">
        <is>
          <t>1</t>
        </is>
      </c>
      <c r="B833" s="3" t="inlineStr">
        <is>
          <t>Baut</t>
        </is>
      </c>
      <c r="C833" s="3" t="inlineStr">
        <is>
          <t>Kg</t>
        </is>
      </c>
      <c r="D833" s="15" t="n">
        <v>1</v>
      </c>
      <c r="E833" s="4" t="n">
        <v>17000</v>
      </c>
      <c r="F833" s="4" t="n">
        <v>17000</v>
      </c>
    </row>
    <row r="834">
      <c r="A834" s="3" t="inlineStr">
        <is>
          <t>1</t>
        </is>
      </c>
      <c r="B834" s="3" t="inlineStr">
        <is>
          <t>Kunci momen</t>
        </is>
      </c>
      <c r="C834" s="3" t="inlineStr">
        <is>
          <t>hari</t>
        </is>
      </c>
      <c r="D834" s="15" t="n">
        <v>0.0357</v>
      </c>
      <c r="E834" s="4" t="n">
        <v>20000</v>
      </c>
      <c r="F834" s="4" t="n">
        <v>714</v>
      </c>
    </row>
    <row r="835">
      <c r="D835" s="2" t="inlineStr">
        <is>
          <t>SUBTOTAL UPAH</t>
        </is>
      </c>
      <c r="F835" s="16" t="n">
        <v>9616.5</v>
      </c>
    </row>
    <row r="836">
      <c r="D836" s="2" t="inlineStr">
        <is>
          <t>SUBTOTAL BAHAN</t>
        </is>
      </c>
      <c r="F836" s="16" t="n">
        <v>17000</v>
      </c>
    </row>
    <row r="837">
      <c r="D837" s="2" t="inlineStr">
        <is>
          <t>SUBTOTAL ALAT</t>
        </is>
      </c>
      <c r="F837" s="16" t="n">
        <v>0</v>
      </c>
    </row>
    <row r="838">
      <c r="E838" s="2" t="inlineStr">
        <is>
          <t>TOTAL HARGA SATUAN (Inc. Overhead)</t>
        </is>
      </c>
      <c r="F838" s="17" t="n">
        <v>29278</v>
      </c>
    </row>
    <row r="840">
      <c r="A840" s="14" t="inlineStr">
        <is>
          <t>KODE: 2.3.1.4 - 1 kg pekerjaan  baja pelat secara semi mekanis</t>
        </is>
      </c>
    </row>
    <row r="841">
      <c r="A841" s="10" t="inlineStr">
        <is>
          <t>No</t>
        </is>
      </c>
      <c r="B841" s="10" t="inlineStr">
        <is>
          <t>Uraian Komponen</t>
        </is>
      </c>
      <c r="C841" s="10" t="inlineStr">
        <is>
          <t>Satuan</t>
        </is>
      </c>
      <c r="D841" s="10" t="inlineStr">
        <is>
          <t>Koef</t>
        </is>
      </c>
      <c r="E841" s="10" t="inlineStr">
        <is>
          <t>Harga Satuan (Rp)</t>
        </is>
      </c>
      <c r="F841" s="10" t="inlineStr">
        <is>
          <t>Jumlah Harga (Rp)</t>
        </is>
      </c>
    </row>
    <row r="842">
      <c r="A842" s="3" t="inlineStr">
        <is>
          <t>1</t>
        </is>
      </c>
      <c r="B842" s="3" t="inlineStr">
        <is>
          <t>Pekerja OH</t>
        </is>
      </c>
      <c r="C842" s="3" t="inlineStr">
        <is>
          <t>0.0345</t>
        </is>
      </c>
      <c r="D842" s="15" t="n">
        <v>100000</v>
      </c>
      <c r="E842" s="4" t="n">
        <v>3450</v>
      </c>
      <c r="F842" s="4" t="n">
        <v>0.1</v>
      </c>
    </row>
    <row r="843">
      <c r="A843" s="3" t="inlineStr">
        <is>
          <t>2</t>
        </is>
      </c>
      <c r="B843" s="3" t="inlineStr">
        <is>
          <t>Tukang besi</t>
        </is>
      </c>
      <c r="C843" s="3" t="inlineStr">
        <is>
          <t>OH</t>
        </is>
      </c>
      <c r="D843" s="15" t="n">
        <v>0.0345</v>
      </c>
      <c r="E843" s="4" t="n">
        <v>145000</v>
      </c>
      <c r="F843" s="4" t="n">
        <v>5002.5</v>
      </c>
    </row>
    <row r="844">
      <c r="A844" s="3" t="inlineStr">
        <is>
          <t>3</t>
        </is>
      </c>
      <c r="B844" s="3" t="inlineStr">
        <is>
          <t>Kepala tukang</t>
        </is>
      </c>
      <c r="C844" s="3" t="inlineStr">
        <is>
          <t>OH</t>
        </is>
      </c>
      <c r="D844" s="15" t="n">
        <v>0.0034</v>
      </c>
      <c r="E844" s="4" t="n">
        <v>175000</v>
      </c>
      <c r="F844" s="4" t="n">
        <v>595</v>
      </c>
    </row>
    <row r="845">
      <c r="A845" s="3" t="inlineStr">
        <is>
          <t>4</t>
        </is>
      </c>
      <c r="B845" s="3" t="inlineStr">
        <is>
          <t>Mandor</t>
        </is>
      </c>
      <c r="C845" s="3" t="inlineStr">
        <is>
          <t>OH</t>
        </is>
      </c>
      <c r="D845" s="15" t="n">
        <v>0.0011</v>
      </c>
      <c r="E845" s="4" t="n">
        <v>200000</v>
      </c>
      <c r="F845" s="4" t="n">
        <v>220</v>
      </c>
    </row>
    <row r="846">
      <c r="A846" s="3" t="inlineStr">
        <is>
          <t>1</t>
        </is>
      </c>
      <c r="B846" s="3" t="inlineStr">
        <is>
          <t>Besi plat baja tebal 2 mm</t>
        </is>
      </c>
      <c r="C846" s="3" t="inlineStr">
        <is>
          <t>kg</t>
        </is>
      </c>
      <c r="D846" s="15" t="n">
        <v>1.15</v>
      </c>
      <c r="E846" s="4" t="n">
        <v>25000</v>
      </c>
      <c r="F846" s="4" t="n">
        <v>28750</v>
      </c>
    </row>
    <row r="847">
      <c r="A847" s="3" t="inlineStr">
        <is>
          <t>2</t>
        </is>
      </c>
      <c r="B847" s="3" t="inlineStr">
        <is>
          <t>kawat las</t>
        </is>
      </c>
      <c r="C847" s="3" t="inlineStr">
        <is>
          <t>Kg</t>
        </is>
      </c>
      <c r="D847" s="15" t="n">
        <v>0.053</v>
      </c>
      <c r="E847" s="4" t="n">
        <v>45550</v>
      </c>
      <c r="F847" s="4" t="n">
        <v>2414.15</v>
      </c>
    </row>
    <row r="848">
      <c r="A848" s="3" t="inlineStr">
        <is>
          <t>1</t>
        </is>
      </c>
      <c r="B848" s="3" t="inlineStr">
        <is>
          <t>Alat Las Listrik</t>
        </is>
      </c>
      <c r="C848" s="3" t="inlineStr">
        <is>
          <t>hari</t>
        </is>
      </c>
      <c r="D848" s="15" t="n">
        <v>0.0333</v>
      </c>
      <c r="E848" s="4" t="n">
        <v>3125</v>
      </c>
      <c r="F848" s="4" t="n">
        <v>104.0625</v>
      </c>
    </row>
    <row r="849">
      <c r="D849" s="2" t="inlineStr">
        <is>
          <t>SUBTOTAL UPAH</t>
        </is>
      </c>
      <c r="F849" s="16" t="n">
        <v>9267.5</v>
      </c>
    </row>
    <row r="850">
      <c r="D850" s="2" t="inlineStr">
        <is>
          <t>SUBTOTAL BAHAN</t>
        </is>
      </c>
      <c r="F850" s="16" t="n">
        <v>31164.15</v>
      </c>
    </row>
    <row r="851">
      <c r="D851" s="2" t="inlineStr">
        <is>
          <t>SUBTOTAL ALAT</t>
        </is>
      </c>
      <c r="F851" s="16" t="n">
        <v>104.0625</v>
      </c>
    </row>
    <row r="852">
      <c r="E852" s="2" t="inlineStr">
        <is>
          <t>TOTAL HARGA SATUAN (Inc. Overhead)</t>
        </is>
      </c>
      <c r="F852" s="17" t="n">
        <v>44589</v>
      </c>
    </row>
    <row r="854">
      <c r="A854" s="14" t="inlineStr">
        <is>
          <t>KODE: 2.3.1.5 - 1 kg pekerjaan  baja profil siku dengan pengelasan secara semi mekanis</t>
        </is>
      </c>
    </row>
    <row r="855">
      <c r="A855" s="10" t="inlineStr">
        <is>
          <t>No</t>
        </is>
      </c>
      <c r="B855" s="10" t="inlineStr">
        <is>
          <t>Uraian Komponen</t>
        </is>
      </c>
      <c r="C855" s="10" t="inlineStr">
        <is>
          <t>Satuan</t>
        </is>
      </c>
      <c r="D855" s="10" t="inlineStr">
        <is>
          <t>Koef</t>
        </is>
      </c>
      <c r="E855" s="10" t="inlineStr">
        <is>
          <t>Harga Satuan (Rp)</t>
        </is>
      </c>
      <c r="F855" s="10" t="inlineStr">
        <is>
          <t>Jumlah Harga (Rp)</t>
        </is>
      </c>
    </row>
    <row r="856">
      <c r="A856" s="3" t="inlineStr">
        <is>
          <t>1</t>
        </is>
      </c>
      <c r="B856" s="3" t="inlineStr">
        <is>
          <t>Pekerja OH</t>
        </is>
      </c>
      <c r="C856" s="3" t="inlineStr">
        <is>
          <t>0.0345</t>
        </is>
      </c>
      <c r="D856" s="15" t="n">
        <v>100000</v>
      </c>
      <c r="E856" s="4" t="n">
        <v>3450</v>
      </c>
      <c r="F856" s="4" t="n">
        <v>0.1</v>
      </c>
    </row>
    <row r="857">
      <c r="A857" s="3" t="inlineStr">
        <is>
          <t>2</t>
        </is>
      </c>
      <c r="B857" s="3" t="inlineStr">
        <is>
          <t>Tukang besi</t>
        </is>
      </c>
      <c r="C857" s="3" t="inlineStr">
        <is>
          <t>OH</t>
        </is>
      </c>
      <c r="D857" s="15" t="n">
        <v>0.0345</v>
      </c>
      <c r="E857" s="4" t="n">
        <v>145000</v>
      </c>
      <c r="F857" s="4" t="n">
        <v>5002.5</v>
      </c>
    </row>
    <row r="858">
      <c r="A858" s="3" t="inlineStr">
        <is>
          <t>3</t>
        </is>
      </c>
      <c r="B858" s="3" t="inlineStr">
        <is>
          <t>Kepala tukang</t>
        </is>
      </c>
      <c r="C858" s="3" t="inlineStr">
        <is>
          <t>OH</t>
        </is>
      </c>
      <c r="D858" s="15" t="n">
        <v>0.0034</v>
      </c>
      <c r="E858" s="4" t="n">
        <v>175000</v>
      </c>
      <c r="F858" s="4" t="n">
        <v>595</v>
      </c>
    </row>
    <row r="859">
      <c r="A859" s="3" t="inlineStr">
        <is>
          <t>4</t>
        </is>
      </c>
      <c r="B859" s="3" t="inlineStr">
        <is>
          <t>Mandor</t>
        </is>
      </c>
      <c r="C859" s="3" t="inlineStr">
        <is>
          <t>OH</t>
        </is>
      </c>
      <c r="D859" s="15" t="n">
        <v>0.0011</v>
      </c>
      <c r="E859" s="4" t="n">
        <v>200000</v>
      </c>
      <c r="F859" s="4" t="n">
        <v>220</v>
      </c>
    </row>
    <row r="860">
      <c r="A860" s="3" t="inlineStr">
        <is>
          <t>1</t>
        </is>
      </c>
      <c r="B860" s="3" t="inlineStr">
        <is>
          <t>Baja Profil Siku</t>
        </is>
      </c>
      <c r="C860" s="3" t="inlineStr">
        <is>
          <t>kg</t>
        </is>
      </c>
      <c r="D860" s="15" t="n">
        <v>1.15</v>
      </c>
      <c r="E860" s="4" t="n">
        <v>15500</v>
      </c>
      <c r="F860" s="4" t="n">
        <v>17825</v>
      </c>
    </row>
    <row r="861">
      <c r="A861" s="3" t="inlineStr">
        <is>
          <t>2</t>
        </is>
      </c>
      <c r="B861" s="3" t="inlineStr">
        <is>
          <t>kawat las</t>
        </is>
      </c>
      <c r="C861" s="3" t="inlineStr">
        <is>
          <t>Kg</t>
        </is>
      </c>
      <c r="D861" s="15" t="n">
        <v>0.053</v>
      </c>
      <c r="E861" s="4" t="n">
        <v>45550</v>
      </c>
      <c r="F861" s="4" t="n">
        <v>2414.15</v>
      </c>
    </row>
    <row r="862">
      <c r="A862" s="3" t="inlineStr">
        <is>
          <t>1</t>
        </is>
      </c>
      <c r="B862" s="3" t="inlineStr">
        <is>
          <t>Alat Las Listrik</t>
        </is>
      </c>
      <c r="C862" s="3" t="inlineStr">
        <is>
          <t>Jam</t>
        </is>
      </c>
      <c r="D862" s="15" t="n">
        <v>0.0333</v>
      </c>
      <c r="E862" s="4" t="n">
        <v>3125</v>
      </c>
      <c r="F862" s="4" t="n">
        <v>104.0625</v>
      </c>
    </row>
    <row r="863">
      <c r="D863" s="2" t="inlineStr">
        <is>
          <t>SUBTOTAL UPAH</t>
        </is>
      </c>
      <c r="F863" s="16" t="n">
        <v>9267.5</v>
      </c>
    </row>
    <row r="864">
      <c r="D864" s="2" t="inlineStr">
        <is>
          <t>SUBTOTAL BAHAN</t>
        </is>
      </c>
      <c r="F864" s="16" t="n">
        <v>20239.15</v>
      </c>
    </row>
    <row r="865">
      <c r="D865" s="2" t="inlineStr">
        <is>
          <t>SUBTOTAL ALAT</t>
        </is>
      </c>
      <c r="F865" s="16" t="n">
        <v>104.0625</v>
      </c>
    </row>
    <row r="866">
      <c r="E866" s="2" t="inlineStr">
        <is>
          <t>TOTAL HARGA SATUAN (Inc. Overhead)</t>
        </is>
      </c>
      <c r="F866" s="17" t="n">
        <v>32571</v>
      </c>
    </row>
    <row r="868">
      <c r="A868" s="14" t="inlineStr">
        <is>
          <t>KODE: 2.3.1.6 - 1 kg pekerjaan  baja profil siku tanpa pengelasan secara manual</t>
        </is>
      </c>
    </row>
    <row r="869">
      <c r="A869" s="10" t="inlineStr">
        <is>
          <t>No</t>
        </is>
      </c>
      <c r="B869" s="10" t="inlineStr">
        <is>
          <t>Uraian Komponen</t>
        </is>
      </c>
      <c r="C869" s="10" t="inlineStr">
        <is>
          <t>Satuan</t>
        </is>
      </c>
      <c r="D869" s="10" t="inlineStr">
        <is>
          <t>Koef</t>
        </is>
      </c>
      <c r="E869" s="10" t="inlineStr">
        <is>
          <t>Harga Satuan (Rp)</t>
        </is>
      </c>
      <c r="F869" s="10" t="inlineStr">
        <is>
          <t>Jumlah Harga (Rp)</t>
        </is>
      </c>
    </row>
    <row r="870">
      <c r="A870" s="3" t="inlineStr">
        <is>
          <t>1</t>
        </is>
      </c>
      <c r="B870" s="3" t="inlineStr">
        <is>
          <t>Pekerja OH</t>
        </is>
      </c>
      <c r="C870" s="3" t="inlineStr">
        <is>
          <t>0.0286</t>
        </is>
      </c>
      <c r="D870" s="15" t="n">
        <v>100000</v>
      </c>
      <c r="E870" s="4" t="n">
        <v>2860</v>
      </c>
      <c r="F870" s="4" t="n">
        <v>0.1</v>
      </c>
    </row>
    <row r="871">
      <c r="A871" s="3" t="inlineStr">
        <is>
          <t>2</t>
        </is>
      </c>
      <c r="B871" s="3" t="inlineStr">
        <is>
          <t>Tukang besi</t>
        </is>
      </c>
      <c r="C871" s="3" t="inlineStr">
        <is>
          <t>OH</t>
        </is>
      </c>
      <c r="D871" s="15" t="n">
        <v>0.0286</v>
      </c>
      <c r="E871" s="4" t="n">
        <v>145000</v>
      </c>
      <c r="F871" s="4" t="n">
        <v>4147</v>
      </c>
    </row>
    <row r="872">
      <c r="A872" s="3" t="inlineStr">
        <is>
          <t>3</t>
        </is>
      </c>
      <c r="B872" s="3" t="inlineStr">
        <is>
          <t>Kepala tukang</t>
        </is>
      </c>
      <c r="C872" s="3" t="inlineStr">
        <is>
          <t>OH</t>
        </is>
      </c>
      <c r="D872" s="15" t="n">
        <v>0.0029</v>
      </c>
      <c r="E872" s="4" t="n">
        <v>175000</v>
      </c>
      <c r="F872" s="4" t="n">
        <v>507.4999999999999</v>
      </c>
    </row>
    <row r="873">
      <c r="A873" s="3" t="inlineStr">
        <is>
          <t>4</t>
        </is>
      </c>
      <c r="B873" s="3" t="inlineStr">
        <is>
          <t>Mandor</t>
        </is>
      </c>
      <c r="C873" s="3" t="inlineStr">
        <is>
          <t>OH</t>
        </is>
      </c>
      <c r="D873" s="15" t="n">
        <v>0.001</v>
      </c>
      <c r="E873" s="4" t="n">
        <v>200000</v>
      </c>
      <c r="F873" s="4" t="n">
        <v>200</v>
      </c>
    </row>
    <row r="874">
      <c r="A874" s="3" t="inlineStr">
        <is>
          <t>1</t>
        </is>
      </c>
      <c r="B874" s="3" t="inlineStr">
        <is>
          <t>Baja Profil Siku</t>
        </is>
      </c>
      <c r="C874" s="3" t="inlineStr">
        <is>
          <t>kg</t>
        </is>
      </c>
      <c r="D874" s="15" t="n">
        <v>1.15</v>
      </c>
      <c r="E874" s="4" t="n">
        <v>15500</v>
      </c>
      <c r="F874" s="4" t="n">
        <v>17825</v>
      </c>
    </row>
    <row r="875">
      <c r="D875" s="2" t="inlineStr">
        <is>
          <t>SUBTOTAL UPAH</t>
        </is>
      </c>
      <c r="F875" s="16" t="n">
        <v>7714.5</v>
      </c>
    </row>
    <row r="876">
      <c r="D876" s="2" t="inlineStr">
        <is>
          <t>SUBTOTAL BAHAN</t>
        </is>
      </c>
      <c r="F876" s="16" t="n">
        <v>17825</v>
      </c>
    </row>
    <row r="877">
      <c r="D877" s="2" t="inlineStr">
        <is>
          <t>SUBTOTAL ALAT</t>
        </is>
      </c>
      <c r="F877" s="16" t="n">
        <v>0</v>
      </c>
    </row>
    <row r="878">
      <c r="E878" s="2" t="inlineStr">
        <is>
          <t>TOTAL HARGA SATUAN (Inc. Overhead)</t>
        </is>
      </c>
      <c r="F878" s="17" t="n">
        <v>28093</v>
      </c>
    </row>
    <row r="880">
      <c r="A880" s="14" t="inlineStr">
        <is>
          <t>KODE: 2.4.1.1 - Pembuatan 1 m2 Bekisting untuk pelat Beton Pracetak Komponen Modular Bangunan gedung ( 5kali pakai )</t>
        </is>
      </c>
    </row>
    <row r="881">
      <c r="A881" s="10" t="inlineStr">
        <is>
          <t>No</t>
        </is>
      </c>
      <c r="B881" s="10" t="inlineStr">
        <is>
          <t>Uraian Komponen</t>
        </is>
      </c>
      <c r="C881" s="10" t="inlineStr">
        <is>
          <t>Satuan</t>
        </is>
      </c>
      <c r="D881" s="10" t="inlineStr">
        <is>
          <t>Koef</t>
        </is>
      </c>
      <c r="E881" s="10" t="inlineStr">
        <is>
          <t>Harga Satuan (Rp)</t>
        </is>
      </c>
      <c r="F881" s="10" t="inlineStr">
        <is>
          <t>Jumlah Harga (Rp)</t>
        </is>
      </c>
    </row>
    <row r="882">
      <c r="A882" s="3" t="inlineStr">
        <is>
          <t>1</t>
        </is>
      </c>
      <c r="B882" s="3" t="inlineStr">
        <is>
          <t>Pekerja</t>
        </is>
      </c>
      <c r="C882" s="3" t="inlineStr">
        <is>
          <t>OH</t>
        </is>
      </c>
      <c r="D882" s="15" t="n">
        <v>0.007</v>
      </c>
      <c r="E882" s="4" t="n">
        <v>100000</v>
      </c>
      <c r="F882" s="4" t="n">
        <v>700</v>
      </c>
    </row>
    <row r="883">
      <c r="A883" s="3" t="inlineStr">
        <is>
          <t>2</t>
        </is>
      </c>
      <c r="B883" s="3" t="inlineStr">
        <is>
          <t>Tukang kayu</t>
        </is>
      </c>
      <c r="C883" s="3" t="inlineStr">
        <is>
          <t>OH</t>
        </is>
      </c>
      <c r="D883" s="15" t="n">
        <v>0.076</v>
      </c>
      <c r="E883" s="4" t="n">
        <v>145000</v>
      </c>
      <c r="F883" s="4" t="n">
        <v>11020</v>
      </c>
    </row>
    <row r="884">
      <c r="A884" s="3" t="inlineStr">
        <is>
          <t>3</t>
        </is>
      </c>
      <c r="B884" s="3" t="inlineStr">
        <is>
          <t>Kepala tukang</t>
        </is>
      </c>
      <c r="C884" s="3" t="inlineStr">
        <is>
          <t>OH</t>
        </is>
      </c>
      <c r="D884" s="15" t="n">
        <v>0.008</v>
      </c>
      <c r="E884" s="4" t="n">
        <v>175000</v>
      </c>
      <c r="F884" s="4" t="n">
        <v>1400</v>
      </c>
    </row>
    <row r="885">
      <c r="A885" s="3" t="inlineStr">
        <is>
          <t>4</t>
        </is>
      </c>
      <c r="B885" s="3" t="inlineStr">
        <is>
          <t>Mandor</t>
        </is>
      </c>
      <c r="C885" s="3" t="inlineStr">
        <is>
          <t>OH</t>
        </is>
      </c>
      <c r="D885" s="15" t="n">
        <v>0.003</v>
      </c>
      <c r="E885" s="4" t="n">
        <v>200000</v>
      </c>
      <c r="F885" s="4" t="n">
        <v>600</v>
      </c>
    </row>
    <row r="886">
      <c r="A886" s="3" t="inlineStr">
        <is>
          <t>1</t>
        </is>
      </c>
      <c r="B886" s="3" t="inlineStr">
        <is>
          <t>Lantai kerja</t>
        </is>
      </c>
      <c r="C886" s="3" t="inlineStr">
        <is>
          <t>m3</t>
        </is>
      </c>
      <c r="D886" s="15" t="n">
        <v>0.008</v>
      </c>
      <c r="E886" s="4" t="n">
        <v>805000</v>
      </c>
      <c r="F886" s="4" t="n">
        <v>6440</v>
      </c>
    </row>
    <row r="887">
      <c r="A887" s="3" t="inlineStr">
        <is>
          <t>2</t>
        </is>
      </c>
      <c r="B887" s="3" t="inlineStr">
        <is>
          <t>Besi hollow  50.50.3</t>
        </is>
      </c>
      <c r="C887" s="3" t="inlineStr">
        <is>
          <t>kg</t>
        </is>
      </c>
      <c r="D887" s="15" t="n">
        <v>9.394</v>
      </c>
      <c r="E887" s="4" t="n">
        <v>13800</v>
      </c>
      <c r="F887" s="4" t="n">
        <v>129637.2</v>
      </c>
    </row>
    <row r="888">
      <c r="A888" s="3" t="inlineStr">
        <is>
          <t>3</t>
        </is>
      </c>
      <c r="B888" s="3" t="inlineStr">
        <is>
          <t>kaso 5/7</t>
        </is>
      </c>
      <c r="C888" s="3" t="inlineStr">
        <is>
          <t>m3</t>
        </is>
      </c>
      <c r="D888" s="15" t="n">
        <v>0.005</v>
      </c>
      <c r="E888" s="4" t="n">
        <v>10214200</v>
      </c>
      <c r="F888" s="4" t="n">
        <v>51071</v>
      </c>
    </row>
    <row r="889">
      <c r="A889" s="3" t="inlineStr">
        <is>
          <t>Phenol film 12mm</t>
        </is>
      </c>
      <c r="B889" s="3" t="inlineStr"/>
      <c r="C889" s="3" t="inlineStr">
        <is>
          <t>lembar</t>
        </is>
      </c>
      <c r="D889" s="15" t="n">
        <v>0.08</v>
      </c>
      <c r="E889" s="4" t="n">
        <v>230000</v>
      </c>
      <c r="F889" s="4" t="n">
        <v>18400</v>
      </c>
    </row>
    <row r="890">
      <c r="A890" s="3" t="inlineStr">
        <is>
          <t>4</t>
        </is>
      </c>
      <c r="B890" s="3" t="inlineStr">
        <is>
          <t>Minyak bekisting</t>
        </is>
      </c>
      <c r="C890" s="3" t="inlineStr">
        <is>
          <t>liter</t>
        </is>
      </c>
      <c r="D890" s="15" t="n">
        <v>0.2</v>
      </c>
      <c r="E890" s="4" t="n">
        <v>16800</v>
      </c>
      <c r="F890" s="4" t="n">
        <v>3360</v>
      </c>
    </row>
    <row r="891">
      <c r="A891" s="3" t="inlineStr">
        <is>
          <t>5</t>
        </is>
      </c>
      <c r="B891" s="3" t="inlineStr">
        <is>
          <t>Dinabolt dia. 12mm (10-15 cm)</t>
        </is>
      </c>
      <c r="C891" s="3" t="inlineStr">
        <is>
          <t>buah</t>
        </is>
      </c>
      <c r="D891" s="15" t="n">
        <v>3.882</v>
      </c>
      <c r="E891" s="4" t="n">
        <v>4550</v>
      </c>
      <c r="F891" s="4" t="n">
        <v>17663.1</v>
      </c>
    </row>
    <row r="892">
      <c r="D892" s="2" t="inlineStr">
        <is>
          <t>SUBTOTAL UPAH</t>
        </is>
      </c>
      <c r="F892" s="16" t="n">
        <v>13720</v>
      </c>
    </row>
    <row r="893">
      <c r="D893" s="2" t="inlineStr">
        <is>
          <t>SUBTOTAL BAHAN</t>
        </is>
      </c>
      <c r="F893" s="16" t="n">
        <v>226571.3</v>
      </c>
    </row>
    <row r="894">
      <c r="D894" s="2" t="inlineStr">
        <is>
          <t>SUBTOTAL ALAT</t>
        </is>
      </c>
      <c r="F894" s="16" t="n">
        <v>0</v>
      </c>
    </row>
    <row r="895">
      <c r="E895" s="2" t="inlineStr">
        <is>
          <t>TOTAL HARGA SATUAN (Inc. Overhead)</t>
        </is>
      </c>
      <c r="F895" s="17" t="n">
        <v>264320</v>
      </c>
    </row>
    <row r="897">
      <c r="A897" s="14" t="inlineStr">
        <is>
          <t>KODE: 2.4.1.2 - Pembuatan 1 m2 Bekisting untuk balok Beton Pracetak ( 10 - 12 kali pakai )</t>
        </is>
      </c>
    </row>
    <row r="898">
      <c r="A898" s="10" t="inlineStr">
        <is>
          <t>No</t>
        </is>
      </c>
      <c r="B898" s="10" t="inlineStr">
        <is>
          <t>Uraian Komponen</t>
        </is>
      </c>
      <c r="C898" s="10" t="inlineStr">
        <is>
          <t>Satuan</t>
        </is>
      </c>
      <c r="D898" s="10" t="inlineStr">
        <is>
          <t>Koef</t>
        </is>
      </c>
      <c r="E898" s="10" t="inlineStr">
        <is>
          <t>Harga Satuan (Rp)</t>
        </is>
      </c>
      <c r="F898" s="10" t="inlineStr">
        <is>
          <t>Jumlah Harga (Rp)</t>
        </is>
      </c>
    </row>
    <row r="899">
      <c r="A899" s="3" t="inlineStr">
        <is>
          <t>1</t>
        </is>
      </c>
      <c r="B899" s="3" t="inlineStr">
        <is>
          <t>Pekerja</t>
        </is>
      </c>
      <c r="C899" s="3" t="inlineStr">
        <is>
          <t>OH</t>
        </is>
      </c>
      <c r="D899" s="15" t="n">
        <v>0.004</v>
      </c>
      <c r="E899" s="4" t="n">
        <v>100000</v>
      </c>
      <c r="F899" s="4" t="n">
        <v>400</v>
      </c>
    </row>
    <row r="900">
      <c r="A900" s="3" t="inlineStr">
        <is>
          <t>2</t>
        </is>
      </c>
      <c r="B900" s="3" t="inlineStr">
        <is>
          <t>Tukang kayu</t>
        </is>
      </c>
      <c r="C900" s="3" t="inlineStr">
        <is>
          <t>OH</t>
        </is>
      </c>
      <c r="D900" s="15" t="n">
        <v>0.038</v>
      </c>
      <c r="E900" s="4" t="n">
        <v>145000</v>
      </c>
      <c r="F900" s="4" t="n">
        <v>5510</v>
      </c>
    </row>
    <row r="901">
      <c r="A901" s="3" t="inlineStr">
        <is>
          <t>3</t>
        </is>
      </c>
      <c r="B901" s="3" t="inlineStr">
        <is>
          <t>Kepala tukang</t>
        </is>
      </c>
      <c r="C901" s="3" t="inlineStr">
        <is>
          <t>OH</t>
        </is>
      </c>
      <c r="D901" s="15" t="n">
        <v>0.004</v>
      </c>
      <c r="E901" s="4" t="n">
        <v>175000</v>
      </c>
      <c r="F901" s="4" t="n">
        <v>700</v>
      </c>
    </row>
    <row r="902">
      <c r="A902" s="3" t="inlineStr">
        <is>
          <t>4</t>
        </is>
      </c>
      <c r="B902" s="3" t="inlineStr">
        <is>
          <t>Mandor</t>
        </is>
      </c>
      <c r="C902" s="3" t="inlineStr">
        <is>
          <t>OH</t>
        </is>
      </c>
      <c r="D902" s="15" t="n">
        <v>0.001</v>
      </c>
      <c r="E902" s="4" t="n">
        <v>200000</v>
      </c>
      <c r="F902" s="4" t="n">
        <v>200</v>
      </c>
    </row>
    <row r="903">
      <c r="A903" s="3" t="inlineStr">
        <is>
          <t>1</t>
        </is>
      </c>
      <c r="B903" s="3" t="inlineStr">
        <is>
          <t>kaso 5/7</t>
        </is>
      </c>
      <c r="C903" s="3" t="inlineStr">
        <is>
          <t>m3</t>
        </is>
      </c>
      <c r="D903" s="15" t="n">
        <v>0.005</v>
      </c>
      <c r="E903" s="4" t="n">
        <v>10214200</v>
      </c>
      <c r="F903" s="4" t="n">
        <v>51071</v>
      </c>
    </row>
    <row r="904">
      <c r="A904" s="3" t="inlineStr">
        <is>
          <t>2</t>
        </is>
      </c>
      <c r="B904" s="3" t="inlineStr">
        <is>
          <t>Phenol film 12mm</t>
        </is>
      </c>
      <c r="C904" s="3" t="inlineStr">
        <is>
          <t>lembar</t>
        </is>
      </c>
      <c r="D904" s="15" t="n">
        <v>0.043</v>
      </c>
      <c r="E904" s="4" t="n">
        <v>230000</v>
      </c>
      <c r="F904" s="4" t="n">
        <v>9890</v>
      </c>
    </row>
    <row r="905">
      <c r="A905" s="3" t="inlineStr">
        <is>
          <t>3</t>
        </is>
      </c>
      <c r="B905" s="3" t="inlineStr">
        <is>
          <t>Minyak bekisting</t>
        </is>
      </c>
      <c r="C905" s="3" t="inlineStr">
        <is>
          <t>liter</t>
        </is>
      </c>
      <c r="D905" s="15" t="n">
        <v>0.2</v>
      </c>
      <c r="E905" s="4" t="n">
        <v>16800</v>
      </c>
      <c r="F905" s="4" t="n">
        <v>3360</v>
      </c>
    </row>
    <row r="906">
      <c r="A906" s="3" t="inlineStr">
        <is>
          <t>4</t>
        </is>
      </c>
      <c r="B906" s="3" t="inlineStr">
        <is>
          <t>Paku 2 inch</t>
        </is>
      </c>
      <c r="C906" s="3" t="inlineStr">
        <is>
          <t>kg</t>
        </is>
      </c>
      <c r="D906" s="15" t="n">
        <v>0.046</v>
      </c>
      <c r="E906" s="4" t="n">
        <v>18000</v>
      </c>
      <c r="F906" s="4" t="n">
        <v>828</v>
      </c>
    </row>
    <row r="907">
      <c r="A907" s="3" t="inlineStr">
        <is>
          <t>5</t>
        </is>
      </c>
      <c r="B907" s="3" t="inlineStr">
        <is>
          <t>Dinabolt dia. 12mm (10-15 cm)</t>
        </is>
      </c>
      <c r="C907" s="3" t="inlineStr">
        <is>
          <t>buah</t>
        </is>
      </c>
      <c r="D907" s="15" t="n">
        <v>0.6929999999999999</v>
      </c>
      <c r="E907" s="4" t="n">
        <v>4550</v>
      </c>
      <c r="F907" s="4" t="n">
        <v>3153.15</v>
      </c>
    </row>
    <row r="908">
      <c r="D908" s="2" t="inlineStr">
        <is>
          <t>SUBTOTAL UPAH</t>
        </is>
      </c>
      <c r="F908" s="16" t="n">
        <v>6810</v>
      </c>
    </row>
    <row r="909">
      <c r="D909" s="2" t="inlineStr">
        <is>
          <t>SUBTOTAL BAHAN</t>
        </is>
      </c>
      <c r="F909" s="16" t="n">
        <v>68302.14999999999</v>
      </c>
    </row>
    <row r="910">
      <c r="D910" s="2" t="inlineStr">
        <is>
          <t>SUBTOTAL ALAT</t>
        </is>
      </c>
      <c r="F910" s="16" t="n">
        <v>0</v>
      </c>
    </row>
    <row r="911">
      <c r="E911" s="2" t="inlineStr">
        <is>
          <t>TOTAL HARGA SATUAN (Inc. Overhead)</t>
        </is>
      </c>
      <c r="F911" s="17" t="n">
        <v>82623</v>
      </c>
    </row>
    <row r="913">
      <c r="A913" s="14" t="inlineStr">
        <is>
          <t>KODE: 2.4.1.3 - Pembuatan 1 m2 Bekisting untuk kolom Beton Pracetak ( 10 - 12 kali pakai )</t>
        </is>
      </c>
    </row>
    <row r="914">
      <c r="A914" s="10" t="inlineStr">
        <is>
          <t>No</t>
        </is>
      </c>
      <c r="B914" s="10" t="inlineStr">
        <is>
          <t>Uraian Komponen</t>
        </is>
      </c>
      <c r="C914" s="10" t="inlineStr">
        <is>
          <t>Satuan</t>
        </is>
      </c>
      <c r="D914" s="10" t="inlineStr">
        <is>
          <t>Koef</t>
        </is>
      </c>
      <c r="E914" s="10" t="inlineStr">
        <is>
          <t>Harga Satuan (Rp)</t>
        </is>
      </c>
      <c r="F914" s="10" t="inlineStr">
        <is>
          <t>Jumlah Harga (Rp)</t>
        </is>
      </c>
    </row>
    <row r="915">
      <c r="A915" s="3" t="inlineStr">
        <is>
          <t>1</t>
        </is>
      </c>
      <c r="B915" s="3" t="inlineStr">
        <is>
          <t>Pekerja</t>
        </is>
      </c>
      <c r="C915" s="3" t="inlineStr">
        <is>
          <t>OH</t>
        </is>
      </c>
      <c r="D915" s="15" t="n">
        <v>0.004</v>
      </c>
      <c r="E915" s="4" t="n">
        <v>100000</v>
      </c>
      <c r="F915" s="4" t="n">
        <v>400</v>
      </c>
    </row>
    <row r="916">
      <c r="A916" s="3" t="inlineStr">
        <is>
          <t>2</t>
        </is>
      </c>
      <c r="B916" s="3" t="inlineStr">
        <is>
          <t>Tukang kayu</t>
        </is>
      </c>
      <c r="C916" s="3" t="inlineStr">
        <is>
          <t>OH</t>
        </is>
      </c>
      <c r="D916" s="15" t="n">
        <v>0.038</v>
      </c>
      <c r="E916" s="4" t="n">
        <v>145000</v>
      </c>
      <c r="F916" s="4" t="n">
        <v>5510</v>
      </c>
    </row>
    <row r="917">
      <c r="A917" s="3" t="inlineStr">
        <is>
          <t>3</t>
        </is>
      </c>
      <c r="B917" s="3" t="inlineStr">
        <is>
          <t>Kepala tukang</t>
        </is>
      </c>
      <c r="C917" s="3" t="inlineStr">
        <is>
          <t>OH</t>
        </is>
      </c>
      <c r="D917" s="15" t="n">
        <v>0.004</v>
      </c>
      <c r="E917" s="4" t="n">
        <v>175000</v>
      </c>
      <c r="F917" s="4" t="n">
        <v>700</v>
      </c>
    </row>
    <row r="918">
      <c r="A918" s="3" t="inlineStr">
        <is>
          <t>4</t>
        </is>
      </c>
      <c r="B918" s="3" t="inlineStr">
        <is>
          <t>Mandor</t>
        </is>
      </c>
      <c r="C918" s="3" t="inlineStr">
        <is>
          <t>OH</t>
        </is>
      </c>
      <c r="D918" s="15" t="n">
        <v>0.001</v>
      </c>
      <c r="E918" s="4" t="n">
        <v>200000</v>
      </c>
      <c r="F918" s="4" t="n">
        <v>200</v>
      </c>
    </row>
    <row r="919">
      <c r="A919" s="3" t="inlineStr">
        <is>
          <t>1</t>
        </is>
      </c>
      <c r="B919" s="3" t="inlineStr">
        <is>
          <t>kayu</t>
        </is>
      </c>
      <c r="C919" s="3" t="inlineStr">
        <is>
          <t>m3</t>
        </is>
      </c>
      <c r="D919" s="15" t="n">
        <v>0.004</v>
      </c>
      <c r="E919" s="4" t="n">
        <v>11950000</v>
      </c>
      <c r="F919" s="4" t="n">
        <v>47800</v>
      </c>
    </row>
    <row r="920">
      <c r="A920" s="3" t="inlineStr">
        <is>
          <t>2</t>
        </is>
      </c>
      <c r="B920" s="3" t="inlineStr">
        <is>
          <t>Phenol film 12mm</t>
        </is>
      </c>
      <c r="C920" s="3" t="inlineStr">
        <is>
          <t>lembar</t>
        </is>
      </c>
      <c r="D920" s="15" t="n">
        <v>0.048</v>
      </c>
      <c r="E920" s="4" t="n">
        <v>230000</v>
      </c>
      <c r="F920" s="4" t="n">
        <v>11040</v>
      </c>
    </row>
    <row r="921">
      <c r="A921" s="3" t="inlineStr">
        <is>
          <t>3</t>
        </is>
      </c>
      <c r="B921" s="3" t="inlineStr">
        <is>
          <t>Minyak bekisting</t>
        </is>
      </c>
      <c r="C921" s="3" t="inlineStr">
        <is>
          <t>liter</t>
        </is>
      </c>
      <c r="D921" s="15" t="n">
        <v>0.2</v>
      </c>
      <c r="E921" s="4" t="n">
        <v>16800</v>
      </c>
      <c r="F921" s="4" t="n">
        <v>3360</v>
      </c>
    </row>
    <row r="922">
      <c r="A922" s="3" t="inlineStr">
        <is>
          <t>4</t>
        </is>
      </c>
      <c r="B922" s="3" t="inlineStr">
        <is>
          <t>Paku 2 inch</t>
        </is>
      </c>
      <c r="C922" s="3" t="inlineStr">
        <is>
          <t>kg</t>
        </is>
      </c>
      <c r="D922" s="15" t="n">
        <v>0.046</v>
      </c>
      <c r="E922" s="4" t="n">
        <v>18000</v>
      </c>
      <c r="F922" s="4" t="n">
        <v>828</v>
      </c>
    </row>
    <row r="923">
      <c r="A923" s="3" t="inlineStr">
        <is>
          <t>5</t>
        </is>
      </c>
      <c r="B923" s="3" t="inlineStr">
        <is>
          <t>Dinabolt dia. 12mm (10-15 cm)</t>
        </is>
      </c>
      <c r="C923" s="3" t="inlineStr">
        <is>
          <t>buah</t>
        </is>
      </c>
      <c r="D923" s="15" t="n">
        <v>0.6929999999999999</v>
      </c>
      <c r="E923" s="4" t="n">
        <v>4550</v>
      </c>
      <c r="F923" s="4" t="n">
        <v>3153.15</v>
      </c>
    </row>
    <row r="924">
      <c r="D924" s="2" t="inlineStr">
        <is>
          <t>SUBTOTAL UPAH</t>
        </is>
      </c>
      <c r="F924" s="16" t="n">
        <v>6810</v>
      </c>
    </row>
    <row r="925">
      <c r="D925" s="2" t="inlineStr">
        <is>
          <t>SUBTOTAL BAHAN</t>
        </is>
      </c>
      <c r="F925" s="16" t="n">
        <v>66181.14999999999</v>
      </c>
    </row>
    <row r="926">
      <c r="D926" s="2" t="inlineStr">
        <is>
          <t>SUBTOTAL ALAT</t>
        </is>
      </c>
      <c r="F926" s="16" t="n">
        <v>0</v>
      </c>
    </row>
    <row r="927">
      <c r="E927" s="2" t="inlineStr">
        <is>
          <t>TOTAL HARGA SATUAN (Inc. Overhead)</t>
        </is>
      </c>
      <c r="F927" s="17" t="n">
        <v>80290</v>
      </c>
    </row>
    <row r="929">
      <c r="A929" s="14" t="inlineStr">
        <is>
          <t>KODE: 2.4.1.4 - Pemasangan 1 titik bekisting joint pracetak</t>
        </is>
      </c>
    </row>
    <row r="930">
      <c r="A930" s="10" t="inlineStr">
        <is>
          <t>No</t>
        </is>
      </c>
      <c r="B930" s="10" t="inlineStr">
        <is>
          <t>Uraian Komponen</t>
        </is>
      </c>
      <c r="C930" s="10" t="inlineStr">
        <is>
          <t>Satuan</t>
        </is>
      </c>
      <c r="D930" s="10" t="inlineStr">
        <is>
          <t>Koef</t>
        </is>
      </c>
      <c r="E930" s="10" t="inlineStr">
        <is>
          <t>Harga Satuan (Rp)</t>
        </is>
      </c>
      <c r="F930" s="10" t="inlineStr">
        <is>
          <t>Jumlah Harga (Rp)</t>
        </is>
      </c>
    </row>
    <row r="931">
      <c r="A931" s="3" t="inlineStr">
        <is>
          <t>1</t>
        </is>
      </c>
      <c r="B931" s="3" t="inlineStr">
        <is>
          <t>Pekerja</t>
        </is>
      </c>
      <c r="C931" s="3" t="inlineStr">
        <is>
          <t>OH</t>
        </is>
      </c>
      <c r="D931" s="15" t="n">
        <v>0.147</v>
      </c>
      <c r="E931" s="4" t="n">
        <v>100000</v>
      </c>
      <c r="F931" s="4" t="n">
        <v>14700</v>
      </c>
    </row>
    <row r="932">
      <c r="A932" s="3" t="inlineStr">
        <is>
          <t>2</t>
        </is>
      </c>
      <c r="B932" s="3" t="inlineStr">
        <is>
          <t>Tukang kayu</t>
        </is>
      </c>
      <c r="C932" s="3" t="inlineStr">
        <is>
          <t>OH</t>
        </is>
      </c>
      <c r="D932" s="15" t="n">
        <v>0.147</v>
      </c>
      <c r="E932" s="4" t="n">
        <v>145000</v>
      </c>
      <c r="F932" s="4" t="n">
        <v>21315</v>
      </c>
    </row>
    <row r="933">
      <c r="A933" s="3" t="inlineStr">
        <is>
          <t>3</t>
        </is>
      </c>
      <c r="B933" s="3" t="inlineStr">
        <is>
          <t>Kepala tukang</t>
        </is>
      </c>
      <c r="C933" s="3" t="inlineStr">
        <is>
          <t>OH</t>
        </is>
      </c>
      <c r="D933" s="15" t="n">
        <v>0.015</v>
      </c>
      <c r="E933" s="4" t="n">
        <v>175000</v>
      </c>
      <c r="F933" s="4" t="n">
        <v>2625</v>
      </c>
    </row>
    <row r="934">
      <c r="A934" s="3" t="inlineStr">
        <is>
          <t>4</t>
        </is>
      </c>
      <c r="B934" s="3" t="inlineStr">
        <is>
          <t>Mandor</t>
        </is>
      </c>
      <c r="C934" s="3" t="inlineStr">
        <is>
          <t>OH</t>
        </is>
      </c>
      <c r="D934" s="15" t="n">
        <v>0.005</v>
      </c>
      <c r="E934" s="4" t="n">
        <v>200000</v>
      </c>
      <c r="F934" s="4" t="n">
        <v>1000</v>
      </c>
    </row>
    <row r="935">
      <c r="A935" s="3" t="inlineStr">
        <is>
          <t>1</t>
        </is>
      </c>
      <c r="B935" s="3" t="inlineStr">
        <is>
          <t>kayu</t>
        </is>
      </c>
      <c r="C935" s="3" t="inlineStr">
        <is>
          <t>m3</t>
        </is>
      </c>
      <c r="D935" s="15" t="n">
        <v>0.004</v>
      </c>
      <c r="E935" s="4" t="n">
        <v>11950000</v>
      </c>
      <c r="F935" s="4" t="n">
        <v>47800</v>
      </c>
    </row>
    <row r="936">
      <c r="A936" s="3" t="inlineStr">
        <is>
          <t>2</t>
        </is>
      </c>
      <c r="B936" s="3" t="inlineStr">
        <is>
          <t>Papan Cor</t>
        </is>
      </c>
      <c r="C936" s="3" t="inlineStr">
        <is>
          <t>m3</t>
        </is>
      </c>
      <c r="D936" s="15" t="n">
        <v>0.048</v>
      </c>
      <c r="E936" s="4" t="n">
        <v>2500000</v>
      </c>
      <c r="F936" s="4" t="n">
        <v>120000</v>
      </c>
    </row>
    <row r="937">
      <c r="A937" s="3" t="inlineStr">
        <is>
          <t>3</t>
        </is>
      </c>
      <c r="B937" s="3" t="inlineStr">
        <is>
          <t>Paku 2 inch</t>
        </is>
      </c>
      <c r="C937" s="3" t="inlineStr">
        <is>
          <t>liter</t>
        </is>
      </c>
      <c r="D937" s="15" t="n">
        <v>0.2</v>
      </c>
      <c r="E937" s="4" t="n">
        <v>18000</v>
      </c>
      <c r="F937" s="4" t="n">
        <v>3600</v>
      </c>
    </row>
    <row r="938">
      <c r="D938" s="2" t="inlineStr">
        <is>
          <t>SUBTOTAL UPAH</t>
        </is>
      </c>
      <c r="F938" s="16" t="n">
        <v>39640</v>
      </c>
    </row>
    <row r="939">
      <c r="D939" s="2" t="inlineStr">
        <is>
          <t>SUBTOTAL BAHAN</t>
        </is>
      </c>
      <c r="F939" s="16" t="n">
        <v>171400</v>
      </c>
    </row>
    <row r="940">
      <c r="D940" s="2" t="inlineStr">
        <is>
          <t>SUBTOTAL ALAT</t>
        </is>
      </c>
      <c r="F940" s="16" t="n">
        <v>0</v>
      </c>
    </row>
    <row r="941">
      <c r="E941" s="2" t="inlineStr">
        <is>
          <t>TOTAL HARGA SATUAN (Inc. Overhead)</t>
        </is>
      </c>
      <c r="F941" s="17" t="n">
        <v>232144</v>
      </c>
    </row>
    <row r="943">
      <c r="A943" s="14" t="inlineStr">
        <is>
          <t>KODE: 2.4.2.2 - Pemasangan dan membuka cetakan 1 buah komponen balok beton pracetak</t>
        </is>
      </c>
    </row>
    <row r="944">
      <c r="A944" s="10" t="inlineStr">
        <is>
          <t>No</t>
        </is>
      </c>
      <c r="B944" s="10" t="inlineStr">
        <is>
          <t>Uraian Komponen</t>
        </is>
      </c>
      <c r="C944" s="10" t="inlineStr">
        <is>
          <t>Satuan</t>
        </is>
      </c>
      <c r="D944" s="10" t="inlineStr">
        <is>
          <t>Koef</t>
        </is>
      </c>
      <c r="E944" s="10" t="inlineStr">
        <is>
          <t>Harga Satuan (Rp)</t>
        </is>
      </c>
      <c r="F944" s="10" t="inlineStr">
        <is>
          <t>Jumlah Harga (Rp)</t>
        </is>
      </c>
    </row>
    <row r="945">
      <c r="A945" s="3" t="inlineStr">
        <is>
          <t>1</t>
        </is>
      </c>
      <c r="B945" s="3" t="inlineStr">
        <is>
          <t>Pekerja</t>
        </is>
      </c>
      <c r="C945" s="3" t="inlineStr">
        <is>
          <t>OH</t>
        </is>
      </c>
      <c r="D945" s="15" t="n">
        <v>0.089</v>
      </c>
      <c r="E945" s="4" t="n">
        <v>100000</v>
      </c>
      <c r="F945" s="4" t="n">
        <v>8900</v>
      </c>
    </row>
    <row r="946">
      <c r="A946" s="3" t="inlineStr">
        <is>
          <t>2</t>
        </is>
      </c>
      <c r="B946" s="3" t="inlineStr">
        <is>
          <t>Tukang kayu</t>
        </is>
      </c>
      <c r="C946" s="3" t="inlineStr">
        <is>
          <t>OH</t>
        </is>
      </c>
      <c r="D946" s="15" t="n">
        <v>0.03</v>
      </c>
      <c r="E946" s="4" t="n">
        <v>145000</v>
      </c>
      <c r="F946" s="4" t="n">
        <v>4350</v>
      </c>
    </row>
    <row r="947">
      <c r="A947" s="3" t="inlineStr">
        <is>
          <t>3</t>
        </is>
      </c>
      <c r="B947" s="3" t="inlineStr">
        <is>
          <t>Kepala tukang</t>
        </is>
      </c>
      <c r="C947" s="3" t="inlineStr">
        <is>
          <t>OH</t>
        </is>
      </c>
      <c r="D947" s="15" t="n">
        <v>0.003</v>
      </c>
      <c r="E947" s="4" t="n">
        <v>175000</v>
      </c>
      <c r="F947" s="4" t="n">
        <v>525</v>
      </c>
    </row>
    <row r="948">
      <c r="A948" s="3" t="inlineStr">
        <is>
          <t>4</t>
        </is>
      </c>
      <c r="B948" s="3" t="inlineStr">
        <is>
          <t>Mandor</t>
        </is>
      </c>
      <c r="C948" s="3" t="inlineStr">
        <is>
          <t>OH</t>
        </is>
      </c>
      <c r="D948" s="15" t="n">
        <v>0.001</v>
      </c>
      <c r="E948" s="4" t="n">
        <v>200000</v>
      </c>
      <c r="F948" s="4" t="n">
        <v>200</v>
      </c>
    </row>
    <row r="949">
      <c r="D949" s="2" t="inlineStr">
        <is>
          <t>SUBTOTAL UPAH</t>
        </is>
      </c>
      <c r="F949" s="16" t="n">
        <v>13975</v>
      </c>
    </row>
    <row r="950">
      <c r="D950" s="2" t="inlineStr">
        <is>
          <t>SUBTOTAL BAHAN</t>
        </is>
      </c>
      <c r="F950" s="16" t="n">
        <v>0</v>
      </c>
    </row>
    <row r="951">
      <c r="D951" s="2" t="inlineStr">
        <is>
          <t>SUBTOTAL ALAT</t>
        </is>
      </c>
      <c r="F951" s="16" t="n">
        <v>0</v>
      </c>
    </row>
    <row r="952">
      <c r="E952" s="2" t="inlineStr">
        <is>
          <t>TOTAL HARGA SATUAN (Inc. Overhead)</t>
        </is>
      </c>
      <c r="F952" s="17" t="n">
        <v>15372</v>
      </c>
    </row>
    <row r="954">
      <c r="A954" s="14" t="inlineStr">
        <is>
          <t>KODE: 2.4.2.3 - Pemasangan dan membuka cetakan 1 buah komponen kolom beton pracetak</t>
        </is>
      </c>
    </row>
    <row r="955">
      <c r="A955" s="10" t="inlineStr">
        <is>
          <t>No</t>
        </is>
      </c>
      <c r="B955" s="10" t="inlineStr">
        <is>
          <t>Uraian Komponen</t>
        </is>
      </c>
      <c r="C955" s="10" t="inlineStr">
        <is>
          <t>Satuan</t>
        </is>
      </c>
      <c r="D955" s="10" t="inlineStr">
        <is>
          <t>Koef</t>
        </is>
      </c>
      <c r="E955" s="10" t="inlineStr">
        <is>
          <t>Harga Satuan (Rp)</t>
        </is>
      </c>
      <c r="F955" s="10" t="inlineStr">
        <is>
          <t>Jumlah Harga (Rp)</t>
        </is>
      </c>
    </row>
    <row r="956">
      <c r="A956" s="3" t="inlineStr">
        <is>
          <t>1</t>
        </is>
      </c>
      <c r="B956" s="3" t="inlineStr">
        <is>
          <t>Pekerja</t>
        </is>
      </c>
      <c r="C956" s="3" t="inlineStr">
        <is>
          <t>OH</t>
        </is>
      </c>
      <c r="D956" s="15" t="n">
        <v>0.07099999999999999</v>
      </c>
      <c r="E956" s="4" t="n">
        <v>100000</v>
      </c>
      <c r="F956" s="4" t="n">
        <v>7099.999999999999</v>
      </c>
    </row>
    <row r="957">
      <c r="A957" s="3" t="inlineStr">
        <is>
          <t>2</t>
        </is>
      </c>
      <c r="B957" s="3" t="inlineStr">
        <is>
          <t>Tukang kayu</t>
        </is>
      </c>
      <c r="C957" s="3" t="inlineStr">
        <is>
          <t>OH</t>
        </is>
      </c>
      <c r="D957" s="15" t="n">
        <v>0.024</v>
      </c>
      <c r="E957" s="4" t="n">
        <v>145000</v>
      </c>
      <c r="F957" s="4" t="n">
        <v>3480</v>
      </c>
    </row>
    <row r="958">
      <c r="A958" s="3" t="inlineStr">
        <is>
          <t>3</t>
        </is>
      </c>
      <c r="B958" s="3" t="inlineStr">
        <is>
          <t>Kepala tukang</t>
        </is>
      </c>
      <c r="C958" s="3" t="inlineStr">
        <is>
          <t>OH</t>
        </is>
      </c>
      <c r="D958" s="15" t="n">
        <v>0.002</v>
      </c>
      <c r="E958" s="4" t="n">
        <v>175000</v>
      </c>
      <c r="F958" s="4" t="n">
        <v>350</v>
      </c>
    </row>
    <row r="959">
      <c r="A959" s="3" t="inlineStr">
        <is>
          <t>4</t>
        </is>
      </c>
      <c r="B959" s="3" t="inlineStr">
        <is>
          <t>Mandor</t>
        </is>
      </c>
      <c r="C959" s="3" t="inlineStr">
        <is>
          <t>OH</t>
        </is>
      </c>
      <c r="D959" s="15" t="n">
        <v>0.001</v>
      </c>
      <c r="E959" s="4" t="n">
        <v>200000</v>
      </c>
      <c r="F959" s="4" t="n">
        <v>200</v>
      </c>
    </row>
    <row r="960">
      <c r="D960" s="2" t="inlineStr">
        <is>
          <t>SUBTOTAL UPAH</t>
        </is>
      </c>
      <c r="F960" s="16" t="n">
        <v>11130</v>
      </c>
    </row>
    <row r="961">
      <c r="D961" s="2" t="inlineStr">
        <is>
          <t>SUBTOTAL BAHAN</t>
        </is>
      </c>
      <c r="F961" s="16" t="n">
        <v>0</v>
      </c>
    </row>
    <row r="962">
      <c r="D962" s="2" t="inlineStr">
        <is>
          <t>SUBTOTAL ALAT</t>
        </is>
      </c>
      <c r="F962" s="16" t="n">
        <v>0</v>
      </c>
    </row>
    <row r="963">
      <c r="E963" s="2" t="inlineStr">
        <is>
          <t>TOTAL HARGA SATUAN (Inc. Overhead)</t>
        </is>
      </c>
      <c r="F963" s="17" t="n">
        <v>12243</v>
      </c>
    </row>
    <row r="965">
      <c r="A965" s="14" t="inlineStr">
        <is>
          <t>KODE: 2.4.3.1 - Penuangan / Menebar Beton 1 m3 untuk Pelat Beton Pracetak</t>
        </is>
      </c>
    </row>
    <row r="966">
      <c r="A966" s="10" t="inlineStr">
        <is>
          <t>No</t>
        </is>
      </c>
      <c r="B966" s="10" t="inlineStr">
        <is>
          <t>Uraian Komponen</t>
        </is>
      </c>
      <c r="C966" s="10" t="inlineStr">
        <is>
          <t>Satuan</t>
        </is>
      </c>
      <c r="D966" s="10" t="inlineStr">
        <is>
          <t>Koef</t>
        </is>
      </c>
      <c r="E966" s="10" t="inlineStr">
        <is>
          <t>Harga Satuan (Rp)</t>
        </is>
      </c>
      <c r="F966" s="10" t="inlineStr">
        <is>
          <t>Jumlah Harga (Rp)</t>
        </is>
      </c>
    </row>
    <row r="967">
      <c r="A967" s="3" t="inlineStr">
        <is>
          <t>1</t>
        </is>
      </c>
      <c r="B967" s="3" t="inlineStr">
        <is>
          <t>Pekerja</t>
        </is>
      </c>
      <c r="C967" s="3" t="inlineStr">
        <is>
          <t>OH</t>
        </is>
      </c>
      <c r="D967" s="15" t="n">
        <v>0.064</v>
      </c>
      <c r="E967" s="4" t="n">
        <v>100000</v>
      </c>
      <c r="F967" s="4" t="n">
        <v>6400</v>
      </c>
    </row>
    <row r="968">
      <c r="A968" s="3" t="inlineStr">
        <is>
          <t>2</t>
        </is>
      </c>
      <c r="B968" s="3" t="inlineStr">
        <is>
          <t>Tukang batu</t>
        </is>
      </c>
      <c r="C968" s="3" t="inlineStr">
        <is>
          <t>OH</t>
        </is>
      </c>
      <c r="D968" s="15" t="n">
        <v>0.244</v>
      </c>
      <c r="E968" s="4" t="n">
        <v>145000</v>
      </c>
      <c r="F968" s="4" t="n">
        <v>35380</v>
      </c>
    </row>
    <row r="969">
      <c r="A969" s="3" t="inlineStr">
        <is>
          <t>3</t>
        </is>
      </c>
      <c r="B969" s="3" t="inlineStr">
        <is>
          <t>Tenaga Terampil Operator</t>
        </is>
      </c>
      <c r="C969" s="3" t="inlineStr">
        <is>
          <t>OH</t>
        </is>
      </c>
      <c r="D969" s="15" t="n">
        <v>0.128</v>
      </c>
      <c r="E969" s="4" t="n">
        <v>145000</v>
      </c>
      <c r="F969" s="4" t="n">
        <v>18560</v>
      </c>
    </row>
    <row r="970">
      <c r="A970" s="3" t="inlineStr">
        <is>
          <t>4</t>
        </is>
      </c>
      <c r="B970" s="3" t="inlineStr">
        <is>
          <t>Kepala tukang</t>
        </is>
      </c>
      <c r="C970" s="3" t="inlineStr">
        <is>
          <t>OH</t>
        </is>
      </c>
      <c r="D970" s="15" t="n">
        <v>0.034</v>
      </c>
      <c r="E970" s="4" t="n">
        <v>175000</v>
      </c>
      <c r="F970" s="4" t="n">
        <v>5950</v>
      </c>
    </row>
    <row r="971">
      <c r="A971" s="3" t="inlineStr">
        <is>
          <t>5</t>
        </is>
      </c>
      <c r="B971" s="3" t="inlineStr">
        <is>
          <t>Mandor</t>
        </is>
      </c>
      <c r="C971" s="3" t="inlineStr">
        <is>
          <t>OH</t>
        </is>
      </c>
      <c r="D971" s="15" t="n">
        <v>0.011</v>
      </c>
      <c r="E971" s="4" t="n">
        <v>200000</v>
      </c>
      <c r="F971" s="4" t="n">
        <v>2200</v>
      </c>
    </row>
    <row r="972">
      <c r="D972" s="2" t="inlineStr">
        <is>
          <t>SUBTOTAL UPAH</t>
        </is>
      </c>
      <c r="F972" s="16" t="n">
        <v>68490</v>
      </c>
    </row>
    <row r="973">
      <c r="D973" s="2" t="inlineStr">
        <is>
          <t>SUBTOTAL BAHAN</t>
        </is>
      </c>
      <c r="F973" s="16" t="n">
        <v>0</v>
      </c>
    </row>
    <row r="974">
      <c r="D974" s="2" t="inlineStr">
        <is>
          <t>SUBTOTAL ALAT</t>
        </is>
      </c>
      <c r="F974" s="16" t="n">
        <v>0</v>
      </c>
    </row>
    <row r="975">
      <c r="E975" s="2" t="inlineStr">
        <is>
          <t>TOTAL HARGA SATUAN (Inc. Overhead)</t>
        </is>
      </c>
      <c r="F975" s="17" t="n">
        <v>75339</v>
      </c>
    </row>
    <row r="977">
      <c r="A977" s="14" t="inlineStr">
        <is>
          <t>KODE: 2.4.3.2 - Penuangan / Menebar Beton 1 m3 untuk Balok Beton Pracetak</t>
        </is>
      </c>
    </row>
    <row r="978">
      <c r="A978" s="10" t="inlineStr">
        <is>
          <t>No</t>
        </is>
      </c>
      <c r="B978" s="10" t="inlineStr">
        <is>
          <t>Uraian Komponen</t>
        </is>
      </c>
      <c r="C978" s="10" t="inlineStr">
        <is>
          <t>Satuan</t>
        </is>
      </c>
      <c r="D978" s="10" t="inlineStr">
        <is>
          <t>Koef</t>
        </is>
      </c>
      <c r="E978" s="10" t="inlineStr">
        <is>
          <t>Harga Satuan (Rp)</t>
        </is>
      </c>
      <c r="F978" s="10" t="inlineStr">
        <is>
          <t>Jumlah Harga (Rp)</t>
        </is>
      </c>
    </row>
    <row r="979">
      <c r="A979" s="3" t="inlineStr">
        <is>
          <t>1</t>
        </is>
      </c>
      <c r="B979" s="3" t="inlineStr">
        <is>
          <t>Pekerja</t>
        </is>
      </c>
      <c r="C979" s="3" t="inlineStr">
        <is>
          <t>OH</t>
        </is>
      </c>
      <c r="D979" s="15" t="n">
        <v>0.06900000000000001</v>
      </c>
      <c r="E979" s="4" t="n">
        <v>100000</v>
      </c>
      <c r="F979" s="4" t="n">
        <v>6900.000000000001</v>
      </c>
    </row>
    <row r="980">
      <c r="A980" s="3" t="inlineStr">
        <is>
          <t>2</t>
        </is>
      </c>
      <c r="B980" s="3" t="inlineStr">
        <is>
          <t>Tukang batu</t>
        </is>
      </c>
      <c r="C980" s="3" t="inlineStr">
        <is>
          <t>OH</t>
        </is>
      </c>
      <c r="D980" s="15" t="n">
        <v>0.242</v>
      </c>
      <c r="E980" s="4" t="n">
        <v>145000</v>
      </c>
      <c r="F980" s="4" t="n">
        <v>35090</v>
      </c>
    </row>
    <row r="981">
      <c r="A981" s="3" t="inlineStr">
        <is>
          <t>3</t>
        </is>
      </c>
      <c r="B981" s="3" t="inlineStr">
        <is>
          <t>Tenaga Terampil Operator</t>
        </is>
      </c>
      <c r="C981" s="3" t="inlineStr">
        <is>
          <t>OH</t>
        </is>
      </c>
      <c r="D981" s="15" t="n">
        <v>0.138</v>
      </c>
      <c r="E981" s="4" t="n">
        <v>145000</v>
      </c>
      <c r="F981" s="4" t="n">
        <v>20010</v>
      </c>
    </row>
    <row r="982">
      <c r="A982" s="3" t="inlineStr">
        <is>
          <t>4</t>
        </is>
      </c>
      <c r="B982" s="3" t="inlineStr">
        <is>
          <t>Kepala tukang</t>
        </is>
      </c>
      <c r="C982" s="3" t="inlineStr">
        <is>
          <t>OH</t>
        </is>
      </c>
      <c r="D982" s="15" t="n">
        <v>0.037</v>
      </c>
      <c r="E982" s="4" t="n">
        <v>175000</v>
      </c>
      <c r="F982" s="4" t="n">
        <v>6475</v>
      </c>
    </row>
    <row r="983">
      <c r="A983" s="3" t="inlineStr">
        <is>
          <t>5</t>
        </is>
      </c>
      <c r="B983" s="3" t="inlineStr">
        <is>
          <t>Mandor</t>
        </is>
      </c>
      <c r="C983" s="3" t="inlineStr">
        <is>
          <t>OH</t>
        </is>
      </c>
      <c r="D983" s="15" t="n">
        <v>0.012</v>
      </c>
      <c r="E983" s="4" t="n">
        <v>200000</v>
      </c>
      <c r="F983" s="4" t="n">
        <v>2400</v>
      </c>
    </row>
    <row r="984">
      <c r="D984" s="2" t="inlineStr">
        <is>
          <t>SUBTOTAL UPAH</t>
        </is>
      </c>
      <c r="F984" s="16" t="n">
        <v>70875</v>
      </c>
    </row>
    <row r="985">
      <c r="D985" s="2" t="inlineStr">
        <is>
          <t>SUBTOTAL BAHAN</t>
        </is>
      </c>
      <c r="F985" s="16" t="n">
        <v>0</v>
      </c>
    </row>
    <row r="986">
      <c r="D986" s="2" t="inlineStr">
        <is>
          <t>SUBTOTAL ALAT</t>
        </is>
      </c>
      <c r="F986" s="16" t="n">
        <v>0</v>
      </c>
    </row>
    <row r="987">
      <c r="E987" s="2" t="inlineStr">
        <is>
          <t>TOTAL HARGA SATUAN (Inc. Overhead)</t>
        </is>
      </c>
      <c r="F987" s="17" t="n">
        <v>77962</v>
      </c>
    </row>
    <row r="989">
      <c r="A989" s="14" t="inlineStr">
        <is>
          <t>KODE: 2.4.3.3 - Penuangan / Menebar Beton 1 m3 untuk KOLOM Beton Pracetak</t>
        </is>
      </c>
    </row>
    <row r="990">
      <c r="A990" s="10" t="inlineStr">
        <is>
          <t>No</t>
        </is>
      </c>
      <c r="B990" s="10" t="inlineStr">
        <is>
          <t>Uraian Komponen</t>
        </is>
      </c>
      <c r="C990" s="10" t="inlineStr">
        <is>
          <t>Satuan</t>
        </is>
      </c>
      <c r="D990" s="10" t="inlineStr">
        <is>
          <t>Koef</t>
        </is>
      </c>
      <c r="E990" s="10" t="inlineStr">
        <is>
          <t>Harga Satuan (Rp)</t>
        </is>
      </c>
      <c r="F990" s="10" t="inlineStr">
        <is>
          <t>Jumlah Harga (Rp)</t>
        </is>
      </c>
    </row>
    <row r="991">
      <c r="A991" s="3" t="inlineStr">
        <is>
          <t>1</t>
        </is>
      </c>
      <c r="B991" s="3" t="inlineStr">
        <is>
          <t>Pekerja</t>
        </is>
      </c>
      <c r="C991" s="3" t="inlineStr">
        <is>
          <t>OH</t>
        </is>
      </c>
      <c r="D991" s="15" t="n">
        <v>0.061</v>
      </c>
      <c r="E991" s="4" t="n">
        <v>100000</v>
      </c>
      <c r="F991" s="4" t="n">
        <v>6100</v>
      </c>
    </row>
    <row r="992">
      <c r="A992" s="3" t="inlineStr">
        <is>
          <t>2</t>
        </is>
      </c>
      <c r="B992" s="3" t="inlineStr">
        <is>
          <t>Tukang batu</t>
        </is>
      </c>
      <c r="C992" s="3" t="inlineStr">
        <is>
          <t>OH</t>
        </is>
      </c>
      <c r="D992" s="15" t="n">
        <v>0.213</v>
      </c>
      <c r="E992" s="4" t="n">
        <v>145000</v>
      </c>
      <c r="F992" s="4" t="n">
        <v>30885</v>
      </c>
    </row>
    <row r="993">
      <c r="A993" s="3" t="inlineStr">
        <is>
          <t>3</t>
        </is>
      </c>
      <c r="B993" s="3" t="inlineStr">
        <is>
          <t>Tenaga Terampil Operator</t>
        </is>
      </c>
      <c r="C993" s="3" t="inlineStr">
        <is>
          <t>OH</t>
        </is>
      </c>
      <c r="D993" s="15" t="n">
        <v>0.122</v>
      </c>
      <c r="E993" s="4" t="n">
        <v>145000</v>
      </c>
      <c r="F993" s="4" t="n">
        <v>17690</v>
      </c>
    </row>
    <row r="994">
      <c r="A994" s="3" t="inlineStr">
        <is>
          <t>4</t>
        </is>
      </c>
      <c r="B994" s="3" t="inlineStr">
        <is>
          <t>Kepala tukang</t>
        </is>
      </c>
      <c r="C994" s="3" t="inlineStr">
        <is>
          <t>OH</t>
        </is>
      </c>
      <c r="D994" s="15" t="n">
        <v>0.033</v>
      </c>
      <c r="E994" s="4" t="n">
        <v>175000</v>
      </c>
      <c r="F994" s="4" t="n">
        <v>5775</v>
      </c>
    </row>
    <row r="995">
      <c r="A995" s="3" t="inlineStr">
        <is>
          <t>5</t>
        </is>
      </c>
      <c r="B995" s="3" t="inlineStr">
        <is>
          <t>Mandor</t>
        </is>
      </c>
      <c r="C995" s="3" t="inlineStr">
        <is>
          <t>OH</t>
        </is>
      </c>
      <c r="D995" s="15" t="n">
        <v>0.011</v>
      </c>
      <c r="E995" s="4" t="n">
        <v>200000</v>
      </c>
      <c r="F995" s="4" t="n">
        <v>2200</v>
      </c>
    </row>
    <row r="996">
      <c r="D996" s="2" t="inlineStr">
        <is>
          <t>SUBTOTAL UPAH</t>
        </is>
      </c>
      <c r="F996" s="16" t="n">
        <v>62650</v>
      </c>
    </row>
    <row r="997">
      <c r="D997" s="2" t="inlineStr">
        <is>
          <t>SUBTOTAL BAHAN</t>
        </is>
      </c>
      <c r="F997" s="16" t="n">
        <v>0</v>
      </c>
    </row>
    <row r="998">
      <c r="D998" s="2" t="inlineStr">
        <is>
          <t>SUBTOTAL ALAT</t>
        </is>
      </c>
      <c r="F998" s="16" t="n">
        <v>0</v>
      </c>
    </row>
    <row r="999">
      <c r="E999" s="2" t="inlineStr">
        <is>
          <t>TOTAL HARGA SATUAN (Inc. Overhead)</t>
        </is>
      </c>
      <c r="F999" s="17" t="n">
        <v>68915</v>
      </c>
    </row>
    <row r="1001">
      <c r="A1001" s="14" t="inlineStr">
        <is>
          <t>KODE: 2.4.4.1 - Pemindahan 1 buah Komponen untuk Pelat Pracetak (± 20 m)</t>
        </is>
      </c>
    </row>
    <row r="1002">
      <c r="A1002" s="10" t="inlineStr">
        <is>
          <t>No</t>
        </is>
      </c>
      <c r="B1002" s="10" t="inlineStr">
        <is>
          <t>Uraian Komponen</t>
        </is>
      </c>
      <c r="C1002" s="10" t="inlineStr">
        <is>
          <t>Satuan</t>
        </is>
      </c>
      <c r="D1002" s="10" t="inlineStr">
        <is>
          <t>Koef</t>
        </is>
      </c>
      <c r="E1002" s="10" t="inlineStr">
        <is>
          <t>Harga Satuan (Rp)</t>
        </is>
      </c>
      <c r="F1002" s="10" t="inlineStr">
        <is>
          <t>Jumlah Harga (Rp)</t>
        </is>
      </c>
    </row>
    <row r="1003">
      <c r="A1003" s="3" t="inlineStr">
        <is>
          <t>1</t>
        </is>
      </c>
      <c r="B1003" s="3" t="inlineStr">
        <is>
          <t>Tukang batu</t>
        </is>
      </c>
      <c r="C1003" s="3" t="inlineStr">
        <is>
          <t>OH</t>
        </is>
      </c>
      <c r="D1003" s="15" t="n">
        <v>0.038</v>
      </c>
      <c r="E1003" s="4" t="n">
        <v>145000</v>
      </c>
      <c r="F1003" s="4" t="n">
        <v>5510</v>
      </c>
    </row>
    <row r="1004">
      <c r="A1004" s="3" t="inlineStr">
        <is>
          <t>2</t>
        </is>
      </c>
      <c r="B1004" s="3" t="inlineStr">
        <is>
          <t>Kepala tukang</t>
        </is>
      </c>
      <c r="C1004" s="3" t="inlineStr">
        <is>
          <t>OH</t>
        </is>
      </c>
      <c r="D1004" s="15" t="n">
        <v>0.0038</v>
      </c>
      <c r="E1004" s="4" t="n">
        <v>175000</v>
      </c>
      <c r="F1004" s="4" t="n">
        <v>665</v>
      </c>
    </row>
    <row r="1005">
      <c r="A1005" s="3" t="inlineStr">
        <is>
          <t>3</t>
        </is>
      </c>
      <c r="B1005" s="3" t="inlineStr">
        <is>
          <t>Mandor</t>
        </is>
      </c>
      <c r="C1005" s="3" t="inlineStr">
        <is>
          <t>OH</t>
        </is>
      </c>
      <c r="D1005" s="15" t="n">
        <v>0.001</v>
      </c>
      <c r="E1005" s="4" t="n">
        <v>200000</v>
      </c>
      <c r="F1005" s="4" t="n">
        <v>200</v>
      </c>
    </row>
    <row r="1006">
      <c r="A1006" s="3" t="inlineStr">
        <is>
          <t>1</t>
        </is>
      </c>
      <c r="B1006" s="3" t="inlineStr">
        <is>
          <t>Crane</t>
        </is>
      </c>
      <c r="C1006" s="3" t="inlineStr">
        <is>
          <t>unit hari</t>
        </is>
      </c>
      <c r="D1006" s="15" t="n">
        <v>0.019</v>
      </c>
      <c r="E1006" s="4" t="n">
        <v>3442900</v>
      </c>
      <c r="F1006" s="4" t="n">
        <v>65415.1</v>
      </c>
    </row>
    <row r="1007">
      <c r="D1007" s="2" t="inlineStr">
        <is>
          <t>SUBTOTAL UPAH</t>
        </is>
      </c>
      <c r="F1007" s="16" t="n">
        <v>6375</v>
      </c>
    </row>
    <row r="1008">
      <c r="D1008" s="2" t="inlineStr">
        <is>
          <t>SUBTOTAL BAHAN</t>
        </is>
      </c>
      <c r="F1008" s="16" t="n">
        <v>0</v>
      </c>
    </row>
    <row r="1009">
      <c r="D1009" s="2" t="inlineStr">
        <is>
          <t>SUBTOTAL ALAT</t>
        </is>
      </c>
      <c r="F1009" s="16" t="n">
        <v>65415.1</v>
      </c>
    </row>
    <row r="1010">
      <c r="E1010" s="2" t="inlineStr">
        <is>
          <t>TOTAL HARGA SATUAN (Inc. Overhead)</t>
        </is>
      </c>
      <c r="F1010" s="17" t="n">
        <v>78969</v>
      </c>
    </row>
    <row r="1012">
      <c r="A1012" s="14" t="inlineStr">
        <is>
          <t>KODE: 2.4.4.2 - Pemindahan 1 buah Komponen untuk Balok Pracetak (± 20 m)</t>
        </is>
      </c>
    </row>
    <row r="1013">
      <c r="A1013" s="10" t="inlineStr">
        <is>
          <t>No</t>
        </is>
      </c>
      <c r="B1013" s="10" t="inlineStr">
        <is>
          <t>Uraian Komponen</t>
        </is>
      </c>
      <c r="C1013" s="10" t="inlineStr">
        <is>
          <t>Satuan</t>
        </is>
      </c>
      <c r="D1013" s="10" t="inlineStr">
        <is>
          <t>Koef</t>
        </is>
      </c>
      <c r="E1013" s="10" t="inlineStr">
        <is>
          <t>Harga Satuan (Rp)</t>
        </is>
      </c>
      <c r="F1013" s="10" t="inlineStr">
        <is>
          <t>Jumlah Harga (Rp)</t>
        </is>
      </c>
    </row>
    <row r="1014">
      <c r="A1014" s="3" t="inlineStr">
        <is>
          <t>1</t>
        </is>
      </c>
      <c r="B1014" s="3" t="inlineStr">
        <is>
          <t>Tukang batu</t>
        </is>
      </c>
      <c r="C1014" s="3" t="inlineStr">
        <is>
          <t>OH</t>
        </is>
      </c>
      <c r="D1014" s="15" t="n">
        <v>0.038</v>
      </c>
      <c r="E1014" s="4" t="n">
        <v>145000</v>
      </c>
      <c r="F1014" s="4" t="n">
        <v>5510</v>
      </c>
    </row>
    <row r="1015">
      <c r="A1015" s="3" t="inlineStr">
        <is>
          <t>2</t>
        </is>
      </c>
      <c r="B1015" s="3" t="inlineStr">
        <is>
          <t>Kepala tukang</t>
        </is>
      </c>
      <c r="C1015" s="3" t="inlineStr">
        <is>
          <t>OH</t>
        </is>
      </c>
      <c r="D1015" s="15" t="n">
        <v>0.0038</v>
      </c>
      <c r="E1015" s="4" t="n">
        <v>175000</v>
      </c>
      <c r="F1015" s="4" t="n">
        <v>665</v>
      </c>
    </row>
    <row r="1016">
      <c r="A1016" s="3" t="inlineStr">
        <is>
          <t>3</t>
        </is>
      </c>
      <c r="B1016" s="3" t="inlineStr">
        <is>
          <t>Mandor</t>
        </is>
      </c>
      <c r="C1016" s="3" t="inlineStr">
        <is>
          <t>OH</t>
        </is>
      </c>
      <c r="D1016" s="15" t="n">
        <v>0.001</v>
      </c>
      <c r="E1016" s="4" t="n">
        <v>200000</v>
      </c>
      <c r="F1016" s="4" t="n">
        <v>200</v>
      </c>
    </row>
    <row r="1017">
      <c r="A1017" s="3" t="inlineStr">
        <is>
          <t>1</t>
        </is>
      </c>
      <c r="B1017" s="3" t="inlineStr">
        <is>
          <t>Crane</t>
        </is>
      </c>
      <c r="C1017" s="3" t="inlineStr">
        <is>
          <t>unit hari</t>
        </is>
      </c>
      <c r="D1017" s="15" t="n">
        <v>0.019</v>
      </c>
      <c r="E1017" s="4" t="n">
        <v>3442900</v>
      </c>
      <c r="F1017" s="4" t="n">
        <v>65415.1</v>
      </c>
    </row>
    <row r="1018">
      <c r="D1018" s="2" t="inlineStr">
        <is>
          <t>SUBTOTAL UPAH</t>
        </is>
      </c>
      <c r="F1018" s="16" t="n">
        <v>6375</v>
      </c>
    </row>
    <row r="1019">
      <c r="D1019" s="2" t="inlineStr">
        <is>
          <t>SUBTOTAL BAHAN</t>
        </is>
      </c>
      <c r="F1019" s="16" t="n">
        <v>0</v>
      </c>
    </row>
    <row r="1020">
      <c r="D1020" s="2" t="inlineStr">
        <is>
          <t>SUBTOTAL ALAT</t>
        </is>
      </c>
      <c r="F1020" s="16" t="n">
        <v>65415.1</v>
      </c>
    </row>
    <row r="1021">
      <c r="E1021" s="2" t="inlineStr">
        <is>
          <t>TOTAL HARGA SATUAN (Inc. Overhead)</t>
        </is>
      </c>
      <c r="F1021" s="17" t="n">
        <v>78969</v>
      </c>
    </row>
    <row r="1023">
      <c r="A1023" s="14" t="inlineStr">
        <is>
          <t>KODE: 2.4.4.3 - Pemindahan 1 buah Komponen untuk Kolom Pracetak (± 20 m)</t>
        </is>
      </c>
    </row>
    <row r="1024">
      <c r="A1024" s="10" t="inlineStr">
        <is>
          <t>No</t>
        </is>
      </c>
      <c r="B1024" s="10" t="inlineStr">
        <is>
          <t>Uraian Komponen</t>
        </is>
      </c>
      <c r="C1024" s="10" t="inlineStr">
        <is>
          <t>Satuan</t>
        </is>
      </c>
      <c r="D1024" s="10" t="inlineStr">
        <is>
          <t>Koef</t>
        </is>
      </c>
      <c r="E1024" s="10" t="inlineStr">
        <is>
          <t>Harga Satuan (Rp)</t>
        </is>
      </c>
      <c r="F1024" s="10" t="inlineStr">
        <is>
          <t>Jumlah Harga (Rp)</t>
        </is>
      </c>
    </row>
    <row r="1025">
      <c r="A1025" s="3" t="inlineStr">
        <is>
          <t>1</t>
        </is>
      </c>
      <c r="B1025" s="3" t="inlineStr">
        <is>
          <t>Tukang batu</t>
        </is>
      </c>
      <c r="C1025" s="3" t="inlineStr">
        <is>
          <t>OH</t>
        </is>
      </c>
      <c r="D1025" s="15" t="n">
        <v>0.038</v>
      </c>
      <c r="E1025" s="4" t="n">
        <v>145000</v>
      </c>
      <c r="F1025" s="4" t="n">
        <v>5510</v>
      </c>
    </row>
    <row r="1026">
      <c r="A1026" s="3" t="inlineStr">
        <is>
          <t>2</t>
        </is>
      </c>
      <c r="B1026" s="3" t="inlineStr">
        <is>
          <t>Kepala tukang</t>
        </is>
      </c>
      <c r="C1026" s="3" t="inlineStr">
        <is>
          <t>OH</t>
        </is>
      </c>
      <c r="D1026" s="15" t="n">
        <v>0.0038</v>
      </c>
      <c r="E1026" s="4" t="n">
        <v>175000</v>
      </c>
      <c r="F1026" s="4" t="n">
        <v>665</v>
      </c>
    </row>
    <row r="1027">
      <c r="A1027" s="3" t="inlineStr">
        <is>
          <t>3</t>
        </is>
      </c>
      <c r="B1027" s="3" t="inlineStr">
        <is>
          <t>Mandor</t>
        </is>
      </c>
      <c r="C1027" s="3" t="inlineStr">
        <is>
          <t>OH</t>
        </is>
      </c>
      <c r="D1027" s="15" t="n">
        <v>0.001</v>
      </c>
      <c r="E1027" s="4" t="n">
        <v>200000</v>
      </c>
      <c r="F1027" s="4" t="n">
        <v>200</v>
      </c>
    </row>
    <row r="1028">
      <c r="A1028" s="3" t="inlineStr">
        <is>
          <t>1</t>
        </is>
      </c>
      <c r="B1028" s="3" t="inlineStr">
        <is>
          <t>Crane</t>
        </is>
      </c>
      <c r="C1028" s="3" t="inlineStr">
        <is>
          <t>unit hari</t>
        </is>
      </c>
      <c r="D1028" s="15" t="n">
        <v>0.019</v>
      </c>
      <c r="E1028" s="4" t="n">
        <v>3442900</v>
      </c>
      <c r="F1028" s="4" t="n">
        <v>65415.1</v>
      </c>
    </row>
    <row r="1029">
      <c r="D1029" s="2" t="inlineStr">
        <is>
          <t>SUBTOTAL UPAH</t>
        </is>
      </c>
      <c r="F1029" s="16" t="n">
        <v>6375</v>
      </c>
    </row>
    <row r="1030">
      <c r="D1030" s="2" t="inlineStr">
        <is>
          <t>SUBTOTAL BAHAN</t>
        </is>
      </c>
      <c r="F1030" s="16" t="n">
        <v>0</v>
      </c>
    </row>
    <row r="1031">
      <c r="D1031" s="2" t="inlineStr">
        <is>
          <t>SUBTOTAL ALAT</t>
        </is>
      </c>
      <c r="F1031" s="16" t="n">
        <v>65415.1</v>
      </c>
    </row>
    <row r="1032">
      <c r="E1032" s="2" t="inlineStr">
        <is>
          <t>TOTAL HARGA SATUAN (Inc. Overhead)</t>
        </is>
      </c>
      <c r="F1032" s="17" t="n">
        <v>78969</v>
      </c>
    </row>
    <row r="1034">
      <c r="A1034" s="14" t="inlineStr">
        <is>
          <t>KODE: 2.4.5.1 - Pemasangan 1 buah Komponen untuk Pelat Beton Pracetak Beserta Indeks Kenaikan Lantai Ereksi Pelat  Hingga 24 Lantai</t>
        </is>
      </c>
    </row>
    <row r="1035">
      <c r="A1035" s="10" t="inlineStr">
        <is>
          <t>No</t>
        </is>
      </c>
      <c r="B1035" s="10" t="inlineStr">
        <is>
          <t>Uraian Komponen</t>
        </is>
      </c>
      <c r="C1035" s="10" t="inlineStr">
        <is>
          <t>Satuan</t>
        </is>
      </c>
      <c r="D1035" s="10" t="inlineStr">
        <is>
          <t>Koef</t>
        </is>
      </c>
      <c r="E1035" s="10" t="inlineStr">
        <is>
          <t>Harga Satuan (Rp)</t>
        </is>
      </c>
      <c r="F1035" s="10" t="inlineStr">
        <is>
          <t>Jumlah Harga (Rp)</t>
        </is>
      </c>
    </row>
    <row r="1036">
      <c r="A1036" s="3" t="inlineStr">
        <is>
          <t>1</t>
        </is>
      </c>
      <c r="B1036" s="3" t="inlineStr">
        <is>
          <t>Pekerja</t>
        </is>
      </c>
      <c r="C1036" s="3" t="inlineStr">
        <is>
          <t>OH</t>
        </is>
      </c>
      <c r="D1036" s="15" t="n">
        <v>0.067</v>
      </c>
      <c r="E1036" s="4" t="n">
        <v>100000</v>
      </c>
      <c r="F1036" s="4" t="n">
        <v>6700</v>
      </c>
    </row>
    <row r="1037">
      <c r="A1037" s="3" t="inlineStr">
        <is>
          <t>2</t>
        </is>
      </c>
      <c r="B1037" s="3" t="inlineStr">
        <is>
          <t>Tukang batu</t>
        </is>
      </c>
      <c r="C1037" s="3" t="inlineStr">
        <is>
          <t>OH</t>
        </is>
      </c>
      <c r="D1037" s="15" t="n">
        <v>0.067</v>
      </c>
      <c r="E1037" s="4" t="n">
        <v>145000</v>
      </c>
      <c r="F1037" s="4" t="n">
        <v>9715</v>
      </c>
    </row>
    <row r="1038">
      <c r="A1038" s="3" t="inlineStr">
        <is>
          <t>3</t>
        </is>
      </c>
      <c r="B1038" s="3" t="inlineStr">
        <is>
          <t>Tukang erection</t>
        </is>
      </c>
      <c r="C1038" s="3" t="inlineStr">
        <is>
          <t>OH</t>
        </is>
      </c>
      <c r="D1038" s="15" t="n">
        <v>0.134</v>
      </c>
      <c r="E1038" s="4" t="n">
        <v>145000</v>
      </c>
      <c r="F1038" s="4" t="n">
        <v>19430</v>
      </c>
    </row>
    <row r="1039">
      <c r="A1039" s="3" t="inlineStr">
        <is>
          <t>4</t>
        </is>
      </c>
      <c r="B1039" s="3" t="inlineStr">
        <is>
          <t>Kepala tukang</t>
        </is>
      </c>
      <c r="C1039" s="3" t="inlineStr">
        <is>
          <t>OH</t>
        </is>
      </c>
      <c r="D1039" s="15" t="n">
        <v>0.067</v>
      </c>
      <c r="E1039" s="4" t="n">
        <v>175000</v>
      </c>
      <c r="F1039" s="4" t="n">
        <v>11725</v>
      </c>
    </row>
    <row r="1040">
      <c r="A1040" s="3" t="inlineStr">
        <is>
          <t>5</t>
        </is>
      </c>
      <c r="B1040" s="3" t="inlineStr">
        <is>
          <t>Mandor</t>
        </is>
      </c>
      <c r="C1040" s="3" t="inlineStr">
        <is>
          <t>OH</t>
        </is>
      </c>
      <c r="D1040" s="15" t="n">
        <v>0.022</v>
      </c>
      <c r="E1040" s="4" t="n">
        <v>200000</v>
      </c>
      <c r="F1040" s="4" t="n">
        <v>4400</v>
      </c>
    </row>
    <row r="1041">
      <c r="A1041" s="3" t="inlineStr">
        <is>
          <t>1</t>
        </is>
      </c>
      <c r="B1041" s="3" t="inlineStr">
        <is>
          <t>Crane</t>
        </is>
      </c>
      <c r="C1041" s="3" t="inlineStr">
        <is>
          <t>unit hari</t>
        </is>
      </c>
      <c r="D1041" s="15" t="n">
        <v>0.067</v>
      </c>
      <c r="E1041" s="4" t="n">
        <v>3442900</v>
      </c>
      <c r="F1041" s="4" t="n">
        <v>230674.3</v>
      </c>
    </row>
    <row r="1042">
      <c r="A1042" s="3" t="inlineStr">
        <is>
          <t>2</t>
        </is>
      </c>
      <c r="B1042" s="3" t="inlineStr">
        <is>
          <t>Sewa Pipe Support</t>
        </is>
      </c>
      <c r="C1042" s="3" t="inlineStr">
        <is>
          <t>buah hari</t>
        </is>
      </c>
      <c r="D1042" s="15" t="n">
        <v>1.1</v>
      </c>
      <c r="E1042" s="4" t="n">
        <v>850</v>
      </c>
      <c r="F1042" s="4" t="n">
        <v>935.0000000000001</v>
      </c>
    </row>
    <row r="1043">
      <c r="D1043" s="2" t="inlineStr">
        <is>
          <t>SUBTOTAL UPAH</t>
        </is>
      </c>
      <c r="F1043" s="16" t="n">
        <v>51970</v>
      </c>
    </row>
    <row r="1044">
      <c r="D1044" s="2" t="inlineStr">
        <is>
          <t>SUBTOTAL BAHAN</t>
        </is>
      </c>
      <c r="F1044" s="16" t="n">
        <v>0</v>
      </c>
    </row>
    <row r="1045">
      <c r="D1045" s="2" t="inlineStr">
        <is>
          <t>SUBTOTAL ALAT</t>
        </is>
      </c>
      <c r="F1045" s="16" t="n">
        <v>231609.3</v>
      </c>
    </row>
    <row r="1046">
      <c r="E1046" s="2" t="inlineStr">
        <is>
          <t>TOTAL HARGA SATUAN (Inc. Overhead)</t>
        </is>
      </c>
      <c r="F1046" s="17" t="n">
        <v>311937</v>
      </c>
    </row>
    <row r="1048">
      <c r="A1048" s="14" t="inlineStr">
        <is>
          <t>KODE: 2.4.5.2 - Pemasangan 1 buah Komponen untuk Balok  Pracetak Beserta Indeks Kenaikan Lantai Ereksi Pelat  Hingga 24 Lantai</t>
        </is>
      </c>
    </row>
    <row r="1049">
      <c r="A1049" s="10" t="inlineStr">
        <is>
          <t>No</t>
        </is>
      </c>
      <c r="B1049" s="10" t="inlineStr">
        <is>
          <t>Uraian Komponen</t>
        </is>
      </c>
      <c r="C1049" s="10" t="inlineStr">
        <is>
          <t>Satuan</t>
        </is>
      </c>
      <c r="D1049" s="10" t="inlineStr">
        <is>
          <t>Koef</t>
        </is>
      </c>
      <c r="E1049" s="10" t="inlineStr">
        <is>
          <t>Harga Satuan (Rp)</t>
        </is>
      </c>
      <c r="F1049" s="10" t="inlineStr">
        <is>
          <t>Jumlah Harga (Rp)</t>
        </is>
      </c>
    </row>
    <row r="1050">
      <c r="A1050" s="3" t="inlineStr">
        <is>
          <t>1</t>
        </is>
      </c>
      <c r="B1050" s="3" t="inlineStr">
        <is>
          <t>Pekerja</t>
        </is>
      </c>
      <c r="C1050" s="3" t="inlineStr">
        <is>
          <t>OH</t>
        </is>
      </c>
      <c r="D1050" s="15" t="n">
        <v>0.061</v>
      </c>
      <c r="E1050" s="4" t="n">
        <v>100000</v>
      </c>
      <c r="F1050" s="4" t="n">
        <v>6100</v>
      </c>
    </row>
    <row r="1051">
      <c r="A1051" s="3" t="inlineStr">
        <is>
          <t>2</t>
        </is>
      </c>
      <c r="B1051" s="3" t="inlineStr">
        <is>
          <t>Tukang batu</t>
        </is>
      </c>
      <c r="C1051" s="3" t="inlineStr">
        <is>
          <t>OH</t>
        </is>
      </c>
      <c r="D1051" s="15" t="n">
        <v>0.061</v>
      </c>
      <c r="E1051" s="4" t="n">
        <v>145000</v>
      </c>
      <c r="F1051" s="4" t="n">
        <v>8845</v>
      </c>
    </row>
    <row r="1052">
      <c r="A1052" s="3" t="inlineStr">
        <is>
          <t>3</t>
        </is>
      </c>
      <c r="B1052" s="3" t="inlineStr">
        <is>
          <t>Tukang erection</t>
        </is>
      </c>
      <c r="C1052" s="3" t="inlineStr">
        <is>
          <t>OH</t>
        </is>
      </c>
      <c r="D1052" s="15" t="n">
        <v>0.122</v>
      </c>
      <c r="E1052" s="4" t="n">
        <v>145000</v>
      </c>
      <c r="F1052" s="4" t="n">
        <v>17690</v>
      </c>
    </row>
    <row r="1053">
      <c r="A1053" s="3" t="inlineStr">
        <is>
          <t>4</t>
        </is>
      </c>
      <c r="B1053" s="3" t="inlineStr">
        <is>
          <t>Kepala tukang</t>
        </is>
      </c>
      <c r="C1053" s="3" t="inlineStr">
        <is>
          <t>OH</t>
        </is>
      </c>
      <c r="D1053" s="15" t="n">
        <v>0.061</v>
      </c>
      <c r="E1053" s="4" t="n">
        <v>175000</v>
      </c>
      <c r="F1053" s="4" t="n">
        <v>10675</v>
      </c>
    </row>
    <row r="1054">
      <c r="A1054" s="3" t="inlineStr">
        <is>
          <t>5</t>
        </is>
      </c>
      <c r="B1054" s="3" t="inlineStr">
        <is>
          <t>Mandor</t>
        </is>
      </c>
      <c r="C1054" s="3" t="inlineStr">
        <is>
          <t>OH</t>
        </is>
      </c>
      <c r="D1054" s="15" t="n">
        <v>0.02</v>
      </c>
      <c r="E1054" s="4" t="n">
        <v>200000</v>
      </c>
      <c r="F1054" s="4" t="n">
        <v>4000</v>
      </c>
    </row>
    <row r="1055">
      <c r="A1055" s="3" t="inlineStr">
        <is>
          <t>1</t>
        </is>
      </c>
      <c r="B1055" s="3" t="inlineStr">
        <is>
          <t>Crane</t>
        </is>
      </c>
      <c r="C1055" s="3" t="inlineStr">
        <is>
          <t>unit hari</t>
        </is>
      </c>
      <c r="D1055" s="15" t="n">
        <v>0.061</v>
      </c>
      <c r="E1055" s="4" t="n">
        <v>3442900</v>
      </c>
      <c r="F1055" s="4" t="n">
        <v>210016.9</v>
      </c>
    </row>
    <row r="1056">
      <c r="A1056" s="3" t="inlineStr">
        <is>
          <t>2</t>
        </is>
      </c>
      <c r="B1056" s="3" t="inlineStr">
        <is>
          <t>- Scaffolding Pipe brancing 6 m</t>
        </is>
      </c>
      <c r="C1056" s="3" t="inlineStr">
        <is>
          <t>buah hari</t>
        </is>
      </c>
      <c r="D1056" s="15" t="n">
        <v>1.1</v>
      </c>
      <c r="E1056" s="4" t="n">
        <v>586.6666666666666</v>
      </c>
      <c r="F1056" s="4" t="n">
        <v>645.3333333333334</v>
      </c>
    </row>
    <row r="1057">
      <c r="D1057" s="2" t="inlineStr">
        <is>
          <t>SUBTOTAL UPAH</t>
        </is>
      </c>
      <c r="F1057" s="16" t="n">
        <v>47310</v>
      </c>
    </row>
    <row r="1058">
      <c r="D1058" s="2" t="inlineStr">
        <is>
          <t>SUBTOTAL BAHAN</t>
        </is>
      </c>
      <c r="F1058" s="16" t="n">
        <v>0</v>
      </c>
    </row>
    <row r="1059">
      <c r="D1059" s="2" t="inlineStr">
        <is>
          <t>SUBTOTAL ALAT</t>
        </is>
      </c>
      <c r="F1059" s="16" t="n">
        <v>210662.2333333333</v>
      </c>
    </row>
    <row r="1060">
      <c r="E1060" s="2" t="inlineStr">
        <is>
          <t>TOTAL HARGA SATUAN (Inc. Overhead)</t>
        </is>
      </c>
      <c r="F1060" s="17" t="n">
        <v>283769</v>
      </c>
    </row>
    <row r="1062">
      <c r="A1062" s="14" t="inlineStr">
        <is>
          <t>KODE: 2.4.5.3 - Ereksi 1 buah komponen untuk pelat pracetak</t>
        </is>
      </c>
    </row>
    <row r="1063">
      <c r="A1063" s="10" t="inlineStr">
        <is>
          <t>No</t>
        </is>
      </c>
      <c r="B1063" s="10" t="inlineStr">
        <is>
          <t>Uraian Komponen</t>
        </is>
      </c>
      <c r="C1063" s="10" t="inlineStr">
        <is>
          <t>Satuan</t>
        </is>
      </c>
      <c r="D1063" s="10" t="inlineStr">
        <is>
          <t>Koef</t>
        </is>
      </c>
      <c r="E1063" s="10" t="inlineStr">
        <is>
          <t>Harga Satuan (Rp)</t>
        </is>
      </c>
      <c r="F1063" s="10" t="inlineStr">
        <is>
          <t>Jumlah Harga (Rp)</t>
        </is>
      </c>
    </row>
    <row r="1064">
      <c r="A1064" s="3" t="inlineStr">
        <is>
          <t>1</t>
        </is>
      </c>
      <c r="B1064" s="3" t="inlineStr">
        <is>
          <t>Pekerja</t>
        </is>
      </c>
      <c r="C1064" s="3" t="inlineStr">
        <is>
          <t>OH</t>
        </is>
      </c>
      <c r="D1064" s="15" t="n">
        <v>0.067</v>
      </c>
      <c r="E1064" s="4" t="n">
        <v>100000</v>
      </c>
      <c r="F1064" s="4" t="n">
        <v>6700</v>
      </c>
    </row>
    <row r="1065">
      <c r="A1065" s="3" t="inlineStr">
        <is>
          <t>2</t>
        </is>
      </c>
      <c r="B1065" s="3" t="inlineStr">
        <is>
          <t>Tukang batu</t>
        </is>
      </c>
      <c r="C1065" s="3" t="inlineStr">
        <is>
          <t>OH</t>
        </is>
      </c>
      <c r="D1065" s="15" t="n">
        <v>0.067</v>
      </c>
      <c r="E1065" s="4" t="n">
        <v>145000</v>
      </c>
      <c r="F1065" s="4" t="n">
        <v>9715</v>
      </c>
    </row>
    <row r="1066">
      <c r="A1066" s="3" t="inlineStr">
        <is>
          <t>3</t>
        </is>
      </c>
      <c r="B1066" s="3" t="inlineStr">
        <is>
          <t>Tukang erection</t>
        </is>
      </c>
      <c r="C1066" s="3" t="inlineStr">
        <is>
          <t>OH</t>
        </is>
      </c>
      <c r="D1066" s="15" t="n">
        <v>0.134</v>
      </c>
      <c r="E1066" s="4" t="n">
        <v>145000</v>
      </c>
      <c r="F1066" s="4" t="n">
        <v>19430</v>
      </c>
    </row>
    <row r="1067">
      <c r="A1067" s="3" t="inlineStr">
        <is>
          <t>4</t>
        </is>
      </c>
      <c r="B1067" s="3" t="inlineStr">
        <is>
          <t>Kepala tukang</t>
        </is>
      </c>
      <c r="C1067" s="3" t="inlineStr">
        <is>
          <t>OH</t>
        </is>
      </c>
      <c r="D1067" s="15" t="n">
        <v>0.067</v>
      </c>
      <c r="E1067" s="4" t="n">
        <v>175000</v>
      </c>
      <c r="F1067" s="4" t="n">
        <v>11725</v>
      </c>
    </row>
    <row r="1068">
      <c r="A1068" s="3" t="inlineStr">
        <is>
          <t>5</t>
        </is>
      </c>
      <c r="B1068" s="3" t="inlineStr">
        <is>
          <t>Mandor</t>
        </is>
      </c>
      <c r="C1068" s="3" t="inlineStr">
        <is>
          <t>OH</t>
        </is>
      </c>
      <c r="D1068" s="15" t="n">
        <v>0.022</v>
      </c>
      <c r="E1068" s="4" t="n">
        <v>200000</v>
      </c>
      <c r="F1068" s="4" t="n">
        <v>4400</v>
      </c>
    </row>
    <row r="1069">
      <c r="A1069" s="3" t="inlineStr">
        <is>
          <t>1</t>
        </is>
      </c>
      <c r="B1069" s="3" t="inlineStr">
        <is>
          <t>Crane</t>
        </is>
      </c>
      <c r="C1069" s="3" t="inlineStr">
        <is>
          <t>unit hari</t>
        </is>
      </c>
      <c r="D1069" s="15" t="n">
        <v>0.067</v>
      </c>
      <c r="E1069" s="4" t="n">
        <v>3442900</v>
      </c>
      <c r="F1069" s="4" t="n">
        <v>230674.3</v>
      </c>
    </row>
    <row r="1070">
      <c r="A1070" s="3" t="inlineStr">
        <is>
          <t>2</t>
        </is>
      </c>
      <c r="B1070" s="3" t="inlineStr">
        <is>
          <t>- Scaffolding Pipe brancing 6 m</t>
        </is>
      </c>
      <c r="C1070" s="3" t="inlineStr">
        <is>
          <t>buah hari</t>
        </is>
      </c>
      <c r="D1070" s="15" t="n">
        <v>1.1</v>
      </c>
      <c r="E1070" s="4" t="n">
        <v>586.6666666666666</v>
      </c>
      <c r="F1070" s="4" t="n">
        <v>645.3333333333334</v>
      </c>
    </row>
    <row r="1071">
      <c r="D1071" s="2" t="inlineStr">
        <is>
          <t>SUBTOTAL UPAH</t>
        </is>
      </c>
      <c r="F1071" s="16" t="n">
        <v>51970</v>
      </c>
    </row>
    <row r="1072">
      <c r="D1072" s="2" t="inlineStr">
        <is>
          <t>SUBTOTAL BAHAN</t>
        </is>
      </c>
      <c r="F1072" s="16" t="n">
        <v>0</v>
      </c>
    </row>
    <row r="1073">
      <c r="D1073" s="2" t="inlineStr">
        <is>
          <t>SUBTOTAL ALAT</t>
        </is>
      </c>
      <c r="F1073" s="16" t="n">
        <v>231319.6333333334</v>
      </c>
    </row>
    <row r="1074">
      <c r="E1074" s="2" t="inlineStr">
        <is>
          <t>TOTAL HARGA SATUAN (Inc. Overhead)</t>
        </is>
      </c>
      <c r="F1074" s="17" t="n">
        <v>311618</v>
      </c>
    </row>
    <row r="1076">
      <c r="A1076" s="14" t="inlineStr">
        <is>
          <t>KODE: 2.4.5.4 - Ereksi 1 buah komponen untuk balok pracetak</t>
        </is>
      </c>
    </row>
    <row r="1077">
      <c r="A1077" s="10" t="inlineStr">
        <is>
          <t>No</t>
        </is>
      </c>
      <c r="B1077" s="10" t="inlineStr">
        <is>
          <t>Uraian Komponen</t>
        </is>
      </c>
      <c r="C1077" s="10" t="inlineStr">
        <is>
          <t>Satuan</t>
        </is>
      </c>
      <c r="D1077" s="10" t="inlineStr">
        <is>
          <t>Koef</t>
        </is>
      </c>
      <c r="E1077" s="10" t="inlineStr">
        <is>
          <t>Harga Satuan (Rp)</t>
        </is>
      </c>
      <c r="F1077" s="10" t="inlineStr">
        <is>
          <t>Jumlah Harga (Rp)</t>
        </is>
      </c>
    </row>
    <row r="1078">
      <c r="A1078" s="3" t="inlineStr">
        <is>
          <t>1</t>
        </is>
      </c>
      <c r="B1078" s="3" t="inlineStr">
        <is>
          <t>Pekerja</t>
        </is>
      </c>
      <c r="C1078" s="3" t="inlineStr">
        <is>
          <t>OH</t>
        </is>
      </c>
      <c r="D1078" s="15" t="n">
        <v>0.061</v>
      </c>
      <c r="E1078" s="4" t="n">
        <v>100000</v>
      </c>
      <c r="F1078" s="4" t="n">
        <v>6100</v>
      </c>
    </row>
    <row r="1079">
      <c r="A1079" s="3" t="inlineStr">
        <is>
          <t>2</t>
        </is>
      </c>
      <c r="B1079" s="3" t="inlineStr">
        <is>
          <t>Tukang batu</t>
        </is>
      </c>
      <c r="C1079" s="3" t="inlineStr">
        <is>
          <t>OH</t>
        </is>
      </c>
      <c r="D1079" s="15" t="n">
        <v>0.061</v>
      </c>
      <c r="E1079" s="4" t="n">
        <v>145000</v>
      </c>
      <c r="F1079" s="4" t="n">
        <v>8845</v>
      </c>
    </row>
    <row r="1080">
      <c r="A1080" s="3" t="inlineStr">
        <is>
          <t>3</t>
        </is>
      </c>
      <c r="B1080" s="3" t="inlineStr">
        <is>
          <t>Tukang erection</t>
        </is>
      </c>
      <c r="C1080" s="3" t="inlineStr">
        <is>
          <t>OH</t>
        </is>
      </c>
      <c r="D1080" s="15" t="n">
        <v>0.122</v>
      </c>
      <c r="E1080" s="4" t="n">
        <v>145000</v>
      </c>
      <c r="F1080" s="4" t="n">
        <v>17690</v>
      </c>
    </row>
    <row r="1081">
      <c r="A1081" s="3" t="inlineStr">
        <is>
          <t>4</t>
        </is>
      </c>
      <c r="B1081" s="3" t="inlineStr">
        <is>
          <t>Kepala tukang</t>
        </is>
      </c>
      <c r="C1081" s="3" t="inlineStr">
        <is>
          <t>OH</t>
        </is>
      </c>
      <c r="D1081" s="15" t="n">
        <v>0.061</v>
      </c>
      <c r="E1081" s="4" t="n">
        <v>175000</v>
      </c>
      <c r="F1081" s="4" t="n">
        <v>10675</v>
      </c>
    </row>
    <row r="1082">
      <c r="A1082" s="3" t="inlineStr">
        <is>
          <t>5</t>
        </is>
      </c>
      <c r="B1082" s="3" t="inlineStr">
        <is>
          <t>Mandor</t>
        </is>
      </c>
      <c r="C1082" s="3" t="inlineStr">
        <is>
          <t>OH</t>
        </is>
      </c>
      <c r="D1082" s="15" t="n">
        <v>0.02</v>
      </c>
      <c r="E1082" s="4" t="n">
        <v>200000</v>
      </c>
      <c r="F1082" s="4" t="n">
        <v>4000</v>
      </c>
    </row>
    <row r="1083">
      <c r="A1083" s="3" t="inlineStr">
        <is>
          <t>1</t>
        </is>
      </c>
      <c r="B1083" s="3" t="inlineStr">
        <is>
          <t>Crane</t>
        </is>
      </c>
      <c r="C1083" s="3" t="inlineStr">
        <is>
          <t>unit hari</t>
        </is>
      </c>
      <c r="D1083" s="15" t="n">
        <v>0.061</v>
      </c>
      <c r="E1083" s="4" t="n">
        <v>3442900</v>
      </c>
      <c r="F1083" s="4" t="n">
        <v>210016.9</v>
      </c>
    </row>
    <row r="1084">
      <c r="A1084" s="3" t="inlineStr">
        <is>
          <t>2</t>
        </is>
      </c>
      <c r="B1084" s="3" t="inlineStr">
        <is>
          <t>- Scaffolding Pipe brancing 6 m</t>
        </is>
      </c>
      <c r="C1084" s="3" t="inlineStr">
        <is>
          <t>buah hari</t>
        </is>
      </c>
      <c r="D1084" s="15" t="n">
        <v>1.1</v>
      </c>
      <c r="E1084" s="4" t="n">
        <v>586.6666666666666</v>
      </c>
      <c r="F1084" s="4" t="n">
        <v>645.3333333333334</v>
      </c>
    </row>
    <row r="1085">
      <c r="D1085" s="2" t="inlineStr">
        <is>
          <t>SUBTOTAL UPAH</t>
        </is>
      </c>
      <c r="F1085" s="16" t="n">
        <v>47310</v>
      </c>
    </row>
    <row r="1086">
      <c r="D1086" s="2" t="inlineStr">
        <is>
          <t>SUBTOTAL BAHAN</t>
        </is>
      </c>
      <c r="F1086" s="16" t="n">
        <v>0</v>
      </c>
    </row>
    <row r="1087">
      <c r="D1087" s="2" t="inlineStr">
        <is>
          <t>SUBTOTAL ALAT</t>
        </is>
      </c>
      <c r="F1087" s="16" t="n">
        <v>210662.2333333333</v>
      </c>
    </row>
    <row r="1088">
      <c r="E1088" s="2" t="inlineStr">
        <is>
          <t>TOTAL HARGA SATUAN (Inc. Overhead)</t>
        </is>
      </c>
      <c r="F1088" s="17" t="n">
        <v>283769</v>
      </c>
    </row>
    <row r="1090">
      <c r="A1090" s="14" t="inlineStr">
        <is>
          <t>KODE: 2.4.5.5 - Ereksi 1 buah komponen untuk kolom pracetak</t>
        </is>
      </c>
    </row>
    <row r="1091">
      <c r="A1091" s="10" t="inlineStr">
        <is>
          <t>No</t>
        </is>
      </c>
      <c r="B1091" s="10" t="inlineStr">
        <is>
          <t>Uraian Komponen</t>
        </is>
      </c>
      <c r="C1091" s="10" t="inlineStr">
        <is>
          <t>Satuan</t>
        </is>
      </c>
      <c r="D1091" s="10" t="inlineStr">
        <is>
          <t>Koef</t>
        </is>
      </c>
      <c r="E1091" s="10" t="inlineStr">
        <is>
          <t>Harga Satuan (Rp)</t>
        </is>
      </c>
      <c r="F1091" s="10" t="inlineStr">
        <is>
          <t>Jumlah Harga (Rp)</t>
        </is>
      </c>
    </row>
    <row r="1092">
      <c r="A1092" s="3" t="inlineStr">
        <is>
          <t>1</t>
        </is>
      </c>
      <c r="B1092" s="3" t="inlineStr">
        <is>
          <t>Pekerja</t>
        </is>
      </c>
      <c r="C1092" s="3" t="inlineStr">
        <is>
          <t>OH</t>
        </is>
      </c>
      <c r="D1092" s="15" t="n">
        <v>0.083</v>
      </c>
      <c r="E1092" s="4" t="n">
        <v>100000</v>
      </c>
      <c r="F1092" s="4" t="n">
        <v>8300</v>
      </c>
    </row>
    <row r="1093">
      <c r="A1093" s="3" t="inlineStr">
        <is>
          <t>2</t>
        </is>
      </c>
      <c r="B1093" s="3" t="inlineStr">
        <is>
          <t>Tukang batu</t>
        </is>
      </c>
      <c r="C1093" s="3" t="inlineStr">
        <is>
          <t>OH</t>
        </is>
      </c>
      <c r="D1093" s="15" t="n">
        <v>0.083</v>
      </c>
      <c r="E1093" s="4" t="n">
        <v>145000</v>
      </c>
      <c r="F1093" s="4" t="n">
        <v>12035</v>
      </c>
    </row>
    <row r="1094">
      <c r="A1094" s="3" t="inlineStr">
        <is>
          <t>3</t>
        </is>
      </c>
      <c r="B1094" s="3" t="inlineStr">
        <is>
          <t>Tukang erection</t>
        </is>
      </c>
      <c r="C1094" s="3" t="inlineStr">
        <is>
          <t>OH</t>
        </is>
      </c>
      <c r="D1094" s="15" t="n">
        <v>0.166</v>
      </c>
      <c r="E1094" s="4" t="n">
        <v>145000</v>
      </c>
      <c r="F1094" s="4" t="n">
        <v>24070</v>
      </c>
    </row>
    <row r="1095">
      <c r="A1095" s="3" t="inlineStr">
        <is>
          <t>4</t>
        </is>
      </c>
      <c r="B1095" s="3" t="inlineStr">
        <is>
          <t>Kepala tukang</t>
        </is>
      </c>
      <c r="C1095" s="3" t="inlineStr">
        <is>
          <t>OH</t>
        </is>
      </c>
      <c r="D1095" s="15" t="n">
        <v>0.083</v>
      </c>
      <c r="E1095" s="4" t="n">
        <v>175000</v>
      </c>
      <c r="F1095" s="4" t="n">
        <v>14525</v>
      </c>
    </row>
    <row r="1096">
      <c r="A1096" s="3" t="inlineStr">
        <is>
          <t>5</t>
        </is>
      </c>
      <c r="B1096" s="3" t="inlineStr">
        <is>
          <t>Mandor</t>
        </is>
      </c>
      <c r="C1096" s="3" t="inlineStr">
        <is>
          <t>OH</t>
        </is>
      </c>
      <c r="D1096" s="15" t="n">
        <v>0.028</v>
      </c>
      <c r="E1096" s="4" t="n">
        <v>200000</v>
      </c>
      <c r="F1096" s="4" t="n">
        <v>5600</v>
      </c>
    </row>
    <row r="1097">
      <c r="A1097" s="3" t="inlineStr">
        <is>
          <t>1</t>
        </is>
      </c>
      <c r="B1097" s="3" t="inlineStr">
        <is>
          <t>Crane</t>
        </is>
      </c>
      <c r="C1097" s="3" t="inlineStr">
        <is>
          <t>unit hari</t>
        </is>
      </c>
      <c r="D1097" s="15" t="n">
        <v>0.083</v>
      </c>
      <c r="E1097" s="4" t="n">
        <v>3442900</v>
      </c>
      <c r="F1097" s="4" t="n">
        <v>285760.7</v>
      </c>
    </row>
    <row r="1098">
      <c r="A1098" s="3" t="inlineStr">
        <is>
          <t>2</t>
        </is>
      </c>
      <c r="B1098" s="3" t="inlineStr">
        <is>
          <t>- Scaffolding Pipe brancing 6 m</t>
        </is>
      </c>
      <c r="C1098" s="3" t="inlineStr">
        <is>
          <t>buah hari</t>
        </is>
      </c>
      <c r="D1098" s="15" t="n">
        <v>2.2</v>
      </c>
      <c r="E1098" s="4" t="n">
        <v>586.6666666666666</v>
      </c>
      <c r="F1098" s="4" t="n">
        <v>1290.666666666667</v>
      </c>
    </row>
    <row r="1099">
      <c r="D1099" s="2" t="inlineStr">
        <is>
          <t>SUBTOTAL UPAH</t>
        </is>
      </c>
      <c r="F1099" s="16" t="n">
        <v>64530</v>
      </c>
    </row>
    <row r="1100">
      <c r="D1100" s="2" t="inlineStr">
        <is>
          <t>SUBTOTAL BAHAN</t>
        </is>
      </c>
      <c r="F1100" s="16" t="n">
        <v>0</v>
      </c>
    </row>
    <row r="1101">
      <c r="D1101" s="2" t="inlineStr">
        <is>
          <t>SUBTOTAL ALAT</t>
        </is>
      </c>
      <c r="F1101" s="16" t="n">
        <v>287051.3666666667</v>
      </c>
    </row>
    <row r="1102">
      <c r="E1102" s="2" t="inlineStr">
        <is>
          <t>TOTAL HARGA SATUAN (Inc. Overhead)</t>
        </is>
      </c>
      <c r="F1102" s="17" t="n">
        <v>386739</v>
      </c>
    </row>
    <row r="1104">
      <c r="A1104" s="14" t="inlineStr">
        <is>
          <t>KODE: 2.4.5.6 - Upah 1 tititk pekerjaan Grout pada Joint Beton Pracetak</t>
        </is>
      </c>
    </row>
    <row r="1105">
      <c r="A1105" s="10" t="inlineStr">
        <is>
          <t>No</t>
        </is>
      </c>
      <c r="B1105" s="10" t="inlineStr">
        <is>
          <t>Uraian Komponen</t>
        </is>
      </c>
      <c r="C1105" s="10" t="inlineStr">
        <is>
          <t>Satuan</t>
        </is>
      </c>
      <c r="D1105" s="10" t="inlineStr">
        <is>
          <t>Koef</t>
        </is>
      </c>
      <c r="E1105" s="10" t="inlineStr">
        <is>
          <t>Harga Satuan (Rp)</t>
        </is>
      </c>
      <c r="F1105" s="10" t="inlineStr">
        <is>
          <t>Jumlah Harga (Rp)</t>
        </is>
      </c>
    </row>
    <row r="1106">
      <c r="A1106" s="3" t="inlineStr">
        <is>
          <t>1</t>
        </is>
      </c>
      <c r="B1106" s="3" t="inlineStr">
        <is>
          <t>Tukang batu</t>
        </is>
      </c>
      <c r="C1106" s="3" t="inlineStr">
        <is>
          <t>OH</t>
        </is>
      </c>
      <c r="D1106" s="15" t="n">
        <v>0.367</v>
      </c>
      <c r="E1106" s="4" t="n">
        <v>145000</v>
      </c>
      <c r="F1106" s="4" t="n">
        <v>53215</v>
      </c>
    </row>
    <row r="1107">
      <c r="A1107" s="3" t="inlineStr">
        <is>
          <t>2</t>
        </is>
      </c>
      <c r="B1107" s="3" t="inlineStr">
        <is>
          <t>Kepala tukang</t>
        </is>
      </c>
      <c r="C1107" s="3" t="inlineStr">
        <is>
          <t>OH</t>
        </is>
      </c>
      <c r="D1107" s="15" t="n">
        <v>0.074</v>
      </c>
      <c r="E1107" s="4" t="n">
        <v>175000</v>
      </c>
      <c r="F1107" s="4" t="n">
        <v>12950</v>
      </c>
    </row>
    <row r="1108">
      <c r="A1108" s="3" t="inlineStr">
        <is>
          <t>3</t>
        </is>
      </c>
      <c r="B1108" s="3" t="inlineStr">
        <is>
          <t>Mandor</t>
        </is>
      </c>
      <c r="C1108" s="3" t="inlineStr">
        <is>
          <t>OH</t>
        </is>
      </c>
      <c r="D1108" s="15" t="n">
        <v>0.025</v>
      </c>
      <c r="E1108" s="4" t="n">
        <v>200000</v>
      </c>
      <c r="F1108" s="4" t="n">
        <v>5000</v>
      </c>
    </row>
    <row r="1109">
      <c r="D1109" s="2" t="inlineStr">
        <is>
          <t>SUBTOTAL UPAH</t>
        </is>
      </c>
      <c r="F1109" s="16" t="n">
        <v>71165</v>
      </c>
    </row>
    <row r="1110">
      <c r="D1110" s="2" t="inlineStr">
        <is>
          <t>SUBTOTAL BAHAN</t>
        </is>
      </c>
      <c r="F1110" s="16" t="n">
        <v>0</v>
      </c>
    </row>
    <row r="1111">
      <c r="D1111" s="2" t="inlineStr">
        <is>
          <t>SUBTOTAL ALAT</t>
        </is>
      </c>
      <c r="F1111" s="16" t="n">
        <v>0</v>
      </c>
    </row>
    <row r="1112">
      <c r="E1112" s="2" t="inlineStr">
        <is>
          <t>TOTAL HARGA SATUAN (Inc. Overhead)</t>
        </is>
      </c>
      <c r="F1112" s="17" t="n">
        <v>78281</v>
      </c>
    </row>
    <row r="1114">
      <c r="A1114" s="14" t="inlineStr">
        <is>
          <t>KODE: 2.4.5.7 - Upah 1 titik joint dengan sling</t>
        </is>
      </c>
    </row>
    <row r="1115">
      <c r="A1115" s="10" t="inlineStr">
        <is>
          <t>No</t>
        </is>
      </c>
      <c r="B1115" s="10" t="inlineStr">
        <is>
          <t>Uraian Komponen</t>
        </is>
      </c>
      <c r="C1115" s="10" t="inlineStr">
        <is>
          <t>Satuan</t>
        </is>
      </c>
      <c r="D1115" s="10" t="inlineStr">
        <is>
          <t>Koef</t>
        </is>
      </c>
      <c r="E1115" s="10" t="inlineStr">
        <is>
          <t>Harga Satuan (Rp)</t>
        </is>
      </c>
      <c r="F1115" s="10" t="inlineStr">
        <is>
          <t>Jumlah Harga (Rp)</t>
        </is>
      </c>
    </row>
    <row r="1116">
      <c r="A1116" s="3" t="inlineStr">
        <is>
          <t>1</t>
        </is>
      </c>
      <c r="B1116" s="3" t="inlineStr">
        <is>
          <t>Pekerja</t>
        </is>
      </c>
      <c r="C1116" s="3" t="inlineStr">
        <is>
          <t>OH</t>
        </is>
      </c>
      <c r="D1116" s="15" t="n">
        <v>0.22</v>
      </c>
      <c r="E1116" s="4" t="n">
        <v>100000</v>
      </c>
      <c r="F1116" s="4" t="n">
        <v>22000</v>
      </c>
    </row>
    <row r="1117">
      <c r="A1117" s="3" t="inlineStr">
        <is>
          <t>2</t>
        </is>
      </c>
      <c r="B1117" s="3" t="inlineStr">
        <is>
          <t>Tukang kayu</t>
        </is>
      </c>
      <c r="C1117" s="3" t="inlineStr">
        <is>
          <t>OH</t>
        </is>
      </c>
      <c r="D1117" s="15" t="n">
        <v>0.022</v>
      </c>
      <c r="E1117" s="4" t="n">
        <v>145000</v>
      </c>
      <c r="F1117" s="4" t="n">
        <v>3190</v>
      </c>
    </row>
    <row r="1118">
      <c r="A1118" s="3" t="inlineStr">
        <is>
          <t>3</t>
        </is>
      </c>
      <c r="B1118" s="3" t="inlineStr">
        <is>
          <t>Tukang besi</t>
        </is>
      </c>
      <c r="C1118" s="3" t="inlineStr">
        <is>
          <t>OH</t>
        </is>
      </c>
      <c r="D1118" s="15" t="n">
        <v>0.22</v>
      </c>
      <c r="E1118" s="4" t="n">
        <v>145000</v>
      </c>
      <c r="F1118" s="4" t="n">
        <v>31900</v>
      </c>
    </row>
    <row r="1119">
      <c r="A1119" s="3" t="inlineStr">
        <is>
          <t>4</t>
        </is>
      </c>
      <c r="B1119" s="3" t="inlineStr">
        <is>
          <t>Mandor</t>
        </is>
      </c>
      <c r="C1119" s="3" t="inlineStr">
        <is>
          <t>OH</t>
        </is>
      </c>
      <c r="D1119" s="15" t="n">
        <v>0.073</v>
      </c>
      <c r="E1119" s="4" t="n">
        <v>200000</v>
      </c>
      <c r="F1119" s="4" t="n">
        <v>14600</v>
      </c>
    </row>
    <row r="1120">
      <c r="D1120" s="2" t="inlineStr">
        <is>
          <t>SUBTOTAL UPAH</t>
        </is>
      </c>
      <c r="F1120" s="16" t="n">
        <v>71690</v>
      </c>
    </row>
    <row r="1121">
      <c r="D1121" s="2" t="inlineStr">
        <is>
          <t>SUBTOTAL BAHAN</t>
        </is>
      </c>
      <c r="F1121" s="16" t="n">
        <v>0</v>
      </c>
    </row>
    <row r="1122">
      <c r="D1122" s="2" t="inlineStr">
        <is>
          <t>SUBTOTAL ALAT</t>
        </is>
      </c>
      <c r="F1122" s="16" t="n">
        <v>0</v>
      </c>
    </row>
    <row r="1123">
      <c r="E1123" s="2" t="inlineStr">
        <is>
          <t>TOTAL HARGA SATUAN (Inc. Overhead)</t>
        </is>
      </c>
      <c r="F1123" s="17" t="n">
        <v>78859</v>
      </c>
    </row>
    <row r="1125">
      <c r="A1125" s="14" t="inlineStr">
        <is>
          <t>KODE: 2.4.6.1 - Pembuatan 1 m2 lahan produksi tebal 8 cm beton fc' = 14.5 Mpa, slump ( 120 ± 20) mm</t>
        </is>
      </c>
    </row>
    <row r="1126">
      <c r="A1126" s="10" t="inlineStr">
        <is>
          <t>No</t>
        </is>
      </c>
      <c r="B1126" s="10" t="inlineStr">
        <is>
          <t>Uraian Komponen</t>
        </is>
      </c>
      <c r="C1126" s="10" t="inlineStr">
        <is>
          <t>Satuan</t>
        </is>
      </c>
      <c r="D1126" s="10" t="inlineStr">
        <is>
          <t>Koef</t>
        </is>
      </c>
      <c r="E1126" s="10" t="inlineStr">
        <is>
          <t>Harga Satuan (Rp)</t>
        </is>
      </c>
      <c r="F1126" s="10" t="inlineStr">
        <is>
          <t>Jumlah Harga (Rp)</t>
        </is>
      </c>
    </row>
    <row r="1127">
      <c r="A1127" s="3" t="inlineStr">
        <is>
          <t>1</t>
        </is>
      </c>
      <c r="B1127" s="3" t="inlineStr">
        <is>
          <t>Pekerja</t>
        </is>
      </c>
      <c r="C1127" s="3" t="inlineStr">
        <is>
          <t>OH</t>
        </is>
      </c>
      <c r="D1127" s="15" t="n">
        <v>0.132</v>
      </c>
      <c r="E1127" s="4" t="n">
        <v>100000</v>
      </c>
      <c r="F1127" s="4" t="n">
        <v>13200</v>
      </c>
    </row>
    <row r="1128">
      <c r="A1128" s="3" t="inlineStr">
        <is>
          <t>2</t>
        </is>
      </c>
      <c r="B1128" s="3" t="inlineStr">
        <is>
          <t>Tukang batu</t>
        </is>
      </c>
      <c r="C1128" s="3" t="inlineStr">
        <is>
          <t>OH</t>
        </is>
      </c>
      <c r="D1128" s="15" t="n">
        <v>0.022</v>
      </c>
      <c r="E1128" s="4" t="n">
        <v>145000</v>
      </c>
      <c r="F1128" s="4" t="n">
        <v>3190</v>
      </c>
    </row>
    <row r="1129">
      <c r="A1129" s="3" t="inlineStr">
        <is>
          <t>3</t>
        </is>
      </c>
      <c r="B1129" s="3" t="inlineStr">
        <is>
          <t>Kepala tukang</t>
        </is>
      </c>
      <c r="C1129" s="3" t="inlineStr">
        <is>
          <t>OH</t>
        </is>
      </c>
      <c r="D1129" s="15" t="n">
        <v>0.002</v>
      </c>
      <c r="E1129" s="4" t="n">
        <v>175000</v>
      </c>
      <c r="F1129" s="4" t="n">
        <v>350</v>
      </c>
    </row>
    <row r="1130">
      <c r="A1130" s="3" t="inlineStr">
        <is>
          <t>4</t>
        </is>
      </c>
      <c r="B1130" s="3" t="inlineStr">
        <is>
          <t>Mandor</t>
        </is>
      </c>
      <c r="C1130" s="3" t="inlineStr">
        <is>
          <t>OH</t>
        </is>
      </c>
      <c r="D1130" s="15" t="n">
        <v>0.001</v>
      </c>
      <c r="E1130" s="4" t="n">
        <v>200000</v>
      </c>
      <c r="F1130" s="4" t="n">
        <v>200</v>
      </c>
    </row>
    <row r="1131">
      <c r="A1131" s="3" t="inlineStr">
        <is>
          <t>1</t>
        </is>
      </c>
      <c r="B1131" s="3" t="inlineStr">
        <is>
          <t>Semen Portland (PC)</t>
        </is>
      </c>
      <c r="C1131" s="3" t="inlineStr">
        <is>
          <t>kg</t>
        </is>
      </c>
      <c r="D1131" s="15" t="n">
        <v>26.08</v>
      </c>
      <c r="E1131" s="4" t="n">
        <v>1300</v>
      </c>
      <c r="F1131" s="4" t="n">
        <v>33904</v>
      </c>
    </row>
    <row r="1132">
      <c r="A1132" s="3" t="inlineStr">
        <is>
          <t>2</t>
        </is>
      </c>
      <c r="B1132" s="3" t="inlineStr">
        <is>
          <t>Pasir Beton</t>
        </is>
      </c>
      <c r="C1132" s="3" t="inlineStr">
        <is>
          <t>kg</t>
        </is>
      </c>
      <c r="D1132" s="15" t="n">
        <v>60.8</v>
      </c>
      <c r="E1132" s="4" t="n">
        <v>300</v>
      </c>
      <c r="F1132" s="4" t="n">
        <v>18240</v>
      </c>
    </row>
    <row r="1133">
      <c r="A1133" s="3" t="inlineStr">
        <is>
          <t>3</t>
        </is>
      </c>
      <c r="B1133" s="3" t="inlineStr">
        <is>
          <t>Kerikil</t>
        </is>
      </c>
      <c r="C1133" s="3" t="inlineStr">
        <is>
          <t>kg</t>
        </is>
      </c>
      <c r="D1133" s="15" t="n">
        <v>82.31999999999999</v>
      </c>
      <c r="E1133" s="4" t="n">
        <v>210</v>
      </c>
      <c r="F1133" s="4" t="n">
        <v>17287.2</v>
      </c>
    </row>
    <row r="1134">
      <c r="A1134" s="3" t="inlineStr">
        <is>
          <t>4</t>
        </is>
      </c>
      <c r="B1134" s="3" t="inlineStr">
        <is>
          <t>Air</t>
        </is>
      </c>
      <c r="C1134" s="3" t="inlineStr">
        <is>
          <t>liter</t>
        </is>
      </c>
      <c r="D1134" s="15" t="n">
        <v>17.2</v>
      </c>
      <c r="E1134" s="4" t="n">
        <v>200</v>
      </c>
      <c r="F1134" s="4" t="n">
        <v>3440</v>
      </c>
    </row>
    <row r="1135">
      <c r="D1135" s="2" t="inlineStr">
        <is>
          <t>SUBTOTAL UPAH</t>
        </is>
      </c>
      <c r="F1135" s="16" t="n">
        <v>16940</v>
      </c>
    </row>
    <row r="1136">
      <c r="D1136" s="2" t="inlineStr">
        <is>
          <t>SUBTOTAL BAHAN</t>
        </is>
      </c>
      <c r="F1136" s="16" t="n">
        <v>72871.2</v>
      </c>
    </row>
    <row r="1137">
      <c r="D1137" s="2" t="inlineStr">
        <is>
          <t>SUBTOTAL ALAT</t>
        </is>
      </c>
      <c r="F1137" s="16" t="n">
        <v>0</v>
      </c>
    </row>
    <row r="1138">
      <c r="E1138" s="2" t="inlineStr">
        <is>
          <t>TOTAL HARGA SATUAN (Inc. Overhead)</t>
        </is>
      </c>
      <c r="F1138" s="17" t="n">
        <v>98792</v>
      </c>
    </row>
    <row r="1140">
      <c r="A1140" s="14" t="inlineStr">
        <is>
          <t>KODE: 2.4.6.2 - Pembuatan 1 m2 lahan produksi tebal 10 cm beton fc' = 14.5 Mpa, slump ( 120 ± 20) mm</t>
        </is>
      </c>
    </row>
    <row r="1141">
      <c r="A1141" s="10" t="inlineStr">
        <is>
          <t>No</t>
        </is>
      </c>
      <c r="B1141" s="10" t="inlineStr">
        <is>
          <t>Uraian Komponen</t>
        </is>
      </c>
      <c r="C1141" s="10" t="inlineStr">
        <is>
          <t>Satuan</t>
        </is>
      </c>
      <c r="D1141" s="10" t="inlineStr">
        <is>
          <t>Koef</t>
        </is>
      </c>
      <c r="E1141" s="10" t="inlineStr">
        <is>
          <t>Harga Satuan (Rp)</t>
        </is>
      </c>
      <c r="F1141" s="10" t="inlineStr">
        <is>
          <t>Jumlah Harga (Rp)</t>
        </is>
      </c>
    </row>
    <row r="1142">
      <c r="A1142" s="3" t="inlineStr">
        <is>
          <t>1</t>
        </is>
      </c>
      <c r="B1142" s="3" t="inlineStr">
        <is>
          <t>Pekerja</t>
        </is>
      </c>
      <c r="C1142" s="3" t="inlineStr">
        <is>
          <t>OH</t>
        </is>
      </c>
      <c r="D1142" s="15" t="n">
        <v>0.165</v>
      </c>
      <c r="E1142" s="4" t="n">
        <v>100000</v>
      </c>
      <c r="F1142" s="4" t="n">
        <v>16500</v>
      </c>
    </row>
    <row r="1143">
      <c r="A1143" s="3" t="inlineStr">
        <is>
          <t>2</t>
        </is>
      </c>
      <c r="B1143" s="3" t="inlineStr">
        <is>
          <t>Tukang batu</t>
        </is>
      </c>
      <c r="C1143" s="3" t="inlineStr">
        <is>
          <t>OH</t>
        </is>
      </c>
      <c r="D1143" s="15" t="n">
        <v>0.028</v>
      </c>
      <c r="E1143" s="4" t="n">
        <v>145000</v>
      </c>
      <c r="F1143" s="4" t="n">
        <v>4060</v>
      </c>
    </row>
    <row r="1144">
      <c r="A1144" s="3" t="inlineStr">
        <is>
          <t>3</t>
        </is>
      </c>
      <c r="B1144" s="3" t="inlineStr">
        <is>
          <t>Kepala tukang</t>
        </is>
      </c>
      <c r="C1144" s="3" t="inlineStr">
        <is>
          <t>OH</t>
        </is>
      </c>
      <c r="D1144" s="15" t="n">
        <v>0.003</v>
      </c>
      <c r="E1144" s="4" t="n">
        <v>175000</v>
      </c>
      <c r="F1144" s="4" t="n">
        <v>525</v>
      </c>
    </row>
    <row r="1145">
      <c r="A1145" s="3" t="inlineStr">
        <is>
          <t>4</t>
        </is>
      </c>
      <c r="B1145" s="3" t="inlineStr">
        <is>
          <t>Mandor</t>
        </is>
      </c>
      <c r="C1145" s="3" t="inlineStr">
        <is>
          <t>OH</t>
        </is>
      </c>
      <c r="D1145" s="15" t="n">
        <v>0.001</v>
      </c>
      <c r="E1145" s="4" t="n">
        <v>200000</v>
      </c>
      <c r="F1145" s="4" t="n">
        <v>200</v>
      </c>
    </row>
    <row r="1146">
      <c r="A1146" s="3" t="inlineStr">
        <is>
          <t>1</t>
        </is>
      </c>
      <c r="B1146" s="3" t="inlineStr">
        <is>
          <t>Semen Portland (PC)</t>
        </is>
      </c>
      <c r="C1146" s="3" t="inlineStr">
        <is>
          <t>kg</t>
        </is>
      </c>
      <c r="D1146" s="15" t="n">
        <v>32.6</v>
      </c>
      <c r="E1146" s="4" t="n">
        <v>1300</v>
      </c>
      <c r="F1146" s="4" t="n">
        <v>42380</v>
      </c>
    </row>
    <row r="1147">
      <c r="A1147" s="3" t="inlineStr">
        <is>
          <t>2</t>
        </is>
      </c>
      <c r="B1147" s="3" t="inlineStr">
        <is>
          <t>Pasir Beton</t>
        </is>
      </c>
      <c r="C1147" s="3" t="inlineStr">
        <is>
          <t>kg</t>
        </is>
      </c>
      <c r="D1147" s="15" t="n">
        <v>76</v>
      </c>
      <c r="E1147" s="4" t="n">
        <v>300</v>
      </c>
      <c r="F1147" s="4" t="n">
        <v>22800</v>
      </c>
    </row>
    <row r="1148">
      <c r="A1148" s="3" t="inlineStr">
        <is>
          <t>3</t>
        </is>
      </c>
      <c r="B1148" s="3" t="inlineStr">
        <is>
          <t>Kerikil</t>
        </is>
      </c>
      <c r="C1148" s="3" t="inlineStr">
        <is>
          <t>kg</t>
        </is>
      </c>
      <c r="D1148" s="15" t="n">
        <v>102.9</v>
      </c>
      <c r="E1148" s="4" t="n">
        <v>210</v>
      </c>
      <c r="F1148" s="4" t="n">
        <v>21609</v>
      </c>
    </row>
    <row r="1149">
      <c r="A1149" s="3" t="inlineStr">
        <is>
          <t>4</t>
        </is>
      </c>
      <c r="B1149" s="3" t="inlineStr">
        <is>
          <t>Air</t>
        </is>
      </c>
      <c r="C1149" s="3" t="inlineStr">
        <is>
          <t>liter</t>
        </is>
      </c>
      <c r="D1149" s="15" t="n">
        <v>21.5</v>
      </c>
      <c r="E1149" s="4" t="n">
        <v>200</v>
      </c>
      <c r="F1149" s="4" t="n">
        <v>4300</v>
      </c>
    </row>
    <row r="1150">
      <c r="D1150" s="2" t="inlineStr">
        <is>
          <t>SUBTOTAL UPAH</t>
        </is>
      </c>
      <c r="F1150" s="16" t="n">
        <v>21285</v>
      </c>
    </row>
    <row r="1151">
      <c r="D1151" s="2" t="inlineStr">
        <is>
          <t>SUBTOTAL BAHAN</t>
        </is>
      </c>
      <c r="F1151" s="16" t="n">
        <v>91089</v>
      </c>
    </row>
    <row r="1152">
      <c r="D1152" s="2" t="inlineStr">
        <is>
          <t>SUBTOTAL ALAT</t>
        </is>
      </c>
      <c r="F1152" s="16" t="n">
        <v>0</v>
      </c>
    </row>
    <row r="1153">
      <c r="E1153" s="2" t="inlineStr">
        <is>
          <t>TOTAL HARGA SATUAN (Inc. Overhead)</t>
        </is>
      </c>
      <c r="F1153" s="17" t="n">
        <v>123611</v>
      </c>
    </row>
    <row r="1155">
      <c r="A1155" s="14" t="inlineStr">
        <is>
          <t>KODE: 2.4.6.3 - Pembuatan 1 m2 lahan produksi tebal 12 cm beton fc' = 14.5 Mpa, slump ( 120 ± 20) mm</t>
        </is>
      </c>
    </row>
    <row r="1156">
      <c r="A1156" s="10" t="inlineStr">
        <is>
          <t>No</t>
        </is>
      </c>
      <c r="B1156" s="10" t="inlineStr">
        <is>
          <t>Uraian Komponen</t>
        </is>
      </c>
      <c r="C1156" s="10" t="inlineStr">
        <is>
          <t>Satuan</t>
        </is>
      </c>
      <c r="D1156" s="10" t="inlineStr">
        <is>
          <t>Koef</t>
        </is>
      </c>
      <c r="E1156" s="10" t="inlineStr">
        <is>
          <t>Harga Satuan (Rp)</t>
        </is>
      </c>
      <c r="F1156" s="10" t="inlineStr">
        <is>
          <t>Jumlah Harga (Rp)</t>
        </is>
      </c>
    </row>
    <row r="1157">
      <c r="A1157" s="3" t="inlineStr">
        <is>
          <t>1</t>
        </is>
      </c>
      <c r="B1157" s="3" t="inlineStr">
        <is>
          <t>Pekerja</t>
        </is>
      </c>
      <c r="C1157" s="3" t="inlineStr">
        <is>
          <t>OH</t>
        </is>
      </c>
      <c r="D1157" s="15" t="n">
        <v>0.198</v>
      </c>
      <c r="E1157" s="4" t="n">
        <v>100000</v>
      </c>
      <c r="F1157" s="4" t="n">
        <v>19800</v>
      </c>
    </row>
    <row r="1158">
      <c r="A1158" s="3" t="inlineStr">
        <is>
          <t>2</t>
        </is>
      </c>
      <c r="B1158" s="3" t="inlineStr">
        <is>
          <t>Tukang batu</t>
        </is>
      </c>
      <c r="C1158" s="3" t="inlineStr">
        <is>
          <t>OH</t>
        </is>
      </c>
      <c r="D1158" s="15" t="n">
        <v>0.033</v>
      </c>
      <c r="E1158" s="4" t="n">
        <v>145000</v>
      </c>
      <c r="F1158" s="4" t="n">
        <v>4785</v>
      </c>
    </row>
    <row r="1159">
      <c r="A1159" s="3" t="inlineStr">
        <is>
          <t>3</t>
        </is>
      </c>
      <c r="B1159" s="3" t="inlineStr">
        <is>
          <t>Kepala tukang</t>
        </is>
      </c>
      <c r="C1159" s="3" t="inlineStr">
        <is>
          <t>OH</t>
        </is>
      </c>
      <c r="D1159" s="15" t="n">
        <v>0.003</v>
      </c>
      <c r="E1159" s="4" t="n">
        <v>175000</v>
      </c>
      <c r="F1159" s="4" t="n">
        <v>525</v>
      </c>
    </row>
    <row r="1160">
      <c r="A1160" s="3" t="inlineStr">
        <is>
          <t>4</t>
        </is>
      </c>
      <c r="B1160" s="3" t="inlineStr">
        <is>
          <t>Mandor</t>
        </is>
      </c>
      <c r="C1160" s="3" t="inlineStr">
        <is>
          <t>OH</t>
        </is>
      </c>
      <c r="D1160" s="15" t="n">
        <v>0.001</v>
      </c>
      <c r="E1160" s="4" t="n">
        <v>200000</v>
      </c>
      <c r="F1160" s="4" t="n">
        <v>200</v>
      </c>
    </row>
    <row r="1161">
      <c r="A1161" s="3" t="inlineStr">
        <is>
          <t>1</t>
        </is>
      </c>
      <c r="B1161" s="3" t="inlineStr">
        <is>
          <t>Semen Portland (PC)</t>
        </is>
      </c>
      <c r="C1161" s="3" t="inlineStr">
        <is>
          <t>kg</t>
        </is>
      </c>
      <c r="D1161" s="15" t="n">
        <v>39.12</v>
      </c>
      <c r="E1161" s="4" t="n">
        <v>1300</v>
      </c>
      <c r="F1161" s="4" t="n">
        <v>50856</v>
      </c>
    </row>
    <row r="1162">
      <c r="A1162" s="3" t="inlineStr">
        <is>
          <t>2</t>
        </is>
      </c>
      <c r="B1162" s="3" t="inlineStr">
        <is>
          <t>Pasir Beton</t>
        </is>
      </c>
      <c r="C1162" s="3" t="inlineStr">
        <is>
          <t>kg</t>
        </is>
      </c>
      <c r="D1162" s="15" t="n">
        <v>91.2</v>
      </c>
      <c r="E1162" s="4" t="n">
        <v>300</v>
      </c>
      <c r="F1162" s="4" t="n">
        <v>27360</v>
      </c>
    </row>
    <row r="1163">
      <c r="A1163" s="3" t="inlineStr">
        <is>
          <t>3</t>
        </is>
      </c>
      <c r="B1163" s="3" t="inlineStr">
        <is>
          <t>Kerikil</t>
        </is>
      </c>
      <c r="C1163" s="3" t="inlineStr">
        <is>
          <t>kg</t>
        </is>
      </c>
      <c r="D1163" s="15" t="n">
        <v>123.48</v>
      </c>
      <c r="E1163" s="4" t="n">
        <v>210</v>
      </c>
      <c r="F1163" s="4" t="n">
        <v>25930.8</v>
      </c>
    </row>
    <row r="1164">
      <c r="A1164" s="3" t="inlineStr">
        <is>
          <t>4</t>
        </is>
      </c>
      <c r="B1164" s="3" t="inlineStr">
        <is>
          <t>Air</t>
        </is>
      </c>
      <c r="C1164" s="3" t="inlineStr">
        <is>
          <t>liter</t>
        </is>
      </c>
      <c r="D1164" s="15" t="n">
        <v>25.8</v>
      </c>
      <c r="E1164" s="4" t="n">
        <v>200</v>
      </c>
      <c r="F1164" s="4" t="n">
        <v>5160</v>
      </c>
    </row>
    <row r="1165">
      <c r="D1165" s="2" t="inlineStr">
        <is>
          <t>SUBTOTAL UPAH</t>
        </is>
      </c>
      <c r="F1165" s="16" t="n">
        <v>25310</v>
      </c>
    </row>
    <row r="1166">
      <c r="D1166" s="2" t="inlineStr">
        <is>
          <t>SUBTOTAL BAHAN</t>
        </is>
      </c>
      <c r="F1166" s="16" t="n">
        <v>109306.8</v>
      </c>
    </row>
    <row r="1167">
      <c r="D1167" s="2" t="inlineStr">
        <is>
          <t>SUBTOTAL ALAT</t>
        </is>
      </c>
      <c r="F1167" s="16" t="n">
        <v>0</v>
      </c>
    </row>
    <row r="1168">
      <c r="E1168" s="2" t="inlineStr">
        <is>
          <t>TOTAL HARGA SATUAN (Inc. Overhead)</t>
        </is>
      </c>
      <c r="F1168" s="17" t="n">
        <v>148078</v>
      </c>
    </row>
    <row r="1170">
      <c r="A1170" s="14" t="inlineStr">
        <is>
          <t>KODE: 2.4.6.4 - Pembuatan 1 m2 lahan produksi tebal 15 cm beton fc' = 14.5 Mpa, slump ( 120 ± 20) mm</t>
        </is>
      </c>
    </row>
    <row r="1171">
      <c r="A1171" s="10" t="inlineStr">
        <is>
          <t>No</t>
        </is>
      </c>
      <c r="B1171" s="10" t="inlineStr">
        <is>
          <t>Uraian Komponen</t>
        </is>
      </c>
      <c r="C1171" s="10" t="inlineStr">
        <is>
          <t>Satuan</t>
        </is>
      </c>
      <c r="D1171" s="10" t="inlineStr">
        <is>
          <t>Koef</t>
        </is>
      </c>
      <c r="E1171" s="10" t="inlineStr">
        <is>
          <t>Harga Satuan (Rp)</t>
        </is>
      </c>
      <c r="F1171" s="10" t="inlineStr">
        <is>
          <t>Jumlah Harga (Rp)</t>
        </is>
      </c>
    </row>
    <row r="1172">
      <c r="A1172" s="3" t="inlineStr">
        <is>
          <t>1</t>
        </is>
      </c>
      <c r="B1172" s="3" t="inlineStr">
        <is>
          <t>Pekerja</t>
        </is>
      </c>
      <c r="C1172" s="3" t="inlineStr">
        <is>
          <t>OH</t>
        </is>
      </c>
      <c r="D1172" s="15" t="n">
        <v>0.248</v>
      </c>
      <c r="E1172" s="4" t="n">
        <v>100000</v>
      </c>
      <c r="F1172" s="4" t="n">
        <v>24800</v>
      </c>
    </row>
    <row r="1173">
      <c r="A1173" s="3" t="inlineStr">
        <is>
          <t>2</t>
        </is>
      </c>
      <c r="B1173" s="3" t="inlineStr">
        <is>
          <t>Tukang batu</t>
        </is>
      </c>
      <c r="C1173" s="3" t="inlineStr">
        <is>
          <t>OH</t>
        </is>
      </c>
      <c r="D1173" s="15" t="n">
        <v>0.041</v>
      </c>
      <c r="E1173" s="4" t="n">
        <v>145000</v>
      </c>
      <c r="F1173" s="4" t="n">
        <v>5945</v>
      </c>
    </row>
    <row r="1174">
      <c r="A1174" s="3" t="inlineStr">
        <is>
          <t>3</t>
        </is>
      </c>
      <c r="B1174" s="3" t="inlineStr">
        <is>
          <t>Kepala tukang</t>
        </is>
      </c>
      <c r="C1174" s="3" t="inlineStr">
        <is>
          <t>OH</t>
        </is>
      </c>
      <c r="D1174" s="15" t="n">
        <v>0.004</v>
      </c>
      <c r="E1174" s="4" t="n">
        <v>175000</v>
      </c>
      <c r="F1174" s="4" t="n">
        <v>700</v>
      </c>
    </row>
    <row r="1175">
      <c r="A1175" s="3" t="inlineStr">
        <is>
          <t>4</t>
        </is>
      </c>
      <c r="B1175" s="3" t="inlineStr">
        <is>
          <t>Mandor</t>
        </is>
      </c>
      <c r="C1175" s="3" t="inlineStr">
        <is>
          <t>OH</t>
        </is>
      </c>
      <c r="D1175" s="15" t="n">
        <v>0.001</v>
      </c>
      <c r="E1175" s="4" t="n">
        <v>200000</v>
      </c>
      <c r="F1175" s="4" t="n">
        <v>200</v>
      </c>
    </row>
    <row r="1176">
      <c r="A1176" s="3" t="inlineStr">
        <is>
          <t>1</t>
        </is>
      </c>
      <c r="B1176" s="3" t="inlineStr">
        <is>
          <t>Semen Portland (PC)</t>
        </is>
      </c>
      <c r="C1176" s="3" t="inlineStr">
        <is>
          <t>kg</t>
        </is>
      </c>
      <c r="D1176" s="15" t="n">
        <v>48.9</v>
      </c>
      <c r="E1176" s="4" t="n">
        <v>1300</v>
      </c>
      <c r="F1176" s="4" t="n">
        <v>63570</v>
      </c>
    </row>
    <row r="1177">
      <c r="A1177" s="3" t="inlineStr">
        <is>
          <t>2</t>
        </is>
      </c>
      <c r="B1177" s="3" t="inlineStr">
        <is>
          <t>Pasir Beton</t>
        </is>
      </c>
      <c r="C1177" s="3" t="inlineStr">
        <is>
          <t>kg</t>
        </is>
      </c>
      <c r="D1177" s="15" t="n">
        <v>114</v>
      </c>
      <c r="E1177" s="4" t="n">
        <v>300</v>
      </c>
      <c r="F1177" s="4" t="n">
        <v>34200</v>
      </c>
    </row>
    <row r="1178">
      <c r="A1178" s="3" t="inlineStr">
        <is>
          <t>3</t>
        </is>
      </c>
      <c r="B1178" s="3" t="inlineStr">
        <is>
          <t>Kerikil</t>
        </is>
      </c>
      <c r="C1178" s="3" t="inlineStr">
        <is>
          <t>kg</t>
        </is>
      </c>
      <c r="D1178" s="15" t="n">
        <v>154.35</v>
      </c>
      <c r="E1178" s="4" t="n">
        <v>210</v>
      </c>
      <c r="F1178" s="4" t="n">
        <v>32413.5</v>
      </c>
    </row>
    <row r="1179">
      <c r="A1179" s="3" t="inlineStr">
        <is>
          <t>4</t>
        </is>
      </c>
      <c r="B1179" s="3" t="inlineStr">
        <is>
          <t>Air</t>
        </is>
      </c>
      <c r="C1179" s="3" t="inlineStr">
        <is>
          <t>liter</t>
        </is>
      </c>
      <c r="D1179" s="15" t="n">
        <v>32.25</v>
      </c>
      <c r="E1179" s="4" t="n">
        <v>200</v>
      </c>
      <c r="F1179" s="4" t="n">
        <v>6450</v>
      </c>
    </row>
    <row r="1180">
      <c r="D1180" s="2" t="inlineStr">
        <is>
          <t>SUBTOTAL UPAH</t>
        </is>
      </c>
      <c r="F1180" s="16" t="n">
        <v>31645</v>
      </c>
    </row>
    <row r="1181">
      <c r="D1181" s="2" t="inlineStr">
        <is>
          <t>SUBTOTAL BAHAN</t>
        </is>
      </c>
      <c r="F1181" s="16" t="n">
        <v>136633.5</v>
      </c>
    </row>
    <row r="1182">
      <c r="D1182" s="2" t="inlineStr">
        <is>
          <t>SUBTOTAL ALAT</t>
        </is>
      </c>
      <c r="F1182" s="16" t="n">
        <v>0</v>
      </c>
    </row>
    <row r="1183">
      <c r="E1183" s="2" t="inlineStr">
        <is>
          <t>TOTAL HARGA SATUAN (Inc. Overhead)</t>
        </is>
      </c>
      <c r="F1183" s="17" t="n">
        <v>185106</v>
      </c>
    </row>
    <row r="1185">
      <c r="A1185" s="14" t="inlineStr">
        <is>
          <t>KODE: 2.6.2.1 - Pemancangan per m' tiang pancang kayu atau dolken dia. 6-8 cm</t>
        </is>
      </c>
    </row>
    <row r="1186">
      <c r="A1186" s="10" t="inlineStr">
        <is>
          <t>No</t>
        </is>
      </c>
      <c r="B1186" s="10" t="inlineStr">
        <is>
          <t>Uraian Komponen</t>
        </is>
      </c>
      <c r="C1186" s="10" t="inlineStr">
        <is>
          <t>Satuan</t>
        </is>
      </c>
      <c r="D1186" s="10" t="inlineStr">
        <is>
          <t>Koef</t>
        </is>
      </c>
      <c r="E1186" s="10" t="inlineStr">
        <is>
          <t>Harga Satuan (Rp)</t>
        </is>
      </c>
      <c r="F1186" s="10" t="inlineStr">
        <is>
          <t>Jumlah Harga (Rp)</t>
        </is>
      </c>
    </row>
    <row r="1187">
      <c r="A1187" s="3" t="inlineStr">
        <is>
          <t>1</t>
        </is>
      </c>
      <c r="B1187" s="3" t="inlineStr">
        <is>
          <t>Pekerja OH</t>
        </is>
      </c>
      <c r="C1187" s="3" t="inlineStr">
        <is>
          <t>0.0605</t>
        </is>
      </c>
      <c r="D1187" s="15" t="n">
        <v>100000</v>
      </c>
      <c r="E1187" s="4" t="n">
        <v>6050</v>
      </c>
      <c r="F1187" s="4" t="n">
        <v>0.1</v>
      </c>
    </row>
    <row r="1188">
      <c r="A1188" s="3" t="inlineStr">
        <is>
          <t>2</t>
        </is>
      </c>
      <c r="B1188" s="3" t="inlineStr">
        <is>
          <t>Tukang kayu</t>
        </is>
      </c>
      <c r="C1188" s="3" t="inlineStr">
        <is>
          <t>OH</t>
        </is>
      </c>
      <c r="D1188" s="15" t="n">
        <v>0.0605</v>
      </c>
      <c r="E1188" s="4" t="n">
        <v>145000</v>
      </c>
      <c r="F1188" s="4" t="n">
        <v>8772.5</v>
      </c>
    </row>
    <row r="1189">
      <c r="A1189" s="3" t="inlineStr">
        <is>
          <t>3</t>
        </is>
      </c>
      <c r="B1189" s="3" t="inlineStr">
        <is>
          <t>Mandor</t>
        </is>
      </c>
      <c r="C1189" s="3" t="inlineStr">
        <is>
          <t>OH</t>
        </is>
      </c>
      <c r="D1189" s="15" t="n">
        <v>0.006</v>
      </c>
      <c r="E1189" s="4" t="n">
        <v>200000</v>
      </c>
      <c r="F1189" s="4" t="n">
        <v>1200</v>
      </c>
    </row>
    <row r="1190">
      <c r="A1190" s="3" t="inlineStr">
        <is>
          <t>1</t>
        </is>
      </c>
      <c r="B1190" s="3" t="inlineStr">
        <is>
          <t>Alat  penyambung tiang pancang dolken</t>
        </is>
      </c>
      <c r="C1190" s="3" t="inlineStr">
        <is>
          <t>buah</t>
        </is>
      </c>
      <c r="D1190" s="15" t="n">
        <v>0.25</v>
      </c>
      <c r="E1190" s="4" t="n">
        <v>350000</v>
      </c>
      <c r="F1190" s="4" t="n">
        <v>87500</v>
      </c>
    </row>
    <row r="1191">
      <c r="A1191" s="3" t="inlineStr">
        <is>
          <t>2</t>
        </is>
      </c>
      <c r="B1191" s="3" t="inlineStr">
        <is>
          <t>Sepatu Pancang</t>
        </is>
      </c>
      <c r="C1191" s="3" t="inlineStr">
        <is>
          <t>buah</t>
        </is>
      </c>
      <c r="D1191" s="15" t="n">
        <v>0.25</v>
      </c>
      <c r="E1191" s="4" t="n">
        <v>124500</v>
      </c>
      <c r="F1191" s="4" t="n">
        <v>31125</v>
      </c>
    </row>
    <row r="1192">
      <c r="A1192" s="3" t="inlineStr">
        <is>
          <t>1</t>
        </is>
      </c>
      <c r="B1192" s="3" t="inlineStr">
        <is>
          <t>Alat Pancang Mini Pile</t>
        </is>
      </c>
      <c r="C1192" s="3" t="inlineStr">
        <is>
          <t>hari</t>
        </is>
      </c>
      <c r="D1192" s="15" t="n">
        <v>0.0605</v>
      </c>
      <c r="E1192" s="4" t="n">
        <v>250000</v>
      </c>
      <c r="F1192" s="4" t="n">
        <v>15125</v>
      </c>
    </row>
    <row r="1193">
      <c r="D1193" s="2" t="inlineStr">
        <is>
          <t>SUBTOTAL UPAH</t>
        </is>
      </c>
      <c r="F1193" s="16" t="n">
        <v>16022.5</v>
      </c>
    </row>
    <row r="1194">
      <c r="D1194" s="2" t="inlineStr">
        <is>
          <t>SUBTOTAL BAHAN</t>
        </is>
      </c>
      <c r="F1194" s="16" t="n">
        <v>118625</v>
      </c>
    </row>
    <row r="1195">
      <c r="D1195" s="2" t="inlineStr">
        <is>
          <t>SUBTOTAL ALAT</t>
        </is>
      </c>
      <c r="F1195" s="16" t="n">
        <v>15125</v>
      </c>
    </row>
    <row r="1196">
      <c r="E1196" s="2" t="inlineStr">
        <is>
          <t>TOTAL HARGA SATUAN (Inc. Overhead)</t>
        </is>
      </c>
      <c r="F1196" s="17" t="n">
        <v>164749</v>
      </c>
    </row>
    <row r="1198">
      <c r="A1198" s="14" t="inlineStr">
        <is>
          <t>KODE: 2.6.2.2 - Pemancangan per m' Tiang kayu Gelondongan dia. 18-20 cm</t>
        </is>
      </c>
    </row>
    <row r="1199">
      <c r="A1199" s="10" t="inlineStr">
        <is>
          <t>No</t>
        </is>
      </c>
      <c r="B1199" s="10" t="inlineStr">
        <is>
          <t>Uraian Komponen</t>
        </is>
      </c>
      <c r="C1199" s="10" t="inlineStr">
        <is>
          <t>Satuan</t>
        </is>
      </c>
      <c r="D1199" s="10" t="inlineStr">
        <is>
          <t>Koef</t>
        </is>
      </c>
      <c r="E1199" s="10" t="inlineStr">
        <is>
          <t>Harga Satuan (Rp)</t>
        </is>
      </c>
      <c r="F1199" s="10" t="inlineStr">
        <is>
          <t>Jumlah Harga (Rp)</t>
        </is>
      </c>
    </row>
    <row r="1200">
      <c r="A1200" s="3" t="inlineStr">
        <is>
          <t>1</t>
        </is>
      </c>
      <c r="B1200" s="3" t="inlineStr">
        <is>
          <t>Pekerja</t>
        </is>
      </c>
      <c r="C1200" s="3" t="inlineStr">
        <is>
          <t>OH</t>
        </is>
      </c>
      <c r="D1200" s="15" t="n">
        <v>0.0759</v>
      </c>
      <c r="E1200" s="4" t="n">
        <v>100000</v>
      </c>
      <c r="F1200" s="4" t="n">
        <v>7589.999999999999</v>
      </c>
    </row>
    <row r="1201">
      <c r="A1201" s="3" t="inlineStr">
        <is>
          <t>2</t>
        </is>
      </c>
      <c r="B1201" s="3" t="inlineStr">
        <is>
          <t>Tukang kayu</t>
        </is>
      </c>
      <c r="C1201" s="3" t="inlineStr">
        <is>
          <t>OH</t>
        </is>
      </c>
      <c r="D1201" s="15" t="n">
        <v>0.0759</v>
      </c>
      <c r="E1201" s="4" t="n">
        <v>145000</v>
      </c>
      <c r="F1201" s="4" t="n">
        <v>11005.5</v>
      </c>
    </row>
    <row r="1202">
      <c r="A1202" s="3" t="inlineStr">
        <is>
          <t>3</t>
        </is>
      </c>
      <c r="B1202" s="3" t="inlineStr">
        <is>
          <t>Mandor</t>
        </is>
      </c>
      <c r="C1202" s="3" t="inlineStr">
        <is>
          <t>OH</t>
        </is>
      </c>
      <c r="D1202" s="15" t="n">
        <v>0.0228</v>
      </c>
      <c r="E1202" s="4" t="n">
        <v>200000</v>
      </c>
      <c r="F1202" s="4" t="n">
        <v>4560</v>
      </c>
    </row>
    <row r="1203">
      <c r="A1203" s="3" t="inlineStr">
        <is>
          <t>1</t>
        </is>
      </c>
      <c r="B1203" s="3" t="inlineStr">
        <is>
          <t>Alat sambung kayu terbuat dari baja</t>
        </is>
      </c>
      <c r="C1203" s="3" t="inlineStr">
        <is>
          <t>buah</t>
        </is>
      </c>
      <c r="D1203" s="15" t="n">
        <v>0.25</v>
      </c>
      <c r="E1203" s="4" t="n">
        <v>250000</v>
      </c>
      <c r="F1203" s="4" t="n">
        <v>62500</v>
      </c>
    </row>
    <row r="1204">
      <c r="A1204" s="3" t="inlineStr">
        <is>
          <t>2</t>
        </is>
      </c>
      <c r="B1204" s="3" t="inlineStr">
        <is>
          <t>Sepatu pancang</t>
        </is>
      </c>
      <c r="C1204" s="3" t="inlineStr">
        <is>
          <t>buah</t>
        </is>
      </c>
      <c r="D1204" s="15" t="n">
        <v>0.25</v>
      </c>
      <c r="E1204" s="4" t="n">
        <v>124500</v>
      </c>
      <c r="F1204" s="4" t="n">
        <v>31125</v>
      </c>
    </row>
    <row r="1205">
      <c r="A1205" s="3" t="inlineStr">
        <is>
          <t>1</t>
        </is>
      </c>
      <c r="B1205" s="3" t="inlineStr">
        <is>
          <t>Sewa Mobil Crane</t>
        </is>
      </c>
      <c r="C1205" s="3" t="inlineStr">
        <is>
          <t>hari</t>
        </is>
      </c>
      <c r="D1205" s="15" t="n">
        <v>0.0759</v>
      </c>
      <c r="E1205" s="4" t="n">
        <v>1450000</v>
      </c>
      <c r="F1205" s="4" t="n">
        <v>110055</v>
      </c>
    </row>
    <row r="1206">
      <c r="A1206" s="3" t="inlineStr">
        <is>
          <t>2</t>
        </is>
      </c>
      <c r="B1206" s="3" t="inlineStr">
        <is>
          <t>Alat Pancang Mini Pile</t>
        </is>
      </c>
      <c r="C1206" s="3" t="inlineStr">
        <is>
          <t>hari</t>
        </is>
      </c>
      <c r="D1206" s="15" t="n">
        <v>0.0759</v>
      </c>
      <c r="E1206" s="4" t="n">
        <v>250000</v>
      </c>
      <c r="F1206" s="4" t="n">
        <v>18975</v>
      </c>
    </row>
    <row r="1207">
      <c r="D1207" s="2" t="inlineStr">
        <is>
          <t>SUBTOTAL UPAH</t>
        </is>
      </c>
      <c r="F1207" s="16" t="n">
        <v>23155.5</v>
      </c>
    </row>
    <row r="1208">
      <c r="D1208" s="2" t="inlineStr">
        <is>
          <t>SUBTOTAL BAHAN</t>
        </is>
      </c>
      <c r="F1208" s="16" t="n">
        <v>93625</v>
      </c>
    </row>
    <row r="1209">
      <c r="D1209" s="2" t="inlineStr">
        <is>
          <t>SUBTOTAL ALAT</t>
        </is>
      </c>
      <c r="F1209" s="16" t="n">
        <v>129030</v>
      </c>
    </row>
    <row r="1210">
      <c r="E1210" s="2" t="inlineStr">
        <is>
          <t>TOTAL HARGA SATUAN (Inc. Overhead)</t>
        </is>
      </c>
      <c r="F1210" s="17" t="n">
        <v>270391</v>
      </c>
    </row>
    <row r="1212">
      <c r="A1212" s="14" t="inlineStr">
        <is>
          <t>KODE: 2.6.2.3 - 1 m2 Turap bambu dari geribig bambu secara manual, JAT &lt; 0,5 m</t>
        </is>
      </c>
    </row>
    <row r="1213">
      <c r="A1213" s="10" t="inlineStr">
        <is>
          <t>No</t>
        </is>
      </c>
      <c r="B1213" s="10" t="inlineStr">
        <is>
          <t>Uraian Komponen</t>
        </is>
      </c>
      <c r="C1213" s="10" t="inlineStr">
        <is>
          <t>Satuan</t>
        </is>
      </c>
      <c r="D1213" s="10" t="inlineStr">
        <is>
          <t>Koef</t>
        </is>
      </c>
      <c r="E1213" s="10" t="inlineStr">
        <is>
          <t>Harga Satuan (Rp)</t>
        </is>
      </c>
      <c r="F1213" s="10" t="inlineStr">
        <is>
          <t>Jumlah Harga (Rp)</t>
        </is>
      </c>
    </row>
    <row r="1214">
      <c r="A1214" s="3" t="inlineStr">
        <is>
          <t>1</t>
        </is>
      </c>
      <c r="B1214" s="3" t="inlineStr">
        <is>
          <t>Pekerja</t>
        </is>
      </c>
      <c r="C1214" s="3" t="inlineStr">
        <is>
          <t>OH</t>
        </is>
      </c>
      <c r="D1214" s="15" t="n">
        <v>0.111</v>
      </c>
      <c r="E1214" s="4" t="n">
        <v>100000</v>
      </c>
      <c r="F1214" s="4" t="n">
        <v>11100</v>
      </c>
    </row>
    <row r="1215">
      <c r="A1215" s="3" t="inlineStr">
        <is>
          <t>2</t>
        </is>
      </c>
      <c r="B1215" s="3" t="inlineStr">
        <is>
          <t>Tukang kayu</t>
        </is>
      </c>
      <c r="C1215" s="3" t="inlineStr">
        <is>
          <t>OH</t>
        </is>
      </c>
      <c r="D1215" s="15" t="n">
        <v>0.056</v>
      </c>
      <c r="E1215" s="4" t="n">
        <v>145000</v>
      </c>
      <c r="F1215" s="4" t="n">
        <v>8120</v>
      </c>
    </row>
    <row r="1216">
      <c r="A1216" s="3" t="inlineStr">
        <is>
          <t>3</t>
        </is>
      </c>
      <c r="B1216" s="3" t="inlineStr">
        <is>
          <t>Kepala tukang</t>
        </is>
      </c>
      <c r="C1216" s="3" t="inlineStr">
        <is>
          <t>OH</t>
        </is>
      </c>
      <c r="D1216" s="15" t="n">
        <v>0.006</v>
      </c>
      <c r="E1216" s="4" t="n">
        <v>175000</v>
      </c>
      <c r="F1216" s="4" t="n">
        <v>1050</v>
      </c>
    </row>
    <row r="1217">
      <c r="A1217" s="3" t="inlineStr">
        <is>
          <t>4</t>
        </is>
      </c>
      <c r="B1217" s="3" t="inlineStr">
        <is>
          <t>Mandor</t>
        </is>
      </c>
      <c r="C1217" s="3" t="inlineStr">
        <is>
          <t>OH</t>
        </is>
      </c>
      <c r="D1217" s="15" t="n">
        <v>0.002</v>
      </c>
      <c r="E1217" s="4" t="n">
        <v>200000</v>
      </c>
      <c r="F1217" s="4" t="n">
        <v>400</v>
      </c>
    </row>
    <row r="1218">
      <c r="A1218" s="3" t="inlineStr">
        <is>
          <t>1</t>
        </is>
      </c>
      <c r="B1218" s="3" t="inlineStr">
        <is>
          <t>"Bambu panjang 4 5 m"</t>
        </is>
      </c>
      <c r="C1218" s="3" t="inlineStr">
        <is>
          <t>batang</t>
        </is>
      </c>
      <c r="D1218" s="15" t="n">
        <v>0.8333</v>
      </c>
      <c r="E1218" s="4" t="n">
        <v>14500</v>
      </c>
      <c r="F1218" s="4" t="n">
        <v>12082.85</v>
      </c>
    </row>
    <row r="1219">
      <c r="A1219" s="3" t="inlineStr">
        <is>
          <t>2</t>
        </is>
      </c>
      <c r="B1219" s="3" t="inlineStr">
        <is>
          <t>Anyaman Bambu</t>
        </is>
      </c>
      <c r="C1219" s="3" t="inlineStr">
        <is>
          <t>lembar</t>
        </is>
      </c>
      <c r="D1219" s="15" t="n">
        <v>0.3</v>
      </c>
      <c r="E1219" s="4" t="n">
        <v>50000</v>
      </c>
      <c r="F1219" s="4" t="n">
        <v>15000</v>
      </c>
    </row>
    <row r="1220">
      <c r="A1220" s="3" t="inlineStr">
        <is>
          <t>3</t>
        </is>
      </c>
      <c r="B1220" s="3" t="inlineStr">
        <is>
          <t>Kawat bendrat</t>
        </is>
      </c>
      <c r="C1220" s="3" t="inlineStr">
        <is>
          <t>kg</t>
        </is>
      </c>
      <c r="D1220" s="15" t="n">
        <v>0.1477</v>
      </c>
      <c r="E1220" s="4" t="n">
        <v>18800</v>
      </c>
      <c r="F1220" s="4" t="n">
        <v>2776.76</v>
      </c>
    </row>
    <row r="1221">
      <c r="D1221" s="2" t="inlineStr">
        <is>
          <t>SUBTOTAL UPAH</t>
        </is>
      </c>
      <c r="F1221" s="16" t="n">
        <v>20670</v>
      </c>
    </row>
    <row r="1222">
      <c r="D1222" s="2" t="inlineStr">
        <is>
          <t>SUBTOTAL BAHAN</t>
        </is>
      </c>
      <c r="F1222" s="16" t="n">
        <v>29859.61</v>
      </c>
    </row>
    <row r="1223">
      <c r="D1223" s="2" t="inlineStr">
        <is>
          <t>SUBTOTAL ALAT</t>
        </is>
      </c>
      <c r="F1223" s="16" t="n">
        <v>0</v>
      </c>
    </row>
    <row r="1224">
      <c r="E1224" s="2" t="inlineStr">
        <is>
          <t>TOTAL HARGA SATUAN (Inc. Overhead)</t>
        </is>
      </c>
      <c r="F1224" s="17" t="n">
        <v>55582</v>
      </c>
    </row>
    <row r="1226">
      <c r="A1226" s="14" t="inlineStr">
        <is>
          <t>KODE: 3.1.1.1 - Pemasangan 1 m2 atap Genteng Palentong  Kecil</t>
        </is>
      </c>
    </row>
    <row r="1227">
      <c r="A1227" s="10" t="inlineStr">
        <is>
          <t>No</t>
        </is>
      </c>
      <c r="B1227" s="10" t="inlineStr">
        <is>
          <t>Uraian Komponen</t>
        </is>
      </c>
      <c r="C1227" s="10" t="inlineStr">
        <is>
          <t>Satuan</t>
        </is>
      </c>
      <c r="D1227" s="10" t="inlineStr">
        <is>
          <t>Koef</t>
        </is>
      </c>
      <c r="E1227" s="10" t="inlineStr">
        <is>
          <t>Harga Satuan (Rp)</t>
        </is>
      </c>
      <c r="F1227" s="10" t="inlineStr">
        <is>
          <t>Jumlah Harga (Rp)</t>
        </is>
      </c>
    </row>
    <row r="1228">
      <c r="A1228" s="3" t="inlineStr">
        <is>
          <t>1</t>
        </is>
      </c>
      <c r="B1228" s="3" t="inlineStr">
        <is>
          <t>Pekerja OH</t>
        </is>
      </c>
      <c r="C1228" s="3" t="inlineStr">
        <is>
          <t>0.15</t>
        </is>
      </c>
      <c r="D1228" s="15" t="n">
        <v>100000</v>
      </c>
      <c r="E1228" s="4" t="n">
        <v>15000</v>
      </c>
      <c r="F1228" s="4" t="n">
        <v>0.1</v>
      </c>
    </row>
    <row r="1229">
      <c r="A1229" s="3" t="inlineStr">
        <is>
          <t>2</t>
        </is>
      </c>
      <c r="B1229" s="3" t="inlineStr">
        <is>
          <t>Tukang kayu</t>
        </is>
      </c>
      <c r="C1229" s="3" t="inlineStr">
        <is>
          <t>OH</t>
        </is>
      </c>
      <c r="D1229" s="15" t="n">
        <v>0.075</v>
      </c>
      <c r="E1229" s="4" t="n">
        <v>145000</v>
      </c>
      <c r="F1229" s="4" t="n">
        <v>10875</v>
      </c>
    </row>
    <row r="1230">
      <c r="A1230" s="3" t="inlineStr">
        <is>
          <t>3</t>
        </is>
      </c>
      <c r="B1230" s="3" t="inlineStr">
        <is>
          <t>Kepala tukang</t>
        </is>
      </c>
      <c r="C1230" s="3" t="inlineStr">
        <is>
          <t>OH</t>
        </is>
      </c>
      <c r="D1230" s="15" t="n">
        <v>0.0075</v>
      </c>
      <c r="E1230" s="4" t="n">
        <v>175000</v>
      </c>
      <c r="F1230" s="4" t="n">
        <v>1312.5</v>
      </c>
    </row>
    <row r="1231">
      <c r="A1231" s="3" t="inlineStr">
        <is>
          <t>4</t>
        </is>
      </c>
      <c r="B1231" s="3" t="inlineStr">
        <is>
          <t>Mandor</t>
        </is>
      </c>
      <c r="C1231" s="3" t="inlineStr">
        <is>
          <t>OH</t>
        </is>
      </c>
      <c r="D1231" s="15" t="n">
        <v>0.0025</v>
      </c>
      <c r="E1231" s="4" t="n">
        <v>200000</v>
      </c>
      <c r="F1231" s="4" t="n">
        <v>500</v>
      </c>
    </row>
    <row r="1232">
      <c r="A1232" s="3" t="inlineStr">
        <is>
          <t>1</t>
        </is>
      </c>
      <c r="B1232" s="3" t="inlineStr">
        <is>
          <t>Genteng palentong</t>
        </is>
      </c>
      <c r="C1232" s="3" t="inlineStr">
        <is>
          <t>buah</t>
        </is>
      </c>
      <c r="D1232" s="15" t="n">
        <v>25</v>
      </c>
      <c r="E1232" s="4" t="n">
        <v>2800</v>
      </c>
      <c r="F1232" s="4" t="n">
        <v>70000</v>
      </c>
    </row>
    <row r="1233">
      <c r="D1233" s="2" t="inlineStr">
        <is>
          <t>SUBTOTAL UPAH</t>
        </is>
      </c>
      <c r="F1233" s="16" t="n">
        <v>27687.5</v>
      </c>
    </row>
    <row r="1234">
      <c r="D1234" s="2" t="inlineStr">
        <is>
          <t>SUBTOTAL BAHAN</t>
        </is>
      </c>
      <c r="F1234" s="16" t="n">
        <v>70000</v>
      </c>
    </row>
    <row r="1235">
      <c r="D1235" s="2" t="inlineStr">
        <is>
          <t>SUBTOTAL ALAT</t>
        </is>
      </c>
      <c r="F1235" s="16" t="n">
        <v>0</v>
      </c>
    </row>
    <row r="1236">
      <c r="E1236" s="2" t="inlineStr">
        <is>
          <t>TOTAL HARGA SATUAN (Inc. Overhead)</t>
        </is>
      </c>
      <c r="F1236" s="17" t="n">
        <v>107456</v>
      </c>
    </row>
    <row r="1238">
      <c r="A1238" s="14" t="inlineStr">
        <is>
          <t>KODE: 3.1.1.2 - Pemasangan 1 m2 atap genteng kodok glazuur</t>
        </is>
      </c>
    </row>
    <row r="1239">
      <c r="A1239" s="10" t="inlineStr">
        <is>
          <t>No</t>
        </is>
      </c>
      <c r="B1239" s="10" t="inlineStr">
        <is>
          <t>Uraian Komponen</t>
        </is>
      </c>
      <c r="C1239" s="10" t="inlineStr">
        <is>
          <t>Satuan</t>
        </is>
      </c>
      <c r="D1239" s="10" t="inlineStr">
        <is>
          <t>Koef</t>
        </is>
      </c>
      <c r="E1239" s="10" t="inlineStr">
        <is>
          <t>Harga Satuan (Rp)</t>
        </is>
      </c>
      <c r="F1239" s="10" t="inlineStr">
        <is>
          <t>Jumlah Harga (Rp)</t>
        </is>
      </c>
    </row>
    <row r="1240">
      <c r="A1240" s="3" t="inlineStr">
        <is>
          <t>1</t>
        </is>
      </c>
      <c r="B1240" s="3" t="inlineStr">
        <is>
          <t>Pekerja</t>
        </is>
      </c>
      <c r="C1240" s="3" t="inlineStr">
        <is>
          <t>OH</t>
        </is>
      </c>
      <c r="D1240" s="15" t="n">
        <v>0.15</v>
      </c>
      <c r="E1240" s="4" t="n">
        <v>100000</v>
      </c>
      <c r="F1240" s="4" t="n">
        <v>15000</v>
      </c>
    </row>
    <row r="1241">
      <c r="A1241" s="3" t="inlineStr">
        <is>
          <t>2</t>
        </is>
      </c>
      <c r="B1241" s="3" t="inlineStr">
        <is>
          <t>Tukang kayu</t>
        </is>
      </c>
      <c r="C1241" s="3" t="inlineStr">
        <is>
          <t>OH</t>
        </is>
      </c>
      <c r="D1241" s="15" t="n">
        <v>0.075</v>
      </c>
      <c r="E1241" s="4" t="n">
        <v>145000</v>
      </c>
      <c r="F1241" s="4" t="n">
        <v>10875</v>
      </c>
    </row>
    <row r="1242">
      <c r="A1242" s="3" t="inlineStr">
        <is>
          <t>3</t>
        </is>
      </c>
      <c r="B1242" s="3" t="inlineStr">
        <is>
          <t>Kepala tukang</t>
        </is>
      </c>
      <c r="C1242" s="3" t="inlineStr">
        <is>
          <t>OH</t>
        </is>
      </c>
      <c r="D1242" s="15" t="n">
        <v>0.0075</v>
      </c>
      <c r="E1242" s="4" t="n">
        <v>175000</v>
      </c>
      <c r="F1242" s="4" t="n">
        <v>1312.5</v>
      </c>
    </row>
    <row r="1243">
      <c r="A1243" s="3" t="inlineStr">
        <is>
          <t>4</t>
        </is>
      </c>
      <c r="B1243" s="3" t="inlineStr">
        <is>
          <t>Mandor</t>
        </is>
      </c>
      <c r="C1243" s="3" t="inlineStr">
        <is>
          <t>OH</t>
        </is>
      </c>
      <c r="D1243" s="15" t="n">
        <v>0.0025</v>
      </c>
      <c r="E1243" s="4" t="n">
        <v>200000</v>
      </c>
      <c r="F1243" s="4" t="n">
        <v>500</v>
      </c>
    </row>
    <row r="1244">
      <c r="A1244" s="3" t="inlineStr">
        <is>
          <t>1</t>
        </is>
      </c>
      <c r="B1244" s="3" t="inlineStr">
        <is>
          <t>Genteng kodok glazuur</t>
        </is>
      </c>
      <c r="C1244" s="3" t="inlineStr">
        <is>
          <t>buah</t>
        </is>
      </c>
      <c r="D1244" s="15" t="n">
        <v>25</v>
      </c>
      <c r="E1244" s="4" t="n">
        <v>5800</v>
      </c>
      <c r="F1244" s="4" t="n">
        <v>145000</v>
      </c>
    </row>
    <row r="1245">
      <c r="D1245" s="2" t="inlineStr">
        <is>
          <t>SUBTOTAL UPAH</t>
        </is>
      </c>
      <c r="F1245" s="16" t="n">
        <v>27687.5</v>
      </c>
    </row>
    <row r="1246">
      <c r="D1246" s="2" t="inlineStr">
        <is>
          <t>SUBTOTAL BAHAN</t>
        </is>
      </c>
      <c r="F1246" s="16" t="n">
        <v>145000</v>
      </c>
    </row>
    <row r="1247">
      <c r="D1247" s="2" t="inlineStr">
        <is>
          <t>SUBTOTAL ALAT</t>
        </is>
      </c>
      <c r="F1247" s="16" t="n">
        <v>0</v>
      </c>
    </row>
    <row r="1248">
      <c r="E1248" s="2" t="inlineStr">
        <is>
          <t>TOTAL HARGA SATUAN (Inc. Overhead)</t>
        </is>
      </c>
      <c r="F1248" s="17" t="n">
        <v>189956</v>
      </c>
    </row>
    <row r="1250">
      <c r="A1250" s="14" t="inlineStr">
        <is>
          <t>KODE: 3.1.1.3 - Pemasangan 1 m2 atap genteng palentong besar</t>
        </is>
      </c>
    </row>
    <row r="1251">
      <c r="A1251" s="10" t="inlineStr">
        <is>
          <t>No</t>
        </is>
      </c>
      <c r="B1251" s="10" t="inlineStr">
        <is>
          <t>Uraian Komponen</t>
        </is>
      </c>
      <c r="C1251" s="10" t="inlineStr">
        <is>
          <t>Satuan</t>
        </is>
      </c>
      <c r="D1251" s="10" t="inlineStr">
        <is>
          <t>Koef</t>
        </is>
      </c>
      <c r="E1251" s="10" t="inlineStr">
        <is>
          <t>Harga Satuan (Rp)</t>
        </is>
      </c>
      <c r="F1251" s="10" t="inlineStr">
        <is>
          <t>Jumlah Harga (Rp)</t>
        </is>
      </c>
    </row>
    <row r="1252">
      <c r="A1252" s="3" t="inlineStr">
        <is>
          <t>1</t>
        </is>
      </c>
      <c r="B1252" s="3" t="inlineStr">
        <is>
          <t>Pekerja</t>
        </is>
      </c>
      <c r="C1252" s="3" t="inlineStr">
        <is>
          <t>OH</t>
        </is>
      </c>
      <c r="D1252" s="15" t="n">
        <v>0.15</v>
      </c>
      <c r="E1252" s="4" t="n">
        <v>100000</v>
      </c>
      <c r="F1252" s="4" t="n">
        <v>15000</v>
      </c>
    </row>
    <row r="1253">
      <c r="A1253" s="3" t="inlineStr">
        <is>
          <t>2</t>
        </is>
      </c>
      <c r="B1253" s="3" t="inlineStr">
        <is>
          <t>Tukang kayu</t>
        </is>
      </c>
      <c r="C1253" s="3" t="inlineStr">
        <is>
          <t>OH</t>
        </is>
      </c>
      <c r="D1253" s="15" t="n">
        <v>0.075</v>
      </c>
      <c r="E1253" s="4" t="n">
        <v>145000</v>
      </c>
      <c r="F1253" s="4" t="n">
        <v>10875</v>
      </c>
    </row>
    <row r="1254">
      <c r="A1254" s="3" t="inlineStr">
        <is>
          <t>3</t>
        </is>
      </c>
      <c r="B1254" s="3" t="inlineStr">
        <is>
          <t>Kepala tukang</t>
        </is>
      </c>
      <c r="C1254" s="3" t="inlineStr">
        <is>
          <t>OH</t>
        </is>
      </c>
      <c r="D1254" s="15" t="n">
        <v>0.0075</v>
      </c>
      <c r="E1254" s="4" t="n">
        <v>175000</v>
      </c>
      <c r="F1254" s="4" t="n">
        <v>1312.5</v>
      </c>
    </row>
    <row r="1255">
      <c r="A1255" s="3" t="inlineStr">
        <is>
          <t>4</t>
        </is>
      </c>
      <c r="B1255" s="3" t="inlineStr">
        <is>
          <t>Mandor</t>
        </is>
      </c>
      <c r="C1255" s="3" t="inlineStr">
        <is>
          <t>OH</t>
        </is>
      </c>
      <c r="D1255" s="15" t="n">
        <v>0.0025</v>
      </c>
      <c r="E1255" s="4" t="n">
        <v>200000</v>
      </c>
      <c r="F1255" s="4" t="n">
        <v>500</v>
      </c>
    </row>
    <row r="1256">
      <c r="A1256" s="3" t="inlineStr">
        <is>
          <t>1</t>
        </is>
      </c>
      <c r="B1256" s="3" t="inlineStr">
        <is>
          <t>Genteng palentong super</t>
        </is>
      </c>
      <c r="C1256" s="3" t="inlineStr">
        <is>
          <t>buah</t>
        </is>
      </c>
      <c r="D1256" s="15" t="n">
        <v>12</v>
      </c>
      <c r="E1256" s="4" t="n">
        <v>5300</v>
      </c>
      <c r="F1256" s="4" t="n">
        <v>63600</v>
      </c>
    </row>
    <row r="1257">
      <c r="D1257" s="2" t="inlineStr">
        <is>
          <t>SUBTOTAL UPAH</t>
        </is>
      </c>
      <c r="F1257" s="16" t="n">
        <v>27687.5</v>
      </c>
    </row>
    <row r="1258">
      <c r="D1258" s="2" t="inlineStr">
        <is>
          <t>SUBTOTAL BAHAN</t>
        </is>
      </c>
      <c r="F1258" s="16" t="n">
        <v>63600</v>
      </c>
    </row>
    <row r="1259">
      <c r="D1259" s="2" t="inlineStr">
        <is>
          <t>SUBTOTAL ALAT</t>
        </is>
      </c>
      <c r="F1259" s="16" t="n">
        <v>0</v>
      </c>
    </row>
    <row r="1260">
      <c r="E1260" s="2" t="inlineStr">
        <is>
          <t>TOTAL HARGA SATUAN (Inc. Overhead)</t>
        </is>
      </c>
      <c r="F1260" s="17" t="n">
        <v>100416</v>
      </c>
    </row>
    <row r="1262">
      <c r="A1262" s="14" t="inlineStr">
        <is>
          <t>KODE: 3.1.1.4 - Pemasangan 1 m2 atap genteng beton</t>
        </is>
      </c>
    </row>
    <row r="1263">
      <c r="A1263" s="10" t="inlineStr">
        <is>
          <t>No</t>
        </is>
      </c>
      <c r="B1263" s="10" t="inlineStr">
        <is>
          <t>Uraian Komponen</t>
        </is>
      </c>
      <c r="C1263" s="10" t="inlineStr">
        <is>
          <t>Satuan</t>
        </is>
      </c>
      <c r="D1263" s="10" t="inlineStr">
        <is>
          <t>Koef</t>
        </is>
      </c>
      <c r="E1263" s="10" t="inlineStr">
        <is>
          <t>Harga Satuan (Rp)</t>
        </is>
      </c>
      <c r="F1263" s="10" t="inlineStr">
        <is>
          <t>Jumlah Harga (Rp)</t>
        </is>
      </c>
    </row>
    <row r="1264">
      <c r="A1264" s="3" t="inlineStr">
        <is>
          <t>1</t>
        </is>
      </c>
      <c r="B1264" s="3" t="inlineStr">
        <is>
          <t>Pekerja</t>
        </is>
      </c>
      <c r="C1264" s="3" t="inlineStr">
        <is>
          <t>OH</t>
        </is>
      </c>
      <c r="D1264" s="15" t="n">
        <v>0.2</v>
      </c>
      <c r="E1264" s="4" t="n">
        <v>100000</v>
      </c>
      <c r="F1264" s="4" t="n">
        <v>20000</v>
      </c>
    </row>
    <row r="1265">
      <c r="A1265" s="3" t="inlineStr">
        <is>
          <t>2</t>
        </is>
      </c>
      <c r="B1265" s="3" t="inlineStr">
        <is>
          <t>Tukang kayu</t>
        </is>
      </c>
      <c r="C1265" s="3" t="inlineStr">
        <is>
          <t>OH</t>
        </is>
      </c>
      <c r="D1265" s="15" t="n">
        <v>0.1</v>
      </c>
      <c r="E1265" s="4" t="n">
        <v>145000</v>
      </c>
      <c r="F1265" s="4" t="n">
        <v>14500</v>
      </c>
    </row>
    <row r="1266">
      <c r="A1266" s="3" t="inlineStr">
        <is>
          <t>3</t>
        </is>
      </c>
      <c r="B1266" s="3" t="inlineStr">
        <is>
          <t>Kepala tukang</t>
        </is>
      </c>
      <c r="C1266" s="3" t="inlineStr">
        <is>
          <t>OH</t>
        </is>
      </c>
      <c r="D1266" s="15" t="n">
        <v>0.01</v>
      </c>
      <c r="E1266" s="4" t="n">
        <v>175000</v>
      </c>
      <c r="F1266" s="4" t="n">
        <v>1750</v>
      </c>
    </row>
    <row r="1267">
      <c r="A1267" s="3" t="inlineStr">
        <is>
          <t>4</t>
        </is>
      </c>
      <c r="B1267" s="3" t="inlineStr">
        <is>
          <t>Mandor</t>
        </is>
      </c>
      <c r="C1267" s="3" t="inlineStr">
        <is>
          <t>OH</t>
        </is>
      </c>
      <c r="D1267" s="15" t="n">
        <v>0.0033</v>
      </c>
      <c r="E1267" s="4" t="n">
        <v>200000</v>
      </c>
      <c r="F1267" s="4" t="n">
        <v>660</v>
      </c>
    </row>
    <row r="1268">
      <c r="A1268" s="3" t="inlineStr">
        <is>
          <t>1</t>
        </is>
      </c>
      <c r="B1268" s="3" t="inlineStr">
        <is>
          <t>Genteng beton</t>
        </is>
      </c>
      <c r="C1268" s="3" t="inlineStr">
        <is>
          <t>buah</t>
        </is>
      </c>
      <c r="D1268" s="15" t="n">
        <v>11</v>
      </c>
      <c r="E1268" s="4" t="n">
        <v>6800</v>
      </c>
      <c r="F1268" s="4" t="n">
        <v>74800</v>
      </c>
    </row>
    <row r="1269">
      <c r="A1269" s="3" t="inlineStr">
        <is>
          <t>2</t>
        </is>
      </c>
      <c r="B1269" s="3" t="inlineStr">
        <is>
          <t>Paku biasa 5 inchi</t>
        </is>
      </c>
      <c r="C1269" s="3" t="inlineStr">
        <is>
          <t>kg</t>
        </is>
      </c>
      <c r="D1269" s="15" t="n">
        <v>0.03</v>
      </c>
      <c r="E1269" s="4" t="n">
        <v>20000</v>
      </c>
      <c r="F1269" s="4" t="n">
        <v>600</v>
      </c>
    </row>
    <row r="1270">
      <c r="D1270" s="2" t="inlineStr">
        <is>
          <t>SUBTOTAL UPAH</t>
        </is>
      </c>
      <c r="F1270" s="16" t="n">
        <v>36910</v>
      </c>
    </row>
    <row r="1271">
      <c r="D1271" s="2" t="inlineStr">
        <is>
          <t>SUBTOTAL BAHAN</t>
        </is>
      </c>
      <c r="F1271" s="16" t="n">
        <v>75400</v>
      </c>
    </row>
    <row r="1272">
      <c r="D1272" s="2" t="inlineStr">
        <is>
          <t>SUBTOTAL ALAT</t>
        </is>
      </c>
      <c r="F1272" s="16" t="n">
        <v>0</v>
      </c>
    </row>
    <row r="1273">
      <c r="E1273" s="2" t="inlineStr">
        <is>
          <t>TOTAL HARGA SATUAN (Inc. Overhead)</t>
        </is>
      </c>
      <c r="F1273" s="17" t="n">
        <v>123541</v>
      </c>
    </row>
    <row r="1275">
      <c r="A1275" s="14" t="inlineStr">
        <is>
          <t>KODE: 3.1.1.5 - Pemasangan 1 m' Nok/bubung genteng palentong kecil</t>
        </is>
      </c>
    </row>
    <row r="1276">
      <c r="A1276" s="10" t="inlineStr">
        <is>
          <t>No</t>
        </is>
      </c>
      <c r="B1276" s="10" t="inlineStr">
        <is>
          <t>Uraian Komponen</t>
        </is>
      </c>
      <c r="C1276" s="10" t="inlineStr">
        <is>
          <t>Satuan</t>
        </is>
      </c>
      <c r="D1276" s="10" t="inlineStr">
        <is>
          <t>Koef</t>
        </is>
      </c>
      <c r="E1276" s="10" t="inlineStr">
        <is>
          <t>Harga Satuan (Rp)</t>
        </is>
      </c>
      <c r="F1276" s="10" t="inlineStr">
        <is>
          <t>Jumlah Harga (Rp)</t>
        </is>
      </c>
    </row>
    <row r="1277">
      <c r="A1277" s="3" t="inlineStr">
        <is>
          <t>1</t>
        </is>
      </c>
      <c r="B1277" s="3" t="inlineStr">
        <is>
          <t>Pekerja</t>
        </is>
      </c>
      <c r="C1277" s="3" t="inlineStr">
        <is>
          <t>OH</t>
        </is>
      </c>
      <c r="D1277" s="15" t="n">
        <v>0.4</v>
      </c>
      <c r="E1277" s="4" t="n">
        <v>100000</v>
      </c>
      <c r="F1277" s="4" t="n">
        <v>40000</v>
      </c>
    </row>
    <row r="1278">
      <c r="A1278" s="3" t="inlineStr">
        <is>
          <t>2</t>
        </is>
      </c>
      <c r="B1278" s="3" t="inlineStr">
        <is>
          <t>Tukang kayu</t>
        </is>
      </c>
      <c r="C1278" s="3" t="inlineStr">
        <is>
          <t>OH</t>
        </is>
      </c>
      <c r="D1278" s="15" t="n">
        <v>0.2</v>
      </c>
      <c r="E1278" s="4" t="n">
        <v>145000</v>
      </c>
      <c r="F1278" s="4" t="n">
        <v>29000</v>
      </c>
    </row>
    <row r="1279">
      <c r="A1279" s="3" t="inlineStr">
        <is>
          <t>3</t>
        </is>
      </c>
      <c r="B1279" s="3" t="inlineStr">
        <is>
          <t>Kepala tukang</t>
        </is>
      </c>
      <c r="C1279" s="3" t="inlineStr">
        <is>
          <t>OH</t>
        </is>
      </c>
      <c r="D1279" s="15" t="n">
        <v>0.02</v>
      </c>
      <c r="E1279" s="4" t="n">
        <v>175000</v>
      </c>
      <c r="F1279" s="4" t="n">
        <v>3500</v>
      </c>
    </row>
    <row r="1280">
      <c r="A1280" s="3" t="inlineStr">
        <is>
          <t>4</t>
        </is>
      </c>
      <c r="B1280" s="3" t="inlineStr">
        <is>
          <t>Mandor</t>
        </is>
      </c>
      <c r="C1280" s="3" t="inlineStr">
        <is>
          <t>OH</t>
        </is>
      </c>
      <c r="D1280" s="15" t="n">
        <v>0.0067</v>
      </c>
      <c r="E1280" s="4" t="n">
        <v>200000</v>
      </c>
      <c r="F1280" s="4" t="n">
        <v>1340</v>
      </c>
    </row>
    <row r="1281">
      <c r="A1281" s="3" t="inlineStr">
        <is>
          <t>1</t>
        </is>
      </c>
      <c r="B1281" s="3" t="inlineStr">
        <is>
          <t>Bubung genteng palentong</t>
        </is>
      </c>
      <c r="C1281" s="3" t="inlineStr">
        <is>
          <t>buah</t>
        </is>
      </c>
      <c r="D1281" s="15" t="n">
        <v>5</v>
      </c>
      <c r="E1281" s="4" t="n">
        <v>10700</v>
      </c>
      <c r="F1281" s="4" t="n">
        <v>53500</v>
      </c>
    </row>
    <row r="1282">
      <c r="A1282" s="3" t="inlineStr">
        <is>
          <t>2</t>
        </is>
      </c>
      <c r="B1282" s="3" t="inlineStr">
        <is>
          <t>Semen portland (PC)</t>
        </is>
      </c>
      <c r="C1282" s="3" t="inlineStr">
        <is>
          <t>kg</t>
        </is>
      </c>
      <c r="D1282" s="15" t="n">
        <v>8</v>
      </c>
      <c r="E1282" s="4" t="n">
        <v>1300</v>
      </c>
      <c r="F1282" s="4" t="n">
        <v>10400</v>
      </c>
    </row>
    <row r="1283">
      <c r="A1283" s="3" t="inlineStr">
        <is>
          <t>3</t>
        </is>
      </c>
      <c r="B1283" s="3" t="inlineStr">
        <is>
          <t>Pasir pasang (quarry - lokasi pekerjaan)</t>
        </is>
      </c>
      <c r="C1283" s="3" t="inlineStr">
        <is>
          <t>m3</t>
        </is>
      </c>
      <c r="D1283" s="15" t="n">
        <v>0.032</v>
      </c>
      <c r="E1283" s="4" t="n">
        <v>275000</v>
      </c>
      <c r="F1283" s="4" t="n">
        <v>8800</v>
      </c>
    </row>
    <row r="1284">
      <c r="D1284" s="2" t="inlineStr">
        <is>
          <t>SUBTOTAL UPAH</t>
        </is>
      </c>
      <c r="F1284" s="16" t="n">
        <v>73840</v>
      </c>
    </row>
    <row r="1285">
      <c r="D1285" s="2" t="inlineStr">
        <is>
          <t>SUBTOTAL BAHAN</t>
        </is>
      </c>
      <c r="F1285" s="16" t="n">
        <v>72700</v>
      </c>
    </row>
    <row r="1286">
      <c r="D1286" s="2" t="inlineStr">
        <is>
          <t>SUBTOTAL ALAT</t>
        </is>
      </c>
      <c r="F1286" s="16" t="n">
        <v>0</v>
      </c>
    </row>
    <row r="1287">
      <c r="E1287" s="2" t="inlineStr">
        <is>
          <t>TOTAL HARGA SATUAN (Inc. Overhead)</t>
        </is>
      </c>
      <c r="F1287" s="17" t="n">
        <v>161194</v>
      </c>
    </row>
    <row r="1289">
      <c r="A1289" s="14" t="inlineStr">
        <is>
          <t>KODE: 3.1.1.6 - Pemasangan 1 m' Nok/bubung genteng kodok glazuur</t>
        </is>
      </c>
    </row>
    <row r="1290">
      <c r="A1290" s="10" t="inlineStr">
        <is>
          <t>No</t>
        </is>
      </c>
      <c r="B1290" s="10" t="inlineStr">
        <is>
          <t>Uraian Komponen</t>
        </is>
      </c>
      <c r="C1290" s="10" t="inlineStr">
        <is>
          <t>Satuan</t>
        </is>
      </c>
      <c r="D1290" s="10" t="inlineStr">
        <is>
          <t>Koef</t>
        </is>
      </c>
      <c r="E1290" s="10" t="inlineStr">
        <is>
          <t>Harga Satuan (Rp)</t>
        </is>
      </c>
      <c r="F1290" s="10" t="inlineStr">
        <is>
          <t>Jumlah Harga (Rp)</t>
        </is>
      </c>
    </row>
    <row r="1291">
      <c r="A1291" s="3" t="inlineStr">
        <is>
          <t>1</t>
        </is>
      </c>
      <c r="B1291" s="3" t="inlineStr">
        <is>
          <t>Pekerja</t>
        </is>
      </c>
      <c r="C1291" s="3" t="inlineStr">
        <is>
          <t>OH</t>
        </is>
      </c>
      <c r="D1291" s="15" t="n">
        <v>0.4</v>
      </c>
      <c r="E1291" s="4" t="n">
        <v>100000</v>
      </c>
      <c r="F1291" s="4" t="n">
        <v>40000</v>
      </c>
    </row>
    <row r="1292">
      <c r="A1292" s="3" t="inlineStr">
        <is>
          <t>2</t>
        </is>
      </c>
      <c r="B1292" s="3" t="inlineStr">
        <is>
          <t>Tukang kayu</t>
        </is>
      </c>
      <c r="C1292" s="3" t="inlineStr">
        <is>
          <t>OH</t>
        </is>
      </c>
      <c r="D1292" s="15" t="n">
        <v>0.2</v>
      </c>
      <c r="E1292" s="4" t="n">
        <v>145000</v>
      </c>
      <c r="F1292" s="4" t="n">
        <v>29000</v>
      </c>
    </row>
    <row r="1293">
      <c r="A1293" s="3" t="inlineStr">
        <is>
          <t>3</t>
        </is>
      </c>
      <c r="B1293" s="3" t="inlineStr">
        <is>
          <t>Kepala tukang</t>
        </is>
      </c>
      <c r="C1293" s="3" t="inlineStr">
        <is>
          <t>OH</t>
        </is>
      </c>
      <c r="D1293" s="15" t="n">
        <v>0.02</v>
      </c>
      <c r="E1293" s="4" t="n">
        <v>175000</v>
      </c>
      <c r="F1293" s="4" t="n">
        <v>3500</v>
      </c>
    </row>
    <row r="1294">
      <c r="A1294" s="3" t="inlineStr">
        <is>
          <t>4</t>
        </is>
      </c>
      <c r="B1294" s="3" t="inlineStr">
        <is>
          <t>Mandor</t>
        </is>
      </c>
      <c r="C1294" s="3" t="inlineStr">
        <is>
          <t>OH</t>
        </is>
      </c>
      <c r="D1294" s="15" t="n">
        <v>0.0067</v>
      </c>
      <c r="E1294" s="4" t="n">
        <v>200000</v>
      </c>
      <c r="F1294" s="4" t="n">
        <v>1340</v>
      </c>
    </row>
    <row r="1295">
      <c r="A1295" s="3" t="inlineStr">
        <is>
          <t>1</t>
        </is>
      </c>
      <c r="B1295" s="3" t="inlineStr">
        <is>
          <t>Bubung genteng kodok</t>
        </is>
      </c>
      <c r="C1295" s="3" t="inlineStr">
        <is>
          <t>buah</t>
        </is>
      </c>
      <c r="D1295" s="15" t="n">
        <v>5</v>
      </c>
      <c r="E1295" s="4" t="n">
        <v>8600</v>
      </c>
      <c r="F1295" s="4" t="n">
        <v>43000</v>
      </c>
    </row>
    <row r="1296">
      <c r="A1296" s="3" t="inlineStr">
        <is>
          <t>2</t>
        </is>
      </c>
      <c r="B1296" s="3" t="inlineStr">
        <is>
          <t>Semen portland (PC)</t>
        </is>
      </c>
      <c r="C1296" s="3" t="inlineStr">
        <is>
          <t>kg</t>
        </is>
      </c>
      <c r="D1296" s="15" t="n">
        <v>8</v>
      </c>
      <c r="E1296" s="4" t="n">
        <v>1300</v>
      </c>
      <c r="F1296" s="4" t="n">
        <v>10400</v>
      </c>
    </row>
    <row r="1297">
      <c r="A1297" s="3" t="inlineStr">
        <is>
          <t>3</t>
        </is>
      </c>
      <c r="B1297" s="3" t="inlineStr">
        <is>
          <t>Pasir pasang (quarry - lokasi pekerjaan)</t>
        </is>
      </c>
      <c r="C1297" s="3" t="inlineStr">
        <is>
          <t>m3</t>
        </is>
      </c>
      <c r="D1297" s="15" t="n">
        <v>0.032</v>
      </c>
      <c r="E1297" s="4" t="n">
        <v>275000</v>
      </c>
      <c r="F1297" s="4" t="n">
        <v>8800</v>
      </c>
    </row>
    <row r="1298">
      <c r="D1298" s="2" t="inlineStr">
        <is>
          <t>SUBTOTAL UPAH</t>
        </is>
      </c>
      <c r="F1298" s="16" t="n">
        <v>73840</v>
      </c>
    </row>
    <row r="1299">
      <c r="D1299" s="2" t="inlineStr">
        <is>
          <t>SUBTOTAL BAHAN</t>
        </is>
      </c>
      <c r="F1299" s="16" t="n">
        <v>62200</v>
      </c>
    </row>
    <row r="1300">
      <c r="D1300" s="2" t="inlineStr">
        <is>
          <t>SUBTOTAL ALAT</t>
        </is>
      </c>
      <c r="F1300" s="16" t="n">
        <v>0</v>
      </c>
    </row>
    <row r="1301">
      <c r="E1301" s="2" t="inlineStr">
        <is>
          <t>TOTAL HARGA SATUAN (Inc. Overhead)</t>
        </is>
      </c>
      <c r="F1301" s="17" t="n">
        <v>149644</v>
      </c>
    </row>
    <row r="1303">
      <c r="A1303" s="14" t="inlineStr">
        <is>
          <t>KODE: 3.1.1.7 - Pemasangan 1 m' Nok/bubung genteng palentong besar</t>
        </is>
      </c>
    </row>
    <row r="1304">
      <c r="A1304" s="10" t="inlineStr">
        <is>
          <t>No</t>
        </is>
      </c>
      <c r="B1304" s="10" t="inlineStr">
        <is>
          <t>Uraian Komponen</t>
        </is>
      </c>
      <c r="C1304" s="10" t="inlineStr">
        <is>
          <t>Satuan</t>
        </is>
      </c>
      <c r="D1304" s="10" t="inlineStr">
        <is>
          <t>Koef</t>
        </is>
      </c>
      <c r="E1304" s="10" t="inlineStr">
        <is>
          <t>Harga Satuan (Rp)</t>
        </is>
      </c>
      <c r="F1304" s="10" t="inlineStr">
        <is>
          <t>Jumlah Harga (Rp)</t>
        </is>
      </c>
    </row>
    <row r="1305">
      <c r="A1305" s="3" t="inlineStr">
        <is>
          <t>1</t>
        </is>
      </c>
      <c r="B1305" s="3" t="inlineStr">
        <is>
          <t>Pekerja</t>
        </is>
      </c>
      <c r="C1305" s="3" t="inlineStr">
        <is>
          <t>OH</t>
        </is>
      </c>
      <c r="D1305" s="15" t="n">
        <v>0.4</v>
      </c>
      <c r="E1305" s="4" t="n">
        <v>100000</v>
      </c>
      <c r="F1305" s="4" t="n">
        <v>40000</v>
      </c>
    </row>
    <row r="1306">
      <c r="A1306" s="3" t="inlineStr">
        <is>
          <t>2</t>
        </is>
      </c>
      <c r="B1306" s="3" t="inlineStr">
        <is>
          <t>Tukang kayu</t>
        </is>
      </c>
      <c r="C1306" s="3" t="inlineStr">
        <is>
          <t>OH</t>
        </is>
      </c>
      <c r="D1306" s="15" t="n">
        <v>0.2</v>
      </c>
      <c r="E1306" s="4" t="n">
        <v>145000</v>
      </c>
      <c r="F1306" s="4" t="n">
        <v>29000</v>
      </c>
    </row>
    <row r="1307">
      <c r="A1307" s="3" t="inlineStr">
        <is>
          <t>3</t>
        </is>
      </c>
      <c r="B1307" s="3" t="inlineStr">
        <is>
          <t>Kepala tukang</t>
        </is>
      </c>
      <c r="C1307" s="3" t="inlineStr">
        <is>
          <t>OH</t>
        </is>
      </c>
      <c r="D1307" s="15" t="n">
        <v>0.02</v>
      </c>
      <c r="E1307" s="4" t="n">
        <v>175000</v>
      </c>
      <c r="F1307" s="4" t="n">
        <v>3500</v>
      </c>
    </row>
    <row r="1308">
      <c r="A1308" s="3" t="inlineStr">
        <is>
          <t>4</t>
        </is>
      </c>
      <c r="B1308" s="3" t="inlineStr">
        <is>
          <t>Mandor</t>
        </is>
      </c>
      <c r="C1308" s="3" t="inlineStr">
        <is>
          <t>OH</t>
        </is>
      </c>
      <c r="D1308" s="15" t="n">
        <v>0.0067</v>
      </c>
      <c r="E1308" s="4" t="n">
        <v>200000</v>
      </c>
      <c r="F1308" s="4" t="n">
        <v>1340</v>
      </c>
    </row>
    <row r="1309">
      <c r="A1309" s="3" t="inlineStr">
        <is>
          <t>1</t>
        </is>
      </c>
      <c r="B1309" s="3" t="inlineStr">
        <is>
          <t>Bubung genteng palentong</t>
        </is>
      </c>
      <c r="C1309" s="3" t="inlineStr">
        <is>
          <t>buah</t>
        </is>
      </c>
      <c r="D1309" s="15" t="n">
        <v>4</v>
      </c>
      <c r="E1309" s="4" t="n">
        <v>10700</v>
      </c>
      <c r="F1309" s="4" t="n">
        <v>42800</v>
      </c>
    </row>
    <row r="1310">
      <c r="A1310" s="3" t="inlineStr">
        <is>
          <t>2</t>
        </is>
      </c>
      <c r="B1310" s="3" t="inlineStr">
        <is>
          <t>Semen portland (PC)</t>
        </is>
      </c>
      <c r="C1310" s="3" t="inlineStr">
        <is>
          <t>kg</t>
        </is>
      </c>
      <c r="D1310" s="15" t="n">
        <v>8</v>
      </c>
      <c r="E1310" s="4" t="n">
        <v>1300</v>
      </c>
      <c r="F1310" s="4" t="n">
        <v>10400</v>
      </c>
    </row>
    <row r="1311">
      <c r="A1311" s="3" t="inlineStr">
        <is>
          <t>3</t>
        </is>
      </c>
      <c r="B1311" s="3" t="inlineStr">
        <is>
          <t>Pasir pasang (quarry - lokasi pekerjaan)</t>
        </is>
      </c>
      <c r="C1311" s="3" t="inlineStr">
        <is>
          <t>m3</t>
        </is>
      </c>
      <c r="D1311" s="15" t="n">
        <v>0.032</v>
      </c>
      <c r="E1311" s="4" t="n">
        <v>275000</v>
      </c>
      <c r="F1311" s="4" t="n">
        <v>8800</v>
      </c>
    </row>
    <row r="1312">
      <c r="D1312" s="2" t="inlineStr">
        <is>
          <t>SUBTOTAL UPAH</t>
        </is>
      </c>
      <c r="F1312" s="16" t="n">
        <v>73840</v>
      </c>
    </row>
    <row r="1313">
      <c r="D1313" s="2" t="inlineStr">
        <is>
          <t>SUBTOTAL BAHAN</t>
        </is>
      </c>
      <c r="F1313" s="16" t="n">
        <v>62000</v>
      </c>
    </row>
    <row r="1314">
      <c r="D1314" s="2" t="inlineStr">
        <is>
          <t>SUBTOTAL ALAT</t>
        </is>
      </c>
      <c r="F1314" s="16" t="n">
        <v>0</v>
      </c>
    </row>
    <row r="1315">
      <c r="E1315" s="2" t="inlineStr">
        <is>
          <t>TOTAL HARGA SATUAN (Inc. Overhead)</t>
        </is>
      </c>
      <c r="F1315" s="17" t="n">
        <v>149424</v>
      </c>
    </row>
    <row r="1317">
      <c r="A1317" s="14" t="inlineStr">
        <is>
          <t>KODE: 3.1.1.8 - Pemasangan 1 m' Nok/bubung genteng beton</t>
        </is>
      </c>
    </row>
    <row r="1318">
      <c r="A1318" s="10" t="inlineStr">
        <is>
          <t>No</t>
        </is>
      </c>
      <c r="B1318" s="10" t="inlineStr">
        <is>
          <t>Uraian Komponen</t>
        </is>
      </c>
      <c r="C1318" s="10" t="inlineStr">
        <is>
          <t>Satuan</t>
        </is>
      </c>
      <c r="D1318" s="10" t="inlineStr">
        <is>
          <t>Koef</t>
        </is>
      </c>
      <c r="E1318" s="10" t="inlineStr">
        <is>
          <t>Harga Satuan (Rp)</t>
        </is>
      </c>
      <c r="F1318" s="10" t="inlineStr">
        <is>
          <t>Jumlah Harga (Rp)</t>
        </is>
      </c>
    </row>
    <row r="1319">
      <c r="A1319" s="3" t="inlineStr">
        <is>
          <t>1</t>
        </is>
      </c>
      <c r="B1319" s="3" t="inlineStr">
        <is>
          <t>Pekerja</t>
        </is>
      </c>
      <c r="C1319" s="3" t="inlineStr">
        <is>
          <t>OH</t>
        </is>
      </c>
      <c r="D1319" s="15" t="n">
        <v>0.4</v>
      </c>
      <c r="E1319" s="4" t="n">
        <v>100000</v>
      </c>
      <c r="F1319" s="4" t="n">
        <v>40000</v>
      </c>
    </row>
    <row r="1320">
      <c r="A1320" s="3" t="inlineStr">
        <is>
          <t>2</t>
        </is>
      </c>
      <c r="B1320" s="3" t="inlineStr">
        <is>
          <t>Tukang kayu</t>
        </is>
      </c>
      <c r="C1320" s="3" t="inlineStr">
        <is>
          <t>OH</t>
        </is>
      </c>
      <c r="D1320" s="15" t="n">
        <v>0.2</v>
      </c>
      <c r="E1320" s="4" t="n">
        <v>145000</v>
      </c>
      <c r="F1320" s="4" t="n">
        <v>29000</v>
      </c>
    </row>
    <row r="1321">
      <c r="A1321" s="3" t="inlineStr">
        <is>
          <t>3</t>
        </is>
      </c>
      <c r="B1321" s="3" t="inlineStr">
        <is>
          <t>Kepala tukang</t>
        </is>
      </c>
      <c r="C1321" s="3" t="inlineStr">
        <is>
          <t>OH</t>
        </is>
      </c>
      <c r="D1321" s="15" t="n">
        <v>0.02</v>
      </c>
      <c r="E1321" s="4" t="n">
        <v>175000</v>
      </c>
      <c r="F1321" s="4" t="n">
        <v>3500</v>
      </c>
    </row>
    <row r="1322">
      <c r="A1322" s="3" t="inlineStr">
        <is>
          <t>4</t>
        </is>
      </c>
      <c r="B1322" s="3" t="inlineStr">
        <is>
          <t>Mandor</t>
        </is>
      </c>
      <c r="C1322" s="3" t="inlineStr">
        <is>
          <t>OH</t>
        </is>
      </c>
      <c r="D1322" s="15" t="n">
        <v>0.0067</v>
      </c>
      <c r="E1322" s="4" t="n">
        <v>200000</v>
      </c>
      <c r="F1322" s="4" t="n">
        <v>1340</v>
      </c>
    </row>
    <row r="1323">
      <c r="A1323" s="3" t="inlineStr">
        <is>
          <t>1</t>
        </is>
      </c>
      <c r="B1323" s="3" t="inlineStr">
        <is>
          <t>Nok genteng beton</t>
        </is>
      </c>
      <c r="C1323" s="3" t="inlineStr">
        <is>
          <t>buah</t>
        </is>
      </c>
      <c r="D1323" s="15" t="n">
        <v>3.5</v>
      </c>
      <c r="E1323" s="4" t="n">
        <v>9600</v>
      </c>
      <c r="F1323" s="4" t="n">
        <v>33600</v>
      </c>
    </row>
    <row r="1324">
      <c r="A1324" s="3" t="inlineStr">
        <is>
          <t>2</t>
        </is>
      </c>
      <c r="B1324" s="3" t="inlineStr">
        <is>
          <t>Paku 1 inch</t>
        </is>
      </c>
      <c r="C1324" s="3" t="inlineStr">
        <is>
          <t>kg</t>
        </is>
      </c>
      <c r="D1324" s="15" t="n">
        <v>0.05</v>
      </c>
      <c r="E1324" s="4" t="n">
        <v>15000</v>
      </c>
      <c r="F1324" s="4" t="n">
        <v>750</v>
      </c>
    </row>
    <row r="1325">
      <c r="A1325" s="3" t="inlineStr">
        <is>
          <t>3</t>
        </is>
      </c>
      <c r="B1325" s="3" t="inlineStr">
        <is>
          <t>Semen portland (PC)</t>
        </is>
      </c>
      <c r="C1325" s="3" t="inlineStr">
        <is>
          <t>kg</t>
        </is>
      </c>
      <c r="D1325" s="15" t="n">
        <v>10.8</v>
      </c>
      <c r="E1325" s="4" t="n">
        <v>1300</v>
      </c>
      <c r="F1325" s="4" t="n">
        <v>14040</v>
      </c>
    </row>
    <row r="1326">
      <c r="A1326" s="3" t="inlineStr">
        <is>
          <t>4</t>
        </is>
      </c>
      <c r="B1326" s="3" t="inlineStr">
        <is>
          <t>Pasir pasang (quarry - lokasi pekerjaan)</t>
        </is>
      </c>
      <c r="C1326" s="3" t="inlineStr">
        <is>
          <t>m3</t>
        </is>
      </c>
      <c r="D1326" s="15" t="n">
        <v>0.032</v>
      </c>
      <c r="E1326" s="4" t="n">
        <v>275000</v>
      </c>
      <c r="F1326" s="4" t="n">
        <v>8800</v>
      </c>
    </row>
    <row r="1327">
      <c r="A1327" s="3" t="inlineStr">
        <is>
          <t>5</t>
        </is>
      </c>
      <c r="B1327" s="3" t="inlineStr">
        <is>
          <t>Semen warna</t>
        </is>
      </c>
      <c r="C1327" s="3" t="inlineStr">
        <is>
          <t>kg</t>
        </is>
      </c>
      <c r="D1327" s="15" t="n">
        <v>1</v>
      </c>
      <c r="E1327" s="4" t="n">
        <v>7800</v>
      </c>
      <c r="F1327" s="4" t="n">
        <v>7800</v>
      </c>
    </row>
    <row r="1328">
      <c r="D1328" s="2" t="inlineStr">
        <is>
          <t>SUBTOTAL UPAH</t>
        </is>
      </c>
      <c r="F1328" s="16" t="n">
        <v>73840</v>
      </c>
    </row>
    <row r="1329">
      <c r="D1329" s="2" t="inlineStr">
        <is>
          <t>SUBTOTAL BAHAN</t>
        </is>
      </c>
      <c r="F1329" s="16" t="n">
        <v>64990</v>
      </c>
    </row>
    <row r="1330">
      <c r="D1330" s="2" t="inlineStr">
        <is>
          <t>SUBTOTAL ALAT</t>
        </is>
      </c>
      <c r="F1330" s="16" t="n">
        <v>0</v>
      </c>
    </row>
    <row r="1331">
      <c r="E1331" s="2" t="inlineStr">
        <is>
          <t>TOTAL HARGA SATUAN (Inc. Overhead)</t>
        </is>
      </c>
      <c r="F1331" s="17" t="n">
        <v>152713</v>
      </c>
    </row>
    <row r="1333">
      <c r="A1333" s="14" t="inlineStr">
        <is>
          <t>KODE: 3.1.2.1 - Pemasangan 1 m2 atap serat semen gelombang 92 cm x 250 cm x 5 mm</t>
        </is>
      </c>
    </row>
    <row r="1334">
      <c r="A1334" s="10" t="inlineStr">
        <is>
          <t>No</t>
        </is>
      </c>
      <c r="B1334" s="10" t="inlineStr">
        <is>
          <t>Uraian Komponen</t>
        </is>
      </c>
      <c r="C1334" s="10" t="inlineStr">
        <is>
          <t>Satuan</t>
        </is>
      </c>
      <c r="D1334" s="10" t="inlineStr">
        <is>
          <t>Koef</t>
        </is>
      </c>
      <c r="E1334" s="10" t="inlineStr">
        <is>
          <t>Harga Satuan (Rp)</t>
        </is>
      </c>
      <c r="F1334" s="10" t="inlineStr">
        <is>
          <t>Jumlah Harga (Rp)</t>
        </is>
      </c>
    </row>
    <row r="1335">
      <c r="A1335" s="3" t="inlineStr">
        <is>
          <t>1</t>
        </is>
      </c>
      <c r="B1335" s="3" t="inlineStr">
        <is>
          <t>Pekerja</t>
        </is>
      </c>
      <c r="C1335" s="3" t="inlineStr">
        <is>
          <t>OH</t>
        </is>
      </c>
      <c r="D1335" s="15" t="n">
        <v>0.14</v>
      </c>
      <c r="E1335" s="4" t="n">
        <v>100000</v>
      </c>
      <c r="F1335" s="4" t="n">
        <v>14000</v>
      </c>
    </row>
    <row r="1336">
      <c r="A1336" s="3" t="inlineStr">
        <is>
          <t>2</t>
        </is>
      </c>
      <c r="B1336" s="3" t="inlineStr">
        <is>
          <t>Tukang kayu</t>
        </is>
      </c>
      <c r="C1336" s="3" t="inlineStr">
        <is>
          <t>OH</t>
        </is>
      </c>
      <c r="D1336" s="15" t="n">
        <v>0.075</v>
      </c>
      <c r="E1336" s="4" t="n">
        <v>145000</v>
      </c>
      <c r="F1336" s="4" t="n">
        <v>10875</v>
      </c>
    </row>
    <row r="1337">
      <c r="A1337" s="3" t="inlineStr">
        <is>
          <t>3</t>
        </is>
      </c>
      <c r="B1337" s="3" t="inlineStr">
        <is>
          <t>Kepala tukang</t>
        </is>
      </c>
      <c r="C1337" s="3" t="inlineStr">
        <is>
          <t>OH</t>
        </is>
      </c>
      <c r="D1337" s="15" t="n">
        <v>0.0075</v>
      </c>
      <c r="E1337" s="4" t="n">
        <v>175000</v>
      </c>
      <c r="F1337" s="4" t="n">
        <v>1312.5</v>
      </c>
    </row>
    <row r="1338">
      <c r="A1338" s="3" t="inlineStr">
        <is>
          <t>4</t>
        </is>
      </c>
      <c r="B1338" s="3" t="inlineStr">
        <is>
          <t>Mandor</t>
        </is>
      </c>
      <c r="C1338" s="3" t="inlineStr">
        <is>
          <t>OH</t>
        </is>
      </c>
      <c r="D1338" s="15" t="n">
        <v>0.0025</v>
      </c>
      <c r="E1338" s="4" t="n">
        <v>200000</v>
      </c>
      <c r="F1338" s="4" t="n">
        <v>500</v>
      </c>
    </row>
    <row r="1339">
      <c r="A1339" s="3" t="inlineStr">
        <is>
          <t>1</t>
        </is>
      </c>
      <c r="B1339" s="3" t="inlineStr">
        <is>
          <t>"Asbes gelombang besar 5 mm 250x92 cm"</t>
        </is>
      </c>
      <c r="C1339" s="3" t="inlineStr">
        <is>
          <t>lembar</t>
        </is>
      </c>
      <c r="D1339" s="15" t="n">
        <v>0.5</v>
      </c>
      <c r="E1339" s="4" t="n">
        <v>113400</v>
      </c>
      <c r="F1339" s="4" t="n">
        <v>56700</v>
      </c>
    </row>
    <row r="1340">
      <c r="A1340" s="3" t="inlineStr">
        <is>
          <t>2</t>
        </is>
      </c>
      <c r="B1340" s="3" t="inlineStr">
        <is>
          <t>Paku pancing 6x23</t>
        </is>
      </c>
      <c r="C1340" s="3" t="inlineStr">
        <is>
          <t>kg</t>
        </is>
      </c>
      <c r="D1340" s="15" t="n">
        <v>0.12</v>
      </c>
      <c r="E1340" s="4" t="n">
        <v>19460</v>
      </c>
      <c r="F1340" s="4" t="n">
        <v>2335.2</v>
      </c>
    </row>
    <row r="1341">
      <c r="D1341" s="2" t="inlineStr">
        <is>
          <t>SUBTOTAL UPAH</t>
        </is>
      </c>
      <c r="F1341" s="16" t="n">
        <v>26687.5</v>
      </c>
    </row>
    <row r="1342">
      <c r="D1342" s="2" t="inlineStr">
        <is>
          <t>SUBTOTAL BAHAN</t>
        </is>
      </c>
      <c r="F1342" s="16" t="n">
        <v>59035.2</v>
      </c>
    </row>
    <row r="1343">
      <c r="D1343" s="2" t="inlineStr">
        <is>
          <t>SUBTOTAL ALAT</t>
        </is>
      </c>
      <c r="F1343" s="16" t="n">
        <v>0</v>
      </c>
    </row>
    <row r="1344">
      <c r="E1344" s="2" t="inlineStr">
        <is>
          <t>TOTAL HARGA SATUAN (Inc. Overhead)</t>
        </is>
      </c>
      <c r="F1344" s="17" t="n">
        <v>94294</v>
      </c>
    </row>
    <row r="1346">
      <c r="A1346" s="14" t="inlineStr">
        <is>
          <t>KODE: 3.1.2.2 - Pemasangan 1 m2 atap serat semen gelombang 92 cm x 225 cm x 5 mm</t>
        </is>
      </c>
    </row>
    <row r="1347">
      <c r="A1347" s="10" t="inlineStr">
        <is>
          <t>No</t>
        </is>
      </c>
      <c r="B1347" s="10" t="inlineStr">
        <is>
          <t>Uraian Komponen</t>
        </is>
      </c>
      <c r="C1347" s="10" t="inlineStr">
        <is>
          <t>Satuan</t>
        </is>
      </c>
      <c r="D1347" s="10" t="inlineStr">
        <is>
          <t>Koef</t>
        </is>
      </c>
      <c r="E1347" s="10" t="inlineStr">
        <is>
          <t>Harga Satuan (Rp)</t>
        </is>
      </c>
      <c r="F1347" s="10" t="inlineStr">
        <is>
          <t>Jumlah Harga (Rp)</t>
        </is>
      </c>
    </row>
    <row r="1348">
      <c r="A1348" s="3" t="inlineStr">
        <is>
          <t>1</t>
        </is>
      </c>
      <c r="B1348" s="3" t="inlineStr">
        <is>
          <t>Pekerja</t>
        </is>
      </c>
      <c r="C1348" s="3" t="inlineStr">
        <is>
          <t>OH</t>
        </is>
      </c>
      <c r="D1348" s="15" t="n">
        <v>0.14</v>
      </c>
      <c r="E1348" s="4" t="n">
        <v>100000</v>
      </c>
      <c r="F1348" s="4" t="n">
        <v>14000</v>
      </c>
    </row>
    <row r="1349">
      <c r="A1349" s="3" t="inlineStr">
        <is>
          <t>2</t>
        </is>
      </c>
      <c r="B1349" s="3" t="inlineStr">
        <is>
          <t>Tukang kayu</t>
        </is>
      </c>
      <c r="C1349" s="3" t="inlineStr">
        <is>
          <t>OH</t>
        </is>
      </c>
      <c r="D1349" s="15" t="n">
        <v>0.075</v>
      </c>
      <c r="E1349" s="4" t="n">
        <v>145000</v>
      </c>
      <c r="F1349" s="4" t="n">
        <v>10875</v>
      </c>
    </row>
    <row r="1350">
      <c r="A1350" s="3" t="inlineStr">
        <is>
          <t>3</t>
        </is>
      </c>
      <c r="B1350" s="3" t="inlineStr">
        <is>
          <t>Kepala tukang</t>
        </is>
      </c>
      <c r="C1350" s="3" t="inlineStr">
        <is>
          <t>OH</t>
        </is>
      </c>
      <c r="D1350" s="15" t="n">
        <v>0.0075</v>
      </c>
      <c r="E1350" s="4" t="n">
        <v>175000</v>
      </c>
      <c r="F1350" s="4" t="n">
        <v>1312.5</v>
      </c>
    </row>
    <row r="1351">
      <c r="A1351" s="3" t="inlineStr">
        <is>
          <t>4</t>
        </is>
      </c>
      <c r="B1351" s="3" t="inlineStr">
        <is>
          <t>Mandor</t>
        </is>
      </c>
      <c r="C1351" s="3" t="inlineStr">
        <is>
          <t>OH</t>
        </is>
      </c>
      <c r="D1351" s="15" t="n">
        <v>0.0025</v>
      </c>
      <c r="E1351" s="4" t="n">
        <v>200000</v>
      </c>
      <c r="F1351" s="4" t="n">
        <v>500</v>
      </c>
    </row>
    <row r="1352">
      <c r="A1352" s="3" t="inlineStr">
        <is>
          <t>1</t>
        </is>
      </c>
      <c r="B1352" s="3" t="inlineStr">
        <is>
          <t>"Asbes gelombang besar 5 mm 225x92 cm"</t>
        </is>
      </c>
      <c r="C1352" s="3" t="inlineStr">
        <is>
          <t>lembar</t>
        </is>
      </c>
      <c r="D1352" s="15" t="n">
        <v>0.6</v>
      </c>
      <c r="E1352" s="4" t="n">
        <v>104900</v>
      </c>
      <c r="F1352" s="4" t="n">
        <v>62940</v>
      </c>
    </row>
    <row r="1353">
      <c r="A1353" s="3" t="inlineStr">
        <is>
          <t>2</t>
        </is>
      </c>
      <c r="B1353" s="3" t="inlineStr">
        <is>
          <t>Paku pancing 6x23</t>
        </is>
      </c>
      <c r="C1353" s="3" t="inlineStr">
        <is>
          <t>kg</t>
        </is>
      </c>
      <c r="D1353" s="15" t="n">
        <v>0.12</v>
      </c>
      <c r="E1353" s="4" t="n">
        <v>19460</v>
      </c>
      <c r="F1353" s="4" t="n">
        <v>2335.2</v>
      </c>
    </row>
    <row r="1354">
      <c r="D1354" s="2" t="inlineStr">
        <is>
          <t>SUBTOTAL UPAH</t>
        </is>
      </c>
      <c r="F1354" s="16" t="n">
        <v>26687.5</v>
      </c>
    </row>
    <row r="1355">
      <c r="D1355" s="2" t="inlineStr">
        <is>
          <t>SUBTOTAL BAHAN</t>
        </is>
      </c>
      <c r="F1355" s="16" t="n">
        <v>65275.2</v>
      </c>
    </row>
    <row r="1356">
      <c r="D1356" s="2" t="inlineStr">
        <is>
          <t>SUBTOTAL ALAT</t>
        </is>
      </c>
      <c r="F1356" s="16" t="n">
        <v>0</v>
      </c>
    </row>
    <row r="1357">
      <c r="E1357" s="2" t="inlineStr">
        <is>
          <t>TOTAL HARGA SATUAN (Inc. Overhead)</t>
        </is>
      </c>
      <c r="F1357" s="17" t="n">
        <v>101158</v>
      </c>
    </row>
    <row r="1359">
      <c r="A1359" s="14" t="inlineStr">
        <is>
          <t>KODE: 3.1.2.3 - Pemasangan 1 m2 atap Serat Semen gelombang 92 cm x 200 cm x 5 mm</t>
        </is>
      </c>
    </row>
    <row r="1360">
      <c r="A1360" s="10" t="inlineStr">
        <is>
          <t>No</t>
        </is>
      </c>
      <c r="B1360" s="10" t="inlineStr">
        <is>
          <t>Uraian Komponen</t>
        </is>
      </c>
      <c r="C1360" s="10" t="inlineStr">
        <is>
          <t>Satuan</t>
        </is>
      </c>
      <c r="D1360" s="10" t="inlineStr">
        <is>
          <t>Koef</t>
        </is>
      </c>
      <c r="E1360" s="10" t="inlineStr">
        <is>
          <t>Harga Satuan (Rp)</t>
        </is>
      </c>
      <c r="F1360" s="10" t="inlineStr">
        <is>
          <t>Jumlah Harga (Rp)</t>
        </is>
      </c>
    </row>
    <row r="1361">
      <c r="A1361" s="3" t="inlineStr">
        <is>
          <t>1</t>
        </is>
      </c>
      <c r="B1361" s="3" t="inlineStr">
        <is>
          <t>Pekerja</t>
        </is>
      </c>
      <c r="C1361" s="3" t="inlineStr">
        <is>
          <t>OH</t>
        </is>
      </c>
      <c r="D1361" s="15" t="n">
        <v>0.14</v>
      </c>
      <c r="E1361" s="4" t="n">
        <v>100000</v>
      </c>
      <c r="F1361" s="4" t="n">
        <v>14000</v>
      </c>
    </row>
    <row r="1362">
      <c r="A1362" s="3" t="inlineStr">
        <is>
          <t>2</t>
        </is>
      </c>
      <c r="B1362" s="3" t="inlineStr">
        <is>
          <t>Tukang kayu</t>
        </is>
      </c>
      <c r="C1362" s="3" t="inlineStr">
        <is>
          <t>OH</t>
        </is>
      </c>
      <c r="D1362" s="15" t="n">
        <v>0.07000000000000001</v>
      </c>
      <c r="E1362" s="4" t="n">
        <v>145000</v>
      </c>
      <c r="F1362" s="4" t="n">
        <v>10150</v>
      </c>
    </row>
    <row r="1363">
      <c r="A1363" s="3" t="inlineStr">
        <is>
          <t>3</t>
        </is>
      </c>
      <c r="B1363" s="3" t="inlineStr">
        <is>
          <t>Kepala tukang</t>
        </is>
      </c>
      <c r="C1363" s="3" t="inlineStr">
        <is>
          <t>OH</t>
        </is>
      </c>
      <c r="D1363" s="15" t="n">
        <v>0.007</v>
      </c>
      <c r="E1363" s="4" t="n">
        <v>175000</v>
      </c>
      <c r="F1363" s="4" t="n">
        <v>1225</v>
      </c>
    </row>
    <row r="1364">
      <c r="A1364" s="3" t="inlineStr">
        <is>
          <t>4</t>
        </is>
      </c>
      <c r="B1364" s="3" t="inlineStr">
        <is>
          <t>Mandor</t>
        </is>
      </c>
      <c r="C1364" s="3" t="inlineStr">
        <is>
          <t>OH</t>
        </is>
      </c>
      <c r="D1364" s="15" t="n">
        <v>0.0023</v>
      </c>
      <c r="E1364" s="4" t="n">
        <v>200000</v>
      </c>
      <c r="F1364" s="4" t="n">
        <v>460</v>
      </c>
    </row>
    <row r="1365">
      <c r="A1365" s="3" t="inlineStr">
        <is>
          <t>1</t>
        </is>
      </c>
      <c r="B1365" s="3" t="inlineStr">
        <is>
          <t>"Asbes gelombang besar 5 mm 200x92 cm"</t>
        </is>
      </c>
      <c r="C1365" s="3" t="inlineStr">
        <is>
          <t>lembar</t>
        </is>
      </c>
      <c r="D1365" s="15" t="n">
        <v>0.6</v>
      </c>
      <c r="E1365" s="4" t="n">
        <v>94000</v>
      </c>
      <c r="F1365" s="4" t="n">
        <v>56400</v>
      </c>
    </row>
    <row r="1366">
      <c r="A1366" s="3" t="inlineStr">
        <is>
          <t>2</t>
        </is>
      </c>
      <c r="B1366" s="3" t="inlineStr">
        <is>
          <t>Paku pancing 6x23</t>
        </is>
      </c>
      <c r="C1366" s="3" t="inlineStr">
        <is>
          <t>kg</t>
        </is>
      </c>
      <c r="D1366" s="15" t="n">
        <v>0.12</v>
      </c>
      <c r="E1366" s="4" t="n">
        <v>19460</v>
      </c>
      <c r="F1366" s="4" t="n">
        <v>2335.2</v>
      </c>
    </row>
    <row r="1367">
      <c r="D1367" s="2" t="inlineStr">
        <is>
          <t>SUBTOTAL UPAH</t>
        </is>
      </c>
      <c r="F1367" s="16" t="n">
        <v>25835</v>
      </c>
    </row>
    <row r="1368">
      <c r="D1368" s="2" t="inlineStr">
        <is>
          <t>SUBTOTAL BAHAN</t>
        </is>
      </c>
      <c r="F1368" s="16" t="n">
        <v>58735.2</v>
      </c>
    </row>
    <row r="1369">
      <c r="D1369" s="2" t="inlineStr">
        <is>
          <t>SUBTOTAL ALAT</t>
        </is>
      </c>
      <c r="F1369" s="16" t="n">
        <v>0</v>
      </c>
    </row>
    <row r="1370">
      <c r="E1370" s="2" t="inlineStr">
        <is>
          <t>TOTAL HARGA SATUAN (Inc. Overhead)</t>
        </is>
      </c>
      <c r="F1370" s="17" t="n">
        <v>93027</v>
      </c>
    </row>
    <row r="1372">
      <c r="A1372" s="14" t="inlineStr">
        <is>
          <t>KODE: 3.1.2.4 - Pemasangan 1 m2 atap Serat Semen gelombang 92 cm x 180 cm x 5 mm</t>
        </is>
      </c>
    </row>
    <row r="1373">
      <c r="A1373" s="10" t="inlineStr">
        <is>
          <t>No</t>
        </is>
      </c>
      <c r="B1373" s="10" t="inlineStr">
        <is>
          <t>Uraian Komponen</t>
        </is>
      </c>
      <c r="C1373" s="10" t="inlineStr">
        <is>
          <t>Satuan</t>
        </is>
      </c>
      <c r="D1373" s="10" t="inlineStr">
        <is>
          <t>Koef</t>
        </is>
      </c>
      <c r="E1373" s="10" t="inlineStr">
        <is>
          <t>Harga Satuan (Rp)</t>
        </is>
      </c>
      <c r="F1373" s="10" t="inlineStr">
        <is>
          <t>Jumlah Harga (Rp)</t>
        </is>
      </c>
    </row>
    <row r="1374">
      <c r="A1374" s="3" t="inlineStr">
        <is>
          <t>1</t>
        </is>
      </c>
      <c r="B1374" s="3" t="inlineStr">
        <is>
          <t>Pekerja</t>
        </is>
      </c>
      <c r="C1374" s="3" t="inlineStr">
        <is>
          <t>OH</t>
        </is>
      </c>
      <c r="D1374" s="15" t="n">
        <v>0.14</v>
      </c>
      <c r="E1374" s="4" t="n">
        <v>100000</v>
      </c>
      <c r="F1374" s="4" t="n">
        <v>14000</v>
      </c>
    </row>
    <row r="1375">
      <c r="A1375" s="3" t="inlineStr">
        <is>
          <t>2</t>
        </is>
      </c>
      <c r="B1375" s="3" t="inlineStr">
        <is>
          <t>Tukang kayu</t>
        </is>
      </c>
      <c r="C1375" s="3" t="inlineStr">
        <is>
          <t>OH</t>
        </is>
      </c>
      <c r="D1375" s="15" t="n">
        <v>0.07000000000000001</v>
      </c>
      <c r="E1375" s="4" t="n">
        <v>145000</v>
      </c>
      <c r="F1375" s="4" t="n">
        <v>10150</v>
      </c>
    </row>
    <row r="1376">
      <c r="A1376" s="3" t="inlineStr">
        <is>
          <t>3</t>
        </is>
      </c>
      <c r="B1376" s="3" t="inlineStr">
        <is>
          <t>Kepala tukang</t>
        </is>
      </c>
      <c r="C1376" s="3" t="inlineStr">
        <is>
          <t>OH</t>
        </is>
      </c>
      <c r="D1376" s="15" t="n">
        <v>0.007</v>
      </c>
      <c r="E1376" s="4" t="n">
        <v>175000</v>
      </c>
      <c r="F1376" s="4" t="n">
        <v>1225</v>
      </c>
    </row>
    <row r="1377">
      <c r="A1377" s="3" t="inlineStr">
        <is>
          <t>4</t>
        </is>
      </c>
      <c r="B1377" s="3" t="inlineStr">
        <is>
          <t>Mandor</t>
        </is>
      </c>
      <c r="C1377" s="3" t="inlineStr">
        <is>
          <t>OH</t>
        </is>
      </c>
      <c r="D1377" s="15" t="n">
        <v>0.0023</v>
      </c>
      <c r="E1377" s="4" t="n">
        <v>200000</v>
      </c>
      <c r="F1377" s="4" t="n">
        <v>460</v>
      </c>
    </row>
    <row r="1378">
      <c r="A1378" s="3" t="inlineStr">
        <is>
          <t>1</t>
        </is>
      </c>
      <c r="B1378" s="3" t="inlineStr">
        <is>
          <t>"Asbes gelombang besar 5 mm 180x92 cm"</t>
        </is>
      </c>
      <c r="C1378" s="3" t="inlineStr">
        <is>
          <t>lembar</t>
        </is>
      </c>
      <c r="D1378" s="15" t="n">
        <v>0.75</v>
      </c>
      <c r="E1378" s="4" t="n">
        <v>85500</v>
      </c>
      <c r="F1378" s="4" t="n">
        <v>64125</v>
      </c>
    </row>
    <row r="1379">
      <c r="A1379" s="3" t="inlineStr">
        <is>
          <t>2</t>
        </is>
      </c>
      <c r="B1379" s="3" t="inlineStr">
        <is>
          <t>Paku pancing 6x23</t>
        </is>
      </c>
      <c r="C1379" s="3" t="inlineStr">
        <is>
          <t>kg</t>
        </is>
      </c>
      <c r="D1379" s="15" t="n">
        <v>0.12</v>
      </c>
      <c r="E1379" s="4" t="n">
        <v>19460</v>
      </c>
      <c r="F1379" s="4" t="n">
        <v>2335.2</v>
      </c>
    </row>
    <row r="1380">
      <c r="D1380" s="2" t="inlineStr">
        <is>
          <t>SUBTOTAL UPAH</t>
        </is>
      </c>
      <c r="F1380" s="16" t="n">
        <v>25835</v>
      </c>
    </row>
    <row r="1381">
      <c r="D1381" s="2" t="inlineStr">
        <is>
          <t>SUBTOTAL BAHAN</t>
        </is>
      </c>
      <c r="F1381" s="16" t="n">
        <v>66460.2</v>
      </c>
    </row>
    <row r="1382">
      <c r="D1382" s="2" t="inlineStr">
        <is>
          <t>SUBTOTAL ALAT</t>
        </is>
      </c>
      <c r="F1382" s="16" t="n">
        <v>0</v>
      </c>
    </row>
    <row r="1383">
      <c r="E1383" s="2" t="inlineStr">
        <is>
          <t>TOTAL HARGA SATUAN (Inc. Overhead)</t>
        </is>
      </c>
      <c r="F1383" s="17" t="n">
        <v>101524</v>
      </c>
    </row>
    <row r="1385">
      <c r="A1385" s="14" t="inlineStr">
        <is>
          <t>KODE: 3.1.2.5 - Pemasangan 1 m2 atap Serat Semen gelombang 105 cm x 270 cm x 4 mm</t>
        </is>
      </c>
    </row>
    <row r="1386">
      <c r="A1386" s="10" t="inlineStr">
        <is>
          <t>No</t>
        </is>
      </c>
      <c r="B1386" s="10" t="inlineStr">
        <is>
          <t>Uraian Komponen</t>
        </is>
      </c>
      <c r="C1386" s="10" t="inlineStr">
        <is>
          <t>Satuan</t>
        </is>
      </c>
      <c r="D1386" s="10" t="inlineStr">
        <is>
          <t>Koef</t>
        </is>
      </c>
      <c r="E1386" s="10" t="inlineStr">
        <is>
          <t>Harga Satuan (Rp)</t>
        </is>
      </c>
      <c r="F1386" s="10" t="inlineStr">
        <is>
          <t>Jumlah Harga (Rp)</t>
        </is>
      </c>
    </row>
    <row r="1387">
      <c r="A1387" s="3" t="inlineStr">
        <is>
          <t>1</t>
        </is>
      </c>
      <c r="B1387" s="3" t="inlineStr">
        <is>
          <t>Pekerja</t>
        </is>
      </c>
      <c r="C1387" s="3" t="inlineStr">
        <is>
          <t>OH</t>
        </is>
      </c>
      <c r="D1387" s="15" t="n">
        <v>0.14</v>
      </c>
      <c r="E1387" s="4" t="n">
        <v>100000</v>
      </c>
      <c r="F1387" s="4" t="n">
        <v>14000</v>
      </c>
    </row>
    <row r="1388">
      <c r="A1388" s="3" t="inlineStr">
        <is>
          <t>2</t>
        </is>
      </c>
      <c r="B1388" s="3" t="inlineStr">
        <is>
          <t>Tukang kayu</t>
        </is>
      </c>
      <c r="C1388" s="3" t="inlineStr">
        <is>
          <t>OH</t>
        </is>
      </c>
      <c r="D1388" s="15" t="n">
        <v>0.07000000000000001</v>
      </c>
      <c r="E1388" s="4" t="n">
        <v>145000</v>
      </c>
      <c r="F1388" s="4" t="n">
        <v>10150</v>
      </c>
    </row>
    <row r="1389">
      <c r="A1389" s="3" t="inlineStr">
        <is>
          <t>3</t>
        </is>
      </c>
      <c r="B1389" s="3" t="inlineStr">
        <is>
          <t>Kepala tukang</t>
        </is>
      </c>
      <c r="C1389" s="3" t="inlineStr">
        <is>
          <t>OH</t>
        </is>
      </c>
      <c r="D1389" s="15" t="n">
        <v>0.007</v>
      </c>
      <c r="E1389" s="4" t="n">
        <v>175000</v>
      </c>
      <c r="F1389" s="4" t="n">
        <v>1225</v>
      </c>
    </row>
    <row r="1390">
      <c r="A1390" s="3" t="inlineStr">
        <is>
          <t>4</t>
        </is>
      </c>
      <c r="B1390" s="3" t="inlineStr">
        <is>
          <t>Mandor</t>
        </is>
      </c>
      <c r="C1390" s="3" t="inlineStr">
        <is>
          <t>OH</t>
        </is>
      </c>
      <c r="D1390" s="15" t="n">
        <v>0.0023</v>
      </c>
      <c r="E1390" s="4" t="n">
        <v>200000</v>
      </c>
      <c r="F1390" s="4" t="n">
        <v>460</v>
      </c>
    </row>
    <row r="1391">
      <c r="A1391" s="3" t="inlineStr">
        <is>
          <t>1</t>
        </is>
      </c>
      <c r="B1391" s="3" t="inlineStr">
        <is>
          <t>"Asbes gelombang kecil 4 mm 270x105 cm"</t>
        </is>
      </c>
      <c r="C1391" s="3" t="inlineStr">
        <is>
          <t>lembar</t>
        </is>
      </c>
      <c r="D1391" s="15" t="n">
        <v>0.42</v>
      </c>
      <c r="E1391" s="4" t="n">
        <v>88400</v>
      </c>
      <c r="F1391" s="4" t="n">
        <v>37128</v>
      </c>
    </row>
    <row r="1392">
      <c r="A1392" s="3" t="inlineStr">
        <is>
          <t>2</t>
        </is>
      </c>
      <c r="B1392" s="3" t="inlineStr">
        <is>
          <t>Paku pancing 6x23</t>
        </is>
      </c>
      <c r="C1392" s="3" t="inlineStr">
        <is>
          <t>kg</t>
        </is>
      </c>
      <c r="D1392" s="15" t="n">
        <v>0.12</v>
      </c>
      <c r="E1392" s="4" t="n">
        <v>19460</v>
      </c>
      <c r="F1392" s="4" t="n">
        <v>2335.2</v>
      </c>
    </row>
    <row r="1393">
      <c r="D1393" s="2" t="inlineStr">
        <is>
          <t>SUBTOTAL UPAH</t>
        </is>
      </c>
      <c r="F1393" s="16" t="n">
        <v>25835</v>
      </c>
    </row>
    <row r="1394">
      <c r="D1394" s="2" t="inlineStr">
        <is>
          <t>SUBTOTAL BAHAN</t>
        </is>
      </c>
      <c r="F1394" s="16" t="n">
        <v>39463.2</v>
      </c>
    </row>
    <row r="1395">
      <c r="D1395" s="2" t="inlineStr">
        <is>
          <t>SUBTOTAL ALAT</t>
        </is>
      </c>
      <c r="F1395" s="16" t="n">
        <v>0</v>
      </c>
    </row>
    <row r="1396">
      <c r="E1396" s="2" t="inlineStr">
        <is>
          <t>TOTAL HARGA SATUAN (Inc. Overhead)</t>
        </is>
      </c>
      <c r="F1396" s="17" t="n">
        <v>71828</v>
      </c>
    </row>
    <row r="1398">
      <c r="A1398" s="14" t="inlineStr">
        <is>
          <t>KODE: 3.1.2.6 - Pemasangan 1 m2 atap Serat Semen gelombang 105 cm x 300 cm x 5 mm</t>
        </is>
      </c>
    </row>
    <row r="1399">
      <c r="A1399" s="10" t="inlineStr">
        <is>
          <t>No</t>
        </is>
      </c>
      <c r="B1399" s="10" t="inlineStr">
        <is>
          <t>Uraian Komponen</t>
        </is>
      </c>
      <c r="C1399" s="10" t="inlineStr">
        <is>
          <t>Satuan</t>
        </is>
      </c>
      <c r="D1399" s="10" t="inlineStr">
        <is>
          <t>Koef</t>
        </is>
      </c>
      <c r="E1399" s="10" t="inlineStr">
        <is>
          <t>Harga Satuan (Rp)</t>
        </is>
      </c>
      <c r="F1399" s="10" t="inlineStr">
        <is>
          <t>Jumlah Harga (Rp)</t>
        </is>
      </c>
    </row>
    <row r="1400">
      <c r="A1400" s="3" t="inlineStr">
        <is>
          <t>1</t>
        </is>
      </c>
      <c r="B1400" s="3" t="inlineStr">
        <is>
          <t>Pekerja</t>
        </is>
      </c>
      <c r="C1400" s="3" t="inlineStr">
        <is>
          <t>OH</t>
        </is>
      </c>
      <c r="D1400" s="15" t="n">
        <v>0.14</v>
      </c>
      <c r="E1400" s="4" t="n">
        <v>100000</v>
      </c>
      <c r="F1400" s="4" t="n">
        <v>14000</v>
      </c>
    </row>
    <row r="1401">
      <c r="A1401" s="3" t="inlineStr">
        <is>
          <t>2</t>
        </is>
      </c>
      <c r="B1401" s="3" t="inlineStr">
        <is>
          <t>Tukang kayu</t>
        </is>
      </c>
      <c r="C1401" s="3" t="inlineStr">
        <is>
          <t>OH</t>
        </is>
      </c>
      <c r="D1401" s="15" t="n">
        <v>0.07000000000000001</v>
      </c>
      <c r="E1401" s="4" t="n">
        <v>145000</v>
      </c>
      <c r="F1401" s="4" t="n">
        <v>10150</v>
      </c>
    </row>
    <row r="1402">
      <c r="A1402" s="3" t="inlineStr">
        <is>
          <t>3</t>
        </is>
      </c>
      <c r="B1402" s="3" t="inlineStr">
        <is>
          <t>Kepala tukang</t>
        </is>
      </c>
      <c r="C1402" s="3" t="inlineStr">
        <is>
          <t>OH</t>
        </is>
      </c>
      <c r="D1402" s="15" t="n">
        <v>0.007</v>
      </c>
      <c r="E1402" s="4" t="n">
        <v>175000</v>
      </c>
      <c r="F1402" s="4" t="n">
        <v>1225</v>
      </c>
    </row>
    <row r="1403">
      <c r="A1403" s="3" t="inlineStr">
        <is>
          <t>4</t>
        </is>
      </c>
      <c r="B1403" s="3" t="inlineStr">
        <is>
          <t>Mandor</t>
        </is>
      </c>
      <c r="C1403" s="3" t="inlineStr">
        <is>
          <t>OH</t>
        </is>
      </c>
      <c r="D1403" s="15" t="n">
        <v>0.0023</v>
      </c>
      <c r="E1403" s="4" t="n">
        <v>200000</v>
      </c>
      <c r="F1403" s="4" t="n">
        <v>460</v>
      </c>
    </row>
    <row r="1404">
      <c r="A1404" s="3" t="inlineStr">
        <is>
          <t>1</t>
        </is>
      </c>
      <c r="B1404" s="3" t="inlineStr">
        <is>
          <t>"Asbes gelombang besar 5 mm 300x105 cm"</t>
        </is>
      </c>
      <c r="C1404" s="3" t="inlineStr">
        <is>
          <t>lembar</t>
        </is>
      </c>
      <c r="D1404" s="15" t="n">
        <v>0.35</v>
      </c>
      <c r="E1404" s="4" t="n">
        <v>135000</v>
      </c>
      <c r="F1404" s="4" t="n">
        <v>47250</v>
      </c>
    </row>
    <row r="1405">
      <c r="A1405" s="3" t="inlineStr">
        <is>
          <t>2</t>
        </is>
      </c>
      <c r="B1405" s="3" t="inlineStr">
        <is>
          <t>Paku pancing 6x23</t>
        </is>
      </c>
      <c r="C1405" s="3" t="inlineStr">
        <is>
          <t>kg</t>
        </is>
      </c>
      <c r="D1405" s="15" t="n">
        <v>0.12</v>
      </c>
      <c r="E1405" s="4" t="n">
        <v>19460</v>
      </c>
      <c r="F1405" s="4" t="n">
        <v>2335.2</v>
      </c>
    </row>
    <row r="1406">
      <c r="D1406" s="2" t="inlineStr">
        <is>
          <t>SUBTOTAL UPAH</t>
        </is>
      </c>
      <c r="F1406" s="16" t="n">
        <v>25835</v>
      </c>
    </row>
    <row r="1407">
      <c r="D1407" s="2" t="inlineStr">
        <is>
          <t>SUBTOTAL BAHAN</t>
        </is>
      </c>
      <c r="F1407" s="16" t="n">
        <v>49585.2</v>
      </c>
    </row>
    <row r="1408">
      <c r="D1408" s="2" t="inlineStr">
        <is>
          <t>SUBTOTAL ALAT</t>
        </is>
      </c>
      <c r="F1408" s="16" t="n">
        <v>0</v>
      </c>
    </row>
    <row r="1409">
      <c r="E1409" s="2" t="inlineStr">
        <is>
          <t>TOTAL HARGA SATUAN (Inc. Overhead)</t>
        </is>
      </c>
      <c r="F1409" s="17" t="n">
        <v>82962</v>
      </c>
    </row>
    <row r="1411">
      <c r="A1411" s="14" t="inlineStr">
        <is>
          <t>KODE: 3.1.2.7 - Pemasangan 1 m2 atap Serat Semen gelombang 105 cm x 240 cm x 5 mm</t>
        </is>
      </c>
    </row>
    <row r="1412">
      <c r="A1412" s="10" t="inlineStr">
        <is>
          <t>No</t>
        </is>
      </c>
      <c r="B1412" s="10" t="inlineStr">
        <is>
          <t>Uraian Komponen</t>
        </is>
      </c>
      <c r="C1412" s="10" t="inlineStr">
        <is>
          <t>Satuan</t>
        </is>
      </c>
      <c r="D1412" s="10" t="inlineStr">
        <is>
          <t>Koef</t>
        </is>
      </c>
      <c r="E1412" s="10" t="inlineStr">
        <is>
          <t>Harga Satuan (Rp)</t>
        </is>
      </c>
      <c r="F1412" s="10" t="inlineStr">
        <is>
          <t>Jumlah Harga (Rp)</t>
        </is>
      </c>
    </row>
    <row r="1413">
      <c r="A1413" s="3" t="inlineStr">
        <is>
          <t>1</t>
        </is>
      </c>
      <c r="B1413" s="3" t="inlineStr">
        <is>
          <t>Pekerja</t>
        </is>
      </c>
      <c r="C1413" s="3" t="inlineStr">
        <is>
          <t>OH</t>
        </is>
      </c>
      <c r="D1413" s="15" t="n">
        <v>0.14</v>
      </c>
      <c r="E1413" s="4" t="n">
        <v>100000</v>
      </c>
      <c r="F1413" s="4" t="n">
        <v>14000</v>
      </c>
    </row>
    <row r="1414">
      <c r="A1414" s="3" t="inlineStr">
        <is>
          <t>2</t>
        </is>
      </c>
      <c r="B1414" s="3" t="inlineStr">
        <is>
          <t>Tukang kayu</t>
        </is>
      </c>
      <c r="C1414" s="3" t="inlineStr">
        <is>
          <t>OH</t>
        </is>
      </c>
      <c r="D1414" s="15" t="n">
        <v>0.07000000000000001</v>
      </c>
      <c r="E1414" s="4" t="n">
        <v>145000</v>
      </c>
      <c r="F1414" s="4" t="n">
        <v>10150</v>
      </c>
    </row>
    <row r="1415">
      <c r="A1415" s="3" t="inlineStr">
        <is>
          <t>3</t>
        </is>
      </c>
      <c r="B1415" s="3" t="inlineStr">
        <is>
          <t>Kepala tukang</t>
        </is>
      </c>
      <c r="C1415" s="3" t="inlineStr">
        <is>
          <t>OH</t>
        </is>
      </c>
      <c r="D1415" s="15" t="n">
        <v>0.007</v>
      </c>
      <c r="E1415" s="4" t="n">
        <v>175000</v>
      </c>
      <c r="F1415" s="4" t="n">
        <v>1225</v>
      </c>
    </row>
    <row r="1416">
      <c r="A1416" s="3" t="inlineStr">
        <is>
          <t>4</t>
        </is>
      </c>
      <c r="B1416" s="3" t="inlineStr">
        <is>
          <t>Mandor</t>
        </is>
      </c>
      <c r="C1416" s="3" t="inlineStr">
        <is>
          <t>OH</t>
        </is>
      </c>
      <c r="D1416" s="15" t="n">
        <v>0.0023</v>
      </c>
      <c r="E1416" s="4" t="n">
        <v>200000</v>
      </c>
      <c r="F1416" s="4" t="n">
        <v>460</v>
      </c>
    </row>
    <row r="1417">
      <c r="A1417" s="3" t="inlineStr">
        <is>
          <t>1</t>
        </is>
      </c>
      <c r="B1417" s="3" t="inlineStr">
        <is>
          <t>"Asbes gelombang besar 5 mm 240x105 cm"</t>
        </is>
      </c>
      <c r="C1417" s="3" t="inlineStr">
        <is>
          <t>lembar</t>
        </is>
      </c>
      <c r="D1417" s="15" t="n">
        <v>0.44</v>
      </c>
      <c r="E1417" s="4" t="n">
        <v>130000</v>
      </c>
      <c r="F1417" s="4" t="n">
        <v>57200</v>
      </c>
    </row>
    <row r="1418">
      <c r="A1418" s="3" t="inlineStr">
        <is>
          <t>2</t>
        </is>
      </c>
      <c r="B1418" s="3" t="inlineStr">
        <is>
          <t>Paku pancing 6x23</t>
        </is>
      </c>
      <c r="C1418" s="3" t="inlineStr">
        <is>
          <t>kg</t>
        </is>
      </c>
      <c r="D1418" s="15" t="n">
        <v>0.12</v>
      </c>
      <c r="E1418" s="4" t="n">
        <v>19460</v>
      </c>
      <c r="F1418" s="4" t="n">
        <v>2335.2</v>
      </c>
    </row>
    <row r="1419">
      <c r="D1419" s="2" t="inlineStr">
        <is>
          <t>SUBTOTAL UPAH</t>
        </is>
      </c>
      <c r="F1419" s="16" t="n">
        <v>25835</v>
      </c>
    </row>
    <row r="1420">
      <c r="D1420" s="2" t="inlineStr">
        <is>
          <t>SUBTOTAL BAHAN</t>
        </is>
      </c>
      <c r="F1420" s="16" t="n">
        <v>59535.2</v>
      </c>
    </row>
    <row r="1421">
      <c r="D1421" s="2" t="inlineStr">
        <is>
          <t>SUBTOTAL ALAT</t>
        </is>
      </c>
      <c r="F1421" s="16" t="n">
        <v>0</v>
      </c>
    </row>
    <row r="1422">
      <c r="E1422" s="2" t="inlineStr">
        <is>
          <t>TOTAL HARGA SATUAN (Inc. Overhead)</t>
        </is>
      </c>
      <c r="F1422" s="17" t="n">
        <v>93907</v>
      </c>
    </row>
    <row r="1424">
      <c r="A1424" s="14" t="inlineStr">
        <is>
          <t>KODE: 3.1.2.8 - Pemasangan 1 m2 atap Serat gelombang 105 cm x 210 cm x 5 mm</t>
        </is>
      </c>
    </row>
    <row r="1425">
      <c r="A1425" s="10" t="inlineStr">
        <is>
          <t>No</t>
        </is>
      </c>
      <c r="B1425" s="10" t="inlineStr">
        <is>
          <t>Uraian Komponen</t>
        </is>
      </c>
      <c r="C1425" s="10" t="inlineStr">
        <is>
          <t>Satuan</t>
        </is>
      </c>
      <c r="D1425" s="10" t="inlineStr">
        <is>
          <t>Koef</t>
        </is>
      </c>
      <c r="E1425" s="10" t="inlineStr">
        <is>
          <t>Harga Satuan (Rp)</t>
        </is>
      </c>
      <c r="F1425" s="10" t="inlineStr">
        <is>
          <t>Jumlah Harga (Rp)</t>
        </is>
      </c>
    </row>
    <row r="1426">
      <c r="A1426" s="3" t="inlineStr">
        <is>
          <t>1</t>
        </is>
      </c>
      <c r="B1426" s="3" t="inlineStr">
        <is>
          <t>Pekerja</t>
        </is>
      </c>
      <c r="C1426" s="3" t="inlineStr">
        <is>
          <t>OH</t>
        </is>
      </c>
      <c r="D1426" s="15" t="n">
        <v>0.14</v>
      </c>
      <c r="E1426" s="4" t="n">
        <v>100000</v>
      </c>
      <c r="F1426" s="4" t="n">
        <v>14000</v>
      </c>
    </row>
    <row r="1427">
      <c r="A1427" s="3" t="inlineStr">
        <is>
          <t>2</t>
        </is>
      </c>
      <c r="B1427" s="3" t="inlineStr">
        <is>
          <t>Tukang kayu</t>
        </is>
      </c>
      <c r="C1427" s="3" t="inlineStr">
        <is>
          <t>OH</t>
        </is>
      </c>
      <c r="D1427" s="15" t="n">
        <v>0.07000000000000001</v>
      </c>
      <c r="E1427" s="4" t="n">
        <v>145000</v>
      </c>
      <c r="F1427" s="4" t="n">
        <v>10150</v>
      </c>
    </row>
    <row r="1428">
      <c r="A1428" s="3" t="inlineStr">
        <is>
          <t>3</t>
        </is>
      </c>
      <c r="B1428" s="3" t="inlineStr">
        <is>
          <t>Kepala tukang</t>
        </is>
      </c>
      <c r="C1428" s="3" t="inlineStr">
        <is>
          <t>OH</t>
        </is>
      </c>
      <c r="D1428" s="15" t="n">
        <v>0.007</v>
      </c>
      <c r="E1428" s="4" t="n">
        <v>175000</v>
      </c>
      <c r="F1428" s="4" t="n">
        <v>1225</v>
      </c>
    </row>
    <row r="1429">
      <c r="A1429" s="3" t="inlineStr">
        <is>
          <t>4</t>
        </is>
      </c>
      <c r="B1429" s="3" t="inlineStr">
        <is>
          <t>Mandor</t>
        </is>
      </c>
      <c r="C1429" s="3" t="inlineStr">
        <is>
          <t>OH</t>
        </is>
      </c>
      <c r="D1429" s="15" t="n">
        <v>0.0023</v>
      </c>
      <c r="E1429" s="4" t="n">
        <v>200000</v>
      </c>
      <c r="F1429" s="4" t="n">
        <v>460</v>
      </c>
    </row>
    <row r="1430">
      <c r="A1430" s="3" t="inlineStr">
        <is>
          <t>1</t>
        </is>
      </c>
      <c r="B1430" s="3" t="inlineStr">
        <is>
          <t>"Asbes gelombang besar 5 mm 210x105 cm"</t>
        </is>
      </c>
      <c r="C1430" s="3" t="inlineStr">
        <is>
          <t>lembar</t>
        </is>
      </c>
      <c r="D1430" s="15" t="n">
        <v>0.51</v>
      </c>
      <c r="E1430" s="4" t="n">
        <v>125000</v>
      </c>
      <c r="F1430" s="4" t="n">
        <v>63750</v>
      </c>
    </row>
    <row r="1431">
      <c r="A1431" s="3" t="inlineStr">
        <is>
          <t>2</t>
        </is>
      </c>
      <c r="B1431" s="3" t="inlineStr">
        <is>
          <t>Paku pancing 6x23</t>
        </is>
      </c>
      <c r="C1431" s="3" t="inlineStr">
        <is>
          <t>kg</t>
        </is>
      </c>
      <c r="D1431" s="15" t="n">
        <v>0.12</v>
      </c>
      <c r="E1431" s="4" t="n">
        <v>19460</v>
      </c>
      <c r="F1431" s="4" t="n">
        <v>2335.2</v>
      </c>
    </row>
    <row r="1432">
      <c r="D1432" s="2" t="inlineStr">
        <is>
          <t>SUBTOTAL UPAH</t>
        </is>
      </c>
      <c r="F1432" s="16" t="n">
        <v>25835</v>
      </c>
    </row>
    <row r="1433">
      <c r="D1433" s="2" t="inlineStr">
        <is>
          <t>SUBTOTAL BAHAN</t>
        </is>
      </c>
      <c r="F1433" s="16" t="n">
        <v>66085.2</v>
      </c>
    </row>
    <row r="1434">
      <c r="D1434" s="2" t="inlineStr">
        <is>
          <t>SUBTOTAL ALAT</t>
        </is>
      </c>
      <c r="F1434" s="16" t="n">
        <v>0</v>
      </c>
    </row>
    <row r="1435">
      <c r="E1435" s="2" t="inlineStr">
        <is>
          <t>TOTAL HARGA SATUAN (Inc. Overhead)</t>
        </is>
      </c>
      <c r="F1435" s="17" t="n">
        <v>101112</v>
      </c>
    </row>
    <row r="1437">
      <c r="A1437" s="14" t="inlineStr">
        <is>
          <t>KODE: 3.1.2.9 - Pemasangan 1 m2 atap Serat Semen gelombang 105 cm x 150 cm x 5 mm</t>
        </is>
      </c>
    </row>
    <row r="1438">
      <c r="A1438" s="10" t="inlineStr">
        <is>
          <t>No</t>
        </is>
      </c>
      <c r="B1438" s="10" t="inlineStr">
        <is>
          <t>Uraian Komponen</t>
        </is>
      </c>
      <c r="C1438" s="10" t="inlineStr">
        <is>
          <t>Satuan</t>
        </is>
      </c>
      <c r="D1438" s="10" t="inlineStr">
        <is>
          <t>Koef</t>
        </is>
      </c>
      <c r="E1438" s="10" t="inlineStr">
        <is>
          <t>Harga Satuan (Rp)</t>
        </is>
      </c>
      <c r="F1438" s="10" t="inlineStr">
        <is>
          <t>Jumlah Harga (Rp)</t>
        </is>
      </c>
    </row>
    <row r="1439">
      <c r="A1439" s="3" t="inlineStr">
        <is>
          <t>1</t>
        </is>
      </c>
      <c r="B1439" s="3" t="inlineStr">
        <is>
          <t>Pekerja</t>
        </is>
      </c>
      <c r="C1439" s="3" t="inlineStr">
        <is>
          <t>OH</t>
        </is>
      </c>
      <c r="D1439" s="15" t="n">
        <v>0.14</v>
      </c>
      <c r="E1439" s="4" t="n">
        <v>100000</v>
      </c>
      <c r="F1439" s="4" t="n">
        <v>14000</v>
      </c>
    </row>
    <row r="1440">
      <c r="A1440" s="3" t="inlineStr">
        <is>
          <t>2</t>
        </is>
      </c>
      <c r="B1440" s="3" t="inlineStr">
        <is>
          <t>Tukang kayu</t>
        </is>
      </c>
      <c r="C1440" s="3" t="inlineStr">
        <is>
          <t>OH</t>
        </is>
      </c>
      <c r="D1440" s="15" t="n">
        <v>0.07000000000000001</v>
      </c>
      <c r="E1440" s="4" t="n">
        <v>145000</v>
      </c>
      <c r="F1440" s="4" t="n">
        <v>10150</v>
      </c>
    </row>
    <row r="1441">
      <c r="A1441" s="3" t="inlineStr">
        <is>
          <t>3</t>
        </is>
      </c>
      <c r="B1441" s="3" t="inlineStr">
        <is>
          <t>Kepala tukang</t>
        </is>
      </c>
      <c r="C1441" s="3" t="inlineStr">
        <is>
          <t>OH</t>
        </is>
      </c>
      <c r="D1441" s="15" t="n">
        <v>0.007</v>
      </c>
      <c r="E1441" s="4" t="n">
        <v>175000</v>
      </c>
      <c r="F1441" s="4" t="n">
        <v>1225</v>
      </c>
    </row>
    <row r="1442">
      <c r="A1442" s="3" t="inlineStr">
        <is>
          <t>4</t>
        </is>
      </c>
      <c r="B1442" s="3" t="inlineStr">
        <is>
          <t>Mandor</t>
        </is>
      </c>
      <c r="C1442" s="3" t="inlineStr">
        <is>
          <t>OH</t>
        </is>
      </c>
      <c r="D1442" s="15" t="n">
        <v>0.0023</v>
      </c>
      <c r="E1442" s="4" t="n">
        <v>200000</v>
      </c>
      <c r="F1442" s="4" t="n">
        <v>460</v>
      </c>
    </row>
    <row r="1443">
      <c r="A1443" s="3" t="inlineStr">
        <is>
          <t>1</t>
        </is>
      </c>
      <c r="B1443" s="3" t="inlineStr">
        <is>
          <t>"Asbes gelombang besar 5 mm 150x105 cm"</t>
        </is>
      </c>
      <c r="C1443" s="3" t="inlineStr">
        <is>
          <t>lembar</t>
        </is>
      </c>
      <c r="D1443" s="15" t="n">
        <v>0.8</v>
      </c>
      <c r="E1443" s="4" t="n">
        <v>120000</v>
      </c>
      <c r="F1443" s="4" t="n">
        <v>96000</v>
      </c>
    </row>
    <row r="1444">
      <c r="A1444" s="3" t="inlineStr">
        <is>
          <t>2</t>
        </is>
      </c>
      <c r="B1444" s="3" t="inlineStr">
        <is>
          <t>Paku pancing 6x23</t>
        </is>
      </c>
      <c r="C1444" s="3" t="inlineStr">
        <is>
          <t>kg</t>
        </is>
      </c>
      <c r="D1444" s="15" t="n">
        <v>0.12</v>
      </c>
      <c r="E1444" s="4" t="n">
        <v>19460</v>
      </c>
      <c r="F1444" s="4" t="n">
        <v>2335.2</v>
      </c>
    </row>
    <row r="1445">
      <c r="D1445" s="2" t="inlineStr">
        <is>
          <t>SUBTOTAL UPAH</t>
        </is>
      </c>
      <c r="F1445" s="16" t="n">
        <v>25835</v>
      </c>
    </row>
    <row r="1446">
      <c r="D1446" s="2" t="inlineStr">
        <is>
          <t>SUBTOTAL BAHAN</t>
        </is>
      </c>
      <c r="F1446" s="16" t="n">
        <v>98335.2</v>
      </c>
    </row>
    <row r="1447">
      <c r="D1447" s="2" t="inlineStr">
        <is>
          <t>SUBTOTAL ALAT</t>
        </is>
      </c>
      <c r="F1447" s="16" t="n">
        <v>0</v>
      </c>
    </row>
    <row r="1448">
      <c r="E1448" s="2" t="inlineStr">
        <is>
          <t>TOTAL HARGA SATUAN (Inc. Overhead)</t>
        </is>
      </c>
      <c r="F1448" s="17" t="n">
        <v>136587</v>
      </c>
    </row>
    <row r="1450">
      <c r="A1450" s="14" t="inlineStr">
        <is>
          <t>KODE: 3.1.2.10 - Pemasangan 1 m2 atap Serat Semen gelombang 108 cm x 300 cm x 6 mm</t>
        </is>
      </c>
    </row>
    <row r="1451">
      <c r="A1451" s="10" t="inlineStr">
        <is>
          <t>No</t>
        </is>
      </c>
      <c r="B1451" s="10" t="inlineStr">
        <is>
          <t>Uraian Komponen</t>
        </is>
      </c>
      <c r="C1451" s="10" t="inlineStr">
        <is>
          <t>Satuan</t>
        </is>
      </c>
      <c r="D1451" s="10" t="inlineStr">
        <is>
          <t>Koef</t>
        </is>
      </c>
      <c r="E1451" s="10" t="inlineStr">
        <is>
          <t>Harga Satuan (Rp)</t>
        </is>
      </c>
      <c r="F1451" s="10" t="inlineStr">
        <is>
          <t>Jumlah Harga (Rp)</t>
        </is>
      </c>
    </row>
    <row r="1452">
      <c r="A1452" s="3" t="inlineStr">
        <is>
          <t>1</t>
        </is>
      </c>
      <c r="B1452" s="3" t="inlineStr">
        <is>
          <t>Pekerja</t>
        </is>
      </c>
      <c r="C1452" s="3" t="inlineStr">
        <is>
          <t>OH</t>
        </is>
      </c>
      <c r="D1452" s="15" t="n">
        <v>0.14</v>
      </c>
      <c r="E1452" s="4" t="n">
        <v>100000</v>
      </c>
      <c r="F1452" s="4" t="n">
        <v>14000</v>
      </c>
    </row>
    <row r="1453">
      <c r="A1453" s="3" t="inlineStr">
        <is>
          <t>2</t>
        </is>
      </c>
      <c r="B1453" s="3" t="inlineStr">
        <is>
          <t>Tukang kayu</t>
        </is>
      </c>
      <c r="C1453" s="3" t="inlineStr">
        <is>
          <t>OH</t>
        </is>
      </c>
      <c r="D1453" s="15" t="n">
        <v>0.07000000000000001</v>
      </c>
      <c r="E1453" s="4" t="n">
        <v>145000</v>
      </c>
      <c r="F1453" s="4" t="n">
        <v>10150</v>
      </c>
    </row>
    <row r="1454">
      <c r="A1454" s="3" t="inlineStr">
        <is>
          <t>3</t>
        </is>
      </c>
      <c r="B1454" s="3" t="inlineStr">
        <is>
          <t>Kepala tukang</t>
        </is>
      </c>
      <c r="C1454" s="3" t="inlineStr">
        <is>
          <t>OH</t>
        </is>
      </c>
      <c r="D1454" s="15" t="n">
        <v>0.007</v>
      </c>
      <c r="E1454" s="4" t="n">
        <v>175000</v>
      </c>
      <c r="F1454" s="4" t="n">
        <v>1225</v>
      </c>
    </row>
    <row r="1455">
      <c r="A1455" s="3" t="inlineStr">
        <is>
          <t>4</t>
        </is>
      </c>
      <c r="B1455" s="3" t="inlineStr">
        <is>
          <t>Mandor</t>
        </is>
      </c>
      <c r="C1455" s="3" t="inlineStr">
        <is>
          <t>OH</t>
        </is>
      </c>
      <c r="D1455" s="15" t="n">
        <v>0.0023</v>
      </c>
      <c r="E1455" s="4" t="n">
        <v>200000</v>
      </c>
      <c r="F1455" s="4" t="n">
        <v>460</v>
      </c>
    </row>
    <row r="1456">
      <c r="A1456" s="3" t="inlineStr">
        <is>
          <t>1</t>
        </is>
      </c>
      <c r="B1456" s="3" t="inlineStr">
        <is>
          <t>"Asbes gelombang besar 6 mm 300x108 cm"</t>
        </is>
      </c>
      <c r="C1456" s="3" t="inlineStr">
        <is>
          <t>lembar</t>
        </is>
      </c>
      <c r="D1456" s="15" t="n">
        <v>0.37</v>
      </c>
      <c r="E1456" s="4" t="n">
        <v>131000</v>
      </c>
      <c r="F1456" s="4" t="n">
        <v>48470</v>
      </c>
    </row>
    <row r="1457">
      <c r="A1457" s="3" t="inlineStr">
        <is>
          <t>2</t>
        </is>
      </c>
      <c r="B1457" s="3" t="inlineStr">
        <is>
          <t>Paku pancing 6x23</t>
        </is>
      </c>
      <c r="C1457" s="3" t="inlineStr">
        <is>
          <t>kg</t>
        </is>
      </c>
      <c r="D1457" s="15" t="n">
        <v>0.12</v>
      </c>
      <c r="E1457" s="4" t="n">
        <v>19460</v>
      </c>
      <c r="F1457" s="4" t="n">
        <v>2335.2</v>
      </c>
    </row>
    <row r="1458">
      <c r="D1458" s="2" t="inlineStr">
        <is>
          <t>SUBTOTAL UPAH</t>
        </is>
      </c>
      <c r="F1458" s="16" t="n">
        <v>25835</v>
      </c>
    </row>
    <row r="1459">
      <c r="D1459" s="2" t="inlineStr">
        <is>
          <t>SUBTOTAL BAHAN</t>
        </is>
      </c>
      <c r="F1459" s="16" t="n">
        <v>50805.2</v>
      </c>
    </row>
    <row r="1460">
      <c r="D1460" s="2" t="inlineStr">
        <is>
          <t>SUBTOTAL ALAT</t>
        </is>
      </c>
      <c r="F1460" s="16" t="n">
        <v>0</v>
      </c>
    </row>
    <row r="1461">
      <c r="E1461" s="2" t="inlineStr">
        <is>
          <t>TOTAL HARGA SATUAN (Inc. Overhead)</t>
        </is>
      </c>
      <c r="F1461" s="17" t="n">
        <v>84304</v>
      </c>
    </row>
    <row r="1463">
      <c r="A1463" s="14" t="inlineStr">
        <is>
          <t>KODE: 3.1.2.11 - Pemasangan 1 m2 atap serat Semen gelombang 108 cm x 270 cm x 6 mm</t>
        </is>
      </c>
    </row>
    <row r="1464">
      <c r="A1464" s="10" t="inlineStr">
        <is>
          <t>No</t>
        </is>
      </c>
      <c r="B1464" s="10" t="inlineStr">
        <is>
          <t>Uraian Komponen</t>
        </is>
      </c>
      <c r="C1464" s="10" t="inlineStr">
        <is>
          <t>Satuan</t>
        </is>
      </c>
      <c r="D1464" s="10" t="inlineStr">
        <is>
          <t>Koef</t>
        </is>
      </c>
      <c r="E1464" s="10" t="inlineStr">
        <is>
          <t>Harga Satuan (Rp)</t>
        </is>
      </c>
      <c r="F1464" s="10" t="inlineStr">
        <is>
          <t>Jumlah Harga (Rp)</t>
        </is>
      </c>
    </row>
    <row r="1465">
      <c r="A1465" s="3" t="inlineStr">
        <is>
          <t>1</t>
        </is>
      </c>
      <c r="B1465" s="3" t="inlineStr">
        <is>
          <t>Pekerja</t>
        </is>
      </c>
      <c r="C1465" s="3" t="inlineStr">
        <is>
          <t>OH</t>
        </is>
      </c>
      <c r="D1465" s="15" t="n">
        <v>0.14</v>
      </c>
      <c r="E1465" s="4" t="n">
        <v>100000</v>
      </c>
      <c r="F1465" s="4" t="n">
        <v>14000</v>
      </c>
    </row>
    <row r="1466">
      <c r="A1466" s="3" t="inlineStr">
        <is>
          <t>2</t>
        </is>
      </c>
      <c r="B1466" s="3" t="inlineStr">
        <is>
          <t>Tukang kayu</t>
        </is>
      </c>
      <c r="C1466" s="3" t="inlineStr">
        <is>
          <t>OH</t>
        </is>
      </c>
      <c r="D1466" s="15" t="n">
        <v>0.07000000000000001</v>
      </c>
      <c r="E1466" s="4" t="n">
        <v>145000</v>
      </c>
      <c r="F1466" s="4" t="n">
        <v>10150</v>
      </c>
    </row>
    <row r="1467">
      <c r="A1467" s="3" t="inlineStr">
        <is>
          <t>3</t>
        </is>
      </c>
      <c r="B1467" s="3" t="inlineStr">
        <is>
          <t>Kepala tukang</t>
        </is>
      </c>
      <c r="C1467" s="3" t="inlineStr">
        <is>
          <t>OH</t>
        </is>
      </c>
      <c r="D1467" s="15" t="n">
        <v>0.007</v>
      </c>
      <c r="E1467" s="4" t="n">
        <v>175000</v>
      </c>
      <c r="F1467" s="4" t="n">
        <v>1225</v>
      </c>
    </row>
    <row r="1468">
      <c r="A1468" s="3" t="inlineStr">
        <is>
          <t>4</t>
        </is>
      </c>
      <c r="B1468" s="3" t="inlineStr">
        <is>
          <t>Mandor</t>
        </is>
      </c>
      <c r="C1468" s="3" t="inlineStr">
        <is>
          <t>OH</t>
        </is>
      </c>
      <c r="D1468" s="15" t="n">
        <v>0.0023</v>
      </c>
      <c r="E1468" s="4" t="n">
        <v>200000</v>
      </c>
      <c r="F1468" s="4" t="n">
        <v>460</v>
      </c>
    </row>
    <row r="1469">
      <c r="A1469" s="3" t="inlineStr">
        <is>
          <t>1</t>
        </is>
      </c>
      <c r="B1469" s="3" t="inlineStr">
        <is>
          <t>"Asbes gelombang besar 6 mm 270x108 cm"</t>
        </is>
      </c>
      <c r="C1469" s="3" t="inlineStr">
        <is>
          <t>lembar</t>
        </is>
      </c>
      <c r="D1469" s="15" t="n">
        <v>0.38</v>
      </c>
      <c r="E1469" s="4" t="n">
        <v>113400</v>
      </c>
      <c r="F1469" s="4" t="n">
        <v>43092</v>
      </c>
    </row>
    <row r="1470">
      <c r="A1470" s="3" t="inlineStr">
        <is>
          <t>2</t>
        </is>
      </c>
      <c r="B1470" s="3" t="inlineStr">
        <is>
          <t>Paku pancing 6x23</t>
        </is>
      </c>
      <c r="C1470" s="3" t="inlineStr">
        <is>
          <t>kg</t>
        </is>
      </c>
      <c r="D1470" s="15" t="n">
        <v>0.12</v>
      </c>
      <c r="E1470" s="4" t="n">
        <v>19460</v>
      </c>
      <c r="F1470" s="4" t="n">
        <v>2335.2</v>
      </c>
    </row>
    <row r="1471">
      <c r="D1471" s="2" t="inlineStr">
        <is>
          <t>SUBTOTAL UPAH</t>
        </is>
      </c>
      <c r="F1471" s="16" t="n">
        <v>25835</v>
      </c>
    </row>
    <row r="1472">
      <c r="D1472" s="2" t="inlineStr">
        <is>
          <t>SUBTOTAL BAHAN</t>
        </is>
      </c>
      <c r="F1472" s="16" t="n">
        <v>45427.2</v>
      </c>
    </row>
    <row r="1473">
      <c r="D1473" s="2" t="inlineStr">
        <is>
          <t>SUBTOTAL ALAT</t>
        </is>
      </c>
      <c r="F1473" s="16" t="n">
        <v>0</v>
      </c>
    </row>
    <row r="1474">
      <c r="E1474" s="2" t="inlineStr">
        <is>
          <t>TOTAL HARGA SATUAN (Inc. Overhead)</t>
        </is>
      </c>
      <c r="F1474" s="17" t="n">
        <v>78388</v>
      </c>
    </row>
    <row r="1476">
      <c r="A1476" s="14" t="inlineStr">
        <is>
          <t>KODE: 3.1.2.12 - Pemasangan 1 m2 atap Serat Semen gelombang 108 cm x 240 cm x 6 mm</t>
        </is>
      </c>
    </row>
    <row r="1477">
      <c r="A1477" s="10" t="inlineStr">
        <is>
          <t>No</t>
        </is>
      </c>
      <c r="B1477" s="10" t="inlineStr">
        <is>
          <t>Uraian Komponen</t>
        </is>
      </c>
      <c r="C1477" s="10" t="inlineStr">
        <is>
          <t>Satuan</t>
        </is>
      </c>
      <c r="D1477" s="10" t="inlineStr">
        <is>
          <t>Koef</t>
        </is>
      </c>
      <c r="E1477" s="10" t="inlineStr">
        <is>
          <t>Harga Satuan (Rp)</t>
        </is>
      </c>
      <c r="F1477" s="10" t="inlineStr">
        <is>
          <t>Jumlah Harga (Rp)</t>
        </is>
      </c>
    </row>
    <row r="1478">
      <c r="A1478" s="3" t="inlineStr">
        <is>
          <t>1</t>
        </is>
      </c>
      <c r="B1478" s="3" t="inlineStr">
        <is>
          <t>Pekerja</t>
        </is>
      </c>
      <c r="C1478" s="3" t="inlineStr">
        <is>
          <t>OH</t>
        </is>
      </c>
      <c r="D1478" s="15" t="n">
        <v>0.14</v>
      </c>
      <c r="E1478" s="4" t="n">
        <v>100000</v>
      </c>
      <c r="F1478" s="4" t="n">
        <v>14000</v>
      </c>
    </row>
    <row r="1479">
      <c r="A1479" s="3" t="inlineStr">
        <is>
          <t>2</t>
        </is>
      </c>
      <c r="B1479" s="3" t="inlineStr">
        <is>
          <t>Tukang kayu</t>
        </is>
      </c>
      <c r="C1479" s="3" t="inlineStr">
        <is>
          <t>OH</t>
        </is>
      </c>
      <c r="D1479" s="15" t="n">
        <v>0.07000000000000001</v>
      </c>
      <c r="E1479" s="4" t="n">
        <v>145000</v>
      </c>
      <c r="F1479" s="4" t="n">
        <v>10150</v>
      </c>
    </row>
    <row r="1480">
      <c r="A1480" s="3" t="inlineStr">
        <is>
          <t>3</t>
        </is>
      </c>
      <c r="B1480" s="3" t="inlineStr">
        <is>
          <t>Kepala tukang</t>
        </is>
      </c>
      <c r="C1480" s="3" t="inlineStr">
        <is>
          <t>OH</t>
        </is>
      </c>
      <c r="D1480" s="15" t="n">
        <v>0.007</v>
      </c>
      <c r="E1480" s="4" t="n">
        <v>175000</v>
      </c>
      <c r="F1480" s="4" t="n">
        <v>1225</v>
      </c>
    </row>
    <row r="1481">
      <c r="A1481" s="3" t="inlineStr">
        <is>
          <t>4</t>
        </is>
      </c>
      <c r="B1481" s="3" t="inlineStr">
        <is>
          <t>Mandor</t>
        </is>
      </c>
      <c r="C1481" s="3" t="inlineStr">
        <is>
          <t>OH</t>
        </is>
      </c>
      <c r="D1481" s="15" t="n">
        <v>0.0023</v>
      </c>
      <c r="E1481" s="4" t="n">
        <v>200000</v>
      </c>
      <c r="F1481" s="4" t="n">
        <v>460</v>
      </c>
    </row>
    <row r="1482">
      <c r="A1482" s="3" t="inlineStr">
        <is>
          <t>1</t>
        </is>
      </c>
      <c r="B1482" s="3" t="inlineStr">
        <is>
          <t>"Asbes gelombang besar 6 mm 240x108 cm"</t>
        </is>
      </c>
      <c r="C1482" s="3" t="inlineStr">
        <is>
          <t>lembar</t>
        </is>
      </c>
      <c r="D1482" s="15" t="n">
        <v>0.46</v>
      </c>
      <c r="E1482" s="4" t="n">
        <v>99600</v>
      </c>
      <c r="F1482" s="4" t="n">
        <v>45816</v>
      </c>
    </row>
    <row r="1483">
      <c r="A1483" s="3" t="inlineStr">
        <is>
          <t>2</t>
        </is>
      </c>
      <c r="B1483" s="3" t="inlineStr">
        <is>
          <t>Paku pancing 6x23</t>
        </is>
      </c>
      <c r="C1483" s="3" t="inlineStr">
        <is>
          <t>kg</t>
        </is>
      </c>
      <c r="D1483" s="15" t="n">
        <v>0.12</v>
      </c>
      <c r="E1483" s="4" t="n">
        <v>19460</v>
      </c>
      <c r="F1483" s="4" t="n">
        <v>2335.2</v>
      </c>
    </row>
    <row r="1484">
      <c r="D1484" s="2" t="inlineStr">
        <is>
          <t>SUBTOTAL UPAH</t>
        </is>
      </c>
      <c r="F1484" s="16" t="n">
        <v>25835</v>
      </c>
    </row>
    <row r="1485">
      <c r="D1485" s="2" t="inlineStr">
        <is>
          <t>SUBTOTAL BAHAN</t>
        </is>
      </c>
      <c r="F1485" s="16" t="n">
        <v>48151.2</v>
      </c>
    </row>
    <row r="1486">
      <c r="D1486" s="2" t="inlineStr">
        <is>
          <t>SUBTOTAL ALAT</t>
        </is>
      </c>
      <c r="F1486" s="16" t="n">
        <v>0</v>
      </c>
    </row>
    <row r="1487">
      <c r="E1487" s="2" t="inlineStr">
        <is>
          <t>TOTAL HARGA SATUAN (Inc. Overhead)</t>
        </is>
      </c>
      <c r="F1487" s="17" t="n">
        <v>81384</v>
      </c>
    </row>
    <row r="1489">
      <c r="A1489" s="14" t="inlineStr">
        <is>
          <t>KODE: 3.1.2.13 - Pemasangan 1 m2 atap Serat Semen gelombang 108 cm x 210 cm x 6 mm</t>
        </is>
      </c>
    </row>
    <row r="1490">
      <c r="A1490" s="10" t="inlineStr">
        <is>
          <t>No</t>
        </is>
      </c>
      <c r="B1490" s="10" t="inlineStr">
        <is>
          <t>Uraian Komponen</t>
        </is>
      </c>
      <c r="C1490" s="10" t="inlineStr">
        <is>
          <t>Satuan</t>
        </is>
      </c>
      <c r="D1490" s="10" t="inlineStr">
        <is>
          <t>Koef</t>
        </is>
      </c>
      <c r="E1490" s="10" t="inlineStr">
        <is>
          <t>Harga Satuan (Rp)</t>
        </is>
      </c>
      <c r="F1490" s="10" t="inlineStr">
        <is>
          <t>Jumlah Harga (Rp)</t>
        </is>
      </c>
    </row>
    <row r="1491">
      <c r="A1491" s="3" t="inlineStr">
        <is>
          <t>1</t>
        </is>
      </c>
      <c r="B1491" s="3" t="inlineStr">
        <is>
          <t>Pekerja</t>
        </is>
      </c>
      <c r="C1491" s="3" t="inlineStr">
        <is>
          <t>OH</t>
        </is>
      </c>
      <c r="D1491" s="15" t="n">
        <v>0.14</v>
      </c>
      <c r="E1491" s="4" t="n">
        <v>100000</v>
      </c>
      <c r="F1491" s="4" t="n">
        <v>14000</v>
      </c>
    </row>
    <row r="1492">
      <c r="A1492" s="3" t="inlineStr">
        <is>
          <t>2</t>
        </is>
      </c>
      <c r="B1492" s="3" t="inlineStr">
        <is>
          <t>Tukang kayu</t>
        </is>
      </c>
      <c r="C1492" s="3" t="inlineStr">
        <is>
          <t>OH</t>
        </is>
      </c>
      <c r="D1492" s="15" t="n">
        <v>0.07000000000000001</v>
      </c>
      <c r="E1492" s="4" t="n">
        <v>145000</v>
      </c>
      <c r="F1492" s="4" t="n">
        <v>10150</v>
      </c>
    </row>
    <row r="1493">
      <c r="A1493" s="3" t="inlineStr">
        <is>
          <t>3</t>
        </is>
      </c>
      <c r="B1493" s="3" t="inlineStr">
        <is>
          <t>Kepala tukang</t>
        </is>
      </c>
      <c r="C1493" s="3" t="inlineStr">
        <is>
          <t>OH</t>
        </is>
      </c>
      <c r="D1493" s="15" t="n">
        <v>0.007</v>
      </c>
      <c r="E1493" s="4" t="n">
        <v>175000</v>
      </c>
      <c r="F1493" s="4" t="n">
        <v>1225</v>
      </c>
    </row>
    <row r="1494">
      <c r="A1494" s="3" t="inlineStr">
        <is>
          <t>4</t>
        </is>
      </c>
      <c r="B1494" s="3" t="inlineStr">
        <is>
          <t>Mandor</t>
        </is>
      </c>
      <c r="C1494" s="3" t="inlineStr">
        <is>
          <t>OH</t>
        </is>
      </c>
      <c r="D1494" s="15" t="n">
        <v>0.0023</v>
      </c>
      <c r="E1494" s="4" t="n">
        <v>200000</v>
      </c>
      <c r="F1494" s="4" t="n">
        <v>460</v>
      </c>
    </row>
    <row r="1495">
      <c r="A1495" s="3" t="inlineStr">
        <is>
          <t>1</t>
        </is>
      </c>
      <c r="B1495" s="3" t="inlineStr">
        <is>
          <t>"Asbes gelombang besar 6 mm 210x108 cm"</t>
        </is>
      </c>
      <c r="C1495" s="3" t="inlineStr">
        <is>
          <t>lembar</t>
        </is>
      </c>
      <c r="D1495" s="15" t="n">
        <v>0.49</v>
      </c>
      <c r="E1495" s="4" t="n">
        <v>92900</v>
      </c>
      <c r="F1495" s="4" t="n">
        <v>45521</v>
      </c>
    </row>
    <row r="1496">
      <c r="A1496" s="3" t="inlineStr">
        <is>
          <t>2</t>
        </is>
      </c>
      <c r="B1496" s="3" t="inlineStr">
        <is>
          <t>Paku pancing 6x23</t>
        </is>
      </c>
      <c r="C1496" s="3" t="inlineStr">
        <is>
          <t>kg</t>
        </is>
      </c>
      <c r="D1496" s="15" t="n">
        <v>0.12</v>
      </c>
      <c r="E1496" s="4" t="n">
        <v>19460</v>
      </c>
      <c r="F1496" s="4" t="n">
        <v>2335.2</v>
      </c>
    </row>
    <row r="1497">
      <c r="D1497" s="2" t="inlineStr">
        <is>
          <t>SUBTOTAL UPAH</t>
        </is>
      </c>
      <c r="F1497" s="16" t="n">
        <v>25835</v>
      </c>
    </row>
    <row r="1498">
      <c r="D1498" s="2" t="inlineStr">
        <is>
          <t>SUBTOTAL BAHAN</t>
        </is>
      </c>
      <c r="F1498" s="16" t="n">
        <v>47856.2</v>
      </c>
    </row>
    <row r="1499">
      <c r="D1499" s="2" t="inlineStr">
        <is>
          <t>SUBTOTAL ALAT</t>
        </is>
      </c>
      <c r="F1499" s="16" t="n">
        <v>0</v>
      </c>
    </row>
    <row r="1500">
      <c r="E1500" s="2" t="inlineStr">
        <is>
          <t>TOTAL HARGA SATUAN (Inc. Overhead)</t>
        </is>
      </c>
      <c r="F1500" s="17" t="n">
        <v>81060</v>
      </c>
    </row>
    <row r="1502">
      <c r="A1502" s="14" t="inlineStr">
        <is>
          <t>KODE: 3.1.2.14 - Pemasangan 1 m2 atap Serat Semen gelombang 108 cm x 180 cm x 6 mm</t>
        </is>
      </c>
    </row>
    <row r="1503">
      <c r="A1503" s="10" t="inlineStr">
        <is>
          <t>No</t>
        </is>
      </c>
      <c r="B1503" s="10" t="inlineStr">
        <is>
          <t>Uraian Komponen</t>
        </is>
      </c>
      <c r="C1503" s="10" t="inlineStr">
        <is>
          <t>Satuan</t>
        </is>
      </c>
      <c r="D1503" s="10" t="inlineStr">
        <is>
          <t>Koef</t>
        </is>
      </c>
      <c r="E1503" s="10" t="inlineStr">
        <is>
          <t>Harga Satuan (Rp)</t>
        </is>
      </c>
      <c r="F1503" s="10" t="inlineStr">
        <is>
          <t>Jumlah Harga (Rp)</t>
        </is>
      </c>
    </row>
    <row r="1504">
      <c r="A1504" s="3" t="inlineStr">
        <is>
          <t>1</t>
        </is>
      </c>
      <c r="B1504" s="3" t="inlineStr">
        <is>
          <t>Pekerja</t>
        </is>
      </c>
      <c r="C1504" s="3" t="inlineStr">
        <is>
          <t>OH</t>
        </is>
      </c>
      <c r="D1504" s="15" t="n">
        <v>0.14</v>
      </c>
      <c r="E1504" s="4" t="n">
        <v>100000</v>
      </c>
      <c r="F1504" s="4" t="n">
        <v>14000</v>
      </c>
    </row>
    <row r="1505">
      <c r="A1505" s="3" t="inlineStr">
        <is>
          <t>2</t>
        </is>
      </c>
      <c r="B1505" s="3" t="inlineStr">
        <is>
          <t>Tukang kayu</t>
        </is>
      </c>
      <c r="C1505" s="3" t="inlineStr">
        <is>
          <t>OH</t>
        </is>
      </c>
      <c r="D1505" s="15" t="n">
        <v>0.07000000000000001</v>
      </c>
      <c r="E1505" s="4" t="n">
        <v>145000</v>
      </c>
      <c r="F1505" s="4" t="n">
        <v>10150</v>
      </c>
    </row>
    <row r="1506">
      <c r="A1506" s="3" t="inlineStr">
        <is>
          <t>3</t>
        </is>
      </c>
      <c r="B1506" s="3" t="inlineStr">
        <is>
          <t>Kepala tukang</t>
        </is>
      </c>
      <c r="C1506" s="3" t="inlineStr">
        <is>
          <t>OH</t>
        </is>
      </c>
      <c r="D1506" s="15" t="n">
        <v>0.007</v>
      </c>
      <c r="E1506" s="4" t="n">
        <v>175000</v>
      </c>
      <c r="F1506" s="4" t="n">
        <v>1225</v>
      </c>
    </row>
    <row r="1507">
      <c r="A1507" s="3" t="inlineStr">
        <is>
          <t>4</t>
        </is>
      </c>
      <c r="B1507" s="3" t="inlineStr">
        <is>
          <t>Mandor</t>
        </is>
      </c>
      <c r="C1507" s="3" t="inlineStr">
        <is>
          <t>OH</t>
        </is>
      </c>
      <c r="D1507" s="15" t="n">
        <v>0.0023</v>
      </c>
      <c r="E1507" s="4" t="n">
        <v>200000</v>
      </c>
      <c r="F1507" s="4" t="n">
        <v>460</v>
      </c>
    </row>
    <row r="1508">
      <c r="A1508" s="3" t="inlineStr">
        <is>
          <t>1</t>
        </is>
      </c>
      <c r="B1508" s="3" t="inlineStr">
        <is>
          <t>"Asbes gelombang besar 6 mm 180x108 cm"</t>
        </is>
      </c>
      <c r="C1508" s="3" t="inlineStr">
        <is>
          <t>lembar</t>
        </is>
      </c>
      <c r="D1508" s="15" t="n">
        <v>0.57</v>
      </c>
      <c r="E1508" s="4" t="n">
        <v>93000</v>
      </c>
      <c r="F1508" s="4" t="n">
        <v>53009.99999999999</v>
      </c>
    </row>
    <row r="1509">
      <c r="A1509" s="3" t="inlineStr">
        <is>
          <t>2</t>
        </is>
      </c>
      <c r="B1509" s="3" t="inlineStr">
        <is>
          <t>Paku pancing 6x23</t>
        </is>
      </c>
      <c r="C1509" s="3" t="inlineStr">
        <is>
          <t>kg</t>
        </is>
      </c>
      <c r="D1509" s="15" t="n">
        <v>0.12</v>
      </c>
      <c r="E1509" s="4" t="n">
        <v>19460</v>
      </c>
      <c r="F1509" s="4" t="n">
        <v>2335.2</v>
      </c>
    </row>
    <row r="1510">
      <c r="D1510" s="2" t="inlineStr">
        <is>
          <t>SUBTOTAL UPAH</t>
        </is>
      </c>
      <c r="F1510" s="16" t="n">
        <v>25835</v>
      </c>
    </row>
    <row r="1511">
      <c r="D1511" s="2" t="inlineStr">
        <is>
          <t>SUBTOTAL BAHAN</t>
        </is>
      </c>
      <c r="F1511" s="16" t="n">
        <v>55345.19999999999</v>
      </c>
    </row>
    <row r="1512">
      <c r="D1512" s="2" t="inlineStr">
        <is>
          <t>SUBTOTAL ALAT</t>
        </is>
      </c>
      <c r="F1512" s="16" t="n">
        <v>0</v>
      </c>
    </row>
    <row r="1513">
      <c r="E1513" s="2" t="inlineStr">
        <is>
          <t>TOTAL HARGA SATUAN (Inc. Overhead)</t>
        </is>
      </c>
      <c r="F1513" s="17" t="n">
        <v>89298</v>
      </c>
    </row>
    <row r="1515">
      <c r="A1515" s="14" t="inlineStr">
        <is>
          <t>KODE: 3.1.2.15 - Pemasangan 1 m' Nok/bubung setel gelombang 92 cm</t>
        </is>
      </c>
    </row>
    <row r="1516">
      <c r="A1516" s="10" t="inlineStr">
        <is>
          <t>No</t>
        </is>
      </c>
      <c r="B1516" s="10" t="inlineStr">
        <is>
          <t>Uraian Komponen</t>
        </is>
      </c>
      <c r="C1516" s="10" t="inlineStr">
        <is>
          <t>Satuan</t>
        </is>
      </c>
      <c r="D1516" s="10" t="inlineStr">
        <is>
          <t>Koef</t>
        </is>
      </c>
      <c r="E1516" s="10" t="inlineStr">
        <is>
          <t>Harga Satuan (Rp)</t>
        </is>
      </c>
      <c r="F1516" s="10" t="inlineStr">
        <is>
          <t>Jumlah Harga (Rp)</t>
        </is>
      </c>
    </row>
    <row r="1517">
      <c r="A1517" s="3" t="inlineStr">
        <is>
          <t>1</t>
        </is>
      </c>
      <c r="B1517" s="3" t="inlineStr">
        <is>
          <t>Pekerja</t>
        </is>
      </c>
      <c r="C1517" s="3" t="inlineStr">
        <is>
          <t>OH</t>
        </is>
      </c>
      <c r="D1517" s="15" t="n">
        <v>0.08400000000000001</v>
      </c>
      <c r="E1517" s="4" t="n">
        <v>100000</v>
      </c>
      <c r="F1517" s="4" t="n">
        <v>8400</v>
      </c>
    </row>
    <row r="1518">
      <c r="A1518" s="3" t="inlineStr">
        <is>
          <t>2</t>
        </is>
      </c>
      <c r="B1518" s="3" t="inlineStr">
        <is>
          <t>Tukang kayu</t>
        </is>
      </c>
      <c r="C1518" s="3" t="inlineStr">
        <is>
          <t>OH</t>
        </is>
      </c>
      <c r="D1518" s="15" t="n">
        <v>0.125</v>
      </c>
      <c r="E1518" s="4" t="n">
        <v>145000</v>
      </c>
      <c r="F1518" s="4" t="n">
        <v>18125</v>
      </c>
    </row>
    <row r="1519">
      <c r="A1519" s="3" t="inlineStr">
        <is>
          <t>3</t>
        </is>
      </c>
      <c r="B1519" s="3" t="inlineStr">
        <is>
          <t>Kepala tukang</t>
        </is>
      </c>
      <c r="C1519" s="3" t="inlineStr">
        <is>
          <t>OH</t>
        </is>
      </c>
      <c r="D1519" s="15" t="n">
        <v>0.0125</v>
      </c>
      <c r="E1519" s="4" t="n">
        <v>175000</v>
      </c>
      <c r="F1519" s="4" t="n">
        <v>2187.5</v>
      </c>
    </row>
    <row r="1520">
      <c r="A1520" s="3" t="inlineStr">
        <is>
          <t>4</t>
        </is>
      </c>
      <c r="B1520" s="3" t="inlineStr">
        <is>
          <t>Mandor</t>
        </is>
      </c>
      <c r="C1520" s="3" t="inlineStr">
        <is>
          <t>OH</t>
        </is>
      </c>
      <c r="D1520" s="15" t="n">
        <v>0.0042</v>
      </c>
      <c r="E1520" s="4" t="n">
        <v>200000</v>
      </c>
      <c r="F1520" s="4" t="n">
        <v>840</v>
      </c>
    </row>
    <row r="1521">
      <c r="A1521" s="3" t="inlineStr">
        <is>
          <t>1</t>
        </is>
      </c>
      <c r="B1521" s="3" t="inlineStr">
        <is>
          <t>Nok stel gelombang 92 cm</t>
        </is>
      </c>
      <c r="C1521" s="3" t="inlineStr">
        <is>
          <t>lembar</t>
        </is>
      </c>
      <c r="D1521" s="15" t="n">
        <v>2.4</v>
      </c>
      <c r="E1521" s="4" t="n">
        <v>60000</v>
      </c>
      <c r="F1521" s="4" t="n">
        <v>144000</v>
      </c>
    </row>
    <row r="1522">
      <c r="A1522" s="3" t="inlineStr">
        <is>
          <t>2</t>
        </is>
      </c>
      <c r="B1522" s="3" t="inlineStr">
        <is>
          <t>Paku sekrup</t>
        </is>
      </c>
      <c r="C1522" s="3" t="inlineStr">
        <is>
          <t>kg</t>
        </is>
      </c>
      <c r="D1522" s="15" t="n">
        <v>6</v>
      </c>
      <c r="E1522" s="4" t="n">
        <v>30090</v>
      </c>
      <c r="F1522" s="4" t="n">
        <v>180540</v>
      </c>
    </row>
    <row r="1523">
      <c r="D1523" s="2" t="inlineStr">
        <is>
          <t>SUBTOTAL UPAH</t>
        </is>
      </c>
      <c r="F1523" s="16" t="n">
        <v>29552.5</v>
      </c>
    </row>
    <row r="1524">
      <c r="D1524" s="2" t="inlineStr">
        <is>
          <t>SUBTOTAL BAHAN</t>
        </is>
      </c>
      <c r="F1524" s="16" t="n">
        <v>324540</v>
      </c>
    </row>
    <row r="1525">
      <c r="D1525" s="2" t="inlineStr">
        <is>
          <t>SUBTOTAL ALAT</t>
        </is>
      </c>
      <c r="F1525" s="16" t="n">
        <v>0</v>
      </c>
    </row>
    <row r="1526">
      <c r="E1526" s="2" t="inlineStr">
        <is>
          <t>TOTAL HARGA SATUAN (Inc. Overhead)</t>
        </is>
      </c>
      <c r="F1526" s="17" t="n">
        <v>389501</v>
      </c>
    </row>
    <row r="1528">
      <c r="A1528" s="14" t="inlineStr">
        <is>
          <t>KODE: 3.1.2.16 - Pemasangan 1 m' Nok/bubung stel gelombang 105 cm</t>
        </is>
      </c>
    </row>
    <row r="1529">
      <c r="A1529" s="10" t="inlineStr">
        <is>
          <t>No</t>
        </is>
      </c>
      <c r="B1529" s="10" t="inlineStr">
        <is>
          <t>Uraian Komponen</t>
        </is>
      </c>
      <c r="C1529" s="10" t="inlineStr">
        <is>
          <t>Satuan</t>
        </is>
      </c>
      <c r="D1529" s="10" t="inlineStr">
        <is>
          <t>Koef</t>
        </is>
      </c>
      <c r="E1529" s="10" t="inlineStr">
        <is>
          <t>Harga Satuan (Rp)</t>
        </is>
      </c>
      <c r="F1529" s="10" t="inlineStr">
        <is>
          <t>Jumlah Harga (Rp)</t>
        </is>
      </c>
    </row>
    <row r="1530">
      <c r="A1530" s="3" t="inlineStr">
        <is>
          <t>1</t>
        </is>
      </c>
      <c r="B1530" s="3" t="inlineStr">
        <is>
          <t>Pekerja</t>
        </is>
      </c>
      <c r="C1530" s="3" t="inlineStr">
        <is>
          <t>OH</t>
        </is>
      </c>
      <c r="D1530" s="15" t="n">
        <v>0.08400000000000001</v>
      </c>
      <c r="E1530" s="4" t="n">
        <v>100000</v>
      </c>
      <c r="F1530" s="4" t="n">
        <v>8400</v>
      </c>
    </row>
    <row r="1531">
      <c r="A1531" s="3" t="inlineStr">
        <is>
          <t>2</t>
        </is>
      </c>
      <c r="B1531" s="3" t="inlineStr">
        <is>
          <t>Tukang kayu</t>
        </is>
      </c>
      <c r="C1531" s="3" t="inlineStr">
        <is>
          <t>OH</t>
        </is>
      </c>
      <c r="D1531" s="15" t="n">
        <v>0.125</v>
      </c>
      <c r="E1531" s="4" t="n">
        <v>145000</v>
      </c>
      <c r="F1531" s="4" t="n">
        <v>18125</v>
      </c>
    </row>
    <row r="1532">
      <c r="A1532" s="3" t="inlineStr">
        <is>
          <t>3</t>
        </is>
      </c>
      <c r="B1532" s="3" t="inlineStr">
        <is>
          <t>Kepala tukang</t>
        </is>
      </c>
      <c r="C1532" s="3" t="inlineStr">
        <is>
          <t>OH</t>
        </is>
      </c>
      <c r="D1532" s="15" t="n">
        <v>0.0125</v>
      </c>
      <c r="E1532" s="4" t="n">
        <v>175000</v>
      </c>
      <c r="F1532" s="4" t="n">
        <v>2187.5</v>
      </c>
    </row>
    <row r="1533">
      <c r="A1533" s="3" t="inlineStr">
        <is>
          <t>4</t>
        </is>
      </c>
      <c r="B1533" s="3" t="inlineStr">
        <is>
          <t>Mandor</t>
        </is>
      </c>
      <c r="C1533" s="3" t="inlineStr">
        <is>
          <t>OH</t>
        </is>
      </c>
      <c r="D1533" s="15" t="n">
        <v>0.0042</v>
      </c>
      <c r="E1533" s="4" t="n">
        <v>200000</v>
      </c>
      <c r="F1533" s="4" t="n">
        <v>840</v>
      </c>
    </row>
    <row r="1534">
      <c r="A1534" s="3" t="inlineStr">
        <is>
          <t>1</t>
        </is>
      </c>
      <c r="B1534" s="3" t="inlineStr">
        <is>
          <t>Nok stel gelombang 105 cm</t>
        </is>
      </c>
      <c r="C1534" s="3" t="inlineStr">
        <is>
          <t>lembar</t>
        </is>
      </c>
      <c r="D1534" s="15" t="n">
        <v>2.1</v>
      </c>
      <c r="E1534" s="4" t="n">
        <v>70000</v>
      </c>
      <c r="F1534" s="4" t="n">
        <v>147000</v>
      </c>
    </row>
    <row r="1535">
      <c r="A1535" s="3" t="inlineStr">
        <is>
          <t>2</t>
        </is>
      </c>
      <c r="B1535" s="3" t="inlineStr">
        <is>
          <t>Paku sekrup</t>
        </is>
      </c>
      <c r="C1535" s="3" t="inlineStr">
        <is>
          <t>kg</t>
        </is>
      </c>
      <c r="D1535" s="15" t="n">
        <v>6</v>
      </c>
      <c r="E1535" s="4" t="n">
        <v>30090</v>
      </c>
      <c r="F1535" s="4" t="n">
        <v>180540</v>
      </c>
    </row>
    <row r="1536">
      <c r="D1536" s="2" t="inlineStr">
        <is>
          <t>SUBTOTAL UPAH</t>
        </is>
      </c>
      <c r="F1536" s="16" t="n">
        <v>29552.5</v>
      </c>
    </row>
    <row r="1537">
      <c r="D1537" s="2" t="inlineStr">
        <is>
          <t>SUBTOTAL BAHAN</t>
        </is>
      </c>
      <c r="F1537" s="16" t="n">
        <v>327540</v>
      </c>
    </row>
    <row r="1538">
      <c r="D1538" s="2" t="inlineStr">
        <is>
          <t>SUBTOTAL ALAT</t>
        </is>
      </c>
      <c r="F1538" s="16" t="n">
        <v>0</v>
      </c>
    </row>
    <row r="1539">
      <c r="E1539" s="2" t="inlineStr">
        <is>
          <t>TOTAL HARGA SATUAN (Inc. Overhead)</t>
        </is>
      </c>
      <c r="F1539" s="17" t="n">
        <v>392801</v>
      </c>
    </row>
    <row r="1541">
      <c r="A1541" s="14" t="inlineStr">
        <is>
          <t>KODE: 3.1.2.17 - Pemasangan 1 m' Nok/bubung stel gelombang 108 cm</t>
        </is>
      </c>
    </row>
    <row r="1542">
      <c r="A1542" s="10" t="inlineStr">
        <is>
          <t>No</t>
        </is>
      </c>
      <c r="B1542" s="10" t="inlineStr">
        <is>
          <t>Uraian Komponen</t>
        </is>
      </c>
      <c r="C1542" s="10" t="inlineStr">
        <is>
          <t>Satuan</t>
        </is>
      </c>
      <c r="D1542" s="10" t="inlineStr">
        <is>
          <t>Koef</t>
        </is>
      </c>
      <c r="E1542" s="10" t="inlineStr">
        <is>
          <t>Harga Satuan (Rp)</t>
        </is>
      </c>
      <c r="F1542" s="10" t="inlineStr">
        <is>
          <t>Jumlah Harga (Rp)</t>
        </is>
      </c>
    </row>
    <row r="1543">
      <c r="A1543" s="3" t="inlineStr">
        <is>
          <t>1</t>
        </is>
      </c>
      <c r="B1543" s="3" t="inlineStr">
        <is>
          <t>Pekerja</t>
        </is>
      </c>
      <c r="C1543" s="3" t="inlineStr">
        <is>
          <t>OH</t>
        </is>
      </c>
      <c r="D1543" s="15" t="n">
        <v>0.08400000000000001</v>
      </c>
      <c r="E1543" s="4" t="n">
        <v>100000</v>
      </c>
      <c r="F1543" s="4" t="n">
        <v>8400</v>
      </c>
    </row>
    <row r="1544">
      <c r="A1544" s="3" t="inlineStr">
        <is>
          <t>2</t>
        </is>
      </c>
      <c r="B1544" s="3" t="inlineStr">
        <is>
          <t>Tukang kayu</t>
        </is>
      </c>
      <c r="C1544" s="3" t="inlineStr">
        <is>
          <t>OH</t>
        </is>
      </c>
      <c r="D1544" s="15" t="n">
        <v>0.125</v>
      </c>
      <c r="E1544" s="4" t="n">
        <v>145000</v>
      </c>
      <c r="F1544" s="4" t="n">
        <v>18125</v>
      </c>
    </row>
    <row r="1545">
      <c r="A1545" s="3" t="inlineStr">
        <is>
          <t>3</t>
        </is>
      </c>
      <c r="B1545" s="3" t="inlineStr">
        <is>
          <t>Kepala tukang</t>
        </is>
      </c>
      <c r="C1545" s="3" t="inlineStr">
        <is>
          <t>OH</t>
        </is>
      </c>
      <c r="D1545" s="15" t="n">
        <v>0.0125</v>
      </c>
      <c r="E1545" s="4" t="n">
        <v>175000</v>
      </c>
      <c r="F1545" s="4" t="n">
        <v>2187.5</v>
      </c>
    </row>
    <row r="1546">
      <c r="A1546" s="3" t="inlineStr">
        <is>
          <t>4</t>
        </is>
      </c>
      <c r="B1546" s="3" t="inlineStr">
        <is>
          <t>Mandor</t>
        </is>
      </c>
      <c r="C1546" s="3" t="inlineStr">
        <is>
          <t>OH</t>
        </is>
      </c>
      <c r="D1546" s="15" t="n">
        <v>0.0042</v>
      </c>
      <c r="E1546" s="4" t="n">
        <v>200000</v>
      </c>
      <c r="F1546" s="4" t="n">
        <v>840</v>
      </c>
    </row>
    <row r="1547">
      <c r="A1547" s="3" t="inlineStr">
        <is>
          <t>1</t>
        </is>
      </c>
      <c r="B1547" s="3" t="inlineStr">
        <is>
          <t>Nok stel gelombang 108 cm</t>
        </is>
      </c>
      <c r="C1547" s="3" t="inlineStr">
        <is>
          <t>lembar</t>
        </is>
      </c>
      <c r="D1547" s="15" t="n">
        <v>2</v>
      </c>
      <c r="E1547" s="4" t="n">
        <v>80000</v>
      </c>
      <c r="F1547" s="4" t="n">
        <v>160000</v>
      </c>
    </row>
    <row r="1548">
      <c r="A1548" s="3" t="inlineStr">
        <is>
          <t>2</t>
        </is>
      </c>
      <c r="B1548" s="3" t="inlineStr">
        <is>
          <t>Paku sekrup</t>
        </is>
      </c>
      <c r="C1548" s="3" t="inlineStr">
        <is>
          <t>kg</t>
        </is>
      </c>
      <c r="D1548" s="15" t="n">
        <v>6</v>
      </c>
      <c r="E1548" s="4" t="n">
        <v>30090</v>
      </c>
      <c r="F1548" s="4" t="n">
        <v>180540</v>
      </c>
    </row>
    <row r="1549">
      <c r="D1549" s="2" t="inlineStr">
        <is>
          <t>SUBTOTAL UPAH</t>
        </is>
      </c>
      <c r="F1549" s="16" t="n">
        <v>29552.5</v>
      </c>
    </row>
    <row r="1550">
      <c r="D1550" s="2" t="inlineStr">
        <is>
          <t>SUBTOTAL BAHAN</t>
        </is>
      </c>
      <c r="F1550" s="16" t="n">
        <v>340540</v>
      </c>
    </row>
    <row r="1551">
      <c r="D1551" s="2" t="inlineStr">
        <is>
          <t>SUBTOTAL ALAT</t>
        </is>
      </c>
      <c r="F1551" s="16" t="n">
        <v>0</v>
      </c>
    </row>
    <row r="1552">
      <c r="E1552" s="2" t="inlineStr">
        <is>
          <t>TOTAL HARGA SATUAN (Inc. Overhead)</t>
        </is>
      </c>
      <c r="F1552" s="17" t="n">
        <v>407101</v>
      </c>
    </row>
    <row r="1554">
      <c r="A1554" s="14" t="inlineStr">
        <is>
          <t>KODE: 3.1.2.18 - Pemasangan 1 m'Nok/ bubung paten (Permanen) 92 cm</t>
        </is>
      </c>
    </row>
    <row r="1555">
      <c r="A1555" s="10" t="inlineStr">
        <is>
          <t>No</t>
        </is>
      </c>
      <c r="B1555" s="10" t="inlineStr">
        <is>
          <t>Uraian Komponen</t>
        </is>
      </c>
      <c r="C1555" s="10" t="inlineStr">
        <is>
          <t>Satuan</t>
        </is>
      </c>
      <c r="D1555" s="10" t="inlineStr">
        <is>
          <t>Koef</t>
        </is>
      </c>
      <c r="E1555" s="10" t="inlineStr">
        <is>
          <t>Harga Satuan (Rp)</t>
        </is>
      </c>
      <c r="F1555" s="10" t="inlineStr">
        <is>
          <t>Jumlah Harga (Rp)</t>
        </is>
      </c>
    </row>
    <row r="1556">
      <c r="A1556" s="3" t="inlineStr">
        <is>
          <t>1</t>
        </is>
      </c>
      <c r="B1556" s="3" t="inlineStr">
        <is>
          <t>Pekerja</t>
        </is>
      </c>
      <c r="C1556" s="3" t="inlineStr">
        <is>
          <t>OH</t>
        </is>
      </c>
      <c r="D1556" s="15" t="n">
        <v>0.08400000000000001</v>
      </c>
      <c r="E1556" s="4" t="n">
        <v>100000</v>
      </c>
      <c r="F1556" s="4" t="n">
        <v>8400</v>
      </c>
    </row>
    <row r="1557">
      <c r="A1557" s="3" t="inlineStr">
        <is>
          <t>2</t>
        </is>
      </c>
      <c r="B1557" s="3" t="inlineStr">
        <is>
          <t>Tukang kayu</t>
        </is>
      </c>
      <c r="C1557" s="3" t="inlineStr">
        <is>
          <t>OH</t>
        </is>
      </c>
      <c r="D1557" s="15" t="n">
        <v>0.125</v>
      </c>
      <c r="E1557" s="4" t="n">
        <v>145000</v>
      </c>
      <c r="F1557" s="4" t="n">
        <v>18125</v>
      </c>
    </row>
    <row r="1558">
      <c r="A1558" s="3" t="inlineStr">
        <is>
          <t>3</t>
        </is>
      </c>
      <c r="B1558" s="3" t="inlineStr">
        <is>
          <t>Kepala tukang</t>
        </is>
      </c>
      <c r="C1558" s="3" t="inlineStr">
        <is>
          <t>OH</t>
        </is>
      </c>
      <c r="D1558" s="15" t="n">
        <v>0.0125</v>
      </c>
      <c r="E1558" s="4" t="n">
        <v>175000</v>
      </c>
      <c r="F1558" s="4" t="n">
        <v>2187.5</v>
      </c>
    </row>
    <row r="1559">
      <c r="A1559" s="3" t="inlineStr">
        <is>
          <t>4</t>
        </is>
      </c>
      <c r="B1559" s="3" t="inlineStr">
        <is>
          <t>Mandor</t>
        </is>
      </c>
      <c r="C1559" s="3" t="inlineStr">
        <is>
          <t>OH</t>
        </is>
      </c>
      <c r="D1559" s="15" t="n">
        <v>0.0042</v>
      </c>
      <c r="E1559" s="4" t="n">
        <v>200000</v>
      </c>
      <c r="F1559" s="4" t="n">
        <v>840</v>
      </c>
    </row>
    <row r="1560">
      <c r="A1560" s="3" t="inlineStr">
        <is>
          <t>1</t>
        </is>
      </c>
      <c r="B1560" s="3" t="inlineStr">
        <is>
          <t>Nok paten 92 cm</t>
        </is>
      </c>
      <c r="C1560" s="3" t="inlineStr">
        <is>
          <t>lembar</t>
        </is>
      </c>
      <c r="D1560" s="15" t="n">
        <v>1.1</v>
      </c>
      <c r="E1560" s="4" t="n">
        <v>65000</v>
      </c>
      <c r="F1560" s="4" t="n">
        <v>71500</v>
      </c>
    </row>
    <row r="1561">
      <c r="A1561" s="3" t="inlineStr">
        <is>
          <t>2</t>
        </is>
      </c>
      <c r="B1561" s="3" t="inlineStr">
        <is>
          <t>Paku sekrup</t>
        </is>
      </c>
      <c r="C1561" s="3" t="inlineStr">
        <is>
          <t>kg</t>
        </is>
      </c>
      <c r="D1561" s="15" t="n">
        <v>6</v>
      </c>
      <c r="E1561" s="4" t="n">
        <v>30090</v>
      </c>
      <c r="F1561" s="4" t="n">
        <v>180540</v>
      </c>
    </row>
    <row r="1562">
      <c r="D1562" s="2" t="inlineStr">
        <is>
          <t>SUBTOTAL UPAH</t>
        </is>
      </c>
      <c r="F1562" s="16" t="n">
        <v>29552.5</v>
      </c>
    </row>
    <row r="1563">
      <c r="D1563" s="2" t="inlineStr">
        <is>
          <t>SUBTOTAL BAHAN</t>
        </is>
      </c>
      <c r="F1563" s="16" t="n">
        <v>252040</v>
      </c>
    </row>
    <row r="1564">
      <c r="D1564" s="2" t="inlineStr">
        <is>
          <t>SUBTOTAL ALAT</t>
        </is>
      </c>
      <c r="F1564" s="16" t="n">
        <v>0</v>
      </c>
    </row>
    <row r="1565">
      <c r="E1565" s="2" t="inlineStr">
        <is>
          <t>TOTAL HARGA SATUAN (Inc. Overhead)</t>
        </is>
      </c>
      <c r="F1565" s="17" t="n">
        <v>309751</v>
      </c>
    </row>
    <row r="1567">
      <c r="A1567" s="14" t="inlineStr">
        <is>
          <t>KODE: 3.1.2.19 - Pemasangan 1 m' Nok/bubung paten (Permanen) 105 cm</t>
        </is>
      </c>
    </row>
    <row r="1568">
      <c r="A1568" s="10" t="inlineStr">
        <is>
          <t>No</t>
        </is>
      </c>
      <c r="B1568" s="10" t="inlineStr">
        <is>
          <t>Uraian Komponen</t>
        </is>
      </c>
      <c r="C1568" s="10" t="inlineStr">
        <is>
          <t>Satuan</t>
        </is>
      </c>
      <c r="D1568" s="10" t="inlineStr">
        <is>
          <t>Koef</t>
        </is>
      </c>
      <c r="E1568" s="10" t="inlineStr">
        <is>
          <t>Harga Satuan (Rp)</t>
        </is>
      </c>
      <c r="F1568" s="10" t="inlineStr">
        <is>
          <t>Jumlah Harga (Rp)</t>
        </is>
      </c>
    </row>
    <row r="1569">
      <c r="A1569" s="3" t="inlineStr">
        <is>
          <t>1</t>
        </is>
      </c>
      <c r="B1569" s="3" t="inlineStr">
        <is>
          <t>Pekerja</t>
        </is>
      </c>
      <c r="C1569" s="3" t="inlineStr">
        <is>
          <t>OH</t>
        </is>
      </c>
      <c r="D1569" s="15" t="n">
        <v>0.08400000000000001</v>
      </c>
      <c r="E1569" s="4" t="n">
        <v>100000</v>
      </c>
      <c r="F1569" s="4" t="n">
        <v>8400</v>
      </c>
    </row>
    <row r="1570">
      <c r="A1570" s="3" t="inlineStr">
        <is>
          <t>2</t>
        </is>
      </c>
      <c r="B1570" s="3" t="inlineStr">
        <is>
          <t>Tukang kayu</t>
        </is>
      </c>
      <c r="C1570" s="3" t="inlineStr">
        <is>
          <t>OH</t>
        </is>
      </c>
      <c r="D1570" s="15" t="n">
        <v>0.125</v>
      </c>
      <c r="E1570" s="4" t="n">
        <v>145000</v>
      </c>
      <c r="F1570" s="4" t="n">
        <v>18125</v>
      </c>
    </row>
    <row r="1571">
      <c r="A1571" s="3" t="inlineStr">
        <is>
          <t>3</t>
        </is>
      </c>
      <c r="B1571" s="3" t="inlineStr">
        <is>
          <t>Kepala tukang</t>
        </is>
      </c>
      <c r="C1571" s="3" t="inlineStr">
        <is>
          <t>OH</t>
        </is>
      </c>
      <c r="D1571" s="15" t="n">
        <v>0.0125</v>
      </c>
      <c r="E1571" s="4" t="n">
        <v>175000</v>
      </c>
      <c r="F1571" s="4" t="n">
        <v>2187.5</v>
      </c>
    </row>
    <row r="1572">
      <c r="A1572" s="3" t="inlineStr">
        <is>
          <t>4</t>
        </is>
      </c>
      <c r="B1572" s="3" t="inlineStr">
        <is>
          <t>Mandor</t>
        </is>
      </c>
      <c r="C1572" s="3" t="inlineStr">
        <is>
          <t>OH</t>
        </is>
      </c>
      <c r="D1572" s="15" t="n">
        <v>0.0042</v>
      </c>
      <c r="E1572" s="4" t="n">
        <v>200000</v>
      </c>
      <c r="F1572" s="4" t="n">
        <v>840</v>
      </c>
    </row>
    <row r="1573">
      <c r="A1573" s="3" t="inlineStr">
        <is>
          <t>1</t>
        </is>
      </c>
      <c r="B1573" s="3" t="inlineStr">
        <is>
          <t>Nok paten 105 cm</t>
        </is>
      </c>
      <c r="C1573" s="3" t="inlineStr">
        <is>
          <t>lembar</t>
        </is>
      </c>
      <c r="D1573" s="15" t="n">
        <v>1.2</v>
      </c>
      <c r="E1573" s="4" t="n">
        <v>70000</v>
      </c>
      <c r="F1573" s="4" t="n">
        <v>84000</v>
      </c>
    </row>
    <row r="1574">
      <c r="A1574" s="3" t="inlineStr">
        <is>
          <t>2</t>
        </is>
      </c>
      <c r="B1574" s="3" t="inlineStr">
        <is>
          <t>Paku sekrup</t>
        </is>
      </c>
      <c r="C1574" s="3" t="inlineStr">
        <is>
          <t>kg</t>
        </is>
      </c>
      <c r="D1574" s="15" t="n">
        <v>6</v>
      </c>
      <c r="E1574" s="4" t="n">
        <v>30090</v>
      </c>
      <c r="F1574" s="4" t="n">
        <v>180540</v>
      </c>
    </row>
    <row r="1575">
      <c r="D1575" s="2" t="inlineStr">
        <is>
          <t>SUBTOTAL UPAH</t>
        </is>
      </c>
      <c r="F1575" s="16" t="n">
        <v>29552.5</v>
      </c>
    </row>
    <row r="1576">
      <c r="D1576" s="2" t="inlineStr">
        <is>
          <t>SUBTOTAL BAHAN</t>
        </is>
      </c>
      <c r="F1576" s="16" t="n">
        <v>264540</v>
      </c>
    </row>
    <row r="1577">
      <c r="D1577" s="2" t="inlineStr">
        <is>
          <t>SUBTOTAL ALAT</t>
        </is>
      </c>
      <c r="F1577" s="16" t="n">
        <v>0</v>
      </c>
    </row>
    <row r="1578">
      <c r="E1578" s="2" t="inlineStr">
        <is>
          <t>TOTAL HARGA SATUAN (Inc. Overhead)</t>
        </is>
      </c>
      <c r="F1578" s="17" t="n">
        <v>323501</v>
      </c>
    </row>
    <row r="1580">
      <c r="A1580" s="14" t="inlineStr">
        <is>
          <t>KODE: 3.1.2.20 - Pemasangan 1 m' Nok/bubung paten(Permanen) 108 cm</t>
        </is>
      </c>
    </row>
    <row r="1581">
      <c r="A1581" s="10" t="inlineStr">
        <is>
          <t>No</t>
        </is>
      </c>
      <c r="B1581" s="10" t="inlineStr">
        <is>
          <t>Uraian Komponen</t>
        </is>
      </c>
      <c r="C1581" s="10" t="inlineStr">
        <is>
          <t>Satuan</t>
        </is>
      </c>
      <c r="D1581" s="10" t="inlineStr">
        <is>
          <t>Koef</t>
        </is>
      </c>
      <c r="E1581" s="10" t="inlineStr">
        <is>
          <t>Harga Satuan (Rp)</t>
        </is>
      </c>
      <c r="F1581" s="10" t="inlineStr">
        <is>
          <t>Jumlah Harga (Rp)</t>
        </is>
      </c>
    </row>
    <row r="1582">
      <c r="A1582" s="3" t="inlineStr">
        <is>
          <t>1</t>
        </is>
      </c>
      <c r="B1582" s="3" t="inlineStr">
        <is>
          <t>Pekerja</t>
        </is>
      </c>
      <c r="C1582" s="3" t="inlineStr">
        <is>
          <t>OH</t>
        </is>
      </c>
      <c r="D1582" s="15" t="n">
        <v>0.08400000000000001</v>
      </c>
      <c r="E1582" s="4" t="n">
        <v>100000</v>
      </c>
      <c r="F1582" s="4" t="n">
        <v>8400</v>
      </c>
    </row>
    <row r="1583">
      <c r="A1583" s="3" t="inlineStr">
        <is>
          <t>2</t>
        </is>
      </c>
      <c r="B1583" s="3" t="inlineStr">
        <is>
          <t>Tukang kayu</t>
        </is>
      </c>
      <c r="C1583" s="3" t="inlineStr">
        <is>
          <t>OH</t>
        </is>
      </c>
      <c r="D1583" s="15" t="n">
        <v>0.125</v>
      </c>
      <c r="E1583" s="4" t="n">
        <v>145000</v>
      </c>
      <c r="F1583" s="4" t="n">
        <v>18125</v>
      </c>
    </row>
    <row r="1584">
      <c r="A1584" s="3" t="inlineStr">
        <is>
          <t>3</t>
        </is>
      </c>
      <c r="B1584" s="3" t="inlineStr">
        <is>
          <t>Kepala tukang</t>
        </is>
      </c>
      <c r="C1584" s="3" t="inlineStr">
        <is>
          <t>OH</t>
        </is>
      </c>
      <c r="D1584" s="15" t="n">
        <v>0.0125</v>
      </c>
      <c r="E1584" s="4" t="n">
        <v>175000</v>
      </c>
      <c r="F1584" s="4" t="n">
        <v>2187.5</v>
      </c>
    </row>
    <row r="1585">
      <c r="A1585" s="3" t="inlineStr">
        <is>
          <t>4</t>
        </is>
      </c>
      <c r="B1585" s="3" t="inlineStr">
        <is>
          <t>Mandor</t>
        </is>
      </c>
      <c r="C1585" s="3" t="inlineStr">
        <is>
          <t>OH</t>
        </is>
      </c>
      <c r="D1585" s="15" t="n">
        <v>0.0042</v>
      </c>
      <c r="E1585" s="4" t="n">
        <v>200000</v>
      </c>
      <c r="F1585" s="4" t="n">
        <v>840</v>
      </c>
    </row>
    <row r="1586">
      <c r="A1586" s="3" t="inlineStr">
        <is>
          <t>1</t>
        </is>
      </c>
      <c r="B1586" s="3" t="inlineStr">
        <is>
          <t>Nok paten 108 cm</t>
        </is>
      </c>
      <c r="C1586" s="3" t="inlineStr">
        <is>
          <t>lembar</t>
        </is>
      </c>
      <c r="D1586" s="15" t="n">
        <v>1.2</v>
      </c>
      <c r="E1586" s="4" t="n">
        <v>75000</v>
      </c>
      <c r="F1586" s="4" t="n">
        <v>90000</v>
      </c>
    </row>
    <row r="1587">
      <c r="A1587" s="3" t="inlineStr">
        <is>
          <t>2</t>
        </is>
      </c>
      <c r="B1587" s="3" t="inlineStr">
        <is>
          <t>Paku sekrup</t>
        </is>
      </c>
      <c r="C1587" s="3" t="inlineStr">
        <is>
          <t>kg</t>
        </is>
      </c>
      <c r="D1587" s="15" t="n">
        <v>6</v>
      </c>
      <c r="E1587" s="4" t="n">
        <v>30090</v>
      </c>
      <c r="F1587" s="4" t="n">
        <v>180540</v>
      </c>
    </row>
    <row r="1588">
      <c r="D1588" s="2" t="inlineStr">
        <is>
          <t>SUBTOTAL UPAH</t>
        </is>
      </c>
      <c r="F1588" s="16" t="n">
        <v>29552.5</v>
      </c>
    </row>
    <row r="1589">
      <c r="D1589" s="2" t="inlineStr">
        <is>
          <t>SUBTOTAL BAHAN</t>
        </is>
      </c>
      <c r="F1589" s="16" t="n">
        <v>270540</v>
      </c>
    </row>
    <row r="1590">
      <c r="D1590" s="2" t="inlineStr">
        <is>
          <t>SUBTOTAL ALAT</t>
        </is>
      </c>
      <c r="F1590" s="16" t="n">
        <v>0</v>
      </c>
    </row>
    <row r="1591">
      <c r="E1591" s="2" t="inlineStr">
        <is>
          <t>TOTAL HARGA SATUAN (Inc. Overhead)</t>
        </is>
      </c>
      <c r="F1591" s="17" t="n">
        <v>330101</v>
      </c>
    </row>
    <row r="1593">
      <c r="A1593" s="14" t="inlineStr">
        <is>
          <t>KODE: 3.1.2.21 - Pemasangan 1 m' Nok/bubung setel rata 92 cm</t>
        </is>
      </c>
    </row>
    <row r="1594">
      <c r="A1594" s="10" t="inlineStr">
        <is>
          <t>No</t>
        </is>
      </c>
      <c r="B1594" s="10" t="inlineStr">
        <is>
          <t>Uraian Komponen</t>
        </is>
      </c>
      <c r="C1594" s="10" t="inlineStr">
        <is>
          <t>Satuan</t>
        </is>
      </c>
      <c r="D1594" s="10" t="inlineStr">
        <is>
          <t>Koef</t>
        </is>
      </c>
      <c r="E1594" s="10" t="inlineStr">
        <is>
          <t>Harga Satuan (Rp)</t>
        </is>
      </c>
      <c r="F1594" s="10" t="inlineStr">
        <is>
          <t>Jumlah Harga (Rp)</t>
        </is>
      </c>
    </row>
    <row r="1595">
      <c r="A1595" s="3" t="inlineStr">
        <is>
          <t>1</t>
        </is>
      </c>
      <c r="B1595" s="3" t="inlineStr">
        <is>
          <t>Pekerja OH</t>
        </is>
      </c>
      <c r="C1595" s="3" t="inlineStr">
        <is>
          <t>0.084</t>
        </is>
      </c>
      <c r="D1595" s="15" t="n">
        <v>100000</v>
      </c>
      <c r="E1595" s="4" t="n">
        <v>8400</v>
      </c>
      <c r="F1595" s="4" t="n">
        <v>0.1</v>
      </c>
    </row>
    <row r="1596">
      <c r="A1596" s="3" t="inlineStr">
        <is>
          <t>2</t>
        </is>
      </c>
      <c r="B1596" s="3" t="inlineStr">
        <is>
          <t>Tukang kayu OH</t>
        </is>
      </c>
      <c r="C1596" s="3" t="inlineStr">
        <is>
          <t>0.125</t>
        </is>
      </c>
      <c r="D1596" s="15" t="n">
        <v>145000</v>
      </c>
      <c r="E1596" s="4" t="n">
        <v>18125</v>
      </c>
      <c r="F1596" s="4" t="n">
        <v>0.15</v>
      </c>
    </row>
    <row r="1597">
      <c r="A1597" s="3" t="inlineStr">
        <is>
          <t>3</t>
        </is>
      </c>
      <c r="B1597" s="3" t="inlineStr">
        <is>
          <t>Kepala tukang OH</t>
        </is>
      </c>
      <c r="C1597" s="3" t="inlineStr">
        <is>
          <t>0.0125</t>
        </is>
      </c>
      <c r="D1597" s="15" t="n">
        <v>175000</v>
      </c>
      <c r="E1597" s="4" t="n">
        <v>2187.5</v>
      </c>
      <c r="F1597" s="4" t="n">
        <v>0.015</v>
      </c>
    </row>
    <row r="1598">
      <c r="A1598" s="3" t="inlineStr">
        <is>
          <t>4</t>
        </is>
      </c>
      <c r="B1598" s="3" t="inlineStr">
        <is>
          <t>Mandor OH</t>
        </is>
      </c>
      <c r="C1598" s="3" t="inlineStr">
        <is>
          <t>0.0042</t>
        </is>
      </c>
      <c r="D1598" s="15" t="n">
        <v>200000</v>
      </c>
      <c r="E1598" s="4" t="n">
        <v>840</v>
      </c>
      <c r="F1598" s="4" t="n">
        <v>0.005</v>
      </c>
    </row>
    <row r="1599">
      <c r="A1599" s="3" t="inlineStr">
        <is>
          <t>1</t>
        </is>
      </c>
      <c r="B1599" s="3" t="inlineStr">
        <is>
          <t>Nok setel rata 92 cm</t>
        </is>
      </c>
      <c r="C1599" s="3" t="inlineStr">
        <is>
          <t>lembar</t>
        </is>
      </c>
      <c r="D1599" s="15" t="n">
        <v>1.1</v>
      </c>
      <c r="E1599" s="4" t="n">
        <v>70000</v>
      </c>
      <c r="F1599" s="4" t="n">
        <v>77000</v>
      </c>
    </row>
    <row r="1600">
      <c r="A1600" s="3" t="inlineStr">
        <is>
          <t>2</t>
        </is>
      </c>
      <c r="B1600" s="3" t="inlineStr">
        <is>
          <t>Paku sekrup</t>
        </is>
      </c>
      <c r="C1600" s="3" t="inlineStr">
        <is>
          <t>kg</t>
        </is>
      </c>
      <c r="D1600" s="15" t="n">
        <v>6</v>
      </c>
      <c r="E1600" s="4" t="n">
        <v>30090</v>
      </c>
      <c r="F1600" s="4" t="n">
        <v>180540</v>
      </c>
    </row>
    <row r="1601">
      <c r="D1601" s="2" t="inlineStr">
        <is>
          <t>SUBTOTAL UPAH</t>
        </is>
      </c>
      <c r="F1601" s="16" t="n">
        <v>29552.5</v>
      </c>
    </row>
    <row r="1602">
      <c r="D1602" s="2" t="inlineStr">
        <is>
          <t>SUBTOTAL BAHAN</t>
        </is>
      </c>
      <c r="F1602" s="16" t="n">
        <v>257540</v>
      </c>
    </row>
    <row r="1603">
      <c r="D1603" s="2" t="inlineStr">
        <is>
          <t>SUBTOTAL ALAT</t>
        </is>
      </c>
      <c r="F1603" s="16" t="n">
        <v>0</v>
      </c>
    </row>
    <row r="1604">
      <c r="E1604" s="2" t="inlineStr">
        <is>
          <t>TOTAL HARGA SATUAN (Inc. Overhead)</t>
        </is>
      </c>
      <c r="F1604" s="17" t="n">
        <v>315801</v>
      </c>
    </row>
    <row r="1606">
      <c r="A1606" s="14" t="inlineStr">
        <is>
          <t>KODE: 3.1.2.22 - Pemasangan 1 m' ok/bubung setel rata 105 cm</t>
        </is>
      </c>
    </row>
    <row r="1607">
      <c r="A1607" s="10" t="inlineStr">
        <is>
          <t>No</t>
        </is>
      </c>
      <c r="B1607" s="10" t="inlineStr">
        <is>
          <t>Uraian Komponen</t>
        </is>
      </c>
      <c r="C1607" s="10" t="inlineStr">
        <is>
          <t>Satuan</t>
        </is>
      </c>
      <c r="D1607" s="10" t="inlineStr">
        <is>
          <t>Koef</t>
        </is>
      </c>
      <c r="E1607" s="10" t="inlineStr">
        <is>
          <t>Harga Satuan (Rp)</t>
        </is>
      </c>
      <c r="F1607" s="10" t="inlineStr">
        <is>
          <t>Jumlah Harga (Rp)</t>
        </is>
      </c>
    </row>
    <row r="1608">
      <c r="A1608" s="3" t="inlineStr">
        <is>
          <t>1</t>
        </is>
      </c>
      <c r="B1608" s="3" t="inlineStr">
        <is>
          <t>Pekerja</t>
        </is>
      </c>
      <c r="C1608" s="3" t="inlineStr">
        <is>
          <t>OH</t>
        </is>
      </c>
      <c r="D1608" s="15" t="n">
        <v>0.08400000000000001</v>
      </c>
      <c r="E1608" s="4" t="n">
        <v>100000</v>
      </c>
      <c r="F1608" s="4" t="n">
        <v>8400</v>
      </c>
    </row>
    <row r="1609">
      <c r="A1609" s="3" t="inlineStr">
        <is>
          <t>2</t>
        </is>
      </c>
      <c r="B1609" s="3" t="inlineStr">
        <is>
          <t>Tukang kayu</t>
        </is>
      </c>
      <c r="C1609" s="3" t="inlineStr">
        <is>
          <t>OH</t>
        </is>
      </c>
      <c r="D1609" s="15" t="n">
        <v>0.125</v>
      </c>
      <c r="E1609" s="4" t="n">
        <v>145000</v>
      </c>
      <c r="F1609" s="4" t="n">
        <v>18125</v>
      </c>
    </row>
    <row r="1610">
      <c r="A1610" s="3" t="inlineStr">
        <is>
          <t>3</t>
        </is>
      </c>
      <c r="B1610" s="3" t="inlineStr">
        <is>
          <t>Kepala tukang</t>
        </is>
      </c>
      <c r="C1610" s="3" t="inlineStr">
        <is>
          <t>OH</t>
        </is>
      </c>
      <c r="D1610" s="15" t="n">
        <v>0.0125</v>
      </c>
      <c r="E1610" s="4" t="n">
        <v>175000</v>
      </c>
      <c r="F1610" s="4" t="n">
        <v>2187.5</v>
      </c>
    </row>
    <row r="1611">
      <c r="A1611" s="3" t="inlineStr">
        <is>
          <t>4</t>
        </is>
      </c>
      <c r="B1611" s="3" t="inlineStr">
        <is>
          <t>Mandor</t>
        </is>
      </c>
      <c r="C1611" s="3" t="inlineStr">
        <is>
          <t>OH</t>
        </is>
      </c>
      <c r="D1611" s="15" t="n">
        <v>0.0042</v>
      </c>
      <c r="E1611" s="4" t="n">
        <v>200000</v>
      </c>
      <c r="F1611" s="4" t="n">
        <v>840</v>
      </c>
    </row>
    <row r="1612">
      <c r="A1612" s="3" t="inlineStr">
        <is>
          <t>1</t>
        </is>
      </c>
      <c r="B1612" s="3" t="inlineStr">
        <is>
          <t>Nok setel rata 105 cm</t>
        </is>
      </c>
      <c r="C1612" s="3" t="inlineStr">
        <is>
          <t>lembar</t>
        </is>
      </c>
      <c r="D1612" s="15" t="n">
        <v>1.1</v>
      </c>
      <c r="E1612" s="4" t="n">
        <v>75000</v>
      </c>
      <c r="F1612" s="4" t="n">
        <v>82500</v>
      </c>
    </row>
    <row r="1613">
      <c r="A1613" s="3" t="inlineStr">
        <is>
          <t>2</t>
        </is>
      </c>
      <c r="B1613" s="3" t="inlineStr">
        <is>
          <t>Paku sekrup</t>
        </is>
      </c>
      <c r="C1613" s="3" t="inlineStr">
        <is>
          <t>kg</t>
        </is>
      </c>
      <c r="D1613" s="15" t="n">
        <v>6</v>
      </c>
      <c r="E1613" s="4" t="n">
        <v>30090</v>
      </c>
      <c r="F1613" s="4" t="n">
        <v>180540</v>
      </c>
    </row>
    <row r="1614">
      <c r="D1614" s="2" t="inlineStr">
        <is>
          <t>SUBTOTAL UPAH</t>
        </is>
      </c>
      <c r="F1614" s="16" t="n">
        <v>29552.5</v>
      </c>
    </row>
    <row r="1615">
      <c r="D1615" s="2" t="inlineStr">
        <is>
          <t>SUBTOTAL BAHAN</t>
        </is>
      </c>
      <c r="F1615" s="16" t="n">
        <v>263040</v>
      </c>
    </row>
    <row r="1616">
      <c r="D1616" s="2" t="inlineStr">
        <is>
          <t>SUBTOTAL ALAT</t>
        </is>
      </c>
      <c r="F1616" s="16" t="n">
        <v>0</v>
      </c>
    </row>
    <row r="1617">
      <c r="E1617" s="2" t="inlineStr">
        <is>
          <t>TOTAL HARGA SATUAN (Inc. Overhead)</t>
        </is>
      </c>
      <c r="F1617" s="17" t="n">
        <v>321851</v>
      </c>
    </row>
    <row r="1619">
      <c r="A1619" s="14" t="inlineStr">
        <is>
          <t>KODE: 3.1.2.23 - Pemasangan 1 m' Nok/bubung setel rata 108 cm</t>
        </is>
      </c>
    </row>
    <row r="1620">
      <c r="A1620" s="10" t="inlineStr">
        <is>
          <t>No</t>
        </is>
      </c>
      <c r="B1620" s="10" t="inlineStr">
        <is>
          <t>Uraian Komponen</t>
        </is>
      </c>
      <c r="C1620" s="10" t="inlineStr">
        <is>
          <t>Satuan</t>
        </is>
      </c>
      <c r="D1620" s="10" t="inlineStr">
        <is>
          <t>Koef</t>
        </is>
      </c>
      <c r="E1620" s="10" t="inlineStr">
        <is>
          <t>Harga Satuan (Rp)</t>
        </is>
      </c>
      <c r="F1620" s="10" t="inlineStr">
        <is>
          <t>Jumlah Harga (Rp)</t>
        </is>
      </c>
    </row>
    <row r="1621">
      <c r="A1621" s="3" t="inlineStr">
        <is>
          <t>1</t>
        </is>
      </c>
      <c r="B1621" s="3" t="inlineStr">
        <is>
          <t>Pekerja</t>
        </is>
      </c>
      <c r="C1621" s="3" t="inlineStr">
        <is>
          <t>OH</t>
        </is>
      </c>
      <c r="D1621" s="15" t="n">
        <v>0.08400000000000001</v>
      </c>
      <c r="E1621" s="4" t="n">
        <v>100000</v>
      </c>
      <c r="F1621" s="4" t="n">
        <v>8400</v>
      </c>
    </row>
    <row r="1622">
      <c r="A1622" s="3" t="inlineStr">
        <is>
          <t>2</t>
        </is>
      </c>
      <c r="B1622" s="3" t="inlineStr">
        <is>
          <t>Tukang kayu</t>
        </is>
      </c>
      <c r="C1622" s="3" t="inlineStr">
        <is>
          <t>OH</t>
        </is>
      </c>
      <c r="D1622" s="15" t="n">
        <v>0.125</v>
      </c>
      <c r="E1622" s="4" t="n">
        <v>145000</v>
      </c>
      <c r="F1622" s="4" t="n">
        <v>18125</v>
      </c>
    </row>
    <row r="1623">
      <c r="A1623" s="3" t="inlineStr">
        <is>
          <t>3</t>
        </is>
      </c>
      <c r="B1623" s="3" t="inlineStr">
        <is>
          <t>Kepala tukang</t>
        </is>
      </c>
      <c r="C1623" s="3" t="inlineStr">
        <is>
          <t>OH</t>
        </is>
      </c>
      <c r="D1623" s="15" t="n">
        <v>0.0125</v>
      </c>
      <c r="E1623" s="4" t="n">
        <v>175000</v>
      </c>
      <c r="F1623" s="4" t="n">
        <v>2187.5</v>
      </c>
    </row>
    <row r="1624">
      <c r="A1624" s="3" t="inlineStr">
        <is>
          <t>4</t>
        </is>
      </c>
      <c r="B1624" s="3" t="inlineStr">
        <is>
          <t>Mandor</t>
        </is>
      </c>
      <c r="C1624" s="3" t="inlineStr">
        <is>
          <t>OH</t>
        </is>
      </c>
      <c r="D1624" s="15" t="n">
        <v>0.0042</v>
      </c>
      <c r="E1624" s="4" t="n">
        <v>200000</v>
      </c>
      <c r="F1624" s="4" t="n">
        <v>840</v>
      </c>
    </row>
    <row r="1625">
      <c r="A1625" s="3" t="inlineStr">
        <is>
          <t>1</t>
        </is>
      </c>
      <c r="B1625" s="3" t="inlineStr">
        <is>
          <t>Nok setel rata 108 cm</t>
        </is>
      </c>
      <c r="C1625" s="3" t="inlineStr">
        <is>
          <t>lembar</t>
        </is>
      </c>
      <c r="D1625" s="15" t="n">
        <v>1.1</v>
      </c>
      <c r="E1625" s="4" t="n">
        <v>80000</v>
      </c>
      <c r="F1625" s="4" t="n">
        <v>88000</v>
      </c>
    </row>
    <row r="1626">
      <c r="A1626" s="3" t="inlineStr">
        <is>
          <t>2</t>
        </is>
      </c>
      <c r="B1626" s="3" t="inlineStr">
        <is>
          <t>Paku sekrup</t>
        </is>
      </c>
      <c r="C1626" s="3" t="inlineStr">
        <is>
          <t>kg</t>
        </is>
      </c>
      <c r="D1626" s="15" t="n">
        <v>6</v>
      </c>
      <c r="E1626" s="4" t="n">
        <v>30090</v>
      </c>
      <c r="F1626" s="4" t="n">
        <v>180540</v>
      </c>
    </row>
    <row r="1627">
      <c r="D1627" s="2" t="inlineStr">
        <is>
          <t>SUBTOTAL UPAH</t>
        </is>
      </c>
      <c r="F1627" s="16" t="n">
        <v>29552.5</v>
      </c>
    </row>
    <row r="1628">
      <c r="D1628" s="2" t="inlineStr">
        <is>
          <t>SUBTOTAL BAHAN</t>
        </is>
      </c>
      <c r="F1628" s="16" t="n">
        <v>268540</v>
      </c>
    </row>
    <row r="1629">
      <c r="D1629" s="2" t="inlineStr">
        <is>
          <t>SUBTOTAL ALAT</t>
        </is>
      </c>
      <c r="F1629" s="16" t="n">
        <v>0</v>
      </c>
    </row>
    <row r="1630">
      <c r="E1630" s="2" t="inlineStr">
        <is>
          <t>TOTAL HARGA SATUAN (Inc. Overhead)</t>
        </is>
      </c>
      <c r="F1630" s="17" t="n">
        <v>327901</v>
      </c>
    </row>
    <row r="1632">
      <c r="A1632" s="14" t="inlineStr">
        <is>
          <t>KODE: 3.1.3.1 - Pemasangan 1 m2 atap seng gelombang 105x180 cm</t>
        </is>
      </c>
    </row>
    <row r="1633">
      <c r="A1633" s="10" t="inlineStr">
        <is>
          <t>No</t>
        </is>
      </c>
      <c r="B1633" s="10" t="inlineStr">
        <is>
          <t>Uraian Komponen</t>
        </is>
      </c>
      <c r="C1633" s="10" t="inlineStr">
        <is>
          <t>Satuan</t>
        </is>
      </c>
      <c r="D1633" s="10" t="inlineStr">
        <is>
          <t>Koef</t>
        </is>
      </c>
      <c r="E1633" s="10" t="inlineStr">
        <is>
          <t>Harga Satuan (Rp)</t>
        </is>
      </c>
      <c r="F1633" s="10" t="inlineStr">
        <is>
          <t>Jumlah Harga (Rp)</t>
        </is>
      </c>
    </row>
    <row r="1634">
      <c r="A1634" s="3" t="inlineStr">
        <is>
          <t>1</t>
        </is>
      </c>
      <c r="B1634" s="3" t="inlineStr">
        <is>
          <t>Pekerja</t>
        </is>
      </c>
      <c r="C1634" s="3" t="inlineStr">
        <is>
          <t>OH</t>
        </is>
      </c>
      <c r="D1634" s="15" t="n">
        <v>0.12</v>
      </c>
      <c r="E1634" s="4" t="n">
        <v>100000</v>
      </c>
      <c r="F1634" s="4" t="n">
        <v>12000</v>
      </c>
    </row>
    <row r="1635">
      <c r="A1635" s="3" t="inlineStr">
        <is>
          <t>2</t>
        </is>
      </c>
      <c r="B1635" s="3" t="inlineStr">
        <is>
          <t>Tukang kayu</t>
        </is>
      </c>
      <c r="C1635" s="3" t="inlineStr">
        <is>
          <t>OH</t>
        </is>
      </c>
      <c r="D1635" s="15" t="n">
        <v>0.06</v>
      </c>
      <c r="E1635" s="4" t="n">
        <v>145000</v>
      </c>
      <c r="F1635" s="4" t="n">
        <v>8700</v>
      </c>
    </row>
    <row r="1636">
      <c r="A1636" s="3" t="inlineStr">
        <is>
          <t>3</t>
        </is>
      </c>
      <c r="B1636" s="3" t="inlineStr">
        <is>
          <t>Kepala tukang</t>
        </is>
      </c>
      <c r="C1636" s="3" t="inlineStr">
        <is>
          <t>OH</t>
        </is>
      </c>
      <c r="D1636" s="15" t="n">
        <v>0.006</v>
      </c>
      <c r="E1636" s="4" t="n">
        <v>175000</v>
      </c>
      <c r="F1636" s="4" t="n">
        <v>1050</v>
      </c>
    </row>
    <row r="1637">
      <c r="A1637" s="3" t="inlineStr">
        <is>
          <t>4</t>
        </is>
      </c>
      <c r="B1637" s="3" t="inlineStr">
        <is>
          <t>Mandor</t>
        </is>
      </c>
      <c r="C1637" s="3" t="inlineStr">
        <is>
          <t>OH</t>
        </is>
      </c>
      <c r="D1637" s="15" t="n">
        <v>0.002</v>
      </c>
      <c r="E1637" s="4" t="n">
        <v>200000</v>
      </c>
      <c r="F1637" s="4" t="n">
        <v>400</v>
      </c>
    </row>
    <row r="1638">
      <c r="A1638" s="3" t="inlineStr">
        <is>
          <t>1</t>
        </is>
      </c>
      <c r="B1638" s="3" t="inlineStr">
        <is>
          <t>Seng Gelombang 105 cm x 180 cm</t>
        </is>
      </c>
      <c r="C1638" s="3" t="inlineStr">
        <is>
          <t>lembar</t>
        </is>
      </c>
      <c r="D1638" s="15" t="n">
        <v>0.7</v>
      </c>
      <c r="E1638" s="4" t="n">
        <v>85000</v>
      </c>
      <c r="F1638" s="4" t="n">
        <v>59499.99999999999</v>
      </c>
    </row>
    <row r="1639">
      <c r="A1639" s="3" t="inlineStr">
        <is>
          <t>2</t>
        </is>
      </c>
      <c r="B1639" s="3" t="inlineStr">
        <is>
          <t>Paku 1 inch</t>
        </is>
      </c>
      <c r="C1639" s="3" t="inlineStr">
        <is>
          <t>kg</t>
        </is>
      </c>
      <c r="D1639" s="15" t="n">
        <v>0.02</v>
      </c>
      <c r="E1639" s="4" t="n">
        <v>15000</v>
      </c>
      <c r="F1639" s="4" t="n">
        <v>300</v>
      </c>
    </row>
    <row r="1640">
      <c r="D1640" s="2" t="inlineStr">
        <is>
          <t>SUBTOTAL UPAH</t>
        </is>
      </c>
      <c r="F1640" s="16" t="n">
        <v>22150</v>
      </c>
    </row>
    <row r="1641">
      <c r="D1641" s="2" t="inlineStr">
        <is>
          <t>SUBTOTAL BAHAN</t>
        </is>
      </c>
      <c r="F1641" s="16" t="n">
        <v>59799.99999999999</v>
      </c>
    </row>
    <row r="1642">
      <c r="D1642" s="2" t="inlineStr">
        <is>
          <t>SUBTOTAL ALAT</t>
        </is>
      </c>
      <c r="F1642" s="16" t="n">
        <v>0</v>
      </c>
    </row>
    <row r="1643">
      <c r="E1643" s="2" t="inlineStr">
        <is>
          <t>TOTAL HARGA SATUAN (Inc. Overhead)</t>
        </is>
      </c>
      <c r="F1643" s="17" t="n">
        <v>90145</v>
      </c>
    </row>
    <row r="1645">
      <c r="A1645" s="14" t="inlineStr">
        <is>
          <t>KODE: 3.1.3.2 - Pemasangan 1 m2 atap aluminium gelombang 95x180 cm</t>
        </is>
      </c>
    </row>
    <row r="1646">
      <c r="A1646" s="10" t="inlineStr">
        <is>
          <t>No</t>
        </is>
      </c>
      <c r="B1646" s="10" t="inlineStr">
        <is>
          <t>Uraian Komponen</t>
        </is>
      </c>
      <c r="C1646" s="10" t="inlineStr">
        <is>
          <t>Satuan</t>
        </is>
      </c>
      <c r="D1646" s="10" t="inlineStr">
        <is>
          <t>Koef</t>
        </is>
      </c>
      <c r="E1646" s="10" t="inlineStr">
        <is>
          <t>Harga Satuan (Rp)</t>
        </is>
      </c>
      <c r="F1646" s="10" t="inlineStr">
        <is>
          <t>Jumlah Harga (Rp)</t>
        </is>
      </c>
    </row>
    <row r="1647">
      <c r="A1647" s="3" t="inlineStr">
        <is>
          <t>1</t>
        </is>
      </c>
      <c r="B1647" s="3" t="inlineStr">
        <is>
          <t>Pekerja</t>
        </is>
      </c>
      <c r="C1647" s="3" t="inlineStr">
        <is>
          <t>OH</t>
        </is>
      </c>
      <c r="D1647" s="15" t="n">
        <v>0.15</v>
      </c>
      <c r="E1647" s="4" t="n">
        <v>100000</v>
      </c>
      <c r="F1647" s="4" t="n">
        <v>15000</v>
      </c>
    </row>
    <row r="1648">
      <c r="A1648" s="3" t="inlineStr">
        <is>
          <t>2</t>
        </is>
      </c>
      <c r="B1648" s="3" t="inlineStr">
        <is>
          <t>Tukang kayu</t>
        </is>
      </c>
      <c r="C1648" s="3" t="inlineStr">
        <is>
          <t>OH</t>
        </is>
      </c>
      <c r="D1648" s="15" t="n">
        <v>0.75</v>
      </c>
      <c r="E1648" s="4" t="n">
        <v>145000</v>
      </c>
      <c r="F1648" s="4" t="n">
        <v>108750</v>
      </c>
    </row>
    <row r="1649">
      <c r="A1649" s="3" t="inlineStr">
        <is>
          <t>3</t>
        </is>
      </c>
      <c r="B1649" s="3" t="inlineStr">
        <is>
          <t>Kepala tukang</t>
        </is>
      </c>
      <c r="C1649" s="3" t="inlineStr">
        <is>
          <t>OH</t>
        </is>
      </c>
      <c r="D1649" s="15" t="n">
        <v>0.075</v>
      </c>
      <c r="E1649" s="4" t="n">
        <v>175000</v>
      </c>
      <c r="F1649" s="4" t="n">
        <v>13125</v>
      </c>
    </row>
    <row r="1650">
      <c r="A1650" s="3" t="inlineStr">
        <is>
          <t>4</t>
        </is>
      </c>
      <c r="B1650" s="3" t="inlineStr">
        <is>
          <t>Mandor</t>
        </is>
      </c>
      <c r="C1650" s="3" t="inlineStr">
        <is>
          <t>OH</t>
        </is>
      </c>
      <c r="D1650" s="15" t="n">
        <v>0.025</v>
      </c>
      <c r="E1650" s="4" t="n">
        <v>200000</v>
      </c>
      <c r="F1650" s="4" t="n">
        <v>5000</v>
      </c>
    </row>
    <row r="1651">
      <c r="A1651" s="3" t="inlineStr">
        <is>
          <t>1</t>
        </is>
      </c>
      <c r="B1651" s="3" t="inlineStr">
        <is>
          <t>Aluminium gelombang 95x180 cm</t>
        </is>
      </c>
      <c r="C1651" s="3" t="inlineStr">
        <is>
          <t>lembar</t>
        </is>
      </c>
      <c r="D1651" s="15" t="n">
        <v>0.75</v>
      </c>
      <c r="E1651" s="4" t="n">
        <v>180400</v>
      </c>
      <c r="F1651" s="4" t="n">
        <v>135300</v>
      </c>
    </row>
    <row r="1652">
      <c r="A1652" s="3" t="inlineStr">
        <is>
          <t>2</t>
        </is>
      </c>
      <c r="B1652" s="3" t="inlineStr">
        <is>
          <t>Paku pancing 6x23</t>
        </is>
      </c>
      <c r="C1652" s="3" t="inlineStr">
        <is>
          <t>kg</t>
        </is>
      </c>
      <c r="D1652" s="15" t="n">
        <v>0.02</v>
      </c>
      <c r="E1652" s="4" t="n">
        <v>19460</v>
      </c>
      <c r="F1652" s="4" t="n">
        <v>389.2</v>
      </c>
    </row>
    <row r="1653">
      <c r="D1653" s="2" t="inlineStr">
        <is>
          <t>SUBTOTAL UPAH</t>
        </is>
      </c>
      <c r="F1653" s="16" t="n">
        <v>141875</v>
      </c>
    </row>
    <row r="1654">
      <c r="D1654" s="2" t="inlineStr">
        <is>
          <t>SUBTOTAL BAHAN</t>
        </is>
      </c>
      <c r="F1654" s="16" t="n">
        <v>135689.2</v>
      </c>
    </row>
    <row r="1655">
      <c r="D1655" s="2" t="inlineStr">
        <is>
          <t>SUBTOTAL ALAT</t>
        </is>
      </c>
      <c r="F1655" s="16" t="n">
        <v>0</v>
      </c>
    </row>
    <row r="1656">
      <c r="E1656" s="2" t="inlineStr">
        <is>
          <t>TOTAL HARGA SATUAN (Inc. Overhead)</t>
        </is>
      </c>
      <c r="F1656" s="17" t="n">
        <v>305320</v>
      </c>
    </row>
    <row r="1658">
      <c r="A1658" s="14" t="inlineStr">
        <is>
          <t>KODE: 3.1.3.3 - Pemasangan 1 m2 atap sirap kayu</t>
        </is>
      </c>
    </row>
    <row r="1659">
      <c r="A1659" s="10" t="inlineStr">
        <is>
          <t>No</t>
        </is>
      </c>
      <c r="B1659" s="10" t="inlineStr">
        <is>
          <t>Uraian Komponen</t>
        </is>
      </c>
      <c r="C1659" s="10" t="inlineStr">
        <is>
          <t>Satuan</t>
        </is>
      </c>
      <c r="D1659" s="10" t="inlineStr">
        <is>
          <t>Koef</t>
        </is>
      </c>
      <c r="E1659" s="10" t="inlineStr">
        <is>
          <t>Harga Satuan (Rp)</t>
        </is>
      </c>
      <c r="F1659" s="10" t="inlineStr">
        <is>
          <t>Jumlah Harga (Rp)</t>
        </is>
      </c>
    </row>
    <row r="1660">
      <c r="A1660" s="3" t="inlineStr">
        <is>
          <t>1</t>
        </is>
      </c>
      <c r="B1660" s="3" t="inlineStr">
        <is>
          <t>Pekerja</t>
        </is>
      </c>
      <c r="C1660" s="3" t="inlineStr">
        <is>
          <t>OH</t>
        </is>
      </c>
      <c r="D1660" s="15" t="n">
        <v>0.166</v>
      </c>
      <c r="E1660" s="4" t="n">
        <v>100000</v>
      </c>
      <c r="F1660" s="4" t="n">
        <v>16600</v>
      </c>
    </row>
    <row r="1661">
      <c r="A1661" s="3" t="inlineStr">
        <is>
          <t>2</t>
        </is>
      </c>
      <c r="B1661" s="3" t="inlineStr">
        <is>
          <t>Tukang kayu</t>
        </is>
      </c>
      <c r="C1661" s="3" t="inlineStr">
        <is>
          <t>OH</t>
        </is>
      </c>
      <c r="D1661" s="15" t="n">
        <v>0.25</v>
      </c>
      <c r="E1661" s="4" t="n">
        <v>145000</v>
      </c>
      <c r="F1661" s="4" t="n">
        <v>36250</v>
      </c>
    </row>
    <row r="1662">
      <c r="A1662" s="3" t="inlineStr">
        <is>
          <t>3</t>
        </is>
      </c>
      <c r="B1662" s="3" t="inlineStr">
        <is>
          <t>Kepala tukang</t>
        </is>
      </c>
      <c r="C1662" s="3" t="inlineStr">
        <is>
          <t>OH</t>
        </is>
      </c>
      <c r="D1662" s="15" t="n">
        <v>0.025</v>
      </c>
      <c r="E1662" s="4" t="n">
        <v>175000</v>
      </c>
      <c r="F1662" s="4" t="n">
        <v>4375</v>
      </c>
    </row>
    <row r="1663">
      <c r="A1663" s="3" t="inlineStr">
        <is>
          <t>4</t>
        </is>
      </c>
      <c r="B1663" s="3" t="inlineStr">
        <is>
          <t>Mandor</t>
        </is>
      </c>
      <c r="C1663" s="3" t="inlineStr">
        <is>
          <t>OH</t>
        </is>
      </c>
      <c r="D1663" s="15" t="n">
        <v>0.0083</v>
      </c>
      <c r="E1663" s="4" t="n">
        <v>200000</v>
      </c>
      <c r="F1663" s="4" t="n">
        <v>1660</v>
      </c>
    </row>
    <row r="1664">
      <c r="A1664" s="3" t="inlineStr">
        <is>
          <t>1</t>
        </is>
      </c>
      <c r="B1664" s="3" t="inlineStr">
        <is>
          <t>Sirap kayu</t>
        </is>
      </c>
      <c r="C1664" s="3" t="inlineStr">
        <is>
          <t>buah</t>
        </is>
      </c>
      <c r="D1664" s="15" t="n">
        <v>30</v>
      </c>
      <c r="E1664" s="4" t="n">
        <v>5000</v>
      </c>
      <c r="F1664" s="4" t="n">
        <v>150000</v>
      </c>
    </row>
    <row r="1665">
      <c r="A1665" s="3" t="inlineStr">
        <is>
          <t>2</t>
        </is>
      </c>
      <c r="B1665" s="3" t="inlineStr">
        <is>
          <t>Paku 1 inch</t>
        </is>
      </c>
      <c r="C1665" s="3" t="inlineStr">
        <is>
          <t>kg</t>
        </is>
      </c>
      <c r="D1665" s="15" t="n">
        <v>0.2</v>
      </c>
      <c r="E1665" s="4" t="n">
        <v>15000</v>
      </c>
      <c r="F1665" s="4" t="n">
        <v>3000</v>
      </c>
    </row>
    <row r="1666">
      <c r="D1666" s="2" t="inlineStr">
        <is>
          <t>SUBTOTAL UPAH</t>
        </is>
      </c>
      <c r="F1666" s="16" t="n">
        <v>58885</v>
      </c>
    </row>
    <row r="1667">
      <c r="D1667" s="2" t="inlineStr">
        <is>
          <t>SUBTOTAL BAHAN</t>
        </is>
      </c>
      <c r="F1667" s="16" t="n">
        <v>153000</v>
      </c>
    </row>
    <row r="1668">
      <c r="D1668" s="2" t="inlineStr">
        <is>
          <t>SUBTOTAL ALAT</t>
        </is>
      </c>
      <c r="F1668" s="16" t="n">
        <v>0</v>
      </c>
    </row>
    <row r="1669">
      <c r="E1669" s="2" t="inlineStr">
        <is>
          <t>TOTAL HARGA SATUAN (Inc. Overhead)</t>
        </is>
      </c>
      <c r="F1669" s="17" t="n">
        <v>233073</v>
      </c>
    </row>
    <row r="1671">
      <c r="A1671" s="14" t="inlineStr">
        <is>
          <t>KODE: 3.1.3.4 - Pemasangan 1 m2 atap fibreglass 90x180 cm</t>
        </is>
      </c>
    </row>
    <row r="1672">
      <c r="A1672" s="10" t="inlineStr">
        <is>
          <t>No</t>
        </is>
      </c>
      <c r="B1672" s="10" t="inlineStr">
        <is>
          <t>Uraian Komponen</t>
        </is>
      </c>
      <c r="C1672" s="10" t="inlineStr">
        <is>
          <t>Satuan</t>
        </is>
      </c>
      <c r="D1672" s="10" t="inlineStr">
        <is>
          <t>Koef</t>
        </is>
      </c>
      <c r="E1672" s="10" t="inlineStr">
        <is>
          <t>Harga Satuan (Rp)</t>
        </is>
      </c>
      <c r="F1672" s="10" t="inlineStr">
        <is>
          <t>Jumlah Harga (Rp)</t>
        </is>
      </c>
    </row>
    <row r="1673">
      <c r="A1673" s="3" t="inlineStr">
        <is>
          <t>1</t>
        </is>
      </c>
      <c r="B1673" s="3" t="inlineStr">
        <is>
          <t>Pekerja</t>
        </is>
      </c>
      <c r="C1673" s="3" t="inlineStr">
        <is>
          <t>OH</t>
        </is>
      </c>
      <c r="D1673" s="15" t="n">
        <v>0.14</v>
      </c>
      <c r="E1673" s="4" t="n">
        <v>100000</v>
      </c>
      <c r="F1673" s="4" t="n">
        <v>14000</v>
      </c>
    </row>
    <row r="1674">
      <c r="A1674" s="3" t="inlineStr">
        <is>
          <t>2</t>
        </is>
      </c>
      <c r="B1674" s="3" t="inlineStr">
        <is>
          <t>Tukang kayu</t>
        </is>
      </c>
      <c r="C1674" s="3" t="inlineStr">
        <is>
          <t>OH</t>
        </is>
      </c>
      <c r="D1674" s="15" t="n">
        <v>0.067</v>
      </c>
      <c r="E1674" s="4" t="n">
        <v>145000</v>
      </c>
      <c r="F1674" s="4" t="n">
        <v>9715</v>
      </c>
    </row>
    <row r="1675">
      <c r="A1675" s="3" t="inlineStr">
        <is>
          <t>3</t>
        </is>
      </c>
      <c r="B1675" s="3" t="inlineStr">
        <is>
          <t>Kepala tukang</t>
        </is>
      </c>
      <c r="C1675" s="3" t="inlineStr">
        <is>
          <t>OH</t>
        </is>
      </c>
      <c r="D1675" s="15" t="n">
        <v>0.0067</v>
      </c>
      <c r="E1675" s="4" t="n">
        <v>175000</v>
      </c>
      <c r="F1675" s="4" t="n">
        <v>1172.5</v>
      </c>
    </row>
    <row r="1676">
      <c r="A1676" s="3" t="inlineStr">
        <is>
          <t>4</t>
        </is>
      </c>
      <c r="B1676" s="3" t="inlineStr">
        <is>
          <t>Mandor</t>
        </is>
      </c>
      <c r="C1676" s="3" t="inlineStr">
        <is>
          <t>OH</t>
        </is>
      </c>
      <c r="D1676" s="15" t="n">
        <v>0.0022</v>
      </c>
      <c r="E1676" s="4" t="n">
        <v>200000</v>
      </c>
      <c r="F1676" s="4" t="n">
        <v>440</v>
      </c>
    </row>
    <row r="1677">
      <c r="A1677" s="3" t="inlineStr">
        <is>
          <t>1</t>
        </is>
      </c>
      <c r="B1677" s="3" t="inlineStr">
        <is>
          <t>Roof light fiberglass</t>
        </is>
      </c>
      <c r="C1677" s="3" t="inlineStr">
        <is>
          <t>lembar</t>
        </is>
      </c>
      <c r="D1677" s="15" t="n">
        <v>0.6481</v>
      </c>
      <c r="E1677" s="4" t="n">
        <v>116300</v>
      </c>
      <c r="F1677" s="4" t="n">
        <v>75374.03</v>
      </c>
    </row>
    <row r="1678">
      <c r="A1678" s="3" t="inlineStr">
        <is>
          <t>2</t>
        </is>
      </c>
      <c r="B1678" s="3" t="inlineStr">
        <is>
          <t>Paku 1 inch</t>
        </is>
      </c>
      <c r="C1678" s="3" t="inlineStr">
        <is>
          <t>kg</t>
        </is>
      </c>
      <c r="D1678" s="15" t="n">
        <v>0.05</v>
      </c>
      <c r="E1678" s="4" t="n">
        <v>15000</v>
      </c>
      <c r="F1678" s="4" t="n">
        <v>750</v>
      </c>
    </row>
    <row r="1679">
      <c r="D1679" s="2" t="inlineStr">
        <is>
          <t>SUBTOTAL UPAH</t>
        </is>
      </c>
      <c r="F1679" s="16" t="n">
        <v>25327.5</v>
      </c>
    </row>
    <row r="1680">
      <c r="D1680" s="2" t="inlineStr">
        <is>
          <t>SUBTOTAL BAHAN</t>
        </is>
      </c>
      <c r="F1680" s="16" t="n">
        <v>76124.03</v>
      </c>
    </row>
    <row r="1681">
      <c r="D1681" s="2" t="inlineStr">
        <is>
          <t>SUBTOTAL ALAT</t>
        </is>
      </c>
      <c r="F1681" s="16" t="n">
        <v>0</v>
      </c>
    </row>
    <row r="1682">
      <c r="E1682" s="2" t="inlineStr">
        <is>
          <t>TOTAL HARGA SATUAN (Inc. Overhead)</t>
        </is>
      </c>
      <c r="F1682" s="17" t="n">
        <v>111596</v>
      </c>
    </row>
    <row r="1684">
      <c r="A1684" s="14" t="inlineStr">
        <is>
          <t>KODE: 3.1.3.5 - Pemasangan 1 m2 atap UPVC</t>
        </is>
      </c>
    </row>
    <row r="1685">
      <c r="A1685" s="10" t="inlineStr">
        <is>
          <t>No</t>
        </is>
      </c>
      <c r="B1685" s="10" t="inlineStr">
        <is>
          <t>Uraian Komponen</t>
        </is>
      </c>
      <c r="C1685" s="10" t="inlineStr">
        <is>
          <t>Satuan</t>
        </is>
      </c>
      <c r="D1685" s="10" t="inlineStr">
        <is>
          <t>Koef</t>
        </is>
      </c>
      <c r="E1685" s="10" t="inlineStr">
        <is>
          <t>Harga Satuan (Rp)</t>
        </is>
      </c>
      <c r="F1685" s="10" t="inlineStr">
        <is>
          <t>Jumlah Harga (Rp)</t>
        </is>
      </c>
    </row>
    <row r="1686">
      <c r="A1686" s="3" t="inlineStr">
        <is>
          <t>1</t>
        </is>
      </c>
      <c r="B1686" s="3" t="inlineStr">
        <is>
          <t>Pekerja</t>
        </is>
      </c>
      <c r="C1686" s="3" t="inlineStr">
        <is>
          <t>OH</t>
        </is>
      </c>
      <c r="D1686" s="15" t="n">
        <v>0.2</v>
      </c>
      <c r="E1686" s="4" t="n">
        <v>100000</v>
      </c>
      <c r="F1686" s="4" t="n">
        <v>20000</v>
      </c>
    </row>
    <row r="1687">
      <c r="A1687" s="3" t="inlineStr">
        <is>
          <t>2</t>
        </is>
      </c>
      <c r="B1687" s="3" t="inlineStr">
        <is>
          <t>Tukang kayu</t>
        </is>
      </c>
      <c r="C1687" s="3" t="inlineStr">
        <is>
          <t>OH</t>
        </is>
      </c>
      <c r="D1687" s="15" t="n">
        <v>0.1</v>
      </c>
      <c r="E1687" s="4" t="n">
        <v>145000</v>
      </c>
      <c r="F1687" s="4" t="n">
        <v>14500</v>
      </c>
    </row>
    <row r="1688">
      <c r="A1688" s="3" t="inlineStr">
        <is>
          <t>3</t>
        </is>
      </c>
      <c r="B1688" s="3" t="inlineStr">
        <is>
          <t>Kepala tukang</t>
        </is>
      </c>
      <c r="C1688" s="3" t="inlineStr">
        <is>
          <t>OH</t>
        </is>
      </c>
      <c r="D1688" s="15" t="n">
        <v>0.01</v>
      </c>
      <c r="E1688" s="4" t="n">
        <v>175000</v>
      </c>
      <c r="F1688" s="4" t="n">
        <v>1750</v>
      </c>
    </row>
    <row r="1689">
      <c r="A1689" s="3" t="inlineStr">
        <is>
          <t>4</t>
        </is>
      </c>
      <c r="B1689" s="3" t="inlineStr">
        <is>
          <t>Mandor</t>
        </is>
      </c>
      <c r="C1689" s="3" t="inlineStr">
        <is>
          <t>OH</t>
        </is>
      </c>
      <c r="D1689" s="15" t="n">
        <v>0.0033</v>
      </c>
      <c r="E1689" s="4" t="n">
        <v>200000</v>
      </c>
      <c r="F1689" s="4" t="n">
        <v>660</v>
      </c>
    </row>
    <row r="1690">
      <c r="A1690" s="3" t="inlineStr">
        <is>
          <t>1</t>
        </is>
      </c>
      <c r="B1690" s="3" t="inlineStr">
        <is>
          <t>Atap UPVC uk. 86x119 cm</t>
        </is>
      </c>
      <c r="C1690" s="3" t="inlineStr">
        <is>
          <t>m2</t>
        </is>
      </c>
      <c r="D1690" s="15" t="n">
        <v>0.1002</v>
      </c>
      <c r="E1690" s="4" t="n">
        <v>200000</v>
      </c>
      <c r="F1690" s="4" t="n">
        <v>20040</v>
      </c>
    </row>
    <row r="1691">
      <c r="A1691" s="3" t="inlineStr">
        <is>
          <t>2</t>
        </is>
      </c>
      <c r="B1691" s="3" t="inlineStr">
        <is>
          <t>Paku sekrup (buah)</t>
        </is>
      </c>
      <c r="C1691" s="3" t="inlineStr">
        <is>
          <t>buah</t>
        </is>
      </c>
      <c r="D1691" s="15" t="n">
        <v>8</v>
      </c>
      <c r="E1691" s="4" t="n">
        <v>1600</v>
      </c>
      <c r="F1691" s="4" t="n">
        <v>12800</v>
      </c>
    </row>
    <row r="1692">
      <c r="D1692" s="2" t="inlineStr">
        <is>
          <t>SUBTOTAL UPAH</t>
        </is>
      </c>
      <c r="F1692" s="16" t="n">
        <v>36910</v>
      </c>
    </row>
    <row r="1693">
      <c r="D1693" s="2" t="inlineStr">
        <is>
          <t>SUBTOTAL BAHAN</t>
        </is>
      </c>
      <c r="F1693" s="16" t="n">
        <v>32840</v>
      </c>
    </row>
    <row r="1694">
      <c r="D1694" s="2" t="inlineStr">
        <is>
          <t>SUBTOTAL ALAT</t>
        </is>
      </c>
      <c r="F1694" s="16" t="n">
        <v>0</v>
      </c>
    </row>
    <row r="1695">
      <c r="E1695" s="2" t="inlineStr">
        <is>
          <t>TOTAL HARGA SATUAN (Inc. Overhead)</t>
        </is>
      </c>
      <c r="F1695" s="17" t="n">
        <v>76725</v>
      </c>
    </row>
    <row r="1697">
      <c r="A1697" s="14" t="inlineStr">
        <is>
          <t>KODE: 3.1.3.6 - Pemasangan 1 m2 atap aspal/bitumen</t>
        </is>
      </c>
    </row>
    <row r="1698">
      <c r="A1698" s="10" t="inlineStr">
        <is>
          <t>No</t>
        </is>
      </c>
      <c r="B1698" s="10" t="inlineStr">
        <is>
          <t>Uraian Komponen</t>
        </is>
      </c>
      <c r="C1698" s="10" t="inlineStr">
        <is>
          <t>Satuan</t>
        </is>
      </c>
      <c r="D1698" s="10" t="inlineStr">
        <is>
          <t>Koef</t>
        </is>
      </c>
      <c r="E1698" s="10" t="inlineStr">
        <is>
          <t>Harga Satuan (Rp)</t>
        </is>
      </c>
      <c r="F1698" s="10" t="inlineStr">
        <is>
          <t>Jumlah Harga (Rp)</t>
        </is>
      </c>
    </row>
    <row r="1699">
      <c r="A1699" s="3" t="inlineStr">
        <is>
          <t>1</t>
        </is>
      </c>
      <c r="B1699" s="3" t="inlineStr">
        <is>
          <t>Pekerja</t>
        </is>
      </c>
      <c r="C1699" s="3" t="inlineStr">
        <is>
          <t>OH</t>
        </is>
      </c>
      <c r="D1699" s="15" t="n">
        <v>0.2</v>
      </c>
      <c r="E1699" s="4" t="n">
        <v>100000</v>
      </c>
      <c r="F1699" s="4" t="n">
        <v>20000</v>
      </c>
    </row>
    <row r="1700">
      <c r="A1700" s="3" t="inlineStr">
        <is>
          <t>2</t>
        </is>
      </c>
      <c r="B1700" s="3" t="inlineStr">
        <is>
          <t>Tukang kayu</t>
        </is>
      </c>
      <c r="C1700" s="3" t="inlineStr">
        <is>
          <t>OH</t>
        </is>
      </c>
      <c r="D1700" s="15" t="n">
        <v>0.3</v>
      </c>
      <c r="E1700" s="4" t="n">
        <v>145000</v>
      </c>
      <c r="F1700" s="4" t="n">
        <v>43500</v>
      </c>
    </row>
    <row r="1701">
      <c r="A1701" s="3" t="inlineStr">
        <is>
          <t>3</t>
        </is>
      </c>
      <c r="B1701" s="3" t="inlineStr">
        <is>
          <t>Kepala tukang</t>
        </is>
      </c>
      <c r="C1701" s="3" t="inlineStr">
        <is>
          <t>OH</t>
        </is>
      </c>
      <c r="D1701" s="15" t="n">
        <v>0.03</v>
      </c>
      <c r="E1701" s="4" t="n">
        <v>175000</v>
      </c>
      <c r="F1701" s="4" t="n">
        <v>5250</v>
      </c>
    </row>
    <row r="1702">
      <c r="A1702" s="3" t="inlineStr">
        <is>
          <t>4</t>
        </is>
      </c>
      <c r="B1702" s="3" t="inlineStr">
        <is>
          <t>Mandor</t>
        </is>
      </c>
      <c r="C1702" s="3" t="inlineStr">
        <is>
          <t>OH</t>
        </is>
      </c>
      <c r="D1702" s="15" t="n">
        <v>0.01</v>
      </c>
      <c r="E1702" s="4" t="n">
        <v>200000</v>
      </c>
      <c r="F1702" s="4" t="n">
        <v>2000</v>
      </c>
    </row>
    <row r="1703">
      <c r="A1703" s="3" t="inlineStr">
        <is>
          <t>1</t>
        </is>
      </c>
      <c r="B1703" s="3" t="inlineStr">
        <is>
          <t>Genteng aspal 80x100 cm</t>
        </is>
      </c>
      <c r="C1703" s="3" t="inlineStr">
        <is>
          <t>buah</t>
        </is>
      </c>
      <c r="D1703" s="15" t="n">
        <v>1.5</v>
      </c>
      <c r="E1703" s="4" t="n">
        <v>149700</v>
      </c>
      <c r="F1703" s="4" t="n">
        <v>224550</v>
      </c>
    </row>
    <row r="1704">
      <c r="A1704" s="3" t="inlineStr">
        <is>
          <t>2</t>
        </is>
      </c>
      <c r="B1704" s="3" t="inlineStr">
        <is>
          <t>Plywood 6 mm</t>
        </is>
      </c>
      <c r="C1704" s="3" t="inlineStr">
        <is>
          <t>lembar</t>
        </is>
      </c>
      <c r="D1704" s="15" t="n">
        <v>0.35</v>
      </c>
      <c r="E1704" s="4" t="n">
        <v>84200</v>
      </c>
      <c r="F1704" s="4" t="n">
        <v>29470</v>
      </c>
    </row>
    <row r="1705">
      <c r="A1705" s="3" t="inlineStr">
        <is>
          <t>3</t>
        </is>
      </c>
      <c r="B1705" s="3" t="inlineStr">
        <is>
          <t>Paku 1 inch</t>
        </is>
      </c>
      <c r="C1705" s="3" t="inlineStr">
        <is>
          <t>kg</t>
        </is>
      </c>
      <c r="D1705" s="15" t="n">
        <v>0.03</v>
      </c>
      <c r="E1705" s="4" t="n">
        <v>15000</v>
      </c>
      <c r="F1705" s="4" t="n">
        <v>450</v>
      </c>
    </row>
    <row r="1706">
      <c r="A1706" s="3" t="inlineStr">
        <is>
          <t>4</t>
        </is>
      </c>
      <c r="B1706" s="3" t="inlineStr">
        <is>
          <t>Plastik aerator</t>
        </is>
      </c>
      <c r="C1706" s="3" t="inlineStr">
        <is>
          <t>buah</t>
        </is>
      </c>
      <c r="D1706" s="15" t="n">
        <v>0.5</v>
      </c>
      <c r="E1706" s="4" t="n">
        <v>15900</v>
      </c>
      <c r="F1706" s="4" t="n">
        <v>7950</v>
      </c>
    </row>
    <row r="1707">
      <c r="D1707" s="2" t="inlineStr">
        <is>
          <t>SUBTOTAL UPAH</t>
        </is>
      </c>
      <c r="F1707" s="16" t="n">
        <v>70750</v>
      </c>
    </row>
    <row r="1708">
      <c r="D1708" s="2" t="inlineStr">
        <is>
          <t>SUBTOTAL BAHAN</t>
        </is>
      </c>
      <c r="F1708" s="16" t="n">
        <v>262420</v>
      </c>
    </row>
    <row r="1709">
      <c r="D1709" s="2" t="inlineStr">
        <is>
          <t>SUBTOTAL ALAT</t>
        </is>
      </c>
      <c r="F1709" s="16" t="n">
        <v>0</v>
      </c>
    </row>
    <row r="1710">
      <c r="E1710" s="2" t="inlineStr">
        <is>
          <t>TOTAL HARGA SATUAN (Inc. Overhead)</t>
        </is>
      </c>
      <c r="F1710" s="17" t="n">
        <v>366487</v>
      </c>
    </row>
    <row r="1712">
      <c r="A1712" s="14" t="inlineStr">
        <is>
          <t>KODE: 3.1.3.7 - Pemasangan 1 m2 atap metal lembaran</t>
        </is>
      </c>
    </row>
    <row r="1713">
      <c r="A1713" s="10" t="inlineStr">
        <is>
          <t>No</t>
        </is>
      </c>
      <c r="B1713" s="10" t="inlineStr">
        <is>
          <t>Uraian Komponen</t>
        </is>
      </c>
      <c r="C1713" s="10" t="inlineStr">
        <is>
          <t>Satuan</t>
        </is>
      </c>
      <c r="D1713" s="10" t="inlineStr">
        <is>
          <t>Koef</t>
        </is>
      </c>
      <c r="E1713" s="10" t="inlineStr">
        <is>
          <t>Harga Satuan (Rp)</t>
        </is>
      </c>
      <c r="F1713" s="10" t="inlineStr">
        <is>
          <t>Jumlah Harga (Rp)</t>
        </is>
      </c>
    </row>
    <row r="1714">
      <c r="A1714" s="3" t="inlineStr">
        <is>
          <t>1</t>
        </is>
      </c>
      <c r="B1714" s="3" t="inlineStr">
        <is>
          <t>Pekerja</t>
        </is>
      </c>
      <c r="C1714" s="3" t="inlineStr">
        <is>
          <t>OH</t>
        </is>
      </c>
      <c r="D1714" s="15" t="n">
        <v>0.1333</v>
      </c>
      <c r="E1714" s="4" t="n">
        <v>100000</v>
      </c>
      <c r="F1714" s="4" t="n">
        <v>13330</v>
      </c>
    </row>
    <row r="1715">
      <c r="A1715" s="3" t="inlineStr">
        <is>
          <t>2</t>
        </is>
      </c>
      <c r="B1715" s="3" t="inlineStr">
        <is>
          <t>Tukang kayu</t>
        </is>
      </c>
      <c r="C1715" s="3" t="inlineStr">
        <is>
          <t>OH</t>
        </is>
      </c>
      <c r="D1715" s="15" t="n">
        <v>0.0667</v>
      </c>
      <c r="E1715" s="4" t="n">
        <v>145000</v>
      </c>
      <c r="F1715" s="4" t="n">
        <v>9671.5</v>
      </c>
    </row>
    <row r="1716">
      <c r="A1716" s="3" t="inlineStr">
        <is>
          <t>3</t>
        </is>
      </c>
      <c r="B1716" s="3" t="inlineStr">
        <is>
          <t>Kepala tukang</t>
        </is>
      </c>
      <c r="C1716" s="3" t="inlineStr">
        <is>
          <t>OH</t>
        </is>
      </c>
      <c r="D1716" s="15" t="n">
        <v>0.0067</v>
      </c>
      <c r="E1716" s="4" t="n">
        <v>175000</v>
      </c>
      <c r="F1716" s="4" t="n">
        <v>1172.5</v>
      </c>
    </row>
    <row r="1717">
      <c r="A1717" s="3" t="inlineStr">
        <is>
          <t>4</t>
        </is>
      </c>
      <c r="B1717" s="3" t="inlineStr">
        <is>
          <t>Mandor</t>
        </is>
      </c>
      <c r="C1717" s="3" t="inlineStr">
        <is>
          <t>OH</t>
        </is>
      </c>
      <c r="D1717" s="15" t="n">
        <v>0.0022</v>
      </c>
      <c r="E1717" s="4" t="n">
        <v>200000</v>
      </c>
      <c r="F1717" s="4" t="n">
        <v>440</v>
      </c>
    </row>
    <row r="1718">
      <c r="A1718" s="3" t="inlineStr">
        <is>
          <t>1</t>
        </is>
      </c>
      <c r="B1718" s="3" t="inlineStr">
        <is>
          <t>Atap metal lembaran</t>
        </is>
      </c>
      <c r="C1718" s="3" t="inlineStr">
        <is>
          <t>m2</t>
        </is>
      </c>
      <c r="D1718" s="15" t="n">
        <v>1.3</v>
      </c>
      <c r="E1718" s="4" t="n">
        <v>112500</v>
      </c>
      <c r="F1718" s="4" t="n">
        <v>146250</v>
      </c>
    </row>
    <row r="1719">
      <c r="A1719" s="3" t="inlineStr">
        <is>
          <t>2</t>
        </is>
      </c>
      <c r="B1719" s="3" t="inlineStr">
        <is>
          <t>Paku 1 inch</t>
        </is>
      </c>
      <c r="C1719" s="3" t="inlineStr">
        <is>
          <t>kg</t>
        </is>
      </c>
      <c r="D1719" s="15" t="n">
        <v>0.05</v>
      </c>
      <c r="E1719" s="4" t="n">
        <v>15000</v>
      </c>
      <c r="F1719" s="4" t="n">
        <v>750</v>
      </c>
    </row>
    <row r="1720">
      <c r="D1720" s="2" t="inlineStr">
        <is>
          <t>SUBTOTAL UPAH</t>
        </is>
      </c>
      <c r="F1720" s="16" t="n">
        <v>24614</v>
      </c>
    </row>
    <row r="1721">
      <c r="D1721" s="2" t="inlineStr">
        <is>
          <t>SUBTOTAL BAHAN</t>
        </is>
      </c>
      <c r="F1721" s="16" t="n">
        <v>147000</v>
      </c>
    </row>
    <row r="1722">
      <c r="D1722" s="2" t="inlineStr">
        <is>
          <t>SUBTOTAL ALAT</t>
        </is>
      </c>
      <c r="F1722" s="16" t="n">
        <v>0</v>
      </c>
    </row>
    <row r="1723">
      <c r="E1723" s="2" t="inlineStr">
        <is>
          <t>TOTAL HARGA SATUAN (Inc. Overhead)</t>
        </is>
      </c>
      <c r="F1723" s="17" t="n">
        <v>188775</v>
      </c>
    </row>
    <row r="1725">
      <c r="A1725" s="14" t="inlineStr">
        <is>
          <t>KODE: 3.1.3.8 - Pemasangan 1 m2 atap metal menerus tebal 0,4 mm</t>
        </is>
      </c>
    </row>
    <row r="1726">
      <c r="A1726" s="10" t="inlineStr">
        <is>
          <t>No</t>
        </is>
      </c>
      <c r="B1726" s="10" t="inlineStr">
        <is>
          <t>Uraian Komponen</t>
        </is>
      </c>
      <c r="C1726" s="10" t="inlineStr">
        <is>
          <t>Satuan</t>
        </is>
      </c>
      <c r="D1726" s="10" t="inlineStr">
        <is>
          <t>Koef</t>
        </is>
      </c>
      <c r="E1726" s="10" t="inlineStr">
        <is>
          <t>Harga Satuan (Rp)</t>
        </is>
      </c>
      <c r="F1726" s="10" t="inlineStr">
        <is>
          <t>Jumlah Harga (Rp)</t>
        </is>
      </c>
    </row>
    <row r="1727">
      <c r="A1727" s="3" t="inlineStr">
        <is>
          <t>1</t>
        </is>
      </c>
      <c r="B1727" s="3" t="inlineStr">
        <is>
          <t>Pekerja</t>
        </is>
      </c>
      <c r="C1727" s="3" t="inlineStr">
        <is>
          <t>OH</t>
        </is>
      </c>
      <c r="D1727" s="15" t="n">
        <v>0.08</v>
      </c>
      <c r="E1727" s="4" t="n">
        <v>100000</v>
      </c>
      <c r="F1727" s="4" t="n">
        <v>8000</v>
      </c>
    </row>
    <row r="1728">
      <c r="A1728" s="3" t="inlineStr">
        <is>
          <t>2</t>
        </is>
      </c>
      <c r="B1728" s="3" t="inlineStr">
        <is>
          <t>Tukang kayu</t>
        </is>
      </c>
      <c r="C1728" s="3" t="inlineStr">
        <is>
          <t>OH</t>
        </is>
      </c>
      <c r="D1728" s="15" t="n">
        <v>0.04</v>
      </c>
      <c r="E1728" s="4" t="n">
        <v>145000</v>
      </c>
      <c r="F1728" s="4" t="n">
        <v>5800</v>
      </c>
    </row>
    <row r="1729">
      <c r="A1729" s="3" t="inlineStr">
        <is>
          <t>3</t>
        </is>
      </c>
      <c r="B1729" s="3" t="inlineStr">
        <is>
          <t>Kepala tukang</t>
        </is>
      </c>
      <c r="C1729" s="3" t="inlineStr">
        <is>
          <t>OH</t>
        </is>
      </c>
      <c r="D1729" s="15" t="n">
        <v>0.004</v>
      </c>
      <c r="E1729" s="4" t="n">
        <v>175000</v>
      </c>
      <c r="F1729" s="4" t="n">
        <v>700</v>
      </c>
    </row>
    <row r="1730">
      <c r="A1730" s="3" t="inlineStr">
        <is>
          <t>4</t>
        </is>
      </c>
      <c r="B1730" s="3" t="inlineStr">
        <is>
          <t>Mandor</t>
        </is>
      </c>
      <c r="C1730" s="3" t="inlineStr">
        <is>
          <t>OH</t>
        </is>
      </c>
      <c r="D1730" s="15" t="n">
        <v>0.0013</v>
      </c>
      <c r="E1730" s="4" t="n">
        <v>200000</v>
      </c>
      <c r="F1730" s="4" t="n">
        <v>260</v>
      </c>
    </row>
    <row r="1731">
      <c r="A1731" s="3" t="inlineStr">
        <is>
          <t>1</t>
        </is>
      </c>
      <c r="B1731" s="3" t="inlineStr">
        <is>
          <t>Atap metal menerus</t>
        </is>
      </c>
      <c r="C1731" s="3" t="inlineStr">
        <is>
          <t>m2</t>
        </is>
      </c>
      <c r="D1731" s="15" t="n">
        <v>1.3</v>
      </c>
      <c r="E1731" s="4" t="n">
        <v>80000</v>
      </c>
      <c r="F1731" s="4" t="n">
        <v>104000</v>
      </c>
    </row>
    <row r="1732">
      <c r="A1732" s="3" t="inlineStr">
        <is>
          <t>2</t>
        </is>
      </c>
      <c r="B1732" s="3" t="inlineStr">
        <is>
          <t>Paku sekrup</t>
        </is>
      </c>
      <c r="C1732" s="3" t="inlineStr">
        <is>
          <t>kg</t>
        </is>
      </c>
      <c r="D1732" s="15" t="n">
        <v>0.15</v>
      </c>
      <c r="E1732" s="4" t="n">
        <v>30090</v>
      </c>
      <c r="F1732" s="4" t="n">
        <v>4513.5</v>
      </c>
    </row>
    <row r="1733">
      <c r="D1733" s="2" t="inlineStr">
        <is>
          <t>SUBTOTAL UPAH</t>
        </is>
      </c>
      <c r="F1733" s="16" t="n">
        <v>14760</v>
      </c>
    </row>
    <row r="1734">
      <c r="D1734" s="2" t="inlineStr">
        <is>
          <t>SUBTOTAL BAHAN</t>
        </is>
      </c>
      <c r="F1734" s="16" t="n">
        <v>108513.5</v>
      </c>
    </row>
    <row r="1735">
      <c r="D1735" s="2" t="inlineStr">
        <is>
          <t>SUBTOTAL ALAT</t>
        </is>
      </c>
      <c r="F1735" s="16" t="n">
        <v>0</v>
      </c>
    </row>
    <row r="1736">
      <c r="E1736" s="2" t="inlineStr">
        <is>
          <t>TOTAL HARGA SATUAN (Inc. Overhead)</t>
        </is>
      </c>
      <c r="F1736" s="17" t="n">
        <v>135600</v>
      </c>
    </row>
    <row r="1738">
      <c r="A1738" s="14" t="inlineStr">
        <is>
          <t>KODE: 3.1.3.9 - Pemasangan 1 m2 Atap Kaca Tempered</t>
        </is>
      </c>
    </row>
    <row r="1739">
      <c r="A1739" s="10" t="inlineStr">
        <is>
          <t>No</t>
        </is>
      </c>
      <c r="B1739" s="10" t="inlineStr">
        <is>
          <t>Uraian Komponen</t>
        </is>
      </c>
      <c r="C1739" s="10" t="inlineStr">
        <is>
          <t>Satuan</t>
        </is>
      </c>
      <c r="D1739" s="10" t="inlineStr">
        <is>
          <t>Koef</t>
        </is>
      </c>
      <c r="E1739" s="10" t="inlineStr">
        <is>
          <t>Harga Satuan (Rp)</t>
        </is>
      </c>
      <c r="F1739" s="10" t="inlineStr">
        <is>
          <t>Jumlah Harga (Rp)</t>
        </is>
      </c>
    </row>
    <row r="1740">
      <c r="A1740" s="3" t="inlineStr">
        <is>
          <t>3.1.3.9.1</t>
        </is>
      </c>
      <c r="B1740" s="3" t="inlineStr">
        <is>
          <t>Pemasangan 1 m2 atap kaca ketebalan 8/10/12 mm</t>
        </is>
      </c>
      <c r="C1740" s="3" t="n">
        <v>779355</v>
      </c>
    </row>
    <row r="1741">
      <c r="A1741" s="3" t="inlineStr">
        <is>
          <t>1</t>
        </is>
      </c>
      <c r="B1741" s="3" t="inlineStr">
        <is>
          <t>Pekerja</t>
        </is>
      </c>
      <c r="C1741" s="3" t="inlineStr">
        <is>
          <t>OH</t>
        </is>
      </c>
      <c r="D1741" s="15" t="n">
        <v>0.3</v>
      </c>
      <c r="E1741" s="4" t="n">
        <v>100000</v>
      </c>
      <c r="F1741" s="4" t="n">
        <v>30000</v>
      </c>
    </row>
    <row r="1742">
      <c r="A1742" s="3" t="inlineStr">
        <is>
          <t>2</t>
        </is>
      </c>
      <c r="B1742" s="3" t="inlineStr">
        <is>
          <t>Tukang kayu</t>
        </is>
      </c>
      <c r="C1742" s="3" t="inlineStr">
        <is>
          <t>OH</t>
        </is>
      </c>
      <c r="D1742" s="15" t="n">
        <v>0.1</v>
      </c>
      <c r="E1742" s="4" t="n">
        <v>145000</v>
      </c>
      <c r="F1742" s="4" t="n">
        <v>14500</v>
      </c>
    </row>
    <row r="1743">
      <c r="A1743" s="3" t="inlineStr">
        <is>
          <t>3</t>
        </is>
      </c>
      <c r="B1743" s="3" t="inlineStr">
        <is>
          <t>Kepala tukang</t>
        </is>
      </c>
      <c r="C1743" s="3" t="inlineStr">
        <is>
          <t>OH</t>
        </is>
      </c>
      <c r="D1743" s="15" t="n">
        <v>0.01</v>
      </c>
      <c r="E1743" s="4" t="n">
        <v>175000</v>
      </c>
      <c r="F1743" s="4" t="n">
        <v>1750</v>
      </c>
    </row>
    <row r="1744">
      <c r="A1744" s="3" t="inlineStr">
        <is>
          <t>4</t>
        </is>
      </c>
      <c r="B1744" s="3" t="inlineStr">
        <is>
          <t>Mandor</t>
        </is>
      </c>
      <c r="C1744" s="3" t="inlineStr">
        <is>
          <t>OH</t>
        </is>
      </c>
      <c r="D1744" s="15" t="n">
        <v>0.003</v>
      </c>
      <c r="E1744" s="4" t="n">
        <v>200000</v>
      </c>
      <c r="F1744" s="4" t="n">
        <v>600</v>
      </c>
    </row>
    <row r="1745">
      <c r="A1745" s="3" t="inlineStr">
        <is>
          <t>1</t>
        </is>
      </c>
      <c r="B1745" s="3" t="inlineStr">
        <is>
          <t>Kaca tempered 12 mm</t>
        </is>
      </c>
      <c r="C1745" s="3" t="inlineStr">
        <is>
          <t>m2</t>
        </is>
      </c>
      <c r="D1745" s="15" t="n">
        <v>1.1</v>
      </c>
      <c r="E1745" s="4" t="n">
        <v>600000</v>
      </c>
      <c r="F1745" s="4" t="n">
        <v>660000</v>
      </c>
    </row>
    <row r="1746">
      <c r="A1746" s="3" t="inlineStr">
        <is>
          <t>2</t>
        </is>
      </c>
      <c r="B1746" s="3" t="inlineStr">
        <is>
          <t>Sealant</t>
        </is>
      </c>
      <c r="C1746" s="3" t="inlineStr">
        <is>
          <t>tube</t>
        </is>
      </c>
      <c r="D1746" s="15" t="n">
        <v>0.05</v>
      </c>
      <c r="E1746" s="4" t="n">
        <v>33100</v>
      </c>
      <c r="F1746" s="4" t="n">
        <v>1655</v>
      </c>
    </row>
    <row r="1747">
      <c r="D1747" s="2" t="inlineStr">
        <is>
          <t>SUBTOTAL UPAH</t>
        </is>
      </c>
      <c r="F1747" s="16" t="n">
        <v>46850</v>
      </c>
    </row>
    <row r="1748">
      <c r="D1748" s="2" t="inlineStr">
        <is>
          <t>SUBTOTAL BAHAN</t>
        </is>
      </c>
      <c r="F1748" s="16" t="n">
        <v>661655</v>
      </c>
    </row>
    <row r="1749">
      <c r="D1749" s="2" t="inlineStr">
        <is>
          <t>SUBTOTAL ALAT</t>
        </is>
      </c>
      <c r="F1749" s="16" t="n">
        <v>0</v>
      </c>
    </row>
    <row r="1750">
      <c r="E1750" s="2" t="inlineStr">
        <is>
          <t>TOTAL HARGA SATUAN (Inc. Overhead)</t>
        </is>
      </c>
      <c r="F1750" s="17" t="n">
        <v>0</v>
      </c>
    </row>
    <row r="1752">
      <c r="A1752" s="14" t="inlineStr">
        <is>
          <t>KODE: 3.1.3.10 - Pemasangan 1 m' Nok/bubung atap seng gelombang</t>
        </is>
      </c>
    </row>
    <row r="1753">
      <c r="A1753" s="10" t="inlineStr">
        <is>
          <t>No</t>
        </is>
      </c>
      <c r="B1753" s="10" t="inlineStr">
        <is>
          <t>Uraian Komponen</t>
        </is>
      </c>
      <c r="C1753" s="10" t="inlineStr">
        <is>
          <t>Satuan</t>
        </is>
      </c>
      <c r="D1753" s="10" t="inlineStr">
        <is>
          <t>Koef</t>
        </is>
      </c>
      <c r="E1753" s="10" t="inlineStr">
        <is>
          <t>Harga Satuan (Rp)</t>
        </is>
      </c>
      <c r="F1753" s="10" t="inlineStr">
        <is>
          <t>Jumlah Harga (Rp)</t>
        </is>
      </c>
    </row>
    <row r="1754">
      <c r="A1754" s="3" t="inlineStr">
        <is>
          <t>1</t>
        </is>
      </c>
      <c r="B1754" s="3" t="inlineStr">
        <is>
          <t>Pekerja</t>
        </is>
      </c>
      <c r="C1754" s="3" t="inlineStr">
        <is>
          <t>OH</t>
        </is>
      </c>
      <c r="D1754" s="15" t="n">
        <v>0.15</v>
      </c>
      <c r="E1754" s="4" t="n">
        <v>100000</v>
      </c>
      <c r="F1754" s="4" t="n">
        <v>15000</v>
      </c>
    </row>
    <row r="1755">
      <c r="A1755" s="3" t="inlineStr">
        <is>
          <t>2</t>
        </is>
      </c>
      <c r="B1755" s="3" t="inlineStr">
        <is>
          <t>Tukang kayu</t>
        </is>
      </c>
      <c r="C1755" s="3" t="inlineStr">
        <is>
          <t>OH</t>
        </is>
      </c>
      <c r="D1755" s="15" t="n">
        <v>0.07000000000000001</v>
      </c>
      <c r="E1755" s="4" t="n">
        <v>145000</v>
      </c>
      <c r="F1755" s="4" t="n">
        <v>10150</v>
      </c>
    </row>
    <row r="1756">
      <c r="A1756" s="3" t="inlineStr">
        <is>
          <t>3</t>
        </is>
      </c>
      <c r="B1756" s="3" t="inlineStr">
        <is>
          <t>Kepala tukang</t>
        </is>
      </c>
      <c r="C1756" s="3" t="inlineStr">
        <is>
          <t>OH</t>
        </is>
      </c>
      <c r="D1756" s="15" t="n">
        <v>0.007</v>
      </c>
      <c r="E1756" s="4" t="n">
        <v>175000</v>
      </c>
      <c r="F1756" s="4" t="n">
        <v>1225</v>
      </c>
    </row>
    <row r="1757">
      <c r="A1757" s="3" t="inlineStr">
        <is>
          <t>4</t>
        </is>
      </c>
      <c r="B1757" s="3" t="inlineStr">
        <is>
          <t>Mandor</t>
        </is>
      </c>
      <c r="C1757" s="3" t="inlineStr">
        <is>
          <t>OH</t>
        </is>
      </c>
      <c r="D1757" s="15" t="n">
        <v>0.0023</v>
      </c>
      <c r="E1757" s="4" t="n">
        <v>200000</v>
      </c>
      <c r="F1757" s="4" t="n">
        <v>460</v>
      </c>
    </row>
    <row r="1758">
      <c r="A1758" s="3" t="inlineStr">
        <is>
          <t>1</t>
        </is>
      </c>
      <c r="B1758" s="3" t="inlineStr">
        <is>
          <t>Seng Pelat  90x180 cm bjls 28</t>
        </is>
      </c>
      <c r="C1758" s="3" t="inlineStr">
        <is>
          <t>lembar</t>
        </is>
      </c>
      <c r="D1758" s="15" t="n">
        <v>0.3</v>
      </c>
      <c r="E1758" s="4" t="n">
        <v>72200</v>
      </c>
      <c r="F1758" s="4" t="n">
        <v>21660</v>
      </c>
    </row>
    <row r="1759">
      <c r="A1759" s="3" t="inlineStr">
        <is>
          <t>2</t>
        </is>
      </c>
      <c r="B1759" s="3" t="inlineStr">
        <is>
          <t>Paku 1 inch</t>
        </is>
      </c>
      <c r="C1759" s="3" t="inlineStr">
        <is>
          <t>kg</t>
        </is>
      </c>
      <c r="D1759" s="15" t="n">
        <v>0.04</v>
      </c>
      <c r="E1759" s="4" t="n">
        <v>15000</v>
      </c>
      <c r="F1759" s="4" t="n">
        <v>600</v>
      </c>
    </row>
    <row r="1760">
      <c r="D1760" s="2" t="inlineStr">
        <is>
          <t>SUBTOTAL UPAH</t>
        </is>
      </c>
      <c r="F1760" s="16" t="n">
        <v>26835</v>
      </c>
    </row>
    <row r="1761">
      <c r="D1761" s="2" t="inlineStr">
        <is>
          <t>SUBTOTAL BAHAN</t>
        </is>
      </c>
      <c r="F1761" s="16" t="n">
        <v>22260</v>
      </c>
    </row>
    <row r="1762">
      <c r="D1762" s="2" t="inlineStr">
        <is>
          <t>SUBTOTAL ALAT</t>
        </is>
      </c>
      <c r="F1762" s="16" t="n">
        <v>0</v>
      </c>
    </row>
    <row r="1763">
      <c r="E1763" s="2" t="inlineStr">
        <is>
          <t>TOTAL HARGA SATUAN (Inc. Overhead)</t>
        </is>
      </c>
      <c r="F1763" s="17" t="n">
        <v>54004</v>
      </c>
    </row>
    <row r="1765">
      <c r="A1765" s="14" t="inlineStr">
        <is>
          <t>KODE: 3.1.3.11 - Pemasangan 1 m' Nok/bubung atap aluminium gelombang</t>
        </is>
      </c>
    </row>
    <row r="1766">
      <c r="A1766" s="10" t="inlineStr">
        <is>
          <t>No</t>
        </is>
      </c>
      <c r="B1766" s="10" t="inlineStr">
        <is>
          <t>Uraian Komponen</t>
        </is>
      </c>
      <c r="C1766" s="10" t="inlineStr">
        <is>
          <t>Satuan</t>
        </is>
      </c>
      <c r="D1766" s="10" t="inlineStr">
        <is>
          <t>Koef</t>
        </is>
      </c>
      <c r="E1766" s="10" t="inlineStr">
        <is>
          <t>Harga Satuan (Rp)</t>
        </is>
      </c>
      <c r="F1766" s="10" t="inlineStr">
        <is>
          <t>Jumlah Harga (Rp)</t>
        </is>
      </c>
    </row>
    <row r="1767">
      <c r="A1767" s="3" t="inlineStr">
        <is>
          <t>1</t>
        </is>
      </c>
      <c r="B1767" s="3" t="inlineStr">
        <is>
          <t>Pekerja</t>
        </is>
      </c>
      <c r="C1767" s="3" t="inlineStr">
        <is>
          <t>OH</t>
        </is>
      </c>
      <c r="D1767" s="15" t="n">
        <v>0.1</v>
      </c>
      <c r="E1767" s="4" t="n">
        <v>100000</v>
      </c>
      <c r="F1767" s="4" t="n">
        <v>10000</v>
      </c>
    </row>
    <row r="1768">
      <c r="A1768" s="3" t="inlineStr">
        <is>
          <t>2</t>
        </is>
      </c>
      <c r="B1768" s="3" t="inlineStr">
        <is>
          <t>Tukang kayu</t>
        </is>
      </c>
      <c r="C1768" s="3" t="inlineStr">
        <is>
          <t>OH</t>
        </is>
      </c>
      <c r="D1768" s="15" t="n">
        <v>1</v>
      </c>
      <c r="E1768" s="4" t="n">
        <v>145000</v>
      </c>
      <c r="F1768" s="4" t="n">
        <v>145000</v>
      </c>
    </row>
    <row r="1769">
      <c r="A1769" s="3" t="inlineStr">
        <is>
          <t>3</t>
        </is>
      </c>
      <c r="B1769" s="3" t="inlineStr">
        <is>
          <t>Kepala tukang</t>
        </is>
      </c>
      <c r="C1769" s="3" t="inlineStr">
        <is>
          <t>OH</t>
        </is>
      </c>
      <c r="D1769" s="15" t="n">
        <v>0.1</v>
      </c>
      <c r="E1769" s="4" t="n">
        <v>175000</v>
      </c>
      <c r="F1769" s="4" t="n">
        <v>17500</v>
      </c>
    </row>
    <row r="1770">
      <c r="A1770" s="3" t="inlineStr">
        <is>
          <t>4</t>
        </is>
      </c>
      <c r="B1770" s="3" t="inlineStr">
        <is>
          <t>Mandor</t>
        </is>
      </c>
      <c r="C1770" s="3" t="inlineStr">
        <is>
          <t>OH</t>
        </is>
      </c>
      <c r="D1770" s="15" t="n">
        <v>0.0333</v>
      </c>
      <c r="E1770" s="4" t="n">
        <v>200000</v>
      </c>
      <c r="F1770" s="4" t="n">
        <v>6660.000000000001</v>
      </c>
    </row>
    <row r="1771">
      <c r="A1771" s="3" t="inlineStr">
        <is>
          <t>1</t>
        </is>
      </c>
      <c r="B1771" s="3" t="inlineStr">
        <is>
          <t>Nok standar</t>
        </is>
      </c>
      <c r="C1771" s="3" t="inlineStr">
        <is>
          <t>lembar</t>
        </is>
      </c>
      <c r="D1771" s="15" t="n">
        <v>1.2</v>
      </c>
      <c r="E1771" s="4" t="n">
        <v>67000</v>
      </c>
      <c r="F1771" s="4" t="n">
        <v>80400</v>
      </c>
    </row>
    <row r="1772">
      <c r="A1772" s="3" t="inlineStr">
        <is>
          <t>2</t>
        </is>
      </c>
      <c r="B1772" s="3" t="inlineStr">
        <is>
          <t>Paku pancing 6x23</t>
        </is>
      </c>
      <c r="C1772" s="3" t="inlineStr">
        <is>
          <t>kg</t>
        </is>
      </c>
      <c r="D1772" s="15" t="n">
        <v>0.02</v>
      </c>
      <c r="E1772" s="4" t="n">
        <v>19460</v>
      </c>
      <c r="F1772" s="4" t="n">
        <v>389.2</v>
      </c>
    </row>
    <row r="1773">
      <c r="D1773" s="2" t="inlineStr">
        <is>
          <t>SUBTOTAL UPAH</t>
        </is>
      </c>
      <c r="F1773" s="16" t="n">
        <v>179160</v>
      </c>
    </row>
    <row r="1774">
      <c r="D1774" s="2" t="inlineStr">
        <is>
          <t>SUBTOTAL BAHAN</t>
        </is>
      </c>
      <c r="F1774" s="16" t="n">
        <v>80789.2</v>
      </c>
    </row>
    <row r="1775">
      <c r="D1775" s="2" t="inlineStr">
        <is>
          <t>SUBTOTAL ALAT</t>
        </is>
      </c>
      <c r="F1775" s="16" t="n">
        <v>0</v>
      </c>
    </row>
    <row r="1776">
      <c r="E1776" s="2" t="inlineStr">
        <is>
          <t>TOTAL HARGA SATUAN (Inc. Overhead)</t>
        </is>
      </c>
      <c r="F1776" s="17" t="n">
        <v>285944</v>
      </c>
    </row>
    <row r="1778">
      <c r="A1778" s="14" t="inlineStr">
        <is>
          <t>KODE: 3.1.3.12 - Pemasangan 1 m' Nok/bubung atap sirap kayu</t>
        </is>
      </c>
    </row>
    <row r="1779">
      <c r="A1779" s="10" t="inlineStr">
        <is>
          <t>No</t>
        </is>
      </c>
      <c r="B1779" s="10" t="inlineStr">
        <is>
          <t>Uraian Komponen</t>
        </is>
      </c>
      <c r="C1779" s="10" t="inlineStr">
        <is>
          <t>Satuan</t>
        </is>
      </c>
      <c r="D1779" s="10" t="inlineStr">
        <is>
          <t>Koef</t>
        </is>
      </c>
      <c r="E1779" s="10" t="inlineStr">
        <is>
          <t>Harga Satuan (Rp)</t>
        </is>
      </c>
      <c r="F1779" s="10" t="inlineStr">
        <is>
          <t>Jumlah Harga (Rp)</t>
        </is>
      </c>
    </row>
    <row r="1780">
      <c r="A1780" s="3" t="inlineStr">
        <is>
          <t>1</t>
        </is>
      </c>
      <c r="B1780" s="3" t="inlineStr">
        <is>
          <t>Pekerja</t>
        </is>
      </c>
      <c r="C1780" s="3" t="inlineStr">
        <is>
          <t>OH</t>
        </is>
      </c>
      <c r="D1780" s="15" t="n">
        <v>0.125</v>
      </c>
      <c r="E1780" s="4" t="n">
        <v>100000</v>
      </c>
      <c r="F1780" s="4" t="n">
        <v>12500</v>
      </c>
    </row>
    <row r="1781">
      <c r="A1781" s="3" t="inlineStr">
        <is>
          <t>2</t>
        </is>
      </c>
      <c r="B1781" s="3" t="inlineStr">
        <is>
          <t>Tukang kayu</t>
        </is>
      </c>
      <c r="C1781" s="3" t="inlineStr">
        <is>
          <t>OH</t>
        </is>
      </c>
      <c r="D1781" s="15" t="n">
        <v>0.25</v>
      </c>
      <c r="E1781" s="4" t="n">
        <v>145000</v>
      </c>
      <c r="F1781" s="4" t="n">
        <v>36250</v>
      </c>
    </row>
    <row r="1782">
      <c r="A1782" s="3" t="inlineStr">
        <is>
          <t>3</t>
        </is>
      </c>
      <c r="B1782" s="3" t="inlineStr">
        <is>
          <t>Kepala tukang</t>
        </is>
      </c>
      <c r="C1782" s="3" t="inlineStr">
        <is>
          <t>OH</t>
        </is>
      </c>
      <c r="D1782" s="15" t="n">
        <v>0.025</v>
      </c>
      <c r="E1782" s="4" t="n">
        <v>175000</v>
      </c>
      <c r="F1782" s="4" t="n">
        <v>4375</v>
      </c>
    </row>
    <row r="1783">
      <c r="A1783" s="3" t="inlineStr">
        <is>
          <t>4</t>
        </is>
      </c>
      <c r="B1783" s="3" t="inlineStr">
        <is>
          <t>Mandor</t>
        </is>
      </c>
      <c r="C1783" s="3" t="inlineStr">
        <is>
          <t>OH</t>
        </is>
      </c>
      <c r="D1783" s="15" t="n">
        <v>0.0083</v>
      </c>
      <c r="E1783" s="4" t="n">
        <v>200000</v>
      </c>
      <c r="F1783" s="4" t="n">
        <v>1660</v>
      </c>
    </row>
    <row r="1784">
      <c r="A1784" s="3" t="inlineStr">
        <is>
          <t>1</t>
        </is>
      </c>
      <c r="B1784" s="3" t="inlineStr">
        <is>
          <t>Seng Pelat  90x180 cm bjls 28</t>
        </is>
      </c>
      <c r="C1784" s="3" t="inlineStr">
        <is>
          <t>lembar</t>
        </is>
      </c>
      <c r="D1784" s="15" t="n">
        <v>0.4</v>
      </c>
      <c r="E1784" s="4" t="n">
        <v>72200</v>
      </c>
      <c r="F1784" s="4" t="n">
        <v>28880</v>
      </c>
    </row>
    <row r="1785">
      <c r="A1785" s="3" t="inlineStr">
        <is>
          <t>2</t>
        </is>
      </c>
      <c r="B1785" s="3" t="inlineStr">
        <is>
          <t>Paku 1 inch</t>
        </is>
      </c>
      <c r="C1785" s="3" t="inlineStr">
        <is>
          <t>kg</t>
        </is>
      </c>
      <c r="D1785" s="15" t="n">
        <v>0.05</v>
      </c>
      <c r="E1785" s="4" t="n">
        <v>15000</v>
      </c>
      <c r="F1785" s="4" t="n">
        <v>750</v>
      </c>
    </row>
    <row r="1786">
      <c r="D1786" s="2" t="inlineStr">
        <is>
          <t>SUBTOTAL UPAH</t>
        </is>
      </c>
      <c r="F1786" s="16" t="n">
        <v>54785</v>
      </c>
    </row>
    <row r="1787">
      <c r="D1787" s="2" t="inlineStr">
        <is>
          <t>SUBTOTAL BAHAN</t>
        </is>
      </c>
      <c r="F1787" s="16" t="n">
        <v>29630</v>
      </c>
    </row>
    <row r="1788">
      <c r="D1788" s="2" t="inlineStr">
        <is>
          <t>SUBTOTAL ALAT</t>
        </is>
      </c>
      <c r="F1788" s="16" t="n">
        <v>0</v>
      </c>
    </row>
    <row r="1789">
      <c r="E1789" s="2" t="inlineStr">
        <is>
          <t>TOTAL HARGA SATUAN (Inc. Overhead)</t>
        </is>
      </c>
      <c r="F1789" s="17" t="n">
        <v>92856</v>
      </c>
    </row>
    <row r="1791">
      <c r="A1791" s="14" t="inlineStr">
        <is>
          <t>KODE: 3.1.3.13 - Pemasangan 1 m' Nok/bubung atap aspal/bitumen</t>
        </is>
      </c>
    </row>
    <row r="1792">
      <c r="A1792" s="10" t="inlineStr">
        <is>
          <t>No</t>
        </is>
      </c>
      <c r="B1792" s="10" t="inlineStr">
        <is>
          <t>Uraian Komponen</t>
        </is>
      </c>
      <c r="C1792" s="10" t="inlineStr">
        <is>
          <t>Satuan</t>
        </is>
      </c>
      <c r="D1792" s="10" t="inlineStr">
        <is>
          <t>Koef</t>
        </is>
      </c>
      <c r="E1792" s="10" t="inlineStr">
        <is>
          <t>Harga Satuan (Rp)</t>
        </is>
      </c>
      <c r="F1792" s="10" t="inlineStr">
        <is>
          <t>Jumlah Harga (Rp)</t>
        </is>
      </c>
    </row>
    <row r="1793">
      <c r="A1793" s="3" t="inlineStr">
        <is>
          <t>1</t>
        </is>
      </c>
      <c r="B1793" s="3" t="inlineStr">
        <is>
          <t>Pekerja</t>
        </is>
      </c>
      <c r="C1793" s="3" t="inlineStr">
        <is>
          <t>OH</t>
        </is>
      </c>
      <c r="D1793" s="15" t="n">
        <v>0.125</v>
      </c>
      <c r="E1793" s="4" t="n">
        <v>100000</v>
      </c>
      <c r="F1793" s="4" t="n">
        <v>12500</v>
      </c>
    </row>
    <row r="1794">
      <c r="A1794" s="3" t="inlineStr">
        <is>
          <t>2</t>
        </is>
      </c>
      <c r="B1794" s="3" t="inlineStr">
        <is>
          <t>Tukang kayu</t>
        </is>
      </c>
      <c r="C1794" s="3" t="inlineStr">
        <is>
          <t>OH</t>
        </is>
      </c>
      <c r="D1794" s="15" t="n">
        <v>0.25</v>
      </c>
      <c r="E1794" s="4" t="n">
        <v>145000</v>
      </c>
      <c r="F1794" s="4" t="n">
        <v>36250</v>
      </c>
    </row>
    <row r="1795">
      <c r="A1795" s="3" t="inlineStr">
        <is>
          <t>3</t>
        </is>
      </c>
      <c r="B1795" s="3" t="inlineStr">
        <is>
          <t>Kepala tukang</t>
        </is>
      </c>
      <c r="C1795" s="3" t="inlineStr">
        <is>
          <t>OH</t>
        </is>
      </c>
      <c r="D1795" s="15" t="n">
        <v>0.025</v>
      </c>
      <c r="E1795" s="4" t="n">
        <v>175000</v>
      </c>
      <c r="F1795" s="4" t="n">
        <v>4375</v>
      </c>
    </row>
    <row r="1796">
      <c r="A1796" s="3" t="inlineStr">
        <is>
          <t>4</t>
        </is>
      </c>
      <c r="B1796" s="3" t="inlineStr">
        <is>
          <t>Mandor</t>
        </is>
      </c>
      <c r="C1796" s="3" t="inlineStr">
        <is>
          <t>OH</t>
        </is>
      </c>
      <c r="D1796" s="15" t="n">
        <v>0.0083</v>
      </c>
      <c r="E1796" s="4" t="n">
        <v>200000</v>
      </c>
      <c r="F1796" s="4" t="n">
        <v>1660</v>
      </c>
    </row>
    <row r="1797">
      <c r="A1797" s="3" t="inlineStr">
        <is>
          <t>1</t>
        </is>
      </c>
      <c r="B1797" s="3" t="inlineStr">
        <is>
          <t>Nok genteng aspal</t>
        </is>
      </c>
      <c r="C1797" s="3" t="inlineStr">
        <is>
          <t>buah</t>
        </is>
      </c>
      <c r="D1797" s="15" t="n">
        <v>2</v>
      </c>
      <c r="E1797" s="4" t="n">
        <v>95000</v>
      </c>
      <c r="F1797" s="4" t="n">
        <v>190000</v>
      </c>
    </row>
    <row r="1798">
      <c r="A1798" s="3" t="inlineStr">
        <is>
          <t>2</t>
        </is>
      </c>
      <c r="B1798" s="3" t="inlineStr">
        <is>
          <t>Paku 1 inch</t>
        </is>
      </c>
      <c r="C1798" s="3" t="inlineStr">
        <is>
          <t>kg</t>
        </is>
      </c>
      <c r="D1798" s="15" t="n">
        <v>0.05</v>
      </c>
      <c r="E1798" s="4" t="n">
        <v>15000</v>
      </c>
      <c r="F1798" s="4" t="n">
        <v>750</v>
      </c>
    </row>
    <row r="1799">
      <c r="A1799" s="3" t="inlineStr">
        <is>
          <t>3</t>
        </is>
      </c>
      <c r="B1799" s="3" t="inlineStr">
        <is>
          <t>Kayu Balok Borneo</t>
        </is>
      </c>
      <c r="C1799" s="3" t="inlineStr">
        <is>
          <t>m3</t>
        </is>
      </c>
      <c r="D1799" s="15" t="n">
        <v>0.0035</v>
      </c>
      <c r="E1799" s="4" t="n">
        <v>2700000</v>
      </c>
      <c r="F1799" s="4" t="n">
        <v>9450</v>
      </c>
    </row>
    <row r="1800">
      <c r="D1800" s="2" t="inlineStr">
        <is>
          <t>SUBTOTAL UPAH</t>
        </is>
      </c>
      <c r="F1800" s="16" t="n">
        <v>54785</v>
      </c>
    </row>
    <row r="1801">
      <c r="D1801" s="2" t="inlineStr">
        <is>
          <t>SUBTOTAL BAHAN</t>
        </is>
      </c>
      <c r="F1801" s="16" t="n">
        <v>200200</v>
      </c>
    </row>
    <row r="1802">
      <c r="D1802" s="2" t="inlineStr">
        <is>
          <t>SUBTOTAL ALAT</t>
        </is>
      </c>
      <c r="F1802" s="16" t="n">
        <v>0</v>
      </c>
    </row>
    <row r="1803">
      <c r="E1803" s="2" t="inlineStr">
        <is>
          <t>TOTAL HARGA SATUAN (Inc. Overhead)</t>
        </is>
      </c>
      <c r="F1803" s="17" t="n">
        <v>280483</v>
      </c>
    </row>
    <row r="1805">
      <c r="A1805" s="14" t="inlineStr">
        <is>
          <t>KODE: 3.1.3.14 - Pemasangan 1 m' Nok/bubung genteng metal</t>
        </is>
      </c>
    </row>
    <row r="1806">
      <c r="A1806" s="10" t="inlineStr">
        <is>
          <t>No</t>
        </is>
      </c>
      <c r="B1806" s="10" t="inlineStr">
        <is>
          <t>Uraian Komponen</t>
        </is>
      </c>
      <c r="C1806" s="10" t="inlineStr">
        <is>
          <t>Satuan</t>
        </is>
      </c>
      <c r="D1806" s="10" t="inlineStr">
        <is>
          <t>Koef</t>
        </is>
      </c>
      <c r="E1806" s="10" t="inlineStr">
        <is>
          <t>Harga Satuan (Rp)</t>
        </is>
      </c>
      <c r="F1806" s="10" t="inlineStr">
        <is>
          <t>Jumlah Harga (Rp)</t>
        </is>
      </c>
    </row>
    <row r="1807">
      <c r="A1807" s="3" t="inlineStr">
        <is>
          <t>1</t>
        </is>
      </c>
      <c r="B1807" s="3" t="inlineStr">
        <is>
          <t>Pekerja</t>
        </is>
      </c>
      <c r="C1807" s="3" t="inlineStr">
        <is>
          <t>OH</t>
        </is>
      </c>
      <c r="D1807" s="15" t="n">
        <v>0.25</v>
      </c>
      <c r="E1807" s="4" t="n">
        <v>100000</v>
      </c>
      <c r="F1807" s="4" t="n">
        <v>25000</v>
      </c>
    </row>
    <row r="1808">
      <c r="A1808" s="3" t="inlineStr">
        <is>
          <t>2</t>
        </is>
      </c>
      <c r="B1808" s="3" t="inlineStr">
        <is>
          <t>Tukang kayu</t>
        </is>
      </c>
      <c r="C1808" s="3" t="inlineStr">
        <is>
          <t>OH</t>
        </is>
      </c>
      <c r="D1808" s="15" t="n">
        <v>0.15</v>
      </c>
      <c r="E1808" s="4" t="n">
        <v>145000</v>
      </c>
      <c r="F1808" s="4" t="n">
        <v>21750</v>
      </c>
    </row>
    <row r="1809">
      <c r="A1809" s="3" t="inlineStr">
        <is>
          <t>3</t>
        </is>
      </c>
      <c r="B1809" s="3" t="inlineStr">
        <is>
          <t>Kepala tukang</t>
        </is>
      </c>
      <c r="C1809" s="3" t="inlineStr">
        <is>
          <t>OH</t>
        </is>
      </c>
      <c r="D1809" s="15" t="n">
        <v>0.015</v>
      </c>
      <c r="E1809" s="4" t="n">
        <v>175000</v>
      </c>
      <c r="F1809" s="4" t="n">
        <v>2625</v>
      </c>
    </row>
    <row r="1810">
      <c r="A1810" s="3" t="inlineStr">
        <is>
          <t>4</t>
        </is>
      </c>
      <c r="B1810" s="3" t="inlineStr">
        <is>
          <t>Mandor</t>
        </is>
      </c>
      <c r="C1810" s="3" t="inlineStr">
        <is>
          <t>OH</t>
        </is>
      </c>
      <c r="D1810" s="15" t="n">
        <v>0.005</v>
      </c>
      <c r="E1810" s="4" t="n">
        <v>200000</v>
      </c>
      <c r="F1810" s="4" t="n">
        <v>1000</v>
      </c>
    </row>
    <row r="1811">
      <c r="A1811" s="3" t="inlineStr">
        <is>
          <t>1</t>
        </is>
      </c>
      <c r="B1811" s="3" t="inlineStr">
        <is>
          <t>Nok genteng metal</t>
        </is>
      </c>
      <c r="C1811" s="3" t="inlineStr">
        <is>
          <t>buah</t>
        </is>
      </c>
      <c r="D1811" s="15" t="n">
        <v>1.1</v>
      </c>
      <c r="E1811" s="4" t="n">
        <v>25600</v>
      </c>
      <c r="F1811" s="4" t="n">
        <v>28160</v>
      </c>
    </row>
    <row r="1812">
      <c r="A1812" s="3" t="inlineStr">
        <is>
          <t>2</t>
        </is>
      </c>
      <c r="B1812" s="3" t="inlineStr">
        <is>
          <t>Paku sekrup</t>
        </is>
      </c>
      <c r="C1812" s="3" t="inlineStr">
        <is>
          <t>kg</t>
        </is>
      </c>
      <c r="D1812" s="15" t="n">
        <v>0.05</v>
      </c>
      <c r="E1812" s="4" t="n">
        <v>30090</v>
      </c>
      <c r="F1812" s="4" t="n">
        <v>1504.5</v>
      </c>
    </row>
    <row r="1813">
      <c r="D1813" s="2" t="inlineStr">
        <is>
          <t>SUBTOTAL UPAH</t>
        </is>
      </c>
      <c r="F1813" s="16" t="n">
        <v>50375</v>
      </c>
    </row>
    <row r="1814">
      <c r="D1814" s="2" t="inlineStr">
        <is>
          <t>SUBTOTAL BAHAN</t>
        </is>
      </c>
      <c r="F1814" s="16" t="n">
        <v>29664.5</v>
      </c>
    </row>
    <row r="1815">
      <c r="D1815" s="2" t="inlineStr">
        <is>
          <t>SUBTOTAL ALAT</t>
        </is>
      </c>
      <c r="F1815" s="16" t="n">
        <v>0</v>
      </c>
    </row>
    <row r="1816">
      <c r="E1816" s="2" t="inlineStr">
        <is>
          <t>TOTAL HARGA SATUAN (Inc. Overhead)</t>
        </is>
      </c>
      <c r="F1816" s="17" t="n">
        <v>88043</v>
      </c>
    </row>
    <row r="1818">
      <c r="A1818" s="14" t="inlineStr">
        <is>
          <t>KODE: 3.2.1.1 - Pemasangan 1 m2 plafon akustik uk. 30x30 cm</t>
        </is>
      </c>
    </row>
    <row r="1819">
      <c r="A1819" s="10" t="inlineStr">
        <is>
          <t>No</t>
        </is>
      </c>
      <c r="B1819" s="10" t="inlineStr">
        <is>
          <t>Uraian Komponen</t>
        </is>
      </c>
      <c r="C1819" s="10" t="inlineStr">
        <is>
          <t>Satuan</t>
        </is>
      </c>
      <c r="D1819" s="10" t="inlineStr">
        <is>
          <t>Koef</t>
        </is>
      </c>
      <c r="E1819" s="10" t="inlineStr">
        <is>
          <t>Harga Satuan (Rp)</t>
        </is>
      </c>
      <c r="F1819" s="10" t="inlineStr">
        <is>
          <t>Jumlah Harga (Rp)</t>
        </is>
      </c>
    </row>
    <row r="1820">
      <c r="A1820" s="3" t="inlineStr">
        <is>
          <t>1</t>
        </is>
      </c>
      <c r="B1820" s="3" t="inlineStr">
        <is>
          <t>Pekerja OH</t>
        </is>
      </c>
      <c r="C1820" s="3" t="inlineStr">
        <is>
          <t>0.12</t>
        </is>
      </c>
      <c r="D1820" s="15" t="n">
        <v>100000</v>
      </c>
      <c r="E1820" s="4" t="n">
        <v>12000</v>
      </c>
      <c r="F1820" s="4" t="n">
        <v>0.1</v>
      </c>
    </row>
    <row r="1821">
      <c r="A1821" s="3" t="inlineStr">
        <is>
          <t>2</t>
        </is>
      </c>
      <c r="B1821" s="3" t="inlineStr">
        <is>
          <t>Tukang kayu</t>
        </is>
      </c>
      <c r="C1821" s="3" t="inlineStr">
        <is>
          <t>OH</t>
        </is>
      </c>
      <c r="D1821" s="15" t="n">
        <v>0.12</v>
      </c>
      <c r="E1821" s="4" t="n">
        <v>145000</v>
      </c>
      <c r="F1821" s="4" t="n">
        <v>17400</v>
      </c>
    </row>
    <row r="1822">
      <c r="A1822" s="3" t="inlineStr">
        <is>
          <t>3</t>
        </is>
      </c>
      <c r="B1822" s="3" t="inlineStr">
        <is>
          <t>Kepala tukang</t>
        </is>
      </c>
      <c r="C1822" s="3" t="inlineStr">
        <is>
          <t>OH</t>
        </is>
      </c>
      <c r="D1822" s="15" t="n">
        <v>0.012</v>
      </c>
      <c r="E1822" s="4" t="n">
        <v>175000</v>
      </c>
      <c r="F1822" s="4" t="n">
        <v>2100</v>
      </c>
    </row>
    <row r="1823">
      <c r="A1823" s="3" t="inlineStr">
        <is>
          <t>4</t>
        </is>
      </c>
      <c r="B1823" s="3" t="inlineStr">
        <is>
          <t>Mandor</t>
        </is>
      </c>
      <c r="C1823" s="3" t="inlineStr">
        <is>
          <t>OH</t>
        </is>
      </c>
      <c r="D1823" s="15" t="n">
        <v>0.004</v>
      </c>
      <c r="E1823" s="4" t="n">
        <v>200000</v>
      </c>
      <c r="F1823" s="4" t="n">
        <v>800</v>
      </c>
    </row>
    <row r="1824">
      <c r="A1824" s="3" t="inlineStr">
        <is>
          <t>1</t>
        </is>
      </c>
      <c r="B1824" s="3" t="inlineStr">
        <is>
          <t>Plafon akustik 30x30 cm</t>
        </is>
      </c>
      <c r="C1824" s="3" t="inlineStr">
        <is>
          <t>lembar</t>
        </is>
      </c>
      <c r="D1824" s="15" t="n">
        <v>12</v>
      </c>
      <c r="E1824" s="4" t="n">
        <v>6200</v>
      </c>
      <c r="F1824" s="4" t="n">
        <v>74400</v>
      </c>
    </row>
    <row r="1825">
      <c r="D1825" s="2" t="inlineStr">
        <is>
          <t>SUBTOTAL UPAH</t>
        </is>
      </c>
      <c r="F1825" s="16" t="n">
        <v>32300</v>
      </c>
    </row>
    <row r="1826">
      <c r="D1826" s="2" t="inlineStr">
        <is>
          <t>SUBTOTAL BAHAN</t>
        </is>
      </c>
      <c r="F1826" s="16" t="n">
        <v>74400</v>
      </c>
    </row>
    <row r="1827">
      <c r="D1827" s="2" t="inlineStr">
        <is>
          <t>SUBTOTAL ALAT</t>
        </is>
      </c>
      <c r="F1827" s="16" t="n">
        <v>0</v>
      </c>
    </row>
    <row r="1828">
      <c r="E1828" s="2" t="inlineStr">
        <is>
          <t>TOTAL HARGA SATUAN (Inc. Overhead)</t>
        </is>
      </c>
      <c r="F1828" s="17" t="n">
        <v>117370</v>
      </c>
    </row>
    <row r="1830">
      <c r="A1830" s="14" t="inlineStr">
        <is>
          <t>KODE: 3.5.1.2 - Pemasangan 1 m2 plafon akustik uk. 30x60 cm</t>
        </is>
      </c>
    </row>
    <row r="1831">
      <c r="A1831" s="10" t="inlineStr">
        <is>
          <t>No</t>
        </is>
      </c>
      <c r="B1831" s="10" t="inlineStr">
        <is>
          <t>Uraian Komponen</t>
        </is>
      </c>
      <c r="C1831" s="10" t="inlineStr">
        <is>
          <t>Satuan</t>
        </is>
      </c>
      <c r="D1831" s="10" t="inlineStr">
        <is>
          <t>Koef</t>
        </is>
      </c>
      <c r="E1831" s="10" t="inlineStr">
        <is>
          <t>Harga Satuan (Rp)</t>
        </is>
      </c>
      <c r="F1831" s="10" t="inlineStr">
        <is>
          <t>Jumlah Harga (Rp)</t>
        </is>
      </c>
    </row>
    <row r="1832">
      <c r="A1832" s="3" t="inlineStr">
        <is>
          <t>1</t>
        </is>
      </c>
      <c r="B1832" s="3" t="inlineStr">
        <is>
          <t>Pekerja</t>
        </is>
      </c>
      <c r="C1832" s="3" t="inlineStr">
        <is>
          <t>OH</t>
        </is>
      </c>
      <c r="D1832" s="15" t="n">
        <v>0.12</v>
      </c>
      <c r="E1832" s="4" t="n">
        <v>100000</v>
      </c>
      <c r="F1832" s="4" t="n">
        <v>12000</v>
      </c>
    </row>
    <row r="1833">
      <c r="A1833" s="3" t="inlineStr">
        <is>
          <t>2</t>
        </is>
      </c>
      <c r="B1833" s="3" t="inlineStr">
        <is>
          <t>Tukang kayu</t>
        </is>
      </c>
      <c r="C1833" s="3" t="inlineStr">
        <is>
          <t>OH</t>
        </is>
      </c>
      <c r="D1833" s="15" t="n">
        <v>0.12</v>
      </c>
      <c r="E1833" s="4" t="n">
        <v>145000</v>
      </c>
      <c r="F1833" s="4" t="n">
        <v>17400</v>
      </c>
    </row>
    <row r="1834">
      <c r="A1834" s="3" t="inlineStr">
        <is>
          <t>3</t>
        </is>
      </c>
      <c r="B1834" s="3" t="inlineStr">
        <is>
          <t>Kepala tukang</t>
        </is>
      </c>
      <c r="C1834" s="3" t="inlineStr">
        <is>
          <t>OH</t>
        </is>
      </c>
      <c r="D1834" s="15" t="n">
        <v>0.012</v>
      </c>
      <c r="E1834" s="4" t="n">
        <v>175000</v>
      </c>
      <c r="F1834" s="4" t="n">
        <v>2100</v>
      </c>
    </row>
    <row r="1835">
      <c r="A1835" s="3" t="inlineStr">
        <is>
          <t>4</t>
        </is>
      </c>
      <c r="B1835" s="3" t="inlineStr">
        <is>
          <t>Mandor</t>
        </is>
      </c>
      <c r="C1835" s="3" t="inlineStr">
        <is>
          <t>OH</t>
        </is>
      </c>
      <c r="D1835" s="15" t="n">
        <v>0.004</v>
      </c>
      <c r="E1835" s="4" t="n">
        <v>200000</v>
      </c>
      <c r="F1835" s="4" t="n">
        <v>800</v>
      </c>
    </row>
    <row r="1836">
      <c r="A1836" s="3" t="inlineStr">
        <is>
          <t>1</t>
        </is>
      </c>
      <c r="B1836" s="3" t="inlineStr">
        <is>
          <t>Plafon akustik 30x60 cm</t>
        </is>
      </c>
      <c r="C1836" s="3" t="inlineStr">
        <is>
          <t>lembar</t>
        </is>
      </c>
      <c r="D1836" s="15" t="n">
        <v>5.8</v>
      </c>
      <c r="E1836" s="4" t="n">
        <v>13900</v>
      </c>
      <c r="F1836" s="4" t="n">
        <v>80620</v>
      </c>
    </row>
    <row r="1837">
      <c r="D1837" s="2" t="inlineStr">
        <is>
          <t>SUBTOTAL UPAH</t>
        </is>
      </c>
      <c r="F1837" s="16" t="n">
        <v>32300</v>
      </c>
    </row>
    <row r="1838">
      <c r="D1838" s="2" t="inlineStr">
        <is>
          <t>SUBTOTAL BAHAN</t>
        </is>
      </c>
      <c r="F1838" s="16" t="n">
        <v>80620</v>
      </c>
    </row>
    <row r="1839">
      <c r="D1839" s="2" t="inlineStr">
        <is>
          <t>SUBTOTAL ALAT</t>
        </is>
      </c>
      <c r="F1839" s="16" t="n">
        <v>0</v>
      </c>
    </row>
    <row r="1840">
      <c r="E1840" s="2" t="inlineStr">
        <is>
          <t>TOTAL HARGA SATUAN (Inc. Overhead)</t>
        </is>
      </c>
      <c r="F1840" s="17" t="n">
        <v>124212</v>
      </c>
    </row>
    <row r="1842">
      <c r="A1842" s="14" t="inlineStr">
        <is>
          <t>KODE: 3.5.1.3 - Pemasangan 1 m2 plafon akustik uk. 60x120 cm</t>
        </is>
      </c>
    </row>
    <row r="1843">
      <c r="A1843" s="10" t="inlineStr">
        <is>
          <t>No</t>
        </is>
      </c>
      <c r="B1843" s="10" t="inlineStr">
        <is>
          <t>Uraian Komponen</t>
        </is>
      </c>
      <c r="C1843" s="10" t="inlineStr">
        <is>
          <t>Satuan</t>
        </is>
      </c>
      <c r="D1843" s="10" t="inlineStr">
        <is>
          <t>Koef</t>
        </is>
      </c>
      <c r="E1843" s="10" t="inlineStr">
        <is>
          <t>Harga Satuan (Rp)</t>
        </is>
      </c>
      <c r="F1843" s="10" t="inlineStr">
        <is>
          <t>Jumlah Harga (Rp)</t>
        </is>
      </c>
    </row>
    <row r="1844">
      <c r="A1844" s="3" t="inlineStr">
        <is>
          <t>1</t>
        </is>
      </c>
      <c r="B1844" s="3" t="inlineStr">
        <is>
          <t>Pekerja</t>
        </is>
      </c>
      <c r="C1844" s="3" t="inlineStr">
        <is>
          <t>OH</t>
        </is>
      </c>
      <c r="D1844" s="15" t="n">
        <v>0.1</v>
      </c>
      <c r="E1844" s="4" t="n">
        <v>100000</v>
      </c>
      <c r="F1844" s="4" t="n">
        <v>10000</v>
      </c>
    </row>
    <row r="1845">
      <c r="A1845" s="3" t="inlineStr">
        <is>
          <t>2</t>
        </is>
      </c>
      <c r="B1845" s="3" t="inlineStr">
        <is>
          <t>Tukang kayu</t>
        </is>
      </c>
      <c r="C1845" s="3" t="inlineStr">
        <is>
          <t>OH</t>
        </is>
      </c>
      <c r="D1845" s="15" t="n">
        <v>0.1</v>
      </c>
      <c r="E1845" s="4" t="n">
        <v>145000</v>
      </c>
      <c r="F1845" s="4" t="n">
        <v>14500</v>
      </c>
    </row>
    <row r="1846">
      <c r="A1846" s="3" t="inlineStr">
        <is>
          <t>3</t>
        </is>
      </c>
      <c r="B1846" s="3" t="inlineStr">
        <is>
          <t>Kepala tukang</t>
        </is>
      </c>
      <c r="C1846" s="3" t="inlineStr">
        <is>
          <t>OH</t>
        </is>
      </c>
      <c r="D1846" s="15" t="n">
        <v>0.01</v>
      </c>
      <c r="E1846" s="4" t="n">
        <v>175000</v>
      </c>
      <c r="F1846" s="4" t="n">
        <v>1750</v>
      </c>
    </row>
    <row r="1847">
      <c r="A1847" s="3" t="inlineStr">
        <is>
          <t>4</t>
        </is>
      </c>
      <c r="B1847" s="3" t="inlineStr">
        <is>
          <t>Mandor</t>
        </is>
      </c>
      <c r="C1847" s="3" t="inlineStr">
        <is>
          <t>OH</t>
        </is>
      </c>
      <c r="D1847" s="15" t="n">
        <v>0.0033</v>
      </c>
      <c r="E1847" s="4" t="n">
        <v>200000</v>
      </c>
      <c r="F1847" s="4" t="n">
        <v>660</v>
      </c>
    </row>
    <row r="1848">
      <c r="A1848" s="3" t="inlineStr">
        <is>
          <t>1</t>
        </is>
      </c>
      <c r="B1848" s="3" t="inlineStr">
        <is>
          <t>Plafon akustik 60x120 cm</t>
        </is>
      </c>
      <c r="C1848" s="3" t="inlineStr">
        <is>
          <t>lembar</t>
        </is>
      </c>
      <c r="D1848" s="15" t="n">
        <v>1.5</v>
      </c>
      <c r="E1848" s="4" t="n">
        <v>24000</v>
      </c>
      <c r="F1848" s="4" t="n">
        <v>36000</v>
      </c>
    </row>
    <row r="1849">
      <c r="D1849" s="2" t="inlineStr">
        <is>
          <t>SUBTOTAL UPAH</t>
        </is>
      </c>
      <c r="F1849" s="16" t="n">
        <v>26910</v>
      </c>
    </row>
    <row r="1850">
      <c r="D1850" s="2" t="inlineStr">
        <is>
          <t>SUBTOTAL BAHAN</t>
        </is>
      </c>
      <c r="F1850" s="16" t="n">
        <v>36000</v>
      </c>
    </row>
    <row r="1851">
      <c r="D1851" s="2" t="inlineStr">
        <is>
          <t>SUBTOTAL ALAT</t>
        </is>
      </c>
      <c r="F1851" s="16" t="n">
        <v>0</v>
      </c>
    </row>
    <row r="1852">
      <c r="E1852" s="2" t="inlineStr">
        <is>
          <t>TOTAL HARGA SATUAN (Inc. Overhead)</t>
        </is>
      </c>
      <c r="F1852" s="17" t="n">
        <v>69201</v>
      </c>
    </row>
    <row r="1854">
      <c r="A1854" s="14" t="inlineStr">
        <is>
          <t>KODE: 3.5.1.4 - Pemasangan 1 m2 plafon akustik uk. 60x120 cm dengan profil aluminium</t>
        </is>
      </c>
    </row>
    <row r="1855">
      <c r="A1855" s="10" t="inlineStr">
        <is>
          <t>No</t>
        </is>
      </c>
      <c r="B1855" s="10" t="inlineStr">
        <is>
          <t>Uraian Komponen</t>
        </is>
      </c>
      <c r="C1855" s="10" t="inlineStr">
        <is>
          <t>Satuan</t>
        </is>
      </c>
      <c r="D1855" s="10" t="inlineStr">
        <is>
          <t>Koef</t>
        </is>
      </c>
      <c r="E1855" s="10" t="inlineStr">
        <is>
          <t>Harga Satuan (Rp)</t>
        </is>
      </c>
      <c r="F1855" s="10" t="inlineStr">
        <is>
          <t>Jumlah Harga (Rp)</t>
        </is>
      </c>
    </row>
    <row r="1856">
      <c r="A1856" s="3" t="inlineStr">
        <is>
          <t>1</t>
        </is>
      </c>
      <c r="B1856" s="3" t="inlineStr">
        <is>
          <t>Pekerja</t>
        </is>
      </c>
      <c r="C1856" s="3" t="inlineStr">
        <is>
          <t>OH</t>
        </is>
      </c>
      <c r="D1856" s="15" t="n">
        <v>0.5</v>
      </c>
      <c r="E1856" s="4" t="n">
        <v>100000</v>
      </c>
      <c r="F1856" s="4" t="n">
        <v>50000</v>
      </c>
    </row>
    <row r="1857">
      <c r="A1857" s="3" t="inlineStr">
        <is>
          <t>2</t>
        </is>
      </c>
      <c r="B1857" s="3" t="inlineStr">
        <is>
          <t>Tukang besi</t>
        </is>
      </c>
      <c r="C1857" s="3" t="inlineStr">
        <is>
          <t>OH</t>
        </is>
      </c>
      <c r="D1857" s="15" t="n">
        <v>0.5</v>
      </c>
      <c r="E1857" s="4" t="n">
        <v>145000</v>
      </c>
      <c r="F1857" s="4" t="n">
        <v>72500</v>
      </c>
    </row>
    <row r="1858">
      <c r="A1858" s="3" t="inlineStr">
        <is>
          <t>3</t>
        </is>
      </c>
      <c r="B1858" s="3" t="inlineStr">
        <is>
          <t>Kepala tukang</t>
        </is>
      </c>
      <c r="C1858" s="3" t="inlineStr">
        <is>
          <t>OH</t>
        </is>
      </c>
      <c r="D1858" s="15" t="n">
        <v>0.05</v>
      </c>
      <c r="E1858" s="4" t="n">
        <v>175000</v>
      </c>
      <c r="F1858" s="4" t="n">
        <v>8750</v>
      </c>
    </row>
    <row r="1859">
      <c r="A1859" s="3" t="inlineStr">
        <is>
          <t>4</t>
        </is>
      </c>
      <c r="B1859" s="3" t="inlineStr">
        <is>
          <t>Mandor</t>
        </is>
      </c>
      <c r="C1859" s="3" t="inlineStr">
        <is>
          <t>OH</t>
        </is>
      </c>
      <c r="D1859" s="15" t="n">
        <v>0.0167</v>
      </c>
      <c r="E1859" s="4" t="n">
        <v>200000</v>
      </c>
      <c r="F1859" s="4" t="n">
        <v>3340</v>
      </c>
    </row>
    <row r="1860">
      <c r="A1860" s="3" t="inlineStr">
        <is>
          <t>1</t>
        </is>
      </c>
      <c r="B1860" s="3" t="inlineStr">
        <is>
          <t>Profil Aluminium ”T”</t>
        </is>
      </c>
      <c r="C1860" s="3" t="inlineStr">
        <is>
          <t>m'</t>
        </is>
      </c>
      <c r="D1860" s="15" t="n">
        <v>3.6</v>
      </c>
      <c r="E1860" s="4" t="n">
        <v>15000</v>
      </c>
      <c r="F1860" s="4" t="n">
        <v>54000</v>
      </c>
    </row>
    <row r="1861">
      <c r="A1861" s="3" t="inlineStr">
        <is>
          <t>2</t>
        </is>
      </c>
      <c r="B1861" s="3" t="inlineStr">
        <is>
          <t>Kawat Ø 4 mm</t>
        </is>
      </c>
      <c r="C1861" s="3" t="inlineStr">
        <is>
          <t>kg</t>
        </is>
      </c>
      <c r="D1861" s="15" t="n">
        <v>0.15</v>
      </c>
      <c r="E1861" s="4" t="n">
        <v>35000</v>
      </c>
      <c r="F1861" s="4" t="n">
        <v>5250</v>
      </c>
    </row>
    <row r="1862">
      <c r="A1862" s="3" t="inlineStr">
        <is>
          <t>3</t>
        </is>
      </c>
      <c r="B1862" s="3" t="inlineStr">
        <is>
          <t>Ramset</t>
        </is>
      </c>
      <c r="C1862" s="3" t="inlineStr">
        <is>
          <t>buah</t>
        </is>
      </c>
      <c r="D1862" s="15" t="n">
        <v>1.05</v>
      </c>
      <c r="E1862" s="4" t="n">
        <v>3200</v>
      </c>
      <c r="F1862" s="4" t="n">
        <v>3360</v>
      </c>
    </row>
    <row r="1863">
      <c r="A1863" s="3" t="inlineStr">
        <is>
          <t>4</t>
        </is>
      </c>
      <c r="B1863" s="3" t="inlineStr">
        <is>
          <t>Plafon akustik 60x120 cm</t>
        </is>
      </c>
      <c r="C1863" s="3" t="inlineStr">
        <is>
          <t>lembar</t>
        </is>
      </c>
      <c r="D1863" s="15" t="n">
        <v>1.5</v>
      </c>
      <c r="E1863" s="4" t="n">
        <v>24000</v>
      </c>
      <c r="F1863" s="4" t="n">
        <v>36000</v>
      </c>
    </row>
    <row r="1864">
      <c r="D1864" s="2" t="inlineStr">
        <is>
          <t>SUBTOTAL UPAH</t>
        </is>
      </c>
      <c r="F1864" s="16" t="n">
        <v>134590</v>
      </c>
    </row>
    <row r="1865">
      <c r="D1865" s="2" t="inlineStr">
        <is>
          <t>SUBTOTAL BAHAN</t>
        </is>
      </c>
      <c r="F1865" s="16" t="n">
        <v>98610</v>
      </c>
    </row>
    <row r="1866">
      <c r="D1866" s="2" t="inlineStr">
        <is>
          <t>SUBTOTAL ALAT</t>
        </is>
      </c>
      <c r="F1866" s="16" t="n">
        <v>0</v>
      </c>
    </row>
    <row r="1867">
      <c r="E1867" s="2" t="inlineStr">
        <is>
          <t>TOTAL HARGA SATUAN (Inc. Overhead)</t>
        </is>
      </c>
      <c r="F1867" s="17" t="n">
        <v>256520</v>
      </c>
    </row>
    <row r="1869">
      <c r="A1869" s="14" t="inlineStr">
        <is>
          <t>KODE: 3.5.2.1 - Pemasangan 1 m2 plafon papan gypsum tebal 9 mm</t>
        </is>
      </c>
    </row>
    <row r="1870">
      <c r="A1870" s="10" t="inlineStr">
        <is>
          <t>No</t>
        </is>
      </c>
      <c r="B1870" s="10" t="inlineStr">
        <is>
          <t>Uraian Komponen</t>
        </is>
      </c>
      <c r="C1870" s="10" t="inlineStr">
        <is>
          <t>Satuan</t>
        </is>
      </c>
      <c r="D1870" s="10" t="inlineStr">
        <is>
          <t>Koef</t>
        </is>
      </c>
      <c r="E1870" s="10" t="inlineStr">
        <is>
          <t>Harga Satuan (Rp)</t>
        </is>
      </c>
      <c r="F1870" s="10" t="inlineStr">
        <is>
          <t>Jumlah Harga (Rp)</t>
        </is>
      </c>
    </row>
    <row r="1871">
      <c r="A1871" s="3" t="inlineStr">
        <is>
          <t>1</t>
        </is>
      </c>
      <c r="B1871" s="3" t="inlineStr">
        <is>
          <t>Pekerja</t>
        </is>
      </c>
      <c r="C1871" s="3" t="inlineStr">
        <is>
          <t>OH</t>
        </is>
      </c>
      <c r="D1871" s="15" t="n">
        <v>0.1</v>
      </c>
      <c r="E1871" s="4" t="n">
        <v>100000</v>
      </c>
      <c r="F1871" s="4" t="n">
        <v>10000</v>
      </c>
    </row>
    <row r="1872">
      <c r="A1872" s="3" t="inlineStr">
        <is>
          <t>2</t>
        </is>
      </c>
      <c r="B1872" s="3" t="inlineStr">
        <is>
          <t>Tukang kayu</t>
        </is>
      </c>
      <c r="C1872" s="3" t="inlineStr">
        <is>
          <t>OH</t>
        </is>
      </c>
      <c r="D1872" s="15" t="n">
        <v>0.05</v>
      </c>
      <c r="E1872" s="4" t="n">
        <v>145000</v>
      </c>
      <c r="F1872" s="4" t="n">
        <v>7250</v>
      </c>
    </row>
    <row r="1873">
      <c r="A1873" s="3" t="inlineStr">
        <is>
          <t>3</t>
        </is>
      </c>
      <c r="B1873" s="3" t="inlineStr">
        <is>
          <t>Kepala tukang</t>
        </is>
      </c>
      <c r="C1873" s="3" t="inlineStr">
        <is>
          <t>OH</t>
        </is>
      </c>
      <c r="D1873" s="15" t="n">
        <v>0.005</v>
      </c>
      <c r="E1873" s="4" t="n">
        <v>175000</v>
      </c>
      <c r="F1873" s="4" t="n">
        <v>875</v>
      </c>
    </row>
    <row r="1874">
      <c r="A1874" s="3" t="inlineStr">
        <is>
          <t>4</t>
        </is>
      </c>
      <c r="B1874" s="3" t="inlineStr">
        <is>
          <t>Mandor</t>
        </is>
      </c>
      <c r="C1874" s="3" t="inlineStr">
        <is>
          <t>OH</t>
        </is>
      </c>
      <c r="D1874" s="15" t="n">
        <v>0.0017</v>
      </c>
      <c r="E1874" s="4" t="n">
        <v>200000</v>
      </c>
      <c r="F1874" s="4" t="n">
        <v>340</v>
      </c>
    </row>
    <row r="1875">
      <c r="A1875" s="3" t="inlineStr">
        <is>
          <t>1</t>
        </is>
      </c>
      <c r="B1875" s="3" t="inlineStr">
        <is>
          <t>Gypsum board (120 cm x 240 cm x 9 mm)</t>
        </is>
      </c>
      <c r="C1875" s="3" t="inlineStr">
        <is>
          <t>lembar</t>
        </is>
      </c>
      <c r="D1875" s="15" t="n">
        <v>0.364</v>
      </c>
      <c r="E1875" s="4" t="n">
        <v>70000</v>
      </c>
      <c r="F1875" s="4" t="n">
        <v>25480</v>
      </c>
    </row>
    <row r="1876">
      <c r="A1876" s="3" t="inlineStr">
        <is>
          <t>2</t>
        </is>
      </c>
      <c r="B1876" s="3" t="inlineStr">
        <is>
          <t>Paku sekrup</t>
        </is>
      </c>
      <c r="C1876" s="3" t="inlineStr">
        <is>
          <t>kg</t>
        </is>
      </c>
      <c r="D1876" s="15" t="n">
        <v>0.11</v>
      </c>
      <c r="E1876" s="4" t="n">
        <v>30090</v>
      </c>
      <c r="F1876" s="4" t="n">
        <v>3309.9</v>
      </c>
    </row>
    <row r="1877">
      <c r="D1877" s="2" t="inlineStr">
        <is>
          <t>SUBTOTAL UPAH</t>
        </is>
      </c>
      <c r="F1877" s="16" t="n">
        <v>18465</v>
      </c>
    </row>
    <row r="1878">
      <c r="D1878" s="2" t="inlineStr">
        <is>
          <t>SUBTOTAL BAHAN</t>
        </is>
      </c>
      <c r="F1878" s="16" t="n">
        <v>28789.9</v>
      </c>
    </row>
    <row r="1879">
      <c r="D1879" s="2" t="inlineStr">
        <is>
          <t>SUBTOTAL ALAT</t>
        </is>
      </c>
      <c r="F1879" s="16" t="n">
        <v>0</v>
      </c>
    </row>
    <row r="1880">
      <c r="E1880" s="2" t="inlineStr">
        <is>
          <t>TOTAL HARGA SATUAN (Inc. Overhead)</t>
        </is>
      </c>
      <c r="F1880" s="17" t="n">
        <v>51980</v>
      </c>
    </row>
    <row r="1882">
      <c r="A1882" s="14" t="inlineStr">
        <is>
          <t>KODE: 3.5.2.2 - Pemasangan 1 m2 plafon serat semen/GRC tebal 4 mm, 5 mm, dan 6 mm</t>
        </is>
      </c>
    </row>
    <row r="1883">
      <c r="A1883" s="10" t="inlineStr">
        <is>
          <t>No</t>
        </is>
      </c>
      <c r="B1883" s="10" t="inlineStr">
        <is>
          <t>Uraian Komponen</t>
        </is>
      </c>
      <c r="C1883" s="10" t="inlineStr">
        <is>
          <t>Satuan</t>
        </is>
      </c>
      <c r="D1883" s="10" t="inlineStr">
        <is>
          <t>Koef</t>
        </is>
      </c>
      <c r="E1883" s="10" t="inlineStr">
        <is>
          <t>Harga Satuan (Rp)</t>
        </is>
      </c>
      <c r="F1883" s="10" t="inlineStr">
        <is>
          <t>Jumlah Harga (Rp)</t>
        </is>
      </c>
    </row>
    <row r="1884">
      <c r="A1884" s="3" t="inlineStr">
        <is>
          <t>1</t>
        </is>
      </c>
      <c r="B1884" s="3" t="inlineStr">
        <is>
          <t>Pekerja</t>
        </is>
      </c>
      <c r="C1884" s="3" t="inlineStr">
        <is>
          <t>OH</t>
        </is>
      </c>
      <c r="D1884" s="15" t="n">
        <v>0.03</v>
      </c>
      <c r="E1884" s="4" t="n">
        <v>100000</v>
      </c>
      <c r="F1884" s="4" t="n">
        <v>3000</v>
      </c>
    </row>
    <row r="1885">
      <c r="A1885" s="3" t="inlineStr">
        <is>
          <t>2</t>
        </is>
      </c>
      <c r="B1885" s="3" t="inlineStr">
        <is>
          <t>Tukang kayu</t>
        </is>
      </c>
      <c r="C1885" s="3" t="inlineStr">
        <is>
          <t>OH</t>
        </is>
      </c>
      <c r="D1885" s="15" t="n">
        <v>0.07000000000000001</v>
      </c>
      <c r="E1885" s="4" t="n">
        <v>145000</v>
      </c>
      <c r="F1885" s="4" t="n">
        <v>10150</v>
      </c>
    </row>
    <row r="1886">
      <c r="A1886" s="3" t="inlineStr">
        <is>
          <t>3</t>
        </is>
      </c>
      <c r="B1886" s="3" t="inlineStr">
        <is>
          <t>Kepala tukang</t>
        </is>
      </c>
      <c r="C1886" s="3" t="inlineStr">
        <is>
          <t>OH</t>
        </is>
      </c>
      <c r="D1886" s="15" t="n">
        <v>0.007</v>
      </c>
      <c r="E1886" s="4" t="n">
        <v>175000</v>
      </c>
      <c r="F1886" s="4" t="n">
        <v>1225</v>
      </c>
    </row>
    <row r="1887">
      <c r="A1887" s="3" t="inlineStr">
        <is>
          <t>4</t>
        </is>
      </c>
      <c r="B1887" s="3" t="inlineStr">
        <is>
          <t>Mandor</t>
        </is>
      </c>
      <c r="C1887" s="3" t="inlineStr">
        <is>
          <t>OH</t>
        </is>
      </c>
      <c r="D1887" s="15" t="n">
        <v>0.0023</v>
      </c>
      <c r="E1887" s="4" t="n">
        <v>200000</v>
      </c>
      <c r="F1887" s="4" t="n">
        <v>460</v>
      </c>
    </row>
    <row r="1888">
      <c r="A1888" s="3" t="inlineStr">
        <is>
          <t>1</t>
        </is>
      </c>
      <c r="B1888" s="3" t="inlineStr">
        <is>
          <t>Papan semen</t>
        </is>
      </c>
      <c r="C1888" s="3" t="inlineStr">
        <is>
          <t>m2</t>
        </is>
      </c>
      <c r="D1888" s="15" t="n">
        <v>1.21</v>
      </c>
      <c r="E1888" s="4" t="n">
        <v>45000</v>
      </c>
      <c r="F1888" s="4" t="n">
        <v>54450</v>
      </c>
    </row>
    <row r="1889">
      <c r="A1889" s="3" t="inlineStr">
        <is>
          <t>2</t>
        </is>
      </c>
      <c r="B1889" s="3" t="inlineStr">
        <is>
          <t>Paku 2 inch</t>
        </is>
      </c>
      <c r="C1889" s="3" t="inlineStr">
        <is>
          <t>kg</t>
        </is>
      </c>
      <c r="D1889" s="15" t="n">
        <v>0.01</v>
      </c>
      <c r="E1889" s="4" t="n">
        <v>18000</v>
      </c>
      <c r="F1889" s="4" t="n">
        <v>180</v>
      </c>
    </row>
    <row r="1890">
      <c r="D1890" s="2" t="inlineStr">
        <is>
          <t>SUBTOTAL UPAH</t>
        </is>
      </c>
      <c r="F1890" s="16" t="n">
        <v>14835</v>
      </c>
    </row>
    <row r="1891">
      <c r="D1891" s="2" t="inlineStr">
        <is>
          <t>SUBTOTAL BAHAN</t>
        </is>
      </c>
      <c r="F1891" s="16" t="n">
        <v>54630</v>
      </c>
    </row>
    <row r="1892">
      <c r="D1892" s="2" t="inlineStr">
        <is>
          <t>SUBTOTAL ALAT</t>
        </is>
      </c>
      <c r="F1892" s="16" t="n">
        <v>0</v>
      </c>
    </row>
    <row r="1893">
      <c r="E1893" s="2" t="inlineStr">
        <is>
          <t>TOTAL HARGA SATUAN (Inc. Overhead)</t>
        </is>
      </c>
      <c r="F1893" s="17" t="n">
        <v>76411</v>
      </c>
    </row>
    <row r="1895">
      <c r="A1895" s="14" t="inlineStr">
        <is>
          <t>KODE: 3.5.2.3 - Pemasangan 1 m2 langit-langit (plafon) kayu lapis, tebal 3 mm, 4 mm dan 6 mm</t>
        </is>
      </c>
    </row>
    <row r="1896">
      <c r="A1896" s="10" t="inlineStr">
        <is>
          <t>No</t>
        </is>
      </c>
      <c r="B1896" s="10" t="inlineStr">
        <is>
          <t>Uraian Komponen</t>
        </is>
      </c>
      <c r="C1896" s="10" t="inlineStr">
        <is>
          <t>Satuan</t>
        </is>
      </c>
      <c r="D1896" s="10" t="inlineStr">
        <is>
          <t>Koef</t>
        </is>
      </c>
      <c r="E1896" s="10" t="inlineStr">
        <is>
          <t>Harga Satuan (Rp)</t>
        </is>
      </c>
      <c r="F1896" s="10" t="inlineStr">
        <is>
          <t>Jumlah Harga (Rp)</t>
        </is>
      </c>
    </row>
    <row r="1897">
      <c r="A1897" s="3" t="inlineStr">
        <is>
          <t>3.5.2.3.1</t>
        </is>
      </c>
      <c r="B1897" s="3" t="inlineStr">
        <is>
          <t>Pemasangan 1 m2 plafon kayu lapis tebal 3 mm</t>
        </is>
      </c>
      <c r="C1897" s="3" t="n">
        <v>55959</v>
      </c>
    </row>
    <row r="1898">
      <c r="A1898" s="3" t="inlineStr">
        <is>
          <t>1</t>
        </is>
      </c>
      <c r="B1898" s="3" t="inlineStr">
        <is>
          <t>Pekerja</t>
        </is>
      </c>
      <c r="C1898" s="3" t="inlineStr">
        <is>
          <t>OH</t>
        </is>
      </c>
      <c r="D1898" s="15" t="n">
        <v>0.1</v>
      </c>
      <c r="E1898" s="4" t="n">
        <v>100000</v>
      </c>
      <c r="F1898" s="4" t="n">
        <v>10000</v>
      </c>
    </row>
    <row r="1899">
      <c r="A1899" s="3" t="inlineStr">
        <is>
          <t>2</t>
        </is>
      </c>
      <c r="B1899" s="3" t="inlineStr">
        <is>
          <t>Tukang kayu</t>
        </is>
      </c>
      <c r="C1899" s="3" t="inlineStr">
        <is>
          <t>OH</t>
        </is>
      </c>
      <c r="D1899" s="15" t="n">
        <v>0.1</v>
      </c>
      <c r="E1899" s="4" t="n">
        <v>145000</v>
      </c>
      <c r="F1899" s="4" t="n">
        <v>14500</v>
      </c>
    </row>
    <row r="1900">
      <c r="A1900" s="3" t="inlineStr">
        <is>
          <t>3</t>
        </is>
      </c>
      <c r="B1900" s="3" t="inlineStr">
        <is>
          <t>Kepala tukang</t>
        </is>
      </c>
      <c r="C1900" s="3" t="inlineStr">
        <is>
          <t>OH</t>
        </is>
      </c>
      <c r="D1900" s="15" t="n">
        <v>0.01</v>
      </c>
      <c r="E1900" s="4" t="n">
        <v>175000</v>
      </c>
      <c r="F1900" s="4" t="n">
        <v>1750</v>
      </c>
    </row>
    <row r="1901">
      <c r="A1901" s="3" t="inlineStr">
        <is>
          <t>4</t>
        </is>
      </c>
      <c r="B1901" s="3" t="inlineStr">
        <is>
          <t>Mandor</t>
        </is>
      </c>
      <c r="C1901" s="3" t="inlineStr">
        <is>
          <t>OH</t>
        </is>
      </c>
      <c r="D1901" s="15" t="n">
        <v>0.0033</v>
      </c>
      <c r="E1901" s="4" t="n">
        <v>200000</v>
      </c>
      <c r="F1901" s="4" t="n">
        <v>660</v>
      </c>
    </row>
    <row r="1902">
      <c r="A1902" s="3" t="inlineStr">
        <is>
          <t>1</t>
        </is>
      </c>
      <c r="B1902" s="3" t="inlineStr">
        <is>
          <t>Plywood 3 mm</t>
        </is>
      </c>
      <c r="C1902" s="3" t="inlineStr">
        <is>
          <t>lembar</t>
        </is>
      </c>
      <c r="D1902" s="15" t="n">
        <v>0.375</v>
      </c>
      <c r="E1902" s="4" t="n">
        <v>62500</v>
      </c>
      <c r="F1902" s="4" t="n">
        <v>23437.5</v>
      </c>
    </row>
    <row r="1903">
      <c r="A1903" s="3" t="inlineStr">
        <is>
          <t>2</t>
        </is>
      </c>
      <c r="B1903" s="3" t="inlineStr">
        <is>
          <t>Paku Tripleks</t>
        </is>
      </c>
      <c r="C1903" s="3" t="inlineStr">
        <is>
          <t>kg</t>
        </is>
      </c>
      <c r="D1903" s="15" t="n">
        <v>0.03</v>
      </c>
      <c r="E1903" s="4" t="n">
        <v>17500</v>
      </c>
      <c r="F1903" s="4" t="n">
        <v>525</v>
      </c>
    </row>
    <row r="1904">
      <c r="D1904" s="2" t="inlineStr">
        <is>
          <t>SUBTOTAL UPAH</t>
        </is>
      </c>
      <c r="F1904" s="16" t="n">
        <v>26910</v>
      </c>
    </row>
    <row r="1905">
      <c r="D1905" s="2" t="inlineStr">
        <is>
          <t>SUBTOTAL BAHAN</t>
        </is>
      </c>
      <c r="F1905" s="16" t="n">
        <v>23962.5</v>
      </c>
    </row>
    <row r="1906">
      <c r="D1906" s="2" t="inlineStr">
        <is>
          <t>SUBTOTAL ALAT</t>
        </is>
      </c>
      <c r="F1906" s="16" t="n">
        <v>0</v>
      </c>
    </row>
    <row r="1907">
      <c r="E1907" s="2" t="inlineStr">
        <is>
          <t>TOTAL HARGA SATUAN (Inc. Overhead)</t>
        </is>
      </c>
      <c r="F1907" s="17" t="n">
        <v>0</v>
      </c>
    </row>
    <row r="1909">
      <c r="A1909" s="14" t="inlineStr">
        <is>
          <t>KODE: 3.5.2.4 - Pemasangan 1 m2 plafon lambisering kayu tebal 9 mm</t>
        </is>
      </c>
    </row>
    <row r="1910">
      <c r="A1910" s="10" t="inlineStr">
        <is>
          <t>No</t>
        </is>
      </c>
      <c r="B1910" s="10" t="inlineStr">
        <is>
          <t>Uraian Komponen</t>
        </is>
      </c>
      <c r="C1910" s="10" t="inlineStr">
        <is>
          <t>Satuan</t>
        </is>
      </c>
      <c r="D1910" s="10" t="inlineStr">
        <is>
          <t>Koef</t>
        </is>
      </c>
      <c r="E1910" s="10" t="inlineStr">
        <is>
          <t>Harga Satuan (Rp)</t>
        </is>
      </c>
      <c r="F1910" s="10" t="inlineStr">
        <is>
          <t>Jumlah Harga (Rp)</t>
        </is>
      </c>
    </row>
    <row r="1911">
      <c r="A1911" s="3" t="inlineStr">
        <is>
          <t>1</t>
        </is>
      </c>
      <c r="B1911" s="3" t="inlineStr">
        <is>
          <t>Pekerja</t>
        </is>
      </c>
      <c r="C1911" s="3" t="inlineStr">
        <is>
          <t>OH</t>
        </is>
      </c>
      <c r="D1911" s="15" t="n">
        <v>0.8</v>
      </c>
      <c r="E1911" s="4" t="n">
        <v>100000</v>
      </c>
      <c r="F1911" s="4" t="n">
        <v>80000</v>
      </c>
    </row>
    <row r="1912">
      <c r="A1912" s="3" t="inlineStr">
        <is>
          <t>2</t>
        </is>
      </c>
      <c r="B1912" s="3" t="inlineStr">
        <is>
          <t>Tukang kayu</t>
        </is>
      </c>
      <c r="C1912" s="3" t="inlineStr">
        <is>
          <t>OH</t>
        </is>
      </c>
      <c r="D1912" s="15" t="n">
        <v>0.8</v>
      </c>
      <c r="E1912" s="4" t="n">
        <v>145000</v>
      </c>
      <c r="F1912" s="4" t="n">
        <v>116000</v>
      </c>
    </row>
    <row r="1913">
      <c r="A1913" s="3" t="inlineStr">
        <is>
          <t>3</t>
        </is>
      </c>
      <c r="B1913" s="3" t="inlineStr">
        <is>
          <t>Kepala tukang</t>
        </is>
      </c>
      <c r="C1913" s="3" t="inlineStr">
        <is>
          <t>OH</t>
        </is>
      </c>
      <c r="D1913" s="15" t="n">
        <v>0.08</v>
      </c>
      <c r="E1913" s="4" t="n">
        <v>175000</v>
      </c>
      <c r="F1913" s="4" t="n">
        <v>14000</v>
      </c>
    </row>
    <row r="1914">
      <c r="A1914" s="3" t="inlineStr">
        <is>
          <t>4</t>
        </is>
      </c>
      <c r="B1914" s="3" t="inlineStr">
        <is>
          <t>Mandor</t>
        </is>
      </c>
      <c r="C1914" s="3" t="inlineStr">
        <is>
          <t>OH</t>
        </is>
      </c>
      <c r="D1914" s="15" t="n">
        <v>0.0267</v>
      </c>
      <c r="E1914" s="4" t="n">
        <v>200000</v>
      </c>
      <c r="F1914" s="4" t="n">
        <v>5340</v>
      </c>
    </row>
    <row r="1915">
      <c r="A1915" s="3" t="inlineStr">
        <is>
          <t>1</t>
        </is>
      </c>
      <c r="B1915" s="3" t="inlineStr">
        <is>
          <t>Kayu papan tebal 9 mm</t>
        </is>
      </c>
      <c r="C1915" s="3" t="inlineStr">
        <is>
          <t>m3</t>
        </is>
      </c>
      <c r="D1915" s="15" t="n">
        <v>0.015</v>
      </c>
      <c r="E1915" s="4" t="n">
        <v>4750000</v>
      </c>
      <c r="F1915" s="4" t="n">
        <v>71250</v>
      </c>
    </row>
    <row r="1916">
      <c r="A1916" s="3" t="inlineStr">
        <is>
          <t>2</t>
        </is>
      </c>
      <c r="B1916" s="3" t="inlineStr">
        <is>
          <t>Paku Tripleks</t>
        </is>
      </c>
      <c r="C1916" s="3" t="inlineStr">
        <is>
          <t>kg</t>
        </is>
      </c>
      <c r="D1916" s="15" t="n">
        <v>0.01</v>
      </c>
      <c r="E1916" s="4" t="n">
        <v>17500</v>
      </c>
      <c r="F1916" s="4" t="n">
        <v>175</v>
      </c>
    </row>
    <row r="1917">
      <c r="D1917" s="2" t="inlineStr">
        <is>
          <t>SUBTOTAL UPAH</t>
        </is>
      </c>
      <c r="F1917" s="16" t="n">
        <v>215340</v>
      </c>
    </row>
    <row r="1918">
      <c r="D1918" s="2" t="inlineStr">
        <is>
          <t>SUBTOTAL BAHAN</t>
        </is>
      </c>
      <c r="F1918" s="16" t="n">
        <v>71425</v>
      </c>
    </row>
    <row r="1919">
      <c r="D1919" s="2" t="inlineStr">
        <is>
          <t>SUBTOTAL ALAT</t>
        </is>
      </c>
      <c r="F1919" s="16" t="n">
        <v>0</v>
      </c>
    </row>
    <row r="1920">
      <c r="E1920" s="2" t="inlineStr">
        <is>
          <t>TOTAL HARGA SATUAN (Inc. Overhead)</t>
        </is>
      </c>
      <c r="F1920" s="17" t="n">
        <v>315441</v>
      </c>
    </row>
    <row r="1922">
      <c r="A1922" s="14" t="inlineStr">
        <is>
          <t>KODE: 3.5.2.5 - Pemasangan 1 m' list plafon kayu profil</t>
        </is>
      </c>
    </row>
    <row r="1923">
      <c r="A1923" s="10" t="inlineStr">
        <is>
          <t>No</t>
        </is>
      </c>
      <c r="B1923" s="10" t="inlineStr">
        <is>
          <t>Uraian Komponen</t>
        </is>
      </c>
      <c r="C1923" s="10" t="inlineStr">
        <is>
          <t>Satuan</t>
        </is>
      </c>
      <c r="D1923" s="10" t="inlineStr">
        <is>
          <t>Koef</t>
        </is>
      </c>
      <c r="E1923" s="10" t="inlineStr">
        <is>
          <t>Harga Satuan (Rp)</t>
        </is>
      </c>
      <c r="F1923" s="10" t="inlineStr">
        <is>
          <t>Jumlah Harga (Rp)</t>
        </is>
      </c>
    </row>
    <row r="1924">
      <c r="A1924" s="3" t="inlineStr">
        <is>
          <t>1</t>
        </is>
      </c>
      <c r="B1924" s="3" t="inlineStr">
        <is>
          <t>Pekerja</t>
        </is>
      </c>
      <c r="C1924" s="3" t="inlineStr">
        <is>
          <t>OH</t>
        </is>
      </c>
      <c r="D1924" s="15" t="n">
        <v>0.025</v>
      </c>
      <c r="E1924" s="4" t="n">
        <v>100000</v>
      </c>
      <c r="F1924" s="4" t="n">
        <v>2500</v>
      </c>
    </row>
    <row r="1925">
      <c r="A1925" s="3" t="inlineStr">
        <is>
          <t>2</t>
        </is>
      </c>
      <c r="B1925" s="3" t="inlineStr">
        <is>
          <t>Tukang kayu</t>
        </is>
      </c>
      <c r="C1925" s="3" t="inlineStr">
        <is>
          <t>OH</t>
        </is>
      </c>
      <c r="D1925" s="15" t="n">
        <v>0.025</v>
      </c>
      <c r="E1925" s="4" t="n">
        <v>145000</v>
      </c>
      <c r="F1925" s="4" t="n">
        <v>3625</v>
      </c>
    </row>
    <row r="1926">
      <c r="A1926" s="3" t="inlineStr">
        <is>
          <t>3</t>
        </is>
      </c>
      <c r="B1926" s="3" t="inlineStr">
        <is>
          <t>Kepala tukang</t>
        </is>
      </c>
      <c r="C1926" s="3" t="inlineStr">
        <is>
          <t>OH</t>
        </is>
      </c>
      <c r="D1926" s="15" t="n">
        <v>0.0025</v>
      </c>
      <c r="E1926" s="4" t="n">
        <v>175000</v>
      </c>
      <c r="F1926" s="4" t="n">
        <v>437.5</v>
      </c>
    </row>
    <row r="1927">
      <c r="A1927" s="3" t="inlineStr">
        <is>
          <t>4</t>
        </is>
      </c>
      <c r="B1927" s="3" t="inlineStr">
        <is>
          <t>Mandor</t>
        </is>
      </c>
      <c r="C1927" s="3" t="inlineStr">
        <is>
          <t>OH</t>
        </is>
      </c>
      <c r="D1927" s="15" t="n">
        <v>0.0008</v>
      </c>
      <c r="E1927" s="4" t="n">
        <v>200000</v>
      </c>
      <c r="F1927" s="4" t="n">
        <v>160</v>
      </c>
    </row>
    <row r="1928">
      <c r="A1928" s="3" t="inlineStr">
        <is>
          <t>1</t>
        </is>
      </c>
      <c r="B1928" s="3" t="inlineStr">
        <is>
          <t>List kayu profil</t>
        </is>
      </c>
      <c r="C1928" s="3" t="inlineStr">
        <is>
          <t>m'</t>
        </is>
      </c>
      <c r="D1928" s="15" t="n">
        <v>1.1</v>
      </c>
      <c r="E1928" s="4" t="n">
        <v>5000</v>
      </c>
      <c r="F1928" s="4" t="n">
        <v>5500</v>
      </c>
    </row>
    <row r="1929">
      <c r="A1929" s="3" t="inlineStr">
        <is>
          <t>2</t>
        </is>
      </c>
      <c r="B1929" s="3" t="inlineStr">
        <is>
          <t>Paku sekrup</t>
        </is>
      </c>
      <c r="C1929" s="3" t="inlineStr">
        <is>
          <t>kg</t>
        </is>
      </c>
      <c r="D1929" s="15" t="n">
        <v>0.01</v>
      </c>
      <c r="E1929" s="4" t="n">
        <v>30090</v>
      </c>
      <c r="F1929" s="4" t="n">
        <v>300.9</v>
      </c>
    </row>
    <row r="1930">
      <c r="D1930" s="2" t="inlineStr">
        <is>
          <t>SUBTOTAL UPAH</t>
        </is>
      </c>
      <c r="F1930" s="16" t="n">
        <v>6722.5</v>
      </c>
    </row>
    <row r="1931">
      <c r="D1931" s="2" t="inlineStr">
        <is>
          <t>SUBTOTAL BAHAN</t>
        </is>
      </c>
      <c r="F1931" s="16" t="n">
        <v>5800.9</v>
      </c>
    </row>
    <row r="1932">
      <c r="D1932" s="2" t="inlineStr">
        <is>
          <t>SUBTOTAL ALAT</t>
        </is>
      </c>
      <c r="F1932" s="16" t="n">
        <v>0</v>
      </c>
    </row>
    <row r="1933">
      <c r="E1933" s="2" t="inlineStr">
        <is>
          <t>TOTAL HARGA SATUAN (Inc. Overhead)</t>
        </is>
      </c>
      <c r="F1933" s="17" t="n">
        <v>13775</v>
      </c>
    </row>
    <row r="1935">
      <c r="A1935" s="14" t="inlineStr">
        <is>
          <t>KODE: 3.5.2.6 - Pemasangan 1 m' list plafon gypsum</t>
        </is>
      </c>
    </row>
    <row r="1936">
      <c r="A1936" s="10" t="inlineStr">
        <is>
          <t>No</t>
        </is>
      </c>
      <c r="B1936" s="10" t="inlineStr">
        <is>
          <t>Uraian Komponen</t>
        </is>
      </c>
      <c r="C1936" s="10" t="inlineStr">
        <is>
          <t>Satuan</t>
        </is>
      </c>
      <c r="D1936" s="10" t="inlineStr">
        <is>
          <t>Koef</t>
        </is>
      </c>
      <c r="E1936" s="10" t="inlineStr">
        <is>
          <t>Harga Satuan (Rp)</t>
        </is>
      </c>
      <c r="F1936" s="10" t="inlineStr">
        <is>
          <t>Jumlah Harga (Rp)</t>
        </is>
      </c>
    </row>
    <row r="1937">
      <c r="A1937" s="3" t="inlineStr">
        <is>
          <t>1</t>
        </is>
      </c>
      <c r="B1937" s="3" t="inlineStr">
        <is>
          <t>Pekerja</t>
        </is>
      </c>
      <c r="C1937" s="3" t="inlineStr">
        <is>
          <t>OH</t>
        </is>
      </c>
      <c r="D1937" s="15" t="n">
        <v>0.025</v>
      </c>
      <c r="E1937" s="4" t="n">
        <v>100000</v>
      </c>
      <c r="F1937" s="4" t="n">
        <v>2500</v>
      </c>
    </row>
    <row r="1938">
      <c r="A1938" s="3" t="inlineStr">
        <is>
          <t>2</t>
        </is>
      </c>
      <c r="B1938" s="3" t="inlineStr">
        <is>
          <t>Tukang kayu</t>
        </is>
      </c>
      <c r="C1938" s="3" t="inlineStr">
        <is>
          <t>OH</t>
        </is>
      </c>
      <c r="D1938" s="15" t="n">
        <v>0.025</v>
      </c>
      <c r="E1938" s="4" t="n">
        <v>145000</v>
      </c>
      <c r="F1938" s="4" t="n">
        <v>3625</v>
      </c>
    </row>
    <row r="1939">
      <c r="A1939" s="3" t="inlineStr">
        <is>
          <t>3</t>
        </is>
      </c>
      <c r="B1939" s="3" t="inlineStr">
        <is>
          <t>Kepala tukang</t>
        </is>
      </c>
      <c r="C1939" s="3" t="inlineStr">
        <is>
          <t>OH</t>
        </is>
      </c>
      <c r="D1939" s="15" t="n">
        <v>0.0025</v>
      </c>
      <c r="E1939" s="4" t="n">
        <v>175000</v>
      </c>
      <c r="F1939" s="4" t="n">
        <v>437.5</v>
      </c>
    </row>
    <row r="1940">
      <c r="A1940" s="3" t="inlineStr">
        <is>
          <t>4</t>
        </is>
      </c>
      <c r="B1940" s="3" t="inlineStr">
        <is>
          <t>Mandor</t>
        </is>
      </c>
      <c r="C1940" s="3" t="inlineStr">
        <is>
          <t>OH</t>
        </is>
      </c>
      <c r="D1940" s="15" t="n">
        <v>0.0008</v>
      </c>
      <c r="E1940" s="4" t="n">
        <v>200000</v>
      </c>
      <c r="F1940" s="4" t="n">
        <v>160</v>
      </c>
    </row>
    <row r="1941">
      <c r="A1941" s="3" t="inlineStr">
        <is>
          <t>1</t>
        </is>
      </c>
      <c r="B1941" s="3" t="inlineStr">
        <is>
          <t>List gypsum profil</t>
        </is>
      </c>
      <c r="C1941" s="3" t="inlineStr">
        <is>
          <t>m'</t>
        </is>
      </c>
      <c r="D1941" s="15" t="n">
        <v>1.1</v>
      </c>
      <c r="E1941" s="4" t="n">
        <v>15800</v>
      </c>
      <c r="F1941" s="4" t="n">
        <v>17380</v>
      </c>
    </row>
    <row r="1942">
      <c r="A1942" s="3" t="inlineStr">
        <is>
          <t>2</t>
        </is>
      </c>
      <c r="B1942" s="3" t="inlineStr">
        <is>
          <t>Paku sekrup</t>
        </is>
      </c>
      <c r="C1942" s="3" t="inlineStr">
        <is>
          <t>kg</t>
        </is>
      </c>
      <c r="D1942" s="15" t="n">
        <v>0.01</v>
      </c>
      <c r="E1942" s="4" t="n">
        <v>30090</v>
      </c>
      <c r="F1942" s="4" t="n">
        <v>300.9</v>
      </c>
    </row>
    <row r="1943">
      <c r="D1943" s="2" t="inlineStr">
        <is>
          <t>SUBTOTAL UPAH</t>
        </is>
      </c>
      <c r="F1943" s="16" t="n">
        <v>6722.5</v>
      </c>
    </row>
    <row r="1944">
      <c r="D1944" s="2" t="inlineStr">
        <is>
          <t>SUBTOTAL BAHAN</t>
        </is>
      </c>
      <c r="F1944" s="16" t="n">
        <v>17680.9</v>
      </c>
    </row>
    <row r="1945">
      <c r="D1945" s="2" t="inlineStr">
        <is>
          <t>SUBTOTAL ALAT</t>
        </is>
      </c>
      <c r="F1945" s="16" t="n">
        <v>0</v>
      </c>
    </row>
    <row r="1946">
      <c r="E1946" s="2" t="inlineStr">
        <is>
          <t>TOTAL HARGA SATUAN (Inc. Overhead)</t>
        </is>
      </c>
      <c r="F1946" s="17" t="n">
        <v>26843</v>
      </c>
    </row>
    <row r="1948">
      <c r="A1948" s="14" t="inlineStr">
        <is>
          <t>KODE: 3.5.2.7 - Pemasangan 1 m2 plafon aluminium spandrel</t>
        </is>
      </c>
    </row>
    <row r="1949">
      <c r="A1949" s="10" t="inlineStr">
        <is>
          <t>No</t>
        </is>
      </c>
      <c r="B1949" s="10" t="inlineStr">
        <is>
          <t>Uraian Komponen</t>
        </is>
      </c>
      <c r="C1949" s="10" t="inlineStr">
        <is>
          <t>Satuan</t>
        </is>
      </c>
      <c r="D1949" s="10" t="inlineStr">
        <is>
          <t>Koef</t>
        </is>
      </c>
      <c r="E1949" s="10" t="inlineStr">
        <is>
          <t>Harga Satuan (Rp)</t>
        </is>
      </c>
      <c r="F1949" s="10" t="inlineStr">
        <is>
          <t>Jumlah Harga (Rp)</t>
        </is>
      </c>
    </row>
    <row r="1950">
      <c r="A1950" s="3" t="inlineStr">
        <is>
          <t>1</t>
        </is>
      </c>
      <c r="B1950" s="3" t="inlineStr">
        <is>
          <t>Pekerja</t>
        </is>
      </c>
      <c r="C1950" s="3" t="inlineStr">
        <is>
          <t>OH</t>
        </is>
      </c>
      <c r="D1950" s="15" t="n">
        <v>0.1</v>
      </c>
      <c r="E1950" s="4" t="n">
        <v>100000</v>
      </c>
      <c r="F1950" s="4" t="n">
        <v>10000</v>
      </c>
    </row>
    <row r="1951">
      <c r="A1951" s="3" t="inlineStr">
        <is>
          <t>2</t>
        </is>
      </c>
      <c r="B1951" s="3" t="inlineStr">
        <is>
          <t>Tukang kayu</t>
        </is>
      </c>
      <c r="C1951" s="3" t="inlineStr">
        <is>
          <t>OH</t>
        </is>
      </c>
      <c r="D1951" s="15" t="n">
        <v>0.1</v>
      </c>
      <c r="E1951" s="4" t="n">
        <v>145000</v>
      </c>
      <c r="F1951" s="4" t="n">
        <v>14500</v>
      </c>
    </row>
    <row r="1952">
      <c r="A1952" s="3" t="inlineStr">
        <is>
          <t>3</t>
        </is>
      </c>
      <c r="B1952" s="3" t="inlineStr">
        <is>
          <t>Kepala tukang</t>
        </is>
      </c>
      <c r="C1952" s="3" t="inlineStr">
        <is>
          <t>OH</t>
        </is>
      </c>
      <c r="D1952" s="15" t="n">
        <v>0.01</v>
      </c>
      <c r="E1952" s="4" t="n">
        <v>175000</v>
      </c>
      <c r="F1952" s="4" t="n">
        <v>1750</v>
      </c>
    </row>
    <row r="1953">
      <c r="A1953" s="3" t="inlineStr">
        <is>
          <t>4</t>
        </is>
      </c>
      <c r="B1953" s="3" t="inlineStr">
        <is>
          <t>Mandor</t>
        </is>
      </c>
      <c r="C1953" s="3" t="inlineStr">
        <is>
          <t>OH</t>
        </is>
      </c>
      <c r="D1953" s="15" t="n">
        <v>0.0033</v>
      </c>
      <c r="E1953" s="4" t="n">
        <v>200000</v>
      </c>
      <c r="F1953" s="4" t="n">
        <v>660</v>
      </c>
    </row>
    <row r="1954">
      <c r="A1954" s="3" t="inlineStr">
        <is>
          <t>1</t>
        </is>
      </c>
      <c r="B1954" s="3" t="inlineStr">
        <is>
          <t>Aluminium spandrel 10x600 cm</t>
        </is>
      </c>
      <c r="C1954" s="3" t="inlineStr">
        <is>
          <t>lembar</t>
        </is>
      </c>
      <c r="D1954" s="15" t="n">
        <v>1.75</v>
      </c>
      <c r="E1954" s="4" t="n">
        <v>200000</v>
      </c>
      <c r="F1954" s="4" t="n">
        <v>350000</v>
      </c>
    </row>
    <row r="1955">
      <c r="A1955" s="3" t="inlineStr">
        <is>
          <t>2</t>
        </is>
      </c>
      <c r="B1955" s="3" t="inlineStr">
        <is>
          <t>Paku sekrup</t>
        </is>
      </c>
      <c r="C1955" s="3" t="inlineStr">
        <is>
          <t>kg</t>
        </is>
      </c>
      <c r="D1955" s="15" t="n">
        <v>0.0145</v>
      </c>
      <c r="E1955" s="4" t="n">
        <v>30090</v>
      </c>
      <c r="F1955" s="4" t="n">
        <v>436.305</v>
      </c>
    </row>
    <row r="1956">
      <c r="D1956" s="2" t="inlineStr">
        <is>
          <t>SUBTOTAL UPAH</t>
        </is>
      </c>
      <c r="F1956" s="16" t="n">
        <v>26910</v>
      </c>
    </row>
    <row r="1957">
      <c r="D1957" s="2" t="inlineStr">
        <is>
          <t>SUBTOTAL BAHAN</t>
        </is>
      </c>
      <c r="F1957" s="16" t="n">
        <v>350436.305</v>
      </c>
    </row>
    <row r="1958">
      <c r="D1958" s="2" t="inlineStr">
        <is>
          <t>SUBTOTAL ALAT</t>
        </is>
      </c>
      <c r="F1958" s="16" t="n">
        <v>0</v>
      </c>
    </row>
    <row r="1959">
      <c r="E1959" s="2" t="inlineStr">
        <is>
          <t>TOTAL HARGA SATUAN (Inc. Overhead)</t>
        </is>
      </c>
      <c r="F1959" s="17" t="n">
        <v>415080</v>
      </c>
    </row>
    <row r="1961">
      <c r="A1961" s="14" t="inlineStr">
        <is>
          <t>KODE: 3.5.3.1 - Pemasangan 1 m2 rangka plafon besi hollow 40.40, modul 60x60 cm</t>
        </is>
      </c>
    </row>
    <row r="1962">
      <c r="A1962" s="10" t="inlineStr">
        <is>
          <t>No</t>
        </is>
      </c>
      <c r="B1962" s="10" t="inlineStr">
        <is>
          <t>Uraian Komponen</t>
        </is>
      </c>
      <c r="C1962" s="10" t="inlineStr">
        <is>
          <t>Satuan</t>
        </is>
      </c>
      <c r="D1962" s="10" t="inlineStr">
        <is>
          <t>Koef</t>
        </is>
      </c>
      <c r="E1962" s="10" t="inlineStr">
        <is>
          <t>Harga Satuan (Rp)</t>
        </is>
      </c>
      <c r="F1962" s="10" t="inlineStr">
        <is>
          <t>Jumlah Harga (Rp)</t>
        </is>
      </c>
    </row>
    <row r="1963">
      <c r="A1963" s="3" t="inlineStr">
        <is>
          <t>1</t>
        </is>
      </c>
      <c r="B1963" s="3" t="inlineStr">
        <is>
          <t>Pekerja</t>
        </is>
      </c>
      <c r="C1963" s="3" t="inlineStr">
        <is>
          <t>OH</t>
        </is>
      </c>
      <c r="D1963" s="15" t="n">
        <v>0.35</v>
      </c>
      <c r="E1963" s="4" t="n">
        <v>100000</v>
      </c>
      <c r="F1963" s="4" t="n">
        <v>35000</v>
      </c>
    </row>
    <row r="1964">
      <c r="A1964" s="3" t="inlineStr">
        <is>
          <t>2</t>
        </is>
      </c>
      <c r="B1964" s="3" t="inlineStr">
        <is>
          <t>Tukang besi</t>
        </is>
      </c>
      <c r="C1964" s="3" t="inlineStr">
        <is>
          <t>OH</t>
        </is>
      </c>
      <c r="D1964" s="15" t="n">
        <v>0.35</v>
      </c>
      <c r="E1964" s="4" t="n">
        <v>145000</v>
      </c>
      <c r="F1964" s="4" t="n">
        <v>50750</v>
      </c>
    </row>
    <row r="1965">
      <c r="A1965" s="3" t="inlineStr">
        <is>
          <t>3</t>
        </is>
      </c>
      <c r="B1965" s="3" t="inlineStr">
        <is>
          <t>Kepala tukang</t>
        </is>
      </c>
      <c r="C1965" s="3" t="inlineStr">
        <is>
          <t>OH</t>
        </is>
      </c>
      <c r="D1965" s="15" t="n">
        <v>0.035</v>
      </c>
      <c r="E1965" s="4" t="n">
        <v>175000</v>
      </c>
      <c r="F1965" s="4" t="n">
        <v>6125.000000000001</v>
      </c>
    </row>
    <row r="1966">
      <c r="A1966" s="3" t="inlineStr">
        <is>
          <t>4</t>
        </is>
      </c>
      <c r="B1966" s="3" t="inlineStr">
        <is>
          <t>Mandor</t>
        </is>
      </c>
      <c r="C1966" s="3" t="inlineStr">
        <is>
          <t>OH</t>
        </is>
      </c>
      <c r="D1966" s="15" t="n">
        <v>0.0117</v>
      </c>
      <c r="E1966" s="4" t="n">
        <v>200000</v>
      </c>
      <c r="F1966" s="4" t="n">
        <v>2340</v>
      </c>
    </row>
    <row r="1967">
      <c r="A1967" s="3" t="inlineStr">
        <is>
          <t>1</t>
        </is>
      </c>
      <c r="B1967" s="3" t="inlineStr">
        <is>
          <t>Besi hollow galvanis 40.40</t>
        </is>
      </c>
      <c r="C1967" s="3" t="inlineStr">
        <is>
          <t>m'</t>
        </is>
      </c>
      <c r="D1967" s="15" t="n">
        <v>4</v>
      </c>
      <c r="E1967" s="4" t="n">
        <v>6250</v>
      </c>
      <c r="F1967" s="4" t="n">
        <v>25000</v>
      </c>
    </row>
    <row r="1968">
      <c r="A1968" s="3" t="inlineStr">
        <is>
          <t>2</t>
        </is>
      </c>
      <c r="B1968" s="3" t="inlineStr">
        <is>
          <t>Kawat las</t>
        </is>
      </c>
      <c r="C1968" s="3" t="inlineStr">
        <is>
          <t>kg</t>
        </is>
      </c>
      <c r="D1968" s="15" t="n">
        <v>0.05</v>
      </c>
      <c r="E1968" s="4" t="n">
        <v>45550</v>
      </c>
      <c r="F1968" s="4" t="n">
        <v>2277.5</v>
      </c>
    </row>
    <row r="1969">
      <c r="D1969" s="2" t="inlineStr">
        <is>
          <t>SUBTOTAL UPAH</t>
        </is>
      </c>
      <c r="F1969" s="16" t="n">
        <v>94215</v>
      </c>
    </row>
    <row r="1970">
      <c r="D1970" s="2" t="inlineStr">
        <is>
          <t>SUBTOTAL BAHAN</t>
        </is>
      </c>
      <c r="F1970" s="16" t="n">
        <v>27277.5</v>
      </c>
    </row>
    <row r="1971">
      <c r="D1971" s="2" t="inlineStr">
        <is>
          <t>SUBTOTAL ALAT</t>
        </is>
      </c>
      <c r="F1971" s="16" t="n">
        <v>0</v>
      </c>
    </row>
    <row r="1972">
      <c r="E1972" s="2" t="inlineStr">
        <is>
          <t>TOTAL HARGA SATUAN (Inc. Overhead)</t>
        </is>
      </c>
      <c r="F1972" s="17" t="n">
        <v>133641</v>
      </c>
    </row>
    <row r="1974">
      <c r="A1974" s="14" t="inlineStr">
        <is>
          <t>KODE: 3.5.3.2 - Pemasangan 1 m2 Rangka Langit-langit (Plafon) (50x 100) cm, Kayu Kelas II atau III</t>
        </is>
      </c>
    </row>
    <row r="1975">
      <c r="A1975" s="10" t="inlineStr">
        <is>
          <t>No</t>
        </is>
      </c>
      <c r="B1975" s="10" t="inlineStr">
        <is>
          <t>Uraian Komponen</t>
        </is>
      </c>
      <c r="C1975" s="10" t="inlineStr">
        <is>
          <t>Satuan</t>
        </is>
      </c>
      <c r="D1975" s="10" t="inlineStr">
        <is>
          <t>Koef</t>
        </is>
      </c>
      <c r="E1975" s="10" t="inlineStr">
        <is>
          <t>Harga Satuan (Rp)</t>
        </is>
      </c>
      <c r="F1975" s="10" t="inlineStr">
        <is>
          <t>Jumlah Harga (Rp)</t>
        </is>
      </c>
    </row>
    <row r="1976">
      <c r="A1976" s="3" t="inlineStr">
        <is>
          <t>1</t>
        </is>
      </c>
      <c r="B1976" s="3" t="inlineStr">
        <is>
          <t>Pekerja</t>
        </is>
      </c>
      <c r="C1976" s="3" t="inlineStr">
        <is>
          <t>OH</t>
        </is>
      </c>
      <c r="D1976" s="15" t="n">
        <v>0.15</v>
      </c>
      <c r="E1976" s="4" t="n">
        <v>100000</v>
      </c>
      <c r="F1976" s="4" t="n">
        <v>15000</v>
      </c>
    </row>
    <row r="1977">
      <c r="A1977" s="3" t="inlineStr">
        <is>
          <t>2</t>
        </is>
      </c>
      <c r="B1977" s="3" t="inlineStr">
        <is>
          <t>Tukang kayu</t>
        </is>
      </c>
      <c r="C1977" s="3" t="inlineStr">
        <is>
          <t>OH</t>
        </is>
      </c>
      <c r="D1977" s="15" t="n">
        <v>0.3</v>
      </c>
      <c r="E1977" s="4" t="n">
        <v>145000</v>
      </c>
      <c r="F1977" s="4" t="n">
        <v>43500</v>
      </c>
    </row>
    <row r="1978">
      <c r="A1978" s="3" t="inlineStr">
        <is>
          <t>3</t>
        </is>
      </c>
      <c r="B1978" s="3" t="inlineStr">
        <is>
          <t>Kepala tukang</t>
        </is>
      </c>
      <c r="C1978" s="3" t="inlineStr">
        <is>
          <t>OH</t>
        </is>
      </c>
      <c r="D1978" s="15" t="n">
        <v>0.03</v>
      </c>
      <c r="E1978" s="4" t="n">
        <v>175000</v>
      </c>
      <c r="F1978" s="4" t="n">
        <v>5250</v>
      </c>
    </row>
    <row r="1979">
      <c r="A1979" s="3" t="inlineStr">
        <is>
          <t>4</t>
        </is>
      </c>
      <c r="B1979" s="3" t="inlineStr">
        <is>
          <t>Mandor</t>
        </is>
      </c>
      <c r="C1979" s="3" t="inlineStr">
        <is>
          <t>OH</t>
        </is>
      </c>
      <c r="D1979" s="15" t="n">
        <v>0.01</v>
      </c>
      <c r="E1979" s="4" t="n">
        <v>200000</v>
      </c>
      <c r="F1979" s="4" t="n">
        <v>2000</v>
      </c>
    </row>
    <row r="1980">
      <c r="A1980" s="3" t="inlineStr">
        <is>
          <t>1</t>
        </is>
      </c>
      <c r="B1980" s="3" t="inlineStr">
        <is>
          <t>Kaso 5/7 kayu kelas II</t>
        </is>
      </c>
      <c r="C1980" s="3" t="inlineStr">
        <is>
          <t>m3</t>
        </is>
      </c>
      <c r="D1980" s="15" t="n">
        <v>0.015</v>
      </c>
      <c r="E1980" s="4" t="n">
        <v>10214200</v>
      </c>
      <c r="F1980" s="4" t="n">
        <v>153213</v>
      </c>
    </row>
    <row r="1981">
      <c r="A1981" s="3" t="inlineStr">
        <is>
          <t>2</t>
        </is>
      </c>
      <c r="B1981" s="3" t="inlineStr">
        <is>
          <t>Paku 7 - 10 cm</t>
        </is>
      </c>
      <c r="C1981" s="3" t="inlineStr">
        <is>
          <t>kg</t>
        </is>
      </c>
      <c r="D1981" s="15" t="n">
        <v>0.25</v>
      </c>
      <c r="E1981" s="4" t="n">
        <v>20000</v>
      </c>
      <c r="F1981" s="4" t="n">
        <v>5000</v>
      </c>
    </row>
    <row r="1982">
      <c r="D1982" s="2" t="inlineStr">
        <is>
          <t>SUBTOTAL UPAH</t>
        </is>
      </c>
      <c r="F1982" s="16" t="n">
        <v>65750</v>
      </c>
    </row>
    <row r="1983">
      <c r="D1983" s="2" t="inlineStr">
        <is>
          <t>SUBTOTAL BAHAN</t>
        </is>
      </c>
      <c r="F1983" s="16" t="n">
        <v>158213</v>
      </c>
    </row>
    <row r="1984">
      <c r="D1984" s="2" t="inlineStr">
        <is>
          <t>SUBTOTAL ALAT</t>
        </is>
      </c>
      <c r="F1984" s="16" t="n">
        <v>0</v>
      </c>
    </row>
    <row r="1985">
      <c r="E1985" s="2" t="inlineStr">
        <is>
          <t>TOTAL HARGA SATUAN (Inc. Overhead)</t>
        </is>
      </c>
      <c r="F1985" s="17" t="n">
        <v>246359</v>
      </c>
    </row>
    <row r="1987">
      <c r="A1987" s="14" t="inlineStr">
        <is>
          <t>KODE: 3.5.3.3 - Pemasangan 1 m2 Rangka Langit-langit (Plafon) (60x 100) cm, Kayu Kelas II atau III</t>
        </is>
      </c>
    </row>
    <row r="1988">
      <c r="A1988" s="10" t="inlineStr">
        <is>
          <t>No</t>
        </is>
      </c>
      <c r="B1988" s="10" t="inlineStr">
        <is>
          <t>Uraian Komponen</t>
        </is>
      </c>
      <c r="C1988" s="10" t="inlineStr">
        <is>
          <t>Satuan</t>
        </is>
      </c>
      <c r="D1988" s="10" t="inlineStr">
        <is>
          <t>Koef</t>
        </is>
      </c>
      <c r="E1988" s="10" t="inlineStr">
        <is>
          <t>Harga Satuan (Rp)</t>
        </is>
      </c>
      <c r="F1988" s="10" t="inlineStr">
        <is>
          <t>Jumlah Harga (Rp)</t>
        </is>
      </c>
    </row>
    <row r="1989">
      <c r="A1989" s="3" t="inlineStr">
        <is>
          <t>1</t>
        </is>
      </c>
      <c r="B1989" s="3" t="inlineStr">
        <is>
          <t>Pekerja</t>
        </is>
      </c>
      <c r="C1989" s="3" t="inlineStr">
        <is>
          <t>OH</t>
        </is>
      </c>
      <c r="D1989" s="15" t="n">
        <v>0.2</v>
      </c>
      <c r="E1989" s="4" t="n">
        <v>100000</v>
      </c>
      <c r="F1989" s="4" t="n">
        <v>20000</v>
      </c>
    </row>
    <row r="1990">
      <c r="A1990" s="3" t="inlineStr">
        <is>
          <t>2</t>
        </is>
      </c>
      <c r="B1990" s="3" t="inlineStr">
        <is>
          <t>Tukang kayu</t>
        </is>
      </c>
      <c r="C1990" s="3" t="inlineStr">
        <is>
          <t>OH</t>
        </is>
      </c>
      <c r="D1990" s="15" t="n">
        <v>0.3</v>
      </c>
      <c r="E1990" s="4" t="n">
        <v>145000</v>
      </c>
      <c r="F1990" s="4" t="n">
        <v>43500</v>
      </c>
    </row>
    <row r="1991">
      <c r="A1991" s="3" t="inlineStr">
        <is>
          <t>3</t>
        </is>
      </c>
      <c r="B1991" s="3" t="inlineStr">
        <is>
          <t>Kepala tukang</t>
        </is>
      </c>
      <c r="C1991" s="3" t="inlineStr">
        <is>
          <t>OH</t>
        </is>
      </c>
      <c r="D1991" s="15" t="n">
        <v>0.03</v>
      </c>
      <c r="E1991" s="4" t="n">
        <v>175000</v>
      </c>
      <c r="F1991" s="4" t="n">
        <v>5250</v>
      </c>
    </row>
    <row r="1992">
      <c r="A1992" s="3" t="inlineStr">
        <is>
          <t>4</t>
        </is>
      </c>
      <c r="B1992" s="3" t="inlineStr">
        <is>
          <t>Mandor</t>
        </is>
      </c>
      <c r="C1992" s="3" t="inlineStr">
        <is>
          <t>OH</t>
        </is>
      </c>
      <c r="D1992" s="15" t="n">
        <v>0.01</v>
      </c>
      <c r="E1992" s="4" t="n">
        <v>200000</v>
      </c>
      <c r="F1992" s="4" t="n">
        <v>2000</v>
      </c>
    </row>
    <row r="1993">
      <c r="A1993" s="3" t="inlineStr">
        <is>
          <t>1</t>
        </is>
      </c>
      <c r="B1993" s="3" t="inlineStr">
        <is>
          <t>Kaso 5/7 kayu kelas II</t>
        </is>
      </c>
      <c r="C1993" s="3" t="inlineStr">
        <is>
          <t>m3</t>
        </is>
      </c>
      <c r="D1993" s="15" t="n">
        <v>0.0163</v>
      </c>
      <c r="E1993" s="4" t="n">
        <v>10214200</v>
      </c>
      <c r="F1993" s="4" t="n">
        <v>166491.46</v>
      </c>
    </row>
    <row r="1994">
      <c r="A1994" s="3" t="inlineStr">
        <is>
          <t>2</t>
        </is>
      </c>
      <c r="B1994" s="3" t="inlineStr">
        <is>
          <t>Paku 7 - 10 cm</t>
        </is>
      </c>
      <c r="C1994" s="3" t="inlineStr">
        <is>
          <t>kg</t>
        </is>
      </c>
      <c r="D1994" s="15" t="n">
        <v>0.25</v>
      </c>
      <c r="E1994" s="4" t="n">
        <v>20000</v>
      </c>
      <c r="F1994" s="4" t="n">
        <v>5000</v>
      </c>
    </row>
    <row r="1995">
      <c r="D1995" s="2" t="inlineStr">
        <is>
          <t>SUBTOTAL UPAH</t>
        </is>
      </c>
      <c r="F1995" s="16" t="n">
        <v>70750</v>
      </c>
    </row>
    <row r="1996">
      <c r="D1996" s="2" t="inlineStr">
        <is>
          <t>SUBTOTAL BAHAN</t>
        </is>
      </c>
      <c r="F1996" s="16" t="n">
        <v>171491.46</v>
      </c>
    </row>
    <row r="1997">
      <c r="D1997" s="2" t="inlineStr">
        <is>
          <t>SUBTOTAL ALAT</t>
        </is>
      </c>
      <c r="F1997" s="16" t="n">
        <v>0</v>
      </c>
    </row>
    <row r="1998">
      <c r="E1998" s="2" t="inlineStr">
        <is>
          <t>TOTAL HARGA SATUAN (Inc. Overhead)</t>
        </is>
      </c>
      <c r="F1998" s="17" t="n">
        <v>266465</v>
      </c>
    </row>
    <row r="2000">
      <c r="A2000" s="14" t="inlineStr">
        <is>
          <t>KODE: 3.6.1.1 - Pemasangan 1 m2 dinding bata merah tebal 1 batu dengan mortar tipe M,fc’ 17,2 MPa (Setara Campuran 1SP : 2PP)</t>
        </is>
      </c>
    </row>
    <row r="2001">
      <c r="A2001" s="10" t="inlineStr">
        <is>
          <t>No</t>
        </is>
      </c>
      <c r="B2001" s="10" t="inlineStr">
        <is>
          <t>Uraian Komponen</t>
        </is>
      </c>
      <c r="C2001" s="10" t="inlineStr">
        <is>
          <t>Satuan</t>
        </is>
      </c>
      <c r="D2001" s="10" t="inlineStr">
        <is>
          <t>Koef</t>
        </is>
      </c>
      <c r="E2001" s="10" t="inlineStr">
        <is>
          <t>Harga Satuan (Rp)</t>
        </is>
      </c>
      <c r="F2001" s="10" t="inlineStr">
        <is>
          <t>Jumlah Harga (Rp)</t>
        </is>
      </c>
    </row>
    <row r="2002">
      <c r="A2002" s="3" t="inlineStr">
        <is>
          <t>1</t>
        </is>
      </c>
      <c r="B2002" s="3" t="inlineStr">
        <is>
          <t>Pekerja OH</t>
        </is>
      </c>
      <c r="C2002" s="3" t="inlineStr">
        <is>
          <t>0.4</t>
        </is>
      </c>
      <c r="D2002" s="15" t="n">
        <v>100000</v>
      </c>
      <c r="E2002" s="4" t="n">
        <v>40000</v>
      </c>
      <c r="F2002" s="4" t="n">
        <v>0.1</v>
      </c>
    </row>
    <row r="2003">
      <c r="A2003" s="3" t="inlineStr">
        <is>
          <t>2</t>
        </is>
      </c>
      <c r="B2003" s="3" t="inlineStr">
        <is>
          <t>Tukang batu</t>
        </is>
      </c>
      <c r="C2003" s="3" t="inlineStr">
        <is>
          <t>OH</t>
        </is>
      </c>
      <c r="D2003" s="15" t="n">
        <v>0.2</v>
      </c>
      <c r="E2003" s="4" t="n">
        <v>145000</v>
      </c>
      <c r="F2003" s="4" t="n">
        <v>29000</v>
      </c>
    </row>
    <row r="2004">
      <c r="A2004" s="3" t="inlineStr">
        <is>
          <t>3</t>
        </is>
      </c>
      <c r="B2004" s="3" t="inlineStr">
        <is>
          <t>Kepala tukang</t>
        </is>
      </c>
      <c r="C2004" s="3" t="inlineStr">
        <is>
          <t>OH</t>
        </is>
      </c>
      <c r="D2004" s="15" t="n">
        <v>0.02</v>
      </c>
      <c r="E2004" s="4" t="n">
        <v>175000</v>
      </c>
      <c r="F2004" s="4" t="n">
        <v>3500</v>
      </c>
    </row>
    <row r="2005">
      <c r="A2005" s="3" t="inlineStr">
        <is>
          <t>4</t>
        </is>
      </c>
      <c r="B2005" s="3" t="inlineStr">
        <is>
          <t>Mandor</t>
        </is>
      </c>
      <c r="C2005" s="3" t="inlineStr">
        <is>
          <t>OH</t>
        </is>
      </c>
      <c r="D2005" s="15" t="n">
        <v>0.0067</v>
      </c>
      <c r="E2005" s="4" t="n">
        <v>200000</v>
      </c>
      <c r="F2005" s="4" t="n">
        <v>1340</v>
      </c>
    </row>
    <row r="2006">
      <c r="A2006" s="3" t="inlineStr">
        <is>
          <t>1</t>
        </is>
      </c>
      <c r="B2006" s="3" t="inlineStr">
        <is>
          <t>Bata merah</t>
        </is>
      </c>
      <c r="C2006" s="3" t="inlineStr">
        <is>
          <t>buah</t>
        </is>
      </c>
      <c r="D2006" s="15" t="n">
        <v>143.81</v>
      </c>
      <c r="E2006" s="4" t="n">
        <v>700</v>
      </c>
      <c r="F2006" s="4" t="n">
        <v>100667</v>
      </c>
    </row>
    <row r="2007">
      <c r="A2007" s="3" t="inlineStr">
        <is>
          <t>2</t>
        </is>
      </c>
      <c r="B2007" s="3" t="inlineStr">
        <is>
          <t>Semen portland (PC)</t>
        </is>
      </c>
      <c r="C2007" s="3" t="inlineStr">
        <is>
          <t>kg</t>
        </is>
      </c>
      <c r="D2007" s="15" t="n">
        <v>43.5</v>
      </c>
      <c r="E2007" s="4" t="n">
        <v>1300</v>
      </c>
      <c r="F2007" s="4" t="n">
        <v>56550</v>
      </c>
    </row>
    <row r="2008">
      <c r="A2008" s="3" t="inlineStr">
        <is>
          <t>3</t>
        </is>
      </c>
      <c r="B2008" s="3" t="inlineStr">
        <is>
          <t>Pasir pasang (quarry - lokasi pekerjaan)</t>
        </is>
      </c>
      <c r="C2008" s="3" t="inlineStr">
        <is>
          <t>m3</t>
        </is>
      </c>
      <c r="D2008" s="15" t="n">
        <v>0.08</v>
      </c>
      <c r="E2008" s="4" t="n">
        <v>275000</v>
      </c>
      <c r="F2008" s="4" t="n">
        <v>22000</v>
      </c>
    </row>
    <row r="2009">
      <c r="D2009" s="2" t="inlineStr">
        <is>
          <t>SUBTOTAL UPAH</t>
        </is>
      </c>
      <c r="F2009" s="16" t="n">
        <v>0</v>
      </c>
    </row>
    <row r="2010">
      <c r="D2010" s="2" t="inlineStr">
        <is>
          <t>SUBTOTAL BAHAN</t>
        </is>
      </c>
      <c r="F2010" s="16" t="n">
        <v>179217</v>
      </c>
    </row>
    <row r="2011">
      <c r="D2011" s="2" t="inlineStr">
        <is>
          <t>SUBTOTAL ALAT</t>
        </is>
      </c>
      <c r="F2011" s="16" t="n">
        <v>0</v>
      </c>
    </row>
    <row r="2012">
      <c r="E2012" s="2" t="inlineStr">
        <is>
          <t>TOTAL HARGA SATUAN (Inc. Overhead)</t>
        </is>
      </c>
      <c r="F2012" s="17" t="n">
        <v>278362</v>
      </c>
    </row>
    <row r="2014">
      <c r="A2014" s="14" t="inlineStr">
        <is>
          <t>KODE: 3.6.1.2 - Pemasangan 1 m2 dinding bata merah tebal 1 batu dengan mortar tipe S,fc’ 12,5 MPa (Setara Campuran 1SP : 3PP)</t>
        </is>
      </c>
    </row>
    <row r="2015">
      <c r="A2015" s="10" t="inlineStr">
        <is>
          <t>No</t>
        </is>
      </c>
      <c r="B2015" s="10" t="inlineStr">
        <is>
          <t>Uraian Komponen</t>
        </is>
      </c>
      <c r="C2015" s="10" t="inlineStr">
        <is>
          <t>Satuan</t>
        </is>
      </c>
      <c r="D2015" s="10" t="inlineStr">
        <is>
          <t>Koef</t>
        </is>
      </c>
      <c r="E2015" s="10" t="inlineStr">
        <is>
          <t>Harga Satuan (Rp)</t>
        </is>
      </c>
      <c r="F2015" s="10" t="inlineStr">
        <is>
          <t>Jumlah Harga (Rp)</t>
        </is>
      </c>
    </row>
    <row r="2016">
      <c r="A2016" s="3" t="inlineStr">
        <is>
          <t>1</t>
        </is>
      </c>
      <c r="B2016" s="3" t="inlineStr">
        <is>
          <t>Pekerja</t>
        </is>
      </c>
      <c r="C2016" s="3" t="inlineStr">
        <is>
          <t>OH</t>
        </is>
      </c>
      <c r="D2016" s="15" t="n">
        <v>0.4</v>
      </c>
      <c r="E2016" s="4" t="n">
        <v>100000</v>
      </c>
      <c r="F2016" s="4" t="n">
        <v>40000</v>
      </c>
    </row>
    <row r="2017">
      <c r="A2017" s="3" t="inlineStr">
        <is>
          <t>2</t>
        </is>
      </c>
      <c r="B2017" s="3" t="inlineStr">
        <is>
          <t>Tukang batu</t>
        </is>
      </c>
      <c r="C2017" s="3" t="inlineStr">
        <is>
          <t>OH</t>
        </is>
      </c>
      <c r="D2017" s="15" t="n">
        <v>0.2</v>
      </c>
      <c r="E2017" s="4" t="n">
        <v>145000</v>
      </c>
      <c r="F2017" s="4" t="n">
        <v>29000</v>
      </c>
    </row>
    <row r="2018">
      <c r="A2018" s="3" t="inlineStr">
        <is>
          <t>3</t>
        </is>
      </c>
      <c r="B2018" s="3" t="inlineStr">
        <is>
          <t>Kepala tukang</t>
        </is>
      </c>
      <c r="C2018" s="3" t="inlineStr">
        <is>
          <t>OH</t>
        </is>
      </c>
      <c r="D2018" s="15" t="n">
        <v>0.02</v>
      </c>
      <c r="E2018" s="4" t="n">
        <v>175000</v>
      </c>
      <c r="F2018" s="4" t="n">
        <v>3500</v>
      </c>
    </row>
    <row r="2019">
      <c r="A2019" s="3" t="inlineStr">
        <is>
          <t>4</t>
        </is>
      </c>
      <c r="B2019" s="3" t="inlineStr">
        <is>
          <t>Mandor</t>
        </is>
      </c>
      <c r="C2019" s="3" t="inlineStr">
        <is>
          <t>OH</t>
        </is>
      </c>
      <c r="D2019" s="15" t="n">
        <v>0.0067</v>
      </c>
      <c r="E2019" s="4" t="n">
        <v>200000</v>
      </c>
      <c r="F2019" s="4" t="n">
        <v>1340</v>
      </c>
    </row>
    <row r="2020">
      <c r="A2020" s="3" t="inlineStr">
        <is>
          <t>1</t>
        </is>
      </c>
      <c r="B2020" s="3" t="inlineStr">
        <is>
          <t>Bata merah</t>
        </is>
      </c>
      <c r="C2020" s="3" t="inlineStr">
        <is>
          <t>buah</t>
        </is>
      </c>
      <c r="D2020" s="15" t="n">
        <v>143.81</v>
      </c>
      <c r="E2020" s="4" t="n">
        <v>700</v>
      </c>
      <c r="F2020" s="4" t="n">
        <v>100667</v>
      </c>
    </row>
    <row r="2021">
      <c r="A2021" s="3" t="inlineStr">
        <is>
          <t>2</t>
        </is>
      </c>
      <c r="B2021" s="3" t="inlineStr">
        <is>
          <t>Semen portland (PC)</t>
        </is>
      </c>
      <c r="C2021" s="3" t="inlineStr">
        <is>
          <t>kg</t>
        </is>
      </c>
      <c r="D2021" s="15" t="n">
        <v>32.95</v>
      </c>
      <c r="E2021" s="4" t="n">
        <v>1300</v>
      </c>
      <c r="F2021" s="4" t="n">
        <v>42835.00000000001</v>
      </c>
    </row>
    <row r="2022">
      <c r="A2022" s="3" t="inlineStr">
        <is>
          <t>3</t>
        </is>
      </c>
      <c r="B2022" s="3" t="inlineStr">
        <is>
          <t>Pasir pasang (quarry - lokasi pekerjaan)</t>
        </is>
      </c>
      <c r="C2022" s="3" t="inlineStr">
        <is>
          <t>m3</t>
        </is>
      </c>
      <c r="D2022" s="15" t="n">
        <v>0.091</v>
      </c>
      <c r="E2022" s="4" t="n">
        <v>275000</v>
      </c>
      <c r="F2022" s="4" t="n">
        <v>25025</v>
      </c>
    </row>
    <row r="2023">
      <c r="D2023" s="2" t="inlineStr">
        <is>
          <t>SUBTOTAL UPAH</t>
        </is>
      </c>
      <c r="F2023" s="16" t="n">
        <v>0</v>
      </c>
    </row>
    <row r="2024">
      <c r="D2024" s="2" t="inlineStr">
        <is>
          <t>SUBTOTAL BAHAN</t>
        </is>
      </c>
      <c r="F2024" s="16" t="n">
        <v>168527</v>
      </c>
    </row>
    <row r="2025">
      <c r="D2025" s="2" t="inlineStr">
        <is>
          <t>SUBTOTAL ALAT</t>
        </is>
      </c>
      <c r="F2025" s="16" t="n">
        <v>0</v>
      </c>
    </row>
    <row r="2026">
      <c r="E2026" s="2" t="inlineStr">
        <is>
          <t>TOTAL HARGA SATUAN (Inc. Overhead)</t>
        </is>
      </c>
      <c r="F2026" s="17" t="n">
        <v>266603</v>
      </c>
    </row>
    <row r="2028">
      <c r="A2028" s="14" t="inlineStr">
        <is>
          <t>KODE: 3.6.1.3 - Pemasangan 1 m2 dinding bata merah tebal 1 batu dengan mortar tipe N,fc’ 5,2 MPa (Setara Campuran 1SP : 4PP)</t>
        </is>
      </c>
    </row>
    <row r="2029">
      <c r="A2029" s="10" t="inlineStr">
        <is>
          <t>No</t>
        </is>
      </c>
      <c r="B2029" s="10" t="inlineStr">
        <is>
          <t>Uraian Komponen</t>
        </is>
      </c>
      <c r="C2029" s="10" t="inlineStr">
        <is>
          <t>Satuan</t>
        </is>
      </c>
      <c r="D2029" s="10" t="inlineStr">
        <is>
          <t>Koef</t>
        </is>
      </c>
      <c r="E2029" s="10" t="inlineStr">
        <is>
          <t>Harga Satuan (Rp)</t>
        </is>
      </c>
      <c r="F2029" s="10" t="inlineStr">
        <is>
          <t>Jumlah Harga (Rp)</t>
        </is>
      </c>
    </row>
    <row r="2030">
      <c r="A2030" s="3" t="inlineStr">
        <is>
          <t>1</t>
        </is>
      </c>
      <c r="B2030" s="3" t="inlineStr">
        <is>
          <t>Pekerja</t>
        </is>
      </c>
      <c r="C2030" s="3" t="inlineStr">
        <is>
          <t>OH</t>
        </is>
      </c>
      <c r="D2030" s="15" t="n">
        <v>0.4</v>
      </c>
      <c r="E2030" s="4" t="n">
        <v>100000</v>
      </c>
      <c r="F2030" s="4" t="n">
        <v>40000</v>
      </c>
    </row>
    <row r="2031">
      <c r="A2031" s="3" t="inlineStr">
        <is>
          <t>2</t>
        </is>
      </c>
      <c r="B2031" s="3" t="inlineStr">
        <is>
          <t>Tukang batu</t>
        </is>
      </c>
      <c r="C2031" s="3" t="inlineStr">
        <is>
          <t>OH</t>
        </is>
      </c>
      <c r="D2031" s="15" t="n">
        <v>0.2</v>
      </c>
      <c r="E2031" s="4" t="n">
        <v>145000</v>
      </c>
      <c r="F2031" s="4" t="n">
        <v>29000</v>
      </c>
    </row>
    <row r="2032">
      <c r="A2032" s="3" t="inlineStr">
        <is>
          <t>3</t>
        </is>
      </c>
      <c r="B2032" s="3" t="inlineStr">
        <is>
          <t>Kepala tukang</t>
        </is>
      </c>
      <c r="C2032" s="3" t="inlineStr">
        <is>
          <t>OH</t>
        </is>
      </c>
      <c r="D2032" s="15" t="n">
        <v>0.02</v>
      </c>
      <c r="E2032" s="4" t="n">
        <v>175000</v>
      </c>
      <c r="F2032" s="4" t="n">
        <v>3500</v>
      </c>
    </row>
    <row r="2033">
      <c r="A2033" s="3" t="inlineStr">
        <is>
          <t>4</t>
        </is>
      </c>
      <c r="B2033" s="3" t="inlineStr">
        <is>
          <t>Mandor</t>
        </is>
      </c>
      <c r="C2033" s="3" t="inlineStr">
        <is>
          <t>OH</t>
        </is>
      </c>
      <c r="D2033" s="15" t="n">
        <v>0.0067</v>
      </c>
      <c r="E2033" s="4" t="n">
        <v>200000</v>
      </c>
      <c r="F2033" s="4" t="n">
        <v>1340</v>
      </c>
    </row>
    <row r="2034">
      <c r="A2034" s="3" t="inlineStr">
        <is>
          <t>1</t>
        </is>
      </c>
      <c r="B2034" s="3" t="inlineStr">
        <is>
          <t>Bata merah</t>
        </is>
      </c>
      <c r="C2034" s="3" t="inlineStr">
        <is>
          <t>buah</t>
        </is>
      </c>
      <c r="D2034" s="15" t="n">
        <v>143.81</v>
      </c>
      <c r="E2034" s="4" t="n">
        <v>700</v>
      </c>
      <c r="F2034" s="4" t="n">
        <v>100667</v>
      </c>
    </row>
    <row r="2035">
      <c r="A2035" s="3" t="inlineStr">
        <is>
          <t>2</t>
        </is>
      </c>
      <c r="B2035" s="3" t="inlineStr">
        <is>
          <t>Semen portland (PC)</t>
        </is>
      </c>
      <c r="C2035" s="3" t="inlineStr">
        <is>
          <t>kg</t>
        </is>
      </c>
      <c r="D2035" s="15" t="n">
        <v>26.55</v>
      </c>
      <c r="E2035" s="4" t="n">
        <v>1300</v>
      </c>
      <c r="F2035" s="4" t="n">
        <v>34515</v>
      </c>
    </row>
    <row r="2036">
      <c r="A2036" s="3" t="inlineStr">
        <is>
          <t>3</t>
        </is>
      </c>
      <c r="B2036" s="3" t="inlineStr">
        <is>
          <t>Pasir pasang (quarry - lokasi pekerjaan)</t>
        </is>
      </c>
      <c r="C2036" s="3" t="inlineStr">
        <is>
          <t>m3</t>
        </is>
      </c>
      <c r="D2036" s="15" t="n">
        <v>0.093</v>
      </c>
      <c r="E2036" s="4" t="n">
        <v>275000</v>
      </c>
      <c r="F2036" s="4" t="n">
        <v>25575</v>
      </c>
    </row>
    <row r="2037">
      <c r="D2037" s="2" t="inlineStr">
        <is>
          <t>SUBTOTAL UPAH</t>
        </is>
      </c>
      <c r="F2037" s="16" t="n">
        <v>0</v>
      </c>
    </row>
    <row r="2038">
      <c r="D2038" s="2" t="inlineStr">
        <is>
          <t>SUBTOTAL BAHAN</t>
        </is>
      </c>
      <c r="F2038" s="16" t="n">
        <v>160757</v>
      </c>
    </row>
    <row r="2039">
      <c r="D2039" s="2" t="inlineStr">
        <is>
          <t>SUBTOTAL ALAT</t>
        </is>
      </c>
      <c r="F2039" s="16" t="n">
        <v>0</v>
      </c>
    </row>
    <row r="2040">
      <c r="E2040" s="2" t="inlineStr">
        <is>
          <t>TOTAL HARGA SATUAN (Inc. Overhead)</t>
        </is>
      </c>
      <c r="F2040" s="17" t="n">
        <v>258056</v>
      </c>
    </row>
    <row r="2042">
      <c r="A2042" s="14" t="inlineStr">
        <is>
          <t>KODE: 3.6.1.4 - Pemasangan 1 m2 dinding bata merah tebal 1 batu dengan mortar tipe O,fc’ 2,4 MPa (Setara Campuran 1SP : 5PP)</t>
        </is>
      </c>
    </row>
    <row r="2043">
      <c r="A2043" s="10" t="inlineStr">
        <is>
          <t>No</t>
        </is>
      </c>
      <c r="B2043" s="10" t="inlineStr">
        <is>
          <t>Uraian Komponen</t>
        </is>
      </c>
      <c r="C2043" s="10" t="inlineStr">
        <is>
          <t>Satuan</t>
        </is>
      </c>
      <c r="D2043" s="10" t="inlineStr">
        <is>
          <t>Koef</t>
        </is>
      </c>
      <c r="E2043" s="10" t="inlineStr">
        <is>
          <t>Harga Satuan (Rp)</t>
        </is>
      </c>
      <c r="F2043" s="10" t="inlineStr">
        <is>
          <t>Jumlah Harga (Rp)</t>
        </is>
      </c>
    </row>
    <row r="2044">
      <c r="A2044" s="3" t="inlineStr">
        <is>
          <t>1</t>
        </is>
      </c>
      <c r="B2044" s="3" t="inlineStr">
        <is>
          <t>Pekerja</t>
        </is>
      </c>
      <c r="C2044" s="3" t="inlineStr">
        <is>
          <t>OH</t>
        </is>
      </c>
      <c r="D2044" s="15" t="n">
        <v>0.4</v>
      </c>
      <c r="E2044" s="4" t="n">
        <v>100000</v>
      </c>
      <c r="F2044" s="4" t="n">
        <v>40000</v>
      </c>
    </row>
    <row r="2045">
      <c r="A2045" s="3" t="inlineStr">
        <is>
          <t>2</t>
        </is>
      </c>
      <c r="B2045" s="3" t="inlineStr">
        <is>
          <t>Tukang batu</t>
        </is>
      </c>
      <c r="C2045" s="3" t="inlineStr">
        <is>
          <t>OH</t>
        </is>
      </c>
      <c r="D2045" s="15" t="n">
        <v>0.2</v>
      </c>
      <c r="E2045" s="4" t="n">
        <v>145000</v>
      </c>
      <c r="F2045" s="4" t="n">
        <v>29000</v>
      </c>
    </row>
    <row r="2046">
      <c r="A2046" s="3" t="inlineStr">
        <is>
          <t>3</t>
        </is>
      </c>
      <c r="B2046" s="3" t="inlineStr">
        <is>
          <t>Kepala tukang</t>
        </is>
      </c>
      <c r="C2046" s="3" t="inlineStr">
        <is>
          <t>OH</t>
        </is>
      </c>
      <c r="D2046" s="15" t="n">
        <v>0.02</v>
      </c>
      <c r="E2046" s="4" t="n">
        <v>175000</v>
      </c>
      <c r="F2046" s="4" t="n">
        <v>3500</v>
      </c>
    </row>
    <row r="2047">
      <c r="A2047" s="3" t="inlineStr">
        <is>
          <t>4</t>
        </is>
      </c>
      <c r="B2047" s="3" t="inlineStr">
        <is>
          <t>Mandor</t>
        </is>
      </c>
      <c r="C2047" s="3" t="inlineStr">
        <is>
          <t>OH</t>
        </is>
      </c>
      <c r="D2047" s="15" t="n">
        <v>0.0067</v>
      </c>
      <c r="E2047" s="4" t="n">
        <v>200000</v>
      </c>
      <c r="F2047" s="4" t="n">
        <v>1340</v>
      </c>
    </row>
    <row r="2048">
      <c r="A2048" s="3" t="inlineStr">
        <is>
          <t>1</t>
        </is>
      </c>
      <c r="B2048" s="3" t="inlineStr">
        <is>
          <t>Bata merah</t>
        </is>
      </c>
      <c r="C2048" s="3" t="inlineStr">
        <is>
          <t>buah</t>
        </is>
      </c>
      <c r="D2048" s="15" t="n">
        <v>143.81</v>
      </c>
      <c r="E2048" s="4" t="n">
        <v>700</v>
      </c>
      <c r="F2048" s="4" t="n">
        <v>100667</v>
      </c>
    </row>
    <row r="2049">
      <c r="A2049" s="3" t="inlineStr">
        <is>
          <t>2</t>
        </is>
      </c>
      <c r="B2049" s="3" t="inlineStr">
        <is>
          <t>Semen portland (PC)</t>
        </is>
      </c>
      <c r="C2049" s="3" t="inlineStr">
        <is>
          <t>kg</t>
        </is>
      </c>
      <c r="D2049" s="15" t="n">
        <v>22.2</v>
      </c>
      <c r="E2049" s="4" t="n">
        <v>1300</v>
      </c>
      <c r="F2049" s="4" t="n">
        <v>28860</v>
      </c>
    </row>
    <row r="2050">
      <c r="A2050" s="3" t="inlineStr">
        <is>
          <t>3</t>
        </is>
      </c>
      <c r="B2050" s="3" t="inlineStr">
        <is>
          <t>Pasir pasang (quarry - lokasi pekerjaan)</t>
        </is>
      </c>
      <c r="C2050" s="3" t="inlineStr">
        <is>
          <t>m3</t>
        </is>
      </c>
      <c r="D2050" s="15" t="n">
        <v>0.102</v>
      </c>
      <c r="E2050" s="4" t="n">
        <v>275000</v>
      </c>
      <c r="F2050" s="4" t="n">
        <v>28050</v>
      </c>
    </row>
    <row r="2051">
      <c r="D2051" s="2" t="inlineStr">
        <is>
          <t>SUBTOTAL UPAH</t>
        </is>
      </c>
      <c r="F2051" s="16" t="n">
        <v>0</v>
      </c>
    </row>
    <row r="2052">
      <c r="D2052" s="2" t="inlineStr">
        <is>
          <t>SUBTOTAL BAHAN</t>
        </is>
      </c>
      <c r="F2052" s="16" t="n">
        <v>157577</v>
      </c>
    </row>
    <row r="2053">
      <c r="D2053" s="2" t="inlineStr">
        <is>
          <t>SUBTOTAL ALAT</t>
        </is>
      </c>
      <c r="F2053" s="16" t="n">
        <v>0</v>
      </c>
    </row>
    <row r="2054">
      <c r="E2054" s="2" t="inlineStr">
        <is>
          <t>TOTAL HARGA SATUAN (Inc. Overhead)</t>
        </is>
      </c>
      <c r="F2054" s="17" t="n">
        <v>254558</v>
      </c>
    </row>
    <row r="2056">
      <c r="A2056" s="14" t="inlineStr">
        <is>
          <t>KODE: 3.6.1.5 - Pemasangan 1 m2 dinding bata merah tebal 1 batu campuran 1SP : 6PP</t>
        </is>
      </c>
    </row>
    <row r="2057">
      <c r="A2057" s="10" t="inlineStr">
        <is>
          <t>No</t>
        </is>
      </c>
      <c r="B2057" s="10" t="inlineStr">
        <is>
          <t>Uraian Komponen</t>
        </is>
      </c>
      <c r="C2057" s="10" t="inlineStr">
        <is>
          <t>Satuan</t>
        </is>
      </c>
      <c r="D2057" s="10" t="inlineStr">
        <is>
          <t>Koef</t>
        </is>
      </c>
      <c r="E2057" s="10" t="inlineStr">
        <is>
          <t>Harga Satuan (Rp)</t>
        </is>
      </c>
      <c r="F2057" s="10" t="inlineStr">
        <is>
          <t>Jumlah Harga (Rp)</t>
        </is>
      </c>
    </row>
    <row r="2058">
      <c r="A2058" s="3" t="inlineStr">
        <is>
          <t>1</t>
        </is>
      </c>
      <c r="B2058" s="3" t="inlineStr">
        <is>
          <t>Pekerja</t>
        </is>
      </c>
      <c r="C2058" s="3" t="inlineStr">
        <is>
          <t>OH</t>
        </is>
      </c>
      <c r="D2058" s="15" t="n">
        <v>0.4</v>
      </c>
      <c r="E2058" s="4" t="n">
        <v>100000</v>
      </c>
      <c r="F2058" s="4" t="n">
        <v>40000</v>
      </c>
    </row>
    <row r="2059">
      <c r="A2059" s="3" t="inlineStr">
        <is>
          <t>2</t>
        </is>
      </c>
      <c r="B2059" s="3" t="inlineStr">
        <is>
          <t>Tukang batu</t>
        </is>
      </c>
      <c r="C2059" s="3" t="inlineStr">
        <is>
          <t>OH</t>
        </is>
      </c>
      <c r="D2059" s="15" t="n">
        <v>0.2</v>
      </c>
      <c r="E2059" s="4" t="n">
        <v>145000</v>
      </c>
      <c r="F2059" s="4" t="n">
        <v>29000</v>
      </c>
    </row>
    <row r="2060">
      <c r="A2060" s="3" t="inlineStr">
        <is>
          <t>3</t>
        </is>
      </c>
      <c r="B2060" s="3" t="inlineStr">
        <is>
          <t>Kepala tukang</t>
        </is>
      </c>
      <c r="C2060" s="3" t="inlineStr">
        <is>
          <t>OH</t>
        </is>
      </c>
      <c r="D2060" s="15" t="n">
        <v>0.02</v>
      </c>
      <c r="E2060" s="4" t="n">
        <v>175000</v>
      </c>
      <c r="F2060" s="4" t="n">
        <v>3500</v>
      </c>
    </row>
    <row r="2061">
      <c r="A2061" s="3" t="inlineStr">
        <is>
          <t>4</t>
        </is>
      </c>
      <c r="B2061" s="3" t="inlineStr">
        <is>
          <t>Mandor</t>
        </is>
      </c>
      <c r="C2061" s="3" t="inlineStr">
        <is>
          <t>OH</t>
        </is>
      </c>
      <c r="D2061" s="15" t="n">
        <v>0.0067</v>
      </c>
      <c r="E2061" s="4" t="n">
        <v>200000</v>
      </c>
      <c r="F2061" s="4" t="n">
        <v>1340</v>
      </c>
    </row>
    <row r="2062">
      <c r="A2062" s="3" t="inlineStr">
        <is>
          <t>1</t>
        </is>
      </c>
      <c r="B2062" s="3" t="inlineStr">
        <is>
          <t>Bata merah</t>
        </is>
      </c>
      <c r="C2062" s="3" t="inlineStr">
        <is>
          <t>buah</t>
        </is>
      </c>
      <c r="D2062" s="15" t="n">
        <v>143.81</v>
      </c>
      <c r="E2062" s="4" t="n">
        <v>700</v>
      </c>
      <c r="F2062" s="4" t="n">
        <v>100667</v>
      </c>
    </row>
    <row r="2063">
      <c r="A2063" s="3" t="inlineStr">
        <is>
          <t>2</t>
        </is>
      </c>
      <c r="B2063" s="3" t="inlineStr">
        <is>
          <t>Semen portland (PC)</t>
        </is>
      </c>
      <c r="C2063" s="3" t="inlineStr">
        <is>
          <t>kg</t>
        </is>
      </c>
      <c r="D2063" s="15" t="n">
        <v>18.5</v>
      </c>
      <c r="E2063" s="4" t="n">
        <v>1300</v>
      </c>
      <c r="F2063" s="4" t="n">
        <v>24050</v>
      </c>
    </row>
    <row r="2064">
      <c r="A2064" s="3" t="inlineStr">
        <is>
          <t>3</t>
        </is>
      </c>
      <c r="B2064" s="3" t="inlineStr">
        <is>
          <t>Pasir pasang (quarry - lokasi pekerjaan)</t>
        </is>
      </c>
      <c r="C2064" s="3" t="inlineStr">
        <is>
          <t>m3</t>
        </is>
      </c>
      <c r="D2064" s="15" t="n">
        <v>0.122</v>
      </c>
      <c r="E2064" s="4" t="n">
        <v>275000</v>
      </c>
      <c r="F2064" s="4" t="n">
        <v>33550</v>
      </c>
    </row>
    <row r="2065">
      <c r="D2065" s="2" t="inlineStr">
        <is>
          <t>SUBTOTAL UPAH</t>
        </is>
      </c>
      <c r="F2065" s="16" t="n">
        <v>0</v>
      </c>
    </row>
    <row r="2066">
      <c r="D2066" s="2" t="inlineStr">
        <is>
          <t>SUBTOTAL BAHAN</t>
        </is>
      </c>
      <c r="F2066" s="16" t="n">
        <v>158267</v>
      </c>
    </row>
    <row r="2067">
      <c r="D2067" s="2" t="inlineStr">
        <is>
          <t>SUBTOTAL ALAT</t>
        </is>
      </c>
      <c r="F2067" s="16" t="n">
        <v>0</v>
      </c>
    </row>
    <row r="2068">
      <c r="E2068" s="2" t="inlineStr">
        <is>
          <t>TOTAL HARGA SATUAN (Inc. Overhead)</t>
        </is>
      </c>
      <c r="F2068" s="17" t="n">
        <v>255317</v>
      </c>
    </row>
    <row r="2070">
      <c r="A2070" s="14" t="inlineStr">
        <is>
          <t>KODE: 3.6.1.6 - Pemasangan 1 m2 dinding bata merah tebal 1/2 batu dengan mortar tipe M,fc’ 17,2 MPa (Setara Campuran 1SP : 2PP)</t>
        </is>
      </c>
    </row>
    <row r="2071">
      <c r="A2071" s="10" t="inlineStr">
        <is>
          <t>No</t>
        </is>
      </c>
      <c r="B2071" s="10" t="inlineStr">
        <is>
          <t>Uraian Komponen</t>
        </is>
      </c>
      <c r="C2071" s="10" t="inlineStr">
        <is>
          <t>Satuan</t>
        </is>
      </c>
      <c r="D2071" s="10" t="inlineStr">
        <is>
          <t>Koef</t>
        </is>
      </c>
      <c r="E2071" s="10" t="inlineStr">
        <is>
          <t>Harga Satuan (Rp)</t>
        </is>
      </c>
      <c r="F2071" s="10" t="inlineStr">
        <is>
          <t>Jumlah Harga (Rp)</t>
        </is>
      </c>
    </row>
    <row r="2072">
      <c r="A2072" s="3" t="inlineStr">
        <is>
          <t>1</t>
        </is>
      </c>
      <c r="B2072" s="3" t="inlineStr">
        <is>
          <t>Pekerja</t>
        </is>
      </c>
      <c r="C2072" s="3" t="inlineStr">
        <is>
          <t>OH</t>
        </is>
      </c>
      <c r="D2072" s="15" t="n">
        <v>0.2</v>
      </c>
      <c r="E2072" s="4" t="n">
        <v>100000</v>
      </c>
      <c r="F2072" s="4" t="n">
        <v>20000</v>
      </c>
    </row>
    <row r="2073">
      <c r="A2073" s="3" t="inlineStr">
        <is>
          <t>2</t>
        </is>
      </c>
      <c r="B2073" s="3" t="inlineStr">
        <is>
          <t>Tukang batu</t>
        </is>
      </c>
      <c r="C2073" s="3" t="inlineStr">
        <is>
          <t>OH</t>
        </is>
      </c>
      <c r="D2073" s="15" t="n">
        <v>0.1</v>
      </c>
      <c r="E2073" s="4" t="n">
        <v>145000</v>
      </c>
      <c r="F2073" s="4" t="n">
        <v>14500</v>
      </c>
    </row>
    <row r="2074">
      <c r="A2074" s="3" t="inlineStr">
        <is>
          <t>3</t>
        </is>
      </c>
      <c r="B2074" s="3" t="inlineStr">
        <is>
          <t>Kepala tukang</t>
        </is>
      </c>
      <c r="C2074" s="3" t="inlineStr">
        <is>
          <t>OH</t>
        </is>
      </c>
      <c r="D2074" s="15" t="n">
        <v>0.01</v>
      </c>
      <c r="E2074" s="4" t="n">
        <v>175000</v>
      </c>
      <c r="F2074" s="4" t="n">
        <v>1750</v>
      </c>
    </row>
    <row r="2075">
      <c r="A2075" s="3" t="inlineStr">
        <is>
          <t>4</t>
        </is>
      </c>
      <c r="B2075" s="3" t="inlineStr">
        <is>
          <t>Mandor</t>
        </is>
      </c>
      <c r="C2075" s="3" t="inlineStr">
        <is>
          <t>OH</t>
        </is>
      </c>
      <c r="D2075" s="15" t="n">
        <v>0.0033</v>
      </c>
      <c r="E2075" s="4" t="n">
        <v>200000</v>
      </c>
      <c r="F2075" s="4" t="n">
        <v>660</v>
      </c>
    </row>
    <row r="2076">
      <c r="A2076" s="3" t="inlineStr">
        <is>
          <t>1</t>
        </is>
      </c>
      <c r="B2076" s="3" t="inlineStr">
        <is>
          <t>Bata merah</t>
        </is>
      </c>
      <c r="C2076" s="3" t="inlineStr">
        <is>
          <t>buah</t>
        </is>
      </c>
      <c r="D2076" s="15" t="n">
        <v>71.91</v>
      </c>
      <c r="E2076" s="4" t="n">
        <v>700</v>
      </c>
      <c r="F2076" s="4" t="n">
        <v>50337</v>
      </c>
    </row>
    <row r="2077">
      <c r="A2077" s="3" t="inlineStr">
        <is>
          <t>2</t>
        </is>
      </c>
      <c r="B2077" s="3" t="inlineStr">
        <is>
          <t>Semen portland (PC)</t>
        </is>
      </c>
      <c r="C2077" s="3" t="inlineStr">
        <is>
          <t>kg</t>
        </is>
      </c>
      <c r="D2077" s="15" t="n">
        <v>18.95</v>
      </c>
      <c r="E2077" s="4" t="n">
        <v>1300</v>
      </c>
      <c r="F2077" s="4" t="n">
        <v>24635</v>
      </c>
    </row>
    <row r="2078">
      <c r="A2078" s="3" t="inlineStr">
        <is>
          <t>3</t>
        </is>
      </c>
      <c r="B2078" s="3" t="inlineStr">
        <is>
          <t>Pasir pasang (quarry - lokasi pekerjaan)</t>
        </is>
      </c>
      <c r="C2078" s="3" t="inlineStr">
        <is>
          <t>m3</t>
        </is>
      </c>
      <c r="D2078" s="15" t="n">
        <v>0.038</v>
      </c>
      <c r="E2078" s="4" t="n">
        <v>275000</v>
      </c>
      <c r="F2078" s="4" t="n">
        <v>10450</v>
      </c>
    </row>
    <row r="2079">
      <c r="D2079" s="2" t="inlineStr">
        <is>
          <t>SUBTOTAL UPAH</t>
        </is>
      </c>
      <c r="F2079" s="16" t="n">
        <v>0</v>
      </c>
    </row>
    <row r="2080">
      <c r="D2080" s="2" t="inlineStr">
        <is>
          <t>SUBTOTAL BAHAN</t>
        </is>
      </c>
      <c r="F2080" s="16" t="n">
        <v>85422</v>
      </c>
    </row>
    <row r="2081">
      <c r="D2081" s="2" t="inlineStr">
        <is>
          <t>SUBTOTAL ALAT</t>
        </is>
      </c>
      <c r="F2081" s="16" t="n">
        <v>0</v>
      </c>
    </row>
    <row r="2082">
      <c r="E2082" s="2" t="inlineStr">
        <is>
          <t>TOTAL HARGA SATUAN (Inc. Overhead)</t>
        </is>
      </c>
      <c r="F2082" s="17" t="n">
        <v>134565</v>
      </c>
    </row>
    <row r="2084">
      <c r="A2084" s="14" t="inlineStr">
        <is>
          <t>KODE: 3.6.1.7 - Pemasangan 1 m2 dinding bata merah tebal 1/2 batu dengan mortar tipe S,fc’ 12,5 MPa (Setara Campuran 1SP : 3PP)</t>
        </is>
      </c>
    </row>
    <row r="2085">
      <c r="A2085" s="10" t="inlineStr">
        <is>
          <t>No</t>
        </is>
      </c>
      <c r="B2085" s="10" t="inlineStr">
        <is>
          <t>Uraian Komponen</t>
        </is>
      </c>
      <c r="C2085" s="10" t="inlineStr">
        <is>
          <t>Satuan</t>
        </is>
      </c>
      <c r="D2085" s="10" t="inlineStr">
        <is>
          <t>Koef</t>
        </is>
      </c>
      <c r="E2085" s="10" t="inlineStr">
        <is>
          <t>Harga Satuan (Rp)</t>
        </is>
      </c>
      <c r="F2085" s="10" t="inlineStr">
        <is>
          <t>Jumlah Harga (Rp)</t>
        </is>
      </c>
    </row>
    <row r="2086">
      <c r="A2086" s="3" t="inlineStr">
        <is>
          <t>1</t>
        </is>
      </c>
      <c r="B2086" s="3" t="inlineStr">
        <is>
          <t>Pekerja</t>
        </is>
      </c>
      <c r="C2086" s="3" t="inlineStr">
        <is>
          <t>OH</t>
        </is>
      </c>
      <c r="D2086" s="15" t="n">
        <v>0.2</v>
      </c>
      <c r="E2086" s="4" t="n">
        <v>100000</v>
      </c>
      <c r="F2086" s="4" t="n">
        <v>20000</v>
      </c>
    </row>
    <row r="2087">
      <c r="A2087" s="3" t="inlineStr">
        <is>
          <t>2</t>
        </is>
      </c>
      <c r="B2087" s="3" t="inlineStr">
        <is>
          <t>Tukang batu</t>
        </is>
      </c>
      <c r="C2087" s="3" t="inlineStr">
        <is>
          <t>OH</t>
        </is>
      </c>
      <c r="D2087" s="15" t="n">
        <v>0.1</v>
      </c>
      <c r="E2087" s="4" t="n">
        <v>145000</v>
      </c>
      <c r="F2087" s="4" t="n">
        <v>14500</v>
      </c>
    </row>
    <row r="2088">
      <c r="A2088" s="3" t="inlineStr">
        <is>
          <t>3</t>
        </is>
      </c>
      <c r="B2088" s="3" t="inlineStr">
        <is>
          <t>Kepala tukang</t>
        </is>
      </c>
      <c r="C2088" s="3" t="inlineStr">
        <is>
          <t>OH</t>
        </is>
      </c>
      <c r="D2088" s="15" t="n">
        <v>0.01</v>
      </c>
      <c r="E2088" s="4" t="n">
        <v>175000</v>
      </c>
      <c r="F2088" s="4" t="n">
        <v>1750</v>
      </c>
    </row>
    <row r="2089">
      <c r="A2089" s="3" t="inlineStr">
        <is>
          <t>4</t>
        </is>
      </c>
      <c r="B2089" s="3" t="inlineStr">
        <is>
          <t>Mandor</t>
        </is>
      </c>
      <c r="C2089" s="3" t="inlineStr">
        <is>
          <t>OH</t>
        </is>
      </c>
      <c r="D2089" s="15" t="n">
        <v>0.0033</v>
      </c>
      <c r="E2089" s="4" t="n">
        <v>200000</v>
      </c>
      <c r="F2089" s="4" t="n">
        <v>660</v>
      </c>
    </row>
    <row r="2090">
      <c r="A2090" s="3" t="inlineStr">
        <is>
          <t>1</t>
        </is>
      </c>
      <c r="B2090" s="3" t="inlineStr">
        <is>
          <t>Bata merah</t>
        </is>
      </c>
      <c r="C2090" s="3" t="inlineStr">
        <is>
          <t>buah</t>
        </is>
      </c>
      <c r="D2090" s="15" t="n">
        <v>71.91</v>
      </c>
      <c r="E2090" s="4" t="n">
        <v>700</v>
      </c>
      <c r="F2090" s="4" t="n">
        <v>50337</v>
      </c>
    </row>
    <row r="2091">
      <c r="A2091" s="3" t="inlineStr">
        <is>
          <t>2</t>
        </is>
      </c>
      <c r="B2091" s="3" t="inlineStr">
        <is>
          <t>Semen portland (pc)</t>
        </is>
      </c>
      <c r="C2091" s="3" t="inlineStr">
        <is>
          <t>kg</t>
        </is>
      </c>
      <c r="D2091" s="15" t="n">
        <v>14.37</v>
      </c>
      <c r="E2091" s="4" t="n">
        <v>1300</v>
      </c>
      <c r="F2091" s="4" t="n">
        <v>18681</v>
      </c>
    </row>
    <row r="2092">
      <c r="A2092" s="3" t="inlineStr">
        <is>
          <t>3</t>
        </is>
      </c>
      <c r="B2092" s="3" t="inlineStr">
        <is>
          <t>Pasir pasang (quarry - lokasi pekerjaan)</t>
        </is>
      </c>
      <c r="C2092" s="3" t="inlineStr">
        <is>
          <t>m3</t>
        </is>
      </c>
      <c r="D2092" s="15" t="n">
        <v>0.04</v>
      </c>
      <c r="E2092" s="4" t="n">
        <v>275000</v>
      </c>
      <c r="F2092" s="4" t="n">
        <v>11000</v>
      </c>
    </row>
    <row r="2093">
      <c r="D2093" s="2" t="inlineStr">
        <is>
          <t>SUBTOTAL UPAH</t>
        </is>
      </c>
      <c r="F2093" s="16" t="n">
        <v>0</v>
      </c>
    </row>
    <row r="2094">
      <c r="D2094" s="2" t="inlineStr">
        <is>
          <t>SUBTOTAL BAHAN</t>
        </is>
      </c>
      <c r="F2094" s="16" t="n">
        <v>80018</v>
      </c>
    </row>
    <row r="2095">
      <c r="D2095" s="2" t="inlineStr">
        <is>
          <t>SUBTOTAL ALAT</t>
        </is>
      </c>
      <c r="F2095" s="16" t="n">
        <v>0</v>
      </c>
    </row>
    <row r="2096">
      <c r="E2096" s="2" t="inlineStr">
        <is>
          <t>TOTAL HARGA SATUAN (Inc. Overhead)</t>
        </is>
      </c>
      <c r="F2096" s="17" t="n">
        <v>128620</v>
      </c>
    </row>
    <row r="2098">
      <c r="A2098" s="14" t="inlineStr">
        <is>
          <t>KODE: 3.6.1.8 - Pemasangan 1 m2 dinding bata merah tebal 1/2 batu dengan mortar tipe N,fc’ 5,2 MPa (Setara Campuran 1SP : 4PP)</t>
        </is>
      </c>
    </row>
    <row r="2099">
      <c r="A2099" s="10" t="inlineStr">
        <is>
          <t>No</t>
        </is>
      </c>
      <c r="B2099" s="10" t="inlineStr">
        <is>
          <t>Uraian Komponen</t>
        </is>
      </c>
      <c r="C2099" s="10" t="inlineStr">
        <is>
          <t>Satuan</t>
        </is>
      </c>
      <c r="D2099" s="10" t="inlineStr">
        <is>
          <t>Koef</t>
        </is>
      </c>
      <c r="E2099" s="10" t="inlineStr">
        <is>
          <t>Harga Satuan (Rp)</t>
        </is>
      </c>
      <c r="F2099" s="10" t="inlineStr">
        <is>
          <t>Jumlah Harga (Rp)</t>
        </is>
      </c>
    </row>
    <row r="2100">
      <c r="A2100" s="3" t="inlineStr">
        <is>
          <t>1</t>
        </is>
      </c>
      <c r="B2100" s="3" t="inlineStr">
        <is>
          <t>Pekerja</t>
        </is>
      </c>
      <c r="C2100" s="3" t="inlineStr">
        <is>
          <t>OH</t>
        </is>
      </c>
      <c r="D2100" s="15" t="n">
        <v>0.2</v>
      </c>
      <c r="E2100" s="4" t="n">
        <v>100000</v>
      </c>
      <c r="F2100" s="4" t="n">
        <v>20000</v>
      </c>
    </row>
    <row r="2101">
      <c r="A2101" s="3" t="inlineStr">
        <is>
          <t>2</t>
        </is>
      </c>
      <c r="B2101" s="3" t="inlineStr">
        <is>
          <t>Tukang batu</t>
        </is>
      </c>
      <c r="C2101" s="3" t="inlineStr">
        <is>
          <t>OH</t>
        </is>
      </c>
      <c r="D2101" s="15" t="n">
        <v>0.1</v>
      </c>
      <c r="E2101" s="4" t="n">
        <v>145000</v>
      </c>
      <c r="F2101" s="4" t="n">
        <v>14500</v>
      </c>
    </row>
    <row r="2102">
      <c r="A2102" s="3" t="inlineStr">
        <is>
          <t>3</t>
        </is>
      </c>
      <c r="B2102" s="3" t="inlineStr">
        <is>
          <t>Kepala tukang</t>
        </is>
      </c>
      <c r="C2102" s="3" t="inlineStr">
        <is>
          <t>OH</t>
        </is>
      </c>
      <c r="D2102" s="15" t="n">
        <v>0.01</v>
      </c>
      <c r="E2102" s="4" t="n">
        <v>175000</v>
      </c>
      <c r="F2102" s="4" t="n">
        <v>1750</v>
      </c>
    </row>
    <row r="2103">
      <c r="A2103" s="3" t="inlineStr">
        <is>
          <t>4</t>
        </is>
      </c>
      <c r="B2103" s="3" t="inlineStr">
        <is>
          <t>Mandor</t>
        </is>
      </c>
      <c r="C2103" s="3" t="inlineStr">
        <is>
          <t>OH</t>
        </is>
      </c>
      <c r="D2103" s="15" t="n">
        <v>0.0033</v>
      </c>
      <c r="E2103" s="4" t="n">
        <v>200000</v>
      </c>
      <c r="F2103" s="4" t="n">
        <v>660</v>
      </c>
    </row>
    <row r="2104">
      <c r="A2104" s="3" t="inlineStr">
        <is>
          <t>1</t>
        </is>
      </c>
      <c r="B2104" s="3" t="inlineStr">
        <is>
          <t>Bata merah</t>
        </is>
      </c>
      <c r="C2104" s="3" t="inlineStr">
        <is>
          <t>buah</t>
        </is>
      </c>
      <c r="D2104" s="15" t="n">
        <v>71.91</v>
      </c>
      <c r="E2104" s="4" t="n">
        <v>700</v>
      </c>
      <c r="F2104" s="4" t="n">
        <v>50337</v>
      </c>
    </row>
    <row r="2105">
      <c r="A2105" s="3" t="inlineStr">
        <is>
          <t>2</t>
        </is>
      </c>
      <c r="B2105" s="3" t="inlineStr">
        <is>
          <t>Semen portland (pc)</t>
        </is>
      </c>
      <c r="C2105" s="3" t="inlineStr">
        <is>
          <t>kg</t>
        </is>
      </c>
      <c r="D2105" s="15" t="n">
        <v>11.5</v>
      </c>
      <c r="E2105" s="4" t="n">
        <v>1300</v>
      </c>
      <c r="F2105" s="4" t="n">
        <v>14950</v>
      </c>
    </row>
    <row r="2106">
      <c r="A2106" s="3" t="inlineStr">
        <is>
          <t>3</t>
        </is>
      </c>
      <c r="B2106" s="3" t="inlineStr">
        <is>
          <t>Pasir pasang (quarry - lokasi pekerjaan)</t>
        </is>
      </c>
      <c r="C2106" s="3" t="inlineStr">
        <is>
          <t>m3</t>
        </is>
      </c>
      <c r="D2106" s="15" t="n">
        <v>0.043</v>
      </c>
      <c r="E2106" s="4" t="n">
        <v>275000</v>
      </c>
      <c r="F2106" s="4" t="n">
        <v>11825</v>
      </c>
    </row>
    <row r="2107">
      <c r="D2107" s="2" t="inlineStr">
        <is>
          <t>SUBTOTAL UPAH</t>
        </is>
      </c>
      <c r="F2107" s="16" t="n">
        <v>0</v>
      </c>
    </row>
    <row r="2108">
      <c r="D2108" s="2" t="inlineStr">
        <is>
          <t>SUBTOTAL BAHAN</t>
        </is>
      </c>
      <c r="F2108" s="16" t="n">
        <v>77112</v>
      </c>
    </row>
    <row r="2109">
      <c r="D2109" s="2" t="inlineStr">
        <is>
          <t>SUBTOTAL ALAT</t>
        </is>
      </c>
      <c r="F2109" s="16" t="n">
        <v>0</v>
      </c>
    </row>
    <row r="2110">
      <c r="E2110" s="2" t="inlineStr">
        <is>
          <t>TOTAL HARGA SATUAN (Inc. Overhead)</t>
        </is>
      </c>
      <c r="F2110" s="17" t="n">
        <v>125424</v>
      </c>
    </row>
    <row r="2112">
      <c r="A2112" s="14" t="inlineStr">
        <is>
          <t>KODE: 3.6.1.9 - Pemasangan 1 m2 dinding bata merah tebal 1/2 batu dengan mortar tipe O,fc’ 2,4 MPa (Setara Campuran 1SP : 5PP)</t>
        </is>
      </c>
    </row>
    <row r="2113">
      <c r="A2113" s="10" t="inlineStr">
        <is>
          <t>No</t>
        </is>
      </c>
      <c r="B2113" s="10" t="inlineStr">
        <is>
          <t>Uraian Komponen</t>
        </is>
      </c>
      <c r="C2113" s="10" t="inlineStr">
        <is>
          <t>Satuan</t>
        </is>
      </c>
      <c r="D2113" s="10" t="inlineStr">
        <is>
          <t>Koef</t>
        </is>
      </c>
      <c r="E2113" s="10" t="inlineStr">
        <is>
          <t>Harga Satuan (Rp)</t>
        </is>
      </c>
      <c r="F2113" s="10" t="inlineStr">
        <is>
          <t>Jumlah Harga (Rp)</t>
        </is>
      </c>
    </row>
    <row r="2114">
      <c r="A2114" s="3" t="inlineStr">
        <is>
          <t>1</t>
        </is>
      </c>
      <c r="B2114" s="3" t="inlineStr">
        <is>
          <t>Pekerja</t>
        </is>
      </c>
      <c r="C2114" s="3" t="inlineStr">
        <is>
          <t>OH</t>
        </is>
      </c>
      <c r="D2114" s="15" t="n">
        <v>0.2</v>
      </c>
      <c r="E2114" s="4" t="n">
        <v>100000</v>
      </c>
      <c r="F2114" s="4" t="n">
        <v>20000</v>
      </c>
    </row>
    <row r="2115">
      <c r="A2115" s="3" t="inlineStr">
        <is>
          <t>2</t>
        </is>
      </c>
      <c r="B2115" s="3" t="inlineStr">
        <is>
          <t>Tukang batu</t>
        </is>
      </c>
      <c r="C2115" s="3" t="inlineStr">
        <is>
          <t>OH</t>
        </is>
      </c>
      <c r="D2115" s="15" t="n">
        <v>0.1</v>
      </c>
      <c r="E2115" s="4" t="n">
        <v>145000</v>
      </c>
      <c r="F2115" s="4" t="n">
        <v>14500</v>
      </c>
    </row>
    <row r="2116">
      <c r="A2116" s="3" t="inlineStr">
        <is>
          <t>3</t>
        </is>
      </c>
      <c r="B2116" s="3" t="inlineStr">
        <is>
          <t>Kepala tukang</t>
        </is>
      </c>
      <c r="C2116" s="3" t="inlineStr">
        <is>
          <t>OH</t>
        </is>
      </c>
      <c r="D2116" s="15" t="n">
        <v>0.01</v>
      </c>
      <c r="E2116" s="4" t="n">
        <v>175000</v>
      </c>
      <c r="F2116" s="4" t="n">
        <v>1750</v>
      </c>
    </row>
    <row r="2117">
      <c r="A2117" s="3" t="inlineStr">
        <is>
          <t>4</t>
        </is>
      </c>
      <c r="B2117" s="3" t="inlineStr">
        <is>
          <t>Mandor</t>
        </is>
      </c>
      <c r="C2117" s="3" t="inlineStr">
        <is>
          <t>OH</t>
        </is>
      </c>
      <c r="D2117" s="15" t="n">
        <v>0.0033</v>
      </c>
      <c r="E2117" s="4" t="n">
        <v>200000</v>
      </c>
      <c r="F2117" s="4" t="n">
        <v>660</v>
      </c>
    </row>
    <row r="2118">
      <c r="A2118" s="3" t="inlineStr">
        <is>
          <t>1</t>
        </is>
      </c>
      <c r="B2118" s="3" t="inlineStr">
        <is>
          <t>Bata merah</t>
        </is>
      </c>
      <c r="C2118" s="3" t="inlineStr">
        <is>
          <t>buah</t>
        </is>
      </c>
      <c r="D2118" s="15" t="n">
        <v>71.91</v>
      </c>
      <c r="E2118" s="4" t="n">
        <v>700</v>
      </c>
      <c r="F2118" s="4" t="n">
        <v>50337</v>
      </c>
    </row>
    <row r="2119">
      <c r="A2119" s="3" t="inlineStr">
        <is>
          <t>2</t>
        </is>
      </c>
      <c r="B2119" s="3" t="inlineStr">
        <is>
          <t>Semen portland (PC)</t>
        </is>
      </c>
      <c r="C2119" s="3" t="inlineStr">
        <is>
          <t>kg</t>
        </is>
      </c>
      <c r="D2119" s="15" t="n">
        <v>9.68</v>
      </c>
      <c r="E2119" s="4" t="n">
        <v>1300</v>
      </c>
      <c r="F2119" s="4" t="n">
        <v>12584</v>
      </c>
    </row>
    <row r="2120">
      <c r="A2120" s="3" t="inlineStr">
        <is>
          <t>3</t>
        </is>
      </c>
      <c r="B2120" s="3" t="inlineStr">
        <is>
          <t>Pasir pasang (quarry - lokasi pekerjaan)</t>
        </is>
      </c>
      <c r="C2120" s="3" t="inlineStr">
        <is>
          <t>m3</t>
        </is>
      </c>
      <c r="D2120" s="15" t="n">
        <v>0.045</v>
      </c>
      <c r="E2120" s="4" t="n">
        <v>275000</v>
      </c>
      <c r="F2120" s="4" t="n">
        <v>12375</v>
      </c>
    </row>
    <row r="2121">
      <c r="D2121" s="2" t="inlineStr">
        <is>
          <t>SUBTOTAL UPAH</t>
        </is>
      </c>
      <c r="F2121" s="16" t="n">
        <v>0</v>
      </c>
    </row>
    <row r="2122">
      <c r="D2122" s="2" t="inlineStr">
        <is>
          <t>SUBTOTAL BAHAN</t>
        </is>
      </c>
      <c r="F2122" s="16" t="n">
        <v>75296</v>
      </c>
    </row>
    <row r="2123">
      <c r="D2123" s="2" t="inlineStr">
        <is>
          <t>SUBTOTAL ALAT</t>
        </is>
      </c>
      <c r="F2123" s="16" t="n">
        <v>0</v>
      </c>
    </row>
    <row r="2124">
      <c r="E2124" s="2" t="inlineStr">
        <is>
          <t>TOTAL HARGA SATUAN (Inc. Overhead)</t>
        </is>
      </c>
      <c r="F2124" s="17" t="n">
        <v>123426</v>
      </c>
    </row>
    <row r="2126">
      <c r="A2126" s="14" t="inlineStr">
        <is>
          <t>KODE: 3.6.1.10 - Pemasangan 1 m2 dinding bata merah tebal 1/2 batu campuran 1SP : 6PP</t>
        </is>
      </c>
    </row>
    <row r="2127">
      <c r="A2127" s="10" t="inlineStr">
        <is>
          <t>No</t>
        </is>
      </c>
      <c r="B2127" s="10" t="inlineStr">
        <is>
          <t>Uraian Komponen</t>
        </is>
      </c>
      <c r="C2127" s="10" t="inlineStr">
        <is>
          <t>Satuan</t>
        </is>
      </c>
      <c r="D2127" s="10" t="inlineStr">
        <is>
          <t>Koef</t>
        </is>
      </c>
      <c r="E2127" s="10" t="inlineStr">
        <is>
          <t>Harga Satuan (Rp)</t>
        </is>
      </c>
      <c r="F2127" s="10" t="inlineStr">
        <is>
          <t>Jumlah Harga (Rp)</t>
        </is>
      </c>
    </row>
    <row r="2128">
      <c r="A2128" s="3" t="inlineStr">
        <is>
          <t>1</t>
        </is>
      </c>
      <c r="B2128" s="3" t="inlineStr">
        <is>
          <t>Pekerja</t>
        </is>
      </c>
      <c r="C2128" s="3" t="inlineStr">
        <is>
          <t>OH</t>
        </is>
      </c>
      <c r="D2128" s="15" t="n">
        <v>0.2</v>
      </c>
      <c r="E2128" s="4" t="n">
        <v>100000</v>
      </c>
      <c r="F2128" s="4" t="n">
        <v>20000</v>
      </c>
    </row>
    <row r="2129">
      <c r="A2129" s="3" t="inlineStr">
        <is>
          <t>2</t>
        </is>
      </c>
      <c r="B2129" s="3" t="inlineStr">
        <is>
          <t>Tukang batu</t>
        </is>
      </c>
      <c r="C2129" s="3" t="inlineStr">
        <is>
          <t>OH</t>
        </is>
      </c>
      <c r="D2129" s="15" t="n">
        <v>0.1</v>
      </c>
      <c r="E2129" s="4" t="n">
        <v>145000</v>
      </c>
      <c r="F2129" s="4" t="n">
        <v>14500</v>
      </c>
    </row>
    <row r="2130">
      <c r="A2130" s="3" t="inlineStr">
        <is>
          <t>3</t>
        </is>
      </c>
      <c r="B2130" s="3" t="inlineStr">
        <is>
          <t>Kepala tukang</t>
        </is>
      </c>
      <c r="C2130" s="3" t="inlineStr">
        <is>
          <t>OH</t>
        </is>
      </c>
      <c r="D2130" s="15" t="n">
        <v>0.01</v>
      </c>
      <c r="E2130" s="4" t="n">
        <v>175000</v>
      </c>
      <c r="F2130" s="4" t="n">
        <v>1750</v>
      </c>
    </row>
    <row r="2131">
      <c r="A2131" s="3" t="inlineStr">
        <is>
          <t>4</t>
        </is>
      </c>
      <c r="B2131" s="3" t="inlineStr">
        <is>
          <t>Mandor</t>
        </is>
      </c>
      <c r="C2131" s="3" t="inlineStr">
        <is>
          <t>OH</t>
        </is>
      </c>
      <c r="D2131" s="15" t="n">
        <v>0.0033</v>
      </c>
      <c r="E2131" s="4" t="n">
        <v>200000</v>
      </c>
      <c r="F2131" s="4" t="n">
        <v>660</v>
      </c>
    </row>
    <row r="2132">
      <c r="A2132" s="3" t="inlineStr">
        <is>
          <t>1</t>
        </is>
      </c>
      <c r="B2132" s="3" t="inlineStr">
        <is>
          <t>Bata merah</t>
        </is>
      </c>
      <c r="C2132" s="3" t="inlineStr">
        <is>
          <t>buah</t>
        </is>
      </c>
      <c r="D2132" s="15" t="n">
        <v>71.91</v>
      </c>
      <c r="E2132" s="4" t="n">
        <v>700</v>
      </c>
      <c r="F2132" s="4" t="n">
        <v>50337</v>
      </c>
    </row>
    <row r="2133">
      <c r="A2133" s="3" t="inlineStr">
        <is>
          <t>2</t>
        </is>
      </c>
      <c r="B2133" s="3" t="inlineStr">
        <is>
          <t>Semen portland (PC)</t>
        </is>
      </c>
      <c r="C2133" s="3" t="inlineStr">
        <is>
          <t>kg</t>
        </is>
      </c>
      <c r="D2133" s="15" t="n">
        <v>8.32</v>
      </c>
      <c r="E2133" s="4" t="n">
        <v>1300</v>
      </c>
      <c r="F2133" s="4" t="n">
        <v>10816</v>
      </c>
    </row>
    <row r="2134">
      <c r="A2134" s="3" t="inlineStr">
        <is>
          <t>3</t>
        </is>
      </c>
      <c r="B2134" s="3" t="inlineStr">
        <is>
          <t>Pasir pasang (quarry - lokasi pekerjaan)</t>
        </is>
      </c>
      <c r="C2134" s="3" t="inlineStr">
        <is>
          <t>m3</t>
        </is>
      </c>
      <c r="D2134" s="15" t="n">
        <v>0.049</v>
      </c>
      <c r="E2134" s="4" t="n">
        <v>275000</v>
      </c>
      <c r="F2134" s="4" t="n">
        <v>13475</v>
      </c>
    </row>
    <row r="2135">
      <c r="D2135" s="2" t="inlineStr">
        <is>
          <t>SUBTOTAL UPAH</t>
        </is>
      </c>
      <c r="F2135" s="16" t="n">
        <v>0</v>
      </c>
    </row>
    <row r="2136">
      <c r="D2136" s="2" t="inlineStr">
        <is>
          <t>SUBTOTAL BAHAN</t>
        </is>
      </c>
      <c r="F2136" s="16" t="n">
        <v>74628</v>
      </c>
    </row>
    <row r="2137">
      <c r="D2137" s="2" t="inlineStr">
        <is>
          <t>SUBTOTAL ALAT</t>
        </is>
      </c>
      <c r="F2137" s="16" t="n">
        <v>0</v>
      </c>
    </row>
    <row r="2138">
      <c r="E2138" s="2" t="inlineStr">
        <is>
          <t>TOTAL HARGA SATUAN (Inc. Overhead)</t>
        </is>
      </c>
      <c r="F2138" s="17" t="n">
        <v>122691</v>
      </c>
    </row>
    <row r="2140">
      <c r="A2140" s="14" t="inlineStr">
        <is>
          <t>KODE: 3.6.2.1 - Pemasangan 1 m2 dinding conblock HB20 dengan mortar tipe S,fc’ 12,5 MPa (Setara Campuran 1SP : 3PP)</t>
        </is>
      </c>
    </row>
    <row r="2141">
      <c r="A2141" s="10" t="inlineStr">
        <is>
          <t>No</t>
        </is>
      </c>
      <c r="B2141" s="10" t="inlineStr">
        <is>
          <t>Uraian Komponen</t>
        </is>
      </c>
      <c r="C2141" s="10" t="inlineStr">
        <is>
          <t>Satuan</t>
        </is>
      </c>
      <c r="D2141" s="10" t="inlineStr">
        <is>
          <t>Koef</t>
        </is>
      </c>
      <c r="E2141" s="10" t="inlineStr">
        <is>
          <t>Harga Satuan (Rp)</t>
        </is>
      </c>
      <c r="F2141" s="10" t="inlineStr">
        <is>
          <t>Jumlah Harga (Rp)</t>
        </is>
      </c>
    </row>
    <row r="2142">
      <c r="A2142" s="3" t="inlineStr">
        <is>
          <t>1</t>
        </is>
      </c>
      <c r="B2142" s="3" t="inlineStr">
        <is>
          <t>Pekerja</t>
        </is>
      </c>
      <c r="C2142" s="3" t="inlineStr">
        <is>
          <t>OH</t>
        </is>
      </c>
      <c r="D2142" s="15" t="n">
        <v>0.1667</v>
      </c>
      <c r="E2142" s="4" t="n">
        <v>100000</v>
      </c>
      <c r="F2142" s="4" t="n">
        <v>16670</v>
      </c>
    </row>
    <row r="2143">
      <c r="A2143" s="3" t="inlineStr">
        <is>
          <t>2</t>
        </is>
      </c>
      <c r="B2143" s="3" t="inlineStr">
        <is>
          <t>Tukang batu</t>
        </is>
      </c>
      <c r="C2143" s="3" t="inlineStr">
        <is>
          <t>OH</t>
        </is>
      </c>
      <c r="D2143" s="15" t="n">
        <v>0.0833</v>
      </c>
      <c r="E2143" s="4" t="n">
        <v>145000</v>
      </c>
      <c r="F2143" s="4" t="n">
        <v>12078.5</v>
      </c>
    </row>
    <row r="2144">
      <c r="A2144" s="3" t="inlineStr">
        <is>
          <t>3</t>
        </is>
      </c>
      <c r="B2144" s="3" t="inlineStr">
        <is>
          <t>Kepala tukang</t>
        </is>
      </c>
      <c r="C2144" s="3" t="inlineStr">
        <is>
          <t>OH</t>
        </is>
      </c>
      <c r="D2144" s="15" t="n">
        <v>0.0083</v>
      </c>
      <c r="E2144" s="4" t="n">
        <v>175000</v>
      </c>
      <c r="F2144" s="4" t="n">
        <v>1452.5</v>
      </c>
    </row>
    <row r="2145">
      <c r="A2145" s="3" t="inlineStr">
        <is>
          <t>4</t>
        </is>
      </c>
      <c r="B2145" s="3" t="inlineStr">
        <is>
          <t>Mandor</t>
        </is>
      </c>
      <c r="C2145" s="3" t="inlineStr">
        <is>
          <t>OH</t>
        </is>
      </c>
      <c r="D2145" s="15" t="n">
        <v>0.0028</v>
      </c>
      <c r="E2145" s="4" t="n">
        <v>200000</v>
      </c>
      <c r="F2145" s="4" t="n">
        <v>560</v>
      </c>
    </row>
    <row r="2146">
      <c r="A2146" s="3" t="inlineStr">
        <is>
          <t>1</t>
        </is>
      </c>
      <c r="B2146" s="3" t="inlineStr">
        <is>
          <t>HB-20</t>
        </is>
      </c>
      <c r="C2146" s="3" t="inlineStr">
        <is>
          <t>buah</t>
        </is>
      </c>
      <c r="D2146" s="15" t="n">
        <v>14</v>
      </c>
      <c r="E2146" s="4" t="n">
        <v>13000</v>
      </c>
      <c r="F2146" s="4" t="n">
        <v>182000</v>
      </c>
    </row>
    <row r="2147">
      <c r="A2147" s="3" t="inlineStr">
        <is>
          <t>2</t>
        </is>
      </c>
      <c r="B2147" s="3" t="inlineStr">
        <is>
          <t>Semen portland (PC)</t>
        </is>
      </c>
      <c r="C2147" s="3" t="inlineStr">
        <is>
          <t>kg</t>
        </is>
      </c>
      <c r="D2147" s="15" t="n">
        <v>30.32</v>
      </c>
      <c r="E2147" s="4" t="n">
        <v>1300</v>
      </c>
      <c r="F2147" s="4" t="n">
        <v>39416</v>
      </c>
    </row>
    <row r="2148">
      <c r="A2148" s="3" t="inlineStr">
        <is>
          <t>3</t>
        </is>
      </c>
      <c r="B2148" s="3" t="inlineStr">
        <is>
          <t>Pasir pasang (quarry - lokasi pekerjaan)</t>
        </is>
      </c>
      <c r="C2148" s="3" t="inlineStr">
        <is>
          <t>m3</t>
        </is>
      </c>
      <c r="D2148" s="15" t="n">
        <v>0.728</v>
      </c>
      <c r="E2148" s="4" t="n">
        <v>275000</v>
      </c>
      <c r="F2148" s="4" t="n">
        <v>200200</v>
      </c>
    </row>
    <row r="2149">
      <c r="A2149" s="3" t="inlineStr">
        <is>
          <t>4</t>
        </is>
      </c>
      <c r="B2149" s="3" t="inlineStr">
        <is>
          <t>Besi angkur diameter 8</t>
        </is>
      </c>
      <c r="C2149" s="3" t="inlineStr">
        <is>
          <t>kg</t>
        </is>
      </c>
      <c r="D2149" s="15" t="n">
        <v>0.28</v>
      </c>
      <c r="E2149" s="4" t="n">
        <v>35000</v>
      </c>
      <c r="F2149" s="4" t="n">
        <v>9800.000000000002</v>
      </c>
    </row>
    <row r="2150">
      <c r="D2150" s="2" t="inlineStr">
        <is>
          <t>SUBTOTAL UPAH</t>
        </is>
      </c>
      <c r="F2150" s="16" t="n">
        <v>0</v>
      </c>
    </row>
    <row r="2151">
      <c r="D2151" s="2" t="inlineStr">
        <is>
          <t>SUBTOTAL BAHAN</t>
        </is>
      </c>
      <c r="F2151" s="16" t="n">
        <v>431416</v>
      </c>
    </row>
    <row r="2152">
      <c r="D2152" s="2" t="inlineStr">
        <is>
          <t>SUBTOTAL ALAT</t>
        </is>
      </c>
      <c r="F2152" s="16" t="n">
        <v>0</v>
      </c>
    </row>
    <row r="2153">
      <c r="E2153" s="2" t="inlineStr">
        <is>
          <t>TOTAL HARGA SATUAN (Inc. Overhead)</t>
        </is>
      </c>
      <c r="F2153" s="17" t="n">
        <v>508394</v>
      </c>
    </row>
    <row r="2155">
      <c r="A2155" s="14" t="inlineStr">
        <is>
          <t>KODE: 3.6.2.2 - Pemasangan 1 m2 dinding conblock HB20 dengan mortar tipe N,fc’ 5,2 MPa (Setara Campuran 1SP : 4PP)</t>
        </is>
      </c>
    </row>
    <row r="2156">
      <c r="A2156" s="10" t="inlineStr">
        <is>
          <t>No</t>
        </is>
      </c>
      <c r="B2156" s="10" t="inlineStr">
        <is>
          <t>Uraian Komponen</t>
        </is>
      </c>
      <c r="C2156" s="10" t="inlineStr">
        <is>
          <t>Satuan</t>
        </is>
      </c>
      <c r="D2156" s="10" t="inlineStr">
        <is>
          <t>Koef</t>
        </is>
      </c>
      <c r="E2156" s="10" t="inlineStr">
        <is>
          <t>Harga Satuan (Rp)</t>
        </is>
      </c>
      <c r="F2156" s="10" t="inlineStr">
        <is>
          <t>Jumlah Harga (Rp)</t>
        </is>
      </c>
    </row>
    <row r="2157">
      <c r="A2157" s="3" t="inlineStr">
        <is>
          <t>1</t>
        </is>
      </c>
      <c r="B2157" s="3" t="inlineStr">
        <is>
          <t>Pekerja</t>
        </is>
      </c>
      <c r="C2157" s="3" t="inlineStr">
        <is>
          <t>OH</t>
        </is>
      </c>
      <c r="D2157" s="15" t="n">
        <v>0.2</v>
      </c>
      <c r="E2157" s="4" t="n">
        <v>100000</v>
      </c>
      <c r="F2157" s="4" t="n">
        <v>20000</v>
      </c>
    </row>
    <row r="2158">
      <c r="A2158" s="3" t="inlineStr">
        <is>
          <t>2</t>
        </is>
      </c>
      <c r="B2158" s="3" t="inlineStr">
        <is>
          <t>Tukang batu</t>
        </is>
      </c>
      <c r="C2158" s="3" t="inlineStr">
        <is>
          <t>OH</t>
        </is>
      </c>
      <c r="D2158" s="15" t="n">
        <v>0.1</v>
      </c>
      <c r="E2158" s="4" t="n">
        <v>145000</v>
      </c>
      <c r="F2158" s="4" t="n">
        <v>14500</v>
      </c>
    </row>
    <row r="2159">
      <c r="A2159" s="3" t="inlineStr">
        <is>
          <t>3</t>
        </is>
      </c>
      <c r="B2159" s="3" t="inlineStr">
        <is>
          <t>Kepala tukang</t>
        </is>
      </c>
      <c r="C2159" s="3" t="inlineStr">
        <is>
          <t>OH</t>
        </is>
      </c>
      <c r="D2159" s="15" t="n">
        <v>0.01</v>
      </c>
      <c r="E2159" s="4" t="n">
        <v>175000</v>
      </c>
      <c r="F2159" s="4" t="n">
        <v>1750</v>
      </c>
    </row>
    <row r="2160">
      <c r="A2160" s="3" t="inlineStr">
        <is>
          <t>4</t>
        </is>
      </c>
      <c r="B2160" s="3" t="inlineStr">
        <is>
          <t>Mandor</t>
        </is>
      </c>
      <c r="C2160" s="3" t="inlineStr">
        <is>
          <t>OH</t>
        </is>
      </c>
      <c r="D2160" s="15" t="n">
        <v>0.0033</v>
      </c>
      <c r="E2160" s="4" t="n">
        <v>200000</v>
      </c>
      <c r="F2160" s="4" t="n">
        <v>660</v>
      </c>
    </row>
    <row r="2161">
      <c r="A2161" s="3" t="inlineStr">
        <is>
          <t>1</t>
        </is>
      </c>
      <c r="B2161" s="3" t="inlineStr">
        <is>
          <t>HB-20</t>
        </is>
      </c>
      <c r="C2161" s="3" t="inlineStr">
        <is>
          <t>buah</t>
        </is>
      </c>
      <c r="D2161" s="15" t="n">
        <v>14</v>
      </c>
      <c r="E2161" s="4" t="n">
        <v>13000</v>
      </c>
      <c r="F2161" s="4" t="n">
        <v>182000</v>
      </c>
    </row>
    <row r="2162">
      <c r="A2162" s="3" t="inlineStr">
        <is>
          <t>2</t>
        </is>
      </c>
      <c r="B2162" s="3" t="inlineStr">
        <is>
          <t>Semen portland (PC)</t>
        </is>
      </c>
      <c r="C2162" s="3" t="inlineStr">
        <is>
          <t>kg</t>
        </is>
      </c>
      <c r="D2162" s="15" t="n">
        <v>24.26</v>
      </c>
      <c r="E2162" s="4" t="n">
        <v>1300</v>
      </c>
      <c r="F2162" s="4" t="n">
        <v>31538</v>
      </c>
    </row>
    <row r="2163">
      <c r="A2163" s="3" t="inlineStr">
        <is>
          <t>3</t>
        </is>
      </c>
      <c r="B2163" s="3" t="inlineStr">
        <is>
          <t>Pasir pasang (quarry - lokasi pekerjaan)</t>
        </is>
      </c>
      <c r="C2163" s="3" t="inlineStr">
        <is>
          <t>m3</t>
        </is>
      </c>
      <c r="D2163" s="15" t="n">
        <v>0.772</v>
      </c>
      <c r="E2163" s="4" t="n">
        <v>275000</v>
      </c>
      <c r="F2163" s="4" t="n">
        <v>212300</v>
      </c>
    </row>
    <row r="2164">
      <c r="A2164" s="3" t="inlineStr">
        <is>
          <t>4</t>
        </is>
      </c>
      <c r="B2164" s="3" t="inlineStr">
        <is>
          <t>Besi angkur diameter 8</t>
        </is>
      </c>
      <c r="C2164" s="3" t="inlineStr">
        <is>
          <t>kg</t>
        </is>
      </c>
      <c r="D2164" s="15" t="n">
        <v>0.28</v>
      </c>
      <c r="E2164" s="4" t="n">
        <v>35000</v>
      </c>
      <c r="F2164" s="4" t="n">
        <v>9800.000000000002</v>
      </c>
    </row>
    <row r="2165">
      <c r="D2165" s="2" t="inlineStr">
        <is>
          <t>SUBTOTAL UPAH</t>
        </is>
      </c>
      <c r="F2165" s="16" t="n">
        <v>0</v>
      </c>
    </row>
    <row r="2166">
      <c r="D2166" s="2" t="inlineStr">
        <is>
          <t>SUBTOTAL BAHAN</t>
        </is>
      </c>
      <c r="F2166" s="16" t="n">
        <v>435638</v>
      </c>
    </row>
    <row r="2167">
      <c r="D2167" s="2" t="inlineStr">
        <is>
          <t>SUBTOTAL ALAT</t>
        </is>
      </c>
      <c r="F2167" s="16" t="n">
        <v>0</v>
      </c>
    </row>
    <row r="2168">
      <c r="E2168" s="2" t="inlineStr">
        <is>
          <t>TOTAL HARGA SATUAN (Inc. Overhead)</t>
        </is>
      </c>
      <c r="F2168" s="17" t="n">
        <v>519802</v>
      </c>
    </row>
    <row r="2170">
      <c r="A2170" s="14" t="inlineStr">
        <is>
          <t>KODE: 3.6.2.3 - Pemasangan 1 m2 dinding conblock HB15 dengan mortar tipe S,fc’ 12,5 MPa (Setara Campuran 1SP : 3PP)</t>
        </is>
      </c>
    </row>
    <row r="2171">
      <c r="A2171" s="10" t="inlineStr">
        <is>
          <t>No</t>
        </is>
      </c>
      <c r="B2171" s="10" t="inlineStr">
        <is>
          <t>Uraian Komponen</t>
        </is>
      </c>
      <c r="C2171" s="10" t="inlineStr">
        <is>
          <t>Satuan</t>
        </is>
      </c>
      <c r="D2171" s="10" t="inlineStr">
        <is>
          <t>Koef</t>
        </is>
      </c>
      <c r="E2171" s="10" t="inlineStr">
        <is>
          <t>Harga Satuan (Rp)</t>
        </is>
      </c>
      <c r="F2171" s="10" t="inlineStr">
        <is>
          <t>Jumlah Harga (Rp)</t>
        </is>
      </c>
    </row>
    <row r="2172">
      <c r="A2172" s="3" t="inlineStr">
        <is>
          <t>1</t>
        </is>
      </c>
      <c r="B2172" s="3" t="inlineStr">
        <is>
          <t>Pekerja</t>
        </is>
      </c>
      <c r="C2172" s="3" t="inlineStr">
        <is>
          <t>OH</t>
        </is>
      </c>
      <c r="D2172" s="15" t="n">
        <v>0.1667</v>
      </c>
      <c r="E2172" s="4" t="n">
        <v>100000</v>
      </c>
      <c r="F2172" s="4" t="n">
        <v>16670</v>
      </c>
    </row>
    <row r="2173">
      <c r="A2173" s="3" t="inlineStr">
        <is>
          <t>2</t>
        </is>
      </c>
      <c r="B2173" s="3" t="inlineStr">
        <is>
          <t>Tukang batu</t>
        </is>
      </c>
      <c r="C2173" s="3" t="inlineStr">
        <is>
          <t>OH</t>
        </is>
      </c>
      <c r="D2173" s="15" t="n">
        <v>0.0833</v>
      </c>
      <c r="E2173" s="4" t="n">
        <v>145000</v>
      </c>
      <c r="F2173" s="4" t="n">
        <v>12078.5</v>
      </c>
    </row>
    <row r="2174">
      <c r="A2174" s="3" t="inlineStr">
        <is>
          <t>3</t>
        </is>
      </c>
      <c r="B2174" s="3" t="inlineStr">
        <is>
          <t>Kepala tukang</t>
        </is>
      </c>
      <c r="C2174" s="3" t="inlineStr">
        <is>
          <t>OH</t>
        </is>
      </c>
      <c r="D2174" s="15" t="n">
        <v>0.0083</v>
      </c>
      <c r="E2174" s="4" t="n">
        <v>175000</v>
      </c>
      <c r="F2174" s="4" t="n">
        <v>1452.5</v>
      </c>
    </row>
    <row r="2175">
      <c r="A2175" s="3" t="inlineStr">
        <is>
          <t>4</t>
        </is>
      </c>
      <c r="B2175" s="3" t="inlineStr">
        <is>
          <t>Mandor</t>
        </is>
      </c>
      <c r="C2175" s="3" t="inlineStr">
        <is>
          <t>OH</t>
        </is>
      </c>
      <c r="D2175" s="15" t="n">
        <v>0.0028</v>
      </c>
      <c r="E2175" s="4" t="n">
        <v>200000</v>
      </c>
      <c r="F2175" s="4" t="n">
        <v>560</v>
      </c>
    </row>
    <row r="2176">
      <c r="A2176" s="3" t="inlineStr">
        <is>
          <t>1</t>
        </is>
      </c>
      <c r="B2176" s="3" t="inlineStr">
        <is>
          <t>HB-15</t>
        </is>
      </c>
      <c r="C2176" s="3" t="inlineStr">
        <is>
          <t>buah</t>
        </is>
      </c>
      <c r="D2176" s="15" t="n">
        <v>12.5</v>
      </c>
      <c r="E2176" s="4" t="n">
        <v>12000</v>
      </c>
      <c r="F2176" s="4" t="n">
        <v>150000</v>
      </c>
    </row>
    <row r="2177">
      <c r="A2177" s="3" t="inlineStr">
        <is>
          <t>2</t>
        </is>
      </c>
      <c r="B2177" s="3" t="inlineStr">
        <is>
          <t>Semen portland (PC)</t>
        </is>
      </c>
      <c r="C2177" s="3" t="inlineStr">
        <is>
          <t>kg</t>
        </is>
      </c>
      <c r="D2177" s="15" t="n">
        <v>22.74</v>
      </c>
      <c r="E2177" s="4" t="n">
        <v>1300</v>
      </c>
      <c r="F2177" s="4" t="n">
        <v>29562</v>
      </c>
    </row>
    <row r="2178">
      <c r="A2178" s="3" t="inlineStr">
        <is>
          <t>3</t>
        </is>
      </c>
      <c r="B2178" s="3" t="inlineStr">
        <is>
          <t>Pasir pasang (quarry - lokasi pekerjaan)</t>
        </is>
      </c>
      <c r="C2178" s="3" t="inlineStr">
        <is>
          <t>m3</t>
        </is>
      </c>
      <c r="D2178" s="15" t="n">
        <v>0.55</v>
      </c>
      <c r="E2178" s="4" t="n">
        <v>275000</v>
      </c>
      <c r="F2178" s="4" t="n">
        <v>151250</v>
      </c>
    </row>
    <row r="2179">
      <c r="A2179" s="3" t="inlineStr">
        <is>
          <t>4</t>
        </is>
      </c>
      <c r="B2179" s="3" t="inlineStr">
        <is>
          <t>Besi angkur diameter 8</t>
        </is>
      </c>
      <c r="C2179" s="3" t="inlineStr">
        <is>
          <t>kg</t>
        </is>
      </c>
      <c r="D2179" s="15" t="n">
        <v>0.28</v>
      </c>
      <c r="E2179" s="4" t="n">
        <v>35000</v>
      </c>
      <c r="F2179" s="4" t="n">
        <v>9800.000000000002</v>
      </c>
    </row>
    <row r="2180">
      <c r="D2180" s="2" t="inlineStr">
        <is>
          <t>SUBTOTAL UPAH</t>
        </is>
      </c>
      <c r="F2180" s="16" t="n">
        <v>0</v>
      </c>
    </row>
    <row r="2181">
      <c r="D2181" s="2" t="inlineStr">
        <is>
          <t>SUBTOTAL BAHAN</t>
        </is>
      </c>
      <c r="F2181" s="16" t="n">
        <v>340612</v>
      </c>
    </row>
    <row r="2182">
      <c r="D2182" s="2" t="inlineStr">
        <is>
          <t>SUBTOTAL ALAT</t>
        </is>
      </c>
      <c r="F2182" s="16" t="n">
        <v>0</v>
      </c>
    </row>
    <row r="2183">
      <c r="E2183" s="2" t="inlineStr">
        <is>
          <t>TOTAL HARGA SATUAN (Inc. Overhead)</t>
        </is>
      </c>
      <c r="F2183" s="17" t="n">
        <v>408510</v>
      </c>
    </row>
    <row r="2185">
      <c r="A2185" s="14" t="inlineStr">
        <is>
          <t>KODE: 3.6.2.4 - Pemasangan 1 m2 dinding conblock HB15 dengan mortar tipe N,fc’ 5,2 MPa (Setara Campuran 1SP : 4PP)</t>
        </is>
      </c>
    </row>
    <row r="2186">
      <c r="A2186" s="10" t="inlineStr">
        <is>
          <t>No</t>
        </is>
      </c>
      <c r="B2186" s="10" t="inlineStr">
        <is>
          <t>Uraian Komponen</t>
        </is>
      </c>
      <c r="C2186" s="10" t="inlineStr">
        <is>
          <t>Satuan</t>
        </is>
      </c>
      <c r="D2186" s="10" t="inlineStr">
        <is>
          <t>Koef</t>
        </is>
      </c>
      <c r="E2186" s="10" t="inlineStr">
        <is>
          <t>Harga Satuan (Rp)</t>
        </is>
      </c>
      <c r="F2186" s="10" t="inlineStr">
        <is>
          <t>Jumlah Harga (Rp)</t>
        </is>
      </c>
    </row>
    <row r="2187">
      <c r="A2187" s="3" t="inlineStr">
        <is>
          <t>1</t>
        </is>
      </c>
      <c r="B2187" s="3" t="inlineStr">
        <is>
          <t>Pekerja</t>
        </is>
      </c>
      <c r="C2187" s="3" t="inlineStr">
        <is>
          <t>OH</t>
        </is>
      </c>
      <c r="D2187" s="15" t="n">
        <v>0.1667</v>
      </c>
      <c r="E2187" s="4" t="n">
        <v>100000</v>
      </c>
      <c r="F2187" s="4" t="n">
        <v>16670</v>
      </c>
    </row>
    <row r="2188">
      <c r="A2188" s="3" t="inlineStr">
        <is>
          <t>2</t>
        </is>
      </c>
      <c r="B2188" s="3" t="inlineStr">
        <is>
          <t>Tukang batu</t>
        </is>
      </c>
      <c r="C2188" s="3" t="inlineStr">
        <is>
          <t>OH</t>
        </is>
      </c>
      <c r="D2188" s="15" t="n">
        <v>0.0833</v>
      </c>
      <c r="E2188" s="4" t="n">
        <v>145000</v>
      </c>
      <c r="F2188" s="4" t="n">
        <v>12078.5</v>
      </c>
    </row>
    <row r="2189">
      <c r="A2189" s="3" t="inlineStr">
        <is>
          <t>3</t>
        </is>
      </c>
      <c r="B2189" s="3" t="inlineStr">
        <is>
          <t>Kepala tukang</t>
        </is>
      </c>
      <c r="C2189" s="3" t="inlineStr">
        <is>
          <t>OH</t>
        </is>
      </c>
      <c r="D2189" s="15" t="n">
        <v>0.0083</v>
      </c>
      <c r="E2189" s="4" t="n">
        <v>175000</v>
      </c>
      <c r="F2189" s="4" t="n">
        <v>1452.5</v>
      </c>
    </row>
    <row r="2190">
      <c r="A2190" s="3" t="inlineStr">
        <is>
          <t>4</t>
        </is>
      </c>
      <c r="B2190" s="3" t="inlineStr">
        <is>
          <t>Mandor</t>
        </is>
      </c>
      <c r="C2190" s="3" t="inlineStr">
        <is>
          <t>OH</t>
        </is>
      </c>
      <c r="D2190" s="15" t="n">
        <v>0.0028</v>
      </c>
      <c r="E2190" s="4" t="n">
        <v>200000</v>
      </c>
      <c r="F2190" s="4" t="n">
        <v>560</v>
      </c>
    </row>
    <row r="2191">
      <c r="A2191" s="3" t="inlineStr">
        <is>
          <t>1</t>
        </is>
      </c>
      <c r="B2191" s="3" t="inlineStr">
        <is>
          <t>HB-15</t>
        </is>
      </c>
      <c r="C2191" s="3" t="inlineStr">
        <is>
          <t>buah</t>
        </is>
      </c>
      <c r="D2191" s="15" t="n">
        <v>12.5</v>
      </c>
      <c r="E2191" s="4" t="n">
        <v>12000</v>
      </c>
      <c r="F2191" s="4" t="n">
        <v>150000</v>
      </c>
    </row>
    <row r="2192">
      <c r="A2192" s="3" t="inlineStr">
        <is>
          <t>2</t>
        </is>
      </c>
      <c r="B2192" s="3" t="inlineStr">
        <is>
          <t>Semen portland (PC)</t>
        </is>
      </c>
      <c r="C2192" s="3" t="inlineStr">
        <is>
          <t>kg</t>
        </is>
      </c>
      <c r="D2192" s="15" t="n">
        <v>18.2</v>
      </c>
      <c r="E2192" s="4" t="n">
        <v>1300</v>
      </c>
      <c r="F2192" s="4" t="n">
        <v>23660</v>
      </c>
    </row>
    <row r="2193">
      <c r="A2193" s="3" t="inlineStr">
        <is>
          <t>3</t>
        </is>
      </c>
      <c r="B2193" s="3" t="inlineStr">
        <is>
          <t>Pasir pasang (quarry - lokasi pekerjaan)</t>
        </is>
      </c>
      <c r="C2193" s="3" t="inlineStr">
        <is>
          <t>m3</t>
        </is>
      </c>
      <c r="D2193" s="15" t="n">
        <v>0.582</v>
      </c>
      <c r="E2193" s="4" t="n">
        <v>275000</v>
      </c>
      <c r="F2193" s="4" t="n">
        <v>160050</v>
      </c>
    </row>
    <row r="2194">
      <c r="A2194" s="3" t="inlineStr">
        <is>
          <t>4</t>
        </is>
      </c>
      <c r="B2194" s="3" t="inlineStr">
        <is>
          <t>Besi angkur diameter 8</t>
        </is>
      </c>
      <c r="C2194" s="3" t="inlineStr">
        <is>
          <t>kg</t>
        </is>
      </c>
      <c r="D2194" s="15" t="n">
        <v>0.28</v>
      </c>
      <c r="E2194" s="4" t="n">
        <v>35000</v>
      </c>
      <c r="F2194" s="4" t="n">
        <v>9800.000000000002</v>
      </c>
    </row>
    <row r="2195">
      <c r="D2195" s="2" t="inlineStr">
        <is>
          <t>SUBTOTAL UPAH</t>
        </is>
      </c>
      <c r="F2195" s="16" t="n">
        <v>0</v>
      </c>
    </row>
    <row r="2196">
      <c r="D2196" s="2" t="inlineStr">
        <is>
          <t>SUBTOTAL BAHAN</t>
        </is>
      </c>
      <c r="F2196" s="16" t="n">
        <v>343510</v>
      </c>
    </row>
    <row r="2197">
      <c r="D2197" s="2" t="inlineStr">
        <is>
          <t>SUBTOTAL ALAT</t>
        </is>
      </c>
      <c r="F2197" s="16" t="n">
        <v>0</v>
      </c>
    </row>
    <row r="2198">
      <c r="E2198" s="2" t="inlineStr">
        <is>
          <t>TOTAL HARGA SATUAN (Inc. Overhead)</t>
        </is>
      </c>
      <c r="F2198" s="17" t="n">
        <v>411698</v>
      </c>
    </row>
    <row r="2200">
      <c r="A2200" s="14" t="inlineStr">
        <is>
          <t>KODE: 3.6.2.5 - Pemasangan 1 m2 dinding conblock HB10 dengan mortar tipe S,fc’ 12,5 MPa (Setara Campuran 1SP : 3PP)</t>
        </is>
      </c>
    </row>
    <row r="2201">
      <c r="A2201" s="10" t="inlineStr">
        <is>
          <t>No</t>
        </is>
      </c>
      <c r="B2201" s="10" t="inlineStr">
        <is>
          <t>Uraian Komponen</t>
        </is>
      </c>
      <c r="C2201" s="10" t="inlineStr">
        <is>
          <t>Satuan</t>
        </is>
      </c>
      <c r="D2201" s="10" t="inlineStr">
        <is>
          <t>Koef</t>
        </is>
      </c>
      <c r="E2201" s="10" t="inlineStr">
        <is>
          <t>Harga Satuan (Rp)</t>
        </is>
      </c>
      <c r="F2201" s="10" t="inlineStr">
        <is>
          <t>Jumlah Harga (Rp)</t>
        </is>
      </c>
    </row>
    <row r="2202">
      <c r="A2202" s="3" t="inlineStr">
        <is>
          <t>1</t>
        </is>
      </c>
      <c r="B2202" s="3" t="inlineStr">
        <is>
          <t>Pekerja</t>
        </is>
      </c>
      <c r="C2202" s="3" t="inlineStr">
        <is>
          <t>OH</t>
        </is>
      </c>
      <c r="D2202" s="15" t="n">
        <v>0.1667</v>
      </c>
      <c r="E2202" s="4" t="n">
        <v>100000</v>
      </c>
      <c r="F2202" s="4" t="n">
        <v>16670</v>
      </c>
    </row>
    <row r="2203">
      <c r="A2203" s="3" t="inlineStr">
        <is>
          <t>2</t>
        </is>
      </c>
      <c r="B2203" s="3" t="inlineStr">
        <is>
          <t>Tukang batu</t>
        </is>
      </c>
      <c r="C2203" s="3" t="inlineStr">
        <is>
          <t>OH</t>
        </is>
      </c>
      <c r="D2203" s="15" t="n">
        <v>0.0833</v>
      </c>
      <c r="E2203" s="4" t="n">
        <v>145000</v>
      </c>
      <c r="F2203" s="4" t="n">
        <v>12078.5</v>
      </c>
    </row>
    <row r="2204">
      <c r="A2204" s="3" t="inlineStr">
        <is>
          <t>3</t>
        </is>
      </c>
      <c r="B2204" s="3" t="inlineStr">
        <is>
          <t>Kepala tukang</t>
        </is>
      </c>
      <c r="C2204" s="3" t="inlineStr">
        <is>
          <t>OH</t>
        </is>
      </c>
      <c r="D2204" s="15" t="n">
        <v>0.0083</v>
      </c>
      <c r="E2204" s="4" t="n">
        <v>175000</v>
      </c>
      <c r="F2204" s="4" t="n">
        <v>1452.5</v>
      </c>
    </row>
    <row r="2205">
      <c r="A2205" s="3" t="inlineStr">
        <is>
          <t>4</t>
        </is>
      </c>
      <c r="B2205" s="3" t="inlineStr">
        <is>
          <t>Mandor</t>
        </is>
      </c>
      <c r="C2205" s="3" t="inlineStr">
        <is>
          <t>OH</t>
        </is>
      </c>
      <c r="D2205" s="15" t="n">
        <v>0.0028</v>
      </c>
      <c r="E2205" s="4" t="n">
        <v>200000</v>
      </c>
      <c r="F2205" s="4" t="n">
        <v>560</v>
      </c>
    </row>
    <row r="2206">
      <c r="A2206" s="3" t="inlineStr">
        <is>
          <t>1</t>
        </is>
      </c>
      <c r="B2206" s="3" t="inlineStr">
        <is>
          <t>HB-10</t>
        </is>
      </c>
      <c r="C2206" s="3" t="inlineStr">
        <is>
          <t>buah</t>
        </is>
      </c>
      <c r="D2206" s="15" t="n">
        <v>12.5</v>
      </c>
      <c r="E2206" s="4" t="n">
        <v>12000</v>
      </c>
      <c r="F2206" s="4" t="n">
        <v>150000</v>
      </c>
    </row>
    <row r="2207">
      <c r="A2207" s="3" t="inlineStr">
        <is>
          <t>2</t>
        </is>
      </c>
      <c r="B2207" s="3" t="inlineStr">
        <is>
          <t>Semen portland (PC)</t>
        </is>
      </c>
      <c r="C2207" s="3" t="inlineStr">
        <is>
          <t>kg</t>
        </is>
      </c>
      <c r="D2207" s="15" t="n">
        <v>15.16</v>
      </c>
      <c r="E2207" s="4" t="n">
        <v>1300</v>
      </c>
      <c r="F2207" s="4" t="n">
        <v>19708</v>
      </c>
    </row>
    <row r="2208">
      <c r="A2208" s="3" t="inlineStr">
        <is>
          <t>3</t>
        </is>
      </c>
      <c r="B2208" s="3" t="inlineStr">
        <is>
          <t>Pasir pasang (quarry - lokasi pekerjaan)</t>
        </is>
      </c>
      <c r="C2208" s="3" t="inlineStr">
        <is>
          <t>m3</t>
        </is>
      </c>
      <c r="D2208" s="15" t="n">
        <v>0.364</v>
      </c>
      <c r="E2208" s="4" t="n">
        <v>275000</v>
      </c>
      <c r="F2208" s="4" t="n">
        <v>100100</v>
      </c>
    </row>
    <row r="2209">
      <c r="A2209" s="3" t="inlineStr">
        <is>
          <t>4</t>
        </is>
      </c>
      <c r="B2209" s="3" t="inlineStr">
        <is>
          <t>Besi angkur diameter 8</t>
        </is>
      </c>
      <c r="C2209" s="3" t="inlineStr">
        <is>
          <t>kg</t>
        </is>
      </c>
      <c r="D2209" s="15" t="n">
        <v>0.28</v>
      </c>
      <c r="E2209" s="4" t="n">
        <v>35000</v>
      </c>
      <c r="F2209" s="4" t="n">
        <v>9800.000000000002</v>
      </c>
    </row>
    <row r="2210">
      <c r="D2210" s="2" t="inlineStr">
        <is>
          <t>SUBTOTAL UPAH</t>
        </is>
      </c>
      <c r="F2210" s="16" t="n">
        <v>0</v>
      </c>
    </row>
    <row r="2211">
      <c r="D2211" s="2" t="inlineStr">
        <is>
          <t>SUBTOTAL BAHAN</t>
        </is>
      </c>
      <c r="F2211" s="16" t="n">
        <v>279608</v>
      </c>
    </row>
    <row r="2212">
      <c r="D2212" s="2" t="inlineStr">
        <is>
          <t>SUBTOTAL ALAT</t>
        </is>
      </c>
      <c r="F2212" s="16" t="n">
        <v>0</v>
      </c>
    </row>
    <row r="2213">
      <c r="E2213" s="2" t="inlineStr">
        <is>
          <t>TOTAL HARGA SATUAN (Inc. Overhead)</t>
        </is>
      </c>
      <c r="F2213" s="17" t="n">
        <v>341405</v>
      </c>
    </row>
    <row r="2215">
      <c r="A2215" s="14" t="inlineStr">
        <is>
          <t>KODE: 3.6.2.6 - Pemasangan 1 m2 dinding conblock HB10 dengan mortar tipe N,fc’ 5,2 MPa (Setara Campuran 1SP : 4PP)</t>
        </is>
      </c>
    </row>
    <row r="2216">
      <c r="A2216" s="10" t="inlineStr">
        <is>
          <t>No</t>
        </is>
      </c>
      <c r="B2216" s="10" t="inlineStr">
        <is>
          <t>Uraian Komponen</t>
        </is>
      </c>
      <c r="C2216" s="10" t="inlineStr">
        <is>
          <t>Satuan</t>
        </is>
      </c>
      <c r="D2216" s="10" t="inlineStr">
        <is>
          <t>Koef</t>
        </is>
      </c>
      <c r="E2216" s="10" t="inlineStr">
        <is>
          <t>Harga Satuan (Rp)</t>
        </is>
      </c>
      <c r="F2216" s="10" t="inlineStr">
        <is>
          <t>Jumlah Harga (Rp)</t>
        </is>
      </c>
    </row>
    <row r="2217">
      <c r="A2217" s="3" t="inlineStr">
        <is>
          <t>1</t>
        </is>
      </c>
      <c r="B2217" s="3" t="inlineStr">
        <is>
          <t>Pekerja</t>
        </is>
      </c>
      <c r="C2217" s="3" t="inlineStr">
        <is>
          <t>OH</t>
        </is>
      </c>
      <c r="D2217" s="15" t="n">
        <v>0.1667</v>
      </c>
      <c r="E2217" s="4" t="n">
        <v>100000</v>
      </c>
      <c r="F2217" s="4" t="n">
        <v>16670</v>
      </c>
    </row>
    <row r="2218">
      <c r="A2218" s="3" t="inlineStr">
        <is>
          <t>2</t>
        </is>
      </c>
      <c r="B2218" s="3" t="inlineStr">
        <is>
          <t>Tukang batu</t>
        </is>
      </c>
      <c r="C2218" s="3" t="inlineStr">
        <is>
          <t>OH</t>
        </is>
      </c>
      <c r="D2218" s="15" t="n">
        <v>0.0833</v>
      </c>
      <c r="E2218" s="4" t="n">
        <v>145000</v>
      </c>
      <c r="F2218" s="4" t="n">
        <v>12078.5</v>
      </c>
    </row>
    <row r="2219">
      <c r="A2219" s="3" t="inlineStr">
        <is>
          <t>3</t>
        </is>
      </c>
      <c r="B2219" s="3" t="inlineStr">
        <is>
          <t>Kepala tukang</t>
        </is>
      </c>
      <c r="C2219" s="3" t="inlineStr">
        <is>
          <t>OH</t>
        </is>
      </c>
      <c r="D2219" s="15" t="n">
        <v>0.0083</v>
      </c>
      <c r="E2219" s="4" t="n">
        <v>175000</v>
      </c>
      <c r="F2219" s="4" t="n">
        <v>1452.5</v>
      </c>
    </row>
    <row r="2220">
      <c r="A2220" s="3" t="inlineStr">
        <is>
          <t>4</t>
        </is>
      </c>
      <c r="B2220" s="3" t="inlineStr">
        <is>
          <t>Mandor</t>
        </is>
      </c>
      <c r="C2220" s="3" t="inlineStr">
        <is>
          <t>OH</t>
        </is>
      </c>
      <c r="D2220" s="15" t="n">
        <v>0.0028</v>
      </c>
      <c r="E2220" s="4" t="n">
        <v>200000</v>
      </c>
      <c r="F2220" s="4" t="n">
        <v>560</v>
      </c>
    </row>
    <row r="2221">
      <c r="A2221" s="3" t="inlineStr">
        <is>
          <t>1</t>
        </is>
      </c>
      <c r="B2221" s="3" t="inlineStr">
        <is>
          <t>HB-10</t>
        </is>
      </c>
      <c r="C2221" s="3" t="inlineStr">
        <is>
          <t>buah</t>
        </is>
      </c>
      <c r="D2221" s="15" t="n">
        <v>12.5</v>
      </c>
      <c r="E2221" s="4" t="n">
        <v>12000</v>
      </c>
      <c r="F2221" s="4" t="n">
        <v>150000</v>
      </c>
    </row>
    <row r="2222">
      <c r="A2222" s="3" t="inlineStr">
        <is>
          <t>2</t>
        </is>
      </c>
      <c r="B2222" s="3" t="inlineStr">
        <is>
          <t>Semen portland (PC)</t>
        </is>
      </c>
      <c r="C2222" s="3" t="inlineStr">
        <is>
          <t>kg</t>
        </is>
      </c>
      <c r="D2222" s="15" t="n">
        <v>12.13</v>
      </c>
      <c r="E2222" s="4" t="n">
        <v>1300</v>
      </c>
      <c r="F2222" s="4" t="n">
        <v>15769</v>
      </c>
    </row>
    <row r="2223">
      <c r="A2223" s="3" t="inlineStr">
        <is>
          <t>3</t>
        </is>
      </c>
      <c r="B2223" s="3" t="inlineStr">
        <is>
          <t>Pasir pasang (quarry - lokasi pekerjaan)</t>
        </is>
      </c>
      <c r="C2223" s="3" t="inlineStr">
        <is>
          <t>m3</t>
        </is>
      </c>
      <c r="D2223" s="15" t="n">
        <v>0.388</v>
      </c>
      <c r="E2223" s="4" t="n">
        <v>275000</v>
      </c>
      <c r="F2223" s="4" t="n">
        <v>106700</v>
      </c>
    </row>
    <row r="2224">
      <c r="A2224" s="3" t="inlineStr">
        <is>
          <t>4</t>
        </is>
      </c>
      <c r="B2224" s="3" t="inlineStr">
        <is>
          <t>Besi angkur diameter 8</t>
        </is>
      </c>
      <c r="C2224" s="3" t="inlineStr">
        <is>
          <t>kg</t>
        </is>
      </c>
      <c r="D2224" s="15" t="n">
        <v>0.28</v>
      </c>
      <c r="E2224" s="4" t="n">
        <v>35000</v>
      </c>
      <c r="F2224" s="4" t="n">
        <v>9800.000000000002</v>
      </c>
    </row>
    <row r="2225">
      <c r="D2225" s="2" t="inlineStr">
        <is>
          <t>SUBTOTAL UPAH</t>
        </is>
      </c>
      <c r="F2225" s="16" t="n">
        <v>0</v>
      </c>
    </row>
    <row r="2226">
      <c r="D2226" s="2" t="inlineStr">
        <is>
          <t>SUBTOTAL BAHAN</t>
        </is>
      </c>
      <c r="F2226" s="16" t="n">
        <v>282269</v>
      </c>
    </row>
    <row r="2227">
      <c r="D2227" s="2" t="inlineStr">
        <is>
          <t>SUBTOTAL ALAT</t>
        </is>
      </c>
      <c r="F2227" s="16" t="n">
        <v>0</v>
      </c>
    </row>
    <row r="2228">
      <c r="E2228" s="2" t="inlineStr">
        <is>
          <t>TOTAL HARGA SATUAN (Inc. Overhead)</t>
        </is>
      </c>
      <c r="F2228" s="17" t="n">
        <v>344333</v>
      </c>
    </row>
    <row r="2230">
      <c r="A2230" s="14" t="inlineStr">
        <is>
          <t>KODE: 3.6.3.1 - Pemasangan 1 m2 dinding kerawang (rooster) 12x11x24 dengan mortar tipe S,fc’ 12,5 MPa (Setara Campuran 1SP : 3PP)</t>
        </is>
      </c>
    </row>
    <row r="2231">
      <c r="A2231" s="10" t="inlineStr">
        <is>
          <t>No</t>
        </is>
      </c>
      <c r="B2231" s="10" t="inlineStr">
        <is>
          <t>Uraian Komponen</t>
        </is>
      </c>
      <c r="C2231" s="10" t="inlineStr">
        <is>
          <t>Satuan</t>
        </is>
      </c>
      <c r="D2231" s="10" t="inlineStr">
        <is>
          <t>Koef</t>
        </is>
      </c>
      <c r="E2231" s="10" t="inlineStr">
        <is>
          <t>Harga Satuan (Rp)</t>
        </is>
      </c>
      <c r="F2231" s="10" t="inlineStr">
        <is>
          <t>Jumlah Harga (Rp)</t>
        </is>
      </c>
    </row>
    <row r="2232">
      <c r="A2232" s="3" t="inlineStr">
        <is>
          <t>1</t>
        </is>
      </c>
      <c r="B2232" s="3" t="inlineStr">
        <is>
          <t>Pekerja</t>
        </is>
      </c>
      <c r="C2232" s="3" t="inlineStr">
        <is>
          <t>OH</t>
        </is>
      </c>
      <c r="D2232" s="15" t="n">
        <v>0.2</v>
      </c>
      <c r="E2232" s="4" t="n">
        <v>100000</v>
      </c>
      <c r="F2232" s="4" t="n">
        <v>20000</v>
      </c>
    </row>
    <row r="2233">
      <c r="A2233" s="3" t="inlineStr">
        <is>
          <t>2</t>
        </is>
      </c>
      <c r="B2233" s="3" t="inlineStr">
        <is>
          <t>Tukang batu</t>
        </is>
      </c>
      <c r="C2233" s="3" t="inlineStr">
        <is>
          <t>OH</t>
        </is>
      </c>
      <c r="D2233" s="15" t="n">
        <v>0.1</v>
      </c>
      <c r="E2233" s="4" t="n">
        <v>145000</v>
      </c>
      <c r="F2233" s="4" t="n">
        <v>14500</v>
      </c>
    </row>
    <row r="2234">
      <c r="A2234" s="3" t="inlineStr">
        <is>
          <t>3</t>
        </is>
      </c>
      <c r="B2234" s="3" t="inlineStr">
        <is>
          <t>Kepala tukang</t>
        </is>
      </c>
      <c r="C2234" s="3" t="inlineStr">
        <is>
          <t>OH</t>
        </is>
      </c>
      <c r="D2234" s="15" t="n">
        <v>0.01</v>
      </c>
      <c r="E2234" s="4" t="n">
        <v>175000</v>
      </c>
      <c r="F2234" s="4" t="n">
        <v>1750</v>
      </c>
    </row>
    <row r="2235">
      <c r="A2235" s="3" t="inlineStr">
        <is>
          <t>4</t>
        </is>
      </c>
      <c r="B2235" s="3" t="inlineStr">
        <is>
          <t>Mandor</t>
        </is>
      </c>
      <c r="C2235" s="3" t="inlineStr">
        <is>
          <t>OH</t>
        </is>
      </c>
      <c r="D2235" s="15" t="n">
        <v>0.0033</v>
      </c>
      <c r="E2235" s="4" t="n">
        <v>200000</v>
      </c>
      <c r="F2235" s="4" t="n">
        <v>660</v>
      </c>
    </row>
    <row r="2236">
      <c r="A2236" s="3" t="inlineStr">
        <is>
          <t>1</t>
        </is>
      </c>
      <c r="B2236" s="3" t="inlineStr">
        <is>
          <t>Bata rooster</t>
        </is>
      </c>
      <c r="C2236" s="3" t="inlineStr">
        <is>
          <t>buah</t>
        </is>
      </c>
      <c r="D2236" s="15" t="n">
        <v>36.46</v>
      </c>
      <c r="E2236" s="4" t="n">
        <v>15000</v>
      </c>
      <c r="F2236" s="4" t="n">
        <v>546900</v>
      </c>
    </row>
    <row r="2237">
      <c r="A2237" s="3" t="inlineStr">
        <is>
          <t>2</t>
        </is>
      </c>
      <c r="B2237" s="3" t="inlineStr">
        <is>
          <t>Semen portland (PC)</t>
        </is>
      </c>
      <c r="C2237" s="3" t="inlineStr">
        <is>
          <t>kg</t>
        </is>
      </c>
      <c r="D2237" s="15" t="n">
        <v>14</v>
      </c>
      <c r="E2237" s="4" t="n">
        <v>1300</v>
      </c>
      <c r="F2237" s="4" t="n">
        <v>18200</v>
      </c>
    </row>
    <row r="2238">
      <c r="A2238" s="3" t="inlineStr">
        <is>
          <t>3</t>
        </is>
      </c>
      <c r="B2238" s="3" t="inlineStr">
        <is>
          <t>Pasir pasang (quarry - lokasi pekerjaan)</t>
        </is>
      </c>
      <c r="C2238" s="3" t="inlineStr">
        <is>
          <t>m3</t>
        </is>
      </c>
      <c r="D2238" s="15" t="n">
        <v>0.035</v>
      </c>
      <c r="E2238" s="4" t="n">
        <v>275000</v>
      </c>
      <c r="F2238" s="4" t="n">
        <v>9625.000000000002</v>
      </c>
    </row>
    <row r="2239">
      <c r="D2239" s="2" t="inlineStr">
        <is>
          <t>SUBTOTAL UPAH</t>
        </is>
      </c>
      <c r="F2239" s="16" t="n">
        <v>0</v>
      </c>
    </row>
    <row r="2240">
      <c r="D2240" s="2" t="inlineStr">
        <is>
          <t>SUBTOTAL BAHAN</t>
        </is>
      </c>
      <c r="F2240" s="16" t="n">
        <v>574725</v>
      </c>
    </row>
    <row r="2241">
      <c r="D2241" s="2" t="inlineStr">
        <is>
          <t>SUBTOTAL ALAT</t>
        </is>
      </c>
      <c r="F2241" s="16" t="n">
        <v>0</v>
      </c>
    </row>
    <row r="2242">
      <c r="E2242" s="2" t="inlineStr">
        <is>
          <t>TOTAL HARGA SATUAN (Inc. Overhead)</t>
        </is>
      </c>
      <c r="F2242" s="17" t="n">
        <v>672798</v>
      </c>
    </row>
    <row r="2244">
      <c r="A2244" s="14" t="inlineStr">
        <is>
          <t>KODE: 3.6.3.2 - Pemasangan 1 m2 dinding kerawang (rooster) 12x11x24 dengan mortar tipe N,fc’ 5,2 MPa (Setara Campuran 1SP : 4PP)</t>
        </is>
      </c>
    </row>
    <row r="2245">
      <c r="A2245" s="10" t="inlineStr">
        <is>
          <t>No</t>
        </is>
      </c>
      <c r="B2245" s="10" t="inlineStr">
        <is>
          <t>Uraian Komponen</t>
        </is>
      </c>
      <c r="C2245" s="10" t="inlineStr">
        <is>
          <t>Satuan</t>
        </is>
      </c>
      <c r="D2245" s="10" t="inlineStr">
        <is>
          <t>Koef</t>
        </is>
      </c>
      <c r="E2245" s="10" t="inlineStr">
        <is>
          <t>Harga Satuan (Rp)</t>
        </is>
      </c>
      <c r="F2245" s="10" t="inlineStr">
        <is>
          <t>Jumlah Harga (Rp)</t>
        </is>
      </c>
    </row>
    <row r="2246">
      <c r="A2246" s="3" t="inlineStr">
        <is>
          <t>1</t>
        </is>
      </c>
      <c r="B2246" s="3" t="inlineStr">
        <is>
          <t>Pekerja</t>
        </is>
      </c>
      <c r="C2246" s="3" t="inlineStr">
        <is>
          <t>OH</t>
        </is>
      </c>
      <c r="D2246" s="15" t="n">
        <v>0.2</v>
      </c>
      <c r="E2246" s="4" t="n">
        <v>100000</v>
      </c>
      <c r="F2246" s="4" t="n">
        <v>20000</v>
      </c>
    </row>
    <row r="2247">
      <c r="A2247" s="3" t="inlineStr">
        <is>
          <t>2</t>
        </is>
      </c>
      <c r="B2247" s="3" t="inlineStr">
        <is>
          <t>Tukang batu</t>
        </is>
      </c>
      <c r="C2247" s="3" t="inlineStr">
        <is>
          <t>OH</t>
        </is>
      </c>
      <c r="D2247" s="15" t="n">
        <v>0.1</v>
      </c>
      <c r="E2247" s="4" t="n">
        <v>145000</v>
      </c>
      <c r="F2247" s="4" t="n">
        <v>14500</v>
      </c>
    </row>
    <row r="2248">
      <c r="A2248" s="3" t="inlineStr">
        <is>
          <t>3</t>
        </is>
      </c>
      <c r="B2248" s="3" t="inlineStr">
        <is>
          <t>Kepala tukang</t>
        </is>
      </c>
      <c r="C2248" s="3" t="inlineStr">
        <is>
          <t>OH</t>
        </is>
      </c>
      <c r="D2248" s="15" t="n">
        <v>0.01</v>
      </c>
      <c r="E2248" s="4" t="n">
        <v>175000</v>
      </c>
      <c r="F2248" s="4" t="n">
        <v>1750</v>
      </c>
    </row>
    <row r="2249">
      <c r="A2249" s="3" t="inlineStr">
        <is>
          <t>4</t>
        </is>
      </c>
      <c r="B2249" s="3" t="inlineStr">
        <is>
          <t>Mandor</t>
        </is>
      </c>
      <c r="C2249" s="3" t="inlineStr">
        <is>
          <t>OH</t>
        </is>
      </c>
      <c r="D2249" s="15" t="n">
        <v>0.0033</v>
      </c>
      <c r="E2249" s="4" t="n">
        <v>200000</v>
      </c>
      <c r="F2249" s="4" t="n">
        <v>660</v>
      </c>
    </row>
    <row r="2250">
      <c r="A2250" s="3" t="inlineStr">
        <is>
          <t>1</t>
        </is>
      </c>
      <c r="B2250" s="3" t="inlineStr">
        <is>
          <t>Bata rooster</t>
        </is>
      </c>
      <c r="C2250" s="3" t="inlineStr">
        <is>
          <t>buah</t>
        </is>
      </c>
      <c r="D2250" s="15" t="n">
        <v>36.46</v>
      </c>
      <c r="E2250" s="4" t="n">
        <v>15000</v>
      </c>
      <c r="F2250" s="4" t="n">
        <v>546900</v>
      </c>
    </row>
    <row r="2251">
      <c r="A2251" s="3" t="inlineStr">
        <is>
          <t>2</t>
        </is>
      </c>
      <c r="B2251" s="3" t="inlineStr">
        <is>
          <t>Semen portland (PC)</t>
        </is>
      </c>
      <c r="C2251" s="3" t="inlineStr">
        <is>
          <t>kg</t>
        </is>
      </c>
      <c r="D2251" s="15" t="n">
        <v>11</v>
      </c>
      <c r="E2251" s="4" t="n">
        <v>1300</v>
      </c>
      <c r="F2251" s="4" t="n">
        <v>14300</v>
      </c>
    </row>
    <row r="2252">
      <c r="A2252" s="3" t="inlineStr">
        <is>
          <t>3</t>
        </is>
      </c>
      <c r="B2252" s="3" t="inlineStr">
        <is>
          <t>Pasir pasang (quarry - lokasi pekerjaan)</t>
        </is>
      </c>
      <c r="C2252" s="3" t="inlineStr">
        <is>
          <t>m3</t>
        </is>
      </c>
      <c r="D2252" s="15" t="n">
        <v>0.035</v>
      </c>
      <c r="E2252" s="4" t="n">
        <v>275000</v>
      </c>
      <c r="F2252" s="4" t="n">
        <v>9625.000000000002</v>
      </c>
    </row>
    <row r="2253">
      <c r="D2253" s="2" t="inlineStr">
        <is>
          <t>SUBTOTAL UPAH</t>
        </is>
      </c>
      <c r="F2253" s="16" t="n">
        <v>0</v>
      </c>
    </row>
    <row r="2254">
      <c r="D2254" s="2" t="inlineStr">
        <is>
          <t>SUBTOTAL BAHAN</t>
        </is>
      </c>
      <c r="F2254" s="16" t="n">
        <v>570825</v>
      </c>
    </row>
    <row r="2255">
      <c r="D2255" s="2" t="inlineStr">
        <is>
          <t>SUBTOTAL ALAT</t>
        </is>
      </c>
      <c r="F2255" s="16" t="n">
        <v>0</v>
      </c>
    </row>
    <row r="2256">
      <c r="E2256" s="2" t="inlineStr">
        <is>
          <t>TOTAL HARGA SATUAN (Inc. Overhead)</t>
        </is>
      </c>
      <c r="F2256" s="17" t="n">
        <v>668508</v>
      </c>
    </row>
    <row r="2258">
      <c r="A2258" s="14" t="inlineStr">
        <is>
          <t>KODE: 3.6.3.3 - Pemasangan 1 m2 dinding bata berongga ekspose 12x11x24 dengan mortar tipe S,fc’ 12,5 MPa (Setara Campuran 1SP : 3PP)</t>
        </is>
      </c>
    </row>
    <row r="2259">
      <c r="A2259" s="10" t="inlineStr">
        <is>
          <t>No</t>
        </is>
      </c>
      <c r="B2259" s="10" t="inlineStr">
        <is>
          <t>Uraian Komponen</t>
        </is>
      </c>
      <c r="C2259" s="10" t="inlineStr">
        <is>
          <t>Satuan</t>
        </is>
      </c>
      <c r="D2259" s="10" t="inlineStr">
        <is>
          <t>Koef</t>
        </is>
      </c>
      <c r="E2259" s="10" t="inlineStr">
        <is>
          <t>Harga Satuan (Rp)</t>
        </is>
      </c>
      <c r="F2259" s="10" t="inlineStr">
        <is>
          <t>Jumlah Harga (Rp)</t>
        </is>
      </c>
    </row>
    <row r="2260">
      <c r="A2260" s="3" t="inlineStr">
        <is>
          <t>1</t>
        </is>
      </c>
      <c r="B2260" s="3" t="inlineStr">
        <is>
          <t>Pekerja</t>
        </is>
      </c>
      <c r="C2260" s="3" t="inlineStr">
        <is>
          <t>OH</t>
        </is>
      </c>
      <c r="D2260" s="15" t="n">
        <v>0.3</v>
      </c>
      <c r="E2260" s="4" t="n">
        <v>100000</v>
      </c>
      <c r="F2260" s="4" t="n">
        <v>30000</v>
      </c>
    </row>
    <row r="2261">
      <c r="A2261" s="3" t="inlineStr">
        <is>
          <t>2</t>
        </is>
      </c>
      <c r="B2261" s="3" t="inlineStr">
        <is>
          <t>Tukang batu</t>
        </is>
      </c>
      <c r="C2261" s="3" t="inlineStr">
        <is>
          <t>OH</t>
        </is>
      </c>
      <c r="D2261" s="15" t="n">
        <v>0.15</v>
      </c>
      <c r="E2261" s="4" t="n">
        <v>145000</v>
      </c>
      <c r="F2261" s="4" t="n">
        <v>21750</v>
      </c>
    </row>
    <row r="2262">
      <c r="A2262" s="3" t="inlineStr">
        <is>
          <t>3</t>
        </is>
      </c>
      <c r="B2262" s="3" t="inlineStr">
        <is>
          <t>Kepala tukang</t>
        </is>
      </c>
      <c r="C2262" s="3" t="inlineStr">
        <is>
          <t>OH</t>
        </is>
      </c>
      <c r="D2262" s="15" t="n">
        <v>0.015</v>
      </c>
      <c r="E2262" s="4" t="n">
        <v>175000</v>
      </c>
      <c r="F2262" s="4" t="n">
        <v>2625</v>
      </c>
    </row>
    <row r="2263">
      <c r="A2263" s="3" t="inlineStr">
        <is>
          <t>4</t>
        </is>
      </c>
      <c r="B2263" s="3" t="inlineStr">
        <is>
          <t>Mandor</t>
        </is>
      </c>
      <c r="C2263" s="3" t="inlineStr">
        <is>
          <t>OH</t>
        </is>
      </c>
      <c r="D2263" s="15" t="n">
        <v>0.005</v>
      </c>
      <c r="E2263" s="4" t="n">
        <v>200000</v>
      </c>
      <c r="F2263" s="4" t="n">
        <v>1000</v>
      </c>
    </row>
    <row r="2264">
      <c r="A2264" s="3" t="inlineStr">
        <is>
          <t>1</t>
        </is>
      </c>
      <c r="B2264" s="3" t="inlineStr">
        <is>
          <t>Bata Berongga Uk. 12x11x24</t>
        </is>
      </c>
      <c r="C2264" s="3" t="inlineStr">
        <is>
          <t>buah</t>
        </is>
      </c>
      <c r="D2264" s="15" t="n">
        <v>36.46</v>
      </c>
      <c r="E2264" s="4" t="n">
        <v>15000</v>
      </c>
      <c r="F2264" s="4" t="n">
        <v>546900</v>
      </c>
    </row>
    <row r="2265">
      <c r="A2265" s="3" t="inlineStr">
        <is>
          <t>2</t>
        </is>
      </c>
      <c r="B2265" s="3" t="inlineStr">
        <is>
          <t>Semen portland (PC)</t>
        </is>
      </c>
      <c r="C2265" s="3" t="inlineStr">
        <is>
          <t>kg</t>
        </is>
      </c>
      <c r="D2265" s="15" t="n">
        <v>14</v>
      </c>
      <c r="E2265" s="4" t="n">
        <v>1300</v>
      </c>
      <c r="F2265" s="4" t="n">
        <v>18200</v>
      </c>
    </row>
    <row r="2266">
      <c r="A2266" s="3" t="inlineStr">
        <is>
          <t>3</t>
        </is>
      </c>
      <c r="B2266" s="3" t="inlineStr">
        <is>
          <t>Pasir pasang (quarry - lokasi pekerjaan)</t>
        </is>
      </c>
      <c r="C2266" s="3" t="inlineStr">
        <is>
          <t>m3</t>
        </is>
      </c>
      <c r="D2266" s="15" t="n">
        <v>0.032</v>
      </c>
      <c r="E2266" s="4" t="n">
        <v>275000</v>
      </c>
      <c r="F2266" s="4" t="n">
        <v>8800</v>
      </c>
    </row>
    <row r="2267">
      <c r="D2267" s="2" t="inlineStr">
        <is>
          <t>SUBTOTAL UPAH</t>
        </is>
      </c>
      <c r="F2267" s="16" t="n">
        <v>0</v>
      </c>
    </row>
    <row r="2268">
      <c r="D2268" s="2" t="inlineStr">
        <is>
          <t>SUBTOTAL BAHAN</t>
        </is>
      </c>
      <c r="F2268" s="16" t="n">
        <v>573900</v>
      </c>
    </row>
    <row r="2269">
      <c r="D2269" s="2" t="inlineStr">
        <is>
          <t>SUBTOTAL ALAT</t>
        </is>
      </c>
      <c r="F2269" s="16" t="n">
        <v>0</v>
      </c>
    </row>
    <row r="2270">
      <c r="E2270" s="2" t="inlineStr">
        <is>
          <t>TOTAL HARGA SATUAN (Inc. Overhead)</t>
        </is>
      </c>
      <c r="F2270" s="17" t="n">
        <v>692202</v>
      </c>
    </row>
    <row r="2272">
      <c r="A2272" s="14" t="inlineStr">
        <is>
          <t>KODE: 3.6.3.4 - Pemasangan 1 m2 glass block 20x20 cm, 1PC : 3PP</t>
        </is>
      </c>
    </row>
    <row r="2273">
      <c r="A2273" s="10" t="inlineStr">
        <is>
          <t>No</t>
        </is>
      </c>
      <c r="B2273" s="10" t="inlineStr">
        <is>
          <t>Uraian Komponen</t>
        </is>
      </c>
      <c r="C2273" s="10" t="inlineStr">
        <is>
          <t>Satuan</t>
        </is>
      </c>
      <c r="D2273" s="10" t="inlineStr">
        <is>
          <t>Koef</t>
        </is>
      </c>
      <c r="E2273" s="10" t="inlineStr">
        <is>
          <t>Harga Satuan (Rp)</t>
        </is>
      </c>
      <c r="F2273" s="10" t="inlineStr">
        <is>
          <t>Jumlah Harga (Rp)</t>
        </is>
      </c>
    </row>
    <row r="2274">
      <c r="A2274" s="3" t="inlineStr">
        <is>
          <t>1</t>
        </is>
      </c>
      <c r="B2274" s="3" t="inlineStr">
        <is>
          <t>Pekerja</t>
        </is>
      </c>
      <c r="C2274" s="3" t="inlineStr">
        <is>
          <t>OH</t>
        </is>
      </c>
      <c r="D2274" s="15" t="n">
        <v>0.2</v>
      </c>
      <c r="E2274" s="4" t="n">
        <v>100000</v>
      </c>
      <c r="F2274" s="4" t="n">
        <v>20000</v>
      </c>
    </row>
    <row r="2275">
      <c r="A2275" s="3" t="inlineStr">
        <is>
          <t>2</t>
        </is>
      </c>
      <c r="B2275" s="3" t="inlineStr">
        <is>
          <t>Tukang batu</t>
        </is>
      </c>
      <c r="C2275" s="3" t="inlineStr">
        <is>
          <t>OH</t>
        </is>
      </c>
      <c r="D2275" s="15" t="n">
        <v>0.1</v>
      </c>
      <c r="E2275" s="4" t="n">
        <v>145000</v>
      </c>
      <c r="F2275" s="4" t="n">
        <v>14500</v>
      </c>
    </row>
    <row r="2276">
      <c r="A2276" s="3" t="inlineStr">
        <is>
          <t>3</t>
        </is>
      </c>
      <c r="B2276" s="3" t="inlineStr">
        <is>
          <t>Kepala tukang</t>
        </is>
      </c>
      <c r="C2276" s="3" t="inlineStr">
        <is>
          <t>OH</t>
        </is>
      </c>
      <c r="D2276" s="15" t="n">
        <v>0.01</v>
      </c>
      <c r="E2276" s="4" t="n">
        <v>175000</v>
      </c>
      <c r="F2276" s="4" t="n">
        <v>1750</v>
      </c>
    </row>
    <row r="2277">
      <c r="A2277" s="3" t="inlineStr">
        <is>
          <t>4</t>
        </is>
      </c>
      <c r="B2277" s="3" t="inlineStr">
        <is>
          <t>Mandor</t>
        </is>
      </c>
      <c r="C2277" s="3" t="inlineStr">
        <is>
          <t>OH</t>
        </is>
      </c>
      <c r="D2277" s="15" t="n">
        <v>0.0033</v>
      </c>
      <c r="E2277" s="4" t="n">
        <v>200000</v>
      </c>
      <c r="F2277" s="4" t="n">
        <v>660</v>
      </c>
    </row>
    <row r="2278">
      <c r="A2278" s="3" t="inlineStr">
        <is>
          <t>1</t>
        </is>
      </c>
      <c r="B2278" s="3" t="inlineStr">
        <is>
          <t>Glass block 20x20 cm</t>
        </is>
      </c>
      <c r="C2278" s="3" t="inlineStr">
        <is>
          <t>buah</t>
        </is>
      </c>
      <c r="D2278" s="15" t="n">
        <v>26.25</v>
      </c>
      <c r="E2278" s="4" t="n">
        <v>2500</v>
      </c>
      <c r="F2278" s="4" t="n">
        <v>65625</v>
      </c>
    </row>
    <row r="2279">
      <c r="A2279" s="3" t="inlineStr">
        <is>
          <t>2</t>
        </is>
      </c>
      <c r="B2279" s="3" t="inlineStr">
        <is>
          <t>Semen portland (pc)</t>
        </is>
      </c>
      <c r="C2279" s="3" t="inlineStr">
        <is>
          <t>kg</t>
        </is>
      </c>
      <c r="D2279" s="15" t="n">
        <v>14</v>
      </c>
      <c r="E2279" s="4" t="n">
        <v>1300</v>
      </c>
      <c r="F2279" s="4" t="n">
        <v>18200</v>
      </c>
    </row>
    <row r="2280">
      <c r="A2280" s="3" t="inlineStr">
        <is>
          <t>3</t>
        </is>
      </c>
      <c r="B2280" s="3" t="inlineStr">
        <is>
          <t>Pasir pasang (quarry - lokasi pekerjaan)</t>
        </is>
      </c>
      <c r="C2280" s="3" t="inlineStr">
        <is>
          <t>m3</t>
        </is>
      </c>
      <c r="D2280" s="15" t="n">
        <v>0.032</v>
      </c>
      <c r="E2280" s="4" t="n">
        <v>275000</v>
      </c>
      <c r="F2280" s="4" t="n">
        <v>8800</v>
      </c>
    </row>
    <row r="2281">
      <c r="D2281" s="2" t="inlineStr">
        <is>
          <t>SUBTOTAL UPAH</t>
        </is>
      </c>
      <c r="F2281" s="16" t="n">
        <v>0</v>
      </c>
    </row>
    <row r="2282">
      <c r="D2282" s="2" t="inlineStr">
        <is>
          <t>SUBTOTAL BAHAN</t>
        </is>
      </c>
      <c r="F2282" s="16" t="n">
        <v>92625</v>
      </c>
    </row>
    <row r="2283">
      <c r="D2283" s="2" t="inlineStr">
        <is>
          <t>SUBTOTAL ALAT</t>
        </is>
      </c>
      <c r="F2283" s="16" t="n">
        <v>0</v>
      </c>
    </row>
    <row r="2284">
      <c r="E2284" s="2" t="inlineStr">
        <is>
          <t>TOTAL HARGA SATUAN (Inc. Overhead)</t>
        </is>
      </c>
      <c r="F2284" s="17" t="n">
        <v>142488</v>
      </c>
    </row>
    <row r="2286">
      <c r="A2286" s="14" t="inlineStr">
        <is>
          <t>KODE: 3.6.3.5 - Pemasangan 1 m2 dinding kerawang (rooster) 20x20 (Setara Campuran 1SP : 3PP)</t>
        </is>
      </c>
    </row>
    <row r="2287">
      <c r="A2287" s="10" t="inlineStr">
        <is>
          <t>No</t>
        </is>
      </c>
      <c r="B2287" s="10" t="inlineStr">
        <is>
          <t>Uraian Komponen</t>
        </is>
      </c>
      <c r="C2287" s="10" t="inlineStr">
        <is>
          <t>Satuan</t>
        </is>
      </c>
      <c r="D2287" s="10" t="inlineStr">
        <is>
          <t>Koef</t>
        </is>
      </c>
      <c r="E2287" s="10" t="inlineStr">
        <is>
          <t>Harga Satuan (Rp)</t>
        </is>
      </c>
      <c r="F2287" s="10" t="inlineStr">
        <is>
          <t>Jumlah Harga (Rp)</t>
        </is>
      </c>
    </row>
    <row r="2288">
      <c r="A2288" s="3" t="inlineStr">
        <is>
          <t>1</t>
        </is>
      </c>
      <c r="B2288" s="3" t="inlineStr">
        <is>
          <t>Pekerja</t>
        </is>
      </c>
      <c r="C2288" s="3" t="inlineStr">
        <is>
          <t>OH</t>
        </is>
      </c>
      <c r="D2288" s="15" t="n">
        <v>0.2</v>
      </c>
      <c r="E2288" s="4" t="n">
        <v>100000</v>
      </c>
      <c r="F2288" s="4" t="n">
        <v>20000</v>
      </c>
    </row>
    <row r="2289">
      <c r="A2289" s="3" t="inlineStr">
        <is>
          <t>2</t>
        </is>
      </c>
      <c r="B2289" s="3" t="inlineStr">
        <is>
          <t>Tukang batu</t>
        </is>
      </c>
      <c r="C2289" s="3" t="inlineStr">
        <is>
          <t>OH</t>
        </is>
      </c>
      <c r="D2289" s="15" t="n">
        <v>0.1</v>
      </c>
      <c r="E2289" s="4" t="n">
        <v>145000</v>
      </c>
      <c r="F2289" s="4" t="n">
        <v>14500</v>
      </c>
    </row>
    <row r="2290">
      <c r="A2290" s="3" t="inlineStr">
        <is>
          <t>3</t>
        </is>
      </c>
      <c r="B2290" s="3" t="inlineStr">
        <is>
          <t>Kepala tukang</t>
        </is>
      </c>
      <c r="C2290" s="3" t="inlineStr">
        <is>
          <t>OH</t>
        </is>
      </c>
      <c r="D2290" s="15" t="n">
        <v>0.01</v>
      </c>
      <c r="E2290" s="4" t="n">
        <v>175000</v>
      </c>
      <c r="F2290" s="4" t="n">
        <v>1750</v>
      </c>
    </row>
    <row r="2291">
      <c r="A2291" s="3" t="inlineStr">
        <is>
          <t>4</t>
        </is>
      </c>
      <c r="B2291" s="3" t="inlineStr">
        <is>
          <t>Mandor</t>
        </is>
      </c>
      <c r="C2291" s="3" t="inlineStr">
        <is>
          <t>OH</t>
        </is>
      </c>
      <c r="D2291" s="15" t="n">
        <v>0.0033</v>
      </c>
      <c r="E2291" s="4" t="n">
        <v>200000</v>
      </c>
      <c r="F2291" s="4" t="n">
        <v>660</v>
      </c>
    </row>
    <row r="2292">
      <c r="A2292" s="3" t="inlineStr">
        <is>
          <t>1</t>
        </is>
      </c>
      <c r="B2292" s="3" t="inlineStr">
        <is>
          <t>Bata rooster</t>
        </is>
      </c>
      <c r="C2292" s="3" t="inlineStr">
        <is>
          <t>buah</t>
        </is>
      </c>
      <c r="D2292" s="15" t="n">
        <v>26.25</v>
      </c>
      <c r="E2292" s="4" t="n">
        <v>15000</v>
      </c>
      <c r="F2292" s="4" t="n">
        <v>393750</v>
      </c>
    </row>
    <row r="2293">
      <c r="A2293" s="3" t="inlineStr">
        <is>
          <t>2</t>
        </is>
      </c>
      <c r="B2293" s="3" t="inlineStr">
        <is>
          <t>Semen portland (PC)</t>
        </is>
      </c>
      <c r="C2293" s="3" t="inlineStr">
        <is>
          <t>kg</t>
        </is>
      </c>
      <c r="D2293" s="15" t="n">
        <v>14</v>
      </c>
      <c r="E2293" s="4" t="n">
        <v>1300</v>
      </c>
      <c r="F2293" s="4" t="n">
        <v>18200</v>
      </c>
    </row>
    <row r="2294">
      <c r="A2294" s="3" t="inlineStr">
        <is>
          <t>3</t>
        </is>
      </c>
      <c r="B2294" s="3" t="inlineStr">
        <is>
          <t>Pasir pasang (quarry - lokasi pekerjaan)</t>
        </is>
      </c>
      <c r="C2294" s="3" t="inlineStr">
        <is>
          <t>m3</t>
        </is>
      </c>
      <c r="D2294" s="15" t="n">
        <v>0.032</v>
      </c>
      <c r="E2294" s="4" t="n">
        <v>275000</v>
      </c>
      <c r="F2294" s="4" t="n">
        <v>8800</v>
      </c>
    </row>
    <row r="2295">
      <c r="D2295" s="2" t="inlineStr">
        <is>
          <t>SUBTOTAL UPAH</t>
        </is>
      </c>
      <c r="F2295" s="16" t="n">
        <v>0</v>
      </c>
    </row>
    <row r="2296">
      <c r="D2296" s="2" t="inlineStr">
        <is>
          <t>SUBTOTAL BAHAN</t>
        </is>
      </c>
      <c r="F2296" s="16" t="n">
        <v>420750</v>
      </c>
    </row>
    <row r="2297">
      <c r="D2297" s="2" t="inlineStr">
        <is>
          <t>SUBTOTAL ALAT</t>
        </is>
      </c>
      <c r="F2297" s="16" t="n">
        <v>0</v>
      </c>
    </row>
    <row r="2298">
      <c r="E2298" s="2" t="inlineStr">
        <is>
          <t>TOTAL HARGA SATUAN (Inc. Overhead)</t>
        </is>
      </c>
      <c r="F2298" s="17" t="n">
        <v>503426</v>
      </c>
    </row>
    <row r="2300">
      <c r="A2300" s="14" t="inlineStr">
        <is>
          <t>KODE: 3.6.4.1 - Pemasangan 1 m2 dinding bata ringan tebal 7,5 cm dengan mortar siap pakai</t>
        </is>
      </c>
    </row>
    <row r="2301">
      <c r="A2301" s="10" t="inlineStr">
        <is>
          <t>No</t>
        </is>
      </c>
      <c r="B2301" s="10" t="inlineStr">
        <is>
          <t>Uraian Komponen</t>
        </is>
      </c>
      <c r="C2301" s="10" t="inlineStr">
        <is>
          <t>Satuan</t>
        </is>
      </c>
      <c r="D2301" s="10" t="inlineStr">
        <is>
          <t>Koef</t>
        </is>
      </c>
      <c r="E2301" s="10" t="inlineStr">
        <is>
          <t>Harga Satuan (Rp)</t>
        </is>
      </c>
      <c r="F2301" s="10" t="inlineStr">
        <is>
          <t>Jumlah Harga (Rp)</t>
        </is>
      </c>
    </row>
    <row r="2302">
      <c r="A2302" s="3" t="inlineStr">
        <is>
          <t>1</t>
        </is>
      </c>
      <c r="B2302" s="3" t="inlineStr">
        <is>
          <t>Pekerja</t>
        </is>
      </c>
      <c r="C2302" s="3" t="inlineStr">
        <is>
          <t>OH</t>
        </is>
      </c>
      <c r="D2302" s="15" t="n">
        <v>0.1677</v>
      </c>
      <c r="E2302" s="4" t="n">
        <v>100000</v>
      </c>
      <c r="F2302" s="4" t="n">
        <v>16770</v>
      </c>
    </row>
    <row r="2303">
      <c r="A2303" s="3" t="inlineStr">
        <is>
          <t>2</t>
        </is>
      </c>
      <c r="B2303" s="3" t="inlineStr">
        <is>
          <t>Tukang batu</t>
        </is>
      </c>
      <c r="C2303" s="3" t="inlineStr">
        <is>
          <t>OH</t>
        </is>
      </c>
      <c r="D2303" s="15" t="n">
        <v>0.0833</v>
      </c>
      <c r="E2303" s="4" t="n">
        <v>145000</v>
      </c>
      <c r="F2303" s="4" t="n">
        <v>12078.5</v>
      </c>
    </row>
    <row r="2304">
      <c r="A2304" s="3" t="inlineStr">
        <is>
          <t>3</t>
        </is>
      </c>
      <c r="B2304" s="3" t="inlineStr">
        <is>
          <t>Kepala tukang</t>
        </is>
      </c>
      <c r="C2304" s="3" t="inlineStr">
        <is>
          <t>OH</t>
        </is>
      </c>
      <c r="D2304" s="15" t="n">
        <v>0.0083</v>
      </c>
      <c r="E2304" s="4" t="n">
        <v>175000</v>
      </c>
      <c r="F2304" s="4" t="n">
        <v>1452.5</v>
      </c>
    </row>
    <row r="2305">
      <c r="A2305" s="3" t="inlineStr">
        <is>
          <t>4</t>
        </is>
      </c>
      <c r="B2305" s="3" t="inlineStr">
        <is>
          <t>Mandor</t>
        </is>
      </c>
      <c r="C2305" s="3" t="inlineStr">
        <is>
          <t>OH</t>
        </is>
      </c>
      <c r="D2305" s="15" t="n">
        <v>0.0028</v>
      </c>
      <c r="E2305" s="4" t="n">
        <v>200000</v>
      </c>
      <c r="F2305" s="4" t="n">
        <v>560</v>
      </c>
    </row>
    <row r="2306">
      <c r="A2306" s="3" t="inlineStr">
        <is>
          <t>1</t>
        </is>
      </c>
      <c r="B2306" s="3" t="inlineStr">
        <is>
          <t>"Bata ringan tebal 7 5 cm"</t>
        </is>
      </c>
      <c r="C2306" s="3" t="inlineStr">
        <is>
          <t>buah</t>
        </is>
      </c>
      <c r="D2306" s="15" t="n">
        <v>8.75</v>
      </c>
      <c r="E2306" s="4" t="n">
        <v>8500</v>
      </c>
      <c r="F2306" s="4" t="n">
        <v>74375</v>
      </c>
    </row>
    <row r="2307">
      <c r="A2307" s="3" t="inlineStr">
        <is>
          <t>2</t>
        </is>
      </c>
      <c r="B2307" s="3" t="inlineStr">
        <is>
          <t>Mortar siap pakai</t>
        </is>
      </c>
      <c r="C2307" s="3" t="inlineStr">
        <is>
          <t>kg</t>
        </is>
      </c>
      <c r="D2307" s="15" t="n">
        <v>2.571</v>
      </c>
      <c r="E2307" s="4" t="n">
        <v>1850</v>
      </c>
      <c r="F2307" s="4" t="n">
        <v>4756.35</v>
      </c>
    </row>
    <row r="2308">
      <c r="D2308" s="2" t="inlineStr">
        <is>
          <t>SUBTOTAL UPAH</t>
        </is>
      </c>
      <c r="F2308" s="16" t="n">
        <v>0</v>
      </c>
    </row>
    <row r="2309">
      <c r="D2309" s="2" t="inlineStr">
        <is>
          <t>SUBTOTAL BAHAN</t>
        </is>
      </c>
      <c r="F2309" s="16" t="n">
        <v>79131.35000000001</v>
      </c>
    </row>
    <row r="2310">
      <c r="D2310" s="2" t="inlineStr">
        <is>
          <t>SUBTOTAL ALAT</t>
        </is>
      </c>
      <c r="F2310" s="16" t="n">
        <v>0</v>
      </c>
    </row>
    <row r="2311">
      <c r="E2311" s="2" t="inlineStr">
        <is>
          <t>TOTAL HARGA SATUAN (Inc. Overhead)</t>
        </is>
      </c>
      <c r="F2311" s="17" t="n">
        <v>120991</v>
      </c>
    </row>
    <row r="2313">
      <c r="A2313" s="14" t="inlineStr">
        <is>
          <t>KODE: 3.6.4.2 - Pemasangan 1 m2 dinding bata ringan tebal 10 cm dengan mortar siap pakai</t>
        </is>
      </c>
    </row>
    <row r="2314">
      <c r="A2314" s="10" t="inlineStr">
        <is>
          <t>No</t>
        </is>
      </c>
      <c r="B2314" s="10" t="inlineStr">
        <is>
          <t>Uraian Komponen</t>
        </is>
      </c>
      <c r="C2314" s="10" t="inlineStr">
        <is>
          <t>Satuan</t>
        </is>
      </c>
      <c r="D2314" s="10" t="inlineStr">
        <is>
          <t>Koef</t>
        </is>
      </c>
      <c r="E2314" s="10" t="inlineStr">
        <is>
          <t>Harga Satuan (Rp)</t>
        </is>
      </c>
      <c r="F2314" s="10" t="inlineStr">
        <is>
          <t>Jumlah Harga (Rp)</t>
        </is>
      </c>
    </row>
    <row r="2315">
      <c r="A2315" s="3" t="inlineStr">
        <is>
          <t>1</t>
        </is>
      </c>
      <c r="B2315" s="3" t="inlineStr">
        <is>
          <t>Pekerja</t>
        </is>
      </c>
      <c r="C2315" s="3" t="inlineStr">
        <is>
          <t>OH</t>
        </is>
      </c>
      <c r="D2315" s="15" t="n">
        <v>0.1677</v>
      </c>
      <c r="E2315" s="4" t="n">
        <v>100000</v>
      </c>
      <c r="F2315" s="4" t="n">
        <v>16770</v>
      </c>
    </row>
    <row r="2316">
      <c r="A2316" s="3" t="inlineStr">
        <is>
          <t>2</t>
        </is>
      </c>
      <c r="B2316" s="3" t="inlineStr">
        <is>
          <t>Tukang batu</t>
        </is>
      </c>
      <c r="C2316" s="3" t="inlineStr">
        <is>
          <t>OH</t>
        </is>
      </c>
      <c r="D2316" s="15" t="n">
        <v>0.0833</v>
      </c>
      <c r="E2316" s="4" t="n">
        <v>145000</v>
      </c>
      <c r="F2316" s="4" t="n">
        <v>12078.5</v>
      </c>
    </row>
    <row r="2317">
      <c r="A2317" s="3" t="inlineStr">
        <is>
          <t>3</t>
        </is>
      </c>
      <c r="B2317" s="3" t="inlineStr">
        <is>
          <t>Kepala tukang</t>
        </is>
      </c>
      <c r="C2317" s="3" t="inlineStr">
        <is>
          <t>OH</t>
        </is>
      </c>
      <c r="D2317" s="15" t="n">
        <v>0.0083</v>
      </c>
      <c r="E2317" s="4" t="n">
        <v>175000</v>
      </c>
      <c r="F2317" s="4" t="n">
        <v>1452.5</v>
      </c>
    </row>
    <row r="2318">
      <c r="A2318" s="3" t="inlineStr">
        <is>
          <t>4</t>
        </is>
      </c>
      <c r="B2318" s="3" t="inlineStr">
        <is>
          <t>Mandor</t>
        </is>
      </c>
      <c r="C2318" s="3" t="inlineStr">
        <is>
          <t>OH</t>
        </is>
      </c>
      <c r="D2318" s="15" t="n">
        <v>0.0028</v>
      </c>
      <c r="E2318" s="4" t="n">
        <v>200000</v>
      </c>
      <c r="F2318" s="4" t="n">
        <v>560</v>
      </c>
    </row>
    <row r="2319">
      <c r="A2319" s="3" t="inlineStr">
        <is>
          <t>1</t>
        </is>
      </c>
      <c r="B2319" s="3" t="inlineStr">
        <is>
          <t>Bata ringan tebal 10 cm</t>
        </is>
      </c>
      <c r="C2319" s="3" t="inlineStr">
        <is>
          <t>buah</t>
        </is>
      </c>
      <c r="D2319" s="15" t="n">
        <v>8.75</v>
      </c>
      <c r="E2319" s="4" t="n">
        <v>11000</v>
      </c>
      <c r="F2319" s="4" t="n">
        <v>96250</v>
      </c>
    </row>
    <row r="2320">
      <c r="A2320" s="3" t="inlineStr">
        <is>
          <t>2</t>
        </is>
      </c>
      <c r="B2320" s="3" t="inlineStr">
        <is>
          <t>Mortar siap pakai</t>
        </is>
      </c>
      <c r="C2320" s="3" t="inlineStr">
        <is>
          <t>kg</t>
        </is>
      </c>
      <c r="D2320" s="15" t="n">
        <v>3.429</v>
      </c>
      <c r="E2320" s="4" t="n">
        <v>1850</v>
      </c>
      <c r="F2320" s="4" t="n">
        <v>6343.65</v>
      </c>
    </row>
    <row r="2321">
      <c r="D2321" s="2" t="inlineStr">
        <is>
          <t>SUBTOTAL UPAH</t>
        </is>
      </c>
      <c r="F2321" s="16" t="n">
        <v>0</v>
      </c>
    </row>
    <row r="2322">
      <c r="D2322" s="2" t="inlineStr">
        <is>
          <t>SUBTOTAL BAHAN</t>
        </is>
      </c>
      <c r="F2322" s="16" t="n">
        <v>102593.65</v>
      </c>
    </row>
    <row r="2323">
      <c r="D2323" s="2" t="inlineStr">
        <is>
          <t>SUBTOTAL ALAT</t>
        </is>
      </c>
      <c r="F2323" s="16" t="n">
        <v>0</v>
      </c>
    </row>
    <row r="2324">
      <c r="E2324" s="2" t="inlineStr">
        <is>
          <t>TOTAL HARGA SATUAN (Inc. Overhead)</t>
        </is>
      </c>
      <c r="F2324" s="17" t="n">
        <v>146800</v>
      </c>
    </row>
    <row r="2326">
      <c r="A2326" s="14" t="inlineStr">
        <is>
          <t>KODE: 3.6.4.3 - Pemasangan 1 m2 dinding bata ringan tebal 20 cm dengan mortar siap pakai</t>
        </is>
      </c>
    </row>
    <row r="2327">
      <c r="A2327" s="10" t="inlineStr">
        <is>
          <t>No</t>
        </is>
      </c>
      <c r="B2327" s="10" t="inlineStr">
        <is>
          <t>Uraian Komponen</t>
        </is>
      </c>
      <c r="C2327" s="10" t="inlineStr">
        <is>
          <t>Satuan</t>
        </is>
      </c>
      <c r="D2327" s="10" t="inlineStr">
        <is>
          <t>Koef</t>
        </is>
      </c>
      <c r="E2327" s="10" t="inlineStr">
        <is>
          <t>Harga Satuan (Rp)</t>
        </is>
      </c>
      <c r="F2327" s="10" t="inlineStr">
        <is>
          <t>Jumlah Harga (Rp)</t>
        </is>
      </c>
    </row>
    <row r="2328">
      <c r="A2328" s="3" t="inlineStr">
        <is>
          <t>1</t>
        </is>
      </c>
      <c r="B2328" s="3" t="inlineStr">
        <is>
          <t>Pekerja</t>
        </is>
      </c>
      <c r="C2328" s="3" t="inlineStr">
        <is>
          <t>OH</t>
        </is>
      </c>
      <c r="D2328" s="15" t="n">
        <v>0.25</v>
      </c>
      <c r="E2328" s="4" t="n">
        <v>100000</v>
      </c>
      <c r="F2328" s="4" t="n">
        <v>25000</v>
      </c>
    </row>
    <row r="2329">
      <c r="A2329" s="3" t="inlineStr">
        <is>
          <t>2</t>
        </is>
      </c>
      <c r="B2329" s="3" t="inlineStr">
        <is>
          <t>Tukang batu</t>
        </is>
      </c>
      <c r="C2329" s="3" t="inlineStr">
        <is>
          <t>OH</t>
        </is>
      </c>
      <c r="D2329" s="15" t="n">
        <v>0.125</v>
      </c>
      <c r="E2329" s="4" t="n">
        <v>145000</v>
      </c>
      <c r="F2329" s="4" t="n">
        <v>18125</v>
      </c>
    </row>
    <row r="2330">
      <c r="A2330" s="3" t="inlineStr">
        <is>
          <t>3</t>
        </is>
      </c>
      <c r="B2330" s="3" t="inlineStr">
        <is>
          <t>Kepala tukang</t>
        </is>
      </c>
      <c r="C2330" s="3" t="inlineStr">
        <is>
          <t>OH</t>
        </is>
      </c>
      <c r="D2330" s="15" t="n">
        <v>0.0125</v>
      </c>
      <c r="E2330" s="4" t="n">
        <v>175000</v>
      </c>
      <c r="F2330" s="4" t="n">
        <v>2187.5</v>
      </c>
    </row>
    <row r="2331">
      <c r="A2331" s="3" t="inlineStr">
        <is>
          <t>4</t>
        </is>
      </c>
      <c r="B2331" s="3" t="inlineStr">
        <is>
          <t>Mandor</t>
        </is>
      </c>
      <c r="C2331" s="3" t="inlineStr">
        <is>
          <t>OH</t>
        </is>
      </c>
      <c r="D2331" s="15" t="n">
        <v>0.0042</v>
      </c>
      <c r="E2331" s="4" t="n">
        <v>200000</v>
      </c>
      <c r="F2331" s="4" t="n">
        <v>840</v>
      </c>
    </row>
    <row r="2332">
      <c r="A2332" s="3" t="inlineStr">
        <is>
          <t>1</t>
        </is>
      </c>
      <c r="B2332" s="3" t="inlineStr">
        <is>
          <t>Bata ringan tebal 20 cm</t>
        </is>
      </c>
      <c r="C2332" s="3" t="inlineStr">
        <is>
          <t>buah</t>
        </is>
      </c>
      <c r="D2332" s="15" t="n">
        <v>8.75</v>
      </c>
      <c r="E2332" s="4" t="n">
        <v>20000</v>
      </c>
      <c r="F2332" s="4" t="n">
        <v>175000</v>
      </c>
    </row>
    <row r="2333">
      <c r="A2333" s="3" t="inlineStr">
        <is>
          <t>2</t>
        </is>
      </c>
      <c r="B2333" s="3" t="inlineStr">
        <is>
          <t>Mortar siap pakai</t>
        </is>
      </c>
      <c r="C2333" s="3" t="inlineStr">
        <is>
          <t>kg</t>
        </is>
      </c>
      <c r="D2333" s="15" t="n">
        <v>6.857</v>
      </c>
      <c r="E2333" s="4" t="n">
        <v>1850</v>
      </c>
      <c r="F2333" s="4" t="n">
        <v>12685.45</v>
      </c>
    </row>
    <row r="2334">
      <c r="D2334" s="2" t="inlineStr">
        <is>
          <t>SUBTOTAL UPAH</t>
        </is>
      </c>
      <c r="F2334" s="16" t="n">
        <v>0</v>
      </c>
    </row>
    <row r="2335">
      <c r="D2335" s="2" t="inlineStr">
        <is>
          <t>SUBTOTAL BAHAN</t>
        </is>
      </c>
      <c r="F2335" s="16" t="n">
        <v>187685.45</v>
      </c>
    </row>
    <row r="2336">
      <c r="D2336" s="2" t="inlineStr">
        <is>
          <t>SUBTOTAL ALAT</t>
        </is>
      </c>
      <c r="F2336" s="16" t="n">
        <v>0</v>
      </c>
    </row>
    <row r="2337">
      <c r="E2337" s="2" t="inlineStr">
        <is>
          <t>TOTAL HARGA SATUAN (Inc. Overhead)</t>
        </is>
      </c>
      <c r="F2337" s="17" t="n">
        <v>257221</v>
      </c>
    </row>
    <row r="2339">
      <c r="A2339" s="14" t="inlineStr">
        <is>
          <t>KODE: 3.6.5.1 - Pemasangan 1 m2 dinding batako dengan mortar tipe S,fc’ 12,5 MPa (Setara Campuran 1SP : 3PP)</t>
        </is>
      </c>
    </row>
    <row r="2340">
      <c r="A2340" s="10" t="inlineStr">
        <is>
          <t>No</t>
        </is>
      </c>
      <c r="B2340" s="10" t="inlineStr">
        <is>
          <t>Uraian Komponen</t>
        </is>
      </c>
      <c r="C2340" s="10" t="inlineStr">
        <is>
          <t>Satuan</t>
        </is>
      </c>
      <c r="D2340" s="10" t="inlineStr">
        <is>
          <t>Koef</t>
        </is>
      </c>
      <c r="E2340" s="10" t="inlineStr">
        <is>
          <t>Harga Satuan (Rp)</t>
        </is>
      </c>
      <c r="F2340" s="10" t="inlineStr">
        <is>
          <t>Jumlah Harga (Rp)</t>
        </is>
      </c>
    </row>
    <row r="2341">
      <c r="A2341" s="3" t="inlineStr">
        <is>
          <t>1</t>
        </is>
      </c>
      <c r="B2341" s="3" t="inlineStr">
        <is>
          <t>Pekerja</t>
        </is>
      </c>
      <c r="C2341" s="3" t="inlineStr">
        <is>
          <t>OH</t>
        </is>
      </c>
      <c r="D2341" s="15" t="n">
        <v>0.1818</v>
      </c>
      <c r="E2341" s="4" t="n">
        <v>100000</v>
      </c>
      <c r="F2341" s="4" t="n">
        <v>18180</v>
      </c>
    </row>
    <row r="2342">
      <c r="A2342" s="3" t="inlineStr">
        <is>
          <t>2</t>
        </is>
      </c>
      <c r="B2342" s="3" t="inlineStr">
        <is>
          <t>Tukang batu</t>
        </is>
      </c>
      <c r="C2342" s="3" t="inlineStr">
        <is>
          <t>OH</t>
        </is>
      </c>
      <c r="D2342" s="15" t="n">
        <v>0.09089999999999999</v>
      </c>
      <c r="E2342" s="4" t="n">
        <v>145000</v>
      </c>
      <c r="F2342" s="4" t="n">
        <v>13180.5</v>
      </c>
    </row>
    <row r="2343">
      <c r="A2343" s="3" t="inlineStr">
        <is>
          <t>3</t>
        </is>
      </c>
      <c r="B2343" s="3" t="inlineStr">
        <is>
          <t>Kepala tukang</t>
        </is>
      </c>
      <c r="C2343" s="3" t="inlineStr">
        <is>
          <t>OH</t>
        </is>
      </c>
      <c r="D2343" s="15" t="n">
        <v>0.0091</v>
      </c>
      <c r="E2343" s="4" t="n">
        <v>175000</v>
      </c>
      <c r="F2343" s="4" t="n">
        <v>1592.5</v>
      </c>
    </row>
    <row r="2344">
      <c r="A2344" s="3" t="inlineStr">
        <is>
          <t>4</t>
        </is>
      </c>
      <c r="B2344" s="3" t="inlineStr">
        <is>
          <t>Mandor</t>
        </is>
      </c>
      <c r="C2344" s="3" t="inlineStr">
        <is>
          <t>OH</t>
        </is>
      </c>
      <c r="D2344" s="15" t="n">
        <v>0.003</v>
      </c>
      <c r="E2344" s="4" t="n">
        <v>200000</v>
      </c>
      <c r="F2344" s="4" t="n">
        <v>600</v>
      </c>
    </row>
    <row r="2345">
      <c r="A2345" s="3" t="inlineStr">
        <is>
          <t>1</t>
        </is>
      </c>
      <c r="B2345" s="3" t="inlineStr">
        <is>
          <t>Batako 20x40x10 cm</t>
        </is>
      </c>
      <c r="C2345" s="3" t="inlineStr">
        <is>
          <t>buah</t>
        </is>
      </c>
      <c r="D2345" s="15" t="n">
        <v>14</v>
      </c>
      <c r="E2345" s="4" t="n">
        <v>3000</v>
      </c>
      <c r="F2345" s="4" t="n">
        <v>42000</v>
      </c>
    </row>
    <row r="2346">
      <c r="A2346" s="3" t="inlineStr">
        <is>
          <t>2</t>
        </is>
      </c>
      <c r="B2346" s="3" t="inlineStr">
        <is>
          <t>Semen portland (pc)</t>
        </is>
      </c>
      <c r="C2346" s="3" t="inlineStr">
        <is>
          <t>kg</t>
        </is>
      </c>
      <c r="D2346" s="15" t="n">
        <v>15.16</v>
      </c>
      <c r="E2346" s="4" t="n">
        <v>1300</v>
      </c>
      <c r="F2346" s="4" t="n">
        <v>19708</v>
      </c>
    </row>
    <row r="2347">
      <c r="A2347" s="3" t="inlineStr">
        <is>
          <t>3</t>
        </is>
      </c>
      <c r="B2347" s="3" t="inlineStr">
        <is>
          <t>Pasir pasang (quarry - lokasi pekerjaan)</t>
        </is>
      </c>
      <c r="C2347" s="3" t="inlineStr">
        <is>
          <t>m3</t>
        </is>
      </c>
      <c r="D2347" s="15" t="n">
        <v>0.364</v>
      </c>
      <c r="E2347" s="4" t="n">
        <v>275000</v>
      </c>
      <c r="F2347" s="4" t="n">
        <v>100100</v>
      </c>
    </row>
    <row r="2348">
      <c r="A2348" s="3" t="inlineStr">
        <is>
          <t>4</t>
        </is>
      </c>
      <c r="B2348" s="3" t="inlineStr">
        <is>
          <t>Besi angkur diameter 8</t>
        </is>
      </c>
      <c r="C2348" s="3" t="inlineStr">
        <is>
          <t>kg</t>
        </is>
      </c>
      <c r="D2348" s="15" t="n">
        <v>0.28</v>
      </c>
      <c r="E2348" s="4" t="n">
        <v>35000</v>
      </c>
      <c r="F2348" s="4" t="n">
        <v>9800.000000000002</v>
      </c>
    </row>
    <row r="2349">
      <c r="D2349" s="2" t="inlineStr">
        <is>
          <t>SUBTOTAL UPAH</t>
        </is>
      </c>
      <c r="F2349" s="16" t="n">
        <v>0</v>
      </c>
    </row>
    <row r="2350">
      <c r="D2350" s="2" t="inlineStr">
        <is>
          <t>SUBTOTAL BAHAN</t>
        </is>
      </c>
      <c r="F2350" s="16" t="n">
        <v>171608</v>
      </c>
    </row>
    <row r="2351">
      <c r="D2351" s="2" t="inlineStr">
        <is>
          <t>SUBTOTAL ALAT</t>
        </is>
      </c>
      <c r="F2351" s="16" t="n">
        <v>0</v>
      </c>
    </row>
    <row r="2352">
      <c r="E2352" s="2" t="inlineStr">
        <is>
          <t>TOTAL HARGA SATUAN (Inc. Overhead)</t>
        </is>
      </c>
      <c r="F2352" s="17" t="n">
        <v>225677</v>
      </c>
    </row>
    <row r="2354">
      <c r="A2354" s="14" t="inlineStr">
        <is>
          <t>KODE: 3.6.5.2 - Pemasangan 1 m2 dinding batako dengan mortar tipe N,fc’ 5,2 MPa (Setara Campuran 1SP : 4PP)</t>
        </is>
      </c>
    </row>
    <row r="2355">
      <c r="A2355" s="10" t="inlineStr">
        <is>
          <t>No</t>
        </is>
      </c>
      <c r="B2355" s="10" t="inlineStr">
        <is>
          <t>Uraian Komponen</t>
        </is>
      </c>
      <c r="C2355" s="10" t="inlineStr">
        <is>
          <t>Satuan</t>
        </is>
      </c>
      <c r="D2355" s="10" t="inlineStr">
        <is>
          <t>Koef</t>
        </is>
      </c>
      <c r="E2355" s="10" t="inlineStr">
        <is>
          <t>Harga Satuan (Rp)</t>
        </is>
      </c>
      <c r="F2355" s="10" t="inlineStr">
        <is>
          <t>Jumlah Harga (Rp)</t>
        </is>
      </c>
    </row>
    <row r="2356">
      <c r="A2356" s="3" t="inlineStr">
        <is>
          <t>1</t>
        </is>
      </c>
      <c r="B2356" s="3" t="inlineStr">
        <is>
          <t>Pekerja</t>
        </is>
      </c>
      <c r="C2356" s="3" t="inlineStr">
        <is>
          <t>OH</t>
        </is>
      </c>
      <c r="D2356" s="15" t="n">
        <v>0.1667</v>
      </c>
      <c r="E2356" s="4" t="n">
        <v>100000</v>
      </c>
      <c r="F2356" s="4" t="n">
        <v>16670</v>
      </c>
    </row>
    <row r="2357">
      <c r="A2357" s="3" t="inlineStr">
        <is>
          <t>2</t>
        </is>
      </c>
      <c r="B2357" s="3" t="inlineStr">
        <is>
          <t>Tukang batu</t>
        </is>
      </c>
      <c r="C2357" s="3" t="inlineStr">
        <is>
          <t>OH</t>
        </is>
      </c>
      <c r="D2357" s="15" t="n">
        <v>0.0833</v>
      </c>
      <c r="E2357" s="4" t="n">
        <v>145000</v>
      </c>
      <c r="F2357" s="4" t="n">
        <v>12078.5</v>
      </c>
    </row>
    <row r="2358">
      <c r="A2358" s="3" t="inlineStr">
        <is>
          <t>3</t>
        </is>
      </c>
      <c r="B2358" s="3" t="inlineStr">
        <is>
          <t>Kepala tukang</t>
        </is>
      </c>
      <c r="C2358" s="3" t="inlineStr">
        <is>
          <t>OH</t>
        </is>
      </c>
      <c r="D2358" s="15" t="n">
        <v>0.0083</v>
      </c>
      <c r="E2358" s="4" t="n">
        <v>175000</v>
      </c>
      <c r="F2358" s="4" t="n">
        <v>1452.5</v>
      </c>
    </row>
    <row r="2359">
      <c r="A2359" s="3" t="inlineStr">
        <is>
          <t>4</t>
        </is>
      </c>
      <c r="B2359" s="3" t="inlineStr">
        <is>
          <t>Mandor</t>
        </is>
      </c>
      <c r="C2359" s="3" t="inlineStr">
        <is>
          <t>OH</t>
        </is>
      </c>
      <c r="D2359" s="15" t="n">
        <v>0.0028</v>
      </c>
      <c r="E2359" s="4" t="n">
        <v>200000</v>
      </c>
      <c r="F2359" s="4" t="n">
        <v>560</v>
      </c>
    </row>
    <row r="2360">
      <c r="A2360" s="3" t="inlineStr">
        <is>
          <t>1</t>
        </is>
      </c>
      <c r="B2360" s="3" t="inlineStr">
        <is>
          <t>Batako 20x40x10 cm</t>
        </is>
      </c>
      <c r="C2360" s="3" t="inlineStr">
        <is>
          <t>buah</t>
        </is>
      </c>
      <c r="D2360" s="15" t="n">
        <v>14</v>
      </c>
      <c r="E2360" s="4" t="n">
        <v>3000</v>
      </c>
      <c r="F2360" s="4" t="n">
        <v>42000</v>
      </c>
    </row>
    <row r="2361">
      <c r="A2361" s="3" t="inlineStr">
        <is>
          <t>2</t>
        </is>
      </c>
      <c r="B2361" s="3" t="inlineStr">
        <is>
          <t>Semen portland (PC)</t>
        </is>
      </c>
      <c r="C2361" s="3" t="inlineStr">
        <is>
          <t>kg</t>
        </is>
      </c>
      <c r="D2361" s="15" t="n">
        <v>12.13</v>
      </c>
      <c r="E2361" s="4" t="n">
        <v>1300</v>
      </c>
      <c r="F2361" s="4" t="n">
        <v>15769</v>
      </c>
    </row>
    <row r="2362">
      <c r="A2362" s="3" t="inlineStr">
        <is>
          <t>3</t>
        </is>
      </c>
      <c r="B2362" s="3" t="inlineStr">
        <is>
          <t>Pasir pasang (quarry - lokasi pekerjaan)</t>
        </is>
      </c>
      <c r="C2362" s="3" t="inlineStr">
        <is>
          <t>m3</t>
        </is>
      </c>
      <c r="D2362" s="15" t="n">
        <v>0.388</v>
      </c>
      <c r="E2362" s="4" t="n">
        <v>275000</v>
      </c>
      <c r="F2362" s="4" t="n">
        <v>106700</v>
      </c>
    </row>
    <row r="2363">
      <c r="A2363" s="3" t="inlineStr">
        <is>
          <t>4</t>
        </is>
      </c>
      <c r="B2363" s="3" t="inlineStr">
        <is>
          <t>Besi angkur diameter 8</t>
        </is>
      </c>
      <c r="C2363" s="3" t="inlineStr">
        <is>
          <t>kg</t>
        </is>
      </c>
      <c r="D2363" s="15" t="n">
        <v>0.28</v>
      </c>
      <c r="E2363" s="4" t="n">
        <v>35000</v>
      </c>
      <c r="F2363" s="4" t="n">
        <v>9800.000000000002</v>
      </c>
    </row>
    <row r="2364">
      <c r="D2364" s="2" t="inlineStr">
        <is>
          <t>SUBTOTAL UPAH</t>
        </is>
      </c>
      <c r="F2364" s="16" t="n">
        <v>0</v>
      </c>
    </row>
    <row r="2365">
      <c r="D2365" s="2" t="inlineStr">
        <is>
          <t>SUBTOTAL BAHAN</t>
        </is>
      </c>
      <c r="F2365" s="16" t="n">
        <v>174269</v>
      </c>
    </row>
    <row r="2366">
      <c r="D2366" s="2" t="inlineStr">
        <is>
          <t>SUBTOTAL ALAT</t>
        </is>
      </c>
      <c r="F2366" s="16" t="n">
        <v>0</v>
      </c>
    </row>
    <row r="2367">
      <c r="E2367" s="2" t="inlineStr">
        <is>
          <t>TOTAL HARGA SATUAN (Inc. Overhead)</t>
        </is>
      </c>
      <c r="F2367" s="17" t="n">
        <v>225533</v>
      </c>
    </row>
    <row r="2369">
      <c r="A2369" s="14" t="inlineStr">
        <is>
          <t>KODE: 3.6.6.1 - Pemasangan 1 m2 dinding partisi, Gypsumboard t=12mm</t>
        </is>
      </c>
    </row>
    <row r="2370">
      <c r="A2370" s="10" t="inlineStr">
        <is>
          <t>No</t>
        </is>
      </c>
      <c r="B2370" s="10" t="inlineStr">
        <is>
          <t>Uraian Komponen</t>
        </is>
      </c>
      <c r="C2370" s="10" t="inlineStr">
        <is>
          <t>Satuan</t>
        </is>
      </c>
      <c r="D2370" s="10" t="inlineStr">
        <is>
          <t>Koef</t>
        </is>
      </c>
      <c r="E2370" s="10" t="inlineStr">
        <is>
          <t>Harga Satuan (Rp)</t>
        </is>
      </c>
      <c r="F2370" s="10" t="inlineStr">
        <is>
          <t>Jumlah Harga (Rp)</t>
        </is>
      </c>
    </row>
    <row r="2371">
      <c r="A2371" s="3" t="inlineStr">
        <is>
          <t>1</t>
        </is>
      </c>
      <c r="B2371" s="3" t="inlineStr">
        <is>
          <t>Pekerja</t>
        </is>
      </c>
      <c r="C2371" s="3" t="inlineStr">
        <is>
          <t>OH</t>
        </is>
      </c>
      <c r="D2371" s="15" t="n">
        <v>0.2</v>
      </c>
      <c r="E2371" s="4" t="n">
        <v>100000</v>
      </c>
      <c r="F2371" s="4" t="n">
        <v>20000</v>
      </c>
    </row>
    <row r="2372">
      <c r="A2372" s="3" t="inlineStr">
        <is>
          <t>2</t>
        </is>
      </c>
      <c r="B2372" s="3" t="inlineStr">
        <is>
          <t>Tukang batu</t>
        </is>
      </c>
      <c r="C2372" s="3" t="inlineStr">
        <is>
          <t>OH</t>
        </is>
      </c>
      <c r="D2372" s="15" t="n">
        <v>0.1</v>
      </c>
      <c r="E2372" s="4" t="n">
        <v>145000</v>
      </c>
      <c r="F2372" s="4" t="n">
        <v>14500</v>
      </c>
    </row>
    <row r="2373">
      <c r="A2373" s="3" t="inlineStr">
        <is>
          <t>3</t>
        </is>
      </c>
      <c r="B2373" s="3" t="inlineStr">
        <is>
          <t>Kepala tukang</t>
        </is>
      </c>
      <c r="C2373" s="3" t="inlineStr">
        <is>
          <t>OH</t>
        </is>
      </c>
      <c r="D2373" s="15" t="n">
        <v>0.01</v>
      </c>
      <c r="E2373" s="4" t="n">
        <v>175000</v>
      </c>
      <c r="F2373" s="4" t="n">
        <v>1750</v>
      </c>
    </row>
    <row r="2374">
      <c r="A2374" s="3" t="inlineStr">
        <is>
          <t>4</t>
        </is>
      </c>
      <c r="B2374" s="3" t="inlineStr">
        <is>
          <t>Mandor</t>
        </is>
      </c>
      <c r="C2374" s="3" t="inlineStr">
        <is>
          <t>OH</t>
        </is>
      </c>
      <c r="D2374" s="15" t="n">
        <v>0.003</v>
      </c>
      <c r="E2374" s="4" t="n">
        <v>200000</v>
      </c>
      <c r="F2374" s="4" t="n">
        <v>600</v>
      </c>
    </row>
    <row r="2375">
      <c r="A2375" s="3" t="inlineStr">
        <is>
          <t>1</t>
        </is>
      </c>
      <c r="B2375" s="3" t="inlineStr">
        <is>
          <t>Gypsum Board (122 cm x  244 cm x  12 mm)</t>
        </is>
      </c>
      <c r="C2375" s="3" t="inlineStr">
        <is>
          <t>buah</t>
        </is>
      </c>
      <c r="D2375" s="15" t="n">
        <v>0.739</v>
      </c>
      <c r="E2375" s="4" t="n">
        <v>96000</v>
      </c>
      <c r="F2375" s="4" t="n">
        <v>70944</v>
      </c>
    </row>
    <row r="2376">
      <c r="A2376" s="3" t="inlineStr">
        <is>
          <t>2</t>
        </is>
      </c>
      <c r="B2376" s="3" t="inlineStr">
        <is>
          <t>Rockwool tebal 50 mm</t>
        </is>
      </c>
      <c r="C2376" s="3" t="inlineStr">
        <is>
          <t>kg</t>
        </is>
      </c>
      <c r="D2376" s="15" t="n">
        <v>1.1</v>
      </c>
      <c r="E2376" s="4" t="n">
        <v>290000</v>
      </c>
      <c r="F2376" s="4" t="n">
        <v>319000</v>
      </c>
    </row>
    <row r="2377">
      <c r="A2377" s="3" t="inlineStr">
        <is>
          <t>3</t>
        </is>
      </c>
      <c r="B2377" s="3" t="inlineStr">
        <is>
          <t>Paku sekrup</t>
        </is>
      </c>
      <c r="C2377" s="3" t="inlineStr">
        <is>
          <t>m3</t>
        </is>
      </c>
      <c r="D2377" s="15" t="n">
        <v>0.05</v>
      </c>
      <c r="E2377" s="4" t="n">
        <v>30090</v>
      </c>
      <c r="F2377" s="4" t="n">
        <v>1504.5</v>
      </c>
    </row>
    <row r="2378">
      <c r="A2378" s="3" t="inlineStr">
        <is>
          <t>4</t>
        </is>
      </c>
      <c r="B2378" s="3" t="inlineStr">
        <is>
          <t>Compound gypsum</t>
        </is>
      </c>
      <c r="C2378" s="3" t="inlineStr">
        <is>
          <t>kg</t>
        </is>
      </c>
      <c r="D2378" s="15" t="n">
        <v>0.106</v>
      </c>
      <c r="E2378" s="4" t="n">
        <v>3500</v>
      </c>
      <c r="F2378" s="4" t="n">
        <v>371</v>
      </c>
    </row>
    <row r="2379">
      <c r="D2379" s="2" t="inlineStr">
        <is>
          <t>SUBTOTAL UPAH</t>
        </is>
      </c>
      <c r="F2379" s="16" t="n">
        <v>0</v>
      </c>
    </row>
    <row r="2380">
      <c r="D2380" s="2" t="inlineStr">
        <is>
          <t>SUBTOTAL BAHAN</t>
        </is>
      </c>
      <c r="F2380" s="16" t="n">
        <v>391819.5</v>
      </c>
    </row>
    <row r="2381">
      <c r="D2381" s="2" t="inlineStr">
        <is>
          <t>SUBTOTAL ALAT</t>
        </is>
      </c>
      <c r="F2381" s="16" t="n">
        <v>0</v>
      </c>
    </row>
    <row r="2382">
      <c r="E2382" s="2" t="inlineStr">
        <is>
          <t>TOTAL HARGA SATUAN (Inc. Overhead)</t>
        </is>
      </c>
      <c r="F2382" s="17" t="n">
        <v>471536</v>
      </c>
    </row>
    <row r="2384">
      <c r="A2384" s="14" t="inlineStr">
        <is>
          <t>KODE: 3.8.10.1 - Pengecatan 1 m2 tembok baru Interior( 1 lapis cat dasar, 2 lapis cat penutup)</t>
        </is>
      </c>
    </row>
    <row r="2385">
      <c r="A2385" s="10" t="inlineStr">
        <is>
          <t>No</t>
        </is>
      </c>
      <c r="B2385" s="10" t="inlineStr">
        <is>
          <t>Uraian Komponen</t>
        </is>
      </c>
      <c r="C2385" s="10" t="inlineStr">
        <is>
          <t>Satuan</t>
        </is>
      </c>
      <c r="D2385" s="10" t="inlineStr">
        <is>
          <t>Koef</t>
        </is>
      </c>
      <c r="E2385" s="10" t="inlineStr">
        <is>
          <t>Harga Satuan (Rp)</t>
        </is>
      </c>
      <c r="F2385" s="10" t="inlineStr">
        <is>
          <t>Jumlah Harga (Rp)</t>
        </is>
      </c>
    </row>
    <row r="2386">
      <c r="A2386" s="3" t="inlineStr">
        <is>
          <t>1</t>
        </is>
      </c>
      <c r="B2386" s="3" t="inlineStr">
        <is>
          <t>Pekerja</t>
        </is>
      </c>
      <c r="C2386" s="3" t="inlineStr">
        <is>
          <t>OH</t>
        </is>
      </c>
      <c r="D2386" s="15" t="n">
        <v>0.0667</v>
      </c>
      <c r="E2386" s="4" t="n">
        <v>100000</v>
      </c>
      <c r="F2386" s="4" t="n">
        <v>6669.999999999999</v>
      </c>
    </row>
    <row r="2387">
      <c r="A2387" s="3" t="inlineStr">
        <is>
          <t>2</t>
        </is>
      </c>
      <c r="B2387" s="3" t="inlineStr">
        <is>
          <t>Tukang cat</t>
        </is>
      </c>
      <c r="C2387" s="3" t="inlineStr">
        <is>
          <t>OH</t>
        </is>
      </c>
      <c r="D2387" s="15" t="n">
        <v>0.0667</v>
      </c>
      <c r="E2387" s="4" t="n">
        <v>145000</v>
      </c>
      <c r="F2387" s="4" t="n">
        <v>9671.5</v>
      </c>
    </row>
    <row r="2388">
      <c r="A2388" s="3" t="inlineStr">
        <is>
          <t>3</t>
        </is>
      </c>
      <c r="B2388" s="3" t="inlineStr">
        <is>
          <t>Kepala tukang</t>
        </is>
      </c>
      <c r="C2388" s="3" t="inlineStr">
        <is>
          <t>OH</t>
        </is>
      </c>
      <c r="D2388" s="15" t="n">
        <v>0.0067</v>
      </c>
      <c r="E2388" s="4" t="n">
        <v>175000</v>
      </c>
      <c r="F2388" s="4" t="n">
        <v>1172.5</v>
      </c>
    </row>
    <row r="2389">
      <c r="A2389" s="3" t="inlineStr">
        <is>
          <t>4</t>
        </is>
      </c>
      <c r="B2389" s="3" t="inlineStr">
        <is>
          <t>Mandor</t>
        </is>
      </c>
      <c r="C2389" s="3" t="inlineStr">
        <is>
          <t>OH</t>
        </is>
      </c>
      <c r="D2389" s="15" t="n">
        <v>0.0022</v>
      </c>
      <c r="E2389" s="4" t="n">
        <v>200000</v>
      </c>
      <c r="F2389" s="4" t="n">
        <v>440</v>
      </c>
    </row>
    <row r="2390">
      <c r="A2390" s="3" t="inlineStr">
        <is>
          <t>2</t>
        </is>
      </c>
      <c r="B2390" s="3" t="inlineStr">
        <is>
          <t>Cat dasar (cat tembok interior)</t>
        </is>
      </c>
      <c r="C2390" s="3" t="inlineStr">
        <is>
          <t>kg</t>
        </is>
      </c>
      <c r="D2390" s="15" t="n">
        <v>0.1</v>
      </c>
      <c r="E2390" s="4" t="n">
        <v>119100</v>
      </c>
      <c r="F2390" s="4" t="n">
        <v>11910</v>
      </c>
    </row>
    <row r="2391">
      <c r="A2391" s="3" t="inlineStr">
        <is>
          <t>3</t>
        </is>
      </c>
      <c r="B2391" s="3" t="inlineStr">
        <is>
          <t>Cat penutup (cat tembok interior)</t>
        </is>
      </c>
      <c r="C2391" s="3" t="inlineStr">
        <is>
          <t>kg</t>
        </is>
      </c>
      <c r="D2391" s="15" t="n">
        <v>0.26</v>
      </c>
      <c r="E2391" s="4" t="n">
        <v>130500</v>
      </c>
      <c r="F2391" s="4" t="n">
        <v>33930</v>
      </c>
    </row>
    <row r="2392">
      <c r="D2392" s="2" t="inlineStr">
        <is>
          <t>SUBTOTAL UPAH</t>
        </is>
      </c>
      <c r="F2392" s="16" t="n">
        <v>17954</v>
      </c>
    </row>
    <row r="2393">
      <c r="D2393" s="2" t="inlineStr">
        <is>
          <t>SUBTOTAL BAHAN</t>
        </is>
      </c>
      <c r="F2393" s="16" t="n">
        <v>45840</v>
      </c>
    </row>
    <row r="2394">
      <c r="D2394" s="2" t="inlineStr">
        <is>
          <t>SUBTOTAL ALAT</t>
        </is>
      </c>
      <c r="F2394" s="16" t="n">
        <v>0</v>
      </c>
    </row>
    <row r="2395">
      <c r="E2395" s="2" t="inlineStr">
        <is>
          <t>TOTAL HARGA SATUAN (Inc. Overhead)</t>
        </is>
      </c>
      <c r="F2395" s="17" t="n">
        <v>70173</v>
      </c>
    </row>
    <row r="2397">
      <c r="A2397" s="14" t="inlineStr">
        <is>
          <t>KODE: 3.8.10.2 - Pengecatan 1 m2 tembok baru Ekterior (1 lapis cat dasar, 2 lapis cat penutup), eksterior</t>
        </is>
      </c>
    </row>
    <row r="2398">
      <c r="A2398" s="10" t="inlineStr">
        <is>
          <t>No</t>
        </is>
      </c>
      <c r="B2398" s="10" t="inlineStr">
        <is>
          <t>Uraian Komponen</t>
        </is>
      </c>
      <c r="C2398" s="10" t="inlineStr">
        <is>
          <t>Satuan</t>
        </is>
      </c>
      <c r="D2398" s="10" t="inlineStr">
        <is>
          <t>Koef</t>
        </is>
      </c>
      <c r="E2398" s="10" t="inlineStr">
        <is>
          <t>Harga Satuan (Rp)</t>
        </is>
      </c>
      <c r="F2398" s="10" t="inlineStr">
        <is>
          <t>Jumlah Harga (Rp)</t>
        </is>
      </c>
    </row>
    <row r="2399">
      <c r="A2399" s="3" t="inlineStr">
        <is>
          <t>1</t>
        </is>
      </c>
      <c r="B2399" s="3" t="inlineStr">
        <is>
          <t>Pekerja</t>
        </is>
      </c>
      <c r="C2399" s="3" t="inlineStr">
        <is>
          <t>OH</t>
        </is>
      </c>
      <c r="D2399" s="15" t="n">
        <v>0.0769</v>
      </c>
      <c r="E2399" s="4" t="n">
        <v>100000</v>
      </c>
      <c r="F2399" s="4" t="n">
        <v>7690</v>
      </c>
    </row>
    <row r="2400">
      <c r="A2400" s="3" t="inlineStr">
        <is>
          <t>2</t>
        </is>
      </c>
      <c r="B2400" s="3" t="inlineStr">
        <is>
          <t>Tukang cat</t>
        </is>
      </c>
      <c r="C2400" s="3" t="inlineStr">
        <is>
          <t>OH</t>
        </is>
      </c>
      <c r="D2400" s="15" t="n">
        <v>0.0769</v>
      </c>
      <c r="E2400" s="4" t="n">
        <v>145000</v>
      </c>
      <c r="F2400" s="4" t="n">
        <v>11150.5</v>
      </c>
    </row>
    <row r="2401">
      <c r="A2401" s="3" t="inlineStr">
        <is>
          <t>3</t>
        </is>
      </c>
      <c r="B2401" s="3" t="inlineStr">
        <is>
          <t>Kepala tukang</t>
        </is>
      </c>
      <c r="C2401" s="3" t="inlineStr">
        <is>
          <t>OH</t>
        </is>
      </c>
      <c r="D2401" s="15" t="n">
        <v>0.0077</v>
      </c>
      <c r="E2401" s="4" t="n">
        <v>175000</v>
      </c>
      <c r="F2401" s="4" t="n">
        <v>1347.5</v>
      </c>
    </row>
    <row r="2402">
      <c r="A2402" s="3" t="inlineStr">
        <is>
          <t>4</t>
        </is>
      </c>
      <c r="B2402" s="3" t="inlineStr">
        <is>
          <t>Mandor</t>
        </is>
      </c>
      <c r="C2402" s="3" t="inlineStr">
        <is>
          <t>OH</t>
        </is>
      </c>
      <c r="D2402" s="15" t="n">
        <v>0.0026</v>
      </c>
      <c r="E2402" s="4" t="n">
        <v>200000</v>
      </c>
      <c r="F2402" s="4" t="n">
        <v>520</v>
      </c>
    </row>
    <row r="2403">
      <c r="A2403" s="3" t="inlineStr">
        <is>
          <t>1</t>
        </is>
      </c>
      <c r="B2403" s="3" t="inlineStr">
        <is>
          <t>Cat dasar (cat tembok eksterior)</t>
        </is>
      </c>
      <c r="C2403" s="3" t="inlineStr">
        <is>
          <t>kg</t>
        </is>
      </c>
      <c r="D2403" s="15" t="n">
        <v>0.1</v>
      </c>
      <c r="E2403" s="4" t="n">
        <v>128500</v>
      </c>
      <c r="F2403" s="4" t="n">
        <v>12850</v>
      </c>
    </row>
    <row r="2404">
      <c r="A2404" s="3" t="inlineStr">
        <is>
          <t>2</t>
        </is>
      </c>
      <c r="B2404" s="3" t="inlineStr">
        <is>
          <t>Cat penutup (cat tembok eksterior)</t>
        </is>
      </c>
      <c r="C2404" s="3" t="inlineStr">
        <is>
          <t>kg</t>
        </is>
      </c>
      <c r="D2404" s="15" t="n">
        <v>0.26</v>
      </c>
      <c r="E2404" s="4" t="n">
        <v>136600</v>
      </c>
      <c r="F2404" s="4" t="n">
        <v>35516</v>
      </c>
    </row>
    <row r="2405">
      <c r="D2405" s="2" t="inlineStr">
        <is>
          <t>SUBTOTAL UPAH</t>
        </is>
      </c>
      <c r="F2405" s="16" t="n">
        <v>20708</v>
      </c>
    </row>
    <row r="2406">
      <c r="D2406" s="2" t="inlineStr">
        <is>
          <t>SUBTOTAL BAHAN</t>
        </is>
      </c>
      <c r="F2406" s="16" t="n">
        <v>48366</v>
      </c>
    </row>
    <row r="2407">
      <c r="D2407" s="2" t="inlineStr">
        <is>
          <t>SUBTOTAL ALAT</t>
        </is>
      </c>
      <c r="F2407" s="16" t="n">
        <v>0</v>
      </c>
    </row>
    <row r="2408">
      <c r="E2408" s="2" t="inlineStr">
        <is>
          <t>TOTAL HARGA SATUAN (Inc. Overhead)</t>
        </is>
      </c>
      <c r="F2408" s="17" t="n">
        <v>75981</v>
      </c>
    </row>
    <row r="2410">
      <c r="A2410" s="14" t="inlineStr">
        <is>
          <t>KODE: 3.8.11.1 - Pengecatan 1 m2 tembok lama Interior  (1 lapis cat dasar, 2 lapis cat penutup)</t>
        </is>
      </c>
    </row>
    <row r="2411">
      <c r="A2411" s="10" t="inlineStr">
        <is>
          <t>No</t>
        </is>
      </c>
      <c r="B2411" s="10" t="inlineStr">
        <is>
          <t>Uraian Komponen</t>
        </is>
      </c>
      <c r="C2411" s="10" t="inlineStr">
        <is>
          <t>Satuan</t>
        </is>
      </c>
      <c r="D2411" s="10" t="inlineStr">
        <is>
          <t>Koef</t>
        </is>
      </c>
      <c r="E2411" s="10" t="inlineStr">
        <is>
          <t>Harga Satuan (Rp)</t>
        </is>
      </c>
      <c r="F2411" s="10" t="inlineStr">
        <is>
          <t>Jumlah Harga (Rp)</t>
        </is>
      </c>
    </row>
    <row r="2412">
      <c r="A2412" s="3" t="inlineStr">
        <is>
          <t>1</t>
        </is>
      </c>
      <c r="B2412" s="3" t="inlineStr">
        <is>
          <t>Pekerja</t>
        </is>
      </c>
      <c r="C2412" s="3" t="inlineStr">
        <is>
          <t>OH</t>
        </is>
      </c>
      <c r="D2412" s="15" t="n">
        <v>0.05</v>
      </c>
      <c r="E2412" s="4" t="n">
        <v>100000</v>
      </c>
      <c r="F2412" s="4" t="n">
        <v>5000</v>
      </c>
    </row>
    <row r="2413">
      <c r="A2413" s="3" t="inlineStr">
        <is>
          <t>2</t>
        </is>
      </c>
      <c r="B2413" s="3" t="inlineStr">
        <is>
          <t>Tukang cat</t>
        </is>
      </c>
      <c r="C2413" s="3" t="inlineStr">
        <is>
          <t>OH</t>
        </is>
      </c>
      <c r="D2413" s="15" t="n">
        <v>0.05</v>
      </c>
      <c r="E2413" s="4" t="n">
        <v>145000</v>
      </c>
      <c r="F2413" s="4" t="n">
        <v>7250</v>
      </c>
    </row>
    <row r="2414">
      <c r="A2414" s="3" t="inlineStr">
        <is>
          <t>3</t>
        </is>
      </c>
      <c r="B2414" s="3" t="inlineStr">
        <is>
          <t>Kepala tukang</t>
        </is>
      </c>
      <c r="C2414" s="3" t="inlineStr">
        <is>
          <t>OH</t>
        </is>
      </c>
      <c r="D2414" s="15" t="n">
        <v>0.005</v>
      </c>
      <c r="E2414" s="4" t="n">
        <v>175000</v>
      </c>
      <c r="F2414" s="4" t="n">
        <v>875</v>
      </c>
    </row>
    <row r="2415">
      <c r="A2415" s="3" t="inlineStr">
        <is>
          <t>4</t>
        </is>
      </c>
      <c r="B2415" s="3" t="inlineStr">
        <is>
          <t>Mandor</t>
        </is>
      </c>
      <c r="C2415" s="3" t="inlineStr">
        <is>
          <t>OH</t>
        </is>
      </c>
      <c r="D2415" s="15" t="n">
        <v>0.0017</v>
      </c>
      <c r="E2415" s="4" t="n">
        <v>200000</v>
      </c>
      <c r="F2415" s="4" t="n">
        <v>340</v>
      </c>
    </row>
    <row r="2416">
      <c r="A2416" s="3" t="inlineStr">
        <is>
          <t>1</t>
        </is>
      </c>
      <c r="B2416" s="3" t="inlineStr">
        <is>
          <t>Cat dasar (cat tembok interior)</t>
        </is>
      </c>
      <c r="C2416" s="3" t="inlineStr">
        <is>
          <t>kg</t>
        </is>
      </c>
      <c r="D2416" s="15" t="n">
        <v>0.12</v>
      </c>
      <c r="E2416" s="4" t="n">
        <v>119100</v>
      </c>
      <c r="F2416" s="4" t="n">
        <v>14292</v>
      </c>
    </row>
    <row r="2417">
      <c r="A2417" s="3" t="inlineStr">
        <is>
          <t>2</t>
        </is>
      </c>
      <c r="B2417" s="3" t="inlineStr">
        <is>
          <t>Cat penutup (cat tembok interior)</t>
        </is>
      </c>
      <c r="C2417" s="3" t="inlineStr">
        <is>
          <t>kg</t>
        </is>
      </c>
      <c r="D2417" s="15" t="n">
        <v>0.18</v>
      </c>
      <c r="E2417" s="4" t="n">
        <v>130500</v>
      </c>
      <c r="F2417" s="4" t="n">
        <v>23490</v>
      </c>
    </row>
    <row r="2418">
      <c r="D2418" s="2" t="inlineStr">
        <is>
          <t>SUBTOTAL UPAH</t>
        </is>
      </c>
      <c r="F2418" s="16" t="n">
        <v>13465</v>
      </c>
    </row>
    <row r="2419">
      <c r="D2419" s="2" t="inlineStr">
        <is>
          <t>SUBTOTAL BAHAN</t>
        </is>
      </c>
      <c r="F2419" s="16" t="n">
        <v>37782</v>
      </c>
    </row>
    <row r="2420">
      <c r="D2420" s="2" t="inlineStr">
        <is>
          <t>SUBTOTAL ALAT</t>
        </is>
      </c>
      <c r="F2420" s="16" t="n">
        <v>0</v>
      </c>
    </row>
    <row r="2421">
      <c r="E2421" s="2" t="inlineStr">
        <is>
          <t>TOTAL HARGA SATUAN (Inc. Overhead)</t>
        </is>
      </c>
      <c r="F2421" s="17" t="n">
        <v>56371</v>
      </c>
    </row>
    <row r="2423">
      <c r="A2423" s="14" t="inlineStr">
        <is>
          <t>KODE: 3.8.11.2 - Pengecatan 1 m2 tembok lama Ekterior (1 lapis cat dasar, 2 lapis cat penutup)</t>
        </is>
      </c>
    </row>
    <row r="2424">
      <c r="A2424" s="10" t="inlineStr">
        <is>
          <t>No</t>
        </is>
      </c>
      <c r="B2424" s="10" t="inlineStr">
        <is>
          <t>Uraian Komponen</t>
        </is>
      </c>
      <c r="C2424" s="10" t="inlineStr">
        <is>
          <t>Satuan</t>
        </is>
      </c>
      <c r="D2424" s="10" t="inlineStr">
        <is>
          <t>Koef</t>
        </is>
      </c>
      <c r="E2424" s="10" t="inlineStr">
        <is>
          <t>Harga Satuan (Rp)</t>
        </is>
      </c>
      <c r="F2424" s="10" t="inlineStr">
        <is>
          <t>Jumlah Harga (Rp)</t>
        </is>
      </c>
    </row>
    <row r="2425">
      <c r="A2425" s="3" t="inlineStr">
        <is>
          <t>1</t>
        </is>
      </c>
      <c r="B2425" s="3" t="inlineStr">
        <is>
          <t>Pekerja</t>
        </is>
      </c>
      <c r="C2425" s="3" t="inlineStr">
        <is>
          <t>OH</t>
        </is>
      </c>
      <c r="D2425" s="15" t="n">
        <v>0.05</v>
      </c>
      <c r="E2425" s="4" t="n">
        <v>100000</v>
      </c>
      <c r="F2425" s="4" t="n">
        <v>5000</v>
      </c>
    </row>
    <row r="2426">
      <c r="A2426" s="3" t="inlineStr">
        <is>
          <t>2</t>
        </is>
      </c>
      <c r="B2426" s="3" t="inlineStr">
        <is>
          <t>Tukang cat</t>
        </is>
      </c>
      <c r="C2426" s="3" t="inlineStr">
        <is>
          <t>OH</t>
        </is>
      </c>
      <c r="D2426" s="15" t="n">
        <v>0.05</v>
      </c>
      <c r="E2426" s="4" t="n">
        <v>145000</v>
      </c>
      <c r="F2426" s="4" t="n">
        <v>7250</v>
      </c>
    </row>
    <row r="2427">
      <c r="A2427" s="3" t="inlineStr">
        <is>
          <t>3</t>
        </is>
      </c>
      <c r="B2427" s="3" t="inlineStr">
        <is>
          <t>Kepala tukang</t>
        </is>
      </c>
      <c r="C2427" s="3" t="inlineStr">
        <is>
          <t>OH</t>
        </is>
      </c>
      <c r="D2427" s="15" t="n">
        <v>0.005</v>
      </c>
      <c r="E2427" s="4" t="n">
        <v>175000</v>
      </c>
      <c r="F2427" s="4" t="n">
        <v>875</v>
      </c>
    </row>
    <row r="2428">
      <c r="A2428" s="3" t="inlineStr">
        <is>
          <t>4</t>
        </is>
      </c>
      <c r="B2428" s="3" t="inlineStr">
        <is>
          <t>Mandor</t>
        </is>
      </c>
      <c r="C2428" s="3" t="inlineStr">
        <is>
          <t>OH</t>
        </is>
      </c>
      <c r="D2428" s="15" t="n">
        <v>0.0017</v>
      </c>
      <c r="E2428" s="4" t="n">
        <v>200000</v>
      </c>
      <c r="F2428" s="4" t="n">
        <v>340</v>
      </c>
    </row>
    <row r="2429">
      <c r="A2429" s="3" t="inlineStr">
        <is>
          <t>1</t>
        </is>
      </c>
      <c r="B2429" s="3" t="inlineStr">
        <is>
          <t>Cat dasar (cat tembok eksterior)</t>
        </is>
      </c>
      <c r="C2429" s="3" t="inlineStr">
        <is>
          <t>kg</t>
        </is>
      </c>
      <c r="D2429" s="15" t="n">
        <v>0.12</v>
      </c>
      <c r="E2429" s="4" t="n">
        <v>128500</v>
      </c>
      <c r="F2429" s="4" t="n">
        <v>15420</v>
      </c>
    </row>
    <row r="2430">
      <c r="A2430" s="3" t="inlineStr">
        <is>
          <t>2</t>
        </is>
      </c>
      <c r="B2430" s="3" t="inlineStr">
        <is>
          <t>Cat penutup (cat tembok eksterior)</t>
        </is>
      </c>
      <c r="C2430" s="3" t="inlineStr">
        <is>
          <t>kg</t>
        </is>
      </c>
      <c r="D2430" s="15" t="n">
        <v>0.18</v>
      </c>
      <c r="E2430" s="4" t="n">
        <v>136600</v>
      </c>
      <c r="F2430" s="4" t="n">
        <v>24588</v>
      </c>
    </row>
    <row r="2431">
      <c r="D2431" s="2" t="inlineStr">
        <is>
          <t>SUBTOTAL UPAH</t>
        </is>
      </c>
      <c r="F2431" s="16" t="n">
        <v>13465</v>
      </c>
    </row>
    <row r="2432">
      <c r="D2432" s="2" t="inlineStr">
        <is>
          <t>SUBTOTAL BAHAN</t>
        </is>
      </c>
      <c r="F2432" s="16" t="n">
        <v>40008</v>
      </c>
    </row>
    <row r="2433">
      <c r="D2433" s="2" t="inlineStr">
        <is>
          <t>SUBTOTAL ALAT</t>
        </is>
      </c>
      <c r="F2433" s="16" t="n">
        <v>0</v>
      </c>
    </row>
    <row r="2434">
      <c r="E2434" s="2" t="inlineStr">
        <is>
          <t>TOTAL HARGA SATUAN (Inc. Overhead)</t>
        </is>
      </c>
      <c r="F2434" s="17" t="n">
        <v>58820</v>
      </c>
    </row>
    <row r="2436">
      <c r="A2436" s="14" t="inlineStr">
        <is>
          <t>KODE: 3.8.20.1 - Pengecatan 1 m2 plafon Interior ( 1 lapis Cat Dasar dan 2 Lapis Cat Penutup)</t>
        </is>
      </c>
    </row>
    <row r="2437">
      <c r="A2437" s="10" t="inlineStr">
        <is>
          <t>No</t>
        </is>
      </c>
      <c r="B2437" s="10" t="inlineStr">
        <is>
          <t>Uraian Komponen</t>
        </is>
      </c>
      <c r="C2437" s="10" t="inlineStr">
        <is>
          <t>Satuan</t>
        </is>
      </c>
      <c r="D2437" s="10" t="inlineStr">
        <is>
          <t>Koef</t>
        </is>
      </c>
      <c r="E2437" s="10" t="inlineStr">
        <is>
          <t>Harga Satuan (Rp)</t>
        </is>
      </c>
      <c r="F2437" s="10" t="inlineStr">
        <is>
          <t>Jumlah Harga (Rp)</t>
        </is>
      </c>
    </row>
    <row r="2438">
      <c r="A2438" s="3" t="inlineStr">
        <is>
          <t>1</t>
        </is>
      </c>
      <c r="B2438" s="3" t="inlineStr">
        <is>
          <t>Pekerja</t>
        </is>
      </c>
      <c r="C2438" s="3" t="inlineStr">
        <is>
          <t>OH</t>
        </is>
      </c>
      <c r="D2438" s="15" t="n">
        <v>0.0625</v>
      </c>
      <c r="E2438" s="4" t="n">
        <v>100000</v>
      </c>
      <c r="F2438" s="4" t="n">
        <v>6250</v>
      </c>
    </row>
    <row r="2439">
      <c r="A2439" s="3" t="inlineStr">
        <is>
          <t>2</t>
        </is>
      </c>
      <c r="B2439" s="3" t="inlineStr">
        <is>
          <t>Tukang cat</t>
        </is>
      </c>
      <c r="C2439" s="3" t="inlineStr">
        <is>
          <t>OH</t>
        </is>
      </c>
      <c r="D2439" s="15" t="n">
        <v>0.0625</v>
      </c>
      <c r="E2439" s="4" t="n">
        <v>145000</v>
      </c>
      <c r="F2439" s="4" t="n">
        <v>9062.5</v>
      </c>
    </row>
    <row r="2440">
      <c r="A2440" s="3" t="inlineStr">
        <is>
          <t>3</t>
        </is>
      </c>
      <c r="B2440" s="3" t="inlineStr">
        <is>
          <t>Kepala tukang</t>
        </is>
      </c>
      <c r="C2440" s="3" t="inlineStr">
        <is>
          <t>OH</t>
        </is>
      </c>
      <c r="D2440" s="15" t="n">
        <v>0.0063</v>
      </c>
      <c r="E2440" s="4" t="n">
        <v>175000</v>
      </c>
      <c r="F2440" s="4" t="n">
        <v>1102.5</v>
      </c>
    </row>
    <row r="2441">
      <c r="A2441" s="3" t="inlineStr">
        <is>
          <t>4</t>
        </is>
      </c>
      <c r="B2441" s="3" t="inlineStr">
        <is>
          <t>Mandor</t>
        </is>
      </c>
      <c r="C2441" s="3" t="inlineStr">
        <is>
          <t>OH</t>
        </is>
      </c>
      <c r="D2441" s="15" t="n">
        <v>0.0021</v>
      </c>
      <c r="E2441" s="4" t="n">
        <v>200000</v>
      </c>
      <c r="F2441" s="4" t="n">
        <v>420</v>
      </c>
    </row>
    <row r="2442">
      <c r="A2442" s="3" t="inlineStr">
        <is>
          <t>1</t>
        </is>
      </c>
      <c r="B2442" s="3" t="inlineStr">
        <is>
          <t>Cat dasar (cat tembok interior)</t>
        </is>
      </c>
      <c r="C2442" s="3" t="inlineStr">
        <is>
          <t>kg</t>
        </is>
      </c>
      <c r="D2442" s="15" t="n">
        <v>0.12</v>
      </c>
      <c r="E2442" s="4" t="n">
        <v>119100</v>
      </c>
      <c r="F2442" s="4" t="n">
        <v>14292</v>
      </c>
    </row>
    <row r="2443">
      <c r="A2443" s="3" t="inlineStr">
        <is>
          <t>2</t>
        </is>
      </c>
      <c r="B2443" s="3" t="inlineStr">
        <is>
          <t>Cat penutup (cat tembok interior)</t>
        </is>
      </c>
      <c r="C2443" s="3" t="inlineStr">
        <is>
          <t>kg</t>
        </is>
      </c>
      <c r="D2443" s="15" t="n">
        <v>0.18</v>
      </c>
      <c r="E2443" s="4" t="n">
        <v>130500</v>
      </c>
      <c r="F2443" s="4" t="n">
        <v>23490</v>
      </c>
    </row>
    <row r="2444">
      <c r="D2444" s="2" t="inlineStr">
        <is>
          <t>SUBTOTAL UPAH</t>
        </is>
      </c>
      <c r="F2444" s="16" t="n">
        <v>16835</v>
      </c>
    </row>
    <row r="2445">
      <c r="D2445" s="2" t="inlineStr">
        <is>
          <t>SUBTOTAL BAHAN</t>
        </is>
      </c>
      <c r="F2445" s="16" t="n">
        <v>37782</v>
      </c>
    </row>
    <row r="2446">
      <c r="D2446" s="2" t="inlineStr">
        <is>
          <t>SUBTOTAL ALAT</t>
        </is>
      </c>
      <c r="F2446" s="16" t="n">
        <v>0</v>
      </c>
    </row>
    <row r="2447">
      <c r="E2447" s="2" t="inlineStr">
        <is>
          <t>TOTAL HARGA SATUAN (Inc. Overhead)</t>
        </is>
      </c>
      <c r="F2447" s="17" t="n">
        <v>60078</v>
      </c>
    </row>
    <row r="2449">
      <c r="A2449" s="14" t="inlineStr">
        <is>
          <t>KODE: 3.8.20.2 - Pengecatan 1 m2 plafon eksterior ( 1 lapis Cat Dasar dan 2 Lapis Cat Penutup)</t>
        </is>
      </c>
    </row>
    <row r="2450">
      <c r="A2450" s="10" t="inlineStr">
        <is>
          <t>No</t>
        </is>
      </c>
      <c r="B2450" s="10" t="inlineStr">
        <is>
          <t>Uraian Komponen</t>
        </is>
      </c>
      <c r="C2450" s="10" t="inlineStr">
        <is>
          <t>Satuan</t>
        </is>
      </c>
      <c r="D2450" s="10" t="inlineStr">
        <is>
          <t>Koef</t>
        </is>
      </c>
      <c r="E2450" s="10" t="inlineStr">
        <is>
          <t>Harga Satuan (Rp)</t>
        </is>
      </c>
      <c r="F2450" s="10" t="inlineStr">
        <is>
          <t>Jumlah Harga (Rp)</t>
        </is>
      </c>
    </row>
    <row r="2451">
      <c r="A2451" s="3" t="inlineStr">
        <is>
          <t>1</t>
        </is>
      </c>
      <c r="B2451" s="3" t="inlineStr">
        <is>
          <t>Pekerja</t>
        </is>
      </c>
      <c r="C2451" s="3" t="inlineStr">
        <is>
          <t>OH</t>
        </is>
      </c>
      <c r="D2451" s="15" t="n">
        <v>0.0625</v>
      </c>
      <c r="E2451" s="4" t="n">
        <v>100000</v>
      </c>
      <c r="F2451" s="4" t="n">
        <v>6250</v>
      </c>
    </row>
    <row r="2452">
      <c r="A2452" s="3" t="inlineStr">
        <is>
          <t>2</t>
        </is>
      </c>
      <c r="B2452" s="3" t="inlineStr">
        <is>
          <t>Tukang cat</t>
        </is>
      </c>
      <c r="C2452" s="3" t="inlineStr">
        <is>
          <t>OH</t>
        </is>
      </c>
      <c r="D2452" s="15" t="n">
        <v>0.0625</v>
      </c>
      <c r="E2452" s="4" t="n">
        <v>145000</v>
      </c>
      <c r="F2452" s="4" t="n">
        <v>9062.5</v>
      </c>
    </row>
    <row r="2453">
      <c r="A2453" s="3" t="inlineStr">
        <is>
          <t>3</t>
        </is>
      </c>
      <c r="B2453" s="3" t="inlineStr">
        <is>
          <t>Kepala tukang</t>
        </is>
      </c>
      <c r="C2453" s="3" t="inlineStr">
        <is>
          <t>OH</t>
        </is>
      </c>
      <c r="D2453" s="15" t="n">
        <v>0.0063</v>
      </c>
      <c r="E2453" s="4" t="n">
        <v>175000</v>
      </c>
      <c r="F2453" s="4" t="n">
        <v>1102.5</v>
      </c>
    </row>
    <row r="2454">
      <c r="A2454" s="3" t="inlineStr">
        <is>
          <t>4</t>
        </is>
      </c>
      <c r="B2454" s="3" t="inlineStr">
        <is>
          <t>Mandor</t>
        </is>
      </c>
      <c r="C2454" s="3" t="inlineStr">
        <is>
          <t>OH</t>
        </is>
      </c>
      <c r="D2454" s="15" t="n">
        <v>0.0021</v>
      </c>
      <c r="E2454" s="4" t="n">
        <v>200000</v>
      </c>
      <c r="F2454" s="4" t="n">
        <v>420</v>
      </c>
    </row>
    <row r="2455">
      <c r="A2455" s="3" t="inlineStr">
        <is>
          <t>1</t>
        </is>
      </c>
      <c r="B2455" s="3" t="inlineStr">
        <is>
          <t>Cat Dasar Plafond</t>
        </is>
      </c>
      <c r="C2455" s="3" t="inlineStr">
        <is>
          <t>kg</t>
        </is>
      </c>
      <c r="D2455" s="15" t="n">
        <v>0.12</v>
      </c>
      <c r="E2455" s="4" t="n">
        <v>128500</v>
      </c>
      <c r="F2455" s="4" t="n">
        <v>15420</v>
      </c>
    </row>
    <row r="2456">
      <c r="A2456" s="3" t="inlineStr">
        <is>
          <t>2</t>
        </is>
      </c>
      <c r="B2456" s="3" t="inlineStr">
        <is>
          <t>Cat Plafond Eksterior</t>
        </is>
      </c>
      <c r="C2456" s="3" t="inlineStr">
        <is>
          <t>kg</t>
        </is>
      </c>
      <c r="D2456" s="15" t="n">
        <v>0.18</v>
      </c>
      <c r="E2456" s="4" t="n">
        <v>119100</v>
      </c>
      <c r="F2456" s="4" t="n">
        <v>21438</v>
      </c>
    </row>
    <row r="2457">
      <c r="D2457" s="2" t="inlineStr">
        <is>
          <t>SUBTOTAL UPAH</t>
        </is>
      </c>
      <c r="F2457" s="16" t="n">
        <v>16835</v>
      </c>
    </row>
    <row r="2458">
      <c r="D2458" s="2" t="inlineStr">
        <is>
          <t>SUBTOTAL BAHAN</t>
        </is>
      </c>
      <c r="F2458" s="16" t="n">
        <v>36858</v>
      </c>
    </row>
    <row r="2459">
      <c r="D2459" s="2" t="inlineStr">
        <is>
          <t>SUBTOTAL ALAT</t>
        </is>
      </c>
      <c r="F2459" s="16" t="n">
        <v>0</v>
      </c>
    </row>
    <row r="2460">
      <c r="E2460" s="2" t="inlineStr">
        <is>
          <t>TOTAL HARGA SATUAN (Inc. Overhead)</t>
        </is>
      </c>
      <c r="F2460" s="17" t="n">
        <v>59062</v>
      </c>
    </row>
    <row r="2462">
      <c r="A2462" s="14" t="inlineStr">
        <is>
          <t>KODE: 3.9.1.2 - Pemasangan 1 m2 lantai ubin PC abu-abu uk. 30x30 cm (1SP : 2PP)</t>
        </is>
      </c>
    </row>
    <row r="2463">
      <c r="A2463" s="10" t="inlineStr">
        <is>
          <t>No</t>
        </is>
      </c>
      <c r="B2463" s="10" t="inlineStr">
        <is>
          <t>Uraian Komponen</t>
        </is>
      </c>
      <c r="C2463" s="10" t="inlineStr">
        <is>
          <t>Satuan</t>
        </is>
      </c>
      <c r="D2463" s="10" t="inlineStr">
        <is>
          <t>Koef</t>
        </is>
      </c>
      <c r="E2463" s="10" t="inlineStr">
        <is>
          <t>Harga Satuan (Rp)</t>
        </is>
      </c>
      <c r="F2463" s="10" t="inlineStr">
        <is>
          <t>Jumlah Harga (Rp)</t>
        </is>
      </c>
    </row>
    <row r="2464">
      <c r="A2464" s="3" t="inlineStr">
        <is>
          <t>1</t>
        </is>
      </c>
      <c r="B2464" s="3" t="inlineStr">
        <is>
          <t>Pekerja</t>
        </is>
      </c>
      <c r="C2464" s="3" t="inlineStr">
        <is>
          <t>OH</t>
        </is>
      </c>
      <c r="D2464" s="15" t="n">
        <v>0.1429</v>
      </c>
      <c r="E2464" s="4" t="n">
        <v>100000</v>
      </c>
      <c r="F2464" s="4" t="n">
        <v>14290</v>
      </c>
    </row>
    <row r="2465">
      <c r="A2465" s="3" t="inlineStr">
        <is>
          <t>2</t>
        </is>
      </c>
      <c r="B2465" s="3" t="inlineStr">
        <is>
          <t>Tukang batu</t>
        </is>
      </c>
      <c r="C2465" s="3" t="inlineStr">
        <is>
          <t>OH</t>
        </is>
      </c>
      <c r="D2465" s="15" t="n">
        <v>0.07140000000000001</v>
      </c>
      <c r="E2465" s="4" t="n">
        <v>145000</v>
      </c>
      <c r="F2465" s="4" t="n">
        <v>10353</v>
      </c>
    </row>
    <row r="2466">
      <c r="A2466" s="3" t="inlineStr">
        <is>
          <t>3</t>
        </is>
      </c>
      <c r="B2466" s="3" t="inlineStr">
        <is>
          <t>Kepala tukang</t>
        </is>
      </c>
      <c r="C2466" s="3" t="inlineStr">
        <is>
          <t>OH</t>
        </is>
      </c>
      <c r="D2466" s="15" t="n">
        <v>0.0071</v>
      </c>
      <c r="E2466" s="4" t="n">
        <v>175000</v>
      </c>
      <c r="F2466" s="4" t="n">
        <v>1242.5</v>
      </c>
    </row>
    <row r="2467">
      <c r="A2467" s="3" t="inlineStr">
        <is>
          <t>4</t>
        </is>
      </c>
      <c r="B2467" s="3" t="inlineStr">
        <is>
          <t>Mandor</t>
        </is>
      </c>
      <c r="C2467" s="3" t="inlineStr">
        <is>
          <t>OH</t>
        </is>
      </c>
      <c r="D2467" s="15" t="n">
        <v>0.0024</v>
      </c>
      <c r="E2467" s="4" t="n">
        <v>200000</v>
      </c>
      <c r="F2467" s="4" t="n">
        <v>479.9999999999999</v>
      </c>
    </row>
    <row r="2468">
      <c r="A2468" s="3" t="inlineStr">
        <is>
          <t>1</t>
        </is>
      </c>
      <c r="B2468" s="3" t="inlineStr">
        <is>
          <t>Ubin PC abu-abu 30x30 cm</t>
        </is>
      </c>
      <c r="C2468" s="3" t="inlineStr">
        <is>
          <t>buah</t>
        </is>
      </c>
      <c r="D2468" s="15" t="n">
        <v>11.667</v>
      </c>
      <c r="E2468" s="4" t="n">
        <v>3400</v>
      </c>
      <c r="F2468" s="4" t="n">
        <v>39667.8</v>
      </c>
    </row>
    <row r="2469">
      <c r="A2469" s="3" t="inlineStr">
        <is>
          <t>2</t>
        </is>
      </c>
      <c r="B2469" s="3" t="inlineStr">
        <is>
          <t>Semen portland (PC)</t>
        </is>
      </c>
      <c r="C2469" s="3" t="inlineStr">
        <is>
          <t>kg</t>
        </is>
      </c>
      <c r="D2469" s="15" t="n">
        <v>13.632</v>
      </c>
      <c r="E2469" s="4" t="n">
        <v>1300</v>
      </c>
      <c r="F2469" s="4" t="n">
        <v>17721.6</v>
      </c>
    </row>
    <row r="2470">
      <c r="A2470" s="3" t="inlineStr">
        <is>
          <t>4</t>
        </is>
      </c>
      <c r="B2470" s="3" t="inlineStr">
        <is>
          <t>Pasir pasang (quarry - lokasi pekerjaan)</t>
        </is>
      </c>
      <c r="C2470" s="3" t="inlineStr">
        <is>
          <t>m3</t>
        </is>
      </c>
      <c r="D2470" s="15" t="n">
        <v>0.027</v>
      </c>
      <c r="E2470" s="4" t="n">
        <v>275000</v>
      </c>
      <c r="F2470" s="4" t="n">
        <v>7425</v>
      </c>
    </row>
    <row r="2471">
      <c r="D2471" s="2" t="inlineStr">
        <is>
          <t>SUBTOTAL UPAH</t>
        </is>
      </c>
      <c r="F2471" s="16" t="n">
        <v>26365.5</v>
      </c>
    </row>
    <row r="2472">
      <c r="D2472" s="2" t="inlineStr">
        <is>
          <t>SUBTOTAL BAHAN</t>
        </is>
      </c>
      <c r="F2472" s="16" t="n">
        <v>64814.4</v>
      </c>
    </row>
    <row r="2473">
      <c r="D2473" s="2" t="inlineStr">
        <is>
          <t>SUBTOTAL ALAT</t>
        </is>
      </c>
      <c r="F2473" s="16" t="n">
        <v>0</v>
      </c>
    </row>
    <row r="2474">
      <c r="E2474" s="2" t="inlineStr">
        <is>
          <t>TOTAL HARGA SATUAN (Inc. Overhead)</t>
        </is>
      </c>
      <c r="F2474" s="17" t="n">
        <v>100297</v>
      </c>
    </row>
    <row r="2476">
      <c r="A2476" s="14" t="inlineStr">
        <is>
          <t>KODE: 3.9.1.3 - Pemasangan 1 m2 lantai ubin PC abu-abu uk. 40x40 cm (1SP : 2PP)</t>
        </is>
      </c>
    </row>
    <row r="2477">
      <c r="A2477" s="10" t="inlineStr">
        <is>
          <t>No</t>
        </is>
      </c>
      <c r="B2477" s="10" t="inlineStr">
        <is>
          <t>Uraian Komponen</t>
        </is>
      </c>
      <c r="C2477" s="10" t="inlineStr">
        <is>
          <t>Satuan</t>
        </is>
      </c>
      <c r="D2477" s="10" t="inlineStr">
        <is>
          <t>Koef</t>
        </is>
      </c>
      <c r="E2477" s="10" t="inlineStr">
        <is>
          <t>Harga Satuan (Rp)</t>
        </is>
      </c>
      <c r="F2477" s="10" t="inlineStr">
        <is>
          <t>Jumlah Harga (Rp)</t>
        </is>
      </c>
    </row>
    <row r="2478">
      <c r="A2478" s="3" t="inlineStr">
        <is>
          <t>1</t>
        </is>
      </c>
      <c r="B2478" s="3" t="inlineStr">
        <is>
          <t>Pekerja</t>
        </is>
      </c>
      <c r="C2478" s="3" t="inlineStr">
        <is>
          <t>OH</t>
        </is>
      </c>
      <c r="D2478" s="15" t="n">
        <v>0.1538</v>
      </c>
      <c r="E2478" s="4" t="n">
        <v>100000</v>
      </c>
      <c r="F2478" s="4" t="n">
        <v>15380</v>
      </c>
    </row>
    <row r="2479">
      <c r="A2479" s="3" t="inlineStr">
        <is>
          <t>2</t>
        </is>
      </c>
      <c r="B2479" s="3" t="inlineStr">
        <is>
          <t>Tukang batu</t>
        </is>
      </c>
      <c r="C2479" s="3" t="inlineStr">
        <is>
          <t>OH</t>
        </is>
      </c>
      <c r="D2479" s="15" t="n">
        <v>0.0769</v>
      </c>
      <c r="E2479" s="4" t="n">
        <v>145000</v>
      </c>
      <c r="F2479" s="4" t="n">
        <v>11150.5</v>
      </c>
    </row>
    <row r="2480">
      <c r="A2480" s="3" t="inlineStr">
        <is>
          <t>3</t>
        </is>
      </c>
      <c r="B2480" s="3" t="inlineStr">
        <is>
          <t>Kepala tukang</t>
        </is>
      </c>
      <c r="C2480" s="3" t="inlineStr">
        <is>
          <t>OH</t>
        </is>
      </c>
      <c r="D2480" s="15" t="n">
        <v>0.0077</v>
      </c>
      <c r="E2480" s="4" t="n">
        <v>175000</v>
      </c>
      <c r="F2480" s="4" t="n">
        <v>1347.5</v>
      </c>
    </row>
    <row r="2481">
      <c r="A2481" s="3" t="inlineStr">
        <is>
          <t>4</t>
        </is>
      </c>
      <c r="B2481" s="3" t="inlineStr">
        <is>
          <t>Mandor</t>
        </is>
      </c>
      <c r="C2481" s="3" t="inlineStr">
        <is>
          <t>OH</t>
        </is>
      </c>
      <c r="D2481" s="15" t="n">
        <v>0.0026</v>
      </c>
      <c r="E2481" s="4" t="n">
        <v>200000</v>
      </c>
      <c r="F2481" s="4" t="n">
        <v>520</v>
      </c>
    </row>
    <row r="2482">
      <c r="A2482" s="3" t="inlineStr">
        <is>
          <t>1</t>
        </is>
      </c>
      <c r="B2482" s="3" t="inlineStr">
        <is>
          <t>Ubin PC abu-abu 40x40 cm</t>
        </is>
      </c>
      <c r="C2482" s="3" t="inlineStr">
        <is>
          <t>buah</t>
        </is>
      </c>
      <c r="D2482" s="15" t="n">
        <v>6.563</v>
      </c>
      <c r="E2482" s="4" t="n">
        <v>4600</v>
      </c>
      <c r="F2482" s="4" t="n">
        <v>30189.8</v>
      </c>
    </row>
    <row r="2483">
      <c r="A2483" s="3" t="inlineStr">
        <is>
          <t>2</t>
        </is>
      </c>
      <c r="B2483" s="3" t="inlineStr">
        <is>
          <t>Semen portland (PC)</t>
        </is>
      </c>
      <c r="C2483" s="3" t="inlineStr">
        <is>
          <t>kg</t>
        </is>
      </c>
      <c r="D2483" s="15" t="n">
        <v>13.632</v>
      </c>
      <c r="E2483" s="4" t="n">
        <v>1300</v>
      </c>
      <c r="F2483" s="4" t="n">
        <v>17721.6</v>
      </c>
    </row>
    <row r="2484">
      <c r="A2484" s="3" t="inlineStr">
        <is>
          <t>4</t>
        </is>
      </c>
      <c r="B2484" s="3" t="inlineStr">
        <is>
          <t>Pasir pasang (quarry - lokasi pekerjaan)</t>
        </is>
      </c>
      <c r="C2484" s="3" t="inlineStr">
        <is>
          <t>m3</t>
        </is>
      </c>
      <c r="D2484" s="15" t="n">
        <v>0.027</v>
      </c>
      <c r="E2484" s="4" t="n">
        <v>275000</v>
      </c>
      <c r="F2484" s="4" t="n">
        <v>7425</v>
      </c>
    </row>
    <row r="2485">
      <c r="D2485" s="2" t="inlineStr">
        <is>
          <t>SUBTOTAL UPAH</t>
        </is>
      </c>
      <c r="F2485" s="16" t="n">
        <v>28398</v>
      </c>
    </row>
    <row r="2486">
      <c r="D2486" s="2" t="inlineStr">
        <is>
          <t>SUBTOTAL BAHAN</t>
        </is>
      </c>
      <c r="F2486" s="16" t="n">
        <v>55336.39999999999</v>
      </c>
    </row>
    <row r="2487">
      <c r="D2487" s="2" t="inlineStr">
        <is>
          <t>SUBTOTAL ALAT</t>
        </is>
      </c>
      <c r="F2487" s="16" t="n">
        <v>0</v>
      </c>
    </row>
    <row r="2488">
      <c r="E2488" s="2" t="inlineStr">
        <is>
          <t>TOTAL HARGA SATUAN (Inc. Overhead)</t>
        </is>
      </c>
      <c r="F2488" s="17" t="n">
        <v>92107</v>
      </c>
    </row>
    <row r="2490">
      <c r="A2490" s="14" t="inlineStr">
        <is>
          <t>KODE: 3.9.1.4 - Pemasangan 1 m2 lantai ubin PC abu-abu uk. 60x60 cm (1SP : 2PP)</t>
        </is>
      </c>
    </row>
    <row r="2491">
      <c r="A2491" s="10" t="inlineStr">
        <is>
          <t>No</t>
        </is>
      </c>
      <c r="B2491" s="10" t="inlineStr">
        <is>
          <t>Uraian Komponen</t>
        </is>
      </c>
      <c r="C2491" s="10" t="inlineStr">
        <is>
          <t>Satuan</t>
        </is>
      </c>
      <c r="D2491" s="10" t="inlineStr">
        <is>
          <t>Koef</t>
        </is>
      </c>
      <c r="E2491" s="10" t="inlineStr">
        <is>
          <t>Harga Satuan (Rp)</t>
        </is>
      </c>
      <c r="F2491" s="10" t="inlineStr">
        <is>
          <t>Jumlah Harga (Rp)</t>
        </is>
      </c>
    </row>
    <row r="2492">
      <c r="A2492" s="3" t="inlineStr">
        <is>
          <t>1</t>
        </is>
      </c>
      <c r="B2492" s="3" t="inlineStr">
        <is>
          <t>Pekerja</t>
        </is>
      </c>
      <c r="C2492" s="3" t="inlineStr">
        <is>
          <t>OH</t>
        </is>
      </c>
      <c r="D2492" s="15" t="n">
        <v>0.25</v>
      </c>
      <c r="E2492" s="4" t="n">
        <v>100000</v>
      </c>
      <c r="F2492" s="4" t="n">
        <v>25000</v>
      </c>
    </row>
    <row r="2493">
      <c r="A2493" s="3" t="inlineStr">
        <is>
          <t>2</t>
        </is>
      </c>
      <c r="B2493" s="3" t="inlineStr">
        <is>
          <t>Tukang batu</t>
        </is>
      </c>
      <c r="C2493" s="3" t="inlineStr">
        <is>
          <t>OH</t>
        </is>
      </c>
      <c r="D2493" s="15" t="n">
        <v>0.0833</v>
      </c>
      <c r="E2493" s="4" t="n">
        <v>145000</v>
      </c>
      <c r="F2493" s="4" t="n">
        <v>12078.5</v>
      </c>
    </row>
    <row r="2494">
      <c r="A2494" s="3" t="inlineStr">
        <is>
          <t>3</t>
        </is>
      </c>
      <c r="B2494" s="3" t="inlineStr">
        <is>
          <t>Kepala tukang</t>
        </is>
      </c>
      <c r="C2494" s="3" t="inlineStr">
        <is>
          <t>OH</t>
        </is>
      </c>
      <c r="D2494" s="15" t="n">
        <v>0.0083</v>
      </c>
      <c r="E2494" s="4" t="n">
        <v>175000</v>
      </c>
      <c r="F2494" s="4" t="n">
        <v>1452.5</v>
      </c>
    </row>
    <row r="2495">
      <c r="A2495" s="3" t="inlineStr">
        <is>
          <t>4</t>
        </is>
      </c>
      <c r="B2495" s="3" t="inlineStr">
        <is>
          <t>Mandor</t>
        </is>
      </c>
      <c r="C2495" s="3" t="inlineStr">
        <is>
          <t>OH</t>
        </is>
      </c>
      <c r="D2495" s="15" t="n">
        <v>0.0028</v>
      </c>
      <c r="E2495" s="4" t="n">
        <v>200000</v>
      </c>
      <c r="F2495" s="4" t="n">
        <v>560</v>
      </c>
    </row>
    <row r="2496">
      <c r="A2496" s="3" t="inlineStr">
        <is>
          <t>1</t>
        </is>
      </c>
      <c r="B2496" s="3" t="inlineStr">
        <is>
          <t>Ubin PC abu-abu 60x60 cm</t>
        </is>
      </c>
      <c r="C2496" s="3" t="inlineStr">
        <is>
          <t>buah</t>
        </is>
      </c>
      <c r="D2496" s="15" t="n">
        <v>2.917</v>
      </c>
      <c r="E2496" s="4" t="n">
        <v>6000</v>
      </c>
      <c r="F2496" s="4" t="n">
        <v>17502</v>
      </c>
    </row>
    <row r="2497">
      <c r="A2497" s="3" t="inlineStr">
        <is>
          <t>2</t>
        </is>
      </c>
      <c r="B2497" s="3" t="inlineStr">
        <is>
          <t>Semen portland (PC)</t>
        </is>
      </c>
      <c r="C2497" s="3" t="inlineStr">
        <is>
          <t>kg</t>
        </is>
      </c>
      <c r="D2497" s="15" t="n">
        <v>13.632</v>
      </c>
      <c r="E2497" s="4" t="n">
        <v>1300</v>
      </c>
      <c r="F2497" s="4" t="n">
        <v>17721.6</v>
      </c>
    </row>
    <row r="2498">
      <c r="A2498" s="3" t="inlineStr">
        <is>
          <t>4</t>
        </is>
      </c>
      <c r="B2498" s="3" t="inlineStr">
        <is>
          <t>Pasir pasang (quarry - lokasi pekerjaan)</t>
        </is>
      </c>
      <c r="C2498" s="3" t="inlineStr">
        <is>
          <t>m3</t>
        </is>
      </c>
      <c r="D2498" s="15" t="n">
        <v>0.027</v>
      </c>
      <c r="E2498" s="4" t="n">
        <v>275000</v>
      </c>
      <c r="F2498" s="4" t="n">
        <v>7425</v>
      </c>
    </row>
    <row r="2499">
      <c r="D2499" s="2" t="inlineStr">
        <is>
          <t>SUBTOTAL UPAH</t>
        </is>
      </c>
      <c r="F2499" s="16" t="n">
        <v>39091</v>
      </c>
    </row>
    <row r="2500">
      <c r="D2500" s="2" t="inlineStr">
        <is>
          <t>SUBTOTAL BAHAN</t>
        </is>
      </c>
      <c r="F2500" s="16" t="n">
        <v>42648.6</v>
      </c>
    </row>
    <row r="2501">
      <c r="D2501" s="2" t="inlineStr">
        <is>
          <t>SUBTOTAL ALAT</t>
        </is>
      </c>
      <c r="F2501" s="16" t="n">
        <v>0</v>
      </c>
    </row>
    <row r="2502">
      <c r="E2502" s="2" t="inlineStr">
        <is>
          <t>TOTAL HARGA SATUAN (Inc. Overhead)</t>
        </is>
      </c>
      <c r="F2502" s="17" t="n">
        <v>89913</v>
      </c>
    </row>
    <row r="2504">
      <c r="A2504" s="14" t="inlineStr">
        <is>
          <t>KODE: 3.9.1.5 - Pemasangan 1 m’ plint ubin PC abu-abu uk. 10 s.d. 15x20 cm (1SP : 2PP)</t>
        </is>
      </c>
    </row>
    <row r="2505">
      <c r="A2505" s="10" t="inlineStr">
        <is>
          <t>No</t>
        </is>
      </c>
      <c r="B2505" s="10" t="inlineStr">
        <is>
          <t>Uraian Komponen</t>
        </is>
      </c>
      <c r="C2505" s="10" t="inlineStr">
        <is>
          <t>Satuan</t>
        </is>
      </c>
      <c r="D2505" s="10" t="inlineStr">
        <is>
          <t>Koef</t>
        </is>
      </c>
      <c r="E2505" s="10" t="inlineStr">
        <is>
          <t>Harga Satuan (Rp)</t>
        </is>
      </c>
      <c r="F2505" s="10" t="inlineStr">
        <is>
          <t>Jumlah Harga (Rp)</t>
        </is>
      </c>
    </row>
    <row r="2506">
      <c r="A2506" s="3" t="inlineStr">
        <is>
          <t>1</t>
        </is>
      </c>
      <c r="B2506" s="3" t="inlineStr">
        <is>
          <t>Pekerja</t>
        </is>
      </c>
      <c r="C2506" s="3" t="inlineStr">
        <is>
          <t>OH</t>
        </is>
      </c>
      <c r="D2506" s="15" t="n">
        <v>0.0571</v>
      </c>
      <c r="E2506" s="4" t="n">
        <v>100000</v>
      </c>
      <c r="F2506" s="4" t="n">
        <v>5710</v>
      </c>
    </row>
    <row r="2507">
      <c r="A2507" s="3" t="inlineStr">
        <is>
          <t>2</t>
        </is>
      </c>
      <c r="B2507" s="3" t="inlineStr">
        <is>
          <t>Tukang batu</t>
        </is>
      </c>
      <c r="C2507" s="3" t="inlineStr">
        <is>
          <t>OH</t>
        </is>
      </c>
      <c r="D2507" s="15" t="n">
        <v>0.0286</v>
      </c>
      <c r="E2507" s="4" t="n">
        <v>145000</v>
      </c>
      <c r="F2507" s="4" t="n">
        <v>4147</v>
      </c>
    </row>
    <row r="2508">
      <c r="A2508" s="3" t="inlineStr">
        <is>
          <t>3</t>
        </is>
      </c>
      <c r="B2508" s="3" t="inlineStr">
        <is>
          <t>Kepala tukang</t>
        </is>
      </c>
      <c r="C2508" s="3" t="inlineStr">
        <is>
          <t>OH</t>
        </is>
      </c>
      <c r="D2508" s="15" t="n">
        <v>0.0029</v>
      </c>
      <c r="E2508" s="4" t="n">
        <v>175000</v>
      </c>
      <c r="F2508" s="4" t="n">
        <v>507.4999999999999</v>
      </c>
    </row>
    <row r="2509">
      <c r="A2509" s="3" t="inlineStr">
        <is>
          <t>4</t>
        </is>
      </c>
      <c r="B2509" s="3" t="inlineStr">
        <is>
          <t>Mandor</t>
        </is>
      </c>
      <c r="C2509" s="3" t="inlineStr">
        <is>
          <t>OH</t>
        </is>
      </c>
      <c r="D2509" s="15" t="n">
        <v>0.001</v>
      </c>
      <c r="E2509" s="4" t="n">
        <v>200000</v>
      </c>
      <c r="F2509" s="4" t="n">
        <v>200</v>
      </c>
    </row>
    <row r="2510">
      <c r="A2510" s="3" t="inlineStr">
        <is>
          <t>1</t>
        </is>
      </c>
      <c r="B2510" s="3" t="inlineStr">
        <is>
          <t>Plint ubin PC abu-abu uk. 10-15x20 cm</t>
        </is>
      </c>
      <c r="C2510" s="3" t="inlineStr">
        <is>
          <t>buah</t>
        </is>
      </c>
      <c r="D2510" s="15" t="n">
        <v>5.25</v>
      </c>
      <c r="E2510" s="4" t="n">
        <v>1000</v>
      </c>
      <c r="F2510" s="4" t="n">
        <v>5250</v>
      </c>
    </row>
    <row r="2511">
      <c r="A2511" s="3" t="inlineStr">
        <is>
          <t>2</t>
        </is>
      </c>
      <c r="B2511" s="3" t="inlineStr">
        <is>
          <t>Semen portland (PC)</t>
        </is>
      </c>
      <c r="C2511" s="3" t="inlineStr">
        <is>
          <t>kg</t>
        </is>
      </c>
      <c r="D2511" s="15" t="n">
        <v>1.704</v>
      </c>
      <c r="E2511" s="4" t="n">
        <v>1300</v>
      </c>
      <c r="F2511" s="4" t="n">
        <v>2215.2</v>
      </c>
    </row>
    <row r="2512">
      <c r="A2512" s="3" t="inlineStr">
        <is>
          <t>4</t>
        </is>
      </c>
      <c r="B2512" s="3" t="inlineStr">
        <is>
          <t>Pasir pasang (quarry - lokasi pekerjaan)</t>
        </is>
      </c>
      <c r="C2512" s="3" t="inlineStr">
        <is>
          <t>m3</t>
        </is>
      </c>
      <c r="D2512" s="15" t="n">
        <v>0.003</v>
      </c>
      <c r="E2512" s="4" t="n">
        <v>275000</v>
      </c>
      <c r="F2512" s="4" t="n">
        <v>825</v>
      </c>
    </row>
    <row r="2513">
      <c r="D2513" s="2" t="inlineStr">
        <is>
          <t>SUBTOTAL UPAH</t>
        </is>
      </c>
      <c r="F2513" s="16" t="n">
        <v>10564.5</v>
      </c>
    </row>
    <row r="2514">
      <c r="D2514" s="2" t="inlineStr">
        <is>
          <t>SUBTOTAL BAHAN</t>
        </is>
      </c>
      <c r="F2514" s="16" t="n">
        <v>8290.200000000001</v>
      </c>
    </row>
    <row r="2515">
      <c r="D2515" s="2" t="inlineStr">
        <is>
          <t>SUBTOTAL ALAT</t>
        </is>
      </c>
      <c r="F2515" s="16" t="n">
        <v>0</v>
      </c>
    </row>
    <row r="2516">
      <c r="E2516" s="2" t="inlineStr">
        <is>
          <t>TOTAL HARGA SATUAN (Inc. Overhead)</t>
        </is>
      </c>
      <c r="F2516" s="17" t="n">
        <v>20740</v>
      </c>
    </row>
    <row r="2518">
      <c r="A2518" s="14" t="inlineStr">
        <is>
          <t>KODE: 3.9.1.6 - Pemasangan 1 m’ plint ubin PC abu-abu uk. 10 s.d. 15x30 cm (1SP : 2PP)</t>
        </is>
      </c>
    </row>
    <row r="2519">
      <c r="A2519" s="10" t="inlineStr">
        <is>
          <t>No</t>
        </is>
      </c>
      <c r="B2519" s="10" t="inlineStr">
        <is>
          <t>Uraian Komponen</t>
        </is>
      </c>
      <c r="C2519" s="10" t="inlineStr">
        <is>
          <t>Satuan</t>
        </is>
      </c>
      <c r="D2519" s="10" t="inlineStr">
        <is>
          <t>Koef</t>
        </is>
      </c>
      <c r="E2519" s="10" t="inlineStr">
        <is>
          <t>Harga Satuan (Rp)</t>
        </is>
      </c>
      <c r="F2519" s="10" t="inlineStr">
        <is>
          <t>Jumlah Harga (Rp)</t>
        </is>
      </c>
    </row>
    <row r="2520">
      <c r="A2520" s="3" t="inlineStr">
        <is>
          <t>1</t>
        </is>
      </c>
      <c r="B2520" s="3" t="inlineStr">
        <is>
          <t>Pekerja</t>
        </is>
      </c>
      <c r="C2520" s="3" t="inlineStr">
        <is>
          <t>OH</t>
        </is>
      </c>
      <c r="D2520" s="15" t="n">
        <v>0.0625</v>
      </c>
      <c r="E2520" s="4" t="n">
        <v>100000</v>
      </c>
      <c r="F2520" s="4" t="n">
        <v>6250</v>
      </c>
    </row>
    <row r="2521">
      <c r="A2521" s="3" t="inlineStr">
        <is>
          <t>2</t>
        </is>
      </c>
      <c r="B2521" s="3" t="inlineStr">
        <is>
          <t>Tukang batu</t>
        </is>
      </c>
      <c r="C2521" s="3" t="inlineStr">
        <is>
          <t>OH</t>
        </is>
      </c>
      <c r="D2521" s="15" t="n">
        <v>0.0313</v>
      </c>
      <c r="E2521" s="4" t="n">
        <v>145000</v>
      </c>
      <c r="F2521" s="4" t="n">
        <v>4538.5</v>
      </c>
    </row>
    <row r="2522">
      <c r="A2522" s="3" t="inlineStr">
        <is>
          <t>3</t>
        </is>
      </c>
      <c r="B2522" s="3" t="inlineStr">
        <is>
          <t>Kepala tukang</t>
        </is>
      </c>
      <c r="C2522" s="3" t="inlineStr">
        <is>
          <t>OH</t>
        </is>
      </c>
      <c r="D2522" s="15" t="n">
        <v>0.0031</v>
      </c>
      <c r="E2522" s="4" t="n">
        <v>175000</v>
      </c>
      <c r="F2522" s="4" t="n">
        <v>542.5</v>
      </c>
    </row>
    <row r="2523">
      <c r="A2523" s="3" t="inlineStr">
        <is>
          <t>4</t>
        </is>
      </c>
      <c r="B2523" s="3" t="inlineStr">
        <is>
          <t>Mandor</t>
        </is>
      </c>
      <c r="C2523" s="3" t="inlineStr">
        <is>
          <t>OH</t>
        </is>
      </c>
      <c r="D2523" s="15" t="n">
        <v>0.001</v>
      </c>
      <c r="E2523" s="4" t="n">
        <v>200000</v>
      </c>
      <c r="F2523" s="4" t="n">
        <v>200</v>
      </c>
    </row>
    <row r="2524">
      <c r="A2524" s="3" t="inlineStr">
        <is>
          <t>1</t>
        </is>
      </c>
      <c r="B2524" s="3" t="inlineStr">
        <is>
          <t>Plint ubin PC abu-abu uk. 10-15x30 cm</t>
        </is>
      </c>
      <c r="C2524" s="3" t="inlineStr">
        <is>
          <t>buah</t>
        </is>
      </c>
      <c r="D2524" s="15" t="n">
        <v>3.5</v>
      </c>
      <c r="E2524" s="4" t="n">
        <v>1500</v>
      </c>
      <c r="F2524" s="4" t="n">
        <v>5250</v>
      </c>
    </row>
    <row r="2525">
      <c r="A2525" s="3" t="inlineStr">
        <is>
          <t>2</t>
        </is>
      </c>
      <c r="B2525" s="3" t="inlineStr">
        <is>
          <t>Semen portland (PC)</t>
        </is>
      </c>
      <c r="C2525" s="3" t="inlineStr">
        <is>
          <t>kg</t>
        </is>
      </c>
      <c r="D2525" s="15" t="n">
        <v>1.704</v>
      </c>
      <c r="E2525" s="4" t="n">
        <v>1300</v>
      </c>
      <c r="F2525" s="4" t="n">
        <v>2215.2</v>
      </c>
    </row>
    <row r="2526">
      <c r="A2526" s="3" t="inlineStr">
        <is>
          <t>4</t>
        </is>
      </c>
      <c r="B2526" s="3" t="inlineStr">
        <is>
          <t>Pasir pasang (quarry - lokasi pekerjaan)</t>
        </is>
      </c>
      <c r="C2526" s="3" t="inlineStr">
        <is>
          <t>m3</t>
        </is>
      </c>
      <c r="D2526" s="15" t="n">
        <v>0.003</v>
      </c>
      <c r="E2526" s="4" t="n">
        <v>275000</v>
      </c>
      <c r="F2526" s="4" t="n">
        <v>825</v>
      </c>
    </row>
    <row r="2527">
      <c r="D2527" s="2" t="inlineStr">
        <is>
          <t>SUBTOTAL UPAH</t>
        </is>
      </c>
      <c r="F2527" s="16" t="n">
        <v>11531</v>
      </c>
    </row>
    <row r="2528">
      <c r="D2528" s="2" t="inlineStr">
        <is>
          <t>SUBTOTAL BAHAN</t>
        </is>
      </c>
      <c r="F2528" s="16" t="n">
        <v>8290.200000000001</v>
      </c>
    </row>
    <row r="2529">
      <c r="D2529" s="2" t="inlineStr">
        <is>
          <t>SUBTOTAL ALAT</t>
        </is>
      </c>
      <c r="F2529" s="16" t="n">
        <v>0</v>
      </c>
    </row>
    <row r="2530">
      <c r="E2530" s="2" t="inlineStr">
        <is>
          <t>TOTAL HARGA SATUAN (Inc. Overhead)</t>
        </is>
      </c>
      <c r="F2530" s="17" t="n">
        <v>21803</v>
      </c>
    </row>
    <row r="2532">
      <c r="A2532" s="14" t="inlineStr">
        <is>
          <t>KODE: 3.9.1.7 - Pemasangan 1 m’ plint ubin PC abu-abu uk. 10 s.d. 15x40 cm (1SP : 2PP)</t>
        </is>
      </c>
    </row>
    <row r="2533">
      <c r="A2533" s="10" t="inlineStr">
        <is>
          <t>No</t>
        </is>
      </c>
      <c r="B2533" s="10" t="inlineStr">
        <is>
          <t>Uraian Komponen</t>
        </is>
      </c>
      <c r="C2533" s="10" t="inlineStr">
        <is>
          <t>Satuan</t>
        </is>
      </c>
      <c r="D2533" s="10" t="inlineStr">
        <is>
          <t>Koef</t>
        </is>
      </c>
      <c r="E2533" s="10" t="inlineStr">
        <is>
          <t>Harga Satuan (Rp)</t>
        </is>
      </c>
      <c r="F2533" s="10" t="inlineStr">
        <is>
          <t>Jumlah Harga (Rp)</t>
        </is>
      </c>
    </row>
    <row r="2534">
      <c r="A2534" s="3" t="inlineStr">
        <is>
          <t>1</t>
        </is>
      </c>
      <c r="B2534" s="3" t="inlineStr">
        <is>
          <t>Pekerja</t>
        </is>
      </c>
      <c r="C2534" s="3" t="inlineStr">
        <is>
          <t>OH</t>
        </is>
      </c>
      <c r="D2534" s="15" t="n">
        <v>0.0667</v>
      </c>
      <c r="E2534" s="4" t="n">
        <v>100000</v>
      </c>
      <c r="F2534" s="4" t="n">
        <v>6669.999999999999</v>
      </c>
    </row>
    <row r="2535">
      <c r="A2535" s="3" t="inlineStr">
        <is>
          <t>2</t>
        </is>
      </c>
      <c r="B2535" s="3" t="inlineStr">
        <is>
          <t>Tukang batu</t>
        </is>
      </c>
      <c r="C2535" s="3" t="inlineStr">
        <is>
          <t>OH</t>
        </is>
      </c>
      <c r="D2535" s="15" t="n">
        <v>0.0333</v>
      </c>
      <c r="E2535" s="4" t="n">
        <v>145000</v>
      </c>
      <c r="F2535" s="4" t="n">
        <v>4828.500000000001</v>
      </c>
    </row>
    <row r="2536">
      <c r="A2536" s="3" t="inlineStr">
        <is>
          <t>3</t>
        </is>
      </c>
      <c r="B2536" s="3" t="inlineStr">
        <is>
          <t>Kepala tukang</t>
        </is>
      </c>
      <c r="C2536" s="3" t="inlineStr">
        <is>
          <t>OH</t>
        </is>
      </c>
      <c r="D2536" s="15" t="n">
        <v>0.0033</v>
      </c>
      <c r="E2536" s="4" t="n">
        <v>175000</v>
      </c>
      <c r="F2536" s="4" t="n">
        <v>577.5</v>
      </c>
    </row>
    <row r="2537">
      <c r="A2537" s="3" t="inlineStr">
        <is>
          <t>4</t>
        </is>
      </c>
      <c r="B2537" s="3" t="inlineStr">
        <is>
          <t>Mandor</t>
        </is>
      </c>
      <c r="C2537" s="3" t="inlineStr">
        <is>
          <t>OH</t>
        </is>
      </c>
      <c r="D2537" s="15" t="n">
        <v>0.0011</v>
      </c>
      <c r="E2537" s="4" t="n">
        <v>200000</v>
      </c>
      <c r="F2537" s="4" t="n">
        <v>220</v>
      </c>
    </row>
    <row r="2538">
      <c r="A2538" s="3" t="inlineStr">
        <is>
          <t>1</t>
        </is>
      </c>
      <c r="B2538" s="3" t="inlineStr">
        <is>
          <t>Plint ubin PC abu-abu uk. 10-15x40 cm</t>
        </is>
      </c>
      <c r="C2538" s="3" t="inlineStr">
        <is>
          <t>buah</t>
        </is>
      </c>
      <c r="D2538" s="15" t="n">
        <v>2.625</v>
      </c>
      <c r="E2538" s="4" t="n">
        <v>2000</v>
      </c>
      <c r="F2538" s="4" t="n">
        <v>5250</v>
      </c>
    </row>
    <row r="2539">
      <c r="A2539" s="3" t="inlineStr">
        <is>
          <t>2</t>
        </is>
      </c>
      <c r="B2539" s="3" t="inlineStr">
        <is>
          <t>Semen portland (PC)</t>
        </is>
      </c>
      <c r="C2539" s="3" t="inlineStr">
        <is>
          <t>kg</t>
        </is>
      </c>
      <c r="D2539" s="15" t="n">
        <v>1.704</v>
      </c>
      <c r="E2539" s="4" t="n">
        <v>1300</v>
      </c>
      <c r="F2539" s="4" t="n">
        <v>2215.2</v>
      </c>
    </row>
    <row r="2540">
      <c r="A2540" s="3" t="inlineStr">
        <is>
          <t>4</t>
        </is>
      </c>
      <c r="B2540" s="3" t="inlineStr">
        <is>
          <t>Pasir pasang (quarry - lokasi pekerjaan)</t>
        </is>
      </c>
      <c r="C2540" s="3" t="inlineStr">
        <is>
          <t>m3</t>
        </is>
      </c>
      <c r="D2540" s="15" t="n">
        <v>0.003</v>
      </c>
      <c r="E2540" s="4" t="n">
        <v>275000</v>
      </c>
      <c r="F2540" s="4" t="n">
        <v>825</v>
      </c>
    </row>
    <row r="2541">
      <c r="D2541" s="2" t="inlineStr">
        <is>
          <t>SUBTOTAL UPAH</t>
        </is>
      </c>
      <c r="F2541" s="16" t="n">
        <v>12296</v>
      </c>
    </row>
    <row r="2542">
      <c r="D2542" s="2" t="inlineStr">
        <is>
          <t>SUBTOTAL BAHAN</t>
        </is>
      </c>
      <c r="F2542" s="16" t="n">
        <v>8290.200000000001</v>
      </c>
    </row>
    <row r="2543">
      <c r="D2543" s="2" t="inlineStr">
        <is>
          <t>SUBTOTAL ALAT</t>
        </is>
      </c>
      <c r="F2543" s="16" t="n">
        <v>0</v>
      </c>
    </row>
    <row r="2544">
      <c r="E2544" s="2" t="inlineStr">
        <is>
          <t>TOTAL HARGA SATUAN (Inc. Overhead)</t>
        </is>
      </c>
      <c r="F2544" s="17" t="n">
        <v>22644</v>
      </c>
    </row>
    <row r="2546">
      <c r="A2546" s="14" t="inlineStr">
        <is>
          <t>KODE: 3.9.1.8 - Pemasangan 1 m’ plint ubin PC abu-abu uk. 10 s.d. 15x60 cm (1SP : 2PP)</t>
        </is>
      </c>
    </row>
    <row r="2547">
      <c r="A2547" s="10" t="inlineStr">
        <is>
          <t>No</t>
        </is>
      </c>
      <c r="B2547" s="10" t="inlineStr">
        <is>
          <t>Uraian Komponen</t>
        </is>
      </c>
      <c r="C2547" s="10" t="inlineStr">
        <is>
          <t>Satuan</t>
        </is>
      </c>
      <c r="D2547" s="10" t="inlineStr">
        <is>
          <t>Koef</t>
        </is>
      </c>
      <c r="E2547" s="10" t="inlineStr">
        <is>
          <t>Harga Satuan (Rp)</t>
        </is>
      </c>
      <c r="F2547" s="10" t="inlineStr">
        <is>
          <t>Jumlah Harga (Rp)</t>
        </is>
      </c>
    </row>
    <row r="2548">
      <c r="A2548" s="3" t="inlineStr">
        <is>
          <t>1</t>
        </is>
      </c>
      <c r="B2548" s="3" t="inlineStr">
        <is>
          <t>Pekerja</t>
        </is>
      </c>
      <c r="C2548" s="3" t="inlineStr">
        <is>
          <t>OH</t>
        </is>
      </c>
      <c r="D2548" s="15" t="n">
        <v>0.07140000000000001</v>
      </c>
      <c r="E2548" s="4" t="n">
        <v>100000</v>
      </c>
      <c r="F2548" s="4" t="n">
        <v>7140.000000000001</v>
      </c>
    </row>
    <row r="2549">
      <c r="A2549" s="3" t="inlineStr">
        <is>
          <t>2</t>
        </is>
      </c>
      <c r="B2549" s="3" t="inlineStr">
        <is>
          <t>Tukang batu</t>
        </is>
      </c>
      <c r="C2549" s="3" t="inlineStr">
        <is>
          <t>OH</t>
        </is>
      </c>
      <c r="D2549" s="15" t="n">
        <v>0.0357</v>
      </c>
      <c r="E2549" s="4" t="n">
        <v>145000</v>
      </c>
      <c r="F2549" s="4" t="n">
        <v>5176.5</v>
      </c>
    </row>
    <row r="2550">
      <c r="A2550" s="3" t="inlineStr">
        <is>
          <t>3</t>
        </is>
      </c>
      <c r="B2550" s="3" t="inlineStr">
        <is>
          <t>Kepala tukang</t>
        </is>
      </c>
      <c r="C2550" s="3" t="inlineStr">
        <is>
          <t>OH</t>
        </is>
      </c>
      <c r="D2550" s="15" t="n">
        <v>0.0036</v>
      </c>
      <c r="E2550" s="4" t="n">
        <v>175000</v>
      </c>
      <c r="F2550" s="4" t="n">
        <v>630</v>
      </c>
    </row>
    <row r="2551">
      <c r="A2551" s="3" t="inlineStr">
        <is>
          <t>4</t>
        </is>
      </c>
      <c r="B2551" s="3" t="inlineStr">
        <is>
          <t>Mandor</t>
        </is>
      </c>
      <c r="C2551" s="3" t="inlineStr">
        <is>
          <t>OH</t>
        </is>
      </c>
      <c r="D2551" s="15" t="n">
        <v>0.0012</v>
      </c>
      <c r="E2551" s="4" t="n">
        <v>200000</v>
      </c>
      <c r="F2551" s="4" t="n">
        <v>240</v>
      </c>
    </row>
    <row r="2552">
      <c r="A2552" s="3" t="inlineStr">
        <is>
          <t>1</t>
        </is>
      </c>
      <c r="B2552" s="3" t="inlineStr">
        <is>
          <t>Plint ubin PC abu-abu uk. 10-15x60 cm</t>
        </is>
      </c>
      <c r="C2552" s="3" t="inlineStr">
        <is>
          <t>buah</t>
        </is>
      </c>
      <c r="D2552" s="15" t="n">
        <v>1.75</v>
      </c>
      <c r="E2552" s="4" t="n">
        <v>2500</v>
      </c>
      <c r="F2552" s="4" t="n">
        <v>4375</v>
      </c>
    </row>
    <row r="2553">
      <c r="A2553" s="3" t="inlineStr">
        <is>
          <t>2</t>
        </is>
      </c>
      <c r="B2553" s="3" t="inlineStr">
        <is>
          <t>Semen portland (PC)</t>
        </is>
      </c>
      <c r="C2553" s="3" t="inlineStr">
        <is>
          <t>kg</t>
        </is>
      </c>
      <c r="D2553" s="15" t="n">
        <v>1.704</v>
      </c>
      <c r="E2553" s="4" t="n">
        <v>1300</v>
      </c>
      <c r="F2553" s="4" t="n">
        <v>2215.2</v>
      </c>
    </row>
    <row r="2554">
      <c r="A2554" s="3" t="inlineStr">
        <is>
          <t>4</t>
        </is>
      </c>
      <c r="B2554" s="3" t="inlineStr">
        <is>
          <t>Pasir pasang (quarry - lokasi pekerjaan)</t>
        </is>
      </c>
      <c r="C2554" s="3" t="inlineStr">
        <is>
          <t>m3</t>
        </is>
      </c>
      <c r="D2554" s="15" t="n">
        <v>0.003</v>
      </c>
      <c r="E2554" s="4" t="n">
        <v>275000</v>
      </c>
      <c r="F2554" s="4" t="n">
        <v>825</v>
      </c>
    </row>
    <row r="2555">
      <c r="D2555" s="2" t="inlineStr">
        <is>
          <t>SUBTOTAL UPAH</t>
        </is>
      </c>
      <c r="F2555" s="16" t="n">
        <v>13186.5</v>
      </c>
    </row>
    <row r="2556">
      <c r="D2556" s="2" t="inlineStr">
        <is>
          <t>SUBTOTAL BAHAN</t>
        </is>
      </c>
      <c r="F2556" s="16" t="n">
        <v>7415.2</v>
      </c>
    </row>
    <row r="2557">
      <c r="D2557" s="2" t="inlineStr">
        <is>
          <t>SUBTOTAL ALAT</t>
        </is>
      </c>
      <c r="F2557" s="16" t="n">
        <v>0</v>
      </c>
    </row>
    <row r="2558">
      <c r="E2558" s="2" t="inlineStr">
        <is>
          <t>TOTAL HARGA SATUAN (Inc. Overhead)</t>
        </is>
      </c>
      <c r="F2558" s="17" t="n">
        <v>22661</v>
      </c>
    </row>
    <row r="2560">
      <c r="A2560" s="14" t="inlineStr">
        <is>
          <t>KODE: 3.9.2.1 - Pemasangan 1 m2 lantai ubin warna uk. 20x20 cm (1SP : 2PP)</t>
        </is>
      </c>
    </row>
    <row r="2561">
      <c r="A2561" s="10" t="inlineStr">
        <is>
          <t>No</t>
        </is>
      </c>
      <c r="B2561" s="10" t="inlineStr">
        <is>
          <t>Uraian Komponen</t>
        </is>
      </c>
      <c r="C2561" s="10" t="inlineStr">
        <is>
          <t>Satuan</t>
        </is>
      </c>
      <c r="D2561" s="10" t="inlineStr">
        <is>
          <t>Koef</t>
        </is>
      </c>
      <c r="E2561" s="10" t="inlineStr">
        <is>
          <t>Harga Satuan (Rp)</t>
        </is>
      </c>
      <c r="F2561" s="10" t="inlineStr">
        <is>
          <t>Jumlah Harga (Rp)</t>
        </is>
      </c>
    </row>
    <row r="2562">
      <c r="A2562" s="3" t="inlineStr">
        <is>
          <t>1</t>
        </is>
      </c>
      <c r="B2562" s="3" t="inlineStr">
        <is>
          <t>Pekerja</t>
        </is>
      </c>
      <c r="C2562" s="3" t="inlineStr">
        <is>
          <t>OH</t>
        </is>
      </c>
      <c r="D2562" s="15" t="n">
        <v>0.1333</v>
      </c>
      <c r="E2562" s="4" t="n">
        <v>100000</v>
      </c>
      <c r="F2562" s="4" t="n">
        <v>13330</v>
      </c>
    </row>
    <row r="2563">
      <c r="A2563" s="3" t="inlineStr">
        <is>
          <t>2</t>
        </is>
      </c>
      <c r="B2563" s="3" t="inlineStr">
        <is>
          <t>Tukang batu</t>
        </is>
      </c>
      <c r="C2563" s="3" t="inlineStr">
        <is>
          <t>OH</t>
        </is>
      </c>
      <c r="D2563" s="15" t="n">
        <v>0.0667</v>
      </c>
      <c r="E2563" s="4" t="n">
        <v>145000</v>
      </c>
      <c r="F2563" s="4" t="n">
        <v>9671.5</v>
      </c>
    </row>
    <row r="2564">
      <c r="A2564" s="3" t="inlineStr">
        <is>
          <t>3</t>
        </is>
      </c>
      <c r="B2564" s="3" t="inlineStr">
        <is>
          <t>Kepala tukang</t>
        </is>
      </c>
      <c r="C2564" s="3" t="inlineStr">
        <is>
          <t>OH</t>
        </is>
      </c>
      <c r="D2564" s="15" t="n">
        <v>0.0067</v>
      </c>
      <c r="E2564" s="4" t="n">
        <v>175000</v>
      </c>
      <c r="F2564" s="4" t="n">
        <v>1172.5</v>
      </c>
    </row>
    <row r="2565">
      <c r="A2565" s="3" t="inlineStr">
        <is>
          <t>4</t>
        </is>
      </c>
      <c r="B2565" s="3" t="inlineStr">
        <is>
          <t>Mandor</t>
        </is>
      </c>
      <c r="C2565" s="3" t="inlineStr">
        <is>
          <t>OH</t>
        </is>
      </c>
      <c r="D2565" s="15" t="n">
        <v>0.0022</v>
      </c>
      <c r="E2565" s="4" t="n">
        <v>200000</v>
      </c>
      <c r="F2565" s="4" t="n">
        <v>440</v>
      </c>
    </row>
    <row r="2566">
      <c r="A2566" s="3" t="inlineStr">
        <is>
          <t>1</t>
        </is>
      </c>
      <c r="B2566" s="3" t="inlineStr">
        <is>
          <t>Ubin warna 20x20 cm</t>
        </is>
      </c>
      <c r="C2566" s="3" t="inlineStr">
        <is>
          <t>buah</t>
        </is>
      </c>
      <c r="D2566" s="15" t="n">
        <v>26.25</v>
      </c>
      <c r="E2566" s="4" t="n">
        <v>2000</v>
      </c>
      <c r="F2566" s="4" t="n">
        <v>52500</v>
      </c>
    </row>
    <row r="2567">
      <c r="A2567" s="3" t="inlineStr">
        <is>
          <t>2</t>
        </is>
      </c>
      <c r="B2567" s="3" t="inlineStr">
        <is>
          <t>Semen portland (PC)</t>
        </is>
      </c>
      <c r="C2567" s="3" t="inlineStr">
        <is>
          <t>kg</t>
        </is>
      </c>
      <c r="D2567" s="15" t="n">
        <v>13.632</v>
      </c>
      <c r="E2567" s="4" t="n">
        <v>1300</v>
      </c>
      <c r="F2567" s="4" t="n">
        <v>17721.6</v>
      </c>
    </row>
    <row r="2568">
      <c r="A2568" s="3" t="inlineStr">
        <is>
          <t>3</t>
        </is>
      </c>
      <c r="B2568" s="3" t="inlineStr">
        <is>
          <t>Semen warna</t>
        </is>
      </c>
      <c r="C2568" s="3" t="inlineStr">
        <is>
          <t>kg</t>
        </is>
      </c>
      <c r="D2568" s="15" t="n">
        <v>1.5</v>
      </c>
      <c r="E2568" s="4" t="n">
        <v>7800</v>
      </c>
      <c r="F2568" s="4" t="n">
        <v>11700</v>
      </c>
    </row>
    <row r="2569">
      <c r="A2569" s="3" t="inlineStr">
        <is>
          <t>4</t>
        </is>
      </c>
      <c r="B2569" s="3" t="inlineStr">
        <is>
          <t>Pasir pasang (quarry - lokasi pekerjaan)</t>
        </is>
      </c>
      <c r="C2569" s="3" t="inlineStr">
        <is>
          <t>m3</t>
        </is>
      </c>
      <c r="D2569" s="15" t="n">
        <v>0.027</v>
      </c>
      <c r="E2569" s="4" t="n">
        <v>275000</v>
      </c>
      <c r="F2569" s="4" t="n">
        <v>7425</v>
      </c>
    </row>
    <row r="2570">
      <c r="D2570" s="2" t="inlineStr">
        <is>
          <t>SUBTOTAL UPAH</t>
        </is>
      </c>
      <c r="F2570" s="16" t="n">
        <v>24614</v>
      </c>
    </row>
    <row r="2571">
      <c r="D2571" s="2" t="inlineStr">
        <is>
          <t>SUBTOTAL BAHAN</t>
        </is>
      </c>
      <c r="F2571" s="16" t="n">
        <v>89346.60000000001</v>
      </c>
    </row>
    <row r="2572">
      <c r="D2572" s="2" t="inlineStr">
        <is>
          <t>SUBTOTAL ALAT</t>
        </is>
      </c>
      <c r="F2572" s="16" t="n">
        <v>0</v>
      </c>
    </row>
    <row r="2573">
      <c r="E2573" s="2" t="inlineStr">
        <is>
          <t>TOTAL HARGA SATUAN (Inc. Overhead)</t>
        </is>
      </c>
      <c r="F2573" s="17" t="n">
        <v>125356</v>
      </c>
    </row>
    <row r="2575">
      <c r="A2575" s="14" t="inlineStr">
        <is>
          <t>KODE: 3.9.2.2 - Pemasangan 1 m2 lantai ubin warna uk. 30x30 cm (1SP : 2PP)</t>
        </is>
      </c>
    </row>
    <row r="2576">
      <c r="A2576" s="10" t="inlineStr">
        <is>
          <t>No</t>
        </is>
      </c>
      <c r="B2576" s="10" t="inlineStr">
        <is>
          <t>Uraian Komponen</t>
        </is>
      </c>
      <c r="C2576" s="10" t="inlineStr">
        <is>
          <t>Satuan</t>
        </is>
      </c>
      <c r="D2576" s="10" t="inlineStr">
        <is>
          <t>Koef</t>
        </is>
      </c>
      <c r="E2576" s="10" t="inlineStr">
        <is>
          <t>Harga Satuan (Rp)</t>
        </is>
      </c>
      <c r="F2576" s="10" t="inlineStr">
        <is>
          <t>Jumlah Harga (Rp)</t>
        </is>
      </c>
    </row>
    <row r="2577">
      <c r="A2577" s="3" t="inlineStr">
        <is>
          <t>1</t>
        </is>
      </c>
      <c r="B2577" s="3" t="inlineStr">
        <is>
          <t>Pekerja</t>
        </is>
      </c>
      <c r="C2577" s="3" t="inlineStr">
        <is>
          <t>OH</t>
        </is>
      </c>
      <c r="D2577" s="15" t="n">
        <v>0.1429</v>
      </c>
      <c r="E2577" s="4" t="n">
        <v>100000</v>
      </c>
      <c r="F2577" s="4" t="n">
        <v>14290</v>
      </c>
    </row>
    <row r="2578">
      <c r="A2578" s="3" t="inlineStr">
        <is>
          <t>2</t>
        </is>
      </c>
      <c r="B2578" s="3" t="inlineStr">
        <is>
          <t>Tukang batu</t>
        </is>
      </c>
      <c r="C2578" s="3" t="inlineStr">
        <is>
          <t>OH</t>
        </is>
      </c>
      <c r="D2578" s="15" t="n">
        <v>0.07140000000000001</v>
      </c>
      <c r="E2578" s="4" t="n">
        <v>145000</v>
      </c>
      <c r="F2578" s="4" t="n">
        <v>10353</v>
      </c>
    </row>
    <row r="2579">
      <c r="A2579" s="3" t="inlineStr">
        <is>
          <t>3</t>
        </is>
      </c>
      <c r="B2579" s="3" t="inlineStr">
        <is>
          <t>Kepala tukang</t>
        </is>
      </c>
      <c r="C2579" s="3" t="inlineStr">
        <is>
          <t>OH</t>
        </is>
      </c>
      <c r="D2579" s="15" t="n">
        <v>0.0071</v>
      </c>
      <c r="E2579" s="4" t="n">
        <v>175000</v>
      </c>
      <c r="F2579" s="4" t="n">
        <v>1242.5</v>
      </c>
    </row>
    <row r="2580">
      <c r="A2580" s="3" t="inlineStr">
        <is>
          <t>4</t>
        </is>
      </c>
      <c r="B2580" s="3" t="inlineStr">
        <is>
          <t>Mandor</t>
        </is>
      </c>
      <c r="C2580" s="3" t="inlineStr">
        <is>
          <t>OH</t>
        </is>
      </c>
      <c r="D2580" s="15" t="n">
        <v>0.0024</v>
      </c>
      <c r="E2580" s="4" t="n">
        <v>200000</v>
      </c>
      <c r="F2580" s="4" t="n">
        <v>479.9999999999999</v>
      </c>
    </row>
    <row r="2581">
      <c r="A2581" s="3" t="inlineStr">
        <is>
          <t>1</t>
        </is>
      </c>
      <c r="B2581" s="3" t="inlineStr">
        <is>
          <t>Ubin warna 30x30 cm</t>
        </is>
      </c>
      <c r="C2581" s="3" t="inlineStr">
        <is>
          <t>buah</t>
        </is>
      </c>
      <c r="D2581" s="15" t="n">
        <v>11.667</v>
      </c>
      <c r="E2581" s="4" t="n">
        <v>4500</v>
      </c>
      <c r="F2581" s="4" t="n">
        <v>52501.5</v>
      </c>
    </row>
    <row r="2582">
      <c r="A2582" s="3" t="inlineStr">
        <is>
          <t>2</t>
        </is>
      </c>
      <c r="B2582" s="3" t="inlineStr">
        <is>
          <t>Semen portland (PC)</t>
        </is>
      </c>
      <c r="C2582" s="3" t="inlineStr">
        <is>
          <t>kg</t>
        </is>
      </c>
      <c r="D2582" s="15" t="n">
        <v>13.632</v>
      </c>
      <c r="E2582" s="4" t="n">
        <v>1300</v>
      </c>
      <c r="F2582" s="4" t="n">
        <v>17721.6</v>
      </c>
    </row>
    <row r="2583">
      <c r="A2583" s="3" t="inlineStr">
        <is>
          <t>3</t>
        </is>
      </c>
      <c r="B2583" s="3" t="inlineStr">
        <is>
          <t>Semen warna</t>
        </is>
      </c>
      <c r="C2583" s="3" t="inlineStr">
        <is>
          <t>kg</t>
        </is>
      </c>
      <c r="D2583" s="15" t="n">
        <v>1.5</v>
      </c>
      <c r="E2583" s="4" t="n">
        <v>7800</v>
      </c>
      <c r="F2583" s="4" t="n">
        <v>11700</v>
      </c>
    </row>
    <row r="2584">
      <c r="A2584" s="3" t="inlineStr">
        <is>
          <t>4</t>
        </is>
      </c>
      <c r="B2584" s="3" t="inlineStr">
        <is>
          <t>Pasir pasang (quarry - lokasi pekerjaan)</t>
        </is>
      </c>
      <c r="C2584" s="3" t="inlineStr">
        <is>
          <t>m3</t>
        </is>
      </c>
      <c r="D2584" s="15" t="n">
        <v>0.027</v>
      </c>
      <c r="E2584" s="4" t="n">
        <v>275000</v>
      </c>
      <c r="F2584" s="4" t="n">
        <v>7425</v>
      </c>
    </row>
    <row r="2585">
      <c r="D2585" s="2" t="inlineStr">
        <is>
          <t>SUBTOTAL UPAH</t>
        </is>
      </c>
      <c r="F2585" s="16" t="n">
        <v>26365.5</v>
      </c>
    </row>
    <row r="2586">
      <c r="D2586" s="2" t="inlineStr">
        <is>
          <t>SUBTOTAL BAHAN</t>
        </is>
      </c>
      <c r="F2586" s="16" t="n">
        <v>89348.10000000001</v>
      </c>
    </row>
    <row r="2587">
      <c r="D2587" s="2" t="inlineStr">
        <is>
          <t>SUBTOTAL ALAT</t>
        </is>
      </c>
      <c r="F2587" s="16" t="n">
        <v>0</v>
      </c>
    </row>
    <row r="2588">
      <c r="E2588" s="2" t="inlineStr">
        <is>
          <t>TOTAL HARGA SATUAN (Inc. Overhead)</t>
        </is>
      </c>
      <c r="F2588" s="17" t="n">
        <v>127284</v>
      </c>
    </row>
    <row r="2590">
      <c r="A2590" s="14" t="inlineStr">
        <is>
          <t>KODE: 3.9.2.3 - Pemasangan 1 m2 lantai ubin warna uk. 40x40 cm (1SP : 2PP)</t>
        </is>
      </c>
    </row>
    <row r="2591">
      <c r="A2591" s="10" t="inlineStr">
        <is>
          <t>No</t>
        </is>
      </c>
      <c r="B2591" s="10" t="inlineStr">
        <is>
          <t>Uraian Komponen</t>
        </is>
      </c>
      <c r="C2591" s="10" t="inlineStr">
        <is>
          <t>Satuan</t>
        </is>
      </c>
      <c r="D2591" s="10" t="inlineStr">
        <is>
          <t>Koef</t>
        </is>
      </c>
      <c r="E2591" s="10" t="inlineStr">
        <is>
          <t>Harga Satuan (Rp)</t>
        </is>
      </c>
      <c r="F2591" s="10" t="inlineStr">
        <is>
          <t>Jumlah Harga (Rp)</t>
        </is>
      </c>
    </row>
    <row r="2592">
      <c r="A2592" s="3" t="inlineStr">
        <is>
          <t>1</t>
        </is>
      </c>
      <c r="B2592" s="3" t="inlineStr">
        <is>
          <t>Pekerja</t>
        </is>
      </c>
      <c r="C2592" s="3" t="inlineStr">
        <is>
          <t>OH</t>
        </is>
      </c>
      <c r="D2592" s="15" t="n">
        <v>0.1538</v>
      </c>
      <c r="E2592" s="4" t="n">
        <v>100000</v>
      </c>
      <c r="F2592" s="4" t="n">
        <v>15380</v>
      </c>
    </row>
    <row r="2593">
      <c r="A2593" s="3" t="inlineStr">
        <is>
          <t>2</t>
        </is>
      </c>
      <c r="B2593" s="3" t="inlineStr">
        <is>
          <t>Tukang batu</t>
        </is>
      </c>
      <c r="C2593" s="3" t="inlineStr">
        <is>
          <t>OH</t>
        </is>
      </c>
      <c r="D2593" s="15" t="n">
        <v>0.0769</v>
      </c>
      <c r="E2593" s="4" t="n">
        <v>145000</v>
      </c>
      <c r="F2593" s="4" t="n">
        <v>11150.5</v>
      </c>
    </row>
    <row r="2594">
      <c r="A2594" s="3" t="inlineStr">
        <is>
          <t>3</t>
        </is>
      </c>
      <c r="B2594" s="3" t="inlineStr">
        <is>
          <t>Kepala tukang</t>
        </is>
      </c>
      <c r="C2594" s="3" t="inlineStr">
        <is>
          <t>OH</t>
        </is>
      </c>
      <c r="D2594" s="15" t="n">
        <v>0.0077</v>
      </c>
      <c r="E2594" s="4" t="n">
        <v>175000</v>
      </c>
      <c r="F2594" s="4" t="n">
        <v>1347.5</v>
      </c>
    </row>
    <row r="2595">
      <c r="A2595" s="3" t="inlineStr">
        <is>
          <t>4</t>
        </is>
      </c>
      <c r="B2595" s="3" t="inlineStr">
        <is>
          <t>Mandor</t>
        </is>
      </c>
      <c r="C2595" s="3" t="inlineStr">
        <is>
          <t>OH</t>
        </is>
      </c>
      <c r="D2595" s="15" t="n">
        <v>0.0026</v>
      </c>
      <c r="E2595" s="4" t="n">
        <v>200000</v>
      </c>
      <c r="F2595" s="4" t="n">
        <v>520</v>
      </c>
    </row>
    <row r="2596">
      <c r="A2596" s="3" t="inlineStr">
        <is>
          <t>1</t>
        </is>
      </c>
      <c r="B2596" s="3" t="inlineStr">
        <is>
          <t>Ubin warna 40x40 cm</t>
        </is>
      </c>
      <c r="C2596" s="3" t="inlineStr">
        <is>
          <t>buah</t>
        </is>
      </c>
      <c r="D2596" s="15" t="n">
        <v>6.563</v>
      </c>
      <c r="E2596" s="4" t="n">
        <v>6000</v>
      </c>
      <c r="F2596" s="4" t="n">
        <v>39378</v>
      </c>
    </row>
    <row r="2597">
      <c r="A2597" s="3" t="inlineStr">
        <is>
          <t>2</t>
        </is>
      </c>
      <c r="B2597" s="3" t="inlineStr">
        <is>
          <t>Semen portland (PC)</t>
        </is>
      </c>
      <c r="C2597" s="3" t="inlineStr">
        <is>
          <t>kg</t>
        </is>
      </c>
      <c r="D2597" s="15" t="n">
        <v>13.632</v>
      </c>
      <c r="E2597" s="4" t="n">
        <v>1300</v>
      </c>
      <c r="F2597" s="4" t="n">
        <v>17721.6</v>
      </c>
    </row>
    <row r="2598">
      <c r="A2598" s="3" t="inlineStr">
        <is>
          <t>3</t>
        </is>
      </c>
      <c r="B2598" s="3" t="inlineStr">
        <is>
          <t>Semen warna</t>
        </is>
      </c>
      <c r="C2598" s="3" t="inlineStr">
        <is>
          <t>kg</t>
        </is>
      </c>
      <c r="D2598" s="15" t="n">
        <v>1.5</v>
      </c>
      <c r="E2598" s="4" t="n">
        <v>7800</v>
      </c>
      <c r="F2598" s="4" t="n">
        <v>11700</v>
      </c>
    </row>
    <row r="2599">
      <c r="A2599" s="3" t="inlineStr">
        <is>
          <t>4</t>
        </is>
      </c>
      <c r="B2599" s="3" t="inlineStr">
        <is>
          <t>Pasir pasang (quarry - lokasi pekerjaan)</t>
        </is>
      </c>
      <c r="C2599" s="3" t="inlineStr">
        <is>
          <t>m3</t>
        </is>
      </c>
      <c r="D2599" s="15" t="n">
        <v>0.027</v>
      </c>
      <c r="E2599" s="4" t="n">
        <v>275000</v>
      </c>
      <c r="F2599" s="4" t="n">
        <v>7425</v>
      </c>
    </row>
    <row r="2600">
      <c r="D2600" s="2" t="inlineStr">
        <is>
          <t>SUBTOTAL UPAH</t>
        </is>
      </c>
      <c r="F2600" s="16" t="n">
        <v>28398</v>
      </c>
    </row>
    <row r="2601">
      <c r="D2601" s="2" t="inlineStr">
        <is>
          <t>SUBTOTAL BAHAN</t>
        </is>
      </c>
      <c r="F2601" s="16" t="n">
        <v>76224.60000000001</v>
      </c>
    </row>
    <row r="2602">
      <c r="D2602" s="2" t="inlineStr">
        <is>
          <t>SUBTOTAL ALAT</t>
        </is>
      </c>
      <c r="F2602" s="16" t="n">
        <v>0</v>
      </c>
    </row>
    <row r="2603">
      <c r="E2603" s="2" t="inlineStr">
        <is>
          <t>TOTAL HARGA SATUAN (Inc. Overhead)</t>
        </is>
      </c>
      <c r="F2603" s="17" t="n">
        <v>115084</v>
      </c>
    </row>
    <row r="2605">
      <c r="A2605" s="14" t="inlineStr">
        <is>
          <t>KODE: 3.9.2.4 - Pemasangan 1 m2 lantai ubin warna uk. 60x60 cm (1SP : 2PP)</t>
        </is>
      </c>
    </row>
    <row r="2606">
      <c r="A2606" s="10" t="inlineStr">
        <is>
          <t>No</t>
        </is>
      </c>
      <c r="B2606" s="10" t="inlineStr">
        <is>
          <t>Uraian Komponen</t>
        </is>
      </c>
      <c r="C2606" s="10" t="inlineStr">
        <is>
          <t>Satuan</t>
        </is>
      </c>
      <c r="D2606" s="10" t="inlineStr">
        <is>
          <t>Koef</t>
        </is>
      </c>
      <c r="E2606" s="10" t="inlineStr">
        <is>
          <t>Harga Satuan (Rp)</t>
        </is>
      </c>
      <c r="F2606" s="10" t="inlineStr">
        <is>
          <t>Jumlah Harga (Rp)</t>
        </is>
      </c>
    </row>
    <row r="2607">
      <c r="A2607" s="3" t="inlineStr">
        <is>
          <t>1</t>
        </is>
      </c>
      <c r="B2607" s="3" t="inlineStr">
        <is>
          <t>Pekerja</t>
        </is>
      </c>
      <c r="C2607" s="3" t="inlineStr">
        <is>
          <t>OH</t>
        </is>
      </c>
      <c r="D2607" s="15" t="n">
        <v>0.25</v>
      </c>
      <c r="E2607" s="4" t="n">
        <v>100000</v>
      </c>
      <c r="F2607" s="4" t="n">
        <v>25000</v>
      </c>
    </row>
    <row r="2608">
      <c r="A2608" s="3" t="inlineStr">
        <is>
          <t>2</t>
        </is>
      </c>
      <c r="B2608" s="3" t="inlineStr">
        <is>
          <t>Tukang batu</t>
        </is>
      </c>
      <c r="C2608" s="3" t="inlineStr">
        <is>
          <t>OH</t>
        </is>
      </c>
      <c r="D2608" s="15" t="n">
        <v>0.0833</v>
      </c>
      <c r="E2608" s="4" t="n">
        <v>145000</v>
      </c>
      <c r="F2608" s="4" t="n">
        <v>12078.5</v>
      </c>
    </row>
    <row r="2609">
      <c r="A2609" s="3" t="inlineStr">
        <is>
          <t>3</t>
        </is>
      </c>
      <c r="B2609" s="3" t="inlineStr">
        <is>
          <t>Kepala tukang</t>
        </is>
      </c>
      <c r="C2609" s="3" t="inlineStr">
        <is>
          <t>OH</t>
        </is>
      </c>
      <c r="D2609" s="15" t="n">
        <v>0.0083</v>
      </c>
      <c r="E2609" s="4" t="n">
        <v>175000</v>
      </c>
      <c r="F2609" s="4" t="n">
        <v>1452.5</v>
      </c>
    </row>
    <row r="2610">
      <c r="A2610" s="3" t="inlineStr">
        <is>
          <t>4</t>
        </is>
      </c>
      <c r="B2610" s="3" t="inlineStr">
        <is>
          <t>Mandor</t>
        </is>
      </c>
      <c r="C2610" s="3" t="inlineStr">
        <is>
          <t>OH</t>
        </is>
      </c>
      <c r="D2610" s="15" t="n">
        <v>0.0028</v>
      </c>
      <c r="E2610" s="4" t="n">
        <v>200000</v>
      </c>
      <c r="F2610" s="4" t="n">
        <v>560</v>
      </c>
    </row>
    <row r="2611">
      <c r="A2611" s="3" t="inlineStr">
        <is>
          <t>1</t>
        </is>
      </c>
      <c r="B2611" s="3" t="inlineStr">
        <is>
          <t>Ubin warna 60x60 cm</t>
        </is>
      </c>
      <c r="C2611" s="3" t="inlineStr">
        <is>
          <t>buah</t>
        </is>
      </c>
      <c r="D2611" s="15" t="n">
        <v>2.917</v>
      </c>
      <c r="E2611" s="4" t="n">
        <v>8000</v>
      </c>
      <c r="F2611" s="4" t="n">
        <v>23336</v>
      </c>
    </row>
    <row r="2612">
      <c r="A2612" s="3" t="inlineStr">
        <is>
          <t>2</t>
        </is>
      </c>
      <c r="B2612" s="3" t="inlineStr">
        <is>
          <t>Semen portland (PC)</t>
        </is>
      </c>
      <c r="C2612" s="3" t="inlineStr">
        <is>
          <t>kg</t>
        </is>
      </c>
      <c r="D2612" s="15" t="n">
        <v>13.632</v>
      </c>
      <c r="E2612" s="4" t="n">
        <v>1300</v>
      </c>
      <c r="F2612" s="4" t="n">
        <v>17721.6</v>
      </c>
    </row>
    <row r="2613">
      <c r="A2613" s="3" t="inlineStr">
        <is>
          <t>3</t>
        </is>
      </c>
      <c r="B2613" s="3" t="inlineStr">
        <is>
          <t>Semen warna</t>
        </is>
      </c>
      <c r="C2613" s="3" t="inlineStr">
        <is>
          <t>kg</t>
        </is>
      </c>
      <c r="D2613" s="15" t="n">
        <v>1.5</v>
      </c>
      <c r="E2613" s="4" t="n">
        <v>7800</v>
      </c>
      <c r="F2613" s="4" t="n">
        <v>11700</v>
      </c>
    </row>
    <row r="2614">
      <c r="A2614" s="3" t="inlineStr">
        <is>
          <t>4</t>
        </is>
      </c>
      <c r="B2614" s="3" t="inlineStr">
        <is>
          <t>Pasir pasang (quarry - lokasi pekerjaan)</t>
        </is>
      </c>
      <c r="C2614" s="3" t="inlineStr">
        <is>
          <t>m3</t>
        </is>
      </c>
      <c r="D2614" s="15" t="n">
        <v>0.027</v>
      </c>
      <c r="E2614" s="4" t="n">
        <v>275000</v>
      </c>
      <c r="F2614" s="4" t="n">
        <v>7425</v>
      </c>
    </row>
    <row r="2615">
      <c r="D2615" s="2" t="inlineStr">
        <is>
          <t>SUBTOTAL UPAH</t>
        </is>
      </c>
      <c r="F2615" s="16" t="n">
        <v>39091</v>
      </c>
    </row>
    <row r="2616">
      <c r="D2616" s="2" t="inlineStr">
        <is>
          <t>SUBTOTAL BAHAN</t>
        </is>
      </c>
      <c r="F2616" s="16" t="n">
        <v>60182.6</v>
      </c>
    </row>
    <row r="2617">
      <c r="D2617" s="2" t="inlineStr">
        <is>
          <t>SUBTOTAL ALAT</t>
        </is>
      </c>
      <c r="F2617" s="16" t="n">
        <v>0</v>
      </c>
    </row>
    <row r="2618">
      <c r="E2618" s="2" t="inlineStr">
        <is>
          <t>TOTAL HARGA SATUAN (Inc. Overhead)</t>
        </is>
      </c>
      <c r="F2618" s="17" t="n">
        <v>109200</v>
      </c>
    </row>
    <row r="2620">
      <c r="A2620" s="14" t="inlineStr">
        <is>
          <t>KODE: 3.9.2.5 - Pemasangan 1 m' plint ubin warna uk. 10 s.d. 15x20 cm (1SP : 2PP)</t>
        </is>
      </c>
    </row>
    <row r="2621">
      <c r="A2621" s="10" t="inlineStr">
        <is>
          <t>No</t>
        </is>
      </c>
      <c r="B2621" s="10" t="inlineStr">
        <is>
          <t>Uraian Komponen</t>
        </is>
      </c>
      <c r="C2621" s="10" t="inlineStr">
        <is>
          <t>Satuan</t>
        </is>
      </c>
      <c r="D2621" s="10" t="inlineStr">
        <is>
          <t>Koef</t>
        </is>
      </c>
      <c r="E2621" s="10" t="inlineStr">
        <is>
          <t>Harga Satuan (Rp)</t>
        </is>
      </c>
      <c r="F2621" s="10" t="inlineStr">
        <is>
          <t>Jumlah Harga (Rp)</t>
        </is>
      </c>
    </row>
    <row r="2622">
      <c r="A2622" s="3" t="inlineStr">
        <is>
          <t>1</t>
        </is>
      </c>
      <c r="B2622" s="3" t="inlineStr">
        <is>
          <t>Pekerja</t>
        </is>
      </c>
      <c r="C2622" s="3" t="inlineStr">
        <is>
          <t>OH</t>
        </is>
      </c>
      <c r="D2622" s="15" t="n">
        <v>0.0571</v>
      </c>
      <c r="E2622" s="4" t="n">
        <v>100000</v>
      </c>
      <c r="F2622" s="4" t="n">
        <v>5710</v>
      </c>
    </row>
    <row r="2623">
      <c r="A2623" s="3" t="inlineStr">
        <is>
          <t>2</t>
        </is>
      </c>
      <c r="B2623" s="3" t="inlineStr">
        <is>
          <t>Tukang batu</t>
        </is>
      </c>
      <c r="C2623" s="3" t="inlineStr">
        <is>
          <t>OH</t>
        </is>
      </c>
      <c r="D2623" s="15" t="n">
        <v>0.0286</v>
      </c>
      <c r="E2623" s="4" t="n">
        <v>145000</v>
      </c>
      <c r="F2623" s="4" t="n">
        <v>4147</v>
      </c>
    </row>
    <row r="2624">
      <c r="A2624" s="3" t="inlineStr">
        <is>
          <t>3</t>
        </is>
      </c>
      <c r="B2624" s="3" t="inlineStr">
        <is>
          <t>Kepala tukang</t>
        </is>
      </c>
      <c r="C2624" s="3" t="inlineStr">
        <is>
          <t>OH</t>
        </is>
      </c>
      <c r="D2624" s="15" t="n">
        <v>0.0029</v>
      </c>
      <c r="E2624" s="4" t="n">
        <v>175000</v>
      </c>
      <c r="F2624" s="4" t="n">
        <v>507.4999999999999</v>
      </c>
    </row>
    <row r="2625">
      <c r="A2625" s="3" t="inlineStr">
        <is>
          <t>4</t>
        </is>
      </c>
      <c r="B2625" s="3" t="inlineStr">
        <is>
          <t>Mandor</t>
        </is>
      </c>
      <c r="C2625" s="3" t="inlineStr">
        <is>
          <t>OH</t>
        </is>
      </c>
      <c r="D2625" s="15" t="n">
        <v>0.001</v>
      </c>
      <c r="E2625" s="4" t="n">
        <v>200000</v>
      </c>
      <c r="F2625" s="4" t="n">
        <v>200</v>
      </c>
    </row>
    <row r="2626">
      <c r="A2626" s="3" t="inlineStr">
        <is>
          <t>1</t>
        </is>
      </c>
      <c r="B2626" s="3" t="inlineStr">
        <is>
          <t>Plint ubin warna uk. 10-15x20 cm</t>
        </is>
      </c>
      <c r="C2626" s="3" t="inlineStr">
        <is>
          <t>buah</t>
        </is>
      </c>
      <c r="D2626" s="15" t="n">
        <v>5.25</v>
      </c>
      <c r="E2626" s="4" t="n">
        <v>1500</v>
      </c>
      <c r="F2626" s="4" t="n">
        <v>7875</v>
      </c>
    </row>
    <row r="2627">
      <c r="A2627" s="3" t="inlineStr">
        <is>
          <t>2</t>
        </is>
      </c>
      <c r="B2627" s="3" t="inlineStr">
        <is>
          <t>Semen portland (PC)</t>
        </is>
      </c>
      <c r="C2627" s="3" t="inlineStr">
        <is>
          <t>kg</t>
        </is>
      </c>
      <c r="D2627" s="15" t="n">
        <v>1.704</v>
      </c>
      <c r="E2627" s="4" t="n">
        <v>1300</v>
      </c>
      <c r="F2627" s="4" t="n">
        <v>2215.2</v>
      </c>
    </row>
    <row r="2628">
      <c r="A2628" s="3" t="inlineStr">
        <is>
          <t>3</t>
        </is>
      </c>
      <c r="B2628" s="3" t="inlineStr">
        <is>
          <t>Semen warna</t>
        </is>
      </c>
      <c r="C2628" s="3" t="inlineStr">
        <is>
          <t>kg</t>
        </is>
      </c>
      <c r="D2628" s="15" t="n">
        <v>0.188</v>
      </c>
      <c r="E2628" s="4" t="n">
        <v>7800</v>
      </c>
      <c r="F2628" s="4" t="n">
        <v>1466.4</v>
      </c>
    </row>
    <row r="2629">
      <c r="A2629" s="3" t="inlineStr">
        <is>
          <t>4</t>
        </is>
      </c>
      <c r="B2629" s="3" t="inlineStr">
        <is>
          <t>Pasir pasang (quarry - lokasi pekerjaan)</t>
        </is>
      </c>
      <c r="C2629" s="3" t="inlineStr">
        <is>
          <t>m3</t>
        </is>
      </c>
      <c r="D2629" s="15" t="n">
        <v>0.003</v>
      </c>
      <c r="E2629" s="4" t="n">
        <v>275000</v>
      </c>
      <c r="F2629" s="4" t="n">
        <v>825</v>
      </c>
    </row>
    <row r="2630">
      <c r="D2630" s="2" t="inlineStr">
        <is>
          <t>SUBTOTAL UPAH</t>
        </is>
      </c>
      <c r="F2630" s="16" t="n">
        <v>10564.5</v>
      </c>
    </row>
    <row r="2631">
      <c r="D2631" s="2" t="inlineStr">
        <is>
          <t>SUBTOTAL BAHAN</t>
        </is>
      </c>
      <c r="F2631" s="16" t="n">
        <v>12381.6</v>
      </c>
    </row>
    <row r="2632">
      <c r="D2632" s="2" t="inlineStr">
        <is>
          <t>SUBTOTAL ALAT</t>
        </is>
      </c>
      <c r="F2632" s="16" t="n">
        <v>0</v>
      </c>
    </row>
    <row r="2633">
      <c r="E2633" s="2" t="inlineStr">
        <is>
          <t>TOTAL HARGA SATUAN (Inc. Overhead)</t>
        </is>
      </c>
      <c r="F2633" s="17" t="n">
        <v>25240</v>
      </c>
    </row>
    <row r="2635">
      <c r="A2635" s="14" t="inlineStr">
        <is>
          <t>KODE: 3.9.2.6 - Pemasangan 1 m' plint ubin warna uk. 10 s.d. 15x30 cm (1SP : 2PP)</t>
        </is>
      </c>
    </row>
    <row r="2636">
      <c r="A2636" s="10" t="inlineStr">
        <is>
          <t>No</t>
        </is>
      </c>
      <c r="B2636" s="10" t="inlineStr">
        <is>
          <t>Uraian Komponen</t>
        </is>
      </c>
      <c r="C2636" s="10" t="inlineStr">
        <is>
          <t>Satuan</t>
        </is>
      </c>
      <c r="D2636" s="10" t="inlineStr">
        <is>
          <t>Koef</t>
        </is>
      </c>
      <c r="E2636" s="10" t="inlineStr">
        <is>
          <t>Harga Satuan (Rp)</t>
        </is>
      </c>
      <c r="F2636" s="10" t="inlineStr">
        <is>
          <t>Jumlah Harga (Rp)</t>
        </is>
      </c>
    </row>
    <row r="2637">
      <c r="A2637" s="3" t="inlineStr">
        <is>
          <t>1</t>
        </is>
      </c>
      <c r="B2637" s="3" t="inlineStr">
        <is>
          <t>Pekerja</t>
        </is>
      </c>
      <c r="C2637" s="3" t="inlineStr">
        <is>
          <t>OH</t>
        </is>
      </c>
      <c r="D2637" s="15" t="n">
        <v>0.0625</v>
      </c>
      <c r="E2637" s="4" t="n">
        <v>100000</v>
      </c>
      <c r="F2637" s="4" t="n">
        <v>6250</v>
      </c>
    </row>
    <row r="2638">
      <c r="A2638" s="3" t="inlineStr">
        <is>
          <t>2</t>
        </is>
      </c>
      <c r="B2638" s="3" t="inlineStr">
        <is>
          <t>Tukang batu</t>
        </is>
      </c>
      <c r="C2638" s="3" t="inlineStr">
        <is>
          <t>OH</t>
        </is>
      </c>
      <c r="D2638" s="15" t="n">
        <v>0.0313</v>
      </c>
      <c r="E2638" s="4" t="n">
        <v>145000</v>
      </c>
      <c r="F2638" s="4" t="n">
        <v>4538.5</v>
      </c>
    </row>
    <row r="2639">
      <c r="A2639" s="3" t="inlineStr">
        <is>
          <t>3</t>
        </is>
      </c>
      <c r="B2639" s="3" t="inlineStr">
        <is>
          <t>Kepala tukang</t>
        </is>
      </c>
      <c r="C2639" s="3" t="inlineStr">
        <is>
          <t>OH</t>
        </is>
      </c>
      <c r="D2639" s="15" t="n">
        <v>0.0031</v>
      </c>
      <c r="E2639" s="4" t="n">
        <v>175000</v>
      </c>
      <c r="F2639" s="4" t="n">
        <v>542.5</v>
      </c>
    </row>
    <row r="2640">
      <c r="A2640" s="3" t="inlineStr">
        <is>
          <t>4</t>
        </is>
      </c>
      <c r="B2640" s="3" t="inlineStr">
        <is>
          <t>Mandor</t>
        </is>
      </c>
      <c r="C2640" s="3" t="inlineStr">
        <is>
          <t>OH</t>
        </is>
      </c>
      <c r="D2640" s="15" t="n">
        <v>0.001</v>
      </c>
      <c r="E2640" s="4" t="n">
        <v>200000</v>
      </c>
      <c r="F2640" s="4" t="n">
        <v>200</v>
      </c>
    </row>
    <row r="2641">
      <c r="A2641" s="3" t="inlineStr">
        <is>
          <t>1</t>
        </is>
      </c>
      <c r="B2641" s="3" t="inlineStr">
        <is>
          <t>Plint ubin warna uk. 10-15x30 cm</t>
        </is>
      </c>
      <c r="C2641" s="3" t="inlineStr">
        <is>
          <t>buah</t>
        </is>
      </c>
      <c r="D2641" s="15" t="n">
        <v>3.5</v>
      </c>
      <c r="E2641" s="4" t="n">
        <v>2000</v>
      </c>
      <c r="F2641" s="4" t="n">
        <v>7000</v>
      </c>
    </row>
    <row r="2642">
      <c r="A2642" s="3" t="inlineStr">
        <is>
          <t>2</t>
        </is>
      </c>
      <c r="B2642" s="3" t="inlineStr">
        <is>
          <t>Semen portland (PC)</t>
        </is>
      </c>
      <c r="C2642" s="3" t="inlineStr">
        <is>
          <t>kg</t>
        </is>
      </c>
      <c r="D2642" s="15" t="n">
        <v>1.704</v>
      </c>
      <c r="E2642" s="4" t="n">
        <v>1300</v>
      </c>
      <c r="F2642" s="4" t="n">
        <v>2215.2</v>
      </c>
    </row>
    <row r="2643">
      <c r="A2643" s="3" t="inlineStr">
        <is>
          <t>3</t>
        </is>
      </c>
      <c r="B2643" s="3" t="inlineStr">
        <is>
          <t>Semen warna</t>
        </is>
      </c>
      <c r="C2643" s="3" t="inlineStr">
        <is>
          <t>kg</t>
        </is>
      </c>
      <c r="D2643" s="15" t="n">
        <v>0.188</v>
      </c>
      <c r="E2643" s="4" t="n">
        <v>7800</v>
      </c>
      <c r="F2643" s="4" t="n">
        <v>1466.4</v>
      </c>
    </row>
    <row r="2644">
      <c r="A2644" s="3" t="inlineStr">
        <is>
          <t>4</t>
        </is>
      </c>
      <c r="B2644" s="3" t="inlineStr">
        <is>
          <t>Pasir pasang (quarry - lokasi pekerjaan)</t>
        </is>
      </c>
      <c r="C2644" s="3" t="inlineStr">
        <is>
          <t>m3</t>
        </is>
      </c>
      <c r="D2644" s="15" t="n">
        <v>0.003</v>
      </c>
      <c r="E2644" s="4" t="n">
        <v>275000</v>
      </c>
      <c r="F2644" s="4" t="n">
        <v>825</v>
      </c>
    </row>
    <row r="2645">
      <c r="D2645" s="2" t="inlineStr">
        <is>
          <t>SUBTOTAL UPAH</t>
        </is>
      </c>
      <c r="F2645" s="16" t="n">
        <v>11531</v>
      </c>
    </row>
    <row r="2646">
      <c r="D2646" s="2" t="inlineStr">
        <is>
          <t>SUBTOTAL BAHAN</t>
        </is>
      </c>
      <c r="F2646" s="16" t="n">
        <v>11506.6</v>
      </c>
    </row>
    <row r="2647">
      <c r="D2647" s="2" t="inlineStr">
        <is>
          <t>SUBTOTAL ALAT</t>
        </is>
      </c>
      <c r="F2647" s="16" t="n">
        <v>0</v>
      </c>
    </row>
    <row r="2648">
      <c r="E2648" s="2" t="inlineStr">
        <is>
          <t>TOTAL HARGA SATUAN (Inc. Overhead)</t>
        </is>
      </c>
      <c r="F2648" s="17" t="n">
        <v>25341</v>
      </c>
    </row>
    <row r="2650">
      <c r="A2650" s="14" t="inlineStr">
        <is>
          <t>KODE: 3.9.2.7 - Pemasangan 1 m' plint ubin warna uk. 10 s.d. 15x40 cm (1SP : 2PP)</t>
        </is>
      </c>
    </row>
    <row r="2651">
      <c r="A2651" s="10" t="inlineStr">
        <is>
          <t>No</t>
        </is>
      </c>
      <c r="B2651" s="10" t="inlineStr">
        <is>
          <t>Uraian Komponen</t>
        </is>
      </c>
      <c r="C2651" s="10" t="inlineStr">
        <is>
          <t>Satuan</t>
        </is>
      </c>
      <c r="D2651" s="10" t="inlineStr">
        <is>
          <t>Koef</t>
        </is>
      </c>
      <c r="E2651" s="10" t="inlineStr">
        <is>
          <t>Harga Satuan (Rp)</t>
        </is>
      </c>
      <c r="F2651" s="10" t="inlineStr">
        <is>
          <t>Jumlah Harga (Rp)</t>
        </is>
      </c>
    </row>
    <row r="2652">
      <c r="A2652" s="3" t="inlineStr">
        <is>
          <t>1</t>
        </is>
      </c>
      <c r="B2652" s="3" t="inlineStr">
        <is>
          <t>Pekerja</t>
        </is>
      </c>
      <c r="C2652" s="3" t="inlineStr">
        <is>
          <t>OH</t>
        </is>
      </c>
      <c r="D2652" s="15" t="n">
        <v>0.0667</v>
      </c>
      <c r="E2652" s="4" t="n">
        <v>100000</v>
      </c>
      <c r="F2652" s="4" t="n">
        <v>6669.999999999999</v>
      </c>
    </row>
    <row r="2653">
      <c r="A2653" s="3" t="inlineStr">
        <is>
          <t>2</t>
        </is>
      </c>
      <c r="B2653" s="3" t="inlineStr">
        <is>
          <t>Tukang batu</t>
        </is>
      </c>
      <c r="C2653" s="3" t="inlineStr">
        <is>
          <t>OH</t>
        </is>
      </c>
      <c r="D2653" s="15" t="n">
        <v>0.0333</v>
      </c>
      <c r="E2653" s="4" t="n">
        <v>145000</v>
      </c>
      <c r="F2653" s="4" t="n">
        <v>4828.500000000001</v>
      </c>
    </row>
    <row r="2654">
      <c r="A2654" s="3" t="inlineStr">
        <is>
          <t>3</t>
        </is>
      </c>
      <c r="B2654" s="3" t="inlineStr">
        <is>
          <t>Kepala tukang</t>
        </is>
      </c>
      <c r="C2654" s="3" t="inlineStr">
        <is>
          <t>OH</t>
        </is>
      </c>
      <c r="D2654" s="15" t="n">
        <v>0.0033</v>
      </c>
      <c r="E2654" s="4" t="n">
        <v>175000</v>
      </c>
      <c r="F2654" s="4" t="n">
        <v>577.5</v>
      </c>
    </row>
    <row r="2655">
      <c r="A2655" s="3" t="inlineStr">
        <is>
          <t>4</t>
        </is>
      </c>
      <c r="B2655" s="3" t="inlineStr">
        <is>
          <t>Mandor</t>
        </is>
      </c>
      <c r="C2655" s="3" t="inlineStr">
        <is>
          <t>OH</t>
        </is>
      </c>
      <c r="D2655" s="15" t="n">
        <v>0.0011</v>
      </c>
      <c r="E2655" s="4" t="n">
        <v>200000</v>
      </c>
      <c r="F2655" s="4" t="n">
        <v>220</v>
      </c>
    </row>
    <row r="2656">
      <c r="A2656" s="3" t="inlineStr">
        <is>
          <t>2</t>
        </is>
      </c>
      <c r="B2656" s="3" t="inlineStr">
        <is>
          <t>Semen portland (PC)</t>
        </is>
      </c>
      <c r="C2656" s="3" t="inlineStr">
        <is>
          <t>kg</t>
        </is>
      </c>
      <c r="D2656" s="15" t="n">
        <v>1.704</v>
      </c>
      <c r="E2656" s="4" t="n">
        <v>1300</v>
      </c>
      <c r="F2656" s="4" t="n">
        <v>2215.2</v>
      </c>
    </row>
    <row r="2657">
      <c r="A2657" s="3" t="inlineStr">
        <is>
          <t>3</t>
        </is>
      </c>
      <c r="B2657" s="3" t="inlineStr">
        <is>
          <t>Semen warna</t>
        </is>
      </c>
      <c r="C2657" s="3" t="inlineStr">
        <is>
          <t>kg</t>
        </is>
      </c>
      <c r="D2657" s="15" t="n">
        <v>0.188</v>
      </c>
      <c r="E2657" s="4" t="n">
        <v>7800</v>
      </c>
      <c r="F2657" s="4" t="n">
        <v>1466.4</v>
      </c>
    </row>
    <row r="2658">
      <c r="A2658" s="3" t="inlineStr">
        <is>
          <t>4</t>
        </is>
      </c>
      <c r="B2658" s="3" t="inlineStr">
        <is>
          <t>Pasir pasang (quarry - lokasi pekerjaan)</t>
        </is>
      </c>
      <c r="C2658" s="3" t="inlineStr">
        <is>
          <t>m3</t>
        </is>
      </c>
      <c r="D2658" s="15" t="n">
        <v>0.003</v>
      </c>
      <c r="E2658" s="4" t="n">
        <v>275000</v>
      </c>
      <c r="F2658" s="4" t="n">
        <v>825</v>
      </c>
    </row>
    <row r="2659">
      <c r="D2659" s="2" t="inlineStr">
        <is>
          <t>SUBTOTAL UPAH</t>
        </is>
      </c>
      <c r="F2659" s="16" t="n">
        <v>12296</v>
      </c>
    </row>
    <row r="2660">
      <c r="D2660" s="2" t="inlineStr">
        <is>
          <t>SUBTOTAL BAHAN</t>
        </is>
      </c>
      <c r="F2660" s="16" t="n">
        <v>7879506.600000001</v>
      </c>
    </row>
    <row r="2661">
      <c r="D2661" s="2" t="inlineStr">
        <is>
          <t>SUBTOTAL ALAT</t>
        </is>
      </c>
      <c r="F2661" s="16" t="n">
        <v>0</v>
      </c>
    </row>
    <row r="2662">
      <c r="E2662" s="2" t="inlineStr">
        <is>
          <t>TOTAL HARGA SATUAN (Inc. Overhead)</t>
        </is>
      </c>
      <c r="F2662" s="17" t="n">
        <v>8680982</v>
      </c>
    </row>
    <row r="2664">
      <c r="A2664" s="14" t="inlineStr">
        <is>
          <t>KODE: 3.9.2.8 - Pemasangan 1 m' plint ubin warna uk. 10 s.d. 15x60 cm (1SP : 2PP)</t>
        </is>
      </c>
    </row>
    <row r="2665">
      <c r="A2665" s="10" t="inlineStr">
        <is>
          <t>No</t>
        </is>
      </c>
      <c r="B2665" s="10" t="inlineStr">
        <is>
          <t>Uraian Komponen</t>
        </is>
      </c>
      <c r="C2665" s="10" t="inlineStr">
        <is>
          <t>Satuan</t>
        </is>
      </c>
      <c r="D2665" s="10" t="inlineStr">
        <is>
          <t>Koef</t>
        </is>
      </c>
      <c r="E2665" s="10" t="inlineStr">
        <is>
          <t>Harga Satuan (Rp)</t>
        </is>
      </c>
      <c r="F2665" s="10" t="inlineStr">
        <is>
          <t>Jumlah Harga (Rp)</t>
        </is>
      </c>
    </row>
    <row r="2666">
      <c r="A2666" s="3" t="inlineStr">
        <is>
          <t>1</t>
        </is>
      </c>
      <c r="B2666" s="3" t="inlineStr">
        <is>
          <t>Pekerja</t>
        </is>
      </c>
      <c r="C2666" s="3" t="inlineStr">
        <is>
          <t>OH</t>
        </is>
      </c>
      <c r="D2666" s="15" t="n">
        <v>0.07140000000000001</v>
      </c>
      <c r="E2666" s="4" t="n">
        <v>100000</v>
      </c>
      <c r="F2666" s="4" t="n">
        <v>7140.000000000001</v>
      </c>
    </row>
    <row r="2667">
      <c r="A2667" s="3" t="inlineStr">
        <is>
          <t>2</t>
        </is>
      </c>
      <c r="B2667" s="3" t="inlineStr">
        <is>
          <t>Tukang batu</t>
        </is>
      </c>
      <c r="C2667" s="3" t="inlineStr">
        <is>
          <t>OH</t>
        </is>
      </c>
      <c r="D2667" s="15" t="n">
        <v>0.0357</v>
      </c>
      <c r="E2667" s="4" t="n">
        <v>145000</v>
      </c>
      <c r="F2667" s="4" t="n">
        <v>5176.5</v>
      </c>
    </row>
    <row r="2668">
      <c r="A2668" s="3" t="inlineStr">
        <is>
          <t>3</t>
        </is>
      </c>
      <c r="B2668" s="3" t="inlineStr">
        <is>
          <t>Kepala tukang</t>
        </is>
      </c>
      <c r="C2668" s="3" t="inlineStr">
        <is>
          <t>OH</t>
        </is>
      </c>
      <c r="D2668" s="15" t="n">
        <v>0.0036</v>
      </c>
      <c r="E2668" s="4" t="n">
        <v>175000</v>
      </c>
      <c r="F2668" s="4" t="n">
        <v>630</v>
      </c>
    </row>
    <row r="2669">
      <c r="A2669" s="3" t="inlineStr">
        <is>
          <t>4</t>
        </is>
      </c>
      <c r="B2669" s="3" t="inlineStr">
        <is>
          <t>Mandor</t>
        </is>
      </c>
      <c r="C2669" s="3" t="inlineStr">
        <is>
          <t>OH</t>
        </is>
      </c>
      <c r="D2669" s="15" t="n">
        <v>0.0012</v>
      </c>
      <c r="E2669" s="4" t="n">
        <v>200000</v>
      </c>
      <c r="F2669" s="4" t="n">
        <v>240</v>
      </c>
    </row>
    <row r="2670">
      <c r="A2670" s="3" t="inlineStr">
        <is>
          <t>1</t>
        </is>
      </c>
      <c r="B2670" s="3" t="inlineStr">
        <is>
          <t>Plint ubin warna uk. 10-15x60 cm</t>
        </is>
      </c>
      <c r="C2670" s="3" t="inlineStr">
        <is>
          <t>buah</t>
        </is>
      </c>
      <c r="D2670" s="15" t="n">
        <v>1.75</v>
      </c>
      <c r="E2670" s="4" t="n">
        <v>4500</v>
      </c>
      <c r="F2670" s="4" t="n">
        <v>7875</v>
      </c>
    </row>
    <row r="2671">
      <c r="A2671" s="3" t="inlineStr">
        <is>
          <t>2</t>
        </is>
      </c>
      <c r="B2671" s="3" t="inlineStr">
        <is>
          <t>Semen portland (pc)</t>
        </is>
      </c>
      <c r="C2671" s="3" t="inlineStr">
        <is>
          <t>kg</t>
        </is>
      </c>
      <c r="D2671" s="15" t="n">
        <v>1.704</v>
      </c>
      <c r="E2671" s="4" t="n">
        <v>1300</v>
      </c>
      <c r="F2671" s="4" t="n">
        <v>2215.2</v>
      </c>
    </row>
    <row r="2672">
      <c r="A2672" s="3" t="inlineStr">
        <is>
          <t>3</t>
        </is>
      </c>
      <c r="B2672" s="3" t="inlineStr">
        <is>
          <t>Semen warna</t>
        </is>
      </c>
      <c r="C2672" s="3" t="inlineStr">
        <is>
          <t>kg</t>
        </is>
      </c>
      <c r="D2672" s="15" t="n">
        <v>0.188</v>
      </c>
      <c r="E2672" s="4" t="n">
        <v>7800</v>
      </c>
      <c r="F2672" s="4" t="n">
        <v>1466.4</v>
      </c>
    </row>
    <row r="2673">
      <c r="A2673" s="3" t="inlineStr">
        <is>
          <t>4</t>
        </is>
      </c>
      <c r="B2673" s="3" t="inlineStr">
        <is>
          <t>Pasir pasang (quarry - lokasi pekerjaan)</t>
        </is>
      </c>
      <c r="C2673" s="3" t="inlineStr">
        <is>
          <t>m3</t>
        </is>
      </c>
      <c r="D2673" s="15" t="n">
        <v>0.003</v>
      </c>
      <c r="E2673" s="4" t="n">
        <v>275000</v>
      </c>
      <c r="F2673" s="4" t="n">
        <v>825</v>
      </c>
    </row>
    <row r="2674">
      <c r="D2674" s="2" t="inlineStr">
        <is>
          <t>SUBTOTAL UPAH</t>
        </is>
      </c>
      <c r="F2674" s="16" t="n">
        <v>13186.5</v>
      </c>
    </row>
    <row r="2675">
      <c r="D2675" s="2" t="inlineStr">
        <is>
          <t>SUBTOTAL BAHAN</t>
        </is>
      </c>
      <c r="F2675" s="16" t="n">
        <v>12381.6</v>
      </c>
    </row>
    <row r="2676">
      <c r="D2676" s="2" t="inlineStr">
        <is>
          <t>SUBTOTAL ALAT</t>
        </is>
      </c>
      <c r="F2676" s="16" t="n">
        <v>0</v>
      </c>
    </row>
    <row r="2677">
      <c r="E2677" s="2" t="inlineStr">
        <is>
          <t>TOTAL HARGA SATUAN (Inc. Overhead)</t>
        </is>
      </c>
      <c r="F2677" s="17" t="n">
        <v>28124</v>
      </c>
    </row>
    <row r="2679">
      <c r="A2679" s="14" t="inlineStr">
        <is>
          <t>KODE: 3.9.3.1 - Pemasangan 1 m2 lantai ubin teraso uk. 30x30 cm (1SP : 2PP)</t>
        </is>
      </c>
    </row>
    <row r="2680">
      <c r="A2680" s="10" t="inlineStr">
        <is>
          <t>No</t>
        </is>
      </c>
      <c r="B2680" s="10" t="inlineStr">
        <is>
          <t>Uraian Komponen</t>
        </is>
      </c>
      <c r="C2680" s="10" t="inlineStr">
        <is>
          <t>Satuan</t>
        </is>
      </c>
      <c r="D2680" s="10" t="inlineStr">
        <is>
          <t>Koef</t>
        </is>
      </c>
      <c r="E2680" s="10" t="inlineStr">
        <is>
          <t>Harga Satuan (Rp)</t>
        </is>
      </c>
      <c r="F2680" s="10" t="inlineStr">
        <is>
          <t>Jumlah Harga (Rp)</t>
        </is>
      </c>
    </row>
    <row r="2681">
      <c r="A2681" s="3" t="inlineStr">
        <is>
          <t>1</t>
        </is>
      </c>
      <c r="B2681" s="3" t="inlineStr">
        <is>
          <t>Pekerja</t>
        </is>
      </c>
      <c r="C2681" s="3" t="inlineStr">
        <is>
          <t>OH</t>
        </is>
      </c>
      <c r="D2681" s="15" t="n">
        <v>0.1429</v>
      </c>
      <c r="E2681" s="4" t="n">
        <v>100000</v>
      </c>
      <c r="F2681" s="4" t="n">
        <v>14290</v>
      </c>
    </row>
    <row r="2682">
      <c r="A2682" s="3" t="inlineStr">
        <is>
          <t>2</t>
        </is>
      </c>
      <c r="B2682" s="3" t="inlineStr">
        <is>
          <t>Tukang batu</t>
        </is>
      </c>
      <c r="C2682" s="3" t="inlineStr">
        <is>
          <t>OH</t>
        </is>
      </c>
      <c r="D2682" s="15" t="n">
        <v>0.07140000000000001</v>
      </c>
      <c r="E2682" s="4" t="n">
        <v>145000</v>
      </c>
      <c r="F2682" s="4" t="n">
        <v>10353</v>
      </c>
    </row>
    <row r="2683">
      <c r="A2683" s="3" t="inlineStr">
        <is>
          <t>3</t>
        </is>
      </c>
      <c r="B2683" s="3" t="inlineStr">
        <is>
          <t>Kepala tukang</t>
        </is>
      </c>
      <c r="C2683" s="3" t="inlineStr">
        <is>
          <t>OH</t>
        </is>
      </c>
      <c r="D2683" s="15" t="n">
        <v>0.0071</v>
      </c>
      <c r="E2683" s="4" t="n">
        <v>175000</v>
      </c>
      <c r="F2683" s="4" t="n">
        <v>1242.5</v>
      </c>
    </row>
    <row r="2684">
      <c r="A2684" s="3" t="inlineStr">
        <is>
          <t>4</t>
        </is>
      </c>
      <c r="B2684" s="3" t="inlineStr">
        <is>
          <t>Mandor</t>
        </is>
      </c>
      <c r="C2684" s="3" t="inlineStr">
        <is>
          <t>OH</t>
        </is>
      </c>
      <c r="D2684" s="15" t="n">
        <v>0.0024</v>
      </c>
      <c r="E2684" s="4" t="n">
        <v>200000</v>
      </c>
      <c r="F2684" s="4" t="n">
        <v>479.9999999999999</v>
      </c>
    </row>
    <row r="2685">
      <c r="A2685" s="3" t="inlineStr">
        <is>
          <t>1</t>
        </is>
      </c>
      <c r="B2685" s="3" t="inlineStr">
        <is>
          <t>Ubin teraso 30x30 cm</t>
        </is>
      </c>
      <c r="C2685" s="3" t="inlineStr">
        <is>
          <t>buah</t>
        </is>
      </c>
      <c r="D2685" s="15" t="n">
        <v>11.667</v>
      </c>
      <c r="E2685" s="4" t="n">
        <v>24000</v>
      </c>
      <c r="F2685" s="4" t="n">
        <v>280008</v>
      </c>
    </row>
    <row r="2686">
      <c r="A2686" s="3" t="inlineStr">
        <is>
          <t>2</t>
        </is>
      </c>
      <c r="B2686" s="3" t="inlineStr">
        <is>
          <t>Semen portland (PC)</t>
        </is>
      </c>
      <c r="C2686" s="3" t="inlineStr">
        <is>
          <t>kg</t>
        </is>
      </c>
      <c r="D2686" s="15" t="n">
        <v>13.632</v>
      </c>
      <c r="E2686" s="4" t="n">
        <v>1300</v>
      </c>
      <c r="F2686" s="4" t="n">
        <v>17721.6</v>
      </c>
    </row>
    <row r="2687">
      <c r="A2687" s="3" t="inlineStr">
        <is>
          <t>3</t>
        </is>
      </c>
      <c r="B2687" s="3" t="inlineStr">
        <is>
          <t>Semen warna</t>
        </is>
      </c>
      <c r="C2687" s="3" t="inlineStr">
        <is>
          <t>kg</t>
        </is>
      </c>
      <c r="D2687" s="15" t="n">
        <v>1.5</v>
      </c>
      <c r="E2687" s="4" t="n">
        <v>7800</v>
      </c>
      <c r="F2687" s="4" t="n">
        <v>11700</v>
      </c>
    </row>
    <row r="2688">
      <c r="A2688" s="3" t="inlineStr">
        <is>
          <t>4</t>
        </is>
      </c>
      <c r="B2688" s="3" t="inlineStr">
        <is>
          <t>Pasir pasang (quarry - lokasi pekerjaan)</t>
        </is>
      </c>
      <c r="C2688" s="3" t="inlineStr">
        <is>
          <t>m3</t>
        </is>
      </c>
      <c r="D2688" s="15" t="n">
        <v>0.027</v>
      </c>
      <c r="E2688" s="4" t="n">
        <v>275000</v>
      </c>
      <c r="F2688" s="4" t="n">
        <v>7425</v>
      </c>
    </row>
    <row r="2689">
      <c r="D2689" s="2" t="inlineStr">
        <is>
          <t>SUBTOTAL UPAH</t>
        </is>
      </c>
      <c r="F2689" s="16" t="n">
        <v>26365.5</v>
      </c>
    </row>
    <row r="2690">
      <c r="D2690" s="2" t="inlineStr">
        <is>
          <t>SUBTOTAL BAHAN</t>
        </is>
      </c>
      <c r="F2690" s="16" t="n">
        <v>316854.6</v>
      </c>
    </row>
    <row r="2691">
      <c r="D2691" s="2" t="inlineStr">
        <is>
          <t>SUBTOTAL ALAT</t>
        </is>
      </c>
      <c r="F2691" s="16" t="n">
        <v>0</v>
      </c>
    </row>
    <row r="2692">
      <c r="E2692" s="2" t="inlineStr">
        <is>
          <t>TOTAL HARGA SATUAN (Inc. Overhead)</t>
        </is>
      </c>
      <c r="F2692" s="17" t="n">
        <v>377542</v>
      </c>
    </row>
    <row r="2694">
      <c r="A2694" s="14" t="inlineStr">
        <is>
          <t>KODE: 3.9.3.2 - Pemasangan 1 m2 lantai ubin teraso uk. 40x40 cm (1SP : 2PP)</t>
        </is>
      </c>
    </row>
    <row r="2695">
      <c r="A2695" s="10" t="inlineStr">
        <is>
          <t>No</t>
        </is>
      </c>
      <c r="B2695" s="10" t="inlineStr">
        <is>
          <t>Uraian Komponen</t>
        </is>
      </c>
      <c r="C2695" s="10" t="inlineStr">
        <is>
          <t>Satuan</t>
        </is>
      </c>
      <c r="D2695" s="10" t="inlineStr">
        <is>
          <t>Koef</t>
        </is>
      </c>
      <c r="E2695" s="10" t="inlineStr">
        <is>
          <t>Harga Satuan (Rp)</t>
        </is>
      </c>
      <c r="F2695" s="10" t="inlineStr">
        <is>
          <t>Jumlah Harga (Rp)</t>
        </is>
      </c>
    </row>
    <row r="2696">
      <c r="A2696" s="3" t="inlineStr">
        <is>
          <t>1</t>
        </is>
      </c>
      <c r="B2696" s="3" t="inlineStr">
        <is>
          <t>Pekerja</t>
        </is>
      </c>
      <c r="C2696" s="3" t="inlineStr">
        <is>
          <t>OH</t>
        </is>
      </c>
      <c r="D2696" s="15" t="n">
        <v>0.1538</v>
      </c>
      <c r="E2696" s="4" t="n">
        <v>100000</v>
      </c>
      <c r="F2696" s="4" t="n">
        <v>15380</v>
      </c>
    </row>
    <row r="2697">
      <c r="A2697" s="3" t="inlineStr">
        <is>
          <t>2</t>
        </is>
      </c>
      <c r="B2697" s="3" t="inlineStr">
        <is>
          <t>Tukang batu</t>
        </is>
      </c>
      <c r="C2697" s="3" t="inlineStr">
        <is>
          <t>OH</t>
        </is>
      </c>
      <c r="D2697" s="15" t="n">
        <v>0.0769</v>
      </c>
      <c r="E2697" s="4" t="n">
        <v>145000</v>
      </c>
      <c r="F2697" s="4" t="n">
        <v>11150.5</v>
      </c>
    </row>
    <row r="2698">
      <c r="A2698" s="3" t="inlineStr">
        <is>
          <t>3</t>
        </is>
      </c>
      <c r="B2698" s="3" t="inlineStr">
        <is>
          <t>Kepala tukang</t>
        </is>
      </c>
      <c r="C2698" s="3" t="inlineStr">
        <is>
          <t>OH</t>
        </is>
      </c>
      <c r="D2698" s="15" t="n">
        <v>0.0077</v>
      </c>
      <c r="E2698" s="4" t="n">
        <v>175000</v>
      </c>
      <c r="F2698" s="4" t="n">
        <v>1347.5</v>
      </c>
    </row>
    <row r="2699">
      <c r="A2699" s="3" t="inlineStr">
        <is>
          <t>4</t>
        </is>
      </c>
      <c r="B2699" s="3" t="inlineStr">
        <is>
          <t>Mandor</t>
        </is>
      </c>
      <c r="C2699" s="3" t="inlineStr">
        <is>
          <t>OH</t>
        </is>
      </c>
      <c r="D2699" s="15" t="n">
        <v>0.0026</v>
      </c>
      <c r="E2699" s="4" t="n">
        <v>200000</v>
      </c>
      <c r="F2699" s="4" t="n">
        <v>520</v>
      </c>
    </row>
    <row r="2700">
      <c r="A2700" s="3" t="inlineStr">
        <is>
          <t>1</t>
        </is>
      </c>
      <c r="B2700" s="3" t="inlineStr">
        <is>
          <t>Ubin teraso 40x40 cm</t>
        </is>
      </c>
      <c r="C2700" s="3" t="inlineStr">
        <is>
          <t>buah</t>
        </is>
      </c>
      <c r="D2700" s="15" t="n">
        <v>6.563</v>
      </c>
      <c r="E2700" s="4" t="n">
        <v>30000</v>
      </c>
      <c r="F2700" s="4" t="n">
        <v>196890</v>
      </c>
    </row>
    <row r="2701">
      <c r="A2701" s="3" t="inlineStr">
        <is>
          <t>2</t>
        </is>
      </c>
      <c r="B2701" s="3" t="inlineStr">
        <is>
          <t>Semen portland (PC)</t>
        </is>
      </c>
      <c r="C2701" s="3" t="inlineStr">
        <is>
          <t>kg</t>
        </is>
      </c>
      <c r="D2701" s="15" t="n">
        <v>13.632</v>
      </c>
      <c r="E2701" s="4" t="n">
        <v>1300</v>
      </c>
      <c r="F2701" s="4" t="n">
        <v>17721.6</v>
      </c>
    </row>
    <row r="2702">
      <c r="A2702" s="3" t="inlineStr">
        <is>
          <t>3</t>
        </is>
      </c>
      <c r="B2702" s="3" t="inlineStr">
        <is>
          <t>Semen warna</t>
        </is>
      </c>
      <c r="C2702" s="3" t="inlineStr">
        <is>
          <t>kg</t>
        </is>
      </c>
      <c r="D2702" s="15" t="n">
        <v>1.5</v>
      </c>
      <c r="E2702" s="4" t="n">
        <v>7800</v>
      </c>
      <c r="F2702" s="4" t="n">
        <v>11700</v>
      </c>
    </row>
    <row r="2703">
      <c r="A2703" s="3" t="inlineStr">
        <is>
          <t>4</t>
        </is>
      </c>
      <c r="B2703" s="3" t="inlineStr">
        <is>
          <t>Pasir pasang (quarry - lokasi pekerjaan)</t>
        </is>
      </c>
      <c r="C2703" s="3" t="inlineStr">
        <is>
          <t>m3</t>
        </is>
      </c>
      <c r="D2703" s="15" t="n">
        <v>0.027</v>
      </c>
      <c r="E2703" s="4" t="n">
        <v>275000</v>
      </c>
      <c r="F2703" s="4" t="n">
        <v>7425</v>
      </c>
    </row>
    <row r="2704">
      <c r="D2704" s="2" t="inlineStr">
        <is>
          <t>SUBTOTAL UPAH</t>
        </is>
      </c>
      <c r="F2704" s="16" t="n">
        <v>28398</v>
      </c>
    </row>
    <row r="2705">
      <c r="D2705" s="2" t="inlineStr">
        <is>
          <t>SUBTOTAL BAHAN</t>
        </is>
      </c>
      <c r="F2705" s="16" t="n">
        <v>233736.6</v>
      </c>
    </row>
    <row r="2706">
      <c r="D2706" s="2" t="inlineStr">
        <is>
          <t>SUBTOTAL ALAT</t>
        </is>
      </c>
      <c r="F2706" s="16" t="n">
        <v>0</v>
      </c>
    </row>
    <row r="2707">
      <c r="E2707" s="2" t="inlineStr">
        <is>
          <t>TOTAL HARGA SATUAN (Inc. Overhead)</t>
        </is>
      </c>
      <c r="F2707" s="17" t="n">
        <v>288348</v>
      </c>
    </row>
    <row r="2709">
      <c r="A2709" s="14" t="inlineStr">
        <is>
          <t>KODE: 3.9.3.3 - Pemasangan 1 m2 lantai teraso cor di tempat, tebal 3cm</t>
        </is>
      </c>
    </row>
    <row r="2710">
      <c r="A2710" s="10" t="inlineStr">
        <is>
          <t>No</t>
        </is>
      </c>
      <c r="B2710" s="10" t="inlineStr">
        <is>
          <t>Uraian Komponen</t>
        </is>
      </c>
      <c r="C2710" s="10" t="inlineStr">
        <is>
          <t>Satuan</t>
        </is>
      </c>
      <c r="D2710" s="10" t="inlineStr">
        <is>
          <t>Koef</t>
        </is>
      </c>
      <c r="E2710" s="10" t="inlineStr">
        <is>
          <t>Harga Satuan (Rp)</t>
        </is>
      </c>
      <c r="F2710" s="10" t="inlineStr">
        <is>
          <t>Jumlah Harga (Rp)</t>
        </is>
      </c>
    </row>
    <row r="2711">
      <c r="A2711" s="3" t="inlineStr">
        <is>
          <t>1</t>
        </is>
      </c>
      <c r="B2711" s="3" t="inlineStr">
        <is>
          <t>Pekerja</t>
        </is>
      </c>
      <c r="C2711" s="3" t="inlineStr">
        <is>
          <t>OH</t>
        </is>
      </c>
      <c r="D2711" s="15" t="n">
        <v>0.36</v>
      </c>
      <c r="E2711" s="4" t="n">
        <v>100000</v>
      </c>
      <c r="F2711" s="4" t="n">
        <v>36000</v>
      </c>
    </row>
    <row r="2712">
      <c r="A2712" s="3" t="inlineStr">
        <is>
          <t>2</t>
        </is>
      </c>
      <c r="B2712" s="3" t="inlineStr">
        <is>
          <t>Tukang batu</t>
        </is>
      </c>
      <c r="C2712" s="3" t="inlineStr">
        <is>
          <t>OH</t>
        </is>
      </c>
      <c r="D2712" s="15" t="n">
        <v>0.18</v>
      </c>
      <c r="E2712" s="4" t="n">
        <v>145000</v>
      </c>
      <c r="F2712" s="4" t="n">
        <v>26100</v>
      </c>
    </row>
    <row r="2713">
      <c r="A2713" s="3" t="inlineStr">
        <is>
          <t>3</t>
        </is>
      </c>
      <c r="B2713" s="3" t="inlineStr">
        <is>
          <t>Kepala tukang</t>
        </is>
      </c>
      <c r="C2713" s="3" t="inlineStr">
        <is>
          <t>OH</t>
        </is>
      </c>
      <c r="D2713" s="15" t="n">
        <v>0.018</v>
      </c>
      <c r="E2713" s="4" t="n">
        <v>175000</v>
      </c>
      <c r="F2713" s="4" t="n">
        <v>3150</v>
      </c>
    </row>
    <row r="2714">
      <c r="A2714" s="3" t="inlineStr">
        <is>
          <t>4</t>
        </is>
      </c>
      <c r="B2714" s="3" t="inlineStr">
        <is>
          <t>Mandor</t>
        </is>
      </c>
      <c r="C2714" s="3" t="inlineStr">
        <is>
          <t>OH</t>
        </is>
      </c>
      <c r="D2714" s="15" t="n">
        <v>0.006</v>
      </c>
      <c r="E2714" s="4" t="n">
        <v>200000</v>
      </c>
      <c r="F2714" s="4" t="n">
        <v>1200</v>
      </c>
    </row>
    <row r="2715">
      <c r="A2715" s="3" t="inlineStr">
        <is>
          <t>1</t>
        </is>
      </c>
      <c r="B2715" s="3" t="inlineStr">
        <is>
          <t>Teraso cor</t>
        </is>
      </c>
      <c r="C2715" s="3" t="inlineStr">
        <is>
          <t>m3</t>
        </is>
      </c>
      <c r="D2715" s="15" t="n">
        <v>0.036</v>
      </c>
      <c r="E2715" s="4" t="n">
        <v>3500000</v>
      </c>
      <c r="F2715" s="4" t="n">
        <v>126000</v>
      </c>
    </row>
    <row r="2716">
      <c r="A2716" s="3" t="inlineStr">
        <is>
          <t>2</t>
        </is>
      </c>
      <c r="B2716" s="3" t="inlineStr">
        <is>
          <t>Semen warna</t>
        </is>
      </c>
      <c r="C2716" s="3" t="inlineStr">
        <is>
          <t>kg</t>
        </is>
      </c>
      <c r="D2716" s="15" t="n">
        <v>0.1</v>
      </c>
      <c r="E2716" s="4" t="n">
        <v>7800</v>
      </c>
      <c r="F2716" s="4" t="n">
        <v>780</v>
      </c>
    </row>
    <row r="2717">
      <c r="D2717" s="2" t="inlineStr">
        <is>
          <t>SUBTOTAL UPAH</t>
        </is>
      </c>
      <c r="F2717" s="16" t="n">
        <v>66450</v>
      </c>
    </row>
    <row r="2718">
      <c r="D2718" s="2" t="inlineStr">
        <is>
          <t>SUBTOTAL BAHAN</t>
        </is>
      </c>
      <c r="F2718" s="16" t="n">
        <v>126780</v>
      </c>
    </row>
    <row r="2719">
      <c r="D2719" s="2" t="inlineStr">
        <is>
          <t>SUBTOTAL ALAT</t>
        </is>
      </c>
      <c r="F2719" s="16" t="n">
        <v>0</v>
      </c>
    </row>
    <row r="2720">
      <c r="E2720" s="2" t="inlineStr">
        <is>
          <t>TOTAL HARGA SATUAN (Inc. Overhead)</t>
        </is>
      </c>
      <c r="F2720" s="17" t="n">
        <v>212553</v>
      </c>
    </row>
    <row r="2722">
      <c r="A2722" s="14" t="inlineStr">
        <is>
          <t>KODE: 3.9.3.4 - Pemasangan 1 m' plint ubin teraso uk. 10 s.d. 15x30 cm (1SP : 2PP)</t>
        </is>
      </c>
    </row>
    <row r="2723">
      <c r="A2723" s="10" t="inlineStr">
        <is>
          <t>No</t>
        </is>
      </c>
      <c r="B2723" s="10" t="inlineStr">
        <is>
          <t>Uraian Komponen</t>
        </is>
      </c>
      <c r="C2723" s="10" t="inlineStr">
        <is>
          <t>Satuan</t>
        </is>
      </c>
      <c r="D2723" s="10" t="inlineStr">
        <is>
          <t>Koef</t>
        </is>
      </c>
      <c r="E2723" s="10" t="inlineStr">
        <is>
          <t>Harga Satuan (Rp)</t>
        </is>
      </c>
      <c r="F2723" s="10" t="inlineStr">
        <is>
          <t>Jumlah Harga (Rp)</t>
        </is>
      </c>
    </row>
    <row r="2724">
      <c r="A2724" s="3" t="inlineStr">
        <is>
          <t>1</t>
        </is>
      </c>
      <c r="B2724" s="3" t="inlineStr">
        <is>
          <t>Pekerja</t>
        </is>
      </c>
      <c r="C2724" s="3" t="inlineStr">
        <is>
          <t>OH</t>
        </is>
      </c>
      <c r="D2724" s="15" t="n">
        <v>0.0625</v>
      </c>
      <c r="E2724" s="4" t="n">
        <v>100000</v>
      </c>
      <c r="F2724" s="4" t="n">
        <v>6250</v>
      </c>
    </row>
    <row r="2725">
      <c r="A2725" s="3" t="inlineStr">
        <is>
          <t>2</t>
        </is>
      </c>
      <c r="B2725" s="3" t="inlineStr">
        <is>
          <t>Tukang batu</t>
        </is>
      </c>
      <c r="C2725" s="3" t="inlineStr">
        <is>
          <t>OH</t>
        </is>
      </c>
      <c r="D2725" s="15" t="n">
        <v>0.0313</v>
      </c>
      <c r="E2725" s="4" t="n">
        <v>145000</v>
      </c>
      <c r="F2725" s="4" t="n">
        <v>4538.5</v>
      </c>
    </row>
    <row r="2726">
      <c r="A2726" s="3" t="inlineStr">
        <is>
          <t>3</t>
        </is>
      </c>
      <c r="B2726" s="3" t="inlineStr">
        <is>
          <t>Kepala tukang</t>
        </is>
      </c>
      <c r="C2726" s="3" t="inlineStr">
        <is>
          <t>OH</t>
        </is>
      </c>
      <c r="D2726" s="15" t="n">
        <v>0.0031</v>
      </c>
      <c r="E2726" s="4" t="n">
        <v>175000</v>
      </c>
      <c r="F2726" s="4" t="n">
        <v>542.5</v>
      </c>
    </row>
    <row r="2727">
      <c r="A2727" s="3" t="inlineStr">
        <is>
          <t>4</t>
        </is>
      </c>
      <c r="B2727" s="3" t="inlineStr">
        <is>
          <t>Mandor</t>
        </is>
      </c>
      <c r="C2727" s="3" t="inlineStr">
        <is>
          <t>OH</t>
        </is>
      </c>
      <c r="D2727" s="15" t="n">
        <v>0.001</v>
      </c>
      <c r="E2727" s="4" t="n">
        <v>200000</v>
      </c>
      <c r="F2727" s="4" t="n">
        <v>200</v>
      </c>
    </row>
    <row r="2728">
      <c r="A2728" s="3" t="inlineStr">
        <is>
          <t>1</t>
        </is>
      </c>
      <c r="B2728" s="3" t="inlineStr">
        <is>
          <t>Plint ubin teraso uk. 10-15x30 cm</t>
        </is>
      </c>
      <c r="C2728" s="3" t="inlineStr">
        <is>
          <t>buah</t>
        </is>
      </c>
      <c r="D2728" s="15" t="n">
        <v>3.5</v>
      </c>
      <c r="E2728" s="4" t="n">
        <v>4000</v>
      </c>
      <c r="F2728" s="4" t="n">
        <v>14000</v>
      </c>
    </row>
    <row r="2729">
      <c r="A2729" s="3" t="inlineStr">
        <is>
          <t>2</t>
        </is>
      </c>
      <c r="B2729" s="3" t="inlineStr">
        <is>
          <t>Semen portland (PC)</t>
        </is>
      </c>
      <c r="C2729" s="3" t="inlineStr">
        <is>
          <t>kg</t>
        </is>
      </c>
      <c r="D2729" s="15" t="n">
        <v>1.704</v>
      </c>
      <c r="E2729" s="4" t="n">
        <v>1300</v>
      </c>
      <c r="F2729" s="4" t="n">
        <v>2215.2</v>
      </c>
    </row>
    <row r="2730">
      <c r="A2730" s="3" t="inlineStr">
        <is>
          <t>3</t>
        </is>
      </c>
      <c r="B2730" s="3" t="inlineStr">
        <is>
          <t>Semen warna</t>
        </is>
      </c>
      <c r="C2730" s="3" t="inlineStr">
        <is>
          <t>kg</t>
        </is>
      </c>
      <c r="D2730" s="15" t="n">
        <v>0.188</v>
      </c>
      <c r="E2730" s="4" t="n">
        <v>7800</v>
      </c>
      <c r="F2730" s="4" t="n">
        <v>1466.4</v>
      </c>
    </row>
    <row r="2731">
      <c r="A2731" s="3" t="inlineStr">
        <is>
          <t>4</t>
        </is>
      </c>
      <c r="B2731" s="3" t="inlineStr">
        <is>
          <t>Pasir pasang (quarry - lokasi pekerjaan)</t>
        </is>
      </c>
      <c r="C2731" s="3" t="inlineStr">
        <is>
          <t>m3</t>
        </is>
      </c>
      <c r="D2731" s="15" t="n">
        <v>0.003</v>
      </c>
      <c r="E2731" s="4" t="n">
        <v>275000</v>
      </c>
      <c r="F2731" s="4" t="n">
        <v>825</v>
      </c>
    </row>
    <row r="2732">
      <c r="D2732" s="2" t="inlineStr">
        <is>
          <t>SUBTOTAL UPAH</t>
        </is>
      </c>
      <c r="F2732" s="16" t="n">
        <v>11531</v>
      </c>
    </row>
    <row r="2733">
      <c r="D2733" s="2" t="inlineStr">
        <is>
          <t>SUBTOTAL BAHAN</t>
        </is>
      </c>
      <c r="F2733" s="16" t="n">
        <v>18506.6</v>
      </c>
    </row>
    <row r="2734">
      <c r="D2734" s="2" t="inlineStr">
        <is>
          <t>SUBTOTAL ALAT</t>
        </is>
      </c>
      <c r="F2734" s="16" t="n">
        <v>0</v>
      </c>
    </row>
    <row r="2735">
      <c r="E2735" s="2" t="inlineStr">
        <is>
          <t>TOTAL HARGA SATUAN (Inc. Overhead)</t>
        </is>
      </c>
      <c r="F2735" s="17" t="n">
        <v>33041</v>
      </c>
    </row>
    <row r="2737">
      <c r="A2737" s="14" t="inlineStr">
        <is>
          <t>KODE: 3.9.3.5 - Pemasangan 1 m' plint ubin teraso uk. 10 s.d. 15x40 cm (1SP : 2PP)</t>
        </is>
      </c>
    </row>
    <row r="2738">
      <c r="A2738" s="10" t="inlineStr">
        <is>
          <t>No</t>
        </is>
      </c>
      <c r="B2738" s="10" t="inlineStr">
        <is>
          <t>Uraian Komponen</t>
        </is>
      </c>
      <c r="C2738" s="10" t="inlineStr">
        <is>
          <t>Satuan</t>
        </is>
      </c>
      <c r="D2738" s="10" t="inlineStr">
        <is>
          <t>Koef</t>
        </is>
      </c>
      <c r="E2738" s="10" t="inlineStr">
        <is>
          <t>Harga Satuan (Rp)</t>
        </is>
      </c>
      <c r="F2738" s="10" t="inlineStr">
        <is>
          <t>Jumlah Harga (Rp)</t>
        </is>
      </c>
    </row>
    <row r="2739">
      <c r="A2739" s="3" t="inlineStr">
        <is>
          <t>1</t>
        </is>
      </c>
      <c r="B2739" s="3" t="inlineStr">
        <is>
          <t>Pekerja</t>
        </is>
      </c>
      <c r="C2739" s="3" t="inlineStr">
        <is>
          <t>OH</t>
        </is>
      </c>
      <c r="D2739" s="15" t="n">
        <v>0.0667</v>
      </c>
      <c r="E2739" s="4" t="n">
        <v>100000</v>
      </c>
      <c r="F2739" s="4" t="n">
        <v>6669.999999999999</v>
      </c>
    </row>
    <row r="2740">
      <c r="A2740" s="3" t="inlineStr">
        <is>
          <t>2</t>
        </is>
      </c>
      <c r="B2740" s="3" t="inlineStr">
        <is>
          <t>Tukang batu</t>
        </is>
      </c>
      <c r="C2740" s="3" t="inlineStr">
        <is>
          <t>OH</t>
        </is>
      </c>
      <c r="D2740" s="15" t="n">
        <v>0.0333</v>
      </c>
      <c r="E2740" s="4" t="n">
        <v>145000</v>
      </c>
      <c r="F2740" s="4" t="n">
        <v>4828.500000000001</v>
      </c>
    </row>
    <row r="2741">
      <c r="A2741" s="3" t="inlineStr">
        <is>
          <t>3</t>
        </is>
      </c>
      <c r="B2741" s="3" t="inlineStr">
        <is>
          <t>Kepala tukang</t>
        </is>
      </c>
      <c r="C2741" s="3" t="inlineStr">
        <is>
          <t>OH</t>
        </is>
      </c>
      <c r="D2741" s="15" t="n">
        <v>0.0033</v>
      </c>
      <c r="E2741" s="4" t="n">
        <v>175000</v>
      </c>
      <c r="F2741" s="4" t="n">
        <v>577.5</v>
      </c>
    </row>
    <row r="2742">
      <c r="A2742" s="3" t="inlineStr">
        <is>
          <t>4</t>
        </is>
      </c>
      <c r="B2742" s="3" t="inlineStr">
        <is>
          <t>Mandor</t>
        </is>
      </c>
      <c r="C2742" s="3" t="inlineStr">
        <is>
          <t>OH</t>
        </is>
      </c>
      <c r="D2742" s="15" t="n">
        <v>0.0011</v>
      </c>
      <c r="E2742" s="4" t="n">
        <v>200000</v>
      </c>
      <c r="F2742" s="4" t="n">
        <v>220</v>
      </c>
    </row>
    <row r="2743">
      <c r="A2743" s="3" t="inlineStr">
        <is>
          <t>1</t>
        </is>
      </c>
      <c r="B2743" s="3" t="inlineStr">
        <is>
          <t>Plint ubin teraso uk. 10-15x40 cm</t>
        </is>
      </c>
      <c r="C2743" s="3" t="inlineStr">
        <is>
          <t>buah</t>
        </is>
      </c>
      <c r="D2743" s="15" t="n">
        <v>2.625</v>
      </c>
      <c r="E2743" s="4" t="n">
        <v>6000</v>
      </c>
      <c r="F2743" s="4" t="n">
        <v>15750</v>
      </c>
    </row>
    <row r="2744">
      <c r="A2744" s="3" t="inlineStr">
        <is>
          <t>2</t>
        </is>
      </c>
      <c r="B2744" s="3" t="inlineStr">
        <is>
          <t>Semen portland (PC)</t>
        </is>
      </c>
      <c r="C2744" s="3" t="inlineStr">
        <is>
          <t>kg</t>
        </is>
      </c>
      <c r="D2744" s="15" t="n">
        <v>1.704</v>
      </c>
      <c r="E2744" s="4" t="n">
        <v>1300</v>
      </c>
      <c r="F2744" s="4" t="n">
        <v>2215.2</v>
      </c>
    </row>
    <row r="2745">
      <c r="A2745" s="3" t="inlineStr">
        <is>
          <t>3</t>
        </is>
      </c>
      <c r="B2745" s="3" t="inlineStr">
        <is>
          <t>Semen warna</t>
        </is>
      </c>
      <c r="C2745" s="3" t="inlineStr">
        <is>
          <t>kg</t>
        </is>
      </c>
      <c r="D2745" s="15" t="n">
        <v>0.188</v>
      </c>
      <c r="E2745" s="4" t="n">
        <v>7800</v>
      </c>
      <c r="F2745" s="4" t="n">
        <v>1466.4</v>
      </c>
    </row>
    <row r="2746">
      <c r="A2746" s="3" t="inlineStr">
        <is>
          <t>4</t>
        </is>
      </c>
      <c r="B2746" s="3" t="inlineStr">
        <is>
          <t>Pasir pasang (quarry - lokasi pekerjaan)</t>
        </is>
      </c>
      <c r="C2746" s="3" t="inlineStr">
        <is>
          <t>m3</t>
        </is>
      </c>
      <c r="D2746" s="15" t="n">
        <v>0.003</v>
      </c>
      <c r="E2746" s="4" t="n">
        <v>275000</v>
      </c>
      <c r="F2746" s="4" t="n">
        <v>825</v>
      </c>
    </row>
    <row r="2747">
      <c r="D2747" s="2" t="inlineStr">
        <is>
          <t>SUBTOTAL UPAH</t>
        </is>
      </c>
      <c r="F2747" s="16" t="n">
        <v>12296</v>
      </c>
    </row>
    <row r="2748">
      <c r="D2748" s="2" t="inlineStr">
        <is>
          <t>SUBTOTAL BAHAN</t>
        </is>
      </c>
      <c r="F2748" s="16" t="n">
        <v>20256.6</v>
      </c>
    </row>
    <row r="2749">
      <c r="D2749" s="2" t="inlineStr">
        <is>
          <t>SUBTOTAL ALAT</t>
        </is>
      </c>
      <c r="F2749" s="16" t="n">
        <v>0</v>
      </c>
    </row>
    <row r="2750">
      <c r="E2750" s="2" t="inlineStr">
        <is>
          <t>TOTAL HARGA SATUAN (Inc. Overhead)</t>
        </is>
      </c>
      <c r="F2750" s="17" t="n">
        <v>35807</v>
      </c>
    </row>
    <row r="2752">
      <c r="A2752" s="14" t="inlineStr">
        <is>
          <t>KODE: 3.9.4.1 - Pemasangan 1 m2 lantai homogenous tile  Polis uk. 30x30 cm (1SP : 2PP)</t>
        </is>
      </c>
    </row>
    <row r="2753">
      <c r="A2753" s="10" t="inlineStr">
        <is>
          <t>No</t>
        </is>
      </c>
      <c r="B2753" s="10" t="inlineStr">
        <is>
          <t>Uraian Komponen</t>
        </is>
      </c>
      <c r="C2753" s="10" t="inlineStr">
        <is>
          <t>Satuan</t>
        </is>
      </c>
      <c r="D2753" s="10" t="inlineStr">
        <is>
          <t>Koef</t>
        </is>
      </c>
      <c r="E2753" s="10" t="inlineStr">
        <is>
          <t>Harga Satuan (Rp)</t>
        </is>
      </c>
      <c r="F2753" s="10" t="inlineStr">
        <is>
          <t>Jumlah Harga (Rp)</t>
        </is>
      </c>
    </row>
    <row r="2754">
      <c r="A2754" s="3" t="inlineStr">
        <is>
          <t>1</t>
        </is>
      </c>
      <c r="B2754" s="3" t="inlineStr">
        <is>
          <t>Pekerja</t>
        </is>
      </c>
      <c r="C2754" s="3" t="inlineStr">
        <is>
          <t>OH</t>
        </is>
      </c>
      <c r="D2754" s="15" t="n">
        <v>0.1429</v>
      </c>
      <c r="E2754" s="4" t="n">
        <v>100000</v>
      </c>
      <c r="F2754" s="4" t="n">
        <v>14290</v>
      </c>
    </row>
    <row r="2755">
      <c r="A2755" s="3" t="inlineStr">
        <is>
          <t>2</t>
        </is>
      </c>
      <c r="B2755" s="3" t="inlineStr">
        <is>
          <t>Tukang batu</t>
        </is>
      </c>
      <c r="C2755" s="3" t="inlineStr">
        <is>
          <t>OH</t>
        </is>
      </c>
      <c r="D2755" s="15" t="n">
        <v>0.07140000000000001</v>
      </c>
      <c r="E2755" s="4" t="n">
        <v>145000</v>
      </c>
      <c r="F2755" s="4" t="n">
        <v>10353</v>
      </c>
    </row>
    <row r="2756">
      <c r="A2756" s="3" t="inlineStr">
        <is>
          <t>3</t>
        </is>
      </c>
      <c r="B2756" s="3" t="inlineStr">
        <is>
          <t>Kepala tukang</t>
        </is>
      </c>
      <c r="C2756" s="3" t="inlineStr">
        <is>
          <t>OH</t>
        </is>
      </c>
      <c r="D2756" s="15" t="n">
        <v>0.0071</v>
      </c>
      <c r="E2756" s="4" t="n">
        <v>175000</v>
      </c>
      <c r="F2756" s="4" t="n">
        <v>1242.5</v>
      </c>
    </row>
    <row r="2757">
      <c r="A2757" s="3" t="inlineStr">
        <is>
          <t>4</t>
        </is>
      </c>
      <c r="B2757" s="3" t="inlineStr">
        <is>
          <t>Mandor</t>
        </is>
      </c>
      <c r="C2757" s="3" t="inlineStr">
        <is>
          <t>OH</t>
        </is>
      </c>
      <c r="D2757" s="15" t="n">
        <v>0.0024</v>
      </c>
      <c r="E2757" s="4" t="n">
        <v>200000</v>
      </c>
      <c r="F2757" s="4" t="n">
        <v>479.9999999999999</v>
      </c>
    </row>
    <row r="2758">
      <c r="A2758" s="3" t="inlineStr">
        <is>
          <t>1</t>
        </is>
      </c>
      <c r="B2758" s="3" t="inlineStr">
        <is>
          <t>Homogenous tile 30x30 cm</t>
        </is>
      </c>
      <c r="C2758" s="3" t="inlineStr">
        <is>
          <t>buah</t>
        </is>
      </c>
      <c r="D2758" s="15" t="n">
        <v>11.667</v>
      </c>
      <c r="E2758" s="4" t="n">
        <v>20000</v>
      </c>
      <c r="F2758" s="4" t="n">
        <v>233340</v>
      </c>
    </row>
    <row r="2759">
      <c r="A2759" s="3" t="inlineStr">
        <is>
          <t>2</t>
        </is>
      </c>
      <c r="B2759" s="3" t="inlineStr">
        <is>
          <t>Semen portland (PC)</t>
        </is>
      </c>
      <c r="C2759" s="3" t="inlineStr">
        <is>
          <t>kg</t>
        </is>
      </c>
      <c r="D2759" s="15" t="n">
        <v>13.632</v>
      </c>
      <c r="E2759" s="4" t="n">
        <v>1300</v>
      </c>
      <c r="F2759" s="4" t="n">
        <v>17721.6</v>
      </c>
    </row>
    <row r="2760">
      <c r="A2760" s="3" t="inlineStr">
        <is>
          <t>3</t>
        </is>
      </c>
      <c r="B2760" s="3" t="inlineStr">
        <is>
          <t>Semen warna</t>
        </is>
      </c>
      <c r="C2760" s="3" t="inlineStr">
        <is>
          <t>kg</t>
        </is>
      </c>
      <c r="D2760" s="15" t="n">
        <v>1.5</v>
      </c>
      <c r="E2760" s="4" t="n">
        <v>7800</v>
      </c>
      <c r="F2760" s="4" t="n">
        <v>11700</v>
      </c>
    </row>
    <row r="2761">
      <c r="A2761" s="3" t="inlineStr">
        <is>
          <t>4</t>
        </is>
      </c>
      <c r="B2761" s="3" t="inlineStr">
        <is>
          <t>Pasir pasang (quarry - lokasi pekerjaan)</t>
        </is>
      </c>
      <c r="C2761" s="3" t="inlineStr">
        <is>
          <t>m3</t>
        </is>
      </c>
      <c r="D2761" s="15" t="n">
        <v>0.027</v>
      </c>
      <c r="E2761" s="4" t="n">
        <v>275000</v>
      </c>
      <c r="F2761" s="4" t="n">
        <v>7425</v>
      </c>
    </row>
    <row r="2762">
      <c r="D2762" s="2" t="inlineStr">
        <is>
          <t>SUBTOTAL UPAH</t>
        </is>
      </c>
      <c r="F2762" s="16" t="n">
        <v>26365.5</v>
      </c>
    </row>
    <row r="2763">
      <c r="D2763" s="2" t="inlineStr">
        <is>
          <t>SUBTOTAL BAHAN</t>
        </is>
      </c>
      <c r="F2763" s="16" t="n">
        <v>270186.6</v>
      </c>
    </row>
    <row r="2764">
      <c r="D2764" s="2" t="inlineStr">
        <is>
          <t>SUBTOTAL ALAT</t>
        </is>
      </c>
      <c r="F2764" s="16" t="n">
        <v>0</v>
      </c>
    </row>
    <row r="2765">
      <c r="E2765" s="2" t="inlineStr">
        <is>
          <t>TOTAL HARGA SATUAN (Inc. Overhead)</t>
        </is>
      </c>
      <c r="F2765" s="17" t="n">
        <v>326207</v>
      </c>
    </row>
    <row r="2767">
      <c r="A2767" s="14" t="inlineStr">
        <is>
          <t>KODE: 3.9.4.2 - Pemasangan 1 m2 lantai homogenous tile polish uk. 40x40 cm (1SP : 2PP)</t>
        </is>
      </c>
    </row>
    <row r="2768">
      <c r="A2768" s="10" t="inlineStr">
        <is>
          <t>No</t>
        </is>
      </c>
      <c r="B2768" s="10" t="inlineStr">
        <is>
          <t>Uraian Komponen</t>
        </is>
      </c>
      <c r="C2768" s="10" t="inlineStr">
        <is>
          <t>Satuan</t>
        </is>
      </c>
      <c r="D2768" s="10" t="inlineStr">
        <is>
          <t>Koef</t>
        </is>
      </c>
      <c r="E2768" s="10" t="inlineStr">
        <is>
          <t>Harga Satuan (Rp)</t>
        </is>
      </c>
      <c r="F2768" s="10" t="inlineStr">
        <is>
          <t>Jumlah Harga (Rp)</t>
        </is>
      </c>
    </row>
    <row r="2769">
      <c r="A2769" s="3" t="inlineStr">
        <is>
          <t>1</t>
        </is>
      </c>
      <c r="B2769" s="3" t="inlineStr">
        <is>
          <t>Pekerja</t>
        </is>
      </c>
      <c r="C2769" s="3" t="inlineStr">
        <is>
          <t>OH</t>
        </is>
      </c>
      <c r="D2769" s="15" t="n">
        <v>0.1538</v>
      </c>
      <c r="E2769" s="4" t="n">
        <v>100000</v>
      </c>
      <c r="F2769" s="4" t="n">
        <v>15380</v>
      </c>
    </row>
    <row r="2770">
      <c r="A2770" s="3" t="inlineStr">
        <is>
          <t>2</t>
        </is>
      </c>
      <c r="B2770" s="3" t="inlineStr">
        <is>
          <t>Tukang batu</t>
        </is>
      </c>
      <c r="C2770" s="3" t="inlineStr">
        <is>
          <t>OH</t>
        </is>
      </c>
      <c r="D2770" s="15" t="n">
        <v>0.0769</v>
      </c>
      <c r="E2770" s="4" t="n">
        <v>145000</v>
      </c>
      <c r="F2770" s="4" t="n">
        <v>11150.5</v>
      </c>
    </row>
    <row r="2771">
      <c r="A2771" s="3" t="inlineStr">
        <is>
          <t>3</t>
        </is>
      </c>
      <c r="B2771" s="3" t="inlineStr">
        <is>
          <t>Kepala tukang</t>
        </is>
      </c>
      <c r="C2771" s="3" t="inlineStr">
        <is>
          <t>OH</t>
        </is>
      </c>
      <c r="D2771" s="15" t="n">
        <v>0.0077</v>
      </c>
      <c r="E2771" s="4" t="n">
        <v>175000</v>
      </c>
      <c r="F2771" s="4" t="n">
        <v>1347.5</v>
      </c>
    </row>
    <row r="2772">
      <c r="A2772" s="3" t="inlineStr">
        <is>
          <t>4</t>
        </is>
      </c>
      <c r="B2772" s="3" t="inlineStr">
        <is>
          <t>Mandor</t>
        </is>
      </c>
      <c r="C2772" s="3" t="inlineStr">
        <is>
          <t>OH</t>
        </is>
      </c>
      <c r="D2772" s="15" t="n">
        <v>0.0026</v>
      </c>
      <c r="E2772" s="4" t="n">
        <v>200000</v>
      </c>
      <c r="F2772" s="4" t="n">
        <v>520</v>
      </c>
    </row>
    <row r="2773">
      <c r="A2773" s="3" t="inlineStr">
        <is>
          <t>1</t>
        </is>
      </c>
      <c r="B2773" s="3" t="inlineStr">
        <is>
          <t>Homogenous tile 40x40 cm</t>
        </is>
      </c>
      <c r="C2773" s="3" t="inlineStr">
        <is>
          <t>buah</t>
        </is>
      </c>
      <c r="D2773" s="15" t="n">
        <v>6.563</v>
      </c>
      <c r="E2773" s="4" t="n">
        <v>30000</v>
      </c>
      <c r="F2773" s="4" t="n">
        <v>196890</v>
      </c>
    </row>
    <row r="2774">
      <c r="A2774" s="3" t="inlineStr">
        <is>
          <t>2</t>
        </is>
      </c>
      <c r="B2774" s="3" t="inlineStr">
        <is>
          <t>Semen portland (PC)</t>
        </is>
      </c>
      <c r="C2774" s="3" t="inlineStr">
        <is>
          <t>kg</t>
        </is>
      </c>
      <c r="D2774" s="15" t="n">
        <v>13.632</v>
      </c>
      <c r="E2774" s="4" t="n">
        <v>1300</v>
      </c>
      <c r="F2774" s="4" t="n">
        <v>17721.6</v>
      </c>
    </row>
    <row r="2775">
      <c r="A2775" s="3" t="inlineStr">
        <is>
          <t>3</t>
        </is>
      </c>
      <c r="B2775" s="3" t="inlineStr">
        <is>
          <t>Semen warna</t>
        </is>
      </c>
      <c r="C2775" s="3" t="inlineStr">
        <is>
          <t>kg</t>
        </is>
      </c>
      <c r="D2775" s="15" t="n">
        <v>1.5</v>
      </c>
      <c r="E2775" s="4" t="n">
        <v>7800</v>
      </c>
      <c r="F2775" s="4" t="n">
        <v>11700</v>
      </c>
    </row>
    <row r="2776">
      <c r="A2776" s="3" t="inlineStr">
        <is>
          <t>4</t>
        </is>
      </c>
      <c r="B2776" s="3" t="inlineStr">
        <is>
          <t>Pasir pasang (quarry - lokasi pekerjaan)</t>
        </is>
      </c>
      <c r="C2776" s="3" t="inlineStr">
        <is>
          <t>m3</t>
        </is>
      </c>
      <c r="D2776" s="15" t="n">
        <v>0.027</v>
      </c>
      <c r="E2776" s="4" t="n">
        <v>275000</v>
      </c>
      <c r="F2776" s="4" t="n">
        <v>7425</v>
      </c>
    </row>
    <row r="2777">
      <c r="D2777" s="2" t="inlineStr">
        <is>
          <t>SUBTOTAL UPAH</t>
        </is>
      </c>
      <c r="F2777" s="16" t="n">
        <v>28398</v>
      </c>
    </row>
    <row r="2778">
      <c r="D2778" s="2" t="inlineStr">
        <is>
          <t>SUBTOTAL BAHAN</t>
        </is>
      </c>
      <c r="F2778" s="16" t="n">
        <v>233736.6</v>
      </c>
    </row>
    <row r="2779">
      <c r="D2779" s="2" t="inlineStr">
        <is>
          <t>SUBTOTAL ALAT</t>
        </is>
      </c>
      <c r="F2779" s="16" t="n">
        <v>0</v>
      </c>
    </row>
    <row r="2780">
      <c r="E2780" s="2" t="inlineStr">
        <is>
          <t>TOTAL HARGA SATUAN (Inc. Overhead)</t>
        </is>
      </c>
      <c r="F2780" s="17" t="n">
        <v>288348</v>
      </c>
    </row>
    <row r="2782">
      <c r="A2782" s="14" t="inlineStr">
        <is>
          <t>KODE: 3.9.4.3 - Pemasangan 1 m2 lantai homogenous tile Polish  uk. 60x60 cm (1SP : 2PP)</t>
        </is>
      </c>
    </row>
    <row r="2783">
      <c r="A2783" s="10" t="inlineStr">
        <is>
          <t>No</t>
        </is>
      </c>
      <c r="B2783" s="10" t="inlineStr">
        <is>
          <t>Uraian Komponen</t>
        </is>
      </c>
      <c r="C2783" s="10" t="inlineStr">
        <is>
          <t>Satuan</t>
        </is>
      </c>
      <c r="D2783" s="10" t="inlineStr">
        <is>
          <t>Koef</t>
        </is>
      </c>
      <c r="E2783" s="10" t="inlineStr">
        <is>
          <t>Harga Satuan (Rp)</t>
        </is>
      </c>
      <c r="F2783" s="10" t="inlineStr">
        <is>
          <t>Jumlah Harga (Rp)</t>
        </is>
      </c>
    </row>
    <row r="2784">
      <c r="A2784" s="3" t="inlineStr">
        <is>
          <t>1</t>
        </is>
      </c>
      <c r="B2784" s="3" t="inlineStr">
        <is>
          <t>Pekerja</t>
        </is>
      </c>
      <c r="C2784" s="3" t="inlineStr">
        <is>
          <t>OH</t>
        </is>
      </c>
      <c r="D2784" s="15" t="n">
        <v>0.25</v>
      </c>
      <c r="E2784" s="4" t="n">
        <v>100000</v>
      </c>
      <c r="F2784" s="4" t="n">
        <v>25000</v>
      </c>
    </row>
    <row r="2785">
      <c r="A2785" s="3" t="inlineStr">
        <is>
          <t>2</t>
        </is>
      </c>
      <c r="B2785" s="3" t="inlineStr">
        <is>
          <t>Tukang batu</t>
        </is>
      </c>
      <c r="C2785" s="3" t="inlineStr">
        <is>
          <t>OH</t>
        </is>
      </c>
      <c r="D2785" s="15" t="n">
        <v>0.0833</v>
      </c>
      <c r="E2785" s="4" t="n">
        <v>145000</v>
      </c>
      <c r="F2785" s="4" t="n">
        <v>12078.5</v>
      </c>
    </row>
    <row r="2786">
      <c r="A2786" s="3" t="inlineStr">
        <is>
          <t>3</t>
        </is>
      </c>
      <c r="B2786" s="3" t="inlineStr">
        <is>
          <t>Kepala tukang</t>
        </is>
      </c>
      <c r="C2786" s="3" t="inlineStr">
        <is>
          <t>OH</t>
        </is>
      </c>
      <c r="D2786" s="15" t="n">
        <v>0.0083</v>
      </c>
      <c r="E2786" s="4" t="n">
        <v>175000</v>
      </c>
      <c r="F2786" s="4" t="n">
        <v>1452.5</v>
      </c>
    </row>
    <row r="2787">
      <c r="A2787" s="3" t="inlineStr">
        <is>
          <t>4</t>
        </is>
      </c>
      <c r="B2787" s="3" t="inlineStr">
        <is>
          <t>Mandor</t>
        </is>
      </c>
      <c r="C2787" s="3" t="inlineStr">
        <is>
          <t>OH</t>
        </is>
      </c>
      <c r="D2787" s="15" t="n">
        <v>0.0028</v>
      </c>
      <c r="E2787" s="4" t="n">
        <v>200000</v>
      </c>
      <c r="F2787" s="4" t="n">
        <v>560</v>
      </c>
    </row>
    <row r="2788">
      <c r="A2788" s="3" t="inlineStr">
        <is>
          <t>1</t>
        </is>
      </c>
      <c r="B2788" s="3" t="inlineStr">
        <is>
          <t>Homogenous tile 60x60 cm</t>
        </is>
      </c>
      <c r="C2788" s="3" t="inlineStr">
        <is>
          <t>buah</t>
        </is>
      </c>
      <c r="D2788" s="15" t="n">
        <v>2.917</v>
      </c>
      <c r="E2788" s="4" t="n">
        <v>50000</v>
      </c>
      <c r="F2788" s="4" t="n">
        <v>145850</v>
      </c>
    </row>
    <row r="2789">
      <c r="A2789" s="3" t="inlineStr">
        <is>
          <t>2</t>
        </is>
      </c>
      <c r="B2789" s="3" t="inlineStr">
        <is>
          <t>Semen portland (PC)</t>
        </is>
      </c>
      <c r="C2789" s="3" t="inlineStr">
        <is>
          <t>kg</t>
        </is>
      </c>
      <c r="D2789" s="15" t="n">
        <v>13.632</v>
      </c>
      <c r="E2789" s="4" t="n">
        <v>1300</v>
      </c>
      <c r="F2789" s="4" t="n">
        <v>17721.6</v>
      </c>
    </row>
    <row r="2790">
      <c r="A2790" s="3" t="inlineStr">
        <is>
          <t>3</t>
        </is>
      </c>
      <c r="B2790" s="3" t="inlineStr">
        <is>
          <t>Semen warna</t>
        </is>
      </c>
      <c r="C2790" s="3" t="inlineStr">
        <is>
          <t>kg</t>
        </is>
      </c>
      <c r="D2790" s="15" t="n">
        <v>1.5</v>
      </c>
      <c r="E2790" s="4" t="n">
        <v>7800</v>
      </c>
      <c r="F2790" s="4" t="n">
        <v>11700</v>
      </c>
    </row>
    <row r="2791">
      <c r="A2791" s="3" t="inlineStr">
        <is>
          <t>4</t>
        </is>
      </c>
      <c r="B2791" s="3" t="inlineStr">
        <is>
          <t>Pasir pasang (quarry - lokasi pekerjaan)</t>
        </is>
      </c>
      <c r="C2791" s="3" t="inlineStr">
        <is>
          <t>m3</t>
        </is>
      </c>
      <c r="D2791" s="15" t="n">
        <v>0.027</v>
      </c>
      <c r="E2791" s="4" t="n">
        <v>275000</v>
      </c>
      <c r="F2791" s="4" t="n">
        <v>7425</v>
      </c>
    </row>
    <row r="2792">
      <c r="D2792" s="2" t="inlineStr">
        <is>
          <t>SUBTOTAL UPAH</t>
        </is>
      </c>
      <c r="F2792" s="16" t="n">
        <v>39091</v>
      </c>
    </row>
    <row r="2793">
      <c r="D2793" s="2" t="inlineStr">
        <is>
          <t>SUBTOTAL BAHAN</t>
        </is>
      </c>
      <c r="F2793" s="16" t="n">
        <v>182696.6</v>
      </c>
    </row>
    <row r="2794">
      <c r="D2794" s="2" t="inlineStr">
        <is>
          <t>SUBTOTAL ALAT</t>
        </is>
      </c>
      <c r="F2794" s="16" t="n">
        <v>0</v>
      </c>
    </row>
    <row r="2795">
      <c r="E2795" s="2" t="inlineStr">
        <is>
          <t>TOTAL HARGA SATUAN (Inc. Overhead)</t>
        </is>
      </c>
      <c r="F2795" s="17" t="n">
        <v>243966</v>
      </c>
    </row>
    <row r="2797">
      <c r="A2797" s="14" t="inlineStr">
        <is>
          <t>KODE: 3.9.4.4 - Pemasangan 1 m' plint homogenous tile Polish  uk. 10 s.d. 15x30 cm (1SP : 2PP)</t>
        </is>
      </c>
    </row>
    <row r="2798">
      <c r="A2798" s="10" t="inlineStr">
        <is>
          <t>No</t>
        </is>
      </c>
      <c r="B2798" s="10" t="inlineStr">
        <is>
          <t>Uraian Komponen</t>
        </is>
      </c>
      <c r="C2798" s="10" t="inlineStr">
        <is>
          <t>Satuan</t>
        </is>
      </c>
      <c r="D2798" s="10" t="inlineStr">
        <is>
          <t>Koef</t>
        </is>
      </c>
      <c r="E2798" s="10" t="inlineStr">
        <is>
          <t>Harga Satuan (Rp)</t>
        </is>
      </c>
      <c r="F2798" s="10" t="inlineStr">
        <is>
          <t>Jumlah Harga (Rp)</t>
        </is>
      </c>
    </row>
    <row r="2799">
      <c r="A2799" s="3" t="inlineStr">
        <is>
          <t>1</t>
        </is>
      </c>
      <c r="B2799" s="3" t="inlineStr">
        <is>
          <t>Pekerja</t>
        </is>
      </c>
      <c r="C2799" s="3" t="inlineStr">
        <is>
          <t>OH</t>
        </is>
      </c>
      <c r="D2799" s="15" t="n">
        <v>0.0625</v>
      </c>
      <c r="E2799" s="4" t="n">
        <v>100000</v>
      </c>
      <c r="F2799" s="4" t="n">
        <v>6250</v>
      </c>
    </row>
    <row r="2800">
      <c r="A2800" s="3" t="inlineStr">
        <is>
          <t>2</t>
        </is>
      </c>
      <c r="B2800" s="3" t="inlineStr">
        <is>
          <t>Tukang batu</t>
        </is>
      </c>
      <c r="C2800" s="3" t="inlineStr">
        <is>
          <t>OH</t>
        </is>
      </c>
      <c r="D2800" s="15" t="n">
        <v>0.0313</v>
      </c>
      <c r="E2800" s="4" t="n">
        <v>145000</v>
      </c>
      <c r="F2800" s="4" t="n">
        <v>4538.5</v>
      </c>
    </row>
    <row r="2801">
      <c r="A2801" s="3" t="inlineStr">
        <is>
          <t>3</t>
        </is>
      </c>
      <c r="B2801" s="3" t="inlineStr">
        <is>
          <t>Kepala tukang</t>
        </is>
      </c>
      <c r="C2801" s="3" t="inlineStr">
        <is>
          <t>OH</t>
        </is>
      </c>
      <c r="D2801" s="15" t="n">
        <v>0.0031</v>
      </c>
      <c r="E2801" s="4" t="n">
        <v>175000</v>
      </c>
      <c r="F2801" s="4" t="n">
        <v>542.5</v>
      </c>
    </row>
    <row r="2802">
      <c r="A2802" s="3" t="inlineStr">
        <is>
          <t>4</t>
        </is>
      </c>
      <c r="B2802" s="3" t="inlineStr">
        <is>
          <t>Mandor</t>
        </is>
      </c>
      <c r="C2802" s="3" t="inlineStr">
        <is>
          <t>OH</t>
        </is>
      </c>
      <c r="D2802" s="15" t="n">
        <v>0.001</v>
      </c>
      <c r="E2802" s="4" t="n">
        <v>200000</v>
      </c>
      <c r="F2802" s="4" t="n">
        <v>200</v>
      </c>
    </row>
    <row r="2803">
      <c r="A2803" s="3" t="inlineStr">
        <is>
          <t>1</t>
        </is>
      </c>
      <c r="B2803" s="3" t="inlineStr">
        <is>
          <t>Plint homogenous tile uk. 10-15x30 cm</t>
        </is>
      </c>
      <c r="C2803" s="3" t="inlineStr">
        <is>
          <t>buah</t>
        </is>
      </c>
      <c r="D2803" s="15" t="n">
        <v>3.5</v>
      </c>
      <c r="E2803" s="4" t="n">
        <v>5000</v>
      </c>
      <c r="F2803" s="4" t="n">
        <v>17500</v>
      </c>
    </row>
    <row r="2804">
      <c r="A2804" s="3" t="inlineStr">
        <is>
          <t>2</t>
        </is>
      </c>
      <c r="B2804" s="3" t="inlineStr">
        <is>
          <t>Semen portland (pc)</t>
        </is>
      </c>
      <c r="C2804" s="3" t="inlineStr">
        <is>
          <t>kg</t>
        </is>
      </c>
      <c r="D2804" s="15" t="n">
        <v>1.704</v>
      </c>
      <c r="E2804" s="4" t="n">
        <v>1300</v>
      </c>
      <c r="F2804" s="4" t="n">
        <v>2215.2</v>
      </c>
    </row>
    <row r="2805">
      <c r="A2805" s="3" t="inlineStr">
        <is>
          <t>3</t>
        </is>
      </c>
      <c r="B2805" s="3" t="inlineStr">
        <is>
          <t>Semen warna</t>
        </is>
      </c>
      <c r="C2805" s="3" t="inlineStr">
        <is>
          <t>kg</t>
        </is>
      </c>
      <c r="D2805" s="15" t="n">
        <v>0.188</v>
      </c>
      <c r="E2805" s="4" t="n">
        <v>7800</v>
      </c>
      <c r="F2805" s="4" t="n">
        <v>1466.4</v>
      </c>
    </row>
    <row r="2806">
      <c r="A2806" s="3" t="inlineStr">
        <is>
          <t>4</t>
        </is>
      </c>
      <c r="B2806" s="3" t="inlineStr">
        <is>
          <t>Pasir pasang (quarry - lokasi pekerjaan)</t>
        </is>
      </c>
      <c r="C2806" s="3" t="inlineStr">
        <is>
          <t>m3</t>
        </is>
      </c>
      <c r="D2806" s="15" t="n">
        <v>0.003</v>
      </c>
      <c r="E2806" s="4" t="n">
        <v>275000</v>
      </c>
      <c r="F2806" s="4" t="n">
        <v>825</v>
      </c>
    </row>
    <row r="2807">
      <c r="D2807" s="2" t="inlineStr">
        <is>
          <t>SUBTOTAL UPAH</t>
        </is>
      </c>
      <c r="F2807" s="16" t="n">
        <v>11531</v>
      </c>
    </row>
    <row r="2808">
      <c r="D2808" s="2" t="inlineStr">
        <is>
          <t>SUBTOTAL BAHAN</t>
        </is>
      </c>
      <c r="F2808" s="16" t="n">
        <v>22006.6</v>
      </c>
    </row>
    <row r="2809">
      <c r="D2809" s="2" t="inlineStr">
        <is>
          <t>SUBTOTAL ALAT</t>
        </is>
      </c>
      <c r="F2809" s="16" t="n">
        <v>0</v>
      </c>
    </row>
    <row r="2810">
      <c r="E2810" s="2" t="inlineStr">
        <is>
          <t>TOTAL HARGA SATUAN (Inc. Overhead)</t>
        </is>
      </c>
      <c r="F2810" s="17" t="n">
        <v>36891</v>
      </c>
    </row>
    <row r="2812">
      <c r="A2812" s="14" t="inlineStr">
        <is>
          <t>KODE: 3.9.4.5 - Pemasangan 1 m' plint homogenous tile polish uk. 10 s.d. 15x40 cm (1SP : 2PP)</t>
        </is>
      </c>
    </row>
    <row r="2813">
      <c r="A2813" s="10" t="inlineStr">
        <is>
          <t>No</t>
        </is>
      </c>
      <c r="B2813" s="10" t="inlineStr">
        <is>
          <t>Uraian Komponen</t>
        </is>
      </c>
      <c r="C2813" s="10" t="inlineStr">
        <is>
          <t>Satuan</t>
        </is>
      </c>
      <c r="D2813" s="10" t="inlineStr">
        <is>
          <t>Koef</t>
        </is>
      </c>
      <c r="E2813" s="10" t="inlineStr">
        <is>
          <t>Harga Satuan (Rp)</t>
        </is>
      </c>
      <c r="F2813" s="10" t="inlineStr">
        <is>
          <t>Jumlah Harga (Rp)</t>
        </is>
      </c>
    </row>
    <row r="2814">
      <c r="A2814" s="3" t="inlineStr">
        <is>
          <t>1</t>
        </is>
      </c>
      <c r="B2814" s="3" t="inlineStr">
        <is>
          <t>Pekerja</t>
        </is>
      </c>
      <c r="C2814" s="3" t="inlineStr">
        <is>
          <t>OH</t>
        </is>
      </c>
      <c r="D2814" s="15" t="n">
        <v>0.0667</v>
      </c>
      <c r="E2814" s="4" t="n">
        <v>100000</v>
      </c>
      <c r="F2814" s="4" t="n">
        <v>6669.999999999999</v>
      </c>
    </row>
    <row r="2815">
      <c r="A2815" s="3" t="inlineStr">
        <is>
          <t>2</t>
        </is>
      </c>
      <c r="B2815" s="3" t="inlineStr">
        <is>
          <t>Tukang batu</t>
        </is>
      </c>
      <c r="C2815" s="3" t="inlineStr">
        <is>
          <t>OH</t>
        </is>
      </c>
      <c r="D2815" s="15" t="n">
        <v>0.0333</v>
      </c>
      <c r="E2815" s="4" t="n">
        <v>145000</v>
      </c>
      <c r="F2815" s="4" t="n">
        <v>4828.500000000001</v>
      </c>
    </row>
    <row r="2816">
      <c r="A2816" s="3" t="inlineStr">
        <is>
          <t>3</t>
        </is>
      </c>
      <c r="B2816" s="3" t="inlineStr">
        <is>
          <t>Kepala tukang</t>
        </is>
      </c>
      <c r="C2816" s="3" t="inlineStr">
        <is>
          <t>OH</t>
        </is>
      </c>
      <c r="D2816" s="15" t="n">
        <v>0.0033</v>
      </c>
      <c r="E2816" s="4" t="n">
        <v>175000</v>
      </c>
      <c r="F2816" s="4" t="n">
        <v>577.5</v>
      </c>
    </row>
    <row r="2817">
      <c r="A2817" s="3" t="inlineStr">
        <is>
          <t>4</t>
        </is>
      </c>
      <c r="B2817" s="3" t="inlineStr">
        <is>
          <t>Mandor</t>
        </is>
      </c>
      <c r="C2817" s="3" t="inlineStr">
        <is>
          <t>OH</t>
        </is>
      </c>
      <c r="D2817" s="15" t="n">
        <v>0.0011</v>
      </c>
      <c r="E2817" s="4" t="n">
        <v>200000</v>
      </c>
      <c r="F2817" s="4" t="n">
        <v>220</v>
      </c>
    </row>
    <row r="2818">
      <c r="A2818" s="3" t="inlineStr">
        <is>
          <t>1</t>
        </is>
      </c>
      <c r="B2818" s="3" t="inlineStr">
        <is>
          <t>Plint homogenous tile uk. 10-15x40 cm</t>
        </is>
      </c>
      <c r="C2818" s="3" t="inlineStr">
        <is>
          <t>buah</t>
        </is>
      </c>
      <c r="D2818" s="15" t="n">
        <v>2.625</v>
      </c>
      <c r="E2818" s="4" t="n">
        <v>7000</v>
      </c>
      <c r="F2818" s="4" t="n">
        <v>18375</v>
      </c>
    </row>
    <row r="2819">
      <c r="A2819" s="3" t="inlineStr">
        <is>
          <t>2</t>
        </is>
      </c>
      <c r="B2819" s="3" t="inlineStr">
        <is>
          <t>Semen portland (pc)</t>
        </is>
      </c>
      <c r="C2819" s="3" t="inlineStr">
        <is>
          <t>kg</t>
        </is>
      </c>
      <c r="D2819" s="15" t="n">
        <v>1.704</v>
      </c>
      <c r="E2819" s="4" t="n">
        <v>1300</v>
      </c>
      <c r="F2819" s="4" t="n">
        <v>2215.2</v>
      </c>
    </row>
    <row r="2820">
      <c r="A2820" s="3" t="inlineStr">
        <is>
          <t>3</t>
        </is>
      </c>
      <c r="B2820" s="3" t="inlineStr">
        <is>
          <t>Semen warna</t>
        </is>
      </c>
      <c r="C2820" s="3" t="inlineStr">
        <is>
          <t>kg</t>
        </is>
      </c>
      <c r="D2820" s="15" t="n">
        <v>0.188</v>
      </c>
      <c r="E2820" s="4" t="n">
        <v>7800</v>
      </c>
      <c r="F2820" s="4" t="n">
        <v>1466.4</v>
      </c>
    </row>
    <row r="2821">
      <c r="A2821" s="3" t="inlineStr">
        <is>
          <t>4</t>
        </is>
      </c>
      <c r="B2821" s="3" t="inlineStr">
        <is>
          <t>Pasir pasang (quarry - lokasi pekerjaan)</t>
        </is>
      </c>
      <c r="C2821" s="3" t="inlineStr">
        <is>
          <t>m3</t>
        </is>
      </c>
      <c r="D2821" s="15" t="n">
        <v>0.003</v>
      </c>
      <c r="E2821" s="4" t="n">
        <v>275000</v>
      </c>
      <c r="F2821" s="4" t="n">
        <v>825</v>
      </c>
    </row>
    <row r="2822">
      <c r="D2822" s="2" t="inlineStr">
        <is>
          <t>SUBTOTAL UPAH</t>
        </is>
      </c>
      <c r="F2822" s="16" t="n">
        <v>12296</v>
      </c>
    </row>
    <row r="2823">
      <c r="D2823" s="2" t="inlineStr">
        <is>
          <t>SUBTOTAL BAHAN</t>
        </is>
      </c>
      <c r="F2823" s="16" t="n">
        <v>22881.6</v>
      </c>
    </row>
    <row r="2824">
      <c r="D2824" s="2" t="inlineStr">
        <is>
          <t>SUBTOTAL ALAT</t>
        </is>
      </c>
      <c r="F2824" s="16" t="n">
        <v>0</v>
      </c>
    </row>
    <row r="2825">
      <c r="E2825" s="2" t="inlineStr">
        <is>
          <t>TOTAL HARGA SATUAN (Inc. Overhead)</t>
        </is>
      </c>
      <c r="F2825" s="17" t="n">
        <v>38695</v>
      </c>
    </row>
    <row r="2827">
      <c r="A2827" s="14" t="inlineStr">
        <is>
          <t>KODE: 3.9.4.6 - Pemasangan 1 m' plint homogenous tile polish uk. 10 s.d. 15x60 cm (1SP : 2PP)</t>
        </is>
      </c>
    </row>
    <row r="2828">
      <c r="A2828" s="10" t="inlineStr">
        <is>
          <t>No</t>
        </is>
      </c>
      <c r="B2828" s="10" t="inlineStr">
        <is>
          <t>Uraian Komponen</t>
        </is>
      </c>
      <c r="C2828" s="10" t="inlineStr">
        <is>
          <t>Satuan</t>
        </is>
      </c>
      <c r="D2828" s="10" t="inlineStr">
        <is>
          <t>Koef</t>
        </is>
      </c>
      <c r="E2828" s="10" t="inlineStr">
        <is>
          <t>Harga Satuan (Rp)</t>
        </is>
      </c>
      <c r="F2828" s="10" t="inlineStr">
        <is>
          <t>Jumlah Harga (Rp)</t>
        </is>
      </c>
    </row>
    <row r="2829">
      <c r="A2829" s="3" t="inlineStr">
        <is>
          <t>1</t>
        </is>
      </c>
      <c r="B2829" s="3" t="inlineStr">
        <is>
          <t>Pekerja</t>
        </is>
      </c>
      <c r="C2829" s="3" t="inlineStr">
        <is>
          <t>OH</t>
        </is>
      </c>
      <c r="D2829" s="15" t="n">
        <v>0.07140000000000001</v>
      </c>
      <c r="E2829" s="4" t="n">
        <v>100000</v>
      </c>
      <c r="F2829" s="4" t="n">
        <v>7140.000000000001</v>
      </c>
    </row>
    <row r="2830">
      <c r="A2830" s="3" t="inlineStr">
        <is>
          <t>2</t>
        </is>
      </c>
      <c r="B2830" s="3" t="inlineStr">
        <is>
          <t>Tukang batu</t>
        </is>
      </c>
      <c r="C2830" s="3" t="inlineStr">
        <is>
          <t>OH</t>
        </is>
      </c>
      <c r="D2830" s="15" t="n">
        <v>0.0357</v>
      </c>
      <c r="E2830" s="4" t="n">
        <v>145000</v>
      </c>
      <c r="F2830" s="4" t="n">
        <v>5176.5</v>
      </c>
    </row>
    <row r="2831">
      <c r="A2831" s="3" t="inlineStr">
        <is>
          <t>3</t>
        </is>
      </c>
      <c r="B2831" s="3" t="inlineStr">
        <is>
          <t>Kepala tukang</t>
        </is>
      </c>
      <c r="C2831" s="3" t="inlineStr">
        <is>
          <t>OH</t>
        </is>
      </c>
      <c r="D2831" s="15" t="n">
        <v>0.0036</v>
      </c>
      <c r="E2831" s="4" t="n">
        <v>175000</v>
      </c>
      <c r="F2831" s="4" t="n">
        <v>630</v>
      </c>
    </row>
    <row r="2832">
      <c r="A2832" s="3" t="inlineStr">
        <is>
          <t>4</t>
        </is>
      </c>
      <c r="B2832" s="3" t="inlineStr">
        <is>
          <t>Mandor</t>
        </is>
      </c>
      <c r="C2832" s="3" t="inlineStr">
        <is>
          <t>OH</t>
        </is>
      </c>
      <c r="D2832" s="15" t="n">
        <v>0.0012</v>
      </c>
      <c r="E2832" s="4" t="n">
        <v>200000</v>
      </c>
      <c r="F2832" s="4" t="n">
        <v>240</v>
      </c>
    </row>
    <row r="2833">
      <c r="A2833" s="3" t="inlineStr">
        <is>
          <t>1</t>
        </is>
      </c>
      <c r="B2833" s="3" t="inlineStr">
        <is>
          <t>Plint homogenous tile uk. 10-15x60 cm</t>
        </is>
      </c>
      <c r="C2833" s="3" t="inlineStr">
        <is>
          <t>buah</t>
        </is>
      </c>
      <c r="D2833" s="15" t="n">
        <v>1.75</v>
      </c>
      <c r="E2833" s="4" t="n">
        <v>10000</v>
      </c>
      <c r="F2833" s="4" t="n">
        <v>17500</v>
      </c>
    </row>
    <row r="2834">
      <c r="A2834" s="3" t="inlineStr">
        <is>
          <t>2</t>
        </is>
      </c>
      <c r="B2834" s="3" t="inlineStr">
        <is>
          <t>Semen portland (pc)</t>
        </is>
      </c>
      <c r="C2834" s="3" t="inlineStr">
        <is>
          <t>kg</t>
        </is>
      </c>
      <c r="D2834" s="15" t="n">
        <v>1.704</v>
      </c>
      <c r="E2834" s="4" t="n">
        <v>1300</v>
      </c>
      <c r="F2834" s="4" t="n">
        <v>2215.2</v>
      </c>
    </row>
    <row r="2835">
      <c r="A2835" s="3" t="inlineStr">
        <is>
          <t>3</t>
        </is>
      </c>
      <c r="B2835" s="3" t="inlineStr">
        <is>
          <t>Semen warna</t>
        </is>
      </c>
      <c r="C2835" s="3" t="inlineStr">
        <is>
          <t>kg</t>
        </is>
      </c>
      <c r="D2835" s="15" t="n">
        <v>0.188</v>
      </c>
      <c r="E2835" s="4" t="n">
        <v>7800</v>
      </c>
      <c r="F2835" s="4" t="n">
        <v>1466.4</v>
      </c>
    </row>
    <row r="2836">
      <c r="A2836" s="3" t="inlineStr">
        <is>
          <t>4</t>
        </is>
      </c>
      <c r="B2836" s="3" t="inlineStr">
        <is>
          <t>Pasir pasang (quarry - lokasi pekerjaan)</t>
        </is>
      </c>
      <c r="C2836" s="3" t="inlineStr">
        <is>
          <t>m3</t>
        </is>
      </c>
      <c r="D2836" s="15" t="n">
        <v>0.003</v>
      </c>
      <c r="E2836" s="4" t="n">
        <v>275000</v>
      </c>
      <c r="F2836" s="4" t="n">
        <v>825</v>
      </c>
    </row>
    <row r="2837">
      <c r="D2837" s="2" t="inlineStr">
        <is>
          <t>SUBTOTAL UPAH</t>
        </is>
      </c>
      <c r="F2837" s="16" t="n">
        <v>13186.5</v>
      </c>
    </row>
    <row r="2838">
      <c r="D2838" s="2" t="inlineStr">
        <is>
          <t>SUBTOTAL BAHAN</t>
        </is>
      </c>
      <c r="F2838" s="16" t="n">
        <v>22006.6</v>
      </c>
    </row>
    <row r="2839">
      <c r="D2839" s="2" t="inlineStr">
        <is>
          <t>SUBTOTAL ALAT</t>
        </is>
      </c>
      <c r="F2839" s="16" t="n">
        <v>0</v>
      </c>
    </row>
    <row r="2840">
      <c r="E2840" s="2" t="inlineStr">
        <is>
          <t>TOTAL HARGA SATUAN (Inc. Overhead)</t>
        </is>
      </c>
      <c r="F2840" s="17" t="n">
        <v>38712</v>
      </c>
    </row>
    <row r="2842">
      <c r="A2842" s="14" t="inlineStr">
        <is>
          <t>KODE: 3.9.4.7 - Pemasangan 1 m' lantai homogenous tile unpolish uk. 30x30 cm (1SP : 2PP)</t>
        </is>
      </c>
    </row>
    <row r="2843">
      <c r="A2843" s="10" t="inlineStr">
        <is>
          <t>No</t>
        </is>
      </c>
      <c r="B2843" s="10" t="inlineStr">
        <is>
          <t>Uraian Komponen</t>
        </is>
      </c>
      <c r="C2843" s="10" t="inlineStr">
        <is>
          <t>Satuan</t>
        </is>
      </c>
      <c r="D2843" s="10" t="inlineStr">
        <is>
          <t>Koef</t>
        </is>
      </c>
      <c r="E2843" s="10" t="inlineStr">
        <is>
          <t>Harga Satuan (Rp)</t>
        </is>
      </c>
      <c r="F2843" s="10" t="inlineStr">
        <is>
          <t>Jumlah Harga (Rp)</t>
        </is>
      </c>
    </row>
    <row r="2844">
      <c r="A2844" s="3" t="inlineStr">
        <is>
          <t>1</t>
        </is>
      </c>
      <c r="B2844" s="3" t="inlineStr">
        <is>
          <t>Pekerja</t>
        </is>
      </c>
      <c r="C2844" s="3" t="inlineStr">
        <is>
          <t>OH</t>
        </is>
      </c>
      <c r="D2844" s="15" t="n">
        <v>0.1429</v>
      </c>
      <c r="E2844" s="4" t="n">
        <v>100000</v>
      </c>
      <c r="F2844" s="4" t="n">
        <v>14290</v>
      </c>
    </row>
    <row r="2845">
      <c r="A2845" s="3" t="inlineStr">
        <is>
          <t>2</t>
        </is>
      </c>
      <c r="B2845" s="3" t="inlineStr">
        <is>
          <t>Tukang batu</t>
        </is>
      </c>
      <c r="C2845" s="3" t="inlineStr">
        <is>
          <t>OH</t>
        </is>
      </c>
      <c r="D2845" s="15" t="n">
        <v>0.07140000000000001</v>
      </c>
      <c r="E2845" s="4" t="n">
        <v>145000</v>
      </c>
      <c r="F2845" s="4" t="n">
        <v>10353</v>
      </c>
    </row>
    <row r="2846">
      <c r="A2846" s="3" t="inlineStr">
        <is>
          <t>3</t>
        </is>
      </c>
      <c r="B2846" s="3" t="inlineStr">
        <is>
          <t>Kepala tukang</t>
        </is>
      </c>
      <c r="C2846" s="3" t="inlineStr">
        <is>
          <t>OH</t>
        </is>
      </c>
      <c r="D2846" s="15" t="n">
        <v>0.0071</v>
      </c>
      <c r="E2846" s="4" t="n">
        <v>175000</v>
      </c>
      <c r="F2846" s="4" t="n">
        <v>1242.5</v>
      </c>
    </row>
    <row r="2847">
      <c r="A2847" s="3" t="inlineStr">
        <is>
          <t>4</t>
        </is>
      </c>
      <c r="B2847" s="3" t="inlineStr">
        <is>
          <t>Mandor</t>
        </is>
      </c>
      <c r="C2847" s="3" t="inlineStr">
        <is>
          <t>OH</t>
        </is>
      </c>
      <c r="D2847" s="15" t="n">
        <v>0.0024</v>
      </c>
      <c r="E2847" s="4" t="n">
        <v>200000</v>
      </c>
      <c r="F2847" s="4" t="n">
        <v>479.9999999999999</v>
      </c>
    </row>
    <row r="2848">
      <c r="A2848" s="3" t="inlineStr">
        <is>
          <t>1</t>
        </is>
      </c>
      <c r="B2848" s="3" t="inlineStr">
        <is>
          <t>Homogenous tile unpolish 30x30 cm</t>
        </is>
      </c>
      <c r="C2848" s="3" t="inlineStr">
        <is>
          <t>buah</t>
        </is>
      </c>
      <c r="D2848" s="15" t="n">
        <v>11.667</v>
      </c>
      <c r="E2848" s="4" t="n">
        <v>27000</v>
      </c>
      <c r="F2848" s="4" t="n">
        <v>315009</v>
      </c>
    </row>
    <row r="2849">
      <c r="A2849" s="3" t="inlineStr">
        <is>
          <t>2</t>
        </is>
      </c>
      <c r="B2849" s="3" t="inlineStr">
        <is>
          <t>Semen portland (pc)</t>
        </is>
      </c>
      <c r="C2849" s="3" t="inlineStr">
        <is>
          <t>kg</t>
        </is>
      </c>
      <c r="D2849" s="15" t="n">
        <v>13.632</v>
      </c>
      <c r="E2849" s="4" t="n">
        <v>1300</v>
      </c>
      <c r="F2849" s="4" t="n">
        <v>17721.6</v>
      </c>
    </row>
    <row r="2850">
      <c r="A2850" s="3" t="inlineStr">
        <is>
          <t>3</t>
        </is>
      </c>
      <c r="B2850" s="3" t="inlineStr">
        <is>
          <t>Semen warna</t>
        </is>
      </c>
      <c r="C2850" s="3" t="inlineStr">
        <is>
          <t>kg</t>
        </is>
      </c>
      <c r="D2850" s="15" t="n">
        <v>1.5</v>
      </c>
      <c r="E2850" s="4" t="n">
        <v>7800</v>
      </c>
      <c r="F2850" s="4" t="n">
        <v>11700</v>
      </c>
    </row>
    <row r="2851">
      <c r="A2851" s="3" t="inlineStr">
        <is>
          <t>4</t>
        </is>
      </c>
      <c r="B2851" s="3" t="inlineStr">
        <is>
          <t>Pasir pasang (quarry - lokasi pekerjaan)</t>
        </is>
      </c>
      <c r="C2851" s="3" t="inlineStr">
        <is>
          <t>m3</t>
        </is>
      </c>
      <c r="D2851" s="15" t="n">
        <v>0.027</v>
      </c>
      <c r="E2851" s="4" t="n">
        <v>275000</v>
      </c>
      <c r="F2851" s="4" t="n">
        <v>7425</v>
      </c>
    </row>
    <row r="2852">
      <c r="D2852" s="2" t="inlineStr">
        <is>
          <t>SUBTOTAL UPAH</t>
        </is>
      </c>
      <c r="F2852" s="16" t="n">
        <v>26365.5</v>
      </c>
    </row>
    <row r="2853">
      <c r="D2853" s="2" t="inlineStr">
        <is>
          <t>SUBTOTAL BAHAN</t>
        </is>
      </c>
      <c r="F2853" s="16" t="n">
        <v>351855.6</v>
      </c>
    </row>
    <row r="2854">
      <c r="D2854" s="2" t="inlineStr">
        <is>
          <t>SUBTOTAL ALAT</t>
        </is>
      </c>
      <c r="F2854" s="16" t="n">
        <v>0</v>
      </c>
    </row>
    <row r="2855">
      <c r="E2855" s="2" t="inlineStr">
        <is>
          <t>TOTAL HARGA SATUAN (Inc. Overhead)</t>
        </is>
      </c>
      <c r="F2855" s="17" t="n">
        <v>416043</v>
      </c>
    </row>
    <row r="2857">
      <c r="A2857" s="14" t="inlineStr">
        <is>
          <t>KODE: 3.9.4.8 - Pemasangan 1 m' lantai homogenous tile unpolish uk. 40x40 cm (1SP : 2PP)</t>
        </is>
      </c>
    </row>
    <row r="2858">
      <c r="A2858" s="10" t="inlineStr">
        <is>
          <t>No</t>
        </is>
      </c>
      <c r="B2858" s="10" t="inlineStr">
        <is>
          <t>Uraian Komponen</t>
        </is>
      </c>
      <c r="C2858" s="10" t="inlineStr">
        <is>
          <t>Satuan</t>
        </is>
      </c>
      <c r="D2858" s="10" t="inlineStr">
        <is>
          <t>Koef</t>
        </is>
      </c>
      <c r="E2858" s="10" t="inlineStr">
        <is>
          <t>Harga Satuan (Rp)</t>
        </is>
      </c>
      <c r="F2858" s="10" t="inlineStr">
        <is>
          <t>Jumlah Harga (Rp)</t>
        </is>
      </c>
    </row>
    <row r="2859">
      <c r="A2859" s="3" t="inlineStr">
        <is>
          <t>1</t>
        </is>
      </c>
      <c r="B2859" s="3" t="inlineStr">
        <is>
          <t>Pekerja</t>
        </is>
      </c>
      <c r="C2859" s="3" t="inlineStr">
        <is>
          <t>OH</t>
        </is>
      </c>
      <c r="D2859" s="15" t="n">
        <v>0.1538</v>
      </c>
      <c r="E2859" s="4" t="n">
        <v>100000</v>
      </c>
      <c r="F2859" s="4" t="n">
        <v>15380</v>
      </c>
    </row>
    <row r="2860">
      <c r="A2860" s="3" t="inlineStr">
        <is>
          <t>2</t>
        </is>
      </c>
      <c r="B2860" s="3" t="inlineStr">
        <is>
          <t>Tukang batu</t>
        </is>
      </c>
      <c r="C2860" s="3" t="inlineStr">
        <is>
          <t>OH</t>
        </is>
      </c>
      <c r="D2860" s="15" t="n">
        <v>0.0769</v>
      </c>
      <c r="E2860" s="4" t="n">
        <v>145000</v>
      </c>
      <c r="F2860" s="4" t="n">
        <v>11150.5</v>
      </c>
    </row>
    <row r="2861">
      <c r="A2861" s="3" t="inlineStr">
        <is>
          <t>3</t>
        </is>
      </c>
      <c r="B2861" s="3" t="inlineStr">
        <is>
          <t>Kepala tukang</t>
        </is>
      </c>
      <c r="C2861" s="3" t="inlineStr">
        <is>
          <t>OH</t>
        </is>
      </c>
      <c r="D2861" s="15" t="n">
        <v>0.0077</v>
      </c>
      <c r="E2861" s="4" t="n">
        <v>175000</v>
      </c>
      <c r="F2861" s="4" t="n">
        <v>1347.5</v>
      </c>
    </row>
    <row r="2862">
      <c r="A2862" s="3" t="inlineStr">
        <is>
          <t>4</t>
        </is>
      </c>
      <c r="B2862" s="3" t="inlineStr">
        <is>
          <t>Mandor</t>
        </is>
      </c>
      <c r="C2862" s="3" t="inlineStr">
        <is>
          <t>OH</t>
        </is>
      </c>
      <c r="D2862" s="15" t="n">
        <v>0.0026</v>
      </c>
      <c r="E2862" s="4" t="n">
        <v>200000</v>
      </c>
      <c r="F2862" s="4" t="n">
        <v>520</v>
      </c>
    </row>
    <row r="2863">
      <c r="A2863" s="3" t="inlineStr">
        <is>
          <t>1</t>
        </is>
      </c>
      <c r="B2863" s="3" t="inlineStr">
        <is>
          <t>Homogenous tile unpolish 40x40 cm</t>
        </is>
      </c>
      <c r="C2863" s="3" t="inlineStr">
        <is>
          <t>buah</t>
        </is>
      </c>
      <c r="D2863" s="15" t="n">
        <v>6.563</v>
      </c>
      <c r="E2863" s="4" t="n">
        <v>39000</v>
      </c>
      <c r="F2863" s="4" t="n">
        <v>255957</v>
      </c>
    </row>
    <row r="2864">
      <c r="A2864" s="3" t="inlineStr">
        <is>
          <t>2</t>
        </is>
      </c>
      <c r="B2864" s="3" t="inlineStr">
        <is>
          <t>Semen portland (pc)</t>
        </is>
      </c>
      <c r="C2864" s="3" t="inlineStr">
        <is>
          <t>kg</t>
        </is>
      </c>
      <c r="D2864" s="15" t="n">
        <v>13.632</v>
      </c>
      <c r="E2864" s="4" t="n">
        <v>1300</v>
      </c>
      <c r="F2864" s="4" t="n">
        <v>17721.6</v>
      </c>
    </row>
    <row r="2865">
      <c r="A2865" s="3" t="inlineStr">
        <is>
          <t>3</t>
        </is>
      </c>
      <c r="B2865" s="3" t="inlineStr">
        <is>
          <t>Semen warna</t>
        </is>
      </c>
      <c r="C2865" s="3" t="inlineStr">
        <is>
          <t>kg</t>
        </is>
      </c>
      <c r="D2865" s="15" t="n">
        <v>1.5</v>
      </c>
      <c r="E2865" s="4" t="n">
        <v>7800</v>
      </c>
      <c r="F2865" s="4" t="n">
        <v>11700</v>
      </c>
    </row>
    <row r="2866">
      <c r="A2866" s="3" t="inlineStr">
        <is>
          <t>4</t>
        </is>
      </c>
      <c r="B2866" s="3" t="inlineStr">
        <is>
          <t>Pasir pasang (quarry - lokasi pekerjaan)</t>
        </is>
      </c>
      <c r="C2866" s="3" t="inlineStr">
        <is>
          <t>m3</t>
        </is>
      </c>
      <c r="D2866" s="15" t="n">
        <v>0.027</v>
      </c>
      <c r="E2866" s="4" t="n">
        <v>275000</v>
      </c>
      <c r="F2866" s="4" t="n">
        <v>7425</v>
      </c>
    </row>
    <row r="2867">
      <c r="D2867" s="2" t="inlineStr">
        <is>
          <t>SUBTOTAL UPAH</t>
        </is>
      </c>
      <c r="F2867" s="16" t="n">
        <v>28398</v>
      </c>
    </row>
    <row r="2868">
      <c r="D2868" s="2" t="inlineStr">
        <is>
          <t>SUBTOTAL BAHAN</t>
        </is>
      </c>
      <c r="F2868" s="16" t="n">
        <v>292803.6</v>
      </c>
    </row>
    <row r="2869">
      <c r="D2869" s="2" t="inlineStr">
        <is>
          <t>SUBTOTAL ALAT</t>
        </is>
      </c>
      <c r="F2869" s="16" t="n">
        <v>0</v>
      </c>
    </row>
    <row r="2870">
      <c r="E2870" s="2" t="inlineStr">
        <is>
          <t>TOTAL HARGA SATUAN (Inc. Overhead)</t>
        </is>
      </c>
      <c r="F2870" s="17" t="n">
        <v>353321</v>
      </c>
    </row>
    <row r="2872">
      <c r="A2872" s="14" t="inlineStr">
        <is>
          <t>KODE: 3.9.4.9 - Pemasangan 1 m' lantai homogenous tile unpolish uk. 60x60 cm (1SP : 2PP)</t>
        </is>
      </c>
    </row>
    <row r="2873">
      <c r="A2873" s="10" t="inlineStr">
        <is>
          <t>No</t>
        </is>
      </c>
      <c r="B2873" s="10" t="inlineStr">
        <is>
          <t>Uraian Komponen</t>
        </is>
      </c>
      <c r="C2873" s="10" t="inlineStr">
        <is>
          <t>Satuan</t>
        </is>
      </c>
      <c r="D2873" s="10" t="inlineStr">
        <is>
          <t>Koef</t>
        </is>
      </c>
      <c r="E2873" s="10" t="inlineStr">
        <is>
          <t>Harga Satuan (Rp)</t>
        </is>
      </c>
      <c r="F2873" s="10" t="inlineStr">
        <is>
          <t>Jumlah Harga (Rp)</t>
        </is>
      </c>
    </row>
    <row r="2874">
      <c r="A2874" s="3" t="inlineStr">
        <is>
          <t>1</t>
        </is>
      </c>
      <c r="B2874" s="3" t="inlineStr">
        <is>
          <t>Pekerja</t>
        </is>
      </c>
      <c r="C2874" s="3" t="inlineStr">
        <is>
          <t>OH</t>
        </is>
      </c>
      <c r="D2874" s="15" t="n">
        <v>0.25</v>
      </c>
      <c r="E2874" s="4" t="n">
        <v>100000</v>
      </c>
      <c r="F2874" s="4" t="n">
        <v>25000</v>
      </c>
    </row>
    <row r="2875">
      <c r="A2875" s="3" t="inlineStr">
        <is>
          <t>2</t>
        </is>
      </c>
      <c r="B2875" s="3" t="inlineStr">
        <is>
          <t>Tukang batu</t>
        </is>
      </c>
      <c r="C2875" s="3" t="inlineStr">
        <is>
          <t>OH</t>
        </is>
      </c>
      <c r="D2875" s="15" t="n">
        <v>0.0833</v>
      </c>
      <c r="E2875" s="4" t="n">
        <v>145000</v>
      </c>
      <c r="F2875" s="4" t="n">
        <v>12078.5</v>
      </c>
    </row>
    <row r="2876">
      <c r="A2876" s="3" t="inlineStr">
        <is>
          <t>3</t>
        </is>
      </c>
      <c r="B2876" s="3" t="inlineStr">
        <is>
          <t>Kepala tukang</t>
        </is>
      </c>
      <c r="C2876" s="3" t="inlineStr">
        <is>
          <t>OH</t>
        </is>
      </c>
      <c r="D2876" s="15" t="n">
        <v>0.0083</v>
      </c>
      <c r="E2876" s="4" t="n">
        <v>175000</v>
      </c>
      <c r="F2876" s="4" t="n">
        <v>1452.5</v>
      </c>
    </row>
    <row r="2877">
      <c r="A2877" s="3" t="inlineStr">
        <is>
          <t>4</t>
        </is>
      </c>
      <c r="B2877" s="3" t="inlineStr">
        <is>
          <t>Mandor</t>
        </is>
      </c>
      <c r="C2877" s="3" t="inlineStr">
        <is>
          <t>OH</t>
        </is>
      </c>
      <c r="D2877" s="15" t="n">
        <v>0.0028</v>
      </c>
      <c r="E2877" s="4" t="n">
        <v>200000</v>
      </c>
      <c r="F2877" s="4" t="n">
        <v>560</v>
      </c>
    </row>
    <row r="2878">
      <c r="A2878" s="3" t="inlineStr">
        <is>
          <t>1</t>
        </is>
      </c>
      <c r="B2878" s="3" t="inlineStr">
        <is>
          <t>Homogenous tile unpolish 60x60 cm</t>
        </is>
      </c>
      <c r="C2878" s="3" t="inlineStr">
        <is>
          <t>buah</t>
        </is>
      </c>
      <c r="D2878" s="15" t="n">
        <v>2.917</v>
      </c>
      <c r="E2878" s="4" t="n">
        <v>56000</v>
      </c>
      <c r="F2878" s="4" t="n">
        <v>163352</v>
      </c>
    </row>
    <row r="2879">
      <c r="A2879" s="3" t="inlineStr">
        <is>
          <t>2</t>
        </is>
      </c>
      <c r="B2879" s="3" t="inlineStr">
        <is>
          <t>Semen portland (pc)</t>
        </is>
      </c>
      <c r="C2879" s="3" t="inlineStr">
        <is>
          <t>kg</t>
        </is>
      </c>
      <c r="D2879" s="15" t="n">
        <v>13.632</v>
      </c>
      <c r="E2879" s="4" t="n">
        <v>1300</v>
      </c>
      <c r="F2879" s="4" t="n">
        <v>17721.6</v>
      </c>
    </row>
    <row r="2880">
      <c r="A2880" s="3" t="inlineStr">
        <is>
          <t>3</t>
        </is>
      </c>
      <c r="B2880" s="3" t="inlineStr">
        <is>
          <t>Semen warna</t>
        </is>
      </c>
      <c r="C2880" s="3" t="inlineStr">
        <is>
          <t>kg</t>
        </is>
      </c>
      <c r="D2880" s="15" t="n">
        <v>1.5</v>
      </c>
      <c r="E2880" s="4" t="n">
        <v>7800</v>
      </c>
      <c r="F2880" s="4" t="n">
        <v>11700</v>
      </c>
    </row>
    <row r="2881">
      <c r="A2881" s="3" t="inlineStr">
        <is>
          <t>4</t>
        </is>
      </c>
      <c r="B2881" s="3" t="inlineStr">
        <is>
          <t>Pasir pasang (quarry - lokasi pekerjaan)</t>
        </is>
      </c>
      <c r="C2881" s="3" t="inlineStr">
        <is>
          <t>m3</t>
        </is>
      </c>
      <c r="D2881" s="15" t="n">
        <v>0.027</v>
      </c>
      <c r="E2881" s="4" t="n">
        <v>275000</v>
      </c>
      <c r="F2881" s="4" t="n">
        <v>7425</v>
      </c>
    </row>
    <row r="2882">
      <c r="D2882" s="2" t="inlineStr">
        <is>
          <t>SUBTOTAL UPAH</t>
        </is>
      </c>
      <c r="F2882" s="16" t="n">
        <v>39091</v>
      </c>
    </row>
    <row r="2883">
      <c r="D2883" s="2" t="inlineStr">
        <is>
          <t>SUBTOTAL BAHAN</t>
        </is>
      </c>
      <c r="F2883" s="16" t="n">
        <v>200198.6</v>
      </c>
    </row>
    <row r="2884">
      <c r="D2884" s="2" t="inlineStr">
        <is>
          <t>SUBTOTAL ALAT</t>
        </is>
      </c>
      <c r="F2884" s="16" t="n">
        <v>0</v>
      </c>
    </row>
    <row r="2885">
      <c r="E2885" s="2" t="inlineStr">
        <is>
          <t>TOTAL HARGA SATUAN (Inc. Overhead)</t>
        </is>
      </c>
      <c r="F2885" s="17" t="n">
        <v>263218</v>
      </c>
    </row>
    <row r="2887">
      <c r="A2887" s="14" t="inlineStr">
        <is>
          <t>KODE: 3.9.4.10 - Pemasangan 1 m' plint homogenous tile unpolish uk. 10 s.d. 15x30 cm (1SP : 2PP)</t>
        </is>
      </c>
    </row>
    <row r="2888">
      <c r="A2888" s="10" t="inlineStr">
        <is>
          <t>No</t>
        </is>
      </c>
      <c r="B2888" s="10" t="inlineStr">
        <is>
          <t>Uraian Komponen</t>
        </is>
      </c>
      <c r="C2888" s="10" t="inlineStr">
        <is>
          <t>Satuan</t>
        </is>
      </c>
      <c r="D2888" s="10" t="inlineStr">
        <is>
          <t>Koef</t>
        </is>
      </c>
      <c r="E2888" s="10" t="inlineStr">
        <is>
          <t>Harga Satuan (Rp)</t>
        </is>
      </c>
      <c r="F2888" s="10" t="inlineStr">
        <is>
          <t>Jumlah Harga (Rp)</t>
        </is>
      </c>
    </row>
    <row r="2889">
      <c r="A2889" s="3" t="inlineStr">
        <is>
          <t>1</t>
        </is>
      </c>
      <c r="B2889" s="3" t="inlineStr">
        <is>
          <t>Pekerja</t>
        </is>
      </c>
      <c r="C2889" s="3" t="inlineStr">
        <is>
          <t>OH</t>
        </is>
      </c>
      <c r="D2889" s="15" t="n">
        <v>0.0625</v>
      </c>
      <c r="E2889" s="4" t="n">
        <v>100000</v>
      </c>
      <c r="F2889" s="4" t="n">
        <v>6250</v>
      </c>
    </row>
    <row r="2890">
      <c r="A2890" s="3" t="inlineStr">
        <is>
          <t>2</t>
        </is>
      </c>
      <c r="B2890" s="3" t="inlineStr">
        <is>
          <t>Tukang batu</t>
        </is>
      </c>
      <c r="C2890" s="3" t="inlineStr">
        <is>
          <t>OH</t>
        </is>
      </c>
      <c r="D2890" s="15" t="n">
        <v>0.0313</v>
      </c>
      <c r="E2890" s="4" t="n">
        <v>145000</v>
      </c>
      <c r="F2890" s="4" t="n">
        <v>4538.5</v>
      </c>
    </row>
    <row r="2891">
      <c r="A2891" s="3" t="inlineStr">
        <is>
          <t>3</t>
        </is>
      </c>
      <c r="B2891" s="3" t="inlineStr">
        <is>
          <t>Kepala tukang</t>
        </is>
      </c>
      <c r="C2891" s="3" t="inlineStr">
        <is>
          <t>OH</t>
        </is>
      </c>
      <c r="D2891" s="15" t="n">
        <v>0.0031</v>
      </c>
      <c r="E2891" s="4" t="n">
        <v>175000</v>
      </c>
      <c r="F2891" s="4" t="n">
        <v>542.5</v>
      </c>
    </row>
    <row r="2892">
      <c r="A2892" s="3" t="inlineStr">
        <is>
          <t>4</t>
        </is>
      </c>
      <c r="B2892" s="3" t="inlineStr">
        <is>
          <t>Mandor</t>
        </is>
      </c>
      <c r="C2892" s="3" t="inlineStr">
        <is>
          <t>OH</t>
        </is>
      </c>
      <c r="D2892" s="15" t="n">
        <v>0.001</v>
      </c>
      <c r="E2892" s="4" t="n">
        <v>200000</v>
      </c>
      <c r="F2892" s="4" t="n">
        <v>200</v>
      </c>
    </row>
    <row r="2893">
      <c r="A2893" s="3" t="inlineStr">
        <is>
          <t>1</t>
        </is>
      </c>
      <c r="B2893" s="3" t="inlineStr">
        <is>
          <t>Plint homogenous tile unpolish uk. 10-15x30 cm</t>
        </is>
      </c>
      <c r="C2893" s="3" t="inlineStr">
        <is>
          <t>buah</t>
        </is>
      </c>
      <c r="D2893" s="15" t="n">
        <v>3.5</v>
      </c>
      <c r="E2893" s="4" t="n">
        <v>7000</v>
      </c>
      <c r="F2893" s="4" t="n">
        <v>24500</v>
      </c>
    </row>
    <row r="2894">
      <c r="A2894" s="3" t="inlineStr">
        <is>
          <t>2</t>
        </is>
      </c>
      <c r="B2894" s="3" t="inlineStr">
        <is>
          <t>Semen portland (pc)</t>
        </is>
      </c>
      <c r="C2894" s="3" t="inlineStr">
        <is>
          <t>kg</t>
        </is>
      </c>
      <c r="D2894" s="15" t="n">
        <v>1.704</v>
      </c>
      <c r="E2894" s="4" t="n">
        <v>1300</v>
      </c>
      <c r="F2894" s="4" t="n">
        <v>2215.2</v>
      </c>
    </row>
    <row r="2895">
      <c r="A2895" s="3" t="inlineStr">
        <is>
          <t>3</t>
        </is>
      </c>
      <c r="B2895" s="3" t="inlineStr">
        <is>
          <t>Semen warna</t>
        </is>
      </c>
      <c r="C2895" s="3" t="inlineStr">
        <is>
          <t>kg</t>
        </is>
      </c>
      <c r="D2895" s="15" t="n">
        <v>0.188</v>
      </c>
      <c r="E2895" s="4" t="n">
        <v>7800</v>
      </c>
      <c r="F2895" s="4" t="n">
        <v>1466.4</v>
      </c>
    </row>
    <row r="2896">
      <c r="A2896" s="3" t="inlineStr">
        <is>
          <t>4</t>
        </is>
      </c>
      <c r="B2896" s="3" t="inlineStr">
        <is>
          <t>Pasir pasang (quarry - lokasi pekerjaan)</t>
        </is>
      </c>
      <c r="C2896" s="3" t="inlineStr">
        <is>
          <t>m3</t>
        </is>
      </c>
      <c r="D2896" s="15" t="n">
        <v>0.003</v>
      </c>
      <c r="E2896" s="4" t="n">
        <v>275000</v>
      </c>
      <c r="F2896" s="4" t="n">
        <v>825</v>
      </c>
    </row>
    <row r="2897">
      <c r="D2897" s="2" t="inlineStr">
        <is>
          <t>SUBTOTAL UPAH</t>
        </is>
      </c>
      <c r="F2897" s="16" t="n">
        <v>11531</v>
      </c>
    </row>
    <row r="2898">
      <c r="D2898" s="2" t="inlineStr">
        <is>
          <t>SUBTOTAL BAHAN</t>
        </is>
      </c>
      <c r="F2898" s="16" t="n">
        <v>29006.6</v>
      </c>
    </row>
    <row r="2899">
      <c r="D2899" s="2" t="inlineStr">
        <is>
          <t>SUBTOTAL ALAT</t>
        </is>
      </c>
      <c r="F2899" s="16" t="n">
        <v>0</v>
      </c>
    </row>
    <row r="2900">
      <c r="E2900" s="2" t="inlineStr">
        <is>
          <t>TOTAL HARGA SATUAN (Inc. Overhead)</t>
        </is>
      </c>
      <c r="F2900" s="17" t="n">
        <v>44591</v>
      </c>
    </row>
    <row r="2902">
      <c r="A2902" s="14" t="inlineStr">
        <is>
          <t>KODE: 3.9.4.11 - Pemasangan 1 m' plint homogenous tile unpolish uk. 10 s.d. 15x40 cm (1SP : 2PP)</t>
        </is>
      </c>
    </row>
    <row r="2903">
      <c r="A2903" s="10" t="inlineStr">
        <is>
          <t>No</t>
        </is>
      </c>
      <c r="B2903" s="10" t="inlineStr">
        <is>
          <t>Uraian Komponen</t>
        </is>
      </c>
      <c r="C2903" s="10" t="inlineStr">
        <is>
          <t>Satuan</t>
        </is>
      </c>
      <c r="D2903" s="10" t="inlineStr">
        <is>
          <t>Koef</t>
        </is>
      </c>
      <c r="E2903" s="10" t="inlineStr">
        <is>
          <t>Harga Satuan (Rp)</t>
        </is>
      </c>
      <c r="F2903" s="10" t="inlineStr">
        <is>
          <t>Jumlah Harga (Rp)</t>
        </is>
      </c>
    </row>
    <row r="2904">
      <c r="A2904" s="3" t="inlineStr">
        <is>
          <t>1</t>
        </is>
      </c>
      <c r="B2904" s="3" t="inlineStr">
        <is>
          <t>Pekerja</t>
        </is>
      </c>
      <c r="C2904" s="3" t="inlineStr">
        <is>
          <t>OH</t>
        </is>
      </c>
      <c r="D2904" s="15" t="n">
        <v>0.0667</v>
      </c>
      <c r="E2904" s="4" t="n">
        <v>100000</v>
      </c>
      <c r="F2904" s="4" t="n">
        <v>6669.999999999999</v>
      </c>
    </row>
    <row r="2905">
      <c r="A2905" s="3" t="inlineStr">
        <is>
          <t>2</t>
        </is>
      </c>
      <c r="B2905" s="3" t="inlineStr">
        <is>
          <t>Tukang batu</t>
        </is>
      </c>
      <c r="C2905" s="3" t="inlineStr">
        <is>
          <t>OH</t>
        </is>
      </c>
      <c r="D2905" s="15" t="n">
        <v>0.0333</v>
      </c>
      <c r="E2905" s="4" t="n">
        <v>145000</v>
      </c>
      <c r="F2905" s="4" t="n">
        <v>4828.500000000001</v>
      </c>
    </row>
    <row r="2906">
      <c r="A2906" s="3" t="inlineStr">
        <is>
          <t>3</t>
        </is>
      </c>
      <c r="B2906" s="3" t="inlineStr">
        <is>
          <t>Kepala tukang</t>
        </is>
      </c>
      <c r="C2906" s="3" t="inlineStr">
        <is>
          <t>OH</t>
        </is>
      </c>
      <c r="D2906" s="15" t="n">
        <v>0.0033</v>
      </c>
      <c r="E2906" s="4" t="n">
        <v>175000</v>
      </c>
      <c r="F2906" s="4" t="n">
        <v>577.5</v>
      </c>
    </row>
    <row r="2907">
      <c r="A2907" s="3" t="inlineStr">
        <is>
          <t>4</t>
        </is>
      </c>
      <c r="B2907" s="3" t="inlineStr">
        <is>
          <t>Mandor</t>
        </is>
      </c>
      <c r="C2907" s="3" t="inlineStr">
        <is>
          <t>OH</t>
        </is>
      </c>
      <c r="D2907" s="15" t="n">
        <v>0.0011</v>
      </c>
      <c r="E2907" s="4" t="n">
        <v>200000</v>
      </c>
      <c r="F2907" s="4" t="n">
        <v>220</v>
      </c>
    </row>
    <row r="2908">
      <c r="A2908" s="3" t="inlineStr">
        <is>
          <t>1</t>
        </is>
      </c>
      <c r="B2908" s="3" t="inlineStr">
        <is>
          <t>Plint homogenous tile unpolish uk. 10-15x40 cm</t>
        </is>
      </c>
      <c r="C2908" s="3" t="inlineStr">
        <is>
          <t>buah</t>
        </is>
      </c>
      <c r="D2908" s="15" t="n">
        <v>2.625</v>
      </c>
      <c r="E2908" s="4" t="n">
        <v>9000</v>
      </c>
      <c r="F2908" s="4" t="n">
        <v>23625</v>
      </c>
    </row>
    <row r="2909">
      <c r="A2909" s="3" t="inlineStr">
        <is>
          <t>2</t>
        </is>
      </c>
      <c r="B2909" s="3" t="inlineStr">
        <is>
          <t>Semen portland (pc)</t>
        </is>
      </c>
      <c r="C2909" s="3" t="inlineStr">
        <is>
          <t>kg</t>
        </is>
      </c>
      <c r="D2909" s="15" t="n">
        <v>1.704</v>
      </c>
      <c r="E2909" s="4" t="n">
        <v>1300</v>
      </c>
      <c r="F2909" s="4" t="n">
        <v>2215.2</v>
      </c>
    </row>
    <row r="2910">
      <c r="A2910" s="3" t="inlineStr">
        <is>
          <t>3</t>
        </is>
      </c>
      <c r="B2910" s="3" t="inlineStr">
        <is>
          <t>Semen warna</t>
        </is>
      </c>
      <c r="C2910" s="3" t="inlineStr">
        <is>
          <t>kg</t>
        </is>
      </c>
      <c r="D2910" s="15" t="n">
        <v>0.188</v>
      </c>
      <c r="E2910" s="4" t="n">
        <v>7800</v>
      </c>
      <c r="F2910" s="4" t="n">
        <v>1466.4</v>
      </c>
    </row>
    <row r="2911">
      <c r="A2911" s="3" t="inlineStr">
        <is>
          <t>4</t>
        </is>
      </c>
      <c r="B2911" s="3" t="inlineStr">
        <is>
          <t>Pasir pasang (quarry - lokasi pekerjaan)</t>
        </is>
      </c>
      <c r="C2911" s="3" t="inlineStr">
        <is>
          <t>m3</t>
        </is>
      </c>
      <c r="D2911" s="15" t="n">
        <v>0.003</v>
      </c>
      <c r="E2911" s="4" t="n">
        <v>275000</v>
      </c>
      <c r="F2911" s="4" t="n">
        <v>825</v>
      </c>
    </row>
    <row r="2912">
      <c r="D2912" s="2" t="inlineStr">
        <is>
          <t>SUBTOTAL UPAH</t>
        </is>
      </c>
      <c r="F2912" s="16" t="n">
        <v>12296</v>
      </c>
    </row>
    <row r="2913">
      <c r="D2913" s="2" t="inlineStr">
        <is>
          <t>SUBTOTAL BAHAN</t>
        </is>
      </c>
      <c r="F2913" s="16" t="n">
        <v>28131.6</v>
      </c>
    </row>
    <row r="2914">
      <c r="D2914" s="2" t="inlineStr">
        <is>
          <t>SUBTOTAL ALAT</t>
        </is>
      </c>
      <c r="F2914" s="16" t="n">
        <v>0</v>
      </c>
    </row>
    <row r="2915">
      <c r="E2915" s="2" t="inlineStr">
        <is>
          <t>TOTAL HARGA SATUAN (Inc. Overhead)</t>
        </is>
      </c>
      <c r="F2915" s="17" t="n">
        <v>44470</v>
      </c>
    </row>
    <row r="2917">
      <c r="A2917" s="14" t="inlineStr">
        <is>
          <t>KODE: 3.9.4.12 - Pemasangan 1 m' plint homogenous tile unpolish uk. 10 s.d. 15x60 cm (1SP : 2PP)</t>
        </is>
      </c>
    </row>
    <row r="2918">
      <c r="A2918" s="10" t="inlineStr">
        <is>
          <t>No</t>
        </is>
      </c>
      <c r="B2918" s="10" t="inlineStr">
        <is>
          <t>Uraian Komponen</t>
        </is>
      </c>
      <c r="C2918" s="10" t="inlineStr">
        <is>
          <t>Satuan</t>
        </is>
      </c>
      <c r="D2918" s="10" t="inlineStr">
        <is>
          <t>Koef</t>
        </is>
      </c>
      <c r="E2918" s="10" t="inlineStr">
        <is>
          <t>Harga Satuan (Rp)</t>
        </is>
      </c>
      <c r="F2918" s="10" t="inlineStr">
        <is>
          <t>Jumlah Harga (Rp)</t>
        </is>
      </c>
    </row>
    <row r="2919">
      <c r="A2919" s="3" t="inlineStr">
        <is>
          <t>1</t>
        </is>
      </c>
      <c r="B2919" s="3" t="inlineStr">
        <is>
          <t>Pekerja</t>
        </is>
      </c>
      <c r="C2919" s="3" t="inlineStr">
        <is>
          <t>OH</t>
        </is>
      </c>
      <c r="D2919" s="15" t="n">
        <v>0.07140000000000001</v>
      </c>
      <c r="E2919" s="4" t="n">
        <v>100000</v>
      </c>
      <c r="F2919" s="4" t="n">
        <v>7140.000000000001</v>
      </c>
    </row>
    <row r="2920">
      <c r="A2920" s="3" t="inlineStr">
        <is>
          <t>2</t>
        </is>
      </c>
      <c r="B2920" s="3" t="inlineStr">
        <is>
          <t>Tukang batu</t>
        </is>
      </c>
      <c r="C2920" s="3" t="inlineStr">
        <is>
          <t>OH</t>
        </is>
      </c>
      <c r="D2920" s="15" t="n">
        <v>0.0357</v>
      </c>
      <c r="E2920" s="4" t="n">
        <v>145000</v>
      </c>
      <c r="F2920" s="4" t="n">
        <v>5176.5</v>
      </c>
    </row>
    <row r="2921">
      <c r="A2921" s="3" t="inlineStr">
        <is>
          <t>3</t>
        </is>
      </c>
      <c r="B2921" s="3" t="inlineStr">
        <is>
          <t>Kepala tukang</t>
        </is>
      </c>
      <c r="C2921" s="3" t="inlineStr">
        <is>
          <t>OH</t>
        </is>
      </c>
      <c r="D2921" s="15" t="n">
        <v>0.0036</v>
      </c>
      <c r="E2921" s="4" t="n">
        <v>175000</v>
      </c>
      <c r="F2921" s="4" t="n">
        <v>630</v>
      </c>
    </row>
    <row r="2922">
      <c r="A2922" s="3" t="inlineStr">
        <is>
          <t>4</t>
        </is>
      </c>
      <c r="B2922" s="3" t="inlineStr">
        <is>
          <t>Mandor</t>
        </is>
      </c>
      <c r="C2922" s="3" t="inlineStr">
        <is>
          <t>OH</t>
        </is>
      </c>
      <c r="D2922" s="15" t="n">
        <v>0.0012</v>
      </c>
      <c r="E2922" s="4" t="n">
        <v>200000</v>
      </c>
      <c r="F2922" s="4" t="n">
        <v>240</v>
      </c>
    </row>
    <row r="2923">
      <c r="A2923" s="3" t="inlineStr">
        <is>
          <t>1</t>
        </is>
      </c>
      <c r="B2923" s="3" t="inlineStr">
        <is>
          <t>Plint homogenous tile unpolish uk. 10-15x60 cm</t>
        </is>
      </c>
      <c r="C2923" s="3" t="inlineStr">
        <is>
          <t>buah</t>
        </is>
      </c>
      <c r="D2923" s="15" t="n">
        <v>1.75</v>
      </c>
      <c r="E2923" s="4" t="n">
        <v>13000</v>
      </c>
      <c r="F2923" s="4" t="n">
        <v>22750</v>
      </c>
    </row>
    <row r="2924">
      <c r="A2924" s="3" t="inlineStr">
        <is>
          <t>2</t>
        </is>
      </c>
      <c r="B2924" s="3" t="inlineStr">
        <is>
          <t>Semen portland (pc)</t>
        </is>
      </c>
      <c r="C2924" s="3" t="inlineStr">
        <is>
          <t>kg</t>
        </is>
      </c>
      <c r="D2924" s="15" t="n">
        <v>1.704</v>
      </c>
      <c r="E2924" s="4" t="n">
        <v>1300</v>
      </c>
      <c r="F2924" s="4" t="n">
        <v>2215.2</v>
      </c>
    </row>
    <row r="2925">
      <c r="A2925" s="3" t="inlineStr">
        <is>
          <t>3</t>
        </is>
      </c>
      <c r="B2925" s="3" t="inlineStr">
        <is>
          <t>Semen warna</t>
        </is>
      </c>
      <c r="C2925" s="3" t="inlineStr">
        <is>
          <t>kg</t>
        </is>
      </c>
      <c r="D2925" s="15" t="n">
        <v>0.188</v>
      </c>
      <c r="E2925" s="4" t="n">
        <v>7800</v>
      </c>
      <c r="F2925" s="4" t="n">
        <v>1466.4</v>
      </c>
    </row>
    <row r="2926">
      <c r="A2926" s="3" t="inlineStr">
        <is>
          <t>4</t>
        </is>
      </c>
      <c r="B2926" s="3" t="inlineStr">
        <is>
          <t>Pasir pasang (quarry - lokasi pekerjaan)</t>
        </is>
      </c>
      <c r="C2926" s="3" t="inlineStr">
        <is>
          <t>m3</t>
        </is>
      </c>
      <c r="D2926" s="15" t="n">
        <v>0.003</v>
      </c>
      <c r="E2926" s="4" t="n">
        <v>275000</v>
      </c>
      <c r="F2926" s="4" t="n">
        <v>825</v>
      </c>
    </row>
    <row r="2927">
      <c r="D2927" s="2" t="inlineStr">
        <is>
          <t>SUBTOTAL UPAH</t>
        </is>
      </c>
      <c r="F2927" s="16" t="n">
        <v>13186.5</v>
      </c>
    </row>
    <row r="2928">
      <c r="D2928" s="2" t="inlineStr">
        <is>
          <t>SUBTOTAL BAHAN</t>
        </is>
      </c>
      <c r="F2928" s="16" t="n">
        <v>27256.6</v>
      </c>
    </row>
    <row r="2929">
      <c r="D2929" s="2" t="inlineStr">
        <is>
          <t>SUBTOTAL ALAT</t>
        </is>
      </c>
      <c r="F2929" s="16" t="n">
        <v>0</v>
      </c>
    </row>
    <row r="2930">
      <c r="E2930" s="2" t="inlineStr">
        <is>
          <t>TOTAL HARGA SATUAN (Inc. Overhead)</t>
        </is>
      </c>
      <c r="F2930" s="17" t="n">
        <v>44487</v>
      </c>
    </row>
    <row r="2932">
      <c r="A2932" s="14" t="inlineStr">
        <is>
          <t>KODE: 3.9.5.1 - Pemasangan 1 m2 lantai ubin granit uk. 30x30 cm (1SP : 2PP)</t>
        </is>
      </c>
    </row>
    <row r="2933">
      <c r="A2933" s="10" t="inlineStr">
        <is>
          <t>No</t>
        </is>
      </c>
      <c r="B2933" s="10" t="inlineStr">
        <is>
          <t>Uraian Komponen</t>
        </is>
      </c>
      <c r="C2933" s="10" t="inlineStr">
        <is>
          <t>Satuan</t>
        </is>
      </c>
      <c r="D2933" s="10" t="inlineStr">
        <is>
          <t>Koef</t>
        </is>
      </c>
      <c r="E2933" s="10" t="inlineStr">
        <is>
          <t>Harga Satuan (Rp)</t>
        </is>
      </c>
      <c r="F2933" s="10" t="inlineStr">
        <is>
          <t>Jumlah Harga (Rp)</t>
        </is>
      </c>
    </row>
    <row r="2934">
      <c r="A2934" s="3" t="inlineStr">
        <is>
          <t>1</t>
        </is>
      </c>
      <c r="B2934" s="3" t="inlineStr">
        <is>
          <t>Pekerja</t>
        </is>
      </c>
      <c r="C2934" s="3" t="inlineStr">
        <is>
          <t>OH</t>
        </is>
      </c>
      <c r="D2934" s="15" t="n">
        <v>0.1429</v>
      </c>
      <c r="E2934" s="4" t="n">
        <v>100000</v>
      </c>
      <c r="F2934" s="4" t="n">
        <v>14290</v>
      </c>
    </row>
    <row r="2935">
      <c r="A2935" s="3" t="inlineStr">
        <is>
          <t>2</t>
        </is>
      </c>
      <c r="B2935" s="3" t="inlineStr">
        <is>
          <t>Tukang batu</t>
        </is>
      </c>
      <c r="C2935" s="3" t="inlineStr">
        <is>
          <t>OH</t>
        </is>
      </c>
      <c r="D2935" s="15" t="n">
        <v>0.07140000000000001</v>
      </c>
      <c r="E2935" s="4" t="n">
        <v>145000</v>
      </c>
      <c r="F2935" s="4" t="n">
        <v>10353</v>
      </c>
    </row>
    <row r="2936">
      <c r="A2936" s="3" t="inlineStr">
        <is>
          <t>3</t>
        </is>
      </c>
      <c r="B2936" s="3" t="inlineStr">
        <is>
          <t>Kepala tukang</t>
        </is>
      </c>
      <c r="C2936" s="3" t="inlineStr">
        <is>
          <t>OH</t>
        </is>
      </c>
      <c r="D2936" s="15" t="n">
        <v>0.0071</v>
      </c>
      <c r="E2936" s="4" t="n">
        <v>175000</v>
      </c>
      <c r="F2936" s="4" t="n">
        <v>1242.5</v>
      </c>
    </row>
    <row r="2937">
      <c r="A2937" s="3" t="inlineStr">
        <is>
          <t>4</t>
        </is>
      </c>
      <c r="B2937" s="3" t="inlineStr">
        <is>
          <t>Mandor</t>
        </is>
      </c>
      <c r="C2937" s="3" t="inlineStr">
        <is>
          <t>OH</t>
        </is>
      </c>
      <c r="D2937" s="15" t="n">
        <v>0.0024</v>
      </c>
      <c r="E2937" s="4" t="n">
        <v>200000</v>
      </c>
      <c r="F2937" s="4" t="n">
        <v>479.9999999999999</v>
      </c>
    </row>
    <row r="2938">
      <c r="A2938" s="3" t="inlineStr">
        <is>
          <t>1</t>
        </is>
      </c>
      <c r="B2938" s="3" t="inlineStr">
        <is>
          <t>Ubin granit 30x30 cm</t>
        </is>
      </c>
      <c r="C2938" s="3" t="inlineStr">
        <is>
          <t>buah</t>
        </is>
      </c>
      <c r="D2938" s="15" t="n">
        <v>11.667</v>
      </c>
      <c r="E2938" s="4" t="n">
        <v>14200</v>
      </c>
      <c r="F2938" s="4" t="n">
        <v>165671.4</v>
      </c>
    </row>
    <row r="2939">
      <c r="A2939" s="3" t="inlineStr">
        <is>
          <t>2</t>
        </is>
      </c>
      <c r="B2939" s="3" t="inlineStr">
        <is>
          <t>Semen portland (PC)</t>
        </is>
      </c>
      <c r="C2939" s="3" t="inlineStr">
        <is>
          <t>kg</t>
        </is>
      </c>
      <c r="D2939" s="15" t="n">
        <v>13.632</v>
      </c>
      <c r="E2939" s="4" t="n">
        <v>1300</v>
      </c>
      <c r="F2939" s="4" t="n">
        <v>17721.6</v>
      </c>
    </row>
    <row r="2940">
      <c r="A2940" s="3" t="inlineStr">
        <is>
          <t>3</t>
        </is>
      </c>
      <c r="B2940" s="3" t="inlineStr">
        <is>
          <t>Semen warna</t>
        </is>
      </c>
      <c r="C2940" s="3" t="inlineStr">
        <is>
          <t>kg</t>
        </is>
      </c>
      <c r="D2940" s="15" t="n">
        <v>1.5</v>
      </c>
      <c r="E2940" s="4" t="n">
        <v>7800</v>
      </c>
      <c r="F2940" s="4" t="n">
        <v>11700</v>
      </c>
    </row>
    <row r="2941">
      <c r="A2941" s="3" t="inlineStr">
        <is>
          <t>4</t>
        </is>
      </c>
      <c r="B2941" s="3" t="inlineStr">
        <is>
          <t>Pasir pasang (quarry - lokasi pekerjaan)</t>
        </is>
      </c>
      <c r="C2941" s="3" t="inlineStr">
        <is>
          <t>m3</t>
        </is>
      </c>
      <c r="D2941" s="15" t="n">
        <v>0.027</v>
      </c>
      <c r="E2941" s="4" t="n">
        <v>275000</v>
      </c>
      <c r="F2941" s="4" t="n">
        <v>7425</v>
      </c>
    </row>
    <row r="2942">
      <c r="D2942" s="2" t="inlineStr">
        <is>
          <t>SUBTOTAL UPAH</t>
        </is>
      </c>
      <c r="F2942" s="16" t="n">
        <v>26365.5</v>
      </c>
    </row>
    <row r="2943">
      <c r="D2943" s="2" t="inlineStr">
        <is>
          <t>SUBTOTAL BAHAN</t>
        </is>
      </c>
      <c r="F2943" s="16" t="n">
        <v>202518</v>
      </c>
    </row>
    <row r="2944">
      <c r="D2944" s="2" t="inlineStr">
        <is>
          <t>SUBTOTAL ALAT</t>
        </is>
      </c>
      <c r="F2944" s="16" t="n">
        <v>0</v>
      </c>
    </row>
    <row r="2945">
      <c r="E2945" s="2" t="inlineStr">
        <is>
          <t>TOTAL HARGA SATUAN (Inc. Overhead)</t>
        </is>
      </c>
      <c r="F2945" s="17" t="n">
        <v>251771</v>
      </c>
    </row>
    <row r="2947">
      <c r="A2947" s="14" t="inlineStr">
        <is>
          <t>KODE: 3.9.5.2 - Pemasangan 1 m2 lantai ubin granit uk. 40x40 cm (1SP : 2PP)</t>
        </is>
      </c>
    </row>
    <row r="2948">
      <c r="A2948" s="10" t="inlineStr">
        <is>
          <t>No</t>
        </is>
      </c>
      <c r="B2948" s="10" t="inlineStr">
        <is>
          <t>Uraian Komponen</t>
        </is>
      </c>
      <c r="C2948" s="10" t="inlineStr">
        <is>
          <t>Satuan</t>
        </is>
      </c>
      <c r="D2948" s="10" t="inlineStr">
        <is>
          <t>Koef</t>
        </is>
      </c>
      <c r="E2948" s="10" t="inlineStr">
        <is>
          <t>Harga Satuan (Rp)</t>
        </is>
      </c>
      <c r="F2948" s="10" t="inlineStr">
        <is>
          <t>Jumlah Harga (Rp)</t>
        </is>
      </c>
    </row>
    <row r="2949">
      <c r="A2949" s="3" t="inlineStr">
        <is>
          <t>1</t>
        </is>
      </c>
      <c r="B2949" s="3" t="inlineStr">
        <is>
          <t>Pekerja</t>
        </is>
      </c>
      <c r="C2949" s="3" t="inlineStr">
        <is>
          <t>OH</t>
        </is>
      </c>
      <c r="D2949" s="15" t="n">
        <v>0.1538</v>
      </c>
      <c r="E2949" s="4" t="n">
        <v>100000</v>
      </c>
      <c r="F2949" s="4" t="n">
        <v>15380</v>
      </c>
    </row>
    <row r="2950">
      <c r="A2950" s="3" t="inlineStr">
        <is>
          <t>2</t>
        </is>
      </c>
      <c r="B2950" s="3" t="inlineStr">
        <is>
          <t>Tukang batu</t>
        </is>
      </c>
      <c r="C2950" s="3" t="inlineStr">
        <is>
          <t>OH</t>
        </is>
      </c>
      <c r="D2950" s="15" t="n">
        <v>0.0769</v>
      </c>
      <c r="E2950" s="4" t="n">
        <v>145000</v>
      </c>
      <c r="F2950" s="4" t="n">
        <v>11150.5</v>
      </c>
    </row>
    <row r="2951">
      <c r="A2951" s="3" t="inlineStr">
        <is>
          <t>3</t>
        </is>
      </c>
      <c r="B2951" s="3" t="inlineStr">
        <is>
          <t>Kepala tukang</t>
        </is>
      </c>
      <c r="C2951" s="3" t="inlineStr">
        <is>
          <t>OH</t>
        </is>
      </c>
      <c r="D2951" s="15" t="n">
        <v>0.0077</v>
      </c>
      <c r="E2951" s="4" t="n">
        <v>175000</v>
      </c>
      <c r="F2951" s="4" t="n">
        <v>1347.5</v>
      </c>
    </row>
    <row r="2952">
      <c r="A2952" s="3" t="inlineStr">
        <is>
          <t>4</t>
        </is>
      </c>
      <c r="B2952" s="3" t="inlineStr">
        <is>
          <t>Mandor</t>
        </is>
      </c>
      <c r="C2952" s="3" t="inlineStr">
        <is>
          <t>OH</t>
        </is>
      </c>
      <c r="D2952" s="15" t="n">
        <v>0.0026</v>
      </c>
      <c r="E2952" s="4" t="n">
        <v>200000</v>
      </c>
      <c r="F2952" s="4" t="n">
        <v>520</v>
      </c>
    </row>
    <row r="2953">
      <c r="A2953" s="3" t="inlineStr">
        <is>
          <t>1</t>
        </is>
      </c>
      <c r="B2953" s="3" t="inlineStr">
        <is>
          <t>Ubin granit 40x40 cm</t>
        </is>
      </c>
      <c r="C2953" s="3" t="inlineStr">
        <is>
          <t>buah</t>
        </is>
      </c>
      <c r="D2953" s="15" t="n">
        <v>6.563</v>
      </c>
      <c r="E2953" s="4" t="n">
        <v>20000</v>
      </c>
      <c r="F2953" s="4" t="n">
        <v>131260</v>
      </c>
    </row>
    <row r="2954">
      <c r="A2954" s="3" t="inlineStr">
        <is>
          <t>2</t>
        </is>
      </c>
      <c r="B2954" s="3" t="inlineStr">
        <is>
          <t>Semen portland (PC)</t>
        </is>
      </c>
      <c r="C2954" s="3" t="inlineStr">
        <is>
          <t>kg</t>
        </is>
      </c>
      <c r="D2954" s="15" t="n">
        <v>13.632</v>
      </c>
      <c r="E2954" s="4" t="n">
        <v>1300</v>
      </c>
      <c r="F2954" s="4" t="n">
        <v>17721.6</v>
      </c>
    </row>
    <row r="2955">
      <c r="A2955" s="3" t="inlineStr">
        <is>
          <t>3</t>
        </is>
      </c>
      <c r="B2955" s="3" t="inlineStr">
        <is>
          <t>Semen warna</t>
        </is>
      </c>
      <c r="C2955" s="3" t="inlineStr">
        <is>
          <t>kg</t>
        </is>
      </c>
      <c r="D2955" s="15" t="n">
        <v>1.5</v>
      </c>
      <c r="E2955" s="4" t="n">
        <v>7800</v>
      </c>
      <c r="F2955" s="4" t="n">
        <v>11700</v>
      </c>
    </row>
    <row r="2956">
      <c r="A2956" s="3" t="inlineStr">
        <is>
          <t>4</t>
        </is>
      </c>
      <c r="B2956" s="3" t="inlineStr">
        <is>
          <t>Pasir pasang (quarry - lokasi pekerjaan)</t>
        </is>
      </c>
      <c r="C2956" s="3" t="inlineStr">
        <is>
          <t>m3</t>
        </is>
      </c>
      <c r="D2956" s="15" t="n">
        <v>0.027</v>
      </c>
      <c r="E2956" s="4" t="n">
        <v>275000</v>
      </c>
      <c r="F2956" s="4" t="n">
        <v>7425</v>
      </c>
    </row>
    <row r="2957">
      <c r="D2957" s="2" t="inlineStr">
        <is>
          <t>SUBTOTAL UPAH</t>
        </is>
      </c>
      <c r="F2957" s="16" t="n">
        <v>28398</v>
      </c>
    </row>
    <row r="2958">
      <c r="D2958" s="2" t="inlineStr">
        <is>
          <t>SUBTOTAL BAHAN</t>
        </is>
      </c>
      <c r="F2958" s="16" t="n">
        <v>168106.6</v>
      </c>
    </row>
    <row r="2959">
      <c r="D2959" s="2" t="inlineStr">
        <is>
          <t>SUBTOTAL ALAT</t>
        </is>
      </c>
      <c r="F2959" s="16" t="n">
        <v>0</v>
      </c>
    </row>
    <row r="2960">
      <c r="E2960" s="2" t="inlineStr">
        <is>
          <t>TOTAL HARGA SATUAN (Inc. Overhead)</t>
        </is>
      </c>
      <c r="F2960" s="17" t="n">
        <v>216155</v>
      </c>
    </row>
    <row r="2962">
      <c r="A2962" s="14" t="inlineStr">
        <is>
          <t>KODE: 3.9.5.3 - Pemasangan 1 m2 lantai ubin granit uk. 60x60 cm (1SP : 2PP)</t>
        </is>
      </c>
    </row>
    <row r="2963">
      <c r="A2963" s="10" t="inlineStr">
        <is>
          <t>No</t>
        </is>
      </c>
      <c r="B2963" s="10" t="inlineStr">
        <is>
          <t>Uraian Komponen</t>
        </is>
      </c>
      <c r="C2963" s="10" t="inlineStr">
        <is>
          <t>Satuan</t>
        </is>
      </c>
      <c r="D2963" s="10" t="inlineStr">
        <is>
          <t>Koef</t>
        </is>
      </c>
      <c r="E2963" s="10" t="inlineStr">
        <is>
          <t>Harga Satuan (Rp)</t>
        </is>
      </c>
      <c r="F2963" s="10" t="inlineStr">
        <is>
          <t>Jumlah Harga (Rp)</t>
        </is>
      </c>
    </row>
    <row r="2964">
      <c r="A2964" s="3" t="inlineStr">
        <is>
          <t>1</t>
        </is>
      </c>
      <c r="B2964" s="3" t="inlineStr">
        <is>
          <t>Pekerja</t>
        </is>
      </c>
      <c r="C2964" s="3" t="inlineStr">
        <is>
          <t>OH</t>
        </is>
      </c>
      <c r="D2964" s="15" t="n">
        <v>0.25</v>
      </c>
      <c r="E2964" s="4" t="n">
        <v>100000</v>
      </c>
      <c r="F2964" s="4" t="n">
        <v>25000</v>
      </c>
    </row>
    <row r="2965">
      <c r="A2965" s="3" t="inlineStr">
        <is>
          <t>2</t>
        </is>
      </c>
      <c r="B2965" s="3" t="inlineStr">
        <is>
          <t>Tukang batu</t>
        </is>
      </c>
      <c r="C2965" s="3" t="inlineStr">
        <is>
          <t>OH</t>
        </is>
      </c>
      <c r="D2965" s="15" t="n">
        <v>0.0833</v>
      </c>
      <c r="E2965" s="4" t="n">
        <v>145000</v>
      </c>
      <c r="F2965" s="4" t="n">
        <v>12078.5</v>
      </c>
    </row>
    <row r="2966">
      <c r="A2966" s="3" t="inlineStr">
        <is>
          <t>3</t>
        </is>
      </c>
      <c r="B2966" s="3" t="inlineStr">
        <is>
          <t>Kepala tukang</t>
        </is>
      </c>
      <c r="C2966" s="3" t="inlineStr">
        <is>
          <t>OH</t>
        </is>
      </c>
      <c r="D2966" s="15" t="n">
        <v>0.0083</v>
      </c>
      <c r="E2966" s="4" t="n">
        <v>175000</v>
      </c>
      <c r="F2966" s="4" t="n">
        <v>1452.5</v>
      </c>
    </row>
    <row r="2967">
      <c r="A2967" s="3" t="inlineStr">
        <is>
          <t>4</t>
        </is>
      </c>
      <c r="B2967" s="3" t="inlineStr">
        <is>
          <t>Mandor</t>
        </is>
      </c>
      <c r="C2967" s="3" t="inlineStr">
        <is>
          <t>OH</t>
        </is>
      </c>
      <c r="D2967" s="15" t="n">
        <v>0.0028</v>
      </c>
      <c r="E2967" s="4" t="n">
        <v>200000</v>
      </c>
      <c r="F2967" s="4" t="n">
        <v>560</v>
      </c>
    </row>
    <row r="2968">
      <c r="A2968" s="3" t="inlineStr">
        <is>
          <t>1</t>
        </is>
      </c>
      <c r="B2968" s="3" t="inlineStr">
        <is>
          <t>Ubin granit 60x60 cm</t>
        </is>
      </c>
      <c r="C2968" s="3" t="inlineStr">
        <is>
          <t>buah</t>
        </is>
      </c>
      <c r="D2968" s="15" t="n">
        <v>2.917</v>
      </c>
      <c r="E2968" s="4" t="n">
        <v>30000</v>
      </c>
      <c r="F2968" s="4" t="n">
        <v>87510</v>
      </c>
    </row>
    <row r="2969">
      <c r="A2969" s="3" t="inlineStr">
        <is>
          <t>2</t>
        </is>
      </c>
      <c r="B2969" s="3" t="inlineStr">
        <is>
          <t>Semen portland (PC)</t>
        </is>
      </c>
      <c r="C2969" s="3" t="inlineStr">
        <is>
          <t>kg</t>
        </is>
      </c>
      <c r="D2969" s="15" t="n">
        <v>13.632</v>
      </c>
      <c r="E2969" s="4" t="n">
        <v>1300</v>
      </c>
      <c r="F2969" s="4" t="n">
        <v>17721.6</v>
      </c>
    </row>
    <row r="2970">
      <c r="A2970" s="3" t="inlineStr">
        <is>
          <t>3</t>
        </is>
      </c>
      <c r="B2970" s="3" t="inlineStr">
        <is>
          <t>Semen warna</t>
        </is>
      </c>
      <c r="C2970" s="3" t="inlineStr">
        <is>
          <t>kg</t>
        </is>
      </c>
      <c r="D2970" s="15" t="n">
        <v>1.5</v>
      </c>
      <c r="E2970" s="4" t="n">
        <v>7800</v>
      </c>
      <c r="F2970" s="4" t="n">
        <v>11700</v>
      </c>
    </row>
    <row r="2971">
      <c r="A2971" s="3" t="inlineStr">
        <is>
          <t>4</t>
        </is>
      </c>
      <c r="B2971" s="3" t="inlineStr">
        <is>
          <t>Pasir pasang (quarry - lokasi pekerjaan)</t>
        </is>
      </c>
      <c r="C2971" s="3" t="inlineStr">
        <is>
          <t>m3</t>
        </is>
      </c>
      <c r="D2971" s="15" t="n">
        <v>0.027</v>
      </c>
      <c r="E2971" s="4" t="n">
        <v>275000</v>
      </c>
      <c r="F2971" s="4" t="n">
        <v>7425</v>
      </c>
    </row>
    <row r="2972">
      <c r="D2972" s="2" t="inlineStr">
        <is>
          <t>SUBTOTAL UPAH</t>
        </is>
      </c>
      <c r="F2972" s="16" t="n">
        <v>39091</v>
      </c>
    </row>
    <row r="2973">
      <c r="D2973" s="2" t="inlineStr">
        <is>
          <t>SUBTOTAL BAHAN</t>
        </is>
      </c>
      <c r="F2973" s="16" t="n">
        <v>124356.6</v>
      </c>
    </row>
    <row r="2974">
      <c r="D2974" s="2" t="inlineStr">
        <is>
          <t>SUBTOTAL ALAT</t>
        </is>
      </c>
      <c r="F2974" s="16" t="n">
        <v>0</v>
      </c>
    </row>
    <row r="2975">
      <c r="E2975" s="2" t="inlineStr">
        <is>
          <t>TOTAL HARGA SATUAN (Inc. Overhead)</t>
        </is>
      </c>
      <c r="F2975" s="17" t="n">
        <v>179792</v>
      </c>
    </row>
    <row r="2977">
      <c r="A2977" s="14" t="inlineStr">
        <is>
          <t>KODE: 3.9.5.4 - Pemasangan 1 m' plint ubin granit uk. 10 s.d. 15x30 cm (1SP : 2PP)</t>
        </is>
      </c>
    </row>
    <row r="2978">
      <c r="A2978" s="10" t="inlineStr">
        <is>
          <t>No</t>
        </is>
      </c>
      <c r="B2978" s="10" t="inlineStr">
        <is>
          <t>Uraian Komponen</t>
        </is>
      </c>
      <c r="C2978" s="10" t="inlineStr">
        <is>
          <t>Satuan</t>
        </is>
      </c>
      <c r="D2978" s="10" t="inlineStr">
        <is>
          <t>Koef</t>
        </is>
      </c>
      <c r="E2978" s="10" t="inlineStr">
        <is>
          <t>Harga Satuan (Rp)</t>
        </is>
      </c>
      <c r="F2978" s="10" t="inlineStr">
        <is>
          <t>Jumlah Harga (Rp)</t>
        </is>
      </c>
    </row>
    <row r="2979">
      <c r="A2979" s="3" t="inlineStr">
        <is>
          <t>1</t>
        </is>
      </c>
      <c r="B2979" s="3" t="inlineStr">
        <is>
          <t>Pekerja</t>
        </is>
      </c>
      <c r="C2979" s="3" t="inlineStr">
        <is>
          <t>OH</t>
        </is>
      </c>
      <c r="D2979" s="15" t="n">
        <v>0.0625</v>
      </c>
      <c r="E2979" s="4" t="n">
        <v>100000</v>
      </c>
      <c r="F2979" s="4" t="n">
        <v>6250</v>
      </c>
    </row>
    <row r="2980">
      <c r="A2980" s="3" t="inlineStr">
        <is>
          <t>2</t>
        </is>
      </c>
      <c r="B2980" s="3" t="inlineStr">
        <is>
          <t>Tukang batu</t>
        </is>
      </c>
      <c r="C2980" s="3" t="inlineStr">
        <is>
          <t>OH</t>
        </is>
      </c>
      <c r="D2980" s="15" t="n">
        <v>0.0313</v>
      </c>
      <c r="E2980" s="4" t="n">
        <v>145000</v>
      </c>
      <c r="F2980" s="4" t="n">
        <v>4538.5</v>
      </c>
    </row>
    <row r="2981">
      <c r="A2981" s="3" t="inlineStr">
        <is>
          <t>3</t>
        </is>
      </c>
      <c r="B2981" s="3" t="inlineStr">
        <is>
          <t>Kepala tukang</t>
        </is>
      </c>
      <c r="C2981" s="3" t="inlineStr">
        <is>
          <t>OH</t>
        </is>
      </c>
      <c r="D2981" s="15" t="n">
        <v>0.0031</v>
      </c>
      <c r="E2981" s="4" t="n">
        <v>175000</v>
      </c>
      <c r="F2981" s="4" t="n">
        <v>542.5</v>
      </c>
    </row>
    <row r="2982">
      <c r="A2982" s="3" t="inlineStr">
        <is>
          <t>4</t>
        </is>
      </c>
      <c r="B2982" s="3" t="inlineStr">
        <is>
          <t>Mandor</t>
        </is>
      </c>
      <c r="C2982" s="3" t="inlineStr">
        <is>
          <t>OH</t>
        </is>
      </c>
      <c r="D2982" s="15" t="n">
        <v>0.001</v>
      </c>
      <c r="E2982" s="4" t="n">
        <v>200000</v>
      </c>
      <c r="F2982" s="4" t="n">
        <v>200</v>
      </c>
    </row>
    <row r="2983">
      <c r="A2983" s="3" t="inlineStr">
        <is>
          <t>1</t>
        </is>
      </c>
      <c r="B2983" s="3" t="inlineStr">
        <is>
          <t>Plint ubin granit uk. 10-15x30 cm</t>
        </is>
      </c>
      <c r="C2983" s="3" t="inlineStr">
        <is>
          <t>buah</t>
        </is>
      </c>
      <c r="D2983" s="15" t="n">
        <v>3.5</v>
      </c>
      <c r="E2983" s="4" t="n">
        <v>6000</v>
      </c>
      <c r="F2983" s="4" t="n">
        <v>21000</v>
      </c>
    </row>
    <row r="2984">
      <c r="A2984" s="3" t="inlineStr">
        <is>
          <t>2</t>
        </is>
      </c>
      <c r="B2984" s="3" t="inlineStr">
        <is>
          <t>Semen portland (PC)</t>
        </is>
      </c>
      <c r="C2984" s="3" t="inlineStr">
        <is>
          <t>kg</t>
        </is>
      </c>
      <c r="D2984" s="15" t="n">
        <v>1.704</v>
      </c>
      <c r="E2984" s="4" t="n">
        <v>1300</v>
      </c>
      <c r="F2984" s="4" t="n">
        <v>2215.2</v>
      </c>
    </row>
    <row r="2985">
      <c r="A2985" s="3" t="inlineStr">
        <is>
          <t>3</t>
        </is>
      </c>
      <c r="B2985" s="3" t="inlineStr">
        <is>
          <t>Semen warna</t>
        </is>
      </c>
      <c r="C2985" s="3" t="inlineStr">
        <is>
          <t>kg</t>
        </is>
      </c>
      <c r="D2985" s="15" t="n">
        <v>0.188</v>
      </c>
      <c r="E2985" s="4" t="n">
        <v>7800</v>
      </c>
      <c r="F2985" s="4" t="n">
        <v>1466.4</v>
      </c>
    </row>
    <row r="2986">
      <c r="A2986" s="3" t="inlineStr">
        <is>
          <t>4</t>
        </is>
      </c>
      <c r="B2986" s="3" t="inlineStr">
        <is>
          <t>Pasir pasang (quarry - lokasi pekerjaan)</t>
        </is>
      </c>
      <c r="C2986" s="3" t="inlineStr">
        <is>
          <t>m3</t>
        </is>
      </c>
      <c r="D2986" s="15" t="n">
        <v>0.003</v>
      </c>
      <c r="E2986" s="4" t="n">
        <v>275000</v>
      </c>
      <c r="F2986" s="4" t="n">
        <v>825</v>
      </c>
    </row>
    <row r="2987">
      <c r="D2987" s="2" t="inlineStr">
        <is>
          <t>SUBTOTAL UPAH</t>
        </is>
      </c>
      <c r="F2987" s="16" t="n">
        <v>11531</v>
      </c>
    </row>
    <row r="2988">
      <c r="D2988" s="2" t="inlineStr">
        <is>
          <t>SUBTOTAL BAHAN</t>
        </is>
      </c>
      <c r="F2988" s="16" t="n">
        <v>25506.6</v>
      </c>
    </row>
    <row r="2989">
      <c r="D2989" s="2" t="inlineStr">
        <is>
          <t>SUBTOTAL ALAT</t>
        </is>
      </c>
      <c r="F2989" s="16" t="n">
        <v>0</v>
      </c>
    </row>
    <row r="2990">
      <c r="E2990" s="2" t="inlineStr">
        <is>
          <t>TOTAL HARGA SATUAN (Inc. Overhead)</t>
        </is>
      </c>
      <c r="F2990" s="17" t="n">
        <v>40741</v>
      </c>
    </row>
    <row r="2992">
      <c r="A2992" s="14" t="inlineStr">
        <is>
          <t>KODE: 3.9.5.5 - Pemasangan 1 m' plint ubin granit uk. 10 s.d. 15x40 cm (1SP : 2PP)</t>
        </is>
      </c>
    </row>
    <row r="2993">
      <c r="A2993" s="10" t="inlineStr">
        <is>
          <t>No</t>
        </is>
      </c>
      <c r="B2993" s="10" t="inlineStr">
        <is>
          <t>Uraian Komponen</t>
        </is>
      </c>
      <c r="C2993" s="10" t="inlineStr">
        <is>
          <t>Satuan</t>
        </is>
      </c>
      <c r="D2993" s="10" t="inlineStr">
        <is>
          <t>Koef</t>
        </is>
      </c>
      <c r="E2993" s="10" t="inlineStr">
        <is>
          <t>Harga Satuan (Rp)</t>
        </is>
      </c>
      <c r="F2993" s="10" t="inlineStr">
        <is>
          <t>Jumlah Harga (Rp)</t>
        </is>
      </c>
    </row>
    <row r="2994">
      <c r="A2994" s="3" t="inlineStr">
        <is>
          <t>1</t>
        </is>
      </c>
      <c r="B2994" s="3" t="inlineStr">
        <is>
          <t>Pekerja</t>
        </is>
      </c>
      <c r="C2994" s="3" t="inlineStr">
        <is>
          <t>OH</t>
        </is>
      </c>
      <c r="D2994" s="15" t="n">
        <v>0.0667</v>
      </c>
      <c r="E2994" s="4" t="n">
        <v>100000</v>
      </c>
      <c r="F2994" s="4" t="n">
        <v>6669.999999999999</v>
      </c>
    </row>
    <row r="2995">
      <c r="A2995" s="3" t="inlineStr">
        <is>
          <t>2</t>
        </is>
      </c>
      <c r="B2995" s="3" t="inlineStr">
        <is>
          <t>Tukang batu</t>
        </is>
      </c>
      <c r="C2995" s="3" t="inlineStr">
        <is>
          <t>OH</t>
        </is>
      </c>
      <c r="D2995" s="15" t="n">
        <v>0.0333</v>
      </c>
      <c r="E2995" s="4" t="n">
        <v>145000</v>
      </c>
      <c r="F2995" s="4" t="n">
        <v>4828.500000000001</v>
      </c>
    </row>
    <row r="2996">
      <c r="A2996" s="3" t="inlineStr">
        <is>
          <t>3</t>
        </is>
      </c>
      <c r="B2996" s="3" t="inlineStr">
        <is>
          <t>Kepala tukang</t>
        </is>
      </c>
      <c r="C2996" s="3" t="inlineStr">
        <is>
          <t>OH</t>
        </is>
      </c>
      <c r="D2996" s="15" t="n">
        <v>0.0033</v>
      </c>
      <c r="E2996" s="4" t="n">
        <v>175000</v>
      </c>
      <c r="F2996" s="4" t="n">
        <v>577.5</v>
      </c>
    </row>
    <row r="2997">
      <c r="A2997" s="3" t="inlineStr">
        <is>
          <t>4</t>
        </is>
      </c>
      <c r="B2997" s="3" t="inlineStr">
        <is>
          <t>Mandor</t>
        </is>
      </c>
      <c r="C2997" s="3" t="inlineStr">
        <is>
          <t>OH</t>
        </is>
      </c>
      <c r="D2997" s="15" t="n">
        <v>0.0011</v>
      </c>
      <c r="E2997" s="4" t="n">
        <v>200000</v>
      </c>
      <c r="F2997" s="4" t="n">
        <v>220</v>
      </c>
    </row>
    <row r="2998">
      <c r="A2998" s="3" t="inlineStr">
        <is>
          <t>1</t>
        </is>
      </c>
      <c r="B2998" s="3" t="inlineStr">
        <is>
          <t>Plint ubin granit uk. 10-15x40 cm</t>
        </is>
      </c>
      <c r="C2998" s="3" t="inlineStr">
        <is>
          <t>buah</t>
        </is>
      </c>
      <c r="D2998" s="15" t="n">
        <v>2.625</v>
      </c>
      <c r="E2998" s="4" t="n">
        <v>8000</v>
      </c>
      <c r="F2998" s="4" t="n">
        <v>21000</v>
      </c>
    </row>
    <row r="2999">
      <c r="A2999" s="3" t="inlineStr">
        <is>
          <t>2</t>
        </is>
      </c>
      <c r="B2999" s="3" t="inlineStr">
        <is>
          <t>Semen portland (PC)</t>
        </is>
      </c>
      <c r="C2999" s="3" t="inlineStr">
        <is>
          <t>kg</t>
        </is>
      </c>
      <c r="D2999" s="15" t="n">
        <v>1.704</v>
      </c>
      <c r="E2999" s="4" t="n">
        <v>1300</v>
      </c>
      <c r="F2999" s="4" t="n">
        <v>2215.2</v>
      </c>
    </row>
    <row r="3000">
      <c r="A3000" s="3" t="inlineStr">
        <is>
          <t>3</t>
        </is>
      </c>
      <c r="B3000" s="3" t="inlineStr">
        <is>
          <t>Semen warna</t>
        </is>
      </c>
      <c r="C3000" s="3" t="inlineStr">
        <is>
          <t>kg</t>
        </is>
      </c>
      <c r="D3000" s="15" t="n">
        <v>0.188</v>
      </c>
      <c r="E3000" s="4" t="n">
        <v>7800</v>
      </c>
      <c r="F3000" s="4" t="n">
        <v>1466.4</v>
      </c>
    </row>
    <row r="3001">
      <c r="A3001" s="3" t="inlineStr">
        <is>
          <t>4</t>
        </is>
      </c>
      <c r="B3001" s="3" t="inlineStr">
        <is>
          <t>Pasir pasang (quarry - lokasi pekerjaan)</t>
        </is>
      </c>
      <c r="C3001" s="3" t="inlineStr">
        <is>
          <t>m3</t>
        </is>
      </c>
      <c r="D3001" s="15" t="n">
        <v>0.003</v>
      </c>
      <c r="E3001" s="4" t="n">
        <v>275000</v>
      </c>
      <c r="F3001" s="4" t="n">
        <v>825</v>
      </c>
    </row>
    <row r="3002">
      <c r="D3002" s="2" t="inlineStr">
        <is>
          <t>SUBTOTAL UPAH</t>
        </is>
      </c>
      <c r="F3002" s="16" t="n">
        <v>12296</v>
      </c>
    </row>
    <row r="3003">
      <c r="D3003" s="2" t="inlineStr">
        <is>
          <t>SUBTOTAL BAHAN</t>
        </is>
      </c>
      <c r="F3003" s="16" t="n">
        <v>25506.6</v>
      </c>
    </row>
    <row r="3004">
      <c r="D3004" s="2" t="inlineStr">
        <is>
          <t>SUBTOTAL ALAT</t>
        </is>
      </c>
      <c r="F3004" s="16" t="n">
        <v>0</v>
      </c>
    </row>
    <row r="3005">
      <c r="E3005" s="2" t="inlineStr">
        <is>
          <t>TOTAL HARGA SATUAN (Inc. Overhead)</t>
        </is>
      </c>
      <c r="F3005" s="17" t="n">
        <v>41582</v>
      </c>
    </row>
    <row r="3007">
      <c r="A3007" s="14" t="inlineStr">
        <is>
          <t>KODE: 3.9.5.6 - Pemasangan 1 m' plint ubin granit uk. 10 s.d. 15x60 cm (1SP : 2PP)</t>
        </is>
      </c>
    </row>
    <row r="3008">
      <c r="A3008" s="10" t="inlineStr">
        <is>
          <t>No</t>
        </is>
      </c>
      <c r="B3008" s="10" t="inlineStr">
        <is>
          <t>Uraian Komponen</t>
        </is>
      </c>
      <c r="C3008" s="10" t="inlineStr">
        <is>
          <t>Satuan</t>
        </is>
      </c>
      <c r="D3008" s="10" t="inlineStr">
        <is>
          <t>Koef</t>
        </is>
      </c>
      <c r="E3008" s="10" t="inlineStr">
        <is>
          <t>Harga Satuan (Rp)</t>
        </is>
      </c>
      <c r="F3008" s="10" t="inlineStr">
        <is>
          <t>Jumlah Harga (Rp)</t>
        </is>
      </c>
    </row>
    <row r="3009">
      <c r="A3009" s="3" t="inlineStr">
        <is>
          <t>1</t>
        </is>
      </c>
      <c r="B3009" s="3" t="inlineStr">
        <is>
          <t>Pekerja</t>
        </is>
      </c>
      <c r="C3009" s="3" t="inlineStr">
        <is>
          <t>OH</t>
        </is>
      </c>
      <c r="D3009" s="15" t="n">
        <v>0.07140000000000001</v>
      </c>
      <c r="E3009" s="4" t="n">
        <v>100000</v>
      </c>
      <c r="F3009" s="4" t="n">
        <v>7140.000000000001</v>
      </c>
    </row>
    <row r="3010">
      <c r="A3010" s="3" t="inlineStr">
        <is>
          <t>2</t>
        </is>
      </c>
      <c r="B3010" s="3" t="inlineStr">
        <is>
          <t>Tukang batu</t>
        </is>
      </c>
      <c r="C3010" s="3" t="inlineStr">
        <is>
          <t>OH</t>
        </is>
      </c>
      <c r="D3010" s="15" t="n">
        <v>0.0357</v>
      </c>
      <c r="E3010" s="4" t="n">
        <v>145000</v>
      </c>
      <c r="F3010" s="4" t="n">
        <v>5176.5</v>
      </c>
    </row>
    <row r="3011">
      <c r="A3011" s="3" t="inlineStr">
        <is>
          <t>3</t>
        </is>
      </c>
      <c r="B3011" s="3" t="inlineStr">
        <is>
          <t>Kepala tukang</t>
        </is>
      </c>
      <c r="C3011" s="3" t="inlineStr">
        <is>
          <t>OH</t>
        </is>
      </c>
      <c r="D3011" s="15" t="n">
        <v>0.0036</v>
      </c>
      <c r="E3011" s="4" t="n">
        <v>175000</v>
      </c>
      <c r="F3011" s="4" t="n">
        <v>630</v>
      </c>
    </row>
    <row r="3012">
      <c r="A3012" s="3" t="inlineStr">
        <is>
          <t>4</t>
        </is>
      </c>
      <c r="B3012" s="3" t="inlineStr">
        <is>
          <t>Mandor</t>
        </is>
      </c>
      <c r="C3012" s="3" t="inlineStr">
        <is>
          <t>OH</t>
        </is>
      </c>
      <c r="D3012" s="15" t="n">
        <v>0.0012</v>
      </c>
      <c r="E3012" s="4" t="n">
        <v>200000</v>
      </c>
      <c r="F3012" s="4" t="n">
        <v>240</v>
      </c>
    </row>
    <row r="3013">
      <c r="A3013" s="3" t="inlineStr">
        <is>
          <t>1</t>
        </is>
      </c>
      <c r="B3013" s="3" t="inlineStr">
        <is>
          <t>Plint ubin granit uk. 10-15x60 cm</t>
        </is>
      </c>
      <c r="C3013" s="3" t="inlineStr">
        <is>
          <t>buah</t>
        </is>
      </c>
      <c r="D3013" s="15" t="n">
        <v>1.75</v>
      </c>
      <c r="E3013" s="4" t="n">
        <v>10000</v>
      </c>
      <c r="F3013" s="4" t="n">
        <v>17500</v>
      </c>
    </row>
    <row r="3014">
      <c r="A3014" s="3" t="inlineStr">
        <is>
          <t>2</t>
        </is>
      </c>
      <c r="B3014" s="3" t="inlineStr">
        <is>
          <t>Semen portland (PC)</t>
        </is>
      </c>
      <c r="C3014" s="3" t="inlineStr">
        <is>
          <t>kg</t>
        </is>
      </c>
      <c r="D3014" s="15" t="n">
        <v>1.704</v>
      </c>
      <c r="E3014" s="4" t="n">
        <v>1300</v>
      </c>
      <c r="F3014" s="4" t="n">
        <v>2215.2</v>
      </c>
    </row>
    <row r="3015">
      <c r="A3015" s="3" t="inlineStr">
        <is>
          <t>3</t>
        </is>
      </c>
      <c r="B3015" s="3" t="inlineStr">
        <is>
          <t>Semen warna</t>
        </is>
      </c>
      <c r="C3015" s="3" t="inlineStr">
        <is>
          <t>kg</t>
        </is>
      </c>
      <c r="D3015" s="15" t="n">
        <v>0.188</v>
      </c>
      <c r="E3015" s="4" t="n">
        <v>7800</v>
      </c>
      <c r="F3015" s="4" t="n">
        <v>1466.4</v>
      </c>
    </row>
    <row r="3016">
      <c r="A3016" s="3" t="inlineStr">
        <is>
          <t>4</t>
        </is>
      </c>
      <c r="B3016" s="3" t="inlineStr">
        <is>
          <t>Pasir pasang (quarry - lokasi pekerjaan)</t>
        </is>
      </c>
      <c r="C3016" s="3" t="inlineStr">
        <is>
          <t>m3</t>
        </is>
      </c>
      <c r="D3016" s="15" t="n">
        <v>0.003</v>
      </c>
      <c r="E3016" s="4" t="n">
        <v>275000</v>
      </c>
      <c r="F3016" s="4" t="n">
        <v>825</v>
      </c>
    </row>
    <row r="3017">
      <c r="D3017" s="2" t="inlineStr">
        <is>
          <t>SUBTOTAL UPAH</t>
        </is>
      </c>
      <c r="F3017" s="16" t="n">
        <v>13186.5</v>
      </c>
    </row>
    <row r="3018">
      <c r="D3018" s="2" t="inlineStr">
        <is>
          <t>SUBTOTAL BAHAN</t>
        </is>
      </c>
      <c r="F3018" s="16" t="n">
        <v>22006.6</v>
      </c>
    </row>
    <row r="3019">
      <c r="D3019" s="2" t="inlineStr">
        <is>
          <t>SUBTOTAL ALAT</t>
        </is>
      </c>
      <c r="F3019" s="16" t="n">
        <v>0</v>
      </c>
    </row>
    <row r="3020">
      <c r="E3020" s="2" t="inlineStr">
        <is>
          <t>TOTAL HARGA SATUAN (Inc. Overhead)</t>
        </is>
      </c>
      <c r="F3020" s="17" t="n">
        <v>38712</v>
      </c>
    </row>
    <row r="3022">
      <c r="A3022" s="14" t="inlineStr">
        <is>
          <t>KODE: 3.9.6.1 - Pemasangan 1 m2 lantai ubin teralux marmer uk. 30x30 cm (1SP : 2PP)</t>
        </is>
      </c>
    </row>
    <row r="3023">
      <c r="A3023" s="10" t="inlineStr">
        <is>
          <t>No</t>
        </is>
      </c>
      <c r="B3023" s="10" t="inlineStr">
        <is>
          <t>Uraian Komponen</t>
        </is>
      </c>
      <c r="C3023" s="10" t="inlineStr">
        <is>
          <t>Satuan</t>
        </is>
      </c>
      <c r="D3023" s="10" t="inlineStr">
        <is>
          <t>Koef</t>
        </is>
      </c>
      <c r="E3023" s="10" t="inlineStr">
        <is>
          <t>Harga Satuan (Rp)</t>
        </is>
      </c>
      <c r="F3023" s="10" t="inlineStr">
        <is>
          <t>Jumlah Harga (Rp)</t>
        </is>
      </c>
    </row>
    <row r="3024">
      <c r="A3024" s="3" t="inlineStr">
        <is>
          <t>1</t>
        </is>
      </c>
      <c r="B3024" s="3" t="inlineStr">
        <is>
          <t>Pekerja</t>
        </is>
      </c>
      <c r="C3024" s="3" t="inlineStr">
        <is>
          <t>OH</t>
        </is>
      </c>
      <c r="D3024" s="15" t="n">
        <v>0.1429</v>
      </c>
      <c r="E3024" s="4" t="n">
        <v>100000</v>
      </c>
      <c r="F3024" s="4" t="n">
        <v>14290</v>
      </c>
    </row>
    <row r="3025">
      <c r="A3025" s="3" t="inlineStr">
        <is>
          <t>2</t>
        </is>
      </c>
      <c r="B3025" s="3" t="inlineStr">
        <is>
          <t>Tukang batu</t>
        </is>
      </c>
      <c r="C3025" s="3" t="inlineStr">
        <is>
          <t>OH</t>
        </is>
      </c>
      <c r="D3025" s="15" t="n">
        <v>0.07140000000000001</v>
      </c>
      <c r="E3025" s="4" t="n">
        <v>145000</v>
      </c>
      <c r="F3025" s="4" t="n">
        <v>10353</v>
      </c>
    </row>
    <row r="3026">
      <c r="A3026" s="3" t="inlineStr">
        <is>
          <t>3</t>
        </is>
      </c>
      <c r="B3026" s="3" t="inlineStr">
        <is>
          <t>Kepala tukang</t>
        </is>
      </c>
      <c r="C3026" s="3" t="inlineStr">
        <is>
          <t>OH</t>
        </is>
      </c>
      <c r="D3026" s="15" t="n">
        <v>0.0071</v>
      </c>
      <c r="E3026" s="4" t="n">
        <v>175000</v>
      </c>
      <c r="F3026" s="4" t="n">
        <v>1242.5</v>
      </c>
    </row>
    <row r="3027">
      <c r="A3027" s="3" t="inlineStr">
        <is>
          <t>4</t>
        </is>
      </c>
      <c r="B3027" s="3" t="inlineStr">
        <is>
          <t>Mandor</t>
        </is>
      </c>
      <c r="C3027" s="3" t="inlineStr">
        <is>
          <t>OH</t>
        </is>
      </c>
      <c r="D3027" s="15" t="n">
        <v>0.0024</v>
      </c>
      <c r="E3027" s="4" t="n">
        <v>200000</v>
      </c>
      <c r="F3027" s="4" t="n">
        <v>479.9999999999999</v>
      </c>
    </row>
    <row r="3028">
      <c r="A3028" s="3" t="inlineStr">
        <is>
          <t>1</t>
        </is>
      </c>
      <c r="B3028" s="3" t="inlineStr">
        <is>
          <t>Ubin teralux marmer 30x30 cm</t>
        </is>
      </c>
      <c r="C3028" s="3" t="inlineStr">
        <is>
          <t>buah</t>
        </is>
      </c>
      <c r="D3028" s="15" t="n">
        <v>11.667</v>
      </c>
      <c r="E3028" s="4" t="n">
        <v>45000</v>
      </c>
      <c r="F3028" s="4" t="n">
        <v>525015</v>
      </c>
    </row>
    <row r="3029">
      <c r="A3029" s="3" t="inlineStr">
        <is>
          <t>2</t>
        </is>
      </c>
      <c r="B3029" s="3" t="inlineStr">
        <is>
          <t>Semen portland (PC)</t>
        </is>
      </c>
      <c r="C3029" s="3" t="inlineStr">
        <is>
          <t>kg</t>
        </is>
      </c>
      <c r="D3029" s="15" t="n">
        <v>13.632</v>
      </c>
      <c r="E3029" s="4" t="n">
        <v>1300</v>
      </c>
      <c r="F3029" s="4" t="n">
        <v>17721.6</v>
      </c>
    </row>
    <row r="3030">
      <c r="A3030" s="3" t="inlineStr">
        <is>
          <t>3</t>
        </is>
      </c>
      <c r="B3030" s="3" t="inlineStr">
        <is>
          <t>Semen warna</t>
        </is>
      </c>
      <c r="C3030" s="3" t="inlineStr">
        <is>
          <t>kg</t>
        </is>
      </c>
      <c r="D3030" s="15" t="n">
        <v>1.5</v>
      </c>
      <c r="E3030" s="4" t="n">
        <v>7800</v>
      </c>
      <c r="F3030" s="4" t="n">
        <v>11700</v>
      </c>
    </row>
    <row r="3031">
      <c r="A3031" s="3" t="inlineStr">
        <is>
          <t>4</t>
        </is>
      </c>
      <c r="B3031" s="3" t="inlineStr">
        <is>
          <t>Pasir pasang (quarry - lokasi pekerjaan)</t>
        </is>
      </c>
      <c r="C3031" s="3" t="inlineStr">
        <is>
          <t>m3</t>
        </is>
      </c>
      <c r="D3031" s="15" t="n">
        <v>0.027</v>
      </c>
      <c r="E3031" s="4" t="n">
        <v>275000</v>
      </c>
      <c r="F3031" s="4" t="n">
        <v>7425</v>
      </c>
    </row>
    <row r="3032">
      <c r="D3032" s="2" t="inlineStr">
        <is>
          <t>SUBTOTAL UPAH</t>
        </is>
      </c>
      <c r="F3032" s="16" t="n">
        <v>26365.5</v>
      </c>
    </row>
    <row r="3033">
      <c r="D3033" s="2" t="inlineStr">
        <is>
          <t>SUBTOTAL BAHAN</t>
        </is>
      </c>
      <c r="F3033" s="16" t="n">
        <v>561861.6</v>
      </c>
    </row>
    <row r="3034">
      <c r="D3034" s="2" t="inlineStr">
        <is>
          <t>SUBTOTAL ALAT</t>
        </is>
      </c>
      <c r="F3034" s="16" t="n">
        <v>0</v>
      </c>
    </row>
    <row r="3035">
      <c r="E3035" s="2" t="inlineStr">
        <is>
          <t>TOTAL HARGA SATUAN (Inc. Overhead)</t>
        </is>
      </c>
      <c r="F3035" s="17" t="n">
        <v>647049</v>
      </c>
    </row>
    <row r="3037">
      <c r="A3037" s="14" t="inlineStr">
        <is>
          <t>KODE: 3.9.6.2 - Pemasangan 1 m2 lantai ubin teralux marmer uk. 40x40 cm (1SP : 2PP)</t>
        </is>
      </c>
    </row>
    <row r="3038">
      <c r="A3038" s="10" t="inlineStr">
        <is>
          <t>No</t>
        </is>
      </c>
      <c r="B3038" s="10" t="inlineStr">
        <is>
          <t>Uraian Komponen</t>
        </is>
      </c>
      <c r="C3038" s="10" t="inlineStr">
        <is>
          <t>Satuan</t>
        </is>
      </c>
      <c r="D3038" s="10" t="inlineStr">
        <is>
          <t>Koef</t>
        </is>
      </c>
      <c r="E3038" s="10" t="inlineStr">
        <is>
          <t>Harga Satuan (Rp)</t>
        </is>
      </c>
      <c r="F3038" s="10" t="inlineStr">
        <is>
          <t>Jumlah Harga (Rp)</t>
        </is>
      </c>
    </row>
    <row r="3039">
      <c r="A3039" s="3" t="inlineStr">
        <is>
          <t>1</t>
        </is>
      </c>
      <c r="B3039" s="3" t="inlineStr">
        <is>
          <t>Pekerja</t>
        </is>
      </c>
      <c r="C3039" s="3" t="inlineStr">
        <is>
          <t>OH</t>
        </is>
      </c>
      <c r="D3039" s="15" t="n">
        <v>0.1538</v>
      </c>
      <c r="E3039" s="4" t="n">
        <v>100000</v>
      </c>
      <c r="F3039" s="4" t="n">
        <v>15380</v>
      </c>
    </row>
    <row r="3040">
      <c r="A3040" s="3" t="inlineStr">
        <is>
          <t>2</t>
        </is>
      </c>
      <c r="B3040" s="3" t="inlineStr">
        <is>
          <t>Tukang batu</t>
        </is>
      </c>
      <c r="C3040" s="3" t="inlineStr">
        <is>
          <t>OH</t>
        </is>
      </c>
      <c r="D3040" s="15" t="n">
        <v>0.0769</v>
      </c>
      <c r="E3040" s="4" t="n">
        <v>145000</v>
      </c>
      <c r="F3040" s="4" t="n">
        <v>11150.5</v>
      </c>
    </row>
    <row r="3041">
      <c r="A3041" s="3" t="inlineStr">
        <is>
          <t>3</t>
        </is>
      </c>
      <c r="B3041" s="3" t="inlineStr">
        <is>
          <t>Kepala tukang</t>
        </is>
      </c>
      <c r="C3041" s="3" t="inlineStr">
        <is>
          <t>OH</t>
        </is>
      </c>
      <c r="D3041" s="15" t="n">
        <v>0.0077</v>
      </c>
      <c r="E3041" s="4" t="n">
        <v>175000</v>
      </c>
      <c r="F3041" s="4" t="n">
        <v>1347.5</v>
      </c>
    </row>
    <row r="3042">
      <c r="A3042" s="3" t="inlineStr">
        <is>
          <t>4</t>
        </is>
      </c>
      <c r="B3042" s="3" t="inlineStr">
        <is>
          <t>Mandor</t>
        </is>
      </c>
      <c r="C3042" s="3" t="inlineStr">
        <is>
          <t>OH</t>
        </is>
      </c>
      <c r="D3042" s="15" t="n">
        <v>0.0026</v>
      </c>
      <c r="E3042" s="4" t="n">
        <v>200000</v>
      </c>
      <c r="F3042" s="4" t="n">
        <v>520</v>
      </c>
    </row>
    <row r="3043">
      <c r="A3043" s="3" t="inlineStr">
        <is>
          <t>1</t>
        </is>
      </c>
      <c r="B3043" s="3" t="inlineStr">
        <is>
          <t>Ubin teralux marmer 40x40 cm</t>
        </is>
      </c>
      <c r="C3043" s="3" t="inlineStr">
        <is>
          <t>buah</t>
        </is>
      </c>
      <c r="D3043" s="15" t="n">
        <v>6.563</v>
      </c>
      <c r="E3043" s="4" t="n">
        <v>60000</v>
      </c>
      <c r="F3043" s="4" t="n">
        <v>393780</v>
      </c>
    </row>
    <row r="3044">
      <c r="A3044" s="3" t="inlineStr">
        <is>
          <t>2</t>
        </is>
      </c>
      <c r="B3044" s="3" t="inlineStr">
        <is>
          <t>Semen portland (PC)</t>
        </is>
      </c>
      <c r="C3044" s="3" t="inlineStr">
        <is>
          <t>kg</t>
        </is>
      </c>
      <c r="D3044" s="15" t="n">
        <v>13.632</v>
      </c>
      <c r="E3044" s="4" t="n">
        <v>1300</v>
      </c>
      <c r="F3044" s="4" t="n">
        <v>17721.6</v>
      </c>
    </row>
    <row r="3045">
      <c r="A3045" s="3" t="inlineStr">
        <is>
          <t>3</t>
        </is>
      </c>
      <c r="B3045" s="3" t="inlineStr">
        <is>
          <t>Semen warna</t>
        </is>
      </c>
      <c r="C3045" s="3" t="inlineStr">
        <is>
          <t>kg</t>
        </is>
      </c>
      <c r="D3045" s="15" t="n">
        <v>1.5</v>
      </c>
      <c r="E3045" s="4" t="n">
        <v>7800</v>
      </c>
      <c r="F3045" s="4" t="n">
        <v>11700</v>
      </c>
    </row>
    <row r="3046">
      <c r="A3046" s="3" t="inlineStr">
        <is>
          <t>4</t>
        </is>
      </c>
      <c r="B3046" s="3" t="inlineStr">
        <is>
          <t>Pasir pasang (quarry - lokasi pekerjaan)</t>
        </is>
      </c>
      <c r="C3046" s="3" t="inlineStr">
        <is>
          <t>m3</t>
        </is>
      </c>
      <c r="D3046" s="15" t="n">
        <v>0.027</v>
      </c>
      <c r="E3046" s="4" t="n">
        <v>275000</v>
      </c>
      <c r="F3046" s="4" t="n">
        <v>7425</v>
      </c>
    </row>
    <row r="3047">
      <c r="D3047" s="2" t="inlineStr">
        <is>
          <t>SUBTOTAL UPAH</t>
        </is>
      </c>
      <c r="F3047" s="16" t="n">
        <v>28398</v>
      </c>
    </row>
    <row r="3048">
      <c r="D3048" s="2" t="inlineStr">
        <is>
          <t>SUBTOTAL BAHAN</t>
        </is>
      </c>
      <c r="F3048" s="16" t="n">
        <v>430626.6</v>
      </c>
    </row>
    <row r="3049">
      <c r="D3049" s="2" t="inlineStr">
        <is>
          <t>SUBTOTAL ALAT</t>
        </is>
      </c>
      <c r="F3049" s="16" t="n">
        <v>0</v>
      </c>
    </row>
    <row r="3050">
      <c r="E3050" s="2" t="inlineStr">
        <is>
          <t>TOTAL HARGA SATUAN (Inc. Overhead)</t>
        </is>
      </c>
      <c r="F3050" s="17" t="n">
        <v>504927</v>
      </c>
    </row>
    <row r="3052">
      <c r="A3052" s="14" t="inlineStr">
        <is>
          <t>KODE: 3.9.6.3 - Pemasangan 1 m2 lantai ubin teralux marmer uk. 60x60 cm (1SP : 2PP)</t>
        </is>
      </c>
    </row>
    <row r="3053">
      <c r="A3053" s="10" t="inlineStr">
        <is>
          <t>No</t>
        </is>
      </c>
      <c r="B3053" s="10" t="inlineStr">
        <is>
          <t>Uraian Komponen</t>
        </is>
      </c>
      <c r="C3053" s="10" t="inlineStr">
        <is>
          <t>Satuan</t>
        </is>
      </c>
      <c r="D3053" s="10" t="inlineStr">
        <is>
          <t>Koef</t>
        </is>
      </c>
      <c r="E3053" s="10" t="inlineStr">
        <is>
          <t>Harga Satuan (Rp)</t>
        </is>
      </c>
      <c r="F3053" s="10" t="inlineStr">
        <is>
          <t>Jumlah Harga (Rp)</t>
        </is>
      </c>
    </row>
    <row r="3054">
      <c r="A3054" s="3" t="inlineStr">
        <is>
          <t>1</t>
        </is>
      </c>
      <c r="B3054" s="3" t="inlineStr">
        <is>
          <t>Pekerja</t>
        </is>
      </c>
      <c r="C3054" s="3" t="inlineStr">
        <is>
          <t>OH</t>
        </is>
      </c>
      <c r="D3054" s="15" t="n">
        <v>0.25</v>
      </c>
      <c r="E3054" s="4" t="n">
        <v>100000</v>
      </c>
      <c r="F3054" s="4" t="n">
        <v>25000</v>
      </c>
    </row>
    <row r="3055">
      <c r="A3055" s="3" t="inlineStr">
        <is>
          <t>2</t>
        </is>
      </c>
      <c r="B3055" s="3" t="inlineStr">
        <is>
          <t>Tukang batu</t>
        </is>
      </c>
      <c r="C3055" s="3" t="inlineStr">
        <is>
          <t>OH</t>
        </is>
      </c>
      <c r="D3055" s="15" t="n">
        <v>0.0833</v>
      </c>
      <c r="E3055" s="4" t="n">
        <v>145000</v>
      </c>
      <c r="F3055" s="4" t="n">
        <v>12078.5</v>
      </c>
    </row>
    <row r="3056">
      <c r="A3056" s="3" t="inlineStr">
        <is>
          <t>3</t>
        </is>
      </c>
      <c r="B3056" s="3" t="inlineStr">
        <is>
          <t>Kepala tukang</t>
        </is>
      </c>
      <c r="C3056" s="3" t="inlineStr">
        <is>
          <t>OH</t>
        </is>
      </c>
      <c r="D3056" s="15" t="n">
        <v>0.0083</v>
      </c>
      <c r="E3056" s="4" t="n">
        <v>175000</v>
      </c>
      <c r="F3056" s="4" t="n">
        <v>1452.5</v>
      </c>
    </row>
    <row r="3057">
      <c r="A3057" s="3" t="inlineStr">
        <is>
          <t>4</t>
        </is>
      </c>
      <c r="B3057" s="3" t="inlineStr">
        <is>
          <t>Mandor</t>
        </is>
      </c>
      <c r="C3057" s="3" t="inlineStr">
        <is>
          <t>OH</t>
        </is>
      </c>
      <c r="D3057" s="15" t="n">
        <v>0.0028</v>
      </c>
      <c r="E3057" s="4" t="n">
        <v>200000</v>
      </c>
      <c r="F3057" s="4" t="n">
        <v>560</v>
      </c>
    </row>
    <row r="3058">
      <c r="A3058" s="3" t="inlineStr">
        <is>
          <t>1</t>
        </is>
      </c>
      <c r="B3058" s="3" t="inlineStr">
        <is>
          <t>Ubin teralux marmer 60x60 cm</t>
        </is>
      </c>
      <c r="C3058" s="3" t="inlineStr">
        <is>
          <t>buah</t>
        </is>
      </c>
      <c r="D3058" s="15" t="n">
        <v>2.917</v>
      </c>
      <c r="E3058" s="4" t="n">
        <v>70000</v>
      </c>
      <c r="F3058" s="4" t="n">
        <v>204190</v>
      </c>
    </row>
    <row r="3059">
      <c r="A3059" s="3" t="inlineStr">
        <is>
          <t>2</t>
        </is>
      </c>
      <c r="B3059" s="3" t="inlineStr">
        <is>
          <t>Semen portland (PC)</t>
        </is>
      </c>
      <c r="C3059" s="3" t="inlineStr">
        <is>
          <t>kg</t>
        </is>
      </c>
      <c r="D3059" s="15" t="n">
        <v>13.632</v>
      </c>
      <c r="E3059" s="4" t="n">
        <v>1300</v>
      </c>
      <c r="F3059" s="4" t="n">
        <v>17721.6</v>
      </c>
    </row>
    <row r="3060">
      <c r="A3060" s="3" t="inlineStr">
        <is>
          <t>3</t>
        </is>
      </c>
      <c r="B3060" s="3" t="inlineStr">
        <is>
          <t>Semen warna</t>
        </is>
      </c>
      <c r="C3060" s="3" t="inlineStr">
        <is>
          <t>kg</t>
        </is>
      </c>
      <c r="D3060" s="15" t="n">
        <v>1.5</v>
      </c>
      <c r="E3060" s="4" t="n">
        <v>7800</v>
      </c>
      <c r="F3060" s="4" t="n">
        <v>11700</v>
      </c>
    </row>
    <row r="3061">
      <c r="A3061" s="3" t="inlineStr">
        <is>
          <t>4</t>
        </is>
      </c>
      <c r="B3061" s="3" t="inlineStr">
        <is>
          <t>Pasir pasang (quarry - lokasi pekerjaan)</t>
        </is>
      </c>
      <c r="C3061" s="3" t="inlineStr">
        <is>
          <t>m3</t>
        </is>
      </c>
      <c r="D3061" s="15" t="n">
        <v>0.027</v>
      </c>
      <c r="E3061" s="4" t="n">
        <v>275000</v>
      </c>
      <c r="F3061" s="4" t="n">
        <v>7425</v>
      </c>
    </row>
    <row r="3062">
      <c r="D3062" s="2" t="inlineStr">
        <is>
          <t>SUBTOTAL UPAH</t>
        </is>
      </c>
      <c r="F3062" s="16" t="n">
        <v>39091</v>
      </c>
    </row>
    <row r="3063">
      <c r="D3063" s="2" t="inlineStr">
        <is>
          <t>SUBTOTAL BAHAN</t>
        </is>
      </c>
      <c r="F3063" s="16" t="n">
        <v>241036.6</v>
      </c>
    </row>
    <row r="3064">
      <c r="D3064" s="2" t="inlineStr">
        <is>
          <t>SUBTOTAL ALAT</t>
        </is>
      </c>
      <c r="F3064" s="16" t="n">
        <v>0</v>
      </c>
    </row>
    <row r="3065">
      <c r="E3065" s="2" t="inlineStr">
        <is>
          <t>TOTAL HARGA SATUAN (Inc. Overhead)</t>
        </is>
      </c>
      <c r="F3065" s="17" t="n">
        <v>308140</v>
      </c>
    </row>
    <row r="3067">
      <c r="A3067" s="14" t="inlineStr">
        <is>
          <t>KODE: 3.9.6.4 - Pemasangan 1 m' plint ubin teralux kerang uk. 10 s.d. 15x30 cm (1SP : 2PP)</t>
        </is>
      </c>
    </row>
    <row r="3068">
      <c r="A3068" s="10" t="inlineStr">
        <is>
          <t>No</t>
        </is>
      </c>
      <c r="B3068" s="10" t="inlineStr">
        <is>
          <t>Uraian Komponen</t>
        </is>
      </c>
      <c r="C3068" s="10" t="inlineStr">
        <is>
          <t>Satuan</t>
        </is>
      </c>
      <c r="D3068" s="10" t="inlineStr">
        <is>
          <t>Koef</t>
        </is>
      </c>
      <c r="E3068" s="10" t="inlineStr">
        <is>
          <t>Harga Satuan (Rp)</t>
        </is>
      </c>
      <c r="F3068" s="10" t="inlineStr">
        <is>
          <t>Jumlah Harga (Rp)</t>
        </is>
      </c>
    </row>
    <row r="3069">
      <c r="A3069" s="3" t="inlineStr">
        <is>
          <t>1</t>
        </is>
      </c>
      <c r="B3069" s="3" t="inlineStr">
        <is>
          <t>Pekerja</t>
        </is>
      </c>
      <c r="C3069" s="3" t="inlineStr">
        <is>
          <t>OH</t>
        </is>
      </c>
      <c r="D3069" s="15" t="n">
        <v>0.0625</v>
      </c>
      <c r="E3069" s="4" t="n">
        <v>100000</v>
      </c>
      <c r="F3069" s="4" t="n">
        <v>6250</v>
      </c>
    </row>
    <row r="3070">
      <c r="A3070" s="3" t="inlineStr">
        <is>
          <t>2</t>
        </is>
      </c>
      <c r="B3070" s="3" t="inlineStr">
        <is>
          <t>Tukang batu</t>
        </is>
      </c>
      <c r="C3070" s="3" t="inlineStr">
        <is>
          <t>OH</t>
        </is>
      </c>
      <c r="D3070" s="15" t="n">
        <v>0.0313</v>
      </c>
      <c r="E3070" s="4" t="n">
        <v>145000</v>
      </c>
      <c r="F3070" s="4" t="n">
        <v>4538.5</v>
      </c>
    </row>
    <row r="3071">
      <c r="A3071" s="3" t="inlineStr">
        <is>
          <t>3</t>
        </is>
      </c>
      <c r="B3071" s="3" t="inlineStr">
        <is>
          <t>Kepala tukang</t>
        </is>
      </c>
      <c r="C3071" s="3" t="inlineStr">
        <is>
          <t>OH</t>
        </is>
      </c>
      <c r="D3071" s="15" t="n">
        <v>0.0031</v>
      </c>
      <c r="E3071" s="4" t="n">
        <v>175000</v>
      </c>
      <c r="F3071" s="4" t="n">
        <v>542.5</v>
      </c>
    </row>
    <row r="3072">
      <c r="A3072" s="3" t="inlineStr">
        <is>
          <t>4</t>
        </is>
      </c>
      <c r="B3072" s="3" t="inlineStr">
        <is>
          <t>Mandor</t>
        </is>
      </c>
      <c r="C3072" s="3" t="inlineStr">
        <is>
          <t>OH</t>
        </is>
      </c>
      <c r="D3072" s="15" t="n">
        <v>0.001</v>
      </c>
      <c r="E3072" s="4" t="n">
        <v>200000</v>
      </c>
      <c r="F3072" s="4" t="n">
        <v>200</v>
      </c>
    </row>
    <row r="3073">
      <c r="A3073" s="3" t="inlineStr">
        <is>
          <t>1</t>
        </is>
      </c>
      <c r="B3073" s="3" t="inlineStr">
        <is>
          <t>Plint teralux kerang uk. 10-15x30 cm</t>
        </is>
      </c>
      <c r="C3073" s="3" t="inlineStr">
        <is>
          <t>buah</t>
        </is>
      </c>
      <c r="D3073" s="15" t="n">
        <v>3.5</v>
      </c>
      <c r="E3073" s="4" t="n">
        <v>2000</v>
      </c>
      <c r="F3073" s="4" t="n">
        <v>7000</v>
      </c>
    </row>
    <row r="3074">
      <c r="A3074" s="3" t="inlineStr">
        <is>
          <t>2</t>
        </is>
      </c>
      <c r="B3074" s="3" t="inlineStr">
        <is>
          <t>Semen portland (PC)</t>
        </is>
      </c>
      <c r="C3074" s="3" t="inlineStr">
        <is>
          <t>kg</t>
        </is>
      </c>
      <c r="D3074" s="15" t="n">
        <v>1.704</v>
      </c>
      <c r="E3074" s="4" t="n">
        <v>1300</v>
      </c>
      <c r="F3074" s="4" t="n">
        <v>2215.2</v>
      </c>
    </row>
    <row r="3075">
      <c r="A3075" s="3" t="inlineStr">
        <is>
          <t>3</t>
        </is>
      </c>
      <c r="B3075" s="3" t="inlineStr">
        <is>
          <t>Semen warna</t>
        </is>
      </c>
      <c r="C3075" s="3" t="inlineStr">
        <is>
          <t>kg</t>
        </is>
      </c>
      <c r="D3075" s="15" t="n">
        <v>0.188</v>
      </c>
      <c r="E3075" s="4" t="n">
        <v>7800</v>
      </c>
      <c r="F3075" s="4" t="n">
        <v>1466.4</v>
      </c>
    </row>
    <row r="3076">
      <c r="A3076" s="3" t="inlineStr">
        <is>
          <t>4</t>
        </is>
      </c>
      <c r="B3076" s="3" t="inlineStr">
        <is>
          <t>Pasir pasang (quarry - lokasi pekerjaan)</t>
        </is>
      </c>
      <c r="C3076" s="3" t="inlineStr">
        <is>
          <t>m3</t>
        </is>
      </c>
      <c r="D3076" s="15" t="n">
        <v>0.003</v>
      </c>
      <c r="E3076" s="4" t="n">
        <v>275000</v>
      </c>
      <c r="F3076" s="4" t="n">
        <v>825</v>
      </c>
    </row>
    <row r="3077">
      <c r="D3077" s="2" t="inlineStr">
        <is>
          <t>SUBTOTAL UPAH</t>
        </is>
      </c>
      <c r="F3077" s="16" t="n">
        <v>11531</v>
      </c>
    </row>
    <row r="3078">
      <c r="D3078" s="2" t="inlineStr">
        <is>
          <t>SUBTOTAL BAHAN</t>
        </is>
      </c>
      <c r="F3078" s="16" t="n">
        <v>11506.6</v>
      </c>
    </row>
    <row r="3079">
      <c r="D3079" s="2" t="inlineStr">
        <is>
          <t>SUBTOTAL ALAT</t>
        </is>
      </c>
      <c r="F3079" s="16" t="n">
        <v>0</v>
      </c>
    </row>
    <row r="3080">
      <c r="E3080" s="2" t="inlineStr">
        <is>
          <t>TOTAL HARGA SATUAN (Inc. Overhead)</t>
        </is>
      </c>
      <c r="F3080" s="17" t="n">
        <v>25341</v>
      </c>
    </row>
    <row r="3082">
      <c r="A3082" s="14" t="inlineStr">
        <is>
          <t>KODE: 3.9.6.5 - Pemasangan 1 m' plint ubin teralux kerang uk. 10 s.d. 15x40 cm (1SP : 2PP)</t>
        </is>
      </c>
    </row>
    <row r="3083">
      <c r="A3083" s="10" t="inlineStr">
        <is>
          <t>No</t>
        </is>
      </c>
      <c r="B3083" s="10" t="inlineStr">
        <is>
          <t>Uraian Komponen</t>
        </is>
      </c>
      <c r="C3083" s="10" t="inlineStr">
        <is>
          <t>Satuan</t>
        </is>
      </c>
      <c r="D3083" s="10" t="inlineStr">
        <is>
          <t>Koef</t>
        </is>
      </c>
      <c r="E3083" s="10" t="inlineStr">
        <is>
          <t>Harga Satuan (Rp)</t>
        </is>
      </c>
      <c r="F3083" s="10" t="inlineStr">
        <is>
          <t>Jumlah Harga (Rp)</t>
        </is>
      </c>
    </row>
    <row r="3084">
      <c r="A3084" s="3" t="inlineStr">
        <is>
          <t>1</t>
        </is>
      </c>
      <c r="B3084" s="3" t="inlineStr">
        <is>
          <t>Pekerja</t>
        </is>
      </c>
      <c r="C3084" s="3" t="inlineStr">
        <is>
          <t>OH</t>
        </is>
      </c>
      <c r="D3084" s="15" t="n">
        <v>0.0667</v>
      </c>
      <c r="E3084" s="4" t="n">
        <v>100000</v>
      </c>
      <c r="F3084" s="4" t="n">
        <v>6669.999999999999</v>
      </c>
    </row>
    <row r="3085">
      <c r="A3085" s="3" t="inlineStr">
        <is>
          <t>2</t>
        </is>
      </c>
      <c r="B3085" s="3" t="inlineStr">
        <is>
          <t>Tukang batu</t>
        </is>
      </c>
      <c r="C3085" s="3" t="inlineStr">
        <is>
          <t>OH</t>
        </is>
      </c>
      <c r="D3085" s="15" t="n">
        <v>0.0333</v>
      </c>
      <c r="E3085" s="4" t="n">
        <v>145000</v>
      </c>
      <c r="F3085" s="4" t="n">
        <v>4828.500000000001</v>
      </c>
    </row>
    <row r="3086">
      <c r="A3086" s="3" t="inlineStr">
        <is>
          <t>3</t>
        </is>
      </c>
      <c r="B3086" s="3" t="inlineStr">
        <is>
          <t>Kepala tukang</t>
        </is>
      </c>
      <c r="C3086" s="3" t="inlineStr">
        <is>
          <t>OH</t>
        </is>
      </c>
      <c r="D3086" s="15" t="n">
        <v>0.0033</v>
      </c>
      <c r="E3086" s="4" t="n">
        <v>175000</v>
      </c>
      <c r="F3086" s="4" t="n">
        <v>577.5</v>
      </c>
    </row>
    <row r="3087">
      <c r="A3087" s="3" t="inlineStr">
        <is>
          <t>4</t>
        </is>
      </c>
      <c r="B3087" s="3" t="inlineStr">
        <is>
          <t>Mandor</t>
        </is>
      </c>
      <c r="C3087" s="3" t="inlineStr">
        <is>
          <t>OH</t>
        </is>
      </c>
      <c r="D3087" s="15" t="n">
        <v>0.0011</v>
      </c>
      <c r="E3087" s="4" t="n">
        <v>200000</v>
      </c>
      <c r="F3087" s="4" t="n">
        <v>220</v>
      </c>
    </row>
    <row r="3088">
      <c r="A3088" s="3" t="inlineStr">
        <is>
          <t>1</t>
        </is>
      </c>
      <c r="B3088" s="3" t="inlineStr">
        <is>
          <t>Plint teralux kerang uk. 10-15x40 cm</t>
        </is>
      </c>
      <c r="C3088" s="3" t="inlineStr">
        <is>
          <t>buah</t>
        </is>
      </c>
      <c r="D3088" s="15" t="n">
        <v>2.625</v>
      </c>
      <c r="E3088" s="4" t="n">
        <v>3000</v>
      </c>
      <c r="F3088" s="4" t="n">
        <v>7875</v>
      </c>
    </row>
    <row r="3089">
      <c r="A3089" s="3" t="inlineStr">
        <is>
          <t>2</t>
        </is>
      </c>
      <c r="B3089" s="3" t="inlineStr">
        <is>
          <t>Semen portland (PC)</t>
        </is>
      </c>
      <c r="C3089" s="3" t="inlineStr">
        <is>
          <t>kg</t>
        </is>
      </c>
      <c r="D3089" s="15" t="n">
        <v>1.704</v>
      </c>
      <c r="E3089" s="4" t="n">
        <v>1300</v>
      </c>
      <c r="F3089" s="4" t="n">
        <v>2215.2</v>
      </c>
    </row>
    <row r="3090">
      <c r="A3090" s="3" t="inlineStr">
        <is>
          <t>3</t>
        </is>
      </c>
      <c r="B3090" s="3" t="inlineStr">
        <is>
          <t>Semen warna</t>
        </is>
      </c>
      <c r="C3090" s="3" t="inlineStr">
        <is>
          <t>kg</t>
        </is>
      </c>
      <c r="D3090" s="15" t="n">
        <v>0.188</v>
      </c>
      <c r="E3090" s="4" t="n">
        <v>7800</v>
      </c>
      <c r="F3090" s="4" t="n">
        <v>1466.4</v>
      </c>
    </row>
    <row r="3091">
      <c r="A3091" s="3" t="inlineStr">
        <is>
          <t>4</t>
        </is>
      </c>
      <c r="B3091" s="3" t="inlineStr">
        <is>
          <t>Pasir pasang (quarry - lokasi pekerjaan)</t>
        </is>
      </c>
      <c r="C3091" s="3" t="inlineStr">
        <is>
          <t>m3</t>
        </is>
      </c>
      <c r="D3091" s="15" t="n">
        <v>0.003</v>
      </c>
      <c r="E3091" s="4" t="n">
        <v>275000</v>
      </c>
      <c r="F3091" s="4" t="n">
        <v>825</v>
      </c>
    </row>
    <row r="3092">
      <c r="D3092" s="2" t="inlineStr">
        <is>
          <t>SUBTOTAL UPAH</t>
        </is>
      </c>
      <c r="F3092" s="16" t="n">
        <v>12296</v>
      </c>
    </row>
    <row r="3093">
      <c r="D3093" s="2" t="inlineStr">
        <is>
          <t>SUBTOTAL BAHAN</t>
        </is>
      </c>
      <c r="F3093" s="16" t="n">
        <v>12381.6</v>
      </c>
    </row>
    <row r="3094">
      <c r="D3094" s="2" t="inlineStr">
        <is>
          <t>SUBTOTAL ALAT</t>
        </is>
      </c>
      <c r="F3094" s="16" t="n">
        <v>0</v>
      </c>
    </row>
    <row r="3095">
      <c r="E3095" s="2" t="inlineStr">
        <is>
          <t>TOTAL HARGA SATUAN (Inc. Overhead)</t>
        </is>
      </c>
      <c r="F3095" s="17" t="n">
        <v>27145</v>
      </c>
    </row>
    <row r="3097">
      <c r="A3097" s="14" t="inlineStr">
        <is>
          <t>KODE: 3.9.6.6 - Pemasangan 1 m' plint ubin teralux kerang uk. 10 s.d. 15x60 cm (1SP : 2PP)</t>
        </is>
      </c>
    </row>
    <row r="3098">
      <c r="A3098" s="10" t="inlineStr">
        <is>
          <t>No</t>
        </is>
      </c>
      <c r="B3098" s="10" t="inlineStr">
        <is>
          <t>Uraian Komponen</t>
        </is>
      </c>
      <c r="C3098" s="10" t="inlineStr">
        <is>
          <t>Satuan</t>
        </is>
      </c>
      <c r="D3098" s="10" t="inlineStr">
        <is>
          <t>Koef</t>
        </is>
      </c>
      <c r="E3098" s="10" t="inlineStr">
        <is>
          <t>Harga Satuan (Rp)</t>
        </is>
      </c>
      <c r="F3098" s="10" t="inlineStr">
        <is>
          <t>Jumlah Harga (Rp)</t>
        </is>
      </c>
    </row>
    <row r="3099">
      <c r="A3099" s="3" t="inlineStr">
        <is>
          <t>1</t>
        </is>
      </c>
      <c r="B3099" s="3" t="inlineStr">
        <is>
          <t>Pekerja</t>
        </is>
      </c>
      <c r="C3099" s="3" t="inlineStr">
        <is>
          <t>OH</t>
        </is>
      </c>
      <c r="D3099" s="15" t="n">
        <v>0.07140000000000001</v>
      </c>
      <c r="E3099" s="4" t="n">
        <v>100000</v>
      </c>
      <c r="F3099" s="4" t="n">
        <v>7140.000000000001</v>
      </c>
    </row>
    <row r="3100">
      <c r="A3100" s="3" t="inlineStr">
        <is>
          <t>2</t>
        </is>
      </c>
      <c r="B3100" s="3" t="inlineStr">
        <is>
          <t>Tukang batu</t>
        </is>
      </c>
      <c r="C3100" s="3" t="inlineStr">
        <is>
          <t>OH</t>
        </is>
      </c>
      <c r="D3100" s="15" t="n">
        <v>0.0357</v>
      </c>
      <c r="E3100" s="4" t="n">
        <v>145000</v>
      </c>
      <c r="F3100" s="4" t="n">
        <v>5176.5</v>
      </c>
    </row>
    <row r="3101">
      <c r="A3101" s="3" t="inlineStr">
        <is>
          <t>3</t>
        </is>
      </c>
      <c r="B3101" s="3" t="inlineStr">
        <is>
          <t>Kepala tukang</t>
        </is>
      </c>
      <c r="C3101" s="3" t="inlineStr">
        <is>
          <t>OH</t>
        </is>
      </c>
      <c r="D3101" s="15" t="n">
        <v>0.0036</v>
      </c>
      <c r="E3101" s="4" t="n">
        <v>175000</v>
      </c>
      <c r="F3101" s="4" t="n">
        <v>630</v>
      </c>
    </row>
    <row r="3102">
      <c r="A3102" s="3" t="inlineStr">
        <is>
          <t>4</t>
        </is>
      </c>
      <c r="B3102" s="3" t="inlineStr">
        <is>
          <t>Mandor</t>
        </is>
      </c>
      <c r="C3102" s="3" t="inlineStr">
        <is>
          <t>OH</t>
        </is>
      </c>
      <c r="D3102" s="15" t="n">
        <v>0.0012</v>
      </c>
      <c r="E3102" s="4" t="n">
        <v>200000</v>
      </c>
      <c r="F3102" s="4" t="n">
        <v>240</v>
      </c>
    </row>
    <row r="3103">
      <c r="A3103" s="3" t="inlineStr">
        <is>
          <t>1</t>
        </is>
      </c>
      <c r="B3103" s="3" t="inlineStr">
        <is>
          <t>Plint teralux kerang uk. 10-15x60 cm</t>
        </is>
      </c>
      <c r="C3103" s="3" t="inlineStr">
        <is>
          <t>buah</t>
        </is>
      </c>
      <c r="D3103" s="15" t="n">
        <v>1.75</v>
      </c>
      <c r="E3103" s="4" t="n">
        <v>4000</v>
      </c>
      <c r="F3103" s="4" t="n">
        <v>7000</v>
      </c>
    </row>
    <row r="3104">
      <c r="A3104" s="3" t="inlineStr">
        <is>
          <t>2</t>
        </is>
      </c>
      <c r="B3104" s="3" t="inlineStr">
        <is>
          <t>Semen portland (PC)</t>
        </is>
      </c>
      <c r="C3104" s="3" t="inlineStr">
        <is>
          <t>kg</t>
        </is>
      </c>
      <c r="D3104" s="15" t="n">
        <v>1.704</v>
      </c>
      <c r="E3104" s="4" t="n">
        <v>1300</v>
      </c>
      <c r="F3104" s="4" t="n">
        <v>2215.2</v>
      </c>
    </row>
    <row r="3105">
      <c r="A3105" s="3" t="inlineStr">
        <is>
          <t>3</t>
        </is>
      </c>
      <c r="B3105" s="3" t="inlineStr">
        <is>
          <t>Semen warna</t>
        </is>
      </c>
      <c r="C3105" s="3" t="inlineStr">
        <is>
          <t>kg</t>
        </is>
      </c>
      <c r="D3105" s="15" t="n">
        <v>0.188</v>
      </c>
      <c r="E3105" s="4" t="n">
        <v>7800</v>
      </c>
      <c r="F3105" s="4" t="n">
        <v>1466.4</v>
      </c>
    </row>
    <row r="3106">
      <c r="A3106" s="3" t="inlineStr">
        <is>
          <t>4</t>
        </is>
      </c>
      <c r="B3106" s="3" t="inlineStr">
        <is>
          <t>Pasir pasang (quarry - lokasi pekerjaan)</t>
        </is>
      </c>
      <c r="C3106" s="3" t="inlineStr">
        <is>
          <t>m3</t>
        </is>
      </c>
      <c r="D3106" s="15" t="n">
        <v>0.003</v>
      </c>
      <c r="E3106" s="4" t="n">
        <v>275000</v>
      </c>
      <c r="F3106" s="4" t="n">
        <v>825</v>
      </c>
    </row>
    <row r="3107">
      <c r="D3107" s="2" t="inlineStr">
        <is>
          <t>SUBTOTAL UPAH</t>
        </is>
      </c>
      <c r="F3107" s="16" t="n">
        <v>13186.5</v>
      </c>
    </row>
    <row r="3108">
      <c r="D3108" s="2" t="inlineStr">
        <is>
          <t>SUBTOTAL BAHAN</t>
        </is>
      </c>
      <c r="F3108" s="16" t="n">
        <v>11506.6</v>
      </c>
    </row>
    <row r="3109">
      <c r="D3109" s="2" t="inlineStr">
        <is>
          <t>SUBTOTAL ALAT</t>
        </is>
      </c>
      <c r="F3109" s="16" t="n">
        <v>0</v>
      </c>
    </row>
    <row r="3110">
      <c r="E3110" s="2" t="inlineStr">
        <is>
          <t>TOTAL HARGA SATUAN (Inc. Overhead)</t>
        </is>
      </c>
      <c r="F3110" s="17" t="n">
        <v>27162</v>
      </c>
    </row>
    <row r="3112">
      <c r="A3112" s="14" t="inlineStr">
        <is>
          <t>KODE: 3.9.6.7 - Pemasangan 1 m' plint ubin teralux marmer uk. 10 s.d. 15x30 cm (1SP : 2PP)</t>
        </is>
      </c>
    </row>
    <row r="3113">
      <c r="A3113" s="10" t="inlineStr">
        <is>
          <t>No</t>
        </is>
      </c>
      <c r="B3113" s="10" t="inlineStr">
        <is>
          <t>Uraian Komponen</t>
        </is>
      </c>
      <c r="C3113" s="10" t="inlineStr">
        <is>
          <t>Satuan</t>
        </is>
      </c>
      <c r="D3113" s="10" t="inlineStr">
        <is>
          <t>Koef</t>
        </is>
      </c>
      <c r="E3113" s="10" t="inlineStr">
        <is>
          <t>Harga Satuan (Rp)</t>
        </is>
      </c>
      <c r="F3113" s="10" t="inlineStr">
        <is>
          <t>Jumlah Harga (Rp)</t>
        </is>
      </c>
    </row>
    <row r="3114">
      <c r="A3114" s="3" t="inlineStr">
        <is>
          <t>1</t>
        </is>
      </c>
      <c r="B3114" s="3" t="inlineStr">
        <is>
          <t>Pekerja</t>
        </is>
      </c>
      <c r="C3114" s="3" t="inlineStr">
        <is>
          <t>OH</t>
        </is>
      </c>
      <c r="D3114" s="15" t="n">
        <v>0.0625</v>
      </c>
      <c r="E3114" s="4" t="n">
        <v>100000</v>
      </c>
      <c r="F3114" s="4" t="n">
        <v>6250</v>
      </c>
    </row>
    <row r="3115">
      <c r="A3115" s="3" t="inlineStr">
        <is>
          <t>2</t>
        </is>
      </c>
      <c r="B3115" s="3" t="inlineStr">
        <is>
          <t>Tukang batu</t>
        </is>
      </c>
      <c r="C3115" s="3" t="inlineStr">
        <is>
          <t>OH</t>
        </is>
      </c>
      <c r="D3115" s="15" t="n">
        <v>0.0313</v>
      </c>
      <c r="E3115" s="4" t="n">
        <v>145000</v>
      </c>
      <c r="F3115" s="4" t="n">
        <v>4538.5</v>
      </c>
    </row>
    <row r="3116">
      <c r="A3116" s="3" t="inlineStr">
        <is>
          <t>3</t>
        </is>
      </c>
      <c r="B3116" s="3" t="inlineStr">
        <is>
          <t>Kepala tukang</t>
        </is>
      </c>
      <c r="C3116" s="3" t="inlineStr">
        <is>
          <t>OH</t>
        </is>
      </c>
      <c r="D3116" s="15" t="n">
        <v>0.0031</v>
      </c>
      <c r="E3116" s="4" t="n">
        <v>175000</v>
      </c>
      <c r="F3116" s="4" t="n">
        <v>542.5</v>
      </c>
    </row>
    <row r="3117">
      <c r="A3117" s="3" t="inlineStr">
        <is>
          <t>4</t>
        </is>
      </c>
      <c r="B3117" s="3" t="inlineStr">
        <is>
          <t>Mandor</t>
        </is>
      </c>
      <c r="C3117" s="3" t="inlineStr">
        <is>
          <t>OH</t>
        </is>
      </c>
      <c r="D3117" s="15" t="n">
        <v>0.001</v>
      </c>
      <c r="E3117" s="4" t="n">
        <v>200000</v>
      </c>
      <c r="F3117" s="4" t="n">
        <v>200</v>
      </c>
    </row>
    <row r="3118">
      <c r="A3118" s="3" t="inlineStr">
        <is>
          <t>1</t>
        </is>
      </c>
      <c r="B3118" s="3" t="inlineStr">
        <is>
          <t>Plint teralux marmer uk. 10-15x30 cm</t>
        </is>
      </c>
      <c r="C3118" s="3" t="inlineStr">
        <is>
          <t>buah</t>
        </is>
      </c>
      <c r="D3118" s="15" t="n">
        <v>3.5</v>
      </c>
      <c r="E3118" s="4" t="n">
        <v>2500</v>
      </c>
      <c r="F3118" s="4" t="n">
        <v>8750</v>
      </c>
    </row>
    <row r="3119">
      <c r="A3119" s="3" t="inlineStr">
        <is>
          <t>2</t>
        </is>
      </c>
      <c r="B3119" s="3" t="inlineStr">
        <is>
          <t>Semen portland (PC)</t>
        </is>
      </c>
      <c r="C3119" s="3" t="inlineStr">
        <is>
          <t>kg</t>
        </is>
      </c>
      <c r="D3119" s="15" t="n">
        <v>1.704</v>
      </c>
      <c r="E3119" s="4" t="n">
        <v>1300</v>
      </c>
      <c r="F3119" s="4" t="n">
        <v>2215.2</v>
      </c>
    </row>
    <row r="3120">
      <c r="A3120" s="3" t="inlineStr">
        <is>
          <t>3</t>
        </is>
      </c>
      <c r="B3120" s="3" t="inlineStr">
        <is>
          <t>Semen warna</t>
        </is>
      </c>
      <c r="C3120" s="3" t="inlineStr">
        <is>
          <t>kg</t>
        </is>
      </c>
      <c r="D3120" s="15" t="n">
        <v>0.188</v>
      </c>
      <c r="E3120" s="4" t="n">
        <v>7800</v>
      </c>
      <c r="F3120" s="4" t="n">
        <v>1466.4</v>
      </c>
    </row>
    <row r="3121">
      <c r="A3121" s="3" t="inlineStr">
        <is>
          <t>4</t>
        </is>
      </c>
      <c r="B3121" s="3" t="inlineStr">
        <is>
          <t>Pasir pasang (quarry - lokasi pekerjaan)</t>
        </is>
      </c>
      <c r="C3121" s="3" t="inlineStr">
        <is>
          <t>m3</t>
        </is>
      </c>
      <c r="D3121" s="15" t="n">
        <v>0.003</v>
      </c>
      <c r="E3121" s="4" t="n">
        <v>275000</v>
      </c>
      <c r="F3121" s="4" t="n">
        <v>825</v>
      </c>
    </row>
    <row r="3122">
      <c r="D3122" s="2" t="inlineStr">
        <is>
          <t>SUBTOTAL UPAH</t>
        </is>
      </c>
      <c r="F3122" s="16" t="n">
        <v>11531</v>
      </c>
    </row>
    <row r="3123">
      <c r="D3123" s="2" t="inlineStr">
        <is>
          <t>SUBTOTAL BAHAN</t>
        </is>
      </c>
      <c r="F3123" s="16" t="n">
        <v>13256.6</v>
      </c>
    </row>
    <row r="3124">
      <c r="D3124" s="2" t="inlineStr">
        <is>
          <t>SUBTOTAL ALAT</t>
        </is>
      </c>
      <c r="F3124" s="16" t="n">
        <v>0</v>
      </c>
    </row>
    <row r="3125">
      <c r="E3125" s="2" t="inlineStr">
        <is>
          <t>TOTAL HARGA SATUAN (Inc. Overhead)</t>
        </is>
      </c>
      <c r="F3125" s="17" t="n">
        <v>27266</v>
      </c>
    </row>
    <row r="3127">
      <c r="A3127" s="14" t="inlineStr">
        <is>
          <t>KODE: 3.9.6.8 - Pemasangan 1 m' plint ubin teralux marmer uk. 10 s.d. 15x40 cm (1SP : 2PP)</t>
        </is>
      </c>
    </row>
    <row r="3128">
      <c r="A3128" s="10" t="inlineStr">
        <is>
          <t>No</t>
        </is>
      </c>
      <c r="B3128" s="10" t="inlineStr">
        <is>
          <t>Uraian Komponen</t>
        </is>
      </c>
      <c r="C3128" s="10" t="inlineStr">
        <is>
          <t>Satuan</t>
        </is>
      </c>
      <c r="D3128" s="10" t="inlineStr">
        <is>
          <t>Koef</t>
        </is>
      </c>
      <c r="E3128" s="10" t="inlineStr">
        <is>
          <t>Harga Satuan (Rp)</t>
        </is>
      </c>
      <c r="F3128" s="10" t="inlineStr">
        <is>
          <t>Jumlah Harga (Rp)</t>
        </is>
      </c>
    </row>
    <row r="3129">
      <c r="A3129" s="3" t="inlineStr">
        <is>
          <t>1</t>
        </is>
      </c>
      <c r="B3129" s="3" t="inlineStr">
        <is>
          <t>Pekerja</t>
        </is>
      </c>
      <c r="C3129" s="3" t="inlineStr">
        <is>
          <t>OH</t>
        </is>
      </c>
      <c r="D3129" s="15" t="n">
        <v>0.0667</v>
      </c>
      <c r="E3129" s="4" t="n">
        <v>100000</v>
      </c>
      <c r="F3129" s="4" t="n">
        <v>6669.999999999999</v>
      </c>
    </row>
    <row r="3130">
      <c r="A3130" s="3" t="inlineStr">
        <is>
          <t>2</t>
        </is>
      </c>
      <c r="B3130" s="3" t="inlineStr">
        <is>
          <t>Tukang batu</t>
        </is>
      </c>
      <c r="C3130" s="3" t="inlineStr">
        <is>
          <t>OH</t>
        </is>
      </c>
      <c r="D3130" s="15" t="n">
        <v>0.0333</v>
      </c>
      <c r="E3130" s="4" t="n">
        <v>145000</v>
      </c>
      <c r="F3130" s="4" t="n">
        <v>4828.500000000001</v>
      </c>
    </row>
    <row r="3131">
      <c r="A3131" s="3" t="inlineStr">
        <is>
          <t>3</t>
        </is>
      </c>
      <c r="B3131" s="3" t="inlineStr">
        <is>
          <t>Kepala tukang</t>
        </is>
      </c>
      <c r="C3131" s="3" t="inlineStr">
        <is>
          <t>OH</t>
        </is>
      </c>
      <c r="D3131" s="15" t="n">
        <v>0.0033</v>
      </c>
      <c r="E3131" s="4" t="n">
        <v>175000</v>
      </c>
      <c r="F3131" s="4" t="n">
        <v>577.5</v>
      </c>
    </row>
    <row r="3132">
      <c r="A3132" s="3" t="inlineStr">
        <is>
          <t>4</t>
        </is>
      </c>
      <c r="B3132" s="3" t="inlineStr">
        <is>
          <t>Mandor</t>
        </is>
      </c>
      <c r="C3132" s="3" t="inlineStr">
        <is>
          <t>OH</t>
        </is>
      </c>
      <c r="D3132" s="15" t="n">
        <v>0.0011</v>
      </c>
      <c r="E3132" s="4" t="n">
        <v>200000</v>
      </c>
      <c r="F3132" s="4" t="n">
        <v>220</v>
      </c>
    </row>
    <row r="3133">
      <c r="A3133" s="3" t="inlineStr">
        <is>
          <t>1</t>
        </is>
      </c>
      <c r="B3133" s="3" t="inlineStr">
        <is>
          <t>Plint teralux marmer uk. 10-15x40 cm</t>
        </is>
      </c>
      <c r="C3133" s="3" t="inlineStr">
        <is>
          <t>buah</t>
        </is>
      </c>
      <c r="D3133" s="15" t="n">
        <v>2.625</v>
      </c>
      <c r="E3133" s="4" t="n">
        <v>3000</v>
      </c>
      <c r="F3133" s="4" t="n">
        <v>7875</v>
      </c>
    </row>
    <row r="3134">
      <c r="A3134" s="3" t="inlineStr">
        <is>
          <t>2</t>
        </is>
      </c>
      <c r="B3134" s="3" t="inlineStr">
        <is>
          <t>Semen portland (PC)</t>
        </is>
      </c>
      <c r="C3134" s="3" t="inlineStr">
        <is>
          <t>kg</t>
        </is>
      </c>
      <c r="D3134" s="15" t="n">
        <v>1.704</v>
      </c>
      <c r="E3134" s="4" t="n">
        <v>1300</v>
      </c>
      <c r="F3134" s="4" t="n">
        <v>2215.2</v>
      </c>
    </row>
    <row r="3135">
      <c r="A3135" s="3" t="inlineStr">
        <is>
          <t>3</t>
        </is>
      </c>
      <c r="B3135" s="3" t="inlineStr">
        <is>
          <t>Semen warna</t>
        </is>
      </c>
      <c r="C3135" s="3" t="inlineStr">
        <is>
          <t>kg</t>
        </is>
      </c>
      <c r="D3135" s="15" t="n">
        <v>0.188</v>
      </c>
      <c r="E3135" s="4" t="n">
        <v>7800</v>
      </c>
      <c r="F3135" s="4" t="n">
        <v>1466.4</v>
      </c>
    </row>
    <row r="3136">
      <c r="A3136" s="3" t="inlineStr">
        <is>
          <t>4</t>
        </is>
      </c>
      <c r="B3136" s="3" t="inlineStr">
        <is>
          <t>Pasir pasang (quarry - lokasi pekerjaan)</t>
        </is>
      </c>
      <c r="C3136" s="3" t="inlineStr">
        <is>
          <t>m3</t>
        </is>
      </c>
      <c r="D3136" s="15" t="n">
        <v>0.003</v>
      </c>
      <c r="E3136" s="4" t="n">
        <v>275000</v>
      </c>
      <c r="F3136" s="4" t="n">
        <v>825</v>
      </c>
    </row>
    <row r="3137">
      <c r="D3137" s="2" t="inlineStr">
        <is>
          <t>SUBTOTAL UPAH</t>
        </is>
      </c>
      <c r="F3137" s="16" t="n">
        <v>12296</v>
      </c>
    </row>
    <row r="3138">
      <c r="D3138" s="2" t="inlineStr">
        <is>
          <t>SUBTOTAL BAHAN</t>
        </is>
      </c>
      <c r="F3138" s="16" t="n">
        <v>12381.6</v>
      </c>
    </row>
    <row r="3139">
      <c r="D3139" s="2" t="inlineStr">
        <is>
          <t>SUBTOTAL ALAT</t>
        </is>
      </c>
      <c r="F3139" s="16" t="n">
        <v>0</v>
      </c>
    </row>
    <row r="3140">
      <c r="E3140" s="2" t="inlineStr">
        <is>
          <t>TOTAL HARGA SATUAN (Inc. Overhead)</t>
        </is>
      </c>
      <c r="F3140" s="17" t="n">
        <v>27145</v>
      </c>
    </row>
    <row r="3142">
      <c r="A3142" s="14" t="inlineStr">
        <is>
          <t>KODE: 3.9.6.9 - Pemasangan 1 m' plint ubin teralux marmer uk. 10 s.d. 15x60 cm (1SP : 2PP)</t>
        </is>
      </c>
    </row>
    <row r="3143">
      <c r="A3143" s="10" t="inlineStr">
        <is>
          <t>No</t>
        </is>
      </c>
      <c r="B3143" s="10" t="inlineStr">
        <is>
          <t>Uraian Komponen</t>
        </is>
      </c>
      <c r="C3143" s="10" t="inlineStr">
        <is>
          <t>Satuan</t>
        </is>
      </c>
      <c r="D3143" s="10" t="inlineStr">
        <is>
          <t>Koef</t>
        </is>
      </c>
      <c r="E3143" s="10" t="inlineStr">
        <is>
          <t>Harga Satuan (Rp)</t>
        </is>
      </c>
      <c r="F3143" s="10" t="inlineStr">
        <is>
          <t>Jumlah Harga (Rp)</t>
        </is>
      </c>
    </row>
    <row r="3144">
      <c r="A3144" s="3" t="inlineStr">
        <is>
          <t>1</t>
        </is>
      </c>
      <c r="B3144" s="3" t="inlineStr">
        <is>
          <t>Pekerja</t>
        </is>
      </c>
      <c r="C3144" s="3" t="inlineStr">
        <is>
          <t>OH</t>
        </is>
      </c>
      <c r="D3144" s="15" t="n">
        <v>0.07140000000000001</v>
      </c>
      <c r="E3144" s="4" t="n">
        <v>100000</v>
      </c>
      <c r="F3144" s="4" t="n">
        <v>7140.000000000001</v>
      </c>
    </row>
    <row r="3145">
      <c r="A3145" s="3" t="inlineStr">
        <is>
          <t>2</t>
        </is>
      </c>
      <c r="B3145" s="3" t="inlineStr">
        <is>
          <t>Tukang batu</t>
        </is>
      </c>
      <c r="C3145" s="3" t="inlineStr">
        <is>
          <t>OH</t>
        </is>
      </c>
      <c r="D3145" s="15" t="n">
        <v>0.0357</v>
      </c>
      <c r="E3145" s="4" t="n">
        <v>145000</v>
      </c>
      <c r="F3145" s="4" t="n">
        <v>5176.5</v>
      </c>
    </row>
    <row r="3146">
      <c r="A3146" s="3" t="inlineStr">
        <is>
          <t>3</t>
        </is>
      </c>
      <c r="B3146" s="3" t="inlineStr">
        <is>
          <t>Kepala tukang</t>
        </is>
      </c>
      <c r="C3146" s="3" t="inlineStr">
        <is>
          <t>OH</t>
        </is>
      </c>
      <c r="D3146" s="15" t="n">
        <v>0.0036</v>
      </c>
      <c r="E3146" s="4" t="n">
        <v>175000</v>
      </c>
      <c r="F3146" s="4" t="n">
        <v>630</v>
      </c>
    </row>
    <row r="3147">
      <c r="A3147" s="3" t="inlineStr">
        <is>
          <t>4</t>
        </is>
      </c>
      <c r="B3147" s="3" t="inlineStr">
        <is>
          <t>Mandor</t>
        </is>
      </c>
      <c r="C3147" s="3" t="inlineStr">
        <is>
          <t>OH</t>
        </is>
      </c>
      <c r="D3147" s="15" t="n">
        <v>0.0012</v>
      </c>
      <c r="E3147" s="4" t="n">
        <v>200000</v>
      </c>
      <c r="F3147" s="4" t="n">
        <v>240</v>
      </c>
    </row>
    <row r="3148">
      <c r="A3148" s="3" t="inlineStr">
        <is>
          <t>1</t>
        </is>
      </c>
      <c r="B3148" s="3" t="inlineStr">
        <is>
          <t>Plint teralux marmer uk. 10-15x60 cm</t>
        </is>
      </c>
      <c r="C3148" s="3" t="inlineStr">
        <is>
          <t>buah</t>
        </is>
      </c>
      <c r="D3148" s="15" t="n">
        <v>1.75</v>
      </c>
      <c r="E3148" s="4" t="n">
        <v>4000</v>
      </c>
      <c r="F3148" s="4" t="n">
        <v>7000</v>
      </c>
    </row>
    <row r="3149">
      <c r="A3149" s="3" t="inlineStr">
        <is>
          <t>2</t>
        </is>
      </c>
      <c r="B3149" s="3" t="inlineStr">
        <is>
          <t>Semen portland (PC)</t>
        </is>
      </c>
      <c r="C3149" s="3" t="inlineStr">
        <is>
          <t>kg</t>
        </is>
      </c>
      <c r="D3149" s="15" t="n">
        <v>1.704</v>
      </c>
      <c r="E3149" s="4" t="n">
        <v>1300</v>
      </c>
      <c r="F3149" s="4" t="n">
        <v>2215.2</v>
      </c>
    </row>
    <row r="3150">
      <c r="A3150" s="3" t="inlineStr">
        <is>
          <t>3</t>
        </is>
      </c>
      <c r="B3150" s="3" t="inlineStr">
        <is>
          <t>Semen warna</t>
        </is>
      </c>
      <c r="C3150" s="3" t="inlineStr">
        <is>
          <t>kg</t>
        </is>
      </c>
      <c r="D3150" s="15" t="n">
        <v>0.188</v>
      </c>
      <c r="E3150" s="4" t="n">
        <v>7800</v>
      </c>
      <c r="F3150" s="4" t="n">
        <v>1466.4</v>
      </c>
    </row>
    <row r="3151">
      <c r="A3151" s="3" t="inlineStr">
        <is>
          <t>4</t>
        </is>
      </c>
      <c r="B3151" s="3" t="inlineStr">
        <is>
          <t>Pasir pasang (quarry - lokasi pekerjaan)</t>
        </is>
      </c>
      <c r="C3151" s="3" t="inlineStr">
        <is>
          <t>m3</t>
        </is>
      </c>
      <c r="D3151" s="15" t="n">
        <v>0.003</v>
      </c>
      <c r="E3151" s="4" t="n">
        <v>275000</v>
      </c>
      <c r="F3151" s="4" t="n">
        <v>825</v>
      </c>
    </row>
    <row r="3152">
      <c r="D3152" s="2" t="inlineStr">
        <is>
          <t>SUBTOTAL UPAH</t>
        </is>
      </c>
      <c r="F3152" s="16" t="n">
        <v>13186.5</v>
      </c>
    </row>
    <row r="3153">
      <c r="D3153" s="2" t="inlineStr">
        <is>
          <t>SUBTOTAL BAHAN</t>
        </is>
      </c>
      <c r="F3153" s="16" t="n">
        <v>11506.6</v>
      </c>
    </row>
    <row r="3154">
      <c r="D3154" s="2" t="inlineStr">
        <is>
          <t>SUBTOTAL ALAT</t>
        </is>
      </c>
      <c r="F3154" s="16" t="n">
        <v>0</v>
      </c>
    </row>
    <row r="3155">
      <c r="E3155" s="2" t="inlineStr">
        <is>
          <t>TOTAL HARGA SATUAN (Inc. Overhead)</t>
        </is>
      </c>
      <c r="F3155" s="17" t="n">
        <v>27162</v>
      </c>
    </row>
    <row r="3157">
      <c r="A3157" s="14" t="inlineStr">
        <is>
          <t>KODE: 3.9.7.1 - Pemasangan 1 m2 lantai keramik artistik uk. 8x8 cm (1SP : 2PP)</t>
        </is>
      </c>
    </row>
    <row r="3158">
      <c r="A3158" s="10" t="inlineStr">
        <is>
          <t>No</t>
        </is>
      </c>
      <c r="B3158" s="10" t="inlineStr">
        <is>
          <t>Uraian Komponen</t>
        </is>
      </c>
      <c r="C3158" s="10" t="inlineStr">
        <is>
          <t>Satuan</t>
        </is>
      </c>
      <c r="D3158" s="10" t="inlineStr">
        <is>
          <t>Koef</t>
        </is>
      </c>
      <c r="E3158" s="10" t="inlineStr">
        <is>
          <t>Harga Satuan (Rp)</t>
        </is>
      </c>
      <c r="F3158" s="10" t="inlineStr">
        <is>
          <t>Jumlah Harga (Rp)</t>
        </is>
      </c>
    </row>
    <row r="3159">
      <c r="A3159" s="3" t="inlineStr">
        <is>
          <t>1</t>
        </is>
      </c>
      <c r="B3159" s="3" t="inlineStr">
        <is>
          <t>Pekerja</t>
        </is>
      </c>
      <c r="C3159" s="3" t="inlineStr">
        <is>
          <t>OH</t>
        </is>
      </c>
      <c r="D3159" s="15" t="n">
        <v>0.3333</v>
      </c>
      <c r="E3159" s="4" t="n">
        <v>100000</v>
      </c>
      <c r="F3159" s="4" t="n">
        <v>33330</v>
      </c>
    </row>
    <row r="3160">
      <c r="A3160" s="3" t="inlineStr">
        <is>
          <t>2</t>
        </is>
      </c>
      <c r="B3160" s="3" t="inlineStr">
        <is>
          <t>Tukang batu</t>
        </is>
      </c>
      <c r="C3160" s="3" t="inlineStr">
        <is>
          <t>OH</t>
        </is>
      </c>
      <c r="D3160" s="15" t="n">
        <v>0.1667</v>
      </c>
      <c r="E3160" s="4" t="n">
        <v>145000</v>
      </c>
      <c r="F3160" s="4" t="n">
        <v>24171.5</v>
      </c>
    </row>
    <row r="3161">
      <c r="A3161" s="3" t="inlineStr">
        <is>
          <t>3</t>
        </is>
      </c>
      <c r="B3161" s="3" t="inlineStr">
        <is>
          <t>Kepala tukang</t>
        </is>
      </c>
      <c r="C3161" s="3" t="inlineStr">
        <is>
          <t>OH</t>
        </is>
      </c>
      <c r="D3161" s="15" t="n">
        <v>0.0167</v>
      </c>
      <c r="E3161" s="4" t="n">
        <v>175000</v>
      </c>
      <c r="F3161" s="4" t="n">
        <v>2922.5</v>
      </c>
    </row>
    <row r="3162">
      <c r="A3162" s="3" t="inlineStr">
        <is>
          <t>4</t>
        </is>
      </c>
      <c r="B3162" s="3" t="inlineStr">
        <is>
          <t>Mandor</t>
        </is>
      </c>
      <c r="C3162" s="3" t="inlineStr">
        <is>
          <t>OH</t>
        </is>
      </c>
      <c r="D3162" s="15" t="n">
        <v>0.0056</v>
      </c>
      <c r="E3162" s="4" t="n">
        <v>200000</v>
      </c>
      <c r="F3162" s="4" t="n">
        <v>1120</v>
      </c>
    </row>
    <row r="3163">
      <c r="A3163" s="3" t="inlineStr">
        <is>
          <t>1</t>
        </is>
      </c>
      <c r="B3163" s="3" t="inlineStr">
        <is>
          <t>Keramik artistik 8x8 cm</t>
        </is>
      </c>
      <c r="C3163" s="3" t="inlineStr">
        <is>
          <t>buah</t>
        </is>
      </c>
      <c r="D3163" s="15" t="n">
        <v>164.063</v>
      </c>
      <c r="E3163" s="4" t="n">
        <v>1000</v>
      </c>
      <c r="F3163" s="4" t="n">
        <v>164063</v>
      </c>
    </row>
    <row r="3164">
      <c r="A3164" s="3" t="inlineStr">
        <is>
          <t>2</t>
        </is>
      </c>
      <c r="B3164" s="3" t="inlineStr">
        <is>
          <t>Semen portland (PC)</t>
        </is>
      </c>
      <c r="C3164" s="3" t="inlineStr">
        <is>
          <t>kg</t>
        </is>
      </c>
      <c r="D3164" s="15" t="n">
        <v>13.632</v>
      </c>
      <c r="E3164" s="4" t="n">
        <v>1300</v>
      </c>
      <c r="F3164" s="4" t="n">
        <v>17721.6</v>
      </c>
    </row>
    <row r="3165">
      <c r="A3165" s="3" t="inlineStr">
        <is>
          <t>3</t>
        </is>
      </c>
      <c r="B3165" s="3" t="inlineStr">
        <is>
          <t>Semen warna</t>
        </is>
      </c>
      <c r="C3165" s="3" t="inlineStr">
        <is>
          <t>kg</t>
        </is>
      </c>
      <c r="D3165" s="15" t="n">
        <v>1.5</v>
      </c>
      <c r="E3165" s="4" t="n">
        <v>7800</v>
      </c>
      <c r="F3165" s="4" t="n">
        <v>11700</v>
      </c>
    </row>
    <row r="3166">
      <c r="A3166" s="3" t="inlineStr">
        <is>
          <t>4</t>
        </is>
      </c>
      <c r="B3166" s="3" t="inlineStr">
        <is>
          <t>Pasir pasang (quarry - lokasi pekerjaan)</t>
        </is>
      </c>
      <c r="C3166" s="3" t="inlineStr">
        <is>
          <t>m3</t>
        </is>
      </c>
      <c r="D3166" s="15" t="n">
        <v>0.027</v>
      </c>
      <c r="E3166" s="4" t="n">
        <v>275000</v>
      </c>
      <c r="F3166" s="4" t="n">
        <v>7425</v>
      </c>
    </row>
    <row r="3167">
      <c r="D3167" s="2" t="inlineStr">
        <is>
          <t>SUBTOTAL UPAH</t>
        </is>
      </c>
      <c r="F3167" s="16" t="n">
        <v>61544</v>
      </c>
    </row>
    <row r="3168">
      <c r="D3168" s="2" t="inlineStr">
        <is>
          <t>SUBTOTAL BAHAN</t>
        </is>
      </c>
      <c r="F3168" s="16" t="n">
        <v>200909.6</v>
      </c>
    </row>
    <row r="3169">
      <c r="D3169" s="2" t="inlineStr">
        <is>
          <t>SUBTOTAL ALAT</t>
        </is>
      </c>
      <c r="F3169" s="16" t="n">
        <v>0</v>
      </c>
    </row>
    <row r="3170">
      <c r="E3170" s="2" t="inlineStr">
        <is>
          <t>TOTAL HARGA SATUAN (Inc. Overhead)</t>
        </is>
      </c>
      <c r="F3170" s="17" t="n">
        <v>288698</v>
      </c>
    </row>
    <row r="3172">
      <c r="A3172" s="14" t="inlineStr">
        <is>
          <t>KODE: 3.9.7.2 - Pemasangan 1 m2 lantai keramik artistik uk. 10x10 cm (1SP : 2PP)</t>
        </is>
      </c>
    </row>
    <row r="3173">
      <c r="A3173" s="10" t="inlineStr">
        <is>
          <t>No</t>
        </is>
      </c>
      <c r="B3173" s="10" t="inlineStr">
        <is>
          <t>Uraian Komponen</t>
        </is>
      </c>
      <c r="C3173" s="10" t="inlineStr">
        <is>
          <t>Satuan</t>
        </is>
      </c>
      <c r="D3173" s="10" t="inlineStr">
        <is>
          <t>Koef</t>
        </is>
      </c>
      <c r="E3173" s="10" t="inlineStr">
        <is>
          <t>Harga Satuan (Rp)</t>
        </is>
      </c>
      <c r="F3173" s="10" t="inlineStr">
        <is>
          <t>Jumlah Harga (Rp)</t>
        </is>
      </c>
    </row>
    <row r="3174">
      <c r="A3174" s="3" t="inlineStr">
        <is>
          <t>1</t>
        </is>
      </c>
      <c r="B3174" s="3" t="inlineStr">
        <is>
          <t>Pekerja</t>
        </is>
      </c>
      <c r="C3174" s="3" t="inlineStr">
        <is>
          <t>OH</t>
        </is>
      </c>
      <c r="D3174" s="15" t="n">
        <v>0.3333</v>
      </c>
      <c r="E3174" s="4" t="n">
        <v>100000</v>
      </c>
      <c r="F3174" s="4" t="n">
        <v>33330</v>
      </c>
    </row>
    <row r="3175">
      <c r="A3175" s="3" t="inlineStr">
        <is>
          <t>2</t>
        </is>
      </c>
      <c r="B3175" s="3" t="inlineStr">
        <is>
          <t>Tukang batu</t>
        </is>
      </c>
      <c r="C3175" s="3" t="inlineStr">
        <is>
          <t>OH</t>
        </is>
      </c>
      <c r="D3175" s="15" t="n">
        <v>0.1667</v>
      </c>
      <c r="E3175" s="4" t="n">
        <v>145000</v>
      </c>
      <c r="F3175" s="4" t="n">
        <v>24171.5</v>
      </c>
    </row>
    <row r="3176">
      <c r="A3176" s="3" t="inlineStr">
        <is>
          <t>3</t>
        </is>
      </c>
      <c r="B3176" s="3" t="inlineStr">
        <is>
          <t>Kepala tukang</t>
        </is>
      </c>
      <c r="C3176" s="3" t="inlineStr">
        <is>
          <t>OH</t>
        </is>
      </c>
      <c r="D3176" s="15" t="n">
        <v>0.0167</v>
      </c>
      <c r="E3176" s="4" t="n">
        <v>175000</v>
      </c>
      <c r="F3176" s="4" t="n">
        <v>2922.5</v>
      </c>
    </row>
    <row r="3177">
      <c r="A3177" s="3" t="inlineStr">
        <is>
          <t>4</t>
        </is>
      </c>
      <c r="B3177" s="3" t="inlineStr">
        <is>
          <t>Mandor</t>
        </is>
      </c>
      <c r="C3177" s="3" t="inlineStr">
        <is>
          <t>OH</t>
        </is>
      </c>
      <c r="D3177" s="15" t="n">
        <v>0.0056</v>
      </c>
      <c r="E3177" s="4" t="n">
        <v>200000</v>
      </c>
      <c r="F3177" s="4" t="n">
        <v>1120</v>
      </c>
    </row>
    <row r="3178">
      <c r="A3178" s="3" t="inlineStr">
        <is>
          <t>1</t>
        </is>
      </c>
      <c r="B3178" s="3" t="inlineStr">
        <is>
          <t>Keramik artistik 10x10 cm</t>
        </is>
      </c>
      <c r="C3178" s="3" t="inlineStr">
        <is>
          <t>buah</t>
        </is>
      </c>
      <c r="D3178" s="15" t="n">
        <v>105</v>
      </c>
      <c r="E3178" s="4" t="n">
        <v>1500</v>
      </c>
      <c r="F3178" s="4" t="n">
        <v>157500</v>
      </c>
    </row>
    <row r="3179">
      <c r="A3179" s="3" t="inlineStr">
        <is>
          <t>2</t>
        </is>
      </c>
      <c r="B3179" s="3" t="inlineStr">
        <is>
          <t>Semen portland (PC)</t>
        </is>
      </c>
      <c r="C3179" s="3" t="inlineStr">
        <is>
          <t>kg</t>
        </is>
      </c>
      <c r="D3179" s="15" t="n">
        <v>13.632</v>
      </c>
      <c r="E3179" s="4" t="n">
        <v>1300</v>
      </c>
      <c r="F3179" s="4" t="n">
        <v>17721.6</v>
      </c>
    </row>
    <row r="3180">
      <c r="A3180" s="3" t="inlineStr">
        <is>
          <t>3</t>
        </is>
      </c>
      <c r="B3180" s="3" t="inlineStr">
        <is>
          <t>Semen warna</t>
        </is>
      </c>
      <c r="C3180" s="3" t="inlineStr">
        <is>
          <t>kg</t>
        </is>
      </c>
      <c r="D3180" s="15" t="n">
        <v>1.5</v>
      </c>
      <c r="E3180" s="4" t="n">
        <v>7800</v>
      </c>
      <c r="F3180" s="4" t="n">
        <v>11700</v>
      </c>
    </row>
    <row r="3181">
      <c r="A3181" s="3" t="inlineStr">
        <is>
          <t>4</t>
        </is>
      </c>
      <c r="B3181" s="3" t="inlineStr">
        <is>
          <t>Pasir pasang (quarry - lokasi pekerjaan)</t>
        </is>
      </c>
      <c r="C3181" s="3" t="inlineStr">
        <is>
          <t>m3</t>
        </is>
      </c>
      <c r="D3181" s="15" t="n">
        <v>0.027</v>
      </c>
      <c r="E3181" s="4" t="n">
        <v>275000</v>
      </c>
      <c r="F3181" s="4" t="n">
        <v>7425</v>
      </c>
    </row>
    <row r="3182">
      <c r="D3182" s="2" t="inlineStr">
        <is>
          <t>SUBTOTAL UPAH</t>
        </is>
      </c>
      <c r="F3182" s="16" t="n">
        <v>61544</v>
      </c>
    </row>
    <row r="3183">
      <c r="D3183" s="2" t="inlineStr">
        <is>
          <t>SUBTOTAL BAHAN</t>
        </is>
      </c>
      <c r="F3183" s="16" t="n">
        <v>194346.6</v>
      </c>
    </row>
    <row r="3184">
      <c r="D3184" s="2" t="inlineStr">
        <is>
          <t>SUBTOTAL ALAT</t>
        </is>
      </c>
      <c r="F3184" s="16" t="n">
        <v>0</v>
      </c>
    </row>
    <row r="3185">
      <c r="E3185" s="2" t="inlineStr">
        <is>
          <t>TOTAL HARGA SATUAN (Inc. Overhead)</t>
        </is>
      </c>
      <c r="F3185" s="17" t="n">
        <v>281479</v>
      </c>
    </row>
    <row r="3187">
      <c r="A3187" s="14" t="inlineStr">
        <is>
          <t>KODE: 3.9.7.3 - Pemasangan 1 m2 lantai keramik artistik uk. 20x20 cm (1SP : 2PP)</t>
        </is>
      </c>
    </row>
    <row r="3188">
      <c r="A3188" s="10" t="inlineStr">
        <is>
          <t>No</t>
        </is>
      </c>
      <c r="B3188" s="10" t="inlineStr">
        <is>
          <t>Uraian Komponen</t>
        </is>
      </c>
      <c r="C3188" s="10" t="inlineStr">
        <is>
          <t>Satuan</t>
        </is>
      </c>
      <c r="D3188" s="10" t="inlineStr">
        <is>
          <t>Koef</t>
        </is>
      </c>
      <c r="E3188" s="10" t="inlineStr">
        <is>
          <t>Harga Satuan (Rp)</t>
        </is>
      </c>
      <c r="F3188" s="10" t="inlineStr">
        <is>
          <t>Jumlah Harga (Rp)</t>
        </is>
      </c>
    </row>
    <row r="3189">
      <c r="A3189" s="3" t="inlineStr">
        <is>
          <t>1</t>
        </is>
      </c>
      <c r="B3189" s="3" t="inlineStr">
        <is>
          <t>Pekerja</t>
        </is>
      </c>
      <c r="C3189" s="3" t="inlineStr">
        <is>
          <t>OH</t>
        </is>
      </c>
      <c r="D3189" s="15" t="n">
        <v>0.7</v>
      </c>
      <c r="E3189" s="4" t="n">
        <v>100000</v>
      </c>
      <c r="F3189" s="4" t="n">
        <v>70000</v>
      </c>
    </row>
    <row r="3190">
      <c r="A3190" s="3" t="inlineStr">
        <is>
          <t>2</t>
        </is>
      </c>
      <c r="B3190" s="3" t="inlineStr">
        <is>
          <t>Tukang batu</t>
        </is>
      </c>
      <c r="C3190" s="3" t="inlineStr">
        <is>
          <t>OH</t>
        </is>
      </c>
      <c r="D3190" s="15" t="n">
        <v>0.35</v>
      </c>
      <c r="E3190" s="4" t="n">
        <v>145000</v>
      </c>
      <c r="F3190" s="4" t="n">
        <v>50750</v>
      </c>
    </row>
    <row r="3191">
      <c r="A3191" s="3" t="inlineStr">
        <is>
          <t>3</t>
        </is>
      </c>
      <c r="B3191" s="3" t="inlineStr">
        <is>
          <t>Kepala tukang</t>
        </is>
      </c>
      <c r="C3191" s="3" t="inlineStr">
        <is>
          <t>OH</t>
        </is>
      </c>
      <c r="D3191" s="15" t="n">
        <v>0.035</v>
      </c>
      <c r="E3191" s="4" t="n">
        <v>175000</v>
      </c>
      <c r="F3191" s="4" t="n">
        <v>6125.000000000001</v>
      </c>
    </row>
    <row r="3192">
      <c r="A3192" s="3" t="inlineStr">
        <is>
          <t>4</t>
        </is>
      </c>
      <c r="B3192" s="3" t="inlineStr">
        <is>
          <t>Mandor</t>
        </is>
      </c>
      <c r="C3192" s="3" t="inlineStr">
        <is>
          <t>OH</t>
        </is>
      </c>
      <c r="D3192" s="15" t="n">
        <v>0.0117</v>
      </c>
      <c r="E3192" s="4" t="n">
        <v>200000</v>
      </c>
      <c r="F3192" s="4" t="n">
        <v>2340</v>
      </c>
    </row>
    <row r="3193">
      <c r="A3193" s="3" t="inlineStr">
        <is>
          <t>1</t>
        </is>
      </c>
      <c r="B3193" s="3" t="inlineStr">
        <is>
          <t>Keramik artistik 20x20 cm</t>
        </is>
      </c>
      <c r="C3193" s="3" t="inlineStr">
        <is>
          <t>buah</t>
        </is>
      </c>
      <c r="D3193" s="15" t="n">
        <v>26.25</v>
      </c>
      <c r="E3193" s="4" t="n">
        <v>2000</v>
      </c>
      <c r="F3193" s="4" t="n">
        <v>52500</v>
      </c>
    </row>
    <row r="3194">
      <c r="A3194" s="3" t="inlineStr">
        <is>
          <t>2</t>
        </is>
      </c>
      <c r="B3194" s="3" t="inlineStr">
        <is>
          <t>Semen portland (pc)</t>
        </is>
      </c>
      <c r="C3194" s="3" t="inlineStr">
        <is>
          <t>kg</t>
        </is>
      </c>
      <c r="D3194" s="15" t="n">
        <v>13.632</v>
      </c>
      <c r="E3194" s="4" t="n">
        <v>1300</v>
      </c>
      <c r="F3194" s="4" t="n">
        <v>17721.6</v>
      </c>
    </row>
    <row r="3195">
      <c r="A3195" s="3" t="inlineStr">
        <is>
          <t>3</t>
        </is>
      </c>
      <c r="B3195" s="3" t="inlineStr">
        <is>
          <t>Semen warna</t>
        </is>
      </c>
      <c r="C3195" s="3" t="inlineStr">
        <is>
          <t>kg</t>
        </is>
      </c>
      <c r="D3195" s="15" t="n">
        <v>1.5</v>
      </c>
      <c r="E3195" s="4" t="n">
        <v>7800</v>
      </c>
      <c r="F3195" s="4" t="n">
        <v>11700</v>
      </c>
    </row>
    <row r="3196">
      <c r="A3196" s="3" t="inlineStr">
        <is>
          <t>4</t>
        </is>
      </c>
      <c r="B3196" s="3" t="inlineStr">
        <is>
          <t>Pasir pasang (quarry - lokasi pekerjaan)</t>
        </is>
      </c>
      <c r="C3196" s="3" t="inlineStr">
        <is>
          <t>m3</t>
        </is>
      </c>
      <c r="D3196" s="15" t="n">
        <v>0.027</v>
      </c>
      <c r="E3196" s="4" t="n">
        <v>275000</v>
      </c>
      <c r="F3196" s="4" t="n">
        <v>7425</v>
      </c>
    </row>
    <row r="3197">
      <c r="D3197" s="2" t="inlineStr">
        <is>
          <t>SUBTOTAL UPAH</t>
        </is>
      </c>
      <c r="F3197" s="16" t="n">
        <v>129215</v>
      </c>
    </row>
    <row r="3198">
      <c r="D3198" s="2" t="inlineStr">
        <is>
          <t>SUBTOTAL BAHAN</t>
        </is>
      </c>
      <c r="F3198" s="16" t="n">
        <v>89346.60000000001</v>
      </c>
    </row>
    <row r="3199">
      <c r="D3199" s="2" t="inlineStr">
        <is>
          <t>SUBTOTAL ALAT</t>
        </is>
      </c>
      <c r="F3199" s="16" t="n">
        <v>0</v>
      </c>
    </row>
    <row r="3200">
      <c r="E3200" s="2" t="inlineStr">
        <is>
          <t>TOTAL HARGA SATUAN (Inc. Overhead)</t>
        </is>
      </c>
      <c r="F3200" s="17" t="n">
        <v>240417</v>
      </c>
    </row>
    <row r="3202">
      <c r="A3202" s="14" t="inlineStr">
        <is>
          <t>KODE: 3.9.7.4 - Pemasangan 1 m2 lantai keramik artistik uk. 30x30 cm (1SP : 2PP)</t>
        </is>
      </c>
    </row>
    <row r="3203">
      <c r="A3203" s="10" t="inlineStr">
        <is>
          <t>No</t>
        </is>
      </c>
      <c r="B3203" s="10" t="inlineStr">
        <is>
          <t>Uraian Komponen</t>
        </is>
      </c>
      <c r="C3203" s="10" t="inlineStr">
        <is>
          <t>Satuan</t>
        </is>
      </c>
      <c r="D3203" s="10" t="inlineStr">
        <is>
          <t>Koef</t>
        </is>
      </c>
      <c r="E3203" s="10" t="inlineStr">
        <is>
          <t>Harga Satuan (Rp)</t>
        </is>
      </c>
      <c r="F3203" s="10" t="inlineStr">
        <is>
          <t>Jumlah Harga (Rp)</t>
        </is>
      </c>
    </row>
    <row r="3204">
      <c r="A3204" s="3" t="inlineStr">
        <is>
          <t>1</t>
        </is>
      </c>
      <c r="B3204" s="3" t="inlineStr">
        <is>
          <t>Pekerja</t>
        </is>
      </c>
      <c r="C3204" s="3" t="inlineStr">
        <is>
          <t>OH</t>
        </is>
      </c>
      <c r="D3204" s="15" t="n">
        <v>0.7</v>
      </c>
      <c r="E3204" s="4" t="n">
        <v>100000</v>
      </c>
      <c r="F3204" s="4" t="n">
        <v>70000</v>
      </c>
    </row>
    <row r="3205">
      <c r="A3205" s="3" t="inlineStr">
        <is>
          <t>2</t>
        </is>
      </c>
      <c r="B3205" s="3" t="inlineStr">
        <is>
          <t>Tukang batu</t>
        </is>
      </c>
      <c r="C3205" s="3" t="inlineStr">
        <is>
          <t>OH</t>
        </is>
      </c>
      <c r="D3205" s="15" t="n">
        <v>0.35</v>
      </c>
      <c r="E3205" s="4" t="n">
        <v>145000</v>
      </c>
      <c r="F3205" s="4" t="n">
        <v>50750</v>
      </c>
    </row>
    <row r="3206">
      <c r="A3206" s="3" t="inlineStr">
        <is>
          <t>3</t>
        </is>
      </c>
      <c r="B3206" s="3" t="inlineStr">
        <is>
          <t>Kepala tukang</t>
        </is>
      </c>
      <c r="C3206" s="3" t="inlineStr">
        <is>
          <t>OH</t>
        </is>
      </c>
      <c r="D3206" s="15" t="n">
        <v>0.035</v>
      </c>
      <c r="E3206" s="4" t="n">
        <v>175000</v>
      </c>
      <c r="F3206" s="4" t="n">
        <v>6125.000000000001</v>
      </c>
    </row>
    <row r="3207">
      <c r="A3207" s="3" t="inlineStr">
        <is>
          <t>4</t>
        </is>
      </c>
      <c r="B3207" s="3" t="inlineStr">
        <is>
          <t>Mandor</t>
        </is>
      </c>
      <c r="C3207" s="3" t="inlineStr">
        <is>
          <t>OH</t>
        </is>
      </c>
      <c r="D3207" s="15" t="n">
        <v>0.0117</v>
      </c>
      <c r="E3207" s="4" t="n">
        <v>200000</v>
      </c>
      <c r="F3207" s="4" t="n">
        <v>2340</v>
      </c>
    </row>
    <row r="3208">
      <c r="A3208" s="3" t="inlineStr">
        <is>
          <t>1</t>
        </is>
      </c>
      <c r="B3208" s="3" t="inlineStr">
        <is>
          <t>Keramik artistik 30x30 cm</t>
        </is>
      </c>
      <c r="C3208" s="3" t="inlineStr">
        <is>
          <t>buah</t>
        </is>
      </c>
      <c r="D3208" s="15" t="n">
        <v>11.667</v>
      </c>
      <c r="E3208" s="4" t="n">
        <v>3000</v>
      </c>
      <c r="F3208" s="4" t="n">
        <v>35001</v>
      </c>
    </row>
    <row r="3209">
      <c r="A3209" s="3" t="inlineStr">
        <is>
          <t>2</t>
        </is>
      </c>
      <c r="B3209" s="3" t="inlineStr">
        <is>
          <t>Semen portland (pc)</t>
        </is>
      </c>
      <c r="C3209" s="3" t="inlineStr">
        <is>
          <t>kg</t>
        </is>
      </c>
      <c r="D3209" s="15" t="n">
        <v>13.632</v>
      </c>
      <c r="E3209" s="4" t="n">
        <v>1300</v>
      </c>
      <c r="F3209" s="4" t="n">
        <v>17721.6</v>
      </c>
    </row>
    <row r="3210">
      <c r="A3210" s="3" t="inlineStr">
        <is>
          <t>3</t>
        </is>
      </c>
      <c r="B3210" s="3" t="inlineStr">
        <is>
          <t>Semen warna</t>
        </is>
      </c>
      <c r="C3210" s="3" t="inlineStr">
        <is>
          <t>kg</t>
        </is>
      </c>
      <c r="D3210" s="15" t="n">
        <v>1.5</v>
      </c>
      <c r="E3210" s="4" t="n">
        <v>7800</v>
      </c>
      <c r="F3210" s="4" t="n">
        <v>11700</v>
      </c>
    </row>
    <row r="3211">
      <c r="A3211" s="3" t="inlineStr">
        <is>
          <t>4</t>
        </is>
      </c>
      <c r="B3211" s="3" t="inlineStr">
        <is>
          <t>Pasir pasang (quarry - lokasi pekerjaan)</t>
        </is>
      </c>
      <c r="C3211" s="3" t="inlineStr">
        <is>
          <t>m3</t>
        </is>
      </c>
      <c r="D3211" s="15" t="n">
        <v>0.027</v>
      </c>
      <c r="E3211" s="4" t="n">
        <v>275000</v>
      </c>
      <c r="F3211" s="4" t="n">
        <v>7425</v>
      </c>
    </row>
    <row r="3212">
      <c r="D3212" s="2" t="inlineStr">
        <is>
          <t>SUBTOTAL UPAH</t>
        </is>
      </c>
      <c r="F3212" s="16" t="n">
        <v>129215</v>
      </c>
    </row>
    <row r="3213">
      <c r="D3213" s="2" t="inlineStr">
        <is>
          <t>SUBTOTAL BAHAN</t>
        </is>
      </c>
      <c r="F3213" s="16" t="n">
        <v>71847.60000000001</v>
      </c>
    </row>
    <row r="3214">
      <c r="D3214" s="2" t="inlineStr">
        <is>
          <t>SUBTOTAL ALAT</t>
        </is>
      </c>
      <c r="F3214" s="16" t="n">
        <v>0</v>
      </c>
    </row>
    <row r="3215">
      <c r="E3215" s="2" t="inlineStr">
        <is>
          <t>TOTAL HARGA SATUAN (Inc. Overhead)</t>
        </is>
      </c>
      <c r="F3215" s="17" t="n">
        <v>221168</v>
      </c>
    </row>
    <row r="3217">
      <c r="A3217" s="14" t="inlineStr">
        <is>
          <t>KODE: 3.9.7.5 - Pemasangan 1 m2 lantai keramik artistik uk. 40x40 cm (1SP : 2PP)</t>
        </is>
      </c>
    </row>
    <row r="3218">
      <c r="A3218" s="10" t="inlineStr">
        <is>
          <t>No</t>
        </is>
      </c>
      <c r="B3218" s="10" t="inlineStr">
        <is>
          <t>Uraian Komponen</t>
        </is>
      </c>
      <c r="C3218" s="10" t="inlineStr">
        <is>
          <t>Satuan</t>
        </is>
      </c>
      <c r="D3218" s="10" t="inlineStr">
        <is>
          <t>Koef</t>
        </is>
      </c>
      <c r="E3218" s="10" t="inlineStr">
        <is>
          <t>Harga Satuan (Rp)</t>
        </is>
      </c>
      <c r="F3218" s="10" t="inlineStr">
        <is>
          <t>Jumlah Harga (Rp)</t>
        </is>
      </c>
    </row>
    <row r="3219">
      <c r="A3219" s="3" t="inlineStr">
        <is>
          <t>1</t>
        </is>
      </c>
      <c r="B3219" s="3" t="inlineStr">
        <is>
          <t>Pekerja</t>
        </is>
      </c>
      <c r="C3219" s="3" t="inlineStr">
        <is>
          <t>OH</t>
        </is>
      </c>
      <c r="D3219" s="15" t="n">
        <v>0.7</v>
      </c>
      <c r="E3219" s="4" t="n">
        <v>100000</v>
      </c>
      <c r="F3219" s="4" t="n">
        <v>70000</v>
      </c>
    </row>
    <row r="3220">
      <c r="A3220" s="3" t="inlineStr">
        <is>
          <t>2</t>
        </is>
      </c>
      <c r="B3220" s="3" t="inlineStr">
        <is>
          <t>Tukang batu</t>
        </is>
      </c>
      <c r="C3220" s="3" t="inlineStr">
        <is>
          <t>OH</t>
        </is>
      </c>
      <c r="D3220" s="15" t="n">
        <v>0.35</v>
      </c>
      <c r="E3220" s="4" t="n">
        <v>145000</v>
      </c>
      <c r="F3220" s="4" t="n">
        <v>50750</v>
      </c>
    </row>
    <row r="3221">
      <c r="A3221" s="3" t="inlineStr">
        <is>
          <t>3</t>
        </is>
      </c>
      <c r="B3221" s="3" t="inlineStr">
        <is>
          <t>Kepala tukang</t>
        </is>
      </c>
      <c r="C3221" s="3" t="inlineStr">
        <is>
          <t>OH</t>
        </is>
      </c>
      <c r="D3221" s="15" t="n">
        <v>0.035</v>
      </c>
      <c r="E3221" s="4" t="n">
        <v>175000</v>
      </c>
      <c r="F3221" s="4" t="n">
        <v>6125.000000000001</v>
      </c>
    </row>
    <row r="3222">
      <c r="A3222" s="3" t="inlineStr">
        <is>
          <t>4</t>
        </is>
      </c>
      <c r="B3222" s="3" t="inlineStr">
        <is>
          <t>Mandor</t>
        </is>
      </c>
      <c r="C3222" s="3" t="inlineStr">
        <is>
          <t>OH</t>
        </is>
      </c>
      <c r="D3222" s="15" t="n">
        <v>0.0117</v>
      </c>
      <c r="E3222" s="4" t="n">
        <v>200000</v>
      </c>
      <c r="F3222" s="4" t="n">
        <v>2340</v>
      </c>
    </row>
    <row r="3223">
      <c r="A3223" s="3" t="inlineStr">
        <is>
          <t>1</t>
        </is>
      </c>
      <c r="B3223" s="3" t="inlineStr">
        <is>
          <t>Keramik artistik 40x40 cm</t>
        </is>
      </c>
      <c r="C3223" s="3" t="inlineStr">
        <is>
          <t>buah</t>
        </is>
      </c>
      <c r="D3223" s="15" t="n">
        <v>6.563</v>
      </c>
      <c r="E3223" s="4" t="n">
        <v>4000</v>
      </c>
      <c r="F3223" s="4" t="n">
        <v>26252</v>
      </c>
    </row>
    <row r="3224">
      <c r="A3224" s="3" t="inlineStr">
        <is>
          <t>2</t>
        </is>
      </c>
      <c r="B3224" s="3" t="inlineStr">
        <is>
          <t>Semen portland (pc)</t>
        </is>
      </c>
      <c r="C3224" s="3" t="inlineStr">
        <is>
          <t>kg</t>
        </is>
      </c>
      <c r="D3224" s="15" t="n">
        <v>13.632</v>
      </c>
      <c r="E3224" s="4" t="n">
        <v>1300</v>
      </c>
      <c r="F3224" s="4" t="n">
        <v>17721.6</v>
      </c>
    </row>
    <row r="3225">
      <c r="A3225" s="3" t="inlineStr">
        <is>
          <t>3</t>
        </is>
      </c>
      <c r="B3225" s="3" t="inlineStr">
        <is>
          <t>Semen warna</t>
        </is>
      </c>
      <c r="C3225" s="3" t="inlineStr">
        <is>
          <t>kg</t>
        </is>
      </c>
      <c r="D3225" s="15" t="n">
        <v>1.5</v>
      </c>
      <c r="E3225" s="4" t="n">
        <v>7800</v>
      </c>
      <c r="F3225" s="4" t="n">
        <v>11700</v>
      </c>
    </row>
    <row r="3226">
      <c r="A3226" s="3" t="inlineStr">
        <is>
          <t>4</t>
        </is>
      </c>
      <c r="B3226" s="3" t="inlineStr">
        <is>
          <t>Pasir pasang (quarry - lokasi pekerjaan)</t>
        </is>
      </c>
      <c r="C3226" s="3" t="inlineStr">
        <is>
          <t>m3</t>
        </is>
      </c>
      <c r="D3226" s="15" t="n">
        <v>0.027</v>
      </c>
      <c r="E3226" s="4" t="n">
        <v>275000</v>
      </c>
      <c r="F3226" s="4" t="n">
        <v>7425</v>
      </c>
    </row>
    <row r="3227">
      <c r="D3227" s="2" t="inlineStr">
        <is>
          <t>SUBTOTAL UPAH</t>
        </is>
      </c>
      <c r="F3227" s="16" t="n">
        <v>129215</v>
      </c>
    </row>
    <row r="3228">
      <c r="D3228" s="2" t="inlineStr">
        <is>
          <t>SUBTOTAL BAHAN</t>
        </is>
      </c>
      <c r="F3228" s="16" t="n">
        <v>63098.6</v>
      </c>
    </row>
    <row r="3229">
      <c r="D3229" s="2" t="inlineStr">
        <is>
          <t>SUBTOTAL ALAT</t>
        </is>
      </c>
      <c r="F3229" s="16" t="n">
        <v>0</v>
      </c>
    </row>
    <row r="3230">
      <c r="E3230" s="2" t="inlineStr">
        <is>
          <t>TOTAL HARGA SATUAN (Inc. Overhead)</t>
        </is>
      </c>
      <c r="F3230" s="17" t="n">
        <v>211544</v>
      </c>
    </row>
    <row r="3232">
      <c r="A3232" s="14" t="inlineStr">
        <is>
          <t>KODE: 3.9.7.6 - Pemasangan 1 m' plint internal cove artistik uk. 5x5x20 cm (1SP : 2PP)</t>
        </is>
      </c>
    </row>
    <row r="3233">
      <c r="A3233" s="10" t="inlineStr">
        <is>
          <t>No</t>
        </is>
      </c>
      <c r="B3233" s="10" t="inlineStr">
        <is>
          <t>Uraian Komponen</t>
        </is>
      </c>
      <c r="C3233" s="10" t="inlineStr">
        <is>
          <t>Satuan</t>
        </is>
      </c>
      <c r="D3233" s="10" t="inlineStr">
        <is>
          <t>Koef</t>
        </is>
      </c>
      <c r="E3233" s="10" t="inlineStr">
        <is>
          <t>Harga Satuan (Rp)</t>
        </is>
      </c>
      <c r="F3233" s="10" t="inlineStr">
        <is>
          <t>Jumlah Harga (Rp)</t>
        </is>
      </c>
    </row>
    <row r="3234">
      <c r="A3234" s="3" t="inlineStr">
        <is>
          <t>1</t>
        </is>
      </c>
      <c r="B3234" s="3" t="inlineStr">
        <is>
          <t>Pekerja</t>
        </is>
      </c>
      <c r="C3234" s="3" t="inlineStr">
        <is>
          <t>OH</t>
        </is>
      </c>
      <c r="D3234" s="15" t="n">
        <v>0.75</v>
      </c>
      <c r="E3234" s="4" t="n">
        <v>100000</v>
      </c>
      <c r="F3234" s="4" t="n">
        <v>75000</v>
      </c>
    </row>
    <row r="3235">
      <c r="A3235" s="3" t="inlineStr">
        <is>
          <t>2</t>
        </is>
      </c>
      <c r="B3235" s="3" t="inlineStr">
        <is>
          <t>Tukang batu</t>
        </is>
      </c>
      <c r="C3235" s="3" t="inlineStr">
        <is>
          <t>OH</t>
        </is>
      </c>
      <c r="D3235" s="15" t="n">
        <v>0.75</v>
      </c>
      <c r="E3235" s="4" t="n">
        <v>145000</v>
      </c>
      <c r="F3235" s="4" t="n">
        <v>108750</v>
      </c>
    </row>
    <row r="3236">
      <c r="A3236" s="3" t="inlineStr">
        <is>
          <t>3</t>
        </is>
      </c>
      <c r="B3236" s="3" t="inlineStr">
        <is>
          <t>Kepala tukang</t>
        </is>
      </c>
      <c r="C3236" s="3" t="inlineStr">
        <is>
          <t>OH</t>
        </is>
      </c>
      <c r="D3236" s="15" t="n">
        <v>0.075</v>
      </c>
      <c r="E3236" s="4" t="n">
        <v>175000</v>
      </c>
      <c r="F3236" s="4" t="n">
        <v>13125</v>
      </c>
    </row>
    <row r="3237">
      <c r="A3237" s="3" t="inlineStr">
        <is>
          <t>4</t>
        </is>
      </c>
      <c r="B3237" s="3" t="inlineStr">
        <is>
          <t>Mandor</t>
        </is>
      </c>
      <c r="C3237" s="3" t="inlineStr">
        <is>
          <t>OH</t>
        </is>
      </c>
      <c r="D3237" s="15" t="n">
        <v>0.025</v>
      </c>
      <c r="E3237" s="4" t="n">
        <v>200000</v>
      </c>
      <c r="F3237" s="4" t="n">
        <v>5000</v>
      </c>
    </row>
    <row r="3238">
      <c r="A3238" s="3" t="inlineStr">
        <is>
          <t>1</t>
        </is>
      </c>
      <c r="B3238" s="3" t="inlineStr">
        <is>
          <t>Plint internal cove uk. 5x5x20 cm</t>
        </is>
      </c>
      <c r="C3238" s="3" t="inlineStr">
        <is>
          <t>buah</t>
        </is>
      </c>
      <c r="D3238" s="15" t="n">
        <v>5.3</v>
      </c>
      <c r="E3238" s="4" t="n">
        <v>5000</v>
      </c>
      <c r="F3238" s="4" t="n">
        <v>26500</v>
      </c>
    </row>
    <row r="3239">
      <c r="A3239" s="3" t="inlineStr">
        <is>
          <t>2</t>
        </is>
      </c>
      <c r="B3239" s="3" t="inlineStr">
        <is>
          <t>Semen portland (pc)</t>
        </is>
      </c>
      <c r="C3239" s="3" t="inlineStr">
        <is>
          <t>kg</t>
        </is>
      </c>
      <c r="D3239" s="15" t="n">
        <v>1.704</v>
      </c>
      <c r="E3239" s="4" t="n">
        <v>1300</v>
      </c>
      <c r="F3239" s="4" t="n">
        <v>2215.2</v>
      </c>
    </row>
    <row r="3240">
      <c r="A3240" s="3" t="inlineStr">
        <is>
          <t>3</t>
        </is>
      </c>
      <c r="B3240" s="3" t="inlineStr">
        <is>
          <t>Semen warna</t>
        </is>
      </c>
      <c r="C3240" s="3" t="inlineStr">
        <is>
          <t>kg</t>
        </is>
      </c>
      <c r="D3240" s="15" t="n">
        <v>0.188</v>
      </c>
      <c r="E3240" s="4" t="n">
        <v>7800</v>
      </c>
      <c r="F3240" s="4" t="n">
        <v>1466.4</v>
      </c>
    </row>
    <row r="3241">
      <c r="A3241" s="3" t="inlineStr">
        <is>
          <t>4</t>
        </is>
      </c>
      <c r="B3241" s="3" t="inlineStr">
        <is>
          <t>Pasir pasang (quarry - lokasi pekerjaan)</t>
        </is>
      </c>
      <c r="C3241" s="3" t="inlineStr">
        <is>
          <t>m3</t>
        </is>
      </c>
      <c r="D3241" s="15" t="n">
        <v>0.003</v>
      </c>
      <c r="E3241" s="4" t="n">
        <v>275000</v>
      </c>
      <c r="F3241" s="4" t="n">
        <v>825</v>
      </c>
    </row>
    <row r="3242">
      <c r="D3242" s="2" t="inlineStr">
        <is>
          <t>SUBTOTAL UPAH</t>
        </is>
      </c>
      <c r="F3242" s="16" t="n">
        <v>201875</v>
      </c>
    </row>
    <row r="3243">
      <c r="D3243" s="2" t="inlineStr">
        <is>
          <t>SUBTOTAL BAHAN</t>
        </is>
      </c>
      <c r="F3243" s="16" t="n">
        <v>31006.6</v>
      </c>
    </row>
    <row r="3244">
      <c r="D3244" s="2" t="inlineStr">
        <is>
          <t>SUBTOTAL ALAT</t>
        </is>
      </c>
      <c r="F3244" s="16" t="n">
        <v>0</v>
      </c>
    </row>
    <row r="3245">
      <c r="E3245" s="2" t="inlineStr">
        <is>
          <t>TOTAL HARGA SATUAN (Inc. Overhead)</t>
        </is>
      </c>
      <c r="F3245" s="17" t="n">
        <v>256169</v>
      </c>
    </row>
    <row r="3247">
      <c r="A3247" s="14" t="inlineStr">
        <is>
          <t>KODE: 3.9.8.1 - Pemasangan 1 m2 lantai keramik uk. 20x20 cm (1SP : 2PP) Polished</t>
        </is>
      </c>
    </row>
    <row r="3248">
      <c r="A3248" s="10" t="inlineStr">
        <is>
          <t>No</t>
        </is>
      </c>
      <c r="B3248" s="10" t="inlineStr">
        <is>
          <t>Uraian Komponen</t>
        </is>
      </c>
      <c r="C3248" s="10" t="inlineStr">
        <is>
          <t>Satuan</t>
        </is>
      </c>
      <c r="D3248" s="10" t="inlineStr">
        <is>
          <t>Koef</t>
        </is>
      </c>
      <c r="E3248" s="10" t="inlineStr">
        <is>
          <t>Harga Satuan (Rp)</t>
        </is>
      </c>
      <c r="F3248" s="10" t="inlineStr">
        <is>
          <t>Jumlah Harga (Rp)</t>
        </is>
      </c>
    </row>
    <row r="3249">
      <c r="A3249" s="3" t="inlineStr">
        <is>
          <t>1</t>
        </is>
      </c>
      <c r="B3249" s="3" t="inlineStr">
        <is>
          <t>Pekerja</t>
        </is>
      </c>
      <c r="C3249" s="3" t="inlineStr">
        <is>
          <t>OH</t>
        </is>
      </c>
      <c r="D3249" s="15" t="n">
        <v>0.1333</v>
      </c>
      <c r="E3249" s="4" t="n">
        <v>100000</v>
      </c>
      <c r="F3249" s="4" t="n">
        <v>13330</v>
      </c>
    </row>
    <row r="3250">
      <c r="A3250" s="3" t="inlineStr">
        <is>
          <t>2</t>
        </is>
      </c>
      <c r="B3250" s="3" t="inlineStr">
        <is>
          <t>Tukang batu</t>
        </is>
      </c>
      <c r="C3250" s="3" t="inlineStr">
        <is>
          <t>OH</t>
        </is>
      </c>
      <c r="D3250" s="15" t="n">
        <v>0.0667</v>
      </c>
      <c r="E3250" s="4" t="n">
        <v>145000</v>
      </c>
      <c r="F3250" s="4" t="n">
        <v>9671.5</v>
      </c>
    </row>
    <row r="3251">
      <c r="A3251" s="3" t="inlineStr">
        <is>
          <t>3</t>
        </is>
      </c>
      <c r="B3251" s="3" t="inlineStr">
        <is>
          <t>Kepala tukang</t>
        </is>
      </c>
      <c r="C3251" s="3" t="inlineStr">
        <is>
          <t>OH</t>
        </is>
      </c>
      <c r="D3251" s="15" t="n">
        <v>0.0067</v>
      </c>
      <c r="E3251" s="4" t="n">
        <v>175000</v>
      </c>
      <c r="F3251" s="4" t="n">
        <v>1172.5</v>
      </c>
    </row>
    <row r="3252">
      <c r="A3252" s="3" t="inlineStr">
        <is>
          <t>4</t>
        </is>
      </c>
      <c r="B3252" s="3" t="inlineStr">
        <is>
          <t>Mandor</t>
        </is>
      </c>
      <c r="C3252" s="3" t="inlineStr">
        <is>
          <t>OH</t>
        </is>
      </c>
      <c r="D3252" s="15" t="n">
        <v>0.0022</v>
      </c>
      <c r="E3252" s="4" t="n">
        <v>200000</v>
      </c>
      <c r="F3252" s="4" t="n">
        <v>440</v>
      </c>
    </row>
    <row r="3253">
      <c r="A3253" s="3" t="inlineStr">
        <is>
          <t>1</t>
        </is>
      </c>
      <c r="B3253" s="3" t="inlineStr">
        <is>
          <t>"Keramik Lantai uk. 20 x 20 cm Polished"</t>
        </is>
      </c>
      <c r="C3253" s="3" t="inlineStr">
        <is>
          <t>buah</t>
        </is>
      </c>
      <c r="D3253" s="15" t="n">
        <v>26.25</v>
      </c>
      <c r="E3253" s="4" t="n">
        <v>2200</v>
      </c>
      <c r="F3253" s="4" t="n">
        <v>57750</v>
      </c>
    </row>
    <row r="3254">
      <c r="A3254" s="3" t="inlineStr">
        <is>
          <t>2</t>
        </is>
      </c>
      <c r="B3254" s="3" t="inlineStr">
        <is>
          <t>Semen portland (PC)</t>
        </is>
      </c>
      <c r="C3254" s="3" t="inlineStr">
        <is>
          <t>kg</t>
        </is>
      </c>
      <c r="D3254" s="15" t="n">
        <v>13.632</v>
      </c>
      <c r="E3254" s="4" t="n">
        <v>1300</v>
      </c>
      <c r="F3254" s="4" t="n">
        <v>17721.6</v>
      </c>
    </row>
    <row r="3255">
      <c r="A3255" s="3" t="inlineStr">
        <is>
          <t>3</t>
        </is>
      </c>
      <c r="B3255" s="3" t="inlineStr">
        <is>
          <t>Semen warna</t>
        </is>
      </c>
      <c r="C3255" s="3" t="inlineStr">
        <is>
          <t>kg</t>
        </is>
      </c>
      <c r="D3255" s="15" t="n">
        <v>1.5</v>
      </c>
      <c r="E3255" s="4" t="n">
        <v>7800</v>
      </c>
      <c r="F3255" s="4" t="n">
        <v>11700</v>
      </c>
    </row>
    <row r="3256">
      <c r="A3256" s="3" t="inlineStr">
        <is>
          <t>4</t>
        </is>
      </c>
      <c r="B3256" s="3" t="inlineStr">
        <is>
          <t>Pasir pasang (quarry - lokasi pekerjaan)</t>
        </is>
      </c>
      <c r="C3256" s="3" t="inlineStr">
        <is>
          <t>m3</t>
        </is>
      </c>
      <c r="D3256" s="15" t="n">
        <v>0.027</v>
      </c>
      <c r="E3256" s="4" t="n">
        <v>275000</v>
      </c>
      <c r="F3256" s="4" t="n">
        <v>7425</v>
      </c>
    </row>
    <row r="3257">
      <c r="D3257" s="2" t="inlineStr">
        <is>
          <t>SUBTOTAL UPAH</t>
        </is>
      </c>
      <c r="F3257" s="16" t="n">
        <v>24614</v>
      </c>
    </row>
    <row r="3258">
      <c r="D3258" s="2" t="inlineStr">
        <is>
          <t>SUBTOTAL BAHAN</t>
        </is>
      </c>
      <c r="F3258" s="16" t="n">
        <v>94596.60000000001</v>
      </c>
    </row>
    <row r="3259">
      <c r="D3259" s="2" t="inlineStr">
        <is>
          <t>SUBTOTAL ALAT</t>
        </is>
      </c>
      <c r="F3259" s="16" t="n">
        <v>0</v>
      </c>
    </row>
    <row r="3260">
      <c r="E3260" s="2" t="inlineStr">
        <is>
          <t>TOTAL HARGA SATUAN (Inc. Overhead)</t>
        </is>
      </c>
      <c r="F3260" s="17" t="n">
        <v>131131</v>
      </c>
    </row>
    <row r="3262">
      <c r="A3262" s="14" t="inlineStr">
        <is>
          <t>KODE: 3.9.8.2 - Pemasangan 1 m2 lantai keramik uk. 25x25 cm (1SP : 2PP) Polished</t>
        </is>
      </c>
    </row>
    <row r="3263">
      <c r="A3263" s="10" t="inlineStr">
        <is>
          <t>No</t>
        </is>
      </c>
      <c r="B3263" s="10" t="inlineStr">
        <is>
          <t>Uraian Komponen</t>
        </is>
      </c>
      <c r="C3263" s="10" t="inlineStr">
        <is>
          <t>Satuan</t>
        </is>
      </c>
      <c r="D3263" s="10" t="inlineStr">
        <is>
          <t>Koef</t>
        </is>
      </c>
      <c r="E3263" s="10" t="inlineStr">
        <is>
          <t>Harga Satuan (Rp)</t>
        </is>
      </c>
      <c r="F3263" s="10" t="inlineStr">
        <is>
          <t>Jumlah Harga (Rp)</t>
        </is>
      </c>
    </row>
    <row r="3264">
      <c r="A3264" s="3" t="inlineStr">
        <is>
          <t>1</t>
        </is>
      </c>
      <c r="B3264" s="3" t="inlineStr">
        <is>
          <t>Pekerja</t>
        </is>
      </c>
      <c r="C3264" s="3" t="inlineStr">
        <is>
          <t>OH</t>
        </is>
      </c>
      <c r="D3264" s="15" t="n">
        <v>0.1379</v>
      </c>
      <c r="E3264" s="4" t="n">
        <v>100000</v>
      </c>
      <c r="F3264" s="4" t="n">
        <v>13790</v>
      </c>
    </row>
    <row r="3265">
      <c r="A3265" s="3" t="inlineStr">
        <is>
          <t>2</t>
        </is>
      </c>
      <c r="B3265" s="3" t="inlineStr">
        <is>
          <t>Tukang batu</t>
        </is>
      </c>
      <c r="C3265" s="3" t="inlineStr">
        <is>
          <t>OH</t>
        </is>
      </c>
      <c r="D3265" s="15" t="n">
        <v>0.06900000000000001</v>
      </c>
      <c r="E3265" s="4" t="n">
        <v>145000</v>
      </c>
      <c r="F3265" s="4" t="n">
        <v>10005</v>
      </c>
    </row>
    <row r="3266">
      <c r="A3266" s="3" t="inlineStr">
        <is>
          <t>3</t>
        </is>
      </c>
      <c r="B3266" s="3" t="inlineStr">
        <is>
          <t>Kepala tukang</t>
        </is>
      </c>
      <c r="C3266" s="3" t="inlineStr">
        <is>
          <t>OH</t>
        </is>
      </c>
      <c r="D3266" s="15" t="n">
        <v>0.0069</v>
      </c>
      <c r="E3266" s="4" t="n">
        <v>175000</v>
      </c>
      <c r="F3266" s="4" t="n">
        <v>1207.5</v>
      </c>
    </row>
    <row r="3267">
      <c r="A3267" s="3" t="inlineStr">
        <is>
          <t>4</t>
        </is>
      </c>
      <c r="B3267" s="3" t="inlineStr">
        <is>
          <t>Mandor</t>
        </is>
      </c>
      <c r="C3267" s="3" t="inlineStr">
        <is>
          <t>OH</t>
        </is>
      </c>
      <c r="D3267" s="15" t="n">
        <v>0.0023</v>
      </c>
      <c r="E3267" s="4" t="n">
        <v>200000</v>
      </c>
      <c r="F3267" s="4" t="n">
        <v>460</v>
      </c>
    </row>
    <row r="3268">
      <c r="A3268" s="3" t="inlineStr">
        <is>
          <t>1</t>
        </is>
      </c>
      <c r="B3268" s="3" t="inlineStr">
        <is>
          <t>"Keramik Lantai uk. 25 x 25 cm Polished"</t>
        </is>
      </c>
      <c r="C3268" s="3" t="inlineStr">
        <is>
          <t>buah</t>
        </is>
      </c>
      <c r="D3268" s="15" t="n">
        <v>16.8</v>
      </c>
      <c r="E3268" s="4" t="n">
        <v>2800</v>
      </c>
      <c r="F3268" s="4" t="n">
        <v>47040</v>
      </c>
    </row>
    <row r="3269">
      <c r="A3269" s="3" t="inlineStr">
        <is>
          <t>2</t>
        </is>
      </c>
      <c r="B3269" s="3" t="inlineStr">
        <is>
          <t>Semen portland (PC)</t>
        </is>
      </c>
      <c r="C3269" s="3" t="inlineStr">
        <is>
          <t>kg</t>
        </is>
      </c>
      <c r="D3269" s="15" t="n">
        <v>13.632</v>
      </c>
      <c r="E3269" s="4" t="n">
        <v>1300</v>
      </c>
      <c r="F3269" s="4" t="n">
        <v>17721.6</v>
      </c>
    </row>
    <row r="3270">
      <c r="A3270" s="3" t="inlineStr">
        <is>
          <t>3</t>
        </is>
      </c>
      <c r="B3270" s="3" t="inlineStr">
        <is>
          <t>Semen warna</t>
        </is>
      </c>
      <c r="C3270" s="3" t="inlineStr">
        <is>
          <t>kg</t>
        </is>
      </c>
      <c r="D3270" s="15" t="n">
        <v>1.5</v>
      </c>
      <c r="E3270" s="4" t="n">
        <v>7800</v>
      </c>
      <c r="F3270" s="4" t="n">
        <v>11700</v>
      </c>
    </row>
    <row r="3271">
      <c r="A3271" s="3" t="inlineStr">
        <is>
          <t>4</t>
        </is>
      </c>
      <c r="B3271" s="3" t="inlineStr">
        <is>
          <t>Pasir pasang (quarry - lokasi pekerjaan)</t>
        </is>
      </c>
      <c r="C3271" s="3" t="inlineStr">
        <is>
          <t>m3</t>
        </is>
      </c>
      <c r="D3271" s="15" t="n">
        <v>0.027</v>
      </c>
      <c r="E3271" s="4" t="n">
        <v>275000</v>
      </c>
      <c r="F3271" s="4" t="n">
        <v>7425</v>
      </c>
    </row>
    <row r="3272">
      <c r="D3272" s="2" t="inlineStr">
        <is>
          <t>SUBTOTAL UPAH</t>
        </is>
      </c>
      <c r="F3272" s="16" t="n">
        <v>25462.5</v>
      </c>
    </row>
    <row r="3273">
      <c r="D3273" s="2" t="inlineStr">
        <is>
          <t>SUBTOTAL BAHAN</t>
        </is>
      </c>
      <c r="F3273" s="16" t="n">
        <v>83886.60000000001</v>
      </c>
    </row>
    <row r="3274">
      <c r="D3274" s="2" t="inlineStr">
        <is>
          <t>SUBTOTAL ALAT</t>
        </is>
      </c>
      <c r="F3274" s="16" t="n">
        <v>0</v>
      </c>
    </row>
    <row r="3275">
      <c r="E3275" s="2" t="inlineStr">
        <is>
          <t>TOTAL HARGA SATUAN (Inc. Overhead)</t>
        </is>
      </c>
      <c r="F3275" s="17" t="n">
        <v>120284</v>
      </c>
    </row>
    <row r="3277">
      <c r="A3277" s="14" t="inlineStr">
        <is>
          <t>KODE: 3.9.8.3 - Pemasangan 1 m2 lantai keramik uk. 25x40 cm (1SP : 2PP) Polished</t>
        </is>
      </c>
    </row>
    <row r="3278">
      <c r="A3278" s="10" t="inlineStr">
        <is>
          <t>No</t>
        </is>
      </c>
      <c r="B3278" s="10" t="inlineStr">
        <is>
          <t>Uraian Komponen</t>
        </is>
      </c>
      <c r="C3278" s="10" t="inlineStr">
        <is>
          <t>Satuan</t>
        </is>
      </c>
      <c r="D3278" s="10" t="inlineStr">
        <is>
          <t>Koef</t>
        </is>
      </c>
      <c r="E3278" s="10" t="inlineStr">
        <is>
          <t>Harga Satuan (Rp)</t>
        </is>
      </c>
      <c r="F3278" s="10" t="inlineStr">
        <is>
          <t>Jumlah Harga (Rp)</t>
        </is>
      </c>
    </row>
    <row r="3279">
      <c r="A3279" s="3" t="inlineStr">
        <is>
          <t>1</t>
        </is>
      </c>
      <c r="B3279" s="3" t="inlineStr">
        <is>
          <t>Pekerja</t>
        </is>
      </c>
      <c r="C3279" s="3" t="inlineStr">
        <is>
          <t>OH</t>
        </is>
      </c>
      <c r="D3279" s="15" t="n">
        <v>0.1429</v>
      </c>
      <c r="E3279" s="4" t="n">
        <v>100000</v>
      </c>
      <c r="F3279" s="4" t="n">
        <v>14290</v>
      </c>
    </row>
    <row r="3280">
      <c r="A3280" s="3" t="inlineStr">
        <is>
          <t>2</t>
        </is>
      </c>
      <c r="B3280" s="3" t="inlineStr">
        <is>
          <t>Tukang batu</t>
        </is>
      </c>
      <c r="C3280" s="3" t="inlineStr">
        <is>
          <t>OH</t>
        </is>
      </c>
      <c r="D3280" s="15" t="n">
        <v>0.07140000000000001</v>
      </c>
      <c r="E3280" s="4" t="n">
        <v>145000</v>
      </c>
      <c r="F3280" s="4" t="n">
        <v>10353</v>
      </c>
    </row>
    <row r="3281">
      <c r="A3281" s="3" t="inlineStr">
        <is>
          <t>3</t>
        </is>
      </c>
      <c r="B3281" s="3" t="inlineStr">
        <is>
          <t>Kepala tukang</t>
        </is>
      </c>
      <c r="C3281" s="3" t="inlineStr">
        <is>
          <t>OH</t>
        </is>
      </c>
      <c r="D3281" s="15" t="n">
        <v>0.0071</v>
      </c>
      <c r="E3281" s="4" t="n">
        <v>175000</v>
      </c>
      <c r="F3281" s="4" t="n">
        <v>1242.5</v>
      </c>
    </row>
    <row r="3282">
      <c r="A3282" s="3" t="inlineStr">
        <is>
          <t>4</t>
        </is>
      </c>
      <c r="B3282" s="3" t="inlineStr">
        <is>
          <t>Mandor</t>
        </is>
      </c>
      <c r="C3282" s="3" t="inlineStr">
        <is>
          <t>OH</t>
        </is>
      </c>
      <c r="D3282" s="15" t="n">
        <v>0.0024</v>
      </c>
      <c r="E3282" s="4" t="n">
        <v>200000</v>
      </c>
      <c r="F3282" s="4" t="n">
        <v>479.9999999999999</v>
      </c>
    </row>
    <row r="3283">
      <c r="A3283" s="3" t="inlineStr">
        <is>
          <t>1</t>
        </is>
      </c>
      <c r="B3283" s="3" t="inlineStr">
        <is>
          <t>"Keramik Lantai uk. 25 x 40 cm Polished"</t>
        </is>
      </c>
      <c r="C3283" s="3" t="inlineStr">
        <is>
          <t>buah</t>
        </is>
      </c>
      <c r="D3283" s="15" t="n">
        <v>10.5</v>
      </c>
      <c r="E3283" s="4" t="n">
        <v>3500</v>
      </c>
      <c r="F3283" s="4" t="n">
        <v>36750</v>
      </c>
    </row>
    <row r="3284">
      <c r="A3284" s="3" t="inlineStr">
        <is>
          <t>2</t>
        </is>
      </c>
      <c r="B3284" s="3" t="inlineStr">
        <is>
          <t>Semen portland (PC)</t>
        </is>
      </c>
      <c r="C3284" s="3" t="inlineStr">
        <is>
          <t>kg</t>
        </is>
      </c>
      <c r="D3284" s="15" t="n">
        <v>13.632</v>
      </c>
      <c r="E3284" s="4" t="n">
        <v>1300</v>
      </c>
      <c r="F3284" s="4" t="n">
        <v>17721.6</v>
      </c>
    </row>
    <row r="3285">
      <c r="A3285" s="3" t="inlineStr">
        <is>
          <t>3</t>
        </is>
      </c>
      <c r="B3285" s="3" t="inlineStr">
        <is>
          <t>Semen warna</t>
        </is>
      </c>
      <c r="C3285" s="3" t="inlineStr">
        <is>
          <t>kg</t>
        </is>
      </c>
      <c r="D3285" s="15" t="n">
        <v>1.5</v>
      </c>
      <c r="E3285" s="4" t="n">
        <v>7800</v>
      </c>
      <c r="F3285" s="4" t="n">
        <v>11700</v>
      </c>
    </row>
    <row r="3286">
      <c r="A3286" s="3" t="inlineStr">
        <is>
          <t>4</t>
        </is>
      </c>
      <c r="B3286" s="3" t="inlineStr">
        <is>
          <t>Pasir pasang (quarry - lokasi pekerjaan)</t>
        </is>
      </c>
      <c r="C3286" s="3" t="inlineStr">
        <is>
          <t>m3</t>
        </is>
      </c>
      <c r="D3286" s="15" t="n">
        <v>0.027</v>
      </c>
      <c r="E3286" s="4" t="n">
        <v>275000</v>
      </c>
      <c r="F3286" s="4" t="n">
        <v>7425</v>
      </c>
    </row>
    <row r="3287">
      <c r="D3287" s="2" t="inlineStr">
        <is>
          <t>SUBTOTAL UPAH</t>
        </is>
      </c>
      <c r="F3287" s="16" t="n">
        <v>26365.5</v>
      </c>
    </row>
    <row r="3288">
      <c r="D3288" s="2" t="inlineStr">
        <is>
          <t>SUBTOTAL BAHAN</t>
        </is>
      </c>
      <c r="F3288" s="16" t="n">
        <v>73596.60000000001</v>
      </c>
    </row>
    <row r="3289">
      <c r="D3289" s="2" t="inlineStr">
        <is>
          <t>SUBTOTAL ALAT</t>
        </is>
      </c>
      <c r="F3289" s="16" t="n">
        <v>0</v>
      </c>
    </row>
    <row r="3290">
      <c r="E3290" s="2" t="inlineStr">
        <is>
          <t>TOTAL HARGA SATUAN (Inc. Overhead)</t>
        </is>
      </c>
      <c r="F3290" s="17" t="n">
        <v>109958</v>
      </c>
    </row>
    <row r="3292">
      <c r="A3292" s="14" t="inlineStr">
        <is>
          <t>KODE: 3.9.8.4 - Pemasangan 1 m2 lantai keramik uk. 30x30 cm (1SP : 2PP) Polished</t>
        </is>
      </c>
    </row>
    <row r="3293">
      <c r="A3293" s="10" t="inlineStr">
        <is>
          <t>No</t>
        </is>
      </c>
      <c r="B3293" s="10" t="inlineStr">
        <is>
          <t>Uraian Komponen</t>
        </is>
      </c>
      <c r="C3293" s="10" t="inlineStr">
        <is>
          <t>Satuan</t>
        </is>
      </c>
      <c r="D3293" s="10" t="inlineStr">
        <is>
          <t>Koef</t>
        </is>
      </c>
      <c r="E3293" s="10" t="inlineStr">
        <is>
          <t>Harga Satuan (Rp)</t>
        </is>
      </c>
      <c r="F3293" s="10" t="inlineStr">
        <is>
          <t>Jumlah Harga (Rp)</t>
        </is>
      </c>
    </row>
    <row r="3294">
      <c r="A3294" s="3" t="inlineStr">
        <is>
          <t>1</t>
        </is>
      </c>
      <c r="B3294" s="3" t="inlineStr">
        <is>
          <t>Pekerja</t>
        </is>
      </c>
      <c r="C3294" s="3" t="inlineStr">
        <is>
          <t>OH</t>
        </is>
      </c>
      <c r="D3294" s="15" t="n">
        <v>0.1429</v>
      </c>
      <c r="E3294" s="4" t="n">
        <v>100000</v>
      </c>
      <c r="F3294" s="4" t="n">
        <v>14290</v>
      </c>
    </row>
    <row r="3295">
      <c r="A3295" s="3" t="inlineStr">
        <is>
          <t>2</t>
        </is>
      </c>
      <c r="B3295" s="3" t="inlineStr">
        <is>
          <t>Tukang batu</t>
        </is>
      </c>
      <c r="C3295" s="3" t="inlineStr">
        <is>
          <t>OH</t>
        </is>
      </c>
      <c r="D3295" s="15" t="n">
        <v>0.07140000000000001</v>
      </c>
      <c r="E3295" s="4" t="n">
        <v>145000</v>
      </c>
      <c r="F3295" s="4" t="n">
        <v>10353</v>
      </c>
    </row>
    <row r="3296">
      <c r="A3296" s="3" t="inlineStr">
        <is>
          <t>3</t>
        </is>
      </c>
      <c r="B3296" s="3" t="inlineStr">
        <is>
          <t>Kepala tukang</t>
        </is>
      </c>
      <c r="C3296" s="3" t="inlineStr">
        <is>
          <t>OH</t>
        </is>
      </c>
      <c r="D3296" s="15" t="n">
        <v>0.0071</v>
      </c>
      <c r="E3296" s="4" t="n">
        <v>175000</v>
      </c>
      <c r="F3296" s="4" t="n">
        <v>1242.5</v>
      </c>
    </row>
    <row r="3297">
      <c r="A3297" s="3" t="inlineStr">
        <is>
          <t>4</t>
        </is>
      </c>
      <c r="B3297" s="3" t="inlineStr">
        <is>
          <t>Mandor</t>
        </is>
      </c>
      <c r="C3297" s="3" t="inlineStr">
        <is>
          <t>OH</t>
        </is>
      </c>
      <c r="D3297" s="15" t="n">
        <v>0.0024</v>
      </c>
      <c r="E3297" s="4" t="n">
        <v>200000</v>
      </c>
      <c r="F3297" s="4" t="n">
        <v>479.9999999999999</v>
      </c>
    </row>
    <row r="3298">
      <c r="A3298" s="3" t="inlineStr">
        <is>
          <t>1</t>
        </is>
      </c>
      <c r="B3298" s="3" t="inlineStr">
        <is>
          <t>"Keramik Lantai uk. 30 x 30 cm Polished"</t>
        </is>
      </c>
      <c r="C3298" s="3" t="inlineStr">
        <is>
          <t>buah</t>
        </is>
      </c>
      <c r="D3298" s="15" t="n">
        <v>11.667</v>
      </c>
      <c r="E3298" s="4" t="n">
        <v>4000</v>
      </c>
      <c r="F3298" s="4" t="n">
        <v>46668</v>
      </c>
    </row>
    <row r="3299">
      <c r="A3299" s="3" t="inlineStr">
        <is>
          <t>2</t>
        </is>
      </c>
      <c r="B3299" s="3" t="inlineStr">
        <is>
          <t>Semen portland (PC)</t>
        </is>
      </c>
      <c r="C3299" s="3" t="inlineStr">
        <is>
          <t>kg</t>
        </is>
      </c>
      <c r="D3299" s="15" t="n">
        <v>13.632</v>
      </c>
      <c r="E3299" s="4" t="n">
        <v>1300</v>
      </c>
      <c r="F3299" s="4" t="n">
        <v>17721.6</v>
      </c>
    </row>
    <row r="3300">
      <c r="A3300" s="3" t="inlineStr">
        <is>
          <t>3</t>
        </is>
      </c>
      <c r="B3300" s="3" t="inlineStr">
        <is>
          <t>Semen warna</t>
        </is>
      </c>
      <c r="C3300" s="3" t="inlineStr">
        <is>
          <t>kg</t>
        </is>
      </c>
      <c r="D3300" s="15" t="n">
        <v>1.5</v>
      </c>
      <c r="E3300" s="4" t="n">
        <v>7800</v>
      </c>
      <c r="F3300" s="4" t="n">
        <v>11700</v>
      </c>
    </row>
    <row r="3301">
      <c r="A3301" s="3" t="inlineStr">
        <is>
          <t>4</t>
        </is>
      </c>
      <c r="B3301" s="3" t="inlineStr">
        <is>
          <t>Pasir pasang (quarry - lokasi pekerjaan)</t>
        </is>
      </c>
      <c r="C3301" s="3" t="inlineStr">
        <is>
          <t>m3</t>
        </is>
      </c>
      <c r="D3301" s="15" t="n">
        <v>0.027</v>
      </c>
      <c r="E3301" s="4" t="n">
        <v>275000</v>
      </c>
      <c r="F3301" s="4" t="n">
        <v>7425</v>
      </c>
    </row>
    <row r="3302">
      <c r="D3302" s="2" t="inlineStr">
        <is>
          <t>SUBTOTAL UPAH</t>
        </is>
      </c>
      <c r="F3302" s="16" t="n">
        <v>26365.5</v>
      </c>
    </row>
    <row r="3303">
      <c r="D3303" s="2" t="inlineStr">
        <is>
          <t>SUBTOTAL BAHAN</t>
        </is>
      </c>
      <c r="F3303" s="16" t="n">
        <v>83514.60000000001</v>
      </c>
    </row>
    <row r="3304">
      <c r="D3304" s="2" t="inlineStr">
        <is>
          <t>SUBTOTAL ALAT</t>
        </is>
      </c>
      <c r="F3304" s="16" t="n">
        <v>0</v>
      </c>
    </row>
    <row r="3305">
      <c r="E3305" s="2" t="inlineStr">
        <is>
          <t>TOTAL HARGA SATUAN (Inc. Overhead)</t>
        </is>
      </c>
      <c r="F3305" s="17" t="n">
        <v>120868</v>
      </c>
    </row>
    <row r="3307">
      <c r="A3307" s="14" t="inlineStr">
        <is>
          <t>KODE: 3.9.8.5 - Pemasangan 1 m2 lantai keramik uk. 30x60 cm (1SP : 2PP) Polished</t>
        </is>
      </c>
    </row>
    <row r="3308">
      <c r="A3308" s="10" t="inlineStr">
        <is>
          <t>No</t>
        </is>
      </c>
      <c r="B3308" s="10" t="inlineStr">
        <is>
          <t>Uraian Komponen</t>
        </is>
      </c>
      <c r="C3308" s="10" t="inlineStr">
        <is>
          <t>Satuan</t>
        </is>
      </c>
      <c r="D3308" s="10" t="inlineStr">
        <is>
          <t>Koef</t>
        </is>
      </c>
      <c r="E3308" s="10" t="inlineStr">
        <is>
          <t>Harga Satuan (Rp)</t>
        </is>
      </c>
      <c r="F3308" s="10" t="inlineStr">
        <is>
          <t>Jumlah Harga (Rp)</t>
        </is>
      </c>
    </row>
    <row r="3309">
      <c r="A3309" s="3" t="inlineStr">
        <is>
          <t>1</t>
        </is>
      </c>
      <c r="B3309" s="3" t="inlineStr">
        <is>
          <t>Pekerja</t>
        </is>
      </c>
      <c r="C3309" s="3" t="inlineStr">
        <is>
          <t>OH</t>
        </is>
      </c>
      <c r="D3309" s="15" t="n">
        <v>0.1538</v>
      </c>
      <c r="E3309" s="4" t="n">
        <v>100000</v>
      </c>
      <c r="F3309" s="4" t="n">
        <v>15380</v>
      </c>
    </row>
    <row r="3310">
      <c r="A3310" s="3" t="inlineStr">
        <is>
          <t>2</t>
        </is>
      </c>
      <c r="B3310" s="3" t="inlineStr">
        <is>
          <t>Tukang batu</t>
        </is>
      </c>
      <c r="C3310" s="3" t="inlineStr">
        <is>
          <t>OH</t>
        </is>
      </c>
      <c r="D3310" s="15" t="n">
        <v>0.0769</v>
      </c>
      <c r="E3310" s="4" t="n">
        <v>145000</v>
      </c>
      <c r="F3310" s="4" t="n">
        <v>11150.5</v>
      </c>
    </row>
    <row r="3311">
      <c r="A3311" s="3" t="inlineStr">
        <is>
          <t>3</t>
        </is>
      </c>
      <c r="B3311" s="3" t="inlineStr">
        <is>
          <t>Kepala tukang</t>
        </is>
      </c>
      <c r="C3311" s="3" t="inlineStr">
        <is>
          <t>OH</t>
        </is>
      </c>
      <c r="D3311" s="15" t="n">
        <v>0.0077</v>
      </c>
      <c r="E3311" s="4" t="n">
        <v>175000</v>
      </c>
      <c r="F3311" s="4" t="n">
        <v>1347.5</v>
      </c>
    </row>
    <row r="3312">
      <c r="A3312" s="3" t="inlineStr">
        <is>
          <t>4</t>
        </is>
      </c>
      <c r="B3312" s="3" t="inlineStr">
        <is>
          <t>Mandor</t>
        </is>
      </c>
      <c r="C3312" s="3" t="inlineStr">
        <is>
          <t>OH</t>
        </is>
      </c>
      <c r="D3312" s="15" t="n">
        <v>0.0026</v>
      </c>
      <c r="E3312" s="4" t="n">
        <v>200000</v>
      </c>
      <c r="F3312" s="4" t="n">
        <v>520</v>
      </c>
    </row>
    <row r="3313">
      <c r="A3313" s="3" t="inlineStr">
        <is>
          <t>1</t>
        </is>
      </c>
      <c r="B3313" s="3" t="inlineStr">
        <is>
          <t>"Keramik Lantai uk. 30 x 60 cm Polished"</t>
        </is>
      </c>
      <c r="C3313" s="3" t="inlineStr">
        <is>
          <t>buah</t>
        </is>
      </c>
      <c r="D3313" s="15" t="n">
        <v>5.833</v>
      </c>
      <c r="E3313" s="4" t="n">
        <v>9000</v>
      </c>
      <c r="F3313" s="4" t="n">
        <v>52497</v>
      </c>
    </row>
    <row r="3314">
      <c r="A3314" s="3" t="inlineStr">
        <is>
          <t>2</t>
        </is>
      </c>
      <c r="B3314" s="3" t="inlineStr">
        <is>
          <t>Semen portland (PC)</t>
        </is>
      </c>
      <c r="C3314" s="3" t="inlineStr">
        <is>
          <t>kg</t>
        </is>
      </c>
      <c r="D3314" s="15" t="n">
        <v>13.632</v>
      </c>
      <c r="E3314" s="4" t="n">
        <v>1300</v>
      </c>
      <c r="F3314" s="4" t="n">
        <v>17721.6</v>
      </c>
    </row>
    <row r="3315">
      <c r="A3315" s="3" t="inlineStr">
        <is>
          <t>3</t>
        </is>
      </c>
      <c r="B3315" s="3" t="inlineStr">
        <is>
          <t>Semen warna</t>
        </is>
      </c>
      <c r="C3315" s="3" t="inlineStr">
        <is>
          <t>kg</t>
        </is>
      </c>
      <c r="D3315" s="15" t="n">
        <v>1.5</v>
      </c>
      <c r="E3315" s="4" t="n">
        <v>7800</v>
      </c>
      <c r="F3315" s="4" t="n">
        <v>11700</v>
      </c>
    </row>
    <row r="3316">
      <c r="A3316" s="3" t="inlineStr">
        <is>
          <t>4</t>
        </is>
      </c>
      <c r="B3316" s="3" t="inlineStr">
        <is>
          <t>Pasir pasang (quarry - lokasi pekerjaan)</t>
        </is>
      </c>
      <c r="C3316" s="3" t="inlineStr">
        <is>
          <t>m3</t>
        </is>
      </c>
      <c r="D3316" s="15" t="n">
        <v>0.027</v>
      </c>
      <c r="E3316" s="4" t="n">
        <v>275000</v>
      </c>
      <c r="F3316" s="4" t="n">
        <v>7425</v>
      </c>
    </row>
    <row r="3317">
      <c r="D3317" s="2" t="inlineStr">
        <is>
          <t>SUBTOTAL UPAH</t>
        </is>
      </c>
      <c r="F3317" s="16" t="n">
        <v>28398</v>
      </c>
    </row>
    <row r="3318">
      <c r="D3318" s="2" t="inlineStr">
        <is>
          <t>SUBTOTAL BAHAN</t>
        </is>
      </c>
      <c r="F3318" s="16" t="n">
        <v>89343.60000000001</v>
      </c>
    </row>
    <row r="3319">
      <c r="D3319" s="2" t="inlineStr">
        <is>
          <t>SUBTOTAL ALAT</t>
        </is>
      </c>
      <c r="F3319" s="16" t="n">
        <v>0</v>
      </c>
    </row>
    <row r="3320">
      <c r="E3320" s="2" t="inlineStr">
        <is>
          <t>TOTAL HARGA SATUAN (Inc. Overhead)</t>
        </is>
      </c>
      <c r="F3320" s="17" t="n">
        <v>129515</v>
      </c>
    </row>
    <row r="3322">
      <c r="A3322" s="14" t="inlineStr">
        <is>
          <t>KODE: 3.9.8.6 - Pemasangan 1 m2 lantai keramik uk. 40x40 cm (1SP : 2PP) Polished</t>
        </is>
      </c>
    </row>
    <row r="3323">
      <c r="A3323" s="10" t="inlineStr">
        <is>
          <t>No</t>
        </is>
      </c>
      <c r="B3323" s="10" t="inlineStr">
        <is>
          <t>Uraian Komponen</t>
        </is>
      </c>
      <c r="C3323" s="10" t="inlineStr">
        <is>
          <t>Satuan</t>
        </is>
      </c>
      <c r="D3323" s="10" t="inlineStr">
        <is>
          <t>Koef</t>
        </is>
      </c>
      <c r="E3323" s="10" t="inlineStr">
        <is>
          <t>Harga Satuan (Rp)</t>
        </is>
      </c>
      <c r="F3323" s="10" t="inlineStr">
        <is>
          <t>Jumlah Harga (Rp)</t>
        </is>
      </c>
    </row>
    <row r="3324">
      <c r="A3324" s="3" t="inlineStr">
        <is>
          <t>1</t>
        </is>
      </c>
      <c r="B3324" s="3" t="inlineStr">
        <is>
          <t>Pekerja</t>
        </is>
      </c>
      <c r="C3324" s="3" t="inlineStr">
        <is>
          <t>OH</t>
        </is>
      </c>
      <c r="D3324" s="15" t="n">
        <v>0.1538</v>
      </c>
      <c r="E3324" s="4" t="n">
        <v>100000</v>
      </c>
      <c r="F3324" s="4" t="n">
        <v>15380</v>
      </c>
    </row>
    <row r="3325">
      <c r="A3325" s="3" t="inlineStr">
        <is>
          <t>2</t>
        </is>
      </c>
      <c r="B3325" s="3" t="inlineStr">
        <is>
          <t>Tukang batu</t>
        </is>
      </c>
      <c r="C3325" s="3" t="inlineStr">
        <is>
          <t>OH</t>
        </is>
      </c>
      <c r="D3325" s="15" t="n">
        <v>0.0769</v>
      </c>
      <c r="E3325" s="4" t="n">
        <v>145000</v>
      </c>
      <c r="F3325" s="4" t="n">
        <v>11150.5</v>
      </c>
    </row>
    <row r="3326">
      <c r="A3326" s="3" t="inlineStr">
        <is>
          <t>3</t>
        </is>
      </c>
      <c r="B3326" s="3" t="inlineStr">
        <is>
          <t>Kepala tukang</t>
        </is>
      </c>
      <c r="C3326" s="3" t="inlineStr">
        <is>
          <t>OH</t>
        </is>
      </c>
      <c r="D3326" s="15" t="n">
        <v>0.0077</v>
      </c>
      <c r="E3326" s="4" t="n">
        <v>175000</v>
      </c>
      <c r="F3326" s="4" t="n">
        <v>1347.5</v>
      </c>
    </row>
    <row r="3327">
      <c r="A3327" s="3" t="inlineStr">
        <is>
          <t>4</t>
        </is>
      </c>
      <c r="B3327" s="3" t="inlineStr">
        <is>
          <t>Mandor</t>
        </is>
      </c>
      <c r="C3327" s="3" t="inlineStr">
        <is>
          <t>OH</t>
        </is>
      </c>
      <c r="D3327" s="15" t="n">
        <v>0.0026</v>
      </c>
      <c r="E3327" s="4" t="n">
        <v>200000</v>
      </c>
      <c r="F3327" s="4" t="n">
        <v>520</v>
      </c>
    </row>
    <row r="3328">
      <c r="A3328" s="3" t="inlineStr">
        <is>
          <t>1</t>
        </is>
      </c>
      <c r="B3328" s="3" t="inlineStr">
        <is>
          <t>"Keramik Lantai uk. 40 x 40 cm Polished"</t>
        </is>
      </c>
      <c r="C3328" s="3" t="inlineStr">
        <is>
          <t>buah</t>
        </is>
      </c>
      <c r="D3328" s="15" t="n">
        <v>6.563</v>
      </c>
      <c r="E3328" s="4" t="n">
        <v>8100</v>
      </c>
      <c r="F3328" s="4" t="n">
        <v>53160.3</v>
      </c>
    </row>
    <row r="3329">
      <c r="A3329" s="3" t="inlineStr">
        <is>
          <t>2</t>
        </is>
      </c>
      <c r="B3329" s="3" t="inlineStr">
        <is>
          <t>Semen portland (PC)</t>
        </is>
      </c>
      <c r="C3329" s="3" t="inlineStr">
        <is>
          <t>kg</t>
        </is>
      </c>
      <c r="D3329" s="15" t="n">
        <v>13.632</v>
      </c>
      <c r="E3329" s="4" t="n">
        <v>1300</v>
      </c>
      <c r="F3329" s="4" t="n">
        <v>17721.6</v>
      </c>
    </row>
    <row r="3330">
      <c r="A3330" s="3" t="inlineStr">
        <is>
          <t>3</t>
        </is>
      </c>
      <c r="B3330" s="3" t="inlineStr">
        <is>
          <t>Semen warna</t>
        </is>
      </c>
      <c r="C3330" s="3" t="inlineStr">
        <is>
          <t>kg</t>
        </is>
      </c>
      <c r="D3330" s="15" t="n">
        <v>1.5</v>
      </c>
      <c r="E3330" s="4" t="n">
        <v>7800</v>
      </c>
      <c r="F3330" s="4" t="n">
        <v>11700</v>
      </c>
    </row>
    <row r="3331">
      <c r="A3331" s="3" t="inlineStr">
        <is>
          <t>4</t>
        </is>
      </c>
      <c r="B3331" s="3" t="inlineStr">
        <is>
          <t>Pasir pasang (quarry - lokasi pekerjaan)</t>
        </is>
      </c>
      <c r="C3331" s="3" t="inlineStr">
        <is>
          <t>m3</t>
        </is>
      </c>
      <c r="D3331" s="15" t="n">
        <v>0.027</v>
      </c>
      <c r="E3331" s="4" t="n">
        <v>275000</v>
      </c>
      <c r="F3331" s="4" t="n">
        <v>7425</v>
      </c>
    </row>
    <row r="3332">
      <c r="D3332" s="2" t="inlineStr">
        <is>
          <t>SUBTOTAL UPAH</t>
        </is>
      </c>
      <c r="F3332" s="16" t="n">
        <v>28398</v>
      </c>
    </row>
    <row r="3333">
      <c r="D3333" s="2" t="inlineStr">
        <is>
          <t>SUBTOTAL BAHAN</t>
        </is>
      </c>
      <c r="F3333" s="16" t="n">
        <v>90006.89999999999</v>
      </c>
    </row>
    <row r="3334">
      <c r="D3334" s="2" t="inlineStr">
        <is>
          <t>SUBTOTAL ALAT</t>
        </is>
      </c>
      <c r="F3334" s="16" t="n">
        <v>0</v>
      </c>
    </row>
    <row r="3335">
      <c r="E3335" s="2" t="inlineStr">
        <is>
          <t>TOTAL HARGA SATUAN (Inc. Overhead)</t>
        </is>
      </c>
      <c r="F3335" s="17" t="n">
        <v>130245</v>
      </c>
    </row>
    <row r="3337">
      <c r="A3337" s="14" t="inlineStr">
        <is>
          <t>KODE: 3.9.8.7 - Pemasangan 1 m2 lantai keramik uk. 30x30 cm  untuk Variasi/Border (1SP : 2PP) Polished</t>
        </is>
      </c>
    </row>
    <row r="3338">
      <c r="A3338" s="10" t="inlineStr">
        <is>
          <t>No</t>
        </is>
      </c>
      <c r="B3338" s="10" t="inlineStr">
        <is>
          <t>Uraian Komponen</t>
        </is>
      </c>
      <c r="C3338" s="10" t="inlineStr">
        <is>
          <t>Satuan</t>
        </is>
      </c>
      <c r="D3338" s="10" t="inlineStr">
        <is>
          <t>Koef</t>
        </is>
      </c>
      <c r="E3338" s="10" t="inlineStr">
        <is>
          <t>Harga Satuan (Rp)</t>
        </is>
      </c>
      <c r="F3338" s="10" t="inlineStr">
        <is>
          <t>Jumlah Harga (Rp)</t>
        </is>
      </c>
    </row>
    <row r="3339">
      <c r="A3339" s="3" t="inlineStr">
        <is>
          <t>1</t>
        </is>
      </c>
      <c r="B3339" s="3" t="inlineStr">
        <is>
          <t>Pekerja</t>
        </is>
      </c>
      <c r="C3339" s="3" t="inlineStr">
        <is>
          <t>OH</t>
        </is>
      </c>
      <c r="D3339" s="15" t="n">
        <v>1</v>
      </c>
      <c r="E3339" s="4" t="n">
        <v>100000</v>
      </c>
      <c r="F3339" s="4" t="n">
        <v>100000</v>
      </c>
    </row>
    <row r="3340">
      <c r="A3340" s="3" t="inlineStr">
        <is>
          <t>2</t>
        </is>
      </c>
      <c r="B3340" s="3" t="inlineStr">
        <is>
          <t>Tukang batu</t>
        </is>
      </c>
      <c r="C3340" s="3" t="inlineStr">
        <is>
          <t>OH</t>
        </is>
      </c>
      <c r="D3340" s="15" t="n">
        <v>0.5</v>
      </c>
      <c r="E3340" s="4" t="n">
        <v>145000</v>
      </c>
      <c r="F3340" s="4" t="n">
        <v>72500</v>
      </c>
    </row>
    <row r="3341">
      <c r="A3341" s="3" t="inlineStr">
        <is>
          <t>3</t>
        </is>
      </c>
      <c r="B3341" s="3" t="inlineStr">
        <is>
          <t>Kepala tukang</t>
        </is>
      </c>
      <c r="C3341" s="3" t="inlineStr">
        <is>
          <t>OH</t>
        </is>
      </c>
      <c r="D3341" s="15" t="n">
        <v>0.05</v>
      </c>
      <c r="E3341" s="4" t="n">
        <v>175000</v>
      </c>
      <c r="F3341" s="4" t="n">
        <v>8750</v>
      </c>
    </row>
    <row r="3342">
      <c r="A3342" s="3" t="inlineStr">
        <is>
          <t>4</t>
        </is>
      </c>
      <c r="B3342" s="3" t="inlineStr">
        <is>
          <t>Mandor</t>
        </is>
      </c>
      <c r="C3342" s="3" t="inlineStr">
        <is>
          <t>OH</t>
        </is>
      </c>
      <c r="D3342" s="15" t="n">
        <v>0.0167</v>
      </c>
      <c r="E3342" s="4" t="n">
        <v>200000</v>
      </c>
      <c r="F3342" s="4" t="n">
        <v>3340</v>
      </c>
    </row>
    <row r="3343">
      <c r="A3343" s="3" t="inlineStr">
        <is>
          <t>1</t>
        </is>
      </c>
      <c r="B3343" s="3" t="inlineStr">
        <is>
          <t>"Keramik Lantai Variasi uk. 30 x 30 cm Polished"</t>
        </is>
      </c>
      <c r="C3343" s="3" t="inlineStr">
        <is>
          <t>buah</t>
        </is>
      </c>
      <c r="D3343" s="15" t="n">
        <v>11.667</v>
      </c>
      <c r="E3343" s="4" t="n">
        <v>4000</v>
      </c>
      <c r="F3343" s="4" t="n">
        <v>46668</v>
      </c>
    </row>
    <row r="3344">
      <c r="A3344" s="3" t="inlineStr">
        <is>
          <t>2</t>
        </is>
      </c>
      <c r="B3344" s="3" t="inlineStr">
        <is>
          <t>Semen portland (PC)</t>
        </is>
      </c>
      <c r="C3344" s="3" t="inlineStr">
        <is>
          <t>kg</t>
        </is>
      </c>
      <c r="D3344" s="15" t="n">
        <v>13.632</v>
      </c>
      <c r="E3344" s="4" t="n">
        <v>1300</v>
      </c>
      <c r="F3344" s="4" t="n">
        <v>17721.6</v>
      </c>
    </row>
    <row r="3345">
      <c r="A3345" s="3" t="inlineStr">
        <is>
          <t>3</t>
        </is>
      </c>
      <c r="B3345" s="3" t="inlineStr">
        <is>
          <t>Semen warna</t>
        </is>
      </c>
      <c r="C3345" s="3" t="inlineStr">
        <is>
          <t>kg</t>
        </is>
      </c>
      <c r="D3345" s="15" t="n">
        <v>1.5</v>
      </c>
      <c r="E3345" s="4" t="n">
        <v>7800</v>
      </c>
      <c r="F3345" s="4" t="n">
        <v>11700</v>
      </c>
    </row>
    <row r="3346">
      <c r="A3346" s="3" t="inlineStr">
        <is>
          <t>4</t>
        </is>
      </c>
      <c r="B3346" s="3" t="inlineStr">
        <is>
          <t>Pasir pasang (quarry - lokasi pekerjaan)</t>
        </is>
      </c>
      <c r="C3346" s="3" t="inlineStr">
        <is>
          <t>m3</t>
        </is>
      </c>
      <c r="D3346" s="15" t="n">
        <v>0.027</v>
      </c>
      <c r="E3346" s="4" t="n">
        <v>275000</v>
      </c>
      <c r="F3346" s="4" t="n">
        <v>7425</v>
      </c>
    </row>
    <row r="3347">
      <c r="D3347" s="2" t="inlineStr">
        <is>
          <t>SUBTOTAL UPAH</t>
        </is>
      </c>
      <c r="F3347" s="16" t="n">
        <v>184590</v>
      </c>
    </row>
    <row r="3348">
      <c r="D3348" s="2" t="inlineStr">
        <is>
          <t>SUBTOTAL BAHAN</t>
        </is>
      </c>
      <c r="F3348" s="16" t="n">
        <v>83514.60000000001</v>
      </c>
    </row>
    <row r="3349">
      <c r="D3349" s="2" t="inlineStr">
        <is>
          <t>SUBTOTAL ALAT</t>
        </is>
      </c>
      <c r="F3349" s="16" t="n">
        <v>0</v>
      </c>
    </row>
    <row r="3350">
      <c r="E3350" s="2" t="inlineStr">
        <is>
          <t>TOTAL HARGA SATUAN (Inc. Overhead)</t>
        </is>
      </c>
      <c r="F3350" s="17" t="n">
        <v>294915</v>
      </c>
    </row>
    <row r="3352">
      <c r="A3352" s="14" t="inlineStr">
        <is>
          <t>KODE: 3.9.8.8 - Pemasangan 1 m2 lantai keramik uk. 40x40 cm  untuk Variasi/Border (1SP : 2PP) Polished</t>
        </is>
      </c>
    </row>
    <row r="3353">
      <c r="A3353" s="10" t="inlineStr">
        <is>
          <t>No</t>
        </is>
      </c>
      <c r="B3353" s="10" t="inlineStr">
        <is>
          <t>Uraian Komponen</t>
        </is>
      </c>
      <c r="C3353" s="10" t="inlineStr">
        <is>
          <t>Satuan</t>
        </is>
      </c>
      <c r="D3353" s="10" t="inlineStr">
        <is>
          <t>Koef</t>
        </is>
      </c>
      <c r="E3353" s="10" t="inlineStr">
        <is>
          <t>Harga Satuan (Rp)</t>
        </is>
      </c>
      <c r="F3353" s="10" t="inlineStr">
        <is>
          <t>Jumlah Harga (Rp)</t>
        </is>
      </c>
    </row>
    <row r="3354">
      <c r="A3354" s="3" t="inlineStr">
        <is>
          <t>1</t>
        </is>
      </c>
      <c r="B3354" s="3" t="inlineStr">
        <is>
          <t>Pekerja</t>
        </is>
      </c>
      <c r="C3354" s="3" t="inlineStr">
        <is>
          <t>OH</t>
        </is>
      </c>
      <c r="D3354" s="15" t="n">
        <v>1</v>
      </c>
      <c r="E3354" s="4" t="n">
        <v>100000</v>
      </c>
      <c r="F3354" s="4" t="n">
        <v>100000</v>
      </c>
    </row>
    <row r="3355">
      <c r="A3355" s="3" t="inlineStr">
        <is>
          <t>2</t>
        </is>
      </c>
      <c r="B3355" s="3" t="inlineStr">
        <is>
          <t>Tukang batu</t>
        </is>
      </c>
      <c r="C3355" s="3" t="inlineStr">
        <is>
          <t>OH</t>
        </is>
      </c>
      <c r="D3355" s="15" t="n">
        <v>0.5</v>
      </c>
      <c r="E3355" s="4" t="n">
        <v>145000</v>
      </c>
      <c r="F3355" s="4" t="n">
        <v>72500</v>
      </c>
    </row>
    <row r="3356">
      <c r="A3356" s="3" t="inlineStr">
        <is>
          <t>3</t>
        </is>
      </c>
      <c r="B3356" s="3" t="inlineStr">
        <is>
          <t>Kepala tukang</t>
        </is>
      </c>
      <c r="C3356" s="3" t="inlineStr">
        <is>
          <t>OH</t>
        </is>
      </c>
      <c r="D3356" s="15" t="n">
        <v>0.05</v>
      </c>
      <c r="E3356" s="4" t="n">
        <v>175000</v>
      </c>
      <c r="F3356" s="4" t="n">
        <v>8750</v>
      </c>
    </row>
    <row r="3357">
      <c r="A3357" s="3" t="inlineStr">
        <is>
          <t>4</t>
        </is>
      </c>
      <c r="B3357" s="3" t="inlineStr">
        <is>
          <t>Mandor</t>
        </is>
      </c>
      <c r="C3357" s="3" t="inlineStr">
        <is>
          <t>OH</t>
        </is>
      </c>
      <c r="D3357" s="15" t="n">
        <v>0.0167</v>
      </c>
      <c r="E3357" s="4" t="n">
        <v>200000</v>
      </c>
      <c r="F3357" s="4" t="n">
        <v>3340</v>
      </c>
    </row>
    <row r="3358">
      <c r="A3358" s="3" t="inlineStr">
        <is>
          <t>1</t>
        </is>
      </c>
      <c r="B3358" s="3" t="inlineStr">
        <is>
          <t>"Keramik Lantai Variasi uk. 40 x 40 cm Polished"</t>
        </is>
      </c>
      <c r="C3358" s="3" t="inlineStr">
        <is>
          <t>buah</t>
        </is>
      </c>
      <c r="D3358" s="15" t="n">
        <v>6.563</v>
      </c>
      <c r="E3358" s="4" t="n">
        <v>8100</v>
      </c>
      <c r="F3358" s="4" t="n">
        <v>53160.3</v>
      </c>
    </row>
    <row r="3359">
      <c r="A3359" s="3" t="inlineStr">
        <is>
          <t>2</t>
        </is>
      </c>
      <c r="B3359" s="3" t="inlineStr">
        <is>
          <t>Semen portland (pc)</t>
        </is>
      </c>
      <c r="C3359" s="3" t="inlineStr">
        <is>
          <t>kg</t>
        </is>
      </c>
      <c r="D3359" s="15" t="n">
        <v>13.632</v>
      </c>
      <c r="E3359" s="4" t="n">
        <v>1300</v>
      </c>
      <c r="F3359" s="4" t="n">
        <v>17721.6</v>
      </c>
    </row>
    <row r="3360">
      <c r="A3360" s="3" t="inlineStr">
        <is>
          <t>3</t>
        </is>
      </c>
      <c r="B3360" s="3" t="inlineStr">
        <is>
          <t>Semen warna</t>
        </is>
      </c>
      <c r="C3360" s="3" t="inlineStr">
        <is>
          <t>kg</t>
        </is>
      </c>
      <c r="D3360" s="15" t="n">
        <v>1.5</v>
      </c>
      <c r="E3360" s="4" t="n">
        <v>7800</v>
      </c>
      <c r="F3360" s="4" t="n">
        <v>11700</v>
      </c>
    </row>
    <row r="3361">
      <c r="A3361" s="3" t="inlineStr">
        <is>
          <t>4</t>
        </is>
      </c>
      <c r="B3361" s="3" t="inlineStr">
        <is>
          <t>Pasir pasang (quarry - lokasi pekerjaan)</t>
        </is>
      </c>
      <c r="C3361" s="3" t="inlineStr">
        <is>
          <t>m3</t>
        </is>
      </c>
      <c r="D3361" s="15" t="n">
        <v>0.027</v>
      </c>
      <c r="E3361" s="4" t="n">
        <v>275000</v>
      </c>
      <c r="F3361" s="4" t="n">
        <v>7425</v>
      </c>
    </row>
    <row r="3362">
      <c r="D3362" s="2" t="inlineStr">
        <is>
          <t>SUBTOTAL UPAH</t>
        </is>
      </c>
      <c r="F3362" s="16" t="n">
        <v>184590</v>
      </c>
    </row>
    <row r="3363">
      <c r="D3363" s="2" t="inlineStr">
        <is>
          <t>SUBTOTAL BAHAN</t>
        </is>
      </c>
      <c r="F3363" s="16" t="n">
        <v>90006.89999999999</v>
      </c>
    </row>
    <row r="3364">
      <c r="D3364" s="2" t="inlineStr">
        <is>
          <t>SUBTOTAL ALAT</t>
        </is>
      </c>
      <c r="F3364" s="16" t="n">
        <v>0</v>
      </c>
    </row>
    <row r="3365">
      <c r="E3365" s="2" t="inlineStr">
        <is>
          <t>TOTAL HARGA SATUAN (Inc. Overhead)</t>
        </is>
      </c>
      <c r="F3365" s="17" t="n">
        <v>302056</v>
      </c>
    </row>
    <row r="3367">
      <c r="A3367" s="14" t="inlineStr">
        <is>
          <t>KODE: 3.9.8.9 - Pemasangan 1 m2 lantai keramik uk. 20x20 cm (1SP : 2PP) Unpolished</t>
        </is>
      </c>
    </row>
    <row r="3368">
      <c r="A3368" s="10" t="inlineStr">
        <is>
          <t>No</t>
        </is>
      </c>
      <c r="B3368" s="10" t="inlineStr">
        <is>
          <t>Uraian Komponen</t>
        </is>
      </c>
      <c r="C3368" s="10" t="inlineStr">
        <is>
          <t>Satuan</t>
        </is>
      </c>
      <c r="D3368" s="10" t="inlineStr">
        <is>
          <t>Koef</t>
        </is>
      </c>
      <c r="E3368" s="10" t="inlineStr">
        <is>
          <t>Harga Satuan (Rp)</t>
        </is>
      </c>
      <c r="F3368" s="10" t="inlineStr">
        <is>
          <t>Jumlah Harga (Rp)</t>
        </is>
      </c>
    </row>
    <row r="3369">
      <c r="A3369" s="3" t="inlineStr">
        <is>
          <t>1</t>
        </is>
      </c>
      <c r="B3369" s="3" t="inlineStr">
        <is>
          <t>Pekerja</t>
        </is>
      </c>
      <c r="C3369" s="3" t="inlineStr">
        <is>
          <t>OH</t>
        </is>
      </c>
      <c r="D3369" s="15" t="n">
        <v>0.1333</v>
      </c>
      <c r="E3369" s="4" t="n">
        <v>100000</v>
      </c>
      <c r="F3369" s="4" t="n">
        <v>13330</v>
      </c>
    </row>
    <row r="3370">
      <c r="A3370" s="3" t="inlineStr">
        <is>
          <t>2</t>
        </is>
      </c>
      <c r="B3370" s="3" t="inlineStr">
        <is>
          <t>Tukang batu</t>
        </is>
      </c>
      <c r="C3370" s="3" t="inlineStr">
        <is>
          <t>OH</t>
        </is>
      </c>
      <c r="D3370" s="15" t="n">
        <v>0.0667</v>
      </c>
      <c r="E3370" s="4" t="n">
        <v>145000</v>
      </c>
      <c r="F3370" s="4" t="n">
        <v>9671.5</v>
      </c>
    </row>
    <row r="3371">
      <c r="A3371" s="3" t="inlineStr">
        <is>
          <t>3</t>
        </is>
      </c>
      <c r="B3371" s="3" t="inlineStr">
        <is>
          <t>Kepala tukang</t>
        </is>
      </c>
      <c r="C3371" s="3" t="inlineStr">
        <is>
          <t>OH</t>
        </is>
      </c>
      <c r="D3371" s="15" t="n">
        <v>0.0067</v>
      </c>
      <c r="E3371" s="4" t="n">
        <v>175000</v>
      </c>
      <c r="F3371" s="4" t="n">
        <v>1172.5</v>
      </c>
    </row>
    <row r="3372">
      <c r="A3372" s="3" t="inlineStr">
        <is>
          <t>4</t>
        </is>
      </c>
      <c r="B3372" s="3" t="inlineStr">
        <is>
          <t>Mandor</t>
        </is>
      </c>
      <c r="C3372" s="3" t="inlineStr">
        <is>
          <t>OH</t>
        </is>
      </c>
      <c r="D3372" s="15" t="n">
        <v>0.0022</v>
      </c>
      <c r="E3372" s="4" t="n">
        <v>200000</v>
      </c>
      <c r="F3372" s="4" t="n">
        <v>440</v>
      </c>
    </row>
    <row r="3373">
      <c r="A3373" s="3" t="inlineStr">
        <is>
          <t>1</t>
        </is>
      </c>
      <c r="B3373" s="3" t="inlineStr">
        <is>
          <t>"Keramik Lantai uk. 20 x 20 cm Unpolished"</t>
        </is>
      </c>
      <c r="C3373" s="3" t="inlineStr">
        <is>
          <t>buah</t>
        </is>
      </c>
      <c r="D3373" s="15" t="n">
        <v>26.25</v>
      </c>
      <c r="E3373" s="4" t="n">
        <v>2000</v>
      </c>
      <c r="F3373" s="4" t="n">
        <v>52500</v>
      </c>
    </row>
    <row r="3374">
      <c r="A3374" s="3" t="inlineStr">
        <is>
          <t>2</t>
        </is>
      </c>
      <c r="B3374" s="3" t="inlineStr">
        <is>
          <t>Semen portland (PC)</t>
        </is>
      </c>
      <c r="C3374" s="3" t="inlineStr">
        <is>
          <t>kg</t>
        </is>
      </c>
      <c r="D3374" s="15" t="n">
        <v>13.632</v>
      </c>
      <c r="E3374" s="4" t="n">
        <v>1300</v>
      </c>
      <c r="F3374" s="4" t="n">
        <v>17721.6</v>
      </c>
    </row>
    <row r="3375">
      <c r="A3375" s="3" t="inlineStr">
        <is>
          <t>3</t>
        </is>
      </c>
      <c r="B3375" s="3" t="inlineStr">
        <is>
          <t>Semen warna</t>
        </is>
      </c>
      <c r="C3375" s="3" t="inlineStr">
        <is>
          <t>kg</t>
        </is>
      </c>
      <c r="D3375" s="15" t="n">
        <v>1.5</v>
      </c>
      <c r="E3375" s="4" t="n">
        <v>7800</v>
      </c>
      <c r="F3375" s="4" t="n">
        <v>11700</v>
      </c>
    </row>
    <row r="3376">
      <c r="A3376" s="3" t="inlineStr">
        <is>
          <t>4</t>
        </is>
      </c>
      <c r="B3376" s="3" t="inlineStr">
        <is>
          <t>Pasir pasang (quarry - lokasi pekerjaan)</t>
        </is>
      </c>
      <c r="C3376" s="3" t="inlineStr">
        <is>
          <t>m3</t>
        </is>
      </c>
      <c r="D3376" s="15" t="n">
        <v>0.027</v>
      </c>
      <c r="E3376" s="4" t="n">
        <v>275000</v>
      </c>
      <c r="F3376" s="4" t="n">
        <v>7425</v>
      </c>
    </row>
    <row r="3377">
      <c r="D3377" s="2" t="inlineStr">
        <is>
          <t>SUBTOTAL UPAH</t>
        </is>
      </c>
      <c r="F3377" s="16" t="n">
        <v>24614</v>
      </c>
    </row>
    <row r="3378">
      <c r="D3378" s="2" t="inlineStr">
        <is>
          <t>SUBTOTAL BAHAN</t>
        </is>
      </c>
      <c r="F3378" s="16" t="n">
        <v>89346.60000000001</v>
      </c>
    </row>
    <row r="3379">
      <c r="D3379" s="2" t="inlineStr">
        <is>
          <t>SUBTOTAL ALAT</t>
        </is>
      </c>
      <c r="F3379" s="16" t="n">
        <v>0</v>
      </c>
    </row>
    <row r="3380">
      <c r="E3380" s="2" t="inlineStr">
        <is>
          <t>TOTAL HARGA SATUAN (Inc. Overhead)</t>
        </is>
      </c>
      <c r="F3380" s="17" t="n">
        <v>125356</v>
      </c>
    </row>
    <row r="3382">
      <c r="A3382" s="14" t="inlineStr">
        <is>
          <t>KODE: 3.9.8.10 - Pemasangan 1 m2 lantai keramik uk. 25x25 cm (1SP : 2PP) Unpolished</t>
        </is>
      </c>
    </row>
    <row r="3383">
      <c r="A3383" s="10" t="inlineStr">
        <is>
          <t>No</t>
        </is>
      </c>
      <c r="B3383" s="10" t="inlineStr">
        <is>
          <t>Uraian Komponen</t>
        </is>
      </c>
      <c r="C3383" s="10" t="inlineStr">
        <is>
          <t>Satuan</t>
        </is>
      </c>
      <c r="D3383" s="10" t="inlineStr">
        <is>
          <t>Koef</t>
        </is>
      </c>
      <c r="E3383" s="10" t="inlineStr">
        <is>
          <t>Harga Satuan (Rp)</t>
        </is>
      </c>
      <c r="F3383" s="10" t="inlineStr">
        <is>
          <t>Jumlah Harga (Rp)</t>
        </is>
      </c>
    </row>
    <row r="3384">
      <c r="A3384" s="3" t="inlineStr">
        <is>
          <t>1</t>
        </is>
      </c>
      <c r="B3384" s="3" t="inlineStr">
        <is>
          <t>Pekerja</t>
        </is>
      </c>
      <c r="C3384" s="3" t="inlineStr">
        <is>
          <t>OH</t>
        </is>
      </c>
      <c r="D3384" s="15" t="n">
        <v>0.1379</v>
      </c>
      <c r="E3384" s="4" t="n">
        <v>100000</v>
      </c>
      <c r="F3384" s="4" t="n">
        <v>13790</v>
      </c>
    </row>
    <row r="3385">
      <c r="A3385" s="3" t="inlineStr">
        <is>
          <t>2</t>
        </is>
      </c>
      <c r="B3385" s="3" t="inlineStr">
        <is>
          <t>Tukang batu</t>
        </is>
      </c>
      <c r="C3385" s="3" t="inlineStr">
        <is>
          <t>OH</t>
        </is>
      </c>
      <c r="D3385" s="15" t="n">
        <v>0.06900000000000001</v>
      </c>
      <c r="E3385" s="4" t="n">
        <v>145000</v>
      </c>
      <c r="F3385" s="4" t="n">
        <v>10005</v>
      </c>
    </row>
    <row r="3386">
      <c r="A3386" s="3" t="inlineStr">
        <is>
          <t>3</t>
        </is>
      </c>
      <c r="B3386" s="3" t="inlineStr">
        <is>
          <t>Kepala tukang</t>
        </is>
      </c>
      <c r="C3386" s="3" t="inlineStr">
        <is>
          <t>OH</t>
        </is>
      </c>
      <c r="D3386" s="15" t="n">
        <v>0.0069</v>
      </c>
      <c r="E3386" s="4" t="n">
        <v>175000</v>
      </c>
      <c r="F3386" s="4" t="n">
        <v>1207.5</v>
      </c>
    </row>
    <row r="3387">
      <c r="A3387" s="3" t="inlineStr">
        <is>
          <t>4</t>
        </is>
      </c>
      <c r="B3387" s="3" t="inlineStr">
        <is>
          <t>Mandor</t>
        </is>
      </c>
      <c r="C3387" s="3" t="inlineStr">
        <is>
          <t>OH</t>
        </is>
      </c>
      <c r="D3387" s="15" t="n">
        <v>0.0023</v>
      </c>
      <c r="E3387" s="4" t="n">
        <v>200000</v>
      </c>
      <c r="F3387" s="4" t="n">
        <v>460</v>
      </c>
    </row>
    <row r="3388">
      <c r="A3388" s="3" t="inlineStr">
        <is>
          <t>1</t>
        </is>
      </c>
      <c r="B3388" s="3" t="inlineStr">
        <is>
          <t>"Keramik Lantai uk. 25 x 25 cm Unpolished"</t>
        </is>
      </c>
      <c r="C3388" s="3" t="inlineStr">
        <is>
          <t>buah</t>
        </is>
      </c>
      <c r="D3388" s="15" t="n">
        <v>16.8</v>
      </c>
      <c r="E3388" s="4" t="n">
        <v>2500</v>
      </c>
      <c r="F3388" s="4" t="n">
        <v>42000</v>
      </c>
    </row>
    <row r="3389">
      <c r="A3389" s="3" t="inlineStr">
        <is>
          <t>2</t>
        </is>
      </c>
      <c r="B3389" s="3" t="inlineStr">
        <is>
          <t>Semen portland (PC)</t>
        </is>
      </c>
      <c r="C3389" s="3" t="inlineStr">
        <is>
          <t>kg</t>
        </is>
      </c>
      <c r="D3389" s="15" t="n">
        <v>13.632</v>
      </c>
      <c r="E3389" s="4" t="n">
        <v>1300</v>
      </c>
      <c r="F3389" s="4" t="n">
        <v>17721.6</v>
      </c>
    </row>
    <row r="3390">
      <c r="A3390" s="3" t="inlineStr">
        <is>
          <t>3</t>
        </is>
      </c>
      <c r="B3390" s="3" t="inlineStr">
        <is>
          <t>Semen warna</t>
        </is>
      </c>
      <c r="C3390" s="3" t="inlineStr">
        <is>
          <t>kg</t>
        </is>
      </c>
      <c r="D3390" s="15" t="n">
        <v>1.5</v>
      </c>
      <c r="E3390" s="4" t="n">
        <v>7800</v>
      </c>
      <c r="F3390" s="4" t="n">
        <v>11700</v>
      </c>
    </row>
    <row r="3391">
      <c r="A3391" s="3" t="inlineStr">
        <is>
          <t>4</t>
        </is>
      </c>
      <c r="B3391" s="3" t="inlineStr">
        <is>
          <t>Pasir pasang (quarry - lokasi pekerjaan)</t>
        </is>
      </c>
      <c r="C3391" s="3" t="inlineStr">
        <is>
          <t>m3</t>
        </is>
      </c>
      <c r="D3391" s="15" t="n">
        <v>0.027</v>
      </c>
      <c r="E3391" s="4" t="n">
        <v>275000</v>
      </c>
      <c r="F3391" s="4" t="n">
        <v>7425</v>
      </c>
    </row>
    <row r="3392">
      <c r="D3392" s="2" t="inlineStr">
        <is>
          <t>SUBTOTAL UPAH</t>
        </is>
      </c>
      <c r="F3392" s="16" t="n">
        <v>25462.5</v>
      </c>
    </row>
    <row r="3393">
      <c r="D3393" s="2" t="inlineStr">
        <is>
          <t>SUBTOTAL BAHAN</t>
        </is>
      </c>
      <c r="F3393" s="16" t="n">
        <v>78846.60000000001</v>
      </c>
    </row>
    <row r="3394">
      <c r="D3394" s="2" t="inlineStr">
        <is>
          <t>SUBTOTAL ALAT</t>
        </is>
      </c>
      <c r="F3394" s="16" t="n">
        <v>0</v>
      </c>
    </row>
    <row r="3395">
      <c r="E3395" s="2" t="inlineStr">
        <is>
          <t>TOTAL HARGA SATUAN (Inc. Overhead)</t>
        </is>
      </c>
      <c r="F3395" s="17" t="n">
        <v>114740</v>
      </c>
    </row>
    <row r="3397">
      <c r="A3397" s="14" t="inlineStr">
        <is>
          <t>KODE: 3.9.8.11 - Pemasangan 1 m2 lantai keramik uk. 25x40 cm (1SP : 2PP) Unpolished</t>
        </is>
      </c>
    </row>
    <row r="3398">
      <c r="A3398" s="10" t="inlineStr">
        <is>
          <t>No</t>
        </is>
      </c>
      <c r="B3398" s="10" t="inlineStr">
        <is>
          <t>Uraian Komponen</t>
        </is>
      </c>
      <c r="C3398" s="10" t="inlineStr">
        <is>
          <t>Satuan</t>
        </is>
      </c>
      <c r="D3398" s="10" t="inlineStr">
        <is>
          <t>Koef</t>
        </is>
      </c>
      <c r="E3398" s="10" t="inlineStr">
        <is>
          <t>Harga Satuan (Rp)</t>
        </is>
      </c>
      <c r="F3398" s="10" t="inlineStr">
        <is>
          <t>Jumlah Harga (Rp)</t>
        </is>
      </c>
    </row>
    <row r="3399">
      <c r="A3399" s="3" t="inlineStr">
        <is>
          <t>1</t>
        </is>
      </c>
      <c r="B3399" s="3" t="inlineStr">
        <is>
          <t>Pekerja</t>
        </is>
      </c>
      <c r="C3399" s="3" t="inlineStr">
        <is>
          <t>OH</t>
        </is>
      </c>
      <c r="D3399" s="15" t="n">
        <v>0.1429</v>
      </c>
      <c r="E3399" s="4" t="n">
        <v>100000</v>
      </c>
      <c r="F3399" s="4" t="n">
        <v>14290</v>
      </c>
    </row>
    <row r="3400">
      <c r="A3400" s="3" t="inlineStr">
        <is>
          <t>2</t>
        </is>
      </c>
      <c r="B3400" s="3" t="inlineStr">
        <is>
          <t>Tukang batu</t>
        </is>
      </c>
      <c r="C3400" s="3" t="inlineStr">
        <is>
          <t>OH</t>
        </is>
      </c>
      <c r="D3400" s="15" t="n">
        <v>0.07140000000000001</v>
      </c>
      <c r="E3400" s="4" t="n">
        <v>145000</v>
      </c>
      <c r="F3400" s="4" t="n">
        <v>10353</v>
      </c>
    </row>
    <row r="3401">
      <c r="A3401" s="3" t="inlineStr">
        <is>
          <t>3</t>
        </is>
      </c>
      <c r="B3401" s="3" t="inlineStr">
        <is>
          <t>Kepala tukang</t>
        </is>
      </c>
      <c r="C3401" s="3" t="inlineStr">
        <is>
          <t>OH</t>
        </is>
      </c>
      <c r="D3401" s="15" t="n">
        <v>0.0071</v>
      </c>
      <c r="E3401" s="4" t="n">
        <v>175000</v>
      </c>
      <c r="F3401" s="4" t="n">
        <v>1242.5</v>
      </c>
    </row>
    <row r="3402">
      <c r="A3402" s="3" t="inlineStr">
        <is>
          <t>4</t>
        </is>
      </c>
      <c r="B3402" s="3" t="inlineStr">
        <is>
          <t>Mandor</t>
        </is>
      </c>
      <c r="C3402" s="3" t="inlineStr">
        <is>
          <t>OH</t>
        </is>
      </c>
      <c r="D3402" s="15" t="n">
        <v>0.0024</v>
      </c>
      <c r="E3402" s="4" t="n">
        <v>200000</v>
      </c>
      <c r="F3402" s="4" t="n">
        <v>479.9999999999999</v>
      </c>
    </row>
    <row r="3403">
      <c r="A3403" s="3" t="inlineStr">
        <is>
          <t>1</t>
        </is>
      </c>
      <c r="B3403" s="3" t="inlineStr">
        <is>
          <t>"Keramik Lantai uk. 25 x 40 cm Unpolished"</t>
        </is>
      </c>
      <c r="C3403" s="3" t="inlineStr">
        <is>
          <t>buah</t>
        </is>
      </c>
      <c r="D3403" s="15" t="n">
        <v>10.5</v>
      </c>
      <c r="E3403" s="4" t="n">
        <v>3200</v>
      </c>
      <c r="F3403" s="4" t="n">
        <v>33600</v>
      </c>
    </row>
    <row r="3404">
      <c r="A3404" s="3" t="inlineStr">
        <is>
          <t>2</t>
        </is>
      </c>
      <c r="B3404" s="3" t="inlineStr">
        <is>
          <t>Semen portland (PC)</t>
        </is>
      </c>
      <c r="C3404" s="3" t="inlineStr">
        <is>
          <t>kg</t>
        </is>
      </c>
      <c r="D3404" s="15" t="n">
        <v>13.632</v>
      </c>
      <c r="E3404" s="4" t="n">
        <v>1300</v>
      </c>
      <c r="F3404" s="4" t="n">
        <v>17721.6</v>
      </c>
    </row>
    <row r="3405">
      <c r="A3405" s="3" t="inlineStr">
        <is>
          <t>3</t>
        </is>
      </c>
      <c r="B3405" s="3" t="inlineStr">
        <is>
          <t>Semen warna</t>
        </is>
      </c>
      <c r="C3405" s="3" t="inlineStr">
        <is>
          <t>kg</t>
        </is>
      </c>
      <c r="D3405" s="15" t="n">
        <v>1.5</v>
      </c>
      <c r="E3405" s="4" t="n">
        <v>7800</v>
      </c>
      <c r="F3405" s="4" t="n">
        <v>11700</v>
      </c>
    </row>
    <row r="3406">
      <c r="A3406" s="3" t="inlineStr">
        <is>
          <t>4</t>
        </is>
      </c>
      <c r="B3406" s="3" t="inlineStr">
        <is>
          <t>Pasir pasang (quarry - lokasi pekerjaan)</t>
        </is>
      </c>
      <c r="C3406" s="3" t="inlineStr">
        <is>
          <t>m3</t>
        </is>
      </c>
      <c r="D3406" s="15" t="n">
        <v>0.027</v>
      </c>
      <c r="E3406" s="4" t="n">
        <v>275000</v>
      </c>
      <c r="F3406" s="4" t="n">
        <v>7425</v>
      </c>
    </row>
    <row r="3407">
      <c r="D3407" s="2" t="inlineStr">
        <is>
          <t>SUBTOTAL UPAH</t>
        </is>
      </c>
      <c r="F3407" s="16" t="n">
        <v>26365.5</v>
      </c>
    </row>
    <row r="3408">
      <c r="D3408" s="2" t="inlineStr">
        <is>
          <t>SUBTOTAL BAHAN</t>
        </is>
      </c>
      <c r="F3408" s="16" t="n">
        <v>70446.60000000001</v>
      </c>
    </row>
    <row r="3409">
      <c r="D3409" s="2" t="inlineStr">
        <is>
          <t>SUBTOTAL ALAT</t>
        </is>
      </c>
      <c r="F3409" s="16" t="n">
        <v>0</v>
      </c>
    </row>
    <row r="3410">
      <c r="E3410" s="2" t="inlineStr">
        <is>
          <t>TOTAL HARGA SATUAN (Inc. Overhead)</t>
        </is>
      </c>
      <c r="F3410" s="17" t="n">
        <v>106493</v>
      </c>
    </row>
    <row r="3412">
      <c r="A3412" s="14" t="inlineStr">
        <is>
          <t>KODE: 3.9.8.12 - Pemasangan 1 m2 lantai keramik uk. 30x30 cm (1SP : 2PP) Unpolished</t>
        </is>
      </c>
    </row>
    <row r="3413">
      <c r="A3413" s="10" t="inlineStr">
        <is>
          <t>No</t>
        </is>
      </c>
      <c r="B3413" s="10" t="inlineStr">
        <is>
          <t>Uraian Komponen</t>
        </is>
      </c>
      <c r="C3413" s="10" t="inlineStr">
        <is>
          <t>Satuan</t>
        </is>
      </c>
      <c r="D3413" s="10" t="inlineStr">
        <is>
          <t>Koef</t>
        </is>
      </c>
      <c r="E3413" s="10" t="inlineStr">
        <is>
          <t>Harga Satuan (Rp)</t>
        </is>
      </c>
      <c r="F3413" s="10" t="inlineStr">
        <is>
          <t>Jumlah Harga (Rp)</t>
        </is>
      </c>
    </row>
    <row r="3414">
      <c r="A3414" s="3" t="inlineStr">
        <is>
          <t>1</t>
        </is>
      </c>
      <c r="B3414" s="3" t="inlineStr">
        <is>
          <t>Pekerja</t>
        </is>
      </c>
      <c r="C3414" s="3" t="inlineStr">
        <is>
          <t>OH</t>
        </is>
      </c>
      <c r="D3414" s="15" t="n">
        <v>0.1429</v>
      </c>
      <c r="E3414" s="4" t="n">
        <v>100000</v>
      </c>
      <c r="F3414" s="4" t="n">
        <v>14290</v>
      </c>
    </row>
    <row r="3415">
      <c r="A3415" s="3" t="inlineStr">
        <is>
          <t>2</t>
        </is>
      </c>
      <c r="B3415" s="3" t="inlineStr">
        <is>
          <t>Tukang batu</t>
        </is>
      </c>
      <c r="C3415" s="3" t="inlineStr">
        <is>
          <t>OH</t>
        </is>
      </c>
      <c r="D3415" s="15" t="n">
        <v>0.07140000000000001</v>
      </c>
      <c r="E3415" s="4" t="n">
        <v>145000</v>
      </c>
      <c r="F3415" s="4" t="n">
        <v>10353</v>
      </c>
    </row>
    <row r="3416">
      <c r="A3416" s="3" t="inlineStr">
        <is>
          <t>3</t>
        </is>
      </c>
      <c r="B3416" s="3" t="inlineStr">
        <is>
          <t>Kepala tukang</t>
        </is>
      </c>
      <c r="C3416" s="3" t="inlineStr">
        <is>
          <t>OH</t>
        </is>
      </c>
      <c r="D3416" s="15" t="n">
        <v>0.0071</v>
      </c>
      <c r="E3416" s="4" t="n">
        <v>175000</v>
      </c>
      <c r="F3416" s="4" t="n">
        <v>1242.5</v>
      </c>
    </row>
    <row r="3417">
      <c r="A3417" s="3" t="inlineStr">
        <is>
          <t>4</t>
        </is>
      </c>
      <c r="B3417" s="3" t="inlineStr">
        <is>
          <t>Mandor</t>
        </is>
      </c>
      <c r="C3417" s="3" t="inlineStr">
        <is>
          <t>OH</t>
        </is>
      </c>
      <c r="D3417" s="15" t="n">
        <v>0.0024</v>
      </c>
      <c r="E3417" s="4" t="n">
        <v>200000</v>
      </c>
      <c r="F3417" s="4" t="n">
        <v>479.9999999999999</v>
      </c>
    </row>
    <row r="3418">
      <c r="A3418" s="3" t="inlineStr">
        <is>
          <t>1</t>
        </is>
      </c>
      <c r="B3418" s="3" t="inlineStr">
        <is>
          <t>"Keramik Lantai uk. 30 x 30 cm Unpolished"</t>
        </is>
      </c>
      <c r="C3418" s="3" t="inlineStr">
        <is>
          <t>buah</t>
        </is>
      </c>
      <c r="D3418" s="15" t="n">
        <v>11.667</v>
      </c>
      <c r="E3418" s="4" t="n">
        <v>3800</v>
      </c>
      <c r="F3418" s="4" t="n">
        <v>44334.6</v>
      </c>
    </row>
    <row r="3419">
      <c r="A3419" s="3" t="inlineStr">
        <is>
          <t>2</t>
        </is>
      </c>
      <c r="B3419" s="3" t="inlineStr">
        <is>
          <t>Semen portland (PC)</t>
        </is>
      </c>
      <c r="C3419" s="3" t="inlineStr">
        <is>
          <t>kg</t>
        </is>
      </c>
      <c r="D3419" s="15" t="n">
        <v>13.632</v>
      </c>
      <c r="E3419" s="4" t="n">
        <v>1300</v>
      </c>
      <c r="F3419" s="4" t="n">
        <v>17721.6</v>
      </c>
    </row>
    <row r="3420">
      <c r="A3420" s="3" t="inlineStr">
        <is>
          <t>3</t>
        </is>
      </c>
      <c r="B3420" s="3" t="inlineStr">
        <is>
          <t>Semen warna</t>
        </is>
      </c>
      <c r="C3420" s="3" t="inlineStr">
        <is>
          <t>kg</t>
        </is>
      </c>
      <c r="D3420" s="15" t="n">
        <v>1.5</v>
      </c>
      <c r="E3420" s="4" t="n">
        <v>7800</v>
      </c>
      <c r="F3420" s="4" t="n">
        <v>11700</v>
      </c>
    </row>
    <row r="3421">
      <c r="A3421" s="3" t="inlineStr">
        <is>
          <t>4</t>
        </is>
      </c>
      <c r="B3421" s="3" t="inlineStr">
        <is>
          <t>Pasir pasang (quarry - lokasi pekerjaan)</t>
        </is>
      </c>
      <c r="C3421" s="3" t="inlineStr">
        <is>
          <t>m3</t>
        </is>
      </c>
      <c r="D3421" s="15" t="n">
        <v>0.027</v>
      </c>
      <c r="E3421" s="4" t="n">
        <v>275000</v>
      </c>
      <c r="F3421" s="4" t="n">
        <v>7425</v>
      </c>
    </row>
    <row r="3422">
      <c r="D3422" s="2" t="inlineStr">
        <is>
          <t>SUBTOTAL UPAH</t>
        </is>
      </c>
      <c r="F3422" s="16" t="n">
        <v>26365.5</v>
      </c>
    </row>
    <row r="3423">
      <c r="D3423" s="2" t="inlineStr">
        <is>
          <t>SUBTOTAL BAHAN</t>
        </is>
      </c>
      <c r="F3423" s="16" t="n">
        <v>81181.2</v>
      </c>
    </row>
    <row r="3424">
      <c r="D3424" s="2" t="inlineStr">
        <is>
          <t>SUBTOTAL ALAT</t>
        </is>
      </c>
      <c r="F3424" s="16" t="n">
        <v>0</v>
      </c>
    </row>
    <row r="3425">
      <c r="E3425" s="2" t="inlineStr">
        <is>
          <t>TOTAL HARGA SATUAN (Inc. Overhead)</t>
        </is>
      </c>
      <c r="F3425" s="17" t="n">
        <v>118301</v>
      </c>
    </row>
    <row r="3427">
      <c r="A3427" s="14" t="inlineStr">
        <is>
          <t>KODE: 3.9.8.13 - Pemasangan 1 m2 lantai keramik uk. 30x60 cm (1SP : 2PP) Unpolished</t>
        </is>
      </c>
    </row>
    <row r="3428">
      <c r="A3428" s="10" t="inlineStr">
        <is>
          <t>No</t>
        </is>
      </c>
      <c r="B3428" s="10" t="inlineStr">
        <is>
          <t>Uraian Komponen</t>
        </is>
      </c>
      <c r="C3428" s="10" t="inlineStr">
        <is>
          <t>Satuan</t>
        </is>
      </c>
      <c r="D3428" s="10" t="inlineStr">
        <is>
          <t>Koef</t>
        </is>
      </c>
      <c r="E3428" s="10" t="inlineStr">
        <is>
          <t>Harga Satuan (Rp)</t>
        </is>
      </c>
      <c r="F3428" s="10" t="inlineStr">
        <is>
          <t>Jumlah Harga (Rp)</t>
        </is>
      </c>
    </row>
    <row r="3429">
      <c r="A3429" s="3" t="inlineStr">
        <is>
          <t>1</t>
        </is>
      </c>
      <c r="B3429" s="3" t="inlineStr">
        <is>
          <t>Pekerja</t>
        </is>
      </c>
      <c r="C3429" s="3" t="inlineStr">
        <is>
          <t>OH</t>
        </is>
      </c>
      <c r="D3429" s="15" t="n">
        <v>0.1538</v>
      </c>
      <c r="E3429" s="4" t="n">
        <v>100000</v>
      </c>
      <c r="F3429" s="4" t="n">
        <v>15380</v>
      </c>
    </row>
    <row r="3430">
      <c r="A3430" s="3" t="inlineStr">
        <is>
          <t>2</t>
        </is>
      </c>
      <c r="B3430" s="3" t="inlineStr">
        <is>
          <t>Tukang batu</t>
        </is>
      </c>
      <c r="C3430" s="3" t="inlineStr">
        <is>
          <t>OH</t>
        </is>
      </c>
      <c r="D3430" s="15" t="n">
        <v>0.0769</v>
      </c>
      <c r="E3430" s="4" t="n">
        <v>145000</v>
      </c>
      <c r="F3430" s="4" t="n">
        <v>11150.5</v>
      </c>
    </row>
    <row r="3431">
      <c r="A3431" s="3" t="inlineStr">
        <is>
          <t>3</t>
        </is>
      </c>
      <c r="B3431" s="3" t="inlineStr">
        <is>
          <t>Kepala tukang</t>
        </is>
      </c>
      <c r="C3431" s="3" t="inlineStr">
        <is>
          <t>OH</t>
        </is>
      </c>
      <c r="D3431" s="15" t="n">
        <v>0.0077</v>
      </c>
      <c r="E3431" s="4" t="n">
        <v>175000</v>
      </c>
      <c r="F3431" s="4" t="n">
        <v>1347.5</v>
      </c>
    </row>
    <row r="3432">
      <c r="A3432" s="3" t="inlineStr">
        <is>
          <t>4</t>
        </is>
      </c>
      <c r="B3432" s="3" t="inlineStr">
        <is>
          <t>Mandor</t>
        </is>
      </c>
      <c r="C3432" s="3" t="inlineStr">
        <is>
          <t>OH</t>
        </is>
      </c>
      <c r="D3432" s="15" t="n">
        <v>0.0026</v>
      </c>
      <c r="E3432" s="4" t="n">
        <v>200000</v>
      </c>
      <c r="F3432" s="4" t="n">
        <v>520</v>
      </c>
    </row>
    <row r="3433">
      <c r="A3433" s="3" t="inlineStr">
        <is>
          <t>1</t>
        </is>
      </c>
      <c r="B3433" s="3" t="inlineStr">
        <is>
          <t>"Keramik Lantai uk. 30 x 60 cm Unpolished"</t>
        </is>
      </c>
      <c r="C3433" s="3" t="inlineStr">
        <is>
          <t>buah</t>
        </is>
      </c>
      <c r="D3433" s="15" t="n">
        <v>5.833</v>
      </c>
      <c r="E3433" s="4" t="n">
        <v>8500</v>
      </c>
      <c r="F3433" s="4" t="n">
        <v>49580.5</v>
      </c>
    </row>
    <row r="3434">
      <c r="A3434" s="3" t="inlineStr">
        <is>
          <t>2</t>
        </is>
      </c>
      <c r="B3434" s="3" t="inlineStr">
        <is>
          <t>Semen portland (PC)</t>
        </is>
      </c>
      <c r="C3434" s="3" t="inlineStr">
        <is>
          <t>kg</t>
        </is>
      </c>
      <c r="D3434" s="15" t="n">
        <v>13.632</v>
      </c>
      <c r="E3434" s="4" t="n">
        <v>1300</v>
      </c>
      <c r="F3434" s="4" t="n">
        <v>17721.6</v>
      </c>
    </row>
    <row r="3435">
      <c r="A3435" s="3" t="inlineStr">
        <is>
          <t>3</t>
        </is>
      </c>
      <c r="B3435" s="3" t="inlineStr">
        <is>
          <t>Semen warna</t>
        </is>
      </c>
      <c r="C3435" s="3" t="inlineStr">
        <is>
          <t>kg</t>
        </is>
      </c>
      <c r="D3435" s="15" t="n">
        <v>1.5</v>
      </c>
      <c r="E3435" s="4" t="n">
        <v>7800</v>
      </c>
      <c r="F3435" s="4" t="n">
        <v>11700</v>
      </c>
    </row>
    <row r="3436">
      <c r="A3436" s="3" t="inlineStr">
        <is>
          <t>4</t>
        </is>
      </c>
      <c r="B3436" s="3" t="inlineStr">
        <is>
          <t>Pasir pasang (quarry - lokasi pekerjaan)</t>
        </is>
      </c>
      <c r="C3436" s="3" t="inlineStr">
        <is>
          <t>m3</t>
        </is>
      </c>
      <c r="D3436" s="15" t="n">
        <v>0.027</v>
      </c>
      <c r="E3436" s="4" t="n">
        <v>275000</v>
      </c>
      <c r="F3436" s="4" t="n">
        <v>7425</v>
      </c>
    </row>
    <row r="3437">
      <c r="D3437" s="2" t="inlineStr">
        <is>
          <t>SUBTOTAL UPAH</t>
        </is>
      </c>
      <c r="F3437" s="16" t="n">
        <v>28398</v>
      </c>
    </row>
    <row r="3438">
      <c r="D3438" s="2" t="inlineStr">
        <is>
          <t>SUBTOTAL BAHAN</t>
        </is>
      </c>
      <c r="F3438" s="16" t="n">
        <v>86427.10000000001</v>
      </c>
    </row>
    <row r="3439">
      <c r="D3439" s="2" t="inlineStr">
        <is>
          <t>SUBTOTAL ALAT</t>
        </is>
      </c>
      <c r="F3439" s="16" t="n">
        <v>0</v>
      </c>
    </row>
    <row r="3440">
      <c r="E3440" s="2" t="inlineStr">
        <is>
          <t>TOTAL HARGA SATUAN (Inc. Overhead)</t>
        </is>
      </c>
      <c r="F3440" s="17" t="n">
        <v>126307</v>
      </c>
    </row>
    <row r="3442">
      <c r="A3442" s="14" t="inlineStr">
        <is>
          <t>KODE: 3.9.8.14 - Pemasangan 1 m2 lantai keramik uk. 40x40 cm (1SP : 2PP) Unpolished</t>
        </is>
      </c>
    </row>
    <row r="3443">
      <c r="A3443" s="10" t="inlineStr">
        <is>
          <t>No</t>
        </is>
      </c>
      <c r="B3443" s="10" t="inlineStr">
        <is>
          <t>Uraian Komponen</t>
        </is>
      </c>
      <c r="C3443" s="10" t="inlineStr">
        <is>
          <t>Satuan</t>
        </is>
      </c>
      <c r="D3443" s="10" t="inlineStr">
        <is>
          <t>Koef</t>
        </is>
      </c>
      <c r="E3443" s="10" t="inlineStr">
        <is>
          <t>Harga Satuan (Rp)</t>
        </is>
      </c>
      <c r="F3443" s="10" t="inlineStr">
        <is>
          <t>Jumlah Harga (Rp)</t>
        </is>
      </c>
    </row>
    <row r="3444">
      <c r="A3444" s="3" t="inlineStr">
        <is>
          <t>1</t>
        </is>
      </c>
      <c r="B3444" s="3" t="inlineStr">
        <is>
          <t>Pekerja</t>
        </is>
      </c>
      <c r="C3444" s="3" t="inlineStr">
        <is>
          <t>OH</t>
        </is>
      </c>
      <c r="D3444" s="15" t="n">
        <v>0.1538</v>
      </c>
      <c r="E3444" s="4" t="n">
        <v>100000</v>
      </c>
      <c r="F3444" s="4" t="n">
        <v>15380</v>
      </c>
    </row>
    <row r="3445">
      <c r="A3445" s="3" t="inlineStr">
        <is>
          <t>2</t>
        </is>
      </c>
      <c r="B3445" s="3" t="inlineStr">
        <is>
          <t>Tukang batu</t>
        </is>
      </c>
      <c r="C3445" s="3" t="inlineStr">
        <is>
          <t>OH</t>
        </is>
      </c>
      <c r="D3445" s="15" t="n">
        <v>0.0769</v>
      </c>
      <c r="E3445" s="4" t="n">
        <v>145000</v>
      </c>
      <c r="F3445" s="4" t="n">
        <v>11150.5</v>
      </c>
    </row>
    <row r="3446">
      <c r="A3446" s="3" t="inlineStr">
        <is>
          <t>3</t>
        </is>
      </c>
      <c r="B3446" s="3" t="inlineStr">
        <is>
          <t>Kepala tukang</t>
        </is>
      </c>
      <c r="C3446" s="3" t="inlineStr">
        <is>
          <t>OH</t>
        </is>
      </c>
      <c r="D3446" s="15" t="n">
        <v>0.0077</v>
      </c>
      <c r="E3446" s="4" t="n">
        <v>175000</v>
      </c>
      <c r="F3446" s="4" t="n">
        <v>1347.5</v>
      </c>
    </row>
    <row r="3447">
      <c r="A3447" s="3" t="inlineStr">
        <is>
          <t>4</t>
        </is>
      </c>
      <c r="B3447" s="3" t="inlineStr">
        <is>
          <t>Mandor</t>
        </is>
      </c>
      <c r="C3447" s="3" t="inlineStr">
        <is>
          <t>OH</t>
        </is>
      </c>
      <c r="D3447" s="15" t="n">
        <v>0.0026</v>
      </c>
      <c r="E3447" s="4" t="n">
        <v>200000</v>
      </c>
      <c r="F3447" s="4" t="n">
        <v>520</v>
      </c>
    </row>
    <row r="3448">
      <c r="A3448" s="3" t="inlineStr">
        <is>
          <t>1</t>
        </is>
      </c>
      <c r="B3448" s="3" t="inlineStr">
        <is>
          <t>"Keramik Lantai uk. 40 x 40 cm Unpolished"</t>
        </is>
      </c>
      <c r="C3448" s="3" t="inlineStr">
        <is>
          <t>buah</t>
        </is>
      </c>
      <c r="D3448" s="15" t="n">
        <v>6.563</v>
      </c>
      <c r="E3448" s="4" t="n">
        <v>7600</v>
      </c>
      <c r="F3448" s="4" t="n">
        <v>49878.8</v>
      </c>
    </row>
    <row r="3449">
      <c r="A3449" s="3" t="inlineStr">
        <is>
          <t>2</t>
        </is>
      </c>
      <c r="B3449" s="3" t="inlineStr">
        <is>
          <t>Semen portland (PC)</t>
        </is>
      </c>
      <c r="C3449" s="3" t="inlineStr">
        <is>
          <t>kg</t>
        </is>
      </c>
      <c r="D3449" s="15" t="n">
        <v>13.632</v>
      </c>
      <c r="E3449" s="4" t="n">
        <v>1300</v>
      </c>
      <c r="F3449" s="4" t="n">
        <v>17721.6</v>
      </c>
    </row>
    <row r="3450">
      <c r="A3450" s="3" t="inlineStr">
        <is>
          <t>3</t>
        </is>
      </c>
      <c r="B3450" s="3" t="inlineStr">
        <is>
          <t>Semen warna</t>
        </is>
      </c>
      <c r="C3450" s="3" t="inlineStr">
        <is>
          <t>kg</t>
        </is>
      </c>
      <c r="D3450" s="15" t="n">
        <v>1.5</v>
      </c>
      <c r="E3450" s="4" t="n">
        <v>7800</v>
      </c>
      <c r="F3450" s="4" t="n">
        <v>11700</v>
      </c>
    </row>
    <row r="3451">
      <c r="A3451" s="3" t="inlineStr">
        <is>
          <t>4</t>
        </is>
      </c>
      <c r="B3451" s="3" t="inlineStr">
        <is>
          <t>Pasir pasang (quarry - lokasi pekerjaan)</t>
        </is>
      </c>
      <c r="C3451" s="3" t="inlineStr">
        <is>
          <t>m3</t>
        </is>
      </c>
      <c r="D3451" s="15" t="n">
        <v>0.027</v>
      </c>
      <c r="E3451" s="4" t="n">
        <v>275000</v>
      </c>
      <c r="F3451" s="4" t="n">
        <v>7425</v>
      </c>
    </row>
    <row r="3452">
      <c r="D3452" s="2" t="inlineStr">
        <is>
          <t>SUBTOTAL UPAH</t>
        </is>
      </c>
      <c r="F3452" s="16" t="n">
        <v>28398</v>
      </c>
    </row>
    <row r="3453">
      <c r="D3453" s="2" t="inlineStr">
        <is>
          <t>SUBTOTAL BAHAN</t>
        </is>
      </c>
      <c r="F3453" s="16" t="n">
        <v>86725.39999999999</v>
      </c>
    </row>
    <row r="3454">
      <c r="D3454" s="2" t="inlineStr">
        <is>
          <t>SUBTOTAL ALAT</t>
        </is>
      </c>
      <c r="F3454" s="16" t="n">
        <v>0</v>
      </c>
    </row>
    <row r="3455">
      <c r="E3455" s="2" t="inlineStr">
        <is>
          <t>TOTAL HARGA SATUAN (Inc. Overhead)</t>
        </is>
      </c>
      <c r="F3455" s="17" t="n">
        <v>126635</v>
      </c>
    </row>
    <row r="3457">
      <c r="A3457" s="14" t="inlineStr">
        <is>
          <t>KODE: 3.9.8.15 - Pemasangan 1 m2 lantai keramik uk. 30x30 cm  untuk Variasi/Border (1SP : 2PP) Unpolished</t>
        </is>
      </c>
    </row>
    <row r="3458">
      <c r="A3458" s="10" t="inlineStr">
        <is>
          <t>No</t>
        </is>
      </c>
      <c r="B3458" s="10" t="inlineStr">
        <is>
          <t>Uraian Komponen</t>
        </is>
      </c>
      <c r="C3458" s="10" t="inlineStr">
        <is>
          <t>Satuan</t>
        </is>
      </c>
      <c r="D3458" s="10" t="inlineStr">
        <is>
          <t>Koef</t>
        </is>
      </c>
      <c r="E3458" s="10" t="inlineStr">
        <is>
          <t>Harga Satuan (Rp)</t>
        </is>
      </c>
      <c r="F3458" s="10" t="inlineStr">
        <is>
          <t>Jumlah Harga (Rp)</t>
        </is>
      </c>
    </row>
    <row r="3459">
      <c r="A3459" s="3" t="inlineStr">
        <is>
          <t>1</t>
        </is>
      </c>
      <c r="B3459" s="3" t="inlineStr">
        <is>
          <t>Pekerja</t>
        </is>
      </c>
      <c r="C3459" s="3" t="inlineStr">
        <is>
          <t>OH</t>
        </is>
      </c>
      <c r="D3459" s="15" t="n">
        <v>1</v>
      </c>
      <c r="E3459" s="4" t="n">
        <v>100000</v>
      </c>
      <c r="F3459" s="4" t="n">
        <v>100000</v>
      </c>
    </row>
    <row r="3460">
      <c r="A3460" s="3" t="inlineStr">
        <is>
          <t>2</t>
        </is>
      </c>
      <c r="B3460" s="3" t="inlineStr">
        <is>
          <t>Tukang batu</t>
        </is>
      </c>
      <c r="C3460" s="3" t="inlineStr">
        <is>
          <t>OH</t>
        </is>
      </c>
      <c r="D3460" s="15" t="n">
        <v>0.5</v>
      </c>
      <c r="E3460" s="4" t="n">
        <v>145000</v>
      </c>
      <c r="F3460" s="4" t="n">
        <v>72500</v>
      </c>
    </row>
    <row r="3461">
      <c r="A3461" s="3" t="inlineStr">
        <is>
          <t>3</t>
        </is>
      </c>
      <c r="B3461" s="3" t="inlineStr">
        <is>
          <t>Kepala tukang</t>
        </is>
      </c>
      <c r="C3461" s="3" t="inlineStr">
        <is>
          <t>OH</t>
        </is>
      </c>
      <c r="D3461" s="15" t="n">
        <v>0.05</v>
      </c>
      <c r="E3461" s="4" t="n">
        <v>175000</v>
      </c>
      <c r="F3461" s="4" t="n">
        <v>8750</v>
      </c>
    </row>
    <row r="3462">
      <c r="A3462" s="3" t="inlineStr">
        <is>
          <t>4</t>
        </is>
      </c>
      <c r="B3462" s="3" t="inlineStr">
        <is>
          <t>Mandor</t>
        </is>
      </c>
      <c r="C3462" s="3" t="inlineStr">
        <is>
          <t>OH</t>
        </is>
      </c>
      <c r="D3462" s="15" t="n">
        <v>0.0167</v>
      </c>
      <c r="E3462" s="4" t="n">
        <v>200000</v>
      </c>
      <c r="F3462" s="4" t="n">
        <v>3340</v>
      </c>
    </row>
    <row r="3463">
      <c r="A3463" s="3" t="inlineStr">
        <is>
          <t>1</t>
        </is>
      </c>
      <c r="B3463" s="3" t="inlineStr">
        <is>
          <t>"Keramik Lantai Variasi uk. 30 x 30 cm Unpolished"</t>
        </is>
      </c>
      <c r="C3463" s="3" t="inlineStr">
        <is>
          <t>buah</t>
        </is>
      </c>
      <c r="D3463" s="15" t="n">
        <v>11.667</v>
      </c>
      <c r="E3463" s="4" t="n">
        <v>3700</v>
      </c>
      <c r="F3463" s="4" t="n">
        <v>43167.9</v>
      </c>
    </row>
    <row r="3464">
      <c r="A3464" s="3" t="inlineStr">
        <is>
          <t>2</t>
        </is>
      </c>
      <c r="B3464" s="3" t="inlineStr">
        <is>
          <t>Semen portland (PC)</t>
        </is>
      </c>
      <c r="C3464" s="3" t="inlineStr">
        <is>
          <t>kg</t>
        </is>
      </c>
      <c r="D3464" s="15" t="n">
        <v>13.632</v>
      </c>
      <c r="E3464" s="4" t="n">
        <v>1300</v>
      </c>
      <c r="F3464" s="4" t="n">
        <v>17721.6</v>
      </c>
    </row>
    <row r="3465">
      <c r="A3465" s="3" t="inlineStr">
        <is>
          <t>3</t>
        </is>
      </c>
      <c r="B3465" s="3" t="inlineStr">
        <is>
          <t>Semen warna</t>
        </is>
      </c>
      <c r="C3465" s="3" t="inlineStr">
        <is>
          <t>kg</t>
        </is>
      </c>
      <c r="D3465" s="15" t="n">
        <v>1.5</v>
      </c>
      <c r="E3465" s="4" t="n">
        <v>7800</v>
      </c>
      <c r="F3465" s="4" t="n">
        <v>11700</v>
      </c>
    </row>
    <row r="3466">
      <c r="A3466" s="3" t="inlineStr">
        <is>
          <t>4</t>
        </is>
      </c>
      <c r="B3466" s="3" t="inlineStr">
        <is>
          <t>Pasir pasang (quarry - lokasi pekerjaan)</t>
        </is>
      </c>
      <c r="C3466" s="3" t="inlineStr">
        <is>
          <t>m3</t>
        </is>
      </c>
      <c r="D3466" s="15" t="n">
        <v>0.027</v>
      </c>
      <c r="E3466" s="4" t="n">
        <v>275000</v>
      </c>
      <c r="F3466" s="4" t="n">
        <v>7425</v>
      </c>
    </row>
    <row r="3467">
      <c r="D3467" s="2" t="inlineStr">
        <is>
          <t>SUBTOTAL UPAH</t>
        </is>
      </c>
      <c r="F3467" s="16" t="n">
        <v>184590</v>
      </c>
    </row>
    <row r="3468">
      <c r="D3468" s="2" t="inlineStr">
        <is>
          <t>SUBTOTAL BAHAN</t>
        </is>
      </c>
      <c r="F3468" s="16" t="n">
        <v>80014.5</v>
      </c>
    </row>
    <row r="3469">
      <c r="D3469" s="2" t="inlineStr">
        <is>
          <t>SUBTOTAL ALAT</t>
        </is>
      </c>
      <c r="F3469" s="16" t="n">
        <v>0</v>
      </c>
    </row>
    <row r="3470">
      <c r="E3470" s="2" t="inlineStr">
        <is>
          <t>TOTAL HARGA SATUAN (Inc. Overhead)</t>
        </is>
      </c>
      <c r="F3470" s="17" t="n">
        <v>291064</v>
      </c>
    </row>
    <row r="3472">
      <c r="A3472" s="14" t="inlineStr">
        <is>
          <t>KODE: 3.9.8.16 - Pemasangan 1 m2 lantai keramik uk. 40x40 cm  untuk Variasi/Border (1SP : 2PP) Unpolished</t>
        </is>
      </c>
    </row>
    <row r="3473">
      <c r="A3473" s="10" t="inlineStr">
        <is>
          <t>No</t>
        </is>
      </c>
      <c r="B3473" s="10" t="inlineStr">
        <is>
          <t>Uraian Komponen</t>
        </is>
      </c>
      <c r="C3473" s="10" t="inlineStr">
        <is>
          <t>Satuan</t>
        </is>
      </c>
      <c r="D3473" s="10" t="inlineStr">
        <is>
          <t>Koef</t>
        </is>
      </c>
      <c r="E3473" s="10" t="inlineStr">
        <is>
          <t>Harga Satuan (Rp)</t>
        </is>
      </c>
      <c r="F3473" s="10" t="inlineStr">
        <is>
          <t>Jumlah Harga (Rp)</t>
        </is>
      </c>
    </row>
    <row r="3474">
      <c r="A3474" s="3" t="inlineStr">
        <is>
          <t>1</t>
        </is>
      </c>
      <c r="B3474" s="3" t="inlineStr">
        <is>
          <t>Pekerja</t>
        </is>
      </c>
      <c r="C3474" s="3" t="inlineStr">
        <is>
          <t>OH</t>
        </is>
      </c>
      <c r="D3474" s="15" t="n">
        <v>1</v>
      </c>
      <c r="E3474" s="4" t="n">
        <v>100000</v>
      </c>
      <c r="F3474" s="4" t="n">
        <v>100000</v>
      </c>
    </row>
    <row r="3475">
      <c r="A3475" s="3" t="inlineStr">
        <is>
          <t>2</t>
        </is>
      </c>
      <c r="B3475" s="3" t="inlineStr">
        <is>
          <t>Tukang batu</t>
        </is>
      </c>
      <c r="C3475" s="3" t="inlineStr">
        <is>
          <t>OH</t>
        </is>
      </c>
      <c r="D3475" s="15" t="n">
        <v>0.5</v>
      </c>
      <c r="E3475" s="4" t="n">
        <v>145000</v>
      </c>
      <c r="F3475" s="4" t="n">
        <v>72500</v>
      </c>
    </row>
    <row r="3476">
      <c r="A3476" s="3" t="inlineStr">
        <is>
          <t>3</t>
        </is>
      </c>
      <c r="B3476" s="3" t="inlineStr">
        <is>
          <t>Kepala tukang</t>
        </is>
      </c>
      <c r="C3476" s="3" t="inlineStr">
        <is>
          <t>OH</t>
        </is>
      </c>
      <c r="D3476" s="15" t="n">
        <v>0.05</v>
      </c>
      <c r="E3476" s="4" t="n">
        <v>175000</v>
      </c>
      <c r="F3476" s="4" t="n">
        <v>8750</v>
      </c>
    </row>
    <row r="3477">
      <c r="A3477" s="3" t="inlineStr">
        <is>
          <t>4</t>
        </is>
      </c>
      <c r="B3477" s="3" t="inlineStr">
        <is>
          <t>Mandor</t>
        </is>
      </c>
      <c r="C3477" s="3" t="inlineStr">
        <is>
          <t>OH</t>
        </is>
      </c>
      <c r="D3477" s="15" t="n">
        <v>0.0167</v>
      </c>
      <c r="E3477" s="4" t="n">
        <v>200000</v>
      </c>
      <c r="F3477" s="4" t="n">
        <v>3340</v>
      </c>
    </row>
    <row r="3478">
      <c r="A3478" s="3" t="inlineStr">
        <is>
          <t>1</t>
        </is>
      </c>
      <c r="B3478" s="3" t="inlineStr">
        <is>
          <t>"Keramik Lantai Variasi uk. 40 x 40 cm Unpolished"</t>
        </is>
      </c>
      <c r="C3478" s="3" t="inlineStr">
        <is>
          <t>buah</t>
        </is>
      </c>
      <c r="D3478" s="15" t="n">
        <v>6.563</v>
      </c>
      <c r="E3478" s="4" t="n">
        <v>7600</v>
      </c>
      <c r="F3478" s="4" t="n">
        <v>49878.8</v>
      </c>
    </row>
    <row r="3479">
      <c r="A3479" s="3" t="inlineStr">
        <is>
          <t>2</t>
        </is>
      </c>
      <c r="B3479" s="3" t="inlineStr">
        <is>
          <t>Semen portland (pc)</t>
        </is>
      </c>
      <c r="C3479" s="3" t="inlineStr">
        <is>
          <t>kg</t>
        </is>
      </c>
      <c r="D3479" s="15" t="n">
        <v>13.632</v>
      </c>
      <c r="E3479" s="4" t="n">
        <v>1300</v>
      </c>
      <c r="F3479" s="4" t="n">
        <v>17721.6</v>
      </c>
    </row>
    <row r="3480">
      <c r="A3480" s="3" t="inlineStr">
        <is>
          <t>3</t>
        </is>
      </c>
      <c r="B3480" s="3" t="inlineStr">
        <is>
          <t>Semen warna</t>
        </is>
      </c>
      <c r="C3480" s="3" t="inlineStr">
        <is>
          <t>kg</t>
        </is>
      </c>
      <c r="D3480" s="15" t="n">
        <v>1.5</v>
      </c>
      <c r="E3480" s="4" t="n">
        <v>7800</v>
      </c>
      <c r="F3480" s="4" t="n">
        <v>11700</v>
      </c>
    </row>
    <row r="3481">
      <c r="A3481" s="3" t="inlineStr">
        <is>
          <t>4</t>
        </is>
      </c>
      <c r="B3481" s="3" t="inlineStr">
        <is>
          <t>Pasir pasang (quarry - lokasi pekerjaan)</t>
        </is>
      </c>
      <c r="C3481" s="3" t="inlineStr">
        <is>
          <t>m3</t>
        </is>
      </c>
      <c r="D3481" s="15" t="n">
        <v>0.027</v>
      </c>
      <c r="E3481" s="4" t="n">
        <v>275000</v>
      </c>
      <c r="F3481" s="4" t="n">
        <v>7425</v>
      </c>
    </row>
    <row r="3482">
      <c r="D3482" s="2" t="inlineStr">
        <is>
          <t>SUBTOTAL UPAH</t>
        </is>
      </c>
      <c r="F3482" s="16" t="n">
        <v>184590</v>
      </c>
    </row>
    <row r="3483">
      <c r="D3483" s="2" t="inlineStr">
        <is>
          <t>SUBTOTAL BAHAN</t>
        </is>
      </c>
      <c r="F3483" s="16" t="n">
        <v>86725.39999999999</v>
      </c>
    </row>
    <row r="3484">
      <c r="D3484" s="2" t="inlineStr">
        <is>
          <t>SUBTOTAL ALAT</t>
        </is>
      </c>
      <c r="F3484" s="16" t="n">
        <v>0</v>
      </c>
    </row>
    <row r="3485">
      <c r="E3485" s="2" t="inlineStr">
        <is>
          <t>TOTAL HARGA SATUAN (Inc. Overhead)</t>
        </is>
      </c>
      <c r="F3485" s="17" t="n">
        <v>298446</v>
      </c>
    </row>
    <row r="3487">
      <c r="A3487" s="14" t="inlineStr">
        <is>
          <t>KODE: 3.9.8.17 - Pemasangan 1 m' plint keramik uk. 10 s.d. 15x20 cm (1SP : 2PP)</t>
        </is>
      </c>
    </row>
    <row r="3488">
      <c r="A3488" s="10" t="inlineStr">
        <is>
          <t>No</t>
        </is>
      </c>
      <c r="B3488" s="10" t="inlineStr">
        <is>
          <t>Uraian Komponen</t>
        </is>
      </c>
      <c r="C3488" s="10" t="inlineStr">
        <is>
          <t>Satuan</t>
        </is>
      </c>
      <c r="D3488" s="10" t="inlineStr">
        <is>
          <t>Koef</t>
        </is>
      </c>
      <c r="E3488" s="10" t="inlineStr">
        <is>
          <t>Harga Satuan (Rp)</t>
        </is>
      </c>
      <c r="F3488" s="10" t="inlineStr">
        <is>
          <t>Jumlah Harga (Rp)</t>
        </is>
      </c>
    </row>
    <row r="3489">
      <c r="A3489" s="3" t="inlineStr">
        <is>
          <t>1</t>
        </is>
      </c>
      <c r="B3489" s="3" t="inlineStr">
        <is>
          <t>Pekerja</t>
        </is>
      </c>
      <c r="C3489" s="3" t="inlineStr">
        <is>
          <t>OH</t>
        </is>
      </c>
      <c r="D3489" s="15" t="n">
        <v>0.0571</v>
      </c>
      <c r="E3489" s="4" t="n">
        <v>100000</v>
      </c>
      <c r="F3489" s="4" t="n">
        <v>5710</v>
      </c>
    </row>
    <row r="3490">
      <c r="A3490" s="3" t="inlineStr">
        <is>
          <t>2</t>
        </is>
      </c>
      <c r="B3490" s="3" t="inlineStr">
        <is>
          <t>Tukang batu</t>
        </is>
      </c>
      <c r="C3490" s="3" t="inlineStr">
        <is>
          <t>OH</t>
        </is>
      </c>
      <c r="D3490" s="15" t="n">
        <v>0.0286</v>
      </c>
      <c r="E3490" s="4" t="n">
        <v>145000</v>
      </c>
      <c r="F3490" s="4" t="n">
        <v>4147</v>
      </c>
    </row>
    <row r="3491">
      <c r="A3491" s="3" t="inlineStr">
        <is>
          <t>3</t>
        </is>
      </c>
      <c r="B3491" s="3" t="inlineStr">
        <is>
          <t>Kepala tukang</t>
        </is>
      </c>
      <c r="C3491" s="3" t="inlineStr">
        <is>
          <t>OH</t>
        </is>
      </c>
      <c r="D3491" s="15" t="n">
        <v>0.0029</v>
      </c>
      <c r="E3491" s="4" t="n">
        <v>175000</v>
      </c>
      <c r="F3491" s="4" t="n">
        <v>507.4999999999999</v>
      </c>
    </row>
    <row r="3492">
      <c r="A3492" s="3" t="inlineStr">
        <is>
          <t>4</t>
        </is>
      </c>
      <c r="B3492" s="3" t="inlineStr">
        <is>
          <t>Mandor</t>
        </is>
      </c>
      <c r="C3492" s="3" t="inlineStr">
        <is>
          <t>OH</t>
        </is>
      </c>
      <c r="D3492" s="15" t="n">
        <v>0.001</v>
      </c>
      <c r="E3492" s="4" t="n">
        <v>200000</v>
      </c>
      <c r="F3492" s="4" t="n">
        <v>200</v>
      </c>
    </row>
    <row r="3493">
      <c r="A3493" s="3" t="inlineStr">
        <is>
          <t>1</t>
        </is>
      </c>
      <c r="B3493" s="3" t="inlineStr">
        <is>
          <t>Plint keramik uk. 10-15x20 cm</t>
        </is>
      </c>
      <c r="C3493" s="3" t="inlineStr">
        <is>
          <t>buah</t>
        </is>
      </c>
      <c r="D3493" s="15" t="n">
        <v>5.25</v>
      </c>
      <c r="E3493" s="4" t="n">
        <v>2000</v>
      </c>
      <c r="F3493" s="4" t="n">
        <v>10500</v>
      </c>
    </row>
    <row r="3494">
      <c r="A3494" s="3" t="inlineStr">
        <is>
          <t>2</t>
        </is>
      </c>
      <c r="B3494" s="3" t="inlineStr">
        <is>
          <t>Semen portland (PC)</t>
        </is>
      </c>
      <c r="C3494" s="3" t="inlineStr">
        <is>
          <t>kg</t>
        </is>
      </c>
      <c r="D3494" s="15" t="n">
        <v>1.704</v>
      </c>
      <c r="E3494" s="4" t="n">
        <v>1300</v>
      </c>
      <c r="F3494" s="4" t="n">
        <v>2215.2</v>
      </c>
    </row>
    <row r="3495">
      <c r="A3495" s="3" t="inlineStr">
        <is>
          <t>3</t>
        </is>
      </c>
      <c r="B3495" s="3" t="inlineStr">
        <is>
          <t>Semen warna</t>
        </is>
      </c>
      <c r="C3495" s="3" t="inlineStr">
        <is>
          <t>kg</t>
        </is>
      </c>
      <c r="D3495" s="15" t="n">
        <v>0.188</v>
      </c>
      <c r="E3495" s="4" t="n">
        <v>7800</v>
      </c>
      <c r="F3495" s="4" t="n">
        <v>1466.4</v>
      </c>
    </row>
    <row r="3496">
      <c r="A3496" s="3" t="inlineStr">
        <is>
          <t>4</t>
        </is>
      </c>
      <c r="B3496" s="3" t="inlineStr">
        <is>
          <t>Pasir pasang (quarry - lokasi pekerjaan)</t>
        </is>
      </c>
      <c r="C3496" s="3" t="inlineStr">
        <is>
          <t>m3</t>
        </is>
      </c>
      <c r="D3496" s="15" t="n">
        <v>0.003</v>
      </c>
      <c r="E3496" s="4" t="n">
        <v>275000</v>
      </c>
      <c r="F3496" s="4" t="n">
        <v>825</v>
      </c>
    </row>
    <row r="3497">
      <c r="D3497" s="2" t="inlineStr">
        <is>
          <t>SUBTOTAL UPAH</t>
        </is>
      </c>
      <c r="F3497" s="16" t="n">
        <v>10564.5</v>
      </c>
    </row>
    <row r="3498">
      <c r="D3498" s="2" t="inlineStr">
        <is>
          <t>SUBTOTAL BAHAN</t>
        </is>
      </c>
      <c r="F3498" s="16" t="n">
        <v>15006.6</v>
      </c>
    </row>
    <row r="3499">
      <c r="D3499" s="2" t="inlineStr">
        <is>
          <t>SUBTOTAL ALAT</t>
        </is>
      </c>
      <c r="F3499" s="16" t="n">
        <v>0</v>
      </c>
    </row>
    <row r="3500">
      <c r="E3500" s="2" t="inlineStr">
        <is>
          <t>TOTAL HARGA SATUAN (Inc. Overhead)</t>
        </is>
      </c>
      <c r="F3500" s="17" t="n">
        <v>28128</v>
      </c>
    </row>
    <row r="3502">
      <c r="A3502" s="14" t="inlineStr">
        <is>
          <t>KODE: 3.9.8.18 - Pemasangan 1 m' plint keramik uk. 10 s.d. 15x30 cm (1SP : 2PP)</t>
        </is>
      </c>
    </row>
    <row r="3503">
      <c r="A3503" s="10" t="inlineStr">
        <is>
          <t>No</t>
        </is>
      </c>
      <c r="B3503" s="10" t="inlineStr">
        <is>
          <t>Uraian Komponen</t>
        </is>
      </c>
      <c r="C3503" s="10" t="inlineStr">
        <is>
          <t>Satuan</t>
        </is>
      </c>
      <c r="D3503" s="10" t="inlineStr">
        <is>
          <t>Koef</t>
        </is>
      </c>
      <c r="E3503" s="10" t="inlineStr">
        <is>
          <t>Harga Satuan (Rp)</t>
        </is>
      </c>
      <c r="F3503" s="10" t="inlineStr">
        <is>
          <t>Jumlah Harga (Rp)</t>
        </is>
      </c>
    </row>
    <row r="3504">
      <c r="A3504" s="3" t="inlineStr">
        <is>
          <t>1</t>
        </is>
      </c>
      <c r="B3504" s="3" t="inlineStr">
        <is>
          <t>Pekerja</t>
        </is>
      </c>
      <c r="C3504" s="3" t="inlineStr">
        <is>
          <t>OH</t>
        </is>
      </c>
      <c r="D3504" s="15" t="n">
        <v>0.0625</v>
      </c>
      <c r="E3504" s="4" t="n">
        <v>100000</v>
      </c>
      <c r="F3504" s="4" t="n">
        <v>6250</v>
      </c>
    </row>
    <row r="3505">
      <c r="A3505" s="3" t="inlineStr">
        <is>
          <t>2</t>
        </is>
      </c>
      <c r="B3505" s="3" t="inlineStr">
        <is>
          <t>Tukang batu</t>
        </is>
      </c>
      <c r="C3505" s="3" t="inlineStr">
        <is>
          <t>OH</t>
        </is>
      </c>
      <c r="D3505" s="15" t="n">
        <v>0.0313</v>
      </c>
      <c r="E3505" s="4" t="n">
        <v>145000</v>
      </c>
      <c r="F3505" s="4" t="n">
        <v>4538.5</v>
      </c>
    </row>
    <row r="3506">
      <c r="A3506" s="3" t="inlineStr">
        <is>
          <t>3</t>
        </is>
      </c>
      <c r="B3506" s="3" t="inlineStr">
        <is>
          <t>Kepala tukang</t>
        </is>
      </c>
      <c r="C3506" s="3" t="inlineStr">
        <is>
          <t>OH</t>
        </is>
      </c>
      <c r="D3506" s="15" t="n">
        <v>0.0031</v>
      </c>
      <c r="E3506" s="4" t="n">
        <v>175000</v>
      </c>
      <c r="F3506" s="4" t="n">
        <v>542.5</v>
      </c>
    </row>
    <row r="3507">
      <c r="A3507" s="3" t="inlineStr">
        <is>
          <t>4</t>
        </is>
      </c>
      <c r="B3507" s="3" t="inlineStr">
        <is>
          <t>Mandor</t>
        </is>
      </c>
      <c r="C3507" s="3" t="inlineStr">
        <is>
          <t>OH</t>
        </is>
      </c>
      <c r="D3507" s="15" t="n">
        <v>0.001</v>
      </c>
      <c r="E3507" s="4" t="n">
        <v>200000</v>
      </c>
      <c r="F3507" s="4" t="n">
        <v>200</v>
      </c>
    </row>
    <row r="3508">
      <c r="A3508" s="3" t="inlineStr">
        <is>
          <t>1</t>
        </is>
      </c>
      <c r="B3508" s="3" t="inlineStr">
        <is>
          <t>Plint keramik uk. 10-15x30 cm</t>
        </is>
      </c>
      <c r="C3508" s="3" t="inlineStr">
        <is>
          <t>buah</t>
        </is>
      </c>
      <c r="D3508" s="15" t="n">
        <v>3.5</v>
      </c>
      <c r="E3508" s="4" t="n">
        <v>3000</v>
      </c>
      <c r="F3508" s="4" t="n">
        <v>10500</v>
      </c>
    </row>
    <row r="3509">
      <c r="A3509" s="3" t="inlineStr">
        <is>
          <t>2</t>
        </is>
      </c>
      <c r="B3509" s="3" t="inlineStr">
        <is>
          <t>Semen portland (PC)</t>
        </is>
      </c>
      <c r="C3509" s="3" t="inlineStr">
        <is>
          <t>kg</t>
        </is>
      </c>
      <c r="D3509" s="15" t="n">
        <v>1.704</v>
      </c>
      <c r="E3509" s="4" t="n">
        <v>1300</v>
      </c>
      <c r="F3509" s="4" t="n">
        <v>2215.2</v>
      </c>
    </row>
    <row r="3510">
      <c r="A3510" s="3" t="inlineStr">
        <is>
          <t>3</t>
        </is>
      </c>
      <c r="B3510" s="3" t="inlineStr">
        <is>
          <t>Semen warna</t>
        </is>
      </c>
      <c r="C3510" s="3" t="inlineStr">
        <is>
          <t>kg</t>
        </is>
      </c>
      <c r="D3510" s="15" t="n">
        <v>0.188</v>
      </c>
      <c r="E3510" s="4" t="n">
        <v>7800</v>
      </c>
      <c r="F3510" s="4" t="n">
        <v>1466.4</v>
      </c>
    </row>
    <row r="3511">
      <c r="A3511" s="3" t="inlineStr">
        <is>
          <t>4</t>
        </is>
      </c>
      <c r="B3511" s="3" t="inlineStr">
        <is>
          <t>Pasir pasang (quarry - lokasi pekerjaan)</t>
        </is>
      </c>
      <c r="C3511" s="3" t="inlineStr">
        <is>
          <t>m3</t>
        </is>
      </c>
      <c r="D3511" s="15" t="n">
        <v>0.003</v>
      </c>
      <c r="E3511" s="4" t="n">
        <v>275000</v>
      </c>
      <c r="F3511" s="4" t="n">
        <v>825</v>
      </c>
    </row>
    <row r="3512">
      <c r="D3512" s="2" t="inlineStr">
        <is>
          <t>SUBTOTAL UPAH</t>
        </is>
      </c>
      <c r="F3512" s="16" t="n">
        <v>11531</v>
      </c>
    </row>
    <row r="3513">
      <c r="D3513" s="2" t="inlineStr">
        <is>
          <t>SUBTOTAL BAHAN</t>
        </is>
      </c>
      <c r="F3513" s="16" t="n">
        <v>15006.6</v>
      </c>
    </row>
    <row r="3514">
      <c r="D3514" s="2" t="inlineStr">
        <is>
          <t>SUBTOTAL ALAT</t>
        </is>
      </c>
      <c r="F3514" s="16" t="n">
        <v>0</v>
      </c>
    </row>
    <row r="3515">
      <c r="E3515" s="2" t="inlineStr">
        <is>
          <t>TOTAL HARGA SATUAN (Inc. Overhead)</t>
        </is>
      </c>
      <c r="F3515" s="17" t="n">
        <v>29191</v>
      </c>
    </row>
    <row r="3517">
      <c r="A3517" s="14" t="inlineStr">
        <is>
          <t>KODE: 3.9.8.19 - Pemasangan 1 m' plint keramik uk. 10 s.d. 15x40 cm (1SP : 2PP)</t>
        </is>
      </c>
    </row>
    <row r="3518">
      <c r="A3518" s="10" t="inlineStr">
        <is>
          <t>No</t>
        </is>
      </c>
      <c r="B3518" s="10" t="inlineStr">
        <is>
          <t>Uraian Komponen</t>
        </is>
      </c>
      <c r="C3518" s="10" t="inlineStr">
        <is>
          <t>Satuan</t>
        </is>
      </c>
      <c r="D3518" s="10" t="inlineStr">
        <is>
          <t>Koef</t>
        </is>
      </c>
      <c r="E3518" s="10" t="inlineStr">
        <is>
          <t>Harga Satuan (Rp)</t>
        </is>
      </c>
      <c r="F3518" s="10" t="inlineStr">
        <is>
          <t>Jumlah Harga (Rp)</t>
        </is>
      </c>
    </row>
    <row r="3519">
      <c r="A3519" s="3" t="inlineStr">
        <is>
          <t>1</t>
        </is>
      </c>
      <c r="B3519" s="3" t="inlineStr">
        <is>
          <t>Pekerja</t>
        </is>
      </c>
      <c r="C3519" s="3" t="inlineStr">
        <is>
          <t>OH</t>
        </is>
      </c>
      <c r="D3519" s="15" t="n">
        <v>0.0667</v>
      </c>
      <c r="E3519" s="4" t="n">
        <v>100000</v>
      </c>
      <c r="F3519" s="4" t="n">
        <v>6669.999999999999</v>
      </c>
    </row>
    <row r="3520">
      <c r="A3520" s="3" t="inlineStr">
        <is>
          <t>2</t>
        </is>
      </c>
      <c r="B3520" s="3" t="inlineStr">
        <is>
          <t>Tukang batu</t>
        </is>
      </c>
      <c r="C3520" s="3" t="inlineStr">
        <is>
          <t>OH</t>
        </is>
      </c>
      <c r="D3520" s="15" t="n">
        <v>0.0333</v>
      </c>
      <c r="E3520" s="4" t="n">
        <v>145000</v>
      </c>
      <c r="F3520" s="4" t="n">
        <v>4828.500000000001</v>
      </c>
    </row>
    <row r="3521">
      <c r="A3521" s="3" t="inlineStr">
        <is>
          <t>3</t>
        </is>
      </c>
      <c r="B3521" s="3" t="inlineStr">
        <is>
          <t>Kepala tukang</t>
        </is>
      </c>
      <c r="C3521" s="3" t="inlineStr">
        <is>
          <t>OH</t>
        </is>
      </c>
      <c r="D3521" s="15" t="n">
        <v>0.0033</v>
      </c>
      <c r="E3521" s="4" t="n">
        <v>175000</v>
      </c>
      <c r="F3521" s="4" t="n">
        <v>577.5</v>
      </c>
    </row>
    <row r="3522">
      <c r="A3522" s="3" t="inlineStr">
        <is>
          <t>4</t>
        </is>
      </c>
      <c r="B3522" s="3" t="inlineStr">
        <is>
          <t>Mandor</t>
        </is>
      </c>
      <c r="C3522" s="3" t="inlineStr">
        <is>
          <t>OH</t>
        </is>
      </c>
      <c r="D3522" s="15" t="n">
        <v>0.0011</v>
      </c>
      <c r="E3522" s="4" t="n">
        <v>200000</v>
      </c>
      <c r="F3522" s="4" t="n">
        <v>220</v>
      </c>
    </row>
    <row r="3523">
      <c r="A3523" s="3" t="inlineStr">
        <is>
          <t>1</t>
        </is>
      </c>
      <c r="B3523" s="3" t="inlineStr">
        <is>
          <t>Plint keramik uk. 10-15x40 cm</t>
        </is>
      </c>
      <c r="C3523" s="3" t="inlineStr">
        <is>
          <t>buah</t>
        </is>
      </c>
      <c r="D3523" s="15" t="n">
        <v>2.625</v>
      </c>
      <c r="E3523" s="4" t="n">
        <v>4000</v>
      </c>
      <c r="F3523" s="4" t="n">
        <v>10500</v>
      </c>
    </row>
    <row r="3524">
      <c r="A3524" s="3" t="inlineStr">
        <is>
          <t>2</t>
        </is>
      </c>
      <c r="B3524" s="3" t="inlineStr">
        <is>
          <t>Semen portland (PC)</t>
        </is>
      </c>
      <c r="C3524" s="3" t="inlineStr">
        <is>
          <t>kg</t>
        </is>
      </c>
      <c r="D3524" s="15" t="n">
        <v>1.704</v>
      </c>
      <c r="E3524" s="4" t="n">
        <v>1300</v>
      </c>
      <c r="F3524" s="4" t="n">
        <v>2215.2</v>
      </c>
    </row>
    <row r="3525">
      <c r="A3525" s="3" t="inlineStr">
        <is>
          <t>3</t>
        </is>
      </c>
      <c r="B3525" s="3" t="inlineStr">
        <is>
          <t>Semen warna</t>
        </is>
      </c>
      <c r="C3525" s="3" t="inlineStr">
        <is>
          <t>kg</t>
        </is>
      </c>
      <c r="D3525" s="15" t="n">
        <v>0.188</v>
      </c>
      <c r="E3525" s="4" t="n">
        <v>7800</v>
      </c>
      <c r="F3525" s="4" t="n">
        <v>1466.4</v>
      </c>
    </row>
    <row r="3526">
      <c r="A3526" s="3" t="inlineStr">
        <is>
          <t>4</t>
        </is>
      </c>
      <c r="B3526" s="3" t="inlineStr">
        <is>
          <t>Pasir pasang (quarry - lokasi pekerjaan)</t>
        </is>
      </c>
      <c r="C3526" s="3" t="inlineStr">
        <is>
          <t>m3</t>
        </is>
      </c>
      <c r="D3526" s="15" t="n">
        <v>0.003</v>
      </c>
      <c r="E3526" s="4" t="n">
        <v>275000</v>
      </c>
      <c r="F3526" s="4" t="n">
        <v>825</v>
      </c>
    </row>
    <row r="3527">
      <c r="D3527" s="2" t="inlineStr">
        <is>
          <t>SUBTOTAL UPAH</t>
        </is>
      </c>
      <c r="F3527" s="16" t="n">
        <v>12296</v>
      </c>
    </row>
    <row r="3528">
      <c r="D3528" s="2" t="inlineStr">
        <is>
          <t>SUBTOTAL BAHAN</t>
        </is>
      </c>
      <c r="F3528" s="16" t="n">
        <v>15006.6</v>
      </c>
    </row>
    <row r="3529">
      <c r="D3529" s="2" t="inlineStr">
        <is>
          <t>SUBTOTAL ALAT</t>
        </is>
      </c>
      <c r="F3529" s="16" t="n">
        <v>0</v>
      </c>
    </row>
    <row r="3530">
      <c r="E3530" s="2" t="inlineStr">
        <is>
          <t>TOTAL HARGA SATUAN (Inc. Overhead)</t>
        </is>
      </c>
      <c r="F3530" s="17" t="n">
        <v>30032</v>
      </c>
    </row>
    <row r="3532">
      <c r="A3532" s="14" t="inlineStr">
        <is>
          <t>KODE: 3.9.8.20 - Pemasangan 1 m' plint keramik uk. 10 s.d. 15x60 cm (1SP : 2PP)</t>
        </is>
      </c>
    </row>
    <row r="3533">
      <c r="A3533" s="10" t="inlineStr">
        <is>
          <t>No</t>
        </is>
      </c>
      <c r="B3533" s="10" t="inlineStr">
        <is>
          <t>Uraian Komponen</t>
        </is>
      </c>
      <c r="C3533" s="10" t="inlineStr">
        <is>
          <t>Satuan</t>
        </is>
      </c>
      <c r="D3533" s="10" t="inlineStr">
        <is>
          <t>Koef</t>
        </is>
      </c>
      <c r="E3533" s="10" t="inlineStr">
        <is>
          <t>Harga Satuan (Rp)</t>
        </is>
      </c>
      <c r="F3533" s="10" t="inlineStr">
        <is>
          <t>Jumlah Harga (Rp)</t>
        </is>
      </c>
    </row>
    <row r="3534">
      <c r="A3534" s="3" t="inlineStr">
        <is>
          <t>1</t>
        </is>
      </c>
      <c r="B3534" s="3" t="inlineStr">
        <is>
          <t>Pekerja</t>
        </is>
      </c>
      <c r="C3534" s="3" t="inlineStr">
        <is>
          <t>OH</t>
        </is>
      </c>
      <c r="D3534" s="15" t="n">
        <v>0.07140000000000001</v>
      </c>
      <c r="E3534" s="4" t="n">
        <v>100000</v>
      </c>
      <c r="F3534" s="4" t="n">
        <v>7140.000000000001</v>
      </c>
    </row>
    <row r="3535">
      <c r="A3535" s="3" t="inlineStr">
        <is>
          <t>2</t>
        </is>
      </c>
      <c r="B3535" s="3" t="inlineStr">
        <is>
          <t>Tukang batu</t>
        </is>
      </c>
      <c r="C3535" s="3" t="inlineStr">
        <is>
          <t>OH</t>
        </is>
      </c>
      <c r="D3535" s="15" t="n">
        <v>0.0357</v>
      </c>
      <c r="E3535" s="4" t="n">
        <v>145000</v>
      </c>
      <c r="F3535" s="4" t="n">
        <v>5176.5</v>
      </c>
    </row>
    <row r="3536">
      <c r="A3536" s="3" t="inlineStr">
        <is>
          <t>3</t>
        </is>
      </c>
      <c r="B3536" s="3" t="inlineStr">
        <is>
          <t>Kepala tukang</t>
        </is>
      </c>
      <c r="C3536" s="3" t="inlineStr">
        <is>
          <t>OH</t>
        </is>
      </c>
      <c r="D3536" s="15" t="n">
        <v>0.0036</v>
      </c>
      <c r="E3536" s="4" t="n">
        <v>175000</v>
      </c>
      <c r="F3536" s="4" t="n">
        <v>630</v>
      </c>
    </row>
    <row r="3537">
      <c r="A3537" s="3" t="inlineStr">
        <is>
          <t>4</t>
        </is>
      </c>
      <c r="B3537" s="3" t="inlineStr">
        <is>
          <t>Mandor</t>
        </is>
      </c>
      <c r="C3537" s="3" t="inlineStr">
        <is>
          <t>OH</t>
        </is>
      </c>
      <c r="D3537" s="15" t="n">
        <v>0.0012</v>
      </c>
      <c r="E3537" s="4" t="n">
        <v>200000</v>
      </c>
      <c r="F3537" s="4" t="n">
        <v>240</v>
      </c>
    </row>
    <row r="3538">
      <c r="A3538" s="3" t="inlineStr">
        <is>
          <t>1</t>
        </is>
      </c>
      <c r="B3538" s="3" t="inlineStr">
        <is>
          <t>Plint keramik uk. 10-15x60 cm</t>
        </is>
      </c>
      <c r="C3538" s="3" t="inlineStr">
        <is>
          <t>buah</t>
        </is>
      </c>
      <c r="D3538" s="15" t="n">
        <v>1.75</v>
      </c>
      <c r="E3538" s="4" t="n">
        <v>5000</v>
      </c>
      <c r="F3538" s="4" t="n">
        <v>8750</v>
      </c>
    </row>
    <row r="3539">
      <c r="A3539" s="3" t="inlineStr">
        <is>
          <t>2</t>
        </is>
      </c>
      <c r="B3539" s="3" t="inlineStr">
        <is>
          <t>Semen portland (PC)</t>
        </is>
      </c>
      <c r="C3539" s="3" t="inlineStr">
        <is>
          <t>kg</t>
        </is>
      </c>
      <c r="D3539" s="15" t="n">
        <v>1.704</v>
      </c>
      <c r="E3539" s="4" t="n">
        <v>1300</v>
      </c>
      <c r="F3539" s="4" t="n">
        <v>2215.2</v>
      </c>
    </row>
    <row r="3540">
      <c r="A3540" s="3" t="inlineStr">
        <is>
          <t>3</t>
        </is>
      </c>
      <c r="B3540" s="3" t="inlineStr">
        <is>
          <t>Semen warna</t>
        </is>
      </c>
      <c r="C3540" s="3" t="inlineStr">
        <is>
          <t>kg</t>
        </is>
      </c>
      <c r="D3540" s="15" t="n">
        <v>0.188</v>
      </c>
      <c r="E3540" s="4" t="n">
        <v>7800</v>
      </c>
      <c r="F3540" s="4" t="n">
        <v>1466.4</v>
      </c>
    </row>
    <row r="3541">
      <c r="A3541" s="3" t="inlineStr">
        <is>
          <t>4</t>
        </is>
      </c>
      <c r="B3541" s="3" t="inlineStr">
        <is>
          <t>Pasir pasang (quarry - lokasi pekerjaan)</t>
        </is>
      </c>
      <c r="C3541" s="3" t="inlineStr">
        <is>
          <t>m3</t>
        </is>
      </c>
      <c r="D3541" s="15" t="n">
        <v>0.003</v>
      </c>
      <c r="E3541" s="4" t="n">
        <v>275000</v>
      </c>
      <c r="F3541" s="4" t="n">
        <v>825</v>
      </c>
    </row>
    <row r="3542">
      <c r="D3542" s="2" t="inlineStr">
        <is>
          <t>SUBTOTAL UPAH</t>
        </is>
      </c>
      <c r="F3542" s="16" t="n">
        <v>13186.5</v>
      </c>
    </row>
    <row r="3543">
      <c r="D3543" s="2" t="inlineStr">
        <is>
          <t>SUBTOTAL BAHAN</t>
        </is>
      </c>
      <c r="F3543" s="16" t="n">
        <v>13256.6</v>
      </c>
    </row>
    <row r="3544">
      <c r="D3544" s="2" t="inlineStr">
        <is>
          <t>SUBTOTAL ALAT</t>
        </is>
      </c>
      <c r="F3544" s="16" t="n">
        <v>0</v>
      </c>
    </row>
    <row r="3545">
      <c r="E3545" s="2" t="inlineStr">
        <is>
          <t>TOTAL HARGA SATUAN (Inc. Overhead)</t>
        </is>
      </c>
      <c r="F3545" s="17" t="n">
        <v>29087</v>
      </c>
    </row>
    <row r="3547">
      <c r="A3547" s="14" t="inlineStr">
        <is>
          <t>KODE: 3.9.8.21 - Pemasangan 1 m' Step Nosing Keramik 10cm x 60 cm (1SP:2PP)</t>
        </is>
      </c>
    </row>
    <row r="3548">
      <c r="A3548" s="10" t="inlineStr">
        <is>
          <t>No</t>
        </is>
      </c>
      <c r="B3548" s="10" t="inlineStr">
        <is>
          <t>Uraian Komponen</t>
        </is>
      </c>
      <c r="C3548" s="10" t="inlineStr">
        <is>
          <t>Satuan</t>
        </is>
      </c>
      <c r="D3548" s="10" t="inlineStr">
        <is>
          <t>Koef</t>
        </is>
      </c>
      <c r="E3548" s="10" t="inlineStr">
        <is>
          <t>Harga Satuan (Rp)</t>
        </is>
      </c>
      <c r="F3548" s="10" t="inlineStr">
        <is>
          <t>Jumlah Harga (Rp)</t>
        </is>
      </c>
    </row>
    <row r="3549">
      <c r="A3549" s="3" t="inlineStr">
        <is>
          <t>1</t>
        </is>
      </c>
      <c r="B3549" s="3" t="inlineStr">
        <is>
          <t>Pekerja</t>
        </is>
      </c>
      <c r="C3549" s="3" t="inlineStr">
        <is>
          <t>OH</t>
        </is>
      </c>
      <c r="D3549" s="15" t="n">
        <v>0.07140000000000001</v>
      </c>
      <c r="E3549" s="4" t="n">
        <v>100000</v>
      </c>
      <c r="F3549" s="4" t="n">
        <v>7140.000000000001</v>
      </c>
    </row>
    <row r="3550">
      <c r="A3550" s="3" t="inlineStr">
        <is>
          <t>2</t>
        </is>
      </c>
      <c r="B3550" s="3" t="inlineStr">
        <is>
          <t>Tukang batu</t>
        </is>
      </c>
      <c r="C3550" s="3" t="inlineStr">
        <is>
          <t>OH</t>
        </is>
      </c>
      <c r="D3550" s="15" t="n">
        <v>0.0357</v>
      </c>
      <c r="E3550" s="4" t="n">
        <v>145000</v>
      </c>
      <c r="F3550" s="4" t="n">
        <v>5176.5</v>
      </c>
    </row>
    <row r="3551">
      <c r="A3551" s="3" t="inlineStr">
        <is>
          <t>3</t>
        </is>
      </c>
      <c r="B3551" s="3" t="inlineStr">
        <is>
          <t>Kepala tukang</t>
        </is>
      </c>
      <c r="C3551" s="3" t="inlineStr">
        <is>
          <t>OH</t>
        </is>
      </c>
      <c r="D3551" s="15" t="n">
        <v>0.0036</v>
      </c>
      <c r="E3551" s="4" t="n">
        <v>175000</v>
      </c>
      <c r="F3551" s="4" t="n">
        <v>630</v>
      </c>
    </row>
    <row r="3552">
      <c r="A3552" s="3" t="inlineStr">
        <is>
          <t>4</t>
        </is>
      </c>
      <c r="B3552" s="3" t="inlineStr">
        <is>
          <t>Mandor</t>
        </is>
      </c>
      <c r="C3552" s="3" t="inlineStr">
        <is>
          <t>OH</t>
        </is>
      </c>
      <c r="D3552" s="15" t="n">
        <v>0.0012</v>
      </c>
      <c r="E3552" s="4" t="n">
        <v>200000</v>
      </c>
      <c r="F3552" s="4" t="n">
        <v>240</v>
      </c>
    </row>
    <row r="3553">
      <c r="A3553" s="3" t="inlineStr">
        <is>
          <t>1</t>
        </is>
      </c>
      <c r="B3553" s="3" t="inlineStr">
        <is>
          <t>Step Nosing Keramik 10x60 cm</t>
        </is>
      </c>
      <c r="C3553" s="3" t="inlineStr">
        <is>
          <t>buah</t>
        </is>
      </c>
      <c r="D3553" s="15" t="n">
        <v>1.75</v>
      </c>
      <c r="E3553" s="4" t="n">
        <v>28000</v>
      </c>
      <c r="F3553" s="4" t="n">
        <v>49000</v>
      </c>
    </row>
    <row r="3554">
      <c r="A3554" s="3" t="inlineStr">
        <is>
          <t>2</t>
        </is>
      </c>
      <c r="B3554" s="3" t="inlineStr">
        <is>
          <t>Semen portland (PC)</t>
        </is>
      </c>
      <c r="C3554" s="3" t="inlineStr">
        <is>
          <t>kg</t>
        </is>
      </c>
      <c r="D3554" s="15" t="n">
        <v>1.704</v>
      </c>
      <c r="E3554" s="4" t="n">
        <v>1300</v>
      </c>
      <c r="F3554" s="4" t="n">
        <v>2215.2</v>
      </c>
    </row>
    <row r="3555">
      <c r="A3555" s="3" t="inlineStr">
        <is>
          <t>3</t>
        </is>
      </c>
      <c r="B3555" s="3" t="inlineStr">
        <is>
          <t>Semen warna</t>
        </is>
      </c>
      <c r="C3555" s="3" t="inlineStr">
        <is>
          <t>kg</t>
        </is>
      </c>
      <c r="D3555" s="15" t="n">
        <v>0.188</v>
      </c>
      <c r="E3555" s="4" t="n">
        <v>7800</v>
      </c>
      <c r="F3555" s="4" t="n">
        <v>1466.4</v>
      </c>
    </row>
    <row r="3556">
      <c r="A3556" s="3" t="inlineStr">
        <is>
          <t>4</t>
        </is>
      </c>
      <c r="B3556" s="3" t="inlineStr">
        <is>
          <t>Pasir pasang (quarry - lokasi pekerjaan)</t>
        </is>
      </c>
      <c r="C3556" s="3" t="inlineStr">
        <is>
          <t>m3</t>
        </is>
      </c>
      <c r="D3556" s="15" t="n">
        <v>0.003</v>
      </c>
      <c r="E3556" s="4" t="n">
        <v>275000</v>
      </c>
      <c r="F3556" s="4" t="n">
        <v>825</v>
      </c>
    </row>
    <row r="3557">
      <c r="D3557" s="2" t="inlineStr">
        <is>
          <t>SUBTOTAL UPAH</t>
        </is>
      </c>
      <c r="F3557" s="16" t="n">
        <v>13186.5</v>
      </c>
    </row>
    <row r="3558">
      <c r="D3558" s="2" t="inlineStr">
        <is>
          <t>SUBTOTAL BAHAN</t>
        </is>
      </c>
      <c r="F3558" s="16" t="n">
        <v>53506.6</v>
      </c>
    </row>
    <row r="3559">
      <c r="D3559" s="2" t="inlineStr">
        <is>
          <t>SUBTOTAL ALAT</t>
        </is>
      </c>
      <c r="F3559" s="16" t="n">
        <v>0</v>
      </c>
    </row>
    <row r="3560">
      <c r="E3560" s="2" t="inlineStr">
        <is>
          <t>TOTAL HARGA SATUAN (Inc. Overhead)</t>
        </is>
      </c>
      <c r="F3560" s="17" t="n">
        <v>73362</v>
      </c>
    </row>
    <row r="3562">
      <c r="A3562" s="14" t="inlineStr">
        <is>
          <t>KODE: 3.9.9.1 - Pemasangan 1 m2 lantai marmer uk. 100x100 cm</t>
        </is>
      </c>
    </row>
    <row r="3563">
      <c r="A3563" s="10" t="inlineStr">
        <is>
          <t>No</t>
        </is>
      </c>
      <c r="B3563" s="10" t="inlineStr">
        <is>
          <t>Uraian Komponen</t>
        </is>
      </c>
      <c r="C3563" s="10" t="inlineStr">
        <is>
          <t>Satuan</t>
        </is>
      </c>
      <c r="D3563" s="10" t="inlineStr">
        <is>
          <t>Koef</t>
        </is>
      </c>
      <c r="E3563" s="10" t="inlineStr">
        <is>
          <t>Harga Satuan (Rp)</t>
        </is>
      </c>
      <c r="F3563" s="10" t="inlineStr">
        <is>
          <t>Jumlah Harga (Rp)</t>
        </is>
      </c>
    </row>
    <row r="3564">
      <c r="A3564" s="3" t="inlineStr">
        <is>
          <t>1</t>
        </is>
      </c>
      <c r="B3564" s="3" t="inlineStr">
        <is>
          <t>Pekerja</t>
        </is>
      </c>
      <c r="C3564" s="3" t="inlineStr">
        <is>
          <t>OH</t>
        </is>
      </c>
      <c r="D3564" s="15" t="n">
        <v>0.7</v>
      </c>
      <c r="E3564" s="4" t="n">
        <v>100000</v>
      </c>
      <c r="F3564" s="4" t="n">
        <v>70000</v>
      </c>
    </row>
    <row r="3565">
      <c r="A3565" s="3" t="inlineStr">
        <is>
          <t>2</t>
        </is>
      </c>
      <c r="B3565" s="3" t="inlineStr">
        <is>
          <t>Tukang batu</t>
        </is>
      </c>
      <c r="C3565" s="3" t="inlineStr">
        <is>
          <t>OH</t>
        </is>
      </c>
      <c r="D3565" s="15" t="n">
        <v>0.35</v>
      </c>
      <c r="E3565" s="4" t="n">
        <v>145000</v>
      </c>
      <c r="F3565" s="4" t="n">
        <v>50750</v>
      </c>
    </row>
    <row r="3566">
      <c r="A3566" s="3" t="inlineStr">
        <is>
          <t>3</t>
        </is>
      </c>
      <c r="B3566" s="3" t="inlineStr">
        <is>
          <t>Kepala tukang</t>
        </is>
      </c>
      <c r="C3566" s="3" t="inlineStr">
        <is>
          <t>OH</t>
        </is>
      </c>
      <c r="D3566" s="15" t="n">
        <v>0.035</v>
      </c>
      <c r="E3566" s="4" t="n">
        <v>175000</v>
      </c>
      <c r="F3566" s="4" t="n">
        <v>6125.000000000001</v>
      </c>
    </row>
    <row r="3567">
      <c r="A3567" s="3" t="inlineStr">
        <is>
          <t>4</t>
        </is>
      </c>
      <c r="B3567" s="3" t="inlineStr">
        <is>
          <t>Mandor</t>
        </is>
      </c>
      <c r="C3567" s="3" t="inlineStr">
        <is>
          <t>OH</t>
        </is>
      </c>
      <c r="D3567" s="15" t="n">
        <v>0.0117</v>
      </c>
      <c r="E3567" s="4" t="n">
        <v>200000</v>
      </c>
      <c r="F3567" s="4" t="n">
        <v>2340</v>
      </c>
    </row>
    <row r="3568">
      <c r="A3568" s="3" t="inlineStr">
        <is>
          <t>1</t>
        </is>
      </c>
      <c r="B3568" s="3" t="inlineStr">
        <is>
          <t>Marmer</t>
        </is>
      </c>
      <c r="C3568" s="3" t="inlineStr">
        <is>
          <t>buah</t>
        </is>
      </c>
      <c r="D3568" s="15" t="n">
        <v>1.06</v>
      </c>
      <c r="E3568" s="4" t="n">
        <v>800000</v>
      </c>
      <c r="F3568" s="4" t="n">
        <v>848000</v>
      </c>
    </row>
    <row r="3569">
      <c r="A3569" s="3" t="inlineStr">
        <is>
          <t>2</t>
        </is>
      </c>
      <c r="B3569" s="3" t="inlineStr">
        <is>
          <t>Semen portland (PC)</t>
        </is>
      </c>
      <c r="C3569" s="3" t="inlineStr">
        <is>
          <t>kg</t>
        </is>
      </c>
      <c r="D3569" s="15" t="n">
        <v>8.19</v>
      </c>
      <c r="E3569" s="4" t="n">
        <v>1300</v>
      </c>
      <c r="F3569" s="4" t="n">
        <v>10647</v>
      </c>
    </row>
    <row r="3570">
      <c r="A3570" s="3" t="inlineStr">
        <is>
          <t>3</t>
        </is>
      </c>
      <c r="B3570" s="3" t="inlineStr">
        <is>
          <t>Semen warna</t>
        </is>
      </c>
      <c r="C3570" s="3" t="inlineStr">
        <is>
          <t>kg</t>
        </is>
      </c>
      <c r="D3570" s="15" t="n">
        <v>0.134</v>
      </c>
      <c r="E3570" s="4" t="n">
        <v>7800</v>
      </c>
      <c r="F3570" s="4" t="n">
        <v>1045.2</v>
      </c>
    </row>
    <row r="3571">
      <c r="A3571" s="3" t="inlineStr">
        <is>
          <t>4</t>
        </is>
      </c>
      <c r="B3571" s="3" t="inlineStr">
        <is>
          <t>Pasir pasang (quarry - lokasi pekerjaan)</t>
        </is>
      </c>
      <c r="C3571" s="3" t="inlineStr">
        <is>
          <t>m3</t>
        </is>
      </c>
      <c r="D3571" s="15" t="n">
        <v>0.045</v>
      </c>
      <c r="E3571" s="4" t="n">
        <v>275000</v>
      </c>
      <c r="F3571" s="4" t="n">
        <v>12375</v>
      </c>
    </row>
    <row r="3572">
      <c r="D3572" s="2" t="inlineStr">
        <is>
          <t>SUBTOTAL UPAH</t>
        </is>
      </c>
      <c r="F3572" s="16" t="n">
        <v>129215</v>
      </c>
    </row>
    <row r="3573">
      <c r="D3573" s="2" t="inlineStr">
        <is>
          <t>SUBTOTAL BAHAN</t>
        </is>
      </c>
      <c r="F3573" s="16" t="n">
        <v>872067.2</v>
      </c>
    </row>
    <row r="3574">
      <c r="D3574" s="2" t="inlineStr">
        <is>
          <t>SUBTOTAL ALAT</t>
        </is>
      </c>
      <c r="F3574" s="16" t="n">
        <v>0</v>
      </c>
    </row>
    <row r="3575">
      <c r="E3575" s="2" t="inlineStr">
        <is>
          <t>TOTAL HARGA SATUAN (Inc. Overhead)</t>
        </is>
      </c>
      <c r="F3575" s="17" t="n">
        <v>1101410</v>
      </c>
    </row>
    <row r="3577">
      <c r="A3577" s="14" t="inlineStr">
        <is>
          <t>KODE: 3.9.9.2 - Pemasangan 1 m2 lantai karpet</t>
        </is>
      </c>
    </row>
    <row r="3578">
      <c r="A3578" s="10" t="inlineStr">
        <is>
          <t>No</t>
        </is>
      </c>
      <c r="B3578" s="10" t="inlineStr">
        <is>
          <t>Uraian Komponen</t>
        </is>
      </c>
      <c r="C3578" s="10" t="inlineStr">
        <is>
          <t>Satuan</t>
        </is>
      </c>
      <c r="D3578" s="10" t="inlineStr">
        <is>
          <t>Koef</t>
        </is>
      </c>
      <c r="E3578" s="10" t="inlineStr">
        <is>
          <t>Harga Satuan (Rp)</t>
        </is>
      </c>
      <c r="F3578" s="10" t="inlineStr">
        <is>
          <t>Jumlah Harga (Rp)</t>
        </is>
      </c>
    </row>
    <row r="3579">
      <c r="A3579" s="3" t="inlineStr">
        <is>
          <t>1</t>
        </is>
      </c>
      <c r="B3579" s="3" t="inlineStr">
        <is>
          <t>Pekerja</t>
        </is>
      </c>
      <c r="C3579" s="3" t="inlineStr">
        <is>
          <t>OH</t>
        </is>
      </c>
      <c r="D3579" s="15" t="n">
        <v>0.17</v>
      </c>
      <c r="E3579" s="4" t="n">
        <v>100000</v>
      </c>
      <c r="F3579" s="4" t="n">
        <v>17000</v>
      </c>
    </row>
    <row r="3580">
      <c r="A3580" s="3" t="inlineStr">
        <is>
          <t>2</t>
        </is>
      </c>
      <c r="B3580" s="3" t="inlineStr">
        <is>
          <t>Tukang batu</t>
        </is>
      </c>
      <c r="C3580" s="3" t="inlineStr">
        <is>
          <t>OH</t>
        </is>
      </c>
      <c r="D3580" s="15" t="n">
        <v>0.17</v>
      </c>
      <c r="E3580" s="4" t="n">
        <v>145000</v>
      </c>
      <c r="F3580" s="4" t="n">
        <v>24650</v>
      </c>
    </row>
    <row r="3581">
      <c r="A3581" s="3" t="inlineStr">
        <is>
          <t>3</t>
        </is>
      </c>
      <c r="B3581" s="3" t="inlineStr">
        <is>
          <t>Kepala tukang</t>
        </is>
      </c>
      <c r="C3581" s="3" t="inlineStr">
        <is>
          <t>OH</t>
        </is>
      </c>
      <c r="D3581" s="15" t="n">
        <v>0.017</v>
      </c>
      <c r="E3581" s="4" t="n">
        <v>175000</v>
      </c>
      <c r="F3581" s="4" t="n">
        <v>2975</v>
      </c>
    </row>
    <row r="3582">
      <c r="A3582" s="3" t="inlineStr">
        <is>
          <t>4</t>
        </is>
      </c>
      <c r="B3582" s="3" t="inlineStr">
        <is>
          <t>Mandor</t>
        </is>
      </c>
      <c r="C3582" s="3" t="inlineStr">
        <is>
          <t>OH</t>
        </is>
      </c>
      <c r="D3582" s="15" t="n">
        <v>0.0057</v>
      </c>
      <c r="E3582" s="4" t="n">
        <v>200000</v>
      </c>
      <c r="F3582" s="4" t="n">
        <v>1140</v>
      </c>
    </row>
    <row r="3583">
      <c r="A3583" s="3" t="inlineStr">
        <is>
          <t>1</t>
        </is>
      </c>
      <c r="B3583" s="3" t="inlineStr">
        <is>
          <t>Karpet</t>
        </is>
      </c>
      <c r="C3583" s="3" t="inlineStr">
        <is>
          <t>m2</t>
        </is>
      </c>
      <c r="D3583" s="15" t="n">
        <v>1.05</v>
      </c>
      <c r="E3583" s="4" t="n">
        <v>45000</v>
      </c>
      <c r="F3583" s="4" t="n">
        <v>47250</v>
      </c>
    </row>
    <row r="3584">
      <c r="A3584" s="3" t="inlineStr">
        <is>
          <t>2</t>
        </is>
      </c>
      <c r="B3584" s="3" t="inlineStr">
        <is>
          <t>Lem Karpet</t>
        </is>
      </c>
      <c r="C3584" s="3" t="inlineStr">
        <is>
          <t>kg</t>
        </is>
      </c>
      <c r="D3584" s="15" t="n">
        <v>0.35</v>
      </c>
      <c r="E3584" s="4" t="n">
        <v>75000</v>
      </c>
      <c r="F3584" s="4" t="n">
        <v>26250</v>
      </c>
    </row>
    <row r="3585">
      <c r="D3585" s="2" t="inlineStr">
        <is>
          <t>SUBTOTAL UPAH</t>
        </is>
      </c>
      <c r="F3585" s="16" t="n">
        <v>45765</v>
      </c>
    </row>
    <row r="3586">
      <c r="D3586" s="2" t="inlineStr">
        <is>
          <t>SUBTOTAL BAHAN</t>
        </is>
      </c>
      <c r="F3586" s="16" t="n">
        <v>73500</v>
      </c>
    </row>
    <row r="3587">
      <c r="D3587" s="2" t="inlineStr">
        <is>
          <t>SUBTOTAL ALAT</t>
        </is>
      </c>
      <c r="F3587" s="16" t="n">
        <v>0</v>
      </c>
    </row>
    <row r="3588">
      <c r="E3588" s="2" t="inlineStr">
        <is>
          <t>TOTAL HARGA SATUAN (Inc. Overhead)</t>
        </is>
      </c>
      <c r="F3588" s="17" t="n">
        <v>131191</v>
      </c>
    </row>
    <row r="3590">
      <c r="A3590" s="14" t="inlineStr">
        <is>
          <t>KODE: 3.9.9.3 - Pemasangan 1 m2 underlayer (pelapis bawah karpet)</t>
        </is>
      </c>
    </row>
    <row r="3591">
      <c r="A3591" s="10" t="inlineStr">
        <is>
          <t>No</t>
        </is>
      </c>
      <c r="B3591" s="10" t="inlineStr">
        <is>
          <t>Uraian Komponen</t>
        </is>
      </c>
      <c r="C3591" s="10" t="inlineStr">
        <is>
          <t>Satuan</t>
        </is>
      </c>
      <c r="D3591" s="10" t="inlineStr">
        <is>
          <t>Koef</t>
        </is>
      </c>
      <c r="E3591" s="10" t="inlineStr">
        <is>
          <t>Harga Satuan (Rp)</t>
        </is>
      </c>
      <c r="F3591" s="10" t="inlineStr">
        <is>
          <t>Jumlah Harga (Rp)</t>
        </is>
      </c>
    </row>
    <row r="3592">
      <c r="A3592" s="3" t="inlineStr">
        <is>
          <t>1</t>
        </is>
      </c>
      <c r="B3592" s="3" t="inlineStr">
        <is>
          <t>Pekerja</t>
        </is>
      </c>
      <c r="C3592" s="3" t="inlineStr">
        <is>
          <t>OH</t>
        </is>
      </c>
      <c r="D3592" s="15" t="n">
        <v>0.12</v>
      </c>
      <c r="E3592" s="4" t="n">
        <v>100000</v>
      </c>
      <c r="F3592" s="4" t="n">
        <v>12000</v>
      </c>
    </row>
    <row r="3593">
      <c r="A3593" s="3" t="inlineStr">
        <is>
          <t>2</t>
        </is>
      </c>
      <c r="B3593" s="3" t="inlineStr">
        <is>
          <t>Tukang batu</t>
        </is>
      </c>
      <c r="C3593" s="3" t="inlineStr">
        <is>
          <t>OH</t>
        </is>
      </c>
      <c r="D3593" s="15" t="n">
        <v>0.12</v>
      </c>
      <c r="E3593" s="4" t="n">
        <v>145000</v>
      </c>
      <c r="F3593" s="4" t="n">
        <v>17400</v>
      </c>
    </row>
    <row r="3594">
      <c r="A3594" s="3" t="inlineStr">
        <is>
          <t>3</t>
        </is>
      </c>
      <c r="B3594" s="3" t="inlineStr">
        <is>
          <t>Kepala tukang</t>
        </is>
      </c>
      <c r="C3594" s="3" t="inlineStr">
        <is>
          <t>OH</t>
        </is>
      </c>
      <c r="D3594" s="15" t="n">
        <v>0.012</v>
      </c>
      <c r="E3594" s="4" t="n">
        <v>175000</v>
      </c>
      <c r="F3594" s="4" t="n">
        <v>2100</v>
      </c>
    </row>
    <row r="3595">
      <c r="A3595" s="3" t="inlineStr">
        <is>
          <t>4</t>
        </is>
      </c>
      <c r="B3595" s="3" t="inlineStr">
        <is>
          <t>Mandor</t>
        </is>
      </c>
      <c r="C3595" s="3" t="inlineStr">
        <is>
          <t>OH</t>
        </is>
      </c>
      <c r="D3595" s="15" t="n">
        <v>0.004</v>
      </c>
      <c r="E3595" s="4" t="n">
        <v>200000</v>
      </c>
      <c r="F3595" s="4" t="n">
        <v>800</v>
      </c>
    </row>
    <row r="3596">
      <c r="A3596" s="3" t="inlineStr">
        <is>
          <t>1</t>
        </is>
      </c>
      <c r="B3596" s="3" t="inlineStr">
        <is>
          <t>Underlayer karpet</t>
        </is>
      </c>
      <c r="C3596" s="3" t="inlineStr">
        <is>
          <t>m2</t>
        </is>
      </c>
      <c r="D3596" s="15" t="n">
        <v>1.05</v>
      </c>
      <c r="E3596" s="4" t="n">
        <v>10000</v>
      </c>
      <c r="F3596" s="4" t="n">
        <v>10500</v>
      </c>
    </row>
    <row r="3597">
      <c r="A3597" s="3" t="inlineStr">
        <is>
          <t>2</t>
        </is>
      </c>
      <c r="B3597" s="3" t="inlineStr">
        <is>
          <t>Lem Karpet</t>
        </is>
      </c>
      <c r="C3597" s="3" t="inlineStr">
        <is>
          <t>kg</t>
        </is>
      </c>
      <c r="D3597" s="15" t="n">
        <v>0.35</v>
      </c>
      <c r="E3597" s="4" t="n">
        <v>75000</v>
      </c>
      <c r="F3597" s="4" t="n">
        <v>26250</v>
      </c>
    </row>
    <row r="3598">
      <c r="D3598" s="2" t="inlineStr">
        <is>
          <t>SUBTOTAL UPAH</t>
        </is>
      </c>
      <c r="F3598" s="16" t="n">
        <v>32300</v>
      </c>
    </row>
    <row r="3599">
      <c r="D3599" s="2" t="inlineStr">
        <is>
          <t>SUBTOTAL BAHAN</t>
        </is>
      </c>
      <c r="F3599" s="16" t="n">
        <v>36750</v>
      </c>
    </row>
    <row r="3600">
      <c r="D3600" s="2" t="inlineStr">
        <is>
          <t>SUBTOTAL ALAT</t>
        </is>
      </c>
      <c r="F3600" s="16" t="n">
        <v>0</v>
      </c>
    </row>
    <row r="3601">
      <c r="E3601" s="2" t="inlineStr">
        <is>
          <t>TOTAL HARGA SATUAN (Inc. Overhead)</t>
        </is>
      </c>
      <c r="F3601" s="17" t="n">
        <v>75955</v>
      </c>
    </row>
    <row r="3603">
      <c r="A3603" s="14" t="inlineStr">
        <is>
          <t>KODE: 3.9.9.4 - Pemasangan 1 m2 lantai parquet kayu solid</t>
        </is>
      </c>
    </row>
    <row r="3604">
      <c r="A3604" s="10" t="inlineStr">
        <is>
          <t>No</t>
        </is>
      </c>
      <c r="B3604" s="10" t="inlineStr">
        <is>
          <t>Uraian Komponen</t>
        </is>
      </c>
      <c r="C3604" s="10" t="inlineStr">
        <is>
          <t>Satuan</t>
        </is>
      </c>
      <c r="D3604" s="10" t="inlineStr">
        <is>
          <t>Koef</t>
        </is>
      </c>
      <c r="E3604" s="10" t="inlineStr">
        <is>
          <t>Harga Satuan (Rp)</t>
        </is>
      </c>
      <c r="F3604" s="10" t="inlineStr">
        <is>
          <t>Jumlah Harga (Rp)</t>
        </is>
      </c>
    </row>
    <row r="3605">
      <c r="A3605" s="3" t="inlineStr">
        <is>
          <t>1</t>
        </is>
      </c>
      <c r="B3605" s="3" t="inlineStr">
        <is>
          <t>Pekerja</t>
        </is>
      </c>
      <c r="C3605" s="3" t="inlineStr">
        <is>
          <t>OH</t>
        </is>
      </c>
      <c r="D3605" s="15" t="n">
        <v>0.2</v>
      </c>
      <c r="E3605" s="4" t="n">
        <v>100000</v>
      </c>
      <c r="F3605" s="4" t="n">
        <v>20000</v>
      </c>
    </row>
    <row r="3606">
      <c r="A3606" s="3" t="inlineStr">
        <is>
          <t>2</t>
        </is>
      </c>
      <c r="B3606" s="3" t="inlineStr">
        <is>
          <t>Tukang batu</t>
        </is>
      </c>
      <c r="C3606" s="3" t="inlineStr">
        <is>
          <t>OH</t>
        </is>
      </c>
      <c r="D3606" s="15" t="n">
        <v>0.1</v>
      </c>
      <c r="E3606" s="4" t="n">
        <v>145000</v>
      </c>
      <c r="F3606" s="4" t="n">
        <v>14500</v>
      </c>
    </row>
    <row r="3607">
      <c r="A3607" s="3" t="inlineStr">
        <is>
          <t>3</t>
        </is>
      </c>
      <c r="B3607" s="3" t="inlineStr">
        <is>
          <t>Kepala tukang</t>
        </is>
      </c>
      <c r="C3607" s="3" t="inlineStr">
        <is>
          <t>OH</t>
        </is>
      </c>
      <c r="D3607" s="15" t="n">
        <v>0.01</v>
      </c>
      <c r="E3607" s="4" t="n">
        <v>175000</v>
      </c>
      <c r="F3607" s="4" t="n">
        <v>1750</v>
      </c>
    </row>
    <row r="3608">
      <c r="A3608" s="3" t="inlineStr">
        <is>
          <t>4</t>
        </is>
      </c>
      <c r="B3608" s="3" t="inlineStr">
        <is>
          <t>Mandor</t>
        </is>
      </c>
      <c r="C3608" s="3" t="inlineStr">
        <is>
          <t>OH</t>
        </is>
      </c>
      <c r="D3608" s="15" t="n">
        <v>0.0033</v>
      </c>
      <c r="E3608" s="4" t="n">
        <v>200000</v>
      </c>
      <c r="F3608" s="4" t="n">
        <v>660</v>
      </c>
    </row>
    <row r="3609">
      <c r="A3609" s="3" t="inlineStr">
        <is>
          <t>1</t>
        </is>
      </c>
      <c r="B3609" s="3" t="inlineStr">
        <is>
          <t>Parquet kayu solid</t>
        </is>
      </c>
      <c r="C3609" s="3" t="inlineStr">
        <is>
          <t>m2</t>
        </is>
      </c>
      <c r="D3609" s="15" t="n">
        <v>1.05</v>
      </c>
      <c r="E3609" s="4" t="n">
        <v>306600</v>
      </c>
      <c r="F3609" s="4" t="n">
        <v>321930</v>
      </c>
    </row>
    <row r="3610">
      <c r="A3610" s="3" t="inlineStr">
        <is>
          <t>2</t>
        </is>
      </c>
      <c r="B3610" s="3" t="inlineStr">
        <is>
          <t>Lem kayu</t>
        </is>
      </c>
      <c r="C3610" s="3" t="inlineStr">
        <is>
          <t>kg</t>
        </is>
      </c>
      <c r="D3610" s="15" t="n">
        <v>0.6</v>
      </c>
      <c r="E3610" s="4" t="n">
        <v>16400</v>
      </c>
      <c r="F3610" s="4" t="n">
        <v>9840</v>
      </c>
    </row>
    <row r="3611">
      <c r="D3611" s="2" t="inlineStr">
        <is>
          <t>SUBTOTAL UPAH</t>
        </is>
      </c>
      <c r="F3611" s="16" t="n">
        <v>36910</v>
      </c>
    </row>
    <row r="3612">
      <c r="D3612" s="2" t="inlineStr">
        <is>
          <t>SUBTOTAL BAHAN</t>
        </is>
      </c>
      <c r="F3612" s="16" t="n">
        <v>331770</v>
      </c>
    </row>
    <row r="3613">
      <c r="D3613" s="2" t="inlineStr">
        <is>
          <t>SUBTOTAL ALAT</t>
        </is>
      </c>
      <c r="F3613" s="16" t="n">
        <v>0</v>
      </c>
    </row>
    <row r="3614">
      <c r="E3614" s="2" t="inlineStr">
        <is>
          <t>TOTAL HARGA SATUAN (Inc. Overhead)</t>
        </is>
      </c>
      <c r="F3614" s="17" t="n">
        <v>405548</v>
      </c>
    </row>
    <row r="3616">
      <c r="A3616" s="14" t="inlineStr">
        <is>
          <t>KODE: 9.9.9.5 - Pemasangan 1 m2 lantai engineering wood</t>
        </is>
      </c>
    </row>
    <row r="3617">
      <c r="A3617" s="10" t="inlineStr">
        <is>
          <t>No</t>
        </is>
      </c>
      <c r="B3617" s="10" t="inlineStr">
        <is>
          <t>Uraian Komponen</t>
        </is>
      </c>
      <c r="C3617" s="10" t="inlineStr">
        <is>
          <t>Satuan</t>
        </is>
      </c>
      <c r="D3617" s="10" t="inlineStr">
        <is>
          <t>Koef</t>
        </is>
      </c>
      <c r="E3617" s="10" t="inlineStr">
        <is>
          <t>Harga Satuan (Rp)</t>
        </is>
      </c>
      <c r="F3617" s="10" t="inlineStr">
        <is>
          <t>Jumlah Harga (Rp)</t>
        </is>
      </c>
    </row>
    <row r="3618">
      <c r="A3618" s="3" t="inlineStr">
        <is>
          <t>1</t>
        </is>
      </c>
      <c r="B3618" s="3" t="inlineStr">
        <is>
          <t>Pekerja</t>
        </is>
      </c>
      <c r="C3618" s="3" t="inlineStr">
        <is>
          <t>OH</t>
        </is>
      </c>
      <c r="D3618" s="15" t="n">
        <v>0.2</v>
      </c>
      <c r="E3618" s="4" t="n">
        <v>100000</v>
      </c>
      <c r="F3618" s="4" t="n">
        <v>20000</v>
      </c>
    </row>
    <row r="3619">
      <c r="A3619" s="3" t="inlineStr">
        <is>
          <t>2</t>
        </is>
      </c>
      <c r="B3619" s="3" t="inlineStr">
        <is>
          <t>Tukang batu</t>
        </is>
      </c>
      <c r="C3619" s="3" t="inlineStr">
        <is>
          <t>OH</t>
        </is>
      </c>
      <c r="D3619" s="15" t="n">
        <v>0.1</v>
      </c>
      <c r="E3619" s="4" t="n">
        <v>145000</v>
      </c>
      <c r="F3619" s="4" t="n">
        <v>14500</v>
      </c>
    </row>
    <row r="3620">
      <c r="A3620" s="3" t="inlineStr">
        <is>
          <t>3</t>
        </is>
      </c>
      <c r="B3620" s="3" t="inlineStr">
        <is>
          <t>Kepala tukang</t>
        </is>
      </c>
      <c r="C3620" s="3" t="inlineStr">
        <is>
          <t>OH</t>
        </is>
      </c>
      <c r="D3620" s="15" t="n">
        <v>0.01</v>
      </c>
      <c r="E3620" s="4" t="n">
        <v>175000</v>
      </c>
      <c r="F3620" s="4" t="n">
        <v>1750</v>
      </c>
    </row>
    <row r="3621">
      <c r="A3621" s="3" t="inlineStr">
        <is>
          <t>4</t>
        </is>
      </c>
      <c r="B3621" s="3" t="inlineStr">
        <is>
          <t>Mandor</t>
        </is>
      </c>
      <c r="C3621" s="3" t="inlineStr">
        <is>
          <t>OH</t>
        </is>
      </c>
      <c r="D3621" s="15" t="n">
        <v>0.0033</v>
      </c>
      <c r="E3621" s="4" t="n">
        <v>200000</v>
      </c>
      <c r="F3621" s="4" t="n">
        <v>660</v>
      </c>
    </row>
    <row r="3622">
      <c r="A3622" s="3" t="inlineStr">
        <is>
          <t>1</t>
        </is>
      </c>
      <c r="B3622" s="3" t="inlineStr">
        <is>
          <t>Lantai engineering wood</t>
        </is>
      </c>
      <c r="C3622" s="3" t="inlineStr">
        <is>
          <t>m2</t>
        </is>
      </c>
      <c r="D3622" s="15" t="n">
        <v>1.05</v>
      </c>
      <c r="E3622" s="4" t="n">
        <v>200000</v>
      </c>
      <c r="F3622" s="4" t="n">
        <v>210000</v>
      </c>
    </row>
    <row r="3623">
      <c r="A3623" s="3" t="inlineStr">
        <is>
          <t>2</t>
        </is>
      </c>
      <c r="B3623" s="3" t="inlineStr">
        <is>
          <t>Lem kayu</t>
        </is>
      </c>
      <c r="C3623" s="3" t="inlineStr">
        <is>
          <t>kg</t>
        </is>
      </c>
      <c r="D3623" s="15" t="n">
        <v>0.6</v>
      </c>
      <c r="E3623" s="4" t="n">
        <v>16400</v>
      </c>
      <c r="F3623" s="4" t="n">
        <v>9840</v>
      </c>
    </row>
    <row r="3624">
      <c r="D3624" s="2" t="inlineStr">
        <is>
          <t>SUBTOTAL UPAH</t>
        </is>
      </c>
      <c r="F3624" s="16" t="n">
        <v>36910</v>
      </c>
    </row>
    <row r="3625">
      <c r="D3625" s="2" t="inlineStr">
        <is>
          <t>SUBTOTAL BAHAN</t>
        </is>
      </c>
      <c r="F3625" s="16" t="n">
        <v>219840</v>
      </c>
    </row>
    <row r="3626">
      <c r="D3626" s="2" t="inlineStr">
        <is>
          <t>SUBTOTAL ALAT</t>
        </is>
      </c>
      <c r="F3626" s="16" t="n">
        <v>0</v>
      </c>
    </row>
    <row r="3627">
      <c r="E3627" s="2" t="inlineStr">
        <is>
          <t>TOTAL HARGA SATUAN (Inc. Overhead)</t>
        </is>
      </c>
      <c r="F3627" s="17" t="n">
        <v>282425</v>
      </c>
    </row>
    <row r="3629">
      <c r="A3629" s="14" t="inlineStr">
        <is>
          <t>KODE: 3.9.9.6 - Pemasangan 1 m' plint kayu tebal 2 cm lebar 10 cm</t>
        </is>
      </c>
    </row>
    <row r="3630">
      <c r="A3630" s="10" t="inlineStr">
        <is>
          <t>No</t>
        </is>
      </c>
      <c r="B3630" s="10" t="inlineStr">
        <is>
          <t>Uraian Komponen</t>
        </is>
      </c>
      <c r="C3630" s="10" t="inlineStr">
        <is>
          <t>Satuan</t>
        </is>
      </c>
      <c r="D3630" s="10" t="inlineStr">
        <is>
          <t>Koef</t>
        </is>
      </c>
      <c r="E3630" s="10" t="inlineStr">
        <is>
          <t>Harga Satuan (Rp)</t>
        </is>
      </c>
      <c r="F3630" s="10" t="inlineStr">
        <is>
          <t>Jumlah Harga (Rp)</t>
        </is>
      </c>
    </row>
    <row r="3631">
      <c r="A3631" s="3" t="inlineStr">
        <is>
          <t>1</t>
        </is>
      </c>
      <c r="B3631" s="3" t="inlineStr">
        <is>
          <t>Pekerja</t>
        </is>
      </c>
      <c r="C3631" s="3" t="inlineStr">
        <is>
          <t>OH</t>
        </is>
      </c>
      <c r="D3631" s="15" t="n">
        <v>0.12</v>
      </c>
      <c r="E3631" s="4" t="n">
        <v>100000</v>
      </c>
      <c r="F3631" s="4" t="n">
        <v>12000</v>
      </c>
    </row>
    <row r="3632">
      <c r="A3632" s="3" t="inlineStr">
        <is>
          <t>2</t>
        </is>
      </c>
      <c r="B3632" s="3" t="inlineStr">
        <is>
          <t>Tukang batu</t>
        </is>
      </c>
      <c r="C3632" s="3" t="inlineStr">
        <is>
          <t>OH</t>
        </is>
      </c>
      <c r="D3632" s="15" t="n">
        <v>0.12</v>
      </c>
      <c r="E3632" s="4" t="n">
        <v>145000</v>
      </c>
      <c r="F3632" s="4" t="n">
        <v>17400</v>
      </c>
    </row>
    <row r="3633">
      <c r="A3633" s="3" t="inlineStr">
        <is>
          <t>3</t>
        </is>
      </c>
      <c r="B3633" s="3" t="inlineStr">
        <is>
          <t>Kepala tukang</t>
        </is>
      </c>
      <c r="C3633" s="3" t="inlineStr">
        <is>
          <t>OH</t>
        </is>
      </c>
      <c r="D3633" s="15" t="n">
        <v>0.012</v>
      </c>
      <c r="E3633" s="4" t="n">
        <v>175000</v>
      </c>
      <c r="F3633" s="4" t="n">
        <v>2100</v>
      </c>
    </row>
    <row r="3634">
      <c r="A3634" s="3" t="inlineStr">
        <is>
          <t>4</t>
        </is>
      </c>
      <c r="B3634" s="3" t="inlineStr">
        <is>
          <t>Mandor</t>
        </is>
      </c>
      <c r="C3634" s="3" t="inlineStr">
        <is>
          <t>OH</t>
        </is>
      </c>
      <c r="D3634" s="15" t="n">
        <v>0.004</v>
      </c>
      <c r="E3634" s="4" t="n">
        <v>200000</v>
      </c>
      <c r="F3634" s="4" t="n">
        <v>800</v>
      </c>
    </row>
    <row r="3635">
      <c r="A3635" s="3" t="inlineStr">
        <is>
          <t>1</t>
        </is>
      </c>
      <c r="B3635" s="3" t="inlineStr">
        <is>
          <t>Kayu papan kelas I</t>
        </is>
      </c>
      <c r="C3635" s="3" t="inlineStr">
        <is>
          <t>m3</t>
        </is>
      </c>
      <c r="D3635" s="15" t="n">
        <v>0.003</v>
      </c>
      <c r="E3635" s="4" t="n">
        <v>26000000</v>
      </c>
      <c r="F3635" s="4" t="n">
        <v>78000</v>
      </c>
    </row>
    <row r="3636">
      <c r="A3636" s="3" t="inlineStr">
        <is>
          <t>2</t>
        </is>
      </c>
      <c r="B3636" s="3" t="inlineStr">
        <is>
          <t>Paku sekrup</t>
        </is>
      </c>
      <c r="C3636" s="3" t="inlineStr">
        <is>
          <t>kg</t>
        </is>
      </c>
      <c r="D3636" s="15" t="n">
        <v>0.05</v>
      </c>
      <c r="E3636" s="4" t="n">
        <v>30090</v>
      </c>
      <c r="F3636" s="4" t="n">
        <v>1504.5</v>
      </c>
    </row>
    <row r="3637">
      <c r="D3637" s="2" t="inlineStr">
        <is>
          <t>SUBTOTAL UPAH</t>
        </is>
      </c>
      <c r="F3637" s="16" t="n">
        <v>32300</v>
      </c>
    </row>
    <row r="3638">
      <c r="D3638" s="2" t="inlineStr">
        <is>
          <t>SUBTOTAL BAHAN</t>
        </is>
      </c>
      <c r="F3638" s="16" t="n">
        <v>79504.5</v>
      </c>
    </row>
    <row r="3639">
      <c r="D3639" s="2" t="inlineStr">
        <is>
          <t>SUBTOTAL ALAT</t>
        </is>
      </c>
      <c r="F3639" s="16" t="n">
        <v>0</v>
      </c>
    </row>
    <row r="3640">
      <c r="E3640" s="2" t="inlineStr">
        <is>
          <t>TOTAL HARGA SATUAN (Inc. Overhead)</t>
        </is>
      </c>
      <c r="F3640" s="17" t="n">
        <v>122984</v>
      </c>
    </row>
    <row r="3642">
      <c r="A3642" s="14" t="inlineStr">
        <is>
          <t>KODE: 3.9.9.7 - Pemasangan 1 m2 lantai vinyl uk. 30x30 cm</t>
        </is>
      </c>
    </row>
    <row r="3643">
      <c r="A3643" s="10" t="inlineStr">
        <is>
          <t>No</t>
        </is>
      </c>
      <c r="B3643" s="10" t="inlineStr">
        <is>
          <t>Uraian Komponen</t>
        </is>
      </c>
      <c r="C3643" s="10" t="inlineStr">
        <is>
          <t>Satuan</t>
        </is>
      </c>
      <c r="D3643" s="10" t="inlineStr">
        <is>
          <t>Koef</t>
        </is>
      </c>
      <c r="E3643" s="10" t="inlineStr">
        <is>
          <t>Harga Satuan (Rp)</t>
        </is>
      </c>
      <c r="F3643" s="10" t="inlineStr">
        <is>
          <t>Jumlah Harga (Rp)</t>
        </is>
      </c>
    </row>
    <row r="3644">
      <c r="A3644" s="3" t="inlineStr">
        <is>
          <t>1</t>
        </is>
      </c>
      <c r="B3644" s="3" t="inlineStr">
        <is>
          <t>Pekerja</t>
        </is>
      </c>
      <c r="C3644" s="3" t="inlineStr">
        <is>
          <t>OH</t>
        </is>
      </c>
      <c r="D3644" s="15" t="n">
        <v>0.15</v>
      </c>
      <c r="E3644" s="4" t="n">
        <v>100000</v>
      </c>
      <c r="F3644" s="4" t="n">
        <v>15000</v>
      </c>
    </row>
    <row r="3645">
      <c r="A3645" s="3" t="inlineStr">
        <is>
          <t>2</t>
        </is>
      </c>
      <c r="B3645" s="3" t="inlineStr">
        <is>
          <t>Tukang batu</t>
        </is>
      </c>
      <c r="C3645" s="3" t="inlineStr">
        <is>
          <t>OH</t>
        </is>
      </c>
      <c r="D3645" s="15" t="n">
        <v>0.15</v>
      </c>
      <c r="E3645" s="4" t="n">
        <v>145000</v>
      </c>
      <c r="F3645" s="4" t="n">
        <v>21750</v>
      </c>
    </row>
    <row r="3646">
      <c r="A3646" s="3" t="inlineStr">
        <is>
          <t>3</t>
        </is>
      </c>
      <c r="B3646" s="3" t="inlineStr">
        <is>
          <t>Kepala tukang</t>
        </is>
      </c>
      <c r="C3646" s="3" t="inlineStr">
        <is>
          <t>OH</t>
        </is>
      </c>
      <c r="D3646" s="15" t="n">
        <v>0.015</v>
      </c>
      <c r="E3646" s="4" t="n">
        <v>175000</v>
      </c>
      <c r="F3646" s="4" t="n">
        <v>2625</v>
      </c>
    </row>
    <row r="3647">
      <c r="A3647" s="3" t="inlineStr">
        <is>
          <t>4</t>
        </is>
      </c>
      <c r="B3647" s="3" t="inlineStr">
        <is>
          <t>Mandor</t>
        </is>
      </c>
      <c r="C3647" s="3" t="inlineStr">
        <is>
          <t>OH</t>
        </is>
      </c>
      <c r="D3647" s="15" t="n">
        <v>0.005</v>
      </c>
      <c r="E3647" s="4" t="n">
        <v>200000</v>
      </c>
      <c r="F3647" s="4" t="n">
        <v>1000</v>
      </c>
    </row>
    <row r="3648">
      <c r="A3648" s="3" t="inlineStr">
        <is>
          <t>1</t>
        </is>
      </c>
      <c r="B3648" s="3" t="inlineStr">
        <is>
          <t>Vinyl</t>
        </is>
      </c>
      <c r="C3648" s="3" t="inlineStr">
        <is>
          <t>buah</t>
        </is>
      </c>
      <c r="D3648" s="15" t="n">
        <v>11.87</v>
      </c>
      <c r="E3648" s="4" t="n">
        <v>7000</v>
      </c>
      <c r="F3648" s="4" t="n">
        <v>83090</v>
      </c>
    </row>
    <row r="3649">
      <c r="A3649" s="3" t="inlineStr">
        <is>
          <t>2</t>
        </is>
      </c>
      <c r="B3649" s="3" t="inlineStr">
        <is>
          <t>Lem</t>
        </is>
      </c>
      <c r="C3649" s="3" t="inlineStr">
        <is>
          <t>kg</t>
        </is>
      </c>
      <c r="D3649" s="15" t="n">
        <v>0.35</v>
      </c>
      <c r="E3649" s="4" t="n">
        <v>60000</v>
      </c>
      <c r="F3649" s="4" t="n">
        <v>21000</v>
      </c>
    </row>
    <row r="3650">
      <c r="D3650" s="2" t="inlineStr">
        <is>
          <t>SUBTOTAL UPAH</t>
        </is>
      </c>
      <c r="F3650" s="16" t="n">
        <v>40375</v>
      </c>
    </row>
    <row r="3651">
      <c r="D3651" s="2" t="inlineStr">
        <is>
          <t>SUBTOTAL BAHAN</t>
        </is>
      </c>
      <c r="F3651" s="16" t="n">
        <v>104090</v>
      </c>
    </row>
    <row r="3652">
      <c r="D3652" s="2" t="inlineStr">
        <is>
          <t>SUBTOTAL ALAT</t>
        </is>
      </c>
      <c r="F3652" s="16" t="n">
        <v>0</v>
      </c>
    </row>
    <row r="3653">
      <c r="E3653" s="2" t="inlineStr">
        <is>
          <t>TOTAL HARGA SATUAN (Inc. Overhead)</t>
        </is>
      </c>
      <c r="F3653" s="17" t="n">
        <v>158911</v>
      </c>
    </row>
    <row r="3655">
      <c r="A3655" s="14" t="inlineStr">
        <is>
          <t>KODE: 3.9.9.8 - Pemasangan 1 m' plint vinyl uk. 15x30 cm</t>
        </is>
      </c>
    </row>
    <row r="3656">
      <c r="A3656" s="10" t="inlineStr">
        <is>
          <t>No</t>
        </is>
      </c>
      <c r="B3656" s="10" t="inlineStr">
        <is>
          <t>Uraian Komponen</t>
        </is>
      </c>
      <c r="C3656" s="10" t="inlineStr">
        <is>
          <t>Satuan</t>
        </is>
      </c>
      <c r="D3656" s="10" t="inlineStr">
        <is>
          <t>Koef</t>
        </is>
      </c>
      <c r="E3656" s="10" t="inlineStr">
        <is>
          <t>Harga Satuan (Rp)</t>
        </is>
      </c>
      <c r="F3656" s="10" t="inlineStr">
        <is>
          <t>Jumlah Harga (Rp)</t>
        </is>
      </c>
    </row>
    <row r="3657">
      <c r="A3657" s="3" t="inlineStr">
        <is>
          <t>1</t>
        </is>
      </c>
      <c r="B3657" s="3" t="inlineStr">
        <is>
          <t>Pekerja</t>
        </is>
      </c>
      <c r="C3657" s="3" t="inlineStr">
        <is>
          <t>OH</t>
        </is>
      </c>
      <c r="D3657" s="15" t="n">
        <v>0.08</v>
      </c>
      <c r="E3657" s="4" t="n">
        <v>100000</v>
      </c>
      <c r="F3657" s="4" t="n">
        <v>8000</v>
      </c>
    </row>
    <row r="3658">
      <c r="A3658" s="3" t="inlineStr">
        <is>
          <t>2</t>
        </is>
      </c>
      <c r="B3658" s="3" t="inlineStr">
        <is>
          <t>Tukang batu</t>
        </is>
      </c>
      <c r="C3658" s="3" t="inlineStr">
        <is>
          <t>OH</t>
        </is>
      </c>
      <c r="D3658" s="15" t="n">
        <v>0.08</v>
      </c>
      <c r="E3658" s="4" t="n">
        <v>145000</v>
      </c>
      <c r="F3658" s="4" t="n">
        <v>11600</v>
      </c>
    </row>
    <row r="3659">
      <c r="A3659" s="3" t="inlineStr">
        <is>
          <t>3</t>
        </is>
      </c>
      <c r="B3659" s="3" t="inlineStr">
        <is>
          <t>Kepala tukang</t>
        </is>
      </c>
      <c r="C3659" s="3" t="inlineStr">
        <is>
          <t>OH</t>
        </is>
      </c>
      <c r="D3659" s="15" t="n">
        <v>0.008</v>
      </c>
      <c r="E3659" s="4" t="n">
        <v>175000</v>
      </c>
      <c r="F3659" s="4" t="n">
        <v>1400</v>
      </c>
    </row>
    <row r="3660">
      <c r="A3660" s="3" t="inlineStr">
        <is>
          <t>4</t>
        </is>
      </c>
      <c r="B3660" s="3" t="inlineStr">
        <is>
          <t>Mandor</t>
        </is>
      </c>
      <c r="C3660" s="3" t="inlineStr">
        <is>
          <t>OH</t>
        </is>
      </c>
      <c r="D3660" s="15" t="n">
        <v>0.0027</v>
      </c>
      <c r="E3660" s="4" t="n">
        <v>200000</v>
      </c>
      <c r="F3660" s="4" t="n">
        <v>540</v>
      </c>
    </row>
    <row r="3661">
      <c r="A3661" s="3" t="inlineStr">
        <is>
          <t>1</t>
        </is>
      </c>
      <c r="B3661" s="3" t="inlineStr">
        <is>
          <t>Vinyl</t>
        </is>
      </c>
      <c r="C3661" s="3" t="inlineStr">
        <is>
          <t>buah</t>
        </is>
      </c>
      <c r="D3661" s="15" t="n">
        <v>3.1</v>
      </c>
      <c r="E3661" s="4" t="n">
        <v>7000</v>
      </c>
      <c r="F3661" s="4" t="n">
        <v>21700</v>
      </c>
    </row>
    <row r="3662">
      <c r="A3662" s="3" t="inlineStr">
        <is>
          <t>2</t>
        </is>
      </c>
      <c r="B3662" s="3" t="inlineStr">
        <is>
          <t>Lem</t>
        </is>
      </c>
      <c r="C3662" s="3" t="inlineStr">
        <is>
          <t>kg</t>
        </is>
      </c>
      <c r="D3662" s="15" t="n">
        <v>0.08</v>
      </c>
      <c r="E3662" s="4" t="n">
        <v>60000</v>
      </c>
      <c r="F3662" s="4" t="n">
        <v>4800</v>
      </c>
    </row>
    <row r="3663">
      <c r="D3663" s="2" t="inlineStr">
        <is>
          <t>SUBTOTAL UPAH</t>
        </is>
      </c>
      <c r="F3663" s="16" t="n">
        <v>21540</v>
      </c>
    </row>
    <row r="3664">
      <c r="D3664" s="2" t="inlineStr">
        <is>
          <t>SUBTOTAL BAHAN</t>
        </is>
      </c>
      <c r="F3664" s="16" t="n">
        <v>26500</v>
      </c>
    </row>
    <row r="3665">
      <c r="D3665" s="2" t="inlineStr">
        <is>
          <t>SUBTOTAL ALAT</t>
        </is>
      </c>
      <c r="F3665" s="16" t="n">
        <v>0</v>
      </c>
    </row>
    <row r="3666">
      <c r="E3666" s="2" t="inlineStr">
        <is>
          <t>TOTAL HARGA SATUAN (Inc. Overhead)</t>
        </is>
      </c>
      <c r="F3666" s="17" t="n">
        <v>52844</v>
      </c>
    </row>
    <row r="3668">
      <c r="A3668" s="14" t="inlineStr">
        <is>
          <t>KODE: 3.9.9.9 - Pemasangan 1 m2 floor hardener</t>
        </is>
      </c>
    </row>
    <row r="3669">
      <c r="A3669" s="10" t="inlineStr">
        <is>
          <t>No</t>
        </is>
      </c>
      <c r="B3669" s="10" t="inlineStr">
        <is>
          <t>Uraian Komponen</t>
        </is>
      </c>
      <c r="C3669" s="10" t="inlineStr">
        <is>
          <t>Satuan</t>
        </is>
      </c>
      <c r="D3669" s="10" t="inlineStr">
        <is>
          <t>Koef</t>
        </is>
      </c>
      <c r="E3669" s="10" t="inlineStr">
        <is>
          <t>Harga Satuan (Rp)</t>
        </is>
      </c>
      <c r="F3669" s="10" t="inlineStr">
        <is>
          <t>Jumlah Harga (Rp)</t>
        </is>
      </c>
    </row>
    <row r="3670">
      <c r="A3670" s="3" t="inlineStr">
        <is>
          <t>1</t>
        </is>
      </c>
      <c r="B3670" s="3" t="inlineStr">
        <is>
          <t>Pekerja</t>
        </is>
      </c>
      <c r="C3670" s="3" t="inlineStr">
        <is>
          <t>OH</t>
        </is>
      </c>
      <c r="D3670" s="15" t="n">
        <v>0.12</v>
      </c>
      <c r="E3670" s="4" t="n">
        <v>100000</v>
      </c>
      <c r="F3670" s="4" t="n">
        <v>12000</v>
      </c>
    </row>
    <row r="3671">
      <c r="A3671" s="3" t="inlineStr">
        <is>
          <t>2</t>
        </is>
      </c>
      <c r="B3671" s="3" t="inlineStr">
        <is>
          <t>Tukang batu</t>
        </is>
      </c>
      <c r="C3671" s="3" t="inlineStr">
        <is>
          <t>OH</t>
        </is>
      </c>
      <c r="D3671" s="15" t="n">
        <v>0.12</v>
      </c>
      <c r="E3671" s="4" t="n">
        <v>145000</v>
      </c>
      <c r="F3671" s="4" t="n">
        <v>17400</v>
      </c>
    </row>
    <row r="3672">
      <c r="A3672" s="3" t="inlineStr">
        <is>
          <t>3</t>
        </is>
      </c>
      <c r="B3672" s="3" t="inlineStr">
        <is>
          <t>Kepala tukang</t>
        </is>
      </c>
      <c r="C3672" s="3" t="inlineStr">
        <is>
          <t>OH</t>
        </is>
      </c>
      <c r="D3672" s="15" t="n">
        <v>0.012</v>
      </c>
      <c r="E3672" s="4" t="n">
        <v>175000</v>
      </c>
      <c r="F3672" s="4" t="n">
        <v>2100</v>
      </c>
    </row>
    <row r="3673">
      <c r="A3673" s="3" t="inlineStr">
        <is>
          <t>4</t>
        </is>
      </c>
      <c r="B3673" s="3" t="inlineStr">
        <is>
          <t>Mandor</t>
        </is>
      </c>
      <c r="C3673" s="3" t="inlineStr">
        <is>
          <t>OH</t>
        </is>
      </c>
      <c r="D3673" s="15" t="n">
        <v>0.004</v>
      </c>
      <c r="E3673" s="4" t="n">
        <v>200000</v>
      </c>
      <c r="F3673" s="4" t="n">
        <v>800</v>
      </c>
    </row>
    <row r="3674">
      <c r="A3674" s="3" t="inlineStr">
        <is>
          <t>1</t>
        </is>
      </c>
      <c r="B3674" s="3" t="inlineStr">
        <is>
          <t>Floor hardener</t>
        </is>
      </c>
      <c r="C3674" s="3" t="inlineStr">
        <is>
          <t>kg</t>
        </is>
      </c>
      <c r="D3674" s="15" t="n">
        <v>5</v>
      </c>
      <c r="E3674" s="4" t="n">
        <v>5000</v>
      </c>
      <c r="F3674" s="4" t="n">
        <v>25000</v>
      </c>
    </row>
    <row r="3675">
      <c r="D3675" s="2" t="inlineStr">
        <is>
          <t>SUBTOTAL UPAH</t>
        </is>
      </c>
      <c r="F3675" s="16" t="n">
        <v>32300</v>
      </c>
    </row>
    <row r="3676">
      <c r="D3676" s="2" t="inlineStr">
        <is>
          <t>SUBTOTAL BAHAN</t>
        </is>
      </c>
      <c r="F3676" s="16" t="n">
        <v>25000</v>
      </c>
    </row>
    <row r="3677">
      <c r="D3677" s="2" t="inlineStr">
        <is>
          <t>SUBTOTAL ALAT</t>
        </is>
      </c>
      <c r="F3677" s="16" t="n">
        <v>0</v>
      </c>
    </row>
    <row r="3678">
      <c r="E3678" s="2" t="inlineStr">
        <is>
          <t>TOTAL HARGA SATUAN (Inc. Overhead)</t>
        </is>
      </c>
      <c r="F3678" s="17" t="n">
        <v>63030</v>
      </c>
    </row>
    <row r="3680">
      <c r="A3680" s="14" t="inlineStr">
        <is>
          <t>KODE: 3.9.9.10 - Pemasangan 1 m2 lantai UPVC decking</t>
        </is>
      </c>
    </row>
    <row r="3681">
      <c r="A3681" s="10" t="inlineStr">
        <is>
          <t>No</t>
        </is>
      </c>
      <c r="B3681" s="10" t="inlineStr">
        <is>
          <t>Uraian Komponen</t>
        </is>
      </c>
      <c r="C3681" s="10" t="inlineStr">
        <is>
          <t>Satuan</t>
        </is>
      </c>
      <c r="D3681" s="10" t="inlineStr">
        <is>
          <t>Koef</t>
        </is>
      </c>
      <c r="E3681" s="10" t="inlineStr">
        <is>
          <t>Harga Satuan (Rp)</t>
        </is>
      </c>
      <c r="F3681" s="10" t="inlineStr">
        <is>
          <t>Jumlah Harga (Rp)</t>
        </is>
      </c>
    </row>
    <row r="3682">
      <c r="A3682" s="3" t="inlineStr">
        <is>
          <t>1</t>
        </is>
      </c>
      <c r="B3682" s="3" t="inlineStr">
        <is>
          <t>Pekerja</t>
        </is>
      </c>
      <c r="C3682" s="3" t="inlineStr">
        <is>
          <t>OH</t>
        </is>
      </c>
      <c r="D3682" s="15" t="n">
        <v>0.2</v>
      </c>
      <c r="E3682" s="4" t="n">
        <v>100000</v>
      </c>
      <c r="F3682" s="4" t="n">
        <v>20000</v>
      </c>
    </row>
    <row r="3683">
      <c r="A3683" s="3" t="inlineStr">
        <is>
          <t>2</t>
        </is>
      </c>
      <c r="B3683" s="3" t="inlineStr">
        <is>
          <t>Tukang batu</t>
        </is>
      </c>
      <c r="C3683" s="3" t="inlineStr">
        <is>
          <t>OH</t>
        </is>
      </c>
      <c r="D3683" s="15" t="n">
        <v>0.1</v>
      </c>
      <c r="E3683" s="4" t="n">
        <v>145000</v>
      </c>
      <c r="F3683" s="4" t="n">
        <v>14500</v>
      </c>
    </row>
    <row r="3684">
      <c r="A3684" s="3" t="inlineStr">
        <is>
          <t>3</t>
        </is>
      </c>
      <c r="B3684" s="3" t="inlineStr">
        <is>
          <t>Kepala tukang</t>
        </is>
      </c>
      <c r="C3684" s="3" t="inlineStr">
        <is>
          <t>OH</t>
        </is>
      </c>
      <c r="D3684" s="15" t="n">
        <v>0.01</v>
      </c>
      <c r="E3684" s="4" t="n">
        <v>175000</v>
      </c>
      <c r="F3684" s="4" t="n">
        <v>1750</v>
      </c>
    </row>
    <row r="3685">
      <c r="A3685" s="3" t="inlineStr">
        <is>
          <t>4</t>
        </is>
      </c>
      <c r="B3685" s="3" t="inlineStr">
        <is>
          <t>Mandor</t>
        </is>
      </c>
      <c r="C3685" s="3" t="inlineStr">
        <is>
          <t>OH</t>
        </is>
      </c>
      <c r="D3685" s="15" t="n">
        <v>0.0033</v>
      </c>
      <c r="E3685" s="4" t="n">
        <v>200000</v>
      </c>
      <c r="F3685" s="4" t="n">
        <v>660</v>
      </c>
    </row>
    <row r="3686">
      <c r="A3686" s="3" t="inlineStr">
        <is>
          <t>1</t>
        </is>
      </c>
      <c r="B3686" s="3" t="inlineStr">
        <is>
          <t>UPVC decking</t>
        </is>
      </c>
      <c r="C3686" s="3" t="inlineStr">
        <is>
          <t>m2</t>
        </is>
      </c>
      <c r="D3686" s="15" t="n">
        <v>2.71</v>
      </c>
      <c r="E3686" s="4" t="n">
        <v>500000</v>
      </c>
      <c r="F3686" s="4" t="n">
        <v>1355000</v>
      </c>
    </row>
    <row r="3687">
      <c r="D3687" s="2" t="inlineStr">
        <is>
          <t>SUBTOTAL UPAH</t>
        </is>
      </c>
      <c r="F3687" s="16" t="n">
        <v>36910</v>
      </c>
    </row>
    <row r="3688">
      <c r="D3688" s="2" t="inlineStr">
        <is>
          <t>SUBTOTAL BAHAN</t>
        </is>
      </c>
      <c r="F3688" s="16" t="n">
        <v>1355000</v>
      </c>
    </row>
    <row r="3689">
      <c r="D3689" s="2" t="inlineStr">
        <is>
          <t>SUBTOTAL ALAT</t>
        </is>
      </c>
      <c r="F3689" s="16" t="n">
        <v>0</v>
      </c>
    </row>
    <row r="3690">
      <c r="E3690" s="2" t="inlineStr">
        <is>
          <t>TOTAL HARGA SATUAN (Inc. Overhead)</t>
        </is>
      </c>
      <c r="F3690" s="17" t="n">
        <v>1531101</v>
      </c>
    </row>
    <row r="3692">
      <c r="A3692" s="14" t="inlineStr">
        <is>
          <t>KODE: 3.9.9.11 - Pemolesan 1 m2 lantai ubin teraso, granit, marmer</t>
        </is>
      </c>
    </row>
    <row r="3693">
      <c r="A3693" s="10" t="inlineStr">
        <is>
          <t>No</t>
        </is>
      </c>
      <c r="B3693" s="10" t="inlineStr">
        <is>
          <t>Uraian Komponen</t>
        </is>
      </c>
      <c r="C3693" s="10" t="inlineStr">
        <is>
          <t>Satuan</t>
        </is>
      </c>
      <c r="D3693" s="10" t="inlineStr">
        <is>
          <t>Koef</t>
        </is>
      </c>
      <c r="E3693" s="10" t="inlineStr">
        <is>
          <t>Harga Satuan (Rp)</t>
        </is>
      </c>
      <c r="F3693" s="10" t="inlineStr">
        <is>
          <t>Jumlah Harga (Rp)</t>
        </is>
      </c>
    </row>
    <row r="3694">
      <c r="A3694" s="3" t="inlineStr">
        <is>
          <t>1</t>
        </is>
      </c>
      <c r="B3694" s="3" t="inlineStr">
        <is>
          <t>Pekerja</t>
        </is>
      </c>
      <c r="C3694" s="3" t="inlineStr">
        <is>
          <t>OH</t>
        </is>
      </c>
      <c r="D3694" s="15" t="n">
        <v>0.2222</v>
      </c>
      <c r="E3694" s="4" t="n">
        <v>100000</v>
      </c>
      <c r="F3694" s="4" t="n">
        <v>22220</v>
      </c>
    </row>
    <row r="3695">
      <c r="A3695" s="3" t="inlineStr">
        <is>
          <t>2</t>
        </is>
      </c>
      <c r="B3695" s="3" t="inlineStr">
        <is>
          <t>Tukang batu</t>
        </is>
      </c>
      <c r="C3695" s="3" t="inlineStr">
        <is>
          <t>OH</t>
        </is>
      </c>
      <c r="D3695" s="15" t="n">
        <v>0.1111</v>
      </c>
      <c r="E3695" s="4" t="n">
        <v>145000</v>
      </c>
      <c r="F3695" s="4" t="n">
        <v>16109.5</v>
      </c>
    </row>
    <row r="3696">
      <c r="A3696" s="3" t="inlineStr">
        <is>
          <t>3</t>
        </is>
      </c>
      <c r="B3696" s="3" t="inlineStr">
        <is>
          <t>Kepala tukang</t>
        </is>
      </c>
      <c r="C3696" s="3" t="inlineStr">
        <is>
          <t>OH</t>
        </is>
      </c>
      <c r="D3696" s="15" t="n">
        <v>0.0111</v>
      </c>
      <c r="E3696" s="4" t="n">
        <v>175000</v>
      </c>
      <c r="F3696" s="4" t="n">
        <v>1942.5</v>
      </c>
    </row>
    <row r="3697">
      <c r="A3697" s="3" t="inlineStr">
        <is>
          <t>4</t>
        </is>
      </c>
      <c r="B3697" s="3" t="inlineStr">
        <is>
          <t>Mandor</t>
        </is>
      </c>
      <c r="C3697" s="3" t="inlineStr">
        <is>
          <t>OH</t>
        </is>
      </c>
      <c r="D3697" s="15" t="n">
        <v>0.0037</v>
      </c>
      <c r="E3697" s="4" t="n">
        <v>200000</v>
      </c>
      <c r="F3697" s="4" t="n">
        <v>740</v>
      </c>
    </row>
    <row r="3698">
      <c r="A3698" s="3" t="inlineStr">
        <is>
          <t>1</t>
        </is>
      </c>
      <c r="B3698" s="3" t="inlineStr">
        <is>
          <t>Bubuk poles</t>
        </is>
      </c>
      <c r="C3698" s="3" t="inlineStr">
        <is>
          <t>kg</t>
        </is>
      </c>
      <c r="D3698" s="15" t="n">
        <v>0.0667</v>
      </c>
      <c r="E3698" s="4" t="n">
        <v>180000</v>
      </c>
      <c r="F3698" s="4" t="n">
        <v>12006</v>
      </c>
    </row>
    <row r="3699">
      <c r="A3699" s="3" t="inlineStr">
        <is>
          <t>2</t>
        </is>
      </c>
      <c r="B3699" s="3" t="inlineStr">
        <is>
          <t>Wax</t>
        </is>
      </c>
      <c r="C3699" s="3" t="inlineStr">
        <is>
          <t>kg</t>
        </is>
      </c>
      <c r="D3699" s="15" t="n">
        <v>0.0667</v>
      </c>
      <c r="E3699" s="4" t="n">
        <v>130000</v>
      </c>
      <c r="F3699" s="4" t="n">
        <v>8671</v>
      </c>
    </row>
    <row r="3700">
      <c r="A3700" s="3" t="inlineStr">
        <is>
          <t>1</t>
        </is>
      </c>
      <c r="B3700" s="3" t="inlineStr">
        <is>
          <t>Mesin poles</t>
        </is>
      </c>
      <c r="C3700" s="3" t="inlineStr">
        <is>
          <t>unit/hari</t>
        </is>
      </c>
      <c r="D3700" s="15" t="n">
        <v>0.1</v>
      </c>
      <c r="E3700" s="4" t="n">
        <v>150000</v>
      </c>
      <c r="F3700" s="4" t="n">
        <v>15000</v>
      </c>
    </row>
    <row r="3701">
      <c r="D3701" s="2" t="inlineStr">
        <is>
          <t>SUBTOTAL UPAH</t>
        </is>
      </c>
      <c r="F3701" s="16" t="n">
        <v>41012</v>
      </c>
    </row>
    <row r="3702">
      <c r="D3702" s="2" t="inlineStr">
        <is>
          <t>SUBTOTAL BAHAN</t>
        </is>
      </c>
      <c r="F3702" s="16" t="n">
        <v>20677</v>
      </c>
    </row>
    <row r="3703">
      <c r="D3703" s="2" t="inlineStr">
        <is>
          <t>SUBTOTAL ALAT</t>
        </is>
      </c>
      <c r="F3703" s="16" t="n">
        <v>15000</v>
      </c>
    </row>
    <row r="3704">
      <c r="E3704" s="2" t="inlineStr">
        <is>
          <t>TOTAL HARGA SATUAN (Inc. Overhead)</t>
        </is>
      </c>
      <c r="F3704" s="17" t="n">
        <v>84357</v>
      </c>
    </row>
    <row r="3706">
      <c r="A3706" s="14" t="inlineStr">
        <is>
          <t>KODE: 3.9.9.12 - Pemasangan 1 m2 Lantai Keramik Tactile Ukuran 30x30 cm ( 1SP:2PP)</t>
        </is>
      </c>
    </row>
    <row r="3707">
      <c r="A3707" s="10" t="inlineStr">
        <is>
          <t>No</t>
        </is>
      </c>
      <c r="B3707" s="10" t="inlineStr">
        <is>
          <t>Uraian Komponen</t>
        </is>
      </c>
      <c r="C3707" s="10" t="inlineStr">
        <is>
          <t>Satuan</t>
        </is>
      </c>
      <c r="D3707" s="10" t="inlineStr">
        <is>
          <t>Koef</t>
        </is>
      </c>
      <c r="E3707" s="10" t="inlineStr">
        <is>
          <t>Harga Satuan (Rp)</t>
        </is>
      </c>
      <c r="F3707" s="10" t="inlineStr">
        <is>
          <t>Jumlah Harga (Rp)</t>
        </is>
      </c>
    </row>
    <row r="3708">
      <c r="A3708" s="3" t="inlineStr">
        <is>
          <t>1</t>
        </is>
      </c>
      <c r="B3708" s="3" t="inlineStr">
        <is>
          <t>Pekerja</t>
        </is>
      </c>
      <c r="C3708" s="3" t="inlineStr">
        <is>
          <t>OH</t>
        </is>
      </c>
      <c r="D3708" s="15" t="n">
        <v>0.1429</v>
      </c>
      <c r="E3708" s="4" t="n">
        <v>100000</v>
      </c>
      <c r="F3708" s="4" t="n">
        <v>14290</v>
      </c>
    </row>
    <row r="3709">
      <c r="A3709" s="3" t="inlineStr">
        <is>
          <t>2</t>
        </is>
      </c>
      <c r="B3709" s="3" t="inlineStr">
        <is>
          <t>Tukang batu</t>
        </is>
      </c>
      <c r="C3709" s="3" t="inlineStr">
        <is>
          <t>OH</t>
        </is>
      </c>
      <c r="D3709" s="15" t="n">
        <v>0.07140000000000001</v>
      </c>
      <c r="E3709" s="4" t="n">
        <v>145000</v>
      </c>
      <c r="F3709" s="4" t="n">
        <v>10353</v>
      </c>
    </row>
    <row r="3710">
      <c r="A3710" s="3" t="inlineStr">
        <is>
          <t>3</t>
        </is>
      </c>
      <c r="B3710" s="3" t="inlineStr">
        <is>
          <t>Kepala tukang</t>
        </is>
      </c>
      <c r="C3710" s="3" t="inlineStr">
        <is>
          <t>OH</t>
        </is>
      </c>
      <c r="D3710" s="15" t="n">
        <v>0.0071</v>
      </c>
      <c r="E3710" s="4" t="n">
        <v>175000</v>
      </c>
      <c r="F3710" s="4" t="n">
        <v>1242.5</v>
      </c>
    </row>
    <row r="3711">
      <c r="A3711" s="3" t="inlineStr">
        <is>
          <t>4</t>
        </is>
      </c>
      <c r="B3711" s="3" t="inlineStr">
        <is>
          <t>Mandor</t>
        </is>
      </c>
      <c r="C3711" s="3" t="inlineStr">
        <is>
          <t>OH</t>
        </is>
      </c>
      <c r="D3711" s="15" t="n">
        <v>0.0024</v>
      </c>
      <c r="E3711" s="4" t="n">
        <v>200000</v>
      </c>
      <c r="F3711" s="4" t="n">
        <v>479.9999999999999</v>
      </c>
    </row>
    <row r="3712">
      <c r="A3712" s="3" t="inlineStr">
        <is>
          <t>1</t>
        </is>
      </c>
      <c r="B3712" s="3" t="inlineStr">
        <is>
          <t>Keramik Tactile 30x30 cm</t>
        </is>
      </c>
      <c r="C3712" s="3" t="inlineStr">
        <is>
          <t>buah</t>
        </is>
      </c>
      <c r="D3712" s="15" t="n">
        <v>11.667</v>
      </c>
      <c r="E3712" s="4" t="n">
        <v>37000</v>
      </c>
      <c r="F3712" s="4" t="n">
        <v>431679</v>
      </c>
    </row>
    <row r="3713">
      <c r="A3713" s="3" t="inlineStr">
        <is>
          <t>2</t>
        </is>
      </c>
      <c r="B3713" s="3" t="inlineStr">
        <is>
          <t>Semen Portland (PC)</t>
        </is>
      </c>
      <c r="C3713" s="3" t="inlineStr">
        <is>
          <t>kg</t>
        </is>
      </c>
      <c r="D3713" s="15" t="n">
        <v>13.632</v>
      </c>
      <c r="E3713" s="4" t="n">
        <v>1300</v>
      </c>
      <c r="F3713" s="4" t="n">
        <v>17721.6</v>
      </c>
    </row>
    <row r="3714">
      <c r="A3714" s="3" t="inlineStr">
        <is>
          <t>3</t>
        </is>
      </c>
      <c r="B3714" s="3" t="inlineStr">
        <is>
          <t>Semen warna</t>
        </is>
      </c>
      <c r="C3714" s="3" t="inlineStr">
        <is>
          <t>kg</t>
        </is>
      </c>
      <c r="D3714" s="15" t="n">
        <v>1.5</v>
      </c>
      <c r="E3714" s="4" t="n">
        <v>7800</v>
      </c>
      <c r="F3714" s="4" t="n">
        <v>11700</v>
      </c>
    </row>
    <row r="3715">
      <c r="A3715" s="3" t="inlineStr">
        <is>
          <t>4</t>
        </is>
      </c>
      <c r="B3715" s="3" t="inlineStr">
        <is>
          <t>Pasir pasang</t>
        </is>
      </c>
      <c r="C3715" s="3" t="inlineStr">
        <is>
          <t>m3</t>
        </is>
      </c>
      <c r="D3715" s="15" t="n">
        <v>0.027</v>
      </c>
      <c r="E3715" s="4" t="n">
        <v>200000</v>
      </c>
      <c r="F3715" s="4" t="n">
        <v>5400</v>
      </c>
    </row>
    <row r="3716">
      <c r="D3716" s="2" t="inlineStr">
        <is>
          <t>SUBTOTAL UPAH</t>
        </is>
      </c>
      <c r="F3716" s="16" t="n">
        <v>26365.5</v>
      </c>
    </row>
    <row r="3717">
      <c r="D3717" s="2" t="inlineStr">
        <is>
          <t>SUBTOTAL BAHAN</t>
        </is>
      </c>
      <c r="F3717" s="16" t="n">
        <v>466500.6</v>
      </c>
    </row>
    <row r="3718">
      <c r="D3718" s="2" t="inlineStr">
        <is>
          <t>SUBTOTAL ALAT</t>
        </is>
      </c>
      <c r="F3718" s="16" t="n">
        <v>0</v>
      </c>
    </row>
    <row r="3719">
      <c r="E3719" s="2" t="inlineStr">
        <is>
          <t>TOTAL HARGA SATUAN (Inc. Overhead)</t>
        </is>
      </c>
      <c r="F3719" s="17" t="n">
        <v>542152</v>
      </c>
    </row>
    <row r="3721">
      <c r="A3721" s="14" t="inlineStr">
        <is>
          <t>KODE: 3.9.9.13 - Pemasangan 1 m2 Lantai Keramik Tactile Ukuran 40x40 cm ( 1SP:2PP)</t>
        </is>
      </c>
    </row>
    <row r="3722">
      <c r="A3722" s="10" t="inlineStr">
        <is>
          <t>No</t>
        </is>
      </c>
      <c r="B3722" s="10" t="inlineStr">
        <is>
          <t>Uraian Komponen</t>
        </is>
      </c>
      <c r="C3722" s="10" t="inlineStr">
        <is>
          <t>Satuan</t>
        </is>
      </c>
      <c r="D3722" s="10" t="inlineStr">
        <is>
          <t>Koef</t>
        </is>
      </c>
      <c r="E3722" s="10" t="inlineStr">
        <is>
          <t>Harga Satuan (Rp)</t>
        </is>
      </c>
      <c r="F3722" s="10" t="inlineStr">
        <is>
          <t>Jumlah Harga (Rp)</t>
        </is>
      </c>
    </row>
    <row r="3723">
      <c r="A3723" s="3" t="inlineStr">
        <is>
          <t>1</t>
        </is>
      </c>
      <c r="B3723" s="3" t="inlineStr">
        <is>
          <t>Pekerja</t>
        </is>
      </c>
      <c r="C3723" s="3" t="inlineStr">
        <is>
          <t>OH</t>
        </is>
      </c>
      <c r="D3723" s="15" t="n">
        <v>0.1538</v>
      </c>
      <c r="E3723" s="4" t="n">
        <v>100000</v>
      </c>
      <c r="F3723" s="4" t="n">
        <v>15380</v>
      </c>
    </row>
    <row r="3724">
      <c r="A3724" s="3" t="inlineStr">
        <is>
          <t>2</t>
        </is>
      </c>
      <c r="B3724" s="3" t="inlineStr">
        <is>
          <t>Tukang batu</t>
        </is>
      </c>
      <c r="C3724" s="3" t="inlineStr">
        <is>
          <t>OH</t>
        </is>
      </c>
      <c r="D3724" s="15" t="n">
        <v>0.0769</v>
      </c>
      <c r="E3724" s="4" t="n">
        <v>145000</v>
      </c>
      <c r="F3724" s="4" t="n">
        <v>11150.5</v>
      </c>
    </row>
    <row r="3725">
      <c r="A3725" s="3" t="inlineStr">
        <is>
          <t>3</t>
        </is>
      </c>
      <c r="B3725" s="3" t="inlineStr">
        <is>
          <t>Kepala tukang</t>
        </is>
      </c>
      <c r="C3725" s="3" t="inlineStr">
        <is>
          <t>OH</t>
        </is>
      </c>
      <c r="D3725" s="15" t="n">
        <v>0.0077</v>
      </c>
      <c r="E3725" s="4" t="n">
        <v>175000</v>
      </c>
      <c r="F3725" s="4" t="n">
        <v>1347.5</v>
      </c>
    </row>
    <row r="3726">
      <c r="A3726" s="3" t="inlineStr">
        <is>
          <t>4</t>
        </is>
      </c>
      <c r="B3726" s="3" t="inlineStr">
        <is>
          <t>Mandor</t>
        </is>
      </c>
      <c r="C3726" s="3" t="inlineStr">
        <is>
          <t>OH</t>
        </is>
      </c>
      <c r="D3726" s="15" t="n">
        <v>0.0026</v>
      </c>
      <c r="E3726" s="4" t="n">
        <v>200000</v>
      </c>
      <c r="F3726" s="4" t="n">
        <v>520</v>
      </c>
    </row>
    <row r="3727">
      <c r="A3727" s="3" t="inlineStr">
        <is>
          <t>1</t>
        </is>
      </c>
      <c r="B3727" s="3" t="inlineStr">
        <is>
          <t>Keramik Tactile 40x40 cm</t>
        </is>
      </c>
      <c r="C3727" s="3" t="inlineStr">
        <is>
          <t>buah</t>
        </is>
      </c>
      <c r="D3727" s="15" t="n">
        <v>6.563</v>
      </c>
      <c r="E3727" s="4" t="n">
        <v>39500</v>
      </c>
      <c r="F3727" s="4" t="n">
        <v>259238.5</v>
      </c>
    </row>
    <row r="3728">
      <c r="A3728" s="3" t="inlineStr">
        <is>
          <t>2</t>
        </is>
      </c>
      <c r="B3728" s="3" t="inlineStr">
        <is>
          <t>Semen Portland (PC)</t>
        </is>
      </c>
      <c r="C3728" s="3" t="inlineStr">
        <is>
          <t>kg</t>
        </is>
      </c>
      <c r="D3728" s="15" t="n">
        <v>13.632</v>
      </c>
      <c r="E3728" s="4" t="n">
        <v>1300</v>
      </c>
      <c r="F3728" s="4" t="n">
        <v>17721.6</v>
      </c>
    </row>
    <row r="3729">
      <c r="A3729" s="3" t="inlineStr">
        <is>
          <t>3</t>
        </is>
      </c>
      <c r="B3729" s="3" t="inlineStr">
        <is>
          <t>Semen warna</t>
        </is>
      </c>
      <c r="C3729" s="3" t="inlineStr">
        <is>
          <t>kg</t>
        </is>
      </c>
      <c r="D3729" s="15" t="n">
        <v>1.5</v>
      </c>
      <c r="E3729" s="4" t="n">
        <v>7800</v>
      </c>
      <c r="F3729" s="4" t="n">
        <v>11700</v>
      </c>
    </row>
    <row r="3730">
      <c r="A3730" s="3" t="inlineStr">
        <is>
          <t>4</t>
        </is>
      </c>
      <c r="B3730" s="3" t="inlineStr">
        <is>
          <t>Pasir pasang (quarry - lokasi pekerjaan)</t>
        </is>
      </c>
      <c r="C3730" s="3" t="inlineStr">
        <is>
          <t>m3</t>
        </is>
      </c>
      <c r="D3730" s="15" t="n">
        <v>0.027</v>
      </c>
      <c r="E3730" s="4" t="n">
        <v>275000</v>
      </c>
      <c r="F3730" s="4" t="n">
        <v>7425</v>
      </c>
    </row>
    <row r="3731">
      <c r="D3731" s="2" t="inlineStr">
        <is>
          <t>SUBTOTAL UPAH</t>
        </is>
      </c>
      <c r="F3731" s="16" t="n">
        <v>28398</v>
      </c>
    </row>
    <row r="3732">
      <c r="D3732" s="2" t="inlineStr">
        <is>
          <t>SUBTOTAL BAHAN</t>
        </is>
      </c>
      <c r="F3732" s="16" t="n">
        <v>296085.1</v>
      </c>
    </row>
    <row r="3733">
      <c r="D3733" s="2" t="inlineStr">
        <is>
          <t>SUBTOTAL ALAT</t>
        </is>
      </c>
      <c r="F3733" s="16" t="n">
        <v>0</v>
      </c>
    </row>
    <row r="3734">
      <c r="E3734" s="2" t="inlineStr">
        <is>
          <t>TOTAL HARGA SATUAN (Inc. Overhead)</t>
        </is>
      </c>
      <c r="F3734" s="17" t="n">
        <v>356931</v>
      </c>
    </row>
    <row r="3736">
      <c r="A3736" s="14" t="inlineStr">
        <is>
          <t>KODE: 3.10.1.1 - Pemasangan 1 m2 dinding keramik artistik uk. 10x20 cm (1SP : 2PP)</t>
        </is>
      </c>
    </row>
    <row r="3737">
      <c r="A3737" s="10" t="inlineStr">
        <is>
          <t>No</t>
        </is>
      </c>
      <c r="B3737" s="10" t="inlineStr">
        <is>
          <t>Uraian Komponen</t>
        </is>
      </c>
      <c r="C3737" s="10" t="inlineStr">
        <is>
          <t>Satuan</t>
        </is>
      </c>
      <c r="D3737" s="10" t="inlineStr">
        <is>
          <t>Koef</t>
        </is>
      </c>
      <c r="E3737" s="10" t="inlineStr">
        <is>
          <t>Harga Satuan (Rp)</t>
        </is>
      </c>
      <c r="F3737" s="10" t="inlineStr">
        <is>
          <t>Jumlah Harga (Rp)</t>
        </is>
      </c>
    </row>
    <row r="3738">
      <c r="A3738" s="3" t="inlineStr">
        <is>
          <t>1</t>
        </is>
      </c>
      <c r="B3738" s="3" t="inlineStr">
        <is>
          <t>Pekerja</t>
        </is>
      </c>
      <c r="C3738" s="3" t="inlineStr">
        <is>
          <t>OH</t>
        </is>
      </c>
      <c r="D3738" s="15" t="n">
        <v>0.6667</v>
      </c>
      <c r="E3738" s="4" t="n">
        <v>100000</v>
      </c>
      <c r="F3738" s="4" t="n">
        <v>66670</v>
      </c>
    </row>
    <row r="3739">
      <c r="A3739" s="3" t="inlineStr">
        <is>
          <t>2</t>
        </is>
      </c>
      <c r="B3739" s="3" t="inlineStr">
        <is>
          <t>Tukang batu</t>
        </is>
      </c>
      <c r="C3739" s="3" t="inlineStr">
        <is>
          <t>OH</t>
        </is>
      </c>
      <c r="D3739" s="15" t="n">
        <v>0.3333</v>
      </c>
      <c r="E3739" s="4" t="n">
        <v>145000</v>
      </c>
      <c r="F3739" s="4" t="n">
        <v>48328.5</v>
      </c>
    </row>
    <row r="3740">
      <c r="A3740" s="3" t="inlineStr">
        <is>
          <t>3</t>
        </is>
      </c>
      <c r="B3740" s="3" t="inlineStr">
        <is>
          <t>Kepala tukang</t>
        </is>
      </c>
      <c r="C3740" s="3" t="inlineStr">
        <is>
          <t>OH</t>
        </is>
      </c>
      <c r="D3740" s="15" t="n">
        <v>0.0333</v>
      </c>
      <c r="E3740" s="4" t="n">
        <v>175000</v>
      </c>
      <c r="F3740" s="4" t="n">
        <v>5827.500000000001</v>
      </c>
    </row>
    <row r="3741">
      <c r="A3741" s="3" t="inlineStr">
        <is>
          <t>4</t>
        </is>
      </c>
      <c r="B3741" s="3" t="inlineStr">
        <is>
          <t>Mandor</t>
        </is>
      </c>
      <c r="C3741" s="3" t="inlineStr">
        <is>
          <t>OH</t>
        </is>
      </c>
      <c r="D3741" s="15" t="n">
        <v>0.0111</v>
      </c>
      <c r="E3741" s="4" t="n">
        <v>200000</v>
      </c>
      <c r="F3741" s="4" t="n">
        <v>2220</v>
      </c>
    </row>
    <row r="3742">
      <c r="A3742" s="3" t="inlineStr">
        <is>
          <t>1</t>
        </is>
      </c>
      <c r="B3742" s="3" t="inlineStr">
        <is>
          <t>Keramik dinding artistik 10x20 cm</t>
        </is>
      </c>
      <c r="C3742" s="3" t="inlineStr">
        <is>
          <t>buah</t>
        </is>
      </c>
      <c r="D3742" s="15" t="n">
        <v>52.5</v>
      </c>
      <c r="E3742" s="4" t="n">
        <v>2500</v>
      </c>
      <c r="F3742" s="4" t="n">
        <v>131250</v>
      </c>
    </row>
    <row r="3743">
      <c r="A3743" s="3" t="inlineStr">
        <is>
          <t>2</t>
        </is>
      </c>
      <c r="B3743" s="3" t="inlineStr">
        <is>
          <t>Semen portland (PC)</t>
        </is>
      </c>
      <c r="C3743" s="3" t="inlineStr">
        <is>
          <t>kg</t>
        </is>
      </c>
      <c r="D3743" s="15" t="n">
        <v>9.300000000000001</v>
      </c>
      <c r="E3743" s="4" t="n">
        <v>1300</v>
      </c>
      <c r="F3743" s="4" t="n">
        <v>12090</v>
      </c>
    </row>
    <row r="3744">
      <c r="A3744" s="3" t="inlineStr">
        <is>
          <t>3</t>
        </is>
      </c>
      <c r="B3744" s="3" t="inlineStr">
        <is>
          <t>Semen warna</t>
        </is>
      </c>
      <c r="C3744" s="3" t="inlineStr">
        <is>
          <t>kg</t>
        </is>
      </c>
      <c r="D3744" s="15" t="n">
        <v>2.75</v>
      </c>
      <c r="E3744" s="4" t="n">
        <v>7800</v>
      </c>
      <c r="F3744" s="4" t="n">
        <v>21450</v>
      </c>
    </row>
    <row r="3745">
      <c r="A3745" s="3" t="inlineStr">
        <is>
          <t>4</t>
        </is>
      </c>
      <c r="B3745" s="3" t="inlineStr">
        <is>
          <t>Pasir pasang (quarry - lokasi pekerjaan)</t>
        </is>
      </c>
      <c r="C3745" s="3" t="inlineStr">
        <is>
          <t>m3</t>
        </is>
      </c>
      <c r="D3745" s="15" t="n">
        <v>0.018</v>
      </c>
      <c r="E3745" s="4" t="n">
        <v>275000</v>
      </c>
      <c r="F3745" s="4" t="n">
        <v>4950</v>
      </c>
    </row>
    <row r="3746">
      <c r="D3746" s="2" t="inlineStr">
        <is>
          <t>SUBTOTAL UPAH</t>
        </is>
      </c>
      <c r="F3746" s="16" t="n">
        <v>123046</v>
      </c>
    </row>
    <row r="3747">
      <c r="D3747" s="2" t="inlineStr">
        <is>
          <t>SUBTOTAL BAHAN</t>
        </is>
      </c>
      <c r="F3747" s="16" t="n">
        <v>169740</v>
      </c>
    </row>
    <row r="3748">
      <c r="D3748" s="2" t="inlineStr">
        <is>
          <t>SUBTOTAL ALAT</t>
        </is>
      </c>
      <c r="F3748" s="16" t="n">
        <v>0</v>
      </c>
    </row>
    <row r="3749">
      <c r="E3749" s="2" t="inlineStr">
        <is>
          <t>TOTAL HARGA SATUAN (Inc. Overhead)</t>
        </is>
      </c>
      <c r="F3749" s="17" t="n">
        <v>322064</v>
      </c>
    </row>
    <row r="3751">
      <c r="A3751" s="14" t="inlineStr">
        <is>
          <t>KODE: 3.10.1.2 - Pemasangan 1 m2 dinding keramik artistik uk. 5x20 cm (1SP : 2PP)</t>
        </is>
      </c>
    </row>
    <row r="3752">
      <c r="A3752" s="10" t="inlineStr">
        <is>
          <t>No</t>
        </is>
      </c>
      <c r="B3752" s="10" t="inlineStr">
        <is>
          <t>Uraian Komponen</t>
        </is>
      </c>
      <c r="C3752" s="10" t="inlineStr">
        <is>
          <t>Satuan</t>
        </is>
      </c>
      <c r="D3752" s="10" t="inlineStr">
        <is>
          <t>Koef</t>
        </is>
      </c>
      <c r="E3752" s="10" t="inlineStr">
        <is>
          <t>Harga Satuan (Rp)</t>
        </is>
      </c>
      <c r="F3752" s="10" t="inlineStr">
        <is>
          <t>Jumlah Harga (Rp)</t>
        </is>
      </c>
    </row>
    <row r="3753">
      <c r="A3753" s="3" t="inlineStr">
        <is>
          <t>1</t>
        </is>
      </c>
      <c r="B3753" s="3" t="inlineStr">
        <is>
          <t>Pekerja</t>
        </is>
      </c>
      <c r="C3753" s="3" t="inlineStr">
        <is>
          <t>OH</t>
        </is>
      </c>
      <c r="D3753" s="15" t="n">
        <v>0.909</v>
      </c>
      <c r="E3753" s="4" t="n">
        <v>100000</v>
      </c>
      <c r="F3753" s="4" t="n">
        <v>90900</v>
      </c>
    </row>
    <row r="3754">
      <c r="A3754" s="3" t="inlineStr">
        <is>
          <t>2</t>
        </is>
      </c>
      <c r="B3754" s="3" t="inlineStr">
        <is>
          <t>Tukang batu</t>
        </is>
      </c>
      <c r="C3754" s="3" t="inlineStr">
        <is>
          <t>OH</t>
        </is>
      </c>
      <c r="D3754" s="15" t="n">
        <v>0.455</v>
      </c>
      <c r="E3754" s="4" t="n">
        <v>145000</v>
      </c>
      <c r="F3754" s="4" t="n">
        <v>65975</v>
      </c>
    </row>
    <row r="3755">
      <c r="A3755" s="3" t="inlineStr">
        <is>
          <t>3</t>
        </is>
      </c>
      <c r="B3755" s="3" t="inlineStr">
        <is>
          <t>Kepala tukang</t>
        </is>
      </c>
      <c r="C3755" s="3" t="inlineStr">
        <is>
          <t>OH</t>
        </is>
      </c>
      <c r="D3755" s="15" t="n">
        <v>0.045</v>
      </c>
      <c r="E3755" s="4" t="n">
        <v>175000</v>
      </c>
      <c r="F3755" s="4" t="n">
        <v>7875</v>
      </c>
    </row>
    <row r="3756">
      <c r="A3756" s="3" t="inlineStr">
        <is>
          <t>4</t>
        </is>
      </c>
      <c r="B3756" s="3" t="inlineStr">
        <is>
          <t>Mandor</t>
        </is>
      </c>
      <c r="C3756" s="3" t="inlineStr">
        <is>
          <t>OH</t>
        </is>
      </c>
      <c r="D3756" s="15" t="n">
        <v>0.015</v>
      </c>
      <c r="E3756" s="4" t="n">
        <v>200000</v>
      </c>
      <c r="F3756" s="4" t="n">
        <v>3000</v>
      </c>
    </row>
    <row r="3757">
      <c r="A3757" s="3" t="inlineStr">
        <is>
          <t>1</t>
        </is>
      </c>
      <c r="B3757" s="3" t="inlineStr">
        <is>
          <t>Keramik dinding artistik 5x20 cm</t>
        </is>
      </c>
      <c r="C3757" s="3" t="inlineStr">
        <is>
          <t>buah</t>
        </is>
      </c>
      <c r="D3757" s="15" t="n">
        <v>105</v>
      </c>
      <c r="E3757" s="4" t="n">
        <v>2000</v>
      </c>
      <c r="F3757" s="4" t="n">
        <v>210000</v>
      </c>
    </row>
    <row r="3758">
      <c r="A3758" s="3" t="inlineStr">
        <is>
          <t>2</t>
        </is>
      </c>
      <c r="B3758" s="3" t="inlineStr">
        <is>
          <t>Semen portland (PC)</t>
        </is>
      </c>
      <c r="C3758" s="3" t="inlineStr">
        <is>
          <t>kg</t>
        </is>
      </c>
      <c r="D3758" s="15" t="n">
        <v>9.300000000000001</v>
      </c>
      <c r="E3758" s="4" t="n">
        <v>1300</v>
      </c>
      <c r="F3758" s="4" t="n">
        <v>12090</v>
      </c>
    </row>
    <row r="3759">
      <c r="A3759" s="3" t="inlineStr">
        <is>
          <t>3</t>
        </is>
      </c>
      <c r="B3759" s="3" t="inlineStr">
        <is>
          <t>Semen warna</t>
        </is>
      </c>
      <c r="C3759" s="3" t="inlineStr">
        <is>
          <t>kg</t>
        </is>
      </c>
      <c r="D3759" s="15" t="n">
        <v>2.9</v>
      </c>
      <c r="E3759" s="4" t="n">
        <v>7800</v>
      </c>
      <c r="F3759" s="4" t="n">
        <v>22620</v>
      </c>
    </row>
    <row r="3760">
      <c r="A3760" s="3" t="inlineStr">
        <is>
          <t>4</t>
        </is>
      </c>
      <c r="B3760" s="3" t="inlineStr">
        <is>
          <t>Pasir pasang (quarry - lokasi pekerjaan)</t>
        </is>
      </c>
      <c r="C3760" s="3" t="inlineStr">
        <is>
          <t>m3</t>
        </is>
      </c>
      <c r="D3760" s="15" t="n">
        <v>0.018</v>
      </c>
      <c r="E3760" s="4" t="n">
        <v>275000</v>
      </c>
      <c r="F3760" s="4" t="n">
        <v>4950</v>
      </c>
    </row>
    <row r="3761">
      <c r="D3761" s="2" t="inlineStr">
        <is>
          <t>SUBTOTAL UPAH</t>
        </is>
      </c>
      <c r="F3761" s="16" t="n">
        <v>167750</v>
      </c>
    </row>
    <row r="3762">
      <c r="D3762" s="2" t="inlineStr">
        <is>
          <t>SUBTOTAL BAHAN</t>
        </is>
      </c>
      <c r="F3762" s="16" t="n">
        <v>249660</v>
      </c>
    </row>
    <row r="3763">
      <c r="D3763" s="2" t="inlineStr">
        <is>
          <t>SUBTOTAL ALAT</t>
        </is>
      </c>
      <c r="F3763" s="16" t="n">
        <v>0</v>
      </c>
    </row>
    <row r="3764">
      <c r="E3764" s="2" t="inlineStr">
        <is>
          <t>TOTAL HARGA SATUAN (Inc. Overhead)</t>
        </is>
      </c>
      <c r="F3764" s="17" t="n">
        <v>459151</v>
      </c>
    </row>
    <row r="3766">
      <c r="A3766" s="14" t="inlineStr">
        <is>
          <t>KODE: 3.10.1.3 - Pemasangan 1 m2 dinding keramik uk. 10x20 cm (1SP : 2PP)</t>
        </is>
      </c>
    </row>
    <row r="3767">
      <c r="A3767" s="10" t="inlineStr">
        <is>
          <t>No</t>
        </is>
      </c>
      <c r="B3767" s="10" t="inlineStr">
        <is>
          <t>Uraian Komponen</t>
        </is>
      </c>
      <c r="C3767" s="10" t="inlineStr">
        <is>
          <t>Satuan</t>
        </is>
      </c>
      <c r="D3767" s="10" t="inlineStr">
        <is>
          <t>Koef</t>
        </is>
      </c>
      <c r="E3767" s="10" t="inlineStr">
        <is>
          <t>Harga Satuan (Rp)</t>
        </is>
      </c>
      <c r="F3767" s="10" t="inlineStr">
        <is>
          <t>Jumlah Harga (Rp)</t>
        </is>
      </c>
    </row>
    <row r="3768">
      <c r="A3768" s="3" t="inlineStr">
        <is>
          <t>1</t>
        </is>
      </c>
      <c r="B3768" s="3" t="inlineStr">
        <is>
          <t>Pekerja</t>
        </is>
      </c>
      <c r="C3768" s="3" t="inlineStr">
        <is>
          <t>OH</t>
        </is>
      </c>
      <c r="D3768" s="15" t="n">
        <v>0.5</v>
      </c>
      <c r="E3768" s="4" t="n">
        <v>100000</v>
      </c>
      <c r="F3768" s="4" t="n">
        <v>50000</v>
      </c>
    </row>
    <row r="3769">
      <c r="A3769" s="3" t="inlineStr">
        <is>
          <t>2</t>
        </is>
      </c>
      <c r="B3769" s="3" t="inlineStr">
        <is>
          <t>Tukang batu</t>
        </is>
      </c>
      <c r="C3769" s="3" t="inlineStr">
        <is>
          <t>OH</t>
        </is>
      </c>
      <c r="D3769" s="15" t="n">
        <v>0.25</v>
      </c>
      <c r="E3769" s="4" t="n">
        <v>145000</v>
      </c>
      <c r="F3769" s="4" t="n">
        <v>36250</v>
      </c>
    </row>
    <row r="3770">
      <c r="A3770" s="3" t="inlineStr">
        <is>
          <t>3</t>
        </is>
      </c>
      <c r="B3770" s="3" t="inlineStr">
        <is>
          <t>Kepala tukang</t>
        </is>
      </c>
      <c r="C3770" s="3" t="inlineStr">
        <is>
          <t>OH</t>
        </is>
      </c>
      <c r="D3770" s="15" t="n">
        <v>0.025</v>
      </c>
      <c r="E3770" s="4" t="n">
        <v>175000</v>
      </c>
      <c r="F3770" s="4" t="n">
        <v>4375</v>
      </c>
    </row>
    <row r="3771">
      <c r="A3771" s="3" t="inlineStr">
        <is>
          <t>4</t>
        </is>
      </c>
      <c r="B3771" s="3" t="inlineStr">
        <is>
          <t>Mandor</t>
        </is>
      </c>
      <c r="C3771" s="3" t="inlineStr">
        <is>
          <t>OH</t>
        </is>
      </c>
      <c r="D3771" s="15" t="n">
        <v>0.008</v>
      </c>
      <c r="E3771" s="4" t="n">
        <v>200000</v>
      </c>
      <c r="F3771" s="4" t="n">
        <v>1600</v>
      </c>
    </row>
    <row r="3772">
      <c r="A3772" s="3" t="inlineStr">
        <is>
          <t>1</t>
        </is>
      </c>
      <c r="B3772" s="3" t="inlineStr">
        <is>
          <t>Keramik dinding 10x20 cm</t>
        </is>
      </c>
      <c r="C3772" s="3" t="inlineStr">
        <is>
          <t>buah</t>
        </is>
      </c>
      <c r="D3772" s="15" t="n">
        <v>52</v>
      </c>
      <c r="E3772" s="4" t="n">
        <v>2000</v>
      </c>
      <c r="F3772" s="4" t="n">
        <v>104000</v>
      </c>
    </row>
    <row r="3773">
      <c r="A3773" s="3" t="inlineStr">
        <is>
          <t>2</t>
        </is>
      </c>
      <c r="B3773" s="3" t="inlineStr">
        <is>
          <t>Semen portland (pc)</t>
        </is>
      </c>
      <c r="C3773" s="3" t="inlineStr">
        <is>
          <t>kg</t>
        </is>
      </c>
      <c r="D3773" s="15" t="n">
        <v>9.300000000000001</v>
      </c>
      <c r="E3773" s="4" t="n">
        <v>1300</v>
      </c>
      <c r="F3773" s="4" t="n">
        <v>12090</v>
      </c>
    </row>
    <row r="3774">
      <c r="A3774" s="3" t="inlineStr">
        <is>
          <t>3</t>
        </is>
      </c>
      <c r="B3774" s="3" t="inlineStr">
        <is>
          <t>Semen warna</t>
        </is>
      </c>
      <c r="C3774" s="3" t="inlineStr">
        <is>
          <t>kg</t>
        </is>
      </c>
      <c r="D3774" s="15" t="n">
        <v>2.75</v>
      </c>
      <c r="E3774" s="4" t="n">
        <v>7800</v>
      </c>
      <c r="F3774" s="4" t="n">
        <v>21450</v>
      </c>
    </row>
    <row r="3775">
      <c r="A3775" s="3" t="inlineStr">
        <is>
          <t>4</t>
        </is>
      </c>
      <c r="B3775" s="3" t="inlineStr">
        <is>
          <t>Pasir pasang (quarry - lokasi pekerjaan)</t>
        </is>
      </c>
      <c r="C3775" s="3" t="inlineStr">
        <is>
          <t>m3</t>
        </is>
      </c>
      <c r="D3775" s="15" t="n">
        <v>0.018</v>
      </c>
      <c r="E3775" s="4" t="n">
        <v>275000</v>
      </c>
      <c r="F3775" s="4" t="n">
        <v>4950</v>
      </c>
    </row>
    <row r="3776">
      <c r="D3776" s="2" t="inlineStr">
        <is>
          <t>SUBTOTAL UPAH</t>
        </is>
      </c>
      <c r="F3776" s="16" t="n">
        <v>92225</v>
      </c>
    </row>
    <row r="3777">
      <c r="D3777" s="2" t="inlineStr">
        <is>
          <t>SUBTOTAL BAHAN</t>
        </is>
      </c>
      <c r="F3777" s="16" t="n">
        <v>142490</v>
      </c>
    </row>
    <row r="3778">
      <c r="D3778" s="2" t="inlineStr">
        <is>
          <t>SUBTOTAL ALAT</t>
        </is>
      </c>
      <c r="F3778" s="16" t="n">
        <v>0</v>
      </c>
    </row>
    <row r="3779">
      <c r="E3779" s="2" t="inlineStr">
        <is>
          <t>TOTAL HARGA SATUAN (Inc. Overhead)</t>
        </is>
      </c>
      <c r="F3779" s="17" t="n">
        <v>258186</v>
      </c>
    </row>
    <row r="3781">
      <c r="A3781" s="14" t="inlineStr">
        <is>
          <t>KODE: 3.10.1.4 - Pemasangan 1 m2 dinding keramik uk. 20x20 cm (1SP : 2PP)</t>
        </is>
      </c>
    </row>
    <row r="3782">
      <c r="A3782" s="10" t="inlineStr">
        <is>
          <t>No</t>
        </is>
      </c>
      <c r="B3782" s="10" t="inlineStr">
        <is>
          <t>Uraian Komponen</t>
        </is>
      </c>
      <c r="C3782" s="10" t="inlineStr">
        <is>
          <t>Satuan</t>
        </is>
      </c>
      <c r="D3782" s="10" t="inlineStr">
        <is>
          <t>Koef</t>
        </is>
      </c>
      <c r="E3782" s="10" t="inlineStr">
        <is>
          <t>Harga Satuan (Rp)</t>
        </is>
      </c>
      <c r="F3782" s="10" t="inlineStr">
        <is>
          <t>Jumlah Harga (Rp)</t>
        </is>
      </c>
    </row>
    <row r="3783">
      <c r="A3783" s="3" t="inlineStr">
        <is>
          <t>1</t>
        </is>
      </c>
      <c r="B3783" s="3" t="inlineStr">
        <is>
          <t>Pekerja</t>
        </is>
      </c>
      <c r="C3783" s="3" t="inlineStr">
        <is>
          <t>OH</t>
        </is>
      </c>
      <c r="D3783" s="15" t="n">
        <v>0.4</v>
      </c>
      <c r="E3783" s="4" t="n">
        <v>100000</v>
      </c>
      <c r="F3783" s="4" t="n">
        <v>40000</v>
      </c>
    </row>
    <row r="3784">
      <c r="A3784" s="3" t="inlineStr">
        <is>
          <t>2</t>
        </is>
      </c>
      <c r="B3784" s="3" t="inlineStr">
        <is>
          <t>Tukang batu</t>
        </is>
      </c>
      <c r="C3784" s="3" t="inlineStr">
        <is>
          <t>OH</t>
        </is>
      </c>
      <c r="D3784" s="15" t="n">
        <v>0.2</v>
      </c>
      <c r="E3784" s="4" t="n">
        <v>145000</v>
      </c>
      <c r="F3784" s="4" t="n">
        <v>29000</v>
      </c>
    </row>
    <row r="3785">
      <c r="A3785" s="3" t="inlineStr">
        <is>
          <t>3</t>
        </is>
      </c>
      <c r="B3785" s="3" t="inlineStr">
        <is>
          <t>Kepala tukang</t>
        </is>
      </c>
      <c r="C3785" s="3" t="inlineStr">
        <is>
          <t>OH</t>
        </is>
      </c>
      <c r="D3785" s="15" t="n">
        <v>0.02</v>
      </c>
      <c r="E3785" s="4" t="n">
        <v>175000</v>
      </c>
      <c r="F3785" s="4" t="n">
        <v>3500</v>
      </c>
    </row>
    <row r="3786">
      <c r="A3786" s="3" t="inlineStr">
        <is>
          <t>4</t>
        </is>
      </c>
      <c r="B3786" s="3" t="inlineStr">
        <is>
          <t>Mandor</t>
        </is>
      </c>
      <c r="C3786" s="3" t="inlineStr">
        <is>
          <t>OH</t>
        </is>
      </c>
      <c r="D3786" s="15" t="n">
        <v>0.007</v>
      </c>
      <c r="E3786" s="4" t="n">
        <v>200000</v>
      </c>
      <c r="F3786" s="4" t="n">
        <v>1400</v>
      </c>
    </row>
    <row r="3787">
      <c r="A3787" s="3" t="inlineStr">
        <is>
          <t>1</t>
        </is>
      </c>
      <c r="B3787" s="3" t="inlineStr">
        <is>
          <t>Keramik dinding 20x20 cm</t>
        </is>
      </c>
      <c r="C3787" s="3" t="inlineStr">
        <is>
          <t>buah</t>
        </is>
      </c>
      <c r="D3787" s="15" t="n">
        <v>26</v>
      </c>
      <c r="E3787" s="4" t="n">
        <v>3000</v>
      </c>
      <c r="F3787" s="4" t="n">
        <v>78000</v>
      </c>
    </row>
    <row r="3788">
      <c r="A3788" s="3" t="inlineStr">
        <is>
          <t>2</t>
        </is>
      </c>
      <c r="B3788" s="3" t="inlineStr">
        <is>
          <t>Semen portland (PC)</t>
        </is>
      </c>
      <c r="C3788" s="3" t="inlineStr">
        <is>
          <t>kg</t>
        </is>
      </c>
      <c r="D3788" s="15" t="n">
        <v>9.300000000000001</v>
      </c>
      <c r="E3788" s="4" t="n">
        <v>1300</v>
      </c>
      <c r="F3788" s="4" t="n">
        <v>12090</v>
      </c>
    </row>
    <row r="3789">
      <c r="A3789" s="3" t="inlineStr">
        <is>
          <t>3</t>
        </is>
      </c>
      <c r="B3789" s="3" t="inlineStr">
        <is>
          <t>Semen warna</t>
        </is>
      </c>
      <c r="C3789" s="3" t="inlineStr">
        <is>
          <t>kg</t>
        </is>
      </c>
      <c r="D3789" s="15" t="n">
        <v>1.94</v>
      </c>
      <c r="E3789" s="4" t="n">
        <v>7800</v>
      </c>
      <c r="F3789" s="4" t="n">
        <v>15132</v>
      </c>
    </row>
    <row r="3790">
      <c r="A3790" s="3" t="inlineStr">
        <is>
          <t>4</t>
        </is>
      </c>
      <c r="B3790" s="3" t="inlineStr">
        <is>
          <t>Pasir pasang (quarry - lokasi pekerjaan)</t>
        </is>
      </c>
      <c r="C3790" s="3" t="inlineStr">
        <is>
          <t>m3</t>
        </is>
      </c>
      <c r="D3790" s="15" t="n">
        <v>0.018</v>
      </c>
      <c r="E3790" s="4" t="n">
        <v>275000</v>
      </c>
      <c r="F3790" s="4" t="n">
        <v>4950</v>
      </c>
    </row>
    <row r="3791">
      <c r="D3791" s="2" t="inlineStr">
        <is>
          <t>SUBTOTAL UPAH</t>
        </is>
      </c>
      <c r="F3791" s="16" t="n">
        <v>73900</v>
      </c>
    </row>
    <row r="3792">
      <c r="D3792" s="2" t="inlineStr">
        <is>
          <t>SUBTOTAL BAHAN</t>
        </is>
      </c>
      <c r="F3792" s="16" t="n">
        <v>110172</v>
      </c>
    </row>
    <row r="3793">
      <c r="D3793" s="2" t="inlineStr">
        <is>
          <t>SUBTOTAL ALAT</t>
        </is>
      </c>
      <c r="F3793" s="16" t="n">
        <v>0</v>
      </c>
    </row>
    <row r="3794">
      <c r="E3794" s="2" t="inlineStr">
        <is>
          <t>TOTAL HARGA SATUAN (Inc. Overhead)</t>
        </is>
      </c>
      <c r="F3794" s="17" t="n">
        <v>202479</v>
      </c>
    </row>
    <row r="3796">
      <c r="A3796" s="14" t="inlineStr">
        <is>
          <t>KODE: 3.10.2.1 - Pemasangan 1 m2 dinding homogeneous tile Polish uk. 30x30 cm (1SP : 2PP)</t>
        </is>
      </c>
    </row>
    <row r="3797">
      <c r="A3797" s="10" t="inlineStr">
        <is>
          <t>No</t>
        </is>
      </c>
      <c r="B3797" s="10" t="inlineStr">
        <is>
          <t>Uraian Komponen</t>
        </is>
      </c>
      <c r="C3797" s="10" t="inlineStr">
        <is>
          <t>Satuan</t>
        </is>
      </c>
      <c r="D3797" s="10" t="inlineStr">
        <is>
          <t>Koef</t>
        </is>
      </c>
      <c r="E3797" s="10" t="inlineStr">
        <is>
          <t>Harga Satuan (Rp)</t>
        </is>
      </c>
      <c r="F3797" s="10" t="inlineStr">
        <is>
          <t>Jumlah Harga (Rp)</t>
        </is>
      </c>
    </row>
    <row r="3798">
      <c r="A3798" s="3" t="inlineStr">
        <is>
          <t>1</t>
        </is>
      </c>
      <c r="B3798" s="3" t="inlineStr">
        <is>
          <t>Pekerja</t>
        </is>
      </c>
      <c r="C3798" s="3" t="inlineStr">
        <is>
          <t>OH</t>
        </is>
      </c>
      <c r="D3798" s="15" t="n">
        <v>1</v>
      </c>
      <c r="E3798" s="4" t="n">
        <v>100000</v>
      </c>
      <c r="F3798" s="4" t="n">
        <v>100000</v>
      </c>
    </row>
    <row r="3799">
      <c r="A3799" s="3" t="inlineStr">
        <is>
          <t>2</t>
        </is>
      </c>
      <c r="B3799" s="3" t="inlineStr">
        <is>
          <t>Tukang batu</t>
        </is>
      </c>
      <c r="C3799" s="3" t="inlineStr">
        <is>
          <t>OH</t>
        </is>
      </c>
      <c r="D3799" s="15" t="n">
        <v>0.5</v>
      </c>
      <c r="E3799" s="4" t="n">
        <v>145000</v>
      </c>
      <c r="F3799" s="4" t="n">
        <v>72500</v>
      </c>
    </row>
    <row r="3800">
      <c r="A3800" s="3" t="inlineStr">
        <is>
          <t>3</t>
        </is>
      </c>
      <c r="B3800" s="3" t="inlineStr">
        <is>
          <t>Kepala tukang</t>
        </is>
      </c>
      <c r="C3800" s="3" t="inlineStr">
        <is>
          <t>OH</t>
        </is>
      </c>
      <c r="D3800" s="15" t="n">
        <v>0.05</v>
      </c>
      <c r="E3800" s="4" t="n">
        <v>175000</v>
      </c>
      <c r="F3800" s="4" t="n">
        <v>8750</v>
      </c>
    </row>
    <row r="3801">
      <c r="A3801" s="3" t="inlineStr">
        <is>
          <t>4</t>
        </is>
      </c>
      <c r="B3801" s="3" t="inlineStr">
        <is>
          <t>Mandor</t>
        </is>
      </c>
      <c r="C3801" s="3" t="inlineStr">
        <is>
          <t>OH</t>
        </is>
      </c>
      <c r="D3801" s="15" t="n">
        <v>0.0167</v>
      </c>
      <c r="E3801" s="4" t="n">
        <v>200000</v>
      </c>
      <c r="F3801" s="4" t="n">
        <v>3340</v>
      </c>
    </row>
    <row r="3802">
      <c r="A3802" s="3" t="inlineStr">
        <is>
          <t>1</t>
        </is>
      </c>
      <c r="B3802" s="3" t="inlineStr">
        <is>
          <t>Homogenous tile dinding 30x30 cm</t>
        </is>
      </c>
      <c r="C3802" s="3" t="inlineStr">
        <is>
          <t>buah</t>
        </is>
      </c>
      <c r="D3802" s="15" t="n">
        <v>11.67</v>
      </c>
      <c r="E3802" s="4" t="n">
        <v>22000</v>
      </c>
      <c r="F3802" s="4" t="n">
        <v>256740</v>
      </c>
    </row>
    <row r="3803">
      <c r="A3803" s="3" t="inlineStr">
        <is>
          <t>2</t>
        </is>
      </c>
      <c r="B3803" s="3" t="inlineStr">
        <is>
          <t>Semen portland (PC)</t>
        </is>
      </c>
      <c r="C3803" s="3" t="inlineStr">
        <is>
          <t>kg</t>
        </is>
      </c>
      <c r="D3803" s="15" t="n">
        <v>9.300000000000001</v>
      </c>
      <c r="E3803" s="4" t="n">
        <v>1300</v>
      </c>
      <c r="F3803" s="4" t="n">
        <v>12090</v>
      </c>
    </row>
    <row r="3804">
      <c r="A3804" s="3" t="inlineStr">
        <is>
          <t>4</t>
        </is>
      </c>
      <c r="B3804" s="3" t="inlineStr">
        <is>
          <t>Pasir pasang (quarry - lokasi pekerjaan)</t>
        </is>
      </c>
      <c r="C3804" s="3" t="inlineStr">
        <is>
          <t>m3</t>
        </is>
      </c>
      <c r="D3804" s="15" t="n">
        <v>0.018</v>
      </c>
      <c r="E3804" s="4" t="n">
        <v>275000</v>
      </c>
      <c r="F3804" s="4" t="n">
        <v>4950</v>
      </c>
    </row>
    <row r="3805">
      <c r="D3805" s="2" t="inlineStr">
        <is>
          <t>SUBTOTAL UPAH</t>
        </is>
      </c>
      <c r="F3805" s="16" t="n">
        <v>184590</v>
      </c>
    </row>
    <row r="3806">
      <c r="D3806" s="2" t="inlineStr">
        <is>
          <t>SUBTOTAL BAHAN</t>
        </is>
      </c>
      <c r="F3806" s="16" t="n">
        <v>273780</v>
      </c>
    </row>
    <row r="3807">
      <c r="D3807" s="2" t="inlineStr">
        <is>
          <t>SUBTOTAL ALAT</t>
        </is>
      </c>
      <c r="F3807" s="16" t="n">
        <v>0</v>
      </c>
    </row>
    <row r="3808">
      <c r="E3808" s="2" t="inlineStr">
        <is>
          <t>TOTAL HARGA SATUAN (Inc. Overhead)</t>
        </is>
      </c>
      <c r="F3808" s="17" t="n">
        <v>504207</v>
      </c>
    </row>
    <row r="3810">
      <c r="A3810" s="14" t="inlineStr">
        <is>
          <t>KODE: 3.10.2.2 - Pemasangan 1 m2 dinding homogeneous tile Polish uk. 40x40 cm (1SP : 2PP)</t>
        </is>
      </c>
    </row>
    <row r="3811">
      <c r="A3811" s="10" t="inlineStr">
        <is>
          <t>No</t>
        </is>
      </c>
      <c r="B3811" s="10" t="inlineStr">
        <is>
          <t>Uraian Komponen</t>
        </is>
      </c>
      <c r="C3811" s="10" t="inlineStr">
        <is>
          <t>Satuan</t>
        </is>
      </c>
      <c r="D3811" s="10" t="inlineStr">
        <is>
          <t>Koef</t>
        </is>
      </c>
      <c r="E3811" s="10" t="inlineStr">
        <is>
          <t>Harga Satuan (Rp)</t>
        </is>
      </c>
      <c r="F3811" s="10" t="inlineStr">
        <is>
          <t>Jumlah Harga (Rp)</t>
        </is>
      </c>
    </row>
    <row r="3812">
      <c r="A3812" s="3" t="inlineStr">
        <is>
          <t>1</t>
        </is>
      </c>
      <c r="B3812" s="3" t="inlineStr">
        <is>
          <t>Pekerja</t>
        </is>
      </c>
      <c r="C3812" s="3" t="inlineStr">
        <is>
          <t>OH</t>
        </is>
      </c>
      <c r="D3812" s="15" t="n">
        <v>0.9</v>
      </c>
      <c r="E3812" s="4" t="n">
        <v>100000</v>
      </c>
      <c r="F3812" s="4" t="n">
        <v>90000</v>
      </c>
    </row>
    <row r="3813">
      <c r="A3813" s="3" t="inlineStr">
        <is>
          <t>2</t>
        </is>
      </c>
      <c r="B3813" s="3" t="inlineStr">
        <is>
          <t>Tukang batu</t>
        </is>
      </c>
      <c r="C3813" s="3" t="inlineStr">
        <is>
          <t>OH</t>
        </is>
      </c>
      <c r="D3813" s="15" t="n">
        <v>0.45</v>
      </c>
      <c r="E3813" s="4" t="n">
        <v>145000</v>
      </c>
      <c r="F3813" s="4" t="n">
        <v>65250</v>
      </c>
    </row>
    <row r="3814">
      <c r="A3814" s="3" t="inlineStr">
        <is>
          <t>3</t>
        </is>
      </c>
      <c r="B3814" s="3" t="inlineStr">
        <is>
          <t>Kepala tukang</t>
        </is>
      </c>
      <c r="C3814" s="3" t="inlineStr">
        <is>
          <t>OH</t>
        </is>
      </c>
      <c r="D3814" s="15" t="n">
        <v>0.045</v>
      </c>
      <c r="E3814" s="4" t="n">
        <v>175000</v>
      </c>
      <c r="F3814" s="4" t="n">
        <v>7875</v>
      </c>
    </row>
    <row r="3815">
      <c r="A3815" s="3" t="inlineStr">
        <is>
          <t>4</t>
        </is>
      </c>
      <c r="B3815" s="3" t="inlineStr">
        <is>
          <t>Mandor</t>
        </is>
      </c>
      <c r="C3815" s="3" t="inlineStr">
        <is>
          <t>OH</t>
        </is>
      </c>
      <c r="D3815" s="15" t="n">
        <v>0.015</v>
      </c>
      <c r="E3815" s="4" t="n">
        <v>200000</v>
      </c>
      <c r="F3815" s="4" t="n">
        <v>3000</v>
      </c>
    </row>
    <row r="3816">
      <c r="A3816" s="3" t="inlineStr">
        <is>
          <t>1</t>
        </is>
      </c>
      <c r="B3816" s="3" t="inlineStr">
        <is>
          <t>Homogenous tile dinding 40x40 cm</t>
        </is>
      </c>
      <c r="C3816" s="3" t="inlineStr">
        <is>
          <t>buah</t>
        </is>
      </c>
      <c r="D3816" s="15" t="n">
        <v>6.56</v>
      </c>
      <c r="E3816" s="4" t="n">
        <v>30000</v>
      </c>
      <c r="F3816" s="4" t="n">
        <v>196800</v>
      </c>
    </row>
    <row r="3817">
      <c r="A3817" s="3" t="inlineStr">
        <is>
          <t>2</t>
        </is>
      </c>
      <c r="B3817" s="3" t="inlineStr">
        <is>
          <t>Semen portland (pc)</t>
        </is>
      </c>
      <c r="C3817" s="3" t="inlineStr">
        <is>
          <t>kg</t>
        </is>
      </c>
      <c r="D3817" s="15" t="n">
        <v>9.300000000000001</v>
      </c>
      <c r="E3817" s="4" t="n">
        <v>1300</v>
      </c>
      <c r="F3817" s="4" t="n">
        <v>12090</v>
      </c>
    </row>
    <row r="3818">
      <c r="A3818" s="3" t="inlineStr">
        <is>
          <t>4</t>
        </is>
      </c>
      <c r="B3818" s="3" t="inlineStr">
        <is>
          <t>Pasir pasang (quarry - lokasi pekerjaan)</t>
        </is>
      </c>
      <c r="C3818" s="3" t="inlineStr">
        <is>
          <t>m3</t>
        </is>
      </c>
      <c r="D3818" s="15" t="n">
        <v>0.018</v>
      </c>
      <c r="E3818" s="4" t="n">
        <v>275000</v>
      </c>
      <c r="F3818" s="4" t="n">
        <v>4950</v>
      </c>
    </row>
    <row r="3819">
      <c r="D3819" s="2" t="inlineStr">
        <is>
          <t>SUBTOTAL UPAH</t>
        </is>
      </c>
      <c r="F3819" s="16" t="n">
        <v>166125</v>
      </c>
    </row>
    <row r="3820">
      <c r="D3820" s="2" t="inlineStr">
        <is>
          <t>SUBTOTAL BAHAN</t>
        </is>
      </c>
      <c r="F3820" s="16" t="n">
        <v>213840</v>
      </c>
    </row>
    <row r="3821">
      <c r="D3821" s="2" t="inlineStr">
        <is>
          <t>SUBTOTAL ALAT</t>
        </is>
      </c>
      <c r="F3821" s="16" t="n">
        <v>0</v>
      </c>
    </row>
    <row r="3822">
      <c r="E3822" s="2" t="inlineStr">
        <is>
          <t>TOTAL HARGA SATUAN (Inc. Overhead)</t>
        </is>
      </c>
      <c r="F3822" s="17" t="n">
        <v>417961</v>
      </c>
    </row>
    <row r="3824">
      <c r="A3824" s="14" t="inlineStr">
        <is>
          <t>KODE: 3.10.2.3 - Pemasangan 1 m2 dinding homogeneous tile polish uk. 60x60 cm (1SP : 2PP)</t>
        </is>
      </c>
    </row>
    <row r="3825">
      <c r="A3825" s="10" t="inlineStr">
        <is>
          <t>No</t>
        </is>
      </c>
      <c r="B3825" s="10" t="inlineStr">
        <is>
          <t>Uraian Komponen</t>
        </is>
      </c>
      <c r="C3825" s="10" t="inlineStr">
        <is>
          <t>Satuan</t>
        </is>
      </c>
      <c r="D3825" s="10" t="inlineStr">
        <is>
          <t>Koef</t>
        </is>
      </c>
      <c r="E3825" s="10" t="inlineStr">
        <is>
          <t>Harga Satuan (Rp)</t>
        </is>
      </c>
      <c r="F3825" s="10" t="inlineStr">
        <is>
          <t>Jumlah Harga (Rp)</t>
        </is>
      </c>
    </row>
    <row r="3826">
      <c r="A3826" s="3" t="inlineStr">
        <is>
          <t>1</t>
        </is>
      </c>
      <c r="B3826" s="3" t="inlineStr">
        <is>
          <t>Pekerja</t>
        </is>
      </c>
      <c r="C3826" s="3" t="inlineStr">
        <is>
          <t>OH</t>
        </is>
      </c>
      <c r="D3826" s="15" t="n">
        <v>0.4</v>
      </c>
      <c r="E3826" s="4" t="n">
        <v>100000</v>
      </c>
      <c r="F3826" s="4" t="n">
        <v>40000</v>
      </c>
    </row>
    <row r="3827">
      <c r="A3827" s="3" t="inlineStr">
        <is>
          <t>2</t>
        </is>
      </c>
      <c r="B3827" s="3" t="inlineStr">
        <is>
          <t>Tukang batu</t>
        </is>
      </c>
      <c r="C3827" s="3" t="inlineStr">
        <is>
          <t>OH</t>
        </is>
      </c>
      <c r="D3827" s="15" t="n">
        <v>0.2</v>
      </c>
      <c r="E3827" s="4" t="n">
        <v>145000</v>
      </c>
      <c r="F3827" s="4" t="n">
        <v>29000</v>
      </c>
    </row>
    <row r="3828">
      <c r="A3828" s="3" t="inlineStr">
        <is>
          <t>3</t>
        </is>
      </c>
      <c r="B3828" s="3" t="inlineStr">
        <is>
          <t>Kepala tukang</t>
        </is>
      </c>
      <c r="C3828" s="3" t="inlineStr">
        <is>
          <t>OH</t>
        </is>
      </c>
      <c r="D3828" s="15" t="n">
        <v>0.02</v>
      </c>
      <c r="E3828" s="4" t="n">
        <v>175000</v>
      </c>
      <c r="F3828" s="4" t="n">
        <v>3500</v>
      </c>
    </row>
    <row r="3829">
      <c r="A3829" s="3" t="inlineStr">
        <is>
          <t>4</t>
        </is>
      </c>
      <c r="B3829" s="3" t="inlineStr">
        <is>
          <t>Mandor</t>
        </is>
      </c>
      <c r="C3829" s="3" t="inlineStr">
        <is>
          <t>OH</t>
        </is>
      </c>
      <c r="D3829" s="15" t="n">
        <v>0.007</v>
      </c>
      <c r="E3829" s="4" t="n">
        <v>200000</v>
      </c>
      <c r="F3829" s="4" t="n">
        <v>1400</v>
      </c>
    </row>
    <row r="3830">
      <c r="A3830" s="3" t="inlineStr">
        <is>
          <t>1</t>
        </is>
      </c>
      <c r="B3830" s="3" t="inlineStr">
        <is>
          <t>Homogenous tile dinding 60x60 cm</t>
        </is>
      </c>
      <c r="C3830" s="3" t="inlineStr">
        <is>
          <t>buah</t>
        </is>
      </c>
      <c r="D3830" s="15" t="n">
        <v>2.92</v>
      </c>
      <c r="E3830" s="4" t="n">
        <v>35000</v>
      </c>
      <c r="F3830" s="4" t="n">
        <v>102200</v>
      </c>
    </row>
    <row r="3831">
      <c r="A3831" s="3" t="inlineStr">
        <is>
          <t>2</t>
        </is>
      </c>
      <c r="B3831" s="3" t="inlineStr">
        <is>
          <t>Semen portland (PC)</t>
        </is>
      </c>
      <c r="C3831" s="3" t="inlineStr">
        <is>
          <t>kg</t>
        </is>
      </c>
      <c r="D3831" s="15" t="n">
        <v>9.300000000000001</v>
      </c>
      <c r="E3831" s="4" t="n">
        <v>1300</v>
      </c>
      <c r="F3831" s="4" t="n">
        <v>12090</v>
      </c>
    </row>
    <row r="3832">
      <c r="A3832" s="3" t="inlineStr">
        <is>
          <t>4</t>
        </is>
      </c>
      <c r="B3832" s="3" t="inlineStr">
        <is>
          <t>Pasir pasang (quarry - lokasi pekerjaan)</t>
        </is>
      </c>
      <c r="C3832" s="3" t="inlineStr">
        <is>
          <t>m3</t>
        </is>
      </c>
      <c r="D3832" s="15" t="n">
        <v>0.018</v>
      </c>
      <c r="E3832" s="4" t="n">
        <v>275000</v>
      </c>
      <c r="F3832" s="4" t="n">
        <v>4950</v>
      </c>
    </row>
    <row r="3833">
      <c r="D3833" s="2" t="inlineStr">
        <is>
          <t>SUBTOTAL UPAH</t>
        </is>
      </c>
      <c r="F3833" s="16" t="n">
        <v>73900</v>
      </c>
    </row>
    <row r="3834">
      <c r="D3834" s="2" t="inlineStr">
        <is>
          <t>SUBTOTAL BAHAN</t>
        </is>
      </c>
      <c r="F3834" s="16" t="n">
        <v>119240</v>
      </c>
    </row>
    <row r="3835">
      <c r="D3835" s="2" t="inlineStr">
        <is>
          <t>SUBTOTAL ALAT</t>
        </is>
      </c>
      <c r="F3835" s="16" t="n">
        <v>0</v>
      </c>
    </row>
    <row r="3836">
      <c r="E3836" s="2" t="inlineStr">
        <is>
          <t>TOTAL HARGA SATUAN (Inc. Overhead)</t>
        </is>
      </c>
      <c r="F3836" s="17" t="n">
        <v>212454</v>
      </c>
    </row>
    <row r="3838">
      <c r="A3838" s="14" t="inlineStr">
        <is>
          <t>KODE: 3.10.2.4 - Pemasangan 1 m2 dinding homogeneous tile Unpolish uk. 30x30 cm (1SP : 2PP)</t>
        </is>
      </c>
    </row>
    <row r="3839">
      <c r="A3839" s="10" t="inlineStr">
        <is>
          <t>No</t>
        </is>
      </c>
      <c r="B3839" s="10" t="inlineStr">
        <is>
          <t>Uraian Komponen</t>
        </is>
      </c>
      <c r="C3839" s="10" t="inlineStr">
        <is>
          <t>Satuan</t>
        </is>
      </c>
      <c r="D3839" s="10" t="inlineStr">
        <is>
          <t>Koef</t>
        </is>
      </c>
      <c r="E3839" s="10" t="inlineStr">
        <is>
          <t>Harga Satuan (Rp)</t>
        </is>
      </c>
      <c r="F3839" s="10" t="inlineStr">
        <is>
          <t>Jumlah Harga (Rp)</t>
        </is>
      </c>
    </row>
    <row r="3840">
      <c r="A3840" s="3" t="inlineStr">
        <is>
          <t>1</t>
        </is>
      </c>
      <c r="B3840" s="3" t="inlineStr">
        <is>
          <t>Pekerja</t>
        </is>
      </c>
      <c r="C3840" s="3" t="inlineStr">
        <is>
          <t>OH</t>
        </is>
      </c>
      <c r="D3840" s="15" t="n">
        <v>1</v>
      </c>
      <c r="E3840" s="4" t="n">
        <v>100000</v>
      </c>
      <c r="F3840" s="4" t="n">
        <v>100000</v>
      </c>
    </row>
    <row r="3841">
      <c r="A3841" s="3" t="inlineStr">
        <is>
          <t>2</t>
        </is>
      </c>
      <c r="B3841" s="3" t="inlineStr">
        <is>
          <t>Tukang batu</t>
        </is>
      </c>
      <c r="C3841" s="3" t="inlineStr">
        <is>
          <t>OH</t>
        </is>
      </c>
      <c r="D3841" s="15" t="n">
        <v>0.5</v>
      </c>
      <c r="E3841" s="4" t="n">
        <v>145000</v>
      </c>
      <c r="F3841" s="4" t="n">
        <v>72500</v>
      </c>
    </row>
    <row r="3842">
      <c r="A3842" s="3" t="inlineStr">
        <is>
          <t>3</t>
        </is>
      </c>
      <c r="B3842" s="3" t="inlineStr">
        <is>
          <t>Kepala tukang</t>
        </is>
      </c>
      <c r="C3842" s="3" t="inlineStr">
        <is>
          <t>OH</t>
        </is>
      </c>
      <c r="D3842" s="15" t="n">
        <v>0.05</v>
      </c>
      <c r="E3842" s="4" t="n">
        <v>175000</v>
      </c>
      <c r="F3842" s="4" t="n">
        <v>8750</v>
      </c>
    </row>
    <row r="3843">
      <c r="A3843" s="3" t="inlineStr">
        <is>
          <t>4</t>
        </is>
      </c>
      <c r="B3843" s="3" t="inlineStr">
        <is>
          <t>Mandor</t>
        </is>
      </c>
      <c r="C3843" s="3" t="inlineStr">
        <is>
          <t>OH</t>
        </is>
      </c>
      <c r="D3843" s="15" t="n">
        <v>0.0167</v>
      </c>
      <c r="E3843" s="4" t="n">
        <v>200000</v>
      </c>
      <c r="F3843" s="4" t="n">
        <v>3340</v>
      </c>
    </row>
    <row r="3844">
      <c r="A3844" s="3" t="inlineStr">
        <is>
          <t>1</t>
        </is>
      </c>
      <c r="B3844" s="3" t="inlineStr">
        <is>
          <t>Homogenous tile dinding 30x30 cm</t>
        </is>
      </c>
      <c r="C3844" s="3" t="inlineStr">
        <is>
          <t>buah</t>
        </is>
      </c>
      <c r="D3844" s="15" t="n">
        <v>11.67</v>
      </c>
      <c r="E3844" s="4" t="n">
        <v>22000</v>
      </c>
      <c r="F3844" s="4" t="n">
        <v>256740</v>
      </c>
    </row>
    <row r="3845">
      <c r="A3845" s="3" t="inlineStr">
        <is>
          <t>2</t>
        </is>
      </c>
      <c r="B3845" s="3" t="inlineStr">
        <is>
          <t>Semen portland (PC)</t>
        </is>
      </c>
      <c r="C3845" s="3" t="inlineStr">
        <is>
          <t>kg</t>
        </is>
      </c>
      <c r="D3845" s="15" t="n">
        <v>9.300000000000001</v>
      </c>
      <c r="E3845" s="4" t="n">
        <v>1300</v>
      </c>
      <c r="F3845" s="4" t="n">
        <v>12090</v>
      </c>
    </row>
    <row r="3846">
      <c r="A3846" s="3" t="inlineStr">
        <is>
          <t>4</t>
        </is>
      </c>
      <c r="B3846" s="3" t="inlineStr">
        <is>
          <t>Pasir pasang (quarry - lokasi pekerjaan)</t>
        </is>
      </c>
      <c r="C3846" s="3" t="inlineStr">
        <is>
          <t>m3</t>
        </is>
      </c>
      <c r="D3846" s="15" t="n">
        <v>0.018</v>
      </c>
      <c r="E3846" s="4" t="n">
        <v>275000</v>
      </c>
      <c r="F3846" s="4" t="n">
        <v>4950</v>
      </c>
    </row>
    <row r="3847">
      <c r="D3847" s="2" t="inlineStr">
        <is>
          <t>SUBTOTAL UPAH</t>
        </is>
      </c>
      <c r="F3847" s="16" t="n">
        <v>184590</v>
      </c>
    </row>
    <row r="3848">
      <c r="D3848" s="2" t="inlineStr">
        <is>
          <t>SUBTOTAL BAHAN</t>
        </is>
      </c>
      <c r="F3848" s="16" t="n">
        <v>273780</v>
      </c>
    </row>
    <row r="3849">
      <c r="D3849" s="2" t="inlineStr">
        <is>
          <t>SUBTOTAL ALAT</t>
        </is>
      </c>
      <c r="F3849" s="16" t="n">
        <v>0</v>
      </c>
    </row>
    <row r="3850">
      <c r="E3850" s="2" t="inlineStr">
        <is>
          <t>TOTAL HARGA SATUAN (Inc. Overhead)</t>
        </is>
      </c>
      <c r="F3850" s="17" t="n">
        <v>504207</v>
      </c>
    </row>
    <row r="3852">
      <c r="A3852" s="14" t="inlineStr">
        <is>
          <t>KODE: 3.10.2.5 - Pemasangan 1 m2 dinding homogeneous tile Unpolish uk. 40x40 cm (1SP : 2PP)</t>
        </is>
      </c>
    </row>
    <row r="3853">
      <c r="A3853" s="10" t="inlineStr">
        <is>
          <t>No</t>
        </is>
      </c>
      <c r="B3853" s="10" t="inlineStr">
        <is>
          <t>Uraian Komponen</t>
        </is>
      </c>
      <c r="C3853" s="10" t="inlineStr">
        <is>
          <t>Satuan</t>
        </is>
      </c>
      <c r="D3853" s="10" t="inlineStr">
        <is>
          <t>Koef</t>
        </is>
      </c>
      <c r="E3853" s="10" t="inlineStr">
        <is>
          <t>Harga Satuan (Rp)</t>
        </is>
      </c>
      <c r="F3853" s="10" t="inlineStr">
        <is>
          <t>Jumlah Harga (Rp)</t>
        </is>
      </c>
    </row>
    <row r="3854">
      <c r="A3854" s="3" t="inlineStr">
        <is>
          <t>1</t>
        </is>
      </c>
      <c r="B3854" s="3" t="inlineStr">
        <is>
          <t>Pekerja</t>
        </is>
      </c>
      <c r="C3854" s="3" t="inlineStr">
        <is>
          <t>OH</t>
        </is>
      </c>
      <c r="D3854" s="15" t="n">
        <v>0.9</v>
      </c>
      <c r="E3854" s="4" t="n">
        <v>100000</v>
      </c>
      <c r="F3854" s="4" t="n">
        <v>90000</v>
      </c>
    </row>
    <row r="3855">
      <c r="A3855" s="3" t="inlineStr">
        <is>
          <t>2</t>
        </is>
      </c>
      <c r="B3855" s="3" t="inlineStr">
        <is>
          <t>Tukang batu</t>
        </is>
      </c>
      <c r="C3855" s="3" t="inlineStr">
        <is>
          <t>OH</t>
        </is>
      </c>
      <c r="D3855" s="15" t="n">
        <v>0.45</v>
      </c>
      <c r="E3855" s="4" t="n">
        <v>145000</v>
      </c>
      <c r="F3855" s="4" t="n">
        <v>65250</v>
      </c>
    </row>
    <row r="3856">
      <c r="A3856" s="3" t="inlineStr">
        <is>
          <t>3</t>
        </is>
      </c>
      <c r="B3856" s="3" t="inlineStr">
        <is>
          <t>Kepala tukang</t>
        </is>
      </c>
      <c r="C3856" s="3" t="inlineStr">
        <is>
          <t>OH</t>
        </is>
      </c>
      <c r="D3856" s="15" t="n">
        <v>0.045</v>
      </c>
      <c r="E3856" s="4" t="n">
        <v>175000</v>
      </c>
      <c r="F3856" s="4" t="n">
        <v>7875</v>
      </c>
    </row>
    <row r="3857">
      <c r="A3857" s="3" t="inlineStr">
        <is>
          <t>4</t>
        </is>
      </c>
      <c r="B3857" s="3" t="inlineStr">
        <is>
          <t>Mandor</t>
        </is>
      </c>
      <c r="C3857" s="3" t="inlineStr">
        <is>
          <t>OH</t>
        </is>
      </c>
      <c r="D3857" s="15" t="n">
        <v>0.015</v>
      </c>
      <c r="E3857" s="4" t="n">
        <v>200000</v>
      </c>
      <c r="F3857" s="4" t="n">
        <v>3000</v>
      </c>
    </row>
    <row r="3858">
      <c r="A3858" s="3" t="inlineStr">
        <is>
          <t>1</t>
        </is>
      </c>
      <c r="B3858" s="3" t="inlineStr">
        <is>
          <t>Homogenous tile dinding 40x40 cm</t>
        </is>
      </c>
      <c r="C3858" s="3" t="inlineStr">
        <is>
          <t>buah</t>
        </is>
      </c>
      <c r="D3858" s="15" t="n">
        <v>6.56</v>
      </c>
      <c r="E3858" s="4" t="n">
        <v>30000</v>
      </c>
      <c r="F3858" s="4" t="n">
        <v>196800</v>
      </c>
    </row>
    <row r="3859">
      <c r="A3859" s="3" t="inlineStr">
        <is>
          <t>2</t>
        </is>
      </c>
      <c r="B3859" s="3" t="inlineStr">
        <is>
          <t>Semen portland (pc)</t>
        </is>
      </c>
      <c r="C3859" s="3" t="inlineStr">
        <is>
          <t>kg</t>
        </is>
      </c>
      <c r="D3859" s="15" t="n">
        <v>9.300000000000001</v>
      </c>
      <c r="E3859" s="4" t="n">
        <v>1300</v>
      </c>
      <c r="F3859" s="4" t="n">
        <v>12090</v>
      </c>
    </row>
    <row r="3860">
      <c r="A3860" s="3" t="inlineStr">
        <is>
          <t>4</t>
        </is>
      </c>
      <c r="B3860" s="3" t="inlineStr">
        <is>
          <t>Pasir pasang (quarry - lokasi pekerjaan)</t>
        </is>
      </c>
      <c r="C3860" s="3" t="inlineStr">
        <is>
          <t>m3</t>
        </is>
      </c>
      <c r="D3860" s="15" t="n">
        <v>0.018</v>
      </c>
      <c r="E3860" s="4" t="n">
        <v>275000</v>
      </c>
      <c r="F3860" s="4" t="n">
        <v>4950</v>
      </c>
    </row>
    <row r="3861">
      <c r="D3861" s="2" t="inlineStr">
        <is>
          <t>SUBTOTAL UPAH</t>
        </is>
      </c>
      <c r="F3861" s="16" t="n">
        <v>166125</v>
      </c>
    </row>
    <row r="3862">
      <c r="D3862" s="2" t="inlineStr">
        <is>
          <t>SUBTOTAL BAHAN</t>
        </is>
      </c>
      <c r="F3862" s="16" t="n">
        <v>213840</v>
      </c>
    </row>
    <row r="3863">
      <c r="D3863" s="2" t="inlineStr">
        <is>
          <t>SUBTOTAL ALAT</t>
        </is>
      </c>
      <c r="F3863" s="16" t="n">
        <v>0</v>
      </c>
    </row>
    <row r="3864">
      <c r="E3864" s="2" t="inlineStr">
        <is>
          <t>TOTAL HARGA SATUAN (Inc. Overhead)</t>
        </is>
      </c>
      <c r="F3864" s="17" t="n">
        <v>417961</v>
      </c>
    </row>
    <row r="3866">
      <c r="A3866" s="14" t="inlineStr">
        <is>
          <t>KODE: 3.10.2.6 - Pemasangan 1 m2 dinding homogeneous tile Unpolish uk. 60x60 cm (1SP : 2PP)</t>
        </is>
      </c>
    </row>
    <row r="3867">
      <c r="A3867" s="10" t="inlineStr">
        <is>
          <t>No</t>
        </is>
      </c>
      <c r="B3867" s="10" t="inlineStr">
        <is>
          <t>Uraian Komponen</t>
        </is>
      </c>
      <c r="C3867" s="10" t="inlineStr">
        <is>
          <t>Satuan</t>
        </is>
      </c>
      <c r="D3867" s="10" t="inlineStr">
        <is>
          <t>Koef</t>
        </is>
      </c>
      <c r="E3867" s="10" t="inlineStr">
        <is>
          <t>Harga Satuan (Rp)</t>
        </is>
      </c>
      <c r="F3867" s="10" t="inlineStr">
        <is>
          <t>Jumlah Harga (Rp)</t>
        </is>
      </c>
    </row>
    <row r="3868">
      <c r="A3868" s="3" t="inlineStr">
        <is>
          <t>1</t>
        </is>
      </c>
      <c r="B3868" s="3" t="inlineStr">
        <is>
          <t>Pekerja</t>
        </is>
      </c>
      <c r="C3868" s="3" t="inlineStr">
        <is>
          <t>OH</t>
        </is>
      </c>
      <c r="D3868" s="15" t="n">
        <v>0.4</v>
      </c>
      <c r="E3868" s="4" t="n">
        <v>100000</v>
      </c>
      <c r="F3868" s="4" t="n">
        <v>40000</v>
      </c>
    </row>
    <row r="3869">
      <c r="A3869" s="3" t="inlineStr">
        <is>
          <t>2</t>
        </is>
      </c>
      <c r="B3869" s="3" t="inlineStr">
        <is>
          <t>Tukang batu</t>
        </is>
      </c>
      <c r="C3869" s="3" t="inlineStr">
        <is>
          <t>OH</t>
        </is>
      </c>
      <c r="D3869" s="15" t="n">
        <v>0.2</v>
      </c>
      <c r="E3869" s="4" t="n">
        <v>145000</v>
      </c>
      <c r="F3869" s="4" t="n">
        <v>29000</v>
      </c>
    </row>
    <row r="3870">
      <c r="A3870" s="3" t="inlineStr">
        <is>
          <t>3</t>
        </is>
      </c>
      <c r="B3870" s="3" t="inlineStr">
        <is>
          <t>Kepala tukang</t>
        </is>
      </c>
      <c r="C3870" s="3" t="inlineStr">
        <is>
          <t>OH</t>
        </is>
      </c>
      <c r="D3870" s="15" t="n">
        <v>0.02</v>
      </c>
      <c r="E3870" s="4" t="n">
        <v>175000</v>
      </c>
      <c r="F3870" s="4" t="n">
        <v>3500</v>
      </c>
    </row>
    <row r="3871">
      <c r="A3871" s="3" t="inlineStr">
        <is>
          <t>4</t>
        </is>
      </c>
      <c r="B3871" s="3" t="inlineStr">
        <is>
          <t>Mandor</t>
        </is>
      </c>
      <c r="C3871" s="3" t="inlineStr">
        <is>
          <t>OH</t>
        </is>
      </c>
      <c r="D3871" s="15" t="n">
        <v>0.007</v>
      </c>
      <c r="E3871" s="4" t="n">
        <v>200000</v>
      </c>
      <c r="F3871" s="4" t="n">
        <v>1400</v>
      </c>
    </row>
    <row r="3872">
      <c r="A3872" s="3" t="inlineStr">
        <is>
          <t>1</t>
        </is>
      </c>
      <c r="B3872" s="3" t="inlineStr">
        <is>
          <t>Homogenous tile dinding 60x60 cm</t>
        </is>
      </c>
      <c r="C3872" s="3" t="inlineStr">
        <is>
          <t>buah</t>
        </is>
      </c>
      <c r="D3872" s="15" t="n">
        <v>2.92</v>
      </c>
      <c r="E3872" s="4" t="n">
        <v>35000</v>
      </c>
      <c r="F3872" s="4" t="n">
        <v>102200</v>
      </c>
    </row>
    <row r="3873">
      <c r="A3873" s="3" t="inlineStr">
        <is>
          <t>2</t>
        </is>
      </c>
      <c r="B3873" s="3" t="inlineStr">
        <is>
          <t>Semen portland (PC)</t>
        </is>
      </c>
      <c r="C3873" s="3" t="inlineStr">
        <is>
          <t>kg</t>
        </is>
      </c>
      <c r="D3873" s="15" t="n">
        <v>9.300000000000001</v>
      </c>
      <c r="E3873" s="4" t="n">
        <v>1300</v>
      </c>
      <c r="F3873" s="4" t="n">
        <v>12090</v>
      </c>
    </row>
    <row r="3874">
      <c r="A3874" s="3" t="inlineStr">
        <is>
          <t>4</t>
        </is>
      </c>
      <c r="B3874" s="3" t="inlineStr">
        <is>
          <t>Pasir pasang (quarry - lokasi pekerjaan)</t>
        </is>
      </c>
      <c r="C3874" s="3" t="inlineStr">
        <is>
          <t>m3</t>
        </is>
      </c>
      <c r="D3874" s="15" t="n">
        <v>0.018</v>
      </c>
      <c r="E3874" s="4" t="n">
        <v>275000</v>
      </c>
      <c r="F3874" s="4" t="n">
        <v>4950</v>
      </c>
    </row>
    <row r="3875">
      <c r="D3875" s="2" t="inlineStr">
        <is>
          <t>SUBTOTAL UPAH</t>
        </is>
      </c>
      <c r="F3875" s="16" t="n">
        <v>73900</v>
      </c>
    </row>
    <row r="3876">
      <c r="D3876" s="2" t="inlineStr">
        <is>
          <t>SUBTOTAL BAHAN</t>
        </is>
      </c>
      <c r="F3876" s="16" t="n">
        <v>119240</v>
      </c>
    </row>
    <row r="3877">
      <c r="D3877" s="2" t="inlineStr">
        <is>
          <t>SUBTOTAL ALAT</t>
        </is>
      </c>
      <c r="F3877" s="16" t="n">
        <v>0</v>
      </c>
    </row>
    <row r="3878">
      <c r="E3878" s="2" t="inlineStr">
        <is>
          <t>TOTAL HARGA SATUAN (Inc. Overhead)</t>
        </is>
      </c>
      <c r="F3878" s="17" t="n">
        <v>212454</v>
      </c>
    </row>
    <row r="3880">
      <c r="A3880" s="14" t="inlineStr">
        <is>
          <t>KODE: 3.10.3.1 - Pemasangan 1 m2 dinding porselen uk. 11x11 cm (1SP : 2PP)</t>
        </is>
      </c>
    </row>
    <row r="3881">
      <c r="A3881" s="10" t="inlineStr">
        <is>
          <t>No</t>
        </is>
      </c>
      <c r="B3881" s="10" t="inlineStr">
        <is>
          <t>Uraian Komponen</t>
        </is>
      </c>
      <c r="C3881" s="10" t="inlineStr">
        <is>
          <t>Satuan</t>
        </is>
      </c>
      <c r="D3881" s="10" t="inlineStr">
        <is>
          <t>Koef</t>
        </is>
      </c>
      <c r="E3881" s="10" t="inlineStr">
        <is>
          <t>Harga Satuan (Rp)</t>
        </is>
      </c>
      <c r="F3881" s="10" t="inlineStr">
        <is>
          <t>Jumlah Harga (Rp)</t>
        </is>
      </c>
    </row>
    <row r="3882">
      <c r="A3882" s="3" t="inlineStr">
        <is>
          <t>1</t>
        </is>
      </c>
      <c r="B3882" s="3" t="inlineStr">
        <is>
          <t>Pekerja</t>
        </is>
      </c>
      <c r="C3882" s="3" t="inlineStr">
        <is>
          <t>OH</t>
        </is>
      </c>
      <c r="D3882" s="15" t="n">
        <v>1</v>
      </c>
      <c r="E3882" s="4" t="n">
        <v>100000</v>
      </c>
      <c r="F3882" s="4" t="n">
        <v>100000</v>
      </c>
    </row>
    <row r="3883">
      <c r="A3883" s="3" t="inlineStr">
        <is>
          <t>2</t>
        </is>
      </c>
      <c r="B3883" s="3" t="inlineStr">
        <is>
          <t>Tukang batu</t>
        </is>
      </c>
      <c r="C3883" s="3" t="inlineStr">
        <is>
          <t>OH</t>
        </is>
      </c>
      <c r="D3883" s="15" t="n">
        <v>0.5</v>
      </c>
      <c r="E3883" s="4" t="n">
        <v>145000</v>
      </c>
      <c r="F3883" s="4" t="n">
        <v>72500</v>
      </c>
    </row>
    <row r="3884">
      <c r="A3884" s="3" t="inlineStr">
        <is>
          <t>3</t>
        </is>
      </c>
      <c r="B3884" s="3" t="inlineStr">
        <is>
          <t>Kepala tukang</t>
        </is>
      </c>
      <c r="C3884" s="3" t="inlineStr">
        <is>
          <t>OH</t>
        </is>
      </c>
      <c r="D3884" s="15" t="n">
        <v>0.05</v>
      </c>
      <c r="E3884" s="4" t="n">
        <v>175000</v>
      </c>
      <c r="F3884" s="4" t="n">
        <v>8750</v>
      </c>
    </row>
    <row r="3885">
      <c r="A3885" s="3" t="inlineStr">
        <is>
          <t>4</t>
        </is>
      </c>
      <c r="B3885" s="3" t="inlineStr">
        <is>
          <t>Mandor</t>
        </is>
      </c>
      <c r="C3885" s="3" t="inlineStr">
        <is>
          <t>OH</t>
        </is>
      </c>
      <c r="D3885" s="15" t="n">
        <v>0.0167</v>
      </c>
      <c r="E3885" s="4" t="n">
        <v>200000</v>
      </c>
      <c r="F3885" s="4" t="n">
        <v>3340</v>
      </c>
    </row>
    <row r="3886">
      <c r="A3886" s="3" t="inlineStr">
        <is>
          <t>1</t>
        </is>
      </c>
      <c r="B3886" s="3" t="inlineStr">
        <is>
          <t>Porselen 11x11 cm (dus)</t>
        </is>
      </c>
      <c r="C3886" s="3" t="inlineStr">
        <is>
          <t>dus</t>
        </is>
      </c>
      <c r="D3886" s="15" t="n">
        <v>1.05</v>
      </c>
      <c r="E3886" s="4" t="n">
        <v>83000</v>
      </c>
      <c r="F3886" s="4" t="n">
        <v>87150</v>
      </c>
    </row>
    <row r="3887">
      <c r="A3887" s="3" t="inlineStr">
        <is>
          <t>2</t>
        </is>
      </c>
      <c r="B3887" s="3" t="inlineStr">
        <is>
          <t>Semen portland (PC)</t>
        </is>
      </c>
      <c r="C3887" s="3" t="inlineStr">
        <is>
          <t>kg</t>
        </is>
      </c>
      <c r="D3887" s="15" t="n">
        <v>9.300000000000001</v>
      </c>
      <c r="E3887" s="4" t="n">
        <v>1300</v>
      </c>
      <c r="F3887" s="4" t="n">
        <v>12090</v>
      </c>
    </row>
    <row r="3888">
      <c r="A3888" s="3" t="inlineStr">
        <is>
          <t>3</t>
        </is>
      </c>
      <c r="B3888" s="3" t="inlineStr">
        <is>
          <t>Semen warna</t>
        </is>
      </c>
      <c r="C3888" s="3" t="inlineStr">
        <is>
          <t>kg</t>
        </is>
      </c>
      <c r="D3888" s="15" t="n">
        <v>0.5</v>
      </c>
      <c r="E3888" s="4" t="n">
        <v>7800</v>
      </c>
      <c r="F3888" s="4" t="n">
        <v>3900</v>
      </c>
    </row>
    <row r="3889">
      <c r="A3889" s="3" t="inlineStr">
        <is>
          <t>4</t>
        </is>
      </c>
      <c r="B3889" s="3" t="inlineStr">
        <is>
          <t>Pasir pasang (quarry - lokasi pekerjaan)</t>
        </is>
      </c>
      <c r="C3889" s="3" t="inlineStr">
        <is>
          <t>m3</t>
        </is>
      </c>
      <c r="D3889" s="15" t="n">
        <v>0.018</v>
      </c>
      <c r="E3889" s="4" t="n">
        <v>275000</v>
      </c>
      <c r="F3889" s="4" t="n">
        <v>4950</v>
      </c>
    </row>
    <row r="3890">
      <c r="D3890" s="2" t="inlineStr">
        <is>
          <t>SUBTOTAL UPAH</t>
        </is>
      </c>
      <c r="F3890" s="16" t="n">
        <v>184590</v>
      </c>
    </row>
    <row r="3891">
      <c r="D3891" s="2" t="inlineStr">
        <is>
          <t>SUBTOTAL BAHAN</t>
        </is>
      </c>
      <c r="F3891" s="16" t="n">
        <v>108090</v>
      </c>
    </row>
    <row r="3892">
      <c r="D3892" s="2" t="inlineStr">
        <is>
          <t>SUBTOTAL ALAT</t>
        </is>
      </c>
      <c r="F3892" s="16" t="n">
        <v>0</v>
      </c>
    </row>
    <row r="3893">
      <c r="E3893" s="2" t="inlineStr">
        <is>
          <t>TOTAL HARGA SATUAN (Inc. Overhead)</t>
        </is>
      </c>
      <c r="F3893" s="17" t="n">
        <v>321948</v>
      </c>
    </row>
    <row r="3895">
      <c r="A3895" s="14" t="inlineStr">
        <is>
          <t>KODE: 3.10.3.2 - Pemasangan 1 m2 dinding porselen uk. 10x20 cm (1SP : 2PP)</t>
        </is>
      </c>
    </row>
    <row r="3896">
      <c r="A3896" s="10" t="inlineStr">
        <is>
          <t>No</t>
        </is>
      </c>
      <c r="B3896" s="10" t="inlineStr">
        <is>
          <t>Uraian Komponen</t>
        </is>
      </c>
      <c r="C3896" s="10" t="inlineStr">
        <is>
          <t>Satuan</t>
        </is>
      </c>
      <c r="D3896" s="10" t="inlineStr">
        <is>
          <t>Koef</t>
        </is>
      </c>
      <c r="E3896" s="10" t="inlineStr">
        <is>
          <t>Harga Satuan (Rp)</t>
        </is>
      </c>
      <c r="F3896" s="10" t="inlineStr">
        <is>
          <t>Jumlah Harga (Rp)</t>
        </is>
      </c>
    </row>
    <row r="3897">
      <c r="A3897" s="3" t="inlineStr">
        <is>
          <t>1</t>
        </is>
      </c>
      <c r="B3897" s="3" t="inlineStr">
        <is>
          <t>Pekerja</t>
        </is>
      </c>
      <c r="C3897" s="3" t="inlineStr">
        <is>
          <t>OH</t>
        </is>
      </c>
      <c r="D3897" s="15" t="n">
        <v>0.9</v>
      </c>
      <c r="E3897" s="4" t="n">
        <v>100000</v>
      </c>
      <c r="F3897" s="4" t="n">
        <v>90000</v>
      </c>
    </row>
    <row r="3898">
      <c r="A3898" s="3" t="inlineStr">
        <is>
          <t>2</t>
        </is>
      </c>
      <c r="B3898" s="3" t="inlineStr">
        <is>
          <t>Tukang batu</t>
        </is>
      </c>
      <c r="C3898" s="3" t="inlineStr">
        <is>
          <t>OH</t>
        </is>
      </c>
      <c r="D3898" s="15" t="n">
        <v>0.45</v>
      </c>
      <c r="E3898" s="4" t="n">
        <v>145000</v>
      </c>
      <c r="F3898" s="4" t="n">
        <v>65250</v>
      </c>
    </row>
    <row r="3899">
      <c r="A3899" s="3" t="inlineStr">
        <is>
          <t>3</t>
        </is>
      </c>
      <c r="B3899" s="3" t="inlineStr">
        <is>
          <t>Kepala tukang</t>
        </is>
      </c>
      <c r="C3899" s="3" t="inlineStr">
        <is>
          <t>OH</t>
        </is>
      </c>
      <c r="D3899" s="15" t="n">
        <v>0.045</v>
      </c>
      <c r="E3899" s="4" t="n">
        <v>175000</v>
      </c>
      <c r="F3899" s="4" t="n">
        <v>7875</v>
      </c>
    </row>
    <row r="3900">
      <c r="A3900" s="3" t="inlineStr">
        <is>
          <t>4</t>
        </is>
      </c>
      <c r="B3900" s="3" t="inlineStr">
        <is>
          <t>Mandor</t>
        </is>
      </c>
      <c r="C3900" s="3" t="inlineStr">
        <is>
          <t>OH</t>
        </is>
      </c>
      <c r="D3900" s="15" t="n">
        <v>0.015</v>
      </c>
      <c r="E3900" s="4" t="n">
        <v>200000</v>
      </c>
      <c r="F3900" s="4" t="n">
        <v>3000</v>
      </c>
    </row>
    <row r="3901">
      <c r="A3901" s="3" t="inlineStr">
        <is>
          <t>1</t>
        </is>
      </c>
      <c r="B3901" s="3" t="inlineStr">
        <is>
          <t>Porselen 10x20 cm</t>
        </is>
      </c>
      <c r="C3901" s="3" t="inlineStr">
        <is>
          <t>buah</t>
        </is>
      </c>
      <c r="D3901" s="15" t="n">
        <v>53</v>
      </c>
      <c r="E3901" s="4" t="n">
        <v>2000</v>
      </c>
      <c r="F3901" s="4" t="n">
        <v>106000</v>
      </c>
    </row>
    <row r="3902">
      <c r="A3902" s="3" t="inlineStr">
        <is>
          <t>2</t>
        </is>
      </c>
      <c r="B3902" s="3" t="inlineStr">
        <is>
          <t>Semen portland (PC)</t>
        </is>
      </c>
      <c r="C3902" s="3" t="inlineStr">
        <is>
          <t>kg</t>
        </is>
      </c>
      <c r="D3902" s="15" t="n">
        <v>9.300000000000001</v>
      </c>
      <c r="E3902" s="4" t="n">
        <v>1300</v>
      </c>
      <c r="F3902" s="4" t="n">
        <v>12090</v>
      </c>
    </row>
    <row r="3903">
      <c r="A3903" s="3" t="inlineStr">
        <is>
          <t>3</t>
        </is>
      </c>
      <c r="B3903" s="3" t="inlineStr">
        <is>
          <t>Semen warna</t>
        </is>
      </c>
      <c r="C3903" s="3" t="inlineStr">
        <is>
          <t>kg</t>
        </is>
      </c>
      <c r="D3903" s="15" t="n">
        <v>2.75</v>
      </c>
      <c r="E3903" s="4" t="n">
        <v>7800</v>
      </c>
      <c r="F3903" s="4" t="n">
        <v>21450</v>
      </c>
    </row>
    <row r="3904">
      <c r="A3904" s="3" t="inlineStr">
        <is>
          <t>4</t>
        </is>
      </c>
      <c r="B3904" s="3" t="inlineStr">
        <is>
          <t>Pasir pasang (quarry - lokasi pekerjaan)</t>
        </is>
      </c>
      <c r="C3904" s="3" t="inlineStr">
        <is>
          <t>m3</t>
        </is>
      </c>
      <c r="D3904" s="15" t="n">
        <v>0.018</v>
      </c>
      <c r="E3904" s="4" t="n">
        <v>275000</v>
      </c>
      <c r="F3904" s="4" t="n">
        <v>4950</v>
      </c>
    </row>
    <row r="3905">
      <c r="D3905" s="2" t="inlineStr">
        <is>
          <t>SUBTOTAL UPAH</t>
        </is>
      </c>
      <c r="F3905" s="16" t="n">
        <v>166125</v>
      </c>
    </row>
    <row r="3906">
      <c r="D3906" s="2" t="inlineStr">
        <is>
          <t>SUBTOTAL BAHAN</t>
        </is>
      </c>
      <c r="F3906" s="16" t="n">
        <v>144490</v>
      </c>
    </row>
    <row r="3907">
      <c r="D3907" s="2" t="inlineStr">
        <is>
          <t>SUBTOTAL ALAT</t>
        </is>
      </c>
      <c r="F3907" s="16" t="n">
        <v>0</v>
      </c>
    </row>
    <row r="3908">
      <c r="E3908" s="2" t="inlineStr">
        <is>
          <t>TOTAL HARGA SATUAN (Inc. Overhead)</t>
        </is>
      </c>
      <c r="F3908" s="17" t="n">
        <v>341676</v>
      </c>
    </row>
    <row r="3910">
      <c r="A3910" s="14" t="inlineStr">
        <is>
          <t>KODE: 3.10.3.3 - Pemasangan 1 m2 dinding porselen uk. 20x20 cm (1SP : 2PP)</t>
        </is>
      </c>
    </row>
    <row r="3911">
      <c r="A3911" s="10" t="inlineStr">
        <is>
          <t>No</t>
        </is>
      </c>
      <c r="B3911" s="10" t="inlineStr">
        <is>
          <t>Uraian Komponen</t>
        </is>
      </c>
      <c r="C3911" s="10" t="inlineStr">
        <is>
          <t>Satuan</t>
        </is>
      </c>
      <c r="D3911" s="10" t="inlineStr">
        <is>
          <t>Koef</t>
        </is>
      </c>
      <c r="E3911" s="10" t="inlineStr">
        <is>
          <t>Harga Satuan (Rp)</t>
        </is>
      </c>
      <c r="F3911" s="10" t="inlineStr">
        <is>
          <t>Jumlah Harga (Rp)</t>
        </is>
      </c>
    </row>
    <row r="3912">
      <c r="A3912" s="3" t="inlineStr">
        <is>
          <t>1</t>
        </is>
      </c>
      <c r="B3912" s="3" t="inlineStr">
        <is>
          <t>Pekerja</t>
        </is>
      </c>
      <c r="C3912" s="3" t="inlineStr">
        <is>
          <t>OH</t>
        </is>
      </c>
      <c r="D3912" s="15" t="n">
        <v>0.25</v>
      </c>
      <c r="E3912" s="4" t="n">
        <v>100000</v>
      </c>
      <c r="F3912" s="4" t="n">
        <v>25000</v>
      </c>
    </row>
    <row r="3913">
      <c r="A3913" s="3" t="inlineStr">
        <is>
          <t>2</t>
        </is>
      </c>
      <c r="B3913" s="3" t="inlineStr">
        <is>
          <t>Tukang batu</t>
        </is>
      </c>
      <c r="C3913" s="3" t="inlineStr">
        <is>
          <t>OH</t>
        </is>
      </c>
      <c r="D3913" s="15" t="n">
        <v>0.125</v>
      </c>
      <c r="E3913" s="4" t="n">
        <v>145000</v>
      </c>
      <c r="F3913" s="4" t="n">
        <v>18125</v>
      </c>
    </row>
    <row r="3914">
      <c r="A3914" s="3" t="inlineStr">
        <is>
          <t>3</t>
        </is>
      </c>
      <c r="B3914" s="3" t="inlineStr">
        <is>
          <t>Kepala tukang</t>
        </is>
      </c>
      <c r="C3914" s="3" t="inlineStr">
        <is>
          <t>OH</t>
        </is>
      </c>
      <c r="D3914" s="15" t="n">
        <v>0.0125</v>
      </c>
      <c r="E3914" s="4" t="n">
        <v>175000</v>
      </c>
      <c r="F3914" s="4" t="n">
        <v>2187.5</v>
      </c>
    </row>
    <row r="3915">
      <c r="A3915" s="3" t="inlineStr">
        <is>
          <t>4</t>
        </is>
      </c>
      <c r="B3915" s="3" t="inlineStr">
        <is>
          <t>Mandor</t>
        </is>
      </c>
      <c r="C3915" s="3" t="inlineStr">
        <is>
          <t>OH</t>
        </is>
      </c>
      <c r="D3915" s="15" t="n">
        <v>0.0042</v>
      </c>
      <c r="E3915" s="4" t="n">
        <v>200000</v>
      </c>
      <c r="F3915" s="4" t="n">
        <v>840</v>
      </c>
    </row>
    <row r="3916">
      <c r="A3916" s="3" t="inlineStr">
        <is>
          <t>1</t>
        </is>
      </c>
      <c r="B3916" s="3" t="inlineStr">
        <is>
          <t>Porselen 20x20 cm</t>
        </is>
      </c>
      <c r="C3916" s="3" t="inlineStr">
        <is>
          <t>buah</t>
        </is>
      </c>
      <c r="D3916" s="15" t="n">
        <v>26.25</v>
      </c>
      <c r="E3916" s="4" t="n">
        <v>4000</v>
      </c>
      <c r="F3916" s="4" t="n">
        <v>105000</v>
      </c>
    </row>
    <row r="3917">
      <c r="A3917" s="3" t="inlineStr">
        <is>
          <t>2</t>
        </is>
      </c>
      <c r="B3917" s="3" t="inlineStr">
        <is>
          <t>Semen portland (PC)</t>
        </is>
      </c>
      <c r="C3917" s="3" t="inlineStr">
        <is>
          <t>kg</t>
        </is>
      </c>
      <c r="D3917" s="15" t="n">
        <v>9.300000000000001</v>
      </c>
      <c r="E3917" s="4" t="n">
        <v>1300</v>
      </c>
      <c r="F3917" s="4" t="n">
        <v>12090</v>
      </c>
    </row>
    <row r="3918">
      <c r="A3918" s="3" t="inlineStr">
        <is>
          <t>3</t>
        </is>
      </c>
      <c r="B3918" s="3" t="inlineStr">
        <is>
          <t>Semen warna</t>
        </is>
      </c>
      <c r="C3918" s="3" t="inlineStr">
        <is>
          <t>kg</t>
        </is>
      </c>
      <c r="D3918" s="15" t="n">
        <v>1.94</v>
      </c>
      <c r="E3918" s="4" t="n">
        <v>7800</v>
      </c>
      <c r="F3918" s="4" t="n">
        <v>15132</v>
      </c>
    </row>
    <row r="3919">
      <c r="A3919" s="3" t="inlineStr">
        <is>
          <t>4</t>
        </is>
      </c>
      <c r="B3919" s="3" t="inlineStr">
        <is>
          <t>Pasir pasang (quarry - lokasi pekerjaan)</t>
        </is>
      </c>
      <c r="C3919" s="3" t="inlineStr">
        <is>
          <t>m3</t>
        </is>
      </c>
      <c r="D3919" s="15" t="n">
        <v>0.018</v>
      </c>
      <c r="E3919" s="4" t="n">
        <v>275000</v>
      </c>
      <c r="F3919" s="4" t="n">
        <v>4950</v>
      </c>
    </row>
    <row r="3920">
      <c r="D3920" s="2" t="inlineStr">
        <is>
          <t>SUBTOTAL UPAH</t>
        </is>
      </c>
      <c r="F3920" s="16" t="n">
        <v>46152.5</v>
      </c>
    </row>
    <row r="3921">
      <c r="D3921" s="2" t="inlineStr">
        <is>
          <t>SUBTOTAL BAHAN</t>
        </is>
      </c>
      <c r="F3921" s="16" t="n">
        <v>137172</v>
      </c>
    </row>
    <row r="3922">
      <c r="D3922" s="2" t="inlineStr">
        <is>
          <t>SUBTOTAL ALAT</t>
        </is>
      </c>
      <c r="F3922" s="16" t="n">
        <v>0</v>
      </c>
    </row>
    <row r="3923">
      <c r="E3923" s="2" t="inlineStr">
        <is>
          <t>TOTAL HARGA SATUAN (Inc. Overhead)</t>
        </is>
      </c>
      <c r="F3923" s="17" t="n">
        <v>201656</v>
      </c>
    </row>
    <row r="3925">
      <c r="A3925" s="14" t="inlineStr">
        <is>
          <t>KODE: 3.10.4.1 - Pemasangan 1 m2 dinding bata pelapis uk. 3x7x24 cm</t>
        </is>
      </c>
    </row>
    <row r="3926">
      <c r="A3926" s="10" t="inlineStr">
        <is>
          <t>No</t>
        </is>
      </c>
      <c r="B3926" s="10" t="inlineStr">
        <is>
          <t>Uraian Komponen</t>
        </is>
      </c>
      <c r="C3926" s="10" t="inlineStr">
        <is>
          <t>Satuan</t>
        </is>
      </c>
      <c r="D3926" s="10" t="inlineStr">
        <is>
          <t>Koef</t>
        </is>
      </c>
      <c r="E3926" s="10" t="inlineStr">
        <is>
          <t>Harga Satuan (Rp)</t>
        </is>
      </c>
      <c r="F3926" s="10" t="inlineStr">
        <is>
          <t>Jumlah Harga (Rp)</t>
        </is>
      </c>
    </row>
    <row r="3927">
      <c r="A3927" s="3" t="inlineStr">
        <is>
          <t>1</t>
        </is>
      </c>
      <c r="B3927" s="3" t="inlineStr">
        <is>
          <t>Pekerja</t>
        </is>
      </c>
      <c r="C3927" s="3" t="inlineStr">
        <is>
          <t>OH</t>
        </is>
      </c>
      <c r="D3927" s="15" t="n">
        <v>1</v>
      </c>
      <c r="E3927" s="4" t="n">
        <v>100000</v>
      </c>
      <c r="F3927" s="4" t="n">
        <v>100000</v>
      </c>
    </row>
    <row r="3928">
      <c r="A3928" s="3" t="inlineStr">
        <is>
          <t>2</t>
        </is>
      </c>
      <c r="B3928" s="3" t="inlineStr">
        <is>
          <t>Tukang batu</t>
        </is>
      </c>
      <c r="C3928" s="3" t="inlineStr">
        <is>
          <t>OH</t>
        </is>
      </c>
      <c r="D3928" s="15" t="n">
        <v>0.5</v>
      </c>
      <c r="E3928" s="4" t="n">
        <v>145000</v>
      </c>
      <c r="F3928" s="4" t="n">
        <v>72500</v>
      </c>
    </row>
    <row r="3929">
      <c r="A3929" s="3" t="inlineStr">
        <is>
          <t>3</t>
        </is>
      </c>
      <c r="B3929" s="3" t="inlineStr">
        <is>
          <t>Kepala tukang</t>
        </is>
      </c>
      <c r="C3929" s="3" t="inlineStr">
        <is>
          <t>OH</t>
        </is>
      </c>
      <c r="D3929" s="15" t="n">
        <v>0.05</v>
      </c>
      <c r="E3929" s="4" t="n">
        <v>175000</v>
      </c>
      <c r="F3929" s="4" t="n">
        <v>8750</v>
      </c>
    </row>
    <row r="3930">
      <c r="A3930" s="3" t="inlineStr">
        <is>
          <t>4</t>
        </is>
      </c>
      <c r="B3930" s="3" t="inlineStr">
        <is>
          <t>Mandor</t>
        </is>
      </c>
      <c r="C3930" s="3" t="inlineStr">
        <is>
          <t>OH</t>
        </is>
      </c>
      <c r="D3930" s="15" t="n">
        <v>0.017</v>
      </c>
      <c r="E3930" s="4" t="n">
        <v>200000</v>
      </c>
      <c r="F3930" s="4" t="n">
        <v>3400</v>
      </c>
    </row>
    <row r="3931">
      <c r="A3931" s="3" t="inlineStr">
        <is>
          <t>1</t>
        </is>
      </c>
      <c r="B3931" s="3" t="inlineStr">
        <is>
          <t>Bata tempel</t>
        </is>
      </c>
      <c r="C3931" s="3" t="inlineStr">
        <is>
          <t>buah</t>
        </is>
      </c>
      <c r="D3931" s="15" t="n">
        <v>63</v>
      </c>
      <c r="E3931" s="4" t="n">
        <v>2500</v>
      </c>
      <c r="F3931" s="4" t="n">
        <v>157500</v>
      </c>
    </row>
    <row r="3932">
      <c r="A3932" s="3" t="inlineStr">
        <is>
          <t>2</t>
        </is>
      </c>
      <c r="B3932" s="3" t="inlineStr">
        <is>
          <t>Semen portland (PC)</t>
        </is>
      </c>
      <c r="C3932" s="3" t="inlineStr">
        <is>
          <t>kg</t>
        </is>
      </c>
      <c r="D3932" s="15" t="n">
        <v>12.44</v>
      </c>
      <c r="E3932" s="4" t="n">
        <v>1300</v>
      </c>
      <c r="F3932" s="4" t="n">
        <v>16172</v>
      </c>
    </row>
    <row r="3933">
      <c r="A3933" s="3" t="inlineStr">
        <is>
          <t>3</t>
        </is>
      </c>
      <c r="B3933" s="3" t="inlineStr">
        <is>
          <t>Semen warna</t>
        </is>
      </c>
      <c r="C3933" s="3" t="inlineStr">
        <is>
          <t>kg</t>
        </is>
      </c>
      <c r="D3933" s="15" t="n">
        <v>2.75</v>
      </c>
      <c r="E3933" s="4" t="n">
        <v>7800</v>
      </c>
      <c r="F3933" s="4" t="n">
        <v>21450</v>
      </c>
    </row>
    <row r="3934">
      <c r="A3934" s="3" t="inlineStr">
        <is>
          <t>4</t>
        </is>
      </c>
      <c r="B3934" s="3" t="inlineStr">
        <is>
          <t>Pasir pasang (quarry - lokasi pekerjaan)</t>
        </is>
      </c>
      <c r="C3934" s="3" t="inlineStr">
        <is>
          <t>m3</t>
        </is>
      </c>
      <c r="D3934" s="15" t="n">
        <v>0.025</v>
      </c>
      <c r="E3934" s="4" t="n">
        <v>275000</v>
      </c>
      <c r="F3934" s="4" t="n">
        <v>6875</v>
      </c>
    </row>
    <row r="3935">
      <c r="D3935" s="2" t="inlineStr">
        <is>
          <t>SUBTOTAL UPAH</t>
        </is>
      </c>
      <c r="F3935" s="16" t="n">
        <v>184650</v>
      </c>
    </row>
    <row r="3936">
      <c r="D3936" s="2" t="inlineStr">
        <is>
          <t>SUBTOTAL BAHAN</t>
        </is>
      </c>
      <c r="F3936" s="16" t="n">
        <v>201997</v>
      </c>
    </row>
    <row r="3937">
      <c r="D3937" s="2" t="inlineStr">
        <is>
          <t>SUBTOTAL ALAT</t>
        </is>
      </c>
      <c r="F3937" s="16" t="n">
        <v>0</v>
      </c>
    </row>
    <row r="3938">
      <c r="E3938" s="2" t="inlineStr">
        <is>
          <t>TOTAL HARGA SATUAN (Inc. Overhead)</t>
        </is>
      </c>
      <c r="F3938" s="17" t="n">
        <v>425311</v>
      </c>
    </row>
    <row r="3940">
      <c r="A3940" s="14" t="inlineStr">
        <is>
          <t>KODE: 3.10.4.2 - Pemasangan 1 m2 dinding batu paras</t>
        </is>
      </c>
    </row>
    <row r="3941">
      <c r="A3941" s="10" t="inlineStr">
        <is>
          <t>No</t>
        </is>
      </c>
      <c r="B3941" s="10" t="inlineStr">
        <is>
          <t>Uraian Komponen</t>
        </is>
      </c>
      <c r="C3941" s="10" t="inlineStr">
        <is>
          <t>Satuan</t>
        </is>
      </c>
      <c r="D3941" s="10" t="inlineStr">
        <is>
          <t>Koef</t>
        </is>
      </c>
      <c r="E3941" s="10" t="inlineStr">
        <is>
          <t>Harga Satuan (Rp)</t>
        </is>
      </c>
      <c r="F3941" s="10" t="inlineStr">
        <is>
          <t>Jumlah Harga (Rp)</t>
        </is>
      </c>
    </row>
    <row r="3942">
      <c r="A3942" s="3" t="inlineStr">
        <is>
          <t>1</t>
        </is>
      </c>
      <c r="B3942" s="3" t="inlineStr">
        <is>
          <t>Pekerja</t>
        </is>
      </c>
      <c r="C3942" s="3" t="inlineStr">
        <is>
          <t>OH</t>
        </is>
      </c>
      <c r="D3942" s="15" t="n">
        <v>0.7</v>
      </c>
      <c r="E3942" s="4" t="n">
        <v>100000</v>
      </c>
      <c r="F3942" s="4" t="n">
        <v>70000</v>
      </c>
    </row>
    <row r="3943">
      <c r="A3943" s="3" t="inlineStr">
        <is>
          <t>2</t>
        </is>
      </c>
      <c r="B3943" s="3" t="inlineStr">
        <is>
          <t>Tukang batu</t>
        </is>
      </c>
      <c r="C3943" s="3" t="inlineStr">
        <is>
          <t>OH</t>
        </is>
      </c>
      <c r="D3943" s="15" t="n">
        <v>0.35</v>
      </c>
      <c r="E3943" s="4" t="n">
        <v>145000</v>
      </c>
      <c r="F3943" s="4" t="n">
        <v>50750</v>
      </c>
    </row>
    <row r="3944">
      <c r="A3944" s="3" t="inlineStr">
        <is>
          <t>3</t>
        </is>
      </c>
      <c r="B3944" s="3" t="inlineStr">
        <is>
          <t>Kepala tukang</t>
        </is>
      </c>
      <c r="C3944" s="3" t="inlineStr">
        <is>
          <t>OH</t>
        </is>
      </c>
      <c r="D3944" s="15" t="n">
        <v>0.035</v>
      </c>
      <c r="E3944" s="4" t="n">
        <v>175000</v>
      </c>
      <c r="F3944" s="4" t="n">
        <v>6125.000000000001</v>
      </c>
    </row>
    <row r="3945">
      <c r="A3945" s="3" t="inlineStr">
        <is>
          <t>4</t>
        </is>
      </c>
      <c r="B3945" s="3" t="inlineStr">
        <is>
          <t>Mandor</t>
        </is>
      </c>
      <c r="C3945" s="3" t="inlineStr">
        <is>
          <t>OH</t>
        </is>
      </c>
      <c r="D3945" s="15" t="n">
        <v>0.012</v>
      </c>
      <c r="E3945" s="4" t="n">
        <v>200000</v>
      </c>
      <c r="F3945" s="4" t="n">
        <v>2400</v>
      </c>
    </row>
    <row r="3946">
      <c r="A3946" s="3" t="inlineStr">
        <is>
          <t>1</t>
        </is>
      </c>
      <c r="B3946" s="3" t="inlineStr">
        <is>
          <t>Batu paras</t>
        </is>
      </c>
      <c r="C3946" s="3" t="inlineStr">
        <is>
          <t>m2</t>
        </is>
      </c>
      <c r="D3946" s="15" t="n">
        <v>1.1</v>
      </c>
      <c r="E3946" s="4" t="n">
        <v>125000</v>
      </c>
      <c r="F3946" s="4" t="n">
        <v>137500</v>
      </c>
    </row>
    <row r="3947">
      <c r="A3947" s="3" t="inlineStr">
        <is>
          <t>2</t>
        </is>
      </c>
      <c r="B3947" s="3" t="inlineStr">
        <is>
          <t>Semen portland (PC)</t>
        </is>
      </c>
      <c r="C3947" s="3" t="inlineStr">
        <is>
          <t>kg</t>
        </is>
      </c>
      <c r="D3947" s="15" t="n">
        <v>11.75</v>
      </c>
      <c r="E3947" s="4" t="n">
        <v>1300</v>
      </c>
      <c r="F3947" s="4" t="n">
        <v>15275</v>
      </c>
    </row>
    <row r="3948">
      <c r="A3948" s="3" t="inlineStr">
        <is>
          <t>3</t>
        </is>
      </c>
      <c r="B3948" s="3" t="inlineStr">
        <is>
          <t>Pasir pasang (quarry - lokasi pekerjaan)</t>
        </is>
      </c>
      <c r="C3948" s="3" t="inlineStr">
        <is>
          <t>m3</t>
        </is>
      </c>
      <c r="D3948" s="15" t="n">
        <v>0.035</v>
      </c>
      <c r="E3948" s="4" t="n">
        <v>275000</v>
      </c>
      <c r="F3948" s="4" t="n">
        <v>9625.000000000002</v>
      </c>
    </row>
    <row r="3949">
      <c r="D3949" s="2" t="inlineStr">
        <is>
          <t>SUBTOTAL UPAH</t>
        </is>
      </c>
      <c r="F3949" s="16" t="n">
        <v>129275</v>
      </c>
    </row>
    <row r="3950">
      <c r="D3950" s="2" t="inlineStr">
        <is>
          <t>SUBTOTAL BAHAN</t>
        </is>
      </c>
      <c r="F3950" s="16" t="n">
        <v>162400</v>
      </c>
    </row>
    <row r="3951">
      <c r="D3951" s="2" t="inlineStr">
        <is>
          <t>SUBTOTAL ALAT</t>
        </is>
      </c>
      <c r="F3951" s="16" t="n">
        <v>0</v>
      </c>
    </row>
    <row r="3952">
      <c r="E3952" s="2" t="inlineStr">
        <is>
          <t>TOTAL HARGA SATUAN (Inc. Overhead)</t>
        </is>
      </c>
      <c r="F3952" s="17" t="n">
        <v>320842</v>
      </c>
    </row>
    <row r="3954">
      <c r="A3954" s="14" t="inlineStr">
        <is>
          <t>KODE: 3.10.4.3 - Pemasangan 1 m2 dinding batu tempel hitam</t>
        </is>
      </c>
    </row>
    <row r="3955">
      <c r="A3955" s="10" t="inlineStr">
        <is>
          <t>No</t>
        </is>
      </c>
      <c r="B3955" s="10" t="inlineStr">
        <is>
          <t>Uraian Komponen</t>
        </is>
      </c>
      <c r="C3955" s="10" t="inlineStr">
        <is>
          <t>Satuan</t>
        </is>
      </c>
      <c r="D3955" s="10" t="inlineStr">
        <is>
          <t>Koef</t>
        </is>
      </c>
      <c r="E3955" s="10" t="inlineStr">
        <is>
          <t>Harga Satuan (Rp)</t>
        </is>
      </c>
      <c r="F3955" s="10" t="inlineStr">
        <is>
          <t>Jumlah Harga (Rp)</t>
        </is>
      </c>
    </row>
    <row r="3956">
      <c r="A3956" s="3" t="inlineStr">
        <is>
          <t>1</t>
        </is>
      </c>
      <c r="B3956" s="3" t="inlineStr">
        <is>
          <t>Pekerja</t>
        </is>
      </c>
      <c r="C3956" s="3" t="inlineStr">
        <is>
          <t>OH</t>
        </is>
      </c>
      <c r="D3956" s="15" t="n">
        <v>0.7</v>
      </c>
      <c r="E3956" s="4" t="n">
        <v>100000</v>
      </c>
      <c r="F3956" s="4" t="n">
        <v>70000</v>
      </c>
    </row>
    <row r="3957">
      <c r="A3957" s="3" t="inlineStr">
        <is>
          <t>2</t>
        </is>
      </c>
      <c r="B3957" s="3" t="inlineStr">
        <is>
          <t>Tukang batu</t>
        </is>
      </c>
      <c r="C3957" s="3" t="inlineStr">
        <is>
          <t>OH</t>
        </is>
      </c>
      <c r="D3957" s="15" t="n">
        <v>0.35</v>
      </c>
      <c r="E3957" s="4" t="n">
        <v>145000</v>
      </c>
      <c r="F3957" s="4" t="n">
        <v>50750</v>
      </c>
    </row>
    <row r="3958">
      <c r="A3958" s="3" t="inlineStr">
        <is>
          <t>3</t>
        </is>
      </c>
      <c r="B3958" s="3" t="inlineStr">
        <is>
          <t>Kepala tukang</t>
        </is>
      </c>
      <c r="C3958" s="3" t="inlineStr">
        <is>
          <t>OH</t>
        </is>
      </c>
      <c r="D3958" s="15" t="n">
        <v>0.035</v>
      </c>
      <c r="E3958" s="4" t="n">
        <v>175000</v>
      </c>
      <c r="F3958" s="4" t="n">
        <v>6125.000000000001</v>
      </c>
    </row>
    <row r="3959">
      <c r="A3959" s="3" t="inlineStr">
        <is>
          <t>4</t>
        </is>
      </c>
      <c r="B3959" s="3" t="inlineStr">
        <is>
          <t>Mandor</t>
        </is>
      </c>
      <c r="C3959" s="3" t="inlineStr">
        <is>
          <t>OH</t>
        </is>
      </c>
      <c r="D3959" s="15" t="n">
        <v>0.012</v>
      </c>
      <c r="E3959" s="4" t="n">
        <v>200000</v>
      </c>
      <c r="F3959" s="4" t="n">
        <v>2400</v>
      </c>
    </row>
    <row r="3960">
      <c r="A3960" s="3" t="inlineStr">
        <is>
          <t>1</t>
        </is>
      </c>
      <c r="B3960" s="3" t="inlineStr">
        <is>
          <t>Batu tempel hitam</t>
        </is>
      </c>
      <c r="C3960" s="3" t="inlineStr">
        <is>
          <t>m2</t>
        </is>
      </c>
      <c r="D3960" s="15" t="n">
        <v>1.1</v>
      </c>
      <c r="E3960" s="4" t="n">
        <v>121600</v>
      </c>
      <c r="F3960" s="4" t="n">
        <v>133760</v>
      </c>
    </row>
    <row r="3961">
      <c r="A3961" s="3" t="inlineStr">
        <is>
          <t>2</t>
        </is>
      </c>
      <c r="B3961" s="3" t="inlineStr">
        <is>
          <t>Semen portland (PC)</t>
        </is>
      </c>
      <c r="C3961" s="3" t="inlineStr">
        <is>
          <t>kg</t>
        </is>
      </c>
      <c r="D3961" s="15" t="n">
        <v>11.75</v>
      </c>
      <c r="E3961" s="4" t="n">
        <v>1300</v>
      </c>
      <c r="F3961" s="4" t="n">
        <v>15275</v>
      </c>
    </row>
    <row r="3962">
      <c r="A3962" s="3" t="inlineStr">
        <is>
          <t>3</t>
        </is>
      </c>
      <c r="B3962" s="3" t="inlineStr">
        <is>
          <t>Pasir pasang (quarry - lokasi pekerjaan)</t>
        </is>
      </c>
      <c r="C3962" s="3" t="inlineStr">
        <is>
          <t>m3</t>
        </is>
      </c>
      <c r="D3962" s="15" t="n">
        <v>0.035</v>
      </c>
      <c r="E3962" s="4" t="n">
        <v>275000</v>
      </c>
      <c r="F3962" s="4" t="n">
        <v>9625.000000000002</v>
      </c>
    </row>
    <row r="3963">
      <c r="D3963" s="2" t="inlineStr">
        <is>
          <t>SUBTOTAL UPAH</t>
        </is>
      </c>
      <c r="F3963" s="16" t="n">
        <v>129275</v>
      </c>
    </row>
    <row r="3964">
      <c r="D3964" s="2" t="inlineStr">
        <is>
          <t>SUBTOTAL BAHAN</t>
        </is>
      </c>
      <c r="F3964" s="16" t="n">
        <v>158660</v>
      </c>
    </row>
    <row r="3965">
      <c r="D3965" s="2" t="inlineStr">
        <is>
          <t>SUBTOTAL ALAT</t>
        </is>
      </c>
      <c r="F3965" s="16" t="n">
        <v>0</v>
      </c>
    </row>
    <row r="3966">
      <c r="E3966" s="2" t="inlineStr">
        <is>
          <t>TOTAL HARGA SATUAN (Inc. Overhead)</t>
        </is>
      </c>
      <c r="F3966" s="17" t="n">
        <v>316728</v>
      </c>
    </row>
    <row r="3968">
      <c r="A3968" s="14" t="inlineStr">
        <is>
          <t>KODE: 3.10.5.1 - Pemasangan 1 m2 wallpaper lebar 50 cm</t>
        </is>
      </c>
    </row>
    <row r="3969">
      <c r="A3969" s="10" t="inlineStr">
        <is>
          <t>No</t>
        </is>
      </c>
      <c r="B3969" s="10" t="inlineStr">
        <is>
          <t>Uraian Komponen</t>
        </is>
      </c>
      <c r="C3969" s="10" t="inlineStr">
        <is>
          <t>Satuan</t>
        </is>
      </c>
      <c r="D3969" s="10" t="inlineStr">
        <is>
          <t>Koef</t>
        </is>
      </c>
      <c r="E3969" s="10" t="inlineStr">
        <is>
          <t>Harga Satuan (Rp)</t>
        </is>
      </c>
      <c r="F3969" s="10" t="inlineStr">
        <is>
          <t>Jumlah Harga (Rp)</t>
        </is>
      </c>
    </row>
    <row r="3970">
      <c r="A3970" s="3" t="inlineStr">
        <is>
          <t>1</t>
        </is>
      </c>
      <c r="B3970" s="3" t="inlineStr">
        <is>
          <t>Pekerja</t>
        </is>
      </c>
      <c r="C3970" s="3" t="inlineStr">
        <is>
          <t>OH</t>
        </is>
      </c>
      <c r="D3970" s="15" t="n">
        <v>0.35</v>
      </c>
      <c r="E3970" s="4" t="n">
        <v>100000</v>
      </c>
      <c r="F3970" s="4" t="n">
        <v>35000</v>
      </c>
    </row>
    <row r="3971">
      <c r="A3971" s="3" t="inlineStr">
        <is>
          <t>2</t>
        </is>
      </c>
      <c r="B3971" s="3" t="inlineStr">
        <is>
          <t>Tukang batu</t>
        </is>
      </c>
      <c r="C3971" s="3" t="inlineStr">
        <is>
          <t>OH</t>
        </is>
      </c>
      <c r="D3971" s="15" t="n">
        <v>0.175</v>
      </c>
      <c r="E3971" s="4" t="n">
        <v>145000</v>
      </c>
      <c r="F3971" s="4" t="n">
        <v>25375</v>
      </c>
    </row>
    <row r="3972">
      <c r="A3972" s="3" t="inlineStr">
        <is>
          <t>3</t>
        </is>
      </c>
      <c r="B3972" s="3" t="inlineStr">
        <is>
          <t>Kepala tukang</t>
        </is>
      </c>
      <c r="C3972" s="3" t="inlineStr">
        <is>
          <t>OH</t>
        </is>
      </c>
      <c r="D3972" s="15" t="n">
        <v>0.018</v>
      </c>
      <c r="E3972" s="4" t="n">
        <v>175000</v>
      </c>
      <c r="F3972" s="4" t="n">
        <v>3150</v>
      </c>
    </row>
    <row r="3973">
      <c r="A3973" s="3" t="inlineStr">
        <is>
          <t>4</t>
        </is>
      </c>
      <c r="B3973" s="3" t="inlineStr">
        <is>
          <t>Mandor</t>
        </is>
      </c>
      <c r="C3973" s="3" t="inlineStr">
        <is>
          <t>OH</t>
        </is>
      </c>
      <c r="D3973" s="15" t="n">
        <v>0.006</v>
      </c>
      <c r="E3973" s="4" t="n">
        <v>200000</v>
      </c>
      <c r="F3973" s="4" t="n">
        <v>1200</v>
      </c>
    </row>
    <row r="3974">
      <c r="A3974" s="3" t="inlineStr">
        <is>
          <t>1</t>
        </is>
      </c>
      <c r="B3974" s="3" t="inlineStr">
        <is>
          <t>Wallpaper</t>
        </is>
      </c>
      <c r="C3974" s="3" t="inlineStr">
        <is>
          <t>m'</t>
        </is>
      </c>
      <c r="D3974" s="15" t="n">
        <v>2.2</v>
      </c>
      <c r="E3974" s="4" t="n">
        <v>13500</v>
      </c>
      <c r="F3974" s="4" t="n">
        <v>29700</v>
      </c>
    </row>
    <row r="3975">
      <c r="A3975" s="3" t="inlineStr">
        <is>
          <t>2</t>
        </is>
      </c>
      <c r="B3975" s="3" t="inlineStr">
        <is>
          <t>Lem</t>
        </is>
      </c>
      <c r="C3975" s="3" t="inlineStr">
        <is>
          <t>kg</t>
        </is>
      </c>
      <c r="D3975" s="15" t="n">
        <v>0.25</v>
      </c>
      <c r="E3975" s="4" t="n">
        <v>60000</v>
      </c>
      <c r="F3975" s="4" t="n">
        <v>15000</v>
      </c>
    </row>
    <row r="3976">
      <c r="D3976" s="2" t="inlineStr">
        <is>
          <t>SUBTOTAL UPAH</t>
        </is>
      </c>
      <c r="F3976" s="16" t="n">
        <v>64725</v>
      </c>
    </row>
    <row r="3977">
      <c r="D3977" s="2" t="inlineStr">
        <is>
          <t>SUBTOTAL BAHAN</t>
        </is>
      </c>
      <c r="F3977" s="16" t="n">
        <v>44700</v>
      </c>
    </row>
    <row r="3978">
      <c r="D3978" s="2" t="inlineStr">
        <is>
          <t>SUBTOTAL ALAT</t>
        </is>
      </c>
      <c r="F3978" s="16" t="n">
        <v>0</v>
      </c>
    </row>
    <row r="3979">
      <c r="E3979" s="2" t="inlineStr">
        <is>
          <t>TOTAL HARGA SATUAN (Inc. Overhead)</t>
        </is>
      </c>
      <c r="F3979" s="17" t="n">
        <v>120367</v>
      </c>
    </row>
    <row r="3981">
      <c r="A3981" s="14" t="inlineStr">
        <is>
          <t>KODE: 3.10.5.2 - Pemasangan 1 m2 dinding pemisah plywood rangkap, rangka kayu kelas II</t>
        </is>
      </c>
    </row>
    <row r="3982">
      <c r="A3982" s="10" t="inlineStr">
        <is>
          <t>No</t>
        </is>
      </c>
      <c r="B3982" s="10" t="inlineStr">
        <is>
          <t>Uraian Komponen</t>
        </is>
      </c>
      <c r="C3982" s="10" t="inlineStr">
        <is>
          <t>Satuan</t>
        </is>
      </c>
      <c r="D3982" s="10" t="inlineStr">
        <is>
          <t>Koef</t>
        </is>
      </c>
      <c r="E3982" s="10" t="inlineStr">
        <is>
          <t>Harga Satuan (Rp)</t>
        </is>
      </c>
      <c r="F3982" s="10" t="inlineStr">
        <is>
          <t>Jumlah Harga (Rp)</t>
        </is>
      </c>
    </row>
    <row r="3983">
      <c r="A3983" s="3" t="inlineStr">
        <is>
          <t>1</t>
        </is>
      </c>
      <c r="B3983" s="3" t="inlineStr">
        <is>
          <t>Pekerja</t>
        </is>
      </c>
      <c r="C3983" s="3" t="inlineStr">
        <is>
          <t>OH</t>
        </is>
      </c>
      <c r="D3983" s="15" t="n">
        <v>0.15</v>
      </c>
      <c r="E3983" s="4" t="n">
        <v>100000</v>
      </c>
      <c r="F3983" s="4" t="n">
        <v>15000</v>
      </c>
    </row>
    <row r="3984">
      <c r="A3984" s="3" t="inlineStr">
        <is>
          <t>2</t>
        </is>
      </c>
      <c r="B3984" s="3" t="inlineStr">
        <is>
          <t>Tukang kayu</t>
        </is>
      </c>
      <c r="C3984" s="3" t="inlineStr">
        <is>
          <t>OH</t>
        </is>
      </c>
      <c r="D3984" s="15" t="n">
        <v>0.45</v>
      </c>
      <c r="E3984" s="4" t="n">
        <v>145000</v>
      </c>
      <c r="F3984" s="4" t="n">
        <v>65250</v>
      </c>
    </row>
    <row r="3985">
      <c r="A3985" s="3" t="inlineStr">
        <is>
          <t>3</t>
        </is>
      </c>
      <c r="B3985" s="3" t="inlineStr">
        <is>
          <t>Kepala tukang</t>
        </is>
      </c>
      <c r="C3985" s="3" t="inlineStr">
        <is>
          <t>OH</t>
        </is>
      </c>
      <c r="D3985" s="15" t="n">
        <v>0.045</v>
      </c>
      <c r="E3985" s="4" t="n">
        <v>175000</v>
      </c>
      <c r="F3985" s="4" t="n">
        <v>7875</v>
      </c>
    </row>
    <row r="3986">
      <c r="A3986" s="3" t="inlineStr">
        <is>
          <t>4</t>
        </is>
      </c>
      <c r="B3986" s="3" t="inlineStr">
        <is>
          <t>Mandor</t>
        </is>
      </c>
      <c r="C3986" s="3" t="inlineStr">
        <is>
          <t>OH</t>
        </is>
      </c>
      <c r="D3986" s="15" t="n">
        <v>0.015</v>
      </c>
      <c r="E3986" s="4" t="n">
        <v>200000</v>
      </c>
      <c r="F3986" s="4" t="n">
        <v>3000</v>
      </c>
    </row>
    <row r="3987">
      <c r="A3987" s="3" t="inlineStr">
        <is>
          <t>1</t>
        </is>
      </c>
      <c r="B3987" s="3" t="inlineStr">
        <is>
          <t>Kayu balok 6/12 kelas II</t>
        </is>
      </c>
      <c r="C3987" s="3" t="inlineStr">
        <is>
          <t>m3</t>
        </is>
      </c>
      <c r="D3987" s="15" t="n">
        <v>0.028</v>
      </c>
      <c r="E3987" s="4" t="n">
        <v>11950000</v>
      </c>
      <c r="F3987" s="4" t="n">
        <v>334600</v>
      </c>
    </row>
    <row r="3988">
      <c r="A3988" s="3" t="inlineStr">
        <is>
          <t>2</t>
        </is>
      </c>
      <c r="B3988" s="3" t="inlineStr">
        <is>
          <t>Paku 5 dan 10 cm</t>
        </is>
      </c>
      <c r="C3988" s="3" t="inlineStr">
        <is>
          <t>kg</t>
        </is>
      </c>
      <c r="D3988" s="15" t="n">
        <v>0.15</v>
      </c>
      <c r="E3988" s="4" t="n">
        <v>20000</v>
      </c>
      <c r="F3988" s="4" t="n">
        <v>3000</v>
      </c>
    </row>
    <row r="3989">
      <c r="A3989" s="3" t="inlineStr">
        <is>
          <t>3</t>
        </is>
      </c>
      <c r="B3989" s="3" t="inlineStr">
        <is>
          <t>Plywood 4 mm</t>
        </is>
      </c>
      <c r="C3989" s="3" t="inlineStr">
        <is>
          <t>lembar</t>
        </is>
      </c>
      <c r="D3989" s="15" t="n">
        <v>0.86</v>
      </c>
      <c r="E3989" s="4" t="n">
        <v>75000</v>
      </c>
      <c r="F3989" s="4" t="n">
        <v>64500</v>
      </c>
    </row>
    <row r="3990">
      <c r="A3990" s="3" t="inlineStr">
        <is>
          <t>4</t>
        </is>
      </c>
      <c r="B3990" s="3" t="inlineStr">
        <is>
          <t>Lem Kayu</t>
        </is>
      </c>
      <c r="C3990" s="3" t="inlineStr">
        <is>
          <t>kg</t>
        </is>
      </c>
      <c r="D3990" s="15" t="n">
        <v>0.5600000000000001</v>
      </c>
      <c r="E3990" s="4" t="n">
        <v>16400</v>
      </c>
      <c r="F3990" s="4" t="n">
        <v>9184</v>
      </c>
    </row>
    <row r="3991">
      <c r="D3991" s="2" t="inlineStr">
        <is>
          <t>SUBTOTAL UPAH</t>
        </is>
      </c>
      <c r="F3991" s="16" t="n">
        <v>91125</v>
      </c>
    </row>
    <row r="3992">
      <c r="D3992" s="2" t="inlineStr">
        <is>
          <t>SUBTOTAL BAHAN</t>
        </is>
      </c>
      <c r="F3992" s="16" t="n">
        <v>411284</v>
      </c>
    </row>
    <row r="3993">
      <c r="D3993" s="2" t="inlineStr">
        <is>
          <t>SUBTOTAL ALAT</t>
        </is>
      </c>
      <c r="F3993" s="16" t="n">
        <v>0</v>
      </c>
    </row>
    <row r="3994">
      <c r="E3994" s="2" t="inlineStr">
        <is>
          <t>TOTAL HARGA SATUAN (Inc. Overhead)</t>
        </is>
      </c>
      <c r="F3994" s="17" t="n">
        <v>552649</v>
      </c>
    </row>
    <row r="3996">
      <c r="A3996" s="14" t="inlineStr">
        <is>
          <t>KODE: 3.10.5.3 - Pemasangan 1 m2 dinding lambisering dari papan kayu kelas I</t>
        </is>
      </c>
    </row>
    <row r="3997">
      <c r="A3997" s="10" t="inlineStr">
        <is>
          <t>No</t>
        </is>
      </c>
      <c r="B3997" s="10" t="inlineStr">
        <is>
          <t>Uraian Komponen</t>
        </is>
      </c>
      <c r="C3997" s="10" t="inlineStr">
        <is>
          <t>Satuan</t>
        </is>
      </c>
      <c r="D3997" s="10" t="inlineStr">
        <is>
          <t>Koef</t>
        </is>
      </c>
      <c r="E3997" s="10" t="inlineStr">
        <is>
          <t>Harga Satuan (Rp)</t>
        </is>
      </c>
      <c r="F3997" s="10" t="inlineStr">
        <is>
          <t>Jumlah Harga (Rp)</t>
        </is>
      </c>
    </row>
    <row r="3998">
      <c r="A3998" s="3" t="inlineStr">
        <is>
          <t>1</t>
        </is>
      </c>
      <c r="B3998" s="3" t="inlineStr">
        <is>
          <t>Pekerja</t>
        </is>
      </c>
      <c r="C3998" s="3" t="inlineStr">
        <is>
          <t>OH</t>
        </is>
      </c>
      <c r="D3998" s="15" t="n">
        <v>0.6</v>
      </c>
      <c r="E3998" s="4" t="n">
        <v>100000</v>
      </c>
      <c r="F3998" s="4" t="n">
        <v>60000</v>
      </c>
    </row>
    <row r="3999">
      <c r="A3999" s="3" t="inlineStr">
        <is>
          <t>2</t>
        </is>
      </c>
      <c r="B3999" s="3" t="inlineStr">
        <is>
          <t>Tukang kayu</t>
        </is>
      </c>
      <c r="C3999" s="3" t="inlineStr">
        <is>
          <t>OH</t>
        </is>
      </c>
      <c r="D3999" s="15" t="n">
        <v>1.8</v>
      </c>
      <c r="E3999" s="4" t="n">
        <v>145000</v>
      </c>
      <c r="F3999" s="4" t="n">
        <v>261000</v>
      </c>
    </row>
    <row r="4000">
      <c r="A4000" s="3" t="inlineStr">
        <is>
          <t>3</t>
        </is>
      </c>
      <c r="B4000" s="3" t="inlineStr">
        <is>
          <t>Kepala tukang</t>
        </is>
      </c>
      <c r="C4000" s="3" t="inlineStr">
        <is>
          <t>OH</t>
        </is>
      </c>
      <c r="D4000" s="15" t="n">
        <v>0.18</v>
      </c>
      <c r="E4000" s="4" t="n">
        <v>175000</v>
      </c>
      <c r="F4000" s="4" t="n">
        <v>31500</v>
      </c>
    </row>
    <row r="4001">
      <c r="A4001" s="3" t="inlineStr">
        <is>
          <t>4</t>
        </is>
      </c>
      <c r="B4001" s="3" t="inlineStr">
        <is>
          <t>Mandor</t>
        </is>
      </c>
      <c r="C4001" s="3" t="inlineStr">
        <is>
          <t>OH</t>
        </is>
      </c>
      <c r="D4001" s="15" t="n">
        <v>0.06</v>
      </c>
      <c r="E4001" s="4" t="n">
        <v>200000</v>
      </c>
      <c r="F4001" s="4" t="n">
        <v>12000</v>
      </c>
    </row>
    <row r="4002">
      <c r="A4002" s="3" t="inlineStr">
        <is>
          <t>1</t>
        </is>
      </c>
      <c r="B4002" s="3" t="inlineStr">
        <is>
          <t>Kayu papan kelas I</t>
        </is>
      </c>
      <c r="C4002" s="3" t="inlineStr">
        <is>
          <t>m3</t>
        </is>
      </c>
      <c r="D4002" s="15" t="n">
        <v>0.007</v>
      </c>
      <c r="E4002" s="4" t="n">
        <v>26000000</v>
      </c>
      <c r="F4002" s="4" t="n">
        <v>182000</v>
      </c>
    </row>
    <row r="4003">
      <c r="A4003" s="3" t="inlineStr">
        <is>
          <t>2</t>
        </is>
      </c>
      <c r="B4003" s="3" t="inlineStr">
        <is>
          <t>Paku 4 inch</t>
        </is>
      </c>
      <c r="C4003" s="3" t="inlineStr">
        <is>
          <t>kg</t>
        </is>
      </c>
      <c r="D4003" s="15" t="n">
        <v>0.1</v>
      </c>
      <c r="E4003" s="4" t="n">
        <v>19000</v>
      </c>
      <c r="F4003" s="4" t="n">
        <v>1900</v>
      </c>
    </row>
    <row r="4004">
      <c r="A4004" s="3" t="inlineStr">
        <is>
          <t>3</t>
        </is>
      </c>
      <c r="B4004" s="3" t="inlineStr">
        <is>
          <t>Paku sekrup</t>
        </is>
      </c>
      <c r="C4004" s="3" t="inlineStr">
        <is>
          <t>kg</t>
        </is>
      </c>
      <c r="D4004" s="15" t="n">
        <v>0.15</v>
      </c>
      <c r="E4004" s="4" t="n">
        <v>30090</v>
      </c>
      <c r="F4004" s="4" t="n">
        <v>4513.5</v>
      </c>
    </row>
    <row r="4005">
      <c r="D4005" s="2" t="inlineStr">
        <is>
          <t>SUBTOTAL UPAH</t>
        </is>
      </c>
      <c r="F4005" s="16" t="n">
        <v>364500</v>
      </c>
    </row>
    <row r="4006">
      <c r="D4006" s="2" t="inlineStr">
        <is>
          <t>SUBTOTAL BAHAN</t>
        </is>
      </c>
      <c r="F4006" s="16" t="n">
        <v>188413.5</v>
      </c>
    </row>
    <row r="4007">
      <c r="D4007" s="2" t="inlineStr">
        <is>
          <t>SUBTOTAL ALAT</t>
        </is>
      </c>
      <c r="F4007" s="16" t="n">
        <v>0</v>
      </c>
    </row>
    <row r="4008">
      <c r="E4008" s="2" t="inlineStr">
        <is>
          <t>TOTAL HARGA SATUAN (Inc. Overhead)</t>
        </is>
      </c>
      <c r="F4008" s="17" t="n">
        <v>608204</v>
      </c>
    </row>
    <row r="4010">
      <c r="A4010" s="14" t="inlineStr">
        <is>
          <t>KODE: 3.10.5.4 - Pemasangan 1 m2 dinding lambrisering dari plywood (Kayu Lapis) ukuran 120x240cm</t>
        </is>
      </c>
    </row>
    <row r="4011">
      <c r="A4011" s="10" t="inlineStr">
        <is>
          <t>No</t>
        </is>
      </c>
      <c r="B4011" s="10" t="inlineStr">
        <is>
          <t>Uraian Komponen</t>
        </is>
      </c>
      <c r="C4011" s="10" t="inlineStr">
        <is>
          <t>Satuan</t>
        </is>
      </c>
      <c r="D4011" s="10" t="inlineStr">
        <is>
          <t>Koef</t>
        </is>
      </c>
      <c r="E4011" s="10" t="inlineStr">
        <is>
          <t>Harga Satuan (Rp)</t>
        </is>
      </c>
      <c r="F4011" s="10" t="inlineStr">
        <is>
          <t>Jumlah Harga (Rp)</t>
        </is>
      </c>
    </row>
    <row r="4012">
      <c r="A4012" s="3" t="inlineStr">
        <is>
          <t>1</t>
        </is>
      </c>
      <c r="B4012" s="3" t="inlineStr">
        <is>
          <t>Pekerja</t>
        </is>
      </c>
      <c r="C4012" s="3" t="inlineStr">
        <is>
          <t>OH</t>
        </is>
      </c>
      <c r="D4012" s="15" t="n">
        <v>0.25</v>
      </c>
      <c r="E4012" s="4" t="n">
        <v>100000</v>
      </c>
      <c r="F4012" s="4" t="n">
        <v>25000</v>
      </c>
    </row>
    <row r="4013">
      <c r="A4013" s="3" t="inlineStr">
        <is>
          <t>2</t>
        </is>
      </c>
      <c r="B4013" s="3" t="inlineStr">
        <is>
          <t>Tukang kayu</t>
        </is>
      </c>
      <c r="C4013" s="3" t="inlineStr">
        <is>
          <t>OH</t>
        </is>
      </c>
      <c r="D4013" s="15" t="n">
        <v>0.075</v>
      </c>
      <c r="E4013" s="4" t="n">
        <v>145000</v>
      </c>
      <c r="F4013" s="4" t="n">
        <v>10875</v>
      </c>
    </row>
    <row r="4014">
      <c r="A4014" s="3" t="inlineStr">
        <is>
          <t>3</t>
        </is>
      </c>
      <c r="B4014" s="3" t="inlineStr">
        <is>
          <t>Kepala tukang</t>
        </is>
      </c>
      <c r="C4014" s="3" t="inlineStr">
        <is>
          <t>OH</t>
        </is>
      </c>
      <c r="D4014" s="15" t="n">
        <v>0.008</v>
      </c>
      <c r="E4014" s="4" t="n">
        <v>175000</v>
      </c>
      <c r="F4014" s="4" t="n">
        <v>1400</v>
      </c>
    </row>
    <row r="4015">
      <c r="A4015" s="3" t="inlineStr">
        <is>
          <t>4</t>
        </is>
      </c>
      <c r="B4015" s="3" t="inlineStr">
        <is>
          <t>Mandor</t>
        </is>
      </c>
      <c r="C4015" s="3" t="inlineStr">
        <is>
          <t>OH</t>
        </is>
      </c>
      <c r="D4015" s="15" t="n">
        <v>0.003</v>
      </c>
      <c r="E4015" s="4" t="n">
        <v>200000</v>
      </c>
      <c r="F4015" s="4" t="n">
        <v>600</v>
      </c>
    </row>
    <row r="4016">
      <c r="A4016" s="3" t="inlineStr">
        <is>
          <t>1</t>
        </is>
      </c>
      <c r="B4016" s="3" t="inlineStr">
        <is>
          <t>Plywood 4 mm m3</t>
        </is>
      </c>
      <c r="C4016" s="3" t="inlineStr">
        <is>
          <t>m3</t>
        </is>
      </c>
      <c r="D4016" s="15" t="n">
        <v>0.4</v>
      </c>
      <c r="E4016" s="4" t="n">
        <v>6298700</v>
      </c>
      <c r="F4016" s="4" t="n">
        <v>2519480</v>
      </c>
    </row>
    <row r="4017">
      <c r="A4017" s="3" t="inlineStr">
        <is>
          <t>2</t>
        </is>
      </c>
      <c r="B4017" s="3" t="inlineStr">
        <is>
          <t>Paku 2 inch</t>
        </is>
      </c>
      <c r="C4017" s="3" t="inlineStr">
        <is>
          <t>kg</t>
        </is>
      </c>
      <c r="D4017" s="15" t="n">
        <v>0.05</v>
      </c>
      <c r="E4017" s="4" t="n">
        <v>18000</v>
      </c>
      <c r="F4017" s="4" t="n">
        <v>900</v>
      </c>
    </row>
    <row r="4018">
      <c r="D4018" s="2" t="inlineStr">
        <is>
          <t>SUBTOTAL UPAH</t>
        </is>
      </c>
      <c r="F4018" s="16" t="n">
        <v>37875</v>
      </c>
    </row>
    <row r="4019">
      <c r="D4019" s="2" t="inlineStr">
        <is>
          <t>SUBTOTAL BAHAN</t>
        </is>
      </c>
      <c r="F4019" s="16" t="n">
        <v>2520380</v>
      </c>
    </row>
    <row r="4020">
      <c r="D4020" s="2" t="inlineStr">
        <is>
          <t>SUBTOTAL ALAT</t>
        </is>
      </c>
      <c r="F4020" s="16" t="n">
        <v>0</v>
      </c>
    </row>
    <row r="4021">
      <c r="E4021" s="2" t="inlineStr">
        <is>
          <t>TOTAL HARGA SATUAN (Inc. Overhead)</t>
        </is>
      </c>
      <c r="F4021" s="17" t="n">
        <v>2814080</v>
      </c>
    </row>
    <row r="4023">
      <c r="A4023" s="14" t="inlineStr">
        <is>
          <t>KODE: 3.10.5.5 - Pemasangan 1 m2 dinding bilik, rangka kayu kelas III atau IV</t>
        </is>
      </c>
    </row>
    <row r="4024">
      <c r="A4024" s="10" t="inlineStr">
        <is>
          <t>No</t>
        </is>
      </c>
      <c r="B4024" s="10" t="inlineStr">
        <is>
          <t>Uraian Komponen</t>
        </is>
      </c>
      <c r="C4024" s="10" t="inlineStr">
        <is>
          <t>Satuan</t>
        </is>
      </c>
      <c r="D4024" s="10" t="inlineStr">
        <is>
          <t>Koef</t>
        </is>
      </c>
      <c r="E4024" s="10" t="inlineStr">
        <is>
          <t>Harga Satuan (Rp)</t>
        </is>
      </c>
      <c r="F4024" s="10" t="inlineStr">
        <is>
          <t>Jumlah Harga (Rp)</t>
        </is>
      </c>
    </row>
    <row r="4025">
      <c r="A4025" s="3" t="inlineStr">
        <is>
          <t>1</t>
        </is>
      </c>
      <c r="B4025" s="3" t="inlineStr">
        <is>
          <t>Pekerja</t>
        </is>
      </c>
      <c r="C4025" s="3" t="inlineStr">
        <is>
          <t>OH</t>
        </is>
      </c>
      <c r="D4025" s="15" t="n">
        <v>0.1</v>
      </c>
      <c r="E4025" s="4" t="n">
        <v>100000</v>
      </c>
      <c r="F4025" s="4" t="n">
        <v>10000</v>
      </c>
    </row>
    <row r="4026">
      <c r="A4026" s="3" t="inlineStr">
        <is>
          <t>2</t>
        </is>
      </c>
      <c r="B4026" s="3" t="inlineStr">
        <is>
          <t>Tukang kayu</t>
        </is>
      </c>
      <c r="C4026" s="3" t="inlineStr">
        <is>
          <t>OH</t>
        </is>
      </c>
      <c r="D4026" s="15" t="n">
        <v>0.05</v>
      </c>
      <c r="E4026" s="4" t="n">
        <v>145000</v>
      </c>
      <c r="F4026" s="4" t="n">
        <v>7250</v>
      </c>
    </row>
    <row r="4027">
      <c r="A4027" s="3" t="inlineStr">
        <is>
          <t>3</t>
        </is>
      </c>
      <c r="B4027" s="3" t="inlineStr">
        <is>
          <t>Kepala tukang</t>
        </is>
      </c>
      <c r="C4027" s="3" t="inlineStr">
        <is>
          <t>OH</t>
        </is>
      </c>
      <c r="D4027" s="15" t="n">
        <v>0.005</v>
      </c>
      <c r="E4027" s="4" t="n">
        <v>175000</v>
      </c>
      <c r="F4027" s="4" t="n">
        <v>875</v>
      </c>
    </row>
    <row r="4028">
      <c r="A4028" s="3" t="inlineStr">
        <is>
          <t>4</t>
        </is>
      </c>
      <c r="B4028" s="3" t="inlineStr">
        <is>
          <t>Mandor</t>
        </is>
      </c>
      <c r="C4028" s="3" t="inlineStr">
        <is>
          <t>OH</t>
        </is>
      </c>
      <c r="D4028" s="15" t="n">
        <v>0.002</v>
      </c>
      <c r="E4028" s="4" t="n">
        <v>200000</v>
      </c>
      <c r="F4028" s="4" t="n">
        <v>400</v>
      </c>
    </row>
    <row r="4029">
      <c r="A4029" s="3" t="inlineStr">
        <is>
          <t>1</t>
        </is>
      </c>
      <c r="B4029" s="3" t="inlineStr">
        <is>
          <t>Bilik Bambu</t>
        </is>
      </c>
      <c r="C4029" s="3" t="inlineStr">
        <is>
          <t>m2</t>
        </is>
      </c>
      <c r="D4029" s="15" t="n">
        <v>1.5</v>
      </c>
      <c r="E4029" s="4" t="n">
        <v>21000</v>
      </c>
      <c r="F4029" s="4" t="n">
        <v>31500</v>
      </c>
    </row>
    <row r="4030">
      <c r="A4030" s="3" t="inlineStr">
        <is>
          <t>2</t>
        </is>
      </c>
      <c r="B4030" s="3" t="inlineStr">
        <is>
          <t>Kayu kaso 5/7 kelas III</t>
        </is>
      </c>
      <c r="C4030" s="3" t="inlineStr">
        <is>
          <t>m3</t>
        </is>
      </c>
      <c r="D4030" s="15" t="n">
        <v>0.014</v>
      </c>
      <c r="E4030" s="4" t="n">
        <v>3500000</v>
      </c>
      <c r="F4030" s="4" t="n">
        <v>49000</v>
      </c>
    </row>
    <row r="4031">
      <c r="A4031" s="3" t="inlineStr">
        <is>
          <t>3</t>
        </is>
      </c>
      <c r="B4031" s="3" t="inlineStr">
        <is>
          <t>Paku</t>
        </is>
      </c>
      <c r="C4031" s="3" t="inlineStr">
        <is>
          <t>kg</t>
        </is>
      </c>
      <c r="D4031" s="15" t="n">
        <v>0.012</v>
      </c>
      <c r="E4031" s="4" t="n">
        <v>20000</v>
      </c>
      <c r="F4031" s="4" t="n">
        <v>240</v>
      </c>
    </row>
    <row r="4032">
      <c r="A4032" s="3" t="inlineStr">
        <is>
          <t>4</t>
        </is>
      </c>
      <c r="B4032" s="3" t="inlineStr">
        <is>
          <t>List kayu 2x4 cm</t>
        </is>
      </c>
      <c r="C4032" s="3" t="inlineStr">
        <is>
          <t>m3</t>
        </is>
      </c>
      <c r="D4032" s="15" t="n">
        <v>0.003</v>
      </c>
      <c r="E4032" s="4" t="n">
        <v>6000000</v>
      </c>
      <c r="F4032" s="4" t="n">
        <v>18000</v>
      </c>
    </row>
    <row r="4033">
      <c r="D4033" s="2" t="inlineStr">
        <is>
          <t>SUBTOTAL UPAH</t>
        </is>
      </c>
      <c r="F4033" s="16" t="n">
        <v>18525</v>
      </c>
    </row>
    <row r="4034">
      <c r="D4034" s="2" t="inlineStr">
        <is>
          <t>SUBTOTAL BAHAN</t>
        </is>
      </c>
      <c r="F4034" s="16" t="n">
        <v>98740</v>
      </c>
    </row>
    <row r="4035">
      <c r="D4035" s="2" t="inlineStr">
        <is>
          <t>SUBTOTAL ALAT</t>
        </is>
      </c>
      <c r="F4035" s="16" t="n">
        <v>0</v>
      </c>
    </row>
    <row r="4036">
      <c r="E4036" s="2" t="inlineStr">
        <is>
          <t>TOTAL HARGA SATUAN (Inc. Overhead)</t>
        </is>
      </c>
      <c r="F4036" s="17" t="n">
        <v>128991</v>
      </c>
    </row>
    <row r="4038">
      <c r="A4038" s="14" t="inlineStr">
        <is>
          <t>KODE: 3.10.5.6 - Pemasangan kering 1 m2 dinding marmer 100x100 cm tebal 2 cm</t>
        </is>
      </c>
    </row>
    <row r="4039">
      <c r="A4039" s="10" t="inlineStr">
        <is>
          <t>No</t>
        </is>
      </c>
      <c r="B4039" s="10" t="inlineStr">
        <is>
          <t>Uraian Komponen</t>
        </is>
      </c>
      <c r="C4039" s="10" t="inlineStr">
        <is>
          <t>Satuan</t>
        </is>
      </c>
      <c r="D4039" s="10" t="inlineStr">
        <is>
          <t>Koef</t>
        </is>
      </c>
      <c r="E4039" s="10" t="inlineStr">
        <is>
          <t>Harga Satuan (Rp)</t>
        </is>
      </c>
      <c r="F4039" s="10" t="inlineStr">
        <is>
          <t>Jumlah Harga (Rp)</t>
        </is>
      </c>
    </row>
    <row r="4040">
      <c r="A4040" s="3" t="inlineStr">
        <is>
          <t>1</t>
        </is>
      </c>
      <c r="B4040" s="3" t="inlineStr">
        <is>
          <t>Pekerja</t>
        </is>
      </c>
      <c r="C4040" s="3" t="inlineStr">
        <is>
          <t>OH</t>
        </is>
      </c>
      <c r="D4040" s="15" t="n">
        <v>2</v>
      </c>
      <c r="E4040" s="4" t="n">
        <v>100000</v>
      </c>
      <c r="F4040" s="4" t="n">
        <v>200000</v>
      </c>
    </row>
    <row r="4041">
      <c r="A4041" s="3" t="inlineStr">
        <is>
          <t>2</t>
        </is>
      </c>
      <c r="B4041" s="3" t="inlineStr">
        <is>
          <t>Tukang batu</t>
        </is>
      </c>
      <c r="C4041" s="3" t="inlineStr">
        <is>
          <t>OH</t>
        </is>
      </c>
      <c r="D4041" s="15" t="n">
        <v>0.5</v>
      </c>
      <c r="E4041" s="4" t="n">
        <v>145000</v>
      </c>
      <c r="F4041" s="4" t="n">
        <v>72500</v>
      </c>
    </row>
    <row r="4042">
      <c r="A4042" s="3" t="inlineStr">
        <is>
          <t>3</t>
        </is>
      </c>
      <c r="B4042" s="3" t="inlineStr">
        <is>
          <t>Kepala tukang</t>
        </is>
      </c>
      <c r="C4042" s="3" t="inlineStr">
        <is>
          <t>OH</t>
        </is>
      </c>
      <c r="D4042" s="15" t="n">
        <v>0.05</v>
      </c>
      <c r="E4042" s="4" t="n">
        <v>175000</v>
      </c>
      <c r="F4042" s="4" t="n">
        <v>8750</v>
      </c>
    </row>
    <row r="4043">
      <c r="A4043" s="3" t="inlineStr">
        <is>
          <t>4</t>
        </is>
      </c>
      <c r="B4043" s="3" t="inlineStr">
        <is>
          <t>Mandor</t>
        </is>
      </c>
      <c r="C4043" s="3" t="inlineStr">
        <is>
          <t>OH</t>
        </is>
      </c>
      <c r="D4043" s="15" t="n">
        <v>0.017</v>
      </c>
      <c r="E4043" s="4" t="n">
        <v>200000</v>
      </c>
      <c r="F4043" s="4" t="n">
        <v>3400</v>
      </c>
    </row>
    <row r="4044">
      <c r="A4044" s="3" t="inlineStr">
        <is>
          <t>1</t>
        </is>
      </c>
      <c r="B4044" s="3" t="inlineStr">
        <is>
          <t>Marmer</t>
        </is>
      </c>
      <c r="C4044" s="3" t="inlineStr">
        <is>
          <t>buah</t>
        </is>
      </c>
      <c r="D4044" s="15" t="n">
        <v>1.1</v>
      </c>
      <c r="E4044" s="4" t="n">
        <v>800000</v>
      </c>
      <c r="F4044" s="4" t="n">
        <v>880000.0000000001</v>
      </c>
    </row>
    <row r="4045">
      <c r="A4045" s="3" t="inlineStr">
        <is>
          <t>2</t>
        </is>
      </c>
      <c r="B4045" s="3" t="inlineStr">
        <is>
          <t>Besi siku 40x40x4 mm</t>
        </is>
      </c>
      <c r="C4045" s="3" t="inlineStr">
        <is>
          <t>kg</t>
        </is>
      </c>
      <c r="D4045" s="15" t="n">
        <v>9.667</v>
      </c>
      <c r="E4045" s="4" t="n">
        <v>15667</v>
      </c>
      <c r="F4045" s="4" t="n">
        <v>151452.889</v>
      </c>
    </row>
    <row r="4046">
      <c r="A4046" s="3" t="inlineStr">
        <is>
          <t>3</t>
        </is>
      </c>
      <c r="B4046" s="3" t="inlineStr">
        <is>
          <t>Dinabolt dia. 12mm (10-15 cm)</t>
        </is>
      </c>
      <c r="C4046" s="3" t="inlineStr">
        <is>
          <t>buah</t>
        </is>
      </c>
      <c r="D4046" s="15" t="n">
        <v>8</v>
      </c>
      <c r="E4046" s="4" t="n">
        <v>4550</v>
      </c>
      <c r="F4046" s="4" t="n">
        <v>36400</v>
      </c>
    </row>
    <row r="4047">
      <c r="A4047" s="3" t="inlineStr">
        <is>
          <t>4</t>
        </is>
      </c>
      <c r="B4047" s="3" t="inlineStr">
        <is>
          <t>Lem epoxy</t>
        </is>
      </c>
      <c r="C4047" s="3" t="inlineStr">
        <is>
          <t>kg</t>
        </is>
      </c>
      <c r="D4047" s="15" t="n">
        <v>0.38</v>
      </c>
      <c r="E4047" s="4" t="n">
        <v>145000</v>
      </c>
      <c r="F4047" s="4" t="n">
        <v>55100</v>
      </c>
    </row>
    <row r="4048">
      <c r="D4048" s="2" t="inlineStr">
        <is>
          <t>SUBTOTAL UPAH</t>
        </is>
      </c>
      <c r="F4048" s="16" t="n">
        <v>284650</v>
      </c>
    </row>
    <row r="4049">
      <c r="D4049" s="2" t="inlineStr">
        <is>
          <t>SUBTOTAL BAHAN</t>
        </is>
      </c>
      <c r="F4049" s="16" t="n">
        <v>1122952.889</v>
      </c>
    </row>
    <row r="4050">
      <c r="D4050" s="2" t="inlineStr">
        <is>
          <t>SUBTOTAL ALAT</t>
        </is>
      </c>
      <c r="F4050" s="16" t="n">
        <v>0</v>
      </c>
    </row>
    <row r="4051">
      <c r="E4051" s="2" t="inlineStr">
        <is>
          <t>TOTAL HARGA SATUAN (Inc. Overhead)</t>
        </is>
      </c>
      <c r="F4051" s="17" t="n">
        <v>1548363</v>
      </c>
    </row>
    <row r="4053">
      <c r="A4053" s="14" t="inlineStr">
        <is>
          <t>KODE: 3.10.5.7 - Pemasangan basah 1 m2 dinding marmer 100x100 cm tebal 2 cm</t>
        </is>
      </c>
    </row>
    <row r="4054">
      <c r="A4054" s="10" t="inlineStr">
        <is>
          <t>No</t>
        </is>
      </c>
      <c r="B4054" s="10" t="inlineStr">
        <is>
          <t>Uraian Komponen</t>
        </is>
      </c>
      <c r="C4054" s="10" t="inlineStr">
        <is>
          <t>Satuan</t>
        </is>
      </c>
      <c r="D4054" s="10" t="inlineStr">
        <is>
          <t>Koef</t>
        </is>
      </c>
      <c r="E4054" s="10" t="inlineStr">
        <is>
          <t>Harga Satuan (Rp)</t>
        </is>
      </c>
      <c r="F4054" s="10" t="inlineStr">
        <is>
          <t>Jumlah Harga (Rp)</t>
        </is>
      </c>
    </row>
    <row r="4055">
      <c r="A4055" s="3" t="inlineStr">
        <is>
          <t>1</t>
        </is>
      </c>
      <c r="B4055" s="3" t="inlineStr">
        <is>
          <t>Pekerja</t>
        </is>
      </c>
      <c r="C4055" s="3" t="inlineStr">
        <is>
          <t>OH</t>
        </is>
      </c>
      <c r="D4055" s="15" t="n">
        <v>2</v>
      </c>
      <c r="E4055" s="4" t="n">
        <v>100000</v>
      </c>
      <c r="F4055" s="4" t="n">
        <v>200000</v>
      </c>
    </row>
    <row r="4056">
      <c r="A4056" s="3" t="inlineStr">
        <is>
          <t>2</t>
        </is>
      </c>
      <c r="B4056" s="3" t="inlineStr">
        <is>
          <t>Tukang batu</t>
        </is>
      </c>
      <c r="C4056" s="3" t="inlineStr">
        <is>
          <t>OH</t>
        </is>
      </c>
      <c r="D4056" s="15" t="n">
        <v>0.5</v>
      </c>
      <c r="E4056" s="4" t="n">
        <v>145000</v>
      </c>
      <c r="F4056" s="4" t="n">
        <v>72500</v>
      </c>
    </row>
    <row r="4057">
      <c r="A4057" s="3" t="inlineStr">
        <is>
          <t>3</t>
        </is>
      </c>
      <c r="B4057" s="3" t="inlineStr">
        <is>
          <t>Kepala tukang</t>
        </is>
      </c>
      <c r="C4057" s="3" t="inlineStr">
        <is>
          <t>OH</t>
        </is>
      </c>
      <c r="D4057" s="15" t="n">
        <v>0.05</v>
      </c>
      <c r="E4057" s="4" t="n">
        <v>175000</v>
      </c>
      <c r="F4057" s="4" t="n">
        <v>8750</v>
      </c>
    </row>
    <row r="4058">
      <c r="A4058" s="3" t="inlineStr">
        <is>
          <t>4</t>
        </is>
      </c>
      <c r="B4058" s="3" t="inlineStr">
        <is>
          <t>Mandor</t>
        </is>
      </c>
      <c r="C4058" s="3" t="inlineStr">
        <is>
          <t>OH</t>
        </is>
      </c>
      <c r="D4058" s="15" t="n">
        <v>0.017</v>
      </c>
      <c r="E4058" s="4" t="n">
        <v>200000</v>
      </c>
      <c r="F4058" s="4" t="n">
        <v>3400</v>
      </c>
    </row>
    <row r="4059">
      <c r="A4059" s="3" t="inlineStr">
        <is>
          <t>1</t>
        </is>
      </c>
      <c r="B4059" s="3" t="inlineStr">
        <is>
          <t>Marmer</t>
        </is>
      </c>
      <c r="C4059" s="3" t="inlineStr">
        <is>
          <t>buah</t>
        </is>
      </c>
      <c r="D4059" s="15" t="n">
        <v>1.1</v>
      </c>
      <c r="E4059" s="4" t="n">
        <v>800000</v>
      </c>
      <c r="F4059" s="4" t="n">
        <v>880000.0000000001</v>
      </c>
    </row>
    <row r="4060">
      <c r="A4060" s="3" t="inlineStr">
        <is>
          <t>2</t>
        </is>
      </c>
      <c r="B4060" s="3" t="inlineStr">
        <is>
          <t>Semen portland (pc)</t>
        </is>
      </c>
      <c r="C4060" s="3" t="inlineStr">
        <is>
          <t>kg</t>
        </is>
      </c>
      <c r="D4060" s="15" t="n">
        <v>12.44</v>
      </c>
      <c r="E4060" s="4" t="n">
        <v>1300</v>
      </c>
      <c r="F4060" s="4" t="n">
        <v>16172</v>
      </c>
    </row>
    <row r="4061">
      <c r="A4061" s="3" t="inlineStr">
        <is>
          <t>3</t>
        </is>
      </c>
      <c r="B4061" s="3" t="inlineStr">
        <is>
          <t>Pasir pasang (quarry - lokasi pekerjaan)</t>
        </is>
      </c>
      <c r="C4061" s="3" t="inlineStr">
        <is>
          <t>m3</t>
        </is>
      </c>
      <c r="D4061" s="15" t="n">
        <v>0.025</v>
      </c>
      <c r="E4061" s="4" t="n">
        <v>275000</v>
      </c>
      <c r="F4061" s="4" t="n">
        <v>6875</v>
      </c>
    </row>
    <row r="4062">
      <c r="A4062" s="3" t="inlineStr">
        <is>
          <t>4</t>
        </is>
      </c>
      <c r="B4062" s="3" t="inlineStr">
        <is>
          <t>Semen warna</t>
        </is>
      </c>
      <c r="C4062" s="3" t="inlineStr">
        <is>
          <t>kg</t>
        </is>
      </c>
      <c r="D4062" s="15" t="n">
        <v>0.65</v>
      </c>
      <c r="E4062" s="4" t="n">
        <v>7800</v>
      </c>
      <c r="F4062" s="4" t="n">
        <v>5070</v>
      </c>
    </row>
    <row r="4063">
      <c r="A4063" s="3" t="inlineStr">
        <is>
          <t>5</t>
        </is>
      </c>
      <c r="B4063" s="3" t="inlineStr">
        <is>
          <t>Paku 12 cm</t>
        </is>
      </c>
      <c r="C4063" s="3" t="inlineStr">
        <is>
          <t>buah</t>
        </is>
      </c>
      <c r="D4063" s="15" t="n">
        <v>4</v>
      </c>
      <c r="E4063" s="4" t="n">
        <v>1500</v>
      </c>
      <c r="F4063" s="4" t="n">
        <v>6000</v>
      </c>
    </row>
    <row r="4064">
      <c r="D4064" s="2" t="inlineStr">
        <is>
          <t>SUBTOTAL UPAH</t>
        </is>
      </c>
      <c r="F4064" s="16" t="n">
        <v>284650</v>
      </c>
    </row>
    <row r="4065">
      <c r="D4065" s="2" t="inlineStr">
        <is>
          <t>SUBTOTAL BAHAN</t>
        </is>
      </c>
      <c r="F4065" s="16" t="n">
        <v>914117.0000000001</v>
      </c>
    </row>
    <row r="4066">
      <c r="D4066" s="2" t="inlineStr">
        <is>
          <t>SUBTOTAL ALAT</t>
        </is>
      </c>
      <c r="F4066" s="16" t="n">
        <v>0</v>
      </c>
    </row>
    <row r="4067">
      <c r="E4067" s="2" t="inlineStr">
        <is>
          <t>TOTAL HARGA SATUAN (Inc. Overhead)</t>
        </is>
      </c>
      <c r="F4067" s="17" t="n">
        <v>1318643</v>
      </c>
    </row>
    <row r="4069">
      <c r="A4069" s="14" t="inlineStr">
        <is>
          <t>KODE: 3.10.6.1 - Pemasangan 1 m2 rangka besi hollow galvanis 40x40 mm, modul 60x120 cm, untuk partisi</t>
        </is>
      </c>
    </row>
    <row r="4070">
      <c r="A4070" s="10" t="inlineStr">
        <is>
          <t>No</t>
        </is>
      </c>
      <c r="B4070" s="10" t="inlineStr">
        <is>
          <t>Uraian Komponen</t>
        </is>
      </c>
      <c r="C4070" s="10" t="inlineStr">
        <is>
          <t>Satuan</t>
        </is>
      </c>
      <c r="D4070" s="10" t="inlineStr">
        <is>
          <t>Koef</t>
        </is>
      </c>
      <c r="E4070" s="10" t="inlineStr">
        <is>
          <t>Harga Satuan (Rp)</t>
        </is>
      </c>
      <c r="F4070" s="10" t="inlineStr">
        <is>
          <t>Jumlah Harga (Rp)</t>
        </is>
      </c>
    </row>
    <row r="4071">
      <c r="A4071" s="3" t="inlineStr">
        <is>
          <t>1</t>
        </is>
      </c>
      <c r="B4071" s="3" t="inlineStr">
        <is>
          <t>Pekerja</t>
        </is>
      </c>
      <c r="C4071" s="3" t="inlineStr">
        <is>
          <t>OH</t>
        </is>
      </c>
      <c r="D4071" s="15" t="n">
        <v>0.125</v>
      </c>
      <c r="E4071" s="4" t="n">
        <v>100000</v>
      </c>
      <c r="F4071" s="4" t="n">
        <v>12500</v>
      </c>
    </row>
    <row r="4072">
      <c r="A4072" s="3" t="inlineStr">
        <is>
          <t>2</t>
        </is>
      </c>
      <c r="B4072" s="3" t="inlineStr">
        <is>
          <t>Tukang besi</t>
        </is>
      </c>
      <c r="C4072" s="3" t="inlineStr">
        <is>
          <t>OH</t>
        </is>
      </c>
      <c r="D4072" s="15" t="n">
        <v>0.125</v>
      </c>
      <c r="E4072" s="4" t="n">
        <v>145000</v>
      </c>
      <c r="F4072" s="4" t="n">
        <v>18125</v>
      </c>
    </row>
    <row r="4073">
      <c r="A4073" s="3" t="inlineStr">
        <is>
          <t>3</t>
        </is>
      </c>
      <c r="B4073" s="3" t="inlineStr">
        <is>
          <t>Kepala tukang</t>
        </is>
      </c>
      <c r="C4073" s="3" t="inlineStr">
        <is>
          <t>OH</t>
        </is>
      </c>
      <c r="D4073" s="15" t="n">
        <v>0.013</v>
      </c>
      <c r="E4073" s="4" t="n">
        <v>175000</v>
      </c>
      <c r="F4073" s="4" t="n">
        <v>2275</v>
      </c>
    </row>
    <row r="4074">
      <c r="A4074" s="3" t="inlineStr">
        <is>
          <t>4</t>
        </is>
      </c>
      <c r="B4074" s="3" t="inlineStr">
        <is>
          <t>Mandor</t>
        </is>
      </c>
      <c r="C4074" s="3" t="inlineStr">
        <is>
          <t>OH</t>
        </is>
      </c>
      <c r="D4074" s="15" t="n">
        <v>0.004</v>
      </c>
      <c r="E4074" s="4" t="n">
        <v>200000</v>
      </c>
      <c r="F4074" s="4" t="n">
        <v>800</v>
      </c>
    </row>
    <row r="4075">
      <c r="A4075" s="3" t="inlineStr">
        <is>
          <t>1</t>
        </is>
      </c>
      <c r="B4075" s="3" t="inlineStr">
        <is>
          <t>Besi hollow galvanis 40.40</t>
        </is>
      </c>
      <c r="C4075" s="3" t="inlineStr">
        <is>
          <t>m'</t>
        </is>
      </c>
      <c r="D4075" s="15" t="n">
        <v>4</v>
      </c>
      <c r="E4075" s="4" t="n">
        <v>6250</v>
      </c>
      <c r="F4075" s="4" t="n">
        <v>25000</v>
      </c>
    </row>
    <row r="4076">
      <c r="A4076" s="3" t="inlineStr">
        <is>
          <t>2</t>
        </is>
      </c>
      <c r="B4076" s="3" t="inlineStr">
        <is>
          <t>Kawat las</t>
        </is>
      </c>
      <c r="C4076" s="3" t="inlineStr">
        <is>
          <t>kg</t>
        </is>
      </c>
      <c r="D4076" s="15" t="n">
        <v>0.05</v>
      </c>
      <c r="E4076" s="4" t="n">
        <v>45550</v>
      </c>
      <c r="F4076" s="4" t="n">
        <v>2277.5</v>
      </c>
    </row>
    <row r="4077">
      <c r="A4077" s="3" t="inlineStr">
        <is>
          <t>3</t>
        </is>
      </c>
      <c r="B4077" s="3" t="inlineStr">
        <is>
          <t>Paku rivet</t>
        </is>
      </c>
      <c r="C4077" s="3" t="inlineStr">
        <is>
          <t>buah</t>
        </is>
      </c>
      <c r="D4077" s="15" t="n">
        <v>4</v>
      </c>
      <c r="E4077" s="4" t="n">
        <v>200</v>
      </c>
      <c r="F4077" s="4" t="n">
        <v>800</v>
      </c>
    </row>
    <row r="4078">
      <c r="D4078" s="2" t="inlineStr">
        <is>
          <t>SUBTOTAL UPAH</t>
        </is>
      </c>
      <c r="F4078" s="16" t="n">
        <v>33700</v>
      </c>
    </row>
    <row r="4079">
      <c r="D4079" s="2" t="inlineStr">
        <is>
          <t>SUBTOTAL BAHAN</t>
        </is>
      </c>
      <c r="F4079" s="16" t="n">
        <v>28077.5</v>
      </c>
    </row>
    <row r="4080">
      <c r="D4080" s="2" t="inlineStr">
        <is>
          <t>SUBTOTAL ALAT</t>
        </is>
      </c>
      <c r="F4080" s="16" t="n">
        <v>0</v>
      </c>
    </row>
    <row r="4081">
      <c r="E4081" s="2" t="inlineStr">
        <is>
          <t>TOTAL HARGA SATUAN (Inc. Overhead)</t>
        </is>
      </c>
      <c r="F4081" s="17" t="n">
        <v>67955</v>
      </c>
    </row>
    <row r="4083">
      <c r="A4083" s="14" t="inlineStr">
        <is>
          <t>KODE: 3.10.6.2 - Pemasangan 1 m2 rangka dinding pemisah 60x120 cm kayu kelas II atau III</t>
        </is>
      </c>
    </row>
    <row r="4084">
      <c r="A4084" s="10" t="inlineStr">
        <is>
          <t>No</t>
        </is>
      </c>
      <c r="B4084" s="10" t="inlineStr">
        <is>
          <t>Uraian Komponen</t>
        </is>
      </c>
      <c r="C4084" s="10" t="inlineStr">
        <is>
          <t>Satuan</t>
        </is>
      </c>
      <c r="D4084" s="10" t="inlineStr">
        <is>
          <t>Koef</t>
        </is>
      </c>
      <c r="E4084" s="10" t="inlineStr">
        <is>
          <t>Harga Satuan (Rp)</t>
        </is>
      </c>
      <c r="F4084" s="10" t="inlineStr">
        <is>
          <t>Jumlah Harga (Rp)</t>
        </is>
      </c>
    </row>
    <row r="4085">
      <c r="A4085" s="3" t="inlineStr">
        <is>
          <t>1</t>
        </is>
      </c>
      <c r="B4085" s="3" t="inlineStr">
        <is>
          <t>Pekerja</t>
        </is>
      </c>
      <c r="C4085" s="3" t="inlineStr">
        <is>
          <t>OH</t>
        </is>
      </c>
      <c r="D4085" s="15" t="n">
        <v>0.1</v>
      </c>
      <c r="E4085" s="4" t="n">
        <v>100000</v>
      </c>
      <c r="F4085" s="4" t="n">
        <v>10000</v>
      </c>
    </row>
    <row r="4086">
      <c r="A4086" s="3" t="inlineStr">
        <is>
          <t>2</t>
        </is>
      </c>
      <c r="B4086" s="3" t="inlineStr">
        <is>
          <t>Tukang kayu</t>
        </is>
      </c>
      <c r="C4086" s="3" t="inlineStr">
        <is>
          <t>OH</t>
        </is>
      </c>
      <c r="D4086" s="15" t="n">
        <v>0.45</v>
      </c>
      <c r="E4086" s="4" t="n">
        <v>145000</v>
      </c>
      <c r="F4086" s="4" t="n">
        <v>65250</v>
      </c>
    </row>
    <row r="4087">
      <c r="A4087" s="3" t="inlineStr">
        <is>
          <t>3</t>
        </is>
      </c>
      <c r="B4087" s="3" t="inlineStr">
        <is>
          <t>Kepala tukang</t>
        </is>
      </c>
      <c r="C4087" s="3" t="inlineStr">
        <is>
          <t>OH</t>
        </is>
      </c>
      <c r="D4087" s="15" t="n">
        <v>0.045</v>
      </c>
      <c r="E4087" s="4" t="n">
        <v>175000</v>
      </c>
      <c r="F4087" s="4" t="n">
        <v>7875</v>
      </c>
    </row>
    <row r="4088">
      <c r="A4088" s="3" t="inlineStr">
        <is>
          <t>4</t>
        </is>
      </c>
      <c r="B4088" s="3" t="inlineStr">
        <is>
          <t>Mandor</t>
        </is>
      </c>
      <c r="C4088" s="3" t="inlineStr">
        <is>
          <t>OH</t>
        </is>
      </c>
      <c r="D4088" s="15" t="n">
        <v>0.015</v>
      </c>
      <c r="E4088" s="4" t="n">
        <v>200000</v>
      </c>
      <c r="F4088" s="4" t="n">
        <v>3000</v>
      </c>
    </row>
    <row r="4089">
      <c r="A4089" s="3" t="inlineStr">
        <is>
          <t>1</t>
        </is>
      </c>
      <c r="B4089" s="3" t="inlineStr">
        <is>
          <t>Kayu Balok Kelas II</t>
        </is>
      </c>
      <c r="C4089" s="3" t="inlineStr">
        <is>
          <t>m3</t>
        </is>
      </c>
      <c r="D4089" s="15" t="n">
        <v>0.028</v>
      </c>
      <c r="E4089" s="4" t="n">
        <v>20000000</v>
      </c>
      <c r="F4089" s="4" t="n">
        <v>560000</v>
      </c>
    </row>
    <row r="4090">
      <c r="A4090" s="3" t="inlineStr">
        <is>
          <t>2</t>
        </is>
      </c>
      <c r="B4090" s="3" t="inlineStr">
        <is>
          <t>Paku 5 dan 7 cm</t>
        </is>
      </c>
      <c r="C4090" s="3" t="inlineStr">
        <is>
          <t>kg</t>
        </is>
      </c>
      <c r="D4090" s="15" t="n">
        <v>0.15</v>
      </c>
      <c r="E4090" s="4" t="n">
        <v>20000</v>
      </c>
      <c r="F4090" s="4" t="n">
        <v>3000</v>
      </c>
    </row>
    <row r="4091">
      <c r="D4091" s="2" t="inlineStr">
        <is>
          <t>SUBTOTAL UPAH</t>
        </is>
      </c>
      <c r="F4091" s="16" t="n">
        <v>86125</v>
      </c>
    </row>
    <row r="4092">
      <c r="D4092" s="2" t="inlineStr">
        <is>
          <t>SUBTOTAL BAHAN</t>
        </is>
      </c>
      <c r="F4092" s="16" t="n">
        <v>563000</v>
      </c>
    </row>
    <row r="4093">
      <c r="D4093" s="2" t="inlineStr">
        <is>
          <t>SUBTOTAL ALAT</t>
        </is>
      </c>
      <c r="F4093" s="16" t="n">
        <v>0</v>
      </c>
    </row>
    <row r="4094">
      <c r="E4094" s="2" t="inlineStr">
        <is>
          <t>TOTAL HARGA SATUAN (Inc. Overhead)</t>
        </is>
      </c>
      <c r="F4094" s="17" t="n">
        <v>714037</v>
      </c>
    </row>
    <row r="4096">
      <c r="A4096" s="14" t="inlineStr">
        <is>
          <t>KODE: 3.10.6.3 - Pemasangan 1 m2 Rangka Besi Hollow Galvanis 20x40 mm</t>
        </is>
      </c>
    </row>
    <row r="4097">
      <c r="A4097" s="10" t="inlineStr">
        <is>
          <t>No</t>
        </is>
      </c>
      <c r="B4097" s="10" t="inlineStr">
        <is>
          <t>Uraian Komponen</t>
        </is>
      </c>
      <c r="C4097" s="10" t="inlineStr">
        <is>
          <t>Satuan</t>
        </is>
      </c>
      <c r="D4097" s="10" t="inlineStr">
        <is>
          <t>Koef</t>
        </is>
      </c>
      <c r="E4097" s="10" t="inlineStr">
        <is>
          <t>Harga Satuan (Rp)</t>
        </is>
      </c>
      <c r="F4097" s="10" t="inlineStr">
        <is>
          <t>Jumlah Harga (Rp)</t>
        </is>
      </c>
    </row>
    <row r="4098">
      <c r="A4098" s="3" t="inlineStr">
        <is>
          <t>1</t>
        </is>
      </c>
      <c r="B4098" s="3" t="inlineStr">
        <is>
          <t>Pekerja</t>
        </is>
      </c>
      <c r="C4098" s="3" t="inlineStr">
        <is>
          <t>OH</t>
        </is>
      </c>
      <c r="D4098" s="15" t="n">
        <v>0.139</v>
      </c>
      <c r="E4098" s="4" t="n">
        <v>100000</v>
      </c>
      <c r="F4098" s="4" t="n">
        <v>13900</v>
      </c>
    </row>
    <row r="4099">
      <c r="A4099" s="3" t="inlineStr">
        <is>
          <t>2</t>
        </is>
      </c>
      <c r="B4099" s="3" t="inlineStr">
        <is>
          <t>Tukang besi</t>
        </is>
      </c>
      <c r="C4099" s="3" t="inlineStr">
        <is>
          <t>OH</t>
        </is>
      </c>
      <c r="D4099" s="15" t="n">
        <v>0.139</v>
      </c>
      <c r="E4099" s="4" t="n">
        <v>145000</v>
      </c>
      <c r="F4099" s="4" t="n">
        <v>20155</v>
      </c>
    </row>
    <row r="4100">
      <c r="A4100" s="3" t="inlineStr">
        <is>
          <t>3</t>
        </is>
      </c>
      <c r="B4100" s="3" t="inlineStr">
        <is>
          <t>Kepala tukang</t>
        </is>
      </c>
      <c r="C4100" s="3" t="inlineStr">
        <is>
          <t>OH</t>
        </is>
      </c>
      <c r="D4100" s="15" t="n">
        <v>0.014</v>
      </c>
      <c r="E4100" s="4" t="n">
        <v>175000</v>
      </c>
      <c r="F4100" s="4" t="n">
        <v>2450</v>
      </c>
    </row>
    <row r="4101">
      <c r="A4101" s="3" t="inlineStr">
        <is>
          <t>4</t>
        </is>
      </c>
      <c r="B4101" s="3" t="inlineStr">
        <is>
          <t>Mandor</t>
        </is>
      </c>
      <c r="C4101" s="3" t="inlineStr">
        <is>
          <t>OH</t>
        </is>
      </c>
      <c r="D4101" s="15" t="n">
        <v>0.005</v>
      </c>
      <c r="E4101" s="4" t="n">
        <v>200000</v>
      </c>
      <c r="F4101" s="4" t="n">
        <v>1000</v>
      </c>
    </row>
    <row r="4102">
      <c r="A4102" s="3" t="inlineStr">
        <is>
          <t>1</t>
        </is>
      </c>
      <c r="B4102" s="3" t="inlineStr">
        <is>
          <t>Metal Hollow 20x40 mm</t>
        </is>
      </c>
      <c r="C4102" s="3" t="inlineStr">
        <is>
          <t>m'</t>
        </is>
      </c>
      <c r="D4102" s="15" t="n">
        <v>5.37</v>
      </c>
      <c r="E4102" s="4" t="n">
        <v>7500</v>
      </c>
      <c r="F4102" s="4" t="n">
        <v>40275</v>
      </c>
    </row>
    <row r="4103">
      <c r="A4103" s="3" t="inlineStr">
        <is>
          <t>2</t>
        </is>
      </c>
      <c r="B4103" s="3" t="inlineStr">
        <is>
          <t>Kawat las</t>
        </is>
      </c>
      <c r="C4103" s="3" t="inlineStr">
        <is>
          <t>kg</t>
        </is>
      </c>
      <c r="D4103" s="15" t="n">
        <v>0.05</v>
      </c>
      <c r="E4103" s="4" t="n">
        <v>45550</v>
      </c>
      <c r="F4103" s="4" t="n">
        <v>2277.5</v>
      </c>
    </row>
    <row r="4104">
      <c r="A4104" s="3" t="inlineStr">
        <is>
          <t>2</t>
        </is>
      </c>
      <c r="B4104" s="3" t="inlineStr">
        <is>
          <t>Paku rivet</t>
        </is>
      </c>
      <c r="C4104" s="3" t="inlineStr">
        <is>
          <t>buah</t>
        </is>
      </c>
      <c r="D4104" s="15" t="n">
        <v>10</v>
      </c>
      <c r="E4104" s="4" t="n">
        <v>200</v>
      </c>
      <c r="F4104" s="4" t="n">
        <v>2000</v>
      </c>
    </row>
    <row r="4105">
      <c r="D4105" s="2" t="inlineStr">
        <is>
          <t>SUBTOTAL UPAH</t>
        </is>
      </c>
      <c r="F4105" s="16" t="n">
        <v>37505</v>
      </c>
    </row>
    <row r="4106">
      <c r="D4106" s="2" t="inlineStr">
        <is>
          <t>SUBTOTAL BAHAN</t>
        </is>
      </c>
      <c r="F4106" s="16" t="n">
        <v>44552.5</v>
      </c>
    </row>
    <row r="4107">
      <c r="D4107" s="2" t="inlineStr">
        <is>
          <t>SUBTOTAL ALAT</t>
        </is>
      </c>
      <c r="F4107" s="16" t="n">
        <v>0</v>
      </c>
    </row>
    <row r="4108">
      <c r="E4108" s="2" t="inlineStr">
        <is>
          <t>TOTAL HARGA SATUAN (Inc. Overhead)</t>
        </is>
      </c>
      <c r="F4108" s="17" t="n">
        <v>90263</v>
      </c>
    </row>
    <row r="4110">
      <c r="A4110" s="14" t="inlineStr">
        <is>
          <t>KODE: 3.11.1.1 - Pemasangan 1 m2 rolling door besi</t>
        </is>
      </c>
    </row>
    <row r="4111">
      <c r="A4111" s="10" t="inlineStr">
        <is>
          <t>No</t>
        </is>
      </c>
      <c r="B4111" s="10" t="inlineStr">
        <is>
          <t>Uraian Komponen</t>
        </is>
      </c>
      <c r="C4111" s="10" t="inlineStr">
        <is>
          <t>Satuan</t>
        </is>
      </c>
      <c r="D4111" s="10" t="inlineStr">
        <is>
          <t>Koef</t>
        </is>
      </c>
      <c r="E4111" s="10" t="inlineStr">
        <is>
          <t>Harga Satuan (Rp)</t>
        </is>
      </c>
      <c r="F4111" s="10" t="inlineStr">
        <is>
          <t>Jumlah Harga (Rp)</t>
        </is>
      </c>
    </row>
    <row r="4112">
      <c r="A4112" s="3" t="inlineStr">
        <is>
          <t>1</t>
        </is>
      </c>
      <c r="B4112" s="3" t="inlineStr">
        <is>
          <t>Pekerja OH</t>
        </is>
      </c>
      <c r="C4112" s="3" t="inlineStr">
        <is>
          <t>0.1333</t>
        </is>
      </c>
      <c r="D4112" s="15" t="n">
        <v>100000</v>
      </c>
      <c r="E4112" s="4" t="n">
        <v>13330</v>
      </c>
      <c r="F4112" s="4" t="n">
        <v>0.1</v>
      </c>
    </row>
    <row r="4113">
      <c r="A4113" s="3" t="inlineStr">
        <is>
          <t>2</t>
        </is>
      </c>
      <c r="B4113" s="3" t="inlineStr">
        <is>
          <t>Tukang besi</t>
        </is>
      </c>
      <c r="C4113" s="3" t="inlineStr">
        <is>
          <t>OH</t>
        </is>
      </c>
      <c r="D4113" s="15" t="n">
        <v>0.0667</v>
      </c>
      <c r="E4113" s="4" t="n">
        <v>145000</v>
      </c>
      <c r="F4113" s="4" t="n">
        <v>9671.5</v>
      </c>
    </row>
    <row r="4114">
      <c r="A4114" s="3" t="inlineStr">
        <is>
          <t>3</t>
        </is>
      </c>
      <c r="B4114" s="3" t="inlineStr">
        <is>
          <t>Kepala tukang</t>
        </is>
      </c>
      <c r="C4114" s="3" t="inlineStr">
        <is>
          <t>OH</t>
        </is>
      </c>
      <c r="D4114" s="15" t="n">
        <v>0.0067</v>
      </c>
      <c r="E4114" s="4" t="n">
        <v>175000</v>
      </c>
      <c r="F4114" s="4" t="n">
        <v>1172.5</v>
      </c>
    </row>
    <row r="4115">
      <c r="A4115" s="3" t="inlineStr">
        <is>
          <t>4</t>
        </is>
      </c>
      <c r="B4115" s="3" t="inlineStr">
        <is>
          <t>Mandor</t>
        </is>
      </c>
      <c r="C4115" s="3" t="inlineStr">
        <is>
          <t>OH</t>
        </is>
      </c>
      <c r="D4115" s="15" t="n">
        <v>0.0022</v>
      </c>
      <c r="E4115" s="4" t="n">
        <v>200000</v>
      </c>
      <c r="F4115" s="4" t="n">
        <v>440</v>
      </c>
    </row>
    <row r="4116">
      <c r="A4116" s="3" t="inlineStr">
        <is>
          <t>1</t>
        </is>
      </c>
      <c r="B4116" s="3" t="inlineStr">
        <is>
          <t>Rolling door besi</t>
        </is>
      </c>
      <c r="C4116" s="3" t="inlineStr">
        <is>
          <t>m2</t>
        </is>
      </c>
      <c r="D4116" s="15" t="n">
        <v>1</v>
      </c>
      <c r="E4116" s="4" t="n">
        <v>509100</v>
      </c>
      <c r="F4116" s="4" t="n">
        <v>509100</v>
      </c>
    </row>
    <row r="4117">
      <c r="A4117" s="3" t="inlineStr">
        <is>
          <t>1</t>
        </is>
      </c>
      <c r="B4117" s="3" t="inlineStr">
        <is>
          <t>Alat Las Listrik</t>
        </is>
      </c>
      <c r="C4117" s="3" t="inlineStr">
        <is>
          <t>hari</t>
        </is>
      </c>
      <c r="D4117" s="15" t="n">
        <v>0.0667</v>
      </c>
      <c r="E4117" s="4" t="n">
        <v>3125</v>
      </c>
      <c r="F4117" s="4" t="n">
        <v>208.4375</v>
      </c>
    </row>
    <row r="4118">
      <c r="D4118" s="2" t="inlineStr">
        <is>
          <t>SUBTOTAL UPAH</t>
        </is>
      </c>
      <c r="F4118" s="16" t="n">
        <v>24614</v>
      </c>
    </row>
    <row r="4119">
      <c r="D4119" s="2" t="inlineStr">
        <is>
          <t>SUBTOTAL BAHAN</t>
        </is>
      </c>
      <c r="F4119" s="16" t="n">
        <v>509100</v>
      </c>
    </row>
    <row r="4120">
      <c r="D4120" s="2" t="inlineStr">
        <is>
          <t>SUBTOTAL ALAT</t>
        </is>
      </c>
      <c r="F4120" s="16" t="n">
        <v>208.4375</v>
      </c>
    </row>
    <row r="4121">
      <c r="E4121" s="2" t="inlineStr">
        <is>
          <t>TOTAL HARGA SATUAN (Inc. Overhead)</t>
        </is>
      </c>
      <c r="F4121" s="17" t="n">
        <v>587314</v>
      </c>
    </row>
    <row r="4123">
      <c r="A4123" s="14" t="inlineStr">
        <is>
          <t>KODE: 3.11.1.2 - Pemasangan 1 m2 rolling door alumunium</t>
        </is>
      </c>
    </row>
    <row r="4124">
      <c r="A4124" s="10" t="inlineStr">
        <is>
          <t>No</t>
        </is>
      </c>
      <c r="B4124" s="10" t="inlineStr">
        <is>
          <t>Uraian Komponen</t>
        </is>
      </c>
      <c r="C4124" s="10" t="inlineStr">
        <is>
          <t>Satuan</t>
        </is>
      </c>
      <c r="D4124" s="10" t="inlineStr">
        <is>
          <t>Koef</t>
        </is>
      </c>
      <c r="E4124" s="10" t="inlineStr">
        <is>
          <t>Harga Satuan (Rp)</t>
        </is>
      </c>
      <c r="F4124" s="10" t="inlineStr">
        <is>
          <t>Jumlah Harga (Rp)</t>
        </is>
      </c>
    </row>
    <row r="4125">
      <c r="A4125" s="3" t="inlineStr">
        <is>
          <t>1</t>
        </is>
      </c>
      <c r="B4125" s="3" t="inlineStr">
        <is>
          <t>Pekerja</t>
        </is>
      </c>
      <c r="C4125" s="3" t="inlineStr">
        <is>
          <t>OH</t>
        </is>
      </c>
      <c r="D4125" s="15" t="n">
        <v>0.1</v>
      </c>
      <c r="E4125" s="4" t="n">
        <v>100000</v>
      </c>
      <c r="F4125" s="4" t="n">
        <v>10000</v>
      </c>
    </row>
    <row r="4126">
      <c r="A4126" s="3" t="inlineStr">
        <is>
          <t>2</t>
        </is>
      </c>
      <c r="B4126" s="3" t="inlineStr">
        <is>
          <t>Tukang alumunium</t>
        </is>
      </c>
      <c r="C4126" s="3" t="inlineStr">
        <is>
          <t>OH</t>
        </is>
      </c>
      <c r="D4126" s="15" t="n">
        <v>0.05</v>
      </c>
      <c r="E4126" s="4" t="n">
        <v>145000</v>
      </c>
      <c r="F4126" s="4" t="n">
        <v>7250</v>
      </c>
    </row>
    <row r="4127">
      <c r="A4127" s="3" t="inlineStr">
        <is>
          <t>3</t>
        </is>
      </c>
      <c r="B4127" s="3" t="inlineStr">
        <is>
          <t>Kepala tukang</t>
        </is>
      </c>
      <c r="C4127" s="3" t="inlineStr">
        <is>
          <t>OH</t>
        </is>
      </c>
      <c r="D4127" s="15" t="n">
        <v>0.005</v>
      </c>
      <c r="E4127" s="4" t="n">
        <v>175000</v>
      </c>
      <c r="F4127" s="4" t="n">
        <v>875</v>
      </c>
    </row>
    <row r="4128">
      <c r="A4128" s="3" t="inlineStr">
        <is>
          <t>4</t>
        </is>
      </c>
      <c r="B4128" s="3" t="inlineStr">
        <is>
          <t>Mandor</t>
        </is>
      </c>
      <c r="C4128" s="3" t="inlineStr">
        <is>
          <t>OH</t>
        </is>
      </c>
      <c r="D4128" s="15" t="n">
        <v>0.0017</v>
      </c>
      <c r="E4128" s="4" t="n">
        <v>200000</v>
      </c>
      <c r="F4128" s="4" t="n">
        <v>340</v>
      </c>
    </row>
    <row r="4129">
      <c r="A4129" s="3" t="inlineStr">
        <is>
          <t>1</t>
        </is>
      </c>
      <c r="B4129" s="3" t="inlineStr">
        <is>
          <t>Rolling door aluminium</t>
        </is>
      </c>
      <c r="C4129" s="3" t="inlineStr">
        <is>
          <t>m2</t>
        </is>
      </c>
      <c r="D4129" s="15" t="n">
        <v>1</v>
      </c>
      <c r="E4129" s="4" t="n">
        <v>600600</v>
      </c>
      <c r="F4129" s="4" t="n">
        <v>600600</v>
      </c>
    </row>
    <row r="4130">
      <c r="D4130" s="2" t="inlineStr">
        <is>
          <t>SUBTOTAL UPAH</t>
        </is>
      </c>
      <c r="F4130" s="16" t="n">
        <v>18465</v>
      </c>
    </row>
    <row r="4131">
      <c r="D4131" s="2" t="inlineStr">
        <is>
          <t>SUBTOTAL BAHAN</t>
        </is>
      </c>
      <c r="F4131" s="16" t="n">
        <v>600600</v>
      </c>
    </row>
    <row r="4132">
      <c r="D4132" s="2" t="inlineStr">
        <is>
          <t>SUBTOTAL ALAT</t>
        </is>
      </c>
      <c r="F4132" s="16" t="n">
        <v>0</v>
      </c>
    </row>
    <row r="4133">
      <c r="E4133" s="2" t="inlineStr">
        <is>
          <t>TOTAL HARGA SATUAN (Inc. Overhead)</t>
        </is>
      </c>
      <c r="F4133" s="17" t="n">
        <v>680971</v>
      </c>
    </row>
    <row r="4135">
      <c r="A4135" s="14" t="inlineStr">
        <is>
          <t>KODE: 3.11.1.3 - Pemasangan 1 m2 pintu lipat PVC</t>
        </is>
      </c>
    </row>
    <row r="4136">
      <c r="A4136" s="10" t="inlineStr">
        <is>
          <t>No</t>
        </is>
      </c>
      <c r="B4136" s="10" t="inlineStr">
        <is>
          <t>Uraian Komponen</t>
        </is>
      </c>
      <c r="C4136" s="10" t="inlineStr">
        <is>
          <t>Satuan</t>
        </is>
      </c>
      <c r="D4136" s="10" t="inlineStr">
        <is>
          <t>Koef</t>
        </is>
      </c>
      <c r="E4136" s="10" t="inlineStr">
        <is>
          <t>Harga Satuan (Rp)</t>
        </is>
      </c>
      <c r="F4136" s="10" t="inlineStr">
        <is>
          <t>Jumlah Harga (Rp)</t>
        </is>
      </c>
    </row>
    <row r="4137">
      <c r="A4137" s="3" t="inlineStr">
        <is>
          <t>1</t>
        </is>
      </c>
      <c r="B4137" s="3" t="inlineStr">
        <is>
          <t>Pekerja</t>
        </is>
      </c>
      <c r="C4137" s="3" t="inlineStr">
        <is>
          <t>OH</t>
        </is>
      </c>
      <c r="D4137" s="15" t="n">
        <v>0.08</v>
      </c>
      <c r="E4137" s="4" t="n">
        <v>100000</v>
      </c>
      <c r="F4137" s="4" t="n">
        <v>8000</v>
      </c>
    </row>
    <row r="4138">
      <c r="A4138" s="3" t="inlineStr">
        <is>
          <t>2</t>
        </is>
      </c>
      <c r="B4138" s="3" t="inlineStr">
        <is>
          <t>Tukang alumunium</t>
        </is>
      </c>
      <c r="C4138" s="3" t="inlineStr">
        <is>
          <t>OH</t>
        </is>
      </c>
      <c r="D4138" s="15" t="n">
        <v>0.04</v>
      </c>
      <c r="E4138" s="4" t="n">
        <v>145000</v>
      </c>
      <c r="F4138" s="4" t="n">
        <v>5800</v>
      </c>
    </row>
    <row r="4139">
      <c r="A4139" s="3" t="inlineStr">
        <is>
          <t>3</t>
        </is>
      </c>
      <c r="B4139" s="3" t="inlineStr">
        <is>
          <t>Kepala tukang</t>
        </is>
      </c>
      <c r="C4139" s="3" t="inlineStr">
        <is>
          <t>OH</t>
        </is>
      </c>
      <c r="D4139" s="15" t="n">
        <v>0.004</v>
      </c>
      <c r="E4139" s="4" t="n">
        <v>175000</v>
      </c>
      <c r="F4139" s="4" t="n">
        <v>700</v>
      </c>
    </row>
    <row r="4140">
      <c r="A4140" s="3" t="inlineStr">
        <is>
          <t>4</t>
        </is>
      </c>
      <c r="B4140" s="3" t="inlineStr">
        <is>
          <t>Mandor</t>
        </is>
      </c>
      <c r="C4140" s="3" t="inlineStr">
        <is>
          <t>OH</t>
        </is>
      </c>
      <c r="D4140" s="15" t="n">
        <v>0.001</v>
      </c>
      <c r="E4140" s="4" t="n">
        <v>200000</v>
      </c>
      <c r="F4140" s="4" t="n">
        <v>200</v>
      </c>
    </row>
    <row r="4141">
      <c r="A4141" s="3" t="inlineStr">
        <is>
          <t>1</t>
        </is>
      </c>
      <c r="B4141" s="3" t="inlineStr">
        <is>
          <t>Pintu lipat PVC</t>
        </is>
      </c>
      <c r="C4141" s="3" t="inlineStr">
        <is>
          <t>m2</t>
        </is>
      </c>
      <c r="D4141" s="15" t="n">
        <v>1</v>
      </c>
      <c r="E4141" s="4" t="n">
        <v>750000</v>
      </c>
      <c r="F4141" s="4" t="n">
        <v>750000</v>
      </c>
    </row>
    <row r="4142">
      <c r="D4142" s="2" t="inlineStr">
        <is>
          <t>SUBTOTAL UPAH</t>
        </is>
      </c>
      <c r="F4142" s="16" t="n">
        <v>14700</v>
      </c>
    </row>
    <row r="4143">
      <c r="D4143" s="2" t="inlineStr">
        <is>
          <t>SUBTOTAL BAHAN</t>
        </is>
      </c>
      <c r="F4143" s="16" t="n">
        <v>750000</v>
      </c>
    </row>
    <row r="4144">
      <c r="D4144" s="2" t="inlineStr">
        <is>
          <t>SUBTOTAL ALAT</t>
        </is>
      </c>
      <c r="F4144" s="16" t="n">
        <v>0</v>
      </c>
    </row>
    <row r="4145">
      <c r="E4145" s="2" t="inlineStr">
        <is>
          <t>TOTAL HARGA SATUAN (Inc. Overhead)</t>
        </is>
      </c>
      <c r="F4145" s="17" t="n">
        <v>841170</v>
      </c>
    </row>
    <row r="4147">
      <c r="A4147" s="14" t="inlineStr">
        <is>
          <t>KODE: 3.11.1.4 - Pemasangan 1 m2 pintu aluminium strip lebar 8 cm</t>
        </is>
      </c>
    </row>
    <row r="4148">
      <c r="A4148" s="10" t="inlineStr">
        <is>
          <t>No</t>
        </is>
      </c>
      <c r="B4148" s="10" t="inlineStr">
        <is>
          <t>Uraian Komponen</t>
        </is>
      </c>
      <c r="C4148" s="10" t="inlineStr">
        <is>
          <t>Satuan</t>
        </is>
      </c>
      <c r="D4148" s="10" t="inlineStr">
        <is>
          <t>Koef</t>
        </is>
      </c>
      <c r="E4148" s="10" t="inlineStr">
        <is>
          <t>Harga Satuan (Rp)</t>
        </is>
      </c>
      <c r="F4148" s="10" t="inlineStr">
        <is>
          <t>Jumlah Harga (Rp)</t>
        </is>
      </c>
    </row>
    <row r="4149">
      <c r="A4149" s="3" t="inlineStr">
        <is>
          <t>1</t>
        </is>
      </c>
      <c r="B4149" s="3" t="inlineStr">
        <is>
          <t>Pekerja</t>
        </is>
      </c>
      <c r="C4149" s="3" t="inlineStr">
        <is>
          <t>OH</t>
        </is>
      </c>
      <c r="D4149" s="15" t="n">
        <v>0.08500000000000001</v>
      </c>
      <c r="E4149" s="4" t="n">
        <v>100000</v>
      </c>
      <c r="F4149" s="4" t="n">
        <v>8500</v>
      </c>
    </row>
    <row r="4150">
      <c r="A4150" s="3" t="inlineStr">
        <is>
          <t>2</t>
        </is>
      </c>
      <c r="B4150" s="3" t="inlineStr">
        <is>
          <t>Tukang alumunium</t>
        </is>
      </c>
      <c r="C4150" s="3" t="inlineStr">
        <is>
          <t>OH</t>
        </is>
      </c>
      <c r="D4150" s="15" t="n">
        <v>0.08500000000000001</v>
      </c>
      <c r="E4150" s="4" t="n">
        <v>145000</v>
      </c>
      <c r="F4150" s="4" t="n">
        <v>12325</v>
      </c>
    </row>
    <row r="4151">
      <c r="A4151" s="3" t="inlineStr">
        <is>
          <t>3</t>
        </is>
      </c>
      <c r="B4151" s="3" t="inlineStr">
        <is>
          <t>Kepala tukang</t>
        </is>
      </c>
      <c r="C4151" s="3" t="inlineStr">
        <is>
          <t>OH</t>
        </is>
      </c>
      <c r="D4151" s="15" t="n">
        <v>0.008999999999999999</v>
      </c>
      <c r="E4151" s="4" t="n">
        <v>175000</v>
      </c>
      <c r="F4151" s="4" t="n">
        <v>1575</v>
      </c>
    </row>
    <row r="4152">
      <c r="A4152" s="3" t="inlineStr">
        <is>
          <t>4</t>
        </is>
      </c>
      <c r="B4152" s="3" t="inlineStr">
        <is>
          <t>Mandor</t>
        </is>
      </c>
      <c r="C4152" s="3" t="inlineStr">
        <is>
          <t>OH</t>
        </is>
      </c>
      <c r="D4152" s="15" t="n">
        <v>0.003</v>
      </c>
      <c r="E4152" s="4" t="n">
        <v>200000</v>
      </c>
      <c r="F4152" s="4" t="n">
        <v>600</v>
      </c>
    </row>
    <row r="4153">
      <c r="A4153" s="3" t="inlineStr">
        <is>
          <t>1</t>
        </is>
      </c>
      <c r="B4153" s="3" t="inlineStr">
        <is>
          <t>Profil Aluminium</t>
        </is>
      </c>
      <c r="C4153" s="3" t="inlineStr">
        <is>
          <t>m'</t>
        </is>
      </c>
      <c r="D4153" s="15" t="n">
        <v>4.4</v>
      </c>
      <c r="E4153" s="4" t="n">
        <v>130000</v>
      </c>
      <c r="F4153" s="4" t="n">
        <v>572000</v>
      </c>
    </row>
    <row r="4154">
      <c r="A4154" s="3" t="inlineStr">
        <is>
          <t>2</t>
        </is>
      </c>
      <c r="B4154" s="3" t="inlineStr">
        <is>
          <t>Aluminium Strip</t>
        </is>
      </c>
      <c r="C4154" s="3" t="inlineStr">
        <is>
          <t>m'</t>
        </is>
      </c>
      <c r="D4154" s="15" t="n">
        <v>14.6</v>
      </c>
      <c r="E4154" s="4" t="n">
        <v>50000</v>
      </c>
      <c r="F4154" s="4" t="n">
        <v>730000</v>
      </c>
    </row>
    <row r="4155">
      <c r="D4155" s="2" t="inlineStr">
        <is>
          <t>SUBTOTAL UPAH</t>
        </is>
      </c>
      <c r="F4155" s="16" t="n">
        <v>23000</v>
      </c>
    </row>
    <row r="4156">
      <c r="D4156" s="2" t="inlineStr">
        <is>
          <t>SUBTOTAL BAHAN</t>
        </is>
      </c>
      <c r="F4156" s="16" t="n">
        <v>1302000</v>
      </c>
    </row>
    <row r="4157">
      <c r="D4157" s="2" t="inlineStr">
        <is>
          <t>SUBTOTAL ALAT</t>
        </is>
      </c>
      <c r="F4157" s="16" t="n">
        <v>0</v>
      </c>
    </row>
    <row r="4158">
      <c r="E4158" s="2" t="inlineStr">
        <is>
          <t>TOTAL HARGA SATUAN (Inc. Overhead)</t>
        </is>
      </c>
      <c r="F4158" s="17" t="n">
        <v>1457500</v>
      </c>
    </row>
    <row r="4160">
      <c r="A4160" s="14" t="inlineStr">
        <is>
          <t>KODE: 3.11.1.5 - Pemasangan 1 m2 pintu kaca Tebal 6 mm rangka aluminium</t>
        </is>
      </c>
    </row>
    <row r="4161">
      <c r="A4161" s="10" t="inlineStr">
        <is>
          <t>No</t>
        </is>
      </c>
      <c r="B4161" s="10" t="inlineStr">
        <is>
          <t>Uraian Komponen</t>
        </is>
      </c>
      <c r="C4161" s="10" t="inlineStr">
        <is>
          <t>Satuan</t>
        </is>
      </c>
      <c r="D4161" s="10" t="inlineStr">
        <is>
          <t>Koef</t>
        </is>
      </c>
      <c r="E4161" s="10" t="inlineStr">
        <is>
          <t>Harga Satuan (Rp)</t>
        </is>
      </c>
      <c r="F4161" s="10" t="inlineStr">
        <is>
          <t>Jumlah Harga (Rp)</t>
        </is>
      </c>
    </row>
    <row r="4162">
      <c r="A4162" s="3" t="inlineStr">
        <is>
          <t>1</t>
        </is>
      </c>
      <c r="B4162" s="3" t="inlineStr">
        <is>
          <t>Pekerja</t>
        </is>
      </c>
      <c r="C4162" s="3" t="inlineStr">
        <is>
          <t>OH</t>
        </is>
      </c>
      <c r="D4162" s="15" t="n">
        <v>0.08500000000000001</v>
      </c>
      <c r="E4162" s="4" t="n">
        <v>100000</v>
      </c>
      <c r="F4162" s="4" t="n">
        <v>8500</v>
      </c>
    </row>
    <row r="4163">
      <c r="A4163" s="3" t="inlineStr">
        <is>
          <t>2</t>
        </is>
      </c>
      <c r="B4163" s="3" t="inlineStr">
        <is>
          <t>Tukang alumunium</t>
        </is>
      </c>
      <c r="C4163" s="3" t="inlineStr">
        <is>
          <t>OH</t>
        </is>
      </c>
      <c r="D4163" s="15" t="n">
        <v>0.08500000000000001</v>
      </c>
      <c r="E4163" s="4" t="n">
        <v>145000</v>
      </c>
      <c r="F4163" s="4" t="n">
        <v>12325</v>
      </c>
    </row>
    <row r="4164">
      <c r="A4164" s="3" t="inlineStr">
        <is>
          <t>3</t>
        </is>
      </c>
      <c r="B4164" s="3" t="inlineStr">
        <is>
          <t>Kepala tukang</t>
        </is>
      </c>
      <c r="C4164" s="3" t="inlineStr">
        <is>
          <t>OH</t>
        </is>
      </c>
      <c r="D4164" s="15" t="n">
        <v>0.008999999999999999</v>
      </c>
      <c r="E4164" s="4" t="n">
        <v>175000</v>
      </c>
      <c r="F4164" s="4" t="n">
        <v>1575</v>
      </c>
    </row>
    <row r="4165">
      <c r="A4165" s="3" t="inlineStr">
        <is>
          <t>4</t>
        </is>
      </c>
      <c r="B4165" s="3" t="inlineStr">
        <is>
          <t>Mandor</t>
        </is>
      </c>
      <c r="C4165" s="3" t="inlineStr">
        <is>
          <t>OH</t>
        </is>
      </c>
      <c r="D4165" s="15" t="n">
        <v>0.003</v>
      </c>
      <c r="E4165" s="4" t="n">
        <v>200000</v>
      </c>
      <c r="F4165" s="4" t="n">
        <v>600</v>
      </c>
    </row>
    <row r="4166">
      <c r="A4166" s="3" t="inlineStr">
        <is>
          <t>1</t>
        </is>
      </c>
      <c r="B4166" s="3" t="inlineStr">
        <is>
          <t>Rangka Aluminium</t>
        </is>
      </c>
      <c r="C4166" s="3" t="inlineStr">
        <is>
          <t>m'</t>
        </is>
      </c>
      <c r="D4166" s="15" t="n">
        <v>4.4</v>
      </c>
      <c r="E4166" s="4" t="n">
        <v>39000</v>
      </c>
      <c r="F4166" s="4" t="n">
        <v>171600</v>
      </c>
    </row>
    <row r="4167">
      <c r="A4167" s="3" t="inlineStr">
        <is>
          <t>2</t>
        </is>
      </c>
      <c r="B4167" s="3" t="inlineStr">
        <is>
          <t>Profil Kaca tebal 6 mm</t>
        </is>
      </c>
      <c r="C4167" s="3" t="inlineStr">
        <is>
          <t>m2</t>
        </is>
      </c>
      <c r="D4167" s="15" t="n">
        <v>1.1</v>
      </c>
      <c r="E4167" s="4" t="n">
        <v>15000</v>
      </c>
      <c r="F4167" s="4" t="n">
        <v>16500</v>
      </c>
    </row>
    <row r="4168">
      <c r="A4168" s="3" t="inlineStr">
        <is>
          <t>3</t>
        </is>
      </c>
      <c r="B4168" s="3" t="inlineStr">
        <is>
          <t>Sealant</t>
        </is>
      </c>
      <c r="C4168" s="3" t="inlineStr">
        <is>
          <t>tube</t>
        </is>
      </c>
      <c r="D4168" s="15" t="n">
        <v>0.27</v>
      </c>
      <c r="E4168" s="4" t="n">
        <v>33100</v>
      </c>
      <c r="F4168" s="4" t="n">
        <v>8937</v>
      </c>
    </row>
    <row r="4169">
      <c r="D4169" s="2" t="inlineStr">
        <is>
          <t>SUBTOTAL UPAH</t>
        </is>
      </c>
      <c r="F4169" s="16" t="n">
        <v>23000</v>
      </c>
    </row>
    <row r="4170">
      <c r="D4170" s="2" t="inlineStr">
        <is>
          <t>SUBTOTAL BAHAN</t>
        </is>
      </c>
      <c r="F4170" s="16" t="n">
        <v>197037</v>
      </c>
    </row>
    <row r="4171">
      <c r="D4171" s="2" t="inlineStr">
        <is>
          <t>SUBTOTAL ALAT</t>
        </is>
      </c>
      <c r="F4171" s="16" t="n">
        <v>0</v>
      </c>
    </row>
    <row r="4172">
      <c r="E4172" s="2" t="inlineStr">
        <is>
          <t>TOTAL HARGA SATUAN (Inc. Overhead)</t>
        </is>
      </c>
      <c r="F4172" s="17" t="n">
        <v>242040</v>
      </c>
    </row>
    <row r="4174">
      <c r="A4174" s="14" t="inlineStr">
        <is>
          <t>KODE: 3.11.1.6 - Pemasangan 1 m2 jendela kacaTebal 6 mm  rangka aluminium</t>
        </is>
      </c>
    </row>
    <row r="4175">
      <c r="A4175" s="10" t="inlineStr">
        <is>
          <t>No</t>
        </is>
      </c>
      <c r="B4175" s="10" t="inlineStr">
        <is>
          <t>Uraian Komponen</t>
        </is>
      </c>
      <c r="C4175" s="10" t="inlineStr">
        <is>
          <t>Satuan</t>
        </is>
      </c>
      <c r="D4175" s="10" t="inlineStr">
        <is>
          <t>Koef</t>
        </is>
      </c>
      <c r="E4175" s="10" t="inlineStr">
        <is>
          <t>Harga Satuan (Rp)</t>
        </is>
      </c>
      <c r="F4175" s="10" t="inlineStr">
        <is>
          <t>Jumlah Harga (Rp)</t>
        </is>
      </c>
    </row>
    <row r="4176">
      <c r="A4176" s="3" t="inlineStr">
        <is>
          <t>1</t>
        </is>
      </c>
      <c r="B4176" s="3" t="inlineStr">
        <is>
          <t>Pekerja</t>
        </is>
      </c>
      <c r="C4176" s="3" t="inlineStr">
        <is>
          <t>OH</t>
        </is>
      </c>
      <c r="D4176" s="15" t="n">
        <v>0.08500000000000001</v>
      </c>
      <c r="E4176" s="4" t="n">
        <v>100000</v>
      </c>
      <c r="F4176" s="4" t="n">
        <v>8500</v>
      </c>
    </row>
    <row r="4177">
      <c r="A4177" s="3" t="inlineStr">
        <is>
          <t>2</t>
        </is>
      </c>
      <c r="B4177" s="3" t="inlineStr">
        <is>
          <t>Tukang alumunium</t>
        </is>
      </c>
      <c r="C4177" s="3" t="inlineStr">
        <is>
          <t>OH</t>
        </is>
      </c>
      <c r="D4177" s="15" t="n">
        <v>0.08500000000000001</v>
      </c>
      <c r="E4177" s="4" t="n">
        <v>145000</v>
      </c>
      <c r="F4177" s="4" t="n">
        <v>12325</v>
      </c>
    </row>
    <row r="4178">
      <c r="A4178" s="3" t="inlineStr">
        <is>
          <t>3</t>
        </is>
      </c>
      <c r="B4178" s="3" t="inlineStr">
        <is>
          <t>Kepala tukang</t>
        </is>
      </c>
      <c r="C4178" s="3" t="inlineStr">
        <is>
          <t>OH</t>
        </is>
      </c>
      <c r="D4178" s="15" t="n">
        <v>0.008999999999999999</v>
      </c>
      <c r="E4178" s="4" t="n">
        <v>175000</v>
      </c>
      <c r="F4178" s="4" t="n">
        <v>1575</v>
      </c>
    </row>
    <row r="4179">
      <c r="A4179" s="3" t="inlineStr">
        <is>
          <t>4</t>
        </is>
      </c>
      <c r="B4179" s="3" t="inlineStr">
        <is>
          <t>Mandor</t>
        </is>
      </c>
      <c r="C4179" s="3" t="inlineStr">
        <is>
          <t>OH</t>
        </is>
      </c>
      <c r="D4179" s="15" t="n">
        <v>0.003</v>
      </c>
      <c r="E4179" s="4" t="n">
        <v>200000</v>
      </c>
      <c r="F4179" s="4" t="n">
        <v>600</v>
      </c>
    </row>
    <row r="4180">
      <c r="A4180" s="3" t="inlineStr">
        <is>
          <t>1</t>
        </is>
      </c>
      <c r="B4180" s="3" t="inlineStr">
        <is>
          <t>Rangka Aluminium</t>
        </is>
      </c>
      <c r="C4180" s="3" t="inlineStr">
        <is>
          <t>m'</t>
        </is>
      </c>
      <c r="D4180" s="15" t="n">
        <v>4.4</v>
      </c>
      <c r="E4180" s="4" t="n">
        <v>39000</v>
      </c>
      <c r="F4180" s="4" t="n">
        <v>171600</v>
      </c>
    </row>
    <row r="4181">
      <c r="A4181" s="3" t="inlineStr">
        <is>
          <t>2</t>
        </is>
      </c>
      <c r="B4181" s="3" t="inlineStr">
        <is>
          <t>Profil kaca tebal 6 mm</t>
        </is>
      </c>
      <c r="C4181" s="3" t="inlineStr">
        <is>
          <t>m2</t>
        </is>
      </c>
      <c r="D4181" s="15" t="n">
        <v>1.1</v>
      </c>
      <c r="E4181" s="4" t="n">
        <v>15000</v>
      </c>
      <c r="F4181" s="4" t="n">
        <v>16500</v>
      </c>
    </row>
    <row r="4182">
      <c r="A4182" s="3" t="inlineStr">
        <is>
          <t>3</t>
        </is>
      </c>
      <c r="B4182" s="3" t="inlineStr">
        <is>
          <t>Sealant</t>
        </is>
      </c>
      <c r="C4182" s="3" t="inlineStr">
        <is>
          <t>tube</t>
        </is>
      </c>
      <c r="D4182" s="15" t="n">
        <v>0.27</v>
      </c>
      <c r="E4182" s="4" t="n">
        <v>33100</v>
      </c>
      <c r="F4182" s="4" t="n">
        <v>8937</v>
      </c>
    </row>
    <row r="4183">
      <c r="D4183" s="2" t="inlineStr">
        <is>
          <t>SUBTOTAL UPAH</t>
        </is>
      </c>
      <c r="F4183" s="16" t="n">
        <v>23000</v>
      </c>
    </row>
    <row r="4184">
      <c r="D4184" s="2" t="inlineStr">
        <is>
          <t>SUBTOTAL BAHAN</t>
        </is>
      </c>
      <c r="F4184" s="16" t="n">
        <v>197037</v>
      </c>
    </row>
    <row r="4185">
      <c r="D4185" s="2" t="inlineStr">
        <is>
          <t>SUBTOTAL ALAT</t>
        </is>
      </c>
      <c r="F4185" s="16" t="n">
        <v>0</v>
      </c>
    </row>
    <row r="4186">
      <c r="E4186" s="2" t="inlineStr">
        <is>
          <t>TOTAL HARGA SATUAN (Inc. Overhead)</t>
        </is>
      </c>
      <c r="F4186" s="17" t="n">
        <v>242040</v>
      </c>
    </row>
    <row r="4188">
      <c r="A4188" s="14" t="inlineStr">
        <is>
          <t>KODE: 3.11.1.7 - Pembuatan dan pemasangan 1 m2 pintu klamp standar, kayu kelas II</t>
        </is>
      </c>
    </row>
    <row r="4189">
      <c r="A4189" s="10" t="inlineStr">
        <is>
          <t>No</t>
        </is>
      </c>
      <c r="B4189" s="10" t="inlineStr">
        <is>
          <t>Uraian Komponen</t>
        </is>
      </c>
      <c r="C4189" s="10" t="inlineStr">
        <is>
          <t>Satuan</t>
        </is>
      </c>
      <c r="D4189" s="10" t="inlineStr">
        <is>
          <t>Koef</t>
        </is>
      </c>
      <c r="E4189" s="10" t="inlineStr">
        <is>
          <t>Harga Satuan (Rp)</t>
        </is>
      </c>
      <c r="F4189" s="10" t="inlineStr">
        <is>
          <t>Jumlah Harga (Rp)</t>
        </is>
      </c>
    </row>
    <row r="4190">
      <c r="A4190" s="3" t="inlineStr">
        <is>
          <t>1</t>
        </is>
      </c>
      <c r="B4190" s="3" t="inlineStr">
        <is>
          <t>Pekerja</t>
        </is>
      </c>
      <c r="C4190" s="3" t="inlineStr">
        <is>
          <t>OH</t>
        </is>
      </c>
      <c r="D4190" s="15" t="n">
        <v>0.5952</v>
      </c>
      <c r="E4190" s="4" t="n">
        <v>100000</v>
      </c>
      <c r="F4190" s="4" t="n">
        <v>59519.99999999999</v>
      </c>
    </row>
    <row r="4191">
      <c r="A4191" s="3" t="inlineStr">
        <is>
          <t>2</t>
        </is>
      </c>
      <c r="B4191" s="3" t="inlineStr">
        <is>
          <t>Tukang kayu</t>
        </is>
      </c>
      <c r="C4191" s="3" t="inlineStr">
        <is>
          <t>OH</t>
        </is>
      </c>
      <c r="D4191" s="15" t="n">
        <v>0.2976</v>
      </c>
      <c r="E4191" s="4" t="n">
        <v>145000</v>
      </c>
      <c r="F4191" s="4" t="n">
        <v>43152</v>
      </c>
    </row>
    <row r="4192">
      <c r="A4192" s="3" t="inlineStr">
        <is>
          <t>3</t>
        </is>
      </c>
      <c r="B4192" s="3" t="inlineStr">
        <is>
          <t>Kepala tukang</t>
        </is>
      </c>
      <c r="C4192" s="3" t="inlineStr">
        <is>
          <t>OH</t>
        </is>
      </c>
      <c r="D4192" s="15" t="n">
        <v>0.0298</v>
      </c>
      <c r="E4192" s="4" t="n">
        <v>175000</v>
      </c>
      <c r="F4192" s="4" t="n">
        <v>5215</v>
      </c>
    </row>
    <row r="4193">
      <c r="A4193" s="3" t="inlineStr">
        <is>
          <t>4</t>
        </is>
      </c>
      <c r="B4193" s="3" t="inlineStr">
        <is>
          <t>Mandor</t>
        </is>
      </c>
      <c r="C4193" s="3" t="inlineStr">
        <is>
          <t>OH</t>
        </is>
      </c>
      <c r="D4193" s="15" t="n">
        <v>0.009900000000000001</v>
      </c>
      <c r="E4193" s="4" t="n">
        <v>200000</v>
      </c>
      <c r="F4193" s="4" t="n">
        <v>1980</v>
      </c>
    </row>
    <row r="4194">
      <c r="A4194" s="3" t="inlineStr">
        <is>
          <t>1</t>
        </is>
      </c>
      <c r="B4194" s="3" t="inlineStr">
        <is>
          <t>Kayu papan kelas II</t>
        </is>
      </c>
      <c r="C4194" s="3" t="inlineStr">
        <is>
          <t>m3</t>
        </is>
      </c>
      <c r="D4194" s="15" t="n">
        <v>0.04</v>
      </c>
      <c r="E4194" s="4" t="n">
        <v>14000000</v>
      </c>
      <c r="F4194" s="4" t="n">
        <v>560000</v>
      </c>
    </row>
    <row r="4195">
      <c r="A4195" s="3" t="inlineStr">
        <is>
          <t>2</t>
        </is>
      </c>
      <c r="B4195" s="3" t="inlineStr">
        <is>
          <t>Paku 2 inch</t>
        </is>
      </c>
      <c r="C4195" s="3" t="inlineStr">
        <is>
          <t>kg</t>
        </is>
      </c>
      <c r="D4195" s="15" t="n">
        <v>0.05</v>
      </c>
      <c r="E4195" s="4" t="n">
        <v>18000</v>
      </c>
      <c r="F4195" s="4" t="n">
        <v>900</v>
      </c>
    </row>
    <row r="4196">
      <c r="D4196" s="2" t="inlineStr">
        <is>
          <t>SUBTOTAL UPAH</t>
        </is>
      </c>
      <c r="F4196" s="16" t="n">
        <v>109867</v>
      </c>
    </row>
    <row r="4197">
      <c r="D4197" s="2" t="inlineStr">
        <is>
          <t>SUBTOTAL BAHAN</t>
        </is>
      </c>
      <c r="F4197" s="16" t="n">
        <v>560900</v>
      </c>
    </row>
    <row r="4198">
      <c r="D4198" s="2" t="inlineStr">
        <is>
          <t>SUBTOTAL ALAT</t>
        </is>
      </c>
      <c r="F4198" s="16" t="n">
        <v>0</v>
      </c>
    </row>
    <row r="4199">
      <c r="E4199" s="2" t="inlineStr">
        <is>
          <t>TOTAL HARGA SATUAN (Inc. Overhead)</t>
        </is>
      </c>
      <c r="F4199" s="17" t="n">
        <v>737843</v>
      </c>
    </row>
    <row r="4201">
      <c r="A4201" s="14" t="inlineStr">
        <is>
          <t>KODE: 3.11.1.8 - Pembuatan dan pemasangan 1 m2 pintu klamp sederhana, kayu kelas III</t>
        </is>
      </c>
    </row>
    <row r="4202">
      <c r="A4202" s="10" t="inlineStr">
        <is>
          <t>No</t>
        </is>
      </c>
      <c r="B4202" s="10" t="inlineStr">
        <is>
          <t>Uraian Komponen</t>
        </is>
      </c>
      <c r="C4202" s="10" t="inlineStr">
        <is>
          <t>Satuan</t>
        </is>
      </c>
      <c r="D4202" s="10" t="inlineStr">
        <is>
          <t>Koef</t>
        </is>
      </c>
      <c r="E4202" s="10" t="inlineStr">
        <is>
          <t>Harga Satuan (Rp)</t>
        </is>
      </c>
      <c r="F4202" s="10" t="inlineStr">
        <is>
          <t>Jumlah Harga (Rp)</t>
        </is>
      </c>
    </row>
    <row r="4203">
      <c r="A4203" s="3" t="inlineStr">
        <is>
          <t>1</t>
        </is>
      </c>
      <c r="B4203" s="3" t="inlineStr">
        <is>
          <t>Pekerja</t>
        </is>
      </c>
      <c r="C4203" s="3" t="inlineStr">
        <is>
          <t>OH</t>
        </is>
      </c>
      <c r="D4203" s="15" t="n">
        <v>0.35</v>
      </c>
      <c r="E4203" s="4" t="n">
        <v>100000</v>
      </c>
      <c r="F4203" s="4" t="n">
        <v>35000</v>
      </c>
    </row>
    <row r="4204">
      <c r="A4204" s="3" t="inlineStr">
        <is>
          <t>2</t>
        </is>
      </c>
      <c r="B4204" s="3" t="inlineStr">
        <is>
          <t>Tukang kayu</t>
        </is>
      </c>
      <c r="C4204" s="3" t="inlineStr">
        <is>
          <t>OH</t>
        </is>
      </c>
      <c r="D4204" s="15" t="n">
        <v>1.05</v>
      </c>
      <c r="E4204" s="4" t="n">
        <v>145000</v>
      </c>
      <c r="F4204" s="4" t="n">
        <v>152250</v>
      </c>
    </row>
    <row r="4205">
      <c r="A4205" s="3" t="inlineStr">
        <is>
          <t>3</t>
        </is>
      </c>
      <c r="B4205" s="3" t="inlineStr">
        <is>
          <t>Kepala tukang</t>
        </is>
      </c>
      <c r="C4205" s="3" t="inlineStr">
        <is>
          <t>OH</t>
        </is>
      </c>
      <c r="D4205" s="15" t="n">
        <v>0.105</v>
      </c>
      <c r="E4205" s="4" t="n">
        <v>175000</v>
      </c>
      <c r="F4205" s="4" t="n">
        <v>18375</v>
      </c>
    </row>
    <row r="4206">
      <c r="A4206" s="3" t="inlineStr">
        <is>
          <t>4</t>
        </is>
      </c>
      <c r="B4206" s="3" t="inlineStr">
        <is>
          <t>Mandor</t>
        </is>
      </c>
      <c r="C4206" s="3" t="inlineStr">
        <is>
          <t>OH</t>
        </is>
      </c>
      <c r="D4206" s="15" t="n">
        <v>0.035</v>
      </c>
      <c r="E4206" s="4" t="n">
        <v>200000</v>
      </c>
      <c r="F4206" s="4" t="n">
        <v>7000.000000000001</v>
      </c>
    </row>
    <row r="4207">
      <c r="A4207" s="3" t="inlineStr">
        <is>
          <t>1</t>
        </is>
      </c>
      <c r="B4207" s="3" t="inlineStr">
        <is>
          <t>Kayu papan kelas III</t>
        </is>
      </c>
      <c r="C4207" s="3" t="inlineStr">
        <is>
          <t>m3</t>
        </is>
      </c>
      <c r="D4207" s="15" t="n">
        <v>0.04</v>
      </c>
      <c r="E4207" s="4" t="n">
        <v>8000000</v>
      </c>
      <c r="F4207" s="4" t="n">
        <v>320000</v>
      </c>
    </row>
    <row r="4208">
      <c r="A4208" s="3" t="inlineStr">
        <is>
          <t>2</t>
        </is>
      </c>
      <c r="B4208" s="3" t="inlineStr">
        <is>
          <t>Paku 5 dan 7 cm</t>
        </is>
      </c>
      <c r="C4208" s="3" t="inlineStr">
        <is>
          <t>kg</t>
        </is>
      </c>
      <c r="D4208" s="15" t="n">
        <v>0.05</v>
      </c>
      <c r="E4208" s="4" t="n">
        <v>20000</v>
      </c>
      <c r="F4208" s="4" t="n">
        <v>1000</v>
      </c>
    </row>
    <row r="4209">
      <c r="D4209" s="2" t="inlineStr">
        <is>
          <t>SUBTOTAL UPAH</t>
        </is>
      </c>
      <c r="F4209" s="16" t="n">
        <v>212625</v>
      </c>
    </row>
    <row r="4210">
      <c r="D4210" s="2" t="inlineStr">
        <is>
          <t>SUBTOTAL BAHAN</t>
        </is>
      </c>
      <c r="F4210" s="16" t="n">
        <v>321000</v>
      </c>
    </row>
    <row r="4211">
      <c r="D4211" s="2" t="inlineStr">
        <is>
          <t>SUBTOTAL ALAT</t>
        </is>
      </c>
      <c r="F4211" s="16" t="n">
        <v>0</v>
      </c>
    </row>
    <row r="4212">
      <c r="E4212" s="2" t="inlineStr">
        <is>
          <t>TOTAL HARGA SATUAN (Inc. Overhead)</t>
        </is>
      </c>
      <c r="F4212" s="17" t="n">
        <v>586987</v>
      </c>
    </row>
    <row r="4214">
      <c r="A4214" s="14" t="inlineStr">
        <is>
          <t>KODE: 3.11.1.9 - Pembuatan 1 m2 pintu dan jendela kaca, kayu kelas I atau II</t>
        </is>
      </c>
    </row>
    <row r="4215">
      <c r="A4215" s="10" t="inlineStr">
        <is>
          <t>No</t>
        </is>
      </c>
      <c r="B4215" s="10" t="inlineStr">
        <is>
          <t>Uraian Komponen</t>
        </is>
      </c>
      <c r="C4215" s="10" t="inlineStr">
        <is>
          <t>Satuan</t>
        </is>
      </c>
      <c r="D4215" s="10" t="inlineStr">
        <is>
          <t>Koef</t>
        </is>
      </c>
      <c r="E4215" s="10" t="inlineStr">
        <is>
          <t>Harga Satuan (Rp)</t>
        </is>
      </c>
      <c r="F4215" s="10" t="inlineStr">
        <is>
          <t>Jumlah Harga (Rp)</t>
        </is>
      </c>
    </row>
    <row r="4216">
      <c r="A4216" s="3" t="inlineStr">
        <is>
          <t>1</t>
        </is>
      </c>
      <c r="B4216" s="3" t="inlineStr">
        <is>
          <t>Pekerja</t>
        </is>
      </c>
      <c r="C4216" s="3" t="inlineStr">
        <is>
          <t>OH</t>
        </is>
      </c>
      <c r="D4216" s="15" t="n">
        <v>0.5952</v>
      </c>
      <c r="E4216" s="4" t="n">
        <v>100000</v>
      </c>
      <c r="F4216" s="4" t="n">
        <v>59519.99999999999</v>
      </c>
    </row>
    <row r="4217">
      <c r="A4217" s="3" t="inlineStr">
        <is>
          <t>2</t>
        </is>
      </c>
      <c r="B4217" s="3" t="inlineStr">
        <is>
          <t>Tukang kayu</t>
        </is>
      </c>
      <c r="C4217" s="3" t="inlineStr">
        <is>
          <t>OH</t>
        </is>
      </c>
      <c r="D4217" s="15" t="n">
        <v>0.2976</v>
      </c>
      <c r="E4217" s="4" t="n">
        <v>145000</v>
      </c>
      <c r="F4217" s="4" t="n">
        <v>43152</v>
      </c>
    </row>
    <row r="4218">
      <c r="A4218" s="3" t="inlineStr">
        <is>
          <t>3</t>
        </is>
      </c>
      <c r="B4218" s="3" t="inlineStr">
        <is>
          <t>Kepala tukang</t>
        </is>
      </c>
      <c r="C4218" s="3" t="inlineStr">
        <is>
          <t>OH</t>
        </is>
      </c>
      <c r="D4218" s="15" t="n">
        <v>0.0298</v>
      </c>
      <c r="E4218" s="4" t="n">
        <v>175000</v>
      </c>
      <c r="F4218" s="4" t="n">
        <v>5215</v>
      </c>
    </row>
    <row r="4219">
      <c r="A4219" s="3" t="inlineStr">
        <is>
          <t>4</t>
        </is>
      </c>
      <c r="B4219" s="3" t="inlineStr">
        <is>
          <t>Mandor</t>
        </is>
      </c>
      <c r="C4219" s="3" t="inlineStr">
        <is>
          <t>OH</t>
        </is>
      </c>
      <c r="D4219" s="15" t="n">
        <v>0.009900000000000001</v>
      </c>
      <c r="E4219" s="4" t="n">
        <v>200000</v>
      </c>
      <c r="F4219" s="4" t="n">
        <v>1980</v>
      </c>
    </row>
    <row r="4220">
      <c r="A4220" s="3" t="inlineStr">
        <is>
          <t>1</t>
        </is>
      </c>
      <c r="B4220" s="3" t="inlineStr">
        <is>
          <t>Kayu papan kelas II</t>
        </is>
      </c>
      <c r="C4220" s="3" t="inlineStr">
        <is>
          <t>m3</t>
        </is>
      </c>
      <c r="D4220" s="15" t="n">
        <v>0.024</v>
      </c>
      <c r="E4220" s="4" t="n">
        <v>14000000</v>
      </c>
      <c r="F4220" s="4" t="n">
        <v>336000</v>
      </c>
    </row>
    <row r="4221">
      <c r="A4221" s="3" t="inlineStr">
        <is>
          <t>2</t>
        </is>
      </c>
      <c r="B4221" s="3" t="inlineStr">
        <is>
          <t>Lem Kayu</t>
        </is>
      </c>
      <c r="C4221" s="3" t="inlineStr">
        <is>
          <t>kg</t>
        </is>
      </c>
      <c r="D4221" s="15" t="n">
        <v>0.3</v>
      </c>
      <c r="E4221" s="4" t="n">
        <v>16400</v>
      </c>
      <c r="F4221" s="4" t="n">
        <v>4920</v>
      </c>
    </row>
    <row r="4222">
      <c r="D4222" s="2" t="inlineStr">
        <is>
          <t>SUBTOTAL UPAH</t>
        </is>
      </c>
      <c r="F4222" s="16" t="n">
        <v>109867</v>
      </c>
    </row>
    <row r="4223">
      <c r="D4223" s="2" t="inlineStr">
        <is>
          <t>SUBTOTAL BAHAN</t>
        </is>
      </c>
      <c r="F4223" s="16" t="n">
        <v>340920</v>
      </c>
    </row>
    <row r="4224">
      <c r="D4224" s="2" t="inlineStr">
        <is>
          <t>SUBTOTAL ALAT</t>
        </is>
      </c>
      <c r="F4224" s="16" t="n">
        <v>0</v>
      </c>
    </row>
    <row r="4225">
      <c r="E4225" s="2" t="inlineStr">
        <is>
          <t>TOTAL HARGA SATUAN (Inc. Overhead)</t>
        </is>
      </c>
      <c r="F4225" s="17" t="n">
        <v>495865</v>
      </c>
    </row>
    <row r="4227">
      <c r="A4227" s="14" t="inlineStr">
        <is>
          <t>KODE: 3.11.1.10 - Pembuatan 1 m2 pintu dan jendela jalusi, kayu kelas I atau II</t>
        </is>
      </c>
    </row>
    <row r="4228">
      <c r="A4228" s="10" t="inlineStr">
        <is>
          <t>No</t>
        </is>
      </c>
      <c r="B4228" s="10" t="inlineStr">
        <is>
          <t>Uraian Komponen</t>
        </is>
      </c>
      <c r="C4228" s="10" t="inlineStr">
        <is>
          <t>Satuan</t>
        </is>
      </c>
      <c r="D4228" s="10" t="inlineStr">
        <is>
          <t>Koef</t>
        </is>
      </c>
      <c r="E4228" s="10" t="inlineStr">
        <is>
          <t>Harga Satuan (Rp)</t>
        </is>
      </c>
      <c r="F4228" s="10" t="inlineStr">
        <is>
          <t>Jumlah Harga (Rp)</t>
        </is>
      </c>
    </row>
    <row r="4229">
      <c r="A4229" s="3" t="inlineStr">
        <is>
          <t>1</t>
        </is>
      </c>
      <c r="B4229" s="3" t="inlineStr">
        <is>
          <t>Pekerja</t>
        </is>
      </c>
      <c r="C4229" s="3" t="inlineStr">
        <is>
          <t>OH</t>
        </is>
      </c>
      <c r="D4229" s="15" t="n">
        <v>1</v>
      </c>
      <c r="E4229" s="4" t="n">
        <v>100000</v>
      </c>
      <c r="F4229" s="4" t="n">
        <v>100000</v>
      </c>
    </row>
    <row r="4230">
      <c r="A4230" s="3" t="inlineStr">
        <is>
          <t>2</t>
        </is>
      </c>
      <c r="B4230" s="3" t="inlineStr">
        <is>
          <t>Tukang kayu</t>
        </is>
      </c>
      <c r="C4230" s="3" t="inlineStr">
        <is>
          <t>OH</t>
        </is>
      </c>
      <c r="D4230" s="15" t="n">
        <v>3</v>
      </c>
      <c r="E4230" s="4" t="n">
        <v>145000</v>
      </c>
      <c r="F4230" s="4" t="n">
        <v>435000</v>
      </c>
    </row>
    <row r="4231">
      <c r="A4231" s="3" t="inlineStr">
        <is>
          <t>3</t>
        </is>
      </c>
      <c r="B4231" s="3" t="inlineStr">
        <is>
          <t>Kepala tukang</t>
        </is>
      </c>
      <c r="C4231" s="3" t="inlineStr">
        <is>
          <t>OH</t>
        </is>
      </c>
      <c r="D4231" s="15" t="n">
        <v>0.3</v>
      </c>
      <c r="E4231" s="4" t="n">
        <v>175000</v>
      </c>
      <c r="F4231" s="4" t="n">
        <v>52500</v>
      </c>
    </row>
    <row r="4232">
      <c r="A4232" s="3" t="inlineStr">
        <is>
          <t>4</t>
        </is>
      </c>
      <c r="B4232" s="3" t="inlineStr">
        <is>
          <t>Mandor</t>
        </is>
      </c>
      <c r="C4232" s="3" t="inlineStr">
        <is>
          <t>OH</t>
        </is>
      </c>
      <c r="D4232" s="15" t="n">
        <v>0.1</v>
      </c>
      <c r="E4232" s="4" t="n">
        <v>200000</v>
      </c>
      <c r="F4232" s="4" t="n">
        <v>20000</v>
      </c>
    </row>
    <row r="4233">
      <c r="A4233" s="3" t="inlineStr">
        <is>
          <t>1</t>
        </is>
      </c>
      <c r="B4233" s="3" t="inlineStr">
        <is>
          <t>Kayu papan kelas II</t>
        </is>
      </c>
      <c r="C4233" s="3" t="inlineStr">
        <is>
          <t>m3</t>
        </is>
      </c>
      <c r="D4233" s="15" t="n">
        <v>0.064</v>
      </c>
      <c r="E4233" s="4" t="n">
        <v>14000000</v>
      </c>
      <c r="F4233" s="4" t="n">
        <v>896000</v>
      </c>
    </row>
    <row r="4234">
      <c r="A4234" s="3" t="inlineStr">
        <is>
          <t>2</t>
        </is>
      </c>
      <c r="B4234" s="3" t="inlineStr">
        <is>
          <t>Lem Kayu</t>
        </is>
      </c>
      <c r="C4234" s="3" t="inlineStr">
        <is>
          <t>kg</t>
        </is>
      </c>
      <c r="D4234" s="15" t="n">
        <v>0.5</v>
      </c>
      <c r="E4234" s="4" t="n">
        <v>16400</v>
      </c>
      <c r="F4234" s="4" t="n">
        <v>8200</v>
      </c>
    </row>
    <row r="4235">
      <c r="D4235" s="2" t="inlineStr">
        <is>
          <t>SUBTOTAL UPAH</t>
        </is>
      </c>
      <c r="F4235" s="16" t="n">
        <v>607500</v>
      </c>
    </row>
    <row r="4236">
      <c r="D4236" s="2" t="inlineStr">
        <is>
          <t>SUBTOTAL BAHAN</t>
        </is>
      </c>
      <c r="F4236" s="16" t="n">
        <v>904200</v>
      </c>
    </row>
    <row r="4237">
      <c r="D4237" s="2" t="inlineStr">
        <is>
          <t>SUBTOTAL ALAT</t>
        </is>
      </c>
      <c r="F4237" s="16" t="n">
        <v>0</v>
      </c>
    </row>
    <row r="4238">
      <c r="E4238" s="2" t="inlineStr">
        <is>
          <t>TOTAL HARGA SATUAN (Inc. Overhead)</t>
        </is>
      </c>
      <c r="F4238" s="17" t="n">
        <v>1662870</v>
      </c>
    </row>
    <row r="4240">
      <c r="A4240" s="14" t="inlineStr">
        <is>
          <t>KODE: 3.11.1.11 - Pembuatan 1 m2 daun pintu panel, kayu kelas I atau II</t>
        </is>
      </c>
    </row>
    <row r="4241">
      <c r="A4241" s="10" t="inlineStr">
        <is>
          <t>No</t>
        </is>
      </c>
      <c r="B4241" s="10" t="inlineStr">
        <is>
          <t>Uraian Komponen</t>
        </is>
      </c>
      <c r="C4241" s="10" t="inlineStr">
        <is>
          <t>Satuan</t>
        </is>
      </c>
      <c r="D4241" s="10" t="inlineStr">
        <is>
          <t>Koef</t>
        </is>
      </c>
      <c r="E4241" s="10" t="inlineStr">
        <is>
          <t>Harga Satuan (Rp)</t>
        </is>
      </c>
      <c r="F4241" s="10" t="inlineStr">
        <is>
          <t>Jumlah Harga (Rp)</t>
        </is>
      </c>
    </row>
    <row r="4242">
      <c r="A4242" s="3" t="inlineStr">
        <is>
          <t>1</t>
        </is>
      </c>
      <c r="B4242" s="3" t="inlineStr">
        <is>
          <t>Pekerja</t>
        </is>
      </c>
      <c r="C4242" s="3" t="inlineStr">
        <is>
          <t>OH</t>
        </is>
      </c>
      <c r="D4242" s="15" t="n">
        <v>1</v>
      </c>
      <c r="E4242" s="4" t="n">
        <v>100000</v>
      </c>
      <c r="F4242" s="4" t="n">
        <v>100000</v>
      </c>
    </row>
    <row r="4243">
      <c r="A4243" s="3" t="inlineStr">
        <is>
          <t>2</t>
        </is>
      </c>
      <c r="B4243" s="3" t="inlineStr">
        <is>
          <t>Tukang kayu</t>
        </is>
      </c>
      <c r="C4243" s="3" t="inlineStr">
        <is>
          <t>OH</t>
        </is>
      </c>
      <c r="D4243" s="15" t="n">
        <v>3</v>
      </c>
      <c r="E4243" s="4" t="n">
        <v>145000</v>
      </c>
      <c r="F4243" s="4" t="n">
        <v>435000</v>
      </c>
    </row>
    <row r="4244">
      <c r="A4244" s="3" t="inlineStr">
        <is>
          <t>3</t>
        </is>
      </c>
      <c r="B4244" s="3" t="inlineStr">
        <is>
          <t>Kepala tukang</t>
        </is>
      </c>
      <c r="C4244" s="3" t="inlineStr">
        <is>
          <t>OH</t>
        </is>
      </c>
      <c r="D4244" s="15" t="n">
        <v>0.3</v>
      </c>
      <c r="E4244" s="4" t="n">
        <v>175000</v>
      </c>
      <c r="F4244" s="4" t="n">
        <v>52500</v>
      </c>
    </row>
    <row r="4245">
      <c r="A4245" s="3" t="inlineStr">
        <is>
          <t>4</t>
        </is>
      </c>
      <c r="B4245" s="3" t="inlineStr">
        <is>
          <t>Mandor</t>
        </is>
      </c>
      <c r="C4245" s="3" t="inlineStr">
        <is>
          <t>OH</t>
        </is>
      </c>
      <c r="D4245" s="15" t="n">
        <v>0.1</v>
      </c>
      <c r="E4245" s="4" t="n">
        <v>200000</v>
      </c>
      <c r="F4245" s="4" t="n">
        <v>20000</v>
      </c>
    </row>
    <row r="4246">
      <c r="A4246" s="3" t="inlineStr">
        <is>
          <t>1</t>
        </is>
      </c>
      <c r="B4246" s="3" t="inlineStr">
        <is>
          <t>Kayu papan kelas II</t>
        </is>
      </c>
      <c r="C4246" s="3" t="inlineStr">
        <is>
          <t>m3</t>
        </is>
      </c>
      <c r="D4246" s="15" t="n">
        <v>0.04</v>
      </c>
      <c r="E4246" s="4" t="n">
        <v>14000000</v>
      </c>
      <c r="F4246" s="4" t="n">
        <v>560000</v>
      </c>
    </row>
    <row r="4247">
      <c r="A4247" s="3" t="inlineStr">
        <is>
          <t>2</t>
        </is>
      </c>
      <c r="B4247" s="3" t="inlineStr">
        <is>
          <t>Lem Kayu</t>
        </is>
      </c>
      <c r="C4247" s="3" t="inlineStr">
        <is>
          <t>kg</t>
        </is>
      </c>
      <c r="D4247" s="15" t="n">
        <v>0.5</v>
      </c>
      <c r="E4247" s="4" t="n">
        <v>16400</v>
      </c>
      <c r="F4247" s="4" t="n">
        <v>8200</v>
      </c>
    </row>
    <row r="4248">
      <c r="D4248" s="2" t="inlineStr">
        <is>
          <t>SUBTOTAL UPAH</t>
        </is>
      </c>
      <c r="F4248" s="16" t="n">
        <v>607500</v>
      </c>
    </row>
    <row r="4249">
      <c r="D4249" s="2" t="inlineStr">
        <is>
          <t>SUBTOTAL BAHAN</t>
        </is>
      </c>
      <c r="F4249" s="16" t="n">
        <v>568200</v>
      </c>
    </row>
    <row r="4250">
      <c r="D4250" s="2" t="inlineStr">
        <is>
          <t>SUBTOTAL ALAT</t>
        </is>
      </c>
      <c r="F4250" s="16" t="n">
        <v>0</v>
      </c>
    </row>
    <row r="4251">
      <c r="E4251" s="2" t="inlineStr">
        <is>
          <t>TOTAL HARGA SATUAN (Inc. Overhead)</t>
        </is>
      </c>
      <c r="F4251" s="17" t="n">
        <v>1293270</v>
      </c>
    </row>
    <row r="4253">
      <c r="A4253" s="14" t="inlineStr">
        <is>
          <t>KODE: 3.11.1.12 - Pembuatan 1 m2 daun pintu plywood rangkap, rangka kayu kelas II tertutup (lebar s.d. 90 cm)</t>
        </is>
      </c>
    </row>
    <row r="4254">
      <c r="A4254" s="10" t="inlineStr">
        <is>
          <t>No</t>
        </is>
      </c>
      <c r="B4254" s="10" t="inlineStr">
        <is>
          <t>Uraian Komponen</t>
        </is>
      </c>
      <c r="C4254" s="10" t="inlineStr">
        <is>
          <t>Satuan</t>
        </is>
      </c>
      <c r="D4254" s="10" t="inlineStr">
        <is>
          <t>Koef</t>
        </is>
      </c>
      <c r="E4254" s="10" t="inlineStr">
        <is>
          <t>Harga Satuan (Rp)</t>
        </is>
      </c>
      <c r="F4254" s="10" t="inlineStr">
        <is>
          <t>Jumlah Harga (Rp)</t>
        </is>
      </c>
    </row>
    <row r="4255">
      <c r="A4255" s="3" t="inlineStr">
        <is>
          <t>1</t>
        </is>
      </c>
      <c r="B4255" s="3" t="inlineStr">
        <is>
          <t>Pekerja</t>
        </is>
      </c>
      <c r="C4255" s="3" t="inlineStr">
        <is>
          <t>OH</t>
        </is>
      </c>
      <c r="D4255" s="15" t="n">
        <v>0.7</v>
      </c>
      <c r="E4255" s="4" t="n">
        <v>100000</v>
      </c>
      <c r="F4255" s="4" t="n">
        <v>70000</v>
      </c>
    </row>
    <row r="4256">
      <c r="A4256" s="3" t="inlineStr">
        <is>
          <t>2</t>
        </is>
      </c>
      <c r="B4256" s="3" t="inlineStr">
        <is>
          <t>Tukang kayu</t>
        </is>
      </c>
      <c r="C4256" s="3" t="inlineStr">
        <is>
          <t>OH</t>
        </is>
      </c>
      <c r="D4256" s="15" t="n">
        <v>2.1</v>
      </c>
      <c r="E4256" s="4" t="n">
        <v>145000</v>
      </c>
      <c r="F4256" s="4" t="n">
        <v>304500</v>
      </c>
    </row>
    <row r="4257">
      <c r="A4257" s="3" t="inlineStr">
        <is>
          <t>3</t>
        </is>
      </c>
      <c r="B4257" s="3" t="inlineStr">
        <is>
          <t>Kepala tukang</t>
        </is>
      </c>
      <c r="C4257" s="3" t="inlineStr">
        <is>
          <t>OH</t>
        </is>
      </c>
      <c r="D4257" s="15" t="n">
        <v>0.21</v>
      </c>
      <c r="E4257" s="4" t="n">
        <v>175000</v>
      </c>
      <c r="F4257" s="4" t="n">
        <v>36750</v>
      </c>
    </row>
    <row r="4258">
      <c r="A4258" s="3" t="inlineStr">
        <is>
          <t>4</t>
        </is>
      </c>
      <c r="B4258" s="3" t="inlineStr">
        <is>
          <t>Mandor</t>
        </is>
      </c>
      <c r="C4258" s="3" t="inlineStr">
        <is>
          <t>OH</t>
        </is>
      </c>
      <c r="D4258" s="15" t="n">
        <v>0.07000000000000001</v>
      </c>
      <c r="E4258" s="4" t="n">
        <v>200000</v>
      </c>
      <c r="F4258" s="4" t="n">
        <v>14000</v>
      </c>
    </row>
    <row r="4259">
      <c r="A4259" s="3" t="inlineStr">
        <is>
          <t>1</t>
        </is>
      </c>
      <c r="B4259" s="3" t="inlineStr">
        <is>
          <t>Kayu papan kelas II</t>
        </is>
      </c>
      <c r="C4259" s="3" t="inlineStr">
        <is>
          <t>m3</t>
        </is>
      </c>
      <c r="D4259" s="15" t="n">
        <v>0.025</v>
      </c>
      <c r="E4259" s="4" t="n">
        <v>14000000</v>
      </c>
      <c r="F4259" s="4" t="n">
        <v>350000</v>
      </c>
    </row>
    <row r="4260">
      <c r="A4260" s="3" t="inlineStr">
        <is>
          <t>2</t>
        </is>
      </c>
      <c r="B4260" s="3" t="inlineStr">
        <is>
          <t>Paku 1 inch</t>
        </is>
      </c>
      <c r="C4260" s="3" t="inlineStr">
        <is>
          <t>kg</t>
        </is>
      </c>
      <c r="D4260" s="15" t="n">
        <v>0.03</v>
      </c>
      <c r="E4260" s="4" t="n">
        <v>15000</v>
      </c>
      <c r="F4260" s="4" t="n">
        <v>450</v>
      </c>
    </row>
    <row r="4261">
      <c r="A4261" s="3" t="inlineStr">
        <is>
          <t>3</t>
        </is>
      </c>
      <c r="B4261" s="3" t="inlineStr">
        <is>
          <t>Lem Kayu</t>
        </is>
      </c>
      <c r="C4261" s="3" t="inlineStr">
        <is>
          <t>kg</t>
        </is>
      </c>
      <c r="D4261" s="15" t="n">
        <v>0.5</v>
      </c>
      <c r="E4261" s="4" t="n">
        <v>16400</v>
      </c>
      <c r="F4261" s="4" t="n">
        <v>8200</v>
      </c>
    </row>
    <row r="4262">
      <c r="A4262" s="3" t="inlineStr">
        <is>
          <t>4</t>
        </is>
      </c>
      <c r="B4262" s="3" t="inlineStr">
        <is>
          <t>Plywood 4 mm</t>
        </is>
      </c>
      <c r="C4262" s="3" t="inlineStr">
        <is>
          <t>lembar</t>
        </is>
      </c>
      <c r="D4262" s="15" t="n">
        <v>1</v>
      </c>
      <c r="E4262" s="4" t="n">
        <v>75000</v>
      </c>
      <c r="F4262" s="4" t="n">
        <v>75000</v>
      </c>
    </row>
    <row r="4263">
      <c r="D4263" s="2" t="inlineStr">
        <is>
          <t>SUBTOTAL UPAH</t>
        </is>
      </c>
      <c r="F4263" s="16" t="n">
        <v>425250</v>
      </c>
    </row>
    <row r="4264">
      <c r="D4264" s="2" t="inlineStr">
        <is>
          <t>SUBTOTAL BAHAN</t>
        </is>
      </c>
      <c r="F4264" s="16" t="n">
        <v>433650</v>
      </c>
    </row>
    <row r="4265">
      <c r="D4265" s="2" t="inlineStr">
        <is>
          <t>SUBTOTAL ALAT</t>
        </is>
      </c>
      <c r="F4265" s="16" t="n">
        <v>0</v>
      </c>
    </row>
    <row r="4266">
      <c r="E4266" s="2" t="inlineStr">
        <is>
          <t>TOTAL HARGA SATUAN (Inc. Overhead)</t>
        </is>
      </c>
      <c r="F4266" s="17" t="n">
        <v>944790</v>
      </c>
    </row>
    <row r="4268">
      <c r="A4268" s="14" t="inlineStr">
        <is>
          <t>KODE: 3.11.1.13 - Pembuatan 1 m2 daun pintu plywood rangkap, rangka expose kayu kelas I atau II</t>
        </is>
      </c>
    </row>
    <row r="4269">
      <c r="A4269" s="10" t="inlineStr">
        <is>
          <t>No</t>
        </is>
      </c>
      <c r="B4269" s="10" t="inlineStr">
        <is>
          <t>Uraian Komponen</t>
        </is>
      </c>
      <c r="C4269" s="10" t="inlineStr">
        <is>
          <t>Satuan</t>
        </is>
      </c>
      <c r="D4269" s="10" t="inlineStr">
        <is>
          <t>Koef</t>
        </is>
      </c>
      <c r="E4269" s="10" t="inlineStr">
        <is>
          <t>Harga Satuan (Rp)</t>
        </is>
      </c>
      <c r="F4269" s="10" t="inlineStr">
        <is>
          <t>Jumlah Harga (Rp)</t>
        </is>
      </c>
    </row>
    <row r="4270">
      <c r="A4270" s="3" t="inlineStr">
        <is>
          <t>1</t>
        </is>
      </c>
      <c r="B4270" s="3" t="inlineStr">
        <is>
          <t>Pekerja</t>
        </is>
      </c>
      <c r="C4270" s="3" t="inlineStr">
        <is>
          <t>OH</t>
        </is>
      </c>
      <c r="D4270" s="15" t="n">
        <v>0.8</v>
      </c>
      <c r="E4270" s="4" t="n">
        <v>100000</v>
      </c>
      <c r="F4270" s="4" t="n">
        <v>80000</v>
      </c>
    </row>
    <row r="4271">
      <c r="A4271" s="3" t="inlineStr">
        <is>
          <t>2</t>
        </is>
      </c>
      <c r="B4271" s="3" t="inlineStr">
        <is>
          <t>Tukang kayu</t>
        </is>
      </c>
      <c r="C4271" s="3" t="inlineStr">
        <is>
          <t>OH</t>
        </is>
      </c>
      <c r="D4271" s="15" t="n">
        <v>2.4</v>
      </c>
      <c r="E4271" s="4" t="n">
        <v>145000</v>
      </c>
      <c r="F4271" s="4" t="n">
        <v>348000</v>
      </c>
    </row>
    <row r="4272">
      <c r="A4272" s="3" t="inlineStr">
        <is>
          <t>3</t>
        </is>
      </c>
      <c r="B4272" s="3" t="inlineStr">
        <is>
          <t>Kepala tukang</t>
        </is>
      </c>
      <c r="C4272" s="3" t="inlineStr">
        <is>
          <t>OH</t>
        </is>
      </c>
      <c r="D4272" s="15" t="n">
        <v>0.24</v>
      </c>
      <c r="E4272" s="4" t="n">
        <v>175000</v>
      </c>
      <c r="F4272" s="4" t="n">
        <v>42000</v>
      </c>
    </row>
    <row r="4273">
      <c r="A4273" s="3" t="inlineStr">
        <is>
          <t>4</t>
        </is>
      </c>
      <c r="B4273" s="3" t="inlineStr">
        <is>
          <t>Mandor</t>
        </is>
      </c>
      <c r="C4273" s="3" t="inlineStr">
        <is>
          <t>OH</t>
        </is>
      </c>
      <c r="D4273" s="15" t="n">
        <v>0.04</v>
      </c>
      <c r="E4273" s="4" t="n">
        <v>200000</v>
      </c>
      <c r="F4273" s="4" t="n">
        <v>8000</v>
      </c>
    </row>
    <row r="4274">
      <c r="A4274" s="3" t="inlineStr">
        <is>
          <t>1</t>
        </is>
      </c>
      <c r="B4274" s="3" t="inlineStr">
        <is>
          <t>Kayu papan kelas II</t>
        </is>
      </c>
      <c r="C4274" s="3" t="inlineStr">
        <is>
          <t>m3</t>
        </is>
      </c>
      <c r="D4274" s="15" t="n">
        <v>0.0256</v>
      </c>
      <c r="E4274" s="4" t="n">
        <v>14000000</v>
      </c>
      <c r="F4274" s="4" t="n">
        <v>358400</v>
      </c>
    </row>
    <row r="4275">
      <c r="A4275" s="3" t="inlineStr">
        <is>
          <t>2</t>
        </is>
      </c>
      <c r="B4275" s="3" t="inlineStr">
        <is>
          <t>Paku 1 inch</t>
        </is>
      </c>
      <c r="C4275" s="3" t="inlineStr">
        <is>
          <t>kg</t>
        </is>
      </c>
      <c r="D4275" s="15" t="n">
        <v>0.03</v>
      </c>
      <c r="E4275" s="4" t="n">
        <v>15000</v>
      </c>
      <c r="F4275" s="4" t="n">
        <v>450</v>
      </c>
    </row>
    <row r="4276">
      <c r="A4276" s="3" t="inlineStr">
        <is>
          <t>3</t>
        </is>
      </c>
      <c r="B4276" s="3" t="inlineStr">
        <is>
          <t>Lem Kayu</t>
        </is>
      </c>
      <c r="C4276" s="3" t="inlineStr">
        <is>
          <t>kg</t>
        </is>
      </c>
      <c r="D4276" s="15" t="n">
        <v>0.5</v>
      </c>
      <c r="E4276" s="4" t="n">
        <v>16400</v>
      </c>
      <c r="F4276" s="4" t="n">
        <v>8200</v>
      </c>
    </row>
    <row r="4277">
      <c r="A4277" s="3" t="inlineStr">
        <is>
          <t>4</t>
        </is>
      </c>
      <c r="B4277" s="3" t="inlineStr">
        <is>
          <t>Plywood 4 mm</t>
        </is>
      </c>
      <c r="C4277" s="3" t="inlineStr">
        <is>
          <t>lembar</t>
        </is>
      </c>
      <c r="D4277" s="15" t="n">
        <v>1</v>
      </c>
      <c r="E4277" s="4" t="n">
        <v>75000</v>
      </c>
      <c r="F4277" s="4" t="n">
        <v>75000</v>
      </c>
    </row>
    <row r="4278">
      <c r="D4278" s="2" t="inlineStr">
        <is>
          <t>SUBTOTAL UPAH</t>
        </is>
      </c>
      <c r="F4278" s="16" t="n">
        <v>478000</v>
      </c>
    </row>
    <row r="4279">
      <c r="D4279" s="2" t="inlineStr">
        <is>
          <t>SUBTOTAL BAHAN</t>
        </is>
      </c>
      <c r="F4279" s="16" t="n">
        <v>442050</v>
      </c>
    </row>
    <row r="4280">
      <c r="D4280" s="2" t="inlineStr">
        <is>
          <t>SUBTOTAL ALAT</t>
        </is>
      </c>
      <c r="F4280" s="16" t="n">
        <v>0</v>
      </c>
    </row>
    <row r="4281">
      <c r="E4281" s="2" t="inlineStr">
        <is>
          <t>TOTAL HARGA SATUAN (Inc. Overhead)</t>
        </is>
      </c>
      <c r="F4281" s="17" t="n">
        <v>1012055</v>
      </c>
    </row>
    <row r="4283">
      <c r="A4283" s="14" t="inlineStr">
        <is>
          <t>KODE: 3.11.1.14 - Pembuatan dan pemasangan 1 buah pintu panel kayu lapis timbal di tengah (khusus RS/Laboratorium/R.Radiologi)</t>
        </is>
      </c>
    </row>
    <row r="4284">
      <c r="A4284" s="10" t="inlineStr">
        <is>
          <t>No</t>
        </is>
      </c>
      <c r="B4284" s="10" t="inlineStr">
        <is>
          <t>Uraian Komponen</t>
        </is>
      </c>
      <c r="C4284" s="10" t="inlineStr">
        <is>
          <t>Satuan</t>
        </is>
      </c>
      <c r="D4284" s="10" t="inlineStr">
        <is>
          <t>Koef</t>
        </is>
      </c>
      <c r="E4284" s="10" t="inlineStr">
        <is>
          <t>Harga Satuan (Rp)</t>
        </is>
      </c>
      <c r="F4284" s="10" t="inlineStr">
        <is>
          <t>Jumlah Harga (Rp)</t>
        </is>
      </c>
    </row>
    <row r="4285">
      <c r="A4285" s="3" t="inlineStr">
        <is>
          <t>1</t>
        </is>
      </c>
      <c r="B4285" s="3" t="inlineStr">
        <is>
          <t>Pekerja</t>
        </is>
      </c>
      <c r="C4285" s="3" t="inlineStr">
        <is>
          <t>OH</t>
        </is>
      </c>
      <c r="D4285" s="15" t="n">
        <v>4</v>
      </c>
      <c r="E4285" s="4" t="n">
        <v>100000</v>
      </c>
      <c r="F4285" s="4" t="n">
        <v>400000</v>
      </c>
    </row>
    <row r="4286">
      <c r="A4286" s="3" t="inlineStr">
        <is>
          <t>2</t>
        </is>
      </c>
      <c r="B4286" s="3" t="inlineStr">
        <is>
          <t>Tukang kayu</t>
        </is>
      </c>
      <c r="C4286" s="3" t="inlineStr">
        <is>
          <t>OH</t>
        </is>
      </c>
      <c r="D4286" s="15" t="n">
        <v>2</v>
      </c>
      <c r="E4286" s="4" t="n">
        <v>145000</v>
      </c>
      <c r="F4286" s="4" t="n">
        <v>290000</v>
      </c>
    </row>
    <row r="4287">
      <c r="A4287" s="3" t="inlineStr">
        <is>
          <t>3</t>
        </is>
      </c>
      <c r="B4287" s="3" t="inlineStr">
        <is>
          <t>Kepala tukang</t>
        </is>
      </c>
      <c r="C4287" s="3" t="inlineStr">
        <is>
          <t>OH</t>
        </is>
      </c>
      <c r="D4287" s="15" t="n">
        <v>0.2</v>
      </c>
      <c r="E4287" s="4" t="n">
        <v>175000</v>
      </c>
      <c r="F4287" s="4" t="n">
        <v>35000</v>
      </c>
    </row>
    <row r="4288">
      <c r="A4288" s="3" t="inlineStr">
        <is>
          <t>4</t>
        </is>
      </c>
      <c r="B4288" s="3" t="inlineStr">
        <is>
          <t>Mandor</t>
        </is>
      </c>
      <c r="C4288" s="3" t="inlineStr">
        <is>
          <t>OH</t>
        </is>
      </c>
      <c r="D4288" s="15" t="n">
        <v>0.0667</v>
      </c>
      <c r="E4288" s="4" t="n">
        <v>200000</v>
      </c>
      <c r="F4288" s="4" t="n">
        <v>13340</v>
      </c>
    </row>
    <row r="4289">
      <c r="A4289" s="3" t="inlineStr">
        <is>
          <t>1</t>
        </is>
      </c>
      <c r="B4289" s="3" t="inlineStr">
        <is>
          <t>Pintu panel kayu lapis timbal uk. 1x2 m</t>
        </is>
      </c>
      <c r="C4289" s="3" t="inlineStr">
        <is>
          <t>unit</t>
        </is>
      </c>
      <c r="D4289" s="15" t="n">
        <v>1</v>
      </c>
      <c r="E4289" s="4" t="n">
        <v>10000000</v>
      </c>
      <c r="F4289" s="4" t="n">
        <v>10000000</v>
      </c>
    </row>
    <row r="4290">
      <c r="D4290" s="2" t="inlineStr">
        <is>
          <t>SUBTOTAL UPAH</t>
        </is>
      </c>
      <c r="F4290" s="16" t="n">
        <v>738340</v>
      </c>
    </row>
    <row r="4291">
      <c r="D4291" s="2" t="inlineStr">
        <is>
          <t>SUBTOTAL BAHAN</t>
        </is>
      </c>
      <c r="F4291" s="16" t="n">
        <v>10000000</v>
      </c>
    </row>
    <row r="4292">
      <c r="D4292" s="2" t="inlineStr">
        <is>
          <t>SUBTOTAL ALAT</t>
        </is>
      </c>
      <c r="F4292" s="16" t="n">
        <v>0</v>
      </c>
    </row>
    <row r="4293">
      <c r="E4293" s="2" t="inlineStr">
        <is>
          <t>TOTAL HARGA SATUAN (Inc. Overhead)</t>
        </is>
      </c>
      <c r="F4293" s="17" t="n">
        <v>11812174</v>
      </c>
    </row>
    <row r="4295">
      <c r="A4295" s="14" t="inlineStr">
        <is>
          <t>KODE: 3.11.1.15 - Pembuatan dan pemasangan 1 m2 pintu besi pelat baja tebal 2 mm rangkap, rangka baja siku</t>
        </is>
      </c>
    </row>
    <row r="4296">
      <c r="A4296" s="10" t="inlineStr">
        <is>
          <t>No</t>
        </is>
      </c>
      <c r="B4296" s="10" t="inlineStr">
        <is>
          <t>Uraian Komponen</t>
        </is>
      </c>
      <c r="C4296" s="10" t="inlineStr">
        <is>
          <t>Satuan</t>
        </is>
      </c>
      <c r="D4296" s="10" t="inlineStr">
        <is>
          <t>Koef</t>
        </is>
      </c>
      <c r="E4296" s="10" t="inlineStr">
        <is>
          <t>Harga Satuan (Rp)</t>
        </is>
      </c>
      <c r="F4296" s="10" t="inlineStr">
        <is>
          <t>Jumlah Harga (Rp)</t>
        </is>
      </c>
    </row>
    <row r="4297">
      <c r="A4297" s="3" t="inlineStr">
        <is>
          <t>1</t>
        </is>
      </c>
      <c r="B4297" s="3" t="inlineStr">
        <is>
          <t>Pekerja</t>
        </is>
      </c>
      <c r="C4297" s="3" t="inlineStr">
        <is>
          <t>OH</t>
        </is>
      </c>
      <c r="D4297" s="15" t="n">
        <v>1.05</v>
      </c>
      <c r="E4297" s="4" t="n">
        <v>100000</v>
      </c>
      <c r="F4297" s="4" t="n">
        <v>105000</v>
      </c>
    </row>
    <row r="4298">
      <c r="A4298" s="3" t="inlineStr">
        <is>
          <t>2</t>
        </is>
      </c>
      <c r="B4298" s="3" t="inlineStr">
        <is>
          <t>Tukang besi</t>
        </is>
      </c>
      <c r="C4298" s="3" t="inlineStr">
        <is>
          <t>OH</t>
        </is>
      </c>
      <c r="D4298" s="15" t="n">
        <v>1.05</v>
      </c>
      <c r="E4298" s="4" t="n">
        <v>145000</v>
      </c>
      <c r="F4298" s="4" t="n">
        <v>152250</v>
      </c>
    </row>
    <row r="4299">
      <c r="A4299" s="3" t="inlineStr">
        <is>
          <t>3</t>
        </is>
      </c>
      <c r="B4299" s="3" t="inlineStr">
        <is>
          <t>Kepala tukang</t>
        </is>
      </c>
      <c r="C4299" s="3" t="inlineStr">
        <is>
          <t>OH</t>
        </is>
      </c>
      <c r="D4299" s="15" t="n">
        <v>0.105</v>
      </c>
      <c r="E4299" s="4" t="n">
        <v>175000</v>
      </c>
      <c r="F4299" s="4" t="n">
        <v>18375</v>
      </c>
    </row>
    <row r="4300">
      <c r="A4300" s="3" t="inlineStr">
        <is>
          <t>4</t>
        </is>
      </c>
      <c r="B4300" s="3" t="inlineStr">
        <is>
          <t>Mandor</t>
        </is>
      </c>
      <c r="C4300" s="3" t="inlineStr">
        <is>
          <t>OH</t>
        </is>
      </c>
      <c r="D4300" s="15" t="n">
        <v>0.035</v>
      </c>
      <c r="E4300" s="4" t="n">
        <v>200000</v>
      </c>
      <c r="F4300" s="4" t="n">
        <v>7000.000000000001</v>
      </c>
    </row>
    <row r="4301">
      <c r="A4301" s="3" t="inlineStr">
        <is>
          <t>1</t>
        </is>
      </c>
      <c r="B4301" s="3" t="inlineStr">
        <is>
          <t>Besi siku 30x30x3 mm</t>
        </is>
      </c>
      <c r="C4301" s="3" t="inlineStr">
        <is>
          <t>kg</t>
        </is>
      </c>
      <c r="D4301" s="15" t="n">
        <v>15</v>
      </c>
      <c r="E4301" s="4" t="n">
        <v>13000</v>
      </c>
      <c r="F4301" s="4" t="n">
        <v>195000</v>
      </c>
    </row>
    <row r="4302">
      <c r="A4302" s="3" t="inlineStr">
        <is>
          <t>2</t>
        </is>
      </c>
      <c r="B4302" s="3" t="inlineStr">
        <is>
          <t>Besi plat baja tebal 2 mm</t>
        </is>
      </c>
      <c r="C4302" s="3" t="inlineStr">
        <is>
          <t>kg</t>
        </is>
      </c>
      <c r="D4302" s="15" t="n">
        <v>32</v>
      </c>
      <c r="E4302" s="4" t="n">
        <v>25000</v>
      </c>
      <c r="F4302" s="4" t="n">
        <v>800000</v>
      </c>
    </row>
    <row r="4303">
      <c r="A4303" s="3" t="inlineStr">
        <is>
          <t>3</t>
        </is>
      </c>
      <c r="B4303" s="3" t="inlineStr">
        <is>
          <t>Kawat Las</t>
        </is>
      </c>
      <c r="C4303" s="3" t="inlineStr">
        <is>
          <t>kg</t>
        </is>
      </c>
      <c r="D4303" s="15" t="n">
        <v>0.05</v>
      </c>
      <c r="E4303" s="4" t="n">
        <v>45550</v>
      </c>
      <c r="F4303" s="4" t="n">
        <v>2277.5</v>
      </c>
    </row>
    <row r="4304">
      <c r="D4304" s="2" t="inlineStr">
        <is>
          <t>SUBTOTAL UPAH</t>
        </is>
      </c>
      <c r="F4304" s="16" t="n">
        <v>282625</v>
      </c>
    </row>
    <row r="4305">
      <c r="D4305" s="2" t="inlineStr">
        <is>
          <t>SUBTOTAL BAHAN</t>
        </is>
      </c>
      <c r="F4305" s="16" t="n">
        <v>997277.5</v>
      </c>
    </row>
    <row r="4306">
      <c r="D4306" s="2" t="inlineStr">
        <is>
          <t>SUBTOTAL ALAT</t>
        </is>
      </c>
      <c r="F4306" s="16" t="n">
        <v>0</v>
      </c>
    </row>
    <row r="4307">
      <c r="E4307" s="2" t="inlineStr">
        <is>
          <t>TOTAL HARGA SATUAN (Inc. Overhead)</t>
        </is>
      </c>
      <c r="F4307" s="17" t="n">
        <v>1407892</v>
      </c>
    </row>
    <row r="4309">
      <c r="A4309" s="14" t="inlineStr">
        <is>
          <t>KODE: 3.11.1.16 - Pemasangan 1 buah pintu besi tahan api</t>
        </is>
      </c>
    </row>
    <row r="4310">
      <c r="A4310" s="10" t="inlineStr">
        <is>
          <t>No</t>
        </is>
      </c>
      <c r="B4310" s="10" t="inlineStr">
        <is>
          <t>Uraian Komponen</t>
        </is>
      </c>
      <c r="C4310" s="10" t="inlineStr">
        <is>
          <t>Satuan</t>
        </is>
      </c>
      <c r="D4310" s="10" t="inlineStr">
        <is>
          <t>Koef</t>
        </is>
      </c>
      <c r="E4310" s="10" t="inlineStr">
        <is>
          <t>Harga Satuan (Rp)</t>
        </is>
      </c>
      <c r="F4310" s="10" t="inlineStr">
        <is>
          <t>Jumlah Harga (Rp)</t>
        </is>
      </c>
    </row>
    <row r="4311">
      <c r="A4311" s="3" t="inlineStr">
        <is>
          <t>1</t>
        </is>
      </c>
      <c r="B4311" s="3" t="inlineStr">
        <is>
          <t>Pekerja</t>
        </is>
      </c>
      <c r="C4311" s="3" t="inlineStr">
        <is>
          <t>OH</t>
        </is>
      </c>
      <c r="D4311" s="15" t="n">
        <v>1.575</v>
      </c>
      <c r="E4311" s="4" t="n">
        <v>100000</v>
      </c>
      <c r="F4311" s="4" t="n">
        <v>157500</v>
      </c>
    </row>
    <row r="4312">
      <c r="A4312" s="3" t="inlineStr">
        <is>
          <t>2</t>
        </is>
      </c>
      <c r="B4312" s="3" t="inlineStr">
        <is>
          <t>Tukang besi</t>
        </is>
      </c>
      <c r="C4312" s="3" t="inlineStr">
        <is>
          <t>OH</t>
        </is>
      </c>
      <c r="D4312" s="15" t="n">
        <v>1.575</v>
      </c>
      <c r="E4312" s="4" t="n">
        <v>145000</v>
      </c>
      <c r="F4312" s="4" t="n">
        <v>228375</v>
      </c>
    </row>
    <row r="4313">
      <c r="A4313" s="3" t="inlineStr">
        <is>
          <t>3</t>
        </is>
      </c>
      <c r="B4313" s="3" t="inlineStr">
        <is>
          <t>Kepala tukang</t>
        </is>
      </c>
      <c r="C4313" s="3" t="inlineStr">
        <is>
          <t>OH</t>
        </is>
      </c>
      <c r="D4313" s="15" t="n">
        <v>0.1575</v>
      </c>
      <c r="E4313" s="4" t="n">
        <v>175000</v>
      </c>
      <c r="F4313" s="4" t="n">
        <v>27562.5</v>
      </c>
    </row>
    <row r="4314">
      <c r="A4314" s="3" t="inlineStr">
        <is>
          <t>4</t>
        </is>
      </c>
      <c r="B4314" s="3" t="inlineStr">
        <is>
          <t>Mandor</t>
        </is>
      </c>
      <c r="C4314" s="3" t="inlineStr">
        <is>
          <t>OH</t>
        </is>
      </c>
      <c r="D4314" s="15" t="n">
        <v>0.0525</v>
      </c>
      <c r="E4314" s="4" t="n">
        <v>200000</v>
      </c>
      <c r="F4314" s="4" t="n">
        <v>10500</v>
      </c>
    </row>
    <row r="4315">
      <c r="A4315" s="3" t="inlineStr">
        <is>
          <t>1</t>
        </is>
      </c>
      <c r="B4315" s="3" t="inlineStr">
        <is>
          <t>Pintu tahan api</t>
        </is>
      </c>
      <c r="C4315" s="3" t="inlineStr">
        <is>
          <t>unit</t>
        </is>
      </c>
      <c r="D4315" s="15" t="n">
        <v>1</v>
      </c>
      <c r="E4315" s="4" t="n">
        <v>8000000</v>
      </c>
      <c r="F4315" s="4" t="n">
        <v>8000000</v>
      </c>
    </row>
    <row r="4316">
      <c r="D4316" s="2" t="inlineStr">
        <is>
          <t>SUBTOTAL UPAH</t>
        </is>
      </c>
      <c r="F4316" s="16" t="n">
        <v>423937.5</v>
      </c>
    </row>
    <row r="4317">
      <c r="D4317" s="2" t="inlineStr">
        <is>
          <t>SUBTOTAL BAHAN</t>
        </is>
      </c>
      <c r="F4317" s="16" t="n">
        <v>8000000</v>
      </c>
    </row>
    <row r="4318">
      <c r="D4318" s="2" t="inlineStr">
        <is>
          <t>SUBTOTAL ALAT</t>
        </is>
      </c>
      <c r="F4318" s="16" t="n">
        <v>0</v>
      </c>
    </row>
    <row r="4319">
      <c r="E4319" s="2" t="inlineStr">
        <is>
          <t>TOTAL HARGA SATUAN (Inc. Overhead)</t>
        </is>
      </c>
      <c r="F4319" s="17" t="n">
        <v>9266331</v>
      </c>
    </row>
    <row r="4321">
      <c r="A4321" s="14" t="inlineStr">
        <is>
          <t>KODE: 3.11.1.17 - Pemasangan 1 m2 pintu engineering wood</t>
        </is>
      </c>
    </row>
    <row r="4322">
      <c r="A4322" s="10" t="inlineStr">
        <is>
          <t>No</t>
        </is>
      </c>
      <c r="B4322" s="10" t="inlineStr">
        <is>
          <t>Uraian Komponen</t>
        </is>
      </c>
      <c r="C4322" s="10" t="inlineStr">
        <is>
          <t>Satuan</t>
        </is>
      </c>
      <c r="D4322" s="10" t="inlineStr">
        <is>
          <t>Koef</t>
        </is>
      </c>
      <c r="E4322" s="10" t="inlineStr">
        <is>
          <t>Harga Satuan (Rp)</t>
        </is>
      </c>
      <c r="F4322" s="10" t="inlineStr">
        <is>
          <t>Jumlah Harga (Rp)</t>
        </is>
      </c>
    </row>
    <row r="4323">
      <c r="A4323" s="3" t="inlineStr">
        <is>
          <t>1</t>
        </is>
      </c>
      <c r="B4323" s="3" t="inlineStr">
        <is>
          <t>Pekerja</t>
        </is>
      </c>
      <c r="C4323" s="3" t="inlineStr">
        <is>
          <t>OH</t>
        </is>
      </c>
      <c r="D4323" s="15" t="n">
        <v>1</v>
      </c>
      <c r="E4323" s="4" t="n">
        <v>100000</v>
      </c>
      <c r="F4323" s="4" t="n">
        <v>100000</v>
      </c>
    </row>
    <row r="4324">
      <c r="A4324" s="3" t="inlineStr">
        <is>
          <t>2</t>
        </is>
      </c>
      <c r="B4324" s="3" t="inlineStr">
        <is>
          <t>Tukang besi</t>
        </is>
      </c>
      <c r="C4324" s="3" t="inlineStr">
        <is>
          <t>OH</t>
        </is>
      </c>
      <c r="D4324" s="15" t="n">
        <v>3</v>
      </c>
      <c r="E4324" s="4" t="n">
        <v>145000</v>
      </c>
      <c r="F4324" s="4" t="n">
        <v>435000</v>
      </c>
    </row>
    <row r="4325">
      <c r="A4325" s="3" t="inlineStr">
        <is>
          <t>3</t>
        </is>
      </c>
      <c r="B4325" s="3" t="inlineStr">
        <is>
          <t>Kepala tukang</t>
        </is>
      </c>
      <c r="C4325" s="3" t="inlineStr">
        <is>
          <t>OH</t>
        </is>
      </c>
      <c r="D4325" s="15" t="n">
        <v>0.3</v>
      </c>
      <c r="E4325" s="4" t="n">
        <v>175000</v>
      </c>
      <c r="F4325" s="4" t="n">
        <v>52500</v>
      </c>
    </row>
    <row r="4326">
      <c r="A4326" s="3" t="inlineStr">
        <is>
          <t>4</t>
        </is>
      </c>
      <c r="B4326" s="3" t="inlineStr">
        <is>
          <t>Mandor</t>
        </is>
      </c>
      <c r="C4326" s="3" t="inlineStr">
        <is>
          <t>OH</t>
        </is>
      </c>
      <c r="D4326" s="15" t="n">
        <v>0.1</v>
      </c>
      <c r="E4326" s="4" t="n">
        <v>200000</v>
      </c>
      <c r="F4326" s="4" t="n">
        <v>20000</v>
      </c>
    </row>
    <row r="4327">
      <c r="A4327" s="3" t="inlineStr">
        <is>
          <t>1</t>
        </is>
      </c>
      <c r="B4327" s="3" t="inlineStr">
        <is>
          <t>Blockboard tebal 18 mm</t>
        </is>
      </c>
      <c r="C4327" s="3" t="inlineStr">
        <is>
          <t>m2</t>
        </is>
      </c>
      <c r="D4327" s="15" t="n">
        <v>1</v>
      </c>
      <c r="E4327" s="4" t="n">
        <v>410600</v>
      </c>
      <c r="F4327" s="4" t="n">
        <v>410600</v>
      </c>
    </row>
    <row r="4328">
      <c r="A4328" s="3" t="inlineStr">
        <is>
          <t>2</t>
        </is>
      </c>
      <c r="B4328" s="3" t="inlineStr">
        <is>
          <t>Lem kayu</t>
        </is>
      </c>
      <c r="C4328" s="3" t="inlineStr">
        <is>
          <t>kg</t>
        </is>
      </c>
      <c r="D4328" s="15" t="n">
        <v>0.5</v>
      </c>
      <c r="E4328" s="4" t="n">
        <v>16400</v>
      </c>
      <c r="F4328" s="4" t="n">
        <v>8200</v>
      </c>
    </row>
    <row r="4329">
      <c r="A4329" s="3" t="inlineStr">
        <is>
          <t>3</t>
        </is>
      </c>
      <c r="B4329" s="3" t="inlineStr">
        <is>
          <t>Veeneer tebal 2 mm</t>
        </is>
      </c>
      <c r="C4329" s="3" t="inlineStr">
        <is>
          <t>m2</t>
        </is>
      </c>
      <c r="D4329" s="15" t="n">
        <v>2</v>
      </c>
      <c r="E4329" s="4" t="n">
        <v>150000</v>
      </c>
      <c r="F4329" s="4" t="n">
        <v>300000</v>
      </c>
    </row>
    <row r="4330">
      <c r="D4330" s="2" t="inlineStr">
        <is>
          <t>SUBTOTAL UPAH</t>
        </is>
      </c>
      <c r="F4330" s="16" t="n">
        <v>607500</v>
      </c>
    </row>
    <row r="4331">
      <c r="D4331" s="2" t="inlineStr">
        <is>
          <t>SUBTOTAL BAHAN</t>
        </is>
      </c>
      <c r="F4331" s="16" t="n">
        <v>718800</v>
      </c>
    </row>
    <row r="4332">
      <c r="D4332" s="2" t="inlineStr">
        <is>
          <t>SUBTOTAL ALAT</t>
        </is>
      </c>
      <c r="F4332" s="16" t="n">
        <v>0</v>
      </c>
    </row>
    <row r="4333">
      <c r="E4333" s="2" t="inlineStr">
        <is>
          <t>TOTAL HARGA SATUAN (Inc. Overhead)</t>
        </is>
      </c>
      <c r="F4333" s="17" t="n">
        <v>1458930</v>
      </c>
    </row>
    <row r="4335">
      <c r="A4335" s="14" t="inlineStr">
        <is>
          <t>KODE: 3.11.1.18 - Pemasangan 1 buah Pintu uPVC lebar 80 cm lengkap dengan aksesoris</t>
        </is>
      </c>
    </row>
    <row r="4336">
      <c r="A4336" s="10" t="inlineStr">
        <is>
          <t>No</t>
        </is>
      </c>
      <c r="B4336" s="10" t="inlineStr">
        <is>
          <t>Uraian Komponen</t>
        </is>
      </c>
      <c r="C4336" s="10" t="inlineStr">
        <is>
          <t>Satuan</t>
        </is>
      </c>
      <c r="D4336" s="10" t="inlineStr">
        <is>
          <t>Koef</t>
        </is>
      </c>
      <c r="E4336" s="10" t="inlineStr">
        <is>
          <t>Harga Satuan (Rp)</t>
        </is>
      </c>
      <c r="F4336" s="10" t="inlineStr">
        <is>
          <t>Jumlah Harga (Rp)</t>
        </is>
      </c>
    </row>
    <row r="4337">
      <c r="A4337" s="3" t="inlineStr">
        <is>
          <t>1</t>
        </is>
      </c>
      <c r="B4337" s="3" t="inlineStr">
        <is>
          <t>Pekerja</t>
        </is>
      </c>
      <c r="C4337" s="3" t="inlineStr">
        <is>
          <t>OH</t>
        </is>
      </c>
      <c r="D4337" s="15" t="n">
        <v>0.1667</v>
      </c>
      <c r="E4337" s="4" t="n">
        <v>100000</v>
      </c>
      <c r="F4337" s="4" t="n">
        <v>16670</v>
      </c>
    </row>
    <row r="4338">
      <c r="A4338" s="3" t="inlineStr">
        <is>
          <t>2</t>
        </is>
      </c>
      <c r="B4338" s="3" t="inlineStr">
        <is>
          <t>Tukang besi</t>
        </is>
      </c>
      <c r="C4338" s="3" t="inlineStr">
        <is>
          <t>OH</t>
        </is>
      </c>
      <c r="D4338" s="15" t="n">
        <v>0.1667</v>
      </c>
      <c r="E4338" s="4" t="n">
        <v>145000</v>
      </c>
      <c r="F4338" s="4" t="n">
        <v>24171.5</v>
      </c>
    </row>
    <row r="4339">
      <c r="A4339" s="3" t="inlineStr">
        <is>
          <t>3</t>
        </is>
      </c>
      <c r="B4339" s="3" t="inlineStr">
        <is>
          <t>Kepala tukang</t>
        </is>
      </c>
      <c r="C4339" s="3" t="inlineStr">
        <is>
          <t>OH</t>
        </is>
      </c>
      <c r="D4339" s="15" t="n">
        <v>0.017</v>
      </c>
      <c r="E4339" s="4" t="n">
        <v>175000</v>
      </c>
      <c r="F4339" s="4" t="n">
        <v>2975</v>
      </c>
    </row>
    <row r="4340">
      <c r="A4340" s="3" t="inlineStr">
        <is>
          <t>4</t>
        </is>
      </c>
      <c r="B4340" s="3" t="inlineStr">
        <is>
          <t>Mandor</t>
        </is>
      </c>
      <c r="C4340" s="3" t="inlineStr">
        <is>
          <t>OH</t>
        </is>
      </c>
      <c r="D4340" s="15" t="n">
        <v>0.006</v>
      </c>
      <c r="E4340" s="4" t="n">
        <v>200000</v>
      </c>
      <c r="F4340" s="4" t="n">
        <v>1200</v>
      </c>
    </row>
    <row r="4341">
      <c r="A4341" s="3" t="inlineStr">
        <is>
          <t>1</t>
        </is>
      </c>
      <c r="B4341" s="3" t="inlineStr">
        <is>
          <t>Pintu uPVC lebar 80 cm</t>
        </is>
      </c>
      <c r="C4341" s="3" t="inlineStr">
        <is>
          <t>buah</t>
        </is>
      </c>
      <c r="D4341" s="15" t="n">
        <v>1</v>
      </c>
      <c r="E4341" s="4" t="n">
        <v>1043100</v>
      </c>
      <c r="F4341" s="4" t="n">
        <v>1043100</v>
      </c>
    </row>
    <row r="4342">
      <c r="D4342" s="2" t="inlineStr">
        <is>
          <t>SUBTOTAL UPAH</t>
        </is>
      </c>
      <c r="F4342" s="16" t="n">
        <v>45016.5</v>
      </c>
    </row>
    <row r="4343">
      <c r="D4343" s="2" t="inlineStr">
        <is>
          <t>SUBTOTAL BAHAN</t>
        </is>
      </c>
      <c r="F4343" s="16" t="n">
        <v>1043100</v>
      </c>
    </row>
    <row r="4344">
      <c r="D4344" s="2" t="inlineStr">
        <is>
          <t>SUBTOTAL ALAT</t>
        </is>
      </c>
      <c r="F4344" s="16" t="n">
        <v>0</v>
      </c>
    </row>
    <row r="4345">
      <c r="E4345" s="2" t="inlineStr">
        <is>
          <t>TOTAL HARGA SATUAN (Inc. Overhead)</t>
        </is>
      </c>
      <c r="F4345" s="17" t="n">
        <v>1196928</v>
      </c>
    </row>
    <row r="4347">
      <c r="A4347" s="14" t="inlineStr">
        <is>
          <t>KODE: 3.11.1.19 - Pemasangan 1 buah Pintu uPVC lebar 70 cm lengkap dengan aksesoris</t>
        </is>
      </c>
    </row>
    <row r="4348">
      <c r="A4348" s="10" t="inlineStr">
        <is>
          <t>No</t>
        </is>
      </c>
      <c r="B4348" s="10" t="inlineStr">
        <is>
          <t>Uraian Komponen</t>
        </is>
      </c>
      <c r="C4348" s="10" t="inlineStr">
        <is>
          <t>Satuan</t>
        </is>
      </c>
      <c r="D4348" s="10" t="inlineStr">
        <is>
          <t>Koef</t>
        </is>
      </c>
      <c r="E4348" s="10" t="inlineStr">
        <is>
          <t>Harga Satuan (Rp)</t>
        </is>
      </c>
      <c r="F4348" s="10" t="inlineStr">
        <is>
          <t>Jumlah Harga (Rp)</t>
        </is>
      </c>
    </row>
    <row r="4349">
      <c r="A4349" s="3" t="inlineStr">
        <is>
          <t>1</t>
        </is>
      </c>
      <c r="B4349" s="3" t="inlineStr">
        <is>
          <t>Pekerja</t>
        </is>
      </c>
      <c r="C4349" s="3" t="inlineStr">
        <is>
          <t>OH</t>
        </is>
      </c>
      <c r="D4349" s="15" t="n">
        <v>0.1667</v>
      </c>
      <c r="E4349" s="4" t="n">
        <v>100000</v>
      </c>
      <c r="F4349" s="4" t="n">
        <v>16670</v>
      </c>
    </row>
    <row r="4350">
      <c r="A4350" s="3" t="inlineStr">
        <is>
          <t>2</t>
        </is>
      </c>
      <c r="B4350" s="3" t="inlineStr">
        <is>
          <t>Tukang besi</t>
        </is>
      </c>
      <c r="C4350" s="3" t="inlineStr">
        <is>
          <t>OH</t>
        </is>
      </c>
      <c r="D4350" s="15" t="n">
        <v>0.1667</v>
      </c>
      <c r="E4350" s="4" t="n">
        <v>145000</v>
      </c>
      <c r="F4350" s="4" t="n">
        <v>24171.5</v>
      </c>
    </row>
    <row r="4351">
      <c r="A4351" s="3" t="inlineStr">
        <is>
          <t>3</t>
        </is>
      </c>
      <c r="B4351" s="3" t="inlineStr">
        <is>
          <t>Kepala tukang</t>
        </is>
      </c>
      <c r="C4351" s="3" t="inlineStr">
        <is>
          <t>OH</t>
        </is>
      </c>
      <c r="D4351" s="15" t="n">
        <v>0.017</v>
      </c>
      <c r="E4351" s="4" t="n">
        <v>175000</v>
      </c>
      <c r="F4351" s="4" t="n">
        <v>2975</v>
      </c>
    </row>
    <row r="4352">
      <c r="A4352" s="3" t="inlineStr">
        <is>
          <t>4</t>
        </is>
      </c>
      <c r="B4352" s="3" t="inlineStr">
        <is>
          <t>Mandor</t>
        </is>
      </c>
      <c r="C4352" s="3" t="inlineStr">
        <is>
          <t>OH</t>
        </is>
      </c>
      <c r="D4352" s="15" t="n">
        <v>0.006</v>
      </c>
      <c r="E4352" s="4" t="n">
        <v>200000</v>
      </c>
      <c r="F4352" s="4" t="n">
        <v>1200</v>
      </c>
    </row>
    <row r="4353">
      <c r="A4353" s="3" t="inlineStr">
        <is>
          <t>1</t>
        </is>
      </c>
      <c r="B4353" s="3" t="inlineStr">
        <is>
          <t>Pintu uPVC lebar 70 cm</t>
        </is>
      </c>
      <c r="C4353" s="3" t="inlineStr">
        <is>
          <t>buah</t>
        </is>
      </c>
      <c r="D4353" s="15" t="n">
        <v>1</v>
      </c>
      <c r="E4353" s="4" t="n">
        <v>730000</v>
      </c>
      <c r="F4353" s="4" t="n">
        <v>730000</v>
      </c>
    </row>
    <row r="4354">
      <c r="D4354" s="2" t="inlineStr">
        <is>
          <t>SUBTOTAL UPAH</t>
        </is>
      </c>
      <c r="F4354" s="16" t="n">
        <v>45016.5</v>
      </c>
    </row>
    <row r="4355">
      <c r="D4355" s="2" t="inlineStr">
        <is>
          <t>SUBTOTAL BAHAN</t>
        </is>
      </c>
      <c r="F4355" s="16" t="n">
        <v>730000</v>
      </c>
    </row>
    <row r="4356">
      <c r="D4356" s="2" t="inlineStr">
        <is>
          <t>SUBTOTAL ALAT</t>
        </is>
      </c>
      <c r="F4356" s="16" t="n">
        <v>0</v>
      </c>
    </row>
    <row r="4357">
      <c r="E4357" s="2" t="inlineStr">
        <is>
          <t>TOTAL HARGA SATUAN (Inc. Overhead)</t>
        </is>
      </c>
      <c r="F4357" s="17" t="n">
        <v>852518</v>
      </c>
    </row>
    <row r="4359">
      <c r="A4359" s="14" t="inlineStr">
        <is>
          <t>KODE: 3.11.2.1 - Pemasangan 1 m2 Jendela Kaca Tebal 5 mm Nako Aluminium</t>
        </is>
      </c>
    </row>
    <row r="4360">
      <c r="A4360" s="10" t="inlineStr">
        <is>
          <t>No</t>
        </is>
      </c>
      <c r="B4360" s="10" t="inlineStr">
        <is>
          <t>Uraian Komponen</t>
        </is>
      </c>
      <c r="C4360" s="10" t="inlineStr">
        <is>
          <t>Satuan</t>
        </is>
      </c>
      <c r="D4360" s="10" t="inlineStr">
        <is>
          <t>Koef</t>
        </is>
      </c>
      <c r="E4360" s="10" t="inlineStr">
        <is>
          <t>Harga Satuan (Rp)</t>
        </is>
      </c>
      <c r="F4360" s="10" t="inlineStr">
        <is>
          <t>Jumlah Harga (Rp)</t>
        </is>
      </c>
    </row>
    <row r="4361">
      <c r="A4361" s="3" t="inlineStr">
        <is>
          <t>1</t>
        </is>
      </c>
      <c r="B4361" s="3" t="inlineStr">
        <is>
          <t>Pekerja</t>
        </is>
      </c>
      <c r="C4361" s="3" t="inlineStr">
        <is>
          <t>OH</t>
        </is>
      </c>
      <c r="D4361" s="15" t="n">
        <v>0.2</v>
      </c>
      <c r="E4361" s="4" t="n">
        <v>100000</v>
      </c>
      <c r="F4361" s="4" t="n">
        <v>20000</v>
      </c>
    </row>
    <row r="4362">
      <c r="A4362" s="3" t="inlineStr">
        <is>
          <t>2</t>
        </is>
      </c>
      <c r="B4362" s="3" t="inlineStr">
        <is>
          <t>Tukang besi</t>
        </is>
      </c>
      <c r="C4362" s="3" t="inlineStr">
        <is>
          <t>OH</t>
        </is>
      </c>
      <c r="D4362" s="15" t="n">
        <v>0.2</v>
      </c>
      <c r="E4362" s="4" t="n">
        <v>145000</v>
      </c>
      <c r="F4362" s="4" t="n">
        <v>29000</v>
      </c>
    </row>
    <row r="4363">
      <c r="A4363" s="3" t="inlineStr">
        <is>
          <t>3</t>
        </is>
      </c>
      <c r="B4363" s="3" t="inlineStr">
        <is>
          <t>Kepala tukang</t>
        </is>
      </c>
      <c r="C4363" s="3" t="inlineStr">
        <is>
          <t>OH</t>
        </is>
      </c>
      <c r="D4363" s="15" t="n">
        <v>0.02</v>
      </c>
      <c r="E4363" s="4" t="n">
        <v>175000</v>
      </c>
      <c r="F4363" s="4" t="n">
        <v>3500</v>
      </c>
    </row>
    <row r="4364">
      <c r="A4364" s="3" t="inlineStr">
        <is>
          <t>4</t>
        </is>
      </c>
      <c r="B4364" s="3" t="inlineStr">
        <is>
          <t>Mandor</t>
        </is>
      </c>
      <c r="C4364" s="3" t="inlineStr">
        <is>
          <t>OH</t>
        </is>
      </c>
      <c r="D4364" s="15" t="n">
        <v>0.007</v>
      </c>
      <c r="E4364" s="4" t="n">
        <v>200000</v>
      </c>
      <c r="F4364" s="4" t="n">
        <v>1400</v>
      </c>
    </row>
    <row r="4365">
      <c r="A4365" s="3" t="inlineStr">
        <is>
          <t>1</t>
        </is>
      </c>
      <c r="B4365" s="3" t="inlineStr">
        <is>
          <t>Jendela Nako Rangka Aluminium (rangka+kaca 5 mm)</t>
        </is>
      </c>
      <c r="C4365" s="3" t="inlineStr">
        <is>
          <t>m2</t>
        </is>
      </c>
      <c r="D4365" s="15" t="n">
        <v>1.1</v>
      </c>
      <c r="E4365" s="4" t="n">
        <v>242000</v>
      </c>
      <c r="F4365" s="4" t="n">
        <v>266200</v>
      </c>
    </row>
    <row r="4366">
      <c r="A4366" s="3" t="inlineStr">
        <is>
          <t>2</t>
        </is>
      </c>
      <c r="B4366" s="3" t="inlineStr">
        <is>
          <t>Paku Sekrup 1-2 cm</t>
        </is>
      </c>
      <c r="C4366" s="3" t="inlineStr">
        <is>
          <t>buah</t>
        </is>
      </c>
      <c r="D4366" s="15" t="n">
        <v>10</v>
      </c>
      <c r="E4366" s="4" t="n">
        <v>1600</v>
      </c>
      <c r="F4366" s="4" t="n">
        <v>16000</v>
      </c>
    </row>
    <row r="4367">
      <c r="D4367" s="2" t="inlineStr">
        <is>
          <t>SUBTOTAL UPAH</t>
        </is>
      </c>
      <c r="F4367" s="16" t="n">
        <v>53900</v>
      </c>
    </row>
    <row r="4368">
      <c r="D4368" s="2" t="inlineStr">
        <is>
          <t>SUBTOTAL BAHAN</t>
        </is>
      </c>
      <c r="F4368" s="16" t="n">
        <v>282200</v>
      </c>
    </row>
    <row r="4369">
      <c r="D4369" s="2" t="inlineStr">
        <is>
          <t>SUBTOTAL ALAT</t>
        </is>
      </c>
      <c r="F4369" s="16" t="n">
        <v>0</v>
      </c>
    </row>
    <row r="4370">
      <c r="E4370" s="2" t="inlineStr">
        <is>
          <t>TOTAL HARGA SATUAN (Inc. Overhead)</t>
        </is>
      </c>
      <c r="F4370" s="17" t="n">
        <v>369710</v>
      </c>
    </row>
    <row r="4372">
      <c r="A4372" s="14" t="inlineStr">
        <is>
          <t>KODE: 3.11.2.2 - Pemasangan 1 m2 jendela Kaca Tebal 5 mm nako dan tralis</t>
        </is>
      </c>
    </row>
    <row r="4373">
      <c r="A4373" s="10" t="inlineStr">
        <is>
          <t>No</t>
        </is>
      </c>
      <c r="B4373" s="10" t="inlineStr">
        <is>
          <t>Uraian Komponen</t>
        </is>
      </c>
      <c r="C4373" s="10" t="inlineStr">
        <is>
          <t>Satuan</t>
        </is>
      </c>
      <c r="D4373" s="10" t="inlineStr">
        <is>
          <t>Koef</t>
        </is>
      </c>
      <c r="E4373" s="10" t="inlineStr">
        <is>
          <t>Harga Satuan (Rp)</t>
        </is>
      </c>
      <c r="F4373" s="10" t="inlineStr">
        <is>
          <t>Jumlah Harga (Rp)</t>
        </is>
      </c>
    </row>
    <row r="4374">
      <c r="A4374" s="3" t="inlineStr">
        <is>
          <t>1</t>
        </is>
      </c>
      <c r="B4374" s="3" t="inlineStr">
        <is>
          <t>Pekerja</t>
        </is>
      </c>
      <c r="C4374" s="3" t="inlineStr">
        <is>
          <t>OH</t>
        </is>
      </c>
      <c r="D4374" s="15" t="n">
        <v>0.2</v>
      </c>
      <c r="E4374" s="4" t="n">
        <v>100000</v>
      </c>
      <c r="F4374" s="4" t="n">
        <v>20000</v>
      </c>
    </row>
    <row r="4375">
      <c r="A4375" s="3" t="inlineStr">
        <is>
          <t>2</t>
        </is>
      </c>
      <c r="B4375" s="3" t="inlineStr">
        <is>
          <t>Tukang besi</t>
        </is>
      </c>
      <c r="C4375" s="3" t="inlineStr">
        <is>
          <t>OH</t>
        </is>
      </c>
      <c r="D4375" s="15" t="n">
        <v>0.2</v>
      </c>
      <c r="E4375" s="4" t="n">
        <v>145000</v>
      </c>
      <c r="F4375" s="4" t="n">
        <v>29000</v>
      </c>
    </row>
    <row r="4376">
      <c r="A4376" s="3" t="inlineStr">
        <is>
          <t>3</t>
        </is>
      </c>
      <c r="B4376" s="3" t="inlineStr">
        <is>
          <t>Kepala tukang</t>
        </is>
      </c>
      <c r="C4376" s="3" t="inlineStr">
        <is>
          <t>OH</t>
        </is>
      </c>
      <c r="D4376" s="15" t="n">
        <v>0.02</v>
      </c>
      <c r="E4376" s="4" t="n">
        <v>175000</v>
      </c>
      <c r="F4376" s="4" t="n">
        <v>3500</v>
      </c>
    </row>
    <row r="4377">
      <c r="A4377" s="3" t="inlineStr">
        <is>
          <t>4</t>
        </is>
      </c>
      <c r="B4377" s="3" t="inlineStr">
        <is>
          <t>Mandor</t>
        </is>
      </c>
      <c r="C4377" s="3" t="inlineStr">
        <is>
          <t>OH</t>
        </is>
      </c>
      <c r="D4377" s="15" t="n">
        <v>0.007</v>
      </c>
      <c r="E4377" s="4" t="n">
        <v>200000</v>
      </c>
      <c r="F4377" s="4" t="n">
        <v>1400</v>
      </c>
    </row>
    <row r="4378">
      <c r="A4378" s="3" t="inlineStr">
        <is>
          <t>1</t>
        </is>
      </c>
      <c r="B4378" s="3" t="inlineStr">
        <is>
          <t>Jendela Nako Rangka Aluminium (rangka+kaca 5 mm)</t>
        </is>
      </c>
      <c r="C4378" s="3" t="inlineStr">
        <is>
          <t>m2</t>
        </is>
      </c>
      <c r="D4378" s="15" t="n">
        <v>1.1</v>
      </c>
      <c r="E4378" s="4" t="n">
        <v>242000</v>
      </c>
      <c r="F4378" s="4" t="n">
        <v>266200</v>
      </c>
    </row>
    <row r="4379">
      <c r="A4379" s="3" t="inlineStr">
        <is>
          <t>2</t>
        </is>
      </c>
      <c r="B4379" s="3" t="inlineStr">
        <is>
          <t>Paku Sekrup 1-2 cm</t>
        </is>
      </c>
      <c r="C4379" s="3" t="inlineStr">
        <is>
          <t>buah</t>
        </is>
      </c>
      <c r="D4379" s="15" t="n">
        <v>10</v>
      </c>
      <c r="E4379" s="4" t="n">
        <v>1600</v>
      </c>
      <c r="F4379" s="4" t="n">
        <v>16000</v>
      </c>
    </row>
    <row r="4380">
      <c r="A4380" s="3" t="inlineStr">
        <is>
          <t>3</t>
        </is>
      </c>
      <c r="B4380" s="3" t="inlineStr">
        <is>
          <t>"Besi strip (0 2x2) cm"</t>
        </is>
      </c>
      <c r="C4380" s="3" t="inlineStr">
        <is>
          <t>m'</t>
        </is>
      </c>
      <c r="D4380" s="15" t="n">
        <v>7</v>
      </c>
      <c r="E4380" s="4" t="n">
        <v>5000</v>
      </c>
      <c r="F4380" s="4" t="n">
        <v>35000</v>
      </c>
    </row>
    <row r="4381">
      <c r="D4381" s="2" t="inlineStr">
        <is>
          <t>SUBTOTAL UPAH</t>
        </is>
      </c>
      <c r="F4381" s="16" t="n">
        <v>53900</v>
      </c>
    </row>
    <row r="4382">
      <c r="D4382" s="2" t="inlineStr">
        <is>
          <t>SUBTOTAL BAHAN</t>
        </is>
      </c>
      <c r="F4382" s="16" t="n">
        <v>317200</v>
      </c>
    </row>
    <row r="4383">
      <c r="D4383" s="2" t="inlineStr">
        <is>
          <t>SUBTOTAL ALAT</t>
        </is>
      </c>
      <c r="F4383" s="16" t="n">
        <v>0</v>
      </c>
    </row>
    <row r="4384">
      <c r="E4384" s="2" t="inlineStr">
        <is>
          <t>TOTAL HARGA SATUAN (Inc. Overhead)</t>
        </is>
      </c>
      <c r="F4384" s="17" t="n">
        <v>408210</v>
      </c>
    </row>
    <row r="4386">
      <c r="A4386" s="14" t="inlineStr">
        <is>
          <t>KODE: 3.11.2.4 - Pemasangan 1 buah Jendela Kaca Upvc 1 daun ukuran 0,79 x 1,30 m</t>
        </is>
      </c>
    </row>
    <row r="4387">
      <c r="A4387" s="10" t="inlineStr">
        <is>
          <t>No</t>
        </is>
      </c>
      <c r="B4387" s="10" t="inlineStr">
        <is>
          <t>Uraian Komponen</t>
        </is>
      </c>
      <c r="C4387" s="10" t="inlineStr">
        <is>
          <t>Satuan</t>
        </is>
      </c>
      <c r="D4387" s="10" t="inlineStr">
        <is>
          <t>Koef</t>
        </is>
      </c>
      <c r="E4387" s="10" t="inlineStr">
        <is>
          <t>Harga Satuan (Rp)</t>
        </is>
      </c>
      <c r="F4387" s="10" t="inlineStr">
        <is>
          <t>Jumlah Harga (Rp)</t>
        </is>
      </c>
    </row>
    <row r="4388">
      <c r="A4388" s="3" t="inlineStr">
        <is>
          <t>1</t>
        </is>
      </c>
      <c r="B4388" s="3" t="inlineStr">
        <is>
          <t>Pekerja</t>
        </is>
      </c>
      <c r="C4388" s="3" t="inlineStr">
        <is>
          <t>OH</t>
        </is>
      </c>
      <c r="D4388" s="15" t="n">
        <v>0.083</v>
      </c>
      <c r="E4388" s="4" t="n">
        <v>100000</v>
      </c>
      <c r="F4388" s="4" t="n">
        <v>8300</v>
      </c>
    </row>
    <row r="4389">
      <c r="A4389" s="3" t="inlineStr">
        <is>
          <t>2</t>
        </is>
      </c>
      <c r="B4389" s="3" t="inlineStr">
        <is>
          <t>Tukang besi</t>
        </is>
      </c>
      <c r="C4389" s="3" t="inlineStr">
        <is>
          <t>OH</t>
        </is>
      </c>
      <c r="D4389" s="15" t="n">
        <v>0.083</v>
      </c>
      <c r="E4389" s="4" t="n">
        <v>145000</v>
      </c>
      <c r="F4389" s="4" t="n">
        <v>12035</v>
      </c>
    </row>
    <row r="4390">
      <c r="A4390" s="3" t="inlineStr">
        <is>
          <t>3</t>
        </is>
      </c>
      <c r="B4390" s="3" t="inlineStr">
        <is>
          <t>Kepala tukang</t>
        </is>
      </c>
      <c r="C4390" s="3" t="inlineStr">
        <is>
          <t>OH</t>
        </is>
      </c>
      <c r="D4390" s="15" t="n">
        <v>0.008</v>
      </c>
      <c r="E4390" s="4" t="n">
        <v>175000</v>
      </c>
      <c r="F4390" s="4" t="n">
        <v>1400</v>
      </c>
    </row>
    <row r="4391">
      <c r="A4391" s="3" t="inlineStr">
        <is>
          <t>4</t>
        </is>
      </c>
      <c r="B4391" s="3" t="inlineStr">
        <is>
          <t>Mandor</t>
        </is>
      </c>
      <c r="C4391" s="3" t="inlineStr">
        <is>
          <t>OH</t>
        </is>
      </c>
      <c r="D4391" s="15" t="n">
        <v>0.003</v>
      </c>
      <c r="E4391" s="4" t="n">
        <v>200000</v>
      </c>
      <c r="F4391" s="4" t="n">
        <v>600</v>
      </c>
    </row>
    <row r="4392">
      <c r="A4392" s="3" t="inlineStr">
        <is>
          <t>1</t>
        </is>
      </c>
      <c r="B4392" s="3" t="inlineStr">
        <is>
          <t>Jendela Kaca Upvc 2 daun</t>
        </is>
      </c>
      <c r="C4392" s="3" t="inlineStr">
        <is>
          <t>buah</t>
        </is>
      </c>
      <c r="D4392" s="15" t="n">
        <v>1</v>
      </c>
      <c r="E4392" s="4" t="n">
        <v>2000000</v>
      </c>
      <c r="F4392" s="4" t="n">
        <v>2000000</v>
      </c>
    </row>
    <row r="4393">
      <c r="D4393" s="2" t="inlineStr">
        <is>
          <t>SUBTOTAL UPAH</t>
        </is>
      </c>
      <c r="F4393" s="16" t="n">
        <v>22335</v>
      </c>
    </row>
    <row r="4394">
      <c r="D4394" s="2" t="inlineStr">
        <is>
          <t>SUBTOTAL BAHAN</t>
        </is>
      </c>
      <c r="F4394" s="16" t="n">
        <v>2000000</v>
      </c>
    </row>
    <row r="4395">
      <c r="D4395" s="2" t="inlineStr">
        <is>
          <t>SUBTOTAL ALAT</t>
        </is>
      </c>
      <c r="F4395" s="16" t="n">
        <v>0</v>
      </c>
    </row>
    <row r="4396">
      <c r="E4396" s="2" t="inlineStr">
        <is>
          <t>TOTAL HARGA SATUAN (Inc. Overhead)</t>
        </is>
      </c>
      <c r="F4396" s="17" t="n">
        <v>2224568</v>
      </c>
    </row>
    <row r="4398">
      <c r="A4398" s="14" t="inlineStr">
        <is>
          <t>KODE: 3.11.3.1 - Pemasangan 1 m' kusen aluminium</t>
        </is>
      </c>
    </row>
    <row r="4399">
      <c r="A4399" s="10" t="inlineStr">
        <is>
          <t>No</t>
        </is>
      </c>
      <c r="B4399" s="10" t="inlineStr">
        <is>
          <t>Uraian Komponen</t>
        </is>
      </c>
      <c r="C4399" s="10" t="inlineStr">
        <is>
          <t>Satuan</t>
        </is>
      </c>
      <c r="D4399" s="10" t="inlineStr">
        <is>
          <t>Koef</t>
        </is>
      </c>
      <c r="E4399" s="10" t="inlineStr">
        <is>
          <t>Harga Satuan (Rp)</t>
        </is>
      </c>
      <c r="F4399" s="10" t="inlineStr">
        <is>
          <t>Jumlah Harga (Rp)</t>
        </is>
      </c>
    </row>
    <row r="4400">
      <c r="A4400" s="3" t="inlineStr">
        <is>
          <t>1</t>
        </is>
      </c>
      <c r="B4400" s="3" t="inlineStr">
        <is>
          <t>Pekerja</t>
        </is>
      </c>
      <c r="C4400" s="3" t="inlineStr">
        <is>
          <t>OH</t>
        </is>
      </c>
      <c r="D4400" s="15" t="n">
        <v>0.043</v>
      </c>
      <c r="E4400" s="4" t="n">
        <v>100000</v>
      </c>
      <c r="F4400" s="4" t="n">
        <v>4300</v>
      </c>
    </row>
    <row r="4401">
      <c r="A4401" s="3" t="inlineStr">
        <is>
          <t>2</t>
        </is>
      </c>
      <c r="B4401" s="3" t="inlineStr">
        <is>
          <t>Tukang alumunium</t>
        </is>
      </c>
      <c r="C4401" s="3" t="inlineStr">
        <is>
          <t>OH</t>
        </is>
      </c>
      <c r="D4401" s="15" t="n">
        <v>0.043</v>
      </c>
      <c r="E4401" s="4" t="n">
        <v>145000</v>
      </c>
      <c r="F4401" s="4" t="n">
        <v>6234.999999999999</v>
      </c>
    </row>
    <row r="4402">
      <c r="A4402" s="3" t="inlineStr">
        <is>
          <t>3</t>
        </is>
      </c>
      <c r="B4402" s="3" t="inlineStr">
        <is>
          <t>Kepala tukang</t>
        </is>
      </c>
      <c r="C4402" s="3" t="inlineStr">
        <is>
          <t>OH</t>
        </is>
      </c>
      <c r="D4402" s="15" t="n">
        <v>0.004</v>
      </c>
      <c r="E4402" s="4" t="n">
        <v>175000</v>
      </c>
      <c r="F4402" s="4" t="n">
        <v>700</v>
      </c>
    </row>
    <row r="4403">
      <c r="A4403" s="3" t="inlineStr">
        <is>
          <t>4</t>
        </is>
      </c>
      <c r="B4403" s="3" t="inlineStr">
        <is>
          <t>Mandor</t>
        </is>
      </c>
      <c r="C4403" s="3" t="inlineStr">
        <is>
          <t>OH</t>
        </is>
      </c>
      <c r="D4403" s="15" t="n">
        <v>0.001</v>
      </c>
      <c r="E4403" s="4" t="n">
        <v>200000</v>
      </c>
      <c r="F4403" s="4" t="n">
        <v>200</v>
      </c>
    </row>
    <row r="4404">
      <c r="A4404" s="3" t="inlineStr">
        <is>
          <t>1</t>
        </is>
      </c>
      <c r="B4404" s="3" t="inlineStr">
        <is>
          <t>Profil aluminium</t>
        </is>
      </c>
      <c r="C4404" s="3" t="inlineStr">
        <is>
          <t>m'</t>
        </is>
      </c>
      <c r="D4404" s="15" t="n">
        <v>1.1</v>
      </c>
      <c r="E4404" s="4" t="n">
        <v>130000</v>
      </c>
      <c r="F4404" s="4" t="n">
        <v>143000</v>
      </c>
    </row>
    <row r="4405">
      <c r="A4405" s="3" t="inlineStr">
        <is>
          <t>2</t>
        </is>
      </c>
      <c r="B4405" s="3" t="inlineStr">
        <is>
          <t>Skrup fixer</t>
        </is>
      </c>
      <c r="C4405" s="3" t="inlineStr">
        <is>
          <t>buah</t>
        </is>
      </c>
      <c r="D4405" s="15" t="n">
        <v>2</v>
      </c>
      <c r="E4405" s="4" t="n">
        <v>1600</v>
      </c>
      <c r="F4405" s="4" t="n">
        <v>3200</v>
      </c>
    </row>
    <row r="4406">
      <c r="A4406" s="3" t="inlineStr">
        <is>
          <t>3</t>
        </is>
      </c>
      <c r="B4406" s="3" t="inlineStr">
        <is>
          <t>Sealant</t>
        </is>
      </c>
      <c r="C4406" s="3" t="inlineStr">
        <is>
          <t>tube</t>
        </is>
      </c>
      <c r="D4406" s="15" t="n">
        <v>0.06</v>
      </c>
      <c r="E4406" s="4" t="n">
        <v>33100</v>
      </c>
      <c r="F4406" s="4" t="n">
        <v>1986</v>
      </c>
    </row>
    <row r="4407">
      <c r="D4407" s="2" t="inlineStr">
        <is>
          <t>SUBTOTAL UPAH</t>
        </is>
      </c>
      <c r="F4407" s="16" t="n">
        <v>11435</v>
      </c>
    </row>
    <row r="4408">
      <c r="D4408" s="2" t="inlineStr">
        <is>
          <t>SUBTOTAL BAHAN</t>
        </is>
      </c>
      <c r="F4408" s="16" t="n">
        <v>148186</v>
      </c>
    </row>
    <row r="4409">
      <c r="D4409" s="2" t="inlineStr">
        <is>
          <t>SUBTOTAL ALAT</t>
        </is>
      </c>
      <c r="F4409" s="16" t="n">
        <v>0</v>
      </c>
    </row>
    <row r="4410">
      <c r="E4410" s="2" t="inlineStr">
        <is>
          <t>TOTAL HARGA SATUAN (Inc. Overhead)</t>
        </is>
      </c>
      <c r="F4410" s="17" t="n">
        <v>175583</v>
      </c>
    </row>
    <row r="4412">
      <c r="A4412" s="14" t="inlineStr">
        <is>
          <t>KODE: 3.11.3.2 - Pembuatan dan pemasangan 1 m’ kusen pintu dan kusen jendela, kayu kelas I uk. 6x12 cm</t>
        </is>
      </c>
    </row>
    <row r="4413">
      <c r="A4413" s="10" t="inlineStr">
        <is>
          <t>No</t>
        </is>
      </c>
      <c r="B4413" s="10" t="inlineStr">
        <is>
          <t>Uraian Komponen</t>
        </is>
      </c>
      <c r="C4413" s="10" t="inlineStr">
        <is>
          <t>Satuan</t>
        </is>
      </c>
      <c r="D4413" s="10" t="inlineStr">
        <is>
          <t>Koef</t>
        </is>
      </c>
      <c r="E4413" s="10" t="inlineStr">
        <is>
          <t>Harga Satuan (Rp)</t>
        </is>
      </c>
      <c r="F4413" s="10" t="inlineStr">
        <is>
          <t>Jumlah Harga (Rp)</t>
        </is>
      </c>
    </row>
    <row r="4414">
      <c r="A4414" s="3" t="inlineStr">
        <is>
          <t>1</t>
        </is>
      </c>
      <c r="B4414" s="3" t="inlineStr">
        <is>
          <t>Pekerja</t>
        </is>
      </c>
      <c r="C4414" s="3" t="inlineStr">
        <is>
          <t>OH</t>
        </is>
      </c>
      <c r="D4414" s="15" t="n">
        <v>0.2857</v>
      </c>
      <c r="E4414" s="4" t="n">
        <v>100000</v>
      </c>
      <c r="F4414" s="4" t="n">
        <v>28570</v>
      </c>
    </row>
    <row r="4415">
      <c r="A4415" s="3" t="inlineStr">
        <is>
          <t>2</t>
        </is>
      </c>
      <c r="B4415" s="3" t="inlineStr">
        <is>
          <t>Tukang kayu</t>
        </is>
      </c>
      <c r="C4415" s="3" t="inlineStr">
        <is>
          <t>OH</t>
        </is>
      </c>
      <c r="D4415" s="15" t="n">
        <v>0.1429</v>
      </c>
      <c r="E4415" s="4" t="n">
        <v>145000</v>
      </c>
      <c r="F4415" s="4" t="n">
        <v>20720.5</v>
      </c>
    </row>
    <row r="4416">
      <c r="A4416" s="3" t="inlineStr">
        <is>
          <t>3</t>
        </is>
      </c>
      <c r="B4416" s="3" t="inlineStr">
        <is>
          <t>Kepala tukang</t>
        </is>
      </c>
      <c r="C4416" s="3" t="inlineStr">
        <is>
          <t>OH</t>
        </is>
      </c>
      <c r="D4416" s="15" t="n">
        <v>0.0143</v>
      </c>
      <c r="E4416" s="4" t="n">
        <v>175000</v>
      </c>
      <c r="F4416" s="4" t="n">
        <v>2502.5</v>
      </c>
    </row>
    <row r="4417">
      <c r="A4417" s="3" t="inlineStr">
        <is>
          <t>4</t>
        </is>
      </c>
      <c r="B4417" s="3" t="inlineStr">
        <is>
          <t>Mandor</t>
        </is>
      </c>
      <c r="C4417" s="3" t="inlineStr">
        <is>
          <t>OH</t>
        </is>
      </c>
      <c r="D4417" s="15" t="n">
        <v>0.0048</v>
      </c>
      <c r="E4417" s="4" t="n">
        <v>200000</v>
      </c>
      <c r="F4417" s="4" t="n">
        <v>959.9999999999999</v>
      </c>
    </row>
    <row r="4418">
      <c r="A4418" s="3" t="inlineStr">
        <is>
          <t>1</t>
        </is>
      </c>
      <c r="B4418" s="3" t="inlineStr">
        <is>
          <t>Kayu balok 6/12 kelas I</t>
        </is>
      </c>
      <c r="C4418" s="3" t="inlineStr">
        <is>
          <t>m3</t>
        </is>
      </c>
      <c r="D4418" s="15" t="n">
        <v>0.0086</v>
      </c>
      <c r="E4418" s="4" t="n">
        <v>25000000</v>
      </c>
      <c r="F4418" s="4" t="n">
        <v>215000</v>
      </c>
    </row>
    <row r="4419">
      <c r="A4419" s="3" t="inlineStr">
        <is>
          <t>2</t>
        </is>
      </c>
      <c r="B4419" s="3" t="inlineStr">
        <is>
          <t>Paku 12 cm</t>
        </is>
      </c>
      <c r="C4419" s="3" t="inlineStr">
        <is>
          <t>kg</t>
        </is>
      </c>
      <c r="D4419" s="15" t="n">
        <v>0.1276</v>
      </c>
      <c r="E4419" s="4" t="n">
        <v>1500</v>
      </c>
      <c r="F4419" s="4" t="n">
        <v>191.4</v>
      </c>
    </row>
    <row r="4420">
      <c r="A4420" s="3" t="inlineStr">
        <is>
          <t>3</t>
        </is>
      </c>
      <c r="B4420" s="3" t="inlineStr">
        <is>
          <t>Lem Kayu</t>
        </is>
      </c>
      <c r="C4420" s="3" t="inlineStr">
        <is>
          <t>kg</t>
        </is>
      </c>
      <c r="D4420" s="15" t="n">
        <v>1</v>
      </c>
      <c r="E4420" s="4" t="n">
        <v>16400</v>
      </c>
      <c r="F4420" s="4" t="n">
        <v>16400</v>
      </c>
    </row>
    <row r="4421">
      <c r="D4421" s="2" t="inlineStr">
        <is>
          <t>SUBTOTAL UPAH</t>
        </is>
      </c>
      <c r="F4421" s="16" t="n">
        <v>52753</v>
      </c>
    </row>
    <row r="4422">
      <c r="D4422" s="2" t="inlineStr">
        <is>
          <t>SUBTOTAL BAHAN</t>
        </is>
      </c>
      <c r="F4422" s="16" t="n">
        <v>231591.4</v>
      </c>
    </row>
    <row r="4423">
      <c r="D4423" s="2" t="inlineStr">
        <is>
          <t>SUBTOTAL ALAT</t>
        </is>
      </c>
      <c r="F4423" s="16" t="n">
        <v>0</v>
      </c>
    </row>
    <row r="4424">
      <c r="E4424" s="2" t="inlineStr">
        <is>
          <t>TOTAL HARGA SATUAN (Inc. Overhead)</t>
        </is>
      </c>
      <c r="F4424" s="17" t="n">
        <v>312778</v>
      </c>
    </row>
    <row r="4426">
      <c r="A4426" s="14" t="inlineStr">
        <is>
          <t>KODE: 3.11.3.3 - Pembuatan dan pemasangan 1 m’ kusen pintu dan kusen jendela, kayu kelas I uk. 6x15 cm</t>
        </is>
      </c>
    </row>
    <row r="4427">
      <c r="A4427" s="10" t="inlineStr">
        <is>
          <t>No</t>
        </is>
      </c>
      <c r="B4427" s="10" t="inlineStr">
        <is>
          <t>Uraian Komponen</t>
        </is>
      </c>
      <c r="C4427" s="10" t="inlineStr">
        <is>
          <t>Satuan</t>
        </is>
      </c>
      <c r="D4427" s="10" t="inlineStr">
        <is>
          <t>Koef</t>
        </is>
      </c>
      <c r="E4427" s="10" t="inlineStr">
        <is>
          <t>Harga Satuan (Rp)</t>
        </is>
      </c>
      <c r="F4427" s="10" t="inlineStr">
        <is>
          <t>Jumlah Harga (Rp)</t>
        </is>
      </c>
    </row>
    <row r="4428">
      <c r="A4428" s="3" t="inlineStr">
        <is>
          <t>1</t>
        </is>
      </c>
      <c r="B4428" s="3" t="inlineStr">
        <is>
          <t>Pekerja</t>
        </is>
      </c>
      <c r="C4428" s="3" t="inlineStr">
        <is>
          <t>OH</t>
        </is>
      </c>
      <c r="D4428" s="15" t="n">
        <v>0.2857</v>
      </c>
      <c r="E4428" s="4" t="n">
        <v>100000</v>
      </c>
      <c r="F4428" s="4" t="n">
        <v>28570</v>
      </c>
    </row>
    <row r="4429">
      <c r="A4429" s="3" t="inlineStr">
        <is>
          <t>2</t>
        </is>
      </c>
      <c r="B4429" s="3" t="inlineStr">
        <is>
          <t>Tukang kayu</t>
        </is>
      </c>
      <c r="C4429" s="3" t="inlineStr">
        <is>
          <t>OH</t>
        </is>
      </c>
      <c r="D4429" s="15" t="n">
        <v>0.1429</v>
      </c>
      <c r="E4429" s="4" t="n">
        <v>145000</v>
      </c>
      <c r="F4429" s="4" t="n">
        <v>20720.5</v>
      </c>
    </row>
    <row r="4430">
      <c r="A4430" s="3" t="inlineStr">
        <is>
          <t>3</t>
        </is>
      </c>
      <c r="B4430" s="3" t="inlineStr">
        <is>
          <t>Kepala tukang</t>
        </is>
      </c>
      <c r="C4430" s="3" t="inlineStr">
        <is>
          <t>OH</t>
        </is>
      </c>
      <c r="D4430" s="15" t="n">
        <v>0.0143</v>
      </c>
      <c r="E4430" s="4" t="n">
        <v>175000</v>
      </c>
      <c r="F4430" s="4" t="n">
        <v>2502.5</v>
      </c>
    </row>
    <row r="4431">
      <c r="A4431" s="3" t="inlineStr">
        <is>
          <t>4</t>
        </is>
      </c>
      <c r="B4431" s="3" t="inlineStr">
        <is>
          <t>Mandor</t>
        </is>
      </c>
      <c r="C4431" s="3" t="inlineStr">
        <is>
          <t>OH</t>
        </is>
      </c>
      <c r="D4431" s="15" t="n">
        <v>0.0048</v>
      </c>
      <c r="E4431" s="4" t="n">
        <v>200000</v>
      </c>
      <c r="F4431" s="4" t="n">
        <v>959.9999999999999</v>
      </c>
    </row>
    <row r="4432">
      <c r="A4432" s="3" t="inlineStr">
        <is>
          <t>1</t>
        </is>
      </c>
      <c r="B4432" s="3" t="inlineStr">
        <is>
          <t>Kayu balok 6/15 kelas I</t>
        </is>
      </c>
      <c r="C4432" s="3" t="inlineStr">
        <is>
          <t>m3</t>
        </is>
      </c>
      <c r="D4432" s="15" t="n">
        <v>0.0108</v>
      </c>
      <c r="E4432" s="4" t="n">
        <v>25000000</v>
      </c>
      <c r="F4432" s="4" t="n">
        <v>270000</v>
      </c>
    </row>
    <row r="4433">
      <c r="A4433" s="3" t="inlineStr">
        <is>
          <t>2</t>
        </is>
      </c>
      <c r="B4433" s="3" t="inlineStr">
        <is>
          <t>Paku 12 cm</t>
        </is>
      </c>
      <c r="C4433" s="3" t="inlineStr">
        <is>
          <t>kg</t>
        </is>
      </c>
      <c r="D4433" s="15" t="n">
        <v>0.1276</v>
      </c>
      <c r="E4433" s="4" t="n">
        <v>1500</v>
      </c>
      <c r="F4433" s="4" t="n">
        <v>191.4</v>
      </c>
    </row>
    <row r="4434">
      <c r="A4434" s="3" t="inlineStr">
        <is>
          <t>3</t>
        </is>
      </c>
      <c r="B4434" s="3" t="inlineStr">
        <is>
          <t>Lem Kayu</t>
        </is>
      </c>
      <c r="C4434" s="3" t="inlineStr">
        <is>
          <t>kg</t>
        </is>
      </c>
      <c r="D4434" s="15" t="n">
        <v>1</v>
      </c>
      <c r="E4434" s="4" t="n">
        <v>16400</v>
      </c>
      <c r="F4434" s="4" t="n">
        <v>16400</v>
      </c>
    </row>
    <row r="4435">
      <c r="D4435" s="2" t="inlineStr">
        <is>
          <t>SUBTOTAL UPAH</t>
        </is>
      </c>
      <c r="F4435" s="16" t="n">
        <v>52753</v>
      </c>
    </row>
    <row r="4436">
      <c r="D4436" s="2" t="inlineStr">
        <is>
          <t>SUBTOTAL BAHAN</t>
        </is>
      </c>
      <c r="F4436" s="16" t="n">
        <v>286591.4</v>
      </c>
    </row>
    <row r="4437">
      <c r="D4437" s="2" t="inlineStr">
        <is>
          <t>SUBTOTAL ALAT</t>
        </is>
      </c>
      <c r="F4437" s="16" t="n">
        <v>0</v>
      </c>
    </row>
    <row r="4438">
      <c r="E4438" s="2" t="inlineStr">
        <is>
          <t>TOTAL HARGA SATUAN (Inc. Overhead)</t>
        </is>
      </c>
      <c r="F4438" s="17" t="n">
        <v>373278</v>
      </c>
    </row>
    <row r="4440">
      <c r="A4440" s="14" t="inlineStr">
        <is>
          <t>KODE: 3.11.3.4 - Pembuatan dan pemasangan 1 m’ kusen pintu dan kusen jendela, kayu kelas II atau III uk. 6x12 cm</t>
        </is>
      </c>
    </row>
    <row r="4441">
      <c r="A4441" s="10" t="inlineStr">
        <is>
          <t>No</t>
        </is>
      </c>
      <c r="B4441" s="10" t="inlineStr">
        <is>
          <t>Uraian Komponen</t>
        </is>
      </c>
      <c r="C4441" s="10" t="inlineStr">
        <is>
          <t>Satuan</t>
        </is>
      </c>
      <c r="D4441" s="10" t="inlineStr">
        <is>
          <t>Koef</t>
        </is>
      </c>
      <c r="E4441" s="10" t="inlineStr">
        <is>
          <t>Harga Satuan (Rp)</t>
        </is>
      </c>
      <c r="F4441" s="10" t="inlineStr">
        <is>
          <t>Jumlah Harga (Rp)</t>
        </is>
      </c>
    </row>
    <row r="4442">
      <c r="A4442" s="3" t="inlineStr">
        <is>
          <t>1</t>
        </is>
      </c>
      <c r="B4442" s="3" t="inlineStr">
        <is>
          <t>Pekerja</t>
        </is>
      </c>
      <c r="C4442" s="3" t="inlineStr">
        <is>
          <t>OH</t>
        </is>
      </c>
      <c r="D4442" s="15" t="n">
        <v>0.2857</v>
      </c>
      <c r="E4442" s="4" t="n">
        <v>100000</v>
      </c>
      <c r="F4442" s="4" t="n">
        <v>28570</v>
      </c>
    </row>
    <row r="4443">
      <c r="A4443" s="3" t="inlineStr">
        <is>
          <t>2</t>
        </is>
      </c>
      <c r="B4443" s="3" t="inlineStr">
        <is>
          <t>Tukang kayu</t>
        </is>
      </c>
      <c r="C4443" s="3" t="inlineStr">
        <is>
          <t>OH</t>
        </is>
      </c>
      <c r="D4443" s="15" t="n">
        <v>0.1429</v>
      </c>
      <c r="E4443" s="4" t="n">
        <v>145000</v>
      </c>
      <c r="F4443" s="4" t="n">
        <v>20720.5</v>
      </c>
    </row>
    <row r="4444">
      <c r="A4444" s="3" t="inlineStr">
        <is>
          <t>3</t>
        </is>
      </c>
      <c r="B4444" s="3" t="inlineStr">
        <is>
          <t>Kepala tukang</t>
        </is>
      </c>
      <c r="C4444" s="3" t="inlineStr">
        <is>
          <t>OH</t>
        </is>
      </c>
      <c r="D4444" s="15" t="n">
        <v>0.0143</v>
      </c>
      <c r="E4444" s="4" t="n">
        <v>175000</v>
      </c>
      <c r="F4444" s="4" t="n">
        <v>2502.5</v>
      </c>
    </row>
    <row r="4445">
      <c r="A4445" s="3" t="inlineStr">
        <is>
          <t>4</t>
        </is>
      </c>
      <c r="B4445" s="3" t="inlineStr">
        <is>
          <t>Mandor</t>
        </is>
      </c>
      <c r="C4445" s="3" t="inlineStr">
        <is>
          <t>OH</t>
        </is>
      </c>
      <c r="D4445" s="15" t="n">
        <v>0.0048</v>
      </c>
      <c r="E4445" s="4" t="n">
        <v>200000</v>
      </c>
      <c r="F4445" s="4" t="n">
        <v>959.9999999999999</v>
      </c>
    </row>
    <row r="4446">
      <c r="A4446" s="3" t="inlineStr">
        <is>
          <t>1</t>
        </is>
      </c>
      <c r="B4446" s="3" t="inlineStr">
        <is>
          <t>Kayu balok 6/12 kelas II</t>
        </is>
      </c>
      <c r="C4446" s="3" t="inlineStr">
        <is>
          <t>m3</t>
        </is>
      </c>
      <c r="D4446" s="15" t="n">
        <v>0.0086</v>
      </c>
      <c r="E4446" s="4" t="n">
        <v>11950000</v>
      </c>
      <c r="F4446" s="4" t="n">
        <v>102770</v>
      </c>
    </row>
    <row r="4447">
      <c r="A4447" s="3" t="inlineStr">
        <is>
          <t>2</t>
        </is>
      </c>
      <c r="B4447" s="3" t="inlineStr">
        <is>
          <t>Paku 12 cm</t>
        </is>
      </c>
      <c r="C4447" s="3" t="inlineStr">
        <is>
          <t>kg</t>
        </is>
      </c>
      <c r="D4447" s="15" t="n">
        <v>0.1276</v>
      </c>
      <c r="E4447" s="4" t="n">
        <v>1500</v>
      </c>
      <c r="F4447" s="4" t="n">
        <v>191.4</v>
      </c>
    </row>
    <row r="4448">
      <c r="A4448" s="3" t="inlineStr">
        <is>
          <t>3</t>
        </is>
      </c>
      <c r="B4448" s="3" t="inlineStr">
        <is>
          <t>Lem Kayu</t>
        </is>
      </c>
      <c r="C4448" s="3" t="inlineStr">
        <is>
          <t>kg</t>
        </is>
      </c>
      <c r="D4448" s="15" t="n">
        <v>1</v>
      </c>
      <c r="E4448" s="4" t="n">
        <v>16400</v>
      </c>
      <c r="F4448" s="4" t="n">
        <v>16400</v>
      </c>
    </row>
    <row r="4449">
      <c r="D4449" s="2" t="inlineStr">
        <is>
          <t>SUBTOTAL UPAH</t>
        </is>
      </c>
      <c r="F4449" s="16" t="n">
        <v>52753</v>
      </c>
    </row>
    <row r="4450">
      <c r="D4450" s="2" t="inlineStr">
        <is>
          <t>SUBTOTAL BAHAN</t>
        </is>
      </c>
      <c r="F4450" s="16" t="n">
        <v>119361.4</v>
      </c>
    </row>
    <row r="4451">
      <c r="D4451" s="2" t="inlineStr">
        <is>
          <t>SUBTOTAL ALAT</t>
        </is>
      </c>
      <c r="F4451" s="16" t="n">
        <v>0</v>
      </c>
    </row>
    <row r="4452">
      <c r="E4452" s="2" t="inlineStr">
        <is>
          <t>TOTAL HARGA SATUAN (Inc. Overhead)</t>
        </is>
      </c>
      <c r="F4452" s="17" t="n">
        <v>189325</v>
      </c>
    </row>
    <row r="4454">
      <c r="A4454" s="14" t="inlineStr">
        <is>
          <t>KODE: 3.11.3.5 - Pembuatan dan pemasangan 1 m’ kusen pintu dan kusen jendela, kayu kelas II atau III uk. 6x15 cm</t>
        </is>
      </c>
    </row>
    <row r="4455">
      <c r="A4455" s="10" t="inlineStr">
        <is>
          <t>No</t>
        </is>
      </c>
      <c r="B4455" s="10" t="inlineStr">
        <is>
          <t>Uraian Komponen</t>
        </is>
      </c>
      <c r="C4455" s="10" t="inlineStr">
        <is>
          <t>Satuan</t>
        </is>
      </c>
      <c r="D4455" s="10" t="inlineStr">
        <is>
          <t>Koef</t>
        </is>
      </c>
      <c r="E4455" s="10" t="inlineStr">
        <is>
          <t>Harga Satuan (Rp)</t>
        </is>
      </c>
      <c r="F4455" s="10" t="inlineStr">
        <is>
          <t>Jumlah Harga (Rp)</t>
        </is>
      </c>
    </row>
    <row r="4456">
      <c r="A4456" s="3" t="inlineStr">
        <is>
          <t>1</t>
        </is>
      </c>
      <c r="B4456" s="3" t="inlineStr">
        <is>
          <t>Pekerja</t>
        </is>
      </c>
      <c r="C4456" s="3" t="inlineStr">
        <is>
          <t>OH</t>
        </is>
      </c>
      <c r="D4456" s="15" t="n">
        <v>0.2857</v>
      </c>
      <c r="E4456" s="4" t="n">
        <v>100000</v>
      </c>
      <c r="F4456" s="4" t="n">
        <v>28570</v>
      </c>
    </row>
    <row r="4457">
      <c r="A4457" s="3" t="inlineStr">
        <is>
          <t>2</t>
        </is>
      </c>
      <c r="B4457" s="3" t="inlineStr">
        <is>
          <t>Tukang kayu</t>
        </is>
      </c>
      <c r="C4457" s="3" t="inlineStr">
        <is>
          <t>OH</t>
        </is>
      </c>
      <c r="D4457" s="15" t="n">
        <v>0.1429</v>
      </c>
      <c r="E4457" s="4" t="n">
        <v>145000</v>
      </c>
      <c r="F4457" s="4" t="n">
        <v>20720.5</v>
      </c>
    </row>
    <row r="4458">
      <c r="A4458" s="3" t="inlineStr">
        <is>
          <t>3</t>
        </is>
      </c>
      <c r="B4458" s="3" t="inlineStr">
        <is>
          <t>Kepala tukang</t>
        </is>
      </c>
      <c r="C4458" s="3" t="inlineStr">
        <is>
          <t>OH</t>
        </is>
      </c>
      <c r="D4458" s="15" t="n">
        <v>0.0143</v>
      </c>
      <c r="E4458" s="4" t="n">
        <v>175000</v>
      </c>
      <c r="F4458" s="4" t="n">
        <v>2502.5</v>
      </c>
    </row>
    <row r="4459">
      <c r="A4459" s="3" t="inlineStr">
        <is>
          <t>4</t>
        </is>
      </c>
      <c r="B4459" s="3" t="inlineStr">
        <is>
          <t>Mandor</t>
        </is>
      </c>
      <c r="C4459" s="3" t="inlineStr">
        <is>
          <t>OH</t>
        </is>
      </c>
      <c r="D4459" s="15" t="n">
        <v>0.0048</v>
      </c>
      <c r="E4459" s="4" t="n">
        <v>200000</v>
      </c>
      <c r="F4459" s="4" t="n">
        <v>959.9999999999999</v>
      </c>
    </row>
    <row r="4460">
      <c r="A4460" s="3" t="inlineStr">
        <is>
          <t>1</t>
        </is>
      </c>
      <c r="B4460" s="3" t="inlineStr">
        <is>
          <t>Kayu balok 6/15 kelas II</t>
        </is>
      </c>
      <c r="C4460" s="3" t="inlineStr">
        <is>
          <t>m3</t>
        </is>
      </c>
      <c r="D4460" s="15" t="n">
        <v>0.0108</v>
      </c>
      <c r="E4460" s="4" t="n">
        <v>11950000</v>
      </c>
      <c r="F4460" s="4" t="n">
        <v>129060</v>
      </c>
    </row>
    <row r="4461">
      <c r="A4461" s="3" t="inlineStr">
        <is>
          <t>2</t>
        </is>
      </c>
      <c r="B4461" s="3" t="inlineStr">
        <is>
          <t>Paku 12 cm</t>
        </is>
      </c>
      <c r="C4461" s="3" t="inlineStr">
        <is>
          <t>kg</t>
        </is>
      </c>
      <c r="D4461" s="15" t="n">
        <v>0.1276</v>
      </c>
      <c r="E4461" s="4" t="n">
        <v>1500</v>
      </c>
      <c r="F4461" s="4" t="n">
        <v>191.4</v>
      </c>
    </row>
    <row r="4462">
      <c r="A4462" s="3" t="inlineStr">
        <is>
          <t>3</t>
        </is>
      </c>
      <c r="B4462" s="3" t="inlineStr">
        <is>
          <t>Lem Kayu</t>
        </is>
      </c>
      <c r="C4462" s="3" t="inlineStr">
        <is>
          <t>kg</t>
        </is>
      </c>
      <c r="D4462" s="15" t="n">
        <v>1</v>
      </c>
      <c r="E4462" s="4" t="n">
        <v>16400</v>
      </c>
      <c r="F4462" s="4" t="n">
        <v>16400</v>
      </c>
    </row>
    <row r="4463">
      <c r="D4463" s="2" t="inlineStr">
        <is>
          <t>SUBTOTAL UPAH</t>
        </is>
      </c>
      <c r="F4463" s="16" t="n">
        <v>52753</v>
      </c>
    </row>
    <row r="4464">
      <c r="D4464" s="2" t="inlineStr">
        <is>
          <t>SUBTOTAL BAHAN</t>
        </is>
      </c>
      <c r="F4464" s="16" t="n">
        <v>145651.4</v>
      </c>
    </row>
    <row r="4465">
      <c r="D4465" s="2" t="inlineStr">
        <is>
          <t>SUBTOTAL ALAT</t>
        </is>
      </c>
      <c r="F4465" s="16" t="n">
        <v>0</v>
      </c>
    </row>
    <row r="4466">
      <c r="E4466" s="2" t="inlineStr">
        <is>
          <t>TOTAL HARGA SATUAN (Inc. Overhead)</t>
        </is>
      </c>
      <c r="F4466" s="17" t="n">
        <v>218244</v>
      </c>
    </row>
    <row r="4468">
      <c r="A4468" s="14" t="inlineStr">
        <is>
          <t>KODE: 3.11.3.6 - Pembuatan dan pemasangan 1 m2 jalusi kusen, kayu kelas I atau II</t>
        </is>
      </c>
    </row>
    <row r="4469">
      <c r="A4469" s="10" t="inlineStr">
        <is>
          <t>No</t>
        </is>
      </c>
      <c r="B4469" s="10" t="inlineStr">
        <is>
          <t>Uraian Komponen</t>
        </is>
      </c>
      <c r="C4469" s="10" t="inlineStr">
        <is>
          <t>Satuan</t>
        </is>
      </c>
      <c r="D4469" s="10" t="inlineStr">
        <is>
          <t>Koef</t>
        </is>
      </c>
      <c r="E4469" s="10" t="inlineStr">
        <is>
          <t>Harga Satuan (Rp)</t>
        </is>
      </c>
      <c r="F4469" s="10" t="inlineStr">
        <is>
          <t>Jumlah Harga (Rp)</t>
        </is>
      </c>
    </row>
    <row r="4470">
      <c r="A4470" s="3" t="inlineStr">
        <is>
          <t>1</t>
        </is>
      </c>
      <c r="B4470" s="3" t="inlineStr">
        <is>
          <t>Pekerja</t>
        </is>
      </c>
      <c r="C4470" s="3" t="inlineStr">
        <is>
          <t>OH</t>
        </is>
      </c>
      <c r="D4470" s="15" t="n">
        <v>0.67</v>
      </c>
      <c r="E4470" s="4" t="n">
        <v>100000</v>
      </c>
      <c r="F4470" s="4" t="n">
        <v>67000</v>
      </c>
    </row>
    <row r="4471">
      <c r="A4471" s="3" t="inlineStr">
        <is>
          <t>2</t>
        </is>
      </c>
      <c r="B4471" s="3" t="inlineStr">
        <is>
          <t>Tukang kayu</t>
        </is>
      </c>
      <c r="C4471" s="3" t="inlineStr">
        <is>
          <t>OH</t>
        </is>
      </c>
      <c r="D4471" s="15" t="n">
        <v>2</v>
      </c>
      <c r="E4471" s="4" t="n">
        <v>145000</v>
      </c>
      <c r="F4471" s="4" t="n">
        <v>290000</v>
      </c>
    </row>
    <row r="4472">
      <c r="A4472" s="3" t="inlineStr">
        <is>
          <t>3</t>
        </is>
      </c>
      <c r="B4472" s="3" t="inlineStr">
        <is>
          <t>Kepala tukang</t>
        </is>
      </c>
      <c r="C4472" s="3" t="inlineStr">
        <is>
          <t>OH</t>
        </is>
      </c>
      <c r="D4472" s="15" t="n">
        <v>0.2</v>
      </c>
      <c r="E4472" s="4" t="n">
        <v>175000</v>
      </c>
      <c r="F4472" s="4" t="n">
        <v>35000</v>
      </c>
    </row>
    <row r="4473">
      <c r="A4473" s="3" t="inlineStr">
        <is>
          <t>4</t>
        </is>
      </c>
      <c r="B4473" s="3" t="inlineStr">
        <is>
          <t>Mandor</t>
        </is>
      </c>
      <c r="C4473" s="3" t="inlineStr">
        <is>
          <t>OH</t>
        </is>
      </c>
      <c r="D4473" s="15" t="n">
        <v>0.0667</v>
      </c>
      <c r="E4473" s="4" t="n">
        <v>200000</v>
      </c>
      <c r="F4473" s="4" t="n">
        <v>13340</v>
      </c>
    </row>
    <row r="4474">
      <c r="A4474" s="3" t="inlineStr">
        <is>
          <t>1</t>
        </is>
      </c>
      <c r="B4474" s="3" t="inlineStr">
        <is>
          <t>Kayu papan kelas II</t>
        </is>
      </c>
      <c r="C4474" s="3" t="inlineStr">
        <is>
          <t>m3</t>
        </is>
      </c>
      <c r="D4474" s="15" t="n">
        <v>0.06</v>
      </c>
      <c r="E4474" s="4" t="n">
        <v>14000000</v>
      </c>
      <c r="F4474" s="4" t="n">
        <v>840000</v>
      </c>
    </row>
    <row r="4475">
      <c r="A4475" s="3" t="inlineStr">
        <is>
          <t>2</t>
        </is>
      </c>
      <c r="B4475" s="3" t="inlineStr">
        <is>
          <t>Paku 1 inch</t>
        </is>
      </c>
      <c r="C4475" s="3" t="inlineStr">
        <is>
          <t>kg</t>
        </is>
      </c>
      <c r="D4475" s="15" t="n">
        <v>0.15</v>
      </c>
      <c r="E4475" s="4" t="n">
        <v>15000</v>
      </c>
      <c r="F4475" s="4" t="n">
        <v>2250</v>
      </c>
    </row>
    <row r="4476">
      <c r="D4476" s="2" t="inlineStr">
        <is>
          <t>SUBTOTAL UPAH</t>
        </is>
      </c>
      <c r="F4476" s="16" t="n">
        <v>405340</v>
      </c>
    </row>
    <row r="4477">
      <c r="D4477" s="2" t="inlineStr">
        <is>
          <t>SUBTOTAL BAHAN</t>
        </is>
      </c>
      <c r="F4477" s="16" t="n">
        <v>842250</v>
      </c>
    </row>
    <row r="4478">
      <c r="D4478" s="2" t="inlineStr">
        <is>
          <t>SUBTOTAL ALAT</t>
        </is>
      </c>
      <c r="F4478" s="16" t="n">
        <v>0</v>
      </c>
    </row>
    <row r="4479">
      <c r="E4479" s="2" t="inlineStr">
        <is>
          <t>TOTAL HARGA SATUAN (Inc. Overhead)</t>
        </is>
      </c>
      <c r="F4479" s="17" t="n">
        <v>1372349</v>
      </c>
    </row>
    <row r="4481">
      <c r="A4481" s="14" t="inlineStr">
        <is>
          <t>KODE: 3.11.3.7 - Pemasangan 1 buah Jalusi Upvc</t>
        </is>
      </c>
    </row>
    <row r="4482">
      <c r="A4482" s="10" t="inlineStr">
        <is>
          <t>No</t>
        </is>
      </c>
      <c r="B4482" s="10" t="inlineStr">
        <is>
          <t>Uraian Komponen</t>
        </is>
      </c>
      <c r="C4482" s="10" t="inlineStr">
        <is>
          <t>Satuan</t>
        </is>
      </c>
      <c r="D4482" s="10" t="inlineStr">
        <is>
          <t>Koef</t>
        </is>
      </c>
      <c r="E4482" s="10" t="inlineStr">
        <is>
          <t>Harga Satuan (Rp)</t>
        </is>
      </c>
      <c r="F4482" s="10" t="inlineStr">
        <is>
          <t>Jumlah Harga (Rp)</t>
        </is>
      </c>
    </row>
    <row r="4483">
      <c r="A4483" s="3" t="inlineStr">
        <is>
          <t>1</t>
        </is>
      </c>
      <c r="B4483" s="3" t="inlineStr">
        <is>
          <t>Pekerja</t>
        </is>
      </c>
      <c r="C4483" s="3" t="inlineStr">
        <is>
          <t>OH</t>
        </is>
      </c>
      <c r="D4483" s="15" t="n">
        <v>0.056</v>
      </c>
      <c r="E4483" s="4" t="n">
        <v>100000</v>
      </c>
      <c r="F4483" s="4" t="n">
        <v>5600</v>
      </c>
    </row>
    <row r="4484">
      <c r="A4484" s="3" t="inlineStr">
        <is>
          <t>2</t>
        </is>
      </c>
      <c r="B4484" s="3" t="inlineStr">
        <is>
          <t>Tukang besi</t>
        </is>
      </c>
      <c r="C4484" s="3" t="inlineStr">
        <is>
          <t>OH</t>
        </is>
      </c>
      <c r="D4484" s="15" t="n">
        <v>0.056</v>
      </c>
      <c r="E4484" s="4" t="n">
        <v>145000</v>
      </c>
      <c r="F4484" s="4" t="n">
        <v>8120</v>
      </c>
    </row>
    <row r="4485">
      <c r="A4485" s="3" t="inlineStr">
        <is>
          <t>3</t>
        </is>
      </c>
      <c r="B4485" s="3" t="inlineStr">
        <is>
          <t>Kepala tukang</t>
        </is>
      </c>
      <c r="C4485" s="3" t="inlineStr">
        <is>
          <t>OH</t>
        </is>
      </c>
      <c r="D4485" s="15" t="n">
        <v>0.006</v>
      </c>
      <c r="E4485" s="4" t="n">
        <v>175000</v>
      </c>
      <c r="F4485" s="4" t="n">
        <v>1050</v>
      </c>
    </row>
    <row r="4486">
      <c r="A4486" s="3" t="inlineStr">
        <is>
          <t>4</t>
        </is>
      </c>
      <c r="B4486" s="3" t="inlineStr">
        <is>
          <t>Mandor</t>
        </is>
      </c>
      <c r="C4486" s="3" t="inlineStr">
        <is>
          <t>OH</t>
        </is>
      </c>
      <c r="D4486" s="15" t="n">
        <v>0.002</v>
      </c>
      <c r="E4486" s="4" t="n">
        <v>200000</v>
      </c>
      <c r="F4486" s="4" t="n">
        <v>400</v>
      </c>
    </row>
    <row r="4487">
      <c r="A4487" s="3" t="inlineStr">
        <is>
          <t>1</t>
        </is>
      </c>
      <c r="B4487" s="3" t="inlineStr">
        <is>
          <t>Jalusi uPVC</t>
        </is>
      </c>
      <c r="C4487" s="3" t="inlineStr">
        <is>
          <t>m3</t>
        </is>
      </c>
      <c r="D4487" s="15" t="n">
        <v>1</v>
      </c>
      <c r="E4487" s="4" t="n">
        <v>49500</v>
      </c>
      <c r="F4487" s="4" t="n">
        <v>49500</v>
      </c>
    </row>
    <row r="4488">
      <c r="D4488" s="2" t="inlineStr">
        <is>
          <t>SUBTOTAL UPAH</t>
        </is>
      </c>
      <c r="F4488" s="16" t="n">
        <v>15170</v>
      </c>
    </row>
    <row r="4489">
      <c r="D4489" s="2" t="inlineStr">
        <is>
          <t>SUBTOTAL BAHAN</t>
        </is>
      </c>
      <c r="F4489" s="16" t="n">
        <v>49500</v>
      </c>
    </row>
    <row r="4490">
      <c r="D4490" s="2" t="inlineStr">
        <is>
          <t>SUBTOTAL ALAT</t>
        </is>
      </c>
      <c r="F4490" s="16" t="n">
        <v>0</v>
      </c>
    </row>
    <row r="4491">
      <c r="E4491" s="2" t="inlineStr">
        <is>
          <t>TOTAL HARGA SATUAN (Inc. Overhead)</t>
        </is>
      </c>
      <c r="F4491" s="17" t="n">
        <v>71137</v>
      </c>
    </row>
    <row r="4493">
      <c r="A4493" s="14" t="inlineStr">
        <is>
          <t>KODE: 3.11.3.8 - Pemasangan 1 buah Kusen Bovenlight uPVC</t>
        </is>
      </c>
    </row>
    <row r="4494">
      <c r="A4494" s="10" t="inlineStr">
        <is>
          <t>No</t>
        </is>
      </c>
      <c r="B4494" s="10" t="inlineStr">
        <is>
          <t>Uraian Komponen</t>
        </is>
      </c>
      <c r="C4494" s="10" t="inlineStr">
        <is>
          <t>Satuan</t>
        </is>
      </c>
      <c r="D4494" s="10" t="inlineStr">
        <is>
          <t>Koef</t>
        </is>
      </c>
      <c r="E4494" s="10" t="inlineStr">
        <is>
          <t>Harga Satuan (Rp)</t>
        </is>
      </c>
      <c r="F4494" s="10" t="inlineStr">
        <is>
          <t>Jumlah Harga (Rp)</t>
        </is>
      </c>
    </row>
    <row r="4495">
      <c r="A4495" s="3" t="inlineStr">
        <is>
          <t>1</t>
        </is>
      </c>
      <c r="B4495" s="3" t="inlineStr">
        <is>
          <t>Pekerja</t>
        </is>
      </c>
      <c r="C4495" s="3" t="inlineStr">
        <is>
          <t>OH</t>
        </is>
      </c>
      <c r="D4495" s="15" t="n">
        <v>0.056</v>
      </c>
      <c r="E4495" s="4" t="n">
        <v>100000</v>
      </c>
      <c r="F4495" s="4" t="n">
        <v>5600</v>
      </c>
    </row>
    <row r="4496">
      <c r="A4496" s="3" t="inlineStr">
        <is>
          <t>2</t>
        </is>
      </c>
      <c r="B4496" s="3" t="inlineStr">
        <is>
          <t>Tukang besi</t>
        </is>
      </c>
      <c r="C4496" s="3" t="inlineStr">
        <is>
          <t>OH</t>
        </is>
      </c>
      <c r="D4496" s="15" t="n">
        <v>0.056</v>
      </c>
      <c r="E4496" s="4" t="n">
        <v>145000</v>
      </c>
      <c r="F4496" s="4" t="n">
        <v>8120</v>
      </c>
    </row>
    <row r="4497">
      <c r="A4497" s="3" t="inlineStr">
        <is>
          <t>3</t>
        </is>
      </c>
      <c r="B4497" s="3" t="inlineStr">
        <is>
          <t>Kepala tukang</t>
        </is>
      </c>
      <c r="C4497" s="3" t="inlineStr">
        <is>
          <t>OH</t>
        </is>
      </c>
      <c r="D4497" s="15" t="n">
        <v>0.006</v>
      </c>
      <c r="E4497" s="4" t="n">
        <v>175000</v>
      </c>
      <c r="F4497" s="4" t="n">
        <v>1050</v>
      </c>
    </row>
    <row r="4498">
      <c r="A4498" s="3" t="inlineStr">
        <is>
          <t>4</t>
        </is>
      </c>
      <c r="B4498" s="3" t="inlineStr">
        <is>
          <t>Mandor</t>
        </is>
      </c>
      <c r="C4498" s="3" t="inlineStr">
        <is>
          <t>OH</t>
        </is>
      </c>
      <c r="D4498" s="15" t="n">
        <v>0.002</v>
      </c>
      <c r="E4498" s="4" t="n">
        <v>200000</v>
      </c>
      <c r="F4498" s="4" t="n">
        <v>400</v>
      </c>
    </row>
    <row r="4499">
      <c r="A4499" s="3" t="inlineStr">
        <is>
          <t>1</t>
        </is>
      </c>
      <c r="B4499" s="3" t="inlineStr">
        <is>
          <t>Kusen Bovenlight Upvc</t>
        </is>
      </c>
      <c r="C4499" s="3" t="inlineStr">
        <is>
          <t>buah</t>
        </is>
      </c>
      <c r="D4499" s="15" t="n">
        <v>1</v>
      </c>
      <c r="E4499" s="4" t="n">
        <v>270000</v>
      </c>
      <c r="F4499" s="4" t="n">
        <v>270000</v>
      </c>
    </row>
    <row r="4500">
      <c r="D4500" s="2" t="inlineStr">
        <is>
          <t>SUBTOTAL UPAH</t>
        </is>
      </c>
      <c r="F4500" s="16" t="n">
        <v>15170</v>
      </c>
    </row>
    <row r="4501">
      <c r="D4501" s="2" t="inlineStr">
        <is>
          <t>SUBTOTAL BAHAN</t>
        </is>
      </c>
      <c r="F4501" s="16" t="n">
        <v>270000</v>
      </c>
    </row>
    <row r="4502">
      <c r="D4502" s="2" t="inlineStr">
        <is>
          <t>SUBTOTAL ALAT</t>
        </is>
      </c>
      <c r="F4502" s="16" t="n">
        <v>0</v>
      </c>
    </row>
    <row r="4503">
      <c r="E4503" s="2" t="inlineStr">
        <is>
          <t>TOTAL HARGA SATUAN (Inc. Overhead)</t>
        </is>
      </c>
      <c r="F4503" s="17" t="n">
        <v>313687</v>
      </c>
    </row>
    <row r="4505">
      <c r="A4505" s="14" t="inlineStr">
        <is>
          <t>KODE: 3.11.4.1 - Pemasangan 1 buah kunci tanam antik</t>
        </is>
      </c>
    </row>
    <row r="4506">
      <c r="A4506" s="10" t="inlineStr">
        <is>
          <t>No</t>
        </is>
      </c>
      <c r="B4506" s="10" t="inlineStr">
        <is>
          <t>Uraian Komponen</t>
        </is>
      </c>
      <c r="C4506" s="10" t="inlineStr">
        <is>
          <t>Satuan</t>
        </is>
      </c>
      <c r="D4506" s="10" t="inlineStr">
        <is>
          <t>Koef</t>
        </is>
      </c>
      <c r="E4506" s="10" t="inlineStr">
        <is>
          <t>Harga Satuan (Rp)</t>
        </is>
      </c>
      <c r="F4506" s="10" t="inlineStr">
        <is>
          <t>Jumlah Harga (Rp)</t>
        </is>
      </c>
    </row>
    <row r="4507">
      <c r="A4507" s="3" t="inlineStr">
        <is>
          <t>1</t>
        </is>
      </c>
      <c r="B4507" s="3" t="inlineStr">
        <is>
          <t>Pekerja</t>
        </is>
      </c>
      <c r="C4507" s="3" t="inlineStr">
        <is>
          <t>OH</t>
        </is>
      </c>
      <c r="D4507" s="15" t="n">
        <v>0.06</v>
      </c>
      <c r="E4507" s="4" t="n">
        <v>100000</v>
      </c>
      <c r="F4507" s="4" t="n">
        <v>6000</v>
      </c>
    </row>
    <row r="4508">
      <c r="A4508" s="3" t="inlineStr">
        <is>
          <t>2</t>
        </is>
      </c>
      <c r="B4508" s="3" t="inlineStr">
        <is>
          <t>Tukang kayu</t>
        </is>
      </c>
      <c r="C4508" s="3" t="inlineStr">
        <is>
          <t>OH</t>
        </is>
      </c>
      <c r="D4508" s="15" t="n">
        <v>0.6</v>
      </c>
      <c r="E4508" s="4" t="n">
        <v>145000</v>
      </c>
      <c r="F4508" s="4" t="n">
        <v>87000</v>
      </c>
    </row>
    <row r="4509">
      <c r="A4509" s="3" t="inlineStr">
        <is>
          <t>3</t>
        </is>
      </c>
      <c r="B4509" s="3" t="inlineStr">
        <is>
          <t>Kepala tukang</t>
        </is>
      </c>
      <c r="C4509" s="3" t="inlineStr">
        <is>
          <t>OH</t>
        </is>
      </c>
      <c r="D4509" s="15" t="n">
        <v>0.06</v>
      </c>
      <c r="E4509" s="4" t="n">
        <v>175000</v>
      </c>
      <c r="F4509" s="4" t="n">
        <v>10500</v>
      </c>
    </row>
    <row r="4510">
      <c r="A4510" s="3" t="inlineStr">
        <is>
          <t>4</t>
        </is>
      </c>
      <c r="B4510" s="3" t="inlineStr">
        <is>
          <t>Mandor</t>
        </is>
      </c>
      <c r="C4510" s="3" t="inlineStr">
        <is>
          <t>OH</t>
        </is>
      </c>
      <c r="D4510" s="15" t="n">
        <v>0.02</v>
      </c>
      <c r="E4510" s="4" t="n">
        <v>200000</v>
      </c>
      <c r="F4510" s="4" t="n">
        <v>4000</v>
      </c>
    </row>
    <row r="4511">
      <c r="A4511" s="3" t="inlineStr">
        <is>
          <t>1</t>
        </is>
      </c>
      <c r="B4511" s="3" t="inlineStr">
        <is>
          <t>Kunci tanam antik</t>
        </is>
      </c>
      <c r="C4511" s="3" t="inlineStr">
        <is>
          <t>buah</t>
        </is>
      </c>
      <c r="D4511" s="15" t="n">
        <v>1</v>
      </c>
      <c r="E4511" s="4" t="n">
        <v>144300</v>
      </c>
      <c r="F4511" s="4" t="n">
        <v>144300</v>
      </c>
    </row>
    <row r="4512">
      <c r="D4512" s="2" t="inlineStr">
        <is>
          <t>SUBTOTAL UPAH</t>
        </is>
      </c>
      <c r="F4512" s="16" t="n">
        <v>107500</v>
      </c>
    </row>
    <row r="4513">
      <c r="D4513" s="2" t="inlineStr">
        <is>
          <t>SUBTOTAL BAHAN</t>
        </is>
      </c>
      <c r="F4513" s="16" t="n">
        <v>144300</v>
      </c>
    </row>
    <row r="4514">
      <c r="D4514" s="2" t="inlineStr">
        <is>
          <t>SUBTOTAL ALAT</t>
        </is>
      </c>
      <c r="F4514" s="16" t="n">
        <v>0</v>
      </c>
    </row>
    <row r="4515">
      <c r="E4515" s="2" t="inlineStr">
        <is>
          <t>TOTAL HARGA SATUAN (Inc. Overhead)</t>
        </is>
      </c>
      <c r="F4515" s="17" t="n">
        <v>276980</v>
      </c>
    </row>
    <row r="4517">
      <c r="A4517" s="14" t="inlineStr">
        <is>
          <t>KODE: 3.11.4.2 - Pemasangan 1 buah kunci tanam biasa</t>
        </is>
      </c>
    </row>
    <row r="4518">
      <c r="A4518" s="10" t="inlineStr">
        <is>
          <t>No</t>
        </is>
      </c>
      <c r="B4518" s="10" t="inlineStr">
        <is>
          <t>Uraian Komponen</t>
        </is>
      </c>
      <c r="C4518" s="10" t="inlineStr">
        <is>
          <t>Satuan</t>
        </is>
      </c>
      <c r="D4518" s="10" t="inlineStr">
        <is>
          <t>Koef</t>
        </is>
      </c>
      <c r="E4518" s="10" t="inlineStr">
        <is>
          <t>Harga Satuan (Rp)</t>
        </is>
      </c>
      <c r="F4518" s="10" t="inlineStr">
        <is>
          <t>Jumlah Harga (Rp)</t>
        </is>
      </c>
    </row>
    <row r="4519">
      <c r="A4519" s="3" t="inlineStr">
        <is>
          <t>1</t>
        </is>
      </c>
      <c r="B4519" s="3" t="inlineStr">
        <is>
          <t>Pekerja</t>
        </is>
      </c>
      <c r="C4519" s="3" t="inlineStr">
        <is>
          <t>OH</t>
        </is>
      </c>
      <c r="D4519" s="15" t="n">
        <v>0.01</v>
      </c>
      <c r="E4519" s="4" t="n">
        <v>100000</v>
      </c>
      <c r="F4519" s="4" t="n">
        <v>1000</v>
      </c>
    </row>
    <row r="4520">
      <c r="A4520" s="3" t="inlineStr">
        <is>
          <t>2</t>
        </is>
      </c>
      <c r="B4520" s="3" t="inlineStr">
        <is>
          <t>Tukang kayu</t>
        </is>
      </c>
      <c r="C4520" s="3" t="inlineStr">
        <is>
          <t>OH</t>
        </is>
      </c>
      <c r="D4520" s="15" t="n">
        <v>0.5</v>
      </c>
      <c r="E4520" s="4" t="n">
        <v>145000</v>
      </c>
      <c r="F4520" s="4" t="n">
        <v>72500</v>
      </c>
    </row>
    <row r="4521">
      <c r="A4521" s="3" t="inlineStr">
        <is>
          <t>3</t>
        </is>
      </c>
      <c r="B4521" s="3" t="inlineStr">
        <is>
          <t>Kepala tukang</t>
        </is>
      </c>
      <c r="C4521" s="3" t="inlineStr">
        <is>
          <t>OH</t>
        </is>
      </c>
      <c r="D4521" s="15" t="n">
        <v>0.05</v>
      </c>
      <c r="E4521" s="4" t="n">
        <v>175000</v>
      </c>
      <c r="F4521" s="4" t="n">
        <v>8750</v>
      </c>
    </row>
    <row r="4522">
      <c r="A4522" s="3" t="inlineStr">
        <is>
          <t>4</t>
        </is>
      </c>
      <c r="B4522" s="3" t="inlineStr">
        <is>
          <t>Mandor</t>
        </is>
      </c>
      <c r="C4522" s="3" t="inlineStr">
        <is>
          <t>OH</t>
        </is>
      </c>
      <c r="D4522" s="15" t="n">
        <v>0.017</v>
      </c>
      <c r="E4522" s="4" t="n">
        <v>200000</v>
      </c>
      <c r="F4522" s="4" t="n">
        <v>3400</v>
      </c>
    </row>
    <row r="4523">
      <c r="A4523" s="3" t="inlineStr">
        <is>
          <t>1</t>
        </is>
      </c>
      <c r="B4523" s="3" t="inlineStr">
        <is>
          <t>Kunci tanam biasa</t>
        </is>
      </c>
      <c r="C4523" s="3" t="inlineStr">
        <is>
          <t>buah</t>
        </is>
      </c>
      <c r="D4523" s="15" t="n">
        <v>1</v>
      </c>
      <c r="E4523" s="4" t="n">
        <v>65800</v>
      </c>
      <c r="F4523" s="4" t="n">
        <v>65800</v>
      </c>
    </row>
    <row r="4524">
      <c r="D4524" s="2" t="inlineStr">
        <is>
          <t>SUBTOTAL UPAH</t>
        </is>
      </c>
      <c r="F4524" s="16" t="n">
        <v>85650</v>
      </c>
    </row>
    <row r="4525">
      <c r="D4525" s="2" t="inlineStr">
        <is>
          <t>SUBTOTAL BAHAN</t>
        </is>
      </c>
      <c r="F4525" s="16" t="n">
        <v>65800</v>
      </c>
    </row>
    <row r="4526">
      <c r="D4526" s="2" t="inlineStr">
        <is>
          <t>SUBTOTAL ALAT</t>
        </is>
      </c>
      <c r="F4526" s="16" t="n">
        <v>0</v>
      </c>
    </row>
    <row r="4527">
      <c r="E4527" s="2" t="inlineStr">
        <is>
          <t>TOTAL HARGA SATUAN (Inc. Overhead)</t>
        </is>
      </c>
      <c r="F4527" s="17" t="n">
        <v>166595</v>
      </c>
    </row>
    <row r="4529">
      <c r="A4529" s="14" t="inlineStr">
        <is>
          <t>KODE: 3.11.4.3 - Pemasangan 1 buah kunci tanam kamar mandi</t>
        </is>
      </c>
    </row>
    <row r="4530">
      <c r="A4530" s="10" t="inlineStr">
        <is>
          <t>No</t>
        </is>
      </c>
      <c r="B4530" s="10" t="inlineStr">
        <is>
          <t>Uraian Komponen</t>
        </is>
      </c>
      <c r="C4530" s="10" t="inlineStr">
        <is>
          <t>Satuan</t>
        </is>
      </c>
      <c r="D4530" s="10" t="inlineStr">
        <is>
          <t>Koef</t>
        </is>
      </c>
      <c r="E4530" s="10" t="inlineStr">
        <is>
          <t>Harga Satuan (Rp)</t>
        </is>
      </c>
      <c r="F4530" s="10" t="inlineStr">
        <is>
          <t>Jumlah Harga (Rp)</t>
        </is>
      </c>
    </row>
    <row r="4531">
      <c r="A4531" s="3" t="inlineStr">
        <is>
          <t>1</t>
        </is>
      </c>
      <c r="B4531" s="3" t="inlineStr">
        <is>
          <t>Pekerja</t>
        </is>
      </c>
      <c r="C4531" s="3" t="inlineStr">
        <is>
          <t>OH</t>
        </is>
      </c>
      <c r="D4531" s="15" t="n">
        <v>0.005</v>
      </c>
      <c r="E4531" s="4" t="n">
        <v>100000</v>
      </c>
      <c r="F4531" s="4" t="n">
        <v>500</v>
      </c>
    </row>
    <row r="4532">
      <c r="A4532" s="3" t="inlineStr">
        <is>
          <t>2</t>
        </is>
      </c>
      <c r="B4532" s="3" t="inlineStr">
        <is>
          <t>Tukang kayu</t>
        </is>
      </c>
      <c r="C4532" s="3" t="inlineStr">
        <is>
          <t>OH</t>
        </is>
      </c>
      <c r="D4532" s="15" t="n">
        <v>0.5</v>
      </c>
      <c r="E4532" s="4" t="n">
        <v>145000</v>
      </c>
      <c r="F4532" s="4" t="n">
        <v>72500</v>
      </c>
    </row>
    <row r="4533">
      <c r="A4533" s="3" t="inlineStr">
        <is>
          <t>3</t>
        </is>
      </c>
      <c r="B4533" s="3" t="inlineStr">
        <is>
          <t>Kepala tukang</t>
        </is>
      </c>
      <c r="C4533" s="3" t="inlineStr">
        <is>
          <t>OH</t>
        </is>
      </c>
      <c r="D4533" s="15" t="n">
        <v>0.05</v>
      </c>
      <c r="E4533" s="4" t="n">
        <v>175000</v>
      </c>
      <c r="F4533" s="4" t="n">
        <v>8750</v>
      </c>
    </row>
    <row r="4534">
      <c r="A4534" s="3" t="inlineStr">
        <is>
          <t>4</t>
        </is>
      </c>
      <c r="B4534" s="3" t="inlineStr">
        <is>
          <t>Mandor</t>
        </is>
      </c>
      <c r="C4534" s="3" t="inlineStr">
        <is>
          <t>OH</t>
        </is>
      </c>
      <c r="D4534" s="15" t="n">
        <v>0.017</v>
      </c>
      <c r="E4534" s="4" t="n">
        <v>200000</v>
      </c>
      <c r="F4534" s="4" t="n">
        <v>3400</v>
      </c>
    </row>
    <row r="4535">
      <c r="A4535" s="3" t="inlineStr">
        <is>
          <t>1</t>
        </is>
      </c>
      <c r="B4535" s="3" t="inlineStr">
        <is>
          <t>Kunci tanam kamar mandi</t>
        </is>
      </c>
      <c r="C4535" s="3" t="inlineStr">
        <is>
          <t>buah</t>
        </is>
      </c>
      <c r="D4535" s="15" t="n">
        <v>1</v>
      </c>
      <c r="E4535" s="4" t="n">
        <v>46900</v>
      </c>
      <c r="F4535" s="4" t="n">
        <v>46900</v>
      </c>
    </row>
    <row r="4536">
      <c r="D4536" s="2" t="inlineStr">
        <is>
          <t>SUBTOTAL UPAH</t>
        </is>
      </c>
      <c r="F4536" s="16" t="n">
        <v>85150</v>
      </c>
    </row>
    <row r="4537">
      <c r="D4537" s="2" t="inlineStr">
        <is>
          <t>SUBTOTAL BAHAN</t>
        </is>
      </c>
      <c r="F4537" s="16" t="n">
        <v>46900</v>
      </c>
    </row>
    <row r="4538">
      <c r="D4538" s="2" t="inlineStr">
        <is>
          <t>SUBTOTAL ALAT</t>
        </is>
      </c>
      <c r="F4538" s="16" t="n">
        <v>0</v>
      </c>
    </row>
    <row r="4539">
      <c r="E4539" s="2" t="inlineStr">
        <is>
          <t>TOTAL HARGA SATUAN (Inc. Overhead)</t>
        </is>
      </c>
      <c r="F4539" s="17" t="n">
        <v>145255</v>
      </c>
    </row>
    <row r="4541">
      <c r="A4541" s="14" t="inlineStr">
        <is>
          <t>KODE: 3.11.4.4 - Pemasangan 1 buah kunci tanam silinder</t>
        </is>
      </c>
    </row>
    <row r="4542">
      <c r="A4542" s="10" t="inlineStr">
        <is>
          <t>No</t>
        </is>
      </c>
      <c r="B4542" s="10" t="inlineStr">
        <is>
          <t>Uraian Komponen</t>
        </is>
      </c>
      <c r="C4542" s="10" t="inlineStr">
        <is>
          <t>Satuan</t>
        </is>
      </c>
      <c r="D4542" s="10" t="inlineStr">
        <is>
          <t>Koef</t>
        </is>
      </c>
      <c r="E4542" s="10" t="inlineStr">
        <is>
          <t>Harga Satuan (Rp)</t>
        </is>
      </c>
      <c r="F4542" s="10" t="inlineStr">
        <is>
          <t>Jumlah Harga (Rp)</t>
        </is>
      </c>
    </row>
    <row r="4543">
      <c r="A4543" s="3" t="inlineStr">
        <is>
          <t>1</t>
        </is>
      </c>
      <c r="B4543" s="3" t="inlineStr">
        <is>
          <t>Pekerja</t>
        </is>
      </c>
      <c r="C4543" s="3" t="inlineStr">
        <is>
          <t>OH</t>
        </is>
      </c>
      <c r="D4543" s="15" t="n">
        <v>0.005</v>
      </c>
      <c r="E4543" s="4" t="n">
        <v>100000</v>
      </c>
      <c r="F4543" s="4" t="n">
        <v>500</v>
      </c>
    </row>
    <row r="4544">
      <c r="A4544" s="3" t="inlineStr">
        <is>
          <t>2</t>
        </is>
      </c>
      <c r="B4544" s="3" t="inlineStr">
        <is>
          <t>Tukang kayu</t>
        </is>
      </c>
      <c r="C4544" s="3" t="inlineStr">
        <is>
          <t>OH</t>
        </is>
      </c>
      <c r="D4544" s="15" t="n">
        <v>0.5</v>
      </c>
      <c r="E4544" s="4" t="n">
        <v>145000</v>
      </c>
      <c r="F4544" s="4" t="n">
        <v>72500</v>
      </c>
    </row>
    <row r="4545">
      <c r="A4545" s="3" t="inlineStr">
        <is>
          <t>3</t>
        </is>
      </c>
      <c r="B4545" s="3" t="inlineStr">
        <is>
          <t>Kepala tukang</t>
        </is>
      </c>
      <c r="C4545" s="3" t="inlineStr">
        <is>
          <t>OH</t>
        </is>
      </c>
      <c r="D4545" s="15" t="n">
        <v>0.05</v>
      </c>
      <c r="E4545" s="4" t="n">
        <v>175000</v>
      </c>
      <c r="F4545" s="4" t="n">
        <v>8750</v>
      </c>
    </row>
    <row r="4546">
      <c r="A4546" s="3" t="inlineStr">
        <is>
          <t>4</t>
        </is>
      </c>
      <c r="B4546" s="3" t="inlineStr">
        <is>
          <t>Mandor</t>
        </is>
      </c>
      <c r="C4546" s="3" t="inlineStr">
        <is>
          <t>OH</t>
        </is>
      </c>
      <c r="D4546" s="15" t="n">
        <v>0.017</v>
      </c>
      <c r="E4546" s="4" t="n">
        <v>200000</v>
      </c>
      <c r="F4546" s="4" t="n">
        <v>3400</v>
      </c>
    </row>
    <row r="4547">
      <c r="A4547" s="3" t="inlineStr">
        <is>
          <t>1</t>
        </is>
      </c>
      <c r="B4547" s="3" t="inlineStr">
        <is>
          <t>Kunci silinder</t>
        </is>
      </c>
      <c r="C4547" s="3" t="inlineStr">
        <is>
          <t>buah</t>
        </is>
      </c>
      <c r="D4547" s="15" t="n">
        <v>1</v>
      </c>
      <c r="E4547" s="4" t="n">
        <v>70000</v>
      </c>
      <c r="F4547" s="4" t="n">
        <v>70000</v>
      </c>
    </row>
    <row r="4548">
      <c r="D4548" s="2" t="inlineStr">
        <is>
          <t>SUBTOTAL UPAH</t>
        </is>
      </c>
      <c r="F4548" s="16" t="n">
        <v>85150</v>
      </c>
    </row>
    <row r="4549">
      <c r="D4549" s="2" t="inlineStr">
        <is>
          <t>SUBTOTAL BAHAN</t>
        </is>
      </c>
      <c r="F4549" s="16" t="n">
        <v>70000</v>
      </c>
    </row>
    <row r="4550">
      <c r="D4550" s="2" t="inlineStr">
        <is>
          <t>SUBTOTAL ALAT</t>
        </is>
      </c>
      <c r="F4550" s="16" t="n">
        <v>0</v>
      </c>
    </row>
    <row r="4551">
      <c r="E4551" s="2" t="inlineStr">
        <is>
          <t>TOTAL HARGA SATUAN (Inc. Overhead)</t>
        </is>
      </c>
      <c r="F4551" s="17" t="n">
        <v>170665</v>
      </c>
    </row>
    <row r="4553">
      <c r="A4553" s="14" t="inlineStr">
        <is>
          <t>KODE: 3.11.4.5 - Pemasangan 1 buah engsel pintu</t>
        </is>
      </c>
    </row>
    <row r="4554">
      <c r="A4554" s="10" t="inlineStr">
        <is>
          <t>No</t>
        </is>
      </c>
      <c r="B4554" s="10" t="inlineStr">
        <is>
          <t>Uraian Komponen</t>
        </is>
      </c>
      <c r="C4554" s="10" t="inlineStr">
        <is>
          <t>Satuan</t>
        </is>
      </c>
      <c r="D4554" s="10" t="inlineStr">
        <is>
          <t>Koef</t>
        </is>
      </c>
      <c r="E4554" s="10" t="inlineStr">
        <is>
          <t>Harga Satuan (Rp)</t>
        </is>
      </c>
      <c r="F4554" s="10" t="inlineStr">
        <is>
          <t>Jumlah Harga (Rp)</t>
        </is>
      </c>
    </row>
    <row r="4555">
      <c r="A4555" s="3" t="inlineStr">
        <is>
          <t>1</t>
        </is>
      </c>
      <c r="B4555" s="3" t="inlineStr">
        <is>
          <t>Pekerja</t>
        </is>
      </c>
      <c r="C4555" s="3" t="inlineStr">
        <is>
          <t>OH</t>
        </is>
      </c>
      <c r="D4555" s="15" t="n">
        <v>0.015</v>
      </c>
      <c r="E4555" s="4" t="n">
        <v>100000</v>
      </c>
      <c r="F4555" s="4" t="n">
        <v>1500</v>
      </c>
    </row>
    <row r="4556">
      <c r="A4556" s="3" t="inlineStr">
        <is>
          <t>2</t>
        </is>
      </c>
      <c r="B4556" s="3" t="inlineStr">
        <is>
          <t>Tukang kayu</t>
        </is>
      </c>
      <c r="C4556" s="3" t="inlineStr">
        <is>
          <t>OH</t>
        </is>
      </c>
      <c r="D4556" s="15" t="n">
        <v>0.15</v>
      </c>
      <c r="E4556" s="4" t="n">
        <v>145000</v>
      </c>
      <c r="F4556" s="4" t="n">
        <v>21750</v>
      </c>
    </row>
    <row r="4557">
      <c r="A4557" s="3" t="inlineStr">
        <is>
          <t>3</t>
        </is>
      </c>
      <c r="B4557" s="3" t="inlineStr">
        <is>
          <t>Kepala tukang</t>
        </is>
      </c>
      <c r="C4557" s="3" t="inlineStr">
        <is>
          <t>OH</t>
        </is>
      </c>
      <c r="D4557" s="15" t="n">
        <v>0.015</v>
      </c>
      <c r="E4557" s="4" t="n">
        <v>175000</v>
      </c>
      <c r="F4557" s="4" t="n">
        <v>2625</v>
      </c>
    </row>
    <row r="4558">
      <c r="A4558" s="3" t="inlineStr">
        <is>
          <t>4</t>
        </is>
      </c>
      <c r="B4558" s="3" t="inlineStr">
        <is>
          <t>Mandor</t>
        </is>
      </c>
      <c r="C4558" s="3" t="inlineStr">
        <is>
          <t>OH</t>
        </is>
      </c>
      <c r="D4558" s="15" t="n">
        <v>0.005</v>
      </c>
      <c r="E4558" s="4" t="n">
        <v>200000</v>
      </c>
      <c r="F4558" s="4" t="n">
        <v>1000</v>
      </c>
    </row>
    <row r="4559">
      <c r="A4559" s="3" t="inlineStr">
        <is>
          <t>1</t>
        </is>
      </c>
      <c r="B4559" s="3" t="inlineStr">
        <is>
          <t>Engsel pintu (kw 1)</t>
        </is>
      </c>
      <c r="C4559" s="3" t="inlineStr">
        <is>
          <t>buah</t>
        </is>
      </c>
      <c r="D4559" s="15" t="n">
        <v>1</v>
      </c>
      <c r="E4559" s="4" t="n">
        <v>31500</v>
      </c>
      <c r="F4559" s="4" t="n">
        <v>31500</v>
      </c>
    </row>
    <row r="4560">
      <c r="D4560" s="2" t="inlineStr">
        <is>
          <t>SUBTOTAL UPAH</t>
        </is>
      </c>
      <c r="F4560" s="16" t="n">
        <v>26875</v>
      </c>
    </row>
    <row r="4561">
      <c r="D4561" s="2" t="inlineStr">
        <is>
          <t>SUBTOTAL BAHAN</t>
        </is>
      </c>
      <c r="F4561" s="16" t="n">
        <v>31500</v>
      </c>
    </row>
    <row r="4562">
      <c r="D4562" s="2" t="inlineStr">
        <is>
          <t>SUBTOTAL ALAT</t>
        </is>
      </c>
      <c r="F4562" s="16" t="n">
        <v>0</v>
      </c>
    </row>
    <row r="4563">
      <c r="E4563" s="2" t="inlineStr">
        <is>
          <t>TOTAL HARGA SATUAN (Inc. Overhead)</t>
        </is>
      </c>
      <c r="F4563" s="17" t="n">
        <v>64212</v>
      </c>
    </row>
    <row r="4565">
      <c r="A4565" s="14" t="inlineStr">
        <is>
          <t>KODE: 3.11.4.6 - Pemasangan 1 buah engsel tanam (floor hinge)</t>
        </is>
      </c>
    </row>
    <row r="4566">
      <c r="A4566" s="10" t="inlineStr">
        <is>
          <t>No</t>
        </is>
      </c>
      <c r="B4566" s="10" t="inlineStr">
        <is>
          <t>Uraian Komponen</t>
        </is>
      </c>
      <c r="C4566" s="10" t="inlineStr">
        <is>
          <t>Satuan</t>
        </is>
      </c>
      <c r="D4566" s="10" t="inlineStr">
        <is>
          <t>Koef</t>
        </is>
      </c>
      <c r="E4566" s="10" t="inlineStr">
        <is>
          <t>Harga Satuan (Rp)</t>
        </is>
      </c>
      <c r="F4566" s="10" t="inlineStr">
        <is>
          <t>Jumlah Harga (Rp)</t>
        </is>
      </c>
    </row>
    <row r="4567">
      <c r="A4567" s="3" t="inlineStr">
        <is>
          <t>1</t>
        </is>
      </c>
      <c r="B4567" s="3" t="inlineStr">
        <is>
          <t>Pekerja</t>
        </is>
      </c>
      <c r="C4567" s="3" t="inlineStr">
        <is>
          <t>OH</t>
        </is>
      </c>
      <c r="D4567" s="15" t="n">
        <v>0.2</v>
      </c>
      <c r="E4567" s="4" t="n">
        <v>100000</v>
      </c>
      <c r="F4567" s="4" t="n">
        <v>20000</v>
      </c>
    </row>
    <row r="4568">
      <c r="A4568" s="3" t="inlineStr">
        <is>
          <t>2</t>
        </is>
      </c>
      <c r="B4568" s="3" t="inlineStr">
        <is>
          <t>Tukang kayu</t>
        </is>
      </c>
      <c r="C4568" s="3" t="inlineStr">
        <is>
          <t>OH</t>
        </is>
      </c>
      <c r="D4568" s="15" t="n">
        <v>0.4</v>
      </c>
      <c r="E4568" s="4" t="n">
        <v>145000</v>
      </c>
      <c r="F4568" s="4" t="n">
        <v>58000</v>
      </c>
    </row>
    <row r="4569">
      <c r="A4569" s="3" t="inlineStr">
        <is>
          <t>3</t>
        </is>
      </c>
      <c r="B4569" s="3" t="inlineStr">
        <is>
          <t>Kepala tukang</t>
        </is>
      </c>
      <c r="C4569" s="3" t="inlineStr">
        <is>
          <t>OH</t>
        </is>
      </c>
      <c r="D4569" s="15" t="n">
        <v>0.04</v>
      </c>
      <c r="E4569" s="4" t="n">
        <v>175000</v>
      </c>
      <c r="F4569" s="4" t="n">
        <v>7000</v>
      </c>
    </row>
    <row r="4570">
      <c r="A4570" s="3" t="inlineStr">
        <is>
          <t>4</t>
        </is>
      </c>
      <c r="B4570" s="3" t="inlineStr">
        <is>
          <t>Mandor</t>
        </is>
      </c>
      <c r="C4570" s="3" t="inlineStr">
        <is>
          <t>OH</t>
        </is>
      </c>
      <c r="D4570" s="15" t="n">
        <v>0.0133</v>
      </c>
      <c r="E4570" s="4" t="n">
        <v>200000</v>
      </c>
      <c r="F4570" s="4" t="n">
        <v>2660</v>
      </c>
    </row>
    <row r="4571">
      <c r="A4571" s="3" t="inlineStr">
        <is>
          <t>1</t>
        </is>
      </c>
      <c r="B4571" s="3" t="inlineStr">
        <is>
          <t>Floor hinge</t>
        </is>
      </c>
      <c r="C4571" s="3" t="inlineStr">
        <is>
          <t>buah</t>
        </is>
      </c>
      <c r="D4571" s="15" t="n">
        <v>1</v>
      </c>
      <c r="E4571" s="4" t="n">
        <v>500000</v>
      </c>
      <c r="F4571" s="4" t="n">
        <v>500000</v>
      </c>
    </row>
    <row r="4572">
      <c r="D4572" s="2" t="inlineStr">
        <is>
          <t>SUBTOTAL UPAH</t>
        </is>
      </c>
      <c r="F4572" s="16" t="n">
        <v>87660</v>
      </c>
    </row>
    <row r="4573">
      <c r="D4573" s="2" t="inlineStr">
        <is>
          <t>SUBTOTAL BAHAN</t>
        </is>
      </c>
      <c r="F4573" s="16" t="n">
        <v>500000</v>
      </c>
    </row>
    <row r="4574">
      <c r="D4574" s="2" t="inlineStr">
        <is>
          <t>SUBTOTAL ALAT</t>
        </is>
      </c>
      <c r="F4574" s="16" t="n">
        <v>0</v>
      </c>
    </row>
    <row r="4575">
      <c r="E4575" s="2" t="inlineStr">
        <is>
          <t>TOTAL HARGA SATUAN (Inc. Overhead)</t>
        </is>
      </c>
      <c r="F4575" s="17" t="n">
        <v>646426</v>
      </c>
    </row>
    <row r="4577">
      <c r="A4577" s="14" t="inlineStr">
        <is>
          <t>KODE: 3.11.4.7 - Pemasangan 1 buah Door Closer</t>
        </is>
      </c>
    </row>
    <row r="4578">
      <c r="A4578" s="10" t="inlineStr">
        <is>
          <t>No</t>
        </is>
      </c>
      <c r="B4578" s="10" t="inlineStr">
        <is>
          <t>Uraian Komponen</t>
        </is>
      </c>
      <c r="C4578" s="10" t="inlineStr">
        <is>
          <t>Satuan</t>
        </is>
      </c>
      <c r="D4578" s="10" t="inlineStr">
        <is>
          <t>Koef</t>
        </is>
      </c>
      <c r="E4578" s="10" t="inlineStr">
        <is>
          <t>Harga Satuan (Rp)</t>
        </is>
      </c>
      <c r="F4578" s="10" t="inlineStr">
        <is>
          <t>Jumlah Harga (Rp)</t>
        </is>
      </c>
    </row>
    <row r="4579">
      <c r="A4579" s="3" t="inlineStr">
        <is>
          <t>1</t>
        </is>
      </c>
      <c r="B4579" s="3" t="inlineStr">
        <is>
          <t>Pekerja</t>
        </is>
      </c>
      <c r="C4579" s="3" t="inlineStr">
        <is>
          <t>OH</t>
        </is>
      </c>
      <c r="D4579" s="15" t="n">
        <v>0.05</v>
      </c>
      <c r="E4579" s="4" t="n">
        <v>100000</v>
      </c>
      <c r="F4579" s="4" t="n">
        <v>5000</v>
      </c>
    </row>
    <row r="4580">
      <c r="A4580" s="3" t="inlineStr">
        <is>
          <t>2</t>
        </is>
      </c>
      <c r="B4580" s="3" t="inlineStr">
        <is>
          <t>Tukang kayu</t>
        </is>
      </c>
      <c r="C4580" s="3" t="inlineStr">
        <is>
          <t>OH</t>
        </is>
      </c>
      <c r="D4580" s="15" t="n">
        <v>0.5</v>
      </c>
      <c r="E4580" s="4" t="n">
        <v>145000</v>
      </c>
      <c r="F4580" s="4" t="n">
        <v>72500</v>
      </c>
    </row>
    <row r="4581">
      <c r="A4581" s="3" t="inlineStr">
        <is>
          <t>3</t>
        </is>
      </c>
      <c r="B4581" s="3" t="inlineStr">
        <is>
          <t>Kepala tukang</t>
        </is>
      </c>
      <c r="C4581" s="3" t="inlineStr">
        <is>
          <t>OH</t>
        </is>
      </c>
      <c r="D4581" s="15" t="n">
        <v>0.05</v>
      </c>
      <c r="E4581" s="4" t="n">
        <v>175000</v>
      </c>
      <c r="F4581" s="4" t="n">
        <v>8750</v>
      </c>
    </row>
    <row r="4582">
      <c r="A4582" s="3" t="inlineStr">
        <is>
          <t>4</t>
        </is>
      </c>
      <c r="B4582" s="3" t="inlineStr">
        <is>
          <t>Mandor</t>
        </is>
      </c>
      <c r="C4582" s="3" t="inlineStr">
        <is>
          <t>OH</t>
        </is>
      </c>
      <c r="D4582" s="15" t="n">
        <v>0.017</v>
      </c>
      <c r="E4582" s="4" t="n">
        <v>200000</v>
      </c>
      <c r="F4582" s="4" t="n">
        <v>3400</v>
      </c>
    </row>
    <row r="4583">
      <c r="A4583" s="3" t="inlineStr">
        <is>
          <t>1</t>
        </is>
      </c>
      <c r="B4583" s="3" t="inlineStr">
        <is>
          <t>Door closer</t>
        </is>
      </c>
      <c r="C4583" s="3" t="inlineStr">
        <is>
          <t>buah</t>
        </is>
      </c>
      <c r="D4583" s="15" t="n">
        <v>1</v>
      </c>
      <c r="E4583" s="4" t="n">
        <v>167500</v>
      </c>
      <c r="F4583" s="4" t="n">
        <v>167500</v>
      </c>
    </row>
    <row r="4584">
      <c r="D4584" s="2" t="inlineStr">
        <is>
          <t>SUBTOTAL UPAH</t>
        </is>
      </c>
      <c r="F4584" s="16" t="n">
        <v>89650</v>
      </c>
    </row>
    <row r="4585">
      <c r="D4585" s="2" t="inlineStr">
        <is>
          <t>SUBTOTAL BAHAN</t>
        </is>
      </c>
      <c r="F4585" s="16" t="n">
        <v>167500</v>
      </c>
    </row>
    <row r="4586">
      <c r="D4586" s="2" t="inlineStr">
        <is>
          <t>SUBTOTAL ALAT</t>
        </is>
      </c>
      <c r="F4586" s="16" t="n">
        <v>0</v>
      </c>
    </row>
    <row r="4587">
      <c r="E4587" s="2" t="inlineStr">
        <is>
          <t>TOTAL HARGA SATUAN (Inc. Overhead)</t>
        </is>
      </c>
      <c r="F4587" s="17" t="n">
        <v>282865</v>
      </c>
    </row>
    <row r="4589">
      <c r="A4589" s="14" t="inlineStr">
        <is>
          <t>KODE: 3.11.4.8 - Pemasangan 1 buah Door Holder</t>
        </is>
      </c>
    </row>
    <row r="4590">
      <c r="A4590" s="10" t="inlineStr">
        <is>
          <t>No</t>
        </is>
      </c>
      <c r="B4590" s="10" t="inlineStr">
        <is>
          <t>Uraian Komponen</t>
        </is>
      </c>
      <c r="C4590" s="10" t="inlineStr">
        <is>
          <t>Satuan</t>
        </is>
      </c>
      <c r="D4590" s="10" t="inlineStr">
        <is>
          <t>Koef</t>
        </is>
      </c>
      <c r="E4590" s="10" t="inlineStr">
        <is>
          <t>Harga Satuan (Rp)</t>
        </is>
      </c>
      <c r="F4590" s="10" t="inlineStr">
        <is>
          <t>Jumlah Harga (Rp)</t>
        </is>
      </c>
    </row>
    <row r="4591">
      <c r="A4591" s="3" t="inlineStr">
        <is>
          <t>1</t>
        </is>
      </c>
      <c r="B4591" s="3" t="inlineStr">
        <is>
          <t>Pekerja</t>
        </is>
      </c>
      <c r="C4591" s="3" t="inlineStr">
        <is>
          <t>OH</t>
        </is>
      </c>
      <c r="D4591" s="15" t="n">
        <v>0.05</v>
      </c>
      <c r="E4591" s="4" t="n">
        <v>100000</v>
      </c>
      <c r="F4591" s="4" t="n">
        <v>5000</v>
      </c>
    </row>
    <row r="4592">
      <c r="A4592" s="3" t="inlineStr">
        <is>
          <t>2</t>
        </is>
      </c>
      <c r="B4592" s="3" t="inlineStr">
        <is>
          <t>Tukang kayu</t>
        </is>
      </c>
      <c r="C4592" s="3" t="inlineStr">
        <is>
          <t>OH</t>
        </is>
      </c>
      <c r="D4592" s="15" t="n">
        <v>0.5</v>
      </c>
      <c r="E4592" s="4" t="n">
        <v>145000</v>
      </c>
      <c r="F4592" s="4" t="n">
        <v>72500</v>
      </c>
    </row>
    <row r="4593">
      <c r="A4593" s="3" t="inlineStr">
        <is>
          <t>3</t>
        </is>
      </c>
      <c r="B4593" s="3" t="inlineStr">
        <is>
          <t>Kepala tukang</t>
        </is>
      </c>
      <c r="C4593" s="3" t="inlineStr">
        <is>
          <t>OH</t>
        </is>
      </c>
      <c r="D4593" s="15" t="n">
        <v>0.05</v>
      </c>
      <c r="E4593" s="4" t="n">
        <v>175000</v>
      </c>
      <c r="F4593" s="4" t="n">
        <v>8750</v>
      </c>
    </row>
    <row r="4594">
      <c r="A4594" s="3" t="inlineStr">
        <is>
          <t>4</t>
        </is>
      </c>
      <c r="B4594" s="3" t="inlineStr">
        <is>
          <t>Mandor</t>
        </is>
      </c>
      <c r="C4594" s="3" t="inlineStr">
        <is>
          <t>OH</t>
        </is>
      </c>
      <c r="D4594" s="15" t="n">
        <v>0.017</v>
      </c>
      <c r="E4594" s="4" t="n">
        <v>200000</v>
      </c>
      <c r="F4594" s="4" t="n">
        <v>3400</v>
      </c>
    </row>
    <row r="4595">
      <c r="A4595" s="3" t="inlineStr">
        <is>
          <t>1</t>
        </is>
      </c>
      <c r="B4595" s="3" t="inlineStr">
        <is>
          <t>Door holder</t>
        </is>
      </c>
      <c r="C4595" s="3" t="inlineStr">
        <is>
          <t>buah</t>
        </is>
      </c>
      <c r="D4595" s="15" t="n">
        <v>1</v>
      </c>
      <c r="E4595" s="4" t="n">
        <v>81000</v>
      </c>
      <c r="F4595" s="4" t="n">
        <v>81000</v>
      </c>
    </row>
    <row r="4596">
      <c r="D4596" s="2" t="inlineStr">
        <is>
          <t>SUBTOTAL UPAH</t>
        </is>
      </c>
      <c r="F4596" s="16" t="n">
        <v>89650</v>
      </c>
    </row>
    <row r="4597">
      <c r="D4597" s="2" t="inlineStr">
        <is>
          <t>SUBTOTAL BAHAN</t>
        </is>
      </c>
      <c r="F4597" s="16" t="n">
        <v>81000</v>
      </c>
    </row>
    <row r="4598">
      <c r="D4598" s="2" t="inlineStr">
        <is>
          <t>SUBTOTAL ALAT</t>
        </is>
      </c>
      <c r="F4598" s="16" t="n">
        <v>0</v>
      </c>
    </row>
    <row r="4599">
      <c r="E4599" s="2" t="inlineStr">
        <is>
          <t>TOTAL HARGA SATUAN (Inc. Overhead)</t>
        </is>
      </c>
      <c r="F4599" s="17" t="n">
        <v>187715</v>
      </c>
    </row>
    <row r="4601">
      <c r="A4601" s="14" t="inlineStr">
        <is>
          <t>KODE: 3.11.4.9 - Pemasangan 1 buah Door Stop</t>
        </is>
      </c>
    </row>
    <row r="4602">
      <c r="A4602" s="10" t="inlineStr">
        <is>
          <t>No</t>
        </is>
      </c>
      <c r="B4602" s="10" t="inlineStr">
        <is>
          <t>Uraian Komponen</t>
        </is>
      </c>
      <c r="C4602" s="10" t="inlineStr">
        <is>
          <t>Satuan</t>
        </is>
      </c>
      <c r="D4602" s="10" t="inlineStr">
        <is>
          <t>Koef</t>
        </is>
      </c>
      <c r="E4602" s="10" t="inlineStr">
        <is>
          <t>Harga Satuan (Rp)</t>
        </is>
      </c>
      <c r="F4602" s="10" t="inlineStr">
        <is>
          <t>Jumlah Harga (Rp)</t>
        </is>
      </c>
    </row>
    <row r="4603">
      <c r="A4603" s="3" t="inlineStr">
        <is>
          <t>1</t>
        </is>
      </c>
      <c r="B4603" s="3" t="inlineStr">
        <is>
          <t>Pekerja</t>
        </is>
      </c>
      <c r="C4603" s="3" t="inlineStr">
        <is>
          <t>OH</t>
        </is>
      </c>
      <c r="D4603" s="15" t="n">
        <v>0.01</v>
      </c>
      <c r="E4603" s="4" t="n">
        <v>100000</v>
      </c>
      <c r="F4603" s="4" t="n">
        <v>1000</v>
      </c>
    </row>
    <row r="4604">
      <c r="A4604" s="3" t="inlineStr">
        <is>
          <t>2</t>
        </is>
      </c>
      <c r="B4604" s="3" t="inlineStr">
        <is>
          <t>Tukang kayu</t>
        </is>
      </c>
      <c r="C4604" s="3" t="inlineStr">
        <is>
          <t>OH</t>
        </is>
      </c>
      <c r="D4604" s="15" t="n">
        <v>0.1</v>
      </c>
      <c r="E4604" s="4" t="n">
        <v>145000</v>
      </c>
      <c r="F4604" s="4" t="n">
        <v>14500</v>
      </c>
    </row>
    <row r="4605">
      <c r="A4605" s="3" t="inlineStr">
        <is>
          <t>3</t>
        </is>
      </c>
      <c r="B4605" s="3" t="inlineStr">
        <is>
          <t>Kepala tukang</t>
        </is>
      </c>
      <c r="C4605" s="3" t="inlineStr">
        <is>
          <t>OH</t>
        </is>
      </c>
      <c r="D4605" s="15" t="n">
        <v>0.01</v>
      </c>
      <c r="E4605" s="4" t="n">
        <v>175000</v>
      </c>
      <c r="F4605" s="4" t="n">
        <v>1750</v>
      </c>
    </row>
    <row r="4606">
      <c r="A4606" s="3" t="inlineStr">
        <is>
          <t>4</t>
        </is>
      </c>
      <c r="B4606" s="3" t="inlineStr">
        <is>
          <t>Mandor</t>
        </is>
      </c>
      <c r="C4606" s="3" t="inlineStr">
        <is>
          <t>OH</t>
        </is>
      </c>
      <c r="D4606" s="15" t="n">
        <v>0.003</v>
      </c>
      <c r="E4606" s="4" t="n">
        <v>200000</v>
      </c>
      <c r="F4606" s="4" t="n">
        <v>600</v>
      </c>
    </row>
    <row r="4607">
      <c r="A4607" s="3" t="inlineStr">
        <is>
          <t>1</t>
        </is>
      </c>
      <c r="B4607" s="3" t="inlineStr">
        <is>
          <t>Door stop</t>
        </is>
      </c>
      <c r="C4607" s="3" t="inlineStr">
        <is>
          <t>buah</t>
        </is>
      </c>
      <c r="D4607" s="15" t="n">
        <v>1</v>
      </c>
      <c r="E4607" s="4" t="n">
        <v>58500</v>
      </c>
      <c r="F4607" s="4" t="n">
        <v>58500</v>
      </c>
    </row>
    <row r="4608">
      <c r="D4608" s="2" t="inlineStr">
        <is>
          <t>SUBTOTAL UPAH</t>
        </is>
      </c>
      <c r="F4608" s="16" t="n">
        <v>17850</v>
      </c>
    </row>
    <row r="4609">
      <c r="D4609" s="2" t="inlineStr">
        <is>
          <t>SUBTOTAL BAHAN</t>
        </is>
      </c>
      <c r="F4609" s="16" t="n">
        <v>58500</v>
      </c>
    </row>
    <row r="4610">
      <c r="D4610" s="2" t="inlineStr">
        <is>
          <t>SUBTOTAL ALAT</t>
        </is>
      </c>
      <c r="F4610" s="16" t="n">
        <v>0</v>
      </c>
    </row>
    <row r="4611">
      <c r="E4611" s="2" t="inlineStr">
        <is>
          <t>TOTAL HARGA SATUAN (Inc. Overhead)</t>
        </is>
      </c>
      <c r="F4611" s="17" t="n">
        <v>83985</v>
      </c>
    </row>
    <row r="4613">
      <c r="A4613" s="14" t="inlineStr">
        <is>
          <t>KODE: 3.11.4.10 - Pemasangan 1 buah Rel Pintu Dorong</t>
        </is>
      </c>
    </row>
    <row r="4614">
      <c r="A4614" s="10" t="inlineStr">
        <is>
          <t>No</t>
        </is>
      </c>
      <c r="B4614" s="10" t="inlineStr">
        <is>
          <t>Uraian Komponen</t>
        </is>
      </c>
      <c r="C4614" s="10" t="inlineStr">
        <is>
          <t>Satuan</t>
        </is>
      </c>
      <c r="D4614" s="10" t="inlineStr">
        <is>
          <t>Koef</t>
        </is>
      </c>
      <c r="E4614" s="10" t="inlineStr">
        <is>
          <t>Harga Satuan (Rp)</t>
        </is>
      </c>
      <c r="F4614" s="10" t="inlineStr">
        <is>
          <t>Jumlah Harga (Rp)</t>
        </is>
      </c>
    </row>
    <row r="4615">
      <c r="A4615" s="3" t="inlineStr">
        <is>
          <t>1</t>
        </is>
      </c>
      <c r="B4615" s="3" t="inlineStr">
        <is>
          <t>Pekerja</t>
        </is>
      </c>
      <c r="C4615" s="3" t="inlineStr">
        <is>
          <t>OH</t>
        </is>
      </c>
      <c r="D4615" s="15" t="n">
        <v>0.06</v>
      </c>
      <c r="E4615" s="4" t="n">
        <v>100000</v>
      </c>
      <c r="F4615" s="4" t="n">
        <v>6000</v>
      </c>
    </row>
    <row r="4616">
      <c r="A4616" s="3" t="inlineStr">
        <is>
          <t>2</t>
        </is>
      </c>
      <c r="B4616" s="3" t="inlineStr">
        <is>
          <t>Tukang kayu</t>
        </is>
      </c>
      <c r="C4616" s="3" t="inlineStr">
        <is>
          <t>OH</t>
        </is>
      </c>
      <c r="D4616" s="15" t="n">
        <v>0.6</v>
      </c>
      <c r="E4616" s="4" t="n">
        <v>145000</v>
      </c>
      <c r="F4616" s="4" t="n">
        <v>87000</v>
      </c>
    </row>
    <row r="4617">
      <c r="A4617" s="3" t="inlineStr">
        <is>
          <t>3</t>
        </is>
      </c>
      <c r="B4617" s="3" t="inlineStr">
        <is>
          <t>Kepala tukang</t>
        </is>
      </c>
      <c r="C4617" s="3" t="inlineStr">
        <is>
          <t>OH</t>
        </is>
      </c>
      <c r="D4617" s="15" t="n">
        <v>0.06</v>
      </c>
      <c r="E4617" s="4" t="n">
        <v>175000</v>
      </c>
      <c r="F4617" s="4" t="n">
        <v>10500</v>
      </c>
    </row>
    <row r="4618">
      <c r="A4618" s="3" t="inlineStr">
        <is>
          <t>4</t>
        </is>
      </c>
      <c r="B4618" s="3" t="inlineStr">
        <is>
          <t>Mandor</t>
        </is>
      </c>
      <c r="C4618" s="3" t="inlineStr">
        <is>
          <t>OH</t>
        </is>
      </c>
      <c r="D4618" s="15" t="n">
        <v>0.02</v>
      </c>
      <c r="E4618" s="4" t="n">
        <v>200000</v>
      </c>
      <c r="F4618" s="4" t="n">
        <v>4000</v>
      </c>
    </row>
    <row r="4619">
      <c r="A4619" s="3" t="inlineStr">
        <is>
          <t>1</t>
        </is>
      </c>
      <c r="B4619" s="3" t="inlineStr">
        <is>
          <t>Rel pintu dorong</t>
        </is>
      </c>
      <c r="C4619" s="3" t="inlineStr">
        <is>
          <t>buah</t>
        </is>
      </c>
      <c r="D4619" s="15" t="n">
        <v>1</v>
      </c>
      <c r="E4619" s="4" t="n">
        <v>243100</v>
      </c>
      <c r="F4619" s="4" t="n">
        <v>243100</v>
      </c>
    </row>
    <row r="4620">
      <c r="D4620" s="2" t="inlineStr">
        <is>
          <t>SUBTOTAL UPAH</t>
        </is>
      </c>
      <c r="F4620" s="16" t="n">
        <v>107500</v>
      </c>
    </row>
    <row r="4621">
      <c r="D4621" s="2" t="inlineStr">
        <is>
          <t>SUBTOTAL BAHAN</t>
        </is>
      </c>
      <c r="F4621" s="16" t="n">
        <v>243100</v>
      </c>
    </row>
    <row r="4622">
      <c r="D4622" s="2" t="inlineStr">
        <is>
          <t>SUBTOTAL ALAT</t>
        </is>
      </c>
      <c r="F4622" s="16" t="n">
        <v>0</v>
      </c>
    </row>
    <row r="4623">
      <c r="E4623" s="2" t="inlineStr">
        <is>
          <t>TOTAL HARGA SATUAN (Inc. Overhead)</t>
        </is>
      </c>
      <c r="F4623" s="17" t="n">
        <v>385660</v>
      </c>
    </row>
    <row r="4625">
      <c r="A4625" s="14" t="inlineStr">
        <is>
          <t>KODE: 3.11.4.11 - Pemasangan 1 buah Venetions Blinds dan Vertical Blinds</t>
        </is>
      </c>
    </row>
    <row r="4626">
      <c r="A4626" s="10" t="inlineStr">
        <is>
          <t>No</t>
        </is>
      </c>
      <c r="B4626" s="10" t="inlineStr">
        <is>
          <t>Uraian Komponen</t>
        </is>
      </c>
      <c r="C4626" s="10" t="inlineStr">
        <is>
          <t>Satuan</t>
        </is>
      </c>
      <c r="D4626" s="10" t="inlineStr">
        <is>
          <t>Koef</t>
        </is>
      </c>
      <c r="E4626" s="10" t="inlineStr">
        <is>
          <t>Harga Satuan (Rp)</t>
        </is>
      </c>
      <c r="F4626" s="10" t="inlineStr">
        <is>
          <t>Jumlah Harga (Rp)</t>
        </is>
      </c>
    </row>
    <row r="4627">
      <c r="A4627" s="3" t="inlineStr">
        <is>
          <t>1</t>
        </is>
      </c>
      <c r="B4627" s="3" t="inlineStr">
        <is>
          <t>Pekerja</t>
        </is>
      </c>
      <c r="C4627" s="3" t="inlineStr">
        <is>
          <t>OH</t>
        </is>
      </c>
      <c r="D4627" s="15" t="n">
        <v>0.35</v>
      </c>
      <c r="E4627" s="4" t="n">
        <v>100000</v>
      </c>
      <c r="F4627" s="4" t="n">
        <v>35000</v>
      </c>
    </row>
    <row r="4628">
      <c r="A4628" s="3" t="inlineStr">
        <is>
          <t>2</t>
        </is>
      </c>
      <c r="B4628" s="3" t="inlineStr">
        <is>
          <t>Tukang kayu</t>
        </is>
      </c>
      <c r="C4628" s="3" t="inlineStr">
        <is>
          <t>OH</t>
        </is>
      </c>
      <c r="D4628" s="15" t="n">
        <v>0.35</v>
      </c>
      <c r="E4628" s="4" t="n">
        <v>145000</v>
      </c>
      <c r="F4628" s="4" t="n">
        <v>50750</v>
      </c>
    </row>
    <row r="4629">
      <c r="A4629" s="3" t="inlineStr">
        <is>
          <t>3</t>
        </is>
      </c>
      <c r="B4629" s="3" t="inlineStr">
        <is>
          <t>Kepala tukang</t>
        </is>
      </c>
      <c r="C4629" s="3" t="inlineStr">
        <is>
          <t>OH</t>
        </is>
      </c>
      <c r="D4629" s="15" t="n">
        <v>0.035</v>
      </c>
      <c r="E4629" s="4" t="n">
        <v>175000</v>
      </c>
      <c r="F4629" s="4" t="n">
        <v>6125.000000000001</v>
      </c>
    </row>
    <row r="4630">
      <c r="A4630" s="3" t="inlineStr">
        <is>
          <t>4</t>
        </is>
      </c>
      <c r="B4630" s="3" t="inlineStr">
        <is>
          <t>Mandor</t>
        </is>
      </c>
      <c r="C4630" s="3" t="inlineStr">
        <is>
          <t>OH</t>
        </is>
      </c>
      <c r="D4630" s="15" t="n">
        <v>0.0117</v>
      </c>
      <c r="E4630" s="4" t="n">
        <v>200000</v>
      </c>
      <c r="F4630" s="4" t="n">
        <v>2340</v>
      </c>
    </row>
    <row r="4631">
      <c r="A4631" s="3" t="inlineStr">
        <is>
          <t>1</t>
        </is>
      </c>
      <c r="B4631" s="3" t="inlineStr">
        <is>
          <t>Venetions Blinds dan Vertical Blinds</t>
        </is>
      </c>
      <c r="C4631" s="3" t="inlineStr">
        <is>
          <t>buah</t>
        </is>
      </c>
      <c r="D4631" s="15" t="n">
        <v>1</v>
      </c>
      <c r="E4631" s="4" t="n">
        <v>140000</v>
      </c>
      <c r="F4631" s="4" t="n">
        <v>140000</v>
      </c>
    </row>
    <row r="4632">
      <c r="D4632" s="2" t="inlineStr">
        <is>
          <t>SUBTOTAL UPAH</t>
        </is>
      </c>
      <c r="F4632" s="16" t="n">
        <v>94215</v>
      </c>
    </row>
    <row r="4633">
      <c r="D4633" s="2" t="inlineStr">
        <is>
          <t>SUBTOTAL BAHAN</t>
        </is>
      </c>
      <c r="F4633" s="16" t="n">
        <v>140000</v>
      </c>
    </row>
    <row r="4634">
      <c r="D4634" s="2" t="inlineStr">
        <is>
          <t>SUBTOTAL ALAT</t>
        </is>
      </c>
      <c r="F4634" s="16" t="n">
        <v>0</v>
      </c>
    </row>
    <row r="4635">
      <c r="E4635" s="2" t="inlineStr">
        <is>
          <t>TOTAL HARGA SATUAN (Inc. Overhead)</t>
        </is>
      </c>
      <c r="F4635" s="17" t="n">
        <v>257636</v>
      </c>
    </row>
    <row r="4637">
      <c r="A4637" s="14" t="inlineStr">
        <is>
          <t>KODE: 3.11.4.12 - Pemasangan 1 m2 Teralis Besi Strip</t>
        </is>
      </c>
    </row>
    <row r="4638">
      <c r="A4638" s="10" t="inlineStr">
        <is>
          <t>No</t>
        </is>
      </c>
      <c r="B4638" s="10" t="inlineStr">
        <is>
          <t>Uraian Komponen</t>
        </is>
      </c>
      <c r="C4638" s="10" t="inlineStr">
        <is>
          <t>Satuan</t>
        </is>
      </c>
      <c r="D4638" s="10" t="inlineStr">
        <is>
          <t>Koef</t>
        </is>
      </c>
      <c r="E4638" s="10" t="inlineStr">
        <is>
          <t>Harga Satuan (Rp)</t>
        </is>
      </c>
      <c r="F4638" s="10" t="inlineStr">
        <is>
          <t>Jumlah Harga (Rp)</t>
        </is>
      </c>
    </row>
    <row r="4639">
      <c r="A4639" s="3" t="inlineStr">
        <is>
          <t>1</t>
        </is>
      </c>
      <c r="B4639" s="3" t="inlineStr">
        <is>
          <t>Pekerja</t>
        </is>
      </c>
      <c r="C4639" s="3" t="inlineStr">
        <is>
          <t>OH</t>
        </is>
      </c>
      <c r="D4639" s="15" t="n">
        <v>0.1111</v>
      </c>
      <c r="E4639" s="4" t="n">
        <v>100000</v>
      </c>
      <c r="F4639" s="4" t="n">
        <v>11110</v>
      </c>
    </row>
    <row r="4640">
      <c r="A4640" s="3" t="inlineStr">
        <is>
          <t>2</t>
        </is>
      </c>
      <c r="B4640" s="3" t="inlineStr">
        <is>
          <t>Tukang kayu</t>
        </is>
      </c>
      <c r="C4640" s="3" t="inlineStr">
        <is>
          <t>OH</t>
        </is>
      </c>
      <c r="D4640" s="15" t="n">
        <v>0.1111</v>
      </c>
      <c r="E4640" s="4" t="n">
        <v>145000</v>
      </c>
      <c r="F4640" s="4" t="n">
        <v>16109.5</v>
      </c>
    </row>
    <row r="4641">
      <c r="A4641" s="3" t="inlineStr">
        <is>
          <t>3</t>
        </is>
      </c>
      <c r="B4641" s="3" t="inlineStr">
        <is>
          <t>Kepala tukang</t>
        </is>
      </c>
      <c r="C4641" s="3" t="inlineStr">
        <is>
          <t>OH</t>
        </is>
      </c>
      <c r="D4641" s="15" t="n">
        <v>0.0111</v>
      </c>
      <c r="E4641" s="4" t="n">
        <v>175000</v>
      </c>
      <c r="F4641" s="4" t="n">
        <v>1942.5</v>
      </c>
    </row>
    <row r="4642">
      <c r="A4642" s="3" t="inlineStr">
        <is>
          <t>4</t>
        </is>
      </c>
      <c r="B4642" s="3" t="inlineStr">
        <is>
          <t>Mandor</t>
        </is>
      </c>
      <c r="C4642" s="3" t="inlineStr">
        <is>
          <t>OH</t>
        </is>
      </c>
      <c r="D4642" s="15" t="n">
        <v>0.0037</v>
      </c>
      <c r="E4642" s="4" t="n">
        <v>200000</v>
      </c>
      <c r="F4642" s="4" t="n">
        <v>740</v>
      </c>
    </row>
    <row r="4643">
      <c r="A4643" s="3" t="inlineStr">
        <is>
          <t>Teralis Besi Strip lengkap dengan accessories</t>
        </is>
      </c>
      <c r="B4643" s="3" t="inlineStr"/>
      <c r="C4643" s="3" t="inlineStr">
        <is>
          <t>m2</t>
        </is>
      </c>
      <c r="D4643" s="15" t="n">
        <v>1</v>
      </c>
      <c r="E4643" s="4" t="n">
        <v>150000</v>
      </c>
      <c r="F4643" s="4" t="n">
        <v>150000</v>
      </c>
    </row>
    <row r="4644">
      <c r="D4644" s="2" t="inlineStr">
        <is>
          <t>SUBTOTAL UPAH</t>
        </is>
      </c>
      <c r="F4644" s="16" t="n">
        <v>29902</v>
      </c>
    </row>
    <row r="4645">
      <c r="D4645" s="2" t="inlineStr">
        <is>
          <t>SUBTOTAL BAHAN</t>
        </is>
      </c>
      <c r="F4645" s="16" t="n">
        <v>150000</v>
      </c>
    </row>
    <row r="4646">
      <c r="D4646" s="2" t="inlineStr">
        <is>
          <t>SUBTOTAL ALAT</t>
        </is>
      </c>
      <c r="F4646" s="16" t="n">
        <v>0</v>
      </c>
    </row>
    <row r="4647">
      <c r="E4647" s="2" t="inlineStr">
        <is>
          <t>TOTAL HARGA SATUAN (Inc. Overhead)</t>
        </is>
      </c>
      <c r="F4647" s="17" t="n">
        <v>197892</v>
      </c>
    </row>
    <row r="4649">
      <c r="A4649" s="14" t="inlineStr">
        <is>
          <t>KODE: 3.11.4.13 - Pemasangan 1 m2 Kawat Nyamuk Rangka Besi</t>
        </is>
      </c>
    </row>
    <row r="4650">
      <c r="A4650" s="10" t="inlineStr">
        <is>
          <t>No</t>
        </is>
      </c>
      <c r="B4650" s="10" t="inlineStr">
        <is>
          <t>Uraian Komponen</t>
        </is>
      </c>
      <c r="C4650" s="10" t="inlineStr">
        <is>
          <t>Satuan</t>
        </is>
      </c>
      <c r="D4650" s="10" t="inlineStr">
        <is>
          <t>Koef</t>
        </is>
      </c>
      <c r="E4650" s="10" t="inlineStr">
        <is>
          <t>Harga Satuan (Rp)</t>
        </is>
      </c>
      <c r="F4650" s="10" t="inlineStr">
        <is>
          <t>Jumlah Harga (Rp)</t>
        </is>
      </c>
    </row>
    <row r="4651">
      <c r="A4651" s="3" t="inlineStr">
        <is>
          <t>1</t>
        </is>
      </c>
      <c r="B4651" s="3" t="inlineStr">
        <is>
          <t>Pekerja</t>
        </is>
      </c>
      <c r="C4651" s="3" t="inlineStr">
        <is>
          <t>OH</t>
        </is>
      </c>
      <c r="D4651" s="15" t="n">
        <v>0.2222</v>
      </c>
      <c r="E4651" s="4" t="n">
        <v>100000</v>
      </c>
      <c r="F4651" s="4" t="n">
        <v>22220</v>
      </c>
    </row>
    <row r="4652">
      <c r="A4652" s="3" t="inlineStr">
        <is>
          <t>2</t>
        </is>
      </c>
      <c r="B4652" s="3" t="inlineStr">
        <is>
          <t>Tukang kayu</t>
        </is>
      </c>
      <c r="C4652" s="3" t="inlineStr">
        <is>
          <t>OH</t>
        </is>
      </c>
      <c r="D4652" s="15" t="n">
        <v>0.2222</v>
      </c>
      <c r="E4652" s="4" t="n">
        <v>145000</v>
      </c>
      <c r="F4652" s="4" t="n">
        <v>32219</v>
      </c>
    </row>
    <row r="4653">
      <c r="A4653" s="3" t="inlineStr">
        <is>
          <t>3</t>
        </is>
      </c>
      <c r="B4653" s="3" t="inlineStr">
        <is>
          <t>Kepala tukang</t>
        </is>
      </c>
      <c r="C4653" s="3" t="inlineStr">
        <is>
          <t>OH</t>
        </is>
      </c>
      <c r="D4653" s="15" t="n">
        <v>0.0222</v>
      </c>
      <c r="E4653" s="4" t="n">
        <v>175000</v>
      </c>
      <c r="F4653" s="4" t="n">
        <v>3885</v>
      </c>
    </row>
    <row r="4654">
      <c r="A4654" s="3" t="inlineStr">
        <is>
          <t>4</t>
        </is>
      </c>
      <c r="B4654" s="3" t="inlineStr">
        <is>
          <t>Mandor</t>
        </is>
      </c>
      <c r="C4654" s="3" t="inlineStr">
        <is>
          <t>OH</t>
        </is>
      </c>
      <c r="D4654" s="15" t="n">
        <v>0.0074</v>
      </c>
      <c r="E4654" s="4" t="n">
        <v>200000</v>
      </c>
      <c r="F4654" s="4" t="n">
        <v>1480</v>
      </c>
    </row>
    <row r="4655">
      <c r="A4655" s="3" t="inlineStr">
        <is>
          <t>1</t>
        </is>
      </c>
      <c r="B4655" s="3" t="inlineStr">
        <is>
          <t>Kawat Nyamuk</t>
        </is>
      </c>
      <c r="C4655" s="3" t="inlineStr">
        <is>
          <t>m2</t>
        </is>
      </c>
      <c r="D4655" s="15" t="n">
        <v>1.1</v>
      </c>
      <c r="E4655" s="4" t="n">
        <v>20190</v>
      </c>
      <c r="F4655" s="4" t="n">
        <v>22209</v>
      </c>
    </row>
    <row r="4656">
      <c r="A4656" s="3" t="inlineStr">
        <is>
          <t>2</t>
        </is>
      </c>
      <c r="B4656" s="3" t="inlineStr">
        <is>
          <t>Kawat las</t>
        </is>
      </c>
      <c r="C4656" s="3" t="inlineStr">
        <is>
          <t>kg</t>
        </is>
      </c>
      <c r="D4656" s="15" t="n">
        <v>0.038</v>
      </c>
      <c r="E4656" s="4" t="n">
        <v>45550</v>
      </c>
      <c r="F4656" s="4" t="n">
        <v>1730.9</v>
      </c>
    </row>
    <row r="4657">
      <c r="A4657" s="3" t="inlineStr">
        <is>
          <t>3</t>
        </is>
      </c>
      <c r="B4657" s="3" t="inlineStr">
        <is>
          <t>Besi siku 20x20 tebal 2 mm</t>
        </is>
      </c>
      <c r="C4657" s="3" t="inlineStr">
        <is>
          <t>kg</t>
        </is>
      </c>
      <c r="D4657" s="15" t="n">
        <v>4.667</v>
      </c>
      <c r="E4657" s="4" t="n">
        <v>19500</v>
      </c>
      <c r="F4657" s="4" t="n">
        <v>91006.5</v>
      </c>
    </row>
    <row r="4658">
      <c r="A4658" s="3" t="inlineStr">
        <is>
          <t>1</t>
        </is>
      </c>
      <c r="B4658" s="3" t="inlineStr">
        <is>
          <t>Alat las listrik</t>
        </is>
      </c>
      <c r="C4658" s="3" t="inlineStr">
        <is>
          <t>hari</t>
        </is>
      </c>
      <c r="D4658" s="15" t="n">
        <v>0.2222</v>
      </c>
      <c r="E4658" s="4" t="n">
        <v>3125</v>
      </c>
      <c r="F4658" s="4" t="n">
        <v>694.375</v>
      </c>
    </row>
    <row r="4659">
      <c r="D4659" s="2" t="inlineStr">
        <is>
          <t>SUBTOTAL UPAH</t>
        </is>
      </c>
      <c r="F4659" s="16" t="n">
        <v>59804</v>
      </c>
    </row>
    <row r="4660">
      <c r="D4660" s="2" t="inlineStr">
        <is>
          <t>SUBTOTAL BAHAN</t>
        </is>
      </c>
      <c r="F4660" s="16" t="n">
        <v>114946.4</v>
      </c>
    </row>
    <row r="4661">
      <c r="D4661" s="2" t="inlineStr">
        <is>
          <t>SUBTOTAL ALAT</t>
        </is>
      </c>
      <c r="F4661" s="16" t="n">
        <v>694.375</v>
      </c>
    </row>
    <row r="4662">
      <c r="E4662" s="2" t="inlineStr">
        <is>
          <t>TOTAL HARGA SATUAN (Inc. Overhead)</t>
        </is>
      </c>
      <c r="F4662" s="17" t="n">
        <v>192989</v>
      </c>
    </row>
    <row r="4664">
      <c r="A4664" s="14" t="inlineStr">
        <is>
          <t>KODE: 3.11.4.14 - Pemasangan 1 Buah Kunci Slot (Grendel) untuk Jedela</t>
        </is>
      </c>
    </row>
    <row r="4665">
      <c r="A4665" s="10" t="inlineStr">
        <is>
          <t>No</t>
        </is>
      </c>
      <c r="B4665" s="10" t="inlineStr">
        <is>
          <t>Uraian Komponen</t>
        </is>
      </c>
      <c r="C4665" s="10" t="inlineStr">
        <is>
          <t>Satuan</t>
        </is>
      </c>
      <c r="D4665" s="10" t="inlineStr">
        <is>
          <t>Koef</t>
        </is>
      </c>
      <c r="E4665" s="10" t="inlineStr">
        <is>
          <t>Harga Satuan (Rp)</t>
        </is>
      </c>
      <c r="F4665" s="10" t="inlineStr">
        <is>
          <t>Jumlah Harga (Rp)</t>
        </is>
      </c>
    </row>
    <row r="4666">
      <c r="A4666" s="3" t="inlineStr">
        <is>
          <t>1</t>
        </is>
      </c>
      <c r="B4666" s="3" t="inlineStr">
        <is>
          <t>Pekerja</t>
        </is>
      </c>
      <c r="C4666" s="3" t="inlineStr">
        <is>
          <t>OH</t>
        </is>
      </c>
      <c r="D4666" s="15" t="n">
        <v>0.02</v>
      </c>
      <c r="E4666" s="4" t="n">
        <v>100000</v>
      </c>
      <c r="F4666" s="4" t="n">
        <v>2000</v>
      </c>
    </row>
    <row r="4667">
      <c r="A4667" s="3" t="inlineStr">
        <is>
          <t>2</t>
        </is>
      </c>
      <c r="B4667" s="3" t="inlineStr">
        <is>
          <t>Tukang kayu</t>
        </is>
      </c>
      <c r="C4667" s="3" t="inlineStr">
        <is>
          <t>OH</t>
        </is>
      </c>
      <c r="D4667" s="15" t="n">
        <v>0.2</v>
      </c>
      <c r="E4667" s="4" t="n">
        <v>145000</v>
      </c>
      <c r="F4667" s="4" t="n">
        <v>29000</v>
      </c>
    </row>
    <row r="4668">
      <c r="A4668" s="3" t="inlineStr">
        <is>
          <t>3</t>
        </is>
      </c>
      <c r="B4668" s="3" t="inlineStr">
        <is>
          <t>Kepala tukang</t>
        </is>
      </c>
      <c r="C4668" s="3" t="inlineStr">
        <is>
          <t>OH</t>
        </is>
      </c>
      <c r="D4668" s="15" t="n">
        <v>0.02</v>
      </c>
      <c r="E4668" s="4" t="n">
        <v>175000</v>
      </c>
      <c r="F4668" s="4" t="n">
        <v>3500</v>
      </c>
    </row>
    <row r="4669">
      <c r="A4669" s="3" t="inlineStr">
        <is>
          <t>4</t>
        </is>
      </c>
      <c r="B4669" s="3" t="inlineStr">
        <is>
          <t>Mandor</t>
        </is>
      </c>
      <c r="C4669" s="3" t="inlineStr">
        <is>
          <t>OH</t>
        </is>
      </c>
      <c r="D4669" s="15" t="n">
        <v>0.0067</v>
      </c>
      <c r="E4669" s="4" t="n">
        <v>200000</v>
      </c>
      <c r="F4669" s="4" t="n">
        <v>1340</v>
      </c>
    </row>
    <row r="4670">
      <c r="A4670" s="3" t="inlineStr">
        <is>
          <t>1</t>
        </is>
      </c>
      <c r="B4670" s="3" t="inlineStr">
        <is>
          <t>Grendel</t>
        </is>
      </c>
      <c r="C4670" s="3" t="inlineStr">
        <is>
          <t>bh</t>
        </is>
      </c>
      <c r="D4670" s="15" t="n">
        <v>1</v>
      </c>
      <c r="E4670" s="4" t="n">
        <v>15000</v>
      </c>
      <c r="F4670" s="4" t="n">
        <v>15000</v>
      </c>
    </row>
    <row r="4671">
      <c r="D4671" s="2" t="inlineStr">
        <is>
          <t>SUBTOTAL UPAH</t>
        </is>
      </c>
      <c r="F4671" s="16" t="n">
        <v>35840</v>
      </c>
    </row>
    <row r="4672">
      <c r="D4672" s="2" t="inlineStr">
        <is>
          <t>SUBTOTAL BAHAN</t>
        </is>
      </c>
      <c r="F4672" s="16" t="n">
        <v>15000</v>
      </c>
    </row>
    <row r="4673">
      <c r="D4673" s="2" t="inlineStr">
        <is>
          <t>SUBTOTAL ALAT</t>
        </is>
      </c>
      <c r="F4673" s="16" t="n">
        <v>0</v>
      </c>
    </row>
    <row r="4674">
      <c r="E4674" s="2" t="inlineStr">
        <is>
          <t>TOTAL HARGA SATUAN (Inc. Overhead)</t>
        </is>
      </c>
      <c r="F4674" s="17" t="n">
        <v>55924</v>
      </c>
    </row>
    <row r="4676">
      <c r="A4676" s="14" t="inlineStr">
        <is>
          <t>KODE: 3.11.4.15 - Pemasangan 1 buah engsel jendela kupu-kupu</t>
        </is>
      </c>
    </row>
    <row r="4677">
      <c r="A4677" s="10" t="inlineStr">
        <is>
          <t>No</t>
        </is>
      </c>
      <c r="B4677" s="10" t="inlineStr">
        <is>
          <t>Uraian Komponen</t>
        </is>
      </c>
      <c r="C4677" s="10" t="inlineStr">
        <is>
          <t>Satuan</t>
        </is>
      </c>
      <c r="D4677" s="10" t="inlineStr">
        <is>
          <t>Koef</t>
        </is>
      </c>
      <c r="E4677" s="10" t="inlineStr">
        <is>
          <t>Harga Satuan (Rp)</t>
        </is>
      </c>
      <c r="F4677" s="10" t="inlineStr">
        <is>
          <t>Jumlah Harga (Rp)</t>
        </is>
      </c>
    </row>
    <row r="4678">
      <c r="A4678" s="3" t="inlineStr">
        <is>
          <t>1</t>
        </is>
      </c>
      <c r="B4678" s="3" t="inlineStr">
        <is>
          <t>Pekerja</t>
        </is>
      </c>
      <c r="C4678" s="3" t="inlineStr">
        <is>
          <t>OH</t>
        </is>
      </c>
      <c r="D4678" s="15" t="n">
        <v>0.01</v>
      </c>
      <c r="E4678" s="4" t="n">
        <v>100000</v>
      </c>
      <c r="F4678" s="4" t="n">
        <v>1000</v>
      </c>
    </row>
    <row r="4679">
      <c r="A4679" s="3" t="inlineStr">
        <is>
          <t>2</t>
        </is>
      </c>
      <c r="B4679" s="3" t="inlineStr">
        <is>
          <t>Tukang kayu</t>
        </is>
      </c>
      <c r="C4679" s="3" t="inlineStr">
        <is>
          <t>OH</t>
        </is>
      </c>
      <c r="D4679" s="15" t="n">
        <v>0.1</v>
      </c>
      <c r="E4679" s="4" t="n">
        <v>145000</v>
      </c>
      <c r="F4679" s="4" t="n">
        <v>14500</v>
      </c>
    </row>
    <row r="4680">
      <c r="A4680" s="3" t="inlineStr">
        <is>
          <t>3</t>
        </is>
      </c>
      <c r="B4680" s="3" t="inlineStr">
        <is>
          <t>Kepala tukang</t>
        </is>
      </c>
      <c r="C4680" s="3" t="inlineStr">
        <is>
          <t>OH</t>
        </is>
      </c>
      <c r="D4680" s="15" t="n">
        <v>0.01</v>
      </c>
      <c r="E4680" s="4" t="n">
        <v>175000</v>
      </c>
      <c r="F4680" s="4" t="n">
        <v>1750</v>
      </c>
    </row>
    <row r="4681">
      <c r="A4681" s="3" t="inlineStr">
        <is>
          <t>4</t>
        </is>
      </c>
      <c r="B4681" s="3" t="inlineStr">
        <is>
          <t>Mandor</t>
        </is>
      </c>
      <c r="C4681" s="3" t="inlineStr">
        <is>
          <t>OH</t>
        </is>
      </c>
      <c r="D4681" s="15" t="n">
        <v>0.0033</v>
      </c>
      <c r="E4681" s="4" t="n">
        <v>200000</v>
      </c>
      <c r="F4681" s="4" t="n">
        <v>660</v>
      </c>
    </row>
    <row r="4682">
      <c r="A4682" s="3" t="inlineStr">
        <is>
          <t>1</t>
        </is>
      </c>
      <c r="B4682" s="3" t="inlineStr">
        <is>
          <t>Engsel kupu-kupu</t>
        </is>
      </c>
      <c r="C4682" s="3" t="inlineStr">
        <is>
          <t>buah</t>
        </is>
      </c>
      <c r="D4682" s="15" t="n">
        <v>1</v>
      </c>
      <c r="E4682" s="4" t="n">
        <v>41700</v>
      </c>
      <c r="F4682" s="4" t="n">
        <v>41700</v>
      </c>
    </row>
    <row r="4683">
      <c r="D4683" s="2" t="inlineStr">
        <is>
          <t>SUBTOTAL UPAH</t>
        </is>
      </c>
      <c r="F4683" s="16" t="n">
        <v>17910</v>
      </c>
    </row>
    <row r="4684">
      <c r="D4684" s="2" t="inlineStr">
        <is>
          <t>SUBTOTAL BAHAN</t>
        </is>
      </c>
      <c r="F4684" s="16" t="n">
        <v>41700</v>
      </c>
    </row>
    <row r="4685">
      <c r="D4685" s="2" t="inlineStr">
        <is>
          <t>SUBTOTAL ALAT</t>
        </is>
      </c>
      <c r="F4685" s="16" t="n">
        <v>0</v>
      </c>
    </row>
    <row r="4686">
      <c r="E4686" s="2" t="inlineStr">
        <is>
          <t>TOTAL HARGA SATUAN (Inc. Overhead)</t>
        </is>
      </c>
      <c r="F4686" s="17" t="n">
        <v>65571</v>
      </c>
    </row>
    <row r="4688">
      <c r="A4688" s="14" t="inlineStr">
        <is>
          <t>KODE: 3.11.4.16 - Pemasangan 1 buah engsel angin</t>
        </is>
      </c>
    </row>
    <row r="4689">
      <c r="A4689" s="10" t="inlineStr">
        <is>
          <t>No</t>
        </is>
      </c>
      <c r="B4689" s="10" t="inlineStr">
        <is>
          <t>Uraian Komponen</t>
        </is>
      </c>
      <c r="C4689" s="10" t="inlineStr">
        <is>
          <t>Satuan</t>
        </is>
      </c>
      <c r="D4689" s="10" t="inlineStr">
        <is>
          <t>Koef</t>
        </is>
      </c>
      <c r="E4689" s="10" t="inlineStr">
        <is>
          <t>Harga Satuan (Rp)</t>
        </is>
      </c>
      <c r="F4689" s="10" t="inlineStr">
        <is>
          <t>Jumlah Harga (Rp)</t>
        </is>
      </c>
    </row>
    <row r="4690">
      <c r="A4690" s="3" t="inlineStr">
        <is>
          <t>1</t>
        </is>
      </c>
      <c r="B4690" s="3" t="inlineStr">
        <is>
          <t>Pekerja</t>
        </is>
      </c>
      <c r="C4690" s="3" t="inlineStr">
        <is>
          <t>OH</t>
        </is>
      </c>
      <c r="D4690" s="15" t="n">
        <v>0.1</v>
      </c>
      <c r="E4690" s="4" t="n">
        <v>100000</v>
      </c>
      <c r="F4690" s="4" t="n">
        <v>10000</v>
      </c>
    </row>
    <row r="4691">
      <c r="A4691" s="3" t="inlineStr">
        <is>
          <t>2</t>
        </is>
      </c>
      <c r="B4691" s="3" t="inlineStr">
        <is>
          <t>Tukang kayu</t>
        </is>
      </c>
      <c r="C4691" s="3" t="inlineStr">
        <is>
          <t>OH</t>
        </is>
      </c>
      <c r="D4691" s="15" t="n">
        <v>0.2</v>
      </c>
      <c r="E4691" s="4" t="n">
        <v>145000</v>
      </c>
      <c r="F4691" s="4" t="n">
        <v>29000</v>
      </c>
    </row>
    <row r="4692">
      <c r="A4692" s="3" t="inlineStr">
        <is>
          <t>3</t>
        </is>
      </c>
      <c r="B4692" s="3" t="inlineStr">
        <is>
          <t>Kepala tukang</t>
        </is>
      </c>
      <c r="C4692" s="3" t="inlineStr">
        <is>
          <t>OH</t>
        </is>
      </c>
      <c r="D4692" s="15" t="n">
        <v>0.02</v>
      </c>
      <c r="E4692" s="4" t="n">
        <v>175000</v>
      </c>
      <c r="F4692" s="4" t="n">
        <v>3500</v>
      </c>
    </row>
    <row r="4693">
      <c r="A4693" s="3" t="inlineStr">
        <is>
          <t>4</t>
        </is>
      </c>
      <c r="B4693" s="3" t="inlineStr">
        <is>
          <t>Mandor</t>
        </is>
      </c>
      <c r="C4693" s="3" t="inlineStr">
        <is>
          <t>OH</t>
        </is>
      </c>
      <c r="D4693" s="15" t="n">
        <v>0.0067</v>
      </c>
      <c r="E4693" s="4" t="n">
        <v>200000</v>
      </c>
      <c r="F4693" s="4" t="n">
        <v>1340</v>
      </c>
    </row>
    <row r="4694">
      <c r="A4694" s="3" t="inlineStr">
        <is>
          <t>1</t>
        </is>
      </c>
      <c r="B4694" s="3" t="inlineStr">
        <is>
          <t>Engsel angin</t>
        </is>
      </c>
      <c r="C4694" s="3" t="inlineStr">
        <is>
          <t>buah</t>
        </is>
      </c>
      <c r="D4694" s="15" t="n">
        <v>1</v>
      </c>
      <c r="E4694" s="4" t="n">
        <v>27400</v>
      </c>
      <c r="F4694" s="4" t="n">
        <v>27400</v>
      </c>
    </row>
    <row r="4695">
      <c r="D4695" s="2" t="inlineStr">
        <is>
          <t>SUBTOTAL UPAH</t>
        </is>
      </c>
      <c r="F4695" s="16" t="n">
        <v>43840</v>
      </c>
    </row>
    <row r="4696">
      <c r="D4696" s="2" t="inlineStr">
        <is>
          <t>SUBTOTAL BAHAN</t>
        </is>
      </c>
      <c r="F4696" s="16" t="n">
        <v>27400</v>
      </c>
    </row>
    <row r="4697">
      <c r="D4697" s="2" t="inlineStr">
        <is>
          <t>SUBTOTAL ALAT</t>
        </is>
      </c>
      <c r="F4697" s="16" t="n">
        <v>0</v>
      </c>
    </row>
    <row r="4698">
      <c r="E4698" s="2" t="inlineStr">
        <is>
          <t>TOTAL HARGA SATUAN (Inc. Overhead)</t>
        </is>
      </c>
      <c r="F4698" s="17" t="n">
        <v>78364</v>
      </c>
    </row>
    <row r="4700">
      <c r="A4700" s="14" t="inlineStr">
        <is>
          <t>KODE: 3.11.4.17 - Pemasangan 1 buah spring knip (kunci slot) untuk jendela</t>
        </is>
      </c>
    </row>
    <row r="4701">
      <c r="A4701" s="10" t="inlineStr">
        <is>
          <t>No</t>
        </is>
      </c>
      <c r="B4701" s="10" t="inlineStr">
        <is>
          <t>Uraian Komponen</t>
        </is>
      </c>
      <c r="C4701" s="10" t="inlineStr">
        <is>
          <t>Satuan</t>
        </is>
      </c>
      <c r="D4701" s="10" t="inlineStr">
        <is>
          <t>Koef</t>
        </is>
      </c>
      <c r="E4701" s="10" t="inlineStr">
        <is>
          <t>Harga Satuan (Rp)</t>
        </is>
      </c>
      <c r="F4701" s="10" t="inlineStr">
        <is>
          <t>Jumlah Harga (Rp)</t>
        </is>
      </c>
    </row>
    <row r="4702">
      <c r="A4702" s="3" t="inlineStr">
        <is>
          <t>1</t>
        </is>
      </c>
      <c r="B4702" s="3" t="inlineStr">
        <is>
          <t>Pekerja</t>
        </is>
      </c>
      <c r="C4702" s="3" t="inlineStr">
        <is>
          <t>OH</t>
        </is>
      </c>
      <c r="D4702" s="15" t="n">
        <v>0.015</v>
      </c>
      <c r="E4702" s="4" t="n">
        <v>100000</v>
      </c>
      <c r="F4702" s="4" t="n">
        <v>1500</v>
      </c>
    </row>
    <row r="4703">
      <c r="A4703" s="3" t="inlineStr">
        <is>
          <t>2</t>
        </is>
      </c>
      <c r="B4703" s="3" t="inlineStr">
        <is>
          <t>Tukang kayu</t>
        </is>
      </c>
      <c r="C4703" s="3" t="inlineStr">
        <is>
          <t>OH</t>
        </is>
      </c>
      <c r="D4703" s="15" t="n">
        <v>0.15</v>
      </c>
      <c r="E4703" s="4" t="n">
        <v>145000</v>
      </c>
      <c r="F4703" s="4" t="n">
        <v>21750</v>
      </c>
    </row>
    <row r="4704">
      <c r="A4704" s="3" t="inlineStr">
        <is>
          <t>3</t>
        </is>
      </c>
      <c r="B4704" s="3" t="inlineStr">
        <is>
          <t>Kepala tukang</t>
        </is>
      </c>
      <c r="C4704" s="3" t="inlineStr">
        <is>
          <t>OH</t>
        </is>
      </c>
      <c r="D4704" s="15" t="n">
        <v>0.015</v>
      </c>
      <c r="E4704" s="4" t="n">
        <v>175000</v>
      </c>
      <c r="F4704" s="4" t="n">
        <v>2625</v>
      </c>
    </row>
    <row r="4705">
      <c r="A4705" s="3" t="inlineStr">
        <is>
          <t>4</t>
        </is>
      </c>
      <c r="B4705" s="3" t="inlineStr">
        <is>
          <t>Mandor</t>
        </is>
      </c>
      <c r="C4705" s="3" t="inlineStr">
        <is>
          <t>OH</t>
        </is>
      </c>
      <c r="D4705" s="15" t="n">
        <v>0.005</v>
      </c>
      <c r="E4705" s="4" t="n">
        <v>200000</v>
      </c>
      <c r="F4705" s="4" t="n">
        <v>1000</v>
      </c>
    </row>
    <row r="4706">
      <c r="A4706" s="3" t="inlineStr">
        <is>
          <t>1</t>
        </is>
      </c>
      <c r="B4706" s="3" t="inlineStr">
        <is>
          <t>Spring knip</t>
        </is>
      </c>
      <c r="C4706" s="3" t="inlineStr">
        <is>
          <t>buah</t>
        </is>
      </c>
      <c r="D4706" s="15" t="n">
        <v>1</v>
      </c>
      <c r="E4706" s="4" t="n">
        <v>21600</v>
      </c>
      <c r="F4706" s="4" t="n">
        <v>21600</v>
      </c>
    </row>
    <row r="4707">
      <c r="D4707" s="2" t="inlineStr">
        <is>
          <t>SUBTOTAL UPAH</t>
        </is>
      </c>
      <c r="F4707" s="16" t="n">
        <v>26875</v>
      </c>
    </row>
    <row r="4708">
      <c r="D4708" s="2" t="inlineStr">
        <is>
          <t>SUBTOTAL BAHAN</t>
        </is>
      </c>
      <c r="F4708" s="16" t="n">
        <v>21600</v>
      </c>
    </row>
    <row r="4709">
      <c r="D4709" s="2" t="inlineStr">
        <is>
          <t>SUBTOTAL ALAT</t>
        </is>
      </c>
      <c r="F4709" s="16" t="n">
        <v>0</v>
      </c>
    </row>
    <row r="4710">
      <c r="E4710" s="2" t="inlineStr">
        <is>
          <t>TOTAL HARGA SATUAN (Inc. Overhead)</t>
        </is>
      </c>
      <c r="F4710" s="17" t="n">
        <v>53322</v>
      </c>
    </row>
    <row r="4712">
      <c r="A4712" s="14" t="inlineStr">
        <is>
          <t>KODE: 3.11.4.18 - Pemasangan 1 buah kait angin</t>
        </is>
      </c>
    </row>
    <row r="4713">
      <c r="A4713" s="10" t="inlineStr">
        <is>
          <t>No</t>
        </is>
      </c>
      <c r="B4713" s="10" t="inlineStr">
        <is>
          <t>Uraian Komponen</t>
        </is>
      </c>
      <c r="C4713" s="10" t="inlineStr">
        <is>
          <t>Satuan</t>
        </is>
      </c>
      <c r="D4713" s="10" t="inlineStr">
        <is>
          <t>Koef</t>
        </is>
      </c>
      <c r="E4713" s="10" t="inlineStr">
        <is>
          <t>Harga Satuan (Rp)</t>
        </is>
      </c>
      <c r="F4713" s="10" t="inlineStr">
        <is>
          <t>Jumlah Harga (Rp)</t>
        </is>
      </c>
    </row>
    <row r="4714">
      <c r="A4714" s="3" t="inlineStr">
        <is>
          <t>1</t>
        </is>
      </c>
      <c r="B4714" s="3" t="inlineStr">
        <is>
          <t>Pekerja</t>
        </is>
      </c>
      <c r="C4714" s="3" t="inlineStr">
        <is>
          <t>OH</t>
        </is>
      </c>
      <c r="D4714" s="15" t="n">
        <v>0.015</v>
      </c>
      <c r="E4714" s="4" t="n">
        <v>100000</v>
      </c>
      <c r="F4714" s="4" t="n">
        <v>1500</v>
      </c>
    </row>
    <row r="4715">
      <c r="A4715" s="3" t="inlineStr">
        <is>
          <t>2</t>
        </is>
      </c>
      <c r="B4715" s="3" t="inlineStr">
        <is>
          <t>Tukang kayu</t>
        </is>
      </c>
      <c r="C4715" s="3" t="inlineStr">
        <is>
          <t>OH</t>
        </is>
      </c>
      <c r="D4715" s="15" t="n">
        <v>0.15</v>
      </c>
      <c r="E4715" s="4" t="n">
        <v>145000</v>
      </c>
      <c r="F4715" s="4" t="n">
        <v>21750</v>
      </c>
    </row>
    <row r="4716">
      <c r="A4716" s="3" t="inlineStr">
        <is>
          <t>3</t>
        </is>
      </c>
      <c r="B4716" s="3" t="inlineStr">
        <is>
          <t>Kepala tukang</t>
        </is>
      </c>
      <c r="C4716" s="3" t="inlineStr">
        <is>
          <t>OH</t>
        </is>
      </c>
      <c r="D4716" s="15" t="n">
        <v>0.015</v>
      </c>
      <c r="E4716" s="4" t="n">
        <v>175000</v>
      </c>
      <c r="F4716" s="4" t="n">
        <v>2625</v>
      </c>
    </row>
    <row r="4717">
      <c r="A4717" s="3" t="inlineStr">
        <is>
          <t>4</t>
        </is>
      </c>
      <c r="B4717" s="3" t="inlineStr">
        <is>
          <t>Mandor</t>
        </is>
      </c>
      <c r="C4717" s="3" t="inlineStr">
        <is>
          <t>OH</t>
        </is>
      </c>
      <c r="D4717" s="15" t="n">
        <v>0.005</v>
      </c>
      <c r="E4717" s="4" t="n">
        <v>200000</v>
      </c>
      <c r="F4717" s="4" t="n">
        <v>1000</v>
      </c>
    </row>
    <row r="4718">
      <c r="A4718" s="3" t="inlineStr">
        <is>
          <t>1</t>
        </is>
      </c>
      <c r="B4718" s="3" t="inlineStr">
        <is>
          <t>Kait angin</t>
        </is>
      </c>
      <c r="C4718" s="3" t="inlineStr">
        <is>
          <t>buah</t>
        </is>
      </c>
      <c r="D4718" s="15" t="n">
        <v>1</v>
      </c>
      <c r="E4718" s="4" t="n">
        <v>12000</v>
      </c>
      <c r="F4718" s="4" t="n">
        <v>12000</v>
      </c>
    </row>
    <row r="4719">
      <c r="D4719" s="2" t="inlineStr">
        <is>
          <t>SUBTOTAL UPAH</t>
        </is>
      </c>
      <c r="F4719" s="16" t="n">
        <v>26875</v>
      </c>
    </row>
    <row r="4720">
      <c r="D4720" s="2" t="inlineStr">
        <is>
          <t>SUBTOTAL BAHAN</t>
        </is>
      </c>
      <c r="F4720" s="16" t="n">
        <v>12000</v>
      </c>
    </row>
    <row r="4721">
      <c r="D4721" s="2" t="inlineStr">
        <is>
          <t>SUBTOTAL ALAT</t>
        </is>
      </c>
      <c r="F4721" s="16" t="n">
        <v>0</v>
      </c>
    </row>
    <row r="4722">
      <c r="E4722" s="2" t="inlineStr">
        <is>
          <t>TOTAL HARGA SATUAN (Inc. Overhead)</t>
        </is>
      </c>
      <c r="F4722" s="17" t="n">
        <v>42762</v>
      </c>
    </row>
    <row r="4724">
      <c r="A4724" s="14" t="inlineStr">
        <is>
          <t>KODE: 3.11.4.19 - Pemasangan 1 buah kunci lemari</t>
        </is>
      </c>
    </row>
    <row r="4725">
      <c r="A4725" s="10" t="inlineStr">
        <is>
          <t>No</t>
        </is>
      </c>
      <c r="B4725" s="10" t="inlineStr">
        <is>
          <t>Uraian Komponen</t>
        </is>
      </c>
      <c r="C4725" s="10" t="inlineStr">
        <is>
          <t>Satuan</t>
        </is>
      </c>
      <c r="D4725" s="10" t="inlineStr">
        <is>
          <t>Koef</t>
        </is>
      </c>
      <c r="E4725" s="10" t="inlineStr">
        <is>
          <t>Harga Satuan (Rp)</t>
        </is>
      </c>
      <c r="F4725" s="10" t="inlineStr">
        <is>
          <t>Jumlah Harga (Rp)</t>
        </is>
      </c>
    </row>
    <row r="4726">
      <c r="A4726" s="3" t="inlineStr">
        <is>
          <t>1</t>
        </is>
      </c>
      <c r="B4726" s="3" t="inlineStr">
        <is>
          <t>Pekerja</t>
        </is>
      </c>
      <c r="C4726" s="3" t="inlineStr">
        <is>
          <t>OH</t>
        </is>
      </c>
      <c r="D4726" s="15" t="n">
        <v>0.025</v>
      </c>
      <c r="E4726" s="4" t="n">
        <v>100000</v>
      </c>
      <c r="F4726" s="4" t="n">
        <v>2500</v>
      </c>
    </row>
    <row r="4727">
      <c r="A4727" s="3" t="inlineStr">
        <is>
          <t>2</t>
        </is>
      </c>
      <c r="B4727" s="3" t="inlineStr">
        <is>
          <t>Tukang kayu</t>
        </is>
      </c>
      <c r="C4727" s="3" t="inlineStr">
        <is>
          <t>OH</t>
        </is>
      </c>
      <c r="D4727" s="15" t="n">
        <v>0.25</v>
      </c>
      <c r="E4727" s="4" t="n">
        <v>145000</v>
      </c>
      <c r="F4727" s="4" t="n">
        <v>36250</v>
      </c>
    </row>
    <row r="4728">
      <c r="A4728" s="3" t="inlineStr">
        <is>
          <t>3</t>
        </is>
      </c>
      <c r="B4728" s="3" t="inlineStr">
        <is>
          <t>Kepala tukang</t>
        </is>
      </c>
      <c r="C4728" s="3" t="inlineStr">
        <is>
          <t>OH</t>
        </is>
      </c>
      <c r="D4728" s="15" t="n">
        <v>0.025</v>
      </c>
      <c r="E4728" s="4" t="n">
        <v>175000</v>
      </c>
      <c r="F4728" s="4" t="n">
        <v>4375</v>
      </c>
    </row>
    <row r="4729">
      <c r="A4729" s="3" t="inlineStr">
        <is>
          <t>4</t>
        </is>
      </c>
      <c r="B4729" s="3" t="inlineStr">
        <is>
          <t>Mandor</t>
        </is>
      </c>
      <c r="C4729" s="3" t="inlineStr">
        <is>
          <t>OH</t>
        </is>
      </c>
      <c r="D4729" s="15" t="n">
        <v>0.0013</v>
      </c>
      <c r="E4729" s="4" t="n">
        <v>200000</v>
      </c>
      <c r="F4729" s="4" t="n">
        <v>260</v>
      </c>
    </row>
    <row r="4730">
      <c r="A4730" s="3" t="inlineStr">
        <is>
          <t>1</t>
        </is>
      </c>
      <c r="B4730" s="3" t="inlineStr">
        <is>
          <t>Kunci lemari</t>
        </is>
      </c>
      <c r="C4730" s="3" t="inlineStr">
        <is>
          <t>set</t>
        </is>
      </c>
      <c r="D4730" s="15" t="n">
        <v>1</v>
      </c>
      <c r="E4730" s="4" t="n">
        <v>14100</v>
      </c>
      <c r="F4730" s="4" t="n">
        <v>14100</v>
      </c>
    </row>
    <row r="4731">
      <c r="D4731" s="2" t="inlineStr">
        <is>
          <t>SUBTOTAL UPAH</t>
        </is>
      </c>
      <c r="F4731" s="16" t="n">
        <v>43385</v>
      </c>
    </row>
    <row r="4732">
      <c r="D4732" s="2" t="inlineStr">
        <is>
          <t>SUBTOTAL BAHAN</t>
        </is>
      </c>
      <c r="F4732" s="16" t="n">
        <v>14100</v>
      </c>
    </row>
    <row r="4733">
      <c r="D4733" s="2" t="inlineStr">
        <is>
          <t>SUBTOTAL ALAT</t>
        </is>
      </c>
      <c r="F4733" s="16" t="n">
        <v>0</v>
      </c>
    </row>
    <row r="4734">
      <c r="E4734" s="2" t="inlineStr">
        <is>
          <t>TOTAL HARGA SATUAN (Inc. Overhead)</t>
        </is>
      </c>
      <c r="F4734" s="17" t="n">
        <v>63233</v>
      </c>
    </row>
    <row r="4736">
      <c r="A4736" s="14" t="inlineStr">
        <is>
          <t>KODE: 3.11.4.20 - Pemasangan 1 buah grendel</t>
        </is>
      </c>
    </row>
    <row r="4737">
      <c r="A4737" s="10" t="inlineStr">
        <is>
          <t>No</t>
        </is>
      </c>
      <c r="B4737" s="10" t="inlineStr">
        <is>
          <t>Uraian Komponen</t>
        </is>
      </c>
      <c r="C4737" s="10" t="inlineStr">
        <is>
          <t>Satuan</t>
        </is>
      </c>
      <c r="D4737" s="10" t="inlineStr">
        <is>
          <t>Koef</t>
        </is>
      </c>
      <c r="E4737" s="10" t="inlineStr">
        <is>
          <t>Harga Satuan (Rp)</t>
        </is>
      </c>
      <c r="F4737" s="10" t="inlineStr">
        <is>
          <t>Jumlah Harga (Rp)</t>
        </is>
      </c>
    </row>
    <row r="4738">
      <c r="A4738" s="3" t="inlineStr">
        <is>
          <t>1</t>
        </is>
      </c>
      <c r="B4738" s="3" t="inlineStr">
        <is>
          <t>Pekerja</t>
        </is>
      </c>
      <c r="C4738" s="3" t="inlineStr">
        <is>
          <t>OH</t>
        </is>
      </c>
      <c r="D4738" s="15" t="n">
        <v>0.015</v>
      </c>
      <c r="E4738" s="4" t="n">
        <v>100000</v>
      </c>
      <c r="F4738" s="4" t="n">
        <v>1500</v>
      </c>
    </row>
    <row r="4739">
      <c r="A4739" s="3" t="inlineStr">
        <is>
          <t>2</t>
        </is>
      </c>
      <c r="B4739" s="3" t="inlineStr">
        <is>
          <t>Tukang kayu</t>
        </is>
      </c>
      <c r="C4739" s="3" t="inlineStr">
        <is>
          <t>OH</t>
        </is>
      </c>
      <c r="D4739" s="15" t="n">
        <v>0.15</v>
      </c>
      <c r="E4739" s="4" t="n">
        <v>145000</v>
      </c>
      <c r="F4739" s="4" t="n">
        <v>21750</v>
      </c>
    </row>
    <row r="4740">
      <c r="A4740" s="3" t="inlineStr">
        <is>
          <t>3</t>
        </is>
      </c>
      <c r="B4740" s="3" t="inlineStr">
        <is>
          <t>Kepala tukang</t>
        </is>
      </c>
      <c r="C4740" s="3" t="inlineStr">
        <is>
          <t>OH</t>
        </is>
      </c>
      <c r="D4740" s="15" t="n">
        <v>0.015</v>
      </c>
      <c r="E4740" s="4" t="n">
        <v>175000</v>
      </c>
      <c r="F4740" s="4" t="n">
        <v>2625</v>
      </c>
    </row>
    <row r="4741">
      <c r="A4741" s="3" t="inlineStr">
        <is>
          <t>4</t>
        </is>
      </c>
      <c r="B4741" s="3" t="inlineStr">
        <is>
          <t>Mandor</t>
        </is>
      </c>
      <c r="C4741" s="3" t="inlineStr">
        <is>
          <t>OH</t>
        </is>
      </c>
      <c r="D4741" s="15" t="n">
        <v>0.005</v>
      </c>
      <c r="E4741" s="4" t="n">
        <v>200000</v>
      </c>
      <c r="F4741" s="4" t="n">
        <v>1000</v>
      </c>
    </row>
    <row r="4742">
      <c r="A4742" s="3" t="inlineStr">
        <is>
          <t>1</t>
        </is>
      </c>
      <c r="B4742" s="3" t="inlineStr">
        <is>
          <t>Grendel</t>
        </is>
      </c>
      <c r="C4742" s="3" t="inlineStr">
        <is>
          <t>buah</t>
        </is>
      </c>
      <c r="D4742" s="15" t="n">
        <v>1</v>
      </c>
      <c r="E4742" s="4" t="n">
        <v>15000</v>
      </c>
      <c r="F4742" s="4" t="n">
        <v>15000</v>
      </c>
    </row>
    <row r="4743">
      <c r="D4743" s="2" t="inlineStr">
        <is>
          <t>SUBTOTAL UPAH</t>
        </is>
      </c>
      <c r="F4743" s="16" t="n">
        <v>26875</v>
      </c>
    </row>
    <row r="4744">
      <c r="D4744" s="2" t="inlineStr">
        <is>
          <t>SUBTOTAL BAHAN</t>
        </is>
      </c>
      <c r="F4744" s="16" t="n">
        <v>15000</v>
      </c>
    </row>
    <row r="4745">
      <c r="D4745" s="2" t="inlineStr">
        <is>
          <t>SUBTOTAL ALAT</t>
        </is>
      </c>
      <c r="F4745" s="16" t="n">
        <v>0</v>
      </c>
    </row>
    <row r="4746">
      <c r="E4746" s="2" t="inlineStr">
        <is>
          <t>TOTAL HARGA SATUAN (Inc. Overhead)</t>
        </is>
      </c>
      <c r="F4746" s="17" t="n">
        <v>46062</v>
      </c>
    </row>
    <row r="4748">
      <c r="A4748" s="14" t="inlineStr">
        <is>
          <t>KODE: 3.11.4.21 - Pemasangan 1 buah grendel tanam</t>
        </is>
      </c>
    </row>
    <row r="4749">
      <c r="A4749" s="10" t="inlineStr">
        <is>
          <t>No</t>
        </is>
      </c>
      <c r="B4749" s="10" t="inlineStr">
        <is>
          <t>Uraian Komponen</t>
        </is>
      </c>
      <c r="C4749" s="10" t="inlineStr">
        <is>
          <t>Satuan</t>
        </is>
      </c>
      <c r="D4749" s="10" t="inlineStr">
        <is>
          <t>Koef</t>
        </is>
      </c>
      <c r="E4749" s="10" t="inlineStr">
        <is>
          <t>Harga Satuan (Rp)</t>
        </is>
      </c>
      <c r="F4749" s="10" t="inlineStr">
        <is>
          <t>Jumlah Harga (Rp)</t>
        </is>
      </c>
    </row>
    <row r="4750">
      <c r="A4750" s="3" t="inlineStr">
        <is>
          <t>1</t>
        </is>
      </c>
      <c r="B4750" s="3" t="inlineStr">
        <is>
          <t>Pekerja</t>
        </is>
      </c>
      <c r="C4750" s="3" t="inlineStr">
        <is>
          <t>OH</t>
        </is>
      </c>
      <c r="D4750" s="15" t="n">
        <v>0.0225</v>
      </c>
      <c r="E4750" s="4" t="n">
        <v>100000</v>
      </c>
      <c r="F4750" s="4" t="n">
        <v>2250</v>
      </c>
    </row>
    <row r="4751">
      <c r="A4751" s="3" t="inlineStr">
        <is>
          <t>2</t>
        </is>
      </c>
      <c r="B4751" s="3" t="inlineStr">
        <is>
          <t>Tukang kayu</t>
        </is>
      </c>
      <c r="C4751" s="3" t="inlineStr">
        <is>
          <t>OH</t>
        </is>
      </c>
      <c r="D4751" s="15" t="n">
        <v>0.225</v>
      </c>
      <c r="E4751" s="4" t="n">
        <v>145000</v>
      </c>
      <c r="F4751" s="4" t="n">
        <v>32625</v>
      </c>
    </row>
    <row r="4752">
      <c r="A4752" s="3" t="inlineStr">
        <is>
          <t>3</t>
        </is>
      </c>
      <c r="B4752" s="3" t="inlineStr">
        <is>
          <t>Kepala tukang</t>
        </is>
      </c>
      <c r="C4752" s="3" t="inlineStr">
        <is>
          <t>OH</t>
        </is>
      </c>
      <c r="D4752" s="15" t="n">
        <v>0.0225</v>
      </c>
      <c r="E4752" s="4" t="n">
        <v>175000</v>
      </c>
      <c r="F4752" s="4" t="n">
        <v>3937.5</v>
      </c>
    </row>
    <row r="4753">
      <c r="A4753" s="3" t="inlineStr">
        <is>
          <t>4</t>
        </is>
      </c>
      <c r="B4753" s="3" t="inlineStr">
        <is>
          <t>Mandor</t>
        </is>
      </c>
      <c r="C4753" s="3" t="inlineStr">
        <is>
          <t>OH</t>
        </is>
      </c>
      <c r="D4753" s="15" t="n">
        <v>0.0075</v>
      </c>
      <c r="E4753" s="4" t="n">
        <v>200000</v>
      </c>
      <c r="F4753" s="4" t="n">
        <v>1500</v>
      </c>
    </row>
    <row r="4754">
      <c r="A4754" s="3" t="inlineStr">
        <is>
          <t>1</t>
        </is>
      </c>
      <c r="B4754" s="3" t="inlineStr">
        <is>
          <t>Grendel tanam</t>
        </is>
      </c>
      <c r="C4754" s="3" t="inlineStr">
        <is>
          <t>buah</t>
        </is>
      </c>
      <c r="D4754" s="15" t="n">
        <v>1</v>
      </c>
      <c r="E4754" s="4" t="n">
        <v>150000</v>
      </c>
      <c r="F4754" s="4" t="n">
        <v>150000</v>
      </c>
    </row>
    <row r="4755">
      <c r="D4755" s="2" t="inlineStr">
        <is>
          <t>SUBTOTAL UPAH</t>
        </is>
      </c>
      <c r="F4755" s="16" t="n">
        <v>40312.5</v>
      </c>
    </row>
    <row r="4756">
      <c r="D4756" s="2" t="inlineStr">
        <is>
          <t>SUBTOTAL BAHAN</t>
        </is>
      </c>
      <c r="F4756" s="16" t="n">
        <v>150000</v>
      </c>
    </row>
    <row r="4757">
      <c r="D4757" s="2" t="inlineStr">
        <is>
          <t>SUBTOTAL ALAT</t>
        </is>
      </c>
      <c r="F4757" s="16" t="n">
        <v>0</v>
      </c>
    </row>
    <row r="4758">
      <c r="E4758" s="2" t="inlineStr">
        <is>
          <t>TOTAL HARGA SATUAN (Inc. Overhead)</t>
        </is>
      </c>
      <c r="F4758" s="17" t="n">
        <v>209343</v>
      </c>
    </row>
    <row r="4760">
      <c r="A4760" s="14" t="inlineStr">
        <is>
          <t>KODE: 3.11.4.22 - Pemasangan 1 buah Handle Jendela</t>
        </is>
      </c>
    </row>
    <row r="4761">
      <c r="A4761" s="10" t="inlineStr">
        <is>
          <t>No</t>
        </is>
      </c>
      <c r="B4761" s="10" t="inlineStr">
        <is>
          <t>Uraian Komponen</t>
        </is>
      </c>
      <c r="C4761" s="10" t="inlineStr">
        <is>
          <t>Satuan</t>
        </is>
      </c>
      <c r="D4761" s="10" t="inlineStr">
        <is>
          <t>Koef</t>
        </is>
      </c>
      <c r="E4761" s="10" t="inlineStr">
        <is>
          <t>Harga Satuan (Rp)</t>
        </is>
      </c>
      <c r="F4761" s="10" t="inlineStr">
        <is>
          <t>Jumlah Harga (Rp)</t>
        </is>
      </c>
    </row>
    <row r="4762">
      <c r="A4762" s="3" t="inlineStr">
        <is>
          <t>1</t>
        </is>
      </c>
      <c r="B4762" s="3" t="inlineStr">
        <is>
          <t>Pekerja</t>
        </is>
      </c>
      <c r="C4762" s="3" t="inlineStr">
        <is>
          <t>OH</t>
        </is>
      </c>
      <c r="D4762" s="15" t="n">
        <v>0.036</v>
      </c>
      <c r="E4762" s="4" t="n">
        <v>100000</v>
      </c>
      <c r="F4762" s="4" t="n">
        <v>3600</v>
      </c>
    </row>
    <row r="4763">
      <c r="A4763" s="3" t="inlineStr">
        <is>
          <t>2</t>
        </is>
      </c>
      <c r="B4763" s="3" t="inlineStr">
        <is>
          <t>Tukang kayu</t>
        </is>
      </c>
      <c r="C4763" s="3" t="inlineStr">
        <is>
          <t>OH</t>
        </is>
      </c>
      <c r="D4763" s="15" t="n">
        <v>0.036</v>
      </c>
      <c r="E4763" s="4" t="n">
        <v>145000</v>
      </c>
      <c r="F4763" s="4" t="n">
        <v>5220</v>
      </c>
    </row>
    <row r="4764">
      <c r="A4764" s="3" t="inlineStr">
        <is>
          <t>3</t>
        </is>
      </c>
      <c r="B4764" s="3" t="inlineStr">
        <is>
          <t>Kepala tukang</t>
        </is>
      </c>
      <c r="C4764" s="3" t="inlineStr">
        <is>
          <t>OH</t>
        </is>
      </c>
      <c r="D4764" s="15" t="n">
        <v>0.004</v>
      </c>
      <c r="E4764" s="4" t="n">
        <v>175000</v>
      </c>
      <c r="F4764" s="4" t="n">
        <v>700</v>
      </c>
    </row>
    <row r="4765">
      <c r="A4765" s="3" t="inlineStr">
        <is>
          <t>4</t>
        </is>
      </c>
      <c r="B4765" s="3" t="inlineStr">
        <is>
          <t>Mandor</t>
        </is>
      </c>
      <c r="C4765" s="3" t="inlineStr">
        <is>
          <t>OH</t>
        </is>
      </c>
      <c r="D4765" s="15" t="n">
        <v>0.001</v>
      </c>
      <c r="E4765" s="4" t="n">
        <v>200000</v>
      </c>
      <c r="F4765" s="4" t="n">
        <v>200</v>
      </c>
    </row>
    <row r="4766">
      <c r="A4766" s="3" t="inlineStr">
        <is>
          <t>1</t>
        </is>
      </c>
      <c r="B4766" s="3" t="inlineStr">
        <is>
          <t>Hendle Jendela</t>
        </is>
      </c>
      <c r="C4766" s="3" t="inlineStr">
        <is>
          <t>buah</t>
        </is>
      </c>
      <c r="D4766" s="15" t="n">
        <v>1</v>
      </c>
      <c r="E4766" s="4" t="n">
        <v>58500</v>
      </c>
      <c r="F4766" s="4" t="n">
        <v>58500</v>
      </c>
    </row>
    <row r="4767">
      <c r="D4767" s="2" t="inlineStr">
        <is>
          <t>SUBTOTAL UPAH</t>
        </is>
      </c>
      <c r="F4767" s="16" t="n">
        <v>9720</v>
      </c>
    </row>
    <row r="4768">
      <c r="D4768" s="2" t="inlineStr">
        <is>
          <t>SUBTOTAL BAHAN</t>
        </is>
      </c>
      <c r="F4768" s="16" t="n">
        <v>58500</v>
      </c>
    </row>
    <row r="4769">
      <c r="D4769" s="2" t="inlineStr">
        <is>
          <t>SUBTOTAL ALAT</t>
        </is>
      </c>
      <c r="F4769" s="16" t="n">
        <v>0</v>
      </c>
    </row>
    <row r="4770">
      <c r="E4770" s="2" t="inlineStr">
        <is>
          <t>TOTAL HARGA SATUAN (Inc. Overhead)</t>
        </is>
      </c>
      <c r="F4770" s="17" t="n">
        <v>75042</v>
      </c>
    </row>
    <row r="4772">
      <c r="A4772" s="14" t="inlineStr">
        <is>
          <t>KODE: 3.16.1.1 - Pemasangan 1 buah Logo PU plat besi finish cat uk. 80x80 cm dengan scaffolding</t>
        </is>
      </c>
    </row>
    <row r="4773">
      <c r="A4773" s="10" t="inlineStr">
        <is>
          <t>No</t>
        </is>
      </c>
      <c r="B4773" s="10" t="inlineStr">
        <is>
          <t>Uraian Komponen</t>
        </is>
      </c>
      <c r="C4773" s="10" t="inlineStr">
        <is>
          <t>Satuan</t>
        </is>
      </c>
      <c r="D4773" s="10" t="inlineStr">
        <is>
          <t>Koef</t>
        </is>
      </c>
      <c r="E4773" s="10" t="inlineStr">
        <is>
          <t>Harga Satuan (Rp)</t>
        </is>
      </c>
      <c r="F4773" s="10" t="inlineStr">
        <is>
          <t>Jumlah Harga (Rp)</t>
        </is>
      </c>
    </row>
    <row r="4774">
      <c r="A4774" s="3" t="inlineStr">
        <is>
          <t>1</t>
        </is>
      </c>
      <c r="B4774" s="3" t="inlineStr">
        <is>
          <t>Pekerja OH</t>
        </is>
      </c>
      <c r="C4774" s="3" t="inlineStr">
        <is>
          <t>2</t>
        </is>
      </c>
      <c r="D4774" s="15" t="n">
        <v>100000</v>
      </c>
      <c r="E4774" s="4" t="n">
        <v>200000</v>
      </c>
      <c r="F4774" s="4" t="n">
        <v>0.1</v>
      </c>
    </row>
    <row r="4775">
      <c r="A4775" s="3" t="inlineStr">
        <is>
          <t>2</t>
        </is>
      </c>
      <c r="B4775" s="3" t="inlineStr">
        <is>
          <t>Tukang besi</t>
        </is>
      </c>
      <c r="C4775" s="3" t="inlineStr">
        <is>
          <t>OH</t>
        </is>
      </c>
      <c r="D4775" s="15" t="n">
        <v>1</v>
      </c>
      <c r="E4775" s="4" t="n">
        <v>145000</v>
      </c>
      <c r="F4775" s="4" t="n">
        <v>145000</v>
      </c>
    </row>
    <row r="4776">
      <c r="A4776" s="3" t="inlineStr">
        <is>
          <t>4</t>
        </is>
      </c>
      <c r="B4776" s="3" t="inlineStr">
        <is>
          <t>Kepala tukang</t>
        </is>
      </c>
      <c r="C4776" s="3" t="inlineStr">
        <is>
          <t>OH</t>
        </is>
      </c>
      <c r="D4776" s="15" t="n">
        <v>0.1</v>
      </c>
      <c r="E4776" s="4" t="n">
        <v>175000</v>
      </c>
      <c r="F4776" s="4" t="n">
        <v>17500</v>
      </c>
    </row>
    <row r="4777">
      <c r="A4777" s="3" t="inlineStr">
        <is>
          <t>5</t>
        </is>
      </c>
      <c r="B4777" s="3" t="inlineStr">
        <is>
          <t>Mandor</t>
        </is>
      </c>
      <c r="C4777" s="3" t="inlineStr">
        <is>
          <t>OH</t>
        </is>
      </c>
      <c r="D4777" s="15" t="n">
        <v>0.033</v>
      </c>
      <c r="E4777" s="4" t="n">
        <v>200000</v>
      </c>
      <c r="F4777" s="4" t="n">
        <v>6600</v>
      </c>
    </row>
    <row r="4778">
      <c r="A4778" s="3" t="inlineStr">
        <is>
          <t>1</t>
        </is>
      </c>
      <c r="B4778" s="3" t="inlineStr">
        <is>
          <t>Logo PU Plat Baja 80x80 cm</t>
        </is>
      </c>
      <c r="C4778" s="3" t="inlineStr">
        <is>
          <t>Buah</t>
        </is>
      </c>
      <c r="D4778" s="15" t="n">
        <v>1</v>
      </c>
      <c r="E4778" s="4" t="n">
        <v>450000</v>
      </c>
      <c r="F4778" s="4" t="n">
        <v>450000</v>
      </c>
    </row>
    <row r="4779">
      <c r="A4779" s="3" t="inlineStr">
        <is>
          <t>2</t>
        </is>
      </c>
      <c r="B4779" s="3" t="inlineStr">
        <is>
          <t>Dinabolt dia. 12mm (10-15 cm)</t>
        </is>
      </c>
      <c r="C4779" s="3" t="inlineStr">
        <is>
          <t>buah</t>
        </is>
      </c>
      <c r="D4779" s="15" t="n">
        <v>6</v>
      </c>
      <c r="E4779" s="4" t="n">
        <v>4550</v>
      </c>
      <c r="F4779" s="4" t="n">
        <v>27300</v>
      </c>
    </row>
    <row r="4780">
      <c r="A4780" s="3" t="inlineStr">
        <is>
          <t>1</t>
        </is>
      </c>
      <c r="B4780" s="3" t="inlineStr">
        <is>
          <t>Sewa Scaffolding</t>
        </is>
      </c>
      <c r="C4780" s="3" t="inlineStr">
        <is>
          <t>hari</t>
        </is>
      </c>
      <c r="D4780" s="15" t="n">
        <v>1</v>
      </c>
      <c r="E4780" s="4" t="n">
        <v>586.6666666666666</v>
      </c>
      <c r="F4780" s="4" t="n">
        <v>586.6666666666666</v>
      </c>
    </row>
    <row r="4781">
      <c r="D4781" s="2" t="inlineStr">
        <is>
          <t>SUBTOTAL UPAH</t>
        </is>
      </c>
      <c r="F4781" s="16" t="n">
        <v>369100</v>
      </c>
    </row>
    <row r="4782">
      <c r="D4782" s="2" t="inlineStr">
        <is>
          <t>SUBTOTAL BAHAN</t>
        </is>
      </c>
      <c r="F4782" s="16" t="n">
        <v>477300</v>
      </c>
    </row>
    <row r="4783">
      <c r="D4783" s="2" t="inlineStr">
        <is>
          <t>SUBTOTAL ALAT</t>
        </is>
      </c>
      <c r="F4783" s="16" t="n">
        <v>586.6666666666666</v>
      </c>
    </row>
    <row r="4784">
      <c r="E4784" s="2" t="inlineStr">
        <is>
          <t>TOTAL HARGA SATUAN (Inc. Overhead)</t>
        </is>
      </c>
      <c r="F4784" s="17" t="n">
        <v>931685</v>
      </c>
    </row>
    <row r="4786">
      <c r="A4786" s="14" t="inlineStr">
        <is>
          <t>KODE: 3.16.1.2 - Pemasangan Logo PU Pelat Besi Finish Cat ukuran 80x80 cm dengan gendola</t>
        </is>
      </c>
    </row>
    <row r="4787">
      <c r="A4787" s="10" t="inlineStr">
        <is>
          <t>No</t>
        </is>
      </c>
      <c r="B4787" s="10" t="inlineStr">
        <is>
          <t>Uraian Komponen</t>
        </is>
      </c>
      <c r="C4787" s="10" t="inlineStr">
        <is>
          <t>Satuan</t>
        </is>
      </c>
      <c r="D4787" s="10" t="inlineStr">
        <is>
          <t>Koef</t>
        </is>
      </c>
      <c r="E4787" s="10" t="inlineStr">
        <is>
          <t>Harga Satuan (Rp)</t>
        </is>
      </c>
      <c r="F4787" s="10" t="inlineStr">
        <is>
          <t>Jumlah Harga (Rp)</t>
        </is>
      </c>
    </row>
    <row r="4788">
      <c r="A4788" s="3" t="inlineStr">
        <is>
          <t>1</t>
        </is>
      </c>
      <c r="B4788" s="3" t="inlineStr">
        <is>
          <t>Pekerja</t>
        </is>
      </c>
      <c r="C4788" s="3" t="inlineStr">
        <is>
          <t>OH</t>
        </is>
      </c>
      <c r="D4788" s="15" t="n">
        <v>2</v>
      </c>
      <c r="E4788" s="4" t="n">
        <v>100000</v>
      </c>
      <c r="F4788" s="4" t="n">
        <v>200000</v>
      </c>
    </row>
    <row r="4789">
      <c r="A4789" s="3" t="inlineStr">
        <is>
          <t>2</t>
        </is>
      </c>
      <c r="B4789" s="3" t="inlineStr">
        <is>
          <t>Tukang besi</t>
        </is>
      </c>
      <c r="C4789" s="3" t="inlineStr">
        <is>
          <t>OH</t>
        </is>
      </c>
      <c r="D4789" s="15" t="n">
        <v>1</v>
      </c>
      <c r="E4789" s="4" t="n">
        <v>145000</v>
      </c>
      <c r="F4789" s="4" t="n">
        <v>145000</v>
      </c>
    </row>
    <row r="4790">
      <c r="A4790" s="3" t="inlineStr">
        <is>
          <t>4</t>
        </is>
      </c>
      <c r="B4790" s="3" t="inlineStr">
        <is>
          <t>Kepala tukang</t>
        </is>
      </c>
      <c r="C4790" s="3" t="inlineStr">
        <is>
          <t>OH</t>
        </is>
      </c>
      <c r="D4790" s="15" t="n">
        <v>0.1</v>
      </c>
      <c r="E4790" s="4" t="n">
        <v>175000</v>
      </c>
      <c r="F4790" s="4" t="n">
        <v>17500</v>
      </c>
    </row>
    <row r="4791">
      <c r="A4791" s="3" t="inlineStr">
        <is>
          <t>5</t>
        </is>
      </c>
      <c r="B4791" s="3" t="inlineStr">
        <is>
          <t>Mandor</t>
        </is>
      </c>
      <c r="C4791" s="3" t="inlineStr">
        <is>
          <t>OH</t>
        </is>
      </c>
      <c r="D4791" s="15" t="n">
        <v>0.033</v>
      </c>
      <c r="E4791" s="4" t="n">
        <v>200000</v>
      </c>
      <c r="F4791" s="4" t="n">
        <v>6600</v>
      </c>
    </row>
    <row r="4792">
      <c r="A4792" s="3" t="inlineStr">
        <is>
          <t>1</t>
        </is>
      </c>
      <c r="B4792" s="3" t="inlineStr">
        <is>
          <t>Logo PU Plat Baja 80x80 cm</t>
        </is>
      </c>
      <c r="C4792" s="3" t="inlineStr">
        <is>
          <t>buah</t>
        </is>
      </c>
      <c r="D4792" s="15" t="n">
        <v>43.71</v>
      </c>
      <c r="E4792" s="4" t="n">
        <v>450000</v>
      </c>
      <c r="F4792" s="4" t="n">
        <v>19669500</v>
      </c>
    </row>
    <row r="4793">
      <c r="A4793" s="3" t="inlineStr">
        <is>
          <t>2</t>
        </is>
      </c>
      <c r="B4793" s="3" t="inlineStr">
        <is>
          <t>Dinabolt dia. 12mm (10-15 cm)</t>
        </is>
      </c>
      <c r="C4793" s="3" t="inlineStr">
        <is>
          <t>buah</t>
        </is>
      </c>
      <c r="D4793" s="15" t="n">
        <v>6</v>
      </c>
      <c r="E4793" s="4" t="n">
        <v>4550</v>
      </c>
      <c r="F4793" s="4" t="n">
        <v>27300</v>
      </c>
    </row>
    <row r="4794">
      <c r="A4794" s="3" t="inlineStr">
        <is>
          <t>1</t>
        </is>
      </c>
      <c r="B4794" s="3" t="inlineStr">
        <is>
          <t>Sewa Gondola</t>
        </is>
      </c>
      <c r="C4794" s="3" t="inlineStr">
        <is>
          <t>hari</t>
        </is>
      </c>
      <c r="D4794" s="15" t="n">
        <v>1</v>
      </c>
      <c r="E4794" s="4" t="n">
        <v>322000</v>
      </c>
      <c r="F4794" s="4" t="n">
        <v>322000</v>
      </c>
    </row>
    <row r="4795">
      <c r="D4795" s="2" t="inlineStr">
        <is>
          <t>SUBTOTAL UPAH</t>
        </is>
      </c>
      <c r="F4795" s="16" t="n">
        <v>369100</v>
      </c>
    </row>
    <row r="4796">
      <c r="D4796" s="2" t="inlineStr">
        <is>
          <t>SUBTOTAL BAHAN</t>
        </is>
      </c>
      <c r="F4796" s="16" t="n">
        <v>19696800</v>
      </c>
    </row>
    <row r="4797">
      <c r="D4797" s="2" t="inlineStr">
        <is>
          <t>SUBTOTAL ALAT</t>
        </is>
      </c>
      <c r="F4797" s="16" t="n">
        <v>322000</v>
      </c>
    </row>
    <row r="4798">
      <c r="E4798" s="2" t="inlineStr">
        <is>
          <t>TOTAL HARGA SATUAN (Inc. Overhead)</t>
        </is>
      </c>
      <c r="F4798" s="17" t="n">
        <v>22426690</v>
      </c>
    </row>
    <row r="4800">
      <c r="A4800" s="14" t="inlineStr">
        <is>
          <t>KODE: 3.16.2.1 - Pemasangan Signage Plat Baja pada Dinding</t>
        </is>
      </c>
    </row>
    <row r="4801">
      <c r="A4801" s="10" t="inlineStr">
        <is>
          <t>No</t>
        </is>
      </c>
      <c r="B4801" s="10" t="inlineStr">
        <is>
          <t>Uraian Komponen</t>
        </is>
      </c>
      <c r="C4801" s="10" t="inlineStr">
        <is>
          <t>Satuan</t>
        </is>
      </c>
      <c r="D4801" s="10" t="inlineStr">
        <is>
          <t>Koef</t>
        </is>
      </c>
      <c r="E4801" s="10" t="inlineStr">
        <is>
          <t>Harga Satuan (Rp)</t>
        </is>
      </c>
      <c r="F4801" s="10" t="inlineStr">
        <is>
          <t>Jumlah Harga (Rp)</t>
        </is>
      </c>
    </row>
    <row r="4802">
      <c r="A4802" s="3" t="inlineStr">
        <is>
          <t>1</t>
        </is>
      </c>
      <c r="B4802" s="3" t="inlineStr">
        <is>
          <t>Pekerja</t>
        </is>
      </c>
      <c r="C4802" s="3" t="inlineStr">
        <is>
          <t>OH</t>
        </is>
      </c>
      <c r="D4802" s="15" t="n">
        <v>0.1</v>
      </c>
      <c r="E4802" s="4" t="n">
        <v>100000</v>
      </c>
      <c r="F4802" s="4" t="n">
        <v>10000</v>
      </c>
    </row>
    <row r="4803">
      <c r="A4803" s="3" t="inlineStr">
        <is>
          <t>2</t>
        </is>
      </c>
      <c r="B4803" s="3" t="inlineStr">
        <is>
          <t>Tukang las</t>
        </is>
      </c>
      <c r="C4803" s="3" t="inlineStr">
        <is>
          <t>OH</t>
        </is>
      </c>
      <c r="D4803" s="15" t="n">
        <v>0.1</v>
      </c>
      <c r="E4803" s="4" t="n">
        <v>145000</v>
      </c>
      <c r="F4803" s="4" t="n">
        <v>14500</v>
      </c>
    </row>
    <row r="4804">
      <c r="A4804" s="3" t="inlineStr">
        <is>
          <t>3</t>
        </is>
      </c>
      <c r="B4804" s="3" t="inlineStr">
        <is>
          <t>Kepala tukang</t>
        </is>
      </c>
      <c r="C4804" s="3" t="inlineStr">
        <is>
          <t>OH</t>
        </is>
      </c>
      <c r="D4804" s="15" t="n">
        <v>0.01</v>
      </c>
      <c r="E4804" s="4" t="n">
        <v>175000</v>
      </c>
      <c r="F4804" s="4" t="n">
        <v>1750</v>
      </c>
    </row>
    <row r="4805">
      <c r="A4805" s="3" t="inlineStr">
        <is>
          <t>4</t>
        </is>
      </c>
      <c r="B4805" s="3" t="inlineStr">
        <is>
          <t>Mandor</t>
        </is>
      </c>
      <c r="C4805" s="3" t="inlineStr">
        <is>
          <t>OH</t>
        </is>
      </c>
      <c r="D4805" s="15" t="n">
        <v>0.0033</v>
      </c>
      <c r="E4805" s="4" t="n">
        <v>200000</v>
      </c>
      <c r="F4805" s="4" t="n">
        <v>660</v>
      </c>
    </row>
    <row r="4806">
      <c r="A4806" s="3" t="inlineStr">
        <is>
          <t>1</t>
        </is>
      </c>
      <c r="B4806" s="3" t="inlineStr">
        <is>
          <t>Signage Plat Baja lengkap dengan accessories</t>
        </is>
      </c>
      <c r="C4806" s="3" t="inlineStr">
        <is>
          <t>buah</t>
        </is>
      </c>
      <c r="D4806" s="15" t="n">
        <v>1</v>
      </c>
      <c r="E4806" s="4" t="n">
        <v>1500000</v>
      </c>
      <c r="F4806" s="4" t="n">
        <v>1500000</v>
      </c>
    </row>
    <row r="4807">
      <c r="D4807" s="2" t="inlineStr">
        <is>
          <t>SUBTOTAL UPAH</t>
        </is>
      </c>
      <c r="F4807" s="16" t="n">
        <v>26910</v>
      </c>
    </row>
    <row r="4808">
      <c r="D4808" s="2" t="inlineStr">
        <is>
          <t>SUBTOTAL BAHAN</t>
        </is>
      </c>
      <c r="F4808" s="16" t="n">
        <v>1500000</v>
      </c>
    </row>
    <row r="4809">
      <c r="D4809" s="2" t="inlineStr">
        <is>
          <t>SUBTOTAL ALAT</t>
        </is>
      </c>
      <c r="F4809" s="16" t="n">
        <v>0</v>
      </c>
    </row>
    <row r="4810">
      <c r="E4810" s="2" t="inlineStr">
        <is>
          <t>TOTAL HARGA SATUAN (Inc. Overhead)</t>
        </is>
      </c>
      <c r="F4810" s="17" t="n">
        <v>1679601</v>
      </c>
    </row>
    <row r="4812">
      <c r="A4812" s="14" t="inlineStr">
        <is>
          <t>KODE: 3.18.1.1 - Pemasangan 1 buah wastafel</t>
        </is>
      </c>
    </row>
    <row r="4813">
      <c r="A4813" s="10" t="inlineStr">
        <is>
          <t>No</t>
        </is>
      </c>
      <c r="B4813" s="10" t="inlineStr">
        <is>
          <t>Uraian Komponen</t>
        </is>
      </c>
      <c r="C4813" s="10" t="inlineStr">
        <is>
          <t>Satuan</t>
        </is>
      </c>
      <c r="D4813" s="10" t="inlineStr">
        <is>
          <t>Koef</t>
        </is>
      </c>
      <c r="E4813" s="10" t="inlineStr">
        <is>
          <t>Harga Satuan (Rp)</t>
        </is>
      </c>
      <c r="F4813" s="10" t="inlineStr">
        <is>
          <t>Jumlah Harga (Rp)</t>
        </is>
      </c>
    </row>
    <row r="4814">
      <c r="A4814" s="3" t="inlineStr">
        <is>
          <t>1</t>
        </is>
      </c>
      <c r="B4814" s="3" t="inlineStr">
        <is>
          <t>Pekerja</t>
        </is>
      </c>
      <c r="C4814" s="3" t="inlineStr">
        <is>
          <t>OH</t>
        </is>
      </c>
      <c r="D4814" s="15" t="n">
        <v>1</v>
      </c>
      <c r="E4814" s="4" t="n">
        <v>100000</v>
      </c>
      <c r="F4814" s="4" t="n">
        <v>100000</v>
      </c>
    </row>
    <row r="4815">
      <c r="A4815" s="3" t="inlineStr">
        <is>
          <t>2</t>
        </is>
      </c>
      <c r="B4815" s="3" t="inlineStr">
        <is>
          <t>Tukang batu</t>
        </is>
      </c>
      <c r="C4815" s="3" t="inlineStr">
        <is>
          <t>OH</t>
        </is>
      </c>
      <c r="D4815" s="15" t="n">
        <v>0.5</v>
      </c>
      <c r="E4815" s="4" t="n">
        <v>145000</v>
      </c>
      <c r="F4815" s="4" t="n">
        <v>72500</v>
      </c>
    </row>
    <row r="4816">
      <c r="A4816" s="3" t="inlineStr">
        <is>
          <t>3</t>
        </is>
      </c>
      <c r="B4816" s="3" t="inlineStr">
        <is>
          <t>Kepala tukang</t>
        </is>
      </c>
      <c r="C4816" s="3" t="inlineStr">
        <is>
          <t>OH</t>
        </is>
      </c>
      <c r="D4816" s="15" t="n">
        <v>0.05</v>
      </c>
      <c r="E4816" s="4" t="n">
        <v>175000</v>
      </c>
      <c r="F4816" s="4" t="n">
        <v>8750</v>
      </c>
    </row>
    <row r="4817">
      <c r="A4817" s="3" t="inlineStr">
        <is>
          <t>4</t>
        </is>
      </c>
      <c r="B4817" s="3" t="inlineStr">
        <is>
          <t>Mandor</t>
        </is>
      </c>
      <c r="C4817" s="3" t="inlineStr">
        <is>
          <t>OH</t>
        </is>
      </c>
      <c r="D4817" s="15" t="n">
        <v>0.0167</v>
      </c>
      <c r="E4817" s="4" t="n">
        <v>200000</v>
      </c>
      <c r="F4817" s="4" t="n">
        <v>3340</v>
      </c>
    </row>
    <row r="4818">
      <c r="A4818" s="3" t="inlineStr">
        <is>
          <t>1</t>
        </is>
      </c>
      <c r="B4818" s="3" t="inlineStr">
        <is>
          <t>Wastafel</t>
        </is>
      </c>
      <c r="C4818" s="3" t="inlineStr">
        <is>
          <t>buah</t>
        </is>
      </c>
      <c r="D4818" s="15" t="n">
        <v>1.2</v>
      </c>
      <c r="E4818" s="4" t="n">
        <v>325100</v>
      </c>
      <c r="F4818" s="4" t="n">
        <v>390120</v>
      </c>
    </row>
    <row r="4819">
      <c r="A4819" s="3" t="inlineStr">
        <is>
          <t>2</t>
        </is>
      </c>
      <c r="B4819" s="3" t="inlineStr">
        <is>
          <t>Semen portland (PC)</t>
        </is>
      </c>
      <c r="C4819" s="3" t="inlineStr">
        <is>
          <t>kg</t>
        </is>
      </c>
      <c r="D4819" s="15" t="n">
        <v>6</v>
      </c>
      <c r="E4819" s="4" t="n">
        <v>1300</v>
      </c>
      <c r="F4819" s="4" t="n">
        <v>7800</v>
      </c>
    </row>
    <row r="4820">
      <c r="A4820" s="3" t="inlineStr">
        <is>
          <t>3</t>
        </is>
      </c>
      <c r="B4820" s="3" t="inlineStr">
        <is>
          <t>Pasir pasang (quarry - lokasi pekerjaan)</t>
        </is>
      </c>
      <c r="C4820" s="3" t="inlineStr">
        <is>
          <t>m3</t>
        </is>
      </c>
      <c r="D4820" s="15" t="n">
        <v>0.01</v>
      </c>
      <c r="E4820" s="4" t="n">
        <v>275000</v>
      </c>
      <c r="F4820" s="4" t="n">
        <v>2750</v>
      </c>
    </row>
    <row r="4821">
      <c r="D4821" s="2" t="inlineStr">
        <is>
          <t>SUBTOTAL UPAH</t>
        </is>
      </c>
      <c r="F4821" s="16" t="n">
        <v>184590</v>
      </c>
    </row>
    <row r="4822">
      <c r="D4822" s="2" t="inlineStr">
        <is>
          <t>SUBTOTAL BAHAN</t>
        </is>
      </c>
      <c r="F4822" s="16" t="n">
        <v>400670</v>
      </c>
    </row>
    <row r="4823">
      <c r="D4823" s="2" t="inlineStr">
        <is>
          <t>SUBTOTAL ALAT</t>
        </is>
      </c>
      <c r="F4823" s="16" t="n">
        <v>0</v>
      </c>
    </row>
    <row r="4824">
      <c r="E4824" s="2" t="inlineStr">
        <is>
          <t>TOTAL HARGA SATUAN (Inc. Overhead)</t>
        </is>
      </c>
      <c r="F4824" s="17" t="n">
        <v>643786</v>
      </c>
    </row>
    <row r="4826">
      <c r="A4826" s="14" t="inlineStr">
        <is>
          <t>KODE: 3.18.2.1 - Pemasangan 1 buah Bak Cuci Piring Stainlessteel</t>
        </is>
      </c>
    </row>
    <row r="4827">
      <c r="A4827" s="10" t="inlineStr">
        <is>
          <t>No</t>
        </is>
      </c>
      <c r="B4827" s="10" t="inlineStr">
        <is>
          <t>Uraian Komponen</t>
        </is>
      </c>
      <c r="C4827" s="10" t="inlineStr">
        <is>
          <t>Satuan</t>
        </is>
      </c>
      <c r="D4827" s="10" t="inlineStr">
        <is>
          <t>Koef</t>
        </is>
      </c>
      <c r="E4827" s="10" t="inlineStr">
        <is>
          <t>Harga Satuan (Rp)</t>
        </is>
      </c>
      <c r="F4827" s="10" t="inlineStr">
        <is>
          <t>Jumlah Harga (Rp)</t>
        </is>
      </c>
    </row>
    <row r="4828">
      <c r="A4828" s="3" t="inlineStr">
        <is>
          <t>1</t>
        </is>
      </c>
      <c r="B4828" s="3" t="inlineStr">
        <is>
          <t>Pekerja</t>
        </is>
      </c>
      <c r="C4828" s="3" t="inlineStr">
        <is>
          <t>OH</t>
        </is>
      </c>
      <c r="D4828" s="15" t="n">
        <v>0.03</v>
      </c>
      <c r="E4828" s="4" t="n">
        <v>100000</v>
      </c>
      <c r="F4828" s="4" t="n">
        <v>3000</v>
      </c>
    </row>
    <row r="4829">
      <c r="A4829" s="3" t="inlineStr">
        <is>
          <t>2</t>
        </is>
      </c>
      <c r="B4829" s="3" t="inlineStr">
        <is>
          <t>Tukang batu</t>
        </is>
      </c>
      <c r="C4829" s="3" t="inlineStr">
        <is>
          <t>OH</t>
        </is>
      </c>
      <c r="D4829" s="15" t="n">
        <v>0.3</v>
      </c>
      <c r="E4829" s="4" t="n">
        <v>145000</v>
      </c>
      <c r="F4829" s="4" t="n">
        <v>43500</v>
      </c>
    </row>
    <row r="4830">
      <c r="A4830" s="3" t="inlineStr">
        <is>
          <t>3</t>
        </is>
      </c>
      <c r="B4830" s="3" t="inlineStr">
        <is>
          <t>Kepala tukang</t>
        </is>
      </c>
      <c r="C4830" s="3" t="inlineStr">
        <is>
          <t>OH</t>
        </is>
      </c>
      <c r="D4830" s="15" t="n">
        <v>0.03</v>
      </c>
      <c r="E4830" s="4" t="n">
        <v>175000</v>
      </c>
      <c r="F4830" s="4" t="n">
        <v>5250</v>
      </c>
    </row>
    <row r="4831">
      <c r="A4831" s="3" t="inlineStr">
        <is>
          <t>4</t>
        </is>
      </c>
      <c r="B4831" s="3" t="inlineStr">
        <is>
          <t>Mandor</t>
        </is>
      </c>
      <c r="C4831" s="3" t="inlineStr">
        <is>
          <t>OH</t>
        </is>
      </c>
      <c r="D4831" s="15" t="n">
        <v>0.01</v>
      </c>
      <c r="E4831" s="4" t="n">
        <v>200000</v>
      </c>
      <c r="F4831" s="4" t="n">
        <v>2000</v>
      </c>
    </row>
    <row r="4832">
      <c r="A4832" s="3" t="inlineStr">
        <is>
          <t>1</t>
        </is>
      </c>
      <c r="B4832" s="3" t="inlineStr">
        <is>
          <t>Bak cuci stainlesteel</t>
        </is>
      </c>
      <c r="C4832" s="3" t="inlineStr">
        <is>
          <t>unit</t>
        </is>
      </c>
      <c r="D4832" s="15" t="n">
        <v>1</v>
      </c>
      <c r="E4832" s="4" t="n">
        <v>230600</v>
      </c>
      <c r="F4832" s="4" t="n">
        <v>230600</v>
      </c>
    </row>
    <row r="4833">
      <c r="A4833" s="3" t="inlineStr">
        <is>
          <t>2</t>
        </is>
      </c>
      <c r="B4833" s="3" t="inlineStr">
        <is>
          <t>Water drain</t>
        </is>
      </c>
      <c r="C4833" s="3" t="inlineStr">
        <is>
          <t>buah</t>
        </is>
      </c>
      <c r="D4833" s="15" t="n">
        <v>1</v>
      </c>
      <c r="E4833" s="4" t="n">
        <v>321900</v>
      </c>
      <c r="F4833" s="4" t="n">
        <v>321900</v>
      </c>
    </row>
    <row r="4834">
      <c r="D4834" s="2" t="inlineStr">
        <is>
          <t>SUBTOTAL UPAH</t>
        </is>
      </c>
      <c r="F4834" s="16" t="n">
        <v>53750</v>
      </c>
    </row>
    <row r="4835">
      <c r="D4835" s="2" t="inlineStr">
        <is>
          <t>SUBTOTAL BAHAN</t>
        </is>
      </c>
      <c r="F4835" s="16" t="n">
        <v>552500</v>
      </c>
    </row>
    <row r="4836">
      <c r="D4836" s="2" t="inlineStr">
        <is>
          <t>SUBTOTAL ALAT</t>
        </is>
      </c>
      <c r="F4836" s="16" t="n">
        <v>0</v>
      </c>
    </row>
    <row r="4837">
      <c r="E4837" s="2" t="inlineStr">
        <is>
          <t>TOTAL HARGA SATUAN (Inc. Overhead)</t>
        </is>
      </c>
      <c r="F4837" s="17" t="n">
        <v>666875</v>
      </c>
    </row>
    <row r="4839">
      <c r="A4839" s="14" t="inlineStr">
        <is>
          <t>KODE: 3.18.2.2 - Pemasangan 1 Buah Bak Cuci Piring Teraso</t>
        </is>
      </c>
    </row>
    <row r="4840">
      <c r="A4840" s="10" t="inlineStr">
        <is>
          <t>No</t>
        </is>
      </c>
      <c r="B4840" s="10" t="inlineStr">
        <is>
          <t>Uraian Komponen</t>
        </is>
      </c>
      <c r="C4840" s="10" t="inlineStr">
        <is>
          <t>Satuan</t>
        </is>
      </c>
      <c r="D4840" s="10" t="inlineStr">
        <is>
          <t>Koef</t>
        </is>
      </c>
      <c r="E4840" s="10" t="inlineStr">
        <is>
          <t>Harga Satuan (Rp)</t>
        </is>
      </c>
      <c r="F4840" s="10" t="inlineStr">
        <is>
          <t>Jumlah Harga (Rp)</t>
        </is>
      </c>
    </row>
    <row r="4841">
      <c r="A4841" s="3" t="inlineStr">
        <is>
          <t>1</t>
        </is>
      </c>
      <c r="B4841" s="3" t="inlineStr">
        <is>
          <t>Pekerja</t>
        </is>
      </c>
      <c r="C4841" s="3" t="inlineStr">
        <is>
          <t>OH</t>
        </is>
      </c>
      <c r="D4841" s="15" t="n">
        <v>0.05</v>
      </c>
      <c r="E4841" s="4" t="n">
        <v>100000</v>
      </c>
      <c r="F4841" s="4" t="n">
        <v>5000</v>
      </c>
    </row>
    <row r="4842">
      <c r="A4842" s="3" t="inlineStr">
        <is>
          <t>2</t>
        </is>
      </c>
      <c r="B4842" s="3" t="inlineStr">
        <is>
          <t>Tukang batu</t>
        </is>
      </c>
      <c r="C4842" s="3" t="inlineStr">
        <is>
          <t>OH</t>
        </is>
      </c>
      <c r="D4842" s="15" t="n">
        <v>0.5</v>
      </c>
      <c r="E4842" s="4" t="n">
        <v>145000</v>
      </c>
      <c r="F4842" s="4" t="n">
        <v>72500</v>
      </c>
    </row>
    <row r="4843">
      <c r="A4843" s="3" t="inlineStr">
        <is>
          <t>3</t>
        </is>
      </c>
      <c r="B4843" s="3" t="inlineStr">
        <is>
          <t>Kepala tukang</t>
        </is>
      </c>
      <c r="C4843" s="3" t="inlineStr">
        <is>
          <t>OH</t>
        </is>
      </c>
      <c r="D4843" s="15" t="n">
        <v>0.05</v>
      </c>
      <c r="E4843" s="4" t="n">
        <v>175000</v>
      </c>
      <c r="F4843" s="4" t="n">
        <v>8750</v>
      </c>
    </row>
    <row r="4844">
      <c r="A4844" s="3" t="inlineStr">
        <is>
          <t>4</t>
        </is>
      </c>
      <c r="B4844" s="3" t="inlineStr">
        <is>
          <t>Mandor</t>
        </is>
      </c>
      <c r="C4844" s="3" t="inlineStr">
        <is>
          <t>OH</t>
        </is>
      </c>
      <c r="D4844" s="15" t="n">
        <v>0.0167</v>
      </c>
      <c r="E4844" s="4" t="n">
        <v>200000</v>
      </c>
      <c r="F4844" s="4" t="n">
        <v>3340</v>
      </c>
    </row>
    <row r="4845">
      <c r="A4845" s="3" t="inlineStr">
        <is>
          <t>1</t>
        </is>
      </c>
      <c r="B4845" s="3" t="inlineStr">
        <is>
          <t>Bak cuci teraso</t>
        </is>
      </c>
      <c r="C4845" s="3" t="inlineStr">
        <is>
          <t>unit</t>
        </is>
      </c>
      <c r="D4845" s="15" t="n">
        <v>1</v>
      </c>
      <c r="E4845" s="4" t="n">
        <v>600000</v>
      </c>
      <c r="F4845" s="4" t="n">
        <v>600000</v>
      </c>
    </row>
    <row r="4846">
      <c r="A4846" s="3" t="inlineStr">
        <is>
          <t>2</t>
        </is>
      </c>
      <c r="B4846" s="3" t="inlineStr">
        <is>
          <t>Water Drain</t>
        </is>
      </c>
      <c r="C4846" s="3" t="inlineStr">
        <is>
          <t>buah</t>
        </is>
      </c>
      <c r="D4846" s="15" t="n">
        <v>1</v>
      </c>
      <c r="E4846" s="4" t="n">
        <v>321900</v>
      </c>
      <c r="F4846" s="4" t="n">
        <v>321900</v>
      </c>
    </row>
    <row r="4847">
      <c r="A4847" s="3" t="inlineStr">
        <is>
          <t>3</t>
        </is>
      </c>
      <c r="B4847" s="3" t="inlineStr">
        <is>
          <t>Semen Portland (PC)</t>
        </is>
      </c>
      <c r="C4847" s="3" t="inlineStr">
        <is>
          <t>kg</t>
        </is>
      </c>
      <c r="D4847" s="15" t="n">
        <v>20</v>
      </c>
      <c r="E4847" s="4" t="n">
        <v>1300</v>
      </c>
      <c r="F4847" s="4" t="n">
        <v>26000</v>
      </c>
    </row>
    <row r="4848">
      <c r="A4848" s="3" t="inlineStr">
        <is>
          <t>4</t>
        </is>
      </c>
      <c r="B4848" s="3" t="inlineStr">
        <is>
          <t>Pasir Pasang</t>
        </is>
      </c>
      <c r="C4848" s="3" t="inlineStr">
        <is>
          <t>m3</t>
        </is>
      </c>
      <c r="D4848" s="15" t="n">
        <v>0.05</v>
      </c>
      <c r="E4848" s="4" t="n">
        <v>200000</v>
      </c>
      <c r="F4848" s="4" t="n">
        <v>10000</v>
      </c>
    </row>
    <row r="4849">
      <c r="D4849" s="2" t="inlineStr">
        <is>
          <t>SUBTOTAL UPAH</t>
        </is>
      </c>
      <c r="F4849" s="16" t="n">
        <v>89590</v>
      </c>
    </row>
    <row r="4850">
      <c r="D4850" s="2" t="inlineStr">
        <is>
          <t>SUBTOTAL BAHAN</t>
        </is>
      </c>
      <c r="F4850" s="16" t="n">
        <v>957900</v>
      </c>
    </row>
    <row r="4851">
      <c r="D4851" s="2" t="inlineStr">
        <is>
          <t>SUBTOTAL ALAT</t>
        </is>
      </c>
      <c r="F4851" s="16" t="n">
        <v>0</v>
      </c>
    </row>
    <row r="4852">
      <c r="E4852" s="2" t="inlineStr">
        <is>
          <t>TOTAL HARGA SATUAN (Inc. Overhead)</t>
        </is>
      </c>
      <c r="F4852" s="17" t="n">
        <v>1152239</v>
      </c>
    </row>
    <row r="4854">
      <c r="A4854" s="14" t="inlineStr">
        <is>
          <t>KODE: 3.18.3.1 - Pemasangan 1 buah closet duduk/monoblock</t>
        </is>
      </c>
    </row>
    <row r="4855">
      <c r="A4855" s="10" t="inlineStr">
        <is>
          <t>No</t>
        </is>
      </c>
      <c r="B4855" s="10" t="inlineStr">
        <is>
          <t>Uraian Komponen</t>
        </is>
      </c>
      <c r="C4855" s="10" t="inlineStr">
        <is>
          <t>Satuan</t>
        </is>
      </c>
      <c r="D4855" s="10" t="inlineStr">
        <is>
          <t>Koef</t>
        </is>
      </c>
      <c r="E4855" s="10" t="inlineStr">
        <is>
          <t>Harga Satuan (Rp)</t>
        </is>
      </c>
      <c r="F4855" s="10" t="inlineStr">
        <is>
          <t>Jumlah Harga (Rp)</t>
        </is>
      </c>
    </row>
    <row r="4856">
      <c r="A4856" s="3" t="inlineStr">
        <is>
          <t>1</t>
        </is>
      </c>
      <c r="B4856" s="3" t="inlineStr">
        <is>
          <t>Pekerja</t>
        </is>
      </c>
      <c r="C4856" s="3" t="inlineStr">
        <is>
          <t>OH</t>
        </is>
      </c>
      <c r="D4856" s="15" t="n">
        <v>0.5</v>
      </c>
      <c r="E4856" s="4" t="n">
        <v>100000</v>
      </c>
      <c r="F4856" s="4" t="n">
        <v>50000</v>
      </c>
    </row>
    <row r="4857">
      <c r="A4857" s="3" t="inlineStr">
        <is>
          <t>2</t>
        </is>
      </c>
      <c r="B4857" s="3" t="inlineStr">
        <is>
          <t>Tukang batu</t>
        </is>
      </c>
      <c r="C4857" s="3" t="inlineStr">
        <is>
          <t>OH</t>
        </is>
      </c>
      <c r="D4857" s="15" t="n">
        <v>1.2</v>
      </c>
      <c r="E4857" s="4" t="n">
        <v>145000</v>
      </c>
      <c r="F4857" s="4" t="n">
        <v>174000</v>
      </c>
    </row>
    <row r="4858">
      <c r="A4858" s="3" t="inlineStr">
        <is>
          <t>3</t>
        </is>
      </c>
      <c r="B4858" s="3" t="inlineStr">
        <is>
          <t>Kepala tukang</t>
        </is>
      </c>
      <c r="C4858" s="3" t="inlineStr">
        <is>
          <t>OH</t>
        </is>
      </c>
      <c r="D4858" s="15" t="n">
        <v>0.12</v>
      </c>
      <c r="E4858" s="4" t="n">
        <v>175000</v>
      </c>
      <c r="F4858" s="4" t="n">
        <v>21000</v>
      </c>
    </row>
    <row r="4859">
      <c r="A4859" s="3" t="inlineStr">
        <is>
          <t>4</t>
        </is>
      </c>
      <c r="B4859" s="3" t="inlineStr">
        <is>
          <t>Mandor</t>
        </is>
      </c>
      <c r="C4859" s="3" t="inlineStr">
        <is>
          <t>OH</t>
        </is>
      </c>
      <c r="D4859" s="15" t="n">
        <v>0.04</v>
      </c>
      <c r="E4859" s="4" t="n">
        <v>200000</v>
      </c>
      <c r="F4859" s="4" t="n">
        <v>8000</v>
      </c>
    </row>
    <row r="4860">
      <c r="A4860" s="3" t="inlineStr">
        <is>
          <t>1</t>
        </is>
      </c>
      <c r="B4860" s="3" t="inlineStr">
        <is>
          <t>Kloset duduk/monoblok</t>
        </is>
      </c>
      <c r="C4860" s="3" t="inlineStr">
        <is>
          <t>buah</t>
        </is>
      </c>
      <c r="D4860" s="15" t="n">
        <v>1</v>
      </c>
      <c r="E4860" s="4" t="n">
        <v>1490000</v>
      </c>
      <c r="F4860" s="4" t="n">
        <v>1490000</v>
      </c>
    </row>
    <row r="4861">
      <c r="A4861" s="3" t="inlineStr">
        <is>
          <t>2</t>
        </is>
      </c>
      <c r="B4861" s="3" t="inlineStr">
        <is>
          <t>Flexible hose</t>
        </is>
      </c>
      <c r="C4861" s="3" t="inlineStr">
        <is>
          <t>buah</t>
        </is>
      </c>
      <c r="D4861" s="15" t="n">
        <v>1</v>
      </c>
      <c r="E4861" s="4" t="n">
        <v>55000</v>
      </c>
      <c r="F4861" s="4" t="n">
        <v>89400</v>
      </c>
    </row>
    <row r="4862">
      <c r="D4862" s="2" t="inlineStr">
        <is>
          <t>SUBTOTAL UPAH</t>
        </is>
      </c>
      <c r="F4862" s="16" t="n">
        <v>253000</v>
      </c>
    </row>
    <row r="4863">
      <c r="D4863" s="2" t="inlineStr">
        <is>
          <t>SUBTOTAL BAHAN</t>
        </is>
      </c>
      <c r="F4863" s="16" t="n">
        <v>1579400</v>
      </c>
    </row>
    <row r="4864">
      <c r="D4864" s="2" t="inlineStr">
        <is>
          <t>SUBTOTAL ALAT</t>
        </is>
      </c>
      <c r="F4864" s="16" t="n">
        <v>0</v>
      </c>
    </row>
    <row r="4865">
      <c r="E4865" s="2" t="inlineStr">
        <is>
          <t>TOTAL HARGA SATUAN (Inc. Overhead)</t>
        </is>
      </c>
      <c r="F4865" s="17" t="n">
        <v>2015640</v>
      </c>
    </row>
    <row r="4867">
      <c r="A4867" s="14" t="inlineStr">
        <is>
          <t>KODE: 3.18.3.2 - Pemasangan 1 buah closet jongkok</t>
        </is>
      </c>
    </row>
    <row r="4868">
      <c r="A4868" s="10" t="inlineStr">
        <is>
          <t>No</t>
        </is>
      </c>
      <c r="B4868" s="10" t="inlineStr">
        <is>
          <t>Uraian Komponen</t>
        </is>
      </c>
      <c r="C4868" s="10" t="inlineStr">
        <is>
          <t>Satuan</t>
        </is>
      </c>
      <c r="D4868" s="10" t="inlineStr">
        <is>
          <t>Koef</t>
        </is>
      </c>
      <c r="E4868" s="10" t="inlineStr">
        <is>
          <t>Harga Satuan (Rp)</t>
        </is>
      </c>
      <c r="F4868" s="10" t="inlineStr">
        <is>
          <t>Jumlah Harga (Rp)</t>
        </is>
      </c>
    </row>
    <row r="4869">
      <c r="A4869" s="3" t="inlineStr">
        <is>
          <t>1</t>
        </is>
      </c>
      <c r="B4869" s="3" t="inlineStr">
        <is>
          <t>Pekerja</t>
        </is>
      </c>
      <c r="C4869" s="3" t="inlineStr">
        <is>
          <t>OH</t>
        </is>
      </c>
      <c r="D4869" s="15" t="n">
        <v>0.5</v>
      </c>
      <c r="E4869" s="4" t="n">
        <v>100000</v>
      </c>
      <c r="F4869" s="4" t="n">
        <v>50000</v>
      </c>
    </row>
    <row r="4870">
      <c r="A4870" s="3" t="inlineStr">
        <is>
          <t>2</t>
        </is>
      </c>
      <c r="B4870" s="3" t="inlineStr">
        <is>
          <t>Tukang batu</t>
        </is>
      </c>
      <c r="C4870" s="3" t="inlineStr">
        <is>
          <t>OH</t>
        </is>
      </c>
      <c r="D4870" s="15" t="n">
        <v>0.5</v>
      </c>
      <c r="E4870" s="4" t="n">
        <v>145000</v>
      </c>
      <c r="F4870" s="4" t="n">
        <v>72500</v>
      </c>
    </row>
    <row r="4871">
      <c r="A4871" s="3" t="inlineStr">
        <is>
          <t>3</t>
        </is>
      </c>
      <c r="B4871" s="3" t="inlineStr">
        <is>
          <t>Kepala tukang</t>
        </is>
      </c>
      <c r="C4871" s="3" t="inlineStr">
        <is>
          <t>OH</t>
        </is>
      </c>
      <c r="D4871" s="15" t="n">
        <v>0.05</v>
      </c>
      <c r="E4871" s="4" t="n">
        <v>175000</v>
      </c>
      <c r="F4871" s="4" t="n">
        <v>8750</v>
      </c>
    </row>
    <row r="4872">
      <c r="A4872" s="3" t="inlineStr">
        <is>
          <t>4</t>
        </is>
      </c>
      <c r="B4872" s="3" t="inlineStr">
        <is>
          <t>Mandor</t>
        </is>
      </c>
      <c r="C4872" s="3" t="inlineStr">
        <is>
          <t>OH</t>
        </is>
      </c>
      <c r="D4872" s="15" t="n">
        <v>0.0167</v>
      </c>
      <c r="E4872" s="4" t="n">
        <v>200000</v>
      </c>
      <c r="F4872" s="4" t="n">
        <v>3340</v>
      </c>
    </row>
    <row r="4873">
      <c r="A4873" s="3" t="inlineStr">
        <is>
          <t>1</t>
        </is>
      </c>
      <c r="B4873" s="3" t="inlineStr">
        <is>
          <t>Kloset jongkok</t>
        </is>
      </c>
      <c r="C4873" s="3" t="inlineStr">
        <is>
          <t>buah</t>
        </is>
      </c>
      <c r="D4873" s="15" t="n">
        <v>1</v>
      </c>
      <c r="E4873" s="4" t="n">
        <v>250000</v>
      </c>
      <c r="F4873" s="4" t="n">
        <v>250000</v>
      </c>
    </row>
    <row r="4874">
      <c r="A4874" s="3" t="inlineStr">
        <is>
          <t>2</t>
        </is>
      </c>
      <c r="B4874" s="3" t="inlineStr">
        <is>
          <t>Pasangan bata 1:3</t>
        </is>
      </c>
      <c r="C4874" s="3" t="inlineStr">
        <is>
          <t>m2</t>
        </is>
      </c>
      <c r="D4874" s="15" t="n">
        <v>0.036</v>
      </c>
      <c r="E4874" s="4" t="n">
        <v>128620</v>
      </c>
      <c r="F4874" s="4" t="n">
        <v>4630.32</v>
      </c>
    </row>
    <row r="4875">
      <c r="D4875" s="2" t="inlineStr">
        <is>
          <t>SUBTOTAL UPAH</t>
        </is>
      </c>
      <c r="F4875" s="16" t="n">
        <v>134590</v>
      </c>
    </row>
    <row r="4876">
      <c r="D4876" s="2" t="inlineStr">
        <is>
          <t>SUBTOTAL BAHAN</t>
        </is>
      </c>
      <c r="F4876" s="16" t="n">
        <v>254630.32</v>
      </c>
    </row>
    <row r="4877">
      <c r="D4877" s="2" t="inlineStr">
        <is>
          <t>SUBTOTAL ALAT</t>
        </is>
      </c>
      <c r="F4877" s="16" t="n">
        <v>0</v>
      </c>
    </row>
    <row r="4878">
      <c r="E4878" s="2" t="inlineStr">
        <is>
          <t>TOTAL HARGA SATUAN (Inc. Overhead)</t>
        </is>
      </c>
      <c r="F4878" s="17" t="n">
        <v>428142</v>
      </c>
    </row>
    <row r="4880">
      <c r="A4880" s="14" t="inlineStr">
        <is>
          <t>KODE: 3.18.3.3 - Pemasangan 1 m2 kubikel toilet</t>
        </is>
      </c>
    </row>
    <row r="4881">
      <c r="A4881" s="10" t="inlineStr">
        <is>
          <t>No</t>
        </is>
      </c>
      <c r="B4881" s="10" t="inlineStr">
        <is>
          <t>Uraian Komponen</t>
        </is>
      </c>
      <c r="C4881" s="10" t="inlineStr">
        <is>
          <t>Satuan</t>
        </is>
      </c>
      <c r="D4881" s="10" t="inlineStr">
        <is>
          <t>Koef</t>
        </is>
      </c>
      <c r="E4881" s="10" t="inlineStr">
        <is>
          <t>Harga Satuan (Rp)</t>
        </is>
      </c>
      <c r="F4881" s="10" t="inlineStr">
        <is>
          <t>Jumlah Harga (Rp)</t>
        </is>
      </c>
    </row>
    <row r="4882">
      <c r="A4882" s="3" t="inlineStr">
        <is>
          <t>1</t>
        </is>
      </c>
      <c r="B4882" s="3" t="inlineStr">
        <is>
          <t>Pekerja</t>
        </is>
      </c>
      <c r="C4882" s="3" t="inlineStr">
        <is>
          <t>OH</t>
        </is>
      </c>
      <c r="D4882" s="15" t="n">
        <v>0.1</v>
      </c>
      <c r="E4882" s="4" t="n">
        <v>100000</v>
      </c>
      <c r="F4882" s="4" t="n">
        <v>10000</v>
      </c>
    </row>
    <row r="4883">
      <c r="A4883" s="3" t="inlineStr">
        <is>
          <t>2</t>
        </is>
      </c>
      <c r="B4883" s="3" t="inlineStr">
        <is>
          <t>Tukang batu</t>
        </is>
      </c>
      <c r="C4883" s="3" t="inlineStr">
        <is>
          <t>OH</t>
        </is>
      </c>
      <c r="D4883" s="15" t="n">
        <v>0.05</v>
      </c>
      <c r="E4883" s="4" t="n">
        <v>145000</v>
      </c>
      <c r="F4883" s="4" t="n">
        <v>7250</v>
      </c>
    </row>
    <row r="4884">
      <c r="A4884" s="3" t="inlineStr">
        <is>
          <t>3</t>
        </is>
      </c>
      <c r="B4884" s="3" t="inlineStr">
        <is>
          <t>Kepala tukang</t>
        </is>
      </c>
      <c r="C4884" s="3" t="inlineStr">
        <is>
          <t>OH</t>
        </is>
      </c>
      <c r="D4884" s="15" t="n">
        <v>0.005</v>
      </c>
      <c r="E4884" s="4" t="n">
        <v>175000</v>
      </c>
      <c r="F4884" s="4" t="n">
        <v>875</v>
      </c>
    </row>
    <row r="4885">
      <c r="A4885" s="3" t="inlineStr">
        <is>
          <t>4</t>
        </is>
      </c>
      <c r="B4885" s="3" t="inlineStr">
        <is>
          <t>Mandor</t>
        </is>
      </c>
      <c r="C4885" s="3" t="inlineStr">
        <is>
          <t>OH</t>
        </is>
      </c>
      <c r="D4885" s="15" t="n">
        <v>0.0017</v>
      </c>
      <c r="E4885" s="4" t="n">
        <v>200000</v>
      </c>
      <c r="F4885" s="4" t="n">
        <v>340</v>
      </c>
    </row>
    <row r="4886">
      <c r="A4886" s="3" t="inlineStr">
        <is>
          <t>1</t>
        </is>
      </c>
      <c r="B4886" s="3" t="inlineStr">
        <is>
          <t>Sekat kubikel</t>
        </is>
      </c>
      <c r="C4886" s="3" t="inlineStr">
        <is>
          <t>m2</t>
        </is>
      </c>
      <c r="D4886" s="15" t="n">
        <v>1.05</v>
      </c>
      <c r="E4886" s="4" t="n">
        <v>1200000</v>
      </c>
      <c r="F4886" s="4" t="n">
        <v>1260000</v>
      </c>
    </row>
    <row r="4887">
      <c r="A4887" s="3" t="inlineStr">
        <is>
          <t>2</t>
        </is>
      </c>
      <c r="B4887" s="3" t="inlineStr">
        <is>
          <t>Pintu kubikel</t>
        </is>
      </c>
      <c r="C4887" s="3" t="inlineStr">
        <is>
          <t>set</t>
        </is>
      </c>
      <c r="D4887" s="15" t="n">
        <v>0.794</v>
      </c>
      <c r="E4887" s="4" t="n">
        <v>1000000</v>
      </c>
      <c r="F4887" s="4" t="n">
        <v>794000</v>
      </c>
    </row>
    <row r="4888">
      <c r="D4888" s="2" t="inlineStr">
        <is>
          <t>SUBTOTAL UPAH</t>
        </is>
      </c>
      <c r="F4888" s="16" t="n">
        <v>18465</v>
      </c>
    </row>
    <row r="4889">
      <c r="D4889" s="2" t="inlineStr">
        <is>
          <t>SUBTOTAL BAHAN</t>
        </is>
      </c>
      <c r="F4889" s="16" t="n">
        <v>2054000</v>
      </c>
    </row>
    <row r="4890">
      <c r="D4890" s="2" t="inlineStr">
        <is>
          <t>SUBTOTAL ALAT</t>
        </is>
      </c>
      <c r="F4890" s="16" t="n">
        <v>0</v>
      </c>
    </row>
    <row r="4891">
      <c r="E4891" s="2" t="inlineStr">
        <is>
          <t>TOTAL HARGA SATUAN (Inc. Overhead)</t>
        </is>
      </c>
      <c r="F4891" s="17" t="n">
        <v>2279711</v>
      </c>
    </row>
    <row r="4893">
      <c r="A4893" s="14" t="inlineStr">
        <is>
          <t>KODE: 3.18.4.1 - Pemasangan 1 buah urinoir</t>
        </is>
      </c>
    </row>
    <row r="4894">
      <c r="A4894" s="10" t="inlineStr">
        <is>
          <t>No</t>
        </is>
      </c>
      <c r="B4894" s="10" t="inlineStr">
        <is>
          <t>Uraian Komponen</t>
        </is>
      </c>
      <c r="C4894" s="10" t="inlineStr">
        <is>
          <t>Satuan</t>
        </is>
      </c>
      <c r="D4894" s="10" t="inlineStr">
        <is>
          <t>Koef</t>
        </is>
      </c>
      <c r="E4894" s="10" t="inlineStr">
        <is>
          <t>Harga Satuan (Rp)</t>
        </is>
      </c>
      <c r="F4894" s="10" t="inlineStr">
        <is>
          <t>Jumlah Harga (Rp)</t>
        </is>
      </c>
    </row>
    <row r="4895">
      <c r="A4895" s="3" t="inlineStr">
        <is>
          <t>1</t>
        </is>
      </c>
      <c r="B4895" s="3" t="inlineStr">
        <is>
          <t>Pekerja</t>
        </is>
      </c>
      <c r="C4895" s="3" t="inlineStr">
        <is>
          <t>OH</t>
        </is>
      </c>
      <c r="D4895" s="15" t="n">
        <v>1</v>
      </c>
      <c r="E4895" s="4" t="n">
        <v>100000</v>
      </c>
      <c r="F4895" s="4" t="n">
        <v>100000</v>
      </c>
    </row>
    <row r="4896">
      <c r="A4896" s="3" t="inlineStr">
        <is>
          <t>2</t>
        </is>
      </c>
      <c r="B4896" s="3" t="inlineStr">
        <is>
          <t>Tukang batu</t>
        </is>
      </c>
      <c r="C4896" s="3" t="inlineStr">
        <is>
          <t>OH</t>
        </is>
      </c>
      <c r="D4896" s="15" t="n">
        <v>1</v>
      </c>
      <c r="E4896" s="4" t="n">
        <v>145000</v>
      </c>
      <c r="F4896" s="4" t="n">
        <v>145000</v>
      </c>
    </row>
    <row r="4897">
      <c r="A4897" s="3" t="inlineStr">
        <is>
          <t>3</t>
        </is>
      </c>
      <c r="B4897" s="3" t="inlineStr">
        <is>
          <t>Kepala tukang</t>
        </is>
      </c>
      <c r="C4897" s="3" t="inlineStr">
        <is>
          <t>OH</t>
        </is>
      </c>
      <c r="D4897" s="15" t="n">
        <v>0.1</v>
      </c>
      <c r="E4897" s="4" t="n">
        <v>175000</v>
      </c>
      <c r="F4897" s="4" t="n">
        <v>17500</v>
      </c>
    </row>
    <row r="4898">
      <c r="A4898" s="3" t="inlineStr">
        <is>
          <t>4</t>
        </is>
      </c>
      <c r="B4898" s="3" t="inlineStr">
        <is>
          <t>Mandor</t>
        </is>
      </c>
      <c r="C4898" s="3" t="inlineStr">
        <is>
          <t>OH</t>
        </is>
      </c>
      <c r="D4898" s="15" t="n">
        <v>0.0333</v>
      </c>
      <c r="E4898" s="4" t="n">
        <v>200000</v>
      </c>
      <c r="F4898" s="4" t="n">
        <v>6660.000000000001</v>
      </c>
    </row>
    <row r="4899">
      <c r="A4899" s="3" t="inlineStr">
        <is>
          <t>1</t>
        </is>
      </c>
      <c r="B4899" s="3" t="inlineStr">
        <is>
          <t>Urinoir</t>
        </is>
      </c>
      <c r="C4899" s="3" t="inlineStr">
        <is>
          <t>buah</t>
        </is>
      </c>
      <c r="D4899" s="15" t="n">
        <v>1</v>
      </c>
      <c r="E4899" s="4" t="n">
        <v>456800</v>
      </c>
      <c r="F4899" s="4" t="n">
        <v>456800</v>
      </c>
    </row>
    <row r="4900">
      <c r="A4900" s="3" t="inlineStr">
        <is>
          <t>2</t>
        </is>
      </c>
      <c r="B4900" s="3" t="inlineStr">
        <is>
          <t>Semen portland (PC)</t>
        </is>
      </c>
      <c r="C4900" s="3" t="inlineStr">
        <is>
          <t>kg</t>
        </is>
      </c>
      <c r="D4900" s="15" t="n">
        <v>6</v>
      </c>
      <c r="E4900" s="4" t="n">
        <v>1300</v>
      </c>
      <c r="F4900" s="4" t="n">
        <v>7800</v>
      </c>
    </row>
    <row r="4901">
      <c r="A4901" s="3" t="inlineStr">
        <is>
          <t>3</t>
        </is>
      </c>
      <c r="B4901" s="3" t="inlineStr">
        <is>
          <t>Pasir pasang (quarry - lokasi pekerjaan)</t>
        </is>
      </c>
      <c r="C4901" s="3" t="inlineStr">
        <is>
          <t>m3</t>
        </is>
      </c>
      <c r="D4901" s="15" t="n">
        <v>0.01</v>
      </c>
      <c r="E4901" s="4" t="n">
        <v>275000</v>
      </c>
      <c r="F4901" s="4" t="n">
        <v>2750</v>
      </c>
    </row>
    <row r="4902">
      <c r="D4902" s="2" t="inlineStr">
        <is>
          <t>SUBTOTAL UPAH</t>
        </is>
      </c>
      <c r="F4902" s="16" t="n">
        <v>269160</v>
      </c>
    </row>
    <row r="4903">
      <c r="D4903" s="2" t="inlineStr">
        <is>
          <t>SUBTOTAL BAHAN</t>
        </is>
      </c>
      <c r="F4903" s="16" t="n">
        <v>467350</v>
      </c>
    </row>
    <row r="4904">
      <c r="D4904" s="2" t="inlineStr">
        <is>
          <t>SUBTOTAL ALAT</t>
        </is>
      </c>
      <c r="F4904" s="16" t="n">
        <v>0</v>
      </c>
    </row>
    <row r="4905">
      <c r="E4905" s="2" t="inlineStr">
        <is>
          <t>TOTAL HARGA SATUAN (Inc. Overhead)</t>
        </is>
      </c>
      <c r="F4905" s="17" t="n">
        <v>810161</v>
      </c>
    </row>
    <row r="4907">
      <c r="A4907" s="14" t="inlineStr">
        <is>
          <t>KODE: 3.18.4.2 - Pemasangan 1 buah partisi urinoir</t>
        </is>
      </c>
    </row>
    <row r="4908">
      <c r="A4908" s="10" t="inlineStr">
        <is>
          <t>No</t>
        </is>
      </c>
      <c r="B4908" s="10" t="inlineStr">
        <is>
          <t>Uraian Komponen</t>
        </is>
      </c>
      <c r="C4908" s="10" t="inlineStr">
        <is>
          <t>Satuan</t>
        </is>
      </c>
      <c r="D4908" s="10" t="inlineStr">
        <is>
          <t>Koef</t>
        </is>
      </c>
      <c r="E4908" s="10" t="inlineStr">
        <is>
          <t>Harga Satuan (Rp)</t>
        </is>
      </c>
      <c r="F4908" s="10" t="inlineStr">
        <is>
          <t>Jumlah Harga (Rp)</t>
        </is>
      </c>
    </row>
    <row r="4909">
      <c r="A4909" s="3" t="inlineStr">
        <is>
          <t>1</t>
        </is>
      </c>
      <c r="B4909" s="3" t="inlineStr">
        <is>
          <t>Pekerja</t>
        </is>
      </c>
      <c r="C4909" s="3" t="inlineStr">
        <is>
          <t>OH</t>
        </is>
      </c>
      <c r="D4909" s="15" t="n">
        <v>0.5</v>
      </c>
      <c r="E4909" s="4" t="n">
        <v>100000</v>
      </c>
      <c r="F4909" s="4" t="n">
        <v>50000</v>
      </c>
    </row>
    <row r="4910">
      <c r="A4910" s="3" t="inlineStr">
        <is>
          <t>2</t>
        </is>
      </c>
      <c r="B4910" s="3" t="inlineStr">
        <is>
          <t>Tukang batu</t>
        </is>
      </c>
      <c r="C4910" s="3" t="inlineStr">
        <is>
          <t>OH</t>
        </is>
      </c>
      <c r="D4910" s="15" t="n">
        <v>1</v>
      </c>
      <c r="E4910" s="4" t="n">
        <v>145000</v>
      </c>
      <c r="F4910" s="4" t="n">
        <v>145000</v>
      </c>
    </row>
    <row r="4911">
      <c r="A4911" s="3" t="inlineStr">
        <is>
          <t>3</t>
        </is>
      </c>
      <c r="B4911" s="3" t="inlineStr">
        <is>
          <t>Kepala tukang</t>
        </is>
      </c>
      <c r="C4911" s="3" t="inlineStr">
        <is>
          <t>OH</t>
        </is>
      </c>
      <c r="D4911" s="15" t="n">
        <v>0.1</v>
      </c>
      <c r="E4911" s="4" t="n">
        <v>175000</v>
      </c>
      <c r="F4911" s="4" t="n">
        <v>17500</v>
      </c>
    </row>
    <row r="4912">
      <c r="A4912" s="3" t="inlineStr">
        <is>
          <t>4</t>
        </is>
      </c>
      <c r="B4912" s="3" t="inlineStr">
        <is>
          <t>Mandor</t>
        </is>
      </c>
      <c r="C4912" s="3" t="inlineStr">
        <is>
          <t>OH</t>
        </is>
      </c>
      <c r="D4912" s="15" t="n">
        <v>0.0333</v>
      </c>
      <c r="E4912" s="4" t="n">
        <v>200000</v>
      </c>
      <c r="F4912" s="4" t="n">
        <v>6660.000000000001</v>
      </c>
    </row>
    <row r="4913">
      <c r="A4913" s="3" t="inlineStr">
        <is>
          <t>1</t>
        </is>
      </c>
      <c r="B4913" s="3" t="inlineStr">
        <is>
          <t>Partisi urinoir</t>
        </is>
      </c>
      <c r="C4913" s="3" t="inlineStr">
        <is>
          <t>buah</t>
        </is>
      </c>
      <c r="D4913" s="15" t="n">
        <v>1</v>
      </c>
      <c r="E4913" s="4" t="n">
        <v>700000</v>
      </c>
      <c r="F4913" s="4" t="n">
        <v>700000</v>
      </c>
    </row>
    <row r="4914">
      <c r="A4914" s="3" t="inlineStr">
        <is>
          <t>2</t>
        </is>
      </c>
      <c r="B4914" s="3" t="inlineStr">
        <is>
          <t>Sealtape</t>
        </is>
      </c>
      <c r="C4914" s="3" t="inlineStr">
        <is>
          <t>buah</t>
        </is>
      </c>
      <c r="D4914" s="15" t="n">
        <v>0.025</v>
      </c>
      <c r="E4914" s="4" t="n">
        <v>5700</v>
      </c>
      <c r="F4914" s="4" t="n">
        <v>142.5</v>
      </c>
    </row>
    <row r="4915">
      <c r="D4915" s="2" t="inlineStr">
        <is>
          <t>SUBTOTAL UPAH</t>
        </is>
      </c>
      <c r="F4915" s="16" t="n">
        <v>219160</v>
      </c>
    </row>
    <row r="4916">
      <c r="D4916" s="2" t="inlineStr">
        <is>
          <t>SUBTOTAL BAHAN</t>
        </is>
      </c>
      <c r="F4916" s="16" t="n">
        <v>700142.5</v>
      </c>
    </row>
    <row r="4917">
      <c r="D4917" s="2" t="inlineStr">
        <is>
          <t>SUBTOTAL ALAT</t>
        </is>
      </c>
      <c r="F4917" s="16" t="n">
        <v>0</v>
      </c>
    </row>
    <row r="4918">
      <c r="E4918" s="2" t="inlineStr">
        <is>
          <t>TOTAL HARGA SATUAN (Inc. Overhead)</t>
        </is>
      </c>
      <c r="F4918" s="17" t="n">
        <v>1011232</v>
      </c>
    </row>
    <row r="4920">
      <c r="A4920" s="14" t="inlineStr">
        <is>
          <t>KODE: 3.18.5.1 - Pemasangan 1 buah bak mandi teraso vol. 0,3 m3</t>
        </is>
      </c>
    </row>
    <row r="4921">
      <c r="A4921" s="10" t="inlineStr">
        <is>
          <t>No</t>
        </is>
      </c>
      <c r="B4921" s="10" t="inlineStr">
        <is>
          <t>Uraian Komponen</t>
        </is>
      </c>
      <c r="C4921" s="10" t="inlineStr">
        <is>
          <t>Satuan</t>
        </is>
      </c>
      <c r="D4921" s="10" t="inlineStr">
        <is>
          <t>Koef</t>
        </is>
      </c>
      <c r="E4921" s="10" t="inlineStr">
        <is>
          <t>Harga Satuan (Rp)</t>
        </is>
      </c>
      <c r="F4921" s="10" t="inlineStr">
        <is>
          <t>Jumlah Harga (Rp)</t>
        </is>
      </c>
    </row>
    <row r="4922">
      <c r="A4922" s="3" t="inlineStr">
        <is>
          <t>1</t>
        </is>
      </c>
      <c r="B4922" s="3" t="inlineStr">
        <is>
          <t>Pekerja</t>
        </is>
      </c>
      <c r="C4922" s="3" t="inlineStr">
        <is>
          <t>OH</t>
        </is>
      </c>
      <c r="D4922" s="15" t="n">
        <v>3</v>
      </c>
      <c r="E4922" s="4" t="n">
        <v>100000</v>
      </c>
      <c r="F4922" s="4" t="n">
        <v>300000</v>
      </c>
    </row>
    <row r="4923">
      <c r="A4923" s="3" t="inlineStr">
        <is>
          <t>2</t>
        </is>
      </c>
      <c r="B4923" s="3" t="inlineStr">
        <is>
          <t>Tukang batu</t>
        </is>
      </c>
      <c r="C4923" s="3" t="inlineStr">
        <is>
          <t>OH</t>
        </is>
      </c>
      <c r="D4923" s="15" t="n">
        <v>4.5</v>
      </c>
      <c r="E4923" s="4" t="n">
        <v>145000</v>
      </c>
      <c r="F4923" s="4" t="n">
        <v>652500</v>
      </c>
    </row>
    <row r="4924">
      <c r="A4924" s="3" t="inlineStr">
        <is>
          <t>3</t>
        </is>
      </c>
      <c r="B4924" s="3" t="inlineStr">
        <is>
          <t>Kepala tukang</t>
        </is>
      </c>
      <c r="C4924" s="3" t="inlineStr">
        <is>
          <t>OH</t>
        </is>
      </c>
      <c r="D4924" s="15" t="n">
        <v>0.45</v>
      </c>
      <c r="E4924" s="4" t="n">
        <v>175000</v>
      </c>
      <c r="F4924" s="4" t="n">
        <v>78750</v>
      </c>
    </row>
    <row r="4925">
      <c r="A4925" s="3" t="inlineStr">
        <is>
          <t>4</t>
        </is>
      </c>
      <c r="B4925" s="3" t="inlineStr">
        <is>
          <t>Mandor</t>
        </is>
      </c>
      <c r="C4925" s="3" t="inlineStr">
        <is>
          <t>OH</t>
        </is>
      </c>
      <c r="D4925" s="15" t="n">
        <v>0.15</v>
      </c>
      <c r="E4925" s="4" t="n">
        <v>200000</v>
      </c>
      <c r="F4925" s="4" t="n">
        <v>30000</v>
      </c>
    </row>
    <row r="4926">
      <c r="A4926" s="3" t="inlineStr">
        <is>
          <t>1</t>
        </is>
      </c>
      <c r="B4926" s="3" t="inlineStr">
        <is>
          <t>Bak teraso</t>
        </is>
      </c>
      <c r="C4926" s="3" t="inlineStr">
        <is>
          <t>unit</t>
        </is>
      </c>
      <c r="D4926" s="15" t="n">
        <v>1</v>
      </c>
      <c r="E4926" s="4" t="n">
        <v>450000</v>
      </c>
      <c r="F4926" s="4" t="n">
        <v>450000</v>
      </c>
    </row>
    <row r="4927">
      <c r="A4927" s="3" t="inlineStr">
        <is>
          <t>2</t>
        </is>
      </c>
      <c r="B4927" s="3" t="inlineStr">
        <is>
          <t>Flexible hose</t>
        </is>
      </c>
      <c r="C4927" s="3" t="inlineStr">
        <is>
          <t>unit</t>
        </is>
      </c>
      <c r="D4927" s="15" t="n">
        <v>1</v>
      </c>
      <c r="E4927" s="4" t="n">
        <v>55000</v>
      </c>
      <c r="F4927" s="4" t="n">
        <v>55000</v>
      </c>
    </row>
    <row r="4928">
      <c r="D4928" s="2" t="inlineStr">
        <is>
          <t>SUBTOTAL UPAH</t>
        </is>
      </c>
      <c r="F4928" s="16" t="n">
        <v>1061250</v>
      </c>
    </row>
    <row r="4929">
      <c r="D4929" s="2" t="inlineStr">
        <is>
          <t>SUBTOTAL BAHAN</t>
        </is>
      </c>
      <c r="F4929" s="16" t="n">
        <v>505000</v>
      </c>
    </row>
    <row r="4930">
      <c r="D4930" s="2" t="inlineStr">
        <is>
          <t>SUBTOTAL ALAT</t>
        </is>
      </c>
      <c r="F4930" s="16" t="n">
        <v>0</v>
      </c>
    </row>
    <row r="4931">
      <c r="E4931" s="2" t="inlineStr">
        <is>
          <t>TOTAL HARGA SATUAN (Inc. Overhead)</t>
        </is>
      </c>
      <c r="F4931" s="17" t="n">
        <v>1722875</v>
      </c>
    </row>
    <row r="4933">
      <c r="A4933" s="14" t="inlineStr">
        <is>
          <t>KODE: 3.18.5.2 - Pemasangan 1 buah bak mandi pasangan bata vol. 0,3 m3</t>
        </is>
      </c>
    </row>
    <row r="4934">
      <c r="A4934" s="10" t="inlineStr">
        <is>
          <t>No</t>
        </is>
      </c>
      <c r="B4934" s="10" t="inlineStr">
        <is>
          <t>Uraian Komponen</t>
        </is>
      </c>
      <c r="C4934" s="10" t="inlineStr">
        <is>
          <t>Satuan</t>
        </is>
      </c>
      <c r="D4934" s="10" t="inlineStr">
        <is>
          <t>Koef</t>
        </is>
      </c>
      <c r="E4934" s="10" t="inlineStr">
        <is>
          <t>Harga Satuan (Rp)</t>
        </is>
      </c>
      <c r="F4934" s="10" t="inlineStr">
        <is>
          <t>Jumlah Harga (Rp)</t>
        </is>
      </c>
    </row>
    <row r="4935">
      <c r="A4935" s="3" t="inlineStr">
        <is>
          <t>1</t>
        </is>
      </c>
      <c r="B4935" s="3" t="inlineStr">
        <is>
          <t>Pekerja</t>
        </is>
      </c>
      <c r="C4935" s="3" t="inlineStr">
        <is>
          <t>OH</t>
        </is>
      </c>
      <c r="D4935" s="15" t="n">
        <v>6</v>
      </c>
      <c r="E4935" s="4" t="n">
        <v>100000</v>
      </c>
      <c r="F4935" s="4" t="n">
        <v>600000</v>
      </c>
    </row>
    <row r="4936">
      <c r="A4936" s="3" t="inlineStr">
        <is>
          <t>2</t>
        </is>
      </c>
      <c r="B4936" s="3" t="inlineStr">
        <is>
          <t>Tukang batu</t>
        </is>
      </c>
      <c r="C4936" s="3" t="inlineStr">
        <is>
          <t>OH</t>
        </is>
      </c>
      <c r="D4936" s="15" t="n">
        <v>3</v>
      </c>
      <c r="E4936" s="4" t="n">
        <v>145000</v>
      </c>
      <c r="F4936" s="4" t="n">
        <v>435000</v>
      </c>
    </row>
    <row r="4937">
      <c r="A4937" s="3" t="inlineStr">
        <is>
          <t>3</t>
        </is>
      </c>
      <c r="B4937" s="3" t="inlineStr">
        <is>
          <t>Kepala tukang</t>
        </is>
      </c>
      <c r="C4937" s="3" t="inlineStr">
        <is>
          <t>OH</t>
        </is>
      </c>
      <c r="D4937" s="15" t="n">
        <v>0.3</v>
      </c>
      <c r="E4937" s="4" t="n">
        <v>175000</v>
      </c>
      <c r="F4937" s="4" t="n">
        <v>52500</v>
      </c>
    </row>
    <row r="4938">
      <c r="A4938" s="3" t="inlineStr">
        <is>
          <t>4</t>
        </is>
      </c>
      <c r="B4938" s="3" t="inlineStr">
        <is>
          <t>Mandor</t>
        </is>
      </c>
      <c r="C4938" s="3" t="inlineStr">
        <is>
          <t>OH</t>
        </is>
      </c>
      <c r="D4938" s="15" t="n">
        <v>0.1</v>
      </c>
      <c r="E4938" s="4" t="n">
        <v>200000</v>
      </c>
      <c r="F4938" s="4" t="n">
        <v>20000</v>
      </c>
    </row>
    <row r="4939">
      <c r="A4939" s="3" t="inlineStr">
        <is>
          <t>1</t>
        </is>
      </c>
      <c r="B4939" s="3" t="inlineStr">
        <is>
          <t>Bata merah</t>
        </is>
      </c>
      <c r="C4939" s="3" t="inlineStr">
        <is>
          <t>buah</t>
        </is>
      </c>
      <c r="D4939" s="15" t="n">
        <v>150</v>
      </c>
      <c r="E4939" s="4" t="n">
        <v>700</v>
      </c>
      <c r="F4939" s="4" t="n">
        <v>105000</v>
      </c>
    </row>
    <row r="4940">
      <c r="A4940" s="3" t="inlineStr">
        <is>
          <t>2</t>
        </is>
      </c>
      <c r="B4940" s="3" t="inlineStr">
        <is>
          <t>Semen portland (pc)</t>
        </is>
      </c>
      <c r="C4940" s="3" t="inlineStr">
        <is>
          <t>kg</t>
        </is>
      </c>
      <c r="D4940" s="15" t="n">
        <v>120</v>
      </c>
      <c r="E4940" s="4" t="n">
        <v>1300</v>
      </c>
      <c r="F4940" s="4" t="n">
        <v>156000</v>
      </c>
    </row>
    <row r="4941">
      <c r="A4941" s="3" t="inlineStr">
        <is>
          <t>3</t>
        </is>
      </c>
      <c r="B4941" s="3" t="inlineStr">
        <is>
          <t>Pasir pasang (quarry - lokasi pekerjaan)</t>
        </is>
      </c>
      <c r="C4941" s="3" t="inlineStr">
        <is>
          <t>m3</t>
        </is>
      </c>
      <c r="D4941" s="15" t="n">
        <v>0.3</v>
      </c>
      <c r="E4941" s="4" t="n">
        <v>275000</v>
      </c>
      <c r="F4941" s="4" t="n">
        <v>82500</v>
      </c>
    </row>
    <row r="4942">
      <c r="A4942" s="3" t="inlineStr">
        <is>
          <t>4</t>
        </is>
      </c>
      <c r="B4942" s="3" t="inlineStr">
        <is>
          <t>Porselen 11x11 cm</t>
        </is>
      </c>
      <c r="C4942" s="3" t="inlineStr">
        <is>
          <t>buah</t>
        </is>
      </c>
      <c r="D4942" s="15" t="n">
        <v>360</v>
      </c>
      <c r="E4942" s="4" t="n">
        <v>1000</v>
      </c>
      <c r="F4942" s="4" t="n">
        <v>360000</v>
      </c>
    </row>
    <row r="4943">
      <c r="D4943" s="2" t="inlineStr">
        <is>
          <t>SUBTOTAL UPAH</t>
        </is>
      </c>
      <c r="F4943" s="16" t="n">
        <v>1107500</v>
      </c>
    </row>
    <row r="4944">
      <c r="D4944" s="2" t="inlineStr">
        <is>
          <t>SUBTOTAL BAHAN</t>
        </is>
      </c>
      <c r="F4944" s="16" t="n">
        <v>703500</v>
      </c>
    </row>
    <row r="4945">
      <c r="D4945" s="2" t="inlineStr">
        <is>
          <t>SUBTOTAL ALAT</t>
        </is>
      </c>
      <c r="F4945" s="16" t="n">
        <v>0</v>
      </c>
    </row>
    <row r="4946">
      <c r="E4946" s="2" t="inlineStr">
        <is>
          <t>TOTAL HARGA SATUAN (Inc. Overhead)</t>
        </is>
      </c>
      <c r="F4946" s="17" t="n">
        <v>1992100</v>
      </c>
    </row>
    <row r="4948">
      <c r="A4948" s="14" t="inlineStr">
        <is>
          <t>KODE: 3.18.5.3 - Pemasangan 1 buah bak fiberglass vol. 0,3 m3</t>
        </is>
      </c>
    </row>
    <row r="4949">
      <c r="A4949" s="10" t="inlineStr">
        <is>
          <t>No</t>
        </is>
      </c>
      <c r="B4949" s="10" t="inlineStr">
        <is>
          <t>Uraian Komponen</t>
        </is>
      </c>
      <c r="C4949" s="10" t="inlineStr">
        <is>
          <t>Satuan</t>
        </is>
      </c>
      <c r="D4949" s="10" t="inlineStr">
        <is>
          <t>Koef</t>
        </is>
      </c>
      <c r="E4949" s="10" t="inlineStr">
        <is>
          <t>Harga Satuan (Rp)</t>
        </is>
      </c>
      <c r="F4949" s="10" t="inlineStr">
        <is>
          <t>Jumlah Harga (Rp)</t>
        </is>
      </c>
    </row>
    <row r="4950">
      <c r="A4950" s="3" t="inlineStr">
        <is>
          <t>1</t>
        </is>
      </c>
      <c r="B4950" s="3" t="inlineStr">
        <is>
          <t>Pekerja</t>
        </is>
      </c>
      <c r="C4950" s="3" t="inlineStr">
        <is>
          <t>OH</t>
        </is>
      </c>
      <c r="D4950" s="15" t="n">
        <v>0.2857</v>
      </c>
      <c r="E4950" s="4" t="n">
        <v>100000</v>
      </c>
      <c r="F4950" s="4" t="n">
        <v>28570</v>
      </c>
    </row>
    <row r="4951">
      <c r="A4951" s="3" t="inlineStr">
        <is>
          <t>2</t>
        </is>
      </c>
      <c r="B4951" s="3" t="inlineStr">
        <is>
          <t>Tukang batu</t>
        </is>
      </c>
      <c r="C4951" s="3" t="inlineStr">
        <is>
          <t>OH</t>
        </is>
      </c>
      <c r="D4951" s="15" t="n">
        <v>0.1429</v>
      </c>
      <c r="E4951" s="4" t="n">
        <v>145000</v>
      </c>
      <c r="F4951" s="4" t="n">
        <v>20720.5</v>
      </c>
    </row>
    <row r="4952">
      <c r="A4952" s="3" t="inlineStr">
        <is>
          <t>3</t>
        </is>
      </c>
      <c r="B4952" s="3" t="inlineStr">
        <is>
          <t>Kepala tukang</t>
        </is>
      </c>
      <c r="C4952" s="3" t="inlineStr">
        <is>
          <t>OH</t>
        </is>
      </c>
      <c r="D4952" s="15" t="n">
        <v>0.05</v>
      </c>
      <c r="E4952" s="4" t="n">
        <v>175000</v>
      </c>
      <c r="F4952" s="4" t="n">
        <v>8750</v>
      </c>
    </row>
    <row r="4953">
      <c r="A4953" s="3" t="inlineStr">
        <is>
          <t>4</t>
        </is>
      </c>
      <c r="B4953" s="3" t="inlineStr">
        <is>
          <t>Mandor</t>
        </is>
      </c>
      <c r="C4953" s="3" t="inlineStr">
        <is>
          <t>OH</t>
        </is>
      </c>
      <c r="D4953" s="15" t="n">
        <v>0.9</v>
      </c>
      <c r="E4953" s="4" t="n">
        <v>200000</v>
      </c>
      <c r="F4953" s="4" t="n">
        <v>180000</v>
      </c>
    </row>
    <row r="4954">
      <c r="A4954" s="3" t="inlineStr">
        <is>
          <t>1</t>
        </is>
      </c>
      <c r="B4954" s="3" t="inlineStr">
        <is>
          <t>Bak fiberglass 70x70x66 cm</t>
        </is>
      </c>
      <c r="C4954" s="3" t="inlineStr">
        <is>
          <t>unit</t>
        </is>
      </c>
      <c r="D4954" s="15" t="n">
        <v>1</v>
      </c>
      <c r="E4954" s="4" t="n">
        <v>328400</v>
      </c>
      <c r="F4954" s="4" t="n">
        <v>328400</v>
      </c>
    </row>
    <row r="4955">
      <c r="A4955" s="3" t="inlineStr">
        <is>
          <t>2</t>
        </is>
      </c>
      <c r="B4955" s="3" t="inlineStr">
        <is>
          <t>"Pipa PVC AW Ø 3/4"" (m)"</t>
        </is>
      </c>
      <c r="C4955" s="3" t="inlineStr">
        <is>
          <t>m'</t>
        </is>
      </c>
      <c r="D4955" s="15" t="n">
        <v>2</v>
      </c>
      <c r="E4955" s="4" t="n">
        <v>8750</v>
      </c>
      <c r="F4955" s="4" t="n">
        <v>17500</v>
      </c>
    </row>
    <row r="4956">
      <c r="A4956" s="3" t="inlineStr">
        <is>
          <t>3</t>
        </is>
      </c>
      <c r="B4956" s="3" t="inlineStr">
        <is>
          <t>"Stop kran PVC 3/4"""</t>
        </is>
      </c>
      <c r="C4956" s="3" t="inlineStr">
        <is>
          <t>buah</t>
        </is>
      </c>
      <c r="D4956" s="15" t="n">
        <v>1</v>
      </c>
      <c r="E4956" s="4" t="n">
        <v>6000</v>
      </c>
      <c r="F4956" s="4" t="n">
        <v>6000</v>
      </c>
    </row>
    <row r="4957">
      <c r="D4957" s="2" t="inlineStr">
        <is>
          <t>SUBTOTAL UPAH</t>
        </is>
      </c>
      <c r="F4957" s="16" t="n">
        <v>238040.5</v>
      </c>
    </row>
    <row r="4958">
      <c r="D4958" s="2" t="inlineStr">
        <is>
          <t>SUBTOTAL BAHAN</t>
        </is>
      </c>
      <c r="F4958" s="16" t="n">
        <v>351900</v>
      </c>
    </row>
    <row r="4959">
      <c r="D4959" s="2" t="inlineStr">
        <is>
          <t>SUBTOTAL ALAT</t>
        </is>
      </c>
      <c r="F4959" s="16" t="n">
        <v>0</v>
      </c>
    </row>
    <row r="4960">
      <c r="E4960" s="2" t="inlineStr">
        <is>
          <t>TOTAL HARGA SATUAN (Inc. Overhead)</t>
        </is>
      </c>
      <c r="F4960" s="17" t="n">
        <v>648934</v>
      </c>
    </row>
    <row r="4962">
      <c r="A4962" s="14" t="inlineStr">
        <is>
          <t>KODE: 3.18.5.4 - Pemasangan 1 buah bak fiberglass vol. 1 m3</t>
        </is>
      </c>
    </row>
    <row r="4963">
      <c r="A4963" s="10" t="inlineStr">
        <is>
          <t>No</t>
        </is>
      </c>
      <c r="B4963" s="10" t="inlineStr">
        <is>
          <t>Uraian Komponen</t>
        </is>
      </c>
      <c r="C4963" s="10" t="inlineStr">
        <is>
          <t>Satuan</t>
        </is>
      </c>
      <c r="D4963" s="10" t="inlineStr">
        <is>
          <t>Koef</t>
        </is>
      </c>
      <c r="E4963" s="10" t="inlineStr">
        <is>
          <t>Harga Satuan (Rp)</t>
        </is>
      </c>
      <c r="F4963" s="10" t="inlineStr">
        <is>
          <t>Jumlah Harga (Rp)</t>
        </is>
      </c>
    </row>
    <row r="4964">
      <c r="A4964" s="3" t="inlineStr">
        <is>
          <t>1</t>
        </is>
      </c>
      <c r="B4964" s="3" t="inlineStr">
        <is>
          <t>Pekerja</t>
        </is>
      </c>
      <c r="C4964" s="3" t="inlineStr">
        <is>
          <t>OH</t>
        </is>
      </c>
      <c r="D4964" s="15" t="n">
        <v>0.286</v>
      </c>
      <c r="E4964" s="4" t="n">
        <v>100000</v>
      </c>
      <c r="F4964" s="4" t="n">
        <v>28600</v>
      </c>
    </row>
    <row r="4965">
      <c r="A4965" s="3" t="inlineStr">
        <is>
          <t>2</t>
        </is>
      </c>
      <c r="B4965" s="3" t="inlineStr">
        <is>
          <t>Tukang batu</t>
        </is>
      </c>
      <c r="C4965" s="3" t="inlineStr">
        <is>
          <t>OH</t>
        </is>
      </c>
      <c r="D4965" s="15" t="n">
        <v>0.143</v>
      </c>
      <c r="E4965" s="4" t="n">
        <v>145000</v>
      </c>
      <c r="F4965" s="4" t="n">
        <v>20735</v>
      </c>
    </row>
    <row r="4966">
      <c r="A4966" s="3" t="inlineStr">
        <is>
          <t>3</t>
        </is>
      </c>
      <c r="B4966" s="3" t="inlineStr">
        <is>
          <t>Kepala tukang</t>
        </is>
      </c>
      <c r="C4966" s="3" t="inlineStr">
        <is>
          <t>OH</t>
        </is>
      </c>
      <c r="D4966" s="15" t="n">
        <v>0.05</v>
      </c>
      <c r="E4966" s="4" t="n">
        <v>175000</v>
      </c>
      <c r="F4966" s="4" t="n">
        <v>8750</v>
      </c>
    </row>
    <row r="4967">
      <c r="A4967" s="3" t="inlineStr">
        <is>
          <t>4</t>
        </is>
      </c>
      <c r="B4967" s="3" t="inlineStr">
        <is>
          <t>Mandor</t>
        </is>
      </c>
      <c r="C4967" s="3" t="inlineStr">
        <is>
          <t>OH</t>
        </is>
      </c>
      <c r="D4967" s="15" t="n">
        <v>0.9</v>
      </c>
      <c r="E4967" s="4" t="n">
        <v>200000</v>
      </c>
      <c r="F4967" s="4" t="n">
        <v>180000</v>
      </c>
    </row>
    <row r="4968">
      <c r="A4968" s="3" t="inlineStr">
        <is>
          <t>1</t>
        </is>
      </c>
      <c r="B4968" s="3" t="inlineStr">
        <is>
          <t>Bak fiberglass 1 m3</t>
        </is>
      </c>
      <c r="C4968" s="3" t="inlineStr">
        <is>
          <t>unit</t>
        </is>
      </c>
      <c r="D4968" s="15" t="n">
        <v>1</v>
      </c>
      <c r="E4968" s="4" t="n">
        <v>400000</v>
      </c>
      <c r="F4968" s="4" t="n">
        <v>400000</v>
      </c>
    </row>
    <row r="4969">
      <c r="A4969" s="3" t="inlineStr">
        <is>
          <t>2</t>
        </is>
      </c>
      <c r="B4969" s="3" t="inlineStr">
        <is>
          <t>"Pipa PVC AW Ø 3/4"" (m)"</t>
        </is>
      </c>
      <c r="C4969" s="3" t="inlineStr">
        <is>
          <t>m'</t>
        </is>
      </c>
      <c r="D4969" s="15" t="n">
        <v>2</v>
      </c>
      <c r="E4969" s="4" t="n">
        <v>8750</v>
      </c>
      <c r="F4969" s="4" t="n">
        <v>17500</v>
      </c>
    </row>
    <row r="4970">
      <c r="A4970" s="3" t="inlineStr">
        <is>
          <t>3</t>
        </is>
      </c>
      <c r="B4970" s="3" t="inlineStr">
        <is>
          <t>"Stop kran PVC 3/4"""</t>
        </is>
      </c>
      <c r="C4970" s="3" t="inlineStr">
        <is>
          <t>buah</t>
        </is>
      </c>
      <c r="D4970" s="15" t="n">
        <v>1</v>
      </c>
      <c r="E4970" s="4" t="n">
        <v>6000</v>
      </c>
      <c r="F4970" s="4" t="n">
        <v>6000</v>
      </c>
    </row>
    <row r="4971">
      <c r="D4971" s="2" t="inlineStr">
        <is>
          <t>SUBTOTAL UPAH</t>
        </is>
      </c>
      <c r="F4971" s="16" t="n">
        <v>238085</v>
      </c>
    </row>
    <row r="4972">
      <c r="D4972" s="2" t="inlineStr">
        <is>
          <t>SUBTOTAL BAHAN</t>
        </is>
      </c>
      <c r="F4972" s="16" t="n">
        <v>423500</v>
      </c>
    </row>
    <row r="4973">
      <c r="D4973" s="2" t="inlineStr">
        <is>
          <t>SUBTOTAL ALAT</t>
        </is>
      </c>
      <c r="F4973" s="16" t="n">
        <v>0</v>
      </c>
    </row>
    <row r="4974">
      <c r="E4974" s="2" t="inlineStr">
        <is>
          <t>TOTAL HARGA SATUAN (Inc. Overhead)</t>
        </is>
      </c>
      <c r="F4974" s="17" t="n">
        <v>727743</v>
      </c>
    </row>
    <row r="4976">
      <c r="A4976" s="14" t="inlineStr">
        <is>
          <t>KODE: 3.18.5.5 - Pemasangan 1 buah bak beton vol. 1 m3</t>
        </is>
      </c>
    </row>
    <row r="4977">
      <c r="A4977" s="10" t="inlineStr">
        <is>
          <t>No</t>
        </is>
      </c>
      <c r="B4977" s="10" t="inlineStr">
        <is>
          <t>Uraian Komponen</t>
        </is>
      </c>
      <c r="C4977" s="10" t="inlineStr">
        <is>
          <t>Satuan</t>
        </is>
      </c>
      <c r="D4977" s="10" t="inlineStr">
        <is>
          <t>Koef</t>
        </is>
      </c>
      <c r="E4977" s="10" t="inlineStr">
        <is>
          <t>Harga Satuan (Rp)</t>
        </is>
      </c>
      <c r="F4977" s="10" t="inlineStr">
        <is>
          <t>Jumlah Harga (Rp)</t>
        </is>
      </c>
    </row>
    <row r="4978">
      <c r="A4978" s="3" t="inlineStr">
        <is>
          <t>1</t>
        </is>
      </c>
      <c r="B4978" s="3" t="inlineStr">
        <is>
          <t>Pekerja</t>
        </is>
      </c>
      <c r="C4978" s="3" t="inlineStr">
        <is>
          <t>OH</t>
        </is>
      </c>
      <c r="D4978" s="15" t="n">
        <v>3.5</v>
      </c>
      <c r="E4978" s="4" t="n">
        <v>100000</v>
      </c>
      <c r="F4978" s="4" t="n">
        <v>350000</v>
      </c>
    </row>
    <row r="4979">
      <c r="A4979" s="3" t="inlineStr">
        <is>
          <t>2</t>
        </is>
      </c>
      <c r="B4979" s="3" t="inlineStr">
        <is>
          <t>Tukang batu</t>
        </is>
      </c>
      <c r="C4979" s="3" t="inlineStr">
        <is>
          <t>OH</t>
        </is>
      </c>
      <c r="D4979" s="15" t="n">
        <v>4.5</v>
      </c>
      <c r="E4979" s="4" t="n">
        <v>145000</v>
      </c>
      <c r="F4979" s="4" t="n">
        <v>652500</v>
      </c>
    </row>
    <row r="4980">
      <c r="A4980" s="3" t="inlineStr">
        <is>
          <t>3</t>
        </is>
      </c>
      <c r="B4980" s="3" t="inlineStr">
        <is>
          <t>Kepala tukang</t>
        </is>
      </c>
      <c r="C4980" s="3" t="inlineStr">
        <is>
          <t>OH</t>
        </is>
      </c>
      <c r="D4980" s="15" t="n">
        <v>0.45</v>
      </c>
      <c r="E4980" s="4" t="n">
        <v>175000</v>
      </c>
      <c r="F4980" s="4" t="n">
        <v>78750</v>
      </c>
    </row>
    <row r="4981">
      <c r="A4981" s="3" t="inlineStr">
        <is>
          <t>4</t>
        </is>
      </c>
      <c r="B4981" s="3" t="inlineStr">
        <is>
          <t>Mandor</t>
        </is>
      </c>
      <c r="C4981" s="3" t="inlineStr">
        <is>
          <t>OH</t>
        </is>
      </c>
      <c r="D4981" s="15" t="n">
        <v>0.15</v>
      </c>
      <c r="E4981" s="4" t="n">
        <v>200000</v>
      </c>
      <c r="F4981" s="4" t="n">
        <v>30000</v>
      </c>
    </row>
    <row r="4982">
      <c r="A4982" s="3" t="inlineStr">
        <is>
          <t>1</t>
        </is>
      </c>
      <c r="B4982" s="3" t="inlineStr">
        <is>
          <t>Beton 1:2:3</t>
        </is>
      </c>
      <c r="C4982" s="3" t="inlineStr">
        <is>
          <t>m3</t>
        </is>
      </c>
      <c r="D4982" s="15" t="n">
        <v>0.9</v>
      </c>
      <c r="E4982" s="4" t="n">
        <v>1325155</v>
      </c>
      <c r="F4982" s="4" t="n">
        <v>1192639.5</v>
      </c>
    </row>
    <row r="4983">
      <c r="A4983" s="3" t="inlineStr">
        <is>
          <t>2</t>
        </is>
      </c>
      <c r="B4983" s="3" t="inlineStr">
        <is>
          <t>BjTP</t>
        </is>
      </c>
      <c r="C4983" s="3" t="inlineStr">
        <is>
          <t>kg</t>
        </is>
      </c>
      <c r="D4983" s="15" t="n">
        <v>180</v>
      </c>
      <c r="E4983" s="4" t="n">
        <v>14250</v>
      </c>
      <c r="F4983" s="4" t="n">
        <v>2565000</v>
      </c>
    </row>
    <row r="4984">
      <c r="A4984" s="3" t="inlineStr">
        <is>
          <t>3</t>
        </is>
      </c>
      <c r="B4984" s="3" t="inlineStr">
        <is>
          <t>Kayu papan kelas III (m2)</t>
        </is>
      </c>
      <c r="C4984" s="3" t="inlineStr">
        <is>
          <t>m2</t>
        </is>
      </c>
      <c r="D4984" s="15" t="n">
        <v>8</v>
      </c>
      <c r="E4984" s="4" t="n">
        <v>160000</v>
      </c>
      <c r="F4984" s="4" t="n">
        <v>1280000</v>
      </c>
    </row>
    <row r="4985">
      <c r="A4985" s="3" t="inlineStr">
        <is>
          <t>4</t>
        </is>
      </c>
      <c r="B4985" s="3" t="inlineStr">
        <is>
          <t>Porselen 20x20 cm</t>
        </is>
      </c>
      <c r="C4985" s="3" t="inlineStr">
        <is>
          <t>buah</t>
        </is>
      </c>
      <c r="D4985" s="15" t="n">
        <v>270</v>
      </c>
      <c r="E4985" s="4" t="n">
        <v>4000</v>
      </c>
      <c r="F4985" s="4" t="n">
        <v>1080000</v>
      </c>
    </row>
    <row r="4986">
      <c r="A4986" s="3" t="inlineStr">
        <is>
          <t>5</t>
        </is>
      </c>
      <c r="B4986" s="3" t="inlineStr">
        <is>
          <t>"Pipa PVC AW Ø 3/4"" (m)"</t>
        </is>
      </c>
      <c r="C4986" s="3" t="inlineStr">
        <is>
          <t>m'</t>
        </is>
      </c>
      <c r="D4986" s="15" t="n">
        <v>2</v>
      </c>
      <c r="E4986" s="4" t="n">
        <v>8750</v>
      </c>
      <c r="F4986" s="4" t="n">
        <v>17500</v>
      </c>
    </row>
    <row r="4987">
      <c r="A4987" s="3" t="inlineStr">
        <is>
          <t>6</t>
        </is>
      </c>
      <c r="B4987" s="3" t="inlineStr">
        <is>
          <t>"Stop kran PVC 3/4"""</t>
        </is>
      </c>
      <c r="C4987" s="3" t="inlineStr">
        <is>
          <t>buah</t>
        </is>
      </c>
      <c r="D4987" s="15" t="n">
        <v>1</v>
      </c>
      <c r="E4987" s="4" t="n">
        <v>6000</v>
      </c>
      <c r="F4987" s="4" t="n">
        <v>6000</v>
      </c>
    </row>
    <row r="4988">
      <c r="D4988" s="2" t="inlineStr">
        <is>
          <t>SUBTOTAL UPAH</t>
        </is>
      </c>
      <c r="F4988" s="16" t="n">
        <v>1111250</v>
      </c>
    </row>
    <row r="4989">
      <c r="D4989" s="2" t="inlineStr">
        <is>
          <t>SUBTOTAL BAHAN</t>
        </is>
      </c>
      <c r="F4989" s="16" t="n">
        <v>6141139.5</v>
      </c>
    </row>
    <row r="4990">
      <c r="D4990" s="2" t="inlineStr">
        <is>
          <t>SUBTOTAL ALAT</t>
        </is>
      </c>
      <c r="F4990" s="16" t="n">
        <v>0</v>
      </c>
    </row>
    <row r="4991">
      <c r="E4991" s="2" t="inlineStr">
        <is>
          <t>TOTAL HARGA SATUAN (Inc. Overhead)</t>
        </is>
      </c>
      <c r="F4991" s="17" t="n">
        <v>7977628</v>
      </c>
    </row>
    <row r="4993">
      <c r="A4993" s="14" t="inlineStr">
        <is>
          <t>KODE: 3.18.5.6 - Pemasangan 1 buah bathup</t>
        </is>
      </c>
    </row>
    <row r="4994">
      <c r="A4994" s="10" t="inlineStr">
        <is>
          <t>No</t>
        </is>
      </c>
      <c r="B4994" s="10" t="inlineStr">
        <is>
          <t>Uraian Komponen</t>
        </is>
      </c>
      <c r="C4994" s="10" t="inlineStr">
        <is>
          <t>Satuan</t>
        </is>
      </c>
      <c r="D4994" s="10" t="inlineStr">
        <is>
          <t>Koef</t>
        </is>
      </c>
      <c r="E4994" s="10" t="inlineStr">
        <is>
          <t>Harga Satuan (Rp)</t>
        </is>
      </c>
      <c r="F4994" s="10" t="inlineStr">
        <is>
          <t>Jumlah Harga (Rp)</t>
        </is>
      </c>
    </row>
    <row r="4995">
      <c r="A4995" s="3" t="inlineStr">
        <is>
          <t>1</t>
        </is>
      </c>
      <c r="B4995" s="3" t="inlineStr">
        <is>
          <t>Pekerja</t>
        </is>
      </c>
      <c r="C4995" s="3" t="inlineStr">
        <is>
          <t>OH</t>
        </is>
      </c>
      <c r="D4995" s="15" t="n">
        <v>0.075</v>
      </c>
      <c r="E4995" s="4" t="n">
        <v>100000</v>
      </c>
      <c r="F4995" s="4" t="n">
        <v>7500</v>
      </c>
    </row>
    <row r="4996">
      <c r="A4996" s="3" t="inlineStr">
        <is>
          <t>2</t>
        </is>
      </c>
      <c r="B4996" s="3" t="inlineStr">
        <is>
          <t>Tukang batu</t>
        </is>
      </c>
      <c r="C4996" s="3" t="inlineStr">
        <is>
          <t>OH</t>
        </is>
      </c>
      <c r="D4996" s="15" t="n">
        <v>0.75</v>
      </c>
      <c r="E4996" s="4" t="n">
        <v>145000</v>
      </c>
      <c r="F4996" s="4" t="n">
        <v>108750</v>
      </c>
    </row>
    <row r="4997">
      <c r="A4997" s="3" t="inlineStr">
        <is>
          <t>3</t>
        </is>
      </c>
      <c r="B4997" s="3" t="inlineStr">
        <is>
          <t>Kepala tukang</t>
        </is>
      </c>
      <c r="C4997" s="3" t="inlineStr">
        <is>
          <t>OH</t>
        </is>
      </c>
      <c r="D4997" s="15" t="n">
        <v>0.075</v>
      </c>
      <c r="E4997" s="4" t="n">
        <v>175000</v>
      </c>
      <c r="F4997" s="4" t="n">
        <v>13125</v>
      </c>
    </row>
    <row r="4998">
      <c r="A4998" s="3" t="inlineStr">
        <is>
          <t>4</t>
        </is>
      </c>
      <c r="B4998" s="3" t="inlineStr">
        <is>
          <t>Mandor</t>
        </is>
      </c>
      <c r="C4998" s="3" t="inlineStr">
        <is>
          <t>OH</t>
        </is>
      </c>
      <c r="D4998" s="15" t="n">
        <v>0.025</v>
      </c>
      <c r="E4998" s="4" t="n">
        <v>200000</v>
      </c>
      <c r="F4998" s="4" t="n">
        <v>5000</v>
      </c>
    </row>
    <row r="4999">
      <c r="A4999" s="3" t="inlineStr">
        <is>
          <t>1</t>
        </is>
      </c>
      <c r="B4999" s="3" t="inlineStr">
        <is>
          <t>Bathup</t>
        </is>
      </c>
      <c r="C4999" s="3" t="inlineStr">
        <is>
          <t>unit</t>
        </is>
      </c>
      <c r="D4999" s="15" t="n">
        <v>1</v>
      </c>
      <c r="E4999" s="4" t="n">
        <v>2500000</v>
      </c>
      <c r="F4999" s="4" t="n">
        <v>2500000</v>
      </c>
    </row>
    <row r="5000">
      <c r="A5000" s="3" t="inlineStr">
        <is>
          <t>2</t>
        </is>
      </c>
      <c r="B5000" s="3" t="inlineStr">
        <is>
          <t>Flexible hose</t>
        </is>
      </c>
      <c r="C5000" s="3" t="inlineStr">
        <is>
          <t>m'</t>
        </is>
      </c>
      <c r="D5000" s="15" t="n">
        <v>1</v>
      </c>
      <c r="E5000" s="4" t="n">
        <v>55000</v>
      </c>
      <c r="F5000" s="4" t="n">
        <v>55000</v>
      </c>
    </row>
    <row r="5001">
      <c r="A5001" s="3" t="inlineStr">
        <is>
          <t>3</t>
        </is>
      </c>
      <c r="B5001" s="3" t="inlineStr">
        <is>
          <t>"Stop kran PVC 1/2"""</t>
        </is>
      </c>
      <c r="C5001" s="3" t="inlineStr">
        <is>
          <t>buah</t>
        </is>
      </c>
      <c r="D5001" s="15" t="n">
        <v>1</v>
      </c>
      <c r="E5001" s="4" t="n">
        <v>4000</v>
      </c>
      <c r="F5001" s="4" t="n">
        <v>4000</v>
      </c>
    </row>
    <row r="5002">
      <c r="D5002" s="2" t="inlineStr">
        <is>
          <t>SUBTOTAL UPAH</t>
        </is>
      </c>
      <c r="F5002" s="16" t="n">
        <v>134375</v>
      </c>
    </row>
    <row r="5003">
      <c r="D5003" s="2" t="inlineStr">
        <is>
          <t>SUBTOTAL BAHAN</t>
        </is>
      </c>
      <c r="F5003" s="16" t="n">
        <v>2559000</v>
      </c>
    </row>
    <row r="5004">
      <c r="D5004" s="2" t="inlineStr">
        <is>
          <t>SUBTOTAL ALAT</t>
        </is>
      </c>
      <c r="F5004" s="16" t="n">
        <v>0</v>
      </c>
    </row>
    <row r="5005">
      <c r="E5005" s="2" t="inlineStr">
        <is>
          <t>TOTAL HARGA SATUAN (Inc. Overhead)</t>
        </is>
      </c>
      <c r="F5005" s="17" t="n">
        <v>2962712</v>
      </c>
    </row>
    <row r="5007">
      <c r="A5007" s="14" t="inlineStr">
        <is>
          <t>KODE: 3.18.6.1 - Pemasangan 1 buah floor drain stainless steel</t>
        </is>
      </c>
    </row>
    <row r="5008">
      <c r="A5008" s="10" t="inlineStr">
        <is>
          <t>No</t>
        </is>
      </c>
      <c r="B5008" s="10" t="inlineStr">
        <is>
          <t>Uraian Komponen</t>
        </is>
      </c>
      <c r="C5008" s="10" t="inlineStr">
        <is>
          <t>Satuan</t>
        </is>
      </c>
      <c r="D5008" s="10" t="inlineStr">
        <is>
          <t>Koef</t>
        </is>
      </c>
      <c r="E5008" s="10" t="inlineStr">
        <is>
          <t>Harga Satuan (Rp)</t>
        </is>
      </c>
      <c r="F5008" s="10" t="inlineStr">
        <is>
          <t>Jumlah Harga (Rp)</t>
        </is>
      </c>
    </row>
    <row r="5009">
      <c r="A5009" s="3" t="inlineStr">
        <is>
          <t>1</t>
        </is>
      </c>
      <c r="B5009" s="3" t="inlineStr">
        <is>
          <t>Pekerja</t>
        </is>
      </c>
      <c r="C5009" s="3" t="inlineStr">
        <is>
          <t>OH</t>
        </is>
      </c>
      <c r="D5009" s="15" t="n">
        <v>0.01</v>
      </c>
      <c r="E5009" s="4" t="n">
        <v>100000</v>
      </c>
      <c r="F5009" s="4" t="n">
        <v>1000</v>
      </c>
    </row>
    <row r="5010">
      <c r="A5010" s="3" t="inlineStr">
        <is>
          <t>2</t>
        </is>
      </c>
      <c r="B5010" s="3" t="inlineStr">
        <is>
          <t>Tukang batu</t>
        </is>
      </c>
      <c r="C5010" s="3" t="inlineStr">
        <is>
          <t>OH</t>
        </is>
      </c>
      <c r="D5010" s="15" t="n">
        <v>0.1</v>
      </c>
      <c r="E5010" s="4" t="n">
        <v>145000</v>
      </c>
      <c r="F5010" s="4" t="n">
        <v>14500</v>
      </c>
    </row>
    <row r="5011">
      <c r="A5011" s="3" t="inlineStr">
        <is>
          <t>3</t>
        </is>
      </c>
      <c r="B5011" s="3" t="inlineStr">
        <is>
          <t>Kepala tukang</t>
        </is>
      </c>
      <c r="C5011" s="3" t="inlineStr">
        <is>
          <t>OH</t>
        </is>
      </c>
      <c r="D5011" s="15" t="n">
        <v>0.01</v>
      </c>
      <c r="E5011" s="4" t="n">
        <v>175000</v>
      </c>
      <c r="F5011" s="4" t="n">
        <v>1750</v>
      </c>
    </row>
    <row r="5012">
      <c r="A5012" s="3" t="inlineStr">
        <is>
          <t>4</t>
        </is>
      </c>
      <c r="B5012" s="3" t="inlineStr">
        <is>
          <t>Mandor</t>
        </is>
      </c>
      <c r="C5012" s="3" t="inlineStr">
        <is>
          <t>OH</t>
        </is>
      </c>
      <c r="D5012" s="15" t="n">
        <v>0.0033</v>
      </c>
      <c r="E5012" s="4" t="n">
        <v>200000</v>
      </c>
      <c r="F5012" s="4" t="n">
        <v>660</v>
      </c>
    </row>
    <row r="5013">
      <c r="A5013" s="3" t="inlineStr">
        <is>
          <t>1</t>
        </is>
      </c>
      <c r="B5013" s="3" t="inlineStr">
        <is>
          <t>Floor drain stainles steel</t>
        </is>
      </c>
      <c r="C5013" s="3" t="inlineStr">
        <is>
          <t>buah</t>
        </is>
      </c>
      <c r="D5013" s="15" t="n">
        <v>1</v>
      </c>
      <c r="E5013" s="4" t="n">
        <v>44700</v>
      </c>
      <c r="F5013" s="4" t="n">
        <v>44700</v>
      </c>
    </row>
    <row r="5014">
      <c r="D5014" s="2" t="inlineStr">
        <is>
          <t>SUBTOTAL UPAH</t>
        </is>
      </c>
      <c r="F5014" s="16" t="n">
        <v>17910</v>
      </c>
    </row>
    <row r="5015">
      <c r="D5015" s="2" t="inlineStr">
        <is>
          <t>SUBTOTAL BAHAN</t>
        </is>
      </c>
      <c r="F5015" s="16" t="n">
        <v>44700</v>
      </c>
    </row>
    <row r="5016">
      <c r="D5016" s="2" t="inlineStr">
        <is>
          <t>SUBTOTAL ALAT</t>
        </is>
      </c>
      <c r="F5016" s="16" t="n">
        <v>0</v>
      </c>
    </row>
    <row r="5017">
      <c r="E5017" s="2" t="inlineStr">
        <is>
          <t>TOTAL HARGA SATUAN (Inc. Overhead)</t>
        </is>
      </c>
      <c r="F5017" s="17" t="n">
        <v>68871</v>
      </c>
    </row>
    <row r="5019">
      <c r="A5019" s="14" t="inlineStr">
        <is>
          <t>KODE: 3.18.6.2 - Pemasanga 1 Buah Kran</t>
        </is>
      </c>
    </row>
    <row r="5020">
      <c r="A5020" s="10" t="inlineStr">
        <is>
          <t>No</t>
        </is>
      </c>
      <c r="B5020" s="10" t="inlineStr">
        <is>
          <t>Uraian Komponen</t>
        </is>
      </c>
      <c r="C5020" s="10" t="inlineStr">
        <is>
          <t>Satuan</t>
        </is>
      </c>
      <c r="D5020" s="10" t="inlineStr">
        <is>
          <t>Koef</t>
        </is>
      </c>
      <c r="E5020" s="10" t="inlineStr">
        <is>
          <t>Harga Satuan (Rp)</t>
        </is>
      </c>
      <c r="F5020" s="10" t="inlineStr">
        <is>
          <t>Jumlah Harga (Rp)</t>
        </is>
      </c>
    </row>
    <row r="5021">
      <c r="A5021" s="3" t="inlineStr">
        <is>
          <t>3.18.6.2.1</t>
        </is>
      </c>
      <c r="B5021" s="3" t="inlineStr">
        <is>
          <t>"Pemasangan 1 buah kran diameter ½"" atau 3/4"""</t>
        </is>
      </c>
      <c r="C5021" s="3" t="n">
        <v>121552</v>
      </c>
    </row>
    <row r="5022">
      <c r="A5022" s="3" t="inlineStr">
        <is>
          <t>1</t>
        </is>
      </c>
      <c r="B5022" s="3" t="inlineStr">
        <is>
          <t>Pekerja</t>
        </is>
      </c>
      <c r="C5022" s="3" t="inlineStr">
        <is>
          <t>OH</t>
        </is>
      </c>
      <c r="D5022" s="15" t="n">
        <v>0.01</v>
      </c>
      <c r="E5022" s="4" t="n">
        <v>100000</v>
      </c>
      <c r="F5022" s="4" t="n">
        <v>1000</v>
      </c>
    </row>
    <row r="5023">
      <c r="A5023" s="3" t="inlineStr">
        <is>
          <t>2</t>
        </is>
      </c>
      <c r="B5023" s="3" t="inlineStr">
        <is>
          <t>Tukang batu</t>
        </is>
      </c>
      <c r="C5023" s="3" t="inlineStr">
        <is>
          <t>OH</t>
        </is>
      </c>
      <c r="D5023" s="15" t="n">
        <v>0.4</v>
      </c>
      <c r="E5023" s="4" t="n">
        <v>145000</v>
      </c>
      <c r="F5023" s="4" t="n">
        <v>58000</v>
      </c>
    </row>
    <row r="5024">
      <c r="A5024" s="3" t="inlineStr">
        <is>
          <t>3</t>
        </is>
      </c>
      <c r="B5024" s="3" t="inlineStr">
        <is>
          <t>Kepala tukang</t>
        </is>
      </c>
      <c r="C5024" s="3" t="inlineStr">
        <is>
          <t>OH</t>
        </is>
      </c>
      <c r="D5024" s="15" t="n">
        <v>0.04</v>
      </c>
      <c r="E5024" s="4" t="n">
        <v>175000</v>
      </c>
      <c r="F5024" s="4" t="n">
        <v>7000</v>
      </c>
    </row>
    <row r="5025">
      <c r="A5025" s="3" t="inlineStr">
        <is>
          <t>4</t>
        </is>
      </c>
      <c r="B5025" s="3" t="inlineStr">
        <is>
          <t>Mandor</t>
        </is>
      </c>
      <c r="C5025" s="3" t="inlineStr">
        <is>
          <t>OH</t>
        </is>
      </c>
      <c r="D5025" s="15" t="n">
        <v>0.0133</v>
      </c>
      <c r="E5025" s="4" t="n">
        <v>200000</v>
      </c>
      <c r="F5025" s="4" t="n">
        <v>2660</v>
      </c>
    </row>
    <row r="5026">
      <c r="A5026" s="3" t="inlineStr">
        <is>
          <t>1</t>
        </is>
      </c>
      <c r="B5026" s="3" t="inlineStr">
        <is>
          <t>Kran air</t>
        </is>
      </c>
      <c r="C5026" s="3" t="inlineStr">
        <is>
          <t>buah</t>
        </is>
      </c>
      <c r="D5026" s="15" t="n">
        <v>1</v>
      </c>
      <c r="E5026" s="4" t="n">
        <v>41700</v>
      </c>
      <c r="F5026" s="4" t="n">
        <v>41700</v>
      </c>
    </row>
    <row r="5027">
      <c r="A5027" s="3" t="inlineStr">
        <is>
          <t>2</t>
        </is>
      </c>
      <c r="B5027" s="3" t="inlineStr">
        <is>
          <t>Sealtape</t>
        </is>
      </c>
      <c r="C5027" s="3" t="inlineStr">
        <is>
          <t>buah</t>
        </is>
      </c>
      <c r="D5027" s="15" t="n">
        <v>0.025</v>
      </c>
      <c r="E5027" s="4" t="n">
        <v>5700</v>
      </c>
      <c r="F5027" s="4" t="n">
        <v>142.5</v>
      </c>
    </row>
    <row r="5028">
      <c r="D5028" s="2" t="inlineStr">
        <is>
          <t>SUBTOTAL UPAH</t>
        </is>
      </c>
      <c r="F5028" s="16" t="n">
        <v>68660</v>
      </c>
    </row>
    <row r="5029">
      <c r="D5029" s="2" t="inlineStr">
        <is>
          <t>SUBTOTAL BAHAN</t>
        </is>
      </c>
      <c r="F5029" s="16" t="n">
        <v>41842.5</v>
      </c>
    </row>
    <row r="5030">
      <c r="D5030" s="2" t="inlineStr">
        <is>
          <t>SUBTOTAL ALAT</t>
        </is>
      </c>
      <c r="F5030" s="16" t="n">
        <v>0</v>
      </c>
    </row>
    <row r="5031">
      <c r="E5031" s="2" t="inlineStr">
        <is>
          <t>TOTAL HARGA SATUAN (Inc. Overhead)</t>
        </is>
      </c>
      <c r="F5031" s="17" t="n">
        <v>0</v>
      </c>
    </row>
    <row r="5033">
      <c r="A5033" s="14" t="inlineStr">
        <is>
          <t>KODE: 3.18.6.3 - Pemasangan 1 buah jet washer</t>
        </is>
      </c>
    </row>
    <row r="5034">
      <c r="A5034" s="10" t="inlineStr">
        <is>
          <t>No</t>
        </is>
      </c>
      <c r="B5034" s="10" t="inlineStr">
        <is>
          <t>Uraian Komponen</t>
        </is>
      </c>
      <c r="C5034" s="10" t="inlineStr">
        <is>
          <t>Satuan</t>
        </is>
      </c>
      <c r="D5034" s="10" t="inlineStr">
        <is>
          <t>Koef</t>
        </is>
      </c>
      <c r="E5034" s="10" t="inlineStr">
        <is>
          <t>Harga Satuan (Rp)</t>
        </is>
      </c>
      <c r="F5034" s="10" t="inlineStr">
        <is>
          <t>Jumlah Harga (Rp)</t>
        </is>
      </c>
    </row>
    <row r="5035">
      <c r="A5035" s="3" t="inlineStr">
        <is>
          <t>1</t>
        </is>
      </c>
      <c r="B5035" s="3" t="inlineStr">
        <is>
          <t>Pekerja</t>
        </is>
      </c>
      <c r="C5035" s="3" t="inlineStr">
        <is>
          <t>OH</t>
        </is>
      </c>
      <c r="D5035" s="15" t="n">
        <v>0.01</v>
      </c>
      <c r="E5035" s="4" t="n">
        <v>100000</v>
      </c>
      <c r="F5035" s="4" t="n">
        <v>1000</v>
      </c>
    </row>
    <row r="5036">
      <c r="A5036" s="3" t="inlineStr">
        <is>
          <t>2</t>
        </is>
      </c>
      <c r="B5036" s="3" t="inlineStr">
        <is>
          <t>Tukang batu</t>
        </is>
      </c>
      <c r="C5036" s="3" t="inlineStr">
        <is>
          <t>OH</t>
        </is>
      </c>
      <c r="D5036" s="15" t="n">
        <v>0.4</v>
      </c>
      <c r="E5036" s="4" t="n">
        <v>145000</v>
      </c>
      <c r="F5036" s="4" t="n">
        <v>58000</v>
      </c>
    </row>
    <row r="5037">
      <c r="A5037" s="3" t="inlineStr">
        <is>
          <t>3</t>
        </is>
      </c>
      <c r="B5037" s="3" t="inlineStr">
        <is>
          <t>Kepala tukang</t>
        </is>
      </c>
      <c r="C5037" s="3" t="inlineStr">
        <is>
          <t>OH</t>
        </is>
      </c>
      <c r="D5037" s="15" t="n">
        <v>0.04</v>
      </c>
      <c r="E5037" s="4" t="n">
        <v>175000</v>
      </c>
      <c r="F5037" s="4" t="n">
        <v>7000</v>
      </c>
    </row>
    <row r="5038">
      <c r="A5038" s="3" t="inlineStr">
        <is>
          <t>4</t>
        </is>
      </c>
      <c r="B5038" s="3" t="inlineStr">
        <is>
          <t>Mandor</t>
        </is>
      </c>
      <c r="C5038" s="3" t="inlineStr">
        <is>
          <t>OH</t>
        </is>
      </c>
      <c r="D5038" s="15" t="n">
        <v>0.0133</v>
      </c>
      <c r="E5038" s="4" t="n">
        <v>200000</v>
      </c>
      <c r="F5038" s="4" t="n">
        <v>2660</v>
      </c>
    </row>
    <row r="5039">
      <c r="A5039" s="3" t="inlineStr">
        <is>
          <t>1</t>
        </is>
      </c>
      <c r="B5039" s="3" t="inlineStr">
        <is>
          <t>Jet washer</t>
        </is>
      </c>
      <c r="C5039" s="3" t="inlineStr">
        <is>
          <t>buah</t>
        </is>
      </c>
      <c r="D5039" s="15" t="n">
        <v>1</v>
      </c>
      <c r="E5039" s="4" t="n">
        <v>100000</v>
      </c>
      <c r="F5039" s="4" t="n">
        <v>100000</v>
      </c>
    </row>
    <row r="5040">
      <c r="A5040" s="3" t="inlineStr">
        <is>
          <t>2</t>
        </is>
      </c>
      <c r="B5040" s="3" t="inlineStr">
        <is>
          <t>Sealtape</t>
        </is>
      </c>
      <c r="C5040" s="3" t="inlineStr">
        <is>
          <t>buah</t>
        </is>
      </c>
      <c r="D5040" s="15" t="n">
        <v>0.025</v>
      </c>
      <c r="E5040" s="4" t="n">
        <v>5700</v>
      </c>
      <c r="F5040" s="4" t="n">
        <v>142.5</v>
      </c>
    </row>
    <row r="5041">
      <c r="D5041" s="2" t="inlineStr">
        <is>
          <t>SUBTOTAL UPAH</t>
        </is>
      </c>
      <c r="F5041" s="16" t="n">
        <v>68660</v>
      </c>
    </row>
    <row r="5042">
      <c r="D5042" s="2" t="inlineStr">
        <is>
          <t>SUBTOTAL BAHAN</t>
        </is>
      </c>
      <c r="F5042" s="16" t="n">
        <v>100142.5</v>
      </c>
    </row>
    <row r="5043">
      <c r="D5043" s="2" t="inlineStr">
        <is>
          <t>SUBTOTAL ALAT</t>
        </is>
      </c>
      <c r="F5043" s="16" t="n">
        <v>0</v>
      </c>
    </row>
    <row r="5044">
      <c r="E5044" s="2" t="inlineStr">
        <is>
          <t>TOTAL HARGA SATUAN (Inc. Overhead)</t>
        </is>
      </c>
      <c r="F5044" s="17" t="n">
        <v>185682</v>
      </c>
    </row>
    <row r="5046">
      <c r="A5046" s="14" t="inlineStr">
        <is>
          <t>KODE: 3.18.6.4 - Pemasangan 1 buah gantungan baju (robe hook)</t>
        </is>
      </c>
    </row>
    <row r="5047">
      <c r="A5047" s="10" t="inlineStr">
        <is>
          <t>No</t>
        </is>
      </c>
      <c r="B5047" s="10" t="inlineStr">
        <is>
          <t>Uraian Komponen</t>
        </is>
      </c>
      <c r="C5047" s="10" t="inlineStr">
        <is>
          <t>Satuan</t>
        </is>
      </c>
      <c r="D5047" s="10" t="inlineStr">
        <is>
          <t>Koef</t>
        </is>
      </c>
      <c r="E5047" s="10" t="inlineStr">
        <is>
          <t>Harga Satuan (Rp)</t>
        </is>
      </c>
      <c r="F5047" s="10" t="inlineStr">
        <is>
          <t>Jumlah Harga (Rp)</t>
        </is>
      </c>
    </row>
    <row r="5048">
      <c r="A5048" s="3" t="inlineStr">
        <is>
          <t>1</t>
        </is>
      </c>
      <c r="B5048" s="3" t="inlineStr">
        <is>
          <t>Pekerja</t>
        </is>
      </c>
      <c r="C5048" s="3" t="inlineStr">
        <is>
          <t>OH</t>
        </is>
      </c>
      <c r="D5048" s="15" t="n">
        <v>0.01</v>
      </c>
      <c r="E5048" s="4" t="n">
        <v>100000</v>
      </c>
      <c r="F5048" s="4" t="n">
        <v>1000</v>
      </c>
    </row>
    <row r="5049">
      <c r="A5049" s="3" t="inlineStr">
        <is>
          <t>2</t>
        </is>
      </c>
      <c r="B5049" s="3" t="inlineStr">
        <is>
          <t>Tukang batu</t>
        </is>
      </c>
      <c r="C5049" s="3" t="inlineStr">
        <is>
          <t>OH</t>
        </is>
      </c>
      <c r="D5049" s="15" t="n">
        <v>0.1</v>
      </c>
      <c r="E5049" s="4" t="n">
        <v>145000</v>
      </c>
      <c r="F5049" s="4" t="n">
        <v>14500</v>
      </c>
    </row>
    <row r="5050">
      <c r="A5050" s="3" t="inlineStr">
        <is>
          <t>3</t>
        </is>
      </c>
      <c r="B5050" s="3" t="inlineStr">
        <is>
          <t>Kepala tukang</t>
        </is>
      </c>
      <c r="C5050" s="3" t="inlineStr">
        <is>
          <t>OH</t>
        </is>
      </c>
      <c r="D5050" s="15" t="n">
        <v>0.01</v>
      </c>
      <c r="E5050" s="4" t="n">
        <v>175000</v>
      </c>
      <c r="F5050" s="4" t="n">
        <v>1750</v>
      </c>
    </row>
    <row r="5051">
      <c r="A5051" s="3" t="inlineStr">
        <is>
          <t>4</t>
        </is>
      </c>
      <c r="B5051" s="3" t="inlineStr">
        <is>
          <t>Mandor</t>
        </is>
      </c>
      <c r="C5051" s="3" t="inlineStr">
        <is>
          <t>OH</t>
        </is>
      </c>
      <c r="D5051" s="15" t="n">
        <v>0.0033</v>
      </c>
      <c r="E5051" s="4" t="n">
        <v>200000</v>
      </c>
      <c r="F5051" s="4" t="n">
        <v>660</v>
      </c>
    </row>
    <row r="5052">
      <c r="A5052" s="3" t="inlineStr">
        <is>
          <t>1</t>
        </is>
      </c>
      <c r="B5052" s="3" t="inlineStr">
        <is>
          <t>Robe hook</t>
        </is>
      </c>
      <c r="C5052" s="3" t="inlineStr">
        <is>
          <t>unit</t>
        </is>
      </c>
      <c r="D5052" s="15" t="n">
        <v>1</v>
      </c>
      <c r="E5052" s="4" t="n">
        <v>70000</v>
      </c>
      <c r="F5052" s="4" t="n">
        <v>70000</v>
      </c>
    </row>
    <row r="5053">
      <c r="D5053" s="2" t="inlineStr">
        <is>
          <t>SUBTOTAL UPAH</t>
        </is>
      </c>
      <c r="F5053" s="16" t="n">
        <v>17910</v>
      </c>
    </row>
    <row r="5054">
      <c r="D5054" s="2" t="inlineStr">
        <is>
          <t>SUBTOTAL BAHAN</t>
        </is>
      </c>
      <c r="F5054" s="16" t="n">
        <v>70000</v>
      </c>
    </row>
    <row r="5055">
      <c r="D5055" s="2" t="inlineStr">
        <is>
          <t>SUBTOTAL ALAT</t>
        </is>
      </c>
      <c r="F5055" s="16" t="n">
        <v>0</v>
      </c>
    </row>
    <row r="5056">
      <c r="E5056" s="2" t="inlineStr">
        <is>
          <t>TOTAL HARGA SATUAN (Inc. Overhead)</t>
        </is>
      </c>
      <c r="F5056" s="17" t="n">
        <v>96701</v>
      </c>
    </row>
    <row r="5058">
      <c r="A5058" s="14" t="inlineStr">
        <is>
          <t>KODE: 3.18.6.5 - Pemasangan 1 buah towel bar</t>
        </is>
      </c>
    </row>
    <row r="5059">
      <c r="A5059" s="10" t="inlineStr">
        <is>
          <t>No</t>
        </is>
      </c>
      <c r="B5059" s="10" t="inlineStr">
        <is>
          <t>Uraian Komponen</t>
        </is>
      </c>
      <c r="C5059" s="10" t="inlineStr">
        <is>
          <t>Satuan</t>
        </is>
      </c>
      <c r="D5059" s="10" t="inlineStr">
        <is>
          <t>Koef</t>
        </is>
      </c>
      <c r="E5059" s="10" t="inlineStr">
        <is>
          <t>Harga Satuan (Rp)</t>
        </is>
      </c>
      <c r="F5059" s="10" t="inlineStr">
        <is>
          <t>Jumlah Harga (Rp)</t>
        </is>
      </c>
    </row>
    <row r="5060">
      <c r="A5060" s="3" t="inlineStr">
        <is>
          <t>1</t>
        </is>
      </c>
      <c r="B5060" s="3" t="inlineStr">
        <is>
          <t>Pekerja</t>
        </is>
      </c>
      <c r="C5060" s="3" t="inlineStr">
        <is>
          <t>OH</t>
        </is>
      </c>
      <c r="D5060" s="15" t="n">
        <v>0.01</v>
      </c>
      <c r="E5060" s="4" t="n">
        <v>100000</v>
      </c>
      <c r="F5060" s="4" t="n">
        <v>1000</v>
      </c>
    </row>
    <row r="5061">
      <c r="A5061" s="3" t="inlineStr">
        <is>
          <t>2</t>
        </is>
      </c>
      <c r="B5061" s="3" t="inlineStr">
        <is>
          <t>Tukang batu</t>
        </is>
      </c>
      <c r="C5061" s="3" t="inlineStr">
        <is>
          <t>OH</t>
        </is>
      </c>
      <c r="D5061" s="15" t="n">
        <v>0.1</v>
      </c>
      <c r="E5061" s="4" t="n">
        <v>145000</v>
      </c>
      <c r="F5061" s="4" t="n">
        <v>14500</v>
      </c>
    </row>
    <row r="5062">
      <c r="A5062" s="3" t="inlineStr">
        <is>
          <t>3</t>
        </is>
      </c>
      <c r="B5062" s="3" t="inlineStr">
        <is>
          <t>Kepala tukang</t>
        </is>
      </c>
      <c r="C5062" s="3" t="inlineStr">
        <is>
          <t>OH</t>
        </is>
      </c>
      <c r="D5062" s="15" t="n">
        <v>0.01</v>
      </c>
      <c r="E5062" s="4" t="n">
        <v>175000</v>
      </c>
      <c r="F5062" s="4" t="n">
        <v>1750</v>
      </c>
    </row>
    <row r="5063">
      <c r="A5063" s="3" t="inlineStr">
        <is>
          <t>4</t>
        </is>
      </c>
      <c r="B5063" s="3" t="inlineStr">
        <is>
          <t>Mandor</t>
        </is>
      </c>
      <c r="C5063" s="3" t="inlineStr">
        <is>
          <t>OH</t>
        </is>
      </c>
      <c r="D5063" s="15" t="n">
        <v>0.0033</v>
      </c>
      <c r="E5063" s="4" t="n">
        <v>200000</v>
      </c>
      <c r="F5063" s="4" t="n">
        <v>660</v>
      </c>
    </row>
    <row r="5064">
      <c r="A5064" s="3" t="inlineStr">
        <is>
          <t>1</t>
        </is>
      </c>
      <c r="B5064" s="3" t="inlineStr">
        <is>
          <t>Towel bar</t>
        </is>
      </c>
      <c r="C5064" s="3" t="inlineStr">
        <is>
          <t>unit</t>
        </is>
      </c>
      <c r="D5064" s="15" t="n">
        <v>1</v>
      </c>
      <c r="E5064" s="4" t="n">
        <v>150000</v>
      </c>
      <c r="F5064" s="4" t="n">
        <v>150000</v>
      </c>
    </row>
    <row r="5065">
      <c r="D5065" s="2" t="inlineStr">
        <is>
          <t>SUBTOTAL UPAH</t>
        </is>
      </c>
      <c r="F5065" s="16" t="n">
        <v>17910</v>
      </c>
    </row>
    <row r="5066">
      <c r="D5066" s="2" t="inlineStr">
        <is>
          <t>SUBTOTAL BAHAN</t>
        </is>
      </c>
      <c r="F5066" s="16" t="n">
        <v>150000</v>
      </c>
    </row>
    <row r="5067">
      <c r="D5067" s="2" t="inlineStr">
        <is>
          <t>SUBTOTAL ALAT</t>
        </is>
      </c>
      <c r="F5067" s="16" t="n">
        <v>0</v>
      </c>
    </row>
    <row r="5068">
      <c r="E5068" s="2" t="inlineStr">
        <is>
          <t>TOTAL HARGA SATUAN (Inc. Overhead)</t>
        </is>
      </c>
      <c r="F5068" s="17" t="n">
        <v>184701</v>
      </c>
    </row>
    <row r="5070">
      <c r="A5070" s="14" t="inlineStr">
        <is>
          <t>KODE: 3.18.6.6 - Pemasangan 1 buah grab bar</t>
        </is>
      </c>
    </row>
    <row r="5071">
      <c r="A5071" s="10" t="inlineStr">
        <is>
          <t>No</t>
        </is>
      </c>
      <c r="B5071" s="10" t="inlineStr">
        <is>
          <t>Uraian Komponen</t>
        </is>
      </c>
      <c r="C5071" s="10" t="inlineStr">
        <is>
          <t>Satuan</t>
        </is>
      </c>
      <c r="D5071" s="10" t="inlineStr">
        <is>
          <t>Koef</t>
        </is>
      </c>
      <c r="E5071" s="10" t="inlineStr">
        <is>
          <t>Harga Satuan (Rp)</t>
        </is>
      </c>
      <c r="F5071" s="10" t="inlineStr">
        <is>
          <t>Jumlah Harga (Rp)</t>
        </is>
      </c>
    </row>
    <row r="5072">
      <c r="A5072" s="3" t="inlineStr">
        <is>
          <t>1</t>
        </is>
      </c>
      <c r="B5072" s="3" t="inlineStr">
        <is>
          <t>Pekerja</t>
        </is>
      </c>
      <c r="C5072" s="3" t="inlineStr">
        <is>
          <t>OH</t>
        </is>
      </c>
      <c r="D5072" s="15" t="n">
        <v>0.01</v>
      </c>
      <c r="E5072" s="4" t="n">
        <v>100000</v>
      </c>
      <c r="F5072" s="4" t="n">
        <v>1000</v>
      </c>
    </row>
    <row r="5073">
      <c r="A5073" s="3" t="inlineStr">
        <is>
          <t>2</t>
        </is>
      </c>
      <c r="B5073" s="3" t="inlineStr">
        <is>
          <t>Tukang batu</t>
        </is>
      </c>
      <c r="C5073" s="3" t="inlineStr">
        <is>
          <t>OH</t>
        </is>
      </c>
      <c r="D5073" s="15" t="n">
        <v>0.1</v>
      </c>
      <c r="E5073" s="4" t="n">
        <v>145000</v>
      </c>
      <c r="F5073" s="4" t="n">
        <v>14500</v>
      </c>
    </row>
    <row r="5074">
      <c r="A5074" s="3" t="inlineStr">
        <is>
          <t>3</t>
        </is>
      </c>
      <c r="B5074" s="3" t="inlineStr">
        <is>
          <t>Kepala tukang</t>
        </is>
      </c>
      <c r="C5074" s="3" t="inlineStr">
        <is>
          <t>OH</t>
        </is>
      </c>
      <c r="D5074" s="15" t="n">
        <v>0.01</v>
      </c>
      <c r="E5074" s="4" t="n">
        <v>175000</v>
      </c>
      <c r="F5074" s="4" t="n">
        <v>1750</v>
      </c>
    </row>
    <row r="5075">
      <c r="A5075" s="3" t="inlineStr">
        <is>
          <t>4</t>
        </is>
      </c>
      <c r="B5075" s="3" t="inlineStr">
        <is>
          <t>Mandor</t>
        </is>
      </c>
      <c r="C5075" s="3" t="inlineStr">
        <is>
          <t>OH</t>
        </is>
      </c>
      <c r="D5075" s="15" t="n">
        <v>0.0033</v>
      </c>
      <c r="E5075" s="4" t="n">
        <v>200000</v>
      </c>
      <c r="F5075" s="4" t="n">
        <v>660</v>
      </c>
    </row>
    <row r="5076">
      <c r="A5076" s="3" t="inlineStr">
        <is>
          <t>1</t>
        </is>
      </c>
      <c r="B5076" s="3" t="inlineStr">
        <is>
          <t>Grab bar</t>
        </is>
      </c>
      <c r="C5076" s="3" t="inlineStr">
        <is>
          <t>buah</t>
        </is>
      </c>
      <c r="D5076" s="15" t="n">
        <v>1</v>
      </c>
      <c r="E5076" s="4" t="n">
        <v>120000</v>
      </c>
      <c r="F5076" s="4" t="n">
        <v>120000</v>
      </c>
    </row>
    <row r="5077">
      <c r="D5077" s="2" t="inlineStr">
        <is>
          <t>SUBTOTAL UPAH</t>
        </is>
      </c>
      <c r="F5077" s="16" t="n">
        <v>17910</v>
      </c>
    </row>
    <row r="5078">
      <c r="D5078" s="2" t="inlineStr">
        <is>
          <t>SUBTOTAL BAHAN</t>
        </is>
      </c>
      <c r="F5078" s="16" t="n">
        <v>120000</v>
      </c>
    </row>
    <row r="5079">
      <c r="D5079" s="2" t="inlineStr">
        <is>
          <t>SUBTOTAL ALAT</t>
        </is>
      </c>
      <c r="F5079" s="16" t="n">
        <v>0</v>
      </c>
    </row>
    <row r="5080">
      <c r="E5080" s="2" t="inlineStr">
        <is>
          <t>TOTAL HARGA SATUAN (Inc. Overhead)</t>
        </is>
      </c>
      <c r="F5080" s="17" t="n">
        <v>151701</v>
      </c>
    </row>
    <row r="5082">
      <c r="A5082" s="14" t="inlineStr">
        <is>
          <t>KODE: 3.18.6.7 - Pemasangan 1 buah soap holder</t>
        </is>
      </c>
    </row>
    <row r="5083">
      <c r="A5083" s="10" t="inlineStr">
        <is>
          <t>No</t>
        </is>
      </c>
      <c r="B5083" s="10" t="inlineStr">
        <is>
          <t>Uraian Komponen</t>
        </is>
      </c>
      <c r="C5083" s="10" t="inlineStr">
        <is>
          <t>Satuan</t>
        </is>
      </c>
      <c r="D5083" s="10" t="inlineStr">
        <is>
          <t>Koef</t>
        </is>
      </c>
      <c r="E5083" s="10" t="inlineStr">
        <is>
          <t>Harga Satuan (Rp)</t>
        </is>
      </c>
      <c r="F5083" s="10" t="inlineStr">
        <is>
          <t>Jumlah Harga (Rp)</t>
        </is>
      </c>
    </row>
    <row r="5084">
      <c r="A5084" s="3" t="inlineStr">
        <is>
          <t>1</t>
        </is>
      </c>
      <c r="B5084" s="3" t="inlineStr">
        <is>
          <t>Pekerja</t>
        </is>
      </c>
      <c r="C5084" s="3" t="inlineStr">
        <is>
          <t>OH</t>
        </is>
      </c>
      <c r="D5084" s="15" t="n">
        <v>0.01</v>
      </c>
      <c r="E5084" s="4" t="n">
        <v>100000</v>
      </c>
      <c r="F5084" s="4" t="n">
        <v>1000</v>
      </c>
    </row>
    <row r="5085">
      <c r="A5085" s="3" t="inlineStr">
        <is>
          <t>2</t>
        </is>
      </c>
      <c r="B5085" s="3" t="inlineStr">
        <is>
          <t>Tukang batu</t>
        </is>
      </c>
      <c r="C5085" s="3" t="inlineStr">
        <is>
          <t>OH</t>
        </is>
      </c>
      <c r="D5085" s="15" t="n">
        <v>0.1</v>
      </c>
      <c r="E5085" s="4" t="n">
        <v>145000</v>
      </c>
      <c r="F5085" s="4" t="n">
        <v>14500</v>
      </c>
    </row>
    <row r="5086">
      <c r="A5086" s="3" t="inlineStr">
        <is>
          <t>3</t>
        </is>
      </c>
      <c r="B5086" s="3" t="inlineStr">
        <is>
          <t>Kepala tukang</t>
        </is>
      </c>
      <c r="C5086" s="3" t="inlineStr">
        <is>
          <t>OH</t>
        </is>
      </c>
      <c r="D5086" s="15" t="n">
        <v>0.01</v>
      </c>
      <c r="E5086" s="4" t="n">
        <v>175000</v>
      </c>
      <c r="F5086" s="4" t="n">
        <v>1750</v>
      </c>
    </row>
    <row r="5087">
      <c r="A5087" s="3" t="inlineStr">
        <is>
          <t>4</t>
        </is>
      </c>
      <c r="B5087" s="3" t="inlineStr">
        <is>
          <t>Mandor</t>
        </is>
      </c>
      <c r="C5087" s="3" t="inlineStr">
        <is>
          <t>OH</t>
        </is>
      </c>
      <c r="D5087" s="15" t="n">
        <v>0.0033</v>
      </c>
      <c r="E5087" s="4" t="n">
        <v>200000</v>
      </c>
      <c r="F5087" s="4" t="n">
        <v>660</v>
      </c>
    </row>
    <row r="5088">
      <c r="A5088" s="3" t="inlineStr">
        <is>
          <t>1</t>
        </is>
      </c>
      <c r="B5088" s="3" t="inlineStr">
        <is>
          <t>Soap holder</t>
        </is>
      </c>
      <c r="C5088" s="3" t="inlineStr">
        <is>
          <t>buah</t>
        </is>
      </c>
      <c r="D5088" s="15" t="n">
        <v>1</v>
      </c>
      <c r="E5088" s="4" t="n">
        <v>150000</v>
      </c>
      <c r="F5088" s="4" t="n">
        <v>150000</v>
      </c>
    </row>
    <row r="5089">
      <c r="D5089" s="2" t="inlineStr">
        <is>
          <t>SUBTOTAL UPAH</t>
        </is>
      </c>
      <c r="F5089" s="16" t="n">
        <v>17910</v>
      </c>
    </row>
    <row r="5090">
      <c r="D5090" s="2" t="inlineStr">
        <is>
          <t>SUBTOTAL BAHAN</t>
        </is>
      </c>
      <c r="F5090" s="16" t="n">
        <v>150000</v>
      </c>
    </row>
    <row r="5091">
      <c r="D5091" s="2" t="inlineStr">
        <is>
          <t>SUBTOTAL ALAT</t>
        </is>
      </c>
      <c r="F5091" s="16" t="n">
        <v>0</v>
      </c>
    </row>
    <row r="5092">
      <c r="E5092" s="2" t="inlineStr">
        <is>
          <t>TOTAL HARGA SATUAN (Inc. Overhead)</t>
        </is>
      </c>
      <c r="F5092" s="17" t="n">
        <v>184701</v>
      </c>
    </row>
    <row r="5094">
      <c r="A5094" s="14" t="inlineStr">
        <is>
          <t>KODE: 3.18.6.8 - Pemasangan 1 buah tissue holder</t>
        </is>
      </c>
    </row>
    <row r="5095">
      <c r="A5095" s="10" t="inlineStr">
        <is>
          <t>No</t>
        </is>
      </c>
      <c r="B5095" s="10" t="inlineStr">
        <is>
          <t>Uraian Komponen</t>
        </is>
      </c>
      <c r="C5095" s="10" t="inlineStr">
        <is>
          <t>Satuan</t>
        </is>
      </c>
      <c r="D5095" s="10" t="inlineStr">
        <is>
          <t>Koef</t>
        </is>
      </c>
      <c r="E5095" s="10" t="inlineStr">
        <is>
          <t>Harga Satuan (Rp)</t>
        </is>
      </c>
      <c r="F5095" s="10" t="inlineStr">
        <is>
          <t>Jumlah Harga (Rp)</t>
        </is>
      </c>
    </row>
    <row r="5096">
      <c r="A5096" s="3" t="inlineStr">
        <is>
          <t>1</t>
        </is>
      </c>
      <c r="B5096" s="3" t="inlineStr">
        <is>
          <t>Pekerja</t>
        </is>
      </c>
      <c r="C5096" s="3" t="inlineStr">
        <is>
          <t>OH</t>
        </is>
      </c>
      <c r="D5096" s="15" t="n">
        <v>0.01</v>
      </c>
      <c r="E5096" s="4" t="n">
        <v>100000</v>
      </c>
      <c r="F5096" s="4" t="n">
        <v>1000</v>
      </c>
    </row>
    <row r="5097">
      <c r="A5097" s="3" t="inlineStr">
        <is>
          <t>2</t>
        </is>
      </c>
      <c r="B5097" s="3" t="inlineStr">
        <is>
          <t>Tukang batu</t>
        </is>
      </c>
      <c r="C5097" s="3" t="inlineStr">
        <is>
          <t>OH</t>
        </is>
      </c>
      <c r="D5097" s="15" t="n">
        <v>0.1</v>
      </c>
      <c r="E5097" s="4" t="n">
        <v>145000</v>
      </c>
      <c r="F5097" s="4" t="n">
        <v>14500</v>
      </c>
    </row>
    <row r="5098">
      <c r="A5098" s="3" t="inlineStr">
        <is>
          <t>3</t>
        </is>
      </c>
      <c r="B5098" s="3" t="inlineStr">
        <is>
          <t>Kepala tukang</t>
        </is>
      </c>
      <c r="C5098" s="3" t="inlineStr">
        <is>
          <t>OH</t>
        </is>
      </c>
      <c r="D5098" s="15" t="n">
        <v>0.01</v>
      </c>
      <c r="E5098" s="4" t="n">
        <v>175000</v>
      </c>
      <c r="F5098" s="4" t="n">
        <v>1750</v>
      </c>
    </row>
    <row r="5099">
      <c r="A5099" s="3" t="inlineStr">
        <is>
          <t>4</t>
        </is>
      </c>
      <c r="B5099" s="3" t="inlineStr">
        <is>
          <t>Mandor</t>
        </is>
      </c>
      <c r="C5099" s="3" t="inlineStr">
        <is>
          <t>OH</t>
        </is>
      </c>
      <c r="D5099" s="15" t="n">
        <v>0.0033</v>
      </c>
      <c r="E5099" s="4" t="n">
        <v>200000</v>
      </c>
      <c r="F5099" s="4" t="n">
        <v>660</v>
      </c>
    </row>
    <row r="5100">
      <c r="A5100" s="3" t="inlineStr">
        <is>
          <t>1</t>
        </is>
      </c>
      <c r="B5100" s="3" t="inlineStr">
        <is>
          <t>Tissue holder</t>
        </is>
      </c>
      <c r="C5100" s="3" t="inlineStr">
        <is>
          <t>buah</t>
        </is>
      </c>
      <c r="D5100" s="15" t="n">
        <v>1</v>
      </c>
      <c r="E5100" s="4" t="n">
        <v>150000</v>
      </c>
      <c r="F5100" s="4" t="n">
        <v>150000</v>
      </c>
    </row>
    <row r="5101">
      <c r="D5101" s="2" t="inlineStr">
        <is>
          <t>SUBTOTAL UPAH</t>
        </is>
      </c>
      <c r="F5101" s="16" t="n">
        <v>17910</v>
      </c>
    </row>
    <row r="5102">
      <c r="D5102" s="2" t="inlineStr">
        <is>
          <t>SUBTOTAL BAHAN</t>
        </is>
      </c>
      <c r="F5102" s="16" t="n">
        <v>150000</v>
      </c>
    </row>
    <row r="5103">
      <c r="D5103" s="2" t="inlineStr">
        <is>
          <t>SUBTOTAL ALAT</t>
        </is>
      </c>
      <c r="F5103" s="16" t="n">
        <v>0</v>
      </c>
    </row>
    <row r="5104">
      <c r="E5104" s="2" t="inlineStr">
        <is>
          <t>TOTAL HARGA SATUAN (Inc. Overhead)</t>
        </is>
      </c>
      <c r="F5104" s="17" t="n">
        <v>184701</v>
      </c>
    </row>
    <row r="5106">
      <c r="A5106" s="14" t="inlineStr">
        <is>
          <t>KODE: 3.18.6.9 - Pemasangan 1 buah Shower Set</t>
        </is>
      </c>
    </row>
    <row r="5107">
      <c r="A5107" s="10" t="inlineStr">
        <is>
          <t>No</t>
        </is>
      </c>
      <c r="B5107" s="10" t="inlineStr">
        <is>
          <t>Uraian Komponen</t>
        </is>
      </c>
      <c r="C5107" s="10" t="inlineStr">
        <is>
          <t>Satuan</t>
        </is>
      </c>
      <c r="D5107" s="10" t="inlineStr">
        <is>
          <t>Koef</t>
        </is>
      </c>
      <c r="E5107" s="10" t="inlineStr">
        <is>
          <t>Harga Satuan (Rp)</t>
        </is>
      </c>
      <c r="F5107" s="10" t="inlineStr">
        <is>
          <t>Jumlah Harga (Rp)</t>
        </is>
      </c>
    </row>
    <row r="5108">
      <c r="A5108" s="3" t="inlineStr">
        <is>
          <t>1</t>
        </is>
      </c>
      <c r="B5108" s="3" t="inlineStr">
        <is>
          <t>Pekerja</t>
        </is>
      </c>
      <c r="C5108" s="3" t="inlineStr">
        <is>
          <t>OH</t>
        </is>
      </c>
      <c r="D5108" s="15" t="n">
        <v>0.01</v>
      </c>
      <c r="E5108" s="4" t="n">
        <v>100000</v>
      </c>
      <c r="F5108" s="4" t="n">
        <v>1000</v>
      </c>
    </row>
    <row r="5109">
      <c r="A5109" s="3" t="inlineStr">
        <is>
          <t>2</t>
        </is>
      </c>
      <c r="B5109" s="3" t="inlineStr">
        <is>
          <t>Tukang batu</t>
        </is>
      </c>
      <c r="C5109" s="3" t="inlineStr">
        <is>
          <t>OH</t>
        </is>
      </c>
      <c r="D5109" s="15" t="n">
        <v>0.4</v>
      </c>
      <c r="E5109" s="4" t="n">
        <v>145000</v>
      </c>
      <c r="F5109" s="4" t="n">
        <v>58000</v>
      </c>
    </row>
    <row r="5110">
      <c r="A5110" s="3" t="inlineStr">
        <is>
          <t>3</t>
        </is>
      </c>
      <c r="B5110" s="3" t="inlineStr">
        <is>
          <t>Kepala tukang</t>
        </is>
      </c>
      <c r="C5110" s="3" t="inlineStr">
        <is>
          <t>OH</t>
        </is>
      </c>
      <c r="D5110" s="15" t="n">
        <v>0.04</v>
      </c>
      <c r="E5110" s="4" t="n">
        <v>175000</v>
      </c>
      <c r="F5110" s="4" t="n">
        <v>7000</v>
      </c>
    </row>
    <row r="5111">
      <c r="A5111" s="3" t="inlineStr">
        <is>
          <t>4</t>
        </is>
      </c>
      <c r="B5111" s="3" t="inlineStr">
        <is>
          <t>Mandor</t>
        </is>
      </c>
      <c r="C5111" s="3" t="inlineStr">
        <is>
          <t>OH</t>
        </is>
      </c>
      <c r="D5111" s="15" t="n">
        <v>0.0133</v>
      </c>
      <c r="E5111" s="4" t="n">
        <v>200000</v>
      </c>
      <c r="F5111" s="4" t="n">
        <v>2660</v>
      </c>
    </row>
    <row r="5112">
      <c r="A5112" s="3" t="inlineStr">
        <is>
          <t>1</t>
        </is>
      </c>
      <c r="B5112" s="3" t="inlineStr">
        <is>
          <t>Shower Set</t>
        </is>
      </c>
      <c r="C5112" s="3" t="inlineStr">
        <is>
          <t>unit</t>
        </is>
      </c>
      <c r="D5112" s="15" t="n">
        <v>1</v>
      </c>
      <c r="E5112" s="4" t="n">
        <v>666000</v>
      </c>
      <c r="F5112" s="4" t="n">
        <v>666000</v>
      </c>
    </row>
    <row r="5113">
      <c r="A5113" s="3" t="inlineStr">
        <is>
          <t>2</t>
        </is>
      </c>
      <c r="B5113" s="3" t="inlineStr">
        <is>
          <t>Sealtape</t>
        </is>
      </c>
      <c r="C5113" s="3" t="inlineStr">
        <is>
          <t>buah</t>
        </is>
      </c>
      <c r="D5113" s="15" t="n">
        <v>0.025</v>
      </c>
      <c r="E5113" s="4" t="n">
        <v>5700</v>
      </c>
      <c r="F5113" s="4" t="n">
        <v>142.5</v>
      </c>
    </row>
    <row r="5114">
      <c r="D5114" s="2" t="inlineStr">
        <is>
          <t>SUBTOTAL UPAH</t>
        </is>
      </c>
      <c r="F5114" s="16" t="n">
        <v>68660</v>
      </c>
    </row>
    <row r="5115">
      <c r="D5115" s="2" t="inlineStr">
        <is>
          <t>SUBTOTAL BAHAN</t>
        </is>
      </c>
      <c r="F5115" s="16" t="n">
        <v>142.5</v>
      </c>
    </row>
    <row r="5116">
      <c r="D5116" s="2" t="inlineStr">
        <is>
          <t>SUBTOTAL ALAT</t>
        </is>
      </c>
      <c r="F5116" s="16" t="n">
        <v>0</v>
      </c>
    </row>
    <row r="5117">
      <c r="E5117" s="2" t="inlineStr">
        <is>
          <t>TOTAL HARGA SATUAN (Inc. Overhead)</t>
        </is>
      </c>
      <c r="F5117" s="17" t="n">
        <v>75682</v>
      </c>
    </row>
    <row r="5119">
      <c r="A5119" s="14" t="inlineStr">
        <is>
          <t>KODE: 4.1.1.3 - Pengadaan dan Pengangkutan Pohon Kecil di Polybag 20 Liter</t>
        </is>
      </c>
    </row>
    <row r="5120">
      <c r="A5120" s="10" t="inlineStr">
        <is>
          <t>No</t>
        </is>
      </c>
      <c r="B5120" s="10" t="inlineStr">
        <is>
          <t>Uraian Komponen</t>
        </is>
      </c>
      <c r="C5120" s="10" t="inlineStr">
        <is>
          <t>Satuan</t>
        </is>
      </c>
      <c r="D5120" s="10" t="inlineStr">
        <is>
          <t>Koef</t>
        </is>
      </c>
      <c r="E5120" s="10" t="inlineStr">
        <is>
          <t>Harga Satuan (Rp)</t>
        </is>
      </c>
      <c r="F5120" s="10" t="inlineStr">
        <is>
          <t>Jumlah Harga (Rp)</t>
        </is>
      </c>
    </row>
    <row r="5121">
      <c r="A5121" s="3" t="inlineStr">
        <is>
          <t>1</t>
        </is>
      </c>
      <c r="B5121" s="3" t="inlineStr">
        <is>
          <t>Pekerja</t>
        </is>
      </c>
      <c r="C5121" s="3" t="inlineStr">
        <is>
          <t>OJ</t>
        </is>
      </c>
      <c r="D5121" s="15" t="n">
        <v>0.0256</v>
      </c>
      <c r="E5121" s="4" t="n">
        <v>14285.71428571429</v>
      </c>
      <c r="F5121" s="4" t="n">
        <v>365.7142857142857</v>
      </c>
    </row>
    <row r="5122">
      <c r="A5122" s="3" t="inlineStr">
        <is>
          <t>2</t>
        </is>
      </c>
      <c r="B5122" s="3" t="inlineStr">
        <is>
          <t>Mandor</t>
        </is>
      </c>
      <c r="C5122" s="3" t="inlineStr">
        <is>
          <t>OJ</t>
        </is>
      </c>
      <c r="D5122" s="15" t="n">
        <v>0.0026</v>
      </c>
      <c r="E5122" s="4" t="n">
        <v>28571.42857142857</v>
      </c>
      <c r="F5122" s="4" t="n">
        <v>74.28571428571429</v>
      </c>
    </row>
    <row r="5123">
      <c r="A5123" s="3" t="inlineStr">
        <is>
          <t>1</t>
        </is>
      </c>
      <c r="B5123" s="3" t="inlineStr">
        <is>
          <t>Pohon Pucuk Merah di Polybag 20 Liter</t>
        </is>
      </c>
      <c r="C5123" s="3" t="inlineStr">
        <is>
          <t>pohon</t>
        </is>
      </c>
      <c r="D5123" s="15" t="n">
        <v>1</v>
      </c>
      <c r="E5123" s="4" t="n">
        <v>350000</v>
      </c>
      <c r="F5123" s="4" t="n">
        <v>350000</v>
      </c>
    </row>
    <row r="5124">
      <c r="A5124" s="3" t="inlineStr">
        <is>
          <t>1</t>
        </is>
      </c>
      <c r="B5124" s="3" t="inlineStr">
        <is>
          <t>Colt T-120 (D); R-Blk. 4; 12 m3</t>
        </is>
      </c>
      <c r="C5124" s="3" t="inlineStr">
        <is>
          <t>Jam</t>
        </is>
      </c>
      <c r="D5124" s="15" t="n">
        <v>0.0253</v>
      </c>
      <c r="E5124" s="4" t="n">
        <v>314110.76</v>
      </c>
      <c r="F5124" s="4" t="n">
        <v>7947.002228</v>
      </c>
    </row>
    <row r="5125">
      <c r="D5125" s="2" t="inlineStr">
        <is>
          <t>SUBTOTAL UPAH</t>
        </is>
      </c>
      <c r="F5125" s="16" t="n">
        <v>440</v>
      </c>
    </row>
    <row r="5126">
      <c r="D5126" s="2" t="inlineStr">
        <is>
          <t>SUBTOTAL BAHAN</t>
        </is>
      </c>
      <c r="F5126" s="16" t="n">
        <v>350000</v>
      </c>
    </row>
    <row r="5127">
      <c r="D5127" s="2" t="inlineStr">
        <is>
          <t>SUBTOTAL ALAT</t>
        </is>
      </c>
      <c r="F5127" s="16" t="n">
        <v>7947.002228</v>
      </c>
    </row>
    <row r="5128">
      <c r="E5128" s="2" t="inlineStr">
        <is>
          <t>TOTAL HARGA SATUAN (Inc. Overhead)</t>
        </is>
      </c>
      <c r="F5128" s="17" t="n">
        <v>394225</v>
      </c>
    </row>
    <row r="5130">
      <c r="A5130" s="14" t="inlineStr">
        <is>
          <t>KODE: 4.1.1.5 - Pengadaan dan Pengangkutan Pohon Kecil di Polybag 25 Liter</t>
        </is>
      </c>
    </row>
    <row r="5131">
      <c r="A5131" s="10" t="inlineStr">
        <is>
          <t>No</t>
        </is>
      </c>
      <c r="B5131" s="10" t="inlineStr">
        <is>
          <t>Uraian Komponen</t>
        </is>
      </c>
      <c r="C5131" s="10" t="inlineStr">
        <is>
          <t>Satuan</t>
        </is>
      </c>
      <c r="D5131" s="10" t="inlineStr">
        <is>
          <t>Koef</t>
        </is>
      </c>
      <c r="E5131" s="10" t="inlineStr">
        <is>
          <t>Harga Satuan (Rp)</t>
        </is>
      </c>
      <c r="F5131" s="10" t="inlineStr">
        <is>
          <t>Jumlah Harga (Rp)</t>
        </is>
      </c>
    </row>
    <row r="5132">
      <c r="A5132" s="3" t="inlineStr">
        <is>
          <t>1</t>
        </is>
      </c>
      <c r="B5132" s="3" t="inlineStr">
        <is>
          <t>Pekerja</t>
        </is>
      </c>
      <c r="C5132" s="3" t="inlineStr">
        <is>
          <t>OJ</t>
        </is>
      </c>
      <c r="D5132" s="15" t="n">
        <v>0.0299</v>
      </c>
      <c r="E5132" s="4" t="n">
        <v>14285.71428571429</v>
      </c>
      <c r="F5132" s="4" t="n">
        <v>427.1428571428572</v>
      </c>
    </row>
    <row r="5133">
      <c r="A5133" s="3" t="inlineStr">
        <is>
          <t>2</t>
        </is>
      </c>
      <c r="B5133" s="3" t="inlineStr">
        <is>
          <t>Mandor</t>
        </is>
      </c>
      <c r="C5133" s="3" t="inlineStr">
        <is>
          <t>OJ</t>
        </is>
      </c>
      <c r="D5133" s="15" t="n">
        <v>0.003</v>
      </c>
      <c r="E5133" s="4" t="n">
        <v>28571.42857142857</v>
      </c>
      <c r="F5133" s="4" t="n">
        <v>85.71428571428572</v>
      </c>
    </row>
    <row r="5134">
      <c r="A5134" s="3" t="inlineStr">
        <is>
          <t>1</t>
        </is>
      </c>
      <c r="B5134" s="3" t="inlineStr">
        <is>
          <t>Pohon Pucuk Merah di Polybag 25 Liter</t>
        </is>
      </c>
      <c r="C5134" s="3" t="inlineStr">
        <is>
          <t>pohon</t>
        </is>
      </c>
      <c r="D5134" s="15" t="n">
        <v>1</v>
      </c>
      <c r="E5134" s="4" t="n">
        <v>400000</v>
      </c>
      <c r="F5134" s="4" t="n">
        <v>400000</v>
      </c>
    </row>
    <row r="5135">
      <c r="A5135" s="3" t="inlineStr">
        <is>
          <t>1</t>
        </is>
      </c>
      <c r="B5135" s="3" t="inlineStr">
        <is>
          <t>Colt T-120 (D); R-Blk. 4; 12 m3</t>
        </is>
      </c>
      <c r="C5135" s="3" t="inlineStr">
        <is>
          <t>Jam</t>
        </is>
      </c>
      <c r="D5135" s="15" t="n">
        <v>0.03552</v>
      </c>
      <c r="E5135" s="4" t="n">
        <v>314110.76</v>
      </c>
      <c r="F5135" s="4" t="n">
        <v>11157.2141952</v>
      </c>
    </row>
    <row r="5136">
      <c r="D5136" s="2" t="inlineStr">
        <is>
          <t>SUBTOTAL UPAH</t>
        </is>
      </c>
      <c r="F5136" s="16" t="n">
        <v>512.8571428571429</v>
      </c>
    </row>
    <row r="5137">
      <c r="D5137" s="2" t="inlineStr">
        <is>
          <t>SUBTOTAL BAHAN</t>
        </is>
      </c>
      <c r="F5137" s="16" t="n">
        <v>400000</v>
      </c>
    </row>
    <row r="5138">
      <c r="D5138" s="2" t="inlineStr">
        <is>
          <t>SUBTOTAL ALAT</t>
        </is>
      </c>
      <c r="F5138" s="16" t="n">
        <v>11157.2141952</v>
      </c>
    </row>
    <row r="5139">
      <c r="E5139" s="2" t="inlineStr">
        <is>
          <t>TOTAL HARGA SATUAN (Inc. Overhead)</t>
        </is>
      </c>
      <c r="F5139" s="17" t="n">
        <v>452837</v>
      </c>
    </row>
    <row r="5141">
      <c r="A5141" s="14" t="inlineStr">
        <is>
          <t>KODE: 4.1.1.6 - Analisis Produktivitas Truck Angkutan Pohon Sedang di Polybag 50 Liter</t>
        </is>
      </c>
    </row>
    <row r="5142">
      <c r="A5142" s="10" t="inlineStr">
        <is>
          <t>No</t>
        </is>
      </c>
      <c r="B5142" s="10" t="inlineStr">
        <is>
          <t>Uraian Komponen</t>
        </is>
      </c>
      <c r="C5142" s="10" t="inlineStr">
        <is>
          <t>Satuan</t>
        </is>
      </c>
      <c r="D5142" s="10" t="inlineStr">
        <is>
          <t>Koef</t>
        </is>
      </c>
      <c r="E5142" s="10" t="inlineStr">
        <is>
          <t>Harga Satuan (Rp)</t>
        </is>
      </c>
      <c r="F5142" s="10" t="inlineStr">
        <is>
          <t>Jumlah Harga (Rp)</t>
        </is>
      </c>
    </row>
    <row r="5143">
      <c r="A5143" s="3" t="n">
        <v>1</v>
      </c>
      <c r="B5143" s="3" t="inlineStr">
        <is>
          <t>Jam Kerja efektif per hari</t>
        </is>
      </c>
      <c r="C5143" s="3" t="inlineStr">
        <is>
          <t>Tk</t>
        </is>
      </c>
      <c r="D5143" s="3" t="n">
        <v>7</v>
      </c>
      <c r="E5143" s="3" t="inlineStr">
        <is>
          <t>Jam</t>
        </is>
      </c>
    </row>
    <row r="5144">
      <c r="A5144" s="3" t="n">
        <v>2</v>
      </c>
      <c r="B5144" s="3" t="inlineStr">
        <is>
          <t>Pemuatan tanaman dilakukan secara manual</t>
        </is>
      </c>
      <c r="C5144" s="3" t="inlineStr">
        <is>
          <t>Fk</t>
        </is>
      </c>
      <c r="D5144" s="3" t="n">
        <v>1.25</v>
      </c>
      <c r="E5144" s="3" t="inlineStr">
        <is>
          <t>-</t>
        </is>
      </c>
      <c r="F5144" s="3" t="inlineStr">
        <is>
          <t>Tabel A.1</t>
        </is>
      </c>
    </row>
    <row r="5145">
      <c r="A5145" s="3" t="n">
        <v>3</v>
      </c>
      <c r="B5145" s="3" t="inlineStr">
        <is>
          <t>Jarak Angkut dari Nursey ke Lokasi pekerjaan</t>
        </is>
      </c>
      <c r="C5145" s="3" t="inlineStr">
        <is>
          <t>L</t>
        </is>
      </c>
      <c r="D5145" s="3" t="n">
        <v>100</v>
      </c>
      <c r="E5145" s="3" t="inlineStr">
        <is>
          <t>km</t>
        </is>
      </c>
    </row>
    <row r="5146">
      <c r="A5146" s="3" t="n">
        <v>4</v>
      </c>
      <c r="B5146" s="3" t="inlineStr">
        <is>
          <t>Angkut Truck 1-jalan dari tempat Nursey ke lokasi perkerjaan</t>
        </is>
      </c>
      <c r="C5146" s="3" t="inlineStr">
        <is>
          <t>Angkut saja</t>
        </is>
      </c>
    </row>
    <row r="5147">
      <c r="A5147" s="3" t="n">
        <v>3.1</v>
      </c>
      <c r="B5147" s="3" t="inlineStr">
        <is>
          <t>Fuso  (D); R-Blk.8; 35 m3</t>
        </is>
      </c>
      <c r="C5147" s="3" t="inlineStr">
        <is>
          <t>10 Ton; 130 HP</t>
        </is>
      </c>
    </row>
    <row r="5148">
      <c r="A5148" s="3" t="inlineStr">
        <is>
          <t>Kapasitas Bak</t>
        </is>
      </c>
      <c r="B5148" s="3" t="inlineStr">
        <is>
          <t>V</t>
        </is>
      </c>
      <c r="C5148" s="3" t="n">
        <v>400</v>
      </c>
      <c r="D5148" s="3" t="inlineStr">
        <is>
          <t>Poly bag</t>
        </is>
      </c>
    </row>
    <row r="5149">
      <c r="A5149" s="3" t="inlineStr">
        <is>
          <t>Faktor Efisiensi Alat (Tabel 7)</t>
        </is>
      </c>
      <c r="B5149" s="3" t="inlineStr">
        <is>
          <t>Fa</t>
        </is>
      </c>
      <c r="C5149" s="3" t="n">
        <v>0.83</v>
      </c>
      <c r="D5149" s="3" t="inlineStr">
        <is>
          <t>-</t>
        </is>
      </c>
      <c r="E5149" s="3" t="inlineStr">
        <is>
          <t>kondisi kerja baik</t>
        </is>
      </c>
    </row>
    <row r="5150">
      <c r="A5150" s="3" t="inlineStr">
        <is>
          <t>Jarak Angkut</t>
        </is>
      </c>
      <c r="B5150" s="3" t="inlineStr">
        <is>
          <t>L</t>
        </is>
      </c>
      <c r="C5150" s="3" t="n">
        <v>100</v>
      </c>
      <c r="D5150" s="3" t="inlineStr">
        <is>
          <t>Km</t>
        </is>
      </c>
    </row>
    <row r="5151">
      <c r="A5151" s="3" t="inlineStr">
        <is>
          <t>Kecepatan ratarata bermuatan (lihat tabel 8)</t>
        </is>
      </c>
      <c r="B5151" s="3" t="inlineStr">
        <is>
          <t>v.1</t>
        </is>
      </c>
      <c r="C5151" s="3" t="n">
        <v>40</v>
      </c>
      <c r="D5151" s="3" t="inlineStr">
        <is>
          <t>Km/jam</t>
        </is>
      </c>
      <c r="E5151" s="3" t="inlineStr">
        <is>
          <t>(Kondisi menanjak atau jalan rusak )</t>
        </is>
      </c>
    </row>
    <row r="5152">
      <c r="A5152" s="3" t="inlineStr">
        <is>
          <t>Kecepatan ratarta kosong (lihat tabel 8)</t>
        </is>
      </c>
      <c r="B5152" s="3" t="inlineStr">
        <is>
          <t>v.2</t>
        </is>
      </c>
      <c r="C5152" s="3" t="n">
        <v>60</v>
      </c>
      <c r="D5152" s="3" t="inlineStr">
        <is>
          <t>Km/jam</t>
        </is>
      </c>
    </row>
    <row r="5153">
      <c r="A5153" s="3" t="inlineStr">
        <is>
          <t>Waktu tempuh isi</t>
        </is>
      </c>
      <c r="B5153" s="3" t="inlineStr">
        <is>
          <t>=</t>
        </is>
      </c>
      <c r="C5153" s="3" t="inlineStr">
        <is>
          <t>( L : v.1) x 60</t>
        </is>
      </c>
      <c r="D5153" s="3" t="inlineStr">
        <is>
          <t>T.1</t>
        </is>
      </c>
      <c r="E5153" s="4" t="n">
        <v>150</v>
      </c>
      <c r="F5153" s="3" t="inlineStr">
        <is>
          <t>menit</t>
        </is>
      </c>
    </row>
    <row r="5154">
      <c r="A5154" s="3" t="inlineStr">
        <is>
          <t>waktu muat &amp; bongkar</t>
        </is>
      </c>
      <c r="B5154" s="3" t="inlineStr">
        <is>
          <t>=</t>
        </is>
      </c>
      <c r="C5154" s="3" t="inlineStr">
        <is>
          <t>( L : v.1) x 60</t>
        </is>
      </c>
      <c r="D5154" s="3" t="inlineStr">
        <is>
          <t>T.2</t>
        </is>
      </c>
      <c r="E5154" s="4" t="n">
        <v>385.71</v>
      </c>
      <c r="F5154" s="3" t="inlineStr">
        <is>
          <t>menit</t>
        </is>
      </c>
    </row>
    <row r="5155">
      <c r="A5155" s="3" t="inlineStr">
        <is>
          <t>Ts1</t>
        </is>
      </c>
      <c r="B5155" s="3" t="n">
        <v>535.71</v>
      </c>
      <c r="C5155" s="3" t="inlineStr">
        <is>
          <t>menit</t>
        </is>
      </c>
    </row>
    <row r="5156">
      <c r="A5156" s="3" t="inlineStr">
        <is>
          <t>Kap. Produksi/jam</t>
        </is>
      </c>
      <c r="B5156" s="3" t="inlineStr">
        <is>
          <t>=</t>
        </is>
      </c>
      <c r="C5156" s="3" t="inlineStr">
        <is>
          <t>(V x Fa x 60)/(Ts1)</t>
        </is>
      </c>
      <c r="D5156" s="3" t="inlineStr">
        <is>
          <t>Q.1</t>
        </is>
      </c>
      <c r="E5156" s="4" t="n">
        <v>37.18429747437979</v>
      </c>
      <c r="F5156" s="3" t="inlineStr">
        <is>
          <t>Polybag / jam</t>
        </is>
      </c>
    </row>
    <row r="5157">
      <c r="A5157" s="3" t="inlineStr">
        <is>
          <t>Koefisien Alat/Polybag</t>
        </is>
      </c>
      <c r="B5157" s="3" t="inlineStr">
        <is>
          <t>=</t>
        </is>
      </c>
      <c r="C5157" s="3" t="inlineStr">
        <is>
          <t>1/Q.4</t>
        </is>
      </c>
      <c r="D5157" s="3" t="n">
        <v>0.02689307228915663</v>
      </c>
      <c r="E5157" s="3" t="inlineStr">
        <is>
          <t>Jam</t>
        </is>
      </c>
    </row>
    <row r="5158">
      <c r="A5158" s="3" t="inlineStr">
        <is>
          <t>Jarak dari penyimpanan Nursey ke bak Truck</t>
        </is>
      </c>
      <c r="B5158" s="3" t="inlineStr">
        <is>
          <t>L2</t>
        </is>
      </c>
      <c r="C5158" s="3" t="n">
        <v>0.01</v>
      </c>
      <c r="D5158" s="3" t="inlineStr">
        <is>
          <t>Km</t>
        </is>
      </c>
    </row>
    <row r="5159">
      <c r="A5159" s="3" t="inlineStr">
        <is>
          <t>Polybag yang dimuat/turunkan</t>
        </is>
      </c>
      <c r="B5159" s="3" t="inlineStr">
        <is>
          <t>V</t>
        </is>
      </c>
      <c r="C5159" s="3" t="n">
        <v>1</v>
      </c>
      <c r="D5159" s="3" t="inlineStr">
        <is>
          <t>Polybag</t>
        </is>
      </c>
    </row>
    <row r="5160">
      <c r="A5160" s="3" t="inlineStr">
        <is>
          <t>Faktor Efisiensi TK (Tabel 7)</t>
        </is>
      </c>
      <c r="B5160" s="3" t="inlineStr">
        <is>
          <t>FaTK</t>
        </is>
      </c>
      <c r="C5160" s="3" t="n">
        <v>0.86</v>
      </c>
      <c r="D5160" s="3" t="inlineStr">
        <is>
          <t>-</t>
        </is>
      </c>
      <c r="E5160" s="3" t="inlineStr">
        <is>
          <t>kondisi kerja baik</t>
        </is>
      </c>
    </row>
    <row r="5161">
      <c r="A5161" s="3" t="inlineStr">
        <is>
          <t>- Memuat 1 Polybag dari tempat Nursey ke bak truck</t>
        </is>
      </c>
      <c r="B5161" s="3" t="inlineStr">
        <is>
          <t>T.1</t>
        </is>
      </c>
      <c r="C5161" s="3" t="n">
        <v>0.5</v>
      </c>
      <c r="D5161" s="3" t="inlineStr">
        <is>
          <t>menit</t>
        </is>
      </c>
      <c r="E5161" s="3" t="inlineStr">
        <is>
          <t>muat dan bongkar dibantu 3P</t>
        </is>
      </c>
    </row>
    <row r="5162">
      <c r="A5162" s="3" t="inlineStr">
        <is>
          <t>- Menurunkan 1 Polybag dari bak truck ke penyimpanan di lokasi pekerjaan</t>
        </is>
      </c>
      <c r="B5162" s="3" t="inlineStr">
        <is>
          <t>T.2</t>
        </is>
      </c>
      <c r="C5162" s="3" t="n">
        <v>0.46</v>
      </c>
      <c r="D5162" s="3" t="inlineStr">
        <is>
          <t>menit</t>
        </is>
      </c>
    </row>
    <row r="5163">
      <c r="A5163" s="3" t="inlineStr">
        <is>
          <t>Ts2</t>
        </is>
      </c>
      <c r="B5163" s="3" t="n">
        <v>0.96</v>
      </c>
      <c r="C5163" s="3" t="inlineStr">
        <is>
          <t>menit</t>
        </is>
      </c>
    </row>
    <row r="5164">
      <c r="A5164" s="3" t="inlineStr">
        <is>
          <t>Kap.Tenaga Kerja/jam</t>
        </is>
      </c>
      <c r="B5164" s="3" t="inlineStr">
        <is>
          <t>=</t>
        </is>
      </c>
      <c r="C5164" s="3" t="inlineStr">
        <is>
          <t>(FaTK x 60) / (Ts2)</t>
        </is>
      </c>
      <c r="D5164" s="3" t="inlineStr">
        <is>
          <t>Q.2</t>
        </is>
      </c>
      <c r="E5164" s="4" t="n">
        <v>53.75</v>
      </c>
      <c r="F5164" s="3" t="inlineStr">
        <is>
          <t>Polybag / jam</t>
        </is>
      </c>
    </row>
    <row r="5165">
      <c r="A5165" s="3" t="inlineStr">
        <is>
          <t>- Pekerja</t>
        </is>
      </c>
      <c r="B5165" s="3" t="inlineStr">
        <is>
          <t>=</t>
        </is>
      </c>
      <c r="C5165" s="3" t="inlineStr">
        <is>
          <t>(Tk x P) : Q.2</t>
        </is>
      </c>
      <c r="D5165" s="3" t="inlineStr">
        <is>
          <t>L.01</t>
        </is>
      </c>
      <c r="E5165" s="4" t="n">
        <v>0.05581395348837209</v>
      </c>
      <c r="F5165" s="3" t="inlineStr">
        <is>
          <t>Jam</t>
        </is>
      </c>
    </row>
    <row r="5166">
      <c r="A5166" s="3" t="inlineStr">
        <is>
          <t>- Mandor</t>
        </is>
      </c>
      <c r="B5166" s="3" t="inlineStr">
        <is>
          <t>=</t>
        </is>
      </c>
      <c r="C5166" s="3" t="inlineStr">
        <is>
          <t>(Tk x M ) : Q.2</t>
        </is>
      </c>
      <c r="D5166" s="3" t="inlineStr">
        <is>
          <t>L.04</t>
        </is>
      </c>
      <c r="E5166" s="4" t="n">
        <v>0.005581395348837209</v>
      </c>
      <c r="F5166" s="3" t="inlineStr">
        <is>
          <t>Jam</t>
        </is>
      </c>
    </row>
    <row r="5167">
      <c r="D5167" s="2" t="inlineStr">
        <is>
          <t>SUBTOTAL UPAH</t>
        </is>
      </c>
      <c r="F5167" s="16" t="n">
        <v>0</v>
      </c>
    </row>
    <row r="5168">
      <c r="D5168" s="2" t="inlineStr">
        <is>
          <t>SUBTOTAL BAHAN</t>
        </is>
      </c>
      <c r="F5168" s="16" t="n">
        <v>0</v>
      </c>
    </row>
    <row r="5169">
      <c r="D5169" s="2" t="inlineStr">
        <is>
          <t>SUBTOTAL ALAT</t>
        </is>
      </c>
      <c r="F5169" s="16" t="n">
        <v>0</v>
      </c>
    </row>
    <row r="5170">
      <c r="E5170" s="2" t="inlineStr">
        <is>
          <t>TOTAL HARGA SATUAN (Inc. Overhead)</t>
        </is>
      </c>
      <c r="F5170" s="17" t="n">
        <v>0</v>
      </c>
    </row>
    <row r="5172">
      <c r="A5172" s="14" t="inlineStr">
        <is>
          <t>KODE: 4.1.1.7 - Pengadaan dan Pengangkutan Pohon Sedang di Polybag 50 Liter</t>
        </is>
      </c>
    </row>
    <row r="5173">
      <c r="A5173" s="10" t="inlineStr">
        <is>
          <t>No</t>
        </is>
      </c>
      <c r="B5173" s="10" t="inlineStr">
        <is>
          <t>Uraian Komponen</t>
        </is>
      </c>
      <c r="C5173" s="10" t="inlineStr">
        <is>
          <t>Satuan</t>
        </is>
      </c>
      <c r="D5173" s="10" t="inlineStr">
        <is>
          <t>Koef</t>
        </is>
      </c>
      <c r="E5173" s="10" t="inlineStr">
        <is>
          <t>Harga Satuan (Rp)</t>
        </is>
      </c>
      <c r="F5173" s="10" t="inlineStr">
        <is>
          <t>Jumlah Harga (Rp)</t>
        </is>
      </c>
    </row>
    <row r="5174">
      <c r="A5174" s="3" t="inlineStr">
        <is>
          <t>1</t>
        </is>
      </c>
      <c r="B5174" s="3" t="inlineStr">
        <is>
          <t>Pekerja</t>
        </is>
      </c>
      <c r="C5174" s="3" t="inlineStr">
        <is>
          <t>OJ</t>
        </is>
      </c>
      <c r="D5174" s="15" t="n">
        <v>0.05581395348837209</v>
      </c>
      <c r="E5174" s="4" t="n">
        <v>14285.71428571429</v>
      </c>
      <c r="F5174" s="4" t="n">
        <v>797.3421926910299</v>
      </c>
    </row>
    <row r="5175">
      <c r="A5175" s="3" t="inlineStr">
        <is>
          <t>2</t>
        </is>
      </c>
      <c r="B5175" s="3" t="inlineStr">
        <is>
          <t>Mandor</t>
        </is>
      </c>
      <c r="C5175" s="3" t="inlineStr">
        <is>
          <t>OJ</t>
        </is>
      </c>
      <c r="D5175" s="15" t="n">
        <v>0.005581395348837209</v>
      </c>
      <c r="E5175" s="4" t="n">
        <v>28571.42857142857</v>
      </c>
      <c r="F5175" s="4" t="n">
        <v>159.468438538206</v>
      </c>
    </row>
    <row r="5176">
      <c r="A5176" s="3" t="inlineStr">
        <is>
          <t>1</t>
        </is>
      </c>
      <c r="B5176" s="3" t="inlineStr">
        <is>
          <t>Pohon Bunga Kupu-kupu di Polybag 50 Liter</t>
        </is>
      </c>
      <c r="C5176" s="3" t="inlineStr">
        <is>
          <t>pohon</t>
        </is>
      </c>
      <c r="D5176" s="15" t="n">
        <v>1</v>
      </c>
      <c r="E5176" s="4" t="n">
        <v>500000</v>
      </c>
      <c r="F5176" s="4" t="n">
        <v>500000</v>
      </c>
    </row>
    <row r="5177">
      <c r="A5177" s="3" t="inlineStr">
        <is>
          <t>1</t>
        </is>
      </c>
      <c r="B5177" s="3" t="inlineStr">
        <is>
          <t>Fuso (D); R-Blk. 8; 35 m3</t>
        </is>
      </c>
      <c r="C5177" s="3" t="inlineStr">
        <is>
          <t>Jam</t>
        </is>
      </c>
      <c r="D5177" s="15" t="n">
        <v>0.02689307228915663</v>
      </c>
      <c r="E5177" s="4" t="n">
        <v>418543.76</v>
      </c>
      <c r="F5177" s="4" t="n">
        <v>11255.92759385542</v>
      </c>
    </row>
    <row r="5178">
      <c r="D5178" s="2" t="inlineStr">
        <is>
          <t>SUBTOTAL UPAH</t>
        </is>
      </c>
      <c r="F5178" s="16" t="n">
        <v>956.8106312292359</v>
      </c>
    </row>
    <row r="5179">
      <c r="D5179" s="2" t="inlineStr">
        <is>
          <t>SUBTOTAL BAHAN</t>
        </is>
      </c>
      <c r="F5179" s="16" t="n">
        <v>500000</v>
      </c>
    </row>
    <row r="5180">
      <c r="D5180" s="2" t="inlineStr">
        <is>
          <t>SUBTOTAL ALAT</t>
        </is>
      </c>
      <c r="F5180" s="16" t="n">
        <v>11255.92759385542</v>
      </c>
    </row>
    <row r="5181">
      <c r="E5181" s="2" t="inlineStr">
        <is>
          <t>TOTAL HARGA SATUAN (Inc. Overhead)</t>
        </is>
      </c>
      <c r="F5181" s="17" t="n">
        <v>563434</v>
      </c>
    </row>
    <row r="5183">
      <c r="A5183" s="14" t="inlineStr">
        <is>
          <t>KODE: 4.1.1.8 - Analisis Poduktivitas Truck Angkutan Pohon Sedang di Polybag 75 Liter</t>
        </is>
      </c>
    </row>
    <row r="5184">
      <c r="A5184" s="10" t="inlineStr">
        <is>
          <t>No</t>
        </is>
      </c>
      <c r="B5184" s="10" t="inlineStr">
        <is>
          <t>Uraian Komponen</t>
        </is>
      </c>
      <c r="C5184" s="10" t="inlineStr">
        <is>
          <t>Satuan</t>
        </is>
      </c>
      <c r="D5184" s="10" t="inlineStr">
        <is>
          <t>Koef</t>
        </is>
      </c>
      <c r="E5184" s="10" t="inlineStr">
        <is>
          <t>Harga Satuan (Rp)</t>
        </is>
      </c>
      <c r="F5184" s="10" t="inlineStr">
        <is>
          <t>Jumlah Harga (Rp)</t>
        </is>
      </c>
    </row>
    <row r="5185">
      <c r="A5185" s="3" t="n">
        <v>1</v>
      </c>
      <c r="B5185" s="3" t="inlineStr">
        <is>
          <t>Jam Kerja efektif per hari</t>
        </is>
      </c>
      <c r="C5185" s="3" t="inlineStr">
        <is>
          <t>Tk</t>
        </is>
      </c>
      <c r="D5185" s="3" t="n">
        <v>7</v>
      </c>
      <c r="E5185" s="3" t="inlineStr">
        <is>
          <t>Jam</t>
        </is>
      </c>
    </row>
    <row r="5186">
      <c r="A5186" s="3" t="n">
        <v>2</v>
      </c>
      <c r="B5186" s="3" t="inlineStr">
        <is>
          <t>Pemuatan tanaman dilakukan secara manual</t>
        </is>
      </c>
      <c r="C5186" s="3" t="inlineStr">
        <is>
          <t>Fk</t>
        </is>
      </c>
      <c r="D5186" s="3" t="n">
        <v>1.25</v>
      </c>
      <c r="E5186" s="3" t="inlineStr">
        <is>
          <t>-</t>
        </is>
      </c>
      <c r="F5186" s="3" t="inlineStr">
        <is>
          <t>Tabel A.1</t>
        </is>
      </c>
    </row>
    <row r="5187">
      <c r="A5187" s="3" t="n">
        <v>3</v>
      </c>
      <c r="B5187" s="3" t="inlineStr">
        <is>
          <t>Jarak Angkut dari Nursey ke Lokasi pekerjaan</t>
        </is>
      </c>
      <c r="C5187" s="3" t="inlineStr">
        <is>
          <t>L</t>
        </is>
      </c>
      <c r="D5187" s="3" t="n">
        <v>100</v>
      </c>
      <c r="E5187" s="3" t="inlineStr">
        <is>
          <t>km</t>
        </is>
      </c>
    </row>
    <row r="5188">
      <c r="A5188" s="3" t="n">
        <v>4</v>
      </c>
      <c r="B5188" s="3" t="inlineStr">
        <is>
          <t>Angkut Truck 1-jalan dari tempat Nursey ke lokasi perkerjaan</t>
        </is>
      </c>
      <c r="C5188" s="3" t="inlineStr">
        <is>
          <t>Angkut saja</t>
        </is>
      </c>
    </row>
    <row r="5189">
      <c r="A5189" s="3" t="n">
        <v>3.1</v>
      </c>
      <c r="B5189" s="3" t="inlineStr">
        <is>
          <t>Fuso  (D); R-Blk.8; 35 m3</t>
        </is>
      </c>
      <c r="C5189" s="3" t="inlineStr">
        <is>
          <t>10 Ton; 130 HP</t>
        </is>
      </c>
    </row>
    <row r="5190">
      <c r="A5190" s="3" t="inlineStr">
        <is>
          <t>Kapasitas Bak</t>
        </is>
      </c>
      <c r="B5190" s="3" t="inlineStr">
        <is>
          <t>V</t>
        </is>
      </c>
      <c r="C5190" s="3" t="n">
        <v>300</v>
      </c>
      <c r="D5190" s="3" t="inlineStr">
        <is>
          <t>Poly bag</t>
        </is>
      </c>
    </row>
    <row r="5191">
      <c r="A5191" s="3" t="inlineStr">
        <is>
          <t>Faktor Efisiensi Alat (Tabel 7)</t>
        </is>
      </c>
      <c r="B5191" s="3" t="inlineStr">
        <is>
          <t>Fa</t>
        </is>
      </c>
      <c r="C5191" s="3" t="n">
        <v>0.83</v>
      </c>
      <c r="D5191" s="3" t="inlineStr">
        <is>
          <t>-</t>
        </is>
      </c>
      <c r="E5191" s="3" t="inlineStr">
        <is>
          <t>kondisi kerja baik</t>
        </is>
      </c>
    </row>
    <row r="5192">
      <c r="A5192" s="3" t="inlineStr">
        <is>
          <t>Jarak Angkut</t>
        </is>
      </c>
      <c r="B5192" s="3" t="inlineStr">
        <is>
          <t>L</t>
        </is>
      </c>
      <c r="C5192" s="3" t="n">
        <v>100</v>
      </c>
      <c r="D5192" s="3" t="inlineStr">
        <is>
          <t>Km</t>
        </is>
      </c>
    </row>
    <row r="5193">
      <c r="A5193" s="3" t="inlineStr">
        <is>
          <t>Kecepatan ratarata bermuatan (lihat tabel 8)</t>
        </is>
      </c>
      <c r="B5193" s="3" t="inlineStr">
        <is>
          <t>v.1</t>
        </is>
      </c>
      <c r="C5193" s="3" t="n">
        <v>40</v>
      </c>
      <c r="D5193" s="3" t="inlineStr">
        <is>
          <t>Km/jam</t>
        </is>
      </c>
      <c r="E5193" s="3" t="inlineStr">
        <is>
          <t>(Kondisi menanjak atau jalan rusak )</t>
        </is>
      </c>
    </row>
    <row r="5194">
      <c r="A5194" s="3" t="inlineStr">
        <is>
          <t>Kecepatan ratarta kosong (lihat tabel 8)</t>
        </is>
      </c>
      <c r="B5194" s="3" t="inlineStr">
        <is>
          <t>v.2</t>
        </is>
      </c>
      <c r="C5194" s="3" t="n">
        <v>60</v>
      </c>
      <c r="D5194" s="3" t="inlineStr">
        <is>
          <t>Km/jam</t>
        </is>
      </c>
    </row>
    <row r="5195">
      <c r="A5195" s="3" t="inlineStr">
        <is>
          <t>Waktu tempuh isi</t>
        </is>
      </c>
      <c r="B5195" s="3" t="inlineStr">
        <is>
          <t>=</t>
        </is>
      </c>
      <c r="C5195" s="3" t="inlineStr">
        <is>
          <t>( L : v.1) x 60</t>
        </is>
      </c>
      <c r="D5195" s="3" t="inlineStr">
        <is>
          <t>T.1</t>
        </is>
      </c>
      <c r="E5195" s="4" t="n">
        <v>150</v>
      </c>
      <c r="F5195" s="3" t="inlineStr">
        <is>
          <t>menit</t>
        </is>
      </c>
    </row>
    <row r="5196">
      <c r="A5196" s="3" t="inlineStr">
        <is>
          <t>waktu muat &amp; bongkar</t>
        </is>
      </c>
      <c r="B5196" s="3" t="inlineStr">
        <is>
          <t>=</t>
        </is>
      </c>
      <c r="C5196" s="3" t="inlineStr">
        <is>
          <t>( L : v.1) x 60</t>
        </is>
      </c>
      <c r="D5196" s="3" t="inlineStr">
        <is>
          <t>T.2</t>
        </is>
      </c>
      <c r="E5196" s="4" t="n">
        <v>345</v>
      </c>
      <c r="F5196" s="3" t="inlineStr">
        <is>
          <t>menit</t>
        </is>
      </c>
    </row>
    <row r="5197">
      <c r="A5197" s="3" t="inlineStr">
        <is>
          <t>Ts1</t>
        </is>
      </c>
      <c r="B5197" s="3" t="n">
        <v>495</v>
      </c>
      <c r="C5197" s="3" t="inlineStr">
        <is>
          <t>menit</t>
        </is>
      </c>
    </row>
    <row r="5198">
      <c r="A5198" s="3" t="inlineStr">
        <is>
          <t>Kap. Produksi/jam</t>
        </is>
      </c>
      <c r="B5198" s="3" t="inlineStr">
        <is>
          <t>=</t>
        </is>
      </c>
      <c r="C5198" s="3" t="inlineStr">
        <is>
          <t>(V x Fa x 60)/(Ts1)</t>
        </is>
      </c>
      <c r="D5198" s="3" t="inlineStr">
        <is>
          <t>Q.1</t>
        </is>
      </c>
      <c r="E5198" s="4" t="n">
        <v>30.18181818181818</v>
      </c>
      <c r="F5198" s="3" t="inlineStr">
        <is>
          <t>Polybag / jam</t>
        </is>
      </c>
    </row>
    <row r="5199">
      <c r="A5199" s="3" t="inlineStr">
        <is>
          <t>Koefisien Alat/Polybag</t>
        </is>
      </c>
      <c r="B5199" s="3" t="inlineStr">
        <is>
          <t>=</t>
        </is>
      </c>
      <c r="C5199" s="3" t="inlineStr">
        <is>
          <t>1/Q.4</t>
        </is>
      </c>
      <c r="D5199" s="3" t="n">
        <v>0.03313253012048192</v>
      </c>
      <c r="E5199" s="3" t="inlineStr">
        <is>
          <t>Jam</t>
        </is>
      </c>
    </row>
    <row r="5200">
      <c r="A5200" s="3" t="inlineStr">
        <is>
          <t>Jarak dari penyimpanan Nursey ke bak Truck</t>
        </is>
      </c>
      <c r="B5200" s="3" t="inlineStr">
        <is>
          <t>L2</t>
        </is>
      </c>
      <c r="C5200" s="3" t="n">
        <v>0.01</v>
      </c>
      <c r="D5200" s="3" t="inlineStr">
        <is>
          <t>Km</t>
        </is>
      </c>
    </row>
    <row r="5201">
      <c r="A5201" s="3" t="inlineStr">
        <is>
          <t>Polybag yang dimuat/turunkan</t>
        </is>
      </c>
      <c r="B5201" s="3" t="inlineStr">
        <is>
          <t>V</t>
        </is>
      </c>
      <c r="C5201" s="3" t="n">
        <v>1</v>
      </c>
      <c r="D5201" s="3" t="inlineStr">
        <is>
          <t>Polybag</t>
        </is>
      </c>
    </row>
    <row r="5202">
      <c r="A5202" s="3" t="inlineStr">
        <is>
          <t>Faktor Efisiensi TK (Tabel 7)</t>
        </is>
      </c>
      <c r="B5202" s="3" t="inlineStr">
        <is>
          <t>FaTK</t>
        </is>
      </c>
      <c r="C5202" s="3" t="n">
        <v>0.86</v>
      </c>
      <c r="D5202" s="3" t="inlineStr">
        <is>
          <t>-</t>
        </is>
      </c>
      <c r="E5202" s="3" t="inlineStr">
        <is>
          <t>kondisi kerja baik</t>
        </is>
      </c>
    </row>
    <row r="5203">
      <c r="A5203" s="3" t="inlineStr">
        <is>
          <t>- Memuat 1 Polybag dari tempat Nursey ke bak truck</t>
        </is>
      </c>
      <c r="B5203" s="3" t="inlineStr">
        <is>
          <t>T.1</t>
        </is>
      </c>
      <c r="C5203" s="3" t="n">
        <v>0.63</v>
      </c>
      <c r="D5203" s="3" t="inlineStr">
        <is>
          <t>menit</t>
        </is>
      </c>
      <c r="E5203" s="3" t="inlineStr">
        <is>
          <t>muat dan bongkar dibantu 3P</t>
        </is>
      </c>
    </row>
    <row r="5204">
      <c r="A5204" s="3" t="inlineStr">
        <is>
          <t>- Menurunkan 1 Polybag dari bak truck ke penyimpanan di lokasi pekerjaan</t>
        </is>
      </c>
      <c r="B5204" s="3" t="inlineStr">
        <is>
          <t>T.2</t>
        </is>
      </c>
      <c r="C5204" s="3" t="n">
        <v>0.53</v>
      </c>
      <c r="D5204" s="3" t="inlineStr">
        <is>
          <t>menit</t>
        </is>
      </c>
    </row>
    <row r="5205">
      <c r="A5205" s="3" t="inlineStr">
        <is>
          <t>Ts2</t>
        </is>
      </c>
      <c r="B5205" s="3" t="n">
        <v>1.16</v>
      </c>
      <c r="C5205" s="3" t="inlineStr">
        <is>
          <t>menit</t>
        </is>
      </c>
    </row>
    <row r="5206">
      <c r="A5206" s="3" t="inlineStr">
        <is>
          <t>Kap.Tenaga Kerja/jam</t>
        </is>
      </c>
      <c r="B5206" s="3" t="inlineStr">
        <is>
          <t>=</t>
        </is>
      </c>
      <c r="C5206" s="3" t="inlineStr">
        <is>
          <t>(FaTK x 60) / (Ts2)</t>
        </is>
      </c>
      <c r="D5206" s="3" t="inlineStr">
        <is>
          <t>Q.2</t>
        </is>
      </c>
      <c r="E5206" s="4" t="n">
        <v>44.48275862068965</v>
      </c>
      <c r="F5206" s="3" t="inlineStr">
        <is>
          <t>Polybag / jam</t>
        </is>
      </c>
    </row>
    <row r="5207">
      <c r="A5207" s="3" t="inlineStr">
        <is>
          <t>- Pekerja</t>
        </is>
      </c>
      <c r="B5207" s="3" t="inlineStr">
        <is>
          <t>=</t>
        </is>
      </c>
      <c r="C5207" s="3" t="inlineStr">
        <is>
          <t>(Tk x P) : Q.2</t>
        </is>
      </c>
      <c r="D5207" s="3" t="inlineStr">
        <is>
          <t>L.01</t>
        </is>
      </c>
      <c r="E5207" s="4" t="n">
        <v>0.1124031007751938</v>
      </c>
      <c r="F5207" s="3" t="inlineStr">
        <is>
          <t>Jam</t>
        </is>
      </c>
    </row>
    <row r="5208">
      <c r="A5208" s="3" t="inlineStr">
        <is>
          <t>- Mandor</t>
        </is>
      </c>
      <c r="B5208" s="3" t="inlineStr">
        <is>
          <t>=</t>
        </is>
      </c>
      <c r="C5208" s="3" t="inlineStr">
        <is>
          <t>(Tk x M ) : Q.2</t>
        </is>
      </c>
      <c r="D5208" s="3" t="inlineStr">
        <is>
          <t>L.04</t>
        </is>
      </c>
      <c r="E5208" s="4" t="n">
        <v>0.01124031007751938</v>
      </c>
      <c r="F5208" s="3" t="inlineStr">
        <is>
          <t>Jam</t>
        </is>
      </c>
    </row>
    <row r="5209">
      <c r="D5209" s="2" t="inlineStr">
        <is>
          <t>SUBTOTAL UPAH</t>
        </is>
      </c>
      <c r="F5209" s="16" t="n">
        <v>0</v>
      </c>
    </row>
    <row r="5210">
      <c r="D5210" s="2" t="inlineStr">
        <is>
          <t>SUBTOTAL BAHAN</t>
        </is>
      </c>
      <c r="F5210" s="16" t="n">
        <v>0</v>
      </c>
    </row>
    <row r="5211">
      <c r="D5211" s="2" t="inlineStr">
        <is>
          <t>SUBTOTAL ALAT</t>
        </is>
      </c>
      <c r="F5211" s="16" t="n">
        <v>0</v>
      </c>
    </row>
    <row r="5212">
      <c r="E5212" s="2" t="inlineStr">
        <is>
          <t>TOTAL HARGA SATUAN (Inc. Overhead)</t>
        </is>
      </c>
      <c r="F5212" s="17" t="n">
        <v>0</v>
      </c>
    </row>
    <row r="5214">
      <c r="A5214" s="14" t="inlineStr">
        <is>
          <t>KODE: 4.1.1.9 - Pengadaan dan Pengangkutan Pohon Sedang di Polybag 75 Liter</t>
        </is>
      </c>
    </row>
    <row r="5215">
      <c r="A5215" s="10" t="inlineStr">
        <is>
          <t>No</t>
        </is>
      </c>
      <c r="B5215" s="10" t="inlineStr">
        <is>
          <t>Uraian Komponen</t>
        </is>
      </c>
      <c r="C5215" s="10" t="inlineStr">
        <is>
          <t>Satuan</t>
        </is>
      </c>
      <c r="D5215" s="10" t="inlineStr">
        <is>
          <t>Koef</t>
        </is>
      </c>
      <c r="E5215" s="10" t="inlineStr">
        <is>
          <t>Harga Satuan (Rp)</t>
        </is>
      </c>
      <c r="F5215" s="10" t="inlineStr">
        <is>
          <t>Jumlah Harga (Rp)</t>
        </is>
      </c>
    </row>
    <row r="5216">
      <c r="A5216" s="3" t="inlineStr">
        <is>
          <t>1</t>
        </is>
      </c>
      <c r="B5216" s="3" t="inlineStr">
        <is>
          <t>Pekerja</t>
        </is>
      </c>
      <c r="C5216" s="3" t="inlineStr">
        <is>
          <t>OJ</t>
        </is>
      </c>
      <c r="D5216" s="15" t="n">
        <v>0.1124031007751938</v>
      </c>
      <c r="E5216" s="4" t="n">
        <v>14285.71428571429</v>
      </c>
      <c r="F5216" s="4" t="n">
        <v>1605.758582502769</v>
      </c>
    </row>
    <row r="5217">
      <c r="A5217" s="3" t="inlineStr">
        <is>
          <t>2</t>
        </is>
      </c>
      <c r="B5217" s="3" t="inlineStr">
        <is>
          <t>Mandor</t>
        </is>
      </c>
      <c r="C5217" s="3" t="inlineStr">
        <is>
          <t>OJ</t>
        </is>
      </c>
      <c r="D5217" s="15" t="n">
        <v>0.01124031007751938</v>
      </c>
      <c r="E5217" s="4" t="n">
        <v>28571.42857142857</v>
      </c>
      <c r="F5217" s="4" t="n">
        <v>321.1517165005537</v>
      </c>
    </row>
    <row r="5218">
      <c r="A5218" s="3" t="inlineStr">
        <is>
          <t>1</t>
        </is>
      </c>
      <c r="B5218" s="3" t="inlineStr">
        <is>
          <t>Pohon Bunga Kupu-kupu di Polybag 75 Liter</t>
        </is>
      </c>
      <c r="C5218" s="3" t="inlineStr">
        <is>
          <t>pohon</t>
        </is>
      </c>
      <c r="D5218" s="15" t="n">
        <v>1</v>
      </c>
      <c r="E5218" s="4" t="n">
        <v>530000</v>
      </c>
      <c r="F5218" s="4" t="n">
        <v>530000</v>
      </c>
    </row>
    <row r="5219">
      <c r="A5219" s="3" t="inlineStr">
        <is>
          <t>1</t>
        </is>
      </c>
      <c r="B5219" s="3" t="inlineStr">
        <is>
          <t>Fuso (D); R-Blk. 8; 35 m3</t>
        </is>
      </c>
      <c r="C5219" s="3" t="inlineStr">
        <is>
          <t>Jam</t>
        </is>
      </c>
      <c r="D5219" s="15" t="n">
        <v>0.03313253012048192</v>
      </c>
      <c r="E5219" s="4" t="n">
        <v>418543.76</v>
      </c>
      <c r="F5219" s="4" t="n">
        <v>13867.41373493976</v>
      </c>
    </row>
    <row r="5220">
      <c r="D5220" s="2" t="inlineStr">
        <is>
          <t>SUBTOTAL UPAH</t>
        </is>
      </c>
      <c r="F5220" s="16" t="n">
        <v>1926.910299003322</v>
      </c>
    </row>
    <row r="5221">
      <c r="D5221" s="2" t="inlineStr">
        <is>
          <t>SUBTOTAL BAHAN</t>
        </is>
      </c>
      <c r="F5221" s="16" t="n">
        <v>530000</v>
      </c>
    </row>
    <row r="5222">
      <c r="D5222" s="2" t="inlineStr">
        <is>
          <t>SUBTOTAL ALAT</t>
        </is>
      </c>
      <c r="F5222" s="16" t="n">
        <v>13867.41373493976</v>
      </c>
    </row>
    <row r="5223">
      <c r="E5223" s="2" t="inlineStr">
        <is>
          <t>TOTAL HARGA SATUAN (Inc. Overhead)</t>
        </is>
      </c>
      <c r="F5223" s="17" t="n">
        <v>600373</v>
      </c>
    </row>
    <row r="5225">
      <c r="A5225" s="14" t="inlineStr">
        <is>
          <t>KODE: 4.1.1.10 - Analisis Poduktivitas Truck Angkutan Pohon Sedang di Polybag 100 Liter</t>
        </is>
      </c>
    </row>
    <row r="5226">
      <c r="A5226" s="10" t="inlineStr">
        <is>
          <t>No</t>
        </is>
      </c>
      <c r="B5226" s="10" t="inlineStr">
        <is>
          <t>Uraian Komponen</t>
        </is>
      </c>
      <c r="C5226" s="10" t="inlineStr">
        <is>
          <t>Satuan</t>
        </is>
      </c>
      <c r="D5226" s="10" t="inlineStr">
        <is>
          <t>Koef</t>
        </is>
      </c>
      <c r="E5226" s="10" t="inlineStr">
        <is>
          <t>Harga Satuan (Rp)</t>
        </is>
      </c>
      <c r="F5226" s="10" t="inlineStr">
        <is>
          <t>Jumlah Harga (Rp)</t>
        </is>
      </c>
    </row>
    <row r="5227">
      <c r="A5227" s="3" t="n">
        <v>1</v>
      </c>
      <c r="B5227" s="3" t="inlineStr">
        <is>
          <t>Jam Kerja efektif per hari</t>
        </is>
      </c>
      <c r="C5227" s="3" t="inlineStr">
        <is>
          <t>Tk</t>
        </is>
      </c>
      <c r="D5227" s="3" t="n">
        <v>7</v>
      </c>
      <c r="E5227" s="3" t="inlineStr">
        <is>
          <t>Jam</t>
        </is>
      </c>
    </row>
    <row r="5228">
      <c r="A5228" s="3" t="n">
        <v>2</v>
      </c>
      <c r="B5228" s="3" t="inlineStr">
        <is>
          <t>Pemuatan tanaman dilakukan secara manual</t>
        </is>
      </c>
      <c r="C5228" s="3" t="inlineStr">
        <is>
          <t>Fk</t>
        </is>
      </c>
      <c r="D5228" s="3" t="n">
        <v>1.25</v>
      </c>
      <c r="E5228" s="3" t="inlineStr">
        <is>
          <t>-</t>
        </is>
      </c>
      <c r="F5228" s="3" t="inlineStr">
        <is>
          <t>Tabel A.1</t>
        </is>
      </c>
    </row>
    <row r="5229">
      <c r="A5229" s="3" t="n">
        <v>3</v>
      </c>
      <c r="B5229" s="3" t="inlineStr">
        <is>
          <t>Jarak Angkut dari Nursey ke Lokasi pekerjaan</t>
        </is>
      </c>
      <c r="C5229" s="3" t="inlineStr">
        <is>
          <t>L</t>
        </is>
      </c>
      <c r="D5229" s="3" t="n">
        <v>100</v>
      </c>
      <c r="E5229" s="3" t="inlineStr">
        <is>
          <t>km</t>
        </is>
      </c>
    </row>
    <row r="5230">
      <c r="A5230" s="3" t="n">
        <v>4</v>
      </c>
      <c r="B5230" s="3" t="inlineStr">
        <is>
          <t>Angkut Truck 1-jalan dari tempat Nursey ke lokasi perkerjaan</t>
        </is>
      </c>
      <c r="C5230" s="3" t="inlineStr">
        <is>
          <t>Angkut saja</t>
        </is>
      </c>
    </row>
    <row r="5231">
      <c r="A5231" s="3" t="n">
        <v>3.1</v>
      </c>
      <c r="B5231" s="3" t="inlineStr">
        <is>
          <t>Fuso  (D); R-Blk.8; 35 m3</t>
        </is>
      </c>
      <c r="C5231" s="3" t="inlineStr">
        <is>
          <t>10 Ton; 130 HP</t>
        </is>
      </c>
    </row>
    <row r="5232">
      <c r="A5232" s="3" t="inlineStr">
        <is>
          <t>Kapasitas Bak</t>
        </is>
      </c>
      <c r="B5232" s="3" t="inlineStr">
        <is>
          <t>V</t>
        </is>
      </c>
      <c r="C5232" s="3" t="n">
        <v>60</v>
      </c>
      <c r="D5232" s="3" t="inlineStr">
        <is>
          <t>Poly bag</t>
        </is>
      </c>
    </row>
    <row r="5233">
      <c r="A5233" s="3" t="inlineStr">
        <is>
          <t>Faktor Efisiensi Alat (Tabel 7)</t>
        </is>
      </c>
      <c r="B5233" s="3" t="inlineStr">
        <is>
          <t>Fa</t>
        </is>
      </c>
      <c r="C5233" s="3" t="n">
        <v>0.83</v>
      </c>
      <c r="D5233" s="3" t="inlineStr">
        <is>
          <t>-</t>
        </is>
      </c>
      <c r="E5233" s="3" t="inlineStr">
        <is>
          <t>kondisi kerja baik</t>
        </is>
      </c>
    </row>
    <row r="5234">
      <c r="A5234" s="3" t="inlineStr">
        <is>
          <t>Jarak Angkut</t>
        </is>
      </c>
      <c r="B5234" s="3" t="inlineStr">
        <is>
          <t>L</t>
        </is>
      </c>
      <c r="C5234" s="3" t="n">
        <v>100</v>
      </c>
      <c r="D5234" s="3" t="inlineStr">
        <is>
          <t>Km</t>
        </is>
      </c>
    </row>
    <row r="5235">
      <c r="A5235" s="3" t="inlineStr">
        <is>
          <t>Kecepatan ratarata bermuatan (lihat tabel 8)</t>
        </is>
      </c>
      <c r="B5235" s="3" t="inlineStr">
        <is>
          <t>v.1</t>
        </is>
      </c>
      <c r="C5235" s="3" t="n">
        <v>40</v>
      </c>
      <c r="D5235" s="3" t="inlineStr">
        <is>
          <t>Km/jam</t>
        </is>
      </c>
      <c r="E5235" s="3" t="inlineStr">
        <is>
          <t>(Kondisi menanjak atau jalan rusak )</t>
        </is>
      </c>
    </row>
    <row r="5236">
      <c r="A5236" s="3" t="inlineStr">
        <is>
          <t>Kecepatan ratarta kosong (lihat tabel 8)</t>
        </is>
      </c>
      <c r="B5236" s="3" t="inlineStr">
        <is>
          <t>v.2</t>
        </is>
      </c>
      <c r="C5236" s="3" t="n">
        <v>60</v>
      </c>
      <c r="D5236" s="3" t="inlineStr">
        <is>
          <t>Km/jam</t>
        </is>
      </c>
    </row>
    <row r="5237">
      <c r="A5237" s="3" t="inlineStr">
        <is>
          <t>Waktu tempuh isi</t>
        </is>
      </c>
      <c r="B5237" s="3" t="inlineStr">
        <is>
          <t>=</t>
        </is>
      </c>
      <c r="C5237" s="3" t="inlineStr">
        <is>
          <t>( L : v.1) x 60</t>
        </is>
      </c>
      <c r="D5237" s="3" t="inlineStr">
        <is>
          <t>T.1</t>
        </is>
      </c>
      <c r="E5237" s="4" t="n">
        <v>150</v>
      </c>
      <c r="F5237" s="3" t="inlineStr">
        <is>
          <t>menit</t>
        </is>
      </c>
    </row>
    <row r="5238">
      <c r="A5238" s="3" t="inlineStr">
        <is>
          <t>waktu muat &amp; bongkar</t>
        </is>
      </c>
      <c r="B5238" s="3" t="inlineStr">
        <is>
          <t>=</t>
        </is>
      </c>
      <c r="C5238" s="3" t="inlineStr">
        <is>
          <t>( L : v.1) x 60</t>
        </is>
      </c>
      <c r="D5238" s="3" t="inlineStr">
        <is>
          <t>T.2</t>
        </is>
      </c>
      <c r="E5238" s="4" t="n">
        <v>393.6</v>
      </c>
      <c r="F5238" s="3" t="inlineStr">
        <is>
          <t>menit</t>
        </is>
      </c>
    </row>
    <row r="5239">
      <c r="A5239" s="3" t="inlineStr">
        <is>
          <t>Ts1</t>
        </is>
      </c>
      <c r="B5239" s="3" t="n">
        <v>543.6</v>
      </c>
      <c r="C5239" s="3" t="inlineStr">
        <is>
          <t>menit</t>
        </is>
      </c>
    </row>
    <row r="5240">
      <c r="A5240" s="3" t="inlineStr">
        <is>
          <t>Kap. Produksi/jam</t>
        </is>
      </c>
      <c r="B5240" s="3" t="inlineStr">
        <is>
          <t>=</t>
        </is>
      </c>
      <c r="C5240" s="3" t="inlineStr">
        <is>
          <t>(V x Fa x 60)/(Ts1)</t>
        </is>
      </c>
      <c r="D5240" s="3" t="inlineStr">
        <is>
          <t>Q.1</t>
        </is>
      </c>
      <c r="E5240" s="4" t="n">
        <v>5.496688741721854</v>
      </c>
      <c r="F5240" s="3" t="inlineStr">
        <is>
          <t>Polybag / jam</t>
        </is>
      </c>
    </row>
    <row r="5241">
      <c r="A5241" s="3" t="inlineStr">
        <is>
          <t>Koefisien Alat/Polybag</t>
        </is>
      </c>
      <c r="B5241" s="3" t="inlineStr">
        <is>
          <t>=</t>
        </is>
      </c>
      <c r="C5241" s="3" t="inlineStr">
        <is>
          <t>1/Q.1</t>
        </is>
      </c>
      <c r="D5241" s="3" t="n">
        <v>0.1819277108433735</v>
      </c>
      <c r="E5241" s="3" t="inlineStr">
        <is>
          <t>Jam</t>
        </is>
      </c>
    </row>
    <row r="5242">
      <c r="A5242" s="3" t="n">
        <v>3.2</v>
      </c>
      <c r="B5242" s="3" t="inlineStr">
        <is>
          <t>Crane Truck 3 Ton; Winch 5 Ton</t>
        </is>
      </c>
      <c r="C5242" s="3" t="inlineStr">
        <is>
          <t>"Daya angkat 3 ton &gt;0</t>
        </is>
      </c>
      <c r="D5242" s="3" t="inlineStr">
        <is>
          <t>2 ton "</t>
        </is>
      </c>
    </row>
    <row r="5243">
      <c r="A5243" s="3" t="inlineStr">
        <is>
          <t>Kapasitas (Kontinyu)</t>
        </is>
      </c>
      <c r="B5243" s="3" t="inlineStr">
        <is>
          <t>V</t>
        </is>
      </c>
      <c r="C5243" s="3" t="n">
        <v>1</v>
      </c>
      <c r="D5243" s="3" t="inlineStr">
        <is>
          <t>Polybag</t>
        </is>
      </c>
    </row>
    <row r="5244">
      <c r="A5244" s="3" t="inlineStr">
        <is>
          <t>Faktor Efisiensi Alat ( Tabel 4)</t>
        </is>
      </c>
      <c r="B5244" s="3" t="inlineStr">
        <is>
          <t>Fa</t>
        </is>
      </c>
      <c r="C5244" s="3" t="n">
        <v>0.83</v>
      </c>
      <c r="D5244" s="3" t="inlineStr">
        <is>
          <t>-</t>
        </is>
      </c>
      <c r="E5244" s="3" t="inlineStr">
        <is>
          <t>Pemeliharaan mesin baik</t>
        </is>
      </c>
    </row>
    <row r="5245">
      <c r="A5245" s="3" t="inlineStr">
        <is>
          <t>- Pemasangan Pengikat pada Polybag ke Pengait arm Crane di tempat nursey</t>
        </is>
      </c>
      <c r="B5245" s="3" t="inlineStr">
        <is>
          <t>T.1</t>
        </is>
      </c>
      <c r="C5245" s="3" t="n">
        <v>2.03</v>
      </c>
      <c r="D5245" s="3" t="inlineStr">
        <is>
          <t>menit</t>
        </is>
      </c>
      <c r="E5245" s="3" t="inlineStr">
        <is>
          <t>muat dan bongkar dibantu 4P</t>
        </is>
      </c>
    </row>
    <row r="5246">
      <c r="A5246" s="3" t="inlineStr">
        <is>
          <t>" - Angkut arm+polybag dari tempat Nusey</t>
        </is>
      </c>
      <c r="B5246" s="3" t="inlineStr">
        <is>
          <t>swing</t>
        </is>
      </c>
      <c r="C5246" s="3" t="inlineStr">
        <is>
          <t>tempatkan di bak truck + lepas pengikat olybag "</t>
        </is>
      </c>
      <c r="D5246" s="3" t="inlineStr">
        <is>
          <t>T.2</t>
        </is>
      </c>
      <c r="E5246" s="4" t="n">
        <v>1.35</v>
      </c>
      <c r="F5246" s="3" t="inlineStr">
        <is>
          <t>menit</t>
        </is>
      </c>
    </row>
    <row r="5247">
      <c r="A5247" s="3" t="inlineStr">
        <is>
          <t>- Pemasangan pengikat pada polybag di bak truck ke pengait arm crane di lokasi pekerjaan</t>
        </is>
      </c>
      <c r="B5247" s="3" t="inlineStr">
        <is>
          <t>T.3</t>
        </is>
      </c>
      <c r="C5247" s="3" t="n">
        <v>1.91</v>
      </c>
      <c r="D5247" s="3" t="inlineStr">
        <is>
          <t>menit</t>
        </is>
      </c>
    </row>
    <row r="5248">
      <c r="A5248" s="3" t="inlineStr">
        <is>
          <t>" - Angkat arm+polybag dari bak truck</t>
        </is>
      </c>
      <c r="B5248" s="3" t="inlineStr">
        <is>
          <t>swing</t>
        </is>
      </c>
      <c r="C5248" s="3" t="inlineStr">
        <is>
          <t>tempatkan di lokasi pekerjaan + lepas pengikat polybag"</t>
        </is>
      </c>
      <c r="D5248" s="3" t="inlineStr">
        <is>
          <t>T.4</t>
        </is>
      </c>
      <c r="E5248" s="4" t="n">
        <v>1.27</v>
      </c>
      <c r="F5248" s="3" t="inlineStr">
        <is>
          <t>menit</t>
        </is>
      </c>
    </row>
    <row r="5249">
      <c r="A5249" s="3" t="inlineStr">
        <is>
          <t>Ts2</t>
        </is>
      </c>
      <c r="B5249" s="3" t="n">
        <v>6.56</v>
      </c>
      <c r="C5249" s="3" t="inlineStr">
        <is>
          <t>menit</t>
        </is>
      </c>
    </row>
    <row r="5250">
      <c r="A5250" s="3" t="inlineStr">
        <is>
          <t>Kap. Produksi/jam</t>
        </is>
      </c>
      <c r="B5250" s="3" t="inlineStr">
        <is>
          <t>=</t>
        </is>
      </c>
      <c r="C5250" s="3" t="inlineStr">
        <is>
          <t>(V xFa x 60) / (Ts2)</t>
        </is>
      </c>
      <c r="D5250" s="3" t="inlineStr">
        <is>
          <t>Q.2</t>
        </is>
      </c>
      <c r="E5250" s="4" t="n">
        <v>7.591463414634146</v>
      </c>
      <c r="F5250" s="3" t="inlineStr">
        <is>
          <t>Polybag / jam</t>
        </is>
      </c>
    </row>
    <row r="5251">
      <c r="A5251" s="3" t="inlineStr">
        <is>
          <t>Koefisien ALAT/Polybag</t>
        </is>
      </c>
      <c r="B5251" s="3" t="n">
        <v>0.1317269076305221</v>
      </c>
      <c r="C5251" s="3" t="inlineStr">
        <is>
          <t>jam</t>
        </is>
      </c>
    </row>
    <row r="5252">
      <c r="A5252" s="3" t="inlineStr">
        <is>
          <t>- Pekerja</t>
        </is>
      </c>
      <c r="B5252" s="3" t="inlineStr">
        <is>
          <t>=</t>
        </is>
      </c>
      <c r="C5252" s="3" t="inlineStr">
        <is>
          <t>(Tk x P) : Q.2</t>
        </is>
      </c>
      <c r="D5252" s="3" t="inlineStr">
        <is>
          <t>L.01</t>
        </is>
      </c>
      <c r="E5252" s="4" t="n">
        <v>0.5269076305220884</v>
      </c>
      <c r="F5252" s="3" t="inlineStr">
        <is>
          <t>OJ</t>
        </is>
      </c>
    </row>
    <row r="5253">
      <c r="A5253" s="3" t="inlineStr">
        <is>
          <t>- Mandor</t>
        </is>
      </c>
      <c r="B5253" s="3" t="inlineStr">
        <is>
          <t>=</t>
        </is>
      </c>
      <c r="C5253" s="3" t="inlineStr">
        <is>
          <t>(Tk x M ) : Q.2</t>
        </is>
      </c>
      <c r="D5253" s="3" t="inlineStr">
        <is>
          <t>L.04</t>
        </is>
      </c>
      <c r="E5253" s="4" t="n">
        <v>0.05269076305220884</v>
      </c>
      <c r="F5253" s="3" t="inlineStr">
        <is>
          <t>OJ</t>
        </is>
      </c>
    </row>
    <row r="5254">
      <c r="D5254" s="2" t="inlineStr">
        <is>
          <t>SUBTOTAL UPAH</t>
        </is>
      </c>
      <c r="F5254" s="16" t="n">
        <v>0</v>
      </c>
    </row>
    <row r="5255">
      <c r="D5255" s="2" t="inlineStr">
        <is>
          <t>SUBTOTAL BAHAN</t>
        </is>
      </c>
      <c r="F5255" s="16" t="n">
        <v>0</v>
      </c>
    </row>
    <row r="5256">
      <c r="D5256" s="2" t="inlineStr">
        <is>
          <t>SUBTOTAL ALAT</t>
        </is>
      </c>
      <c r="F5256" s="16" t="n">
        <v>0</v>
      </c>
    </row>
    <row r="5257">
      <c r="E5257" s="2" t="inlineStr">
        <is>
          <t>TOTAL HARGA SATUAN (Inc. Overhead)</t>
        </is>
      </c>
      <c r="F5257" s="17" t="n">
        <v>0</v>
      </c>
    </row>
    <row r="5259">
      <c r="A5259" s="14" t="inlineStr">
        <is>
          <t>KODE: 4.1.1.11 - Pengadaan dan Pengangkutan Pohon Besar di Polybag 100 Liter</t>
        </is>
      </c>
    </row>
    <row r="5260">
      <c r="A5260" s="10" t="inlineStr">
        <is>
          <t>No</t>
        </is>
      </c>
      <c r="B5260" s="10" t="inlineStr">
        <is>
          <t>Uraian Komponen</t>
        </is>
      </c>
      <c r="C5260" s="10" t="inlineStr">
        <is>
          <t>Satuan</t>
        </is>
      </c>
      <c r="D5260" s="10" t="inlineStr">
        <is>
          <t>Koef</t>
        </is>
      </c>
      <c r="E5260" s="10" t="inlineStr">
        <is>
          <t>Harga Satuan (Rp)</t>
        </is>
      </c>
      <c r="F5260" s="10" t="inlineStr">
        <is>
          <t>Jumlah Harga (Rp)</t>
        </is>
      </c>
    </row>
    <row r="5261">
      <c r="A5261" s="3" t="inlineStr">
        <is>
          <t>1</t>
        </is>
      </c>
      <c r="B5261" s="3" t="inlineStr">
        <is>
          <t>Pekerja</t>
        </is>
      </c>
      <c r="C5261" s="3" t="inlineStr">
        <is>
          <t>OJ</t>
        </is>
      </c>
      <c r="D5261" s="15" t="n">
        <v>0.5269076305220884</v>
      </c>
      <c r="E5261" s="4" t="n">
        <v>14285.71428571429</v>
      </c>
      <c r="F5261" s="4" t="n">
        <v>7527.251864601264</v>
      </c>
    </row>
    <row r="5262">
      <c r="A5262" s="3" t="inlineStr">
        <is>
          <t>2</t>
        </is>
      </c>
      <c r="B5262" s="3" t="inlineStr">
        <is>
          <t>Mandor</t>
        </is>
      </c>
      <c r="C5262" s="3" t="inlineStr">
        <is>
          <t>OJ</t>
        </is>
      </c>
      <c r="D5262" s="15" t="n">
        <v>0.05269076305220884</v>
      </c>
      <c r="E5262" s="4" t="n">
        <v>28571.42857142857</v>
      </c>
      <c r="F5262" s="4" t="n">
        <v>1505.450372920253</v>
      </c>
    </row>
    <row r="5263">
      <c r="A5263" s="3" t="inlineStr">
        <is>
          <t>1</t>
        </is>
      </c>
      <c r="B5263" s="3" t="inlineStr">
        <is>
          <t>Pohon Mahoni di Polybag 100 Liter</t>
        </is>
      </c>
      <c r="C5263" s="3" t="inlineStr">
        <is>
          <t>pohon</t>
        </is>
      </c>
      <c r="D5263" s="15" t="n">
        <v>1</v>
      </c>
      <c r="E5263" s="4" t="n">
        <v>400000</v>
      </c>
      <c r="F5263" s="4" t="n">
        <v>400000</v>
      </c>
    </row>
    <row r="5264">
      <c r="A5264" s="3" t="inlineStr">
        <is>
          <t>1</t>
        </is>
      </c>
      <c r="B5264" s="3" t="inlineStr">
        <is>
          <t>Fuso (D); R-Blk. 8; 35 m3</t>
        </is>
      </c>
      <c r="C5264" s="3" t="inlineStr">
        <is>
          <t>Jam</t>
        </is>
      </c>
      <c r="D5264" s="15" t="n">
        <v>0.1819277108433735</v>
      </c>
      <c r="E5264" s="4" t="n">
        <v>418543.76</v>
      </c>
      <c r="F5264" s="4" t="n">
        <v>76144.70814457831</v>
      </c>
    </row>
    <row r="5265">
      <c r="A5265" s="3" t="inlineStr">
        <is>
          <t>2</t>
        </is>
      </c>
      <c r="B5265" s="3" t="inlineStr">
        <is>
          <t>Crane Truck 3 ton; Winch 5 Ton</t>
        </is>
      </c>
      <c r="C5265" s="3" t="inlineStr">
        <is>
          <t>Jam</t>
        </is>
      </c>
      <c r="D5265" s="15" t="n">
        <v>0.1317269076305221</v>
      </c>
      <c r="E5265" s="4" t="n">
        <v>430662.86</v>
      </c>
      <c r="F5265" s="4" t="n">
        <v>56729.88677911647</v>
      </c>
    </row>
    <row r="5266">
      <c r="D5266" s="2" t="inlineStr">
        <is>
          <t>SUBTOTAL UPAH</t>
        </is>
      </c>
      <c r="F5266" s="16" t="n">
        <v>9032.702237521517</v>
      </c>
    </row>
    <row r="5267">
      <c r="D5267" s="2" t="inlineStr">
        <is>
          <t>SUBTOTAL BAHAN</t>
        </is>
      </c>
      <c r="F5267" s="16" t="n">
        <v>400000</v>
      </c>
    </row>
    <row r="5268">
      <c r="D5268" s="2" t="inlineStr">
        <is>
          <t>SUBTOTAL ALAT</t>
        </is>
      </c>
      <c r="F5268" s="16" t="n">
        <v>132874.5949236948</v>
      </c>
    </row>
    <row r="5269">
      <c r="E5269" s="2" t="inlineStr">
        <is>
          <t>TOTAL HARGA SATUAN (Inc. Overhead)</t>
        </is>
      </c>
      <c r="F5269" s="17" t="n">
        <v>596098</v>
      </c>
    </row>
    <row r="5271">
      <c r="A5271" s="14" t="inlineStr">
        <is>
          <t>KODE: 4.1.1.12 - Analisis Poduktivitas Truck Angkutan Pohon Sedang di Polybag 150 Liter</t>
        </is>
      </c>
    </row>
    <row r="5272">
      <c r="A5272" s="10" t="inlineStr">
        <is>
          <t>No</t>
        </is>
      </c>
      <c r="B5272" s="10" t="inlineStr">
        <is>
          <t>Uraian Komponen</t>
        </is>
      </c>
      <c r="C5272" s="10" t="inlineStr">
        <is>
          <t>Satuan</t>
        </is>
      </c>
      <c r="D5272" s="10" t="inlineStr">
        <is>
          <t>Koef</t>
        </is>
      </c>
      <c r="E5272" s="10" t="inlineStr">
        <is>
          <t>Harga Satuan (Rp)</t>
        </is>
      </c>
      <c r="F5272" s="10" t="inlineStr">
        <is>
          <t>Jumlah Harga (Rp)</t>
        </is>
      </c>
    </row>
    <row r="5273">
      <c r="A5273" s="3" t="n">
        <v>1</v>
      </c>
      <c r="B5273" s="3" t="inlineStr">
        <is>
          <t>Jam Kerja efektif per hari</t>
        </is>
      </c>
      <c r="C5273" s="3" t="inlineStr">
        <is>
          <t>Tk</t>
        </is>
      </c>
      <c r="D5273" s="3" t="n">
        <v>7</v>
      </c>
      <c r="E5273" s="3" t="inlineStr">
        <is>
          <t>Jam</t>
        </is>
      </c>
    </row>
    <row r="5274">
      <c r="A5274" s="3" t="n">
        <v>2</v>
      </c>
      <c r="B5274" s="3" t="inlineStr">
        <is>
          <t>Pemuatan tanaman dilakukan secara manual</t>
        </is>
      </c>
      <c r="C5274" s="3" t="inlineStr">
        <is>
          <t>Fk</t>
        </is>
      </c>
      <c r="D5274" s="3" t="n">
        <v>1.25</v>
      </c>
      <c r="E5274" s="3" t="inlineStr">
        <is>
          <t>-</t>
        </is>
      </c>
      <c r="F5274" s="3" t="inlineStr">
        <is>
          <t>Tabel A.1</t>
        </is>
      </c>
    </row>
    <row r="5275">
      <c r="A5275" s="3" t="n">
        <v>3</v>
      </c>
      <c r="B5275" s="3" t="inlineStr">
        <is>
          <t>Jarak Angkut dari Nursey ke Lokasi pekerjaan</t>
        </is>
      </c>
      <c r="C5275" s="3" t="inlineStr">
        <is>
          <t>L</t>
        </is>
      </c>
      <c r="D5275" s="3" t="n">
        <v>100</v>
      </c>
      <c r="E5275" s="3" t="inlineStr">
        <is>
          <t>km</t>
        </is>
      </c>
    </row>
    <row r="5276">
      <c r="A5276" s="3" t="n">
        <v>4</v>
      </c>
      <c r="B5276" s="3" t="inlineStr">
        <is>
          <t>Angkut Truck 1-jalan dari tempat Nursey ke lokasi perkerjaan</t>
        </is>
      </c>
      <c r="C5276" s="3" t="inlineStr">
        <is>
          <t>Angkut saja</t>
        </is>
      </c>
    </row>
    <row r="5277">
      <c r="A5277" s="3" t="n">
        <v>3.1</v>
      </c>
      <c r="B5277" s="3" t="inlineStr">
        <is>
          <t>Fuso  (D); R-Blk.8; 35 m3</t>
        </is>
      </c>
      <c r="C5277" s="3" t="inlineStr">
        <is>
          <t>10 Ton; 130 HP</t>
        </is>
      </c>
    </row>
    <row r="5278">
      <c r="A5278" s="3" t="inlineStr">
        <is>
          <t>Kapasitas Bak</t>
        </is>
      </c>
      <c r="B5278" s="3" t="inlineStr">
        <is>
          <t>V</t>
        </is>
      </c>
      <c r="C5278" s="3" t="n">
        <v>50</v>
      </c>
      <c r="D5278" s="3" t="inlineStr">
        <is>
          <t>Poly bag</t>
        </is>
      </c>
    </row>
    <row r="5279">
      <c r="A5279" s="3" t="inlineStr">
        <is>
          <t>Faktor Efisiensi Alat (Tabel 7)</t>
        </is>
      </c>
      <c r="B5279" s="3" t="inlineStr">
        <is>
          <t>Fa</t>
        </is>
      </c>
      <c r="C5279" s="3" t="n">
        <v>0.83</v>
      </c>
      <c r="D5279" s="3" t="inlineStr">
        <is>
          <t>-</t>
        </is>
      </c>
      <c r="E5279" s="3" t="inlineStr">
        <is>
          <t>kondisi kerja baik</t>
        </is>
      </c>
    </row>
    <row r="5280">
      <c r="A5280" s="3" t="inlineStr">
        <is>
          <t>Jarak Angkut</t>
        </is>
      </c>
      <c r="B5280" s="3" t="inlineStr">
        <is>
          <t>L</t>
        </is>
      </c>
      <c r="C5280" s="3" t="n">
        <v>100</v>
      </c>
      <c r="D5280" s="3" t="inlineStr">
        <is>
          <t>Km</t>
        </is>
      </c>
    </row>
    <row r="5281">
      <c r="A5281" s="3" t="inlineStr">
        <is>
          <t>Kecepatan ratarata bermuatan (lihat tabel 8)</t>
        </is>
      </c>
      <c r="B5281" s="3" t="inlineStr">
        <is>
          <t>v.1</t>
        </is>
      </c>
      <c r="C5281" s="3" t="n">
        <v>40</v>
      </c>
      <c r="D5281" s="3" t="inlineStr">
        <is>
          <t>Km/jam</t>
        </is>
      </c>
      <c r="E5281" s="3" t="inlineStr">
        <is>
          <t>(Kondisi menanjak atau jalan rusak )</t>
        </is>
      </c>
    </row>
    <row r="5282">
      <c r="A5282" s="3" t="inlineStr">
        <is>
          <t>Kecepatan ratarta kosong (lihat tabel 8)</t>
        </is>
      </c>
      <c r="B5282" s="3" t="inlineStr">
        <is>
          <t>v.2</t>
        </is>
      </c>
      <c r="C5282" s="3" t="n">
        <v>60</v>
      </c>
      <c r="D5282" s="3" t="inlineStr">
        <is>
          <t>Km/jam</t>
        </is>
      </c>
    </row>
    <row r="5283">
      <c r="A5283" s="3" t="inlineStr">
        <is>
          <t>Waktu tempuh isi</t>
        </is>
      </c>
      <c r="B5283" s="3" t="inlineStr">
        <is>
          <t>=</t>
        </is>
      </c>
      <c r="C5283" s="3" t="inlineStr">
        <is>
          <t>( L : v.1) x 60</t>
        </is>
      </c>
      <c r="D5283" s="3" t="inlineStr">
        <is>
          <t>T.1</t>
        </is>
      </c>
      <c r="E5283" s="4" t="n">
        <v>150</v>
      </c>
      <c r="F5283" s="3" t="inlineStr">
        <is>
          <t>menit</t>
        </is>
      </c>
    </row>
    <row r="5284">
      <c r="A5284" s="3" t="inlineStr">
        <is>
          <t>waktu muat &amp; bongkar</t>
        </is>
      </c>
      <c r="B5284" s="3" t="inlineStr">
        <is>
          <t>=</t>
        </is>
      </c>
      <c r="C5284" s="3" t="inlineStr">
        <is>
          <t>( L : v.1) x 60</t>
        </is>
      </c>
      <c r="D5284" s="3" t="inlineStr">
        <is>
          <t>T.2</t>
        </is>
      </c>
      <c r="E5284" s="4" t="n">
        <v>338.25</v>
      </c>
      <c r="F5284" s="3" t="inlineStr">
        <is>
          <t>menit</t>
        </is>
      </c>
    </row>
    <row r="5285">
      <c r="A5285" s="3" t="inlineStr">
        <is>
          <t>Ts1</t>
        </is>
      </c>
      <c r="B5285" s="3" t="n">
        <v>488.25</v>
      </c>
      <c r="C5285" s="3" t="inlineStr">
        <is>
          <t>menit</t>
        </is>
      </c>
    </row>
    <row r="5286">
      <c r="A5286" s="3" t="inlineStr">
        <is>
          <t>Kap. Produksi/jam</t>
        </is>
      </c>
      <c r="B5286" s="3" t="inlineStr">
        <is>
          <t>=</t>
        </is>
      </c>
      <c r="C5286" s="3" t="inlineStr">
        <is>
          <t>(V x Fa x 60)/(Ts1)</t>
        </is>
      </c>
      <c r="D5286" s="3" t="inlineStr">
        <is>
          <t>Q.1</t>
        </is>
      </c>
      <c r="E5286" s="4" t="n">
        <v>5.099846390168971</v>
      </c>
      <c r="F5286" s="3" t="inlineStr">
        <is>
          <t>Polybag / jam</t>
        </is>
      </c>
    </row>
    <row r="5287">
      <c r="A5287" s="3" t="inlineStr">
        <is>
          <t>Koefisien Alat/Polybag</t>
        </is>
      </c>
      <c r="B5287" s="3" t="inlineStr">
        <is>
          <t>=</t>
        </is>
      </c>
      <c r="C5287" s="3" t="inlineStr">
        <is>
          <t>1/Q.1</t>
        </is>
      </c>
      <c r="D5287" s="3" t="n">
        <v>0.1960843373493976</v>
      </c>
      <c r="E5287" s="3" t="inlineStr">
        <is>
          <t>Jam</t>
        </is>
      </c>
    </row>
    <row r="5288">
      <c r="A5288" s="3" t="n">
        <v>3.2</v>
      </c>
      <c r="B5288" s="3" t="inlineStr">
        <is>
          <t>Crane Truck 3 Ton; Winch 5 Ton</t>
        </is>
      </c>
      <c r="C5288" s="3" t="inlineStr">
        <is>
          <t>"Daya angkat 3 ton &gt;0</t>
        </is>
      </c>
      <c r="D5288" s="3" t="inlineStr">
        <is>
          <t>2 ton "</t>
        </is>
      </c>
    </row>
    <row r="5289">
      <c r="A5289" s="3" t="inlineStr">
        <is>
          <t>Kapasitas (Kontinyu)</t>
        </is>
      </c>
      <c r="B5289" s="3" t="inlineStr">
        <is>
          <t>V</t>
        </is>
      </c>
      <c r="C5289" s="3" t="n">
        <v>1</v>
      </c>
      <c r="D5289" s="3" t="inlineStr">
        <is>
          <t>Polybag</t>
        </is>
      </c>
    </row>
    <row r="5290">
      <c r="A5290" s="3" t="inlineStr">
        <is>
          <t>Faktor Efisiensi Alat ( Tabel 4)</t>
        </is>
      </c>
      <c r="B5290" s="3" t="inlineStr">
        <is>
          <t>Fa</t>
        </is>
      </c>
      <c r="C5290" s="3" t="n">
        <v>0.83</v>
      </c>
      <c r="D5290" s="3" t="inlineStr">
        <is>
          <t>-</t>
        </is>
      </c>
      <c r="E5290" s="3" t="inlineStr">
        <is>
          <t>Pemeliharaan mesin baik</t>
        </is>
      </c>
    </row>
    <row r="5291">
      <c r="A5291" s="3" t="inlineStr">
        <is>
          <t>- Pemasangan Pengikat pada Polybag ke Pengait arm Crane di tempat nursey</t>
        </is>
      </c>
      <c r="B5291" s="3" t="inlineStr">
        <is>
          <t>T.1</t>
        </is>
      </c>
      <c r="C5291" s="3" t="n">
        <v>2.12</v>
      </c>
      <c r="D5291" s="3" t="inlineStr">
        <is>
          <t>menit</t>
        </is>
      </c>
      <c r="E5291" s="3" t="inlineStr">
        <is>
          <t>muat dan bongkar dibantu 4P</t>
        </is>
      </c>
    </row>
    <row r="5292">
      <c r="A5292" s="3" t="inlineStr">
        <is>
          <t>" - Angkut arm+polybag dari tempat Nusey</t>
        </is>
      </c>
      <c r="B5292" s="3" t="inlineStr">
        <is>
          <t>swing</t>
        </is>
      </c>
      <c r="C5292" s="3" t="inlineStr">
        <is>
          <t>tempatkan di bak truck + lepas pengikat polybag "</t>
        </is>
      </c>
      <c r="D5292" s="3" t="inlineStr">
        <is>
          <t>T.2</t>
        </is>
      </c>
      <c r="E5292" s="4" t="n">
        <v>1.41</v>
      </c>
      <c r="F5292" s="3" t="inlineStr">
        <is>
          <t>menit</t>
        </is>
      </c>
    </row>
    <row r="5293">
      <c r="A5293" s="3" t="inlineStr">
        <is>
          <t>- Pemasangan pengikat pada polybag di bak truck ke pengait arm crane di lokasi pekerjaan</t>
        </is>
      </c>
      <c r="B5293" s="3" t="inlineStr">
        <is>
          <t>T.3</t>
        </is>
      </c>
      <c r="C5293" s="3" t="n">
        <v>1.94</v>
      </c>
      <c r="D5293" s="3" t="inlineStr">
        <is>
          <t>menit</t>
        </is>
      </c>
    </row>
    <row r="5294">
      <c r="A5294" s="3" t="inlineStr">
        <is>
          <t>" - Angkat arm+polybag dari bak truck</t>
        </is>
      </c>
      <c r="B5294" s="3" t="inlineStr">
        <is>
          <t>swing</t>
        </is>
      </c>
      <c r="C5294" s="3" t="inlineStr">
        <is>
          <t>tempatkan di lokasi pekerjaan + lepas pengikat polybag"</t>
        </is>
      </c>
      <c r="D5294" s="3" t="inlineStr">
        <is>
          <t>T.4</t>
        </is>
      </c>
      <c r="E5294" s="4" t="n">
        <v>1.29</v>
      </c>
      <c r="F5294" s="3" t="inlineStr">
        <is>
          <t>menit</t>
        </is>
      </c>
    </row>
    <row r="5295">
      <c r="A5295" s="3" t="inlineStr">
        <is>
          <t>Ts2</t>
        </is>
      </c>
      <c r="B5295" s="3" t="n">
        <v>6.760000000000001</v>
      </c>
      <c r="C5295" s="3" t="inlineStr">
        <is>
          <t>menit</t>
        </is>
      </c>
    </row>
    <row r="5296">
      <c r="A5296" s="3" t="inlineStr">
        <is>
          <t>Kap. Produksi/jam</t>
        </is>
      </c>
      <c r="B5296" s="3" t="inlineStr">
        <is>
          <t>=</t>
        </is>
      </c>
      <c r="C5296" s="3" t="inlineStr">
        <is>
          <t>(V xFa x 60) / (Ts2)</t>
        </is>
      </c>
      <c r="D5296" s="3" t="inlineStr">
        <is>
          <t>Q.2</t>
        </is>
      </c>
      <c r="E5296" s="4" t="n">
        <v>7.366863905325443</v>
      </c>
      <c r="F5296" s="3" t="inlineStr">
        <is>
          <t>Polybag / jam</t>
        </is>
      </c>
    </row>
    <row r="5297">
      <c r="A5297" s="3" t="inlineStr">
        <is>
          <t>Koefisien ALAT/buah</t>
        </is>
      </c>
      <c r="B5297" s="3" t="n">
        <v>0.1357429718875502</v>
      </c>
      <c r="C5297" s="3" t="inlineStr">
        <is>
          <t>jam</t>
        </is>
      </c>
    </row>
    <row r="5298">
      <c r="A5298" s="3" t="inlineStr">
        <is>
          <t>- Pekerja</t>
        </is>
      </c>
      <c r="B5298" s="3" t="inlineStr">
        <is>
          <t>=</t>
        </is>
      </c>
      <c r="C5298" s="3" t="inlineStr">
        <is>
          <t>(Tk x P) : Q.2</t>
        </is>
      </c>
      <c r="D5298" s="3" t="inlineStr">
        <is>
          <t>L.01</t>
        </is>
      </c>
      <c r="E5298" s="4" t="n">
        <v>0.5429718875502009</v>
      </c>
      <c r="F5298" s="3" t="inlineStr">
        <is>
          <t>OJ</t>
        </is>
      </c>
    </row>
    <row r="5299">
      <c r="A5299" s="3" t="inlineStr">
        <is>
          <t>- Mandor</t>
        </is>
      </c>
      <c r="B5299" s="3" t="inlineStr">
        <is>
          <t>=</t>
        </is>
      </c>
      <c r="C5299" s="3" t="inlineStr">
        <is>
          <t>(Tk x M ) : Q.2</t>
        </is>
      </c>
      <c r="D5299" s="3" t="inlineStr">
        <is>
          <t>L.04</t>
        </is>
      </c>
      <c r="E5299" s="4" t="n">
        <v>0.05429718875502008</v>
      </c>
      <c r="F5299" s="3" t="inlineStr">
        <is>
          <t>OJ</t>
        </is>
      </c>
    </row>
    <row r="5300">
      <c r="D5300" s="2" t="inlineStr">
        <is>
          <t>SUBTOTAL UPAH</t>
        </is>
      </c>
      <c r="F5300" s="16" t="n">
        <v>0</v>
      </c>
    </row>
    <row r="5301">
      <c r="D5301" s="2" t="inlineStr">
        <is>
          <t>SUBTOTAL BAHAN</t>
        </is>
      </c>
      <c r="F5301" s="16" t="n">
        <v>0</v>
      </c>
    </row>
    <row r="5302">
      <c r="D5302" s="2" t="inlineStr">
        <is>
          <t>SUBTOTAL ALAT</t>
        </is>
      </c>
      <c r="F5302" s="16" t="n">
        <v>0</v>
      </c>
    </row>
    <row r="5303">
      <c r="E5303" s="2" t="inlineStr">
        <is>
          <t>TOTAL HARGA SATUAN (Inc. Overhead)</t>
        </is>
      </c>
      <c r="F5303" s="17" t="n">
        <v>0</v>
      </c>
    </row>
    <row r="5305">
      <c r="A5305" s="14" t="inlineStr">
        <is>
          <t>KODE: 4.1.1.13 - Pengadaan dan Pengangkutan Pohon Besar di Polybag 150 Liter</t>
        </is>
      </c>
    </row>
    <row r="5306">
      <c r="A5306" s="10" t="inlineStr">
        <is>
          <t>No</t>
        </is>
      </c>
      <c r="B5306" s="10" t="inlineStr">
        <is>
          <t>Uraian Komponen</t>
        </is>
      </c>
      <c r="C5306" s="10" t="inlineStr">
        <is>
          <t>Satuan</t>
        </is>
      </c>
      <c r="D5306" s="10" t="inlineStr">
        <is>
          <t>Koef</t>
        </is>
      </c>
      <c r="E5306" s="10" t="inlineStr">
        <is>
          <t>Harga Satuan (Rp)</t>
        </is>
      </c>
      <c r="F5306" s="10" t="inlineStr">
        <is>
          <t>Jumlah Harga (Rp)</t>
        </is>
      </c>
    </row>
    <row r="5307">
      <c r="A5307" s="3" t="inlineStr">
        <is>
          <t>1</t>
        </is>
      </c>
      <c r="B5307" s="3" t="inlineStr">
        <is>
          <t>Pekerja</t>
        </is>
      </c>
      <c r="C5307" s="3" t="inlineStr">
        <is>
          <t>OJ</t>
        </is>
      </c>
      <c r="D5307" s="15" t="n">
        <v>0.5429718875502009</v>
      </c>
      <c r="E5307" s="4" t="n">
        <v>14285.71428571429</v>
      </c>
      <c r="F5307" s="4" t="n">
        <v>7756.741250717156</v>
      </c>
    </row>
    <row r="5308">
      <c r="A5308" s="3" t="inlineStr">
        <is>
          <t>2</t>
        </is>
      </c>
      <c r="B5308" s="3" t="inlineStr">
        <is>
          <t>Mandor</t>
        </is>
      </c>
      <c r="C5308" s="3" t="inlineStr">
        <is>
          <t>OJ</t>
        </is>
      </c>
      <c r="D5308" s="15" t="n">
        <v>0.05429718875502008</v>
      </c>
      <c r="E5308" s="4" t="n">
        <v>28571.42857142857</v>
      </c>
      <c r="F5308" s="4" t="n">
        <v>1551.348250143431</v>
      </c>
    </row>
    <row r="5309">
      <c r="A5309" s="3" t="inlineStr">
        <is>
          <t>1</t>
        </is>
      </c>
      <c r="B5309" s="3" t="inlineStr">
        <is>
          <t>Pohon Mahoni di Polybag 150 Liter</t>
        </is>
      </c>
      <c r="C5309" s="3" t="inlineStr">
        <is>
          <t>pohon</t>
        </is>
      </c>
      <c r="D5309" s="15" t="n">
        <v>1</v>
      </c>
      <c r="E5309" s="4" t="n">
        <v>425000</v>
      </c>
      <c r="F5309" s="4" t="n">
        <v>425000</v>
      </c>
    </row>
    <row r="5310">
      <c r="A5310" s="3" t="inlineStr">
        <is>
          <t>1</t>
        </is>
      </c>
      <c r="B5310" s="3" t="inlineStr">
        <is>
          <t>Fuso (D); R-Blk. 8; 35 m3</t>
        </is>
      </c>
      <c r="C5310" s="3" t="inlineStr">
        <is>
          <t>Jam</t>
        </is>
      </c>
      <c r="D5310" s="15" t="n">
        <v>0.1960843373493976</v>
      </c>
      <c r="E5310" s="4" t="n">
        <v>418543.76</v>
      </c>
      <c r="F5310" s="4" t="n">
        <v>82069.87583132529</v>
      </c>
    </row>
    <row r="5311">
      <c r="A5311" s="3" t="inlineStr">
        <is>
          <t>2</t>
        </is>
      </c>
      <c r="B5311" s="3" t="inlineStr">
        <is>
          <t>Crane Truck 3 ton; Winch 5 Ton</t>
        </is>
      </c>
      <c r="C5311" s="3" t="inlineStr">
        <is>
          <t>Jam</t>
        </is>
      </c>
      <c r="D5311" s="15" t="n">
        <v>0.1357429718875502</v>
      </c>
      <c r="E5311" s="4" t="n">
        <v>430662.86</v>
      </c>
      <c r="F5311" s="4" t="n">
        <v>58459.45649799197</v>
      </c>
    </row>
    <row r="5312">
      <c r="D5312" s="2" t="inlineStr">
        <is>
          <t>SUBTOTAL UPAH</t>
        </is>
      </c>
      <c r="F5312" s="16" t="n">
        <v>9308.089500860588</v>
      </c>
    </row>
    <row r="5313">
      <c r="D5313" s="2" t="inlineStr">
        <is>
          <t>SUBTOTAL BAHAN</t>
        </is>
      </c>
      <c r="F5313" s="16" t="n">
        <v>425000</v>
      </c>
    </row>
    <row r="5314">
      <c r="D5314" s="2" t="inlineStr">
        <is>
          <t>SUBTOTAL ALAT</t>
        </is>
      </c>
      <c r="F5314" s="16" t="n">
        <v>140529.3323293173</v>
      </c>
    </row>
    <row r="5315">
      <c r="E5315" s="2" t="inlineStr">
        <is>
          <t>TOTAL HARGA SATUAN (Inc. Overhead)</t>
        </is>
      </c>
      <c r="F5315" s="17" t="n">
        <v>632321</v>
      </c>
    </row>
    <row r="5317">
      <c r="A5317" s="14" t="inlineStr">
        <is>
          <t>KODE: 4.1.1.14 - Analisis Poduktivitas Truck Angkutan Pohon Sedang di Polybag 200 Liter</t>
        </is>
      </c>
    </row>
    <row r="5318">
      <c r="A5318" s="10" t="inlineStr">
        <is>
          <t>No</t>
        </is>
      </c>
      <c r="B5318" s="10" t="inlineStr">
        <is>
          <t>Uraian Komponen</t>
        </is>
      </c>
      <c r="C5318" s="10" t="inlineStr">
        <is>
          <t>Satuan</t>
        </is>
      </c>
      <c r="D5318" s="10" t="inlineStr">
        <is>
          <t>Koef</t>
        </is>
      </c>
      <c r="E5318" s="10" t="inlineStr">
        <is>
          <t>Harga Satuan (Rp)</t>
        </is>
      </c>
      <c r="F5318" s="10" t="inlineStr">
        <is>
          <t>Jumlah Harga (Rp)</t>
        </is>
      </c>
    </row>
    <row r="5319">
      <c r="A5319" s="3" t="n">
        <v>1</v>
      </c>
      <c r="B5319" s="3" t="inlineStr">
        <is>
          <t>Jam Kerja efektif per hari</t>
        </is>
      </c>
      <c r="C5319" s="3" t="inlineStr">
        <is>
          <t>Tk</t>
        </is>
      </c>
      <c r="D5319" s="3" t="n">
        <v>7</v>
      </c>
      <c r="E5319" s="3" t="inlineStr">
        <is>
          <t>Jam</t>
        </is>
      </c>
    </row>
    <row r="5320">
      <c r="A5320" s="3" t="n">
        <v>2</v>
      </c>
      <c r="B5320" s="3" t="inlineStr">
        <is>
          <t>Pemuatan tanaman dilakukan secara manual</t>
        </is>
      </c>
      <c r="C5320" s="3" t="inlineStr">
        <is>
          <t>Fk</t>
        </is>
      </c>
      <c r="D5320" s="3" t="n">
        <v>1.25</v>
      </c>
      <c r="E5320" s="3" t="inlineStr">
        <is>
          <t>-</t>
        </is>
      </c>
      <c r="F5320" s="3" t="inlineStr">
        <is>
          <t>Tabel A.1</t>
        </is>
      </c>
    </row>
    <row r="5321">
      <c r="A5321" s="3" t="n">
        <v>3</v>
      </c>
      <c r="B5321" s="3" t="inlineStr">
        <is>
          <t>Jarak Angkut dari Nursey ke Lokasi pekerjaan</t>
        </is>
      </c>
      <c r="C5321" s="3" t="inlineStr">
        <is>
          <t>L</t>
        </is>
      </c>
      <c r="D5321" s="3" t="n">
        <v>100</v>
      </c>
      <c r="E5321" s="3" t="inlineStr">
        <is>
          <t>km</t>
        </is>
      </c>
    </row>
    <row r="5322">
      <c r="A5322" s="3" t="n">
        <v>4</v>
      </c>
      <c r="B5322" s="3" t="inlineStr">
        <is>
          <t>Angkut Truck 1-jalan dari tempat Nursey ke lokasi perkerjaan</t>
        </is>
      </c>
      <c r="C5322" s="3" t="inlineStr">
        <is>
          <t>Angkut saja</t>
        </is>
      </c>
    </row>
    <row r="5323">
      <c r="A5323" s="3" t="n">
        <v>3.1</v>
      </c>
      <c r="B5323" s="3" t="inlineStr">
        <is>
          <t>Fuso  (D); R-Blk.8; 35 m3</t>
        </is>
      </c>
      <c r="C5323" s="3" t="inlineStr">
        <is>
          <t>10 Ton; 130 HP</t>
        </is>
      </c>
    </row>
    <row r="5324">
      <c r="A5324" s="3" t="inlineStr">
        <is>
          <t>Kapasitas Bak</t>
        </is>
      </c>
      <c r="B5324" s="3" t="inlineStr">
        <is>
          <t>V</t>
        </is>
      </c>
      <c r="C5324" s="3" t="n">
        <v>30</v>
      </c>
      <c r="D5324" s="3" t="inlineStr">
        <is>
          <t>Poly bag</t>
        </is>
      </c>
    </row>
    <row r="5325">
      <c r="A5325" s="3" t="inlineStr">
        <is>
          <t>Faktor Efisiensi Alat (Tabel 7)</t>
        </is>
      </c>
      <c r="B5325" s="3" t="inlineStr">
        <is>
          <t>Fa</t>
        </is>
      </c>
      <c r="C5325" s="3" t="n">
        <v>0.83</v>
      </c>
      <c r="D5325" s="3" t="inlineStr">
        <is>
          <t>-</t>
        </is>
      </c>
      <c r="E5325" s="3" t="inlineStr">
        <is>
          <t>kondisi kerja baik</t>
        </is>
      </c>
    </row>
    <row r="5326">
      <c r="A5326" s="3" t="inlineStr">
        <is>
          <t>Jarak Angkut</t>
        </is>
      </c>
      <c r="B5326" s="3" t="inlineStr">
        <is>
          <t>L</t>
        </is>
      </c>
      <c r="C5326" s="3" t="n">
        <v>100</v>
      </c>
      <c r="D5326" s="3" t="inlineStr">
        <is>
          <t>Km</t>
        </is>
      </c>
    </row>
    <row r="5327">
      <c r="A5327" s="3" t="inlineStr">
        <is>
          <t>Kecepatan ratarata bermuatan (lihat tabel 8)</t>
        </is>
      </c>
      <c r="B5327" s="3" t="inlineStr">
        <is>
          <t>v.1</t>
        </is>
      </c>
      <c r="C5327" s="3" t="n">
        <v>40</v>
      </c>
      <c r="D5327" s="3" t="inlineStr">
        <is>
          <t>Km/jam</t>
        </is>
      </c>
      <c r="E5327" s="3" t="inlineStr">
        <is>
          <t>(Kondisi menanjak atau jalan rusak )</t>
        </is>
      </c>
    </row>
    <row r="5328">
      <c r="A5328" s="3" t="inlineStr">
        <is>
          <t>Kecepatan ratarta kosong (lihat tabel 8)</t>
        </is>
      </c>
      <c r="B5328" s="3" t="inlineStr">
        <is>
          <t>v.2</t>
        </is>
      </c>
      <c r="C5328" s="3" t="n">
        <v>60</v>
      </c>
      <c r="D5328" s="3" t="inlineStr">
        <is>
          <t>Km/jam</t>
        </is>
      </c>
    </row>
    <row r="5329">
      <c r="A5329" s="3" t="inlineStr">
        <is>
          <t>Waktu tempuh isi</t>
        </is>
      </c>
      <c r="B5329" s="3" t="inlineStr">
        <is>
          <t>=</t>
        </is>
      </c>
      <c r="C5329" s="3" t="inlineStr">
        <is>
          <t>( L : v.1) x 60</t>
        </is>
      </c>
      <c r="D5329" s="3" t="inlineStr">
        <is>
          <t>T.1</t>
        </is>
      </c>
      <c r="E5329" s="4" t="n">
        <v>150</v>
      </c>
      <c r="F5329" s="3" t="inlineStr">
        <is>
          <t>menit</t>
        </is>
      </c>
    </row>
    <row r="5330">
      <c r="A5330" s="3" t="inlineStr">
        <is>
          <t>waktu muat &amp; bongkar</t>
        </is>
      </c>
      <c r="B5330" s="3" t="inlineStr">
        <is>
          <t>=</t>
        </is>
      </c>
      <c r="C5330" s="3" t="inlineStr">
        <is>
          <t>( L : v.1) x 60</t>
        </is>
      </c>
      <c r="D5330" s="3" t="inlineStr">
        <is>
          <t>T.2</t>
        </is>
      </c>
      <c r="E5330" s="4" t="n">
        <v>277.98</v>
      </c>
      <c r="F5330" s="3" t="inlineStr">
        <is>
          <t>menit</t>
        </is>
      </c>
    </row>
    <row r="5331">
      <c r="A5331" s="3" t="inlineStr">
        <is>
          <t>Ts1</t>
        </is>
      </c>
      <c r="B5331" s="3" t="n">
        <v>427.98</v>
      </c>
      <c r="C5331" s="3" t="inlineStr">
        <is>
          <t>menit</t>
        </is>
      </c>
    </row>
    <row r="5332">
      <c r="A5332" s="3" t="inlineStr">
        <is>
          <t>Kap. Produksi/jam</t>
        </is>
      </c>
      <c r="B5332" s="3" t="inlineStr">
        <is>
          <t>=</t>
        </is>
      </c>
      <c r="C5332" s="3" t="inlineStr">
        <is>
          <t>(V x Fa x 60)/(Ts1)</t>
        </is>
      </c>
      <c r="D5332" s="3" t="inlineStr">
        <is>
          <t>Q.1</t>
        </is>
      </c>
      <c r="E5332" s="4" t="n">
        <v>3.490817327912519</v>
      </c>
      <c r="F5332" s="3" t="inlineStr">
        <is>
          <t>Polybag / jam</t>
        </is>
      </c>
    </row>
    <row r="5333">
      <c r="A5333" s="3" t="inlineStr">
        <is>
          <t>Koefisien Alat/Polybag</t>
        </is>
      </c>
      <c r="B5333" s="3" t="inlineStr">
        <is>
          <t>=</t>
        </is>
      </c>
      <c r="C5333" s="3" t="inlineStr">
        <is>
          <t>1/Q.1</t>
        </is>
      </c>
      <c r="D5333" s="3" t="n">
        <v>0.2864658634538153</v>
      </c>
      <c r="E5333" s="3" t="inlineStr">
        <is>
          <t>Jam</t>
        </is>
      </c>
    </row>
    <row r="5334">
      <c r="A5334" s="3" t="n">
        <v>3.2</v>
      </c>
      <c r="B5334" s="3" t="inlineStr">
        <is>
          <t>Crane Truck 3 Ton; Winch 5 Ton</t>
        </is>
      </c>
      <c r="C5334" s="3" t="inlineStr">
        <is>
          <t>"Daya angkat 3 ton &gt;0</t>
        </is>
      </c>
      <c r="D5334" s="3" t="inlineStr">
        <is>
          <t>2 ton "</t>
        </is>
      </c>
    </row>
    <row r="5335">
      <c r="A5335" s="3" t="inlineStr">
        <is>
          <t>Kapasitas (Kontinyu)</t>
        </is>
      </c>
      <c r="B5335" s="3" t="inlineStr">
        <is>
          <t>V</t>
        </is>
      </c>
      <c r="C5335" s="3" t="n">
        <v>1</v>
      </c>
      <c r="D5335" s="3" t="inlineStr">
        <is>
          <t>Polybag</t>
        </is>
      </c>
    </row>
    <row r="5336">
      <c r="A5336" s="3" t="inlineStr">
        <is>
          <t>Faktor Efisiensi Alat ( Tabel 4)</t>
        </is>
      </c>
      <c r="B5336" s="3" t="inlineStr">
        <is>
          <t>Fa</t>
        </is>
      </c>
      <c r="C5336" s="3" t="n">
        <v>0.83</v>
      </c>
      <c r="D5336" s="3" t="inlineStr">
        <is>
          <t>-</t>
        </is>
      </c>
      <c r="E5336" s="3" t="inlineStr">
        <is>
          <t>Pemeliharaan mesin baik</t>
        </is>
      </c>
    </row>
    <row r="5337">
      <c r="A5337" s="3" t="inlineStr">
        <is>
          <t>- Pemasangan Pengikat pada Polybag ke Pengait arm Crane di tempat nursey</t>
        </is>
      </c>
      <c r="B5337" s="3" t="inlineStr">
        <is>
          <t>T.1</t>
        </is>
      </c>
      <c r="C5337" s="3" t="n">
        <v>3.22</v>
      </c>
      <c r="D5337" s="3" t="inlineStr">
        <is>
          <t>menit</t>
        </is>
      </c>
      <c r="E5337" s="3" t="inlineStr">
        <is>
          <t>muat dan bongkar dibantu 4P</t>
        </is>
      </c>
    </row>
    <row r="5338">
      <c r="A5338" s="3" t="inlineStr">
        <is>
          <t>" - Angkut arm+polybag dari tempat Nusey</t>
        </is>
      </c>
      <c r="B5338" s="3" t="inlineStr">
        <is>
          <t>swing</t>
        </is>
      </c>
      <c r="C5338" s="3" t="inlineStr">
        <is>
          <t>tempatkan di bak truck + lepas pengikat polybag "</t>
        </is>
      </c>
      <c r="D5338" s="3" t="inlineStr">
        <is>
          <t>T.2</t>
        </is>
      </c>
      <c r="E5338" s="4" t="n">
        <v>2.15</v>
      </c>
      <c r="F5338" s="3" t="inlineStr">
        <is>
          <t>menit</t>
        </is>
      </c>
    </row>
    <row r="5339">
      <c r="A5339" s="3" t="inlineStr">
        <is>
          <t>- Pemasangan pengikat pada polybag di bak truck ke pengait arm crane di lokasi pekerjaan</t>
        </is>
      </c>
      <c r="B5339" s="3" t="inlineStr">
        <is>
          <t>T.3</t>
        </is>
      </c>
      <c r="C5339" s="3" t="n">
        <v>2.34</v>
      </c>
      <c r="D5339" s="3" t="inlineStr">
        <is>
          <t>menit</t>
        </is>
      </c>
    </row>
    <row r="5340">
      <c r="A5340" s="3" t="inlineStr">
        <is>
          <t>" - Angkat arm+polybag dari bak truck</t>
        </is>
      </c>
      <c r="B5340" s="3" t="inlineStr">
        <is>
          <t>swing</t>
        </is>
      </c>
      <c r="C5340" s="3" t="inlineStr">
        <is>
          <t>tempatkan di lokasi pekerjaan + lepas pengikat polybag"</t>
        </is>
      </c>
      <c r="D5340" s="3" t="inlineStr">
        <is>
          <t>T.4</t>
        </is>
      </c>
      <c r="E5340" s="4" t="n">
        <v>1.56</v>
      </c>
      <c r="F5340" s="3" t="inlineStr">
        <is>
          <t>menit</t>
        </is>
      </c>
    </row>
    <row r="5341">
      <c r="A5341" s="3" t="inlineStr">
        <is>
          <t>Ts2</t>
        </is>
      </c>
      <c r="B5341" s="3" t="n">
        <v>9.27</v>
      </c>
      <c r="C5341" s="3" t="inlineStr">
        <is>
          <t>menit</t>
        </is>
      </c>
    </row>
    <row r="5342">
      <c r="A5342" s="3" t="inlineStr">
        <is>
          <t>Kap. Produksi/jam</t>
        </is>
      </c>
      <c r="B5342" s="3" t="inlineStr">
        <is>
          <t>=</t>
        </is>
      </c>
      <c r="C5342" s="3" t="inlineStr">
        <is>
          <t>(V xFa x 60) / (Ts2)</t>
        </is>
      </c>
      <c r="D5342" s="3" t="inlineStr">
        <is>
          <t>Q.2</t>
        </is>
      </c>
      <c r="E5342" s="4" t="n">
        <v>5.372168284789644</v>
      </c>
      <c r="F5342" s="3" t="inlineStr">
        <is>
          <t>Polybag / jam</t>
        </is>
      </c>
    </row>
    <row r="5343">
      <c r="A5343" s="3" t="inlineStr">
        <is>
          <t>Koefisien ALAT/buah</t>
        </is>
      </c>
      <c r="B5343" s="3" t="n">
        <v>0.186144578313253</v>
      </c>
      <c r="C5343" s="3" t="inlineStr">
        <is>
          <t>jam</t>
        </is>
      </c>
    </row>
    <row r="5344">
      <c r="A5344" s="3" t="inlineStr">
        <is>
          <t>- Pekerja</t>
        </is>
      </c>
      <c r="B5344" s="3" t="inlineStr">
        <is>
          <t>=</t>
        </is>
      </c>
      <c r="C5344" s="3" t="inlineStr">
        <is>
          <t>(Tk x P) : Q.2</t>
        </is>
      </c>
      <c r="D5344" s="3" t="inlineStr">
        <is>
          <t>L.01</t>
        </is>
      </c>
      <c r="E5344" s="4" t="n">
        <v>0.7445783132530122</v>
      </c>
      <c r="F5344" s="3" t="inlineStr">
        <is>
          <t>OJ</t>
        </is>
      </c>
    </row>
    <row r="5345">
      <c r="A5345" s="3" t="inlineStr">
        <is>
          <t>- Mandor</t>
        </is>
      </c>
      <c r="B5345" s="3" t="inlineStr">
        <is>
          <t>=</t>
        </is>
      </c>
      <c r="C5345" s="3" t="inlineStr">
        <is>
          <t>(Tk x M ) : Q.2</t>
        </is>
      </c>
      <c r="D5345" s="3" t="inlineStr">
        <is>
          <t>L.04</t>
        </is>
      </c>
      <c r="E5345" s="4" t="n">
        <v>0.07445783132530122</v>
      </c>
      <c r="F5345" s="3" t="inlineStr">
        <is>
          <t>OJ</t>
        </is>
      </c>
    </row>
    <row r="5346">
      <c r="D5346" s="2" t="inlineStr">
        <is>
          <t>SUBTOTAL UPAH</t>
        </is>
      </c>
      <c r="F5346" s="16" t="n">
        <v>0</v>
      </c>
    </row>
    <row r="5347">
      <c r="D5347" s="2" t="inlineStr">
        <is>
          <t>SUBTOTAL BAHAN</t>
        </is>
      </c>
      <c r="F5347" s="16" t="n">
        <v>0</v>
      </c>
    </row>
    <row r="5348">
      <c r="D5348" s="2" t="inlineStr">
        <is>
          <t>SUBTOTAL ALAT</t>
        </is>
      </c>
      <c r="F5348" s="16" t="n">
        <v>0</v>
      </c>
    </row>
    <row r="5349">
      <c r="E5349" s="2" t="inlineStr">
        <is>
          <t>TOTAL HARGA SATUAN (Inc. Overhead)</t>
        </is>
      </c>
      <c r="F5349" s="17" t="n">
        <v>0</v>
      </c>
    </row>
    <row r="5351">
      <c r="A5351" s="14" t="inlineStr">
        <is>
          <t>KODE: 4.1.1.15 - Pengadaan dan Pengangkutan Pohon Besar di Polybag 200 Liter</t>
        </is>
      </c>
    </row>
    <row r="5352">
      <c r="A5352" s="10" t="inlineStr">
        <is>
          <t>No</t>
        </is>
      </c>
      <c r="B5352" s="10" t="inlineStr">
        <is>
          <t>Uraian Komponen</t>
        </is>
      </c>
      <c r="C5352" s="10" t="inlineStr">
        <is>
          <t>Satuan</t>
        </is>
      </c>
      <c r="D5352" s="10" t="inlineStr">
        <is>
          <t>Koef</t>
        </is>
      </c>
      <c r="E5352" s="10" t="inlineStr">
        <is>
          <t>Harga Satuan (Rp)</t>
        </is>
      </c>
      <c r="F5352" s="10" t="inlineStr">
        <is>
          <t>Jumlah Harga (Rp)</t>
        </is>
      </c>
    </row>
    <row r="5353">
      <c r="A5353" s="3" t="inlineStr">
        <is>
          <t>1</t>
        </is>
      </c>
      <c r="B5353" s="3" t="inlineStr">
        <is>
          <t>Pekerja</t>
        </is>
      </c>
      <c r="C5353" s="3" t="inlineStr">
        <is>
          <t>OJ</t>
        </is>
      </c>
      <c r="D5353" s="15" t="n">
        <v>0.7445783132530122</v>
      </c>
      <c r="E5353" s="4" t="n">
        <v>14285.71428571429</v>
      </c>
      <c r="F5353" s="4" t="n">
        <v>10636.8330464716</v>
      </c>
    </row>
    <row r="5354">
      <c r="A5354" s="3" t="inlineStr">
        <is>
          <t>2</t>
        </is>
      </c>
      <c r="B5354" s="3" t="inlineStr">
        <is>
          <t>Mandor</t>
        </is>
      </c>
      <c r="C5354" s="3" t="inlineStr">
        <is>
          <t>OJ</t>
        </is>
      </c>
      <c r="D5354" s="15" t="n">
        <v>0.07445783132530122</v>
      </c>
      <c r="E5354" s="4" t="n">
        <v>28571.42857142857</v>
      </c>
      <c r="F5354" s="4" t="n">
        <v>2127.366609294321</v>
      </c>
    </row>
    <row r="5355">
      <c r="A5355" s="3" t="inlineStr">
        <is>
          <t>1</t>
        </is>
      </c>
      <c r="B5355" s="3" t="inlineStr">
        <is>
          <t>Pohon Beringin di Polybag 200 Liter</t>
        </is>
      </c>
      <c r="C5355" s="3" t="inlineStr">
        <is>
          <t>pohon</t>
        </is>
      </c>
      <c r="D5355" s="15" t="n">
        <v>1</v>
      </c>
      <c r="E5355" s="4" t="n">
        <v>550000</v>
      </c>
      <c r="F5355" s="4" t="n">
        <v>550000</v>
      </c>
    </row>
    <row r="5356">
      <c r="A5356" s="3" t="inlineStr">
        <is>
          <t>1</t>
        </is>
      </c>
      <c r="B5356" s="3" t="inlineStr">
        <is>
          <t>Fuso (D); R-Blk. 8; 35 m3</t>
        </is>
      </c>
      <c r="C5356" s="3" t="inlineStr">
        <is>
          <t>Jam</t>
        </is>
      </c>
      <c r="D5356" s="15" t="n">
        <v>0.2864658634538153</v>
      </c>
      <c r="E5356" s="4" t="n">
        <v>418543.76</v>
      </c>
      <c r="F5356" s="4" t="n">
        <v>119898.4996016064</v>
      </c>
    </row>
    <row r="5357">
      <c r="A5357" s="3" t="inlineStr">
        <is>
          <t>2</t>
        </is>
      </c>
      <c r="B5357" s="3" t="inlineStr">
        <is>
          <t>Crane Truck 3 ton; Winch 5 Ton</t>
        </is>
      </c>
      <c r="C5357" s="3" t="inlineStr">
        <is>
          <t>Jam</t>
        </is>
      </c>
      <c r="D5357" s="15" t="n">
        <v>0.186144578313253</v>
      </c>
      <c r="E5357" s="4" t="n">
        <v>430662.86</v>
      </c>
      <c r="F5357" s="4" t="n">
        <v>80165.55646987952</v>
      </c>
    </row>
    <row r="5358">
      <c r="D5358" s="2" t="inlineStr">
        <is>
          <t>SUBTOTAL UPAH</t>
        </is>
      </c>
      <c r="F5358" s="16" t="n">
        <v>12764.19965576592</v>
      </c>
    </row>
    <row r="5359">
      <c r="D5359" s="2" t="inlineStr">
        <is>
          <t>SUBTOTAL BAHAN</t>
        </is>
      </c>
      <c r="F5359" s="16" t="n">
        <v>550000</v>
      </c>
    </row>
    <row r="5360">
      <c r="D5360" s="2" t="inlineStr">
        <is>
          <t>SUBTOTAL ALAT</t>
        </is>
      </c>
      <c r="F5360" s="16" t="n">
        <v>200064.0560714859</v>
      </c>
    </row>
    <row r="5361">
      <c r="E5361" s="2" t="inlineStr">
        <is>
          <t>TOTAL HARGA SATUAN (Inc. Overhead)</t>
        </is>
      </c>
      <c r="F5361" s="17" t="n">
        <v>839111</v>
      </c>
    </row>
    <row r="5363">
      <c r="A5363" s="14" t="inlineStr">
        <is>
          <t>KODE: 4.1.1.16 - Analisis Poduktivitas Truck Angkutan Pohon Sedang di Polybag 250 Liter</t>
        </is>
      </c>
    </row>
    <row r="5364">
      <c r="A5364" s="10" t="inlineStr">
        <is>
          <t>No</t>
        </is>
      </c>
      <c r="B5364" s="10" t="inlineStr">
        <is>
          <t>Uraian Komponen</t>
        </is>
      </c>
      <c r="C5364" s="10" t="inlineStr">
        <is>
          <t>Satuan</t>
        </is>
      </c>
      <c r="D5364" s="10" t="inlineStr">
        <is>
          <t>Koef</t>
        </is>
      </c>
      <c r="E5364" s="10" t="inlineStr">
        <is>
          <t>Harga Satuan (Rp)</t>
        </is>
      </c>
      <c r="F5364" s="10" t="inlineStr">
        <is>
          <t>Jumlah Harga (Rp)</t>
        </is>
      </c>
    </row>
    <row r="5365">
      <c r="A5365" s="3" t="n">
        <v>1</v>
      </c>
      <c r="B5365" s="3" t="inlineStr">
        <is>
          <t>Jam Kerja efektif per hari</t>
        </is>
      </c>
      <c r="C5365" s="3" t="inlineStr">
        <is>
          <t>Tk</t>
        </is>
      </c>
      <c r="D5365" s="3" t="n">
        <v>7</v>
      </c>
      <c r="E5365" s="3" t="inlineStr">
        <is>
          <t>Jam</t>
        </is>
      </c>
    </row>
    <row r="5366">
      <c r="A5366" s="3" t="n">
        <v>2</v>
      </c>
      <c r="B5366" s="3" t="inlineStr">
        <is>
          <t>Pemuatan tanaman dilakukan secara manual</t>
        </is>
      </c>
      <c r="C5366" s="3" t="inlineStr">
        <is>
          <t>Fk</t>
        </is>
      </c>
      <c r="D5366" s="3" t="n">
        <v>1.25</v>
      </c>
      <c r="E5366" s="3" t="inlineStr">
        <is>
          <t>-</t>
        </is>
      </c>
      <c r="F5366" s="3" t="inlineStr">
        <is>
          <t>Tabel A.1</t>
        </is>
      </c>
    </row>
    <row r="5367">
      <c r="A5367" s="3" t="n">
        <v>3</v>
      </c>
      <c r="B5367" s="3" t="inlineStr">
        <is>
          <t>Jarak Angkut dari Nursey ke Lokasi pekerjaan</t>
        </is>
      </c>
      <c r="C5367" s="3" t="inlineStr">
        <is>
          <t>L</t>
        </is>
      </c>
      <c r="D5367" s="3" t="n">
        <v>100</v>
      </c>
      <c r="E5367" s="3" t="inlineStr">
        <is>
          <t>km</t>
        </is>
      </c>
    </row>
    <row r="5368">
      <c r="A5368" s="3" t="n">
        <v>4</v>
      </c>
      <c r="B5368" s="3" t="inlineStr">
        <is>
          <t>Angkut Truck 1-jalan dari tempat Nursey ke lokasi perkerjaan</t>
        </is>
      </c>
      <c r="C5368" s="3" t="inlineStr">
        <is>
          <t>Angkut saja</t>
        </is>
      </c>
    </row>
    <row r="5369">
      <c r="A5369" s="3" t="n">
        <v>3.1</v>
      </c>
      <c r="B5369" s="3" t="inlineStr">
        <is>
          <t>Fuso  (D); R-Blk.8; 35 m3</t>
        </is>
      </c>
      <c r="C5369" s="3" t="inlineStr">
        <is>
          <t>10 Ton; 130 HP</t>
        </is>
      </c>
    </row>
    <row r="5370">
      <c r="A5370" s="3" t="inlineStr">
        <is>
          <t>Kapasitas Bak</t>
        </is>
      </c>
      <c r="B5370" s="3" t="inlineStr">
        <is>
          <t>V</t>
        </is>
      </c>
      <c r="C5370" s="3" t="n">
        <v>20</v>
      </c>
      <c r="D5370" s="3" t="inlineStr">
        <is>
          <t>Poly bag</t>
        </is>
      </c>
    </row>
    <row r="5371">
      <c r="A5371" s="3" t="inlineStr">
        <is>
          <t>Faktor Efisiensi Alat (Tabel 7)</t>
        </is>
      </c>
      <c r="B5371" s="3" t="inlineStr">
        <is>
          <t>Fa</t>
        </is>
      </c>
      <c r="C5371" s="3" t="n">
        <v>0.83</v>
      </c>
      <c r="D5371" s="3" t="inlineStr">
        <is>
          <t>-</t>
        </is>
      </c>
      <c r="E5371" s="3" t="inlineStr">
        <is>
          <t>kondisi kerja baik</t>
        </is>
      </c>
    </row>
    <row r="5372">
      <c r="A5372" s="3" t="inlineStr">
        <is>
          <t>Jarak Angkut</t>
        </is>
      </c>
      <c r="B5372" s="3" t="inlineStr">
        <is>
          <t>L</t>
        </is>
      </c>
      <c r="C5372" s="3" t="n">
        <v>100</v>
      </c>
      <c r="D5372" s="3" t="inlineStr">
        <is>
          <t>Km</t>
        </is>
      </c>
    </row>
    <row r="5373">
      <c r="A5373" s="3" t="inlineStr">
        <is>
          <t>Kecepatan ratarata bermuatan (lihat tabel 8)</t>
        </is>
      </c>
      <c r="B5373" s="3" t="inlineStr">
        <is>
          <t>v.1</t>
        </is>
      </c>
      <c r="C5373" s="3" t="n">
        <v>40</v>
      </c>
      <c r="D5373" s="3" t="inlineStr">
        <is>
          <t>Km/jam</t>
        </is>
      </c>
      <c r="E5373" s="3" t="inlineStr">
        <is>
          <t>(Kondisi menanjak atau jalan rusak )</t>
        </is>
      </c>
    </row>
    <row r="5374">
      <c r="A5374" s="3" t="inlineStr">
        <is>
          <t>Kecepatan ratarta kosong (lihat tabel 8)</t>
        </is>
      </c>
      <c r="B5374" s="3" t="inlineStr">
        <is>
          <t>v.2</t>
        </is>
      </c>
      <c r="C5374" s="3" t="n">
        <v>60</v>
      </c>
      <c r="D5374" s="3" t="inlineStr">
        <is>
          <t>Km/jam</t>
        </is>
      </c>
    </row>
    <row r="5375">
      <c r="A5375" s="3" t="inlineStr">
        <is>
          <t>Waktu tempuh isi</t>
        </is>
      </c>
      <c r="B5375" s="3" t="inlineStr">
        <is>
          <t>=</t>
        </is>
      </c>
      <c r="C5375" s="3" t="inlineStr">
        <is>
          <t>( L : v.1) x 60</t>
        </is>
      </c>
      <c r="D5375" s="3" t="inlineStr">
        <is>
          <t>T.1</t>
        </is>
      </c>
      <c r="E5375" s="4" t="n">
        <v>150</v>
      </c>
      <c r="F5375" s="3" t="inlineStr">
        <is>
          <t>menit</t>
        </is>
      </c>
    </row>
    <row r="5376">
      <c r="A5376" s="3" t="inlineStr">
        <is>
          <t>waktu muat &amp; bongkar</t>
        </is>
      </c>
      <c r="B5376" s="3" t="inlineStr">
        <is>
          <t>=</t>
        </is>
      </c>
      <c r="C5376" s="3" t="inlineStr">
        <is>
          <t>( L : v.1) x 60</t>
        </is>
      </c>
      <c r="D5376" s="3" t="inlineStr">
        <is>
          <t>T.2</t>
        </is>
      </c>
      <c r="E5376" s="4" t="n">
        <v>246</v>
      </c>
      <c r="F5376" s="3" t="inlineStr">
        <is>
          <t>menit</t>
        </is>
      </c>
    </row>
    <row r="5377">
      <c r="A5377" s="3" t="inlineStr">
        <is>
          <t>Ts1</t>
        </is>
      </c>
      <c r="B5377" s="3" t="n">
        <v>396</v>
      </c>
      <c r="C5377" s="3" t="inlineStr">
        <is>
          <t>menit</t>
        </is>
      </c>
    </row>
    <row r="5378">
      <c r="A5378" s="3" t="inlineStr">
        <is>
          <t>Kap. Produksi/jam</t>
        </is>
      </c>
      <c r="B5378" s="3" t="inlineStr">
        <is>
          <t>=</t>
        </is>
      </c>
      <c r="C5378" s="3" t="inlineStr">
        <is>
          <t>(V x Fa x 60)/(Ts1)</t>
        </is>
      </c>
      <c r="D5378" s="3" t="inlineStr">
        <is>
          <t>Q.1</t>
        </is>
      </c>
      <c r="E5378" s="4" t="n">
        <v>2.515151515151515</v>
      </c>
      <c r="F5378" s="3" t="inlineStr">
        <is>
          <t>Polybag / jam</t>
        </is>
      </c>
    </row>
    <row r="5379">
      <c r="A5379" s="3" t="inlineStr">
        <is>
          <t>Koefisien Alat/Polybag</t>
        </is>
      </c>
      <c r="B5379" s="3" t="inlineStr">
        <is>
          <t>=</t>
        </is>
      </c>
      <c r="C5379" s="3" t="inlineStr">
        <is>
          <t>1/Q.1</t>
        </is>
      </c>
      <c r="D5379" s="3" t="n">
        <v>0.3975903614457832</v>
      </c>
      <c r="E5379" s="3" t="inlineStr">
        <is>
          <t>Jam</t>
        </is>
      </c>
    </row>
    <row r="5380">
      <c r="A5380" s="3" t="n">
        <v>3.2</v>
      </c>
      <c r="B5380" s="3" t="inlineStr">
        <is>
          <t>Crane Truck 3 Ton; Winch 5 Ton</t>
        </is>
      </c>
      <c r="C5380" s="3" t="inlineStr">
        <is>
          <t>"Daya angkat 3 ton &gt;0</t>
        </is>
      </c>
      <c r="D5380" s="3" t="inlineStr">
        <is>
          <t>2 ton "</t>
        </is>
      </c>
    </row>
    <row r="5381">
      <c r="A5381" s="3" t="inlineStr">
        <is>
          <t>Kapasitas (Kontinyu)</t>
        </is>
      </c>
      <c r="B5381" s="3" t="inlineStr">
        <is>
          <t>V</t>
        </is>
      </c>
      <c r="C5381" s="3" t="n">
        <v>1</v>
      </c>
      <c r="D5381" s="3" t="inlineStr">
        <is>
          <t>Polybag</t>
        </is>
      </c>
    </row>
    <row r="5382">
      <c r="A5382" s="3" t="inlineStr">
        <is>
          <t>Faktor Efisiensi Alat ( Tabel 4)</t>
        </is>
      </c>
      <c r="B5382" s="3" t="inlineStr">
        <is>
          <t>Fa</t>
        </is>
      </c>
      <c r="C5382" s="3" t="n">
        <v>0.83</v>
      </c>
      <c r="D5382" s="3" t="inlineStr">
        <is>
          <t>-</t>
        </is>
      </c>
      <c r="E5382" s="3" t="inlineStr">
        <is>
          <t>Pemeliharaan mesin baik</t>
        </is>
      </c>
    </row>
    <row r="5383">
      <c r="A5383" s="3" t="inlineStr">
        <is>
          <t>- Pemasangan Pengikat pada Polybag ke Pengait arm Crane di tempat nursey</t>
        </is>
      </c>
      <c r="B5383" s="3" t="inlineStr">
        <is>
          <t>T.1</t>
        </is>
      </c>
      <c r="C5383" s="3" t="n">
        <v>5</v>
      </c>
      <c r="D5383" s="3" t="inlineStr">
        <is>
          <t>menit</t>
        </is>
      </c>
      <c r="E5383" s="3" t="inlineStr">
        <is>
          <t>muat dan bongkar dibantu 4P</t>
        </is>
      </c>
    </row>
    <row r="5384">
      <c r="A5384" s="3" t="inlineStr">
        <is>
          <t>" - Angkut arm+polybag dari tempat Nusey</t>
        </is>
      </c>
      <c r="B5384" s="3" t="inlineStr">
        <is>
          <t>swing</t>
        </is>
      </c>
      <c r="C5384" s="3" t="inlineStr">
        <is>
          <t>tempatkan di bak truck + lepas pengikat polybag "</t>
        </is>
      </c>
      <c r="D5384" s="3" t="inlineStr">
        <is>
          <t>T.2</t>
        </is>
      </c>
      <c r="E5384" s="4" t="n">
        <v>3.33</v>
      </c>
      <c r="F5384" s="3" t="inlineStr">
        <is>
          <t>menit</t>
        </is>
      </c>
    </row>
    <row r="5385">
      <c r="A5385" s="3" t="inlineStr">
        <is>
          <t>- Pemasangan pengikat pada polybag di bak truck ke pengait arm crane di lokasi pekerjaan</t>
        </is>
      </c>
      <c r="B5385" s="3" t="inlineStr">
        <is>
          <t>T.3</t>
        </is>
      </c>
      <c r="C5385" s="3" t="n">
        <v>2.38</v>
      </c>
      <c r="D5385" s="3" t="inlineStr">
        <is>
          <t>menit</t>
        </is>
      </c>
    </row>
    <row r="5386">
      <c r="A5386" s="3" t="inlineStr">
        <is>
          <t>" - Angkat arm+polybag dari bak truck</t>
        </is>
      </c>
      <c r="B5386" s="3" t="inlineStr">
        <is>
          <t>swing</t>
        </is>
      </c>
      <c r="C5386" s="3" t="inlineStr">
        <is>
          <t>tempatkan di lokasi pekerjaan + lepas pengikat polybag"</t>
        </is>
      </c>
      <c r="D5386" s="3" t="inlineStr">
        <is>
          <t>T.4</t>
        </is>
      </c>
      <c r="E5386" s="4" t="n">
        <v>1.59</v>
      </c>
      <c r="F5386" s="3" t="inlineStr">
        <is>
          <t>menit</t>
        </is>
      </c>
    </row>
    <row r="5387">
      <c r="A5387" s="3" t="inlineStr">
        <is>
          <t>Ts2</t>
        </is>
      </c>
      <c r="B5387" s="3" t="n">
        <v>12.3</v>
      </c>
      <c r="C5387" s="3" t="inlineStr">
        <is>
          <t>menit</t>
        </is>
      </c>
    </row>
    <row r="5388">
      <c r="A5388" s="3" t="inlineStr">
        <is>
          <t>Kap. Produksi/jam</t>
        </is>
      </c>
      <c r="B5388" s="3" t="inlineStr">
        <is>
          <t>=</t>
        </is>
      </c>
      <c r="C5388" s="3" t="inlineStr">
        <is>
          <t>(V xFa x 60) / (Ts2)</t>
        </is>
      </c>
      <c r="D5388" s="3" t="inlineStr">
        <is>
          <t>Q.2</t>
        </is>
      </c>
      <c r="E5388" s="4" t="n">
        <v>4.048780487804877</v>
      </c>
      <c r="F5388" s="3" t="inlineStr">
        <is>
          <t>Polybag / jam</t>
        </is>
      </c>
    </row>
    <row r="5389">
      <c r="A5389" s="3" t="inlineStr">
        <is>
          <t>Koefisien ALAT/buah</t>
        </is>
      </c>
      <c r="B5389" s="3" t="n">
        <v>0.246987951807229</v>
      </c>
      <c r="C5389" s="3" t="inlineStr">
        <is>
          <t>jam</t>
        </is>
      </c>
    </row>
    <row r="5390">
      <c r="A5390" s="3" t="inlineStr">
        <is>
          <t>- Pekerja</t>
        </is>
      </c>
      <c r="B5390" s="3" t="inlineStr">
        <is>
          <t>=</t>
        </is>
      </c>
      <c r="C5390" s="3" t="inlineStr">
        <is>
          <t>(Tk x P) : Q.2</t>
        </is>
      </c>
      <c r="D5390" s="3" t="inlineStr">
        <is>
          <t>L.01</t>
        </is>
      </c>
      <c r="E5390" s="4" t="n">
        <v>0.9879518072289158</v>
      </c>
      <c r="F5390" s="3" t="inlineStr">
        <is>
          <t>OJ</t>
        </is>
      </c>
    </row>
    <row r="5391">
      <c r="A5391" s="3" t="inlineStr">
        <is>
          <t>- Mandor</t>
        </is>
      </c>
      <c r="B5391" s="3" t="inlineStr">
        <is>
          <t>=</t>
        </is>
      </c>
      <c r="C5391" s="3" t="inlineStr">
        <is>
          <t>(Tk x M ) : Q.2</t>
        </is>
      </c>
      <c r="D5391" s="3" t="inlineStr">
        <is>
          <t>L.04</t>
        </is>
      </c>
      <c r="E5391" s="4" t="n">
        <v>0.09879518072289159</v>
      </c>
      <c r="F5391" s="3" t="inlineStr">
        <is>
          <t>OJ</t>
        </is>
      </c>
    </row>
    <row r="5392">
      <c r="D5392" s="2" t="inlineStr">
        <is>
          <t>SUBTOTAL UPAH</t>
        </is>
      </c>
      <c r="F5392" s="16" t="n">
        <v>0</v>
      </c>
    </row>
    <row r="5393">
      <c r="D5393" s="2" t="inlineStr">
        <is>
          <t>SUBTOTAL BAHAN</t>
        </is>
      </c>
      <c r="F5393" s="16" t="n">
        <v>0</v>
      </c>
    </row>
    <row r="5394">
      <c r="D5394" s="2" t="inlineStr">
        <is>
          <t>SUBTOTAL ALAT</t>
        </is>
      </c>
      <c r="F5394" s="16" t="n">
        <v>0</v>
      </c>
    </row>
    <row r="5395">
      <c r="E5395" s="2" t="inlineStr">
        <is>
          <t>TOTAL HARGA SATUAN (Inc. Overhead)</t>
        </is>
      </c>
      <c r="F5395" s="17" t="n">
        <v>0</v>
      </c>
    </row>
    <row r="5397">
      <c r="A5397" s="14" t="inlineStr">
        <is>
          <t>KODE: 4.1.1.17 - Pengadaan dan Pengangkutan Pohon Besar di Polybag 250 Liter</t>
        </is>
      </c>
    </row>
    <row r="5398">
      <c r="A5398" s="10" t="inlineStr">
        <is>
          <t>No</t>
        </is>
      </c>
      <c r="B5398" s="10" t="inlineStr">
        <is>
          <t>Uraian Komponen</t>
        </is>
      </c>
      <c r="C5398" s="10" t="inlineStr">
        <is>
          <t>Satuan</t>
        </is>
      </c>
      <c r="D5398" s="10" t="inlineStr">
        <is>
          <t>Koef</t>
        </is>
      </c>
      <c r="E5398" s="10" t="inlineStr">
        <is>
          <t>Harga Satuan (Rp)</t>
        </is>
      </c>
      <c r="F5398" s="10" t="inlineStr">
        <is>
          <t>Jumlah Harga (Rp)</t>
        </is>
      </c>
    </row>
    <row r="5399">
      <c r="A5399" s="3" t="inlineStr">
        <is>
          <t>1</t>
        </is>
      </c>
      <c r="B5399" s="3" t="inlineStr">
        <is>
          <t>Pekerja</t>
        </is>
      </c>
      <c r="C5399" s="3" t="inlineStr">
        <is>
          <t>OJ</t>
        </is>
      </c>
      <c r="D5399" s="15" t="n">
        <v>0.9879518072289158</v>
      </c>
      <c r="E5399" s="4" t="n">
        <v>14285.71428571429</v>
      </c>
      <c r="F5399" s="4" t="n">
        <v>14113.59724612737</v>
      </c>
    </row>
    <row r="5400">
      <c r="A5400" s="3" t="inlineStr">
        <is>
          <t>2</t>
        </is>
      </c>
      <c r="B5400" s="3" t="inlineStr">
        <is>
          <t>Mandor</t>
        </is>
      </c>
      <c r="C5400" s="3" t="inlineStr">
        <is>
          <t>OJ</t>
        </is>
      </c>
      <c r="D5400" s="15" t="n">
        <v>0.09879518072289159</v>
      </c>
      <c r="E5400" s="4" t="n">
        <v>28571.42857142857</v>
      </c>
      <c r="F5400" s="4" t="n">
        <v>2822.719449225474</v>
      </c>
    </row>
    <row r="5401">
      <c r="A5401" s="3" t="inlineStr">
        <is>
          <t>1</t>
        </is>
      </c>
      <c r="B5401" s="3" t="inlineStr">
        <is>
          <t>Pohon Beringin di Polybag 250 Liter</t>
        </is>
      </c>
      <c r="C5401" s="3" t="inlineStr">
        <is>
          <t>pohon</t>
        </is>
      </c>
      <c r="D5401" s="15" t="n">
        <v>1</v>
      </c>
      <c r="E5401" s="4" t="n">
        <v>590000</v>
      </c>
      <c r="F5401" s="4" t="n">
        <v>590000</v>
      </c>
    </row>
    <row r="5402">
      <c r="A5402" s="3" t="inlineStr">
        <is>
          <t>1</t>
        </is>
      </c>
      <c r="B5402" s="3" t="inlineStr">
        <is>
          <t>Fuso (D); R-Blk. 8; 35 m3</t>
        </is>
      </c>
      <c r="C5402" s="3" t="inlineStr">
        <is>
          <t>Jam</t>
        </is>
      </c>
      <c r="D5402" s="15" t="n">
        <v>0.3975903614457832</v>
      </c>
      <c r="E5402" s="4" t="n">
        <v>418543.76</v>
      </c>
      <c r="F5402" s="4" t="n">
        <v>166408.9648192771</v>
      </c>
    </row>
    <row r="5403">
      <c r="A5403" s="3" t="inlineStr">
        <is>
          <t>2</t>
        </is>
      </c>
      <c r="B5403" s="3" t="inlineStr">
        <is>
          <t>Crane Truck 3 ton; Winch 5 Ton</t>
        </is>
      </c>
      <c r="C5403" s="3" t="inlineStr">
        <is>
          <t>Jam</t>
        </is>
      </c>
      <c r="D5403" s="15" t="n">
        <v>0.246987951807229</v>
      </c>
      <c r="E5403" s="4" t="n">
        <v>430662.86</v>
      </c>
      <c r="F5403" s="4" t="n">
        <v>106368.5377108434</v>
      </c>
    </row>
    <row r="5404">
      <c r="D5404" s="2" t="inlineStr">
        <is>
          <t>SUBTOTAL UPAH</t>
        </is>
      </c>
      <c r="F5404" s="16" t="n">
        <v>16936.31669535285</v>
      </c>
    </row>
    <row r="5405">
      <c r="D5405" s="2" t="inlineStr">
        <is>
          <t>SUBTOTAL BAHAN</t>
        </is>
      </c>
      <c r="F5405" s="16" t="n">
        <v>590000</v>
      </c>
    </row>
    <row r="5406">
      <c r="D5406" s="2" t="inlineStr">
        <is>
          <t>SUBTOTAL ALAT</t>
        </is>
      </c>
      <c r="F5406" s="16" t="n">
        <v>272777.5025301205</v>
      </c>
    </row>
    <row r="5407">
      <c r="E5407" s="2" t="inlineStr">
        <is>
          <t>TOTAL HARGA SATUAN (Inc. Overhead)</t>
        </is>
      </c>
      <c r="F5407" s="17" t="n">
        <v>967685</v>
      </c>
    </row>
    <row r="5409">
      <c r="A5409" s="14" t="inlineStr">
        <is>
          <t>KODE: 4.1.1.18 - Analisis Produktivitas Angkutan Palem Rumpun Kecil di Polybag 11 L</t>
        </is>
      </c>
    </row>
    <row r="5410">
      <c r="A5410" s="10" t="inlineStr">
        <is>
          <t>No</t>
        </is>
      </c>
      <c r="B5410" s="10" t="inlineStr">
        <is>
          <t>Uraian Komponen</t>
        </is>
      </c>
      <c r="C5410" s="10" t="inlineStr">
        <is>
          <t>Satuan</t>
        </is>
      </c>
      <c r="D5410" s="10" t="inlineStr">
        <is>
          <t>Koef</t>
        </is>
      </c>
      <c r="E5410" s="10" t="inlineStr">
        <is>
          <t>Harga Satuan (Rp)</t>
        </is>
      </c>
      <c r="F5410" s="10" t="inlineStr">
        <is>
          <t>Jumlah Harga (Rp)</t>
        </is>
      </c>
    </row>
    <row r="5411">
      <c r="A5411" s="3" t="n">
        <v>1</v>
      </c>
      <c r="B5411" s="3" t="inlineStr">
        <is>
          <t>Jam Kerja efektif per hari</t>
        </is>
      </c>
      <c r="C5411" s="3" t="inlineStr">
        <is>
          <t>Tk</t>
        </is>
      </c>
      <c r="D5411" s="3" t="n">
        <v>7</v>
      </c>
      <c r="E5411" s="3" t="inlineStr">
        <is>
          <t>Jam</t>
        </is>
      </c>
    </row>
    <row r="5412">
      <c r="A5412" s="3" t="n">
        <v>2</v>
      </c>
      <c r="B5412" s="3" t="inlineStr">
        <is>
          <t>Pemuatan tanaman dilakukan secara manual</t>
        </is>
      </c>
      <c r="C5412" s="3" t="inlineStr">
        <is>
          <t>Fk</t>
        </is>
      </c>
      <c r="D5412" s="3" t="n">
        <v>1.25</v>
      </c>
      <c r="E5412" s="3" t="inlineStr">
        <is>
          <t>-</t>
        </is>
      </c>
      <c r="F5412" s="3" t="inlineStr">
        <is>
          <t>Tabel A.1</t>
        </is>
      </c>
    </row>
    <row r="5413">
      <c r="A5413" s="3" t="n">
        <v>3</v>
      </c>
      <c r="B5413" s="3" t="inlineStr">
        <is>
          <t>Jarak Angkut dari Nursey ke Lokasi pekerjaan</t>
        </is>
      </c>
      <c r="C5413" s="3" t="inlineStr">
        <is>
          <t>L</t>
        </is>
      </c>
      <c r="D5413" s="3" t="n">
        <v>100</v>
      </c>
      <c r="E5413" s="3" t="inlineStr">
        <is>
          <t>km</t>
        </is>
      </c>
    </row>
    <row r="5414">
      <c r="A5414" s="3" t="n">
        <v>4</v>
      </c>
      <c r="B5414" s="3" t="inlineStr">
        <is>
          <t>Angkut Truck 1-jalan dari tempat Nursey ke lokasi perkerjaan</t>
        </is>
      </c>
      <c r="C5414" s="3" t="inlineStr">
        <is>
          <t>Angkut saja</t>
        </is>
      </c>
    </row>
    <row r="5415">
      <c r="A5415" s="3" t="n">
        <v>3.1</v>
      </c>
      <c r="B5415" s="3" t="inlineStr">
        <is>
          <t>Pick Up L300</t>
        </is>
      </c>
      <c r="C5415" s="3" t="inlineStr">
        <is>
          <t>100 HP</t>
        </is>
      </c>
    </row>
    <row r="5416">
      <c r="A5416" s="3" t="inlineStr">
        <is>
          <t>Kapasitas Bak</t>
        </is>
      </c>
      <c r="B5416" s="3" t="inlineStr">
        <is>
          <t>V</t>
        </is>
      </c>
      <c r="C5416" s="3" t="n">
        <v>224</v>
      </c>
      <c r="D5416" s="3" t="inlineStr">
        <is>
          <t>Poly bag</t>
        </is>
      </c>
    </row>
    <row r="5417">
      <c r="A5417" s="3" t="inlineStr">
        <is>
          <t>Faktor Efisiensi Alat (Tabel 7)</t>
        </is>
      </c>
      <c r="B5417" s="3" t="inlineStr">
        <is>
          <t>Fa</t>
        </is>
      </c>
      <c r="C5417" s="3" t="n">
        <v>0.83</v>
      </c>
      <c r="D5417" s="3" t="inlineStr">
        <is>
          <t>-</t>
        </is>
      </c>
      <c r="E5417" s="3" t="inlineStr">
        <is>
          <t>kondisi kerja baik</t>
        </is>
      </c>
    </row>
    <row r="5418">
      <c r="A5418" s="3" t="inlineStr">
        <is>
          <t>Jarak Angkut</t>
        </is>
      </c>
      <c r="B5418" s="3" t="inlineStr">
        <is>
          <t>L</t>
        </is>
      </c>
      <c r="C5418" s="3" t="n">
        <v>100</v>
      </c>
      <c r="D5418" s="3" t="inlineStr">
        <is>
          <t>Km</t>
        </is>
      </c>
    </row>
    <row r="5419">
      <c r="A5419" s="3" t="inlineStr">
        <is>
          <t>Kecepatan ratarata bermuatan (lihat tabel 8)</t>
        </is>
      </c>
      <c r="B5419" s="3" t="inlineStr">
        <is>
          <t>v.1</t>
        </is>
      </c>
      <c r="C5419" s="3" t="n">
        <v>40</v>
      </c>
      <c r="D5419" s="3" t="inlineStr">
        <is>
          <t>Km/jam</t>
        </is>
      </c>
      <c r="E5419" s="3" t="inlineStr">
        <is>
          <t>(Kondisi menanjak atau jalan rusak )</t>
        </is>
      </c>
    </row>
    <row r="5420">
      <c r="A5420" s="3" t="inlineStr">
        <is>
          <t>Kecepatan ratarta kosong (lihat tabel 8)</t>
        </is>
      </c>
      <c r="B5420" s="3" t="inlineStr">
        <is>
          <t>v.2</t>
        </is>
      </c>
      <c r="C5420" s="3" t="n">
        <v>60</v>
      </c>
      <c r="D5420" s="3" t="inlineStr">
        <is>
          <t>Km/jam</t>
        </is>
      </c>
    </row>
    <row r="5421">
      <c r="A5421" s="3" t="inlineStr">
        <is>
          <t>Waktu tempuh isi</t>
        </is>
      </c>
      <c r="B5421" s="3" t="inlineStr">
        <is>
          <t>=</t>
        </is>
      </c>
      <c r="C5421" s="3" t="inlineStr">
        <is>
          <t>( L : v.1) x 60</t>
        </is>
      </c>
      <c r="D5421" s="3" t="inlineStr">
        <is>
          <t>T.1</t>
        </is>
      </c>
      <c r="E5421" s="4" t="n">
        <v>150</v>
      </c>
      <c r="F5421" s="3" t="inlineStr">
        <is>
          <t>menit</t>
        </is>
      </c>
    </row>
    <row r="5422">
      <c r="A5422" s="3" t="inlineStr">
        <is>
          <t>waktu muat &amp; bongkar</t>
        </is>
      </c>
      <c r="B5422" s="3" t="inlineStr">
        <is>
          <t>=</t>
        </is>
      </c>
      <c r="C5422" s="3" t="inlineStr">
        <is>
          <t>V x Ts2</t>
        </is>
      </c>
      <c r="D5422" s="3" t="inlineStr">
        <is>
          <t>T.2</t>
        </is>
      </c>
      <c r="E5422" s="4" t="n">
        <v>31.36</v>
      </c>
      <c r="F5422" s="3" t="inlineStr">
        <is>
          <t>menit</t>
        </is>
      </c>
    </row>
    <row r="5423">
      <c r="A5423" s="3" t="inlineStr">
        <is>
          <t>Ts1</t>
        </is>
      </c>
      <c r="B5423" s="3" t="n">
        <v>181.36</v>
      </c>
      <c r="C5423" s="3" t="inlineStr">
        <is>
          <t>menit</t>
        </is>
      </c>
    </row>
    <row r="5424">
      <c r="A5424" s="3" t="inlineStr">
        <is>
          <t>Kap. Produksi/jam</t>
        </is>
      </c>
      <c r="B5424" s="3" t="inlineStr">
        <is>
          <t>=</t>
        </is>
      </c>
      <c r="C5424" s="3" t="inlineStr">
        <is>
          <t>(V x Fa x 60)/(Ts1)</t>
        </is>
      </c>
      <c r="D5424" s="3" t="inlineStr">
        <is>
          <t>Q.1</t>
        </is>
      </c>
      <c r="E5424" s="4" t="n">
        <v>61.50860167622407</v>
      </c>
      <c r="F5424" s="3" t="inlineStr">
        <is>
          <t>Polybag / jam</t>
        </is>
      </c>
    </row>
    <row r="5425">
      <c r="A5425" s="3" t="inlineStr">
        <is>
          <t>Koefisien Alat/Polybag</t>
        </is>
      </c>
      <c r="B5425" s="3" t="inlineStr">
        <is>
          <t>=</t>
        </is>
      </c>
      <c r="C5425" s="3" t="inlineStr">
        <is>
          <t>1/Q.1</t>
        </is>
      </c>
      <c r="D5425" s="3" t="n">
        <v>0.01625788869764774</v>
      </c>
      <c r="E5425" s="3" t="inlineStr">
        <is>
          <t>Jam</t>
        </is>
      </c>
    </row>
    <row r="5426">
      <c r="A5426" s="3" t="inlineStr">
        <is>
          <t>Jarak da penyimpanan Nursey ke bak Truck</t>
        </is>
      </c>
      <c r="B5426" s="3" t="inlineStr">
        <is>
          <t>L2</t>
        </is>
      </c>
      <c r="C5426" s="3" t="n">
        <v>0.01</v>
      </c>
      <c r="D5426" s="3" t="inlineStr">
        <is>
          <t>Km</t>
        </is>
      </c>
    </row>
    <row r="5427">
      <c r="A5427" s="3" t="inlineStr">
        <is>
          <t>Polybag yang dimuat/turukan</t>
        </is>
      </c>
      <c r="B5427" s="3" t="inlineStr">
        <is>
          <t>V</t>
        </is>
      </c>
      <c r="C5427" s="3" t="n">
        <v>1</v>
      </c>
      <c r="D5427" s="3" t="inlineStr">
        <is>
          <t>Polybag</t>
        </is>
      </c>
    </row>
    <row r="5428">
      <c r="A5428" s="3" t="inlineStr">
        <is>
          <t>Faktor Efisiensi TK</t>
        </is>
      </c>
      <c r="B5428" s="3" t="inlineStr">
        <is>
          <t>FaTK</t>
        </is>
      </c>
      <c r="C5428" s="3" t="n">
        <v>0.86</v>
      </c>
      <c r="D5428" s="3" t="inlineStr">
        <is>
          <t>-</t>
        </is>
      </c>
      <c r="E5428" s="3" t="inlineStr">
        <is>
          <t>Kondisi kerja baik</t>
        </is>
      </c>
    </row>
    <row r="5429">
      <c r="A5429" s="3" t="inlineStr">
        <is>
          <t>- Memuat 1 Polybag dari tempat Nursey ke bak truck</t>
        </is>
      </c>
      <c r="B5429" s="3" t="inlineStr">
        <is>
          <t>T.1</t>
        </is>
      </c>
      <c r="C5429" s="3" t="n">
        <v>0.08500000000000001</v>
      </c>
      <c r="D5429" s="3" t="inlineStr">
        <is>
          <t>menit</t>
        </is>
      </c>
      <c r="E5429" s="3" t="inlineStr">
        <is>
          <t>muat dan bongkar dibantu 2P</t>
        </is>
      </c>
    </row>
    <row r="5430">
      <c r="A5430" s="3" t="inlineStr">
        <is>
          <t>- Menurunkan 1 Polybag dari bak truck ke penyimpanan di lokasi pekerjaan</t>
        </is>
      </c>
      <c r="B5430" s="3" t="inlineStr">
        <is>
          <t>T.2</t>
        </is>
      </c>
      <c r="C5430" s="3" t="n">
        <v>0.055</v>
      </c>
      <c r="D5430" s="3" t="inlineStr">
        <is>
          <t>menit</t>
        </is>
      </c>
    </row>
    <row r="5431">
      <c r="A5431" s="3" t="inlineStr">
        <is>
          <t>Ts2</t>
        </is>
      </c>
      <c r="B5431" s="3" t="n">
        <v>0.14</v>
      </c>
      <c r="C5431" s="3" t="inlineStr">
        <is>
          <t>menit</t>
        </is>
      </c>
    </row>
    <row r="5432">
      <c r="A5432" s="3" t="inlineStr">
        <is>
          <t>Kap. Tenaga Kerja / jam</t>
        </is>
      </c>
      <c r="B5432" s="3" t="inlineStr">
        <is>
          <t>=</t>
        </is>
      </c>
      <c r="C5432" s="3" t="inlineStr">
        <is>
          <t>(FaTK x 60) / (Ts2)</t>
        </is>
      </c>
      <c r="D5432" s="3" t="inlineStr">
        <is>
          <t>Q.2</t>
        </is>
      </c>
      <c r="E5432" s="4" t="n">
        <v>368.5714285714286</v>
      </c>
      <c r="F5432" s="3" t="inlineStr">
        <is>
          <t>Polybag / jam</t>
        </is>
      </c>
    </row>
    <row r="5433">
      <c r="A5433" s="3" t="inlineStr">
        <is>
          <t>- Pekerja</t>
        </is>
      </c>
      <c r="B5433" s="3" t="inlineStr">
        <is>
          <t>=</t>
        </is>
      </c>
      <c r="C5433" s="3" t="inlineStr">
        <is>
          <t>(Tk x P) : Q.2</t>
        </is>
      </c>
      <c r="D5433" s="3" t="inlineStr">
        <is>
          <t>L.01</t>
        </is>
      </c>
      <c r="E5433" s="4" t="n">
        <v>0.005426356589147287</v>
      </c>
      <c r="F5433" s="3" t="inlineStr">
        <is>
          <t>OJ</t>
        </is>
      </c>
    </row>
    <row r="5434">
      <c r="A5434" s="3" t="inlineStr">
        <is>
          <t>- Mandor</t>
        </is>
      </c>
      <c r="B5434" s="3" t="inlineStr">
        <is>
          <t>=</t>
        </is>
      </c>
      <c r="C5434" s="3" t="inlineStr">
        <is>
          <t>(Tk x M ) : Q.2</t>
        </is>
      </c>
      <c r="D5434" s="3" t="inlineStr">
        <is>
          <t>L.04</t>
        </is>
      </c>
      <c r="E5434" s="4" t="n">
        <v>0.0005426356589147286</v>
      </c>
      <c r="F5434" s="3" t="inlineStr">
        <is>
          <t>OJ</t>
        </is>
      </c>
    </row>
    <row r="5435">
      <c r="D5435" s="2" t="inlineStr">
        <is>
          <t>SUBTOTAL UPAH</t>
        </is>
      </c>
      <c r="F5435" s="16" t="n">
        <v>0</v>
      </c>
    </row>
    <row r="5436">
      <c r="D5436" s="2" t="inlineStr">
        <is>
          <t>SUBTOTAL BAHAN</t>
        </is>
      </c>
      <c r="F5436" s="16" t="n">
        <v>0</v>
      </c>
    </row>
    <row r="5437">
      <c r="D5437" s="2" t="inlineStr">
        <is>
          <t>SUBTOTAL ALAT</t>
        </is>
      </c>
      <c r="F5437" s="16" t="n">
        <v>0</v>
      </c>
    </row>
    <row r="5438">
      <c r="E5438" s="2" t="inlineStr">
        <is>
          <t>TOTAL HARGA SATUAN (Inc. Overhead)</t>
        </is>
      </c>
      <c r="F5438" s="17" t="n">
        <v>0</v>
      </c>
    </row>
    <row r="5440">
      <c r="A5440" s="14" t="inlineStr">
        <is>
          <t>KODE: 4.1.1.19 - Pengadaan dan Pengangkutan Palem Rumpun Kecil di Polybag 11 L</t>
        </is>
      </c>
    </row>
    <row r="5441">
      <c r="A5441" s="10" t="inlineStr">
        <is>
          <t>No</t>
        </is>
      </c>
      <c r="B5441" s="10" t="inlineStr">
        <is>
          <t>Uraian Komponen</t>
        </is>
      </c>
      <c r="C5441" s="10" t="inlineStr">
        <is>
          <t>Satuan</t>
        </is>
      </c>
      <c r="D5441" s="10" t="inlineStr">
        <is>
          <t>Koef</t>
        </is>
      </c>
      <c r="E5441" s="10" t="inlineStr">
        <is>
          <t>Harga Satuan (Rp)</t>
        </is>
      </c>
      <c r="F5441" s="10" t="inlineStr">
        <is>
          <t>Jumlah Harga (Rp)</t>
        </is>
      </c>
    </row>
    <row r="5442">
      <c r="A5442" s="3" t="inlineStr">
        <is>
          <t>1</t>
        </is>
      </c>
      <c r="B5442" s="3" t="inlineStr">
        <is>
          <t>Pekerja</t>
        </is>
      </c>
      <c r="C5442" s="3" t="inlineStr">
        <is>
          <t>OJ</t>
        </is>
      </c>
      <c r="D5442" s="15" t="n">
        <v>0.005426356589147287</v>
      </c>
      <c r="E5442" s="4" t="n">
        <v>14285.71428571429</v>
      </c>
      <c r="F5442" s="4" t="n">
        <v>77.51937984496124</v>
      </c>
    </row>
    <row r="5443">
      <c r="A5443" s="3" t="inlineStr">
        <is>
          <t>2</t>
        </is>
      </c>
      <c r="B5443" s="3" t="inlineStr">
        <is>
          <t>Mandor</t>
        </is>
      </c>
      <c r="C5443" s="3" t="inlineStr">
        <is>
          <t>OJ</t>
        </is>
      </c>
      <c r="D5443" s="15" t="n">
        <v>0.0005426356589147286</v>
      </c>
      <c r="E5443" s="4" t="n">
        <v>28571.42857142857</v>
      </c>
      <c r="F5443" s="4" t="n">
        <v>15.50387596899225</v>
      </c>
    </row>
    <row r="5444">
      <c r="A5444" s="3" t="inlineStr">
        <is>
          <t>1</t>
        </is>
      </c>
      <c r="B5444" s="3" t="inlineStr">
        <is>
          <t>Palem Rumpun (Palem Waregu) di Polybag 11 Liter</t>
        </is>
      </c>
      <c r="C5444" s="3" t="inlineStr">
        <is>
          <t>pohon</t>
        </is>
      </c>
      <c r="D5444" s="15" t="n">
        <v>1</v>
      </c>
      <c r="E5444" s="4" t="n">
        <v>250000</v>
      </c>
      <c r="F5444" s="4" t="n">
        <v>250000</v>
      </c>
    </row>
    <row r="5445">
      <c r="A5445" s="3" t="inlineStr">
        <is>
          <t>1</t>
        </is>
      </c>
      <c r="B5445" s="3" t="inlineStr">
        <is>
          <t>Pick Up L300</t>
        </is>
      </c>
      <c r="C5445" s="3" t="inlineStr">
        <is>
          <t>Jam</t>
        </is>
      </c>
      <c r="D5445" s="15" t="n">
        <v>0.01625788869764774</v>
      </c>
      <c r="E5445" s="4" t="n">
        <v>268539.71</v>
      </c>
      <c r="F5445" s="4" t="n">
        <v>4365.888716078601</v>
      </c>
    </row>
    <row r="5446">
      <c r="D5446" s="2" t="inlineStr">
        <is>
          <t>SUBTOTAL UPAH</t>
        </is>
      </c>
      <c r="F5446" s="16" t="n">
        <v>93.02325581395348</v>
      </c>
    </row>
    <row r="5447">
      <c r="D5447" s="2" t="inlineStr">
        <is>
          <t>SUBTOTAL BAHAN</t>
        </is>
      </c>
      <c r="F5447" s="16" t="n">
        <v>250000</v>
      </c>
    </row>
    <row r="5448">
      <c r="D5448" s="2" t="inlineStr">
        <is>
          <t>SUBTOTAL ALAT</t>
        </is>
      </c>
      <c r="F5448" s="16" t="n">
        <v>4365.888716078601</v>
      </c>
    </row>
    <row r="5449">
      <c r="E5449" s="2" t="inlineStr">
        <is>
          <t>TOTAL HARGA SATUAN (Inc. Overhead)</t>
        </is>
      </c>
      <c r="F5449" s="17" t="n">
        <v>279904</v>
      </c>
    </row>
    <row r="5451">
      <c r="A5451" s="14" t="inlineStr">
        <is>
          <t>KODE: 4.1.1.20 - Analisis Produktivitas Angkutan Palem Rumpun Kecil di Polybag 20 L</t>
        </is>
      </c>
    </row>
    <row r="5452">
      <c r="A5452" s="10" t="inlineStr">
        <is>
          <t>No</t>
        </is>
      </c>
      <c r="B5452" s="10" t="inlineStr">
        <is>
          <t>Uraian Komponen</t>
        </is>
      </c>
      <c r="C5452" s="10" t="inlineStr">
        <is>
          <t>Satuan</t>
        </is>
      </c>
      <c r="D5452" s="10" t="inlineStr">
        <is>
          <t>Koef</t>
        </is>
      </c>
      <c r="E5452" s="10" t="inlineStr">
        <is>
          <t>Harga Satuan (Rp)</t>
        </is>
      </c>
      <c r="F5452" s="10" t="inlineStr">
        <is>
          <t>Jumlah Harga (Rp)</t>
        </is>
      </c>
    </row>
    <row r="5453">
      <c r="A5453" s="3" t="n">
        <v>1</v>
      </c>
      <c r="B5453" s="3" t="inlineStr">
        <is>
          <t>Jam Kerja efektif per hari</t>
        </is>
      </c>
      <c r="C5453" s="3" t="inlineStr">
        <is>
          <t>Tk</t>
        </is>
      </c>
      <c r="D5453" s="3" t="n">
        <v>7</v>
      </c>
      <c r="E5453" s="3" t="inlineStr">
        <is>
          <t>Jam</t>
        </is>
      </c>
    </row>
    <row r="5454">
      <c r="A5454" s="3" t="n">
        <v>2</v>
      </c>
      <c r="B5454" s="3" t="inlineStr">
        <is>
          <t>Pemuatan tanaman dilakukan secara manual</t>
        </is>
      </c>
      <c r="C5454" s="3" t="inlineStr">
        <is>
          <t>Fk</t>
        </is>
      </c>
      <c r="D5454" s="3" t="n">
        <v>1.25</v>
      </c>
      <c r="E5454" s="3" t="inlineStr">
        <is>
          <t>-</t>
        </is>
      </c>
      <c r="F5454" s="3" t="inlineStr">
        <is>
          <t>Tabel A.1</t>
        </is>
      </c>
    </row>
    <row r="5455">
      <c r="A5455" s="3" t="n">
        <v>3</v>
      </c>
      <c r="B5455" s="3" t="inlineStr">
        <is>
          <t>Jarak Angkut dari Nursey ke Lokasi pekerjaan</t>
        </is>
      </c>
      <c r="C5455" s="3" t="inlineStr">
        <is>
          <t>L</t>
        </is>
      </c>
      <c r="D5455" s="3" t="n">
        <v>100</v>
      </c>
      <c r="E5455" s="3" t="inlineStr">
        <is>
          <t>km</t>
        </is>
      </c>
    </row>
    <row r="5456">
      <c r="A5456" s="3" t="n">
        <v>4</v>
      </c>
      <c r="B5456" s="3" t="inlineStr">
        <is>
          <t>Angkut Truck 1-jalan dari tempat Nursey ke lokasi perkerjaan</t>
        </is>
      </c>
      <c r="C5456" s="3" t="inlineStr">
        <is>
          <t>Angkut saja</t>
        </is>
      </c>
    </row>
    <row r="5457">
      <c r="A5457" s="3" t="n">
        <v>3.1</v>
      </c>
      <c r="B5457" s="3" t="inlineStr">
        <is>
          <t>Pick Up L300</t>
        </is>
      </c>
      <c r="C5457" s="3" t="inlineStr">
        <is>
          <t>100 HP</t>
        </is>
      </c>
    </row>
    <row r="5458">
      <c r="A5458" s="3" t="inlineStr">
        <is>
          <t>Kapasitas Bak</t>
        </is>
      </c>
      <c r="B5458" s="3" t="inlineStr">
        <is>
          <t>V</t>
        </is>
      </c>
      <c r="C5458" s="3" t="n">
        <v>80</v>
      </c>
      <c r="D5458" s="3" t="inlineStr">
        <is>
          <t>Poly bag</t>
        </is>
      </c>
    </row>
    <row r="5459">
      <c r="A5459" s="3" t="inlineStr">
        <is>
          <t>Faktor Efisiensi Alat (Tabel 7)</t>
        </is>
      </c>
      <c r="B5459" s="3" t="inlineStr">
        <is>
          <t>Fa</t>
        </is>
      </c>
      <c r="C5459" s="3" t="n">
        <v>0.83</v>
      </c>
      <c r="D5459" s="3" t="inlineStr">
        <is>
          <t>-</t>
        </is>
      </c>
      <c r="E5459" s="3" t="inlineStr">
        <is>
          <t>kondisi kerja baik</t>
        </is>
      </c>
    </row>
    <row r="5460">
      <c r="A5460" s="3" t="inlineStr">
        <is>
          <t>Jarak Angkut</t>
        </is>
      </c>
      <c r="B5460" s="3" t="inlineStr">
        <is>
          <t>L</t>
        </is>
      </c>
      <c r="C5460" s="3" t="n">
        <v>100</v>
      </c>
      <c r="D5460" s="3" t="inlineStr">
        <is>
          <t>Km</t>
        </is>
      </c>
    </row>
    <row r="5461">
      <c r="A5461" s="3" t="inlineStr">
        <is>
          <t>Kecepatan ratarata bermuatan (lihat tabel 8)</t>
        </is>
      </c>
      <c r="B5461" s="3" t="inlineStr">
        <is>
          <t>v.1</t>
        </is>
      </c>
      <c r="C5461" s="3" t="n">
        <v>40</v>
      </c>
      <c r="D5461" s="3" t="inlineStr">
        <is>
          <t>Km/jam</t>
        </is>
      </c>
      <c r="E5461" s="3" t="inlineStr">
        <is>
          <t>(Kondisi menanjak atau jalan rusak )</t>
        </is>
      </c>
    </row>
    <row r="5462">
      <c r="A5462" s="3" t="inlineStr">
        <is>
          <t>Kecepatan ratarta kosong (lihat tabel 8)</t>
        </is>
      </c>
      <c r="B5462" s="3" t="inlineStr">
        <is>
          <t>v.2</t>
        </is>
      </c>
      <c r="C5462" s="3" t="n">
        <v>60</v>
      </c>
      <c r="D5462" s="3" t="inlineStr">
        <is>
          <t>Km/jam</t>
        </is>
      </c>
    </row>
    <row r="5463">
      <c r="A5463" s="3" t="inlineStr">
        <is>
          <t>Waktu tempuh isi</t>
        </is>
      </c>
      <c r="B5463" s="3" t="inlineStr">
        <is>
          <t>=</t>
        </is>
      </c>
      <c r="C5463" s="3" t="inlineStr">
        <is>
          <t>( L : v.1) x 60</t>
        </is>
      </c>
      <c r="D5463" s="3" t="inlineStr">
        <is>
          <t>T.1</t>
        </is>
      </c>
      <c r="E5463" s="4" t="n">
        <v>150</v>
      </c>
      <c r="F5463" s="3" t="inlineStr">
        <is>
          <t>menit</t>
        </is>
      </c>
    </row>
    <row r="5464">
      <c r="A5464" s="3" t="inlineStr">
        <is>
          <t>waktu muat &amp; bongkar</t>
        </is>
      </c>
      <c r="B5464" s="3" t="inlineStr">
        <is>
          <t>=</t>
        </is>
      </c>
      <c r="C5464" s="3" t="inlineStr">
        <is>
          <t>V x Ts2</t>
        </is>
      </c>
      <c r="D5464" s="3" t="inlineStr">
        <is>
          <t>T.2</t>
        </is>
      </c>
      <c r="E5464" s="4" t="n">
        <v>35.28</v>
      </c>
      <c r="F5464" s="3" t="inlineStr">
        <is>
          <t>menit</t>
        </is>
      </c>
    </row>
    <row r="5465">
      <c r="A5465" s="3" t="inlineStr">
        <is>
          <t>Ts1</t>
        </is>
      </c>
      <c r="B5465" s="3" t="n">
        <v>185.28</v>
      </c>
      <c r="C5465" s="3" t="inlineStr">
        <is>
          <t>menit</t>
        </is>
      </c>
    </row>
    <row r="5466">
      <c r="A5466" s="3" t="inlineStr">
        <is>
          <t>Kap. Produksi/jam</t>
        </is>
      </c>
      <c r="B5466" s="3" t="inlineStr">
        <is>
          <t>=</t>
        </is>
      </c>
      <c r="C5466" s="3" t="inlineStr">
        <is>
          <t>(V x Fa x 60)/(Ts1)</t>
        </is>
      </c>
      <c r="D5466" s="3" t="inlineStr">
        <is>
          <t>Q.1</t>
        </is>
      </c>
      <c r="E5466" s="4" t="n">
        <v>21.50259067357513</v>
      </c>
      <c r="F5466" s="3" t="inlineStr">
        <is>
          <t>Polybag / jam</t>
        </is>
      </c>
    </row>
    <row r="5467">
      <c r="A5467" s="3" t="inlineStr">
        <is>
          <t>Koefisien Alat/Polybag</t>
        </is>
      </c>
      <c r="B5467" s="3" t="inlineStr">
        <is>
          <t>=</t>
        </is>
      </c>
      <c r="C5467" s="3" t="inlineStr">
        <is>
          <t>1/Q.1</t>
        </is>
      </c>
      <c r="D5467" s="3" t="n">
        <v>0.04650602409638555</v>
      </c>
      <c r="E5467" s="3" t="inlineStr">
        <is>
          <t>Jam</t>
        </is>
      </c>
    </row>
    <row r="5468">
      <c r="A5468" s="3" t="inlineStr">
        <is>
          <t>Jarak da penyimpanan Nursey ke bak Truck</t>
        </is>
      </c>
      <c r="B5468" s="3" t="inlineStr">
        <is>
          <t>L2</t>
        </is>
      </c>
      <c r="C5468" s="3" t="n">
        <v>0.01</v>
      </c>
      <c r="D5468" s="3" t="inlineStr">
        <is>
          <t>Km</t>
        </is>
      </c>
    </row>
    <row r="5469">
      <c r="A5469" s="3" t="inlineStr">
        <is>
          <t>Polybag yang dimuat/turukan</t>
        </is>
      </c>
      <c r="B5469" s="3" t="inlineStr">
        <is>
          <t>V</t>
        </is>
      </c>
      <c r="C5469" s="3" t="n">
        <v>1</v>
      </c>
      <c r="D5469" s="3" t="inlineStr">
        <is>
          <t>Polybag</t>
        </is>
      </c>
    </row>
    <row r="5470">
      <c r="A5470" s="3" t="inlineStr">
        <is>
          <t>Faktor Efisiensi TK</t>
        </is>
      </c>
      <c r="B5470" s="3" t="inlineStr">
        <is>
          <t>FaTK</t>
        </is>
      </c>
      <c r="C5470" s="3" t="n">
        <v>0.86</v>
      </c>
      <c r="D5470" s="3" t="inlineStr">
        <is>
          <t>-</t>
        </is>
      </c>
      <c r="E5470" s="3" t="inlineStr">
        <is>
          <t>Kondisi kerja baik</t>
        </is>
      </c>
    </row>
    <row r="5471">
      <c r="A5471" s="3" t="inlineStr">
        <is>
          <t>- Memuat 1 Polybag dari tempat Nursey ke bak truck</t>
        </is>
      </c>
      <c r="B5471" s="3" t="inlineStr">
        <is>
          <t>T.1</t>
        </is>
      </c>
      <c r="C5471" s="3" t="n">
        <v>0.25</v>
      </c>
      <c r="D5471" s="3" t="inlineStr">
        <is>
          <t>menit</t>
        </is>
      </c>
      <c r="E5471" s="3" t="inlineStr">
        <is>
          <t>muat dan bongkar dibantu 2P</t>
        </is>
      </c>
    </row>
    <row r="5472">
      <c r="A5472" s="3" t="inlineStr">
        <is>
          <t>- Menurunkan 1 Polybag dari bak truck ke penyimpanan di lokasi pekerjaan</t>
        </is>
      </c>
      <c r="B5472" s="3" t="inlineStr">
        <is>
          <t>T.2</t>
        </is>
      </c>
      <c r="C5472" s="3" t="n">
        <v>0.191</v>
      </c>
      <c r="D5472" s="3" t="inlineStr">
        <is>
          <t>menit</t>
        </is>
      </c>
    </row>
    <row r="5473">
      <c r="A5473" s="3" t="inlineStr">
        <is>
          <t>Ts2</t>
        </is>
      </c>
      <c r="B5473" s="3" t="n">
        <v>0.441</v>
      </c>
      <c r="C5473" s="3" t="inlineStr">
        <is>
          <t>menit</t>
        </is>
      </c>
    </row>
    <row r="5474">
      <c r="A5474" s="3" t="inlineStr">
        <is>
          <t>Kap. Tenaga Kerja / jam</t>
        </is>
      </c>
      <c r="B5474" s="3" t="inlineStr">
        <is>
          <t>=</t>
        </is>
      </c>
      <c r="C5474" s="3" t="inlineStr">
        <is>
          <t>(FaTK x 60) / (Ts2)</t>
        </is>
      </c>
      <c r="D5474" s="3" t="inlineStr">
        <is>
          <t>Q.2</t>
        </is>
      </c>
      <c r="E5474" s="4" t="n">
        <v>117.0068027210884</v>
      </c>
      <c r="F5474" s="3" t="inlineStr">
        <is>
          <t>Polybag / jam</t>
        </is>
      </c>
    </row>
    <row r="5475">
      <c r="A5475" s="3" t="inlineStr">
        <is>
          <t>- Pekerja</t>
        </is>
      </c>
      <c r="B5475" s="3" t="inlineStr">
        <is>
          <t>=</t>
        </is>
      </c>
      <c r="C5475" s="3" t="inlineStr">
        <is>
          <t>(Tk x P) : Q.2</t>
        </is>
      </c>
      <c r="D5475" s="3" t="inlineStr">
        <is>
          <t>L.01</t>
        </is>
      </c>
      <c r="E5475" s="4" t="n">
        <v>0.01709302325581395</v>
      </c>
      <c r="F5475" s="3" t="inlineStr">
        <is>
          <t>OJ</t>
        </is>
      </c>
    </row>
    <row r="5476">
      <c r="A5476" s="3" t="inlineStr">
        <is>
          <t>- Mandor</t>
        </is>
      </c>
      <c r="B5476" s="3" t="inlineStr">
        <is>
          <t>=</t>
        </is>
      </c>
      <c r="C5476" s="3" t="inlineStr">
        <is>
          <t>(Tk x M ) : Q.2</t>
        </is>
      </c>
      <c r="D5476" s="3" t="inlineStr">
        <is>
          <t>L.04</t>
        </is>
      </c>
      <c r="E5476" s="4" t="n">
        <v>0.001709302325581395</v>
      </c>
      <c r="F5476" s="3" t="inlineStr">
        <is>
          <t>OJ</t>
        </is>
      </c>
    </row>
    <row r="5477">
      <c r="D5477" s="2" t="inlineStr">
        <is>
          <t>SUBTOTAL UPAH</t>
        </is>
      </c>
      <c r="F5477" s="16" t="n">
        <v>0</v>
      </c>
    </row>
    <row r="5478">
      <c r="D5478" s="2" t="inlineStr">
        <is>
          <t>SUBTOTAL BAHAN</t>
        </is>
      </c>
      <c r="F5478" s="16" t="n">
        <v>0</v>
      </c>
    </row>
    <row r="5479">
      <c r="D5479" s="2" t="inlineStr">
        <is>
          <t>SUBTOTAL ALAT</t>
        </is>
      </c>
      <c r="F5479" s="16" t="n">
        <v>0</v>
      </c>
    </row>
    <row r="5480">
      <c r="E5480" s="2" t="inlineStr">
        <is>
          <t>TOTAL HARGA SATUAN (Inc. Overhead)</t>
        </is>
      </c>
      <c r="F5480" s="17" t="n">
        <v>0</v>
      </c>
    </row>
    <row r="5482">
      <c r="A5482" s="14" t="inlineStr">
        <is>
          <t>KODE: 4.1.1.21 - Pengadaan dan Pengangkutan Palem Rumpun Kecil di Polybag 20 L</t>
        </is>
      </c>
    </row>
    <row r="5483">
      <c r="A5483" s="10" t="inlineStr">
        <is>
          <t>No</t>
        </is>
      </c>
      <c r="B5483" s="10" t="inlineStr">
        <is>
          <t>Uraian Komponen</t>
        </is>
      </c>
      <c r="C5483" s="10" t="inlineStr">
        <is>
          <t>Satuan</t>
        </is>
      </c>
      <c r="D5483" s="10" t="inlineStr">
        <is>
          <t>Koef</t>
        </is>
      </c>
      <c r="E5483" s="10" t="inlineStr">
        <is>
          <t>Harga Satuan (Rp)</t>
        </is>
      </c>
      <c r="F5483" s="10" t="inlineStr">
        <is>
          <t>Jumlah Harga (Rp)</t>
        </is>
      </c>
    </row>
    <row r="5484">
      <c r="A5484" s="3" t="inlineStr">
        <is>
          <t>1</t>
        </is>
      </c>
      <c r="B5484" s="3" t="inlineStr">
        <is>
          <t>Pekerja</t>
        </is>
      </c>
      <c r="C5484" s="3" t="inlineStr">
        <is>
          <t>OJ</t>
        </is>
      </c>
      <c r="D5484" s="15" t="n">
        <v>0.01709302325581395</v>
      </c>
      <c r="E5484" s="4" t="n">
        <v>14285.71428571429</v>
      </c>
      <c r="F5484" s="4" t="n">
        <v>244.1860465116279</v>
      </c>
    </row>
    <row r="5485">
      <c r="A5485" s="3" t="inlineStr">
        <is>
          <t>2</t>
        </is>
      </c>
      <c r="B5485" s="3" t="inlineStr">
        <is>
          <t>Mandor</t>
        </is>
      </c>
      <c r="C5485" s="3" t="inlineStr">
        <is>
          <t>OJ</t>
        </is>
      </c>
      <c r="D5485" s="15" t="n">
        <v>0.001709302325581395</v>
      </c>
      <c r="E5485" s="4" t="n">
        <v>28571.42857142857</v>
      </c>
      <c r="F5485" s="4" t="n">
        <v>48.83720930232558</v>
      </c>
    </row>
    <row r="5486">
      <c r="A5486" s="3" t="inlineStr">
        <is>
          <t>1</t>
        </is>
      </c>
      <c r="B5486" s="3" t="inlineStr">
        <is>
          <t>Palem Rumpun (Palem Waregu) di Polybag 20 Liter</t>
        </is>
      </c>
      <c r="C5486" s="3" t="inlineStr">
        <is>
          <t>pohon</t>
        </is>
      </c>
      <c r="D5486" s="15" t="n">
        <v>1</v>
      </c>
      <c r="E5486" s="4" t="n">
        <v>300000</v>
      </c>
      <c r="F5486" s="4" t="n">
        <v>300000</v>
      </c>
    </row>
    <row r="5487">
      <c r="A5487" s="3" t="inlineStr">
        <is>
          <t>1</t>
        </is>
      </c>
      <c r="B5487" s="3" t="inlineStr">
        <is>
          <t>Pick Up L300</t>
        </is>
      </c>
      <c r="C5487" s="3" t="inlineStr">
        <is>
          <t>Jam</t>
        </is>
      </c>
      <c r="D5487" s="15" t="n">
        <v>0.04650602409638555</v>
      </c>
      <c r="E5487" s="4" t="n">
        <v>268539.71</v>
      </c>
      <c r="F5487" s="4" t="n">
        <v>12488.71422409639</v>
      </c>
    </row>
    <row r="5488">
      <c r="D5488" s="2" t="inlineStr">
        <is>
          <t>SUBTOTAL UPAH</t>
        </is>
      </c>
      <c r="F5488" s="16" t="n">
        <v>293.0232558139535</v>
      </c>
    </row>
    <row r="5489">
      <c r="D5489" s="2" t="inlineStr">
        <is>
          <t>SUBTOTAL BAHAN</t>
        </is>
      </c>
      <c r="F5489" s="16" t="n">
        <v>300000</v>
      </c>
    </row>
    <row r="5490">
      <c r="D5490" s="2" t="inlineStr">
        <is>
          <t>SUBTOTAL ALAT</t>
        </is>
      </c>
      <c r="F5490" s="16" t="n">
        <v>12488.71422409639</v>
      </c>
    </row>
    <row r="5491">
      <c r="E5491" s="2" t="inlineStr">
        <is>
          <t>TOTAL HARGA SATUAN (Inc. Overhead)</t>
        </is>
      </c>
      <c r="F5491" s="17" t="n">
        <v>344059</v>
      </c>
    </row>
    <row r="5493">
      <c r="A5493" s="14" t="inlineStr">
        <is>
          <t>KODE: 4.1.1.22 - Analisis Produktivitas Angkutan Palem Rumpun Besar di Polybag 50 L</t>
        </is>
      </c>
    </row>
    <row r="5494">
      <c r="A5494" s="10" t="inlineStr">
        <is>
          <t>No</t>
        </is>
      </c>
      <c r="B5494" s="10" t="inlineStr">
        <is>
          <t>Uraian Komponen</t>
        </is>
      </c>
      <c r="C5494" s="10" t="inlineStr">
        <is>
          <t>Satuan</t>
        </is>
      </c>
      <c r="D5494" s="10" t="inlineStr">
        <is>
          <t>Koef</t>
        </is>
      </c>
      <c r="E5494" s="10" t="inlineStr">
        <is>
          <t>Harga Satuan (Rp)</t>
        </is>
      </c>
      <c r="F5494" s="10" t="inlineStr">
        <is>
          <t>Jumlah Harga (Rp)</t>
        </is>
      </c>
    </row>
    <row r="5495">
      <c r="A5495" s="3" t="n">
        <v>1</v>
      </c>
      <c r="B5495" s="3" t="inlineStr">
        <is>
          <t>Jam Kerja efektif per hari</t>
        </is>
      </c>
      <c r="C5495" s="3" t="inlineStr">
        <is>
          <t>Tk</t>
        </is>
      </c>
      <c r="D5495" s="3" t="n">
        <v>7</v>
      </c>
      <c r="E5495" s="3" t="inlineStr">
        <is>
          <t>Jam</t>
        </is>
      </c>
    </row>
    <row r="5496">
      <c r="A5496" s="3" t="n">
        <v>2</v>
      </c>
      <c r="B5496" s="3" t="inlineStr">
        <is>
          <t>Pemuatan tanaman dilakukan secara manual</t>
        </is>
      </c>
      <c r="C5496" s="3" t="inlineStr">
        <is>
          <t>Fk</t>
        </is>
      </c>
      <c r="D5496" s="3" t="n">
        <v>1.25</v>
      </c>
      <c r="E5496" s="3" t="inlineStr">
        <is>
          <t>-</t>
        </is>
      </c>
      <c r="F5496" s="3" t="inlineStr">
        <is>
          <t>Tabel A.1</t>
        </is>
      </c>
    </row>
    <row r="5497">
      <c r="A5497" s="3" t="n">
        <v>3</v>
      </c>
      <c r="B5497" s="3" t="inlineStr">
        <is>
          <t>Jarak Angkut dari Nursey ke Lokasi pekerjaan</t>
        </is>
      </c>
      <c r="C5497" s="3" t="inlineStr">
        <is>
          <t>L</t>
        </is>
      </c>
      <c r="D5497" s="3" t="n">
        <v>100</v>
      </c>
      <c r="E5497" s="3" t="inlineStr">
        <is>
          <t>km</t>
        </is>
      </c>
    </row>
    <row r="5498">
      <c r="A5498" s="3" t="n">
        <v>4</v>
      </c>
      <c r="B5498" s="3" t="inlineStr">
        <is>
          <t>Angkut Truck 1-jalan dari tempat Nursey ke lokasi perkerjaan</t>
        </is>
      </c>
      <c r="C5498" s="3" t="inlineStr">
        <is>
          <t>Angkut saja</t>
        </is>
      </c>
    </row>
    <row r="5499">
      <c r="A5499" s="3" t="n">
        <v>3.1</v>
      </c>
      <c r="B5499" s="3" t="inlineStr">
        <is>
          <t>Fuso (D); R-Blk. 8; 35 m3</t>
        </is>
      </c>
      <c r="C5499" s="3" t="inlineStr">
        <is>
          <t>10 Ton; 130 HP</t>
        </is>
      </c>
    </row>
    <row r="5500">
      <c r="A5500" s="3" t="inlineStr">
        <is>
          <t>Kapasitas Bak</t>
        </is>
      </c>
      <c r="B5500" s="3" t="inlineStr">
        <is>
          <t>V</t>
        </is>
      </c>
      <c r="C5500" s="3" t="n">
        <v>400</v>
      </c>
      <c r="D5500" s="3" t="inlineStr">
        <is>
          <t>Poly bag</t>
        </is>
      </c>
    </row>
    <row r="5501">
      <c r="A5501" s="3" t="inlineStr">
        <is>
          <t>Faktor Efisiensi Alat (Tabel 7)</t>
        </is>
      </c>
      <c r="B5501" s="3" t="inlineStr">
        <is>
          <t>Fa</t>
        </is>
      </c>
      <c r="C5501" s="3" t="n">
        <v>0.83</v>
      </c>
      <c r="D5501" s="3" t="inlineStr">
        <is>
          <t>-</t>
        </is>
      </c>
      <c r="E5501" s="3" t="inlineStr">
        <is>
          <t>kondisi kerja baik</t>
        </is>
      </c>
    </row>
    <row r="5502">
      <c r="A5502" s="3" t="inlineStr">
        <is>
          <t>Jarak Angkut</t>
        </is>
      </c>
      <c r="B5502" s="3" t="inlineStr">
        <is>
          <t>L</t>
        </is>
      </c>
      <c r="C5502" s="3" t="n">
        <v>100</v>
      </c>
      <c r="D5502" s="3" t="inlineStr">
        <is>
          <t>Km</t>
        </is>
      </c>
    </row>
    <row r="5503">
      <c r="A5503" s="3" t="inlineStr">
        <is>
          <t>Kecepatan ratarata bermuatan (lihat tabel 8)</t>
        </is>
      </c>
      <c r="B5503" s="3" t="inlineStr">
        <is>
          <t>v.1</t>
        </is>
      </c>
      <c r="C5503" s="3" t="n">
        <v>40</v>
      </c>
      <c r="D5503" s="3" t="inlineStr">
        <is>
          <t>Km/jam</t>
        </is>
      </c>
      <c r="E5503" s="3" t="inlineStr">
        <is>
          <t>(Kondisi menanjak atau jalan rusak )</t>
        </is>
      </c>
    </row>
    <row r="5504">
      <c r="A5504" s="3" t="inlineStr">
        <is>
          <t>Kecepatan ratarta kosong (lihat tabel 8)</t>
        </is>
      </c>
      <c r="B5504" s="3" t="inlineStr">
        <is>
          <t>v.2</t>
        </is>
      </c>
      <c r="C5504" s="3" t="n">
        <v>60</v>
      </c>
      <c r="D5504" s="3" t="inlineStr">
        <is>
          <t>Km/jam</t>
        </is>
      </c>
    </row>
    <row r="5505">
      <c r="A5505" s="3" t="inlineStr">
        <is>
          <t>Waktu tempuh isi</t>
        </is>
      </c>
      <c r="B5505" s="3" t="inlineStr">
        <is>
          <t>=</t>
        </is>
      </c>
      <c r="C5505" s="3" t="inlineStr">
        <is>
          <t>( L : v.1) x 60</t>
        </is>
      </c>
      <c r="D5505" s="3" t="inlineStr">
        <is>
          <t>T.1</t>
        </is>
      </c>
      <c r="E5505" s="4" t="n">
        <v>150</v>
      </c>
      <c r="F5505" s="3" t="inlineStr">
        <is>
          <t>menit</t>
        </is>
      </c>
    </row>
    <row r="5506">
      <c r="A5506" s="3" t="inlineStr">
        <is>
          <t>waktu muat &amp; bongkar</t>
        </is>
      </c>
      <c r="B5506" s="3" t="inlineStr">
        <is>
          <t>=</t>
        </is>
      </c>
      <c r="C5506" s="3" t="inlineStr">
        <is>
          <t>V x Ts2</t>
        </is>
      </c>
      <c r="D5506" s="3" t="inlineStr">
        <is>
          <t>T.2</t>
        </is>
      </c>
      <c r="E5506" s="4" t="n">
        <v>384</v>
      </c>
      <c r="F5506" s="3" t="inlineStr">
        <is>
          <t>menit</t>
        </is>
      </c>
    </row>
    <row r="5507">
      <c r="A5507" s="3" t="inlineStr">
        <is>
          <t>Ts1</t>
        </is>
      </c>
      <c r="B5507" s="3" t="n">
        <v>534</v>
      </c>
      <c r="C5507" s="3" t="inlineStr">
        <is>
          <t>menit</t>
        </is>
      </c>
    </row>
    <row r="5508">
      <c r="A5508" s="3" t="inlineStr">
        <is>
          <t>Kap. Produksi/jam</t>
        </is>
      </c>
      <c r="B5508" s="3" t="inlineStr">
        <is>
          <t>=</t>
        </is>
      </c>
      <c r="C5508" s="3" t="inlineStr">
        <is>
          <t>(V x Fa x 60)/(Ts1)</t>
        </is>
      </c>
      <c r="D5508" s="3" t="inlineStr">
        <is>
          <t>Q.1</t>
        </is>
      </c>
      <c r="E5508" s="4" t="n">
        <v>37.30337078651685</v>
      </c>
      <c r="F5508" s="3" t="inlineStr">
        <is>
          <t>Polybag / jam</t>
        </is>
      </c>
    </row>
    <row r="5509">
      <c r="A5509" s="3" t="inlineStr">
        <is>
          <t>Koefisien Alat/Polybag</t>
        </is>
      </c>
      <c r="B5509" s="3" t="inlineStr">
        <is>
          <t>=</t>
        </is>
      </c>
      <c r="C5509" s="3" t="inlineStr">
        <is>
          <t>1/Q.1</t>
        </is>
      </c>
      <c r="D5509" s="3" t="n">
        <v>0.02680722891566265</v>
      </c>
      <c r="E5509" s="3" t="inlineStr">
        <is>
          <t>Jam</t>
        </is>
      </c>
    </row>
    <row r="5510">
      <c r="A5510" s="3" t="inlineStr">
        <is>
          <t>Jarak da penyimpanan Nursey ke bak Truck</t>
        </is>
      </c>
      <c r="B5510" s="3" t="inlineStr">
        <is>
          <t>L2</t>
        </is>
      </c>
      <c r="C5510" s="3" t="n">
        <v>0.01</v>
      </c>
      <c r="D5510" s="3" t="inlineStr">
        <is>
          <t>Km</t>
        </is>
      </c>
    </row>
    <row r="5511">
      <c r="A5511" s="3" t="inlineStr">
        <is>
          <t>Polybag yang dimuat/turukan</t>
        </is>
      </c>
      <c r="B5511" s="3" t="inlineStr">
        <is>
          <t>V</t>
        </is>
      </c>
      <c r="C5511" s="3" t="n">
        <v>1</v>
      </c>
      <c r="D5511" s="3" t="inlineStr">
        <is>
          <t>Polybag</t>
        </is>
      </c>
    </row>
    <row r="5512">
      <c r="A5512" s="3" t="inlineStr">
        <is>
          <t>Faktor Efisiensi TK</t>
        </is>
      </c>
      <c r="B5512" s="3" t="inlineStr">
        <is>
          <t>FaTK</t>
        </is>
      </c>
      <c r="C5512" s="3" t="n">
        <v>0.86</v>
      </c>
      <c r="D5512" s="3" t="inlineStr">
        <is>
          <t>-</t>
        </is>
      </c>
      <c r="E5512" s="3" t="inlineStr">
        <is>
          <t>Kondisi kerja baik</t>
        </is>
      </c>
    </row>
    <row r="5513">
      <c r="A5513" s="3" t="inlineStr">
        <is>
          <t>- Memuat 1 Polybag dari tempat Nursey ke bak truck</t>
        </is>
      </c>
      <c r="B5513" s="3" t="inlineStr">
        <is>
          <t>T.1</t>
        </is>
      </c>
      <c r="C5513" s="3" t="n">
        <v>0.5</v>
      </c>
      <c r="D5513" s="3" t="inlineStr">
        <is>
          <t>menit</t>
        </is>
      </c>
      <c r="E5513" s="3" t="inlineStr">
        <is>
          <t>muat dan bongkar dibantu 2P</t>
        </is>
      </c>
    </row>
    <row r="5514">
      <c r="A5514" s="3" t="inlineStr">
        <is>
          <t>- Menurunkan 1 Polybag dari bak truck ke penyimpanan di lokasi pekerjaan</t>
        </is>
      </c>
      <c r="B5514" s="3" t="inlineStr">
        <is>
          <t>T.2</t>
        </is>
      </c>
      <c r="C5514" s="3" t="n">
        <v>0.46</v>
      </c>
      <c r="D5514" s="3" t="inlineStr">
        <is>
          <t>menit</t>
        </is>
      </c>
    </row>
    <row r="5515">
      <c r="A5515" s="3" t="inlineStr">
        <is>
          <t>Ts2</t>
        </is>
      </c>
      <c r="B5515" s="3" t="n">
        <v>0.96</v>
      </c>
      <c r="C5515" s="3" t="inlineStr">
        <is>
          <t>menit</t>
        </is>
      </c>
    </row>
    <row r="5516">
      <c r="A5516" s="3" t="inlineStr">
        <is>
          <t>Kap. Tenaga Kerja / jam</t>
        </is>
      </c>
      <c r="B5516" s="3" t="inlineStr">
        <is>
          <t>=</t>
        </is>
      </c>
      <c r="C5516" s="3" t="inlineStr">
        <is>
          <t>(FaTK x 60) / (Ts2)</t>
        </is>
      </c>
      <c r="D5516" s="3" t="inlineStr">
        <is>
          <t>Q.2</t>
        </is>
      </c>
      <c r="E5516" s="4" t="n">
        <v>53.75</v>
      </c>
      <c r="F5516" s="3" t="inlineStr">
        <is>
          <t>Polybag / jam</t>
        </is>
      </c>
    </row>
    <row r="5517">
      <c r="A5517" s="3" t="inlineStr">
        <is>
          <t>- Pekerja</t>
        </is>
      </c>
      <c r="B5517" s="3" t="inlineStr">
        <is>
          <t>=</t>
        </is>
      </c>
      <c r="C5517" s="3" t="inlineStr">
        <is>
          <t>(Tk x P) : Q.2</t>
        </is>
      </c>
      <c r="D5517" s="3" t="inlineStr">
        <is>
          <t>L.01</t>
        </is>
      </c>
      <c r="E5517" s="4" t="n">
        <v>0.05581395348837209</v>
      </c>
      <c r="F5517" s="3" t="inlineStr">
        <is>
          <t>OJ</t>
        </is>
      </c>
    </row>
    <row r="5518">
      <c r="A5518" s="3" t="inlineStr">
        <is>
          <t>- Mandor</t>
        </is>
      </c>
      <c r="B5518" s="3" t="inlineStr">
        <is>
          <t>=</t>
        </is>
      </c>
      <c r="C5518" s="3" t="inlineStr">
        <is>
          <t>(Tk x M ) : Q.2</t>
        </is>
      </c>
      <c r="D5518" s="3" t="inlineStr">
        <is>
          <t>L.04</t>
        </is>
      </c>
      <c r="E5518" s="4" t="n">
        <v>0.005581395348837209</v>
      </c>
      <c r="F5518" s="3" t="inlineStr">
        <is>
          <t>OJ</t>
        </is>
      </c>
    </row>
    <row r="5519">
      <c r="D5519" s="2" t="inlineStr">
        <is>
          <t>SUBTOTAL UPAH</t>
        </is>
      </c>
      <c r="F5519" s="16" t="n">
        <v>0</v>
      </c>
    </row>
    <row r="5520">
      <c r="D5520" s="2" t="inlineStr">
        <is>
          <t>SUBTOTAL BAHAN</t>
        </is>
      </c>
      <c r="F5520" s="16" t="n">
        <v>0</v>
      </c>
    </row>
    <row r="5521">
      <c r="D5521" s="2" t="inlineStr">
        <is>
          <t>SUBTOTAL ALAT</t>
        </is>
      </c>
      <c r="F5521" s="16" t="n">
        <v>0</v>
      </c>
    </row>
    <row r="5522">
      <c r="E5522" s="2" t="inlineStr">
        <is>
          <t>TOTAL HARGA SATUAN (Inc. Overhead)</t>
        </is>
      </c>
      <c r="F5522" s="17" t="n">
        <v>0</v>
      </c>
    </row>
    <row r="5524">
      <c r="A5524" s="14" t="inlineStr">
        <is>
          <t>KODE: 4.1.1.23 - Pengadaan dan Pengangkutan Palem Rumpun Besar di Polybag 50 L</t>
        </is>
      </c>
    </row>
    <row r="5525">
      <c r="A5525" s="10" t="inlineStr">
        <is>
          <t>No</t>
        </is>
      </c>
      <c r="B5525" s="10" t="inlineStr">
        <is>
          <t>Uraian Komponen</t>
        </is>
      </c>
      <c r="C5525" s="10" t="inlineStr">
        <is>
          <t>Satuan</t>
        </is>
      </c>
      <c r="D5525" s="10" t="inlineStr">
        <is>
          <t>Koef</t>
        </is>
      </c>
      <c r="E5525" s="10" t="inlineStr">
        <is>
          <t>Harga Satuan (Rp)</t>
        </is>
      </c>
      <c r="F5525" s="10" t="inlineStr">
        <is>
          <t>Jumlah Harga (Rp)</t>
        </is>
      </c>
    </row>
    <row r="5526">
      <c r="A5526" s="3" t="inlineStr">
        <is>
          <t>1</t>
        </is>
      </c>
      <c r="B5526" s="3" t="inlineStr">
        <is>
          <t>Pekerja</t>
        </is>
      </c>
      <c r="C5526" s="3" t="inlineStr">
        <is>
          <t>OJ</t>
        </is>
      </c>
      <c r="D5526" s="15" t="n">
        <v>0.05581395348837209</v>
      </c>
      <c r="E5526" s="4" t="n">
        <v>14285.71428571429</v>
      </c>
      <c r="F5526" s="4" t="n">
        <v>797.3421926910299</v>
      </c>
    </row>
    <row r="5527">
      <c r="A5527" s="3" t="inlineStr">
        <is>
          <t>2</t>
        </is>
      </c>
      <c r="B5527" s="3" t="inlineStr">
        <is>
          <t>Mandor</t>
        </is>
      </c>
      <c r="C5527" s="3" t="inlineStr">
        <is>
          <t>OJ</t>
        </is>
      </c>
      <c r="D5527" s="15" t="n">
        <v>0.005581395348837209</v>
      </c>
      <c r="E5527" s="4" t="n">
        <v>28571.42857142857</v>
      </c>
      <c r="F5527" s="4" t="n">
        <v>159.468438538206</v>
      </c>
    </row>
    <row r="5528">
      <c r="A5528" s="3" t="inlineStr">
        <is>
          <t>1</t>
        </is>
      </c>
      <c r="B5528" s="3" t="inlineStr">
        <is>
          <t>Palem Rumpun (Palem Waregu) di Polybag 50 Liter</t>
        </is>
      </c>
      <c r="C5528" s="3" t="inlineStr">
        <is>
          <t>pohon</t>
        </is>
      </c>
      <c r="D5528" s="15" t="n">
        <v>1</v>
      </c>
      <c r="E5528" s="4" t="n">
        <v>500000</v>
      </c>
      <c r="F5528" s="4" t="n">
        <v>500000</v>
      </c>
    </row>
    <row r="5529">
      <c r="A5529" s="3" t="inlineStr">
        <is>
          <t>1</t>
        </is>
      </c>
      <c r="B5529" s="3" t="inlineStr">
        <is>
          <t>Fuso (D); R-Blk. 8; 35 m3</t>
        </is>
      </c>
      <c r="C5529" s="3" t="inlineStr">
        <is>
          <t>Jam</t>
        </is>
      </c>
      <c r="D5529" s="15" t="n">
        <v>0.02680722891566265</v>
      </c>
      <c r="E5529" s="4" t="n">
        <v>418543.76</v>
      </c>
      <c r="F5529" s="4" t="n">
        <v>11219.99838554217</v>
      </c>
    </row>
    <row r="5530">
      <c r="D5530" s="2" t="inlineStr">
        <is>
          <t>SUBTOTAL UPAH</t>
        </is>
      </c>
      <c r="F5530" s="16" t="n">
        <v>956.8106312292359</v>
      </c>
    </row>
    <row r="5531">
      <c r="D5531" s="2" t="inlineStr">
        <is>
          <t>SUBTOTAL BAHAN</t>
        </is>
      </c>
      <c r="F5531" s="16" t="n">
        <v>500000</v>
      </c>
    </row>
    <row r="5532">
      <c r="D5532" s="2" t="inlineStr">
        <is>
          <t>SUBTOTAL ALAT</t>
        </is>
      </c>
      <c r="F5532" s="16" t="n">
        <v>11219.99838554217</v>
      </c>
    </row>
    <row r="5533">
      <c r="E5533" s="2" t="inlineStr">
        <is>
          <t>TOTAL HARGA SATUAN (Inc. Overhead)</t>
        </is>
      </c>
      <c r="F5533" s="17" t="n">
        <v>563394</v>
      </c>
    </row>
    <row r="5535">
      <c r="A5535" s="14" t="inlineStr">
        <is>
          <t>KODE: 4.1.1.24 - Analisis Produktivitas Angkutan Palem Tunggal Kecil di Polybag 11 L</t>
        </is>
      </c>
    </row>
    <row r="5536">
      <c r="A5536" s="10" t="inlineStr">
        <is>
          <t>No</t>
        </is>
      </c>
      <c r="B5536" s="10" t="inlineStr">
        <is>
          <t>Uraian Komponen</t>
        </is>
      </c>
      <c r="C5536" s="10" t="inlineStr">
        <is>
          <t>Satuan</t>
        </is>
      </c>
      <c r="D5536" s="10" t="inlineStr">
        <is>
          <t>Koef</t>
        </is>
      </c>
      <c r="E5536" s="10" t="inlineStr">
        <is>
          <t>Harga Satuan (Rp)</t>
        </is>
      </c>
      <c r="F5536" s="10" t="inlineStr">
        <is>
          <t>Jumlah Harga (Rp)</t>
        </is>
      </c>
    </row>
    <row r="5537">
      <c r="A5537" s="3" t="n">
        <v>1</v>
      </c>
      <c r="B5537" s="3" t="inlineStr">
        <is>
          <t>Jam Kerja efektif per hari</t>
        </is>
      </c>
      <c r="C5537" s="3" t="inlineStr">
        <is>
          <t>Tk</t>
        </is>
      </c>
      <c r="D5537" s="3" t="n">
        <v>7</v>
      </c>
      <c r="E5537" s="3" t="inlineStr">
        <is>
          <t>Jam</t>
        </is>
      </c>
    </row>
    <row r="5538">
      <c r="A5538" s="3" t="n">
        <v>2</v>
      </c>
      <c r="B5538" s="3" t="inlineStr">
        <is>
          <t>Pemuatan tanaman dilakukan secara manual</t>
        </is>
      </c>
      <c r="C5538" s="3" t="inlineStr">
        <is>
          <t>Fk</t>
        </is>
      </c>
      <c r="D5538" s="3" t="n">
        <v>1.25</v>
      </c>
      <c r="E5538" s="3" t="inlineStr">
        <is>
          <t>-</t>
        </is>
      </c>
      <c r="F5538" s="3" t="inlineStr">
        <is>
          <t>Tabel A.1</t>
        </is>
      </c>
    </row>
    <row r="5539">
      <c r="A5539" s="3" t="n">
        <v>3</v>
      </c>
      <c r="B5539" s="3" t="inlineStr">
        <is>
          <t>Jarak Angkut dari Nursey ke Lokasi pekerjaan</t>
        </is>
      </c>
      <c r="C5539" s="3" t="inlineStr">
        <is>
          <t>L</t>
        </is>
      </c>
      <c r="D5539" s="3" t="n">
        <v>100</v>
      </c>
      <c r="E5539" s="3" t="inlineStr">
        <is>
          <t>km</t>
        </is>
      </c>
    </row>
    <row r="5540">
      <c r="A5540" s="3" t="n">
        <v>4</v>
      </c>
      <c r="B5540" s="3" t="inlineStr">
        <is>
          <t>Angkut Truck 1-jalan dari tempat Nursey ke lokasi perkerjaan</t>
        </is>
      </c>
      <c r="C5540" s="3" t="inlineStr">
        <is>
          <t>Angkut saja</t>
        </is>
      </c>
    </row>
    <row r="5541">
      <c r="A5541" s="3" t="n">
        <v>3.1</v>
      </c>
      <c r="B5541" s="3" t="inlineStr">
        <is>
          <t>Pick Up L300</t>
        </is>
      </c>
      <c r="C5541" s="3" t="inlineStr">
        <is>
          <t>100 HP</t>
        </is>
      </c>
    </row>
    <row r="5542">
      <c r="A5542" s="3" t="inlineStr">
        <is>
          <t>Kapasitas Bak</t>
        </is>
      </c>
      <c r="B5542" s="3" t="inlineStr">
        <is>
          <t>V</t>
        </is>
      </c>
      <c r="C5542" s="3" t="n">
        <v>224</v>
      </c>
      <c r="D5542" s="3" t="inlineStr">
        <is>
          <t>Poly bag</t>
        </is>
      </c>
    </row>
    <row r="5543">
      <c r="A5543" s="3" t="inlineStr">
        <is>
          <t>Faktor Efisiensi Alat (Tabel 7)</t>
        </is>
      </c>
      <c r="B5543" s="3" t="inlineStr">
        <is>
          <t>Fa</t>
        </is>
      </c>
      <c r="C5543" s="3" t="n">
        <v>0.83</v>
      </c>
      <c r="D5543" s="3" t="inlineStr">
        <is>
          <t>-</t>
        </is>
      </c>
      <c r="E5543" s="3" t="inlineStr">
        <is>
          <t>kondisi kerja baik</t>
        </is>
      </c>
    </row>
    <row r="5544">
      <c r="A5544" s="3" t="inlineStr">
        <is>
          <t>Jarak Angkut</t>
        </is>
      </c>
      <c r="B5544" s="3" t="inlineStr">
        <is>
          <t>L</t>
        </is>
      </c>
      <c r="C5544" s="3" t="n">
        <v>100</v>
      </c>
      <c r="D5544" s="3" t="inlineStr">
        <is>
          <t>Km</t>
        </is>
      </c>
    </row>
    <row r="5545">
      <c r="A5545" s="3" t="inlineStr">
        <is>
          <t>Kecepatan ratarata bermuatan (lihat tabel 8)</t>
        </is>
      </c>
      <c r="B5545" s="3" t="inlineStr">
        <is>
          <t>v.1</t>
        </is>
      </c>
      <c r="C5545" s="3" t="n">
        <v>40</v>
      </c>
      <c r="D5545" s="3" t="inlineStr">
        <is>
          <t>Km/jam</t>
        </is>
      </c>
      <c r="E5545" s="3" t="inlineStr">
        <is>
          <t>(Kondisi menanjak atau jalan rusak )</t>
        </is>
      </c>
    </row>
    <row r="5546">
      <c r="A5546" s="3" t="inlineStr">
        <is>
          <t>Kecepatan ratarta kosong (lihat tabel 8)</t>
        </is>
      </c>
      <c r="B5546" s="3" t="inlineStr">
        <is>
          <t>v.2</t>
        </is>
      </c>
      <c r="C5546" s="3" t="n">
        <v>60</v>
      </c>
      <c r="D5546" s="3" t="inlineStr">
        <is>
          <t>Km/jam</t>
        </is>
      </c>
    </row>
    <row r="5547">
      <c r="A5547" s="3" t="inlineStr">
        <is>
          <t>Waktu tempuh isi</t>
        </is>
      </c>
      <c r="B5547" s="3" t="inlineStr">
        <is>
          <t>=</t>
        </is>
      </c>
      <c r="C5547" s="3" t="inlineStr">
        <is>
          <t>( L : v.1) x 60</t>
        </is>
      </c>
      <c r="D5547" s="3" t="inlineStr">
        <is>
          <t>T.1</t>
        </is>
      </c>
      <c r="E5547" s="4" t="n">
        <v>150</v>
      </c>
      <c r="F5547" s="3" t="inlineStr">
        <is>
          <t>menit</t>
        </is>
      </c>
    </row>
    <row r="5548">
      <c r="A5548" s="3" t="inlineStr">
        <is>
          <t>waktu muat &amp; bongkar</t>
        </is>
      </c>
      <c r="B5548" s="3" t="inlineStr">
        <is>
          <t>=</t>
        </is>
      </c>
      <c r="C5548" s="3" t="inlineStr">
        <is>
          <t>V x Ts2</t>
        </is>
      </c>
      <c r="D5548" s="3" t="inlineStr">
        <is>
          <t>T.2</t>
        </is>
      </c>
      <c r="E5548" s="4" t="n">
        <v>31.36</v>
      </c>
      <c r="F5548" s="3" t="inlineStr">
        <is>
          <t>menit</t>
        </is>
      </c>
    </row>
    <row r="5549">
      <c r="A5549" s="3" t="inlineStr">
        <is>
          <t>Ts1</t>
        </is>
      </c>
      <c r="B5549" s="3" t="n">
        <v>181.36</v>
      </c>
      <c r="C5549" s="3" t="inlineStr">
        <is>
          <t>menit</t>
        </is>
      </c>
    </row>
    <row r="5550">
      <c r="A5550" s="3" t="inlineStr">
        <is>
          <t>Kap. Produksi/jam</t>
        </is>
      </c>
      <c r="B5550" s="3" t="inlineStr">
        <is>
          <t>=</t>
        </is>
      </c>
      <c r="C5550" s="3" t="inlineStr">
        <is>
          <t>(V x Fa x 60)/(Ts1)</t>
        </is>
      </c>
      <c r="D5550" s="3" t="inlineStr">
        <is>
          <t>Q.1</t>
        </is>
      </c>
      <c r="E5550" s="4" t="n">
        <v>61.50860167622407</v>
      </c>
      <c r="F5550" s="3" t="inlineStr">
        <is>
          <t>Polybag / jam</t>
        </is>
      </c>
    </row>
    <row r="5551">
      <c r="A5551" s="3" t="inlineStr">
        <is>
          <t>Koefisien Alat/Polybag</t>
        </is>
      </c>
      <c r="B5551" s="3" t="inlineStr">
        <is>
          <t>=</t>
        </is>
      </c>
      <c r="C5551" s="3" t="inlineStr">
        <is>
          <t>1/Q.1</t>
        </is>
      </c>
      <c r="D5551" s="3" t="n">
        <v>0.01625788869764774</v>
      </c>
      <c r="E5551" s="3" t="inlineStr">
        <is>
          <t>Jam</t>
        </is>
      </c>
    </row>
    <row r="5552">
      <c r="A5552" s="3" t="inlineStr">
        <is>
          <t>Jarak da penyimpanan Nursey ke bak Truck</t>
        </is>
      </c>
      <c r="B5552" s="3" t="inlineStr">
        <is>
          <t>L2</t>
        </is>
      </c>
      <c r="C5552" s="3" t="n">
        <v>0.01</v>
      </c>
      <c r="D5552" s="3" t="inlineStr">
        <is>
          <t>Km</t>
        </is>
      </c>
    </row>
    <row r="5553">
      <c r="A5553" s="3" t="inlineStr">
        <is>
          <t>Polybag yang dimuat/turukan</t>
        </is>
      </c>
      <c r="B5553" s="3" t="inlineStr">
        <is>
          <t>V</t>
        </is>
      </c>
      <c r="C5553" s="3" t="n">
        <v>1</v>
      </c>
      <c r="D5553" s="3" t="inlineStr">
        <is>
          <t>Polybag</t>
        </is>
      </c>
    </row>
    <row r="5554">
      <c r="A5554" s="3" t="inlineStr">
        <is>
          <t>Faktor Efisiensi TK</t>
        </is>
      </c>
      <c r="B5554" s="3" t="inlineStr">
        <is>
          <t>FaTK</t>
        </is>
      </c>
      <c r="C5554" s="3" t="n">
        <v>0.86</v>
      </c>
      <c r="D5554" s="3" t="inlineStr">
        <is>
          <t>-</t>
        </is>
      </c>
      <c r="E5554" s="3" t="inlineStr">
        <is>
          <t>Kondisi kerja baik</t>
        </is>
      </c>
    </row>
    <row r="5555">
      <c r="A5555" s="3" t="inlineStr">
        <is>
          <t>- Memuat 1 Polybag dari tempat Nursey ke bak truck</t>
        </is>
      </c>
      <c r="B5555" s="3" t="inlineStr">
        <is>
          <t>T.1</t>
        </is>
      </c>
      <c r="C5555" s="3" t="n">
        <v>0.08500000000000001</v>
      </c>
      <c r="D5555" s="3" t="inlineStr">
        <is>
          <t>menit</t>
        </is>
      </c>
      <c r="E5555" s="3" t="inlineStr">
        <is>
          <t>muat dan bongkar dibantu 2P</t>
        </is>
      </c>
    </row>
    <row r="5556">
      <c r="A5556" s="3" t="inlineStr">
        <is>
          <t>- Menurunkan 1 Polybag dari bak truck ke penyimpanan di lokasi pekerjaan</t>
        </is>
      </c>
      <c r="B5556" s="3" t="inlineStr">
        <is>
          <t>T.2</t>
        </is>
      </c>
      <c r="C5556" s="3" t="n">
        <v>0.055</v>
      </c>
      <c r="D5556" s="3" t="inlineStr">
        <is>
          <t>menit</t>
        </is>
      </c>
    </row>
    <row r="5557">
      <c r="A5557" s="3" t="inlineStr">
        <is>
          <t>Ts2</t>
        </is>
      </c>
      <c r="B5557" s="3" t="n">
        <v>0.14</v>
      </c>
      <c r="C5557" s="3" t="inlineStr">
        <is>
          <t>menit</t>
        </is>
      </c>
    </row>
    <row r="5558">
      <c r="A5558" s="3" t="inlineStr">
        <is>
          <t>Kap. Tenaga Kerja / jam</t>
        </is>
      </c>
      <c r="B5558" s="3" t="inlineStr">
        <is>
          <t>=</t>
        </is>
      </c>
      <c r="C5558" s="3" t="inlineStr">
        <is>
          <t>(FaTK x 60) / (Ts2)</t>
        </is>
      </c>
      <c r="D5558" s="3" t="inlineStr">
        <is>
          <t>Q.2</t>
        </is>
      </c>
      <c r="E5558" s="4" t="n">
        <v>368.5714285714286</v>
      </c>
      <c r="F5558" s="3" t="inlineStr">
        <is>
          <t>Polybag / jam</t>
        </is>
      </c>
    </row>
    <row r="5559">
      <c r="A5559" s="3" t="inlineStr">
        <is>
          <t>- Pekerja</t>
        </is>
      </c>
      <c r="B5559" s="3" t="inlineStr">
        <is>
          <t>=</t>
        </is>
      </c>
      <c r="C5559" s="3" t="inlineStr">
        <is>
          <t>(Tk x P) : Q.2</t>
        </is>
      </c>
      <c r="D5559" s="3" t="inlineStr">
        <is>
          <t>L.01</t>
        </is>
      </c>
      <c r="E5559" s="4" t="n">
        <v>0.005426356589147287</v>
      </c>
      <c r="F5559" s="3" t="inlineStr">
        <is>
          <t>OJ</t>
        </is>
      </c>
    </row>
    <row r="5560">
      <c r="A5560" s="3" t="inlineStr">
        <is>
          <t>- Mandor</t>
        </is>
      </c>
      <c r="B5560" s="3" t="inlineStr">
        <is>
          <t>=</t>
        </is>
      </c>
      <c r="C5560" s="3" t="inlineStr">
        <is>
          <t>(Tk x M ) : Q.2</t>
        </is>
      </c>
      <c r="D5560" s="3" t="inlineStr">
        <is>
          <t>L.04</t>
        </is>
      </c>
      <c r="E5560" s="4" t="n">
        <v>0.0005426356589147286</v>
      </c>
      <c r="F5560" s="3" t="inlineStr">
        <is>
          <t>OJ</t>
        </is>
      </c>
    </row>
    <row r="5561">
      <c r="D5561" s="2" t="inlineStr">
        <is>
          <t>SUBTOTAL UPAH</t>
        </is>
      </c>
      <c r="F5561" s="16" t="n">
        <v>0</v>
      </c>
    </row>
    <row r="5562">
      <c r="D5562" s="2" t="inlineStr">
        <is>
          <t>SUBTOTAL BAHAN</t>
        </is>
      </c>
      <c r="F5562" s="16" t="n">
        <v>0</v>
      </c>
    </row>
    <row r="5563">
      <c r="D5563" s="2" t="inlineStr">
        <is>
          <t>SUBTOTAL ALAT</t>
        </is>
      </c>
      <c r="F5563" s="16" t="n">
        <v>0</v>
      </c>
    </row>
    <row r="5564">
      <c r="E5564" s="2" t="inlineStr">
        <is>
          <t>TOTAL HARGA SATUAN (Inc. Overhead)</t>
        </is>
      </c>
      <c r="F5564" s="17" t="n">
        <v>0</v>
      </c>
    </row>
    <row r="5566">
      <c r="A5566" s="14" t="inlineStr">
        <is>
          <t>KODE: 4.1.1.25 - Pengadaan dan Pengangkutan Palem Tunggal Kecil di Polybag 11 L</t>
        </is>
      </c>
    </row>
    <row r="5567">
      <c r="A5567" s="10" t="inlineStr">
        <is>
          <t>No</t>
        </is>
      </c>
      <c r="B5567" s="10" t="inlineStr">
        <is>
          <t>Uraian Komponen</t>
        </is>
      </c>
      <c r="C5567" s="10" t="inlineStr">
        <is>
          <t>Satuan</t>
        </is>
      </c>
      <c r="D5567" s="10" t="inlineStr">
        <is>
          <t>Koef</t>
        </is>
      </c>
      <c r="E5567" s="10" t="inlineStr">
        <is>
          <t>Harga Satuan (Rp)</t>
        </is>
      </c>
      <c r="F5567" s="10" t="inlineStr">
        <is>
          <t>Jumlah Harga (Rp)</t>
        </is>
      </c>
    </row>
    <row r="5568">
      <c r="A5568" s="3" t="inlineStr">
        <is>
          <t>1</t>
        </is>
      </c>
      <c r="B5568" s="3" t="inlineStr">
        <is>
          <t>Pekerja</t>
        </is>
      </c>
      <c r="C5568" s="3" t="inlineStr">
        <is>
          <t>OJ</t>
        </is>
      </c>
      <c r="D5568" s="15" t="n">
        <v>0.005426356589147287</v>
      </c>
      <c r="E5568" s="4" t="n">
        <v>14285.71428571429</v>
      </c>
      <c r="F5568" s="4" t="n">
        <v>77.51937984496124</v>
      </c>
    </row>
    <row r="5569">
      <c r="A5569" s="3" t="inlineStr">
        <is>
          <t>2</t>
        </is>
      </c>
      <c r="B5569" s="3" t="inlineStr">
        <is>
          <t>Mandor</t>
        </is>
      </c>
      <c r="C5569" s="3" t="inlineStr">
        <is>
          <t>OJ</t>
        </is>
      </c>
      <c r="D5569" s="15" t="n">
        <v>0.0005426356589147286</v>
      </c>
      <c r="E5569" s="4" t="n">
        <v>28571.42857142857</v>
      </c>
      <c r="F5569" s="4" t="n">
        <v>15.50387596899225</v>
      </c>
    </row>
    <row r="5570">
      <c r="A5570" s="3" t="inlineStr">
        <is>
          <t>1</t>
        </is>
      </c>
      <c r="B5570" s="3" t="inlineStr">
        <is>
          <t>Palem Tunggal (Palem Kol) di Polybag 11 Liter</t>
        </is>
      </c>
      <c r="C5570" s="3" t="inlineStr">
        <is>
          <t>pohon</t>
        </is>
      </c>
      <c r="D5570" s="15" t="n">
        <v>1</v>
      </c>
      <c r="E5570" s="4" t="n">
        <v>100000</v>
      </c>
      <c r="F5570" s="4" t="n">
        <v>100000</v>
      </c>
    </row>
    <row r="5571">
      <c r="A5571" s="3" t="inlineStr">
        <is>
          <t>1</t>
        </is>
      </c>
      <c r="B5571" s="3" t="inlineStr">
        <is>
          <t>Pick Up L300</t>
        </is>
      </c>
      <c r="C5571" s="3" t="inlineStr">
        <is>
          <t>Jam</t>
        </is>
      </c>
      <c r="D5571" s="15" t="n">
        <v>0.01625788869764774</v>
      </c>
      <c r="E5571" s="4" t="n">
        <v>268539.71</v>
      </c>
      <c r="F5571" s="4" t="n">
        <v>4365.888716078601</v>
      </c>
    </row>
    <row r="5572">
      <c r="D5572" s="2" t="inlineStr">
        <is>
          <t>SUBTOTAL UPAH</t>
        </is>
      </c>
      <c r="F5572" s="16" t="n">
        <v>93.02325581395348</v>
      </c>
    </row>
    <row r="5573">
      <c r="D5573" s="2" t="inlineStr">
        <is>
          <t>SUBTOTAL BAHAN</t>
        </is>
      </c>
      <c r="F5573" s="16" t="n">
        <v>100000</v>
      </c>
    </row>
    <row r="5574">
      <c r="D5574" s="2" t="inlineStr">
        <is>
          <t>SUBTOTAL ALAT</t>
        </is>
      </c>
      <c r="F5574" s="16" t="n">
        <v>4365.888716078601</v>
      </c>
    </row>
    <row r="5575">
      <c r="E5575" s="2" t="inlineStr">
        <is>
          <t>TOTAL HARGA SATUAN (Inc. Overhead)</t>
        </is>
      </c>
      <c r="F5575" s="17" t="n">
        <v>114904</v>
      </c>
    </row>
    <row r="5577">
      <c r="A5577" s="14" t="inlineStr">
        <is>
          <t>KODE: 4.1.1.26 - Analisis Produktivitas Angkutan Palem Tunggal Kecil di Polybag 20 L</t>
        </is>
      </c>
    </row>
    <row r="5578">
      <c r="A5578" s="10" t="inlineStr">
        <is>
          <t>No</t>
        </is>
      </c>
      <c r="B5578" s="10" t="inlineStr">
        <is>
          <t>Uraian Komponen</t>
        </is>
      </c>
      <c r="C5578" s="10" t="inlineStr">
        <is>
          <t>Satuan</t>
        </is>
      </c>
      <c r="D5578" s="10" t="inlineStr">
        <is>
          <t>Koef</t>
        </is>
      </c>
      <c r="E5578" s="10" t="inlineStr">
        <is>
          <t>Harga Satuan (Rp)</t>
        </is>
      </c>
      <c r="F5578" s="10" t="inlineStr">
        <is>
          <t>Jumlah Harga (Rp)</t>
        </is>
      </c>
    </row>
    <row r="5579">
      <c r="A5579" s="3" t="n">
        <v>1</v>
      </c>
      <c r="B5579" s="3" t="inlineStr">
        <is>
          <t>Jam Kerja efektif per hari</t>
        </is>
      </c>
      <c r="C5579" s="3" t="inlineStr">
        <is>
          <t>Tk</t>
        </is>
      </c>
      <c r="D5579" s="3" t="n">
        <v>7</v>
      </c>
      <c r="E5579" s="3" t="inlineStr">
        <is>
          <t>Jam</t>
        </is>
      </c>
    </row>
    <row r="5580">
      <c r="A5580" s="3" t="n">
        <v>2</v>
      </c>
      <c r="B5580" s="3" t="inlineStr">
        <is>
          <t>Pemuatan tanaman dilakukan secara manual</t>
        </is>
      </c>
      <c r="C5580" s="3" t="inlineStr">
        <is>
          <t>Fk</t>
        </is>
      </c>
      <c r="D5580" s="3" t="n">
        <v>1.25</v>
      </c>
      <c r="E5580" s="3" t="inlineStr">
        <is>
          <t>-</t>
        </is>
      </c>
      <c r="F5580" s="3" t="inlineStr">
        <is>
          <t>Tabel A.1</t>
        </is>
      </c>
    </row>
    <row r="5581">
      <c r="A5581" s="3" t="n">
        <v>3</v>
      </c>
      <c r="B5581" s="3" t="inlineStr">
        <is>
          <t>Jarak Angkut dari Nursey ke Lokasi pekerjaan</t>
        </is>
      </c>
      <c r="C5581" s="3" t="inlineStr">
        <is>
          <t>L</t>
        </is>
      </c>
      <c r="D5581" s="3" t="n">
        <v>100</v>
      </c>
      <c r="E5581" s="3" t="inlineStr">
        <is>
          <t>km</t>
        </is>
      </c>
    </row>
    <row r="5582">
      <c r="A5582" s="3" t="n">
        <v>4</v>
      </c>
      <c r="B5582" s="3" t="inlineStr">
        <is>
          <t>Angkut Truck 1-jalan dari tempat Nursey ke lokasi perkerjaan</t>
        </is>
      </c>
      <c r="C5582" s="3" t="inlineStr">
        <is>
          <t>Angkut saja</t>
        </is>
      </c>
    </row>
    <row r="5583">
      <c r="A5583" s="3" t="n">
        <v>3.1</v>
      </c>
      <c r="B5583" s="3" t="inlineStr">
        <is>
          <t>Pick Up L300</t>
        </is>
      </c>
      <c r="C5583" s="3" t="inlineStr">
        <is>
          <t>100 HP</t>
        </is>
      </c>
    </row>
    <row r="5584">
      <c r="A5584" s="3" t="inlineStr">
        <is>
          <t>Kapasitas Bak</t>
        </is>
      </c>
      <c r="B5584" s="3" t="inlineStr">
        <is>
          <t>V</t>
        </is>
      </c>
      <c r="C5584" s="3" t="n">
        <v>80</v>
      </c>
      <c r="D5584" s="3" t="inlineStr">
        <is>
          <t>Poly bag</t>
        </is>
      </c>
    </row>
    <row r="5585">
      <c r="A5585" s="3" t="inlineStr">
        <is>
          <t>Faktor Efisiensi Alat (Tabel 7)</t>
        </is>
      </c>
      <c r="B5585" s="3" t="inlineStr">
        <is>
          <t>Fa</t>
        </is>
      </c>
      <c r="C5585" s="3" t="n">
        <v>0.83</v>
      </c>
      <c r="D5585" s="3" t="inlineStr">
        <is>
          <t>-</t>
        </is>
      </c>
      <c r="E5585" s="3" t="inlineStr">
        <is>
          <t>kondisi kerja baik</t>
        </is>
      </c>
    </row>
    <row r="5586">
      <c r="A5586" s="3" t="inlineStr">
        <is>
          <t>Jarak Angkut</t>
        </is>
      </c>
      <c r="B5586" s="3" t="inlineStr">
        <is>
          <t>L</t>
        </is>
      </c>
      <c r="C5586" s="3" t="n">
        <v>100</v>
      </c>
      <c r="D5586" s="3" t="inlineStr">
        <is>
          <t>Km</t>
        </is>
      </c>
    </row>
    <row r="5587">
      <c r="A5587" s="3" t="inlineStr">
        <is>
          <t>Kecepatan ratarata bermuatan (lihat tabel 8)</t>
        </is>
      </c>
      <c r="B5587" s="3" t="inlineStr">
        <is>
          <t>v.1</t>
        </is>
      </c>
      <c r="C5587" s="3" t="n">
        <v>40</v>
      </c>
      <c r="D5587" s="3" t="inlineStr">
        <is>
          <t>Km/jam</t>
        </is>
      </c>
      <c r="E5587" s="3" t="inlineStr">
        <is>
          <t>(Kondisi menanjak atau jalan rusak )</t>
        </is>
      </c>
    </row>
    <row r="5588">
      <c r="A5588" s="3" t="inlineStr">
        <is>
          <t>Kecepatan ratarta kosong (lihat tabel 8)</t>
        </is>
      </c>
      <c r="B5588" s="3" t="inlineStr">
        <is>
          <t>v.2</t>
        </is>
      </c>
      <c r="C5588" s="3" t="n">
        <v>60</v>
      </c>
      <c r="D5588" s="3" t="inlineStr">
        <is>
          <t>Km/jam</t>
        </is>
      </c>
    </row>
    <row r="5589">
      <c r="A5589" s="3" t="inlineStr">
        <is>
          <t>Waktu tempuh isi</t>
        </is>
      </c>
      <c r="B5589" s="3" t="inlineStr">
        <is>
          <t>=</t>
        </is>
      </c>
      <c r="C5589" s="3" t="inlineStr">
        <is>
          <t>( L : v.1) x 60</t>
        </is>
      </c>
      <c r="D5589" s="3" t="inlineStr">
        <is>
          <t>T.1</t>
        </is>
      </c>
      <c r="E5589" s="4" t="n">
        <v>150</v>
      </c>
      <c r="F5589" s="3" t="inlineStr">
        <is>
          <t>menit</t>
        </is>
      </c>
    </row>
    <row r="5590">
      <c r="A5590" s="3" t="inlineStr">
        <is>
          <t>waktu muat &amp; bongkar</t>
        </is>
      </c>
      <c r="B5590" s="3" t="inlineStr">
        <is>
          <t>=</t>
        </is>
      </c>
      <c r="C5590" s="3" t="inlineStr">
        <is>
          <t>V x Ts2</t>
        </is>
      </c>
      <c r="D5590" s="3" t="inlineStr">
        <is>
          <t>T.2</t>
        </is>
      </c>
      <c r="E5590" s="4" t="n">
        <v>35.28</v>
      </c>
      <c r="F5590" s="3" t="inlineStr">
        <is>
          <t>menit</t>
        </is>
      </c>
    </row>
    <row r="5591">
      <c r="A5591" s="3" t="inlineStr">
        <is>
          <t>Ts1</t>
        </is>
      </c>
      <c r="B5591" s="3" t="n">
        <v>185.28</v>
      </c>
      <c r="C5591" s="3" t="inlineStr">
        <is>
          <t>menit</t>
        </is>
      </c>
    </row>
    <row r="5592">
      <c r="A5592" s="3" t="inlineStr">
        <is>
          <t>Kap. Produksi/jam</t>
        </is>
      </c>
      <c r="B5592" s="3" t="inlineStr">
        <is>
          <t>=</t>
        </is>
      </c>
      <c r="C5592" s="3" t="inlineStr">
        <is>
          <t>(V x Fa x 60)/(Ts1)</t>
        </is>
      </c>
      <c r="D5592" s="3" t="inlineStr">
        <is>
          <t>Q.1</t>
        </is>
      </c>
      <c r="E5592" s="4" t="n">
        <v>21.50259067357513</v>
      </c>
      <c r="F5592" s="3" t="inlineStr">
        <is>
          <t>Polybag / jam</t>
        </is>
      </c>
    </row>
    <row r="5593">
      <c r="A5593" s="3" t="inlineStr">
        <is>
          <t>Koefisien Alat/Polybag</t>
        </is>
      </c>
      <c r="B5593" s="3" t="inlineStr">
        <is>
          <t>=</t>
        </is>
      </c>
      <c r="C5593" s="3" t="inlineStr">
        <is>
          <t>1/Q.1</t>
        </is>
      </c>
      <c r="D5593" s="3" t="n">
        <v>0.04650602409638555</v>
      </c>
      <c r="E5593" s="3" t="inlineStr">
        <is>
          <t>Jam</t>
        </is>
      </c>
    </row>
    <row r="5594">
      <c r="A5594" s="3" t="inlineStr">
        <is>
          <t>Jarak da penyimpanan Nursey ke bak Truck</t>
        </is>
      </c>
      <c r="B5594" s="3" t="inlineStr">
        <is>
          <t>L2</t>
        </is>
      </c>
      <c r="C5594" s="3" t="n">
        <v>0.01</v>
      </c>
      <c r="D5594" s="3" t="inlineStr">
        <is>
          <t>Km</t>
        </is>
      </c>
    </row>
    <row r="5595">
      <c r="A5595" s="3" t="inlineStr">
        <is>
          <t>Polybag yang dimuat/turukan</t>
        </is>
      </c>
      <c r="B5595" s="3" t="inlineStr">
        <is>
          <t>V</t>
        </is>
      </c>
      <c r="C5595" s="3" t="n">
        <v>1</v>
      </c>
      <c r="D5595" s="3" t="inlineStr">
        <is>
          <t>Polybag</t>
        </is>
      </c>
    </row>
    <row r="5596">
      <c r="A5596" s="3" t="inlineStr">
        <is>
          <t>Faktor Efisiensi TK</t>
        </is>
      </c>
      <c r="B5596" s="3" t="inlineStr">
        <is>
          <t>FaTK</t>
        </is>
      </c>
      <c r="C5596" s="3" t="n">
        <v>0.86</v>
      </c>
      <c r="D5596" s="3" t="inlineStr">
        <is>
          <t>-</t>
        </is>
      </c>
      <c r="E5596" s="3" t="inlineStr">
        <is>
          <t>Kondisi kerja baik</t>
        </is>
      </c>
    </row>
    <row r="5597">
      <c r="A5597" s="3" t="inlineStr">
        <is>
          <t>- Memuat 1 Polybag dari tempat Nursey ke bak truck</t>
        </is>
      </c>
      <c r="B5597" s="3" t="inlineStr">
        <is>
          <t>T.1</t>
        </is>
      </c>
      <c r="C5597" s="3" t="n">
        <v>0.25</v>
      </c>
      <c r="D5597" s="3" t="inlineStr">
        <is>
          <t>menit</t>
        </is>
      </c>
      <c r="E5597" s="3" t="inlineStr">
        <is>
          <t>muat dan bongkar dibantu 2P</t>
        </is>
      </c>
    </row>
    <row r="5598">
      <c r="A5598" s="3" t="inlineStr">
        <is>
          <t>- Menurunkan 1 Polybag dari bak truck ke penyimpanan di lokasi pekerjaan</t>
        </is>
      </c>
      <c r="B5598" s="3" t="inlineStr">
        <is>
          <t>T.2</t>
        </is>
      </c>
      <c r="C5598" s="3" t="n">
        <v>0.191</v>
      </c>
      <c r="D5598" s="3" t="inlineStr">
        <is>
          <t>menit</t>
        </is>
      </c>
    </row>
    <row r="5599">
      <c r="A5599" s="3" t="inlineStr">
        <is>
          <t>Ts2</t>
        </is>
      </c>
      <c r="B5599" s="3" t="n">
        <v>0.441</v>
      </c>
      <c r="C5599" s="3" t="inlineStr">
        <is>
          <t>menit</t>
        </is>
      </c>
    </row>
    <row r="5600">
      <c r="A5600" s="3" t="inlineStr">
        <is>
          <t>Kap. Tenaga Kerja / jam</t>
        </is>
      </c>
      <c r="B5600" s="3" t="inlineStr">
        <is>
          <t>=</t>
        </is>
      </c>
      <c r="C5600" s="3" t="inlineStr">
        <is>
          <t>(FaTK x 60) / (Ts2)</t>
        </is>
      </c>
      <c r="D5600" s="3" t="inlineStr">
        <is>
          <t>Q.2</t>
        </is>
      </c>
      <c r="E5600" s="4" t="n">
        <v>117.0068027210884</v>
      </c>
      <c r="F5600" s="3" t="inlineStr">
        <is>
          <t>Polybag / jam</t>
        </is>
      </c>
    </row>
    <row r="5601">
      <c r="A5601" s="3" t="inlineStr">
        <is>
          <t>- Pekerja</t>
        </is>
      </c>
      <c r="B5601" s="3" t="inlineStr">
        <is>
          <t>=</t>
        </is>
      </c>
      <c r="C5601" s="3" t="inlineStr">
        <is>
          <t>(Tk x P) : Q.2</t>
        </is>
      </c>
      <c r="D5601" s="3" t="inlineStr">
        <is>
          <t>L.01</t>
        </is>
      </c>
      <c r="E5601" s="4" t="n">
        <v>0.01709302325581395</v>
      </c>
      <c r="F5601" s="3" t="inlineStr">
        <is>
          <t>OJ</t>
        </is>
      </c>
    </row>
    <row r="5602">
      <c r="A5602" s="3" t="inlineStr">
        <is>
          <t>- Mandor</t>
        </is>
      </c>
      <c r="B5602" s="3" t="inlineStr">
        <is>
          <t>=</t>
        </is>
      </c>
      <c r="C5602" s="3" t="inlineStr">
        <is>
          <t>(Tk x M ) : Q.2</t>
        </is>
      </c>
      <c r="D5602" s="3" t="inlineStr">
        <is>
          <t>L.04</t>
        </is>
      </c>
      <c r="E5602" s="4" t="n">
        <v>0.001709302325581395</v>
      </c>
      <c r="F5602" s="3" t="inlineStr">
        <is>
          <t>OJ</t>
        </is>
      </c>
    </row>
    <row r="5603">
      <c r="D5603" s="2" t="inlineStr">
        <is>
          <t>SUBTOTAL UPAH</t>
        </is>
      </c>
      <c r="F5603" s="16" t="n">
        <v>0</v>
      </c>
    </row>
    <row r="5604">
      <c r="D5604" s="2" t="inlineStr">
        <is>
          <t>SUBTOTAL BAHAN</t>
        </is>
      </c>
      <c r="F5604" s="16" t="n">
        <v>0</v>
      </c>
    </row>
    <row r="5605">
      <c r="D5605" s="2" t="inlineStr">
        <is>
          <t>SUBTOTAL ALAT</t>
        </is>
      </c>
      <c r="F5605" s="16" t="n">
        <v>0</v>
      </c>
    </row>
    <row r="5606">
      <c r="E5606" s="2" t="inlineStr">
        <is>
          <t>TOTAL HARGA SATUAN (Inc. Overhead)</t>
        </is>
      </c>
      <c r="F5606" s="17" t="n">
        <v>0</v>
      </c>
    </row>
    <row r="5608">
      <c r="A5608" s="14" t="inlineStr">
        <is>
          <t>KODE: 4.1.1.27 - Pengadaan dan Pengangkutan Palem Tunggal Kecil di Polybag 20 L</t>
        </is>
      </c>
    </row>
    <row r="5609">
      <c r="A5609" s="10" t="inlineStr">
        <is>
          <t>No</t>
        </is>
      </c>
      <c r="B5609" s="10" t="inlineStr">
        <is>
          <t>Uraian Komponen</t>
        </is>
      </c>
      <c r="C5609" s="10" t="inlineStr">
        <is>
          <t>Satuan</t>
        </is>
      </c>
      <c r="D5609" s="10" t="inlineStr">
        <is>
          <t>Koef</t>
        </is>
      </c>
      <c r="E5609" s="10" t="inlineStr">
        <is>
          <t>Harga Satuan (Rp)</t>
        </is>
      </c>
      <c r="F5609" s="10" t="inlineStr">
        <is>
          <t>Jumlah Harga (Rp)</t>
        </is>
      </c>
    </row>
    <row r="5610">
      <c r="A5610" s="3" t="inlineStr">
        <is>
          <t>1</t>
        </is>
      </c>
      <c r="B5610" s="3" t="inlineStr">
        <is>
          <t>Pekerja</t>
        </is>
      </c>
      <c r="C5610" s="3" t="inlineStr">
        <is>
          <t>OJ</t>
        </is>
      </c>
      <c r="D5610" s="15" t="n">
        <v>0.01709302325581395</v>
      </c>
      <c r="E5610" s="4" t="n">
        <v>14285.71428571429</v>
      </c>
      <c r="F5610" s="4" t="n">
        <v>244.1860465116279</v>
      </c>
    </row>
    <row r="5611">
      <c r="A5611" s="3" t="inlineStr">
        <is>
          <t>2</t>
        </is>
      </c>
      <c r="B5611" s="3" t="inlineStr">
        <is>
          <t>Mandor</t>
        </is>
      </c>
      <c r="C5611" s="3" t="inlineStr">
        <is>
          <t>OJ</t>
        </is>
      </c>
      <c r="D5611" s="15" t="n">
        <v>0.001709302325581395</v>
      </c>
      <c r="E5611" s="4" t="n">
        <v>28571.42857142857</v>
      </c>
      <c r="F5611" s="4" t="n">
        <v>48.83720930232558</v>
      </c>
    </row>
    <row r="5612">
      <c r="A5612" s="3" t="inlineStr">
        <is>
          <t>1</t>
        </is>
      </c>
      <c r="B5612" s="3" t="inlineStr">
        <is>
          <t>Palem Tunggal (Palem Kol) di Polybag 20 Liter</t>
        </is>
      </c>
      <c r="C5612" s="3" t="inlineStr">
        <is>
          <t>pohon</t>
        </is>
      </c>
      <c r="D5612" s="15" t="n">
        <v>1</v>
      </c>
      <c r="E5612" s="4" t="n">
        <v>150000</v>
      </c>
      <c r="F5612" s="4" t="n">
        <v>150000</v>
      </c>
    </row>
    <row r="5613">
      <c r="A5613" s="3" t="inlineStr">
        <is>
          <t>1</t>
        </is>
      </c>
      <c r="B5613" s="3" t="inlineStr">
        <is>
          <t>Pick Up L300</t>
        </is>
      </c>
      <c r="C5613" s="3" t="inlineStr">
        <is>
          <t>Jam</t>
        </is>
      </c>
      <c r="D5613" s="15" t="n">
        <v>0.04650602409638555</v>
      </c>
      <c r="E5613" s="4" t="n">
        <v>268539.71</v>
      </c>
      <c r="F5613" s="4" t="n">
        <v>12488.71422409639</v>
      </c>
    </row>
    <row r="5614">
      <c r="D5614" s="2" t="inlineStr">
        <is>
          <t>SUBTOTAL UPAH</t>
        </is>
      </c>
      <c r="F5614" s="16" t="n">
        <v>293.0232558139535</v>
      </c>
    </row>
    <row r="5615">
      <c r="D5615" s="2" t="inlineStr">
        <is>
          <t>SUBTOTAL BAHAN</t>
        </is>
      </c>
      <c r="F5615" s="16" t="n">
        <v>150000</v>
      </c>
    </row>
    <row r="5616">
      <c r="D5616" s="2" t="inlineStr">
        <is>
          <t>SUBTOTAL ALAT</t>
        </is>
      </c>
      <c r="F5616" s="16" t="n">
        <v>12488.71422409639</v>
      </c>
    </row>
    <row r="5617">
      <c r="E5617" s="2" t="inlineStr">
        <is>
          <t>TOTAL HARGA SATUAN (Inc. Overhead)</t>
        </is>
      </c>
      <c r="F5617" s="17" t="n">
        <v>179059</v>
      </c>
    </row>
    <row r="5619">
      <c r="A5619" s="14" t="inlineStr">
        <is>
          <t>KODE: 4.1.1.28 - Analisis Produktivitas Angkutan Palem Tunggal Kecil di Polybag 25 L</t>
        </is>
      </c>
    </row>
    <row r="5620">
      <c r="A5620" s="10" t="inlineStr">
        <is>
          <t>No</t>
        </is>
      </c>
      <c r="B5620" s="10" t="inlineStr">
        <is>
          <t>Uraian Komponen</t>
        </is>
      </c>
      <c r="C5620" s="10" t="inlineStr">
        <is>
          <t>Satuan</t>
        </is>
      </c>
      <c r="D5620" s="10" t="inlineStr">
        <is>
          <t>Koef</t>
        </is>
      </c>
      <c r="E5620" s="10" t="inlineStr">
        <is>
          <t>Harga Satuan (Rp)</t>
        </is>
      </c>
      <c r="F5620" s="10" t="inlineStr">
        <is>
          <t>Jumlah Harga (Rp)</t>
        </is>
      </c>
    </row>
    <row r="5621">
      <c r="A5621" s="3" t="n">
        <v>1</v>
      </c>
      <c r="B5621" s="3" t="inlineStr">
        <is>
          <t>Jam Kerja efektif per hari</t>
        </is>
      </c>
      <c r="C5621" s="3" t="inlineStr">
        <is>
          <t>Tk</t>
        </is>
      </c>
      <c r="D5621" s="3" t="n">
        <v>7</v>
      </c>
      <c r="E5621" s="3" t="inlineStr">
        <is>
          <t>Jam</t>
        </is>
      </c>
    </row>
    <row r="5622">
      <c r="A5622" s="3" t="n">
        <v>2</v>
      </c>
      <c r="B5622" s="3" t="inlineStr">
        <is>
          <t>Pemuatan tanaman dilakukan secara manual</t>
        </is>
      </c>
      <c r="C5622" s="3" t="inlineStr">
        <is>
          <t>Fk</t>
        </is>
      </c>
      <c r="D5622" s="3" t="n">
        <v>1.25</v>
      </c>
      <c r="E5622" s="3" t="inlineStr">
        <is>
          <t>-</t>
        </is>
      </c>
      <c r="F5622" s="3" t="inlineStr">
        <is>
          <t>Tabel A.1</t>
        </is>
      </c>
    </row>
    <row r="5623">
      <c r="A5623" s="3" t="n">
        <v>3</v>
      </c>
      <c r="B5623" s="3" t="inlineStr">
        <is>
          <t>Jarak Angkut dari Nursey ke Lokasi pekerjaan</t>
        </is>
      </c>
      <c r="C5623" s="3" t="inlineStr">
        <is>
          <t>L</t>
        </is>
      </c>
      <c r="D5623" s="3" t="n">
        <v>100</v>
      </c>
      <c r="E5623" s="3" t="inlineStr">
        <is>
          <t>km</t>
        </is>
      </c>
    </row>
    <row r="5624">
      <c r="A5624" s="3" t="n">
        <v>4</v>
      </c>
      <c r="B5624" s="3" t="inlineStr">
        <is>
          <t>Angkut Truck 1-jalan dari tempat Nursey ke lokasi perkerjaan</t>
        </is>
      </c>
      <c r="C5624" s="3" t="inlineStr">
        <is>
          <t>Angkut saja</t>
        </is>
      </c>
    </row>
    <row r="5625">
      <c r="A5625" s="3" t="n">
        <v>3.1</v>
      </c>
      <c r="B5625" s="3" t="inlineStr">
        <is>
          <t>Colt T-120 (D); R-Blk. 4; 12 m3</t>
        </is>
      </c>
      <c r="C5625" s="3" t="inlineStr">
        <is>
          <t>"4 Ton</t>
        </is>
      </c>
      <c r="D5625" s="3" t="inlineStr">
        <is>
          <t>100 HP"</t>
        </is>
      </c>
    </row>
    <row r="5626">
      <c r="A5626" s="3" t="inlineStr">
        <is>
          <t>Kapasitas Bak</t>
        </is>
      </c>
      <c r="B5626" s="3" t="inlineStr">
        <is>
          <t>V</t>
        </is>
      </c>
      <c r="C5626" s="3" t="n">
        <v>150</v>
      </c>
      <c r="D5626" s="3" t="inlineStr">
        <is>
          <t>Poly bag</t>
        </is>
      </c>
    </row>
    <row r="5627">
      <c r="A5627" s="3" t="inlineStr">
        <is>
          <t>Faktor Efisiensi Alat (Tabel 7)</t>
        </is>
      </c>
      <c r="B5627" s="3" t="inlineStr">
        <is>
          <t>Fa</t>
        </is>
      </c>
      <c r="C5627" s="3" t="n">
        <v>0.83</v>
      </c>
      <c r="D5627" s="3" t="inlineStr">
        <is>
          <t>-</t>
        </is>
      </c>
      <c r="E5627" s="3" t="inlineStr">
        <is>
          <t>kondisi kerja baik</t>
        </is>
      </c>
    </row>
    <row r="5628">
      <c r="A5628" s="3" t="inlineStr">
        <is>
          <t>Jarak Angkut</t>
        </is>
      </c>
      <c r="B5628" s="3" t="inlineStr">
        <is>
          <t>L</t>
        </is>
      </c>
      <c r="C5628" s="3" t="n">
        <v>100</v>
      </c>
      <c r="D5628" s="3" t="inlineStr">
        <is>
          <t>Km</t>
        </is>
      </c>
    </row>
    <row r="5629">
      <c r="A5629" s="3" t="inlineStr">
        <is>
          <t>Kecepatan ratarata bermuatan (lihat tabel 8)</t>
        </is>
      </c>
      <c r="B5629" s="3" t="inlineStr">
        <is>
          <t>v.1</t>
        </is>
      </c>
      <c r="C5629" s="3" t="n">
        <v>40</v>
      </c>
      <c r="D5629" s="3" t="inlineStr">
        <is>
          <t>Km/jam</t>
        </is>
      </c>
      <c r="E5629" s="3" t="inlineStr">
        <is>
          <t>(Kondisi menanjak atau jalan rusak )</t>
        </is>
      </c>
    </row>
    <row r="5630">
      <c r="A5630" s="3" t="inlineStr">
        <is>
          <t>Kecepatan ratarta kosong (lihat tabel 8)</t>
        </is>
      </c>
      <c r="B5630" s="3" t="inlineStr">
        <is>
          <t>v.2</t>
        </is>
      </c>
      <c r="C5630" s="3" t="n">
        <v>60</v>
      </c>
      <c r="D5630" s="3" t="inlineStr">
        <is>
          <t>Km/jam</t>
        </is>
      </c>
    </row>
    <row r="5631">
      <c r="A5631" s="3" t="inlineStr">
        <is>
          <t>Waktu tempuh isi</t>
        </is>
      </c>
      <c r="B5631" s="3" t="inlineStr">
        <is>
          <t>=</t>
        </is>
      </c>
      <c r="C5631" s="3" t="inlineStr">
        <is>
          <t>( L : v.1) x 60</t>
        </is>
      </c>
      <c r="D5631" s="3" t="inlineStr">
        <is>
          <t>T.1</t>
        </is>
      </c>
      <c r="E5631" s="4" t="n">
        <v>150</v>
      </c>
      <c r="F5631" s="3" t="inlineStr">
        <is>
          <t>menit</t>
        </is>
      </c>
    </row>
    <row r="5632">
      <c r="A5632" s="3" t="inlineStr">
        <is>
          <t>waktu muat &amp; bongkar</t>
        </is>
      </c>
      <c r="B5632" s="3" t="inlineStr">
        <is>
          <t>=</t>
        </is>
      </c>
      <c r="C5632" s="3" t="inlineStr">
        <is>
          <t>V x Ts2</t>
        </is>
      </c>
      <c r="D5632" s="3" t="inlineStr">
        <is>
          <t>T.2</t>
        </is>
      </c>
      <c r="E5632" s="4" t="n">
        <v>115.5</v>
      </c>
      <c r="F5632" s="3" t="inlineStr">
        <is>
          <t>menit</t>
        </is>
      </c>
    </row>
    <row r="5633">
      <c r="A5633" s="3" t="inlineStr">
        <is>
          <t>Ts1</t>
        </is>
      </c>
      <c r="B5633" s="3" t="n">
        <v>265.5</v>
      </c>
      <c r="C5633" s="3" t="inlineStr">
        <is>
          <t>menit</t>
        </is>
      </c>
    </row>
    <row r="5634">
      <c r="A5634" s="3" t="inlineStr">
        <is>
          <t>Kap. Produksi/jam</t>
        </is>
      </c>
      <c r="B5634" s="3" t="inlineStr">
        <is>
          <t>=</t>
        </is>
      </c>
      <c r="C5634" s="3" t="inlineStr">
        <is>
          <t>(V x Fa x 60)/(Ts1)</t>
        </is>
      </c>
      <c r="D5634" s="3" t="inlineStr">
        <is>
          <t>Q.1</t>
        </is>
      </c>
      <c r="E5634" s="4" t="n">
        <v>28.13559322033898</v>
      </c>
      <c r="F5634" s="3" t="inlineStr">
        <is>
          <t>Polybag / jam</t>
        </is>
      </c>
    </row>
    <row r="5635">
      <c r="A5635" s="3" t="inlineStr">
        <is>
          <t>Koefisien Alat/Polybag</t>
        </is>
      </c>
      <c r="B5635" s="3" t="inlineStr">
        <is>
          <t>=</t>
        </is>
      </c>
      <c r="C5635" s="3" t="inlineStr">
        <is>
          <t>1/Q.1</t>
        </is>
      </c>
      <c r="D5635" s="3" t="n">
        <v>0.0355421686746988</v>
      </c>
      <c r="E5635" s="3" t="inlineStr">
        <is>
          <t>Jam</t>
        </is>
      </c>
    </row>
    <row r="5636">
      <c r="A5636" s="3" t="inlineStr">
        <is>
          <t>Jarak da penyimpanan Nursey ke bak Truck</t>
        </is>
      </c>
      <c r="B5636" s="3" t="inlineStr">
        <is>
          <t>L2</t>
        </is>
      </c>
      <c r="C5636" s="3" t="n">
        <v>0.01</v>
      </c>
      <c r="D5636" s="3" t="inlineStr">
        <is>
          <t>Km</t>
        </is>
      </c>
    </row>
    <row r="5637">
      <c r="A5637" s="3" t="inlineStr">
        <is>
          <t>Polybag yang dimuat/turukan</t>
        </is>
      </c>
      <c r="B5637" s="3" t="inlineStr">
        <is>
          <t>V</t>
        </is>
      </c>
      <c r="C5637" s="3" t="n">
        <v>1</v>
      </c>
      <c r="D5637" s="3" t="inlineStr">
        <is>
          <t>Polybag</t>
        </is>
      </c>
    </row>
    <row r="5638">
      <c r="A5638" s="3" t="inlineStr">
        <is>
          <t>Faktor Efisiensi TK</t>
        </is>
      </c>
      <c r="B5638" s="3" t="inlineStr">
        <is>
          <t>FaTK</t>
        </is>
      </c>
      <c r="C5638" s="3" t="n">
        <v>0.86</v>
      </c>
      <c r="D5638" s="3" t="inlineStr">
        <is>
          <t>-</t>
        </is>
      </c>
      <c r="E5638" s="3" t="inlineStr">
        <is>
          <t>Kondisi kerja baik</t>
        </is>
      </c>
    </row>
    <row r="5639">
      <c r="A5639" s="3" t="inlineStr">
        <is>
          <t>- Memuat 1 Polybag dari tempat Nursey ke bak truck</t>
        </is>
      </c>
      <c r="B5639" s="3" t="inlineStr">
        <is>
          <t>T.1</t>
        </is>
      </c>
      <c r="C5639" s="3" t="n">
        <v>0.5</v>
      </c>
      <c r="D5639" s="3" t="inlineStr">
        <is>
          <t>menit</t>
        </is>
      </c>
      <c r="E5639" s="3" t="inlineStr">
        <is>
          <t>muat dan bongkar dibantu 2P</t>
        </is>
      </c>
    </row>
    <row r="5640">
      <c r="A5640" s="3" t="inlineStr">
        <is>
          <t>- Menurunkan 1 Polybag dari bak truck ke penyimpanan di lokasi pekerjaan</t>
        </is>
      </c>
      <c r="B5640" s="3" t="inlineStr">
        <is>
          <t>T.2</t>
        </is>
      </c>
      <c r="C5640" s="3" t="n">
        <v>0.27</v>
      </c>
      <c r="D5640" s="3" t="inlineStr">
        <is>
          <t>menit</t>
        </is>
      </c>
    </row>
    <row r="5641">
      <c r="A5641" s="3" t="inlineStr">
        <is>
          <t>Ts2</t>
        </is>
      </c>
      <c r="B5641" s="3" t="n">
        <v>0.77</v>
      </c>
      <c r="C5641" s="3" t="inlineStr">
        <is>
          <t>menit</t>
        </is>
      </c>
    </row>
    <row r="5642">
      <c r="A5642" s="3" t="inlineStr">
        <is>
          <t>Kap. Tenaga Kerja / jam</t>
        </is>
      </c>
      <c r="B5642" s="3" t="inlineStr">
        <is>
          <t>=</t>
        </is>
      </c>
      <c r="C5642" s="3" t="inlineStr">
        <is>
          <t>(FaTK x 60) / (Ts2)</t>
        </is>
      </c>
      <c r="D5642" s="3" t="inlineStr">
        <is>
          <t>Q.2</t>
        </is>
      </c>
      <c r="E5642" s="4" t="n">
        <v>67.01298701298701</v>
      </c>
      <c r="F5642" s="3" t="inlineStr">
        <is>
          <t>Polybag / jam</t>
        </is>
      </c>
    </row>
    <row r="5643">
      <c r="A5643" s="3" t="inlineStr">
        <is>
          <t>- Pekerja</t>
        </is>
      </c>
      <c r="B5643" s="3" t="inlineStr">
        <is>
          <t>=</t>
        </is>
      </c>
      <c r="C5643" s="3" t="inlineStr">
        <is>
          <t>(Tk x P) : Q.2</t>
        </is>
      </c>
      <c r="D5643" s="3" t="inlineStr">
        <is>
          <t>L.01</t>
        </is>
      </c>
      <c r="E5643" s="4" t="n">
        <v>0.02984496124031008</v>
      </c>
      <c r="F5643" s="3" t="inlineStr">
        <is>
          <t>OJ</t>
        </is>
      </c>
    </row>
    <row r="5644">
      <c r="A5644" s="3" t="inlineStr">
        <is>
          <t>- Mandor</t>
        </is>
      </c>
      <c r="B5644" s="3" t="inlineStr">
        <is>
          <t>=</t>
        </is>
      </c>
      <c r="C5644" s="3" t="inlineStr">
        <is>
          <t>(Tk x M ) : Q.2</t>
        </is>
      </c>
      <c r="D5644" s="3" t="inlineStr">
        <is>
          <t>L.04</t>
        </is>
      </c>
      <c r="E5644" s="4" t="n">
        <v>0.002984496124031008</v>
      </c>
      <c r="F5644" s="3" t="inlineStr">
        <is>
          <t>OJ</t>
        </is>
      </c>
    </row>
    <row r="5645">
      <c r="D5645" s="2" t="inlineStr">
        <is>
          <t>SUBTOTAL UPAH</t>
        </is>
      </c>
      <c r="F5645" s="16" t="n">
        <v>0</v>
      </c>
    </row>
    <row r="5646">
      <c r="D5646" s="2" t="inlineStr">
        <is>
          <t>SUBTOTAL BAHAN</t>
        </is>
      </c>
      <c r="F5646" s="16" t="n">
        <v>0</v>
      </c>
    </row>
    <row r="5647">
      <c r="D5647" s="2" t="inlineStr">
        <is>
          <t>SUBTOTAL ALAT</t>
        </is>
      </c>
      <c r="F5647" s="16" t="n">
        <v>0</v>
      </c>
    </row>
    <row r="5648">
      <c r="E5648" s="2" t="inlineStr">
        <is>
          <t>TOTAL HARGA SATUAN (Inc. Overhead)</t>
        </is>
      </c>
      <c r="F5648" s="17" t="n">
        <v>0</v>
      </c>
    </row>
    <row r="5650">
      <c r="A5650" s="14" t="inlineStr">
        <is>
          <t>KODE: 4.1.1.29 - Pengadaan dan Pengangkutan Palem Tunggal Kecil di Polybag 25 L</t>
        </is>
      </c>
    </row>
    <row r="5651">
      <c r="A5651" s="10" t="inlineStr">
        <is>
          <t>No</t>
        </is>
      </c>
      <c r="B5651" s="10" t="inlineStr">
        <is>
          <t>Uraian Komponen</t>
        </is>
      </c>
      <c r="C5651" s="10" t="inlineStr">
        <is>
          <t>Satuan</t>
        </is>
      </c>
      <c r="D5651" s="10" t="inlineStr">
        <is>
          <t>Koef</t>
        </is>
      </c>
      <c r="E5651" s="10" t="inlineStr">
        <is>
          <t>Harga Satuan (Rp)</t>
        </is>
      </c>
      <c r="F5651" s="10" t="inlineStr">
        <is>
          <t>Jumlah Harga (Rp)</t>
        </is>
      </c>
    </row>
    <row r="5652">
      <c r="A5652" s="3" t="inlineStr">
        <is>
          <t>1</t>
        </is>
      </c>
      <c r="B5652" s="3" t="inlineStr">
        <is>
          <t>Pekerja</t>
        </is>
      </c>
      <c r="C5652" s="3" t="inlineStr">
        <is>
          <t>OJ</t>
        </is>
      </c>
      <c r="D5652" s="15" t="n">
        <v>0.02984496124031008</v>
      </c>
      <c r="E5652" s="4" t="n">
        <v>14285.71428571429</v>
      </c>
      <c r="F5652" s="4" t="n">
        <v>426.3565891472869</v>
      </c>
    </row>
    <row r="5653">
      <c r="A5653" s="3" t="inlineStr">
        <is>
          <t>2</t>
        </is>
      </c>
      <c r="B5653" s="3" t="inlineStr">
        <is>
          <t>Mandor</t>
        </is>
      </c>
      <c r="C5653" s="3" t="inlineStr">
        <is>
          <t>OJ</t>
        </is>
      </c>
      <c r="D5653" s="15" t="n">
        <v>0.002984496124031008</v>
      </c>
      <c r="E5653" s="4" t="n">
        <v>28571.42857142857</v>
      </c>
      <c r="F5653" s="4" t="n">
        <v>85.27131782945739</v>
      </c>
    </row>
    <row r="5654">
      <c r="A5654" s="3" t="inlineStr">
        <is>
          <t>1</t>
        </is>
      </c>
      <c r="B5654" s="3" t="inlineStr">
        <is>
          <t>Palem Tunggal (Palem Kol) di Polybag 25 Liter</t>
        </is>
      </c>
      <c r="C5654" s="3" t="inlineStr">
        <is>
          <t>pohon</t>
        </is>
      </c>
      <c r="D5654" s="15" t="n">
        <v>1</v>
      </c>
      <c r="E5654" s="4" t="n">
        <v>175000</v>
      </c>
      <c r="F5654" s="4" t="n">
        <v>175000</v>
      </c>
    </row>
    <row r="5655">
      <c r="A5655" s="3" t="inlineStr">
        <is>
          <t>1</t>
        </is>
      </c>
      <c r="B5655" s="3" t="inlineStr">
        <is>
          <t>Colt T-120 (D); R-Blk. 4; 12 m3</t>
        </is>
      </c>
      <c r="C5655" s="3" t="inlineStr">
        <is>
          <t>Jam</t>
        </is>
      </c>
      <c r="D5655" s="15" t="n">
        <v>0.0355421686746988</v>
      </c>
      <c r="E5655" s="4" t="n">
        <v>314110.76</v>
      </c>
      <c r="F5655" s="4" t="n">
        <v>11164.17761445783</v>
      </c>
    </row>
    <row r="5656">
      <c r="D5656" s="2" t="inlineStr">
        <is>
          <t>SUBTOTAL UPAH</t>
        </is>
      </c>
      <c r="F5656" s="16" t="n">
        <v>511.6279069767443</v>
      </c>
    </row>
    <row r="5657">
      <c r="D5657" s="2" t="inlineStr">
        <is>
          <t>SUBTOTAL BAHAN</t>
        </is>
      </c>
      <c r="F5657" s="16" t="n">
        <v>175000</v>
      </c>
    </row>
    <row r="5658">
      <c r="D5658" s="2" t="inlineStr">
        <is>
          <t>SUBTOTAL ALAT</t>
        </is>
      </c>
      <c r="F5658" s="16" t="n">
        <v>11164.17761445783</v>
      </c>
    </row>
    <row r="5659">
      <c r="E5659" s="2" t="inlineStr">
        <is>
          <t>TOTAL HARGA SATUAN (Inc. Overhead)</t>
        </is>
      </c>
      <c r="F5659" s="17" t="n">
        <v>205343</v>
      </c>
    </row>
    <row r="5661">
      <c r="A5661" s="14" t="inlineStr">
        <is>
          <t>KODE: 4.1.1.30 - Analisis Produktivitas Angkutan Palem Tunggal Kecil di Polybag 50 L</t>
        </is>
      </c>
    </row>
    <row r="5662">
      <c r="A5662" s="10" t="inlineStr">
        <is>
          <t>No</t>
        </is>
      </c>
      <c r="B5662" s="10" t="inlineStr">
        <is>
          <t>Uraian Komponen</t>
        </is>
      </c>
      <c r="C5662" s="10" t="inlineStr">
        <is>
          <t>Satuan</t>
        </is>
      </c>
      <c r="D5662" s="10" t="inlineStr">
        <is>
          <t>Koef</t>
        </is>
      </c>
      <c r="E5662" s="10" t="inlineStr">
        <is>
          <t>Harga Satuan (Rp)</t>
        </is>
      </c>
      <c r="F5662" s="10" t="inlineStr">
        <is>
          <t>Jumlah Harga (Rp)</t>
        </is>
      </c>
    </row>
    <row r="5663">
      <c r="A5663" s="3" t="n">
        <v>1</v>
      </c>
      <c r="B5663" s="3" t="inlineStr">
        <is>
          <t>Jam Kerja efektif per hari</t>
        </is>
      </c>
      <c r="C5663" s="3" t="inlineStr">
        <is>
          <t>Tk</t>
        </is>
      </c>
      <c r="D5663" s="3" t="n">
        <v>7</v>
      </c>
      <c r="E5663" s="3" t="inlineStr">
        <is>
          <t>Jam</t>
        </is>
      </c>
    </row>
    <row r="5664">
      <c r="A5664" s="3" t="n">
        <v>2</v>
      </c>
      <c r="B5664" s="3" t="inlineStr">
        <is>
          <t>Pemuatan tanaman dilakukan secara manual</t>
        </is>
      </c>
      <c r="C5664" s="3" t="inlineStr">
        <is>
          <t>Fk</t>
        </is>
      </c>
      <c r="D5664" s="3" t="n">
        <v>1.25</v>
      </c>
      <c r="E5664" s="3" t="inlineStr">
        <is>
          <t>-</t>
        </is>
      </c>
      <c r="F5664" s="3" t="inlineStr">
        <is>
          <t>Tabel A.1</t>
        </is>
      </c>
    </row>
    <row r="5665">
      <c r="A5665" s="3" t="n">
        <v>3</v>
      </c>
      <c r="B5665" s="3" t="inlineStr">
        <is>
          <t>Jarak Angkut dari Nursey ke Lokasi pekerjaan</t>
        </is>
      </c>
      <c r="C5665" s="3" t="inlineStr">
        <is>
          <t>L</t>
        </is>
      </c>
      <c r="D5665" s="3" t="n">
        <v>100</v>
      </c>
      <c r="E5665" s="3" t="inlineStr">
        <is>
          <t>km</t>
        </is>
      </c>
    </row>
    <row r="5666">
      <c r="A5666" s="3" t="n">
        <v>4</v>
      </c>
      <c r="B5666" s="3" t="inlineStr">
        <is>
          <t>Angkut Truck 1-jalan dari tempat Nursey ke lokasi perkerjaan</t>
        </is>
      </c>
      <c r="C5666" s="3" t="inlineStr">
        <is>
          <t>Angkut saja</t>
        </is>
      </c>
    </row>
    <row r="5667">
      <c r="A5667" s="3" t="n">
        <v>3.1</v>
      </c>
      <c r="B5667" s="3" t="inlineStr">
        <is>
          <t>Fuso (D); R-Blk. 8; 35 m3</t>
        </is>
      </c>
      <c r="C5667" s="3" t="inlineStr">
        <is>
          <t>10 Ton; 130 HP</t>
        </is>
      </c>
    </row>
    <row r="5668">
      <c r="A5668" s="3" t="inlineStr">
        <is>
          <t>Kapasitas Bak</t>
        </is>
      </c>
      <c r="B5668" s="3" t="inlineStr">
        <is>
          <t>V</t>
        </is>
      </c>
      <c r="C5668" s="3" t="n">
        <v>400</v>
      </c>
      <c r="D5668" s="3" t="inlineStr">
        <is>
          <t>Poly bag</t>
        </is>
      </c>
    </row>
    <row r="5669">
      <c r="A5669" s="3" t="inlineStr">
        <is>
          <t>Faktor Efisiensi Alat (Tabel 7)</t>
        </is>
      </c>
      <c r="B5669" s="3" t="inlineStr">
        <is>
          <t>Fa</t>
        </is>
      </c>
      <c r="C5669" s="3" t="n">
        <v>0.83</v>
      </c>
      <c r="D5669" s="3" t="inlineStr">
        <is>
          <t>-</t>
        </is>
      </c>
      <c r="E5669" s="3" t="inlineStr">
        <is>
          <t>kondisi kerja baik</t>
        </is>
      </c>
    </row>
    <row r="5670">
      <c r="A5670" s="3" t="inlineStr">
        <is>
          <t>Jarak Angkut</t>
        </is>
      </c>
      <c r="B5670" s="3" t="inlineStr">
        <is>
          <t>L</t>
        </is>
      </c>
      <c r="C5670" s="3" t="n">
        <v>100</v>
      </c>
      <c r="D5670" s="3" t="inlineStr">
        <is>
          <t>Km</t>
        </is>
      </c>
    </row>
    <row r="5671">
      <c r="A5671" s="3" t="inlineStr">
        <is>
          <t>Kecepatan ratarata bermuatan (lihat tabel 8)</t>
        </is>
      </c>
      <c r="B5671" s="3" t="inlineStr">
        <is>
          <t>v.1</t>
        </is>
      </c>
      <c r="C5671" s="3" t="n">
        <v>40</v>
      </c>
      <c r="D5671" s="3" t="inlineStr">
        <is>
          <t>Km/jam</t>
        </is>
      </c>
      <c r="E5671" s="3" t="inlineStr">
        <is>
          <t>(Kondisi menanjak atau jalan rusak )</t>
        </is>
      </c>
    </row>
    <row r="5672">
      <c r="A5672" s="3" t="inlineStr">
        <is>
          <t>Kecepatan ratarta kosong (lihat tabel 8)</t>
        </is>
      </c>
      <c r="B5672" s="3" t="inlineStr">
        <is>
          <t>v.2</t>
        </is>
      </c>
      <c r="C5672" s="3" t="n">
        <v>60</v>
      </c>
      <c r="D5672" s="3" t="inlineStr">
        <is>
          <t>Km/jam</t>
        </is>
      </c>
    </row>
    <row r="5673">
      <c r="A5673" s="3" t="inlineStr">
        <is>
          <t>Waktu tempuh isi</t>
        </is>
      </c>
      <c r="B5673" s="3" t="inlineStr">
        <is>
          <t>=</t>
        </is>
      </c>
      <c r="C5673" s="3" t="inlineStr">
        <is>
          <t>( L : v.1) x 60</t>
        </is>
      </c>
      <c r="D5673" s="3" t="inlineStr">
        <is>
          <t>T.1</t>
        </is>
      </c>
      <c r="E5673" s="4" t="n">
        <v>150</v>
      </c>
      <c r="F5673" s="3" t="inlineStr">
        <is>
          <t>menit</t>
        </is>
      </c>
    </row>
    <row r="5674">
      <c r="A5674" s="3" t="inlineStr">
        <is>
          <t>waktu muat &amp; bongkar</t>
        </is>
      </c>
      <c r="B5674" s="3" t="inlineStr">
        <is>
          <t>=</t>
        </is>
      </c>
      <c r="C5674" s="3" t="inlineStr">
        <is>
          <t>V x Ts2</t>
        </is>
      </c>
      <c r="D5674" s="3" t="inlineStr">
        <is>
          <t>T.2</t>
        </is>
      </c>
      <c r="E5674" s="4" t="n">
        <v>384</v>
      </c>
      <c r="F5674" s="3" t="inlineStr">
        <is>
          <t>menit</t>
        </is>
      </c>
    </row>
    <row r="5675">
      <c r="A5675" s="3" t="inlineStr">
        <is>
          <t>Ts1</t>
        </is>
      </c>
      <c r="B5675" s="3" t="n">
        <v>534</v>
      </c>
      <c r="C5675" s="3" t="inlineStr">
        <is>
          <t>menit</t>
        </is>
      </c>
    </row>
    <row r="5676">
      <c r="A5676" s="3" t="inlineStr">
        <is>
          <t>Kap. Produksi/jam</t>
        </is>
      </c>
      <c r="B5676" s="3" t="inlineStr">
        <is>
          <t>=</t>
        </is>
      </c>
      <c r="C5676" s="3" t="inlineStr">
        <is>
          <t>(V x Fa x 60)/(Ts1)</t>
        </is>
      </c>
      <c r="D5676" s="3" t="inlineStr">
        <is>
          <t>Q.1</t>
        </is>
      </c>
      <c r="E5676" s="4" t="n">
        <v>37.30337078651685</v>
      </c>
      <c r="F5676" s="3" t="inlineStr">
        <is>
          <t>Polybag / jam</t>
        </is>
      </c>
    </row>
    <row r="5677">
      <c r="A5677" s="3" t="inlineStr">
        <is>
          <t>Koefisien Alat/Polybag</t>
        </is>
      </c>
      <c r="B5677" s="3" t="inlineStr">
        <is>
          <t>=</t>
        </is>
      </c>
      <c r="C5677" s="3" t="inlineStr">
        <is>
          <t>1/Q.1</t>
        </is>
      </c>
      <c r="D5677" s="3" t="n">
        <v>0.02680722891566265</v>
      </c>
      <c r="E5677" s="3" t="inlineStr">
        <is>
          <t>Jam</t>
        </is>
      </c>
    </row>
    <row r="5678">
      <c r="A5678" s="3" t="inlineStr">
        <is>
          <t>Jarak da penyimpanan Nursey ke bak Truck</t>
        </is>
      </c>
      <c r="B5678" s="3" t="inlineStr">
        <is>
          <t>L2</t>
        </is>
      </c>
      <c r="C5678" s="3" t="n">
        <v>0.01</v>
      </c>
      <c r="D5678" s="3" t="inlineStr">
        <is>
          <t>Km</t>
        </is>
      </c>
    </row>
    <row r="5679">
      <c r="A5679" s="3" t="inlineStr">
        <is>
          <t>Polybag yang dimuat/turukan</t>
        </is>
      </c>
      <c r="B5679" s="3" t="inlineStr">
        <is>
          <t>V</t>
        </is>
      </c>
      <c r="C5679" s="3" t="n">
        <v>1</v>
      </c>
      <c r="D5679" s="3" t="inlineStr">
        <is>
          <t>Polybag</t>
        </is>
      </c>
    </row>
    <row r="5680">
      <c r="A5680" s="3" t="inlineStr">
        <is>
          <t>Faktor Efisiensi TK</t>
        </is>
      </c>
      <c r="B5680" s="3" t="inlineStr">
        <is>
          <t>FaTK</t>
        </is>
      </c>
      <c r="C5680" s="3" t="n">
        <v>0.86</v>
      </c>
      <c r="D5680" s="3" t="inlineStr">
        <is>
          <t>-</t>
        </is>
      </c>
      <c r="E5680" s="3" t="inlineStr">
        <is>
          <t>Kondisi kerja baik</t>
        </is>
      </c>
    </row>
    <row r="5681">
      <c r="A5681" s="3" t="inlineStr">
        <is>
          <t>- Memuat 1 Polybag dari tempat Nursey ke bak truck</t>
        </is>
      </c>
      <c r="B5681" s="3" t="inlineStr">
        <is>
          <t>T.1</t>
        </is>
      </c>
      <c r="C5681" s="3" t="n">
        <v>0.5</v>
      </c>
      <c r="D5681" s="3" t="inlineStr">
        <is>
          <t>menit</t>
        </is>
      </c>
      <c r="E5681" s="3" t="inlineStr">
        <is>
          <t>muat dan bongkar dibantu 2P</t>
        </is>
      </c>
    </row>
    <row r="5682">
      <c r="A5682" s="3" t="inlineStr">
        <is>
          <t>- Menurunkan 1 Polybag dari bak truck ke penyimpanan di lokasi pekerjaan</t>
        </is>
      </c>
      <c r="B5682" s="3" t="inlineStr">
        <is>
          <t>T.2</t>
        </is>
      </c>
      <c r="C5682" s="3" t="n">
        <v>0.46</v>
      </c>
      <c r="D5682" s="3" t="inlineStr">
        <is>
          <t>menit</t>
        </is>
      </c>
    </row>
    <row r="5683">
      <c r="A5683" s="3" t="inlineStr">
        <is>
          <t>Ts2</t>
        </is>
      </c>
      <c r="B5683" s="3" t="n">
        <v>0.96</v>
      </c>
      <c r="C5683" s="3" t="inlineStr">
        <is>
          <t>menit</t>
        </is>
      </c>
    </row>
    <row r="5684">
      <c r="A5684" s="3" t="inlineStr">
        <is>
          <t>Kap. Tenaga Kerja / jam</t>
        </is>
      </c>
      <c r="B5684" s="3" t="inlineStr">
        <is>
          <t>=</t>
        </is>
      </c>
      <c r="C5684" s="3" t="inlineStr">
        <is>
          <t>(FaTK x 60) / (Ts2)</t>
        </is>
      </c>
      <c r="D5684" s="3" t="inlineStr">
        <is>
          <t>Q.2</t>
        </is>
      </c>
      <c r="E5684" s="4" t="n">
        <v>53.75</v>
      </c>
      <c r="F5684" s="3" t="inlineStr">
        <is>
          <t>Polybag / jam</t>
        </is>
      </c>
    </row>
    <row r="5685">
      <c r="A5685" s="3" t="inlineStr">
        <is>
          <t>- Pekerja</t>
        </is>
      </c>
      <c r="B5685" s="3" t="inlineStr">
        <is>
          <t>=</t>
        </is>
      </c>
      <c r="C5685" s="3" t="inlineStr">
        <is>
          <t>(Tk x P) : Q.2</t>
        </is>
      </c>
      <c r="D5685" s="3" t="inlineStr">
        <is>
          <t>L.01</t>
        </is>
      </c>
      <c r="E5685" s="4" t="n">
        <v>0.05581395348837209</v>
      </c>
      <c r="F5685" s="3" t="inlineStr">
        <is>
          <t>OJ</t>
        </is>
      </c>
    </row>
    <row r="5686">
      <c r="A5686" s="3" t="inlineStr">
        <is>
          <t>- Mandor</t>
        </is>
      </c>
      <c r="B5686" s="3" t="inlineStr">
        <is>
          <t>=</t>
        </is>
      </c>
      <c r="C5686" s="3" t="inlineStr">
        <is>
          <t>(Tk x M ) : Q.2</t>
        </is>
      </c>
      <c r="D5686" s="3" t="inlineStr">
        <is>
          <t>L.04</t>
        </is>
      </c>
      <c r="E5686" s="4" t="n">
        <v>0.005581395348837209</v>
      </c>
      <c r="F5686" s="3" t="inlineStr">
        <is>
          <t>OJ</t>
        </is>
      </c>
    </row>
    <row r="5687">
      <c r="D5687" s="2" t="inlineStr">
        <is>
          <t>SUBTOTAL UPAH</t>
        </is>
      </c>
      <c r="F5687" s="16" t="n">
        <v>0</v>
      </c>
    </row>
    <row r="5688">
      <c r="D5688" s="2" t="inlineStr">
        <is>
          <t>SUBTOTAL BAHAN</t>
        </is>
      </c>
      <c r="F5688" s="16" t="n">
        <v>0</v>
      </c>
    </row>
    <row r="5689">
      <c r="D5689" s="2" t="inlineStr">
        <is>
          <t>SUBTOTAL ALAT</t>
        </is>
      </c>
      <c r="F5689" s="16" t="n">
        <v>0</v>
      </c>
    </row>
    <row r="5690">
      <c r="E5690" s="2" t="inlineStr">
        <is>
          <t>TOTAL HARGA SATUAN (Inc. Overhead)</t>
        </is>
      </c>
      <c r="F5690" s="17" t="n">
        <v>0</v>
      </c>
    </row>
    <row r="5692">
      <c r="A5692" s="14" t="inlineStr">
        <is>
          <t>KODE: 4.1.1.31 - Pengadaan dan Pengangkutan Palem Tunggal Kecil di Polybag 50 L</t>
        </is>
      </c>
    </row>
    <row r="5693">
      <c r="A5693" s="10" t="inlineStr">
        <is>
          <t>No</t>
        </is>
      </c>
      <c r="B5693" s="10" t="inlineStr">
        <is>
          <t>Uraian Komponen</t>
        </is>
      </c>
      <c r="C5693" s="10" t="inlineStr">
        <is>
          <t>Satuan</t>
        </is>
      </c>
      <c r="D5693" s="10" t="inlineStr">
        <is>
          <t>Koef</t>
        </is>
      </c>
      <c r="E5693" s="10" t="inlineStr">
        <is>
          <t>Harga Satuan (Rp)</t>
        </is>
      </c>
      <c r="F5693" s="10" t="inlineStr">
        <is>
          <t>Jumlah Harga (Rp)</t>
        </is>
      </c>
    </row>
    <row r="5694">
      <c r="A5694" s="3" t="inlineStr">
        <is>
          <t>1</t>
        </is>
      </c>
      <c r="B5694" s="3" t="inlineStr">
        <is>
          <t>Pekerja</t>
        </is>
      </c>
      <c r="C5694" s="3" t="inlineStr">
        <is>
          <t>OJ</t>
        </is>
      </c>
      <c r="D5694" s="15" t="n">
        <v>0.05581395348837209</v>
      </c>
      <c r="E5694" s="4" t="n">
        <v>14285.71428571429</v>
      </c>
      <c r="F5694" s="4" t="n">
        <v>797.3421926910299</v>
      </c>
    </row>
    <row r="5695">
      <c r="A5695" s="3" t="inlineStr">
        <is>
          <t>2</t>
        </is>
      </c>
      <c r="B5695" s="3" t="inlineStr">
        <is>
          <t>Mandor</t>
        </is>
      </c>
      <c r="C5695" s="3" t="inlineStr">
        <is>
          <t>OJ</t>
        </is>
      </c>
      <c r="D5695" s="15" t="n">
        <v>0.005581395348837209</v>
      </c>
      <c r="E5695" s="4" t="n">
        <v>28571.42857142857</v>
      </c>
      <c r="F5695" s="4" t="n">
        <v>159.468438538206</v>
      </c>
    </row>
    <row r="5696">
      <c r="A5696" s="3" t="inlineStr">
        <is>
          <t>1</t>
        </is>
      </c>
      <c r="B5696" s="3" t="inlineStr">
        <is>
          <t>Palem Tunggal (Palem Kol) di Polybag 50 Liter</t>
        </is>
      </c>
      <c r="C5696" s="3" t="inlineStr">
        <is>
          <t>pohon</t>
        </is>
      </c>
      <c r="D5696" s="15" t="n">
        <v>1</v>
      </c>
      <c r="E5696" s="4" t="n">
        <v>300000</v>
      </c>
      <c r="F5696" s="4" t="n">
        <v>300000</v>
      </c>
    </row>
    <row r="5697">
      <c r="A5697" s="3" t="inlineStr">
        <is>
          <t>1</t>
        </is>
      </c>
      <c r="B5697" s="3" t="inlineStr">
        <is>
          <t>Fuso (D); R-Blk. 8; 35 m3</t>
        </is>
      </c>
      <c r="C5697" s="3" t="inlineStr">
        <is>
          <t>Jam</t>
        </is>
      </c>
      <c r="D5697" s="15" t="n">
        <v>0.02680722891566265</v>
      </c>
      <c r="E5697" s="4" t="n">
        <v>418543.76</v>
      </c>
      <c r="F5697" s="4" t="n">
        <v>11219.99838554217</v>
      </c>
    </row>
    <row r="5698">
      <c r="D5698" s="2" t="inlineStr">
        <is>
          <t>SUBTOTAL UPAH</t>
        </is>
      </c>
      <c r="F5698" s="16" t="n">
        <v>956.8106312292359</v>
      </c>
    </row>
    <row r="5699">
      <c r="D5699" s="2" t="inlineStr">
        <is>
          <t>SUBTOTAL BAHAN</t>
        </is>
      </c>
      <c r="F5699" s="16" t="n">
        <v>300000</v>
      </c>
    </row>
    <row r="5700">
      <c r="D5700" s="2" t="inlineStr">
        <is>
          <t>SUBTOTAL ALAT</t>
        </is>
      </c>
      <c r="F5700" s="16" t="n">
        <v>11219.99838554217</v>
      </c>
    </row>
    <row r="5701">
      <c r="E5701" s="2" t="inlineStr">
        <is>
          <t>TOTAL HARGA SATUAN (Inc. Overhead)</t>
        </is>
      </c>
      <c r="F5701" s="17" t="n">
        <v>343394</v>
      </c>
    </row>
    <row r="5703">
      <c r="A5703" s="14" t="inlineStr">
        <is>
          <t>KODE: 4.1.1.32 - Analisis Produktivitas Angkutan Palem Tunggal Besar di Polybag 100 L</t>
        </is>
      </c>
    </row>
    <row r="5704">
      <c r="A5704" s="10" t="inlineStr">
        <is>
          <t>No</t>
        </is>
      </c>
      <c r="B5704" s="10" t="inlineStr">
        <is>
          <t>Uraian Komponen</t>
        </is>
      </c>
      <c r="C5704" s="10" t="inlineStr">
        <is>
          <t>Satuan</t>
        </is>
      </c>
      <c r="D5704" s="10" t="inlineStr">
        <is>
          <t>Koef</t>
        </is>
      </c>
      <c r="E5704" s="10" t="inlineStr">
        <is>
          <t>Harga Satuan (Rp)</t>
        </is>
      </c>
      <c r="F5704" s="10" t="inlineStr">
        <is>
          <t>Jumlah Harga (Rp)</t>
        </is>
      </c>
    </row>
    <row r="5705">
      <c r="A5705" s="3" t="n">
        <v>1</v>
      </c>
      <c r="B5705" s="3" t="inlineStr">
        <is>
          <t>Jam Kerja efektif per hari</t>
        </is>
      </c>
      <c r="C5705" s="3" t="inlineStr">
        <is>
          <t>Tk</t>
        </is>
      </c>
      <c r="D5705" s="3" t="n">
        <v>7</v>
      </c>
      <c r="E5705" s="3" t="inlineStr">
        <is>
          <t>Jam</t>
        </is>
      </c>
    </row>
    <row r="5706">
      <c r="A5706" s="3" t="n">
        <v>2</v>
      </c>
      <c r="B5706" s="3" t="inlineStr">
        <is>
          <t>Pemuatan tanaman dilakukan secara manual</t>
        </is>
      </c>
      <c r="C5706" s="3" t="inlineStr">
        <is>
          <t>Fk</t>
        </is>
      </c>
      <c r="D5706" s="3" t="n">
        <v>1.25</v>
      </c>
      <c r="E5706" s="3" t="inlineStr">
        <is>
          <t>-</t>
        </is>
      </c>
      <c r="F5706" s="3" t="inlineStr">
        <is>
          <t>Tabel A.1</t>
        </is>
      </c>
    </row>
    <row r="5707">
      <c r="A5707" s="3" t="n">
        <v>3</v>
      </c>
      <c r="B5707" s="3" t="inlineStr">
        <is>
          <t>Jarak Angkut dari Nursey ke Lokasi pekerjaan</t>
        </is>
      </c>
      <c r="C5707" s="3" t="inlineStr">
        <is>
          <t>L</t>
        </is>
      </c>
      <c r="D5707" s="3" t="n">
        <v>100</v>
      </c>
      <c r="E5707" s="3" t="inlineStr">
        <is>
          <t>km</t>
        </is>
      </c>
    </row>
    <row r="5708">
      <c r="A5708" s="3" t="n">
        <v>4</v>
      </c>
      <c r="B5708" s="3" t="inlineStr">
        <is>
          <t>Angkut Truck 1-jalan dari tempat Nursey ke lokasi perkerjaan</t>
        </is>
      </c>
      <c r="C5708" s="3" t="inlineStr">
        <is>
          <t>Angkut saja</t>
        </is>
      </c>
    </row>
    <row r="5709">
      <c r="A5709" s="3" t="n">
        <v>3.1</v>
      </c>
      <c r="B5709" s="3" t="inlineStr">
        <is>
          <t>Fuso (D); R-Blk. 8; 35 m3</t>
        </is>
      </c>
      <c r="C5709" s="3" t="inlineStr">
        <is>
          <t>10 Ton; 130 HP</t>
        </is>
      </c>
    </row>
    <row r="5710">
      <c r="A5710" s="3" t="inlineStr">
        <is>
          <t>Kapasitas Bak</t>
        </is>
      </c>
      <c r="B5710" s="3" t="inlineStr">
        <is>
          <t>V</t>
        </is>
      </c>
      <c r="C5710" s="3" t="n">
        <v>60</v>
      </c>
      <c r="D5710" s="3" t="inlineStr">
        <is>
          <t>Poly bag</t>
        </is>
      </c>
    </row>
    <row r="5711">
      <c r="A5711" s="3" t="inlineStr">
        <is>
          <t>Faktor Efisiensi Alat (Tabel 7)</t>
        </is>
      </c>
      <c r="B5711" s="3" t="inlineStr">
        <is>
          <t>Fa</t>
        </is>
      </c>
      <c r="C5711" s="3" t="n">
        <v>0.83</v>
      </c>
      <c r="D5711" s="3" t="inlineStr">
        <is>
          <t>-</t>
        </is>
      </c>
      <c r="E5711" s="3" t="inlineStr">
        <is>
          <t>kondisi kerja baik</t>
        </is>
      </c>
    </row>
    <row r="5712">
      <c r="A5712" s="3" t="inlineStr">
        <is>
          <t>Jarak Angkut</t>
        </is>
      </c>
      <c r="B5712" s="3" t="inlineStr">
        <is>
          <t>L</t>
        </is>
      </c>
      <c r="C5712" s="3" t="n">
        <v>100</v>
      </c>
      <c r="D5712" s="3" t="inlineStr">
        <is>
          <t>Km</t>
        </is>
      </c>
    </row>
    <row r="5713">
      <c r="A5713" s="3" t="inlineStr">
        <is>
          <t>Kecepatan ratarata bermuatan (lihat tabel 8)</t>
        </is>
      </c>
      <c r="B5713" s="3" t="inlineStr">
        <is>
          <t>v.1</t>
        </is>
      </c>
      <c r="C5713" s="3" t="n">
        <v>40</v>
      </c>
      <c r="D5713" s="3" t="inlineStr">
        <is>
          <t>Km/jam</t>
        </is>
      </c>
      <c r="E5713" s="3" t="inlineStr">
        <is>
          <t>(Kondisi menanjak atau jalan rusak )</t>
        </is>
      </c>
    </row>
    <row r="5714">
      <c r="A5714" s="3" t="inlineStr">
        <is>
          <t>Kecepatan ratarta kosong (lihat tabel 8)</t>
        </is>
      </c>
      <c r="B5714" s="3" t="inlineStr">
        <is>
          <t>v.2</t>
        </is>
      </c>
      <c r="C5714" s="3" t="n">
        <v>60</v>
      </c>
      <c r="D5714" s="3" t="inlineStr">
        <is>
          <t>Km/jam</t>
        </is>
      </c>
    </row>
    <row r="5715">
      <c r="A5715" s="3" t="inlineStr">
        <is>
          <t>Waktu tempuh isi</t>
        </is>
      </c>
      <c r="B5715" s="3" t="inlineStr">
        <is>
          <t>=</t>
        </is>
      </c>
      <c r="C5715" s="3" t="inlineStr">
        <is>
          <t>( L : v.1) x 60</t>
        </is>
      </c>
      <c r="D5715" s="3" t="inlineStr">
        <is>
          <t>T.1</t>
        </is>
      </c>
      <c r="E5715" s="4" t="n">
        <v>150</v>
      </c>
      <c r="F5715" s="3" t="inlineStr">
        <is>
          <t>menit</t>
        </is>
      </c>
    </row>
    <row r="5716">
      <c r="A5716" s="3" t="inlineStr">
        <is>
          <t>waktu muat &amp; bongkar</t>
        </is>
      </c>
      <c r="B5716" s="3" t="inlineStr">
        <is>
          <t>=</t>
        </is>
      </c>
      <c r="C5716" s="3" t="inlineStr">
        <is>
          <t>V x Ts2</t>
        </is>
      </c>
      <c r="D5716" s="3" t="inlineStr">
        <is>
          <t>T.2</t>
        </is>
      </c>
      <c r="E5716" s="4" t="n">
        <v>393.6</v>
      </c>
      <c r="F5716" s="3" t="inlineStr">
        <is>
          <t>menit</t>
        </is>
      </c>
    </row>
    <row r="5717">
      <c r="A5717" s="3" t="inlineStr">
        <is>
          <t>Ts1</t>
        </is>
      </c>
      <c r="B5717" s="3" t="n">
        <v>543.6</v>
      </c>
      <c r="C5717" s="3" t="inlineStr">
        <is>
          <t>menit</t>
        </is>
      </c>
    </row>
    <row r="5718">
      <c r="A5718" s="3" t="inlineStr">
        <is>
          <t>Kap. Produksi/jam</t>
        </is>
      </c>
      <c r="B5718" s="3" t="inlineStr">
        <is>
          <t>=</t>
        </is>
      </c>
      <c r="C5718" s="3" t="inlineStr">
        <is>
          <t>(V x Fa x 60)/(Ts1)</t>
        </is>
      </c>
      <c r="D5718" s="3" t="inlineStr">
        <is>
          <t>Q.1</t>
        </is>
      </c>
      <c r="E5718" s="4" t="n">
        <v>5.496688741721854</v>
      </c>
      <c r="F5718" s="3" t="inlineStr">
        <is>
          <t>Polybag / jam</t>
        </is>
      </c>
    </row>
    <row r="5719">
      <c r="A5719" s="3" t="inlineStr">
        <is>
          <t>Koefisien Alat/Polybag</t>
        </is>
      </c>
      <c r="B5719" s="3" t="inlineStr">
        <is>
          <t>=</t>
        </is>
      </c>
      <c r="C5719" s="3" t="inlineStr">
        <is>
          <t>1/Q.1</t>
        </is>
      </c>
      <c r="D5719" s="3" t="n">
        <v>0.1819277108433735</v>
      </c>
      <c r="E5719" s="3" t="inlineStr">
        <is>
          <t>Jam</t>
        </is>
      </c>
    </row>
    <row r="5720">
      <c r="A5720" s="3" t="inlineStr">
        <is>
          <t>Jarak da penyimpanan Nursey ke bak Truck</t>
        </is>
      </c>
      <c r="B5720" s="3" t="inlineStr">
        <is>
          <t>L2</t>
        </is>
      </c>
      <c r="C5720" s="3" t="n">
        <v>0.01</v>
      </c>
      <c r="D5720" s="3" t="inlineStr">
        <is>
          <t>Km</t>
        </is>
      </c>
    </row>
    <row r="5721">
      <c r="A5721" s="3" t="inlineStr">
        <is>
          <t>Polybag yang dimuat/turukan</t>
        </is>
      </c>
      <c r="B5721" s="3" t="inlineStr">
        <is>
          <t>V</t>
        </is>
      </c>
      <c r="C5721" s="3" t="n">
        <v>1</v>
      </c>
      <c r="D5721" s="3" t="inlineStr">
        <is>
          <t>Polybag</t>
        </is>
      </c>
    </row>
    <row r="5722">
      <c r="A5722" s="3" t="inlineStr">
        <is>
          <t>Faktor Efisiensi TK</t>
        </is>
      </c>
      <c r="B5722" s="3" t="inlineStr">
        <is>
          <t>FaTK</t>
        </is>
      </c>
      <c r="C5722" s="3" t="n">
        <v>0.86</v>
      </c>
      <c r="D5722" s="3" t="inlineStr">
        <is>
          <t>-</t>
        </is>
      </c>
      <c r="E5722" s="3" t="inlineStr">
        <is>
          <t>Kondisi kerja baik</t>
        </is>
      </c>
    </row>
    <row r="5723">
      <c r="A5723" s="3" t="inlineStr">
        <is>
          <t>- Pemasangan pengikat pada Polybag ke pengait arm Crane di tempat Nursery</t>
        </is>
      </c>
      <c r="B5723" s="3" t="inlineStr">
        <is>
          <t>T.1</t>
        </is>
      </c>
      <c r="C5723" s="3" t="n">
        <v>2.03</v>
      </c>
      <c r="D5723" s="3" t="inlineStr">
        <is>
          <t>menit</t>
        </is>
      </c>
      <c r="E5723" s="3" t="inlineStr">
        <is>
          <t>muat dan bongkar dibantu 4P</t>
        </is>
      </c>
    </row>
    <row r="5724">
      <c r="A5724" s="3" t="inlineStr">
        <is>
          <t>"- Angkat arm+Polybag dari tempat Nursery</t>
        </is>
      </c>
      <c r="B5724" s="3" t="inlineStr">
        <is>
          <t>swing</t>
        </is>
      </c>
      <c r="C5724" s="3" t="inlineStr">
        <is>
          <t>tempatkan dibak Truck+lepas pengikat Polybag"</t>
        </is>
      </c>
      <c r="D5724" s="3" t="inlineStr">
        <is>
          <t>T.2</t>
        </is>
      </c>
      <c r="E5724" s="4" t="n">
        <v>1.35</v>
      </c>
      <c r="F5724" s="3" t="inlineStr">
        <is>
          <t>menit</t>
        </is>
      </c>
    </row>
    <row r="5725">
      <c r="A5725" s="3" t="inlineStr">
        <is>
          <t>- Pemasangan pengikat pada Polybag di bak Truck ke pengait arm Crane di lokasi pekerjaan</t>
        </is>
      </c>
      <c r="B5725" s="3" t="inlineStr">
        <is>
          <t>T.3</t>
        </is>
      </c>
      <c r="C5725" s="3" t="n">
        <v>1.91</v>
      </c>
      <c r="D5725" s="3" t="inlineStr">
        <is>
          <t>menit</t>
        </is>
      </c>
    </row>
    <row r="5726">
      <c r="A5726" s="3" t="inlineStr">
        <is>
          <t>"- Angkat arm+Polybag dari bak Truck</t>
        </is>
      </c>
      <c r="B5726" s="3" t="inlineStr">
        <is>
          <t>swing</t>
        </is>
      </c>
      <c r="C5726" s="3" t="inlineStr">
        <is>
          <t>tempatkan di lokasi pekerjaan+lepas pengikat Polybag"</t>
        </is>
      </c>
      <c r="D5726" s="3" t="inlineStr">
        <is>
          <t>T.4</t>
        </is>
      </c>
      <c r="E5726" s="4" t="n">
        <v>1.27</v>
      </c>
      <c r="F5726" s="3" t="inlineStr">
        <is>
          <t>menit</t>
        </is>
      </c>
    </row>
    <row r="5727">
      <c r="A5727" s="3" t="inlineStr">
        <is>
          <t>Ts2</t>
        </is>
      </c>
      <c r="B5727" s="3" t="n">
        <v>6.56</v>
      </c>
      <c r="C5727" s="3" t="inlineStr">
        <is>
          <t>menit</t>
        </is>
      </c>
    </row>
    <row r="5728">
      <c r="A5728" s="3" t="inlineStr">
        <is>
          <t>Kap. Tenaga Kerja / jam</t>
        </is>
      </c>
      <c r="B5728" s="3" t="inlineStr">
        <is>
          <t>=</t>
        </is>
      </c>
      <c r="C5728" s="3" t="inlineStr">
        <is>
          <t>(FaTK x 60) / (Ts2)</t>
        </is>
      </c>
      <c r="D5728" s="3" t="inlineStr">
        <is>
          <t>Q.2</t>
        </is>
      </c>
      <c r="E5728" s="4" t="n">
        <v>7.865853658536585</v>
      </c>
      <c r="F5728" s="3" t="inlineStr">
        <is>
          <t>Polybag / jam</t>
        </is>
      </c>
    </row>
    <row r="5729">
      <c r="A5729" s="3" t="inlineStr">
        <is>
          <t>Koefisien Alat/buah</t>
        </is>
      </c>
      <c r="B5729" s="3" t="n">
        <v>0.1271317829457364</v>
      </c>
      <c r="C5729" s="3" t="inlineStr">
        <is>
          <t>jam</t>
        </is>
      </c>
    </row>
    <row r="5730">
      <c r="A5730" s="3" t="inlineStr">
        <is>
          <t>- Pekerja</t>
        </is>
      </c>
      <c r="B5730" s="3" t="inlineStr">
        <is>
          <t>=</t>
        </is>
      </c>
      <c r="C5730" s="3" t="inlineStr">
        <is>
          <t>(Tk x P) : Q.2</t>
        </is>
      </c>
      <c r="D5730" s="3" t="inlineStr">
        <is>
          <t>L.01</t>
        </is>
      </c>
      <c r="E5730" s="4" t="n">
        <v>0.5085271317829458</v>
      </c>
      <c r="F5730" s="3" t="inlineStr">
        <is>
          <t>OJ</t>
        </is>
      </c>
    </row>
    <row r="5731">
      <c r="A5731" s="3" t="inlineStr">
        <is>
          <t>- Mandor</t>
        </is>
      </c>
      <c r="B5731" s="3" t="inlineStr">
        <is>
          <t>=</t>
        </is>
      </c>
      <c r="C5731" s="3" t="inlineStr">
        <is>
          <t>(Tk x M ) : Q.2</t>
        </is>
      </c>
      <c r="D5731" s="3" t="inlineStr">
        <is>
          <t>L.04</t>
        </is>
      </c>
      <c r="E5731" s="4" t="n">
        <v>0.05085271317829458</v>
      </c>
      <c r="F5731" s="3" t="inlineStr">
        <is>
          <t>OJ</t>
        </is>
      </c>
    </row>
    <row r="5732">
      <c r="D5732" s="2" t="inlineStr">
        <is>
          <t>SUBTOTAL UPAH</t>
        </is>
      </c>
      <c r="F5732" s="16" t="n">
        <v>0</v>
      </c>
    </row>
    <row r="5733">
      <c r="D5733" s="2" t="inlineStr">
        <is>
          <t>SUBTOTAL BAHAN</t>
        </is>
      </c>
      <c r="F5733" s="16" t="n">
        <v>0</v>
      </c>
    </row>
    <row r="5734">
      <c r="D5734" s="2" t="inlineStr">
        <is>
          <t>SUBTOTAL ALAT</t>
        </is>
      </c>
      <c r="F5734" s="16" t="n">
        <v>0</v>
      </c>
    </row>
    <row r="5735">
      <c r="E5735" s="2" t="inlineStr">
        <is>
          <t>TOTAL HARGA SATUAN (Inc. Overhead)</t>
        </is>
      </c>
      <c r="F5735" s="17" t="n">
        <v>0</v>
      </c>
    </row>
    <row r="5737">
      <c r="A5737" s="14" t="inlineStr">
        <is>
          <t>KODE: 4.1.1.33 - Pengadaan dan Pengangkutan Palem Tunggal Besar di Polybag 100 L</t>
        </is>
      </c>
    </row>
    <row r="5738">
      <c r="A5738" s="10" t="inlineStr">
        <is>
          <t>No</t>
        </is>
      </c>
      <c r="B5738" s="10" t="inlineStr">
        <is>
          <t>Uraian Komponen</t>
        </is>
      </c>
      <c r="C5738" s="10" t="inlineStr">
        <is>
          <t>Satuan</t>
        </is>
      </c>
      <c r="D5738" s="10" t="inlineStr">
        <is>
          <t>Koef</t>
        </is>
      </c>
      <c r="E5738" s="10" t="inlineStr">
        <is>
          <t>Harga Satuan (Rp)</t>
        </is>
      </c>
      <c r="F5738" s="10" t="inlineStr">
        <is>
          <t>Jumlah Harga (Rp)</t>
        </is>
      </c>
    </row>
    <row r="5739">
      <c r="A5739" s="3" t="inlineStr">
        <is>
          <t>1</t>
        </is>
      </c>
      <c r="B5739" s="3" t="inlineStr">
        <is>
          <t>Pekerja</t>
        </is>
      </c>
      <c r="C5739" s="3" t="inlineStr">
        <is>
          <t>OJ</t>
        </is>
      </c>
      <c r="D5739" s="15" t="n">
        <v>0.5085271317829458</v>
      </c>
      <c r="E5739" s="4" t="n">
        <v>14285.71428571429</v>
      </c>
      <c r="F5739" s="4" t="n">
        <v>7264.673311184941</v>
      </c>
    </row>
    <row r="5740">
      <c r="A5740" s="3" t="inlineStr">
        <is>
          <t>2</t>
        </is>
      </c>
      <c r="B5740" s="3" t="inlineStr">
        <is>
          <t>Mandor</t>
        </is>
      </c>
      <c r="C5740" s="3" t="inlineStr">
        <is>
          <t>OJ</t>
        </is>
      </c>
      <c r="D5740" s="15" t="n">
        <v>0.05085271317829458</v>
      </c>
      <c r="E5740" s="4" t="n">
        <v>28571.42857142857</v>
      </c>
      <c r="F5740" s="4" t="n">
        <v>1452.934662236988</v>
      </c>
    </row>
    <row r="5741">
      <c r="A5741" s="3" t="inlineStr">
        <is>
          <t>1</t>
        </is>
      </c>
      <c r="B5741" s="3" t="inlineStr">
        <is>
          <t>Palem Tunggal (Palem sadeng) di Polybag 100 Liter</t>
        </is>
      </c>
      <c r="C5741" s="3" t="inlineStr">
        <is>
          <t>pohon</t>
        </is>
      </c>
      <c r="D5741" s="15" t="n">
        <v>1</v>
      </c>
      <c r="E5741" s="4" t="n">
        <v>700000</v>
      </c>
      <c r="F5741" s="4" t="n">
        <v>700000</v>
      </c>
    </row>
    <row r="5742">
      <c r="A5742" s="3" t="inlineStr">
        <is>
          <t>1</t>
        </is>
      </c>
      <c r="B5742" s="3" t="inlineStr">
        <is>
          <t>Fuso (D); R-Blk. 8; 35 m3</t>
        </is>
      </c>
      <c r="C5742" s="3" t="inlineStr">
        <is>
          <t>Jam</t>
        </is>
      </c>
      <c r="D5742" s="15" t="n">
        <v>0.1819277108433735</v>
      </c>
      <c r="E5742" s="4" t="n">
        <v>418543.76</v>
      </c>
      <c r="F5742" s="4" t="n">
        <v>76144.70814457831</v>
      </c>
    </row>
    <row r="5743">
      <c r="A5743" s="3" t="inlineStr">
        <is>
          <t>2</t>
        </is>
      </c>
      <c r="B5743" s="3" t="inlineStr">
        <is>
          <t>Crane Truck 3 ton; Winch 5 Ton</t>
        </is>
      </c>
      <c r="C5743" s="3" t="inlineStr">
        <is>
          <t>Jam</t>
        </is>
      </c>
      <c r="D5743" s="15" t="n">
        <v>0.1271317829457364</v>
      </c>
      <c r="E5743" s="4" t="n">
        <v>430662.86</v>
      </c>
      <c r="F5743" s="4" t="n">
        <v>54750.93724031007</v>
      </c>
    </row>
    <row r="5744">
      <c r="D5744" s="2" t="inlineStr">
        <is>
          <t>SUBTOTAL UPAH</t>
        </is>
      </c>
      <c r="F5744" s="16" t="n">
        <v>8717.607973421929</v>
      </c>
    </row>
    <row r="5745">
      <c r="D5745" s="2" t="inlineStr">
        <is>
          <t>SUBTOTAL BAHAN</t>
        </is>
      </c>
      <c r="F5745" s="16" t="n">
        <v>700000</v>
      </c>
    </row>
    <row r="5746">
      <c r="D5746" s="2" t="inlineStr">
        <is>
          <t>SUBTOTAL ALAT</t>
        </is>
      </c>
      <c r="F5746" s="16" t="n">
        <v>130895.6453848884</v>
      </c>
    </row>
    <row r="5747">
      <c r="E5747" s="2" t="inlineStr">
        <is>
          <t>TOTAL HARGA SATUAN (Inc. Overhead)</t>
        </is>
      </c>
      <c r="F5747" s="17" t="n">
        <v>923574</v>
      </c>
    </row>
    <row r="5749">
      <c r="A5749" s="14" t="inlineStr">
        <is>
          <t>KODE: 4.1.1.34 - Analisis Produktivitas Angkutan Palem Tunggal Besar di Polybag 150 L</t>
        </is>
      </c>
    </row>
    <row r="5750">
      <c r="A5750" s="10" t="inlineStr">
        <is>
          <t>No</t>
        </is>
      </c>
      <c r="B5750" s="10" t="inlineStr">
        <is>
          <t>Uraian Komponen</t>
        </is>
      </c>
      <c r="C5750" s="10" t="inlineStr">
        <is>
          <t>Satuan</t>
        </is>
      </c>
      <c r="D5750" s="10" t="inlineStr">
        <is>
          <t>Koef</t>
        </is>
      </c>
      <c r="E5750" s="10" t="inlineStr">
        <is>
          <t>Harga Satuan (Rp)</t>
        </is>
      </c>
      <c r="F5750" s="10" t="inlineStr">
        <is>
          <t>Jumlah Harga (Rp)</t>
        </is>
      </c>
    </row>
    <row r="5751">
      <c r="A5751" s="3" t="n">
        <v>1</v>
      </c>
      <c r="B5751" s="3" t="inlineStr">
        <is>
          <t>Jam Kerja efektif per hari</t>
        </is>
      </c>
      <c r="C5751" s="3" t="inlineStr">
        <is>
          <t>Tk</t>
        </is>
      </c>
      <c r="D5751" s="3" t="n">
        <v>7</v>
      </c>
      <c r="E5751" s="3" t="inlineStr">
        <is>
          <t>Jam</t>
        </is>
      </c>
    </row>
    <row r="5752">
      <c r="A5752" s="3" t="n">
        <v>2</v>
      </c>
      <c r="B5752" s="3" t="inlineStr">
        <is>
          <t>Pemuatan tanaman dilakukan secara manual</t>
        </is>
      </c>
      <c r="C5752" s="3" t="inlineStr">
        <is>
          <t>Fk</t>
        </is>
      </c>
      <c r="D5752" s="3" t="n">
        <v>1.25</v>
      </c>
      <c r="E5752" s="3" t="inlineStr">
        <is>
          <t>-</t>
        </is>
      </c>
      <c r="F5752" s="3" t="inlineStr">
        <is>
          <t>Tabel A.1</t>
        </is>
      </c>
    </row>
    <row r="5753">
      <c r="A5753" s="3" t="n">
        <v>3</v>
      </c>
      <c r="B5753" s="3" t="inlineStr">
        <is>
          <t>Jarak Angkut dari Nursey ke Lokasi pekerjaan</t>
        </is>
      </c>
      <c r="C5753" s="3" t="inlineStr">
        <is>
          <t>L</t>
        </is>
      </c>
      <c r="D5753" s="3" t="n">
        <v>100</v>
      </c>
      <c r="E5753" s="3" t="inlineStr">
        <is>
          <t>km</t>
        </is>
      </c>
    </row>
    <row r="5754">
      <c r="A5754" s="3" t="n">
        <v>4</v>
      </c>
      <c r="B5754" s="3" t="inlineStr">
        <is>
          <t>Angkut Truck 1-jalan dari tempat Nursey ke lokasi perkerjaan</t>
        </is>
      </c>
      <c r="C5754" s="3" t="inlineStr">
        <is>
          <t>Angkut saja</t>
        </is>
      </c>
    </row>
    <row r="5755">
      <c r="A5755" s="3" t="n">
        <v>3.1</v>
      </c>
      <c r="B5755" s="3" t="inlineStr">
        <is>
          <t>Fuso (D); R-Blk. 8; 35 m3</t>
        </is>
      </c>
      <c r="C5755" s="3" t="inlineStr">
        <is>
          <t>10 Ton; 130 HP</t>
        </is>
      </c>
    </row>
    <row r="5756">
      <c r="A5756" s="3" t="inlineStr">
        <is>
          <t>Kapasitas Bak</t>
        </is>
      </c>
      <c r="B5756" s="3" t="inlineStr">
        <is>
          <t>V</t>
        </is>
      </c>
      <c r="C5756" s="3" t="n">
        <v>50</v>
      </c>
      <c r="D5756" s="3" t="inlineStr">
        <is>
          <t>Poly bag</t>
        </is>
      </c>
    </row>
    <row r="5757">
      <c r="A5757" s="3" t="inlineStr">
        <is>
          <t>Faktor Efisiensi Alat (Tabel 7)</t>
        </is>
      </c>
      <c r="B5757" s="3" t="inlineStr">
        <is>
          <t>Fa</t>
        </is>
      </c>
      <c r="C5757" s="3" t="n">
        <v>0.83</v>
      </c>
      <c r="D5757" s="3" t="inlineStr">
        <is>
          <t>-</t>
        </is>
      </c>
      <c r="E5757" s="3" t="inlineStr">
        <is>
          <t>kondisi kerja baik</t>
        </is>
      </c>
    </row>
    <row r="5758">
      <c r="A5758" s="3" t="inlineStr">
        <is>
          <t>Jarak Angkut</t>
        </is>
      </c>
      <c r="B5758" s="3" t="inlineStr">
        <is>
          <t>L</t>
        </is>
      </c>
      <c r="C5758" s="3" t="n">
        <v>100</v>
      </c>
      <c r="D5758" s="3" t="inlineStr">
        <is>
          <t>Km</t>
        </is>
      </c>
    </row>
    <row r="5759">
      <c r="A5759" s="3" t="inlineStr">
        <is>
          <t>Kecepatan ratarata bermuatan (lihat tabel 8)</t>
        </is>
      </c>
      <c r="B5759" s="3" t="inlineStr">
        <is>
          <t>v.1</t>
        </is>
      </c>
      <c r="C5759" s="3" t="n">
        <v>40</v>
      </c>
      <c r="D5759" s="3" t="inlineStr">
        <is>
          <t>Km/jam</t>
        </is>
      </c>
      <c r="E5759" s="3" t="inlineStr">
        <is>
          <t>(Kondisi menanjak atau jalan rusak )</t>
        </is>
      </c>
    </row>
    <row r="5760">
      <c r="A5760" s="3" t="inlineStr">
        <is>
          <t>Kecepatan ratarta kosong (lihat tabel 8)</t>
        </is>
      </c>
      <c r="B5760" s="3" t="inlineStr">
        <is>
          <t>v.2</t>
        </is>
      </c>
      <c r="C5760" s="3" t="n">
        <v>60</v>
      </c>
      <c r="D5760" s="3" t="inlineStr">
        <is>
          <t>Km/jam</t>
        </is>
      </c>
    </row>
    <row r="5761">
      <c r="A5761" s="3" t="inlineStr">
        <is>
          <t>Waktu tempuh isi</t>
        </is>
      </c>
      <c r="B5761" s="3" t="inlineStr">
        <is>
          <t>=</t>
        </is>
      </c>
      <c r="C5761" s="3" t="inlineStr">
        <is>
          <t>( L : v.1) x 60</t>
        </is>
      </c>
      <c r="D5761" s="3" t="inlineStr">
        <is>
          <t>T.1</t>
        </is>
      </c>
      <c r="E5761" s="4" t="n">
        <v>150</v>
      </c>
      <c r="F5761" s="3" t="inlineStr">
        <is>
          <t>menit</t>
        </is>
      </c>
    </row>
    <row r="5762">
      <c r="A5762" s="3" t="inlineStr">
        <is>
          <t>waktu muat &amp; bongkar</t>
        </is>
      </c>
      <c r="B5762" s="3" t="inlineStr">
        <is>
          <t>=</t>
        </is>
      </c>
      <c r="C5762" s="3" t="inlineStr">
        <is>
          <t>V x Ts2</t>
        </is>
      </c>
      <c r="D5762" s="3" t="inlineStr">
        <is>
          <t>T.2</t>
        </is>
      </c>
      <c r="E5762" s="4" t="n">
        <v>338.0000000000001</v>
      </c>
      <c r="F5762" s="3" t="inlineStr">
        <is>
          <t>menit</t>
        </is>
      </c>
    </row>
    <row r="5763">
      <c r="A5763" s="3" t="inlineStr">
        <is>
          <t>Ts1</t>
        </is>
      </c>
      <c r="B5763" s="3" t="n">
        <v>488.0000000000001</v>
      </c>
      <c r="C5763" s="3" t="inlineStr">
        <is>
          <t>menit</t>
        </is>
      </c>
    </row>
    <row r="5764">
      <c r="A5764" s="3" t="inlineStr">
        <is>
          <t>Kap. Produksi/jam</t>
        </is>
      </c>
      <c r="B5764" s="3" t="inlineStr">
        <is>
          <t>=</t>
        </is>
      </c>
      <c r="C5764" s="3" t="inlineStr">
        <is>
          <t>(V x Fa x 60)/(Ts1)</t>
        </is>
      </c>
      <c r="D5764" s="3" t="inlineStr">
        <is>
          <t>Q.1</t>
        </is>
      </c>
      <c r="E5764" s="4" t="n">
        <v>5.102459016393442</v>
      </c>
      <c r="F5764" s="3" t="inlineStr">
        <is>
          <t>Polybag / jam</t>
        </is>
      </c>
    </row>
    <row r="5765">
      <c r="A5765" s="3" t="inlineStr">
        <is>
          <t>Koefisien Alat/Polybag</t>
        </is>
      </c>
      <c r="B5765" s="3" t="inlineStr">
        <is>
          <t>=</t>
        </is>
      </c>
      <c r="C5765" s="3" t="inlineStr">
        <is>
          <t>1/Q.1</t>
        </is>
      </c>
      <c r="D5765" s="3" t="n">
        <v>0.1959839357429719</v>
      </c>
      <c r="E5765" s="3" t="inlineStr">
        <is>
          <t>Jam</t>
        </is>
      </c>
    </row>
    <row r="5766">
      <c r="A5766" s="3" t="inlineStr">
        <is>
          <t>Jarak da penyimpanan Nursey ke bak Truck</t>
        </is>
      </c>
      <c r="B5766" s="3" t="inlineStr">
        <is>
          <t>L2</t>
        </is>
      </c>
      <c r="C5766" s="3" t="n">
        <v>0.01</v>
      </c>
      <c r="D5766" s="3" t="inlineStr">
        <is>
          <t>Km</t>
        </is>
      </c>
    </row>
    <row r="5767">
      <c r="A5767" s="3" t="inlineStr">
        <is>
          <t>Polybag yang dimuat/turukan</t>
        </is>
      </c>
      <c r="B5767" s="3" t="inlineStr">
        <is>
          <t>V</t>
        </is>
      </c>
      <c r="C5767" s="3" t="n">
        <v>1</v>
      </c>
      <c r="D5767" s="3" t="inlineStr">
        <is>
          <t>Polybag</t>
        </is>
      </c>
    </row>
    <row r="5768">
      <c r="A5768" s="3" t="inlineStr">
        <is>
          <t>Faktor Efisiensi TK</t>
        </is>
      </c>
      <c r="B5768" s="3" t="inlineStr">
        <is>
          <t>FaTK</t>
        </is>
      </c>
      <c r="C5768" s="3" t="n">
        <v>0.86</v>
      </c>
      <c r="D5768" s="3" t="inlineStr">
        <is>
          <t>-</t>
        </is>
      </c>
      <c r="E5768" s="3" t="inlineStr">
        <is>
          <t>Kondisi kerja baik</t>
        </is>
      </c>
    </row>
    <row r="5769">
      <c r="A5769" s="3" t="inlineStr">
        <is>
          <t>- Pemasangan pengikat pada Polybag ke pengait arm Crane di tempat Nursery</t>
        </is>
      </c>
      <c r="B5769" s="3" t="inlineStr">
        <is>
          <t>T.1</t>
        </is>
      </c>
      <c r="C5769" s="3" t="n">
        <v>2.12</v>
      </c>
      <c r="D5769" s="3" t="inlineStr">
        <is>
          <t>menit</t>
        </is>
      </c>
      <c r="E5769" s="3" t="inlineStr">
        <is>
          <t>muat dan bongkar dibantu 4P</t>
        </is>
      </c>
    </row>
    <row r="5770">
      <c r="A5770" s="3" t="inlineStr">
        <is>
          <t>"- Angkat arm+Polybag dari tempat Nursery</t>
        </is>
      </c>
      <c r="B5770" s="3" t="inlineStr">
        <is>
          <t>swing</t>
        </is>
      </c>
      <c r="C5770" s="3" t="inlineStr">
        <is>
          <t>tempatkan dibak Truck+lepas pengikat Polybag"</t>
        </is>
      </c>
      <c r="D5770" s="3" t="inlineStr">
        <is>
          <t>T.2</t>
        </is>
      </c>
      <c r="E5770" s="4" t="n">
        <v>1.41</v>
      </c>
      <c r="F5770" s="3" t="inlineStr">
        <is>
          <t>menit</t>
        </is>
      </c>
    </row>
    <row r="5771">
      <c r="A5771" s="3" t="inlineStr">
        <is>
          <t>- Pemasangan pengikat pada Polybag di bak Truck ke pengait arm Crane di lokasi pekerjaan</t>
        </is>
      </c>
      <c r="B5771" s="3" t="inlineStr">
        <is>
          <t>T.3</t>
        </is>
      </c>
      <c r="C5771" s="3" t="n">
        <v>1.94</v>
      </c>
      <c r="D5771" s="3" t="inlineStr">
        <is>
          <t>menit</t>
        </is>
      </c>
    </row>
    <row r="5772">
      <c r="A5772" s="3" t="inlineStr">
        <is>
          <t>"- Angkat arm+Polybag dari bak Truck</t>
        </is>
      </c>
      <c r="B5772" s="3" t="inlineStr">
        <is>
          <t>swing</t>
        </is>
      </c>
      <c r="C5772" s="3" t="inlineStr">
        <is>
          <t>tempatkan di lokasi pekerjaan+lepas pengikat Polybag"</t>
        </is>
      </c>
      <c r="D5772" s="3" t="inlineStr">
        <is>
          <t>T.4</t>
        </is>
      </c>
      <c r="E5772" s="4" t="n">
        <v>1.29</v>
      </c>
      <c r="F5772" s="3" t="inlineStr">
        <is>
          <t>menit</t>
        </is>
      </c>
    </row>
    <row r="5773">
      <c r="A5773" s="3" t="inlineStr">
        <is>
          <t>Ts2</t>
        </is>
      </c>
      <c r="B5773" s="3" t="n">
        <v>6.760000000000001</v>
      </c>
      <c r="C5773" s="3" t="inlineStr">
        <is>
          <t>menit</t>
        </is>
      </c>
    </row>
    <row r="5774">
      <c r="A5774" s="3" t="inlineStr">
        <is>
          <t>Kap. Tenaga Kerja / jam</t>
        </is>
      </c>
      <c r="B5774" s="3" t="inlineStr">
        <is>
          <t>=</t>
        </is>
      </c>
      <c r="C5774" s="3" t="inlineStr">
        <is>
          <t>(V x FaTK x 60) / (Ts2)</t>
        </is>
      </c>
      <c r="D5774" s="3" t="inlineStr">
        <is>
          <t>Q.2</t>
        </is>
      </c>
      <c r="E5774" s="4" t="n">
        <v>7.633136094674556</v>
      </c>
      <c r="F5774" s="3" t="inlineStr">
        <is>
          <t>Polybag / jam</t>
        </is>
      </c>
    </row>
    <row r="5775">
      <c r="A5775" s="3" t="inlineStr">
        <is>
          <t>Koefisien Alat/buah</t>
        </is>
      </c>
      <c r="B5775" s="3" t="n">
        <v>0.1310077519379845</v>
      </c>
      <c r="C5775" s="3" t="inlineStr">
        <is>
          <t>Jam</t>
        </is>
      </c>
    </row>
    <row r="5776">
      <c r="A5776" s="3" t="inlineStr">
        <is>
          <t>- Pekerja</t>
        </is>
      </c>
      <c r="B5776" s="3" t="inlineStr">
        <is>
          <t>=</t>
        </is>
      </c>
      <c r="C5776" s="3" t="inlineStr">
        <is>
          <t>(Tk x P) : Q.2</t>
        </is>
      </c>
      <c r="D5776" s="3" t="inlineStr">
        <is>
          <t>L.01</t>
        </is>
      </c>
      <c r="E5776" s="4" t="n">
        <v>0.524031007751938</v>
      </c>
      <c r="F5776" s="3" t="inlineStr">
        <is>
          <t>OJ</t>
        </is>
      </c>
    </row>
    <row r="5777">
      <c r="A5777" s="3" t="inlineStr">
        <is>
          <t>- Mandor</t>
        </is>
      </c>
      <c r="B5777" s="3" t="inlineStr">
        <is>
          <t>=</t>
        </is>
      </c>
      <c r="C5777" s="3" t="inlineStr">
        <is>
          <t>(Tk x M ) : Q.2</t>
        </is>
      </c>
      <c r="D5777" s="3" t="inlineStr">
        <is>
          <t>L.04</t>
        </is>
      </c>
      <c r="E5777" s="4" t="n">
        <v>0.0524031007751938</v>
      </c>
      <c r="F5777" s="3" t="inlineStr">
        <is>
          <t>OJ</t>
        </is>
      </c>
    </row>
    <row r="5778">
      <c r="D5778" s="2" t="inlineStr">
        <is>
          <t>SUBTOTAL UPAH</t>
        </is>
      </c>
      <c r="F5778" s="16" t="n">
        <v>0</v>
      </c>
    </row>
    <row r="5779">
      <c r="D5779" s="2" t="inlineStr">
        <is>
          <t>SUBTOTAL BAHAN</t>
        </is>
      </c>
      <c r="F5779" s="16" t="n">
        <v>0</v>
      </c>
    </row>
    <row r="5780">
      <c r="D5780" s="2" t="inlineStr">
        <is>
          <t>SUBTOTAL ALAT</t>
        </is>
      </c>
      <c r="F5780" s="16" t="n">
        <v>0</v>
      </c>
    </row>
    <row r="5781">
      <c r="E5781" s="2" t="inlineStr">
        <is>
          <t>TOTAL HARGA SATUAN (Inc. Overhead)</t>
        </is>
      </c>
      <c r="F5781" s="17" t="n">
        <v>0</v>
      </c>
    </row>
    <row r="5783">
      <c r="A5783" s="14" t="inlineStr">
        <is>
          <t>KODE: 4.1.1.35 - Pengadaan dan Pengangkutan Palem Tunggal Besar di Polybag 150 L</t>
        </is>
      </c>
    </row>
    <row r="5784">
      <c r="A5784" s="10" t="inlineStr">
        <is>
          <t>No</t>
        </is>
      </c>
      <c r="B5784" s="10" t="inlineStr">
        <is>
          <t>Uraian Komponen</t>
        </is>
      </c>
      <c r="C5784" s="10" t="inlineStr">
        <is>
          <t>Satuan</t>
        </is>
      </c>
      <c r="D5784" s="10" t="inlineStr">
        <is>
          <t>Koef</t>
        </is>
      </c>
      <c r="E5784" s="10" t="inlineStr">
        <is>
          <t>Harga Satuan (Rp)</t>
        </is>
      </c>
      <c r="F5784" s="10" t="inlineStr">
        <is>
          <t>Jumlah Harga (Rp)</t>
        </is>
      </c>
    </row>
    <row r="5785">
      <c r="A5785" s="3" t="inlineStr">
        <is>
          <t>1</t>
        </is>
      </c>
      <c r="B5785" s="3" t="inlineStr">
        <is>
          <t>Pekerja</t>
        </is>
      </c>
      <c r="C5785" s="3" t="inlineStr">
        <is>
          <t>OJ</t>
        </is>
      </c>
      <c r="D5785" s="15" t="n">
        <v>0.524031007751938</v>
      </c>
      <c r="E5785" s="4" t="n">
        <v>14285.71428571429</v>
      </c>
      <c r="F5785" s="4" t="n">
        <v>7486.157253599114</v>
      </c>
    </row>
    <row r="5786">
      <c r="A5786" s="3" t="inlineStr">
        <is>
          <t>2</t>
        </is>
      </c>
      <c r="B5786" s="3" t="inlineStr">
        <is>
          <t>Mandor</t>
        </is>
      </c>
      <c r="C5786" s="3" t="inlineStr">
        <is>
          <t>OJ</t>
        </is>
      </c>
      <c r="D5786" s="15" t="n">
        <v>0.0524031007751938</v>
      </c>
      <c r="E5786" s="4" t="n">
        <v>28571.42857142857</v>
      </c>
      <c r="F5786" s="4" t="n">
        <v>1497.231450719823</v>
      </c>
    </row>
    <row r="5787">
      <c r="A5787" s="3" t="inlineStr">
        <is>
          <t>1</t>
        </is>
      </c>
      <c r="B5787" s="3" t="inlineStr">
        <is>
          <t>Palem Tunggal (Palem sadeng) di Polybag 150 Liter</t>
        </is>
      </c>
      <c r="C5787" s="3" t="inlineStr">
        <is>
          <t>pohon</t>
        </is>
      </c>
      <c r="D5787" s="15" t="n">
        <v>1</v>
      </c>
      <c r="E5787" s="4" t="n">
        <v>800000</v>
      </c>
      <c r="F5787" s="4" t="n">
        <v>800000</v>
      </c>
    </row>
    <row r="5788">
      <c r="A5788" s="3" t="inlineStr">
        <is>
          <t>1</t>
        </is>
      </c>
      <c r="B5788" s="3" t="inlineStr">
        <is>
          <t>Fuso (D); R-Blk. 8; 35 m3</t>
        </is>
      </c>
      <c r="C5788" s="3" t="inlineStr">
        <is>
          <t>Jam</t>
        </is>
      </c>
      <c r="D5788" s="15" t="n">
        <v>0.1959839357429719</v>
      </c>
      <c r="E5788" s="4" t="n">
        <v>418543.76</v>
      </c>
      <c r="F5788" s="4" t="n">
        <v>82027.85336546187</v>
      </c>
    </row>
    <row r="5789">
      <c r="A5789" s="3" t="inlineStr">
        <is>
          <t>2</t>
        </is>
      </c>
      <c r="B5789" s="3" t="inlineStr">
        <is>
          <t>Crane Truck 3 ton; Winch 5 Ton</t>
        </is>
      </c>
      <c r="C5789" s="3" t="inlineStr">
        <is>
          <t>Jam</t>
        </is>
      </c>
      <c r="D5789" s="15" t="n">
        <v>0.1310077519379845</v>
      </c>
      <c r="E5789" s="4" t="n">
        <v>430662.86</v>
      </c>
      <c r="F5789" s="4" t="n">
        <v>56420.17313178295</v>
      </c>
    </row>
    <row r="5790">
      <c r="D5790" s="2" t="inlineStr">
        <is>
          <t>SUBTOTAL UPAH</t>
        </is>
      </c>
      <c r="F5790" s="16" t="n">
        <v>8983.388704318937</v>
      </c>
    </row>
    <row r="5791">
      <c r="D5791" s="2" t="inlineStr">
        <is>
          <t>SUBTOTAL BAHAN</t>
        </is>
      </c>
      <c r="F5791" s="16" t="n">
        <v>800000</v>
      </c>
    </row>
    <row r="5792">
      <c r="D5792" s="2" t="inlineStr">
        <is>
          <t>SUBTOTAL ALAT</t>
        </is>
      </c>
      <c r="F5792" s="16" t="n">
        <v>138448.0264972448</v>
      </c>
    </row>
    <row r="5793">
      <c r="E5793" s="2" t="inlineStr">
        <is>
          <t>TOTAL HARGA SATUAN (Inc. Overhead)</t>
        </is>
      </c>
      <c r="F5793" s="17" t="n">
        <v>1042174</v>
      </c>
    </row>
    <row r="5795">
      <c r="A5795" s="14" t="inlineStr">
        <is>
          <t>KODE: 4.1.1.36 - Analisis Poduktivitas Truck Angkutan Semak di Polybag 5 Liter Liter</t>
        </is>
      </c>
    </row>
    <row r="5796">
      <c r="A5796" s="10" t="inlineStr">
        <is>
          <t>No</t>
        </is>
      </c>
      <c r="B5796" s="10" t="inlineStr">
        <is>
          <t>Uraian Komponen</t>
        </is>
      </c>
      <c r="C5796" s="10" t="inlineStr">
        <is>
          <t>Satuan</t>
        </is>
      </c>
      <c r="D5796" s="10" t="inlineStr">
        <is>
          <t>Koef</t>
        </is>
      </c>
      <c r="E5796" s="10" t="inlineStr">
        <is>
          <t>Harga Satuan (Rp)</t>
        </is>
      </c>
      <c r="F5796" s="10" t="inlineStr">
        <is>
          <t>Jumlah Harga (Rp)</t>
        </is>
      </c>
    </row>
    <row r="5797">
      <c r="A5797" s="3" t="n">
        <v>1</v>
      </c>
      <c r="B5797" s="3" t="inlineStr">
        <is>
          <t>Jam Kerja efektif per hari</t>
        </is>
      </c>
      <c r="C5797" s="3" t="inlineStr">
        <is>
          <t>Tk</t>
        </is>
      </c>
      <c r="D5797" s="3" t="n">
        <v>7</v>
      </c>
      <c r="E5797" s="3" t="inlineStr">
        <is>
          <t>Jam</t>
        </is>
      </c>
    </row>
    <row r="5798">
      <c r="A5798" s="3" t="n">
        <v>2</v>
      </c>
      <c r="B5798" s="3" t="inlineStr">
        <is>
          <t>Pemuatan tanaman dilakukan secara manual</t>
        </is>
      </c>
      <c r="C5798" s="3" t="inlineStr">
        <is>
          <t>Fk</t>
        </is>
      </c>
      <c r="D5798" s="3" t="n">
        <v>1.25</v>
      </c>
      <c r="E5798" s="3" t="inlineStr">
        <is>
          <t>-</t>
        </is>
      </c>
      <c r="F5798" s="3" t="inlineStr">
        <is>
          <t>Tabel A.1</t>
        </is>
      </c>
    </row>
    <row r="5799">
      <c r="A5799" s="3" t="n">
        <v>3</v>
      </c>
      <c r="B5799" s="3" t="inlineStr">
        <is>
          <t>Jarak Angkut dari Nursey ke Lokasi pekerjaan</t>
        </is>
      </c>
      <c r="C5799" s="3" t="inlineStr">
        <is>
          <t>L</t>
        </is>
      </c>
      <c r="D5799" s="3" t="n">
        <v>100</v>
      </c>
      <c r="E5799" s="3" t="inlineStr">
        <is>
          <t>km</t>
        </is>
      </c>
    </row>
    <row r="5800">
      <c r="A5800" s="3" t="n">
        <v>4</v>
      </c>
      <c r="B5800" s="3" t="inlineStr">
        <is>
          <t>Angkut Truck 1-jalan dari tempat Nursey ke lokasi perkerjaan</t>
        </is>
      </c>
      <c r="C5800" s="3" t="inlineStr">
        <is>
          <t>Angkut saja</t>
        </is>
      </c>
    </row>
    <row r="5801">
      <c r="A5801" s="3" t="n">
        <v>3.1</v>
      </c>
      <c r="B5801" s="3" t="inlineStr">
        <is>
          <t>Pick Up L300</t>
        </is>
      </c>
      <c r="C5801" s="3" t="inlineStr">
        <is>
          <t>100 HP</t>
        </is>
      </c>
    </row>
    <row r="5802">
      <c r="A5802" s="3" t="inlineStr">
        <is>
          <t>Kapasitas Bak</t>
        </is>
      </c>
      <c r="B5802" s="3" t="inlineStr">
        <is>
          <t>V</t>
        </is>
      </c>
      <c r="C5802" s="3" t="n">
        <v>300</v>
      </c>
      <c r="D5802" s="3" t="inlineStr">
        <is>
          <t>Poly bag</t>
        </is>
      </c>
    </row>
    <row r="5803">
      <c r="A5803" s="3" t="inlineStr">
        <is>
          <t>Faktor Efisiensi Alat (Tabel 7)</t>
        </is>
      </c>
      <c r="B5803" s="3" t="inlineStr">
        <is>
          <t>Fa</t>
        </is>
      </c>
      <c r="C5803" s="3" t="n">
        <v>0.83</v>
      </c>
      <c r="D5803" s="3" t="inlineStr">
        <is>
          <t>-</t>
        </is>
      </c>
      <c r="E5803" s="3" t="inlineStr">
        <is>
          <t>kondisi kerja baik</t>
        </is>
      </c>
    </row>
    <row r="5804">
      <c r="A5804" s="3" t="inlineStr">
        <is>
          <t>Jarak Angkut</t>
        </is>
      </c>
      <c r="B5804" s="3" t="inlineStr">
        <is>
          <t>L</t>
        </is>
      </c>
      <c r="C5804" s="3" t="n">
        <v>100</v>
      </c>
      <c r="D5804" s="3" t="inlineStr">
        <is>
          <t>Km</t>
        </is>
      </c>
    </row>
    <row r="5805">
      <c r="A5805" s="3" t="inlineStr">
        <is>
          <t>Kecepatan ratarata bermuatan (lihat tabel 8)</t>
        </is>
      </c>
      <c r="B5805" s="3" t="inlineStr">
        <is>
          <t>v.1</t>
        </is>
      </c>
      <c r="C5805" s="3" t="n">
        <v>40</v>
      </c>
      <c r="D5805" s="3" t="inlineStr">
        <is>
          <t>Km/jam</t>
        </is>
      </c>
      <c r="E5805" s="3" t="inlineStr">
        <is>
          <t>(Kondisi menanjak atau jalan rusak )</t>
        </is>
      </c>
    </row>
    <row r="5806">
      <c r="A5806" s="3" t="inlineStr">
        <is>
          <t>Kecepatan ratarta kosong (lihat tabel 8)</t>
        </is>
      </c>
      <c r="B5806" s="3" t="inlineStr">
        <is>
          <t>v.2</t>
        </is>
      </c>
      <c r="C5806" s="3" t="n">
        <v>60</v>
      </c>
      <c r="D5806" s="3" t="inlineStr">
        <is>
          <t>Km/jam</t>
        </is>
      </c>
    </row>
    <row r="5807">
      <c r="A5807" s="3" t="inlineStr">
        <is>
          <t>Waktu tempuh isi</t>
        </is>
      </c>
      <c r="B5807" s="3" t="inlineStr">
        <is>
          <t>=</t>
        </is>
      </c>
      <c r="C5807" s="3" t="inlineStr">
        <is>
          <t>( L : v.1) x 60</t>
        </is>
      </c>
      <c r="D5807" s="3" t="inlineStr">
        <is>
          <t>T.1</t>
        </is>
      </c>
      <c r="E5807" s="4" t="n">
        <v>150</v>
      </c>
      <c r="F5807" s="3" t="inlineStr">
        <is>
          <t>menit</t>
        </is>
      </c>
    </row>
    <row r="5808">
      <c r="A5808" s="3" t="inlineStr">
        <is>
          <t>waktu muat &amp; bongkar</t>
        </is>
      </c>
      <c r="B5808" s="3" t="inlineStr">
        <is>
          <t>=</t>
        </is>
      </c>
      <c r="C5808" s="3" t="inlineStr">
        <is>
          <t>( L : v.1) x 60</t>
        </is>
      </c>
      <c r="D5808" s="3" t="inlineStr">
        <is>
          <t>T.2</t>
        </is>
      </c>
      <c r="E5808" s="4" t="n">
        <v>30</v>
      </c>
      <c r="F5808" s="3" t="inlineStr">
        <is>
          <t>menit</t>
        </is>
      </c>
    </row>
    <row r="5809">
      <c r="A5809" s="3" t="inlineStr">
        <is>
          <t>Ts1</t>
        </is>
      </c>
      <c r="B5809" s="3" t="n">
        <v>180</v>
      </c>
      <c r="C5809" s="3" t="inlineStr">
        <is>
          <t>menit</t>
        </is>
      </c>
    </row>
    <row r="5810">
      <c r="A5810" s="3" t="inlineStr">
        <is>
          <t>Kap. Produksi/jam</t>
        </is>
      </c>
      <c r="B5810" s="3" t="inlineStr">
        <is>
          <t>=</t>
        </is>
      </c>
      <c r="C5810" s="3" t="inlineStr">
        <is>
          <t>(V x Fa x 60)/(Ts1)</t>
        </is>
      </c>
      <c r="D5810" s="3" t="inlineStr">
        <is>
          <t>Q.1</t>
        </is>
      </c>
      <c r="E5810" s="4" t="n">
        <v>83</v>
      </c>
      <c r="F5810" s="3" t="inlineStr">
        <is>
          <t>Polybag / jam</t>
        </is>
      </c>
    </row>
    <row r="5811">
      <c r="A5811" s="3" t="inlineStr">
        <is>
          <t>Koefisien Alat/Polybag</t>
        </is>
      </c>
      <c r="B5811" s="3" t="inlineStr">
        <is>
          <t>=</t>
        </is>
      </c>
      <c r="C5811" s="3" t="inlineStr">
        <is>
          <t>1/Q.1</t>
        </is>
      </c>
      <c r="D5811" s="3" t="n">
        <v>0.01204819277108434</v>
      </c>
      <c r="E5811" s="3" t="inlineStr">
        <is>
          <t>Jam</t>
        </is>
      </c>
    </row>
    <row r="5812">
      <c r="A5812" s="3" t="inlineStr">
        <is>
          <t>Jarak da penyimpanan Nursey ke bak Truck</t>
        </is>
      </c>
      <c r="B5812" s="3" t="inlineStr">
        <is>
          <t>L2</t>
        </is>
      </c>
      <c r="C5812" s="3" t="n">
        <v>0.01</v>
      </c>
      <c r="D5812" s="3" t="inlineStr">
        <is>
          <t>Km</t>
        </is>
      </c>
    </row>
    <row r="5813">
      <c r="A5813" s="3" t="inlineStr">
        <is>
          <t>Polybag yang dimuat/turukan</t>
        </is>
      </c>
      <c r="B5813" s="3" t="inlineStr">
        <is>
          <t>V</t>
        </is>
      </c>
      <c r="C5813" s="3" t="n">
        <v>1</v>
      </c>
      <c r="D5813" s="3" t="inlineStr">
        <is>
          <t>Polybag</t>
        </is>
      </c>
    </row>
    <row r="5814">
      <c r="A5814" s="3" t="inlineStr">
        <is>
          <t>Faktor Efisiensi TK</t>
        </is>
      </c>
      <c r="B5814" s="3" t="inlineStr">
        <is>
          <t>FaTK</t>
        </is>
      </c>
      <c r="C5814" s="3" t="n">
        <v>0.86</v>
      </c>
      <c r="D5814" s="3" t="inlineStr">
        <is>
          <t>-</t>
        </is>
      </c>
      <c r="E5814" s="3" t="inlineStr">
        <is>
          <t>Kondisi kerja baik</t>
        </is>
      </c>
    </row>
    <row r="5815">
      <c r="A5815" s="3" t="inlineStr">
        <is>
          <t>- Memuat 1 Polybag dari tempat Nursey ke bak truck</t>
        </is>
      </c>
      <c r="B5815" s="3" t="inlineStr">
        <is>
          <t>T.1</t>
        </is>
      </c>
      <c r="C5815" s="3" t="n">
        <v>0.06</v>
      </c>
      <c r="D5815" s="3" t="inlineStr">
        <is>
          <t>menit</t>
        </is>
      </c>
      <c r="E5815" s="3" t="inlineStr">
        <is>
          <t>muat dan bongkar dibantu 2P</t>
        </is>
      </c>
    </row>
    <row r="5816">
      <c r="A5816" s="3" t="inlineStr">
        <is>
          <t>- Menurunkan 1 Polybag dari bak truck ke penyimpanan di lokasi pekerjaan</t>
        </is>
      </c>
      <c r="B5816" s="3" t="inlineStr">
        <is>
          <t>T.2</t>
        </is>
      </c>
      <c r="C5816" s="3" t="n">
        <v>0.04</v>
      </c>
      <c r="D5816" s="3" t="inlineStr">
        <is>
          <t>menit</t>
        </is>
      </c>
    </row>
    <row r="5817">
      <c r="A5817" s="3" t="inlineStr">
        <is>
          <t>Ts2</t>
        </is>
      </c>
      <c r="B5817" s="3" t="n">
        <v>0.1</v>
      </c>
      <c r="C5817" s="3" t="inlineStr">
        <is>
          <t>menit</t>
        </is>
      </c>
    </row>
    <row r="5818">
      <c r="A5818" s="3" t="inlineStr">
        <is>
          <t>Kap. Tenaga Kerja / jam</t>
        </is>
      </c>
      <c r="B5818" s="3" t="inlineStr">
        <is>
          <t>=</t>
        </is>
      </c>
      <c r="C5818" s="3" t="inlineStr">
        <is>
          <t>(FaTK x 60) / (Ts2)</t>
        </is>
      </c>
      <c r="D5818" s="3" t="inlineStr">
        <is>
          <t>Q.2</t>
        </is>
      </c>
      <c r="E5818" s="4" t="n">
        <v>516</v>
      </c>
      <c r="F5818" s="3" t="inlineStr">
        <is>
          <t>Polybag / jam</t>
        </is>
      </c>
    </row>
    <row r="5819">
      <c r="A5819" s="3" t="inlineStr">
        <is>
          <t>- Pekerja</t>
        </is>
      </c>
      <c r="B5819" s="3" t="inlineStr">
        <is>
          <t>=</t>
        </is>
      </c>
      <c r="C5819" s="3" t="inlineStr">
        <is>
          <t>(Tk x P) : Q.2</t>
        </is>
      </c>
      <c r="D5819" s="3" t="inlineStr">
        <is>
          <t>L.01</t>
        </is>
      </c>
      <c r="E5819" s="4" t="n">
        <v>0.003875968992248062</v>
      </c>
      <c r="F5819" s="3" t="inlineStr">
        <is>
          <t>OJ</t>
        </is>
      </c>
    </row>
    <row r="5820">
      <c r="A5820" s="3" t="inlineStr">
        <is>
          <t>- Mandor</t>
        </is>
      </c>
      <c r="B5820" s="3" t="inlineStr">
        <is>
          <t>=</t>
        </is>
      </c>
      <c r="C5820" s="3" t="inlineStr">
        <is>
          <t>(Tk x M ) : Q.2</t>
        </is>
      </c>
      <c r="D5820" s="3" t="inlineStr">
        <is>
          <t>L.04</t>
        </is>
      </c>
      <c r="E5820" s="4" t="n">
        <v>0.0003875968992248062</v>
      </c>
      <c r="F5820" s="3" t="inlineStr">
        <is>
          <t>OJ</t>
        </is>
      </c>
    </row>
    <row r="5821">
      <c r="D5821" s="2" t="inlineStr">
        <is>
          <t>SUBTOTAL UPAH</t>
        </is>
      </c>
      <c r="F5821" s="16" t="n">
        <v>0</v>
      </c>
    </row>
    <row r="5822">
      <c r="D5822" s="2" t="inlineStr">
        <is>
          <t>SUBTOTAL BAHAN</t>
        </is>
      </c>
      <c r="F5822" s="16" t="n">
        <v>0</v>
      </c>
    </row>
    <row r="5823">
      <c r="D5823" s="2" t="inlineStr">
        <is>
          <t>SUBTOTAL ALAT</t>
        </is>
      </c>
      <c r="F5823" s="16" t="n">
        <v>0</v>
      </c>
    </row>
    <row r="5824">
      <c r="E5824" s="2" t="inlineStr">
        <is>
          <t>TOTAL HARGA SATUAN (Inc. Overhead)</t>
        </is>
      </c>
      <c r="F5824" s="17" t="n">
        <v>0</v>
      </c>
    </row>
    <row r="5826">
      <c r="A5826" s="14" t="inlineStr">
        <is>
          <t>KODE: 4.1.1.37 - Pengadaan dan Pengangkutan Semak di Polybag 5 Liter</t>
        </is>
      </c>
    </row>
    <row r="5827">
      <c r="A5827" s="10" t="inlineStr">
        <is>
          <t>No</t>
        </is>
      </c>
      <c r="B5827" s="10" t="inlineStr">
        <is>
          <t>Uraian Komponen</t>
        </is>
      </c>
      <c r="C5827" s="10" t="inlineStr">
        <is>
          <t>Satuan</t>
        </is>
      </c>
      <c r="D5827" s="10" t="inlineStr">
        <is>
          <t>Koef</t>
        </is>
      </c>
      <c r="E5827" s="10" t="inlineStr">
        <is>
          <t>Harga Satuan (Rp)</t>
        </is>
      </c>
      <c r="F5827" s="10" t="inlineStr">
        <is>
          <t>Jumlah Harga (Rp)</t>
        </is>
      </c>
    </row>
    <row r="5828">
      <c r="A5828" s="3" t="inlineStr">
        <is>
          <t>1</t>
        </is>
      </c>
      <c r="B5828" s="3" t="inlineStr">
        <is>
          <t>Pekerja</t>
        </is>
      </c>
      <c r="C5828" s="3" t="inlineStr">
        <is>
          <t>OJ</t>
        </is>
      </c>
      <c r="D5828" s="15" t="n">
        <v>0.003875968992248062</v>
      </c>
      <c r="E5828" s="4" t="n">
        <v>14285.71428571429</v>
      </c>
      <c r="F5828" s="4" t="n">
        <v>55.37098560354374</v>
      </c>
    </row>
    <row r="5829">
      <c r="A5829" s="3" t="inlineStr">
        <is>
          <t>2</t>
        </is>
      </c>
      <c r="B5829" s="3" t="inlineStr">
        <is>
          <t>Mandor</t>
        </is>
      </c>
      <c r="C5829" s="3" t="inlineStr">
        <is>
          <t>OJ</t>
        </is>
      </c>
      <c r="D5829" s="15" t="n">
        <v>0.0003875968992248062</v>
      </c>
      <c r="E5829" s="4" t="n">
        <v>28571.42857142857</v>
      </c>
      <c r="F5829" s="4" t="n">
        <v>11.07419712070875</v>
      </c>
    </row>
    <row r="5830">
      <c r="A5830" s="3" t="inlineStr">
        <is>
          <t>1</t>
        </is>
      </c>
      <c r="B5830" s="3" t="inlineStr">
        <is>
          <t>Semak Alamanda di Polybag 5 Liter</t>
        </is>
      </c>
      <c r="C5830" s="3" t="inlineStr">
        <is>
          <t>pohon</t>
        </is>
      </c>
      <c r="D5830" s="15" t="n">
        <v>1</v>
      </c>
      <c r="E5830" s="4" t="n">
        <v>10000</v>
      </c>
      <c r="F5830" s="4" t="n">
        <v>10000</v>
      </c>
    </row>
    <row r="5831">
      <c r="A5831" s="3" t="inlineStr">
        <is>
          <t>1</t>
        </is>
      </c>
      <c r="B5831" s="3" t="inlineStr">
        <is>
          <t>Pick Up L300</t>
        </is>
      </c>
      <c r="C5831" s="3" t="inlineStr">
        <is>
          <t>Jam</t>
        </is>
      </c>
      <c r="D5831" s="15" t="n">
        <v>0.01204819277108434</v>
      </c>
      <c r="E5831" s="4" t="n">
        <v>268539.71</v>
      </c>
      <c r="F5831" s="4" t="n">
        <v>3235.418192771085</v>
      </c>
    </row>
    <row r="5832">
      <c r="D5832" s="2" t="inlineStr">
        <is>
          <t>SUBTOTAL UPAH</t>
        </is>
      </c>
      <c r="F5832" s="16" t="n">
        <v>66.44518272425249</v>
      </c>
    </row>
    <row r="5833">
      <c r="D5833" s="2" t="inlineStr">
        <is>
          <t>SUBTOTAL BAHAN</t>
        </is>
      </c>
      <c r="F5833" s="16" t="n">
        <v>10000</v>
      </c>
    </row>
    <row r="5834">
      <c r="D5834" s="2" t="inlineStr">
        <is>
          <t>SUBTOTAL ALAT</t>
        </is>
      </c>
      <c r="F5834" s="16" t="n">
        <v>3235.418192771085</v>
      </c>
    </row>
    <row r="5835">
      <c r="E5835" s="2" t="inlineStr">
        <is>
          <t>TOTAL HARGA SATUAN (Inc. Overhead)</t>
        </is>
      </c>
      <c r="F5835" s="17" t="n">
        <v>14632</v>
      </c>
    </row>
    <row r="5837">
      <c r="A5837" s="14" t="inlineStr">
        <is>
          <t>KODE: 4.1.1.38 - Analisis Poduktivitas Truck Angkutan Semak di Polybag 11 Liter</t>
        </is>
      </c>
    </row>
    <row r="5838">
      <c r="A5838" s="10" t="inlineStr">
        <is>
          <t>No</t>
        </is>
      </c>
      <c r="B5838" s="10" t="inlineStr">
        <is>
          <t>Uraian Komponen</t>
        </is>
      </c>
      <c r="C5838" s="10" t="inlineStr">
        <is>
          <t>Satuan</t>
        </is>
      </c>
      <c r="D5838" s="10" t="inlineStr">
        <is>
          <t>Koef</t>
        </is>
      </c>
      <c r="E5838" s="10" t="inlineStr">
        <is>
          <t>Harga Satuan (Rp)</t>
        </is>
      </c>
      <c r="F5838" s="10" t="inlineStr">
        <is>
          <t>Jumlah Harga (Rp)</t>
        </is>
      </c>
    </row>
    <row r="5839">
      <c r="A5839" s="3" t="n">
        <v>1</v>
      </c>
      <c r="B5839" s="3" t="inlineStr">
        <is>
          <t>Jam Kerja efektif per hari</t>
        </is>
      </c>
      <c r="C5839" s="3" t="inlineStr">
        <is>
          <t>Tk</t>
        </is>
      </c>
      <c r="D5839" s="3" t="n">
        <v>7</v>
      </c>
      <c r="E5839" s="3" t="inlineStr">
        <is>
          <t>Jam</t>
        </is>
      </c>
    </row>
    <row r="5840">
      <c r="A5840" s="3" t="n">
        <v>2</v>
      </c>
      <c r="B5840" s="3" t="inlineStr">
        <is>
          <t>Pemuatan tanaman dilakukan secara manual</t>
        </is>
      </c>
      <c r="C5840" s="3" t="inlineStr">
        <is>
          <t>Fk</t>
        </is>
      </c>
      <c r="D5840" s="3" t="n">
        <v>1.25</v>
      </c>
      <c r="E5840" s="3" t="inlineStr">
        <is>
          <t>-</t>
        </is>
      </c>
      <c r="F5840" s="3" t="inlineStr">
        <is>
          <t>Tabel A.1</t>
        </is>
      </c>
    </row>
    <row r="5841">
      <c r="A5841" s="3" t="n">
        <v>3</v>
      </c>
      <c r="B5841" s="3" t="inlineStr">
        <is>
          <t>Jarak Angkut dari Nursey ke Lokasi pekerjaan</t>
        </is>
      </c>
      <c r="C5841" s="3" t="inlineStr">
        <is>
          <t>L</t>
        </is>
      </c>
      <c r="D5841" s="3" t="n">
        <v>100</v>
      </c>
      <c r="E5841" s="3" t="inlineStr">
        <is>
          <t>km</t>
        </is>
      </c>
    </row>
    <row r="5842">
      <c r="A5842" s="3" t="n">
        <v>4</v>
      </c>
      <c r="B5842" s="3" t="inlineStr">
        <is>
          <t>Angkut Truck 1-jalan dari tempat Nursey ke lokasi perkerjaan</t>
        </is>
      </c>
      <c r="C5842" s="3" t="inlineStr">
        <is>
          <t>Angkut saja</t>
        </is>
      </c>
    </row>
    <row r="5843">
      <c r="A5843" s="3" t="n">
        <v>3.1</v>
      </c>
      <c r="B5843" s="3" t="inlineStr">
        <is>
          <t>Pick Up L300</t>
        </is>
      </c>
      <c r="C5843" s="3" t="inlineStr">
        <is>
          <t>100 HP</t>
        </is>
      </c>
    </row>
    <row r="5844">
      <c r="A5844" s="3" t="inlineStr">
        <is>
          <t>Kapasitas Bak</t>
        </is>
      </c>
      <c r="B5844" s="3" t="inlineStr">
        <is>
          <t>V</t>
        </is>
      </c>
      <c r="C5844" s="3" t="n">
        <v>224</v>
      </c>
      <c r="D5844" s="3" t="inlineStr">
        <is>
          <t>Poly bag</t>
        </is>
      </c>
    </row>
    <row r="5845">
      <c r="A5845" s="3" t="inlineStr">
        <is>
          <t>Faktor Efisiensi Alat (Tabel 7)</t>
        </is>
      </c>
      <c r="B5845" s="3" t="inlineStr">
        <is>
          <t>Fa</t>
        </is>
      </c>
      <c r="C5845" s="3" t="n">
        <v>0.83</v>
      </c>
      <c r="D5845" s="3" t="inlineStr">
        <is>
          <t>-</t>
        </is>
      </c>
      <c r="E5845" s="3" t="inlineStr">
        <is>
          <t>kondisi kerja baik</t>
        </is>
      </c>
    </row>
    <row r="5846">
      <c r="A5846" s="3" t="inlineStr">
        <is>
          <t>Jarak Angkut</t>
        </is>
      </c>
      <c r="B5846" s="3" t="inlineStr">
        <is>
          <t>L</t>
        </is>
      </c>
      <c r="C5846" s="3" t="n">
        <v>100</v>
      </c>
      <c r="D5846" s="3" t="inlineStr">
        <is>
          <t>Km</t>
        </is>
      </c>
    </row>
    <row r="5847">
      <c r="A5847" s="3" t="inlineStr">
        <is>
          <t>Kecepatan ratarata bermuatan (lihat tabel 8)</t>
        </is>
      </c>
      <c r="B5847" s="3" t="inlineStr">
        <is>
          <t>v.1</t>
        </is>
      </c>
      <c r="C5847" s="3" t="n">
        <v>40</v>
      </c>
      <c r="D5847" s="3" t="inlineStr">
        <is>
          <t>Km/jam</t>
        </is>
      </c>
      <c r="E5847" s="3" t="inlineStr">
        <is>
          <t>(Kondisi menanjak atau jalan rusak )</t>
        </is>
      </c>
    </row>
    <row r="5848">
      <c r="A5848" s="3" t="inlineStr">
        <is>
          <t>Kecepatan ratarta kosong (lihat tabel 8)</t>
        </is>
      </c>
      <c r="B5848" s="3" t="inlineStr">
        <is>
          <t>v.2</t>
        </is>
      </c>
      <c r="C5848" s="3" t="n">
        <v>60</v>
      </c>
      <c r="D5848" s="3" t="inlineStr">
        <is>
          <t>Km/jam</t>
        </is>
      </c>
    </row>
    <row r="5849">
      <c r="A5849" s="3" t="inlineStr">
        <is>
          <t>Waktu tempuh isi</t>
        </is>
      </c>
      <c r="B5849" s="3" t="inlineStr">
        <is>
          <t>=</t>
        </is>
      </c>
      <c r="C5849" s="3" t="inlineStr">
        <is>
          <t>( L : v.1) x 60</t>
        </is>
      </c>
      <c r="D5849" s="3" t="inlineStr">
        <is>
          <t>T.1</t>
        </is>
      </c>
      <c r="E5849" s="4" t="n">
        <v>150</v>
      </c>
      <c r="F5849" s="3" t="inlineStr">
        <is>
          <t>menit</t>
        </is>
      </c>
    </row>
    <row r="5850">
      <c r="A5850" s="3" t="inlineStr">
        <is>
          <t>waktu muat &amp; bongkar</t>
        </is>
      </c>
      <c r="B5850" s="3" t="inlineStr">
        <is>
          <t>=</t>
        </is>
      </c>
      <c r="C5850" s="3" t="inlineStr">
        <is>
          <t>( L : v.1) x 60</t>
        </is>
      </c>
      <c r="D5850" s="3" t="inlineStr">
        <is>
          <t>T.2</t>
        </is>
      </c>
      <c r="E5850" s="4" t="n">
        <v>31.36</v>
      </c>
      <c r="F5850" s="3" t="inlineStr">
        <is>
          <t>menit</t>
        </is>
      </c>
    </row>
    <row r="5851">
      <c r="A5851" s="3" t="inlineStr">
        <is>
          <t>Ts1</t>
        </is>
      </c>
      <c r="B5851" s="3" t="n">
        <v>181.36</v>
      </c>
      <c r="C5851" s="3" t="inlineStr">
        <is>
          <t>menit</t>
        </is>
      </c>
    </row>
    <row r="5852">
      <c r="A5852" s="3" t="inlineStr">
        <is>
          <t>Kap. Produksi/jam</t>
        </is>
      </c>
      <c r="B5852" s="3" t="inlineStr">
        <is>
          <t>=</t>
        </is>
      </c>
      <c r="C5852" s="3" t="inlineStr">
        <is>
          <t>(V x Fa x 60)/(Ts1)</t>
        </is>
      </c>
      <c r="D5852" s="3" t="inlineStr">
        <is>
          <t>Q.1</t>
        </is>
      </c>
      <c r="E5852" s="4" t="n">
        <v>61.50860167622407</v>
      </c>
      <c r="F5852" s="3" t="inlineStr">
        <is>
          <t>Polybag / jam</t>
        </is>
      </c>
    </row>
    <row r="5853">
      <c r="A5853" s="3" t="inlineStr">
        <is>
          <t>Koefisien Alat/Polybag</t>
        </is>
      </c>
      <c r="B5853" s="3" t="inlineStr">
        <is>
          <t>=</t>
        </is>
      </c>
      <c r="C5853" s="3" t="inlineStr">
        <is>
          <t>1/Q.1</t>
        </is>
      </c>
      <c r="D5853" s="3" t="n">
        <v>0.01625788869764774</v>
      </c>
      <c r="E5853" s="3" t="inlineStr">
        <is>
          <t>Jam</t>
        </is>
      </c>
    </row>
    <row r="5854">
      <c r="A5854" s="3" t="inlineStr">
        <is>
          <t>Jarak da penyimpanan Nursey ke bak Truck</t>
        </is>
      </c>
      <c r="B5854" s="3" t="inlineStr">
        <is>
          <t>L2</t>
        </is>
      </c>
      <c r="C5854" s="3" t="n">
        <v>0.01</v>
      </c>
      <c r="D5854" s="3" t="inlineStr">
        <is>
          <t>Km</t>
        </is>
      </c>
    </row>
    <row r="5855">
      <c r="A5855" s="3" t="inlineStr">
        <is>
          <t>Polybag yang dimuat/turukan</t>
        </is>
      </c>
      <c r="B5855" s="3" t="inlineStr">
        <is>
          <t>V</t>
        </is>
      </c>
      <c r="C5855" s="3" t="n">
        <v>1</v>
      </c>
      <c r="D5855" s="3" t="inlineStr">
        <is>
          <t>Polybag</t>
        </is>
      </c>
    </row>
    <row r="5856">
      <c r="A5856" s="3" t="inlineStr">
        <is>
          <t>Faktor Efisiensi TK</t>
        </is>
      </c>
      <c r="B5856" s="3" t="inlineStr">
        <is>
          <t>FaTK</t>
        </is>
      </c>
      <c r="C5856" s="3" t="n">
        <v>0.86</v>
      </c>
      <c r="D5856" s="3" t="inlineStr">
        <is>
          <t>-</t>
        </is>
      </c>
      <c r="E5856" s="3" t="inlineStr">
        <is>
          <t>Kondisi kerja baik</t>
        </is>
      </c>
    </row>
    <row r="5857">
      <c r="A5857" s="3" t="inlineStr">
        <is>
          <t>- Memuat 1 Polybag dari tempat Nursey ke bak truck</t>
        </is>
      </c>
      <c r="B5857" s="3" t="inlineStr">
        <is>
          <t>T.1</t>
        </is>
      </c>
      <c r="C5857" s="3" t="n">
        <v>0.08500000000000001</v>
      </c>
      <c r="D5857" s="3" t="inlineStr">
        <is>
          <t>menit</t>
        </is>
      </c>
      <c r="E5857" s="3" t="inlineStr">
        <is>
          <t>muat dan bongkar dibantu 2P</t>
        </is>
      </c>
    </row>
    <row r="5858">
      <c r="A5858" s="3" t="inlineStr">
        <is>
          <t>- Menurunkan 1 Polybag dari bak truck ke penyimpanan di lokasi pekerjaan</t>
        </is>
      </c>
      <c r="B5858" s="3" t="inlineStr">
        <is>
          <t>T.2</t>
        </is>
      </c>
      <c r="C5858" s="3" t="n">
        <v>0.055</v>
      </c>
      <c r="D5858" s="3" t="inlineStr">
        <is>
          <t>menit</t>
        </is>
      </c>
    </row>
    <row r="5859">
      <c r="A5859" s="3" t="inlineStr">
        <is>
          <t>Ts2</t>
        </is>
      </c>
      <c r="B5859" s="3" t="n">
        <v>0.14</v>
      </c>
      <c r="C5859" s="3" t="inlineStr">
        <is>
          <t>menit</t>
        </is>
      </c>
    </row>
    <row r="5860">
      <c r="A5860" s="3" t="inlineStr">
        <is>
          <t>Kap. Tenaga Kerja / jam</t>
        </is>
      </c>
      <c r="B5860" s="3" t="inlineStr">
        <is>
          <t>=</t>
        </is>
      </c>
      <c r="C5860" s="3" t="inlineStr">
        <is>
          <t>(FaTK x 60) / (Ts2)</t>
        </is>
      </c>
      <c r="D5860" s="3" t="inlineStr">
        <is>
          <t>Q.2</t>
        </is>
      </c>
      <c r="E5860" s="4" t="n">
        <v>368.5714285714286</v>
      </c>
      <c r="F5860" s="3" t="inlineStr">
        <is>
          <t>Polybag / jam</t>
        </is>
      </c>
    </row>
    <row r="5861">
      <c r="A5861" s="3" t="inlineStr">
        <is>
          <t>- Pekerja</t>
        </is>
      </c>
      <c r="B5861" s="3" t="inlineStr">
        <is>
          <t>=</t>
        </is>
      </c>
      <c r="C5861" s="3" t="inlineStr">
        <is>
          <t>(Tk x P) : Q.2</t>
        </is>
      </c>
      <c r="D5861" s="3" t="inlineStr">
        <is>
          <t>L.01</t>
        </is>
      </c>
      <c r="E5861" s="4" t="n">
        <v>0.005426356589147287</v>
      </c>
      <c r="F5861" s="3" t="inlineStr">
        <is>
          <t>OJ</t>
        </is>
      </c>
    </row>
    <row r="5862">
      <c r="A5862" s="3" t="inlineStr">
        <is>
          <t>- Mandor</t>
        </is>
      </c>
      <c r="B5862" s="3" t="inlineStr">
        <is>
          <t>=</t>
        </is>
      </c>
      <c r="C5862" s="3" t="inlineStr">
        <is>
          <t>(Tk x M ) : Q.2</t>
        </is>
      </c>
      <c r="D5862" s="3" t="inlineStr">
        <is>
          <t>L.04</t>
        </is>
      </c>
      <c r="E5862" s="4" t="n">
        <v>0.0005426356589147286</v>
      </c>
      <c r="F5862" s="3" t="inlineStr">
        <is>
          <t>OJ</t>
        </is>
      </c>
    </row>
    <row r="5863">
      <c r="D5863" s="2" t="inlineStr">
        <is>
          <t>SUBTOTAL UPAH</t>
        </is>
      </c>
      <c r="F5863" s="16" t="n">
        <v>0</v>
      </c>
    </row>
    <row r="5864">
      <c r="D5864" s="2" t="inlineStr">
        <is>
          <t>SUBTOTAL BAHAN</t>
        </is>
      </c>
      <c r="F5864" s="16" t="n">
        <v>0</v>
      </c>
    </row>
    <row r="5865">
      <c r="D5865" s="2" t="inlineStr">
        <is>
          <t>SUBTOTAL ALAT</t>
        </is>
      </c>
      <c r="F5865" s="16" t="n">
        <v>0</v>
      </c>
    </row>
    <row r="5866">
      <c r="E5866" s="2" t="inlineStr">
        <is>
          <t>TOTAL HARGA SATUAN (Inc. Overhead)</t>
        </is>
      </c>
      <c r="F5866" s="17" t="n">
        <v>0</v>
      </c>
    </row>
    <row r="5868">
      <c r="A5868" s="14" t="inlineStr">
        <is>
          <t>KODE: 4.1.1.39 - Pengadaan dan Pengangkutan Semak di Polybag 11 Liter</t>
        </is>
      </c>
    </row>
    <row r="5869">
      <c r="A5869" s="10" t="inlineStr">
        <is>
          <t>No</t>
        </is>
      </c>
      <c r="B5869" s="10" t="inlineStr">
        <is>
          <t>Uraian Komponen</t>
        </is>
      </c>
      <c r="C5869" s="10" t="inlineStr">
        <is>
          <t>Satuan</t>
        </is>
      </c>
      <c r="D5869" s="10" t="inlineStr">
        <is>
          <t>Koef</t>
        </is>
      </c>
      <c r="E5869" s="10" t="inlineStr">
        <is>
          <t>Harga Satuan (Rp)</t>
        </is>
      </c>
      <c r="F5869" s="10" t="inlineStr">
        <is>
          <t>Jumlah Harga (Rp)</t>
        </is>
      </c>
    </row>
    <row r="5870">
      <c r="A5870" s="3" t="inlineStr">
        <is>
          <t>1</t>
        </is>
      </c>
      <c r="B5870" s="3" t="inlineStr">
        <is>
          <t>Pekerja</t>
        </is>
      </c>
      <c r="C5870" s="3" t="inlineStr">
        <is>
          <t>OJ</t>
        </is>
      </c>
      <c r="D5870" s="15" t="n">
        <v>0.005426356589147287</v>
      </c>
      <c r="E5870" s="4" t="n">
        <v>14285.71428571429</v>
      </c>
      <c r="F5870" s="4" t="n">
        <v>77.51937984496124</v>
      </c>
    </row>
    <row r="5871">
      <c r="A5871" s="3" t="inlineStr">
        <is>
          <t>2</t>
        </is>
      </c>
      <c r="B5871" s="3" t="inlineStr">
        <is>
          <t>Mandor</t>
        </is>
      </c>
      <c r="C5871" s="3" t="inlineStr">
        <is>
          <t>OJ</t>
        </is>
      </c>
      <c r="D5871" s="15" t="n">
        <v>0.0005426356589147286</v>
      </c>
      <c r="E5871" s="4" t="n">
        <v>28571.42857142857</v>
      </c>
      <c r="F5871" s="4" t="n">
        <v>15.50387596899225</v>
      </c>
    </row>
    <row r="5872">
      <c r="A5872" s="3" t="inlineStr">
        <is>
          <t>1</t>
        </is>
      </c>
      <c r="B5872" s="3" t="inlineStr">
        <is>
          <t>Semak Alamanda di Polybag 11 Liter</t>
        </is>
      </c>
      <c r="C5872" s="3" t="inlineStr">
        <is>
          <t>pohon</t>
        </is>
      </c>
      <c r="D5872" s="15" t="n">
        <v>1</v>
      </c>
      <c r="E5872" s="4" t="n">
        <v>15000</v>
      </c>
      <c r="F5872" s="4" t="n">
        <v>15000</v>
      </c>
    </row>
    <row r="5873">
      <c r="A5873" s="3" t="inlineStr">
        <is>
          <t>1</t>
        </is>
      </c>
      <c r="B5873" s="3" t="inlineStr">
        <is>
          <t>Pick Up L300</t>
        </is>
      </c>
      <c r="C5873" s="3" t="inlineStr">
        <is>
          <t>Jam</t>
        </is>
      </c>
      <c r="D5873" s="15" t="n">
        <v>0.01625788869764774</v>
      </c>
      <c r="E5873" s="4" t="n">
        <v>268539.71</v>
      </c>
      <c r="F5873" s="4" t="n">
        <v>4365.888716078601</v>
      </c>
    </row>
    <row r="5874">
      <c r="D5874" s="2" t="inlineStr">
        <is>
          <t>SUBTOTAL UPAH</t>
        </is>
      </c>
      <c r="F5874" s="16" t="n">
        <v>93.02325581395348</v>
      </c>
    </row>
    <row r="5875">
      <c r="D5875" s="2" t="inlineStr">
        <is>
          <t>SUBTOTAL BAHAN</t>
        </is>
      </c>
      <c r="F5875" s="16" t="n">
        <v>15000</v>
      </c>
    </row>
    <row r="5876">
      <c r="D5876" s="2" t="inlineStr">
        <is>
          <t>SUBTOTAL ALAT</t>
        </is>
      </c>
      <c r="F5876" s="16" t="n">
        <v>4365.888716078601</v>
      </c>
    </row>
    <row r="5877">
      <c r="E5877" s="2" t="inlineStr">
        <is>
          <t>TOTAL HARGA SATUAN (Inc. Overhead)</t>
        </is>
      </c>
      <c r="F5877" s="17" t="n">
        <v>21404</v>
      </c>
    </row>
    <row r="5879">
      <c r="A5879" s="14" t="inlineStr">
        <is>
          <t>KODE: 4.1.1.40 - Analisis Poduktivitas Truck Angkutan Semak di Polybag 20 Liter</t>
        </is>
      </c>
    </row>
    <row r="5880">
      <c r="A5880" s="10" t="inlineStr">
        <is>
          <t>No</t>
        </is>
      </c>
      <c r="B5880" s="10" t="inlineStr">
        <is>
          <t>Uraian Komponen</t>
        </is>
      </c>
      <c r="C5880" s="10" t="inlineStr">
        <is>
          <t>Satuan</t>
        </is>
      </c>
      <c r="D5880" s="10" t="inlineStr">
        <is>
          <t>Koef</t>
        </is>
      </c>
      <c r="E5880" s="10" t="inlineStr">
        <is>
          <t>Harga Satuan (Rp)</t>
        </is>
      </c>
      <c r="F5880" s="10" t="inlineStr">
        <is>
          <t>Jumlah Harga (Rp)</t>
        </is>
      </c>
    </row>
    <row r="5881">
      <c r="A5881" s="3" t="n">
        <v>1</v>
      </c>
      <c r="B5881" s="3" t="inlineStr">
        <is>
          <t>Jam Kerja efektif per hari</t>
        </is>
      </c>
      <c r="C5881" s="3" t="inlineStr">
        <is>
          <t>Tk</t>
        </is>
      </c>
      <c r="D5881" s="3" t="n">
        <v>7</v>
      </c>
      <c r="E5881" s="3" t="inlineStr">
        <is>
          <t>Jam</t>
        </is>
      </c>
    </row>
    <row r="5882">
      <c r="A5882" s="3" t="n">
        <v>2</v>
      </c>
      <c r="B5882" s="3" t="inlineStr">
        <is>
          <t>Pemuatan tanaman dilakukan secara manual</t>
        </is>
      </c>
      <c r="C5882" s="3" t="inlineStr">
        <is>
          <t>Fk</t>
        </is>
      </c>
      <c r="D5882" s="3" t="n">
        <v>1.25</v>
      </c>
      <c r="E5882" s="3" t="inlineStr">
        <is>
          <t>-</t>
        </is>
      </c>
      <c r="F5882" s="3" t="inlineStr">
        <is>
          <t>Tabel A.1</t>
        </is>
      </c>
    </row>
    <row r="5883">
      <c r="A5883" s="3" t="n">
        <v>3</v>
      </c>
      <c r="B5883" s="3" t="inlineStr">
        <is>
          <t>Jarak Angkut dari Nursey ke Lokasi pekerjaan</t>
        </is>
      </c>
      <c r="C5883" s="3" t="inlineStr">
        <is>
          <t>L</t>
        </is>
      </c>
      <c r="D5883" s="3" t="n">
        <v>100</v>
      </c>
      <c r="E5883" s="3" t="inlineStr">
        <is>
          <t>km</t>
        </is>
      </c>
    </row>
    <row r="5884">
      <c r="A5884" s="3" t="n">
        <v>4</v>
      </c>
      <c r="B5884" s="3" t="inlineStr">
        <is>
          <t>Angkut Truck 1-jalan dari tempat Nursey ke lokasi perkerjaan</t>
        </is>
      </c>
      <c r="C5884" s="3" t="inlineStr">
        <is>
          <t>Angkut saja</t>
        </is>
      </c>
    </row>
    <row r="5885">
      <c r="A5885" s="3" t="n">
        <v>3.1</v>
      </c>
      <c r="B5885" s="3" t="inlineStr">
        <is>
          <t>Pick Up L300</t>
        </is>
      </c>
      <c r="C5885" s="3" t="inlineStr">
        <is>
          <t>100 HP</t>
        </is>
      </c>
    </row>
    <row r="5886">
      <c r="A5886" s="3" t="inlineStr">
        <is>
          <t>Kapasitas Bak</t>
        </is>
      </c>
      <c r="B5886" s="3" t="inlineStr">
        <is>
          <t>V</t>
        </is>
      </c>
      <c r="C5886" s="3" t="n">
        <v>80</v>
      </c>
      <c r="D5886" s="3" t="inlineStr">
        <is>
          <t>Poly bag</t>
        </is>
      </c>
    </row>
    <row r="5887">
      <c r="A5887" s="3" t="inlineStr">
        <is>
          <t>Faktor Efisiensi Alat (Tabel 7)</t>
        </is>
      </c>
      <c r="B5887" s="3" t="inlineStr">
        <is>
          <t>Fa</t>
        </is>
      </c>
      <c r="C5887" s="3" t="n">
        <v>0.83</v>
      </c>
      <c r="D5887" s="3" t="inlineStr">
        <is>
          <t>-</t>
        </is>
      </c>
      <c r="E5887" s="3" t="inlineStr">
        <is>
          <t>kondisi kerja baik</t>
        </is>
      </c>
    </row>
    <row r="5888">
      <c r="A5888" s="3" t="inlineStr">
        <is>
          <t>Jarak Angkut</t>
        </is>
      </c>
      <c r="B5888" s="3" t="inlineStr">
        <is>
          <t>L</t>
        </is>
      </c>
      <c r="C5888" s="3" t="n">
        <v>100</v>
      </c>
      <c r="D5888" s="3" t="inlineStr">
        <is>
          <t>Km</t>
        </is>
      </c>
    </row>
    <row r="5889">
      <c r="A5889" s="3" t="inlineStr">
        <is>
          <t>Kecepatan ratarata bermuatan (lihat tabel 8)</t>
        </is>
      </c>
      <c r="B5889" s="3" t="inlineStr">
        <is>
          <t>v.1</t>
        </is>
      </c>
      <c r="C5889" s="3" t="n">
        <v>40</v>
      </c>
      <c r="D5889" s="3" t="inlineStr">
        <is>
          <t>Km/jam</t>
        </is>
      </c>
      <c r="E5889" s="3" t="inlineStr">
        <is>
          <t>(Kondisi menanjak atau jalan rusak )</t>
        </is>
      </c>
    </row>
    <row r="5890">
      <c r="A5890" s="3" t="inlineStr">
        <is>
          <t>Kecepatan ratarta kosong (lihat tabel 8)</t>
        </is>
      </c>
      <c r="B5890" s="3" t="inlineStr">
        <is>
          <t>v.2</t>
        </is>
      </c>
      <c r="C5890" s="3" t="n">
        <v>60</v>
      </c>
      <c r="D5890" s="3" t="inlineStr">
        <is>
          <t>Km/jam</t>
        </is>
      </c>
    </row>
    <row r="5891">
      <c r="A5891" s="3" t="inlineStr">
        <is>
          <t>Waktu tempuh isi</t>
        </is>
      </c>
      <c r="B5891" s="3" t="inlineStr">
        <is>
          <t>=</t>
        </is>
      </c>
      <c r="C5891" s="3" t="inlineStr">
        <is>
          <t>( L : v.1) x 60</t>
        </is>
      </c>
      <c r="D5891" s="3" t="inlineStr">
        <is>
          <t>T.1</t>
        </is>
      </c>
      <c r="E5891" s="4" t="n">
        <v>150</v>
      </c>
      <c r="F5891" s="3" t="inlineStr">
        <is>
          <t>menit</t>
        </is>
      </c>
    </row>
    <row r="5892">
      <c r="A5892" s="3" t="inlineStr">
        <is>
          <t>waktu muat &amp; bongkar</t>
        </is>
      </c>
      <c r="B5892" s="3" t="inlineStr">
        <is>
          <t>=</t>
        </is>
      </c>
      <c r="C5892" s="3" t="inlineStr">
        <is>
          <t>( L : v.1) x 60</t>
        </is>
      </c>
      <c r="D5892" s="3" t="inlineStr">
        <is>
          <t>T.2</t>
        </is>
      </c>
      <c r="E5892" s="4" t="n">
        <v>35.29</v>
      </c>
      <c r="F5892" s="3" t="inlineStr">
        <is>
          <t>menit</t>
        </is>
      </c>
    </row>
    <row r="5893">
      <c r="A5893" s="3" t="inlineStr">
        <is>
          <t>Ts1</t>
        </is>
      </c>
      <c r="B5893" s="3" t="n">
        <v>185.29</v>
      </c>
      <c r="C5893" s="3" t="inlineStr">
        <is>
          <t>menit</t>
        </is>
      </c>
    </row>
    <row r="5894">
      <c r="A5894" s="3" t="inlineStr">
        <is>
          <t>Kap. Produksi/jam</t>
        </is>
      </c>
      <c r="B5894" s="3" t="inlineStr">
        <is>
          <t>=</t>
        </is>
      </c>
      <c r="C5894" s="3" t="inlineStr">
        <is>
          <t>(V x Fa x 60)/(Ts1)</t>
        </is>
      </c>
      <c r="D5894" s="3" t="inlineStr">
        <is>
          <t>Q.1</t>
        </is>
      </c>
      <c r="E5894" s="4" t="n">
        <v>21.50143019051217</v>
      </c>
      <c r="F5894" s="3" t="inlineStr">
        <is>
          <t>Polybag / jam</t>
        </is>
      </c>
    </row>
    <row r="5895">
      <c r="A5895" s="3" t="inlineStr">
        <is>
          <t>Koefisien Alat/Polybag</t>
        </is>
      </c>
      <c r="B5895" s="3" t="inlineStr">
        <is>
          <t>=</t>
        </is>
      </c>
      <c r="C5895" s="3" t="inlineStr">
        <is>
          <t>1/Q.1</t>
        </is>
      </c>
      <c r="D5895" s="3" t="n">
        <v>0.04650853413654619</v>
      </c>
      <c r="E5895" s="3" t="inlineStr">
        <is>
          <t>Jam</t>
        </is>
      </c>
    </row>
    <row r="5896">
      <c r="A5896" s="3" t="inlineStr">
        <is>
          <t>Jarak da penyimpanan Nursey ke bak Truck</t>
        </is>
      </c>
      <c r="B5896" s="3" t="inlineStr">
        <is>
          <t>L2</t>
        </is>
      </c>
      <c r="C5896" s="3" t="n">
        <v>0.01</v>
      </c>
      <c r="D5896" s="3" t="inlineStr">
        <is>
          <t>Km</t>
        </is>
      </c>
    </row>
    <row r="5897">
      <c r="A5897" s="3" t="inlineStr">
        <is>
          <t>Polybag yang dimuat/turukan</t>
        </is>
      </c>
      <c r="B5897" s="3" t="inlineStr">
        <is>
          <t>V</t>
        </is>
      </c>
      <c r="C5897" s="3" t="n">
        <v>1</v>
      </c>
      <c r="D5897" s="3" t="inlineStr">
        <is>
          <t>Polybag</t>
        </is>
      </c>
    </row>
    <row r="5898">
      <c r="A5898" s="3" t="inlineStr">
        <is>
          <t>Faktor Efisiensi TK</t>
        </is>
      </c>
      <c r="B5898" s="3" t="inlineStr">
        <is>
          <t>FaTK</t>
        </is>
      </c>
      <c r="C5898" s="3" t="n">
        <v>0.86</v>
      </c>
      <c r="D5898" s="3" t="inlineStr">
        <is>
          <t>-</t>
        </is>
      </c>
      <c r="E5898" s="3" t="inlineStr">
        <is>
          <t>Kondisi kerja baik</t>
        </is>
      </c>
    </row>
    <row r="5899">
      <c r="A5899" s="3" t="inlineStr">
        <is>
          <t>- Memuat 1 Polybag dari tempat Nursey ke bak truck</t>
        </is>
      </c>
      <c r="B5899" s="3" t="inlineStr">
        <is>
          <t>T.1</t>
        </is>
      </c>
      <c r="C5899" s="3" t="n">
        <v>0.25</v>
      </c>
      <c r="D5899" s="3" t="inlineStr">
        <is>
          <t>menit</t>
        </is>
      </c>
      <c r="E5899" s="3" t="inlineStr">
        <is>
          <t>muat dan bongkar dibantu 2P</t>
        </is>
      </c>
    </row>
    <row r="5900">
      <c r="A5900" s="3" t="inlineStr">
        <is>
          <t>- Menurunkan 1 Polybag dari bak truck ke penyimpanan di lokasi pekerjaan</t>
        </is>
      </c>
      <c r="B5900" s="3" t="inlineStr">
        <is>
          <t>T.2</t>
        </is>
      </c>
      <c r="C5900" s="3" t="n">
        <v>0.191</v>
      </c>
      <c r="D5900" s="3" t="inlineStr">
        <is>
          <t>menit</t>
        </is>
      </c>
    </row>
    <row r="5901">
      <c r="A5901" s="3" t="inlineStr">
        <is>
          <t>Ts2</t>
        </is>
      </c>
      <c r="B5901" s="3" t="n">
        <v>0.441</v>
      </c>
      <c r="C5901" s="3" t="inlineStr">
        <is>
          <t>menit</t>
        </is>
      </c>
    </row>
    <row r="5902">
      <c r="A5902" s="3" t="inlineStr">
        <is>
          <t>Kap. Tenaga Kerja / jam</t>
        </is>
      </c>
      <c r="B5902" s="3" t="inlineStr">
        <is>
          <t>=</t>
        </is>
      </c>
      <c r="C5902" s="3" t="inlineStr">
        <is>
          <t>(FaTK x 60) / (Ts2)</t>
        </is>
      </c>
      <c r="D5902" s="3" t="inlineStr">
        <is>
          <t>Q.2</t>
        </is>
      </c>
      <c r="E5902" s="4" t="n">
        <v>117.0068027210884</v>
      </c>
      <c r="F5902" s="3" t="inlineStr">
        <is>
          <t>Polybag / jam</t>
        </is>
      </c>
    </row>
    <row r="5903">
      <c r="A5903" s="3" t="inlineStr">
        <is>
          <t>- Pekerja</t>
        </is>
      </c>
      <c r="B5903" s="3" t="inlineStr">
        <is>
          <t>=</t>
        </is>
      </c>
      <c r="C5903" s="3" t="inlineStr">
        <is>
          <t>(Tk x P) : Q.2</t>
        </is>
      </c>
      <c r="D5903" s="3" t="inlineStr">
        <is>
          <t>L.01</t>
        </is>
      </c>
      <c r="E5903" s="4" t="n">
        <v>0.01709302325581395</v>
      </c>
      <c r="F5903" s="3" t="inlineStr">
        <is>
          <t>OJ</t>
        </is>
      </c>
    </row>
    <row r="5904">
      <c r="A5904" s="3" t="inlineStr">
        <is>
          <t>- Mandor</t>
        </is>
      </c>
      <c r="B5904" s="3" t="inlineStr">
        <is>
          <t>=</t>
        </is>
      </c>
      <c r="C5904" s="3" t="inlineStr">
        <is>
          <t>(Tk x M ) : Q.2</t>
        </is>
      </c>
      <c r="D5904" s="3" t="inlineStr">
        <is>
          <t>L.04</t>
        </is>
      </c>
      <c r="E5904" s="4" t="n">
        <v>0.001709302325581395</v>
      </c>
      <c r="F5904" s="3" t="inlineStr">
        <is>
          <t>OJ</t>
        </is>
      </c>
    </row>
    <row r="5905">
      <c r="D5905" s="2" t="inlineStr">
        <is>
          <t>SUBTOTAL UPAH</t>
        </is>
      </c>
      <c r="F5905" s="16" t="n">
        <v>0</v>
      </c>
    </row>
    <row r="5906">
      <c r="D5906" s="2" t="inlineStr">
        <is>
          <t>SUBTOTAL BAHAN</t>
        </is>
      </c>
      <c r="F5906" s="16" t="n">
        <v>0</v>
      </c>
    </row>
    <row r="5907">
      <c r="D5907" s="2" t="inlineStr">
        <is>
          <t>SUBTOTAL ALAT</t>
        </is>
      </c>
      <c r="F5907" s="16" t="n">
        <v>0</v>
      </c>
    </row>
    <row r="5908">
      <c r="E5908" s="2" t="inlineStr">
        <is>
          <t>TOTAL HARGA SATUAN (Inc. Overhead)</t>
        </is>
      </c>
      <c r="F5908" s="17" t="n">
        <v>0</v>
      </c>
    </row>
    <row r="5910">
      <c r="A5910" s="14" t="inlineStr">
        <is>
          <t>KODE: 4.1.1.41 - Pengadaan dan Pengangkutan Semak di Polybag 20 Liter</t>
        </is>
      </c>
    </row>
    <row r="5911">
      <c r="A5911" s="10" t="inlineStr">
        <is>
          <t>No</t>
        </is>
      </c>
      <c r="B5911" s="10" t="inlineStr">
        <is>
          <t>Uraian Komponen</t>
        </is>
      </c>
      <c r="C5911" s="10" t="inlineStr">
        <is>
          <t>Satuan</t>
        </is>
      </c>
      <c r="D5911" s="10" t="inlineStr">
        <is>
          <t>Koef</t>
        </is>
      </c>
      <c r="E5911" s="10" t="inlineStr">
        <is>
          <t>Harga Satuan (Rp)</t>
        </is>
      </c>
      <c r="F5911" s="10" t="inlineStr">
        <is>
          <t>Jumlah Harga (Rp)</t>
        </is>
      </c>
    </row>
    <row r="5912">
      <c r="A5912" s="3" t="inlineStr">
        <is>
          <t>1</t>
        </is>
      </c>
      <c r="B5912" s="3" t="inlineStr">
        <is>
          <t>Pekerja</t>
        </is>
      </c>
      <c r="C5912" s="3" t="inlineStr">
        <is>
          <t>OJ</t>
        </is>
      </c>
      <c r="D5912" s="15" t="n">
        <v>0.01709302325581395</v>
      </c>
      <c r="E5912" s="4" t="n">
        <v>14285.71428571429</v>
      </c>
      <c r="F5912" s="4" t="n">
        <v>244.1860465116279</v>
      </c>
    </row>
    <row r="5913">
      <c r="A5913" s="3" t="inlineStr">
        <is>
          <t>2</t>
        </is>
      </c>
      <c r="B5913" s="3" t="inlineStr">
        <is>
          <t>Mandor</t>
        </is>
      </c>
      <c r="C5913" s="3" t="inlineStr">
        <is>
          <t>OJ</t>
        </is>
      </c>
      <c r="D5913" s="15" t="n">
        <v>0.001709302325581395</v>
      </c>
      <c r="E5913" s="4" t="n">
        <v>28571.42857142857</v>
      </c>
      <c r="F5913" s="4" t="n">
        <v>48.83720930232558</v>
      </c>
    </row>
    <row r="5914">
      <c r="A5914" s="3" t="inlineStr">
        <is>
          <t>1</t>
        </is>
      </c>
      <c r="B5914" s="3" t="inlineStr">
        <is>
          <t>Semak Alamanda di Polybag 20 Liter</t>
        </is>
      </c>
      <c r="C5914" s="3" t="inlineStr">
        <is>
          <t>pohon</t>
        </is>
      </c>
      <c r="D5914" s="15" t="n">
        <v>1</v>
      </c>
      <c r="E5914" s="4" t="n">
        <v>20000</v>
      </c>
      <c r="F5914" s="4" t="n">
        <v>20000</v>
      </c>
    </row>
    <row r="5915">
      <c r="A5915" s="3" t="inlineStr">
        <is>
          <t>1</t>
        </is>
      </c>
      <c r="B5915" s="3" t="inlineStr">
        <is>
          <t>Pick Up L300</t>
        </is>
      </c>
      <c r="C5915" s="3" t="inlineStr">
        <is>
          <t>Jam</t>
        </is>
      </c>
      <c r="D5915" s="15" t="n">
        <v>0.04650853413654619</v>
      </c>
      <c r="E5915" s="4" t="n">
        <v>268539.71</v>
      </c>
      <c r="F5915" s="4" t="n">
        <v>12489.38826955322</v>
      </c>
    </row>
    <row r="5916">
      <c r="D5916" s="2" t="inlineStr">
        <is>
          <t>SUBTOTAL UPAH</t>
        </is>
      </c>
      <c r="F5916" s="16" t="n">
        <v>293.0232558139535</v>
      </c>
    </row>
    <row r="5917">
      <c r="D5917" s="2" t="inlineStr">
        <is>
          <t>SUBTOTAL BAHAN</t>
        </is>
      </c>
      <c r="F5917" s="16" t="n">
        <v>20000</v>
      </c>
    </row>
    <row r="5918">
      <c r="D5918" s="2" t="inlineStr">
        <is>
          <t>SUBTOTAL ALAT</t>
        </is>
      </c>
      <c r="F5918" s="16" t="n">
        <v>12489.38826955322</v>
      </c>
    </row>
    <row r="5919">
      <c r="E5919" s="2" t="inlineStr">
        <is>
          <t>TOTAL HARGA SATUAN (Inc. Overhead)</t>
        </is>
      </c>
      <c r="F5919" s="17" t="n">
        <v>36060</v>
      </c>
    </row>
    <row r="5921">
      <c r="A5921" s="14" t="inlineStr">
        <is>
          <t>KODE: 4.1.1.42 - Analisis Poduktivitas Truck Angkutan Penutup Tanah</t>
        </is>
      </c>
    </row>
    <row r="5922">
      <c r="A5922" s="10" t="inlineStr">
        <is>
          <t>No</t>
        </is>
      </c>
      <c r="B5922" s="10" t="inlineStr">
        <is>
          <t>Uraian Komponen</t>
        </is>
      </c>
      <c r="C5922" s="10" t="inlineStr">
        <is>
          <t>Satuan</t>
        </is>
      </c>
      <c r="D5922" s="10" t="inlineStr">
        <is>
          <t>Koef</t>
        </is>
      </c>
      <c r="E5922" s="10" t="inlineStr">
        <is>
          <t>Harga Satuan (Rp)</t>
        </is>
      </c>
      <c r="F5922" s="10" t="inlineStr">
        <is>
          <t>Jumlah Harga (Rp)</t>
        </is>
      </c>
    </row>
    <row r="5923">
      <c r="A5923" s="3" t="n">
        <v>1</v>
      </c>
      <c r="B5923" s="3" t="inlineStr">
        <is>
          <t>Jam Kerja efektif per hari</t>
        </is>
      </c>
      <c r="C5923" s="3" t="inlineStr">
        <is>
          <t>Tk</t>
        </is>
      </c>
      <c r="D5923" s="3" t="n">
        <v>7</v>
      </c>
      <c r="E5923" s="3" t="inlineStr">
        <is>
          <t>Jam</t>
        </is>
      </c>
    </row>
    <row r="5924">
      <c r="A5924" s="3" t="n">
        <v>2</v>
      </c>
      <c r="B5924" s="3" t="inlineStr">
        <is>
          <t>Pemuatan tanaman dilakukan secara manual</t>
        </is>
      </c>
      <c r="C5924" s="3" t="inlineStr">
        <is>
          <t>Fk</t>
        </is>
      </c>
      <c r="D5924" s="3" t="n">
        <v>1.25</v>
      </c>
      <c r="E5924" s="3" t="inlineStr">
        <is>
          <t>-</t>
        </is>
      </c>
      <c r="F5924" s="3" t="inlineStr">
        <is>
          <t>Tabel A.1</t>
        </is>
      </c>
    </row>
    <row r="5925">
      <c r="A5925" s="3" t="n">
        <v>3</v>
      </c>
      <c r="B5925" s="3" t="inlineStr">
        <is>
          <t>Jarak Angkut dari Nursey ke Lokasi pekerjaan</t>
        </is>
      </c>
      <c r="C5925" s="3" t="inlineStr">
        <is>
          <t>L</t>
        </is>
      </c>
      <c r="D5925" s="3" t="n">
        <v>100</v>
      </c>
      <c r="E5925" s="3" t="inlineStr">
        <is>
          <t>km</t>
        </is>
      </c>
    </row>
    <row r="5926">
      <c r="A5926" s="3" t="n">
        <v>4</v>
      </c>
      <c r="B5926" s="3" t="inlineStr">
        <is>
          <t>Angkut Truck 1-jalan dari tempat Nursey ke lokasi perkerjaan</t>
        </is>
      </c>
      <c r="C5926" s="3" t="inlineStr">
        <is>
          <t>Angkut saja</t>
        </is>
      </c>
    </row>
    <row r="5927">
      <c r="A5927" s="3" t="n">
        <v>3.1</v>
      </c>
      <c r="B5927" s="3" t="inlineStr">
        <is>
          <t>Pick Up L300</t>
        </is>
      </c>
      <c r="C5927" s="3" t="inlineStr">
        <is>
          <t>100 HP</t>
        </is>
      </c>
    </row>
    <row r="5928">
      <c r="A5928" s="3" t="inlineStr">
        <is>
          <t>Kapasitas Bak</t>
        </is>
      </c>
      <c r="B5928" s="3" t="inlineStr">
        <is>
          <t>V</t>
        </is>
      </c>
      <c r="C5928" s="3" t="n">
        <v>200</v>
      </c>
      <c r="D5928" s="3" t="inlineStr">
        <is>
          <t>m2</t>
        </is>
      </c>
    </row>
    <row r="5929">
      <c r="A5929" s="3" t="inlineStr">
        <is>
          <t>Faktor Efisiensi Alat (Tabel 7)</t>
        </is>
      </c>
      <c r="B5929" s="3" t="inlineStr">
        <is>
          <t>Fa</t>
        </is>
      </c>
      <c r="C5929" s="3" t="n">
        <v>0.83</v>
      </c>
      <c r="D5929" s="3" t="inlineStr">
        <is>
          <t>-</t>
        </is>
      </c>
      <c r="E5929" s="3" t="inlineStr">
        <is>
          <t>kondisi kerja baik</t>
        </is>
      </c>
    </row>
    <row r="5930">
      <c r="A5930" s="3" t="inlineStr">
        <is>
          <t>Jarak Angkut</t>
        </is>
      </c>
      <c r="B5930" s="3" t="inlineStr">
        <is>
          <t>L</t>
        </is>
      </c>
      <c r="C5930" s="3" t="n">
        <v>100</v>
      </c>
      <c r="D5930" s="3" t="inlineStr">
        <is>
          <t>Km</t>
        </is>
      </c>
    </row>
    <row r="5931">
      <c r="A5931" s="3" t="inlineStr">
        <is>
          <t>Kecepatan ratarata bermuatan (lihat tabel 8)</t>
        </is>
      </c>
      <c r="B5931" s="3" t="inlineStr">
        <is>
          <t>v.1</t>
        </is>
      </c>
      <c r="C5931" s="3" t="n">
        <v>40</v>
      </c>
      <c r="D5931" s="3" t="inlineStr">
        <is>
          <t>Km/jam</t>
        </is>
      </c>
      <c r="E5931" s="3" t="inlineStr">
        <is>
          <t>(Kondisi menanjak atau jalan rusak )</t>
        </is>
      </c>
    </row>
    <row r="5932">
      <c r="A5932" s="3" t="inlineStr">
        <is>
          <t>Kecepatan ratarta kosong (lihat tabel 8)</t>
        </is>
      </c>
      <c r="B5932" s="3" t="inlineStr">
        <is>
          <t>v.2</t>
        </is>
      </c>
      <c r="C5932" s="3" t="n">
        <v>60</v>
      </c>
      <c r="D5932" s="3" t="inlineStr">
        <is>
          <t>Km/jam</t>
        </is>
      </c>
    </row>
    <row r="5933">
      <c r="A5933" s="3" t="inlineStr">
        <is>
          <t>Waktu tempuh isi</t>
        </is>
      </c>
      <c r="B5933" s="3" t="inlineStr">
        <is>
          <t>=</t>
        </is>
      </c>
      <c r="C5933" s="3" t="inlineStr">
        <is>
          <t>( L : v.1) x 60</t>
        </is>
      </c>
      <c r="D5933" s="3" t="inlineStr">
        <is>
          <t>T.1</t>
        </is>
      </c>
      <c r="E5933" s="4" t="n">
        <v>150</v>
      </c>
      <c r="F5933" s="3" t="inlineStr">
        <is>
          <t>menit</t>
        </is>
      </c>
    </row>
    <row r="5934">
      <c r="A5934" s="3" t="inlineStr">
        <is>
          <t>waktu muat &amp; bongkar</t>
        </is>
      </c>
      <c r="B5934" s="3" t="inlineStr">
        <is>
          <t>=</t>
        </is>
      </c>
      <c r="C5934" s="3" t="inlineStr">
        <is>
          <t>( L : v.1) x 60</t>
        </is>
      </c>
      <c r="D5934" s="3" t="inlineStr">
        <is>
          <t>T.2</t>
        </is>
      </c>
      <c r="E5934" s="4" t="n">
        <v>48.4</v>
      </c>
      <c r="F5934" s="3" t="inlineStr">
        <is>
          <t>menit</t>
        </is>
      </c>
    </row>
    <row r="5935">
      <c r="A5935" s="3" t="inlineStr">
        <is>
          <t>Ts1</t>
        </is>
      </c>
      <c r="B5935" s="3" t="n">
        <v>198.4</v>
      </c>
      <c r="C5935" s="3" t="inlineStr">
        <is>
          <t>menit</t>
        </is>
      </c>
    </row>
    <row r="5936">
      <c r="A5936" s="3" t="inlineStr">
        <is>
          <t>Kap. Produksi/jam</t>
        </is>
      </c>
      <c r="B5936" s="3" t="inlineStr">
        <is>
          <t>=</t>
        </is>
      </c>
      <c r="C5936" s="3" t="inlineStr">
        <is>
          <t>(V x Fa x 60)/(Ts1)</t>
        </is>
      </c>
      <c r="D5936" s="3" t="inlineStr">
        <is>
          <t>Q.1</t>
        </is>
      </c>
      <c r="E5936" s="4" t="n">
        <v>50.20161290322581</v>
      </c>
      <c r="F5936" s="3" t="inlineStr">
        <is>
          <t>Polybag / jam</t>
        </is>
      </c>
    </row>
    <row r="5937">
      <c r="A5937" s="3" t="inlineStr">
        <is>
          <t>Koefisien Alat/m2</t>
        </is>
      </c>
      <c r="B5937" s="3" t="inlineStr">
        <is>
          <t>=</t>
        </is>
      </c>
      <c r="C5937" s="3" t="inlineStr">
        <is>
          <t>1/Q.1</t>
        </is>
      </c>
      <c r="D5937" s="3" t="n">
        <v>0.01991967871485944</v>
      </c>
      <c r="E5937" s="3" t="inlineStr">
        <is>
          <t>Jam</t>
        </is>
      </c>
    </row>
    <row r="5938">
      <c r="A5938" s="3" t="inlineStr">
        <is>
          <t>Jarak da penyimpanan Nursey ke bak Truck</t>
        </is>
      </c>
      <c r="B5938" s="3" t="inlineStr">
        <is>
          <t>L2</t>
        </is>
      </c>
      <c r="C5938" s="3" t="n">
        <v>0.01</v>
      </c>
      <c r="D5938" s="3" t="inlineStr">
        <is>
          <t>Km</t>
        </is>
      </c>
    </row>
    <row r="5939">
      <c r="A5939" s="3" t="inlineStr">
        <is>
          <t>Penutup Tanah yang dimuat/turunkan</t>
        </is>
      </c>
      <c r="B5939" s="3" t="inlineStr">
        <is>
          <t>V</t>
        </is>
      </c>
      <c r="C5939" s="3" t="n">
        <v>1</v>
      </c>
      <c r="D5939" s="3" t="inlineStr">
        <is>
          <t>Polybag</t>
        </is>
      </c>
    </row>
    <row r="5940">
      <c r="A5940" s="3" t="inlineStr">
        <is>
          <t>Faktor Efisiensi TK</t>
        </is>
      </c>
      <c r="B5940" s="3" t="inlineStr">
        <is>
          <t>FaTK</t>
        </is>
      </c>
      <c r="C5940" s="3" t="n">
        <v>0.86</v>
      </c>
      <c r="D5940" s="3" t="inlineStr">
        <is>
          <t>-</t>
        </is>
      </c>
      <c r="E5940" s="3" t="inlineStr">
        <is>
          <t>Kondisi kerja baik</t>
        </is>
      </c>
    </row>
    <row r="5941">
      <c r="A5941" s="3" t="inlineStr">
        <is>
          <t>- Memuat 1 m2 Penutup Tanah dari tempat Nursey ke bak Truck</t>
        </is>
      </c>
      <c r="B5941" s="3" t="inlineStr">
        <is>
          <t>T.1</t>
        </is>
      </c>
      <c r="C5941" s="3" t="n">
        <v>0.142</v>
      </c>
      <c r="D5941" s="3" t="inlineStr">
        <is>
          <t>menit</t>
        </is>
      </c>
      <c r="E5941" s="3" t="inlineStr">
        <is>
          <t>muat dan bongkar dibantu 2P</t>
        </is>
      </c>
    </row>
    <row r="5942">
      <c r="A5942" s="3" t="inlineStr">
        <is>
          <t>-Menurunkan 1 m2 Penutup Tanah dari bak truck ke penyimpnan di lokasi pekerjaan</t>
        </is>
      </c>
      <c r="B5942" s="3" t="inlineStr">
        <is>
          <t>T.2</t>
        </is>
      </c>
      <c r="C5942" s="3" t="n">
        <v>0.101</v>
      </c>
      <c r="D5942" s="3" t="inlineStr">
        <is>
          <t>menit</t>
        </is>
      </c>
    </row>
    <row r="5943">
      <c r="A5943" s="3" t="inlineStr">
        <is>
          <t>Ts2</t>
        </is>
      </c>
      <c r="B5943" s="3" t="n">
        <v>0.243</v>
      </c>
      <c r="C5943" s="3" t="inlineStr">
        <is>
          <t>menit</t>
        </is>
      </c>
    </row>
    <row r="5944">
      <c r="A5944" s="3" t="inlineStr">
        <is>
          <t>Kap. Tenaga Kerja / jam</t>
        </is>
      </c>
      <c r="B5944" s="3" t="inlineStr">
        <is>
          <t>=</t>
        </is>
      </c>
      <c r="C5944" s="3" t="inlineStr">
        <is>
          <t>(FaTK x 60) / (Ts2)</t>
        </is>
      </c>
      <c r="D5944" s="3" t="inlineStr">
        <is>
          <t>Q.2</t>
        </is>
      </c>
      <c r="E5944" s="4" t="n">
        <v>212.3456790123457</v>
      </c>
      <c r="F5944" s="3" t="inlineStr">
        <is>
          <t>Polybag / jam</t>
        </is>
      </c>
    </row>
    <row r="5945">
      <c r="A5945" s="3" t="inlineStr">
        <is>
          <t>- Pekerja</t>
        </is>
      </c>
      <c r="B5945" s="3" t="inlineStr">
        <is>
          <t>=</t>
        </is>
      </c>
      <c r="C5945" s="3" t="inlineStr">
        <is>
          <t>(Tk x P) : Q.2</t>
        </is>
      </c>
      <c r="D5945" s="3" t="inlineStr">
        <is>
          <t>L.01</t>
        </is>
      </c>
      <c r="E5945" s="4" t="n">
        <v>0.009418604651162789</v>
      </c>
      <c r="F5945" s="3" t="inlineStr">
        <is>
          <t>OJ</t>
        </is>
      </c>
    </row>
    <row r="5946">
      <c r="A5946" s="3" t="inlineStr">
        <is>
          <t>- Mandor</t>
        </is>
      </c>
      <c r="B5946" s="3" t="inlineStr">
        <is>
          <t>=</t>
        </is>
      </c>
      <c r="C5946" s="3" t="inlineStr">
        <is>
          <t>(Tk x M ) : Q.2</t>
        </is>
      </c>
      <c r="D5946" s="3" t="inlineStr">
        <is>
          <t>L.04</t>
        </is>
      </c>
      <c r="E5946" s="4" t="n">
        <v>0.0009418604651162789</v>
      </c>
      <c r="F5946" s="3" t="inlineStr">
        <is>
          <t>OJ</t>
        </is>
      </c>
    </row>
    <row r="5947">
      <c r="D5947" s="2" t="inlineStr">
        <is>
          <t>SUBTOTAL UPAH</t>
        </is>
      </c>
      <c r="F5947" s="16" t="n">
        <v>0</v>
      </c>
    </row>
    <row r="5948">
      <c r="D5948" s="2" t="inlineStr">
        <is>
          <t>SUBTOTAL BAHAN</t>
        </is>
      </c>
      <c r="F5948" s="16" t="n">
        <v>0</v>
      </c>
    </row>
    <row r="5949">
      <c r="D5949" s="2" t="inlineStr">
        <is>
          <t>SUBTOTAL ALAT</t>
        </is>
      </c>
      <c r="F5949" s="16" t="n">
        <v>0</v>
      </c>
    </row>
    <row r="5950">
      <c r="E5950" s="2" t="inlineStr">
        <is>
          <t>TOTAL HARGA SATUAN (Inc. Overhead)</t>
        </is>
      </c>
      <c r="F5950" s="17" t="n">
        <v>0</v>
      </c>
    </row>
    <row r="5952">
      <c r="A5952" s="14" t="inlineStr">
        <is>
          <t>KODE: 4.1.1.43 - Pengadaan dan Pengangkutan Penutup Tanah</t>
        </is>
      </c>
    </row>
    <row r="5953">
      <c r="A5953" s="10" t="inlineStr">
        <is>
          <t>No</t>
        </is>
      </c>
      <c r="B5953" s="10" t="inlineStr">
        <is>
          <t>Uraian Komponen</t>
        </is>
      </c>
      <c r="C5953" s="10" t="inlineStr">
        <is>
          <t>Satuan</t>
        </is>
      </c>
      <c r="D5953" s="10" t="inlineStr">
        <is>
          <t>Koef</t>
        </is>
      </c>
      <c r="E5953" s="10" t="inlineStr">
        <is>
          <t>Harga Satuan (Rp)</t>
        </is>
      </c>
      <c r="F5953" s="10" t="inlineStr">
        <is>
          <t>Jumlah Harga (Rp)</t>
        </is>
      </c>
    </row>
    <row r="5954">
      <c r="A5954" s="3" t="inlineStr">
        <is>
          <t>1</t>
        </is>
      </c>
      <c r="B5954" s="3" t="inlineStr">
        <is>
          <t>Pekerja</t>
        </is>
      </c>
      <c r="C5954" s="3" t="inlineStr">
        <is>
          <t>OJ</t>
        </is>
      </c>
      <c r="D5954" s="15" t="n">
        <v>0.009418604651162789</v>
      </c>
      <c r="E5954" s="4" t="n">
        <v>14285.71428571429</v>
      </c>
      <c r="F5954" s="4" t="n">
        <v>134.5514950166113</v>
      </c>
    </row>
    <row r="5955">
      <c r="A5955" s="3" t="inlineStr">
        <is>
          <t>2</t>
        </is>
      </c>
      <c r="B5955" s="3" t="inlineStr">
        <is>
          <t>Mandor</t>
        </is>
      </c>
      <c r="C5955" s="3" t="inlineStr">
        <is>
          <t>OJ</t>
        </is>
      </c>
      <c r="D5955" s="15" t="n">
        <v>0.0009418604651162789</v>
      </c>
      <c r="E5955" s="4" t="n">
        <v>28571.42857142857</v>
      </c>
      <c r="F5955" s="4" t="n">
        <v>26.91029900332225</v>
      </c>
    </row>
    <row r="5956">
      <c r="A5956" s="3" t="inlineStr">
        <is>
          <t>1</t>
        </is>
      </c>
      <c r="B5956" s="3" t="inlineStr">
        <is>
          <t>Penutup Tanah Kacang Hias</t>
        </is>
      </c>
      <c r="C5956" s="3" t="inlineStr">
        <is>
          <t>m2</t>
        </is>
      </c>
      <c r="D5956" s="15" t="n">
        <v>1</v>
      </c>
      <c r="E5956" s="4" t="n">
        <v>2500</v>
      </c>
      <c r="F5956" s="4" t="n">
        <v>2500</v>
      </c>
    </row>
    <row r="5957">
      <c r="A5957" s="3" t="inlineStr">
        <is>
          <t>1</t>
        </is>
      </c>
      <c r="B5957" s="3" t="inlineStr">
        <is>
          <t>Pick Up L300</t>
        </is>
      </c>
      <c r="C5957" s="3" t="inlineStr">
        <is>
          <t>Jam</t>
        </is>
      </c>
      <c r="D5957" s="15" t="n">
        <v>0.01991967871485944</v>
      </c>
      <c r="E5957" s="4" t="n">
        <v>268539.71</v>
      </c>
      <c r="F5957" s="4" t="n">
        <v>5349.224745381527</v>
      </c>
    </row>
    <row r="5958">
      <c r="D5958" s="2" t="inlineStr">
        <is>
          <t>SUBTOTAL UPAH</t>
        </is>
      </c>
      <c r="F5958" s="16" t="n">
        <v>161.4617940199335</v>
      </c>
    </row>
    <row r="5959">
      <c r="D5959" s="2" t="inlineStr">
        <is>
          <t>SUBTOTAL BAHAN</t>
        </is>
      </c>
      <c r="F5959" s="16" t="n">
        <v>2500</v>
      </c>
    </row>
    <row r="5960">
      <c r="D5960" s="2" t="inlineStr">
        <is>
          <t>SUBTOTAL ALAT</t>
        </is>
      </c>
      <c r="F5960" s="16" t="n">
        <v>5349.224745381527</v>
      </c>
    </row>
    <row r="5961">
      <c r="E5961" s="2" t="inlineStr">
        <is>
          <t>TOTAL HARGA SATUAN (Inc. Overhead)</t>
        </is>
      </c>
      <c r="F5961" s="17" t="n">
        <v>8811</v>
      </c>
    </row>
    <row r="5963">
      <c r="A5963" s="14" t="inlineStr">
        <is>
          <t>KODE: 4.1.1.44 - Analisis Poduktivitas Truck Angkutan Rumput</t>
        </is>
      </c>
    </row>
    <row r="5964">
      <c r="A5964" s="10" t="inlineStr">
        <is>
          <t>No</t>
        </is>
      </c>
      <c r="B5964" s="10" t="inlineStr">
        <is>
          <t>Uraian Komponen</t>
        </is>
      </c>
      <c r="C5964" s="10" t="inlineStr">
        <is>
          <t>Satuan</t>
        </is>
      </c>
      <c r="D5964" s="10" t="inlineStr">
        <is>
          <t>Koef</t>
        </is>
      </c>
      <c r="E5964" s="10" t="inlineStr">
        <is>
          <t>Harga Satuan (Rp)</t>
        </is>
      </c>
      <c r="F5964" s="10" t="inlineStr">
        <is>
          <t>Jumlah Harga (Rp)</t>
        </is>
      </c>
    </row>
    <row r="5965">
      <c r="A5965" s="3" t="n">
        <v>1</v>
      </c>
      <c r="B5965" s="3" t="inlineStr">
        <is>
          <t>Jam Kerja efektif per hari</t>
        </is>
      </c>
      <c r="C5965" s="3" t="inlineStr">
        <is>
          <t>Tk</t>
        </is>
      </c>
      <c r="D5965" s="3" t="n">
        <v>7</v>
      </c>
      <c r="E5965" s="3" t="inlineStr">
        <is>
          <t>Jam</t>
        </is>
      </c>
    </row>
    <row r="5966">
      <c r="A5966" s="3" t="n">
        <v>2</v>
      </c>
      <c r="B5966" s="3" t="inlineStr">
        <is>
          <t>Pemuatan tanaman dilakukan secara manual</t>
        </is>
      </c>
      <c r="C5966" s="3" t="inlineStr">
        <is>
          <t>Fk</t>
        </is>
      </c>
      <c r="D5966" s="3" t="n">
        <v>1.25</v>
      </c>
      <c r="E5966" s="3" t="inlineStr">
        <is>
          <t>-</t>
        </is>
      </c>
      <c r="F5966" s="3" t="inlineStr">
        <is>
          <t>Tabel A.1</t>
        </is>
      </c>
    </row>
    <row r="5967">
      <c r="A5967" s="3" t="n">
        <v>3</v>
      </c>
      <c r="B5967" s="3" t="inlineStr">
        <is>
          <t>Jarak Angkut dari Nursey ke Lokasi pekerjaan</t>
        </is>
      </c>
      <c r="C5967" s="3" t="inlineStr">
        <is>
          <t>L</t>
        </is>
      </c>
      <c r="D5967" s="3" t="n">
        <v>100</v>
      </c>
      <c r="E5967" s="3" t="inlineStr">
        <is>
          <t>km</t>
        </is>
      </c>
    </row>
    <row r="5968">
      <c r="A5968" s="3" t="n">
        <v>4</v>
      </c>
      <c r="B5968" s="3" t="inlineStr">
        <is>
          <t>Angkut Truck 1-jalan dari tempat Nursey ke lokasi perkerjaan</t>
        </is>
      </c>
      <c r="C5968" s="3" t="inlineStr">
        <is>
          <t>Angkut saja</t>
        </is>
      </c>
    </row>
    <row r="5969">
      <c r="A5969" s="3" t="n">
        <v>3.1</v>
      </c>
      <c r="B5969" s="3" t="inlineStr">
        <is>
          <t>Pick Up L300</t>
        </is>
      </c>
      <c r="C5969" s="3" t="inlineStr">
        <is>
          <t>100 HP</t>
        </is>
      </c>
    </row>
    <row r="5970">
      <c r="A5970" s="3" t="inlineStr">
        <is>
          <t>Kapasitas Bak</t>
        </is>
      </c>
      <c r="B5970" s="3" t="inlineStr">
        <is>
          <t>V</t>
        </is>
      </c>
      <c r="C5970" s="3" t="n">
        <v>100</v>
      </c>
      <c r="D5970" s="3" t="inlineStr">
        <is>
          <t>m2</t>
        </is>
      </c>
    </row>
    <row r="5971">
      <c r="A5971" s="3" t="inlineStr">
        <is>
          <t>Faktor Efisiensi Alat (Tabel 7)</t>
        </is>
      </c>
      <c r="B5971" s="3" t="inlineStr">
        <is>
          <t>Fa</t>
        </is>
      </c>
      <c r="C5971" s="3" t="n">
        <v>0.83</v>
      </c>
      <c r="D5971" s="3" t="inlineStr">
        <is>
          <t>-</t>
        </is>
      </c>
      <c r="E5971" s="3" t="inlineStr">
        <is>
          <t>kondisi kerja baik</t>
        </is>
      </c>
    </row>
    <row r="5972">
      <c r="A5972" s="3" t="inlineStr">
        <is>
          <t>Jarak Angkut</t>
        </is>
      </c>
      <c r="B5972" s="3" t="inlineStr">
        <is>
          <t>L</t>
        </is>
      </c>
      <c r="C5972" s="3" t="n">
        <v>100</v>
      </c>
      <c r="D5972" s="3" t="inlineStr">
        <is>
          <t>Km</t>
        </is>
      </c>
    </row>
    <row r="5973">
      <c r="A5973" s="3" t="inlineStr">
        <is>
          <t>Kecepatan ratarata bermuatan (lihat tabel 8)</t>
        </is>
      </c>
      <c r="B5973" s="3" t="inlineStr">
        <is>
          <t>v.1</t>
        </is>
      </c>
      <c r="C5973" s="3" t="n">
        <v>40</v>
      </c>
      <c r="D5973" s="3" t="inlineStr">
        <is>
          <t>Km/jam</t>
        </is>
      </c>
      <c r="E5973" s="3" t="inlineStr">
        <is>
          <t>(Kondisi menanjak atau jalan rusak )</t>
        </is>
      </c>
    </row>
    <row r="5974">
      <c r="A5974" s="3" t="inlineStr">
        <is>
          <t>Kecepatan ratarta kosong (lihat tabel 8)</t>
        </is>
      </c>
      <c r="B5974" s="3" t="inlineStr">
        <is>
          <t>v.2</t>
        </is>
      </c>
      <c r="C5974" s="3" t="n">
        <v>60</v>
      </c>
      <c r="D5974" s="3" t="inlineStr">
        <is>
          <t>Km/jam</t>
        </is>
      </c>
    </row>
    <row r="5975">
      <c r="A5975" s="3" t="inlineStr">
        <is>
          <t>Waktu tempuh isi</t>
        </is>
      </c>
      <c r="B5975" s="3" t="inlineStr">
        <is>
          <t>=</t>
        </is>
      </c>
      <c r="C5975" s="3" t="inlineStr">
        <is>
          <t>( L : v.1) x 60</t>
        </is>
      </c>
      <c r="D5975" s="3" t="inlineStr">
        <is>
          <t>T.1</t>
        </is>
      </c>
      <c r="E5975" s="4" t="n">
        <v>150</v>
      </c>
      <c r="F5975" s="3" t="inlineStr">
        <is>
          <t>menit</t>
        </is>
      </c>
    </row>
    <row r="5976">
      <c r="A5976" s="3" t="inlineStr">
        <is>
          <t>waktu muat &amp; bongkar</t>
        </is>
      </c>
      <c r="B5976" s="3" t="inlineStr">
        <is>
          <t>=</t>
        </is>
      </c>
      <c r="C5976" s="3" t="inlineStr">
        <is>
          <t>( L : v.1) x 60</t>
        </is>
      </c>
      <c r="D5976" s="3" t="inlineStr">
        <is>
          <t>T.2</t>
        </is>
      </c>
      <c r="E5976" s="4" t="n">
        <v>48.4</v>
      </c>
      <c r="F5976" s="3" t="inlineStr">
        <is>
          <t>menit</t>
        </is>
      </c>
    </row>
    <row r="5977">
      <c r="A5977" s="3" t="inlineStr">
        <is>
          <t>Ts1</t>
        </is>
      </c>
      <c r="B5977" s="3" t="n">
        <v>198.4</v>
      </c>
      <c r="C5977" s="3" t="inlineStr">
        <is>
          <t>menit</t>
        </is>
      </c>
    </row>
    <row r="5978">
      <c r="A5978" s="3" t="inlineStr">
        <is>
          <t>Kap. Produksi/jam</t>
        </is>
      </c>
      <c r="B5978" s="3" t="inlineStr">
        <is>
          <t>=</t>
        </is>
      </c>
      <c r="C5978" s="3" t="inlineStr">
        <is>
          <t>(V x Fa x 60)/(Ts1)</t>
        </is>
      </c>
      <c r="D5978" s="3" t="inlineStr">
        <is>
          <t>Q.1</t>
        </is>
      </c>
      <c r="E5978" s="4" t="n">
        <v>25.1008064516129</v>
      </c>
      <c r="F5978" s="3" t="inlineStr">
        <is>
          <t>Polybag / jam</t>
        </is>
      </c>
    </row>
    <row r="5979">
      <c r="A5979" s="3" t="inlineStr">
        <is>
          <t>Koefisien Alat/m2</t>
        </is>
      </c>
      <c r="B5979" s="3" t="inlineStr">
        <is>
          <t>=</t>
        </is>
      </c>
      <c r="C5979" s="3" t="inlineStr">
        <is>
          <t>1/Q.1</t>
        </is>
      </c>
      <c r="D5979" s="3" t="n">
        <v>0.03983935742971888</v>
      </c>
      <c r="E5979" s="3" t="inlineStr">
        <is>
          <t>Jam</t>
        </is>
      </c>
    </row>
    <row r="5980">
      <c r="A5980" s="3" t="inlineStr">
        <is>
          <t>Jarak da penyimpanan Nursey ke bak Truck</t>
        </is>
      </c>
      <c r="B5980" s="3" t="inlineStr">
        <is>
          <t>L2</t>
        </is>
      </c>
      <c r="C5980" s="3" t="n">
        <v>0.01</v>
      </c>
      <c r="D5980" s="3" t="inlineStr">
        <is>
          <t>Km</t>
        </is>
      </c>
    </row>
    <row r="5981">
      <c r="A5981" s="3" t="inlineStr">
        <is>
          <t>Penutup Tanah yang dimuat/turunkan</t>
        </is>
      </c>
      <c r="B5981" s="3" t="inlineStr">
        <is>
          <t>V</t>
        </is>
      </c>
      <c r="C5981" s="3" t="n">
        <v>1</v>
      </c>
      <c r="D5981" s="3" t="inlineStr">
        <is>
          <t>Polybag</t>
        </is>
      </c>
    </row>
    <row r="5982">
      <c r="A5982" s="3" t="inlineStr">
        <is>
          <t>Faktor Efisiensi TK</t>
        </is>
      </c>
      <c r="B5982" s="3" t="inlineStr">
        <is>
          <t>FaTK</t>
        </is>
      </c>
      <c r="C5982" s="3" t="n">
        <v>0.86</v>
      </c>
      <c r="D5982" s="3" t="inlineStr">
        <is>
          <t>-</t>
        </is>
      </c>
      <c r="E5982" s="3" t="inlineStr">
        <is>
          <t>Kondisi kerja baik</t>
        </is>
      </c>
    </row>
    <row r="5983">
      <c r="A5983" s="3" t="inlineStr">
        <is>
          <t>- Memuat 1 m2 Penutup Tanah dari tempat Nursey ke bak Truck</t>
        </is>
      </c>
      <c r="B5983" s="3" t="inlineStr">
        <is>
          <t>T.1</t>
        </is>
      </c>
      <c r="C5983" s="3" t="n">
        <v>0.283</v>
      </c>
      <c r="D5983" s="3" t="inlineStr">
        <is>
          <t>menit</t>
        </is>
      </c>
      <c r="E5983" s="3" t="inlineStr">
        <is>
          <t>muat dan bongkar dibantu 2P</t>
        </is>
      </c>
    </row>
    <row r="5984">
      <c r="A5984" s="3" t="inlineStr">
        <is>
          <t>-Menurunkan 1 m2 Penutup Tanah dari bak truck ke penyimpnan di lokasi pekerjaan</t>
        </is>
      </c>
      <c r="B5984" s="3" t="inlineStr">
        <is>
          <t>T.2</t>
        </is>
      </c>
      <c r="C5984" s="3" t="n">
        <v>0.201</v>
      </c>
      <c r="D5984" s="3" t="inlineStr">
        <is>
          <t>menit</t>
        </is>
      </c>
    </row>
    <row r="5985">
      <c r="A5985" s="3" t="inlineStr">
        <is>
          <t>Ts2</t>
        </is>
      </c>
      <c r="B5985" s="3" t="n">
        <v>0.484</v>
      </c>
      <c r="C5985" s="3" t="inlineStr">
        <is>
          <t>menit</t>
        </is>
      </c>
    </row>
    <row r="5986">
      <c r="A5986" s="3" t="inlineStr">
        <is>
          <t>Kap. Tenaga Kerja / jam</t>
        </is>
      </c>
      <c r="B5986" s="3" t="inlineStr">
        <is>
          <t>=</t>
        </is>
      </c>
      <c r="C5986" s="3" t="inlineStr">
        <is>
          <t>(FaTK x 60) / (Ts2)</t>
        </is>
      </c>
      <c r="D5986" s="3" t="inlineStr">
        <is>
          <t>Q.2</t>
        </is>
      </c>
      <c r="E5986" s="4" t="n">
        <v>106.6115702479339</v>
      </c>
      <c r="F5986" s="3" t="inlineStr">
        <is>
          <t>Polybag / jam</t>
        </is>
      </c>
    </row>
    <row r="5987">
      <c r="A5987" s="3" t="inlineStr">
        <is>
          <t>- Pekerja</t>
        </is>
      </c>
      <c r="B5987" s="3" t="inlineStr">
        <is>
          <t>=</t>
        </is>
      </c>
      <c r="C5987" s="3" t="inlineStr">
        <is>
          <t>(Tk x P) : Q.2</t>
        </is>
      </c>
      <c r="D5987" s="3" t="inlineStr">
        <is>
          <t>L.01</t>
        </is>
      </c>
      <c r="E5987" s="4" t="n">
        <v>0.01875968992248062</v>
      </c>
      <c r="F5987" s="3" t="inlineStr">
        <is>
          <t>OJ</t>
        </is>
      </c>
    </row>
    <row r="5988">
      <c r="A5988" s="3" t="inlineStr">
        <is>
          <t>- Mandor</t>
        </is>
      </c>
      <c r="B5988" s="3" t="inlineStr">
        <is>
          <t>=</t>
        </is>
      </c>
      <c r="C5988" s="3" t="inlineStr">
        <is>
          <t>(Tk x M ) : Q.2</t>
        </is>
      </c>
      <c r="D5988" s="3" t="inlineStr">
        <is>
          <t>L.04</t>
        </is>
      </c>
      <c r="E5988" s="4" t="n">
        <v>0.001875968992248062</v>
      </c>
      <c r="F5988" s="3" t="inlineStr">
        <is>
          <t>OJ</t>
        </is>
      </c>
    </row>
    <row r="5989">
      <c r="D5989" s="2" t="inlineStr">
        <is>
          <t>SUBTOTAL UPAH</t>
        </is>
      </c>
      <c r="F5989" s="16" t="n">
        <v>0</v>
      </c>
    </row>
    <row r="5990">
      <c r="D5990" s="2" t="inlineStr">
        <is>
          <t>SUBTOTAL BAHAN</t>
        </is>
      </c>
      <c r="F5990" s="16" t="n">
        <v>0</v>
      </c>
    </row>
    <row r="5991">
      <c r="D5991" s="2" t="inlineStr">
        <is>
          <t>SUBTOTAL ALAT</t>
        </is>
      </c>
      <c r="F5991" s="16" t="n">
        <v>0</v>
      </c>
    </row>
    <row r="5992">
      <c r="E5992" s="2" t="inlineStr">
        <is>
          <t>TOTAL HARGA SATUAN (Inc. Overhead)</t>
        </is>
      </c>
      <c r="F5992" s="17" t="n">
        <v>0</v>
      </c>
    </row>
    <row r="5994">
      <c r="A5994" s="14" t="inlineStr">
        <is>
          <t>KODE: 4.1.1.45 - Pengadaan dan Pengangkutan Rumput</t>
        </is>
      </c>
    </row>
    <row r="5995">
      <c r="A5995" s="10" t="inlineStr">
        <is>
          <t>No</t>
        </is>
      </c>
      <c r="B5995" s="10" t="inlineStr">
        <is>
          <t>Uraian Komponen</t>
        </is>
      </c>
      <c r="C5995" s="10" t="inlineStr">
        <is>
          <t>Satuan</t>
        </is>
      </c>
      <c r="D5995" s="10" t="inlineStr">
        <is>
          <t>Koef</t>
        </is>
      </c>
      <c r="E5995" s="10" t="inlineStr">
        <is>
          <t>Harga Satuan (Rp)</t>
        </is>
      </c>
      <c r="F5995" s="10" t="inlineStr">
        <is>
          <t>Jumlah Harga (Rp)</t>
        </is>
      </c>
    </row>
    <row r="5996">
      <c r="A5996" s="3" t="inlineStr">
        <is>
          <t>1</t>
        </is>
      </c>
      <c r="B5996" s="3" t="inlineStr">
        <is>
          <t>Pekerja</t>
        </is>
      </c>
      <c r="C5996" s="3" t="inlineStr">
        <is>
          <t>OJ</t>
        </is>
      </c>
      <c r="D5996" s="15" t="n">
        <v>0.01875968992248062</v>
      </c>
      <c r="E5996" s="4" t="n">
        <v>14285.71428571429</v>
      </c>
      <c r="F5996" s="4" t="n">
        <v>267.9955703211517</v>
      </c>
    </row>
    <row r="5997">
      <c r="A5997" s="3" t="inlineStr">
        <is>
          <t>2</t>
        </is>
      </c>
      <c r="B5997" s="3" t="inlineStr">
        <is>
          <t>Mandor</t>
        </is>
      </c>
      <c r="C5997" s="3" t="inlineStr">
        <is>
          <t>OJ</t>
        </is>
      </c>
      <c r="D5997" s="15" t="n">
        <v>0.001875968992248062</v>
      </c>
      <c r="E5997" s="4" t="n">
        <v>28571.42857142857</v>
      </c>
      <c r="F5997" s="4" t="n">
        <v>53.59911406423034</v>
      </c>
    </row>
    <row r="5998">
      <c r="A5998" s="3" t="inlineStr">
        <is>
          <t>1</t>
        </is>
      </c>
      <c r="B5998" s="3" t="inlineStr">
        <is>
          <t>Rumput gajah mini</t>
        </is>
      </c>
      <c r="C5998" s="3" t="inlineStr">
        <is>
          <t>m2</t>
        </is>
      </c>
      <c r="D5998" s="15" t="n">
        <v>1</v>
      </c>
      <c r="E5998" s="4" t="n">
        <v>15000</v>
      </c>
      <c r="F5998" s="4" t="n">
        <v>15000</v>
      </c>
    </row>
    <row r="5999">
      <c r="A5999" s="3" t="inlineStr">
        <is>
          <t>1</t>
        </is>
      </c>
      <c r="B5999" s="3" t="inlineStr">
        <is>
          <t>Pick Up L300</t>
        </is>
      </c>
      <c r="C5999" s="3" t="inlineStr">
        <is>
          <t>Jam</t>
        </is>
      </c>
      <c r="D5999" s="15" t="n">
        <v>0.03983935742971888</v>
      </c>
      <c r="E5999" s="4" t="n">
        <v>268539.71</v>
      </c>
      <c r="F5999" s="4" t="n">
        <v>10698.44949076305</v>
      </c>
    </row>
    <row r="6000">
      <c r="D6000" s="2" t="inlineStr">
        <is>
          <t>SUBTOTAL UPAH</t>
        </is>
      </c>
      <c r="F6000" s="16" t="n">
        <v>321.594684385382</v>
      </c>
    </row>
    <row r="6001">
      <c r="D6001" s="2" t="inlineStr">
        <is>
          <t>SUBTOTAL BAHAN</t>
        </is>
      </c>
      <c r="F6001" s="16" t="n">
        <v>15000</v>
      </c>
    </row>
    <row r="6002">
      <c r="D6002" s="2" t="inlineStr">
        <is>
          <t>SUBTOTAL ALAT</t>
        </is>
      </c>
      <c r="F6002" s="16" t="n">
        <v>10698.44949076305</v>
      </c>
    </row>
    <row r="6003">
      <c r="E6003" s="2" t="inlineStr">
        <is>
          <t>TOTAL HARGA SATUAN (Inc. Overhead)</t>
        </is>
      </c>
      <c r="F6003" s="17" t="n">
        <v>28622</v>
      </c>
    </row>
    <row r="6005">
      <c r="A6005" s="14" t="inlineStr">
        <is>
          <t>KODE: 4.1.1.46 - Harga Satuan Dasar Water Truck untuk Penyiraman</t>
        </is>
      </c>
    </row>
    <row r="6006">
      <c r="A6006" s="10" t="inlineStr">
        <is>
          <t>No</t>
        </is>
      </c>
      <c r="B6006" s="10" t="inlineStr">
        <is>
          <t>Uraian Komponen</t>
        </is>
      </c>
      <c r="C6006" s="10" t="inlineStr">
        <is>
          <t>Satuan</t>
        </is>
      </c>
      <c r="D6006" s="10" t="inlineStr">
        <is>
          <t>Koef</t>
        </is>
      </c>
      <c r="E6006" s="10" t="inlineStr">
        <is>
          <t>Harga Satuan (Rp)</t>
        </is>
      </c>
      <c r="F6006" s="10" t="inlineStr">
        <is>
          <t>Jumlah Harga (Rp)</t>
        </is>
      </c>
    </row>
    <row r="6007">
      <c r="A6007" s="3" t="inlineStr">
        <is>
          <t>Kebutuhan air</t>
        </is>
      </c>
      <c r="B6007" s="3" t="n">
        <v>5</v>
      </c>
      <c r="C6007" s="3" t="inlineStr">
        <is>
          <t>Liter</t>
        </is>
      </c>
      <c r="D6007" s="3" t="inlineStr">
        <is>
          <t>data standar</t>
        </is>
      </c>
    </row>
    <row r="6008">
      <c r="A6008" s="3" t="inlineStr">
        <is>
          <t>Kapasitas tangki air water truck</t>
        </is>
      </c>
      <c r="B6008" s="3" t="n">
        <v>5000</v>
      </c>
      <c r="C6008" s="3" t="inlineStr">
        <is>
          <t>liter</t>
        </is>
      </c>
    </row>
    <row r="6009">
      <c r="A6009" s="3" t="inlineStr">
        <is>
          <t>Kapasitas pengangkutan air</t>
        </is>
      </c>
      <c r="B6009" s="3" t="n">
        <v>2</v>
      </c>
      <c r="C6009" s="3" t="inlineStr">
        <is>
          <t>reet/hari</t>
        </is>
      </c>
      <c r="D6009" s="3" t="inlineStr">
        <is>
          <t>Data lapangan</t>
        </is>
      </c>
    </row>
    <row r="6010">
      <c r="A6010" s="3" t="inlineStr">
        <is>
          <t>Kapasitas penyiraman</t>
        </is>
      </c>
      <c r="B6010" s="3" t="n">
        <v>2000</v>
      </c>
      <c r="C6010" s="3" t="inlineStr">
        <is>
          <t>m2/hari</t>
        </is>
      </c>
    </row>
    <row r="6011">
      <c r="A6011" s="3" t="inlineStr">
        <is>
          <t>Depresiasi /bulan (umur ekonomis truck 5 tahun)</t>
        </is>
      </c>
      <c r="B6011" s="3" t="n">
        <v>7341666.67</v>
      </c>
      <c r="C6011" s="3" t="inlineStr">
        <is>
          <t>bulan</t>
        </is>
      </c>
      <c r="D6011" s="3" t="inlineStr">
        <is>
          <t>Data lapangan di wilayah DKI Jakarta</t>
        </is>
      </c>
    </row>
    <row r="6012">
      <c r="A6012" s="3" t="inlineStr">
        <is>
          <t>BBM / Bulan / Truck</t>
        </is>
      </c>
      <c r="B6012" s="3" t="n">
        <v>4700000</v>
      </c>
      <c r="C6012" s="3" t="inlineStr">
        <is>
          <t>bulan</t>
        </is>
      </c>
      <c r="D6012" s="3" t="inlineStr">
        <is>
          <t>Data lapangan di wilayah DKI Jakarta</t>
        </is>
      </c>
    </row>
    <row r="6013">
      <c r="A6013" s="3" t="inlineStr">
        <is>
          <t>Total pekerja / hari</t>
        </is>
      </c>
      <c r="B6013" s="3" t="n">
        <v>4</v>
      </c>
      <c r="C6013" s="3" t="inlineStr">
        <is>
          <t>orang</t>
        </is>
      </c>
    </row>
    <row r="6014">
      <c r="A6014" s="3" t="inlineStr">
        <is>
          <t>Koefisien Alat</t>
        </is>
      </c>
      <c r="B6014" s="3" t="n">
        <v>0.0005</v>
      </c>
      <c r="C6014" s="3" t="inlineStr">
        <is>
          <t>Hari /m2</t>
        </is>
      </c>
    </row>
    <row r="6015">
      <c r="D6015" s="2" t="inlineStr">
        <is>
          <t>SUBTOTAL UPAH</t>
        </is>
      </c>
      <c r="F6015" s="16" t="n">
        <v>0</v>
      </c>
    </row>
    <row r="6016">
      <c r="D6016" s="2" t="inlineStr">
        <is>
          <t>SUBTOTAL BAHAN</t>
        </is>
      </c>
      <c r="F6016" s="16" t="n">
        <v>0</v>
      </c>
    </row>
    <row r="6017">
      <c r="D6017" s="2" t="inlineStr">
        <is>
          <t>SUBTOTAL ALAT</t>
        </is>
      </c>
      <c r="F6017" s="16" t="n">
        <v>0</v>
      </c>
    </row>
    <row r="6018">
      <c r="E6018" s="2" t="inlineStr">
        <is>
          <t>TOTAL HARGA SATUAN (Inc. Overhead)</t>
        </is>
      </c>
      <c r="F6018" s="17" t="n">
        <v>0</v>
      </c>
    </row>
    <row r="6020">
      <c r="A6020" s="14" t="inlineStr">
        <is>
          <t>KODE: 4.1.2.1 - Pohon Kecil , Polibag 20 L</t>
        </is>
      </c>
    </row>
    <row r="6021">
      <c r="A6021" s="10" t="inlineStr">
        <is>
          <t>No</t>
        </is>
      </c>
      <c r="B6021" s="10" t="inlineStr">
        <is>
          <t>Uraian Komponen</t>
        </is>
      </c>
      <c r="C6021" s="10" t="inlineStr">
        <is>
          <t>Satuan</t>
        </is>
      </c>
      <c r="D6021" s="10" t="inlineStr">
        <is>
          <t>Koef</t>
        </is>
      </c>
      <c r="E6021" s="10" t="inlineStr">
        <is>
          <t>Harga Satuan (Rp)</t>
        </is>
      </c>
      <c r="F6021" s="10" t="inlineStr">
        <is>
          <t>Jumlah Harga (Rp)</t>
        </is>
      </c>
    </row>
    <row r="6022">
      <c r="A6022" s="3" t="inlineStr">
        <is>
          <t>4.1.2.1.1</t>
        </is>
      </c>
      <c r="B6022" s="3" t="inlineStr">
        <is>
          <t>"Penanaman 1 Buah Pohon Kecil Bungan Mentega (Natrium Oleander ) Diameter 1-2 cm</t>
        </is>
      </c>
      <c r="C6022" s="3" t="inlineStr">
        <is>
          <t>Tinggi 2-2</t>
        </is>
      </c>
      <c r="D6022" s="3" t="inlineStr">
        <is>
          <t>5 Meter</t>
        </is>
      </c>
      <c r="E6022" s="3" t="inlineStr">
        <is>
          <t>Polibag 20 L "</t>
        </is>
      </c>
      <c r="F6022" s="4" t="n">
        <v>170800</v>
      </c>
    </row>
    <row r="6023">
      <c r="A6023" s="3" t="inlineStr">
        <is>
          <t>1</t>
        </is>
      </c>
      <c r="B6023" s="3" t="inlineStr">
        <is>
          <t>Tukang tanam</t>
        </is>
      </c>
      <c r="C6023" s="3" t="inlineStr">
        <is>
          <t>OH</t>
        </is>
      </c>
      <c r="D6023" s="15" t="n">
        <v>0.0143</v>
      </c>
      <c r="E6023" s="4" t="n">
        <v>181250</v>
      </c>
      <c r="F6023" s="4" t="n">
        <v>2591.875</v>
      </c>
    </row>
    <row r="6024">
      <c r="A6024" s="3" t="inlineStr">
        <is>
          <t>2</t>
        </is>
      </c>
      <c r="B6024" s="3" t="inlineStr">
        <is>
          <t>Kepala Tukang Tanam</t>
        </is>
      </c>
      <c r="C6024" s="3" t="inlineStr">
        <is>
          <t>OH</t>
        </is>
      </c>
      <c r="D6024" s="15" t="n">
        <v>0.0048</v>
      </c>
      <c r="E6024" s="4" t="n">
        <v>218750</v>
      </c>
      <c r="F6024" s="4" t="n">
        <v>1050</v>
      </c>
    </row>
    <row r="6025">
      <c r="A6025" s="3" t="inlineStr">
        <is>
          <t>3</t>
        </is>
      </c>
      <c r="B6025" s="3" t="inlineStr">
        <is>
          <t>Mandor</t>
        </is>
      </c>
      <c r="C6025" s="3" t="inlineStr">
        <is>
          <t>OH</t>
        </is>
      </c>
      <c r="D6025" s="15" t="n">
        <v>0.0016</v>
      </c>
      <c r="E6025" s="4" t="n">
        <v>200000</v>
      </c>
      <c r="F6025" s="4" t="n">
        <v>320</v>
      </c>
    </row>
    <row r="6026">
      <c r="A6026" s="3" t="inlineStr">
        <is>
          <t>1</t>
        </is>
      </c>
      <c r="B6026" s="3" t="inlineStr">
        <is>
          <t>Pohon Bunga Mentega di Polybag 20 liter</t>
        </is>
      </c>
      <c r="C6026" s="3" t="inlineStr">
        <is>
          <t>buah</t>
        </is>
      </c>
      <c r="D6026" s="15" t="n">
        <v>1.05</v>
      </c>
      <c r="E6026" s="4" t="n">
        <v>135000</v>
      </c>
      <c r="F6026" s="4" t="n">
        <v>141750</v>
      </c>
    </row>
    <row r="6027">
      <c r="A6027" s="3" t="inlineStr">
        <is>
          <t>2</t>
        </is>
      </c>
      <c r="B6027" s="3" t="inlineStr">
        <is>
          <t>Anti Rayap tanah</t>
        </is>
      </c>
      <c r="C6027" s="3" t="inlineStr">
        <is>
          <t>kg</t>
        </is>
      </c>
      <c r="D6027" s="15" t="n">
        <v>0.005</v>
      </c>
      <c r="E6027" s="4" t="n">
        <v>28500</v>
      </c>
      <c r="F6027" s="4" t="n">
        <v>142.5</v>
      </c>
    </row>
    <row r="6028">
      <c r="A6028" s="3" t="n">
        <v>3</v>
      </c>
      <c r="B6028" s="3" t="inlineStr">
        <is>
          <t>Steger</t>
        </is>
      </c>
      <c r="C6028" s="3" t="n">
        <v>0</v>
      </c>
    </row>
    <row r="6029">
      <c r="A6029" s="3" t="n">
        <v>4</v>
      </c>
      <c r="B6029" s="3" t="inlineStr">
        <is>
          <t>Media Tanam</t>
        </is>
      </c>
      <c r="C6029" s="3" t="n">
        <v>0</v>
      </c>
    </row>
    <row r="6030">
      <c r="D6030" s="2" t="inlineStr">
        <is>
          <t>SUBTOTAL UPAH</t>
        </is>
      </c>
      <c r="F6030" s="16" t="n">
        <v>3961.875</v>
      </c>
    </row>
    <row r="6031">
      <c r="D6031" s="2" t="inlineStr">
        <is>
          <t>SUBTOTAL BAHAN</t>
        </is>
      </c>
      <c r="F6031" s="16" t="n">
        <v>151395.7</v>
      </c>
    </row>
    <row r="6032">
      <c r="D6032" s="2" t="inlineStr">
        <is>
          <t>SUBTOTAL ALAT</t>
        </is>
      </c>
      <c r="F6032" s="16" t="n">
        <v>0</v>
      </c>
    </row>
    <row r="6033">
      <c r="E6033" s="2" t="inlineStr">
        <is>
          <t>TOTAL HARGA SATUAN (Inc. Overhead)</t>
        </is>
      </c>
      <c r="F6033" s="17" t="n">
        <v>0</v>
      </c>
    </row>
    <row r="6035">
      <c r="A6035" s="14" t="inlineStr">
        <is>
          <t>KODE: 4.1.5.1 - Penanaman 1 m2 Penutup Tanah, Kacang Hias (Arachis Pintoi ), 25 Buah/ m2, Polybag 0.5 L</t>
        </is>
      </c>
    </row>
    <row r="6036">
      <c r="A6036" s="10" t="inlineStr">
        <is>
          <t>No</t>
        </is>
      </c>
      <c r="B6036" s="10" t="inlineStr">
        <is>
          <t>Uraian Komponen</t>
        </is>
      </c>
      <c r="C6036" s="10" t="inlineStr">
        <is>
          <t>Satuan</t>
        </is>
      </c>
      <c r="D6036" s="10" t="inlineStr">
        <is>
          <t>Koef</t>
        </is>
      </c>
      <c r="E6036" s="10" t="inlineStr">
        <is>
          <t>Harga Satuan (Rp)</t>
        </is>
      </c>
      <c r="F6036" s="10" t="inlineStr">
        <is>
          <t>Jumlah Harga (Rp)</t>
        </is>
      </c>
    </row>
    <row r="6037">
      <c r="A6037" s="3" t="inlineStr">
        <is>
          <t>1</t>
        </is>
      </c>
      <c r="B6037" s="3" t="inlineStr">
        <is>
          <t>Tukang tanam</t>
        </is>
      </c>
      <c r="C6037" s="3" t="inlineStr">
        <is>
          <t>OH</t>
        </is>
      </c>
      <c r="D6037" s="15" t="n">
        <v>0.04</v>
      </c>
      <c r="E6037" s="4" t="n">
        <v>181250</v>
      </c>
      <c r="F6037" s="4" t="n">
        <v>7250</v>
      </c>
    </row>
    <row r="6038">
      <c r="A6038" s="3" t="inlineStr">
        <is>
          <t>2</t>
        </is>
      </c>
      <c r="B6038" s="3" t="inlineStr">
        <is>
          <t>Kepala Tukang Tanam</t>
        </is>
      </c>
      <c r="C6038" s="3" t="inlineStr">
        <is>
          <t>OH</t>
        </is>
      </c>
      <c r="D6038" s="15" t="n">
        <v>0.01</v>
      </c>
      <c r="E6038" s="4" t="n">
        <v>218750</v>
      </c>
      <c r="F6038" s="4" t="n">
        <v>2187.5</v>
      </c>
    </row>
    <row r="6039">
      <c r="A6039" s="3" t="inlineStr">
        <is>
          <t>3</t>
        </is>
      </c>
      <c r="B6039" s="3" t="inlineStr">
        <is>
          <t>Mandor</t>
        </is>
      </c>
      <c r="C6039" s="3" t="inlineStr">
        <is>
          <t>OH</t>
        </is>
      </c>
      <c r="D6039" s="15" t="n">
        <v>0.0033</v>
      </c>
      <c r="E6039" s="4" t="n">
        <v>200000</v>
      </c>
      <c r="F6039" s="4" t="n">
        <v>660</v>
      </c>
    </row>
    <row r="6040">
      <c r="A6040" s="3" t="inlineStr">
        <is>
          <t>Polybag 0.5 Liter"</t>
        </is>
      </c>
      <c r="B6040" s="3" t="inlineStr"/>
      <c r="C6040" s="3" t="inlineStr">
        <is>
          <t>m2</t>
        </is>
      </c>
      <c r="D6040" s="15" t="n">
        <v>1</v>
      </c>
      <c r="E6040" s="4" t="n">
        <v>15000</v>
      </c>
      <c r="F6040" s="4" t="n">
        <v>15000</v>
      </c>
    </row>
    <row r="6041">
      <c r="A6041" s="3" t="inlineStr">
        <is>
          <t>2</t>
        </is>
      </c>
      <c r="B6041" s="3" t="inlineStr">
        <is>
          <t>Anti Rayap tanah</t>
        </is>
      </c>
      <c r="C6041" s="3" t="inlineStr">
        <is>
          <t>kg</t>
        </is>
      </c>
      <c r="D6041" s="15" t="n">
        <v>0.01</v>
      </c>
      <c r="E6041" s="4" t="n">
        <v>28500</v>
      </c>
      <c r="F6041" s="4" t="n">
        <v>285</v>
      </c>
    </row>
    <row r="6042">
      <c r="A6042" s="3" t="n">
        <v>3</v>
      </c>
      <c r="B6042" s="3" t="inlineStr">
        <is>
          <t>Media Tanam</t>
        </is>
      </c>
      <c r="C6042" s="3" t="n">
        <v>0</v>
      </c>
    </row>
    <row r="6043">
      <c r="D6043" s="2" t="inlineStr">
        <is>
          <t>SUBTOTAL UPAH</t>
        </is>
      </c>
      <c r="F6043" s="16" t="n">
        <v>10097.5</v>
      </c>
    </row>
    <row r="6044">
      <c r="D6044" s="2" t="inlineStr">
        <is>
          <t>SUBTOTAL BAHAN</t>
        </is>
      </c>
      <c r="F6044" s="16" t="n">
        <v>15391.3</v>
      </c>
    </row>
    <row r="6045">
      <c r="D6045" s="2" t="inlineStr">
        <is>
          <t>SUBTOTAL ALAT</t>
        </is>
      </c>
      <c r="F6045" s="16" t="n">
        <v>0</v>
      </c>
    </row>
    <row r="6046">
      <c r="E6046" s="2" t="inlineStr">
        <is>
          <t>TOTAL HARGA SATUAN (Inc. Overhead)</t>
        </is>
      </c>
      <c r="F6046" s="17" t="n">
        <v>28037</v>
      </c>
    </row>
    <row r="6048">
      <c r="A6048" s="14" t="inlineStr">
        <is>
          <t>KODE: 4.1.5.2 - Penanaman 1 m2 Penutup Tanah, Kacang Hias (Arachis Pintoi ), 36 Buah/ m2, Polybag 0.5 L</t>
        </is>
      </c>
    </row>
    <row r="6049">
      <c r="A6049" s="10" t="inlineStr">
        <is>
          <t>No</t>
        </is>
      </c>
      <c r="B6049" s="10" t="inlineStr">
        <is>
          <t>Uraian Komponen</t>
        </is>
      </c>
      <c r="C6049" s="10" t="inlineStr">
        <is>
          <t>Satuan</t>
        </is>
      </c>
      <c r="D6049" s="10" t="inlineStr">
        <is>
          <t>Koef</t>
        </is>
      </c>
      <c r="E6049" s="10" t="inlineStr">
        <is>
          <t>Harga Satuan (Rp)</t>
        </is>
      </c>
      <c r="F6049" s="10" t="inlineStr">
        <is>
          <t>Jumlah Harga (Rp)</t>
        </is>
      </c>
    </row>
    <row r="6050">
      <c r="A6050" s="3" t="inlineStr">
        <is>
          <t>1</t>
        </is>
      </c>
      <c r="B6050" s="3" t="inlineStr">
        <is>
          <t>Tukang tanam</t>
        </is>
      </c>
      <c r="C6050" s="3" t="inlineStr">
        <is>
          <t>OH</t>
        </is>
      </c>
      <c r="D6050" s="15" t="n">
        <v>0.04</v>
      </c>
      <c r="E6050" s="4" t="n">
        <v>181250</v>
      </c>
      <c r="F6050" s="4" t="n">
        <v>7250</v>
      </c>
    </row>
    <row r="6051">
      <c r="A6051" s="3" t="inlineStr">
        <is>
          <t>2</t>
        </is>
      </c>
      <c r="B6051" s="3" t="inlineStr">
        <is>
          <t>Kepala Tukang Tanam</t>
        </is>
      </c>
      <c r="C6051" s="3" t="inlineStr">
        <is>
          <t>OH</t>
        </is>
      </c>
      <c r="D6051" s="15" t="n">
        <v>0.01</v>
      </c>
      <c r="E6051" s="4" t="n">
        <v>218750</v>
      </c>
      <c r="F6051" s="4" t="n">
        <v>2187.5</v>
      </c>
    </row>
    <row r="6052">
      <c r="A6052" s="3" t="inlineStr">
        <is>
          <t>3</t>
        </is>
      </c>
      <c r="B6052" s="3" t="inlineStr">
        <is>
          <t>Mandor</t>
        </is>
      </c>
      <c r="C6052" s="3" t="inlineStr">
        <is>
          <t>OH</t>
        </is>
      </c>
      <c r="D6052" s="15" t="n">
        <v>0.0033</v>
      </c>
      <c r="E6052" s="4" t="n">
        <v>200000</v>
      </c>
      <c r="F6052" s="4" t="n">
        <v>660</v>
      </c>
    </row>
    <row r="6053">
      <c r="A6053" s="3" t="inlineStr">
        <is>
          <t>Polybag 0.5 Liter"</t>
        </is>
      </c>
      <c r="B6053" s="3" t="inlineStr"/>
      <c r="C6053" s="3" t="inlineStr">
        <is>
          <t>m2</t>
        </is>
      </c>
      <c r="D6053" s="15" t="n">
        <v>1</v>
      </c>
      <c r="E6053" s="4" t="n">
        <v>15000</v>
      </c>
      <c r="F6053" s="4" t="n">
        <v>15000</v>
      </c>
    </row>
    <row r="6054">
      <c r="A6054" s="3" t="inlineStr">
        <is>
          <t>2</t>
        </is>
      </c>
      <c r="B6054" s="3" t="inlineStr">
        <is>
          <t>Anti Rayap tanah</t>
        </is>
      </c>
      <c r="C6054" s="3" t="inlineStr">
        <is>
          <t>kg</t>
        </is>
      </c>
      <c r="D6054" s="15" t="n">
        <v>0.01</v>
      </c>
      <c r="E6054" s="4" t="n">
        <v>28500</v>
      </c>
      <c r="F6054" s="4" t="n">
        <v>285</v>
      </c>
    </row>
    <row r="6055">
      <c r="A6055" s="3" t="n">
        <v>3</v>
      </c>
      <c r="B6055" s="3" t="inlineStr">
        <is>
          <t>Media Tanam</t>
        </is>
      </c>
      <c r="C6055" s="3" t="n">
        <v>0</v>
      </c>
    </row>
    <row r="6056">
      <c r="D6056" s="2" t="inlineStr">
        <is>
          <t>SUBTOTAL UPAH</t>
        </is>
      </c>
      <c r="F6056" s="16" t="n">
        <v>10097.5</v>
      </c>
    </row>
    <row r="6057">
      <c r="D6057" s="2" t="inlineStr">
        <is>
          <t>SUBTOTAL BAHAN</t>
        </is>
      </c>
      <c r="F6057" s="16" t="n">
        <v>15391.3</v>
      </c>
    </row>
    <row r="6058">
      <c r="D6058" s="2" t="inlineStr">
        <is>
          <t>SUBTOTAL ALAT</t>
        </is>
      </c>
      <c r="F6058" s="16" t="n">
        <v>0</v>
      </c>
    </row>
    <row r="6059">
      <c r="E6059" s="2" t="inlineStr">
        <is>
          <t>TOTAL HARGA SATUAN (Inc. Overhead)</t>
        </is>
      </c>
      <c r="F6059" s="17" t="n">
        <v>28037</v>
      </c>
    </row>
    <row r="6061">
      <c r="A6061" s="14" t="inlineStr">
        <is>
          <t>KODE: 4.1.5.3 - Penanaman 1 m2 Penutup Tanah, Widelia (Wedelia Trilobata), 36 Buah/ m2, Polybag 0.5 L</t>
        </is>
      </c>
    </row>
    <row r="6062">
      <c r="A6062" s="10" t="inlineStr">
        <is>
          <t>No</t>
        </is>
      </c>
      <c r="B6062" s="10" t="inlineStr">
        <is>
          <t>Uraian Komponen</t>
        </is>
      </c>
      <c r="C6062" s="10" t="inlineStr">
        <is>
          <t>Satuan</t>
        </is>
      </c>
      <c r="D6062" s="10" t="inlineStr">
        <is>
          <t>Koef</t>
        </is>
      </c>
      <c r="E6062" s="10" t="inlineStr">
        <is>
          <t>Harga Satuan (Rp)</t>
        </is>
      </c>
      <c r="F6062" s="10" t="inlineStr">
        <is>
          <t>Jumlah Harga (Rp)</t>
        </is>
      </c>
    </row>
    <row r="6063">
      <c r="A6063" s="3" t="inlineStr">
        <is>
          <t>1</t>
        </is>
      </c>
      <c r="B6063" s="3" t="inlineStr">
        <is>
          <t>Tukang tanam</t>
        </is>
      </c>
      <c r="C6063" s="3" t="inlineStr">
        <is>
          <t>OH</t>
        </is>
      </c>
      <c r="D6063" s="15" t="n">
        <v>0.04</v>
      </c>
      <c r="E6063" s="4" t="n">
        <v>181250</v>
      </c>
      <c r="F6063" s="4" t="n">
        <v>7250</v>
      </c>
    </row>
    <row r="6064">
      <c r="A6064" s="3" t="inlineStr">
        <is>
          <t>2</t>
        </is>
      </c>
      <c r="B6064" s="3" t="inlineStr">
        <is>
          <t>Kepala Tukang Tanam</t>
        </is>
      </c>
      <c r="C6064" s="3" t="inlineStr">
        <is>
          <t>OH</t>
        </is>
      </c>
      <c r="D6064" s="15" t="n">
        <v>0.01</v>
      </c>
      <c r="E6064" s="4" t="n">
        <v>218750</v>
      </c>
      <c r="F6064" s="4" t="n">
        <v>2187.5</v>
      </c>
    </row>
    <row r="6065">
      <c r="A6065" s="3" t="inlineStr">
        <is>
          <t>3</t>
        </is>
      </c>
      <c r="B6065" s="3" t="inlineStr">
        <is>
          <t>Mandor</t>
        </is>
      </c>
      <c r="C6065" s="3" t="inlineStr">
        <is>
          <t>OH</t>
        </is>
      </c>
      <c r="D6065" s="15" t="n">
        <v>0.0033</v>
      </c>
      <c r="E6065" s="4" t="n">
        <v>200000</v>
      </c>
      <c r="F6065" s="4" t="n">
        <v>660</v>
      </c>
    </row>
    <row r="6066">
      <c r="A6066" s="3" t="inlineStr">
        <is>
          <t>Polybag 0.5 Liter"</t>
        </is>
      </c>
      <c r="B6066" s="3" t="inlineStr"/>
      <c r="C6066" s="3" t="inlineStr">
        <is>
          <t>m2</t>
        </is>
      </c>
      <c r="D6066" s="15" t="n">
        <v>1</v>
      </c>
      <c r="E6066" s="4" t="n">
        <v>15000</v>
      </c>
      <c r="F6066" s="4" t="n">
        <v>15000</v>
      </c>
    </row>
    <row r="6067">
      <c r="A6067" s="3" t="inlineStr">
        <is>
          <t>2</t>
        </is>
      </c>
      <c r="B6067" s="3" t="inlineStr">
        <is>
          <t>Anti Rayap tanah</t>
        </is>
      </c>
      <c r="C6067" s="3" t="inlineStr">
        <is>
          <t>kg</t>
        </is>
      </c>
      <c r="D6067" s="15" t="n">
        <v>0.01</v>
      </c>
      <c r="E6067" s="4" t="n">
        <v>28500</v>
      </c>
      <c r="F6067" s="4" t="n">
        <v>285</v>
      </c>
    </row>
    <row r="6068">
      <c r="A6068" s="3" t="n">
        <v>3</v>
      </c>
      <c r="B6068" s="3" t="inlineStr">
        <is>
          <t>Media Tanam</t>
        </is>
      </c>
      <c r="C6068" s="3" t="n">
        <v>0</v>
      </c>
    </row>
    <row r="6069">
      <c r="D6069" s="2" t="inlineStr">
        <is>
          <t>SUBTOTAL UPAH</t>
        </is>
      </c>
      <c r="F6069" s="16" t="n">
        <v>10097.5</v>
      </c>
    </row>
    <row r="6070">
      <c r="D6070" s="2" t="inlineStr">
        <is>
          <t>SUBTOTAL BAHAN</t>
        </is>
      </c>
      <c r="F6070" s="16" t="n">
        <v>15391.3</v>
      </c>
    </row>
    <row r="6071">
      <c r="D6071" s="2" t="inlineStr">
        <is>
          <t>SUBTOTAL ALAT</t>
        </is>
      </c>
      <c r="F6071" s="16" t="n">
        <v>0</v>
      </c>
    </row>
    <row r="6072">
      <c r="E6072" s="2" t="inlineStr">
        <is>
          <t>TOTAL HARGA SATUAN (Inc. Overhead)</t>
        </is>
      </c>
      <c r="F6072" s="17" t="n">
        <v>28037</v>
      </c>
    </row>
    <row r="6074">
      <c r="A6074" s="14" t="inlineStr">
        <is>
          <t>KODE: 4.1.5.4 - Penanaman 1 m2 Penutup Tanah, Sutra Bombay (Portulaca Sp.), 36 Buah/ m2, Polybag 0.5 L</t>
        </is>
      </c>
    </row>
    <row r="6075">
      <c r="A6075" s="10" t="inlineStr">
        <is>
          <t>No</t>
        </is>
      </c>
      <c r="B6075" s="10" t="inlineStr">
        <is>
          <t>Uraian Komponen</t>
        </is>
      </c>
      <c r="C6075" s="10" t="inlineStr">
        <is>
          <t>Satuan</t>
        </is>
      </c>
      <c r="D6075" s="10" t="inlineStr">
        <is>
          <t>Koef</t>
        </is>
      </c>
      <c r="E6075" s="10" t="inlineStr">
        <is>
          <t>Harga Satuan (Rp)</t>
        </is>
      </c>
      <c r="F6075" s="10" t="inlineStr">
        <is>
          <t>Jumlah Harga (Rp)</t>
        </is>
      </c>
    </row>
    <row r="6076">
      <c r="A6076" s="3" t="inlineStr">
        <is>
          <t>1</t>
        </is>
      </c>
      <c r="B6076" s="3" t="inlineStr">
        <is>
          <t>Tukang tanam</t>
        </is>
      </c>
      <c r="C6076" s="3" t="inlineStr">
        <is>
          <t>OH</t>
        </is>
      </c>
      <c r="D6076" s="15" t="n">
        <v>0.04</v>
      </c>
      <c r="E6076" s="4" t="n">
        <v>181250</v>
      </c>
      <c r="F6076" s="4" t="n">
        <v>7250</v>
      </c>
    </row>
    <row r="6077">
      <c r="A6077" s="3" t="inlineStr">
        <is>
          <t>2</t>
        </is>
      </c>
      <c r="B6077" s="3" t="inlineStr">
        <is>
          <t>Kepala Tukang Tanam</t>
        </is>
      </c>
      <c r="C6077" s="3" t="inlineStr">
        <is>
          <t>OH</t>
        </is>
      </c>
      <c r="D6077" s="15" t="n">
        <v>0.01</v>
      </c>
      <c r="E6077" s="4" t="n">
        <v>218750</v>
      </c>
      <c r="F6077" s="4" t="n">
        <v>2187.5</v>
      </c>
    </row>
    <row r="6078">
      <c r="A6078" s="3" t="inlineStr">
        <is>
          <t>3</t>
        </is>
      </c>
      <c r="B6078" s="3" t="inlineStr">
        <is>
          <t>Mandor</t>
        </is>
      </c>
      <c r="C6078" s="3" t="inlineStr">
        <is>
          <t>OH</t>
        </is>
      </c>
      <c r="D6078" s="15" t="n">
        <v>0.0033</v>
      </c>
      <c r="E6078" s="4" t="n">
        <v>200000</v>
      </c>
      <c r="F6078" s="4" t="n">
        <v>660</v>
      </c>
    </row>
    <row r="6079">
      <c r="A6079" s="3" t="inlineStr">
        <is>
          <t>di Polybag 0.5 Liter"</t>
        </is>
      </c>
      <c r="B6079" s="3" t="inlineStr"/>
      <c r="C6079" s="3" t="inlineStr">
        <is>
          <t>m2</t>
        </is>
      </c>
      <c r="D6079" s="15" t="n">
        <v>1</v>
      </c>
      <c r="E6079" s="4" t="n">
        <v>15000</v>
      </c>
      <c r="F6079" s="4" t="n">
        <v>15000</v>
      </c>
    </row>
    <row r="6080">
      <c r="A6080" s="3" t="inlineStr">
        <is>
          <t>2</t>
        </is>
      </c>
      <c r="B6080" s="3" t="inlineStr">
        <is>
          <t>Anti Rayap tanah</t>
        </is>
      </c>
      <c r="C6080" s="3" t="inlineStr">
        <is>
          <t>kg</t>
        </is>
      </c>
      <c r="D6080" s="15" t="n">
        <v>0.01</v>
      </c>
      <c r="E6080" s="4" t="n">
        <v>28500</v>
      </c>
      <c r="F6080" s="4" t="n">
        <v>285</v>
      </c>
    </row>
    <row r="6081">
      <c r="A6081" s="3" t="n">
        <v>3</v>
      </c>
      <c r="B6081" s="3" t="inlineStr">
        <is>
          <t>Media Tanam</t>
        </is>
      </c>
      <c r="C6081" s="3" t="n">
        <v>0</v>
      </c>
    </row>
    <row r="6082">
      <c r="D6082" s="2" t="inlineStr">
        <is>
          <t>SUBTOTAL UPAH</t>
        </is>
      </c>
      <c r="F6082" s="16" t="n">
        <v>10097.5</v>
      </c>
    </row>
    <row r="6083">
      <c r="D6083" s="2" t="inlineStr">
        <is>
          <t>SUBTOTAL BAHAN</t>
        </is>
      </c>
      <c r="F6083" s="16" t="n">
        <v>15391.3</v>
      </c>
    </row>
    <row r="6084">
      <c r="D6084" s="2" t="inlineStr">
        <is>
          <t>SUBTOTAL ALAT</t>
        </is>
      </c>
      <c r="F6084" s="16" t="n">
        <v>0</v>
      </c>
    </row>
    <row r="6085">
      <c r="E6085" s="2" t="inlineStr">
        <is>
          <t>TOTAL HARGA SATUAN (Inc. Overhead)</t>
        </is>
      </c>
      <c r="F6085" s="17" t="n">
        <v>28037</v>
      </c>
    </row>
    <row r="6087">
      <c r="A6087" s="14" t="inlineStr">
        <is>
          <t>KODE: 4.1.5.5 - Penanaman 1 m2 Penutup Tanah, Lantana (Lantana Camara), 36 Buah/ m2, Polybag 0.5 L</t>
        </is>
      </c>
    </row>
    <row r="6088">
      <c r="A6088" s="10" t="inlineStr">
        <is>
          <t>No</t>
        </is>
      </c>
      <c r="B6088" s="10" t="inlineStr">
        <is>
          <t>Uraian Komponen</t>
        </is>
      </c>
      <c r="C6088" s="10" t="inlineStr">
        <is>
          <t>Satuan</t>
        </is>
      </c>
      <c r="D6088" s="10" t="inlineStr">
        <is>
          <t>Koef</t>
        </is>
      </c>
      <c r="E6088" s="10" t="inlineStr">
        <is>
          <t>Harga Satuan (Rp)</t>
        </is>
      </c>
      <c r="F6088" s="10" t="inlineStr">
        <is>
          <t>Jumlah Harga (Rp)</t>
        </is>
      </c>
    </row>
    <row r="6089">
      <c r="A6089" s="3" t="inlineStr">
        <is>
          <t>1</t>
        </is>
      </c>
      <c r="B6089" s="3" t="inlineStr">
        <is>
          <t>Tukang tanam</t>
        </is>
      </c>
      <c r="C6089" s="3" t="inlineStr">
        <is>
          <t>OH</t>
        </is>
      </c>
      <c r="D6089" s="15" t="n">
        <v>0.04</v>
      </c>
      <c r="E6089" s="4" t="n">
        <v>181250</v>
      </c>
      <c r="F6089" s="4" t="n">
        <v>7250</v>
      </c>
    </row>
    <row r="6090">
      <c r="A6090" s="3" t="inlineStr">
        <is>
          <t>2</t>
        </is>
      </c>
      <c r="B6090" s="3" t="inlineStr">
        <is>
          <t>Kepala Tukang Tanam</t>
        </is>
      </c>
      <c r="C6090" s="3" t="inlineStr">
        <is>
          <t>OH</t>
        </is>
      </c>
      <c r="D6090" s="15" t="n">
        <v>0.01</v>
      </c>
      <c r="E6090" s="4" t="n">
        <v>218750</v>
      </c>
      <c r="F6090" s="4" t="n">
        <v>2187.5</v>
      </c>
    </row>
    <row r="6091">
      <c r="A6091" s="3" t="inlineStr">
        <is>
          <t>3</t>
        </is>
      </c>
      <c r="B6091" s="3" t="inlineStr">
        <is>
          <t>Mandor</t>
        </is>
      </c>
      <c r="C6091" s="3" t="inlineStr">
        <is>
          <t>OH</t>
        </is>
      </c>
      <c r="D6091" s="15" t="n">
        <v>0.0033</v>
      </c>
      <c r="E6091" s="4" t="n">
        <v>200000</v>
      </c>
      <c r="F6091" s="4" t="n">
        <v>660</v>
      </c>
    </row>
    <row r="6092">
      <c r="A6092" s="3" t="inlineStr">
        <is>
          <t>Polybag 0.5 Liter"</t>
        </is>
      </c>
      <c r="B6092" s="3" t="inlineStr"/>
      <c r="C6092" s="3" t="inlineStr">
        <is>
          <t>m2</t>
        </is>
      </c>
      <c r="D6092" s="15" t="n">
        <v>1</v>
      </c>
      <c r="E6092" s="4" t="n">
        <v>15000</v>
      </c>
      <c r="F6092" s="4" t="n">
        <v>15000</v>
      </c>
    </row>
    <row r="6093">
      <c r="A6093" s="3" t="inlineStr">
        <is>
          <t>2</t>
        </is>
      </c>
      <c r="B6093" s="3" t="inlineStr">
        <is>
          <t>Anti Rayap tanah</t>
        </is>
      </c>
      <c r="C6093" s="3" t="inlineStr">
        <is>
          <t>kg</t>
        </is>
      </c>
      <c r="D6093" s="15" t="n">
        <v>0.01</v>
      </c>
      <c r="E6093" s="4" t="n">
        <v>28500</v>
      </c>
      <c r="F6093" s="4" t="n">
        <v>285</v>
      </c>
    </row>
    <row r="6094">
      <c r="A6094" s="3" t="n">
        <v>3</v>
      </c>
      <c r="B6094" s="3" t="inlineStr">
        <is>
          <t>Media Tanam</t>
        </is>
      </c>
      <c r="C6094" s="3" t="n">
        <v>0</v>
      </c>
    </row>
    <row r="6095">
      <c r="D6095" s="2" t="inlineStr">
        <is>
          <t>SUBTOTAL UPAH</t>
        </is>
      </c>
      <c r="F6095" s="16" t="n">
        <v>10097.5</v>
      </c>
    </row>
    <row r="6096">
      <c r="D6096" s="2" t="inlineStr">
        <is>
          <t>SUBTOTAL BAHAN</t>
        </is>
      </c>
      <c r="F6096" s="16" t="n">
        <v>15391.3</v>
      </c>
    </row>
    <row r="6097">
      <c r="D6097" s="2" t="inlineStr">
        <is>
          <t>SUBTOTAL ALAT</t>
        </is>
      </c>
      <c r="F6097" s="16" t="n">
        <v>0</v>
      </c>
    </row>
    <row r="6098">
      <c r="E6098" s="2" t="inlineStr">
        <is>
          <t>TOTAL HARGA SATUAN (Inc. Overhead)</t>
        </is>
      </c>
      <c r="F6098" s="17" t="n">
        <v>28037</v>
      </c>
    </row>
    <row r="6100">
      <c r="A6100" s="14" t="inlineStr">
        <is>
          <t>KODE: 4.1.5.6 - Penanaman 1 m2 Penutup Tanah,Kucai Mini (Ophiopogon
Japonicus), 50 Buah/ m2, Polybag 0,5 L</t>
        </is>
      </c>
    </row>
    <row r="6101">
      <c r="A6101" s="10" t="inlineStr">
        <is>
          <t>No</t>
        </is>
      </c>
      <c r="B6101" s="10" t="inlineStr">
        <is>
          <t>Uraian Komponen</t>
        </is>
      </c>
      <c r="C6101" s="10" t="inlineStr">
        <is>
          <t>Satuan</t>
        </is>
      </c>
      <c r="D6101" s="10" t="inlineStr">
        <is>
          <t>Koef</t>
        </is>
      </c>
      <c r="E6101" s="10" t="inlineStr">
        <is>
          <t>Harga Satuan (Rp)</t>
        </is>
      </c>
      <c r="F6101" s="10" t="inlineStr">
        <is>
          <t>Jumlah Harga (Rp)</t>
        </is>
      </c>
    </row>
    <row r="6102">
      <c r="A6102" s="3" t="inlineStr">
        <is>
          <t>Japonicus)</t>
        </is>
      </c>
      <c r="B6102" s="3" t="inlineStr">
        <is>
          <t>50 Buah/ m2</t>
        </is>
      </c>
      <c r="C6102" s="3" t="inlineStr">
        <is>
          <t>Polybag 0</t>
        </is>
      </c>
      <c r="D6102" s="3" t="inlineStr">
        <is>
          <t>5 L "</t>
        </is>
      </c>
      <c r="E6102" s="4" t="n">
        <v>28037</v>
      </c>
      <c r="F6102" s="3" t="inlineStr">
        <is>
          <t>Revisi</t>
        </is>
      </c>
    </row>
    <row r="6103">
      <c r="A6103" s="3" t="inlineStr">
        <is>
          <t>1</t>
        </is>
      </c>
      <c r="B6103" s="3" t="inlineStr">
        <is>
          <t>Tukang tanam</t>
        </is>
      </c>
      <c r="C6103" s="3" t="inlineStr">
        <is>
          <t>OH</t>
        </is>
      </c>
      <c r="D6103" s="15" t="n">
        <v>0.04</v>
      </c>
      <c r="E6103" s="4" t="n">
        <v>181250</v>
      </c>
      <c r="F6103" s="4" t="n">
        <v>7250</v>
      </c>
    </row>
    <row r="6104">
      <c r="A6104" s="3" t="inlineStr">
        <is>
          <t>2</t>
        </is>
      </c>
      <c r="B6104" s="3" t="inlineStr">
        <is>
          <t>Kepala Tukang Tanam</t>
        </is>
      </c>
      <c r="C6104" s="3" t="inlineStr">
        <is>
          <t>OH</t>
        </is>
      </c>
      <c r="D6104" s="15" t="n">
        <v>0.01</v>
      </c>
      <c r="E6104" s="4" t="n">
        <v>218750</v>
      </c>
      <c r="F6104" s="4" t="n">
        <v>2187.5</v>
      </c>
    </row>
    <row r="6105">
      <c r="A6105" s="3" t="inlineStr">
        <is>
          <t>3</t>
        </is>
      </c>
      <c r="B6105" s="3" t="inlineStr">
        <is>
          <t>Mandor</t>
        </is>
      </c>
      <c r="C6105" s="3" t="inlineStr">
        <is>
          <t>OH</t>
        </is>
      </c>
      <c r="D6105" s="15" t="n">
        <v>0.0033</v>
      </c>
      <c r="E6105" s="4" t="n">
        <v>200000</v>
      </c>
      <c r="F6105" s="4" t="n">
        <v>660</v>
      </c>
    </row>
    <row r="6106">
      <c r="A6106" s="3" t="inlineStr">
        <is>
          <t>Polybag 0.5 Liter"</t>
        </is>
      </c>
      <c r="B6106" s="3" t="inlineStr"/>
      <c r="C6106" s="3" t="inlineStr">
        <is>
          <t>m2</t>
        </is>
      </c>
      <c r="D6106" s="15" t="n">
        <v>1</v>
      </c>
      <c r="E6106" s="4" t="n">
        <v>15000</v>
      </c>
      <c r="F6106" s="4" t="n">
        <v>15000</v>
      </c>
    </row>
    <row r="6107">
      <c r="A6107" s="3" t="inlineStr">
        <is>
          <t>2</t>
        </is>
      </c>
      <c r="B6107" s="3" t="inlineStr">
        <is>
          <t>Anti Rayap tanah</t>
        </is>
      </c>
      <c r="C6107" s="3" t="inlineStr">
        <is>
          <t>kg</t>
        </is>
      </c>
      <c r="D6107" s="15" t="n">
        <v>0.01</v>
      </c>
      <c r="E6107" s="4" t="n">
        <v>28500</v>
      </c>
      <c r="F6107" s="4" t="n">
        <v>285</v>
      </c>
    </row>
    <row r="6108">
      <c r="A6108" s="3" t="n">
        <v>3</v>
      </c>
      <c r="B6108" s="3" t="inlineStr">
        <is>
          <t>Media Tanam</t>
        </is>
      </c>
      <c r="C6108" s="3" t="n">
        <v>0</v>
      </c>
    </row>
    <row r="6109">
      <c r="D6109" s="2" t="inlineStr">
        <is>
          <t>SUBTOTAL UPAH</t>
        </is>
      </c>
      <c r="F6109" s="16" t="n">
        <v>10097.5</v>
      </c>
    </row>
    <row r="6110">
      <c r="D6110" s="2" t="inlineStr">
        <is>
          <t>SUBTOTAL BAHAN</t>
        </is>
      </c>
      <c r="F6110" s="16" t="n">
        <v>15391.3</v>
      </c>
    </row>
    <row r="6111">
      <c r="D6111" s="2" t="inlineStr">
        <is>
          <t>SUBTOTAL ALAT</t>
        </is>
      </c>
      <c r="F6111" s="16" t="n">
        <v>0</v>
      </c>
    </row>
    <row r="6112">
      <c r="E6112" s="2" t="inlineStr">
        <is>
          <t>TOTAL HARGA SATUAN (Inc. Overhead)</t>
        </is>
      </c>
      <c r="F6112" s="17" t="n">
        <v>28037</v>
      </c>
    </row>
    <row r="6114">
      <c r="A6114" s="14" t="inlineStr">
        <is>
          <t>KODE: 4.1.6.1 - Penanaman 1 m2 Rumput,Rumput Gajah (Pennisetum Purpureum)</t>
        </is>
      </c>
    </row>
    <row r="6115">
      <c r="A6115" s="10" t="inlineStr">
        <is>
          <t>No</t>
        </is>
      </c>
      <c r="B6115" s="10" t="inlineStr">
        <is>
          <t>Uraian Komponen</t>
        </is>
      </c>
      <c r="C6115" s="10" t="inlineStr">
        <is>
          <t>Satuan</t>
        </is>
      </c>
      <c r="D6115" s="10" t="inlineStr">
        <is>
          <t>Koef</t>
        </is>
      </c>
      <c r="E6115" s="10" t="inlineStr">
        <is>
          <t>Harga Satuan (Rp)</t>
        </is>
      </c>
      <c r="F6115" s="10" t="inlineStr">
        <is>
          <t>Jumlah Harga (Rp)</t>
        </is>
      </c>
    </row>
    <row r="6116">
      <c r="A6116" s="3" t="inlineStr">
        <is>
          <t>1</t>
        </is>
      </c>
      <c r="B6116" s="3" t="inlineStr">
        <is>
          <t>Pekerja</t>
        </is>
      </c>
      <c r="C6116" s="3" t="inlineStr">
        <is>
          <t>OH</t>
        </is>
      </c>
      <c r="D6116" s="15" t="n">
        <v>0.02</v>
      </c>
      <c r="E6116" s="4" t="n">
        <v>100000</v>
      </c>
      <c r="F6116" s="4" t="n">
        <v>2000</v>
      </c>
    </row>
    <row r="6117">
      <c r="A6117" s="3" t="inlineStr">
        <is>
          <t>2</t>
        </is>
      </c>
      <c r="B6117" s="3" t="inlineStr">
        <is>
          <t>Tukang tanam</t>
        </is>
      </c>
      <c r="C6117" s="3" t="inlineStr">
        <is>
          <t>OH</t>
        </is>
      </c>
      <c r="D6117" s="15" t="n">
        <v>0.02</v>
      </c>
      <c r="E6117" s="4" t="n">
        <v>181250</v>
      </c>
      <c r="F6117" s="4" t="n">
        <v>3625</v>
      </c>
    </row>
    <row r="6118">
      <c r="A6118" s="3" t="inlineStr">
        <is>
          <t>3</t>
        </is>
      </c>
      <c r="B6118" s="3" t="inlineStr">
        <is>
          <t>Kepala Tukang Tanam</t>
        </is>
      </c>
      <c r="C6118" s="3" t="inlineStr">
        <is>
          <t>OH</t>
        </is>
      </c>
      <c r="D6118" s="15" t="n">
        <v>0.004</v>
      </c>
      <c r="E6118" s="4" t="n">
        <v>218750</v>
      </c>
      <c r="F6118" s="4" t="n">
        <v>875</v>
      </c>
    </row>
    <row r="6119">
      <c r="A6119" s="3" t="inlineStr">
        <is>
          <t>4</t>
        </is>
      </c>
      <c r="B6119" s="3" t="inlineStr">
        <is>
          <t>Mandor</t>
        </is>
      </c>
      <c r="C6119" s="3" t="inlineStr">
        <is>
          <t>OH</t>
        </is>
      </c>
      <c r="D6119" s="15" t="n">
        <v>0.0013</v>
      </c>
      <c r="E6119" s="4" t="n">
        <v>200000</v>
      </c>
      <c r="F6119" s="4" t="n">
        <v>260</v>
      </c>
    </row>
    <row r="6120">
      <c r="A6120" s="3" t="inlineStr">
        <is>
          <t>1</t>
        </is>
      </c>
      <c r="B6120" s="3" t="inlineStr">
        <is>
          <t>Rumput gajah</t>
        </is>
      </c>
      <c r="C6120" s="3" t="inlineStr">
        <is>
          <t>buah</t>
        </is>
      </c>
      <c r="D6120" s="15" t="n">
        <v>1</v>
      </c>
      <c r="E6120" s="4" t="n">
        <v>10000</v>
      </c>
      <c r="F6120" s="4" t="n">
        <v>10000</v>
      </c>
    </row>
    <row r="6121">
      <c r="A6121" s="3" t="n">
        <v>2</v>
      </c>
      <c r="B6121" s="3" t="inlineStr">
        <is>
          <t>Media Tanam</t>
        </is>
      </c>
      <c r="C6121" s="3" t="n">
        <v>0</v>
      </c>
    </row>
    <row r="6122">
      <c r="D6122" s="2" t="inlineStr">
        <is>
          <t>SUBTOTAL UPAH</t>
        </is>
      </c>
      <c r="F6122" s="16" t="n">
        <v>6760</v>
      </c>
    </row>
    <row r="6123">
      <c r="D6123" s="2" t="inlineStr">
        <is>
          <t>SUBTOTAL BAHAN</t>
        </is>
      </c>
      <c r="F6123" s="16" t="n">
        <v>26850</v>
      </c>
    </row>
    <row r="6124">
      <c r="D6124" s="2" t="inlineStr">
        <is>
          <t>SUBTOTAL ALAT</t>
        </is>
      </c>
      <c r="F6124" s="16" t="n">
        <v>0</v>
      </c>
    </row>
    <row r="6125">
      <c r="E6125" s="2" t="inlineStr">
        <is>
          <t>TOTAL HARGA SATUAN (Inc. Overhead)</t>
        </is>
      </c>
      <c r="F6125" s="17" t="n">
        <v>36971</v>
      </c>
    </row>
    <row r="6127">
      <c r="A6127" s="14" t="inlineStr">
        <is>
          <t>KODE: 4.1.6.2 - Penanaman 1 m2 Rumput,Rumput Gajah Mini (Axonopus
Compressus)</t>
        </is>
      </c>
    </row>
    <row r="6128">
      <c r="A6128" s="10" t="inlineStr">
        <is>
          <t>No</t>
        </is>
      </c>
      <c r="B6128" s="10" t="inlineStr">
        <is>
          <t>Uraian Komponen</t>
        </is>
      </c>
      <c r="C6128" s="10" t="inlineStr">
        <is>
          <t>Satuan</t>
        </is>
      </c>
      <c r="D6128" s="10" t="inlineStr">
        <is>
          <t>Koef</t>
        </is>
      </c>
      <c r="E6128" s="10" t="inlineStr">
        <is>
          <t>Harga Satuan (Rp)</t>
        </is>
      </c>
      <c r="F6128" s="10" t="inlineStr">
        <is>
          <t>Jumlah Harga (Rp)</t>
        </is>
      </c>
    </row>
    <row r="6129">
      <c r="A6129" s="3" t="inlineStr">
        <is>
          <t>1</t>
        </is>
      </c>
      <c r="B6129" s="3" t="inlineStr">
        <is>
          <t>Pekerja</t>
        </is>
      </c>
      <c r="C6129" s="3" t="inlineStr">
        <is>
          <t>OH</t>
        </is>
      </c>
      <c r="D6129" s="15" t="n">
        <v>0.02</v>
      </c>
      <c r="E6129" s="4" t="n">
        <v>100000</v>
      </c>
      <c r="F6129" s="4" t="n">
        <v>2000</v>
      </c>
    </row>
    <row r="6130">
      <c r="A6130" s="3" t="inlineStr">
        <is>
          <t>2</t>
        </is>
      </c>
      <c r="B6130" s="3" t="inlineStr">
        <is>
          <t>Tukang tanam</t>
        </is>
      </c>
      <c r="C6130" s="3" t="inlineStr">
        <is>
          <t>OH</t>
        </is>
      </c>
      <c r="D6130" s="15" t="n">
        <v>0.02</v>
      </c>
      <c r="E6130" s="4" t="n">
        <v>181250</v>
      </c>
      <c r="F6130" s="4" t="n">
        <v>3625</v>
      </c>
    </row>
    <row r="6131">
      <c r="A6131" s="3" t="inlineStr">
        <is>
          <t>3</t>
        </is>
      </c>
      <c r="B6131" s="3" t="inlineStr">
        <is>
          <t>Kepala Tukang Tanam</t>
        </is>
      </c>
      <c r="C6131" s="3" t="inlineStr">
        <is>
          <t>OH</t>
        </is>
      </c>
      <c r="D6131" s="15" t="n">
        <v>0.004</v>
      </c>
      <c r="E6131" s="4" t="n">
        <v>218750</v>
      </c>
      <c r="F6131" s="4" t="n">
        <v>875</v>
      </c>
    </row>
    <row r="6132">
      <c r="A6132" s="3" t="inlineStr">
        <is>
          <t>4</t>
        </is>
      </c>
      <c r="B6132" s="3" t="inlineStr">
        <is>
          <t>Mandor</t>
        </is>
      </c>
      <c r="C6132" s="3" t="inlineStr">
        <is>
          <t>OH</t>
        </is>
      </c>
      <c r="D6132" s="15" t="n">
        <v>0.0013</v>
      </c>
      <c r="E6132" s="4" t="n">
        <v>200000</v>
      </c>
      <c r="F6132" s="4" t="n">
        <v>260</v>
      </c>
    </row>
    <row r="6133">
      <c r="A6133" s="3" t="inlineStr">
        <is>
          <t>1</t>
        </is>
      </c>
      <c r="B6133" s="3" t="inlineStr">
        <is>
          <t>Rumput gajah mini</t>
        </is>
      </c>
      <c r="C6133" s="3" t="inlineStr">
        <is>
          <t>buah</t>
        </is>
      </c>
      <c r="D6133" s="15" t="n">
        <v>1</v>
      </c>
      <c r="E6133" s="4" t="n">
        <v>15000</v>
      </c>
      <c r="F6133" s="4" t="n">
        <v>15000</v>
      </c>
    </row>
    <row r="6134">
      <c r="A6134" s="3" t="n">
        <v>2</v>
      </c>
      <c r="B6134" s="3" t="inlineStr">
        <is>
          <t>Media Tanam</t>
        </is>
      </c>
      <c r="C6134" s="3" t="n">
        <v>0</v>
      </c>
    </row>
    <row r="6135">
      <c r="D6135" s="2" t="inlineStr">
        <is>
          <t>SUBTOTAL UPAH</t>
        </is>
      </c>
      <c r="F6135" s="16" t="n">
        <v>6760</v>
      </c>
    </row>
    <row r="6136">
      <c r="D6136" s="2" t="inlineStr">
        <is>
          <t>SUBTOTAL BAHAN</t>
        </is>
      </c>
      <c r="F6136" s="16" t="n">
        <v>31850</v>
      </c>
    </row>
    <row r="6137">
      <c r="D6137" s="2" t="inlineStr">
        <is>
          <t>SUBTOTAL ALAT</t>
        </is>
      </c>
      <c r="F6137" s="16" t="n">
        <v>0</v>
      </c>
    </row>
    <row r="6138">
      <c r="E6138" s="2" t="inlineStr">
        <is>
          <t>TOTAL HARGA SATUAN (Inc. Overhead)</t>
        </is>
      </c>
      <c r="F6138" s="17" t="n">
        <v>42471</v>
      </c>
    </row>
    <row r="6140">
      <c r="A6140" s="14" t="inlineStr">
        <is>
          <t>KODE: 4.1.6.3 - Penanaman 1 m2 Rumput,Rumput Peking (Agrostis Stolonifera)</t>
        </is>
      </c>
    </row>
    <row r="6141">
      <c r="A6141" s="10" t="inlineStr">
        <is>
          <t>No</t>
        </is>
      </c>
      <c r="B6141" s="10" t="inlineStr">
        <is>
          <t>Uraian Komponen</t>
        </is>
      </c>
      <c r="C6141" s="10" t="inlineStr">
        <is>
          <t>Satuan</t>
        </is>
      </c>
      <c r="D6141" s="10" t="inlineStr">
        <is>
          <t>Koef</t>
        </is>
      </c>
      <c r="E6141" s="10" t="inlineStr">
        <is>
          <t>Harga Satuan (Rp)</t>
        </is>
      </c>
      <c r="F6141" s="10" t="inlineStr">
        <is>
          <t>Jumlah Harga (Rp)</t>
        </is>
      </c>
    </row>
    <row r="6142">
      <c r="A6142" s="3" t="inlineStr">
        <is>
          <t>1</t>
        </is>
      </c>
      <c r="B6142" s="3" t="inlineStr">
        <is>
          <t>Pekerja</t>
        </is>
      </c>
      <c r="C6142" s="3" t="inlineStr">
        <is>
          <t>OH</t>
        </is>
      </c>
      <c r="D6142" s="15" t="n">
        <v>0.02</v>
      </c>
      <c r="E6142" s="4" t="n">
        <v>100000</v>
      </c>
      <c r="F6142" s="4" t="n">
        <v>2000</v>
      </c>
    </row>
    <row r="6143">
      <c r="A6143" s="3" t="inlineStr">
        <is>
          <t>2</t>
        </is>
      </c>
      <c r="B6143" s="3" t="inlineStr">
        <is>
          <t>Tukang tanam</t>
        </is>
      </c>
      <c r="C6143" s="3" t="inlineStr">
        <is>
          <t>OH</t>
        </is>
      </c>
      <c r="D6143" s="15" t="n">
        <v>0.02</v>
      </c>
      <c r="E6143" s="4" t="n">
        <v>181250</v>
      </c>
      <c r="F6143" s="4" t="n">
        <v>3625</v>
      </c>
    </row>
    <row r="6144">
      <c r="A6144" s="3" t="inlineStr">
        <is>
          <t>3</t>
        </is>
      </c>
      <c r="B6144" s="3" t="inlineStr">
        <is>
          <t>Kepala Tukang Tanam</t>
        </is>
      </c>
      <c r="C6144" s="3" t="inlineStr">
        <is>
          <t>OH</t>
        </is>
      </c>
      <c r="D6144" s="15" t="n">
        <v>0.004</v>
      </c>
      <c r="E6144" s="4" t="n">
        <v>218750</v>
      </c>
      <c r="F6144" s="4" t="n">
        <v>875</v>
      </c>
    </row>
    <row r="6145">
      <c r="A6145" s="3" t="inlineStr">
        <is>
          <t>4</t>
        </is>
      </c>
      <c r="B6145" s="3" t="inlineStr">
        <is>
          <t>Mandor</t>
        </is>
      </c>
      <c r="C6145" s="3" t="inlineStr">
        <is>
          <t>OH</t>
        </is>
      </c>
      <c r="D6145" s="15" t="n">
        <v>0.0013</v>
      </c>
      <c r="E6145" s="4" t="n">
        <v>200000</v>
      </c>
      <c r="F6145" s="4" t="n">
        <v>260</v>
      </c>
    </row>
    <row r="6146">
      <c r="A6146" s="3" t="inlineStr">
        <is>
          <t>1</t>
        </is>
      </c>
      <c r="B6146" s="3" t="inlineStr">
        <is>
          <t>Rumput peking</t>
        </is>
      </c>
      <c r="C6146" s="3" t="inlineStr">
        <is>
          <t>buah</t>
        </is>
      </c>
      <c r="D6146" s="15" t="n">
        <v>1</v>
      </c>
      <c r="E6146" s="4" t="n">
        <v>19000</v>
      </c>
      <c r="F6146" s="4" t="n">
        <v>19000</v>
      </c>
    </row>
    <row r="6147">
      <c r="A6147" s="3" t="n">
        <v>2</v>
      </c>
      <c r="B6147" s="3" t="inlineStr">
        <is>
          <t>Media Tanam</t>
        </is>
      </c>
      <c r="C6147" s="3" t="n">
        <v>0</v>
      </c>
    </row>
    <row r="6148">
      <c r="D6148" s="2" t="inlineStr">
        <is>
          <t>SUBTOTAL UPAH</t>
        </is>
      </c>
      <c r="F6148" s="16" t="n">
        <v>6760</v>
      </c>
    </row>
    <row r="6149">
      <c r="D6149" s="2" t="inlineStr">
        <is>
          <t>SUBTOTAL BAHAN</t>
        </is>
      </c>
      <c r="F6149" s="16" t="n">
        <v>35850</v>
      </c>
    </row>
    <row r="6150">
      <c r="D6150" s="2" t="inlineStr">
        <is>
          <t>SUBTOTAL ALAT</t>
        </is>
      </c>
      <c r="F6150" s="16" t="n">
        <v>0</v>
      </c>
    </row>
    <row r="6151">
      <c r="E6151" s="2" t="inlineStr">
        <is>
          <t>TOTAL HARGA SATUAN (Inc. Overhead)</t>
        </is>
      </c>
      <c r="F6151" s="17" t="n">
        <v>46871</v>
      </c>
    </row>
    <row r="6153">
      <c r="A6153" s="14" t="inlineStr">
        <is>
          <t>KODE: 4.1.6.4 - Penanaman 1 m2 Rumput, Rumput Embun (Bothriochloa Pertusa)</t>
        </is>
      </c>
    </row>
    <row r="6154">
      <c r="A6154" s="10" t="inlineStr">
        <is>
          <t>No</t>
        </is>
      </c>
      <c r="B6154" s="10" t="inlineStr">
        <is>
          <t>Uraian Komponen</t>
        </is>
      </c>
      <c r="C6154" s="10" t="inlineStr">
        <is>
          <t>Satuan</t>
        </is>
      </c>
      <c r="D6154" s="10" t="inlineStr">
        <is>
          <t>Koef</t>
        </is>
      </c>
      <c r="E6154" s="10" t="inlineStr">
        <is>
          <t>Harga Satuan (Rp)</t>
        </is>
      </c>
      <c r="F6154" s="10" t="inlineStr">
        <is>
          <t>Jumlah Harga (Rp)</t>
        </is>
      </c>
    </row>
    <row r="6155">
      <c r="A6155" s="3" t="inlineStr">
        <is>
          <t>1</t>
        </is>
      </c>
      <c r="B6155" s="3" t="inlineStr">
        <is>
          <t>Pekerja</t>
        </is>
      </c>
      <c r="C6155" s="3" t="inlineStr">
        <is>
          <t>OH</t>
        </is>
      </c>
      <c r="D6155" s="15" t="n">
        <v>0.02</v>
      </c>
      <c r="E6155" s="4" t="n">
        <v>100000</v>
      </c>
      <c r="F6155" s="4" t="n">
        <v>2000</v>
      </c>
    </row>
    <row r="6156">
      <c r="A6156" s="3" t="inlineStr">
        <is>
          <t>2</t>
        </is>
      </c>
      <c r="B6156" s="3" t="inlineStr">
        <is>
          <t>Tukang tanam</t>
        </is>
      </c>
      <c r="C6156" s="3" t="inlineStr">
        <is>
          <t>OH</t>
        </is>
      </c>
      <c r="D6156" s="15" t="n">
        <v>0.02</v>
      </c>
      <c r="E6156" s="4" t="n">
        <v>181250</v>
      </c>
      <c r="F6156" s="4" t="n">
        <v>3625</v>
      </c>
    </row>
    <row r="6157">
      <c r="A6157" s="3" t="inlineStr">
        <is>
          <t>3</t>
        </is>
      </c>
      <c r="B6157" s="3" t="inlineStr">
        <is>
          <t>Kepala Tukang Tanam</t>
        </is>
      </c>
      <c r="C6157" s="3" t="inlineStr">
        <is>
          <t>OH</t>
        </is>
      </c>
      <c r="D6157" s="15" t="n">
        <v>0.004</v>
      </c>
      <c r="E6157" s="4" t="n">
        <v>218750</v>
      </c>
      <c r="F6157" s="4" t="n">
        <v>875</v>
      </c>
    </row>
    <row r="6158">
      <c r="A6158" s="3" t="inlineStr">
        <is>
          <t>4</t>
        </is>
      </c>
      <c r="B6158" s="3" t="inlineStr">
        <is>
          <t>Mandor</t>
        </is>
      </c>
      <c r="C6158" s="3" t="inlineStr">
        <is>
          <t>OH</t>
        </is>
      </c>
      <c r="D6158" s="15" t="n">
        <v>0.0013</v>
      </c>
      <c r="E6158" s="4" t="n">
        <v>200000</v>
      </c>
      <c r="F6158" s="4" t="n">
        <v>260</v>
      </c>
    </row>
    <row r="6159">
      <c r="A6159" s="3" t="inlineStr">
        <is>
          <t>1</t>
        </is>
      </c>
      <c r="B6159" s="3" t="inlineStr">
        <is>
          <t>Rumput embun</t>
        </is>
      </c>
      <c r="C6159" s="3" t="inlineStr">
        <is>
          <t>buah</t>
        </is>
      </c>
      <c r="D6159" s="15" t="n">
        <v>1</v>
      </c>
      <c r="E6159" s="4" t="n">
        <v>17000</v>
      </c>
      <c r="F6159" s="4" t="n">
        <v>17000</v>
      </c>
    </row>
    <row r="6160">
      <c r="A6160" s="3" t="n">
        <v>2</v>
      </c>
      <c r="B6160" s="3" t="inlineStr">
        <is>
          <t>Media Tanam</t>
        </is>
      </c>
      <c r="C6160" s="3" t="n">
        <v>0</v>
      </c>
    </row>
    <row r="6161">
      <c r="D6161" s="2" t="inlineStr">
        <is>
          <t>SUBTOTAL UPAH</t>
        </is>
      </c>
      <c r="F6161" s="16" t="n">
        <v>6760</v>
      </c>
    </row>
    <row r="6162">
      <c r="D6162" s="2" t="inlineStr">
        <is>
          <t>SUBTOTAL BAHAN</t>
        </is>
      </c>
      <c r="F6162" s="16" t="n">
        <v>33850</v>
      </c>
    </row>
    <row r="6163">
      <c r="D6163" s="2" t="inlineStr">
        <is>
          <t>SUBTOTAL ALAT</t>
        </is>
      </c>
      <c r="F6163" s="16" t="n">
        <v>0</v>
      </c>
    </row>
    <row r="6164">
      <c r="E6164" s="2" t="inlineStr">
        <is>
          <t>TOTAL HARGA SATUAN (Inc. Overhead)</t>
        </is>
      </c>
      <c r="F6164" s="17" t="n">
        <v>44671</v>
      </c>
    </row>
    <row r="6166">
      <c r="A6166" s="14" t="inlineStr">
        <is>
          <t>KODE: 4.1.7.1 - Penanaman pada Lereng Tanah 1:2 (13-26,5° ), Metode Hydroseeding per m2 permukaan lereng ( Menggunakan Jenis Biji Rumput)</t>
        </is>
      </c>
    </row>
    <row r="6167">
      <c r="A6167" s="10" t="inlineStr">
        <is>
          <t>No</t>
        </is>
      </c>
      <c r="B6167" s="10" t="inlineStr">
        <is>
          <t>Uraian Komponen</t>
        </is>
      </c>
      <c r="C6167" s="10" t="inlineStr">
        <is>
          <t>Satuan</t>
        </is>
      </c>
      <c r="D6167" s="10" t="inlineStr">
        <is>
          <t>Koef</t>
        </is>
      </c>
      <c r="E6167" s="10" t="inlineStr">
        <is>
          <t>Harga Satuan (Rp)</t>
        </is>
      </c>
      <c r="F6167" s="10" t="inlineStr">
        <is>
          <t>Jumlah Harga (Rp)</t>
        </is>
      </c>
    </row>
    <row r="6168">
      <c r="A6168" s="3" t="inlineStr">
        <is>
          <t>1</t>
        </is>
      </c>
      <c r="B6168" s="3" t="inlineStr">
        <is>
          <t>Pekerja</t>
        </is>
      </c>
      <c r="C6168" s="3" t="inlineStr">
        <is>
          <t>OH</t>
        </is>
      </c>
      <c r="D6168" s="15" t="n">
        <v>0.0005</v>
      </c>
      <c r="E6168" s="4" t="n">
        <v>100000</v>
      </c>
      <c r="F6168" s="4" t="n">
        <v>50</v>
      </c>
    </row>
    <row r="6169">
      <c r="A6169" s="3" t="inlineStr">
        <is>
          <t>2</t>
        </is>
      </c>
      <c r="B6169" s="3" t="inlineStr">
        <is>
          <t>Tukang tanam</t>
        </is>
      </c>
      <c r="C6169" s="3" t="inlineStr">
        <is>
          <t>OH</t>
        </is>
      </c>
      <c r="D6169" s="15" t="n">
        <v>0.001</v>
      </c>
      <c r="E6169" s="4" t="n">
        <v>181250</v>
      </c>
      <c r="F6169" s="4" t="n">
        <v>181.25</v>
      </c>
    </row>
    <row r="6170">
      <c r="A6170" s="3" t="inlineStr">
        <is>
          <t>2</t>
        </is>
      </c>
      <c r="B6170" s="3" t="inlineStr">
        <is>
          <t>Kepala Tukang Tanam</t>
        </is>
      </c>
      <c r="C6170" s="3" t="inlineStr">
        <is>
          <t>OH</t>
        </is>
      </c>
      <c r="D6170" s="15" t="n">
        <v>0.0001</v>
      </c>
      <c r="E6170" s="4" t="n">
        <v>218750</v>
      </c>
      <c r="F6170" s="4" t="n">
        <v>21.875</v>
      </c>
    </row>
    <row r="6171">
      <c r="A6171" s="3" t="inlineStr">
        <is>
          <t>3</t>
        </is>
      </c>
      <c r="B6171" s="3" t="inlineStr">
        <is>
          <t>Mandor</t>
        </is>
      </c>
      <c r="C6171" s="3" t="inlineStr">
        <is>
          <t>OH</t>
        </is>
      </c>
      <c r="D6171" s="15" t="n">
        <v>3e-05</v>
      </c>
      <c r="E6171" s="4" t="n">
        <v>200000</v>
      </c>
      <c r="F6171" s="4" t="n">
        <v>6</v>
      </c>
    </row>
    <row r="6172">
      <c r="A6172" s="3" t="inlineStr">
        <is>
          <t>1</t>
        </is>
      </c>
      <c r="B6172" s="3" t="inlineStr">
        <is>
          <t>"Matras Tipe I Termasuk angkur / penguat matras "</t>
        </is>
      </c>
      <c r="C6172" s="3" t="inlineStr">
        <is>
          <t>m2</t>
        </is>
      </c>
      <c r="D6172" s="15" t="n">
        <v>1</v>
      </c>
      <c r="E6172" s="4" t="n">
        <v>5600</v>
      </c>
      <c r="F6172" s="4" t="n">
        <v>5600</v>
      </c>
    </row>
    <row r="6173">
      <c r="A6173" s="3" t="inlineStr">
        <is>
          <t>2</t>
        </is>
      </c>
      <c r="B6173" s="3" t="inlineStr">
        <is>
          <t>Perekat Campuran Hydroseeding</t>
        </is>
      </c>
      <c r="C6173" s="3" t="inlineStr">
        <is>
          <t>kg</t>
        </is>
      </c>
      <c r="D6173" s="15" t="n">
        <v>0.003</v>
      </c>
      <c r="E6173" s="4" t="n">
        <v>16000</v>
      </c>
      <c r="F6173" s="4" t="n">
        <v>48</v>
      </c>
    </row>
    <row r="6174">
      <c r="A6174" s="3" t="inlineStr">
        <is>
          <t>3</t>
        </is>
      </c>
      <c r="B6174" s="3" t="inlineStr">
        <is>
          <t>Bibit Vegetasi (Biji Rumput)</t>
        </is>
      </c>
      <c r="C6174" s="3" t="inlineStr">
        <is>
          <t>kg</t>
        </is>
      </c>
      <c r="D6174" s="15" t="n">
        <v>0.01</v>
      </c>
      <c r="E6174" s="4" t="n">
        <v>80000</v>
      </c>
      <c r="F6174" s="4" t="n">
        <v>800</v>
      </c>
    </row>
    <row r="6175">
      <c r="A6175" s="3" t="inlineStr">
        <is>
          <t>4</t>
        </is>
      </c>
      <c r="B6175" s="3" t="inlineStr">
        <is>
          <t>Mulsa</t>
        </is>
      </c>
      <c r="C6175" s="3" t="inlineStr">
        <is>
          <t>kg</t>
        </is>
      </c>
      <c r="D6175" s="15" t="n">
        <v>0.3</v>
      </c>
      <c r="E6175" s="4" t="n">
        <v>35000</v>
      </c>
      <c r="F6175" s="4" t="n">
        <v>10500</v>
      </c>
    </row>
    <row r="6176">
      <c r="A6176" s="3" t="inlineStr">
        <is>
          <t>5</t>
        </is>
      </c>
      <c r="B6176" s="3" t="inlineStr">
        <is>
          <t>Pupuk Organik</t>
        </is>
      </c>
      <c r="C6176" s="3" t="inlineStr">
        <is>
          <t>kg</t>
        </is>
      </c>
      <c r="D6176" s="15" t="n">
        <v>0.6</v>
      </c>
      <c r="E6176" s="4" t="n">
        <v>178000</v>
      </c>
      <c r="F6176" s="4" t="n">
        <v>106800</v>
      </c>
    </row>
    <row r="6177">
      <c r="A6177" s="3" t="inlineStr">
        <is>
          <t>6</t>
        </is>
      </c>
      <c r="B6177" s="3" t="inlineStr">
        <is>
          <t>Pupuk anorganik *)</t>
        </is>
      </c>
      <c r="C6177" s="3" t="inlineStr">
        <is>
          <t>kg</t>
        </is>
      </c>
      <c r="D6177" s="15" t="n">
        <v>0.004</v>
      </c>
      <c r="E6177" s="4" t="n">
        <v>18000</v>
      </c>
      <c r="F6177" s="4" t="n">
        <v>72</v>
      </c>
    </row>
    <row r="6178">
      <c r="A6178" s="3" t="inlineStr">
        <is>
          <t>7</t>
        </is>
      </c>
      <c r="B6178" s="3" t="inlineStr">
        <is>
          <t>Air</t>
        </is>
      </c>
      <c r="C6178" s="3" t="inlineStr">
        <is>
          <t>liter</t>
        </is>
      </c>
      <c r="D6178" s="15" t="n">
        <v>5.6</v>
      </c>
      <c r="E6178" s="4" t="n">
        <v>200</v>
      </c>
      <c r="F6178" s="4" t="n">
        <v>1120</v>
      </c>
    </row>
    <row r="6179">
      <c r="A6179" s="3" t="inlineStr">
        <is>
          <t>1</t>
        </is>
      </c>
      <c r="B6179" s="3" t="inlineStr">
        <is>
          <t>Sewa Mesin Hydroseeding 2000L</t>
        </is>
      </c>
      <c r="C6179" s="3" t="inlineStr">
        <is>
          <t>hari</t>
        </is>
      </c>
      <c r="D6179" s="15" t="n">
        <v>0.0005</v>
      </c>
      <c r="E6179" s="4" t="n">
        <v>350000</v>
      </c>
      <c r="F6179" s="4" t="n">
        <v>175</v>
      </c>
    </row>
    <row r="6180">
      <c r="D6180" s="2" t="inlineStr">
        <is>
          <t>SUBTOTAL UPAH</t>
        </is>
      </c>
      <c r="F6180" s="16" t="n">
        <v>259.125</v>
      </c>
    </row>
    <row r="6181">
      <c r="D6181" s="2" t="inlineStr">
        <is>
          <t>SUBTOTAL BAHAN</t>
        </is>
      </c>
      <c r="F6181" s="16" t="n">
        <v>124940</v>
      </c>
    </row>
    <row r="6182">
      <c r="D6182" s="2" t="inlineStr">
        <is>
          <t>SUBTOTAL ALAT</t>
        </is>
      </c>
      <c r="F6182" s="16" t="n">
        <v>175</v>
      </c>
    </row>
    <row r="6183">
      <c r="E6183" s="2" t="inlineStr">
        <is>
          <t>TOTAL HARGA SATUAN (Inc. Overhead)</t>
        </is>
      </c>
      <c r="F6183" s="17" t="n">
        <v>137911</v>
      </c>
    </row>
    <row r="6185">
      <c r="A6185" s="14" t="inlineStr">
        <is>
          <t>KODE: 4.1.7.2 - Penanaman pada Lereng Tanah 1:2 (13°-26.5°), Metode Taplok per
m2 Permukaan Lereng (Menggunakan Jenis Biji Rumput)</t>
        </is>
      </c>
    </row>
    <row r="6186">
      <c r="A6186" s="10" t="inlineStr">
        <is>
          <t>No</t>
        </is>
      </c>
      <c r="B6186" s="10" t="inlineStr">
        <is>
          <t>Uraian Komponen</t>
        </is>
      </c>
      <c r="C6186" s="10" t="inlineStr">
        <is>
          <t>Satuan</t>
        </is>
      </c>
      <c r="D6186" s="10" t="inlineStr">
        <is>
          <t>Koef</t>
        </is>
      </c>
      <c r="E6186" s="10" t="inlineStr">
        <is>
          <t>Harga Satuan (Rp)</t>
        </is>
      </c>
      <c r="F6186" s="10" t="inlineStr">
        <is>
          <t>Jumlah Harga (Rp)</t>
        </is>
      </c>
    </row>
    <row r="6187">
      <c r="A6187" s="3" t="inlineStr">
        <is>
          <t>1</t>
        </is>
      </c>
      <c r="B6187" s="3" t="inlineStr">
        <is>
          <t>Pekerja</t>
        </is>
      </c>
      <c r="C6187" s="3" t="inlineStr">
        <is>
          <t>OH</t>
        </is>
      </c>
      <c r="D6187" s="15" t="n">
        <v>0.025</v>
      </c>
      <c r="E6187" s="4" t="n">
        <v>100000</v>
      </c>
      <c r="F6187" s="4" t="n">
        <v>2500</v>
      </c>
    </row>
    <row r="6188">
      <c r="A6188" s="3" t="inlineStr">
        <is>
          <t>2</t>
        </is>
      </c>
      <c r="B6188" s="3" t="inlineStr">
        <is>
          <t>Tukang tanam</t>
        </is>
      </c>
      <c r="C6188" s="3" t="inlineStr">
        <is>
          <t>OH</t>
        </is>
      </c>
      <c r="D6188" s="15" t="n">
        <v>0.05</v>
      </c>
      <c r="E6188" s="4" t="n">
        <v>181250</v>
      </c>
      <c r="F6188" s="4" t="n">
        <v>9062.5</v>
      </c>
    </row>
    <row r="6189">
      <c r="A6189" s="3" t="inlineStr">
        <is>
          <t>2</t>
        </is>
      </c>
      <c r="B6189" s="3" t="inlineStr">
        <is>
          <t>Kepala Tukang Tanam</t>
        </is>
      </c>
      <c r="C6189" s="3" t="inlineStr">
        <is>
          <t>OH</t>
        </is>
      </c>
      <c r="D6189" s="15" t="n">
        <v>0.01</v>
      </c>
      <c r="E6189" s="4" t="n">
        <v>218750</v>
      </c>
      <c r="F6189" s="4" t="n">
        <v>2187.5</v>
      </c>
    </row>
    <row r="6190">
      <c r="A6190" s="3" t="inlineStr">
        <is>
          <t>3</t>
        </is>
      </c>
      <c r="B6190" s="3" t="inlineStr">
        <is>
          <t>Mandor</t>
        </is>
      </c>
      <c r="C6190" s="3" t="inlineStr">
        <is>
          <t>OH</t>
        </is>
      </c>
      <c r="D6190" s="15" t="n">
        <v>0.0033</v>
      </c>
      <c r="E6190" s="4" t="n">
        <v>200000</v>
      </c>
      <c r="F6190" s="4" t="n">
        <v>660</v>
      </c>
    </row>
    <row r="6191">
      <c r="A6191" s="3" t="inlineStr">
        <is>
          <t>1</t>
        </is>
      </c>
      <c r="B6191" s="3" t="inlineStr">
        <is>
          <t>"Matras Tipe I Termasuk angkur / penguat matras "</t>
        </is>
      </c>
      <c r="C6191" s="3" t="inlineStr">
        <is>
          <t>m2</t>
        </is>
      </c>
      <c r="D6191" s="15" t="n">
        <v>1</v>
      </c>
      <c r="E6191" s="4" t="n">
        <v>5600</v>
      </c>
      <c r="F6191" s="4" t="n">
        <v>5600</v>
      </c>
    </row>
    <row r="6192">
      <c r="A6192" s="3" t="inlineStr">
        <is>
          <t>Perkuatan (Lem)"</t>
        </is>
      </c>
      <c r="B6192" s="3" t="inlineStr"/>
      <c r="C6192" s="3" t="inlineStr">
        <is>
          <t>kg</t>
        </is>
      </c>
      <c r="D6192" s="15" t="n">
        <v>0.003</v>
      </c>
      <c r="E6192" s="4" t="n">
        <v>18000</v>
      </c>
      <c r="F6192" s="4" t="n">
        <v>54</v>
      </c>
    </row>
    <row r="6193">
      <c r="A6193" s="3" t="inlineStr">
        <is>
          <t>3</t>
        </is>
      </c>
      <c r="B6193" s="3" t="inlineStr">
        <is>
          <t>Bibit Vegetasi (Biji Rumput)</t>
        </is>
      </c>
      <c r="C6193" s="3" t="inlineStr">
        <is>
          <t>kg</t>
        </is>
      </c>
      <c r="D6193" s="15" t="n">
        <v>0.01</v>
      </c>
      <c r="E6193" s="4" t="n">
        <v>80000</v>
      </c>
      <c r="F6193" s="4" t="n">
        <v>800</v>
      </c>
    </row>
    <row r="6194">
      <c r="A6194" s="3" t="inlineStr">
        <is>
          <t>4</t>
        </is>
      </c>
      <c r="B6194" s="3" t="inlineStr">
        <is>
          <t>Mulsa</t>
        </is>
      </c>
      <c r="C6194" s="3" t="inlineStr">
        <is>
          <t>kg</t>
        </is>
      </c>
      <c r="D6194" s="15" t="n">
        <v>0.3</v>
      </c>
      <c r="E6194" s="4" t="n">
        <v>35000</v>
      </c>
      <c r="F6194" s="4" t="n">
        <v>10500</v>
      </c>
    </row>
    <row r="6195">
      <c r="A6195" s="3" t="inlineStr">
        <is>
          <t>5</t>
        </is>
      </c>
      <c r="B6195" s="3" t="inlineStr">
        <is>
          <t>Pupuk Organik</t>
        </is>
      </c>
      <c r="C6195" s="3" t="inlineStr">
        <is>
          <t>kg</t>
        </is>
      </c>
      <c r="D6195" s="15" t="n">
        <v>0.6</v>
      </c>
      <c r="E6195" s="4" t="n">
        <v>178000</v>
      </c>
      <c r="F6195" s="4" t="n">
        <v>106800</v>
      </c>
    </row>
    <row r="6196">
      <c r="A6196" s="3" t="inlineStr">
        <is>
          <t>6</t>
        </is>
      </c>
      <c r="B6196" s="3" t="inlineStr">
        <is>
          <t>Pupuk anorganik *)</t>
        </is>
      </c>
      <c r="C6196" s="3" t="inlineStr">
        <is>
          <t>kg</t>
        </is>
      </c>
      <c r="D6196" s="15" t="n">
        <v>0.004</v>
      </c>
      <c r="E6196" s="4" t="n">
        <v>18000</v>
      </c>
      <c r="F6196" s="4" t="n">
        <v>72</v>
      </c>
    </row>
    <row r="6197">
      <c r="A6197" s="3" t="inlineStr">
        <is>
          <t>7</t>
        </is>
      </c>
      <c r="B6197" s="3" t="inlineStr">
        <is>
          <t>Air</t>
        </is>
      </c>
      <c r="C6197" s="3" t="inlineStr">
        <is>
          <t>liter</t>
        </is>
      </c>
      <c r="D6197" s="15" t="n">
        <v>5.6</v>
      </c>
      <c r="E6197" s="4" t="n">
        <v>200</v>
      </c>
      <c r="F6197" s="4" t="n">
        <v>1120</v>
      </c>
    </row>
    <row r="6198">
      <c r="D6198" s="2" t="inlineStr">
        <is>
          <t>SUBTOTAL UPAH</t>
        </is>
      </c>
      <c r="F6198" s="16" t="n">
        <v>14410</v>
      </c>
    </row>
    <row r="6199">
      <c r="D6199" s="2" t="inlineStr">
        <is>
          <t>SUBTOTAL BAHAN</t>
        </is>
      </c>
      <c r="F6199" s="16" t="n">
        <v>124946</v>
      </c>
    </row>
    <row r="6200">
      <c r="D6200" s="2" t="inlineStr">
        <is>
          <t>SUBTOTAL ALAT</t>
        </is>
      </c>
      <c r="F6200" s="16" t="n">
        <v>0</v>
      </c>
    </row>
    <row r="6201">
      <c r="E6201" s="2" t="inlineStr">
        <is>
          <t>TOTAL HARGA SATUAN (Inc. Overhead)</t>
        </is>
      </c>
      <c r="F6201" s="17" t="n">
        <v>153291</v>
      </c>
    </row>
    <row r="6203">
      <c r="A6203" s="14" t="inlineStr">
        <is>
          <t>KODE: 4.1.7.3 - Penanaman pada Lereng Tanah 1:1 (26.5°-45°), Metode
Hydroseeding per m2 Permukaan Lereng (Menggunakan Jenis Biji
Rumput)</t>
        </is>
      </c>
    </row>
    <row r="6204">
      <c r="A6204" s="10" t="inlineStr">
        <is>
          <t>No</t>
        </is>
      </c>
      <c r="B6204" s="10" t="inlineStr">
        <is>
          <t>Uraian Komponen</t>
        </is>
      </c>
      <c r="C6204" s="10" t="inlineStr">
        <is>
          <t>Satuan</t>
        </is>
      </c>
      <c r="D6204" s="10" t="inlineStr">
        <is>
          <t>Koef</t>
        </is>
      </c>
      <c r="E6204" s="10" t="inlineStr">
        <is>
          <t>Harga Satuan (Rp)</t>
        </is>
      </c>
      <c r="F6204" s="10" t="inlineStr">
        <is>
          <t>Jumlah Harga (Rp)</t>
        </is>
      </c>
    </row>
    <row r="6205">
      <c r="A6205" s="3" t="inlineStr">
        <is>
          <t>1</t>
        </is>
      </c>
      <c r="B6205" s="3" t="inlineStr">
        <is>
          <t>Pekerja</t>
        </is>
      </c>
      <c r="C6205" s="3" t="inlineStr">
        <is>
          <t>OH</t>
        </is>
      </c>
      <c r="D6205" s="15" t="n">
        <v>0.001</v>
      </c>
      <c r="E6205" s="4" t="n">
        <v>100000</v>
      </c>
      <c r="F6205" s="4" t="n">
        <v>100</v>
      </c>
    </row>
    <row r="6206">
      <c r="A6206" s="3" t="inlineStr">
        <is>
          <t>2</t>
        </is>
      </c>
      <c r="B6206" s="3" t="inlineStr">
        <is>
          <t>Tukang tanam</t>
        </is>
      </c>
      <c r="C6206" s="3" t="inlineStr">
        <is>
          <t>OH</t>
        </is>
      </c>
      <c r="D6206" s="15" t="n">
        <v>0.002</v>
      </c>
      <c r="E6206" s="4" t="n">
        <v>181250</v>
      </c>
      <c r="F6206" s="4" t="n">
        <v>362.5</v>
      </c>
    </row>
    <row r="6207">
      <c r="A6207" s="3" t="inlineStr">
        <is>
          <t>2</t>
        </is>
      </c>
      <c r="B6207" s="3" t="inlineStr">
        <is>
          <t>Kepala Tukang Tanam</t>
        </is>
      </c>
      <c r="C6207" s="3" t="inlineStr">
        <is>
          <t>OH</t>
        </is>
      </c>
      <c r="D6207" s="15" t="n">
        <v>0.0002</v>
      </c>
      <c r="E6207" s="4" t="n">
        <v>218750</v>
      </c>
      <c r="F6207" s="4" t="n">
        <v>43.75</v>
      </c>
    </row>
    <row r="6208">
      <c r="A6208" s="3" t="inlineStr">
        <is>
          <t>3</t>
        </is>
      </c>
      <c r="B6208" s="3" t="inlineStr">
        <is>
          <t>Mandor</t>
        </is>
      </c>
      <c r="C6208" s="3" t="inlineStr">
        <is>
          <t>OH</t>
        </is>
      </c>
      <c r="D6208" s="15" t="n">
        <v>6.7e-05</v>
      </c>
      <c r="E6208" s="4" t="n">
        <v>200000</v>
      </c>
      <c r="F6208" s="4" t="n">
        <v>13.4</v>
      </c>
    </row>
    <row r="6209">
      <c r="A6209" s="3" t="inlineStr">
        <is>
          <t>1</t>
        </is>
      </c>
      <c r="B6209" s="3" t="inlineStr">
        <is>
          <t>"Matras Tipe II Termasuk angkur / penguat matras "</t>
        </is>
      </c>
      <c r="C6209" s="3" t="inlineStr">
        <is>
          <t>m2</t>
        </is>
      </c>
      <c r="D6209" s="15" t="n">
        <v>1</v>
      </c>
      <c r="E6209" s="4" t="n">
        <v>7500</v>
      </c>
      <c r="F6209" s="4" t="n">
        <v>7500</v>
      </c>
    </row>
    <row r="6210">
      <c r="A6210" s="3" t="inlineStr">
        <is>
          <t>2</t>
        </is>
      </c>
      <c r="B6210" s="3" t="inlineStr">
        <is>
          <t>Perekat Campuran Hydroseeding</t>
        </is>
      </c>
      <c r="C6210" s="3" t="inlineStr">
        <is>
          <t>kg</t>
        </is>
      </c>
      <c r="D6210" s="15" t="n">
        <v>0.003</v>
      </c>
      <c r="E6210" s="4" t="n">
        <v>16000</v>
      </c>
      <c r="F6210" s="4" t="n">
        <v>48</v>
      </c>
    </row>
    <row r="6211">
      <c r="A6211" s="3" t="inlineStr">
        <is>
          <t>3</t>
        </is>
      </c>
      <c r="B6211" s="3" t="inlineStr">
        <is>
          <t>Bibit Vegetasi (Biji Rumput)</t>
        </is>
      </c>
      <c r="C6211" s="3" t="inlineStr">
        <is>
          <t>kg</t>
        </is>
      </c>
      <c r="D6211" s="15" t="n">
        <v>0.01</v>
      </c>
      <c r="E6211" s="4" t="n">
        <v>80000</v>
      </c>
      <c r="F6211" s="4" t="n">
        <v>800</v>
      </c>
    </row>
    <row r="6212">
      <c r="A6212" s="3" t="inlineStr">
        <is>
          <t>4</t>
        </is>
      </c>
      <c r="B6212" s="3" t="inlineStr">
        <is>
          <t>Mulsa</t>
        </is>
      </c>
      <c r="C6212" s="3" t="inlineStr">
        <is>
          <t>kg</t>
        </is>
      </c>
      <c r="D6212" s="15" t="n">
        <v>0.3</v>
      </c>
      <c r="E6212" s="4" t="n">
        <v>35000</v>
      </c>
      <c r="F6212" s="4" t="n">
        <v>10500</v>
      </c>
    </row>
    <row r="6213">
      <c r="A6213" s="3" t="inlineStr">
        <is>
          <t>5</t>
        </is>
      </c>
      <c r="B6213" s="3" t="inlineStr">
        <is>
          <t>Pupuk Organik</t>
        </is>
      </c>
      <c r="C6213" s="3" t="inlineStr">
        <is>
          <t>kg</t>
        </is>
      </c>
      <c r="D6213" s="15" t="n">
        <v>0.8</v>
      </c>
      <c r="E6213" s="4" t="n">
        <v>178000</v>
      </c>
      <c r="F6213" s="4" t="n">
        <v>142400</v>
      </c>
    </row>
    <row r="6214">
      <c r="A6214" s="3" t="inlineStr">
        <is>
          <t>6</t>
        </is>
      </c>
      <c r="B6214" s="3" t="inlineStr">
        <is>
          <t>Pupuk anorganik *)</t>
        </is>
      </c>
      <c r="C6214" s="3" t="inlineStr">
        <is>
          <t>kg</t>
        </is>
      </c>
      <c r="D6214" s="15" t="n">
        <v>0.004</v>
      </c>
      <c r="E6214" s="4" t="n">
        <v>18000</v>
      </c>
      <c r="F6214" s="4" t="n">
        <v>72</v>
      </c>
    </row>
    <row r="6215">
      <c r="A6215" s="3" t="inlineStr">
        <is>
          <t>7</t>
        </is>
      </c>
      <c r="B6215" s="3" t="inlineStr">
        <is>
          <t>Air</t>
        </is>
      </c>
      <c r="C6215" s="3" t="inlineStr">
        <is>
          <t>liter</t>
        </is>
      </c>
      <c r="D6215" s="15" t="n">
        <v>5.6</v>
      </c>
      <c r="E6215" s="4" t="n">
        <v>200</v>
      </c>
      <c r="F6215" s="4" t="n">
        <v>1120</v>
      </c>
    </row>
    <row r="6216">
      <c r="A6216" s="3" t="inlineStr">
        <is>
          <t>1</t>
        </is>
      </c>
      <c r="B6216" s="3" t="inlineStr">
        <is>
          <t>Sewa Mesin Hydroseeding 2000L</t>
        </is>
      </c>
      <c r="C6216" s="3" t="inlineStr">
        <is>
          <t>hari</t>
        </is>
      </c>
      <c r="D6216" s="15" t="n">
        <v>0.0005</v>
      </c>
      <c r="E6216" s="4" t="n">
        <v>350000</v>
      </c>
      <c r="F6216" s="4" t="n">
        <v>175</v>
      </c>
    </row>
    <row r="6217">
      <c r="D6217" s="2" t="inlineStr">
        <is>
          <t>SUBTOTAL UPAH</t>
        </is>
      </c>
      <c r="F6217" s="16" t="n">
        <v>519.65</v>
      </c>
    </row>
    <row r="6218">
      <c r="D6218" s="2" t="inlineStr">
        <is>
          <t>SUBTOTAL BAHAN</t>
        </is>
      </c>
      <c r="F6218" s="16" t="n">
        <v>162440</v>
      </c>
    </row>
    <row r="6219">
      <c r="D6219" s="2" t="inlineStr">
        <is>
          <t>SUBTOTAL ALAT</t>
        </is>
      </c>
      <c r="F6219" s="16" t="n">
        <v>175</v>
      </c>
    </row>
    <row r="6220">
      <c r="E6220" s="2" t="inlineStr">
        <is>
          <t>TOTAL HARGA SATUAN (Inc. Overhead)</t>
        </is>
      </c>
      <c r="F6220" s="17" t="n">
        <v>179448</v>
      </c>
    </row>
    <row r="6222">
      <c r="A6222" s="14" t="inlineStr">
        <is>
          <t>KODE: 4.1.7.4 - Penanaman pada Lereng Tanah 1:1 (26.5°-45°), Metode Taplok per
m2 Permukaan Lereng (Menggunakan Jenis Biji Rumput</t>
        </is>
      </c>
    </row>
    <row r="6223">
      <c r="A6223" s="10" t="inlineStr">
        <is>
          <t>No</t>
        </is>
      </c>
      <c r="B6223" s="10" t="inlineStr">
        <is>
          <t>Uraian Komponen</t>
        </is>
      </c>
      <c r="C6223" s="10" t="inlineStr">
        <is>
          <t>Satuan</t>
        </is>
      </c>
      <c r="D6223" s="10" t="inlineStr">
        <is>
          <t>Koef</t>
        </is>
      </c>
      <c r="E6223" s="10" t="inlineStr">
        <is>
          <t>Harga Satuan (Rp)</t>
        </is>
      </c>
      <c r="F6223" s="10" t="inlineStr">
        <is>
          <t>Jumlah Harga (Rp)</t>
        </is>
      </c>
    </row>
    <row r="6224">
      <c r="A6224" s="3" t="inlineStr">
        <is>
          <t>1</t>
        </is>
      </c>
      <c r="B6224" s="3" t="inlineStr">
        <is>
          <t>Pekerja</t>
        </is>
      </c>
      <c r="C6224" s="3" t="inlineStr">
        <is>
          <t>OH</t>
        </is>
      </c>
      <c r="D6224" s="15" t="n">
        <v>0.05</v>
      </c>
      <c r="E6224" s="4" t="n">
        <v>100000</v>
      </c>
      <c r="F6224" s="4" t="n">
        <v>5000</v>
      </c>
    </row>
    <row r="6225">
      <c r="A6225" s="3" t="inlineStr">
        <is>
          <t>2</t>
        </is>
      </c>
      <c r="B6225" s="3" t="inlineStr">
        <is>
          <t>Tukang tanam</t>
        </is>
      </c>
      <c r="C6225" s="3" t="inlineStr">
        <is>
          <t>OH</t>
        </is>
      </c>
      <c r="D6225" s="15" t="n">
        <v>0.01</v>
      </c>
      <c r="E6225" s="4" t="n">
        <v>181250</v>
      </c>
      <c r="F6225" s="4" t="n">
        <v>1812.5</v>
      </c>
    </row>
    <row r="6226">
      <c r="A6226" s="3" t="inlineStr">
        <is>
          <t>2</t>
        </is>
      </c>
      <c r="B6226" s="3" t="inlineStr">
        <is>
          <t>Kepala Tukang Tanam</t>
        </is>
      </c>
      <c r="C6226" s="3" t="inlineStr">
        <is>
          <t>OH</t>
        </is>
      </c>
      <c r="D6226" s="15" t="n">
        <v>0.02</v>
      </c>
      <c r="E6226" s="4" t="n">
        <v>218750</v>
      </c>
      <c r="F6226" s="4" t="n">
        <v>4375</v>
      </c>
    </row>
    <row r="6227">
      <c r="A6227" s="3" t="inlineStr">
        <is>
          <t>3</t>
        </is>
      </c>
      <c r="B6227" s="3" t="inlineStr">
        <is>
          <t>Mandor</t>
        </is>
      </c>
      <c r="C6227" s="3" t="inlineStr">
        <is>
          <t>OH</t>
        </is>
      </c>
      <c r="D6227" s="15" t="n">
        <v>0.0067</v>
      </c>
      <c r="E6227" s="4" t="n">
        <v>200000</v>
      </c>
      <c r="F6227" s="4" t="n">
        <v>1340</v>
      </c>
    </row>
    <row r="6228">
      <c r="A6228" s="3" t="inlineStr">
        <is>
          <t>1</t>
        </is>
      </c>
      <c r="B6228" s="3" t="inlineStr">
        <is>
          <t>"Matras Tipe II Termasuk angkur / penguat matras "</t>
        </is>
      </c>
      <c r="C6228" s="3" t="inlineStr">
        <is>
          <t>m2</t>
        </is>
      </c>
      <c r="D6228" s="15" t="n">
        <v>1</v>
      </c>
      <c r="E6228" s="4" t="n">
        <v>7500</v>
      </c>
      <c r="F6228" s="4" t="n">
        <v>7500</v>
      </c>
    </row>
    <row r="6229">
      <c r="A6229" s="3" t="inlineStr">
        <is>
          <t>2</t>
        </is>
      </c>
      <c r="B6229" s="3" t="inlineStr">
        <is>
          <t>Perekat Campuran Hydroseeding</t>
        </is>
      </c>
      <c r="C6229" s="3" t="inlineStr">
        <is>
          <t>kg</t>
        </is>
      </c>
      <c r="D6229" s="15" t="n">
        <v>0.003</v>
      </c>
      <c r="E6229" s="4" t="n">
        <v>16000</v>
      </c>
      <c r="F6229" s="4" t="n">
        <v>48</v>
      </c>
    </row>
    <row r="6230">
      <c r="A6230" s="3" t="inlineStr">
        <is>
          <t>3</t>
        </is>
      </c>
      <c r="B6230" s="3" t="inlineStr">
        <is>
          <t>Bibit Vegetasi (Biji Rumput)</t>
        </is>
      </c>
      <c r="C6230" s="3" t="inlineStr">
        <is>
          <t>kg</t>
        </is>
      </c>
      <c r="D6230" s="15" t="n">
        <v>0.01</v>
      </c>
      <c r="E6230" s="4" t="n">
        <v>80000</v>
      </c>
      <c r="F6230" s="4" t="n">
        <v>800</v>
      </c>
    </row>
    <row r="6231">
      <c r="A6231" s="3" t="inlineStr">
        <is>
          <t>4</t>
        </is>
      </c>
      <c r="B6231" s="3" t="inlineStr">
        <is>
          <t>Mulsa</t>
        </is>
      </c>
      <c r="C6231" s="3" t="inlineStr">
        <is>
          <t>kg</t>
        </is>
      </c>
      <c r="D6231" s="15" t="n">
        <v>0.3</v>
      </c>
      <c r="E6231" s="4" t="n">
        <v>35000</v>
      </c>
      <c r="F6231" s="4" t="n">
        <v>10500</v>
      </c>
    </row>
    <row r="6232">
      <c r="A6232" s="3" t="inlineStr">
        <is>
          <t>5</t>
        </is>
      </c>
      <c r="B6232" s="3" t="inlineStr">
        <is>
          <t>Pupuk Organik</t>
        </is>
      </c>
      <c r="C6232" s="3" t="inlineStr">
        <is>
          <t>kg</t>
        </is>
      </c>
      <c r="D6232" s="15" t="n">
        <v>0.8</v>
      </c>
      <c r="E6232" s="4" t="n">
        <v>178000</v>
      </c>
      <c r="F6232" s="4" t="n">
        <v>142400</v>
      </c>
    </row>
    <row r="6233">
      <c r="A6233" s="3" t="inlineStr">
        <is>
          <t>6</t>
        </is>
      </c>
      <c r="B6233" s="3" t="inlineStr">
        <is>
          <t>Pupuk anorganik *)</t>
        </is>
      </c>
      <c r="C6233" s="3" t="inlineStr">
        <is>
          <t>kg</t>
        </is>
      </c>
      <c r="D6233" s="15" t="n">
        <v>0.004</v>
      </c>
      <c r="E6233" s="4" t="n">
        <v>18000</v>
      </c>
      <c r="F6233" s="4" t="n">
        <v>72</v>
      </c>
    </row>
    <row r="6234">
      <c r="A6234" s="3" t="inlineStr">
        <is>
          <t>7</t>
        </is>
      </c>
      <c r="B6234" s="3" t="inlineStr">
        <is>
          <t>Air</t>
        </is>
      </c>
      <c r="C6234" s="3" t="inlineStr">
        <is>
          <t>liter</t>
        </is>
      </c>
      <c r="D6234" s="15" t="n">
        <v>5.6</v>
      </c>
      <c r="E6234" s="4" t="n">
        <v>200</v>
      </c>
      <c r="F6234" s="4" t="n">
        <v>1120</v>
      </c>
    </row>
    <row r="6235">
      <c r="D6235" s="2" t="inlineStr">
        <is>
          <t>SUBTOTAL UPAH</t>
        </is>
      </c>
      <c r="F6235" s="16" t="n">
        <v>12527.5</v>
      </c>
    </row>
    <row r="6236">
      <c r="D6236" s="2" t="inlineStr">
        <is>
          <t>SUBTOTAL BAHAN</t>
        </is>
      </c>
      <c r="F6236" s="16" t="n">
        <v>162440</v>
      </c>
    </row>
    <row r="6237">
      <c r="D6237" s="2" t="inlineStr">
        <is>
          <t>SUBTOTAL ALAT</t>
        </is>
      </c>
      <c r="F6237" s="16" t="n">
        <v>0</v>
      </c>
    </row>
    <row r="6238">
      <c r="E6238" s="2" t="inlineStr">
        <is>
          <t>TOTAL HARGA SATUAN (Inc. Overhead)</t>
        </is>
      </c>
      <c r="F6238" s="17" t="n">
        <v>192464</v>
      </c>
    </row>
    <row r="6240">
      <c r="A6240" s="14" t="inlineStr">
        <is>
          <t>KODE: 4.1.7.7 - Penanaman pada Lereng Tanah 1:2 (13°-26.5°), Metode
Hydroseeding per m2 Permukaan Lereng (Menggunakan Jenis Biji
Legume Crop Cover/LCC)</t>
        </is>
      </c>
    </row>
    <row r="6241">
      <c r="A6241" s="10" t="inlineStr">
        <is>
          <t>No</t>
        </is>
      </c>
      <c r="B6241" s="10" t="inlineStr">
        <is>
          <t>Uraian Komponen</t>
        </is>
      </c>
      <c r="C6241" s="10" t="inlineStr">
        <is>
          <t>Satuan</t>
        </is>
      </c>
      <c r="D6241" s="10" t="inlineStr">
        <is>
          <t>Koef</t>
        </is>
      </c>
      <c r="E6241" s="10" t="inlineStr">
        <is>
          <t>Harga Satuan (Rp)</t>
        </is>
      </c>
      <c r="F6241" s="10" t="inlineStr">
        <is>
          <t>Jumlah Harga (Rp)</t>
        </is>
      </c>
    </row>
    <row r="6242">
      <c r="A6242" s="3" t="inlineStr">
        <is>
          <t>1</t>
        </is>
      </c>
      <c r="B6242" s="3" t="inlineStr">
        <is>
          <t>Pekerja</t>
        </is>
      </c>
      <c r="C6242" s="3" t="inlineStr">
        <is>
          <t>OH</t>
        </is>
      </c>
      <c r="D6242" s="15" t="n">
        <v>0.0005</v>
      </c>
      <c r="E6242" s="4" t="n">
        <v>100000</v>
      </c>
      <c r="F6242" s="4" t="n">
        <v>50</v>
      </c>
    </row>
    <row r="6243">
      <c r="A6243" s="3" t="inlineStr">
        <is>
          <t>2</t>
        </is>
      </c>
      <c r="B6243" s="3" t="inlineStr">
        <is>
          <t>Tukang tanam</t>
        </is>
      </c>
      <c r="C6243" s="3" t="inlineStr">
        <is>
          <t>OH</t>
        </is>
      </c>
      <c r="D6243" s="15" t="n">
        <v>0.001</v>
      </c>
      <c r="E6243" s="4" t="n">
        <v>181250</v>
      </c>
      <c r="F6243" s="4" t="n">
        <v>181.25</v>
      </c>
    </row>
    <row r="6244">
      <c r="A6244" s="3" t="inlineStr">
        <is>
          <t>2</t>
        </is>
      </c>
      <c r="B6244" s="3" t="inlineStr">
        <is>
          <t>Kepala Tukang Tanam</t>
        </is>
      </c>
      <c r="C6244" s="3" t="inlineStr">
        <is>
          <t>OH</t>
        </is>
      </c>
      <c r="D6244" s="15" t="n">
        <v>0.0001</v>
      </c>
      <c r="E6244" s="4" t="n">
        <v>218750</v>
      </c>
      <c r="F6244" s="4" t="n">
        <v>21.875</v>
      </c>
    </row>
    <row r="6245">
      <c r="A6245" s="3" t="inlineStr">
        <is>
          <t>3</t>
        </is>
      </c>
      <c r="B6245" s="3" t="inlineStr">
        <is>
          <t>Mandor</t>
        </is>
      </c>
      <c r="C6245" s="3" t="inlineStr">
        <is>
          <t>OH</t>
        </is>
      </c>
      <c r="D6245" s="15" t="n">
        <v>3e-05</v>
      </c>
      <c r="E6245" s="4" t="n">
        <v>200000</v>
      </c>
      <c r="F6245" s="4" t="n">
        <v>6</v>
      </c>
    </row>
    <row r="6246">
      <c r="A6246" s="3" t="inlineStr">
        <is>
          <t>1</t>
        </is>
      </c>
      <c r="B6246" s="3" t="inlineStr">
        <is>
          <t>"Matras Tipe I Termasuk angkur / penguat matras "</t>
        </is>
      </c>
      <c r="C6246" s="3" t="inlineStr">
        <is>
          <t>m2</t>
        </is>
      </c>
      <c r="D6246" s="15" t="n">
        <v>1</v>
      </c>
      <c r="E6246" s="4" t="n">
        <v>5600</v>
      </c>
      <c r="F6246" s="4" t="n">
        <v>5600</v>
      </c>
    </row>
    <row r="6247">
      <c r="A6247" s="3" t="inlineStr">
        <is>
          <t>2</t>
        </is>
      </c>
      <c r="B6247" s="3" t="inlineStr">
        <is>
          <t>Perekat Campuran Hydroseeding</t>
        </is>
      </c>
      <c r="C6247" s="3" t="inlineStr">
        <is>
          <t>kg</t>
        </is>
      </c>
      <c r="D6247" s="15" t="n">
        <v>0.003</v>
      </c>
      <c r="E6247" s="4" t="n">
        <v>16000</v>
      </c>
      <c r="F6247" s="4" t="n">
        <v>48</v>
      </c>
    </row>
    <row r="6248">
      <c r="A6248" s="3" t="inlineStr">
        <is>
          <t>3</t>
        </is>
      </c>
      <c r="B6248" s="3" t="inlineStr">
        <is>
          <t>Bibit Vegetasi (Biji Legume Crop Cover/LCC)</t>
        </is>
      </c>
      <c r="C6248" s="3" t="inlineStr">
        <is>
          <t>kg</t>
        </is>
      </c>
      <c r="D6248" s="15" t="n">
        <v>0.015</v>
      </c>
      <c r="E6248" s="4" t="n">
        <v>166000</v>
      </c>
      <c r="F6248" s="4" t="n">
        <v>2490</v>
      </c>
    </row>
    <row r="6249">
      <c r="A6249" s="3" t="inlineStr">
        <is>
          <t>4</t>
        </is>
      </c>
      <c r="B6249" s="3" t="inlineStr">
        <is>
          <t>Mulsa</t>
        </is>
      </c>
      <c r="C6249" s="3" t="inlineStr">
        <is>
          <t>kg</t>
        </is>
      </c>
      <c r="D6249" s="15" t="n">
        <v>0.3</v>
      </c>
      <c r="E6249" s="4" t="n">
        <v>35000</v>
      </c>
      <c r="F6249" s="4" t="n">
        <v>10500</v>
      </c>
    </row>
    <row r="6250">
      <c r="A6250" s="3" t="inlineStr">
        <is>
          <t>5</t>
        </is>
      </c>
      <c r="B6250" s="3" t="inlineStr">
        <is>
          <t>Pupuk Organik</t>
        </is>
      </c>
      <c r="C6250" s="3" t="inlineStr">
        <is>
          <t>kg</t>
        </is>
      </c>
      <c r="D6250" s="15" t="n">
        <v>0.6</v>
      </c>
      <c r="E6250" s="4" t="n">
        <v>178000</v>
      </c>
      <c r="F6250" s="4" t="n">
        <v>106800</v>
      </c>
    </row>
    <row r="6251">
      <c r="A6251" s="3" t="inlineStr">
        <is>
          <t>6</t>
        </is>
      </c>
      <c r="B6251" s="3" t="inlineStr">
        <is>
          <t>Pupuk anorganik *)</t>
        </is>
      </c>
      <c r="C6251" s="3" t="inlineStr">
        <is>
          <t>kg</t>
        </is>
      </c>
      <c r="D6251" s="15" t="n">
        <v>0.004</v>
      </c>
      <c r="E6251" s="4" t="n">
        <v>18000</v>
      </c>
      <c r="F6251" s="4" t="n">
        <v>72</v>
      </c>
    </row>
    <row r="6252">
      <c r="A6252" s="3" t="inlineStr">
        <is>
          <t>7</t>
        </is>
      </c>
      <c r="B6252" s="3" t="inlineStr">
        <is>
          <t>Air</t>
        </is>
      </c>
      <c r="C6252" s="3" t="inlineStr">
        <is>
          <t>liter</t>
        </is>
      </c>
      <c r="D6252" s="15" t="n">
        <v>5.6</v>
      </c>
      <c r="E6252" s="4" t="n">
        <v>200</v>
      </c>
      <c r="F6252" s="4" t="n">
        <v>1120</v>
      </c>
    </row>
    <row r="6253">
      <c r="A6253" s="3" t="inlineStr">
        <is>
          <t>1</t>
        </is>
      </c>
      <c r="B6253" s="3" t="inlineStr">
        <is>
          <t>Sewa Mesin Hydroseeding 2000L</t>
        </is>
      </c>
      <c r="C6253" s="3" t="inlineStr">
        <is>
          <t>hari</t>
        </is>
      </c>
      <c r="D6253" s="15" t="n">
        <v>0.0005</v>
      </c>
      <c r="E6253" s="4" t="n">
        <v>350000</v>
      </c>
      <c r="F6253" s="4" t="n">
        <v>175</v>
      </c>
    </row>
    <row r="6254">
      <c r="D6254" s="2" t="inlineStr">
        <is>
          <t>SUBTOTAL UPAH</t>
        </is>
      </c>
      <c r="F6254" s="16" t="n">
        <v>259.125</v>
      </c>
    </row>
    <row r="6255">
      <c r="D6255" s="2" t="inlineStr">
        <is>
          <t>SUBTOTAL BAHAN</t>
        </is>
      </c>
      <c r="F6255" s="16" t="n">
        <v>126630</v>
      </c>
    </row>
    <row r="6256">
      <c r="D6256" s="2" t="inlineStr">
        <is>
          <t>SUBTOTAL ALAT</t>
        </is>
      </c>
      <c r="F6256" s="16" t="n">
        <v>175</v>
      </c>
    </row>
    <row r="6257">
      <c r="E6257" s="2" t="inlineStr">
        <is>
          <t>TOTAL HARGA SATUAN (Inc. Overhead)</t>
        </is>
      </c>
      <c r="F6257" s="17" t="n">
        <v>139770</v>
      </c>
    </row>
    <row r="6259">
      <c r="A6259" s="14" t="inlineStr">
        <is>
          <t>KODE: 4.1.7.8 - Penanaman pada Lereng Tanah 1:2 (13°-26.5°), Metode Taplok per
m2 Permukaan Lereng (Menggunakan Jenis Biji Legume Crop
Cover/LCC)</t>
        </is>
      </c>
    </row>
    <row r="6260">
      <c r="A6260" s="10" t="inlineStr">
        <is>
          <t>No</t>
        </is>
      </c>
      <c r="B6260" s="10" t="inlineStr">
        <is>
          <t>Uraian Komponen</t>
        </is>
      </c>
      <c r="C6260" s="10" t="inlineStr">
        <is>
          <t>Satuan</t>
        </is>
      </c>
      <c r="D6260" s="10" t="inlineStr">
        <is>
          <t>Koef</t>
        </is>
      </c>
      <c r="E6260" s="10" t="inlineStr">
        <is>
          <t>Harga Satuan (Rp)</t>
        </is>
      </c>
      <c r="F6260" s="10" t="inlineStr">
        <is>
          <t>Jumlah Harga (Rp)</t>
        </is>
      </c>
    </row>
    <row r="6261">
      <c r="A6261" s="3" t="inlineStr">
        <is>
          <t>1</t>
        </is>
      </c>
      <c r="B6261" s="3" t="inlineStr">
        <is>
          <t>Pekerja</t>
        </is>
      </c>
      <c r="C6261" s="3" t="inlineStr">
        <is>
          <t>OH</t>
        </is>
      </c>
      <c r="D6261" s="15" t="n">
        <v>0.025</v>
      </c>
      <c r="E6261" s="4" t="n">
        <v>100000</v>
      </c>
      <c r="F6261" s="4" t="n">
        <v>2500</v>
      </c>
    </row>
    <row r="6262">
      <c r="A6262" s="3" t="inlineStr">
        <is>
          <t>2</t>
        </is>
      </c>
      <c r="B6262" s="3" t="inlineStr">
        <is>
          <t>Tukang tanam</t>
        </is>
      </c>
      <c r="C6262" s="3" t="inlineStr">
        <is>
          <t>OH</t>
        </is>
      </c>
      <c r="D6262" s="15" t="n">
        <v>0.05</v>
      </c>
      <c r="E6262" s="4" t="n">
        <v>181250</v>
      </c>
      <c r="F6262" s="4" t="n">
        <v>9062.5</v>
      </c>
    </row>
    <row r="6263">
      <c r="A6263" s="3" t="inlineStr">
        <is>
          <t>2</t>
        </is>
      </c>
      <c r="B6263" s="3" t="inlineStr">
        <is>
          <t>Kepala Tukang Tanam</t>
        </is>
      </c>
      <c r="C6263" s="3" t="inlineStr">
        <is>
          <t>OH</t>
        </is>
      </c>
      <c r="D6263" s="15" t="n">
        <v>0.01</v>
      </c>
      <c r="E6263" s="4" t="n">
        <v>218750</v>
      </c>
      <c r="F6263" s="4" t="n">
        <v>2187.5</v>
      </c>
    </row>
    <row r="6264">
      <c r="A6264" s="3" t="inlineStr">
        <is>
          <t>3</t>
        </is>
      </c>
      <c r="B6264" s="3" t="inlineStr">
        <is>
          <t>Mandor</t>
        </is>
      </c>
      <c r="C6264" s="3" t="inlineStr">
        <is>
          <t>OH</t>
        </is>
      </c>
      <c r="D6264" s="15" t="n">
        <v>0.0033</v>
      </c>
      <c r="E6264" s="4" t="n">
        <v>200000</v>
      </c>
      <c r="F6264" s="4" t="n">
        <v>660</v>
      </c>
    </row>
    <row r="6265">
      <c r="A6265" s="3" t="inlineStr">
        <is>
          <t>1</t>
        </is>
      </c>
      <c r="B6265" s="3" t="inlineStr">
        <is>
          <t>"Matras Tipe I Termasuk angkur / penguat matras "</t>
        </is>
      </c>
      <c r="C6265" s="3" t="inlineStr">
        <is>
          <t>m2</t>
        </is>
      </c>
      <c r="D6265" s="15" t="n">
        <v>1</v>
      </c>
      <c r="E6265" s="4" t="n">
        <v>5600</v>
      </c>
      <c r="F6265" s="4" t="n">
        <v>5600</v>
      </c>
    </row>
    <row r="6266">
      <c r="A6266" s="3" t="inlineStr">
        <is>
          <t>Perkuatan (Lem)"</t>
        </is>
      </c>
      <c r="B6266" s="3" t="inlineStr"/>
      <c r="C6266" s="3" t="inlineStr">
        <is>
          <t>kg</t>
        </is>
      </c>
      <c r="D6266" s="15" t="n">
        <v>0.003</v>
      </c>
      <c r="E6266" s="4" t="n">
        <v>18000</v>
      </c>
      <c r="F6266" s="4" t="n">
        <v>54</v>
      </c>
    </row>
    <row r="6267">
      <c r="A6267" s="3" t="inlineStr">
        <is>
          <t>3</t>
        </is>
      </c>
      <c r="B6267" s="3" t="inlineStr">
        <is>
          <t>Bibit Vegetasi (Biji Legume Crop Cover/LCC)</t>
        </is>
      </c>
      <c r="C6267" s="3" t="inlineStr">
        <is>
          <t>kg</t>
        </is>
      </c>
      <c r="D6267" s="15" t="n">
        <v>0.015</v>
      </c>
      <c r="E6267" s="4" t="n">
        <v>166000</v>
      </c>
      <c r="F6267" s="4" t="n">
        <v>2490</v>
      </c>
    </row>
    <row r="6268">
      <c r="A6268" s="3" t="inlineStr">
        <is>
          <t>4</t>
        </is>
      </c>
      <c r="B6268" s="3" t="inlineStr">
        <is>
          <t>Mulsa</t>
        </is>
      </c>
      <c r="C6268" s="3" t="inlineStr">
        <is>
          <t>kg</t>
        </is>
      </c>
      <c r="D6268" s="15" t="n">
        <v>0.3</v>
      </c>
      <c r="E6268" s="4" t="n">
        <v>35000</v>
      </c>
      <c r="F6268" s="4" t="n">
        <v>10500</v>
      </c>
    </row>
    <row r="6269">
      <c r="A6269" s="3" t="inlineStr">
        <is>
          <t>5</t>
        </is>
      </c>
      <c r="B6269" s="3" t="inlineStr">
        <is>
          <t>Pupuk Organik</t>
        </is>
      </c>
      <c r="C6269" s="3" t="inlineStr">
        <is>
          <t>kg</t>
        </is>
      </c>
      <c r="D6269" s="15" t="n">
        <v>0.6</v>
      </c>
      <c r="E6269" s="4" t="n">
        <v>178000</v>
      </c>
      <c r="F6269" s="4" t="n">
        <v>106800</v>
      </c>
    </row>
    <row r="6270">
      <c r="A6270" s="3" t="inlineStr">
        <is>
          <t>6</t>
        </is>
      </c>
      <c r="B6270" s="3" t="inlineStr">
        <is>
          <t>Pupuk anorganik *)</t>
        </is>
      </c>
      <c r="C6270" s="3" t="inlineStr">
        <is>
          <t>kg</t>
        </is>
      </c>
      <c r="D6270" s="15" t="n">
        <v>0.004</v>
      </c>
      <c r="E6270" s="4" t="n">
        <v>18000</v>
      </c>
      <c r="F6270" s="4" t="n">
        <v>72</v>
      </c>
    </row>
    <row r="6271">
      <c r="A6271" s="3" t="inlineStr">
        <is>
          <t>7</t>
        </is>
      </c>
      <c r="B6271" s="3" t="inlineStr">
        <is>
          <t>Air</t>
        </is>
      </c>
      <c r="C6271" s="3" t="inlineStr">
        <is>
          <t>liter</t>
        </is>
      </c>
      <c r="D6271" s="15" t="n">
        <v>5.6</v>
      </c>
      <c r="E6271" s="4" t="n">
        <v>200</v>
      </c>
      <c r="F6271" s="4" t="n">
        <v>1120</v>
      </c>
    </row>
    <row r="6272">
      <c r="D6272" s="2" t="inlineStr">
        <is>
          <t>SUBTOTAL UPAH</t>
        </is>
      </c>
      <c r="F6272" s="16" t="n">
        <v>14410</v>
      </c>
    </row>
    <row r="6273">
      <c r="D6273" s="2" t="inlineStr">
        <is>
          <t>SUBTOTAL BAHAN</t>
        </is>
      </c>
      <c r="F6273" s="16" t="n">
        <v>126636</v>
      </c>
    </row>
    <row r="6274">
      <c r="D6274" s="2" t="inlineStr">
        <is>
          <t>SUBTOTAL ALAT</t>
        </is>
      </c>
      <c r="F6274" s="16" t="n">
        <v>0</v>
      </c>
    </row>
    <row r="6275">
      <c r="E6275" s="2" t="inlineStr">
        <is>
          <t>TOTAL HARGA SATUAN (Inc. Overhead)</t>
        </is>
      </c>
      <c r="F6275" s="17" t="n">
        <v>155150</v>
      </c>
    </row>
    <row r="6277">
      <c r="A6277" s="14" t="inlineStr">
        <is>
          <t>KODE: 4.1.7.9 - Penanaman pada Lereng Tanah 1:1 (26.5°-45°), Metode
Hydroseeding per m2 Permukaan Lereng (Menggunakan Jenis Biji
Legume Crop Cover/LCC)</t>
        </is>
      </c>
    </row>
    <row r="6278">
      <c r="A6278" s="10" t="inlineStr">
        <is>
          <t>No</t>
        </is>
      </c>
      <c r="B6278" s="10" t="inlineStr">
        <is>
          <t>Uraian Komponen</t>
        </is>
      </c>
      <c r="C6278" s="10" t="inlineStr">
        <is>
          <t>Satuan</t>
        </is>
      </c>
      <c r="D6278" s="10" t="inlineStr">
        <is>
          <t>Koef</t>
        </is>
      </c>
      <c r="E6278" s="10" t="inlineStr">
        <is>
          <t>Harga Satuan (Rp)</t>
        </is>
      </c>
      <c r="F6278" s="10" t="inlineStr">
        <is>
          <t>Jumlah Harga (Rp)</t>
        </is>
      </c>
    </row>
    <row r="6279">
      <c r="A6279" s="3" t="inlineStr">
        <is>
          <t>1</t>
        </is>
      </c>
      <c r="B6279" s="3" t="inlineStr">
        <is>
          <t>Pekerja</t>
        </is>
      </c>
      <c r="C6279" s="3" t="inlineStr">
        <is>
          <t>OH</t>
        </is>
      </c>
      <c r="D6279" s="15" t="n">
        <v>0.001</v>
      </c>
      <c r="E6279" s="4" t="n">
        <v>100000</v>
      </c>
      <c r="F6279" s="4" t="n">
        <v>100</v>
      </c>
    </row>
    <row r="6280">
      <c r="A6280" s="3" t="inlineStr">
        <is>
          <t>2</t>
        </is>
      </c>
      <c r="B6280" s="3" t="inlineStr">
        <is>
          <t>Tukang tanam</t>
        </is>
      </c>
      <c r="C6280" s="3" t="inlineStr">
        <is>
          <t>OH</t>
        </is>
      </c>
      <c r="D6280" s="15" t="n">
        <v>0.002</v>
      </c>
      <c r="E6280" s="4" t="n">
        <v>181250</v>
      </c>
      <c r="F6280" s="4" t="n">
        <v>362.5</v>
      </c>
    </row>
    <row r="6281">
      <c r="A6281" s="3" t="inlineStr">
        <is>
          <t>2</t>
        </is>
      </c>
      <c r="B6281" s="3" t="inlineStr">
        <is>
          <t>Kepala Tukang Tanam</t>
        </is>
      </c>
      <c r="C6281" s="3" t="inlineStr">
        <is>
          <t>OH</t>
        </is>
      </c>
      <c r="D6281" s="15" t="n">
        <v>0.0002</v>
      </c>
      <c r="E6281" s="4" t="n">
        <v>218750</v>
      </c>
      <c r="F6281" s="4" t="n">
        <v>43.75</v>
      </c>
    </row>
    <row r="6282">
      <c r="A6282" s="3" t="inlineStr">
        <is>
          <t>3</t>
        </is>
      </c>
      <c r="B6282" s="3" t="inlineStr">
        <is>
          <t>Mandor</t>
        </is>
      </c>
      <c r="C6282" s="3" t="inlineStr">
        <is>
          <t>OH</t>
        </is>
      </c>
      <c r="D6282" s="15" t="n">
        <v>6.7e-05</v>
      </c>
      <c r="E6282" s="4" t="n">
        <v>200000</v>
      </c>
      <c r="F6282" s="4" t="n">
        <v>13.4</v>
      </c>
    </row>
    <row r="6283">
      <c r="A6283" s="3" t="inlineStr">
        <is>
          <t>1</t>
        </is>
      </c>
      <c r="B6283" s="3" t="inlineStr">
        <is>
          <t>"Matras Tipe II Termasuk angkur / penguat matras "</t>
        </is>
      </c>
      <c r="C6283" s="3" t="inlineStr">
        <is>
          <t>m2</t>
        </is>
      </c>
      <c r="D6283" s="15" t="n">
        <v>1</v>
      </c>
      <c r="E6283" s="4" t="n">
        <v>7500</v>
      </c>
      <c r="F6283" s="4" t="n">
        <v>7500</v>
      </c>
    </row>
    <row r="6284">
      <c r="A6284" s="3" t="inlineStr">
        <is>
          <t>2</t>
        </is>
      </c>
      <c r="B6284" s="3" t="inlineStr">
        <is>
          <t>Perekat Campuran Hydroseeding</t>
        </is>
      </c>
      <c r="C6284" s="3" t="inlineStr">
        <is>
          <t>kg</t>
        </is>
      </c>
      <c r="D6284" s="15" t="n">
        <v>0.003</v>
      </c>
      <c r="E6284" s="4" t="n">
        <v>16000</v>
      </c>
      <c r="F6284" s="4" t="n">
        <v>48</v>
      </c>
    </row>
    <row r="6285">
      <c r="A6285" s="3" t="inlineStr">
        <is>
          <t>3</t>
        </is>
      </c>
      <c r="B6285" s="3" t="inlineStr">
        <is>
          <t>Bibit Vegetasi (Biji Legume Crop Cover/LCC)</t>
        </is>
      </c>
      <c r="C6285" s="3" t="inlineStr">
        <is>
          <t>kg</t>
        </is>
      </c>
      <c r="D6285" s="15" t="n">
        <v>0.015</v>
      </c>
      <c r="E6285" s="4" t="n">
        <v>166000</v>
      </c>
      <c r="F6285" s="4" t="n">
        <v>2490</v>
      </c>
    </row>
    <row r="6286">
      <c r="A6286" s="3" t="inlineStr">
        <is>
          <t>4</t>
        </is>
      </c>
      <c r="B6286" s="3" t="inlineStr">
        <is>
          <t>Mulsa</t>
        </is>
      </c>
      <c r="C6286" s="3" t="inlineStr">
        <is>
          <t>kg</t>
        </is>
      </c>
      <c r="D6286" s="15" t="n">
        <v>0.3</v>
      </c>
      <c r="E6286" s="4" t="n">
        <v>35000</v>
      </c>
      <c r="F6286" s="4" t="n">
        <v>10500</v>
      </c>
    </row>
    <row r="6287">
      <c r="A6287" s="3" t="inlineStr">
        <is>
          <t>5</t>
        </is>
      </c>
      <c r="B6287" s="3" t="inlineStr">
        <is>
          <t>Pupuk Organik</t>
        </is>
      </c>
      <c r="C6287" s="3" t="inlineStr">
        <is>
          <t>kg</t>
        </is>
      </c>
      <c r="D6287" s="15" t="n">
        <v>0.8</v>
      </c>
      <c r="E6287" s="4" t="n">
        <v>178000</v>
      </c>
      <c r="F6287" s="4" t="n">
        <v>142400</v>
      </c>
    </row>
    <row r="6288">
      <c r="A6288" s="3" t="inlineStr">
        <is>
          <t>6</t>
        </is>
      </c>
      <c r="B6288" s="3" t="inlineStr">
        <is>
          <t>Pupuk anorganik *)</t>
        </is>
      </c>
      <c r="C6288" s="3" t="inlineStr">
        <is>
          <t>kg</t>
        </is>
      </c>
      <c r="D6288" s="15" t="n">
        <v>0.004</v>
      </c>
      <c r="E6288" s="4" t="n">
        <v>18000</v>
      </c>
      <c r="F6288" s="4" t="n">
        <v>72</v>
      </c>
    </row>
    <row r="6289">
      <c r="A6289" s="3" t="inlineStr">
        <is>
          <t>7</t>
        </is>
      </c>
      <c r="B6289" s="3" t="inlineStr">
        <is>
          <t>Air</t>
        </is>
      </c>
      <c r="C6289" s="3" t="inlineStr">
        <is>
          <t>liter</t>
        </is>
      </c>
      <c r="D6289" s="15" t="n">
        <v>5.6</v>
      </c>
      <c r="E6289" s="4" t="n">
        <v>200</v>
      </c>
      <c r="F6289" s="4" t="n">
        <v>1120</v>
      </c>
    </row>
    <row r="6290">
      <c r="A6290" s="3" t="inlineStr">
        <is>
          <t>1</t>
        </is>
      </c>
      <c r="B6290" s="3" t="inlineStr">
        <is>
          <t>Sewa Mesin Hydroseeding 2000L</t>
        </is>
      </c>
      <c r="C6290" s="3" t="inlineStr">
        <is>
          <t>hari</t>
        </is>
      </c>
      <c r="D6290" s="15" t="n">
        <v>0.0005</v>
      </c>
      <c r="E6290" s="4" t="n">
        <v>350000</v>
      </c>
      <c r="F6290" s="4" t="n">
        <v>175</v>
      </c>
    </row>
    <row r="6291">
      <c r="D6291" s="2" t="inlineStr">
        <is>
          <t>SUBTOTAL UPAH</t>
        </is>
      </c>
      <c r="F6291" s="16" t="n">
        <v>519.65</v>
      </c>
    </row>
    <row r="6292">
      <c r="D6292" s="2" t="inlineStr">
        <is>
          <t>SUBTOTAL BAHAN</t>
        </is>
      </c>
      <c r="F6292" s="16" t="n">
        <v>164130</v>
      </c>
    </row>
    <row r="6293">
      <c r="D6293" s="2" t="inlineStr">
        <is>
          <t>SUBTOTAL ALAT</t>
        </is>
      </c>
      <c r="F6293" s="16" t="n">
        <v>175</v>
      </c>
    </row>
    <row r="6294">
      <c r="E6294" s="2" t="inlineStr">
        <is>
          <t>TOTAL HARGA SATUAN (Inc. Overhead)</t>
        </is>
      </c>
      <c r="F6294" s="17" t="n">
        <v>181307</v>
      </c>
    </row>
    <row r="6296">
      <c r="A6296" s="14" t="inlineStr">
        <is>
          <t>KODE: 4.1.7.10 - Penanaman Pada Lereng Tanah 1:1 (26.5°-45°), Metode Taplok per
m2 Permukaan Lereng (Menggunakan Jenis Biji Legume Crop
Cover/LCC)</t>
        </is>
      </c>
    </row>
    <row r="6297">
      <c r="A6297" s="10" t="inlineStr">
        <is>
          <t>No</t>
        </is>
      </c>
      <c r="B6297" s="10" t="inlineStr">
        <is>
          <t>Uraian Komponen</t>
        </is>
      </c>
      <c r="C6297" s="10" t="inlineStr">
        <is>
          <t>Satuan</t>
        </is>
      </c>
      <c r="D6297" s="10" t="inlineStr">
        <is>
          <t>Koef</t>
        </is>
      </c>
      <c r="E6297" s="10" t="inlineStr">
        <is>
          <t>Harga Satuan (Rp)</t>
        </is>
      </c>
      <c r="F6297" s="10" t="inlineStr">
        <is>
          <t>Jumlah Harga (Rp)</t>
        </is>
      </c>
    </row>
    <row r="6298">
      <c r="A6298" s="3" t="inlineStr">
        <is>
          <t>1</t>
        </is>
      </c>
      <c r="B6298" s="3" t="inlineStr">
        <is>
          <t>Pekerja</t>
        </is>
      </c>
      <c r="C6298" s="3" t="inlineStr">
        <is>
          <t>OH</t>
        </is>
      </c>
      <c r="D6298" s="15" t="n">
        <v>0.05</v>
      </c>
      <c r="E6298" s="4" t="n">
        <v>100000</v>
      </c>
      <c r="F6298" s="4" t="n">
        <v>5000</v>
      </c>
    </row>
    <row r="6299">
      <c r="A6299" s="3" t="inlineStr">
        <is>
          <t>2</t>
        </is>
      </c>
      <c r="B6299" s="3" t="inlineStr">
        <is>
          <t>Tukang tanam</t>
        </is>
      </c>
      <c r="C6299" s="3" t="inlineStr">
        <is>
          <t>OH</t>
        </is>
      </c>
      <c r="D6299" s="15" t="n">
        <v>0.01</v>
      </c>
      <c r="E6299" s="4" t="n">
        <v>181250</v>
      </c>
      <c r="F6299" s="4" t="n">
        <v>1812.5</v>
      </c>
    </row>
    <row r="6300">
      <c r="A6300" s="3" t="inlineStr">
        <is>
          <t>2</t>
        </is>
      </c>
      <c r="B6300" s="3" t="inlineStr">
        <is>
          <t>Kepala Tukang Tanam</t>
        </is>
      </c>
      <c r="C6300" s="3" t="inlineStr">
        <is>
          <t>OH</t>
        </is>
      </c>
      <c r="D6300" s="15" t="n">
        <v>0.02</v>
      </c>
      <c r="E6300" s="4" t="n">
        <v>218750</v>
      </c>
      <c r="F6300" s="4" t="n">
        <v>4375</v>
      </c>
    </row>
    <row r="6301">
      <c r="A6301" s="3" t="inlineStr">
        <is>
          <t>3</t>
        </is>
      </c>
      <c r="B6301" s="3" t="inlineStr">
        <is>
          <t>Mandor</t>
        </is>
      </c>
      <c r="C6301" s="3" t="inlineStr">
        <is>
          <t>OH</t>
        </is>
      </c>
      <c r="D6301" s="15" t="n">
        <v>0.0067</v>
      </c>
      <c r="E6301" s="4" t="n">
        <v>200000</v>
      </c>
      <c r="F6301" s="4" t="n">
        <v>1340</v>
      </c>
    </row>
    <row r="6302">
      <c r="A6302" s="3" t="inlineStr">
        <is>
          <t>1</t>
        </is>
      </c>
      <c r="B6302" s="3" t="inlineStr">
        <is>
          <t>"Matras Tipe II Termasuk angkur / penguat matras "</t>
        </is>
      </c>
      <c r="C6302" s="3" t="inlineStr">
        <is>
          <t>m2</t>
        </is>
      </c>
      <c r="D6302" s="15" t="n">
        <v>1</v>
      </c>
      <c r="E6302" s="4" t="n">
        <v>7500</v>
      </c>
      <c r="F6302" s="4" t="n">
        <v>7500</v>
      </c>
    </row>
    <row r="6303">
      <c r="A6303" s="3" t="inlineStr">
        <is>
          <t>2</t>
        </is>
      </c>
      <c r="B6303" s="3" t="inlineStr">
        <is>
          <t>Perekat Campuran Hydroseeding</t>
        </is>
      </c>
      <c r="C6303" s="3" t="inlineStr">
        <is>
          <t>kg</t>
        </is>
      </c>
      <c r="D6303" s="15" t="n">
        <v>0.003</v>
      </c>
      <c r="E6303" s="4" t="n">
        <v>16000</v>
      </c>
      <c r="F6303" s="4" t="n">
        <v>48</v>
      </c>
    </row>
    <row r="6304">
      <c r="A6304" s="3" t="inlineStr">
        <is>
          <t>3</t>
        </is>
      </c>
      <c r="B6304" s="3" t="inlineStr">
        <is>
          <t>Bibit Vegetasi (Biji Legume Crop Cover/LCC)</t>
        </is>
      </c>
      <c r="C6304" s="3" t="inlineStr">
        <is>
          <t>kg</t>
        </is>
      </c>
      <c r="D6304" s="15" t="n">
        <v>0.015</v>
      </c>
      <c r="E6304" s="4" t="n">
        <v>166000</v>
      </c>
      <c r="F6304" s="4" t="n">
        <v>2490</v>
      </c>
    </row>
    <row r="6305">
      <c r="A6305" s="3" t="inlineStr">
        <is>
          <t>4</t>
        </is>
      </c>
      <c r="B6305" s="3" t="inlineStr">
        <is>
          <t>Mulsa</t>
        </is>
      </c>
      <c r="C6305" s="3" t="inlineStr">
        <is>
          <t>kg</t>
        </is>
      </c>
      <c r="D6305" s="15" t="n">
        <v>0.3</v>
      </c>
      <c r="E6305" s="4" t="n">
        <v>35000</v>
      </c>
      <c r="F6305" s="4" t="n">
        <v>10500</v>
      </c>
    </row>
    <row r="6306">
      <c r="A6306" s="3" t="inlineStr">
        <is>
          <t>5</t>
        </is>
      </c>
      <c r="B6306" s="3" t="inlineStr">
        <is>
          <t>Pupuk Organik</t>
        </is>
      </c>
      <c r="C6306" s="3" t="inlineStr">
        <is>
          <t>kg</t>
        </is>
      </c>
      <c r="D6306" s="15" t="n">
        <v>0.8</v>
      </c>
      <c r="E6306" s="4" t="n">
        <v>178000</v>
      </c>
      <c r="F6306" s="4" t="n">
        <v>142400</v>
      </c>
    </row>
    <row r="6307">
      <c r="A6307" s="3" t="inlineStr">
        <is>
          <t>6</t>
        </is>
      </c>
      <c r="B6307" s="3" t="inlineStr">
        <is>
          <t>Pupuk anorganik *)</t>
        </is>
      </c>
      <c r="C6307" s="3" t="inlineStr">
        <is>
          <t>kg</t>
        </is>
      </c>
      <c r="D6307" s="15" t="n">
        <v>0.004</v>
      </c>
      <c r="E6307" s="4" t="n">
        <v>18000</v>
      </c>
      <c r="F6307" s="4" t="n">
        <v>72</v>
      </c>
    </row>
    <row r="6308">
      <c r="A6308" s="3" t="inlineStr">
        <is>
          <t>7</t>
        </is>
      </c>
      <c r="B6308" s="3" t="inlineStr">
        <is>
          <t>Air</t>
        </is>
      </c>
      <c r="C6308" s="3" t="inlineStr">
        <is>
          <t>liter</t>
        </is>
      </c>
      <c r="D6308" s="15" t="n">
        <v>5.6</v>
      </c>
      <c r="E6308" s="4" t="n">
        <v>200</v>
      </c>
      <c r="F6308" s="4" t="n">
        <v>1120</v>
      </c>
    </row>
    <row r="6309">
      <c r="D6309" s="2" t="inlineStr">
        <is>
          <t>SUBTOTAL UPAH</t>
        </is>
      </c>
      <c r="F6309" s="16" t="n">
        <v>12527.5</v>
      </c>
    </row>
    <row r="6310">
      <c r="D6310" s="2" t="inlineStr">
        <is>
          <t>SUBTOTAL BAHAN</t>
        </is>
      </c>
      <c r="F6310" s="16" t="n">
        <v>164130</v>
      </c>
    </row>
    <row r="6311">
      <c r="D6311" s="2" t="inlineStr">
        <is>
          <t>SUBTOTAL ALAT</t>
        </is>
      </c>
      <c r="F6311" s="16" t="n">
        <v>0</v>
      </c>
    </row>
    <row r="6312">
      <c r="E6312" s="2" t="inlineStr">
        <is>
          <t>TOTAL HARGA SATUAN (Inc. Overhead)</t>
        </is>
      </c>
      <c r="F6312" s="17" t="n">
        <v>194323</v>
      </c>
    </row>
    <row r="6314">
      <c r="A6314" s="14" t="inlineStr">
        <is>
          <t>KODE: 4.1.8.2 - Pengolahan Tanah berPH 4,50-5,50 dan bertekstur Pasir 60,01%-100,00% atau tanah sandy per m3</t>
        </is>
      </c>
    </row>
    <row r="6315">
      <c r="A6315" s="10" t="inlineStr">
        <is>
          <t>No</t>
        </is>
      </c>
      <c r="B6315" s="10" t="inlineStr">
        <is>
          <t>Uraian Komponen</t>
        </is>
      </c>
      <c r="C6315" s="10" t="inlineStr">
        <is>
          <t>Satuan</t>
        </is>
      </c>
      <c r="D6315" s="10" t="inlineStr">
        <is>
          <t>Koef</t>
        </is>
      </c>
      <c r="E6315" s="10" t="inlineStr">
        <is>
          <t>Harga Satuan (Rp)</t>
        </is>
      </c>
      <c r="F6315" s="10" t="inlineStr">
        <is>
          <t>Jumlah Harga (Rp)</t>
        </is>
      </c>
    </row>
    <row r="6316">
      <c r="A6316" s="3" t="inlineStr">
        <is>
          <t>1</t>
        </is>
      </c>
      <c r="B6316" s="3" t="inlineStr">
        <is>
          <t>Pekerja</t>
        </is>
      </c>
      <c r="C6316" s="3" t="inlineStr">
        <is>
          <t>OH</t>
        </is>
      </c>
      <c r="D6316" s="15" t="n">
        <v>0.36</v>
      </c>
      <c r="E6316" s="4" t="n">
        <v>100000</v>
      </c>
      <c r="F6316" s="4" t="n">
        <v>36000</v>
      </c>
    </row>
    <row r="6317">
      <c r="A6317" s="3" t="inlineStr">
        <is>
          <t>2</t>
        </is>
      </c>
      <c r="B6317" s="3" t="inlineStr">
        <is>
          <t>Mandor</t>
        </is>
      </c>
      <c r="C6317" s="3" t="inlineStr">
        <is>
          <t>OH</t>
        </is>
      </c>
      <c r="D6317" s="15" t="n">
        <v>0.036</v>
      </c>
      <c r="E6317" s="4" t="n">
        <v>200000</v>
      </c>
      <c r="F6317" s="4" t="n">
        <v>7199.999999999999</v>
      </c>
    </row>
    <row r="6318">
      <c r="A6318" s="3" t="inlineStr">
        <is>
          <t>1</t>
        </is>
      </c>
      <c r="B6318" s="3" t="inlineStr">
        <is>
          <t>Material Organik</t>
        </is>
      </c>
      <c r="C6318" s="3" t="inlineStr">
        <is>
          <t>m3</t>
        </is>
      </c>
      <c r="D6318" s="15" t="n">
        <v>0.4</v>
      </c>
      <c r="E6318" s="4" t="n">
        <v>10500</v>
      </c>
      <c r="F6318" s="4" t="n">
        <v>4200</v>
      </c>
    </row>
    <row r="6319">
      <c r="A6319" s="3" t="inlineStr">
        <is>
          <t>2</t>
        </is>
      </c>
      <c r="B6319" s="3" t="inlineStr">
        <is>
          <t>Kapur</t>
        </is>
      </c>
      <c r="C6319" s="3" t="inlineStr">
        <is>
          <t>kg</t>
        </is>
      </c>
      <c r="D6319" s="15" t="n">
        <v>0.3</v>
      </c>
      <c r="E6319" s="4" t="n">
        <v>3100</v>
      </c>
      <c r="F6319" s="4" t="n">
        <v>930</v>
      </c>
    </row>
    <row r="6320">
      <c r="A6320" s="3" t="inlineStr">
        <is>
          <t>1</t>
        </is>
      </c>
      <c r="B6320" s="3" t="inlineStr">
        <is>
          <t>Mesin Molen 1m3</t>
        </is>
      </c>
      <c r="C6320" s="3" t="inlineStr">
        <is>
          <t>hari</t>
        </is>
      </c>
      <c r="D6320" s="15" t="n">
        <v>0.07140000000000001</v>
      </c>
      <c r="E6320" s="4" t="n">
        <v>300000</v>
      </c>
      <c r="F6320" s="4" t="n">
        <v>21420</v>
      </c>
    </row>
    <row r="6321">
      <c r="D6321" s="2" t="inlineStr">
        <is>
          <t>SUBTOTAL UPAH</t>
        </is>
      </c>
      <c r="F6321" s="16" t="n">
        <v>43200</v>
      </c>
    </row>
    <row r="6322">
      <c r="D6322" s="2" t="inlineStr">
        <is>
          <t>SUBTOTAL BAHAN</t>
        </is>
      </c>
      <c r="F6322" s="16" t="n">
        <v>5130</v>
      </c>
    </row>
    <row r="6323">
      <c r="D6323" s="2" t="inlineStr">
        <is>
          <t>SUBTOTAL ALAT</t>
        </is>
      </c>
      <c r="F6323" s="16" t="n">
        <v>21420</v>
      </c>
    </row>
    <row r="6324">
      <c r="E6324" s="2" t="inlineStr">
        <is>
          <t>TOTAL HARGA SATUAN (Inc. Overhead)</t>
        </is>
      </c>
      <c r="F6324" s="17" t="n">
        <v>76725</v>
      </c>
    </row>
    <row r="6326">
      <c r="A6326" s="14" t="inlineStr">
        <is>
          <t>KODE: 4.1.8.8 - Pengolahan Tanah berPH &gt;7.5 per m3</t>
        </is>
      </c>
    </row>
    <row r="6327">
      <c r="A6327" s="10" t="inlineStr">
        <is>
          <t>No</t>
        </is>
      </c>
      <c r="B6327" s="10" t="inlineStr">
        <is>
          <t>Uraian Komponen</t>
        </is>
      </c>
      <c r="C6327" s="10" t="inlineStr">
        <is>
          <t>Satuan</t>
        </is>
      </c>
      <c r="D6327" s="10" t="inlineStr">
        <is>
          <t>Koef</t>
        </is>
      </c>
      <c r="E6327" s="10" t="inlineStr">
        <is>
          <t>Harga Satuan (Rp)</t>
        </is>
      </c>
      <c r="F6327" s="10" t="inlineStr">
        <is>
          <t>Jumlah Harga (Rp)</t>
        </is>
      </c>
    </row>
    <row r="6328">
      <c r="A6328" s="3" t="inlineStr">
        <is>
          <t>1</t>
        </is>
      </c>
      <c r="B6328" s="3" t="inlineStr">
        <is>
          <t>Pekerja</t>
        </is>
      </c>
      <c r="C6328" s="3" t="inlineStr">
        <is>
          <t>OH</t>
        </is>
      </c>
      <c r="D6328" s="15" t="n">
        <v>0.36</v>
      </c>
      <c r="E6328" s="4" t="n">
        <v>100000</v>
      </c>
      <c r="F6328" s="4" t="n">
        <v>36000</v>
      </c>
    </row>
    <row r="6329">
      <c r="A6329" s="3" t="inlineStr">
        <is>
          <t>2</t>
        </is>
      </c>
      <c r="B6329" s="3" t="inlineStr">
        <is>
          <t>Mandor</t>
        </is>
      </c>
      <c r="C6329" s="3" t="inlineStr">
        <is>
          <t>OH</t>
        </is>
      </c>
      <c r="D6329" s="15" t="n">
        <v>0.036</v>
      </c>
      <c r="E6329" s="4" t="n">
        <v>200000</v>
      </c>
      <c r="F6329" s="4" t="n">
        <v>7199.999999999999</v>
      </c>
    </row>
    <row r="6330">
      <c r="A6330" s="3" t="inlineStr">
        <is>
          <t>1</t>
        </is>
      </c>
      <c r="B6330" s="3" t="inlineStr">
        <is>
          <t>Material Organik</t>
        </is>
      </c>
      <c r="C6330" s="3" t="inlineStr">
        <is>
          <t>m3</t>
        </is>
      </c>
      <c r="D6330" s="15" t="n">
        <v>0.35</v>
      </c>
      <c r="E6330" s="4" t="n">
        <v>10500</v>
      </c>
      <c r="F6330" s="4" t="n">
        <v>3675</v>
      </c>
    </row>
    <row r="6331">
      <c r="A6331" s="3" t="inlineStr">
        <is>
          <t>2</t>
        </is>
      </c>
      <c r="B6331" s="3" t="inlineStr">
        <is>
          <t>Sulfur</t>
        </is>
      </c>
      <c r="C6331" s="3" t="inlineStr">
        <is>
          <t>kg</t>
        </is>
      </c>
      <c r="D6331" s="15" t="n">
        <v>0.15</v>
      </c>
      <c r="E6331" s="4" t="n">
        <v>12000</v>
      </c>
      <c r="F6331" s="4" t="n">
        <v>1800</v>
      </c>
    </row>
    <row r="6332">
      <c r="A6332" s="3" t="inlineStr">
        <is>
          <t>1</t>
        </is>
      </c>
      <c r="B6332" s="3" t="inlineStr">
        <is>
          <t>Mesin Molen 1m3</t>
        </is>
      </c>
      <c r="C6332" s="3" t="inlineStr">
        <is>
          <t>hari</t>
        </is>
      </c>
      <c r="D6332" s="15" t="n">
        <v>0.07140000000000001</v>
      </c>
      <c r="E6332" s="4" t="n">
        <v>300000</v>
      </c>
      <c r="F6332" s="4" t="n">
        <v>21420</v>
      </c>
    </row>
    <row r="6333">
      <c r="D6333" s="2" t="inlineStr">
        <is>
          <t>SUBTOTAL UPAH</t>
        </is>
      </c>
      <c r="F6333" s="16" t="n">
        <v>43200</v>
      </c>
    </row>
    <row r="6334">
      <c r="D6334" s="2" t="inlineStr">
        <is>
          <t>SUBTOTAL BAHAN</t>
        </is>
      </c>
      <c r="F6334" s="16" t="n">
        <v>5475</v>
      </c>
    </row>
    <row r="6335">
      <c r="D6335" s="2" t="inlineStr">
        <is>
          <t>SUBTOTAL ALAT</t>
        </is>
      </c>
      <c r="F6335" s="16" t="n">
        <v>21420</v>
      </c>
    </row>
    <row r="6336">
      <c r="E6336" s="2" t="inlineStr">
        <is>
          <t>TOTAL HARGA SATUAN (Inc. Overhead)</t>
        </is>
      </c>
      <c r="F6336" s="17" t="n">
        <v>77104</v>
      </c>
    </row>
    <row r="6338">
      <c r="A6338" s="14" t="inlineStr">
        <is>
          <t>KODE: 4.1.9.1 - Pengolahan Tanah bertekstur  liat  40,01%-60,00% atau tanah Sandy per m3</t>
        </is>
      </c>
    </row>
    <row r="6339">
      <c r="A6339" s="10" t="inlineStr">
        <is>
          <t>No</t>
        </is>
      </c>
      <c r="B6339" s="10" t="inlineStr">
        <is>
          <t>Uraian Komponen</t>
        </is>
      </c>
      <c r="C6339" s="10" t="inlineStr">
        <is>
          <t>Satuan</t>
        </is>
      </c>
      <c r="D6339" s="10" t="inlineStr">
        <is>
          <t>Koef</t>
        </is>
      </c>
      <c r="E6339" s="10" t="inlineStr">
        <is>
          <t>Harga Satuan (Rp)</t>
        </is>
      </c>
      <c r="F6339" s="10" t="inlineStr">
        <is>
          <t>Jumlah Harga (Rp)</t>
        </is>
      </c>
    </row>
    <row r="6340">
      <c r="A6340" s="3" t="inlineStr">
        <is>
          <t>1</t>
        </is>
      </c>
      <c r="B6340" s="3" t="inlineStr">
        <is>
          <t>Pekerja</t>
        </is>
      </c>
      <c r="C6340" s="3" t="inlineStr">
        <is>
          <t>OH</t>
        </is>
      </c>
      <c r="D6340" s="15" t="n">
        <v>0.36</v>
      </c>
      <c r="E6340" s="4" t="n">
        <v>100000</v>
      </c>
      <c r="F6340" s="4" t="n">
        <v>36000</v>
      </c>
    </row>
    <row r="6341">
      <c r="A6341" s="3" t="inlineStr">
        <is>
          <t>2</t>
        </is>
      </c>
      <c r="B6341" s="3" t="inlineStr">
        <is>
          <t>Mandor</t>
        </is>
      </c>
      <c r="C6341" s="3" t="inlineStr">
        <is>
          <t>OH</t>
        </is>
      </c>
      <c r="D6341" s="15" t="n">
        <v>0.036</v>
      </c>
      <c r="E6341" s="4" t="n">
        <v>200000</v>
      </c>
      <c r="F6341" s="4" t="n">
        <v>7199.999999999999</v>
      </c>
    </row>
    <row r="6342">
      <c r="A6342" s="3" t="inlineStr">
        <is>
          <t>1</t>
        </is>
      </c>
      <c r="B6342" s="3" t="inlineStr">
        <is>
          <t>Material Organik</t>
        </is>
      </c>
      <c r="C6342" s="3" t="inlineStr">
        <is>
          <t>m3</t>
        </is>
      </c>
      <c r="D6342" s="15" t="n">
        <v>0.35</v>
      </c>
      <c r="E6342" s="4" t="n">
        <v>10500</v>
      </c>
      <c r="F6342" s="4" t="n">
        <v>3675</v>
      </c>
    </row>
    <row r="6343">
      <c r="A6343" s="3" t="inlineStr">
        <is>
          <t>1</t>
        </is>
      </c>
      <c r="B6343" s="3" t="inlineStr">
        <is>
          <t>Molen beton mixer 350 liter</t>
        </is>
      </c>
      <c r="C6343" s="3" t="inlineStr">
        <is>
          <t>hari</t>
        </is>
      </c>
      <c r="D6343" s="15" t="n">
        <v>0.07140000000000001</v>
      </c>
      <c r="E6343" s="4" t="n">
        <v>300000</v>
      </c>
      <c r="F6343" s="4" t="n">
        <v>21420</v>
      </c>
    </row>
    <row r="6344">
      <c r="D6344" s="2" t="inlineStr">
        <is>
          <t>SUBTOTAL UPAH</t>
        </is>
      </c>
      <c r="F6344" s="16" t="n">
        <v>43200</v>
      </c>
    </row>
    <row r="6345">
      <c r="D6345" s="2" t="inlineStr">
        <is>
          <t>SUBTOTAL BAHAN</t>
        </is>
      </c>
      <c r="F6345" s="16" t="n">
        <v>3675</v>
      </c>
    </row>
    <row r="6346">
      <c r="D6346" s="2" t="inlineStr">
        <is>
          <t>SUBTOTAL ALAT</t>
        </is>
      </c>
      <c r="F6346" s="16" t="n">
        <v>21420</v>
      </c>
    </row>
    <row r="6347">
      <c r="E6347" s="2" t="inlineStr">
        <is>
          <t>TOTAL HARGA SATUAN (Inc. Overhead)</t>
        </is>
      </c>
      <c r="F6347" s="17" t="n">
        <v>75124</v>
      </c>
    </row>
    <row r="6349">
      <c r="A6349" s="14" t="inlineStr">
        <is>
          <t>KODE: 4.1.9.2 - Pengolahan Tanah bertekstur  liat  60,01%-100,00% atau tanah Sandy Loam per m3</t>
        </is>
      </c>
    </row>
    <row r="6350">
      <c r="A6350" s="10" t="inlineStr">
        <is>
          <t>No</t>
        </is>
      </c>
      <c r="B6350" s="10" t="inlineStr">
        <is>
          <t>Uraian Komponen</t>
        </is>
      </c>
      <c r="C6350" s="10" t="inlineStr">
        <is>
          <t>Satuan</t>
        </is>
      </c>
      <c r="D6350" s="10" t="inlineStr">
        <is>
          <t>Koef</t>
        </is>
      </c>
      <c r="E6350" s="10" t="inlineStr">
        <is>
          <t>Harga Satuan (Rp)</t>
        </is>
      </c>
      <c r="F6350" s="10" t="inlineStr">
        <is>
          <t>Jumlah Harga (Rp)</t>
        </is>
      </c>
    </row>
    <row r="6351">
      <c r="A6351" s="3" t="inlineStr">
        <is>
          <t>1</t>
        </is>
      </c>
      <c r="B6351" s="3" t="inlineStr">
        <is>
          <t>Pekerja</t>
        </is>
      </c>
      <c r="C6351" s="3" t="inlineStr">
        <is>
          <t>OH</t>
        </is>
      </c>
      <c r="D6351" s="15" t="n">
        <v>0.36</v>
      </c>
      <c r="E6351" s="4" t="n">
        <v>100000</v>
      </c>
      <c r="F6351" s="4" t="n">
        <v>36000</v>
      </c>
    </row>
    <row r="6352">
      <c r="A6352" s="3" t="inlineStr">
        <is>
          <t>2</t>
        </is>
      </c>
      <c r="B6352" s="3" t="inlineStr">
        <is>
          <t>Mandor</t>
        </is>
      </c>
      <c r="C6352" s="3" t="inlineStr">
        <is>
          <t>OH</t>
        </is>
      </c>
      <c r="D6352" s="15" t="n">
        <v>0.036</v>
      </c>
      <c r="E6352" s="4" t="n">
        <v>200000</v>
      </c>
      <c r="F6352" s="4" t="n">
        <v>7199.999999999999</v>
      </c>
    </row>
    <row r="6353">
      <c r="A6353" s="3" t="inlineStr">
        <is>
          <t>1</t>
        </is>
      </c>
      <c r="B6353" s="3" t="inlineStr">
        <is>
          <t>Material Organik</t>
        </is>
      </c>
      <c r="C6353" s="3" t="inlineStr">
        <is>
          <t>m3</t>
        </is>
      </c>
      <c r="D6353" s="15" t="n">
        <v>0.4</v>
      </c>
      <c r="E6353" s="4" t="n">
        <v>10500</v>
      </c>
      <c r="F6353" s="4" t="n">
        <v>4200</v>
      </c>
    </row>
    <row r="6354">
      <c r="A6354" s="3" t="inlineStr">
        <is>
          <t>2</t>
        </is>
      </c>
      <c r="B6354" s="3" t="inlineStr">
        <is>
          <t>Pasir</t>
        </is>
      </c>
      <c r="C6354" s="3" t="inlineStr">
        <is>
          <t>m3</t>
        </is>
      </c>
      <c r="D6354" s="15" t="n">
        <v>0.15</v>
      </c>
      <c r="E6354" s="4" t="n">
        <v>250000</v>
      </c>
      <c r="F6354" s="4" t="n">
        <v>37500</v>
      </c>
    </row>
    <row r="6355">
      <c r="A6355" s="3" t="inlineStr">
        <is>
          <t>1</t>
        </is>
      </c>
      <c r="B6355" s="3" t="inlineStr">
        <is>
          <t>Molen beton mixer 350 liter</t>
        </is>
      </c>
      <c r="C6355" s="3" t="inlineStr">
        <is>
          <t>hari</t>
        </is>
      </c>
      <c r="D6355" s="15" t="n">
        <v>0.07140000000000001</v>
      </c>
      <c r="E6355" s="4" t="n">
        <v>300000</v>
      </c>
      <c r="F6355" s="4" t="n">
        <v>21420</v>
      </c>
    </row>
    <row r="6356">
      <c r="D6356" s="2" t="inlineStr">
        <is>
          <t>SUBTOTAL UPAH</t>
        </is>
      </c>
      <c r="F6356" s="16" t="n">
        <v>43200</v>
      </c>
    </row>
    <row r="6357">
      <c r="D6357" s="2" t="inlineStr">
        <is>
          <t>SUBTOTAL BAHAN</t>
        </is>
      </c>
      <c r="F6357" s="16" t="n">
        <v>41700</v>
      </c>
    </row>
    <row r="6358">
      <c r="D6358" s="2" t="inlineStr">
        <is>
          <t>SUBTOTAL ALAT</t>
        </is>
      </c>
      <c r="F6358" s="16" t="n">
        <v>21420</v>
      </c>
    </row>
    <row r="6359">
      <c r="E6359" s="2" t="inlineStr">
        <is>
          <t>TOTAL HARGA SATUAN (Inc. Overhead)</t>
        </is>
      </c>
      <c r="F6359" s="17" t="n">
        <v>116900</v>
      </c>
    </row>
    <row r="6361">
      <c r="A6361" s="14" t="inlineStr">
        <is>
          <t>KODE: 4.1.9.3 - Pengolahan Tanah bertekstur  liat  60,01%-100,00% atau tanah Loam to Clay Loam per m3</t>
        </is>
      </c>
    </row>
    <row r="6362">
      <c r="A6362" s="10" t="inlineStr">
        <is>
          <t>No</t>
        </is>
      </c>
      <c r="B6362" s="10" t="inlineStr">
        <is>
          <t>Uraian Komponen</t>
        </is>
      </c>
      <c r="C6362" s="10" t="inlineStr">
        <is>
          <t>Satuan</t>
        </is>
      </c>
      <c r="D6362" s="10" t="inlineStr">
        <is>
          <t>Koef</t>
        </is>
      </c>
      <c r="E6362" s="10" t="inlineStr">
        <is>
          <t>Harga Satuan (Rp)</t>
        </is>
      </c>
      <c r="F6362" s="10" t="inlineStr">
        <is>
          <t>Jumlah Harga (Rp)</t>
        </is>
      </c>
    </row>
    <row r="6363">
      <c r="A6363" s="3" t="inlineStr">
        <is>
          <t>1</t>
        </is>
      </c>
      <c r="B6363" s="3" t="inlineStr">
        <is>
          <t>Pekerja</t>
        </is>
      </c>
      <c r="C6363" s="3" t="inlineStr">
        <is>
          <t>OH</t>
        </is>
      </c>
      <c r="D6363" s="15" t="n">
        <v>0.36</v>
      </c>
      <c r="E6363" s="4" t="n">
        <v>100000</v>
      </c>
      <c r="F6363" s="4" t="n">
        <v>36000</v>
      </c>
    </row>
    <row r="6364">
      <c r="A6364" s="3" t="inlineStr">
        <is>
          <t>2</t>
        </is>
      </c>
      <c r="B6364" s="3" t="inlineStr">
        <is>
          <t>Mandor</t>
        </is>
      </c>
      <c r="C6364" s="3" t="inlineStr">
        <is>
          <t>OH</t>
        </is>
      </c>
      <c r="D6364" s="15" t="n">
        <v>0.036</v>
      </c>
      <c r="E6364" s="4" t="n">
        <v>200000</v>
      </c>
      <c r="F6364" s="4" t="n">
        <v>7199.999999999999</v>
      </c>
    </row>
    <row r="6365">
      <c r="A6365" s="3" t="inlineStr">
        <is>
          <t>1</t>
        </is>
      </c>
      <c r="B6365" s="3" t="inlineStr">
        <is>
          <t>Material Organik</t>
        </is>
      </c>
      <c r="C6365" s="3" t="inlineStr">
        <is>
          <t>m3</t>
        </is>
      </c>
      <c r="D6365" s="15" t="n">
        <v>0.4</v>
      </c>
      <c r="E6365" s="4" t="n">
        <v>10500</v>
      </c>
      <c r="F6365" s="4" t="n">
        <v>4200</v>
      </c>
    </row>
    <row r="6366">
      <c r="A6366" s="3" t="inlineStr">
        <is>
          <t>1</t>
        </is>
      </c>
      <c r="B6366" s="3" t="inlineStr">
        <is>
          <t>Molen beton mixer 350 liter</t>
        </is>
      </c>
      <c r="C6366" s="3" t="inlineStr">
        <is>
          <t>hari</t>
        </is>
      </c>
      <c r="D6366" s="15" t="n">
        <v>0.07140000000000001</v>
      </c>
      <c r="E6366" s="4" t="n">
        <v>300000</v>
      </c>
      <c r="F6366" s="4" t="n">
        <v>21420</v>
      </c>
    </row>
    <row r="6367">
      <c r="D6367" s="2" t="inlineStr">
        <is>
          <t>SUBTOTAL UPAH</t>
        </is>
      </c>
      <c r="F6367" s="16" t="n">
        <v>43200</v>
      </c>
    </row>
    <row r="6368">
      <c r="D6368" s="2" t="inlineStr">
        <is>
          <t>SUBTOTAL BAHAN</t>
        </is>
      </c>
      <c r="F6368" s="16" t="n">
        <v>4200</v>
      </c>
    </row>
    <row r="6369">
      <c r="D6369" s="2" t="inlineStr">
        <is>
          <t>SUBTOTAL ALAT</t>
        </is>
      </c>
      <c r="F6369" s="16" t="n">
        <v>21420</v>
      </c>
    </row>
    <row r="6370">
      <c r="E6370" s="2" t="inlineStr">
        <is>
          <t>TOTAL HARGA SATUAN (Inc. Overhead)</t>
        </is>
      </c>
      <c r="F6370" s="17" t="n">
        <v>75702</v>
      </c>
    </row>
    <row r="6372">
      <c r="A6372" s="14" t="inlineStr">
        <is>
          <t>KODE: 4.1.10.1 - Peyiraman untuk 1 hari ( dengan selang plastik 3/4 ich) untuk 1 buah pohon/palem</t>
        </is>
      </c>
    </row>
    <row r="6373">
      <c r="A6373" s="10" t="inlineStr">
        <is>
          <t>No</t>
        </is>
      </c>
      <c r="B6373" s="10" t="inlineStr">
        <is>
          <t>Uraian Komponen</t>
        </is>
      </c>
      <c r="C6373" s="10" t="inlineStr">
        <is>
          <t>Satuan</t>
        </is>
      </c>
      <c r="D6373" s="10" t="inlineStr">
        <is>
          <t>Koef</t>
        </is>
      </c>
      <c r="E6373" s="10" t="inlineStr">
        <is>
          <t>Harga Satuan (Rp)</t>
        </is>
      </c>
      <c r="F6373" s="10" t="inlineStr">
        <is>
          <t>Jumlah Harga (Rp)</t>
        </is>
      </c>
    </row>
    <row r="6374">
      <c r="A6374" s="3" t="inlineStr">
        <is>
          <t>1</t>
        </is>
      </c>
      <c r="B6374" s="3" t="inlineStr">
        <is>
          <t>Pekerja</t>
        </is>
      </c>
      <c r="C6374" s="3" t="inlineStr">
        <is>
          <t>OH</t>
        </is>
      </c>
      <c r="D6374" s="15" t="n">
        <v>0.0024</v>
      </c>
      <c r="E6374" s="4" t="n">
        <v>100000</v>
      </c>
      <c r="F6374" s="4" t="n">
        <v>240</v>
      </c>
    </row>
    <row r="6375">
      <c r="A6375" s="3" t="inlineStr">
        <is>
          <t>2</t>
        </is>
      </c>
      <c r="B6375" s="3" t="inlineStr">
        <is>
          <t>Mandor</t>
        </is>
      </c>
      <c r="C6375" s="3" t="inlineStr">
        <is>
          <t>OH</t>
        </is>
      </c>
      <c r="D6375" s="15" t="n">
        <v>0.00012</v>
      </c>
      <c r="E6375" s="4" t="n">
        <v>200000</v>
      </c>
      <c r="F6375" s="4" t="n">
        <v>24</v>
      </c>
    </row>
    <row r="6376">
      <c r="A6376" s="3" t="inlineStr">
        <is>
          <t>1</t>
        </is>
      </c>
      <c r="B6376" s="3" t="inlineStr">
        <is>
          <t>Air Bersih</t>
        </is>
      </c>
      <c r="C6376" s="3" t="inlineStr">
        <is>
          <t>liter</t>
        </is>
      </c>
      <c r="D6376" s="15" t="n">
        <v>5</v>
      </c>
      <c r="E6376" s="4" t="n">
        <v>550</v>
      </c>
      <c r="F6376" s="4" t="n">
        <v>2750</v>
      </c>
    </row>
    <row r="6377">
      <c r="D6377" s="2" t="inlineStr">
        <is>
          <t>SUBTOTAL UPAH</t>
        </is>
      </c>
      <c r="F6377" s="16" t="n">
        <v>264</v>
      </c>
    </row>
    <row r="6378">
      <c r="D6378" s="2" t="inlineStr">
        <is>
          <t>SUBTOTAL BAHAN</t>
        </is>
      </c>
      <c r="F6378" s="16" t="n">
        <v>2750</v>
      </c>
    </row>
    <row r="6379">
      <c r="D6379" s="2" t="inlineStr">
        <is>
          <t>SUBTOTAL ALAT</t>
        </is>
      </c>
      <c r="F6379" s="16" t="n">
        <v>0</v>
      </c>
    </row>
    <row r="6380">
      <c r="E6380" s="2" t="inlineStr">
        <is>
          <t>TOTAL HARGA SATUAN (Inc. Overhead)</t>
        </is>
      </c>
      <c r="F6380" s="17" t="n">
        <v>3315</v>
      </c>
    </row>
    <row r="6382">
      <c r="A6382" s="14" t="inlineStr">
        <is>
          <t>KODE: 4.1.10.2 - Peyiraman untuk 1 m2 Semak/Penutup tanah untuk 1 hari ( dengan selang plastik 3/4 ich)</t>
        </is>
      </c>
    </row>
    <row r="6383">
      <c r="A6383" s="10" t="inlineStr">
        <is>
          <t>No</t>
        </is>
      </c>
      <c r="B6383" s="10" t="inlineStr">
        <is>
          <t>Uraian Komponen</t>
        </is>
      </c>
      <c r="C6383" s="10" t="inlineStr">
        <is>
          <t>Satuan</t>
        </is>
      </c>
      <c r="D6383" s="10" t="inlineStr">
        <is>
          <t>Koef</t>
        </is>
      </c>
      <c r="E6383" s="10" t="inlineStr">
        <is>
          <t>Harga Satuan (Rp)</t>
        </is>
      </c>
      <c r="F6383" s="10" t="inlineStr">
        <is>
          <t>Jumlah Harga (Rp)</t>
        </is>
      </c>
    </row>
    <row r="6384">
      <c r="A6384" s="3" t="inlineStr">
        <is>
          <t>1</t>
        </is>
      </c>
      <c r="B6384" s="3" t="inlineStr">
        <is>
          <t>Pekerja</t>
        </is>
      </c>
      <c r="C6384" s="3" t="inlineStr">
        <is>
          <t>OH</t>
        </is>
      </c>
      <c r="D6384" s="15" t="n">
        <v>0.0004</v>
      </c>
      <c r="E6384" s="4" t="n">
        <v>100000</v>
      </c>
      <c r="F6384" s="4" t="n">
        <v>40</v>
      </c>
    </row>
    <row r="6385">
      <c r="A6385" s="3" t="inlineStr">
        <is>
          <t>2</t>
        </is>
      </c>
      <c r="B6385" s="3" t="inlineStr">
        <is>
          <t>Mandor</t>
        </is>
      </c>
      <c r="C6385" s="3" t="inlineStr">
        <is>
          <t>OH</t>
        </is>
      </c>
      <c r="D6385" s="15" t="n">
        <v>2e-05</v>
      </c>
      <c r="E6385" s="4" t="n">
        <v>200000</v>
      </c>
      <c r="F6385" s="4" t="n">
        <v>4</v>
      </c>
    </row>
    <row r="6386">
      <c r="A6386" s="3" t="inlineStr">
        <is>
          <t>1</t>
        </is>
      </c>
      <c r="B6386" s="3" t="inlineStr">
        <is>
          <t>Air Bersih</t>
        </is>
      </c>
      <c r="C6386" s="3" t="inlineStr">
        <is>
          <t>liter</t>
        </is>
      </c>
      <c r="D6386" s="15" t="n">
        <v>3</v>
      </c>
      <c r="E6386" s="4" t="n">
        <v>550</v>
      </c>
      <c r="F6386" s="4" t="n">
        <v>1650</v>
      </c>
    </row>
    <row r="6387">
      <c r="D6387" s="2" t="inlineStr">
        <is>
          <t>SUBTOTAL UPAH</t>
        </is>
      </c>
      <c r="F6387" s="16" t="n">
        <v>44</v>
      </c>
    </row>
    <row r="6388">
      <c r="D6388" s="2" t="inlineStr">
        <is>
          <t>SUBTOTAL BAHAN</t>
        </is>
      </c>
      <c r="F6388" s="16" t="n">
        <v>1650</v>
      </c>
    </row>
    <row r="6389">
      <c r="D6389" s="2" t="inlineStr">
        <is>
          <t>SUBTOTAL ALAT</t>
        </is>
      </c>
      <c r="F6389" s="16" t="n">
        <v>0</v>
      </c>
    </row>
    <row r="6390">
      <c r="E6390" s="2" t="inlineStr">
        <is>
          <t>TOTAL HARGA SATUAN (Inc. Overhead)</t>
        </is>
      </c>
      <c r="F6390" s="17" t="n">
        <v>1863</v>
      </c>
    </row>
    <row r="6392">
      <c r="A6392" s="14" t="inlineStr">
        <is>
          <t>KODE: 4.1.10.3 - Peyiraman untuk 1 m2 Rumput untuk 1 hari ( dengan selang plastik 3/4 ich)</t>
        </is>
      </c>
    </row>
    <row r="6393">
      <c r="A6393" s="10" t="inlineStr">
        <is>
          <t>No</t>
        </is>
      </c>
      <c r="B6393" s="10" t="inlineStr">
        <is>
          <t>Uraian Komponen</t>
        </is>
      </c>
      <c r="C6393" s="10" t="inlineStr">
        <is>
          <t>Satuan</t>
        </is>
      </c>
      <c r="D6393" s="10" t="inlineStr">
        <is>
          <t>Koef</t>
        </is>
      </c>
      <c r="E6393" s="10" t="inlineStr">
        <is>
          <t>Harga Satuan (Rp)</t>
        </is>
      </c>
      <c r="F6393" s="10" t="inlineStr">
        <is>
          <t>Jumlah Harga (Rp)</t>
        </is>
      </c>
    </row>
    <row r="6394">
      <c r="A6394" s="3" t="inlineStr">
        <is>
          <t>1</t>
        </is>
      </c>
      <c r="B6394" s="3" t="inlineStr">
        <is>
          <t>Pekerja</t>
        </is>
      </c>
      <c r="C6394" s="3" t="inlineStr">
        <is>
          <t>OH</t>
        </is>
      </c>
      <c r="D6394" s="15" t="n">
        <v>0.0004</v>
      </c>
      <c r="E6394" s="4" t="n">
        <v>100000</v>
      </c>
      <c r="F6394" s="4" t="n">
        <v>40</v>
      </c>
    </row>
    <row r="6395">
      <c r="A6395" s="3" t="inlineStr">
        <is>
          <t>2</t>
        </is>
      </c>
      <c r="B6395" s="3" t="inlineStr">
        <is>
          <t>Mandor</t>
        </is>
      </c>
      <c r="C6395" s="3" t="inlineStr">
        <is>
          <t>OH</t>
        </is>
      </c>
      <c r="D6395" s="15" t="n">
        <v>0.0004</v>
      </c>
      <c r="E6395" s="4" t="n">
        <v>200000</v>
      </c>
      <c r="F6395" s="4" t="n">
        <v>80</v>
      </c>
    </row>
    <row r="6396">
      <c r="A6396" s="3" t="inlineStr">
        <is>
          <t>1</t>
        </is>
      </c>
      <c r="B6396" s="3" t="inlineStr">
        <is>
          <t>Air Bersih</t>
        </is>
      </c>
      <c r="C6396" s="3" t="inlineStr">
        <is>
          <t>liter</t>
        </is>
      </c>
      <c r="D6396" s="15" t="n">
        <v>4</v>
      </c>
      <c r="E6396" s="4" t="n">
        <v>550</v>
      </c>
      <c r="F6396" s="4" t="n">
        <v>2200</v>
      </c>
    </row>
    <row r="6397">
      <c r="D6397" s="2" t="inlineStr">
        <is>
          <t>SUBTOTAL UPAH</t>
        </is>
      </c>
      <c r="F6397" s="16" t="n">
        <v>120</v>
      </c>
    </row>
    <row r="6398">
      <c r="D6398" s="2" t="inlineStr">
        <is>
          <t>SUBTOTAL BAHAN</t>
        </is>
      </c>
      <c r="F6398" s="16" t="n">
        <v>2200</v>
      </c>
    </row>
    <row r="6399">
      <c r="D6399" s="2" t="inlineStr">
        <is>
          <t>SUBTOTAL ALAT</t>
        </is>
      </c>
      <c r="F6399" s="16" t="n">
        <v>0</v>
      </c>
    </row>
    <row r="6400">
      <c r="E6400" s="2" t="inlineStr">
        <is>
          <t>TOTAL HARGA SATUAN (Inc. Overhead)</t>
        </is>
      </c>
      <c r="F6400" s="17" t="n">
        <v>2552</v>
      </c>
    </row>
    <row r="6402">
      <c r="A6402" s="14" t="inlineStr">
        <is>
          <t>KODE: 4.1.10.4 - Peyiraman untuk 1 m2 Semak/Penutup Tanah  untuk 1 hari ( dengan Sprinkler) *Sistem Sprinkler tersedia</t>
        </is>
      </c>
    </row>
    <row r="6403">
      <c r="A6403" s="10" t="inlineStr">
        <is>
          <t>No</t>
        </is>
      </c>
      <c r="B6403" s="10" t="inlineStr">
        <is>
          <t>Uraian Komponen</t>
        </is>
      </c>
      <c r="C6403" s="10" t="inlineStr">
        <is>
          <t>Satuan</t>
        </is>
      </c>
      <c r="D6403" s="10" t="inlineStr">
        <is>
          <t>Koef</t>
        </is>
      </c>
      <c r="E6403" s="10" t="inlineStr">
        <is>
          <t>Harga Satuan (Rp)</t>
        </is>
      </c>
      <c r="F6403" s="10" t="inlineStr">
        <is>
          <t>Jumlah Harga (Rp)</t>
        </is>
      </c>
    </row>
    <row r="6404">
      <c r="A6404" s="3" t="inlineStr">
        <is>
          <t>1</t>
        </is>
      </c>
      <c r="B6404" s="3" t="inlineStr">
        <is>
          <t>Pekerja</t>
        </is>
      </c>
      <c r="C6404" s="3" t="inlineStr">
        <is>
          <t>OH</t>
        </is>
      </c>
      <c r="D6404" s="15" t="n">
        <v>0.00027</v>
      </c>
      <c r="E6404" s="4" t="n">
        <v>100000</v>
      </c>
      <c r="F6404" s="4" t="n">
        <v>27</v>
      </c>
    </row>
    <row r="6405">
      <c r="A6405" s="3" t="inlineStr">
        <is>
          <t>2</t>
        </is>
      </c>
      <c r="B6405" s="3" t="inlineStr">
        <is>
          <t>Mandor</t>
        </is>
      </c>
      <c r="C6405" s="3" t="inlineStr">
        <is>
          <t>OH</t>
        </is>
      </c>
      <c r="D6405" s="15" t="n">
        <v>1.3e-05</v>
      </c>
      <c r="E6405" s="4" t="n">
        <v>200000</v>
      </c>
      <c r="F6405" s="4" t="n">
        <v>2.6</v>
      </c>
    </row>
    <row r="6406">
      <c r="A6406" s="3" t="inlineStr">
        <is>
          <t>1</t>
        </is>
      </c>
      <c r="B6406" s="3" t="inlineStr">
        <is>
          <t>Air Bersih</t>
        </is>
      </c>
      <c r="C6406" s="3" t="inlineStr">
        <is>
          <t>liter</t>
        </is>
      </c>
      <c r="D6406" s="15" t="n">
        <v>3</v>
      </c>
      <c r="E6406" s="4" t="n">
        <v>550</v>
      </c>
      <c r="F6406" s="4" t="n">
        <v>1650</v>
      </c>
    </row>
    <row r="6407">
      <c r="D6407" s="2" t="inlineStr">
        <is>
          <t>SUBTOTAL UPAH</t>
        </is>
      </c>
      <c r="F6407" s="16" t="n">
        <v>29.6</v>
      </c>
    </row>
    <row r="6408">
      <c r="D6408" s="2" t="inlineStr">
        <is>
          <t>SUBTOTAL BAHAN</t>
        </is>
      </c>
      <c r="F6408" s="16" t="n">
        <v>1650</v>
      </c>
    </row>
    <row r="6409">
      <c r="D6409" s="2" t="inlineStr">
        <is>
          <t>SUBTOTAL ALAT</t>
        </is>
      </c>
      <c r="F6409" s="16" t="n">
        <v>0</v>
      </c>
    </row>
    <row r="6410">
      <c r="E6410" s="2" t="inlineStr">
        <is>
          <t>TOTAL HARGA SATUAN (Inc. Overhead)</t>
        </is>
      </c>
      <c r="F6410" s="17" t="n">
        <v>1847</v>
      </c>
    </row>
    <row r="6412">
      <c r="A6412" s="14" t="inlineStr">
        <is>
          <t>KODE: 4.1.10.5 - Peyiraman untuk 1 m2 Rumput untuk 1 hari ( dengan Sprinkler) *Sistem Sprinkler tersedia</t>
        </is>
      </c>
    </row>
    <row r="6413">
      <c r="A6413" s="10" t="inlineStr">
        <is>
          <t>No</t>
        </is>
      </c>
      <c r="B6413" s="10" t="inlineStr">
        <is>
          <t>Uraian Komponen</t>
        </is>
      </c>
      <c r="C6413" s="10" t="inlineStr">
        <is>
          <t>Satuan</t>
        </is>
      </c>
      <c r="D6413" s="10" t="inlineStr">
        <is>
          <t>Koef</t>
        </is>
      </c>
      <c r="E6413" s="10" t="inlineStr">
        <is>
          <t>Harga Satuan (Rp)</t>
        </is>
      </c>
      <c r="F6413" s="10" t="inlineStr">
        <is>
          <t>Jumlah Harga (Rp)</t>
        </is>
      </c>
    </row>
    <row r="6414">
      <c r="A6414" s="3" t="inlineStr">
        <is>
          <t>1</t>
        </is>
      </c>
      <c r="B6414" s="3" t="inlineStr">
        <is>
          <t>Pekerja</t>
        </is>
      </c>
      <c r="C6414" s="3" t="inlineStr">
        <is>
          <t>OH</t>
        </is>
      </c>
      <c r="D6414" s="15" t="n">
        <v>0.00027</v>
      </c>
      <c r="E6414" s="4" t="n">
        <v>100000</v>
      </c>
      <c r="F6414" s="4" t="n">
        <v>27</v>
      </c>
    </row>
    <row r="6415">
      <c r="A6415" s="3" t="inlineStr">
        <is>
          <t>2</t>
        </is>
      </c>
      <c r="B6415" s="3" t="inlineStr">
        <is>
          <t>Mandor</t>
        </is>
      </c>
      <c r="C6415" s="3" t="inlineStr">
        <is>
          <t>OH</t>
        </is>
      </c>
      <c r="D6415" s="15" t="n">
        <v>1.3e-05</v>
      </c>
      <c r="E6415" s="4" t="n">
        <v>200000</v>
      </c>
      <c r="F6415" s="4" t="n">
        <v>2.6</v>
      </c>
    </row>
    <row r="6416">
      <c r="A6416" s="3" t="inlineStr">
        <is>
          <t>1</t>
        </is>
      </c>
      <c r="B6416" s="3" t="inlineStr">
        <is>
          <t>Air Bersih</t>
        </is>
      </c>
      <c r="C6416" s="3" t="inlineStr">
        <is>
          <t>liter</t>
        </is>
      </c>
      <c r="D6416" s="15" t="n">
        <v>4</v>
      </c>
      <c r="E6416" s="4" t="n">
        <v>550</v>
      </c>
      <c r="F6416" s="4" t="n">
        <v>2200</v>
      </c>
    </row>
    <row r="6417">
      <c r="D6417" s="2" t="inlineStr">
        <is>
          <t>SUBTOTAL UPAH</t>
        </is>
      </c>
      <c r="F6417" s="16" t="n">
        <v>29.6</v>
      </c>
    </row>
    <row r="6418">
      <c r="D6418" s="2" t="inlineStr">
        <is>
          <t>SUBTOTAL BAHAN</t>
        </is>
      </c>
      <c r="F6418" s="16" t="n">
        <v>2200</v>
      </c>
    </row>
    <row r="6419">
      <c r="D6419" s="2" t="inlineStr">
        <is>
          <t>SUBTOTAL ALAT</t>
        </is>
      </c>
      <c r="F6419" s="16" t="n">
        <v>0</v>
      </c>
    </row>
    <row r="6420">
      <c r="E6420" s="2" t="inlineStr">
        <is>
          <t>TOTAL HARGA SATUAN (Inc. Overhead)</t>
        </is>
      </c>
      <c r="F6420" s="17" t="n">
        <v>2452</v>
      </c>
    </row>
    <row r="6422">
      <c r="A6422" s="14" t="inlineStr">
        <is>
          <t>KODE: 4.1.11.1 - Penyiraman untuk 1 hari (dengan Selang Plastik 3/4 inch) untuk 1 buah pohon/palem di tanah tidak subur di lahan datar dan tidak memiliki jaringa air yang baik</t>
        </is>
      </c>
    </row>
    <row r="6423">
      <c r="A6423" s="10" t="inlineStr">
        <is>
          <t>No</t>
        </is>
      </c>
      <c r="B6423" s="10" t="inlineStr">
        <is>
          <t>Uraian Komponen</t>
        </is>
      </c>
      <c r="C6423" s="10" t="inlineStr">
        <is>
          <t>Satuan</t>
        </is>
      </c>
      <c r="D6423" s="10" t="inlineStr">
        <is>
          <t>Koef</t>
        </is>
      </c>
      <c r="E6423" s="10" t="inlineStr">
        <is>
          <t>Harga Satuan (Rp)</t>
        </is>
      </c>
      <c r="F6423" s="10" t="inlineStr">
        <is>
          <t>Jumlah Harga (Rp)</t>
        </is>
      </c>
    </row>
    <row r="6424">
      <c r="A6424" s="3" t="inlineStr">
        <is>
          <t>1</t>
        </is>
      </c>
      <c r="B6424" s="3" t="inlineStr">
        <is>
          <t>Pekerja</t>
        </is>
      </c>
      <c r="C6424" s="3" t="inlineStr">
        <is>
          <t>OH</t>
        </is>
      </c>
      <c r="D6424" s="15" t="n">
        <v>0.0024</v>
      </c>
      <c r="E6424" s="4" t="n">
        <v>100000</v>
      </c>
      <c r="F6424" s="4" t="n">
        <v>240</v>
      </c>
    </row>
    <row r="6425">
      <c r="A6425" s="3" t="inlineStr">
        <is>
          <t>2</t>
        </is>
      </c>
      <c r="B6425" s="3" t="inlineStr">
        <is>
          <t>Mandor</t>
        </is>
      </c>
      <c r="C6425" s="3" t="inlineStr">
        <is>
          <t>OH</t>
        </is>
      </c>
      <c r="D6425" s="15" t="n">
        <v>0.00012</v>
      </c>
      <c r="E6425" s="4" t="n">
        <v>200000</v>
      </c>
      <c r="F6425" s="4" t="n">
        <v>24</v>
      </c>
    </row>
    <row r="6426">
      <c r="A6426" s="3" t="inlineStr">
        <is>
          <t>1</t>
        </is>
      </c>
      <c r="B6426" s="3" t="inlineStr">
        <is>
          <t>Air Bersih</t>
        </is>
      </c>
      <c r="C6426" s="3" t="inlineStr">
        <is>
          <t>liter</t>
        </is>
      </c>
      <c r="D6426" s="15" t="n">
        <v>10</v>
      </c>
      <c r="E6426" s="4" t="n">
        <v>550</v>
      </c>
      <c r="F6426" s="4" t="n">
        <v>5500</v>
      </c>
    </row>
    <row r="6427">
      <c r="A6427" s="3" t="inlineStr">
        <is>
          <t>1</t>
        </is>
      </c>
      <c r="B6427" s="3" t="inlineStr">
        <is>
          <t>Water Truck</t>
        </is>
      </c>
      <c r="C6427" s="3" t="inlineStr">
        <is>
          <t>hari</t>
        </is>
      </c>
      <c r="D6427" s="15" t="n">
        <v>0.0005</v>
      </c>
      <c r="E6427" s="4" t="n">
        <v>1550000</v>
      </c>
      <c r="F6427" s="4" t="n">
        <v>775</v>
      </c>
    </row>
    <row r="6428">
      <c r="D6428" s="2" t="inlineStr">
        <is>
          <t>SUBTOTAL UPAH</t>
        </is>
      </c>
      <c r="F6428" s="16" t="n">
        <v>264</v>
      </c>
    </row>
    <row r="6429">
      <c r="D6429" s="2" t="inlineStr">
        <is>
          <t>SUBTOTAL BAHAN</t>
        </is>
      </c>
      <c r="F6429" s="16" t="n">
        <v>5500</v>
      </c>
    </row>
    <row r="6430">
      <c r="D6430" s="2" t="inlineStr">
        <is>
          <t>SUBTOTAL ALAT</t>
        </is>
      </c>
      <c r="F6430" s="16" t="n">
        <v>775</v>
      </c>
    </row>
    <row r="6431">
      <c r="E6431" s="2" t="inlineStr">
        <is>
          <t>TOTAL HARGA SATUAN (Inc. Overhead)</t>
        </is>
      </c>
      <c r="F6431" s="17" t="n">
        <v>7192</v>
      </c>
    </row>
    <row r="6433">
      <c r="A6433" s="14" t="inlineStr">
        <is>
          <t>KODE: 4.2.2.1 - Pemupukan Pupuk Organik (1 kali) untuk 1 Buah Pohon/Palem</t>
        </is>
      </c>
    </row>
    <row r="6434">
      <c r="A6434" s="10" t="inlineStr">
        <is>
          <t>No</t>
        </is>
      </c>
      <c r="B6434" s="10" t="inlineStr">
        <is>
          <t>Uraian Komponen</t>
        </is>
      </c>
      <c r="C6434" s="10" t="inlineStr">
        <is>
          <t>Satuan</t>
        </is>
      </c>
      <c r="D6434" s="10" t="inlineStr">
        <is>
          <t>Koef</t>
        </is>
      </c>
      <c r="E6434" s="10" t="inlineStr">
        <is>
          <t>Harga Satuan (Rp)</t>
        </is>
      </c>
      <c r="F6434" s="10" t="inlineStr">
        <is>
          <t>Jumlah Harga (Rp)</t>
        </is>
      </c>
    </row>
    <row r="6435">
      <c r="A6435" s="3" t="inlineStr">
        <is>
          <t>1</t>
        </is>
      </c>
      <c r="B6435" s="3" t="inlineStr">
        <is>
          <t>Tukang Pemelihara Taman</t>
        </is>
      </c>
      <c r="C6435" s="3" t="inlineStr">
        <is>
          <t>OH</t>
        </is>
      </c>
      <c r="D6435" s="15" t="n">
        <v>0.0179</v>
      </c>
      <c r="E6435" s="4" t="n">
        <v>166750</v>
      </c>
      <c r="F6435" s="4" t="n">
        <v>2984.825</v>
      </c>
    </row>
    <row r="6436">
      <c r="A6436" s="3" t="inlineStr">
        <is>
          <t>2</t>
        </is>
      </c>
      <c r="B6436" s="3" t="inlineStr">
        <is>
          <t>Mandor</t>
        </is>
      </c>
      <c r="C6436" s="3" t="inlineStr">
        <is>
          <t>OH</t>
        </is>
      </c>
      <c r="D6436" s="15" t="n">
        <v>0.000895</v>
      </c>
      <c r="E6436" s="4" t="n">
        <v>200000</v>
      </c>
      <c r="F6436" s="4" t="n">
        <v>179</v>
      </c>
    </row>
    <row r="6437">
      <c r="A6437" s="3" t="inlineStr">
        <is>
          <t>1</t>
        </is>
      </c>
      <c r="B6437" s="3" t="inlineStr">
        <is>
          <t>Pupuk Organik</t>
        </is>
      </c>
      <c r="C6437" s="3" t="inlineStr">
        <is>
          <t>m3</t>
        </is>
      </c>
      <c r="D6437" s="15" t="n">
        <v>0.0024</v>
      </c>
      <c r="E6437" s="4" t="n">
        <v>178000</v>
      </c>
      <c r="F6437" s="4" t="n">
        <v>427.2</v>
      </c>
    </row>
    <row r="6438">
      <c r="D6438" s="2" t="inlineStr">
        <is>
          <t>SUBTOTAL UPAH</t>
        </is>
      </c>
      <c r="F6438" s="16" t="n">
        <v>3163.825</v>
      </c>
    </row>
    <row r="6439">
      <c r="D6439" s="2" t="inlineStr">
        <is>
          <t>SUBTOTAL BAHAN</t>
        </is>
      </c>
      <c r="F6439" s="16" t="n">
        <v>427.2</v>
      </c>
    </row>
    <row r="6440">
      <c r="D6440" s="2" t="inlineStr">
        <is>
          <t>SUBTOTAL ALAT</t>
        </is>
      </c>
      <c r="F6440" s="16" t="n">
        <v>0</v>
      </c>
    </row>
    <row r="6441">
      <c r="E6441" s="2" t="inlineStr">
        <is>
          <t>TOTAL HARGA SATUAN (Inc. Overhead)</t>
        </is>
      </c>
      <c r="F6441" s="17" t="n">
        <v>3950</v>
      </c>
    </row>
    <row r="6443">
      <c r="A6443" s="14" t="inlineStr">
        <is>
          <t>KODE: 4.2.3.2 - Pemupukan Pupuk Anorganik Padat (1 kali) untuk 1 m2 Semak</t>
        </is>
      </c>
    </row>
    <row r="6444">
      <c r="A6444" s="10" t="inlineStr">
        <is>
          <t>No</t>
        </is>
      </c>
      <c r="B6444" s="10" t="inlineStr">
        <is>
          <t>Uraian Komponen</t>
        </is>
      </c>
      <c r="C6444" s="10" t="inlineStr">
        <is>
          <t>Satuan</t>
        </is>
      </c>
      <c r="D6444" s="10" t="inlineStr">
        <is>
          <t>Koef</t>
        </is>
      </c>
      <c r="E6444" s="10" t="inlineStr">
        <is>
          <t>Harga Satuan (Rp)</t>
        </is>
      </c>
      <c r="F6444" s="10" t="inlineStr">
        <is>
          <t>Jumlah Harga (Rp)</t>
        </is>
      </c>
    </row>
    <row r="6445">
      <c r="A6445" s="3" t="inlineStr">
        <is>
          <t>1</t>
        </is>
      </c>
      <c r="B6445" s="3" t="inlineStr">
        <is>
          <t>Tukang Pemelihara Taman</t>
        </is>
      </c>
      <c r="C6445" s="3" t="inlineStr">
        <is>
          <t>OH</t>
        </is>
      </c>
      <c r="D6445" s="15" t="n">
        <v>0.00053</v>
      </c>
      <c r="E6445" s="4" t="n">
        <v>166750</v>
      </c>
      <c r="F6445" s="4" t="n">
        <v>88.3775</v>
      </c>
    </row>
    <row r="6446">
      <c r="A6446" s="3" t="inlineStr">
        <is>
          <t>2</t>
        </is>
      </c>
      <c r="B6446" s="3" t="inlineStr">
        <is>
          <t>Mandor</t>
        </is>
      </c>
      <c r="C6446" s="3" t="inlineStr">
        <is>
          <t>OH</t>
        </is>
      </c>
      <c r="D6446" s="15" t="n">
        <v>3.5e-05</v>
      </c>
      <c r="E6446" s="4" t="n">
        <v>200000</v>
      </c>
      <c r="F6446" s="4" t="n">
        <v>6.999999999999999</v>
      </c>
    </row>
    <row r="6447">
      <c r="A6447" s="3" t="inlineStr">
        <is>
          <t>1</t>
        </is>
      </c>
      <c r="B6447" s="3" t="inlineStr">
        <is>
          <t>Pupuk anorganik padat</t>
        </is>
      </c>
      <c r="C6447" s="3" t="inlineStr">
        <is>
          <t>m3</t>
        </is>
      </c>
      <c r="D6447" s="15" t="n">
        <v>1.2e-05</v>
      </c>
      <c r="E6447" s="4" t="n">
        <v>150000</v>
      </c>
      <c r="F6447" s="4" t="n">
        <v>1.8</v>
      </c>
    </row>
    <row r="6448">
      <c r="A6448" s="3" t="inlineStr">
        <is>
          <t>1</t>
        </is>
      </c>
      <c r="B6448" s="3" t="inlineStr">
        <is>
          <t>Air</t>
        </is>
      </c>
      <c r="C6448" s="3" t="inlineStr">
        <is>
          <t>liter</t>
        </is>
      </c>
      <c r="D6448" s="15" t="n">
        <v>5</v>
      </c>
      <c r="E6448" s="4" t="n">
        <v>200</v>
      </c>
      <c r="F6448" s="4" t="n">
        <v>1000</v>
      </c>
    </row>
    <row r="6449">
      <c r="A6449" s="3" t="inlineStr">
        <is>
          <t>1</t>
        </is>
      </c>
      <c r="B6449" s="3" t="inlineStr">
        <is>
          <t>Sprayer Gendong</t>
        </is>
      </c>
      <c r="C6449" s="3" t="inlineStr">
        <is>
          <t>hari</t>
        </is>
      </c>
      <c r="D6449" s="15" t="n">
        <v>0.00053</v>
      </c>
      <c r="E6449" s="4" t="n">
        <v>350000</v>
      </c>
      <c r="F6449" s="4" t="n">
        <v>185.5</v>
      </c>
    </row>
    <row r="6450">
      <c r="D6450" s="2" t="inlineStr">
        <is>
          <t>SUBTOTAL UPAH</t>
        </is>
      </c>
      <c r="F6450" s="16" t="n">
        <v>95.3775</v>
      </c>
    </row>
    <row r="6451">
      <c r="D6451" s="2" t="inlineStr">
        <is>
          <t>SUBTOTAL BAHAN</t>
        </is>
      </c>
      <c r="F6451" s="16" t="n">
        <v>1001.8</v>
      </c>
    </row>
    <row r="6452">
      <c r="D6452" s="2" t="inlineStr">
        <is>
          <t>SUBTOTAL ALAT</t>
        </is>
      </c>
      <c r="F6452" s="16" t="n">
        <v>185.5</v>
      </c>
    </row>
    <row r="6453">
      <c r="E6453" s="2" t="inlineStr">
        <is>
          <t>TOTAL HARGA SATUAN (Inc. Overhead)</t>
        </is>
      </c>
      <c r="F6453" s="17" t="n">
        <v>1410</v>
      </c>
    </row>
    <row r="6455">
      <c r="A6455" s="14" t="inlineStr">
        <is>
          <t>KODE: 4.2.3.2a - Pemupukan Pupuk Anorganik Padat (1 kali) untuk 1 m2 Semak</t>
        </is>
      </c>
    </row>
    <row r="6456">
      <c r="A6456" s="10" t="inlineStr">
        <is>
          <t>No</t>
        </is>
      </c>
      <c r="B6456" s="10" t="inlineStr">
        <is>
          <t>Uraian Komponen</t>
        </is>
      </c>
      <c r="C6456" s="10" t="inlineStr">
        <is>
          <t>Satuan</t>
        </is>
      </c>
      <c r="D6456" s="10" t="inlineStr">
        <is>
          <t>Koef</t>
        </is>
      </c>
      <c r="E6456" s="10" t="inlineStr">
        <is>
          <t>Harga Satuan (Rp)</t>
        </is>
      </c>
      <c r="F6456" s="10" t="inlineStr">
        <is>
          <t>Jumlah Harga (Rp)</t>
        </is>
      </c>
    </row>
    <row r="6457">
      <c r="A6457" s="3" t="inlineStr">
        <is>
          <t>1</t>
        </is>
      </c>
      <c r="B6457" s="3" t="inlineStr">
        <is>
          <t>Tukang Pemelihara Taman</t>
        </is>
      </c>
      <c r="C6457" s="3" t="inlineStr">
        <is>
          <t>OH</t>
        </is>
      </c>
      <c r="D6457" s="15" t="n">
        <v>0.00053</v>
      </c>
      <c r="E6457" s="4" t="n">
        <v>166750</v>
      </c>
      <c r="F6457" s="4" t="n">
        <v>88.3775</v>
      </c>
    </row>
    <row r="6458">
      <c r="A6458" s="3" t="inlineStr">
        <is>
          <t>2</t>
        </is>
      </c>
      <c r="B6458" s="3" t="inlineStr">
        <is>
          <t>Mandor</t>
        </is>
      </c>
      <c r="C6458" s="3" t="inlineStr">
        <is>
          <t>OH</t>
        </is>
      </c>
      <c r="D6458" s="15" t="n">
        <v>3.5e-05</v>
      </c>
      <c r="E6458" s="4" t="n">
        <v>200000</v>
      </c>
      <c r="F6458" s="4" t="n">
        <v>6.999999999999999</v>
      </c>
    </row>
    <row r="6459">
      <c r="A6459" s="3" t="inlineStr">
        <is>
          <t>1</t>
        </is>
      </c>
      <c r="B6459" s="3" t="inlineStr">
        <is>
          <t>Pupuk anorganik padat</t>
        </is>
      </c>
      <c r="C6459" s="3" t="inlineStr">
        <is>
          <t>m3</t>
        </is>
      </c>
      <c r="D6459" s="15" t="n">
        <v>1.2e-05</v>
      </c>
      <c r="E6459" s="4" t="n">
        <v>150000</v>
      </c>
      <c r="F6459" s="4" t="n">
        <v>1.8</v>
      </c>
    </row>
    <row r="6460">
      <c r="A6460" s="3" t="inlineStr">
        <is>
          <t>1</t>
        </is>
      </c>
      <c r="B6460" s="3" t="inlineStr">
        <is>
          <t>Air</t>
        </is>
      </c>
      <c r="C6460" s="3" t="inlineStr">
        <is>
          <t>liter</t>
        </is>
      </c>
      <c r="D6460" s="15" t="n">
        <v>5</v>
      </c>
      <c r="E6460" s="4" t="n">
        <v>200</v>
      </c>
      <c r="F6460" s="4" t="n">
        <v>1000</v>
      </c>
    </row>
    <row r="6461">
      <c r="A6461" s="3" t="inlineStr">
        <is>
          <t>1</t>
        </is>
      </c>
      <c r="B6461" s="3" t="inlineStr">
        <is>
          <t>Sprayer Gendong</t>
        </is>
      </c>
      <c r="C6461" s="3" t="inlineStr">
        <is>
          <t>hari</t>
        </is>
      </c>
      <c r="D6461" s="15" t="n">
        <v>0.00053</v>
      </c>
      <c r="E6461" s="4" t="n">
        <v>350000</v>
      </c>
      <c r="F6461" s="4" t="n">
        <v>185.5</v>
      </c>
    </row>
    <row r="6462">
      <c r="D6462" s="2" t="inlineStr">
        <is>
          <t>SUBTOTAL UPAH</t>
        </is>
      </c>
      <c r="F6462" s="16" t="n">
        <v>95.3775</v>
      </c>
    </row>
    <row r="6463">
      <c r="D6463" s="2" t="inlineStr">
        <is>
          <t>SUBTOTAL BAHAN</t>
        </is>
      </c>
      <c r="F6463" s="16" t="n">
        <v>1001.8</v>
      </c>
    </row>
    <row r="6464">
      <c r="D6464" s="2" t="inlineStr">
        <is>
          <t>SUBTOTAL ALAT</t>
        </is>
      </c>
      <c r="F6464" s="16" t="n">
        <v>185.5</v>
      </c>
    </row>
    <row r="6465">
      <c r="E6465" s="2" t="inlineStr">
        <is>
          <t>TOTAL HARGA SATUAN (Inc. Overhead)</t>
        </is>
      </c>
      <c r="F6465" s="17" t="n">
        <v>1410</v>
      </c>
    </row>
    <row r="6467">
      <c r="A6467" s="14" t="inlineStr">
        <is>
          <t>KODE: 4.2.4.1 - Pemangkasan 1 Buah Pohon Kecil (Dia. Tajuk &lt; 5 m, Tinggi 3-6m)
Termasuk Pengangkutan Keluar Area Tanam</t>
        </is>
      </c>
    </row>
    <row r="6468">
      <c r="A6468" s="10" t="inlineStr">
        <is>
          <t>No</t>
        </is>
      </c>
      <c r="B6468" s="10" t="inlineStr">
        <is>
          <t>Uraian Komponen</t>
        </is>
      </c>
      <c r="C6468" s="10" t="inlineStr">
        <is>
          <t>Satuan</t>
        </is>
      </c>
      <c r="D6468" s="10" t="inlineStr">
        <is>
          <t>Koef</t>
        </is>
      </c>
      <c r="E6468" s="10" t="inlineStr">
        <is>
          <t>Harga Satuan (Rp)</t>
        </is>
      </c>
      <c r="F6468" s="10" t="inlineStr">
        <is>
          <t>Jumlah Harga (Rp)</t>
        </is>
      </c>
    </row>
    <row r="6469">
      <c r="A6469" s="3" t="inlineStr">
        <is>
          <t>1</t>
        </is>
      </c>
      <c r="B6469" s="3" t="inlineStr">
        <is>
          <t>Tukang Tanam</t>
        </is>
      </c>
      <c r="C6469" s="3" t="inlineStr">
        <is>
          <t>OH</t>
        </is>
      </c>
      <c r="D6469" s="15" t="n">
        <v>0.0476</v>
      </c>
      <c r="E6469" s="4" t="n">
        <v>181250</v>
      </c>
      <c r="F6469" s="4" t="n">
        <v>8627.5</v>
      </c>
    </row>
    <row r="6470">
      <c r="A6470" s="3" t="inlineStr">
        <is>
          <t>2</t>
        </is>
      </c>
      <c r="B6470" s="3" t="inlineStr">
        <is>
          <t>Kepala Tukang Tanam</t>
        </is>
      </c>
      <c r="C6470" s="3" t="inlineStr">
        <is>
          <t>OH</t>
        </is>
      </c>
      <c r="D6470" s="15" t="n">
        <v>0.00238</v>
      </c>
      <c r="E6470" s="4" t="n">
        <v>218750</v>
      </c>
      <c r="F6470" s="4" t="n">
        <v>520.625</v>
      </c>
    </row>
    <row r="6471">
      <c r="A6471" s="3" t="inlineStr">
        <is>
          <t>3</t>
        </is>
      </c>
      <c r="B6471" s="3" t="inlineStr">
        <is>
          <t>Mandor</t>
        </is>
      </c>
      <c r="C6471" s="3" t="inlineStr">
        <is>
          <t>OH</t>
        </is>
      </c>
      <c r="D6471" s="15" t="n">
        <v>0.00079</v>
      </c>
      <c r="E6471" s="4" t="n">
        <v>200000</v>
      </c>
      <c r="F6471" s="4" t="n">
        <v>158</v>
      </c>
    </row>
    <row r="6472">
      <c r="D6472" s="2" t="inlineStr">
        <is>
          <t>SUBTOTAL UPAH</t>
        </is>
      </c>
      <c r="F6472" s="16" t="n">
        <v>9306.125</v>
      </c>
    </row>
    <row r="6473">
      <c r="D6473" s="2" t="inlineStr">
        <is>
          <t>SUBTOTAL BAHAN</t>
        </is>
      </c>
      <c r="F6473" s="16" t="n">
        <v>0</v>
      </c>
    </row>
    <row r="6474">
      <c r="D6474" s="2" t="inlineStr">
        <is>
          <t>SUBTOTAL ALAT</t>
        </is>
      </c>
      <c r="F6474" s="16" t="n">
        <v>0</v>
      </c>
    </row>
    <row r="6475">
      <c r="E6475" s="2" t="inlineStr">
        <is>
          <t>TOTAL HARGA SATUAN (Inc. Overhead)</t>
        </is>
      </c>
      <c r="F6475" s="17" t="n">
        <v>10236</v>
      </c>
    </row>
    <row r="6477">
      <c r="A6477" s="14" t="inlineStr">
        <is>
          <t>KODE: 4.2.4.2 - Pemangkasan 1 Buah Pohon Kecil (Dia. Tajuk &lt; 5 m, Tinggi 3-6m)
Termasuk Pengangkutan Keluar Area Tanam</t>
        </is>
      </c>
    </row>
    <row r="6478">
      <c r="A6478" s="10" t="inlineStr">
        <is>
          <t>No</t>
        </is>
      </c>
      <c r="B6478" s="10" t="inlineStr">
        <is>
          <t>Uraian Komponen</t>
        </is>
      </c>
      <c r="C6478" s="10" t="inlineStr">
        <is>
          <t>Satuan</t>
        </is>
      </c>
      <c r="D6478" s="10" t="inlineStr">
        <is>
          <t>Koef</t>
        </is>
      </c>
      <c r="E6478" s="10" t="inlineStr">
        <is>
          <t>Harga Satuan (Rp)</t>
        </is>
      </c>
      <c r="F6478" s="10" t="inlineStr">
        <is>
          <t>Jumlah Harga (Rp)</t>
        </is>
      </c>
    </row>
    <row r="6479">
      <c r="A6479" s="3" t="inlineStr">
        <is>
          <t>1</t>
        </is>
      </c>
      <c r="B6479" s="3" t="inlineStr">
        <is>
          <t>Tukang Tanam</t>
        </is>
      </c>
      <c r="C6479" s="3" t="inlineStr">
        <is>
          <t>OH</t>
        </is>
      </c>
      <c r="D6479" s="15" t="n">
        <v>0.073</v>
      </c>
      <c r="E6479" s="4" t="n">
        <v>181250</v>
      </c>
      <c r="F6479" s="4" t="n">
        <v>13231.25</v>
      </c>
    </row>
    <row r="6480">
      <c r="A6480" s="3" t="inlineStr">
        <is>
          <t>2</t>
        </is>
      </c>
      <c r="B6480" s="3" t="inlineStr">
        <is>
          <t>Kepala Tukang Tanam</t>
        </is>
      </c>
      <c r="C6480" s="3" t="inlineStr">
        <is>
          <t>OH</t>
        </is>
      </c>
      <c r="D6480" s="15" t="n">
        <v>0.0037</v>
      </c>
      <c r="E6480" s="4" t="n">
        <v>218750</v>
      </c>
      <c r="F6480" s="4" t="n">
        <v>809.375</v>
      </c>
    </row>
    <row r="6481">
      <c r="A6481" s="3" t="inlineStr">
        <is>
          <t>3</t>
        </is>
      </c>
      <c r="B6481" s="3" t="inlineStr">
        <is>
          <t>Mandor</t>
        </is>
      </c>
      <c r="C6481" s="3" t="inlineStr">
        <is>
          <t>OH</t>
        </is>
      </c>
      <c r="D6481" s="15" t="n">
        <v>0.0012</v>
      </c>
      <c r="E6481" s="4" t="n">
        <v>200000</v>
      </c>
      <c r="F6481" s="4" t="n">
        <v>240</v>
      </c>
    </row>
    <row r="6482">
      <c r="D6482" s="2" t="inlineStr">
        <is>
          <t>SUBTOTAL UPAH</t>
        </is>
      </c>
      <c r="F6482" s="16" t="n">
        <v>14280.625</v>
      </c>
    </row>
    <row r="6483">
      <c r="D6483" s="2" t="inlineStr">
        <is>
          <t>SUBTOTAL BAHAN</t>
        </is>
      </c>
      <c r="F6483" s="16" t="n">
        <v>0</v>
      </c>
    </row>
    <row r="6484">
      <c r="D6484" s="2" t="inlineStr">
        <is>
          <t>SUBTOTAL ALAT</t>
        </is>
      </c>
      <c r="F6484" s="16" t="n">
        <v>0</v>
      </c>
    </row>
    <row r="6485">
      <c r="E6485" s="2" t="inlineStr">
        <is>
          <t>TOTAL HARGA SATUAN (Inc. Overhead)</t>
        </is>
      </c>
      <c r="F6485" s="17" t="n">
        <v>10236</v>
      </c>
    </row>
    <row r="6487">
      <c r="A6487" s="14" t="inlineStr">
        <is>
          <t>KODE: 4.2.4.3a - Pemangkasan 1 Buah Palem Sedang/Besar, Termasuk
Pengangkutan Keluar Area Tanam</t>
        </is>
      </c>
    </row>
    <row r="6488">
      <c r="A6488" s="10" t="inlineStr">
        <is>
          <t>No</t>
        </is>
      </c>
      <c r="B6488" s="10" t="inlineStr">
        <is>
          <t>Uraian Komponen</t>
        </is>
      </c>
      <c r="C6488" s="10" t="inlineStr">
        <is>
          <t>Satuan</t>
        </is>
      </c>
      <c r="D6488" s="10" t="inlineStr">
        <is>
          <t>Koef</t>
        </is>
      </c>
      <c r="E6488" s="10" t="inlineStr">
        <is>
          <t>Harga Satuan (Rp)</t>
        </is>
      </c>
      <c r="F6488" s="10" t="inlineStr">
        <is>
          <t>Jumlah Harga (Rp)</t>
        </is>
      </c>
    </row>
    <row r="6489">
      <c r="A6489" s="3" t="inlineStr">
        <is>
          <t>1</t>
        </is>
      </c>
      <c r="B6489" s="3" t="inlineStr">
        <is>
          <t>Tukang pemelihara taman (115% Pekerja)</t>
        </is>
      </c>
      <c r="C6489" s="3" t="inlineStr">
        <is>
          <t>OH</t>
        </is>
      </c>
      <c r="D6489" s="15" t="n">
        <v>0.13</v>
      </c>
      <c r="E6489" s="4" t="n">
        <v>115000</v>
      </c>
      <c r="F6489" s="4" t="n">
        <v>14950</v>
      </c>
    </row>
    <row r="6490">
      <c r="A6490" s="3" t="inlineStr">
        <is>
          <t>2</t>
        </is>
      </c>
      <c r="B6490" s="3" t="inlineStr">
        <is>
          <t>Mandor</t>
        </is>
      </c>
      <c r="C6490" s="3" t="inlineStr">
        <is>
          <t>OH</t>
        </is>
      </c>
      <c r="D6490" s="15" t="n">
        <v>0.0065</v>
      </c>
      <c r="E6490" s="4" t="n">
        <v>200000</v>
      </c>
      <c r="F6490" s="4" t="n">
        <v>1300</v>
      </c>
    </row>
    <row r="6491">
      <c r="D6491" s="2" t="inlineStr">
        <is>
          <t>SUBTOTAL UPAH</t>
        </is>
      </c>
      <c r="F6491" s="16" t="n">
        <v>16250</v>
      </c>
    </row>
    <row r="6492">
      <c r="D6492" s="2" t="inlineStr">
        <is>
          <t>SUBTOTAL BAHAN</t>
        </is>
      </c>
      <c r="F6492" s="16" t="n">
        <v>0</v>
      </c>
    </row>
    <row r="6493">
      <c r="D6493" s="2" t="inlineStr">
        <is>
          <t>SUBTOTAL ALAT</t>
        </is>
      </c>
      <c r="F6493" s="16" t="n">
        <v>0</v>
      </c>
    </row>
    <row r="6494">
      <c r="E6494" s="2" t="inlineStr">
        <is>
          <t>TOTAL HARGA SATUAN (Inc. Overhead)</t>
        </is>
      </c>
      <c r="F6494" s="17" t="n">
        <v>17875</v>
      </c>
    </row>
    <row r="6496">
      <c r="A6496" s="14" t="inlineStr">
        <is>
          <t>KODE: 4.2.4.4 - Pemangkasan 1 m2 Semak dengan Gunting Pangkas</t>
        </is>
      </c>
    </row>
    <row r="6497">
      <c r="A6497" s="10" t="inlineStr">
        <is>
          <t>No</t>
        </is>
      </c>
      <c r="B6497" s="10" t="inlineStr">
        <is>
          <t>Uraian Komponen</t>
        </is>
      </c>
      <c r="C6497" s="10" t="inlineStr">
        <is>
          <t>Satuan</t>
        </is>
      </c>
      <c r="D6497" s="10" t="inlineStr">
        <is>
          <t>Koef</t>
        </is>
      </c>
      <c r="E6497" s="10" t="inlineStr">
        <is>
          <t>Harga Satuan (Rp)</t>
        </is>
      </c>
      <c r="F6497" s="10" t="inlineStr">
        <is>
          <t>Jumlah Harga (Rp)</t>
        </is>
      </c>
    </row>
    <row r="6498">
      <c r="A6498" s="3" t="inlineStr">
        <is>
          <t>1</t>
        </is>
      </c>
      <c r="B6498" s="3" t="inlineStr">
        <is>
          <t>Tukang Tanam</t>
        </is>
      </c>
      <c r="C6498" s="3" t="inlineStr">
        <is>
          <t>OH</t>
        </is>
      </c>
      <c r="D6498" s="15" t="n">
        <v>0.012</v>
      </c>
      <c r="E6498" s="4" t="n">
        <v>181250</v>
      </c>
      <c r="F6498" s="4" t="n">
        <v>2175</v>
      </c>
    </row>
    <row r="6499">
      <c r="A6499" s="3" t="inlineStr">
        <is>
          <t>2</t>
        </is>
      </c>
      <c r="B6499" s="3" t="inlineStr">
        <is>
          <t>Kepala Tukang Tanam</t>
        </is>
      </c>
      <c r="C6499" s="3" t="inlineStr">
        <is>
          <t>OH</t>
        </is>
      </c>
      <c r="D6499" s="15" t="n">
        <v>0.0005999999999999999</v>
      </c>
      <c r="E6499" s="4" t="n">
        <v>218750</v>
      </c>
      <c r="F6499" s="4" t="n">
        <v>131.25</v>
      </c>
    </row>
    <row r="6500">
      <c r="A6500" s="3" t="inlineStr">
        <is>
          <t>3</t>
        </is>
      </c>
      <c r="B6500" s="3" t="inlineStr">
        <is>
          <t>Mandor</t>
        </is>
      </c>
      <c r="C6500" s="3" t="inlineStr">
        <is>
          <t>OH</t>
        </is>
      </c>
      <c r="D6500" s="15" t="n">
        <v>0.0002</v>
      </c>
      <c r="E6500" s="4" t="n">
        <v>200000</v>
      </c>
      <c r="F6500" s="4" t="n">
        <v>40</v>
      </c>
    </row>
    <row r="6501">
      <c r="D6501" s="2" t="inlineStr">
        <is>
          <t>SUBTOTAL UPAH</t>
        </is>
      </c>
      <c r="F6501" s="16" t="n">
        <v>2346.25</v>
      </c>
    </row>
    <row r="6502">
      <c r="D6502" s="2" t="inlineStr">
        <is>
          <t>SUBTOTAL BAHAN</t>
        </is>
      </c>
      <c r="F6502" s="16" t="n">
        <v>0</v>
      </c>
    </row>
    <row r="6503">
      <c r="D6503" s="2" t="inlineStr">
        <is>
          <t>SUBTOTAL ALAT</t>
        </is>
      </c>
      <c r="F6503" s="16" t="n">
        <v>0</v>
      </c>
    </row>
    <row r="6504">
      <c r="E6504" s="2" t="inlineStr">
        <is>
          <t>TOTAL HARGA SATUAN (Inc. Overhead)</t>
        </is>
      </c>
      <c r="F6504" s="17" t="n">
        <v>2580</v>
      </c>
    </row>
    <row r="6506">
      <c r="A6506" s="14" t="inlineStr">
        <is>
          <t>KODE: 4.2.4.4a - Pemangkasan 1 m2 Penutup Tanah dengan Gunting Pangkas</t>
        </is>
      </c>
    </row>
    <row r="6507">
      <c r="A6507" s="10" t="inlineStr">
        <is>
          <t>No</t>
        </is>
      </c>
      <c r="B6507" s="10" t="inlineStr">
        <is>
          <t>Uraian Komponen</t>
        </is>
      </c>
      <c r="C6507" s="10" t="inlineStr">
        <is>
          <t>Satuan</t>
        </is>
      </c>
      <c r="D6507" s="10" t="inlineStr">
        <is>
          <t>Koef</t>
        </is>
      </c>
      <c r="E6507" s="10" t="inlineStr">
        <is>
          <t>Harga Satuan (Rp)</t>
        </is>
      </c>
      <c r="F6507" s="10" t="inlineStr">
        <is>
          <t>Jumlah Harga (Rp)</t>
        </is>
      </c>
    </row>
    <row r="6508">
      <c r="A6508" s="3" t="inlineStr">
        <is>
          <t>1</t>
        </is>
      </c>
      <c r="B6508" s="3" t="inlineStr">
        <is>
          <t>Tukang pemelihara taman (115% Pekerja)</t>
        </is>
      </c>
      <c r="C6508" s="3" t="inlineStr">
        <is>
          <t>OH</t>
        </is>
      </c>
      <c r="D6508" s="15" t="n">
        <v>0.012</v>
      </c>
      <c r="E6508" s="4" t="n">
        <v>115000</v>
      </c>
      <c r="F6508" s="4" t="n">
        <v>1380</v>
      </c>
    </row>
    <row r="6509">
      <c r="A6509" s="3" t="inlineStr">
        <is>
          <t>2</t>
        </is>
      </c>
      <c r="B6509" s="3" t="inlineStr">
        <is>
          <t>Mandor</t>
        </is>
      </c>
      <c r="C6509" s="3" t="inlineStr">
        <is>
          <t>OH</t>
        </is>
      </c>
      <c r="D6509" s="15" t="n">
        <v>0.0005999999999999999</v>
      </c>
      <c r="E6509" s="4" t="n">
        <v>200000</v>
      </c>
      <c r="F6509" s="4" t="n">
        <v>120</v>
      </c>
    </row>
    <row r="6510">
      <c r="D6510" s="2" t="inlineStr">
        <is>
          <t>SUBTOTAL UPAH</t>
        </is>
      </c>
      <c r="F6510" s="16" t="n">
        <v>1500</v>
      </c>
    </row>
    <row r="6511">
      <c r="D6511" s="2" t="inlineStr">
        <is>
          <t>SUBTOTAL BAHAN</t>
        </is>
      </c>
      <c r="F6511" s="16" t="n">
        <v>0</v>
      </c>
    </row>
    <row r="6512">
      <c r="D6512" s="2" t="inlineStr">
        <is>
          <t>SUBTOTAL ALAT</t>
        </is>
      </c>
      <c r="F6512" s="16" t="n">
        <v>0</v>
      </c>
    </row>
    <row r="6513">
      <c r="E6513" s="2" t="inlineStr">
        <is>
          <t>TOTAL HARGA SATUAN (Inc. Overhead)</t>
        </is>
      </c>
      <c r="F6513" s="17" t="n">
        <v>1650</v>
      </c>
    </row>
    <row r="6515">
      <c r="A6515" s="14" t="inlineStr">
        <is>
          <t>KODE: 4.2.4.5 - Pemangkasan 1 m2 Rumput dengan Mesin Gendong</t>
        </is>
      </c>
    </row>
    <row r="6516">
      <c r="A6516" s="10" t="inlineStr">
        <is>
          <t>No</t>
        </is>
      </c>
      <c r="B6516" s="10" t="inlineStr">
        <is>
          <t>Uraian Komponen</t>
        </is>
      </c>
      <c r="C6516" s="10" t="inlineStr">
        <is>
          <t>Satuan</t>
        </is>
      </c>
      <c r="D6516" s="10" t="inlineStr">
        <is>
          <t>Koef</t>
        </is>
      </c>
      <c r="E6516" s="10" t="inlineStr">
        <is>
          <t>Harga Satuan (Rp)</t>
        </is>
      </c>
      <c r="F6516" s="10" t="inlineStr">
        <is>
          <t>Jumlah Harga (Rp)</t>
        </is>
      </c>
    </row>
    <row r="6517">
      <c r="A6517" s="3" t="inlineStr">
        <is>
          <t>1</t>
        </is>
      </c>
      <c r="B6517" s="3" t="inlineStr">
        <is>
          <t>Pekerja</t>
        </is>
      </c>
      <c r="C6517" s="3" t="inlineStr">
        <is>
          <t>OH</t>
        </is>
      </c>
      <c r="D6517" s="15" t="n">
        <v>0.012</v>
      </c>
      <c r="E6517" s="4" t="n">
        <v>100000</v>
      </c>
      <c r="F6517" s="4" t="n">
        <v>1200</v>
      </c>
    </row>
    <row r="6518">
      <c r="A6518" s="3" t="inlineStr">
        <is>
          <t>2</t>
        </is>
      </c>
      <c r="B6518" s="3" t="inlineStr">
        <is>
          <t>Tukang pemelihara taman (115% Pekerja)</t>
        </is>
      </c>
      <c r="C6518" s="3" t="inlineStr">
        <is>
          <t>OH</t>
        </is>
      </c>
      <c r="D6518" s="15" t="n">
        <v>0.0005999999999999999</v>
      </c>
      <c r="E6518" s="4" t="n">
        <v>115000</v>
      </c>
      <c r="F6518" s="4" t="n">
        <v>68.99999999999999</v>
      </c>
    </row>
    <row r="6519">
      <c r="A6519" s="3" t="inlineStr">
        <is>
          <t>3</t>
        </is>
      </c>
      <c r="B6519" s="3" t="inlineStr">
        <is>
          <t>Mandor</t>
        </is>
      </c>
      <c r="C6519" s="3" t="inlineStr">
        <is>
          <t>OH</t>
        </is>
      </c>
      <c r="D6519" s="15" t="n">
        <v>0.0002</v>
      </c>
      <c r="E6519" s="4" t="n">
        <v>200000</v>
      </c>
      <c r="F6519" s="4" t="n">
        <v>40</v>
      </c>
    </row>
    <row r="6520">
      <c r="D6520" s="2" t="inlineStr">
        <is>
          <t>SUBTOTAL UPAH</t>
        </is>
      </c>
      <c r="F6520" s="16" t="n">
        <v>1309</v>
      </c>
    </row>
    <row r="6521">
      <c r="D6521" s="2" t="inlineStr">
        <is>
          <t>SUBTOTAL BAHAN</t>
        </is>
      </c>
      <c r="F6521" s="16" t="n">
        <v>0</v>
      </c>
    </row>
    <row r="6522">
      <c r="D6522" s="2" t="inlineStr">
        <is>
          <t>SUBTOTAL ALAT</t>
        </is>
      </c>
      <c r="F6522" s="16" t="n">
        <v>0</v>
      </c>
    </row>
    <row r="6523">
      <c r="E6523" s="2" t="inlineStr">
        <is>
          <t>TOTAL HARGA SATUAN (Inc. Overhead)</t>
        </is>
      </c>
      <c r="F6523" s="17" t="n">
        <v>1439</v>
      </c>
    </row>
    <row r="6525">
      <c r="A6525" s="14" t="inlineStr">
        <is>
          <t>KODE: 4.2.4.6 - Pemangkasan 1 m2 Rumput dengan Mesin Dorong</t>
        </is>
      </c>
    </row>
    <row r="6526">
      <c r="A6526" s="10" t="inlineStr">
        <is>
          <t>No</t>
        </is>
      </c>
      <c r="B6526" s="10" t="inlineStr">
        <is>
          <t>Uraian Komponen</t>
        </is>
      </c>
      <c r="C6526" s="10" t="inlineStr">
        <is>
          <t>Satuan</t>
        </is>
      </c>
      <c r="D6526" s="10" t="inlineStr">
        <is>
          <t>Koef</t>
        </is>
      </c>
      <c r="E6526" s="10" t="inlineStr">
        <is>
          <t>Harga Satuan (Rp)</t>
        </is>
      </c>
      <c r="F6526" s="10" t="inlineStr">
        <is>
          <t>Jumlah Harga (Rp)</t>
        </is>
      </c>
    </row>
    <row r="6527">
      <c r="A6527" s="3" t="inlineStr">
        <is>
          <t>1</t>
        </is>
      </c>
      <c r="B6527" s="3" t="inlineStr">
        <is>
          <t>Pekerja</t>
        </is>
      </c>
      <c r="C6527" s="3" t="inlineStr">
        <is>
          <t>OH</t>
        </is>
      </c>
      <c r="D6527" s="15" t="n">
        <v>0.0002</v>
      </c>
      <c r="E6527" s="4" t="n">
        <v>100000</v>
      </c>
      <c r="F6527" s="4" t="n">
        <v>20</v>
      </c>
    </row>
    <row r="6528">
      <c r="A6528" s="3" t="inlineStr">
        <is>
          <t>2</t>
        </is>
      </c>
      <c r="B6528" s="3" t="inlineStr">
        <is>
          <t>Tukang pemelihara taman (115% Pekerja)</t>
        </is>
      </c>
      <c r="C6528" s="3" t="inlineStr">
        <is>
          <t>OH</t>
        </is>
      </c>
      <c r="D6528" s="15" t="n">
        <v>0.00017</v>
      </c>
      <c r="E6528" s="4" t="n">
        <v>115000</v>
      </c>
      <c r="F6528" s="4" t="n">
        <v>19.55</v>
      </c>
    </row>
    <row r="6529">
      <c r="A6529" s="3" t="inlineStr">
        <is>
          <t>3</t>
        </is>
      </c>
      <c r="B6529" s="3" t="inlineStr">
        <is>
          <t>Mandor</t>
        </is>
      </c>
      <c r="C6529" s="3" t="inlineStr">
        <is>
          <t>OH</t>
        </is>
      </c>
      <c r="D6529" s="15" t="n">
        <v>8e-06</v>
      </c>
      <c r="E6529" s="4" t="n">
        <v>200000</v>
      </c>
      <c r="F6529" s="4" t="n">
        <v>1.6</v>
      </c>
    </row>
    <row r="6530">
      <c r="A6530" s="3" t="inlineStr">
        <is>
          <t>1</t>
        </is>
      </c>
      <c r="B6530" s="3" t="inlineStr">
        <is>
          <t>Mesin Gendong</t>
        </is>
      </c>
      <c r="C6530" s="3" t="inlineStr">
        <is>
          <t>Jam</t>
        </is>
      </c>
      <c r="D6530" s="15" t="n">
        <v>2e-05</v>
      </c>
      <c r="E6530" s="4" t="n">
        <v>150000</v>
      </c>
      <c r="F6530" s="4" t="n">
        <v>3</v>
      </c>
    </row>
    <row r="6531">
      <c r="D6531" s="2" t="inlineStr">
        <is>
          <t>SUBTOTAL UPAH</t>
        </is>
      </c>
      <c r="F6531" s="16" t="n">
        <v>41.15</v>
      </c>
    </row>
    <row r="6532">
      <c r="D6532" s="2" t="inlineStr">
        <is>
          <t>SUBTOTAL BAHAN</t>
        </is>
      </c>
      <c r="F6532" s="16" t="n">
        <v>0</v>
      </c>
    </row>
    <row r="6533">
      <c r="D6533" s="2" t="inlineStr">
        <is>
          <t>SUBTOTAL ALAT</t>
        </is>
      </c>
      <c r="F6533" s="16" t="n">
        <v>3</v>
      </c>
    </row>
    <row r="6534">
      <c r="E6534" s="2" t="inlineStr">
        <is>
          <t>TOTAL HARGA SATUAN (Inc. Overhead)</t>
        </is>
      </c>
      <c r="F6534" s="17" t="n">
        <v>48</v>
      </c>
    </row>
    <row r="6536">
      <c r="A6536" s="14" t="inlineStr">
        <is>
          <t>KODE: 4.2.6.1 - Pembersihan (Penyapuan) 1 m2 Area Tanam</t>
        </is>
      </c>
    </row>
    <row r="6537">
      <c r="A6537" s="10" t="inlineStr">
        <is>
          <t>No</t>
        </is>
      </c>
      <c r="B6537" s="10" t="inlineStr">
        <is>
          <t>Uraian Komponen</t>
        </is>
      </c>
      <c r="C6537" s="10" t="inlineStr">
        <is>
          <t>Satuan</t>
        </is>
      </c>
      <c r="D6537" s="10" t="inlineStr">
        <is>
          <t>Koef</t>
        </is>
      </c>
      <c r="E6537" s="10" t="inlineStr">
        <is>
          <t>Harga Satuan (Rp)</t>
        </is>
      </c>
      <c r="F6537" s="10" t="inlineStr">
        <is>
          <t>Jumlah Harga (Rp)</t>
        </is>
      </c>
    </row>
    <row r="6538">
      <c r="A6538" s="3" t="inlineStr">
        <is>
          <t>1</t>
        </is>
      </c>
      <c r="B6538" s="3" t="inlineStr">
        <is>
          <t>Pekerja</t>
        </is>
      </c>
      <c r="C6538" s="3" t="inlineStr">
        <is>
          <t>OH</t>
        </is>
      </c>
      <c r="D6538" s="15" t="n">
        <v>0.00025</v>
      </c>
      <c r="E6538" s="4" t="n">
        <v>100000</v>
      </c>
      <c r="F6538" s="4" t="n">
        <v>25</v>
      </c>
    </row>
    <row r="6539">
      <c r="A6539" s="3" t="inlineStr">
        <is>
          <t>2</t>
        </is>
      </c>
      <c r="B6539" s="3" t="inlineStr">
        <is>
          <t>Mandor</t>
        </is>
      </c>
      <c r="C6539" s="3" t="inlineStr">
        <is>
          <t>OH</t>
        </is>
      </c>
      <c r="D6539" s="15" t="n">
        <v>1.7e-05</v>
      </c>
      <c r="E6539" s="4" t="n">
        <v>200000</v>
      </c>
      <c r="F6539" s="4" t="n">
        <v>3.4</v>
      </c>
    </row>
    <row r="6540">
      <c r="D6540" s="2" t="inlineStr">
        <is>
          <t>SUBTOTAL UPAH</t>
        </is>
      </c>
      <c r="F6540" s="16" t="n">
        <v>28.4</v>
      </c>
    </row>
    <row r="6541">
      <c r="D6541" s="2" t="inlineStr">
        <is>
          <t>SUBTOTAL BAHAN</t>
        </is>
      </c>
      <c r="F6541" s="16" t="n">
        <v>0</v>
      </c>
    </row>
    <row r="6542">
      <c r="D6542" s="2" t="inlineStr">
        <is>
          <t>SUBTOTAL ALAT</t>
        </is>
      </c>
      <c r="F6542" s="16" t="n">
        <v>0</v>
      </c>
    </row>
    <row r="6543">
      <c r="E6543" s="2" t="inlineStr">
        <is>
          <t>TOTAL HARGA SATUAN (Inc. Overhead)</t>
        </is>
      </c>
      <c r="F6543" s="17" t="n">
        <v>31</v>
      </c>
    </row>
    <row r="6545">
      <c r="A6545" s="14" t="inlineStr">
        <is>
          <t>KODE: 5.1.1.11 - Kabel Coaxial</t>
        </is>
      </c>
    </row>
    <row r="6546">
      <c r="A6546" s="10" t="inlineStr">
        <is>
          <t>No</t>
        </is>
      </c>
      <c r="B6546" s="10" t="inlineStr">
        <is>
          <t>Uraian Komponen</t>
        </is>
      </c>
      <c r="C6546" s="10" t="inlineStr">
        <is>
          <t>Satuan</t>
        </is>
      </c>
      <c r="D6546" s="10" t="inlineStr">
        <is>
          <t>Koef</t>
        </is>
      </c>
      <c r="E6546" s="10" t="inlineStr">
        <is>
          <t>Harga Satuan (Rp)</t>
        </is>
      </c>
      <c r="F6546" s="10" t="inlineStr">
        <is>
          <t>Jumlah Harga (Rp)</t>
        </is>
      </c>
    </row>
    <row r="6547">
      <c r="A6547" s="3" t="inlineStr">
        <is>
          <t>5.1.1.11.1</t>
        </is>
      </c>
      <c r="B6547" s="3" t="inlineStr">
        <is>
          <t>Pemasangan 1 m' kabel Coaxial 7C-2V</t>
        </is>
      </c>
      <c r="C6547" s="3" t="n">
        <v>41948</v>
      </c>
    </row>
    <row r="6548">
      <c r="A6548" s="3" t="inlineStr">
        <is>
          <t>1</t>
        </is>
      </c>
      <c r="B6548" s="3" t="inlineStr">
        <is>
          <t>Pekerja</t>
        </is>
      </c>
      <c r="C6548" s="3" t="inlineStr">
        <is>
          <t>OH</t>
        </is>
      </c>
      <c r="D6548" s="15" t="n">
        <v>0.031</v>
      </c>
      <c r="E6548" s="4" t="n">
        <v>100000</v>
      </c>
      <c r="F6548" s="4" t="n">
        <v>3100</v>
      </c>
    </row>
    <row r="6549">
      <c r="A6549" s="3" t="inlineStr">
        <is>
          <t>2</t>
        </is>
      </c>
      <c r="B6549" s="3" t="inlineStr">
        <is>
          <t>Tukang Listrik</t>
        </is>
      </c>
      <c r="C6549" s="3" t="inlineStr">
        <is>
          <t>OH</t>
        </is>
      </c>
      <c r="D6549" s="15" t="n">
        <v>0.052</v>
      </c>
      <c r="E6549" s="4" t="n">
        <v>145000</v>
      </c>
      <c r="F6549" s="4" t="n">
        <v>7540</v>
      </c>
    </row>
    <row r="6550">
      <c r="A6550" s="3" t="inlineStr">
        <is>
          <t>3</t>
        </is>
      </c>
      <c r="B6550" s="3" t="inlineStr">
        <is>
          <t>Kepala tukang</t>
        </is>
      </c>
      <c r="C6550" s="3" t="inlineStr">
        <is>
          <t>OH</t>
        </is>
      </c>
      <c r="D6550" s="15" t="n">
        <v>0.005</v>
      </c>
      <c r="E6550" s="4" t="n">
        <v>175000</v>
      </c>
      <c r="F6550" s="4" t="n">
        <v>875</v>
      </c>
    </row>
    <row r="6551">
      <c r="A6551" s="3" t="inlineStr">
        <is>
          <t>4</t>
        </is>
      </c>
      <c r="B6551" s="3" t="inlineStr">
        <is>
          <t>Mandor</t>
        </is>
      </c>
      <c r="C6551" s="3" t="inlineStr">
        <is>
          <t>OH</t>
        </is>
      </c>
      <c r="D6551" s="15" t="n">
        <v>0.002</v>
      </c>
      <c r="E6551" s="4" t="n">
        <v>200000</v>
      </c>
      <c r="F6551" s="4" t="n">
        <v>400</v>
      </c>
    </row>
    <row r="6552">
      <c r="A6552" s="3" t="inlineStr">
        <is>
          <t>1</t>
        </is>
      </c>
      <c r="B6552" s="3" t="inlineStr">
        <is>
          <t>Kabel Coaxial 7C-2V</t>
        </is>
      </c>
      <c r="C6552" s="3" t="inlineStr">
        <is>
          <t>m'</t>
        </is>
      </c>
      <c r="D6552" s="15" t="n">
        <v>1.15</v>
      </c>
      <c r="E6552" s="4" t="n">
        <v>22800</v>
      </c>
      <c r="F6552" s="4" t="n">
        <v>26220</v>
      </c>
    </row>
    <row r="6553">
      <c r="D6553" s="2" t="inlineStr">
        <is>
          <t>SUBTOTAL UPAH</t>
        </is>
      </c>
      <c r="F6553" s="16" t="n">
        <v>11915</v>
      </c>
    </row>
    <row r="6554">
      <c r="D6554" s="2" t="inlineStr">
        <is>
          <t>SUBTOTAL BAHAN</t>
        </is>
      </c>
      <c r="F6554" s="16" t="n">
        <v>26220</v>
      </c>
    </row>
    <row r="6555">
      <c r="D6555" s="2" t="inlineStr">
        <is>
          <t>SUBTOTAL ALAT</t>
        </is>
      </c>
      <c r="F6555" s="16" t="n">
        <v>0</v>
      </c>
    </row>
    <row r="6556">
      <c r="E6556" s="2" t="inlineStr">
        <is>
          <t>TOTAL HARGA SATUAN (Inc. Overhead)</t>
        </is>
      </c>
      <c r="F6556" s="17" t="n">
        <v>0</v>
      </c>
    </row>
    <row r="6558">
      <c r="A6558" s="14" t="inlineStr">
        <is>
          <t>KODE: 5.1.2.1 - Pemasangan 1 Unit Panel Utama Tegangan Menengah (PUTM)</t>
        </is>
      </c>
    </row>
    <row r="6559">
      <c r="A6559" s="10" t="inlineStr">
        <is>
          <t>No</t>
        </is>
      </c>
      <c r="B6559" s="10" t="inlineStr">
        <is>
          <t>Uraian Komponen</t>
        </is>
      </c>
      <c r="C6559" s="10" t="inlineStr">
        <is>
          <t>Satuan</t>
        </is>
      </c>
      <c r="D6559" s="10" t="inlineStr">
        <is>
          <t>Koef</t>
        </is>
      </c>
      <c r="E6559" s="10" t="inlineStr">
        <is>
          <t>Harga Satuan (Rp)</t>
        </is>
      </c>
      <c r="F6559" s="10" t="inlineStr">
        <is>
          <t>Jumlah Harga (Rp)</t>
        </is>
      </c>
    </row>
    <row r="6560">
      <c r="A6560" s="3" t="inlineStr">
        <is>
          <t>1</t>
        </is>
      </c>
      <c r="B6560" s="3" t="inlineStr">
        <is>
          <t>Pekerja</t>
        </is>
      </c>
      <c r="C6560" s="3" t="inlineStr">
        <is>
          <t>OH</t>
        </is>
      </c>
      <c r="D6560" s="15" t="n">
        <v>3.75</v>
      </c>
      <c r="E6560" s="4" t="n">
        <v>100000</v>
      </c>
      <c r="F6560" s="4" t="n">
        <v>375000</v>
      </c>
    </row>
    <row r="6561">
      <c r="A6561" s="3" t="inlineStr">
        <is>
          <t>2</t>
        </is>
      </c>
      <c r="B6561" s="3" t="inlineStr">
        <is>
          <t>Tukang Listrik</t>
        </is>
      </c>
      <c r="C6561" s="3" t="inlineStr">
        <is>
          <t>OH</t>
        </is>
      </c>
      <c r="D6561" s="15" t="n">
        <v>6.263</v>
      </c>
      <c r="E6561" s="4" t="n">
        <v>145000</v>
      </c>
      <c r="F6561" s="4" t="n">
        <v>908135</v>
      </c>
    </row>
    <row r="6562">
      <c r="A6562" s="3" t="inlineStr">
        <is>
          <t>3</t>
        </is>
      </c>
      <c r="B6562" s="3" t="inlineStr">
        <is>
          <t>Kepala tukang</t>
        </is>
      </c>
      <c r="C6562" s="3" t="inlineStr">
        <is>
          <t>OH</t>
        </is>
      </c>
      <c r="D6562" s="15" t="n">
        <v>0.626</v>
      </c>
      <c r="E6562" s="4" t="n">
        <v>175000</v>
      </c>
      <c r="F6562" s="4" t="n">
        <v>109550</v>
      </c>
    </row>
    <row r="6563">
      <c r="A6563" s="3" t="inlineStr">
        <is>
          <t>4</t>
        </is>
      </c>
      <c r="B6563" s="3" t="inlineStr">
        <is>
          <t>Mandor</t>
        </is>
      </c>
      <c r="C6563" s="3" t="inlineStr">
        <is>
          <t>OH</t>
        </is>
      </c>
      <c r="D6563" s="15" t="n">
        <v>0.209</v>
      </c>
      <c r="E6563" s="4" t="n">
        <v>200000</v>
      </c>
      <c r="F6563" s="4" t="n">
        <v>41800</v>
      </c>
    </row>
    <row r="6564">
      <c r="A6564" s="3" t="inlineStr">
        <is>
          <t>1</t>
        </is>
      </c>
      <c r="B6564" s="3" t="inlineStr">
        <is>
          <t>Panel Utama Tegangan Menengah</t>
        </is>
      </c>
      <c r="C6564" s="3" t="inlineStr">
        <is>
          <t>unit</t>
        </is>
      </c>
      <c r="D6564" s="15" t="n">
        <v>1</v>
      </c>
      <c r="E6564" s="4" t="n">
        <v>3100000</v>
      </c>
      <c r="F6564" s="4" t="n">
        <v>3100000</v>
      </c>
    </row>
    <row r="6565">
      <c r="D6565" s="2" t="inlineStr">
        <is>
          <t>SUBTOTAL UPAH</t>
        </is>
      </c>
      <c r="F6565" s="16" t="n">
        <v>1434485</v>
      </c>
    </row>
    <row r="6566">
      <c r="D6566" s="2" t="inlineStr">
        <is>
          <t>SUBTOTAL BAHAN</t>
        </is>
      </c>
      <c r="F6566" s="16" t="n">
        <v>3100000</v>
      </c>
    </row>
    <row r="6567">
      <c r="D6567" s="2" t="inlineStr">
        <is>
          <t>SUBTOTAL ALAT</t>
        </is>
      </c>
      <c r="F6567" s="16" t="n">
        <v>0</v>
      </c>
    </row>
    <row r="6568">
      <c r="E6568" s="2" t="inlineStr">
        <is>
          <t>TOTAL HARGA SATUAN (Inc. Overhead)</t>
        </is>
      </c>
      <c r="F6568" s="17" t="n">
        <v>4987933</v>
      </c>
    </row>
    <row r="6570">
      <c r="A6570" s="14" t="inlineStr">
        <is>
          <t>KODE: 5.1.2.2 - Pemasangan 1 Unit Panel Utama Tegangan Redah (PUTR) per Kubikal</t>
        </is>
      </c>
    </row>
    <row r="6571">
      <c r="A6571" s="10" t="inlineStr">
        <is>
          <t>No</t>
        </is>
      </c>
      <c r="B6571" s="10" t="inlineStr">
        <is>
          <t>Uraian Komponen</t>
        </is>
      </c>
      <c r="C6571" s="10" t="inlineStr">
        <is>
          <t>Satuan</t>
        </is>
      </c>
      <c r="D6571" s="10" t="inlineStr">
        <is>
          <t>Koef</t>
        </is>
      </c>
      <c r="E6571" s="10" t="inlineStr">
        <is>
          <t>Harga Satuan (Rp)</t>
        </is>
      </c>
      <c r="F6571" s="10" t="inlineStr">
        <is>
          <t>Jumlah Harga (Rp)</t>
        </is>
      </c>
    </row>
    <row r="6572">
      <c r="A6572" s="3" t="inlineStr">
        <is>
          <t>1</t>
        </is>
      </c>
      <c r="B6572" s="3" t="inlineStr">
        <is>
          <t>Pekerja</t>
        </is>
      </c>
      <c r="C6572" s="3" t="inlineStr">
        <is>
          <t>OH</t>
        </is>
      </c>
      <c r="D6572" s="15" t="n">
        <v>3.333</v>
      </c>
      <c r="E6572" s="4" t="n">
        <v>100000</v>
      </c>
      <c r="F6572" s="4" t="n">
        <v>333300</v>
      </c>
    </row>
    <row r="6573">
      <c r="A6573" s="3" t="inlineStr">
        <is>
          <t>2</t>
        </is>
      </c>
      <c r="B6573" s="3" t="inlineStr">
        <is>
          <t>Tukang Listrik</t>
        </is>
      </c>
      <c r="C6573" s="3" t="inlineStr">
        <is>
          <t>OH</t>
        </is>
      </c>
      <c r="D6573" s="15" t="n">
        <v>5.567</v>
      </c>
      <c r="E6573" s="4" t="n">
        <v>145000</v>
      </c>
      <c r="F6573" s="4" t="n">
        <v>807215</v>
      </c>
    </row>
    <row r="6574">
      <c r="A6574" s="3" t="inlineStr">
        <is>
          <t>3</t>
        </is>
      </c>
      <c r="B6574" s="3" t="inlineStr">
        <is>
          <t>Kepala tukang</t>
        </is>
      </c>
      <c r="C6574" s="3" t="inlineStr">
        <is>
          <t>OH</t>
        </is>
      </c>
      <c r="D6574" s="15" t="n">
        <v>0.5570000000000001</v>
      </c>
      <c r="E6574" s="4" t="n">
        <v>175000</v>
      </c>
      <c r="F6574" s="4" t="n">
        <v>97475.00000000001</v>
      </c>
    </row>
    <row r="6575">
      <c r="A6575" s="3" t="inlineStr">
        <is>
          <t>4</t>
        </is>
      </c>
      <c r="B6575" s="3" t="inlineStr">
        <is>
          <t>Mandor</t>
        </is>
      </c>
      <c r="C6575" s="3" t="inlineStr">
        <is>
          <t>OH</t>
        </is>
      </c>
      <c r="D6575" s="15" t="n">
        <v>0.186</v>
      </c>
      <c r="E6575" s="4" t="n">
        <v>200000</v>
      </c>
      <c r="F6575" s="4" t="n">
        <v>37200</v>
      </c>
    </row>
    <row r="6576">
      <c r="A6576" s="3" t="inlineStr">
        <is>
          <t>1</t>
        </is>
      </c>
      <c r="B6576" s="3" t="inlineStr">
        <is>
          <t>Panel Utama Tegangan Rendah</t>
        </is>
      </c>
      <c r="C6576" s="3" t="inlineStr">
        <is>
          <t>unit</t>
        </is>
      </c>
      <c r="D6576" s="15" t="n">
        <v>1</v>
      </c>
      <c r="E6576" s="4" t="n">
        <v>1500000</v>
      </c>
      <c r="F6576" s="4" t="n">
        <v>1500000</v>
      </c>
    </row>
    <row r="6577">
      <c r="D6577" s="2" t="inlineStr">
        <is>
          <t>SUBTOTAL UPAH</t>
        </is>
      </c>
      <c r="F6577" s="16" t="n">
        <v>1275190</v>
      </c>
    </row>
    <row r="6578">
      <c r="D6578" s="2" t="inlineStr">
        <is>
          <t>SUBTOTAL BAHAN</t>
        </is>
      </c>
      <c r="F6578" s="16" t="n">
        <v>1500000</v>
      </c>
    </row>
    <row r="6579">
      <c r="D6579" s="2" t="inlineStr">
        <is>
          <t>SUBTOTAL ALAT</t>
        </is>
      </c>
      <c r="F6579" s="16" t="n">
        <v>0</v>
      </c>
    </row>
    <row r="6580">
      <c r="E6580" s="2" t="inlineStr">
        <is>
          <t>TOTAL HARGA SATUAN (Inc. Overhead)</t>
        </is>
      </c>
      <c r="F6580" s="17" t="n">
        <v>3052709</v>
      </c>
    </row>
    <row r="6582">
      <c r="A6582" s="14" t="inlineStr">
        <is>
          <t>KODE: 5.1.2.3 - Pemasangan 1 Unit Main Distribution Panel (MDP) Floor Standing</t>
        </is>
      </c>
    </row>
    <row r="6583">
      <c r="A6583" s="10" t="inlineStr">
        <is>
          <t>No</t>
        </is>
      </c>
      <c r="B6583" s="10" t="inlineStr">
        <is>
          <t>Uraian Komponen</t>
        </is>
      </c>
      <c r="C6583" s="10" t="inlineStr">
        <is>
          <t>Satuan</t>
        </is>
      </c>
      <c r="D6583" s="10" t="inlineStr">
        <is>
          <t>Koef</t>
        </is>
      </c>
      <c r="E6583" s="10" t="inlineStr">
        <is>
          <t>Harga Satuan (Rp)</t>
        </is>
      </c>
      <c r="F6583" s="10" t="inlineStr">
        <is>
          <t>Jumlah Harga (Rp)</t>
        </is>
      </c>
    </row>
    <row r="6584">
      <c r="A6584" s="3" t="inlineStr">
        <is>
          <t>1</t>
        </is>
      </c>
      <c r="B6584" s="3" t="inlineStr">
        <is>
          <t>Pekerja</t>
        </is>
      </c>
      <c r="C6584" s="3" t="inlineStr">
        <is>
          <t>OH</t>
        </is>
      </c>
      <c r="D6584" s="15" t="n">
        <v>1.333</v>
      </c>
      <c r="E6584" s="4" t="n">
        <v>100000</v>
      </c>
      <c r="F6584" s="4" t="n">
        <v>133300</v>
      </c>
    </row>
    <row r="6585">
      <c r="A6585" s="3" t="inlineStr">
        <is>
          <t>2</t>
        </is>
      </c>
      <c r="B6585" s="3" t="inlineStr">
        <is>
          <t>Tukang Listrik</t>
        </is>
      </c>
      <c r="C6585" s="3" t="inlineStr">
        <is>
          <t>OH</t>
        </is>
      </c>
      <c r="D6585" s="15" t="n">
        <v>2.227</v>
      </c>
      <c r="E6585" s="4" t="n">
        <v>145000</v>
      </c>
      <c r="F6585" s="4" t="n">
        <v>322915</v>
      </c>
    </row>
    <row r="6586">
      <c r="A6586" s="3" t="inlineStr">
        <is>
          <t>3</t>
        </is>
      </c>
      <c r="B6586" s="3" t="inlineStr">
        <is>
          <t>Kepala tukang</t>
        </is>
      </c>
      <c r="C6586" s="3" t="inlineStr">
        <is>
          <t>OH</t>
        </is>
      </c>
      <c r="D6586" s="15" t="n">
        <v>0.223</v>
      </c>
      <c r="E6586" s="4" t="n">
        <v>175000</v>
      </c>
      <c r="F6586" s="4" t="n">
        <v>39025</v>
      </c>
    </row>
    <row r="6587">
      <c r="A6587" s="3" t="inlineStr">
        <is>
          <t>4</t>
        </is>
      </c>
      <c r="B6587" s="3" t="inlineStr">
        <is>
          <t>Mandor</t>
        </is>
      </c>
      <c r="C6587" s="3" t="inlineStr">
        <is>
          <t>OH</t>
        </is>
      </c>
      <c r="D6587" s="15" t="n">
        <v>0.074</v>
      </c>
      <c r="E6587" s="4" t="n">
        <v>200000</v>
      </c>
      <c r="F6587" s="4" t="n">
        <v>14800</v>
      </c>
    </row>
    <row r="6588">
      <c r="A6588" s="3" t="inlineStr">
        <is>
          <t>1</t>
        </is>
      </c>
      <c r="B6588" s="3" t="inlineStr">
        <is>
          <t>MDP Floor Standing</t>
        </is>
      </c>
      <c r="C6588" s="3" t="inlineStr">
        <is>
          <t>unit</t>
        </is>
      </c>
      <c r="D6588" s="15" t="n">
        <v>1</v>
      </c>
      <c r="E6588" s="4" t="n">
        <v>4500000</v>
      </c>
      <c r="F6588" s="4" t="n">
        <v>4500000</v>
      </c>
    </row>
    <row r="6589">
      <c r="D6589" s="2" t="inlineStr">
        <is>
          <t>SUBTOTAL UPAH</t>
        </is>
      </c>
      <c r="F6589" s="16" t="n">
        <v>510040</v>
      </c>
    </row>
    <row r="6590">
      <c r="D6590" s="2" t="inlineStr">
        <is>
          <t>SUBTOTAL BAHAN</t>
        </is>
      </c>
      <c r="F6590" s="16" t="n">
        <v>4500000</v>
      </c>
    </row>
    <row r="6591">
      <c r="D6591" s="2" t="inlineStr">
        <is>
          <t>SUBTOTAL ALAT</t>
        </is>
      </c>
      <c r="F6591" s="16" t="n">
        <v>0</v>
      </c>
    </row>
    <row r="6592">
      <c r="E6592" s="2" t="inlineStr">
        <is>
          <t>TOTAL HARGA SATUAN (Inc. Overhead)</t>
        </is>
      </c>
      <c r="F6592" s="17" t="n">
        <v>5511044</v>
      </c>
    </row>
    <row r="6594">
      <c r="A6594" s="14" t="inlineStr">
        <is>
          <t>KODE: 5.1.2.4 - Pemasangan 1 Unit Main Distribution Panel (MDP) Wall Mounted</t>
        </is>
      </c>
    </row>
    <row r="6595">
      <c r="A6595" s="10" t="inlineStr">
        <is>
          <t>No</t>
        </is>
      </c>
      <c r="B6595" s="10" t="inlineStr">
        <is>
          <t>Uraian Komponen</t>
        </is>
      </c>
      <c r="C6595" s="10" t="inlineStr">
        <is>
          <t>Satuan</t>
        </is>
      </c>
      <c r="D6595" s="10" t="inlineStr">
        <is>
          <t>Koef</t>
        </is>
      </c>
      <c r="E6595" s="10" t="inlineStr">
        <is>
          <t>Harga Satuan (Rp)</t>
        </is>
      </c>
      <c r="F6595" s="10" t="inlineStr">
        <is>
          <t>Jumlah Harga (Rp)</t>
        </is>
      </c>
    </row>
    <row r="6596">
      <c r="A6596" s="3" t="inlineStr">
        <is>
          <t>1</t>
        </is>
      </c>
      <c r="B6596" s="3" t="inlineStr">
        <is>
          <t>Pekerja</t>
        </is>
      </c>
      <c r="C6596" s="3" t="inlineStr">
        <is>
          <t>OH</t>
        </is>
      </c>
      <c r="D6596" s="15" t="n">
        <v>1.167</v>
      </c>
      <c r="E6596" s="4" t="n">
        <v>100000</v>
      </c>
      <c r="F6596" s="4" t="n">
        <v>116700</v>
      </c>
    </row>
    <row r="6597">
      <c r="A6597" s="3" t="inlineStr">
        <is>
          <t>2</t>
        </is>
      </c>
      <c r="B6597" s="3" t="inlineStr">
        <is>
          <t>Tukang Listrik</t>
        </is>
      </c>
      <c r="C6597" s="3" t="inlineStr">
        <is>
          <t>OH</t>
        </is>
      </c>
      <c r="D6597" s="15" t="n">
        <v>1.948</v>
      </c>
      <c r="E6597" s="4" t="n">
        <v>145000</v>
      </c>
      <c r="F6597" s="4" t="n">
        <v>282460</v>
      </c>
    </row>
    <row r="6598">
      <c r="A6598" s="3" t="inlineStr">
        <is>
          <t>3</t>
        </is>
      </c>
      <c r="B6598" s="3" t="inlineStr">
        <is>
          <t>Kepala tukang</t>
        </is>
      </c>
      <c r="C6598" s="3" t="inlineStr">
        <is>
          <t>OH</t>
        </is>
      </c>
      <c r="D6598" s="15" t="n">
        <v>0.195</v>
      </c>
      <c r="E6598" s="4" t="n">
        <v>175000</v>
      </c>
      <c r="F6598" s="4" t="n">
        <v>34125</v>
      </c>
    </row>
    <row r="6599">
      <c r="A6599" s="3" t="inlineStr">
        <is>
          <t>4</t>
        </is>
      </c>
      <c r="B6599" s="3" t="inlineStr">
        <is>
          <t>Mandor</t>
        </is>
      </c>
      <c r="C6599" s="3" t="inlineStr">
        <is>
          <t>OH</t>
        </is>
      </c>
      <c r="D6599" s="15" t="n">
        <v>0.065</v>
      </c>
      <c r="E6599" s="4" t="n">
        <v>200000</v>
      </c>
      <c r="F6599" s="4" t="n">
        <v>13000</v>
      </c>
    </row>
    <row r="6600">
      <c r="A6600" s="3" t="inlineStr">
        <is>
          <t>1</t>
        </is>
      </c>
      <c r="B6600" s="3" t="inlineStr">
        <is>
          <t>MDP Wall Mounted</t>
        </is>
      </c>
      <c r="C6600" s="3" t="inlineStr">
        <is>
          <t>unit</t>
        </is>
      </c>
      <c r="D6600" s="15" t="n">
        <v>1</v>
      </c>
      <c r="E6600" s="4" t="n">
        <v>4900000</v>
      </c>
      <c r="F6600" s="4" t="n">
        <v>4900000</v>
      </c>
    </row>
    <row r="6601">
      <c r="D6601" s="2" t="inlineStr">
        <is>
          <t>SUBTOTAL UPAH</t>
        </is>
      </c>
      <c r="F6601" s="16" t="n">
        <v>446285</v>
      </c>
    </row>
    <row r="6602">
      <c r="D6602" s="2" t="inlineStr">
        <is>
          <t>SUBTOTAL BAHAN</t>
        </is>
      </c>
      <c r="F6602" s="16" t="n">
        <v>4900000</v>
      </c>
    </row>
    <row r="6603">
      <c r="D6603" s="2" t="inlineStr">
        <is>
          <t>SUBTOTAL ALAT</t>
        </is>
      </c>
      <c r="F6603" s="16" t="n">
        <v>0</v>
      </c>
    </row>
    <row r="6604">
      <c r="E6604" s="2" t="inlineStr">
        <is>
          <t>TOTAL HARGA SATUAN (Inc. Overhead)</t>
        </is>
      </c>
      <c r="F6604" s="17" t="n">
        <v>5880913</v>
      </c>
    </row>
    <row r="6606">
      <c r="A6606" s="14" t="inlineStr">
        <is>
          <t>KODE: 5.1.2.5 - Pemasangan 1 Unit Sub Distribution Panel (SDP) Floor Standig</t>
        </is>
      </c>
    </row>
    <row r="6607">
      <c r="A6607" s="10" t="inlineStr">
        <is>
          <t>No</t>
        </is>
      </c>
      <c r="B6607" s="10" t="inlineStr">
        <is>
          <t>Uraian Komponen</t>
        </is>
      </c>
      <c r="C6607" s="10" t="inlineStr">
        <is>
          <t>Satuan</t>
        </is>
      </c>
      <c r="D6607" s="10" t="inlineStr">
        <is>
          <t>Koef</t>
        </is>
      </c>
      <c r="E6607" s="10" t="inlineStr">
        <is>
          <t>Harga Satuan (Rp)</t>
        </is>
      </c>
      <c r="F6607" s="10" t="inlineStr">
        <is>
          <t>Jumlah Harga (Rp)</t>
        </is>
      </c>
    </row>
    <row r="6608">
      <c r="A6608" s="3" t="inlineStr">
        <is>
          <t>1</t>
        </is>
      </c>
      <c r="B6608" s="3" t="inlineStr">
        <is>
          <t>Pekerja</t>
        </is>
      </c>
      <c r="C6608" s="3" t="inlineStr">
        <is>
          <t>OH</t>
        </is>
      </c>
      <c r="D6608" s="15" t="n">
        <v>1.076</v>
      </c>
      <c r="E6608" s="4" t="n">
        <v>100000</v>
      </c>
      <c r="F6608" s="4" t="n">
        <v>107600</v>
      </c>
    </row>
    <row r="6609">
      <c r="A6609" s="3" t="inlineStr">
        <is>
          <t>2</t>
        </is>
      </c>
      <c r="B6609" s="3" t="inlineStr">
        <is>
          <t>Tukang Listrik</t>
        </is>
      </c>
      <c r="C6609" s="3" t="inlineStr">
        <is>
          <t>OH</t>
        </is>
      </c>
      <c r="D6609" s="15" t="n">
        <v>1.797</v>
      </c>
      <c r="E6609" s="4" t="n">
        <v>145000</v>
      </c>
      <c r="F6609" s="4" t="n">
        <v>260565</v>
      </c>
    </row>
    <row r="6610">
      <c r="A6610" s="3" t="inlineStr">
        <is>
          <t>3</t>
        </is>
      </c>
      <c r="B6610" s="3" t="inlineStr">
        <is>
          <t>Kepala tukang</t>
        </is>
      </c>
      <c r="C6610" s="3" t="inlineStr">
        <is>
          <t>OH</t>
        </is>
      </c>
      <c r="D6610" s="15" t="n">
        <v>0.18</v>
      </c>
      <c r="E6610" s="4" t="n">
        <v>175000</v>
      </c>
      <c r="F6610" s="4" t="n">
        <v>31500</v>
      </c>
    </row>
    <row r="6611">
      <c r="A6611" s="3" t="inlineStr">
        <is>
          <t>4</t>
        </is>
      </c>
      <c r="B6611" s="3" t="inlineStr">
        <is>
          <t>Mandor</t>
        </is>
      </c>
      <c r="C6611" s="3" t="inlineStr">
        <is>
          <t>OH</t>
        </is>
      </c>
      <c r="D6611" s="15" t="n">
        <v>0.06</v>
      </c>
      <c r="E6611" s="4" t="n">
        <v>200000</v>
      </c>
      <c r="F6611" s="4" t="n">
        <v>12000</v>
      </c>
    </row>
    <row r="6612">
      <c r="A6612" s="3" t="inlineStr">
        <is>
          <t>1</t>
        </is>
      </c>
      <c r="B6612" s="3" t="inlineStr">
        <is>
          <t>SDP Floor Standing</t>
        </is>
      </c>
      <c r="C6612" s="3" t="inlineStr">
        <is>
          <t>unit</t>
        </is>
      </c>
      <c r="D6612" s="15" t="n">
        <v>1</v>
      </c>
      <c r="E6612" s="4" t="n">
        <v>3500000</v>
      </c>
      <c r="F6612" s="4" t="n">
        <v>3500000</v>
      </c>
    </row>
    <row r="6613">
      <c r="D6613" s="2" t="inlineStr">
        <is>
          <t>SUBTOTAL UPAH</t>
        </is>
      </c>
      <c r="F6613" s="16" t="n">
        <v>411665</v>
      </c>
    </row>
    <row r="6614">
      <c r="D6614" s="2" t="inlineStr">
        <is>
          <t>SUBTOTAL BAHAN</t>
        </is>
      </c>
      <c r="F6614" s="16" t="n">
        <v>3500000</v>
      </c>
    </row>
    <row r="6615">
      <c r="D6615" s="2" t="inlineStr">
        <is>
          <t>SUBTOTAL ALAT</t>
        </is>
      </c>
      <c r="F6615" s="16" t="n">
        <v>0</v>
      </c>
    </row>
    <row r="6616">
      <c r="E6616" s="2" t="inlineStr">
        <is>
          <t>TOTAL HARGA SATUAN (Inc. Overhead)</t>
        </is>
      </c>
      <c r="F6616" s="17" t="n">
        <v>4302831</v>
      </c>
    </row>
    <row r="6618">
      <c r="A6618" s="14" t="inlineStr">
        <is>
          <t>KODE: 5.1.2.6 - Pemasangan 1 Unit Sub Distribution Panel (SDP) Wall Maunted</t>
        </is>
      </c>
    </row>
    <row r="6619">
      <c r="A6619" s="10" t="inlineStr">
        <is>
          <t>No</t>
        </is>
      </c>
      <c r="B6619" s="10" t="inlineStr">
        <is>
          <t>Uraian Komponen</t>
        </is>
      </c>
      <c r="C6619" s="10" t="inlineStr">
        <is>
          <t>Satuan</t>
        </is>
      </c>
      <c r="D6619" s="10" t="inlineStr">
        <is>
          <t>Koef</t>
        </is>
      </c>
      <c r="E6619" s="10" t="inlineStr">
        <is>
          <t>Harga Satuan (Rp)</t>
        </is>
      </c>
      <c r="F6619" s="10" t="inlineStr">
        <is>
          <t>Jumlah Harga (Rp)</t>
        </is>
      </c>
    </row>
    <row r="6620">
      <c r="A6620" s="3" t="inlineStr">
        <is>
          <t>1</t>
        </is>
      </c>
      <c r="B6620" s="3" t="inlineStr">
        <is>
          <t>Pekerja</t>
        </is>
      </c>
      <c r="C6620" s="3" t="inlineStr">
        <is>
          <t>OH</t>
        </is>
      </c>
      <c r="D6620" s="15" t="n">
        <v>0.895</v>
      </c>
      <c r="E6620" s="4" t="n">
        <v>100000</v>
      </c>
      <c r="F6620" s="4" t="n">
        <v>89500</v>
      </c>
    </row>
    <row r="6621">
      <c r="A6621" s="3" t="inlineStr">
        <is>
          <t>2</t>
        </is>
      </c>
      <c r="B6621" s="3" t="inlineStr">
        <is>
          <t>Tukang Listrik</t>
        </is>
      </c>
      <c r="C6621" s="3" t="inlineStr">
        <is>
          <t>OH</t>
        </is>
      </c>
      <c r="D6621" s="15" t="n">
        <v>1.495</v>
      </c>
      <c r="E6621" s="4" t="n">
        <v>145000</v>
      </c>
      <c r="F6621" s="4" t="n">
        <v>216775</v>
      </c>
    </row>
    <row r="6622">
      <c r="A6622" s="3" t="inlineStr">
        <is>
          <t>3</t>
        </is>
      </c>
      <c r="B6622" s="3" t="inlineStr">
        <is>
          <t>Kepala tukang</t>
        </is>
      </c>
      <c r="C6622" s="3" t="inlineStr">
        <is>
          <t>OH</t>
        </is>
      </c>
      <c r="D6622" s="15" t="n">
        <v>0.15</v>
      </c>
      <c r="E6622" s="4" t="n">
        <v>175000</v>
      </c>
      <c r="F6622" s="4" t="n">
        <v>26250</v>
      </c>
    </row>
    <row r="6623">
      <c r="A6623" s="3" t="inlineStr">
        <is>
          <t>4</t>
        </is>
      </c>
      <c r="B6623" s="3" t="inlineStr">
        <is>
          <t>Mandor</t>
        </is>
      </c>
      <c r="C6623" s="3" t="inlineStr">
        <is>
          <t>OH</t>
        </is>
      </c>
      <c r="D6623" s="15" t="n">
        <v>0.05</v>
      </c>
      <c r="E6623" s="4" t="n">
        <v>200000</v>
      </c>
      <c r="F6623" s="4" t="n">
        <v>10000</v>
      </c>
    </row>
    <row r="6624">
      <c r="A6624" s="3" t="inlineStr">
        <is>
          <t>1</t>
        </is>
      </c>
      <c r="B6624" s="3" t="inlineStr">
        <is>
          <t>SDP Wall  Mounted</t>
        </is>
      </c>
      <c r="C6624" s="3" t="inlineStr">
        <is>
          <t>unit</t>
        </is>
      </c>
      <c r="D6624" s="15" t="n">
        <v>1</v>
      </c>
      <c r="E6624" s="4" t="n">
        <v>3300000</v>
      </c>
      <c r="F6624" s="4" t="n">
        <v>3300000</v>
      </c>
    </row>
    <row r="6625">
      <c r="D6625" s="2" t="inlineStr">
        <is>
          <t>SUBTOTAL UPAH</t>
        </is>
      </c>
      <c r="F6625" s="16" t="n">
        <v>342525</v>
      </c>
    </row>
    <row r="6626">
      <c r="D6626" s="2" t="inlineStr">
        <is>
          <t>SUBTOTAL BAHAN</t>
        </is>
      </c>
      <c r="F6626" s="16" t="n">
        <v>3300000</v>
      </c>
    </row>
    <row r="6627">
      <c r="D6627" s="2" t="inlineStr">
        <is>
          <t>SUBTOTAL ALAT</t>
        </is>
      </c>
      <c r="F6627" s="16" t="n">
        <v>0</v>
      </c>
    </row>
    <row r="6628">
      <c r="E6628" s="2" t="inlineStr">
        <is>
          <t>TOTAL HARGA SATUAN (Inc. Overhead)</t>
        </is>
      </c>
      <c r="F6628" s="17" t="n">
        <v>4006777</v>
      </c>
    </row>
    <row r="6630">
      <c r="A6630" s="14" t="inlineStr">
        <is>
          <t>KODE: 5.1.2.7 - Pemasangan 1 Unit Panel Lantai Wall Mounted (800x 600 x200 mm)</t>
        </is>
      </c>
    </row>
    <row r="6631">
      <c r="A6631" s="10" t="inlineStr">
        <is>
          <t>No</t>
        </is>
      </c>
      <c r="B6631" s="10" t="inlineStr">
        <is>
          <t>Uraian Komponen</t>
        </is>
      </c>
      <c r="C6631" s="10" t="inlineStr">
        <is>
          <t>Satuan</t>
        </is>
      </c>
      <c r="D6631" s="10" t="inlineStr">
        <is>
          <t>Koef</t>
        </is>
      </c>
      <c r="E6631" s="10" t="inlineStr">
        <is>
          <t>Harga Satuan (Rp)</t>
        </is>
      </c>
      <c r="F6631" s="10" t="inlineStr">
        <is>
          <t>Jumlah Harga (Rp)</t>
        </is>
      </c>
    </row>
    <row r="6632">
      <c r="A6632" s="3" t="inlineStr">
        <is>
          <t>1</t>
        </is>
      </c>
      <c r="B6632" s="3" t="inlineStr">
        <is>
          <t>Pekerja</t>
        </is>
      </c>
      <c r="C6632" s="3" t="inlineStr">
        <is>
          <t>OH</t>
        </is>
      </c>
      <c r="D6632" s="15" t="n">
        <v>0.626</v>
      </c>
      <c r="E6632" s="4" t="n">
        <v>100000</v>
      </c>
      <c r="F6632" s="4" t="n">
        <v>62600</v>
      </c>
    </row>
    <row r="6633">
      <c r="A6633" s="3" t="inlineStr">
        <is>
          <t>2</t>
        </is>
      </c>
      <c r="B6633" s="3" t="inlineStr">
        <is>
          <t>Tukang Listrik</t>
        </is>
      </c>
      <c r="C6633" s="3" t="inlineStr">
        <is>
          <t>OH</t>
        </is>
      </c>
      <c r="D6633" s="15" t="n">
        <v>1.046</v>
      </c>
      <c r="E6633" s="4" t="n">
        <v>145000</v>
      </c>
      <c r="F6633" s="4" t="n">
        <v>151670</v>
      </c>
    </row>
    <row r="6634">
      <c r="A6634" s="3" t="inlineStr">
        <is>
          <t>3</t>
        </is>
      </c>
      <c r="B6634" s="3" t="inlineStr">
        <is>
          <t>Kepala tukang</t>
        </is>
      </c>
      <c r="C6634" s="3" t="inlineStr">
        <is>
          <t>OH</t>
        </is>
      </c>
      <c r="D6634" s="15" t="n">
        <v>0.105</v>
      </c>
      <c r="E6634" s="4" t="n">
        <v>175000</v>
      </c>
      <c r="F6634" s="4" t="n">
        <v>18375</v>
      </c>
    </row>
    <row r="6635">
      <c r="A6635" s="3" t="inlineStr">
        <is>
          <t>4</t>
        </is>
      </c>
      <c r="B6635" s="3" t="inlineStr">
        <is>
          <t>Mandor</t>
        </is>
      </c>
      <c r="C6635" s="3" t="inlineStr">
        <is>
          <t>OH</t>
        </is>
      </c>
      <c r="D6635" s="15" t="n">
        <v>0.035</v>
      </c>
      <c r="E6635" s="4" t="n">
        <v>200000</v>
      </c>
      <c r="F6635" s="4" t="n">
        <v>7000.000000000001</v>
      </c>
    </row>
    <row r="6636">
      <c r="A6636" s="3" t="inlineStr">
        <is>
          <t>1</t>
        </is>
      </c>
      <c r="B6636" s="3" t="inlineStr">
        <is>
          <t>Panel Lantai Wall Mounted 800x600x200</t>
        </is>
      </c>
      <c r="C6636" s="3" t="inlineStr">
        <is>
          <t>unit</t>
        </is>
      </c>
      <c r="D6636" s="15" t="n">
        <v>1</v>
      </c>
      <c r="E6636" s="4" t="n">
        <v>3200000</v>
      </c>
      <c r="F6636" s="4" t="n">
        <v>3200000</v>
      </c>
    </row>
    <row r="6637">
      <c r="D6637" s="2" t="inlineStr">
        <is>
          <t>SUBTOTAL UPAH</t>
        </is>
      </c>
      <c r="F6637" s="16" t="n">
        <v>239645</v>
      </c>
    </row>
    <row r="6638">
      <c r="D6638" s="2" t="inlineStr">
        <is>
          <t>SUBTOTAL BAHAN</t>
        </is>
      </c>
      <c r="F6638" s="16" t="n">
        <v>3200000</v>
      </c>
    </row>
    <row r="6639">
      <c r="D6639" s="2" t="inlineStr">
        <is>
          <t>SUBTOTAL ALAT</t>
        </is>
      </c>
      <c r="F6639" s="16" t="n">
        <v>0</v>
      </c>
    </row>
    <row r="6640">
      <c r="E6640" s="2" t="inlineStr">
        <is>
          <t>TOTAL HARGA SATUAN (Inc. Overhead)</t>
        </is>
      </c>
      <c r="F6640" s="17" t="n">
        <v>3783609</v>
      </c>
    </row>
    <row r="6642">
      <c r="A6642" s="14" t="inlineStr">
        <is>
          <t>KODE: 5.1.2.8 - Pemasangan 1 Unit Panel Lantai Wall Mounted (600x 400 x200 mm)</t>
        </is>
      </c>
    </row>
    <row r="6643">
      <c r="A6643" s="10" t="inlineStr">
        <is>
          <t>No</t>
        </is>
      </c>
      <c r="B6643" s="10" t="inlineStr">
        <is>
          <t>Uraian Komponen</t>
        </is>
      </c>
      <c r="C6643" s="10" t="inlineStr">
        <is>
          <t>Satuan</t>
        </is>
      </c>
      <c r="D6643" s="10" t="inlineStr">
        <is>
          <t>Koef</t>
        </is>
      </c>
      <c r="E6643" s="10" t="inlineStr">
        <is>
          <t>Harga Satuan (Rp)</t>
        </is>
      </c>
      <c r="F6643" s="10" t="inlineStr">
        <is>
          <t>Jumlah Harga (Rp)</t>
        </is>
      </c>
    </row>
    <row r="6644">
      <c r="A6644" s="3" t="inlineStr">
        <is>
          <t>1</t>
        </is>
      </c>
      <c r="B6644" s="3" t="inlineStr">
        <is>
          <t>Pekerja</t>
        </is>
      </c>
      <c r="C6644" s="3" t="inlineStr">
        <is>
          <t>OH</t>
        </is>
      </c>
      <c r="D6644" s="15" t="n">
        <v>0.5620000000000001</v>
      </c>
      <c r="E6644" s="4" t="n">
        <v>100000</v>
      </c>
      <c r="F6644" s="4" t="n">
        <v>56200.00000000001</v>
      </c>
    </row>
    <row r="6645">
      <c r="A6645" s="3" t="inlineStr">
        <is>
          <t>2</t>
        </is>
      </c>
      <c r="B6645" s="3" t="inlineStr">
        <is>
          <t>Tukang Listrik</t>
        </is>
      </c>
      <c r="C6645" s="3" t="inlineStr">
        <is>
          <t>OH</t>
        </is>
      </c>
      <c r="D6645" s="15" t="n">
        <v>0.9379999999999999</v>
      </c>
      <c r="E6645" s="4" t="n">
        <v>145000</v>
      </c>
      <c r="F6645" s="4" t="n">
        <v>136010</v>
      </c>
    </row>
    <row r="6646">
      <c r="A6646" s="3" t="inlineStr">
        <is>
          <t>3</t>
        </is>
      </c>
      <c r="B6646" s="3" t="inlineStr">
        <is>
          <t>Kepala tukang</t>
        </is>
      </c>
      <c r="C6646" s="3" t="inlineStr">
        <is>
          <t>OH</t>
        </is>
      </c>
      <c r="D6646" s="15" t="n">
        <v>0.094</v>
      </c>
      <c r="E6646" s="4" t="n">
        <v>175000</v>
      </c>
      <c r="F6646" s="4" t="n">
        <v>16450</v>
      </c>
    </row>
    <row r="6647">
      <c r="A6647" s="3" t="inlineStr">
        <is>
          <t>4</t>
        </is>
      </c>
      <c r="B6647" s="3" t="inlineStr">
        <is>
          <t>Mandor</t>
        </is>
      </c>
      <c r="C6647" s="3" t="inlineStr">
        <is>
          <t>OH</t>
        </is>
      </c>
      <c r="D6647" s="15" t="n">
        <v>0.031</v>
      </c>
      <c r="E6647" s="4" t="n">
        <v>200000</v>
      </c>
      <c r="F6647" s="4" t="n">
        <v>6200</v>
      </c>
    </row>
    <row r="6648">
      <c r="A6648" s="3" t="inlineStr">
        <is>
          <t>1</t>
        </is>
      </c>
      <c r="B6648" s="3" t="inlineStr">
        <is>
          <t>Panel Lantai Wall Mounted 600x 400 x200</t>
        </is>
      </c>
      <c r="C6648" s="3" t="inlineStr">
        <is>
          <t>unit</t>
        </is>
      </c>
      <c r="D6648" s="15" t="n">
        <v>1</v>
      </c>
      <c r="E6648" s="4" t="n">
        <v>3000000</v>
      </c>
      <c r="F6648" s="4" t="n">
        <v>3000000</v>
      </c>
    </row>
    <row r="6649">
      <c r="D6649" s="2" t="inlineStr">
        <is>
          <t>SUBTOTAL UPAH</t>
        </is>
      </c>
      <c r="F6649" s="16" t="n">
        <v>214860</v>
      </c>
    </row>
    <row r="6650">
      <c r="D6650" s="2" t="inlineStr">
        <is>
          <t>SUBTOTAL BAHAN</t>
        </is>
      </c>
      <c r="F6650" s="16" t="n">
        <v>3000000</v>
      </c>
    </row>
    <row r="6651">
      <c r="D6651" s="2" t="inlineStr">
        <is>
          <t>SUBTOTAL ALAT</t>
        </is>
      </c>
      <c r="F6651" s="16" t="n">
        <v>0</v>
      </c>
    </row>
    <row r="6652">
      <c r="E6652" s="2" t="inlineStr">
        <is>
          <t>TOTAL HARGA SATUAN (Inc. Overhead)</t>
        </is>
      </c>
      <c r="F6652" s="17" t="n">
        <v>3536346</v>
      </c>
    </row>
    <row r="6654">
      <c r="A6654" s="14" t="inlineStr">
        <is>
          <t>KODE: 5.1.2.9 - Pemasangan 1 Unit Panel kWh Meter</t>
        </is>
      </c>
    </row>
    <row r="6655">
      <c r="A6655" s="10" t="inlineStr">
        <is>
          <t>No</t>
        </is>
      </c>
      <c r="B6655" s="10" t="inlineStr">
        <is>
          <t>Uraian Komponen</t>
        </is>
      </c>
      <c r="C6655" s="10" t="inlineStr">
        <is>
          <t>Satuan</t>
        </is>
      </c>
      <c r="D6655" s="10" t="inlineStr">
        <is>
          <t>Koef</t>
        </is>
      </c>
      <c r="E6655" s="10" t="inlineStr">
        <is>
          <t>Harga Satuan (Rp)</t>
        </is>
      </c>
      <c r="F6655" s="10" t="inlineStr">
        <is>
          <t>Jumlah Harga (Rp)</t>
        </is>
      </c>
    </row>
    <row r="6656">
      <c r="A6656" s="3" t="inlineStr">
        <is>
          <t>1</t>
        </is>
      </c>
      <c r="B6656" s="3" t="inlineStr">
        <is>
          <t>Pekerja</t>
        </is>
      </c>
      <c r="C6656" s="3" t="inlineStr">
        <is>
          <t>OH</t>
        </is>
      </c>
      <c r="D6656" s="15" t="n">
        <v>1.076</v>
      </c>
      <c r="E6656" s="4" t="n">
        <v>100000</v>
      </c>
      <c r="F6656" s="4" t="n">
        <v>107600</v>
      </c>
    </row>
    <row r="6657">
      <c r="A6657" s="3" t="inlineStr">
        <is>
          <t>2</t>
        </is>
      </c>
      <c r="B6657" s="3" t="inlineStr">
        <is>
          <t>Tukang Listrik</t>
        </is>
      </c>
      <c r="C6657" s="3" t="inlineStr">
        <is>
          <t>OH</t>
        </is>
      </c>
      <c r="D6657" s="15" t="n">
        <v>1.797</v>
      </c>
      <c r="E6657" s="4" t="n">
        <v>145000</v>
      </c>
      <c r="F6657" s="4" t="n">
        <v>260565</v>
      </c>
    </row>
    <row r="6658">
      <c r="A6658" s="3" t="inlineStr">
        <is>
          <t>3</t>
        </is>
      </c>
      <c r="B6658" s="3" t="inlineStr">
        <is>
          <t>Kepala tukang</t>
        </is>
      </c>
      <c r="C6658" s="3" t="inlineStr">
        <is>
          <t>OH</t>
        </is>
      </c>
      <c r="D6658" s="15" t="n">
        <v>0.18</v>
      </c>
      <c r="E6658" s="4" t="n">
        <v>175000</v>
      </c>
      <c r="F6658" s="4" t="n">
        <v>31500</v>
      </c>
    </row>
    <row r="6659">
      <c r="A6659" s="3" t="inlineStr">
        <is>
          <t>4</t>
        </is>
      </c>
      <c r="B6659" s="3" t="inlineStr">
        <is>
          <t>Mandor</t>
        </is>
      </c>
      <c r="C6659" s="3" t="inlineStr">
        <is>
          <t>OH</t>
        </is>
      </c>
      <c r="D6659" s="15" t="n">
        <v>0.06</v>
      </c>
      <c r="E6659" s="4" t="n">
        <v>200000</v>
      </c>
      <c r="F6659" s="4" t="n">
        <v>12000</v>
      </c>
    </row>
    <row r="6660">
      <c r="A6660" s="3" t="inlineStr">
        <is>
          <t>1</t>
        </is>
      </c>
      <c r="B6660" s="3" t="inlineStr">
        <is>
          <t>Panel kWh Meter</t>
        </is>
      </c>
      <c r="C6660" s="3" t="inlineStr">
        <is>
          <t>unit</t>
        </is>
      </c>
      <c r="D6660" s="15" t="n">
        <v>1</v>
      </c>
      <c r="E6660" s="4" t="n">
        <v>2500000</v>
      </c>
      <c r="F6660" s="4" t="n">
        <v>2500000</v>
      </c>
    </row>
    <row r="6661">
      <c r="D6661" s="2" t="inlineStr">
        <is>
          <t>SUBTOTAL UPAH</t>
        </is>
      </c>
      <c r="F6661" s="16" t="n">
        <v>411665</v>
      </c>
    </row>
    <row r="6662">
      <c r="D6662" s="2" t="inlineStr">
        <is>
          <t>SUBTOTAL BAHAN</t>
        </is>
      </c>
      <c r="F6662" s="16" t="n">
        <v>2500000</v>
      </c>
    </row>
    <row r="6663">
      <c r="D6663" s="2" t="inlineStr">
        <is>
          <t>SUBTOTAL ALAT</t>
        </is>
      </c>
      <c r="F6663" s="16" t="n">
        <v>0</v>
      </c>
    </row>
    <row r="6664">
      <c r="E6664" s="2" t="inlineStr">
        <is>
          <t>TOTAL HARGA SATUAN (Inc. Overhead)</t>
        </is>
      </c>
      <c r="F6664" s="17" t="n">
        <v>3202831</v>
      </c>
    </row>
    <row r="6666">
      <c r="A6666" s="14" t="inlineStr">
        <is>
          <t>KODE: 5.1.2.10 - Pemasangan 1 Unit Panel Penerang Luar Outdoor</t>
        </is>
      </c>
    </row>
    <row r="6667">
      <c r="A6667" s="10" t="inlineStr">
        <is>
          <t>No</t>
        </is>
      </c>
      <c r="B6667" s="10" t="inlineStr">
        <is>
          <t>Uraian Komponen</t>
        </is>
      </c>
      <c r="C6667" s="10" t="inlineStr">
        <is>
          <t>Satuan</t>
        </is>
      </c>
      <c r="D6667" s="10" t="inlineStr">
        <is>
          <t>Koef</t>
        </is>
      </c>
      <c r="E6667" s="10" t="inlineStr">
        <is>
          <t>Harga Satuan (Rp)</t>
        </is>
      </c>
      <c r="F6667" s="10" t="inlineStr">
        <is>
          <t>Jumlah Harga (Rp)</t>
        </is>
      </c>
    </row>
    <row r="6668">
      <c r="A6668" s="3" t="inlineStr">
        <is>
          <t>1</t>
        </is>
      </c>
      <c r="B6668" s="3" t="inlineStr">
        <is>
          <t>Pekerja</t>
        </is>
      </c>
      <c r="C6668" s="3" t="inlineStr">
        <is>
          <t>OH</t>
        </is>
      </c>
      <c r="D6668" s="15" t="n">
        <v>0.46</v>
      </c>
      <c r="E6668" s="4" t="n">
        <v>100000</v>
      </c>
      <c r="F6668" s="4" t="n">
        <v>46000</v>
      </c>
    </row>
    <row r="6669">
      <c r="A6669" s="3" t="inlineStr">
        <is>
          <t>2</t>
        </is>
      </c>
      <c r="B6669" s="3" t="inlineStr">
        <is>
          <t>Tukang Listrik</t>
        </is>
      </c>
      <c r="C6669" s="3" t="inlineStr">
        <is>
          <t>OH</t>
        </is>
      </c>
      <c r="D6669" s="15" t="n">
        <v>0.767</v>
      </c>
      <c r="E6669" s="4" t="n">
        <v>145000</v>
      </c>
      <c r="F6669" s="4" t="n">
        <v>111215</v>
      </c>
    </row>
    <row r="6670">
      <c r="A6670" s="3" t="inlineStr">
        <is>
          <t>3</t>
        </is>
      </c>
      <c r="B6670" s="3" t="inlineStr">
        <is>
          <t>Kepala tukang</t>
        </is>
      </c>
      <c r="C6670" s="3" t="inlineStr">
        <is>
          <t>OH</t>
        </is>
      </c>
      <c r="D6670" s="15" t="n">
        <v>0.077</v>
      </c>
      <c r="E6670" s="4" t="n">
        <v>175000</v>
      </c>
      <c r="F6670" s="4" t="n">
        <v>13475</v>
      </c>
    </row>
    <row r="6671">
      <c r="A6671" s="3" t="inlineStr">
        <is>
          <t>4</t>
        </is>
      </c>
      <c r="B6671" s="3" t="inlineStr">
        <is>
          <t>Mandor</t>
        </is>
      </c>
      <c r="C6671" s="3" t="inlineStr">
        <is>
          <t>OH</t>
        </is>
      </c>
      <c r="D6671" s="15" t="n">
        <v>0.026</v>
      </c>
      <c r="E6671" s="4" t="n">
        <v>200000</v>
      </c>
      <c r="F6671" s="4" t="n">
        <v>5200</v>
      </c>
    </row>
    <row r="6672">
      <c r="A6672" s="3" t="inlineStr">
        <is>
          <t>1</t>
        </is>
      </c>
      <c r="B6672" s="3" t="inlineStr">
        <is>
          <t>Panel Penerang Luar Outdoor termasuk material batu</t>
        </is>
      </c>
      <c r="C6672" s="3" t="inlineStr">
        <is>
          <t>unit</t>
        </is>
      </c>
      <c r="D6672" s="15" t="n">
        <v>1</v>
      </c>
      <c r="E6672" s="4" t="n">
        <v>3500000</v>
      </c>
      <c r="F6672" s="4" t="n">
        <v>3500000</v>
      </c>
    </row>
    <row r="6673">
      <c r="D6673" s="2" t="inlineStr">
        <is>
          <t>SUBTOTAL UPAH</t>
        </is>
      </c>
      <c r="F6673" s="16" t="n">
        <v>175890</v>
      </c>
    </row>
    <row r="6674">
      <c r="D6674" s="2" t="inlineStr">
        <is>
          <t>SUBTOTAL BAHAN</t>
        </is>
      </c>
      <c r="F6674" s="16" t="n">
        <v>3500000</v>
      </c>
    </row>
    <row r="6675">
      <c r="D6675" s="2" t="inlineStr">
        <is>
          <t>SUBTOTAL ALAT</t>
        </is>
      </c>
      <c r="F6675" s="16" t="n">
        <v>0</v>
      </c>
    </row>
    <row r="6676">
      <c r="E6676" s="2" t="inlineStr">
        <is>
          <t>TOTAL HARGA SATUAN (Inc. Overhead)</t>
        </is>
      </c>
      <c r="F6676" s="17" t="n">
        <v>4043479</v>
      </c>
    </row>
    <row r="6678">
      <c r="A6678" s="14" t="inlineStr">
        <is>
          <t>KODE: 5.1.2.11 - Pemasangan 1 Unit Panel Kontrol (Pompa Transfer, Pompa Kolam Renang,Water Treatment Plat (WTP), Instalasi Pengelolaan Air Limbah ( IPAL), dan Power Lift)</t>
        </is>
      </c>
    </row>
    <row r="6679">
      <c r="A6679" s="10" t="inlineStr">
        <is>
          <t>No</t>
        </is>
      </c>
      <c r="B6679" s="10" t="inlineStr">
        <is>
          <t>Uraian Komponen</t>
        </is>
      </c>
      <c r="C6679" s="10" t="inlineStr">
        <is>
          <t>Satuan</t>
        </is>
      </c>
      <c r="D6679" s="10" t="inlineStr">
        <is>
          <t>Koef</t>
        </is>
      </c>
      <c r="E6679" s="10" t="inlineStr">
        <is>
          <t>Harga Satuan (Rp)</t>
        </is>
      </c>
      <c r="F6679" s="10" t="inlineStr">
        <is>
          <t>Jumlah Harga (Rp)</t>
        </is>
      </c>
    </row>
    <row r="6680">
      <c r="A6680" s="3" t="inlineStr">
        <is>
          <t>1</t>
        </is>
      </c>
      <c r="B6680" s="3" t="inlineStr">
        <is>
          <t>Pekerja</t>
        </is>
      </c>
      <c r="C6680" s="3" t="inlineStr">
        <is>
          <t>OH</t>
        </is>
      </c>
      <c r="D6680" s="15" t="n">
        <v>0.5620000000000001</v>
      </c>
      <c r="E6680" s="4" t="n">
        <v>100000</v>
      </c>
      <c r="F6680" s="4" t="n">
        <v>56200.00000000001</v>
      </c>
    </row>
    <row r="6681">
      <c r="A6681" s="3" t="inlineStr">
        <is>
          <t>2</t>
        </is>
      </c>
      <c r="B6681" s="3" t="inlineStr">
        <is>
          <t>Tukang Listrik</t>
        </is>
      </c>
      <c r="C6681" s="3" t="inlineStr">
        <is>
          <t>OH</t>
        </is>
      </c>
      <c r="D6681" s="15" t="n">
        <v>0.9379999999999999</v>
      </c>
      <c r="E6681" s="4" t="n">
        <v>145000</v>
      </c>
      <c r="F6681" s="4" t="n">
        <v>136010</v>
      </c>
    </row>
    <row r="6682">
      <c r="A6682" s="3" t="inlineStr">
        <is>
          <t>3</t>
        </is>
      </c>
      <c r="B6682" s="3" t="inlineStr">
        <is>
          <t>Kepala tukang</t>
        </is>
      </c>
      <c r="C6682" s="3" t="inlineStr">
        <is>
          <t>OH</t>
        </is>
      </c>
      <c r="D6682" s="15" t="n">
        <v>0.094</v>
      </c>
      <c r="E6682" s="4" t="n">
        <v>175000</v>
      </c>
      <c r="F6682" s="4" t="n">
        <v>16450</v>
      </c>
    </row>
    <row r="6683">
      <c r="A6683" s="3" t="inlineStr">
        <is>
          <t>4</t>
        </is>
      </c>
      <c r="B6683" s="3" t="inlineStr">
        <is>
          <t>Mandor</t>
        </is>
      </c>
      <c r="C6683" s="3" t="inlineStr">
        <is>
          <t>OH</t>
        </is>
      </c>
      <c r="D6683" s="15" t="n">
        <v>0.031</v>
      </c>
      <c r="E6683" s="4" t="n">
        <v>200000</v>
      </c>
      <c r="F6683" s="4" t="n">
        <v>6200</v>
      </c>
    </row>
    <row r="6684">
      <c r="A6684" s="3" t="inlineStr">
        <is>
          <t>1</t>
        </is>
      </c>
      <c r="B6684" s="3" t="inlineStr">
        <is>
          <t>Panel Kontrol Pompa</t>
        </is>
      </c>
      <c r="C6684" s="3" t="inlineStr">
        <is>
          <t>unit</t>
        </is>
      </c>
      <c r="D6684" s="15" t="n">
        <v>1</v>
      </c>
      <c r="E6684" s="4" t="n">
        <v>5500000</v>
      </c>
      <c r="F6684" s="4" t="n">
        <v>5500000</v>
      </c>
    </row>
    <row r="6685">
      <c r="D6685" s="2" t="inlineStr">
        <is>
          <t>SUBTOTAL UPAH</t>
        </is>
      </c>
      <c r="F6685" s="16" t="n">
        <v>214860</v>
      </c>
    </row>
    <row r="6686">
      <c r="D6686" s="2" t="inlineStr">
        <is>
          <t>SUBTOTAL BAHAN</t>
        </is>
      </c>
      <c r="F6686" s="16" t="n">
        <v>5500000</v>
      </c>
    </row>
    <row r="6687">
      <c r="D6687" s="2" t="inlineStr">
        <is>
          <t>SUBTOTAL ALAT</t>
        </is>
      </c>
      <c r="F6687" s="16" t="n">
        <v>0</v>
      </c>
    </row>
    <row r="6688">
      <c r="E6688" s="2" t="inlineStr">
        <is>
          <t>TOTAL HARGA SATUAN (Inc. Overhead)</t>
        </is>
      </c>
      <c r="F6688" s="17" t="n">
        <v>6286346</v>
      </c>
    </row>
    <row r="6690">
      <c r="A6690" s="14" t="inlineStr">
        <is>
          <t>KODE: 5.1.2.16 - Pemasangan 1 Unit Panel Power Gondola</t>
        </is>
      </c>
    </row>
    <row r="6691">
      <c r="A6691" s="10" t="inlineStr">
        <is>
          <t>No</t>
        </is>
      </c>
      <c r="B6691" s="10" t="inlineStr">
        <is>
          <t>Uraian Komponen</t>
        </is>
      </c>
      <c r="C6691" s="10" t="inlineStr">
        <is>
          <t>Satuan</t>
        </is>
      </c>
      <c r="D6691" s="10" t="inlineStr">
        <is>
          <t>Koef</t>
        </is>
      </c>
      <c r="E6691" s="10" t="inlineStr">
        <is>
          <t>Harga Satuan (Rp)</t>
        </is>
      </c>
      <c r="F6691" s="10" t="inlineStr">
        <is>
          <t>Jumlah Harga (Rp)</t>
        </is>
      </c>
    </row>
    <row r="6692">
      <c r="A6692" s="3" t="inlineStr">
        <is>
          <t>1</t>
        </is>
      </c>
      <c r="B6692" s="3" t="inlineStr">
        <is>
          <t>Pekerja</t>
        </is>
      </c>
      <c r="C6692" s="3" t="inlineStr">
        <is>
          <t>OH</t>
        </is>
      </c>
      <c r="D6692" s="15" t="n">
        <v>0.46</v>
      </c>
      <c r="E6692" s="4" t="n">
        <v>100000</v>
      </c>
      <c r="F6692" s="4" t="n">
        <v>46000</v>
      </c>
    </row>
    <row r="6693">
      <c r="A6693" s="3" t="inlineStr">
        <is>
          <t>2</t>
        </is>
      </c>
      <c r="B6693" s="3" t="inlineStr">
        <is>
          <t>Tukang Listrik</t>
        </is>
      </c>
      <c r="C6693" s="3" t="inlineStr">
        <is>
          <t>OH</t>
        </is>
      </c>
      <c r="D6693" s="15" t="n">
        <v>0.767</v>
      </c>
      <c r="E6693" s="4" t="n">
        <v>145000</v>
      </c>
      <c r="F6693" s="4" t="n">
        <v>111215</v>
      </c>
    </row>
    <row r="6694">
      <c r="A6694" s="3" t="inlineStr">
        <is>
          <t>3</t>
        </is>
      </c>
      <c r="B6694" s="3" t="inlineStr">
        <is>
          <t>Kepala tukang</t>
        </is>
      </c>
      <c r="C6694" s="3" t="inlineStr">
        <is>
          <t>OH</t>
        </is>
      </c>
      <c r="D6694" s="15" t="n">
        <v>0.077</v>
      </c>
      <c r="E6694" s="4" t="n">
        <v>175000</v>
      </c>
      <c r="F6694" s="4" t="n">
        <v>13475</v>
      </c>
    </row>
    <row r="6695">
      <c r="A6695" s="3" t="inlineStr">
        <is>
          <t>4</t>
        </is>
      </c>
      <c r="B6695" s="3" t="inlineStr">
        <is>
          <t>Mandor</t>
        </is>
      </c>
      <c r="C6695" s="3" t="inlineStr">
        <is>
          <t>OH</t>
        </is>
      </c>
      <c r="D6695" s="15" t="n">
        <v>0.026</v>
      </c>
      <c r="E6695" s="4" t="n">
        <v>200000</v>
      </c>
      <c r="F6695" s="4" t="n">
        <v>5200</v>
      </c>
    </row>
    <row r="6696">
      <c r="A6696" s="3" t="inlineStr">
        <is>
          <t>1</t>
        </is>
      </c>
      <c r="B6696" s="3" t="inlineStr">
        <is>
          <t>Panel Power Gondola termasuk material bantu</t>
        </is>
      </c>
      <c r="C6696" s="3" t="inlineStr">
        <is>
          <t>unit</t>
        </is>
      </c>
      <c r="D6696" s="15" t="n">
        <v>1</v>
      </c>
      <c r="E6696" s="4" t="n">
        <v>5700000</v>
      </c>
      <c r="F6696" s="4" t="n">
        <v>5700000</v>
      </c>
    </row>
    <row r="6697">
      <c r="D6697" s="2" t="inlineStr">
        <is>
          <t>SUBTOTAL UPAH</t>
        </is>
      </c>
      <c r="F6697" s="16" t="n">
        <v>175890</v>
      </c>
    </row>
    <row r="6698">
      <c r="D6698" s="2" t="inlineStr">
        <is>
          <t>SUBTOTAL BAHAN</t>
        </is>
      </c>
      <c r="F6698" s="16" t="n">
        <v>5700000</v>
      </c>
    </row>
    <row r="6699">
      <c r="D6699" s="2" t="inlineStr">
        <is>
          <t>SUBTOTAL ALAT</t>
        </is>
      </c>
      <c r="F6699" s="16" t="n">
        <v>0</v>
      </c>
    </row>
    <row r="6700">
      <c r="E6700" s="2" t="inlineStr">
        <is>
          <t>TOTAL HARGA SATUAN (Inc. Overhead)</t>
        </is>
      </c>
      <c r="F6700" s="17" t="n">
        <v>6463479</v>
      </c>
    </row>
    <row r="6702">
      <c r="A6702" s="14" t="inlineStr">
        <is>
          <t>KODE: 5.1.2.17 - Pemasangan 1 Unit Panel Power Elektronik</t>
        </is>
      </c>
    </row>
    <row r="6703">
      <c r="A6703" s="10" t="inlineStr">
        <is>
          <t>No</t>
        </is>
      </c>
      <c r="B6703" s="10" t="inlineStr">
        <is>
          <t>Uraian Komponen</t>
        </is>
      </c>
      <c r="C6703" s="10" t="inlineStr">
        <is>
          <t>Satuan</t>
        </is>
      </c>
      <c r="D6703" s="10" t="inlineStr">
        <is>
          <t>Koef</t>
        </is>
      </c>
      <c r="E6703" s="10" t="inlineStr">
        <is>
          <t>Harga Satuan (Rp)</t>
        </is>
      </c>
      <c r="F6703" s="10" t="inlineStr">
        <is>
          <t>Jumlah Harga (Rp)</t>
        </is>
      </c>
    </row>
    <row r="6704">
      <c r="A6704" s="3" t="inlineStr">
        <is>
          <t>1</t>
        </is>
      </c>
      <c r="B6704" s="3" t="inlineStr">
        <is>
          <t>Pekerja</t>
        </is>
      </c>
      <c r="C6704" s="3" t="inlineStr">
        <is>
          <t>OH</t>
        </is>
      </c>
      <c r="D6704" s="15" t="n">
        <v>0.626</v>
      </c>
      <c r="E6704" s="4" t="n">
        <v>100000</v>
      </c>
      <c r="F6704" s="4" t="n">
        <v>62600</v>
      </c>
    </row>
    <row r="6705">
      <c r="A6705" s="3" t="inlineStr">
        <is>
          <t>2</t>
        </is>
      </c>
      <c r="B6705" s="3" t="inlineStr">
        <is>
          <t>Tukang Listrik</t>
        </is>
      </c>
      <c r="C6705" s="3" t="inlineStr">
        <is>
          <t>OH</t>
        </is>
      </c>
      <c r="D6705" s="15" t="n">
        <v>1.046</v>
      </c>
      <c r="E6705" s="4" t="n">
        <v>145000</v>
      </c>
      <c r="F6705" s="4" t="n">
        <v>151670</v>
      </c>
    </row>
    <row r="6706">
      <c r="A6706" s="3" t="inlineStr">
        <is>
          <t>3</t>
        </is>
      </c>
      <c r="B6706" s="3" t="inlineStr">
        <is>
          <t>Kepala tukang</t>
        </is>
      </c>
      <c r="C6706" s="3" t="inlineStr">
        <is>
          <t>OH</t>
        </is>
      </c>
      <c r="D6706" s="15" t="n">
        <v>0.105</v>
      </c>
      <c r="E6706" s="4" t="n">
        <v>175000</v>
      </c>
      <c r="F6706" s="4" t="n">
        <v>18375</v>
      </c>
    </row>
    <row r="6707">
      <c r="A6707" s="3" t="inlineStr">
        <is>
          <t>4</t>
        </is>
      </c>
      <c r="B6707" s="3" t="inlineStr">
        <is>
          <t>Mandor</t>
        </is>
      </c>
      <c r="C6707" s="3" t="inlineStr">
        <is>
          <t>OH</t>
        </is>
      </c>
      <c r="D6707" s="15" t="n">
        <v>0.035</v>
      </c>
      <c r="E6707" s="4" t="n">
        <v>200000</v>
      </c>
      <c r="F6707" s="4" t="n">
        <v>7000.000000000001</v>
      </c>
    </row>
    <row r="6708">
      <c r="A6708" s="3" t="inlineStr">
        <is>
          <t>1</t>
        </is>
      </c>
      <c r="B6708" s="3" t="inlineStr">
        <is>
          <t>Panel Power Elektronik termasuk material bantu</t>
        </is>
      </c>
      <c r="C6708" s="3" t="inlineStr">
        <is>
          <t>unit</t>
        </is>
      </c>
      <c r="D6708" s="15" t="n">
        <v>1</v>
      </c>
      <c r="E6708" s="4" t="n">
        <v>3500000</v>
      </c>
      <c r="F6708" s="4" t="n">
        <v>3500000</v>
      </c>
    </row>
    <row r="6709">
      <c r="D6709" s="2" t="inlineStr">
        <is>
          <t>SUBTOTAL UPAH</t>
        </is>
      </c>
      <c r="F6709" s="16" t="n">
        <v>239645</v>
      </c>
    </row>
    <row r="6710">
      <c r="D6710" s="2" t="inlineStr">
        <is>
          <t>SUBTOTAL BAHAN</t>
        </is>
      </c>
      <c r="F6710" s="16" t="n">
        <v>3500000</v>
      </c>
    </row>
    <row r="6711">
      <c r="D6711" s="2" t="inlineStr">
        <is>
          <t>SUBTOTAL ALAT</t>
        </is>
      </c>
      <c r="F6711" s="16" t="n">
        <v>0</v>
      </c>
    </row>
    <row r="6712">
      <c r="E6712" s="2" t="inlineStr">
        <is>
          <t>TOTAL HARGA SATUAN (Inc. Overhead)</t>
        </is>
      </c>
      <c r="F6712" s="17" t="n">
        <v>4113609</v>
      </c>
    </row>
    <row r="6714">
      <c r="A6714" s="14" t="inlineStr">
        <is>
          <t>KODE: 5.1.2.18 - Pemasangan 1 Unit Panel Power AHU</t>
        </is>
      </c>
    </row>
    <row r="6715">
      <c r="A6715" s="10" t="inlineStr">
        <is>
          <t>No</t>
        </is>
      </c>
      <c r="B6715" s="10" t="inlineStr">
        <is>
          <t>Uraian Komponen</t>
        </is>
      </c>
      <c r="C6715" s="10" t="inlineStr">
        <is>
          <t>Satuan</t>
        </is>
      </c>
      <c r="D6715" s="10" t="inlineStr">
        <is>
          <t>Koef</t>
        </is>
      </c>
      <c r="E6715" s="10" t="inlineStr">
        <is>
          <t>Harga Satuan (Rp)</t>
        </is>
      </c>
      <c r="F6715" s="10" t="inlineStr">
        <is>
          <t>Jumlah Harga (Rp)</t>
        </is>
      </c>
    </row>
    <row r="6716">
      <c r="A6716" s="3" t="inlineStr">
        <is>
          <t>1</t>
        </is>
      </c>
      <c r="B6716" s="3" t="inlineStr">
        <is>
          <t>Pekerja</t>
        </is>
      </c>
      <c r="C6716" s="3" t="inlineStr">
        <is>
          <t>OH</t>
        </is>
      </c>
      <c r="D6716" s="15" t="n">
        <v>1.167</v>
      </c>
      <c r="E6716" s="4" t="n">
        <v>100000</v>
      </c>
      <c r="F6716" s="4" t="n">
        <v>116700</v>
      </c>
    </row>
    <row r="6717">
      <c r="A6717" s="3" t="inlineStr">
        <is>
          <t>2</t>
        </is>
      </c>
      <c r="B6717" s="3" t="inlineStr">
        <is>
          <t>Tukang Listrik</t>
        </is>
      </c>
      <c r="C6717" s="3" t="inlineStr">
        <is>
          <t>OH</t>
        </is>
      </c>
      <c r="D6717" s="15" t="n">
        <v>1.948</v>
      </c>
      <c r="E6717" s="4" t="n">
        <v>145000</v>
      </c>
      <c r="F6717" s="4" t="n">
        <v>282460</v>
      </c>
    </row>
    <row r="6718">
      <c r="A6718" s="3" t="inlineStr">
        <is>
          <t>3</t>
        </is>
      </c>
      <c r="B6718" s="3" t="inlineStr">
        <is>
          <t>Kepala tukang</t>
        </is>
      </c>
      <c r="C6718" s="3" t="inlineStr">
        <is>
          <t>OH</t>
        </is>
      </c>
      <c r="D6718" s="15" t="n">
        <v>0.195</v>
      </c>
      <c r="E6718" s="4" t="n">
        <v>175000</v>
      </c>
      <c r="F6718" s="4" t="n">
        <v>34125</v>
      </c>
    </row>
    <row r="6719">
      <c r="A6719" s="3" t="inlineStr">
        <is>
          <t>4</t>
        </is>
      </c>
      <c r="B6719" s="3" t="inlineStr">
        <is>
          <t>Mandor</t>
        </is>
      </c>
      <c r="C6719" s="3" t="inlineStr">
        <is>
          <t>OH</t>
        </is>
      </c>
      <c r="D6719" s="15" t="n">
        <v>0.065</v>
      </c>
      <c r="E6719" s="4" t="n">
        <v>200000</v>
      </c>
      <c r="F6719" s="4" t="n">
        <v>13000</v>
      </c>
    </row>
    <row r="6720">
      <c r="A6720" s="3" t="inlineStr">
        <is>
          <t>1</t>
        </is>
      </c>
      <c r="B6720" s="3" t="inlineStr">
        <is>
          <t>Panel Power AHU termasuk material bantu</t>
        </is>
      </c>
      <c r="C6720" s="3" t="inlineStr">
        <is>
          <t>unit</t>
        </is>
      </c>
      <c r="D6720" s="15" t="n">
        <v>1</v>
      </c>
      <c r="E6720" s="4" t="n">
        <v>4900000</v>
      </c>
      <c r="F6720" s="4" t="n">
        <v>4900000</v>
      </c>
    </row>
    <row r="6721">
      <c r="D6721" s="2" t="inlineStr">
        <is>
          <t>SUBTOTAL UPAH</t>
        </is>
      </c>
      <c r="F6721" s="16" t="n">
        <v>446285</v>
      </c>
    </row>
    <row r="6722">
      <c r="D6722" s="2" t="inlineStr">
        <is>
          <t>SUBTOTAL BAHAN</t>
        </is>
      </c>
      <c r="F6722" s="16" t="n">
        <v>4900000</v>
      </c>
    </row>
    <row r="6723">
      <c r="D6723" s="2" t="inlineStr">
        <is>
          <t>SUBTOTAL ALAT</t>
        </is>
      </c>
      <c r="F6723" s="16" t="n">
        <v>0</v>
      </c>
    </row>
    <row r="6724">
      <c r="E6724" s="2" t="inlineStr">
        <is>
          <t>TOTAL HARGA SATUAN (Inc. Overhead)</t>
        </is>
      </c>
      <c r="F6724" s="17" t="n">
        <v>5880913</v>
      </c>
    </row>
    <row r="6726">
      <c r="A6726" s="14" t="inlineStr">
        <is>
          <t>KODE: 5.1.2.19 - Pemasangan 1 Unit Panel Power AC (VRF/DX System)</t>
        </is>
      </c>
    </row>
    <row r="6727">
      <c r="A6727" s="10" t="inlineStr">
        <is>
          <t>No</t>
        </is>
      </c>
      <c r="B6727" s="10" t="inlineStr">
        <is>
          <t>Uraian Komponen</t>
        </is>
      </c>
      <c r="C6727" s="10" t="inlineStr">
        <is>
          <t>Satuan</t>
        </is>
      </c>
      <c r="D6727" s="10" t="inlineStr">
        <is>
          <t>Koef</t>
        </is>
      </c>
      <c r="E6727" s="10" t="inlineStr">
        <is>
          <t>Harga Satuan (Rp)</t>
        </is>
      </c>
      <c r="F6727" s="10" t="inlineStr">
        <is>
          <t>Jumlah Harga (Rp)</t>
        </is>
      </c>
    </row>
    <row r="6728">
      <c r="A6728" s="3" t="inlineStr">
        <is>
          <t>1</t>
        </is>
      </c>
      <c r="B6728" s="3" t="inlineStr">
        <is>
          <t>Pekerja</t>
        </is>
      </c>
      <c r="C6728" s="3" t="inlineStr">
        <is>
          <t>OH</t>
        </is>
      </c>
      <c r="D6728" s="15" t="n">
        <v>0.895</v>
      </c>
      <c r="E6728" s="4" t="n">
        <v>100000</v>
      </c>
      <c r="F6728" s="4" t="n">
        <v>89500</v>
      </c>
    </row>
    <row r="6729">
      <c r="A6729" s="3" t="inlineStr">
        <is>
          <t>2</t>
        </is>
      </c>
      <c r="B6729" s="3" t="inlineStr">
        <is>
          <t>Tukang Listrik</t>
        </is>
      </c>
      <c r="C6729" s="3" t="inlineStr">
        <is>
          <t>OH</t>
        </is>
      </c>
      <c r="D6729" s="15" t="n">
        <v>1.495</v>
      </c>
      <c r="E6729" s="4" t="n">
        <v>145000</v>
      </c>
      <c r="F6729" s="4" t="n">
        <v>216775</v>
      </c>
    </row>
    <row r="6730">
      <c r="A6730" s="3" t="inlineStr">
        <is>
          <t>3</t>
        </is>
      </c>
      <c r="B6730" s="3" t="inlineStr">
        <is>
          <t>Kepala tukang</t>
        </is>
      </c>
      <c r="C6730" s="3" t="inlineStr">
        <is>
          <t>OH</t>
        </is>
      </c>
      <c r="D6730" s="15" t="n">
        <v>0.15</v>
      </c>
      <c r="E6730" s="4" t="n">
        <v>175000</v>
      </c>
      <c r="F6730" s="4" t="n">
        <v>26250</v>
      </c>
    </row>
    <row r="6731">
      <c r="A6731" s="3" t="inlineStr">
        <is>
          <t>4</t>
        </is>
      </c>
      <c r="B6731" s="3" t="inlineStr">
        <is>
          <t>Mandor</t>
        </is>
      </c>
      <c r="C6731" s="3" t="inlineStr">
        <is>
          <t>OH</t>
        </is>
      </c>
      <c r="D6731" s="15" t="n">
        <v>0.05</v>
      </c>
      <c r="E6731" s="4" t="n">
        <v>200000</v>
      </c>
      <c r="F6731" s="4" t="n">
        <v>10000</v>
      </c>
    </row>
    <row r="6732">
      <c r="A6732" s="3" t="inlineStr">
        <is>
          <t>1</t>
        </is>
      </c>
      <c r="B6732" s="3" t="inlineStr">
        <is>
          <t>Panel Power AC termasuk material bantu</t>
        </is>
      </c>
      <c r="C6732" s="3" t="inlineStr">
        <is>
          <t>unit</t>
        </is>
      </c>
      <c r="D6732" s="15" t="n">
        <v>1</v>
      </c>
      <c r="E6732" s="4" t="n">
        <v>1700000</v>
      </c>
      <c r="F6732" s="4" t="n">
        <v>1700000</v>
      </c>
    </row>
    <row r="6733">
      <c r="D6733" s="2" t="inlineStr">
        <is>
          <t>SUBTOTAL UPAH</t>
        </is>
      </c>
      <c r="F6733" s="16" t="n">
        <v>342525</v>
      </c>
    </row>
    <row r="6734">
      <c r="D6734" s="2" t="inlineStr">
        <is>
          <t>SUBTOTAL BAHAN</t>
        </is>
      </c>
      <c r="F6734" s="16" t="n">
        <v>1700000</v>
      </c>
    </row>
    <row r="6735">
      <c r="D6735" s="2" t="inlineStr">
        <is>
          <t>SUBTOTAL ALAT</t>
        </is>
      </c>
      <c r="F6735" s="16" t="n">
        <v>0</v>
      </c>
    </row>
    <row r="6736">
      <c r="E6736" s="2" t="inlineStr">
        <is>
          <t>TOTAL HARGA SATUAN (Inc. Overhead)</t>
        </is>
      </c>
      <c r="F6736" s="17" t="n">
        <v>2246777</v>
      </c>
    </row>
    <row r="6738">
      <c r="A6738" s="14" t="inlineStr">
        <is>
          <t>KODE: 5.1.2.20 - Pemasangan 1 Unit Panel Power Chiller</t>
        </is>
      </c>
    </row>
    <row r="6739">
      <c r="A6739" s="10" t="inlineStr">
        <is>
          <t>No</t>
        </is>
      </c>
      <c r="B6739" s="10" t="inlineStr">
        <is>
          <t>Uraian Komponen</t>
        </is>
      </c>
      <c r="C6739" s="10" t="inlineStr">
        <is>
          <t>Satuan</t>
        </is>
      </c>
      <c r="D6739" s="10" t="inlineStr">
        <is>
          <t>Koef</t>
        </is>
      </c>
      <c r="E6739" s="10" t="inlineStr">
        <is>
          <t>Harga Satuan (Rp)</t>
        </is>
      </c>
      <c r="F6739" s="10" t="inlineStr">
        <is>
          <t>Jumlah Harga (Rp)</t>
        </is>
      </c>
    </row>
    <row r="6740">
      <c r="A6740" s="3" t="inlineStr">
        <is>
          <t>1</t>
        </is>
      </c>
      <c r="B6740" s="3" t="inlineStr">
        <is>
          <t>Pekerja</t>
        </is>
      </c>
      <c r="C6740" s="3" t="inlineStr">
        <is>
          <t>OH</t>
        </is>
      </c>
      <c r="D6740" s="15" t="n">
        <v>1.612</v>
      </c>
      <c r="E6740" s="4" t="n">
        <v>100000</v>
      </c>
      <c r="F6740" s="4" t="n">
        <v>161200</v>
      </c>
    </row>
    <row r="6741">
      <c r="A6741" s="3" t="inlineStr">
        <is>
          <t>2</t>
        </is>
      </c>
      <c r="B6741" s="3" t="inlineStr">
        <is>
          <t>Tukang Listrik</t>
        </is>
      </c>
      <c r="C6741" s="3" t="inlineStr">
        <is>
          <t>OH</t>
        </is>
      </c>
      <c r="D6741" s="15" t="n">
        <v>2.692</v>
      </c>
      <c r="E6741" s="4" t="n">
        <v>145000</v>
      </c>
      <c r="F6741" s="4" t="n">
        <v>390340</v>
      </c>
    </row>
    <row r="6742">
      <c r="A6742" s="3" t="inlineStr">
        <is>
          <t>3</t>
        </is>
      </c>
      <c r="B6742" s="3" t="inlineStr">
        <is>
          <t>Kepala tukang</t>
        </is>
      </c>
      <c r="C6742" s="3" t="inlineStr">
        <is>
          <t>OH</t>
        </is>
      </c>
      <c r="D6742" s="15" t="n">
        <v>0.269</v>
      </c>
      <c r="E6742" s="4" t="n">
        <v>175000</v>
      </c>
      <c r="F6742" s="4" t="n">
        <v>47075</v>
      </c>
    </row>
    <row r="6743">
      <c r="A6743" s="3" t="inlineStr">
        <is>
          <t>4</t>
        </is>
      </c>
      <c r="B6743" s="3" t="inlineStr">
        <is>
          <t>Mandor</t>
        </is>
      </c>
      <c r="C6743" s="3" t="inlineStr">
        <is>
          <t>OH</t>
        </is>
      </c>
      <c r="D6743" s="15" t="n">
        <v>0.09</v>
      </c>
      <c r="E6743" s="4" t="n">
        <v>200000</v>
      </c>
      <c r="F6743" s="4" t="n">
        <v>18000</v>
      </c>
    </row>
    <row r="6744">
      <c r="A6744" s="3" t="inlineStr">
        <is>
          <t>1</t>
        </is>
      </c>
      <c r="B6744" s="3" t="inlineStr">
        <is>
          <t>Panel Power Chiller termasuk material bantu</t>
        </is>
      </c>
      <c r="C6744" s="3" t="inlineStr">
        <is>
          <t>unit</t>
        </is>
      </c>
      <c r="D6744" s="15" t="n">
        <v>1</v>
      </c>
      <c r="E6744" s="4" t="n">
        <v>2300000</v>
      </c>
      <c r="F6744" s="4" t="n">
        <v>2300000</v>
      </c>
    </row>
    <row r="6745">
      <c r="D6745" s="2" t="inlineStr">
        <is>
          <t>SUBTOTAL UPAH</t>
        </is>
      </c>
      <c r="F6745" s="16" t="n">
        <v>616615</v>
      </c>
    </row>
    <row r="6746">
      <c r="D6746" s="2" t="inlineStr">
        <is>
          <t>SUBTOTAL BAHAN</t>
        </is>
      </c>
      <c r="F6746" s="16" t="n">
        <v>2300000</v>
      </c>
    </row>
    <row r="6747">
      <c r="D6747" s="2" t="inlineStr">
        <is>
          <t>SUBTOTAL ALAT</t>
        </is>
      </c>
      <c r="F6747" s="16" t="n">
        <v>0</v>
      </c>
    </row>
    <row r="6748">
      <c r="E6748" s="2" t="inlineStr">
        <is>
          <t>TOTAL HARGA SATUAN (Inc. Overhead)</t>
        </is>
      </c>
      <c r="F6748" s="17" t="n">
        <v>3208276</v>
      </c>
    </row>
    <row r="6750">
      <c r="A6750" s="14" t="inlineStr">
        <is>
          <t>KODE: 5.1.2.21 - Pemasangan 1 Unit Panel Kontrol Power Chiller</t>
        </is>
      </c>
    </row>
    <row r="6751">
      <c r="A6751" s="10" t="inlineStr">
        <is>
          <t>No</t>
        </is>
      </c>
      <c r="B6751" s="10" t="inlineStr">
        <is>
          <t>Uraian Komponen</t>
        </is>
      </c>
      <c r="C6751" s="10" t="inlineStr">
        <is>
          <t>Satuan</t>
        </is>
      </c>
      <c r="D6751" s="10" t="inlineStr">
        <is>
          <t>Koef</t>
        </is>
      </c>
      <c r="E6751" s="10" t="inlineStr">
        <is>
          <t>Harga Satuan (Rp)</t>
        </is>
      </c>
      <c r="F6751" s="10" t="inlineStr">
        <is>
          <t>Jumlah Harga (Rp)</t>
        </is>
      </c>
    </row>
    <row r="6752">
      <c r="A6752" s="3" t="inlineStr">
        <is>
          <t>1</t>
        </is>
      </c>
      <c r="B6752" s="3" t="inlineStr">
        <is>
          <t>Pekerja</t>
        </is>
      </c>
      <c r="C6752" s="3" t="inlineStr">
        <is>
          <t>OH</t>
        </is>
      </c>
      <c r="D6752" s="15" t="n">
        <v>0.983</v>
      </c>
      <c r="E6752" s="4" t="n">
        <v>100000</v>
      </c>
      <c r="F6752" s="4" t="n">
        <v>98300</v>
      </c>
    </row>
    <row r="6753">
      <c r="A6753" s="3" t="inlineStr">
        <is>
          <t>2</t>
        </is>
      </c>
      <c r="B6753" s="3" t="inlineStr">
        <is>
          <t>Tukang Listrik</t>
        </is>
      </c>
      <c r="C6753" s="3" t="inlineStr">
        <is>
          <t>OH</t>
        </is>
      </c>
      <c r="D6753" s="15" t="n">
        <v>1.642</v>
      </c>
      <c r="E6753" s="4" t="n">
        <v>145000</v>
      </c>
      <c r="F6753" s="4" t="n">
        <v>238090</v>
      </c>
    </row>
    <row r="6754">
      <c r="A6754" s="3" t="inlineStr">
        <is>
          <t>3</t>
        </is>
      </c>
      <c r="B6754" s="3" t="inlineStr">
        <is>
          <t>Kepala tukang</t>
        </is>
      </c>
      <c r="C6754" s="3" t="inlineStr">
        <is>
          <t>OH</t>
        </is>
      </c>
      <c r="D6754" s="15" t="n">
        <v>0.164</v>
      </c>
      <c r="E6754" s="4" t="n">
        <v>175000</v>
      </c>
      <c r="F6754" s="4" t="n">
        <v>28700</v>
      </c>
    </row>
    <row r="6755">
      <c r="A6755" s="3" t="inlineStr">
        <is>
          <t>4</t>
        </is>
      </c>
      <c r="B6755" s="3" t="inlineStr">
        <is>
          <t>Mandor</t>
        </is>
      </c>
      <c r="C6755" s="3" t="inlineStr">
        <is>
          <t>OH</t>
        </is>
      </c>
      <c r="D6755" s="15" t="n">
        <v>0.055</v>
      </c>
      <c r="E6755" s="4" t="n">
        <v>200000</v>
      </c>
      <c r="F6755" s="4" t="n">
        <v>11000</v>
      </c>
    </row>
    <row r="6756">
      <c r="A6756" s="3" t="inlineStr">
        <is>
          <t>1</t>
        </is>
      </c>
      <c r="B6756" s="3" t="inlineStr">
        <is>
          <t>Panel Kontrol Power Chiller termasuk material bantu</t>
        </is>
      </c>
      <c r="C6756" s="3" t="inlineStr">
        <is>
          <t>unit</t>
        </is>
      </c>
      <c r="D6756" s="15" t="n">
        <v>1</v>
      </c>
      <c r="E6756" s="4" t="n">
        <v>2500000</v>
      </c>
      <c r="F6756" s="4" t="n">
        <v>2500000</v>
      </c>
    </row>
    <row r="6757">
      <c r="D6757" s="2" t="inlineStr">
        <is>
          <t>SUBTOTAL UPAH</t>
        </is>
      </c>
      <c r="F6757" s="16" t="n">
        <v>376090</v>
      </c>
    </row>
    <row r="6758">
      <c r="D6758" s="2" t="inlineStr">
        <is>
          <t>SUBTOTAL BAHAN</t>
        </is>
      </c>
      <c r="F6758" s="16" t="n">
        <v>2500000</v>
      </c>
    </row>
    <row r="6759">
      <c r="D6759" s="2" t="inlineStr">
        <is>
          <t>SUBTOTAL ALAT</t>
        </is>
      </c>
      <c r="F6759" s="16" t="n">
        <v>0</v>
      </c>
    </row>
    <row r="6760">
      <c r="E6760" s="2" t="inlineStr">
        <is>
          <t>TOTAL HARGA SATUAN (Inc. Overhead)</t>
        </is>
      </c>
      <c r="F6760" s="17" t="n">
        <v>3163699</v>
      </c>
    </row>
    <row r="6762">
      <c r="A6762" s="14" t="inlineStr">
        <is>
          <t>KODE: 5.1.2.22 - Pemasangan 1 Unit Panel Kontrol Pompa Cooling Tower</t>
        </is>
      </c>
    </row>
    <row r="6763">
      <c r="A6763" s="10" t="inlineStr">
        <is>
          <t>No</t>
        </is>
      </c>
      <c r="B6763" s="10" t="inlineStr">
        <is>
          <t>Uraian Komponen</t>
        </is>
      </c>
      <c r="C6763" s="10" t="inlineStr">
        <is>
          <t>Satuan</t>
        </is>
      </c>
      <c r="D6763" s="10" t="inlineStr">
        <is>
          <t>Koef</t>
        </is>
      </c>
      <c r="E6763" s="10" t="inlineStr">
        <is>
          <t>Harga Satuan (Rp)</t>
        </is>
      </c>
      <c r="F6763" s="10" t="inlineStr">
        <is>
          <t>Jumlah Harga (Rp)</t>
        </is>
      </c>
    </row>
    <row r="6764">
      <c r="A6764" s="3" t="inlineStr">
        <is>
          <t>1</t>
        </is>
      </c>
      <c r="B6764" s="3" t="inlineStr">
        <is>
          <t>Pekerja</t>
        </is>
      </c>
      <c r="C6764" s="3" t="inlineStr">
        <is>
          <t>OH</t>
        </is>
      </c>
      <c r="D6764" s="15" t="n">
        <v>1.231</v>
      </c>
      <c r="E6764" s="4" t="n">
        <v>100000</v>
      </c>
      <c r="F6764" s="4" t="n">
        <v>123100</v>
      </c>
    </row>
    <row r="6765">
      <c r="A6765" s="3" t="inlineStr">
        <is>
          <t>2</t>
        </is>
      </c>
      <c r="B6765" s="3" t="inlineStr">
        <is>
          <t>Tukang Listrik</t>
        </is>
      </c>
      <c r="C6765" s="3" t="inlineStr">
        <is>
          <t>OH</t>
        </is>
      </c>
      <c r="D6765" s="15" t="n">
        <v>2.056</v>
      </c>
      <c r="E6765" s="4" t="n">
        <v>145000</v>
      </c>
      <c r="F6765" s="4" t="n">
        <v>298120</v>
      </c>
    </row>
    <row r="6766">
      <c r="A6766" s="3" t="inlineStr">
        <is>
          <t>3</t>
        </is>
      </c>
      <c r="B6766" s="3" t="inlineStr">
        <is>
          <t>Kepala tukang</t>
        </is>
      </c>
      <c r="C6766" s="3" t="inlineStr">
        <is>
          <t>OH</t>
        </is>
      </c>
      <c r="D6766" s="15" t="n">
        <v>0.206</v>
      </c>
      <c r="E6766" s="4" t="n">
        <v>175000</v>
      </c>
      <c r="F6766" s="4" t="n">
        <v>36050</v>
      </c>
    </row>
    <row r="6767">
      <c r="A6767" s="3" t="inlineStr">
        <is>
          <t>4</t>
        </is>
      </c>
      <c r="B6767" s="3" t="inlineStr">
        <is>
          <t>Mandor</t>
        </is>
      </c>
      <c r="C6767" s="3" t="inlineStr">
        <is>
          <t>OH</t>
        </is>
      </c>
      <c r="D6767" s="15" t="n">
        <v>0.06900000000000001</v>
      </c>
      <c r="E6767" s="4" t="n">
        <v>200000</v>
      </c>
      <c r="F6767" s="4" t="n">
        <v>13800</v>
      </c>
    </row>
    <row r="6768">
      <c r="A6768" s="3" t="inlineStr">
        <is>
          <t>1</t>
        </is>
      </c>
      <c r="B6768" s="3" t="inlineStr">
        <is>
          <t>Panel Kontrol Power Cooling Tower termasuk material bantu</t>
        </is>
      </c>
      <c r="C6768" s="3" t="inlineStr">
        <is>
          <t>unit</t>
        </is>
      </c>
      <c r="D6768" s="15" t="n">
        <v>1</v>
      </c>
      <c r="E6768" s="4" t="n">
        <v>1900000</v>
      </c>
      <c r="F6768" s="4" t="n">
        <v>1900000</v>
      </c>
    </row>
    <row r="6769">
      <c r="D6769" s="2" t="inlineStr">
        <is>
          <t>SUBTOTAL UPAH</t>
        </is>
      </c>
      <c r="F6769" s="16" t="n">
        <v>471070</v>
      </c>
    </row>
    <row r="6770">
      <c r="D6770" s="2" t="inlineStr">
        <is>
          <t>SUBTOTAL BAHAN</t>
        </is>
      </c>
      <c r="F6770" s="16" t="n">
        <v>1900000</v>
      </c>
    </row>
    <row r="6771">
      <c r="D6771" s="2" t="inlineStr">
        <is>
          <t>SUBTOTAL ALAT</t>
        </is>
      </c>
      <c r="F6771" s="16" t="n">
        <v>0</v>
      </c>
    </row>
    <row r="6772">
      <c r="E6772" s="2" t="inlineStr">
        <is>
          <t>TOTAL HARGA SATUAN (Inc. Overhead)</t>
        </is>
      </c>
      <c r="F6772" s="17" t="n">
        <v>2608177</v>
      </c>
    </row>
    <row r="6774">
      <c r="A6774" s="14" t="inlineStr">
        <is>
          <t>KODE: 5.1.2.23 - Pemasangan 1 Unit Panel Kontrol Fan Presurisasi</t>
        </is>
      </c>
    </row>
    <row r="6775">
      <c r="A6775" s="10" t="inlineStr">
        <is>
          <t>No</t>
        </is>
      </c>
      <c r="B6775" s="10" t="inlineStr">
        <is>
          <t>Uraian Komponen</t>
        </is>
      </c>
      <c r="C6775" s="10" t="inlineStr">
        <is>
          <t>Satuan</t>
        </is>
      </c>
      <c r="D6775" s="10" t="inlineStr">
        <is>
          <t>Koef</t>
        </is>
      </c>
      <c r="E6775" s="10" t="inlineStr">
        <is>
          <t>Harga Satuan (Rp)</t>
        </is>
      </c>
      <c r="F6775" s="10" t="inlineStr">
        <is>
          <t>Jumlah Harga (Rp)</t>
        </is>
      </c>
    </row>
    <row r="6776">
      <c r="A6776" s="3" t="inlineStr">
        <is>
          <t>1</t>
        </is>
      </c>
      <c r="B6776" s="3" t="inlineStr">
        <is>
          <t>Pekerja</t>
        </is>
      </c>
      <c r="C6776" s="3" t="inlineStr">
        <is>
          <t>OH</t>
        </is>
      </c>
      <c r="D6776" s="15" t="n">
        <v>0.788</v>
      </c>
      <c r="E6776" s="4" t="n">
        <v>100000</v>
      </c>
      <c r="F6776" s="4" t="n">
        <v>78800</v>
      </c>
    </row>
    <row r="6777">
      <c r="A6777" s="3" t="inlineStr">
        <is>
          <t>2</t>
        </is>
      </c>
      <c r="B6777" s="3" t="inlineStr">
        <is>
          <t>Tukang Listrik</t>
        </is>
      </c>
      <c r="C6777" s="3" t="inlineStr">
        <is>
          <t>OH</t>
        </is>
      </c>
      <c r="D6777" s="15" t="n">
        <v>1.316</v>
      </c>
      <c r="E6777" s="4" t="n">
        <v>145000</v>
      </c>
      <c r="F6777" s="4" t="n">
        <v>190820</v>
      </c>
    </row>
    <row r="6778">
      <c r="A6778" s="3" t="inlineStr">
        <is>
          <t>3</t>
        </is>
      </c>
      <c r="B6778" s="3" t="inlineStr">
        <is>
          <t>Kepala tukang</t>
        </is>
      </c>
      <c r="C6778" s="3" t="inlineStr">
        <is>
          <t>OH</t>
        </is>
      </c>
      <c r="D6778" s="15" t="n">
        <v>0.132</v>
      </c>
      <c r="E6778" s="4" t="n">
        <v>175000</v>
      </c>
      <c r="F6778" s="4" t="n">
        <v>23100</v>
      </c>
    </row>
    <row r="6779">
      <c r="A6779" s="3" t="inlineStr">
        <is>
          <t>4</t>
        </is>
      </c>
      <c r="B6779" s="3" t="inlineStr">
        <is>
          <t>Mandor</t>
        </is>
      </c>
      <c r="C6779" s="3" t="inlineStr">
        <is>
          <t>OH</t>
        </is>
      </c>
      <c r="D6779" s="15" t="n">
        <v>0.044</v>
      </c>
      <c r="E6779" s="4" t="n">
        <v>200000</v>
      </c>
      <c r="F6779" s="4" t="n">
        <v>8800</v>
      </c>
    </row>
    <row r="6780">
      <c r="A6780" s="3" t="inlineStr">
        <is>
          <t>1</t>
        </is>
      </c>
      <c r="B6780" s="3" t="inlineStr">
        <is>
          <t>Panel Kontrol Fan Presurisasi termasuk material bantu</t>
        </is>
      </c>
      <c r="C6780" s="3" t="inlineStr">
        <is>
          <t>unit</t>
        </is>
      </c>
      <c r="D6780" s="15" t="n">
        <v>1</v>
      </c>
      <c r="E6780" s="4" t="n">
        <v>2100000</v>
      </c>
      <c r="F6780" s="4" t="n">
        <v>2100000</v>
      </c>
    </row>
    <row r="6781">
      <c r="D6781" s="2" t="inlineStr">
        <is>
          <t>SUBTOTAL UPAH</t>
        </is>
      </c>
      <c r="F6781" s="16" t="n">
        <v>301520</v>
      </c>
    </row>
    <row r="6782">
      <c r="D6782" s="2" t="inlineStr">
        <is>
          <t>SUBTOTAL BAHAN</t>
        </is>
      </c>
      <c r="F6782" s="16" t="n">
        <v>2100000</v>
      </c>
    </row>
    <row r="6783">
      <c r="D6783" s="2" t="inlineStr">
        <is>
          <t>SUBTOTAL ALAT</t>
        </is>
      </c>
      <c r="F6783" s="16" t="n">
        <v>0</v>
      </c>
    </row>
    <row r="6784">
      <c r="E6784" s="2" t="inlineStr">
        <is>
          <t>TOTAL HARGA SATUAN (Inc. Overhead)</t>
        </is>
      </c>
      <c r="F6784" s="17" t="n">
        <v>2641672</v>
      </c>
    </row>
    <row r="6786">
      <c r="A6786" s="14" t="inlineStr">
        <is>
          <t>KODE: 5.1.2.24 - Pemasangan 1 Unit MCB Box</t>
        </is>
      </c>
    </row>
    <row r="6787">
      <c r="A6787" s="10" t="inlineStr">
        <is>
          <t>No</t>
        </is>
      </c>
      <c r="B6787" s="10" t="inlineStr">
        <is>
          <t>Uraian Komponen</t>
        </is>
      </c>
      <c r="C6787" s="10" t="inlineStr">
        <is>
          <t>Satuan</t>
        </is>
      </c>
      <c r="D6787" s="10" t="inlineStr">
        <is>
          <t>Koef</t>
        </is>
      </c>
      <c r="E6787" s="10" t="inlineStr">
        <is>
          <t>Harga Satuan (Rp)</t>
        </is>
      </c>
      <c r="F6787" s="10" t="inlineStr">
        <is>
          <t>Jumlah Harga (Rp)</t>
        </is>
      </c>
    </row>
    <row r="6788">
      <c r="A6788" s="3" t="inlineStr">
        <is>
          <t>1</t>
        </is>
      </c>
      <c r="B6788" s="3" t="inlineStr">
        <is>
          <t>Pekerja</t>
        </is>
      </c>
      <c r="C6788" s="3" t="inlineStr">
        <is>
          <t>OH</t>
        </is>
      </c>
      <c r="D6788" s="15" t="n">
        <v>0.105</v>
      </c>
      <c r="E6788" s="4" t="n">
        <v>100000</v>
      </c>
      <c r="F6788" s="4" t="n">
        <v>10500</v>
      </c>
    </row>
    <row r="6789">
      <c r="A6789" s="3" t="inlineStr">
        <is>
          <t>2</t>
        </is>
      </c>
      <c r="B6789" s="3" t="inlineStr">
        <is>
          <t>Tukang Listrik</t>
        </is>
      </c>
      <c r="C6789" s="3" t="inlineStr">
        <is>
          <t>OH</t>
        </is>
      </c>
      <c r="D6789" s="15" t="n">
        <v>0.175</v>
      </c>
      <c r="E6789" s="4" t="n">
        <v>145000</v>
      </c>
      <c r="F6789" s="4" t="n">
        <v>25375</v>
      </c>
    </row>
    <row r="6790">
      <c r="A6790" s="3" t="inlineStr">
        <is>
          <t>3</t>
        </is>
      </c>
      <c r="B6790" s="3" t="inlineStr">
        <is>
          <t>Kepala tukang</t>
        </is>
      </c>
      <c r="C6790" s="3" t="inlineStr">
        <is>
          <t>OH</t>
        </is>
      </c>
      <c r="D6790" s="15" t="n">
        <v>0.017</v>
      </c>
      <c r="E6790" s="4" t="n">
        <v>175000</v>
      </c>
      <c r="F6790" s="4" t="n">
        <v>2975</v>
      </c>
    </row>
    <row r="6791">
      <c r="A6791" s="3" t="inlineStr">
        <is>
          <t>4</t>
        </is>
      </c>
      <c r="B6791" s="3" t="inlineStr">
        <is>
          <t>Mandor</t>
        </is>
      </c>
      <c r="C6791" s="3" t="inlineStr">
        <is>
          <t>OH</t>
        </is>
      </c>
      <c r="D6791" s="15" t="n">
        <v>0.006</v>
      </c>
      <c r="E6791" s="4" t="n">
        <v>200000</v>
      </c>
      <c r="F6791" s="4" t="n">
        <v>1200</v>
      </c>
    </row>
    <row r="6792">
      <c r="A6792" s="3" t="inlineStr">
        <is>
          <t>1</t>
        </is>
      </c>
      <c r="B6792" s="3" t="inlineStr">
        <is>
          <t>MCB Box</t>
        </is>
      </c>
      <c r="C6792" s="3" t="inlineStr">
        <is>
          <t>unit</t>
        </is>
      </c>
      <c r="D6792" s="15" t="n">
        <v>1.03</v>
      </c>
      <c r="E6792" s="4" t="n">
        <v>450000</v>
      </c>
      <c r="F6792" s="4" t="n">
        <v>463500</v>
      </c>
    </row>
    <row r="6793">
      <c r="D6793" s="2" t="inlineStr">
        <is>
          <t>SUBTOTAL UPAH</t>
        </is>
      </c>
      <c r="F6793" s="16" t="n">
        <v>40050</v>
      </c>
    </row>
    <row r="6794">
      <c r="D6794" s="2" t="inlineStr">
        <is>
          <t>SUBTOTAL BAHAN</t>
        </is>
      </c>
      <c r="F6794" s="16" t="n">
        <v>463500</v>
      </c>
    </row>
    <row r="6795">
      <c r="D6795" s="2" t="inlineStr">
        <is>
          <t>SUBTOTAL ALAT</t>
        </is>
      </c>
      <c r="F6795" s="16" t="n">
        <v>0</v>
      </c>
    </row>
    <row r="6796">
      <c r="E6796" s="2" t="inlineStr">
        <is>
          <t>TOTAL HARGA SATUAN (Inc. Overhead)</t>
        </is>
      </c>
      <c r="F6796" s="17" t="n">
        <v>553905</v>
      </c>
    </row>
    <row r="6798">
      <c r="A6798" s="14" t="inlineStr">
        <is>
          <t>KODE: 5.1.3.1 - Pemasanga 1 Unit Genset Kap : 75 Kva Silent Type</t>
        </is>
      </c>
    </row>
    <row r="6799">
      <c r="A6799" s="10" t="inlineStr">
        <is>
          <t>No</t>
        </is>
      </c>
      <c r="B6799" s="10" t="inlineStr">
        <is>
          <t>Uraian Komponen</t>
        </is>
      </c>
      <c r="C6799" s="10" t="inlineStr">
        <is>
          <t>Satuan</t>
        </is>
      </c>
      <c r="D6799" s="10" t="inlineStr">
        <is>
          <t>Koef</t>
        </is>
      </c>
      <c r="E6799" s="10" t="inlineStr">
        <is>
          <t>Harga Satuan (Rp)</t>
        </is>
      </c>
      <c r="F6799" s="10" t="inlineStr">
        <is>
          <t>Jumlah Harga (Rp)</t>
        </is>
      </c>
    </row>
    <row r="6800">
      <c r="A6800" s="3" t="inlineStr">
        <is>
          <t>1</t>
        </is>
      </c>
      <c r="B6800" s="3" t="inlineStr">
        <is>
          <t>Pekerja</t>
        </is>
      </c>
      <c r="C6800" s="3" t="inlineStr">
        <is>
          <t>OH</t>
        </is>
      </c>
      <c r="D6800" s="15" t="n">
        <v>5.25</v>
      </c>
      <c r="E6800" s="4" t="n">
        <v>100000</v>
      </c>
      <c r="F6800" s="4" t="n">
        <v>525000</v>
      </c>
    </row>
    <row r="6801">
      <c r="A6801" s="3" t="inlineStr">
        <is>
          <t>2</t>
        </is>
      </c>
      <c r="B6801" s="3" t="inlineStr">
        <is>
          <t>Tukang Listrik</t>
        </is>
      </c>
      <c r="C6801" s="3" t="inlineStr">
        <is>
          <t>OH</t>
        </is>
      </c>
      <c r="D6801" s="15" t="n">
        <v>1.75</v>
      </c>
      <c r="E6801" s="4" t="n">
        <v>145000</v>
      </c>
      <c r="F6801" s="4" t="n">
        <v>253750</v>
      </c>
    </row>
    <row r="6802">
      <c r="A6802" s="3" t="inlineStr">
        <is>
          <t>3</t>
        </is>
      </c>
      <c r="B6802" s="3" t="inlineStr">
        <is>
          <t>Kepala tukang</t>
        </is>
      </c>
      <c r="C6802" s="3" t="inlineStr">
        <is>
          <t>OH</t>
        </is>
      </c>
      <c r="D6802" s="15" t="n">
        <v>0.175</v>
      </c>
      <c r="E6802" s="4" t="n">
        <v>175000</v>
      </c>
      <c r="F6802" s="4" t="n">
        <v>30625</v>
      </c>
    </row>
    <row r="6803">
      <c r="A6803" s="3" t="inlineStr">
        <is>
          <t>4</t>
        </is>
      </c>
      <c r="B6803" s="3" t="inlineStr">
        <is>
          <t>Mandor</t>
        </is>
      </c>
      <c r="C6803" s="3" t="inlineStr">
        <is>
          <t>OH</t>
        </is>
      </c>
      <c r="D6803" s="15" t="n">
        <v>0.058</v>
      </c>
      <c r="E6803" s="4" t="n">
        <v>200000</v>
      </c>
      <c r="F6803" s="4" t="n">
        <v>11600</v>
      </c>
    </row>
    <row r="6804">
      <c r="A6804" s="3" t="inlineStr">
        <is>
          <t>1</t>
        </is>
      </c>
      <c r="B6804" s="3" t="inlineStr">
        <is>
          <t>Genset Kap : 75kVA Silent Type dan aksesoris</t>
        </is>
      </c>
      <c r="C6804" s="3" t="inlineStr">
        <is>
          <t>unit</t>
        </is>
      </c>
      <c r="D6804" s="15" t="n">
        <v>1.03</v>
      </c>
      <c r="E6804" s="4" t="n">
        <v>275000000</v>
      </c>
      <c r="F6804" s="4" t="n">
        <v>283250000</v>
      </c>
    </row>
    <row r="6805">
      <c r="A6805" s="3" t="inlineStr">
        <is>
          <t>1</t>
        </is>
      </c>
      <c r="B6805" s="3" t="inlineStr">
        <is>
          <t>Sewa Tripot</t>
        </is>
      </c>
      <c r="C6805" s="3" t="inlineStr">
        <is>
          <t>hari</t>
        </is>
      </c>
      <c r="D6805" s="15" t="n">
        <v>2</v>
      </c>
      <c r="E6805" s="4" t="n">
        <v>108000</v>
      </c>
      <c r="F6805" s="4" t="n">
        <v>216000</v>
      </c>
    </row>
    <row r="6806">
      <c r="D6806" s="2" t="inlineStr">
        <is>
          <t>SUBTOTAL UPAH</t>
        </is>
      </c>
      <c r="F6806" s="16" t="n">
        <v>820975</v>
      </c>
    </row>
    <row r="6807">
      <c r="D6807" s="2" t="inlineStr">
        <is>
          <t>SUBTOTAL BAHAN</t>
        </is>
      </c>
      <c r="F6807" s="16" t="n">
        <v>283250000</v>
      </c>
    </row>
    <row r="6808">
      <c r="D6808" s="2" t="inlineStr">
        <is>
          <t>SUBTOTAL ALAT</t>
        </is>
      </c>
      <c r="F6808" s="16" t="n">
        <v>216000</v>
      </c>
    </row>
    <row r="6809">
      <c r="E6809" s="2" t="inlineStr">
        <is>
          <t>TOTAL HARGA SATUAN (Inc. Overhead)</t>
        </is>
      </c>
      <c r="F6809" s="17" t="n">
        <v>312715672</v>
      </c>
    </row>
    <row r="6811">
      <c r="A6811" s="14" t="inlineStr">
        <is>
          <t>KODE: 5.1.3.2 - Pemasanga 1 Unit Genset Kap : 100 Kva Silent Type</t>
        </is>
      </c>
    </row>
    <row r="6812">
      <c r="A6812" s="10" t="inlineStr">
        <is>
          <t>No</t>
        </is>
      </c>
      <c r="B6812" s="10" t="inlineStr">
        <is>
          <t>Uraian Komponen</t>
        </is>
      </c>
      <c r="C6812" s="10" t="inlineStr">
        <is>
          <t>Satuan</t>
        </is>
      </c>
      <c r="D6812" s="10" t="inlineStr">
        <is>
          <t>Koef</t>
        </is>
      </c>
      <c r="E6812" s="10" t="inlineStr">
        <is>
          <t>Harga Satuan (Rp)</t>
        </is>
      </c>
      <c r="F6812" s="10" t="inlineStr">
        <is>
          <t>Jumlah Harga (Rp)</t>
        </is>
      </c>
    </row>
    <row r="6813">
      <c r="A6813" s="3" t="inlineStr">
        <is>
          <t>1</t>
        </is>
      </c>
      <c r="B6813" s="3" t="inlineStr">
        <is>
          <t>Pekerja</t>
        </is>
      </c>
      <c r="C6813" s="3" t="inlineStr">
        <is>
          <t>OH</t>
        </is>
      </c>
      <c r="D6813" s="15" t="n">
        <v>7.875</v>
      </c>
      <c r="E6813" s="4" t="n">
        <v>100000</v>
      </c>
      <c r="F6813" s="4" t="n">
        <v>787500</v>
      </c>
    </row>
    <row r="6814">
      <c r="A6814" s="3" t="inlineStr">
        <is>
          <t>2</t>
        </is>
      </c>
      <c r="B6814" s="3" t="inlineStr">
        <is>
          <t>Tukang Listrik</t>
        </is>
      </c>
      <c r="C6814" s="3" t="inlineStr">
        <is>
          <t>OH</t>
        </is>
      </c>
      <c r="D6814" s="15" t="n">
        <v>1.75</v>
      </c>
      <c r="E6814" s="4" t="n">
        <v>145000</v>
      </c>
      <c r="F6814" s="4" t="n">
        <v>253750</v>
      </c>
    </row>
    <row r="6815">
      <c r="A6815" s="3" t="inlineStr">
        <is>
          <t>3</t>
        </is>
      </c>
      <c r="B6815" s="3" t="inlineStr">
        <is>
          <t>Kepala tukang</t>
        </is>
      </c>
      <c r="C6815" s="3" t="inlineStr">
        <is>
          <t>OH</t>
        </is>
      </c>
      <c r="D6815" s="15" t="n">
        <v>0.175</v>
      </c>
      <c r="E6815" s="4" t="n">
        <v>175000</v>
      </c>
      <c r="F6815" s="4" t="n">
        <v>30625</v>
      </c>
    </row>
    <row r="6816">
      <c r="A6816" s="3" t="inlineStr">
        <is>
          <t>4</t>
        </is>
      </c>
      <c r="B6816" s="3" t="inlineStr">
        <is>
          <t>Mandor</t>
        </is>
      </c>
      <c r="C6816" s="3" t="inlineStr">
        <is>
          <t>OH</t>
        </is>
      </c>
      <c r="D6816" s="15" t="n">
        <v>0.058</v>
      </c>
      <c r="E6816" s="4" t="n">
        <v>200000</v>
      </c>
      <c r="F6816" s="4" t="n">
        <v>11600</v>
      </c>
    </row>
    <row r="6817">
      <c r="A6817" s="3" t="inlineStr">
        <is>
          <t>1</t>
        </is>
      </c>
      <c r="B6817" s="3" t="inlineStr">
        <is>
          <t>Genset Kap : 100 kVA Silent Type dan aksesoris</t>
        </is>
      </c>
      <c r="C6817" s="3" t="inlineStr">
        <is>
          <t>unit</t>
        </is>
      </c>
      <c r="D6817" s="15" t="n">
        <v>1.03</v>
      </c>
      <c r="E6817" s="4" t="n">
        <v>379000000</v>
      </c>
      <c r="F6817" s="4" t="n">
        <v>390370000</v>
      </c>
    </row>
    <row r="6818">
      <c r="A6818" s="3" t="inlineStr">
        <is>
          <t>1</t>
        </is>
      </c>
      <c r="B6818" s="3" t="inlineStr">
        <is>
          <t>Sewa Tripot</t>
        </is>
      </c>
      <c r="C6818" s="3" t="inlineStr">
        <is>
          <t>hari</t>
        </is>
      </c>
      <c r="D6818" s="15" t="n">
        <v>2</v>
      </c>
      <c r="E6818" s="4" t="n">
        <v>108000</v>
      </c>
      <c r="F6818" s="4" t="n">
        <v>216000</v>
      </c>
    </row>
    <row r="6819">
      <c r="D6819" s="2" t="inlineStr">
        <is>
          <t>SUBTOTAL UPAH</t>
        </is>
      </c>
      <c r="F6819" s="16" t="n">
        <v>1083475</v>
      </c>
    </row>
    <row r="6820">
      <c r="D6820" s="2" t="inlineStr">
        <is>
          <t>SUBTOTAL BAHAN</t>
        </is>
      </c>
      <c r="F6820" s="16" t="n">
        <v>390370000</v>
      </c>
    </row>
    <row r="6821">
      <c r="D6821" s="2" t="inlineStr">
        <is>
          <t>SUBTOTAL ALAT</t>
        </is>
      </c>
      <c r="F6821" s="16" t="n">
        <v>216000</v>
      </c>
    </row>
    <row r="6822">
      <c r="E6822" s="2" t="inlineStr">
        <is>
          <t>TOTAL HARGA SATUAN (Inc. Overhead)</t>
        </is>
      </c>
      <c r="F6822" s="17" t="n">
        <v>430836422</v>
      </c>
    </row>
    <row r="6824">
      <c r="A6824" s="14" t="inlineStr">
        <is>
          <t>KODE: 5.1.3.3 - Pemasanga 1 Unit Genset Kap : 400 Kva Silent Type</t>
        </is>
      </c>
    </row>
    <row r="6825">
      <c r="A6825" s="10" t="inlineStr">
        <is>
          <t>No</t>
        </is>
      </c>
      <c r="B6825" s="10" t="inlineStr">
        <is>
          <t>Uraian Komponen</t>
        </is>
      </c>
      <c r="C6825" s="10" t="inlineStr">
        <is>
          <t>Satuan</t>
        </is>
      </c>
      <c r="D6825" s="10" t="inlineStr">
        <is>
          <t>Koef</t>
        </is>
      </c>
      <c r="E6825" s="10" t="inlineStr">
        <is>
          <t>Harga Satuan (Rp)</t>
        </is>
      </c>
      <c r="F6825" s="10" t="inlineStr">
        <is>
          <t>Jumlah Harga (Rp)</t>
        </is>
      </c>
    </row>
    <row r="6826">
      <c r="A6826" s="3" t="inlineStr">
        <is>
          <t>1</t>
        </is>
      </c>
      <c r="B6826" s="3" t="inlineStr">
        <is>
          <t>Pekerja</t>
        </is>
      </c>
      <c r="C6826" s="3" t="inlineStr">
        <is>
          <t>OH</t>
        </is>
      </c>
      <c r="D6826" s="15" t="n">
        <v>11.25</v>
      </c>
      <c r="E6826" s="4" t="n">
        <v>100000</v>
      </c>
      <c r="F6826" s="4" t="n">
        <v>1125000</v>
      </c>
    </row>
    <row r="6827">
      <c r="A6827" s="3" t="inlineStr">
        <is>
          <t>2</t>
        </is>
      </c>
      <c r="B6827" s="3" t="inlineStr">
        <is>
          <t>Tukang Listrik</t>
        </is>
      </c>
      <c r="C6827" s="3" t="inlineStr">
        <is>
          <t>OH</t>
        </is>
      </c>
      <c r="D6827" s="15" t="n">
        <v>2.25</v>
      </c>
      <c r="E6827" s="4" t="n">
        <v>145000</v>
      </c>
      <c r="F6827" s="4" t="n">
        <v>326250</v>
      </c>
    </row>
    <row r="6828">
      <c r="A6828" s="3" t="inlineStr">
        <is>
          <t>3</t>
        </is>
      </c>
      <c r="B6828" s="3" t="inlineStr">
        <is>
          <t>Kepala tukang</t>
        </is>
      </c>
      <c r="C6828" s="3" t="inlineStr">
        <is>
          <t>OH</t>
        </is>
      </c>
      <c r="D6828" s="15" t="n">
        <v>0.225</v>
      </c>
      <c r="E6828" s="4" t="n">
        <v>175000</v>
      </c>
      <c r="F6828" s="4" t="n">
        <v>39375</v>
      </c>
    </row>
    <row r="6829">
      <c r="A6829" s="3" t="inlineStr">
        <is>
          <t>4</t>
        </is>
      </c>
      <c r="B6829" s="3" t="inlineStr">
        <is>
          <t>Mandor</t>
        </is>
      </c>
      <c r="C6829" s="3" t="inlineStr">
        <is>
          <t>OH</t>
        </is>
      </c>
      <c r="D6829" s="15" t="n">
        <v>0.075</v>
      </c>
      <c r="E6829" s="4" t="n">
        <v>200000</v>
      </c>
      <c r="F6829" s="4" t="n">
        <v>15000</v>
      </c>
    </row>
    <row r="6830">
      <c r="A6830" s="3" t="inlineStr">
        <is>
          <t>1</t>
        </is>
      </c>
      <c r="B6830" s="3" t="inlineStr">
        <is>
          <t>Genset Kap : 400 kVA Silent Type dan aksesoris</t>
        </is>
      </c>
      <c r="C6830" s="3" t="inlineStr">
        <is>
          <t>unit</t>
        </is>
      </c>
      <c r="D6830" s="15" t="n">
        <v>1.04</v>
      </c>
      <c r="E6830" s="4" t="n">
        <v>485000000</v>
      </c>
      <c r="F6830" s="4" t="n">
        <v>504400000</v>
      </c>
    </row>
    <row r="6831">
      <c r="A6831" s="3" t="inlineStr">
        <is>
          <t>1</t>
        </is>
      </c>
      <c r="B6831" s="3" t="inlineStr">
        <is>
          <t>Crane</t>
        </is>
      </c>
      <c r="C6831" s="3" t="inlineStr">
        <is>
          <t>hari</t>
        </is>
      </c>
      <c r="D6831" s="15" t="n">
        <v>8</v>
      </c>
      <c r="E6831" s="4" t="n">
        <v>3442900</v>
      </c>
      <c r="F6831" s="4" t="n">
        <v>27543200</v>
      </c>
    </row>
    <row r="6832">
      <c r="D6832" s="2" t="inlineStr">
        <is>
          <t>SUBTOTAL UPAH</t>
        </is>
      </c>
      <c r="F6832" s="16" t="n">
        <v>1505625</v>
      </c>
    </row>
    <row r="6833">
      <c r="D6833" s="2" t="inlineStr">
        <is>
          <t>SUBTOTAL BAHAN</t>
        </is>
      </c>
      <c r="F6833" s="16" t="n">
        <v>504400000</v>
      </c>
    </row>
    <row r="6834">
      <c r="D6834" s="2" t="inlineStr">
        <is>
          <t>SUBTOTAL ALAT</t>
        </is>
      </c>
      <c r="F6834" s="16" t="n">
        <v>27543200</v>
      </c>
    </row>
    <row r="6835">
      <c r="E6835" s="2" t="inlineStr">
        <is>
          <t>TOTAL HARGA SATUAN (Inc. Overhead)</t>
        </is>
      </c>
      <c r="F6835" s="17" t="n">
        <v>586793707</v>
      </c>
    </row>
    <row r="6837">
      <c r="A6837" s="14" t="inlineStr">
        <is>
          <t>KODE: 5.1.3.4 - Pemasanga 1 Unit UPS KVA/3P Type  Online Back Up Battery 15 menit</t>
        </is>
      </c>
    </row>
    <row r="6838">
      <c r="A6838" s="10" t="inlineStr">
        <is>
          <t>No</t>
        </is>
      </c>
      <c r="B6838" s="10" t="inlineStr">
        <is>
          <t>Uraian Komponen</t>
        </is>
      </c>
      <c r="C6838" s="10" t="inlineStr">
        <is>
          <t>Satuan</t>
        </is>
      </c>
      <c r="D6838" s="10" t="inlineStr">
        <is>
          <t>Koef</t>
        </is>
      </c>
      <c r="E6838" s="10" t="inlineStr">
        <is>
          <t>Harga Satuan (Rp)</t>
        </is>
      </c>
      <c r="F6838" s="10" t="inlineStr">
        <is>
          <t>Jumlah Harga (Rp)</t>
        </is>
      </c>
    </row>
    <row r="6839">
      <c r="A6839" s="3" t="inlineStr">
        <is>
          <t>1</t>
        </is>
      </c>
      <c r="B6839" s="3" t="inlineStr">
        <is>
          <t>Pekerja</t>
        </is>
      </c>
      <c r="C6839" s="3" t="inlineStr">
        <is>
          <t>OH</t>
        </is>
      </c>
      <c r="D6839" s="15" t="n">
        <v>0.5</v>
      </c>
      <c r="E6839" s="4" t="n">
        <v>100000</v>
      </c>
      <c r="F6839" s="4" t="n">
        <v>50000</v>
      </c>
    </row>
    <row r="6840">
      <c r="A6840" s="3" t="inlineStr">
        <is>
          <t>2</t>
        </is>
      </c>
      <c r="B6840" s="3" t="inlineStr">
        <is>
          <t>Tukang Listrik</t>
        </is>
      </c>
      <c r="C6840" s="3" t="inlineStr">
        <is>
          <t>OH</t>
        </is>
      </c>
      <c r="D6840" s="15" t="n">
        <v>1.25</v>
      </c>
      <c r="E6840" s="4" t="n">
        <v>145000</v>
      </c>
      <c r="F6840" s="4" t="n">
        <v>181250</v>
      </c>
    </row>
    <row r="6841">
      <c r="A6841" s="3" t="inlineStr">
        <is>
          <t>3</t>
        </is>
      </c>
      <c r="B6841" s="3" t="inlineStr">
        <is>
          <t>Kepala tukang</t>
        </is>
      </c>
      <c r="C6841" s="3" t="inlineStr">
        <is>
          <t>OH</t>
        </is>
      </c>
      <c r="D6841" s="15" t="n">
        <v>0.125</v>
      </c>
      <c r="E6841" s="4" t="n">
        <v>175000</v>
      </c>
      <c r="F6841" s="4" t="n">
        <v>21875</v>
      </c>
    </row>
    <row r="6842">
      <c r="A6842" s="3" t="inlineStr">
        <is>
          <t>4</t>
        </is>
      </c>
      <c r="B6842" s="3" t="inlineStr">
        <is>
          <t>Mandor</t>
        </is>
      </c>
      <c r="C6842" s="3" t="inlineStr">
        <is>
          <t>OH</t>
        </is>
      </c>
      <c r="D6842" s="15" t="n">
        <v>0.042</v>
      </c>
      <c r="E6842" s="4" t="n">
        <v>200000</v>
      </c>
      <c r="F6842" s="4" t="n">
        <v>8400</v>
      </c>
    </row>
    <row r="6843">
      <c r="A6843" s="3" t="inlineStr">
        <is>
          <t>1</t>
        </is>
      </c>
      <c r="B6843" s="3" t="inlineStr">
        <is>
          <t>UPS 5 KVA</t>
        </is>
      </c>
      <c r="C6843" s="3" t="inlineStr">
        <is>
          <t>unit</t>
        </is>
      </c>
      <c r="D6843" s="15" t="n">
        <v>1.03</v>
      </c>
      <c r="E6843" s="4" t="n">
        <v>18000000</v>
      </c>
      <c r="F6843" s="4" t="n">
        <v>18540000</v>
      </c>
    </row>
    <row r="6844">
      <c r="D6844" s="2" t="inlineStr">
        <is>
          <t>SUBTOTAL UPAH</t>
        </is>
      </c>
      <c r="F6844" s="16" t="n">
        <v>261525</v>
      </c>
    </row>
    <row r="6845">
      <c r="D6845" s="2" t="inlineStr">
        <is>
          <t>SUBTOTAL BAHAN</t>
        </is>
      </c>
      <c r="F6845" s="16" t="n">
        <v>18540000</v>
      </c>
    </row>
    <row r="6846">
      <c r="D6846" s="2" t="inlineStr">
        <is>
          <t>SUBTOTAL ALAT</t>
        </is>
      </c>
      <c r="F6846" s="16" t="n">
        <v>0</v>
      </c>
    </row>
    <row r="6847">
      <c r="E6847" s="2" t="inlineStr">
        <is>
          <t>TOTAL HARGA SATUAN (Inc. Overhead)</t>
        </is>
      </c>
      <c r="F6847" s="17" t="n">
        <v>20681677</v>
      </c>
    </row>
    <row r="6849">
      <c r="A6849" s="14" t="inlineStr">
        <is>
          <t>KODE: 5.1.3.5 - Pemasanga 1 Unit Tangki Solar Harian 500 Liter</t>
        </is>
      </c>
    </row>
    <row r="6850">
      <c r="A6850" s="10" t="inlineStr">
        <is>
          <t>No</t>
        </is>
      </c>
      <c r="B6850" s="10" t="inlineStr">
        <is>
          <t>Uraian Komponen</t>
        </is>
      </c>
      <c r="C6850" s="10" t="inlineStr">
        <is>
          <t>Satuan</t>
        </is>
      </c>
      <c r="D6850" s="10" t="inlineStr">
        <is>
          <t>Koef</t>
        </is>
      </c>
      <c r="E6850" s="10" t="inlineStr">
        <is>
          <t>Harga Satuan (Rp)</t>
        </is>
      </c>
      <c r="F6850" s="10" t="inlineStr">
        <is>
          <t>Jumlah Harga (Rp)</t>
        </is>
      </c>
    </row>
    <row r="6851">
      <c r="A6851" s="3" t="inlineStr">
        <is>
          <t>1</t>
        </is>
      </c>
      <c r="B6851" s="3" t="inlineStr">
        <is>
          <t>Pekerja</t>
        </is>
      </c>
      <c r="C6851" s="3" t="inlineStr">
        <is>
          <t>OH</t>
        </is>
      </c>
      <c r="D6851" s="15" t="n">
        <v>2.5</v>
      </c>
      <c r="E6851" s="4" t="n">
        <v>100000</v>
      </c>
      <c r="F6851" s="4" t="n">
        <v>250000</v>
      </c>
    </row>
    <row r="6852">
      <c r="A6852" s="3" t="inlineStr">
        <is>
          <t>2</t>
        </is>
      </c>
      <c r="B6852" s="3" t="inlineStr">
        <is>
          <t>Tukang Listrik</t>
        </is>
      </c>
      <c r="C6852" s="3" t="inlineStr">
        <is>
          <t>OH</t>
        </is>
      </c>
      <c r="D6852" s="15" t="n">
        <v>1.25</v>
      </c>
      <c r="E6852" s="4" t="n">
        <v>145000</v>
      </c>
      <c r="F6852" s="4" t="n">
        <v>181250</v>
      </c>
    </row>
    <row r="6853">
      <c r="A6853" s="3" t="inlineStr">
        <is>
          <t>3</t>
        </is>
      </c>
      <c r="B6853" s="3" t="inlineStr">
        <is>
          <t>Kepala tukang</t>
        </is>
      </c>
      <c r="C6853" s="3" t="inlineStr">
        <is>
          <t>OH</t>
        </is>
      </c>
      <c r="D6853" s="15" t="n">
        <v>0.125</v>
      </c>
      <c r="E6853" s="4" t="n">
        <v>175000</v>
      </c>
      <c r="F6853" s="4" t="n">
        <v>21875</v>
      </c>
    </row>
    <row r="6854">
      <c r="A6854" s="3" t="inlineStr">
        <is>
          <t>4</t>
        </is>
      </c>
      <c r="B6854" s="3" t="inlineStr">
        <is>
          <t>Mandor</t>
        </is>
      </c>
      <c r="C6854" s="3" t="inlineStr">
        <is>
          <t>OH</t>
        </is>
      </c>
      <c r="D6854" s="15" t="n">
        <v>0.042</v>
      </c>
      <c r="E6854" s="4" t="n">
        <v>200000</v>
      </c>
      <c r="F6854" s="4" t="n">
        <v>8400</v>
      </c>
    </row>
    <row r="6855">
      <c r="A6855" s="3" t="inlineStr">
        <is>
          <t>1</t>
        </is>
      </c>
      <c r="B6855" s="3" t="inlineStr">
        <is>
          <t>Tangki Solar Harian 500 liter</t>
        </is>
      </c>
      <c r="C6855" s="3" t="inlineStr">
        <is>
          <t>unit</t>
        </is>
      </c>
      <c r="D6855" s="15" t="n">
        <v>1.1</v>
      </c>
      <c r="E6855" s="4" t="n">
        <v>4000000</v>
      </c>
      <c r="F6855" s="4" t="n">
        <v>4400000</v>
      </c>
    </row>
    <row r="6856">
      <c r="D6856" s="2" t="inlineStr">
        <is>
          <t>SUBTOTAL UPAH</t>
        </is>
      </c>
      <c r="F6856" s="16" t="n">
        <v>461525</v>
      </c>
    </row>
    <row r="6857">
      <c r="D6857" s="2" t="inlineStr">
        <is>
          <t>SUBTOTAL BAHAN</t>
        </is>
      </c>
      <c r="F6857" s="16" t="n">
        <v>4400000</v>
      </c>
    </row>
    <row r="6858">
      <c r="D6858" s="2" t="inlineStr">
        <is>
          <t>SUBTOTAL ALAT</t>
        </is>
      </c>
      <c r="F6858" s="16" t="n">
        <v>0</v>
      </c>
    </row>
    <row r="6859">
      <c r="E6859" s="2" t="inlineStr">
        <is>
          <t>TOTAL HARGA SATUAN (Inc. Overhead)</t>
        </is>
      </c>
      <c r="F6859" s="17" t="n">
        <v>5347677</v>
      </c>
    </row>
    <row r="6861">
      <c r="A6861" s="14" t="inlineStr">
        <is>
          <t>KODE: 5.1.3.6 - Pemasanga 1 Unit Hand Pump Solar</t>
        </is>
      </c>
    </row>
    <row r="6862">
      <c r="A6862" s="10" t="inlineStr">
        <is>
          <t>No</t>
        </is>
      </c>
      <c r="B6862" s="10" t="inlineStr">
        <is>
          <t>Uraian Komponen</t>
        </is>
      </c>
      <c r="C6862" s="10" t="inlineStr">
        <is>
          <t>Satuan</t>
        </is>
      </c>
      <c r="D6862" s="10" t="inlineStr">
        <is>
          <t>Koef</t>
        </is>
      </c>
      <c r="E6862" s="10" t="inlineStr">
        <is>
          <t>Harga Satuan (Rp)</t>
        </is>
      </c>
      <c r="F6862" s="10" t="inlineStr">
        <is>
          <t>Jumlah Harga (Rp)</t>
        </is>
      </c>
    </row>
    <row r="6863">
      <c r="A6863" s="3" t="inlineStr">
        <is>
          <t>1</t>
        </is>
      </c>
      <c r="B6863" s="3" t="inlineStr">
        <is>
          <t>Pekerja</t>
        </is>
      </c>
      <c r="C6863" s="3" t="inlineStr">
        <is>
          <t>OH</t>
        </is>
      </c>
      <c r="D6863" s="15" t="n">
        <v>0.094</v>
      </c>
      <c r="E6863" s="4" t="n">
        <v>100000</v>
      </c>
      <c r="F6863" s="4" t="n">
        <v>9400</v>
      </c>
    </row>
    <row r="6864">
      <c r="A6864" s="3" t="inlineStr">
        <is>
          <t>2</t>
        </is>
      </c>
      <c r="B6864" s="3" t="inlineStr">
        <is>
          <t>Tukang Listrik</t>
        </is>
      </c>
      <c r="C6864" s="3" t="inlineStr">
        <is>
          <t>OH</t>
        </is>
      </c>
      <c r="D6864" s="15" t="n">
        <v>0.094</v>
      </c>
      <c r="E6864" s="4" t="n">
        <v>145000</v>
      </c>
      <c r="F6864" s="4" t="n">
        <v>13630</v>
      </c>
    </row>
    <row r="6865">
      <c r="A6865" s="3" t="inlineStr">
        <is>
          <t>3</t>
        </is>
      </c>
      <c r="B6865" s="3" t="inlineStr">
        <is>
          <t>Kepala tukang</t>
        </is>
      </c>
      <c r="C6865" s="3" t="inlineStr">
        <is>
          <t>OH</t>
        </is>
      </c>
      <c r="D6865" s="15" t="n">
        <v>0.008999999999999999</v>
      </c>
      <c r="E6865" s="4" t="n">
        <v>175000</v>
      </c>
      <c r="F6865" s="4" t="n">
        <v>1575</v>
      </c>
    </row>
    <row r="6866">
      <c r="A6866" s="3" t="inlineStr">
        <is>
          <t>4</t>
        </is>
      </c>
      <c r="B6866" s="3" t="inlineStr">
        <is>
          <t>Mandor</t>
        </is>
      </c>
      <c r="C6866" s="3" t="inlineStr">
        <is>
          <t>OH</t>
        </is>
      </c>
      <c r="D6866" s="15" t="n">
        <v>0.003</v>
      </c>
      <c r="E6866" s="4" t="n">
        <v>200000</v>
      </c>
      <c r="F6866" s="4" t="n">
        <v>600</v>
      </c>
    </row>
    <row r="6867">
      <c r="A6867" s="3" t="inlineStr">
        <is>
          <t>dan aksesoris"</t>
        </is>
      </c>
      <c r="B6867" s="3" t="inlineStr"/>
      <c r="C6867" s="3" t="inlineStr">
        <is>
          <t>unit</t>
        </is>
      </c>
      <c r="D6867" s="15" t="n">
        <v>1.1</v>
      </c>
      <c r="E6867" s="4" t="n">
        <v>4000000</v>
      </c>
      <c r="F6867" s="4" t="n">
        <v>4400000</v>
      </c>
    </row>
    <row r="6868">
      <c r="D6868" s="2" t="inlineStr">
        <is>
          <t>SUBTOTAL UPAH</t>
        </is>
      </c>
      <c r="F6868" s="16" t="n">
        <v>25205</v>
      </c>
    </row>
    <row r="6869">
      <c r="D6869" s="2" t="inlineStr">
        <is>
          <t>SUBTOTAL BAHAN</t>
        </is>
      </c>
      <c r="F6869" s="16" t="n">
        <v>4400000</v>
      </c>
    </row>
    <row r="6870">
      <c r="D6870" s="2" t="inlineStr">
        <is>
          <t>SUBTOTAL ALAT</t>
        </is>
      </c>
      <c r="F6870" s="16" t="n">
        <v>0</v>
      </c>
    </row>
    <row r="6871">
      <c r="E6871" s="2" t="inlineStr">
        <is>
          <t>TOTAL HARGA SATUAN (Inc. Overhead)</t>
        </is>
      </c>
      <c r="F6871" s="17" t="n">
        <v>4867725</v>
      </c>
    </row>
    <row r="6873">
      <c r="A6873" s="14" t="inlineStr">
        <is>
          <t>KODE: 5.1.3.7 - Pemasanga 1 Unit Genset Kap : 35 Kva Silent Type</t>
        </is>
      </c>
    </row>
    <row r="6874">
      <c r="A6874" s="10" t="inlineStr">
        <is>
          <t>No</t>
        </is>
      </c>
      <c r="B6874" s="10" t="inlineStr">
        <is>
          <t>Uraian Komponen</t>
        </is>
      </c>
      <c r="C6874" s="10" t="inlineStr">
        <is>
          <t>Satuan</t>
        </is>
      </c>
      <c r="D6874" s="10" t="inlineStr">
        <is>
          <t>Koef</t>
        </is>
      </c>
      <c r="E6874" s="10" t="inlineStr">
        <is>
          <t>Harga Satuan (Rp)</t>
        </is>
      </c>
      <c r="F6874" s="10" t="inlineStr">
        <is>
          <t>Jumlah Harga (Rp)</t>
        </is>
      </c>
    </row>
    <row r="6875">
      <c r="A6875" s="3" t="inlineStr">
        <is>
          <t>1</t>
        </is>
      </c>
      <c r="B6875" s="3" t="inlineStr">
        <is>
          <t>Pekerja</t>
        </is>
      </c>
      <c r="C6875" s="3" t="inlineStr">
        <is>
          <t>OH</t>
        </is>
      </c>
      <c r="D6875" s="15" t="n">
        <v>2.783</v>
      </c>
      <c r="E6875" s="4" t="n">
        <v>100000</v>
      </c>
      <c r="F6875" s="4" t="n">
        <v>278300</v>
      </c>
    </row>
    <row r="6876">
      <c r="A6876" s="3" t="inlineStr">
        <is>
          <t>2</t>
        </is>
      </c>
      <c r="B6876" s="3" t="inlineStr">
        <is>
          <t>Tukang Listrik</t>
        </is>
      </c>
      <c r="C6876" s="3" t="inlineStr">
        <is>
          <t>OH</t>
        </is>
      </c>
      <c r="D6876" s="15" t="n">
        <v>0.928</v>
      </c>
      <c r="E6876" s="4" t="n">
        <v>145000</v>
      </c>
      <c r="F6876" s="4" t="n">
        <v>134560</v>
      </c>
    </row>
    <row r="6877">
      <c r="A6877" s="3" t="inlineStr">
        <is>
          <t>3</t>
        </is>
      </c>
      <c r="B6877" s="3" t="inlineStr">
        <is>
          <t>Kepala tukang</t>
        </is>
      </c>
      <c r="C6877" s="3" t="inlineStr">
        <is>
          <t>OH</t>
        </is>
      </c>
      <c r="D6877" s="15" t="n">
        <v>0.093</v>
      </c>
      <c r="E6877" s="4" t="n">
        <v>175000</v>
      </c>
      <c r="F6877" s="4" t="n">
        <v>16275</v>
      </c>
    </row>
    <row r="6878">
      <c r="A6878" s="3" t="inlineStr">
        <is>
          <t>4</t>
        </is>
      </c>
      <c r="B6878" s="3" t="inlineStr">
        <is>
          <t>Mandor</t>
        </is>
      </c>
      <c r="C6878" s="3" t="inlineStr">
        <is>
          <t>OH</t>
        </is>
      </c>
      <c r="D6878" s="15" t="n">
        <v>0.031</v>
      </c>
      <c r="E6878" s="4" t="n">
        <v>200000</v>
      </c>
      <c r="F6878" s="4" t="n">
        <v>6200</v>
      </c>
    </row>
    <row r="6879">
      <c r="A6879" s="3" t="inlineStr">
        <is>
          <t>1</t>
        </is>
      </c>
      <c r="B6879" s="3" t="inlineStr">
        <is>
          <t>Genset Kap : 35kVA Silent Type dan aksesoris</t>
        </is>
      </c>
      <c r="C6879" s="3" t="inlineStr">
        <is>
          <t>unit</t>
        </is>
      </c>
      <c r="D6879" s="15" t="n">
        <v>1.03</v>
      </c>
      <c r="E6879" s="4" t="n">
        <v>175000000</v>
      </c>
      <c r="F6879" s="4" t="n">
        <v>180250000</v>
      </c>
    </row>
    <row r="6880">
      <c r="A6880" s="3" t="inlineStr">
        <is>
          <t>1</t>
        </is>
      </c>
      <c r="B6880" s="3" t="inlineStr">
        <is>
          <t>Sewa Tripot</t>
        </is>
      </c>
      <c r="C6880" s="3" t="inlineStr">
        <is>
          <t>hari</t>
        </is>
      </c>
      <c r="D6880" s="15" t="n">
        <v>2</v>
      </c>
      <c r="E6880" s="4" t="n">
        <v>108000</v>
      </c>
      <c r="F6880" s="4" t="n">
        <v>216000</v>
      </c>
    </row>
    <row r="6881">
      <c r="D6881" s="2" t="inlineStr">
        <is>
          <t>SUBTOTAL UPAH</t>
        </is>
      </c>
      <c r="F6881" s="16" t="n">
        <v>435335</v>
      </c>
    </row>
    <row r="6882">
      <c r="D6882" s="2" t="inlineStr">
        <is>
          <t>SUBTOTAL BAHAN</t>
        </is>
      </c>
      <c r="F6882" s="16" t="n">
        <v>180250000</v>
      </c>
    </row>
    <row r="6883">
      <c r="D6883" s="2" t="inlineStr">
        <is>
          <t>SUBTOTAL ALAT</t>
        </is>
      </c>
      <c r="F6883" s="16" t="n">
        <v>216000</v>
      </c>
    </row>
    <row r="6884">
      <c r="E6884" s="2" t="inlineStr">
        <is>
          <t>TOTAL HARGA SATUAN (Inc. Overhead)</t>
        </is>
      </c>
      <c r="F6884" s="17" t="n">
        <v>198991468</v>
      </c>
    </row>
    <row r="6886">
      <c r="A6886" s="14" t="inlineStr">
        <is>
          <t>KODE: 5.1.3.8 - Pemasanga 1 Unit Genset Kap : 700 Kva Silent Type</t>
        </is>
      </c>
    </row>
    <row r="6887">
      <c r="A6887" s="10" t="inlineStr">
        <is>
          <t>No</t>
        </is>
      </c>
      <c r="B6887" s="10" t="inlineStr">
        <is>
          <t>Uraian Komponen</t>
        </is>
      </c>
      <c r="C6887" s="10" t="inlineStr">
        <is>
          <t>Satuan</t>
        </is>
      </c>
      <c r="D6887" s="10" t="inlineStr">
        <is>
          <t>Koef</t>
        </is>
      </c>
      <c r="E6887" s="10" t="inlineStr">
        <is>
          <t>Harga Satuan (Rp)</t>
        </is>
      </c>
      <c r="F6887" s="10" t="inlineStr">
        <is>
          <t>Jumlah Harga (Rp)</t>
        </is>
      </c>
    </row>
    <row r="6888">
      <c r="A6888" s="3" t="inlineStr">
        <is>
          <t>1</t>
        </is>
      </c>
      <c r="B6888" s="3" t="inlineStr">
        <is>
          <t>Pekerja</t>
        </is>
      </c>
      <c r="C6888" s="3" t="inlineStr">
        <is>
          <t>OH</t>
        </is>
      </c>
      <c r="D6888" s="15" t="n">
        <v>22.5</v>
      </c>
      <c r="E6888" s="4" t="n">
        <v>100000</v>
      </c>
      <c r="F6888" s="4" t="n">
        <v>2250000</v>
      </c>
    </row>
    <row r="6889">
      <c r="A6889" s="3" t="inlineStr">
        <is>
          <t>2</t>
        </is>
      </c>
      <c r="B6889" s="3" t="inlineStr">
        <is>
          <t>Tukang Listrik</t>
        </is>
      </c>
      <c r="C6889" s="3" t="inlineStr">
        <is>
          <t>OH</t>
        </is>
      </c>
      <c r="D6889" s="15" t="n">
        <v>4.5</v>
      </c>
      <c r="E6889" s="4" t="n">
        <v>145000</v>
      </c>
      <c r="F6889" s="4" t="n">
        <v>652500</v>
      </c>
    </row>
    <row r="6890">
      <c r="A6890" s="3" t="inlineStr">
        <is>
          <t>3</t>
        </is>
      </c>
      <c r="B6890" s="3" t="inlineStr">
        <is>
          <t>Kepala tukang</t>
        </is>
      </c>
      <c r="C6890" s="3" t="inlineStr">
        <is>
          <t>OH</t>
        </is>
      </c>
      <c r="D6890" s="15" t="n">
        <v>0.45</v>
      </c>
      <c r="E6890" s="4" t="n">
        <v>175000</v>
      </c>
      <c r="F6890" s="4" t="n">
        <v>78750</v>
      </c>
    </row>
    <row r="6891">
      <c r="A6891" s="3" t="inlineStr">
        <is>
          <t>4</t>
        </is>
      </c>
      <c r="B6891" s="3" t="inlineStr">
        <is>
          <t>Mandor</t>
        </is>
      </c>
      <c r="C6891" s="3" t="inlineStr">
        <is>
          <t>OH</t>
        </is>
      </c>
      <c r="D6891" s="15" t="n">
        <v>0.15</v>
      </c>
      <c r="E6891" s="4" t="n">
        <v>200000</v>
      </c>
      <c r="F6891" s="4" t="n">
        <v>30000</v>
      </c>
    </row>
    <row r="6892">
      <c r="A6892" s="3" t="inlineStr">
        <is>
          <t>1</t>
        </is>
      </c>
      <c r="B6892" s="3" t="inlineStr">
        <is>
          <t>Genset Kap : 700 kVA Silent Type dan aksesoris</t>
        </is>
      </c>
      <c r="C6892" s="3" t="inlineStr">
        <is>
          <t>unit</t>
        </is>
      </c>
      <c r="D6892" s="15" t="n">
        <v>1.04</v>
      </c>
      <c r="E6892" s="4" t="n">
        <v>1785000000</v>
      </c>
      <c r="F6892" s="4" t="n">
        <v>1856400000</v>
      </c>
    </row>
    <row r="6893">
      <c r="A6893" s="3" t="inlineStr">
        <is>
          <t>1</t>
        </is>
      </c>
      <c r="B6893" s="3" t="inlineStr">
        <is>
          <t>Sewa Tripot</t>
        </is>
      </c>
      <c r="C6893" s="3" t="inlineStr">
        <is>
          <t>hari</t>
        </is>
      </c>
      <c r="D6893" s="15" t="n">
        <v>8</v>
      </c>
      <c r="E6893" s="4" t="n">
        <v>108000</v>
      </c>
      <c r="F6893" s="4" t="n">
        <v>864000</v>
      </c>
    </row>
    <row r="6894">
      <c r="D6894" s="2" t="inlineStr">
        <is>
          <t>SUBTOTAL UPAH</t>
        </is>
      </c>
      <c r="F6894" s="16" t="n">
        <v>3011250</v>
      </c>
    </row>
    <row r="6895">
      <c r="D6895" s="2" t="inlineStr">
        <is>
          <t>SUBTOTAL BAHAN</t>
        </is>
      </c>
      <c r="F6895" s="16" t="n">
        <v>1856400000</v>
      </c>
    </row>
    <row r="6896">
      <c r="D6896" s="2" t="inlineStr">
        <is>
          <t>SUBTOTAL ALAT</t>
        </is>
      </c>
      <c r="F6896" s="16" t="n">
        <v>864000</v>
      </c>
    </row>
    <row r="6897">
      <c r="E6897" s="2" t="inlineStr">
        <is>
          <t>TOTAL HARGA SATUAN (Inc. Overhead)</t>
        </is>
      </c>
      <c r="F6897" s="17" t="n">
        <v>2046302775</v>
      </c>
    </row>
    <row r="6899">
      <c r="A6899" s="14" t="inlineStr">
        <is>
          <t>KODE: 5.1.3.9 - Pemasanga 1 Unit Genset Kap : 1000 Kva Silent Type</t>
        </is>
      </c>
    </row>
    <row r="6900">
      <c r="A6900" s="10" t="inlineStr">
        <is>
          <t>No</t>
        </is>
      </c>
      <c r="B6900" s="10" t="inlineStr">
        <is>
          <t>Uraian Komponen</t>
        </is>
      </c>
      <c r="C6900" s="10" t="inlineStr">
        <is>
          <t>Satuan</t>
        </is>
      </c>
      <c r="D6900" s="10" t="inlineStr">
        <is>
          <t>Koef</t>
        </is>
      </c>
      <c r="E6900" s="10" t="inlineStr">
        <is>
          <t>Harga Satuan (Rp)</t>
        </is>
      </c>
      <c r="F6900" s="10" t="inlineStr">
        <is>
          <t>Jumlah Harga (Rp)</t>
        </is>
      </c>
    </row>
    <row r="6901">
      <c r="A6901" s="3" t="inlineStr">
        <is>
          <t>1</t>
        </is>
      </c>
      <c r="B6901" s="3" t="inlineStr">
        <is>
          <t>Pekerja</t>
        </is>
      </c>
      <c r="C6901" s="3" t="inlineStr">
        <is>
          <t>OH</t>
        </is>
      </c>
      <c r="D6901" s="15" t="n">
        <v>28.125</v>
      </c>
      <c r="E6901" s="4" t="n">
        <v>100000</v>
      </c>
      <c r="F6901" s="4" t="n">
        <v>2812500</v>
      </c>
    </row>
    <row r="6902">
      <c r="A6902" s="3" t="inlineStr">
        <is>
          <t>2</t>
        </is>
      </c>
      <c r="B6902" s="3" t="inlineStr">
        <is>
          <t>Tukang Listrik</t>
        </is>
      </c>
      <c r="C6902" s="3" t="inlineStr">
        <is>
          <t>OH</t>
        </is>
      </c>
      <c r="D6902" s="15" t="n">
        <v>5.625</v>
      </c>
      <c r="E6902" s="4" t="n">
        <v>145000</v>
      </c>
      <c r="F6902" s="4" t="n">
        <v>815625</v>
      </c>
    </row>
    <row r="6903">
      <c r="A6903" s="3" t="inlineStr">
        <is>
          <t>3</t>
        </is>
      </c>
      <c r="B6903" s="3" t="inlineStr">
        <is>
          <t>Kepala tukang</t>
        </is>
      </c>
      <c r="C6903" s="3" t="inlineStr">
        <is>
          <t>OH</t>
        </is>
      </c>
      <c r="D6903" s="15" t="n">
        <v>0.5629999999999999</v>
      </c>
      <c r="E6903" s="4" t="n">
        <v>175000</v>
      </c>
      <c r="F6903" s="4" t="n">
        <v>98524.99999999999</v>
      </c>
    </row>
    <row r="6904">
      <c r="A6904" s="3" t="inlineStr">
        <is>
          <t>4</t>
        </is>
      </c>
      <c r="B6904" s="3" t="inlineStr">
        <is>
          <t>Mandor</t>
        </is>
      </c>
      <c r="C6904" s="3" t="inlineStr">
        <is>
          <t>OH</t>
        </is>
      </c>
      <c r="D6904" s="15" t="n">
        <v>0.188</v>
      </c>
      <c r="E6904" s="4" t="n">
        <v>200000</v>
      </c>
      <c r="F6904" s="4" t="n">
        <v>37600</v>
      </c>
    </row>
    <row r="6905">
      <c r="A6905" s="3" t="inlineStr">
        <is>
          <t>1</t>
        </is>
      </c>
      <c r="B6905" s="3" t="inlineStr">
        <is>
          <t>Genset Kap : 1000 kVA Silent Type dan aksesoris</t>
        </is>
      </c>
      <c r="C6905" s="3" t="inlineStr">
        <is>
          <t>unit</t>
        </is>
      </c>
      <c r="D6905" s="15" t="n">
        <v>1.04</v>
      </c>
      <c r="E6905" s="4" t="n">
        <v>2000000000</v>
      </c>
      <c r="F6905" s="4" t="n">
        <v>2080000000</v>
      </c>
    </row>
    <row r="6906">
      <c r="A6906" s="3" t="inlineStr">
        <is>
          <t>1</t>
        </is>
      </c>
      <c r="B6906" s="3" t="inlineStr">
        <is>
          <t>Sewa Tripot</t>
        </is>
      </c>
      <c r="C6906" s="3" t="inlineStr">
        <is>
          <t>hari</t>
        </is>
      </c>
      <c r="D6906" s="15" t="n">
        <v>8</v>
      </c>
      <c r="E6906" s="4" t="n">
        <v>108000</v>
      </c>
      <c r="F6906" s="4" t="n">
        <v>864000</v>
      </c>
    </row>
    <row r="6907">
      <c r="D6907" s="2" t="inlineStr">
        <is>
          <t>SUBTOTAL UPAH</t>
        </is>
      </c>
      <c r="F6907" s="16" t="n">
        <v>3764250</v>
      </c>
    </row>
    <row r="6908">
      <c r="D6908" s="2" t="inlineStr">
        <is>
          <t>SUBTOTAL BAHAN</t>
        </is>
      </c>
      <c r="F6908" s="16" t="n">
        <v>2080000000</v>
      </c>
    </row>
    <row r="6909">
      <c r="D6909" s="2" t="inlineStr">
        <is>
          <t>SUBTOTAL ALAT</t>
        </is>
      </c>
      <c r="F6909" s="16" t="n">
        <v>864000</v>
      </c>
    </row>
    <row r="6910">
      <c r="E6910" s="2" t="inlineStr">
        <is>
          <t>TOTAL HARGA SATUAN (Inc. Overhead)</t>
        </is>
      </c>
      <c r="F6910" s="17" t="n">
        <v>2293091075</v>
      </c>
    </row>
    <row r="6912">
      <c r="A6912" s="14" t="inlineStr">
        <is>
          <t>KODE: 5.1.4.1 - Pemasanga 1 Unit Trafo Kap : 630 Kva : Synthetic Oil Ester (Termasuk Terminasi Instalasi Trafo)</t>
        </is>
      </c>
    </row>
    <row r="6913">
      <c r="A6913" s="10" t="inlineStr">
        <is>
          <t>No</t>
        </is>
      </c>
      <c r="B6913" s="10" t="inlineStr">
        <is>
          <t>Uraian Komponen</t>
        </is>
      </c>
      <c r="C6913" s="10" t="inlineStr">
        <is>
          <t>Satuan</t>
        </is>
      </c>
      <c r="D6913" s="10" t="inlineStr">
        <is>
          <t>Koef</t>
        </is>
      </c>
      <c r="E6913" s="10" t="inlineStr">
        <is>
          <t>Harga Satuan (Rp)</t>
        </is>
      </c>
      <c r="F6913" s="10" t="inlineStr">
        <is>
          <t>Jumlah Harga (Rp)</t>
        </is>
      </c>
    </row>
    <row r="6914">
      <c r="A6914" s="3" t="inlineStr">
        <is>
          <t>1</t>
        </is>
      </c>
      <c r="B6914" s="3" t="inlineStr">
        <is>
          <t>Pekerja</t>
        </is>
      </c>
      <c r="C6914" s="3" t="inlineStr">
        <is>
          <t>OH</t>
        </is>
      </c>
      <c r="D6914" s="15" t="n">
        <v>2.626</v>
      </c>
      <c r="E6914" s="4" t="n">
        <v>100000</v>
      </c>
      <c r="F6914" s="4" t="n">
        <v>262600</v>
      </c>
    </row>
    <row r="6915">
      <c r="A6915" s="3" t="inlineStr">
        <is>
          <t>2</t>
        </is>
      </c>
      <c r="B6915" s="3" t="inlineStr">
        <is>
          <t>Tukang Listrik</t>
        </is>
      </c>
      <c r="C6915" s="3" t="inlineStr">
        <is>
          <t>OH</t>
        </is>
      </c>
      <c r="D6915" s="15" t="n">
        <v>4.386</v>
      </c>
      <c r="E6915" s="4" t="n">
        <v>145000</v>
      </c>
      <c r="F6915" s="4" t="n">
        <v>635970</v>
      </c>
    </row>
    <row r="6916">
      <c r="A6916" s="3" t="inlineStr">
        <is>
          <t>3</t>
        </is>
      </c>
      <c r="B6916" s="3" t="inlineStr">
        <is>
          <t>Kepala tukang</t>
        </is>
      </c>
      <c r="C6916" s="3" t="inlineStr">
        <is>
          <t>OH</t>
        </is>
      </c>
      <c r="D6916" s="15" t="n">
        <v>0.439</v>
      </c>
      <c r="E6916" s="4" t="n">
        <v>175000</v>
      </c>
      <c r="F6916" s="4" t="n">
        <v>76825</v>
      </c>
    </row>
    <row r="6917">
      <c r="A6917" s="3" t="inlineStr">
        <is>
          <t>4</t>
        </is>
      </c>
      <c r="B6917" s="3" t="inlineStr">
        <is>
          <t>Mandor</t>
        </is>
      </c>
      <c r="C6917" s="3" t="inlineStr">
        <is>
          <t>OH</t>
        </is>
      </c>
      <c r="D6917" s="15" t="n">
        <v>0.131</v>
      </c>
      <c r="E6917" s="4" t="n">
        <v>200000</v>
      </c>
      <c r="F6917" s="4" t="n">
        <v>26200</v>
      </c>
    </row>
    <row r="6918">
      <c r="A6918" s="3" t="inlineStr">
        <is>
          <t>1</t>
        </is>
      </c>
      <c r="B6918" s="3" t="inlineStr">
        <is>
          <t>Trafo Kap : 630 Kva : Synthetic Oil Ester</t>
        </is>
      </c>
      <c r="C6918" s="3" t="inlineStr">
        <is>
          <t>unit</t>
        </is>
      </c>
      <c r="D6918" s="15" t="n">
        <v>1.1</v>
      </c>
      <c r="E6918" s="4" t="n">
        <v>250000000</v>
      </c>
      <c r="F6918" s="4" t="n">
        <v>275000000</v>
      </c>
    </row>
    <row r="6919">
      <c r="D6919" s="2" t="inlineStr">
        <is>
          <t>SUBTOTAL UPAH</t>
        </is>
      </c>
      <c r="F6919" s="16" t="n">
        <v>1001595</v>
      </c>
    </row>
    <row r="6920">
      <c r="D6920" s="2" t="inlineStr">
        <is>
          <t>SUBTOTAL BAHAN</t>
        </is>
      </c>
      <c r="F6920" s="16" t="n">
        <v>275000000</v>
      </c>
    </row>
    <row r="6921">
      <c r="D6921" s="2" t="inlineStr">
        <is>
          <t>SUBTOTAL ALAT</t>
        </is>
      </c>
      <c r="F6921" s="16" t="n">
        <v>0</v>
      </c>
    </row>
    <row r="6922">
      <c r="E6922" s="2" t="inlineStr">
        <is>
          <t>TOTAL HARGA SATUAN (Inc. Overhead)</t>
        </is>
      </c>
      <c r="F6922" s="17" t="n">
        <v>303601754</v>
      </c>
    </row>
    <row r="6924">
      <c r="A6924" s="14" t="inlineStr">
        <is>
          <t>KODE: 5.1.4.2 - Pemasangan 1 Unit Trafo Kap : 1.250 kVA ; Synthetic Oil Ester (Termasuk Terminasi Instalasi Trafo)</t>
        </is>
      </c>
    </row>
    <row r="6925">
      <c r="A6925" s="10" t="inlineStr">
        <is>
          <t>No</t>
        </is>
      </c>
      <c r="B6925" s="10" t="inlineStr">
        <is>
          <t>Uraian Komponen</t>
        </is>
      </c>
      <c r="C6925" s="10" t="inlineStr">
        <is>
          <t>Satuan</t>
        </is>
      </c>
      <c r="D6925" s="10" t="inlineStr">
        <is>
          <t>Koef</t>
        </is>
      </c>
      <c r="E6925" s="10" t="inlineStr">
        <is>
          <t>Harga Satuan (Rp)</t>
        </is>
      </c>
      <c r="F6925" s="10" t="inlineStr">
        <is>
          <t>Jumlah Harga (Rp)</t>
        </is>
      </c>
    </row>
    <row r="6926">
      <c r="A6926" s="3" t="inlineStr">
        <is>
          <t>1</t>
        </is>
      </c>
      <c r="B6926" s="3" t="inlineStr">
        <is>
          <t>Pekerja</t>
        </is>
      </c>
      <c r="C6926" s="3" t="inlineStr">
        <is>
          <t>OH</t>
        </is>
      </c>
      <c r="D6926" s="15" t="n">
        <v>5.252</v>
      </c>
      <c r="E6926" s="4" t="n">
        <v>100000</v>
      </c>
      <c r="F6926" s="4" t="n">
        <v>525200</v>
      </c>
    </row>
    <row r="6927">
      <c r="A6927" s="3" t="inlineStr">
        <is>
          <t>2</t>
        </is>
      </c>
      <c r="B6927" s="3" t="inlineStr">
        <is>
          <t>Tukang Listrik</t>
        </is>
      </c>
      <c r="C6927" s="3" t="inlineStr">
        <is>
          <t>OH</t>
        </is>
      </c>
      <c r="D6927" s="15" t="n">
        <v>8.771000000000001</v>
      </c>
      <c r="E6927" s="4" t="n">
        <v>145000</v>
      </c>
      <c r="F6927" s="4" t="n">
        <v>1271795</v>
      </c>
    </row>
    <row r="6928">
      <c r="A6928" s="3" t="inlineStr">
        <is>
          <t>3</t>
        </is>
      </c>
      <c r="B6928" s="3" t="inlineStr">
        <is>
          <t>Kepala tukang</t>
        </is>
      </c>
      <c r="C6928" s="3" t="inlineStr">
        <is>
          <t>OH</t>
        </is>
      </c>
      <c r="D6928" s="15" t="n">
        <v>0.877</v>
      </c>
      <c r="E6928" s="4" t="n">
        <v>175000</v>
      </c>
      <c r="F6928" s="4" t="n">
        <v>153475</v>
      </c>
    </row>
    <row r="6929">
      <c r="A6929" s="3" t="inlineStr">
        <is>
          <t>4</t>
        </is>
      </c>
      <c r="B6929" s="3" t="inlineStr">
        <is>
          <t>Mandor</t>
        </is>
      </c>
      <c r="C6929" s="3" t="inlineStr">
        <is>
          <t>OH</t>
        </is>
      </c>
      <c r="D6929" s="15" t="n">
        <v>0.263</v>
      </c>
      <c r="E6929" s="4" t="n">
        <v>200000</v>
      </c>
      <c r="F6929" s="4" t="n">
        <v>52600</v>
      </c>
    </row>
    <row r="6930">
      <c r="A6930" s="3" t="inlineStr">
        <is>
          <t>1</t>
        </is>
      </c>
      <c r="B6930" s="3" t="inlineStr">
        <is>
          <t>Trafo Kap : 1.250 Kva : Synthetic Oil Ester</t>
        </is>
      </c>
      <c r="C6930" s="3" t="inlineStr">
        <is>
          <t>unit</t>
        </is>
      </c>
      <c r="D6930" s="15" t="n">
        <v>1.1</v>
      </c>
      <c r="E6930" s="4" t="n">
        <v>500000000</v>
      </c>
      <c r="F6930" s="4" t="n">
        <v>550000000</v>
      </c>
    </row>
    <row r="6931">
      <c r="D6931" s="2" t="inlineStr">
        <is>
          <t>SUBTOTAL UPAH</t>
        </is>
      </c>
      <c r="F6931" s="16" t="n">
        <v>2003070</v>
      </c>
    </row>
    <row r="6932">
      <c r="D6932" s="2" t="inlineStr">
        <is>
          <t>SUBTOTAL BAHAN</t>
        </is>
      </c>
      <c r="F6932" s="16" t="n">
        <v>550000000</v>
      </c>
    </row>
    <row r="6933">
      <c r="D6933" s="2" t="inlineStr">
        <is>
          <t>SUBTOTAL ALAT</t>
        </is>
      </c>
      <c r="F6933" s="16" t="n">
        <v>0</v>
      </c>
    </row>
    <row r="6934">
      <c r="E6934" s="2" t="inlineStr">
        <is>
          <t>TOTAL HARGA SATUAN (Inc. Overhead)</t>
        </is>
      </c>
      <c r="F6934" s="17" t="n">
        <v>607203377</v>
      </c>
    </row>
    <row r="6936">
      <c r="A6936" s="14" t="inlineStr">
        <is>
          <t>KODE: 5.1.5.1 - Pemasanga 1 Unit Saklar Tunggal</t>
        </is>
      </c>
    </row>
    <row r="6937">
      <c r="A6937" s="10" t="inlineStr">
        <is>
          <t>No</t>
        </is>
      </c>
      <c r="B6937" s="10" t="inlineStr">
        <is>
          <t>Uraian Komponen</t>
        </is>
      </c>
      <c r="C6937" s="10" t="inlineStr">
        <is>
          <t>Satuan</t>
        </is>
      </c>
      <c r="D6937" s="10" t="inlineStr">
        <is>
          <t>Koef</t>
        </is>
      </c>
      <c r="E6937" s="10" t="inlineStr">
        <is>
          <t>Harga Satuan (Rp)</t>
        </is>
      </c>
      <c r="F6937" s="10" t="inlineStr">
        <is>
          <t>Jumlah Harga (Rp)</t>
        </is>
      </c>
    </row>
    <row r="6938">
      <c r="A6938" s="3" t="inlineStr">
        <is>
          <t>1</t>
        </is>
      </c>
      <c r="B6938" s="3" t="inlineStr">
        <is>
          <t>Pekerja</t>
        </is>
      </c>
      <c r="C6938" s="3" t="inlineStr">
        <is>
          <t>OH</t>
        </is>
      </c>
      <c r="D6938" s="15" t="n">
        <v>0.031</v>
      </c>
      <c r="E6938" s="4" t="n">
        <v>100000</v>
      </c>
      <c r="F6938" s="4" t="n">
        <v>3100</v>
      </c>
    </row>
    <row r="6939">
      <c r="A6939" s="3" t="inlineStr">
        <is>
          <t>2</t>
        </is>
      </c>
      <c r="B6939" s="3" t="inlineStr">
        <is>
          <t>Tukang Listrik</t>
        </is>
      </c>
      <c r="C6939" s="3" t="inlineStr">
        <is>
          <t>OH</t>
        </is>
      </c>
      <c r="D6939" s="15" t="n">
        <v>0.052</v>
      </c>
      <c r="E6939" s="4" t="n">
        <v>145000</v>
      </c>
      <c r="F6939" s="4" t="n">
        <v>7540</v>
      </c>
    </row>
    <row r="6940">
      <c r="A6940" s="3" t="inlineStr">
        <is>
          <t>3</t>
        </is>
      </c>
      <c r="B6940" s="3" t="inlineStr">
        <is>
          <t>Kepala tukang</t>
        </is>
      </c>
      <c r="C6940" s="3" t="inlineStr">
        <is>
          <t>OH</t>
        </is>
      </c>
      <c r="D6940" s="15" t="n">
        <v>0.005</v>
      </c>
      <c r="E6940" s="4" t="n">
        <v>175000</v>
      </c>
      <c r="F6940" s="4" t="n">
        <v>875</v>
      </c>
    </row>
    <row r="6941">
      <c r="A6941" s="3" t="inlineStr">
        <is>
          <t>4</t>
        </is>
      </c>
      <c r="B6941" s="3" t="inlineStr">
        <is>
          <t>Mandor</t>
        </is>
      </c>
      <c r="C6941" s="3" t="inlineStr">
        <is>
          <t>OH</t>
        </is>
      </c>
      <c r="D6941" s="15" t="n">
        <v>0.002</v>
      </c>
      <c r="E6941" s="4" t="n">
        <v>200000</v>
      </c>
      <c r="F6941" s="4" t="n">
        <v>400</v>
      </c>
    </row>
    <row r="6942">
      <c r="A6942" s="3" t="inlineStr">
        <is>
          <t>1</t>
        </is>
      </c>
      <c r="B6942" s="3" t="inlineStr">
        <is>
          <t>Saklar Tunggal</t>
        </is>
      </c>
      <c r="C6942" s="3" t="inlineStr">
        <is>
          <t>buah</t>
        </is>
      </c>
      <c r="D6942" s="15" t="n">
        <v>1.1</v>
      </c>
      <c r="E6942" s="4" t="n">
        <v>24000</v>
      </c>
      <c r="F6942" s="4" t="n">
        <v>26400</v>
      </c>
    </row>
    <row r="6943">
      <c r="D6943" s="2" t="inlineStr">
        <is>
          <t>SUBTOTAL UPAH</t>
        </is>
      </c>
      <c r="F6943" s="16" t="n">
        <v>11915</v>
      </c>
    </row>
    <row r="6944">
      <c r="D6944" s="2" t="inlineStr">
        <is>
          <t>SUBTOTAL BAHAN</t>
        </is>
      </c>
      <c r="F6944" s="16" t="n">
        <v>26400</v>
      </c>
    </row>
    <row r="6945">
      <c r="D6945" s="2" t="inlineStr">
        <is>
          <t>SUBTOTAL ALAT</t>
        </is>
      </c>
      <c r="F6945" s="16" t="n">
        <v>0</v>
      </c>
    </row>
    <row r="6946">
      <c r="E6946" s="2" t="inlineStr">
        <is>
          <t>TOTAL HARGA SATUAN (Inc. Overhead)</t>
        </is>
      </c>
      <c r="F6946" s="17" t="n">
        <v>42146</v>
      </c>
    </row>
    <row r="6948">
      <c r="A6948" s="14" t="inlineStr">
        <is>
          <t>KODE: 5.1.5.2 - Pemasanga 1 Unit Saklar Ganda</t>
        </is>
      </c>
    </row>
    <row r="6949">
      <c r="A6949" s="10" t="inlineStr">
        <is>
          <t>No</t>
        </is>
      </c>
      <c r="B6949" s="10" t="inlineStr">
        <is>
          <t>Uraian Komponen</t>
        </is>
      </c>
      <c r="C6949" s="10" t="inlineStr">
        <is>
          <t>Satuan</t>
        </is>
      </c>
      <c r="D6949" s="10" t="inlineStr">
        <is>
          <t>Koef</t>
        </is>
      </c>
      <c r="E6949" s="10" t="inlineStr">
        <is>
          <t>Harga Satuan (Rp)</t>
        </is>
      </c>
      <c r="F6949" s="10" t="inlineStr">
        <is>
          <t>Jumlah Harga (Rp)</t>
        </is>
      </c>
    </row>
    <row r="6950">
      <c r="A6950" s="3" t="inlineStr">
        <is>
          <t>1</t>
        </is>
      </c>
      <c r="B6950" s="3" t="inlineStr">
        <is>
          <t>Pekerja</t>
        </is>
      </c>
      <c r="C6950" s="3" t="inlineStr">
        <is>
          <t>OH</t>
        </is>
      </c>
      <c r="D6950" s="15" t="n">
        <v>0.031</v>
      </c>
      <c r="E6950" s="4" t="n">
        <v>100000</v>
      </c>
      <c r="F6950" s="4" t="n">
        <v>3100</v>
      </c>
    </row>
    <row r="6951">
      <c r="A6951" s="3" t="inlineStr">
        <is>
          <t>2</t>
        </is>
      </c>
      <c r="B6951" s="3" t="inlineStr">
        <is>
          <t>Tukang Listrik</t>
        </is>
      </c>
      <c r="C6951" s="3" t="inlineStr">
        <is>
          <t>OH</t>
        </is>
      </c>
      <c r="D6951" s="15" t="n">
        <v>0.052</v>
      </c>
      <c r="E6951" s="4" t="n">
        <v>145000</v>
      </c>
      <c r="F6951" s="4" t="n">
        <v>7540</v>
      </c>
    </row>
    <row r="6952">
      <c r="A6952" s="3" t="inlineStr">
        <is>
          <t>3</t>
        </is>
      </c>
      <c r="B6952" s="3" t="inlineStr">
        <is>
          <t>Kepala tukang</t>
        </is>
      </c>
      <c r="C6952" s="3" t="inlineStr">
        <is>
          <t>OH</t>
        </is>
      </c>
      <c r="D6952" s="15" t="n">
        <v>0.005</v>
      </c>
      <c r="E6952" s="4" t="n">
        <v>175000</v>
      </c>
      <c r="F6952" s="4" t="n">
        <v>875</v>
      </c>
    </row>
    <row r="6953">
      <c r="A6953" s="3" t="inlineStr">
        <is>
          <t>4</t>
        </is>
      </c>
      <c r="B6953" s="3" t="inlineStr">
        <is>
          <t>Mandor</t>
        </is>
      </c>
      <c r="C6953" s="3" t="inlineStr">
        <is>
          <t>OH</t>
        </is>
      </c>
      <c r="D6953" s="15" t="n">
        <v>0.002</v>
      </c>
      <c r="E6953" s="4" t="n">
        <v>200000</v>
      </c>
      <c r="F6953" s="4" t="n">
        <v>400</v>
      </c>
    </row>
    <row r="6954">
      <c r="A6954" s="3" t="inlineStr">
        <is>
          <t>1</t>
        </is>
      </c>
      <c r="B6954" s="3" t="inlineStr">
        <is>
          <t>Saklar Ganda</t>
        </is>
      </c>
      <c r="C6954" s="3" t="inlineStr">
        <is>
          <t>buah</t>
        </is>
      </c>
      <c r="D6954" s="15" t="n">
        <v>1.1</v>
      </c>
      <c r="E6954" s="4" t="n">
        <v>33000</v>
      </c>
      <c r="F6954" s="4" t="n">
        <v>36300</v>
      </c>
    </row>
    <row r="6955">
      <c r="D6955" s="2" t="inlineStr">
        <is>
          <t>SUBTOTAL UPAH</t>
        </is>
      </c>
      <c r="F6955" s="16" t="n">
        <v>11915</v>
      </c>
    </row>
    <row r="6956">
      <c r="D6956" s="2" t="inlineStr">
        <is>
          <t>SUBTOTAL BAHAN</t>
        </is>
      </c>
      <c r="F6956" s="16" t="n">
        <v>36300</v>
      </c>
    </row>
    <row r="6957">
      <c r="D6957" s="2" t="inlineStr">
        <is>
          <t>SUBTOTAL ALAT</t>
        </is>
      </c>
      <c r="F6957" s="16" t="n">
        <v>0</v>
      </c>
    </row>
    <row r="6958">
      <c r="E6958" s="2" t="inlineStr">
        <is>
          <t>TOTAL HARGA SATUAN (Inc. Overhead)</t>
        </is>
      </c>
      <c r="F6958" s="17" t="n">
        <v>53036</v>
      </c>
    </row>
    <row r="6960">
      <c r="A6960" s="14" t="inlineStr">
        <is>
          <t>KODE: 5.1.5.3 - Pemasanga 1 Unit Saklar Triple</t>
        </is>
      </c>
    </row>
    <row r="6961">
      <c r="A6961" s="10" t="inlineStr">
        <is>
          <t>No</t>
        </is>
      </c>
      <c r="B6961" s="10" t="inlineStr">
        <is>
          <t>Uraian Komponen</t>
        </is>
      </c>
      <c r="C6961" s="10" t="inlineStr">
        <is>
          <t>Satuan</t>
        </is>
      </c>
      <c r="D6961" s="10" t="inlineStr">
        <is>
          <t>Koef</t>
        </is>
      </c>
      <c r="E6961" s="10" t="inlineStr">
        <is>
          <t>Harga Satuan (Rp)</t>
        </is>
      </c>
      <c r="F6961" s="10" t="inlineStr">
        <is>
          <t>Jumlah Harga (Rp)</t>
        </is>
      </c>
    </row>
    <row r="6962">
      <c r="A6962" s="3" t="inlineStr">
        <is>
          <t>1</t>
        </is>
      </c>
      <c r="B6962" s="3" t="inlineStr">
        <is>
          <t>Pekerja</t>
        </is>
      </c>
      <c r="C6962" s="3" t="inlineStr">
        <is>
          <t>OH</t>
        </is>
      </c>
      <c r="D6962" s="15" t="n">
        <v>0.031</v>
      </c>
      <c r="E6962" s="4" t="n">
        <v>100000</v>
      </c>
      <c r="F6962" s="4" t="n">
        <v>3100</v>
      </c>
    </row>
    <row r="6963">
      <c r="A6963" s="3" t="inlineStr">
        <is>
          <t>2</t>
        </is>
      </c>
      <c r="B6963" s="3" t="inlineStr">
        <is>
          <t>Tukang Listrik</t>
        </is>
      </c>
      <c r="C6963" s="3" t="inlineStr">
        <is>
          <t>OH</t>
        </is>
      </c>
      <c r="D6963" s="15" t="n">
        <v>0.052</v>
      </c>
      <c r="E6963" s="4" t="n">
        <v>145000</v>
      </c>
      <c r="F6963" s="4" t="n">
        <v>7540</v>
      </c>
    </row>
    <row r="6964">
      <c r="A6964" s="3" t="inlineStr">
        <is>
          <t>3</t>
        </is>
      </c>
      <c r="B6964" s="3" t="inlineStr">
        <is>
          <t>Kepala tukang</t>
        </is>
      </c>
      <c r="C6964" s="3" t="inlineStr">
        <is>
          <t>OH</t>
        </is>
      </c>
      <c r="D6964" s="15" t="n">
        <v>0.005</v>
      </c>
      <c r="E6964" s="4" t="n">
        <v>175000</v>
      </c>
      <c r="F6964" s="4" t="n">
        <v>875</v>
      </c>
    </row>
    <row r="6965">
      <c r="A6965" s="3" t="inlineStr">
        <is>
          <t>4</t>
        </is>
      </c>
      <c r="B6965" s="3" t="inlineStr">
        <is>
          <t>Mandor</t>
        </is>
      </c>
      <c r="C6965" s="3" t="inlineStr">
        <is>
          <t>OH</t>
        </is>
      </c>
      <c r="D6965" s="15" t="n">
        <v>0.002</v>
      </c>
      <c r="E6965" s="4" t="n">
        <v>200000</v>
      </c>
      <c r="F6965" s="4" t="n">
        <v>400</v>
      </c>
    </row>
    <row r="6966">
      <c r="A6966" s="3" t="inlineStr">
        <is>
          <t>1</t>
        </is>
      </c>
      <c r="B6966" s="3" t="inlineStr">
        <is>
          <t>Saklar Triple</t>
        </is>
      </c>
      <c r="C6966" s="3" t="inlineStr">
        <is>
          <t>buah</t>
        </is>
      </c>
      <c r="D6966" s="15" t="n">
        <v>1.1</v>
      </c>
      <c r="E6966" s="4" t="n">
        <v>76000</v>
      </c>
      <c r="F6966" s="4" t="n">
        <v>83600</v>
      </c>
    </row>
    <row r="6967">
      <c r="D6967" s="2" t="inlineStr">
        <is>
          <t>SUBTOTAL UPAH</t>
        </is>
      </c>
      <c r="F6967" s="16" t="n">
        <v>11915</v>
      </c>
    </row>
    <row r="6968">
      <c r="D6968" s="2" t="inlineStr">
        <is>
          <t>SUBTOTAL BAHAN</t>
        </is>
      </c>
      <c r="F6968" s="16" t="n">
        <v>83600</v>
      </c>
    </row>
    <row r="6969">
      <c r="D6969" s="2" t="inlineStr">
        <is>
          <t>SUBTOTAL ALAT</t>
        </is>
      </c>
      <c r="F6969" s="16" t="n">
        <v>0</v>
      </c>
    </row>
    <row r="6970">
      <c r="E6970" s="2" t="inlineStr">
        <is>
          <t>TOTAL HARGA SATUAN (Inc. Overhead)</t>
        </is>
      </c>
      <c r="F6970" s="17" t="n">
        <v>105066</v>
      </c>
    </row>
    <row r="6972">
      <c r="A6972" s="14" t="inlineStr">
        <is>
          <t>KODE: 5.1.5.4 - Pemasanga 1 Unit Grid Switch 2 x 2</t>
        </is>
      </c>
    </row>
    <row r="6973">
      <c r="A6973" s="10" t="inlineStr">
        <is>
          <t>No</t>
        </is>
      </c>
      <c r="B6973" s="10" t="inlineStr">
        <is>
          <t>Uraian Komponen</t>
        </is>
      </c>
      <c r="C6973" s="10" t="inlineStr">
        <is>
          <t>Satuan</t>
        </is>
      </c>
      <c r="D6973" s="10" t="inlineStr">
        <is>
          <t>Koef</t>
        </is>
      </c>
      <c r="E6973" s="10" t="inlineStr">
        <is>
          <t>Harga Satuan (Rp)</t>
        </is>
      </c>
      <c r="F6973" s="10" t="inlineStr">
        <is>
          <t>Jumlah Harga (Rp)</t>
        </is>
      </c>
    </row>
    <row r="6974">
      <c r="A6974" s="3" t="inlineStr">
        <is>
          <t>1</t>
        </is>
      </c>
      <c r="B6974" s="3" t="inlineStr">
        <is>
          <t>Pekerja</t>
        </is>
      </c>
      <c r="C6974" s="3" t="inlineStr">
        <is>
          <t>OH</t>
        </is>
      </c>
      <c r="D6974" s="15" t="n">
        <v>0.074</v>
      </c>
      <c r="E6974" s="4" t="n">
        <v>100000</v>
      </c>
      <c r="F6974" s="4" t="n">
        <v>7400</v>
      </c>
    </row>
    <row r="6975">
      <c r="A6975" s="3" t="inlineStr">
        <is>
          <t>2</t>
        </is>
      </c>
      <c r="B6975" s="3" t="inlineStr">
        <is>
          <t>Tukang Listrik</t>
        </is>
      </c>
      <c r="C6975" s="3" t="inlineStr">
        <is>
          <t>OH</t>
        </is>
      </c>
      <c r="D6975" s="15" t="n">
        <v>0.123</v>
      </c>
      <c r="E6975" s="4" t="n">
        <v>145000</v>
      </c>
      <c r="F6975" s="4" t="n">
        <v>17835</v>
      </c>
    </row>
    <row r="6976">
      <c r="A6976" s="3" t="inlineStr">
        <is>
          <t>3</t>
        </is>
      </c>
      <c r="B6976" s="3" t="inlineStr">
        <is>
          <t>Kepala tukang</t>
        </is>
      </c>
      <c r="C6976" s="3" t="inlineStr">
        <is>
          <t>OH</t>
        </is>
      </c>
      <c r="D6976" s="15" t="n">
        <v>0.012</v>
      </c>
      <c r="E6976" s="4" t="n">
        <v>175000</v>
      </c>
      <c r="F6976" s="4" t="n">
        <v>2100</v>
      </c>
    </row>
    <row r="6977">
      <c r="A6977" s="3" t="inlineStr">
        <is>
          <t>4</t>
        </is>
      </c>
      <c r="B6977" s="3" t="inlineStr">
        <is>
          <t>Mandor</t>
        </is>
      </c>
      <c r="C6977" s="3" t="inlineStr">
        <is>
          <t>OH</t>
        </is>
      </c>
      <c r="D6977" s="15" t="n">
        <v>0.004</v>
      </c>
      <c r="E6977" s="4" t="n">
        <v>200000</v>
      </c>
      <c r="F6977" s="4" t="n">
        <v>800</v>
      </c>
    </row>
    <row r="6978">
      <c r="A6978" s="3" t="inlineStr">
        <is>
          <t>1</t>
        </is>
      </c>
      <c r="B6978" s="3" t="inlineStr">
        <is>
          <t>Grid Switch</t>
        </is>
      </c>
      <c r="C6978" s="3" t="inlineStr">
        <is>
          <t>buah</t>
        </is>
      </c>
      <c r="D6978" s="15" t="n">
        <v>1.1</v>
      </c>
      <c r="E6978" s="4" t="n">
        <v>108000</v>
      </c>
      <c r="F6978" s="4" t="n">
        <v>118800</v>
      </c>
    </row>
    <row r="6979">
      <c r="D6979" s="2" t="inlineStr">
        <is>
          <t>SUBTOTAL UPAH</t>
        </is>
      </c>
      <c r="F6979" s="16" t="n">
        <v>28135</v>
      </c>
    </row>
    <row r="6980">
      <c r="D6980" s="2" t="inlineStr">
        <is>
          <t>SUBTOTAL BAHAN</t>
        </is>
      </c>
      <c r="F6980" s="16" t="n">
        <v>118800</v>
      </c>
    </row>
    <row r="6981">
      <c r="D6981" s="2" t="inlineStr">
        <is>
          <t>SUBTOTAL ALAT</t>
        </is>
      </c>
      <c r="F6981" s="16" t="n">
        <v>0</v>
      </c>
    </row>
    <row r="6982">
      <c r="E6982" s="2" t="inlineStr">
        <is>
          <t>TOTAL HARGA SATUAN (Inc. Overhead)</t>
        </is>
      </c>
      <c r="F6982" s="17" t="n">
        <v>161628</v>
      </c>
    </row>
    <row r="6984">
      <c r="A6984" s="14" t="inlineStr">
        <is>
          <t>KODE: 5.1.5.5 - Pemasanga 1 Unit Grid Switch 2 x 12  dan 14</t>
        </is>
      </c>
    </row>
    <row r="6985">
      <c r="A6985" s="10" t="inlineStr">
        <is>
          <t>No</t>
        </is>
      </c>
      <c r="B6985" s="10" t="inlineStr">
        <is>
          <t>Uraian Komponen</t>
        </is>
      </c>
      <c r="C6985" s="10" t="inlineStr">
        <is>
          <t>Satuan</t>
        </is>
      </c>
      <c r="D6985" s="10" t="inlineStr">
        <is>
          <t>Koef</t>
        </is>
      </c>
      <c r="E6985" s="10" t="inlineStr">
        <is>
          <t>Harga Satuan (Rp)</t>
        </is>
      </c>
      <c r="F6985" s="10" t="inlineStr">
        <is>
          <t>Jumlah Harga (Rp)</t>
        </is>
      </c>
    </row>
    <row r="6986">
      <c r="A6986" s="3" t="inlineStr">
        <is>
          <t>1</t>
        </is>
      </c>
      <c r="B6986" s="3" t="inlineStr">
        <is>
          <t>Pekerja</t>
        </is>
      </c>
      <c r="C6986" s="3" t="inlineStr">
        <is>
          <t>OH</t>
        </is>
      </c>
      <c r="D6986" s="15" t="n">
        <v>0.145</v>
      </c>
      <c r="E6986" s="4" t="n">
        <v>100000</v>
      </c>
      <c r="F6986" s="4" t="n">
        <v>14500</v>
      </c>
    </row>
    <row r="6987">
      <c r="A6987" s="3" t="inlineStr">
        <is>
          <t>2</t>
        </is>
      </c>
      <c r="B6987" s="3" t="inlineStr">
        <is>
          <t>Tukang Listrik</t>
        </is>
      </c>
      <c r="C6987" s="3" t="inlineStr">
        <is>
          <t>OH</t>
        </is>
      </c>
      <c r="D6987" s="15" t="n">
        <v>0.243</v>
      </c>
      <c r="E6987" s="4" t="n">
        <v>145000</v>
      </c>
      <c r="F6987" s="4" t="n">
        <v>35235</v>
      </c>
    </row>
    <row r="6988">
      <c r="A6988" s="3" t="inlineStr">
        <is>
          <t>3</t>
        </is>
      </c>
      <c r="B6988" s="3" t="inlineStr">
        <is>
          <t>Kepala tukang</t>
        </is>
      </c>
      <c r="C6988" s="3" t="inlineStr">
        <is>
          <t>OH</t>
        </is>
      </c>
      <c r="D6988" s="15" t="n">
        <v>0.024</v>
      </c>
      <c r="E6988" s="4" t="n">
        <v>175000</v>
      </c>
      <c r="F6988" s="4" t="n">
        <v>4200</v>
      </c>
    </row>
    <row r="6989">
      <c r="A6989" s="3" t="inlineStr">
        <is>
          <t>4</t>
        </is>
      </c>
      <c r="B6989" s="3" t="inlineStr">
        <is>
          <t>Mandor</t>
        </is>
      </c>
      <c r="C6989" s="3" t="inlineStr">
        <is>
          <t>OH</t>
        </is>
      </c>
      <c r="D6989" s="15" t="n">
        <v>0.008</v>
      </c>
      <c r="E6989" s="4" t="n">
        <v>200000</v>
      </c>
      <c r="F6989" s="4" t="n">
        <v>1600</v>
      </c>
    </row>
    <row r="6990">
      <c r="A6990" s="3" t="inlineStr">
        <is>
          <t>1</t>
        </is>
      </c>
      <c r="B6990" s="3" t="inlineStr">
        <is>
          <t>Grid Switch</t>
        </is>
      </c>
      <c r="C6990" s="3" t="inlineStr">
        <is>
          <t>buah</t>
        </is>
      </c>
      <c r="D6990" s="15" t="n">
        <v>1.1</v>
      </c>
      <c r="E6990" s="4" t="n">
        <v>108000</v>
      </c>
      <c r="F6990" s="4" t="n">
        <v>118800</v>
      </c>
    </row>
    <row r="6991">
      <c r="D6991" s="2" t="inlineStr">
        <is>
          <t>SUBTOTAL UPAH</t>
        </is>
      </c>
      <c r="F6991" s="16" t="n">
        <v>55535</v>
      </c>
    </row>
    <row r="6992">
      <c r="D6992" s="2" t="inlineStr">
        <is>
          <t>SUBTOTAL BAHAN</t>
        </is>
      </c>
      <c r="F6992" s="16" t="n">
        <v>118800</v>
      </c>
    </row>
    <row r="6993">
      <c r="D6993" s="2" t="inlineStr">
        <is>
          <t>SUBTOTAL ALAT</t>
        </is>
      </c>
      <c r="F6993" s="16" t="n">
        <v>0</v>
      </c>
    </row>
    <row r="6994">
      <c r="E6994" s="2" t="inlineStr">
        <is>
          <t>TOTAL HARGA SATUAN (Inc. Overhead)</t>
        </is>
      </c>
      <c r="F6994" s="17" t="n">
        <v>191768</v>
      </c>
    </row>
    <row r="6996">
      <c r="A6996" s="14" t="inlineStr">
        <is>
          <t>KODE: 5.1.5.7 - Pemasanga 1 Unit Grid Switch 2 x 24</t>
        </is>
      </c>
    </row>
    <row r="6997">
      <c r="A6997" s="10" t="inlineStr">
        <is>
          <t>No</t>
        </is>
      </c>
      <c r="B6997" s="10" t="inlineStr">
        <is>
          <t>Uraian Komponen</t>
        </is>
      </c>
      <c r="C6997" s="10" t="inlineStr">
        <is>
          <t>Satuan</t>
        </is>
      </c>
      <c r="D6997" s="10" t="inlineStr">
        <is>
          <t>Koef</t>
        </is>
      </c>
      <c r="E6997" s="10" t="inlineStr">
        <is>
          <t>Harga Satuan (Rp)</t>
        </is>
      </c>
      <c r="F6997" s="10" t="inlineStr">
        <is>
          <t>Jumlah Harga (Rp)</t>
        </is>
      </c>
    </row>
    <row r="6998">
      <c r="A6998" s="3" t="inlineStr">
        <is>
          <t>1</t>
        </is>
      </c>
      <c r="B6998" s="3" t="inlineStr">
        <is>
          <t>Pekerja</t>
        </is>
      </c>
      <c r="C6998" s="3" t="inlineStr">
        <is>
          <t>OH</t>
        </is>
      </c>
      <c r="D6998" s="15" t="n">
        <v>0.219</v>
      </c>
      <c r="E6998" s="4" t="n">
        <v>100000</v>
      </c>
      <c r="F6998" s="4" t="n">
        <v>21900</v>
      </c>
    </row>
    <row r="6999">
      <c r="A6999" s="3" t="inlineStr">
        <is>
          <t>2</t>
        </is>
      </c>
      <c r="B6999" s="3" t="inlineStr">
        <is>
          <t>Tukang Listrik</t>
        </is>
      </c>
      <c r="C6999" s="3" t="inlineStr">
        <is>
          <t>OH</t>
        </is>
      </c>
      <c r="D6999" s="15" t="n">
        <v>0.366</v>
      </c>
      <c r="E6999" s="4" t="n">
        <v>145000</v>
      </c>
      <c r="F6999" s="4" t="n">
        <v>53070</v>
      </c>
    </row>
    <row r="7000">
      <c r="A7000" s="3" t="inlineStr">
        <is>
          <t>3</t>
        </is>
      </c>
      <c r="B7000" s="3" t="inlineStr">
        <is>
          <t>Kepala tukang</t>
        </is>
      </c>
      <c r="C7000" s="3" t="inlineStr">
        <is>
          <t>OH</t>
        </is>
      </c>
      <c r="D7000" s="15" t="n">
        <v>0.037</v>
      </c>
      <c r="E7000" s="4" t="n">
        <v>175000</v>
      </c>
      <c r="F7000" s="4" t="n">
        <v>6475</v>
      </c>
    </row>
    <row r="7001">
      <c r="A7001" s="3" t="inlineStr">
        <is>
          <t>4</t>
        </is>
      </c>
      <c r="B7001" s="3" t="inlineStr">
        <is>
          <t>Mandor</t>
        </is>
      </c>
      <c r="C7001" s="3" t="inlineStr">
        <is>
          <t>OH</t>
        </is>
      </c>
      <c r="D7001" s="15" t="n">
        <v>0.012</v>
      </c>
      <c r="E7001" s="4" t="n">
        <v>200000</v>
      </c>
      <c r="F7001" s="4" t="n">
        <v>2400</v>
      </c>
    </row>
    <row r="7002">
      <c r="A7002" s="3" t="inlineStr">
        <is>
          <t>1</t>
        </is>
      </c>
      <c r="B7002" s="3" t="inlineStr">
        <is>
          <t>Grid Switch</t>
        </is>
      </c>
      <c r="C7002" s="3" t="inlineStr">
        <is>
          <t>buah</t>
        </is>
      </c>
      <c r="D7002" s="15" t="n">
        <v>1.1</v>
      </c>
      <c r="E7002" s="4" t="n">
        <v>108000</v>
      </c>
      <c r="F7002" s="4" t="n">
        <v>118800</v>
      </c>
    </row>
    <row r="7003">
      <c r="D7003" s="2" t="inlineStr">
        <is>
          <t>SUBTOTAL UPAH</t>
        </is>
      </c>
      <c r="F7003" s="16" t="n">
        <v>83845</v>
      </c>
    </row>
    <row r="7004">
      <c r="D7004" s="2" t="inlineStr">
        <is>
          <t>SUBTOTAL BAHAN</t>
        </is>
      </c>
      <c r="F7004" s="16" t="n">
        <v>118800</v>
      </c>
    </row>
    <row r="7005">
      <c r="D7005" s="2" t="inlineStr">
        <is>
          <t>SUBTOTAL ALAT</t>
        </is>
      </c>
      <c r="F7005" s="16" t="n">
        <v>0</v>
      </c>
    </row>
    <row r="7006">
      <c r="E7006" s="2" t="inlineStr">
        <is>
          <t>TOTAL HARGA SATUAN (Inc. Overhead)</t>
        </is>
      </c>
      <c r="F7006" s="17" t="n">
        <v>222909</v>
      </c>
    </row>
    <row r="7008">
      <c r="A7008" s="14" t="inlineStr">
        <is>
          <t>KODE: 5.1.5.8 - Pemasanga 1 Unit Grid Switch 4 x 2 Gang</t>
        </is>
      </c>
    </row>
    <row r="7009">
      <c r="A7009" s="10" t="inlineStr">
        <is>
          <t>No</t>
        </is>
      </c>
      <c r="B7009" s="10" t="inlineStr">
        <is>
          <t>Uraian Komponen</t>
        </is>
      </c>
      <c r="C7009" s="10" t="inlineStr">
        <is>
          <t>Satuan</t>
        </is>
      </c>
      <c r="D7009" s="10" t="inlineStr">
        <is>
          <t>Koef</t>
        </is>
      </c>
      <c r="E7009" s="10" t="inlineStr">
        <is>
          <t>Harga Satuan (Rp)</t>
        </is>
      </c>
      <c r="F7009" s="10" t="inlineStr">
        <is>
          <t>Jumlah Harga (Rp)</t>
        </is>
      </c>
    </row>
    <row r="7010">
      <c r="A7010" s="3" t="inlineStr">
        <is>
          <t>1</t>
        </is>
      </c>
      <c r="B7010" s="3" t="inlineStr">
        <is>
          <t>Pekerja</t>
        </is>
      </c>
      <c r="C7010" s="3" t="inlineStr">
        <is>
          <t>OH</t>
        </is>
      </c>
      <c r="D7010" s="15" t="n">
        <v>0.145</v>
      </c>
      <c r="E7010" s="4" t="n">
        <v>100000</v>
      </c>
      <c r="F7010" s="4" t="n">
        <v>14500</v>
      </c>
    </row>
    <row r="7011">
      <c r="A7011" s="3" t="inlineStr">
        <is>
          <t>2</t>
        </is>
      </c>
      <c r="B7011" s="3" t="inlineStr">
        <is>
          <t>Tukang Listrik</t>
        </is>
      </c>
      <c r="C7011" s="3" t="inlineStr">
        <is>
          <t>OH</t>
        </is>
      </c>
      <c r="D7011" s="15" t="n">
        <v>0.243</v>
      </c>
      <c r="E7011" s="4" t="n">
        <v>145000</v>
      </c>
      <c r="F7011" s="4" t="n">
        <v>35235</v>
      </c>
    </row>
    <row r="7012">
      <c r="A7012" s="3" t="inlineStr">
        <is>
          <t>3</t>
        </is>
      </c>
      <c r="B7012" s="3" t="inlineStr">
        <is>
          <t>Kepala tukang</t>
        </is>
      </c>
      <c r="C7012" s="3" t="inlineStr">
        <is>
          <t>OH</t>
        </is>
      </c>
      <c r="D7012" s="15" t="n">
        <v>0.024</v>
      </c>
      <c r="E7012" s="4" t="n">
        <v>175000</v>
      </c>
      <c r="F7012" s="4" t="n">
        <v>4200</v>
      </c>
    </row>
    <row r="7013">
      <c r="A7013" s="3" t="inlineStr">
        <is>
          <t>4</t>
        </is>
      </c>
      <c r="B7013" s="3" t="inlineStr">
        <is>
          <t>Mandor</t>
        </is>
      </c>
      <c r="C7013" s="3" t="inlineStr">
        <is>
          <t>OH</t>
        </is>
      </c>
      <c r="D7013" s="15" t="n">
        <v>0.008</v>
      </c>
      <c r="E7013" s="4" t="n">
        <v>200000</v>
      </c>
      <c r="F7013" s="4" t="n">
        <v>1600</v>
      </c>
    </row>
    <row r="7014">
      <c r="A7014" s="3" t="inlineStr">
        <is>
          <t>1</t>
        </is>
      </c>
      <c r="B7014" s="3" t="inlineStr">
        <is>
          <t>Grid Switch 4 x 2 Gang</t>
        </is>
      </c>
      <c r="C7014" s="3" t="inlineStr">
        <is>
          <t>buah</t>
        </is>
      </c>
      <c r="D7014" s="15" t="n">
        <v>1.1</v>
      </c>
      <c r="E7014" s="4" t="n">
        <v>180000</v>
      </c>
      <c r="F7014" s="4" t="n">
        <v>198000</v>
      </c>
    </row>
    <row r="7015">
      <c r="D7015" s="2" t="inlineStr">
        <is>
          <t>SUBTOTAL UPAH</t>
        </is>
      </c>
      <c r="F7015" s="16" t="n">
        <v>55535</v>
      </c>
    </row>
    <row r="7016">
      <c r="D7016" s="2" t="inlineStr">
        <is>
          <t>SUBTOTAL BAHAN</t>
        </is>
      </c>
      <c r="F7016" s="16" t="n">
        <v>198000</v>
      </c>
    </row>
    <row r="7017">
      <c r="D7017" s="2" t="inlineStr">
        <is>
          <t>SUBTOTAL ALAT</t>
        </is>
      </c>
      <c r="F7017" s="16" t="n">
        <v>0</v>
      </c>
    </row>
    <row r="7018">
      <c r="E7018" s="2" t="inlineStr">
        <is>
          <t>TOTAL HARGA SATUAN (Inc. Overhead)</t>
        </is>
      </c>
      <c r="F7018" s="17" t="n">
        <v>278888</v>
      </c>
    </row>
    <row r="7020">
      <c r="A7020" s="14" t="inlineStr">
        <is>
          <t>KODE: 5.1.5.9 - Pemasangan 1 Unit Stop Kontak 1 P, 10 A, 200 W</t>
        </is>
      </c>
    </row>
    <row r="7021">
      <c r="A7021" s="10" t="inlineStr">
        <is>
          <t>No</t>
        </is>
      </c>
      <c r="B7021" s="10" t="inlineStr">
        <is>
          <t>Uraian Komponen</t>
        </is>
      </c>
      <c r="C7021" s="10" t="inlineStr">
        <is>
          <t>Satuan</t>
        </is>
      </c>
      <c r="D7021" s="10" t="inlineStr">
        <is>
          <t>Koef</t>
        </is>
      </c>
      <c r="E7021" s="10" t="inlineStr">
        <is>
          <t>Harga Satuan (Rp)</t>
        </is>
      </c>
      <c r="F7021" s="10" t="inlineStr">
        <is>
          <t>Jumlah Harga (Rp)</t>
        </is>
      </c>
    </row>
    <row r="7022">
      <c r="A7022" s="3" t="inlineStr">
        <is>
          <t>1</t>
        </is>
      </c>
      <c r="B7022" s="3" t="inlineStr">
        <is>
          <t>Pekerja</t>
        </is>
      </c>
      <c r="C7022" s="3" t="inlineStr">
        <is>
          <t>OH</t>
        </is>
      </c>
      <c r="D7022" s="15" t="n">
        <v>0.026</v>
      </c>
      <c r="E7022" s="4" t="n">
        <v>100000</v>
      </c>
      <c r="F7022" s="4" t="n">
        <v>2600</v>
      </c>
    </row>
    <row r="7023">
      <c r="A7023" s="3" t="inlineStr">
        <is>
          <t>2</t>
        </is>
      </c>
      <c r="B7023" s="3" t="inlineStr">
        <is>
          <t>Tukang Listrik</t>
        </is>
      </c>
      <c r="C7023" s="3" t="inlineStr">
        <is>
          <t>OH</t>
        </is>
      </c>
      <c r="D7023" s="15" t="n">
        <v>0.044</v>
      </c>
      <c r="E7023" s="4" t="n">
        <v>145000</v>
      </c>
      <c r="F7023" s="4" t="n">
        <v>6380</v>
      </c>
    </row>
    <row r="7024">
      <c r="A7024" s="3" t="inlineStr">
        <is>
          <t>3</t>
        </is>
      </c>
      <c r="B7024" s="3" t="inlineStr">
        <is>
          <t>Kepala tukang</t>
        </is>
      </c>
      <c r="C7024" s="3" t="inlineStr">
        <is>
          <t>OH</t>
        </is>
      </c>
      <c r="D7024" s="15" t="n">
        <v>0.004</v>
      </c>
      <c r="E7024" s="4" t="n">
        <v>175000</v>
      </c>
      <c r="F7024" s="4" t="n">
        <v>700</v>
      </c>
    </row>
    <row r="7025">
      <c r="A7025" s="3" t="inlineStr">
        <is>
          <t>4</t>
        </is>
      </c>
      <c r="B7025" s="3" t="inlineStr">
        <is>
          <t>Mandor</t>
        </is>
      </c>
      <c r="C7025" s="3" t="inlineStr">
        <is>
          <t>OH</t>
        </is>
      </c>
      <c r="D7025" s="15" t="n">
        <v>0.001</v>
      </c>
      <c r="E7025" s="4" t="n">
        <v>200000</v>
      </c>
      <c r="F7025" s="4" t="n">
        <v>200</v>
      </c>
    </row>
    <row r="7026">
      <c r="A7026" s="3" t="inlineStr">
        <is>
          <t>1</t>
        </is>
      </c>
      <c r="B7026" s="3" t="inlineStr">
        <is>
          <t>"Stop Kontak 1 P 10 A 200 W"</t>
        </is>
      </c>
      <c r="C7026" s="3" t="inlineStr">
        <is>
          <t>buah</t>
        </is>
      </c>
      <c r="D7026" s="15" t="n">
        <v>1.1</v>
      </c>
      <c r="E7026" s="4" t="n">
        <v>45000</v>
      </c>
      <c r="F7026" s="4" t="n">
        <v>49500.00000000001</v>
      </c>
    </row>
    <row r="7027">
      <c r="D7027" s="2" t="inlineStr">
        <is>
          <t>SUBTOTAL UPAH</t>
        </is>
      </c>
      <c r="F7027" s="16" t="n">
        <v>9880</v>
      </c>
    </row>
    <row r="7028">
      <c r="D7028" s="2" t="inlineStr">
        <is>
          <t>SUBTOTAL BAHAN</t>
        </is>
      </c>
      <c r="F7028" s="16" t="n">
        <v>49500.00000000001</v>
      </c>
    </row>
    <row r="7029">
      <c r="D7029" s="2" t="inlineStr">
        <is>
          <t>SUBTOTAL ALAT</t>
        </is>
      </c>
      <c r="F7029" s="16" t="n">
        <v>0</v>
      </c>
    </row>
    <row r="7030">
      <c r="E7030" s="2" t="inlineStr">
        <is>
          <t>TOTAL HARGA SATUAN (Inc. Overhead)</t>
        </is>
      </c>
      <c r="F7030" s="17" t="n">
        <v>65318</v>
      </c>
    </row>
    <row r="7032">
      <c r="A7032" s="14" t="inlineStr">
        <is>
          <t>KODE: 5.1.5.10 - Pemasangan 1 Unit Stop Kontak 1 P, 10 A, 200 W + cover</t>
        </is>
      </c>
    </row>
    <row r="7033">
      <c r="A7033" s="10" t="inlineStr">
        <is>
          <t>No</t>
        </is>
      </c>
      <c r="B7033" s="10" t="inlineStr">
        <is>
          <t>Uraian Komponen</t>
        </is>
      </c>
      <c r="C7033" s="10" t="inlineStr">
        <is>
          <t>Satuan</t>
        </is>
      </c>
      <c r="D7033" s="10" t="inlineStr">
        <is>
          <t>Koef</t>
        </is>
      </c>
      <c r="E7033" s="10" t="inlineStr">
        <is>
          <t>Harga Satuan (Rp)</t>
        </is>
      </c>
      <c r="F7033" s="10" t="inlineStr">
        <is>
          <t>Jumlah Harga (Rp)</t>
        </is>
      </c>
    </row>
    <row r="7034">
      <c r="A7034" s="3" t="inlineStr">
        <is>
          <t>1</t>
        </is>
      </c>
      <c r="B7034" s="3" t="inlineStr">
        <is>
          <t>Pekerja</t>
        </is>
      </c>
      <c r="C7034" s="3" t="inlineStr">
        <is>
          <t>OH</t>
        </is>
      </c>
      <c r="D7034" s="15" t="n">
        <v>0.026</v>
      </c>
      <c r="E7034" s="4" t="n">
        <v>100000</v>
      </c>
      <c r="F7034" s="4" t="n">
        <v>2600</v>
      </c>
    </row>
    <row r="7035">
      <c r="A7035" s="3" t="inlineStr">
        <is>
          <t>2</t>
        </is>
      </c>
      <c r="B7035" s="3" t="inlineStr">
        <is>
          <t>Tukang Listrik</t>
        </is>
      </c>
      <c r="C7035" s="3" t="inlineStr">
        <is>
          <t>OH</t>
        </is>
      </c>
      <c r="D7035" s="15" t="n">
        <v>0.044</v>
      </c>
      <c r="E7035" s="4" t="n">
        <v>145000</v>
      </c>
      <c r="F7035" s="4" t="n">
        <v>6380</v>
      </c>
    </row>
    <row r="7036">
      <c r="A7036" s="3" t="inlineStr">
        <is>
          <t>3</t>
        </is>
      </c>
      <c r="B7036" s="3" t="inlineStr">
        <is>
          <t>Kepala tukang</t>
        </is>
      </c>
      <c r="C7036" s="3" t="inlineStr">
        <is>
          <t>OH</t>
        </is>
      </c>
      <c r="D7036" s="15" t="n">
        <v>0.004</v>
      </c>
      <c r="E7036" s="4" t="n">
        <v>175000</v>
      </c>
      <c r="F7036" s="4" t="n">
        <v>700</v>
      </c>
    </row>
    <row r="7037">
      <c r="A7037" s="3" t="inlineStr">
        <is>
          <t>4</t>
        </is>
      </c>
      <c r="B7037" s="3" t="inlineStr">
        <is>
          <t>Mandor</t>
        </is>
      </c>
      <c r="C7037" s="3" t="inlineStr">
        <is>
          <t>OH</t>
        </is>
      </c>
      <c r="D7037" s="15" t="n">
        <v>0.001</v>
      </c>
      <c r="E7037" s="4" t="n">
        <v>200000</v>
      </c>
      <c r="F7037" s="4" t="n">
        <v>200</v>
      </c>
    </row>
    <row r="7038">
      <c r="A7038" s="3" t="inlineStr">
        <is>
          <t>1</t>
        </is>
      </c>
      <c r="B7038" s="3" t="inlineStr">
        <is>
          <t>"Stop Kontak 1 P 10 A 200 W + cover"</t>
        </is>
      </c>
      <c r="C7038" s="3" t="inlineStr">
        <is>
          <t>buah</t>
        </is>
      </c>
      <c r="D7038" s="15" t="n">
        <v>1.1</v>
      </c>
      <c r="E7038" s="4" t="n">
        <v>60000</v>
      </c>
      <c r="F7038" s="4" t="n">
        <v>66000</v>
      </c>
    </row>
    <row r="7039">
      <c r="D7039" s="2" t="inlineStr">
        <is>
          <t>SUBTOTAL UPAH</t>
        </is>
      </c>
      <c r="F7039" s="16" t="n">
        <v>9880</v>
      </c>
    </row>
    <row r="7040">
      <c r="D7040" s="2" t="inlineStr">
        <is>
          <t>SUBTOTAL BAHAN</t>
        </is>
      </c>
      <c r="F7040" s="16" t="n">
        <v>66000</v>
      </c>
    </row>
    <row r="7041">
      <c r="D7041" s="2" t="inlineStr">
        <is>
          <t>SUBTOTAL ALAT</t>
        </is>
      </c>
      <c r="F7041" s="16" t="n">
        <v>0</v>
      </c>
    </row>
    <row r="7042">
      <c r="E7042" s="2" t="inlineStr">
        <is>
          <t>TOTAL HARGA SATUAN (Inc. Overhead)</t>
        </is>
      </c>
      <c r="F7042" s="17" t="n">
        <v>83468</v>
      </c>
    </row>
    <row r="7044">
      <c r="A7044" s="14" t="inlineStr">
        <is>
          <t>KODE: 5.1.5.11 - Pemasangan 1 Unit Stop Kontak Hand Dryer 1 Ph 1.000 W</t>
        </is>
      </c>
    </row>
    <row r="7045">
      <c r="A7045" s="10" t="inlineStr">
        <is>
          <t>No</t>
        </is>
      </c>
      <c r="B7045" s="10" t="inlineStr">
        <is>
          <t>Uraian Komponen</t>
        </is>
      </c>
      <c r="C7045" s="10" t="inlineStr">
        <is>
          <t>Satuan</t>
        </is>
      </c>
      <c r="D7045" s="10" t="inlineStr">
        <is>
          <t>Koef</t>
        </is>
      </c>
      <c r="E7045" s="10" t="inlineStr">
        <is>
          <t>Harga Satuan (Rp)</t>
        </is>
      </c>
      <c r="F7045" s="10" t="inlineStr">
        <is>
          <t>Jumlah Harga (Rp)</t>
        </is>
      </c>
    </row>
    <row r="7046">
      <c r="A7046" s="3" t="inlineStr">
        <is>
          <t>1</t>
        </is>
      </c>
      <c r="B7046" s="3" t="inlineStr">
        <is>
          <t>Pekerja</t>
        </is>
      </c>
      <c r="C7046" s="3" t="inlineStr">
        <is>
          <t>OH</t>
        </is>
      </c>
      <c r="D7046" s="15" t="n">
        <v>0.026</v>
      </c>
      <c r="E7046" s="4" t="n">
        <v>100000</v>
      </c>
      <c r="F7046" s="4" t="n">
        <v>2600</v>
      </c>
    </row>
    <row r="7047">
      <c r="A7047" s="3" t="inlineStr">
        <is>
          <t>2</t>
        </is>
      </c>
      <c r="B7047" s="3" t="inlineStr">
        <is>
          <t>Tukang Listrik</t>
        </is>
      </c>
      <c r="C7047" s="3" t="inlineStr">
        <is>
          <t>OH</t>
        </is>
      </c>
      <c r="D7047" s="15" t="n">
        <v>0.044</v>
      </c>
      <c r="E7047" s="4" t="n">
        <v>145000</v>
      </c>
      <c r="F7047" s="4" t="n">
        <v>6380</v>
      </c>
    </row>
    <row r="7048">
      <c r="A7048" s="3" t="inlineStr">
        <is>
          <t>3</t>
        </is>
      </c>
      <c r="B7048" s="3" t="inlineStr">
        <is>
          <t>Kepala tukang</t>
        </is>
      </c>
      <c r="C7048" s="3" t="inlineStr">
        <is>
          <t>OH</t>
        </is>
      </c>
      <c r="D7048" s="15" t="n">
        <v>0.004</v>
      </c>
      <c r="E7048" s="4" t="n">
        <v>175000</v>
      </c>
      <c r="F7048" s="4" t="n">
        <v>700</v>
      </c>
    </row>
    <row r="7049">
      <c r="A7049" s="3" t="inlineStr">
        <is>
          <t>4</t>
        </is>
      </c>
      <c r="B7049" s="3" t="inlineStr">
        <is>
          <t>Mandor</t>
        </is>
      </c>
      <c r="C7049" s="3" t="inlineStr">
        <is>
          <t>OH</t>
        </is>
      </c>
      <c r="D7049" s="15" t="n">
        <v>0.001</v>
      </c>
      <c r="E7049" s="4" t="n">
        <v>200000</v>
      </c>
      <c r="F7049" s="4" t="n">
        <v>200</v>
      </c>
    </row>
    <row r="7050">
      <c r="A7050" s="3" t="inlineStr">
        <is>
          <t>1</t>
        </is>
      </c>
      <c r="B7050" s="3" t="inlineStr">
        <is>
          <t>Stop Kontak Hand Dryer 1 Ph 1.000 W dan aksesoris</t>
        </is>
      </c>
      <c r="C7050" s="3" t="inlineStr">
        <is>
          <t>buah</t>
        </is>
      </c>
      <c r="D7050" s="15" t="n">
        <v>1.1</v>
      </c>
      <c r="E7050" s="4" t="n">
        <v>80000</v>
      </c>
      <c r="F7050" s="4" t="n">
        <v>88000</v>
      </c>
    </row>
    <row r="7051">
      <c r="D7051" s="2" t="inlineStr">
        <is>
          <t>SUBTOTAL UPAH</t>
        </is>
      </c>
      <c r="F7051" s="16" t="n">
        <v>9880</v>
      </c>
    </row>
    <row r="7052">
      <c r="D7052" s="2" t="inlineStr">
        <is>
          <t>SUBTOTAL BAHAN</t>
        </is>
      </c>
      <c r="F7052" s="16" t="n">
        <v>88000</v>
      </c>
    </row>
    <row r="7053">
      <c r="D7053" s="2" t="inlineStr">
        <is>
          <t>SUBTOTAL ALAT</t>
        </is>
      </c>
      <c r="F7053" s="16" t="n">
        <v>0</v>
      </c>
    </row>
    <row r="7054">
      <c r="E7054" s="2" t="inlineStr">
        <is>
          <t>TOTAL HARGA SATUAN (Inc. Overhead)</t>
        </is>
      </c>
      <c r="F7054" s="17" t="n">
        <v>107668</v>
      </c>
    </row>
    <row r="7056">
      <c r="A7056" s="14" t="inlineStr">
        <is>
          <t>KODE: 5.1.5.12 - Pemasanga 1 Unit Stop Kontak AC</t>
        </is>
      </c>
    </row>
    <row r="7057">
      <c r="A7057" s="10" t="inlineStr">
        <is>
          <t>No</t>
        </is>
      </c>
      <c r="B7057" s="10" t="inlineStr">
        <is>
          <t>Uraian Komponen</t>
        </is>
      </c>
      <c r="C7057" s="10" t="inlineStr">
        <is>
          <t>Satuan</t>
        </is>
      </c>
      <c r="D7057" s="10" t="inlineStr">
        <is>
          <t>Koef</t>
        </is>
      </c>
      <c r="E7057" s="10" t="inlineStr">
        <is>
          <t>Harga Satuan (Rp)</t>
        </is>
      </c>
      <c r="F7057" s="10" t="inlineStr">
        <is>
          <t>Jumlah Harga (Rp)</t>
        </is>
      </c>
    </row>
    <row r="7058">
      <c r="A7058" s="3" t="inlineStr">
        <is>
          <t>1</t>
        </is>
      </c>
      <c r="B7058" s="3" t="inlineStr">
        <is>
          <t>Pekerja</t>
        </is>
      </c>
      <c r="C7058" s="3" t="inlineStr">
        <is>
          <t>OH</t>
        </is>
      </c>
      <c r="D7058" s="15" t="n">
        <v>0.038</v>
      </c>
      <c r="E7058" s="4" t="n">
        <v>100000</v>
      </c>
      <c r="F7058" s="4" t="n">
        <v>3800</v>
      </c>
    </row>
    <row r="7059">
      <c r="A7059" s="3" t="inlineStr">
        <is>
          <t>2</t>
        </is>
      </c>
      <c r="B7059" s="3" t="inlineStr">
        <is>
          <t>Tukang Listrik</t>
        </is>
      </c>
      <c r="C7059" s="3" t="inlineStr">
        <is>
          <t>OH</t>
        </is>
      </c>
      <c r="D7059" s="15" t="n">
        <v>0.064</v>
      </c>
      <c r="E7059" s="4" t="n">
        <v>145000</v>
      </c>
      <c r="F7059" s="4" t="n">
        <v>9280</v>
      </c>
    </row>
    <row r="7060">
      <c r="A7060" s="3" t="inlineStr">
        <is>
          <t>3</t>
        </is>
      </c>
      <c r="B7060" s="3" t="inlineStr">
        <is>
          <t>Kepala tukang</t>
        </is>
      </c>
      <c r="C7060" s="3" t="inlineStr">
        <is>
          <t>OH</t>
        </is>
      </c>
      <c r="D7060" s="15" t="n">
        <v>0.006</v>
      </c>
      <c r="E7060" s="4" t="n">
        <v>175000</v>
      </c>
      <c r="F7060" s="4" t="n">
        <v>1050</v>
      </c>
    </row>
    <row r="7061">
      <c r="A7061" s="3" t="inlineStr">
        <is>
          <t>4</t>
        </is>
      </c>
      <c r="B7061" s="3" t="inlineStr">
        <is>
          <t>Mandor</t>
        </is>
      </c>
      <c r="C7061" s="3" t="inlineStr">
        <is>
          <t>OH</t>
        </is>
      </c>
      <c r="D7061" s="15" t="n">
        <v>0.002</v>
      </c>
      <c r="E7061" s="4" t="n">
        <v>200000</v>
      </c>
      <c r="F7061" s="4" t="n">
        <v>400</v>
      </c>
    </row>
    <row r="7062">
      <c r="A7062" s="3" t="inlineStr">
        <is>
          <t>1</t>
        </is>
      </c>
      <c r="B7062" s="3" t="inlineStr">
        <is>
          <t>Stop Kontak AC</t>
        </is>
      </c>
      <c r="C7062" s="3" t="inlineStr">
        <is>
          <t>buah</t>
        </is>
      </c>
      <c r="D7062" s="15" t="n">
        <v>1.1</v>
      </c>
      <c r="E7062" s="4" t="n">
        <v>67900</v>
      </c>
      <c r="F7062" s="4" t="n">
        <v>74690</v>
      </c>
    </row>
    <row r="7063">
      <c r="D7063" s="2" t="inlineStr">
        <is>
          <t>SUBTOTAL UPAH</t>
        </is>
      </c>
      <c r="F7063" s="16" t="n">
        <v>14530</v>
      </c>
    </row>
    <row r="7064">
      <c r="D7064" s="2" t="inlineStr">
        <is>
          <t>SUBTOTAL BAHAN</t>
        </is>
      </c>
      <c r="F7064" s="16" t="n">
        <v>74690</v>
      </c>
    </row>
    <row r="7065">
      <c r="D7065" s="2" t="inlineStr">
        <is>
          <t>SUBTOTAL ALAT</t>
        </is>
      </c>
      <c r="F7065" s="16" t="n">
        <v>0</v>
      </c>
    </row>
    <row r="7066">
      <c r="E7066" s="2" t="inlineStr">
        <is>
          <t>TOTAL HARGA SATUAN (Inc. Overhead)</t>
        </is>
      </c>
      <c r="F7066" s="17" t="n">
        <v>98142</v>
      </c>
    </row>
    <row r="7068">
      <c r="A7068" s="14" t="inlineStr">
        <is>
          <t>KODE: 5.1.5.13 - Pemasanga 1 titik Instalasi Stop Kontak</t>
        </is>
      </c>
    </row>
    <row r="7069">
      <c r="A7069" s="10" t="inlineStr">
        <is>
          <t>No</t>
        </is>
      </c>
      <c r="B7069" s="10" t="inlineStr">
        <is>
          <t>Uraian Komponen</t>
        </is>
      </c>
      <c r="C7069" s="10" t="inlineStr">
        <is>
          <t>Satuan</t>
        </is>
      </c>
      <c r="D7069" s="10" t="inlineStr">
        <is>
          <t>Koef</t>
        </is>
      </c>
      <c r="E7069" s="10" t="inlineStr">
        <is>
          <t>Harga Satuan (Rp)</t>
        </is>
      </c>
      <c r="F7069" s="10" t="inlineStr">
        <is>
          <t>Jumlah Harga (Rp)</t>
        </is>
      </c>
    </row>
    <row r="7070">
      <c r="A7070" s="3" t="inlineStr">
        <is>
          <t>1</t>
        </is>
      </c>
      <c r="B7070" s="3" t="inlineStr">
        <is>
          <t>Pekerja</t>
        </is>
      </c>
      <c r="C7070" s="3" t="inlineStr">
        <is>
          <t>OH</t>
        </is>
      </c>
      <c r="D7070" s="15" t="n">
        <v>0.205</v>
      </c>
      <c r="E7070" s="4" t="n">
        <v>100000</v>
      </c>
      <c r="F7070" s="4" t="n">
        <v>20500</v>
      </c>
    </row>
    <row r="7071">
      <c r="A7071" s="3" t="inlineStr">
        <is>
          <t>2</t>
        </is>
      </c>
      <c r="B7071" s="3" t="inlineStr">
        <is>
          <t>Tukang Listrik</t>
        </is>
      </c>
      <c r="C7071" s="3" t="inlineStr">
        <is>
          <t>OH</t>
        </is>
      </c>
      <c r="D7071" s="15" t="n">
        <v>0.342</v>
      </c>
      <c r="E7071" s="4" t="n">
        <v>145000</v>
      </c>
      <c r="F7071" s="4" t="n">
        <v>49590.00000000001</v>
      </c>
    </row>
    <row r="7072">
      <c r="A7072" s="3" t="inlineStr">
        <is>
          <t>3</t>
        </is>
      </c>
      <c r="B7072" s="3" t="inlineStr">
        <is>
          <t>Kepala tukang</t>
        </is>
      </c>
      <c r="C7072" s="3" t="inlineStr">
        <is>
          <t>OH</t>
        </is>
      </c>
      <c r="D7072" s="15" t="n">
        <v>0.034</v>
      </c>
      <c r="E7072" s="4" t="n">
        <v>175000</v>
      </c>
      <c r="F7072" s="4" t="n">
        <v>5950</v>
      </c>
    </row>
    <row r="7073">
      <c r="A7073" s="3" t="inlineStr">
        <is>
          <t>4</t>
        </is>
      </c>
      <c r="B7073" s="3" t="inlineStr">
        <is>
          <t>Mandor</t>
        </is>
      </c>
      <c r="C7073" s="3" t="inlineStr">
        <is>
          <t>OH</t>
        </is>
      </c>
      <c r="D7073" s="15" t="n">
        <v>0.011</v>
      </c>
      <c r="E7073" s="4" t="n">
        <v>200000</v>
      </c>
      <c r="F7073" s="4" t="n">
        <v>2200</v>
      </c>
    </row>
    <row r="7074">
      <c r="A7074" s="3" t="inlineStr">
        <is>
          <t>1</t>
        </is>
      </c>
      <c r="B7074" s="3" t="inlineStr">
        <is>
          <t>"Kabel NYM 3 x 2 5 mm²"</t>
        </is>
      </c>
      <c r="C7074" s="3" t="inlineStr">
        <is>
          <t>m</t>
        </is>
      </c>
      <c r="D7074" s="15" t="n">
        <v>14.3</v>
      </c>
      <c r="E7074" s="4" t="n">
        <v>21300</v>
      </c>
      <c r="F7074" s="4" t="n">
        <v>304590</v>
      </c>
    </row>
    <row r="7075">
      <c r="A7075" s="3" t="inlineStr">
        <is>
          <t>2</t>
        </is>
      </c>
      <c r="B7075" s="3" t="inlineStr">
        <is>
          <t>Conduit HI 20 mm</t>
        </is>
      </c>
      <c r="C7075" s="3" t="inlineStr">
        <is>
          <t>m</t>
        </is>
      </c>
      <c r="D7075" s="15" t="n">
        <v>14.3</v>
      </c>
      <c r="E7075" s="4" t="n">
        <v>4000</v>
      </c>
      <c r="F7075" s="4" t="n">
        <v>57200</v>
      </c>
    </row>
    <row r="7076">
      <c r="A7076" s="3" t="inlineStr">
        <is>
          <t>3</t>
        </is>
      </c>
      <c r="B7076" s="3" t="inlineStr">
        <is>
          <t>T Dus</t>
        </is>
      </c>
      <c r="C7076" s="3" t="inlineStr">
        <is>
          <t>buah</t>
        </is>
      </c>
      <c r="D7076" s="15" t="n">
        <v>1</v>
      </c>
      <c r="E7076" s="4" t="n">
        <v>4000</v>
      </c>
      <c r="F7076" s="4" t="n">
        <v>4000</v>
      </c>
    </row>
    <row r="7077">
      <c r="A7077" s="3" t="inlineStr">
        <is>
          <t>4</t>
        </is>
      </c>
      <c r="B7077" s="3" t="inlineStr">
        <is>
          <t>Socket Conduit 20 mm</t>
        </is>
      </c>
      <c r="C7077" s="3" t="inlineStr">
        <is>
          <t>buah</t>
        </is>
      </c>
      <c r="D7077" s="15" t="n">
        <v>8</v>
      </c>
      <c r="E7077" s="4" t="n">
        <v>700</v>
      </c>
      <c r="F7077" s="4" t="n">
        <v>5600</v>
      </c>
    </row>
    <row r="7078">
      <c r="A7078" s="3" t="inlineStr">
        <is>
          <t>5</t>
        </is>
      </c>
      <c r="B7078" s="3" t="inlineStr">
        <is>
          <t>Klem 20 mm</t>
        </is>
      </c>
      <c r="C7078" s="3" t="inlineStr">
        <is>
          <t>buah</t>
        </is>
      </c>
      <c r="D7078" s="15" t="n">
        <v>8</v>
      </c>
      <c r="E7078" s="4" t="n">
        <v>298</v>
      </c>
      <c r="F7078" s="4" t="n">
        <v>2384</v>
      </c>
    </row>
    <row r="7079">
      <c r="A7079" s="3" t="inlineStr">
        <is>
          <t>6</t>
        </is>
      </c>
      <c r="B7079" s="3" t="inlineStr">
        <is>
          <t>Fischer S6 + Sekrup</t>
        </is>
      </c>
      <c r="C7079" s="3" t="inlineStr">
        <is>
          <t>buah</t>
        </is>
      </c>
      <c r="D7079" s="15" t="n">
        <v>12</v>
      </c>
      <c r="E7079" s="4" t="n">
        <v>21.5</v>
      </c>
      <c r="F7079" s="4" t="n">
        <v>258</v>
      </c>
    </row>
    <row r="7080">
      <c r="A7080" s="3" t="inlineStr">
        <is>
          <t>7</t>
        </is>
      </c>
      <c r="B7080" s="3" t="inlineStr">
        <is>
          <t>Elbow</t>
        </is>
      </c>
      <c r="C7080" s="3" t="inlineStr">
        <is>
          <t>buah</t>
        </is>
      </c>
      <c r="D7080" s="15" t="n">
        <v>4</v>
      </c>
      <c r="E7080" s="4" t="n">
        <v>550</v>
      </c>
      <c r="F7080" s="4" t="n">
        <v>2200</v>
      </c>
    </row>
    <row r="7081">
      <c r="A7081" s="3" t="inlineStr">
        <is>
          <t>8</t>
        </is>
      </c>
      <c r="B7081" s="3" t="inlineStr">
        <is>
          <t>Isolasi</t>
        </is>
      </c>
      <c r="C7081" s="3" t="inlineStr">
        <is>
          <t>m</t>
        </is>
      </c>
      <c r="D7081" s="15" t="n">
        <v>0.5</v>
      </c>
      <c r="E7081" s="4" t="n">
        <v>416</v>
      </c>
      <c r="F7081" s="4" t="n">
        <v>208</v>
      </c>
    </row>
    <row r="7082">
      <c r="A7082" s="3" t="inlineStr">
        <is>
          <t>9</t>
        </is>
      </c>
      <c r="B7082" s="3" t="inlineStr">
        <is>
          <t>Lasdop</t>
        </is>
      </c>
      <c r="C7082" s="3" t="inlineStr">
        <is>
          <t>buah</t>
        </is>
      </c>
      <c r="D7082" s="15" t="n">
        <v>4</v>
      </c>
      <c r="E7082" s="4" t="n">
        <v>580</v>
      </c>
      <c r="F7082" s="4" t="n">
        <v>2320</v>
      </c>
    </row>
    <row r="7083">
      <c r="D7083" s="2" t="inlineStr">
        <is>
          <t>SUBTOTAL UPAH</t>
        </is>
      </c>
      <c r="F7083" s="16" t="n">
        <v>78240</v>
      </c>
    </row>
    <row r="7084">
      <c r="D7084" s="2" t="inlineStr">
        <is>
          <t>SUBTOTAL BAHAN</t>
        </is>
      </c>
      <c r="F7084" s="16" t="n">
        <v>378760</v>
      </c>
    </row>
    <row r="7085">
      <c r="D7085" s="2" t="inlineStr">
        <is>
          <t>SUBTOTAL ALAT</t>
        </is>
      </c>
      <c r="F7085" s="16" t="n">
        <v>0</v>
      </c>
    </row>
    <row r="7086">
      <c r="E7086" s="2" t="inlineStr">
        <is>
          <t>TOTAL HARGA SATUAN (Inc. Overhead)</t>
        </is>
      </c>
      <c r="F7086" s="17" t="n">
        <v>502700</v>
      </c>
    </row>
    <row r="7088">
      <c r="A7088" s="14" t="inlineStr">
        <is>
          <t>KODE: 5.1.5.14 - Pemasanga 1 titik Instalasi Stop Kontak (Kabel LSOH)</t>
        </is>
      </c>
    </row>
    <row r="7089">
      <c r="A7089" s="10" t="inlineStr">
        <is>
          <t>No</t>
        </is>
      </c>
      <c r="B7089" s="10" t="inlineStr">
        <is>
          <t>Uraian Komponen</t>
        </is>
      </c>
      <c r="C7089" s="10" t="inlineStr">
        <is>
          <t>Satuan</t>
        </is>
      </c>
      <c r="D7089" s="10" t="inlineStr">
        <is>
          <t>Koef</t>
        </is>
      </c>
      <c r="E7089" s="10" t="inlineStr">
        <is>
          <t>Harga Satuan (Rp)</t>
        </is>
      </c>
      <c r="F7089" s="10" t="inlineStr">
        <is>
          <t>Jumlah Harga (Rp)</t>
        </is>
      </c>
    </row>
    <row r="7090">
      <c r="A7090" s="3" t="inlineStr">
        <is>
          <t>1</t>
        </is>
      </c>
      <c r="B7090" s="3" t="inlineStr">
        <is>
          <t>Pekerja</t>
        </is>
      </c>
      <c r="C7090" s="3" t="inlineStr">
        <is>
          <t>OH</t>
        </is>
      </c>
      <c r="D7090" s="15" t="n">
        <v>0.205</v>
      </c>
      <c r="E7090" s="4" t="n">
        <v>100000</v>
      </c>
      <c r="F7090" s="4" t="n">
        <v>20500</v>
      </c>
    </row>
    <row r="7091">
      <c r="A7091" s="3" t="inlineStr">
        <is>
          <t>2</t>
        </is>
      </c>
      <c r="B7091" s="3" t="inlineStr">
        <is>
          <t>Tukang Listrik</t>
        </is>
      </c>
      <c r="C7091" s="3" t="inlineStr">
        <is>
          <t>OH</t>
        </is>
      </c>
      <c r="D7091" s="15" t="n">
        <v>0.342</v>
      </c>
      <c r="E7091" s="4" t="n">
        <v>145000</v>
      </c>
      <c r="F7091" s="4" t="n">
        <v>49590.00000000001</v>
      </c>
    </row>
    <row r="7092">
      <c r="A7092" s="3" t="inlineStr">
        <is>
          <t>3</t>
        </is>
      </c>
      <c r="B7092" s="3" t="inlineStr">
        <is>
          <t>Kepala tukang</t>
        </is>
      </c>
      <c r="C7092" s="3" t="inlineStr">
        <is>
          <t>OH</t>
        </is>
      </c>
      <c r="D7092" s="15" t="n">
        <v>0.034</v>
      </c>
      <c r="E7092" s="4" t="n">
        <v>175000</v>
      </c>
      <c r="F7092" s="4" t="n">
        <v>5950</v>
      </c>
    </row>
    <row r="7093">
      <c r="A7093" s="3" t="inlineStr">
        <is>
          <t>4</t>
        </is>
      </c>
      <c r="B7093" s="3" t="inlineStr">
        <is>
          <t>Mandor</t>
        </is>
      </c>
      <c r="C7093" s="3" t="inlineStr">
        <is>
          <t>OH</t>
        </is>
      </c>
      <c r="D7093" s="15" t="n">
        <v>0.011</v>
      </c>
      <c r="E7093" s="4" t="n">
        <v>200000</v>
      </c>
      <c r="F7093" s="4" t="n">
        <v>2200</v>
      </c>
    </row>
    <row r="7094">
      <c r="A7094" s="3" t="n">
        <v>1</v>
      </c>
      <c r="B7094" s="3" t="inlineStr">
        <is>
          <t>"Kabel NYM 3 x 2</t>
        </is>
      </c>
      <c r="C7094" s="3" t="n">
        <v>5</v>
      </c>
    </row>
    <row r="7095">
      <c r="A7095" s="3" t="inlineStr">
        <is>
          <t>mm2 (LSOH)"</t>
        </is>
      </c>
      <c r="B7095" s="3" t="inlineStr"/>
      <c r="C7095" s="3" t="inlineStr">
        <is>
          <t>m</t>
        </is>
      </c>
      <c r="D7095" s="15" t="n">
        <v>14.3</v>
      </c>
      <c r="E7095" s="4" t="n">
        <v>21300</v>
      </c>
      <c r="F7095" s="4" t="n">
        <v>304590</v>
      </c>
    </row>
    <row r="7096">
      <c r="A7096" s="3" t="inlineStr">
        <is>
          <t>2</t>
        </is>
      </c>
      <c r="B7096" s="3" t="inlineStr">
        <is>
          <t>Conduit HI 20 mm</t>
        </is>
      </c>
      <c r="C7096" s="3" t="inlineStr">
        <is>
          <t>m</t>
        </is>
      </c>
      <c r="D7096" s="15" t="n">
        <v>14.3</v>
      </c>
      <c r="E7096" s="4" t="n">
        <v>4000</v>
      </c>
      <c r="F7096" s="4" t="n">
        <v>57200</v>
      </c>
    </row>
    <row r="7097">
      <c r="A7097" s="3" t="inlineStr">
        <is>
          <t>3</t>
        </is>
      </c>
      <c r="B7097" s="3" t="inlineStr">
        <is>
          <t>T Dus</t>
        </is>
      </c>
      <c r="C7097" s="3" t="inlineStr">
        <is>
          <t>buah</t>
        </is>
      </c>
      <c r="D7097" s="15" t="n">
        <v>1</v>
      </c>
      <c r="E7097" s="4" t="n">
        <v>4000</v>
      </c>
      <c r="F7097" s="4" t="n">
        <v>4000</v>
      </c>
    </row>
    <row r="7098">
      <c r="A7098" s="3" t="inlineStr">
        <is>
          <t>4</t>
        </is>
      </c>
      <c r="B7098" s="3" t="inlineStr">
        <is>
          <t>Socket Conduit 20 mm</t>
        </is>
      </c>
      <c r="C7098" s="3" t="inlineStr">
        <is>
          <t>buah</t>
        </is>
      </c>
      <c r="D7098" s="15" t="n">
        <v>8</v>
      </c>
      <c r="E7098" s="4" t="n">
        <v>700</v>
      </c>
      <c r="F7098" s="4" t="n">
        <v>5600</v>
      </c>
    </row>
    <row r="7099">
      <c r="A7099" s="3" t="inlineStr">
        <is>
          <t>5</t>
        </is>
      </c>
      <c r="B7099" s="3" t="inlineStr">
        <is>
          <t>Klem 20 mm</t>
        </is>
      </c>
      <c r="C7099" s="3" t="inlineStr">
        <is>
          <t>buah</t>
        </is>
      </c>
      <c r="D7099" s="15" t="n">
        <v>8</v>
      </c>
      <c r="E7099" s="4" t="n">
        <v>298</v>
      </c>
      <c r="F7099" s="4" t="n">
        <v>2384</v>
      </c>
    </row>
    <row r="7100">
      <c r="A7100" s="3" t="inlineStr">
        <is>
          <t>6</t>
        </is>
      </c>
      <c r="B7100" s="3" t="inlineStr">
        <is>
          <t>Fischer S6 + Sekrup</t>
        </is>
      </c>
      <c r="C7100" s="3" t="inlineStr">
        <is>
          <t>buah</t>
        </is>
      </c>
      <c r="D7100" s="15" t="n">
        <v>12</v>
      </c>
      <c r="E7100" s="4" t="n">
        <v>21.5</v>
      </c>
      <c r="F7100" s="4" t="n">
        <v>258</v>
      </c>
    </row>
    <row r="7101">
      <c r="A7101" s="3" t="inlineStr">
        <is>
          <t>7</t>
        </is>
      </c>
      <c r="B7101" s="3" t="inlineStr">
        <is>
          <t>Elbow</t>
        </is>
      </c>
      <c r="C7101" s="3" t="inlineStr">
        <is>
          <t>buah</t>
        </is>
      </c>
      <c r="D7101" s="15" t="n">
        <v>4</v>
      </c>
      <c r="E7101" s="4" t="n">
        <v>550</v>
      </c>
      <c r="F7101" s="4" t="n">
        <v>2200</v>
      </c>
    </row>
    <row r="7102">
      <c r="A7102" s="3" t="inlineStr">
        <is>
          <t>8</t>
        </is>
      </c>
      <c r="B7102" s="3" t="inlineStr">
        <is>
          <t>Isolasi</t>
        </is>
      </c>
      <c r="C7102" s="3" t="inlineStr">
        <is>
          <t>m</t>
        </is>
      </c>
      <c r="D7102" s="15" t="n">
        <v>0.5</v>
      </c>
      <c r="E7102" s="4" t="n">
        <v>416</v>
      </c>
      <c r="F7102" s="4" t="n">
        <v>208</v>
      </c>
    </row>
    <row r="7103">
      <c r="A7103" s="3" t="inlineStr">
        <is>
          <t>9</t>
        </is>
      </c>
      <c r="B7103" s="3" t="inlineStr">
        <is>
          <t>Lasdop</t>
        </is>
      </c>
      <c r="C7103" s="3" t="inlineStr">
        <is>
          <t>buah</t>
        </is>
      </c>
      <c r="D7103" s="15" t="n">
        <v>4</v>
      </c>
      <c r="E7103" s="4" t="n">
        <v>580</v>
      </c>
      <c r="F7103" s="4" t="n">
        <v>2320</v>
      </c>
    </row>
    <row r="7104">
      <c r="D7104" s="2" t="inlineStr">
        <is>
          <t>SUBTOTAL UPAH</t>
        </is>
      </c>
      <c r="F7104" s="16" t="n">
        <v>78240</v>
      </c>
    </row>
    <row r="7105">
      <c r="D7105" s="2" t="inlineStr">
        <is>
          <t>SUBTOTAL BAHAN</t>
        </is>
      </c>
      <c r="F7105" s="16" t="n">
        <v>378760</v>
      </c>
    </row>
    <row r="7106">
      <c r="D7106" s="2" t="inlineStr">
        <is>
          <t>SUBTOTAL ALAT</t>
        </is>
      </c>
      <c r="F7106" s="16" t="n">
        <v>0</v>
      </c>
    </row>
    <row r="7107">
      <c r="E7107" s="2" t="inlineStr">
        <is>
          <t>TOTAL HARGA SATUAN (Inc. Overhead)</t>
        </is>
      </c>
      <c r="F7107" s="17" t="n">
        <v>502700</v>
      </c>
    </row>
    <row r="7109">
      <c r="A7109" s="14" t="inlineStr">
        <is>
          <t>KODE: 5.1.5.15 - Pemasangan 1 Unit Stop Kontak 1 P, 16 A, 200 W</t>
        </is>
      </c>
    </row>
    <row r="7110">
      <c r="A7110" s="10" t="inlineStr">
        <is>
          <t>No</t>
        </is>
      </c>
      <c r="B7110" s="10" t="inlineStr">
        <is>
          <t>Uraian Komponen</t>
        </is>
      </c>
      <c r="C7110" s="10" t="inlineStr">
        <is>
          <t>Satuan</t>
        </is>
      </c>
      <c r="D7110" s="10" t="inlineStr">
        <is>
          <t>Koef</t>
        </is>
      </c>
      <c r="E7110" s="10" t="inlineStr">
        <is>
          <t>Harga Satuan (Rp)</t>
        </is>
      </c>
      <c r="F7110" s="10" t="inlineStr">
        <is>
          <t>Jumlah Harga (Rp)</t>
        </is>
      </c>
    </row>
    <row r="7111">
      <c r="A7111" s="3" t="inlineStr">
        <is>
          <t>1</t>
        </is>
      </c>
      <c r="B7111" s="3" t="inlineStr">
        <is>
          <t>Pekerja</t>
        </is>
      </c>
      <c r="C7111" s="3" t="inlineStr">
        <is>
          <t>OH</t>
        </is>
      </c>
      <c r="D7111" s="15" t="n">
        <v>0.026</v>
      </c>
      <c r="E7111" s="4" t="n">
        <v>100000</v>
      </c>
      <c r="F7111" s="4" t="n">
        <v>2600</v>
      </c>
    </row>
    <row r="7112">
      <c r="A7112" s="3" t="inlineStr">
        <is>
          <t>2</t>
        </is>
      </c>
      <c r="B7112" s="3" t="inlineStr">
        <is>
          <t>Tukang Listrik</t>
        </is>
      </c>
      <c r="C7112" s="3" t="inlineStr">
        <is>
          <t>OH</t>
        </is>
      </c>
      <c r="D7112" s="15" t="n">
        <v>0.044</v>
      </c>
      <c r="E7112" s="4" t="n">
        <v>145000</v>
      </c>
      <c r="F7112" s="4" t="n">
        <v>6380</v>
      </c>
    </row>
    <row r="7113">
      <c r="A7113" s="3" t="inlineStr">
        <is>
          <t>3</t>
        </is>
      </c>
      <c r="B7113" s="3" t="inlineStr">
        <is>
          <t>Kepala tukang</t>
        </is>
      </c>
      <c r="C7113" s="3" t="inlineStr">
        <is>
          <t>OH</t>
        </is>
      </c>
      <c r="D7113" s="15" t="n">
        <v>0.004</v>
      </c>
      <c r="E7113" s="4" t="n">
        <v>175000</v>
      </c>
      <c r="F7113" s="4" t="n">
        <v>700</v>
      </c>
    </row>
    <row r="7114">
      <c r="A7114" s="3" t="inlineStr">
        <is>
          <t>4</t>
        </is>
      </c>
      <c r="B7114" s="3" t="inlineStr">
        <is>
          <t>Mandor</t>
        </is>
      </c>
      <c r="C7114" s="3" t="inlineStr">
        <is>
          <t>OH</t>
        </is>
      </c>
      <c r="D7114" s="15" t="n">
        <v>0.001</v>
      </c>
      <c r="E7114" s="4" t="n">
        <v>200000</v>
      </c>
      <c r="F7114" s="4" t="n">
        <v>200</v>
      </c>
    </row>
    <row r="7115">
      <c r="A7115" s="3" t="inlineStr">
        <is>
          <t>1</t>
        </is>
      </c>
      <c r="B7115" s="3" t="inlineStr">
        <is>
          <t>"Stop Kontak 1 P 16 A 200 W"</t>
        </is>
      </c>
      <c r="C7115" s="3" t="inlineStr">
        <is>
          <t>buah</t>
        </is>
      </c>
      <c r="D7115" s="15" t="n">
        <v>1.1</v>
      </c>
      <c r="E7115" s="4" t="n">
        <v>65000</v>
      </c>
      <c r="F7115" s="4" t="n">
        <v>71500</v>
      </c>
    </row>
    <row r="7116">
      <c r="D7116" s="2" t="inlineStr">
        <is>
          <t>SUBTOTAL UPAH</t>
        </is>
      </c>
      <c r="F7116" s="16" t="n">
        <v>9880</v>
      </c>
    </row>
    <row r="7117">
      <c r="D7117" s="2" t="inlineStr">
        <is>
          <t>SUBTOTAL BAHAN</t>
        </is>
      </c>
      <c r="F7117" s="16" t="n">
        <v>71500</v>
      </c>
    </row>
    <row r="7118">
      <c r="D7118" s="2" t="inlineStr">
        <is>
          <t>SUBTOTAL ALAT</t>
        </is>
      </c>
      <c r="F7118" s="16" t="n">
        <v>0</v>
      </c>
    </row>
    <row r="7119">
      <c r="E7119" s="2" t="inlineStr">
        <is>
          <t>TOTAL HARGA SATUAN (Inc. Overhead)</t>
        </is>
      </c>
      <c r="F7119" s="17" t="n">
        <v>89518</v>
      </c>
    </row>
    <row r="7121">
      <c r="A7121" s="14" t="inlineStr">
        <is>
          <t>KODE: 5.1.5.16 - Pemasangan 1 Unit Stop Kontak 1 P, 16 A, 200 W + cover</t>
        </is>
      </c>
    </row>
    <row r="7122">
      <c r="A7122" s="10" t="inlineStr">
        <is>
          <t>No</t>
        </is>
      </c>
      <c r="B7122" s="10" t="inlineStr">
        <is>
          <t>Uraian Komponen</t>
        </is>
      </c>
      <c r="C7122" s="10" t="inlineStr">
        <is>
          <t>Satuan</t>
        </is>
      </c>
      <c r="D7122" s="10" t="inlineStr">
        <is>
          <t>Koef</t>
        </is>
      </c>
      <c r="E7122" s="10" t="inlineStr">
        <is>
          <t>Harga Satuan (Rp)</t>
        </is>
      </c>
      <c r="F7122" s="10" t="inlineStr">
        <is>
          <t>Jumlah Harga (Rp)</t>
        </is>
      </c>
    </row>
    <row r="7123">
      <c r="A7123" s="3" t="inlineStr">
        <is>
          <t>1</t>
        </is>
      </c>
      <c r="B7123" s="3" t="inlineStr">
        <is>
          <t>Pekerja</t>
        </is>
      </c>
      <c r="C7123" s="3" t="inlineStr">
        <is>
          <t>OH</t>
        </is>
      </c>
      <c r="D7123" s="15" t="n">
        <v>0.026</v>
      </c>
      <c r="E7123" s="4" t="n">
        <v>100000</v>
      </c>
      <c r="F7123" s="4" t="n">
        <v>2600</v>
      </c>
    </row>
    <row r="7124">
      <c r="A7124" s="3" t="inlineStr">
        <is>
          <t>2</t>
        </is>
      </c>
      <c r="B7124" s="3" t="inlineStr">
        <is>
          <t>Tukang Listrik</t>
        </is>
      </c>
      <c r="C7124" s="3" t="inlineStr">
        <is>
          <t>OH</t>
        </is>
      </c>
      <c r="D7124" s="15" t="n">
        <v>0.044</v>
      </c>
      <c r="E7124" s="4" t="n">
        <v>145000</v>
      </c>
      <c r="F7124" s="4" t="n">
        <v>6380</v>
      </c>
    </row>
    <row r="7125">
      <c r="A7125" s="3" t="inlineStr">
        <is>
          <t>3</t>
        </is>
      </c>
      <c r="B7125" s="3" t="inlineStr">
        <is>
          <t>Kepala tukang</t>
        </is>
      </c>
      <c r="C7125" s="3" t="inlineStr">
        <is>
          <t>OH</t>
        </is>
      </c>
      <c r="D7125" s="15" t="n">
        <v>0.004</v>
      </c>
      <c r="E7125" s="4" t="n">
        <v>175000</v>
      </c>
      <c r="F7125" s="4" t="n">
        <v>700</v>
      </c>
    </row>
    <row r="7126">
      <c r="A7126" s="3" t="inlineStr">
        <is>
          <t>4</t>
        </is>
      </c>
      <c r="B7126" s="3" t="inlineStr">
        <is>
          <t>Mandor</t>
        </is>
      </c>
      <c r="C7126" s="3" t="inlineStr">
        <is>
          <t>OH</t>
        </is>
      </c>
      <c r="D7126" s="15" t="n">
        <v>0.001</v>
      </c>
      <c r="E7126" s="4" t="n">
        <v>200000</v>
      </c>
      <c r="F7126" s="4" t="n">
        <v>200</v>
      </c>
    </row>
    <row r="7127">
      <c r="A7127" s="3" t="inlineStr">
        <is>
          <t>1</t>
        </is>
      </c>
      <c r="B7127" s="3" t="inlineStr">
        <is>
          <t>"Stop Kontak 1 P 16 A 200 W + cover"</t>
        </is>
      </c>
      <c r="C7127" s="3" t="inlineStr">
        <is>
          <t>buah</t>
        </is>
      </c>
      <c r="D7127" s="15" t="n">
        <v>1.1</v>
      </c>
      <c r="E7127" s="4" t="n">
        <v>80000</v>
      </c>
      <c r="F7127" s="4" t="n">
        <v>88000</v>
      </c>
    </row>
    <row r="7128">
      <c r="D7128" s="2" t="inlineStr">
        <is>
          <t>SUBTOTAL UPAH</t>
        </is>
      </c>
      <c r="F7128" s="16" t="n">
        <v>9880</v>
      </c>
    </row>
    <row r="7129">
      <c r="D7129" s="2" t="inlineStr">
        <is>
          <t>SUBTOTAL BAHAN</t>
        </is>
      </c>
      <c r="F7129" s="16" t="n">
        <v>88000</v>
      </c>
    </row>
    <row r="7130">
      <c r="D7130" s="2" t="inlineStr">
        <is>
          <t>SUBTOTAL ALAT</t>
        </is>
      </c>
      <c r="F7130" s="16" t="n">
        <v>0</v>
      </c>
    </row>
    <row r="7131">
      <c r="E7131" s="2" t="inlineStr">
        <is>
          <t>TOTAL HARGA SATUAN (Inc. Overhead)</t>
        </is>
      </c>
      <c r="F7131" s="17" t="n">
        <v>107668</v>
      </c>
    </row>
    <row r="7133">
      <c r="A7133" s="14" t="inlineStr">
        <is>
          <t>KODE: 5.1.5.17 - Pemasangan 1 Unit Stop Kontak Lantai</t>
        </is>
      </c>
    </row>
    <row r="7134">
      <c r="A7134" s="10" t="inlineStr">
        <is>
          <t>No</t>
        </is>
      </c>
      <c r="B7134" s="10" t="inlineStr">
        <is>
          <t>Uraian Komponen</t>
        </is>
      </c>
      <c r="C7134" s="10" t="inlineStr">
        <is>
          <t>Satuan</t>
        </is>
      </c>
      <c r="D7134" s="10" t="inlineStr">
        <is>
          <t>Koef</t>
        </is>
      </c>
      <c r="E7134" s="10" t="inlineStr">
        <is>
          <t>Harga Satuan (Rp)</t>
        </is>
      </c>
      <c r="F7134" s="10" t="inlineStr">
        <is>
          <t>Jumlah Harga (Rp)</t>
        </is>
      </c>
    </row>
    <row r="7135">
      <c r="A7135" s="3" t="inlineStr">
        <is>
          <t>1</t>
        </is>
      </c>
      <c r="B7135" s="3" t="inlineStr">
        <is>
          <t>Pekerja</t>
        </is>
      </c>
      <c r="C7135" s="3" t="inlineStr">
        <is>
          <t>OH</t>
        </is>
      </c>
      <c r="D7135" s="15" t="n">
        <v>0.205</v>
      </c>
      <c r="E7135" s="4" t="n">
        <v>100000</v>
      </c>
      <c r="F7135" s="4" t="n">
        <v>20500</v>
      </c>
    </row>
    <row r="7136">
      <c r="A7136" s="3" t="inlineStr">
        <is>
          <t>2</t>
        </is>
      </c>
      <c r="B7136" s="3" t="inlineStr">
        <is>
          <t>Tukang Listrik</t>
        </is>
      </c>
      <c r="C7136" s="3" t="inlineStr">
        <is>
          <t>OH</t>
        </is>
      </c>
      <c r="D7136" s="15" t="n">
        <v>0.342</v>
      </c>
      <c r="E7136" s="4" t="n">
        <v>145000</v>
      </c>
      <c r="F7136" s="4" t="n">
        <v>49590.00000000001</v>
      </c>
    </row>
    <row r="7137">
      <c r="A7137" s="3" t="inlineStr">
        <is>
          <t>3</t>
        </is>
      </c>
      <c r="B7137" s="3" t="inlineStr">
        <is>
          <t>Kepala tukang</t>
        </is>
      </c>
      <c r="C7137" s="3" t="inlineStr">
        <is>
          <t>OH</t>
        </is>
      </c>
      <c r="D7137" s="15" t="n">
        <v>0.034</v>
      </c>
      <c r="E7137" s="4" t="n">
        <v>175000</v>
      </c>
      <c r="F7137" s="4" t="n">
        <v>5950</v>
      </c>
    </row>
    <row r="7138">
      <c r="A7138" s="3" t="inlineStr">
        <is>
          <t>4</t>
        </is>
      </c>
      <c r="B7138" s="3" t="inlineStr">
        <is>
          <t>Mandor</t>
        </is>
      </c>
      <c r="C7138" s="3" t="inlineStr">
        <is>
          <t>OH</t>
        </is>
      </c>
      <c r="D7138" s="15" t="n">
        <v>0.011</v>
      </c>
      <c r="E7138" s="4" t="n">
        <v>200000</v>
      </c>
      <c r="F7138" s="4" t="n">
        <v>2200</v>
      </c>
    </row>
    <row r="7139">
      <c r="A7139" s="3" t="inlineStr">
        <is>
          <t>1</t>
        </is>
      </c>
      <c r="B7139" s="3" t="inlineStr">
        <is>
          <t>Stop Kontak Lantai</t>
        </is>
      </c>
      <c r="C7139" s="3" t="inlineStr">
        <is>
          <t>buah</t>
        </is>
      </c>
      <c r="D7139" s="15" t="n">
        <v>1.1</v>
      </c>
      <c r="E7139" s="4" t="n">
        <v>250000</v>
      </c>
      <c r="F7139" s="4" t="n">
        <v>275000</v>
      </c>
    </row>
    <row r="7140">
      <c r="D7140" s="2" t="inlineStr">
        <is>
          <t>SUBTOTAL UPAH</t>
        </is>
      </c>
      <c r="F7140" s="16" t="n">
        <v>78240</v>
      </c>
    </row>
    <row r="7141">
      <c r="D7141" s="2" t="inlineStr">
        <is>
          <t>SUBTOTAL BAHAN</t>
        </is>
      </c>
      <c r="F7141" s="16" t="n">
        <v>275000</v>
      </c>
    </row>
    <row r="7142">
      <c r="D7142" s="2" t="inlineStr">
        <is>
          <t>SUBTOTAL ALAT</t>
        </is>
      </c>
      <c r="F7142" s="16" t="n">
        <v>0</v>
      </c>
    </row>
    <row r="7143">
      <c r="E7143" s="2" t="inlineStr">
        <is>
          <t>TOTAL HARGA SATUAN (Inc. Overhead)</t>
        </is>
      </c>
      <c r="F7143" s="17" t="n">
        <v>388564</v>
      </c>
    </row>
    <row r="7145">
      <c r="A7145" s="14" t="inlineStr">
        <is>
          <t>KODE: 5.1.6.1 - Pemasangan 1 unit kWh Meter Token 1 Phase</t>
        </is>
      </c>
    </row>
    <row r="7146">
      <c r="A7146" s="10" t="inlineStr">
        <is>
          <t>No</t>
        </is>
      </c>
      <c r="B7146" s="10" t="inlineStr">
        <is>
          <t>Uraian Komponen</t>
        </is>
      </c>
      <c r="C7146" s="10" t="inlineStr">
        <is>
          <t>Satuan</t>
        </is>
      </c>
      <c r="D7146" s="10" t="inlineStr">
        <is>
          <t>Koef</t>
        </is>
      </c>
      <c r="E7146" s="10" t="inlineStr">
        <is>
          <t>Harga Satuan (Rp)</t>
        </is>
      </c>
      <c r="F7146" s="10" t="inlineStr">
        <is>
          <t>Jumlah Harga (Rp)</t>
        </is>
      </c>
    </row>
    <row r="7147">
      <c r="A7147" s="3" t="inlineStr">
        <is>
          <t>1</t>
        </is>
      </c>
      <c r="B7147" s="3" t="inlineStr">
        <is>
          <t>Pekerja</t>
        </is>
      </c>
      <c r="C7147" s="3" t="inlineStr">
        <is>
          <t>OH</t>
        </is>
      </c>
      <c r="D7147" s="15" t="n">
        <v>0.217</v>
      </c>
      <c r="E7147" s="4" t="n">
        <v>100000</v>
      </c>
      <c r="F7147" s="4" t="n">
        <v>21700</v>
      </c>
    </row>
    <row r="7148">
      <c r="A7148" s="3" t="inlineStr">
        <is>
          <t>2</t>
        </is>
      </c>
      <c r="B7148" s="3" t="inlineStr">
        <is>
          <t>Tukang Listrik</t>
        </is>
      </c>
      <c r="C7148" s="3" t="inlineStr">
        <is>
          <t>OH</t>
        </is>
      </c>
      <c r="D7148" s="15" t="n">
        <v>0.362</v>
      </c>
      <c r="E7148" s="4" t="n">
        <v>145000</v>
      </c>
      <c r="F7148" s="4" t="n">
        <v>52490</v>
      </c>
    </row>
    <row r="7149">
      <c r="A7149" s="3" t="inlineStr">
        <is>
          <t>3</t>
        </is>
      </c>
      <c r="B7149" s="3" t="inlineStr">
        <is>
          <t>Kepala tukang</t>
        </is>
      </c>
      <c r="C7149" s="3" t="inlineStr">
        <is>
          <t>OH</t>
        </is>
      </c>
      <c r="D7149" s="15" t="n">
        <v>0.036</v>
      </c>
      <c r="E7149" s="4" t="n">
        <v>175000</v>
      </c>
      <c r="F7149" s="4" t="n">
        <v>6299.999999999999</v>
      </c>
    </row>
    <row r="7150">
      <c r="A7150" s="3" t="inlineStr">
        <is>
          <t>4</t>
        </is>
      </c>
      <c r="B7150" s="3" t="inlineStr">
        <is>
          <t>Mandor</t>
        </is>
      </c>
      <c r="C7150" s="3" t="inlineStr">
        <is>
          <t>OH</t>
        </is>
      </c>
      <c r="D7150" s="15" t="n">
        <v>0.012</v>
      </c>
      <c r="E7150" s="4" t="n">
        <v>200000</v>
      </c>
      <c r="F7150" s="4" t="n">
        <v>2400</v>
      </c>
    </row>
    <row r="7151">
      <c r="A7151" s="3" t="inlineStr">
        <is>
          <t>1</t>
        </is>
      </c>
      <c r="B7151" s="3" t="inlineStr">
        <is>
          <t>kWh meter token 1 phase</t>
        </is>
      </c>
      <c r="C7151" s="3" t="inlineStr">
        <is>
          <t>unit</t>
        </is>
      </c>
      <c r="D7151" s="15" t="n">
        <v>1.03</v>
      </c>
      <c r="E7151" s="4" t="n">
        <v>534000</v>
      </c>
      <c r="F7151" s="4" t="n">
        <v>550020</v>
      </c>
    </row>
    <row r="7152">
      <c r="D7152" s="2" t="inlineStr">
        <is>
          <t>SUBTOTAL UPAH</t>
        </is>
      </c>
      <c r="F7152" s="16" t="n">
        <v>82890</v>
      </c>
    </row>
    <row r="7153">
      <c r="D7153" s="2" t="inlineStr">
        <is>
          <t>SUBTOTAL BAHAN</t>
        </is>
      </c>
      <c r="F7153" s="16" t="n">
        <v>550020</v>
      </c>
    </row>
    <row r="7154">
      <c r="D7154" s="2" t="inlineStr">
        <is>
          <t>SUBTOTAL ALAT</t>
        </is>
      </c>
      <c r="F7154" s="16" t="n">
        <v>0</v>
      </c>
    </row>
    <row r="7155">
      <c r="E7155" s="2" t="inlineStr">
        <is>
          <t>TOTAL HARGA SATUAN (Inc. Overhead)</t>
        </is>
      </c>
      <c r="F7155" s="17" t="n">
        <v>696201</v>
      </c>
    </row>
    <row r="7157">
      <c r="A7157" s="14" t="inlineStr">
        <is>
          <t>KODE: 5.1.6.2 - Pemasangan 1 unit kWh Meter Token 3 Phase</t>
        </is>
      </c>
    </row>
    <row r="7158">
      <c r="A7158" s="10" t="inlineStr">
        <is>
          <t>No</t>
        </is>
      </c>
      <c r="B7158" s="10" t="inlineStr">
        <is>
          <t>Uraian Komponen</t>
        </is>
      </c>
      <c r="C7158" s="10" t="inlineStr">
        <is>
          <t>Satuan</t>
        </is>
      </c>
      <c r="D7158" s="10" t="inlineStr">
        <is>
          <t>Koef</t>
        </is>
      </c>
      <c r="E7158" s="10" t="inlineStr">
        <is>
          <t>Harga Satuan (Rp)</t>
        </is>
      </c>
      <c r="F7158" s="10" t="inlineStr">
        <is>
          <t>Jumlah Harga (Rp)</t>
        </is>
      </c>
    </row>
    <row r="7159">
      <c r="A7159" s="3" t="inlineStr">
        <is>
          <t>1</t>
        </is>
      </c>
      <c r="B7159" s="3" t="inlineStr">
        <is>
          <t>Pekerja</t>
        </is>
      </c>
      <c r="C7159" s="3" t="inlineStr">
        <is>
          <t>OH</t>
        </is>
      </c>
      <c r="D7159" s="15" t="n">
        <v>0.324</v>
      </c>
      <c r="E7159" s="4" t="n">
        <v>100000</v>
      </c>
      <c r="F7159" s="4" t="n">
        <v>32400</v>
      </c>
    </row>
    <row r="7160">
      <c r="A7160" s="3" t="inlineStr">
        <is>
          <t>2</t>
        </is>
      </c>
      <c r="B7160" s="3" t="inlineStr">
        <is>
          <t>Tukang Listrik</t>
        </is>
      </c>
      <c r="C7160" s="3" t="inlineStr">
        <is>
          <t>OH</t>
        </is>
      </c>
      <c r="D7160" s="15" t="n">
        <v>0.541</v>
      </c>
      <c r="E7160" s="4" t="n">
        <v>145000</v>
      </c>
      <c r="F7160" s="4" t="n">
        <v>78445</v>
      </c>
    </row>
    <row r="7161">
      <c r="A7161" s="3" t="inlineStr">
        <is>
          <t>3</t>
        </is>
      </c>
      <c r="B7161" s="3" t="inlineStr">
        <is>
          <t>Kepala tukang</t>
        </is>
      </c>
      <c r="C7161" s="3" t="inlineStr">
        <is>
          <t>OH</t>
        </is>
      </c>
      <c r="D7161" s="15" t="n">
        <v>0.054</v>
      </c>
      <c r="E7161" s="4" t="n">
        <v>175000</v>
      </c>
      <c r="F7161" s="4" t="n">
        <v>9450</v>
      </c>
    </row>
    <row r="7162">
      <c r="A7162" s="3" t="inlineStr">
        <is>
          <t>4</t>
        </is>
      </c>
      <c r="B7162" s="3" t="inlineStr">
        <is>
          <t>Mandor</t>
        </is>
      </c>
      <c r="C7162" s="3" t="inlineStr">
        <is>
          <t>OH</t>
        </is>
      </c>
      <c r="D7162" s="15" t="n">
        <v>0.018</v>
      </c>
      <c r="E7162" s="4" t="n">
        <v>200000</v>
      </c>
      <c r="F7162" s="4" t="n">
        <v>3600</v>
      </c>
    </row>
    <row r="7163">
      <c r="A7163" s="3" t="inlineStr">
        <is>
          <t>1</t>
        </is>
      </c>
      <c r="B7163" s="3" t="inlineStr">
        <is>
          <t>kWh meter token 3 phase</t>
        </is>
      </c>
      <c r="C7163" s="3" t="inlineStr">
        <is>
          <t>unit</t>
        </is>
      </c>
      <c r="D7163" s="15" t="n">
        <v>1.03</v>
      </c>
      <c r="E7163" s="4" t="n">
        <v>3150000</v>
      </c>
      <c r="F7163" s="4" t="n">
        <v>3244500</v>
      </c>
    </row>
    <row r="7164">
      <c r="D7164" s="2" t="inlineStr">
        <is>
          <t>SUBTOTAL UPAH</t>
        </is>
      </c>
      <c r="F7164" s="16" t="n">
        <v>123895</v>
      </c>
    </row>
    <row r="7165">
      <c r="D7165" s="2" t="inlineStr">
        <is>
          <t>SUBTOTAL BAHAN</t>
        </is>
      </c>
      <c r="F7165" s="16" t="n">
        <v>3244500</v>
      </c>
    </row>
    <row r="7166">
      <c r="D7166" s="2" t="inlineStr">
        <is>
          <t>SUBTOTAL ALAT</t>
        </is>
      </c>
      <c r="F7166" s="16" t="n">
        <v>0</v>
      </c>
    </row>
    <row r="7167">
      <c r="E7167" s="2" t="inlineStr">
        <is>
          <t>TOTAL HARGA SATUAN (Inc. Overhead)</t>
        </is>
      </c>
      <c r="F7167" s="17" t="n">
        <v>3705234</v>
      </c>
    </row>
    <row r="7169">
      <c r="A7169" s="14" t="inlineStr">
        <is>
          <t>KODE: 5.1.6.3 - Pemasangan 1 unit Softwer Sistem Offile / online untuk kWh Meter Swakelola Prabayar</t>
        </is>
      </c>
    </row>
    <row r="7170">
      <c r="A7170" s="10" t="inlineStr">
        <is>
          <t>No</t>
        </is>
      </c>
      <c r="B7170" s="10" t="inlineStr">
        <is>
          <t>Uraian Komponen</t>
        </is>
      </c>
      <c r="C7170" s="10" t="inlineStr">
        <is>
          <t>Satuan</t>
        </is>
      </c>
      <c r="D7170" s="10" t="inlineStr">
        <is>
          <t>Koef</t>
        </is>
      </c>
      <c r="E7170" s="10" t="inlineStr">
        <is>
          <t>Harga Satuan (Rp)</t>
        </is>
      </c>
      <c r="F7170" s="10" t="inlineStr">
        <is>
          <t>Jumlah Harga (Rp)</t>
        </is>
      </c>
    </row>
    <row r="7171">
      <c r="A7171" s="3" t="inlineStr">
        <is>
          <t>1</t>
        </is>
      </c>
      <c r="B7171" s="3" t="inlineStr">
        <is>
          <t>Pekerja</t>
        </is>
      </c>
      <c r="C7171" s="3" t="inlineStr">
        <is>
          <t>OH</t>
        </is>
      </c>
      <c r="D7171" s="15" t="n">
        <v>0.636</v>
      </c>
      <c r="E7171" s="4" t="n">
        <v>100000</v>
      </c>
      <c r="F7171" s="4" t="n">
        <v>63600</v>
      </c>
    </row>
    <row r="7172">
      <c r="A7172" s="3" t="inlineStr">
        <is>
          <t>2</t>
        </is>
      </c>
      <c r="B7172" s="3" t="inlineStr">
        <is>
          <t>Tukang Listrik</t>
        </is>
      </c>
      <c r="C7172" s="3" t="inlineStr">
        <is>
          <t>OH</t>
        </is>
      </c>
      <c r="D7172" s="15" t="n">
        <v>1.062</v>
      </c>
      <c r="E7172" s="4" t="n">
        <v>145000</v>
      </c>
      <c r="F7172" s="4" t="n">
        <v>153990</v>
      </c>
    </row>
    <row r="7173">
      <c r="A7173" s="3" t="inlineStr">
        <is>
          <t>3</t>
        </is>
      </c>
      <c r="B7173" s="3" t="inlineStr">
        <is>
          <t>Kepala tukang</t>
        </is>
      </c>
      <c r="C7173" s="3" t="inlineStr">
        <is>
          <t>OH</t>
        </is>
      </c>
      <c r="D7173" s="15" t="n">
        <v>0.106</v>
      </c>
      <c r="E7173" s="4" t="n">
        <v>175000</v>
      </c>
      <c r="F7173" s="4" t="n">
        <v>18550</v>
      </c>
    </row>
    <row r="7174">
      <c r="A7174" s="3" t="inlineStr">
        <is>
          <t>4</t>
        </is>
      </c>
      <c r="B7174" s="3" t="inlineStr">
        <is>
          <t>Mandor</t>
        </is>
      </c>
      <c r="C7174" s="3" t="inlineStr">
        <is>
          <t>OH</t>
        </is>
      </c>
      <c r="D7174" s="15" t="n">
        <v>0.035</v>
      </c>
      <c r="E7174" s="4" t="n">
        <v>200000</v>
      </c>
      <c r="F7174" s="4" t="n">
        <v>7000.000000000001</v>
      </c>
    </row>
    <row r="7175">
      <c r="A7175" s="3" t="inlineStr">
        <is>
          <t>1</t>
        </is>
      </c>
      <c r="B7175" s="3" t="inlineStr">
        <is>
          <t>Software sistem kwh meter swakelola prabayar</t>
        </is>
      </c>
      <c r="C7175" s="3" t="inlineStr">
        <is>
          <t>buah</t>
        </is>
      </c>
      <c r="D7175" s="15" t="n">
        <v>1.05</v>
      </c>
      <c r="E7175" s="4" t="n">
        <v>2000000</v>
      </c>
      <c r="F7175" s="4" t="n">
        <v>2100000</v>
      </c>
    </row>
    <row r="7176">
      <c r="D7176" s="2" t="inlineStr">
        <is>
          <t>SUBTOTAL UPAH</t>
        </is>
      </c>
      <c r="F7176" s="16" t="n">
        <v>243140</v>
      </c>
    </row>
    <row r="7177">
      <c r="D7177" s="2" t="inlineStr">
        <is>
          <t>SUBTOTAL BAHAN</t>
        </is>
      </c>
      <c r="F7177" s="16" t="n">
        <v>2100000</v>
      </c>
    </row>
    <row r="7178">
      <c r="D7178" s="2" t="inlineStr">
        <is>
          <t>SUBTOTAL ALAT</t>
        </is>
      </c>
      <c r="F7178" s="16" t="n">
        <v>0</v>
      </c>
    </row>
    <row r="7179">
      <c r="E7179" s="2" t="inlineStr">
        <is>
          <t>TOTAL HARGA SATUAN (Inc. Overhead)</t>
        </is>
      </c>
      <c r="F7179" s="17" t="n">
        <v>2577454</v>
      </c>
    </row>
    <row r="7181">
      <c r="A7181" s="14" t="inlineStr">
        <is>
          <t>KODE: 5.1.6.4 - Pemasangan 1 Unit PC Server termasuk OS Windows Server, monitor, keyboard dan Mouse</t>
        </is>
      </c>
    </row>
    <row r="7182">
      <c r="A7182" s="10" t="inlineStr">
        <is>
          <t>No</t>
        </is>
      </c>
      <c r="B7182" s="10" t="inlineStr">
        <is>
          <t>Uraian Komponen</t>
        </is>
      </c>
      <c r="C7182" s="10" t="inlineStr">
        <is>
          <t>Satuan</t>
        </is>
      </c>
      <c r="D7182" s="10" t="inlineStr">
        <is>
          <t>Koef</t>
        </is>
      </c>
      <c r="E7182" s="10" t="inlineStr">
        <is>
          <t>Harga Satuan (Rp)</t>
        </is>
      </c>
      <c r="F7182" s="10" t="inlineStr">
        <is>
          <t>Jumlah Harga (Rp)</t>
        </is>
      </c>
    </row>
    <row r="7183">
      <c r="A7183" s="3" t="inlineStr">
        <is>
          <t>1</t>
        </is>
      </c>
      <c r="B7183" s="3" t="inlineStr">
        <is>
          <t>Pekerja</t>
        </is>
      </c>
      <c r="C7183" s="3" t="inlineStr">
        <is>
          <t>OH</t>
        </is>
      </c>
      <c r="D7183" s="15" t="n">
        <v>0.636</v>
      </c>
      <c r="E7183" s="4" t="n">
        <v>100000</v>
      </c>
      <c r="F7183" s="4" t="n">
        <v>63600</v>
      </c>
    </row>
    <row r="7184">
      <c r="A7184" s="3" t="inlineStr">
        <is>
          <t>2</t>
        </is>
      </c>
      <c r="B7184" s="3" t="inlineStr">
        <is>
          <t>Tukang Listrik</t>
        </is>
      </c>
      <c r="C7184" s="3" t="inlineStr">
        <is>
          <t>OH</t>
        </is>
      </c>
      <c r="D7184" s="15" t="n">
        <v>1.062</v>
      </c>
      <c r="E7184" s="4" t="n">
        <v>145000</v>
      </c>
      <c r="F7184" s="4" t="n">
        <v>153990</v>
      </c>
    </row>
    <row r="7185">
      <c r="A7185" s="3" t="inlineStr">
        <is>
          <t>3</t>
        </is>
      </c>
      <c r="B7185" s="3" t="inlineStr">
        <is>
          <t>Kepala tukang</t>
        </is>
      </c>
      <c r="C7185" s="3" t="inlineStr">
        <is>
          <t>OH</t>
        </is>
      </c>
      <c r="D7185" s="15" t="n">
        <v>0.106</v>
      </c>
      <c r="E7185" s="4" t="n">
        <v>175000</v>
      </c>
      <c r="F7185" s="4" t="n">
        <v>18550</v>
      </c>
    </row>
    <row r="7186">
      <c r="A7186" s="3" t="inlineStr">
        <is>
          <t>4</t>
        </is>
      </c>
      <c r="B7186" s="3" t="inlineStr">
        <is>
          <t>Mandor</t>
        </is>
      </c>
      <c r="C7186" s="3" t="inlineStr">
        <is>
          <t>OH</t>
        </is>
      </c>
      <c r="D7186" s="15" t="n">
        <v>0.035</v>
      </c>
      <c r="E7186" s="4" t="n">
        <v>200000</v>
      </c>
      <c r="F7186" s="4" t="n">
        <v>7000.000000000001</v>
      </c>
    </row>
    <row r="7187">
      <c r="A7187" s="3" t="inlineStr">
        <is>
          <t>1</t>
        </is>
      </c>
      <c r="B7187" s="3" t="inlineStr">
        <is>
          <t>PC Server</t>
        </is>
      </c>
      <c r="C7187" s="3" t="inlineStr">
        <is>
          <t>buah</t>
        </is>
      </c>
      <c r="D7187" s="15" t="n">
        <v>1.05</v>
      </c>
      <c r="E7187" s="4" t="n">
        <v>33900000</v>
      </c>
      <c r="F7187" s="4" t="n">
        <v>35595000</v>
      </c>
    </row>
    <row r="7188">
      <c r="D7188" s="2" t="inlineStr">
        <is>
          <t>SUBTOTAL UPAH</t>
        </is>
      </c>
      <c r="F7188" s="16" t="n">
        <v>243140</v>
      </c>
    </row>
    <row r="7189">
      <c r="D7189" s="2" t="inlineStr">
        <is>
          <t>SUBTOTAL BAHAN</t>
        </is>
      </c>
      <c r="F7189" s="16" t="n">
        <v>35595000</v>
      </c>
    </row>
    <row r="7190">
      <c r="D7190" s="2" t="inlineStr">
        <is>
          <t>SUBTOTAL ALAT</t>
        </is>
      </c>
      <c r="F7190" s="16" t="n">
        <v>0</v>
      </c>
    </row>
    <row r="7191">
      <c r="E7191" s="2" t="inlineStr">
        <is>
          <t>TOTAL HARGA SATUAN (Inc. Overhead)</t>
        </is>
      </c>
      <c r="F7191" s="17" t="n">
        <v>39421954</v>
      </c>
    </row>
    <row r="7193">
      <c r="A7193" s="14" t="inlineStr">
        <is>
          <t>KODE: 5.1.8.2 - Pemasangan 1 set pembumian sistem elektrikal dengan batang tembaga dia.3/4"</t>
        </is>
      </c>
    </row>
    <row r="7194">
      <c r="A7194" s="10" t="inlineStr">
        <is>
          <t>No</t>
        </is>
      </c>
      <c r="B7194" s="10" t="inlineStr">
        <is>
          <t>Uraian Komponen</t>
        </is>
      </c>
      <c r="C7194" s="10" t="inlineStr">
        <is>
          <t>Satuan</t>
        </is>
      </c>
      <c r="D7194" s="10" t="inlineStr">
        <is>
          <t>Koef</t>
        </is>
      </c>
      <c r="E7194" s="10" t="inlineStr">
        <is>
          <t>Harga Satuan (Rp)</t>
        </is>
      </c>
      <c r="F7194" s="10" t="inlineStr">
        <is>
          <t>Jumlah Harga (Rp)</t>
        </is>
      </c>
    </row>
    <row r="7195">
      <c r="A7195" s="3" t="inlineStr">
        <is>
          <t>1</t>
        </is>
      </c>
      <c r="B7195" s="3" t="inlineStr">
        <is>
          <t>Pekerja</t>
        </is>
      </c>
      <c r="C7195" s="3" t="inlineStr">
        <is>
          <t>OH</t>
        </is>
      </c>
      <c r="D7195" s="15" t="n">
        <v>4</v>
      </c>
      <c r="E7195" s="4" t="n">
        <v>100000</v>
      </c>
      <c r="F7195" s="4" t="n">
        <v>400000</v>
      </c>
    </row>
    <row r="7196">
      <c r="A7196" s="3" t="inlineStr">
        <is>
          <t>2</t>
        </is>
      </c>
      <c r="B7196" s="3" t="inlineStr">
        <is>
          <t>Tukang Listrik</t>
        </is>
      </c>
      <c r="C7196" s="3" t="inlineStr">
        <is>
          <t>OH</t>
        </is>
      </c>
      <c r="D7196" s="15" t="n">
        <v>2</v>
      </c>
      <c r="E7196" s="4" t="n">
        <v>145000</v>
      </c>
      <c r="F7196" s="4" t="n">
        <v>290000</v>
      </c>
    </row>
    <row r="7197">
      <c r="A7197" s="3" t="inlineStr">
        <is>
          <t>3</t>
        </is>
      </c>
      <c r="B7197" s="3" t="inlineStr">
        <is>
          <t>Kepala tukang</t>
        </is>
      </c>
      <c r="C7197" s="3" t="inlineStr">
        <is>
          <t>OH</t>
        </is>
      </c>
      <c r="D7197" s="15" t="n">
        <v>0.2</v>
      </c>
      <c r="E7197" s="4" t="n">
        <v>175000</v>
      </c>
      <c r="F7197" s="4" t="n">
        <v>35000</v>
      </c>
    </row>
    <row r="7198">
      <c r="A7198" s="3" t="inlineStr">
        <is>
          <t>4</t>
        </is>
      </c>
      <c r="B7198" s="3" t="inlineStr">
        <is>
          <t>Mandor</t>
        </is>
      </c>
      <c r="C7198" s="3" t="inlineStr">
        <is>
          <t>OH</t>
        </is>
      </c>
      <c r="D7198" s="15" t="n">
        <v>0.067</v>
      </c>
      <c r="E7198" s="4" t="n">
        <v>200000</v>
      </c>
      <c r="F7198" s="4" t="n">
        <v>13400</v>
      </c>
    </row>
    <row r="7199">
      <c r="A7199" s="3" t="inlineStr">
        <is>
          <t>1</t>
        </is>
      </c>
      <c r="B7199" s="3" t="inlineStr">
        <is>
          <t>Bak Kontrol Pemeriksaan dari Batu Bata 45 x 45 x 45 cm + Tutup Beton 45 x 45 x 10 cm</t>
        </is>
      </c>
      <c r="C7199" s="3" t="inlineStr">
        <is>
          <t>buah</t>
        </is>
      </c>
      <c r="D7199" s="15" t="n">
        <v>1</v>
      </c>
      <c r="E7199" s="4" t="n">
        <v>829900</v>
      </c>
      <c r="F7199" s="4" t="n">
        <v>829900</v>
      </c>
    </row>
    <row r="7200">
      <c r="A7200" s="3" t="inlineStr">
        <is>
          <t>2</t>
        </is>
      </c>
      <c r="B7200" s="3" t="inlineStr">
        <is>
          <t>Terminal Busbar 300 x 50 x 5 mm</t>
        </is>
      </c>
      <c r="C7200" s="3" t="inlineStr">
        <is>
          <t>buah</t>
        </is>
      </c>
      <c r="D7200" s="15" t="n">
        <v>1</v>
      </c>
      <c r="E7200" s="4" t="n">
        <v>135000</v>
      </c>
      <c r="F7200" s="4" t="n">
        <v>135000</v>
      </c>
    </row>
    <row r="7201">
      <c r="A7201" s="3" t="inlineStr">
        <is>
          <t>3</t>
        </is>
      </c>
      <c r="B7201" s="3" t="inlineStr">
        <is>
          <t>Batang Tembaga Pembumian Dia.3/4” (kedalaman min. 12 m)</t>
        </is>
      </c>
      <c r="C7201" s="3" t="inlineStr">
        <is>
          <t>batang</t>
        </is>
      </c>
      <c r="D7201" s="15" t="n">
        <v>6</v>
      </c>
      <c r="E7201" s="4" t="n">
        <v>1666000</v>
      </c>
      <c r="F7201" s="4" t="n">
        <v>9996000</v>
      </c>
    </row>
    <row r="7202">
      <c r="A7202" s="3" t="inlineStr">
        <is>
          <t>4</t>
        </is>
      </c>
      <c r="B7202" s="3" t="inlineStr">
        <is>
          <t>Pantek (kedalaman min. 12 m)</t>
        </is>
      </c>
      <c r="C7202" s="3" t="inlineStr">
        <is>
          <t>lot</t>
        </is>
      </c>
      <c r="D7202" s="15" t="n">
        <v>1</v>
      </c>
      <c r="E7202" s="4" t="n">
        <v>245000</v>
      </c>
      <c r="F7202" s="4" t="n">
        <v>245000</v>
      </c>
    </row>
    <row r="7203">
      <c r="A7203" s="3" t="inlineStr">
        <is>
          <t>5</t>
        </is>
      </c>
      <c r="B7203" s="3" t="inlineStr">
        <is>
          <t>Kabel BC 95 mm2</t>
        </is>
      </c>
      <c r="C7203" s="3" t="inlineStr">
        <is>
          <t>m</t>
        </is>
      </c>
      <c r="D7203" s="15" t="n">
        <v>26.4</v>
      </c>
      <c r="E7203" s="4" t="n">
        <v>145000</v>
      </c>
      <c r="F7203" s="4" t="n">
        <v>3828000</v>
      </c>
    </row>
    <row r="7204">
      <c r="A7204" s="3" t="inlineStr">
        <is>
          <t>6</t>
        </is>
      </c>
      <c r="B7204" s="3" t="inlineStr">
        <is>
          <t>Kabel Skun 95 mm2</t>
        </is>
      </c>
      <c r="C7204" s="3" t="inlineStr">
        <is>
          <t>m</t>
        </is>
      </c>
      <c r="D7204" s="15" t="n">
        <v>4.4</v>
      </c>
      <c r="E7204" s="4" t="n">
        <v>26400</v>
      </c>
      <c r="F7204" s="4" t="n">
        <v>116160</v>
      </c>
    </row>
    <row r="7205">
      <c r="A7205" s="3" t="inlineStr">
        <is>
          <t>7</t>
        </is>
      </c>
      <c r="B7205" s="3" t="inlineStr">
        <is>
          <t>Rod Coupling</t>
        </is>
      </c>
      <c r="C7205" s="3" t="inlineStr">
        <is>
          <t>buah</t>
        </is>
      </c>
      <c r="D7205" s="15" t="n">
        <v>6</v>
      </c>
      <c r="E7205" s="4" t="n">
        <v>130000</v>
      </c>
      <c r="F7205" s="4" t="n">
        <v>780000</v>
      </c>
    </row>
    <row r="7206">
      <c r="A7206" s="3" t="inlineStr">
        <is>
          <t>8</t>
        </is>
      </c>
      <c r="B7206" s="3" t="inlineStr">
        <is>
          <t>Material Bantu</t>
        </is>
      </c>
      <c r="C7206" s="3" t="inlineStr">
        <is>
          <t>loat</t>
        </is>
      </c>
      <c r="D7206" s="15" t="n">
        <v>1</v>
      </c>
      <c r="E7206" s="4" t="n">
        <v>50000</v>
      </c>
      <c r="F7206" s="4" t="n">
        <v>50000</v>
      </c>
    </row>
    <row r="7207">
      <c r="D7207" s="2" t="inlineStr">
        <is>
          <t>SUBTOTAL UPAH</t>
        </is>
      </c>
      <c r="F7207" s="16" t="n">
        <v>738400</v>
      </c>
    </row>
    <row r="7208">
      <c r="D7208" s="2" t="inlineStr">
        <is>
          <t>SUBTOTAL BAHAN</t>
        </is>
      </c>
      <c r="F7208" s="16" t="n">
        <v>15980060</v>
      </c>
    </row>
    <row r="7209">
      <c r="D7209" s="2" t="inlineStr">
        <is>
          <t>SUBTOTAL ALAT</t>
        </is>
      </c>
      <c r="F7209" s="16" t="n">
        <v>0</v>
      </c>
    </row>
    <row r="7210">
      <c r="E7210" s="2" t="inlineStr">
        <is>
          <t>TOTAL HARGA SATUAN (Inc. Overhead)</t>
        </is>
      </c>
      <c r="F7210" s="17" t="n">
        <v>18390306</v>
      </c>
    </row>
    <row r="7212">
      <c r="A7212" s="14" t="inlineStr">
        <is>
          <t>KODE: 5.1.9.1 - Pemasangan 1 m' Busduct 1.000A</t>
        </is>
      </c>
    </row>
    <row r="7213">
      <c r="A7213" s="10" t="inlineStr">
        <is>
          <t>No</t>
        </is>
      </c>
      <c r="B7213" s="10" t="inlineStr">
        <is>
          <t>Uraian Komponen</t>
        </is>
      </c>
      <c r="C7213" s="10" t="inlineStr">
        <is>
          <t>Satuan</t>
        </is>
      </c>
      <c r="D7213" s="10" t="inlineStr">
        <is>
          <t>Koef</t>
        </is>
      </c>
      <c r="E7213" s="10" t="inlineStr">
        <is>
          <t>Harga Satuan (Rp)</t>
        </is>
      </c>
      <c r="F7213" s="10" t="inlineStr">
        <is>
          <t>Jumlah Harga (Rp)</t>
        </is>
      </c>
    </row>
    <row r="7214">
      <c r="A7214" s="3" t="inlineStr">
        <is>
          <t>1</t>
        </is>
      </c>
      <c r="B7214" s="3" t="inlineStr">
        <is>
          <t>Pekerja</t>
        </is>
      </c>
      <c r="C7214" s="3" t="inlineStr">
        <is>
          <t>OH</t>
        </is>
      </c>
      <c r="D7214" s="15" t="n">
        <v>0.845</v>
      </c>
      <c r="E7214" s="4" t="n">
        <v>100000</v>
      </c>
      <c r="F7214" s="4" t="n">
        <v>84500</v>
      </c>
    </row>
    <row r="7215">
      <c r="A7215" s="3" t="inlineStr">
        <is>
          <t>2</t>
        </is>
      </c>
      <c r="B7215" s="3" t="inlineStr">
        <is>
          <t>Tukang Listrik</t>
        </is>
      </c>
      <c r="C7215" s="3" t="inlineStr">
        <is>
          <t>OH</t>
        </is>
      </c>
      <c r="D7215" s="15" t="n">
        <v>1.411</v>
      </c>
      <c r="E7215" s="4" t="n">
        <v>145000</v>
      </c>
      <c r="F7215" s="4" t="n">
        <v>204595</v>
      </c>
    </row>
    <row r="7216">
      <c r="A7216" s="3" t="inlineStr">
        <is>
          <t>3</t>
        </is>
      </c>
      <c r="B7216" s="3" t="inlineStr">
        <is>
          <t>Kepala tukang</t>
        </is>
      </c>
      <c r="C7216" s="3" t="inlineStr">
        <is>
          <t>OH</t>
        </is>
      </c>
      <c r="D7216" s="15" t="n">
        <v>0.141</v>
      </c>
      <c r="E7216" s="4" t="n">
        <v>175000</v>
      </c>
      <c r="F7216" s="4" t="n">
        <v>24675</v>
      </c>
    </row>
    <row r="7217">
      <c r="A7217" s="3" t="inlineStr">
        <is>
          <t>4</t>
        </is>
      </c>
      <c r="B7217" s="3" t="inlineStr">
        <is>
          <t>Mandor</t>
        </is>
      </c>
      <c r="C7217" s="3" t="inlineStr">
        <is>
          <t>OH</t>
        </is>
      </c>
      <c r="D7217" s="15" t="n">
        <v>0.047</v>
      </c>
      <c r="E7217" s="4" t="n">
        <v>200000</v>
      </c>
      <c r="F7217" s="4" t="n">
        <v>9400</v>
      </c>
    </row>
    <row r="7218">
      <c r="A7218" s="3" t="inlineStr">
        <is>
          <t>1</t>
        </is>
      </c>
      <c r="B7218" s="3" t="inlineStr">
        <is>
          <t>Busduct 1.000A</t>
        </is>
      </c>
      <c r="C7218" s="3" t="inlineStr">
        <is>
          <t>m'</t>
        </is>
      </c>
      <c r="D7218" s="15" t="n">
        <v>1</v>
      </c>
      <c r="E7218" s="4" t="n">
        <v>2500000</v>
      </c>
      <c r="F7218" s="4" t="n">
        <v>2500000</v>
      </c>
    </row>
    <row r="7219">
      <c r="D7219" s="2" t="inlineStr">
        <is>
          <t>SUBTOTAL UPAH</t>
        </is>
      </c>
      <c r="F7219" s="16" t="n">
        <v>323170</v>
      </c>
    </row>
    <row r="7220">
      <c r="D7220" s="2" t="inlineStr">
        <is>
          <t>SUBTOTAL BAHAN</t>
        </is>
      </c>
      <c r="F7220" s="16" t="n">
        <v>2500000</v>
      </c>
    </row>
    <row r="7221">
      <c r="D7221" s="2" t="inlineStr">
        <is>
          <t>SUBTOTAL ALAT</t>
        </is>
      </c>
      <c r="F7221" s="16" t="n">
        <v>0</v>
      </c>
    </row>
    <row r="7222">
      <c r="E7222" s="2" t="inlineStr">
        <is>
          <t>TOTAL HARGA SATUAN (Inc. Overhead)</t>
        </is>
      </c>
      <c r="F7222" s="17" t="n">
        <v>3105487</v>
      </c>
    </row>
    <row r="7224">
      <c r="A7224" s="14" t="inlineStr">
        <is>
          <t>KODE: 5.1.9.2 - Pemasangan 1 m' Busduct 2.000A</t>
        </is>
      </c>
    </row>
    <row r="7225">
      <c r="A7225" s="10" t="inlineStr">
        <is>
          <t>No</t>
        </is>
      </c>
      <c r="B7225" s="10" t="inlineStr">
        <is>
          <t>Uraian Komponen</t>
        </is>
      </c>
      <c r="C7225" s="10" t="inlineStr">
        <is>
          <t>Satuan</t>
        </is>
      </c>
      <c r="D7225" s="10" t="inlineStr">
        <is>
          <t>Koef</t>
        </is>
      </c>
      <c r="E7225" s="10" t="inlineStr">
        <is>
          <t>Harga Satuan (Rp)</t>
        </is>
      </c>
      <c r="F7225" s="10" t="inlineStr">
        <is>
          <t>Jumlah Harga (Rp)</t>
        </is>
      </c>
    </row>
    <row r="7226">
      <c r="A7226" s="3" t="inlineStr">
        <is>
          <t>1</t>
        </is>
      </c>
      <c r="B7226" s="3" t="inlineStr">
        <is>
          <t>Pekerja</t>
        </is>
      </c>
      <c r="C7226" s="3" t="inlineStr">
        <is>
          <t>OH</t>
        </is>
      </c>
      <c r="D7226" s="15" t="n">
        <v>0.845</v>
      </c>
      <c r="E7226" s="4" t="n">
        <v>100000</v>
      </c>
      <c r="F7226" s="4" t="n">
        <v>84500</v>
      </c>
    </row>
    <row r="7227">
      <c r="A7227" s="3" t="inlineStr">
        <is>
          <t>2</t>
        </is>
      </c>
      <c r="B7227" s="3" t="inlineStr">
        <is>
          <t>Tukang Listrik</t>
        </is>
      </c>
      <c r="C7227" s="3" t="inlineStr">
        <is>
          <t>OH</t>
        </is>
      </c>
      <c r="D7227" s="15" t="n">
        <v>1.411</v>
      </c>
      <c r="E7227" s="4" t="n">
        <v>145000</v>
      </c>
      <c r="F7227" s="4" t="n">
        <v>204595</v>
      </c>
    </row>
    <row r="7228">
      <c r="A7228" s="3" t="inlineStr">
        <is>
          <t>3</t>
        </is>
      </c>
      <c r="B7228" s="3" t="inlineStr">
        <is>
          <t>Kepala tukang</t>
        </is>
      </c>
      <c r="C7228" s="3" t="inlineStr">
        <is>
          <t>OH</t>
        </is>
      </c>
      <c r="D7228" s="15" t="n">
        <v>0.141</v>
      </c>
      <c r="E7228" s="4" t="n">
        <v>175000</v>
      </c>
      <c r="F7228" s="4" t="n">
        <v>24675</v>
      </c>
    </row>
    <row r="7229">
      <c r="A7229" s="3" t="inlineStr">
        <is>
          <t>4</t>
        </is>
      </c>
      <c r="B7229" s="3" t="inlineStr">
        <is>
          <t>Mandor</t>
        </is>
      </c>
      <c r="C7229" s="3" t="inlineStr">
        <is>
          <t>OH</t>
        </is>
      </c>
      <c r="D7229" s="15" t="n">
        <v>0.047</v>
      </c>
      <c r="E7229" s="4" t="n">
        <v>200000</v>
      </c>
      <c r="F7229" s="4" t="n">
        <v>9400</v>
      </c>
    </row>
    <row r="7230">
      <c r="A7230" s="3" t="inlineStr">
        <is>
          <t>1</t>
        </is>
      </c>
      <c r="B7230" s="3" t="inlineStr">
        <is>
          <t>Busduct 2.000A</t>
        </is>
      </c>
      <c r="C7230" s="3" t="inlineStr">
        <is>
          <t>m'</t>
        </is>
      </c>
      <c r="D7230" s="15" t="n">
        <v>1</v>
      </c>
      <c r="E7230" s="4" t="n">
        <v>4500000</v>
      </c>
      <c r="F7230" s="4" t="n">
        <v>4500000</v>
      </c>
    </row>
    <row r="7231">
      <c r="D7231" s="2" t="inlineStr">
        <is>
          <t>SUBTOTAL UPAH</t>
        </is>
      </c>
      <c r="F7231" s="16" t="n">
        <v>323170</v>
      </c>
    </row>
    <row r="7232">
      <c r="D7232" s="2" t="inlineStr">
        <is>
          <t>SUBTOTAL BAHAN</t>
        </is>
      </c>
      <c r="F7232" s="16" t="n">
        <v>4500000</v>
      </c>
    </row>
    <row r="7233">
      <c r="D7233" s="2" t="inlineStr">
        <is>
          <t>SUBTOTAL ALAT</t>
        </is>
      </c>
      <c r="F7233" s="16" t="n">
        <v>0</v>
      </c>
    </row>
    <row r="7234">
      <c r="E7234" s="2" t="inlineStr">
        <is>
          <t>TOTAL HARGA SATUAN (Inc. Overhead)</t>
        </is>
      </c>
      <c r="F7234" s="17" t="n">
        <v>5305487</v>
      </c>
    </row>
    <row r="7236">
      <c r="A7236" s="14" t="inlineStr">
        <is>
          <t>KODE: 5.1.9.3 - Pemasangan 1 m' Plug in Busway 1.000A</t>
        </is>
      </c>
    </row>
    <row r="7237">
      <c r="A7237" s="10" t="inlineStr">
        <is>
          <t>No</t>
        </is>
      </c>
      <c r="B7237" s="10" t="inlineStr">
        <is>
          <t>Uraian Komponen</t>
        </is>
      </c>
      <c r="C7237" s="10" t="inlineStr">
        <is>
          <t>Satuan</t>
        </is>
      </c>
      <c r="D7237" s="10" t="inlineStr">
        <is>
          <t>Koef</t>
        </is>
      </c>
      <c r="E7237" s="10" t="inlineStr">
        <is>
          <t>Harga Satuan (Rp)</t>
        </is>
      </c>
      <c r="F7237" s="10" t="inlineStr">
        <is>
          <t>Jumlah Harga (Rp)</t>
        </is>
      </c>
    </row>
    <row r="7238">
      <c r="A7238" s="3" t="inlineStr">
        <is>
          <t>1</t>
        </is>
      </c>
      <c r="B7238" s="3" t="inlineStr">
        <is>
          <t>Pekerja</t>
        </is>
      </c>
      <c r="C7238" s="3" t="inlineStr">
        <is>
          <t>OH</t>
        </is>
      </c>
      <c r="D7238" s="15" t="n">
        <v>0.845</v>
      </c>
      <c r="E7238" s="4" t="n">
        <v>100000</v>
      </c>
      <c r="F7238" s="4" t="n">
        <v>84500</v>
      </c>
    </row>
    <row r="7239">
      <c r="A7239" s="3" t="inlineStr">
        <is>
          <t>2</t>
        </is>
      </c>
      <c r="B7239" s="3" t="inlineStr">
        <is>
          <t>Tukang Listrik</t>
        </is>
      </c>
      <c r="C7239" s="3" t="inlineStr">
        <is>
          <t>OH</t>
        </is>
      </c>
      <c r="D7239" s="15" t="n">
        <v>1.411</v>
      </c>
      <c r="E7239" s="4" t="n">
        <v>145000</v>
      </c>
      <c r="F7239" s="4" t="n">
        <v>204595</v>
      </c>
    </row>
    <row r="7240">
      <c r="A7240" s="3" t="inlineStr">
        <is>
          <t>3</t>
        </is>
      </c>
      <c r="B7240" s="3" t="inlineStr">
        <is>
          <t>Kepala tukang</t>
        </is>
      </c>
      <c r="C7240" s="3" t="inlineStr">
        <is>
          <t>OH</t>
        </is>
      </c>
      <c r="D7240" s="15" t="n">
        <v>0.141</v>
      </c>
      <c r="E7240" s="4" t="n">
        <v>175000</v>
      </c>
      <c r="F7240" s="4" t="n">
        <v>24675</v>
      </c>
    </row>
    <row r="7241">
      <c r="A7241" s="3" t="inlineStr">
        <is>
          <t>4</t>
        </is>
      </c>
      <c r="B7241" s="3" t="inlineStr">
        <is>
          <t>Mandor</t>
        </is>
      </c>
      <c r="C7241" s="3" t="inlineStr">
        <is>
          <t>OH</t>
        </is>
      </c>
      <c r="D7241" s="15" t="n">
        <v>0.047</v>
      </c>
      <c r="E7241" s="4" t="n">
        <v>200000</v>
      </c>
      <c r="F7241" s="4" t="n">
        <v>9400</v>
      </c>
    </row>
    <row r="7242">
      <c r="A7242" s="3" t="inlineStr">
        <is>
          <t>1</t>
        </is>
      </c>
      <c r="B7242" s="3" t="inlineStr">
        <is>
          <t>Plug in Busway 1.000A</t>
        </is>
      </c>
      <c r="C7242" s="3" t="inlineStr">
        <is>
          <t>m'</t>
        </is>
      </c>
      <c r="D7242" s="15" t="n">
        <v>1</v>
      </c>
      <c r="E7242" s="4" t="n">
        <v>3000000</v>
      </c>
      <c r="F7242" s="4" t="n">
        <v>3000000</v>
      </c>
    </row>
    <row r="7243">
      <c r="D7243" s="2" t="inlineStr">
        <is>
          <t>SUBTOTAL UPAH</t>
        </is>
      </c>
      <c r="F7243" s="16" t="n">
        <v>323170</v>
      </c>
    </row>
    <row r="7244">
      <c r="D7244" s="2" t="inlineStr">
        <is>
          <t>SUBTOTAL BAHAN</t>
        </is>
      </c>
      <c r="F7244" s="16" t="n">
        <v>3000000</v>
      </c>
    </row>
    <row r="7245">
      <c r="D7245" s="2" t="inlineStr">
        <is>
          <t>SUBTOTAL ALAT</t>
        </is>
      </c>
      <c r="F7245" s="16" t="n">
        <v>0</v>
      </c>
    </row>
    <row r="7246">
      <c r="E7246" s="2" t="inlineStr">
        <is>
          <t>TOTAL HARGA SATUAN (Inc. Overhead)</t>
        </is>
      </c>
      <c r="F7246" s="17" t="n">
        <v>3655487</v>
      </c>
    </row>
    <row r="7248">
      <c r="A7248" s="14" t="inlineStr">
        <is>
          <t>KODE: 5.1.9.4 - Pemasangan 1 m' Plug in Busway 2.000A</t>
        </is>
      </c>
    </row>
    <row r="7249">
      <c r="A7249" s="10" t="inlineStr">
        <is>
          <t>No</t>
        </is>
      </c>
      <c r="B7249" s="10" t="inlineStr">
        <is>
          <t>Uraian Komponen</t>
        </is>
      </c>
      <c r="C7249" s="10" t="inlineStr">
        <is>
          <t>Satuan</t>
        </is>
      </c>
      <c r="D7249" s="10" t="inlineStr">
        <is>
          <t>Koef</t>
        </is>
      </c>
      <c r="E7249" s="10" t="inlineStr">
        <is>
          <t>Harga Satuan (Rp)</t>
        </is>
      </c>
      <c r="F7249" s="10" t="inlineStr">
        <is>
          <t>Jumlah Harga (Rp)</t>
        </is>
      </c>
    </row>
    <row r="7250">
      <c r="A7250" s="3" t="inlineStr">
        <is>
          <t>1</t>
        </is>
      </c>
      <c r="B7250" s="3" t="inlineStr">
        <is>
          <t>Pekerja</t>
        </is>
      </c>
      <c r="C7250" s="3" t="inlineStr">
        <is>
          <t>OH</t>
        </is>
      </c>
      <c r="D7250" s="15" t="n">
        <v>0.845</v>
      </c>
      <c r="E7250" s="4" t="n">
        <v>100000</v>
      </c>
      <c r="F7250" s="4" t="n">
        <v>84500</v>
      </c>
    </row>
    <row r="7251">
      <c r="A7251" s="3" t="inlineStr">
        <is>
          <t>2</t>
        </is>
      </c>
      <c r="B7251" s="3" t="inlineStr">
        <is>
          <t>Tukang Listrik</t>
        </is>
      </c>
      <c r="C7251" s="3" t="inlineStr">
        <is>
          <t>OH</t>
        </is>
      </c>
      <c r="D7251" s="15" t="n">
        <v>1.411</v>
      </c>
      <c r="E7251" s="4" t="n">
        <v>145000</v>
      </c>
      <c r="F7251" s="4" t="n">
        <v>204595</v>
      </c>
    </row>
    <row r="7252">
      <c r="A7252" s="3" t="inlineStr">
        <is>
          <t>3</t>
        </is>
      </c>
      <c r="B7252" s="3" t="inlineStr">
        <is>
          <t>Kepala tukang</t>
        </is>
      </c>
      <c r="C7252" s="3" t="inlineStr">
        <is>
          <t>OH</t>
        </is>
      </c>
      <c r="D7252" s="15" t="n">
        <v>0.141</v>
      </c>
      <c r="E7252" s="4" t="n">
        <v>175000</v>
      </c>
      <c r="F7252" s="4" t="n">
        <v>24675</v>
      </c>
    </row>
    <row r="7253">
      <c r="A7253" s="3" t="inlineStr">
        <is>
          <t>4</t>
        </is>
      </c>
      <c r="B7253" s="3" t="inlineStr">
        <is>
          <t>Mandor</t>
        </is>
      </c>
      <c r="C7253" s="3" t="inlineStr">
        <is>
          <t>OH</t>
        </is>
      </c>
      <c r="D7253" s="15" t="n">
        <v>0.047</v>
      </c>
      <c r="E7253" s="4" t="n">
        <v>200000</v>
      </c>
      <c r="F7253" s="4" t="n">
        <v>9400</v>
      </c>
    </row>
    <row r="7254">
      <c r="A7254" s="3" t="inlineStr">
        <is>
          <t>1</t>
        </is>
      </c>
      <c r="B7254" s="3" t="inlineStr">
        <is>
          <t>Plug in Busway 2.000A</t>
        </is>
      </c>
      <c r="C7254" s="3" t="inlineStr">
        <is>
          <t>m'</t>
        </is>
      </c>
      <c r="D7254" s="15" t="n">
        <v>1</v>
      </c>
      <c r="E7254" s="4" t="n">
        <v>5500000</v>
      </c>
      <c r="F7254" s="4" t="n">
        <v>5500000</v>
      </c>
    </row>
    <row r="7255">
      <c r="D7255" s="2" t="inlineStr">
        <is>
          <t>SUBTOTAL UPAH</t>
        </is>
      </c>
      <c r="F7255" s="16" t="n">
        <v>323170</v>
      </c>
    </row>
    <row r="7256">
      <c r="D7256" s="2" t="inlineStr">
        <is>
          <t>SUBTOTAL BAHAN</t>
        </is>
      </c>
      <c r="F7256" s="16" t="n">
        <v>5500000</v>
      </c>
    </row>
    <row r="7257">
      <c r="D7257" s="2" t="inlineStr">
        <is>
          <t>SUBTOTAL ALAT</t>
        </is>
      </c>
      <c r="F7257" s="16" t="n">
        <v>0</v>
      </c>
    </row>
    <row r="7258">
      <c r="E7258" s="2" t="inlineStr">
        <is>
          <t>TOTAL HARGA SATUAN (Inc. Overhead)</t>
        </is>
      </c>
      <c r="F7258" s="17" t="n">
        <v>6405487</v>
      </c>
    </row>
    <row r="7260">
      <c r="A7260" s="14" t="inlineStr">
        <is>
          <t>KODE: 5.1.9.5 - Pemasangan 1 unit Flange End 1.000A</t>
        </is>
      </c>
    </row>
    <row r="7261">
      <c r="A7261" s="10" t="inlineStr">
        <is>
          <t>No</t>
        </is>
      </c>
      <c r="B7261" s="10" t="inlineStr">
        <is>
          <t>Uraian Komponen</t>
        </is>
      </c>
      <c r="C7261" s="10" t="inlineStr">
        <is>
          <t>Satuan</t>
        </is>
      </c>
      <c r="D7261" s="10" t="inlineStr">
        <is>
          <t>Koef</t>
        </is>
      </c>
      <c r="E7261" s="10" t="inlineStr">
        <is>
          <t>Harga Satuan (Rp)</t>
        </is>
      </c>
      <c r="F7261" s="10" t="inlineStr">
        <is>
          <t>Jumlah Harga (Rp)</t>
        </is>
      </c>
    </row>
    <row r="7262">
      <c r="A7262" s="3" t="inlineStr">
        <is>
          <t>1</t>
        </is>
      </c>
      <c r="B7262" s="3" t="inlineStr">
        <is>
          <t>Pekerja</t>
        </is>
      </c>
      <c r="C7262" s="3" t="inlineStr">
        <is>
          <t>OH</t>
        </is>
      </c>
      <c r="D7262" s="15" t="n">
        <v>0.845</v>
      </c>
      <c r="E7262" s="4" t="n">
        <v>100000</v>
      </c>
      <c r="F7262" s="4" t="n">
        <v>84500</v>
      </c>
    </row>
    <row r="7263">
      <c r="A7263" s="3" t="inlineStr">
        <is>
          <t>2</t>
        </is>
      </c>
      <c r="B7263" s="3" t="inlineStr">
        <is>
          <t>Tukang Listrik</t>
        </is>
      </c>
      <c r="C7263" s="3" t="inlineStr">
        <is>
          <t>OH</t>
        </is>
      </c>
      <c r="D7263" s="15" t="n">
        <v>1.411</v>
      </c>
      <c r="E7263" s="4" t="n">
        <v>145000</v>
      </c>
      <c r="F7263" s="4" t="n">
        <v>204595</v>
      </c>
    </row>
    <row r="7264">
      <c r="A7264" s="3" t="inlineStr">
        <is>
          <t>3</t>
        </is>
      </c>
      <c r="B7264" s="3" t="inlineStr">
        <is>
          <t>Kepala tukang</t>
        </is>
      </c>
      <c r="C7264" s="3" t="inlineStr">
        <is>
          <t>OH</t>
        </is>
      </c>
      <c r="D7264" s="15" t="n">
        <v>0.141</v>
      </c>
      <c r="E7264" s="4" t="n">
        <v>175000</v>
      </c>
      <c r="F7264" s="4" t="n">
        <v>24675</v>
      </c>
    </row>
    <row r="7265">
      <c r="A7265" s="3" t="inlineStr">
        <is>
          <t>4</t>
        </is>
      </c>
      <c r="B7265" s="3" t="inlineStr">
        <is>
          <t>Mandor</t>
        </is>
      </c>
      <c r="C7265" s="3" t="inlineStr">
        <is>
          <t>OH</t>
        </is>
      </c>
      <c r="D7265" s="15" t="n">
        <v>0.047</v>
      </c>
      <c r="E7265" s="4" t="n">
        <v>200000</v>
      </c>
      <c r="F7265" s="4" t="n">
        <v>9400</v>
      </c>
    </row>
    <row r="7266">
      <c r="A7266" s="3" t="inlineStr">
        <is>
          <t>1</t>
        </is>
      </c>
      <c r="B7266" s="3" t="inlineStr">
        <is>
          <t>Flange End 1.000A</t>
        </is>
      </c>
      <c r="C7266" s="3" t="inlineStr">
        <is>
          <t>unit</t>
        </is>
      </c>
      <c r="D7266" s="15" t="n">
        <v>1</v>
      </c>
      <c r="E7266" s="4" t="n">
        <v>5000000</v>
      </c>
      <c r="F7266" s="4" t="n">
        <v>5000000</v>
      </c>
    </row>
    <row r="7267">
      <c r="D7267" s="2" t="inlineStr">
        <is>
          <t>SUBTOTAL UPAH</t>
        </is>
      </c>
      <c r="F7267" s="16" t="n">
        <v>323170</v>
      </c>
    </row>
    <row r="7268">
      <c r="D7268" s="2" t="inlineStr">
        <is>
          <t>SUBTOTAL BAHAN</t>
        </is>
      </c>
      <c r="F7268" s="16" t="n">
        <v>5000000</v>
      </c>
    </row>
    <row r="7269">
      <c r="D7269" s="2" t="inlineStr">
        <is>
          <t>SUBTOTAL ALAT</t>
        </is>
      </c>
      <c r="F7269" s="16" t="n">
        <v>0</v>
      </c>
    </row>
    <row r="7270">
      <c r="E7270" s="2" t="inlineStr">
        <is>
          <t>TOTAL HARGA SATUAN (Inc. Overhead)</t>
        </is>
      </c>
      <c r="F7270" s="17" t="n">
        <v>5855487</v>
      </c>
    </row>
    <row r="7272">
      <c r="A7272" s="14" t="inlineStr">
        <is>
          <t>KODE: 5.1.9.6 - Pemasangan 1 unit Flange End 2.000A</t>
        </is>
      </c>
    </row>
    <row r="7273">
      <c r="A7273" s="10" t="inlineStr">
        <is>
          <t>No</t>
        </is>
      </c>
      <c r="B7273" s="10" t="inlineStr">
        <is>
          <t>Uraian Komponen</t>
        </is>
      </c>
      <c r="C7273" s="10" t="inlineStr">
        <is>
          <t>Satuan</t>
        </is>
      </c>
      <c r="D7273" s="10" t="inlineStr">
        <is>
          <t>Koef</t>
        </is>
      </c>
      <c r="E7273" s="10" t="inlineStr">
        <is>
          <t>Harga Satuan (Rp)</t>
        </is>
      </c>
      <c r="F7273" s="10" t="inlineStr">
        <is>
          <t>Jumlah Harga (Rp)</t>
        </is>
      </c>
    </row>
    <row r="7274">
      <c r="A7274" s="3" t="inlineStr">
        <is>
          <t>1</t>
        </is>
      </c>
      <c r="B7274" s="3" t="inlineStr">
        <is>
          <t>Pekerja</t>
        </is>
      </c>
      <c r="C7274" s="3" t="inlineStr">
        <is>
          <t>OH</t>
        </is>
      </c>
      <c r="D7274" s="15" t="n">
        <v>0.845</v>
      </c>
      <c r="E7274" s="4" t="n">
        <v>100000</v>
      </c>
      <c r="F7274" s="4" t="n">
        <v>84500</v>
      </c>
    </row>
    <row r="7275">
      <c r="A7275" s="3" t="inlineStr">
        <is>
          <t>2</t>
        </is>
      </c>
      <c r="B7275" s="3" t="inlineStr">
        <is>
          <t>Tukang Listrik</t>
        </is>
      </c>
      <c r="C7275" s="3" t="inlineStr">
        <is>
          <t>OH</t>
        </is>
      </c>
      <c r="D7275" s="15" t="n">
        <v>1.411</v>
      </c>
      <c r="E7275" s="4" t="n">
        <v>145000</v>
      </c>
      <c r="F7275" s="4" t="n">
        <v>204595</v>
      </c>
    </row>
    <row r="7276">
      <c r="A7276" s="3" t="inlineStr">
        <is>
          <t>3</t>
        </is>
      </c>
      <c r="B7276" s="3" t="inlineStr">
        <is>
          <t>Kepala tukang</t>
        </is>
      </c>
      <c r="C7276" s="3" t="inlineStr">
        <is>
          <t>OH</t>
        </is>
      </c>
      <c r="D7276" s="15" t="n">
        <v>0.141</v>
      </c>
      <c r="E7276" s="4" t="n">
        <v>175000</v>
      </c>
      <c r="F7276" s="4" t="n">
        <v>24675</v>
      </c>
    </row>
    <row r="7277">
      <c r="A7277" s="3" t="inlineStr">
        <is>
          <t>4</t>
        </is>
      </c>
      <c r="B7277" s="3" t="inlineStr">
        <is>
          <t>Mandor</t>
        </is>
      </c>
      <c r="C7277" s="3" t="inlineStr">
        <is>
          <t>OH</t>
        </is>
      </c>
      <c r="D7277" s="15" t="n">
        <v>0.047</v>
      </c>
      <c r="E7277" s="4" t="n">
        <v>200000</v>
      </c>
      <c r="F7277" s="4" t="n">
        <v>9400</v>
      </c>
    </row>
    <row r="7278">
      <c r="A7278" s="3" t="inlineStr">
        <is>
          <t>1</t>
        </is>
      </c>
      <c r="B7278" s="3" t="inlineStr">
        <is>
          <t>Flange End 2.000A</t>
        </is>
      </c>
      <c r="C7278" s="3" t="inlineStr">
        <is>
          <t>unit</t>
        </is>
      </c>
      <c r="D7278" s="15" t="n">
        <v>1</v>
      </c>
      <c r="E7278" s="4" t="n">
        <v>9500000</v>
      </c>
      <c r="F7278" s="4" t="n">
        <v>9500000</v>
      </c>
    </row>
    <row r="7279">
      <c r="D7279" s="2" t="inlineStr">
        <is>
          <t>SUBTOTAL UPAH</t>
        </is>
      </c>
      <c r="F7279" s="16" t="n">
        <v>323170</v>
      </c>
    </row>
    <row r="7280">
      <c r="D7280" s="2" t="inlineStr">
        <is>
          <t>SUBTOTAL BAHAN</t>
        </is>
      </c>
      <c r="F7280" s="16" t="n">
        <v>9500000</v>
      </c>
    </row>
    <row r="7281">
      <c r="D7281" s="2" t="inlineStr">
        <is>
          <t>SUBTOTAL ALAT</t>
        </is>
      </c>
      <c r="F7281" s="16" t="n">
        <v>0</v>
      </c>
    </row>
    <row r="7282">
      <c r="E7282" s="2" t="inlineStr">
        <is>
          <t>TOTAL HARGA SATUAN (Inc. Overhead)</t>
        </is>
      </c>
      <c r="F7282" s="17" t="n">
        <v>10805487</v>
      </c>
    </row>
    <row r="7284">
      <c r="A7284" s="14" t="inlineStr">
        <is>
          <t>KODE: 5.1.9.7 - Pemasangan 1 unit Edgewise Elbow 1.000A</t>
        </is>
      </c>
    </row>
    <row r="7285">
      <c r="A7285" s="10" t="inlineStr">
        <is>
          <t>No</t>
        </is>
      </c>
      <c r="B7285" s="10" t="inlineStr">
        <is>
          <t>Uraian Komponen</t>
        </is>
      </c>
      <c r="C7285" s="10" t="inlineStr">
        <is>
          <t>Satuan</t>
        </is>
      </c>
      <c r="D7285" s="10" t="inlineStr">
        <is>
          <t>Koef</t>
        </is>
      </c>
      <c r="E7285" s="10" t="inlineStr">
        <is>
          <t>Harga Satuan (Rp)</t>
        </is>
      </c>
      <c r="F7285" s="10" t="inlineStr">
        <is>
          <t>Jumlah Harga (Rp)</t>
        </is>
      </c>
    </row>
    <row r="7286">
      <c r="A7286" s="3" t="inlineStr">
        <is>
          <t>1</t>
        </is>
      </c>
      <c r="B7286" s="3" t="inlineStr">
        <is>
          <t>Pekerja</t>
        </is>
      </c>
      <c r="C7286" s="3" t="inlineStr">
        <is>
          <t>OH</t>
        </is>
      </c>
      <c r="D7286" s="15" t="n">
        <v>0.845</v>
      </c>
      <c r="E7286" s="4" t="n">
        <v>100000</v>
      </c>
      <c r="F7286" s="4" t="n">
        <v>84500</v>
      </c>
    </row>
    <row r="7287">
      <c r="A7287" s="3" t="inlineStr">
        <is>
          <t>2</t>
        </is>
      </c>
      <c r="B7287" s="3" t="inlineStr">
        <is>
          <t>Tukang Listrik</t>
        </is>
      </c>
      <c r="C7287" s="3" t="inlineStr">
        <is>
          <t>OH</t>
        </is>
      </c>
      <c r="D7287" s="15" t="n">
        <v>1.411</v>
      </c>
      <c r="E7287" s="4" t="n">
        <v>145000</v>
      </c>
      <c r="F7287" s="4" t="n">
        <v>204595</v>
      </c>
    </row>
    <row r="7288">
      <c r="A7288" s="3" t="inlineStr">
        <is>
          <t>3</t>
        </is>
      </c>
      <c r="B7288" s="3" t="inlineStr">
        <is>
          <t>Kepala tukang</t>
        </is>
      </c>
      <c r="C7288" s="3" t="inlineStr">
        <is>
          <t>OH</t>
        </is>
      </c>
      <c r="D7288" s="15" t="n">
        <v>0.141</v>
      </c>
      <c r="E7288" s="4" t="n">
        <v>175000</v>
      </c>
      <c r="F7288" s="4" t="n">
        <v>24675</v>
      </c>
    </row>
    <row r="7289">
      <c r="A7289" s="3" t="inlineStr">
        <is>
          <t>4</t>
        </is>
      </c>
      <c r="B7289" s="3" t="inlineStr">
        <is>
          <t>Mandor</t>
        </is>
      </c>
      <c r="C7289" s="3" t="inlineStr">
        <is>
          <t>OH</t>
        </is>
      </c>
      <c r="D7289" s="15" t="n">
        <v>0.047</v>
      </c>
      <c r="E7289" s="4" t="n">
        <v>200000</v>
      </c>
      <c r="F7289" s="4" t="n">
        <v>9400</v>
      </c>
    </row>
    <row r="7290">
      <c r="A7290" s="3" t="inlineStr">
        <is>
          <t>1</t>
        </is>
      </c>
      <c r="B7290" s="3" t="inlineStr">
        <is>
          <t>Edgewise Elbow 1.000A</t>
        </is>
      </c>
      <c r="C7290" s="3" t="inlineStr">
        <is>
          <t>unit</t>
        </is>
      </c>
      <c r="D7290" s="15" t="n">
        <v>1</v>
      </c>
      <c r="E7290" s="4" t="n">
        <v>8500000</v>
      </c>
      <c r="F7290" s="4" t="n">
        <v>8500000</v>
      </c>
    </row>
    <row r="7291">
      <c r="D7291" s="2" t="inlineStr">
        <is>
          <t>SUBTOTAL UPAH</t>
        </is>
      </c>
      <c r="F7291" s="16" t="n">
        <v>323170</v>
      </c>
    </row>
    <row r="7292">
      <c r="D7292" s="2" t="inlineStr">
        <is>
          <t>SUBTOTAL BAHAN</t>
        </is>
      </c>
      <c r="F7292" s="16" t="n">
        <v>8500000</v>
      </c>
    </row>
    <row r="7293">
      <c r="D7293" s="2" t="inlineStr">
        <is>
          <t>SUBTOTAL ALAT</t>
        </is>
      </c>
      <c r="F7293" s="16" t="n">
        <v>0</v>
      </c>
    </row>
    <row r="7294">
      <c r="E7294" s="2" t="inlineStr">
        <is>
          <t>TOTAL HARGA SATUAN (Inc. Overhead)</t>
        </is>
      </c>
      <c r="F7294" s="17" t="n">
        <v>9705487</v>
      </c>
    </row>
    <row r="7296">
      <c r="A7296" s="14" t="inlineStr">
        <is>
          <t>KODE: 5.1.9.8 - Pemasangan 1 unit Edgewise Elbow 2.000A</t>
        </is>
      </c>
    </row>
    <row r="7297">
      <c r="A7297" s="10" t="inlineStr">
        <is>
          <t>No</t>
        </is>
      </c>
      <c r="B7297" s="10" t="inlineStr">
        <is>
          <t>Uraian Komponen</t>
        </is>
      </c>
      <c r="C7297" s="10" t="inlineStr">
        <is>
          <t>Satuan</t>
        </is>
      </c>
      <c r="D7297" s="10" t="inlineStr">
        <is>
          <t>Koef</t>
        </is>
      </c>
      <c r="E7297" s="10" t="inlineStr">
        <is>
          <t>Harga Satuan (Rp)</t>
        </is>
      </c>
      <c r="F7297" s="10" t="inlineStr">
        <is>
          <t>Jumlah Harga (Rp)</t>
        </is>
      </c>
    </row>
    <row r="7298">
      <c r="A7298" s="3" t="inlineStr">
        <is>
          <t>1</t>
        </is>
      </c>
      <c r="B7298" s="3" t="inlineStr">
        <is>
          <t>Pekerja</t>
        </is>
      </c>
      <c r="C7298" s="3" t="inlineStr">
        <is>
          <t>OH</t>
        </is>
      </c>
      <c r="D7298" s="15" t="n">
        <v>0.845</v>
      </c>
      <c r="E7298" s="4" t="n">
        <v>100000</v>
      </c>
      <c r="F7298" s="4" t="n">
        <v>84500</v>
      </c>
    </row>
    <row r="7299">
      <c r="A7299" s="3" t="inlineStr">
        <is>
          <t>2</t>
        </is>
      </c>
      <c r="B7299" s="3" t="inlineStr">
        <is>
          <t>Tukang Listrik</t>
        </is>
      </c>
      <c r="C7299" s="3" t="inlineStr">
        <is>
          <t>OH</t>
        </is>
      </c>
      <c r="D7299" s="15" t="n">
        <v>1.411</v>
      </c>
      <c r="E7299" s="4" t="n">
        <v>145000</v>
      </c>
      <c r="F7299" s="4" t="n">
        <v>204595</v>
      </c>
    </row>
    <row r="7300">
      <c r="A7300" s="3" t="inlineStr">
        <is>
          <t>3</t>
        </is>
      </c>
      <c r="B7300" s="3" t="inlineStr">
        <is>
          <t>Kepala tukang</t>
        </is>
      </c>
      <c r="C7300" s="3" t="inlineStr">
        <is>
          <t>OH</t>
        </is>
      </c>
      <c r="D7300" s="15" t="n">
        <v>0.141</v>
      </c>
      <c r="E7300" s="4" t="n">
        <v>175000</v>
      </c>
      <c r="F7300" s="4" t="n">
        <v>24675</v>
      </c>
    </row>
    <row r="7301">
      <c r="A7301" s="3" t="inlineStr">
        <is>
          <t>4</t>
        </is>
      </c>
      <c r="B7301" s="3" t="inlineStr">
        <is>
          <t>Mandor</t>
        </is>
      </c>
      <c r="C7301" s="3" t="inlineStr">
        <is>
          <t>OH</t>
        </is>
      </c>
      <c r="D7301" s="15" t="n">
        <v>0.047</v>
      </c>
      <c r="E7301" s="4" t="n">
        <v>200000</v>
      </c>
      <c r="F7301" s="4" t="n">
        <v>9400</v>
      </c>
    </row>
    <row r="7302">
      <c r="A7302" s="3" t="inlineStr">
        <is>
          <t>1</t>
        </is>
      </c>
      <c r="B7302" s="3" t="inlineStr">
        <is>
          <t>Edgewise Elbow 2.000A</t>
        </is>
      </c>
      <c r="C7302" s="3" t="inlineStr">
        <is>
          <t>unit</t>
        </is>
      </c>
      <c r="D7302" s="15" t="n">
        <v>1</v>
      </c>
      <c r="E7302" s="4" t="n">
        <v>16000000</v>
      </c>
      <c r="F7302" s="4" t="n">
        <v>16000000</v>
      </c>
    </row>
    <row r="7303">
      <c r="D7303" s="2" t="inlineStr">
        <is>
          <t>SUBTOTAL UPAH</t>
        </is>
      </c>
      <c r="F7303" s="16" t="n">
        <v>323170</v>
      </c>
    </row>
    <row r="7304">
      <c r="D7304" s="2" t="inlineStr">
        <is>
          <t>SUBTOTAL BAHAN</t>
        </is>
      </c>
      <c r="F7304" s="16" t="n">
        <v>16000000</v>
      </c>
    </row>
    <row r="7305">
      <c r="D7305" s="2" t="inlineStr">
        <is>
          <t>SUBTOTAL ALAT</t>
        </is>
      </c>
      <c r="F7305" s="16" t="n">
        <v>0</v>
      </c>
    </row>
    <row r="7306">
      <c r="E7306" s="2" t="inlineStr">
        <is>
          <t>TOTAL HARGA SATUAN (Inc. Overhead)</t>
        </is>
      </c>
      <c r="F7306" s="17" t="n">
        <v>17955487</v>
      </c>
    </row>
    <row r="7308">
      <c r="A7308" s="14" t="inlineStr">
        <is>
          <t>KODE: 5.1.9.9 - Pemasangan 1 unit End Closure 1.000A</t>
        </is>
      </c>
    </row>
    <row r="7309">
      <c r="A7309" s="10" t="inlineStr">
        <is>
          <t>No</t>
        </is>
      </c>
      <c r="B7309" s="10" t="inlineStr">
        <is>
          <t>Uraian Komponen</t>
        </is>
      </c>
      <c r="C7309" s="10" t="inlineStr">
        <is>
          <t>Satuan</t>
        </is>
      </c>
      <c r="D7309" s="10" t="inlineStr">
        <is>
          <t>Koef</t>
        </is>
      </c>
      <c r="E7309" s="10" t="inlineStr">
        <is>
          <t>Harga Satuan (Rp)</t>
        </is>
      </c>
      <c r="F7309" s="10" t="inlineStr">
        <is>
          <t>Jumlah Harga (Rp)</t>
        </is>
      </c>
    </row>
    <row r="7310">
      <c r="A7310" s="3" t="inlineStr">
        <is>
          <t>1</t>
        </is>
      </c>
      <c r="B7310" s="3" t="inlineStr">
        <is>
          <t>Pekerja</t>
        </is>
      </c>
      <c r="C7310" s="3" t="inlineStr">
        <is>
          <t>OH</t>
        </is>
      </c>
      <c r="D7310" s="15" t="n">
        <v>0.845</v>
      </c>
      <c r="E7310" s="4" t="n">
        <v>100000</v>
      </c>
      <c r="F7310" s="4" t="n">
        <v>84500</v>
      </c>
    </row>
    <row r="7311">
      <c r="A7311" s="3" t="inlineStr">
        <is>
          <t>2</t>
        </is>
      </c>
      <c r="B7311" s="3" t="inlineStr">
        <is>
          <t>Tukang Listrik</t>
        </is>
      </c>
      <c r="C7311" s="3" t="inlineStr">
        <is>
          <t>OH</t>
        </is>
      </c>
      <c r="D7311" s="15" t="n">
        <v>1.411</v>
      </c>
      <c r="E7311" s="4" t="n">
        <v>145000</v>
      </c>
      <c r="F7311" s="4" t="n">
        <v>204595</v>
      </c>
    </row>
    <row r="7312">
      <c r="A7312" s="3" t="inlineStr">
        <is>
          <t>3</t>
        </is>
      </c>
      <c r="B7312" s="3" t="inlineStr">
        <is>
          <t>Kepala tukang</t>
        </is>
      </c>
      <c r="C7312" s="3" t="inlineStr">
        <is>
          <t>OH</t>
        </is>
      </c>
      <c r="D7312" s="15" t="n">
        <v>0.141</v>
      </c>
      <c r="E7312" s="4" t="n">
        <v>175000</v>
      </c>
      <c r="F7312" s="4" t="n">
        <v>24675</v>
      </c>
    </row>
    <row r="7313">
      <c r="A7313" s="3" t="inlineStr">
        <is>
          <t>4</t>
        </is>
      </c>
      <c r="B7313" s="3" t="inlineStr">
        <is>
          <t>Mandor</t>
        </is>
      </c>
      <c r="C7313" s="3" t="inlineStr">
        <is>
          <t>OH</t>
        </is>
      </c>
      <c r="D7313" s="15" t="n">
        <v>0.047</v>
      </c>
      <c r="E7313" s="4" t="n">
        <v>200000</v>
      </c>
      <c r="F7313" s="4" t="n">
        <v>9400</v>
      </c>
    </row>
    <row r="7314">
      <c r="A7314" s="3" t="inlineStr">
        <is>
          <t>1</t>
        </is>
      </c>
      <c r="B7314" s="3" t="inlineStr">
        <is>
          <t>End Closure 1.000A</t>
        </is>
      </c>
      <c r="C7314" s="3" t="inlineStr">
        <is>
          <t>unit</t>
        </is>
      </c>
      <c r="D7314" s="15" t="n">
        <v>1</v>
      </c>
      <c r="E7314" s="4" t="n">
        <v>5000000</v>
      </c>
      <c r="F7314" s="4" t="n">
        <v>5000000</v>
      </c>
    </row>
    <row r="7315">
      <c r="D7315" s="2" t="inlineStr">
        <is>
          <t>SUBTOTAL UPAH</t>
        </is>
      </c>
      <c r="F7315" s="16" t="n">
        <v>323170</v>
      </c>
    </row>
    <row r="7316">
      <c r="D7316" s="2" t="inlineStr">
        <is>
          <t>SUBTOTAL BAHAN</t>
        </is>
      </c>
      <c r="F7316" s="16" t="n">
        <v>5000000</v>
      </c>
    </row>
    <row r="7317">
      <c r="D7317" s="2" t="inlineStr">
        <is>
          <t>SUBTOTAL ALAT</t>
        </is>
      </c>
      <c r="F7317" s="16" t="n">
        <v>0</v>
      </c>
    </row>
    <row r="7318">
      <c r="E7318" s="2" t="inlineStr">
        <is>
          <t>TOTAL HARGA SATUAN (Inc. Overhead)</t>
        </is>
      </c>
      <c r="F7318" s="17" t="n">
        <v>5855487</v>
      </c>
    </row>
    <row r="7320">
      <c r="A7320" s="14" t="inlineStr">
        <is>
          <t>KODE: 5.1.9.10 - Pemasangan 1 unit End Closure 2.000A</t>
        </is>
      </c>
    </row>
    <row r="7321">
      <c r="A7321" s="10" t="inlineStr">
        <is>
          <t>No</t>
        </is>
      </c>
      <c r="B7321" s="10" t="inlineStr">
        <is>
          <t>Uraian Komponen</t>
        </is>
      </c>
      <c r="C7321" s="10" t="inlineStr">
        <is>
          <t>Satuan</t>
        </is>
      </c>
      <c r="D7321" s="10" t="inlineStr">
        <is>
          <t>Koef</t>
        </is>
      </c>
      <c r="E7321" s="10" t="inlineStr">
        <is>
          <t>Harga Satuan (Rp)</t>
        </is>
      </c>
      <c r="F7321" s="10" t="inlineStr">
        <is>
          <t>Jumlah Harga (Rp)</t>
        </is>
      </c>
    </row>
    <row r="7322">
      <c r="A7322" s="3" t="inlineStr">
        <is>
          <t>1</t>
        </is>
      </c>
      <c r="B7322" s="3" t="inlineStr">
        <is>
          <t>Pekerja</t>
        </is>
      </c>
      <c r="C7322" s="3" t="inlineStr">
        <is>
          <t>OH</t>
        </is>
      </c>
      <c r="D7322" s="15" t="n">
        <v>0.845</v>
      </c>
      <c r="E7322" s="4" t="n">
        <v>100000</v>
      </c>
      <c r="F7322" s="4" t="n">
        <v>84500</v>
      </c>
    </row>
    <row r="7323">
      <c r="A7323" s="3" t="inlineStr">
        <is>
          <t>2</t>
        </is>
      </c>
      <c r="B7323" s="3" t="inlineStr">
        <is>
          <t>Tukang Listrik</t>
        </is>
      </c>
      <c r="C7323" s="3" t="inlineStr">
        <is>
          <t>OH</t>
        </is>
      </c>
      <c r="D7323" s="15" t="n">
        <v>1.411</v>
      </c>
      <c r="E7323" s="4" t="n">
        <v>145000</v>
      </c>
      <c r="F7323" s="4" t="n">
        <v>204595</v>
      </c>
    </row>
    <row r="7324">
      <c r="A7324" s="3" t="inlineStr">
        <is>
          <t>3</t>
        </is>
      </c>
      <c r="B7324" s="3" t="inlineStr">
        <is>
          <t>Kepala tukang</t>
        </is>
      </c>
      <c r="C7324" s="3" t="inlineStr">
        <is>
          <t>OH</t>
        </is>
      </c>
      <c r="D7324" s="15" t="n">
        <v>0.141</v>
      </c>
      <c r="E7324" s="4" t="n">
        <v>175000</v>
      </c>
      <c r="F7324" s="4" t="n">
        <v>24675</v>
      </c>
    </row>
    <row r="7325">
      <c r="A7325" s="3" t="inlineStr">
        <is>
          <t>4</t>
        </is>
      </c>
      <c r="B7325" s="3" t="inlineStr">
        <is>
          <t>Mandor</t>
        </is>
      </c>
      <c r="C7325" s="3" t="inlineStr">
        <is>
          <t>OH</t>
        </is>
      </c>
      <c r="D7325" s="15" t="n">
        <v>0.047</v>
      </c>
      <c r="E7325" s="4" t="n">
        <v>200000</v>
      </c>
      <c r="F7325" s="4" t="n">
        <v>9400</v>
      </c>
    </row>
    <row r="7326">
      <c r="A7326" s="3" t="inlineStr">
        <is>
          <t>1</t>
        </is>
      </c>
      <c r="B7326" s="3" t="inlineStr">
        <is>
          <t>End Closure 2.000A</t>
        </is>
      </c>
      <c r="C7326" s="3" t="inlineStr">
        <is>
          <t>unit</t>
        </is>
      </c>
      <c r="D7326" s="15" t="n">
        <v>1</v>
      </c>
      <c r="E7326" s="4" t="n">
        <v>9000000</v>
      </c>
      <c r="F7326" s="4" t="n">
        <v>9000000</v>
      </c>
    </row>
    <row r="7327">
      <c r="D7327" s="2" t="inlineStr">
        <is>
          <t>SUBTOTAL UPAH</t>
        </is>
      </c>
      <c r="F7327" s="16" t="n">
        <v>323170</v>
      </c>
    </row>
    <row r="7328">
      <c r="D7328" s="2" t="inlineStr">
        <is>
          <t>SUBTOTAL BAHAN</t>
        </is>
      </c>
      <c r="F7328" s="16" t="n">
        <v>9000000</v>
      </c>
    </row>
    <row r="7329">
      <c r="D7329" s="2" t="inlineStr">
        <is>
          <t>SUBTOTAL ALAT</t>
        </is>
      </c>
      <c r="F7329" s="16" t="n">
        <v>0</v>
      </c>
    </row>
    <row r="7330">
      <c r="E7330" s="2" t="inlineStr">
        <is>
          <t>TOTAL HARGA SATUAN (Inc. Overhead)</t>
        </is>
      </c>
      <c r="F7330" s="17" t="n">
        <v>10255487</v>
      </c>
    </row>
    <row r="7332">
      <c r="A7332" s="14" t="inlineStr">
        <is>
          <t>KODE: 5.1.9.11 - Pemasangan 1 unit Plug in Box (with MCCB 800A/50KA)</t>
        </is>
      </c>
    </row>
    <row r="7333">
      <c r="A7333" s="10" t="inlineStr">
        <is>
          <t>No</t>
        </is>
      </c>
      <c r="B7333" s="10" t="inlineStr">
        <is>
          <t>Uraian Komponen</t>
        </is>
      </c>
      <c r="C7333" s="10" t="inlineStr">
        <is>
          <t>Satuan</t>
        </is>
      </c>
      <c r="D7333" s="10" t="inlineStr">
        <is>
          <t>Koef</t>
        </is>
      </c>
      <c r="E7333" s="10" t="inlineStr">
        <is>
          <t>Harga Satuan (Rp)</t>
        </is>
      </c>
      <c r="F7333" s="10" t="inlineStr">
        <is>
          <t>Jumlah Harga (Rp)</t>
        </is>
      </c>
    </row>
    <row r="7334">
      <c r="A7334" s="3" t="inlineStr">
        <is>
          <t>1</t>
        </is>
      </c>
      <c r="B7334" s="3" t="inlineStr">
        <is>
          <t>Pekerja</t>
        </is>
      </c>
      <c r="C7334" s="3" t="inlineStr">
        <is>
          <t>OH</t>
        </is>
      </c>
      <c r="D7334" s="15" t="n">
        <v>1.114</v>
      </c>
      <c r="E7334" s="4" t="n">
        <v>100000</v>
      </c>
      <c r="F7334" s="4" t="n">
        <v>111400</v>
      </c>
    </row>
    <row r="7335">
      <c r="A7335" s="3" t="inlineStr">
        <is>
          <t>2</t>
        </is>
      </c>
      <c r="B7335" s="3" t="inlineStr">
        <is>
          <t>Tukang Listrik</t>
        </is>
      </c>
      <c r="C7335" s="3" t="inlineStr">
        <is>
          <t>OH</t>
        </is>
      </c>
      <c r="D7335" s="15" t="n">
        <v>1.861</v>
      </c>
      <c r="E7335" s="4" t="n">
        <v>145000</v>
      </c>
      <c r="F7335" s="4" t="n">
        <v>269845</v>
      </c>
    </row>
    <row r="7336">
      <c r="A7336" s="3" t="inlineStr">
        <is>
          <t>3</t>
        </is>
      </c>
      <c r="B7336" s="3" t="inlineStr">
        <is>
          <t>Kepala tukang</t>
        </is>
      </c>
      <c r="C7336" s="3" t="inlineStr">
        <is>
          <t>OH</t>
        </is>
      </c>
      <c r="D7336" s="15" t="n">
        <v>0.186</v>
      </c>
      <c r="E7336" s="4" t="n">
        <v>175000</v>
      </c>
      <c r="F7336" s="4" t="n">
        <v>32550</v>
      </c>
    </row>
    <row r="7337">
      <c r="A7337" s="3" t="inlineStr">
        <is>
          <t>4</t>
        </is>
      </c>
      <c r="B7337" s="3" t="inlineStr">
        <is>
          <t>Mandor</t>
        </is>
      </c>
      <c r="C7337" s="3" t="inlineStr">
        <is>
          <t>OH</t>
        </is>
      </c>
      <c r="D7337" s="15" t="n">
        <v>0.062</v>
      </c>
      <c r="E7337" s="4" t="n">
        <v>200000</v>
      </c>
      <c r="F7337" s="4" t="n">
        <v>12400</v>
      </c>
    </row>
    <row r="7338">
      <c r="A7338" s="3" t="inlineStr">
        <is>
          <t>1</t>
        </is>
      </c>
      <c r="B7338" s="3" t="inlineStr">
        <is>
          <t>Plug in Box (with MCCB 800A/50KA)</t>
        </is>
      </c>
      <c r="C7338" s="3" t="inlineStr">
        <is>
          <t>unit</t>
        </is>
      </c>
      <c r="D7338" s="15" t="n">
        <v>1</v>
      </c>
      <c r="E7338" s="4" t="n">
        <v>35000000</v>
      </c>
      <c r="F7338" s="4" t="n">
        <v>35000000</v>
      </c>
    </row>
    <row r="7339">
      <c r="D7339" s="2" t="inlineStr">
        <is>
          <t>SUBTOTAL UPAH</t>
        </is>
      </c>
      <c r="F7339" s="16" t="n">
        <v>426195</v>
      </c>
    </row>
    <row r="7340">
      <c r="D7340" s="2" t="inlineStr">
        <is>
          <t>SUBTOTAL BAHAN</t>
        </is>
      </c>
      <c r="F7340" s="16" t="n">
        <v>35000000</v>
      </c>
    </row>
    <row r="7341">
      <c r="D7341" s="2" t="inlineStr">
        <is>
          <t>SUBTOTAL ALAT</t>
        </is>
      </c>
      <c r="F7341" s="16" t="n">
        <v>0</v>
      </c>
    </row>
    <row r="7342">
      <c r="E7342" s="2" t="inlineStr">
        <is>
          <t>TOTAL HARGA SATUAN (Inc. Overhead)</t>
        </is>
      </c>
      <c r="F7342" s="17" t="n">
        <v>38968814</v>
      </c>
    </row>
    <row r="7344">
      <c r="A7344" s="14" t="inlineStr">
        <is>
          <t>KODE: 5.1.9.12 - Pemasangan 1 unit Plug in Box (with MCCB 400A/50KA)</t>
        </is>
      </c>
    </row>
    <row r="7345">
      <c r="A7345" s="10" t="inlineStr">
        <is>
          <t>No</t>
        </is>
      </c>
      <c r="B7345" s="10" t="inlineStr">
        <is>
          <t>Uraian Komponen</t>
        </is>
      </c>
      <c r="C7345" s="10" t="inlineStr">
        <is>
          <t>Satuan</t>
        </is>
      </c>
      <c r="D7345" s="10" t="inlineStr">
        <is>
          <t>Koef</t>
        </is>
      </c>
      <c r="E7345" s="10" t="inlineStr">
        <is>
          <t>Harga Satuan (Rp)</t>
        </is>
      </c>
      <c r="F7345" s="10" t="inlineStr">
        <is>
          <t>Jumlah Harga (Rp)</t>
        </is>
      </c>
    </row>
    <row r="7346">
      <c r="A7346" s="3" t="inlineStr">
        <is>
          <t>1</t>
        </is>
      </c>
      <c r="B7346" s="3" t="inlineStr">
        <is>
          <t>Pekerja</t>
        </is>
      </c>
      <c r="C7346" s="3" t="inlineStr">
        <is>
          <t>OH</t>
        </is>
      </c>
      <c r="D7346" s="15" t="n">
        <v>0.771</v>
      </c>
      <c r="E7346" s="4" t="n">
        <v>100000</v>
      </c>
      <c r="F7346" s="4" t="n">
        <v>77100</v>
      </c>
    </row>
    <row r="7347">
      <c r="A7347" s="3" t="inlineStr">
        <is>
          <t>2</t>
        </is>
      </c>
      <c r="B7347" s="3" t="inlineStr">
        <is>
          <t>Tukang Listrik</t>
        </is>
      </c>
      <c r="C7347" s="3" t="inlineStr">
        <is>
          <t>OH</t>
        </is>
      </c>
      <c r="D7347" s="15" t="n">
        <v>1.288</v>
      </c>
      <c r="E7347" s="4" t="n">
        <v>145000</v>
      </c>
      <c r="F7347" s="4" t="n">
        <v>186760</v>
      </c>
    </row>
    <row r="7348">
      <c r="A7348" s="3" t="inlineStr">
        <is>
          <t>3</t>
        </is>
      </c>
      <c r="B7348" s="3" t="inlineStr">
        <is>
          <t>Kepala tukang</t>
        </is>
      </c>
      <c r="C7348" s="3" t="inlineStr">
        <is>
          <t>OH</t>
        </is>
      </c>
      <c r="D7348" s="15" t="n">
        <v>0.129</v>
      </c>
      <c r="E7348" s="4" t="n">
        <v>175000</v>
      </c>
      <c r="F7348" s="4" t="n">
        <v>22575</v>
      </c>
    </row>
    <row r="7349">
      <c r="A7349" s="3" t="inlineStr">
        <is>
          <t>4</t>
        </is>
      </c>
      <c r="B7349" s="3" t="inlineStr">
        <is>
          <t>Mandor</t>
        </is>
      </c>
      <c r="C7349" s="3" t="inlineStr">
        <is>
          <t>OH</t>
        </is>
      </c>
      <c r="D7349" s="15" t="n">
        <v>0.043</v>
      </c>
      <c r="E7349" s="4" t="n">
        <v>200000</v>
      </c>
      <c r="F7349" s="4" t="n">
        <v>8600</v>
      </c>
    </row>
    <row r="7350">
      <c r="A7350" s="3" t="inlineStr">
        <is>
          <t>1</t>
        </is>
      </c>
      <c r="B7350" s="3" t="inlineStr">
        <is>
          <t>Plug in Box (with MCCB 400A/50KA)</t>
        </is>
      </c>
      <c r="C7350" s="3" t="inlineStr">
        <is>
          <t>unit</t>
        </is>
      </c>
      <c r="D7350" s="15" t="n">
        <v>1</v>
      </c>
      <c r="E7350" s="4" t="n">
        <v>17000000</v>
      </c>
      <c r="F7350" s="4" t="n">
        <v>17000000</v>
      </c>
    </row>
    <row r="7351">
      <c r="D7351" s="2" t="inlineStr">
        <is>
          <t>SUBTOTAL UPAH</t>
        </is>
      </c>
      <c r="F7351" s="16" t="n">
        <v>295035</v>
      </c>
    </row>
    <row r="7352">
      <c r="D7352" s="2" t="inlineStr">
        <is>
          <t>SUBTOTAL BAHAN</t>
        </is>
      </c>
      <c r="F7352" s="16" t="n">
        <v>17000000</v>
      </c>
    </row>
    <row r="7353">
      <c r="D7353" s="2" t="inlineStr">
        <is>
          <t>SUBTOTAL ALAT</t>
        </is>
      </c>
      <c r="F7353" s="16" t="n">
        <v>0</v>
      </c>
    </row>
    <row r="7354">
      <c r="E7354" s="2" t="inlineStr">
        <is>
          <t>TOTAL HARGA SATUAN (Inc. Overhead)</t>
        </is>
      </c>
      <c r="F7354" s="17" t="n">
        <v>19024538</v>
      </c>
    </row>
    <row r="7356">
      <c r="A7356" s="14" t="inlineStr">
        <is>
          <t>KODE: 5.1.9.13 - Pemasangan 1 unit Plug in Box (with MCCB 150A/36KA)</t>
        </is>
      </c>
    </row>
    <row r="7357">
      <c r="A7357" s="10" t="inlineStr">
        <is>
          <t>No</t>
        </is>
      </c>
      <c r="B7357" s="10" t="inlineStr">
        <is>
          <t>Uraian Komponen</t>
        </is>
      </c>
      <c r="C7357" s="10" t="inlineStr">
        <is>
          <t>Satuan</t>
        </is>
      </c>
      <c r="D7357" s="10" t="inlineStr">
        <is>
          <t>Koef</t>
        </is>
      </c>
      <c r="E7357" s="10" t="inlineStr">
        <is>
          <t>Harga Satuan (Rp)</t>
        </is>
      </c>
      <c r="F7357" s="10" t="inlineStr">
        <is>
          <t>Jumlah Harga (Rp)</t>
        </is>
      </c>
    </row>
    <row r="7358">
      <c r="A7358" s="3" t="inlineStr">
        <is>
          <t>1</t>
        </is>
      </c>
      <c r="B7358" s="3" t="inlineStr">
        <is>
          <t>Pekerja</t>
        </is>
      </c>
      <c r="C7358" s="3" t="inlineStr">
        <is>
          <t>OH</t>
        </is>
      </c>
      <c r="D7358" s="15" t="n">
        <v>0.771</v>
      </c>
      <c r="E7358" s="4" t="n">
        <v>100000</v>
      </c>
      <c r="F7358" s="4" t="n">
        <v>77100</v>
      </c>
    </row>
    <row r="7359">
      <c r="A7359" s="3" t="inlineStr">
        <is>
          <t>2</t>
        </is>
      </c>
      <c r="B7359" s="3" t="inlineStr">
        <is>
          <t>Tukang Listrik</t>
        </is>
      </c>
      <c r="C7359" s="3" t="inlineStr">
        <is>
          <t>OH</t>
        </is>
      </c>
      <c r="D7359" s="15" t="n">
        <v>1.288</v>
      </c>
      <c r="E7359" s="4" t="n">
        <v>145000</v>
      </c>
      <c r="F7359" s="4" t="n">
        <v>186760</v>
      </c>
    </row>
    <row r="7360">
      <c r="A7360" s="3" t="inlineStr">
        <is>
          <t>3</t>
        </is>
      </c>
      <c r="B7360" s="3" t="inlineStr">
        <is>
          <t>Kepala tukang</t>
        </is>
      </c>
      <c r="C7360" s="3" t="inlineStr">
        <is>
          <t>OH</t>
        </is>
      </c>
      <c r="D7360" s="15" t="n">
        <v>0.129</v>
      </c>
      <c r="E7360" s="4" t="n">
        <v>175000</v>
      </c>
      <c r="F7360" s="4" t="n">
        <v>22575</v>
      </c>
    </row>
    <row r="7361">
      <c r="A7361" s="3" t="inlineStr">
        <is>
          <t>4</t>
        </is>
      </c>
      <c r="B7361" s="3" t="inlineStr">
        <is>
          <t>Mandor</t>
        </is>
      </c>
      <c r="C7361" s="3" t="inlineStr">
        <is>
          <t>OH</t>
        </is>
      </c>
      <c r="D7361" s="15" t="n">
        <v>0.043</v>
      </c>
      <c r="E7361" s="4" t="n">
        <v>200000</v>
      </c>
      <c r="F7361" s="4" t="n">
        <v>8600</v>
      </c>
    </row>
    <row r="7362">
      <c r="A7362" s="3" t="inlineStr">
        <is>
          <t>1</t>
        </is>
      </c>
      <c r="B7362" s="3" t="inlineStr">
        <is>
          <t>Plug in Box (with MCCB 150A/36KA)</t>
        </is>
      </c>
      <c r="C7362" s="3" t="inlineStr">
        <is>
          <t>unit</t>
        </is>
      </c>
      <c r="D7362" s="15" t="n">
        <v>1</v>
      </c>
      <c r="E7362" s="4" t="n">
        <v>10000000</v>
      </c>
      <c r="F7362" s="4" t="n">
        <v>10000000</v>
      </c>
    </row>
    <row r="7363">
      <c r="D7363" s="2" t="inlineStr">
        <is>
          <t>SUBTOTAL UPAH</t>
        </is>
      </c>
      <c r="F7363" s="16" t="n">
        <v>295035</v>
      </c>
    </row>
    <row r="7364">
      <c r="D7364" s="2" t="inlineStr">
        <is>
          <t>SUBTOTAL BAHAN</t>
        </is>
      </c>
      <c r="F7364" s="16" t="n">
        <v>10000000</v>
      </c>
    </row>
    <row r="7365">
      <c r="D7365" s="2" t="inlineStr">
        <is>
          <t>SUBTOTAL ALAT</t>
        </is>
      </c>
      <c r="F7365" s="16" t="n">
        <v>0</v>
      </c>
    </row>
    <row r="7366">
      <c r="E7366" s="2" t="inlineStr">
        <is>
          <t>TOTAL HARGA SATUAN (Inc. Overhead)</t>
        </is>
      </c>
      <c r="F7366" s="17" t="n">
        <v>11324538</v>
      </c>
    </row>
    <row r="7368">
      <c r="A7368" s="14" t="inlineStr">
        <is>
          <t>KODE: 5.1.9.14 - Pemasangan 1 unit Plug in Box (with MCCB 100A/36KA)</t>
        </is>
      </c>
    </row>
    <row r="7369">
      <c r="A7369" s="10" t="inlineStr">
        <is>
          <t>No</t>
        </is>
      </c>
      <c r="B7369" s="10" t="inlineStr">
        <is>
          <t>Uraian Komponen</t>
        </is>
      </c>
      <c r="C7369" s="10" t="inlineStr">
        <is>
          <t>Satuan</t>
        </is>
      </c>
      <c r="D7369" s="10" t="inlineStr">
        <is>
          <t>Koef</t>
        </is>
      </c>
      <c r="E7369" s="10" t="inlineStr">
        <is>
          <t>Harga Satuan (Rp)</t>
        </is>
      </c>
      <c r="F7369" s="10" t="inlineStr">
        <is>
          <t>Jumlah Harga (Rp)</t>
        </is>
      </c>
    </row>
    <row r="7370">
      <c r="A7370" s="3" t="inlineStr">
        <is>
          <t>1</t>
        </is>
      </c>
      <c r="B7370" s="3" t="inlineStr">
        <is>
          <t>Pekerja</t>
        </is>
      </c>
      <c r="C7370" s="3" t="inlineStr">
        <is>
          <t>OH</t>
        </is>
      </c>
      <c r="D7370" s="15" t="n">
        <v>0.429</v>
      </c>
      <c r="E7370" s="4" t="n">
        <v>100000</v>
      </c>
      <c r="F7370" s="4" t="n">
        <v>42900</v>
      </c>
    </row>
    <row r="7371">
      <c r="A7371" s="3" t="inlineStr">
        <is>
          <t>2</t>
        </is>
      </c>
      <c r="B7371" s="3" t="inlineStr">
        <is>
          <t>Tukang Listrik</t>
        </is>
      </c>
      <c r="C7371" s="3" t="inlineStr">
        <is>
          <t>OH</t>
        </is>
      </c>
      <c r="D7371" s="15" t="n">
        <v>0.716</v>
      </c>
      <c r="E7371" s="4" t="n">
        <v>145000</v>
      </c>
      <c r="F7371" s="4" t="n">
        <v>103820</v>
      </c>
    </row>
    <row r="7372">
      <c r="A7372" s="3" t="inlineStr">
        <is>
          <t>3</t>
        </is>
      </c>
      <c r="B7372" s="3" t="inlineStr">
        <is>
          <t>Kepala tukang</t>
        </is>
      </c>
      <c r="C7372" s="3" t="inlineStr">
        <is>
          <t>OH</t>
        </is>
      </c>
      <c r="D7372" s="15" t="n">
        <v>0.07199999999999999</v>
      </c>
      <c r="E7372" s="4" t="n">
        <v>175000</v>
      </c>
      <c r="F7372" s="4" t="n">
        <v>12600</v>
      </c>
    </row>
    <row r="7373">
      <c r="A7373" s="3" t="inlineStr">
        <is>
          <t>4</t>
        </is>
      </c>
      <c r="B7373" s="3" t="inlineStr">
        <is>
          <t>Mandor</t>
        </is>
      </c>
      <c r="C7373" s="3" t="inlineStr">
        <is>
          <t>OH</t>
        </is>
      </c>
      <c r="D7373" s="15" t="n">
        <v>0.024</v>
      </c>
      <c r="E7373" s="4" t="n">
        <v>200000</v>
      </c>
      <c r="F7373" s="4" t="n">
        <v>4800</v>
      </c>
    </row>
    <row r="7374">
      <c r="A7374" s="3" t="inlineStr">
        <is>
          <t>1</t>
        </is>
      </c>
      <c r="B7374" s="3" t="inlineStr">
        <is>
          <t>Plug in Box (with MCCB 100A/36KA)</t>
        </is>
      </c>
      <c r="C7374" s="3" t="inlineStr">
        <is>
          <t>unit</t>
        </is>
      </c>
      <c r="D7374" s="15" t="n">
        <v>1</v>
      </c>
      <c r="E7374" s="4" t="n">
        <v>7500000</v>
      </c>
      <c r="F7374" s="4" t="n">
        <v>7500000</v>
      </c>
    </row>
    <row r="7375">
      <c r="D7375" s="2" t="inlineStr">
        <is>
          <t>SUBTOTAL UPAH</t>
        </is>
      </c>
      <c r="F7375" s="16" t="n">
        <v>164120</v>
      </c>
    </row>
    <row r="7376">
      <c r="D7376" s="2" t="inlineStr">
        <is>
          <t>SUBTOTAL BAHAN</t>
        </is>
      </c>
      <c r="F7376" s="16" t="n">
        <v>7500000</v>
      </c>
    </row>
    <row r="7377">
      <c r="D7377" s="2" t="inlineStr">
        <is>
          <t>SUBTOTAL ALAT</t>
        </is>
      </c>
      <c r="F7377" s="16" t="n">
        <v>0</v>
      </c>
    </row>
    <row r="7378">
      <c r="E7378" s="2" t="inlineStr">
        <is>
          <t>TOTAL HARGA SATUAN (Inc. Overhead)</t>
        </is>
      </c>
      <c r="F7378" s="17" t="n">
        <v>8430532</v>
      </c>
    </row>
    <row r="7380">
      <c r="A7380" s="14" t="inlineStr">
        <is>
          <t>KODE: 5.1.9.15 - Pemasangan 1 unit Plug in Box (with MCCB 80A/36KA)</t>
        </is>
      </c>
    </row>
    <row r="7381">
      <c r="A7381" s="10" t="inlineStr">
        <is>
          <t>No</t>
        </is>
      </c>
      <c r="B7381" s="10" t="inlineStr">
        <is>
          <t>Uraian Komponen</t>
        </is>
      </c>
      <c r="C7381" s="10" t="inlineStr">
        <is>
          <t>Satuan</t>
        </is>
      </c>
      <c r="D7381" s="10" t="inlineStr">
        <is>
          <t>Koef</t>
        </is>
      </c>
      <c r="E7381" s="10" t="inlineStr">
        <is>
          <t>Harga Satuan (Rp)</t>
        </is>
      </c>
      <c r="F7381" s="10" t="inlineStr">
        <is>
          <t>Jumlah Harga (Rp)</t>
        </is>
      </c>
    </row>
    <row r="7382">
      <c r="A7382" s="3" t="inlineStr">
        <is>
          <t>1</t>
        </is>
      </c>
      <c r="B7382" s="3" t="inlineStr">
        <is>
          <t>Pekerja</t>
        </is>
      </c>
      <c r="C7382" s="3" t="inlineStr">
        <is>
          <t>OH</t>
        </is>
      </c>
      <c r="D7382" s="15" t="n">
        <v>0.429</v>
      </c>
      <c r="E7382" s="4" t="n">
        <v>100000</v>
      </c>
      <c r="F7382" s="4" t="n">
        <v>42900</v>
      </c>
    </row>
    <row r="7383">
      <c r="A7383" s="3" t="inlineStr">
        <is>
          <t>2</t>
        </is>
      </c>
      <c r="B7383" s="3" t="inlineStr">
        <is>
          <t>Tukang Listrik</t>
        </is>
      </c>
      <c r="C7383" s="3" t="inlineStr">
        <is>
          <t>OH</t>
        </is>
      </c>
      <c r="D7383" s="15" t="n">
        <v>0.716</v>
      </c>
      <c r="E7383" s="4" t="n">
        <v>145000</v>
      </c>
      <c r="F7383" s="4" t="n">
        <v>103820</v>
      </c>
    </row>
    <row r="7384">
      <c r="A7384" s="3" t="inlineStr">
        <is>
          <t>3</t>
        </is>
      </c>
      <c r="B7384" s="3" t="inlineStr">
        <is>
          <t>Kepala tukang</t>
        </is>
      </c>
      <c r="C7384" s="3" t="inlineStr">
        <is>
          <t>OH</t>
        </is>
      </c>
      <c r="D7384" s="15" t="n">
        <v>0.07199999999999999</v>
      </c>
      <c r="E7384" s="4" t="n">
        <v>175000</v>
      </c>
      <c r="F7384" s="4" t="n">
        <v>12600</v>
      </c>
    </row>
    <row r="7385">
      <c r="A7385" s="3" t="inlineStr">
        <is>
          <t>4</t>
        </is>
      </c>
      <c r="B7385" s="3" t="inlineStr">
        <is>
          <t>Mandor</t>
        </is>
      </c>
      <c r="C7385" s="3" t="inlineStr">
        <is>
          <t>OH</t>
        </is>
      </c>
      <c r="D7385" s="15" t="n">
        <v>0.024</v>
      </c>
      <c r="E7385" s="4" t="n">
        <v>200000</v>
      </c>
      <c r="F7385" s="4" t="n">
        <v>4800</v>
      </c>
    </row>
    <row r="7386">
      <c r="A7386" s="3" t="inlineStr">
        <is>
          <t>1</t>
        </is>
      </c>
      <c r="B7386" s="3" t="inlineStr">
        <is>
          <t>Plug in Box (with MCCB 80A/36KA)</t>
        </is>
      </c>
      <c r="C7386" s="3" t="inlineStr">
        <is>
          <t>unit</t>
        </is>
      </c>
      <c r="D7386" s="15" t="n">
        <v>1</v>
      </c>
      <c r="E7386" s="4" t="n">
        <v>5000000</v>
      </c>
      <c r="F7386" s="4" t="n">
        <v>5000000</v>
      </c>
    </row>
    <row r="7387">
      <c r="D7387" s="2" t="inlineStr">
        <is>
          <t>SUBTOTAL UPAH</t>
        </is>
      </c>
      <c r="F7387" s="16" t="n">
        <v>164120</v>
      </c>
    </row>
    <row r="7388">
      <c r="D7388" s="2" t="inlineStr">
        <is>
          <t>SUBTOTAL BAHAN</t>
        </is>
      </c>
      <c r="F7388" s="16" t="n">
        <v>5000000</v>
      </c>
    </row>
    <row r="7389">
      <c r="D7389" s="2" t="inlineStr">
        <is>
          <t>SUBTOTAL ALAT</t>
        </is>
      </c>
      <c r="F7389" s="16" t="n">
        <v>0</v>
      </c>
    </row>
    <row r="7390">
      <c r="E7390" s="2" t="inlineStr">
        <is>
          <t>TOTAL HARGA SATUAN (Inc. Overhead)</t>
        </is>
      </c>
      <c r="F7390" s="17" t="n">
        <v>5680532</v>
      </c>
    </row>
    <row r="7392">
      <c r="A7392" s="14" t="inlineStr">
        <is>
          <t>KODE: 5.1.9.16 - Pemasangan 1 unit Plug in Box (with MCCB 50A/36KA)</t>
        </is>
      </c>
    </row>
    <row r="7393">
      <c r="A7393" s="10" t="inlineStr">
        <is>
          <t>No</t>
        </is>
      </c>
      <c r="B7393" s="10" t="inlineStr">
        <is>
          <t>Uraian Komponen</t>
        </is>
      </c>
      <c r="C7393" s="10" t="inlineStr">
        <is>
          <t>Satuan</t>
        </is>
      </c>
      <c r="D7393" s="10" t="inlineStr">
        <is>
          <t>Koef</t>
        </is>
      </c>
      <c r="E7393" s="10" t="inlineStr">
        <is>
          <t>Harga Satuan (Rp)</t>
        </is>
      </c>
      <c r="F7393" s="10" t="inlineStr">
        <is>
          <t>Jumlah Harga (Rp)</t>
        </is>
      </c>
    </row>
    <row r="7394">
      <c r="A7394" s="3" t="inlineStr">
        <is>
          <t>1</t>
        </is>
      </c>
      <c r="B7394" s="3" t="inlineStr">
        <is>
          <t>Pekerja</t>
        </is>
      </c>
      <c r="C7394" s="3" t="inlineStr">
        <is>
          <t>OH</t>
        </is>
      </c>
      <c r="D7394" s="15" t="n">
        <v>0.429</v>
      </c>
      <c r="E7394" s="4" t="n">
        <v>100000</v>
      </c>
      <c r="F7394" s="4" t="n">
        <v>42900</v>
      </c>
    </row>
    <row r="7395">
      <c r="A7395" s="3" t="inlineStr">
        <is>
          <t>2</t>
        </is>
      </c>
      <c r="B7395" s="3" t="inlineStr">
        <is>
          <t>Tukang Listrik</t>
        </is>
      </c>
      <c r="C7395" s="3" t="inlineStr">
        <is>
          <t>OH</t>
        </is>
      </c>
      <c r="D7395" s="15" t="n">
        <v>0.716</v>
      </c>
      <c r="E7395" s="4" t="n">
        <v>145000</v>
      </c>
      <c r="F7395" s="4" t="n">
        <v>103820</v>
      </c>
    </row>
    <row r="7396">
      <c r="A7396" s="3" t="inlineStr">
        <is>
          <t>3</t>
        </is>
      </c>
      <c r="B7396" s="3" t="inlineStr">
        <is>
          <t>Kepala tukang</t>
        </is>
      </c>
      <c r="C7396" s="3" t="inlineStr">
        <is>
          <t>OH</t>
        </is>
      </c>
      <c r="D7396" s="15" t="n">
        <v>0.07199999999999999</v>
      </c>
      <c r="E7396" s="4" t="n">
        <v>175000</v>
      </c>
      <c r="F7396" s="4" t="n">
        <v>12600</v>
      </c>
    </row>
    <row r="7397">
      <c r="A7397" s="3" t="inlineStr">
        <is>
          <t>4</t>
        </is>
      </c>
      <c r="B7397" s="3" t="inlineStr">
        <is>
          <t>Mandor</t>
        </is>
      </c>
      <c r="C7397" s="3" t="inlineStr">
        <is>
          <t>OH</t>
        </is>
      </c>
      <c r="D7397" s="15" t="n">
        <v>0.024</v>
      </c>
      <c r="E7397" s="4" t="n">
        <v>200000</v>
      </c>
      <c r="F7397" s="4" t="n">
        <v>4800</v>
      </c>
    </row>
    <row r="7398">
      <c r="A7398" s="3" t="inlineStr">
        <is>
          <t>1</t>
        </is>
      </c>
      <c r="B7398" s="3" t="inlineStr">
        <is>
          <t>Plug in Box (with MCCB 100A/36KA)</t>
        </is>
      </c>
      <c r="C7398" s="3" t="inlineStr">
        <is>
          <t>unit</t>
        </is>
      </c>
      <c r="D7398" s="15" t="n">
        <v>1</v>
      </c>
      <c r="E7398" s="4" t="n">
        <v>7500000</v>
      </c>
      <c r="F7398" s="4" t="n">
        <v>7500000</v>
      </c>
    </row>
    <row r="7399">
      <c r="D7399" s="2" t="inlineStr">
        <is>
          <t>SUBTOTAL UPAH</t>
        </is>
      </c>
      <c r="F7399" s="16" t="n">
        <v>164120</v>
      </c>
    </row>
    <row r="7400">
      <c r="D7400" s="2" t="inlineStr">
        <is>
          <t>SUBTOTAL BAHAN</t>
        </is>
      </c>
      <c r="F7400" s="16" t="n">
        <v>7500000</v>
      </c>
    </row>
    <row r="7401">
      <c r="D7401" s="2" t="inlineStr">
        <is>
          <t>SUBTOTAL ALAT</t>
        </is>
      </c>
      <c r="F7401" s="16" t="n">
        <v>0</v>
      </c>
    </row>
    <row r="7402">
      <c r="E7402" s="2" t="inlineStr">
        <is>
          <t>TOTAL HARGA SATUAN (Inc. Overhead)</t>
        </is>
      </c>
      <c r="F7402" s="17" t="n">
        <v>8430532</v>
      </c>
    </row>
    <row r="7404">
      <c r="A7404" s="14" t="inlineStr">
        <is>
          <t>KODE: 5.3.1.1 - Pemasangan 1 titik Instalasi Lampu</t>
        </is>
      </c>
    </row>
    <row r="7405">
      <c r="A7405" s="10" t="inlineStr">
        <is>
          <t>No</t>
        </is>
      </c>
      <c r="B7405" s="10" t="inlineStr">
        <is>
          <t>Uraian Komponen</t>
        </is>
      </c>
      <c r="C7405" s="10" t="inlineStr">
        <is>
          <t>Satuan</t>
        </is>
      </c>
      <c r="D7405" s="10" t="inlineStr">
        <is>
          <t>Koef</t>
        </is>
      </c>
      <c r="E7405" s="10" t="inlineStr">
        <is>
          <t>Harga Satuan (Rp)</t>
        </is>
      </c>
      <c r="F7405" s="10" t="inlineStr">
        <is>
          <t>Jumlah Harga (Rp)</t>
        </is>
      </c>
    </row>
    <row r="7406">
      <c r="A7406" s="3" t="inlineStr">
        <is>
          <t>1</t>
        </is>
      </c>
      <c r="B7406" s="3" t="inlineStr">
        <is>
          <t>Pekerja</t>
        </is>
      </c>
      <c r="C7406" s="3" t="inlineStr">
        <is>
          <t>OH</t>
        </is>
      </c>
      <c r="D7406" s="15" t="n">
        <v>0.19</v>
      </c>
      <c r="E7406" s="4" t="n">
        <v>100000</v>
      </c>
      <c r="F7406" s="4" t="n">
        <v>19000</v>
      </c>
    </row>
    <row r="7407">
      <c r="A7407" s="3" t="inlineStr">
        <is>
          <t>2</t>
        </is>
      </c>
      <c r="B7407" s="3" t="inlineStr">
        <is>
          <t>Tukang Listrik</t>
        </is>
      </c>
      <c r="C7407" s="3" t="inlineStr">
        <is>
          <t>OH</t>
        </is>
      </c>
      <c r="D7407" s="15" t="n">
        <v>0.318</v>
      </c>
      <c r="E7407" s="4" t="n">
        <v>145000</v>
      </c>
      <c r="F7407" s="4" t="n">
        <v>46110</v>
      </c>
    </row>
    <row r="7408">
      <c r="A7408" s="3" t="inlineStr">
        <is>
          <t>3</t>
        </is>
      </c>
      <c r="B7408" s="3" t="inlineStr">
        <is>
          <t>Kepala tukang</t>
        </is>
      </c>
      <c r="C7408" s="3" t="inlineStr">
        <is>
          <t>OH</t>
        </is>
      </c>
      <c r="D7408" s="15" t="n">
        <v>0.032</v>
      </c>
      <c r="E7408" s="4" t="n">
        <v>175000</v>
      </c>
      <c r="F7408" s="4" t="n">
        <v>5600</v>
      </c>
    </row>
    <row r="7409">
      <c r="A7409" s="3" t="inlineStr">
        <is>
          <t>4</t>
        </is>
      </c>
      <c r="B7409" s="3" t="inlineStr">
        <is>
          <t>Mandor</t>
        </is>
      </c>
      <c r="C7409" s="3" t="inlineStr">
        <is>
          <t>OH</t>
        </is>
      </c>
      <c r="D7409" s="15" t="n">
        <v>0.011</v>
      </c>
      <c r="E7409" s="4" t="n">
        <v>200000</v>
      </c>
      <c r="F7409" s="4" t="n">
        <v>2200</v>
      </c>
    </row>
    <row r="7410">
      <c r="A7410" s="3" t="inlineStr">
        <is>
          <t>1</t>
        </is>
      </c>
      <c r="B7410" s="3" t="inlineStr">
        <is>
          <t>"Kabel NYM 3 x 2 5 mm²"</t>
        </is>
      </c>
      <c r="C7410" s="3" t="inlineStr">
        <is>
          <t>m</t>
        </is>
      </c>
      <c r="D7410" s="15" t="n">
        <v>8.800000000000001</v>
      </c>
      <c r="E7410" s="4" t="n">
        <v>21300</v>
      </c>
      <c r="F7410" s="4" t="n">
        <v>187440</v>
      </c>
    </row>
    <row r="7411">
      <c r="A7411" s="3" t="inlineStr">
        <is>
          <t>2</t>
        </is>
      </c>
      <c r="B7411" s="3" t="inlineStr">
        <is>
          <t>Conduit HI 20 mm</t>
        </is>
      </c>
      <c r="C7411" s="3" t="inlineStr">
        <is>
          <t>m</t>
        </is>
      </c>
      <c r="D7411" s="15" t="n">
        <v>8.800000000000001</v>
      </c>
      <c r="E7411" s="4" t="n">
        <v>4000</v>
      </c>
      <c r="F7411" s="4" t="n">
        <v>35200</v>
      </c>
    </row>
    <row r="7412">
      <c r="A7412" s="3" t="inlineStr">
        <is>
          <t>3</t>
        </is>
      </c>
      <c r="B7412" s="3" t="inlineStr">
        <is>
          <t>T Dus</t>
        </is>
      </c>
      <c r="C7412" s="3" t="inlineStr">
        <is>
          <t>buah</t>
        </is>
      </c>
      <c r="D7412" s="15" t="n">
        <v>1</v>
      </c>
      <c r="E7412" s="4" t="n">
        <v>4000</v>
      </c>
      <c r="F7412" s="4" t="n">
        <v>4000</v>
      </c>
    </row>
    <row r="7413">
      <c r="A7413" s="3" t="inlineStr">
        <is>
          <t>4</t>
        </is>
      </c>
      <c r="B7413" s="3" t="inlineStr">
        <is>
          <t>Socket Conduit 20 mm</t>
        </is>
      </c>
      <c r="C7413" s="3" t="inlineStr">
        <is>
          <t>buah</t>
        </is>
      </c>
      <c r="D7413" s="15" t="n">
        <v>5</v>
      </c>
      <c r="E7413" s="4" t="n">
        <v>700</v>
      </c>
      <c r="F7413" s="4" t="n">
        <v>3500</v>
      </c>
    </row>
    <row r="7414">
      <c r="A7414" s="3" t="inlineStr">
        <is>
          <t>5</t>
        </is>
      </c>
      <c r="B7414" s="3" t="inlineStr">
        <is>
          <t>Klem 20 mm</t>
        </is>
      </c>
      <c r="C7414" s="3" t="inlineStr">
        <is>
          <t>buah</t>
        </is>
      </c>
      <c r="D7414" s="15" t="n">
        <v>10</v>
      </c>
      <c r="E7414" s="4" t="n">
        <v>900</v>
      </c>
      <c r="F7414" s="4" t="n">
        <v>9000</v>
      </c>
    </row>
    <row r="7415">
      <c r="A7415" s="3" t="inlineStr">
        <is>
          <t>6</t>
        </is>
      </c>
      <c r="B7415" s="3" t="inlineStr">
        <is>
          <t>Fischer S6 + Sekrup</t>
        </is>
      </c>
      <c r="C7415" s="3" t="inlineStr">
        <is>
          <t>buah</t>
        </is>
      </c>
      <c r="D7415" s="15" t="n">
        <v>15</v>
      </c>
      <c r="E7415" s="4" t="n">
        <v>21.5</v>
      </c>
      <c r="F7415" s="4" t="n">
        <v>322.5</v>
      </c>
    </row>
    <row r="7416">
      <c r="A7416" s="3" t="inlineStr">
        <is>
          <t>7</t>
        </is>
      </c>
      <c r="B7416" s="3" t="inlineStr">
        <is>
          <t>Flexible Conduit 20 mm</t>
        </is>
      </c>
      <c r="C7416" s="3" t="inlineStr">
        <is>
          <t>m</t>
        </is>
      </c>
      <c r="D7416" s="15" t="n">
        <v>1</v>
      </c>
      <c r="E7416" s="4" t="n">
        <v>5400</v>
      </c>
      <c r="F7416" s="4" t="n">
        <v>5400</v>
      </c>
    </row>
    <row r="7417">
      <c r="A7417" s="3" t="inlineStr">
        <is>
          <t>8</t>
        </is>
      </c>
      <c r="B7417" s="3" t="inlineStr">
        <is>
          <t>Elbow</t>
        </is>
      </c>
      <c r="C7417" s="3" t="inlineStr">
        <is>
          <t>buah</t>
        </is>
      </c>
      <c r="D7417" s="15" t="n">
        <v>4</v>
      </c>
      <c r="E7417" s="4" t="n">
        <v>550</v>
      </c>
      <c r="F7417" s="4" t="n">
        <v>2200</v>
      </c>
    </row>
    <row r="7418">
      <c r="A7418" s="3" t="inlineStr">
        <is>
          <t>9</t>
        </is>
      </c>
      <c r="B7418" s="3" t="inlineStr">
        <is>
          <t>Isolasi</t>
        </is>
      </c>
      <c r="C7418" s="3" t="inlineStr">
        <is>
          <t>m</t>
        </is>
      </c>
      <c r="D7418" s="15" t="n">
        <v>0.5</v>
      </c>
      <c r="E7418" s="4" t="n">
        <v>416</v>
      </c>
      <c r="F7418" s="4" t="n">
        <v>208</v>
      </c>
    </row>
    <row r="7419">
      <c r="A7419" s="3" t="inlineStr">
        <is>
          <t>10</t>
        </is>
      </c>
      <c r="B7419" s="3" t="inlineStr">
        <is>
          <t>lasdop</t>
        </is>
      </c>
      <c r="C7419" s="3" t="inlineStr">
        <is>
          <t>buah</t>
        </is>
      </c>
      <c r="D7419" s="15" t="n">
        <v>4</v>
      </c>
      <c r="E7419" s="4" t="n">
        <v>580</v>
      </c>
      <c r="F7419" s="4" t="n">
        <v>2320</v>
      </c>
    </row>
    <row r="7420">
      <c r="D7420" s="2" t="inlineStr">
        <is>
          <t>SUBTOTAL UPAH</t>
        </is>
      </c>
      <c r="F7420" s="16" t="n">
        <v>72910</v>
      </c>
    </row>
    <row r="7421">
      <c r="D7421" s="2" t="inlineStr">
        <is>
          <t>SUBTOTAL BAHAN</t>
        </is>
      </c>
      <c r="F7421" s="16" t="n">
        <v>249590.5</v>
      </c>
    </row>
    <row r="7422">
      <c r="D7422" s="2" t="inlineStr">
        <is>
          <t>SUBTOTAL ALAT</t>
        </is>
      </c>
      <c r="F7422" s="16" t="n">
        <v>0</v>
      </c>
    </row>
    <row r="7423">
      <c r="E7423" s="2" t="inlineStr">
        <is>
          <t>TOTAL HARGA SATUAN (Inc. Overhead)</t>
        </is>
      </c>
      <c r="F7423" s="17" t="n">
        <v>354750</v>
      </c>
    </row>
    <row r="7425">
      <c r="A7425" s="14" t="inlineStr">
        <is>
          <t>KODE: 5.3.1.2 - Pemasangan 1 titik Instalasi Lampu (Kabel LSOH)</t>
        </is>
      </c>
    </row>
    <row r="7426">
      <c r="A7426" s="10" t="inlineStr">
        <is>
          <t>No</t>
        </is>
      </c>
      <c r="B7426" s="10" t="inlineStr">
        <is>
          <t>Uraian Komponen</t>
        </is>
      </c>
      <c r="C7426" s="10" t="inlineStr">
        <is>
          <t>Satuan</t>
        </is>
      </c>
      <c r="D7426" s="10" t="inlineStr">
        <is>
          <t>Koef</t>
        </is>
      </c>
      <c r="E7426" s="10" t="inlineStr">
        <is>
          <t>Harga Satuan (Rp)</t>
        </is>
      </c>
      <c r="F7426" s="10" t="inlineStr">
        <is>
          <t>Jumlah Harga (Rp)</t>
        </is>
      </c>
    </row>
    <row r="7427">
      <c r="A7427" s="3" t="inlineStr">
        <is>
          <t>1</t>
        </is>
      </c>
      <c r="B7427" s="3" t="inlineStr">
        <is>
          <t>Pekerja</t>
        </is>
      </c>
      <c r="C7427" s="3" t="inlineStr">
        <is>
          <t>OH</t>
        </is>
      </c>
      <c r="D7427" s="15" t="n">
        <v>0.19</v>
      </c>
      <c r="E7427" s="4" t="n">
        <v>100000</v>
      </c>
      <c r="F7427" s="4" t="n">
        <v>19000</v>
      </c>
    </row>
    <row r="7428">
      <c r="A7428" s="3" t="inlineStr">
        <is>
          <t>2</t>
        </is>
      </c>
      <c r="B7428" s="3" t="inlineStr">
        <is>
          <t>Tukang Listrik</t>
        </is>
      </c>
      <c r="C7428" s="3" t="inlineStr">
        <is>
          <t>OH</t>
        </is>
      </c>
      <c r="D7428" s="15" t="n">
        <v>0.318</v>
      </c>
      <c r="E7428" s="4" t="n">
        <v>145000</v>
      </c>
      <c r="F7428" s="4" t="n">
        <v>46110</v>
      </c>
    </row>
    <row r="7429">
      <c r="A7429" s="3" t="inlineStr">
        <is>
          <t>3</t>
        </is>
      </c>
      <c r="B7429" s="3" t="inlineStr">
        <is>
          <t>Kepala tukang</t>
        </is>
      </c>
      <c r="C7429" s="3" t="inlineStr">
        <is>
          <t>OH</t>
        </is>
      </c>
      <c r="D7429" s="15" t="n">
        <v>0.032</v>
      </c>
      <c r="E7429" s="4" t="n">
        <v>175000</v>
      </c>
      <c r="F7429" s="4" t="n">
        <v>5600</v>
      </c>
    </row>
    <row r="7430">
      <c r="A7430" s="3" t="inlineStr">
        <is>
          <t>4</t>
        </is>
      </c>
      <c r="B7430" s="3" t="inlineStr">
        <is>
          <t>Mandor</t>
        </is>
      </c>
      <c r="C7430" s="3" t="inlineStr">
        <is>
          <t>OH</t>
        </is>
      </c>
      <c r="D7430" s="15" t="n">
        <v>0.011</v>
      </c>
      <c r="E7430" s="4" t="n">
        <v>200000</v>
      </c>
      <c r="F7430" s="4" t="n">
        <v>2200</v>
      </c>
    </row>
    <row r="7431">
      <c r="A7431" s="3" t="inlineStr">
        <is>
          <t>1</t>
        </is>
      </c>
      <c r="B7431" s="3" t="inlineStr">
        <is>
          <t>"Kabel NYM 3 x 2 5 mm²"</t>
        </is>
      </c>
      <c r="C7431" s="3" t="inlineStr">
        <is>
          <t>m</t>
        </is>
      </c>
      <c r="D7431" s="15" t="n">
        <v>8.800000000000001</v>
      </c>
      <c r="E7431" s="4" t="n">
        <v>21300</v>
      </c>
      <c r="F7431" s="4" t="n">
        <v>187440</v>
      </c>
    </row>
    <row r="7432">
      <c r="A7432" s="3" t="inlineStr">
        <is>
          <t>2</t>
        </is>
      </c>
      <c r="B7432" s="3" t="inlineStr">
        <is>
          <t>Conduit HI 20 mm</t>
        </is>
      </c>
      <c r="C7432" s="3" t="inlineStr">
        <is>
          <t>m</t>
        </is>
      </c>
      <c r="D7432" s="15" t="n">
        <v>8.800000000000001</v>
      </c>
      <c r="E7432" s="4" t="n">
        <v>4000</v>
      </c>
      <c r="F7432" s="4" t="n">
        <v>35200</v>
      </c>
    </row>
    <row r="7433">
      <c r="A7433" s="3" t="inlineStr">
        <is>
          <t>3</t>
        </is>
      </c>
      <c r="B7433" s="3" t="inlineStr">
        <is>
          <t>T Dus</t>
        </is>
      </c>
      <c r="C7433" s="3" t="inlineStr">
        <is>
          <t>buah</t>
        </is>
      </c>
      <c r="D7433" s="15" t="n">
        <v>1</v>
      </c>
      <c r="E7433" s="4" t="n">
        <v>4000</v>
      </c>
      <c r="F7433" s="4" t="n">
        <v>4000</v>
      </c>
    </row>
    <row r="7434">
      <c r="A7434" s="3" t="inlineStr">
        <is>
          <t>4</t>
        </is>
      </c>
      <c r="B7434" s="3" t="inlineStr">
        <is>
          <t>Socket Conduit 20 mm</t>
        </is>
      </c>
      <c r="C7434" s="3" t="inlineStr">
        <is>
          <t>buah</t>
        </is>
      </c>
      <c r="D7434" s="15" t="n">
        <v>5</v>
      </c>
      <c r="E7434" s="4" t="n">
        <v>700</v>
      </c>
      <c r="F7434" s="4" t="n">
        <v>3500</v>
      </c>
    </row>
    <row r="7435">
      <c r="A7435" s="3" t="inlineStr">
        <is>
          <t>5</t>
        </is>
      </c>
      <c r="B7435" s="3" t="inlineStr">
        <is>
          <t>Klem 20 mm</t>
        </is>
      </c>
      <c r="C7435" s="3" t="inlineStr">
        <is>
          <t>buah</t>
        </is>
      </c>
      <c r="D7435" s="15" t="n">
        <v>10</v>
      </c>
      <c r="E7435" s="4" t="n">
        <v>900</v>
      </c>
      <c r="F7435" s="4" t="n">
        <v>9000</v>
      </c>
    </row>
    <row r="7436">
      <c r="A7436" s="3" t="inlineStr">
        <is>
          <t>6</t>
        </is>
      </c>
      <c r="B7436" s="3" t="inlineStr">
        <is>
          <t>Fischer S6 + Sekrup</t>
        </is>
      </c>
      <c r="C7436" s="3" t="inlineStr">
        <is>
          <t>buah</t>
        </is>
      </c>
      <c r="D7436" s="15" t="n">
        <v>15</v>
      </c>
      <c r="E7436" s="4" t="n">
        <v>21.5</v>
      </c>
      <c r="F7436" s="4" t="n">
        <v>322.5</v>
      </c>
    </row>
    <row r="7437">
      <c r="A7437" s="3" t="inlineStr">
        <is>
          <t>7</t>
        </is>
      </c>
      <c r="B7437" s="3" t="inlineStr">
        <is>
          <t>Flexible Conduit 20 mm</t>
        </is>
      </c>
      <c r="C7437" s="3" t="inlineStr">
        <is>
          <t>m</t>
        </is>
      </c>
      <c r="D7437" s="15" t="n">
        <v>1</v>
      </c>
      <c r="E7437" s="4" t="n">
        <v>5400</v>
      </c>
      <c r="F7437" s="4" t="n">
        <v>5400</v>
      </c>
    </row>
    <row r="7438">
      <c r="A7438" s="3" t="inlineStr">
        <is>
          <t>8</t>
        </is>
      </c>
      <c r="B7438" s="3" t="inlineStr">
        <is>
          <t>Elbow</t>
        </is>
      </c>
      <c r="C7438" s="3" t="inlineStr">
        <is>
          <t>buah</t>
        </is>
      </c>
      <c r="D7438" s="15" t="n">
        <v>4</v>
      </c>
      <c r="E7438" s="4" t="n">
        <v>550</v>
      </c>
      <c r="F7438" s="4" t="n">
        <v>2200</v>
      </c>
    </row>
    <row r="7439">
      <c r="A7439" s="3" t="inlineStr">
        <is>
          <t>9</t>
        </is>
      </c>
      <c r="B7439" s="3" t="inlineStr">
        <is>
          <t>Isolasi</t>
        </is>
      </c>
      <c r="C7439" s="3" t="inlineStr">
        <is>
          <t>m</t>
        </is>
      </c>
      <c r="D7439" s="15" t="n">
        <v>0.5</v>
      </c>
      <c r="E7439" s="4" t="n">
        <v>416</v>
      </c>
      <c r="F7439" s="4" t="n">
        <v>208</v>
      </c>
    </row>
    <row r="7440">
      <c r="A7440" s="3" t="inlineStr">
        <is>
          <t>10</t>
        </is>
      </c>
      <c r="B7440" s="3" t="inlineStr">
        <is>
          <t>lasdop</t>
        </is>
      </c>
      <c r="C7440" s="3" t="inlineStr">
        <is>
          <t>buah</t>
        </is>
      </c>
      <c r="D7440" s="15" t="n">
        <v>4</v>
      </c>
      <c r="E7440" s="4" t="n">
        <v>580</v>
      </c>
      <c r="F7440" s="4" t="n">
        <v>2320</v>
      </c>
    </row>
    <row r="7441">
      <c r="D7441" s="2" t="inlineStr">
        <is>
          <t>SUBTOTAL UPAH</t>
        </is>
      </c>
      <c r="F7441" s="16" t="n">
        <v>72910</v>
      </c>
    </row>
    <row r="7442">
      <c r="D7442" s="2" t="inlineStr">
        <is>
          <t>SUBTOTAL BAHAN</t>
        </is>
      </c>
      <c r="F7442" s="16" t="n">
        <v>249590.5</v>
      </c>
    </row>
    <row r="7443">
      <c r="D7443" s="2" t="inlineStr">
        <is>
          <t>SUBTOTAL ALAT</t>
        </is>
      </c>
      <c r="F7443" s="16" t="n">
        <v>0</v>
      </c>
    </row>
    <row r="7444">
      <c r="E7444" s="2" t="inlineStr">
        <is>
          <t>TOTAL HARGA SATUAN (Inc. Overhead)</t>
        </is>
      </c>
      <c r="F7444" s="17" t="n">
        <v>354750</v>
      </c>
    </row>
    <row r="7446">
      <c r="A7446" s="14" t="inlineStr">
        <is>
          <t>KODE: 5.3.1.3 - Pemasangan 1 Unit Downlight 5 inch 14,5 Watt LED</t>
        </is>
      </c>
    </row>
    <row r="7447">
      <c r="A7447" s="10" t="inlineStr">
        <is>
          <t>No</t>
        </is>
      </c>
      <c r="B7447" s="10" t="inlineStr">
        <is>
          <t>Uraian Komponen</t>
        </is>
      </c>
      <c r="C7447" s="10" t="inlineStr">
        <is>
          <t>Satuan</t>
        </is>
      </c>
      <c r="D7447" s="10" t="inlineStr">
        <is>
          <t>Koef</t>
        </is>
      </c>
      <c r="E7447" s="10" t="inlineStr">
        <is>
          <t>Harga Satuan (Rp)</t>
        </is>
      </c>
      <c r="F7447" s="10" t="inlineStr">
        <is>
          <t>Jumlah Harga (Rp)</t>
        </is>
      </c>
    </row>
    <row r="7448">
      <c r="A7448" s="3" t="inlineStr">
        <is>
          <t>1</t>
        </is>
      </c>
      <c r="B7448" s="3" t="inlineStr">
        <is>
          <t>Pekerja</t>
        </is>
      </c>
      <c r="C7448" s="3" t="inlineStr">
        <is>
          <t>OH</t>
        </is>
      </c>
      <c r="D7448" s="15" t="n">
        <v>0.064</v>
      </c>
      <c r="E7448" s="4" t="n">
        <v>100000</v>
      </c>
      <c r="F7448" s="4" t="n">
        <v>6400</v>
      </c>
    </row>
    <row r="7449">
      <c r="A7449" s="3" t="inlineStr">
        <is>
          <t>2</t>
        </is>
      </c>
      <c r="B7449" s="3" t="inlineStr">
        <is>
          <t>Tukang Listrik</t>
        </is>
      </c>
      <c r="C7449" s="3" t="inlineStr">
        <is>
          <t>OH</t>
        </is>
      </c>
      <c r="D7449" s="15" t="n">
        <v>0.107</v>
      </c>
      <c r="E7449" s="4" t="n">
        <v>145000</v>
      </c>
      <c r="F7449" s="4" t="n">
        <v>15515</v>
      </c>
    </row>
    <row r="7450">
      <c r="A7450" s="3" t="inlineStr">
        <is>
          <t>3</t>
        </is>
      </c>
      <c r="B7450" s="3" t="inlineStr">
        <is>
          <t>Kepala tukang</t>
        </is>
      </c>
      <c r="C7450" s="3" t="inlineStr">
        <is>
          <t>OH</t>
        </is>
      </c>
      <c r="D7450" s="15" t="n">
        <v>0.011</v>
      </c>
      <c r="E7450" s="4" t="n">
        <v>175000</v>
      </c>
      <c r="F7450" s="4" t="n">
        <v>1925</v>
      </c>
    </row>
    <row r="7451">
      <c r="A7451" s="3" t="inlineStr">
        <is>
          <t>4</t>
        </is>
      </c>
      <c r="B7451" s="3" t="inlineStr">
        <is>
          <t>Mandor</t>
        </is>
      </c>
      <c r="C7451" s="3" t="inlineStr">
        <is>
          <t>OH</t>
        </is>
      </c>
      <c r="D7451" s="15" t="n">
        <v>0.004</v>
      </c>
      <c r="E7451" s="4" t="n">
        <v>200000</v>
      </c>
      <c r="F7451" s="4" t="n">
        <v>800</v>
      </c>
    </row>
    <row r="7452">
      <c r="A7452" s="3" t="inlineStr">
        <is>
          <t>1</t>
        </is>
      </c>
      <c r="B7452" s="3" t="inlineStr">
        <is>
          <t>"Downlight 5 Inch 14 5 Watt LED + Aksesoris"</t>
        </is>
      </c>
      <c r="C7452" s="3" t="inlineStr">
        <is>
          <t>buah</t>
        </is>
      </c>
      <c r="D7452" s="15" t="n">
        <v>1.1</v>
      </c>
      <c r="E7452" s="4" t="n">
        <v>82000</v>
      </c>
      <c r="F7452" s="4" t="n">
        <v>90200.00000000001</v>
      </c>
    </row>
    <row r="7453">
      <c r="D7453" s="2" t="inlineStr">
        <is>
          <t>SUBTOTAL UPAH</t>
        </is>
      </c>
      <c r="F7453" s="16" t="n">
        <v>24640</v>
      </c>
    </row>
    <row r="7454">
      <c r="D7454" s="2" t="inlineStr">
        <is>
          <t>SUBTOTAL BAHAN</t>
        </is>
      </c>
      <c r="F7454" s="16" t="n">
        <v>90200.00000000001</v>
      </c>
    </row>
    <row r="7455">
      <c r="D7455" s="2" t="inlineStr">
        <is>
          <t>SUBTOTAL ALAT</t>
        </is>
      </c>
      <c r="F7455" s="16" t="n">
        <v>0</v>
      </c>
    </row>
    <row r="7456">
      <c r="E7456" s="2" t="inlineStr">
        <is>
          <t>TOTAL HARGA SATUAN (Inc. Overhead)</t>
        </is>
      </c>
      <c r="F7456" s="17" t="n">
        <v>126324</v>
      </c>
    </row>
    <row r="7458">
      <c r="A7458" s="14" t="inlineStr">
        <is>
          <t>KODE: 5.3.1.4 - Pemasangan 1 Unit Fitting E27 + 10 Watt LED</t>
        </is>
      </c>
    </row>
    <row r="7459">
      <c r="A7459" s="10" t="inlineStr">
        <is>
          <t>No</t>
        </is>
      </c>
      <c r="B7459" s="10" t="inlineStr">
        <is>
          <t>Uraian Komponen</t>
        </is>
      </c>
      <c r="C7459" s="10" t="inlineStr">
        <is>
          <t>Satuan</t>
        </is>
      </c>
      <c r="D7459" s="10" t="inlineStr">
        <is>
          <t>Koef</t>
        </is>
      </c>
      <c r="E7459" s="10" t="inlineStr">
        <is>
          <t>Harga Satuan (Rp)</t>
        </is>
      </c>
      <c r="F7459" s="10" t="inlineStr">
        <is>
          <t>Jumlah Harga (Rp)</t>
        </is>
      </c>
    </row>
    <row r="7460">
      <c r="A7460" s="3" t="inlineStr">
        <is>
          <t>1</t>
        </is>
      </c>
      <c r="B7460" s="3" t="inlineStr">
        <is>
          <t>Pekerja</t>
        </is>
      </c>
      <c r="C7460" s="3" t="inlineStr">
        <is>
          <t>OH</t>
        </is>
      </c>
      <c r="D7460" s="15" t="n">
        <v>0.064</v>
      </c>
      <c r="E7460" s="4" t="n">
        <v>100000</v>
      </c>
      <c r="F7460" s="4" t="n">
        <v>6400</v>
      </c>
    </row>
    <row r="7461">
      <c r="A7461" s="3" t="inlineStr">
        <is>
          <t>2</t>
        </is>
      </c>
      <c r="B7461" s="3" t="inlineStr">
        <is>
          <t>Tukang Listrik</t>
        </is>
      </c>
      <c r="C7461" s="3" t="inlineStr">
        <is>
          <t>OH</t>
        </is>
      </c>
      <c r="D7461" s="15" t="n">
        <v>0.107</v>
      </c>
      <c r="E7461" s="4" t="n">
        <v>145000</v>
      </c>
      <c r="F7461" s="4" t="n">
        <v>15515</v>
      </c>
    </row>
    <row r="7462">
      <c r="A7462" s="3" t="inlineStr">
        <is>
          <t>3</t>
        </is>
      </c>
      <c r="B7462" s="3" t="inlineStr">
        <is>
          <t>Kepala tukang</t>
        </is>
      </c>
      <c r="C7462" s="3" t="inlineStr">
        <is>
          <t>OH</t>
        </is>
      </c>
      <c r="D7462" s="15" t="n">
        <v>0.011</v>
      </c>
      <c r="E7462" s="4" t="n">
        <v>175000</v>
      </c>
      <c r="F7462" s="4" t="n">
        <v>1925</v>
      </c>
    </row>
    <row r="7463">
      <c r="A7463" s="3" t="inlineStr">
        <is>
          <t>4</t>
        </is>
      </c>
      <c r="B7463" s="3" t="inlineStr">
        <is>
          <t>Mandor</t>
        </is>
      </c>
      <c r="C7463" s="3" t="inlineStr">
        <is>
          <t>OH</t>
        </is>
      </c>
      <c r="D7463" s="15" t="n">
        <v>0.004</v>
      </c>
      <c r="E7463" s="4" t="n">
        <v>200000</v>
      </c>
      <c r="F7463" s="4" t="n">
        <v>800</v>
      </c>
    </row>
    <row r="7464">
      <c r="A7464" s="3" t="inlineStr">
        <is>
          <t>1</t>
        </is>
      </c>
      <c r="B7464" s="3" t="inlineStr">
        <is>
          <t>Lampu LED E27 10 watt + Aksesoris</t>
        </is>
      </c>
      <c r="C7464" s="3" t="inlineStr">
        <is>
          <t>buah</t>
        </is>
      </c>
      <c r="D7464" s="15" t="n">
        <v>1.1</v>
      </c>
      <c r="E7464" s="4" t="n">
        <v>22000</v>
      </c>
      <c r="F7464" s="4" t="n">
        <v>24200</v>
      </c>
    </row>
    <row r="7465">
      <c r="A7465" s="3" t="inlineStr">
        <is>
          <t>2</t>
        </is>
      </c>
      <c r="B7465" s="3" t="inlineStr">
        <is>
          <t>Fitting E27 + Aksesoris</t>
        </is>
      </c>
      <c r="C7465" s="3" t="inlineStr">
        <is>
          <t>buah</t>
        </is>
      </c>
      <c r="D7465" s="15" t="n">
        <v>1.1</v>
      </c>
      <c r="E7465" s="4" t="n">
        <v>5200</v>
      </c>
      <c r="F7465" s="4" t="n">
        <v>5720.000000000001</v>
      </c>
    </row>
    <row r="7466">
      <c r="D7466" s="2" t="inlineStr">
        <is>
          <t>SUBTOTAL UPAH</t>
        </is>
      </c>
      <c r="F7466" s="16" t="n">
        <v>24640</v>
      </c>
    </row>
    <row r="7467">
      <c r="D7467" s="2" t="inlineStr">
        <is>
          <t>SUBTOTAL BAHAN</t>
        </is>
      </c>
      <c r="F7467" s="16" t="n">
        <v>29920</v>
      </c>
    </row>
    <row r="7468">
      <c r="D7468" s="2" t="inlineStr">
        <is>
          <t>SUBTOTAL ALAT</t>
        </is>
      </c>
      <c r="F7468" s="16" t="n">
        <v>0</v>
      </c>
    </row>
    <row r="7469">
      <c r="E7469" s="2" t="inlineStr">
        <is>
          <t>TOTAL HARGA SATUAN (Inc. Overhead)</t>
        </is>
      </c>
      <c r="F7469" s="17" t="n">
        <v>60016</v>
      </c>
    </row>
    <row r="7471">
      <c r="A7471" s="14" t="inlineStr">
        <is>
          <t>KODE: 5.3.1.5 - Pemasangan 1 Unit Fitting E27 + 10 Watt LED c/w Nicad Battery</t>
        </is>
      </c>
    </row>
    <row r="7472">
      <c r="A7472" s="10" t="inlineStr">
        <is>
          <t>No</t>
        </is>
      </c>
      <c r="B7472" s="10" t="inlineStr">
        <is>
          <t>Uraian Komponen</t>
        </is>
      </c>
      <c r="C7472" s="10" t="inlineStr">
        <is>
          <t>Satuan</t>
        </is>
      </c>
      <c r="D7472" s="10" t="inlineStr">
        <is>
          <t>Koef</t>
        </is>
      </c>
      <c r="E7472" s="10" t="inlineStr">
        <is>
          <t>Harga Satuan (Rp)</t>
        </is>
      </c>
      <c r="F7472" s="10" t="inlineStr">
        <is>
          <t>Jumlah Harga (Rp)</t>
        </is>
      </c>
    </row>
    <row r="7473">
      <c r="A7473" s="3" t="inlineStr">
        <is>
          <t>1</t>
        </is>
      </c>
      <c r="B7473" s="3" t="inlineStr">
        <is>
          <t>Pekerja</t>
        </is>
      </c>
      <c r="C7473" s="3" t="inlineStr">
        <is>
          <t>OH</t>
        </is>
      </c>
      <c r="D7473" s="15" t="n">
        <v>0.064</v>
      </c>
      <c r="E7473" s="4" t="n">
        <v>100000</v>
      </c>
      <c r="F7473" s="4" t="n">
        <v>6400</v>
      </c>
    </row>
    <row r="7474">
      <c r="A7474" s="3" t="inlineStr">
        <is>
          <t>2</t>
        </is>
      </c>
      <c r="B7474" s="3" t="inlineStr">
        <is>
          <t>Tukang Listrik</t>
        </is>
      </c>
      <c r="C7474" s="3" t="inlineStr">
        <is>
          <t>OH</t>
        </is>
      </c>
      <c r="D7474" s="15" t="n">
        <v>0.107</v>
      </c>
      <c r="E7474" s="4" t="n">
        <v>145000</v>
      </c>
      <c r="F7474" s="4" t="n">
        <v>15515</v>
      </c>
    </row>
    <row r="7475">
      <c r="A7475" s="3" t="inlineStr">
        <is>
          <t>3</t>
        </is>
      </c>
      <c r="B7475" s="3" t="inlineStr">
        <is>
          <t>Kepala tukang</t>
        </is>
      </c>
      <c r="C7475" s="3" t="inlineStr">
        <is>
          <t>OH</t>
        </is>
      </c>
      <c r="D7475" s="15" t="n">
        <v>0.011</v>
      </c>
      <c r="E7475" s="4" t="n">
        <v>175000</v>
      </c>
      <c r="F7475" s="4" t="n">
        <v>1925</v>
      </c>
    </row>
    <row r="7476">
      <c r="A7476" s="3" t="inlineStr">
        <is>
          <t>4</t>
        </is>
      </c>
      <c r="B7476" s="3" t="inlineStr">
        <is>
          <t>Mandor</t>
        </is>
      </c>
      <c r="C7476" s="3" t="inlineStr">
        <is>
          <t>OH</t>
        </is>
      </c>
      <c r="D7476" s="15" t="n">
        <v>0.004</v>
      </c>
      <c r="E7476" s="4" t="n">
        <v>200000</v>
      </c>
      <c r="F7476" s="4" t="n">
        <v>800</v>
      </c>
    </row>
    <row r="7477">
      <c r="A7477" s="3" t="inlineStr">
        <is>
          <t>1</t>
        </is>
      </c>
      <c r="B7477" s="3" t="inlineStr">
        <is>
          <t>Lampu LED E27 10 watt + Aksesoris</t>
        </is>
      </c>
      <c r="C7477" s="3" t="inlineStr">
        <is>
          <t>buah</t>
        </is>
      </c>
      <c r="D7477" s="15" t="n">
        <v>1.1</v>
      </c>
      <c r="E7477" s="4" t="n">
        <v>22000</v>
      </c>
      <c r="F7477" s="4" t="n">
        <v>24200</v>
      </c>
    </row>
    <row r="7478">
      <c r="A7478" s="3" t="inlineStr">
        <is>
          <t>2</t>
        </is>
      </c>
      <c r="B7478" s="3" t="inlineStr">
        <is>
          <t>Fitting E27 + Aksesoris</t>
        </is>
      </c>
      <c r="C7478" s="3" t="inlineStr">
        <is>
          <t>buah</t>
        </is>
      </c>
      <c r="D7478" s="15" t="n">
        <v>1.1</v>
      </c>
      <c r="E7478" s="4" t="n">
        <v>5200</v>
      </c>
      <c r="F7478" s="4" t="n">
        <v>5720.000000000001</v>
      </c>
    </row>
    <row r="7479">
      <c r="A7479" s="3" t="inlineStr">
        <is>
          <t>3</t>
        </is>
      </c>
      <c r="B7479" s="3" t="inlineStr">
        <is>
          <t>Nicad Battery</t>
        </is>
      </c>
      <c r="C7479" s="3" t="inlineStr">
        <is>
          <t>buah</t>
        </is>
      </c>
      <c r="D7479" s="15" t="n">
        <v>1.1</v>
      </c>
      <c r="E7479" s="4" t="n">
        <v>110000</v>
      </c>
      <c r="F7479" s="4" t="n">
        <v>121000</v>
      </c>
    </row>
    <row r="7480">
      <c r="D7480" s="2" t="inlineStr">
        <is>
          <t>SUBTOTAL UPAH</t>
        </is>
      </c>
      <c r="F7480" s="16" t="n">
        <v>24640</v>
      </c>
    </row>
    <row r="7481">
      <c r="D7481" s="2" t="inlineStr">
        <is>
          <t>SUBTOTAL BAHAN</t>
        </is>
      </c>
      <c r="F7481" s="16" t="n">
        <v>150920</v>
      </c>
    </row>
    <row r="7482">
      <c r="D7482" s="2" t="inlineStr">
        <is>
          <t>SUBTOTAL ALAT</t>
        </is>
      </c>
      <c r="F7482" s="16" t="n">
        <v>0</v>
      </c>
    </row>
    <row r="7483">
      <c r="E7483" s="2" t="inlineStr">
        <is>
          <t>TOTAL HARGA SATUAN (Inc. Overhead)</t>
        </is>
      </c>
      <c r="F7483" s="17" t="n">
        <v>193116</v>
      </c>
    </row>
    <row r="7485">
      <c r="A7485" s="14" t="inlineStr">
        <is>
          <t>KODE: 5.3.1.6 - Pemasangan 1 Unit Fitting E27 + 19 Watt LED</t>
        </is>
      </c>
    </row>
    <row r="7486">
      <c r="A7486" s="10" t="inlineStr">
        <is>
          <t>No</t>
        </is>
      </c>
      <c r="B7486" s="10" t="inlineStr">
        <is>
          <t>Uraian Komponen</t>
        </is>
      </c>
      <c r="C7486" s="10" t="inlineStr">
        <is>
          <t>Satuan</t>
        </is>
      </c>
      <c r="D7486" s="10" t="inlineStr">
        <is>
          <t>Koef</t>
        </is>
      </c>
      <c r="E7486" s="10" t="inlineStr">
        <is>
          <t>Harga Satuan (Rp)</t>
        </is>
      </c>
      <c r="F7486" s="10" t="inlineStr">
        <is>
          <t>Jumlah Harga (Rp)</t>
        </is>
      </c>
    </row>
    <row r="7487">
      <c r="A7487" s="3" t="inlineStr">
        <is>
          <t>1</t>
        </is>
      </c>
      <c r="B7487" s="3" t="inlineStr">
        <is>
          <t>Pekerja</t>
        </is>
      </c>
      <c r="C7487" s="3" t="inlineStr">
        <is>
          <t>OH</t>
        </is>
      </c>
      <c r="D7487" s="15" t="n">
        <v>0.064</v>
      </c>
      <c r="E7487" s="4" t="n">
        <v>100000</v>
      </c>
      <c r="F7487" s="4" t="n">
        <v>6400</v>
      </c>
    </row>
    <row r="7488">
      <c r="A7488" s="3" t="inlineStr">
        <is>
          <t>2</t>
        </is>
      </c>
      <c r="B7488" s="3" t="inlineStr">
        <is>
          <t>Tukang Listrik</t>
        </is>
      </c>
      <c r="C7488" s="3" t="inlineStr">
        <is>
          <t>OH</t>
        </is>
      </c>
      <c r="D7488" s="15" t="n">
        <v>0.107</v>
      </c>
      <c r="E7488" s="4" t="n">
        <v>145000</v>
      </c>
      <c r="F7488" s="4" t="n">
        <v>15515</v>
      </c>
    </row>
    <row r="7489">
      <c r="A7489" s="3" t="inlineStr">
        <is>
          <t>3</t>
        </is>
      </c>
      <c r="B7489" s="3" t="inlineStr">
        <is>
          <t>Kepala tukang</t>
        </is>
      </c>
      <c r="C7489" s="3" t="inlineStr">
        <is>
          <t>OH</t>
        </is>
      </c>
      <c r="D7489" s="15" t="n">
        <v>0.011</v>
      </c>
      <c r="E7489" s="4" t="n">
        <v>175000</v>
      </c>
      <c r="F7489" s="4" t="n">
        <v>1925</v>
      </c>
    </row>
    <row r="7490">
      <c r="A7490" s="3" t="inlineStr">
        <is>
          <t>4</t>
        </is>
      </c>
      <c r="B7490" s="3" t="inlineStr">
        <is>
          <t>Mandor</t>
        </is>
      </c>
      <c r="C7490" s="3" t="inlineStr">
        <is>
          <t>OH</t>
        </is>
      </c>
      <c r="D7490" s="15" t="n">
        <v>0.004</v>
      </c>
      <c r="E7490" s="4" t="n">
        <v>200000</v>
      </c>
      <c r="F7490" s="4" t="n">
        <v>800</v>
      </c>
    </row>
    <row r="7491">
      <c r="A7491" s="3" t="inlineStr">
        <is>
          <t>1</t>
        </is>
      </c>
      <c r="B7491" s="3" t="inlineStr">
        <is>
          <t>Lampu LED E27 19 watt</t>
        </is>
      </c>
      <c r="C7491" s="3" t="inlineStr">
        <is>
          <t>buah</t>
        </is>
      </c>
      <c r="D7491" s="15" t="n">
        <v>1.1</v>
      </c>
      <c r="E7491" s="4" t="n">
        <v>70500</v>
      </c>
      <c r="F7491" s="4" t="n">
        <v>77550</v>
      </c>
    </row>
    <row r="7492">
      <c r="A7492" s="3" t="inlineStr">
        <is>
          <t>2</t>
        </is>
      </c>
      <c r="B7492" s="3" t="inlineStr">
        <is>
          <t>Fitting E27 + Aksesoris</t>
        </is>
      </c>
      <c r="C7492" s="3" t="inlineStr">
        <is>
          <t>buah</t>
        </is>
      </c>
      <c r="D7492" s="15" t="n">
        <v>1.1</v>
      </c>
      <c r="E7492" s="4" t="n">
        <v>5200</v>
      </c>
      <c r="F7492" s="4" t="n">
        <v>5720.000000000001</v>
      </c>
    </row>
    <row r="7493">
      <c r="D7493" s="2" t="inlineStr">
        <is>
          <t>SUBTOTAL UPAH</t>
        </is>
      </c>
      <c r="F7493" s="16" t="n">
        <v>24640</v>
      </c>
    </row>
    <row r="7494">
      <c r="D7494" s="2" t="inlineStr">
        <is>
          <t>SUBTOTAL BAHAN</t>
        </is>
      </c>
      <c r="F7494" s="16" t="n">
        <v>83270</v>
      </c>
    </row>
    <row r="7495">
      <c r="D7495" s="2" t="inlineStr">
        <is>
          <t>SUBTOTAL ALAT</t>
        </is>
      </c>
      <c r="F7495" s="16" t="n">
        <v>0</v>
      </c>
    </row>
    <row r="7496">
      <c r="E7496" s="2" t="inlineStr">
        <is>
          <t>TOTAL HARGA SATUAN (Inc. Overhead)</t>
        </is>
      </c>
      <c r="F7496" s="17" t="n">
        <v>118701</v>
      </c>
    </row>
    <row r="7498">
      <c r="A7498" s="14" t="inlineStr">
        <is>
          <t>KODE: 5.3.1.7 - Pemasangan 1 Unit Fitting E27 + 19 Watt LED  c/w Nicad Battery</t>
        </is>
      </c>
    </row>
    <row r="7499">
      <c r="A7499" s="10" t="inlineStr">
        <is>
          <t>No</t>
        </is>
      </c>
      <c r="B7499" s="10" t="inlineStr">
        <is>
          <t>Uraian Komponen</t>
        </is>
      </c>
      <c r="C7499" s="10" t="inlineStr">
        <is>
          <t>Satuan</t>
        </is>
      </c>
      <c r="D7499" s="10" t="inlineStr">
        <is>
          <t>Koef</t>
        </is>
      </c>
      <c r="E7499" s="10" t="inlineStr">
        <is>
          <t>Harga Satuan (Rp)</t>
        </is>
      </c>
      <c r="F7499" s="10" t="inlineStr">
        <is>
          <t>Jumlah Harga (Rp)</t>
        </is>
      </c>
    </row>
    <row r="7500">
      <c r="A7500" s="3" t="inlineStr">
        <is>
          <t>1</t>
        </is>
      </c>
      <c r="B7500" s="3" t="inlineStr">
        <is>
          <t>Pekerja</t>
        </is>
      </c>
      <c r="C7500" s="3" t="inlineStr">
        <is>
          <t>OH</t>
        </is>
      </c>
      <c r="D7500" s="15" t="n">
        <v>0.064</v>
      </c>
      <c r="E7500" s="4" t="n">
        <v>100000</v>
      </c>
      <c r="F7500" s="4" t="n">
        <v>6400</v>
      </c>
    </row>
    <row r="7501">
      <c r="A7501" s="3" t="inlineStr">
        <is>
          <t>2</t>
        </is>
      </c>
      <c r="B7501" s="3" t="inlineStr">
        <is>
          <t>Tukang Listrik</t>
        </is>
      </c>
      <c r="C7501" s="3" t="inlineStr">
        <is>
          <t>OH</t>
        </is>
      </c>
      <c r="D7501" s="15" t="n">
        <v>0.107</v>
      </c>
      <c r="E7501" s="4" t="n">
        <v>145000</v>
      </c>
      <c r="F7501" s="4" t="n">
        <v>15515</v>
      </c>
    </row>
    <row r="7502">
      <c r="A7502" s="3" t="inlineStr">
        <is>
          <t>3</t>
        </is>
      </c>
      <c r="B7502" s="3" t="inlineStr">
        <is>
          <t>Kepala tukang</t>
        </is>
      </c>
      <c r="C7502" s="3" t="inlineStr">
        <is>
          <t>OH</t>
        </is>
      </c>
      <c r="D7502" s="15" t="n">
        <v>0.011</v>
      </c>
      <c r="E7502" s="4" t="n">
        <v>175000</v>
      </c>
      <c r="F7502" s="4" t="n">
        <v>1925</v>
      </c>
    </row>
    <row r="7503">
      <c r="A7503" s="3" t="inlineStr">
        <is>
          <t>4</t>
        </is>
      </c>
      <c r="B7503" s="3" t="inlineStr">
        <is>
          <t>Mandor</t>
        </is>
      </c>
      <c r="C7503" s="3" t="inlineStr">
        <is>
          <t>OH</t>
        </is>
      </c>
      <c r="D7503" s="15" t="n">
        <v>0.004</v>
      </c>
      <c r="E7503" s="4" t="n">
        <v>200000</v>
      </c>
      <c r="F7503" s="4" t="n">
        <v>800</v>
      </c>
    </row>
    <row r="7504">
      <c r="A7504" s="3" t="inlineStr">
        <is>
          <t>1</t>
        </is>
      </c>
      <c r="B7504" s="3" t="inlineStr">
        <is>
          <t>Lampu LED E27 19 watt</t>
        </is>
      </c>
      <c r="C7504" s="3" t="inlineStr">
        <is>
          <t>buah</t>
        </is>
      </c>
      <c r="D7504" s="15" t="n">
        <v>1.1</v>
      </c>
      <c r="E7504" s="4" t="n">
        <v>70500</v>
      </c>
      <c r="F7504" s="4" t="n">
        <v>77550</v>
      </c>
    </row>
    <row r="7505">
      <c r="A7505" s="3" t="inlineStr">
        <is>
          <t>2</t>
        </is>
      </c>
      <c r="B7505" s="3" t="inlineStr">
        <is>
          <t>Fitting E27 + Aksesoris</t>
        </is>
      </c>
      <c r="C7505" s="3" t="inlineStr">
        <is>
          <t>buah</t>
        </is>
      </c>
      <c r="D7505" s="15" t="n">
        <v>1.1</v>
      </c>
      <c r="E7505" s="4" t="n">
        <v>5200</v>
      </c>
      <c r="F7505" s="4" t="n">
        <v>5720.000000000001</v>
      </c>
    </row>
    <row r="7506">
      <c r="A7506" s="3" t="inlineStr">
        <is>
          <t>3</t>
        </is>
      </c>
      <c r="B7506" s="3" t="inlineStr">
        <is>
          <t>Nicad Battery</t>
        </is>
      </c>
      <c r="C7506" s="3" t="inlineStr">
        <is>
          <t>buah</t>
        </is>
      </c>
      <c r="D7506" s="15" t="n">
        <v>1.1</v>
      </c>
      <c r="E7506" s="4" t="n">
        <v>110000</v>
      </c>
      <c r="F7506" s="4" t="n">
        <v>121000</v>
      </c>
    </row>
    <row r="7507">
      <c r="D7507" s="2" t="inlineStr">
        <is>
          <t>SUBTOTAL UPAH</t>
        </is>
      </c>
      <c r="F7507" s="16" t="n">
        <v>24640</v>
      </c>
    </row>
    <row r="7508">
      <c r="D7508" s="2" t="inlineStr">
        <is>
          <t>SUBTOTAL BAHAN</t>
        </is>
      </c>
      <c r="F7508" s="16" t="n">
        <v>204270</v>
      </c>
    </row>
    <row r="7509">
      <c r="D7509" s="2" t="inlineStr">
        <is>
          <t>SUBTOTAL ALAT</t>
        </is>
      </c>
      <c r="F7509" s="16" t="n">
        <v>0</v>
      </c>
    </row>
    <row r="7510">
      <c r="E7510" s="2" t="inlineStr">
        <is>
          <t>TOTAL HARGA SATUAN (Inc. Overhead)</t>
        </is>
      </c>
      <c r="F7510" s="17" t="n">
        <v>251801</v>
      </c>
    </row>
    <row r="7512">
      <c r="A7512" s="14" t="inlineStr">
        <is>
          <t>KODE: 5.3.1.8 - Pemasangan 1 Unit RM TKI 2 x 16 Watt LED</t>
        </is>
      </c>
    </row>
    <row r="7513">
      <c r="A7513" s="10" t="inlineStr">
        <is>
          <t>No</t>
        </is>
      </c>
      <c r="B7513" s="10" t="inlineStr">
        <is>
          <t>Uraian Komponen</t>
        </is>
      </c>
      <c r="C7513" s="10" t="inlineStr">
        <is>
          <t>Satuan</t>
        </is>
      </c>
      <c r="D7513" s="10" t="inlineStr">
        <is>
          <t>Koef</t>
        </is>
      </c>
      <c r="E7513" s="10" t="inlineStr">
        <is>
          <t>Harga Satuan (Rp)</t>
        </is>
      </c>
      <c r="F7513" s="10" t="inlineStr">
        <is>
          <t>Jumlah Harga (Rp)</t>
        </is>
      </c>
    </row>
    <row r="7514">
      <c r="A7514" s="3" t="inlineStr">
        <is>
          <t>1</t>
        </is>
      </c>
      <c r="B7514" s="3" t="inlineStr">
        <is>
          <t>Pekerja</t>
        </is>
      </c>
      <c r="C7514" s="3" t="inlineStr">
        <is>
          <t>OH</t>
        </is>
      </c>
      <c r="D7514" s="15" t="n">
        <v>0.129</v>
      </c>
      <c r="E7514" s="4" t="n">
        <v>100000</v>
      </c>
      <c r="F7514" s="4" t="n">
        <v>12900</v>
      </c>
    </row>
    <row r="7515">
      <c r="A7515" s="3" t="inlineStr">
        <is>
          <t>2</t>
        </is>
      </c>
      <c r="B7515" s="3" t="inlineStr">
        <is>
          <t>Tukang Listrik</t>
        </is>
      </c>
      <c r="C7515" s="3" t="inlineStr">
        <is>
          <t>OH</t>
        </is>
      </c>
      <c r="D7515" s="15" t="n">
        <v>0.215</v>
      </c>
      <c r="E7515" s="4" t="n">
        <v>145000</v>
      </c>
      <c r="F7515" s="4" t="n">
        <v>31175</v>
      </c>
    </row>
    <row r="7516">
      <c r="A7516" s="3" t="inlineStr">
        <is>
          <t>3</t>
        </is>
      </c>
      <c r="B7516" s="3" t="inlineStr">
        <is>
          <t>Kepala tukang</t>
        </is>
      </c>
      <c r="C7516" s="3" t="inlineStr">
        <is>
          <t>OH</t>
        </is>
      </c>
      <c r="D7516" s="15" t="n">
        <v>0.021</v>
      </c>
      <c r="E7516" s="4" t="n">
        <v>175000</v>
      </c>
      <c r="F7516" s="4" t="n">
        <v>3675</v>
      </c>
    </row>
    <row r="7517">
      <c r="A7517" s="3" t="inlineStr">
        <is>
          <t>4</t>
        </is>
      </c>
      <c r="B7517" s="3" t="inlineStr">
        <is>
          <t>Mandor</t>
        </is>
      </c>
      <c r="C7517" s="3" t="inlineStr">
        <is>
          <t>OH</t>
        </is>
      </c>
      <c r="D7517" s="15" t="n">
        <v>0.007</v>
      </c>
      <c r="E7517" s="4" t="n">
        <v>200000</v>
      </c>
      <c r="F7517" s="4" t="n">
        <v>1400</v>
      </c>
    </row>
    <row r="7518">
      <c r="A7518" s="3" t="inlineStr">
        <is>
          <t>1</t>
        </is>
      </c>
      <c r="B7518" s="3" t="inlineStr">
        <is>
          <t>RM TKI 2 x 16 Watt LED</t>
        </is>
      </c>
      <c r="C7518" s="3" t="inlineStr">
        <is>
          <t>unit</t>
        </is>
      </c>
      <c r="D7518" s="15" t="n">
        <v>1.1</v>
      </c>
      <c r="E7518" s="4" t="n">
        <v>265000</v>
      </c>
      <c r="F7518" s="4" t="n">
        <v>291500</v>
      </c>
    </row>
    <row r="7519">
      <c r="D7519" s="2" t="inlineStr">
        <is>
          <t>SUBTOTAL UPAH</t>
        </is>
      </c>
      <c r="F7519" s="16" t="n">
        <v>49150</v>
      </c>
    </row>
    <row r="7520">
      <c r="D7520" s="2" t="inlineStr">
        <is>
          <t>SUBTOTAL BAHAN</t>
        </is>
      </c>
      <c r="F7520" s="16" t="n">
        <v>291500</v>
      </c>
    </row>
    <row r="7521">
      <c r="D7521" s="2" t="inlineStr">
        <is>
          <t>SUBTOTAL ALAT</t>
        </is>
      </c>
      <c r="F7521" s="16" t="n">
        <v>0</v>
      </c>
    </row>
    <row r="7522">
      <c r="E7522" s="2" t="inlineStr">
        <is>
          <t>TOTAL HARGA SATUAN (Inc. Overhead)</t>
        </is>
      </c>
      <c r="F7522" s="17" t="n">
        <v>374715</v>
      </c>
    </row>
    <row r="7524">
      <c r="A7524" s="14" t="inlineStr">
        <is>
          <t>KODE: 5.3.1.9 - Pemasangan 1 Unit Lampu Sorot LED 100 watt</t>
        </is>
      </c>
    </row>
    <row r="7525">
      <c r="A7525" s="10" t="inlineStr">
        <is>
          <t>No</t>
        </is>
      </c>
      <c r="B7525" s="10" t="inlineStr">
        <is>
          <t>Uraian Komponen</t>
        </is>
      </c>
      <c r="C7525" s="10" t="inlineStr">
        <is>
          <t>Satuan</t>
        </is>
      </c>
      <c r="D7525" s="10" t="inlineStr">
        <is>
          <t>Koef</t>
        </is>
      </c>
      <c r="E7525" s="10" t="inlineStr">
        <is>
          <t>Harga Satuan (Rp)</t>
        </is>
      </c>
      <c r="F7525" s="10" t="inlineStr">
        <is>
          <t>Jumlah Harga (Rp)</t>
        </is>
      </c>
    </row>
    <row r="7526">
      <c r="A7526" s="3" t="inlineStr">
        <is>
          <t>1</t>
        </is>
      </c>
      <c r="B7526" s="3" t="inlineStr">
        <is>
          <t>Pekerja</t>
        </is>
      </c>
      <c r="C7526" s="3" t="inlineStr">
        <is>
          <t>OH</t>
        </is>
      </c>
      <c r="D7526" s="15" t="n">
        <v>0.129</v>
      </c>
      <c r="E7526" s="4" t="n">
        <v>100000</v>
      </c>
      <c r="F7526" s="4" t="n">
        <v>12900</v>
      </c>
    </row>
    <row r="7527">
      <c r="A7527" s="3" t="inlineStr">
        <is>
          <t>2</t>
        </is>
      </c>
      <c r="B7527" s="3" t="inlineStr">
        <is>
          <t>Tukang Listrik</t>
        </is>
      </c>
      <c r="C7527" s="3" t="inlineStr">
        <is>
          <t>OH</t>
        </is>
      </c>
      <c r="D7527" s="15" t="n">
        <v>0.215</v>
      </c>
      <c r="E7527" s="4" t="n">
        <v>145000</v>
      </c>
      <c r="F7527" s="4" t="n">
        <v>31175</v>
      </c>
    </row>
    <row r="7528">
      <c r="A7528" s="3" t="inlineStr">
        <is>
          <t>3</t>
        </is>
      </c>
      <c r="B7528" s="3" t="inlineStr">
        <is>
          <t>Kepala tukang</t>
        </is>
      </c>
      <c r="C7528" s="3" t="inlineStr">
        <is>
          <t>OH</t>
        </is>
      </c>
      <c r="D7528" s="15" t="n">
        <v>0.021</v>
      </c>
      <c r="E7528" s="4" t="n">
        <v>175000</v>
      </c>
      <c r="F7528" s="4" t="n">
        <v>3675</v>
      </c>
    </row>
    <row r="7529">
      <c r="A7529" s="3" t="inlineStr">
        <is>
          <t>4</t>
        </is>
      </c>
      <c r="B7529" s="3" t="inlineStr">
        <is>
          <t>Mandor</t>
        </is>
      </c>
      <c r="C7529" s="3" t="inlineStr">
        <is>
          <t>OH</t>
        </is>
      </c>
      <c r="D7529" s="15" t="n">
        <v>0.007</v>
      </c>
      <c r="E7529" s="4" t="n">
        <v>200000</v>
      </c>
      <c r="F7529" s="4" t="n">
        <v>1400</v>
      </c>
    </row>
    <row r="7530">
      <c r="A7530" s="3" t="inlineStr">
        <is>
          <t>1</t>
        </is>
      </c>
      <c r="B7530" s="3" t="inlineStr">
        <is>
          <t>Lampu Sorot LED 100 Watt</t>
        </is>
      </c>
      <c r="C7530" s="3" t="inlineStr">
        <is>
          <t>unit</t>
        </is>
      </c>
      <c r="D7530" s="15" t="n">
        <v>1.1</v>
      </c>
      <c r="E7530" s="4" t="n">
        <v>125000</v>
      </c>
      <c r="F7530" s="4" t="n">
        <v>137500</v>
      </c>
    </row>
    <row r="7531">
      <c r="D7531" s="2" t="inlineStr">
        <is>
          <t>SUBTOTAL UPAH</t>
        </is>
      </c>
      <c r="F7531" s="16" t="n">
        <v>49150</v>
      </c>
    </row>
    <row r="7532">
      <c r="D7532" s="2" t="inlineStr">
        <is>
          <t>SUBTOTAL BAHAN</t>
        </is>
      </c>
      <c r="F7532" s="16" t="n">
        <v>137500</v>
      </c>
    </row>
    <row r="7533">
      <c r="D7533" s="2" t="inlineStr">
        <is>
          <t>SUBTOTAL ALAT</t>
        </is>
      </c>
      <c r="F7533" s="16" t="n">
        <v>0</v>
      </c>
    </row>
    <row r="7534">
      <c r="E7534" s="2" t="inlineStr">
        <is>
          <t>TOTAL HARGA SATUAN (Inc. Overhead)</t>
        </is>
      </c>
      <c r="F7534" s="17" t="n">
        <v>205315</v>
      </c>
    </row>
    <row r="7536">
      <c r="A7536" s="14" t="inlineStr">
        <is>
          <t>KODE: 5.3.1.10 - Pemasangan 1 Unit Lampu Sorot RGB 30 Watt 100 untuk Outdoor</t>
        </is>
      </c>
    </row>
    <row r="7537">
      <c r="A7537" s="10" t="inlineStr">
        <is>
          <t>No</t>
        </is>
      </c>
      <c r="B7537" s="10" t="inlineStr">
        <is>
          <t>Uraian Komponen</t>
        </is>
      </c>
      <c r="C7537" s="10" t="inlineStr">
        <is>
          <t>Satuan</t>
        </is>
      </c>
      <c r="D7537" s="10" t="inlineStr">
        <is>
          <t>Koef</t>
        </is>
      </c>
      <c r="E7537" s="10" t="inlineStr">
        <is>
          <t>Harga Satuan (Rp)</t>
        </is>
      </c>
      <c r="F7537" s="10" t="inlineStr">
        <is>
          <t>Jumlah Harga (Rp)</t>
        </is>
      </c>
    </row>
    <row r="7538">
      <c r="A7538" s="3" t="inlineStr">
        <is>
          <t>1</t>
        </is>
      </c>
      <c r="B7538" s="3" t="inlineStr">
        <is>
          <t>Pekerja</t>
        </is>
      </c>
      <c r="C7538" s="3" t="inlineStr">
        <is>
          <t>OH</t>
        </is>
      </c>
      <c r="D7538" s="15" t="n">
        <v>0.129</v>
      </c>
      <c r="E7538" s="4" t="n">
        <v>100000</v>
      </c>
      <c r="F7538" s="4" t="n">
        <v>12900</v>
      </c>
    </row>
    <row r="7539">
      <c r="A7539" s="3" t="inlineStr">
        <is>
          <t>2</t>
        </is>
      </c>
      <c r="B7539" s="3" t="inlineStr">
        <is>
          <t>Tukang Listrik</t>
        </is>
      </c>
      <c r="C7539" s="3" t="inlineStr">
        <is>
          <t>OH</t>
        </is>
      </c>
      <c r="D7539" s="15" t="n">
        <v>0.215</v>
      </c>
      <c r="E7539" s="4" t="n">
        <v>145000</v>
      </c>
      <c r="F7539" s="4" t="n">
        <v>31175</v>
      </c>
    </row>
    <row r="7540">
      <c r="A7540" s="3" t="inlineStr">
        <is>
          <t>3</t>
        </is>
      </c>
      <c r="B7540" s="3" t="inlineStr">
        <is>
          <t>Kepala tukang</t>
        </is>
      </c>
      <c r="C7540" s="3" t="inlineStr">
        <is>
          <t>OH</t>
        </is>
      </c>
      <c r="D7540" s="15" t="n">
        <v>0.021</v>
      </c>
      <c r="E7540" s="4" t="n">
        <v>175000</v>
      </c>
      <c r="F7540" s="4" t="n">
        <v>3675</v>
      </c>
    </row>
    <row r="7541">
      <c r="A7541" s="3" t="inlineStr">
        <is>
          <t>4</t>
        </is>
      </c>
      <c r="B7541" s="3" t="inlineStr">
        <is>
          <t>Mandor</t>
        </is>
      </c>
      <c r="C7541" s="3" t="inlineStr">
        <is>
          <t>OH</t>
        </is>
      </c>
      <c r="D7541" s="15" t="n">
        <v>0.007</v>
      </c>
      <c r="E7541" s="4" t="n">
        <v>200000</v>
      </c>
      <c r="F7541" s="4" t="n">
        <v>1400</v>
      </c>
    </row>
    <row r="7542">
      <c r="A7542" s="3" t="inlineStr">
        <is>
          <t>1</t>
        </is>
      </c>
      <c r="B7542" s="3" t="inlineStr">
        <is>
          <t>Lampu Sorot RGB 30 Watt untuk Outdoor</t>
        </is>
      </c>
      <c r="C7542" s="3" t="inlineStr">
        <is>
          <t>unit</t>
        </is>
      </c>
      <c r="D7542" s="15" t="n">
        <v>1.1</v>
      </c>
      <c r="E7542" s="4" t="n">
        <v>34000</v>
      </c>
      <c r="F7542" s="4" t="n">
        <v>37400</v>
      </c>
    </row>
    <row r="7543">
      <c r="A7543" s="3" t="inlineStr">
        <is>
          <t>2</t>
        </is>
      </c>
      <c r="B7543" s="3" t="inlineStr">
        <is>
          <t>Pelindung Lampu</t>
        </is>
      </c>
      <c r="C7543" s="3" t="inlineStr">
        <is>
          <t>unit</t>
        </is>
      </c>
      <c r="D7543" s="15" t="n">
        <v>1.1</v>
      </c>
      <c r="E7543" s="4" t="n">
        <v>18000</v>
      </c>
      <c r="F7543" s="4" t="n">
        <v>19800</v>
      </c>
    </row>
    <row r="7544">
      <c r="D7544" s="2" t="inlineStr">
        <is>
          <t>SUBTOTAL UPAH</t>
        </is>
      </c>
      <c r="F7544" s="16" t="n">
        <v>49150</v>
      </c>
    </row>
    <row r="7545">
      <c r="D7545" s="2" t="inlineStr">
        <is>
          <t>SUBTOTAL BAHAN</t>
        </is>
      </c>
      <c r="F7545" s="16" t="n">
        <v>57200</v>
      </c>
    </row>
    <row r="7546">
      <c r="D7546" s="2" t="inlineStr">
        <is>
          <t>SUBTOTAL ALAT</t>
        </is>
      </c>
      <c r="F7546" s="16" t="n">
        <v>0</v>
      </c>
    </row>
    <row r="7547">
      <c r="E7547" s="2" t="inlineStr">
        <is>
          <t>TOTAL HARGA SATUAN (Inc. Overhead)</t>
        </is>
      </c>
      <c r="F7547" s="17" t="n">
        <v>116985</v>
      </c>
    </row>
    <row r="7549">
      <c r="A7549" s="14" t="inlineStr">
        <is>
          <t>KODE: 5.3.1.11 - Pemasangan 1 Unit Lampu High Bay 100 Watt</t>
        </is>
      </c>
    </row>
    <row r="7550">
      <c r="A7550" s="10" t="inlineStr">
        <is>
          <t>No</t>
        </is>
      </c>
      <c r="B7550" s="10" t="inlineStr">
        <is>
          <t>Uraian Komponen</t>
        </is>
      </c>
      <c r="C7550" s="10" t="inlineStr">
        <is>
          <t>Satuan</t>
        </is>
      </c>
      <c r="D7550" s="10" t="inlineStr">
        <is>
          <t>Koef</t>
        </is>
      </c>
      <c r="E7550" s="10" t="inlineStr">
        <is>
          <t>Harga Satuan (Rp)</t>
        </is>
      </c>
      <c r="F7550" s="10" t="inlineStr">
        <is>
          <t>Jumlah Harga (Rp)</t>
        </is>
      </c>
    </row>
    <row r="7551">
      <c r="A7551" s="3" t="inlineStr">
        <is>
          <t>1</t>
        </is>
      </c>
      <c r="B7551" s="3" t="inlineStr">
        <is>
          <t>Pekerja</t>
        </is>
      </c>
      <c r="C7551" s="3" t="inlineStr">
        <is>
          <t>OH</t>
        </is>
      </c>
      <c r="D7551" s="15" t="n">
        <v>0.255</v>
      </c>
      <c r="E7551" s="4" t="n">
        <v>100000</v>
      </c>
      <c r="F7551" s="4" t="n">
        <v>25500</v>
      </c>
    </row>
    <row r="7552">
      <c r="A7552" s="3" t="inlineStr">
        <is>
          <t>2</t>
        </is>
      </c>
      <c r="B7552" s="3" t="inlineStr">
        <is>
          <t>Tukang Listrik</t>
        </is>
      </c>
      <c r="C7552" s="3" t="inlineStr">
        <is>
          <t>OH</t>
        </is>
      </c>
      <c r="D7552" s="15" t="n">
        <v>0.425</v>
      </c>
      <c r="E7552" s="4" t="n">
        <v>145000</v>
      </c>
      <c r="F7552" s="4" t="n">
        <v>61625</v>
      </c>
    </row>
    <row r="7553">
      <c r="A7553" s="3" t="inlineStr">
        <is>
          <t>3</t>
        </is>
      </c>
      <c r="B7553" s="3" t="inlineStr">
        <is>
          <t>Kepala tukang</t>
        </is>
      </c>
      <c r="C7553" s="3" t="inlineStr">
        <is>
          <t>OH</t>
        </is>
      </c>
      <c r="D7553" s="15" t="n">
        <v>0.043</v>
      </c>
      <c r="E7553" s="4" t="n">
        <v>175000</v>
      </c>
      <c r="F7553" s="4" t="n">
        <v>7524.999999999999</v>
      </c>
    </row>
    <row r="7554">
      <c r="A7554" s="3" t="inlineStr">
        <is>
          <t>4</t>
        </is>
      </c>
      <c r="B7554" s="3" t="inlineStr">
        <is>
          <t>Mandor</t>
        </is>
      </c>
      <c r="C7554" s="3" t="inlineStr">
        <is>
          <t>OH</t>
        </is>
      </c>
      <c r="D7554" s="15" t="n">
        <v>0.014</v>
      </c>
      <c r="E7554" s="4" t="n">
        <v>200000</v>
      </c>
      <c r="F7554" s="4" t="n">
        <v>2800</v>
      </c>
    </row>
    <row r="7555">
      <c r="A7555" s="3" t="inlineStr">
        <is>
          <t>1</t>
        </is>
      </c>
      <c r="B7555" s="3" t="inlineStr">
        <is>
          <t>Lampu High Bay 100 Watt</t>
        </is>
      </c>
      <c r="C7555" s="3" t="inlineStr">
        <is>
          <t>unit</t>
        </is>
      </c>
      <c r="D7555" s="15" t="n">
        <v>1.2</v>
      </c>
      <c r="E7555" s="4" t="n">
        <v>1620000</v>
      </c>
      <c r="F7555" s="4" t="n">
        <v>1944000</v>
      </c>
    </row>
    <row r="7556">
      <c r="D7556" s="2" t="inlineStr">
        <is>
          <t>SUBTOTAL UPAH</t>
        </is>
      </c>
      <c r="F7556" s="16" t="n">
        <v>97450</v>
      </c>
    </row>
    <row r="7557">
      <c r="D7557" s="2" t="inlineStr">
        <is>
          <t>SUBTOTAL BAHAN</t>
        </is>
      </c>
      <c r="F7557" s="16" t="n">
        <v>1944000</v>
      </c>
    </row>
    <row r="7558">
      <c r="D7558" s="2" t="inlineStr">
        <is>
          <t>SUBTOTAL ALAT</t>
        </is>
      </c>
      <c r="F7558" s="16" t="n">
        <v>0</v>
      </c>
    </row>
    <row r="7559">
      <c r="E7559" s="2" t="inlineStr">
        <is>
          <t>TOTAL HARGA SATUAN (Inc. Overhead)</t>
        </is>
      </c>
      <c r="F7559" s="17" t="n">
        <v>2245595</v>
      </c>
    </row>
    <row r="7561">
      <c r="A7561" s="14" t="inlineStr">
        <is>
          <t>KODE: 5.3.1.12 - Pemasangan 1 Unit Lampu Eksit LED 3 Watt c/w Battery</t>
        </is>
      </c>
    </row>
    <row r="7562">
      <c r="A7562" s="10" t="inlineStr">
        <is>
          <t>No</t>
        </is>
      </c>
      <c r="B7562" s="10" t="inlineStr">
        <is>
          <t>Uraian Komponen</t>
        </is>
      </c>
      <c r="C7562" s="10" t="inlineStr">
        <is>
          <t>Satuan</t>
        </is>
      </c>
      <c r="D7562" s="10" t="inlineStr">
        <is>
          <t>Koef</t>
        </is>
      </c>
      <c r="E7562" s="10" t="inlineStr">
        <is>
          <t>Harga Satuan (Rp)</t>
        </is>
      </c>
      <c r="F7562" s="10" t="inlineStr">
        <is>
          <t>Jumlah Harga (Rp)</t>
        </is>
      </c>
    </row>
    <row r="7563">
      <c r="A7563" s="3" t="inlineStr">
        <is>
          <t>1</t>
        </is>
      </c>
      <c r="B7563" s="3" t="inlineStr">
        <is>
          <t>Pekerja</t>
        </is>
      </c>
      <c r="C7563" s="3" t="inlineStr">
        <is>
          <t>OH</t>
        </is>
      </c>
      <c r="D7563" s="15" t="n">
        <v>0.076</v>
      </c>
      <c r="E7563" s="4" t="n">
        <v>100000</v>
      </c>
      <c r="F7563" s="4" t="n">
        <v>7600</v>
      </c>
    </row>
    <row r="7564">
      <c r="A7564" s="3" t="inlineStr">
        <is>
          <t>2</t>
        </is>
      </c>
      <c r="B7564" s="3" t="inlineStr">
        <is>
          <t>Tukang Listrik</t>
        </is>
      </c>
      <c r="C7564" s="3" t="inlineStr">
        <is>
          <t>OH</t>
        </is>
      </c>
      <c r="D7564" s="15" t="n">
        <v>0.127</v>
      </c>
      <c r="E7564" s="4" t="n">
        <v>145000</v>
      </c>
      <c r="F7564" s="4" t="n">
        <v>18415</v>
      </c>
    </row>
    <row r="7565">
      <c r="A7565" s="3" t="inlineStr">
        <is>
          <t>3</t>
        </is>
      </c>
      <c r="B7565" s="3" t="inlineStr">
        <is>
          <t>Kepala tukang</t>
        </is>
      </c>
      <c r="C7565" s="3" t="inlineStr">
        <is>
          <t>OH</t>
        </is>
      </c>
      <c r="D7565" s="15" t="n">
        <v>0.013</v>
      </c>
      <c r="E7565" s="4" t="n">
        <v>175000</v>
      </c>
      <c r="F7565" s="4" t="n">
        <v>2275</v>
      </c>
    </row>
    <row r="7566">
      <c r="A7566" s="3" t="inlineStr">
        <is>
          <t>4</t>
        </is>
      </c>
      <c r="B7566" s="3" t="inlineStr">
        <is>
          <t>Mandor</t>
        </is>
      </c>
      <c r="C7566" s="3" t="inlineStr">
        <is>
          <t>OH</t>
        </is>
      </c>
      <c r="D7566" s="15" t="n">
        <v>0.004</v>
      </c>
      <c r="E7566" s="4" t="n">
        <v>200000</v>
      </c>
      <c r="F7566" s="4" t="n">
        <v>800</v>
      </c>
    </row>
    <row r="7567">
      <c r="A7567" s="3" t="inlineStr">
        <is>
          <t>1</t>
        </is>
      </c>
      <c r="B7567" s="3" t="inlineStr">
        <is>
          <t>Lampu Eksit LED 3 Watt c/w Battery</t>
        </is>
      </c>
      <c r="C7567" s="3" t="inlineStr">
        <is>
          <t>buah</t>
        </is>
      </c>
      <c r="D7567" s="15" t="n">
        <v>1.1</v>
      </c>
      <c r="E7567" s="4" t="n">
        <v>148000</v>
      </c>
      <c r="F7567" s="4" t="n">
        <v>162800</v>
      </c>
    </row>
    <row r="7568">
      <c r="D7568" s="2" t="inlineStr">
        <is>
          <t>SUBTOTAL UPAH</t>
        </is>
      </c>
      <c r="F7568" s="16" t="n">
        <v>29090</v>
      </c>
    </row>
    <row r="7569">
      <c r="D7569" s="2" t="inlineStr">
        <is>
          <t>SUBTOTAL BAHAN</t>
        </is>
      </c>
      <c r="F7569" s="16" t="n">
        <v>162800</v>
      </c>
    </row>
    <row r="7570">
      <c r="D7570" s="2" t="inlineStr">
        <is>
          <t>SUBTOTAL ALAT</t>
        </is>
      </c>
      <c r="F7570" s="16" t="n">
        <v>0</v>
      </c>
    </row>
    <row r="7571">
      <c r="E7571" s="2" t="inlineStr">
        <is>
          <t>TOTAL HARGA SATUAN (Inc. Overhead)</t>
        </is>
      </c>
      <c r="F7571" s="17" t="n">
        <v>211079</v>
      </c>
    </row>
    <row r="7573">
      <c r="A7573" s="14" t="inlineStr">
        <is>
          <t>KODE: 5.3.1.13 - Pemasangan 1 Unit Lampu TLED 1 X 14 Watt 2.100 Lumen (Dust Proof)</t>
        </is>
      </c>
    </row>
    <row r="7574">
      <c r="A7574" s="10" t="inlineStr">
        <is>
          <t>No</t>
        </is>
      </c>
      <c r="B7574" s="10" t="inlineStr">
        <is>
          <t>Uraian Komponen</t>
        </is>
      </c>
      <c r="C7574" s="10" t="inlineStr">
        <is>
          <t>Satuan</t>
        </is>
      </c>
      <c r="D7574" s="10" t="inlineStr">
        <is>
          <t>Koef</t>
        </is>
      </c>
      <c r="E7574" s="10" t="inlineStr">
        <is>
          <t>Harga Satuan (Rp)</t>
        </is>
      </c>
      <c r="F7574" s="10" t="inlineStr">
        <is>
          <t>Jumlah Harga (Rp)</t>
        </is>
      </c>
    </row>
    <row r="7575">
      <c r="A7575" s="3" t="inlineStr">
        <is>
          <t>1</t>
        </is>
      </c>
      <c r="B7575" s="3" t="inlineStr">
        <is>
          <t>Pekerja</t>
        </is>
      </c>
      <c r="C7575" s="3" t="inlineStr">
        <is>
          <t>OH</t>
        </is>
      </c>
      <c r="D7575" s="15" t="n">
        <v>0.114</v>
      </c>
      <c r="E7575" s="4" t="n">
        <v>100000</v>
      </c>
      <c r="F7575" s="4" t="n">
        <v>11400</v>
      </c>
    </row>
    <row r="7576">
      <c r="A7576" s="3" t="inlineStr">
        <is>
          <t>2</t>
        </is>
      </c>
      <c r="B7576" s="3" t="inlineStr">
        <is>
          <t>Tukang Listrik</t>
        </is>
      </c>
      <c r="C7576" s="3" t="inlineStr">
        <is>
          <t>OH</t>
        </is>
      </c>
      <c r="D7576" s="15" t="n">
        <v>0.191</v>
      </c>
      <c r="E7576" s="4" t="n">
        <v>145000</v>
      </c>
      <c r="F7576" s="4" t="n">
        <v>27695</v>
      </c>
    </row>
    <row r="7577">
      <c r="A7577" s="3" t="inlineStr">
        <is>
          <t>3</t>
        </is>
      </c>
      <c r="B7577" s="3" t="inlineStr">
        <is>
          <t>Kepala tukang</t>
        </is>
      </c>
      <c r="C7577" s="3" t="inlineStr">
        <is>
          <t>OH</t>
        </is>
      </c>
      <c r="D7577" s="15" t="n">
        <v>0.019</v>
      </c>
      <c r="E7577" s="4" t="n">
        <v>175000</v>
      </c>
      <c r="F7577" s="4" t="n">
        <v>3325</v>
      </c>
    </row>
    <row r="7578">
      <c r="A7578" s="3" t="inlineStr">
        <is>
          <t>4</t>
        </is>
      </c>
      <c r="B7578" s="3" t="inlineStr">
        <is>
          <t>Mandor</t>
        </is>
      </c>
      <c r="C7578" s="3" t="inlineStr">
        <is>
          <t>OH</t>
        </is>
      </c>
      <c r="D7578" s="15" t="n">
        <v>0.006</v>
      </c>
      <c r="E7578" s="4" t="n">
        <v>200000</v>
      </c>
      <c r="F7578" s="4" t="n">
        <v>1200</v>
      </c>
    </row>
    <row r="7579">
      <c r="A7579" s="3" t="inlineStr">
        <is>
          <t>1</t>
        </is>
      </c>
      <c r="B7579" s="3" t="inlineStr">
        <is>
          <t>Lampu TLED 1  x 14 Watt 2.100 Lumen</t>
        </is>
      </c>
      <c r="C7579" s="3" t="inlineStr">
        <is>
          <t>buah</t>
        </is>
      </c>
      <c r="D7579" s="15" t="n">
        <v>1.1</v>
      </c>
      <c r="E7579" s="4" t="n">
        <v>65000</v>
      </c>
      <c r="F7579" s="4" t="n">
        <v>71500</v>
      </c>
    </row>
    <row r="7580">
      <c r="D7580" s="2" t="inlineStr">
        <is>
          <t>SUBTOTAL UPAH</t>
        </is>
      </c>
      <c r="F7580" s="16" t="n">
        <v>43620</v>
      </c>
    </row>
    <row r="7581">
      <c r="D7581" s="2" t="inlineStr">
        <is>
          <t>SUBTOTAL BAHAN</t>
        </is>
      </c>
      <c r="F7581" s="16" t="n">
        <v>71500</v>
      </c>
    </row>
    <row r="7582">
      <c r="D7582" s="2" t="inlineStr">
        <is>
          <t>SUBTOTAL ALAT</t>
        </is>
      </c>
      <c r="F7582" s="16" t="n">
        <v>0</v>
      </c>
    </row>
    <row r="7583">
      <c r="E7583" s="2" t="inlineStr">
        <is>
          <t>TOTAL HARGA SATUAN (Inc. Overhead)</t>
        </is>
      </c>
      <c r="F7583" s="17" t="n">
        <v>126632</v>
      </c>
    </row>
    <row r="7585">
      <c r="A7585" s="14" t="inlineStr">
        <is>
          <t>KODE: 5.3.1.14 - Pemasangan 1 Unit Lampu TLED 1 X 24 Watt 2.100 Lumen (Balk)</t>
        </is>
      </c>
    </row>
    <row r="7586">
      <c r="A7586" s="10" t="inlineStr">
        <is>
          <t>No</t>
        </is>
      </c>
      <c r="B7586" s="10" t="inlineStr">
        <is>
          <t>Uraian Komponen</t>
        </is>
      </c>
      <c r="C7586" s="10" t="inlineStr">
        <is>
          <t>Satuan</t>
        </is>
      </c>
      <c r="D7586" s="10" t="inlineStr">
        <is>
          <t>Koef</t>
        </is>
      </c>
      <c r="E7586" s="10" t="inlineStr">
        <is>
          <t>Harga Satuan (Rp)</t>
        </is>
      </c>
      <c r="F7586" s="10" t="inlineStr">
        <is>
          <t>Jumlah Harga (Rp)</t>
        </is>
      </c>
    </row>
    <row r="7587">
      <c r="A7587" s="3" t="inlineStr">
        <is>
          <t>1</t>
        </is>
      </c>
      <c r="B7587" s="3" t="inlineStr">
        <is>
          <t>Pekerja</t>
        </is>
      </c>
      <c r="C7587" s="3" t="inlineStr">
        <is>
          <t>OH</t>
        </is>
      </c>
      <c r="D7587" s="15" t="n">
        <v>0.114</v>
      </c>
      <c r="E7587" s="4" t="n">
        <v>100000</v>
      </c>
      <c r="F7587" s="4" t="n">
        <v>11400</v>
      </c>
    </row>
    <row r="7588">
      <c r="A7588" s="3" t="inlineStr">
        <is>
          <t>2</t>
        </is>
      </c>
      <c r="B7588" s="3" t="inlineStr">
        <is>
          <t>Tukang Listrik</t>
        </is>
      </c>
      <c r="C7588" s="3" t="inlineStr">
        <is>
          <t>OH</t>
        </is>
      </c>
      <c r="D7588" s="15" t="n">
        <v>0.191</v>
      </c>
      <c r="E7588" s="4" t="n">
        <v>145000</v>
      </c>
      <c r="F7588" s="4" t="n">
        <v>27695</v>
      </c>
    </row>
    <row r="7589">
      <c r="A7589" s="3" t="inlineStr">
        <is>
          <t>3</t>
        </is>
      </c>
      <c r="B7589" s="3" t="inlineStr">
        <is>
          <t>Kepala tukang</t>
        </is>
      </c>
      <c r="C7589" s="3" t="inlineStr">
        <is>
          <t>OH</t>
        </is>
      </c>
      <c r="D7589" s="15" t="n">
        <v>0.019</v>
      </c>
      <c r="E7589" s="4" t="n">
        <v>175000</v>
      </c>
      <c r="F7589" s="4" t="n">
        <v>3325</v>
      </c>
    </row>
    <row r="7590">
      <c r="A7590" s="3" t="inlineStr">
        <is>
          <t>4</t>
        </is>
      </c>
      <c r="B7590" s="3" t="inlineStr">
        <is>
          <t>Mandor</t>
        </is>
      </c>
      <c r="C7590" s="3" t="inlineStr">
        <is>
          <t>OH</t>
        </is>
      </c>
      <c r="D7590" s="15" t="n">
        <v>0.006</v>
      </c>
      <c r="E7590" s="4" t="n">
        <v>200000</v>
      </c>
      <c r="F7590" s="4" t="n">
        <v>1200</v>
      </c>
    </row>
    <row r="7591">
      <c r="A7591" s="3" t="inlineStr">
        <is>
          <t>1</t>
        </is>
      </c>
      <c r="B7591" s="3" t="inlineStr">
        <is>
          <t>Lampu TLED 1 x 24 Watt 2.100 Lumen</t>
        </is>
      </c>
      <c r="C7591" s="3" t="inlineStr">
        <is>
          <t>buah</t>
        </is>
      </c>
      <c r="D7591" s="15" t="n">
        <v>1.1</v>
      </c>
      <c r="E7591" s="4" t="n">
        <v>72000</v>
      </c>
      <c r="F7591" s="4" t="n">
        <v>79200</v>
      </c>
    </row>
    <row r="7592">
      <c r="D7592" s="2" t="inlineStr">
        <is>
          <t>SUBTOTAL UPAH</t>
        </is>
      </c>
      <c r="F7592" s="16" t="n">
        <v>43620</v>
      </c>
    </row>
    <row r="7593">
      <c r="D7593" s="2" t="inlineStr">
        <is>
          <t>SUBTOTAL BAHAN</t>
        </is>
      </c>
      <c r="F7593" s="16" t="n">
        <v>79200</v>
      </c>
    </row>
    <row r="7594">
      <c r="D7594" s="2" t="inlineStr">
        <is>
          <t>SUBTOTAL ALAT</t>
        </is>
      </c>
      <c r="F7594" s="16" t="n">
        <v>0</v>
      </c>
    </row>
    <row r="7595">
      <c r="E7595" s="2" t="inlineStr">
        <is>
          <t>TOTAL HARGA SATUAN (Inc. Overhead)</t>
        </is>
      </c>
      <c r="F7595" s="17" t="n">
        <v>135102</v>
      </c>
    </row>
    <row r="7597">
      <c r="A7597" s="14" t="inlineStr">
        <is>
          <t>KODE: 5.3.1.15 - Pemasangan 1 Unit Lampu TLED 1 X 24 Watt 2.100 Lumen (Balk) c/w Niced Battery</t>
        </is>
      </c>
    </row>
    <row r="7598">
      <c r="A7598" s="10" t="inlineStr">
        <is>
          <t>No</t>
        </is>
      </c>
      <c r="B7598" s="10" t="inlineStr">
        <is>
          <t>Uraian Komponen</t>
        </is>
      </c>
      <c r="C7598" s="10" t="inlineStr">
        <is>
          <t>Satuan</t>
        </is>
      </c>
      <c r="D7598" s="10" t="inlineStr">
        <is>
          <t>Koef</t>
        </is>
      </c>
      <c r="E7598" s="10" t="inlineStr">
        <is>
          <t>Harga Satuan (Rp)</t>
        </is>
      </c>
      <c r="F7598" s="10" t="inlineStr">
        <is>
          <t>Jumlah Harga (Rp)</t>
        </is>
      </c>
    </row>
    <row r="7599">
      <c r="A7599" s="3" t="inlineStr">
        <is>
          <t>1</t>
        </is>
      </c>
      <c r="B7599" s="3" t="inlineStr">
        <is>
          <t>Pekerja</t>
        </is>
      </c>
      <c r="C7599" s="3" t="inlineStr">
        <is>
          <t>OH</t>
        </is>
      </c>
      <c r="D7599" s="15" t="n">
        <v>0.114</v>
      </c>
      <c r="E7599" s="4" t="n">
        <v>100000</v>
      </c>
      <c r="F7599" s="4" t="n">
        <v>11400</v>
      </c>
    </row>
    <row r="7600">
      <c r="A7600" s="3" t="inlineStr">
        <is>
          <t>2</t>
        </is>
      </c>
      <c r="B7600" s="3" t="inlineStr">
        <is>
          <t>Tukang Listrik</t>
        </is>
      </c>
      <c r="C7600" s="3" t="inlineStr">
        <is>
          <t>OH</t>
        </is>
      </c>
      <c r="D7600" s="15" t="n">
        <v>0.191</v>
      </c>
      <c r="E7600" s="4" t="n">
        <v>145000</v>
      </c>
      <c r="F7600" s="4" t="n">
        <v>27695</v>
      </c>
    </row>
    <row r="7601">
      <c r="A7601" s="3" t="inlineStr">
        <is>
          <t>3</t>
        </is>
      </c>
      <c r="B7601" s="3" t="inlineStr">
        <is>
          <t>Kepala tukang</t>
        </is>
      </c>
      <c r="C7601" s="3" t="inlineStr">
        <is>
          <t>OH</t>
        </is>
      </c>
      <c r="D7601" s="15" t="n">
        <v>0.019</v>
      </c>
      <c r="E7601" s="4" t="n">
        <v>175000</v>
      </c>
      <c r="F7601" s="4" t="n">
        <v>3325</v>
      </c>
    </row>
    <row r="7602">
      <c r="A7602" s="3" t="inlineStr">
        <is>
          <t>4</t>
        </is>
      </c>
      <c r="B7602" s="3" t="inlineStr">
        <is>
          <t>Mandor</t>
        </is>
      </c>
      <c r="C7602" s="3" t="inlineStr">
        <is>
          <t>OH</t>
        </is>
      </c>
      <c r="D7602" s="15" t="n">
        <v>0.006</v>
      </c>
      <c r="E7602" s="4" t="n">
        <v>200000</v>
      </c>
      <c r="F7602" s="4" t="n">
        <v>1200</v>
      </c>
    </row>
    <row r="7603">
      <c r="A7603" s="3" t="inlineStr">
        <is>
          <t>1</t>
        </is>
      </c>
      <c r="B7603" s="3" t="inlineStr">
        <is>
          <t>Lampu TLED 1 x 24 Watt 2.100 Lumen</t>
        </is>
      </c>
      <c r="C7603" s="3" t="inlineStr">
        <is>
          <t>buah</t>
        </is>
      </c>
      <c r="D7603" s="15" t="n">
        <v>1.1</v>
      </c>
      <c r="E7603" s="4" t="n">
        <v>72000</v>
      </c>
      <c r="F7603" s="4" t="n">
        <v>79200</v>
      </c>
    </row>
    <row r="7604">
      <c r="A7604" s="3" t="inlineStr">
        <is>
          <t>2</t>
        </is>
      </c>
      <c r="B7604" s="3" t="inlineStr">
        <is>
          <t>Nicad Battery</t>
        </is>
      </c>
      <c r="C7604" s="3" t="inlineStr">
        <is>
          <t>buah</t>
        </is>
      </c>
      <c r="D7604" s="15" t="n">
        <v>1.1</v>
      </c>
      <c r="E7604" s="4" t="n">
        <v>110000</v>
      </c>
      <c r="F7604" s="4" t="n">
        <v>121000</v>
      </c>
    </row>
    <row r="7605">
      <c r="D7605" s="2" t="inlineStr">
        <is>
          <t>SUBTOTAL UPAH</t>
        </is>
      </c>
      <c r="F7605" s="16" t="n">
        <v>43620</v>
      </c>
    </row>
    <row r="7606">
      <c r="D7606" s="2" t="inlineStr">
        <is>
          <t>SUBTOTAL BAHAN</t>
        </is>
      </c>
      <c r="F7606" s="16" t="n">
        <v>200200</v>
      </c>
    </row>
    <row r="7607">
      <c r="D7607" s="2" t="inlineStr">
        <is>
          <t>SUBTOTAL ALAT</t>
        </is>
      </c>
      <c r="F7607" s="16" t="n">
        <v>0</v>
      </c>
    </row>
    <row r="7608">
      <c r="E7608" s="2" t="inlineStr">
        <is>
          <t>TOTAL HARGA SATUAN (Inc. Overhead)</t>
        </is>
      </c>
      <c r="F7608" s="17" t="n">
        <v>268202</v>
      </c>
    </row>
    <row r="7610">
      <c r="A7610" s="14" t="inlineStr">
        <is>
          <t>KODE: 5.3.1.16 - Pemasangan 1 Unit Lampu TLED 2 X 24 Watt 2.100 Lumen (Balk)</t>
        </is>
      </c>
    </row>
    <row r="7611">
      <c r="A7611" s="10" t="inlineStr">
        <is>
          <t>No</t>
        </is>
      </c>
      <c r="B7611" s="10" t="inlineStr">
        <is>
          <t>Uraian Komponen</t>
        </is>
      </c>
      <c r="C7611" s="10" t="inlineStr">
        <is>
          <t>Satuan</t>
        </is>
      </c>
      <c r="D7611" s="10" t="inlineStr">
        <is>
          <t>Koef</t>
        </is>
      </c>
      <c r="E7611" s="10" t="inlineStr">
        <is>
          <t>Harga Satuan (Rp)</t>
        </is>
      </c>
      <c r="F7611" s="10" t="inlineStr">
        <is>
          <t>Jumlah Harga (Rp)</t>
        </is>
      </c>
    </row>
    <row r="7612">
      <c r="A7612" s="3" t="inlineStr">
        <is>
          <t>1</t>
        </is>
      </c>
      <c r="B7612" s="3" t="inlineStr">
        <is>
          <t>Pekerja</t>
        </is>
      </c>
      <c r="C7612" s="3" t="inlineStr">
        <is>
          <t>OH</t>
        </is>
      </c>
      <c r="D7612" s="15" t="n">
        <v>0.167</v>
      </c>
      <c r="E7612" s="4" t="n">
        <v>100000</v>
      </c>
      <c r="F7612" s="4" t="n">
        <v>16700</v>
      </c>
    </row>
    <row r="7613">
      <c r="A7613" s="3" t="inlineStr">
        <is>
          <t>2</t>
        </is>
      </c>
      <c r="B7613" s="3" t="inlineStr">
        <is>
          <t>Tukang Listrik</t>
        </is>
      </c>
      <c r="C7613" s="3" t="inlineStr">
        <is>
          <t>OH</t>
        </is>
      </c>
      <c r="D7613" s="15" t="n">
        <v>0.278</v>
      </c>
      <c r="E7613" s="4" t="n">
        <v>145000</v>
      </c>
      <c r="F7613" s="4" t="n">
        <v>40310</v>
      </c>
    </row>
    <row r="7614">
      <c r="A7614" s="3" t="inlineStr">
        <is>
          <t>3</t>
        </is>
      </c>
      <c r="B7614" s="3" t="inlineStr">
        <is>
          <t>Kepala tukang</t>
        </is>
      </c>
      <c r="C7614" s="3" t="inlineStr">
        <is>
          <t>OH</t>
        </is>
      </c>
      <c r="D7614" s="15" t="n">
        <v>0.028</v>
      </c>
      <c r="E7614" s="4" t="n">
        <v>175000</v>
      </c>
      <c r="F7614" s="4" t="n">
        <v>4900</v>
      </c>
    </row>
    <row r="7615">
      <c r="A7615" s="3" t="inlineStr">
        <is>
          <t>4</t>
        </is>
      </c>
      <c r="B7615" s="3" t="inlineStr">
        <is>
          <t>Mandor</t>
        </is>
      </c>
      <c r="C7615" s="3" t="inlineStr">
        <is>
          <t>OH</t>
        </is>
      </c>
      <c r="D7615" s="15" t="n">
        <v>0.008999999999999999</v>
      </c>
      <c r="E7615" s="4" t="n">
        <v>200000</v>
      </c>
      <c r="F7615" s="4" t="n">
        <v>1800</v>
      </c>
    </row>
    <row r="7616">
      <c r="A7616" s="3" t="inlineStr">
        <is>
          <t>1</t>
        </is>
      </c>
      <c r="B7616" s="3" t="inlineStr">
        <is>
          <t>Lampu TLED 2 x 24 Watt 2.100 Lumen</t>
        </is>
      </c>
      <c r="C7616" s="3" t="inlineStr">
        <is>
          <t>buah</t>
        </is>
      </c>
      <c r="D7616" s="15" t="n">
        <v>1.1</v>
      </c>
      <c r="E7616" s="4" t="n">
        <v>144000</v>
      </c>
      <c r="F7616" s="4" t="n">
        <v>158400</v>
      </c>
    </row>
    <row r="7617">
      <c r="D7617" s="2" t="inlineStr">
        <is>
          <t>SUBTOTAL UPAH</t>
        </is>
      </c>
      <c r="F7617" s="16" t="n">
        <v>63710</v>
      </c>
    </row>
    <row r="7618">
      <c r="D7618" s="2" t="inlineStr">
        <is>
          <t>SUBTOTAL BAHAN</t>
        </is>
      </c>
      <c r="F7618" s="16" t="n">
        <v>158400</v>
      </c>
    </row>
    <row r="7619">
      <c r="D7619" s="2" t="inlineStr">
        <is>
          <t>SUBTOTAL ALAT</t>
        </is>
      </c>
      <c r="F7619" s="16" t="n">
        <v>0</v>
      </c>
    </row>
    <row r="7620">
      <c r="E7620" s="2" t="inlineStr">
        <is>
          <t>TOTAL HARGA SATUAN (Inc. Overhead)</t>
        </is>
      </c>
      <c r="F7620" s="17" t="n">
        <v>244321</v>
      </c>
    </row>
    <row r="7622">
      <c r="A7622" s="14" t="inlineStr">
        <is>
          <t>KODE: 5.3.1.17 - Pemasangan 1 Unit Lampu TLED 2 X 24 Watt 2.100 Lumen (Balk) c/w Nicad Battery</t>
        </is>
      </c>
    </row>
    <row r="7623">
      <c r="A7623" s="10" t="inlineStr">
        <is>
          <t>No</t>
        </is>
      </c>
      <c r="B7623" s="10" t="inlineStr">
        <is>
          <t>Uraian Komponen</t>
        </is>
      </c>
      <c r="C7623" s="10" t="inlineStr">
        <is>
          <t>Satuan</t>
        </is>
      </c>
      <c r="D7623" s="10" t="inlineStr">
        <is>
          <t>Koef</t>
        </is>
      </c>
      <c r="E7623" s="10" t="inlineStr">
        <is>
          <t>Harga Satuan (Rp)</t>
        </is>
      </c>
      <c r="F7623" s="10" t="inlineStr">
        <is>
          <t>Jumlah Harga (Rp)</t>
        </is>
      </c>
    </row>
    <row r="7624">
      <c r="A7624" s="3" t="inlineStr">
        <is>
          <t>1</t>
        </is>
      </c>
      <c r="B7624" s="3" t="inlineStr">
        <is>
          <t>Pekerja</t>
        </is>
      </c>
      <c r="C7624" s="3" t="inlineStr">
        <is>
          <t>OH</t>
        </is>
      </c>
      <c r="D7624" s="15" t="n">
        <v>0.167</v>
      </c>
      <c r="E7624" s="4" t="n">
        <v>100000</v>
      </c>
      <c r="F7624" s="4" t="n">
        <v>16700</v>
      </c>
    </row>
    <row r="7625">
      <c r="A7625" s="3" t="inlineStr">
        <is>
          <t>2</t>
        </is>
      </c>
      <c r="B7625" s="3" t="inlineStr">
        <is>
          <t>Tukang Listrik</t>
        </is>
      </c>
      <c r="C7625" s="3" t="inlineStr">
        <is>
          <t>OH</t>
        </is>
      </c>
      <c r="D7625" s="15" t="n">
        <v>0.278</v>
      </c>
      <c r="E7625" s="4" t="n">
        <v>145000</v>
      </c>
      <c r="F7625" s="4" t="n">
        <v>40310</v>
      </c>
    </row>
    <row r="7626">
      <c r="A7626" s="3" t="inlineStr">
        <is>
          <t>3</t>
        </is>
      </c>
      <c r="B7626" s="3" t="inlineStr">
        <is>
          <t>Kepala tukang</t>
        </is>
      </c>
      <c r="C7626" s="3" t="inlineStr">
        <is>
          <t>OH</t>
        </is>
      </c>
      <c r="D7626" s="15" t="n">
        <v>0.028</v>
      </c>
      <c r="E7626" s="4" t="n">
        <v>175000</v>
      </c>
      <c r="F7626" s="4" t="n">
        <v>4900</v>
      </c>
    </row>
    <row r="7627">
      <c r="A7627" s="3" t="inlineStr">
        <is>
          <t>4</t>
        </is>
      </c>
      <c r="B7627" s="3" t="inlineStr">
        <is>
          <t>Mandor</t>
        </is>
      </c>
      <c r="C7627" s="3" t="inlineStr">
        <is>
          <t>OH</t>
        </is>
      </c>
      <c r="D7627" s="15" t="n">
        <v>0.008999999999999999</v>
      </c>
      <c r="E7627" s="4" t="n">
        <v>200000</v>
      </c>
      <c r="F7627" s="4" t="n">
        <v>1800</v>
      </c>
    </row>
    <row r="7628">
      <c r="A7628" s="3" t="inlineStr">
        <is>
          <t>1</t>
        </is>
      </c>
      <c r="B7628" s="3" t="inlineStr">
        <is>
          <t>Lampu TLED 2 x 24 Watt 2.100 Lumen</t>
        </is>
      </c>
      <c r="C7628" s="3" t="inlineStr">
        <is>
          <t>buah</t>
        </is>
      </c>
      <c r="D7628" s="15" t="n">
        <v>1.1</v>
      </c>
      <c r="E7628" s="4" t="n">
        <v>144000</v>
      </c>
      <c r="F7628" s="4" t="n">
        <v>158400</v>
      </c>
    </row>
    <row r="7629">
      <c r="A7629" s="3" t="inlineStr">
        <is>
          <t>2</t>
        </is>
      </c>
      <c r="B7629" s="3" t="inlineStr">
        <is>
          <t>Nicad Battery</t>
        </is>
      </c>
      <c r="C7629" s="3" t="inlineStr">
        <is>
          <t>buah</t>
        </is>
      </c>
      <c r="D7629" s="15" t="n">
        <v>1.1</v>
      </c>
      <c r="E7629" s="4" t="n">
        <v>110000</v>
      </c>
      <c r="F7629" s="4" t="n">
        <v>121000</v>
      </c>
    </row>
    <row r="7630">
      <c r="D7630" s="2" t="inlineStr">
        <is>
          <t>SUBTOTAL UPAH</t>
        </is>
      </c>
      <c r="F7630" s="16" t="n">
        <v>63710</v>
      </c>
    </row>
    <row r="7631">
      <c r="D7631" s="2" t="inlineStr">
        <is>
          <t>SUBTOTAL BAHAN</t>
        </is>
      </c>
      <c r="F7631" s="16" t="n">
        <v>279400</v>
      </c>
    </row>
    <row r="7632">
      <c r="D7632" s="2" t="inlineStr">
        <is>
          <t>SUBTOTAL ALAT</t>
        </is>
      </c>
      <c r="F7632" s="16" t="n">
        <v>0</v>
      </c>
    </row>
    <row r="7633">
      <c r="E7633" s="2" t="inlineStr">
        <is>
          <t>TOTAL HARGA SATUAN (Inc. Overhead)</t>
        </is>
      </c>
      <c r="F7633" s="17" t="n">
        <v>377421</v>
      </c>
    </row>
    <row r="7635">
      <c r="A7635" s="14" t="inlineStr">
        <is>
          <t>KODE: 5.3.1.18 - Pemasangan 1 unit Lampu PJU Kawasan LED 50 Watt + Tiang 6-7 M (single Pool)</t>
        </is>
      </c>
    </row>
    <row r="7636">
      <c r="A7636" s="10" t="inlineStr">
        <is>
          <t>No</t>
        </is>
      </c>
      <c r="B7636" s="10" t="inlineStr">
        <is>
          <t>Uraian Komponen</t>
        </is>
      </c>
      <c r="C7636" s="10" t="inlineStr">
        <is>
          <t>Satuan</t>
        </is>
      </c>
      <c r="D7636" s="10" t="inlineStr">
        <is>
          <t>Koef</t>
        </is>
      </c>
      <c r="E7636" s="10" t="inlineStr">
        <is>
          <t>Harga Satuan (Rp)</t>
        </is>
      </c>
      <c r="F7636" s="10" t="inlineStr">
        <is>
          <t>Jumlah Harga (Rp)</t>
        </is>
      </c>
    </row>
    <row r="7637">
      <c r="A7637" s="3" t="inlineStr">
        <is>
          <t>1</t>
        </is>
      </c>
      <c r="B7637" s="3" t="inlineStr">
        <is>
          <t>Pekerja</t>
        </is>
      </c>
      <c r="C7637" s="3" t="inlineStr">
        <is>
          <t>OH</t>
        </is>
      </c>
      <c r="D7637" s="15" t="n">
        <v>1.395</v>
      </c>
      <c r="E7637" s="4" t="n">
        <v>100000</v>
      </c>
      <c r="F7637" s="4" t="n">
        <v>139500</v>
      </c>
    </row>
    <row r="7638">
      <c r="A7638" s="3" t="inlineStr">
        <is>
          <t>2</t>
        </is>
      </c>
      <c r="B7638" s="3" t="inlineStr">
        <is>
          <t>Tukang Listrik</t>
        </is>
      </c>
      <c r="C7638" s="3" t="inlineStr">
        <is>
          <t>OH</t>
        </is>
      </c>
      <c r="D7638" s="15" t="n">
        <v>2.33</v>
      </c>
      <c r="E7638" s="4" t="n">
        <v>145000</v>
      </c>
      <c r="F7638" s="4" t="n">
        <v>337850</v>
      </c>
    </row>
    <row r="7639">
      <c r="A7639" s="3" t="inlineStr">
        <is>
          <t>3</t>
        </is>
      </c>
      <c r="B7639" s="3" t="inlineStr">
        <is>
          <t>Kepala tukang</t>
        </is>
      </c>
      <c r="C7639" s="3" t="inlineStr">
        <is>
          <t>OH</t>
        </is>
      </c>
      <c r="D7639" s="15" t="n">
        <v>0.233</v>
      </c>
      <c r="E7639" s="4" t="n">
        <v>175000</v>
      </c>
      <c r="F7639" s="4" t="n">
        <v>40775</v>
      </c>
    </row>
    <row r="7640">
      <c r="A7640" s="3" t="inlineStr">
        <is>
          <t>4</t>
        </is>
      </c>
      <c r="B7640" s="3" t="inlineStr">
        <is>
          <t>Mandor</t>
        </is>
      </c>
      <c r="C7640" s="3" t="inlineStr">
        <is>
          <t>OH</t>
        </is>
      </c>
      <c r="D7640" s="15" t="n">
        <v>0.078</v>
      </c>
      <c r="E7640" s="4" t="n">
        <v>200000</v>
      </c>
      <c r="F7640" s="4" t="n">
        <v>15600</v>
      </c>
    </row>
    <row r="7641">
      <c r="A7641" s="3" t="inlineStr">
        <is>
          <t>1</t>
        </is>
      </c>
      <c r="B7641" s="3" t="inlineStr">
        <is>
          <t>Lampu PJU LED 50 Watt</t>
        </is>
      </c>
      <c r="C7641" s="3" t="inlineStr">
        <is>
          <t>buah</t>
        </is>
      </c>
      <c r="D7641" s="15" t="n">
        <v>1.05</v>
      </c>
      <c r="E7641" s="4" t="n">
        <v>495000</v>
      </c>
      <c r="F7641" s="4" t="n">
        <v>519750</v>
      </c>
    </row>
    <row r="7642">
      <c r="A7642" s="3" t="inlineStr">
        <is>
          <t>2</t>
        </is>
      </c>
      <c r="B7642" s="3" t="inlineStr">
        <is>
          <t>Tiang PJU Kawasan 6-7 m</t>
        </is>
      </c>
      <c r="C7642" s="3" t="inlineStr">
        <is>
          <t>buah</t>
        </is>
      </c>
      <c r="D7642" s="15" t="n">
        <v>1.05</v>
      </c>
      <c r="E7642" s="4" t="n">
        <v>2000000</v>
      </c>
      <c r="F7642" s="4" t="n">
        <v>2100000</v>
      </c>
    </row>
    <row r="7643">
      <c r="D7643" s="2" t="inlineStr">
        <is>
          <t>SUBTOTAL UPAH</t>
        </is>
      </c>
      <c r="F7643" s="16" t="n">
        <v>533725</v>
      </c>
    </row>
    <row r="7644">
      <c r="D7644" s="2" t="inlineStr">
        <is>
          <t>SUBTOTAL BAHAN</t>
        </is>
      </c>
      <c r="F7644" s="16" t="n">
        <v>2619750</v>
      </c>
    </row>
    <row r="7645">
      <c r="D7645" s="2" t="inlineStr">
        <is>
          <t>SUBTOTAL ALAT</t>
        </is>
      </c>
      <c r="F7645" s="16" t="n">
        <v>0</v>
      </c>
    </row>
    <row r="7646">
      <c r="E7646" s="2" t="inlineStr">
        <is>
          <t>TOTAL HARGA SATUAN (Inc. Overhead)</t>
        </is>
      </c>
      <c r="F7646" s="17" t="n">
        <v>3468822</v>
      </c>
    </row>
    <row r="7648">
      <c r="A7648" s="14" t="inlineStr">
        <is>
          <t>KODE: 5.3.1.19 - Pemasangan 1 Unit Lampu Kawasan LED 50 Watt + Solar Cell + Tiang 6-7 M ( Single Pool)</t>
        </is>
      </c>
    </row>
    <row r="7649">
      <c r="A7649" s="10" t="inlineStr">
        <is>
          <t>No</t>
        </is>
      </c>
      <c r="B7649" s="10" t="inlineStr">
        <is>
          <t>Uraian Komponen</t>
        </is>
      </c>
      <c r="C7649" s="10" t="inlineStr">
        <is>
          <t>Satuan</t>
        </is>
      </c>
      <c r="D7649" s="10" t="inlineStr">
        <is>
          <t>Koef</t>
        </is>
      </c>
      <c r="E7649" s="10" t="inlineStr">
        <is>
          <t>Harga Satuan (Rp)</t>
        </is>
      </c>
      <c r="F7649" s="10" t="inlineStr">
        <is>
          <t>Jumlah Harga (Rp)</t>
        </is>
      </c>
    </row>
    <row r="7650">
      <c r="A7650" s="3" t="inlineStr">
        <is>
          <t>1</t>
        </is>
      </c>
      <c r="B7650" s="3" t="inlineStr">
        <is>
          <t>Pekerja</t>
        </is>
      </c>
      <c r="C7650" s="3" t="inlineStr">
        <is>
          <t>OH</t>
        </is>
      </c>
      <c r="D7650" s="15" t="n">
        <v>2.029</v>
      </c>
      <c r="E7650" s="4" t="n">
        <v>100000</v>
      </c>
      <c r="F7650" s="4" t="n">
        <v>202900</v>
      </c>
    </row>
    <row r="7651">
      <c r="A7651" s="3" t="inlineStr">
        <is>
          <t>2</t>
        </is>
      </c>
      <c r="B7651" s="3" t="inlineStr">
        <is>
          <t>Tukang Listrik</t>
        </is>
      </c>
      <c r="C7651" s="3" t="inlineStr">
        <is>
          <t>OH</t>
        </is>
      </c>
      <c r="D7651" s="15" t="n">
        <v>3.388</v>
      </c>
      <c r="E7651" s="4" t="n">
        <v>145000</v>
      </c>
      <c r="F7651" s="4" t="n">
        <v>491260</v>
      </c>
    </row>
    <row r="7652">
      <c r="A7652" s="3" t="inlineStr">
        <is>
          <t>3</t>
        </is>
      </c>
      <c r="B7652" s="3" t="inlineStr">
        <is>
          <t>Kepala tukang</t>
        </is>
      </c>
      <c r="C7652" s="3" t="inlineStr">
        <is>
          <t>OH</t>
        </is>
      </c>
      <c r="D7652" s="15" t="n">
        <v>0.339</v>
      </c>
      <c r="E7652" s="4" t="n">
        <v>175000</v>
      </c>
      <c r="F7652" s="4" t="n">
        <v>59325.00000000001</v>
      </c>
    </row>
    <row r="7653">
      <c r="A7653" s="3" t="inlineStr">
        <is>
          <t>4</t>
        </is>
      </c>
      <c r="B7653" s="3" t="inlineStr">
        <is>
          <t>Mandor</t>
        </is>
      </c>
      <c r="C7653" s="3" t="inlineStr">
        <is>
          <t>OH</t>
        </is>
      </c>
      <c r="D7653" s="15" t="n">
        <v>0.113</v>
      </c>
      <c r="E7653" s="4" t="n">
        <v>200000</v>
      </c>
      <c r="F7653" s="4" t="n">
        <v>22600</v>
      </c>
    </row>
    <row r="7654">
      <c r="A7654" s="3" t="inlineStr">
        <is>
          <t>1</t>
        </is>
      </c>
      <c r="B7654" s="3" t="inlineStr">
        <is>
          <t>Lampu PJU LED 50 Watt + Solar Cell</t>
        </is>
      </c>
      <c r="C7654" s="3" t="inlineStr">
        <is>
          <t>buah</t>
        </is>
      </c>
      <c r="D7654" s="15" t="n">
        <v>1.05</v>
      </c>
      <c r="E7654" s="4" t="n">
        <v>700000</v>
      </c>
      <c r="F7654" s="4" t="n">
        <v>735000</v>
      </c>
    </row>
    <row r="7655">
      <c r="A7655" s="3" t="inlineStr">
        <is>
          <t>2</t>
        </is>
      </c>
      <c r="B7655" s="3" t="inlineStr">
        <is>
          <t>Tiang PJU Kawasan 6-7 m</t>
        </is>
      </c>
      <c r="C7655" s="3" t="inlineStr">
        <is>
          <t>buah</t>
        </is>
      </c>
      <c r="D7655" s="15" t="n">
        <v>1.05</v>
      </c>
      <c r="E7655" s="4" t="n">
        <v>2000000</v>
      </c>
      <c r="F7655" s="4" t="n">
        <v>2100000</v>
      </c>
    </row>
    <row r="7656">
      <c r="D7656" s="2" t="inlineStr">
        <is>
          <t>SUBTOTAL UPAH</t>
        </is>
      </c>
      <c r="F7656" s="16" t="n">
        <v>776085</v>
      </c>
    </row>
    <row r="7657">
      <c r="D7657" s="2" t="inlineStr">
        <is>
          <t>SUBTOTAL BAHAN</t>
        </is>
      </c>
      <c r="F7657" s="16" t="n">
        <v>2835000</v>
      </c>
    </row>
    <row r="7658">
      <c r="D7658" s="2" t="inlineStr">
        <is>
          <t>SUBTOTAL ALAT</t>
        </is>
      </c>
      <c r="F7658" s="16" t="n">
        <v>0</v>
      </c>
    </row>
    <row r="7659">
      <c r="E7659" s="2" t="inlineStr">
        <is>
          <t>TOTAL HARGA SATUAN (Inc. Overhead)</t>
        </is>
      </c>
      <c r="F7659" s="17" t="n">
        <v>3972193</v>
      </c>
    </row>
    <row r="7661">
      <c r="A7661" s="14" t="inlineStr">
        <is>
          <t>KODE: 5.3.1.20 - Pemasangan 1 Unit Lampu Taman 25 Watt + Tiang 1 M</t>
        </is>
      </c>
    </row>
    <row r="7662">
      <c r="A7662" s="10" t="inlineStr">
        <is>
          <t>No</t>
        </is>
      </c>
      <c r="B7662" s="10" t="inlineStr">
        <is>
          <t>Uraian Komponen</t>
        </is>
      </c>
      <c r="C7662" s="10" t="inlineStr">
        <is>
          <t>Satuan</t>
        </is>
      </c>
      <c r="D7662" s="10" t="inlineStr">
        <is>
          <t>Koef</t>
        </is>
      </c>
      <c r="E7662" s="10" t="inlineStr">
        <is>
          <t>Harga Satuan (Rp)</t>
        </is>
      </c>
      <c r="F7662" s="10" t="inlineStr">
        <is>
          <t>Jumlah Harga (Rp)</t>
        </is>
      </c>
    </row>
    <row r="7663">
      <c r="A7663" s="3" t="inlineStr">
        <is>
          <t>1</t>
        </is>
      </c>
      <c r="B7663" s="3" t="inlineStr">
        <is>
          <t>Pekerja</t>
        </is>
      </c>
      <c r="C7663" s="3" t="inlineStr">
        <is>
          <t>OH</t>
        </is>
      </c>
      <c r="D7663" s="15" t="n">
        <v>0.255</v>
      </c>
      <c r="E7663" s="4" t="n">
        <v>100000</v>
      </c>
      <c r="F7663" s="4" t="n">
        <v>25500</v>
      </c>
    </row>
    <row r="7664">
      <c r="A7664" s="3" t="inlineStr">
        <is>
          <t>2</t>
        </is>
      </c>
      <c r="B7664" s="3" t="inlineStr">
        <is>
          <t>Tukang Listrik</t>
        </is>
      </c>
      <c r="C7664" s="3" t="inlineStr">
        <is>
          <t>OH</t>
        </is>
      </c>
      <c r="D7664" s="15" t="n">
        <v>0.425</v>
      </c>
      <c r="E7664" s="4" t="n">
        <v>145000</v>
      </c>
      <c r="F7664" s="4" t="n">
        <v>61625</v>
      </c>
    </row>
    <row r="7665">
      <c r="A7665" s="3" t="inlineStr">
        <is>
          <t>3</t>
        </is>
      </c>
      <c r="B7665" s="3" t="inlineStr">
        <is>
          <t>Kepala tukang</t>
        </is>
      </c>
      <c r="C7665" s="3" t="inlineStr">
        <is>
          <t>OH</t>
        </is>
      </c>
      <c r="D7665" s="15" t="n">
        <v>0.043</v>
      </c>
      <c r="E7665" s="4" t="n">
        <v>175000</v>
      </c>
      <c r="F7665" s="4" t="n">
        <v>7524.999999999999</v>
      </c>
    </row>
    <row r="7666">
      <c r="A7666" s="3" t="inlineStr">
        <is>
          <t>4</t>
        </is>
      </c>
      <c r="B7666" s="3" t="inlineStr">
        <is>
          <t>Mandor</t>
        </is>
      </c>
      <c r="C7666" s="3" t="inlineStr">
        <is>
          <t>OH</t>
        </is>
      </c>
      <c r="D7666" s="15" t="n">
        <v>0.014</v>
      </c>
      <c r="E7666" s="4" t="n">
        <v>200000</v>
      </c>
      <c r="F7666" s="4" t="n">
        <v>2800</v>
      </c>
    </row>
    <row r="7667">
      <c r="A7667" s="3" t="inlineStr">
        <is>
          <t>1</t>
        </is>
      </c>
      <c r="B7667" s="3" t="inlineStr">
        <is>
          <t>Lampu Taman 25 Watt +Tiang 1 m</t>
        </is>
      </c>
      <c r="C7667" s="3" t="inlineStr">
        <is>
          <t>buah</t>
        </is>
      </c>
      <c r="D7667" s="15" t="n">
        <v>1.1</v>
      </c>
      <c r="E7667" s="4" t="n">
        <v>155000</v>
      </c>
      <c r="F7667" s="4" t="n">
        <v>170500</v>
      </c>
    </row>
    <row r="7668">
      <c r="D7668" s="2" t="inlineStr">
        <is>
          <t>SUBTOTAL UPAH</t>
        </is>
      </c>
      <c r="F7668" s="16" t="n">
        <v>97450</v>
      </c>
    </row>
    <row r="7669">
      <c r="D7669" s="2" t="inlineStr">
        <is>
          <t>SUBTOTAL BAHAN</t>
        </is>
      </c>
      <c r="F7669" s="16" t="n">
        <v>170500</v>
      </c>
    </row>
    <row r="7670">
      <c r="D7670" s="2" t="inlineStr">
        <is>
          <t>SUBTOTAL ALAT</t>
        </is>
      </c>
      <c r="F7670" s="16" t="n">
        <v>0</v>
      </c>
    </row>
    <row r="7671">
      <c r="E7671" s="2" t="inlineStr">
        <is>
          <t>TOTAL HARGA SATUAN (Inc. Overhead)</t>
        </is>
      </c>
      <c r="F7671" s="17" t="n">
        <v>294745</v>
      </c>
    </row>
    <row r="7673">
      <c r="A7673" s="14" t="inlineStr">
        <is>
          <t>KODE: 5.3.1.21 - Pemasangan 1 Unit Fitting + 7 Watt LED</t>
        </is>
      </c>
    </row>
    <row r="7674">
      <c r="A7674" s="10" t="inlineStr">
        <is>
          <t>No</t>
        </is>
      </c>
      <c r="B7674" s="10" t="inlineStr">
        <is>
          <t>Uraian Komponen</t>
        </is>
      </c>
      <c r="C7674" s="10" t="inlineStr">
        <is>
          <t>Satuan</t>
        </is>
      </c>
      <c r="D7674" s="10" t="inlineStr">
        <is>
          <t>Koef</t>
        </is>
      </c>
      <c r="E7674" s="10" t="inlineStr">
        <is>
          <t>Harga Satuan (Rp)</t>
        </is>
      </c>
      <c r="F7674" s="10" t="inlineStr">
        <is>
          <t>Jumlah Harga (Rp)</t>
        </is>
      </c>
    </row>
    <row r="7675">
      <c r="A7675" s="3" t="inlineStr">
        <is>
          <t>1</t>
        </is>
      </c>
      <c r="B7675" s="3" t="inlineStr">
        <is>
          <t>Pekerja</t>
        </is>
      </c>
      <c r="C7675" s="3" t="inlineStr">
        <is>
          <t>OH</t>
        </is>
      </c>
      <c r="D7675" s="15" t="n">
        <v>0.064</v>
      </c>
      <c r="E7675" s="4" t="n">
        <v>100000</v>
      </c>
      <c r="F7675" s="4" t="n">
        <v>6400</v>
      </c>
    </row>
    <row r="7676">
      <c r="A7676" s="3" t="inlineStr">
        <is>
          <t>2</t>
        </is>
      </c>
      <c r="B7676" s="3" t="inlineStr">
        <is>
          <t>Tukang Listrik</t>
        </is>
      </c>
      <c r="C7676" s="3" t="inlineStr">
        <is>
          <t>OH</t>
        </is>
      </c>
      <c r="D7676" s="15" t="n">
        <v>0.107</v>
      </c>
      <c r="E7676" s="4" t="n">
        <v>145000</v>
      </c>
      <c r="F7676" s="4" t="n">
        <v>15515</v>
      </c>
    </row>
    <row r="7677">
      <c r="A7677" s="3" t="inlineStr">
        <is>
          <t>3</t>
        </is>
      </c>
      <c r="B7677" s="3" t="inlineStr">
        <is>
          <t>Kepala tukang</t>
        </is>
      </c>
      <c r="C7677" s="3" t="inlineStr">
        <is>
          <t>OH</t>
        </is>
      </c>
      <c r="D7677" s="15" t="n">
        <v>0.011</v>
      </c>
      <c r="E7677" s="4" t="n">
        <v>175000</v>
      </c>
      <c r="F7677" s="4" t="n">
        <v>1925</v>
      </c>
    </row>
    <row r="7678">
      <c r="A7678" s="3" t="inlineStr">
        <is>
          <t>4</t>
        </is>
      </c>
      <c r="B7678" s="3" t="inlineStr">
        <is>
          <t>Mandor</t>
        </is>
      </c>
      <c r="C7678" s="3" t="inlineStr">
        <is>
          <t>OH</t>
        </is>
      </c>
      <c r="D7678" s="15" t="n">
        <v>0.004</v>
      </c>
      <c r="E7678" s="4" t="n">
        <v>200000</v>
      </c>
      <c r="F7678" s="4" t="n">
        <v>800</v>
      </c>
    </row>
    <row r="7679">
      <c r="A7679" s="3" t="inlineStr">
        <is>
          <t>1</t>
        </is>
      </c>
      <c r="B7679" s="3" t="inlineStr">
        <is>
          <t>Lampu LED 7 Watt</t>
        </is>
      </c>
      <c r="C7679" s="3" t="inlineStr">
        <is>
          <t>buah</t>
        </is>
      </c>
      <c r="D7679" s="15" t="n">
        <v>1.1</v>
      </c>
      <c r="E7679" s="4" t="n">
        <v>27000</v>
      </c>
      <c r="F7679" s="4" t="n">
        <v>29700</v>
      </c>
    </row>
    <row r="7680">
      <c r="A7680" s="3" t="inlineStr">
        <is>
          <t>1</t>
        </is>
      </c>
      <c r="B7680" s="3" t="inlineStr">
        <is>
          <t>Fitting</t>
        </is>
      </c>
      <c r="C7680" s="3" t="inlineStr">
        <is>
          <t>buah</t>
        </is>
      </c>
      <c r="D7680" s="15" t="n">
        <v>1.1</v>
      </c>
      <c r="E7680" s="4" t="n">
        <v>16000</v>
      </c>
      <c r="F7680" s="4" t="n">
        <v>17600</v>
      </c>
    </row>
    <row r="7681">
      <c r="D7681" s="2" t="inlineStr">
        <is>
          <t>SUBTOTAL UPAH</t>
        </is>
      </c>
      <c r="F7681" s="16" t="n">
        <v>24640</v>
      </c>
    </row>
    <row r="7682">
      <c r="D7682" s="2" t="inlineStr">
        <is>
          <t>SUBTOTAL BAHAN</t>
        </is>
      </c>
      <c r="F7682" s="16" t="n">
        <v>47300</v>
      </c>
    </row>
    <row r="7683">
      <c r="D7683" s="2" t="inlineStr">
        <is>
          <t>SUBTOTAL ALAT</t>
        </is>
      </c>
      <c r="F7683" s="16" t="n">
        <v>0</v>
      </c>
    </row>
    <row r="7684">
      <c r="E7684" s="2" t="inlineStr">
        <is>
          <t>TOTAL HARGA SATUAN (Inc. Overhead)</t>
        </is>
      </c>
      <c r="F7684" s="17" t="n">
        <v>79134</v>
      </c>
    </row>
    <row r="7686">
      <c r="A7686" s="14" t="inlineStr">
        <is>
          <t>KODE: 5.3.1.22 - Pemasangan 1 Unit Fitting + 7 Watt LED c/w Nicad Battery</t>
        </is>
      </c>
    </row>
    <row r="7687">
      <c r="A7687" s="10" t="inlineStr">
        <is>
          <t>No</t>
        </is>
      </c>
      <c r="B7687" s="10" t="inlineStr">
        <is>
          <t>Uraian Komponen</t>
        </is>
      </c>
      <c r="C7687" s="10" t="inlineStr">
        <is>
          <t>Satuan</t>
        </is>
      </c>
      <c r="D7687" s="10" t="inlineStr">
        <is>
          <t>Koef</t>
        </is>
      </c>
      <c r="E7687" s="10" t="inlineStr">
        <is>
          <t>Harga Satuan (Rp)</t>
        </is>
      </c>
      <c r="F7687" s="10" t="inlineStr">
        <is>
          <t>Jumlah Harga (Rp)</t>
        </is>
      </c>
    </row>
    <row r="7688">
      <c r="A7688" s="3" t="inlineStr">
        <is>
          <t>1</t>
        </is>
      </c>
      <c r="B7688" s="3" t="inlineStr">
        <is>
          <t>Pekerja</t>
        </is>
      </c>
      <c r="C7688" s="3" t="inlineStr">
        <is>
          <t>OH</t>
        </is>
      </c>
      <c r="D7688" s="15" t="n">
        <v>0.064</v>
      </c>
      <c r="E7688" s="4" t="n">
        <v>100000</v>
      </c>
      <c r="F7688" s="4" t="n">
        <v>6400</v>
      </c>
    </row>
    <row r="7689">
      <c r="A7689" s="3" t="inlineStr">
        <is>
          <t>2</t>
        </is>
      </c>
      <c r="B7689" s="3" t="inlineStr">
        <is>
          <t>Tukang Listrik</t>
        </is>
      </c>
      <c r="C7689" s="3" t="inlineStr">
        <is>
          <t>OH</t>
        </is>
      </c>
      <c r="D7689" s="15" t="n">
        <v>0.107</v>
      </c>
      <c r="E7689" s="4" t="n">
        <v>145000</v>
      </c>
      <c r="F7689" s="4" t="n">
        <v>15515</v>
      </c>
    </row>
    <row r="7690">
      <c r="A7690" s="3" t="inlineStr">
        <is>
          <t>3</t>
        </is>
      </c>
      <c r="B7690" s="3" t="inlineStr">
        <is>
          <t>Kepala tukang</t>
        </is>
      </c>
      <c r="C7690" s="3" t="inlineStr">
        <is>
          <t>OH</t>
        </is>
      </c>
      <c r="D7690" s="15" t="n">
        <v>0.011</v>
      </c>
      <c r="E7690" s="4" t="n">
        <v>175000</v>
      </c>
      <c r="F7690" s="4" t="n">
        <v>1925</v>
      </c>
    </row>
    <row r="7691">
      <c r="A7691" s="3" t="inlineStr">
        <is>
          <t>4</t>
        </is>
      </c>
      <c r="B7691" s="3" t="inlineStr">
        <is>
          <t>Mandor</t>
        </is>
      </c>
      <c r="C7691" s="3" t="inlineStr">
        <is>
          <t>OH</t>
        </is>
      </c>
      <c r="D7691" s="15" t="n">
        <v>0.004</v>
      </c>
      <c r="E7691" s="4" t="n">
        <v>200000</v>
      </c>
      <c r="F7691" s="4" t="n">
        <v>800</v>
      </c>
    </row>
    <row r="7692">
      <c r="A7692" s="3" t="inlineStr">
        <is>
          <t>1</t>
        </is>
      </c>
      <c r="B7692" s="3" t="inlineStr">
        <is>
          <t>Lampu LED 7 Watt</t>
        </is>
      </c>
      <c r="C7692" s="3" t="inlineStr">
        <is>
          <t>buah</t>
        </is>
      </c>
      <c r="D7692" s="15" t="n">
        <v>1.1</v>
      </c>
      <c r="E7692" s="4" t="n">
        <v>27000</v>
      </c>
      <c r="F7692" s="4" t="n">
        <v>29700</v>
      </c>
    </row>
    <row r="7693">
      <c r="A7693" s="3" t="inlineStr">
        <is>
          <t>2</t>
        </is>
      </c>
      <c r="B7693" s="3" t="inlineStr">
        <is>
          <t>Fitting</t>
        </is>
      </c>
      <c r="C7693" s="3" t="inlineStr">
        <is>
          <t>buah</t>
        </is>
      </c>
      <c r="D7693" s="15" t="n">
        <v>1.1</v>
      </c>
      <c r="E7693" s="4" t="n">
        <v>16000</v>
      </c>
      <c r="F7693" s="4" t="n">
        <v>17600</v>
      </c>
    </row>
    <row r="7694">
      <c r="A7694" s="3" t="inlineStr">
        <is>
          <t>3</t>
        </is>
      </c>
      <c r="B7694" s="3" t="inlineStr">
        <is>
          <t>Nicad Battery</t>
        </is>
      </c>
      <c r="C7694" s="3" t="inlineStr">
        <is>
          <t>buah</t>
        </is>
      </c>
      <c r="D7694" s="15" t="n">
        <v>1.1</v>
      </c>
      <c r="E7694" s="4" t="n">
        <v>110000</v>
      </c>
      <c r="F7694" s="4" t="n">
        <v>121000</v>
      </c>
    </row>
    <row r="7695">
      <c r="D7695" s="2" t="inlineStr">
        <is>
          <t>SUBTOTAL UPAH</t>
        </is>
      </c>
      <c r="F7695" s="16" t="n">
        <v>24640</v>
      </c>
    </row>
    <row r="7696">
      <c r="D7696" s="2" t="inlineStr">
        <is>
          <t>SUBTOTAL BAHAN</t>
        </is>
      </c>
      <c r="F7696" s="16" t="n">
        <v>168300</v>
      </c>
    </row>
    <row r="7697">
      <c r="D7697" s="2" t="inlineStr">
        <is>
          <t>SUBTOTAL ALAT</t>
        </is>
      </c>
      <c r="F7697" s="16" t="n">
        <v>0</v>
      </c>
    </row>
    <row r="7698">
      <c r="E7698" s="2" t="inlineStr">
        <is>
          <t>TOTAL HARGA SATUAN (Inc. Overhead)</t>
        </is>
      </c>
      <c r="F7698" s="17" t="n">
        <v>212234</v>
      </c>
    </row>
    <row r="7700">
      <c r="A7700" s="14" t="inlineStr">
        <is>
          <t>KODE: 5.3.1.23 - Pemasangan 1 Unit Fitting +  9 Watt LED</t>
        </is>
      </c>
    </row>
    <row r="7701">
      <c r="A7701" s="10" t="inlineStr">
        <is>
          <t>No</t>
        </is>
      </c>
      <c r="B7701" s="10" t="inlineStr">
        <is>
          <t>Uraian Komponen</t>
        </is>
      </c>
      <c r="C7701" s="10" t="inlineStr">
        <is>
          <t>Satuan</t>
        </is>
      </c>
      <c r="D7701" s="10" t="inlineStr">
        <is>
          <t>Koef</t>
        </is>
      </c>
      <c r="E7701" s="10" t="inlineStr">
        <is>
          <t>Harga Satuan (Rp)</t>
        </is>
      </c>
      <c r="F7701" s="10" t="inlineStr">
        <is>
          <t>Jumlah Harga (Rp)</t>
        </is>
      </c>
    </row>
    <row r="7702">
      <c r="A7702" s="3" t="inlineStr">
        <is>
          <t>1</t>
        </is>
      </c>
      <c r="B7702" s="3" t="inlineStr">
        <is>
          <t>Pekerja</t>
        </is>
      </c>
      <c r="C7702" s="3" t="inlineStr">
        <is>
          <t>OH</t>
        </is>
      </c>
      <c r="D7702" s="15" t="n">
        <v>0.064</v>
      </c>
      <c r="E7702" s="4" t="n">
        <v>100000</v>
      </c>
      <c r="F7702" s="4" t="n">
        <v>6400</v>
      </c>
    </row>
    <row r="7703">
      <c r="A7703" s="3" t="inlineStr">
        <is>
          <t>2</t>
        </is>
      </c>
      <c r="B7703" s="3" t="inlineStr">
        <is>
          <t>Tukang Listrik</t>
        </is>
      </c>
      <c r="C7703" s="3" t="inlineStr">
        <is>
          <t>OH</t>
        </is>
      </c>
      <c r="D7703" s="15" t="n">
        <v>0.107</v>
      </c>
      <c r="E7703" s="4" t="n">
        <v>145000</v>
      </c>
      <c r="F7703" s="4" t="n">
        <v>15515</v>
      </c>
    </row>
    <row r="7704">
      <c r="A7704" s="3" t="inlineStr">
        <is>
          <t>3</t>
        </is>
      </c>
      <c r="B7704" s="3" t="inlineStr">
        <is>
          <t>Kepala tukang</t>
        </is>
      </c>
      <c r="C7704" s="3" t="inlineStr">
        <is>
          <t>OH</t>
        </is>
      </c>
      <c r="D7704" s="15" t="n">
        <v>0.011</v>
      </c>
      <c r="E7704" s="4" t="n">
        <v>175000</v>
      </c>
      <c r="F7704" s="4" t="n">
        <v>1925</v>
      </c>
    </row>
    <row r="7705">
      <c r="A7705" s="3" t="inlineStr">
        <is>
          <t>4</t>
        </is>
      </c>
      <c r="B7705" s="3" t="inlineStr">
        <is>
          <t>Mandor</t>
        </is>
      </c>
      <c r="C7705" s="3" t="inlineStr">
        <is>
          <t>OH</t>
        </is>
      </c>
      <c r="D7705" s="15" t="n">
        <v>0.004</v>
      </c>
      <c r="E7705" s="4" t="n">
        <v>200000</v>
      </c>
      <c r="F7705" s="4" t="n">
        <v>800</v>
      </c>
    </row>
    <row r="7706">
      <c r="A7706" s="3" t="inlineStr">
        <is>
          <t>1</t>
        </is>
      </c>
      <c r="B7706" s="3" t="inlineStr">
        <is>
          <t>Lampu LED 9 Watt</t>
        </is>
      </c>
      <c r="C7706" s="3" t="inlineStr">
        <is>
          <t>buah</t>
        </is>
      </c>
      <c r="D7706" s="15" t="n">
        <v>1.1</v>
      </c>
      <c r="E7706" s="4" t="n">
        <v>34000</v>
      </c>
      <c r="F7706" s="4" t="n">
        <v>37400</v>
      </c>
    </row>
    <row r="7707">
      <c r="A7707" s="3" t="inlineStr">
        <is>
          <t>2</t>
        </is>
      </c>
      <c r="B7707" s="3" t="inlineStr">
        <is>
          <t>Fitting</t>
        </is>
      </c>
      <c r="C7707" s="3" t="inlineStr">
        <is>
          <t>buah</t>
        </is>
      </c>
      <c r="D7707" s="15" t="n">
        <v>1.1</v>
      </c>
      <c r="E7707" s="4" t="n">
        <v>16000</v>
      </c>
      <c r="F7707" s="4" t="n">
        <v>17600</v>
      </c>
    </row>
    <row r="7708">
      <c r="D7708" s="2" t="inlineStr">
        <is>
          <t>SUBTOTAL UPAH</t>
        </is>
      </c>
      <c r="F7708" s="16" t="n">
        <v>24640</v>
      </c>
    </row>
    <row r="7709">
      <c r="D7709" s="2" t="inlineStr">
        <is>
          <t>SUBTOTAL BAHAN</t>
        </is>
      </c>
      <c r="F7709" s="16" t="n">
        <v>55000</v>
      </c>
    </row>
    <row r="7710">
      <c r="D7710" s="2" t="inlineStr">
        <is>
          <t>SUBTOTAL ALAT</t>
        </is>
      </c>
      <c r="F7710" s="16" t="n">
        <v>0</v>
      </c>
    </row>
    <row r="7711">
      <c r="E7711" s="2" t="inlineStr">
        <is>
          <t>TOTAL HARGA SATUAN (Inc. Overhead)</t>
        </is>
      </c>
      <c r="F7711" s="17" t="n">
        <v>87604</v>
      </c>
    </row>
    <row r="7713">
      <c r="A7713" s="14" t="inlineStr">
        <is>
          <t>KODE: 5.3.1.24 - Pemasangan 1 Unit Fitting +  9 Watt LED c/w Nicad Battery</t>
        </is>
      </c>
    </row>
    <row r="7714">
      <c r="A7714" s="10" t="inlineStr">
        <is>
          <t>No</t>
        </is>
      </c>
      <c r="B7714" s="10" t="inlineStr">
        <is>
          <t>Uraian Komponen</t>
        </is>
      </c>
      <c r="C7714" s="10" t="inlineStr">
        <is>
          <t>Satuan</t>
        </is>
      </c>
      <c r="D7714" s="10" t="inlineStr">
        <is>
          <t>Koef</t>
        </is>
      </c>
      <c r="E7714" s="10" t="inlineStr">
        <is>
          <t>Harga Satuan (Rp)</t>
        </is>
      </c>
      <c r="F7714" s="10" t="inlineStr">
        <is>
          <t>Jumlah Harga (Rp)</t>
        </is>
      </c>
    </row>
    <row r="7715">
      <c r="A7715" s="3" t="inlineStr">
        <is>
          <t>1</t>
        </is>
      </c>
      <c r="B7715" s="3" t="inlineStr">
        <is>
          <t>Pekerja</t>
        </is>
      </c>
      <c r="C7715" s="3" t="inlineStr">
        <is>
          <t>OH</t>
        </is>
      </c>
      <c r="D7715" s="15" t="n">
        <v>0.064</v>
      </c>
      <c r="E7715" s="4" t="n">
        <v>100000</v>
      </c>
      <c r="F7715" s="4" t="n">
        <v>6400</v>
      </c>
    </row>
    <row r="7716">
      <c r="A7716" s="3" t="inlineStr">
        <is>
          <t>2</t>
        </is>
      </c>
      <c r="B7716" s="3" t="inlineStr">
        <is>
          <t>Tukang Listrik</t>
        </is>
      </c>
      <c r="C7716" s="3" t="inlineStr">
        <is>
          <t>OH</t>
        </is>
      </c>
      <c r="D7716" s="15" t="n">
        <v>0.107</v>
      </c>
      <c r="E7716" s="4" t="n">
        <v>145000</v>
      </c>
      <c r="F7716" s="4" t="n">
        <v>15515</v>
      </c>
    </row>
    <row r="7717">
      <c r="A7717" s="3" t="inlineStr">
        <is>
          <t>3</t>
        </is>
      </c>
      <c r="B7717" s="3" t="inlineStr">
        <is>
          <t>Kepala tukang</t>
        </is>
      </c>
      <c r="C7717" s="3" t="inlineStr">
        <is>
          <t>OH</t>
        </is>
      </c>
      <c r="D7717" s="15" t="n">
        <v>0.011</v>
      </c>
      <c r="E7717" s="4" t="n">
        <v>175000</v>
      </c>
      <c r="F7717" s="4" t="n">
        <v>1925</v>
      </c>
    </row>
    <row r="7718">
      <c r="A7718" s="3" t="inlineStr">
        <is>
          <t>4</t>
        </is>
      </c>
      <c r="B7718" s="3" t="inlineStr">
        <is>
          <t>Mandor</t>
        </is>
      </c>
      <c r="C7718" s="3" t="inlineStr">
        <is>
          <t>OH</t>
        </is>
      </c>
      <c r="D7718" s="15" t="n">
        <v>0.004</v>
      </c>
      <c r="E7718" s="4" t="n">
        <v>200000</v>
      </c>
      <c r="F7718" s="4" t="n">
        <v>800</v>
      </c>
    </row>
    <row r="7719">
      <c r="A7719" s="3" t="inlineStr">
        <is>
          <t>1</t>
        </is>
      </c>
      <c r="B7719" s="3" t="inlineStr">
        <is>
          <t>Lampu LED 9 Watt</t>
        </is>
      </c>
      <c r="C7719" s="3" t="inlineStr">
        <is>
          <t>buah</t>
        </is>
      </c>
      <c r="D7719" s="15" t="n">
        <v>1.1</v>
      </c>
      <c r="E7719" s="4" t="n">
        <v>34000</v>
      </c>
      <c r="F7719" s="4" t="n">
        <v>37400</v>
      </c>
    </row>
    <row r="7720">
      <c r="A7720" s="3" t="inlineStr">
        <is>
          <t>2</t>
        </is>
      </c>
      <c r="B7720" s="3" t="inlineStr">
        <is>
          <t>Fitting</t>
        </is>
      </c>
      <c r="C7720" s="3" t="inlineStr">
        <is>
          <t>buah</t>
        </is>
      </c>
      <c r="D7720" s="15" t="n">
        <v>1.1</v>
      </c>
      <c r="E7720" s="4" t="n">
        <v>16000</v>
      </c>
      <c r="F7720" s="4" t="n">
        <v>17600</v>
      </c>
    </row>
    <row r="7721">
      <c r="A7721" s="3" t="inlineStr">
        <is>
          <t>3</t>
        </is>
      </c>
      <c r="B7721" s="3" t="inlineStr">
        <is>
          <t>Nicad Battery</t>
        </is>
      </c>
      <c r="C7721" s="3" t="inlineStr">
        <is>
          <t>buah</t>
        </is>
      </c>
      <c r="D7721" s="15" t="n">
        <v>1.1</v>
      </c>
      <c r="E7721" s="4" t="n">
        <v>110000</v>
      </c>
      <c r="F7721" s="4" t="n">
        <v>121000</v>
      </c>
    </row>
    <row r="7722">
      <c r="D7722" s="2" t="inlineStr">
        <is>
          <t>SUBTOTAL UPAH</t>
        </is>
      </c>
      <c r="F7722" s="16" t="n">
        <v>24640</v>
      </c>
    </row>
    <row r="7723">
      <c r="D7723" s="2" t="inlineStr">
        <is>
          <t>SUBTOTAL BAHAN</t>
        </is>
      </c>
      <c r="F7723" s="16" t="n">
        <v>176000</v>
      </c>
    </row>
    <row r="7724">
      <c r="D7724" s="2" t="inlineStr">
        <is>
          <t>SUBTOTAL ALAT</t>
        </is>
      </c>
      <c r="F7724" s="16" t="n">
        <v>0</v>
      </c>
    </row>
    <row r="7725">
      <c r="E7725" s="2" t="inlineStr">
        <is>
          <t>TOTAL HARGA SATUAN (Inc. Overhead)</t>
        </is>
      </c>
      <c r="F7725" s="17" t="n">
        <v>220704</v>
      </c>
    </row>
    <row r="7727">
      <c r="A7727" s="14" t="inlineStr">
        <is>
          <t>KODE: 5.3.1.25 - Pemasangan 1 Unit Fitting +  20 Watt Baret c/w Nicad Battery</t>
        </is>
      </c>
    </row>
    <row r="7728">
      <c r="A7728" s="10" t="inlineStr">
        <is>
          <t>No</t>
        </is>
      </c>
      <c r="B7728" s="10" t="inlineStr">
        <is>
          <t>Uraian Komponen</t>
        </is>
      </c>
      <c r="C7728" s="10" t="inlineStr">
        <is>
          <t>Satuan</t>
        </is>
      </c>
      <c r="D7728" s="10" t="inlineStr">
        <is>
          <t>Koef</t>
        </is>
      </c>
      <c r="E7728" s="10" t="inlineStr">
        <is>
          <t>Harga Satuan (Rp)</t>
        </is>
      </c>
      <c r="F7728" s="10" t="inlineStr">
        <is>
          <t>Jumlah Harga (Rp)</t>
        </is>
      </c>
    </row>
    <row r="7729">
      <c r="A7729" s="3" t="inlineStr">
        <is>
          <t>1</t>
        </is>
      </c>
      <c r="B7729" s="3" t="inlineStr">
        <is>
          <t>Pekerja</t>
        </is>
      </c>
      <c r="C7729" s="3" t="inlineStr">
        <is>
          <t>OH</t>
        </is>
      </c>
      <c r="D7729" s="15" t="n">
        <v>0.064</v>
      </c>
      <c r="E7729" s="4" t="n">
        <v>100000</v>
      </c>
      <c r="F7729" s="4" t="n">
        <v>6400</v>
      </c>
    </row>
    <row r="7730">
      <c r="A7730" s="3" t="inlineStr">
        <is>
          <t>2</t>
        </is>
      </c>
      <c r="B7730" s="3" t="inlineStr">
        <is>
          <t>Tukang Listrik</t>
        </is>
      </c>
      <c r="C7730" s="3" t="inlineStr">
        <is>
          <t>OH</t>
        </is>
      </c>
      <c r="D7730" s="15" t="n">
        <v>0.107</v>
      </c>
      <c r="E7730" s="4" t="n">
        <v>145000</v>
      </c>
      <c r="F7730" s="4" t="n">
        <v>15515</v>
      </c>
    </row>
    <row r="7731">
      <c r="A7731" s="3" t="inlineStr">
        <is>
          <t>3</t>
        </is>
      </c>
      <c r="B7731" s="3" t="inlineStr">
        <is>
          <t>Kepala tukang</t>
        </is>
      </c>
      <c r="C7731" s="3" t="inlineStr">
        <is>
          <t>OH</t>
        </is>
      </c>
      <c r="D7731" s="15" t="n">
        <v>0.011</v>
      </c>
      <c r="E7731" s="4" t="n">
        <v>175000</v>
      </c>
      <c r="F7731" s="4" t="n">
        <v>1925</v>
      </c>
    </row>
    <row r="7732">
      <c r="A7732" s="3" t="inlineStr">
        <is>
          <t>4</t>
        </is>
      </c>
      <c r="B7732" s="3" t="inlineStr">
        <is>
          <t>Mandor</t>
        </is>
      </c>
      <c r="C7732" s="3" t="inlineStr">
        <is>
          <t>OH</t>
        </is>
      </c>
      <c r="D7732" s="15" t="n">
        <v>0.004</v>
      </c>
      <c r="E7732" s="4" t="n">
        <v>200000</v>
      </c>
      <c r="F7732" s="4" t="n">
        <v>800</v>
      </c>
    </row>
    <row r="7733">
      <c r="A7733" s="3" t="inlineStr">
        <is>
          <t>1</t>
        </is>
      </c>
      <c r="B7733" s="3" t="inlineStr">
        <is>
          <t>Lampu Baret 20 Watt</t>
        </is>
      </c>
      <c r="C7733" s="3" t="inlineStr">
        <is>
          <t>buah</t>
        </is>
      </c>
      <c r="D7733" s="15" t="n">
        <v>1.1</v>
      </c>
      <c r="E7733" s="4" t="n">
        <v>77000</v>
      </c>
      <c r="F7733" s="4" t="n">
        <v>84700</v>
      </c>
    </row>
    <row r="7734">
      <c r="A7734" s="3" t="inlineStr">
        <is>
          <t>2</t>
        </is>
      </c>
      <c r="B7734" s="3" t="inlineStr">
        <is>
          <t>Fitting</t>
        </is>
      </c>
      <c r="C7734" s="3" t="inlineStr">
        <is>
          <t>buah</t>
        </is>
      </c>
      <c r="D7734" s="15" t="n">
        <v>1.1</v>
      </c>
      <c r="E7734" s="4" t="n">
        <v>16000</v>
      </c>
      <c r="F7734" s="4" t="n">
        <v>17600</v>
      </c>
    </row>
    <row r="7735">
      <c r="A7735" s="3" t="inlineStr">
        <is>
          <t>3</t>
        </is>
      </c>
      <c r="B7735" s="3" t="inlineStr">
        <is>
          <t>Nicad Battery</t>
        </is>
      </c>
      <c r="C7735" s="3" t="inlineStr">
        <is>
          <t>buah</t>
        </is>
      </c>
      <c r="D7735" s="15" t="n">
        <v>1.1</v>
      </c>
      <c r="E7735" s="4" t="n">
        <v>110000</v>
      </c>
      <c r="F7735" s="4" t="n">
        <v>121000</v>
      </c>
    </row>
    <row r="7736">
      <c r="D7736" s="2" t="inlineStr">
        <is>
          <t>SUBTOTAL UPAH</t>
        </is>
      </c>
      <c r="F7736" s="16" t="n">
        <v>24640</v>
      </c>
    </row>
    <row r="7737">
      <c r="D7737" s="2" t="inlineStr">
        <is>
          <t>SUBTOTAL BAHAN</t>
        </is>
      </c>
      <c r="F7737" s="16" t="n">
        <v>223300</v>
      </c>
    </row>
    <row r="7738">
      <c r="D7738" s="2" t="inlineStr">
        <is>
          <t>SUBTOTAL ALAT</t>
        </is>
      </c>
      <c r="F7738" s="16" t="n">
        <v>0</v>
      </c>
    </row>
    <row r="7739">
      <c r="E7739" s="2" t="inlineStr">
        <is>
          <t>TOTAL HARGA SATUAN (Inc. Overhead)</t>
        </is>
      </c>
      <c r="F7739" s="17" t="n">
        <v>272734</v>
      </c>
    </row>
    <row r="7741">
      <c r="A7741" s="14" t="inlineStr">
        <is>
          <t>KODE: 5.3.1.26 - Pemasangan 1 Unit Fitting +  32 Watt Baret c/w Nicad Battery</t>
        </is>
      </c>
    </row>
    <row r="7742">
      <c r="A7742" s="10" t="inlineStr">
        <is>
          <t>No</t>
        </is>
      </c>
      <c r="B7742" s="10" t="inlineStr">
        <is>
          <t>Uraian Komponen</t>
        </is>
      </c>
      <c r="C7742" s="10" t="inlineStr">
        <is>
          <t>Satuan</t>
        </is>
      </c>
      <c r="D7742" s="10" t="inlineStr">
        <is>
          <t>Koef</t>
        </is>
      </c>
      <c r="E7742" s="10" t="inlineStr">
        <is>
          <t>Harga Satuan (Rp)</t>
        </is>
      </c>
      <c r="F7742" s="10" t="inlineStr">
        <is>
          <t>Jumlah Harga (Rp)</t>
        </is>
      </c>
    </row>
    <row r="7743">
      <c r="A7743" s="3" t="inlineStr">
        <is>
          <t>1</t>
        </is>
      </c>
      <c r="B7743" s="3" t="inlineStr">
        <is>
          <t>Pekerja</t>
        </is>
      </c>
      <c r="C7743" s="3" t="inlineStr">
        <is>
          <t>OH</t>
        </is>
      </c>
      <c r="D7743" s="15" t="n">
        <v>0.064</v>
      </c>
      <c r="E7743" s="4" t="n">
        <v>100000</v>
      </c>
      <c r="F7743" s="4" t="n">
        <v>6400</v>
      </c>
    </row>
    <row r="7744">
      <c r="A7744" s="3" t="inlineStr">
        <is>
          <t>2</t>
        </is>
      </c>
      <c r="B7744" s="3" t="inlineStr">
        <is>
          <t>Tukang Listrik</t>
        </is>
      </c>
      <c r="C7744" s="3" t="inlineStr">
        <is>
          <t>OH</t>
        </is>
      </c>
      <c r="D7744" s="15" t="n">
        <v>0.107</v>
      </c>
      <c r="E7744" s="4" t="n">
        <v>145000</v>
      </c>
      <c r="F7744" s="4" t="n">
        <v>15515</v>
      </c>
    </row>
    <row r="7745">
      <c r="A7745" s="3" t="inlineStr">
        <is>
          <t>3</t>
        </is>
      </c>
      <c r="B7745" s="3" t="inlineStr">
        <is>
          <t>Kepala tukang</t>
        </is>
      </c>
      <c r="C7745" s="3" t="inlineStr">
        <is>
          <t>OH</t>
        </is>
      </c>
      <c r="D7745" s="15" t="n">
        <v>0.011</v>
      </c>
      <c r="E7745" s="4" t="n">
        <v>175000</v>
      </c>
      <c r="F7745" s="4" t="n">
        <v>1925</v>
      </c>
    </row>
    <row r="7746">
      <c r="A7746" s="3" t="inlineStr">
        <is>
          <t>4</t>
        </is>
      </c>
      <c r="B7746" s="3" t="inlineStr">
        <is>
          <t>Mandor</t>
        </is>
      </c>
      <c r="C7746" s="3" t="inlineStr">
        <is>
          <t>OH</t>
        </is>
      </c>
      <c r="D7746" s="15" t="n">
        <v>0.004</v>
      </c>
      <c r="E7746" s="4" t="n">
        <v>200000</v>
      </c>
      <c r="F7746" s="4" t="n">
        <v>800</v>
      </c>
    </row>
    <row r="7747">
      <c r="A7747" s="3" t="inlineStr">
        <is>
          <t>1</t>
        </is>
      </c>
      <c r="B7747" s="3" t="inlineStr">
        <is>
          <t>Lampu Baret 32 Watt</t>
        </is>
      </c>
      <c r="C7747" s="3" t="inlineStr">
        <is>
          <t>buah</t>
        </is>
      </c>
      <c r="D7747" s="15" t="n">
        <v>1.1</v>
      </c>
      <c r="E7747" s="4" t="n">
        <v>97000</v>
      </c>
      <c r="F7747" s="4" t="n">
        <v>106700</v>
      </c>
    </row>
    <row r="7748">
      <c r="A7748" s="3" t="inlineStr">
        <is>
          <t>2</t>
        </is>
      </c>
      <c r="B7748" s="3" t="inlineStr">
        <is>
          <t>Fitting</t>
        </is>
      </c>
      <c r="C7748" s="3" t="inlineStr">
        <is>
          <t>buah</t>
        </is>
      </c>
      <c r="D7748" s="15" t="n">
        <v>1.1</v>
      </c>
      <c r="E7748" s="4" t="n">
        <v>16000</v>
      </c>
      <c r="F7748" s="4" t="n">
        <v>17600</v>
      </c>
    </row>
    <row r="7749">
      <c r="A7749" s="3" t="inlineStr">
        <is>
          <t>3</t>
        </is>
      </c>
      <c r="B7749" s="3" t="inlineStr">
        <is>
          <t>Nicad Battery</t>
        </is>
      </c>
      <c r="C7749" s="3" t="inlineStr">
        <is>
          <t>buah</t>
        </is>
      </c>
      <c r="D7749" s="15" t="n">
        <v>1.1</v>
      </c>
      <c r="E7749" s="4" t="n">
        <v>110000</v>
      </c>
      <c r="F7749" s="4" t="n">
        <v>121000</v>
      </c>
    </row>
    <row r="7750">
      <c r="D7750" s="2" t="inlineStr">
        <is>
          <t>SUBTOTAL UPAH</t>
        </is>
      </c>
      <c r="F7750" s="16" t="n">
        <v>24640</v>
      </c>
    </row>
    <row r="7751">
      <c r="D7751" s="2" t="inlineStr">
        <is>
          <t>SUBTOTAL BAHAN</t>
        </is>
      </c>
      <c r="F7751" s="16" t="n">
        <v>245300</v>
      </c>
    </row>
    <row r="7752">
      <c r="D7752" s="2" t="inlineStr">
        <is>
          <t>SUBTOTAL ALAT</t>
        </is>
      </c>
      <c r="F7752" s="16" t="n">
        <v>0</v>
      </c>
    </row>
    <row r="7753">
      <c r="E7753" s="2" t="inlineStr">
        <is>
          <t>TOTAL HARGA SATUAN (Inc. Overhead)</t>
        </is>
      </c>
      <c r="F7753" s="17" t="n">
        <v>296934</v>
      </c>
    </row>
    <row r="7755">
      <c r="A7755" s="14" t="inlineStr">
        <is>
          <t>KODE: 5.3.1.27 - Pemasangan 1 Unit Fitting +  40 Watt Lampu Pijar</t>
        </is>
      </c>
    </row>
    <row r="7756">
      <c r="A7756" s="10" t="inlineStr">
        <is>
          <t>No</t>
        </is>
      </c>
      <c r="B7756" s="10" t="inlineStr">
        <is>
          <t>Uraian Komponen</t>
        </is>
      </c>
      <c r="C7756" s="10" t="inlineStr">
        <is>
          <t>Satuan</t>
        </is>
      </c>
      <c r="D7756" s="10" t="inlineStr">
        <is>
          <t>Koef</t>
        </is>
      </c>
      <c r="E7756" s="10" t="inlineStr">
        <is>
          <t>Harga Satuan (Rp)</t>
        </is>
      </c>
      <c r="F7756" s="10" t="inlineStr">
        <is>
          <t>Jumlah Harga (Rp)</t>
        </is>
      </c>
    </row>
    <row r="7757">
      <c r="A7757" s="3" t="inlineStr">
        <is>
          <t>1</t>
        </is>
      </c>
      <c r="B7757" s="3" t="inlineStr">
        <is>
          <t>Pekerja</t>
        </is>
      </c>
      <c r="C7757" s="3" t="inlineStr">
        <is>
          <t>OH</t>
        </is>
      </c>
      <c r="D7757" s="15" t="n">
        <v>0.064</v>
      </c>
      <c r="E7757" s="4" t="n">
        <v>100000</v>
      </c>
      <c r="F7757" s="4" t="n">
        <v>6400</v>
      </c>
    </row>
    <row r="7758">
      <c r="A7758" s="3" t="inlineStr">
        <is>
          <t>2</t>
        </is>
      </c>
      <c r="B7758" s="3" t="inlineStr">
        <is>
          <t>Tukang Listrik</t>
        </is>
      </c>
      <c r="C7758" s="3" t="inlineStr">
        <is>
          <t>OH</t>
        </is>
      </c>
      <c r="D7758" s="15" t="n">
        <v>0.107</v>
      </c>
      <c r="E7758" s="4" t="n">
        <v>145000</v>
      </c>
      <c r="F7758" s="4" t="n">
        <v>15515</v>
      </c>
    </row>
    <row r="7759">
      <c r="A7759" s="3" t="inlineStr">
        <is>
          <t>3</t>
        </is>
      </c>
      <c r="B7759" s="3" t="inlineStr">
        <is>
          <t>Kepala tukang</t>
        </is>
      </c>
      <c r="C7759" s="3" t="inlineStr">
        <is>
          <t>OH</t>
        </is>
      </c>
      <c r="D7759" s="15" t="n">
        <v>0.011</v>
      </c>
      <c r="E7759" s="4" t="n">
        <v>175000</v>
      </c>
      <c r="F7759" s="4" t="n">
        <v>1925</v>
      </c>
    </row>
    <row r="7760">
      <c r="A7760" s="3" t="inlineStr">
        <is>
          <t>4</t>
        </is>
      </c>
      <c r="B7760" s="3" t="inlineStr">
        <is>
          <t>Mandor</t>
        </is>
      </c>
      <c r="C7760" s="3" t="inlineStr">
        <is>
          <t>OH</t>
        </is>
      </c>
      <c r="D7760" s="15" t="n">
        <v>0.004</v>
      </c>
      <c r="E7760" s="4" t="n">
        <v>200000</v>
      </c>
      <c r="F7760" s="4" t="n">
        <v>800</v>
      </c>
    </row>
    <row r="7761">
      <c r="A7761" s="3" t="inlineStr">
        <is>
          <t>1</t>
        </is>
      </c>
      <c r="B7761" s="3" t="inlineStr">
        <is>
          <t>Lampu Pijar 40 Watt</t>
        </is>
      </c>
      <c r="C7761" s="3" t="inlineStr">
        <is>
          <t>buah</t>
        </is>
      </c>
      <c r="D7761" s="15" t="n">
        <v>1.1</v>
      </c>
      <c r="E7761" s="4" t="n">
        <v>28000</v>
      </c>
      <c r="F7761" s="4" t="n">
        <v>30800</v>
      </c>
    </row>
    <row r="7762">
      <c r="A7762" s="3" t="inlineStr">
        <is>
          <t>2</t>
        </is>
      </c>
      <c r="B7762" s="3" t="inlineStr">
        <is>
          <t>Fitting</t>
        </is>
      </c>
      <c r="C7762" s="3" t="inlineStr">
        <is>
          <t>buah</t>
        </is>
      </c>
      <c r="D7762" s="15" t="n">
        <v>1.1</v>
      </c>
      <c r="E7762" s="4" t="n">
        <v>16000</v>
      </c>
      <c r="F7762" s="4" t="n">
        <v>17600</v>
      </c>
    </row>
    <row r="7763">
      <c r="D7763" s="2" t="inlineStr">
        <is>
          <t>SUBTOTAL UPAH</t>
        </is>
      </c>
      <c r="F7763" s="16" t="n">
        <v>24640</v>
      </c>
    </row>
    <row r="7764">
      <c r="D7764" s="2" t="inlineStr">
        <is>
          <t>SUBTOTAL BAHAN</t>
        </is>
      </c>
      <c r="F7764" s="16" t="n">
        <v>48400</v>
      </c>
    </row>
    <row r="7765">
      <c r="D7765" s="2" t="inlineStr">
        <is>
          <t>SUBTOTAL ALAT</t>
        </is>
      </c>
      <c r="F7765" s="16" t="n">
        <v>0</v>
      </c>
    </row>
    <row r="7766">
      <c r="E7766" s="2" t="inlineStr">
        <is>
          <t>TOTAL HARGA SATUAN (Inc. Overhead)</t>
        </is>
      </c>
      <c r="F7766" s="17" t="n">
        <v>80344</v>
      </c>
    </row>
    <row r="7768">
      <c r="A7768" s="14" t="inlineStr">
        <is>
          <t>KODE: 5.3.1.28 - Pemasangan 1 Unit Lampu TL 18 Watt ( Balk)</t>
        </is>
      </c>
    </row>
    <row r="7769">
      <c r="A7769" s="10" t="inlineStr">
        <is>
          <t>No</t>
        </is>
      </c>
      <c r="B7769" s="10" t="inlineStr">
        <is>
          <t>Uraian Komponen</t>
        </is>
      </c>
      <c r="C7769" s="10" t="inlineStr">
        <is>
          <t>Satuan</t>
        </is>
      </c>
      <c r="D7769" s="10" t="inlineStr">
        <is>
          <t>Koef</t>
        </is>
      </c>
      <c r="E7769" s="10" t="inlineStr">
        <is>
          <t>Harga Satuan (Rp)</t>
        </is>
      </c>
      <c r="F7769" s="10" t="inlineStr">
        <is>
          <t>Jumlah Harga (Rp)</t>
        </is>
      </c>
    </row>
    <row r="7770">
      <c r="A7770" s="3" t="inlineStr">
        <is>
          <t>1</t>
        </is>
      </c>
      <c r="B7770" s="3" t="inlineStr">
        <is>
          <t>Pekerja</t>
        </is>
      </c>
      <c r="C7770" s="3" t="inlineStr">
        <is>
          <t>OH</t>
        </is>
      </c>
      <c r="D7770" s="15" t="n">
        <v>0.114</v>
      </c>
      <c r="E7770" s="4" t="n">
        <v>100000</v>
      </c>
      <c r="F7770" s="4" t="n">
        <v>11400</v>
      </c>
    </row>
    <row r="7771">
      <c r="A7771" s="3" t="inlineStr">
        <is>
          <t>2</t>
        </is>
      </c>
      <c r="B7771" s="3" t="inlineStr">
        <is>
          <t>Tukang Listrik</t>
        </is>
      </c>
      <c r="C7771" s="3" t="inlineStr">
        <is>
          <t>OH</t>
        </is>
      </c>
      <c r="D7771" s="15" t="n">
        <v>0.191</v>
      </c>
      <c r="E7771" s="4" t="n">
        <v>145000</v>
      </c>
      <c r="F7771" s="4" t="n">
        <v>27695</v>
      </c>
    </row>
    <row r="7772">
      <c r="A7772" s="3" t="inlineStr">
        <is>
          <t>3</t>
        </is>
      </c>
      <c r="B7772" s="3" t="inlineStr">
        <is>
          <t>Kepala tukang</t>
        </is>
      </c>
      <c r="C7772" s="3" t="inlineStr">
        <is>
          <t>OH</t>
        </is>
      </c>
      <c r="D7772" s="15" t="n">
        <v>0.019</v>
      </c>
      <c r="E7772" s="4" t="n">
        <v>175000</v>
      </c>
      <c r="F7772" s="4" t="n">
        <v>3325</v>
      </c>
    </row>
    <row r="7773">
      <c r="A7773" s="3" t="inlineStr">
        <is>
          <t>4</t>
        </is>
      </c>
      <c r="B7773" s="3" t="inlineStr">
        <is>
          <t>Mandor</t>
        </is>
      </c>
      <c r="C7773" s="3" t="inlineStr">
        <is>
          <t>OH</t>
        </is>
      </c>
      <c r="D7773" s="15" t="n">
        <v>0.006</v>
      </c>
      <c r="E7773" s="4" t="n">
        <v>200000</v>
      </c>
      <c r="F7773" s="4" t="n">
        <v>1200</v>
      </c>
    </row>
    <row r="7774">
      <c r="A7774" s="3" t="inlineStr">
        <is>
          <t>1</t>
        </is>
      </c>
      <c r="B7774" s="3" t="inlineStr">
        <is>
          <t>Lampu TL 18 Watt</t>
        </is>
      </c>
      <c r="C7774" s="3" t="inlineStr">
        <is>
          <t>buah</t>
        </is>
      </c>
      <c r="D7774" s="15" t="n">
        <v>1.1</v>
      </c>
      <c r="E7774" s="4" t="n">
        <v>20000</v>
      </c>
      <c r="F7774" s="4" t="n">
        <v>22000</v>
      </c>
    </row>
    <row r="7775">
      <c r="D7775" s="2" t="inlineStr">
        <is>
          <t>SUBTOTAL UPAH</t>
        </is>
      </c>
      <c r="F7775" s="16" t="n">
        <v>43620</v>
      </c>
    </row>
    <row r="7776">
      <c r="D7776" s="2" t="inlineStr">
        <is>
          <t>SUBTOTAL BAHAN</t>
        </is>
      </c>
      <c r="F7776" s="16" t="n">
        <v>22000</v>
      </c>
    </row>
    <row r="7777">
      <c r="D7777" s="2" t="inlineStr">
        <is>
          <t>SUBTOTAL ALAT</t>
        </is>
      </c>
      <c r="F7777" s="16" t="n">
        <v>0</v>
      </c>
    </row>
    <row r="7778">
      <c r="E7778" s="2" t="inlineStr">
        <is>
          <t>TOTAL HARGA SATUAN (Inc. Overhead)</t>
        </is>
      </c>
      <c r="F7778" s="17" t="n">
        <v>72182</v>
      </c>
    </row>
    <row r="7780">
      <c r="A7780" s="14" t="inlineStr">
        <is>
          <t>KODE: 5.3.1.29 - Pemasangan 1 Unit Lampu TLED 18 Watt ( Balk)</t>
        </is>
      </c>
    </row>
    <row r="7781">
      <c r="A7781" s="10" t="inlineStr">
        <is>
          <t>No</t>
        </is>
      </c>
      <c r="B7781" s="10" t="inlineStr">
        <is>
          <t>Uraian Komponen</t>
        </is>
      </c>
      <c r="C7781" s="10" t="inlineStr">
        <is>
          <t>Satuan</t>
        </is>
      </c>
      <c r="D7781" s="10" t="inlineStr">
        <is>
          <t>Koef</t>
        </is>
      </c>
      <c r="E7781" s="10" t="inlineStr">
        <is>
          <t>Harga Satuan (Rp)</t>
        </is>
      </c>
      <c r="F7781" s="10" t="inlineStr">
        <is>
          <t>Jumlah Harga (Rp)</t>
        </is>
      </c>
    </row>
    <row r="7782">
      <c r="A7782" s="3" t="inlineStr">
        <is>
          <t>1</t>
        </is>
      </c>
      <c r="B7782" s="3" t="inlineStr">
        <is>
          <t>Pekerja</t>
        </is>
      </c>
      <c r="C7782" s="3" t="inlineStr">
        <is>
          <t>OH</t>
        </is>
      </c>
      <c r="D7782" s="15" t="n">
        <v>0.114</v>
      </c>
      <c r="E7782" s="4" t="n">
        <v>100000</v>
      </c>
      <c r="F7782" s="4" t="n">
        <v>11400</v>
      </c>
    </row>
    <row r="7783">
      <c r="A7783" s="3" t="inlineStr">
        <is>
          <t>2</t>
        </is>
      </c>
      <c r="B7783" s="3" t="inlineStr">
        <is>
          <t>Tukang Listrik</t>
        </is>
      </c>
      <c r="C7783" s="3" t="inlineStr">
        <is>
          <t>OH</t>
        </is>
      </c>
      <c r="D7783" s="15" t="n">
        <v>0.191</v>
      </c>
      <c r="E7783" s="4" t="n">
        <v>145000</v>
      </c>
      <c r="F7783" s="4" t="n">
        <v>27695</v>
      </c>
    </row>
    <row r="7784">
      <c r="A7784" s="3" t="inlineStr">
        <is>
          <t>3</t>
        </is>
      </c>
      <c r="B7784" s="3" t="inlineStr">
        <is>
          <t>Kepala tukang</t>
        </is>
      </c>
      <c r="C7784" s="3" t="inlineStr">
        <is>
          <t>OH</t>
        </is>
      </c>
      <c r="D7784" s="15" t="n">
        <v>0.019</v>
      </c>
      <c r="E7784" s="4" t="n">
        <v>175000</v>
      </c>
      <c r="F7784" s="4" t="n">
        <v>3325</v>
      </c>
    </row>
    <row r="7785">
      <c r="A7785" s="3" t="inlineStr">
        <is>
          <t>4</t>
        </is>
      </c>
      <c r="B7785" s="3" t="inlineStr">
        <is>
          <t>Mandor</t>
        </is>
      </c>
      <c r="C7785" s="3" t="inlineStr">
        <is>
          <t>OH</t>
        </is>
      </c>
      <c r="D7785" s="15" t="n">
        <v>0.006</v>
      </c>
      <c r="E7785" s="4" t="n">
        <v>200000</v>
      </c>
      <c r="F7785" s="4" t="n">
        <v>1200</v>
      </c>
    </row>
    <row r="7786">
      <c r="A7786" s="3" t="inlineStr">
        <is>
          <t>1</t>
        </is>
      </c>
      <c r="B7786" s="3" t="inlineStr">
        <is>
          <t>Lampu TLED 18 Watt</t>
        </is>
      </c>
      <c r="C7786" s="3" t="inlineStr">
        <is>
          <t>buah</t>
        </is>
      </c>
      <c r="D7786" s="15" t="n">
        <v>1.1</v>
      </c>
      <c r="E7786" s="4" t="n">
        <v>30000</v>
      </c>
      <c r="F7786" s="4" t="n">
        <v>33000</v>
      </c>
    </row>
    <row r="7787">
      <c r="D7787" s="2" t="inlineStr">
        <is>
          <t>SUBTOTAL UPAH</t>
        </is>
      </c>
      <c r="F7787" s="16" t="n">
        <v>43620</v>
      </c>
    </row>
    <row r="7788">
      <c r="D7788" s="2" t="inlineStr">
        <is>
          <t>SUBTOTAL BAHAN</t>
        </is>
      </c>
      <c r="F7788" s="16" t="n">
        <v>33000</v>
      </c>
    </row>
    <row r="7789">
      <c r="D7789" s="2" t="inlineStr">
        <is>
          <t>SUBTOTAL ALAT</t>
        </is>
      </c>
      <c r="F7789" s="16" t="n">
        <v>0</v>
      </c>
    </row>
    <row r="7790">
      <c r="E7790" s="2" t="inlineStr">
        <is>
          <t>TOTAL HARGA SATUAN (Inc. Overhead)</t>
        </is>
      </c>
      <c r="F7790" s="17" t="n">
        <v>84282</v>
      </c>
    </row>
    <row r="7792">
      <c r="A7792" s="14" t="inlineStr">
        <is>
          <t>KODE: 5.3.1.30 - Pemasangan 1 Unit Lampu TL  36 Watt ( Balk)</t>
        </is>
      </c>
    </row>
    <row r="7793">
      <c r="A7793" s="10" t="inlineStr">
        <is>
          <t>No</t>
        </is>
      </c>
      <c r="B7793" s="10" t="inlineStr">
        <is>
          <t>Uraian Komponen</t>
        </is>
      </c>
      <c r="C7793" s="10" t="inlineStr">
        <is>
          <t>Satuan</t>
        </is>
      </c>
      <c r="D7793" s="10" t="inlineStr">
        <is>
          <t>Koef</t>
        </is>
      </c>
      <c r="E7793" s="10" t="inlineStr">
        <is>
          <t>Harga Satuan (Rp)</t>
        </is>
      </c>
      <c r="F7793" s="10" t="inlineStr">
        <is>
          <t>Jumlah Harga (Rp)</t>
        </is>
      </c>
    </row>
    <row r="7794">
      <c r="A7794" s="3" t="inlineStr">
        <is>
          <t>1</t>
        </is>
      </c>
      <c r="B7794" s="3" t="inlineStr">
        <is>
          <t>Pekerja</t>
        </is>
      </c>
      <c r="C7794" s="3" t="inlineStr">
        <is>
          <t>OH</t>
        </is>
      </c>
      <c r="D7794" s="15" t="n">
        <v>0.114</v>
      </c>
      <c r="E7794" s="4" t="n">
        <v>100000</v>
      </c>
      <c r="F7794" s="4" t="n">
        <v>11400</v>
      </c>
    </row>
    <row r="7795">
      <c r="A7795" s="3" t="inlineStr">
        <is>
          <t>2</t>
        </is>
      </c>
      <c r="B7795" s="3" t="inlineStr">
        <is>
          <t>Tukang Listrik</t>
        </is>
      </c>
      <c r="C7795" s="3" t="inlineStr">
        <is>
          <t>OH</t>
        </is>
      </c>
      <c r="D7795" s="15" t="n">
        <v>0.191</v>
      </c>
      <c r="E7795" s="4" t="n">
        <v>145000</v>
      </c>
      <c r="F7795" s="4" t="n">
        <v>27695</v>
      </c>
    </row>
    <row r="7796">
      <c r="A7796" s="3" t="inlineStr">
        <is>
          <t>3</t>
        </is>
      </c>
      <c r="B7796" s="3" t="inlineStr">
        <is>
          <t>Kepala tukang</t>
        </is>
      </c>
      <c r="C7796" s="3" t="inlineStr">
        <is>
          <t>OH</t>
        </is>
      </c>
      <c r="D7796" s="15" t="n">
        <v>0.019</v>
      </c>
      <c r="E7796" s="4" t="n">
        <v>175000</v>
      </c>
      <c r="F7796" s="4" t="n">
        <v>3325</v>
      </c>
    </row>
    <row r="7797">
      <c r="A7797" s="3" t="inlineStr">
        <is>
          <t>4</t>
        </is>
      </c>
      <c r="B7797" s="3" t="inlineStr">
        <is>
          <t>Mandor</t>
        </is>
      </c>
      <c r="C7797" s="3" t="inlineStr">
        <is>
          <t>OH</t>
        </is>
      </c>
      <c r="D7797" s="15" t="n">
        <v>0.006</v>
      </c>
      <c r="E7797" s="4" t="n">
        <v>200000</v>
      </c>
      <c r="F7797" s="4" t="n">
        <v>1200</v>
      </c>
    </row>
    <row r="7798">
      <c r="A7798" s="3" t="inlineStr">
        <is>
          <t>1</t>
        </is>
      </c>
      <c r="B7798" s="3" t="inlineStr">
        <is>
          <t>Lampu TL  36 Watt</t>
        </is>
      </c>
      <c r="C7798" s="3" t="inlineStr">
        <is>
          <t>buah</t>
        </is>
      </c>
      <c r="D7798" s="15" t="n">
        <v>1.1</v>
      </c>
      <c r="E7798" s="4" t="n">
        <v>25000</v>
      </c>
      <c r="F7798" s="4" t="n">
        <v>27500</v>
      </c>
    </row>
    <row r="7799">
      <c r="D7799" s="2" t="inlineStr">
        <is>
          <t>SUBTOTAL UPAH</t>
        </is>
      </c>
      <c r="F7799" s="16" t="n">
        <v>43620</v>
      </c>
    </row>
    <row r="7800">
      <c r="D7800" s="2" t="inlineStr">
        <is>
          <t>SUBTOTAL BAHAN</t>
        </is>
      </c>
      <c r="F7800" s="16" t="n">
        <v>27500</v>
      </c>
    </row>
    <row r="7801">
      <c r="D7801" s="2" t="inlineStr">
        <is>
          <t>SUBTOTAL ALAT</t>
        </is>
      </c>
      <c r="F7801" s="16" t="n">
        <v>0</v>
      </c>
    </row>
    <row r="7802">
      <c r="E7802" s="2" t="inlineStr">
        <is>
          <t>TOTAL HARGA SATUAN (Inc. Overhead)</t>
        </is>
      </c>
      <c r="F7802" s="17" t="n">
        <v>78232</v>
      </c>
    </row>
    <row r="7804">
      <c r="A7804" s="14" t="inlineStr">
        <is>
          <t>KODE: 5.3.1.31 - Pemasangan 1 Unit Lampu TL ED 36 Watt ( Balk)</t>
        </is>
      </c>
    </row>
    <row r="7805">
      <c r="A7805" s="10" t="inlineStr">
        <is>
          <t>No</t>
        </is>
      </c>
      <c r="B7805" s="10" t="inlineStr">
        <is>
          <t>Uraian Komponen</t>
        </is>
      </c>
      <c r="C7805" s="10" t="inlineStr">
        <is>
          <t>Satuan</t>
        </is>
      </c>
      <c r="D7805" s="10" t="inlineStr">
        <is>
          <t>Koef</t>
        </is>
      </c>
      <c r="E7805" s="10" t="inlineStr">
        <is>
          <t>Harga Satuan (Rp)</t>
        </is>
      </c>
      <c r="F7805" s="10" t="inlineStr">
        <is>
          <t>Jumlah Harga (Rp)</t>
        </is>
      </c>
    </row>
    <row r="7806">
      <c r="A7806" s="3" t="inlineStr">
        <is>
          <t>1</t>
        </is>
      </c>
      <c r="B7806" s="3" t="inlineStr">
        <is>
          <t>Pekerja</t>
        </is>
      </c>
      <c r="C7806" s="3" t="inlineStr">
        <is>
          <t>OH</t>
        </is>
      </c>
      <c r="D7806" s="15" t="n">
        <v>0.114</v>
      </c>
      <c r="E7806" s="4" t="n">
        <v>100000</v>
      </c>
      <c r="F7806" s="4" t="n">
        <v>11400</v>
      </c>
    </row>
    <row r="7807">
      <c r="A7807" s="3" t="inlineStr">
        <is>
          <t>2</t>
        </is>
      </c>
      <c r="B7807" s="3" t="inlineStr">
        <is>
          <t>Tukang Listrik</t>
        </is>
      </c>
      <c r="C7807" s="3" t="inlineStr">
        <is>
          <t>OH</t>
        </is>
      </c>
      <c r="D7807" s="15" t="n">
        <v>0.191</v>
      </c>
      <c r="E7807" s="4" t="n">
        <v>145000</v>
      </c>
      <c r="F7807" s="4" t="n">
        <v>27695</v>
      </c>
    </row>
    <row r="7808">
      <c r="A7808" s="3" t="inlineStr">
        <is>
          <t>3</t>
        </is>
      </c>
      <c r="B7808" s="3" t="inlineStr">
        <is>
          <t>Kepala tukang</t>
        </is>
      </c>
      <c r="C7808" s="3" t="inlineStr">
        <is>
          <t>OH</t>
        </is>
      </c>
      <c r="D7808" s="15" t="n">
        <v>0.019</v>
      </c>
      <c r="E7808" s="4" t="n">
        <v>175000</v>
      </c>
      <c r="F7808" s="4" t="n">
        <v>3325</v>
      </c>
    </row>
    <row r="7809">
      <c r="A7809" s="3" t="inlineStr">
        <is>
          <t>4</t>
        </is>
      </c>
      <c r="B7809" s="3" t="inlineStr">
        <is>
          <t>Mandor</t>
        </is>
      </c>
      <c r="C7809" s="3" t="inlineStr">
        <is>
          <t>OH</t>
        </is>
      </c>
      <c r="D7809" s="15" t="n">
        <v>0.006</v>
      </c>
      <c r="E7809" s="4" t="n">
        <v>200000</v>
      </c>
      <c r="F7809" s="4" t="n">
        <v>1200</v>
      </c>
    </row>
    <row r="7810">
      <c r="A7810" s="3" t="inlineStr">
        <is>
          <t>1</t>
        </is>
      </c>
      <c r="B7810" s="3" t="inlineStr">
        <is>
          <t>Lampu TLED  36 Watt</t>
        </is>
      </c>
      <c r="C7810" s="3" t="inlineStr">
        <is>
          <t>buah</t>
        </is>
      </c>
      <c r="D7810" s="15" t="n">
        <v>1.1</v>
      </c>
      <c r="E7810" s="4" t="n">
        <v>75000</v>
      </c>
      <c r="F7810" s="4" t="n">
        <v>82500</v>
      </c>
    </row>
    <row r="7811">
      <c r="D7811" s="2" t="inlineStr">
        <is>
          <t>SUBTOTAL UPAH</t>
        </is>
      </c>
      <c r="F7811" s="16" t="n">
        <v>43620</v>
      </c>
    </row>
    <row r="7812">
      <c r="D7812" s="2" t="inlineStr">
        <is>
          <t>SUBTOTAL BAHAN</t>
        </is>
      </c>
      <c r="F7812" s="16" t="n">
        <v>82500</v>
      </c>
    </row>
    <row r="7813">
      <c r="D7813" s="2" t="inlineStr">
        <is>
          <t>SUBTOTAL ALAT</t>
        </is>
      </c>
      <c r="F7813" s="16" t="n">
        <v>0</v>
      </c>
    </row>
    <row r="7814">
      <c r="E7814" s="2" t="inlineStr">
        <is>
          <t>TOTAL HARGA SATUAN (Inc. Overhead)</t>
        </is>
      </c>
      <c r="F7814" s="17" t="n">
        <v>138732</v>
      </c>
    </row>
    <row r="7816">
      <c r="A7816" s="14" t="inlineStr">
        <is>
          <t>KODE: 5.3.1.32 - Pemasangan 1 titik Instalasi Lampu Luar/Taman ( dengan Kabel NYFGBY)</t>
        </is>
      </c>
    </row>
    <row r="7817">
      <c r="A7817" s="10" t="inlineStr">
        <is>
          <t>No</t>
        </is>
      </c>
      <c r="B7817" s="10" t="inlineStr">
        <is>
          <t>Uraian Komponen</t>
        </is>
      </c>
      <c r="C7817" s="10" t="inlineStr">
        <is>
          <t>Satuan</t>
        </is>
      </c>
      <c r="D7817" s="10" t="inlineStr">
        <is>
          <t>Koef</t>
        </is>
      </c>
      <c r="E7817" s="10" t="inlineStr">
        <is>
          <t>Harga Satuan (Rp)</t>
        </is>
      </c>
      <c r="F7817" s="10" t="inlineStr">
        <is>
          <t>Jumlah Harga (Rp)</t>
        </is>
      </c>
    </row>
    <row r="7818">
      <c r="A7818" s="3" t="inlineStr">
        <is>
          <t>1</t>
        </is>
      </c>
      <c r="B7818" s="3" t="inlineStr">
        <is>
          <t>Pekerja</t>
        </is>
      </c>
      <c r="C7818" s="3" t="inlineStr">
        <is>
          <t>OH</t>
        </is>
      </c>
      <c r="D7818" s="15" t="n">
        <v>0.19</v>
      </c>
      <c r="E7818" s="4" t="n">
        <v>100000</v>
      </c>
      <c r="F7818" s="4" t="n">
        <v>19000</v>
      </c>
    </row>
    <row r="7819">
      <c r="A7819" s="3" t="inlineStr">
        <is>
          <t>2</t>
        </is>
      </c>
      <c r="B7819" s="3" t="inlineStr">
        <is>
          <t>Tukang Listrik</t>
        </is>
      </c>
      <c r="C7819" s="3" t="inlineStr">
        <is>
          <t>OH</t>
        </is>
      </c>
      <c r="D7819" s="15" t="n">
        <v>0.318</v>
      </c>
      <c r="E7819" s="4" t="n">
        <v>145000</v>
      </c>
      <c r="F7819" s="4" t="n">
        <v>46110</v>
      </c>
    </row>
    <row r="7820">
      <c r="A7820" s="3" t="inlineStr">
        <is>
          <t>3</t>
        </is>
      </c>
      <c r="B7820" s="3" t="inlineStr">
        <is>
          <t>Kepala tukang</t>
        </is>
      </c>
      <c r="C7820" s="3" t="inlineStr">
        <is>
          <t>OH</t>
        </is>
      </c>
      <c r="D7820" s="15" t="n">
        <v>0.032</v>
      </c>
      <c r="E7820" s="4" t="n">
        <v>175000</v>
      </c>
      <c r="F7820" s="4" t="n">
        <v>5600</v>
      </c>
    </row>
    <row r="7821">
      <c r="A7821" s="3" t="inlineStr">
        <is>
          <t>4</t>
        </is>
      </c>
      <c r="B7821" s="3" t="inlineStr">
        <is>
          <t>Mandor</t>
        </is>
      </c>
      <c r="C7821" s="3" t="inlineStr">
        <is>
          <t>OH</t>
        </is>
      </c>
      <c r="D7821" s="15" t="n">
        <v>0.011</v>
      </c>
      <c r="E7821" s="4" t="n">
        <v>200000</v>
      </c>
      <c r="F7821" s="4" t="n">
        <v>2200</v>
      </c>
    </row>
    <row r="7822">
      <c r="A7822" s="3" t="inlineStr">
        <is>
          <t>1</t>
        </is>
      </c>
      <c r="B7822" s="3" t="inlineStr">
        <is>
          <t>"Kabel NYFGBY 3 x 2 5 mm²"</t>
        </is>
      </c>
      <c r="C7822" s="3" t="inlineStr">
        <is>
          <t>m</t>
        </is>
      </c>
      <c r="D7822" s="15" t="n">
        <v>16.5</v>
      </c>
      <c r="E7822" s="4" t="n">
        <v>32900</v>
      </c>
      <c r="F7822" s="4" t="n">
        <v>542850</v>
      </c>
    </row>
    <row r="7823">
      <c r="A7823" s="3" t="inlineStr">
        <is>
          <t>2</t>
        </is>
      </c>
      <c r="B7823" s="3" t="inlineStr">
        <is>
          <t>T Dus</t>
        </is>
      </c>
      <c r="C7823" s="3" t="inlineStr">
        <is>
          <t>buah</t>
        </is>
      </c>
      <c r="D7823" s="15" t="n">
        <v>1</v>
      </c>
      <c r="E7823" s="4" t="n">
        <v>4000</v>
      </c>
      <c r="F7823" s="4" t="n">
        <v>4000</v>
      </c>
    </row>
    <row r="7824">
      <c r="A7824" s="3" t="inlineStr">
        <is>
          <t>3</t>
        </is>
      </c>
      <c r="B7824" s="3" t="inlineStr">
        <is>
          <t>Isolasi</t>
        </is>
      </c>
      <c r="C7824" s="3" t="inlineStr">
        <is>
          <t>m</t>
        </is>
      </c>
      <c r="D7824" s="15" t="n">
        <v>0.5</v>
      </c>
      <c r="E7824" s="4" t="n">
        <v>416</v>
      </c>
      <c r="F7824" s="4" t="n">
        <v>208</v>
      </c>
    </row>
    <row r="7825">
      <c r="A7825" s="3" t="inlineStr">
        <is>
          <t>4</t>
        </is>
      </c>
      <c r="B7825" s="3" t="inlineStr">
        <is>
          <t>Lasdop</t>
        </is>
      </c>
      <c r="C7825" s="3" t="inlineStr">
        <is>
          <t>buah</t>
        </is>
      </c>
      <c r="D7825" s="15" t="n">
        <v>3</v>
      </c>
      <c r="E7825" s="4" t="n">
        <v>580</v>
      </c>
      <c r="F7825" s="4" t="n">
        <v>1740</v>
      </c>
    </row>
    <row r="7826">
      <c r="D7826" s="2" t="inlineStr">
        <is>
          <t>SUBTOTAL UPAH</t>
        </is>
      </c>
      <c r="F7826" s="16" t="n">
        <v>72910</v>
      </c>
    </row>
    <row r="7827">
      <c r="D7827" s="2" t="inlineStr">
        <is>
          <t>SUBTOTAL BAHAN</t>
        </is>
      </c>
      <c r="F7827" s="16" t="n">
        <v>548798</v>
      </c>
    </row>
    <row r="7828">
      <c r="D7828" s="2" t="inlineStr">
        <is>
          <t>SUBTOTAL ALAT</t>
        </is>
      </c>
      <c r="F7828" s="16" t="n">
        <v>0</v>
      </c>
    </row>
    <row r="7829">
      <c r="E7829" s="2" t="inlineStr">
        <is>
          <t>TOTAL HARGA SATUAN (Inc. Overhead)</t>
        </is>
      </c>
      <c r="F7829" s="17" t="n">
        <v>683878</v>
      </c>
    </row>
    <row r="7831">
      <c r="A7831" s="14" t="inlineStr">
        <is>
          <t>KODE: 5.3.1.33 - Pemasangan 1 titik Instalasi Lampu Luar/Taman ( dengan Kabel NYY)</t>
        </is>
      </c>
    </row>
    <row r="7832">
      <c r="A7832" s="10" t="inlineStr">
        <is>
          <t>No</t>
        </is>
      </c>
      <c r="B7832" s="10" t="inlineStr">
        <is>
          <t>Uraian Komponen</t>
        </is>
      </c>
      <c r="C7832" s="10" t="inlineStr">
        <is>
          <t>Satuan</t>
        </is>
      </c>
      <c r="D7832" s="10" t="inlineStr">
        <is>
          <t>Koef</t>
        </is>
      </c>
      <c r="E7832" s="10" t="inlineStr">
        <is>
          <t>Harga Satuan (Rp)</t>
        </is>
      </c>
      <c r="F7832" s="10" t="inlineStr">
        <is>
          <t>Jumlah Harga (Rp)</t>
        </is>
      </c>
    </row>
    <row r="7833">
      <c r="A7833" s="3" t="inlineStr">
        <is>
          <t>1</t>
        </is>
      </c>
      <c r="B7833" s="3" t="inlineStr">
        <is>
          <t>Pekerja</t>
        </is>
      </c>
      <c r="C7833" s="3" t="inlineStr">
        <is>
          <t>OH</t>
        </is>
      </c>
      <c r="D7833" s="15" t="n">
        <v>0.19</v>
      </c>
      <c r="E7833" s="4" t="n">
        <v>100000</v>
      </c>
      <c r="F7833" s="4" t="n">
        <v>19000</v>
      </c>
    </row>
    <row r="7834">
      <c r="A7834" s="3" t="inlineStr">
        <is>
          <t>2</t>
        </is>
      </c>
      <c r="B7834" s="3" t="inlineStr">
        <is>
          <t>Tukang Listrik</t>
        </is>
      </c>
      <c r="C7834" s="3" t="inlineStr">
        <is>
          <t>OH</t>
        </is>
      </c>
      <c r="D7834" s="15" t="n">
        <v>0.318</v>
      </c>
      <c r="E7834" s="4" t="n">
        <v>145000</v>
      </c>
      <c r="F7834" s="4" t="n">
        <v>46110</v>
      </c>
    </row>
    <row r="7835">
      <c r="A7835" s="3" t="inlineStr">
        <is>
          <t>3</t>
        </is>
      </c>
      <c r="B7835" s="3" t="inlineStr">
        <is>
          <t>Kepala tukang</t>
        </is>
      </c>
      <c r="C7835" s="3" t="inlineStr">
        <is>
          <t>OH</t>
        </is>
      </c>
      <c r="D7835" s="15" t="n">
        <v>0.032</v>
      </c>
      <c r="E7835" s="4" t="n">
        <v>175000</v>
      </c>
      <c r="F7835" s="4" t="n">
        <v>5600</v>
      </c>
    </row>
    <row r="7836">
      <c r="A7836" s="3" t="inlineStr">
        <is>
          <t>4</t>
        </is>
      </c>
      <c r="B7836" s="3" t="inlineStr">
        <is>
          <t>Mandor</t>
        </is>
      </c>
      <c r="C7836" s="3" t="inlineStr">
        <is>
          <t>OH</t>
        </is>
      </c>
      <c r="D7836" s="15" t="n">
        <v>0.011</v>
      </c>
      <c r="E7836" s="4" t="n">
        <v>200000</v>
      </c>
      <c r="F7836" s="4" t="n">
        <v>2200</v>
      </c>
    </row>
    <row r="7837">
      <c r="A7837" s="3" t="inlineStr">
        <is>
          <t>1</t>
        </is>
      </c>
      <c r="B7837" s="3" t="inlineStr">
        <is>
          <t>Kabel NYY 3 x 25 mm²</t>
        </is>
      </c>
      <c r="C7837" s="3" t="inlineStr">
        <is>
          <t>m</t>
        </is>
      </c>
      <c r="D7837" s="15" t="n">
        <v>16.5</v>
      </c>
      <c r="E7837" s="4" t="n">
        <v>174900</v>
      </c>
      <c r="F7837" s="4" t="n">
        <v>2885850</v>
      </c>
    </row>
    <row r="7838">
      <c r="A7838" s="3" t="inlineStr">
        <is>
          <t>2</t>
        </is>
      </c>
      <c r="B7838" s="3" t="inlineStr">
        <is>
          <t>Conduit HI 20 mm</t>
        </is>
      </c>
      <c r="C7838" s="3" t="inlineStr">
        <is>
          <t>m</t>
        </is>
      </c>
      <c r="D7838" s="15" t="n">
        <v>16.5</v>
      </c>
      <c r="E7838" s="4" t="n">
        <v>4000</v>
      </c>
      <c r="F7838" s="4" t="n">
        <v>66000</v>
      </c>
    </row>
    <row r="7839">
      <c r="A7839" s="3" t="inlineStr">
        <is>
          <t>3</t>
        </is>
      </c>
      <c r="B7839" s="3" t="inlineStr">
        <is>
          <t>T Dus</t>
        </is>
      </c>
      <c r="C7839" s="3" t="inlineStr">
        <is>
          <t>buah</t>
        </is>
      </c>
      <c r="D7839" s="15" t="n">
        <v>1</v>
      </c>
      <c r="E7839" s="4" t="n">
        <v>4000</v>
      </c>
      <c r="F7839" s="4" t="n">
        <v>4000</v>
      </c>
    </row>
    <row r="7840">
      <c r="A7840" s="3" t="inlineStr">
        <is>
          <t>4</t>
        </is>
      </c>
      <c r="B7840" s="3" t="inlineStr">
        <is>
          <t>Socket Conduit 20 mm</t>
        </is>
      </c>
      <c r="C7840" s="3" t="inlineStr">
        <is>
          <t>buah</t>
        </is>
      </c>
      <c r="D7840" s="15" t="n">
        <v>5</v>
      </c>
      <c r="E7840" s="4" t="n">
        <v>700</v>
      </c>
      <c r="F7840" s="4" t="n">
        <v>3500</v>
      </c>
    </row>
    <row r="7841">
      <c r="A7841" s="3" t="inlineStr">
        <is>
          <t>5</t>
        </is>
      </c>
      <c r="B7841" s="3" t="inlineStr">
        <is>
          <t>Elbow</t>
        </is>
      </c>
      <c r="C7841" s="3" t="inlineStr">
        <is>
          <t>buah</t>
        </is>
      </c>
      <c r="D7841" s="15" t="n">
        <v>4</v>
      </c>
      <c r="E7841" s="4" t="n">
        <v>550</v>
      </c>
      <c r="F7841" s="4" t="n">
        <v>2200</v>
      </c>
    </row>
    <row r="7842">
      <c r="A7842" s="3" t="inlineStr">
        <is>
          <t>6</t>
        </is>
      </c>
      <c r="B7842" s="3" t="inlineStr">
        <is>
          <t>Isolasi</t>
        </is>
      </c>
      <c r="C7842" s="3" t="inlineStr">
        <is>
          <t>m</t>
        </is>
      </c>
      <c r="D7842" s="15" t="n">
        <v>0.5</v>
      </c>
      <c r="E7842" s="4" t="n">
        <v>416</v>
      </c>
      <c r="F7842" s="4" t="n">
        <v>208</v>
      </c>
    </row>
    <row r="7843">
      <c r="A7843" s="3" t="inlineStr">
        <is>
          <t>7</t>
        </is>
      </c>
      <c r="B7843" s="3" t="inlineStr">
        <is>
          <t>Lasdop</t>
        </is>
      </c>
      <c r="C7843" s="3" t="inlineStr">
        <is>
          <t>buah</t>
        </is>
      </c>
      <c r="D7843" s="15" t="n">
        <v>3</v>
      </c>
      <c r="E7843" s="4" t="n">
        <v>580</v>
      </c>
      <c r="F7843" s="4" t="n">
        <v>1740</v>
      </c>
    </row>
    <row r="7844">
      <c r="D7844" s="2" t="inlineStr">
        <is>
          <t>SUBTOTAL UPAH</t>
        </is>
      </c>
      <c r="F7844" s="16" t="n">
        <v>72910</v>
      </c>
    </row>
    <row r="7845">
      <c r="D7845" s="2" t="inlineStr">
        <is>
          <t>SUBTOTAL BAHAN</t>
        </is>
      </c>
      <c r="F7845" s="16" t="n">
        <v>2963498</v>
      </c>
    </row>
    <row r="7846">
      <c r="D7846" s="2" t="inlineStr">
        <is>
          <t>SUBTOTAL ALAT</t>
        </is>
      </c>
      <c r="F7846" s="16" t="n">
        <v>0</v>
      </c>
    </row>
    <row r="7847">
      <c r="E7847" s="2" t="inlineStr">
        <is>
          <t>TOTAL HARGA SATUAN (Inc. Overhead)</t>
        </is>
      </c>
      <c r="F7847" s="17" t="n">
        <v>3340048</v>
      </c>
    </row>
    <row r="7849">
      <c r="A7849" s="14" t="inlineStr">
        <is>
          <t>KODE: 5.3.1.34 - Pemasangan 1 titik Instalasi Lampu Luar/Taman ( dengan Kabel NYM)</t>
        </is>
      </c>
    </row>
    <row r="7850">
      <c r="A7850" s="10" t="inlineStr">
        <is>
          <t>No</t>
        </is>
      </c>
      <c r="B7850" s="10" t="inlineStr">
        <is>
          <t>Uraian Komponen</t>
        </is>
      </c>
      <c r="C7850" s="10" t="inlineStr">
        <is>
          <t>Satuan</t>
        </is>
      </c>
      <c r="D7850" s="10" t="inlineStr">
        <is>
          <t>Koef</t>
        </is>
      </c>
      <c r="E7850" s="10" t="inlineStr">
        <is>
          <t>Harga Satuan (Rp)</t>
        </is>
      </c>
      <c r="F7850" s="10" t="inlineStr">
        <is>
          <t>Jumlah Harga (Rp)</t>
        </is>
      </c>
    </row>
    <row r="7851">
      <c r="A7851" s="3" t="inlineStr">
        <is>
          <t>1</t>
        </is>
      </c>
      <c r="B7851" s="3" t="inlineStr">
        <is>
          <t>Pekerja</t>
        </is>
      </c>
      <c r="C7851" s="3" t="inlineStr">
        <is>
          <t>OH</t>
        </is>
      </c>
      <c r="D7851" s="15" t="n">
        <v>0.19</v>
      </c>
      <c r="E7851" s="4" t="n">
        <v>100000</v>
      </c>
      <c r="F7851" s="4" t="n">
        <v>19000</v>
      </c>
    </row>
    <row r="7852">
      <c r="A7852" s="3" t="inlineStr">
        <is>
          <t>2</t>
        </is>
      </c>
      <c r="B7852" s="3" t="inlineStr">
        <is>
          <t>Tukang Listrik</t>
        </is>
      </c>
      <c r="C7852" s="3" t="inlineStr">
        <is>
          <t>OH</t>
        </is>
      </c>
      <c r="D7852" s="15" t="n">
        <v>0.318</v>
      </c>
      <c r="E7852" s="4" t="n">
        <v>145000</v>
      </c>
      <c r="F7852" s="4" t="n">
        <v>46110</v>
      </c>
    </row>
    <row r="7853">
      <c r="A7853" s="3" t="inlineStr">
        <is>
          <t>3</t>
        </is>
      </c>
      <c r="B7853" s="3" t="inlineStr">
        <is>
          <t>Kepala tukang</t>
        </is>
      </c>
      <c r="C7853" s="3" t="inlineStr">
        <is>
          <t>OH</t>
        </is>
      </c>
      <c r="D7853" s="15" t="n">
        <v>0.032</v>
      </c>
      <c r="E7853" s="4" t="n">
        <v>175000</v>
      </c>
      <c r="F7853" s="4" t="n">
        <v>5600</v>
      </c>
    </row>
    <row r="7854">
      <c r="A7854" s="3" t="inlineStr">
        <is>
          <t>4</t>
        </is>
      </c>
      <c r="B7854" s="3" t="inlineStr">
        <is>
          <t>Mandor</t>
        </is>
      </c>
      <c r="C7854" s="3" t="inlineStr">
        <is>
          <t>OH</t>
        </is>
      </c>
      <c r="D7854" s="15" t="n">
        <v>0.011</v>
      </c>
      <c r="E7854" s="4" t="n">
        <v>200000</v>
      </c>
      <c r="F7854" s="4" t="n">
        <v>2200</v>
      </c>
    </row>
    <row r="7855">
      <c r="A7855" s="3" t="inlineStr">
        <is>
          <t>1</t>
        </is>
      </c>
      <c r="B7855" s="3" t="inlineStr">
        <is>
          <t>"Kabel NYM 3 x 2 5 mm²"</t>
        </is>
      </c>
      <c r="C7855" s="3" t="inlineStr">
        <is>
          <t>m</t>
        </is>
      </c>
      <c r="D7855" s="15" t="n">
        <v>3.3</v>
      </c>
      <c r="E7855" s="4" t="n">
        <v>21300</v>
      </c>
      <c r="F7855" s="4" t="n">
        <v>70290</v>
      </c>
    </row>
    <row r="7856">
      <c r="A7856" s="3" t="inlineStr">
        <is>
          <t>2</t>
        </is>
      </c>
      <c r="B7856" s="3" t="inlineStr">
        <is>
          <t>Isolasi</t>
        </is>
      </c>
      <c r="C7856" s="3" t="inlineStr">
        <is>
          <t>m</t>
        </is>
      </c>
      <c r="D7856" s="15" t="n">
        <v>0.5</v>
      </c>
      <c r="E7856" s="4" t="n">
        <v>416</v>
      </c>
      <c r="F7856" s="4" t="n">
        <v>208</v>
      </c>
    </row>
    <row r="7857">
      <c r="A7857" s="3" t="inlineStr">
        <is>
          <t>3</t>
        </is>
      </c>
      <c r="B7857" s="3" t="inlineStr">
        <is>
          <t>Lasdop</t>
        </is>
      </c>
      <c r="C7857" s="3" t="inlineStr">
        <is>
          <t>buah</t>
        </is>
      </c>
      <c r="D7857" s="15" t="n">
        <v>3</v>
      </c>
      <c r="E7857" s="4" t="n">
        <v>580</v>
      </c>
      <c r="F7857" s="4" t="n">
        <v>1740</v>
      </c>
    </row>
    <row r="7858">
      <c r="D7858" s="2" t="inlineStr">
        <is>
          <t>SUBTOTAL UPAH</t>
        </is>
      </c>
      <c r="F7858" s="16" t="n">
        <v>72910</v>
      </c>
    </row>
    <row r="7859">
      <c r="D7859" s="2" t="inlineStr">
        <is>
          <t>SUBTOTAL BAHAN</t>
        </is>
      </c>
      <c r="F7859" s="16" t="n">
        <v>72238</v>
      </c>
    </row>
    <row r="7860">
      <c r="D7860" s="2" t="inlineStr">
        <is>
          <t>SUBTOTAL ALAT</t>
        </is>
      </c>
      <c r="F7860" s="16" t="n">
        <v>0</v>
      </c>
    </row>
    <row r="7861">
      <c r="E7861" s="2" t="inlineStr">
        <is>
          <t>TOTAL HARGA SATUAN (Inc. Overhead)</t>
        </is>
      </c>
      <c r="F7861" s="17" t="n">
        <v>159662</v>
      </c>
    </row>
    <row r="7863">
      <c r="A7863" s="14" t="inlineStr">
        <is>
          <t>KODE: 5.3.1.35 - Pemasangan 1 titik Instalasi Lampu PJU ( dengan Kabel NYFGBY)</t>
        </is>
      </c>
    </row>
    <row r="7864">
      <c r="A7864" s="10" t="inlineStr">
        <is>
          <t>No</t>
        </is>
      </c>
      <c r="B7864" s="10" t="inlineStr">
        <is>
          <t>Uraian Komponen</t>
        </is>
      </c>
      <c r="C7864" s="10" t="inlineStr">
        <is>
          <t>Satuan</t>
        </is>
      </c>
      <c r="D7864" s="10" t="inlineStr">
        <is>
          <t>Koef</t>
        </is>
      </c>
      <c r="E7864" s="10" t="inlineStr">
        <is>
          <t>Harga Satuan (Rp)</t>
        </is>
      </c>
      <c r="F7864" s="10" t="inlineStr">
        <is>
          <t>Jumlah Harga (Rp)</t>
        </is>
      </c>
    </row>
    <row r="7865">
      <c r="A7865" s="3" t="inlineStr">
        <is>
          <t>1</t>
        </is>
      </c>
      <c r="B7865" s="3" t="inlineStr">
        <is>
          <t>Pekerja</t>
        </is>
      </c>
      <c r="C7865" s="3" t="inlineStr">
        <is>
          <t>OH</t>
        </is>
      </c>
      <c r="D7865" s="15" t="n">
        <v>0.19</v>
      </c>
      <c r="E7865" s="4" t="n">
        <v>100000</v>
      </c>
      <c r="F7865" s="4" t="n">
        <v>19000</v>
      </c>
    </row>
    <row r="7866">
      <c r="A7866" s="3" t="inlineStr">
        <is>
          <t>2</t>
        </is>
      </c>
      <c r="B7866" s="3" t="inlineStr">
        <is>
          <t>Tukang Listrik</t>
        </is>
      </c>
      <c r="C7866" s="3" t="inlineStr">
        <is>
          <t>OH</t>
        </is>
      </c>
      <c r="D7866" s="15" t="n">
        <v>0.318</v>
      </c>
      <c r="E7866" s="4" t="n">
        <v>145000</v>
      </c>
      <c r="F7866" s="4" t="n">
        <v>46110</v>
      </c>
    </row>
    <row r="7867">
      <c r="A7867" s="3" t="inlineStr">
        <is>
          <t>3</t>
        </is>
      </c>
      <c r="B7867" s="3" t="inlineStr">
        <is>
          <t>Kepala tukang</t>
        </is>
      </c>
      <c r="C7867" s="3" t="inlineStr">
        <is>
          <t>OH</t>
        </is>
      </c>
      <c r="D7867" s="15" t="n">
        <v>0.032</v>
      </c>
      <c r="E7867" s="4" t="n">
        <v>175000</v>
      </c>
      <c r="F7867" s="4" t="n">
        <v>5600</v>
      </c>
    </row>
    <row r="7868">
      <c r="A7868" s="3" t="inlineStr">
        <is>
          <t>4</t>
        </is>
      </c>
      <c r="B7868" s="3" t="inlineStr">
        <is>
          <t>Mandor</t>
        </is>
      </c>
      <c r="C7868" s="3" t="inlineStr">
        <is>
          <t>OH</t>
        </is>
      </c>
      <c r="D7868" s="15" t="n">
        <v>0.011</v>
      </c>
      <c r="E7868" s="4" t="n">
        <v>200000</v>
      </c>
      <c r="F7868" s="4" t="n">
        <v>2200</v>
      </c>
    </row>
    <row r="7869">
      <c r="A7869" s="3" t="inlineStr">
        <is>
          <t>1</t>
        </is>
      </c>
      <c r="B7869" s="3" t="inlineStr">
        <is>
          <t>"Kabel NYFGBY 3 x 2 5 mm²"</t>
        </is>
      </c>
      <c r="C7869" s="3" t="inlineStr">
        <is>
          <t>m</t>
        </is>
      </c>
      <c r="D7869" s="15" t="n">
        <v>33</v>
      </c>
      <c r="E7869" s="4" t="n">
        <v>32900</v>
      </c>
      <c r="F7869" s="4" t="n">
        <v>1085700</v>
      </c>
    </row>
    <row r="7870">
      <c r="A7870" s="3" t="inlineStr">
        <is>
          <t>2</t>
        </is>
      </c>
      <c r="B7870" s="3" t="inlineStr">
        <is>
          <t>T Dus</t>
        </is>
      </c>
      <c r="C7870" s="3" t="inlineStr">
        <is>
          <t>buah</t>
        </is>
      </c>
      <c r="D7870" s="15" t="n">
        <v>1</v>
      </c>
      <c r="E7870" s="4" t="n">
        <v>4000</v>
      </c>
      <c r="F7870" s="4" t="n">
        <v>4000</v>
      </c>
    </row>
    <row r="7871">
      <c r="A7871" s="3" t="inlineStr">
        <is>
          <t>3</t>
        </is>
      </c>
      <c r="B7871" s="3" t="inlineStr">
        <is>
          <t>Isolasi</t>
        </is>
      </c>
      <c r="C7871" s="3" t="inlineStr">
        <is>
          <t>m</t>
        </is>
      </c>
      <c r="D7871" s="15" t="n">
        <v>0.5</v>
      </c>
      <c r="E7871" s="4" t="n">
        <v>416</v>
      </c>
      <c r="F7871" s="4" t="n">
        <v>208</v>
      </c>
    </row>
    <row r="7872">
      <c r="A7872" s="3" t="inlineStr">
        <is>
          <t>4</t>
        </is>
      </c>
      <c r="B7872" s="3" t="inlineStr">
        <is>
          <t>Lasdop</t>
        </is>
      </c>
      <c r="C7872" s="3" t="inlineStr">
        <is>
          <t>buah</t>
        </is>
      </c>
      <c r="D7872" s="15" t="n">
        <v>3</v>
      </c>
      <c r="E7872" s="4" t="n">
        <v>580</v>
      </c>
      <c r="F7872" s="4" t="n">
        <v>1740</v>
      </c>
    </row>
    <row r="7873">
      <c r="D7873" s="2" t="inlineStr">
        <is>
          <t>SUBTOTAL UPAH</t>
        </is>
      </c>
      <c r="F7873" s="16" t="n">
        <v>72910</v>
      </c>
    </row>
    <row r="7874">
      <c r="D7874" s="2" t="inlineStr">
        <is>
          <t>SUBTOTAL BAHAN</t>
        </is>
      </c>
      <c r="F7874" s="16" t="n">
        <v>1091648</v>
      </c>
    </row>
    <row r="7875">
      <c r="D7875" s="2" t="inlineStr">
        <is>
          <t>SUBTOTAL ALAT</t>
        </is>
      </c>
      <c r="F7875" s="16" t="n">
        <v>0</v>
      </c>
    </row>
    <row r="7876">
      <c r="E7876" s="2" t="inlineStr">
        <is>
          <t>TOTAL HARGA SATUAN (Inc. Overhead)</t>
        </is>
      </c>
      <c r="F7876" s="17" t="n">
        <v>1281013</v>
      </c>
    </row>
    <row r="7878">
      <c r="A7878" s="14" t="inlineStr">
        <is>
          <t>KODE: 5.3.1.36 - Pemasangan 1 titik Instalasi Lampu PJU ( dengan Kabel NYY)</t>
        </is>
      </c>
    </row>
    <row r="7879">
      <c r="A7879" s="10" t="inlineStr">
        <is>
          <t>No</t>
        </is>
      </c>
      <c r="B7879" s="10" t="inlineStr">
        <is>
          <t>Uraian Komponen</t>
        </is>
      </c>
      <c r="C7879" s="10" t="inlineStr">
        <is>
          <t>Satuan</t>
        </is>
      </c>
      <c r="D7879" s="10" t="inlineStr">
        <is>
          <t>Koef</t>
        </is>
      </c>
      <c r="E7879" s="10" t="inlineStr">
        <is>
          <t>Harga Satuan (Rp)</t>
        </is>
      </c>
      <c r="F7879" s="10" t="inlineStr">
        <is>
          <t>Jumlah Harga (Rp)</t>
        </is>
      </c>
    </row>
    <row r="7880">
      <c r="A7880" s="3" t="inlineStr">
        <is>
          <t>1</t>
        </is>
      </c>
      <c r="B7880" s="3" t="inlineStr">
        <is>
          <t>Pekerja</t>
        </is>
      </c>
      <c r="C7880" s="3" t="inlineStr">
        <is>
          <t>OH</t>
        </is>
      </c>
      <c r="D7880" s="15" t="n">
        <v>0.19</v>
      </c>
      <c r="E7880" s="4" t="n">
        <v>100000</v>
      </c>
      <c r="F7880" s="4" t="n">
        <v>19000</v>
      </c>
    </row>
    <row r="7881">
      <c r="A7881" s="3" t="inlineStr">
        <is>
          <t>2</t>
        </is>
      </c>
      <c r="B7881" s="3" t="inlineStr">
        <is>
          <t>Tukang Listrik</t>
        </is>
      </c>
      <c r="C7881" s="3" t="inlineStr">
        <is>
          <t>OH</t>
        </is>
      </c>
      <c r="D7881" s="15" t="n">
        <v>0.318</v>
      </c>
      <c r="E7881" s="4" t="n">
        <v>145000</v>
      </c>
      <c r="F7881" s="4" t="n">
        <v>46110</v>
      </c>
    </row>
    <row r="7882">
      <c r="A7882" s="3" t="inlineStr">
        <is>
          <t>3</t>
        </is>
      </c>
      <c r="B7882" s="3" t="inlineStr">
        <is>
          <t>Kepala tukang</t>
        </is>
      </c>
      <c r="C7882" s="3" t="inlineStr">
        <is>
          <t>OH</t>
        </is>
      </c>
      <c r="D7882" s="15" t="n">
        <v>0.032</v>
      </c>
      <c r="E7882" s="4" t="n">
        <v>175000</v>
      </c>
      <c r="F7882" s="4" t="n">
        <v>5600</v>
      </c>
    </row>
    <row r="7883">
      <c r="A7883" s="3" t="inlineStr">
        <is>
          <t>4</t>
        </is>
      </c>
      <c r="B7883" s="3" t="inlineStr">
        <is>
          <t>Mandor</t>
        </is>
      </c>
      <c r="C7883" s="3" t="inlineStr">
        <is>
          <t>OH</t>
        </is>
      </c>
      <c r="D7883" s="15" t="n">
        <v>0.011</v>
      </c>
      <c r="E7883" s="4" t="n">
        <v>200000</v>
      </c>
      <c r="F7883" s="4" t="n">
        <v>2200</v>
      </c>
    </row>
    <row r="7884">
      <c r="A7884" s="3" t="inlineStr">
        <is>
          <t>1</t>
        </is>
      </c>
      <c r="B7884" s="3" t="inlineStr">
        <is>
          <t>"Kabel NYY 3 x 2 5 mm²"</t>
        </is>
      </c>
      <c r="C7884" s="3" t="inlineStr">
        <is>
          <t>m</t>
        </is>
      </c>
      <c r="D7884" s="15" t="n">
        <v>33</v>
      </c>
      <c r="E7884" s="4" t="n">
        <v>21500</v>
      </c>
      <c r="F7884" s="4" t="n">
        <v>709500</v>
      </c>
    </row>
    <row r="7885">
      <c r="A7885" s="3" t="inlineStr">
        <is>
          <t>2</t>
        </is>
      </c>
      <c r="B7885" s="3" t="inlineStr">
        <is>
          <t>Conduit HI 20 mm</t>
        </is>
      </c>
      <c r="C7885" s="3" t="inlineStr">
        <is>
          <t>m</t>
        </is>
      </c>
      <c r="D7885" s="15" t="n">
        <v>33</v>
      </c>
      <c r="E7885" s="4" t="n">
        <v>4000</v>
      </c>
      <c r="F7885" s="4" t="n">
        <v>132000</v>
      </c>
    </row>
    <row r="7886">
      <c r="A7886" s="3" t="inlineStr">
        <is>
          <t>3</t>
        </is>
      </c>
      <c r="B7886" s="3" t="inlineStr">
        <is>
          <t>T Dus</t>
        </is>
      </c>
      <c r="C7886" s="3" t="inlineStr">
        <is>
          <t>buah</t>
        </is>
      </c>
      <c r="D7886" s="15" t="n">
        <v>1</v>
      </c>
      <c r="E7886" s="4" t="n">
        <v>4000</v>
      </c>
      <c r="F7886" s="4" t="n">
        <v>4000</v>
      </c>
    </row>
    <row r="7887">
      <c r="A7887" s="3" t="inlineStr">
        <is>
          <t>4</t>
        </is>
      </c>
      <c r="B7887" s="3" t="inlineStr">
        <is>
          <t>Socket Conduit 20 mm</t>
        </is>
      </c>
      <c r="C7887" s="3" t="inlineStr">
        <is>
          <t>buah</t>
        </is>
      </c>
      <c r="D7887" s="15" t="n">
        <v>5</v>
      </c>
      <c r="E7887" s="4" t="n">
        <v>700</v>
      </c>
      <c r="F7887" s="4" t="n">
        <v>3500</v>
      </c>
    </row>
    <row r="7888">
      <c r="A7888" s="3" t="inlineStr">
        <is>
          <t>5</t>
        </is>
      </c>
      <c r="B7888" s="3" t="inlineStr">
        <is>
          <t>Elbow</t>
        </is>
      </c>
      <c r="C7888" s="3" t="inlineStr">
        <is>
          <t>buah</t>
        </is>
      </c>
      <c r="D7888" s="15" t="n">
        <v>4</v>
      </c>
      <c r="E7888" s="4" t="n">
        <v>550</v>
      </c>
      <c r="F7888" s="4" t="n">
        <v>2200</v>
      </c>
    </row>
    <row r="7889">
      <c r="A7889" s="3" t="inlineStr">
        <is>
          <t>6</t>
        </is>
      </c>
      <c r="B7889" s="3" t="inlineStr">
        <is>
          <t>Isolasi</t>
        </is>
      </c>
      <c r="C7889" s="3" t="inlineStr">
        <is>
          <t>m</t>
        </is>
      </c>
      <c r="D7889" s="15" t="n">
        <v>0.5</v>
      </c>
      <c r="E7889" s="4" t="n">
        <v>416</v>
      </c>
      <c r="F7889" s="4" t="n">
        <v>208</v>
      </c>
    </row>
    <row r="7890">
      <c r="A7890" s="3" t="inlineStr">
        <is>
          <t>7</t>
        </is>
      </c>
      <c r="B7890" s="3" t="inlineStr">
        <is>
          <t>Lasdop</t>
        </is>
      </c>
      <c r="C7890" s="3" t="inlineStr">
        <is>
          <t>buah</t>
        </is>
      </c>
      <c r="D7890" s="15" t="n">
        <v>3</v>
      </c>
      <c r="E7890" s="4" t="n">
        <v>580</v>
      </c>
      <c r="F7890" s="4" t="n">
        <v>1740</v>
      </c>
    </row>
    <row r="7891">
      <c r="D7891" s="2" t="inlineStr">
        <is>
          <t>SUBTOTAL UPAH</t>
        </is>
      </c>
      <c r="F7891" s="16" t="n">
        <v>72910</v>
      </c>
    </row>
    <row r="7892">
      <c r="D7892" s="2" t="inlineStr">
        <is>
          <t>SUBTOTAL BAHAN</t>
        </is>
      </c>
      <c r="F7892" s="16" t="n">
        <v>853148</v>
      </c>
    </row>
    <row r="7893">
      <c r="D7893" s="2" t="inlineStr">
        <is>
          <t>SUBTOTAL ALAT</t>
        </is>
      </c>
      <c r="F7893" s="16" t="n">
        <v>0</v>
      </c>
    </row>
    <row r="7894">
      <c r="E7894" s="2" t="inlineStr">
        <is>
          <t>TOTAL HARGA SATUAN (Inc. Overhead)</t>
        </is>
      </c>
      <c r="F7894" s="17" t="n">
        <v>1018663</v>
      </c>
    </row>
    <row r="7896">
      <c r="A7896" s="14" t="inlineStr">
        <is>
          <t>KODE: 5.3.1.37 - Pemasangan 1 titik Instalasi Lampu PJU Tiang 7 m  ( dengan Kabel NYM)</t>
        </is>
      </c>
    </row>
    <row r="7897">
      <c r="A7897" s="10" t="inlineStr">
        <is>
          <t>No</t>
        </is>
      </c>
      <c r="B7897" s="10" t="inlineStr">
        <is>
          <t>Uraian Komponen</t>
        </is>
      </c>
      <c r="C7897" s="10" t="inlineStr">
        <is>
          <t>Satuan</t>
        </is>
      </c>
      <c r="D7897" s="10" t="inlineStr">
        <is>
          <t>Koef</t>
        </is>
      </c>
      <c r="E7897" s="10" t="inlineStr">
        <is>
          <t>Harga Satuan (Rp)</t>
        </is>
      </c>
      <c r="F7897" s="10" t="inlineStr">
        <is>
          <t>Jumlah Harga (Rp)</t>
        </is>
      </c>
    </row>
    <row r="7898">
      <c r="A7898" s="3" t="inlineStr">
        <is>
          <t>1</t>
        </is>
      </c>
      <c r="B7898" s="3" t="inlineStr">
        <is>
          <t>Pekerja</t>
        </is>
      </c>
      <c r="C7898" s="3" t="inlineStr">
        <is>
          <t>OH</t>
        </is>
      </c>
      <c r="D7898" s="15" t="n">
        <v>0.19</v>
      </c>
      <c r="E7898" s="4" t="n">
        <v>100000</v>
      </c>
      <c r="F7898" s="4" t="n">
        <v>19000</v>
      </c>
    </row>
    <row r="7899">
      <c r="A7899" s="3" t="inlineStr">
        <is>
          <t>2</t>
        </is>
      </c>
      <c r="B7899" s="3" t="inlineStr">
        <is>
          <t>Tukang Listrik</t>
        </is>
      </c>
      <c r="C7899" s="3" t="inlineStr">
        <is>
          <t>OH</t>
        </is>
      </c>
      <c r="D7899" s="15" t="n">
        <v>0.318</v>
      </c>
      <c r="E7899" s="4" t="n">
        <v>145000</v>
      </c>
      <c r="F7899" s="4" t="n">
        <v>46110</v>
      </c>
    </row>
    <row r="7900">
      <c r="A7900" s="3" t="inlineStr">
        <is>
          <t>3</t>
        </is>
      </c>
      <c r="B7900" s="3" t="inlineStr">
        <is>
          <t>Kepala tukang</t>
        </is>
      </c>
      <c r="C7900" s="3" t="inlineStr">
        <is>
          <t>OH</t>
        </is>
      </c>
      <c r="D7900" s="15" t="n">
        <v>0.032</v>
      </c>
      <c r="E7900" s="4" t="n">
        <v>175000</v>
      </c>
      <c r="F7900" s="4" t="n">
        <v>5600</v>
      </c>
    </row>
    <row r="7901">
      <c r="A7901" s="3" t="inlineStr">
        <is>
          <t>4</t>
        </is>
      </c>
      <c r="B7901" s="3" t="inlineStr">
        <is>
          <t>Mandor</t>
        </is>
      </c>
      <c r="C7901" s="3" t="inlineStr">
        <is>
          <t>OH</t>
        </is>
      </c>
      <c r="D7901" s="15" t="n">
        <v>0.011</v>
      </c>
      <c r="E7901" s="4" t="n">
        <v>200000</v>
      </c>
      <c r="F7901" s="4" t="n">
        <v>2200</v>
      </c>
    </row>
    <row r="7902">
      <c r="A7902" s="3" t="inlineStr">
        <is>
          <t>1</t>
        </is>
      </c>
      <c r="B7902" s="3" t="inlineStr">
        <is>
          <t>"Kabel NYM 3 x 2 5 mm²"</t>
        </is>
      </c>
      <c r="C7902" s="3" t="inlineStr">
        <is>
          <t>m</t>
        </is>
      </c>
      <c r="D7902" s="15" t="n">
        <v>8.800000000000001</v>
      </c>
      <c r="E7902" s="4" t="n">
        <v>21300</v>
      </c>
      <c r="F7902" s="4" t="n">
        <v>187440</v>
      </c>
    </row>
    <row r="7903">
      <c r="A7903" s="3" t="inlineStr">
        <is>
          <t>2</t>
        </is>
      </c>
      <c r="B7903" s="3" t="inlineStr">
        <is>
          <t>Isolasi</t>
        </is>
      </c>
      <c r="C7903" s="3" t="inlineStr">
        <is>
          <t>m</t>
        </is>
      </c>
      <c r="D7903" s="15" t="n">
        <v>0.5</v>
      </c>
      <c r="E7903" s="4" t="n">
        <v>416</v>
      </c>
      <c r="F7903" s="4" t="n">
        <v>208</v>
      </c>
    </row>
    <row r="7904">
      <c r="A7904" s="3" t="inlineStr">
        <is>
          <t>3</t>
        </is>
      </c>
      <c r="B7904" s="3" t="inlineStr">
        <is>
          <t>Lasdop</t>
        </is>
      </c>
      <c r="C7904" s="3" t="inlineStr">
        <is>
          <t>buah</t>
        </is>
      </c>
      <c r="D7904" s="15" t="n">
        <v>3</v>
      </c>
      <c r="E7904" s="4" t="n">
        <v>580</v>
      </c>
      <c r="F7904" s="4" t="n">
        <v>1740</v>
      </c>
    </row>
    <row r="7905">
      <c r="D7905" s="2" t="inlineStr">
        <is>
          <t>SUBTOTAL UPAH</t>
        </is>
      </c>
      <c r="F7905" s="16" t="n">
        <v>72910</v>
      </c>
    </row>
    <row r="7906">
      <c r="D7906" s="2" t="inlineStr">
        <is>
          <t>SUBTOTAL BAHAN</t>
        </is>
      </c>
      <c r="F7906" s="16" t="n">
        <v>189388</v>
      </c>
    </row>
    <row r="7907">
      <c r="D7907" s="2" t="inlineStr">
        <is>
          <t>SUBTOTAL ALAT</t>
        </is>
      </c>
      <c r="F7907" s="16" t="n">
        <v>0</v>
      </c>
    </row>
    <row r="7908">
      <c r="E7908" s="2" t="inlineStr">
        <is>
          <t>TOTAL HARGA SATUAN (Inc. Overhead)</t>
        </is>
      </c>
      <c r="F7908" s="17" t="n">
        <v>288527</v>
      </c>
    </row>
    <row r="7910">
      <c r="A7910" s="14" t="inlineStr">
        <is>
          <t>KODE: 5.3.1.38 - Pemasangan 1 titik Instalasi Lampu PJU Tiang 9 m  ( dengan Kabel NYM)</t>
        </is>
      </c>
    </row>
    <row r="7911">
      <c r="A7911" s="10" t="inlineStr">
        <is>
          <t>No</t>
        </is>
      </c>
      <c r="B7911" s="10" t="inlineStr">
        <is>
          <t>Uraian Komponen</t>
        </is>
      </c>
      <c r="C7911" s="10" t="inlineStr">
        <is>
          <t>Satuan</t>
        </is>
      </c>
      <c r="D7911" s="10" t="inlineStr">
        <is>
          <t>Koef</t>
        </is>
      </c>
      <c r="E7911" s="10" t="inlineStr">
        <is>
          <t>Harga Satuan (Rp)</t>
        </is>
      </c>
      <c r="F7911" s="10" t="inlineStr">
        <is>
          <t>Jumlah Harga (Rp)</t>
        </is>
      </c>
    </row>
    <row r="7912">
      <c r="A7912" s="3" t="inlineStr">
        <is>
          <t>1</t>
        </is>
      </c>
      <c r="B7912" s="3" t="inlineStr">
        <is>
          <t>Pekerja</t>
        </is>
      </c>
      <c r="C7912" s="3" t="inlineStr">
        <is>
          <t>OH</t>
        </is>
      </c>
      <c r="D7912" s="15" t="n">
        <v>0.19</v>
      </c>
      <c r="E7912" s="4" t="n">
        <v>100000</v>
      </c>
      <c r="F7912" s="4" t="n">
        <v>19000</v>
      </c>
    </row>
    <row r="7913">
      <c r="A7913" s="3" t="inlineStr">
        <is>
          <t>2</t>
        </is>
      </c>
      <c r="B7913" s="3" t="inlineStr">
        <is>
          <t>Tukang Listrik</t>
        </is>
      </c>
      <c r="C7913" s="3" t="inlineStr">
        <is>
          <t>OH</t>
        </is>
      </c>
      <c r="D7913" s="15" t="n">
        <v>0.318</v>
      </c>
      <c r="E7913" s="4" t="n">
        <v>145000</v>
      </c>
      <c r="F7913" s="4" t="n">
        <v>46110</v>
      </c>
    </row>
    <row r="7914">
      <c r="A7914" s="3" t="inlineStr">
        <is>
          <t>3</t>
        </is>
      </c>
      <c r="B7914" s="3" t="inlineStr">
        <is>
          <t>Kepala tukang</t>
        </is>
      </c>
      <c r="C7914" s="3" t="inlineStr">
        <is>
          <t>OH</t>
        </is>
      </c>
      <c r="D7914" s="15" t="n">
        <v>0.032</v>
      </c>
      <c r="E7914" s="4" t="n">
        <v>175000</v>
      </c>
      <c r="F7914" s="4" t="n">
        <v>5600</v>
      </c>
    </row>
    <row r="7915">
      <c r="A7915" s="3" t="inlineStr">
        <is>
          <t>4</t>
        </is>
      </c>
      <c r="B7915" s="3" t="inlineStr">
        <is>
          <t>Mandor</t>
        </is>
      </c>
      <c r="C7915" s="3" t="inlineStr">
        <is>
          <t>OH</t>
        </is>
      </c>
      <c r="D7915" s="15" t="n">
        <v>0.011</v>
      </c>
      <c r="E7915" s="4" t="n">
        <v>200000</v>
      </c>
      <c r="F7915" s="4" t="n">
        <v>2200</v>
      </c>
    </row>
    <row r="7916">
      <c r="A7916" s="3" t="inlineStr">
        <is>
          <t>1</t>
        </is>
      </c>
      <c r="B7916" s="3" t="inlineStr">
        <is>
          <t>"Kabel NYM 3 x 2 5 mm²"</t>
        </is>
      </c>
      <c r="C7916" s="3" t="inlineStr">
        <is>
          <t>m</t>
        </is>
      </c>
      <c r="D7916" s="15" t="n">
        <v>11</v>
      </c>
      <c r="E7916" s="4" t="n">
        <v>21300</v>
      </c>
      <c r="F7916" s="4" t="n">
        <v>234300</v>
      </c>
    </row>
    <row r="7917">
      <c r="A7917" s="3" t="inlineStr">
        <is>
          <t>2</t>
        </is>
      </c>
      <c r="B7917" s="3" t="inlineStr">
        <is>
          <t>Isolasi</t>
        </is>
      </c>
      <c r="C7917" s="3" t="inlineStr">
        <is>
          <t>m</t>
        </is>
      </c>
      <c r="D7917" s="15" t="n">
        <v>0.5</v>
      </c>
      <c r="E7917" s="4" t="n">
        <v>416</v>
      </c>
      <c r="F7917" s="4" t="n">
        <v>208</v>
      </c>
    </row>
    <row r="7918">
      <c r="A7918" s="3" t="inlineStr">
        <is>
          <t>3</t>
        </is>
      </c>
      <c r="B7918" s="3" t="inlineStr">
        <is>
          <t>Lasdop</t>
        </is>
      </c>
      <c r="C7918" s="3" t="inlineStr">
        <is>
          <t>buah</t>
        </is>
      </c>
      <c r="D7918" s="15" t="n">
        <v>3</v>
      </c>
      <c r="E7918" s="4" t="n">
        <v>580</v>
      </c>
      <c r="F7918" s="4" t="n">
        <v>1740</v>
      </c>
    </row>
    <row r="7919">
      <c r="D7919" s="2" t="inlineStr">
        <is>
          <t>SUBTOTAL UPAH</t>
        </is>
      </c>
      <c r="F7919" s="16" t="n">
        <v>72910</v>
      </c>
    </row>
    <row r="7920">
      <c r="D7920" s="2" t="inlineStr">
        <is>
          <t>SUBTOTAL BAHAN</t>
        </is>
      </c>
      <c r="F7920" s="16" t="n">
        <v>236248</v>
      </c>
    </row>
    <row r="7921">
      <c r="D7921" s="2" t="inlineStr">
        <is>
          <t>SUBTOTAL ALAT</t>
        </is>
      </c>
      <c r="F7921" s="16" t="n">
        <v>0</v>
      </c>
    </row>
    <row r="7922">
      <c r="E7922" s="2" t="inlineStr">
        <is>
          <t>TOTAL HARGA SATUAN (Inc. Overhead)</t>
        </is>
      </c>
      <c r="F7922" s="17" t="n">
        <v>340073</v>
      </c>
    </row>
    <row r="7924">
      <c r="A7924" s="14" t="inlineStr">
        <is>
          <t>KODE: 5.3.1.39 - Pemasangan 1 Unit Sport Floodlight LED, Min 180000 Lumen, Max. 1340 W, 5700K, min. CRI 80, min. IP 66 c/w DMX Led Driver &amp; Customized Bracklet ( Field of Play)</t>
        </is>
      </c>
    </row>
    <row r="7925">
      <c r="A7925" s="10" t="inlineStr">
        <is>
          <t>No</t>
        </is>
      </c>
      <c r="B7925" s="10" t="inlineStr">
        <is>
          <t>Uraian Komponen</t>
        </is>
      </c>
      <c r="C7925" s="10" t="inlineStr">
        <is>
          <t>Satuan</t>
        </is>
      </c>
      <c r="D7925" s="10" t="inlineStr">
        <is>
          <t>Koef</t>
        </is>
      </c>
      <c r="E7925" s="10" t="inlineStr">
        <is>
          <t>Harga Satuan (Rp)</t>
        </is>
      </c>
      <c r="F7925" s="10" t="inlineStr">
        <is>
          <t>Jumlah Harga (Rp)</t>
        </is>
      </c>
    </row>
    <row r="7926">
      <c r="A7926" s="3" t="inlineStr">
        <is>
          <t>1</t>
        </is>
      </c>
      <c r="B7926" s="3" t="inlineStr">
        <is>
          <t>Pekerja</t>
        </is>
      </c>
      <c r="C7926" s="3" t="inlineStr">
        <is>
          <t>OH</t>
        </is>
      </c>
      <c r="D7926" s="15" t="n">
        <v>0.6</v>
      </c>
      <c r="E7926" s="4" t="n">
        <v>100000</v>
      </c>
      <c r="F7926" s="4" t="n">
        <v>60000</v>
      </c>
    </row>
    <row r="7927">
      <c r="A7927" s="3" t="inlineStr">
        <is>
          <t>2</t>
        </is>
      </c>
      <c r="B7927" s="3" t="inlineStr">
        <is>
          <t>Tukang Listrik</t>
        </is>
      </c>
      <c r="C7927" s="3" t="inlineStr">
        <is>
          <t>OH</t>
        </is>
      </c>
      <c r="D7927" s="15" t="n">
        <v>1.002</v>
      </c>
      <c r="E7927" s="4" t="n">
        <v>145000</v>
      </c>
      <c r="F7927" s="4" t="n">
        <v>145290</v>
      </c>
    </row>
    <row r="7928">
      <c r="A7928" s="3" t="inlineStr">
        <is>
          <t>3</t>
        </is>
      </c>
      <c r="B7928" s="3" t="inlineStr">
        <is>
          <t>Kepala tukang</t>
        </is>
      </c>
      <c r="C7928" s="3" t="inlineStr">
        <is>
          <t>OH</t>
        </is>
      </c>
      <c r="D7928" s="15" t="n">
        <v>0.1</v>
      </c>
      <c r="E7928" s="4" t="n">
        <v>175000</v>
      </c>
      <c r="F7928" s="4" t="n">
        <v>17500</v>
      </c>
    </row>
    <row r="7929">
      <c r="A7929" s="3" t="inlineStr">
        <is>
          <t>4</t>
        </is>
      </c>
      <c r="B7929" s="3" t="inlineStr">
        <is>
          <t>Mandor</t>
        </is>
      </c>
      <c r="C7929" s="3" t="inlineStr">
        <is>
          <t>OH</t>
        </is>
      </c>
      <c r="D7929" s="15" t="n">
        <v>0.033</v>
      </c>
      <c r="E7929" s="4" t="n">
        <v>200000</v>
      </c>
      <c r="F7929" s="4" t="n">
        <v>6600</v>
      </c>
    </row>
    <row r="7930">
      <c r="A7930" s="3" t="inlineStr">
        <is>
          <t>1</t>
        </is>
      </c>
      <c r="B7930" s="3" t="inlineStr">
        <is>
          <t>Lampu Sport Floodlight Led</t>
        </is>
      </c>
      <c r="C7930" s="3" t="inlineStr">
        <is>
          <t>buah</t>
        </is>
      </c>
      <c r="D7930" s="15" t="n">
        <v>1.1</v>
      </c>
      <c r="E7930" s="4" t="n">
        <v>375000</v>
      </c>
      <c r="F7930" s="4" t="n">
        <v>412500.0000000001</v>
      </c>
    </row>
    <row r="7931">
      <c r="A7931" s="3" t="inlineStr">
        <is>
          <t>2</t>
        </is>
      </c>
      <c r="B7931" s="3" t="inlineStr">
        <is>
          <t>Brackket</t>
        </is>
      </c>
      <c r="C7931" s="3" t="inlineStr">
        <is>
          <t>buah</t>
        </is>
      </c>
      <c r="D7931" s="15" t="n">
        <v>1</v>
      </c>
      <c r="E7931" s="4" t="n">
        <v>11500</v>
      </c>
      <c r="F7931" s="4" t="n">
        <v>11500</v>
      </c>
    </row>
    <row r="7932">
      <c r="A7932" s="3" t="inlineStr">
        <is>
          <t>1</t>
        </is>
      </c>
      <c r="B7932" s="3" t="inlineStr">
        <is>
          <t>Boom Lift</t>
        </is>
      </c>
      <c r="C7932" s="3" t="inlineStr">
        <is>
          <t>hari</t>
        </is>
      </c>
      <c r="D7932" s="15" t="n">
        <v>0.286</v>
      </c>
      <c r="E7932" s="4" t="n">
        <v>3300000</v>
      </c>
      <c r="F7932" s="4" t="n">
        <v>943799.9999999999</v>
      </c>
    </row>
    <row r="7933">
      <c r="D7933" s="2" t="inlineStr">
        <is>
          <t>SUBTOTAL UPAH</t>
        </is>
      </c>
      <c r="F7933" s="16" t="n">
        <v>229390</v>
      </c>
    </row>
    <row r="7934">
      <c r="D7934" s="2" t="inlineStr">
        <is>
          <t>SUBTOTAL BAHAN</t>
        </is>
      </c>
      <c r="F7934" s="16" t="n">
        <v>424000.0000000001</v>
      </c>
    </row>
    <row r="7935">
      <c r="D7935" s="2" t="inlineStr">
        <is>
          <t>SUBTOTAL ALAT</t>
        </is>
      </c>
      <c r="F7935" s="16" t="n">
        <v>943799.9999999999</v>
      </c>
    </row>
    <row r="7936">
      <c r="E7936" s="2" t="inlineStr">
        <is>
          <t>TOTAL HARGA SATUAN (Inc. Overhead)</t>
        </is>
      </c>
      <c r="F7936" s="17" t="n">
        <v>1756909</v>
      </c>
    </row>
    <row r="7938">
      <c r="A7938" s="14" t="inlineStr">
        <is>
          <t>KODE: 5.3.1.40 - Pemasangan 1 buah Junction Box IP Rated</t>
        </is>
      </c>
    </row>
    <row r="7939">
      <c r="A7939" s="10" t="inlineStr">
        <is>
          <t>No</t>
        </is>
      </c>
      <c r="B7939" s="10" t="inlineStr">
        <is>
          <t>Uraian Komponen</t>
        </is>
      </c>
      <c r="C7939" s="10" t="inlineStr">
        <is>
          <t>Satuan</t>
        </is>
      </c>
      <c r="D7939" s="10" t="inlineStr">
        <is>
          <t>Koef</t>
        </is>
      </c>
      <c r="E7939" s="10" t="inlineStr">
        <is>
          <t>Harga Satuan (Rp)</t>
        </is>
      </c>
      <c r="F7939" s="10" t="inlineStr">
        <is>
          <t>Jumlah Harga (Rp)</t>
        </is>
      </c>
    </row>
    <row r="7940">
      <c r="A7940" s="3" t="inlineStr">
        <is>
          <t>1</t>
        </is>
      </c>
      <c r="B7940" s="3" t="inlineStr">
        <is>
          <t>Pekerja</t>
        </is>
      </c>
      <c r="C7940" s="3" t="inlineStr">
        <is>
          <t>OH</t>
        </is>
      </c>
      <c r="D7940" s="15" t="n">
        <v>0.08599999999999999</v>
      </c>
      <c r="E7940" s="4" t="n">
        <v>100000</v>
      </c>
      <c r="F7940" s="4" t="n">
        <v>8600</v>
      </c>
    </row>
    <row r="7941">
      <c r="A7941" s="3" t="inlineStr">
        <is>
          <t>2</t>
        </is>
      </c>
      <c r="B7941" s="3" t="inlineStr">
        <is>
          <t>Tukang Listrik</t>
        </is>
      </c>
      <c r="C7941" s="3" t="inlineStr">
        <is>
          <t>OH</t>
        </is>
      </c>
      <c r="D7941" s="15" t="n">
        <v>0.143</v>
      </c>
      <c r="E7941" s="4" t="n">
        <v>145000</v>
      </c>
      <c r="F7941" s="4" t="n">
        <v>20735</v>
      </c>
    </row>
    <row r="7942">
      <c r="A7942" s="3" t="inlineStr">
        <is>
          <t>3</t>
        </is>
      </c>
      <c r="B7942" s="3" t="inlineStr">
        <is>
          <t>Kepala tukang</t>
        </is>
      </c>
      <c r="C7942" s="3" t="inlineStr">
        <is>
          <t>OH</t>
        </is>
      </c>
      <c r="D7942" s="15" t="n">
        <v>0.014</v>
      </c>
      <c r="E7942" s="4" t="n">
        <v>175000</v>
      </c>
      <c r="F7942" s="4" t="n">
        <v>2450</v>
      </c>
    </row>
    <row r="7943">
      <c r="A7943" s="3" t="inlineStr">
        <is>
          <t>4</t>
        </is>
      </c>
      <c r="B7943" s="3" t="inlineStr">
        <is>
          <t>Mandor</t>
        </is>
      </c>
      <c r="C7943" s="3" t="inlineStr">
        <is>
          <t>OH</t>
        </is>
      </c>
      <c r="D7943" s="15" t="n">
        <v>0.005</v>
      </c>
      <c r="E7943" s="4" t="n">
        <v>200000</v>
      </c>
      <c r="F7943" s="4" t="n">
        <v>1000</v>
      </c>
    </row>
    <row r="7944">
      <c r="A7944" s="3" t="inlineStr">
        <is>
          <t>1</t>
        </is>
      </c>
      <c r="B7944" s="3" t="inlineStr">
        <is>
          <t>Junction Box IP Rated</t>
        </is>
      </c>
      <c r="C7944" s="3" t="inlineStr">
        <is>
          <t>buah</t>
        </is>
      </c>
      <c r="D7944" s="15" t="n">
        <v>1.1</v>
      </c>
      <c r="E7944" s="4" t="n">
        <v>142000</v>
      </c>
      <c r="F7944" s="4" t="n">
        <v>156200</v>
      </c>
    </row>
    <row r="7945">
      <c r="D7945" s="2" t="inlineStr">
        <is>
          <t>SUBTOTAL UPAH</t>
        </is>
      </c>
      <c r="F7945" s="16" t="n">
        <v>32785</v>
      </c>
    </row>
    <row r="7946">
      <c r="D7946" s="2" t="inlineStr">
        <is>
          <t>SUBTOTAL BAHAN</t>
        </is>
      </c>
      <c r="F7946" s="16" t="n">
        <v>156200</v>
      </c>
    </row>
    <row r="7947">
      <c r="D7947" s="2" t="inlineStr">
        <is>
          <t>SUBTOTAL ALAT</t>
        </is>
      </c>
      <c r="F7947" s="16" t="n">
        <v>0</v>
      </c>
    </row>
    <row r="7948">
      <c r="E7948" s="2" t="inlineStr">
        <is>
          <t>TOTAL HARGA SATUAN (Inc. Overhead)</t>
        </is>
      </c>
      <c r="F7948" s="17" t="n">
        <v>207883</v>
      </c>
    </row>
    <row r="7950">
      <c r="A7950" s="14" t="inlineStr">
        <is>
          <t>KODE: 5.3.1.41 - Setting &amp; Aiming 1 titik Lampu Field Of Play (FOP) Eksisting</t>
        </is>
      </c>
    </row>
    <row r="7951">
      <c r="A7951" s="10" t="inlineStr">
        <is>
          <t>No</t>
        </is>
      </c>
      <c r="B7951" s="10" t="inlineStr">
        <is>
          <t>Uraian Komponen</t>
        </is>
      </c>
      <c r="C7951" s="10" t="inlineStr">
        <is>
          <t>Satuan</t>
        </is>
      </c>
      <c r="D7951" s="10" t="inlineStr">
        <is>
          <t>Koef</t>
        </is>
      </c>
      <c r="E7951" s="10" t="inlineStr">
        <is>
          <t>Harga Satuan (Rp)</t>
        </is>
      </c>
      <c r="F7951" s="10" t="inlineStr">
        <is>
          <t>Jumlah Harga (Rp)</t>
        </is>
      </c>
    </row>
    <row r="7952">
      <c r="A7952" s="3" t="inlineStr">
        <is>
          <t>1</t>
        </is>
      </c>
      <c r="B7952" s="3" t="inlineStr">
        <is>
          <t>Pekerja</t>
        </is>
      </c>
      <c r="C7952" s="3" t="inlineStr">
        <is>
          <t>OH</t>
        </is>
      </c>
      <c r="D7952" s="15" t="n">
        <v>0.769</v>
      </c>
      <c r="E7952" s="4" t="n">
        <v>100000</v>
      </c>
      <c r="F7952" s="4" t="n">
        <v>76900</v>
      </c>
    </row>
    <row r="7953">
      <c r="A7953" s="3" t="inlineStr">
        <is>
          <t>2</t>
        </is>
      </c>
      <c r="B7953" s="3" t="inlineStr">
        <is>
          <t>Tenaga Terampil Operator</t>
        </is>
      </c>
      <c r="C7953" s="3" t="inlineStr">
        <is>
          <t>OH</t>
        </is>
      </c>
      <c r="D7953" s="15" t="n">
        <v>0.231</v>
      </c>
      <c r="E7953" s="4" t="n">
        <v>145000</v>
      </c>
      <c r="F7953" s="4" t="n">
        <v>33495</v>
      </c>
    </row>
    <row r="7954">
      <c r="A7954" s="3" t="inlineStr">
        <is>
          <t>3</t>
        </is>
      </c>
      <c r="B7954" s="3" t="inlineStr">
        <is>
          <t>Tenaga Ahli Muda</t>
        </is>
      </c>
      <c r="C7954" s="3" t="inlineStr">
        <is>
          <t>OH</t>
        </is>
      </c>
      <c r="D7954" s="15" t="n">
        <v>0.115</v>
      </c>
      <c r="E7954" s="4" t="n">
        <v>145000</v>
      </c>
      <c r="F7954" s="4" t="n">
        <v>16675</v>
      </c>
    </row>
    <row r="7955">
      <c r="D7955" s="2" t="inlineStr">
        <is>
          <t>SUBTOTAL UPAH</t>
        </is>
      </c>
      <c r="F7955" s="16" t="n">
        <v>127070</v>
      </c>
    </row>
    <row r="7956">
      <c r="D7956" s="2" t="inlineStr">
        <is>
          <t>SUBTOTAL BAHAN</t>
        </is>
      </c>
      <c r="F7956" s="16" t="n">
        <v>0</v>
      </c>
    </row>
    <row r="7957">
      <c r="D7957" s="2" t="inlineStr">
        <is>
          <t>SUBTOTAL ALAT</t>
        </is>
      </c>
      <c r="F7957" s="16" t="n">
        <v>0</v>
      </c>
    </row>
    <row r="7958">
      <c r="E7958" s="2" t="inlineStr">
        <is>
          <t>TOTAL HARGA SATUAN (Inc. Overhead)</t>
        </is>
      </c>
      <c r="F7958" s="17" t="n">
        <v>139777</v>
      </c>
    </row>
    <row r="7960">
      <c r="A7960" s="14" t="inlineStr">
        <is>
          <t>KODE: 5.3.1.42 - Pemasangan 1 m' Kabel Fiber Optic Dual Core Single Mode + Pipa HDPE Conduit 20 mm</t>
        </is>
      </c>
    </row>
    <row r="7961">
      <c r="A7961" s="10" t="inlineStr">
        <is>
          <t>No</t>
        </is>
      </c>
      <c r="B7961" s="10" t="inlineStr">
        <is>
          <t>Uraian Komponen</t>
        </is>
      </c>
      <c r="C7961" s="10" t="inlineStr">
        <is>
          <t>Satuan</t>
        </is>
      </c>
      <c r="D7961" s="10" t="inlineStr">
        <is>
          <t>Koef</t>
        </is>
      </c>
      <c r="E7961" s="10" t="inlineStr">
        <is>
          <t>Harga Satuan (Rp)</t>
        </is>
      </c>
      <c r="F7961" s="10" t="inlineStr">
        <is>
          <t>Jumlah Harga (Rp)</t>
        </is>
      </c>
    </row>
    <row r="7962">
      <c r="A7962" s="3" t="inlineStr">
        <is>
          <t>1</t>
        </is>
      </c>
      <c r="B7962" s="3" t="inlineStr">
        <is>
          <t>Pekerja</t>
        </is>
      </c>
      <c r="C7962" s="3" t="inlineStr">
        <is>
          <t>OH</t>
        </is>
      </c>
      <c r="D7962" s="15" t="n">
        <v>0.024</v>
      </c>
      <c r="E7962" s="4" t="n">
        <v>100000</v>
      </c>
      <c r="F7962" s="4" t="n">
        <v>2400</v>
      </c>
    </row>
    <row r="7963">
      <c r="A7963" s="3" t="inlineStr">
        <is>
          <t>2</t>
        </is>
      </c>
      <c r="B7963" s="3" t="inlineStr">
        <is>
          <t>Tukang listrik</t>
        </is>
      </c>
      <c r="C7963" s="3" t="inlineStr">
        <is>
          <t>OH</t>
        </is>
      </c>
      <c r="D7963" s="15" t="n">
        <v>0.04</v>
      </c>
      <c r="E7963" s="4" t="n">
        <v>145000</v>
      </c>
      <c r="F7963" s="4" t="n">
        <v>5800</v>
      </c>
    </row>
    <row r="7964">
      <c r="A7964" s="3" t="inlineStr">
        <is>
          <t>3</t>
        </is>
      </c>
      <c r="B7964" s="3" t="inlineStr">
        <is>
          <t>Kepala Tukang</t>
        </is>
      </c>
      <c r="C7964" s="3" t="inlineStr">
        <is>
          <t>OH</t>
        </is>
      </c>
      <c r="D7964" s="15" t="n">
        <v>0.004</v>
      </c>
      <c r="E7964" s="4" t="n">
        <v>175000</v>
      </c>
      <c r="F7964" s="4" t="n">
        <v>700</v>
      </c>
    </row>
    <row r="7965">
      <c r="A7965" s="3" t="inlineStr">
        <is>
          <t>4</t>
        </is>
      </c>
      <c r="B7965" s="3" t="inlineStr">
        <is>
          <t>Mandor</t>
        </is>
      </c>
      <c r="C7965" s="3" t="inlineStr">
        <is>
          <t>OH</t>
        </is>
      </c>
      <c r="D7965" s="15" t="n">
        <v>0.001</v>
      </c>
      <c r="E7965" s="4" t="n">
        <v>200000</v>
      </c>
      <c r="F7965" s="4" t="n">
        <v>200</v>
      </c>
    </row>
    <row r="7966">
      <c r="A7966" s="3" t="inlineStr">
        <is>
          <t>1</t>
        </is>
      </c>
      <c r="B7966" s="3" t="inlineStr">
        <is>
          <t>Kabel Fiber Optic Dual Core Single Mode</t>
        </is>
      </c>
      <c r="C7966" s="3" t="inlineStr">
        <is>
          <t>m</t>
        </is>
      </c>
      <c r="D7966" s="15" t="n">
        <v>1.1</v>
      </c>
      <c r="E7966" s="4" t="n">
        <v>11300</v>
      </c>
      <c r="F7966" s="4" t="n">
        <v>12430</v>
      </c>
    </row>
    <row r="7967">
      <c r="A7967" s="3" t="inlineStr">
        <is>
          <t>2</t>
        </is>
      </c>
      <c r="B7967" s="3" t="inlineStr">
        <is>
          <t>Pipa HDPE Conduit 20 mm</t>
        </is>
      </c>
      <c r="C7967" s="3" t="inlineStr">
        <is>
          <t>m</t>
        </is>
      </c>
      <c r="D7967" s="15" t="n">
        <v>1.1</v>
      </c>
      <c r="E7967" s="4" t="n">
        <v>3800</v>
      </c>
      <c r="F7967" s="4" t="n">
        <v>4180</v>
      </c>
    </row>
    <row r="7968">
      <c r="D7968" s="2" t="inlineStr">
        <is>
          <t>SUBTOTAL UPAH</t>
        </is>
      </c>
      <c r="F7968" s="16" t="n">
        <v>9100</v>
      </c>
    </row>
    <row r="7969">
      <c r="D7969" s="2" t="inlineStr">
        <is>
          <t>SUBTOTAL BAHAN</t>
        </is>
      </c>
      <c r="F7969" s="16" t="n">
        <v>16610</v>
      </c>
    </row>
    <row r="7970">
      <c r="D7970" s="2" t="inlineStr">
        <is>
          <t>SUBTOTAL ALAT</t>
        </is>
      </c>
      <c r="F7970" s="16" t="n">
        <v>0</v>
      </c>
    </row>
    <row r="7971">
      <c r="E7971" s="2" t="inlineStr">
        <is>
          <t>TOTAL HARGA SATUAN (Inc. Overhead)</t>
        </is>
      </c>
      <c r="F7971" s="17" t="n">
        <v>28281</v>
      </c>
    </row>
    <row r="7973">
      <c r="A7973" s="14" t="inlineStr">
        <is>
          <t>KODE: 5.3.1.43 - Pemasangan 1 buah DMX LED Controller , 1 Universe</t>
        </is>
      </c>
    </row>
    <row r="7974">
      <c r="A7974" s="10" t="inlineStr">
        <is>
          <t>No</t>
        </is>
      </c>
      <c r="B7974" s="10" t="inlineStr">
        <is>
          <t>Uraian Komponen</t>
        </is>
      </c>
      <c r="C7974" s="10" t="inlineStr">
        <is>
          <t>Satuan</t>
        </is>
      </c>
      <c r="D7974" s="10" t="inlineStr">
        <is>
          <t>Koef</t>
        </is>
      </c>
      <c r="E7974" s="10" t="inlineStr">
        <is>
          <t>Harga Satuan (Rp)</t>
        </is>
      </c>
      <c r="F7974" s="10" t="inlineStr">
        <is>
          <t>Jumlah Harga (Rp)</t>
        </is>
      </c>
    </row>
    <row r="7975">
      <c r="A7975" s="3" t="inlineStr">
        <is>
          <t>1</t>
        </is>
      </c>
      <c r="B7975" s="3" t="inlineStr">
        <is>
          <t>Pekerja</t>
        </is>
      </c>
      <c r="C7975" s="3" t="inlineStr">
        <is>
          <t>OH</t>
        </is>
      </c>
      <c r="D7975" s="15" t="n">
        <v>0.681</v>
      </c>
      <c r="E7975" s="4" t="n">
        <v>100000</v>
      </c>
      <c r="F7975" s="4" t="n">
        <v>68100</v>
      </c>
    </row>
    <row r="7976">
      <c r="A7976" s="3" t="inlineStr">
        <is>
          <t>2</t>
        </is>
      </c>
      <c r="B7976" s="3" t="inlineStr">
        <is>
          <t>Tukang listrik</t>
        </is>
      </c>
      <c r="C7976" s="3" t="inlineStr">
        <is>
          <t>OH</t>
        </is>
      </c>
      <c r="D7976" s="15" t="n">
        <v>1.137</v>
      </c>
      <c r="E7976" s="4" t="n">
        <v>145000</v>
      </c>
      <c r="F7976" s="4" t="n">
        <v>164865</v>
      </c>
    </row>
    <row r="7977">
      <c r="A7977" s="3" t="inlineStr">
        <is>
          <t>3</t>
        </is>
      </c>
      <c r="B7977" s="3" t="inlineStr">
        <is>
          <t>Kepala Tukang</t>
        </is>
      </c>
      <c r="C7977" s="3" t="inlineStr">
        <is>
          <t>OH</t>
        </is>
      </c>
      <c r="D7977" s="15" t="n">
        <v>0.114</v>
      </c>
      <c r="E7977" s="4" t="n">
        <v>175000</v>
      </c>
      <c r="F7977" s="4" t="n">
        <v>19950</v>
      </c>
    </row>
    <row r="7978">
      <c r="A7978" s="3" t="inlineStr">
        <is>
          <t>4</t>
        </is>
      </c>
      <c r="B7978" s="3" t="inlineStr">
        <is>
          <t>Mandor</t>
        </is>
      </c>
      <c r="C7978" s="3" t="inlineStr">
        <is>
          <t>OH</t>
        </is>
      </c>
      <c r="D7978" s="15" t="n">
        <v>0.038</v>
      </c>
      <c r="E7978" s="4" t="n">
        <v>200000</v>
      </c>
      <c r="F7978" s="4" t="n">
        <v>7600</v>
      </c>
    </row>
    <row r="7979">
      <c r="A7979" s="3" t="inlineStr">
        <is>
          <t>1</t>
        </is>
      </c>
      <c r="B7979" s="3" t="inlineStr">
        <is>
          <t>DMX LED Controller 1 Universe</t>
        </is>
      </c>
      <c r="C7979" s="3" t="inlineStr">
        <is>
          <t>buah</t>
        </is>
      </c>
      <c r="D7979" s="15" t="n">
        <v>1.1</v>
      </c>
      <c r="E7979" s="4" t="n">
        <v>1400000</v>
      </c>
      <c r="F7979" s="4" t="n">
        <v>1540000</v>
      </c>
    </row>
    <row r="7980">
      <c r="D7980" s="2" t="inlineStr">
        <is>
          <t>SUBTOTAL UPAH</t>
        </is>
      </c>
      <c r="F7980" s="16" t="n">
        <v>260515</v>
      </c>
    </row>
    <row r="7981">
      <c r="D7981" s="2" t="inlineStr">
        <is>
          <t>SUBTOTAL BAHAN</t>
        </is>
      </c>
      <c r="F7981" s="16" t="n">
        <v>1540000</v>
      </c>
    </row>
    <row r="7982">
      <c r="D7982" s="2" t="inlineStr">
        <is>
          <t>SUBTOTAL ALAT</t>
        </is>
      </c>
      <c r="F7982" s="16" t="n">
        <v>0</v>
      </c>
    </row>
    <row r="7983">
      <c r="E7983" s="2" t="inlineStr">
        <is>
          <t>TOTAL HARGA SATUAN (Inc. Overhead)</t>
        </is>
      </c>
      <c r="F7983" s="17" t="n">
        <v>1980566</v>
      </c>
    </row>
    <row r="7985">
      <c r="A7985" s="14" t="inlineStr">
        <is>
          <t>KODE: 5.3.1.44 - Pemasangan 1 Unit Downlight LED-E27 9W 3000K (Recessed)</t>
        </is>
      </c>
    </row>
    <row r="7986">
      <c r="A7986" s="10" t="inlineStr">
        <is>
          <t>No</t>
        </is>
      </c>
      <c r="B7986" s="10" t="inlineStr">
        <is>
          <t>Uraian Komponen</t>
        </is>
      </c>
      <c r="C7986" s="10" t="inlineStr">
        <is>
          <t>Satuan</t>
        </is>
      </c>
      <c r="D7986" s="10" t="inlineStr">
        <is>
          <t>Koef</t>
        </is>
      </c>
      <c r="E7986" s="10" t="inlineStr">
        <is>
          <t>Harga Satuan (Rp)</t>
        </is>
      </c>
      <c r="F7986" s="10" t="inlineStr">
        <is>
          <t>Jumlah Harga (Rp)</t>
        </is>
      </c>
    </row>
    <row r="7987">
      <c r="A7987" s="3" t="inlineStr">
        <is>
          <t>1</t>
        </is>
      </c>
      <c r="B7987" s="3" t="inlineStr">
        <is>
          <t>Pekerja</t>
        </is>
      </c>
      <c r="C7987" s="3" t="inlineStr">
        <is>
          <t>OH</t>
        </is>
      </c>
      <c r="D7987" s="15" t="n">
        <v>0.064</v>
      </c>
      <c r="E7987" s="4" t="n">
        <v>100000</v>
      </c>
      <c r="F7987" s="4" t="n">
        <v>6400</v>
      </c>
    </row>
    <row r="7988">
      <c r="A7988" s="3" t="inlineStr">
        <is>
          <t>2</t>
        </is>
      </c>
      <c r="B7988" s="3" t="inlineStr">
        <is>
          <t>Tukang listrik</t>
        </is>
      </c>
      <c r="C7988" s="3" t="inlineStr">
        <is>
          <t>OH</t>
        </is>
      </c>
      <c r="D7988" s="15" t="n">
        <v>0.107</v>
      </c>
      <c r="E7988" s="4" t="n">
        <v>145000</v>
      </c>
      <c r="F7988" s="4" t="n">
        <v>15515</v>
      </c>
    </row>
    <row r="7989">
      <c r="A7989" s="3" t="inlineStr">
        <is>
          <t>3</t>
        </is>
      </c>
      <c r="B7989" s="3" t="inlineStr">
        <is>
          <t>Kepala Tukang</t>
        </is>
      </c>
      <c r="C7989" s="3" t="inlineStr">
        <is>
          <t>OH</t>
        </is>
      </c>
      <c r="D7989" s="15" t="n">
        <v>0.011</v>
      </c>
      <c r="E7989" s="4" t="n">
        <v>175000</v>
      </c>
      <c r="F7989" s="4" t="n">
        <v>1925</v>
      </c>
    </row>
    <row r="7990">
      <c r="A7990" s="3" t="inlineStr">
        <is>
          <t>4</t>
        </is>
      </c>
      <c r="B7990" s="3" t="inlineStr">
        <is>
          <t>Mandor</t>
        </is>
      </c>
      <c r="C7990" s="3" t="inlineStr">
        <is>
          <t>OH</t>
        </is>
      </c>
      <c r="D7990" s="15" t="n">
        <v>0.004</v>
      </c>
      <c r="E7990" s="4" t="n">
        <v>200000</v>
      </c>
      <c r="F7990" s="4" t="n">
        <v>800</v>
      </c>
    </row>
    <row r="7991">
      <c r="A7991" s="3" t="inlineStr">
        <is>
          <t>1</t>
        </is>
      </c>
      <c r="B7991" s="3" t="inlineStr">
        <is>
          <t>Downlight LED-E27 9W 3000K (Recessed)</t>
        </is>
      </c>
      <c r="C7991" s="3" t="inlineStr">
        <is>
          <t>buah</t>
        </is>
      </c>
      <c r="D7991" s="15" t="n">
        <v>1.1</v>
      </c>
      <c r="E7991" s="4" t="n">
        <v>95000</v>
      </c>
      <c r="F7991" s="4" t="n">
        <v>104500</v>
      </c>
    </row>
    <row r="7992">
      <c r="D7992" s="2" t="inlineStr">
        <is>
          <t>SUBTOTAL UPAH</t>
        </is>
      </c>
      <c r="F7992" s="16" t="n">
        <v>24640</v>
      </c>
    </row>
    <row r="7993">
      <c r="D7993" s="2" t="inlineStr">
        <is>
          <t>SUBTOTAL BAHAN</t>
        </is>
      </c>
      <c r="F7993" s="16" t="n">
        <v>104500</v>
      </c>
    </row>
    <row r="7994">
      <c r="D7994" s="2" t="inlineStr">
        <is>
          <t>SUBTOTAL ALAT</t>
        </is>
      </c>
      <c r="F7994" s="16" t="n">
        <v>0</v>
      </c>
    </row>
    <row r="7995">
      <c r="E7995" s="2" t="inlineStr">
        <is>
          <t>TOTAL HARGA SATUAN (Inc. Overhead)</t>
        </is>
      </c>
      <c r="F7995" s="17" t="n">
        <v>142054</v>
      </c>
    </row>
    <row r="7997">
      <c r="A7997" s="14" t="inlineStr">
        <is>
          <t>KODE: 5.3.1.45 - Pemasangan 1 Unit Downlight LED-E27 9W 4000K (Recessed)</t>
        </is>
      </c>
    </row>
    <row r="7998">
      <c r="A7998" s="10" t="inlineStr">
        <is>
          <t>No</t>
        </is>
      </c>
      <c r="B7998" s="10" t="inlineStr">
        <is>
          <t>Uraian Komponen</t>
        </is>
      </c>
      <c r="C7998" s="10" t="inlineStr">
        <is>
          <t>Satuan</t>
        </is>
      </c>
      <c r="D7998" s="10" t="inlineStr">
        <is>
          <t>Koef</t>
        </is>
      </c>
      <c r="E7998" s="10" t="inlineStr">
        <is>
          <t>Harga Satuan (Rp)</t>
        </is>
      </c>
      <c r="F7998" s="10" t="inlineStr">
        <is>
          <t>Jumlah Harga (Rp)</t>
        </is>
      </c>
    </row>
    <row r="7999">
      <c r="A7999" s="3" t="inlineStr">
        <is>
          <t>1</t>
        </is>
      </c>
      <c r="B7999" s="3" t="inlineStr">
        <is>
          <t>Pekerja</t>
        </is>
      </c>
      <c r="C7999" s="3" t="inlineStr">
        <is>
          <t>OH</t>
        </is>
      </c>
      <c r="D7999" s="15" t="n">
        <v>0.064</v>
      </c>
      <c r="E7999" s="4" t="n">
        <v>100000</v>
      </c>
      <c r="F7999" s="4" t="n">
        <v>6400</v>
      </c>
    </row>
    <row r="8000">
      <c r="A8000" s="3" t="inlineStr">
        <is>
          <t>2</t>
        </is>
      </c>
      <c r="B8000" s="3" t="inlineStr">
        <is>
          <t>Tukang listrik</t>
        </is>
      </c>
      <c r="C8000" s="3" t="inlineStr">
        <is>
          <t>OH</t>
        </is>
      </c>
      <c r="D8000" s="15" t="n">
        <v>0.107</v>
      </c>
      <c r="E8000" s="4" t="n">
        <v>145000</v>
      </c>
      <c r="F8000" s="4" t="n">
        <v>15515</v>
      </c>
    </row>
    <row r="8001">
      <c r="A8001" s="3" t="inlineStr">
        <is>
          <t>3</t>
        </is>
      </c>
      <c r="B8001" s="3" t="inlineStr">
        <is>
          <t>Kepala Tukang</t>
        </is>
      </c>
      <c r="C8001" s="3" t="inlineStr">
        <is>
          <t>OH</t>
        </is>
      </c>
      <c r="D8001" s="15" t="n">
        <v>0.011</v>
      </c>
      <c r="E8001" s="4" t="n">
        <v>175000</v>
      </c>
      <c r="F8001" s="4" t="n">
        <v>1925</v>
      </c>
    </row>
    <row r="8002">
      <c r="A8002" s="3" t="inlineStr">
        <is>
          <t>4</t>
        </is>
      </c>
      <c r="B8002" s="3" t="inlineStr">
        <is>
          <t>Mandor</t>
        </is>
      </c>
      <c r="C8002" s="3" t="inlineStr">
        <is>
          <t>OH</t>
        </is>
      </c>
      <c r="D8002" s="15" t="n">
        <v>0.004</v>
      </c>
      <c r="E8002" s="4" t="n">
        <v>200000</v>
      </c>
      <c r="F8002" s="4" t="n">
        <v>800</v>
      </c>
    </row>
    <row r="8003">
      <c r="A8003" s="3" t="inlineStr">
        <is>
          <t>1</t>
        </is>
      </c>
      <c r="B8003" s="3" t="inlineStr">
        <is>
          <t>Downlight LED-E27 9W 4000K (Recessed)</t>
        </is>
      </c>
      <c r="C8003" s="3" t="inlineStr">
        <is>
          <t>buah</t>
        </is>
      </c>
      <c r="D8003" s="15" t="n">
        <v>1.1</v>
      </c>
      <c r="E8003" s="4" t="n">
        <v>110000</v>
      </c>
      <c r="F8003" s="4" t="n">
        <v>121000</v>
      </c>
    </row>
    <row r="8004">
      <c r="D8004" s="2" t="inlineStr">
        <is>
          <t>SUBTOTAL UPAH</t>
        </is>
      </c>
      <c r="F8004" s="16" t="n">
        <v>24640</v>
      </c>
    </row>
    <row r="8005">
      <c r="D8005" s="2" t="inlineStr">
        <is>
          <t>SUBTOTAL BAHAN</t>
        </is>
      </c>
      <c r="F8005" s="16" t="n">
        <v>121000</v>
      </c>
    </row>
    <row r="8006">
      <c r="D8006" s="2" t="inlineStr">
        <is>
          <t>SUBTOTAL ALAT</t>
        </is>
      </c>
      <c r="F8006" s="16" t="n">
        <v>0</v>
      </c>
    </row>
    <row r="8007">
      <c r="E8007" s="2" t="inlineStr">
        <is>
          <t>TOTAL HARGA SATUAN (Inc. Overhead)</t>
        </is>
      </c>
      <c r="F8007" s="17" t="n">
        <v>160204</v>
      </c>
    </row>
    <row r="8009">
      <c r="A8009" s="14" t="inlineStr">
        <is>
          <t>KODE: 5.3.1.46 - Pemasangan 1 Unit Downlight LED-E27 9W 4000K (Recessed) + Battery</t>
        </is>
      </c>
    </row>
    <row r="8010">
      <c r="A8010" s="10" t="inlineStr">
        <is>
          <t>No</t>
        </is>
      </c>
      <c r="B8010" s="10" t="inlineStr">
        <is>
          <t>Uraian Komponen</t>
        </is>
      </c>
      <c r="C8010" s="10" t="inlineStr">
        <is>
          <t>Satuan</t>
        </is>
      </c>
      <c r="D8010" s="10" t="inlineStr">
        <is>
          <t>Koef</t>
        </is>
      </c>
      <c r="E8010" s="10" t="inlineStr">
        <is>
          <t>Harga Satuan (Rp)</t>
        </is>
      </c>
      <c r="F8010" s="10" t="inlineStr">
        <is>
          <t>Jumlah Harga (Rp)</t>
        </is>
      </c>
    </row>
    <row r="8011">
      <c r="A8011" s="3" t="inlineStr">
        <is>
          <t>1</t>
        </is>
      </c>
      <c r="B8011" s="3" t="inlineStr">
        <is>
          <t>Pekerja</t>
        </is>
      </c>
      <c r="C8011" s="3" t="inlineStr">
        <is>
          <t>OH</t>
        </is>
      </c>
      <c r="D8011" s="15" t="n">
        <v>0.064</v>
      </c>
      <c r="E8011" s="4" t="n">
        <v>100000</v>
      </c>
      <c r="F8011" s="4" t="n">
        <v>6400</v>
      </c>
    </row>
    <row r="8012">
      <c r="A8012" s="3" t="inlineStr">
        <is>
          <t>2</t>
        </is>
      </c>
      <c r="B8012" s="3" t="inlineStr">
        <is>
          <t>Tukang listrik</t>
        </is>
      </c>
      <c r="C8012" s="3" t="inlineStr">
        <is>
          <t>OH</t>
        </is>
      </c>
      <c r="D8012" s="15" t="n">
        <v>0.107</v>
      </c>
      <c r="E8012" s="4" t="n">
        <v>145000</v>
      </c>
      <c r="F8012" s="4" t="n">
        <v>15515</v>
      </c>
    </row>
    <row r="8013">
      <c r="A8013" s="3" t="inlineStr">
        <is>
          <t>3</t>
        </is>
      </c>
      <c r="B8013" s="3" t="inlineStr">
        <is>
          <t>Kepala Tukang</t>
        </is>
      </c>
      <c r="C8013" s="3" t="inlineStr">
        <is>
          <t>OH</t>
        </is>
      </c>
      <c r="D8013" s="15" t="n">
        <v>0.011</v>
      </c>
      <c r="E8013" s="4" t="n">
        <v>175000</v>
      </c>
      <c r="F8013" s="4" t="n">
        <v>1925</v>
      </c>
    </row>
    <row r="8014">
      <c r="A8014" s="3" t="inlineStr">
        <is>
          <t>4</t>
        </is>
      </c>
      <c r="B8014" s="3" t="inlineStr">
        <is>
          <t>Mandor</t>
        </is>
      </c>
      <c r="C8014" s="3" t="inlineStr">
        <is>
          <t>OH</t>
        </is>
      </c>
      <c r="D8014" s="15" t="n">
        <v>0.004</v>
      </c>
      <c r="E8014" s="4" t="n">
        <v>200000</v>
      </c>
      <c r="F8014" s="4" t="n">
        <v>800</v>
      </c>
    </row>
    <row r="8015">
      <c r="A8015" s="3" t="inlineStr">
        <is>
          <t>1</t>
        </is>
      </c>
      <c r="B8015" s="3" t="inlineStr">
        <is>
          <t>Downlight LED-E27 9W 4000K (Recessed) + Battery</t>
        </is>
      </c>
      <c r="C8015" s="3" t="inlineStr">
        <is>
          <t>buah</t>
        </is>
      </c>
      <c r="D8015" s="15" t="n">
        <v>1.1</v>
      </c>
      <c r="E8015" s="4" t="n">
        <v>160000</v>
      </c>
      <c r="F8015" s="4" t="n">
        <v>176000</v>
      </c>
    </row>
    <row r="8016">
      <c r="D8016" s="2" t="inlineStr">
        <is>
          <t>SUBTOTAL UPAH</t>
        </is>
      </c>
      <c r="F8016" s="16" t="n">
        <v>24640</v>
      </c>
    </row>
    <row r="8017">
      <c r="D8017" s="2" t="inlineStr">
        <is>
          <t>SUBTOTAL BAHAN</t>
        </is>
      </c>
      <c r="F8017" s="16" t="n">
        <v>176000</v>
      </c>
    </row>
    <row r="8018">
      <c r="D8018" s="2" t="inlineStr">
        <is>
          <t>SUBTOTAL ALAT</t>
        </is>
      </c>
      <c r="F8018" s="16" t="n">
        <v>0</v>
      </c>
    </row>
    <row r="8019">
      <c r="E8019" s="2" t="inlineStr">
        <is>
          <t>TOTAL HARGA SATUAN (Inc. Overhead)</t>
        </is>
      </c>
      <c r="F8019" s="17" t="n">
        <v>220704</v>
      </c>
    </row>
    <row r="8021">
      <c r="A8021" s="14" t="inlineStr">
        <is>
          <t>KODE: 5.3.1.47 - Pemasangan 1 Unit Downlight LED 9 Watt</t>
        </is>
      </c>
    </row>
    <row r="8022">
      <c r="A8022" s="10" t="inlineStr">
        <is>
          <t>No</t>
        </is>
      </c>
      <c r="B8022" s="10" t="inlineStr">
        <is>
          <t>Uraian Komponen</t>
        </is>
      </c>
      <c r="C8022" s="10" t="inlineStr">
        <is>
          <t>Satuan</t>
        </is>
      </c>
      <c r="D8022" s="10" t="inlineStr">
        <is>
          <t>Koef</t>
        </is>
      </c>
      <c r="E8022" s="10" t="inlineStr">
        <is>
          <t>Harga Satuan (Rp)</t>
        </is>
      </c>
      <c r="F8022" s="10" t="inlineStr">
        <is>
          <t>Jumlah Harga (Rp)</t>
        </is>
      </c>
    </row>
    <row r="8023">
      <c r="A8023" s="3" t="inlineStr">
        <is>
          <t>1</t>
        </is>
      </c>
      <c r="B8023" s="3" t="inlineStr">
        <is>
          <t>Pekerja</t>
        </is>
      </c>
      <c r="C8023" s="3" t="inlineStr">
        <is>
          <t>OH</t>
        </is>
      </c>
      <c r="D8023" s="15" t="n">
        <v>0.064</v>
      </c>
      <c r="E8023" s="4" t="n">
        <v>100000</v>
      </c>
      <c r="F8023" s="4" t="n">
        <v>6400</v>
      </c>
    </row>
    <row r="8024">
      <c r="A8024" s="3" t="inlineStr">
        <is>
          <t>2</t>
        </is>
      </c>
      <c r="B8024" s="3" t="inlineStr">
        <is>
          <t>Tukang listrik</t>
        </is>
      </c>
      <c r="C8024" s="3" t="inlineStr">
        <is>
          <t>OH</t>
        </is>
      </c>
      <c r="D8024" s="15" t="n">
        <v>0.107</v>
      </c>
      <c r="E8024" s="4" t="n">
        <v>145000</v>
      </c>
      <c r="F8024" s="4" t="n">
        <v>15515</v>
      </c>
    </row>
    <row r="8025">
      <c r="A8025" s="3" t="inlineStr">
        <is>
          <t>3</t>
        </is>
      </c>
      <c r="B8025" s="3" t="inlineStr">
        <is>
          <t>Kepala Tukang</t>
        </is>
      </c>
      <c r="C8025" s="3" t="inlineStr">
        <is>
          <t>OH</t>
        </is>
      </c>
      <c r="D8025" s="15" t="n">
        <v>0.011</v>
      </c>
      <c r="E8025" s="4" t="n">
        <v>175000</v>
      </c>
      <c r="F8025" s="4" t="n">
        <v>1925</v>
      </c>
    </row>
    <row r="8026">
      <c r="A8026" s="3" t="inlineStr">
        <is>
          <t>4</t>
        </is>
      </c>
      <c r="B8026" s="3" t="inlineStr">
        <is>
          <t>Mandor</t>
        </is>
      </c>
      <c r="C8026" s="3" t="inlineStr">
        <is>
          <t>OH</t>
        </is>
      </c>
      <c r="D8026" s="15" t="n">
        <v>0.004</v>
      </c>
      <c r="E8026" s="4" t="n">
        <v>200000</v>
      </c>
      <c r="F8026" s="4" t="n">
        <v>800</v>
      </c>
    </row>
    <row r="8027">
      <c r="A8027" s="3" t="inlineStr">
        <is>
          <t>1</t>
        </is>
      </c>
      <c r="B8027" s="3" t="inlineStr">
        <is>
          <t>Downlight LED 9 Watt</t>
        </is>
      </c>
      <c r="C8027" s="3" t="inlineStr">
        <is>
          <t>buah</t>
        </is>
      </c>
      <c r="D8027" s="15" t="n">
        <v>1.1</v>
      </c>
      <c r="E8027" s="4" t="n">
        <v>50000</v>
      </c>
      <c r="F8027" s="4" t="n">
        <v>55000.00000000001</v>
      </c>
    </row>
    <row r="8028">
      <c r="D8028" s="2" t="inlineStr">
        <is>
          <t>SUBTOTAL UPAH</t>
        </is>
      </c>
      <c r="F8028" s="16" t="n">
        <v>24640</v>
      </c>
    </row>
    <row r="8029">
      <c r="D8029" s="2" t="inlineStr">
        <is>
          <t>SUBTOTAL BAHAN</t>
        </is>
      </c>
      <c r="F8029" s="16" t="n">
        <v>55000.00000000001</v>
      </c>
    </row>
    <row r="8030">
      <c r="D8030" s="2" t="inlineStr">
        <is>
          <t>SUBTOTAL ALAT</t>
        </is>
      </c>
      <c r="F8030" s="16" t="n">
        <v>0</v>
      </c>
    </row>
    <row r="8031">
      <c r="E8031" s="2" t="inlineStr">
        <is>
          <t>TOTAL HARGA SATUAN (Inc. Overhead)</t>
        </is>
      </c>
      <c r="F8031" s="17" t="n">
        <v>87604</v>
      </c>
    </row>
    <row r="8033">
      <c r="A8033" s="14" t="inlineStr">
        <is>
          <t>KODE: 5.3.1.48 - Pemasangan 1 Unit Downlight LED 17 Watt</t>
        </is>
      </c>
    </row>
    <row r="8034">
      <c r="A8034" s="10" t="inlineStr">
        <is>
          <t>No</t>
        </is>
      </c>
      <c r="B8034" s="10" t="inlineStr">
        <is>
          <t>Uraian Komponen</t>
        </is>
      </c>
      <c r="C8034" s="10" t="inlineStr">
        <is>
          <t>Satuan</t>
        </is>
      </c>
      <c r="D8034" s="10" t="inlineStr">
        <is>
          <t>Koef</t>
        </is>
      </c>
      <c r="E8034" s="10" t="inlineStr">
        <is>
          <t>Harga Satuan (Rp)</t>
        </is>
      </c>
      <c r="F8034" s="10" t="inlineStr">
        <is>
          <t>Jumlah Harga (Rp)</t>
        </is>
      </c>
    </row>
    <row r="8035">
      <c r="A8035" s="3" t="inlineStr">
        <is>
          <t>1</t>
        </is>
      </c>
      <c r="B8035" s="3" t="inlineStr">
        <is>
          <t>Pekerja</t>
        </is>
      </c>
      <c r="C8035" s="3" t="inlineStr">
        <is>
          <t>OH</t>
        </is>
      </c>
      <c r="D8035" s="15" t="n">
        <v>0.064</v>
      </c>
      <c r="E8035" s="4" t="n">
        <v>100000</v>
      </c>
      <c r="F8035" s="4" t="n">
        <v>6400</v>
      </c>
    </row>
    <row r="8036">
      <c r="A8036" s="3" t="inlineStr">
        <is>
          <t>2</t>
        </is>
      </c>
      <c r="B8036" s="3" t="inlineStr">
        <is>
          <t>Tukang listrik</t>
        </is>
      </c>
      <c r="C8036" s="3" t="inlineStr">
        <is>
          <t>OH</t>
        </is>
      </c>
      <c r="D8036" s="15" t="n">
        <v>0.107</v>
      </c>
      <c r="E8036" s="4" t="n">
        <v>145000</v>
      </c>
      <c r="F8036" s="4" t="n">
        <v>15515</v>
      </c>
    </row>
    <row r="8037">
      <c r="A8037" s="3" t="inlineStr">
        <is>
          <t>3</t>
        </is>
      </c>
      <c r="B8037" s="3" t="inlineStr">
        <is>
          <t>Kepala Tukang</t>
        </is>
      </c>
      <c r="C8037" s="3" t="inlineStr">
        <is>
          <t>OH</t>
        </is>
      </c>
      <c r="D8037" s="15" t="n">
        <v>0.011</v>
      </c>
      <c r="E8037" s="4" t="n">
        <v>175000</v>
      </c>
      <c r="F8037" s="4" t="n">
        <v>1925</v>
      </c>
    </row>
    <row r="8038">
      <c r="A8038" s="3" t="inlineStr">
        <is>
          <t>4</t>
        </is>
      </c>
      <c r="B8038" s="3" t="inlineStr">
        <is>
          <t>Mandor</t>
        </is>
      </c>
      <c r="C8038" s="3" t="inlineStr">
        <is>
          <t>OH</t>
        </is>
      </c>
      <c r="D8038" s="15" t="n">
        <v>0.004</v>
      </c>
      <c r="E8038" s="4" t="n">
        <v>200000</v>
      </c>
      <c r="F8038" s="4" t="n">
        <v>800</v>
      </c>
    </row>
    <row r="8039">
      <c r="A8039" s="3" t="inlineStr">
        <is>
          <t>1</t>
        </is>
      </c>
      <c r="B8039" s="3" t="inlineStr">
        <is>
          <t>Downlight LED 17 Watt</t>
        </is>
      </c>
      <c r="C8039" s="3" t="inlineStr">
        <is>
          <t>buah</t>
        </is>
      </c>
      <c r="D8039" s="15" t="n">
        <v>1.1</v>
      </c>
      <c r="E8039" s="4" t="n">
        <v>70000</v>
      </c>
      <c r="F8039" s="4" t="n">
        <v>77000</v>
      </c>
    </row>
    <row r="8040">
      <c r="D8040" s="2" t="inlineStr">
        <is>
          <t>SUBTOTAL UPAH</t>
        </is>
      </c>
      <c r="F8040" s="16" t="n">
        <v>24640</v>
      </c>
    </row>
    <row r="8041">
      <c r="D8041" s="2" t="inlineStr">
        <is>
          <t>SUBTOTAL BAHAN</t>
        </is>
      </c>
      <c r="F8041" s="16" t="n">
        <v>77000</v>
      </c>
    </row>
    <row r="8042">
      <c r="D8042" s="2" t="inlineStr">
        <is>
          <t>SUBTOTAL ALAT</t>
        </is>
      </c>
      <c r="F8042" s="16" t="n">
        <v>0</v>
      </c>
    </row>
    <row r="8043">
      <c r="E8043" s="2" t="inlineStr">
        <is>
          <t>TOTAL HARGA SATUAN (Inc. Overhead)</t>
        </is>
      </c>
      <c r="F8043" s="17" t="n">
        <v>111804</v>
      </c>
    </row>
    <row r="8045">
      <c r="A8045" s="14" t="inlineStr">
        <is>
          <t>KODE: 5.3.1.49 - Pemasangan 1 Unit Downlight LED 24 Watt</t>
        </is>
      </c>
    </row>
    <row r="8046">
      <c r="A8046" s="10" t="inlineStr">
        <is>
          <t>No</t>
        </is>
      </c>
      <c r="B8046" s="10" t="inlineStr">
        <is>
          <t>Uraian Komponen</t>
        </is>
      </c>
      <c r="C8046" s="10" t="inlineStr">
        <is>
          <t>Satuan</t>
        </is>
      </c>
      <c r="D8046" s="10" t="inlineStr">
        <is>
          <t>Koef</t>
        </is>
      </c>
      <c r="E8046" s="10" t="inlineStr">
        <is>
          <t>Harga Satuan (Rp)</t>
        </is>
      </c>
      <c r="F8046" s="10" t="inlineStr">
        <is>
          <t>Jumlah Harga (Rp)</t>
        </is>
      </c>
    </row>
    <row r="8047">
      <c r="A8047" s="3" t="inlineStr">
        <is>
          <t>1</t>
        </is>
      </c>
      <c r="B8047" s="3" t="inlineStr">
        <is>
          <t>Pekerja</t>
        </is>
      </c>
      <c r="C8047" s="3" t="inlineStr">
        <is>
          <t>OH</t>
        </is>
      </c>
      <c r="D8047" s="15" t="n">
        <v>0.064</v>
      </c>
      <c r="E8047" s="4" t="n">
        <v>100000</v>
      </c>
      <c r="F8047" s="4" t="n">
        <v>6400</v>
      </c>
    </row>
    <row r="8048">
      <c r="A8048" s="3" t="inlineStr">
        <is>
          <t>2</t>
        </is>
      </c>
      <c r="B8048" s="3" t="inlineStr">
        <is>
          <t>Tukang listrik</t>
        </is>
      </c>
      <c r="C8048" s="3" t="inlineStr">
        <is>
          <t>OH</t>
        </is>
      </c>
      <c r="D8048" s="15" t="n">
        <v>0.107</v>
      </c>
      <c r="E8048" s="4" t="n">
        <v>145000</v>
      </c>
      <c r="F8048" s="4" t="n">
        <v>15515</v>
      </c>
    </row>
    <row r="8049">
      <c r="A8049" s="3" t="inlineStr">
        <is>
          <t>3</t>
        </is>
      </c>
      <c r="B8049" s="3" t="inlineStr">
        <is>
          <t>Kepala Tukang</t>
        </is>
      </c>
      <c r="C8049" s="3" t="inlineStr">
        <is>
          <t>OH</t>
        </is>
      </c>
      <c r="D8049" s="15" t="n">
        <v>0.011</v>
      </c>
      <c r="E8049" s="4" t="n">
        <v>175000</v>
      </c>
      <c r="F8049" s="4" t="n">
        <v>1925</v>
      </c>
    </row>
    <row r="8050">
      <c r="A8050" s="3" t="inlineStr">
        <is>
          <t>4</t>
        </is>
      </c>
      <c r="B8050" s="3" t="inlineStr">
        <is>
          <t>Mandor</t>
        </is>
      </c>
      <c r="C8050" s="3" t="inlineStr">
        <is>
          <t>OH</t>
        </is>
      </c>
      <c r="D8050" s="15" t="n">
        <v>0.004</v>
      </c>
      <c r="E8050" s="4" t="n">
        <v>200000</v>
      </c>
      <c r="F8050" s="4" t="n">
        <v>800</v>
      </c>
    </row>
    <row r="8051">
      <c r="A8051" s="3" t="inlineStr">
        <is>
          <t>1</t>
        </is>
      </c>
      <c r="B8051" s="3" t="inlineStr">
        <is>
          <t>Downlight LED 24 Watt</t>
        </is>
      </c>
      <c r="C8051" s="3" t="inlineStr">
        <is>
          <t>buah</t>
        </is>
      </c>
      <c r="D8051" s="15" t="n">
        <v>1.1</v>
      </c>
      <c r="E8051" s="4" t="n">
        <v>90000</v>
      </c>
      <c r="F8051" s="4" t="n">
        <v>99000.00000000001</v>
      </c>
    </row>
    <row r="8052">
      <c r="D8052" s="2" t="inlineStr">
        <is>
          <t>SUBTOTAL UPAH</t>
        </is>
      </c>
      <c r="F8052" s="16" t="n">
        <v>24640</v>
      </c>
    </row>
    <row r="8053">
      <c r="D8053" s="2" t="inlineStr">
        <is>
          <t>SUBTOTAL BAHAN</t>
        </is>
      </c>
      <c r="F8053" s="16" t="n">
        <v>99000.00000000001</v>
      </c>
    </row>
    <row r="8054">
      <c r="D8054" s="2" t="inlineStr">
        <is>
          <t>SUBTOTAL ALAT</t>
        </is>
      </c>
      <c r="F8054" s="16" t="n">
        <v>0</v>
      </c>
    </row>
    <row r="8055">
      <c r="E8055" s="2" t="inlineStr">
        <is>
          <t>TOTAL HARGA SATUAN (Inc. Overhead)</t>
        </is>
      </c>
      <c r="F8055" s="17" t="n">
        <v>136004</v>
      </c>
    </row>
    <row r="8057">
      <c r="A8057" s="14" t="inlineStr">
        <is>
          <t>KODE: 5.3.1.50 - Pemasangan 1 Unit Downlight 5 Inch 12 Watt LED</t>
        </is>
      </c>
    </row>
    <row r="8058">
      <c r="A8058" s="10" t="inlineStr">
        <is>
          <t>No</t>
        </is>
      </c>
      <c r="B8058" s="10" t="inlineStr">
        <is>
          <t>Uraian Komponen</t>
        </is>
      </c>
      <c r="C8058" s="10" t="inlineStr">
        <is>
          <t>Satuan</t>
        </is>
      </c>
      <c r="D8058" s="10" t="inlineStr">
        <is>
          <t>Koef</t>
        </is>
      </c>
      <c r="E8058" s="10" t="inlineStr">
        <is>
          <t>Harga Satuan (Rp)</t>
        </is>
      </c>
      <c r="F8058" s="10" t="inlineStr">
        <is>
          <t>Jumlah Harga (Rp)</t>
        </is>
      </c>
    </row>
    <row r="8059">
      <c r="A8059" s="3" t="inlineStr">
        <is>
          <t>1</t>
        </is>
      </c>
      <c r="B8059" s="3" t="inlineStr">
        <is>
          <t>Pekerja</t>
        </is>
      </c>
      <c r="C8059" s="3" t="inlineStr">
        <is>
          <t>OH</t>
        </is>
      </c>
      <c r="D8059" s="15" t="n">
        <v>0.064</v>
      </c>
      <c r="E8059" s="4" t="n">
        <v>100000</v>
      </c>
      <c r="F8059" s="4" t="n">
        <v>6400</v>
      </c>
    </row>
    <row r="8060">
      <c r="A8060" s="3" t="inlineStr">
        <is>
          <t>2</t>
        </is>
      </c>
      <c r="B8060" s="3" t="inlineStr">
        <is>
          <t>Tukang listrik</t>
        </is>
      </c>
      <c r="C8060" s="3" t="inlineStr">
        <is>
          <t>OH</t>
        </is>
      </c>
      <c r="D8060" s="15" t="n">
        <v>0.107</v>
      </c>
      <c r="E8060" s="4" t="n">
        <v>145000</v>
      </c>
      <c r="F8060" s="4" t="n">
        <v>15515</v>
      </c>
    </row>
    <row r="8061">
      <c r="A8061" s="3" t="inlineStr">
        <is>
          <t>3</t>
        </is>
      </c>
      <c r="B8061" s="3" t="inlineStr">
        <is>
          <t>Kepala Tukang</t>
        </is>
      </c>
      <c r="C8061" s="3" t="inlineStr">
        <is>
          <t>OH</t>
        </is>
      </c>
      <c r="D8061" s="15" t="n">
        <v>0.011</v>
      </c>
      <c r="E8061" s="4" t="n">
        <v>175000</v>
      </c>
      <c r="F8061" s="4" t="n">
        <v>1925</v>
      </c>
    </row>
    <row r="8062">
      <c r="A8062" s="3" t="inlineStr">
        <is>
          <t>4</t>
        </is>
      </c>
      <c r="B8062" s="3" t="inlineStr">
        <is>
          <t>Mandor</t>
        </is>
      </c>
      <c r="C8062" s="3" t="inlineStr">
        <is>
          <t>OH</t>
        </is>
      </c>
      <c r="D8062" s="15" t="n">
        <v>0.004</v>
      </c>
      <c r="E8062" s="4" t="n">
        <v>200000</v>
      </c>
      <c r="F8062" s="4" t="n">
        <v>800</v>
      </c>
    </row>
    <row r="8063">
      <c r="A8063" s="3" t="inlineStr">
        <is>
          <t>1</t>
        </is>
      </c>
      <c r="B8063" s="3" t="inlineStr">
        <is>
          <t>Downlight 5 Inch 12 Watt LED</t>
        </is>
      </c>
      <c r="C8063" s="3" t="inlineStr">
        <is>
          <t>buah</t>
        </is>
      </c>
      <c r="D8063" s="15" t="n">
        <v>1.1</v>
      </c>
      <c r="E8063" s="4" t="n">
        <v>65000</v>
      </c>
      <c r="F8063" s="4" t="n">
        <v>71500</v>
      </c>
    </row>
    <row r="8064">
      <c r="D8064" s="2" t="inlineStr">
        <is>
          <t>SUBTOTAL UPAH</t>
        </is>
      </c>
      <c r="F8064" s="16" t="n">
        <v>24640</v>
      </c>
    </row>
    <row r="8065">
      <c r="D8065" s="2" t="inlineStr">
        <is>
          <t>SUBTOTAL BAHAN</t>
        </is>
      </c>
      <c r="F8065" s="16" t="n">
        <v>71500</v>
      </c>
    </row>
    <row r="8066">
      <c r="D8066" s="2" t="inlineStr">
        <is>
          <t>SUBTOTAL ALAT</t>
        </is>
      </c>
      <c r="F8066" s="16" t="n">
        <v>0</v>
      </c>
    </row>
    <row r="8067">
      <c r="E8067" s="2" t="inlineStr">
        <is>
          <t>TOTAL HARGA SATUAN (Inc. Overhead)</t>
        </is>
      </c>
      <c r="F8067" s="17" t="n">
        <v>105754</v>
      </c>
    </row>
    <row r="8069">
      <c r="A8069" s="14" t="inlineStr">
        <is>
          <t>KODE: 5.3.1.51 - Pemasangan 1 Unit Downlight 13 Watt</t>
        </is>
      </c>
    </row>
    <row r="8070">
      <c r="A8070" s="10" t="inlineStr">
        <is>
          <t>No</t>
        </is>
      </c>
      <c r="B8070" s="10" t="inlineStr">
        <is>
          <t>Uraian Komponen</t>
        </is>
      </c>
      <c r="C8070" s="10" t="inlineStr">
        <is>
          <t>Satuan</t>
        </is>
      </c>
      <c r="D8070" s="10" t="inlineStr">
        <is>
          <t>Koef</t>
        </is>
      </c>
      <c r="E8070" s="10" t="inlineStr">
        <is>
          <t>Harga Satuan (Rp)</t>
        </is>
      </c>
      <c r="F8070" s="10" t="inlineStr">
        <is>
          <t>Jumlah Harga (Rp)</t>
        </is>
      </c>
    </row>
    <row r="8071">
      <c r="A8071" s="3" t="inlineStr">
        <is>
          <t>1</t>
        </is>
      </c>
      <c r="B8071" s="3" t="inlineStr">
        <is>
          <t>Pekerja</t>
        </is>
      </c>
      <c r="C8071" s="3" t="inlineStr">
        <is>
          <t>OH</t>
        </is>
      </c>
      <c r="D8071" s="15" t="n">
        <v>0.064</v>
      </c>
      <c r="E8071" s="4" t="n">
        <v>100000</v>
      </c>
      <c r="F8071" s="4" t="n">
        <v>6400</v>
      </c>
    </row>
    <row r="8072">
      <c r="A8072" s="3" t="inlineStr">
        <is>
          <t>2</t>
        </is>
      </c>
      <c r="B8072" s="3" t="inlineStr">
        <is>
          <t>Tukang listrik</t>
        </is>
      </c>
      <c r="C8072" s="3" t="inlineStr">
        <is>
          <t>OH</t>
        </is>
      </c>
      <c r="D8072" s="15" t="n">
        <v>0.107</v>
      </c>
      <c r="E8072" s="4" t="n">
        <v>145000</v>
      </c>
      <c r="F8072" s="4" t="n">
        <v>15515</v>
      </c>
    </row>
    <row r="8073">
      <c r="A8073" s="3" t="inlineStr">
        <is>
          <t>3</t>
        </is>
      </c>
      <c r="B8073" s="3" t="inlineStr">
        <is>
          <t>Kepala Tukang</t>
        </is>
      </c>
      <c r="C8073" s="3" t="inlineStr">
        <is>
          <t>OH</t>
        </is>
      </c>
      <c r="D8073" s="15" t="n">
        <v>0.011</v>
      </c>
      <c r="E8073" s="4" t="n">
        <v>175000</v>
      </c>
      <c r="F8073" s="4" t="n">
        <v>1925</v>
      </c>
    </row>
    <row r="8074">
      <c r="A8074" s="3" t="inlineStr">
        <is>
          <t>4</t>
        </is>
      </c>
      <c r="B8074" s="3" t="inlineStr">
        <is>
          <t>Mandor</t>
        </is>
      </c>
      <c r="C8074" s="3" t="inlineStr">
        <is>
          <t>OH</t>
        </is>
      </c>
      <c r="D8074" s="15" t="n">
        <v>0.004</v>
      </c>
      <c r="E8074" s="4" t="n">
        <v>200000</v>
      </c>
      <c r="F8074" s="4" t="n">
        <v>800</v>
      </c>
    </row>
    <row r="8075">
      <c r="A8075" s="3" t="inlineStr">
        <is>
          <t>1</t>
        </is>
      </c>
      <c r="B8075" s="3" t="inlineStr">
        <is>
          <t>Downlight 13 Watt</t>
        </is>
      </c>
      <c r="C8075" s="3" t="inlineStr">
        <is>
          <t>buah</t>
        </is>
      </c>
      <c r="D8075" s="15" t="n">
        <v>1.1</v>
      </c>
      <c r="E8075" s="4" t="n">
        <v>35000</v>
      </c>
      <c r="F8075" s="4" t="n">
        <v>38500</v>
      </c>
    </row>
    <row r="8076">
      <c r="D8076" s="2" t="inlineStr">
        <is>
          <t>SUBTOTAL UPAH</t>
        </is>
      </c>
      <c r="F8076" s="16" t="n">
        <v>24640</v>
      </c>
    </row>
    <row r="8077">
      <c r="D8077" s="2" t="inlineStr">
        <is>
          <t>SUBTOTAL BAHAN</t>
        </is>
      </c>
      <c r="F8077" s="16" t="n">
        <v>38500</v>
      </c>
    </row>
    <row r="8078">
      <c r="D8078" s="2" t="inlineStr">
        <is>
          <t>SUBTOTAL ALAT</t>
        </is>
      </c>
      <c r="F8078" s="16" t="n">
        <v>0</v>
      </c>
    </row>
    <row r="8079">
      <c r="E8079" s="2" t="inlineStr">
        <is>
          <t>TOTAL HARGA SATUAN (Inc. Overhead)</t>
        </is>
      </c>
      <c r="F8079" s="17" t="n">
        <v>69454</v>
      </c>
    </row>
    <row r="8081">
      <c r="A8081" s="14" t="inlineStr">
        <is>
          <t>KODE: 5.3.1.52 - Pemasangan 1 Unit Lampu Sorot LED 50 Watt</t>
        </is>
      </c>
    </row>
    <row r="8082">
      <c r="A8082" s="10" t="inlineStr">
        <is>
          <t>No</t>
        </is>
      </c>
      <c r="B8082" s="10" t="inlineStr">
        <is>
          <t>Uraian Komponen</t>
        </is>
      </c>
      <c r="C8082" s="10" t="inlineStr">
        <is>
          <t>Satuan</t>
        </is>
      </c>
      <c r="D8082" s="10" t="inlineStr">
        <is>
          <t>Koef</t>
        </is>
      </c>
      <c r="E8082" s="10" t="inlineStr">
        <is>
          <t>Harga Satuan (Rp)</t>
        </is>
      </c>
      <c r="F8082" s="10" t="inlineStr">
        <is>
          <t>Jumlah Harga (Rp)</t>
        </is>
      </c>
    </row>
    <row r="8083">
      <c r="A8083" s="3" t="inlineStr">
        <is>
          <t>1</t>
        </is>
      </c>
      <c r="B8083" s="3" t="inlineStr">
        <is>
          <t>Pekerja</t>
        </is>
      </c>
      <c r="C8083" s="3" t="inlineStr">
        <is>
          <t>OH</t>
        </is>
      </c>
      <c r="D8083" s="15" t="n">
        <v>0.129</v>
      </c>
      <c r="E8083" s="4" t="n">
        <v>100000</v>
      </c>
      <c r="F8083" s="4" t="n">
        <v>12900</v>
      </c>
    </row>
    <row r="8084">
      <c r="A8084" s="3" t="inlineStr">
        <is>
          <t>2</t>
        </is>
      </c>
      <c r="B8084" s="3" t="inlineStr">
        <is>
          <t>Tukang listrik</t>
        </is>
      </c>
      <c r="C8084" s="3" t="inlineStr">
        <is>
          <t>OH</t>
        </is>
      </c>
      <c r="D8084" s="15" t="n">
        <v>0.215</v>
      </c>
      <c r="E8084" s="4" t="n">
        <v>145000</v>
      </c>
      <c r="F8084" s="4" t="n">
        <v>31175</v>
      </c>
    </row>
    <row r="8085">
      <c r="A8085" s="3" t="inlineStr">
        <is>
          <t>3</t>
        </is>
      </c>
      <c r="B8085" s="3" t="inlineStr">
        <is>
          <t>Kepala Tukang</t>
        </is>
      </c>
      <c r="C8085" s="3" t="inlineStr">
        <is>
          <t>OH</t>
        </is>
      </c>
      <c r="D8085" s="15" t="n">
        <v>0.021</v>
      </c>
      <c r="E8085" s="4" t="n">
        <v>175000</v>
      </c>
      <c r="F8085" s="4" t="n">
        <v>3675</v>
      </c>
    </row>
    <row r="8086">
      <c r="A8086" s="3" t="inlineStr">
        <is>
          <t>4</t>
        </is>
      </c>
      <c r="B8086" s="3" t="inlineStr">
        <is>
          <t>Mandor</t>
        </is>
      </c>
      <c r="C8086" s="3" t="inlineStr">
        <is>
          <t>OH</t>
        </is>
      </c>
      <c r="D8086" s="15" t="n">
        <v>0.007</v>
      </c>
      <c r="E8086" s="4" t="n">
        <v>200000</v>
      </c>
      <c r="F8086" s="4" t="n">
        <v>1400</v>
      </c>
    </row>
    <row r="8087">
      <c r="A8087" s="3" t="inlineStr">
        <is>
          <t>1</t>
        </is>
      </c>
      <c r="B8087" s="3" t="inlineStr">
        <is>
          <t>Lampu Sorot LED 50 Watt</t>
        </is>
      </c>
      <c r="C8087" s="3" t="inlineStr">
        <is>
          <t>buah</t>
        </is>
      </c>
      <c r="D8087" s="15" t="n">
        <v>1.1</v>
      </c>
      <c r="E8087" s="4" t="n">
        <v>150000</v>
      </c>
      <c r="F8087" s="4" t="n">
        <v>165000</v>
      </c>
    </row>
    <row r="8088">
      <c r="D8088" s="2" t="inlineStr">
        <is>
          <t>SUBTOTAL UPAH</t>
        </is>
      </c>
      <c r="F8088" s="16" t="n">
        <v>49150</v>
      </c>
    </row>
    <row r="8089">
      <c r="D8089" s="2" t="inlineStr">
        <is>
          <t>SUBTOTAL BAHAN</t>
        </is>
      </c>
      <c r="F8089" s="16" t="n">
        <v>165000</v>
      </c>
    </row>
    <row r="8090">
      <c r="D8090" s="2" t="inlineStr">
        <is>
          <t>SUBTOTAL ALAT</t>
        </is>
      </c>
      <c r="F8090" s="16" t="n">
        <v>0</v>
      </c>
    </row>
    <row r="8091">
      <c r="E8091" s="2" t="inlineStr">
        <is>
          <t>TOTAL HARGA SATUAN (Inc. Overhead)</t>
        </is>
      </c>
      <c r="F8091" s="17" t="n">
        <v>235565</v>
      </c>
    </row>
    <row r="8093">
      <c r="A8093" s="14" t="inlineStr">
        <is>
          <t>KODE: 5.3.1.53 - Pemasangan 1 Unit Lampu Sorot LED 9 Watt</t>
        </is>
      </c>
    </row>
    <row r="8094">
      <c r="A8094" s="10" t="inlineStr">
        <is>
          <t>No</t>
        </is>
      </c>
      <c r="B8094" s="10" t="inlineStr">
        <is>
          <t>Uraian Komponen</t>
        </is>
      </c>
      <c r="C8094" s="10" t="inlineStr">
        <is>
          <t>Satuan</t>
        </is>
      </c>
      <c r="D8094" s="10" t="inlineStr">
        <is>
          <t>Koef</t>
        </is>
      </c>
      <c r="E8094" s="10" t="inlineStr">
        <is>
          <t>Harga Satuan (Rp)</t>
        </is>
      </c>
      <c r="F8094" s="10" t="inlineStr">
        <is>
          <t>Jumlah Harga (Rp)</t>
        </is>
      </c>
    </row>
    <row r="8095">
      <c r="A8095" s="3" t="inlineStr">
        <is>
          <t>1</t>
        </is>
      </c>
      <c r="B8095" s="3" t="inlineStr">
        <is>
          <t>Pekerja</t>
        </is>
      </c>
      <c r="C8095" s="3" t="inlineStr">
        <is>
          <t>OH</t>
        </is>
      </c>
      <c r="D8095" s="15" t="n">
        <v>0.064</v>
      </c>
      <c r="E8095" s="4" t="n">
        <v>100000</v>
      </c>
      <c r="F8095" s="4" t="n">
        <v>6400</v>
      </c>
    </row>
    <row r="8096">
      <c r="A8096" s="3" t="inlineStr">
        <is>
          <t>2</t>
        </is>
      </c>
      <c r="B8096" s="3" t="inlineStr">
        <is>
          <t>Tukang listrik</t>
        </is>
      </c>
      <c r="C8096" s="3" t="inlineStr">
        <is>
          <t>OH</t>
        </is>
      </c>
      <c r="D8096" s="15" t="n">
        <v>0.107</v>
      </c>
      <c r="E8096" s="4" t="n">
        <v>145000</v>
      </c>
      <c r="F8096" s="4" t="n">
        <v>15515</v>
      </c>
    </row>
    <row r="8097">
      <c r="A8097" s="3" t="inlineStr">
        <is>
          <t>3</t>
        </is>
      </c>
      <c r="B8097" s="3" t="inlineStr">
        <is>
          <t>Kepala Tukang</t>
        </is>
      </c>
      <c r="C8097" s="3" t="inlineStr">
        <is>
          <t>OH</t>
        </is>
      </c>
      <c r="D8097" s="15" t="n">
        <v>0.011</v>
      </c>
      <c r="E8097" s="4" t="n">
        <v>175000</v>
      </c>
      <c r="F8097" s="4" t="n">
        <v>1925</v>
      </c>
    </row>
    <row r="8098">
      <c r="A8098" s="3" t="inlineStr">
        <is>
          <t>4</t>
        </is>
      </c>
      <c r="B8098" s="3" t="inlineStr">
        <is>
          <t>Mandor</t>
        </is>
      </c>
      <c r="C8098" s="3" t="inlineStr">
        <is>
          <t>OH</t>
        </is>
      </c>
      <c r="D8098" s="15" t="n">
        <v>0.004</v>
      </c>
      <c r="E8098" s="4" t="n">
        <v>200000</v>
      </c>
      <c r="F8098" s="4" t="n">
        <v>800</v>
      </c>
    </row>
    <row r="8099">
      <c r="A8099" s="3" t="inlineStr">
        <is>
          <t>1</t>
        </is>
      </c>
      <c r="B8099" s="3" t="inlineStr">
        <is>
          <t>Lampu Sorot LED 9 Watt</t>
        </is>
      </c>
      <c r="C8099" s="3" t="inlineStr">
        <is>
          <t>buah</t>
        </is>
      </c>
      <c r="D8099" s="15" t="n">
        <v>1.1</v>
      </c>
      <c r="E8099" s="4" t="n">
        <v>50000</v>
      </c>
      <c r="F8099" s="4" t="n">
        <v>55000.00000000001</v>
      </c>
    </row>
    <row r="8100">
      <c r="D8100" s="2" t="inlineStr">
        <is>
          <t>SUBTOTAL UPAH</t>
        </is>
      </c>
      <c r="F8100" s="16" t="n">
        <v>24640</v>
      </c>
    </row>
    <row r="8101">
      <c r="D8101" s="2" t="inlineStr">
        <is>
          <t>SUBTOTAL BAHAN</t>
        </is>
      </c>
      <c r="F8101" s="16" t="n">
        <v>55000.00000000001</v>
      </c>
    </row>
    <row r="8102">
      <c r="D8102" s="2" t="inlineStr">
        <is>
          <t>SUBTOTAL ALAT</t>
        </is>
      </c>
      <c r="F8102" s="16" t="n">
        <v>0</v>
      </c>
    </row>
    <row r="8103">
      <c r="E8103" s="2" t="inlineStr">
        <is>
          <t>TOTAL HARGA SATUAN (Inc. Overhead)</t>
        </is>
      </c>
      <c r="F8103" s="17" t="n">
        <v>87604</v>
      </c>
    </row>
    <row r="8105">
      <c r="A8105" s="14" t="inlineStr">
        <is>
          <t>KODE: 5.3.1.54 - Pemasangan 1 Unit Lampu TLED 1x18W 4000K</t>
        </is>
      </c>
    </row>
    <row r="8106">
      <c r="A8106" s="10" t="inlineStr">
        <is>
          <t>No</t>
        </is>
      </c>
      <c r="B8106" s="10" t="inlineStr">
        <is>
          <t>Uraian Komponen</t>
        </is>
      </c>
      <c r="C8106" s="10" t="inlineStr">
        <is>
          <t>Satuan</t>
        </is>
      </c>
      <c r="D8106" s="10" t="inlineStr">
        <is>
          <t>Koef</t>
        </is>
      </c>
      <c r="E8106" s="10" t="inlineStr">
        <is>
          <t>Harga Satuan (Rp)</t>
        </is>
      </c>
      <c r="F8106" s="10" t="inlineStr">
        <is>
          <t>Jumlah Harga (Rp)</t>
        </is>
      </c>
    </row>
    <row r="8107">
      <c r="A8107" s="3" t="inlineStr">
        <is>
          <t>1</t>
        </is>
      </c>
      <c r="B8107" s="3" t="inlineStr">
        <is>
          <t>Pekerja</t>
        </is>
      </c>
      <c r="C8107" s="3" t="inlineStr">
        <is>
          <t>OH</t>
        </is>
      </c>
      <c r="D8107" s="15" t="n">
        <v>0.114</v>
      </c>
      <c r="E8107" s="4" t="n">
        <v>100000</v>
      </c>
      <c r="F8107" s="4" t="n">
        <v>11400</v>
      </c>
    </row>
    <row r="8108">
      <c r="A8108" s="3" t="inlineStr">
        <is>
          <t>2</t>
        </is>
      </c>
      <c r="B8108" s="3" t="inlineStr">
        <is>
          <t>Tukang listrik</t>
        </is>
      </c>
      <c r="C8108" s="3" t="inlineStr">
        <is>
          <t>OH</t>
        </is>
      </c>
      <c r="D8108" s="15" t="n">
        <v>0.191</v>
      </c>
      <c r="E8108" s="4" t="n">
        <v>145000</v>
      </c>
      <c r="F8108" s="4" t="n">
        <v>27695</v>
      </c>
    </row>
    <row r="8109">
      <c r="A8109" s="3" t="inlineStr">
        <is>
          <t>3</t>
        </is>
      </c>
      <c r="B8109" s="3" t="inlineStr">
        <is>
          <t>Kepala Tukang</t>
        </is>
      </c>
      <c r="C8109" s="3" t="inlineStr">
        <is>
          <t>OH</t>
        </is>
      </c>
      <c r="D8109" s="15" t="n">
        <v>0.019</v>
      </c>
      <c r="E8109" s="4" t="n">
        <v>175000</v>
      </c>
      <c r="F8109" s="4" t="n">
        <v>3325</v>
      </c>
    </row>
    <row r="8110">
      <c r="A8110" s="3" t="inlineStr">
        <is>
          <t>4</t>
        </is>
      </c>
      <c r="B8110" s="3" t="inlineStr">
        <is>
          <t>Mandor</t>
        </is>
      </c>
      <c r="C8110" s="3" t="inlineStr">
        <is>
          <t>OH</t>
        </is>
      </c>
      <c r="D8110" s="15" t="n">
        <v>0.006</v>
      </c>
      <c r="E8110" s="4" t="n">
        <v>200000</v>
      </c>
      <c r="F8110" s="4" t="n">
        <v>1200</v>
      </c>
    </row>
    <row r="8111">
      <c r="A8111" s="3" t="inlineStr">
        <is>
          <t>1</t>
        </is>
      </c>
      <c r="B8111" s="3" t="inlineStr">
        <is>
          <t>Lampu TLED 1x18W 4000K</t>
        </is>
      </c>
      <c r="C8111" s="3" t="inlineStr">
        <is>
          <t>buah</t>
        </is>
      </c>
      <c r="D8111" s="15" t="n">
        <v>1.1</v>
      </c>
      <c r="E8111" s="4" t="n">
        <v>75000</v>
      </c>
      <c r="F8111" s="4" t="n">
        <v>82500</v>
      </c>
    </row>
    <row r="8112">
      <c r="D8112" s="2" t="inlineStr">
        <is>
          <t>SUBTOTAL UPAH</t>
        </is>
      </c>
      <c r="F8112" s="16" t="n">
        <v>43620</v>
      </c>
    </row>
    <row r="8113">
      <c r="D8113" s="2" t="inlineStr">
        <is>
          <t>SUBTOTAL BAHAN</t>
        </is>
      </c>
      <c r="F8113" s="16" t="n">
        <v>82500</v>
      </c>
    </row>
    <row r="8114">
      <c r="D8114" s="2" t="inlineStr">
        <is>
          <t>SUBTOTAL ALAT</t>
        </is>
      </c>
      <c r="F8114" s="16" t="n">
        <v>0</v>
      </c>
    </row>
    <row r="8115">
      <c r="E8115" s="2" t="inlineStr">
        <is>
          <t>TOTAL HARGA SATUAN (Inc. Overhead)</t>
        </is>
      </c>
      <c r="F8115" s="17" t="n">
        <v>138732</v>
      </c>
    </row>
    <row r="8117">
      <c r="A8117" s="14" t="inlineStr">
        <is>
          <t>KODE: 5.3.1.55 - Pemasangan 1 Unit Lampu TLED 2x18W</t>
        </is>
      </c>
    </row>
    <row r="8118">
      <c r="A8118" s="10" t="inlineStr">
        <is>
          <t>No</t>
        </is>
      </c>
      <c r="B8118" s="10" t="inlineStr">
        <is>
          <t>Uraian Komponen</t>
        </is>
      </c>
      <c r="C8118" s="10" t="inlineStr">
        <is>
          <t>Satuan</t>
        </is>
      </c>
      <c r="D8118" s="10" t="inlineStr">
        <is>
          <t>Koef</t>
        </is>
      </c>
      <c r="E8118" s="10" t="inlineStr">
        <is>
          <t>Harga Satuan (Rp)</t>
        </is>
      </c>
      <c r="F8118" s="10" t="inlineStr">
        <is>
          <t>Jumlah Harga (Rp)</t>
        </is>
      </c>
    </row>
    <row r="8119">
      <c r="A8119" s="3" t="inlineStr">
        <is>
          <t>1</t>
        </is>
      </c>
      <c r="B8119" s="3" t="inlineStr">
        <is>
          <t>Pekerja</t>
        </is>
      </c>
      <c r="C8119" s="3" t="inlineStr">
        <is>
          <t>OH</t>
        </is>
      </c>
      <c r="D8119" s="15" t="n">
        <v>0.167</v>
      </c>
      <c r="E8119" s="4" t="n">
        <v>100000</v>
      </c>
      <c r="F8119" s="4" t="n">
        <v>16700</v>
      </c>
    </row>
    <row r="8120">
      <c r="A8120" s="3" t="inlineStr">
        <is>
          <t>2</t>
        </is>
      </c>
      <c r="B8120" s="3" t="inlineStr">
        <is>
          <t>Tukang listrik</t>
        </is>
      </c>
      <c r="C8120" s="3" t="inlineStr">
        <is>
          <t>OH</t>
        </is>
      </c>
      <c r="D8120" s="15" t="n">
        <v>0.278</v>
      </c>
      <c r="E8120" s="4" t="n">
        <v>145000</v>
      </c>
      <c r="F8120" s="4" t="n">
        <v>40310</v>
      </c>
    </row>
    <row r="8121">
      <c r="A8121" s="3" t="inlineStr">
        <is>
          <t>3</t>
        </is>
      </c>
      <c r="B8121" s="3" t="inlineStr">
        <is>
          <t>Kepala Tukang</t>
        </is>
      </c>
      <c r="C8121" s="3" t="inlineStr">
        <is>
          <t>OH</t>
        </is>
      </c>
      <c r="D8121" s="15" t="n">
        <v>0.028</v>
      </c>
      <c r="E8121" s="4" t="n">
        <v>175000</v>
      </c>
      <c r="F8121" s="4" t="n">
        <v>4900</v>
      </c>
    </row>
    <row r="8122">
      <c r="A8122" s="3" t="inlineStr">
        <is>
          <t>4</t>
        </is>
      </c>
      <c r="B8122" s="3" t="inlineStr">
        <is>
          <t>Mandor</t>
        </is>
      </c>
      <c r="C8122" s="3" t="inlineStr">
        <is>
          <t>OH</t>
        </is>
      </c>
      <c r="D8122" s="15" t="n">
        <v>0.008999999999999999</v>
      </c>
      <c r="E8122" s="4" t="n">
        <v>200000</v>
      </c>
      <c r="F8122" s="4" t="n">
        <v>1800</v>
      </c>
    </row>
    <row r="8123">
      <c r="A8123" s="3" t="inlineStr">
        <is>
          <t>1</t>
        </is>
      </c>
      <c r="B8123" s="3" t="inlineStr">
        <is>
          <t>Lampu TLED 2x18W</t>
        </is>
      </c>
      <c r="C8123" s="3" t="inlineStr">
        <is>
          <t>buah</t>
        </is>
      </c>
      <c r="D8123" s="15" t="n">
        <v>1.1</v>
      </c>
      <c r="E8123" s="4" t="n">
        <v>140000</v>
      </c>
      <c r="F8123" s="4" t="n">
        <v>154000</v>
      </c>
    </row>
    <row r="8124">
      <c r="D8124" s="2" t="inlineStr">
        <is>
          <t>SUBTOTAL UPAH</t>
        </is>
      </c>
      <c r="F8124" s="16" t="n">
        <v>63710</v>
      </c>
    </row>
    <row r="8125">
      <c r="D8125" s="2" t="inlineStr">
        <is>
          <t>SUBTOTAL BAHAN</t>
        </is>
      </c>
      <c r="F8125" s="16" t="n">
        <v>154000</v>
      </c>
    </row>
    <row r="8126">
      <c r="D8126" s="2" t="inlineStr">
        <is>
          <t>SUBTOTAL ALAT</t>
        </is>
      </c>
      <c r="F8126" s="16" t="n">
        <v>0</v>
      </c>
    </row>
    <row r="8127">
      <c r="E8127" s="2" t="inlineStr">
        <is>
          <t>TOTAL HARGA SATUAN (Inc. Overhead)</t>
        </is>
      </c>
      <c r="F8127" s="17" t="n">
        <v>239481</v>
      </c>
    </row>
    <row r="8129">
      <c r="A8129" s="14" t="inlineStr">
        <is>
          <t>KODE: 5.3.1.56 - Pemasangan 1 Unit Lampu Taman LED 50 watt + Tiang 3,8 m (single pool)</t>
        </is>
      </c>
    </row>
    <row r="8130">
      <c r="A8130" s="10" t="inlineStr">
        <is>
          <t>No</t>
        </is>
      </c>
      <c r="B8130" s="10" t="inlineStr">
        <is>
          <t>Uraian Komponen</t>
        </is>
      </c>
      <c r="C8130" s="10" t="inlineStr">
        <is>
          <t>Satuan</t>
        </is>
      </c>
      <c r="D8130" s="10" t="inlineStr">
        <is>
          <t>Koef</t>
        </is>
      </c>
      <c r="E8130" s="10" t="inlineStr">
        <is>
          <t>Harga Satuan (Rp)</t>
        </is>
      </c>
      <c r="F8130" s="10" t="inlineStr">
        <is>
          <t>Jumlah Harga (Rp)</t>
        </is>
      </c>
    </row>
    <row r="8131">
      <c r="A8131" s="3" t="inlineStr">
        <is>
          <t>1</t>
        </is>
      </c>
      <c r="B8131" s="3" t="inlineStr">
        <is>
          <t>Pekerja</t>
        </is>
      </c>
      <c r="C8131" s="3" t="inlineStr">
        <is>
          <t>OH</t>
        </is>
      </c>
      <c r="D8131" s="15" t="n">
        <v>0.51</v>
      </c>
      <c r="E8131" s="4" t="n">
        <v>100000</v>
      </c>
      <c r="F8131" s="4" t="n">
        <v>51000</v>
      </c>
    </row>
    <row r="8132">
      <c r="A8132" s="3" t="inlineStr">
        <is>
          <t>2</t>
        </is>
      </c>
      <c r="B8132" s="3" t="inlineStr">
        <is>
          <t>Tukang listrik</t>
        </is>
      </c>
      <c r="C8132" s="3" t="inlineStr">
        <is>
          <t>OH</t>
        </is>
      </c>
      <c r="D8132" s="15" t="n">
        <v>0.851</v>
      </c>
      <c r="E8132" s="4" t="n">
        <v>145000</v>
      </c>
      <c r="F8132" s="4" t="n">
        <v>123395</v>
      </c>
    </row>
    <row r="8133">
      <c r="A8133" s="3" t="inlineStr">
        <is>
          <t>3</t>
        </is>
      </c>
      <c r="B8133" s="3" t="inlineStr">
        <is>
          <t>Kepala Tukang</t>
        </is>
      </c>
      <c r="C8133" s="3" t="inlineStr">
        <is>
          <t>OH</t>
        </is>
      </c>
      <c r="D8133" s="15" t="n">
        <v>0.08500000000000001</v>
      </c>
      <c r="E8133" s="4" t="n">
        <v>175000</v>
      </c>
      <c r="F8133" s="4" t="n">
        <v>14875</v>
      </c>
    </row>
    <row r="8134">
      <c r="A8134" s="3" t="inlineStr">
        <is>
          <t>4</t>
        </is>
      </c>
      <c r="B8134" s="3" t="inlineStr">
        <is>
          <t>Mandor</t>
        </is>
      </c>
      <c r="C8134" s="3" t="inlineStr">
        <is>
          <t>OH</t>
        </is>
      </c>
      <c r="D8134" s="15" t="n">
        <v>0.028</v>
      </c>
      <c r="E8134" s="4" t="n">
        <v>200000</v>
      </c>
      <c r="F8134" s="4" t="n">
        <v>5600</v>
      </c>
    </row>
    <row r="8135">
      <c r="A8135" s="3" t="inlineStr">
        <is>
          <t>1</t>
        </is>
      </c>
      <c r="B8135" s="3" t="inlineStr">
        <is>
          <t>"Lampu Taman LED 50 watt + Tiang 3 8 m (single pool)"</t>
        </is>
      </c>
      <c r="C8135" s="3" t="inlineStr">
        <is>
          <t>buah</t>
        </is>
      </c>
      <c r="D8135" s="15" t="n">
        <v>1.1</v>
      </c>
      <c r="E8135" s="4" t="n">
        <v>3000000</v>
      </c>
      <c r="F8135" s="4" t="n">
        <v>3300000</v>
      </c>
    </row>
    <row r="8136">
      <c r="D8136" s="2" t="inlineStr">
        <is>
          <t>SUBTOTAL UPAH</t>
        </is>
      </c>
      <c r="F8136" s="16" t="n">
        <v>194870</v>
      </c>
    </row>
    <row r="8137">
      <c r="D8137" s="2" t="inlineStr">
        <is>
          <t>SUBTOTAL BAHAN</t>
        </is>
      </c>
      <c r="F8137" s="16" t="n">
        <v>3300000</v>
      </c>
    </row>
    <row r="8138">
      <c r="D8138" s="2" t="inlineStr">
        <is>
          <t>SUBTOTAL ALAT</t>
        </is>
      </c>
      <c r="F8138" s="16" t="n">
        <v>0</v>
      </c>
    </row>
    <row r="8139">
      <c r="E8139" s="2" t="inlineStr">
        <is>
          <t>TOTAL HARGA SATUAN (Inc. Overhead)</t>
        </is>
      </c>
      <c r="F8139" s="17" t="n">
        <v>3844357</v>
      </c>
    </row>
    <row r="8141">
      <c r="A8141" s="14" t="inlineStr">
        <is>
          <t>KODE: 5.3.1.57 - Pemasangan 1 Unit Lampu Taman LED 18 watt + Tiang 3 m (single pool)</t>
        </is>
      </c>
    </row>
    <row r="8142">
      <c r="A8142" s="10" t="inlineStr">
        <is>
          <t>No</t>
        </is>
      </c>
      <c r="B8142" s="10" t="inlineStr">
        <is>
          <t>Uraian Komponen</t>
        </is>
      </c>
      <c r="C8142" s="10" t="inlineStr">
        <is>
          <t>Satuan</t>
        </is>
      </c>
      <c r="D8142" s="10" t="inlineStr">
        <is>
          <t>Koef</t>
        </is>
      </c>
      <c r="E8142" s="10" t="inlineStr">
        <is>
          <t>Harga Satuan (Rp)</t>
        </is>
      </c>
      <c r="F8142" s="10" t="inlineStr">
        <is>
          <t>Jumlah Harga (Rp)</t>
        </is>
      </c>
    </row>
    <row r="8143">
      <c r="A8143" s="3" t="inlineStr">
        <is>
          <t>1</t>
        </is>
      </c>
      <c r="B8143" s="3" t="inlineStr">
        <is>
          <t>Pekerja</t>
        </is>
      </c>
      <c r="C8143" s="3" t="inlineStr">
        <is>
          <t>OH</t>
        </is>
      </c>
      <c r="D8143" s="15" t="n">
        <v>0.51</v>
      </c>
      <c r="E8143" s="4" t="n">
        <v>100000</v>
      </c>
      <c r="F8143" s="4" t="n">
        <v>51000</v>
      </c>
    </row>
    <row r="8144">
      <c r="A8144" s="3" t="inlineStr">
        <is>
          <t>2</t>
        </is>
      </c>
      <c r="B8144" s="3" t="inlineStr">
        <is>
          <t>Tukang listrik</t>
        </is>
      </c>
      <c r="C8144" s="3" t="inlineStr">
        <is>
          <t>OH</t>
        </is>
      </c>
      <c r="D8144" s="15" t="n">
        <v>0.851</v>
      </c>
      <c r="E8144" s="4" t="n">
        <v>145000</v>
      </c>
      <c r="F8144" s="4" t="n">
        <v>123395</v>
      </c>
    </row>
    <row r="8145">
      <c r="A8145" s="3" t="inlineStr">
        <is>
          <t>3</t>
        </is>
      </c>
      <c r="B8145" s="3" t="inlineStr">
        <is>
          <t>Kepala Tukang</t>
        </is>
      </c>
      <c r="C8145" s="3" t="inlineStr">
        <is>
          <t>OH</t>
        </is>
      </c>
      <c r="D8145" s="15" t="n">
        <v>0.08500000000000001</v>
      </c>
      <c r="E8145" s="4" t="n">
        <v>175000</v>
      </c>
      <c r="F8145" s="4" t="n">
        <v>14875</v>
      </c>
    </row>
    <row r="8146">
      <c r="A8146" s="3" t="inlineStr">
        <is>
          <t>4</t>
        </is>
      </c>
      <c r="B8146" s="3" t="inlineStr">
        <is>
          <t>Mandor</t>
        </is>
      </c>
      <c r="C8146" s="3" t="inlineStr">
        <is>
          <t>OH</t>
        </is>
      </c>
      <c r="D8146" s="15" t="n">
        <v>0.028</v>
      </c>
      <c r="E8146" s="4" t="n">
        <v>200000</v>
      </c>
      <c r="F8146" s="4" t="n">
        <v>5600</v>
      </c>
    </row>
    <row r="8147">
      <c r="A8147" s="3" t="inlineStr">
        <is>
          <t>1</t>
        </is>
      </c>
      <c r="B8147" s="3" t="inlineStr">
        <is>
          <t>Lampu Taman LED 18 watt + Tiang 3 m (single pool)</t>
        </is>
      </c>
      <c r="C8147" s="3" t="inlineStr">
        <is>
          <t>buah</t>
        </is>
      </c>
      <c r="D8147" s="15" t="n">
        <v>1.1</v>
      </c>
      <c r="E8147" s="4" t="n">
        <v>1700000</v>
      </c>
      <c r="F8147" s="4" t="n">
        <v>1870000</v>
      </c>
    </row>
    <row r="8148">
      <c r="D8148" s="2" t="inlineStr">
        <is>
          <t>SUBTOTAL UPAH</t>
        </is>
      </c>
      <c r="F8148" s="16" t="n">
        <v>194870</v>
      </c>
    </row>
    <row r="8149">
      <c r="D8149" s="2" t="inlineStr">
        <is>
          <t>SUBTOTAL BAHAN</t>
        </is>
      </c>
      <c r="F8149" s="16" t="n">
        <v>1870000</v>
      </c>
    </row>
    <row r="8150">
      <c r="D8150" s="2" t="inlineStr">
        <is>
          <t>SUBTOTAL ALAT</t>
        </is>
      </c>
      <c r="F8150" s="16" t="n">
        <v>0</v>
      </c>
    </row>
    <row r="8151">
      <c r="E8151" s="2" t="inlineStr">
        <is>
          <t>TOTAL HARGA SATUAN (Inc. Overhead)</t>
        </is>
      </c>
      <c r="F8151" s="17" t="n">
        <v>2271357</v>
      </c>
    </row>
    <row r="8153">
      <c r="A8153" s="14" t="inlineStr">
        <is>
          <t>KODE: 5.3.1.58 - Pemasangan 1 Unit Fitting + 20 Watt Lampu Baret</t>
        </is>
      </c>
    </row>
    <row r="8154">
      <c r="A8154" s="10" t="inlineStr">
        <is>
          <t>No</t>
        </is>
      </c>
      <c r="B8154" s="10" t="inlineStr">
        <is>
          <t>Uraian Komponen</t>
        </is>
      </c>
      <c r="C8154" s="10" t="inlineStr">
        <is>
          <t>Satuan</t>
        </is>
      </c>
      <c r="D8154" s="10" t="inlineStr">
        <is>
          <t>Koef</t>
        </is>
      </c>
      <c r="E8154" s="10" t="inlineStr">
        <is>
          <t>Harga Satuan (Rp)</t>
        </is>
      </c>
      <c r="F8154" s="10" t="inlineStr">
        <is>
          <t>Jumlah Harga (Rp)</t>
        </is>
      </c>
    </row>
    <row r="8155">
      <c r="A8155" s="3" t="inlineStr">
        <is>
          <t>1</t>
        </is>
      </c>
      <c r="B8155" s="3" t="inlineStr">
        <is>
          <t>Pekerja</t>
        </is>
      </c>
      <c r="C8155" s="3" t="inlineStr">
        <is>
          <t>OH</t>
        </is>
      </c>
      <c r="D8155" s="15" t="n">
        <v>0.064</v>
      </c>
      <c r="E8155" s="4" t="n">
        <v>100000</v>
      </c>
      <c r="F8155" s="4" t="n">
        <v>6400</v>
      </c>
    </row>
    <row r="8156">
      <c r="A8156" s="3" t="inlineStr">
        <is>
          <t>2</t>
        </is>
      </c>
      <c r="B8156" s="3" t="inlineStr">
        <is>
          <t>Tukang listrik</t>
        </is>
      </c>
      <c r="C8156" s="3" t="inlineStr">
        <is>
          <t>OH</t>
        </is>
      </c>
      <c r="D8156" s="15" t="n">
        <v>0.107</v>
      </c>
      <c r="E8156" s="4" t="n">
        <v>145000</v>
      </c>
      <c r="F8156" s="4" t="n">
        <v>15515</v>
      </c>
    </row>
    <row r="8157">
      <c r="A8157" s="3" t="inlineStr">
        <is>
          <t>3</t>
        </is>
      </c>
      <c r="B8157" s="3" t="inlineStr">
        <is>
          <t>Kepala Tukang</t>
        </is>
      </c>
      <c r="C8157" s="3" t="inlineStr">
        <is>
          <t>OH</t>
        </is>
      </c>
      <c r="D8157" s="15" t="n">
        <v>0.011</v>
      </c>
      <c r="E8157" s="4" t="n">
        <v>175000</v>
      </c>
      <c r="F8157" s="4" t="n">
        <v>1925</v>
      </c>
    </row>
    <row r="8158">
      <c r="A8158" s="3" t="inlineStr">
        <is>
          <t>4</t>
        </is>
      </c>
      <c r="B8158" s="3" t="inlineStr">
        <is>
          <t>Mandor</t>
        </is>
      </c>
      <c r="C8158" s="3" t="inlineStr">
        <is>
          <t>OH</t>
        </is>
      </c>
      <c r="D8158" s="15" t="n">
        <v>0.004</v>
      </c>
      <c r="E8158" s="4" t="n">
        <v>200000</v>
      </c>
      <c r="F8158" s="4" t="n">
        <v>800</v>
      </c>
    </row>
    <row r="8159">
      <c r="A8159" s="3" t="inlineStr">
        <is>
          <t>1</t>
        </is>
      </c>
      <c r="B8159" s="3" t="inlineStr">
        <is>
          <t>Lampu Baret 20 Watt termasuk fitting</t>
        </is>
      </c>
      <c r="C8159" s="3" t="inlineStr">
        <is>
          <t>buah</t>
        </is>
      </c>
      <c r="D8159" s="15" t="n">
        <v>1.1</v>
      </c>
      <c r="E8159" s="4" t="n">
        <v>150000</v>
      </c>
      <c r="F8159" s="4" t="n">
        <v>165000</v>
      </c>
    </row>
    <row r="8160">
      <c r="D8160" s="2" t="inlineStr">
        <is>
          <t>SUBTOTAL UPAH</t>
        </is>
      </c>
      <c r="F8160" s="16" t="n">
        <v>24640</v>
      </c>
    </row>
    <row r="8161">
      <c r="D8161" s="2" t="inlineStr">
        <is>
          <t>SUBTOTAL BAHAN</t>
        </is>
      </c>
      <c r="F8161" s="16" t="n">
        <v>165000</v>
      </c>
    </row>
    <row r="8162">
      <c r="D8162" s="2" t="inlineStr">
        <is>
          <t>SUBTOTAL ALAT</t>
        </is>
      </c>
      <c r="F8162" s="16" t="n">
        <v>0</v>
      </c>
    </row>
    <row r="8163">
      <c r="E8163" s="2" t="inlineStr">
        <is>
          <t>TOTAL HARGA SATUAN (Inc. Overhead)</t>
        </is>
      </c>
      <c r="F8163" s="17" t="n">
        <v>208604</v>
      </c>
    </row>
    <row r="8165">
      <c r="A8165" s="14" t="inlineStr">
        <is>
          <t>KODE: 5.3.1.59 - Pemasangan 1 Unit Fitting + 32 Watt Lampu Baret</t>
        </is>
      </c>
    </row>
    <row r="8166">
      <c r="A8166" s="10" t="inlineStr">
        <is>
          <t>No</t>
        </is>
      </c>
      <c r="B8166" s="10" t="inlineStr">
        <is>
          <t>Uraian Komponen</t>
        </is>
      </c>
      <c r="C8166" s="10" t="inlineStr">
        <is>
          <t>Satuan</t>
        </is>
      </c>
      <c r="D8166" s="10" t="inlineStr">
        <is>
          <t>Koef</t>
        </is>
      </c>
      <c r="E8166" s="10" t="inlineStr">
        <is>
          <t>Harga Satuan (Rp)</t>
        </is>
      </c>
      <c r="F8166" s="10" t="inlineStr">
        <is>
          <t>Jumlah Harga (Rp)</t>
        </is>
      </c>
    </row>
    <row r="8167">
      <c r="A8167" s="3" t="inlineStr">
        <is>
          <t>1</t>
        </is>
      </c>
      <c r="B8167" s="3" t="inlineStr">
        <is>
          <t>Pekerja</t>
        </is>
      </c>
      <c r="C8167" s="3" t="inlineStr">
        <is>
          <t>OH</t>
        </is>
      </c>
      <c r="D8167" s="15" t="n">
        <v>0.064</v>
      </c>
      <c r="E8167" s="4" t="n">
        <v>100000</v>
      </c>
      <c r="F8167" s="4" t="n">
        <v>6400</v>
      </c>
    </row>
    <row r="8168">
      <c r="A8168" s="3" t="inlineStr">
        <is>
          <t>2</t>
        </is>
      </c>
      <c r="B8168" s="3" t="inlineStr">
        <is>
          <t>Tukang listrik</t>
        </is>
      </c>
      <c r="C8168" s="3" t="inlineStr">
        <is>
          <t>OH</t>
        </is>
      </c>
      <c r="D8168" s="15" t="n">
        <v>0.107</v>
      </c>
      <c r="E8168" s="4" t="n">
        <v>145000</v>
      </c>
      <c r="F8168" s="4" t="n">
        <v>15515</v>
      </c>
    </row>
    <row r="8169">
      <c r="A8169" s="3" t="inlineStr">
        <is>
          <t>3</t>
        </is>
      </c>
      <c r="B8169" s="3" t="inlineStr">
        <is>
          <t>Kepala Tukang</t>
        </is>
      </c>
      <c r="C8169" s="3" t="inlineStr">
        <is>
          <t>OH</t>
        </is>
      </c>
      <c r="D8169" s="15" t="n">
        <v>0.011</v>
      </c>
      <c r="E8169" s="4" t="n">
        <v>175000</v>
      </c>
      <c r="F8169" s="4" t="n">
        <v>1925</v>
      </c>
    </row>
    <row r="8170">
      <c r="A8170" s="3" t="inlineStr">
        <is>
          <t>4</t>
        </is>
      </c>
      <c r="B8170" s="3" t="inlineStr">
        <is>
          <t>Mandor</t>
        </is>
      </c>
      <c r="C8170" s="3" t="inlineStr">
        <is>
          <t>OH</t>
        </is>
      </c>
      <c r="D8170" s="15" t="n">
        <v>0.004</v>
      </c>
      <c r="E8170" s="4" t="n">
        <v>200000</v>
      </c>
      <c r="F8170" s="4" t="n">
        <v>800</v>
      </c>
    </row>
    <row r="8171">
      <c r="A8171" s="3" t="inlineStr">
        <is>
          <t>1</t>
        </is>
      </c>
      <c r="B8171" s="3" t="inlineStr">
        <is>
          <t>Lampu Baret 32 Watt termasuk fitting</t>
        </is>
      </c>
      <c r="C8171" s="3" t="inlineStr">
        <is>
          <t>buah</t>
        </is>
      </c>
      <c r="D8171" s="15" t="n">
        <v>1.1</v>
      </c>
      <c r="E8171" s="4" t="n">
        <v>230000</v>
      </c>
      <c r="F8171" s="4" t="n">
        <v>253000</v>
      </c>
    </row>
    <row r="8172">
      <c r="D8172" s="2" t="inlineStr">
        <is>
          <t>SUBTOTAL UPAH</t>
        </is>
      </c>
      <c r="F8172" s="16" t="n">
        <v>24640</v>
      </c>
    </row>
    <row r="8173">
      <c r="D8173" s="2" t="inlineStr">
        <is>
          <t>SUBTOTAL BAHAN</t>
        </is>
      </c>
      <c r="F8173" s="16" t="n">
        <v>253000</v>
      </c>
    </row>
    <row r="8174">
      <c r="D8174" s="2" t="inlineStr">
        <is>
          <t>SUBTOTAL ALAT</t>
        </is>
      </c>
      <c r="F8174" s="16" t="n">
        <v>0</v>
      </c>
    </row>
    <row r="8175">
      <c r="E8175" s="2" t="inlineStr">
        <is>
          <t>TOTAL HARGA SATUAN (Inc. Overhead)</t>
        </is>
      </c>
      <c r="F8175" s="17" t="n">
        <v>305404</v>
      </c>
    </row>
    <row r="8177">
      <c r="A8177" s="14" t="inlineStr">
        <is>
          <t>KODE: 5.3.1.60 - Pemasangan 1 Unit Tiang PJU Octagonal Single Ornament Parabole</t>
        </is>
      </c>
    </row>
    <row r="8178">
      <c r="A8178" s="10" t="inlineStr">
        <is>
          <t>No</t>
        </is>
      </c>
      <c r="B8178" s="10" t="inlineStr">
        <is>
          <t>Uraian Komponen</t>
        </is>
      </c>
      <c r="C8178" s="10" t="inlineStr">
        <is>
          <t>Satuan</t>
        </is>
      </c>
      <c r="D8178" s="10" t="inlineStr">
        <is>
          <t>Koef</t>
        </is>
      </c>
      <c r="E8178" s="10" t="inlineStr">
        <is>
          <t>Harga Satuan (Rp)</t>
        </is>
      </c>
      <c r="F8178" s="10" t="inlineStr">
        <is>
          <t>Jumlah Harga (Rp)</t>
        </is>
      </c>
    </row>
    <row r="8179">
      <c r="A8179" s="3" t="inlineStr">
        <is>
          <t>1</t>
        </is>
      </c>
      <c r="B8179" s="3" t="inlineStr">
        <is>
          <t>Pekerja</t>
        </is>
      </c>
      <c r="C8179" s="3" t="inlineStr">
        <is>
          <t>OH</t>
        </is>
      </c>
      <c r="D8179" s="15" t="n">
        <v>1.395</v>
      </c>
      <c r="E8179" s="4" t="n">
        <v>100000</v>
      </c>
      <c r="F8179" s="4" t="n">
        <v>139500</v>
      </c>
    </row>
    <row r="8180">
      <c r="A8180" s="3" t="inlineStr">
        <is>
          <t>2</t>
        </is>
      </c>
      <c r="B8180" s="3" t="inlineStr">
        <is>
          <t>Tukang listrik</t>
        </is>
      </c>
      <c r="C8180" s="3" t="inlineStr">
        <is>
          <t>OH</t>
        </is>
      </c>
      <c r="D8180" s="15" t="n">
        <v>2.33</v>
      </c>
      <c r="E8180" s="4" t="n">
        <v>145000</v>
      </c>
      <c r="F8180" s="4" t="n">
        <v>337850</v>
      </c>
    </row>
    <row r="8181">
      <c r="A8181" s="3" t="inlineStr">
        <is>
          <t>3</t>
        </is>
      </c>
      <c r="B8181" s="3" t="inlineStr">
        <is>
          <t>Kepala Tukang</t>
        </is>
      </c>
      <c r="C8181" s="3" t="inlineStr">
        <is>
          <t>OH</t>
        </is>
      </c>
      <c r="D8181" s="15" t="n">
        <v>0.233</v>
      </c>
      <c r="E8181" s="4" t="n">
        <v>175000</v>
      </c>
      <c r="F8181" s="4" t="n">
        <v>40775</v>
      </c>
    </row>
    <row r="8182">
      <c r="A8182" s="3" t="inlineStr">
        <is>
          <t>4</t>
        </is>
      </c>
      <c r="B8182" s="3" t="inlineStr">
        <is>
          <t>Mandor</t>
        </is>
      </c>
      <c r="C8182" s="3" t="inlineStr">
        <is>
          <t>OH</t>
        </is>
      </c>
      <c r="D8182" s="15" t="n">
        <v>0.078</v>
      </c>
      <c r="E8182" s="4" t="n">
        <v>200000</v>
      </c>
      <c r="F8182" s="4" t="n">
        <v>15600</v>
      </c>
    </row>
    <row r="8183">
      <c r="A8183" s="3" t="inlineStr">
        <is>
          <t>1</t>
        </is>
      </c>
      <c r="B8183" s="3" t="inlineStr">
        <is>
          <t>Lampu PJU dan aksesoris</t>
        </is>
      </c>
      <c r="C8183" s="3" t="inlineStr">
        <is>
          <t>buah</t>
        </is>
      </c>
      <c r="D8183" s="15" t="n">
        <v>1.05</v>
      </c>
      <c r="E8183" s="4" t="n">
        <v>300000</v>
      </c>
      <c r="F8183" s="4" t="n">
        <v>315000</v>
      </c>
    </row>
    <row r="8184">
      <c r="A8184" s="3" t="inlineStr">
        <is>
          <t>2</t>
        </is>
      </c>
      <c r="B8184" s="3" t="inlineStr">
        <is>
          <t>Tiang PJU Octagonal Single Ornament + pondasi</t>
        </is>
      </c>
      <c r="C8184" s="3" t="inlineStr">
        <is>
          <t>buah</t>
        </is>
      </c>
      <c r="D8184" s="15" t="n">
        <v>1.05</v>
      </c>
      <c r="E8184" s="4" t="n">
        <v>3500000</v>
      </c>
      <c r="F8184" s="4" t="n">
        <v>3675000</v>
      </c>
    </row>
    <row r="8185">
      <c r="D8185" s="2" t="inlineStr">
        <is>
          <t>SUBTOTAL UPAH</t>
        </is>
      </c>
      <c r="F8185" s="16" t="n">
        <v>533725</v>
      </c>
    </row>
    <row r="8186">
      <c r="D8186" s="2" t="inlineStr">
        <is>
          <t>SUBTOTAL BAHAN</t>
        </is>
      </c>
      <c r="F8186" s="16" t="n">
        <v>3990000</v>
      </c>
    </row>
    <row r="8187">
      <c r="D8187" s="2" t="inlineStr">
        <is>
          <t>SUBTOTAL ALAT</t>
        </is>
      </c>
      <c r="F8187" s="16" t="n">
        <v>0</v>
      </c>
    </row>
    <row r="8188">
      <c r="E8188" s="2" t="inlineStr">
        <is>
          <t>TOTAL HARGA SATUAN (Inc. Overhead)</t>
        </is>
      </c>
      <c r="F8188" s="17" t="n">
        <v>4976097</v>
      </c>
    </row>
    <row r="8190">
      <c r="A8190" s="14" t="inlineStr">
        <is>
          <t>KODE: 5.3.1.61 - Pemasangan 1 Unit Tiang PJU Octagonal Double Ornament Parabole</t>
        </is>
      </c>
    </row>
    <row r="8191">
      <c r="A8191" s="10" t="inlineStr">
        <is>
          <t>No</t>
        </is>
      </c>
      <c r="B8191" s="10" t="inlineStr">
        <is>
          <t>Uraian Komponen</t>
        </is>
      </c>
      <c r="C8191" s="10" t="inlineStr">
        <is>
          <t>Satuan</t>
        </is>
      </c>
      <c r="D8191" s="10" t="inlineStr">
        <is>
          <t>Koef</t>
        </is>
      </c>
      <c r="E8191" s="10" t="inlineStr">
        <is>
          <t>Harga Satuan (Rp)</t>
        </is>
      </c>
      <c r="F8191" s="10" t="inlineStr">
        <is>
          <t>Jumlah Harga (Rp)</t>
        </is>
      </c>
    </row>
    <row r="8192">
      <c r="A8192" s="3" t="inlineStr">
        <is>
          <t>1</t>
        </is>
      </c>
      <c r="B8192" s="3" t="inlineStr">
        <is>
          <t>Pekerja</t>
        </is>
      </c>
      <c r="C8192" s="3" t="inlineStr">
        <is>
          <t>OH</t>
        </is>
      </c>
      <c r="D8192" s="15" t="n">
        <v>1.674</v>
      </c>
      <c r="E8192" s="4" t="n">
        <v>100000</v>
      </c>
      <c r="F8192" s="4" t="n">
        <v>167400</v>
      </c>
    </row>
    <row r="8193">
      <c r="A8193" s="3" t="inlineStr">
        <is>
          <t>2</t>
        </is>
      </c>
      <c r="B8193" s="3" t="inlineStr">
        <is>
          <t>Tukang listrik</t>
        </is>
      </c>
      <c r="C8193" s="3" t="inlineStr">
        <is>
          <t>OH</t>
        </is>
      </c>
      <c r="D8193" s="15" t="n">
        <v>2.796</v>
      </c>
      <c r="E8193" s="4" t="n">
        <v>145000</v>
      </c>
      <c r="F8193" s="4" t="n">
        <v>405420</v>
      </c>
    </row>
    <row r="8194">
      <c r="A8194" s="3" t="inlineStr">
        <is>
          <t>3</t>
        </is>
      </c>
      <c r="B8194" s="3" t="inlineStr">
        <is>
          <t>Kepala Tukang</t>
        </is>
      </c>
      <c r="C8194" s="3" t="inlineStr">
        <is>
          <t>OH</t>
        </is>
      </c>
      <c r="D8194" s="15" t="n">
        <v>0.28</v>
      </c>
      <c r="E8194" s="4" t="n">
        <v>175000</v>
      </c>
      <c r="F8194" s="4" t="n">
        <v>49000.00000000001</v>
      </c>
    </row>
    <row r="8195">
      <c r="A8195" s="3" t="inlineStr">
        <is>
          <t>4</t>
        </is>
      </c>
      <c r="B8195" s="3" t="inlineStr">
        <is>
          <t>Mandor</t>
        </is>
      </c>
      <c r="C8195" s="3" t="inlineStr">
        <is>
          <t>OH</t>
        </is>
      </c>
      <c r="D8195" s="15" t="n">
        <v>0.093</v>
      </c>
      <c r="E8195" s="4" t="n">
        <v>200000</v>
      </c>
      <c r="F8195" s="4" t="n">
        <v>18600</v>
      </c>
    </row>
    <row r="8196">
      <c r="A8196" s="3" t="inlineStr">
        <is>
          <t>1</t>
        </is>
      </c>
      <c r="B8196" s="3" t="inlineStr">
        <is>
          <t>Lampu PJU dan aksesoris</t>
        </is>
      </c>
      <c r="C8196" s="3" t="inlineStr">
        <is>
          <t>buah</t>
        </is>
      </c>
      <c r="D8196" s="15" t="n">
        <v>1.05</v>
      </c>
      <c r="E8196" s="4" t="n">
        <v>300000</v>
      </c>
      <c r="F8196" s="4" t="n">
        <v>315000</v>
      </c>
    </row>
    <row r="8197">
      <c r="A8197" s="3" t="inlineStr">
        <is>
          <t>2</t>
        </is>
      </c>
      <c r="B8197" s="3" t="inlineStr">
        <is>
          <t>Tiang PJU Octagonal Double Ornament + pondasi</t>
        </is>
      </c>
      <c r="C8197" s="3" t="inlineStr">
        <is>
          <t>buah</t>
        </is>
      </c>
      <c r="D8197" s="15" t="n">
        <v>1.05</v>
      </c>
      <c r="E8197" s="4" t="n">
        <v>7500000</v>
      </c>
      <c r="F8197" s="4" t="n">
        <v>7875000</v>
      </c>
    </row>
    <row r="8198">
      <c r="D8198" s="2" t="inlineStr">
        <is>
          <t>SUBTOTAL UPAH</t>
        </is>
      </c>
      <c r="F8198" s="16" t="n">
        <v>640420</v>
      </c>
    </row>
    <row r="8199">
      <c r="D8199" s="2" t="inlineStr">
        <is>
          <t>SUBTOTAL BAHAN</t>
        </is>
      </c>
      <c r="F8199" s="16" t="n">
        <v>8190000</v>
      </c>
    </row>
    <row r="8200">
      <c r="D8200" s="2" t="inlineStr">
        <is>
          <t>SUBTOTAL ALAT</t>
        </is>
      </c>
      <c r="F8200" s="16" t="n">
        <v>0</v>
      </c>
    </row>
    <row r="8201">
      <c r="E8201" s="2" t="inlineStr">
        <is>
          <t>TOTAL HARGA SATUAN (Inc. Overhead)</t>
        </is>
      </c>
      <c r="F8201" s="17" t="n">
        <v>9713462</v>
      </c>
    </row>
    <row r="8203">
      <c r="A8203" s="14" t="inlineStr">
        <is>
          <t>KODE: 5.3.1.62 - Pemasangan 1 Unit Downlight Outbow LED 9W 4000K</t>
        </is>
      </c>
    </row>
    <row r="8204">
      <c r="A8204" s="10" t="inlineStr">
        <is>
          <t>No</t>
        </is>
      </c>
      <c r="B8204" s="10" t="inlineStr">
        <is>
          <t>Uraian Komponen</t>
        </is>
      </c>
      <c r="C8204" s="10" t="inlineStr">
        <is>
          <t>Satuan</t>
        </is>
      </c>
      <c r="D8204" s="10" t="inlineStr">
        <is>
          <t>Koef</t>
        </is>
      </c>
      <c r="E8204" s="10" t="inlineStr">
        <is>
          <t>Harga Satuan (Rp)</t>
        </is>
      </c>
      <c r="F8204" s="10" t="inlineStr">
        <is>
          <t>Jumlah Harga (Rp)</t>
        </is>
      </c>
    </row>
    <row r="8205">
      <c r="A8205" s="3" t="inlineStr">
        <is>
          <t>1</t>
        </is>
      </c>
      <c r="B8205" s="3" t="inlineStr">
        <is>
          <t>Pekerja</t>
        </is>
      </c>
      <c r="C8205" s="3" t="inlineStr">
        <is>
          <t>OH</t>
        </is>
      </c>
      <c r="D8205" s="15" t="n">
        <v>0.064</v>
      </c>
      <c r="E8205" s="4" t="n">
        <v>100000</v>
      </c>
      <c r="F8205" s="4" t="n">
        <v>6400</v>
      </c>
    </row>
    <row r="8206">
      <c r="A8206" s="3" t="inlineStr">
        <is>
          <t>2</t>
        </is>
      </c>
      <c r="B8206" s="3" t="inlineStr">
        <is>
          <t>Tukang listrik</t>
        </is>
      </c>
      <c r="C8206" s="3" t="inlineStr">
        <is>
          <t>OH</t>
        </is>
      </c>
      <c r="D8206" s="15" t="n">
        <v>0.107</v>
      </c>
      <c r="E8206" s="4" t="n">
        <v>145000</v>
      </c>
      <c r="F8206" s="4" t="n">
        <v>15515</v>
      </c>
    </row>
    <row r="8207">
      <c r="A8207" s="3" t="inlineStr">
        <is>
          <t>3</t>
        </is>
      </c>
      <c r="B8207" s="3" t="inlineStr">
        <is>
          <t>Kepala Tukang</t>
        </is>
      </c>
      <c r="C8207" s="3" t="inlineStr">
        <is>
          <t>OH</t>
        </is>
      </c>
      <c r="D8207" s="15" t="n">
        <v>0.011</v>
      </c>
      <c r="E8207" s="4" t="n">
        <v>175000</v>
      </c>
      <c r="F8207" s="4" t="n">
        <v>1925</v>
      </c>
    </row>
    <row r="8208">
      <c r="A8208" s="3" t="inlineStr">
        <is>
          <t>4</t>
        </is>
      </c>
      <c r="B8208" s="3" t="inlineStr">
        <is>
          <t>Mandor</t>
        </is>
      </c>
      <c r="C8208" s="3" t="inlineStr">
        <is>
          <t>OH</t>
        </is>
      </c>
      <c r="D8208" s="15" t="n">
        <v>0.004</v>
      </c>
      <c r="E8208" s="4" t="n">
        <v>200000</v>
      </c>
      <c r="F8208" s="4" t="n">
        <v>800</v>
      </c>
    </row>
    <row r="8209">
      <c r="A8209" s="3" t="inlineStr">
        <is>
          <t>1</t>
        </is>
      </c>
      <c r="B8209" s="3" t="inlineStr">
        <is>
          <t>Lampu Baret 32 Watt termasuk fitting</t>
        </is>
      </c>
      <c r="C8209" s="3" t="inlineStr">
        <is>
          <t>buah</t>
        </is>
      </c>
      <c r="D8209" s="15" t="n">
        <v>1.1</v>
      </c>
      <c r="E8209" s="4" t="n">
        <v>230000</v>
      </c>
      <c r="F8209" s="4" t="n">
        <v>253000</v>
      </c>
    </row>
    <row r="8210">
      <c r="D8210" s="2" t="inlineStr">
        <is>
          <t>SUBTOTAL UPAH</t>
        </is>
      </c>
      <c r="F8210" s="16" t="n">
        <v>24640</v>
      </c>
    </row>
    <row r="8211">
      <c r="D8211" s="2" t="inlineStr">
        <is>
          <t>SUBTOTAL BAHAN</t>
        </is>
      </c>
      <c r="F8211" s="16" t="n">
        <v>253000</v>
      </c>
    </row>
    <row r="8212">
      <c r="D8212" s="2" t="inlineStr">
        <is>
          <t>SUBTOTAL ALAT</t>
        </is>
      </c>
      <c r="F8212" s="16" t="n">
        <v>0</v>
      </c>
    </row>
    <row r="8213">
      <c r="E8213" s="2" t="inlineStr">
        <is>
          <t>TOTAL HARGA SATUAN (Inc. Overhead)</t>
        </is>
      </c>
      <c r="F8213" s="17" t="n">
        <v>305404</v>
      </c>
    </row>
    <row r="8215">
      <c r="A8215" s="14" t="inlineStr">
        <is>
          <t>KODE: 5.3.1.63 - Pemasangan 1 Unit Downlight Outbow LED 9W 4000K + Battery</t>
        </is>
      </c>
    </row>
    <row r="8216">
      <c r="A8216" s="10" t="inlineStr">
        <is>
          <t>No</t>
        </is>
      </c>
      <c r="B8216" s="10" t="inlineStr">
        <is>
          <t>Uraian Komponen</t>
        </is>
      </c>
      <c r="C8216" s="10" t="inlineStr">
        <is>
          <t>Satuan</t>
        </is>
      </c>
      <c r="D8216" s="10" t="inlineStr">
        <is>
          <t>Koef</t>
        </is>
      </c>
      <c r="E8216" s="10" t="inlineStr">
        <is>
          <t>Harga Satuan (Rp)</t>
        </is>
      </c>
      <c r="F8216" s="10" t="inlineStr">
        <is>
          <t>Jumlah Harga (Rp)</t>
        </is>
      </c>
    </row>
    <row r="8217">
      <c r="A8217" s="3" t="inlineStr">
        <is>
          <t>1</t>
        </is>
      </c>
      <c r="B8217" s="3" t="inlineStr">
        <is>
          <t>Pekerja</t>
        </is>
      </c>
      <c r="C8217" s="3" t="inlineStr">
        <is>
          <t>OH</t>
        </is>
      </c>
      <c r="D8217" s="15" t="n">
        <v>0.064</v>
      </c>
      <c r="E8217" s="4" t="n">
        <v>100000</v>
      </c>
      <c r="F8217" s="4" t="n">
        <v>6400</v>
      </c>
    </row>
    <row r="8218">
      <c r="A8218" s="3" t="inlineStr">
        <is>
          <t>2</t>
        </is>
      </c>
      <c r="B8218" s="3" t="inlineStr">
        <is>
          <t>Tukang listrik</t>
        </is>
      </c>
      <c r="C8218" s="3" t="inlineStr">
        <is>
          <t>OH</t>
        </is>
      </c>
      <c r="D8218" s="15" t="n">
        <v>0.107</v>
      </c>
      <c r="E8218" s="4" t="n">
        <v>145000</v>
      </c>
      <c r="F8218" s="4" t="n">
        <v>15515</v>
      </c>
    </row>
    <row r="8219">
      <c r="A8219" s="3" t="inlineStr">
        <is>
          <t>3</t>
        </is>
      </c>
      <c r="B8219" s="3" t="inlineStr">
        <is>
          <t>Kepala Tukang</t>
        </is>
      </c>
      <c r="C8219" s="3" t="inlineStr">
        <is>
          <t>OH</t>
        </is>
      </c>
      <c r="D8219" s="15" t="n">
        <v>0.011</v>
      </c>
      <c r="E8219" s="4" t="n">
        <v>175000</v>
      </c>
      <c r="F8219" s="4" t="n">
        <v>1925</v>
      </c>
    </row>
    <row r="8220">
      <c r="A8220" s="3" t="inlineStr">
        <is>
          <t>4</t>
        </is>
      </c>
      <c r="B8220" s="3" t="inlineStr">
        <is>
          <t>Mandor</t>
        </is>
      </c>
      <c r="C8220" s="3" t="inlineStr">
        <is>
          <t>OH</t>
        </is>
      </c>
      <c r="D8220" s="15" t="n">
        <v>0.004</v>
      </c>
      <c r="E8220" s="4" t="n">
        <v>200000</v>
      </c>
      <c r="F8220" s="4" t="n">
        <v>800</v>
      </c>
    </row>
    <row r="8221">
      <c r="A8221" s="3" t="inlineStr">
        <is>
          <t>1</t>
        </is>
      </c>
      <c r="B8221" s="3" t="inlineStr">
        <is>
          <t>Lampu Baret 32 Watt termasuk fitting + Battery</t>
        </is>
      </c>
      <c r="C8221" s="3" t="inlineStr">
        <is>
          <t>buah</t>
        </is>
      </c>
      <c r="D8221" s="15" t="n">
        <v>1.1</v>
      </c>
      <c r="E8221" s="4" t="n">
        <v>230000</v>
      </c>
      <c r="F8221" s="4" t="n">
        <v>253000</v>
      </c>
    </row>
    <row r="8222">
      <c r="D8222" s="2" t="inlineStr">
        <is>
          <t>SUBTOTAL UPAH</t>
        </is>
      </c>
      <c r="F8222" s="16" t="n">
        <v>24640</v>
      </c>
    </row>
    <row r="8223">
      <c r="D8223" s="2" t="inlineStr">
        <is>
          <t>SUBTOTAL BAHAN</t>
        </is>
      </c>
      <c r="F8223" s="16" t="n">
        <v>253000</v>
      </c>
    </row>
    <row r="8224">
      <c r="D8224" s="2" t="inlineStr">
        <is>
          <t>SUBTOTAL ALAT</t>
        </is>
      </c>
      <c r="F8224" s="16" t="n">
        <v>0</v>
      </c>
    </row>
    <row r="8225">
      <c r="E8225" s="2" t="inlineStr">
        <is>
          <t>TOTAL HARGA SATUAN (Inc. Overhead)</t>
        </is>
      </c>
      <c r="F8225" s="17" t="n">
        <v>305404</v>
      </c>
    </row>
    <row r="8227">
      <c r="A8227" s="14" t="inlineStr">
        <is>
          <t>KODE: 5.3.1.64 - Pemasangan 1 Unit Lampu Sorot Washlight LED 3 Watt</t>
        </is>
      </c>
    </row>
    <row r="8228">
      <c r="A8228" s="10" t="inlineStr">
        <is>
          <t>No</t>
        </is>
      </c>
      <c r="B8228" s="10" t="inlineStr">
        <is>
          <t>Uraian Komponen</t>
        </is>
      </c>
      <c r="C8228" s="10" t="inlineStr">
        <is>
          <t>Satuan</t>
        </is>
      </c>
      <c r="D8228" s="10" t="inlineStr">
        <is>
          <t>Koef</t>
        </is>
      </c>
      <c r="E8228" s="10" t="inlineStr">
        <is>
          <t>Harga Satuan (Rp)</t>
        </is>
      </c>
      <c r="F8228" s="10" t="inlineStr">
        <is>
          <t>Jumlah Harga (Rp)</t>
        </is>
      </c>
    </row>
    <row r="8229">
      <c r="A8229" s="3" t="inlineStr">
        <is>
          <t>1</t>
        </is>
      </c>
      <c r="B8229" s="3" t="inlineStr">
        <is>
          <t>Pekerja</t>
        </is>
      </c>
      <c r="C8229" s="3" t="inlineStr">
        <is>
          <t>OH</t>
        </is>
      </c>
      <c r="D8229" s="15" t="n">
        <v>0.064</v>
      </c>
      <c r="E8229" s="4" t="n">
        <v>100000</v>
      </c>
      <c r="F8229" s="4" t="n">
        <v>6400</v>
      </c>
    </row>
    <row r="8230">
      <c r="A8230" s="3" t="inlineStr">
        <is>
          <t>2</t>
        </is>
      </c>
      <c r="B8230" s="3" t="inlineStr">
        <is>
          <t>Tukang listrik</t>
        </is>
      </c>
      <c r="C8230" s="3" t="inlineStr">
        <is>
          <t>OH</t>
        </is>
      </c>
      <c r="D8230" s="15" t="n">
        <v>0.107</v>
      </c>
      <c r="E8230" s="4" t="n">
        <v>145000</v>
      </c>
      <c r="F8230" s="4" t="n">
        <v>15515</v>
      </c>
    </row>
    <row r="8231">
      <c r="A8231" s="3" t="inlineStr">
        <is>
          <t>3</t>
        </is>
      </c>
      <c r="B8231" s="3" t="inlineStr">
        <is>
          <t>Kepala Tukang</t>
        </is>
      </c>
      <c r="C8231" s="3" t="inlineStr">
        <is>
          <t>OH</t>
        </is>
      </c>
      <c r="D8231" s="15" t="n">
        <v>0.011</v>
      </c>
      <c r="E8231" s="4" t="n">
        <v>175000</v>
      </c>
      <c r="F8231" s="4" t="n">
        <v>1925</v>
      </c>
    </row>
    <row r="8232">
      <c r="A8232" s="3" t="inlineStr">
        <is>
          <t>4</t>
        </is>
      </c>
      <c r="B8232" s="3" t="inlineStr">
        <is>
          <t>Mandor</t>
        </is>
      </c>
      <c r="C8232" s="3" t="inlineStr">
        <is>
          <t>OH</t>
        </is>
      </c>
      <c r="D8232" s="15" t="n">
        <v>0.004</v>
      </c>
      <c r="E8232" s="4" t="n">
        <v>200000</v>
      </c>
      <c r="F8232" s="4" t="n">
        <v>800</v>
      </c>
    </row>
    <row r="8233">
      <c r="A8233" s="3" t="inlineStr">
        <is>
          <t>1</t>
        </is>
      </c>
      <c r="B8233" s="3" t="inlineStr">
        <is>
          <t>Lampu Sorot Washlight LED 3 Watt</t>
        </is>
      </c>
      <c r="C8233" s="3" t="inlineStr">
        <is>
          <t>buah</t>
        </is>
      </c>
      <c r="D8233" s="15" t="n">
        <v>1.1</v>
      </c>
      <c r="E8233" s="4" t="n">
        <v>70000</v>
      </c>
      <c r="F8233" s="4" t="n">
        <v>77000</v>
      </c>
    </row>
    <row r="8234">
      <c r="D8234" s="2" t="inlineStr">
        <is>
          <t>SUBTOTAL UPAH</t>
        </is>
      </c>
      <c r="F8234" s="16" t="n">
        <v>24640</v>
      </c>
    </row>
    <row r="8235">
      <c r="D8235" s="2" t="inlineStr">
        <is>
          <t>SUBTOTAL BAHAN</t>
        </is>
      </c>
      <c r="F8235" s="16" t="n">
        <v>77000</v>
      </c>
    </row>
    <row r="8236">
      <c r="D8236" s="2" t="inlineStr">
        <is>
          <t>SUBTOTAL ALAT</t>
        </is>
      </c>
      <c r="F8236" s="16" t="n">
        <v>0</v>
      </c>
    </row>
    <row r="8237">
      <c r="E8237" s="2" t="inlineStr">
        <is>
          <t>TOTAL HARGA SATUAN (Inc. Overhead)</t>
        </is>
      </c>
      <c r="F8237" s="17" t="n">
        <v>111804</v>
      </c>
    </row>
    <row r="8239">
      <c r="A8239" s="14" t="inlineStr">
        <is>
          <t>KODE: 5.3.1.65 - Pemasangan 1 Unit Spotlight LED-E27 20W 4000K</t>
        </is>
      </c>
    </row>
    <row r="8240">
      <c r="A8240" s="10" t="inlineStr">
        <is>
          <t>No</t>
        </is>
      </c>
      <c r="B8240" s="10" t="inlineStr">
        <is>
          <t>Uraian Komponen</t>
        </is>
      </c>
      <c r="C8240" s="10" t="inlineStr">
        <is>
          <t>Satuan</t>
        </is>
      </c>
      <c r="D8240" s="10" t="inlineStr">
        <is>
          <t>Koef</t>
        </is>
      </c>
      <c r="E8240" s="10" t="inlineStr">
        <is>
          <t>Harga Satuan (Rp)</t>
        </is>
      </c>
      <c r="F8240" s="10" t="inlineStr">
        <is>
          <t>Jumlah Harga (Rp)</t>
        </is>
      </c>
    </row>
    <row r="8241">
      <c r="A8241" s="3" t="inlineStr">
        <is>
          <t>1</t>
        </is>
      </c>
      <c r="B8241" s="3" t="inlineStr">
        <is>
          <t>Pekerja</t>
        </is>
      </c>
      <c r="C8241" s="3" t="inlineStr">
        <is>
          <t>OH</t>
        </is>
      </c>
      <c r="D8241" s="15" t="n">
        <v>0.064</v>
      </c>
      <c r="E8241" s="4" t="n">
        <v>100000</v>
      </c>
      <c r="F8241" s="4" t="n">
        <v>6400</v>
      </c>
    </row>
    <row r="8242">
      <c r="A8242" s="3" t="inlineStr">
        <is>
          <t>2</t>
        </is>
      </c>
      <c r="B8242" s="3" t="inlineStr">
        <is>
          <t>Tukang listrik</t>
        </is>
      </c>
      <c r="C8242" s="3" t="inlineStr">
        <is>
          <t>OH</t>
        </is>
      </c>
      <c r="D8242" s="15" t="n">
        <v>0.107</v>
      </c>
      <c r="E8242" s="4" t="n">
        <v>145000</v>
      </c>
      <c r="F8242" s="4" t="n">
        <v>15515</v>
      </c>
    </row>
    <row r="8243">
      <c r="A8243" s="3" t="inlineStr">
        <is>
          <t>3</t>
        </is>
      </c>
      <c r="B8243" s="3" t="inlineStr">
        <is>
          <t>Kepala Tukang</t>
        </is>
      </c>
      <c r="C8243" s="3" t="inlineStr">
        <is>
          <t>OH</t>
        </is>
      </c>
      <c r="D8243" s="15" t="n">
        <v>0.011</v>
      </c>
      <c r="E8243" s="4" t="n">
        <v>175000</v>
      </c>
      <c r="F8243" s="4" t="n">
        <v>1925</v>
      </c>
    </row>
    <row r="8244">
      <c r="A8244" s="3" t="inlineStr">
        <is>
          <t>4</t>
        </is>
      </c>
      <c r="B8244" s="3" t="inlineStr">
        <is>
          <t>Mandor</t>
        </is>
      </c>
      <c r="C8244" s="3" t="inlineStr">
        <is>
          <t>OH</t>
        </is>
      </c>
      <c r="D8244" s="15" t="n">
        <v>0.004</v>
      </c>
      <c r="E8244" s="4" t="n">
        <v>200000</v>
      </c>
      <c r="F8244" s="4" t="n">
        <v>800</v>
      </c>
    </row>
    <row r="8245">
      <c r="A8245" s="3" t="inlineStr">
        <is>
          <t>1</t>
        </is>
      </c>
      <c r="B8245" s="3" t="inlineStr">
        <is>
          <t>Spotlight LED-E27 20W 4000K</t>
        </is>
      </c>
      <c r="C8245" s="3" t="inlineStr">
        <is>
          <t>buah</t>
        </is>
      </c>
      <c r="D8245" s="15" t="n">
        <v>1.1</v>
      </c>
      <c r="E8245" s="4" t="n">
        <v>150000</v>
      </c>
      <c r="F8245" s="4" t="n">
        <v>165000</v>
      </c>
    </row>
    <row r="8246">
      <c r="D8246" s="2" t="inlineStr">
        <is>
          <t>SUBTOTAL UPAH</t>
        </is>
      </c>
      <c r="F8246" s="16" t="n">
        <v>24640</v>
      </c>
    </row>
    <row r="8247">
      <c r="D8247" s="2" t="inlineStr">
        <is>
          <t>SUBTOTAL BAHAN</t>
        </is>
      </c>
      <c r="F8247" s="16" t="n">
        <v>165000</v>
      </c>
    </row>
    <row r="8248">
      <c r="D8248" s="2" t="inlineStr">
        <is>
          <t>SUBTOTAL ALAT</t>
        </is>
      </c>
      <c r="F8248" s="16" t="n">
        <v>0</v>
      </c>
    </row>
    <row r="8249">
      <c r="E8249" s="2" t="inlineStr">
        <is>
          <t>TOTAL HARGA SATUAN (Inc. Overhead)</t>
        </is>
      </c>
      <c r="F8249" s="17" t="n">
        <v>208604</v>
      </c>
    </row>
    <row r="8251">
      <c r="A8251" s="14" t="inlineStr">
        <is>
          <t>KODE: 5.3.1.66 - Pemasangan 1 Unit Lampu Bollard LED 20 Watt</t>
        </is>
      </c>
    </row>
    <row r="8252">
      <c r="A8252" s="10" t="inlineStr">
        <is>
          <t>No</t>
        </is>
      </c>
      <c r="B8252" s="10" t="inlineStr">
        <is>
          <t>Uraian Komponen</t>
        </is>
      </c>
      <c r="C8252" s="10" t="inlineStr">
        <is>
          <t>Satuan</t>
        </is>
      </c>
      <c r="D8252" s="10" t="inlineStr">
        <is>
          <t>Koef</t>
        </is>
      </c>
      <c r="E8252" s="10" t="inlineStr">
        <is>
          <t>Harga Satuan (Rp)</t>
        </is>
      </c>
      <c r="F8252" s="10" t="inlineStr">
        <is>
          <t>Jumlah Harga (Rp)</t>
        </is>
      </c>
    </row>
    <row r="8253">
      <c r="A8253" s="3" t="inlineStr">
        <is>
          <t>1</t>
        </is>
      </c>
      <c r="B8253" s="3" t="inlineStr">
        <is>
          <t>Pekerja</t>
        </is>
      </c>
      <c r="C8253" s="3" t="inlineStr">
        <is>
          <t>OH</t>
        </is>
      </c>
      <c r="D8253" s="15" t="n">
        <v>0.255</v>
      </c>
      <c r="E8253" s="4" t="n">
        <v>100000</v>
      </c>
      <c r="F8253" s="4" t="n">
        <v>25500</v>
      </c>
    </row>
    <row r="8254">
      <c r="A8254" s="3" t="inlineStr">
        <is>
          <t>2</t>
        </is>
      </c>
      <c r="B8254" s="3" t="inlineStr">
        <is>
          <t>Tukang listrik</t>
        </is>
      </c>
      <c r="C8254" s="3" t="inlineStr">
        <is>
          <t>OH</t>
        </is>
      </c>
      <c r="D8254" s="15" t="n">
        <v>0.425</v>
      </c>
      <c r="E8254" s="4" t="n">
        <v>145000</v>
      </c>
      <c r="F8254" s="4" t="n">
        <v>61625</v>
      </c>
    </row>
    <row r="8255">
      <c r="A8255" s="3" t="inlineStr">
        <is>
          <t>3</t>
        </is>
      </c>
      <c r="B8255" s="3" t="inlineStr">
        <is>
          <t>Kepala Tukang</t>
        </is>
      </c>
      <c r="C8255" s="3" t="inlineStr">
        <is>
          <t>OH</t>
        </is>
      </c>
      <c r="D8255" s="15" t="n">
        <v>0.043</v>
      </c>
      <c r="E8255" s="4" t="n">
        <v>175000</v>
      </c>
      <c r="F8255" s="4" t="n">
        <v>7524.999999999999</v>
      </c>
    </row>
    <row r="8256">
      <c r="A8256" s="3" t="inlineStr">
        <is>
          <t>4</t>
        </is>
      </c>
      <c r="B8256" s="3" t="inlineStr">
        <is>
          <t>Mandor</t>
        </is>
      </c>
      <c r="C8256" s="3" t="inlineStr">
        <is>
          <t>OH</t>
        </is>
      </c>
      <c r="D8256" s="15" t="n">
        <v>0.014</v>
      </c>
      <c r="E8256" s="4" t="n">
        <v>200000</v>
      </c>
      <c r="F8256" s="4" t="n">
        <v>2800</v>
      </c>
    </row>
    <row r="8257">
      <c r="A8257" s="3" t="inlineStr">
        <is>
          <t>1</t>
        </is>
      </c>
      <c r="B8257" s="3" t="inlineStr">
        <is>
          <t>Lampu Bollard LED 20 Watt</t>
        </is>
      </c>
      <c r="C8257" s="3" t="inlineStr">
        <is>
          <t>buah</t>
        </is>
      </c>
      <c r="D8257" s="15" t="n">
        <v>1.1</v>
      </c>
      <c r="E8257" s="4" t="n">
        <v>140000</v>
      </c>
      <c r="F8257" s="4" t="n">
        <v>154000</v>
      </c>
    </row>
    <row r="8258">
      <c r="D8258" s="2" t="inlineStr">
        <is>
          <t>SUBTOTAL UPAH</t>
        </is>
      </c>
      <c r="F8258" s="16" t="n">
        <v>97450</v>
      </c>
    </row>
    <row r="8259">
      <c r="D8259" s="2" t="inlineStr">
        <is>
          <t>SUBTOTAL BAHAN</t>
        </is>
      </c>
      <c r="F8259" s="16" t="n">
        <v>154000</v>
      </c>
    </row>
    <row r="8260">
      <c r="D8260" s="2" t="inlineStr">
        <is>
          <t>SUBTOTAL ALAT</t>
        </is>
      </c>
      <c r="F8260" s="16" t="n">
        <v>0</v>
      </c>
    </row>
    <row r="8261">
      <c r="E8261" s="2" t="inlineStr">
        <is>
          <t>TOTAL HARGA SATUAN (Inc. Overhead)</t>
        </is>
      </c>
      <c r="F8261" s="17" t="n">
        <v>276595</v>
      </c>
    </row>
    <row r="8263">
      <c r="A8263" s="14" t="inlineStr">
        <is>
          <t>KODE: 5.3.1.67 - Pemasangan 1 Unit Lampu Outdoor Bollard H400xW110 10W 4000K, IP65</t>
        </is>
      </c>
    </row>
    <row r="8264">
      <c r="A8264" s="10" t="inlineStr">
        <is>
          <t>No</t>
        </is>
      </c>
      <c r="B8264" s="10" t="inlineStr">
        <is>
          <t>Uraian Komponen</t>
        </is>
      </c>
      <c r="C8264" s="10" t="inlineStr">
        <is>
          <t>Satuan</t>
        </is>
      </c>
      <c r="D8264" s="10" t="inlineStr">
        <is>
          <t>Koef</t>
        </is>
      </c>
      <c r="E8264" s="10" t="inlineStr">
        <is>
          <t>Harga Satuan (Rp)</t>
        </is>
      </c>
      <c r="F8264" s="10" t="inlineStr">
        <is>
          <t>Jumlah Harga (Rp)</t>
        </is>
      </c>
    </row>
    <row r="8265">
      <c r="A8265" s="3" t="inlineStr">
        <is>
          <t>1</t>
        </is>
      </c>
      <c r="B8265" s="3" t="inlineStr">
        <is>
          <t>Pekerja</t>
        </is>
      </c>
      <c r="C8265" s="3" t="inlineStr">
        <is>
          <t>OH</t>
        </is>
      </c>
      <c r="D8265" s="15" t="n">
        <v>0.255</v>
      </c>
      <c r="E8265" s="4" t="n">
        <v>100000</v>
      </c>
      <c r="F8265" s="4" t="n">
        <v>25500</v>
      </c>
    </row>
    <row r="8266">
      <c r="A8266" s="3" t="inlineStr">
        <is>
          <t>2</t>
        </is>
      </c>
      <c r="B8266" s="3" t="inlineStr">
        <is>
          <t>Tukang listrik</t>
        </is>
      </c>
      <c r="C8266" s="3" t="inlineStr">
        <is>
          <t>OH</t>
        </is>
      </c>
      <c r="D8266" s="15" t="n">
        <v>0.425</v>
      </c>
      <c r="E8266" s="4" t="n">
        <v>145000</v>
      </c>
      <c r="F8266" s="4" t="n">
        <v>61625</v>
      </c>
    </row>
    <row r="8267">
      <c r="A8267" s="3" t="inlineStr">
        <is>
          <t>3</t>
        </is>
      </c>
      <c r="B8267" s="3" t="inlineStr">
        <is>
          <t>Kepala Tukang</t>
        </is>
      </c>
      <c r="C8267" s="3" t="inlineStr">
        <is>
          <t>OH</t>
        </is>
      </c>
      <c r="D8267" s="15" t="n">
        <v>0.043</v>
      </c>
      <c r="E8267" s="4" t="n">
        <v>175000</v>
      </c>
      <c r="F8267" s="4" t="n">
        <v>7524.999999999999</v>
      </c>
    </row>
    <row r="8268">
      <c r="A8268" s="3" t="inlineStr">
        <is>
          <t>4</t>
        </is>
      </c>
      <c r="B8268" s="3" t="inlineStr">
        <is>
          <t>Mandor</t>
        </is>
      </c>
      <c r="C8268" s="3" t="inlineStr">
        <is>
          <t>OH</t>
        </is>
      </c>
      <c r="D8268" s="15" t="n">
        <v>0.014</v>
      </c>
      <c r="E8268" s="4" t="n">
        <v>200000</v>
      </c>
      <c r="F8268" s="4" t="n">
        <v>2800</v>
      </c>
    </row>
    <row r="8269">
      <c r="A8269" s="3" t="inlineStr">
        <is>
          <t>1</t>
        </is>
      </c>
      <c r="B8269" s="3" t="inlineStr">
        <is>
          <t>"Lampu Outdoor Bollard H400xW110 10W 4000K IP65 + Tiang 1m"</t>
        </is>
      </c>
      <c r="C8269" s="3" t="inlineStr">
        <is>
          <t>buah</t>
        </is>
      </c>
      <c r="D8269" s="15" t="n">
        <v>1.1</v>
      </c>
      <c r="E8269" s="4" t="n">
        <v>1700000</v>
      </c>
      <c r="F8269" s="4" t="n">
        <v>1870000</v>
      </c>
    </row>
    <row r="8270">
      <c r="D8270" s="2" t="inlineStr">
        <is>
          <t>SUBTOTAL UPAH</t>
        </is>
      </c>
      <c r="F8270" s="16" t="n">
        <v>97450</v>
      </c>
    </row>
    <row r="8271">
      <c r="D8271" s="2" t="inlineStr">
        <is>
          <t>SUBTOTAL BAHAN</t>
        </is>
      </c>
      <c r="F8271" s="16" t="n">
        <v>1870000</v>
      </c>
    </row>
    <row r="8272">
      <c r="D8272" s="2" t="inlineStr">
        <is>
          <t>SUBTOTAL ALAT</t>
        </is>
      </c>
      <c r="F8272" s="16" t="n">
        <v>0</v>
      </c>
    </row>
    <row r="8273">
      <c r="E8273" s="2" t="inlineStr">
        <is>
          <t>TOTAL HARGA SATUAN (Inc. Overhead)</t>
        </is>
      </c>
      <c r="F8273" s="17" t="n">
        <v>2164195</v>
      </c>
    </row>
    <row r="8275">
      <c r="A8275" s="14" t="inlineStr">
        <is>
          <t>KODE: 5.3.1.68 - Pemasangan 1 Unit Lampu TLED Panel 31 Watt</t>
        </is>
      </c>
    </row>
    <row r="8276">
      <c r="A8276" s="10" t="inlineStr">
        <is>
          <t>No</t>
        </is>
      </c>
      <c r="B8276" s="10" t="inlineStr">
        <is>
          <t>Uraian Komponen</t>
        </is>
      </c>
      <c r="C8276" s="10" t="inlineStr">
        <is>
          <t>Satuan</t>
        </is>
      </c>
      <c r="D8276" s="10" t="inlineStr">
        <is>
          <t>Koef</t>
        </is>
      </c>
      <c r="E8276" s="10" t="inlineStr">
        <is>
          <t>Harga Satuan (Rp)</t>
        </is>
      </c>
      <c r="F8276" s="10" t="inlineStr">
        <is>
          <t>Jumlah Harga (Rp)</t>
        </is>
      </c>
    </row>
    <row r="8277">
      <c r="A8277" s="3" t="inlineStr">
        <is>
          <t>1</t>
        </is>
      </c>
      <c r="B8277" s="3" t="inlineStr">
        <is>
          <t>Pekerja</t>
        </is>
      </c>
      <c r="C8277" s="3" t="inlineStr">
        <is>
          <t>OH</t>
        </is>
      </c>
      <c r="D8277" s="15" t="n">
        <v>0.114</v>
      </c>
      <c r="E8277" s="4" t="n">
        <v>100000</v>
      </c>
      <c r="F8277" s="4" t="n">
        <v>11400</v>
      </c>
    </row>
    <row r="8278">
      <c r="A8278" s="3" t="inlineStr">
        <is>
          <t>2</t>
        </is>
      </c>
      <c r="B8278" s="3" t="inlineStr">
        <is>
          <t>Tukang listrik</t>
        </is>
      </c>
      <c r="C8278" s="3" t="inlineStr">
        <is>
          <t>OH</t>
        </is>
      </c>
      <c r="D8278" s="15" t="n">
        <v>0.191</v>
      </c>
      <c r="E8278" s="4" t="n">
        <v>145000</v>
      </c>
      <c r="F8278" s="4" t="n">
        <v>27695</v>
      </c>
    </row>
    <row r="8279">
      <c r="A8279" s="3" t="inlineStr">
        <is>
          <t>3</t>
        </is>
      </c>
      <c r="B8279" s="3" t="inlineStr">
        <is>
          <t>Kepala Tukang</t>
        </is>
      </c>
      <c r="C8279" s="3" t="inlineStr">
        <is>
          <t>OH</t>
        </is>
      </c>
      <c r="D8279" s="15" t="n">
        <v>0.019</v>
      </c>
      <c r="E8279" s="4" t="n">
        <v>175000</v>
      </c>
      <c r="F8279" s="4" t="n">
        <v>3325</v>
      </c>
    </row>
    <row r="8280">
      <c r="A8280" s="3" t="inlineStr">
        <is>
          <t>4</t>
        </is>
      </c>
      <c r="B8280" s="3" t="inlineStr">
        <is>
          <t>Mandor</t>
        </is>
      </c>
      <c r="C8280" s="3" t="inlineStr">
        <is>
          <t>OH</t>
        </is>
      </c>
      <c r="D8280" s="15" t="n">
        <v>0.006</v>
      </c>
      <c r="E8280" s="4" t="n">
        <v>200000</v>
      </c>
      <c r="F8280" s="4" t="n">
        <v>1200</v>
      </c>
    </row>
    <row r="8281">
      <c r="A8281" s="3" t="inlineStr">
        <is>
          <t>1</t>
        </is>
      </c>
      <c r="B8281" s="3" t="inlineStr">
        <is>
          <t>Lampu TLED Panel 31 Watt</t>
        </is>
      </c>
      <c r="C8281" s="3" t="inlineStr">
        <is>
          <t>buah</t>
        </is>
      </c>
      <c r="D8281" s="15" t="n">
        <v>1.1</v>
      </c>
      <c r="E8281" s="4" t="n">
        <v>350000</v>
      </c>
      <c r="F8281" s="4" t="n">
        <v>385000.0000000001</v>
      </c>
    </row>
    <row r="8282">
      <c r="D8282" s="2" t="inlineStr">
        <is>
          <t>SUBTOTAL UPAH</t>
        </is>
      </c>
      <c r="F8282" s="16" t="n">
        <v>43620</v>
      </c>
    </row>
    <row r="8283">
      <c r="D8283" s="2" t="inlineStr">
        <is>
          <t>SUBTOTAL BAHAN</t>
        </is>
      </c>
      <c r="F8283" s="16" t="n">
        <v>385000.0000000001</v>
      </c>
    </row>
    <row r="8284">
      <c r="D8284" s="2" t="inlineStr">
        <is>
          <t>SUBTOTAL ALAT</t>
        </is>
      </c>
      <c r="F8284" s="16" t="n">
        <v>0</v>
      </c>
    </row>
    <row r="8285">
      <c r="E8285" s="2" t="inlineStr">
        <is>
          <t>TOTAL HARGA SATUAN (Inc. Overhead)</t>
        </is>
      </c>
      <c r="F8285" s="17" t="n">
        <v>471482</v>
      </c>
    </row>
    <row r="8287">
      <c r="A8287" s="14" t="inlineStr">
        <is>
          <t>KODE: 5.3.1.69 - Pemasangan 1 Unit Lampu TLED Panel 31 Watt + Battery</t>
        </is>
      </c>
    </row>
    <row r="8288">
      <c r="A8288" s="10" t="inlineStr">
        <is>
          <t>No</t>
        </is>
      </c>
      <c r="B8288" s="10" t="inlineStr">
        <is>
          <t>Uraian Komponen</t>
        </is>
      </c>
      <c r="C8288" s="10" t="inlineStr">
        <is>
          <t>Satuan</t>
        </is>
      </c>
      <c r="D8288" s="10" t="inlineStr">
        <is>
          <t>Koef</t>
        </is>
      </c>
      <c r="E8288" s="10" t="inlineStr">
        <is>
          <t>Harga Satuan (Rp)</t>
        </is>
      </c>
      <c r="F8288" s="10" t="inlineStr">
        <is>
          <t>Jumlah Harga (Rp)</t>
        </is>
      </c>
    </row>
    <row r="8289">
      <c r="A8289" s="3" t="inlineStr">
        <is>
          <t>1</t>
        </is>
      </c>
      <c r="B8289" s="3" t="inlineStr">
        <is>
          <t>Pekerja</t>
        </is>
      </c>
      <c r="C8289" s="3" t="inlineStr">
        <is>
          <t>OH</t>
        </is>
      </c>
      <c r="D8289" s="15" t="n">
        <v>0.114</v>
      </c>
      <c r="E8289" s="4" t="n">
        <v>100000</v>
      </c>
      <c r="F8289" s="4" t="n">
        <v>11400</v>
      </c>
    </row>
    <row r="8290">
      <c r="A8290" s="3" t="inlineStr">
        <is>
          <t>2</t>
        </is>
      </c>
      <c r="B8290" s="3" t="inlineStr">
        <is>
          <t>Tukang listrik</t>
        </is>
      </c>
      <c r="C8290" s="3" t="inlineStr">
        <is>
          <t>OH</t>
        </is>
      </c>
      <c r="D8290" s="15" t="n">
        <v>0.191</v>
      </c>
      <c r="E8290" s="4" t="n">
        <v>145000</v>
      </c>
      <c r="F8290" s="4" t="n">
        <v>27695</v>
      </c>
    </row>
    <row r="8291">
      <c r="A8291" s="3" t="inlineStr">
        <is>
          <t>3</t>
        </is>
      </c>
      <c r="B8291" s="3" t="inlineStr">
        <is>
          <t>Kepala Tukang</t>
        </is>
      </c>
      <c r="C8291" s="3" t="inlineStr">
        <is>
          <t>OH</t>
        </is>
      </c>
      <c r="D8291" s="15" t="n">
        <v>0.019</v>
      </c>
      <c r="E8291" s="4" t="n">
        <v>175000</v>
      </c>
      <c r="F8291" s="4" t="n">
        <v>3325</v>
      </c>
    </row>
    <row r="8292">
      <c r="A8292" s="3" t="inlineStr">
        <is>
          <t>4</t>
        </is>
      </c>
      <c r="B8292" s="3" t="inlineStr">
        <is>
          <t>Mandor</t>
        </is>
      </c>
      <c r="C8292" s="3" t="inlineStr">
        <is>
          <t>OH</t>
        </is>
      </c>
      <c r="D8292" s="15" t="n">
        <v>0.006</v>
      </c>
      <c r="E8292" s="4" t="n">
        <v>200000</v>
      </c>
      <c r="F8292" s="4" t="n">
        <v>1200</v>
      </c>
    </row>
    <row r="8293">
      <c r="A8293" s="3" t="inlineStr">
        <is>
          <t>1</t>
        </is>
      </c>
      <c r="B8293" s="3" t="inlineStr">
        <is>
          <t>Lampu TLED Panel 31 Watt + Battery</t>
        </is>
      </c>
      <c r="C8293" s="3" t="inlineStr">
        <is>
          <t>buah</t>
        </is>
      </c>
      <c r="D8293" s="15" t="n">
        <v>1.1</v>
      </c>
      <c r="E8293" s="4" t="n">
        <v>500000</v>
      </c>
      <c r="F8293" s="4" t="n">
        <v>550000</v>
      </c>
    </row>
    <row r="8294">
      <c r="D8294" s="2" t="inlineStr">
        <is>
          <t>SUBTOTAL UPAH</t>
        </is>
      </c>
      <c r="F8294" s="16" t="n">
        <v>43620</v>
      </c>
    </row>
    <row r="8295">
      <c r="D8295" s="2" t="inlineStr">
        <is>
          <t>SUBTOTAL BAHAN</t>
        </is>
      </c>
      <c r="F8295" s="16" t="n">
        <v>550000</v>
      </c>
    </row>
    <row r="8296">
      <c r="D8296" s="2" t="inlineStr">
        <is>
          <t>SUBTOTAL ALAT</t>
        </is>
      </c>
      <c r="F8296" s="16" t="n">
        <v>0</v>
      </c>
    </row>
    <row r="8297">
      <c r="E8297" s="2" t="inlineStr">
        <is>
          <t>TOTAL HARGA SATUAN (Inc. Overhead)</t>
        </is>
      </c>
      <c r="F8297" s="17" t="n">
        <v>652982</v>
      </c>
    </row>
    <row r="8299">
      <c r="A8299" s="14" t="inlineStr">
        <is>
          <t>KODE: 5.3.1.70 - Pemasangan 1 unit LED Panel 36 Watt Uk 30 x 120 cm</t>
        </is>
      </c>
    </row>
    <row r="8300">
      <c r="A8300" s="10" t="inlineStr">
        <is>
          <t>No</t>
        </is>
      </c>
      <c r="B8300" s="10" t="inlineStr">
        <is>
          <t>Uraian Komponen</t>
        </is>
      </c>
      <c r="C8300" s="10" t="inlineStr">
        <is>
          <t>Satuan</t>
        </is>
      </c>
      <c r="D8300" s="10" t="inlineStr">
        <is>
          <t>Koef</t>
        </is>
      </c>
      <c r="E8300" s="10" t="inlineStr">
        <is>
          <t>Harga Satuan (Rp)</t>
        </is>
      </c>
      <c r="F8300" s="10" t="inlineStr">
        <is>
          <t>Jumlah Harga (Rp)</t>
        </is>
      </c>
    </row>
    <row r="8301">
      <c r="A8301" s="3" t="inlineStr">
        <is>
          <t>1</t>
        </is>
      </c>
      <c r="B8301" s="3" t="inlineStr">
        <is>
          <t>Pekerja</t>
        </is>
      </c>
      <c r="C8301" s="3" t="inlineStr">
        <is>
          <t>OH</t>
        </is>
      </c>
      <c r="D8301" s="15" t="n">
        <v>0.114</v>
      </c>
      <c r="E8301" s="4" t="n">
        <v>100000</v>
      </c>
      <c r="F8301" s="4" t="n">
        <v>11400</v>
      </c>
    </row>
    <row r="8302">
      <c r="A8302" s="3" t="inlineStr">
        <is>
          <t>2</t>
        </is>
      </c>
      <c r="B8302" s="3" t="inlineStr">
        <is>
          <t>Tukang listrik</t>
        </is>
      </c>
      <c r="C8302" s="3" t="inlineStr">
        <is>
          <t>OH</t>
        </is>
      </c>
      <c r="D8302" s="15" t="n">
        <v>0.191</v>
      </c>
      <c r="E8302" s="4" t="n">
        <v>145000</v>
      </c>
      <c r="F8302" s="4" t="n">
        <v>27695</v>
      </c>
    </row>
    <row r="8303">
      <c r="A8303" s="3" t="inlineStr">
        <is>
          <t>3</t>
        </is>
      </c>
      <c r="B8303" s="3" t="inlineStr">
        <is>
          <t>Kepala Tukang</t>
        </is>
      </c>
      <c r="C8303" s="3" t="inlineStr">
        <is>
          <t>OH</t>
        </is>
      </c>
      <c r="D8303" s="15" t="n">
        <v>0.019</v>
      </c>
      <c r="E8303" s="4" t="n">
        <v>175000</v>
      </c>
      <c r="F8303" s="4" t="n">
        <v>3325</v>
      </c>
    </row>
    <row r="8304">
      <c r="A8304" s="3" t="inlineStr">
        <is>
          <t>4</t>
        </is>
      </c>
      <c r="B8304" s="3" t="inlineStr">
        <is>
          <t>Mandor</t>
        </is>
      </c>
      <c r="C8304" s="3" t="inlineStr">
        <is>
          <t>OH</t>
        </is>
      </c>
      <c r="D8304" s="15" t="n">
        <v>0.006</v>
      </c>
      <c r="E8304" s="4" t="n">
        <v>200000</v>
      </c>
      <c r="F8304" s="4" t="n">
        <v>1200</v>
      </c>
    </row>
    <row r="8305">
      <c r="A8305" s="3" t="inlineStr">
        <is>
          <t>1</t>
        </is>
      </c>
      <c r="B8305" s="3" t="inlineStr">
        <is>
          <t>LED Panel 36 Watt Uk 30 x 120 cm</t>
        </is>
      </c>
      <c r="C8305" s="3" t="inlineStr">
        <is>
          <t>buah</t>
        </is>
      </c>
      <c r="D8305" s="15" t="n">
        <v>1.1</v>
      </c>
      <c r="E8305" s="4" t="n">
        <v>275000</v>
      </c>
      <c r="F8305" s="4" t="n">
        <v>302500</v>
      </c>
    </row>
    <row r="8306">
      <c r="D8306" s="2" t="inlineStr">
        <is>
          <t>SUBTOTAL UPAH</t>
        </is>
      </c>
      <c r="F8306" s="16" t="n">
        <v>43620</v>
      </c>
    </row>
    <row r="8307">
      <c r="D8307" s="2" t="inlineStr">
        <is>
          <t>SUBTOTAL BAHAN</t>
        </is>
      </c>
      <c r="F8307" s="16" t="n">
        <v>302500</v>
      </c>
    </row>
    <row r="8308">
      <c r="D8308" s="2" t="inlineStr">
        <is>
          <t>SUBTOTAL ALAT</t>
        </is>
      </c>
      <c r="F8308" s="16" t="n">
        <v>0</v>
      </c>
    </row>
    <row r="8309">
      <c r="E8309" s="2" t="inlineStr">
        <is>
          <t>TOTAL HARGA SATUAN (Inc. Overhead)</t>
        </is>
      </c>
      <c r="F8309" s="17" t="n">
        <v>380732</v>
      </c>
    </row>
    <row r="8311">
      <c r="A8311" s="14" t="inlineStr">
        <is>
          <t>KODE: 5.3.1.71 - Pemasangan 1 unit Downlight LED panel dia. 150 mm 15 Watt</t>
        </is>
      </c>
    </row>
    <row r="8312">
      <c r="A8312" s="10" t="inlineStr">
        <is>
          <t>No</t>
        </is>
      </c>
      <c r="B8312" s="10" t="inlineStr">
        <is>
          <t>Uraian Komponen</t>
        </is>
      </c>
      <c r="C8312" s="10" t="inlineStr">
        <is>
          <t>Satuan</t>
        </is>
      </c>
      <c r="D8312" s="10" t="inlineStr">
        <is>
          <t>Koef</t>
        </is>
      </c>
      <c r="E8312" s="10" t="inlineStr">
        <is>
          <t>Harga Satuan (Rp)</t>
        </is>
      </c>
      <c r="F8312" s="10" t="inlineStr">
        <is>
          <t>Jumlah Harga (Rp)</t>
        </is>
      </c>
    </row>
    <row r="8313">
      <c r="A8313" s="3" t="inlineStr">
        <is>
          <t>1</t>
        </is>
      </c>
      <c r="B8313" s="3" t="inlineStr">
        <is>
          <t>Pekerja</t>
        </is>
      </c>
      <c r="C8313" s="3" t="inlineStr">
        <is>
          <t>OH</t>
        </is>
      </c>
      <c r="D8313" s="15" t="n">
        <v>0.064</v>
      </c>
      <c r="E8313" s="4" t="n">
        <v>100000</v>
      </c>
      <c r="F8313" s="4" t="n">
        <v>6400</v>
      </c>
    </row>
    <row r="8314">
      <c r="A8314" s="3" t="inlineStr">
        <is>
          <t>2</t>
        </is>
      </c>
      <c r="B8314" s="3" t="inlineStr">
        <is>
          <t>Tukang listrik</t>
        </is>
      </c>
      <c r="C8314" s="3" t="inlineStr">
        <is>
          <t>OH</t>
        </is>
      </c>
      <c r="D8314" s="15" t="n">
        <v>0.107</v>
      </c>
      <c r="E8314" s="4" t="n">
        <v>145000</v>
      </c>
      <c r="F8314" s="4" t="n">
        <v>15515</v>
      </c>
    </row>
    <row r="8315">
      <c r="A8315" s="3" t="inlineStr">
        <is>
          <t>3</t>
        </is>
      </c>
      <c r="B8315" s="3" t="inlineStr">
        <is>
          <t>Kepala Tukang</t>
        </is>
      </c>
      <c r="C8315" s="3" t="inlineStr">
        <is>
          <t>OH</t>
        </is>
      </c>
      <c r="D8315" s="15" t="n">
        <v>0.011</v>
      </c>
      <c r="E8315" s="4" t="n">
        <v>175000</v>
      </c>
      <c r="F8315" s="4" t="n">
        <v>1925</v>
      </c>
    </row>
    <row r="8316">
      <c r="A8316" s="3" t="inlineStr">
        <is>
          <t>4</t>
        </is>
      </c>
      <c r="B8316" s="3" t="inlineStr">
        <is>
          <t>Mandor</t>
        </is>
      </c>
      <c r="C8316" s="3" t="inlineStr">
        <is>
          <t>OH</t>
        </is>
      </c>
      <c r="D8316" s="15" t="n">
        <v>0.004</v>
      </c>
      <c r="E8316" s="4" t="n">
        <v>200000</v>
      </c>
      <c r="F8316" s="4" t="n">
        <v>800</v>
      </c>
    </row>
    <row r="8317">
      <c r="A8317" s="3" t="inlineStr">
        <is>
          <t>1</t>
        </is>
      </c>
      <c r="B8317" s="3" t="inlineStr">
        <is>
          <t>Downlight LED panel dia. 150 mm 15 Watt</t>
        </is>
      </c>
      <c r="C8317" s="3" t="inlineStr">
        <is>
          <t>buah</t>
        </is>
      </c>
      <c r="D8317" s="15" t="n">
        <v>1.1</v>
      </c>
      <c r="E8317" s="4" t="n">
        <v>200000</v>
      </c>
      <c r="F8317" s="4" t="n">
        <v>220000</v>
      </c>
    </row>
    <row r="8318">
      <c r="D8318" s="2" t="inlineStr">
        <is>
          <t>SUBTOTAL UPAH</t>
        </is>
      </c>
      <c r="F8318" s="16" t="n">
        <v>24640</v>
      </c>
    </row>
    <row r="8319">
      <c r="D8319" s="2" t="inlineStr">
        <is>
          <t>SUBTOTAL BAHAN</t>
        </is>
      </c>
      <c r="F8319" s="16" t="n">
        <v>220000</v>
      </c>
    </row>
    <row r="8320">
      <c r="D8320" s="2" t="inlineStr">
        <is>
          <t>SUBTOTAL ALAT</t>
        </is>
      </c>
      <c r="F8320" s="16" t="n">
        <v>0</v>
      </c>
    </row>
    <row r="8321">
      <c r="E8321" s="2" t="inlineStr">
        <is>
          <t>TOTAL HARGA SATUAN (Inc. Overhead)</t>
        </is>
      </c>
      <c r="F8321" s="17" t="n">
        <v>269104</v>
      </c>
    </row>
    <row r="8323">
      <c r="A8323" s="14" t="inlineStr">
        <is>
          <t>KODE: 5.3.1.72 - Pemasangan 1 unit Downlight LED Slim panel dia. 127 mm 10 Watt</t>
        </is>
      </c>
    </row>
    <row r="8324">
      <c r="A8324" s="10" t="inlineStr">
        <is>
          <t>No</t>
        </is>
      </c>
      <c r="B8324" s="10" t="inlineStr">
        <is>
          <t>Uraian Komponen</t>
        </is>
      </c>
      <c r="C8324" s="10" t="inlineStr">
        <is>
          <t>Satuan</t>
        </is>
      </c>
      <c r="D8324" s="10" t="inlineStr">
        <is>
          <t>Koef</t>
        </is>
      </c>
      <c r="E8324" s="10" t="inlineStr">
        <is>
          <t>Harga Satuan (Rp)</t>
        </is>
      </c>
      <c r="F8324" s="10" t="inlineStr">
        <is>
          <t>Jumlah Harga (Rp)</t>
        </is>
      </c>
    </row>
    <row r="8325">
      <c r="A8325" s="3" t="inlineStr">
        <is>
          <t>1</t>
        </is>
      </c>
      <c r="B8325" s="3" t="inlineStr">
        <is>
          <t>Pekerja</t>
        </is>
      </c>
      <c r="C8325" s="3" t="inlineStr">
        <is>
          <t>OH</t>
        </is>
      </c>
      <c r="D8325" s="15" t="n">
        <v>0.064</v>
      </c>
      <c r="E8325" s="4" t="n">
        <v>100000</v>
      </c>
      <c r="F8325" s="4" t="n">
        <v>6400</v>
      </c>
    </row>
    <row r="8326">
      <c r="A8326" s="3" t="inlineStr">
        <is>
          <t>2</t>
        </is>
      </c>
      <c r="B8326" s="3" t="inlineStr">
        <is>
          <t>Tukang listrik</t>
        </is>
      </c>
      <c r="C8326" s="3" t="inlineStr">
        <is>
          <t>OH</t>
        </is>
      </c>
      <c r="D8326" s="15" t="n">
        <v>0.107</v>
      </c>
      <c r="E8326" s="4" t="n">
        <v>145000</v>
      </c>
      <c r="F8326" s="4" t="n">
        <v>15515</v>
      </c>
    </row>
    <row r="8327">
      <c r="A8327" s="3" t="inlineStr">
        <is>
          <t>3</t>
        </is>
      </c>
      <c r="B8327" s="3" t="inlineStr">
        <is>
          <t>Kepala Tukang</t>
        </is>
      </c>
      <c r="C8327" s="3" t="inlineStr">
        <is>
          <t>OH</t>
        </is>
      </c>
      <c r="D8327" s="15" t="n">
        <v>0.011</v>
      </c>
      <c r="E8327" s="4" t="n">
        <v>175000</v>
      </c>
      <c r="F8327" s="4" t="n">
        <v>1925</v>
      </c>
    </row>
    <row r="8328">
      <c r="A8328" s="3" t="inlineStr">
        <is>
          <t>4</t>
        </is>
      </c>
      <c r="B8328" s="3" t="inlineStr">
        <is>
          <t>Mandor</t>
        </is>
      </c>
      <c r="C8328" s="3" t="inlineStr">
        <is>
          <t>OH</t>
        </is>
      </c>
      <c r="D8328" s="15" t="n">
        <v>0.004</v>
      </c>
      <c r="E8328" s="4" t="n">
        <v>200000</v>
      </c>
      <c r="F8328" s="4" t="n">
        <v>800</v>
      </c>
    </row>
    <row r="8329">
      <c r="A8329" s="3" t="inlineStr">
        <is>
          <t>1</t>
        </is>
      </c>
      <c r="B8329" s="3" t="inlineStr">
        <is>
          <t>LED Slim panel dia. 127 mm 10 Watt</t>
        </is>
      </c>
      <c r="C8329" s="3" t="inlineStr">
        <is>
          <t>buah</t>
        </is>
      </c>
      <c r="D8329" s="15" t="n">
        <v>1.1</v>
      </c>
      <c r="E8329" s="4" t="n">
        <v>250000</v>
      </c>
      <c r="F8329" s="4" t="n">
        <v>275000</v>
      </c>
    </row>
    <row r="8330">
      <c r="D8330" s="2" t="inlineStr">
        <is>
          <t>SUBTOTAL UPAH</t>
        </is>
      </c>
      <c r="F8330" s="16" t="n">
        <v>24640</v>
      </c>
    </row>
    <row r="8331">
      <c r="D8331" s="2" t="inlineStr">
        <is>
          <t>SUBTOTAL BAHAN</t>
        </is>
      </c>
      <c r="F8331" s="16" t="n">
        <v>275000</v>
      </c>
    </row>
    <row r="8332">
      <c r="D8332" s="2" t="inlineStr">
        <is>
          <t>SUBTOTAL ALAT</t>
        </is>
      </c>
      <c r="F8332" s="16" t="n">
        <v>0</v>
      </c>
    </row>
    <row r="8333">
      <c r="E8333" s="2" t="inlineStr">
        <is>
          <t>TOTAL HARGA SATUAN (Inc. Overhead)</t>
        </is>
      </c>
      <c r="F8333" s="17" t="n">
        <v>329604</v>
      </c>
    </row>
    <row r="8335">
      <c r="A8335" s="14" t="inlineStr">
        <is>
          <t>KODE: 5.3.2.1 - Pemasangan 1 Unit Sensor Cahaya</t>
        </is>
      </c>
    </row>
    <row r="8336">
      <c r="A8336" s="10" t="inlineStr">
        <is>
          <t>No</t>
        </is>
      </c>
      <c r="B8336" s="10" t="inlineStr">
        <is>
          <t>Uraian Komponen</t>
        </is>
      </c>
      <c r="C8336" s="10" t="inlineStr">
        <is>
          <t>Satuan</t>
        </is>
      </c>
      <c r="D8336" s="10" t="inlineStr">
        <is>
          <t>Koef</t>
        </is>
      </c>
      <c r="E8336" s="10" t="inlineStr">
        <is>
          <t>Harga Satuan (Rp)</t>
        </is>
      </c>
      <c r="F8336" s="10" t="inlineStr">
        <is>
          <t>Jumlah Harga (Rp)</t>
        </is>
      </c>
    </row>
    <row r="8337">
      <c r="A8337" s="3" t="inlineStr">
        <is>
          <t>1</t>
        </is>
      </c>
      <c r="B8337" s="3" t="inlineStr">
        <is>
          <t>Pekerja</t>
        </is>
      </c>
      <c r="C8337" s="3" t="inlineStr">
        <is>
          <t>OH</t>
        </is>
      </c>
      <c r="D8337" s="15" t="n">
        <v>0.064</v>
      </c>
      <c r="E8337" s="4" t="n">
        <v>100000</v>
      </c>
      <c r="F8337" s="4" t="n">
        <v>6400</v>
      </c>
    </row>
    <row r="8338">
      <c r="A8338" s="3" t="inlineStr">
        <is>
          <t>2</t>
        </is>
      </c>
      <c r="B8338" s="3" t="inlineStr">
        <is>
          <t>Tukang listrik</t>
        </is>
      </c>
      <c r="C8338" s="3" t="inlineStr">
        <is>
          <t>OH</t>
        </is>
      </c>
      <c r="D8338" s="15" t="n">
        <v>0.107</v>
      </c>
      <c r="E8338" s="4" t="n">
        <v>145000</v>
      </c>
      <c r="F8338" s="4" t="n">
        <v>15515</v>
      </c>
    </row>
    <row r="8339">
      <c r="A8339" s="3" t="inlineStr">
        <is>
          <t>3</t>
        </is>
      </c>
      <c r="B8339" s="3" t="inlineStr">
        <is>
          <t>Kepala Tukang</t>
        </is>
      </c>
      <c r="C8339" s="3" t="inlineStr">
        <is>
          <t>OH</t>
        </is>
      </c>
      <c r="D8339" s="15" t="n">
        <v>0.011</v>
      </c>
      <c r="E8339" s="4" t="n">
        <v>175000</v>
      </c>
      <c r="F8339" s="4" t="n">
        <v>1925</v>
      </c>
    </row>
    <row r="8340">
      <c r="A8340" s="3" t="inlineStr">
        <is>
          <t>4</t>
        </is>
      </c>
      <c r="B8340" s="3" t="inlineStr">
        <is>
          <t>Mandor</t>
        </is>
      </c>
      <c r="C8340" s="3" t="inlineStr">
        <is>
          <t>OH</t>
        </is>
      </c>
      <c r="D8340" s="15" t="n">
        <v>0.004</v>
      </c>
      <c r="E8340" s="4" t="n">
        <v>200000</v>
      </c>
      <c r="F8340" s="4" t="n">
        <v>800</v>
      </c>
    </row>
    <row r="8341">
      <c r="A8341" s="3" t="inlineStr">
        <is>
          <t>1</t>
        </is>
      </c>
      <c r="B8341" s="3" t="inlineStr">
        <is>
          <t>Sensor Cahaya</t>
        </is>
      </c>
      <c r="C8341" s="3" t="inlineStr">
        <is>
          <t>buah</t>
        </is>
      </c>
      <c r="D8341" s="15" t="n">
        <v>1.1</v>
      </c>
      <c r="E8341" s="4" t="n">
        <v>58000</v>
      </c>
      <c r="F8341" s="4" t="n">
        <v>63800.00000000001</v>
      </c>
    </row>
    <row r="8342">
      <c r="D8342" s="2" t="inlineStr">
        <is>
          <t>SUBTOTAL UPAH</t>
        </is>
      </c>
      <c r="F8342" s="16" t="n">
        <v>24640</v>
      </c>
    </row>
    <row r="8343">
      <c r="D8343" s="2" t="inlineStr">
        <is>
          <t>SUBTOTAL BAHAN</t>
        </is>
      </c>
      <c r="F8343" s="16" t="n">
        <v>63800.00000000001</v>
      </c>
    </row>
    <row r="8344">
      <c r="D8344" s="2" t="inlineStr">
        <is>
          <t>SUBTOTAL ALAT</t>
        </is>
      </c>
      <c r="F8344" s="16" t="n">
        <v>0</v>
      </c>
    </row>
    <row r="8345">
      <c r="E8345" s="2" t="inlineStr">
        <is>
          <t>TOTAL HARGA SATUAN (Inc. Overhead)</t>
        </is>
      </c>
      <c r="F8345" s="17" t="n">
        <v>97284</v>
      </c>
    </row>
    <row r="8347">
      <c r="A8347" s="14" t="inlineStr">
        <is>
          <t>KODE: 5.3.2.2 - Pemasangan 1 Unit Sensor Gerak</t>
        </is>
      </c>
    </row>
    <row r="8348">
      <c r="A8348" s="10" t="inlineStr">
        <is>
          <t>No</t>
        </is>
      </c>
      <c r="B8348" s="10" t="inlineStr">
        <is>
          <t>Uraian Komponen</t>
        </is>
      </c>
      <c r="C8348" s="10" t="inlineStr">
        <is>
          <t>Satuan</t>
        </is>
      </c>
      <c r="D8348" s="10" t="inlineStr">
        <is>
          <t>Koef</t>
        </is>
      </c>
      <c r="E8348" s="10" t="inlineStr">
        <is>
          <t>Harga Satuan (Rp)</t>
        </is>
      </c>
      <c r="F8348" s="10" t="inlineStr">
        <is>
          <t>Jumlah Harga (Rp)</t>
        </is>
      </c>
    </row>
    <row r="8349">
      <c r="A8349" s="3" t="inlineStr">
        <is>
          <t>1</t>
        </is>
      </c>
      <c r="B8349" s="3" t="inlineStr">
        <is>
          <t>Pekerja</t>
        </is>
      </c>
      <c r="C8349" s="3" t="inlineStr">
        <is>
          <t>OH</t>
        </is>
      </c>
      <c r="D8349" s="15" t="n">
        <v>0.064</v>
      </c>
      <c r="E8349" s="4" t="n">
        <v>100000</v>
      </c>
      <c r="F8349" s="4" t="n">
        <v>6400</v>
      </c>
    </row>
    <row r="8350">
      <c r="A8350" s="3" t="inlineStr">
        <is>
          <t>2</t>
        </is>
      </c>
      <c r="B8350" s="3" t="inlineStr">
        <is>
          <t>Tukang listrik</t>
        </is>
      </c>
      <c r="C8350" s="3" t="inlineStr">
        <is>
          <t>OH</t>
        </is>
      </c>
      <c r="D8350" s="15" t="n">
        <v>0.107</v>
      </c>
      <c r="E8350" s="4" t="n">
        <v>145000</v>
      </c>
      <c r="F8350" s="4" t="n">
        <v>15515</v>
      </c>
    </row>
    <row r="8351">
      <c r="A8351" s="3" t="inlineStr">
        <is>
          <t>3</t>
        </is>
      </c>
      <c r="B8351" s="3" t="inlineStr">
        <is>
          <t>Kepala Tukang</t>
        </is>
      </c>
      <c r="C8351" s="3" t="inlineStr">
        <is>
          <t>OH</t>
        </is>
      </c>
      <c r="D8351" s="15" t="n">
        <v>0.011</v>
      </c>
      <c r="E8351" s="4" t="n">
        <v>175000</v>
      </c>
      <c r="F8351" s="4" t="n">
        <v>1925</v>
      </c>
    </row>
    <row r="8352">
      <c r="A8352" s="3" t="inlineStr">
        <is>
          <t>4</t>
        </is>
      </c>
      <c r="B8352" s="3" t="inlineStr">
        <is>
          <t>Mandor</t>
        </is>
      </c>
      <c r="C8352" s="3" t="inlineStr">
        <is>
          <t>OH</t>
        </is>
      </c>
      <c r="D8352" s="15" t="n">
        <v>0.004</v>
      </c>
      <c r="E8352" s="4" t="n">
        <v>200000</v>
      </c>
      <c r="F8352" s="4" t="n">
        <v>800</v>
      </c>
    </row>
    <row r="8353">
      <c r="A8353" s="3" t="inlineStr">
        <is>
          <t>1</t>
        </is>
      </c>
      <c r="B8353" s="3" t="inlineStr">
        <is>
          <t>Sensor Gerak</t>
        </is>
      </c>
      <c r="C8353" s="3" t="inlineStr">
        <is>
          <t>buah</t>
        </is>
      </c>
      <c r="D8353" s="15" t="n">
        <v>1.1</v>
      </c>
      <c r="E8353" s="4" t="n">
        <v>65900</v>
      </c>
      <c r="F8353" s="4" t="n">
        <v>72490</v>
      </c>
    </row>
    <row r="8354">
      <c r="D8354" s="2" t="inlineStr">
        <is>
          <t>SUBTOTAL UPAH</t>
        </is>
      </c>
      <c r="F8354" s="16" t="n">
        <v>24640</v>
      </c>
    </row>
    <row r="8355">
      <c r="D8355" s="2" t="inlineStr">
        <is>
          <t>SUBTOTAL BAHAN</t>
        </is>
      </c>
      <c r="F8355" s="16" t="n">
        <v>72490</v>
      </c>
    </row>
    <row r="8356">
      <c r="D8356" s="2" t="inlineStr">
        <is>
          <t>SUBTOTAL ALAT</t>
        </is>
      </c>
      <c r="F8356" s="16" t="n">
        <v>0</v>
      </c>
    </row>
    <row r="8357">
      <c r="E8357" s="2" t="inlineStr">
        <is>
          <t>TOTAL HARGA SATUAN (Inc. Overhead)</t>
        </is>
      </c>
      <c r="F8357" s="17" t="n">
        <v>106843</v>
      </c>
    </row>
    <row r="8359">
      <c r="A8359" s="14" t="inlineStr">
        <is>
          <t>KODE: 5.4.1.1 - Pemasangan 1 Unit MCP-FA (Semi Addressable 1 Loop)</t>
        </is>
      </c>
    </row>
    <row r="8360">
      <c r="A8360" s="10" t="inlineStr">
        <is>
          <t>No</t>
        </is>
      </c>
      <c r="B8360" s="10" t="inlineStr">
        <is>
          <t>Uraian Komponen</t>
        </is>
      </c>
      <c r="C8360" s="10" t="inlineStr">
        <is>
          <t>Satuan</t>
        </is>
      </c>
      <c r="D8360" s="10" t="inlineStr">
        <is>
          <t>Koef</t>
        </is>
      </c>
      <c r="E8360" s="10" t="inlineStr">
        <is>
          <t>Harga Satuan (Rp)</t>
        </is>
      </c>
      <c r="F8360" s="10" t="inlineStr">
        <is>
          <t>Jumlah Harga (Rp)</t>
        </is>
      </c>
    </row>
    <row r="8361">
      <c r="A8361" s="3" t="inlineStr">
        <is>
          <t>1</t>
        </is>
      </c>
      <c r="B8361" s="3" t="inlineStr">
        <is>
          <t>Pekerja</t>
        </is>
      </c>
      <c r="C8361" s="3" t="inlineStr">
        <is>
          <t>OH</t>
        </is>
      </c>
      <c r="D8361" s="15" t="n">
        <v>6.333</v>
      </c>
      <c r="E8361" s="4" t="n">
        <v>100000</v>
      </c>
      <c r="F8361" s="4" t="n">
        <v>633300</v>
      </c>
    </row>
    <row r="8362">
      <c r="A8362" s="3" t="inlineStr">
        <is>
          <t>2</t>
        </is>
      </c>
      <c r="B8362" s="3" t="inlineStr">
        <is>
          <t>Tukang listrik</t>
        </is>
      </c>
      <c r="C8362" s="3" t="inlineStr">
        <is>
          <t>OH</t>
        </is>
      </c>
      <c r="D8362" s="15" t="n">
        <v>10.577</v>
      </c>
      <c r="E8362" s="4" t="n">
        <v>145000</v>
      </c>
      <c r="F8362" s="4" t="n">
        <v>1533665</v>
      </c>
    </row>
    <row r="8363">
      <c r="A8363" s="3" t="inlineStr">
        <is>
          <t>3</t>
        </is>
      </c>
      <c r="B8363" s="3" t="inlineStr">
        <is>
          <t>Kepala Tukang</t>
        </is>
      </c>
      <c r="C8363" s="3" t="inlineStr">
        <is>
          <t>OH</t>
        </is>
      </c>
      <c r="D8363" s="15" t="n">
        <v>1.058</v>
      </c>
      <c r="E8363" s="4" t="n">
        <v>175000</v>
      </c>
      <c r="F8363" s="4" t="n">
        <v>185150</v>
      </c>
    </row>
    <row r="8364">
      <c r="A8364" s="3" t="inlineStr">
        <is>
          <t>4</t>
        </is>
      </c>
      <c r="B8364" s="3" t="inlineStr">
        <is>
          <t>Mandor</t>
        </is>
      </c>
      <c r="C8364" s="3" t="inlineStr">
        <is>
          <t>OH</t>
        </is>
      </c>
      <c r="D8364" s="15" t="n">
        <v>0.353</v>
      </c>
      <c r="E8364" s="4" t="n">
        <v>200000</v>
      </c>
      <c r="F8364" s="4" t="n">
        <v>70600</v>
      </c>
    </row>
    <row r="8365">
      <c r="A8365" s="3" t="inlineStr">
        <is>
          <t>1</t>
        </is>
      </c>
      <c r="B8365" s="3" t="inlineStr">
        <is>
          <t>MCP-FA (Semi Addressable 1 Loop)</t>
        </is>
      </c>
      <c r="C8365" s="3" t="inlineStr">
        <is>
          <t>unit</t>
        </is>
      </c>
      <c r="D8365" s="15" t="n">
        <v>1.1</v>
      </c>
      <c r="E8365" s="4" t="n">
        <v>26250000</v>
      </c>
      <c r="F8365" s="4" t="n">
        <v>28875000</v>
      </c>
    </row>
    <row r="8366">
      <c r="D8366" s="2" t="inlineStr">
        <is>
          <t>SUBTOTAL UPAH</t>
        </is>
      </c>
      <c r="F8366" s="16" t="n">
        <v>2422715</v>
      </c>
    </row>
    <row r="8367">
      <c r="D8367" s="2" t="inlineStr">
        <is>
          <t>SUBTOTAL BAHAN</t>
        </is>
      </c>
      <c r="F8367" s="16" t="n">
        <v>28875000</v>
      </c>
    </row>
    <row r="8368">
      <c r="D8368" s="2" t="inlineStr">
        <is>
          <t>SUBTOTAL ALAT</t>
        </is>
      </c>
      <c r="F8368" s="16" t="n">
        <v>0</v>
      </c>
    </row>
    <row r="8369">
      <c r="E8369" s="2" t="inlineStr">
        <is>
          <t>TOTAL HARGA SATUAN (Inc. Overhead)</t>
        </is>
      </c>
      <c r="F8369" s="17" t="n">
        <v>34427486</v>
      </c>
    </row>
    <row r="8371">
      <c r="A8371" s="14" t="inlineStr">
        <is>
          <t>KODE: 5.4.1.2 - Pemasangan 1  Unit PC Komputer</t>
        </is>
      </c>
    </row>
    <row r="8372">
      <c r="A8372" s="10" t="inlineStr">
        <is>
          <t>No</t>
        </is>
      </c>
      <c r="B8372" s="10" t="inlineStr">
        <is>
          <t>Uraian Komponen</t>
        </is>
      </c>
      <c r="C8372" s="10" t="inlineStr">
        <is>
          <t>Satuan</t>
        </is>
      </c>
      <c r="D8372" s="10" t="inlineStr">
        <is>
          <t>Koef</t>
        </is>
      </c>
      <c r="E8372" s="10" t="inlineStr">
        <is>
          <t>Harga Satuan (Rp)</t>
        </is>
      </c>
      <c r="F8372" s="10" t="inlineStr">
        <is>
          <t>Jumlah Harga (Rp)</t>
        </is>
      </c>
    </row>
    <row r="8373">
      <c r="A8373" s="3" t="inlineStr">
        <is>
          <t>1</t>
        </is>
      </c>
      <c r="B8373" s="3" t="inlineStr">
        <is>
          <t>Pekerja</t>
        </is>
      </c>
      <c r="C8373" s="3" t="inlineStr">
        <is>
          <t>OH</t>
        </is>
      </c>
      <c r="D8373" s="15" t="n">
        <v>0.417</v>
      </c>
      <c r="E8373" s="4" t="n">
        <v>100000</v>
      </c>
      <c r="F8373" s="4" t="n">
        <v>41700</v>
      </c>
    </row>
    <row r="8374">
      <c r="A8374" s="3" t="inlineStr">
        <is>
          <t>2</t>
        </is>
      </c>
      <c r="B8374" s="3" t="inlineStr">
        <is>
          <t>Tukang listrik</t>
        </is>
      </c>
      <c r="C8374" s="3" t="inlineStr">
        <is>
          <t>OH</t>
        </is>
      </c>
      <c r="D8374" s="15" t="n">
        <v>0.696</v>
      </c>
      <c r="E8374" s="4" t="n">
        <v>145000</v>
      </c>
      <c r="F8374" s="4" t="n">
        <v>100920</v>
      </c>
    </row>
    <row r="8375">
      <c r="A8375" s="3" t="inlineStr">
        <is>
          <t>3</t>
        </is>
      </c>
      <c r="B8375" s="3" t="inlineStr">
        <is>
          <t>Kepala Tukang</t>
        </is>
      </c>
      <c r="C8375" s="3" t="inlineStr">
        <is>
          <t>OH</t>
        </is>
      </c>
      <c r="D8375" s="15" t="n">
        <v>0.07000000000000001</v>
      </c>
      <c r="E8375" s="4" t="n">
        <v>175000</v>
      </c>
      <c r="F8375" s="4" t="n">
        <v>12250</v>
      </c>
    </row>
    <row r="8376">
      <c r="A8376" s="3" t="inlineStr">
        <is>
          <t>4</t>
        </is>
      </c>
      <c r="B8376" s="3" t="inlineStr">
        <is>
          <t>Mandor</t>
        </is>
      </c>
      <c r="C8376" s="3" t="inlineStr">
        <is>
          <t>OH</t>
        </is>
      </c>
      <c r="D8376" s="15" t="n">
        <v>0.023</v>
      </c>
      <c r="E8376" s="4" t="n">
        <v>200000</v>
      </c>
      <c r="F8376" s="4" t="n">
        <v>4600</v>
      </c>
    </row>
    <row r="8377">
      <c r="A8377" s="3" t="inlineStr">
        <is>
          <t>1</t>
        </is>
      </c>
      <c r="B8377" s="3" t="inlineStr">
        <is>
          <t>PC Komputer</t>
        </is>
      </c>
      <c r="C8377" s="3" t="inlineStr">
        <is>
          <t>unit</t>
        </is>
      </c>
      <c r="D8377" s="15" t="n">
        <v>1.05</v>
      </c>
      <c r="E8377" s="4" t="n">
        <v>3500000</v>
      </c>
      <c r="F8377" s="4" t="n">
        <v>3675000</v>
      </c>
    </row>
    <row r="8378">
      <c r="D8378" s="2" t="inlineStr">
        <is>
          <t>SUBTOTAL UPAH</t>
        </is>
      </c>
      <c r="F8378" s="16" t="n">
        <v>159470</v>
      </c>
    </row>
    <row r="8379">
      <c r="D8379" s="2" t="inlineStr">
        <is>
          <t>SUBTOTAL BAHAN</t>
        </is>
      </c>
      <c r="F8379" s="16" t="n">
        <v>3675000</v>
      </c>
    </row>
    <row r="8380">
      <c r="D8380" s="2" t="inlineStr">
        <is>
          <t>SUBTOTAL ALAT</t>
        </is>
      </c>
      <c r="F8380" s="16" t="n">
        <v>0</v>
      </c>
    </row>
    <row r="8381">
      <c r="E8381" s="2" t="inlineStr">
        <is>
          <t>TOTAL HARGA SATUAN (Inc. Overhead)</t>
        </is>
      </c>
      <c r="F8381" s="17" t="n">
        <v>4217917</v>
      </c>
    </row>
    <row r="8383">
      <c r="A8383" s="14" t="inlineStr">
        <is>
          <t>KODE: 5.4.1.3 - Pemasangan 1 Unit Alarm Printer</t>
        </is>
      </c>
    </row>
    <row r="8384">
      <c r="A8384" s="10" t="inlineStr">
        <is>
          <t>No</t>
        </is>
      </c>
      <c r="B8384" s="10" t="inlineStr">
        <is>
          <t>Uraian Komponen</t>
        </is>
      </c>
      <c r="C8384" s="10" t="inlineStr">
        <is>
          <t>Satuan</t>
        </is>
      </c>
      <c r="D8384" s="10" t="inlineStr">
        <is>
          <t>Koef</t>
        </is>
      </c>
      <c r="E8384" s="10" t="inlineStr">
        <is>
          <t>Harga Satuan (Rp)</t>
        </is>
      </c>
      <c r="F8384" s="10" t="inlineStr">
        <is>
          <t>Jumlah Harga (Rp)</t>
        </is>
      </c>
    </row>
    <row r="8385">
      <c r="A8385" s="3" t="inlineStr">
        <is>
          <t>1</t>
        </is>
      </c>
      <c r="B8385" s="3" t="inlineStr">
        <is>
          <t>Pekerja</t>
        </is>
      </c>
      <c r="C8385" s="3" t="inlineStr">
        <is>
          <t>OH</t>
        </is>
      </c>
      <c r="D8385" s="15" t="n">
        <v>0.302</v>
      </c>
      <c r="E8385" s="4" t="n">
        <v>100000</v>
      </c>
      <c r="F8385" s="4" t="n">
        <v>30200</v>
      </c>
    </row>
    <row r="8386">
      <c r="A8386" s="3" t="inlineStr">
        <is>
          <t>2</t>
        </is>
      </c>
      <c r="B8386" s="3" t="inlineStr">
        <is>
          <t>Tukang listrik</t>
        </is>
      </c>
      <c r="C8386" s="3" t="inlineStr">
        <is>
          <t>OH</t>
        </is>
      </c>
      <c r="D8386" s="15" t="n">
        <v>0.505</v>
      </c>
      <c r="E8386" s="4" t="n">
        <v>145000</v>
      </c>
      <c r="F8386" s="4" t="n">
        <v>73225</v>
      </c>
    </row>
    <row r="8387">
      <c r="A8387" s="3" t="inlineStr">
        <is>
          <t>3</t>
        </is>
      </c>
      <c r="B8387" s="3" t="inlineStr">
        <is>
          <t>Kepala Tukang</t>
        </is>
      </c>
      <c r="C8387" s="3" t="inlineStr">
        <is>
          <t>OH</t>
        </is>
      </c>
      <c r="D8387" s="15" t="n">
        <v>0.05</v>
      </c>
      <c r="E8387" s="4" t="n">
        <v>175000</v>
      </c>
      <c r="F8387" s="4" t="n">
        <v>8750</v>
      </c>
    </row>
    <row r="8388">
      <c r="A8388" s="3" t="inlineStr">
        <is>
          <t>4</t>
        </is>
      </c>
      <c r="B8388" s="3" t="inlineStr">
        <is>
          <t>Mandor</t>
        </is>
      </c>
      <c r="C8388" s="3" t="inlineStr">
        <is>
          <t>OH</t>
        </is>
      </c>
      <c r="D8388" s="15" t="n">
        <v>0.017</v>
      </c>
      <c r="E8388" s="4" t="n">
        <v>200000</v>
      </c>
      <c r="F8388" s="4" t="n">
        <v>3400</v>
      </c>
    </row>
    <row r="8389">
      <c r="A8389" s="3" t="inlineStr">
        <is>
          <t>1</t>
        </is>
      </c>
      <c r="B8389" s="3" t="inlineStr">
        <is>
          <t>Alarm Printer</t>
        </is>
      </c>
      <c r="C8389" s="3" t="inlineStr">
        <is>
          <t>unit</t>
        </is>
      </c>
      <c r="D8389" s="15" t="n">
        <v>1.05</v>
      </c>
      <c r="E8389" s="4" t="n">
        <v>2500000</v>
      </c>
      <c r="F8389" s="4" t="n">
        <v>2625000</v>
      </c>
    </row>
    <row r="8390">
      <c r="D8390" s="2" t="inlineStr">
        <is>
          <t>SUBTOTAL UPAH</t>
        </is>
      </c>
      <c r="F8390" s="16" t="n">
        <v>115575</v>
      </c>
    </row>
    <row r="8391">
      <c r="D8391" s="2" t="inlineStr">
        <is>
          <t>SUBTOTAL BAHAN</t>
        </is>
      </c>
      <c r="F8391" s="16" t="n">
        <v>2625000</v>
      </c>
    </row>
    <row r="8392">
      <c r="D8392" s="2" t="inlineStr">
        <is>
          <t>SUBTOTAL ALAT</t>
        </is>
      </c>
      <c r="F8392" s="16" t="n">
        <v>0</v>
      </c>
    </row>
    <row r="8393">
      <c r="E8393" s="2" t="inlineStr">
        <is>
          <t>TOTAL HARGA SATUAN (Inc. Overhead)</t>
        </is>
      </c>
      <c r="F8393" s="17" t="n">
        <v>3014632</v>
      </c>
    </row>
    <row r="8395">
      <c r="A8395" s="14" t="inlineStr">
        <is>
          <t>KODE: 5.4.1.4 - Pemasangan 1 Unit Report Printer</t>
        </is>
      </c>
    </row>
    <row r="8396">
      <c r="A8396" s="10" t="inlineStr">
        <is>
          <t>No</t>
        </is>
      </c>
      <c r="B8396" s="10" t="inlineStr">
        <is>
          <t>Uraian Komponen</t>
        </is>
      </c>
      <c r="C8396" s="10" t="inlineStr">
        <is>
          <t>Satuan</t>
        </is>
      </c>
      <c r="D8396" s="10" t="inlineStr">
        <is>
          <t>Koef</t>
        </is>
      </c>
      <c r="E8396" s="10" t="inlineStr">
        <is>
          <t>Harga Satuan (Rp)</t>
        </is>
      </c>
      <c r="F8396" s="10" t="inlineStr">
        <is>
          <t>Jumlah Harga (Rp)</t>
        </is>
      </c>
    </row>
    <row r="8397">
      <c r="A8397" s="3" t="inlineStr">
        <is>
          <t>1</t>
        </is>
      </c>
      <c r="B8397" s="3" t="inlineStr">
        <is>
          <t>Pekerja</t>
        </is>
      </c>
      <c r="C8397" s="3" t="inlineStr">
        <is>
          <t>OH</t>
        </is>
      </c>
      <c r="D8397" s="15" t="n">
        <v>0.302</v>
      </c>
      <c r="E8397" s="4" t="n">
        <v>100000</v>
      </c>
      <c r="F8397" s="4" t="n">
        <v>30200</v>
      </c>
    </row>
    <row r="8398">
      <c r="A8398" s="3" t="inlineStr">
        <is>
          <t>2</t>
        </is>
      </c>
      <c r="B8398" s="3" t="inlineStr">
        <is>
          <t>Tukang listrik</t>
        </is>
      </c>
      <c r="C8398" s="3" t="inlineStr">
        <is>
          <t>OH</t>
        </is>
      </c>
      <c r="D8398" s="15" t="n">
        <v>0.505</v>
      </c>
      <c r="E8398" s="4" t="n">
        <v>145000</v>
      </c>
      <c r="F8398" s="4" t="n">
        <v>73225</v>
      </c>
    </row>
    <row r="8399">
      <c r="A8399" s="3" t="inlineStr">
        <is>
          <t>3</t>
        </is>
      </c>
      <c r="B8399" s="3" t="inlineStr">
        <is>
          <t>Kepala Tukang</t>
        </is>
      </c>
      <c r="C8399" s="3" t="inlineStr">
        <is>
          <t>OH</t>
        </is>
      </c>
      <c r="D8399" s="15" t="n">
        <v>0.05</v>
      </c>
      <c r="E8399" s="4" t="n">
        <v>175000</v>
      </c>
      <c r="F8399" s="4" t="n">
        <v>8750</v>
      </c>
    </row>
    <row r="8400">
      <c r="A8400" s="3" t="inlineStr">
        <is>
          <t>4</t>
        </is>
      </c>
      <c r="B8400" s="3" t="inlineStr">
        <is>
          <t>Mandor</t>
        </is>
      </c>
      <c r="C8400" s="3" t="inlineStr">
        <is>
          <t>OH</t>
        </is>
      </c>
      <c r="D8400" s="15" t="n">
        <v>0.017</v>
      </c>
      <c r="E8400" s="4" t="n">
        <v>200000</v>
      </c>
      <c r="F8400" s="4" t="n">
        <v>3400</v>
      </c>
    </row>
    <row r="8401">
      <c r="A8401" s="3" t="inlineStr">
        <is>
          <t>1</t>
        </is>
      </c>
      <c r="B8401" s="3" t="inlineStr">
        <is>
          <t>Report Printer</t>
        </is>
      </c>
      <c r="C8401" s="3" t="inlineStr">
        <is>
          <t>unit</t>
        </is>
      </c>
      <c r="D8401" s="15" t="n">
        <v>1.05</v>
      </c>
      <c r="E8401" s="4" t="n">
        <v>1900000</v>
      </c>
      <c r="F8401" s="4" t="n">
        <v>1995000</v>
      </c>
    </row>
    <row r="8402">
      <c r="D8402" s="2" t="inlineStr">
        <is>
          <t>SUBTOTAL UPAH</t>
        </is>
      </c>
      <c r="F8402" s="16" t="n">
        <v>115575</v>
      </c>
    </row>
    <row r="8403">
      <c r="D8403" s="2" t="inlineStr">
        <is>
          <t>SUBTOTAL BAHAN</t>
        </is>
      </c>
      <c r="F8403" s="16" t="n">
        <v>1995000</v>
      </c>
    </row>
    <row r="8404">
      <c r="D8404" s="2" t="inlineStr">
        <is>
          <t>SUBTOTAL ALAT</t>
        </is>
      </c>
      <c r="F8404" s="16" t="n">
        <v>0</v>
      </c>
    </row>
    <row r="8405">
      <c r="E8405" s="2" t="inlineStr">
        <is>
          <t>TOTAL HARGA SATUAN (Inc. Overhead)</t>
        </is>
      </c>
      <c r="F8405" s="17" t="n">
        <v>2321632</v>
      </c>
    </row>
    <row r="8407">
      <c r="A8407" s="14" t="inlineStr">
        <is>
          <t>KODE: 5.4.1.5 - Pemasangan 1 Unit Announciator</t>
        </is>
      </c>
    </row>
    <row r="8408">
      <c r="A8408" s="10" t="inlineStr">
        <is>
          <t>No</t>
        </is>
      </c>
      <c r="B8408" s="10" t="inlineStr">
        <is>
          <t>Uraian Komponen</t>
        </is>
      </c>
      <c r="C8408" s="10" t="inlineStr">
        <is>
          <t>Satuan</t>
        </is>
      </c>
      <c r="D8408" s="10" t="inlineStr">
        <is>
          <t>Koef</t>
        </is>
      </c>
      <c r="E8408" s="10" t="inlineStr">
        <is>
          <t>Harga Satuan (Rp)</t>
        </is>
      </c>
      <c r="F8408" s="10" t="inlineStr">
        <is>
          <t>Jumlah Harga (Rp)</t>
        </is>
      </c>
    </row>
    <row r="8409">
      <c r="A8409" s="3" t="inlineStr">
        <is>
          <t>1</t>
        </is>
      </c>
      <c r="B8409" s="3" t="inlineStr">
        <is>
          <t>Pekerja</t>
        </is>
      </c>
      <c r="C8409" s="3" t="inlineStr">
        <is>
          <t>OH</t>
        </is>
      </c>
      <c r="D8409" s="15" t="n">
        <v>1</v>
      </c>
      <c r="E8409" s="4" t="n">
        <v>100000</v>
      </c>
      <c r="F8409" s="4" t="n">
        <v>100000</v>
      </c>
    </row>
    <row r="8410">
      <c r="A8410" s="3" t="inlineStr">
        <is>
          <t>2</t>
        </is>
      </c>
      <c r="B8410" s="3" t="inlineStr">
        <is>
          <t>Tukang listrik</t>
        </is>
      </c>
      <c r="C8410" s="3" t="inlineStr">
        <is>
          <t>OH</t>
        </is>
      </c>
      <c r="D8410" s="15" t="n">
        <v>1.67</v>
      </c>
      <c r="E8410" s="4" t="n">
        <v>145000</v>
      </c>
      <c r="F8410" s="4" t="n">
        <v>242150</v>
      </c>
    </row>
    <row r="8411">
      <c r="A8411" s="3" t="inlineStr">
        <is>
          <t>3</t>
        </is>
      </c>
      <c r="B8411" s="3" t="inlineStr">
        <is>
          <t>Kepala Tukang</t>
        </is>
      </c>
      <c r="C8411" s="3" t="inlineStr">
        <is>
          <t>OH</t>
        </is>
      </c>
      <c r="D8411" s="15" t="n">
        <v>0.167</v>
      </c>
      <c r="E8411" s="4" t="n">
        <v>175000</v>
      </c>
      <c r="F8411" s="4" t="n">
        <v>29225</v>
      </c>
    </row>
    <row r="8412">
      <c r="A8412" s="3" t="inlineStr">
        <is>
          <t>4</t>
        </is>
      </c>
      <c r="B8412" s="3" t="inlineStr">
        <is>
          <t>Mandor</t>
        </is>
      </c>
      <c r="C8412" s="3" t="inlineStr">
        <is>
          <t>OH</t>
        </is>
      </c>
      <c r="D8412" s="15" t="n">
        <v>0.056</v>
      </c>
      <c r="E8412" s="4" t="n">
        <v>200000</v>
      </c>
      <c r="F8412" s="4" t="n">
        <v>11200</v>
      </c>
    </row>
    <row r="8413">
      <c r="A8413" s="3" t="inlineStr">
        <is>
          <t>1</t>
        </is>
      </c>
      <c r="B8413" s="3" t="inlineStr">
        <is>
          <t>Announciator</t>
        </is>
      </c>
      <c r="C8413" s="3" t="inlineStr">
        <is>
          <t>unit</t>
        </is>
      </c>
      <c r="D8413" s="15" t="n">
        <v>1.1</v>
      </c>
      <c r="E8413" s="4" t="n">
        <v>2100000</v>
      </c>
      <c r="F8413" s="4" t="n">
        <v>2310000</v>
      </c>
    </row>
    <row r="8414">
      <c r="D8414" s="2" t="inlineStr">
        <is>
          <t>SUBTOTAL UPAH</t>
        </is>
      </c>
      <c r="F8414" s="16" t="n">
        <v>382575</v>
      </c>
    </row>
    <row r="8415">
      <c r="D8415" s="2" t="inlineStr">
        <is>
          <t>SUBTOTAL BAHAN</t>
        </is>
      </c>
      <c r="F8415" s="16" t="n">
        <v>2310000</v>
      </c>
    </row>
    <row r="8416">
      <c r="D8416" s="2" t="inlineStr">
        <is>
          <t>SUBTOTAL ALAT</t>
        </is>
      </c>
      <c r="F8416" s="16" t="n">
        <v>0</v>
      </c>
    </row>
    <row r="8417">
      <c r="E8417" s="2" t="inlineStr">
        <is>
          <t>TOTAL HARGA SATUAN (Inc. Overhead)</t>
        </is>
      </c>
      <c r="F8417" s="17" t="n">
        <v>2961832</v>
      </c>
    </row>
    <row r="8419">
      <c r="A8419" s="14" t="inlineStr">
        <is>
          <t>KODE: 5.4.1.6 - Pemasangan 1 Unit Terminal Box Fire Alarm (Lengkap dengan Modul)</t>
        </is>
      </c>
    </row>
    <row r="8420">
      <c r="A8420" s="10" t="inlineStr">
        <is>
          <t>No</t>
        </is>
      </c>
      <c r="B8420" s="10" t="inlineStr">
        <is>
          <t>Uraian Komponen</t>
        </is>
      </c>
      <c r="C8420" s="10" t="inlineStr">
        <is>
          <t>Satuan</t>
        </is>
      </c>
      <c r="D8420" s="10" t="inlineStr">
        <is>
          <t>Koef</t>
        </is>
      </c>
      <c r="E8420" s="10" t="inlineStr">
        <is>
          <t>Harga Satuan (Rp)</t>
        </is>
      </c>
      <c r="F8420" s="10" t="inlineStr">
        <is>
          <t>Jumlah Harga (Rp)</t>
        </is>
      </c>
    </row>
    <row r="8421">
      <c r="A8421" s="3" t="inlineStr">
        <is>
          <t>1</t>
        </is>
      </c>
      <c r="B8421" s="3" t="inlineStr">
        <is>
          <t>Pekerja</t>
        </is>
      </c>
      <c r="C8421" s="3" t="inlineStr">
        <is>
          <t>OH</t>
        </is>
      </c>
      <c r="D8421" s="15" t="n">
        <v>1</v>
      </c>
      <c r="E8421" s="4" t="n">
        <v>100000</v>
      </c>
      <c r="F8421" s="4" t="n">
        <v>100000</v>
      </c>
    </row>
    <row r="8422">
      <c r="A8422" s="3" t="inlineStr">
        <is>
          <t>2</t>
        </is>
      </c>
      <c r="B8422" s="3" t="inlineStr">
        <is>
          <t>Tukang listrik</t>
        </is>
      </c>
      <c r="C8422" s="3" t="inlineStr">
        <is>
          <t>OH</t>
        </is>
      </c>
      <c r="D8422" s="15" t="n">
        <v>1.67</v>
      </c>
      <c r="E8422" s="4" t="n">
        <v>145000</v>
      </c>
      <c r="F8422" s="4" t="n">
        <v>242150</v>
      </c>
    </row>
    <row r="8423">
      <c r="A8423" s="3" t="inlineStr">
        <is>
          <t>3</t>
        </is>
      </c>
      <c r="B8423" s="3" t="inlineStr">
        <is>
          <t>Kepala Tukang</t>
        </is>
      </c>
      <c r="C8423" s="3" t="inlineStr">
        <is>
          <t>OH</t>
        </is>
      </c>
      <c r="D8423" s="15" t="n">
        <v>0.167</v>
      </c>
      <c r="E8423" s="4" t="n">
        <v>175000</v>
      </c>
      <c r="F8423" s="4" t="n">
        <v>29225</v>
      </c>
    </row>
    <row r="8424">
      <c r="A8424" s="3" t="inlineStr">
        <is>
          <t>4</t>
        </is>
      </c>
      <c r="B8424" s="3" t="inlineStr">
        <is>
          <t>Mandor</t>
        </is>
      </c>
      <c r="C8424" s="3" t="inlineStr">
        <is>
          <t>OH</t>
        </is>
      </c>
      <c r="D8424" s="15" t="n">
        <v>0.056</v>
      </c>
      <c r="E8424" s="4" t="n">
        <v>200000</v>
      </c>
      <c r="F8424" s="4" t="n">
        <v>11200</v>
      </c>
    </row>
    <row r="8425">
      <c r="A8425" s="3" t="inlineStr">
        <is>
          <t>1</t>
        </is>
      </c>
      <c r="B8425" s="3" t="inlineStr">
        <is>
          <t>Terminal Box Fire Alarm</t>
        </is>
      </c>
      <c r="C8425" s="3" t="inlineStr">
        <is>
          <t>unit</t>
        </is>
      </c>
      <c r="D8425" s="15" t="n">
        <v>1.1</v>
      </c>
      <c r="E8425" s="4" t="n">
        <v>265000</v>
      </c>
      <c r="F8425" s="4" t="n">
        <v>291500</v>
      </c>
    </row>
    <row r="8426">
      <c r="D8426" s="2" t="inlineStr">
        <is>
          <t>SUBTOTAL UPAH</t>
        </is>
      </c>
      <c r="F8426" s="16" t="n">
        <v>382575</v>
      </c>
    </row>
    <row r="8427">
      <c r="D8427" s="2" t="inlineStr">
        <is>
          <t>SUBTOTAL BAHAN</t>
        </is>
      </c>
      <c r="F8427" s="16" t="n">
        <v>291500</v>
      </c>
    </row>
    <row r="8428">
      <c r="D8428" s="2" t="inlineStr">
        <is>
          <t>SUBTOTAL ALAT</t>
        </is>
      </c>
      <c r="F8428" s="16" t="n">
        <v>0</v>
      </c>
    </row>
    <row r="8429">
      <c r="E8429" s="2" t="inlineStr">
        <is>
          <t>TOTAL HARGA SATUAN (Inc. Overhead)</t>
        </is>
      </c>
      <c r="F8429" s="17" t="n">
        <v>741482</v>
      </c>
    </row>
    <row r="8431">
      <c r="A8431" s="14" t="inlineStr">
        <is>
          <t>KODE: 5.4.1.7 - Pemasangan 1 Unit Some Detector Addressable</t>
        </is>
      </c>
    </row>
    <row r="8432">
      <c r="A8432" s="10" t="inlineStr">
        <is>
          <t>No</t>
        </is>
      </c>
      <c r="B8432" s="10" t="inlineStr">
        <is>
          <t>Uraian Komponen</t>
        </is>
      </c>
      <c r="C8432" s="10" t="inlineStr">
        <is>
          <t>Satuan</t>
        </is>
      </c>
      <c r="D8432" s="10" t="inlineStr">
        <is>
          <t>Koef</t>
        </is>
      </c>
      <c r="E8432" s="10" t="inlineStr">
        <is>
          <t>Harga Satuan (Rp)</t>
        </is>
      </c>
      <c r="F8432" s="10" t="inlineStr">
        <is>
          <t>Jumlah Harga (Rp)</t>
        </is>
      </c>
    </row>
    <row r="8433">
      <c r="A8433" s="3" t="inlineStr">
        <is>
          <t>1</t>
        </is>
      </c>
      <c r="B8433" s="3" t="inlineStr">
        <is>
          <t>Pekerja</t>
        </is>
      </c>
      <c r="C8433" s="3" t="inlineStr">
        <is>
          <t>OH</t>
        </is>
      </c>
      <c r="D8433" s="15" t="n">
        <v>0.095</v>
      </c>
      <c r="E8433" s="4" t="n">
        <v>100000</v>
      </c>
      <c r="F8433" s="4" t="n">
        <v>9500</v>
      </c>
    </row>
    <row r="8434">
      <c r="A8434" s="3" t="inlineStr">
        <is>
          <t>2</t>
        </is>
      </c>
      <c r="B8434" s="3" t="inlineStr">
        <is>
          <t>Tukang listrik</t>
        </is>
      </c>
      <c r="C8434" s="3" t="inlineStr">
        <is>
          <t>OH</t>
        </is>
      </c>
      <c r="D8434" s="15" t="n">
        <v>0.159</v>
      </c>
      <c r="E8434" s="4" t="n">
        <v>145000</v>
      </c>
      <c r="F8434" s="4" t="n">
        <v>23055</v>
      </c>
    </row>
    <row r="8435">
      <c r="A8435" s="3" t="inlineStr">
        <is>
          <t>3</t>
        </is>
      </c>
      <c r="B8435" s="3" t="inlineStr">
        <is>
          <t>Kepala Tukang</t>
        </is>
      </c>
      <c r="C8435" s="3" t="inlineStr">
        <is>
          <t>OH</t>
        </is>
      </c>
      <c r="D8435" s="15" t="n">
        <v>0.016</v>
      </c>
      <c r="E8435" s="4" t="n">
        <v>175000</v>
      </c>
      <c r="F8435" s="4" t="n">
        <v>2800</v>
      </c>
    </row>
    <row r="8436">
      <c r="A8436" s="3" t="inlineStr">
        <is>
          <t>4</t>
        </is>
      </c>
      <c r="B8436" s="3" t="inlineStr">
        <is>
          <t>Mandor</t>
        </is>
      </c>
      <c r="C8436" s="3" t="inlineStr">
        <is>
          <t>OH</t>
        </is>
      </c>
      <c r="D8436" s="15" t="n">
        <v>0.005</v>
      </c>
      <c r="E8436" s="4" t="n">
        <v>200000</v>
      </c>
      <c r="F8436" s="4" t="n">
        <v>1000</v>
      </c>
    </row>
    <row r="8437">
      <c r="A8437" s="3" t="inlineStr">
        <is>
          <t>1</t>
        </is>
      </c>
      <c r="B8437" s="3" t="inlineStr">
        <is>
          <t>Smoke Detector Addressable</t>
        </is>
      </c>
      <c r="C8437" s="3" t="inlineStr">
        <is>
          <t>unit</t>
        </is>
      </c>
      <c r="D8437" s="15" t="n">
        <v>1.05</v>
      </c>
      <c r="E8437" s="4" t="n">
        <v>780000</v>
      </c>
      <c r="F8437" s="4" t="n">
        <v>819000</v>
      </c>
    </row>
    <row r="8438">
      <c r="D8438" s="2" t="inlineStr">
        <is>
          <t>SUBTOTAL UPAH</t>
        </is>
      </c>
      <c r="F8438" s="16" t="n">
        <v>36355</v>
      </c>
    </row>
    <row r="8439">
      <c r="D8439" s="2" t="inlineStr">
        <is>
          <t>SUBTOTAL BAHAN</t>
        </is>
      </c>
      <c r="F8439" s="16" t="n">
        <v>819000</v>
      </c>
    </row>
    <row r="8440">
      <c r="D8440" s="2" t="inlineStr">
        <is>
          <t>SUBTOTAL ALAT</t>
        </is>
      </c>
      <c r="F8440" s="16" t="n">
        <v>0</v>
      </c>
    </row>
    <row r="8441">
      <c r="E8441" s="2" t="inlineStr">
        <is>
          <t>TOTAL HARGA SATUAN (Inc. Overhead)</t>
        </is>
      </c>
      <c r="F8441" s="17" t="n">
        <v>940890</v>
      </c>
    </row>
    <row r="8443">
      <c r="A8443" s="14" t="inlineStr">
        <is>
          <t>KODE: 5.4.1.8 - Pemasangan 1 Unit Rate of Rise Detector Addressable</t>
        </is>
      </c>
    </row>
    <row r="8444">
      <c r="A8444" s="10" t="inlineStr">
        <is>
          <t>No</t>
        </is>
      </c>
      <c r="B8444" s="10" t="inlineStr">
        <is>
          <t>Uraian Komponen</t>
        </is>
      </c>
      <c r="C8444" s="10" t="inlineStr">
        <is>
          <t>Satuan</t>
        </is>
      </c>
      <c r="D8444" s="10" t="inlineStr">
        <is>
          <t>Koef</t>
        </is>
      </c>
      <c r="E8444" s="10" t="inlineStr">
        <is>
          <t>Harga Satuan (Rp)</t>
        </is>
      </c>
      <c r="F8444" s="10" t="inlineStr">
        <is>
          <t>Jumlah Harga (Rp)</t>
        </is>
      </c>
    </row>
    <row r="8445">
      <c r="A8445" s="3" t="inlineStr">
        <is>
          <t>1</t>
        </is>
      </c>
      <c r="B8445" s="3" t="inlineStr">
        <is>
          <t>Pekerja</t>
        </is>
      </c>
      <c r="C8445" s="3" t="inlineStr">
        <is>
          <t>OH</t>
        </is>
      </c>
      <c r="D8445" s="15" t="n">
        <v>0.095</v>
      </c>
      <c r="E8445" s="4" t="n">
        <v>100000</v>
      </c>
      <c r="F8445" s="4" t="n">
        <v>9500</v>
      </c>
    </row>
    <row r="8446">
      <c r="A8446" s="3" t="inlineStr">
        <is>
          <t>2</t>
        </is>
      </c>
      <c r="B8446" s="3" t="inlineStr">
        <is>
          <t>Tukang listrik</t>
        </is>
      </c>
      <c r="C8446" s="3" t="inlineStr">
        <is>
          <t>OH</t>
        </is>
      </c>
      <c r="D8446" s="15" t="n">
        <v>0.159</v>
      </c>
      <c r="E8446" s="4" t="n">
        <v>145000</v>
      </c>
      <c r="F8446" s="4" t="n">
        <v>23055</v>
      </c>
    </row>
    <row r="8447">
      <c r="A8447" s="3" t="inlineStr">
        <is>
          <t>3</t>
        </is>
      </c>
      <c r="B8447" s="3" t="inlineStr">
        <is>
          <t>Kepala Tukang</t>
        </is>
      </c>
      <c r="C8447" s="3" t="inlineStr">
        <is>
          <t>OH</t>
        </is>
      </c>
      <c r="D8447" s="15" t="n">
        <v>0.016</v>
      </c>
      <c r="E8447" s="4" t="n">
        <v>175000</v>
      </c>
      <c r="F8447" s="4" t="n">
        <v>2800</v>
      </c>
    </row>
    <row r="8448">
      <c r="A8448" s="3" t="inlineStr">
        <is>
          <t>4</t>
        </is>
      </c>
      <c r="B8448" s="3" t="inlineStr">
        <is>
          <t>Mandor</t>
        </is>
      </c>
      <c r="C8448" s="3" t="inlineStr">
        <is>
          <t>OH</t>
        </is>
      </c>
      <c r="D8448" s="15" t="n">
        <v>0.005</v>
      </c>
      <c r="E8448" s="4" t="n">
        <v>200000</v>
      </c>
      <c r="F8448" s="4" t="n">
        <v>1000</v>
      </c>
    </row>
    <row r="8449">
      <c r="A8449" s="3" t="inlineStr">
        <is>
          <t>1</t>
        </is>
      </c>
      <c r="B8449" s="3" t="inlineStr">
        <is>
          <t>Rate of Rise Detector Addressable</t>
        </is>
      </c>
      <c r="C8449" s="3" t="inlineStr">
        <is>
          <t>unit</t>
        </is>
      </c>
      <c r="D8449" s="15" t="n">
        <v>1.05</v>
      </c>
      <c r="E8449" s="4" t="n">
        <v>343000</v>
      </c>
      <c r="F8449" s="4" t="n">
        <v>360150</v>
      </c>
    </row>
    <row r="8450">
      <c r="D8450" s="2" t="inlineStr">
        <is>
          <t>SUBTOTAL UPAH</t>
        </is>
      </c>
      <c r="F8450" s="16" t="n">
        <v>36355</v>
      </c>
    </row>
    <row r="8451">
      <c r="D8451" s="2" t="inlineStr">
        <is>
          <t>SUBTOTAL BAHAN</t>
        </is>
      </c>
      <c r="F8451" s="16" t="n">
        <v>360150</v>
      </c>
    </row>
    <row r="8452">
      <c r="D8452" s="2" t="inlineStr">
        <is>
          <t>SUBTOTAL ALAT</t>
        </is>
      </c>
      <c r="F8452" s="16" t="n">
        <v>0</v>
      </c>
    </row>
    <row r="8453">
      <c r="E8453" s="2" t="inlineStr">
        <is>
          <t>TOTAL HARGA SATUAN (Inc. Overhead)</t>
        </is>
      </c>
      <c r="F8453" s="17" t="n">
        <v>436155</v>
      </c>
    </row>
    <row r="8455">
      <c r="A8455" s="14" t="inlineStr">
        <is>
          <t>KODE: 5.4.1.9 - Pemasangan 1 Unit Fix Heat Detector Addressable</t>
        </is>
      </c>
    </row>
    <row r="8456">
      <c r="A8456" s="10" t="inlineStr">
        <is>
          <t>No</t>
        </is>
      </c>
      <c r="B8456" s="10" t="inlineStr">
        <is>
          <t>Uraian Komponen</t>
        </is>
      </c>
      <c r="C8456" s="10" t="inlineStr">
        <is>
          <t>Satuan</t>
        </is>
      </c>
      <c r="D8456" s="10" t="inlineStr">
        <is>
          <t>Koef</t>
        </is>
      </c>
      <c r="E8456" s="10" t="inlineStr">
        <is>
          <t>Harga Satuan (Rp)</t>
        </is>
      </c>
      <c r="F8456" s="10" t="inlineStr">
        <is>
          <t>Jumlah Harga (Rp)</t>
        </is>
      </c>
    </row>
    <row r="8457">
      <c r="A8457" s="3" t="inlineStr">
        <is>
          <t>1</t>
        </is>
      </c>
      <c r="B8457" s="3" t="inlineStr">
        <is>
          <t>Pekerja</t>
        </is>
      </c>
      <c r="C8457" s="3" t="inlineStr">
        <is>
          <t>OH</t>
        </is>
      </c>
      <c r="D8457" s="15" t="n">
        <v>0.095</v>
      </c>
      <c r="E8457" s="4" t="n">
        <v>100000</v>
      </c>
      <c r="F8457" s="4" t="n">
        <v>9500</v>
      </c>
    </row>
    <row r="8458">
      <c r="A8458" s="3" t="inlineStr">
        <is>
          <t>2</t>
        </is>
      </c>
      <c r="B8458" s="3" t="inlineStr">
        <is>
          <t>Tukang listrik</t>
        </is>
      </c>
      <c r="C8458" s="3" t="inlineStr">
        <is>
          <t>OH</t>
        </is>
      </c>
      <c r="D8458" s="15" t="n">
        <v>0.159</v>
      </c>
      <c r="E8458" s="4" t="n">
        <v>145000</v>
      </c>
      <c r="F8458" s="4" t="n">
        <v>23055</v>
      </c>
    </row>
    <row r="8459">
      <c r="A8459" s="3" t="inlineStr">
        <is>
          <t>3</t>
        </is>
      </c>
      <c r="B8459" s="3" t="inlineStr">
        <is>
          <t>Kepala Tukang</t>
        </is>
      </c>
      <c r="C8459" s="3" t="inlineStr">
        <is>
          <t>OH</t>
        </is>
      </c>
      <c r="D8459" s="15" t="n">
        <v>0.016</v>
      </c>
      <c r="E8459" s="4" t="n">
        <v>175000</v>
      </c>
      <c r="F8459" s="4" t="n">
        <v>2800</v>
      </c>
    </row>
    <row r="8460">
      <c r="A8460" s="3" t="inlineStr">
        <is>
          <t>4</t>
        </is>
      </c>
      <c r="B8460" s="3" t="inlineStr">
        <is>
          <t>Mandor</t>
        </is>
      </c>
      <c r="C8460" s="3" t="inlineStr">
        <is>
          <t>OH</t>
        </is>
      </c>
      <c r="D8460" s="15" t="n">
        <v>0.005</v>
      </c>
      <c r="E8460" s="4" t="n">
        <v>200000</v>
      </c>
      <c r="F8460" s="4" t="n">
        <v>1000</v>
      </c>
    </row>
    <row r="8461">
      <c r="A8461" s="3" t="inlineStr">
        <is>
          <t>1</t>
        </is>
      </c>
      <c r="B8461" s="3" t="inlineStr">
        <is>
          <t>Fix Heat Detector Addressable</t>
        </is>
      </c>
      <c r="C8461" s="3" t="inlineStr">
        <is>
          <t>unit</t>
        </is>
      </c>
      <c r="D8461" s="15" t="n">
        <v>1.05</v>
      </c>
      <c r="E8461" s="4" t="n">
        <v>318000</v>
      </c>
      <c r="F8461" s="4" t="n">
        <v>333900</v>
      </c>
    </row>
    <row r="8462">
      <c r="D8462" s="2" t="inlineStr">
        <is>
          <t>SUBTOTAL UPAH</t>
        </is>
      </c>
      <c r="F8462" s="16" t="n">
        <v>36355</v>
      </c>
    </row>
    <row r="8463">
      <c r="D8463" s="2" t="inlineStr">
        <is>
          <t>SUBTOTAL BAHAN</t>
        </is>
      </c>
      <c r="F8463" s="16" t="n">
        <v>333900</v>
      </c>
    </row>
    <row r="8464">
      <c r="D8464" s="2" t="inlineStr">
        <is>
          <t>SUBTOTAL ALAT</t>
        </is>
      </c>
      <c r="F8464" s="16" t="n">
        <v>0</v>
      </c>
    </row>
    <row r="8465">
      <c r="E8465" s="2" t="inlineStr">
        <is>
          <t>TOTAL HARGA SATUAN (Inc. Overhead)</t>
        </is>
      </c>
      <c r="F8465" s="17" t="n">
        <v>407280</v>
      </c>
    </row>
    <row r="8467">
      <c r="A8467" s="14" t="inlineStr">
        <is>
          <t>KODE: 5.4.1.10 - Pemasangan 1 Unit Smoke Detector Konvensional</t>
        </is>
      </c>
    </row>
    <row r="8468">
      <c r="A8468" s="10" t="inlineStr">
        <is>
          <t>No</t>
        </is>
      </c>
      <c r="B8468" s="10" t="inlineStr">
        <is>
          <t>Uraian Komponen</t>
        </is>
      </c>
      <c r="C8468" s="10" t="inlineStr">
        <is>
          <t>Satuan</t>
        </is>
      </c>
      <c r="D8468" s="10" t="inlineStr">
        <is>
          <t>Koef</t>
        </is>
      </c>
      <c r="E8468" s="10" t="inlineStr">
        <is>
          <t>Harga Satuan (Rp)</t>
        </is>
      </c>
      <c r="F8468" s="10" t="inlineStr">
        <is>
          <t>Jumlah Harga (Rp)</t>
        </is>
      </c>
    </row>
    <row r="8469">
      <c r="A8469" s="3" t="inlineStr">
        <is>
          <t>1</t>
        </is>
      </c>
      <c r="B8469" s="3" t="inlineStr">
        <is>
          <t>Pekerja</t>
        </is>
      </c>
      <c r="C8469" s="3" t="inlineStr">
        <is>
          <t>OH</t>
        </is>
      </c>
      <c r="D8469" s="15" t="n">
        <v>0.095</v>
      </c>
      <c r="E8469" s="4" t="n">
        <v>100000</v>
      </c>
      <c r="F8469" s="4" t="n">
        <v>9500</v>
      </c>
    </row>
    <row r="8470">
      <c r="A8470" s="3" t="inlineStr">
        <is>
          <t>2</t>
        </is>
      </c>
      <c r="B8470" s="3" t="inlineStr">
        <is>
          <t>Tukang listrik</t>
        </is>
      </c>
      <c r="C8470" s="3" t="inlineStr">
        <is>
          <t>OH</t>
        </is>
      </c>
      <c r="D8470" s="15" t="n">
        <v>0.159</v>
      </c>
      <c r="E8470" s="4" t="n">
        <v>145000</v>
      </c>
      <c r="F8470" s="4" t="n">
        <v>23055</v>
      </c>
    </row>
    <row r="8471">
      <c r="A8471" s="3" t="inlineStr">
        <is>
          <t>3</t>
        </is>
      </c>
      <c r="B8471" s="3" t="inlineStr">
        <is>
          <t>Kepala Tukang</t>
        </is>
      </c>
      <c r="C8471" s="3" t="inlineStr">
        <is>
          <t>OH</t>
        </is>
      </c>
      <c r="D8471" s="15" t="n">
        <v>0.016</v>
      </c>
      <c r="E8471" s="4" t="n">
        <v>175000</v>
      </c>
      <c r="F8471" s="4" t="n">
        <v>2800</v>
      </c>
    </row>
    <row r="8472">
      <c r="A8472" s="3" t="inlineStr">
        <is>
          <t>4</t>
        </is>
      </c>
      <c r="B8472" s="3" t="inlineStr">
        <is>
          <t>Mandor</t>
        </is>
      </c>
      <c r="C8472" s="3" t="inlineStr">
        <is>
          <t>OH</t>
        </is>
      </c>
      <c r="D8472" s="15" t="n">
        <v>0.005</v>
      </c>
      <c r="E8472" s="4" t="n">
        <v>200000</v>
      </c>
      <c r="F8472" s="4" t="n">
        <v>1000</v>
      </c>
    </row>
    <row r="8473">
      <c r="A8473" s="3" t="inlineStr">
        <is>
          <t>1</t>
        </is>
      </c>
      <c r="B8473" s="3" t="inlineStr">
        <is>
          <t>Smoke Detector Konvensional</t>
        </is>
      </c>
      <c r="C8473" s="3" t="inlineStr">
        <is>
          <t>unit</t>
        </is>
      </c>
      <c r="D8473" s="15" t="n">
        <v>1.05</v>
      </c>
      <c r="E8473" s="4" t="n">
        <v>245000</v>
      </c>
      <c r="F8473" s="4" t="n">
        <v>257250</v>
      </c>
    </row>
    <row r="8474">
      <c r="D8474" s="2" t="inlineStr">
        <is>
          <t>SUBTOTAL UPAH</t>
        </is>
      </c>
      <c r="F8474" s="16" t="n">
        <v>36355</v>
      </c>
    </row>
    <row r="8475">
      <c r="D8475" s="2" t="inlineStr">
        <is>
          <t>SUBTOTAL BAHAN</t>
        </is>
      </c>
      <c r="F8475" s="16" t="n">
        <v>257250</v>
      </c>
    </row>
    <row r="8476">
      <c r="D8476" s="2" t="inlineStr">
        <is>
          <t>SUBTOTAL ALAT</t>
        </is>
      </c>
      <c r="F8476" s="16" t="n">
        <v>0</v>
      </c>
    </row>
    <row r="8477">
      <c r="E8477" s="2" t="inlineStr">
        <is>
          <t>TOTAL HARGA SATUAN (Inc. Overhead)</t>
        </is>
      </c>
      <c r="F8477" s="17" t="n">
        <v>322965</v>
      </c>
    </row>
    <row r="8479">
      <c r="A8479" s="14" t="inlineStr">
        <is>
          <t>KODE: 5.4.1.11 - Pemasangan 1 Unit Rate of Rise Detector Konvensional</t>
        </is>
      </c>
    </row>
    <row r="8480">
      <c r="A8480" s="10" t="inlineStr">
        <is>
          <t>No</t>
        </is>
      </c>
      <c r="B8480" s="10" t="inlineStr">
        <is>
          <t>Uraian Komponen</t>
        </is>
      </c>
      <c r="C8480" s="10" t="inlineStr">
        <is>
          <t>Satuan</t>
        </is>
      </c>
      <c r="D8480" s="10" t="inlineStr">
        <is>
          <t>Koef</t>
        </is>
      </c>
      <c r="E8480" s="10" t="inlineStr">
        <is>
          <t>Harga Satuan (Rp)</t>
        </is>
      </c>
      <c r="F8480" s="10" t="inlineStr">
        <is>
          <t>Jumlah Harga (Rp)</t>
        </is>
      </c>
    </row>
    <row r="8481">
      <c r="A8481" s="3" t="inlineStr">
        <is>
          <t>1</t>
        </is>
      </c>
      <c r="B8481" s="3" t="inlineStr">
        <is>
          <t>Pekerja</t>
        </is>
      </c>
      <c r="C8481" s="3" t="inlineStr">
        <is>
          <t>OH</t>
        </is>
      </c>
      <c r="D8481" s="15" t="n">
        <v>0.095</v>
      </c>
      <c r="E8481" s="4" t="n">
        <v>100000</v>
      </c>
      <c r="F8481" s="4" t="n">
        <v>9500</v>
      </c>
    </row>
    <row r="8482">
      <c r="A8482" s="3" t="inlineStr">
        <is>
          <t>2</t>
        </is>
      </c>
      <c r="B8482" s="3" t="inlineStr">
        <is>
          <t>Tukang listrik</t>
        </is>
      </c>
      <c r="C8482" s="3" t="inlineStr">
        <is>
          <t>OH</t>
        </is>
      </c>
      <c r="D8482" s="15" t="n">
        <v>0.159</v>
      </c>
      <c r="E8482" s="4" t="n">
        <v>145000</v>
      </c>
      <c r="F8482" s="4" t="n">
        <v>23055</v>
      </c>
    </row>
    <row r="8483">
      <c r="A8483" s="3" t="inlineStr">
        <is>
          <t>3</t>
        </is>
      </c>
      <c r="B8483" s="3" t="inlineStr">
        <is>
          <t>Kepala Tukang</t>
        </is>
      </c>
      <c r="C8483" s="3" t="inlineStr">
        <is>
          <t>OH</t>
        </is>
      </c>
      <c r="D8483" s="15" t="n">
        <v>0.016</v>
      </c>
      <c r="E8483" s="4" t="n">
        <v>175000</v>
      </c>
      <c r="F8483" s="4" t="n">
        <v>2800</v>
      </c>
    </row>
    <row r="8484">
      <c r="A8484" s="3" t="inlineStr">
        <is>
          <t>4</t>
        </is>
      </c>
      <c r="B8484" s="3" t="inlineStr">
        <is>
          <t>Mandor</t>
        </is>
      </c>
      <c r="C8484" s="3" t="inlineStr">
        <is>
          <t>OH</t>
        </is>
      </c>
      <c r="D8484" s="15" t="n">
        <v>0.005</v>
      </c>
      <c r="E8484" s="4" t="n">
        <v>200000</v>
      </c>
      <c r="F8484" s="4" t="n">
        <v>1000</v>
      </c>
    </row>
    <row r="8485">
      <c r="A8485" s="3" t="inlineStr">
        <is>
          <t>1</t>
        </is>
      </c>
      <c r="B8485" s="3" t="inlineStr">
        <is>
          <t>Rate of Rise Detector Konvensional</t>
        </is>
      </c>
      <c r="C8485" s="3" t="inlineStr">
        <is>
          <t>unit</t>
        </is>
      </c>
      <c r="D8485" s="15" t="n">
        <v>1.05</v>
      </c>
      <c r="E8485" s="4" t="n">
        <v>240000</v>
      </c>
      <c r="F8485" s="4" t="n">
        <v>252000</v>
      </c>
    </row>
    <row r="8486">
      <c r="D8486" s="2" t="inlineStr">
        <is>
          <t>SUBTOTAL UPAH</t>
        </is>
      </c>
      <c r="F8486" s="16" t="n">
        <v>36355</v>
      </c>
    </row>
    <row r="8487">
      <c r="D8487" s="2" t="inlineStr">
        <is>
          <t>SUBTOTAL BAHAN</t>
        </is>
      </c>
      <c r="F8487" s="16" t="n">
        <v>252000</v>
      </c>
    </row>
    <row r="8488">
      <c r="D8488" s="2" t="inlineStr">
        <is>
          <t>SUBTOTAL ALAT</t>
        </is>
      </c>
      <c r="F8488" s="16" t="n">
        <v>0</v>
      </c>
    </row>
    <row r="8489">
      <c r="E8489" s="2" t="inlineStr">
        <is>
          <t>TOTAL HARGA SATUAN (Inc. Overhead)</t>
        </is>
      </c>
      <c r="F8489" s="17" t="n">
        <v>317190</v>
      </c>
    </row>
    <row r="8491">
      <c r="A8491" s="14" t="inlineStr">
        <is>
          <t>KODE: 5.4.1.12 - Pemasangan 1 Unit Fix Heat Detector Konvensional</t>
        </is>
      </c>
    </row>
    <row r="8492">
      <c r="A8492" s="10" t="inlineStr">
        <is>
          <t>No</t>
        </is>
      </c>
      <c r="B8492" s="10" t="inlineStr">
        <is>
          <t>Uraian Komponen</t>
        </is>
      </c>
      <c r="C8492" s="10" t="inlineStr">
        <is>
          <t>Satuan</t>
        </is>
      </c>
      <c r="D8492" s="10" t="inlineStr">
        <is>
          <t>Koef</t>
        </is>
      </c>
      <c r="E8492" s="10" t="inlineStr">
        <is>
          <t>Harga Satuan (Rp)</t>
        </is>
      </c>
      <c r="F8492" s="10" t="inlineStr">
        <is>
          <t>Jumlah Harga (Rp)</t>
        </is>
      </c>
    </row>
    <row r="8493">
      <c r="A8493" s="3" t="inlineStr">
        <is>
          <t>1</t>
        </is>
      </c>
      <c r="B8493" s="3" t="inlineStr">
        <is>
          <t>Pekerja</t>
        </is>
      </c>
      <c r="C8493" s="3" t="inlineStr">
        <is>
          <t>OH</t>
        </is>
      </c>
      <c r="D8493" s="15" t="n">
        <v>0.095</v>
      </c>
      <c r="E8493" s="4" t="n">
        <v>100000</v>
      </c>
      <c r="F8493" s="4" t="n">
        <v>9500</v>
      </c>
    </row>
    <row r="8494">
      <c r="A8494" s="3" t="inlineStr">
        <is>
          <t>2</t>
        </is>
      </c>
      <c r="B8494" s="3" t="inlineStr">
        <is>
          <t>Tukang listrik</t>
        </is>
      </c>
      <c r="C8494" s="3" t="inlineStr">
        <is>
          <t>OH</t>
        </is>
      </c>
      <c r="D8494" s="15" t="n">
        <v>0.159</v>
      </c>
      <c r="E8494" s="4" t="n">
        <v>145000</v>
      </c>
      <c r="F8494" s="4" t="n">
        <v>23055</v>
      </c>
    </row>
    <row r="8495">
      <c r="A8495" s="3" t="inlineStr">
        <is>
          <t>3</t>
        </is>
      </c>
      <c r="B8495" s="3" t="inlineStr">
        <is>
          <t>Kepala Tukang</t>
        </is>
      </c>
      <c r="C8495" s="3" t="inlineStr">
        <is>
          <t>OH</t>
        </is>
      </c>
      <c r="D8495" s="15" t="n">
        <v>0.016</v>
      </c>
      <c r="E8495" s="4" t="n">
        <v>175000</v>
      </c>
      <c r="F8495" s="4" t="n">
        <v>2800</v>
      </c>
    </row>
    <row r="8496">
      <c r="A8496" s="3" t="inlineStr">
        <is>
          <t>4</t>
        </is>
      </c>
      <c r="B8496" s="3" t="inlineStr">
        <is>
          <t>Mandor</t>
        </is>
      </c>
      <c r="C8496" s="3" t="inlineStr">
        <is>
          <t>OH</t>
        </is>
      </c>
      <c r="D8496" s="15" t="n">
        <v>0.005</v>
      </c>
      <c r="E8496" s="4" t="n">
        <v>200000</v>
      </c>
      <c r="F8496" s="4" t="n">
        <v>1000</v>
      </c>
    </row>
    <row r="8497">
      <c r="A8497" s="3" t="inlineStr">
        <is>
          <t>1</t>
        </is>
      </c>
      <c r="B8497" s="3" t="inlineStr">
        <is>
          <t>Fix Heat Detector Konvensioanl</t>
        </is>
      </c>
      <c r="C8497" s="3" t="inlineStr">
        <is>
          <t>unit</t>
        </is>
      </c>
      <c r="D8497" s="15" t="n">
        <v>1.05</v>
      </c>
      <c r="E8497" s="4" t="n">
        <v>290000</v>
      </c>
      <c r="F8497" s="4" t="n">
        <v>304500</v>
      </c>
    </row>
    <row r="8498">
      <c r="D8498" s="2" t="inlineStr">
        <is>
          <t>SUBTOTAL UPAH</t>
        </is>
      </c>
      <c r="F8498" s="16" t="n">
        <v>36355</v>
      </c>
    </row>
    <row r="8499">
      <c r="D8499" s="2" t="inlineStr">
        <is>
          <t>SUBTOTAL BAHAN</t>
        </is>
      </c>
      <c r="F8499" s="16" t="n">
        <v>304500</v>
      </c>
    </row>
    <row r="8500">
      <c r="D8500" s="2" t="inlineStr">
        <is>
          <t>SUBTOTAL ALAT</t>
        </is>
      </c>
      <c r="F8500" s="16" t="n">
        <v>0</v>
      </c>
    </row>
    <row r="8501">
      <c r="E8501" s="2" t="inlineStr">
        <is>
          <t>TOTAL HARGA SATUAN (Inc. Overhead)</t>
        </is>
      </c>
      <c r="F8501" s="17" t="n">
        <v>374940</v>
      </c>
    </row>
    <row r="8503">
      <c r="A8503" s="14" t="inlineStr">
        <is>
          <t>KODE: 5.4.1.13 - Pemasangan 1 Unit  Lamp Indicator</t>
        </is>
      </c>
    </row>
    <row r="8504">
      <c r="A8504" s="10" t="inlineStr">
        <is>
          <t>No</t>
        </is>
      </c>
      <c r="B8504" s="10" t="inlineStr">
        <is>
          <t>Uraian Komponen</t>
        </is>
      </c>
      <c r="C8504" s="10" t="inlineStr">
        <is>
          <t>Satuan</t>
        </is>
      </c>
      <c r="D8504" s="10" t="inlineStr">
        <is>
          <t>Koef</t>
        </is>
      </c>
      <c r="E8504" s="10" t="inlineStr">
        <is>
          <t>Harga Satuan (Rp)</t>
        </is>
      </c>
      <c r="F8504" s="10" t="inlineStr">
        <is>
          <t>Jumlah Harga (Rp)</t>
        </is>
      </c>
    </row>
    <row r="8505">
      <c r="A8505" s="3" t="inlineStr">
        <is>
          <t>1</t>
        </is>
      </c>
      <c r="B8505" s="3" t="inlineStr">
        <is>
          <t>Pekerja</t>
        </is>
      </c>
      <c r="C8505" s="3" t="inlineStr">
        <is>
          <t>OH</t>
        </is>
      </c>
      <c r="D8505" s="15" t="n">
        <v>0.064</v>
      </c>
      <c r="E8505" s="4" t="n">
        <v>100000</v>
      </c>
      <c r="F8505" s="4" t="n">
        <v>6400</v>
      </c>
    </row>
    <row r="8506">
      <c r="A8506" s="3" t="inlineStr">
        <is>
          <t>2</t>
        </is>
      </c>
      <c r="B8506" s="3" t="inlineStr">
        <is>
          <t>Tukang listrik</t>
        </is>
      </c>
      <c r="C8506" s="3" t="inlineStr">
        <is>
          <t>OH</t>
        </is>
      </c>
      <c r="D8506" s="15" t="n">
        <v>0.107</v>
      </c>
      <c r="E8506" s="4" t="n">
        <v>145000</v>
      </c>
      <c r="F8506" s="4" t="n">
        <v>15515</v>
      </c>
    </row>
    <row r="8507">
      <c r="A8507" s="3" t="inlineStr">
        <is>
          <t>3</t>
        </is>
      </c>
      <c r="B8507" s="3" t="inlineStr">
        <is>
          <t>Kepala Tukang</t>
        </is>
      </c>
      <c r="C8507" s="3" t="inlineStr">
        <is>
          <t>OH</t>
        </is>
      </c>
      <c r="D8507" s="15" t="n">
        <v>0.011</v>
      </c>
      <c r="E8507" s="4" t="n">
        <v>175000</v>
      </c>
      <c r="F8507" s="4" t="n">
        <v>1925</v>
      </c>
    </row>
    <row r="8508">
      <c r="A8508" s="3" t="inlineStr">
        <is>
          <t>4</t>
        </is>
      </c>
      <c r="B8508" s="3" t="inlineStr">
        <is>
          <t>Mandor</t>
        </is>
      </c>
      <c r="C8508" s="3" t="inlineStr">
        <is>
          <t>OH</t>
        </is>
      </c>
      <c r="D8508" s="15" t="n">
        <v>0.004</v>
      </c>
      <c r="E8508" s="4" t="n">
        <v>200000</v>
      </c>
      <c r="F8508" s="4" t="n">
        <v>800</v>
      </c>
    </row>
    <row r="8509">
      <c r="A8509" s="3" t="inlineStr">
        <is>
          <t>1</t>
        </is>
      </c>
      <c r="B8509" s="3" t="inlineStr">
        <is>
          <t>Lamp Indicator</t>
        </is>
      </c>
      <c r="C8509" s="3" t="inlineStr">
        <is>
          <t>unit</t>
        </is>
      </c>
      <c r="D8509" s="15" t="n">
        <v>1.05</v>
      </c>
      <c r="E8509" s="4" t="n">
        <v>57000</v>
      </c>
      <c r="F8509" s="4" t="n">
        <v>59850</v>
      </c>
    </row>
    <row r="8510">
      <c r="D8510" s="2" t="inlineStr">
        <is>
          <t>SUBTOTAL UPAH</t>
        </is>
      </c>
      <c r="F8510" s="16" t="n">
        <v>24640</v>
      </c>
    </row>
    <row r="8511">
      <c r="D8511" s="2" t="inlineStr">
        <is>
          <t>SUBTOTAL BAHAN</t>
        </is>
      </c>
      <c r="F8511" s="16" t="n">
        <v>59850</v>
      </c>
    </row>
    <row r="8512">
      <c r="D8512" s="2" t="inlineStr">
        <is>
          <t>SUBTOTAL ALAT</t>
        </is>
      </c>
      <c r="F8512" s="16" t="n">
        <v>0</v>
      </c>
    </row>
    <row r="8513">
      <c r="E8513" s="2" t="inlineStr">
        <is>
          <t>TOTAL HARGA SATUAN (Inc. Overhead)</t>
        </is>
      </c>
      <c r="F8513" s="17" t="n">
        <v>92939</v>
      </c>
    </row>
    <row r="8515">
      <c r="A8515" s="14" t="inlineStr">
        <is>
          <t>KODE: 5.4.1.14 - Pemasangan 1 Unit Manual Break Glass</t>
        </is>
      </c>
    </row>
    <row r="8516">
      <c r="A8516" s="10" t="inlineStr">
        <is>
          <t>No</t>
        </is>
      </c>
      <c r="B8516" s="10" t="inlineStr">
        <is>
          <t>Uraian Komponen</t>
        </is>
      </c>
      <c r="C8516" s="10" t="inlineStr">
        <is>
          <t>Satuan</t>
        </is>
      </c>
      <c r="D8516" s="10" t="inlineStr">
        <is>
          <t>Koef</t>
        </is>
      </c>
      <c r="E8516" s="10" t="inlineStr">
        <is>
          <t>Harga Satuan (Rp)</t>
        </is>
      </c>
      <c r="F8516" s="10" t="inlineStr">
        <is>
          <t>Jumlah Harga (Rp)</t>
        </is>
      </c>
    </row>
    <row r="8517">
      <c r="A8517" s="3" t="inlineStr">
        <is>
          <t>1</t>
        </is>
      </c>
      <c r="B8517" s="3" t="inlineStr">
        <is>
          <t>Pekerja</t>
        </is>
      </c>
      <c r="C8517" s="3" t="inlineStr">
        <is>
          <t>OH</t>
        </is>
      </c>
      <c r="D8517" s="15" t="n">
        <v>0.064</v>
      </c>
      <c r="E8517" s="4" t="n">
        <v>100000</v>
      </c>
      <c r="F8517" s="4" t="n">
        <v>6400</v>
      </c>
    </row>
    <row r="8518">
      <c r="A8518" s="3" t="inlineStr">
        <is>
          <t>2</t>
        </is>
      </c>
      <c r="B8518" s="3" t="inlineStr">
        <is>
          <t>Tukang listrik</t>
        </is>
      </c>
      <c r="C8518" s="3" t="inlineStr">
        <is>
          <t>OH</t>
        </is>
      </c>
      <c r="D8518" s="15" t="n">
        <v>0.107</v>
      </c>
      <c r="E8518" s="4" t="n">
        <v>145000</v>
      </c>
      <c r="F8518" s="4" t="n">
        <v>15515</v>
      </c>
    </row>
    <row r="8519">
      <c r="A8519" s="3" t="inlineStr">
        <is>
          <t>3</t>
        </is>
      </c>
      <c r="B8519" s="3" t="inlineStr">
        <is>
          <t>Kepala Tukang</t>
        </is>
      </c>
      <c r="C8519" s="3" t="inlineStr">
        <is>
          <t>OH</t>
        </is>
      </c>
      <c r="D8519" s="15" t="n">
        <v>0.011</v>
      </c>
      <c r="E8519" s="4" t="n">
        <v>175000</v>
      </c>
      <c r="F8519" s="4" t="n">
        <v>1925</v>
      </c>
    </row>
    <row r="8520">
      <c r="A8520" s="3" t="inlineStr">
        <is>
          <t>4</t>
        </is>
      </c>
      <c r="B8520" s="3" t="inlineStr">
        <is>
          <t>Mandor</t>
        </is>
      </c>
      <c r="C8520" s="3" t="inlineStr">
        <is>
          <t>OH</t>
        </is>
      </c>
      <c r="D8520" s="15" t="n">
        <v>0.004</v>
      </c>
      <c r="E8520" s="4" t="n">
        <v>200000</v>
      </c>
      <c r="F8520" s="4" t="n">
        <v>800</v>
      </c>
    </row>
    <row r="8521">
      <c r="A8521" s="3" t="inlineStr">
        <is>
          <t>1</t>
        </is>
      </c>
      <c r="B8521" s="3" t="inlineStr">
        <is>
          <t>Manual Break Glass</t>
        </is>
      </c>
      <c r="C8521" s="3" t="inlineStr">
        <is>
          <t>unit</t>
        </is>
      </c>
      <c r="D8521" s="15" t="n">
        <v>1.05</v>
      </c>
      <c r="E8521" s="4" t="n">
        <v>60000</v>
      </c>
      <c r="F8521" s="4" t="n">
        <v>63000</v>
      </c>
    </row>
    <row r="8522">
      <c r="D8522" s="2" t="inlineStr">
        <is>
          <t>SUBTOTAL UPAH</t>
        </is>
      </c>
      <c r="F8522" s="16" t="n">
        <v>24640</v>
      </c>
    </row>
    <row r="8523">
      <c r="D8523" s="2" t="inlineStr">
        <is>
          <t>SUBTOTAL BAHAN</t>
        </is>
      </c>
      <c r="F8523" s="16" t="n">
        <v>63000</v>
      </c>
    </row>
    <row r="8524">
      <c r="D8524" s="2" t="inlineStr">
        <is>
          <t>SUBTOTAL ALAT</t>
        </is>
      </c>
      <c r="F8524" s="16" t="n">
        <v>0</v>
      </c>
    </row>
    <row r="8525">
      <c r="E8525" s="2" t="inlineStr">
        <is>
          <t>TOTAL HARGA SATUAN (Inc. Overhead)</t>
        </is>
      </c>
      <c r="F8525" s="17" t="n">
        <v>96404</v>
      </c>
    </row>
    <row r="8527">
      <c r="A8527" s="14" t="inlineStr">
        <is>
          <t>KODE: 5.4.1.15 - Pemasangan 1 Unit  Horn Strobe</t>
        </is>
      </c>
    </row>
    <row r="8528">
      <c r="A8528" s="10" t="inlineStr">
        <is>
          <t>No</t>
        </is>
      </c>
      <c r="B8528" s="10" t="inlineStr">
        <is>
          <t>Uraian Komponen</t>
        </is>
      </c>
      <c r="C8528" s="10" t="inlineStr">
        <is>
          <t>Satuan</t>
        </is>
      </c>
      <c r="D8528" s="10" t="inlineStr">
        <is>
          <t>Koef</t>
        </is>
      </c>
      <c r="E8528" s="10" t="inlineStr">
        <is>
          <t>Harga Satuan (Rp)</t>
        </is>
      </c>
      <c r="F8528" s="10" t="inlineStr">
        <is>
          <t>Jumlah Harga (Rp)</t>
        </is>
      </c>
    </row>
    <row r="8529">
      <c r="A8529" s="3" t="inlineStr">
        <is>
          <t>1</t>
        </is>
      </c>
      <c r="B8529" s="3" t="inlineStr">
        <is>
          <t>Pekerja</t>
        </is>
      </c>
      <c r="C8529" s="3" t="inlineStr">
        <is>
          <t>OH</t>
        </is>
      </c>
      <c r="D8529" s="15" t="n">
        <v>0.064</v>
      </c>
      <c r="E8529" s="4" t="n">
        <v>100000</v>
      </c>
      <c r="F8529" s="4" t="n">
        <v>6400</v>
      </c>
    </row>
    <row r="8530">
      <c r="A8530" s="3" t="inlineStr">
        <is>
          <t>2</t>
        </is>
      </c>
      <c r="B8530" s="3" t="inlineStr">
        <is>
          <t>Tukang listrik</t>
        </is>
      </c>
      <c r="C8530" s="3" t="inlineStr">
        <is>
          <t>OH</t>
        </is>
      </c>
      <c r="D8530" s="15" t="n">
        <v>0.107</v>
      </c>
      <c r="E8530" s="4" t="n">
        <v>145000</v>
      </c>
      <c r="F8530" s="4" t="n">
        <v>15515</v>
      </c>
    </row>
    <row r="8531">
      <c r="A8531" s="3" t="inlineStr">
        <is>
          <t>3</t>
        </is>
      </c>
      <c r="B8531" s="3" t="inlineStr">
        <is>
          <t>Kepala Tukang</t>
        </is>
      </c>
      <c r="C8531" s="3" t="inlineStr">
        <is>
          <t>OH</t>
        </is>
      </c>
      <c r="D8531" s="15" t="n">
        <v>0.011</v>
      </c>
      <c r="E8531" s="4" t="n">
        <v>175000</v>
      </c>
      <c r="F8531" s="4" t="n">
        <v>1925</v>
      </c>
    </row>
    <row r="8532">
      <c r="A8532" s="3" t="inlineStr">
        <is>
          <t>4</t>
        </is>
      </c>
      <c r="B8532" s="3" t="inlineStr">
        <is>
          <t>Mandor</t>
        </is>
      </c>
      <c r="C8532" s="3" t="inlineStr">
        <is>
          <t>OH</t>
        </is>
      </c>
      <c r="D8532" s="15" t="n">
        <v>0.004</v>
      </c>
      <c r="E8532" s="4" t="n">
        <v>200000</v>
      </c>
      <c r="F8532" s="4" t="n">
        <v>800</v>
      </c>
    </row>
    <row r="8533">
      <c r="A8533" s="3" t="inlineStr">
        <is>
          <t>1</t>
        </is>
      </c>
      <c r="B8533" s="3" t="inlineStr">
        <is>
          <t>Horn Strobe</t>
        </is>
      </c>
      <c r="C8533" s="3" t="inlineStr">
        <is>
          <t>unit</t>
        </is>
      </c>
      <c r="D8533" s="15" t="n">
        <v>1.05</v>
      </c>
      <c r="E8533" s="4" t="n">
        <v>175000</v>
      </c>
      <c r="F8533" s="4" t="n">
        <v>183750</v>
      </c>
    </row>
    <row r="8534">
      <c r="D8534" s="2" t="inlineStr">
        <is>
          <t>SUBTOTAL UPAH</t>
        </is>
      </c>
      <c r="F8534" s="16" t="n">
        <v>24640</v>
      </c>
    </row>
    <row r="8535">
      <c r="D8535" s="2" t="inlineStr">
        <is>
          <t>SUBTOTAL BAHAN</t>
        </is>
      </c>
      <c r="F8535" s="16" t="n">
        <v>183750</v>
      </c>
    </row>
    <row r="8536">
      <c r="D8536" s="2" t="inlineStr">
        <is>
          <t>SUBTOTAL ALAT</t>
        </is>
      </c>
      <c r="F8536" s="16" t="n">
        <v>0</v>
      </c>
    </row>
    <row r="8537">
      <c r="E8537" s="2" t="inlineStr">
        <is>
          <t>TOTAL HARGA SATUAN (Inc. Overhead)</t>
        </is>
      </c>
      <c r="F8537" s="17" t="n">
        <v>229229</v>
      </c>
    </row>
    <row r="8539">
      <c r="A8539" s="14" t="inlineStr">
        <is>
          <t>KODE: 5.4.1.16 - Pemasangan 1 Unit  Fire Fighting Telepon</t>
        </is>
      </c>
    </row>
    <row r="8540">
      <c r="A8540" s="10" t="inlineStr">
        <is>
          <t>No</t>
        </is>
      </c>
      <c r="B8540" s="10" t="inlineStr">
        <is>
          <t>Uraian Komponen</t>
        </is>
      </c>
      <c r="C8540" s="10" t="inlineStr">
        <is>
          <t>Satuan</t>
        </is>
      </c>
      <c r="D8540" s="10" t="inlineStr">
        <is>
          <t>Koef</t>
        </is>
      </c>
      <c r="E8540" s="10" t="inlineStr">
        <is>
          <t>Harga Satuan (Rp)</t>
        </is>
      </c>
      <c r="F8540" s="10" t="inlineStr">
        <is>
          <t>Jumlah Harga (Rp)</t>
        </is>
      </c>
    </row>
    <row r="8541">
      <c r="A8541" s="3" t="inlineStr">
        <is>
          <t>1</t>
        </is>
      </c>
      <c r="B8541" s="3" t="inlineStr">
        <is>
          <t>Pekerja</t>
        </is>
      </c>
      <c r="C8541" s="3" t="inlineStr">
        <is>
          <t>OH</t>
        </is>
      </c>
      <c r="D8541" s="15" t="n">
        <v>0.064</v>
      </c>
      <c r="E8541" s="4" t="n">
        <v>100000</v>
      </c>
      <c r="F8541" s="4" t="n">
        <v>6400</v>
      </c>
    </row>
    <row r="8542">
      <c r="A8542" s="3" t="inlineStr">
        <is>
          <t>2</t>
        </is>
      </c>
      <c r="B8542" s="3" t="inlineStr">
        <is>
          <t>Tukang listrik</t>
        </is>
      </c>
      <c r="C8542" s="3" t="inlineStr">
        <is>
          <t>OH</t>
        </is>
      </c>
      <c r="D8542" s="15" t="n">
        <v>0.107</v>
      </c>
      <c r="E8542" s="4" t="n">
        <v>145000</v>
      </c>
      <c r="F8542" s="4" t="n">
        <v>15515</v>
      </c>
    </row>
    <row r="8543">
      <c r="A8543" s="3" t="inlineStr">
        <is>
          <t>3</t>
        </is>
      </c>
      <c r="B8543" s="3" t="inlineStr">
        <is>
          <t>Kepala Tukang</t>
        </is>
      </c>
      <c r="C8543" s="3" t="inlineStr">
        <is>
          <t>OH</t>
        </is>
      </c>
      <c r="D8543" s="15" t="n">
        <v>0.011</v>
      </c>
      <c r="E8543" s="4" t="n">
        <v>175000</v>
      </c>
      <c r="F8543" s="4" t="n">
        <v>1925</v>
      </c>
    </row>
    <row r="8544">
      <c r="A8544" s="3" t="inlineStr">
        <is>
          <t>4</t>
        </is>
      </c>
      <c r="B8544" s="3" t="inlineStr">
        <is>
          <t>Mandor</t>
        </is>
      </c>
      <c r="C8544" s="3" t="inlineStr">
        <is>
          <t>OH</t>
        </is>
      </c>
      <c r="D8544" s="15" t="n">
        <v>0.004</v>
      </c>
      <c r="E8544" s="4" t="n">
        <v>200000</v>
      </c>
      <c r="F8544" s="4" t="n">
        <v>800</v>
      </c>
    </row>
    <row r="8545">
      <c r="A8545" s="3" t="inlineStr">
        <is>
          <t>1</t>
        </is>
      </c>
      <c r="B8545" s="3" t="inlineStr">
        <is>
          <t>Fire Fighting Telepon</t>
        </is>
      </c>
      <c r="C8545" s="3" t="inlineStr">
        <is>
          <t>unit</t>
        </is>
      </c>
      <c r="D8545" s="15" t="n">
        <v>1.05</v>
      </c>
      <c r="E8545" s="4" t="n">
        <v>135000</v>
      </c>
      <c r="F8545" s="4" t="n">
        <v>141750</v>
      </c>
    </row>
    <row r="8546">
      <c r="D8546" s="2" t="inlineStr">
        <is>
          <t>SUBTOTAL UPAH</t>
        </is>
      </c>
      <c r="F8546" s="16" t="n">
        <v>24640</v>
      </c>
    </row>
    <row r="8547">
      <c r="D8547" s="2" t="inlineStr">
        <is>
          <t>SUBTOTAL BAHAN</t>
        </is>
      </c>
      <c r="F8547" s="16" t="n">
        <v>141750</v>
      </c>
    </row>
    <row r="8548">
      <c r="D8548" s="2" t="inlineStr">
        <is>
          <t>SUBTOTAL ALAT</t>
        </is>
      </c>
      <c r="F8548" s="16" t="n">
        <v>0</v>
      </c>
    </row>
    <row r="8549">
      <c r="E8549" s="2" t="inlineStr">
        <is>
          <t>TOTAL HARGA SATUAN (Inc. Overhead)</t>
        </is>
      </c>
      <c r="F8549" s="17" t="n">
        <v>183029</v>
      </c>
    </row>
    <row r="8551">
      <c r="A8551" s="14" t="inlineStr">
        <is>
          <t>KODE: 5.4.1.17 - Pemasangan 1 Unit  Alrm Bell</t>
        </is>
      </c>
    </row>
    <row r="8552">
      <c r="A8552" s="10" t="inlineStr">
        <is>
          <t>No</t>
        </is>
      </c>
      <c r="B8552" s="10" t="inlineStr">
        <is>
          <t>Uraian Komponen</t>
        </is>
      </c>
      <c r="C8552" s="10" t="inlineStr">
        <is>
          <t>Satuan</t>
        </is>
      </c>
      <c r="D8552" s="10" t="inlineStr">
        <is>
          <t>Koef</t>
        </is>
      </c>
      <c r="E8552" s="10" t="inlineStr">
        <is>
          <t>Harga Satuan (Rp)</t>
        </is>
      </c>
      <c r="F8552" s="10" t="inlineStr">
        <is>
          <t>Jumlah Harga (Rp)</t>
        </is>
      </c>
    </row>
    <row r="8553">
      <c r="A8553" s="3" t="inlineStr">
        <is>
          <t>1</t>
        </is>
      </c>
      <c r="B8553" s="3" t="inlineStr">
        <is>
          <t>Pekerja</t>
        </is>
      </c>
      <c r="C8553" s="3" t="inlineStr">
        <is>
          <t>OH</t>
        </is>
      </c>
      <c r="D8553" s="15" t="n">
        <v>0.064</v>
      </c>
      <c r="E8553" s="4" t="n">
        <v>100000</v>
      </c>
      <c r="F8553" s="4" t="n">
        <v>6400</v>
      </c>
    </row>
    <row r="8554">
      <c r="A8554" s="3" t="inlineStr">
        <is>
          <t>2</t>
        </is>
      </c>
      <c r="B8554" s="3" t="inlineStr">
        <is>
          <t>Tukang listrik</t>
        </is>
      </c>
      <c r="C8554" s="3" t="inlineStr">
        <is>
          <t>OH</t>
        </is>
      </c>
      <c r="D8554" s="15" t="n">
        <v>0.107</v>
      </c>
      <c r="E8554" s="4" t="n">
        <v>145000</v>
      </c>
      <c r="F8554" s="4" t="n">
        <v>15515</v>
      </c>
    </row>
    <row r="8555">
      <c r="A8555" s="3" t="inlineStr">
        <is>
          <t>3</t>
        </is>
      </c>
      <c r="B8555" s="3" t="inlineStr">
        <is>
          <t>Kepala Tukang</t>
        </is>
      </c>
      <c r="C8555" s="3" t="inlineStr">
        <is>
          <t>OH</t>
        </is>
      </c>
      <c r="D8555" s="15" t="n">
        <v>0.011</v>
      </c>
      <c r="E8555" s="4" t="n">
        <v>175000</v>
      </c>
      <c r="F8555" s="4" t="n">
        <v>1925</v>
      </c>
    </row>
    <row r="8556">
      <c r="A8556" s="3" t="inlineStr">
        <is>
          <t>4</t>
        </is>
      </c>
      <c r="B8556" s="3" t="inlineStr">
        <is>
          <t>Mandor</t>
        </is>
      </c>
      <c r="C8556" s="3" t="inlineStr">
        <is>
          <t>OH</t>
        </is>
      </c>
      <c r="D8556" s="15" t="n">
        <v>0.004</v>
      </c>
      <c r="E8556" s="4" t="n">
        <v>200000</v>
      </c>
      <c r="F8556" s="4" t="n">
        <v>800</v>
      </c>
    </row>
    <row r="8557">
      <c r="A8557" s="3" t="inlineStr">
        <is>
          <t>1</t>
        </is>
      </c>
      <c r="B8557" s="3" t="inlineStr">
        <is>
          <t>Alarm Bell</t>
        </is>
      </c>
      <c r="C8557" s="3" t="inlineStr">
        <is>
          <t>unit</t>
        </is>
      </c>
      <c r="D8557" s="15" t="n">
        <v>1.05</v>
      </c>
      <c r="E8557" s="4" t="n">
        <v>85000</v>
      </c>
      <c r="F8557" s="4" t="n">
        <v>89250</v>
      </c>
    </row>
    <row r="8558">
      <c r="D8558" s="2" t="inlineStr">
        <is>
          <t>SUBTOTAL UPAH</t>
        </is>
      </c>
      <c r="F8558" s="16" t="n">
        <v>24640</v>
      </c>
    </row>
    <row r="8559">
      <c r="D8559" s="2" t="inlineStr">
        <is>
          <t>SUBTOTAL BAHAN</t>
        </is>
      </c>
      <c r="F8559" s="16" t="n">
        <v>89250</v>
      </c>
    </row>
    <row r="8560">
      <c r="D8560" s="2" t="inlineStr">
        <is>
          <t>SUBTOTAL ALAT</t>
        </is>
      </c>
      <c r="F8560" s="16" t="n">
        <v>0</v>
      </c>
    </row>
    <row r="8561">
      <c r="E8561" s="2" t="inlineStr">
        <is>
          <t>TOTAL HARGA SATUAN (Inc. Overhead)</t>
        </is>
      </c>
      <c r="F8561" s="17" t="n">
        <v>125279</v>
      </c>
    </row>
    <row r="8563">
      <c r="A8563" s="14" t="inlineStr">
        <is>
          <t>KODE: 5.4.1.18 - Pemasangan 1 titik Instalasi Detector Adressable Per Titik</t>
        </is>
      </c>
    </row>
    <row r="8564">
      <c r="A8564" s="10" t="inlineStr">
        <is>
          <t>No</t>
        </is>
      </c>
      <c r="B8564" s="10" t="inlineStr">
        <is>
          <t>Uraian Komponen</t>
        </is>
      </c>
      <c r="C8564" s="10" t="inlineStr">
        <is>
          <t>Satuan</t>
        </is>
      </c>
      <c r="D8564" s="10" t="inlineStr">
        <is>
          <t>Koef</t>
        </is>
      </c>
      <c r="E8564" s="10" t="inlineStr">
        <is>
          <t>Harga Satuan (Rp)</t>
        </is>
      </c>
      <c r="F8564" s="10" t="inlineStr">
        <is>
          <t>Jumlah Harga (Rp)</t>
        </is>
      </c>
    </row>
    <row r="8565">
      <c r="A8565" s="3" t="inlineStr">
        <is>
          <t>1</t>
        </is>
      </c>
      <c r="B8565" s="3" t="inlineStr">
        <is>
          <t>Pekerja</t>
        </is>
      </c>
      <c r="C8565" s="3" t="inlineStr">
        <is>
          <t>OH</t>
        </is>
      </c>
      <c r="D8565" s="15" t="n">
        <v>0.19</v>
      </c>
      <c r="E8565" s="4" t="n">
        <v>100000</v>
      </c>
      <c r="F8565" s="4" t="n">
        <v>19000</v>
      </c>
    </row>
    <row r="8566">
      <c r="A8566" s="3" t="inlineStr">
        <is>
          <t>2</t>
        </is>
      </c>
      <c r="B8566" s="3" t="inlineStr">
        <is>
          <t>Tukang listrik</t>
        </is>
      </c>
      <c r="C8566" s="3" t="inlineStr">
        <is>
          <t>OH</t>
        </is>
      </c>
      <c r="D8566" s="15" t="n">
        <v>0.318</v>
      </c>
      <c r="E8566" s="4" t="n">
        <v>145000</v>
      </c>
      <c r="F8566" s="4" t="n">
        <v>46110</v>
      </c>
    </row>
    <row r="8567">
      <c r="A8567" s="3" t="inlineStr">
        <is>
          <t>3</t>
        </is>
      </c>
      <c r="B8567" s="3" t="inlineStr">
        <is>
          <t>Kepala Tukang</t>
        </is>
      </c>
      <c r="C8567" s="3" t="inlineStr">
        <is>
          <t>OH</t>
        </is>
      </c>
      <c r="D8567" s="15" t="n">
        <v>0.032</v>
      </c>
      <c r="E8567" s="4" t="n">
        <v>175000</v>
      </c>
      <c r="F8567" s="4" t="n">
        <v>5600</v>
      </c>
    </row>
    <row r="8568">
      <c r="A8568" s="3" t="inlineStr">
        <is>
          <t>4</t>
        </is>
      </c>
      <c r="B8568" s="3" t="inlineStr">
        <is>
          <t>Mandor</t>
        </is>
      </c>
      <c r="C8568" s="3" t="inlineStr">
        <is>
          <t>OH</t>
        </is>
      </c>
      <c r="D8568" s="15" t="n">
        <v>0.011</v>
      </c>
      <c r="E8568" s="4" t="n">
        <v>200000</v>
      </c>
      <c r="F8568" s="4" t="n">
        <v>2200</v>
      </c>
    </row>
    <row r="8569">
      <c r="A8569" s="3" t="inlineStr">
        <is>
          <t>1</t>
        </is>
      </c>
      <c r="B8569" s="3" t="inlineStr">
        <is>
          <t>Kabel STP AWG 18</t>
        </is>
      </c>
      <c r="C8569" s="3" t="inlineStr">
        <is>
          <t>m</t>
        </is>
      </c>
      <c r="D8569" s="15" t="n">
        <v>8.800000000000001</v>
      </c>
      <c r="E8569" s="4" t="n">
        <v>4500</v>
      </c>
      <c r="F8569" s="4" t="n">
        <v>39600</v>
      </c>
    </row>
    <row r="8570">
      <c r="A8570" s="3" t="inlineStr">
        <is>
          <t>2</t>
        </is>
      </c>
      <c r="B8570" s="3" t="inlineStr">
        <is>
          <t>Conduit HI 20 mm</t>
        </is>
      </c>
      <c r="C8570" s="3" t="inlineStr">
        <is>
          <t>m</t>
        </is>
      </c>
      <c r="D8570" s="15" t="n">
        <v>8.800000000000001</v>
      </c>
      <c r="E8570" s="4" t="n">
        <v>4000</v>
      </c>
      <c r="F8570" s="4" t="n">
        <v>35200</v>
      </c>
    </row>
    <row r="8571">
      <c r="A8571" s="3" t="inlineStr">
        <is>
          <t>3</t>
        </is>
      </c>
      <c r="B8571" s="3" t="inlineStr">
        <is>
          <t>T Dus</t>
        </is>
      </c>
      <c r="C8571" s="3" t="inlineStr">
        <is>
          <t>buah</t>
        </is>
      </c>
      <c r="D8571" s="15" t="n">
        <v>1</v>
      </c>
      <c r="E8571" s="4" t="n">
        <v>4000</v>
      </c>
      <c r="F8571" s="4" t="n">
        <v>4000</v>
      </c>
    </row>
    <row r="8572">
      <c r="A8572" s="3" t="inlineStr">
        <is>
          <t>4</t>
        </is>
      </c>
      <c r="B8572" s="3" t="inlineStr">
        <is>
          <t>Socket Conduit 20 mm</t>
        </is>
      </c>
      <c r="C8572" s="3" t="inlineStr">
        <is>
          <t>buah</t>
        </is>
      </c>
      <c r="D8572" s="15" t="n">
        <v>5</v>
      </c>
      <c r="E8572" s="4" t="n">
        <v>700</v>
      </c>
      <c r="F8572" s="4" t="n">
        <v>3500</v>
      </c>
    </row>
    <row r="8573">
      <c r="A8573" s="3" t="inlineStr">
        <is>
          <t>5</t>
        </is>
      </c>
      <c r="B8573" s="3" t="inlineStr">
        <is>
          <t>Klem 20 mm</t>
        </is>
      </c>
      <c r="C8573" s="3" t="inlineStr">
        <is>
          <t>buah</t>
        </is>
      </c>
      <c r="D8573" s="15" t="n">
        <v>10</v>
      </c>
      <c r="E8573" s="4" t="n">
        <v>900</v>
      </c>
      <c r="F8573" s="4" t="n">
        <v>9000</v>
      </c>
    </row>
    <row r="8574">
      <c r="A8574" s="3" t="inlineStr">
        <is>
          <t>6</t>
        </is>
      </c>
      <c r="B8574" s="3" t="inlineStr">
        <is>
          <t>Flexible Conduit 20 mm</t>
        </is>
      </c>
      <c r="C8574" s="3" t="inlineStr">
        <is>
          <t>buah</t>
        </is>
      </c>
      <c r="D8574" s="15" t="n">
        <v>1</v>
      </c>
      <c r="E8574" s="4" t="n">
        <v>5400</v>
      </c>
      <c r="F8574" s="4" t="n">
        <v>5400</v>
      </c>
    </row>
    <row r="8575">
      <c r="A8575" s="3" t="inlineStr">
        <is>
          <t>7</t>
        </is>
      </c>
      <c r="B8575" s="3" t="inlineStr">
        <is>
          <t>Fischer S6 + Sekrup</t>
        </is>
      </c>
      <c r="C8575" s="3" t="inlineStr">
        <is>
          <t>buah</t>
        </is>
      </c>
      <c r="D8575" s="15" t="n">
        <v>15</v>
      </c>
      <c r="E8575" s="4" t="n">
        <v>21.5</v>
      </c>
      <c r="F8575" s="4" t="n">
        <v>322.5</v>
      </c>
    </row>
    <row r="8576">
      <c r="D8576" s="2" t="inlineStr">
        <is>
          <t>SUBTOTAL UPAH</t>
        </is>
      </c>
      <c r="F8576" s="16" t="n">
        <v>72910</v>
      </c>
    </row>
    <row r="8577">
      <c r="D8577" s="2" t="inlineStr">
        <is>
          <t>SUBTOTAL BAHAN</t>
        </is>
      </c>
      <c r="F8577" s="16" t="n">
        <v>97022.5</v>
      </c>
    </row>
    <row r="8578">
      <c r="D8578" s="2" t="inlineStr">
        <is>
          <t>SUBTOTAL ALAT</t>
        </is>
      </c>
      <c r="F8578" s="16" t="n">
        <v>0</v>
      </c>
    </row>
    <row r="8579">
      <c r="E8579" s="2" t="inlineStr">
        <is>
          <t>TOTAL HARGA SATUAN (Inc. Overhead)</t>
        </is>
      </c>
      <c r="F8579" s="17" t="n">
        <v>186925</v>
      </c>
    </row>
    <row r="8581">
      <c r="A8581" s="14" t="inlineStr">
        <is>
          <t>KODE: 5.4.1.19 - Pemasangan 1 titik Instalasi Detector Konvensional Per Tititk</t>
        </is>
      </c>
    </row>
    <row r="8582">
      <c r="A8582" s="10" t="inlineStr">
        <is>
          <t>No</t>
        </is>
      </c>
      <c r="B8582" s="10" t="inlineStr">
        <is>
          <t>Uraian Komponen</t>
        </is>
      </c>
      <c r="C8582" s="10" t="inlineStr">
        <is>
          <t>Satuan</t>
        </is>
      </c>
      <c r="D8582" s="10" t="inlineStr">
        <is>
          <t>Koef</t>
        </is>
      </c>
      <c r="E8582" s="10" t="inlineStr">
        <is>
          <t>Harga Satuan (Rp)</t>
        </is>
      </c>
      <c r="F8582" s="10" t="inlineStr">
        <is>
          <t>Jumlah Harga (Rp)</t>
        </is>
      </c>
    </row>
    <row r="8583">
      <c r="A8583" s="3" t="inlineStr">
        <is>
          <t>1</t>
        </is>
      </c>
      <c r="B8583" s="3" t="inlineStr">
        <is>
          <t>Pekerja</t>
        </is>
      </c>
      <c r="C8583" s="3" t="inlineStr">
        <is>
          <t>OH</t>
        </is>
      </c>
      <c r="D8583" s="15" t="n">
        <v>0.19</v>
      </c>
      <c r="E8583" s="4" t="n">
        <v>100000</v>
      </c>
      <c r="F8583" s="4" t="n">
        <v>19000</v>
      </c>
    </row>
    <row r="8584">
      <c r="A8584" s="3" t="inlineStr">
        <is>
          <t>2</t>
        </is>
      </c>
      <c r="B8584" s="3" t="inlineStr">
        <is>
          <t>Tukang listrik</t>
        </is>
      </c>
      <c r="C8584" s="3" t="inlineStr">
        <is>
          <t>OH</t>
        </is>
      </c>
      <c r="D8584" s="15" t="n">
        <v>0.318</v>
      </c>
      <c r="E8584" s="4" t="n">
        <v>145000</v>
      </c>
      <c r="F8584" s="4" t="n">
        <v>46110</v>
      </c>
    </row>
    <row r="8585">
      <c r="A8585" s="3" t="inlineStr">
        <is>
          <t>3</t>
        </is>
      </c>
      <c r="B8585" s="3" t="inlineStr">
        <is>
          <t>Kepala Tukang</t>
        </is>
      </c>
      <c r="C8585" s="3" t="inlineStr">
        <is>
          <t>OH</t>
        </is>
      </c>
      <c r="D8585" s="15" t="n">
        <v>0.032</v>
      </c>
      <c r="E8585" s="4" t="n">
        <v>175000</v>
      </c>
      <c r="F8585" s="4" t="n">
        <v>5600</v>
      </c>
    </row>
    <row r="8586">
      <c r="A8586" s="3" t="inlineStr">
        <is>
          <t>4</t>
        </is>
      </c>
      <c r="B8586" s="3" t="inlineStr">
        <is>
          <t>Mandor</t>
        </is>
      </c>
      <c r="C8586" s="3" t="inlineStr">
        <is>
          <t>OH</t>
        </is>
      </c>
      <c r="D8586" s="15" t="n">
        <v>0.011</v>
      </c>
      <c r="E8586" s="4" t="n">
        <v>200000</v>
      </c>
      <c r="F8586" s="4" t="n">
        <v>2200</v>
      </c>
    </row>
    <row r="8587">
      <c r="A8587" s="3" t="inlineStr">
        <is>
          <t>1</t>
        </is>
      </c>
      <c r="B8587" s="3" t="inlineStr">
        <is>
          <t>"Kabel NYA 2 x 1 5 mm²"</t>
        </is>
      </c>
      <c r="C8587" s="3" t="inlineStr">
        <is>
          <t>m</t>
        </is>
      </c>
      <c r="D8587" s="15" t="n">
        <v>8.800000000000001</v>
      </c>
      <c r="E8587" s="4" t="n">
        <v>9200</v>
      </c>
      <c r="F8587" s="4" t="n">
        <v>80960</v>
      </c>
    </row>
    <row r="8588">
      <c r="A8588" s="3" t="inlineStr">
        <is>
          <t>2</t>
        </is>
      </c>
      <c r="B8588" s="3" t="inlineStr">
        <is>
          <t>Conduit HI 20 mm</t>
        </is>
      </c>
      <c r="C8588" s="3" t="inlineStr">
        <is>
          <t>m</t>
        </is>
      </c>
      <c r="D8588" s="15" t="n">
        <v>8.800000000000001</v>
      </c>
      <c r="E8588" s="4" t="n">
        <v>4000</v>
      </c>
      <c r="F8588" s="4" t="n">
        <v>35200</v>
      </c>
    </row>
    <row r="8589">
      <c r="A8589" s="3" t="inlineStr">
        <is>
          <t>3</t>
        </is>
      </c>
      <c r="B8589" s="3" t="inlineStr">
        <is>
          <t>T Dus</t>
        </is>
      </c>
      <c r="C8589" s="3" t="inlineStr">
        <is>
          <t>buah</t>
        </is>
      </c>
      <c r="D8589" s="15" t="n">
        <v>1</v>
      </c>
      <c r="E8589" s="4" t="n">
        <v>4000</v>
      </c>
      <c r="F8589" s="4" t="n">
        <v>4000</v>
      </c>
    </row>
    <row r="8590">
      <c r="A8590" s="3" t="inlineStr">
        <is>
          <t>4</t>
        </is>
      </c>
      <c r="B8590" s="3" t="inlineStr">
        <is>
          <t>Socket Conduit 20 mm</t>
        </is>
      </c>
      <c r="C8590" s="3" t="inlineStr">
        <is>
          <t>buah</t>
        </is>
      </c>
      <c r="D8590" s="15" t="n">
        <v>5</v>
      </c>
      <c r="E8590" s="4" t="n">
        <v>700</v>
      </c>
      <c r="F8590" s="4" t="n">
        <v>3500</v>
      </c>
    </row>
    <row r="8591">
      <c r="A8591" s="3" t="inlineStr">
        <is>
          <t>5</t>
        </is>
      </c>
      <c r="B8591" s="3" t="inlineStr">
        <is>
          <t>Klem 20 mm</t>
        </is>
      </c>
      <c r="C8591" s="3" t="inlineStr">
        <is>
          <t>buah</t>
        </is>
      </c>
      <c r="D8591" s="15" t="n">
        <v>10</v>
      </c>
      <c r="E8591" s="4" t="n">
        <v>900</v>
      </c>
      <c r="F8591" s="4" t="n">
        <v>9000</v>
      </c>
    </row>
    <row r="8592">
      <c r="A8592" s="3" t="inlineStr">
        <is>
          <t>6</t>
        </is>
      </c>
      <c r="B8592" s="3" t="inlineStr">
        <is>
          <t>Flexible Conduit 20 mm</t>
        </is>
      </c>
      <c r="C8592" s="3" t="inlineStr">
        <is>
          <t>buah</t>
        </is>
      </c>
      <c r="D8592" s="15" t="n">
        <v>1</v>
      </c>
      <c r="E8592" s="4" t="n">
        <v>5400</v>
      </c>
      <c r="F8592" s="4" t="n">
        <v>5400</v>
      </c>
    </row>
    <row r="8593">
      <c r="A8593" s="3" t="inlineStr">
        <is>
          <t>7</t>
        </is>
      </c>
      <c r="B8593" s="3" t="inlineStr">
        <is>
          <t>Fischer S6 + Sekrup</t>
        </is>
      </c>
      <c r="C8593" s="3" t="inlineStr">
        <is>
          <t>buah</t>
        </is>
      </c>
      <c r="D8593" s="15" t="n">
        <v>15</v>
      </c>
      <c r="E8593" s="4" t="n">
        <v>21.5</v>
      </c>
      <c r="F8593" s="4" t="n">
        <v>322.5</v>
      </c>
    </row>
    <row r="8594">
      <c r="D8594" s="2" t="inlineStr">
        <is>
          <t>SUBTOTAL UPAH</t>
        </is>
      </c>
      <c r="F8594" s="16" t="n">
        <v>72910</v>
      </c>
    </row>
    <row r="8595">
      <c r="D8595" s="2" t="inlineStr">
        <is>
          <t>SUBTOTAL BAHAN</t>
        </is>
      </c>
      <c r="F8595" s="16" t="n">
        <v>138382.5</v>
      </c>
    </row>
    <row r="8596">
      <c r="D8596" s="2" t="inlineStr">
        <is>
          <t>SUBTOTAL ALAT</t>
        </is>
      </c>
      <c r="F8596" s="16" t="n">
        <v>0</v>
      </c>
    </row>
    <row r="8597">
      <c r="E8597" s="2" t="inlineStr">
        <is>
          <t>TOTAL HARGA SATUAN (Inc. Overhead)</t>
        </is>
      </c>
      <c r="F8597" s="17" t="n">
        <v>232421</v>
      </c>
    </row>
    <row r="8599">
      <c r="A8599" s="14" t="inlineStr">
        <is>
          <t>KODE: 5.4.1.20 - Pemasangan 1 titik Instalasi Lamp Indicator</t>
        </is>
      </c>
    </row>
    <row r="8600">
      <c r="A8600" s="10" t="inlineStr">
        <is>
          <t>No</t>
        </is>
      </c>
      <c r="B8600" s="10" t="inlineStr">
        <is>
          <t>Uraian Komponen</t>
        </is>
      </c>
      <c r="C8600" s="10" t="inlineStr">
        <is>
          <t>Satuan</t>
        </is>
      </c>
      <c r="D8600" s="10" t="inlineStr">
        <is>
          <t>Koef</t>
        </is>
      </c>
      <c r="E8600" s="10" t="inlineStr">
        <is>
          <t>Harga Satuan (Rp)</t>
        </is>
      </c>
      <c r="F8600" s="10" t="inlineStr">
        <is>
          <t>Jumlah Harga (Rp)</t>
        </is>
      </c>
    </row>
    <row r="8601">
      <c r="A8601" s="3" t="inlineStr">
        <is>
          <t>1</t>
        </is>
      </c>
      <c r="B8601" s="3" t="inlineStr">
        <is>
          <t>Pekerja</t>
        </is>
      </c>
      <c r="C8601" s="3" t="inlineStr">
        <is>
          <t>OH</t>
        </is>
      </c>
      <c r="D8601" s="15" t="n">
        <v>0.19</v>
      </c>
      <c r="E8601" s="4" t="n">
        <v>100000</v>
      </c>
      <c r="F8601" s="4" t="n">
        <v>19000</v>
      </c>
    </row>
    <row r="8602">
      <c r="A8602" s="3" t="inlineStr">
        <is>
          <t>2</t>
        </is>
      </c>
      <c r="B8602" s="3" t="inlineStr">
        <is>
          <t>Tukang listrik</t>
        </is>
      </c>
      <c r="C8602" s="3" t="inlineStr">
        <is>
          <t>OH</t>
        </is>
      </c>
      <c r="D8602" s="15" t="n">
        <v>0.318</v>
      </c>
      <c r="E8602" s="4" t="n">
        <v>145000</v>
      </c>
      <c r="F8602" s="4" t="n">
        <v>46110</v>
      </c>
    </row>
    <row r="8603">
      <c r="A8603" s="3" t="inlineStr">
        <is>
          <t>3</t>
        </is>
      </c>
      <c r="B8603" s="3" t="inlineStr">
        <is>
          <t>Kepala Tukang</t>
        </is>
      </c>
      <c r="C8603" s="3" t="inlineStr">
        <is>
          <t>OH</t>
        </is>
      </c>
      <c r="D8603" s="15" t="n">
        <v>0.032</v>
      </c>
      <c r="E8603" s="4" t="n">
        <v>175000</v>
      </c>
      <c r="F8603" s="4" t="n">
        <v>5600</v>
      </c>
    </row>
    <row r="8604">
      <c r="A8604" s="3" t="inlineStr">
        <is>
          <t>4</t>
        </is>
      </c>
      <c r="B8604" s="3" t="inlineStr">
        <is>
          <t>Mandor</t>
        </is>
      </c>
      <c r="C8604" s="3" t="inlineStr">
        <is>
          <t>OH</t>
        </is>
      </c>
      <c r="D8604" s="15" t="n">
        <v>0.011</v>
      </c>
      <c r="E8604" s="4" t="n">
        <v>200000</v>
      </c>
      <c r="F8604" s="4" t="n">
        <v>2200</v>
      </c>
    </row>
    <row r="8605">
      <c r="A8605" s="3" t="inlineStr">
        <is>
          <t>1</t>
        </is>
      </c>
      <c r="B8605" s="3" t="inlineStr">
        <is>
          <t>"Kabel NYA 2 x 1 5 mm²"</t>
        </is>
      </c>
      <c r="C8605" s="3" t="inlineStr">
        <is>
          <t>m</t>
        </is>
      </c>
      <c r="D8605" s="15" t="n">
        <v>16.5</v>
      </c>
      <c r="E8605" s="4" t="n">
        <v>9200</v>
      </c>
      <c r="F8605" s="4" t="n">
        <v>151800</v>
      </c>
    </row>
    <row r="8606">
      <c r="A8606" s="3" t="inlineStr">
        <is>
          <t>2</t>
        </is>
      </c>
      <c r="B8606" s="3" t="inlineStr">
        <is>
          <t>Conduit HI 20 mm</t>
        </is>
      </c>
      <c r="C8606" s="3" t="inlineStr">
        <is>
          <t>m</t>
        </is>
      </c>
      <c r="D8606" s="15" t="n">
        <v>16.5</v>
      </c>
      <c r="E8606" s="4" t="n">
        <v>4000</v>
      </c>
      <c r="F8606" s="4" t="n">
        <v>66000</v>
      </c>
    </row>
    <row r="8607">
      <c r="A8607" s="3" t="inlineStr">
        <is>
          <t>3</t>
        </is>
      </c>
      <c r="B8607" s="3" t="inlineStr">
        <is>
          <t>T Dus</t>
        </is>
      </c>
      <c r="C8607" s="3" t="inlineStr">
        <is>
          <t>buah</t>
        </is>
      </c>
      <c r="D8607" s="15" t="n">
        <v>1</v>
      </c>
      <c r="E8607" s="4" t="n">
        <v>4000</v>
      </c>
      <c r="F8607" s="4" t="n">
        <v>4000</v>
      </c>
    </row>
    <row r="8608">
      <c r="A8608" s="3" t="inlineStr">
        <is>
          <t>4</t>
        </is>
      </c>
      <c r="B8608" s="3" t="inlineStr">
        <is>
          <t>Socket Conduit 20 mm</t>
        </is>
      </c>
      <c r="C8608" s="3" t="inlineStr">
        <is>
          <t>buah</t>
        </is>
      </c>
      <c r="D8608" s="15" t="n">
        <v>9</v>
      </c>
      <c r="E8608" s="4" t="n">
        <v>700</v>
      </c>
      <c r="F8608" s="4" t="n">
        <v>6300</v>
      </c>
    </row>
    <row r="8609">
      <c r="A8609" s="3" t="inlineStr">
        <is>
          <t>5</t>
        </is>
      </c>
      <c r="B8609" s="3" t="inlineStr">
        <is>
          <t>Klem 20 mm</t>
        </is>
      </c>
      <c r="C8609" s="3" t="inlineStr">
        <is>
          <t>buah</t>
        </is>
      </c>
      <c r="D8609" s="15" t="n">
        <v>18</v>
      </c>
      <c r="E8609" s="4" t="n">
        <v>900</v>
      </c>
      <c r="F8609" s="4" t="n">
        <v>16200</v>
      </c>
    </row>
    <row r="8610">
      <c r="A8610" s="3" t="inlineStr">
        <is>
          <t>6</t>
        </is>
      </c>
      <c r="B8610" s="3" t="inlineStr">
        <is>
          <t>Flexible Conduit 20 mm</t>
        </is>
      </c>
      <c r="C8610" s="3" t="inlineStr">
        <is>
          <t>buah</t>
        </is>
      </c>
      <c r="D8610" s="15" t="n">
        <v>1</v>
      </c>
      <c r="E8610" s="4" t="n">
        <v>5400</v>
      </c>
      <c r="F8610" s="4" t="n">
        <v>5400</v>
      </c>
    </row>
    <row r="8611">
      <c r="A8611" s="3" t="inlineStr">
        <is>
          <t>7</t>
        </is>
      </c>
      <c r="B8611" s="3" t="inlineStr">
        <is>
          <t>Fischer S6 + Sekrup</t>
        </is>
      </c>
      <c r="C8611" s="3" t="inlineStr">
        <is>
          <t>buah</t>
        </is>
      </c>
      <c r="D8611" s="15" t="n">
        <v>27</v>
      </c>
      <c r="E8611" s="4" t="n">
        <v>21.5</v>
      </c>
      <c r="F8611" s="4" t="n">
        <v>580.5</v>
      </c>
    </row>
    <row r="8612">
      <c r="D8612" s="2" t="inlineStr">
        <is>
          <t>SUBTOTAL UPAH</t>
        </is>
      </c>
      <c r="F8612" s="16" t="n">
        <v>72910</v>
      </c>
    </row>
    <row r="8613">
      <c r="D8613" s="2" t="inlineStr">
        <is>
          <t>SUBTOTAL BAHAN</t>
        </is>
      </c>
      <c r="F8613" s="16" t="n">
        <v>250280.5</v>
      </c>
    </row>
    <row r="8614">
      <c r="D8614" s="2" t="inlineStr">
        <is>
          <t>SUBTOTAL ALAT</t>
        </is>
      </c>
      <c r="F8614" s="16" t="n">
        <v>0</v>
      </c>
    </row>
    <row r="8615">
      <c r="E8615" s="2" t="inlineStr">
        <is>
          <t>TOTAL HARGA SATUAN (Inc. Overhead)</t>
        </is>
      </c>
      <c r="F8615" s="17" t="n">
        <v>355509</v>
      </c>
    </row>
    <row r="8617">
      <c r="A8617" s="14" t="inlineStr">
        <is>
          <t>KODE: 5.4.1.21 - Pemasangan 1 titik Instalasi Manual Push Button</t>
        </is>
      </c>
    </row>
    <row r="8618">
      <c r="A8618" s="10" t="inlineStr">
        <is>
          <t>No</t>
        </is>
      </c>
      <c r="B8618" s="10" t="inlineStr">
        <is>
          <t>Uraian Komponen</t>
        </is>
      </c>
      <c r="C8618" s="10" t="inlineStr">
        <is>
          <t>Satuan</t>
        </is>
      </c>
      <c r="D8618" s="10" t="inlineStr">
        <is>
          <t>Koef</t>
        </is>
      </c>
      <c r="E8618" s="10" t="inlineStr">
        <is>
          <t>Harga Satuan (Rp)</t>
        </is>
      </c>
      <c r="F8618" s="10" t="inlineStr">
        <is>
          <t>Jumlah Harga (Rp)</t>
        </is>
      </c>
    </row>
    <row r="8619">
      <c r="A8619" s="3" t="inlineStr">
        <is>
          <t>1</t>
        </is>
      </c>
      <c r="B8619" s="3" t="inlineStr">
        <is>
          <t>Pekerja</t>
        </is>
      </c>
      <c r="C8619" s="3" t="inlineStr">
        <is>
          <t>OH</t>
        </is>
      </c>
      <c r="D8619" s="15" t="n">
        <v>0.19</v>
      </c>
      <c r="E8619" s="4" t="n">
        <v>100000</v>
      </c>
      <c r="F8619" s="4" t="n">
        <v>19000</v>
      </c>
    </row>
    <row r="8620">
      <c r="A8620" s="3" t="inlineStr">
        <is>
          <t>2</t>
        </is>
      </c>
      <c r="B8620" s="3" t="inlineStr">
        <is>
          <t>Tukang listrik</t>
        </is>
      </c>
      <c r="C8620" s="3" t="inlineStr">
        <is>
          <t>OH</t>
        </is>
      </c>
      <c r="D8620" s="15" t="n">
        <v>0.318</v>
      </c>
      <c r="E8620" s="4" t="n">
        <v>145000</v>
      </c>
      <c r="F8620" s="4" t="n">
        <v>46110</v>
      </c>
    </row>
    <row r="8621">
      <c r="A8621" s="3" t="inlineStr">
        <is>
          <t>3</t>
        </is>
      </c>
      <c r="B8621" s="3" t="inlineStr">
        <is>
          <t>Kepala Tukang</t>
        </is>
      </c>
      <c r="C8621" s="3" t="inlineStr">
        <is>
          <t>OH</t>
        </is>
      </c>
      <c r="D8621" s="15" t="n">
        <v>0.032</v>
      </c>
      <c r="E8621" s="4" t="n">
        <v>175000</v>
      </c>
      <c r="F8621" s="4" t="n">
        <v>5600</v>
      </c>
    </row>
    <row r="8622">
      <c r="A8622" s="3" t="inlineStr">
        <is>
          <t>4</t>
        </is>
      </c>
      <c r="B8622" s="3" t="inlineStr">
        <is>
          <t>Mandor</t>
        </is>
      </c>
      <c r="C8622" s="3" t="inlineStr">
        <is>
          <t>OH</t>
        </is>
      </c>
      <c r="D8622" s="15" t="n">
        <v>0.011</v>
      </c>
      <c r="E8622" s="4" t="n">
        <v>200000</v>
      </c>
      <c r="F8622" s="4" t="n">
        <v>2200</v>
      </c>
    </row>
    <row r="8623">
      <c r="A8623" s="3" t="inlineStr">
        <is>
          <t>1</t>
        </is>
      </c>
      <c r="B8623" s="3" t="inlineStr">
        <is>
          <t>"Kabel FRC 2 x 1 5 mm²"</t>
        </is>
      </c>
      <c r="C8623" s="3" t="inlineStr">
        <is>
          <t>m</t>
        </is>
      </c>
      <c r="D8623" s="15" t="n">
        <v>16.5</v>
      </c>
      <c r="E8623" s="4" t="n">
        <v>23000</v>
      </c>
      <c r="F8623" s="4" t="n">
        <v>379500</v>
      </c>
    </row>
    <row r="8624">
      <c r="A8624" s="3" t="inlineStr">
        <is>
          <t>2</t>
        </is>
      </c>
      <c r="B8624" s="3" t="inlineStr">
        <is>
          <t>Conduit HI 20 mm</t>
        </is>
      </c>
      <c r="C8624" s="3" t="inlineStr">
        <is>
          <t>m</t>
        </is>
      </c>
      <c r="D8624" s="15" t="n">
        <v>16.5</v>
      </c>
      <c r="E8624" s="4" t="n">
        <v>4000</v>
      </c>
      <c r="F8624" s="4" t="n">
        <v>66000</v>
      </c>
    </row>
    <row r="8625">
      <c r="A8625" s="3" t="inlineStr">
        <is>
          <t>3</t>
        </is>
      </c>
      <c r="B8625" s="3" t="inlineStr">
        <is>
          <t>T Dus</t>
        </is>
      </c>
      <c r="C8625" s="3" t="inlineStr">
        <is>
          <t>buah</t>
        </is>
      </c>
      <c r="D8625" s="15" t="n">
        <v>1</v>
      </c>
      <c r="E8625" s="4" t="n">
        <v>4000</v>
      </c>
      <c r="F8625" s="4" t="n">
        <v>4000</v>
      </c>
    </row>
    <row r="8626">
      <c r="A8626" s="3" t="inlineStr">
        <is>
          <t>4</t>
        </is>
      </c>
      <c r="B8626" s="3" t="inlineStr">
        <is>
          <t>Socket Conduit 20 mm</t>
        </is>
      </c>
      <c r="C8626" s="3" t="inlineStr">
        <is>
          <t>buah</t>
        </is>
      </c>
      <c r="D8626" s="15" t="n">
        <v>9</v>
      </c>
      <c r="E8626" s="4" t="n">
        <v>700</v>
      </c>
      <c r="F8626" s="4" t="n">
        <v>6300</v>
      </c>
    </row>
    <row r="8627">
      <c r="A8627" s="3" t="inlineStr">
        <is>
          <t>5</t>
        </is>
      </c>
      <c r="B8627" s="3" t="inlineStr">
        <is>
          <t>Klem 20 mm</t>
        </is>
      </c>
      <c r="C8627" s="3" t="inlineStr">
        <is>
          <t>buah</t>
        </is>
      </c>
      <c r="D8627" s="15" t="n">
        <v>18</v>
      </c>
      <c r="E8627" s="4" t="n">
        <v>900</v>
      </c>
      <c r="F8627" s="4" t="n">
        <v>16200</v>
      </c>
    </row>
    <row r="8628">
      <c r="A8628" s="3" t="inlineStr">
        <is>
          <t>6</t>
        </is>
      </c>
      <c r="B8628" s="3" t="inlineStr">
        <is>
          <t>Flexible Conduit 20 mm</t>
        </is>
      </c>
      <c r="C8628" s="3" t="inlineStr">
        <is>
          <t>buah</t>
        </is>
      </c>
      <c r="D8628" s="15" t="n">
        <v>1</v>
      </c>
      <c r="E8628" s="4" t="n">
        <v>5400</v>
      </c>
      <c r="F8628" s="4" t="n">
        <v>5400</v>
      </c>
    </row>
    <row r="8629">
      <c r="A8629" s="3" t="inlineStr">
        <is>
          <t>7</t>
        </is>
      </c>
      <c r="B8629" s="3" t="inlineStr">
        <is>
          <t>Fischer S6 + Sekrup</t>
        </is>
      </c>
      <c r="C8629" s="3" t="inlineStr">
        <is>
          <t>buah</t>
        </is>
      </c>
      <c r="D8629" s="15" t="n">
        <v>27</v>
      </c>
      <c r="E8629" s="4" t="n">
        <v>21.5</v>
      </c>
      <c r="F8629" s="4" t="n">
        <v>580.5</v>
      </c>
    </row>
    <row r="8630">
      <c r="D8630" s="2" t="inlineStr">
        <is>
          <t>SUBTOTAL UPAH</t>
        </is>
      </c>
      <c r="F8630" s="16" t="n">
        <v>72910</v>
      </c>
    </row>
    <row r="8631">
      <c r="D8631" s="2" t="inlineStr">
        <is>
          <t>SUBTOTAL BAHAN</t>
        </is>
      </c>
      <c r="F8631" s="16" t="n">
        <v>477980.5</v>
      </c>
    </row>
    <row r="8632">
      <c r="D8632" s="2" t="inlineStr">
        <is>
          <t>SUBTOTAL ALAT</t>
        </is>
      </c>
      <c r="F8632" s="16" t="n">
        <v>0</v>
      </c>
    </row>
    <row r="8633">
      <c r="E8633" s="2" t="inlineStr">
        <is>
          <t>TOTAL HARGA SATUAN (Inc. Overhead)</t>
        </is>
      </c>
      <c r="F8633" s="17" t="n">
        <v>605979</v>
      </c>
    </row>
    <row r="8635">
      <c r="A8635" s="14" t="inlineStr">
        <is>
          <t>KODE: 5.4.1.22 - Pemasangan 1 titik Instalasi Alarm Bell</t>
        </is>
      </c>
    </row>
    <row r="8636">
      <c r="A8636" s="10" t="inlineStr">
        <is>
          <t>No</t>
        </is>
      </c>
      <c r="B8636" s="10" t="inlineStr">
        <is>
          <t>Uraian Komponen</t>
        </is>
      </c>
      <c r="C8636" s="10" t="inlineStr">
        <is>
          <t>Satuan</t>
        </is>
      </c>
      <c r="D8636" s="10" t="inlineStr">
        <is>
          <t>Koef</t>
        </is>
      </c>
      <c r="E8636" s="10" t="inlineStr">
        <is>
          <t>Harga Satuan (Rp)</t>
        </is>
      </c>
      <c r="F8636" s="10" t="inlineStr">
        <is>
          <t>Jumlah Harga (Rp)</t>
        </is>
      </c>
    </row>
    <row r="8637">
      <c r="A8637" s="3" t="inlineStr">
        <is>
          <t>1</t>
        </is>
      </c>
      <c r="B8637" s="3" t="inlineStr">
        <is>
          <t>Pekerja</t>
        </is>
      </c>
      <c r="C8637" s="3" t="inlineStr">
        <is>
          <t>OH</t>
        </is>
      </c>
      <c r="D8637" s="15" t="n">
        <v>0.19</v>
      </c>
      <c r="E8637" s="4" t="n">
        <v>100000</v>
      </c>
      <c r="F8637" s="4" t="n">
        <v>19000</v>
      </c>
    </row>
    <row r="8638">
      <c r="A8638" s="3" t="inlineStr">
        <is>
          <t>2</t>
        </is>
      </c>
      <c r="B8638" s="3" t="inlineStr">
        <is>
          <t>Tukang listrik</t>
        </is>
      </c>
      <c r="C8638" s="3" t="inlineStr">
        <is>
          <t>OH</t>
        </is>
      </c>
      <c r="D8638" s="15" t="n">
        <v>0.318</v>
      </c>
      <c r="E8638" s="4" t="n">
        <v>145000</v>
      </c>
      <c r="F8638" s="4" t="n">
        <v>46110</v>
      </c>
    </row>
    <row r="8639">
      <c r="A8639" s="3" t="inlineStr">
        <is>
          <t>3</t>
        </is>
      </c>
      <c r="B8639" s="3" t="inlineStr">
        <is>
          <t>Kepala Tukang</t>
        </is>
      </c>
      <c r="C8639" s="3" t="inlineStr">
        <is>
          <t>OH</t>
        </is>
      </c>
      <c r="D8639" s="15" t="n">
        <v>0.032</v>
      </c>
      <c r="E8639" s="4" t="n">
        <v>175000</v>
      </c>
      <c r="F8639" s="4" t="n">
        <v>5600</v>
      </c>
    </row>
    <row r="8640">
      <c r="A8640" s="3" t="inlineStr">
        <is>
          <t>4</t>
        </is>
      </c>
      <c r="B8640" s="3" t="inlineStr">
        <is>
          <t>Mandor</t>
        </is>
      </c>
      <c r="C8640" s="3" t="inlineStr">
        <is>
          <t>OH</t>
        </is>
      </c>
      <c r="D8640" s="15" t="n">
        <v>0.011</v>
      </c>
      <c r="E8640" s="4" t="n">
        <v>200000</v>
      </c>
      <c r="F8640" s="4" t="n">
        <v>2200</v>
      </c>
    </row>
    <row r="8641">
      <c r="A8641" s="3" t="inlineStr">
        <is>
          <t>1</t>
        </is>
      </c>
      <c r="B8641" s="3" t="inlineStr">
        <is>
          <t>"Kabel NYA 2 x 1 5 mm²"</t>
        </is>
      </c>
      <c r="C8641" s="3" t="inlineStr">
        <is>
          <t>m</t>
        </is>
      </c>
      <c r="D8641" s="15" t="n">
        <v>16.5</v>
      </c>
      <c r="E8641" s="4" t="n">
        <v>9200</v>
      </c>
      <c r="F8641" s="4" t="n">
        <v>151800</v>
      </c>
    </row>
    <row r="8642">
      <c r="A8642" s="3" t="inlineStr">
        <is>
          <t>2</t>
        </is>
      </c>
      <c r="B8642" s="3" t="inlineStr">
        <is>
          <t>Conduit HI 20 mm</t>
        </is>
      </c>
      <c r="C8642" s="3" t="inlineStr">
        <is>
          <t>m</t>
        </is>
      </c>
      <c r="D8642" s="15" t="n">
        <v>16.5</v>
      </c>
      <c r="E8642" s="4" t="n">
        <v>4000</v>
      </c>
      <c r="F8642" s="4" t="n">
        <v>66000</v>
      </c>
    </row>
    <row r="8643">
      <c r="A8643" s="3" t="inlineStr">
        <is>
          <t>3</t>
        </is>
      </c>
      <c r="B8643" s="3" t="inlineStr">
        <is>
          <t>T Dus</t>
        </is>
      </c>
      <c r="C8643" s="3" t="inlineStr">
        <is>
          <t>buah</t>
        </is>
      </c>
      <c r="D8643" s="15" t="n">
        <v>1</v>
      </c>
      <c r="E8643" s="4" t="n">
        <v>4000</v>
      </c>
      <c r="F8643" s="4" t="n">
        <v>4000</v>
      </c>
    </row>
    <row r="8644">
      <c r="A8644" s="3" t="inlineStr">
        <is>
          <t>4</t>
        </is>
      </c>
      <c r="B8644" s="3" t="inlineStr">
        <is>
          <t>Socket Conduit 20 mm</t>
        </is>
      </c>
      <c r="C8644" s="3" t="inlineStr">
        <is>
          <t>buah</t>
        </is>
      </c>
      <c r="D8644" s="15" t="n">
        <v>9</v>
      </c>
      <c r="E8644" s="4" t="n">
        <v>700</v>
      </c>
      <c r="F8644" s="4" t="n">
        <v>6300</v>
      </c>
    </row>
    <row r="8645">
      <c r="A8645" s="3" t="inlineStr">
        <is>
          <t>5</t>
        </is>
      </c>
      <c r="B8645" s="3" t="inlineStr">
        <is>
          <t>Klem 20 mm</t>
        </is>
      </c>
      <c r="C8645" s="3" t="inlineStr">
        <is>
          <t>buah</t>
        </is>
      </c>
      <c r="D8645" s="15" t="n">
        <v>18</v>
      </c>
      <c r="E8645" s="4" t="n">
        <v>900</v>
      </c>
      <c r="F8645" s="4" t="n">
        <v>16200</v>
      </c>
    </row>
    <row r="8646">
      <c r="A8646" s="3" t="inlineStr">
        <is>
          <t>6</t>
        </is>
      </c>
      <c r="B8646" s="3" t="inlineStr">
        <is>
          <t>Flexible Conduit 20 mm</t>
        </is>
      </c>
      <c r="C8646" s="3" t="inlineStr">
        <is>
          <t>buah</t>
        </is>
      </c>
      <c r="D8646" s="15" t="n">
        <v>1</v>
      </c>
      <c r="E8646" s="4" t="n">
        <v>5400</v>
      </c>
      <c r="F8646" s="4" t="n">
        <v>5400</v>
      </c>
    </row>
    <row r="8647">
      <c r="A8647" s="3" t="inlineStr">
        <is>
          <t>7</t>
        </is>
      </c>
      <c r="B8647" s="3" t="inlineStr">
        <is>
          <t>Fischer S6 + Sekrup</t>
        </is>
      </c>
      <c r="C8647" s="3" t="inlineStr">
        <is>
          <t>buah</t>
        </is>
      </c>
      <c r="D8647" s="15" t="n">
        <v>27</v>
      </c>
      <c r="E8647" s="4" t="n">
        <v>21.5</v>
      </c>
      <c r="F8647" s="4" t="n">
        <v>580.5</v>
      </c>
    </row>
    <row r="8648">
      <c r="D8648" s="2" t="inlineStr">
        <is>
          <t>SUBTOTAL UPAH</t>
        </is>
      </c>
      <c r="F8648" s="16" t="n">
        <v>72910</v>
      </c>
    </row>
    <row r="8649">
      <c r="D8649" s="2" t="inlineStr">
        <is>
          <t>SUBTOTAL BAHAN</t>
        </is>
      </c>
      <c r="F8649" s="16" t="n">
        <v>250280.5</v>
      </c>
    </row>
    <row r="8650">
      <c r="D8650" s="2" t="inlineStr">
        <is>
          <t>SUBTOTAL ALAT</t>
        </is>
      </c>
      <c r="F8650" s="16" t="n">
        <v>0</v>
      </c>
    </row>
    <row r="8651">
      <c r="E8651" s="2" t="inlineStr">
        <is>
          <t>TOTAL HARGA SATUAN (Inc. Overhead)</t>
        </is>
      </c>
      <c r="F8651" s="17" t="n">
        <v>355509</v>
      </c>
    </row>
    <row r="8653">
      <c r="A8653" s="14" t="inlineStr">
        <is>
          <t>KODE: 5.4.1.23 - Pemasangan 1 titik Instalasi  Indicator Bell</t>
        </is>
      </c>
    </row>
    <row r="8654">
      <c r="A8654" s="10" t="inlineStr">
        <is>
          <t>No</t>
        </is>
      </c>
      <c r="B8654" s="10" t="inlineStr">
        <is>
          <t>Uraian Komponen</t>
        </is>
      </c>
      <c r="C8654" s="10" t="inlineStr">
        <is>
          <t>Satuan</t>
        </is>
      </c>
      <c r="D8654" s="10" t="inlineStr">
        <is>
          <t>Koef</t>
        </is>
      </c>
      <c r="E8654" s="10" t="inlineStr">
        <is>
          <t>Harga Satuan (Rp)</t>
        </is>
      </c>
      <c r="F8654" s="10" t="inlineStr">
        <is>
          <t>Jumlah Harga (Rp)</t>
        </is>
      </c>
    </row>
    <row r="8655">
      <c r="A8655" s="3" t="inlineStr">
        <is>
          <t>1</t>
        </is>
      </c>
      <c r="B8655" s="3" t="inlineStr">
        <is>
          <t>Pekerja</t>
        </is>
      </c>
      <c r="C8655" s="3" t="inlineStr">
        <is>
          <t>OH</t>
        </is>
      </c>
      <c r="D8655" s="15" t="n">
        <v>0.19</v>
      </c>
      <c r="E8655" s="4" t="n">
        <v>100000</v>
      </c>
      <c r="F8655" s="4" t="n">
        <v>19000</v>
      </c>
    </row>
    <row r="8656">
      <c r="A8656" s="3" t="inlineStr">
        <is>
          <t>2</t>
        </is>
      </c>
      <c r="B8656" s="3" t="inlineStr">
        <is>
          <t>Tukang listrik</t>
        </is>
      </c>
      <c r="C8656" s="3" t="inlineStr">
        <is>
          <t>OH</t>
        </is>
      </c>
      <c r="D8656" s="15" t="n">
        <v>0.318</v>
      </c>
      <c r="E8656" s="4" t="n">
        <v>145000</v>
      </c>
      <c r="F8656" s="4" t="n">
        <v>46110</v>
      </c>
    </row>
    <row r="8657">
      <c r="A8657" s="3" t="inlineStr">
        <is>
          <t>3</t>
        </is>
      </c>
      <c r="B8657" s="3" t="inlineStr">
        <is>
          <t>Kepala Tukang</t>
        </is>
      </c>
      <c r="C8657" s="3" t="inlineStr">
        <is>
          <t>OH</t>
        </is>
      </c>
      <c r="D8657" s="15" t="n">
        <v>0.032</v>
      </c>
      <c r="E8657" s="4" t="n">
        <v>175000</v>
      </c>
      <c r="F8657" s="4" t="n">
        <v>5600</v>
      </c>
    </row>
    <row r="8658">
      <c r="A8658" s="3" t="inlineStr">
        <is>
          <t>4</t>
        </is>
      </c>
      <c r="B8658" s="3" t="inlineStr">
        <is>
          <t>Mandor</t>
        </is>
      </c>
      <c r="C8658" s="3" t="inlineStr">
        <is>
          <t>OH</t>
        </is>
      </c>
      <c r="D8658" s="15" t="n">
        <v>0.011</v>
      </c>
      <c r="E8658" s="4" t="n">
        <v>200000</v>
      </c>
      <c r="F8658" s="4" t="n">
        <v>2200</v>
      </c>
    </row>
    <row r="8659">
      <c r="A8659" s="3" t="inlineStr">
        <is>
          <t>1</t>
        </is>
      </c>
      <c r="B8659" s="3" t="inlineStr">
        <is>
          <t>"Kabel FRC 2 x 1 5 mm²"</t>
        </is>
      </c>
      <c r="C8659" s="3" t="inlineStr">
        <is>
          <t>m</t>
        </is>
      </c>
      <c r="D8659" s="15" t="n">
        <v>16.5</v>
      </c>
      <c r="E8659" s="4" t="n">
        <v>23000</v>
      </c>
      <c r="F8659" s="4" t="n">
        <v>379500</v>
      </c>
    </row>
    <row r="8660">
      <c r="A8660" s="3" t="inlineStr">
        <is>
          <t>2</t>
        </is>
      </c>
      <c r="B8660" s="3" t="inlineStr">
        <is>
          <t>Conduit HI 20 mm</t>
        </is>
      </c>
      <c r="C8660" s="3" t="inlineStr">
        <is>
          <t>m</t>
        </is>
      </c>
      <c r="D8660" s="15" t="n">
        <v>16.5</v>
      </c>
      <c r="E8660" s="4" t="n">
        <v>4000</v>
      </c>
      <c r="F8660" s="4" t="n">
        <v>66000</v>
      </c>
    </row>
    <row r="8661">
      <c r="A8661" s="3" t="inlineStr">
        <is>
          <t>3</t>
        </is>
      </c>
      <c r="B8661" s="3" t="inlineStr">
        <is>
          <t>T Dus</t>
        </is>
      </c>
      <c r="C8661" s="3" t="inlineStr">
        <is>
          <t>buah</t>
        </is>
      </c>
      <c r="D8661" s="15" t="n">
        <v>1</v>
      </c>
      <c r="E8661" s="4" t="n">
        <v>4000</v>
      </c>
      <c r="F8661" s="4" t="n">
        <v>4000</v>
      </c>
    </row>
    <row r="8662">
      <c r="A8662" s="3" t="inlineStr">
        <is>
          <t>4</t>
        </is>
      </c>
      <c r="B8662" s="3" t="inlineStr">
        <is>
          <t>Socket Conduit 20 mm</t>
        </is>
      </c>
      <c r="C8662" s="3" t="inlineStr">
        <is>
          <t>buah</t>
        </is>
      </c>
      <c r="D8662" s="15" t="n">
        <v>9</v>
      </c>
      <c r="E8662" s="4" t="n">
        <v>700</v>
      </c>
      <c r="F8662" s="4" t="n">
        <v>6300</v>
      </c>
    </row>
    <row r="8663">
      <c r="A8663" s="3" t="inlineStr">
        <is>
          <t>5</t>
        </is>
      </c>
      <c r="B8663" s="3" t="inlineStr">
        <is>
          <t>Klem 20 mm</t>
        </is>
      </c>
      <c r="C8663" s="3" t="inlineStr">
        <is>
          <t>buah</t>
        </is>
      </c>
      <c r="D8663" s="15" t="n">
        <v>18</v>
      </c>
      <c r="E8663" s="4" t="n">
        <v>900</v>
      </c>
      <c r="F8663" s="4" t="n">
        <v>16200</v>
      </c>
    </row>
    <row r="8664">
      <c r="A8664" s="3" t="inlineStr">
        <is>
          <t>6</t>
        </is>
      </c>
      <c r="B8664" s="3" t="inlineStr">
        <is>
          <t>Flexible Conduit 20 mm</t>
        </is>
      </c>
      <c r="C8664" s="3" t="inlineStr">
        <is>
          <t>buah</t>
        </is>
      </c>
      <c r="D8664" s="15" t="n">
        <v>1</v>
      </c>
      <c r="E8664" s="4" t="n">
        <v>5400</v>
      </c>
      <c r="F8664" s="4" t="n">
        <v>5400</v>
      </c>
    </row>
    <row r="8665">
      <c r="A8665" s="3" t="inlineStr">
        <is>
          <t>7</t>
        </is>
      </c>
      <c r="B8665" s="3" t="inlineStr">
        <is>
          <t>Fischer S6 + Sekrup</t>
        </is>
      </c>
      <c r="C8665" s="3" t="inlineStr">
        <is>
          <t>buah</t>
        </is>
      </c>
      <c r="D8665" s="15" t="n">
        <v>27</v>
      </c>
      <c r="E8665" s="4" t="n">
        <v>21.5</v>
      </c>
      <c r="F8665" s="4" t="n">
        <v>580.5</v>
      </c>
    </row>
    <row r="8666">
      <c r="D8666" s="2" t="inlineStr">
        <is>
          <t>SUBTOTAL UPAH</t>
        </is>
      </c>
      <c r="F8666" s="16" t="n">
        <v>72910</v>
      </c>
    </row>
    <row r="8667">
      <c r="D8667" s="2" t="inlineStr">
        <is>
          <t>SUBTOTAL BAHAN</t>
        </is>
      </c>
      <c r="F8667" s="16" t="n">
        <v>477980.5</v>
      </c>
    </row>
    <row r="8668">
      <c r="D8668" s="2" t="inlineStr">
        <is>
          <t>SUBTOTAL ALAT</t>
        </is>
      </c>
      <c r="F8668" s="16" t="n">
        <v>0</v>
      </c>
    </row>
    <row r="8669">
      <c r="E8669" s="2" t="inlineStr">
        <is>
          <t>TOTAL HARGA SATUAN (Inc. Overhead)</t>
        </is>
      </c>
      <c r="F8669" s="17" t="n">
        <v>605979</v>
      </c>
    </row>
    <row r="8671">
      <c r="A8671" s="14" t="inlineStr">
        <is>
          <t>KODE: 5.4.1.24 - Pemasangan 1 titik Instalasi Intercom Jack</t>
        </is>
      </c>
    </row>
    <row r="8672">
      <c r="A8672" s="10" t="inlineStr">
        <is>
          <t>No</t>
        </is>
      </c>
      <c r="B8672" s="10" t="inlineStr">
        <is>
          <t>Uraian Komponen</t>
        </is>
      </c>
      <c r="C8672" s="10" t="inlineStr">
        <is>
          <t>Satuan</t>
        </is>
      </c>
      <c r="D8672" s="10" t="inlineStr">
        <is>
          <t>Koef</t>
        </is>
      </c>
      <c r="E8672" s="10" t="inlineStr">
        <is>
          <t>Harga Satuan (Rp)</t>
        </is>
      </c>
      <c r="F8672" s="10" t="inlineStr">
        <is>
          <t>Jumlah Harga (Rp)</t>
        </is>
      </c>
    </row>
    <row r="8673">
      <c r="A8673" s="3" t="inlineStr">
        <is>
          <t>1</t>
        </is>
      </c>
      <c r="B8673" s="3" t="inlineStr">
        <is>
          <t>Pekerja</t>
        </is>
      </c>
      <c r="C8673" s="3" t="inlineStr">
        <is>
          <t>OH</t>
        </is>
      </c>
      <c r="D8673" s="15" t="n">
        <v>0.19</v>
      </c>
      <c r="E8673" s="4" t="n">
        <v>100000</v>
      </c>
      <c r="F8673" s="4" t="n">
        <v>19000</v>
      </c>
    </row>
    <row r="8674">
      <c r="A8674" s="3" t="inlineStr">
        <is>
          <t>2</t>
        </is>
      </c>
      <c r="B8674" s="3" t="inlineStr">
        <is>
          <t>Tukang listrik</t>
        </is>
      </c>
      <c r="C8674" s="3" t="inlineStr">
        <is>
          <t>OH</t>
        </is>
      </c>
      <c r="D8674" s="15" t="n">
        <v>0.318</v>
      </c>
      <c r="E8674" s="4" t="n">
        <v>145000</v>
      </c>
      <c r="F8674" s="4" t="n">
        <v>46110</v>
      </c>
    </row>
    <row r="8675">
      <c r="A8675" s="3" t="inlineStr">
        <is>
          <t>3</t>
        </is>
      </c>
      <c r="B8675" s="3" t="inlineStr">
        <is>
          <t>Kepala Tukang</t>
        </is>
      </c>
      <c r="C8675" s="3" t="inlineStr">
        <is>
          <t>OH</t>
        </is>
      </c>
      <c r="D8675" s="15" t="n">
        <v>0.032</v>
      </c>
      <c r="E8675" s="4" t="n">
        <v>175000</v>
      </c>
      <c r="F8675" s="4" t="n">
        <v>5600</v>
      </c>
    </row>
    <row r="8676">
      <c r="A8676" s="3" t="inlineStr">
        <is>
          <t>4</t>
        </is>
      </c>
      <c r="B8676" s="3" t="inlineStr">
        <is>
          <t>Mandor</t>
        </is>
      </c>
      <c r="C8676" s="3" t="inlineStr">
        <is>
          <t>OH</t>
        </is>
      </c>
      <c r="D8676" s="15" t="n">
        <v>0.011</v>
      </c>
      <c r="E8676" s="4" t="n">
        <v>200000</v>
      </c>
      <c r="F8676" s="4" t="n">
        <v>2200</v>
      </c>
    </row>
    <row r="8677">
      <c r="A8677" s="3" t="inlineStr">
        <is>
          <t>1</t>
        </is>
      </c>
      <c r="B8677" s="3" t="inlineStr">
        <is>
          <t>"Kabel ITC 2x2x0 6 mm2"</t>
        </is>
      </c>
      <c r="C8677" s="3" t="inlineStr">
        <is>
          <t>m</t>
        </is>
      </c>
      <c r="D8677" s="15" t="n">
        <v>16.5</v>
      </c>
      <c r="E8677" s="4" t="n">
        <v>3924</v>
      </c>
      <c r="F8677" s="4" t="n">
        <v>64746</v>
      </c>
    </row>
    <row r="8678">
      <c r="A8678" s="3" t="inlineStr">
        <is>
          <t>2</t>
        </is>
      </c>
      <c r="B8678" s="3" t="inlineStr">
        <is>
          <t>Conduit HI 20 mm</t>
        </is>
      </c>
      <c r="C8678" s="3" t="inlineStr">
        <is>
          <t>m</t>
        </is>
      </c>
      <c r="D8678" s="15" t="n">
        <v>16.5</v>
      </c>
      <c r="E8678" s="4" t="n">
        <v>4000</v>
      </c>
      <c r="F8678" s="4" t="n">
        <v>66000</v>
      </c>
    </row>
    <row r="8679">
      <c r="A8679" s="3" t="inlineStr">
        <is>
          <t>3</t>
        </is>
      </c>
      <c r="B8679" s="3" t="inlineStr">
        <is>
          <t>T Dus</t>
        </is>
      </c>
      <c r="C8679" s="3" t="inlineStr">
        <is>
          <t>buah</t>
        </is>
      </c>
      <c r="D8679" s="15" t="n">
        <v>1</v>
      </c>
      <c r="E8679" s="4" t="n">
        <v>4000</v>
      </c>
      <c r="F8679" s="4" t="n">
        <v>4000</v>
      </c>
    </row>
    <row r="8680">
      <c r="A8680" s="3" t="inlineStr">
        <is>
          <t>4</t>
        </is>
      </c>
      <c r="B8680" s="3" t="inlineStr">
        <is>
          <t>Socket Conduit 20 mm</t>
        </is>
      </c>
      <c r="C8680" s="3" t="inlineStr">
        <is>
          <t>buah</t>
        </is>
      </c>
      <c r="D8680" s="15" t="n">
        <v>9</v>
      </c>
      <c r="E8680" s="4" t="n">
        <v>700</v>
      </c>
      <c r="F8680" s="4" t="n">
        <v>6300</v>
      </c>
    </row>
    <row r="8681">
      <c r="A8681" s="3" t="inlineStr">
        <is>
          <t>5</t>
        </is>
      </c>
      <c r="B8681" s="3" t="inlineStr">
        <is>
          <t>Klem 20 mm</t>
        </is>
      </c>
      <c r="C8681" s="3" t="inlineStr">
        <is>
          <t>buah</t>
        </is>
      </c>
      <c r="D8681" s="15" t="n">
        <v>18</v>
      </c>
      <c r="E8681" s="4" t="n">
        <v>900</v>
      </c>
      <c r="F8681" s="4" t="n">
        <v>16200</v>
      </c>
    </row>
    <row r="8682">
      <c r="A8682" s="3" t="inlineStr">
        <is>
          <t>6</t>
        </is>
      </c>
      <c r="B8682" s="3" t="inlineStr">
        <is>
          <t>Flexible Conduit 20 mm</t>
        </is>
      </c>
      <c r="C8682" s="3" t="inlineStr">
        <is>
          <t>buah</t>
        </is>
      </c>
      <c r="D8682" s="15" t="n">
        <v>1</v>
      </c>
      <c r="E8682" s="4" t="n">
        <v>5400</v>
      </c>
      <c r="F8682" s="4" t="n">
        <v>5400</v>
      </c>
    </row>
    <row r="8683">
      <c r="A8683" s="3" t="inlineStr">
        <is>
          <t>7</t>
        </is>
      </c>
      <c r="B8683" s="3" t="inlineStr">
        <is>
          <t>Fischer S6 + Sekrup</t>
        </is>
      </c>
      <c r="C8683" s="3" t="inlineStr">
        <is>
          <t>buah</t>
        </is>
      </c>
      <c r="D8683" s="15" t="n">
        <v>27</v>
      </c>
      <c r="E8683" s="4" t="n">
        <v>21.5</v>
      </c>
      <c r="F8683" s="4" t="n">
        <v>580.5</v>
      </c>
    </row>
    <row r="8684">
      <c r="D8684" s="2" t="inlineStr">
        <is>
          <t>SUBTOTAL UPAH</t>
        </is>
      </c>
      <c r="F8684" s="16" t="n">
        <v>72910</v>
      </c>
    </row>
    <row r="8685">
      <c r="D8685" s="2" t="inlineStr">
        <is>
          <t>SUBTOTAL BAHAN</t>
        </is>
      </c>
      <c r="F8685" s="16" t="n">
        <v>163226.5</v>
      </c>
    </row>
    <row r="8686">
      <c r="D8686" s="2" t="inlineStr">
        <is>
          <t>SUBTOTAL ALAT</t>
        </is>
      </c>
      <c r="F8686" s="16" t="n">
        <v>0</v>
      </c>
    </row>
    <row r="8687">
      <c r="E8687" s="2" t="inlineStr">
        <is>
          <t>TOTAL HARGA SATUAN (Inc. Overhead)</t>
        </is>
      </c>
      <c r="F8687" s="17" t="n">
        <v>259750</v>
      </c>
    </row>
    <row r="8689">
      <c r="A8689" s="14" t="inlineStr">
        <is>
          <t>KODE: 5.4.1.25 - Pemasangan 1 titik Instalasi Flow &amp; Temper Switch</t>
        </is>
      </c>
    </row>
    <row r="8690">
      <c r="A8690" s="10" t="inlineStr">
        <is>
          <t>No</t>
        </is>
      </c>
      <c r="B8690" s="10" t="inlineStr">
        <is>
          <t>Uraian Komponen</t>
        </is>
      </c>
      <c r="C8690" s="10" t="inlineStr">
        <is>
          <t>Satuan</t>
        </is>
      </c>
      <c r="D8690" s="10" t="inlineStr">
        <is>
          <t>Koef</t>
        </is>
      </c>
      <c r="E8690" s="10" t="inlineStr">
        <is>
          <t>Harga Satuan (Rp)</t>
        </is>
      </c>
      <c r="F8690" s="10" t="inlineStr">
        <is>
          <t>Jumlah Harga (Rp)</t>
        </is>
      </c>
    </row>
    <row r="8691">
      <c r="A8691" s="3" t="inlineStr">
        <is>
          <t>1</t>
        </is>
      </c>
      <c r="B8691" s="3" t="inlineStr">
        <is>
          <t>Pekerja</t>
        </is>
      </c>
      <c r="C8691" s="3" t="inlineStr">
        <is>
          <t>OH</t>
        </is>
      </c>
      <c r="D8691" s="15" t="n">
        <v>0.19</v>
      </c>
      <c r="E8691" s="4" t="n">
        <v>100000</v>
      </c>
      <c r="F8691" s="4" t="n">
        <v>19000</v>
      </c>
    </row>
    <row r="8692">
      <c r="A8692" s="3" t="inlineStr">
        <is>
          <t>2</t>
        </is>
      </c>
      <c r="B8692" s="3" t="inlineStr">
        <is>
          <t>Tukang listrik</t>
        </is>
      </c>
      <c r="C8692" s="3" t="inlineStr">
        <is>
          <t>OH</t>
        </is>
      </c>
      <c r="D8692" s="15" t="n">
        <v>0.318</v>
      </c>
      <c r="E8692" s="4" t="n">
        <v>145000</v>
      </c>
      <c r="F8692" s="4" t="n">
        <v>46110</v>
      </c>
    </row>
    <row r="8693">
      <c r="A8693" s="3" t="inlineStr">
        <is>
          <t>3</t>
        </is>
      </c>
      <c r="B8693" s="3" t="inlineStr">
        <is>
          <t>Kepala Tukang</t>
        </is>
      </c>
      <c r="C8693" s="3" t="inlineStr">
        <is>
          <t>OH</t>
        </is>
      </c>
      <c r="D8693" s="15" t="n">
        <v>0.032</v>
      </c>
      <c r="E8693" s="4" t="n">
        <v>175000</v>
      </c>
      <c r="F8693" s="4" t="n">
        <v>5600</v>
      </c>
    </row>
    <row r="8694">
      <c r="A8694" s="3" t="inlineStr">
        <is>
          <t>4</t>
        </is>
      </c>
      <c r="B8694" s="3" t="inlineStr">
        <is>
          <t>Mandor</t>
        </is>
      </c>
      <c r="C8694" s="3" t="inlineStr">
        <is>
          <t>OH</t>
        </is>
      </c>
      <c r="D8694" s="15" t="n">
        <v>0.011</v>
      </c>
      <c r="E8694" s="4" t="n">
        <v>200000</v>
      </c>
      <c r="F8694" s="4" t="n">
        <v>2200</v>
      </c>
    </row>
    <row r="8695">
      <c r="A8695" s="3" t="inlineStr">
        <is>
          <t>1</t>
        </is>
      </c>
      <c r="B8695" s="3" t="inlineStr">
        <is>
          <t>"Kabel NYA 2 x 1 5 mm²"</t>
        </is>
      </c>
      <c r="C8695" s="3" t="inlineStr">
        <is>
          <t>m</t>
        </is>
      </c>
      <c r="D8695" s="15" t="n">
        <v>33</v>
      </c>
      <c r="E8695" s="4" t="n">
        <v>9200</v>
      </c>
      <c r="F8695" s="4" t="n">
        <v>303600</v>
      </c>
    </row>
    <row r="8696">
      <c r="A8696" s="3" t="inlineStr">
        <is>
          <t>2</t>
        </is>
      </c>
      <c r="B8696" s="3" t="inlineStr">
        <is>
          <t>Conduit HI 20 mm</t>
        </is>
      </c>
      <c r="C8696" s="3" t="inlineStr">
        <is>
          <t>m</t>
        </is>
      </c>
      <c r="D8696" s="15" t="n">
        <v>33</v>
      </c>
      <c r="E8696" s="4" t="n">
        <v>4000</v>
      </c>
      <c r="F8696" s="4" t="n">
        <v>132000</v>
      </c>
    </row>
    <row r="8697">
      <c r="A8697" s="3" t="inlineStr">
        <is>
          <t>3</t>
        </is>
      </c>
      <c r="B8697" s="3" t="inlineStr">
        <is>
          <t>T Dus</t>
        </is>
      </c>
      <c r="C8697" s="3" t="inlineStr">
        <is>
          <t>buah</t>
        </is>
      </c>
      <c r="D8697" s="15" t="n">
        <v>1</v>
      </c>
      <c r="E8697" s="4" t="n">
        <v>4000</v>
      </c>
      <c r="F8697" s="4" t="n">
        <v>4000</v>
      </c>
    </row>
    <row r="8698">
      <c r="A8698" s="3" t="inlineStr">
        <is>
          <t>4</t>
        </is>
      </c>
      <c r="B8698" s="3" t="inlineStr">
        <is>
          <t>Socket Conduit 20 mm</t>
        </is>
      </c>
      <c r="C8698" s="3" t="inlineStr">
        <is>
          <t>buah</t>
        </is>
      </c>
      <c r="D8698" s="15" t="n">
        <v>17</v>
      </c>
      <c r="E8698" s="4" t="n">
        <v>700</v>
      </c>
      <c r="F8698" s="4" t="n">
        <v>11900</v>
      </c>
    </row>
    <row r="8699">
      <c r="A8699" s="3" t="inlineStr">
        <is>
          <t>5</t>
        </is>
      </c>
      <c r="B8699" s="3" t="inlineStr">
        <is>
          <t>Klem 20 mm</t>
        </is>
      </c>
      <c r="C8699" s="3" t="inlineStr">
        <is>
          <t>buah</t>
        </is>
      </c>
      <c r="D8699" s="15" t="n">
        <v>34</v>
      </c>
      <c r="E8699" s="4" t="n">
        <v>900</v>
      </c>
      <c r="F8699" s="4" t="n">
        <v>30600</v>
      </c>
    </row>
    <row r="8700">
      <c r="A8700" s="3" t="inlineStr">
        <is>
          <t>6</t>
        </is>
      </c>
      <c r="B8700" s="3" t="inlineStr">
        <is>
          <t>Flexible Conduit 20 mm</t>
        </is>
      </c>
      <c r="C8700" s="3" t="inlineStr">
        <is>
          <t>buah</t>
        </is>
      </c>
      <c r="D8700" s="15" t="n">
        <v>1</v>
      </c>
      <c r="E8700" s="4" t="n">
        <v>5400</v>
      </c>
      <c r="F8700" s="4" t="n">
        <v>5400</v>
      </c>
    </row>
    <row r="8701">
      <c r="A8701" s="3" t="inlineStr">
        <is>
          <t>7</t>
        </is>
      </c>
      <c r="B8701" s="3" t="inlineStr">
        <is>
          <t>Fischer S6 + Sekrup</t>
        </is>
      </c>
      <c r="C8701" s="3" t="inlineStr">
        <is>
          <t>buah</t>
        </is>
      </c>
      <c r="D8701" s="15" t="n">
        <v>51</v>
      </c>
      <c r="E8701" s="4" t="n">
        <v>21.5</v>
      </c>
      <c r="F8701" s="4" t="n">
        <v>1096.5</v>
      </c>
    </row>
    <row r="8702">
      <c r="D8702" s="2" t="inlineStr">
        <is>
          <t>SUBTOTAL UPAH</t>
        </is>
      </c>
      <c r="F8702" s="16" t="n">
        <v>72910</v>
      </c>
    </row>
    <row r="8703">
      <c r="D8703" s="2" t="inlineStr">
        <is>
          <t>SUBTOTAL BAHAN</t>
        </is>
      </c>
      <c r="F8703" s="16" t="n">
        <v>488596.5</v>
      </c>
    </row>
    <row r="8704">
      <c r="D8704" s="2" t="inlineStr">
        <is>
          <t>SUBTOTAL ALAT</t>
        </is>
      </c>
      <c r="F8704" s="16" t="n">
        <v>0</v>
      </c>
    </row>
    <row r="8705">
      <c r="E8705" s="2" t="inlineStr">
        <is>
          <t>TOTAL HARGA SATUAN (Inc. Overhead)</t>
        </is>
      </c>
      <c r="F8705" s="17" t="n">
        <v>617657</v>
      </c>
    </row>
    <row r="8707">
      <c r="A8707" s="14" t="inlineStr">
        <is>
          <t>KODE: 5.4.1.26 - Pemasangan 1 buah Sirine Module</t>
        </is>
      </c>
    </row>
    <row r="8708">
      <c r="A8708" s="10" t="inlineStr">
        <is>
          <t>No</t>
        </is>
      </c>
      <c r="B8708" s="10" t="inlineStr">
        <is>
          <t>Uraian Komponen</t>
        </is>
      </c>
      <c r="C8708" s="10" t="inlineStr">
        <is>
          <t>Satuan</t>
        </is>
      </c>
      <c r="D8708" s="10" t="inlineStr">
        <is>
          <t>Koef</t>
        </is>
      </c>
      <c r="E8708" s="10" t="inlineStr">
        <is>
          <t>Harga Satuan (Rp)</t>
        </is>
      </c>
      <c r="F8708" s="10" t="inlineStr">
        <is>
          <t>Jumlah Harga (Rp)</t>
        </is>
      </c>
    </row>
    <row r="8709">
      <c r="A8709" s="3" t="inlineStr">
        <is>
          <t>1</t>
        </is>
      </c>
      <c r="B8709" s="3" t="inlineStr">
        <is>
          <t>Pekerja</t>
        </is>
      </c>
      <c r="C8709" s="3" t="inlineStr">
        <is>
          <t>OH</t>
        </is>
      </c>
      <c r="D8709" s="15" t="n">
        <v>0.06900000000000001</v>
      </c>
      <c r="E8709" s="4" t="n">
        <v>100000</v>
      </c>
      <c r="F8709" s="4" t="n">
        <v>6900.000000000001</v>
      </c>
    </row>
    <row r="8710">
      <c r="A8710" s="3" t="inlineStr">
        <is>
          <t>2</t>
        </is>
      </c>
      <c r="B8710" s="3" t="inlineStr">
        <is>
          <t>Tukang listrik</t>
        </is>
      </c>
      <c r="C8710" s="3" t="inlineStr">
        <is>
          <t>OH</t>
        </is>
      </c>
      <c r="D8710" s="15" t="n">
        <v>0.115</v>
      </c>
      <c r="E8710" s="4" t="n">
        <v>145000</v>
      </c>
      <c r="F8710" s="4" t="n">
        <v>16675</v>
      </c>
    </row>
    <row r="8711">
      <c r="A8711" s="3" t="inlineStr">
        <is>
          <t>3</t>
        </is>
      </c>
      <c r="B8711" s="3" t="inlineStr">
        <is>
          <t>Kepala Tukang</t>
        </is>
      </c>
      <c r="C8711" s="3" t="inlineStr">
        <is>
          <t>OH</t>
        </is>
      </c>
      <c r="D8711" s="15" t="n">
        <v>0.012</v>
      </c>
      <c r="E8711" s="4" t="n">
        <v>175000</v>
      </c>
      <c r="F8711" s="4" t="n">
        <v>2100</v>
      </c>
    </row>
    <row r="8712">
      <c r="A8712" s="3" t="inlineStr">
        <is>
          <t>4</t>
        </is>
      </c>
      <c r="B8712" s="3" t="inlineStr">
        <is>
          <t>Mandor</t>
        </is>
      </c>
      <c r="C8712" s="3" t="inlineStr">
        <is>
          <t>OH</t>
        </is>
      </c>
      <c r="D8712" s="15" t="n">
        <v>0.004</v>
      </c>
      <c r="E8712" s="4" t="n">
        <v>200000</v>
      </c>
      <c r="F8712" s="4" t="n">
        <v>800</v>
      </c>
    </row>
    <row r="8713">
      <c r="A8713" s="3" t="inlineStr">
        <is>
          <t>1</t>
        </is>
      </c>
      <c r="B8713" s="3" t="inlineStr">
        <is>
          <t>Sirine Module</t>
        </is>
      </c>
      <c r="C8713" s="3" t="inlineStr">
        <is>
          <t>buah</t>
        </is>
      </c>
      <c r="D8713" s="15" t="n">
        <v>1.1</v>
      </c>
      <c r="E8713" s="4" t="n">
        <v>650000</v>
      </c>
      <c r="F8713" s="4" t="n">
        <v>715000</v>
      </c>
    </row>
    <row r="8714">
      <c r="D8714" s="2" t="inlineStr">
        <is>
          <t>SUBTOTAL UPAH</t>
        </is>
      </c>
      <c r="F8714" s="16" t="n">
        <v>26475</v>
      </c>
    </row>
    <row r="8715">
      <c r="D8715" s="2" t="inlineStr">
        <is>
          <t>SUBTOTAL BAHAN</t>
        </is>
      </c>
      <c r="F8715" s="16" t="n">
        <v>715000</v>
      </c>
    </row>
    <row r="8716">
      <c r="D8716" s="2" t="inlineStr">
        <is>
          <t>SUBTOTAL ALAT</t>
        </is>
      </c>
      <c r="F8716" s="16" t="n">
        <v>0</v>
      </c>
    </row>
    <row r="8717">
      <c r="E8717" s="2" t="inlineStr">
        <is>
          <t>TOTAL HARGA SATUAN (Inc. Overhead)</t>
        </is>
      </c>
      <c r="F8717" s="17" t="n">
        <v>815622</v>
      </c>
    </row>
    <row r="8719">
      <c r="A8719" s="14" t="inlineStr">
        <is>
          <t>KODE: 5.4.1.27 - Pemasangan 1 buah Control Module</t>
        </is>
      </c>
    </row>
    <row r="8720">
      <c r="A8720" s="10" t="inlineStr">
        <is>
          <t>No</t>
        </is>
      </c>
      <c r="B8720" s="10" t="inlineStr">
        <is>
          <t>Uraian Komponen</t>
        </is>
      </c>
      <c r="C8720" s="10" t="inlineStr">
        <is>
          <t>Satuan</t>
        </is>
      </c>
      <c r="D8720" s="10" t="inlineStr">
        <is>
          <t>Koef</t>
        </is>
      </c>
      <c r="E8720" s="10" t="inlineStr">
        <is>
          <t>Harga Satuan (Rp)</t>
        </is>
      </c>
      <c r="F8720" s="10" t="inlineStr">
        <is>
          <t>Jumlah Harga (Rp)</t>
        </is>
      </c>
    </row>
    <row r="8721">
      <c r="A8721" s="3" t="inlineStr">
        <is>
          <t>1</t>
        </is>
      </c>
      <c r="B8721" s="3" t="inlineStr">
        <is>
          <t>Pekerja</t>
        </is>
      </c>
      <c r="C8721" s="3" t="inlineStr">
        <is>
          <t>OH</t>
        </is>
      </c>
      <c r="D8721" s="15" t="n">
        <v>0.06900000000000001</v>
      </c>
      <c r="E8721" s="4" t="n">
        <v>100000</v>
      </c>
      <c r="F8721" s="4" t="n">
        <v>6900.000000000001</v>
      </c>
    </row>
    <row r="8722">
      <c r="A8722" s="3" t="inlineStr">
        <is>
          <t>2</t>
        </is>
      </c>
      <c r="B8722" s="3" t="inlineStr">
        <is>
          <t>Tukang listrik</t>
        </is>
      </c>
      <c r="C8722" s="3" t="inlineStr">
        <is>
          <t>OH</t>
        </is>
      </c>
      <c r="D8722" s="15" t="n">
        <v>0.115</v>
      </c>
      <c r="E8722" s="4" t="n">
        <v>145000</v>
      </c>
      <c r="F8722" s="4" t="n">
        <v>16675</v>
      </c>
    </row>
    <row r="8723">
      <c r="A8723" s="3" t="inlineStr">
        <is>
          <t>3</t>
        </is>
      </c>
      <c r="B8723" s="3" t="inlineStr">
        <is>
          <t>Kepala Tukang</t>
        </is>
      </c>
      <c r="C8723" s="3" t="inlineStr">
        <is>
          <t>OH</t>
        </is>
      </c>
      <c r="D8723" s="15" t="n">
        <v>0.012</v>
      </c>
      <c r="E8723" s="4" t="n">
        <v>175000</v>
      </c>
      <c r="F8723" s="4" t="n">
        <v>2100</v>
      </c>
    </row>
    <row r="8724">
      <c r="A8724" s="3" t="inlineStr">
        <is>
          <t>4</t>
        </is>
      </c>
      <c r="B8724" s="3" t="inlineStr">
        <is>
          <t>Mandor</t>
        </is>
      </c>
      <c r="C8724" s="3" t="inlineStr">
        <is>
          <t>OH</t>
        </is>
      </c>
      <c r="D8724" s="15" t="n">
        <v>0.004</v>
      </c>
      <c r="E8724" s="4" t="n">
        <v>200000</v>
      </c>
      <c r="F8724" s="4" t="n">
        <v>800</v>
      </c>
    </row>
    <row r="8725">
      <c r="A8725" s="3" t="inlineStr">
        <is>
          <t>1</t>
        </is>
      </c>
      <c r="B8725" s="3" t="inlineStr">
        <is>
          <t>Control Module</t>
        </is>
      </c>
      <c r="C8725" s="3" t="inlineStr">
        <is>
          <t>buah</t>
        </is>
      </c>
      <c r="D8725" s="15" t="n">
        <v>1.1</v>
      </c>
      <c r="E8725" s="4" t="n">
        <v>350000</v>
      </c>
      <c r="F8725" s="4" t="n">
        <v>385000.0000000001</v>
      </c>
    </row>
    <row r="8726">
      <c r="D8726" s="2" t="inlineStr">
        <is>
          <t>SUBTOTAL UPAH</t>
        </is>
      </c>
      <c r="F8726" s="16" t="n">
        <v>26475</v>
      </c>
    </row>
    <row r="8727">
      <c r="D8727" s="2" t="inlineStr">
        <is>
          <t>SUBTOTAL BAHAN</t>
        </is>
      </c>
      <c r="F8727" s="16" t="n">
        <v>385000.0000000001</v>
      </c>
    </row>
    <row r="8728">
      <c r="D8728" s="2" t="inlineStr">
        <is>
          <t>SUBTOTAL ALAT</t>
        </is>
      </c>
      <c r="F8728" s="16" t="n">
        <v>0</v>
      </c>
    </row>
    <row r="8729">
      <c r="E8729" s="2" t="inlineStr">
        <is>
          <t>TOTAL HARGA SATUAN (Inc. Overhead)</t>
        </is>
      </c>
      <c r="F8729" s="17" t="n">
        <v>452622</v>
      </c>
    </row>
    <row r="8731">
      <c r="A8731" s="14" t="inlineStr">
        <is>
          <t>KODE: 5.4.1.28 - Pemasangan 1 buah Relay Module</t>
        </is>
      </c>
    </row>
    <row r="8732">
      <c r="A8732" s="10" t="inlineStr">
        <is>
          <t>No</t>
        </is>
      </c>
      <c r="B8732" s="10" t="inlineStr">
        <is>
          <t>Uraian Komponen</t>
        </is>
      </c>
      <c r="C8732" s="10" t="inlineStr">
        <is>
          <t>Satuan</t>
        </is>
      </c>
      <c r="D8732" s="10" t="inlineStr">
        <is>
          <t>Koef</t>
        </is>
      </c>
      <c r="E8732" s="10" t="inlineStr">
        <is>
          <t>Harga Satuan (Rp)</t>
        </is>
      </c>
      <c r="F8732" s="10" t="inlineStr">
        <is>
          <t>Jumlah Harga (Rp)</t>
        </is>
      </c>
    </row>
    <row r="8733">
      <c r="A8733" s="3" t="inlineStr">
        <is>
          <t>1</t>
        </is>
      </c>
      <c r="B8733" s="3" t="inlineStr">
        <is>
          <t>Pekerja</t>
        </is>
      </c>
      <c r="C8733" s="3" t="inlineStr">
        <is>
          <t>OH</t>
        </is>
      </c>
      <c r="D8733" s="15" t="n">
        <v>0.06900000000000001</v>
      </c>
      <c r="E8733" s="4" t="n">
        <v>100000</v>
      </c>
      <c r="F8733" s="4" t="n">
        <v>6900.000000000001</v>
      </c>
    </row>
    <row r="8734">
      <c r="A8734" s="3" t="inlineStr">
        <is>
          <t>2</t>
        </is>
      </c>
      <c r="B8734" s="3" t="inlineStr">
        <is>
          <t>Tukang listrik</t>
        </is>
      </c>
      <c r="C8734" s="3" t="inlineStr">
        <is>
          <t>OH</t>
        </is>
      </c>
      <c r="D8734" s="15" t="n">
        <v>0.115</v>
      </c>
      <c r="E8734" s="4" t="n">
        <v>145000</v>
      </c>
      <c r="F8734" s="4" t="n">
        <v>16675</v>
      </c>
    </row>
    <row r="8735">
      <c r="A8735" s="3" t="inlineStr">
        <is>
          <t>3</t>
        </is>
      </c>
      <c r="B8735" s="3" t="inlineStr">
        <is>
          <t>Kepala Tukang</t>
        </is>
      </c>
      <c r="C8735" s="3" t="inlineStr">
        <is>
          <t>OH</t>
        </is>
      </c>
      <c r="D8735" s="15" t="n">
        <v>0.012</v>
      </c>
      <c r="E8735" s="4" t="n">
        <v>175000</v>
      </c>
      <c r="F8735" s="4" t="n">
        <v>2100</v>
      </c>
    </row>
    <row r="8736">
      <c r="A8736" s="3" t="inlineStr">
        <is>
          <t>4</t>
        </is>
      </c>
      <c r="B8736" s="3" t="inlineStr">
        <is>
          <t>Mandor</t>
        </is>
      </c>
      <c r="C8736" s="3" t="inlineStr">
        <is>
          <t>OH</t>
        </is>
      </c>
      <c r="D8736" s="15" t="n">
        <v>0.004</v>
      </c>
      <c r="E8736" s="4" t="n">
        <v>200000</v>
      </c>
      <c r="F8736" s="4" t="n">
        <v>800</v>
      </c>
    </row>
    <row r="8737">
      <c r="A8737" s="3" t="inlineStr">
        <is>
          <t>1</t>
        </is>
      </c>
      <c r="B8737" s="3" t="inlineStr">
        <is>
          <t>Relay Module</t>
        </is>
      </c>
      <c r="C8737" s="3" t="inlineStr">
        <is>
          <t>buah</t>
        </is>
      </c>
      <c r="D8737" s="15" t="n">
        <v>1.1</v>
      </c>
      <c r="E8737" s="4" t="n">
        <v>103500</v>
      </c>
      <c r="F8737" s="4" t="n">
        <v>113850</v>
      </c>
    </row>
    <row r="8738">
      <c r="D8738" s="2" t="inlineStr">
        <is>
          <t>SUBTOTAL UPAH</t>
        </is>
      </c>
      <c r="F8738" s="16" t="n">
        <v>26475</v>
      </c>
    </row>
    <row r="8739">
      <c r="D8739" s="2" t="inlineStr">
        <is>
          <t>SUBTOTAL BAHAN</t>
        </is>
      </c>
      <c r="F8739" s="16" t="n">
        <v>113850</v>
      </c>
    </row>
    <row r="8740">
      <c r="D8740" s="2" t="inlineStr">
        <is>
          <t>SUBTOTAL ALAT</t>
        </is>
      </c>
      <c r="F8740" s="16" t="n">
        <v>0</v>
      </c>
    </row>
    <row r="8741">
      <c r="E8741" s="2" t="inlineStr">
        <is>
          <t>TOTAL HARGA SATUAN (Inc. Overhead)</t>
        </is>
      </c>
      <c r="F8741" s="17" t="n">
        <v>154357</v>
      </c>
    </row>
    <row r="8743">
      <c r="A8743" s="14" t="inlineStr">
        <is>
          <t>KODE: 5.4.1.29 - Pemasangan 1 buah Isolator Module</t>
        </is>
      </c>
    </row>
    <row r="8744">
      <c r="A8744" s="10" t="inlineStr">
        <is>
          <t>No</t>
        </is>
      </c>
      <c r="B8744" s="10" t="inlineStr">
        <is>
          <t>Uraian Komponen</t>
        </is>
      </c>
      <c r="C8744" s="10" t="inlineStr">
        <is>
          <t>Satuan</t>
        </is>
      </c>
      <c r="D8744" s="10" t="inlineStr">
        <is>
          <t>Koef</t>
        </is>
      </c>
      <c r="E8744" s="10" t="inlineStr">
        <is>
          <t>Harga Satuan (Rp)</t>
        </is>
      </c>
      <c r="F8744" s="10" t="inlineStr">
        <is>
          <t>Jumlah Harga (Rp)</t>
        </is>
      </c>
    </row>
    <row r="8745">
      <c r="A8745" s="3" t="inlineStr">
        <is>
          <t>1</t>
        </is>
      </c>
      <c r="B8745" s="3" t="inlineStr">
        <is>
          <t>Pekerja</t>
        </is>
      </c>
      <c r="C8745" s="3" t="inlineStr">
        <is>
          <t>OH</t>
        </is>
      </c>
      <c r="D8745" s="15" t="n">
        <v>0.06900000000000001</v>
      </c>
      <c r="E8745" s="4" t="n">
        <v>100000</v>
      </c>
      <c r="F8745" s="4" t="n">
        <v>6900.000000000001</v>
      </c>
    </row>
    <row r="8746">
      <c r="A8746" s="3" t="inlineStr">
        <is>
          <t>2</t>
        </is>
      </c>
      <c r="B8746" s="3" t="inlineStr">
        <is>
          <t>Tukang listrik</t>
        </is>
      </c>
      <c r="C8746" s="3" t="inlineStr">
        <is>
          <t>OH</t>
        </is>
      </c>
      <c r="D8746" s="15" t="n">
        <v>0.115</v>
      </c>
      <c r="E8746" s="4" t="n">
        <v>145000</v>
      </c>
      <c r="F8746" s="4" t="n">
        <v>16675</v>
      </c>
    </row>
    <row r="8747">
      <c r="A8747" s="3" t="inlineStr">
        <is>
          <t>3</t>
        </is>
      </c>
      <c r="B8747" s="3" t="inlineStr">
        <is>
          <t>Kepala Tukang</t>
        </is>
      </c>
      <c r="C8747" s="3" t="inlineStr">
        <is>
          <t>OH</t>
        </is>
      </c>
      <c r="D8747" s="15" t="n">
        <v>0.012</v>
      </c>
      <c r="E8747" s="4" t="n">
        <v>175000</v>
      </c>
      <c r="F8747" s="4" t="n">
        <v>2100</v>
      </c>
    </row>
    <row r="8748">
      <c r="A8748" s="3" t="inlineStr">
        <is>
          <t>4</t>
        </is>
      </c>
      <c r="B8748" s="3" t="inlineStr">
        <is>
          <t>Mandor</t>
        </is>
      </c>
      <c r="C8748" s="3" t="inlineStr">
        <is>
          <t>OH</t>
        </is>
      </c>
      <c r="D8748" s="15" t="n">
        <v>0.004</v>
      </c>
      <c r="E8748" s="4" t="n">
        <v>200000</v>
      </c>
      <c r="F8748" s="4" t="n">
        <v>800</v>
      </c>
    </row>
    <row r="8749">
      <c r="A8749" s="3" t="inlineStr">
        <is>
          <t>1</t>
        </is>
      </c>
      <c r="B8749" s="3" t="inlineStr">
        <is>
          <t>Isolator Module</t>
        </is>
      </c>
      <c r="C8749" s="3" t="inlineStr">
        <is>
          <t>buah</t>
        </is>
      </c>
      <c r="D8749" s="15" t="n">
        <v>1.1</v>
      </c>
      <c r="E8749" s="4" t="n">
        <v>220000</v>
      </c>
      <c r="F8749" s="4" t="n">
        <v>242000</v>
      </c>
    </row>
    <row r="8750">
      <c r="D8750" s="2" t="inlineStr">
        <is>
          <t>SUBTOTAL UPAH</t>
        </is>
      </c>
      <c r="F8750" s="16" t="n">
        <v>26475</v>
      </c>
    </row>
    <row r="8751">
      <c r="D8751" s="2" t="inlineStr">
        <is>
          <t>SUBTOTAL BAHAN</t>
        </is>
      </c>
      <c r="F8751" s="16" t="n">
        <v>242000</v>
      </c>
    </row>
    <row r="8752">
      <c r="D8752" s="2" t="inlineStr">
        <is>
          <t>SUBTOTAL ALAT</t>
        </is>
      </c>
      <c r="F8752" s="16" t="n">
        <v>0</v>
      </c>
    </row>
    <row r="8753">
      <c r="E8753" s="2" t="inlineStr">
        <is>
          <t>TOTAL HARGA SATUAN (Inc. Overhead)</t>
        </is>
      </c>
      <c r="F8753" s="17" t="n">
        <v>295322</v>
      </c>
    </row>
    <row r="8755">
      <c r="A8755" s="14" t="inlineStr">
        <is>
          <t>KODE: 5.4.1.30 - Pemasangan 1 buah Monitor  Module</t>
        </is>
      </c>
    </row>
    <row r="8756">
      <c r="A8756" s="10" t="inlineStr">
        <is>
          <t>No</t>
        </is>
      </c>
      <c r="B8756" s="10" t="inlineStr">
        <is>
          <t>Uraian Komponen</t>
        </is>
      </c>
      <c r="C8756" s="10" t="inlineStr">
        <is>
          <t>Satuan</t>
        </is>
      </c>
      <c r="D8756" s="10" t="inlineStr">
        <is>
          <t>Koef</t>
        </is>
      </c>
      <c r="E8756" s="10" t="inlineStr">
        <is>
          <t>Harga Satuan (Rp)</t>
        </is>
      </c>
      <c r="F8756" s="10" t="inlineStr">
        <is>
          <t>Jumlah Harga (Rp)</t>
        </is>
      </c>
    </row>
    <row r="8757">
      <c r="A8757" s="3" t="inlineStr">
        <is>
          <t>1</t>
        </is>
      </c>
      <c r="B8757" s="3" t="inlineStr">
        <is>
          <t>Pekerja</t>
        </is>
      </c>
      <c r="C8757" s="3" t="inlineStr">
        <is>
          <t>OH</t>
        </is>
      </c>
      <c r="D8757" s="15" t="n">
        <v>0.06900000000000001</v>
      </c>
      <c r="E8757" s="4" t="n">
        <v>100000</v>
      </c>
      <c r="F8757" s="4" t="n">
        <v>6900.000000000001</v>
      </c>
    </row>
    <row r="8758">
      <c r="A8758" s="3" t="inlineStr">
        <is>
          <t>2</t>
        </is>
      </c>
      <c r="B8758" s="3" t="inlineStr">
        <is>
          <t>Tukang listrik</t>
        </is>
      </c>
      <c r="C8758" s="3" t="inlineStr">
        <is>
          <t>OH</t>
        </is>
      </c>
      <c r="D8758" s="15" t="n">
        <v>0.115</v>
      </c>
      <c r="E8758" s="4" t="n">
        <v>145000</v>
      </c>
      <c r="F8758" s="4" t="n">
        <v>16675</v>
      </c>
    </row>
    <row r="8759">
      <c r="A8759" s="3" t="inlineStr">
        <is>
          <t>3</t>
        </is>
      </c>
      <c r="B8759" s="3" t="inlineStr">
        <is>
          <t>Kepala Tukang</t>
        </is>
      </c>
      <c r="C8759" s="3" t="inlineStr">
        <is>
          <t>OH</t>
        </is>
      </c>
      <c r="D8759" s="15" t="n">
        <v>0.012</v>
      </c>
      <c r="E8759" s="4" t="n">
        <v>175000</v>
      </c>
      <c r="F8759" s="4" t="n">
        <v>2100</v>
      </c>
    </row>
    <row r="8760">
      <c r="A8760" s="3" t="inlineStr">
        <is>
          <t>4</t>
        </is>
      </c>
      <c r="B8760" s="3" t="inlineStr">
        <is>
          <t>Mandor</t>
        </is>
      </c>
      <c r="C8760" s="3" t="inlineStr">
        <is>
          <t>OH</t>
        </is>
      </c>
      <c r="D8760" s="15" t="n">
        <v>0.004</v>
      </c>
      <c r="E8760" s="4" t="n">
        <v>200000</v>
      </c>
      <c r="F8760" s="4" t="n">
        <v>800</v>
      </c>
    </row>
    <row r="8761">
      <c r="A8761" s="3" t="inlineStr">
        <is>
          <t>1</t>
        </is>
      </c>
      <c r="B8761" s="3" t="inlineStr">
        <is>
          <t>Monitor Module</t>
        </is>
      </c>
      <c r="C8761" s="3" t="inlineStr">
        <is>
          <t>buah</t>
        </is>
      </c>
      <c r="D8761" s="15" t="n">
        <v>1.1</v>
      </c>
      <c r="E8761" s="4" t="n">
        <v>200000</v>
      </c>
      <c r="F8761" s="4" t="n">
        <v>220000</v>
      </c>
    </row>
    <row r="8762">
      <c r="D8762" s="2" t="inlineStr">
        <is>
          <t>SUBTOTAL UPAH</t>
        </is>
      </c>
      <c r="F8762" s="16" t="n">
        <v>26475</v>
      </c>
    </row>
    <row r="8763">
      <c r="D8763" s="2" t="inlineStr">
        <is>
          <t>SUBTOTAL BAHAN</t>
        </is>
      </c>
      <c r="F8763" s="16" t="n">
        <v>220000</v>
      </c>
    </row>
    <row r="8764">
      <c r="D8764" s="2" t="inlineStr">
        <is>
          <t>SUBTOTAL ALAT</t>
        </is>
      </c>
      <c r="F8764" s="16" t="n">
        <v>0</v>
      </c>
    </row>
    <row r="8765">
      <c r="E8765" s="2" t="inlineStr">
        <is>
          <t>TOTAL HARGA SATUAN (Inc. Overhead)</t>
        </is>
      </c>
      <c r="F8765" s="17" t="n">
        <v>271122</v>
      </c>
    </row>
    <row r="8767">
      <c r="A8767" s="14" t="inlineStr">
        <is>
          <t>KODE: 5.4.1.31 - Pemasangan 1 buah Terminal Box Fire Alarm ( Tanpa Modul)</t>
        </is>
      </c>
    </row>
    <row r="8768">
      <c r="A8768" s="10" t="inlineStr">
        <is>
          <t>No</t>
        </is>
      </c>
      <c r="B8768" s="10" t="inlineStr">
        <is>
          <t>Uraian Komponen</t>
        </is>
      </c>
      <c r="C8768" s="10" t="inlineStr">
        <is>
          <t>Satuan</t>
        </is>
      </c>
      <c r="D8768" s="10" t="inlineStr">
        <is>
          <t>Koef</t>
        </is>
      </c>
      <c r="E8768" s="10" t="inlineStr">
        <is>
          <t>Harga Satuan (Rp)</t>
        </is>
      </c>
      <c r="F8768" s="10" t="inlineStr">
        <is>
          <t>Jumlah Harga (Rp)</t>
        </is>
      </c>
    </row>
    <row r="8769">
      <c r="A8769" s="3" t="inlineStr">
        <is>
          <t>1</t>
        </is>
      </c>
      <c r="B8769" s="3" t="inlineStr">
        <is>
          <t>Pekerja</t>
        </is>
      </c>
      <c r="C8769" s="3" t="inlineStr">
        <is>
          <t>OH</t>
        </is>
      </c>
      <c r="D8769" s="15" t="n">
        <v>0.129</v>
      </c>
      <c r="E8769" s="4" t="n">
        <v>100000</v>
      </c>
      <c r="F8769" s="4" t="n">
        <v>12900</v>
      </c>
    </row>
    <row r="8770">
      <c r="A8770" s="3" t="inlineStr">
        <is>
          <t>2</t>
        </is>
      </c>
      <c r="B8770" s="3" t="inlineStr">
        <is>
          <t>Tukang listrik</t>
        </is>
      </c>
      <c r="C8770" s="3" t="inlineStr">
        <is>
          <t>OH</t>
        </is>
      </c>
      <c r="D8770" s="15" t="n">
        <v>0.215</v>
      </c>
      <c r="E8770" s="4" t="n">
        <v>145000</v>
      </c>
      <c r="F8770" s="4" t="n">
        <v>31175</v>
      </c>
    </row>
    <row r="8771">
      <c r="A8771" s="3" t="inlineStr">
        <is>
          <t>3</t>
        </is>
      </c>
      <c r="B8771" s="3" t="inlineStr">
        <is>
          <t>Kepala Tukang</t>
        </is>
      </c>
      <c r="C8771" s="3" t="inlineStr">
        <is>
          <t>OH</t>
        </is>
      </c>
      <c r="D8771" s="15" t="n">
        <v>0.021</v>
      </c>
      <c r="E8771" s="4" t="n">
        <v>175000</v>
      </c>
      <c r="F8771" s="4" t="n">
        <v>3675</v>
      </c>
    </row>
    <row r="8772">
      <c r="A8772" s="3" t="inlineStr">
        <is>
          <t>4</t>
        </is>
      </c>
      <c r="B8772" s="3" t="inlineStr">
        <is>
          <t>Mandor</t>
        </is>
      </c>
      <c r="C8772" s="3" t="inlineStr">
        <is>
          <t>OH</t>
        </is>
      </c>
      <c r="D8772" s="15" t="n">
        <v>0.07000000000000001</v>
      </c>
      <c r="E8772" s="4" t="n">
        <v>200000</v>
      </c>
      <c r="F8772" s="4" t="n">
        <v>14000</v>
      </c>
    </row>
    <row r="8773">
      <c r="A8773" s="3" t="inlineStr">
        <is>
          <t>1</t>
        </is>
      </c>
      <c r="B8773" s="3" t="inlineStr">
        <is>
          <t>Terminal Box Fire Alarm</t>
        </is>
      </c>
      <c r="C8773" s="3" t="inlineStr">
        <is>
          <t>buah</t>
        </is>
      </c>
      <c r="D8773" s="15" t="n">
        <v>1.05</v>
      </c>
      <c r="E8773" s="4" t="n">
        <v>265000</v>
      </c>
      <c r="F8773" s="4" t="n">
        <v>278250</v>
      </c>
    </row>
    <row r="8774">
      <c r="D8774" s="2" t="inlineStr">
        <is>
          <t>SUBTOTAL UPAH</t>
        </is>
      </c>
      <c r="F8774" s="16" t="n">
        <v>61750</v>
      </c>
    </row>
    <row r="8775">
      <c r="D8775" s="2" t="inlineStr">
        <is>
          <t>SUBTOTAL BAHAN</t>
        </is>
      </c>
      <c r="F8775" s="16" t="n">
        <v>278250</v>
      </c>
    </row>
    <row r="8776">
      <c r="D8776" s="2" t="inlineStr">
        <is>
          <t>SUBTOTAL ALAT</t>
        </is>
      </c>
      <c r="F8776" s="16" t="n">
        <v>0</v>
      </c>
    </row>
    <row r="8777">
      <c r="E8777" s="2" t="inlineStr">
        <is>
          <t>TOTAL HARGA SATUAN (Inc. Overhead)</t>
        </is>
      </c>
      <c r="F8777" s="17" t="n">
        <v>374000</v>
      </c>
    </row>
    <row r="8779">
      <c r="A8779" s="14" t="inlineStr">
        <is>
          <t>KODE: 5.4.1.32 - Pemasangan 1 buah Kabel Power Fire Alarm NYA 20x1,5 mm2</t>
        </is>
      </c>
    </row>
    <row r="8780">
      <c r="A8780" s="10" t="inlineStr">
        <is>
          <t>No</t>
        </is>
      </c>
      <c r="B8780" s="10" t="inlineStr">
        <is>
          <t>Uraian Komponen</t>
        </is>
      </c>
      <c r="C8780" s="10" t="inlineStr">
        <is>
          <t>Satuan</t>
        </is>
      </c>
      <c r="D8780" s="10" t="inlineStr">
        <is>
          <t>Koef</t>
        </is>
      </c>
      <c r="E8780" s="10" t="inlineStr">
        <is>
          <t>Harga Satuan (Rp)</t>
        </is>
      </c>
      <c r="F8780" s="10" t="inlineStr">
        <is>
          <t>Jumlah Harga (Rp)</t>
        </is>
      </c>
    </row>
    <row r="8781">
      <c r="A8781" s="3" t="inlineStr">
        <is>
          <t>1</t>
        </is>
      </c>
      <c r="B8781" s="3" t="inlineStr">
        <is>
          <t>Pekerja</t>
        </is>
      </c>
      <c r="C8781" s="3" t="inlineStr">
        <is>
          <t>OH</t>
        </is>
      </c>
      <c r="D8781" s="15" t="n">
        <v>0.036</v>
      </c>
      <c r="E8781" s="4" t="n">
        <v>100000</v>
      </c>
      <c r="F8781" s="4" t="n">
        <v>3600</v>
      </c>
    </row>
    <row r="8782">
      <c r="A8782" s="3" t="inlineStr">
        <is>
          <t>2</t>
        </is>
      </c>
      <c r="B8782" s="3" t="inlineStr">
        <is>
          <t>Tukang listrik</t>
        </is>
      </c>
      <c r="C8782" s="3" t="inlineStr">
        <is>
          <t>OH</t>
        </is>
      </c>
      <c r="D8782" s="15" t="n">
        <v>0.06</v>
      </c>
      <c r="E8782" s="4" t="n">
        <v>145000</v>
      </c>
      <c r="F8782" s="4" t="n">
        <v>8700</v>
      </c>
    </row>
    <row r="8783">
      <c r="A8783" s="3" t="inlineStr">
        <is>
          <t>3</t>
        </is>
      </c>
      <c r="B8783" s="3" t="inlineStr">
        <is>
          <t>Kepala Tukang</t>
        </is>
      </c>
      <c r="C8783" s="3" t="inlineStr">
        <is>
          <t>OH</t>
        </is>
      </c>
      <c r="D8783" s="15" t="n">
        <v>0.006</v>
      </c>
      <c r="E8783" s="4" t="n">
        <v>175000</v>
      </c>
      <c r="F8783" s="4" t="n">
        <v>1050</v>
      </c>
    </row>
    <row r="8784">
      <c r="A8784" s="3" t="inlineStr">
        <is>
          <t>4</t>
        </is>
      </c>
      <c r="B8784" s="3" t="inlineStr">
        <is>
          <t>Mandor</t>
        </is>
      </c>
      <c r="C8784" s="3" t="inlineStr">
        <is>
          <t>OH</t>
        </is>
      </c>
      <c r="D8784" s="15" t="n">
        <v>0.002</v>
      </c>
      <c r="E8784" s="4" t="n">
        <v>200000</v>
      </c>
      <c r="F8784" s="4" t="n">
        <v>400</v>
      </c>
    </row>
    <row r="8785">
      <c r="A8785" s="3" t="inlineStr">
        <is>
          <t>1</t>
        </is>
      </c>
      <c r="B8785" s="3" t="inlineStr">
        <is>
          <t>"Kabel NYA 2 x 1 5 mm²"</t>
        </is>
      </c>
      <c r="C8785" s="3" t="inlineStr">
        <is>
          <t>m</t>
        </is>
      </c>
      <c r="D8785" s="15" t="n">
        <v>1.15</v>
      </c>
      <c r="E8785" s="4" t="n">
        <v>9200</v>
      </c>
      <c r="F8785" s="4" t="n">
        <v>10580</v>
      </c>
    </row>
    <row r="8786">
      <c r="D8786" s="2" t="inlineStr">
        <is>
          <t>SUBTOTAL UPAH</t>
        </is>
      </c>
      <c r="F8786" s="16" t="n">
        <v>13750</v>
      </c>
    </row>
    <row r="8787">
      <c r="D8787" s="2" t="inlineStr">
        <is>
          <t>SUBTOTAL BAHAN</t>
        </is>
      </c>
      <c r="F8787" s="16" t="n">
        <v>10580</v>
      </c>
    </row>
    <row r="8788">
      <c r="D8788" s="2" t="inlineStr">
        <is>
          <t>SUBTOTAL ALAT</t>
        </is>
      </c>
      <c r="F8788" s="16" t="n">
        <v>0</v>
      </c>
    </row>
    <row r="8789">
      <c r="E8789" s="2" t="inlineStr">
        <is>
          <t>TOTAL HARGA SATUAN (Inc. Overhead)</t>
        </is>
      </c>
      <c r="F8789" s="17" t="n">
        <v>26763</v>
      </c>
    </row>
    <row r="8791">
      <c r="A8791" s="14" t="inlineStr">
        <is>
          <t>KODE: 5.4.1.33 - Pemasangan 1 buah Kabel Power Fire Alarm NYA 3x2x2,5 mm2</t>
        </is>
      </c>
    </row>
    <row r="8792">
      <c r="A8792" s="10" t="inlineStr">
        <is>
          <t>No</t>
        </is>
      </c>
      <c r="B8792" s="10" t="inlineStr">
        <is>
          <t>Uraian Komponen</t>
        </is>
      </c>
      <c r="C8792" s="10" t="inlineStr">
        <is>
          <t>Satuan</t>
        </is>
      </c>
      <c r="D8792" s="10" t="inlineStr">
        <is>
          <t>Koef</t>
        </is>
      </c>
      <c r="E8792" s="10" t="inlineStr">
        <is>
          <t>Harga Satuan (Rp)</t>
        </is>
      </c>
      <c r="F8792" s="10" t="inlineStr">
        <is>
          <t>Jumlah Harga (Rp)</t>
        </is>
      </c>
    </row>
    <row r="8793">
      <c r="A8793" s="3" t="inlineStr">
        <is>
          <t>1</t>
        </is>
      </c>
      <c r="B8793" s="3" t="inlineStr">
        <is>
          <t>Pekerja</t>
        </is>
      </c>
      <c r="C8793" s="3" t="inlineStr">
        <is>
          <t>OH</t>
        </is>
      </c>
      <c r="D8793" s="15" t="n">
        <v>0.024</v>
      </c>
      <c r="E8793" s="4" t="n">
        <v>100000</v>
      </c>
      <c r="F8793" s="4" t="n">
        <v>2400</v>
      </c>
    </row>
    <row r="8794">
      <c r="A8794" s="3" t="inlineStr">
        <is>
          <t>2</t>
        </is>
      </c>
      <c r="B8794" s="3" t="inlineStr">
        <is>
          <t>Tukang listrik</t>
        </is>
      </c>
      <c r="C8794" s="3" t="inlineStr">
        <is>
          <t>OH</t>
        </is>
      </c>
      <c r="D8794" s="15" t="n">
        <v>0.04</v>
      </c>
      <c r="E8794" s="4" t="n">
        <v>145000</v>
      </c>
      <c r="F8794" s="4" t="n">
        <v>5800</v>
      </c>
    </row>
    <row r="8795">
      <c r="A8795" s="3" t="inlineStr">
        <is>
          <t>3</t>
        </is>
      </c>
      <c r="B8795" s="3" t="inlineStr">
        <is>
          <t>Kepala Tukang</t>
        </is>
      </c>
      <c r="C8795" s="3" t="inlineStr">
        <is>
          <t>OH</t>
        </is>
      </c>
      <c r="D8795" s="15" t="n">
        <v>0.004</v>
      </c>
      <c r="E8795" s="4" t="n">
        <v>175000</v>
      </c>
      <c r="F8795" s="4" t="n">
        <v>700</v>
      </c>
    </row>
    <row r="8796">
      <c r="A8796" s="3" t="inlineStr">
        <is>
          <t>4</t>
        </is>
      </c>
      <c r="B8796" s="3" t="inlineStr">
        <is>
          <t>Mandor</t>
        </is>
      </c>
      <c r="C8796" s="3" t="inlineStr">
        <is>
          <t>OH</t>
        </is>
      </c>
      <c r="D8796" s="15" t="n">
        <v>0.001</v>
      </c>
      <c r="E8796" s="4" t="n">
        <v>200000</v>
      </c>
      <c r="F8796" s="4" t="n">
        <v>200</v>
      </c>
    </row>
    <row r="8797">
      <c r="A8797" s="3" t="inlineStr">
        <is>
          <t>1</t>
        </is>
      </c>
      <c r="B8797" s="3" t="inlineStr">
        <is>
          <t>"Kabel NYA 3 x 2 5 mm²"</t>
        </is>
      </c>
      <c r="C8797" s="3" t="inlineStr">
        <is>
          <t>m</t>
        </is>
      </c>
      <c r="D8797" s="15" t="n">
        <v>1.15</v>
      </c>
      <c r="E8797" s="4" t="n">
        <v>19448</v>
      </c>
      <c r="F8797" s="4" t="n">
        <v>22365.2</v>
      </c>
    </row>
    <row r="8798">
      <c r="D8798" s="2" t="inlineStr">
        <is>
          <t>SUBTOTAL UPAH</t>
        </is>
      </c>
      <c r="F8798" s="16" t="n">
        <v>9100</v>
      </c>
    </row>
    <row r="8799">
      <c r="D8799" s="2" t="inlineStr">
        <is>
          <t>SUBTOTAL BAHAN</t>
        </is>
      </c>
      <c r="F8799" s="16" t="n">
        <v>22365.2</v>
      </c>
    </row>
    <row r="8800">
      <c r="D8800" s="2" t="inlineStr">
        <is>
          <t>SUBTOTAL ALAT</t>
        </is>
      </c>
      <c r="F8800" s="16" t="n">
        <v>0</v>
      </c>
    </row>
    <row r="8801">
      <c r="E8801" s="2" t="inlineStr">
        <is>
          <t>TOTAL HARGA SATUAN (Inc. Overhead)</t>
        </is>
      </c>
      <c r="F8801" s="17" t="n">
        <v>34611</v>
      </c>
    </row>
    <row r="8803">
      <c r="A8803" s="14" t="inlineStr">
        <is>
          <t>KODE: 5.4.1.34 - Pemasangan 1 buah Kabel Power Fire Alarm NYA 5x2x2,5 mm2</t>
        </is>
      </c>
    </row>
    <row r="8804">
      <c r="A8804" s="10" t="inlineStr">
        <is>
          <t>No</t>
        </is>
      </c>
      <c r="B8804" s="10" t="inlineStr">
        <is>
          <t>Uraian Komponen</t>
        </is>
      </c>
      <c r="C8804" s="10" t="inlineStr">
        <is>
          <t>Satuan</t>
        </is>
      </c>
      <c r="D8804" s="10" t="inlineStr">
        <is>
          <t>Koef</t>
        </is>
      </c>
      <c r="E8804" s="10" t="inlineStr">
        <is>
          <t>Harga Satuan (Rp)</t>
        </is>
      </c>
      <c r="F8804" s="10" t="inlineStr">
        <is>
          <t>Jumlah Harga (Rp)</t>
        </is>
      </c>
    </row>
    <row r="8805">
      <c r="A8805" s="3" t="inlineStr">
        <is>
          <t>1</t>
        </is>
      </c>
      <c r="B8805" s="3" t="inlineStr">
        <is>
          <t>Pekerja</t>
        </is>
      </c>
      <c r="C8805" s="3" t="inlineStr">
        <is>
          <t>OH</t>
        </is>
      </c>
      <c r="D8805" s="15" t="n">
        <v>0.036</v>
      </c>
      <c r="E8805" s="4" t="n">
        <v>100000</v>
      </c>
      <c r="F8805" s="4" t="n">
        <v>3600</v>
      </c>
    </row>
    <row r="8806">
      <c r="A8806" s="3" t="inlineStr">
        <is>
          <t>2</t>
        </is>
      </c>
      <c r="B8806" s="3" t="inlineStr">
        <is>
          <t>Tukang listrik</t>
        </is>
      </c>
      <c r="C8806" s="3" t="inlineStr">
        <is>
          <t>OH</t>
        </is>
      </c>
      <c r="D8806" s="15" t="n">
        <v>0.06</v>
      </c>
      <c r="E8806" s="4" t="n">
        <v>145000</v>
      </c>
      <c r="F8806" s="4" t="n">
        <v>8700</v>
      </c>
    </row>
    <row r="8807">
      <c r="A8807" s="3" t="inlineStr">
        <is>
          <t>3</t>
        </is>
      </c>
      <c r="B8807" s="3" t="inlineStr">
        <is>
          <t>Kepala Tukang</t>
        </is>
      </c>
      <c r="C8807" s="3" t="inlineStr">
        <is>
          <t>OH</t>
        </is>
      </c>
      <c r="D8807" s="15" t="n">
        <v>0.006</v>
      </c>
      <c r="E8807" s="4" t="n">
        <v>175000</v>
      </c>
      <c r="F8807" s="4" t="n">
        <v>1050</v>
      </c>
    </row>
    <row r="8808">
      <c r="A8808" s="3" t="inlineStr">
        <is>
          <t>4</t>
        </is>
      </c>
      <c r="B8808" s="3" t="inlineStr">
        <is>
          <t>Mandor</t>
        </is>
      </c>
      <c r="C8808" s="3" t="inlineStr">
        <is>
          <t>OH</t>
        </is>
      </c>
      <c r="D8808" s="15" t="n">
        <v>0.002</v>
      </c>
      <c r="E8808" s="4" t="n">
        <v>200000</v>
      </c>
      <c r="F8808" s="4" t="n">
        <v>400</v>
      </c>
    </row>
    <row r="8809">
      <c r="A8809" s="3" t="inlineStr">
        <is>
          <t>1</t>
        </is>
      </c>
      <c r="B8809" s="3" t="inlineStr">
        <is>
          <t>"Kabel NYA 5 x 2 5 mm²"</t>
        </is>
      </c>
      <c r="C8809" s="3" t="inlineStr">
        <is>
          <t>m'</t>
        </is>
      </c>
      <c r="D8809" s="15" t="n">
        <v>1.15</v>
      </c>
      <c r="E8809" s="4" t="n">
        <v>51500</v>
      </c>
      <c r="F8809" s="4" t="n">
        <v>59224.99999999999</v>
      </c>
    </row>
    <row r="8810">
      <c r="D8810" s="2" t="inlineStr">
        <is>
          <t>SUBTOTAL UPAH</t>
        </is>
      </c>
      <c r="F8810" s="16" t="n">
        <v>13750</v>
      </c>
    </row>
    <row r="8811">
      <c r="D8811" s="2" t="inlineStr">
        <is>
          <t>SUBTOTAL BAHAN</t>
        </is>
      </c>
      <c r="F8811" s="16" t="n">
        <v>59224.99999999999</v>
      </c>
    </row>
    <row r="8812">
      <c r="D8812" s="2" t="inlineStr">
        <is>
          <t>SUBTOTAL ALAT</t>
        </is>
      </c>
      <c r="F8812" s="16" t="n">
        <v>0</v>
      </c>
    </row>
    <row r="8813">
      <c r="E8813" s="2" t="inlineStr">
        <is>
          <t>TOTAL HARGA SATUAN (Inc. Overhead)</t>
        </is>
      </c>
      <c r="F8813" s="17" t="n">
        <v>80272</v>
      </c>
    </row>
    <row r="8815">
      <c r="A8815" s="14" t="inlineStr">
        <is>
          <t>KODE: 5.4.1.35 - Pemasangan 1 Unit Rectifier</t>
        </is>
      </c>
    </row>
    <row r="8816">
      <c r="A8816" s="10" t="inlineStr">
        <is>
          <t>No</t>
        </is>
      </c>
      <c r="B8816" s="10" t="inlineStr">
        <is>
          <t>Uraian Komponen</t>
        </is>
      </c>
      <c r="C8816" s="10" t="inlineStr">
        <is>
          <t>Satuan</t>
        </is>
      </c>
      <c r="D8816" s="10" t="inlineStr">
        <is>
          <t>Koef</t>
        </is>
      </c>
      <c r="E8816" s="10" t="inlineStr">
        <is>
          <t>Harga Satuan (Rp)</t>
        </is>
      </c>
      <c r="F8816" s="10" t="inlineStr">
        <is>
          <t>Jumlah Harga (Rp)</t>
        </is>
      </c>
    </row>
    <row r="8817">
      <c r="A8817" s="3" t="inlineStr">
        <is>
          <t>1</t>
        </is>
      </c>
      <c r="B8817" s="3" t="inlineStr">
        <is>
          <t>Pekerja</t>
        </is>
      </c>
      <c r="C8817" s="3" t="inlineStr">
        <is>
          <t>OH</t>
        </is>
      </c>
      <c r="D8817" s="15" t="n">
        <v>0.08599999999999999</v>
      </c>
      <c r="E8817" s="4" t="n">
        <v>100000</v>
      </c>
      <c r="F8817" s="4" t="n">
        <v>8600</v>
      </c>
    </row>
    <row r="8818">
      <c r="A8818" s="3" t="inlineStr">
        <is>
          <t>2</t>
        </is>
      </c>
      <c r="B8818" s="3" t="inlineStr">
        <is>
          <t>Tukang listrik</t>
        </is>
      </c>
      <c r="C8818" s="3" t="inlineStr">
        <is>
          <t>OH</t>
        </is>
      </c>
      <c r="D8818" s="15" t="n">
        <v>0.143</v>
      </c>
      <c r="E8818" s="4" t="n">
        <v>145000</v>
      </c>
      <c r="F8818" s="4" t="n">
        <v>20735</v>
      </c>
    </row>
    <row r="8819">
      <c r="A8819" s="3" t="inlineStr">
        <is>
          <t>3</t>
        </is>
      </c>
      <c r="B8819" s="3" t="inlineStr">
        <is>
          <t>Kepala Tukang</t>
        </is>
      </c>
      <c r="C8819" s="3" t="inlineStr">
        <is>
          <t>OH</t>
        </is>
      </c>
      <c r="D8819" s="15" t="n">
        <v>0.014</v>
      </c>
      <c r="E8819" s="4" t="n">
        <v>175000</v>
      </c>
      <c r="F8819" s="4" t="n">
        <v>2450</v>
      </c>
    </row>
    <row r="8820">
      <c r="A8820" s="3" t="inlineStr">
        <is>
          <t>4</t>
        </is>
      </c>
      <c r="B8820" s="3" t="inlineStr">
        <is>
          <t>Mandor</t>
        </is>
      </c>
      <c r="C8820" s="3" t="inlineStr">
        <is>
          <t>OH</t>
        </is>
      </c>
      <c r="D8820" s="15" t="n">
        <v>0.005</v>
      </c>
      <c r="E8820" s="4" t="n">
        <v>200000</v>
      </c>
      <c r="F8820" s="4" t="n">
        <v>1000</v>
      </c>
    </row>
    <row r="8821">
      <c r="A8821" s="3" t="inlineStr">
        <is>
          <t>1</t>
        </is>
      </c>
      <c r="B8821" s="3" t="inlineStr">
        <is>
          <t>Rectifier</t>
        </is>
      </c>
      <c r="C8821" s="3" t="inlineStr">
        <is>
          <t>unit</t>
        </is>
      </c>
      <c r="D8821" s="15" t="n">
        <v>1.1</v>
      </c>
      <c r="E8821" s="4" t="n">
        <v>3500000</v>
      </c>
      <c r="F8821" s="4" t="n">
        <v>3850000</v>
      </c>
    </row>
    <row r="8822">
      <c r="D8822" s="2" t="inlineStr">
        <is>
          <t>SUBTOTAL UPAH</t>
        </is>
      </c>
      <c r="F8822" s="16" t="n">
        <v>32785</v>
      </c>
    </row>
    <row r="8823">
      <c r="D8823" s="2" t="inlineStr">
        <is>
          <t>SUBTOTAL BAHAN</t>
        </is>
      </c>
      <c r="F8823" s="16" t="n">
        <v>3850000</v>
      </c>
    </row>
    <row r="8824">
      <c r="D8824" s="2" t="inlineStr">
        <is>
          <t>SUBTOTAL ALAT</t>
        </is>
      </c>
      <c r="F8824" s="16" t="n">
        <v>0</v>
      </c>
    </row>
    <row r="8825">
      <c r="E8825" s="2" t="inlineStr">
        <is>
          <t>TOTAL HARGA SATUAN (Inc. Overhead)</t>
        </is>
      </c>
      <c r="F8825" s="17" t="n">
        <v>4271063</v>
      </c>
    </row>
    <row r="8827">
      <c r="A8827" s="14" t="inlineStr">
        <is>
          <t>KODE: 5.4.1.36 - Pemasangan 1 Unit Power Surge Arrester</t>
        </is>
      </c>
    </row>
    <row r="8828">
      <c r="A8828" s="10" t="inlineStr">
        <is>
          <t>No</t>
        </is>
      </c>
      <c r="B8828" s="10" t="inlineStr">
        <is>
          <t>Uraian Komponen</t>
        </is>
      </c>
      <c r="C8828" s="10" t="inlineStr">
        <is>
          <t>Satuan</t>
        </is>
      </c>
      <c r="D8828" s="10" t="inlineStr">
        <is>
          <t>Koef</t>
        </is>
      </c>
      <c r="E8828" s="10" t="inlineStr">
        <is>
          <t>Harga Satuan (Rp)</t>
        </is>
      </c>
      <c r="F8828" s="10" t="inlineStr">
        <is>
          <t>Jumlah Harga (Rp)</t>
        </is>
      </c>
    </row>
    <row r="8829">
      <c r="A8829" s="3" t="inlineStr">
        <is>
          <t>1</t>
        </is>
      </c>
      <c r="B8829" s="3" t="inlineStr">
        <is>
          <t>Pekerja</t>
        </is>
      </c>
      <c r="C8829" s="3" t="inlineStr">
        <is>
          <t>OH</t>
        </is>
      </c>
      <c r="D8829" s="15" t="n">
        <v>0.181</v>
      </c>
      <c r="E8829" s="4" t="n">
        <v>100000</v>
      </c>
      <c r="F8829" s="4" t="n">
        <v>18100</v>
      </c>
    </row>
    <row r="8830">
      <c r="A8830" s="3" t="inlineStr">
        <is>
          <t>2</t>
        </is>
      </c>
      <c r="B8830" s="3" t="inlineStr">
        <is>
          <t>Tukang listrik</t>
        </is>
      </c>
      <c r="C8830" s="3" t="inlineStr">
        <is>
          <t>OH</t>
        </is>
      </c>
      <c r="D8830" s="15" t="n">
        <v>0.302</v>
      </c>
      <c r="E8830" s="4" t="n">
        <v>145000</v>
      </c>
      <c r="F8830" s="4" t="n">
        <v>43790</v>
      </c>
    </row>
    <row r="8831">
      <c r="A8831" s="3" t="inlineStr">
        <is>
          <t>3</t>
        </is>
      </c>
      <c r="B8831" s="3" t="inlineStr">
        <is>
          <t>Kepala Tukang</t>
        </is>
      </c>
      <c r="C8831" s="3" t="inlineStr">
        <is>
          <t>OH</t>
        </is>
      </c>
      <c r="D8831" s="15" t="n">
        <v>0.03</v>
      </c>
      <c r="E8831" s="4" t="n">
        <v>175000</v>
      </c>
      <c r="F8831" s="4" t="n">
        <v>5250</v>
      </c>
    </row>
    <row r="8832">
      <c r="A8832" s="3" t="inlineStr">
        <is>
          <t>4</t>
        </is>
      </c>
      <c r="B8832" s="3" t="inlineStr">
        <is>
          <t>Mandor</t>
        </is>
      </c>
      <c r="C8832" s="3" t="inlineStr">
        <is>
          <t>OH</t>
        </is>
      </c>
      <c r="D8832" s="15" t="n">
        <v>0.01</v>
      </c>
      <c r="E8832" s="4" t="n">
        <v>200000</v>
      </c>
      <c r="F8832" s="4" t="n">
        <v>2000</v>
      </c>
    </row>
    <row r="8833">
      <c r="A8833" s="3" t="inlineStr">
        <is>
          <t>1</t>
        </is>
      </c>
      <c r="B8833" s="3" t="inlineStr">
        <is>
          <t>Power Surge Arrester</t>
        </is>
      </c>
      <c r="C8833" s="3" t="inlineStr">
        <is>
          <t>unit</t>
        </is>
      </c>
      <c r="D8833" s="15" t="n">
        <v>1.1</v>
      </c>
      <c r="E8833" s="4" t="n">
        <v>1279000</v>
      </c>
      <c r="F8833" s="4" t="n">
        <v>1406900</v>
      </c>
    </row>
    <row r="8834">
      <c r="D8834" s="2" t="inlineStr">
        <is>
          <t>SUBTOTAL UPAH</t>
        </is>
      </c>
      <c r="F8834" s="16" t="n">
        <v>69140</v>
      </c>
    </row>
    <row r="8835">
      <c r="D8835" s="2" t="inlineStr">
        <is>
          <t>SUBTOTAL BAHAN</t>
        </is>
      </c>
      <c r="F8835" s="16" t="n">
        <v>1406900</v>
      </c>
    </row>
    <row r="8836">
      <c r="D8836" s="2" t="inlineStr">
        <is>
          <t>SUBTOTAL ALAT</t>
        </is>
      </c>
      <c r="F8836" s="16" t="n">
        <v>0</v>
      </c>
    </row>
    <row r="8837">
      <c r="E8837" s="2" t="inlineStr">
        <is>
          <t>TOTAL HARGA SATUAN (Inc. Overhead)</t>
        </is>
      </c>
      <c r="F8837" s="17" t="n">
        <v>1623644</v>
      </c>
    </row>
    <row r="8839">
      <c r="A8839" s="14" t="inlineStr">
        <is>
          <t>KODE: 5.4.1.37 - Pemasangan 1 Unit UPS 2 KVA ( Inverter, Rectifier, Battery Backup 15 menit)</t>
        </is>
      </c>
    </row>
    <row r="8840">
      <c r="A8840" s="10" t="inlineStr">
        <is>
          <t>No</t>
        </is>
      </c>
      <c r="B8840" s="10" t="inlineStr">
        <is>
          <t>Uraian Komponen</t>
        </is>
      </c>
      <c r="C8840" s="10" t="inlineStr">
        <is>
          <t>Satuan</t>
        </is>
      </c>
      <c r="D8840" s="10" t="inlineStr">
        <is>
          <t>Koef</t>
        </is>
      </c>
      <c r="E8840" s="10" t="inlineStr">
        <is>
          <t>Harga Satuan (Rp)</t>
        </is>
      </c>
      <c r="F8840" s="10" t="inlineStr">
        <is>
          <t>Jumlah Harga (Rp)</t>
        </is>
      </c>
    </row>
    <row r="8841">
      <c r="A8841" s="3" t="inlineStr">
        <is>
          <t>1</t>
        </is>
      </c>
      <c r="B8841" s="3" t="inlineStr">
        <is>
          <t>Pekerja</t>
        </is>
      </c>
      <c r="C8841" s="3" t="inlineStr">
        <is>
          <t>OH</t>
        </is>
      </c>
      <c r="D8841" s="15" t="n">
        <v>0.25</v>
      </c>
      <c r="E8841" s="4" t="n">
        <v>100000</v>
      </c>
      <c r="F8841" s="4" t="n">
        <v>25000</v>
      </c>
    </row>
    <row r="8842">
      <c r="A8842" s="3" t="inlineStr">
        <is>
          <t>2</t>
        </is>
      </c>
      <c r="B8842" s="3" t="inlineStr">
        <is>
          <t>Tukang listrik</t>
        </is>
      </c>
      <c r="C8842" s="3" t="inlineStr">
        <is>
          <t>OH</t>
        </is>
      </c>
      <c r="D8842" s="15" t="n">
        <v>0.418</v>
      </c>
      <c r="E8842" s="4" t="n">
        <v>145000</v>
      </c>
      <c r="F8842" s="4" t="n">
        <v>60610</v>
      </c>
    </row>
    <row r="8843">
      <c r="A8843" s="3" t="inlineStr">
        <is>
          <t>3</t>
        </is>
      </c>
      <c r="B8843" s="3" t="inlineStr">
        <is>
          <t>Kepala Tukang</t>
        </is>
      </c>
      <c r="C8843" s="3" t="inlineStr">
        <is>
          <t>OH</t>
        </is>
      </c>
      <c r="D8843" s="15" t="n">
        <v>0.042</v>
      </c>
      <c r="E8843" s="4" t="n">
        <v>175000</v>
      </c>
      <c r="F8843" s="4" t="n">
        <v>7350.000000000001</v>
      </c>
    </row>
    <row r="8844">
      <c r="A8844" s="3" t="inlineStr">
        <is>
          <t>4</t>
        </is>
      </c>
      <c r="B8844" s="3" t="inlineStr">
        <is>
          <t>Mandor</t>
        </is>
      </c>
      <c r="C8844" s="3" t="inlineStr">
        <is>
          <t>OH</t>
        </is>
      </c>
      <c r="D8844" s="15" t="n">
        <v>0.014</v>
      </c>
      <c r="E8844" s="4" t="n">
        <v>200000</v>
      </c>
      <c r="F8844" s="4" t="n">
        <v>2800</v>
      </c>
    </row>
    <row r="8845">
      <c r="A8845" s="3" t="inlineStr">
        <is>
          <t>1</t>
        </is>
      </c>
      <c r="B8845" s="3" t="inlineStr">
        <is>
          <t>UPS 2 KVA 15 Menit</t>
        </is>
      </c>
      <c r="C8845" s="3" t="inlineStr">
        <is>
          <t>unit</t>
        </is>
      </c>
      <c r="D8845" s="15" t="n">
        <v>1.05</v>
      </c>
      <c r="E8845" s="4" t="n">
        <v>3800000</v>
      </c>
      <c r="F8845" s="4" t="n">
        <v>3990000</v>
      </c>
    </row>
    <row r="8846">
      <c r="D8846" s="2" t="inlineStr">
        <is>
          <t>SUBTOTAL UPAH</t>
        </is>
      </c>
      <c r="F8846" s="16" t="n">
        <v>95760</v>
      </c>
    </row>
    <row r="8847">
      <c r="D8847" s="2" t="inlineStr">
        <is>
          <t>SUBTOTAL BAHAN</t>
        </is>
      </c>
      <c r="F8847" s="16" t="n">
        <v>3990000</v>
      </c>
    </row>
    <row r="8848">
      <c r="D8848" s="2" t="inlineStr">
        <is>
          <t>SUBTOTAL ALAT</t>
        </is>
      </c>
      <c r="F8848" s="16" t="n">
        <v>0</v>
      </c>
    </row>
    <row r="8849">
      <c r="E8849" s="2" t="inlineStr">
        <is>
          <t>TOTAL HARGA SATUAN (Inc. Overhead)</t>
        </is>
      </c>
      <c r="F8849" s="17" t="n">
        <v>4494336</v>
      </c>
    </row>
    <row r="8851">
      <c r="A8851" s="14" t="inlineStr">
        <is>
          <t>KODE: 5.4.1.38 - Pemasangan 1 Unit UPS 2 KVA ( Inverter, Rectifier, Battery Backup 30 menit)</t>
        </is>
      </c>
    </row>
    <row r="8852">
      <c r="A8852" s="10" t="inlineStr">
        <is>
          <t>No</t>
        </is>
      </c>
      <c r="B8852" s="10" t="inlineStr">
        <is>
          <t>Uraian Komponen</t>
        </is>
      </c>
      <c r="C8852" s="10" t="inlineStr">
        <is>
          <t>Satuan</t>
        </is>
      </c>
      <c r="D8852" s="10" t="inlineStr">
        <is>
          <t>Koef</t>
        </is>
      </c>
      <c r="E8852" s="10" t="inlineStr">
        <is>
          <t>Harga Satuan (Rp)</t>
        </is>
      </c>
      <c r="F8852" s="10" t="inlineStr">
        <is>
          <t>Jumlah Harga (Rp)</t>
        </is>
      </c>
    </row>
    <row r="8853">
      <c r="A8853" s="3" t="inlineStr">
        <is>
          <t>1</t>
        </is>
      </c>
      <c r="B8853" s="3" t="inlineStr">
        <is>
          <t>Pekerja</t>
        </is>
      </c>
      <c r="C8853" s="3" t="inlineStr">
        <is>
          <t>OH</t>
        </is>
      </c>
      <c r="D8853" s="15" t="n">
        <v>0.25</v>
      </c>
      <c r="E8853" s="4" t="n">
        <v>100000</v>
      </c>
      <c r="F8853" s="4" t="n">
        <v>25000</v>
      </c>
    </row>
    <row r="8854">
      <c r="A8854" s="3" t="inlineStr">
        <is>
          <t>2</t>
        </is>
      </c>
      <c r="B8854" s="3" t="inlineStr">
        <is>
          <t>Tukang listrik</t>
        </is>
      </c>
      <c r="C8854" s="3" t="inlineStr">
        <is>
          <t>OH</t>
        </is>
      </c>
      <c r="D8854" s="15" t="n">
        <v>0.418</v>
      </c>
      <c r="E8854" s="4" t="n">
        <v>145000</v>
      </c>
      <c r="F8854" s="4" t="n">
        <v>60610</v>
      </c>
    </row>
    <row r="8855">
      <c r="A8855" s="3" t="inlineStr">
        <is>
          <t>3</t>
        </is>
      </c>
      <c r="B8855" s="3" t="inlineStr">
        <is>
          <t>Kepala Tukang</t>
        </is>
      </c>
      <c r="C8855" s="3" t="inlineStr">
        <is>
          <t>OH</t>
        </is>
      </c>
      <c r="D8855" s="15" t="n">
        <v>0.042</v>
      </c>
      <c r="E8855" s="4" t="n">
        <v>175000</v>
      </c>
      <c r="F8855" s="4" t="n">
        <v>7350.000000000001</v>
      </c>
    </row>
    <row r="8856">
      <c r="A8856" s="3" t="inlineStr">
        <is>
          <t>4</t>
        </is>
      </c>
      <c r="B8856" s="3" t="inlineStr">
        <is>
          <t>Mandor</t>
        </is>
      </c>
      <c r="C8856" s="3" t="inlineStr">
        <is>
          <t>OH</t>
        </is>
      </c>
      <c r="D8856" s="15" t="n">
        <v>0.014</v>
      </c>
      <c r="E8856" s="4" t="n">
        <v>200000</v>
      </c>
      <c r="F8856" s="4" t="n">
        <v>2800</v>
      </c>
    </row>
    <row r="8857">
      <c r="A8857" s="3" t="inlineStr">
        <is>
          <t>1</t>
        </is>
      </c>
      <c r="B8857" s="3" t="inlineStr">
        <is>
          <t>UPS 2 KVA 30 Menit</t>
        </is>
      </c>
      <c r="C8857" s="3" t="inlineStr">
        <is>
          <t>unit</t>
        </is>
      </c>
      <c r="D8857" s="15" t="n">
        <v>1.05</v>
      </c>
      <c r="E8857" s="4" t="n">
        <v>4100000</v>
      </c>
      <c r="F8857" s="4" t="n">
        <v>4305000</v>
      </c>
    </row>
    <row r="8858">
      <c r="D8858" s="2" t="inlineStr">
        <is>
          <t>SUBTOTAL UPAH</t>
        </is>
      </c>
      <c r="F8858" s="16" t="n">
        <v>95760</v>
      </c>
    </row>
    <row r="8859">
      <c r="D8859" s="2" t="inlineStr">
        <is>
          <t>SUBTOTAL BAHAN</t>
        </is>
      </c>
      <c r="F8859" s="16" t="n">
        <v>4305000</v>
      </c>
    </row>
    <row r="8860">
      <c r="D8860" s="2" t="inlineStr">
        <is>
          <t>SUBTOTAL ALAT</t>
        </is>
      </c>
      <c r="F8860" s="16" t="n">
        <v>0</v>
      </c>
    </row>
    <row r="8861">
      <c r="E8861" s="2" t="inlineStr">
        <is>
          <t>TOTAL HARGA SATUAN (Inc. Overhead)</t>
        </is>
      </c>
      <c r="F8861" s="17" t="n">
        <v>4840836</v>
      </c>
    </row>
    <row r="8863">
      <c r="A8863" s="14" t="inlineStr">
        <is>
          <t>KODE: 5.4.1.39 - Pemasangan 1 Unit UPS 2 KVA ( Inverter, Rectifier, Battery Backup 1 Jam)</t>
        </is>
      </c>
    </row>
    <row r="8864">
      <c r="A8864" s="10" t="inlineStr">
        <is>
          <t>No</t>
        </is>
      </c>
      <c r="B8864" s="10" t="inlineStr">
        <is>
          <t>Uraian Komponen</t>
        </is>
      </c>
      <c r="C8864" s="10" t="inlineStr">
        <is>
          <t>Satuan</t>
        </is>
      </c>
      <c r="D8864" s="10" t="inlineStr">
        <is>
          <t>Koef</t>
        </is>
      </c>
      <c r="E8864" s="10" t="inlineStr">
        <is>
          <t>Harga Satuan (Rp)</t>
        </is>
      </c>
      <c r="F8864" s="10" t="inlineStr">
        <is>
          <t>Jumlah Harga (Rp)</t>
        </is>
      </c>
    </row>
    <row r="8865">
      <c r="A8865" s="3" t="inlineStr">
        <is>
          <t>1</t>
        </is>
      </c>
      <c r="B8865" s="3" t="inlineStr">
        <is>
          <t>Pekerja</t>
        </is>
      </c>
      <c r="C8865" s="3" t="inlineStr">
        <is>
          <t>OH</t>
        </is>
      </c>
      <c r="D8865" s="15" t="n">
        <v>0.25</v>
      </c>
      <c r="E8865" s="4" t="n">
        <v>100000</v>
      </c>
      <c r="F8865" s="4" t="n">
        <v>25000</v>
      </c>
    </row>
    <row r="8866">
      <c r="A8866" s="3" t="inlineStr">
        <is>
          <t>2</t>
        </is>
      </c>
      <c r="B8866" s="3" t="inlineStr">
        <is>
          <t>Tukang listrik</t>
        </is>
      </c>
      <c r="C8866" s="3" t="inlineStr">
        <is>
          <t>OH</t>
        </is>
      </c>
      <c r="D8866" s="15" t="n">
        <v>0.418</v>
      </c>
      <c r="E8866" s="4" t="n">
        <v>145000</v>
      </c>
      <c r="F8866" s="4" t="n">
        <v>60610</v>
      </c>
    </row>
    <row r="8867">
      <c r="A8867" s="3" t="inlineStr">
        <is>
          <t>3</t>
        </is>
      </c>
      <c r="B8867" s="3" t="inlineStr">
        <is>
          <t>Kepala Tukang</t>
        </is>
      </c>
      <c r="C8867" s="3" t="inlineStr">
        <is>
          <t>OH</t>
        </is>
      </c>
      <c r="D8867" s="15" t="n">
        <v>0.042</v>
      </c>
      <c r="E8867" s="4" t="n">
        <v>175000</v>
      </c>
      <c r="F8867" s="4" t="n">
        <v>7350.000000000001</v>
      </c>
    </row>
    <row r="8868">
      <c r="A8868" s="3" t="inlineStr">
        <is>
          <t>4</t>
        </is>
      </c>
      <c r="B8868" s="3" t="inlineStr">
        <is>
          <t>Mandor</t>
        </is>
      </c>
      <c r="C8868" s="3" t="inlineStr">
        <is>
          <t>OH</t>
        </is>
      </c>
      <c r="D8868" s="15" t="n">
        <v>0.014</v>
      </c>
      <c r="E8868" s="4" t="n">
        <v>200000</v>
      </c>
      <c r="F8868" s="4" t="n">
        <v>2800</v>
      </c>
    </row>
    <row r="8869">
      <c r="A8869" s="3" t="inlineStr">
        <is>
          <t>1</t>
        </is>
      </c>
      <c r="B8869" s="3" t="inlineStr">
        <is>
          <t>UPS 2 KVA 1 Jam</t>
        </is>
      </c>
      <c r="C8869" s="3" t="inlineStr">
        <is>
          <t>unit</t>
        </is>
      </c>
      <c r="D8869" s="15" t="n">
        <v>1.05</v>
      </c>
      <c r="E8869" s="4" t="n">
        <v>4900000</v>
      </c>
      <c r="F8869" s="4" t="n">
        <v>5145000</v>
      </c>
    </row>
    <row r="8870">
      <c r="D8870" s="2" t="inlineStr">
        <is>
          <t>SUBTOTAL UPAH</t>
        </is>
      </c>
      <c r="F8870" s="16" t="n">
        <v>95760</v>
      </c>
    </row>
    <row r="8871">
      <c r="D8871" s="2" t="inlineStr">
        <is>
          <t>SUBTOTAL BAHAN</t>
        </is>
      </c>
      <c r="F8871" s="16" t="n">
        <v>5145000</v>
      </c>
    </row>
    <row r="8872">
      <c r="D8872" s="2" t="inlineStr">
        <is>
          <t>SUBTOTAL ALAT</t>
        </is>
      </c>
      <c r="F8872" s="16" t="n">
        <v>0</v>
      </c>
    </row>
    <row r="8873">
      <c r="E8873" s="2" t="inlineStr">
        <is>
          <t>TOTAL HARGA SATUAN (Inc. Overhead)</t>
        </is>
      </c>
      <c r="F8873" s="17" t="n">
        <v>5764836</v>
      </c>
    </row>
    <row r="8875">
      <c r="A8875" s="14" t="inlineStr">
        <is>
          <t>KODE: 5.4.1.40 - Pemasangan 1 Unit UPS 2 KVA ( Inverter, Rectifier, Battery Backup 2Jam)</t>
        </is>
      </c>
    </row>
    <row r="8876">
      <c r="A8876" s="10" t="inlineStr">
        <is>
          <t>No</t>
        </is>
      </c>
      <c r="B8876" s="10" t="inlineStr">
        <is>
          <t>Uraian Komponen</t>
        </is>
      </c>
      <c r="C8876" s="10" t="inlineStr">
        <is>
          <t>Satuan</t>
        </is>
      </c>
      <c r="D8876" s="10" t="inlineStr">
        <is>
          <t>Koef</t>
        </is>
      </c>
      <c r="E8876" s="10" t="inlineStr">
        <is>
          <t>Harga Satuan (Rp)</t>
        </is>
      </c>
      <c r="F8876" s="10" t="inlineStr">
        <is>
          <t>Jumlah Harga (Rp)</t>
        </is>
      </c>
    </row>
    <row r="8877">
      <c r="A8877" s="3" t="inlineStr">
        <is>
          <t>1</t>
        </is>
      </c>
      <c r="B8877" s="3" t="inlineStr">
        <is>
          <t>Pekerja</t>
        </is>
      </c>
      <c r="C8877" s="3" t="inlineStr">
        <is>
          <t>OH</t>
        </is>
      </c>
      <c r="D8877" s="15" t="n">
        <v>0.25</v>
      </c>
      <c r="E8877" s="4" t="n">
        <v>100000</v>
      </c>
      <c r="F8877" s="4" t="n">
        <v>25000</v>
      </c>
    </row>
    <row r="8878">
      <c r="A8878" s="3" t="inlineStr">
        <is>
          <t>2</t>
        </is>
      </c>
      <c r="B8878" s="3" t="inlineStr">
        <is>
          <t>Tukang listrik</t>
        </is>
      </c>
      <c r="C8878" s="3" t="inlineStr">
        <is>
          <t>OH</t>
        </is>
      </c>
      <c r="D8878" s="15" t="n">
        <v>0.418</v>
      </c>
      <c r="E8878" s="4" t="n">
        <v>145000</v>
      </c>
      <c r="F8878" s="4" t="n">
        <v>60610</v>
      </c>
    </row>
    <row r="8879">
      <c r="A8879" s="3" t="inlineStr">
        <is>
          <t>3</t>
        </is>
      </c>
      <c r="B8879" s="3" t="inlineStr">
        <is>
          <t>Kepala Tukang</t>
        </is>
      </c>
      <c r="C8879" s="3" t="inlineStr">
        <is>
          <t>OH</t>
        </is>
      </c>
      <c r="D8879" s="15" t="n">
        <v>0.042</v>
      </c>
      <c r="E8879" s="4" t="n">
        <v>175000</v>
      </c>
      <c r="F8879" s="4" t="n">
        <v>7350.000000000001</v>
      </c>
    </row>
    <row r="8880">
      <c r="A8880" s="3" t="inlineStr">
        <is>
          <t>4</t>
        </is>
      </c>
      <c r="B8880" s="3" t="inlineStr">
        <is>
          <t>Mandor</t>
        </is>
      </c>
      <c r="C8880" s="3" t="inlineStr">
        <is>
          <t>OH</t>
        </is>
      </c>
      <c r="D8880" s="15" t="n">
        <v>0.014</v>
      </c>
      <c r="E8880" s="4" t="n">
        <v>200000</v>
      </c>
      <c r="F8880" s="4" t="n">
        <v>2800</v>
      </c>
    </row>
    <row r="8881">
      <c r="A8881" s="3" t="inlineStr">
        <is>
          <t>1</t>
        </is>
      </c>
      <c r="B8881" s="3" t="inlineStr">
        <is>
          <t>UPS 2 KVA 2 Jam</t>
        </is>
      </c>
      <c r="C8881" s="3" t="inlineStr">
        <is>
          <t>unit</t>
        </is>
      </c>
      <c r="D8881" s="15" t="n">
        <v>1.05</v>
      </c>
      <c r="E8881" s="4" t="n">
        <v>5200000</v>
      </c>
      <c r="F8881" s="4" t="n">
        <v>5460000</v>
      </c>
    </row>
    <row r="8882">
      <c r="D8882" s="2" t="inlineStr">
        <is>
          <t>SUBTOTAL UPAH</t>
        </is>
      </c>
      <c r="F8882" s="16" t="n">
        <v>95760</v>
      </c>
    </row>
    <row r="8883">
      <c r="D8883" s="2" t="inlineStr">
        <is>
          <t>SUBTOTAL BAHAN</t>
        </is>
      </c>
      <c r="F8883" s="16" t="n">
        <v>5460000</v>
      </c>
    </row>
    <row r="8884">
      <c r="D8884" s="2" t="inlineStr">
        <is>
          <t>SUBTOTAL ALAT</t>
        </is>
      </c>
      <c r="F8884" s="16" t="n">
        <v>0</v>
      </c>
    </row>
    <row r="8885">
      <c r="E8885" s="2" t="inlineStr">
        <is>
          <t>TOTAL HARGA SATUAN (Inc. Overhead)</t>
        </is>
      </c>
      <c r="F8885" s="17" t="n">
        <v>6111336</v>
      </c>
    </row>
    <row r="8887">
      <c r="A8887" s="14" t="inlineStr">
        <is>
          <t>KODE: 5.4.1.41 - Pemasangan 1 Unit UPS 2 KVA ( Inverter, Rectifier, Battery Backup 4 Jam)</t>
        </is>
      </c>
    </row>
    <row r="8888">
      <c r="A8888" s="10" t="inlineStr">
        <is>
          <t>No</t>
        </is>
      </c>
      <c r="B8888" s="10" t="inlineStr">
        <is>
          <t>Uraian Komponen</t>
        </is>
      </c>
      <c r="C8888" s="10" t="inlineStr">
        <is>
          <t>Satuan</t>
        </is>
      </c>
      <c r="D8888" s="10" t="inlineStr">
        <is>
          <t>Koef</t>
        </is>
      </c>
      <c r="E8888" s="10" t="inlineStr">
        <is>
          <t>Harga Satuan (Rp)</t>
        </is>
      </c>
      <c r="F8888" s="10" t="inlineStr">
        <is>
          <t>Jumlah Harga (Rp)</t>
        </is>
      </c>
    </row>
    <row r="8889">
      <c r="A8889" s="3" t="inlineStr">
        <is>
          <t>1</t>
        </is>
      </c>
      <c r="B8889" s="3" t="inlineStr">
        <is>
          <t>Pekerja</t>
        </is>
      </c>
      <c r="C8889" s="3" t="inlineStr">
        <is>
          <t>OH</t>
        </is>
      </c>
      <c r="D8889" s="15" t="n">
        <v>0.25</v>
      </c>
      <c r="E8889" s="4" t="n">
        <v>100000</v>
      </c>
      <c r="F8889" s="4" t="n">
        <v>25000</v>
      </c>
    </row>
    <row r="8890">
      <c r="A8890" s="3" t="inlineStr">
        <is>
          <t>2</t>
        </is>
      </c>
      <c r="B8890" s="3" t="inlineStr">
        <is>
          <t>Tukang listrik</t>
        </is>
      </c>
      <c r="C8890" s="3" t="inlineStr">
        <is>
          <t>OH</t>
        </is>
      </c>
      <c r="D8890" s="15" t="n">
        <v>0.418</v>
      </c>
      <c r="E8890" s="4" t="n">
        <v>145000</v>
      </c>
      <c r="F8890" s="4" t="n">
        <v>60610</v>
      </c>
    </row>
    <row r="8891">
      <c r="A8891" s="3" t="inlineStr">
        <is>
          <t>3</t>
        </is>
      </c>
      <c r="B8891" s="3" t="inlineStr">
        <is>
          <t>Kepala Tukang</t>
        </is>
      </c>
      <c r="C8891" s="3" t="inlineStr">
        <is>
          <t>OH</t>
        </is>
      </c>
      <c r="D8891" s="15" t="n">
        <v>0.042</v>
      </c>
      <c r="E8891" s="4" t="n">
        <v>175000</v>
      </c>
      <c r="F8891" s="4" t="n">
        <v>7350.000000000001</v>
      </c>
    </row>
    <row r="8892">
      <c r="A8892" s="3" t="inlineStr">
        <is>
          <t>4</t>
        </is>
      </c>
      <c r="B8892" s="3" t="inlineStr">
        <is>
          <t>Mandor</t>
        </is>
      </c>
      <c r="C8892" s="3" t="inlineStr">
        <is>
          <t>OH</t>
        </is>
      </c>
      <c r="D8892" s="15" t="n">
        <v>0.014</v>
      </c>
      <c r="E8892" s="4" t="n">
        <v>200000</v>
      </c>
      <c r="F8892" s="4" t="n">
        <v>2800</v>
      </c>
    </row>
    <row r="8893">
      <c r="A8893" s="3" t="inlineStr">
        <is>
          <t>1</t>
        </is>
      </c>
      <c r="B8893" s="3" t="inlineStr">
        <is>
          <t>UPS 2 KVA 4 Jam</t>
        </is>
      </c>
      <c r="C8893" s="3" t="inlineStr">
        <is>
          <t>unit</t>
        </is>
      </c>
      <c r="D8893" s="15" t="n">
        <v>1.05</v>
      </c>
      <c r="E8893" s="4" t="n">
        <v>5700000</v>
      </c>
      <c r="F8893" s="4" t="n">
        <v>5985000</v>
      </c>
    </row>
    <row r="8894">
      <c r="D8894" s="2" t="inlineStr">
        <is>
          <t>SUBTOTAL UPAH</t>
        </is>
      </c>
      <c r="F8894" s="16" t="n">
        <v>95760</v>
      </c>
    </row>
    <row r="8895">
      <c r="D8895" s="2" t="inlineStr">
        <is>
          <t>SUBTOTAL BAHAN</t>
        </is>
      </c>
      <c r="F8895" s="16" t="n">
        <v>5985000</v>
      </c>
    </row>
    <row r="8896">
      <c r="D8896" s="2" t="inlineStr">
        <is>
          <t>SUBTOTAL ALAT</t>
        </is>
      </c>
      <c r="F8896" s="16" t="n">
        <v>0</v>
      </c>
    </row>
    <row r="8897">
      <c r="E8897" s="2" t="inlineStr">
        <is>
          <t>TOTAL HARGA SATUAN (Inc. Overhead)</t>
        </is>
      </c>
      <c r="F8897" s="17" t="n">
        <v>6688836</v>
      </c>
    </row>
    <row r="8899">
      <c r="A8899" s="14" t="inlineStr">
        <is>
          <t>KODE: 5.4.1.42 - Pemasangan 1 Buah End of Line Resistor</t>
        </is>
      </c>
    </row>
    <row r="8900">
      <c r="A8900" s="10" t="inlineStr">
        <is>
          <t>No</t>
        </is>
      </c>
      <c r="B8900" s="10" t="inlineStr">
        <is>
          <t>Uraian Komponen</t>
        </is>
      </c>
      <c r="C8900" s="10" t="inlineStr">
        <is>
          <t>Satuan</t>
        </is>
      </c>
      <c r="D8900" s="10" t="inlineStr">
        <is>
          <t>Koef</t>
        </is>
      </c>
      <c r="E8900" s="10" t="inlineStr">
        <is>
          <t>Harga Satuan (Rp)</t>
        </is>
      </c>
      <c r="F8900" s="10" t="inlineStr">
        <is>
          <t>Jumlah Harga (Rp)</t>
        </is>
      </c>
    </row>
    <row r="8901">
      <c r="A8901" s="3" t="inlineStr">
        <is>
          <t>1</t>
        </is>
      </c>
      <c r="B8901" s="3" t="inlineStr">
        <is>
          <t>Pekerja</t>
        </is>
      </c>
      <c r="C8901" s="3" t="inlineStr">
        <is>
          <t>OH</t>
        </is>
      </c>
      <c r="D8901" s="15" t="n">
        <v>0.017</v>
      </c>
      <c r="E8901" s="4" t="n">
        <v>100000</v>
      </c>
      <c r="F8901" s="4" t="n">
        <v>1700</v>
      </c>
    </row>
    <row r="8902">
      <c r="A8902" s="3" t="inlineStr">
        <is>
          <t>2</t>
        </is>
      </c>
      <c r="B8902" s="3" t="inlineStr">
        <is>
          <t>Tukang listrik</t>
        </is>
      </c>
      <c r="C8902" s="3" t="inlineStr">
        <is>
          <t>OH</t>
        </is>
      </c>
      <c r="D8902" s="15" t="n">
        <v>0.028</v>
      </c>
      <c r="E8902" s="4" t="n">
        <v>145000</v>
      </c>
      <c r="F8902" s="4" t="n">
        <v>4060</v>
      </c>
    </row>
    <row r="8903">
      <c r="A8903" s="3" t="inlineStr">
        <is>
          <t>3</t>
        </is>
      </c>
      <c r="B8903" s="3" t="inlineStr">
        <is>
          <t>Kepala Tukang</t>
        </is>
      </c>
      <c r="C8903" s="3" t="inlineStr">
        <is>
          <t>OH</t>
        </is>
      </c>
      <c r="D8903" s="15" t="n">
        <v>0.003</v>
      </c>
      <c r="E8903" s="4" t="n">
        <v>175000</v>
      </c>
      <c r="F8903" s="4" t="n">
        <v>525</v>
      </c>
    </row>
    <row r="8904">
      <c r="A8904" s="3" t="inlineStr">
        <is>
          <t>4</t>
        </is>
      </c>
      <c r="B8904" s="3" t="inlineStr">
        <is>
          <t>Mandor</t>
        </is>
      </c>
      <c r="C8904" s="3" t="inlineStr">
        <is>
          <t>OH</t>
        </is>
      </c>
      <c r="D8904" s="15" t="n">
        <v>0.001</v>
      </c>
      <c r="E8904" s="4" t="n">
        <v>200000</v>
      </c>
      <c r="F8904" s="4" t="n">
        <v>200</v>
      </c>
    </row>
    <row r="8905">
      <c r="A8905" s="3" t="inlineStr">
        <is>
          <t>1</t>
        </is>
      </c>
      <c r="B8905" s="3" t="inlineStr">
        <is>
          <t>End of Line Resistor</t>
        </is>
      </c>
      <c r="C8905" s="3" t="inlineStr">
        <is>
          <t>unit</t>
        </is>
      </c>
      <c r="D8905" s="15" t="n">
        <v>1.05</v>
      </c>
      <c r="E8905" s="4" t="n">
        <v>20000</v>
      </c>
      <c r="F8905" s="4" t="n">
        <v>21000</v>
      </c>
    </row>
    <row r="8906">
      <c r="D8906" s="2" t="inlineStr">
        <is>
          <t>SUBTOTAL UPAH</t>
        </is>
      </c>
      <c r="F8906" s="16" t="n">
        <v>6485</v>
      </c>
    </row>
    <row r="8907">
      <c r="D8907" s="2" t="inlineStr">
        <is>
          <t>SUBTOTAL BAHAN</t>
        </is>
      </c>
      <c r="F8907" s="16" t="n">
        <v>21000</v>
      </c>
    </row>
    <row r="8908">
      <c r="D8908" s="2" t="inlineStr">
        <is>
          <t>SUBTOTAL ALAT</t>
        </is>
      </c>
      <c r="F8908" s="16" t="n">
        <v>0</v>
      </c>
    </row>
    <row r="8909">
      <c r="E8909" s="2" t="inlineStr">
        <is>
          <t>TOTAL HARGA SATUAN (Inc. Overhead)</t>
        </is>
      </c>
      <c r="F8909" s="17" t="n">
        <v>30233</v>
      </c>
    </row>
    <row r="8911">
      <c r="A8911" s="14" t="inlineStr">
        <is>
          <t>KODE: 5.4.2.1 - Pemasangan 1 Unit Patch Panel UTP Cat 6 4 Port</t>
        </is>
      </c>
    </row>
    <row r="8912">
      <c r="A8912" s="10" t="inlineStr">
        <is>
          <t>No</t>
        </is>
      </c>
      <c r="B8912" s="10" t="inlineStr">
        <is>
          <t>Uraian Komponen</t>
        </is>
      </c>
      <c r="C8912" s="10" t="inlineStr">
        <is>
          <t>Satuan</t>
        </is>
      </c>
      <c r="D8912" s="10" t="inlineStr">
        <is>
          <t>Koef</t>
        </is>
      </c>
      <c r="E8912" s="10" t="inlineStr">
        <is>
          <t>Harga Satuan (Rp)</t>
        </is>
      </c>
      <c r="F8912" s="10" t="inlineStr">
        <is>
          <t>Jumlah Harga (Rp)</t>
        </is>
      </c>
    </row>
    <row r="8913">
      <c r="A8913" s="3" t="inlineStr">
        <is>
          <t>1</t>
        </is>
      </c>
      <c r="B8913" s="3" t="inlineStr">
        <is>
          <t>Pekerja</t>
        </is>
      </c>
      <c r="C8913" s="3" t="inlineStr">
        <is>
          <t>OH</t>
        </is>
      </c>
      <c r="D8913" s="15" t="n">
        <v>0.25</v>
      </c>
      <c r="E8913" s="4" t="n">
        <v>100000</v>
      </c>
      <c r="F8913" s="4" t="n">
        <v>25000</v>
      </c>
    </row>
    <row r="8914">
      <c r="A8914" s="3" t="inlineStr">
        <is>
          <t>2</t>
        </is>
      </c>
      <c r="B8914" s="3" t="inlineStr">
        <is>
          <t>Tukang listrik</t>
        </is>
      </c>
      <c r="C8914" s="3" t="inlineStr">
        <is>
          <t>OH</t>
        </is>
      </c>
      <c r="D8914" s="15" t="n">
        <v>0.418</v>
      </c>
      <c r="E8914" s="4" t="n">
        <v>145000</v>
      </c>
      <c r="F8914" s="4" t="n">
        <v>60610</v>
      </c>
    </row>
    <row r="8915">
      <c r="A8915" s="3" t="inlineStr">
        <is>
          <t>3</t>
        </is>
      </c>
      <c r="B8915" s="3" t="inlineStr">
        <is>
          <t>Kepala Tukang</t>
        </is>
      </c>
      <c r="C8915" s="3" t="inlineStr">
        <is>
          <t>OH</t>
        </is>
      </c>
      <c r="D8915" s="15" t="n">
        <v>0.042</v>
      </c>
      <c r="E8915" s="4" t="n">
        <v>175000</v>
      </c>
      <c r="F8915" s="4" t="n">
        <v>7350.000000000001</v>
      </c>
    </row>
    <row r="8916">
      <c r="A8916" s="3" t="inlineStr">
        <is>
          <t>4</t>
        </is>
      </c>
      <c r="B8916" s="3" t="inlineStr">
        <is>
          <t>Mandor</t>
        </is>
      </c>
      <c r="C8916" s="3" t="inlineStr">
        <is>
          <t>OH</t>
        </is>
      </c>
      <c r="D8916" s="15" t="n">
        <v>0.014</v>
      </c>
      <c r="E8916" s="4" t="n">
        <v>200000</v>
      </c>
      <c r="F8916" s="4" t="n">
        <v>2800</v>
      </c>
    </row>
    <row r="8917">
      <c r="A8917" s="3" t="inlineStr">
        <is>
          <t>1</t>
        </is>
      </c>
      <c r="B8917" s="3" t="inlineStr">
        <is>
          <t>Patch Panel UTP Cat 6 4 Port</t>
        </is>
      </c>
      <c r="C8917" s="3" t="inlineStr">
        <is>
          <t>unit</t>
        </is>
      </c>
      <c r="D8917" s="15" t="n">
        <v>1.05</v>
      </c>
      <c r="E8917" s="4" t="n">
        <v>1540000</v>
      </c>
      <c r="F8917" s="4" t="n">
        <v>1617000</v>
      </c>
    </row>
    <row r="8918">
      <c r="D8918" s="2" t="inlineStr">
        <is>
          <t>SUBTOTAL UPAH</t>
        </is>
      </c>
      <c r="F8918" s="16" t="n">
        <v>95760</v>
      </c>
    </row>
    <row r="8919">
      <c r="D8919" s="2" t="inlineStr">
        <is>
          <t>SUBTOTAL BAHAN</t>
        </is>
      </c>
      <c r="F8919" s="16" t="n">
        <v>1617000</v>
      </c>
    </row>
    <row r="8920">
      <c r="D8920" s="2" t="inlineStr">
        <is>
          <t>SUBTOTAL ALAT</t>
        </is>
      </c>
      <c r="F8920" s="16" t="n">
        <v>0</v>
      </c>
    </row>
    <row r="8921">
      <c r="E8921" s="2" t="inlineStr">
        <is>
          <t>TOTAL HARGA SATUAN (Inc. Overhead)</t>
        </is>
      </c>
      <c r="F8921" s="17" t="n">
        <v>1884036</v>
      </c>
    </row>
    <row r="8923">
      <c r="A8923" s="14" t="inlineStr">
        <is>
          <t>KODE: 5.4.2.2 - Pemasangan 1 Unit  Wirig Mangement</t>
        </is>
      </c>
    </row>
    <row r="8924">
      <c r="A8924" s="10" t="inlineStr">
        <is>
          <t>No</t>
        </is>
      </c>
      <c r="B8924" s="10" t="inlineStr">
        <is>
          <t>Uraian Komponen</t>
        </is>
      </c>
      <c r="C8924" s="10" t="inlineStr">
        <is>
          <t>Satuan</t>
        </is>
      </c>
      <c r="D8924" s="10" t="inlineStr">
        <is>
          <t>Koef</t>
        </is>
      </c>
      <c r="E8924" s="10" t="inlineStr">
        <is>
          <t>Harga Satuan (Rp)</t>
        </is>
      </c>
      <c r="F8924" s="10" t="inlineStr">
        <is>
          <t>Jumlah Harga (Rp)</t>
        </is>
      </c>
    </row>
    <row r="8925">
      <c r="A8925" s="3" t="inlineStr">
        <is>
          <t>1</t>
        </is>
      </c>
      <c r="B8925" s="3" t="inlineStr">
        <is>
          <t>Pekerja</t>
        </is>
      </c>
      <c r="C8925" s="3" t="inlineStr">
        <is>
          <t>OH</t>
        </is>
      </c>
      <c r="D8925" s="15" t="n">
        <v>0.126</v>
      </c>
      <c r="E8925" s="4" t="n">
        <v>100000</v>
      </c>
      <c r="F8925" s="4" t="n">
        <v>12600</v>
      </c>
    </row>
    <row r="8926">
      <c r="A8926" s="3" t="inlineStr">
        <is>
          <t>2</t>
        </is>
      </c>
      <c r="B8926" s="3" t="inlineStr">
        <is>
          <t>Tukang listrik</t>
        </is>
      </c>
      <c r="C8926" s="3" t="inlineStr">
        <is>
          <t>OH</t>
        </is>
      </c>
      <c r="D8926" s="15" t="n">
        <v>0.211</v>
      </c>
      <c r="E8926" s="4" t="n">
        <v>145000</v>
      </c>
      <c r="F8926" s="4" t="n">
        <v>30595</v>
      </c>
    </row>
    <row r="8927">
      <c r="A8927" s="3" t="inlineStr">
        <is>
          <t>3</t>
        </is>
      </c>
      <c r="B8927" s="3" t="inlineStr">
        <is>
          <t>Kepala Tukang</t>
        </is>
      </c>
      <c r="C8927" s="3" t="inlineStr">
        <is>
          <t>OH</t>
        </is>
      </c>
      <c r="D8927" s="15" t="n">
        <v>0.021</v>
      </c>
      <c r="E8927" s="4" t="n">
        <v>175000</v>
      </c>
      <c r="F8927" s="4" t="n">
        <v>3675</v>
      </c>
    </row>
    <row r="8928">
      <c r="A8928" s="3" t="inlineStr">
        <is>
          <t>4</t>
        </is>
      </c>
      <c r="B8928" s="3" t="inlineStr">
        <is>
          <t>Mandor</t>
        </is>
      </c>
      <c r="C8928" s="3" t="inlineStr">
        <is>
          <t>OH</t>
        </is>
      </c>
      <c r="D8928" s="15" t="n">
        <v>0.007</v>
      </c>
      <c r="E8928" s="4" t="n">
        <v>200000</v>
      </c>
      <c r="F8928" s="4" t="n">
        <v>1400</v>
      </c>
    </row>
    <row r="8929">
      <c r="A8929" s="3" t="inlineStr">
        <is>
          <t>1</t>
        </is>
      </c>
      <c r="B8929" s="3" t="inlineStr">
        <is>
          <t>Wiring Management</t>
        </is>
      </c>
      <c r="C8929" s="3" t="inlineStr">
        <is>
          <t>unit</t>
        </is>
      </c>
      <c r="D8929" s="15" t="n">
        <v>1.05</v>
      </c>
      <c r="E8929" s="4" t="n">
        <v>110000</v>
      </c>
      <c r="F8929" s="4" t="n">
        <v>115500</v>
      </c>
    </row>
    <row r="8930">
      <c r="D8930" s="2" t="inlineStr">
        <is>
          <t>SUBTOTAL UPAH</t>
        </is>
      </c>
      <c r="F8930" s="16" t="n">
        <v>48270</v>
      </c>
    </row>
    <row r="8931">
      <c r="D8931" s="2" t="inlineStr">
        <is>
          <t>SUBTOTAL BAHAN</t>
        </is>
      </c>
      <c r="F8931" s="16" t="n">
        <v>115500</v>
      </c>
    </row>
    <row r="8932">
      <c r="D8932" s="2" t="inlineStr">
        <is>
          <t>SUBTOTAL ALAT</t>
        </is>
      </c>
      <c r="F8932" s="16" t="n">
        <v>0</v>
      </c>
    </row>
    <row r="8933">
      <c r="E8933" s="2" t="inlineStr">
        <is>
          <t>TOTAL HARGA SATUAN (Inc. Overhead)</t>
        </is>
      </c>
      <c r="F8933" s="17" t="n">
        <v>180147</v>
      </c>
    </row>
    <row r="8935">
      <c r="A8935" s="14" t="inlineStr">
        <is>
          <t>KODE: 5.4.2.3 - Pemasangan 1 Unit  PoE Switch HUB</t>
        </is>
      </c>
    </row>
    <row r="8936">
      <c r="A8936" s="10" t="inlineStr">
        <is>
          <t>No</t>
        </is>
      </c>
      <c r="B8936" s="10" t="inlineStr">
        <is>
          <t>Uraian Komponen</t>
        </is>
      </c>
      <c r="C8936" s="10" t="inlineStr">
        <is>
          <t>Satuan</t>
        </is>
      </c>
      <c r="D8936" s="10" t="inlineStr">
        <is>
          <t>Koef</t>
        </is>
      </c>
      <c r="E8936" s="10" t="inlineStr">
        <is>
          <t>Harga Satuan (Rp)</t>
        </is>
      </c>
      <c r="F8936" s="10" t="inlineStr">
        <is>
          <t>Jumlah Harga (Rp)</t>
        </is>
      </c>
    </row>
    <row r="8937">
      <c r="A8937" s="3" t="inlineStr">
        <is>
          <t>1</t>
        </is>
      </c>
      <c r="B8937" s="3" t="inlineStr">
        <is>
          <t>Pekerja</t>
        </is>
      </c>
      <c r="C8937" s="3" t="inlineStr">
        <is>
          <t>OH</t>
        </is>
      </c>
      <c r="D8937" s="15" t="n">
        <v>0.762</v>
      </c>
      <c r="E8937" s="4" t="n">
        <v>100000</v>
      </c>
      <c r="F8937" s="4" t="n">
        <v>76200</v>
      </c>
    </row>
    <row r="8938">
      <c r="A8938" s="3" t="inlineStr">
        <is>
          <t>2</t>
        </is>
      </c>
      <c r="B8938" s="3" t="inlineStr">
        <is>
          <t>Tukang listrik</t>
        </is>
      </c>
      <c r="C8938" s="3" t="inlineStr">
        <is>
          <t>OH</t>
        </is>
      </c>
      <c r="D8938" s="15" t="n">
        <v>1.272</v>
      </c>
      <c r="E8938" s="4" t="n">
        <v>145000</v>
      </c>
      <c r="F8938" s="4" t="n">
        <v>184440</v>
      </c>
    </row>
    <row r="8939">
      <c r="A8939" s="3" t="inlineStr">
        <is>
          <t>3</t>
        </is>
      </c>
      <c r="B8939" s="3" t="inlineStr">
        <is>
          <t>Kepala Tukang</t>
        </is>
      </c>
      <c r="C8939" s="3" t="inlineStr">
        <is>
          <t>OH</t>
        </is>
      </c>
      <c r="D8939" s="15" t="n">
        <v>0.172</v>
      </c>
      <c r="E8939" s="4" t="n">
        <v>175000</v>
      </c>
      <c r="F8939" s="4" t="n">
        <v>30100</v>
      </c>
    </row>
    <row r="8940">
      <c r="A8940" s="3" t="inlineStr">
        <is>
          <t>4</t>
        </is>
      </c>
      <c r="B8940" s="3" t="inlineStr">
        <is>
          <t>Mandor</t>
        </is>
      </c>
      <c r="C8940" s="3" t="inlineStr">
        <is>
          <t>OH</t>
        </is>
      </c>
      <c r="D8940" s="15" t="n">
        <v>0.042</v>
      </c>
      <c r="E8940" s="4" t="n">
        <v>200000</v>
      </c>
      <c r="F8940" s="4" t="n">
        <v>8400</v>
      </c>
    </row>
    <row r="8941">
      <c r="A8941" s="3" t="inlineStr">
        <is>
          <t>1</t>
        </is>
      </c>
      <c r="B8941" s="3" t="inlineStr">
        <is>
          <t>PoE Switch HUB</t>
        </is>
      </c>
      <c r="C8941" s="3" t="inlineStr">
        <is>
          <t>unit</t>
        </is>
      </c>
      <c r="D8941" s="15" t="n">
        <v>1.05</v>
      </c>
      <c r="E8941" s="4" t="n">
        <v>273000</v>
      </c>
      <c r="F8941" s="4" t="n">
        <v>286650</v>
      </c>
    </row>
    <row r="8942">
      <c r="D8942" s="2" t="inlineStr">
        <is>
          <t>SUBTOTAL UPAH</t>
        </is>
      </c>
      <c r="F8942" s="16" t="n">
        <v>299140</v>
      </c>
    </row>
    <row r="8943">
      <c r="D8943" s="2" t="inlineStr">
        <is>
          <t>SUBTOTAL BAHAN</t>
        </is>
      </c>
      <c r="F8943" s="16" t="n">
        <v>286650</v>
      </c>
    </row>
    <row r="8944">
      <c r="D8944" s="2" t="inlineStr">
        <is>
          <t>SUBTOTAL ALAT</t>
        </is>
      </c>
      <c r="F8944" s="16" t="n">
        <v>0</v>
      </c>
    </row>
    <row r="8945">
      <c r="E8945" s="2" t="inlineStr">
        <is>
          <t>TOTAL HARGA SATUAN (Inc. Overhead)</t>
        </is>
      </c>
      <c r="F8945" s="17" t="n">
        <v>644369</v>
      </c>
    </row>
    <row r="8947">
      <c r="A8947" s="14" t="inlineStr">
        <is>
          <t>KODE: 5.4.2.4 - Pemasangan 1 Unit  Network Video Recorder (NVR) Kapasitas 32 Chanel + 8TB Hardisk</t>
        </is>
      </c>
    </row>
    <row r="8948">
      <c r="A8948" s="10" t="inlineStr">
        <is>
          <t>No</t>
        </is>
      </c>
      <c r="B8948" s="10" t="inlineStr">
        <is>
          <t>Uraian Komponen</t>
        </is>
      </c>
      <c r="C8948" s="10" t="inlineStr">
        <is>
          <t>Satuan</t>
        </is>
      </c>
      <c r="D8948" s="10" t="inlineStr">
        <is>
          <t>Koef</t>
        </is>
      </c>
      <c r="E8948" s="10" t="inlineStr">
        <is>
          <t>Harga Satuan (Rp)</t>
        </is>
      </c>
      <c r="F8948" s="10" t="inlineStr">
        <is>
          <t>Jumlah Harga (Rp)</t>
        </is>
      </c>
    </row>
    <row r="8949">
      <c r="A8949" s="3" t="inlineStr">
        <is>
          <t>1</t>
        </is>
      </c>
      <c r="B8949" s="3" t="inlineStr">
        <is>
          <t>Pekerja</t>
        </is>
      </c>
      <c r="C8949" s="3" t="inlineStr">
        <is>
          <t>OH</t>
        </is>
      </c>
      <c r="D8949" s="15" t="n">
        <v>0.762</v>
      </c>
      <c r="E8949" s="4" t="n">
        <v>100000</v>
      </c>
      <c r="F8949" s="4" t="n">
        <v>76200</v>
      </c>
    </row>
    <row r="8950">
      <c r="A8950" s="3" t="inlineStr">
        <is>
          <t>2</t>
        </is>
      </c>
      <c r="B8950" s="3" t="inlineStr">
        <is>
          <t>Tukang listrik</t>
        </is>
      </c>
      <c r="C8950" s="3" t="inlineStr">
        <is>
          <t>OH</t>
        </is>
      </c>
      <c r="D8950" s="15" t="n">
        <v>1.272</v>
      </c>
      <c r="E8950" s="4" t="n">
        <v>145000</v>
      </c>
      <c r="F8950" s="4" t="n">
        <v>184440</v>
      </c>
    </row>
    <row r="8951">
      <c r="A8951" s="3" t="inlineStr">
        <is>
          <t>3</t>
        </is>
      </c>
      <c r="B8951" s="3" t="inlineStr">
        <is>
          <t>Kepala Tukang</t>
        </is>
      </c>
      <c r="C8951" s="3" t="inlineStr">
        <is>
          <t>OH</t>
        </is>
      </c>
      <c r="D8951" s="15" t="n">
        <v>0.172</v>
      </c>
      <c r="E8951" s="4" t="n">
        <v>175000</v>
      </c>
      <c r="F8951" s="4" t="n">
        <v>30100</v>
      </c>
    </row>
    <row r="8952">
      <c r="A8952" s="3" t="inlineStr">
        <is>
          <t>4</t>
        </is>
      </c>
      <c r="B8952" s="3" t="inlineStr">
        <is>
          <t>Mandor</t>
        </is>
      </c>
      <c r="C8952" s="3" t="inlineStr">
        <is>
          <t>OH</t>
        </is>
      </c>
      <c r="D8952" s="15" t="n">
        <v>0.042</v>
      </c>
      <c r="E8952" s="4" t="n">
        <v>200000</v>
      </c>
      <c r="F8952" s="4" t="n">
        <v>8400</v>
      </c>
    </row>
    <row r="8953">
      <c r="A8953" s="3" t="inlineStr">
        <is>
          <t>1</t>
        </is>
      </c>
      <c r="B8953" s="3" t="inlineStr">
        <is>
          <t>Network  Video Recorder (NVR) Kapasitas 32 Chanel</t>
        </is>
      </c>
      <c r="C8953" s="3" t="inlineStr">
        <is>
          <t>unit</t>
        </is>
      </c>
      <c r="D8953" s="15" t="n">
        <v>1.05</v>
      </c>
      <c r="E8953" s="4" t="n">
        <v>5500000</v>
      </c>
      <c r="F8953" s="4" t="n">
        <v>5775000</v>
      </c>
    </row>
    <row r="8954">
      <c r="A8954" s="3" t="inlineStr">
        <is>
          <t>2</t>
        </is>
      </c>
      <c r="B8954" s="3" t="inlineStr">
        <is>
          <t>8 TB Hardisk</t>
        </is>
      </c>
      <c r="C8954" s="3" t="inlineStr">
        <is>
          <t>unit</t>
        </is>
      </c>
      <c r="D8954" s="15" t="n">
        <v>1</v>
      </c>
      <c r="E8954" s="4" t="n">
        <v>1960000</v>
      </c>
      <c r="F8954" s="4" t="n">
        <v>1960000</v>
      </c>
    </row>
    <row r="8955">
      <c r="D8955" s="2" t="inlineStr">
        <is>
          <t>SUBTOTAL UPAH</t>
        </is>
      </c>
      <c r="F8955" s="16" t="n">
        <v>299140</v>
      </c>
    </row>
    <row r="8956">
      <c r="D8956" s="2" t="inlineStr">
        <is>
          <t>SUBTOTAL BAHAN</t>
        </is>
      </c>
      <c r="F8956" s="16" t="n">
        <v>7735000</v>
      </c>
    </row>
    <row r="8957">
      <c r="D8957" s="2" t="inlineStr">
        <is>
          <t>SUBTOTAL ALAT</t>
        </is>
      </c>
      <c r="F8957" s="16" t="n">
        <v>0</v>
      </c>
    </row>
    <row r="8958">
      <c r="E8958" s="2" t="inlineStr">
        <is>
          <t>TOTAL HARGA SATUAN (Inc. Overhead)</t>
        </is>
      </c>
      <c r="F8958" s="17" t="n">
        <v>8837554</v>
      </c>
    </row>
    <row r="8960">
      <c r="A8960" s="14" t="inlineStr">
        <is>
          <t>KODE: 5.4.2.5 - Pemasangan 1 Unit  RAK HUB 12 U ( Lengkap dengan Power Outlet)</t>
        </is>
      </c>
    </row>
    <row r="8961">
      <c r="A8961" s="10" t="inlineStr">
        <is>
          <t>No</t>
        </is>
      </c>
      <c r="B8961" s="10" t="inlineStr">
        <is>
          <t>Uraian Komponen</t>
        </is>
      </c>
      <c r="C8961" s="10" t="inlineStr">
        <is>
          <t>Satuan</t>
        </is>
      </c>
      <c r="D8961" s="10" t="inlineStr">
        <is>
          <t>Koef</t>
        </is>
      </c>
      <c r="E8961" s="10" t="inlineStr">
        <is>
          <t>Harga Satuan (Rp)</t>
        </is>
      </c>
      <c r="F8961" s="10" t="inlineStr">
        <is>
          <t>Jumlah Harga (Rp)</t>
        </is>
      </c>
    </row>
    <row r="8962">
      <c r="A8962" s="3" t="inlineStr">
        <is>
          <t>1</t>
        </is>
      </c>
      <c r="B8962" s="3" t="inlineStr">
        <is>
          <t>Pekerja</t>
        </is>
      </c>
      <c r="C8962" s="3" t="inlineStr">
        <is>
          <t>OH</t>
        </is>
      </c>
      <c r="D8962" s="15" t="n">
        <v>0.381</v>
      </c>
      <c r="E8962" s="4" t="n">
        <v>100000</v>
      </c>
      <c r="F8962" s="4" t="n">
        <v>38100</v>
      </c>
    </row>
    <row r="8963">
      <c r="A8963" s="3" t="inlineStr">
        <is>
          <t>2</t>
        </is>
      </c>
      <c r="B8963" s="3" t="inlineStr">
        <is>
          <t>Tukang listrik</t>
        </is>
      </c>
      <c r="C8963" s="3" t="inlineStr">
        <is>
          <t>OH</t>
        </is>
      </c>
      <c r="D8963" s="15" t="n">
        <v>0.636</v>
      </c>
      <c r="E8963" s="4" t="n">
        <v>145000</v>
      </c>
      <c r="F8963" s="4" t="n">
        <v>92220</v>
      </c>
    </row>
    <row r="8964">
      <c r="A8964" s="3" t="inlineStr">
        <is>
          <t>3</t>
        </is>
      </c>
      <c r="B8964" s="3" t="inlineStr">
        <is>
          <t>Kepala Tukang</t>
        </is>
      </c>
      <c r="C8964" s="3" t="inlineStr">
        <is>
          <t>OH</t>
        </is>
      </c>
      <c r="D8964" s="15" t="n">
        <v>0.064</v>
      </c>
      <c r="E8964" s="4" t="n">
        <v>175000</v>
      </c>
      <c r="F8964" s="4" t="n">
        <v>11200</v>
      </c>
    </row>
    <row r="8965">
      <c r="A8965" s="3" t="inlineStr">
        <is>
          <t>4</t>
        </is>
      </c>
      <c r="B8965" s="3" t="inlineStr">
        <is>
          <t>Mandor</t>
        </is>
      </c>
      <c r="C8965" s="3" t="inlineStr">
        <is>
          <t>OH</t>
        </is>
      </c>
      <c r="D8965" s="15" t="n">
        <v>0.021</v>
      </c>
      <c r="E8965" s="4" t="n">
        <v>200000</v>
      </c>
      <c r="F8965" s="4" t="n">
        <v>4200</v>
      </c>
    </row>
    <row r="8966">
      <c r="A8966" s="3" t="inlineStr">
        <is>
          <t>1</t>
        </is>
      </c>
      <c r="B8966" s="3" t="inlineStr">
        <is>
          <t>"Rak 19"" 12 U Lengkap dengan Power Outlet "</t>
        </is>
      </c>
      <c r="C8966" s="3" t="inlineStr">
        <is>
          <t>unit</t>
        </is>
      </c>
      <c r="D8966" s="15" t="n">
        <v>1.05</v>
      </c>
      <c r="E8966" s="4" t="n">
        <v>770000</v>
      </c>
      <c r="F8966" s="4" t="n">
        <v>808500</v>
      </c>
    </row>
    <row r="8967">
      <c r="D8967" s="2" t="inlineStr">
        <is>
          <t>SUBTOTAL UPAH</t>
        </is>
      </c>
      <c r="F8967" s="16" t="n">
        <v>145720</v>
      </c>
    </row>
    <row r="8968">
      <c r="D8968" s="2" t="inlineStr">
        <is>
          <t>SUBTOTAL BAHAN</t>
        </is>
      </c>
      <c r="F8968" s="16" t="n">
        <v>808500</v>
      </c>
    </row>
    <row r="8969">
      <c r="D8969" s="2" t="inlineStr">
        <is>
          <t>SUBTOTAL ALAT</t>
        </is>
      </c>
      <c r="F8969" s="16" t="n">
        <v>0</v>
      </c>
    </row>
    <row r="8970">
      <c r="E8970" s="2" t="inlineStr">
        <is>
          <t>TOTAL HARGA SATUAN (Inc. Overhead)</t>
        </is>
      </c>
      <c r="F8970" s="17" t="n">
        <v>1049642</v>
      </c>
    </row>
    <row r="8972">
      <c r="A8972" s="14" t="inlineStr">
        <is>
          <t>KODE: 5.4.2.6 - Pemasangan 1 Unit  LCD Monitor 32"</t>
        </is>
      </c>
    </row>
    <row r="8973">
      <c r="A8973" s="10" t="inlineStr">
        <is>
          <t>No</t>
        </is>
      </c>
      <c r="B8973" s="10" t="inlineStr">
        <is>
          <t>Uraian Komponen</t>
        </is>
      </c>
      <c r="C8973" s="10" t="inlineStr">
        <is>
          <t>Satuan</t>
        </is>
      </c>
      <c r="D8973" s="10" t="inlineStr">
        <is>
          <t>Koef</t>
        </is>
      </c>
      <c r="E8973" s="10" t="inlineStr">
        <is>
          <t>Harga Satuan (Rp)</t>
        </is>
      </c>
      <c r="F8973" s="10" t="inlineStr">
        <is>
          <t>Jumlah Harga (Rp)</t>
        </is>
      </c>
    </row>
    <row r="8974">
      <c r="A8974" s="3" t="inlineStr">
        <is>
          <t>1</t>
        </is>
      </c>
      <c r="B8974" s="3" t="inlineStr">
        <is>
          <t>Pekerja</t>
        </is>
      </c>
      <c r="C8974" s="3" t="inlineStr">
        <is>
          <t>OH</t>
        </is>
      </c>
      <c r="D8974" s="15" t="n">
        <v>0.25</v>
      </c>
      <c r="E8974" s="4" t="n">
        <v>100000</v>
      </c>
      <c r="F8974" s="4" t="n">
        <v>25000</v>
      </c>
    </row>
    <row r="8975">
      <c r="A8975" s="3" t="inlineStr">
        <is>
          <t>2</t>
        </is>
      </c>
      <c r="B8975" s="3" t="inlineStr">
        <is>
          <t>Tukang listrik</t>
        </is>
      </c>
      <c r="C8975" s="3" t="inlineStr">
        <is>
          <t>OH</t>
        </is>
      </c>
      <c r="D8975" s="15" t="n">
        <v>0.418</v>
      </c>
      <c r="E8975" s="4" t="n">
        <v>145000</v>
      </c>
      <c r="F8975" s="4" t="n">
        <v>60610</v>
      </c>
    </row>
    <row r="8976">
      <c r="A8976" s="3" t="inlineStr">
        <is>
          <t>3</t>
        </is>
      </c>
      <c r="B8976" s="3" t="inlineStr">
        <is>
          <t>Kepala Tukang</t>
        </is>
      </c>
      <c r="C8976" s="3" t="inlineStr">
        <is>
          <t>OH</t>
        </is>
      </c>
      <c r="D8976" s="15" t="n">
        <v>0.042</v>
      </c>
      <c r="E8976" s="4" t="n">
        <v>175000</v>
      </c>
      <c r="F8976" s="4" t="n">
        <v>7350.000000000001</v>
      </c>
    </row>
    <row r="8977">
      <c r="A8977" s="3" t="inlineStr">
        <is>
          <t>4</t>
        </is>
      </c>
      <c r="B8977" s="3" t="inlineStr">
        <is>
          <t>Mandor</t>
        </is>
      </c>
      <c r="C8977" s="3" t="inlineStr">
        <is>
          <t>OH</t>
        </is>
      </c>
      <c r="D8977" s="15" t="n">
        <v>0.014</v>
      </c>
      <c r="E8977" s="4" t="n">
        <v>200000</v>
      </c>
      <c r="F8977" s="4" t="n">
        <v>2800</v>
      </c>
    </row>
    <row r="8978">
      <c r="A8978" s="3" t="inlineStr">
        <is>
          <t>1</t>
        </is>
      </c>
      <c r="B8978" s="3" t="inlineStr">
        <is>
          <t>"LCD Monitor 32"""</t>
        </is>
      </c>
      <c r="C8978" s="3" t="inlineStr">
        <is>
          <t>unit</t>
        </is>
      </c>
      <c r="D8978" s="15" t="n">
        <v>1.03</v>
      </c>
      <c r="E8978" s="4" t="n">
        <v>2380000</v>
      </c>
      <c r="F8978" s="4" t="n">
        <v>2451400</v>
      </c>
    </row>
    <row r="8979">
      <c r="A8979" s="3" t="inlineStr">
        <is>
          <t>2</t>
        </is>
      </c>
      <c r="B8979" s="3" t="inlineStr">
        <is>
          <t>"Bracket Monitor 32"""</t>
        </is>
      </c>
      <c r="C8979" s="3" t="inlineStr">
        <is>
          <t>unit</t>
        </is>
      </c>
      <c r="D8979" s="15" t="n">
        <v>1</v>
      </c>
      <c r="E8979" s="4" t="n">
        <v>88500</v>
      </c>
      <c r="F8979" s="4" t="n">
        <v>88500</v>
      </c>
    </row>
    <row r="8980">
      <c r="D8980" s="2" t="inlineStr">
        <is>
          <t>SUBTOTAL UPAH</t>
        </is>
      </c>
      <c r="F8980" s="16" t="n">
        <v>95760</v>
      </c>
    </row>
    <row r="8981">
      <c r="D8981" s="2" t="inlineStr">
        <is>
          <t>SUBTOTAL BAHAN</t>
        </is>
      </c>
      <c r="F8981" s="16" t="n">
        <v>2539900</v>
      </c>
    </row>
    <row r="8982">
      <c r="D8982" s="2" t="inlineStr">
        <is>
          <t>SUBTOTAL ALAT</t>
        </is>
      </c>
      <c r="F8982" s="16" t="n">
        <v>0</v>
      </c>
    </row>
    <row r="8983">
      <c r="E8983" s="2" t="inlineStr">
        <is>
          <t>TOTAL HARGA SATUAN (Inc. Overhead)</t>
        </is>
      </c>
      <c r="F8983" s="17" t="n">
        <v>2899226</v>
      </c>
    </row>
    <row r="8985">
      <c r="A8985" s="14" t="inlineStr">
        <is>
          <t>KODE: 5.4.2.7 - Pemasangan 1 Unit  LED Monitor 50"</t>
        </is>
      </c>
    </row>
    <row r="8986">
      <c r="A8986" s="10" t="inlineStr">
        <is>
          <t>No</t>
        </is>
      </c>
      <c r="B8986" s="10" t="inlineStr">
        <is>
          <t>Uraian Komponen</t>
        </is>
      </c>
      <c r="C8986" s="10" t="inlineStr">
        <is>
          <t>Satuan</t>
        </is>
      </c>
      <c r="D8986" s="10" t="inlineStr">
        <is>
          <t>Koef</t>
        </is>
      </c>
      <c r="E8986" s="10" t="inlineStr">
        <is>
          <t>Harga Satuan (Rp)</t>
        </is>
      </c>
      <c r="F8986" s="10" t="inlineStr">
        <is>
          <t>Jumlah Harga (Rp)</t>
        </is>
      </c>
    </row>
    <row r="8987">
      <c r="A8987" s="3" t="inlineStr">
        <is>
          <t>1</t>
        </is>
      </c>
      <c r="B8987" s="3" t="inlineStr">
        <is>
          <t>Pekerja</t>
        </is>
      </c>
      <c r="C8987" s="3" t="inlineStr">
        <is>
          <t>OH</t>
        </is>
      </c>
      <c r="D8987" s="15" t="n">
        <v>0.5</v>
      </c>
      <c r="E8987" s="4" t="n">
        <v>100000</v>
      </c>
      <c r="F8987" s="4" t="n">
        <v>50000</v>
      </c>
    </row>
    <row r="8988">
      <c r="A8988" s="3" t="inlineStr">
        <is>
          <t>2</t>
        </is>
      </c>
      <c r="B8988" s="3" t="inlineStr">
        <is>
          <t>Tukang listrik</t>
        </is>
      </c>
      <c r="C8988" s="3" t="inlineStr">
        <is>
          <t>OH</t>
        </is>
      </c>
      <c r="D8988" s="15" t="n">
        <v>0.835</v>
      </c>
      <c r="E8988" s="4" t="n">
        <v>145000</v>
      </c>
      <c r="F8988" s="4" t="n">
        <v>121075</v>
      </c>
    </row>
    <row r="8989">
      <c r="A8989" s="3" t="inlineStr">
        <is>
          <t>3</t>
        </is>
      </c>
      <c r="B8989" s="3" t="inlineStr">
        <is>
          <t>Kepala Tukang</t>
        </is>
      </c>
      <c r="C8989" s="3" t="inlineStr">
        <is>
          <t>OH</t>
        </is>
      </c>
      <c r="D8989" s="15" t="n">
        <v>0.08400000000000001</v>
      </c>
      <c r="E8989" s="4" t="n">
        <v>175000</v>
      </c>
      <c r="F8989" s="4" t="n">
        <v>14700</v>
      </c>
    </row>
    <row r="8990">
      <c r="A8990" s="3" t="inlineStr">
        <is>
          <t>4</t>
        </is>
      </c>
      <c r="B8990" s="3" t="inlineStr">
        <is>
          <t>Mandor</t>
        </is>
      </c>
      <c r="C8990" s="3" t="inlineStr">
        <is>
          <t>OH</t>
        </is>
      </c>
      <c r="D8990" s="15" t="n">
        <v>0.028</v>
      </c>
      <c r="E8990" s="4" t="n">
        <v>200000</v>
      </c>
      <c r="F8990" s="4" t="n">
        <v>5600</v>
      </c>
    </row>
    <row r="8991">
      <c r="A8991" s="3" t="inlineStr">
        <is>
          <t>1</t>
        </is>
      </c>
      <c r="B8991" s="3" t="inlineStr">
        <is>
          <t>"LED Monitor 50"""</t>
        </is>
      </c>
      <c r="C8991" s="3" t="inlineStr">
        <is>
          <t>unit</t>
        </is>
      </c>
      <c r="D8991" s="15" t="n">
        <v>1.03</v>
      </c>
      <c r="E8991" s="4" t="n">
        <v>3500000</v>
      </c>
      <c r="F8991" s="4" t="n">
        <v>3605000</v>
      </c>
    </row>
    <row r="8992">
      <c r="A8992" s="3" t="inlineStr">
        <is>
          <t>2</t>
        </is>
      </c>
      <c r="B8992" s="3" t="inlineStr">
        <is>
          <t>"Bracket Monitor 50"""</t>
        </is>
      </c>
      <c r="C8992" s="3" t="inlineStr">
        <is>
          <t>unit</t>
        </is>
      </c>
      <c r="D8992" s="15" t="n">
        <v>1</v>
      </c>
      <c r="E8992" s="4" t="n">
        <v>150000</v>
      </c>
      <c r="F8992" s="4" t="n">
        <v>150000</v>
      </c>
    </row>
    <row r="8993">
      <c r="D8993" s="2" t="inlineStr">
        <is>
          <t>SUBTOTAL UPAH</t>
        </is>
      </c>
      <c r="F8993" s="16" t="n">
        <v>191375</v>
      </c>
    </row>
    <row r="8994">
      <c r="D8994" s="2" t="inlineStr">
        <is>
          <t>SUBTOTAL BAHAN</t>
        </is>
      </c>
      <c r="F8994" s="16" t="n">
        <v>3755000</v>
      </c>
    </row>
    <row r="8995">
      <c r="D8995" s="2" t="inlineStr">
        <is>
          <t>SUBTOTAL ALAT</t>
        </is>
      </c>
      <c r="F8995" s="16" t="n">
        <v>0</v>
      </c>
    </row>
    <row r="8996">
      <c r="E8996" s="2" t="inlineStr">
        <is>
          <t>TOTAL HARGA SATUAN (Inc. Overhead)</t>
        </is>
      </c>
      <c r="F8996" s="17" t="n">
        <v>4341012</v>
      </c>
    </row>
    <row r="8998">
      <c r="A8998" s="14" t="inlineStr">
        <is>
          <t>KODE: 5.4.2.8 - Pemasangan 1 Unit  Keyboard + Mouse</t>
        </is>
      </c>
    </row>
    <row r="8999">
      <c r="A8999" s="10" t="inlineStr">
        <is>
          <t>No</t>
        </is>
      </c>
      <c r="B8999" s="10" t="inlineStr">
        <is>
          <t>Uraian Komponen</t>
        </is>
      </c>
      <c r="C8999" s="10" t="inlineStr">
        <is>
          <t>Satuan</t>
        </is>
      </c>
      <c r="D8999" s="10" t="inlineStr">
        <is>
          <t>Koef</t>
        </is>
      </c>
      <c r="E8999" s="10" t="inlineStr">
        <is>
          <t>Harga Satuan (Rp)</t>
        </is>
      </c>
      <c r="F8999" s="10" t="inlineStr">
        <is>
          <t>Jumlah Harga (Rp)</t>
        </is>
      </c>
    </row>
    <row r="9000">
      <c r="A9000" s="3" t="inlineStr">
        <is>
          <t>1</t>
        </is>
      </c>
      <c r="B9000" s="3" t="inlineStr">
        <is>
          <t>Pekerja</t>
        </is>
      </c>
      <c r="C9000" s="3" t="inlineStr">
        <is>
          <t>OH</t>
        </is>
      </c>
      <c r="D9000" s="15" t="n">
        <v>0.048</v>
      </c>
      <c r="E9000" s="4" t="n">
        <v>100000</v>
      </c>
      <c r="F9000" s="4" t="n">
        <v>4800</v>
      </c>
    </row>
    <row r="9001">
      <c r="A9001" s="3" t="inlineStr">
        <is>
          <t>2</t>
        </is>
      </c>
      <c r="B9001" s="3" t="inlineStr">
        <is>
          <t>Tukang listrik</t>
        </is>
      </c>
      <c r="C9001" s="3" t="inlineStr">
        <is>
          <t>OH</t>
        </is>
      </c>
      <c r="D9001" s="15" t="n">
        <v>0.08</v>
      </c>
      <c r="E9001" s="4" t="n">
        <v>145000</v>
      </c>
      <c r="F9001" s="4" t="n">
        <v>11600</v>
      </c>
    </row>
    <row r="9002">
      <c r="A9002" s="3" t="inlineStr">
        <is>
          <t>3</t>
        </is>
      </c>
      <c r="B9002" s="3" t="inlineStr">
        <is>
          <t>Kepala Tukang</t>
        </is>
      </c>
      <c r="C9002" s="3" t="inlineStr">
        <is>
          <t>OH</t>
        </is>
      </c>
      <c r="D9002" s="15" t="n">
        <v>0.008</v>
      </c>
      <c r="E9002" s="4" t="n">
        <v>175000</v>
      </c>
      <c r="F9002" s="4" t="n">
        <v>1400</v>
      </c>
    </row>
    <row r="9003">
      <c r="A9003" s="3" t="inlineStr">
        <is>
          <t>4</t>
        </is>
      </c>
      <c r="B9003" s="3" t="inlineStr">
        <is>
          <t>Mandor</t>
        </is>
      </c>
      <c r="C9003" s="3" t="inlineStr">
        <is>
          <t>OH</t>
        </is>
      </c>
      <c r="D9003" s="15" t="n">
        <v>0.003</v>
      </c>
      <c r="E9003" s="4" t="n">
        <v>200000</v>
      </c>
      <c r="F9003" s="4" t="n">
        <v>600</v>
      </c>
    </row>
    <row r="9004">
      <c r="A9004" s="3" t="inlineStr">
        <is>
          <t>1</t>
        </is>
      </c>
      <c r="B9004" s="3" t="inlineStr">
        <is>
          <t>Keyboard + Mouse</t>
        </is>
      </c>
      <c r="C9004" s="3" t="inlineStr">
        <is>
          <t>unit</t>
        </is>
      </c>
      <c r="D9004" s="15" t="n">
        <v>1.03</v>
      </c>
      <c r="E9004" s="4" t="n">
        <v>350000</v>
      </c>
      <c r="F9004" s="4" t="n">
        <v>360500</v>
      </c>
    </row>
    <row r="9005">
      <c r="D9005" s="2" t="inlineStr">
        <is>
          <t>SUBTOTAL UPAH</t>
        </is>
      </c>
      <c r="F9005" s="16" t="n">
        <v>18400</v>
      </c>
    </row>
    <row r="9006">
      <c r="D9006" s="2" t="inlineStr">
        <is>
          <t>SUBTOTAL BAHAN</t>
        </is>
      </c>
      <c r="F9006" s="16" t="n">
        <v>360500</v>
      </c>
    </row>
    <row r="9007">
      <c r="D9007" s="2" t="inlineStr">
        <is>
          <t>SUBTOTAL ALAT</t>
        </is>
      </c>
      <c r="F9007" s="16" t="n">
        <v>0</v>
      </c>
    </row>
    <row r="9008">
      <c r="E9008" s="2" t="inlineStr">
        <is>
          <t>TOTAL HARGA SATUAN (Inc. Overhead)</t>
        </is>
      </c>
      <c r="F9008" s="17" t="n">
        <v>416790</v>
      </c>
    </row>
    <row r="9010">
      <c r="A9010" s="14" t="inlineStr">
        <is>
          <t>KODE: 5.4.2.9 - Pemasangan 1 Unit  Indoor Fix Dome IP Camera</t>
        </is>
      </c>
    </row>
    <row r="9011">
      <c r="A9011" s="10" t="inlineStr">
        <is>
          <t>No</t>
        </is>
      </c>
      <c r="B9011" s="10" t="inlineStr">
        <is>
          <t>Uraian Komponen</t>
        </is>
      </c>
      <c r="C9011" s="10" t="inlineStr">
        <is>
          <t>Satuan</t>
        </is>
      </c>
      <c r="D9011" s="10" t="inlineStr">
        <is>
          <t>Koef</t>
        </is>
      </c>
      <c r="E9011" s="10" t="inlineStr">
        <is>
          <t>Harga Satuan (Rp)</t>
        </is>
      </c>
      <c r="F9011" s="10" t="inlineStr">
        <is>
          <t>Jumlah Harga (Rp)</t>
        </is>
      </c>
    </row>
    <row r="9012">
      <c r="A9012" s="3" t="inlineStr">
        <is>
          <t>1</t>
        </is>
      </c>
      <c r="B9012" s="3" t="inlineStr">
        <is>
          <t>Pekerja</t>
        </is>
      </c>
      <c r="C9012" s="3" t="inlineStr">
        <is>
          <t>OH</t>
        </is>
      </c>
      <c r="D9012" s="15" t="n">
        <v>0.19</v>
      </c>
      <c r="E9012" s="4" t="n">
        <v>100000</v>
      </c>
      <c r="F9012" s="4" t="n">
        <v>19000</v>
      </c>
    </row>
    <row r="9013">
      <c r="A9013" s="3" t="inlineStr">
        <is>
          <t>2</t>
        </is>
      </c>
      <c r="B9013" s="3" t="inlineStr">
        <is>
          <t>Tukang listrik</t>
        </is>
      </c>
      <c r="C9013" s="3" t="inlineStr">
        <is>
          <t>OH</t>
        </is>
      </c>
      <c r="D9013" s="15" t="n">
        <v>0.318</v>
      </c>
      <c r="E9013" s="4" t="n">
        <v>145000</v>
      </c>
      <c r="F9013" s="4" t="n">
        <v>46110</v>
      </c>
    </row>
    <row r="9014">
      <c r="A9014" s="3" t="inlineStr">
        <is>
          <t>3</t>
        </is>
      </c>
      <c r="B9014" s="3" t="inlineStr">
        <is>
          <t>Kepala Tukang</t>
        </is>
      </c>
      <c r="C9014" s="3" t="inlineStr">
        <is>
          <t>OH</t>
        </is>
      </c>
      <c r="D9014" s="15" t="n">
        <v>0.032</v>
      </c>
      <c r="E9014" s="4" t="n">
        <v>175000</v>
      </c>
      <c r="F9014" s="4" t="n">
        <v>5600</v>
      </c>
    </row>
    <row r="9015">
      <c r="A9015" s="3" t="inlineStr">
        <is>
          <t>4</t>
        </is>
      </c>
      <c r="B9015" s="3" t="inlineStr">
        <is>
          <t>Mandor</t>
        </is>
      </c>
      <c r="C9015" s="3" t="inlineStr">
        <is>
          <t>OH</t>
        </is>
      </c>
      <c r="D9015" s="15" t="n">
        <v>0.011</v>
      </c>
      <c r="E9015" s="4" t="n">
        <v>200000</v>
      </c>
      <c r="F9015" s="4" t="n">
        <v>2200</v>
      </c>
    </row>
    <row r="9016">
      <c r="A9016" s="3" t="inlineStr">
        <is>
          <t>1</t>
        </is>
      </c>
      <c r="B9016" s="3" t="inlineStr">
        <is>
          <t>Indoor Fix Dome IP Camera</t>
        </is>
      </c>
      <c r="C9016" s="3" t="inlineStr">
        <is>
          <t>unit</t>
        </is>
      </c>
      <c r="D9016" s="15" t="n">
        <v>1.05</v>
      </c>
      <c r="E9016" s="4" t="n">
        <v>465000</v>
      </c>
      <c r="F9016" s="4" t="n">
        <v>488250</v>
      </c>
    </row>
    <row r="9017">
      <c r="D9017" s="2" t="inlineStr">
        <is>
          <t>SUBTOTAL UPAH</t>
        </is>
      </c>
      <c r="F9017" s="16" t="n">
        <v>72910</v>
      </c>
    </row>
    <row r="9018">
      <c r="D9018" s="2" t="inlineStr">
        <is>
          <t>SUBTOTAL BAHAN</t>
        </is>
      </c>
      <c r="F9018" s="16" t="n">
        <v>488250</v>
      </c>
    </row>
    <row r="9019">
      <c r="D9019" s="2" t="inlineStr">
        <is>
          <t>SUBTOTAL ALAT</t>
        </is>
      </c>
      <c r="F9019" s="16" t="n">
        <v>0</v>
      </c>
    </row>
    <row r="9020">
      <c r="E9020" s="2" t="inlineStr">
        <is>
          <t>TOTAL HARGA SATUAN (Inc. Overhead)</t>
        </is>
      </c>
      <c r="F9020" s="17" t="n">
        <v>617276</v>
      </c>
    </row>
    <row r="9022">
      <c r="A9022" s="14" t="inlineStr">
        <is>
          <t>KODE: 5.4.2.10 - Pemasangan 1 Unit Outdoor Fix Dome IP Camera</t>
        </is>
      </c>
    </row>
    <row r="9023">
      <c r="A9023" s="10" t="inlineStr">
        <is>
          <t>No</t>
        </is>
      </c>
      <c r="B9023" s="10" t="inlineStr">
        <is>
          <t>Uraian Komponen</t>
        </is>
      </c>
      <c r="C9023" s="10" t="inlineStr">
        <is>
          <t>Satuan</t>
        </is>
      </c>
      <c r="D9023" s="10" t="inlineStr">
        <is>
          <t>Koef</t>
        </is>
      </c>
      <c r="E9023" s="10" t="inlineStr">
        <is>
          <t>Harga Satuan (Rp)</t>
        </is>
      </c>
      <c r="F9023" s="10" t="inlineStr">
        <is>
          <t>Jumlah Harga (Rp)</t>
        </is>
      </c>
    </row>
    <row r="9024">
      <c r="A9024" s="3" t="inlineStr">
        <is>
          <t>1</t>
        </is>
      </c>
      <c r="B9024" s="3" t="inlineStr">
        <is>
          <t>Pekerja</t>
        </is>
      </c>
      <c r="C9024" s="3" t="inlineStr">
        <is>
          <t>OH</t>
        </is>
      </c>
      <c r="D9024" s="15" t="n">
        <v>0.19</v>
      </c>
      <c r="E9024" s="4" t="n">
        <v>100000</v>
      </c>
      <c r="F9024" s="4" t="n">
        <v>19000</v>
      </c>
    </row>
    <row r="9025">
      <c r="A9025" s="3" t="inlineStr">
        <is>
          <t>2</t>
        </is>
      </c>
      <c r="B9025" s="3" t="inlineStr">
        <is>
          <t>Tukang listrik</t>
        </is>
      </c>
      <c r="C9025" s="3" t="inlineStr">
        <is>
          <t>OH</t>
        </is>
      </c>
      <c r="D9025" s="15" t="n">
        <v>0.318</v>
      </c>
      <c r="E9025" s="4" t="n">
        <v>145000</v>
      </c>
      <c r="F9025" s="4" t="n">
        <v>46110</v>
      </c>
    </row>
    <row r="9026">
      <c r="A9026" s="3" t="inlineStr">
        <is>
          <t>3</t>
        </is>
      </c>
      <c r="B9026" s="3" t="inlineStr">
        <is>
          <t>Kepala Tukang</t>
        </is>
      </c>
      <c r="C9026" s="3" t="inlineStr">
        <is>
          <t>OH</t>
        </is>
      </c>
      <c r="D9026" s="15" t="n">
        <v>0.032</v>
      </c>
      <c r="E9026" s="4" t="n">
        <v>175000</v>
      </c>
      <c r="F9026" s="4" t="n">
        <v>5600</v>
      </c>
    </row>
    <row r="9027">
      <c r="A9027" s="3" t="inlineStr">
        <is>
          <t>4</t>
        </is>
      </c>
      <c r="B9027" s="3" t="inlineStr">
        <is>
          <t>Mandor</t>
        </is>
      </c>
      <c r="C9027" s="3" t="inlineStr">
        <is>
          <t>OH</t>
        </is>
      </c>
      <c r="D9027" s="15" t="n">
        <v>0.011</v>
      </c>
      <c r="E9027" s="4" t="n">
        <v>200000</v>
      </c>
      <c r="F9027" s="4" t="n">
        <v>2200</v>
      </c>
    </row>
    <row r="9028">
      <c r="A9028" s="3" t="inlineStr">
        <is>
          <t>1</t>
        </is>
      </c>
      <c r="B9028" s="3" t="inlineStr">
        <is>
          <t>Outdoor Fix Dome IP Camera</t>
        </is>
      </c>
      <c r="C9028" s="3" t="inlineStr">
        <is>
          <t>unit</t>
        </is>
      </c>
      <c r="D9028" s="15" t="n">
        <v>1.05</v>
      </c>
      <c r="E9028" s="4" t="n">
        <v>504000</v>
      </c>
      <c r="F9028" s="4" t="n">
        <v>529200</v>
      </c>
    </row>
    <row r="9029">
      <c r="D9029" s="2" t="inlineStr">
        <is>
          <t>SUBTOTAL UPAH</t>
        </is>
      </c>
      <c r="F9029" s="16" t="n">
        <v>72910</v>
      </c>
    </row>
    <row r="9030">
      <c r="D9030" s="2" t="inlineStr">
        <is>
          <t>SUBTOTAL BAHAN</t>
        </is>
      </c>
      <c r="F9030" s="16" t="n">
        <v>529200</v>
      </c>
    </row>
    <row r="9031">
      <c r="D9031" s="2" t="inlineStr">
        <is>
          <t>SUBTOTAL ALAT</t>
        </is>
      </c>
      <c r="F9031" s="16" t="n">
        <v>0</v>
      </c>
    </row>
    <row r="9032">
      <c r="E9032" s="2" t="inlineStr">
        <is>
          <t>TOTAL HARGA SATUAN (Inc. Overhead)</t>
        </is>
      </c>
      <c r="F9032" s="17" t="n">
        <v>662321</v>
      </c>
    </row>
    <row r="9034">
      <c r="A9034" s="14" t="inlineStr">
        <is>
          <t>KODE: 5.4.2.11 - Pemasangan 1 titik Instalasi Camera CCTV</t>
        </is>
      </c>
    </row>
    <row r="9035">
      <c r="A9035" s="10" t="inlineStr">
        <is>
          <t>No</t>
        </is>
      </c>
      <c r="B9035" s="10" t="inlineStr">
        <is>
          <t>Uraian Komponen</t>
        </is>
      </c>
      <c r="C9035" s="10" t="inlineStr">
        <is>
          <t>Satuan</t>
        </is>
      </c>
      <c r="D9035" s="10" t="inlineStr">
        <is>
          <t>Koef</t>
        </is>
      </c>
      <c r="E9035" s="10" t="inlineStr">
        <is>
          <t>Harga Satuan (Rp)</t>
        </is>
      </c>
      <c r="F9035" s="10" t="inlineStr">
        <is>
          <t>Jumlah Harga (Rp)</t>
        </is>
      </c>
    </row>
    <row r="9036">
      <c r="A9036" s="3" t="inlineStr">
        <is>
          <t>1</t>
        </is>
      </c>
      <c r="B9036" s="3" t="inlineStr">
        <is>
          <t>Pekerja</t>
        </is>
      </c>
      <c r="C9036" s="3" t="inlineStr">
        <is>
          <t>OH</t>
        </is>
      </c>
      <c r="D9036" s="15" t="n">
        <v>0.25</v>
      </c>
      <c r="E9036" s="4" t="n">
        <v>100000</v>
      </c>
      <c r="F9036" s="4" t="n">
        <v>25000</v>
      </c>
    </row>
    <row r="9037">
      <c r="A9037" s="3" t="inlineStr">
        <is>
          <t>2</t>
        </is>
      </c>
      <c r="B9037" s="3" t="inlineStr">
        <is>
          <t>Tukang listrik</t>
        </is>
      </c>
      <c r="C9037" s="3" t="inlineStr">
        <is>
          <t>OH</t>
        </is>
      </c>
      <c r="D9037" s="15" t="n">
        <v>0.418</v>
      </c>
      <c r="E9037" s="4" t="n">
        <v>145000</v>
      </c>
      <c r="F9037" s="4" t="n">
        <v>60610</v>
      </c>
    </row>
    <row r="9038">
      <c r="A9038" s="3" t="inlineStr">
        <is>
          <t>3</t>
        </is>
      </c>
      <c r="B9038" s="3" t="inlineStr">
        <is>
          <t>Kepala Tukang</t>
        </is>
      </c>
      <c r="C9038" s="3" t="inlineStr">
        <is>
          <t>OH</t>
        </is>
      </c>
      <c r="D9038" s="15" t="n">
        <v>0.042</v>
      </c>
      <c r="E9038" s="4" t="n">
        <v>175000</v>
      </c>
      <c r="F9038" s="4" t="n">
        <v>7350.000000000001</v>
      </c>
    </row>
    <row r="9039">
      <c r="A9039" s="3" t="inlineStr">
        <is>
          <t>4</t>
        </is>
      </c>
      <c r="B9039" s="3" t="inlineStr">
        <is>
          <t>Mandor</t>
        </is>
      </c>
      <c r="C9039" s="3" t="inlineStr">
        <is>
          <t>OH</t>
        </is>
      </c>
      <c r="D9039" s="15" t="n">
        <v>0.014</v>
      </c>
      <c r="E9039" s="4" t="n">
        <v>200000</v>
      </c>
      <c r="F9039" s="4" t="n">
        <v>2800</v>
      </c>
    </row>
    <row r="9040">
      <c r="A9040" s="3" t="inlineStr">
        <is>
          <t>1</t>
        </is>
      </c>
      <c r="B9040" s="3" t="inlineStr">
        <is>
          <t>Kabel UTP Cat 6</t>
        </is>
      </c>
      <c r="C9040" s="3" t="inlineStr">
        <is>
          <t>m</t>
        </is>
      </c>
      <c r="D9040" s="15" t="n">
        <v>49.5</v>
      </c>
      <c r="E9040" s="4" t="n">
        <v>1500</v>
      </c>
      <c r="F9040" s="4" t="n">
        <v>74250</v>
      </c>
    </row>
    <row r="9041">
      <c r="A9041" s="3" t="inlineStr">
        <is>
          <t>2</t>
        </is>
      </c>
      <c r="B9041" s="3" t="inlineStr">
        <is>
          <t>Conduit HI 20 mm</t>
        </is>
      </c>
      <c r="C9041" s="3" t="inlineStr">
        <is>
          <t>m</t>
        </is>
      </c>
      <c r="D9041" s="15" t="n">
        <v>49.5</v>
      </c>
      <c r="E9041" s="4" t="n">
        <v>4000</v>
      </c>
      <c r="F9041" s="4" t="n">
        <v>198000</v>
      </c>
    </row>
    <row r="9042">
      <c r="A9042" s="3" t="inlineStr">
        <is>
          <t>3</t>
        </is>
      </c>
      <c r="B9042" s="3" t="inlineStr">
        <is>
          <t>T Dus</t>
        </is>
      </c>
      <c r="C9042" s="3" t="inlineStr">
        <is>
          <t>buah</t>
        </is>
      </c>
      <c r="D9042" s="15" t="n">
        <v>1</v>
      </c>
      <c r="E9042" s="4" t="n">
        <v>4000</v>
      </c>
      <c r="F9042" s="4" t="n">
        <v>4000</v>
      </c>
    </row>
    <row r="9043">
      <c r="A9043" s="3" t="inlineStr">
        <is>
          <t>4</t>
        </is>
      </c>
      <c r="B9043" s="3" t="inlineStr">
        <is>
          <t>Socket Conduit 20 mm</t>
        </is>
      </c>
      <c r="C9043" s="3" t="inlineStr">
        <is>
          <t>buah</t>
        </is>
      </c>
      <c r="D9043" s="15" t="n">
        <v>25</v>
      </c>
      <c r="E9043" s="4" t="n">
        <v>700</v>
      </c>
      <c r="F9043" s="4" t="n">
        <v>17500</v>
      </c>
    </row>
    <row r="9044">
      <c r="A9044" s="3" t="inlineStr">
        <is>
          <t>5</t>
        </is>
      </c>
      <c r="B9044" s="3" t="inlineStr">
        <is>
          <t>Klem 20 mm</t>
        </is>
      </c>
      <c r="C9044" s="3" t="inlineStr">
        <is>
          <t>buah</t>
        </is>
      </c>
      <c r="D9044" s="15" t="n">
        <v>50</v>
      </c>
      <c r="E9044" s="4" t="n">
        <v>900</v>
      </c>
      <c r="F9044" s="4" t="n">
        <v>45000</v>
      </c>
    </row>
    <row r="9045">
      <c r="A9045" s="3" t="inlineStr">
        <is>
          <t>6</t>
        </is>
      </c>
      <c r="B9045" s="3" t="inlineStr">
        <is>
          <t>Flexible Conduit 20 mm</t>
        </is>
      </c>
      <c r="C9045" s="3" t="inlineStr">
        <is>
          <t>buah</t>
        </is>
      </c>
      <c r="D9045" s="15" t="n">
        <v>1</v>
      </c>
      <c r="E9045" s="4" t="n">
        <v>5400</v>
      </c>
      <c r="F9045" s="4" t="n">
        <v>5400</v>
      </c>
    </row>
    <row r="9046">
      <c r="A9046" s="3" t="inlineStr">
        <is>
          <t>7</t>
        </is>
      </c>
      <c r="B9046" s="3" t="inlineStr">
        <is>
          <t>Fischer S6 + Sekrup</t>
        </is>
      </c>
      <c r="C9046" s="3" t="inlineStr">
        <is>
          <t>buah</t>
        </is>
      </c>
      <c r="D9046" s="15" t="n">
        <v>75</v>
      </c>
      <c r="E9046" s="4" t="n">
        <v>21.5</v>
      </c>
      <c r="F9046" s="4" t="n">
        <v>1612.5</v>
      </c>
    </row>
    <row r="9047">
      <c r="D9047" s="2" t="inlineStr">
        <is>
          <t>SUBTOTAL UPAH</t>
        </is>
      </c>
      <c r="F9047" s="16" t="n">
        <v>95760</v>
      </c>
    </row>
    <row r="9048">
      <c r="D9048" s="2" t="inlineStr">
        <is>
          <t>SUBTOTAL BAHAN</t>
        </is>
      </c>
      <c r="F9048" s="16" t="n">
        <v>345762.5</v>
      </c>
    </row>
    <row r="9049">
      <c r="D9049" s="2" t="inlineStr">
        <is>
          <t>SUBTOTAL ALAT</t>
        </is>
      </c>
      <c r="F9049" s="16" t="n">
        <v>0</v>
      </c>
    </row>
    <row r="9050">
      <c r="E9050" s="2" t="inlineStr">
        <is>
          <t>TOTAL HARGA SATUAN (Inc. Overhead)</t>
        </is>
      </c>
      <c r="F9050" s="17" t="n">
        <v>485674</v>
      </c>
    </row>
    <row r="9052">
      <c r="A9052" s="14" t="inlineStr">
        <is>
          <t>KODE: 5.4.2.12 - Pemasangan 1 Unit  LED Monitor 43"</t>
        </is>
      </c>
    </row>
    <row r="9053">
      <c r="A9053" s="10" t="inlineStr">
        <is>
          <t>No</t>
        </is>
      </c>
      <c r="B9053" s="10" t="inlineStr">
        <is>
          <t>Uraian Komponen</t>
        </is>
      </c>
      <c r="C9053" s="10" t="inlineStr">
        <is>
          <t>Satuan</t>
        </is>
      </c>
      <c r="D9053" s="10" t="inlineStr">
        <is>
          <t>Koef</t>
        </is>
      </c>
      <c r="E9053" s="10" t="inlineStr">
        <is>
          <t>Harga Satuan (Rp)</t>
        </is>
      </c>
      <c r="F9053" s="10" t="inlineStr">
        <is>
          <t>Jumlah Harga (Rp)</t>
        </is>
      </c>
    </row>
    <row r="9054">
      <c r="A9054" s="3" t="inlineStr">
        <is>
          <t>1</t>
        </is>
      </c>
      <c r="B9054" s="3" t="inlineStr">
        <is>
          <t>Pekerja</t>
        </is>
      </c>
      <c r="C9054" s="3" t="inlineStr">
        <is>
          <t>OH</t>
        </is>
      </c>
      <c r="D9054" s="15" t="n">
        <v>0.5</v>
      </c>
      <c r="E9054" s="4" t="n">
        <v>100000</v>
      </c>
      <c r="F9054" s="4" t="n">
        <v>50000</v>
      </c>
    </row>
    <row r="9055">
      <c r="A9055" s="3" t="inlineStr">
        <is>
          <t>2</t>
        </is>
      </c>
      <c r="B9055" s="3" t="inlineStr">
        <is>
          <t>Tukang listrik</t>
        </is>
      </c>
      <c r="C9055" s="3" t="inlineStr">
        <is>
          <t>OH</t>
        </is>
      </c>
      <c r="D9055" s="15" t="n">
        <v>0.835</v>
      </c>
      <c r="E9055" s="4" t="n">
        <v>145000</v>
      </c>
      <c r="F9055" s="4" t="n">
        <v>121075</v>
      </c>
    </row>
    <row r="9056">
      <c r="A9056" s="3" t="inlineStr">
        <is>
          <t>3</t>
        </is>
      </c>
      <c r="B9056" s="3" t="inlineStr">
        <is>
          <t>Kepala Tukang</t>
        </is>
      </c>
      <c r="C9056" s="3" t="inlineStr">
        <is>
          <t>OH</t>
        </is>
      </c>
      <c r="D9056" s="15" t="n">
        <v>0.08400000000000001</v>
      </c>
      <c r="E9056" s="4" t="n">
        <v>175000</v>
      </c>
      <c r="F9056" s="4" t="n">
        <v>14700</v>
      </c>
    </row>
    <row r="9057">
      <c r="A9057" s="3" t="inlineStr">
        <is>
          <t>4</t>
        </is>
      </c>
      <c r="B9057" s="3" t="inlineStr">
        <is>
          <t>Mandor</t>
        </is>
      </c>
      <c r="C9057" s="3" t="inlineStr">
        <is>
          <t>OH</t>
        </is>
      </c>
      <c r="D9057" s="15" t="n">
        <v>0.028</v>
      </c>
      <c r="E9057" s="4" t="n">
        <v>200000</v>
      </c>
      <c r="F9057" s="4" t="n">
        <v>5600</v>
      </c>
    </row>
    <row r="9058">
      <c r="A9058" s="3" t="inlineStr">
        <is>
          <t>1</t>
        </is>
      </c>
      <c r="B9058" s="3" t="inlineStr">
        <is>
          <t>"LED Monitor 43"""</t>
        </is>
      </c>
      <c r="C9058" s="3" t="inlineStr">
        <is>
          <t>unit</t>
        </is>
      </c>
      <c r="D9058" s="15" t="n">
        <v>1.03</v>
      </c>
      <c r="E9058" s="4" t="n">
        <v>3000000</v>
      </c>
      <c r="F9058" s="4" t="n">
        <v>3090000</v>
      </c>
    </row>
    <row r="9059">
      <c r="A9059" s="3" t="inlineStr">
        <is>
          <t>2</t>
        </is>
      </c>
      <c r="B9059" s="3" t="inlineStr">
        <is>
          <t>"Bracket Monitor 43"""</t>
        </is>
      </c>
      <c r="C9059" s="3" t="inlineStr">
        <is>
          <t>unit</t>
        </is>
      </c>
      <c r="D9059" s="15" t="n">
        <v>1</v>
      </c>
      <c r="E9059" s="4" t="n">
        <v>150000</v>
      </c>
      <c r="F9059" s="4" t="n">
        <v>150000</v>
      </c>
    </row>
    <row r="9060">
      <c r="D9060" s="2" t="inlineStr">
        <is>
          <t>SUBTOTAL UPAH</t>
        </is>
      </c>
      <c r="F9060" s="16" t="n">
        <v>191375</v>
      </c>
    </row>
    <row r="9061">
      <c r="D9061" s="2" t="inlineStr">
        <is>
          <t>SUBTOTAL BAHAN</t>
        </is>
      </c>
      <c r="F9061" s="16" t="n">
        <v>3240000</v>
      </c>
    </row>
    <row r="9062">
      <c r="D9062" s="2" t="inlineStr">
        <is>
          <t>SUBTOTAL ALAT</t>
        </is>
      </c>
      <c r="F9062" s="16" t="n">
        <v>0</v>
      </c>
    </row>
    <row r="9063">
      <c r="E9063" s="2" t="inlineStr">
        <is>
          <t>TOTAL HARGA SATUAN (Inc. Overhead)</t>
        </is>
      </c>
      <c r="F9063" s="17" t="n">
        <v>3774512</v>
      </c>
    </row>
    <row r="9065">
      <c r="A9065" s="14" t="inlineStr">
        <is>
          <t>KODE: 5.4.2.13 - Pemasangan 1 Unit  LED Monitor 32"</t>
        </is>
      </c>
    </row>
    <row r="9066">
      <c r="A9066" s="10" t="inlineStr">
        <is>
          <t>No</t>
        </is>
      </c>
      <c r="B9066" s="10" t="inlineStr">
        <is>
          <t>Uraian Komponen</t>
        </is>
      </c>
      <c r="C9066" s="10" t="inlineStr">
        <is>
          <t>Satuan</t>
        </is>
      </c>
      <c r="D9066" s="10" t="inlineStr">
        <is>
          <t>Koef</t>
        </is>
      </c>
      <c r="E9066" s="10" t="inlineStr">
        <is>
          <t>Harga Satuan (Rp)</t>
        </is>
      </c>
      <c r="F9066" s="10" t="inlineStr">
        <is>
          <t>Jumlah Harga (Rp)</t>
        </is>
      </c>
    </row>
    <row r="9067">
      <c r="A9067" s="3" t="inlineStr">
        <is>
          <t>1</t>
        </is>
      </c>
      <c r="B9067" s="3" t="inlineStr">
        <is>
          <t>Pekerja</t>
        </is>
      </c>
      <c r="C9067" s="3" t="inlineStr">
        <is>
          <t>OH</t>
        </is>
      </c>
      <c r="D9067" s="15" t="n">
        <v>0.32</v>
      </c>
      <c r="E9067" s="4" t="n">
        <v>100000</v>
      </c>
      <c r="F9067" s="4" t="n">
        <v>32000</v>
      </c>
    </row>
    <row r="9068">
      <c r="A9068" s="3" t="inlineStr">
        <is>
          <t>2</t>
        </is>
      </c>
      <c r="B9068" s="3" t="inlineStr">
        <is>
          <t>Tukang listrik</t>
        </is>
      </c>
      <c r="C9068" s="3" t="inlineStr">
        <is>
          <t>OH</t>
        </is>
      </c>
      <c r="D9068" s="15" t="n">
        <v>0.534</v>
      </c>
      <c r="E9068" s="4" t="n">
        <v>145000</v>
      </c>
      <c r="F9068" s="4" t="n">
        <v>77430</v>
      </c>
    </row>
    <row r="9069">
      <c r="A9069" s="3" t="inlineStr">
        <is>
          <t>3</t>
        </is>
      </c>
      <c r="B9069" s="3" t="inlineStr">
        <is>
          <t>Kepala Tukang</t>
        </is>
      </c>
      <c r="C9069" s="3" t="inlineStr">
        <is>
          <t>OH</t>
        </is>
      </c>
      <c r="D9069" s="15" t="n">
        <v>0.053</v>
      </c>
      <c r="E9069" s="4" t="n">
        <v>175000</v>
      </c>
      <c r="F9069" s="4" t="n">
        <v>9275</v>
      </c>
    </row>
    <row r="9070">
      <c r="A9070" s="3" t="inlineStr">
        <is>
          <t>4</t>
        </is>
      </c>
      <c r="B9070" s="3" t="inlineStr">
        <is>
          <t>Mandor</t>
        </is>
      </c>
      <c r="C9070" s="3" t="inlineStr">
        <is>
          <t>OH</t>
        </is>
      </c>
      <c r="D9070" s="15" t="n">
        <v>0.018</v>
      </c>
      <c r="E9070" s="4" t="n">
        <v>200000</v>
      </c>
      <c r="F9070" s="4" t="n">
        <v>3600</v>
      </c>
    </row>
    <row r="9071">
      <c r="A9071" s="3" t="inlineStr">
        <is>
          <t>1</t>
        </is>
      </c>
      <c r="B9071" s="3" t="inlineStr">
        <is>
          <t>"LED Monitor 32"""</t>
        </is>
      </c>
      <c r="C9071" s="3" t="inlineStr">
        <is>
          <t>unit</t>
        </is>
      </c>
      <c r="D9071" s="15" t="n">
        <v>1.03</v>
      </c>
      <c r="E9071" s="4" t="n">
        <v>2500000</v>
      </c>
      <c r="F9071" s="4" t="n">
        <v>2575000</v>
      </c>
    </row>
    <row r="9072">
      <c r="A9072" s="3" t="inlineStr">
        <is>
          <t>2</t>
        </is>
      </c>
      <c r="B9072" s="3" t="inlineStr">
        <is>
          <t>"Bracket Monitor 32"""</t>
        </is>
      </c>
      <c r="C9072" s="3" t="inlineStr">
        <is>
          <t>unit</t>
        </is>
      </c>
      <c r="D9072" s="15" t="n">
        <v>1</v>
      </c>
      <c r="E9072" s="4" t="n">
        <v>88500</v>
      </c>
      <c r="F9072" s="4" t="n">
        <v>88500</v>
      </c>
    </row>
    <row r="9073">
      <c r="D9073" s="2" t="inlineStr">
        <is>
          <t>SUBTOTAL UPAH</t>
        </is>
      </c>
      <c r="F9073" s="16" t="n">
        <v>122305</v>
      </c>
    </row>
    <row r="9074">
      <c r="D9074" s="2" t="inlineStr">
        <is>
          <t>SUBTOTAL BAHAN</t>
        </is>
      </c>
      <c r="F9074" s="16" t="n">
        <v>2663500</v>
      </c>
    </row>
    <row r="9075">
      <c r="D9075" s="2" t="inlineStr">
        <is>
          <t>SUBTOTAL ALAT</t>
        </is>
      </c>
      <c r="F9075" s="16" t="n">
        <v>0</v>
      </c>
    </row>
    <row r="9076">
      <c r="E9076" s="2" t="inlineStr">
        <is>
          <t>TOTAL HARGA SATUAN (Inc. Overhead)</t>
        </is>
      </c>
      <c r="F9076" s="17" t="n">
        <v>3064385</v>
      </c>
    </row>
    <row r="9078">
      <c r="A9078" s="14" t="inlineStr">
        <is>
          <t>KODE: 5.4.2.14 - Pemasangan 1 Unit  RAK HUB 15 U ( Lengkap dengan Power Outlet)</t>
        </is>
      </c>
    </row>
    <row r="9079">
      <c r="A9079" s="10" t="inlineStr">
        <is>
          <t>No</t>
        </is>
      </c>
      <c r="B9079" s="10" t="inlineStr">
        <is>
          <t>Uraian Komponen</t>
        </is>
      </c>
      <c r="C9079" s="10" t="inlineStr">
        <is>
          <t>Satuan</t>
        </is>
      </c>
      <c r="D9079" s="10" t="inlineStr">
        <is>
          <t>Koef</t>
        </is>
      </c>
      <c r="E9079" s="10" t="inlineStr">
        <is>
          <t>Harga Satuan (Rp)</t>
        </is>
      </c>
      <c r="F9079" s="10" t="inlineStr">
        <is>
          <t>Jumlah Harga (Rp)</t>
        </is>
      </c>
    </row>
    <row r="9080">
      <c r="A9080" s="3" t="inlineStr">
        <is>
          <t>1</t>
        </is>
      </c>
      <c r="B9080" s="3" t="inlineStr">
        <is>
          <t>Pekerja</t>
        </is>
      </c>
      <c r="C9080" s="3" t="inlineStr">
        <is>
          <t>OH</t>
        </is>
      </c>
      <c r="D9080" s="15" t="n">
        <v>0.381</v>
      </c>
      <c r="E9080" s="4" t="n">
        <v>100000</v>
      </c>
      <c r="F9080" s="4" t="n">
        <v>38100</v>
      </c>
    </row>
    <row r="9081">
      <c r="A9081" s="3" t="inlineStr">
        <is>
          <t>2</t>
        </is>
      </c>
      <c r="B9081" s="3" t="inlineStr">
        <is>
          <t>Tukang listrik</t>
        </is>
      </c>
      <c r="C9081" s="3" t="inlineStr">
        <is>
          <t>OH</t>
        </is>
      </c>
      <c r="D9081" s="15" t="n">
        <v>0.636</v>
      </c>
      <c r="E9081" s="4" t="n">
        <v>145000</v>
      </c>
      <c r="F9081" s="4" t="n">
        <v>92220</v>
      </c>
    </row>
    <row r="9082">
      <c r="A9082" s="3" t="inlineStr">
        <is>
          <t>3</t>
        </is>
      </c>
      <c r="B9082" s="3" t="inlineStr">
        <is>
          <t>Kepala Tukang</t>
        </is>
      </c>
      <c r="C9082" s="3" t="inlineStr">
        <is>
          <t>OH</t>
        </is>
      </c>
      <c r="D9082" s="15" t="n">
        <v>0.064</v>
      </c>
      <c r="E9082" s="4" t="n">
        <v>175000</v>
      </c>
      <c r="F9082" s="4" t="n">
        <v>11200</v>
      </c>
    </row>
    <row r="9083">
      <c r="A9083" s="3" t="inlineStr">
        <is>
          <t>4</t>
        </is>
      </c>
      <c r="B9083" s="3" t="inlineStr">
        <is>
          <t>Mandor</t>
        </is>
      </c>
      <c r="C9083" s="3" t="inlineStr">
        <is>
          <t>OH</t>
        </is>
      </c>
      <c r="D9083" s="15" t="n">
        <v>0.021</v>
      </c>
      <c r="E9083" s="4" t="n">
        <v>200000</v>
      </c>
      <c r="F9083" s="4" t="n">
        <v>4200</v>
      </c>
    </row>
    <row r="9084">
      <c r="A9084" s="3" t="inlineStr">
        <is>
          <t>1</t>
        </is>
      </c>
      <c r="B9084" s="3" t="inlineStr">
        <is>
          <t>"Rak 19"" 15 U Lengkap dengan Power Outlet "</t>
        </is>
      </c>
      <c r="C9084" s="3" t="inlineStr">
        <is>
          <t>unit</t>
        </is>
      </c>
      <c r="D9084" s="15" t="n">
        <v>1.05</v>
      </c>
      <c r="E9084" s="4" t="n">
        <v>1200000</v>
      </c>
      <c r="F9084" s="4" t="n">
        <v>1260000</v>
      </c>
    </row>
    <row r="9085">
      <c r="D9085" s="2" t="inlineStr">
        <is>
          <t>SUBTOTAL UPAH</t>
        </is>
      </c>
      <c r="F9085" s="16" t="n">
        <v>145720</v>
      </c>
    </row>
    <row r="9086">
      <c r="D9086" s="2" t="inlineStr">
        <is>
          <t>SUBTOTAL BAHAN</t>
        </is>
      </c>
      <c r="F9086" s="16" t="n">
        <v>1260000</v>
      </c>
    </row>
    <row r="9087">
      <c r="D9087" s="2" t="inlineStr">
        <is>
          <t>SUBTOTAL ALAT</t>
        </is>
      </c>
      <c r="F9087" s="16" t="n">
        <v>0</v>
      </c>
    </row>
    <row r="9088">
      <c r="E9088" s="2" t="inlineStr">
        <is>
          <t>TOTAL HARGA SATUAN (Inc. Overhead)</t>
        </is>
      </c>
      <c r="F9088" s="17" t="n">
        <v>1546292</v>
      </c>
    </row>
    <row r="9090">
      <c r="A9090" s="14" t="inlineStr">
        <is>
          <t>KODE: 5.4.2.15 - Pemasangan 1 Unit Rack Mount 10 U</t>
        </is>
      </c>
    </row>
    <row r="9091">
      <c r="A9091" s="10" t="inlineStr">
        <is>
          <t>No</t>
        </is>
      </c>
      <c r="B9091" s="10" t="inlineStr">
        <is>
          <t>Uraian Komponen</t>
        </is>
      </c>
      <c r="C9091" s="10" t="inlineStr">
        <is>
          <t>Satuan</t>
        </is>
      </c>
      <c r="D9091" s="10" t="inlineStr">
        <is>
          <t>Koef</t>
        </is>
      </c>
      <c r="E9091" s="10" t="inlineStr">
        <is>
          <t>Harga Satuan (Rp)</t>
        </is>
      </c>
      <c r="F9091" s="10" t="inlineStr">
        <is>
          <t>Jumlah Harga (Rp)</t>
        </is>
      </c>
    </row>
    <row r="9092">
      <c r="A9092" s="3" t="inlineStr">
        <is>
          <t>1</t>
        </is>
      </c>
      <c r="B9092" s="3" t="inlineStr">
        <is>
          <t>Pekerja</t>
        </is>
      </c>
      <c r="C9092" s="3" t="inlineStr">
        <is>
          <t>OH</t>
        </is>
      </c>
      <c r="D9092" s="15" t="n">
        <v>0.381</v>
      </c>
      <c r="E9092" s="4" t="n">
        <v>100000</v>
      </c>
      <c r="F9092" s="4" t="n">
        <v>38100</v>
      </c>
    </row>
    <row r="9093">
      <c r="A9093" s="3" t="inlineStr">
        <is>
          <t>2</t>
        </is>
      </c>
      <c r="B9093" s="3" t="inlineStr">
        <is>
          <t>Tukang listrik</t>
        </is>
      </c>
      <c r="C9093" s="3" t="inlineStr">
        <is>
          <t>OH</t>
        </is>
      </c>
      <c r="D9093" s="15" t="n">
        <v>0.636</v>
      </c>
      <c r="E9093" s="4" t="n">
        <v>145000</v>
      </c>
      <c r="F9093" s="4" t="n">
        <v>92220</v>
      </c>
    </row>
    <row r="9094">
      <c r="A9094" s="3" t="inlineStr">
        <is>
          <t>3</t>
        </is>
      </c>
      <c r="B9094" s="3" t="inlineStr">
        <is>
          <t>Kepala Tukang</t>
        </is>
      </c>
      <c r="C9094" s="3" t="inlineStr">
        <is>
          <t>OH</t>
        </is>
      </c>
      <c r="D9094" s="15" t="n">
        <v>0.064</v>
      </c>
      <c r="E9094" s="4" t="n">
        <v>175000</v>
      </c>
      <c r="F9094" s="4" t="n">
        <v>11200</v>
      </c>
    </row>
    <row r="9095">
      <c r="A9095" s="3" t="inlineStr">
        <is>
          <t>4</t>
        </is>
      </c>
      <c r="B9095" s="3" t="inlineStr">
        <is>
          <t>Mandor</t>
        </is>
      </c>
      <c r="C9095" s="3" t="inlineStr">
        <is>
          <t>OH</t>
        </is>
      </c>
      <c r="D9095" s="15" t="n">
        <v>0.021</v>
      </c>
      <c r="E9095" s="4" t="n">
        <v>200000</v>
      </c>
      <c r="F9095" s="4" t="n">
        <v>4200</v>
      </c>
    </row>
    <row r="9096">
      <c r="A9096" s="3" t="inlineStr">
        <is>
          <t>1</t>
        </is>
      </c>
      <c r="B9096" s="3" t="inlineStr">
        <is>
          <t>Rack Mount 10 U</t>
        </is>
      </c>
      <c r="C9096" s="3" t="inlineStr">
        <is>
          <t>unit</t>
        </is>
      </c>
      <c r="D9096" s="15" t="n">
        <v>1.05</v>
      </c>
      <c r="E9096" s="4" t="n">
        <v>600000</v>
      </c>
      <c r="F9096" s="4" t="n">
        <v>630000</v>
      </c>
    </row>
    <row r="9097">
      <c r="D9097" s="2" t="inlineStr">
        <is>
          <t>SUBTOTAL UPAH</t>
        </is>
      </c>
      <c r="F9097" s="16" t="n">
        <v>145720</v>
      </c>
    </row>
    <row r="9098">
      <c r="D9098" s="2" t="inlineStr">
        <is>
          <t>SUBTOTAL BAHAN</t>
        </is>
      </c>
      <c r="F9098" s="16" t="n">
        <v>630000</v>
      </c>
    </row>
    <row r="9099">
      <c r="D9099" s="2" t="inlineStr">
        <is>
          <t>SUBTOTAL ALAT</t>
        </is>
      </c>
      <c r="F9099" s="16" t="n">
        <v>0</v>
      </c>
    </row>
    <row r="9100">
      <c r="E9100" s="2" t="inlineStr">
        <is>
          <t>TOTAL HARGA SATUAN (Inc. Overhead)</t>
        </is>
      </c>
      <c r="F9100" s="17" t="n">
        <v>853292</v>
      </c>
    </row>
    <row r="9102">
      <c r="A9102" s="14" t="inlineStr">
        <is>
          <t>KODE: 5.4.2.16 - Pemasangan 1 Unit Outdoor Smart Wifi CCTV 360</t>
        </is>
      </c>
    </row>
    <row r="9103">
      <c r="A9103" s="10" t="inlineStr">
        <is>
          <t>No</t>
        </is>
      </c>
      <c r="B9103" s="10" t="inlineStr">
        <is>
          <t>Uraian Komponen</t>
        </is>
      </c>
      <c r="C9103" s="10" t="inlineStr">
        <is>
          <t>Satuan</t>
        </is>
      </c>
      <c r="D9103" s="10" t="inlineStr">
        <is>
          <t>Koef</t>
        </is>
      </c>
      <c r="E9103" s="10" t="inlineStr">
        <is>
          <t>Harga Satuan (Rp)</t>
        </is>
      </c>
      <c r="F9103" s="10" t="inlineStr">
        <is>
          <t>Jumlah Harga (Rp)</t>
        </is>
      </c>
    </row>
    <row r="9104">
      <c r="A9104" s="3" t="inlineStr">
        <is>
          <t>1</t>
        </is>
      </c>
      <c r="B9104" s="3" t="inlineStr">
        <is>
          <t>Pekerja</t>
        </is>
      </c>
      <c r="C9104" s="3" t="inlineStr">
        <is>
          <t>OH</t>
        </is>
      </c>
      <c r="D9104" s="15" t="n">
        <v>0.19</v>
      </c>
      <c r="E9104" s="4" t="n">
        <v>100000</v>
      </c>
      <c r="F9104" s="4" t="n">
        <v>19000</v>
      </c>
    </row>
    <row r="9105">
      <c r="A9105" s="3" t="inlineStr">
        <is>
          <t>2</t>
        </is>
      </c>
      <c r="B9105" s="3" t="inlineStr">
        <is>
          <t>Tukang listrik</t>
        </is>
      </c>
      <c r="C9105" s="3" t="inlineStr">
        <is>
          <t>OH</t>
        </is>
      </c>
      <c r="D9105" s="15" t="n">
        <v>0.318</v>
      </c>
      <c r="E9105" s="4" t="n">
        <v>145000</v>
      </c>
      <c r="F9105" s="4" t="n">
        <v>46110</v>
      </c>
    </row>
    <row r="9106">
      <c r="A9106" s="3" t="inlineStr">
        <is>
          <t>3</t>
        </is>
      </c>
      <c r="B9106" s="3" t="inlineStr">
        <is>
          <t>Kepala Tukang</t>
        </is>
      </c>
      <c r="C9106" s="3" t="inlineStr">
        <is>
          <t>OH</t>
        </is>
      </c>
      <c r="D9106" s="15" t="n">
        <v>0.032</v>
      </c>
      <c r="E9106" s="4" t="n">
        <v>175000</v>
      </c>
      <c r="F9106" s="4" t="n">
        <v>5600</v>
      </c>
    </row>
    <row r="9107">
      <c r="A9107" s="3" t="inlineStr">
        <is>
          <t>4</t>
        </is>
      </c>
      <c r="B9107" s="3" t="inlineStr">
        <is>
          <t>Mandor</t>
        </is>
      </c>
      <c r="C9107" s="3" t="inlineStr">
        <is>
          <t>OH</t>
        </is>
      </c>
      <c r="D9107" s="15" t="n">
        <v>0.011</v>
      </c>
      <c r="E9107" s="4" t="n">
        <v>200000</v>
      </c>
      <c r="F9107" s="4" t="n">
        <v>2200</v>
      </c>
    </row>
    <row r="9108">
      <c r="A9108" s="3" t="inlineStr">
        <is>
          <t>1</t>
        </is>
      </c>
      <c r="B9108" s="3" t="inlineStr">
        <is>
          <t>Outdoor Smart Wifi CCTV 360 termasuk breket PTZ</t>
        </is>
      </c>
      <c r="C9108" s="3" t="inlineStr">
        <is>
          <t>unit</t>
        </is>
      </c>
      <c r="D9108" s="15" t="n">
        <v>1.05</v>
      </c>
      <c r="E9108" s="4" t="n">
        <v>2500000</v>
      </c>
      <c r="F9108" s="4" t="n">
        <v>2625000</v>
      </c>
    </row>
    <row r="9109">
      <c r="D9109" s="2" t="inlineStr">
        <is>
          <t>SUBTOTAL UPAH</t>
        </is>
      </c>
      <c r="F9109" s="16" t="n">
        <v>72910</v>
      </c>
    </row>
    <row r="9110">
      <c r="D9110" s="2" t="inlineStr">
        <is>
          <t>SUBTOTAL BAHAN</t>
        </is>
      </c>
      <c r="F9110" s="16" t="n">
        <v>2625000</v>
      </c>
    </row>
    <row r="9111">
      <c r="D9111" s="2" t="inlineStr">
        <is>
          <t>SUBTOTAL ALAT</t>
        </is>
      </c>
      <c r="F9111" s="16" t="n">
        <v>0</v>
      </c>
    </row>
    <row r="9112">
      <c r="E9112" s="2" t="inlineStr">
        <is>
          <t>TOTAL HARGA SATUAN (Inc. Overhead)</t>
        </is>
      </c>
      <c r="F9112" s="17" t="n">
        <v>2967701</v>
      </c>
    </row>
    <row r="9114">
      <c r="A9114" s="14" t="inlineStr">
        <is>
          <t>KODE: 5.4.3.1 - Pemasangan 1 Unit MDF - SS</t>
        </is>
      </c>
    </row>
    <row r="9115">
      <c r="A9115" s="10" t="inlineStr">
        <is>
          <t>No</t>
        </is>
      </c>
      <c r="B9115" s="10" t="inlineStr">
        <is>
          <t>Uraian Komponen</t>
        </is>
      </c>
      <c r="C9115" s="10" t="inlineStr">
        <is>
          <t>Satuan</t>
        </is>
      </c>
      <c r="D9115" s="10" t="inlineStr">
        <is>
          <t>Koef</t>
        </is>
      </c>
      <c r="E9115" s="10" t="inlineStr">
        <is>
          <t>Harga Satuan (Rp)</t>
        </is>
      </c>
      <c r="F9115" s="10" t="inlineStr">
        <is>
          <t>Jumlah Harga (Rp)</t>
        </is>
      </c>
    </row>
    <row r="9116">
      <c r="A9116" s="3" t="inlineStr">
        <is>
          <t>1</t>
        </is>
      </c>
      <c r="B9116" s="3" t="inlineStr">
        <is>
          <t>Pekerja</t>
        </is>
      </c>
      <c r="C9116" s="3" t="inlineStr">
        <is>
          <t>OH</t>
        </is>
      </c>
      <c r="D9116" s="15" t="n">
        <v>0.129</v>
      </c>
      <c r="E9116" s="4" t="n">
        <v>100000</v>
      </c>
      <c r="F9116" s="4" t="n">
        <v>12900</v>
      </c>
    </row>
    <row r="9117">
      <c r="A9117" s="3" t="inlineStr">
        <is>
          <t>2</t>
        </is>
      </c>
      <c r="B9117" s="3" t="inlineStr">
        <is>
          <t>Tukang listrik</t>
        </is>
      </c>
      <c r="C9117" s="3" t="inlineStr">
        <is>
          <t>OH</t>
        </is>
      </c>
      <c r="D9117" s="15" t="n">
        <v>0.215</v>
      </c>
      <c r="E9117" s="4" t="n">
        <v>145000</v>
      </c>
      <c r="F9117" s="4" t="n">
        <v>31175</v>
      </c>
    </row>
    <row r="9118">
      <c r="A9118" s="3" t="inlineStr">
        <is>
          <t>3</t>
        </is>
      </c>
      <c r="B9118" s="3" t="inlineStr">
        <is>
          <t>Kepala Tukang</t>
        </is>
      </c>
      <c r="C9118" s="3" t="inlineStr">
        <is>
          <t>OH</t>
        </is>
      </c>
      <c r="D9118" s="15" t="n">
        <v>0.021</v>
      </c>
      <c r="E9118" s="4" t="n">
        <v>175000</v>
      </c>
      <c r="F9118" s="4" t="n">
        <v>3675</v>
      </c>
    </row>
    <row r="9119">
      <c r="A9119" s="3" t="inlineStr">
        <is>
          <t>4</t>
        </is>
      </c>
      <c r="B9119" s="3" t="inlineStr">
        <is>
          <t>Mandor</t>
        </is>
      </c>
      <c r="C9119" s="3" t="inlineStr">
        <is>
          <t>OH</t>
        </is>
      </c>
      <c r="D9119" s="15" t="n">
        <v>0.007</v>
      </c>
      <c r="E9119" s="4" t="n">
        <v>200000</v>
      </c>
      <c r="F9119" s="4" t="n">
        <v>1400</v>
      </c>
    </row>
    <row r="9120">
      <c r="A9120" s="3" t="inlineStr">
        <is>
          <t>1</t>
        </is>
      </c>
      <c r="B9120" s="3" t="inlineStr">
        <is>
          <t>MDF-SS</t>
        </is>
      </c>
      <c r="C9120" s="3" t="inlineStr">
        <is>
          <t>unit</t>
        </is>
      </c>
      <c r="D9120" s="15" t="n">
        <v>1.05</v>
      </c>
      <c r="E9120" s="4" t="n">
        <v>1450000</v>
      </c>
      <c r="F9120" s="4" t="n">
        <v>1522500</v>
      </c>
    </row>
    <row r="9121">
      <c r="D9121" s="2" t="inlineStr">
        <is>
          <t>SUBTOTAL UPAH</t>
        </is>
      </c>
      <c r="F9121" s="16" t="n">
        <v>49150</v>
      </c>
    </row>
    <row r="9122">
      <c r="D9122" s="2" t="inlineStr">
        <is>
          <t>SUBTOTAL BAHAN</t>
        </is>
      </c>
      <c r="F9122" s="16" t="n">
        <v>1522500</v>
      </c>
    </row>
    <row r="9123">
      <c r="D9123" s="2" t="inlineStr">
        <is>
          <t>SUBTOTAL ALAT</t>
        </is>
      </c>
      <c r="F9123" s="16" t="n">
        <v>0</v>
      </c>
    </row>
    <row r="9124">
      <c r="E9124" s="2" t="inlineStr">
        <is>
          <t>TOTAL HARGA SATUAN (Inc. Overhead)</t>
        </is>
      </c>
      <c r="F9124" s="17" t="n">
        <v>1728815</v>
      </c>
    </row>
    <row r="9126">
      <c r="A9126" s="14" t="inlineStr">
        <is>
          <t>KODE: 5.4.3.2 - Pemasangan 1 Unit Selector Switch c/w Control Panel</t>
        </is>
      </c>
    </row>
    <row r="9127">
      <c r="A9127" s="10" t="inlineStr">
        <is>
          <t>No</t>
        </is>
      </c>
      <c r="B9127" s="10" t="inlineStr">
        <is>
          <t>Uraian Komponen</t>
        </is>
      </c>
      <c r="C9127" s="10" t="inlineStr">
        <is>
          <t>Satuan</t>
        </is>
      </c>
      <c r="D9127" s="10" t="inlineStr">
        <is>
          <t>Koef</t>
        </is>
      </c>
      <c r="E9127" s="10" t="inlineStr">
        <is>
          <t>Harga Satuan (Rp)</t>
        </is>
      </c>
      <c r="F9127" s="10" t="inlineStr">
        <is>
          <t>Jumlah Harga (Rp)</t>
        </is>
      </c>
    </row>
    <row r="9128">
      <c r="A9128" s="3" t="inlineStr">
        <is>
          <t>1</t>
        </is>
      </c>
      <c r="B9128" s="3" t="inlineStr">
        <is>
          <t>Pekerja</t>
        </is>
      </c>
      <c r="C9128" s="3" t="inlineStr">
        <is>
          <t>OH</t>
        </is>
      </c>
      <c r="D9128" s="15" t="n">
        <v>0.381</v>
      </c>
      <c r="E9128" s="4" t="n">
        <v>100000</v>
      </c>
      <c r="F9128" s="4" t="n">
        <v>38100</v>
      </c>
    </row>
    <row r="9129">
      <c r="A9129" s="3" t="inlineStr">
        <is>
          <t>2</t>
        </is>
      </c>
      <c r="B9129" s="3" t="inlineStr">
        <is>
          <t>Tukang listrik</t>
        </is>
      </c>
      <c r="C9129" s="3" t="inlineStr">
        <is>
          <t>OH</t>
        </is>
      </c>
      <c r="D9129" s="15" t="n">
        <v>0.636</v>
      </c>
      <c r="E9129" s="4" t="n">
        <v>145000</v>
      </c>
      <c r="F9129" s="4" t="n">
        <v>92220</v>
      </c>
    </row>
    <row r="9130">
      <c r="A9130" s="3" t="inlineStr">
        <is>
          <t>3</t>
        </is>
      </c>
      <c r="B9130" s="3" t="inlineStr">
        <is>
          <t>Kepala Tukang</t>
        </is>
      </c>
      <c r="C9130" s="3" t="inlineStr">
        <is>
          <t>OH</t>
        </is>
      </c>
      <c r="D9130" s="15" t="n">
        <v>0.064</v>
      </c>
      <c r="E9130" s="4" t="n">
        <v>175000</v>
      </c>
      <c r="F9130" s="4" t="n">
        <v>11200</v>
      </c>
    </row>
    <row r="9131">
      <c r="A9131" s="3" t="inlineStr">
        <is>
          <t>4</t>
        </is>
      </c>
      <c r="B9131" s="3" t="inlineStr">
        <is>
          <t>Mandor</t>
        </is>
      </c>
      <c r="C9131" s="3" t="inlineStr">
        <is>
          <t>OH</t>
        </is>
      </c>
      <c r="D9131" s="15" t="n">
        <v>0.021</v>
      </c>
      <c r="E9131" s="4" t="n">
        <v>200000</v>
      </c>
      <c r="F9131" s="4" t="n">
        <v>4200</v>
      </c>
    </row>
    <row r="9132">
      <c r="A9132" s="3" t="inlineStr">
        <is>
          <t>1</t>
        </is>
      </c>
      <c r="B9132" s="3" t="inlineStr">
        <is>
          <t>Selector Switch c/w Control Panel</t>
        </is>
      </c>
      <c r="C9132" s="3" t="inlineStr">
        <is>
          <t>unit</t>
        </is>
      </c>
      <c r="D9132" s="15" t="n">
        <v>1.05</v>
      </c>
      <c r="E9132" s="4" t="n">
        <v>850000</v>
      </c>
      <c r="F9132" s="4" t="n">
        <v>892500</v>
      </c>
    </row>
    <row r="9133">
      <c r="D9133" s="2" t="inlineStr">
        <is>
          <t>SUBTOTAL UPAH</t>
        </is>
      </c>
      <c r="F9133" s="16" t="n">
        <v>145720</v>
      </c>
    </row>
    <row r="9134">
      <c r="D9134" s="2" t="inlineStr">
        <is>
          <t>SUBTOTAL BAHAN</t>
        </is>
      </c>
      <c r="F9134" s="16" t="n">
        <v>892500</v>
      </c>
    </row>
    <row r="9135">
      <c r="D9135" s="2" t="inlineStr">
        <is>
          <t>SUBTOTAL ALAT</t>
        </is>
      </c>
      <c r="F9135" s="16" t="n">
        <v>0</v>
      </c>
    </row>
    <row r="9136">
      <c r="E9136" s="2" t="inlineStr">
        <is>
          <t>TOTAL HARGA SATUAN (Inc. Overhead)</t>
        </is>
      </c>
      <c r="F9136" s="17" t="n">
        <v>1142042</v>
      </c>
    </row>
    <row r="9138">
      <c r="A9138" s="14" t="inlineStr">
        <is>
          <t>KODE: 5.4.3.3 - Pemasangan 1 Unit Power Amplifier 360 Watt</t>
        </is>
      </c>
    </row>
    <row r="9139">
      <c r="A9139" s="10" t="inlineStr">
        <is>
          <t>No</t>
        </is>
      </c>
      <c r="B9139" s="10" t="inlineStr">
        <is>
          <t>Uraian Komponen</t>
        </is>
      </c>
      <c r="C9139" s="10" t="inlineStr">
        <is>
          <t>Satuan</t>
        </is>
      </c>
      <c r="D9139" s="10" t="inlineStr">
        <is>
          <t>Koef</t>
        </is>
      </c>
      <c r="E9139" s="10" t="inlineStr">
        <is>
          <t>Harga Satuan (Rp)</t>
        </is>
      </c>
      <c r="F9139" s="10" t="inlineStr">
        <is>
          <t>Jumlah Harga (Rp)</t>
        </is>
      </c>
    </row>
    <row r="9140">
      <c r="A9140" s="3" t="inlineStr">
        <is>
          <t>1</t>
        </is>
      </c>
      <c r="B9140" s="3" t="inlineStr">
        <is>
          <t>Pekerja</t>
        </is>
      </c>
      <c r="C9140" s="3" t="inlineStr">
        <is>
          <t>OH</t>
        </is>
      </c>
      <c r="D9140" s="15" t="n">
        <v>0.19</v>
      </c>
      <c r="E9140" s="4" t="n">
        <v>100000</v>
      </c>
      <c r="F9140" s="4" t="n">
        <v>19000</v>
      </c>
    </row>
    <row r="9141">
      <c r="A9141" s="3" t="inlineStr">
        <is>
          <t>2</t>
        </is>
      </c>
      <c r="B9141" s="3" t="inlineStr">
        <is>
          <t>Tukang listrik</t>
        </is>
      </c>
      <c r="C9141" s="3" t="inlineStr">
        <is>
          <t>OH</t>
        </is>
      </c>
      <c r="D9141" s="15" t="n">
        <v>0.318</v>
      </c>
      <c r="E9141" s="4" t="n">
        <v>145000</v>
      </c>
      <c r="F9141" s="4" t="n">
        <v>46110</v>
      </c>
    </row>
    <row r="9142">
      <c r="A9142" s="3" t="inlineStr">
        <is>
          <t>3</t>
        </is>
      </c>
      <c r="B9142" s="3" t="inlineStr">
        <is>
          <t>Kepala Tukang</t>
        </is>
      </c>
      <c r="C9142" s="3" t="inlineStr">
        <is>
          <t>OH</t>
        </is>
      </c>
      <c r="D9142" s="15" t="n">
        <v>0.032</v>
      </c>
      <c r="E9142" s="4" t="n">
        <v>175000</v>
      </c>
      <c r="F9142" s="4" t="n">
        <v>5600</v>
      </c>
    </row>
    <row r="9143">
      <c r="A9143" s="3" t="inlineStr">
        <is>
          <t>4</t>
        </is>
      </c>
      <c r="B9143" s="3" t="inlineStr">
        <is>
          <t>Mandor</t>
        </is>
      </c>
      <c r="C9143" s="3" t="inlineStr">
        <is>
          <t>OH</t>
        </is>
      </c>
      <c r="D9143" s="15" t="n">
        <v>0.011</v>
      </c>
      <c r="E9143" s="4" t="n">
        <v>200000</v>
      </c>
      <c r="F9143" s="4" t="n">
        <v>2200</v>
      </c>
    </row>
    <row r="9144">
      <c r="A9144" s="3" t="inlineStr">
        <is>
          <t>1</t>
        </is>
      </c>
      <c r="B9144" s="3" t="inlineStr">
        <is>
          <t>Power Amplifier 360 Watt</t>
        </is>
      </c>
      <c r="C9144" s="3" t="inlineStr">
        <is>
          <t>unit</t>
        </is>
      </c>
      <c r="D9144" s="15" t="n">
        <v>1.05</v>
      </c>
      <c r="E9144" s="4" t="n">
        <v>1500000</v>
      </c>
      <c r="F9144" s="4" t="n">
        <v>1575000</v>
      </c>
    </row>
    <row r="9145">
      <c r="D9145" s="2" t="inlineStr">
        <is>
          <t>SUBTOTAL UPAH</t>
        </is>
      </c>
      <c r="F9145" s="16" t="n">
        <v>72910</v>
      </c>
    </row>
    <row r="9146">
      <c r="D9146" s="2" t="inlineStr">
        <is>
          <t>SUBTOTAL BAHAN</t>
        </is>
      </c>
      <c r="F9146" s="16" t="n">
        <v>1575000</v>
      </c>
    </row>
    <row r="9147">
      <c r="D9147" s="2" t="inlineStr">
        <is>
          <t>SUBTOTAL ALAT</t>
        </is>
      </c>
      <c r="F9147" s="16" t="n">
        <v>0</v>
      </c>
    </row>
    <row r="9148">
      <c r="E9148" s="2" t="inlineStr">
        <is>
          <t>TOTAL HARGA SATUAN (Inc. Overhead)</t>
        </is>
      </c>
      <c r="F9148" s="17" t="n">
        <v>1812701</v>
      </c>
    </row>
    <row r="9150">
      <c r="A9150" s="14" t="inlineStr">
        <is>
          <t>KODE: 5.4.3.4 - Pemasangan 1 Unit Power Amplifier 240 Watt</t>
        </is>
      </c>
    </row>
    <row r="9151">
      <c r="A9151" s="10" t="inlineStr">
        <is>
          <t>No</t>
        </is>
      </c>
      <c r="B9151" s="10" t="inlineStr">
        <is>
          <t>Uraian Komponen</t>
        </is>
      </c>
      <c r="C9151" s="10" t="inlineStr">
        <is>
          <t>Satuan</t>
        </is>
      </c>
      <c r="D9151" s="10" t="inlineStr">
        <is>
          <t>Koef</t>
        </is>
      </c>
      <c r="E9151" s="10" t="inlineStr">
        <is>
          <t>Harga Satuan (Rp)</t>
        </is>
      </c>
      <c r="F9151" s="10" t="inlineStr">
        <is>
          <t>Jumlah Harga (Rp)</t>
        </is>
      </c>
    </row>
    <row r="9152">
      <c r="A9152" s="3" t="inlineStr">
        <is>
          <t>1</t>
        </is>
      </c>
      <c r="B9152" s="3" t="inlineStr">
        <is>
          <t>Pekerja</t>
        </is>
      </c>
      <c r="C9152" s="3" t="inlineStr">
        <is>
          <t>OH</t>
        </is>
      </c>
      <c r="D9152" s="15" t="n">
        <v>0.19</v>
      </c>
      <c r="E9152" s="4" t="n">
        <v>100000</v>
      </c>
      <c r="F9152" s="4" t="n">
        <v>19000</v>
      </c>
    </row>
    <row r="9153">
      <c r="A9153" s="3" t="inlineStr">
        <is>
          <t>2</t>
        </is>
      </c>
      <c r="B9153" s="3" t="inlineStr">
        <is>
          <t>Tukang listrik</t>
        </is>
      </c>
      <c r="C9153" s="3" t="inlineStr">
        <is>
          <t>OH</t>
        </is>
      </c>
      <c r="D9153" s="15" t="n">
        <v>0.318</v>
      </c>
      <c r="E9153" s="4" t="n">
        <v>145000</v>
      </c>
      <c r="F9153" s="4" t="n">
        <v>46110</v>
      </c>
    </row>
    <row r="9154">
      <c r="A9154" s="3" t="inlineStr">
        <is>
          <t>3</t>
        </is>
      </c>
      <c r="B9154" s="3" t="inlineStr">
        <is>
          <t>Kepala Tukang</t>
        </is>
      </c>
      <c r="C9154" s="3" t="inlineStr">
        <is>
          <t>OH</t>
        </is>
      </c>
      <c r="D9154" s="15" t="n">
        <v>0.032</v>
      </c>
      <c r="E9154" s="4" t="n">
        <v>175000</v>
      </c>
      <c r="F9154" s="4" t="n">
        <v>5600</v>
      </c>
    </row>
    <row r="9155">
      <c r="A9155" s="3" t="inlineStr">
        <is>
          <t>4</t>
        </is>
      </c>
      <c r="B9155" s="3" t="inlineStr">
        <is>
          <t>Mandor</t>
        </is>
      </c>
      <c r="C9155" s="3" t="inlineStr">
        <is>
          <t>OH</t>
        </is>
      </c>
      <c r="D9155" s="15" t="n">
        <v>0.011</v>
      </c>
      <c r="E9155" s="4" t="n">
        <v>200000</v>
      </c>
      <c r="F9155" s="4" t="n">
        <v>2200</v>
      </c>
    </row>
    <row r="9156">
      <c r="A9156" s="3" t="inlineStr">
        <is>
          <t>1</t>
        </is>
      </c>
      <c r="B9156" s="3" t="inlineStr">
        <is>
          <t>Power Amplifier 240 Watt</t>
        </is>
      </c>
      <c r="C9156" s="3" t="inlineStr">
        <is>
          <t>unit</t>
        </is>
      </c>
      <c r="D9156" s="15" t="n">
        <v>1.05</v>
      </c>
      <c r="E9156" s="4" t="n">
        <v>1200000</v>
      </c>
      <c r="F9156" s="4" t="n">
        <v>1260000</v>
      </c>
    </row>
    <row r="9157">
      <c r="D9157" s="2" t="inlineStr">
        <is>
          <t>SUBTOTAL UPAH</t>
        </is>
      </c>
      <c r="F9157" s="16" t="n">
        <v>72910</v>
      </c>
    </row>
    <row r="9158">
      <c r="D9158" s="2" t="inlineStr">
        <is>
          <t>SUBTOTAL BAHAN</t>
        </is>
      </c>
      <c r="F9158" s="16" t="n">
        <v>1260000</v>
      </c>
    </row>
    <row r="9159">
      <c r="D9159" s="2" t="inlineStr">
        <is>
          <t>SUBTOTAL ALAT</t>
        </is>
      </c>
      <c r="F9159" s="16" t="n">
        <v>0</v>
      </c>
    </row>
    <row r="9160">
      <c r="E9160" s="2" t="inlineStr">
        <is>
          <t>TOTAL HARGA SATUAN (Inc. Overhead)</t>
        </is>
      </c>
      <c r="F9160" s="17" t="n">
        <v>1466201</v>
      </c>
    </row>
    <row r="9162">
      <c r="A9162" s="14" t="inlineStr">
        <is>
          <t>KODE: 5.4.3.5 - Pemasangan 1 Unit Power Amplifier 120 Watt</t>
        </is>
      </c>
    </row>
    <row r="9163">
      <c r="A9163" s="10" t="inlineStr">
        <is>
          <t>No</t>
        </is>
      </c>
      <c r="B9163" s="10" t="inlineStr">
        <is>
          <t>Uraian Komponen</t>
        </is>
      </c>
      <c r="C9163" s="10" t="inlineStr">
        <is>
          <t>Satuan</t>
        </is>
      </c>
      <c r="D9163" s="10" t="inlineStr">
        <is>
          <t>Koef</t>
        </is>
      </c>
      <c r="E9163" s="10" t="inlineStr">
        <is>
          <t>Harga Satuan (Rp)</t>
        </is>
      </c>
      <c r="F9163" s="10" t="inlineStr">
        <is>
          <t>Jumlah Harga (Rp)</t>
        </is>
      </c>
    </row>
    <row r="9164">
      <c r="A9164" s="3" t="inlineStr">
        <is>
          <t>1</t>
        </is>
      </c>
      <c r="B9164" s="3" t="inlineStr">
        <is>
          <t>Pekerja</t>
        </is>
      </c>
      <c r="C9164" s="3" t="inlineStr">
        <is>
          <t>OH</t>
        </is>
      </c>
      <c r="D9164" s="15" t="n">
        <v>0.19</v>
      </c>
      <c r="E9164" s="4" t="n">
        <v>100000</v>
      </c>
      <c r="F9164" s="4" t="n">
        <v>19000</v>
      </c>
    </row>
    <row r="9165">
      <c r="A9165" s="3" t="inlineStr">
        <is>
          <t>2</t>
        </is>
      </c>
      <c r="B9165" s="3" t="inlineStr">
        <is>
          <t>Tukang listrik</t>
        </is>
      </c>
      <c r="C9165" s="3" t="inlineStr">
        <is>
          <t>OH</t>
        </is>
      </c>
      <c r="D9165" s="15" t="n">
        <v>0.318</v>
      </c>
      <c r="E9165" s="4" t="n">
        <v>145000</v>
      </c>
      <c r="F9165" s="4" t="n">
        <v>46110</v>
      </c>
    </row>
    <row r="9166">
      <c r="A9166" s="3" t="inlineStr">
        <is>
          <t>3</t>
        </is>
      </c>
      <c r="B9166" s="3" t="inlineStr">
        <is>
          <t>Kepala Tukang</t>
        </is>
      </c>
      <c r="C9166" s="3" t="inlineStr">
        <is>
          <t>OH</t>
        </is>
      </c>
      <c r="D9166" s="15" t="n">
        <v>0.032</v>
      </c>
      <c r="E9166" s="4" t="n">
        <v>175000</v>
      </c>
      <c r="F9166" s="4" t="n">
        <v>5600</v>
      </c>
    </row>
    <row r="9167">
      <c r="A9167" s="3" t="inlineStr">
        <is>
          <t>4</t>
        </is>
      </c>
      <c r="B9167" s="3" t="inlineStr">
        <is>
          <t>Mandor</t>
        </is>
      </c>
      <c r="C9167" s="3" t="inlineStr">
        <is>
          <t>OH</t>
        </is>
      </c>
      <c r="D9167" s="15" t="n">
        <v>0.011</v>
      </c>
      <c r="E9167" s="4" t="n">
        <v>200000</v>
      </c>
      <c r="F9167" s="4" t="n">
        <v>2200</v>
      </c>
    </row>
    <row r="9168">
      <c r="A9168" s="3" t="inlineStr">
        <is>
          <t>1</t>
        </is>
      </c>
      <c r="B9168" s="3" t="inlineStr">
        <is>
          <t>Power Amplifier 120 Watt</t>
        </is>
      </c>
      <c r="C9168" s="3" t="inlineStr">
        <is>
          <t>unit</t>
        </is>
      </c>
      <c r="D9168" s="15" t="n">
        <v>1.05</v>
      </c>
      <c r="E9168" s="4" t="n">
        <v>1000000</v>
      </c>
      <c r="F9168" s="4" t="n">
        <v>1050000</v>
      </c>
    </row>
    <row r="9169">
      <c r="D9169" s="2" t="inlineStr">
        <is>
          <t>SUBTOTAL UPAH</t>
        </is>
      </c>
      <c r="F9169" s="16" t="n">
        <v>72910</v>
      </c>
    </row>
    <row r="9170">
      <c r="D9170" s="2" t="inlineStr">
        <is>
          <t>SUBTOTAL BAHAN</t>
        </is>
      </c>
      <c r="F9170" s="16" t="n">
        <v>1050000</v>
      </c>
    </row>
    <row r="9171">
      <c r="D9171" s="2" t="inlineStr">
        <is>
          <t>SUBTOTAL ALAT</t>
        </is>
      </c>
      <c r="F9171" s="16" t="n">
        <v>0</v>
      </c>
    </row>
    <row r="9172">
      <c r="E9172" s="2" t="inlineStr">
        <is>
          <t>TOTAL HARGA SATUAN (Inc. Overhead)</t>
        </is>
      </c>
      <c r="F9172" s="17" t="n">
        <v>1235201</v>
      </c>
    </row>
    <row r="9174">
      <c r="A9174" s="14" t="inlineStr">
        <is>
          <t>KODE: 5.4.3.6 - Pemasangan 1 Unit  System Controller ( Mixer Pre Amp-Equalizer)</t>
        </is>
      </c>
    </row>
    <row r="9175">
      <c r="A9175" s="10" t="inlineStr">
        <is>
          <t>No</t>
        </is>
      </c>
      <c r="B9175" s="10" t="inlineStr">
        <is>
          <t>Uraian Komponen</t>
        </is>
      </c>
      <c r="C9175" s="10" t="inlineStr">
        <is>
          <t>Satuan</t>
        </is>
      </c>
      <c r="D9175" s="10" t="inlineStr">
        <is>
          <t>Koef</t>
        </is>
      </c>
      <c r="E9175" s="10" t="inlineStr">
        <is>
          <t>Harga Satuan (Rp)</t>
        </is>
      </c>
      <c r="F9175" s="10" t="inlineStr">
        <is>
          <t>Jumlah Harga (Rp)</t>
        </is>
      </c>
    </row>
    <row r="9176">
      <c r="A9176" s="3" t="inlineStr">
        <is>
          <t>1</t>
        </is>
      </c>
      <c r="B9176" s="3" t="inlineStr">
        <is>
          <t>Pekerja</t>
        </is>
      </c>
      <c r="C9176" s="3" t="inlineStr">
        <is>
          <t>OH</t>
        </is>
      </c>
      <c r="D9176" s="15" t="n">
        <v>0.281</v>
      </c>
      <c r="E9176" s="4" t="n">
        <v>100000</v>
      </c>
      <c r="F9176" s="4" t="n">
        <v>28100</v>
      </c>
    </row>
    <row r="9177">
      <c r="A9177" s="3" t="inlineStr">
        <is>
          <t>2</t>
        </is>
      </c>
      <c r="B9177" s="3" t="inlineStr">
        <is>
          <t>Tukang listrik</t>
        </is>
      </c>
      <c r="C9177" s="3" t="inlineStr">
        <is>
          <t>OH</t>
        </is>
      </c>
      <c r="D9177" s="15" t="n">
        <v>0.636</v>
      </c>
      <c r="E9177" s="4" t="n">
        <v>145000</v>
      </c>
      <c r="F9177" s="4" t="n">
        <v>92220</v>
      </c>
    </row>
    <row r="9178">
      <c r="A9178" s="3" t="inlineStr">
        <is>
          <t>3</t>
        </is>
      </c>
      <c r="B9178" s="3" t="inlineStr">
        <is>
          <t>Kepala Tukang</t>
        </is>
      </c>
      <c r="C9178" s="3" t="inlineStr">
        <is>
          <t>OH</t>
        </is>
      </c>
      <c r="D9178" s="15" t="n">
        <v>0.064</v>
      </c>
      <c r="E9178" s="4" t="n">
        <v>175000</v>
      </c>
      <c r="F9178" s="4" t="n">
        <v>11200</v>
      </c>
    </row>
    <row r="9179">
      <c r="A9179" s="3" t="inlineStr">
        <is>
          <t>4</t>
        </is>
      </c>
      <c r="B9179" s="3" t="inlineStr">
        <is>
          <t>Mandor</t>
        </is>
      </c>
      <c r="C9179" s="3" t="inlineStr">
        <is>
          <t>OH</t>
        </is>
      </c>
      <c r="D9179" s="15" t="n">
        <v>0.021</v>
      </c>
      <c r="E9179" s="4" t="n">
        <v>200000</v>
      </c>
      <c r="F9179" s="4" t="n">
        <v>4200</v>
      </c>
    </row>
    <row r="9180">
      <c r="A9180" s="3" t="inlineStr">
        <is>
          <t>1</t>
        </is>
      </c>
      <c r="B9180" s="3" t="inlineStr">
        <is>
          <t>System Controller (Mixer Pre Amp + Equalizer)</t>
        </is>
      </c>
      <c r="C9180" s="3" t="inlineStr">
        <is>
          <t>unit</t>
        </is>
      </c>
      <c r="D9180" s="15" t="n">
        <v>1.05</v>
      </c>
      <c r="E9180" s="4" t="n">
        <v>250000</v>
      </c>
      <c r="F9180" s="4" t="n">
        <v>262500</v>
      </c>
    </row>
    <row r="9181">
      <c r="D9181" s="2" t="inlineStr">
        <is>
          <t>SUBTOTAL UPAH</t>
        </is>
      </c>
      <c r="F9181" s="16" t="n">
        <v>135720</v>
      </c>
    </row>
    <row r="9182">
      <c r="D9182" s="2" t="inlineStr">
        <is>
          <t>SUBTOTAL BAHAN</t>
        </is>
      </c>
      <c r="F9182" s="16" t="n">
        <v>262500</v>
      </c>
    </row>
    <row r="9183">
      <c r="D9183" s="2" t="inlineStr">
        <is>
          <t>SUBTOTAL ALAT</t>
        </is>
      </c>
      <c r="F9183" s="16" t="n">
        <v>0</v>
      </c>
    </row>
    <row r="9184">
      <c r="E9184" s="2" t="inlineStr">
        <is>
          <t>TOTAL HARGA SATUAN (Inc. Overhead)</t>
        </is>
      </c>
      <c r="F9184" s="17" t="n">
        <v>438042</v>
      </c>
    </row>
    <row r="9186">
      <c r="A9186" s="14" t="inlineStr">
        <is>
          <t>KODE: 5.4.3.7 - Pemasangan 1 Unit VCD/DVD/MP3/MP4</t>
        </is>
      </c>
    </row>
    <row r="9187">
      <c r="A9187" s="10" t="inlineStr">
        <is>
          <t>No</t>
        </is>
      </c>
      <c r="B9187" s="10" t="inlineStr">
        <is>
          <t>Uraian Komponen</t>
        </is>
      </c>
      <c r="C9187" s="10" t="inlineStr">
        <is>
          <t>Satuan</t>
        </is>
      </c>
      <c r="D9187" s="10" t="inlineStr">
        <is>
          <t>Koef</t>
        </is>
      </c>
      <c r="E9187" s="10" t="inlineStr">
        <is>
          <t>Harga Satuan (Rp)</t>
        </is>
      </c>
      <c r="F9187" s="10" t="inlineStr">
        <is>
          <t>Jumlah Harga (Rp)</t>
        </is>
      </c>
    </row>
    <row r="9188">
      <c r="A9188" s="3" t="inlineStr">
        <is>
          <t>1</t>
        </is>
      </c>
      <c r="B9188" s="3" t="inlineStr">
        <is>
          <t>Pekerja</t>
        </is>
      </c>
      <c r="C9188" s="3" t="inlineStr">
        <is>
          <t>OH</t>
        </is>
      </c>
      <c r="D9188" s="15" t="n">
        <v>0.064</v>
      </c>
      <c r="E9188" s="4" t="n">
        <v>100000</v>
      </c>
      <c r="F9188" s="4" t="n">
        <v>6400</v>
      </c>
    </row>
    <row r="9189">
      <c r="A9189" s="3" t="inlineStr">
        <is>
          <t>2</t>
        </is>
      </c>
      <c r="B9189" s="3" t="inlineStr">
        <is>
          <t>Tukang listrik</t>
        </is>
      </c>
      <c r="C9189" s="3" t="inlineStr">
        <is>
          <t>OH</t>
        </is>
      </c>
      <c r="D9189" s="15" t="n">
        <v>0.107</v>
      </c>
      <c r="E9189" s="4" t="n">
        <v>145000</v>
      </c>
      <c r="F9189" s="4" t="n">
        <v>15515</v>
      </c>
    </row>
    <row r="9190">
      <c r="A9190" s="3" t="inlineStr">
        <is>
          <t>3</t>
        </is>
      </c>
      <c r="B9190" s="3" t="inlineStr">
        <is>
          <t>Kepala Tukang</t>
        </is>
      </c>
      <c r="C9190" s="3" t="inlineStr">
        <is>
          <t>OH</t>
        </is>
      </c>
      <c r="D9190" s="15" t="n">
        <v>0.011</v>
      </c>
      <c r="E9190" s="4" t="n">
        <v>175000</v>
      </c>
      <c r="F9190" s="4" t="n">
        <v>1925</v>
      </c>
    </row>
    <row r="9191">
      <c r="A9191" s="3" t="inlineStr">
        <is>
          <t>4</t>
        </is>
      </c>
      <c r="B9191" s="3" t="inlineStr">
        <is>
          <t>Mandor</t>
        </is>
      </c>
      <c r="C9191" s="3" t="inlineStr">
        <is>
          <t>OH</t>
        </is>
      </c>
      <c r="D9191" s="15" t="n">
        <v>0.004</v>
      </c>
      <c r="E9191" s="4" t="n">
        <v>200000</v>
      </c>
      <c r="F9191" s="4" t="n">
        <v>800</v>
      </c>
    </row>
    <row r="9192">
      <c r="A9192" s="3" t="inlineStr">
        <is>
          <t>1</t>
        </is>
      </c>
      <c r="B9192" s="3" t="inlineStr">
        <is>
          <t>VCD/DVD/MP3/Mp4</t>
        </is>
      </c>
      <c r="C9192" s="3" t="inlineStr">
        <is>
          <t>unit</t>
        </is>
      </c>
      <c r="D9192" s="15" t="n">
        <v>1.03</v>
      </c>
      <c r="E9192" s="4" t="n">
        <v>250000</v>
      </c>
      <c r="F9192" s="4" t="n">
        <v>257500</v>
      </c>
    </row>
    <row r="9193">
      <c r="D9193" s="2" t="inlineStr">
        <is>
          <t>SUBTOTAL UPAH</t>
        </is>
      </c>
      <c r="F9193" s="16" t="n">
        <v>24640</v>
      </c>
    </row>
    <row r="9194">
      <c r="D9194" s="2" t="inlineStr">
        <is>
          <t>SUBTOTAL BAHAN</t>
        </is>
      </c>
      <c r="F9194" s="16" t="n">
        <v>257500</v>
      </c>
    </row>
    <row r="9195">
      <c r="D9195" s="2" t="inlineStr">
        <is>
          <t>SUBTOTAL ALAT</t>
        </is>
      </c>
      <c r="F9195" s="16" t="n">
        <v>0</v>
      </c>
    </row>
    <row r="9196">
      <c r="E9196" s="2" t="inlineStr">
        <is>
          <t>TOTAL HARGA SATUAN (Inc. Overhead)</t>
        </is>
      </c>
      <c r="F9196" s="17" t="n">
        <v>310354</v>
      </c>
    </row>
    <row r="9198">
      <c r="A9198" s="14" t="inlineStr">
        <is>
          <t>KODE: 5.4.3.8 - Pemasangan 1 Unit Sound Source</t>
        </is>
      </c>
    </row>
    <row r="9199">
      <c r="A9199" s="10" t="inlineStr">
        <is>
          <t>No</t>
        </is>
      </c>
      <c r="B9199" s="10" t="inlineStr">
        <is>
          <t>Uraian Komponen</t>
        </is>
      </c>
      <c r="C9199" s="10" t="inlineStr">
        <is>
          <t>Satuan</t>
        </is>
      </c>
      <c r="D9199" s="10" t="inlineStr">
        <is>
          <t>Koef</t>
        </is>
      </c>
      <c r="E9199" s="10" t="inlineStr">
        <is>
          <t>Harga Satuan (Rp)</t>
        </is>
      </c>
      <c r="F9199" s="10" t="inlineStr">
        <is>
          <t>Jumlah Harga (Rp)</t>
        </is>
      </c>
    </row>
    <row r="9200">
      <c r="A9200" s="3" t="inlineStr">
        <is>
          <t>1</t>
        </is>
      </c>
      <c r="B9200" s="3" t="inlineStr">
        <is>
          <t>Pekerja</t>
        </is>
      </c>
      <c r="C9200" s="3" t="inlineStr">
        <is>
          <t>OH</t>
        </is>
      </c>
      <c r="D9200" s="15" t="n">
        <v>0.064</v>
      </c>
      <c r="E9200" s="4" t="n">
        <v>100000</v>
      </c>
      <c r="F9200" s="4" t="n">
        <v>6400</v>
      </c>
    </row>
    <row r="9201">
      <c r="A9201" s="3" t="inlineStr">
        <is>
          <t>2</t>
        </is>
      </c>
      <c r="B9201" s="3" t="inlineStr">
        <is>
          <t>Tukang listrik</t>
        </is>
      </c>
      <c r="C9201" s="3" t="inlineStr">
        <is>
          <t>OH</t>
        </is>
      </c>
      <c r="D9201" s="15" t="n">
        <v>0.107</v>
      </c>
      <c r="E9201" s="4" t="n">
        <v>145000</v>
      </c>
      <c r="F9201" s="4" t="n">
        <v>15515</v>
      </c>
    </row>
    <row r="9202">
      <c r="A9202" s="3" t="inlineStr">
        <is>
          <t>3</t>
        </is>
      </c>
      <c r="B9202" s="3" t="inlineStr">
        <is>
          <t>Kepala Tukang</t>
        </is>
      </c>
      <c r="C9202" s="3" t="inlineStr">
        <is>
          <t>OH</t>
        </is>
      </c>
      <c r="D9202" s="15" t="n">
        <v>0.011</v>
      </c>
      <c r="E9202" s="4" t="n">
        <v>175000</v>
      </c>
      <c r="F9202" s="4" t="n">
        <v>1925</v>
      </c>
    </row>
    <row r="9203">
      <c r="A9203" s="3" t="inlineStr">
        <is>
          <t>4</t>
        </is>
      </c>
      <c r="B9203" s="3" t="inlineStr">
        <is>
          <t>Mandor</t>
        </is>
      </c>
      <c r="C9203" s="3" t="inlineStr">
        <is>
          <t>OH</t>
        </is>
      </c>
      <c r="D9203" s="15" t="n">
        <v>0.004</v>
      </c>
      <c r="E9203" s="4" t="n">
        <v>200000</v>
      </c>
      <c r="F9203" s="4" t="n">
        <v>800</v>
      </c>
    </row>
    <row r="9204">
      <c r="A9204" s="3" t="inlineStr">
        <is>
          <t>1</t>
        </is>
      </c>
      <c r="B9204" s="3" t="inlineStr">
        <is>
          <t>VCD/DVD/MP3/Mp4</t>
        </is>
      </c>
      <c r="C9204" s="3" t="inlineStr">
        <is>
          <t>unit</t>
        </is>
      </c>
      <c r="D9204" s="15" t="n">
        <v>1.03</v>
      </c>
      <c r="E9204" s="4" t="n">
        <v>250000</v>
      </c>
      <c r="F9204" s="4" t="n">
        <v>257500</v>
      </c>
    </row>
    <row r="9205">
      <c r="D9205" s="2" t="inlineStr">
        <is>
          <t>SUBTOTAL UPAH</t>
        </is>
      </c>
      <c r="F9205" s="16" t="n">
        <v>24640</v>
      </c>
    </row>
    <row r="9206">
      <c r="D9206" s="2" t="inlineStr">
        <is>
          <t>SUBTOTAL BAHAN</t>
        </is>
      </c>
      <c r="F9206" s="16" t="n">
        <v>257500</v>
      </c>
    </row>
    <row r="9207">
      <c r="D9207" s="2" t="inlineStr">
        <is>
          <t>SUBTOTAL ALAT</t>
        </is>
      </c>
      <c r="F9207" s="16" t="n">
        <v>0</v>
      </c>
    </row>
    <row r="9208">
      <c r="E9208" s="2" t="inlineStr">
        <is>
          <t>TOTAL HARGA SATUAN (Inc. Overhead)</t>
        </is>
      </c>
      <c r="F9208" s="17" t="n">
        <v>310354</v>
      </c>
    </row>
    <row r="9210">
      <c r="A9210" s="14" t="inlineStr">
        <is>
          <t>KODE: 5.4.3.9 - Pemasangan 1 Unit Automatic Alarm System</t>
        </is>
      </c>
    </row>
    <row r="9211">
      <c r="A9211" s="10" t="inlineStr">
        <is>
          <t>No</t>
        </is>
      </c>
      <c r="B9211" s="10" t="inlineStr">
        <is>
          <t>Uraian Komponen</t>
        </is>
      </c>
      <c r="C9211" s="10" t="inlineStr">
        <is>
          <t>Satuan</t>
        </is>
      </c>
      <c r="D9211" s="10" t="inlineStr">
        <is>
          <t>Koef</t>
        </is>
      </c>
      <c r="E9211" s="10" t="inlineStr">
        <is>
          <t>Harga Satuan (Rp)</t>
        </is>
      </c>
      <c r="F9211" s="10" t="inlineStr">
        <is>
          <t>Jumlah Harga (Rp)</t>
        </is>
      </c>
    </row>
    <row r="9212">
      <c r="A9212" s="3" t="inlineStr">
        <is>
          <t>1</t>
        </is>
      </c>
      <c r="B9212" s="3" t="inlineStr">
        <is>
          <t>Pekerja</t>
        </is>
      </c>
      <c r="C9212" s="3" t="inlineStr">
        <is>
          <t>OH</t>
        </is>
      </c>
      <c r="D9212" s="15" t="n">
        <v>0.114</v>
      </c>
      <c r="E9212" s="4" t="n">
        <v>100000</v>
      </c>
      <c r="F9212" s="4" t="n">
        <v>11400</v>
      </c>
    </row>
    <row r="9213">
      <c r="A9213" s="3" t="inlineStr">
        <is>
          <t>2</t>
        </is>
      </c>
      <c r="B9213" s="3" t="inlineStr">
        <is>
          <t>Tukang listrik</t>
        </is>
      </c>
      <c r="C9213" s="3" t="inlineStr">
        <is>
          <t>OH</t>
        </is>
      </c>
      <c r="D9213" s="15" t="n">
        <v>0.191</v>
      </c>
      <c r="E9213" s="4" t="n">
        <v>145000</v>
      </c>
      <c r="F9213" s="4" t="n">
        <v>27695</v>
      </c>
    </row>
    <row r="9214">
      <c r="A9214" s="3" t="inlineStr">
        <is>
          <t>3</t>
        </is>
      </c>
      <c r="B9214" s="3" t="inlineStr">
        <is>
          <t>Kepala Tukang</t>
        </is>
      </c>
      <c r="C9214" s="3" t="inlineStr">
        <is>
          <t>OH</t>
        </is>
      </c>
      <c r="D9214" s="15" t="n">
        <v>0.019</v>
      </c>
      <c r="E9214" s="4" t="n">
        <v>175000</v>
      </c>
      <c r="F9214" s="4" t="n">
        <v>3325</v>
      </c>
    </row>
    <row r="9215">
      <c r="A9215" s="3" t="inlineStr">
        <is>
          <t>4</t>
        </is>
      </c>
      <c r="B9215" s="3" t="inlineStr">
        <is>
          <t>Mandor</t>
        </is>
      </c>
      <c r="C9215" s="3" t="inlineStr">
        <is>
          <t>OH</t>
        </is>
      </c>
      <c r="D9215" s="15" t="n">
        <v>0.006</v>
      </c>
      <c r="E9215" s="4" t="n">
        <v>200000</v>
      </c>
      <c r="F9215" s="4" t="n">
        <v>1200</v>
      </c>
    </row>
    <row r="9216">
      <c r="A9216" s="3" t="inlineStr">
        <is>
          <t>1</t>
        </is>
      </c>
      <c r="B9216" s="3" t="inlineStr">
        <is>
          <t>Automatic Alarm System</t>
        </is>
      </c>
      <c r="C9216" s="3" t="inlineStr">
        <is>
          <t>unit</t>
        </is>
      </c>
      <c r="D9216" s="15" t="n">
        <v>1.05</v>
      </c>
      <c r="E9216" s="4" t="n">
        <v>1000000</v>
      </c>
      <c r="F9216" s="4" t="n">
        <v>1050000</v>
      </c>
    </row>
    <row r="9217">
      <c r="D9217" s="2" t="inlineStr">
        <is>
          <t>SUBTOTAL UPAH</t>
        </is>
      </c>
      <c r="F9217" s="16" t="n">
        <v>43620</v>
      </c>
    </row>
    <row r="9218">
      <c r="D9218" s="2" t="inlineStr">
        <is>
          <t>SUBTOTAL BAHAN</t>
        </is>
      </c>
      <c r="F9218" s="16" t="n">
        <v>1050000</v>
      </c>
    </row>
    <row r="9219">
      <c r="D9219" s="2" t="inlineStr">
        <is>
          <t>SUBTOTAL ALAT</t>
        </is>
      </c>
      <c r="F9219" s="16" t="n">
        <v>0</v>
      </c>
    </row>
    <row r="9220">
      <c r="E9220" s="2" t="inlineStr">
        <is>
          <t>TOTAL HARGA SATUAN (Inc. Overhead)</t>
        </is>
      </c>
      <c r="F9220" s="17" t="n">
        <v>1202982</v>
      </c>
    </row>
    <row r="9222">
      <c r="A9222" s="14" t="inlineStr">
        <is>
          <t>KODE: 5.4.3.10 - Pemasangan 1 Unit Paging Mic Keyboard</t>
        </is>
      </c>
    </row>
    <row r="9223">
      <c r="A9223" s="10" t="inlineStr">
        <is>
          <t>No</t>
        </is>
      </c>
      <c r="B9223" s="10" t="inlineStr">
        <is>
          <t>Uraian Komponen</t>
        </is>
      </c>
      <c r="C9223" s="10" t="inlineStr">
        <is>
          <t>Satuan</t>
        </is>
      </c>
      <c r="D9223" s="10" t="inlineStr">
        <is>
          <t>Koef</t>
        </is>
      </c>
      <c r="E9223" s="10" t="inlineStr">
        <is>
          <t>Harga Satuan (Rp)</t>
        </is>
      </c>
      <c r="F9223" s="10" t="inlineStr">
        <is>
          <t>Jumlah Harga (Rp)</t>
        </is>
      </c>
    </row>
    <row r="9224">
      <c r="A9224" s="3" t="inlineStr">
        <is>
          <t>1</t>
        </is>
      </c>
      <c r="B9224" s="3" t="inlineStr">
        <is>
          <t>Pekerja</t>
        </is>
      </c>
      <c r="C9224" s="3" t="inlineStr">
        <is>
          <t>OH</t>
        </is>
      </c>
      <c r="D9224" s="15" t="n">
        <v>0.076</v>
      </c>
      <c r="E9224" s="4" t="n">
        <v>100000</v>
      </c>
      <c r="F9224" s="4" t="n">
        <v>7600</v>
      </c>
    </row>
    <row r="9225">
      <c r="A9225" s="3" t="inlineStr">
        <is>
          <t>2</t>
        </is>
      </c>
      <c r="B9225" s="3" t="inlineStr">
        <is>
          <t>Tukang listrik</t>
        </is>
      </c>
      <c r="C9225" s="3" t="inlineStr">
        <is>
          <t>OH</t>
        </is>
      </c>
      <c r="D9225" s="15" t="n">
        <v>0.127</v>
      </c>
      <c r="E9225" s="4" t="n">
        <v>145000</v>
      </c>
      <c r="F9225" s="4" t="n">
        <v>18415</v>
      </c>
    </row>
    <row r="9226">
      <c r="A9226" s="3" t="inlineStr">
        <is>
          <t>3</t>
        </is>
      </c>
      <c r="B9226" s="3" t="inlineStr">
        <is>
          <t>Kepala Tukang</t>
        </is>
      </c>
      <c r="C9226" s="3" t="inlineStr">
        <is>
          <t>OH</t>
        </is>
      </c>
      <c r="D9226" s="15" t="n">
        <v>0.013</v>
      </c>
      <c r="E9226" s="4" t="n">
        <v>175000</v>
      </c>
      <c r="F9226" s="4" t="n">
        <v>2275</v>
      </c>
    </row>
    <row r="9227">
      <c r="A9227" s="3" t="inlineStr">
        <is>
          <t>4</t>
        </is>
      </c>
      <c r="B9227" s="3" t="inlineStr">
        <is>
          <t>Mandor</t>
        </is>
      </c>
      <c r="C9227" s="3" t="inlineStr">
        <is>
          <t>OH</t>
        </is>
      </c>
      <c r="D9227" s="15" t="n">
        <v>0.004</v>
      </c>
      <c r="E9227" s="4" t="n">
        <v>200000</v>
      </c>
      <c r="F9227" s="4" t="n">
        <v>800</v>
      </c>
    </row>
    <row r="9228">
      <c r="A9228" s="3" t="inlineStr">
        <is>
          <t>1</t>
        </is>
      </c>
      <c r="B9228" s="3" t="inlineStr">
        <is>
          <t>Paging Mic Keypad</t>
        </is>
      </c>
      <c r="C9228" s="3" t="inlineStr">
        <is>
          <t>unit</t>
        </is>
      </c>
      <c r="D9228" s="15" t="n">
        <v>1.05</v>
      </c>
      <c r="E9228" s="4" t="n">
        <v>640000</v>
      </c>
      <c r="F9228" s="4" t="n">
        <v>672000</v>
      </c>
    </row>
    <row r="9229">
      <c r="D9229" s="2" t="inlineStr">
        <is>
          <t>SUBTOTAL UPAH</t>
        </is>
      </c>
      <c r="F9229" s="16" t="n">
        <v>29090</v>
      </c>
    </row>
    <row r="9230">
      <c r="D9230" s="2" t="inlineStr">
        <is>
          <t>SUBTOTAL BAHAN</t>
        </is>
      </c>
      <c r="F9230" s="16" t="n">
        <v>672000</v>
      </c>
    </row>
    <row r="9231">
      <c r="D9231" s="2" t="inlineStr">
        <is>
          <t>SUBTOTAL ALAT</t>
        </is>
      </c>
      <c r="F9231" s="16" t="n">
        <v>0</v>
      </c>
    </row>
    <row r="9232">
      <c r="E9232" s="2" t="inlineStr">
        <is>
          <t>TOTAL HARGA SATUAN (Inc. Overhead)</t>
        </is>
      </c>
      <c r="F9232" s="17" t="n">
        <v>771199</v>
      </c>
    </row>
    <row r="9234">
      <c r="A9234" s="14" t="inlineStr">
        <is>
          <t>KODE: 5.4.3.11 - Pemasangan 1 Unit UPS 1 KVA ( Inverter, Rectifier, Battery Backup 4 Jam)</t>
        </is>
      </c>
    </row>
    <row r="9235">
      <c r="A9235" s="10" t="inlineStr">
        <is>
          <t>No</t>
        </is>
      </c>
      <c r="B9235" s="10" t="inlineStr">
        <is>
          <t>Uraian Komponen</t>
        </is>
      </c>
      <c r="C9235" s="10" t="inlineStr">
        <is>
          <t>Satuan</t>
        </is>
      </c>
      <c r="D9235" s="10" t="inlineStr">
        <is>
          <t>Koef</t>
        </is>
      </c>
      <c r="E9235" s="10" t="inlineStr">
        <is>
          <t>Harga Satuan (Rp)</t>
        </is>
      </c>
      <c r="F9235" s="10" t="inlineStr">
        <is>
          <t>Jumlah Harga (Rp)</t>
        </is>
      </c>
    </row>
    <row r="9236">
      <c r="A9236" s="3" t="inlineStr">
        <is>
          <t>1</t>
        </is>
      </c>
      <c r="B9236" s="3" t="inlineStr">
        <is>
          <t>Pekerja</t>
        </is>
      </c>
      <c r="C9236" s="3" t="inlineStr">
        <is>
          <t>OH</t>
        </is>
      </c>
      <c r="D9236" s="15" t="n">
        <v>0.25</v>
      </c>
      <c r="E9236" s="4" t="n">
        <v>100000</v>
      </c>
      <c r="F9236" s="4" t="n">
        <v>25000</v>
      </c>
    </row>
    <row r="9237">
      <c r="A9237" s="3" t="inlineStr">
        <is>
          <t>2</t>
        </is>
      </c>
      <c r="B9237" s="3" t="inlineStr">
        <is>
          <t>Tukang listrik</t>
        </is>
      </c>
      <c r="C9237" s="3" t="inlineStr">
        <is>
          <t>OH</t>
        </is>
      </c>
      <c r="D9237" s="15" t="n">
        <v>0.418</v>
      </c>
      <c r="E9237" s="4" t="n">
        <v>145000</v>
      </c>
      <c r="F9237" s="4" t="n">
        <v>60610</v>
      </c>
    </row>
    <row r="9238">
      <c r="A9238" s="3" t="inlineStr">
        <is>
          <t>3</t>
        </is>
      </c>
      <c r="B9238" s="3" t="inlineStr">
        <is>
          <t>Kepala Tukang</t>
        </is>
      </c>
      <c r="C9238" s="3" t="inlineStr">
        <is>
          <t>OH</t>
        </is>
      </c>
      <c r="D9238" s="15" t="n">
        <v>0.042</v>
      </c>
      <c r="E9238" s="4" t="n">
        <v>175000</v>
      </c>
      <c r="F9238" s="4" t="n">
        <v>7350.000000000001</v>
      </c>
    </row>
    <row r="9239">
      <c r="A9239" s="3" t="inlineStr">
        <is>
          <t>4</t>
        </is>
      </c>
      <c r="B9239" s="3" t="inlineStr">
        <is>
          <t>Mandor</t>
        </is>
      </c>
      <c r="C9239" s="3" t="inlineStr">
        <is>
          <t>OH</t>
        </is>
      </c>
      <c r="D9239" s="15" t="n">
        <v>0.014</v>
      </c>
      <c r="E9239" s="4" t="n">
        <v>200000</v>
      </c>
      <c r="F9239" s="4" t="n">
        <v>2800</v>
      </c>
    </row>
    <row r="9240">
      <c r="A9240" s="3" t="inlineStr">
        <is>
          <t>1</t>
        </is>
      </c>
      <c r="B9240" s="3" t="inlineStr">
        <is>
          <t>UPS 1 KVA 4 Jam</t>
        </is>
      </c>
      <c r="C9240" s="3" t="inlineStr">
        <is>
          <t>unit</t>
        </is>
      </c>
      <c r="D9240" s="15" t="n">
        <v>1.05</v>
      </c>
      <c r="E9240" s="4" t="n">
        <v>2475000</v>
      </c>
      <c r="F9240" s="4" t="n">
        <v>2598750</v>
      </c>
    </row>
    <row r="9241">
      <c r="D9241" s="2" t="inlineStr">
        <is>
          <t>SUBTOTAL UPAH</t>
        </is>
      </c>
      <c r="F9241" s="16" t="n">
        <v>95760</v>
      </c>
    </row>
    <row r="9242">
      <c r="D9242" s="2" t="inlineStr">
        <is>
          <t>SUBTOTAL BAHAN</t>
        </is>
      </c>
      <c r="F9242" s="16" t="n">
        <v>2598750</v>
      </c>
    </row>
    <row r="9243">
      <c r="D9243" s="2" t="inlineStr">
        <is>
          <t>SUBTOTAL ALAT</t>
        </is>
      </c>
      <c r="F9243" s="16" t="n">
        <v>0</v>
      </c>
    </row>
    <row r="9244">
      <c r="E9244" s="2" t="inlineStr">
        <is>
          <t>TOTAL HARGA SATUAN (Inc. Overhead)</t>
        </is>
      </c>
      <c r="F9244" s="17" t="n">
        <v>2963961</v>
      </c>
    </row>
    <row r="9246">
      <c r="A9246" s="14" t="inlineStr">
        <is>
          <t>KODE: 5.4.3.12 - Pemasangan 1 Unit Rack Cabinet</t>
        </is>
      </c>
    </row>
    <row r="9247">
      <c r="A9247" s="10" t="inlineStr">
        <is>
          <t>No</t>
        </is>
      </c>
      <c r="B9247" s="10" t="inlineStr">
        <is>
          <t>Uraian Komponen</t>
        </is>
      </c>
      <c r="C9247" s="10" t="inlineStr">
        <is>
          <t>Satuan</t>
        </is>
      </c>
      <c r="D9247" s="10" t="inlineStr">
        <is>
          <t>Koef</t>
        </is>
      </c>
      <c r="E9247" s="10" t="inlineStr">
        <is>
          <t>Harga Satuan (Rp)</t>
        </is>
      </c>
      <c r="F9247" s="10" t="inlineStr">
        <is>
          <t>Jumlah Harga (Rp)</t>
        </is>
      </c>
    </row>
    <row r="9248">
      <c r="A9248" s="3" t="inlineStr">
        <is>
          <t>1</t>
        </is>
      </c>
      <c r="B9248" s="3" t="inlineStr">
        <is>
          <t>Pekerja</t>
        </is>
      </c>
      <c r="C9248" s="3" t="inlineStr">
        <is>
          <t>OH</t>
        </is>
      </c>
      <c r="D9248" s="15" t="n">
        <v>0.507</v>
      </c>
      <c r="E9248" s="4" t="n">
        <v>100000</v>
      </c>
      <c r="F9248" s="4" t="n">
        <v>50700</v>
      </c>
    </row>
    <row r="9249">
      <c r="A9249" s="3" t="inlineStr">
        <is>
          <t>2</t>
        </is>
      </c>
      <c r="B9249" s="3" t="inlineStr">
        <is>
          <t>Tukang listrik</t>
        </is>
      </c>
      <c r="C9249" s="3" t="inlineStr">
        <is>
          <t>OH</t>
        </is>
      </c>
      <c r="D9249" s="15" t="n">
        <v>0.847</v>
      </c>
      <c r="E9249" s="4" t="n">
        <v>145000</v>
      </c>
      <c r="F9249" s="4" t="n">
        <v>122815</v>
      </c>
    </row>
    <row r="9250">
      <c r="A9250" s="3" t="inlineStr">
        <is>
          <t>3</t>
        </is>
      </c>
      <c r="B9250" s="3" t="inlineStr">
        <is>
          <t>Kepala Tukang</t>
        </is>
      </c>
      <c r="C9250" s="3" t="inlineStr">
        <is>
          <t>OH</t>
        </is>
      </c>
      <c r="D9250" s="15" t="n">
        <v>0.08500000000000001</v>
      </c>
      <c r="E9250" s="4" t="n">
        <v>175000</v>
      </c>
      <c r="F9250" s="4" t="n">
        <v>14875</v>
      </c>
    </row>
    <row r="9251">
      <c r="A9251" s="3" t="inlineStr">
        <is>
          <t>4</t>
        </is>
      </c>
      <c r="B9251" s="3" t="inlineStr">
        <is>
          <t>Mandor</t>
        </is>
      </c>
      <c r="C9251" s="3" t="inlineStr">
        <is>
          <t>OH</t>
        </is>
      </c>
      <c r="D9251" s="15" t="n">
        <v>0.028</v>
      </c>
      <c r="E9251" s="4" t="n">
        <v>200000</v>
      </c>
      <c r="F9251" s="4" t="n">
        <v>5600</v>
      </c>
    </row>
    <row r="9252">
      <c r="A9252" s="3" t="inlineStr">
        <is>
          <t>1</t>
        </is>
      </c>
      <c r="B9252" s="3" t="inlineStr">
        <is>
          <t>Rack Cabinet</t>
        </is>
      </c>
      <c r="C9252" s="3" t="inlineStr">
        <is>
          <t>unit</t>
        </is>
      </c>
      <c r="D9252" s="15" t="n">
        <v>1.05</v>
      </c>
      <c r="E9252" s="4" t="n">
        <v>670000</v>
      </c>
      <c r="F9252" s="4" t="n">
        <v>703500</v>
      </c>
    </row>
    <row r="9253">
      <c r="D9253" s="2" t="inlineStr">
        <is>
          <t>SUBTOTAL UPAH</t>
        </is>
      </c>
      <c r="F9253" s="16" t="n">
        <v>193990</v>
      </c>
    </row>
    <row r="9254">
      <c r="D9254" s="2" t="inlineStr">
        <is>
          <t>SUBTOTAL BAHAN</t>
        </is>
      </c>
      <c r="F9254" s="16" t="n">
        <v>703500</v>
      </c>
    </row>
    <row r="9255">
      <c r="D9255" s="2" t="inlineStr">
        <is>
          <t>SUBTOTAL ALAT</t>
        </is>
      </c>
      <c r="F9255" s="16" t="n">
        <v>0</v>
      </c>
    </row>
    <row r="9256">
      <c r="E9256" s="2" t="inlineStr">
        <is>
          <t>TOTAL HARGA SATUAN (Inc. Overhead)</t>
        </is>
      </c>
      <c r="F9256" s="17" t="n">
        <v>987239</v>
      </c>
    </row>
    <row r="9258">
      <c r="A9258" s="14" t="inlineStr">
        <is>
          <t>KODE: 5.4.3.13 - Pemasangan 1 Unit Terminal Box Tata Suara (TBTS)</t>
        </is>
      </c>
    </row>
    <row r="9259">
      <c r="A9259" s="10" t="inlineStr">
        <is>
          <t>No</t>
        </is>
      </c>
      <c r="B9259" s="10" t="inlineStr">
        <is>
          <t>Uraian Komponen</t>
        </is>
      </c>
      <c r="C9259" s="10" t="inlineStr">
        <is>
          <t>Satuan</t>
        </is>
      </c>
      <c r="D9259" s="10" t="inlineStr">
        <is>
          <t>Koef</t>
        </is>
      </c>
      <c r="E9259" s="10" t="inlineStr">
        <is>
          <t>Harga Satuan (Rp)</t>
        </is>
      </c>
      <c r="F9259" s="10" t="inlineStr">
        <is>
          <t>Jumlah Harga (Rp)</t>
        </is>
      </c>
    </row>
    <row r="9260">
      <c r="A9260" s="3" t="inlineStr">
        <is>
          <t>1</t>
        </is>
      </c>
      <c r="B9260" s="3" t="inlineStr">
        <is>
          <t>Pekerja</t>
        </is>
      </c>
      <c r="C9260" s="3" t="inlineStr">
        <is>
          <t>OH</t>
        </is>
      </c>
      <c r="D9260" s="15" t="n">
        <v>0.129</v>
      </c>
      <c r="E9260" s="4" t="n">
        <v>100000</v>
      </c>
      <c r="F9260" s="4" t="n">
        <v>12900</v>
      </c>
    </row>
    <row r="9261">
      <c r="A9261" s="3" t="inlineStr">
        <is>
          <t>2</t>
        </is>
      </c>
      <c r="B9261" s="3" t="inlineStr">
        <is>
          <t>Tukang listrik</t>
        </is>
      </c>
      <c r="C9261" s="3" t="inlineStr">
        <is>
          <t>OH</t>
        </is>
      </c>
      <c r="D9261" s="15" t="n">
        <v>0.215</v>
      </c>
      <c r="E9261" s="4" t="n">
        <v>145000</v>
      </c>
      <c r="F9261" s="4" t="n">
        <v>31175</v>
      </c>
    </row>
    <row r="9262">
      <c r="A9262" s="3" t="inlineStr">
        <is>
          <t>3</t>
        </is>
      </c>
      <c r="B9262" s="3" t="inlineStr">
        <is>
          <t>Kepala Tukang</t>
        </is>
      </c>
      <c r="C9262" s="3" t="inlineStr">
        <is>
          <t>OH</t>
        </is>
      </c>
      <c r="D9262" s="15" t="n">
        <v>0.021</v>
      </c>
      <c r="E9262" s="4" t="n">
        <v>175000</v>
      </c>
      <c r="F9262" s="4" t="n">
        <v>3675</v>
      </c>
    </row>
    <row r="9263">
      <c r="A9263" s="3" t="inlineStr">
        <is>
          <t>4</t>
        </is>
      </c>
      <c r="B9263" s="3" t="inlineStr">
        <is>
          <t>Mandor</t>
        </is>
      </c>
      <c r="C9263" s="3" t="inlineStr">
        <is>
          <t>OH</t>
        </is>
      </c>
      <c r="D9263" s="15" t="n">
        <v>0.07000000000000001</v>
      </c>
      <c r="E9263" s="4" t="n">
        <v>200000</v>
      </c>
      <c r="F9263" s="4" t="n">
        <v>14000</v>
      </c>
    </row>
    <row r="9264">
      <c r="A9264" s="3" t="inlineStr">
        <is>
          <t>1</t>
        </is>
      </c>
      <c r="B9264" s="3" t="inlineStr">
        <is>
          <t>Terminal Box Tata Suara (TBTS)</t>
        </is>
      </c>
      <c r="C9264" s="3" t="inlineStr">
        <is>
          <t>unit</t>
        </is>
      </c>
      <c r="D9264" s="15" t="n">
        <v>1.05</v>
      </c>
      <c r="E9264" s="4" t="n">
        <v>75000</v>
      </c>
      <c r="F9264" s="4" t="n">
        <v>78750</v>
      </c>
    </row>
    <row r="9265">
      <c r="D9265" s="2" t="inlineStr">
        <is>
          <t>SUBTOTAL UPAH</t>
        </is>
      </c>
      <c r="F9265" s="16" t="n">
        <v>61750</v>
      </c>
    </row>
    <row r="9266">
      <c r="D9266" s="2" t="inlineStr">
        <is>
          <t>SUBTOTAL BAHAN</t>
        </is>
      </c>
      <c r="F9266" s="16" t="n">
        <v>78750</v>
      </c>
    </row>
    <row r="9267">
      <c r="D9267" s="2" t="inlineStr">
        <is>
          <t>SUBTOTAL ALAT</t>
        </is>
      </c>
      <c r="F9267" s="16" t="n">
        <v>0</v>
      </c>
    </row>
    <row r="9268">
      <c r="E9268" s="2" t="inlineStr">
        <is>
          <t>TOTAL HARGA SATUAN (Inc. Overhead)</t>
        </is>
      </c>
      <c r="F9268" s="17" t="n">
        <v>154550</v>
      </c>
    </row>
    <row r="9270">
      <c r="A9270" s="14" t="inlineStr">
        <is>
          <t>KODE: 5.4.3.14 - Pemasangan 1 Unit Ceiling Speaker</t>
        </is>
      </c>
    </row>
    <row r="9271">
      <c r="A9271" s="10" t="inlineStr">
        <is>
          <t>No</t>
        </is>
      </c>
      <c r="B9271" s="10" t="inlineStr">
        <is>
          <t>Uraian Komponen</t>
        </is>
      </c>
      <c r="C9271" s="10" t="inlineStr">
        <is>
          <t>Satuan</t>
        </is>
      </c>
      <c r="D9271" s="10" t="inlineStr">
        <is>
          <t>Koef</t>
        </is>
      </c>
      <c r="E9271" s="10" t="inlineStr">
        <is>
          <t>Harga Satuan (Rp)</t>
        </is>
      </c>
      <c r="F9271" s="10" t="inlineStr">
        <is>
          <t>Jumlah Harga (Rp)</t>
        </is>
      </c>
    </row>
    <row r="9272">
      <c r="A9272" s="3" t="inlineStr">
        <is>
          <t>1</t>
        </is>
      </c>
      <c r="B9272" s="3" t="inlineStr">
        <is>
          <t>Pekerja</t>
        </is>
      </c>
      <c r="C9272" s="3" t="inlineStr">
        <is>
          <t>OH</t>
        </is>
      </c>
      <c r="D9272" s="15" t="n">
        <v>0.095</v>
      </c>
      <c r="E9272" s="4" t="n">
        <v>100000</v>
      </c>
      <c r="F9272" s="4" t="n">
        <v>9500</v>
      </c>
    </row>
    <row r="9273">
      <c r="A9273" s="3" t="inlineStr">
        <is>
          <t>2</t>
        </is>
      </c>
      <c r="B9273" s="3" t="inlineStr">
        <is>
          <t>Tukang listrik</t>
        </is>
      </c>
      <c r="C9273" s="3" t="inlineStr">
        <is>
          <t>OH</t>
        </is>
      </c>
      <c r="D9273" s="15" t="n">
        <v>0.159</v>
      </c>
      <c r="E9273" s="4" t="n">
        <v>145000</v>
      </c>
      <c r="F9273" s="4" t="n">
        <v>23055</v>
      </c>
    </row>
    <row r="9274">
      <c r="A9274" s="3" t="inlineStr">
        <is>
          <t>3</t>
        </is>
      </c>
      <c r="B9274" s="3" t="inlineStr">
        <is>
          <t>Kepala Tukang</t>
        </is>
      </c>
      <c r="C9274" s="3" t="inlineStr">
        <is>
          <t>OH</t>
        </is>
      </c>
      <c r="D9274" s="15" t="n">
        <v>0.016</v>
      </c>
      <c r="E9274" s="4" t="n">
        <v>175000</v>
      </c>
      <c r="F9274" s="4" t="n">
        <v>2800</v>
      </c>
    </row>
    <row r="9275">
      <c r="A9275" s="3" t="inlineStr">
        <is>
          <t>4</t>
        </is>
      </c>
      <c r="B9275" s="3" t="inlineStr">
        <is>
          <t>Mandor</t>
        </is>
      </c>
      <c r="C9275" s="3" t="inlineStr">
        <is>
          <t>OH</t>
        </is>
      </c>
      <c r="D9275" s="15" t="n">
        <v>0.005</v>
      </c>
      <c r="E9275" s="4" t="n">
        <v>200000</v>
      </c>
      <c r="F9275" s="4" t="n">
        <v>1000</v>
      </c>
    </row>
    <row r="9276">
      <c r="A9276" s="3" t="inlineStr">
        <is>
          <t>1</t>
        </is>
      </c>
      <c r="B9276" s="3" t="inlineStr">
        <is>
          <t>Ceiling Speaker</t>
        </is>
      </c>
      <c r="C9276" s="3" t="inlineStr">
        <is>
          <t>unit</t>
        </is>
      </c>
      <c r="D9276" s="15" t="n">
        <v>1.05</v>
      </c>
      <c r="E9276" s="4" t="n">
        <v>680000</v>
      </c>
      <c r="F9276" s="4" t="n">
        <v>714000</v>
      </c>
    </row>
    <row r="9277">
      <c r="D9277" s="2" t="inlineStr">
        <is>
          <t>SUBTOTAL UPAH</t>
        </is>
      </c>
      <c r="F9277" s="16" t="n">
        <v>36355</v>
      </c>
    </row>
    <row r="9278">
      <c r="D9278" s="2" t="inlineStr">
        <is>
          <t>SUBTOTAL BAHAN</t>
        </is>
      </c>
      <c r="F9278" s="16" t="n">
        <v>714000</v>
      </c>
    </row>
    <row r="9279">
      <c r="D9279" s="2" t="inlineStr">
        <is>
          <t>SUBTOTAL ALAT</t>
        </is>
      </c>
      <c r="F9279" s="16" t="n">
        <v>0</v>
      </c>
    </row>
    <row r="9280">
      <c r="E9280" s="2" t="inlineStr">
        <is>
          <t>TOTAL HARGA SATUAN (Inc. Overhead)</t>
        </is>
      </c>
      <c r="F9280" s="17" t="n">
        <v>825390</v>
      </c>
    </row>
    <row r="9282">
      <c r="A9282" s="14" t="inlineStr">
        <is>
          <t>KODE: 5.4.3.15 - Pemasangan 1 Unit Wall Speaker</t>
        </is>
      </c>
    </row>
    <row r="9283">
      <c r="A9283" s="10" t="inlineStr">
        <is>
          <t>No</t>
        </is>
      </c>
      <c r="B9283" s="10" t="inlineStr">
        <is>
          <t>Uraian Komponen</t>
        </is>
      </c>
      <c r="C9283" s="10" t="inlineStr">
        <is>
          <t>Satuan</t>
        </is>
      </c>
      <c r="D9283" s="10" t="inlineStr">
        <is>
          <t>Koef</t>
        </is>
      </c>
      <c r="E9283" s="10" t="inlineStr">
        <is>
          <t>Harga Satuan (Rp)</t>
        </is>
      </c>
      <c r="F9283" s="10" t="inlineStr">
        <is>
          <t>Jumlah Harga (Rp)</t>
        </is>
      </c>
    </row>
    <row r="9284">
      <c r="A9284" s="3" t="inlineStr">
        <is>
          <t>1</t>
        </is>
      </c>
      <c r="B9284" s="3" t="inlineStr">
        <is>
          <t>Pekerja</t>
        </is>
      </c>
      <c r="C9284" s="3" t="inlineStr">
        <is>
          <t>OH</t>
        </is>
      </c>
      <c r="D9284" s="15" t="n">
        <v>0.129</v>
      </c>
      <c r="E9284" s="4" t="n">
        <v>100000</v>
      </c>
      <c r="F9284" s="4" t="n">
        <v>12900</v>
      </c>
    </row>
    <row r="9285">
      <c r="A9285" s="3" t="inlineStr">
        <is>
          <t>2</t>
        </is>
      </c>
      <c r="B9285" s="3" t="inlineStr">
        <is>
          <t>Tukang listrik</t>
        </is>
      </c>
      <c r="C9285" s="3" t="inlineStr">
        <is>
          <t>OH</t>
        </is>
      </c>
      <c r="D9285" s="15" t="n">
        <v>0.215</v>
      </c>
      <c r="E9285" s="4" t="n">
        <v>145000</v>
      </c>
      <c r="F9285" s="4" t="n">
        <v>31175</v>
      </c>
    </row>
    <row r="9286">
      <c r="A9286" s="3" t="inlineStr">
        <is>
          <t>3</t>
        </is>
      </c>
      <c r="B9286" s="3" t="inlineStr">
        <is>
          <t>Kepala Tukang</t>
        </is>
      </c>
      <c r="C9286" s="3" t="inlineStr">
        <is>
          <t>OH</t>
        </is>
      </c>
      <c r="D9286" s="15" t="n">
        <v>0.21</v>
      </c>
      <c r="E9286" s="4" t="n">
        <v>175000</v>
      </c>
      <c r="F9286" s="4" t="n">
        <v>36750</v>
      </c>
    </row>
    <row r="9287">
      <c r="A9287" s="3" t="inlineStr">
        <is>
          <t>4</t>
        </is>
      </c>
      <c r="B9287" s="3" t="inlineStr">
        <is>
          <t>Mandor</t>
        </is>
      </c>
      <c r="C9287" s="3" t="inlineStr">
        <is>
          <t>OH</t>
        </is>
      </c>
      <c r="D9287" s="15" t="n">
        <v>0.007</v>
      </c>
      <c r="E9287" s="4" t="n">
        <v>200000</v>
      </c>
      <c r="F9287" s="4" t="n">
        <v>1400</v>
      </c>
    </row>
    <row r="9288">
      <c r="A9288" s="3" t="inlineStr">
        <is>
          <t>1</t>
        </is>
      </c>
      <c r="B9288" s="3" t="inlineStr">
        <is>
          <t>Wall Speaker</t>
        </is>
      </c>
      <c r="C9288" s="3" t="inlineStr">
        <is>
          <t>unit</t>
        </is>
      </c>
      <c r="D9288" s="15" t="n">
        <v>1.1</v>
      </c>
      <c r="E9288" s="4" t="n">
        <v>650000</v>
      </c>
      <c r="F9288" s="4" t="n">
        <v>715000</v>
      </c>
    </row>
    <row r="9289">
      <c r="D9289" s="2" t="inlineStr">
        <is>
          <t>SUBTOTAL UPAH</t>
        </is>
      </c>
      <c r="F9289" s="16" t="n">
        <v>82225</v>
      </c>
    </row>
    <row r="9290">
      <c r="D9290" s="2" t="inlineStr">
        <is>
          <t>SUBTOTAL BAHAN</t>
        </is>
      </c>
      <c r="F9290" s="16" t="n">
        <v>715000</v>
      </c>
    </row>
    <row r="9291">
      <c r="D9291" s="2" t="inlineStr">
        <is>
          <t>SUBTOTAL ALAT</t>
        </is>
      </c>
      <c r="F9291" s="16" t="n">
        <v>0</v>
      </c>
    </row>
    <row r="9292">
      <c r="E9292" s="2" t="inlineStr">
        <is>
          <t>TOTAL HARGA SATUAN (Inc. Overhead)</t>
        </is>
      </c>
      <c r="F9292" s="17" t="n">
        <v>876947</v>
      </c>
    </row>
    <row r="9294">
      <c r="A9294" s="14" t="inlineStr">
        <is>
          <t>KODE: 5.4.3.16 - Pemasangan 1 Unit Horn Speaker</t>
        </is>
      </c>
    </row>
    <row r="9295">
      <c r="A9295" s="10" t="inlineStr">
        <is>
          <t>No</t>
        </is>
      </c>
      <c r="B9295" s="10" t="inlineStr">
        <is>
          <t>Uraian Komponen</t>
        </is>
      </c>
      <c r="C9295" s="10" t="inlineStr">
        <is>
          <t>Satuan</t>
        </is>
      </c>
      <c r="D9295" s="10" t="inlineStr">
        <is>
          <t>Koef</t>
        </is>
      </c>
      <c r="E9295" s="10" t="inlineStr">
        <is>
          <t>Harga Satuan (Rp)</t>
        </is>
      </c>
      <c r="F9295" s="10" t="inlineStr">
        <is>
          <t>Jumlah Harga (Rp)</t>
        </is>
      </c>
    </row>
    <row r="9296">
      <c r="A9296" s="3" t="inlineStr">
        <is>
          <t>1</t>
        </is>
      </c>
      <c r="B9296" s="3" t="inlineStr">
        <is>
          <t>Pekerja</t>
        </is>
      </c>
      <c r="C9296" s="3" t="inlineStr">
        <is>
          <t>OH</t>
        </is>
      </c>
      <c r="D9296" s="15" t="n">
        <v>0.095</v>
      </c>
      <c r="E9296" s="4" t="n">
        <v>100000</v>
      </c>
      <c r="F9296" s="4" t="n">
        <v>9500</v>
      </c>
    </row>
    <row r="9297">
      <c r="A9297" s="3" t="inlineStr">
        <is>
          <t>2</t>
        </is>
      </c>
      <c r="B9297" s="3" t="inlineStr">
        <is>
          <t>Tukang listrik</t>
        </is>
      </c>
      <c r="C9297" s="3" t="inlineStr">
        <is>
          <t>OH</t>
        </is>
      </c>
      <c r="D9297" s="15" t="n">
        <v>0.159</v>
      </c>
      <c r="E9297" s="4" t="n">
        <v>145000</v>
      </c>
      <c r="F9297" s="4" t="n">
        <v>23055</v>
      </c>
    </row>
    <row r="9298">
      <c r="A9298" s="3" t="inlineStr">
        <is>
          <t>3</t>
        </is>
      </c>
      <c r="B9298" s="3" t="inlineStr">
        <is>
          <t>Kepala Tukang</t>
        </is>
      </c>
      <c r="C9298" s="3" t="inlineStr">
        <is>
          <t>OH</t>
        </is>
      </c>
      <c r="D9298" s="15" t="n">
        <v>0.016</v>
      </c>
      <c r="E9298" s="4" t="n">
        <v>175000</v>
      </c>
      <c r="F9298" s="4" t="n">
        <v>2800</v>
      </c>
    </row>
    <row r="9299">
      <c r="A9299" s="3" t="inlineStr">
        <is>
          <t>4</t>
        </is>
      </c>
      <c r="B9299" s="3" t="inlineStr">
        <is>
          <t>Mandor</t>
        </is>
      </c>
      <c r="C9299" s="3" t="inlineStr">
        <is>
          <t>OH</t>
        </is>
      </c>
      <c r="D9299" s="15" t="n">
        <v>0.005</v>
      </c>
      <c r="E9299" s="4" t="n">
        <v>200000</v>
      </c>
      <c r="F9299" s="4" t="n">
        <v>1000</v>
      </c>
    </row>
    <row r="9300">
      <c r="A9300" s="3" t="inlineStr">
        <is>
          <t>1</t>
        </is>
      </c>
      <c r="B9300" s="3" t="inlineStr">
        <is>
          <t>Horn Speaker</t>
        </is>
      </c>
      <c r="C9300" s="3" t="inlineStr">
        <is>
          <t>unit</t>
        </is>
      </c>
      <c r="D9300" s="15" t="n">
        <v>1.05</v>
      </c>
      <c r="E9300" s="4" t="n">
        <v>250000</v>
      </c>
      <c r="F9300" s="4" t="n">
        <v>262500</v>
      </c>
    </row>
    <row r="9301">
      <c r="D9301" s="2" t="inlineStr">
        <is>
          <t>SUBTOTAL UPAH</t>
        </is>
      </c>
      <c r="F9301" s="16" t="n">
        <v>36355</v>
      </c>
    </row>
    <row r="9302">
      <c r="D9302" s="2" t="inlineStr">
        <is>
          <t>SUBTOTAL BAHAN</t>
        </is>
      </c>
      <c r="F9302" s="16" t="n">
        <v>262500</v>
      </c>
    </row>
    <row r="9303">
      <c r="D9303" s="2" t="inlineStr">
        <is>
          <t>SUBTOTAL ALAT</t>
        </is>
      </c>
      <c r="F9303" s="16" t="n">
        <v>0</v>
      </c>
    </row>
    <row r="9304">
      <c r="E9304" s="2" t="inlineStr">
        <is>
          <t>TOTAL HARGA SATUAN (Inc. Overhead)</t>
        </is>
      </c>
      <c r="F9304" s="17" t="n">
        <v>328740</v>
      </c>
    </row>
    <row r="9306">
      <c r="A9306" s="14" t="inlineStr">
        <is>
          <t>KODE: 5.4.3.17 - Pemasangan 1 Unit Horn Speaker+ Tiang</t>
        </is>
      </c>
    </row>
    <row r="9307">
      <c r="A9307" s="10" t="inlineStr">
        <is>
          <t>No</t>
        </is>
      </c>
      <c r="B9307" s="10" t="inlineStr">
        <is>
          <t>Uraian Komponen</t>
        </is>
      </c>
      <c r="C9307" s="10" t="inlineStr">
        <is>
          <t>Satuan</t>
        </is>
      </c>
      <c r="D9307" s="10" t="inlineStr">
        <is>
          <t>Koef</t>
        </is>
      </c>
      <c r="E9307" s="10" t="inlineStr">
        <is>
          <t>Harga Satuan (Rp)</t>
        </is>
      </c>
      <c r="F9307" s="10" t="inlineStr">
        <is>
          <t>Jumlah Harga (Rp)</t>
        </is>
      </c>
    </row>
    <row r="9308">
      <c r="A9308" s="3" t="inlineStr">
        <is>
          <t>1</t>
        </is>
      </c>
      <c r="B9308" s="3" t="inlineStr">
        <is>
          <t>Pekerja</t>
        </is>
      </c>
      <c r="C9308" s="3" t="inlineStr">
        <is>
          <t>OH</t>
        </is>
      </c>
      <c r="D9308" s="15" t="n">
        <v>0.381</v>
      </c>
      <c r="E9308" s="4" t="n">
        <v>100000</v>
      </c>
      <c r="F9308" s="4" t="n">
        <v>38100</v>
      </c>
    </row>
    <row r="9309">
      <c r="A9309" s="3" t="inlineStr">
        <is>
          <t>2</t>
        </is>
      </c>
      <c r="B9309" s="3" t="inlineStr">
        <is>
          <t>Tukang listrik</t>
        </is>
      </c>
      <c r="C9309" s="3" t="inlineStr">
        <is>
          <t>OH</t>
        </is>
      </c>
      <c r="D9309" s="15" t="n">
        <v>0.636</v>
      </c>
      <c r="E9309" s="4" t="n">
        <v>145000</v>
      </c>
      <c r="F9309" s="4" t="n">
        <v>92220</v>
      </c>
    </row>
    <row r="9310">
      <c r="A9310" s="3" t="inlineStr">
        <is>
          <t>3</t>
        </is>
      </c>
      <c r="B9310" s="3" t="inlineStr">
        <is>
          <t>Kepala Tukang</t>
        </is>
      </c>
      <c r="C9310" s="3" t="inlineStr">
        <is>
          <t>OH</t>
        </is>
      </c>
      <c r="D9310" s="15" t="n">
        <v>0.064</v>
      </c>
      <c r="E9310" s="4" t="n">
        <v>175000</v>
      </c>
      <c r="F9310" s="4" t="n">
        <v>11200</v>
      </c>
    </row>
    <row r="9311">
      <c r="A9311" s="3" t="inlineStr">
        <is>
          <t>4</t>
        </is>
      </c>
      <c r="B9311" s="3" t="inlineStr">
        <is>
          <t>Mandor</t>
        </is>
      </c>
      <c r="C9311" s="3" t="inlineStr">
        <is>
          <t>OH</t>
        </is>
      </c>
      <c r="D9311" s="15" t="n">
        <v>0.021</v>
      </c>
      <c r="E9311" s="4" t="n">
        <v>200000</v>
      </c>
      <c r="F9311" s="4" t="n">
        <v>4200</v>
      </c>
    </row>
    <row r="9312">
      <c r="A9312" s="3" t="inlineStr">
        <is>
          <t>1</t>
        </is>
      </c>
      <c r="B9312" s="3" t="inlineStr">
        <is>
          <t>Horn Speaker</t>
        </is>
      </c>
      <c r="C9312" s="3" t="inlineStr">
        <is>
          <t>unit</t>
        </is>
      </c>
      <c r="D9312" s="15" t="n">
        <v>1.05</v>
      </c>
      <c r="E9312" s="4" t="n">
        <v>250000</v>
      </c>
      <c r="F9312" s="4" t="n">
        <v>262500</v>
      </c>
    </row>
    <row r="9313">
      <c r="A9313" s="3" t="inlineStr">
        <is>
          <t>2</t>
        </is>
      </c>
      <c r="B9313" s="3" t="inlineStr">
        <is>
          <t>Tiang</t>
        </is>
      </c>
      <c r="C9313" s="3" t="inlineStr">
        <is>
          <t>m</t>
        </is>
      </c>
      <c r="D9313" s="15" t="n">
        <v>2.5</v>
      </c>
      <c r="E9313" s="4" t="n">
        <v>55500</v>
      </c>
      <c r="F9313" s="4" t="n">
        <v>138750</v>
      </c>
    </row>
    <row r="9314">
      <c r="D9314" s="2" t="inlineStr">
        <is>
          <t>SUBTOTAL UPAH</t>
        </is>
      </c>
      <c r="F9314" s="16" t="n">
        <v>145720</v>
      </c>
    </row>
    <row r="9315">
      <c r="D9315" s="2" t="inlineStr">
        <is>
          <t>SUBTOTAL BAHAN</t>
        </is>
      </c>
      <c r="F9315" s="16" t="n">
        <v>401250</v>
      </c>
    </row>
    <row r="9316">
      <c r="D9316" s="2" t="inlineStr">
        <is>
          <t>SUBTOTAL ALAT</t>
        </is>
      </c>
      <c r="F9316" s="16" t="n">
        <v>0</v>
      </c>
    </row>
    <row r="9317">
      <c r="E9317" s="2" t="inlineStr">
        <is>
          <t>TOTAL HARGA SATUAN (Inc. Overhead)</t>
        </is>
      </c>
      <c r="F9317" s="17" t="n">
        <v>601667</v>
      </c>
    </row>
    <row r="9319">
      <c r="A9319" s="14" t="inlineStr">
        <is>
          <t>KODE: 5.4.3.18 - Pemasangan 1 titik Instalasi  Horn Speaker</t>
        </is>
      </c>
    </row>
    <row r="9320">
      <c r="A9320" s="10" t="inlineStr">
        <is>
          <t>No</t>
        </is>
      </c>
      <c r="B9320" s="10" t="inlineStr">
        <is>
          <t>Uraian Komponen</t>
        </is>
      </c>
      <c r="C9320" s="10" t="inlineStr">
        <is>
          <t>Satuan</t>
        </is>
      </c>
      <c r="D9320" s="10" t="inlineStr">
        <is>
          <t>Koef</t>
        </is>
      </c>
      <c r="E9320" s="10" t="inlineStr">
        <is>
          <t>Harga Satuan (Rp)</t>
        </is>
      </c>
      <c r="F9320" s="10" t="inlineStr">
        <is>
          <t>Jumlah Harga (Rp)</t>
        </is>
      </c>
    </row>
    <row r="9321">
      <c r="A9321" s="3" t="inlineStr">
        <is>
          <t>1</t>
        </is>
      </c>
      <c r="B9321" s="3" t="inlineStr">
        <is>
          <t>Pekerja</t>
        </is>
      </c>
      <c r="C9321" s="3" t="inlineStr">
        <is>
          <t>OH</t>
        </is>
      </c>
      <c r="D9321" s="15" t="n">
        <v>0.19</v>
      </c>
      <c r="E9321" s="4" t="n">
        <v>100000</v>
      </c>
      <c r="F9321" s="4" t="n">
        <v>19000</v>
      </c>
    </row>
    <row r="9322">
      <c r="A9322" s="3" t="inlineStr">
        <is>
          <t>2</t>
        </is>
      </c>
      <c r="B9322" s="3" t="inlineStr">
        <is>
          <t>Tukang listrik</t>
        </is>
      </c>
      <c r="C9322" s="3" t="inlineStr">
        <is>
          <t>OH</t>
        </is>
      </c>
      <c r="D9322" s="15" t="n">
        <v>0.318</v>
      </c>
      <c r="E9322" s="4" t="n">
        <v>145000</v>
      </c>
      <c r="F9322" s="4" t="n">
        <v>46110</v>
      </c>
    </row>
    <row r="9323">
      <c r="A9323" s="3" t="inlineStr">
        <is>
          <t>3</t>
        </is>
      </c>
      <c r="B9323" s="3" t="inlineStr">
        <is>
          <t>Kepala Tukang</t>
        </is>
      </c>
      <c r="C9323" s="3" t="inlineStr">
        <is>
          <t>OH</t>
        </is>
      </c>
      <c r="D9323" s="15" t="n">
        <v>0.032</v>
      </c>
      <c r="E9323" s="4" t="n">
        <v>175000</v>
      </c>
      <c r="F9323" s="4" t="n">
        <v>5600</v>
      </c>
    </row>
    <row r="9324">
      <c r="A9324" s="3" t="inlineStr">
        <is>
          <t>4</t>
        </is>
      </c>
      <c r="B9324" s="3" t="inlineStr">
        <is>
          <t>Mandor</t>
        </is>
      </c>
      <c r="C9324" s="3" t="inlineStr">
        <is>
          <t>OH</t>
        </is>
      </c>
      <c r="D9324" s="15" t="n">
        <v>0.011</v>
      </c>
      <c r="E9324" s="4" t="n">
        <v>200000</v>
      </c>
      <c r="F9324" s="4" t="n">
        <v>2200</v>
      </c>
    </row>
    <row r="9325">
      <c r="A9325" s="3" t="inlineStr">
        <is>
          <t>1</t>
        </is>
      </c>
      <c r="B9325" s="3" t="inlineStr">
        <is>
          <t>"Kabel NYMHY 2 x 1 5 mm²"</t>
        </is>
      </c>
      <c r="C9325" s="3" t="inlineStr">
        <is>
          <t>m</t>
        </is>
      </c>
      <c r="D9325" s="15" t="n">
        <v>33</v>
      </c>
      <c r="E9325" s="4" t="n">
        <v>9300</v>
      </c>
      <c r="F9325" s="4" t="n">
        <v>306900</v>
      </c>
    </row>
    <row r="9326">
      <c r="A9326" s="3" t="inlineStr">
        <is>
          <t>2</t>
        </is>
      </c>
      <c r="B9326" s="3" t="inlineStr">
        <is>
          <t>Conduit HI 20 mm</t>
        </is>
      </c>
      <c r="C9326" s="3" t="inlineStr">
        <is>
          <t>m</t>
        </is>
      </c>
      <c r="D9326" s="15" t="n">
        <v>33</v>
      </c>
      <c r="E9326" s="4" t="n">
        <v>4000</v>
      </c>
      <c r="F9326" s="4" t="n">
        <v>132000</v>
      </c>
    </row>
    <row r="9327">
      <c r="A9327" s="3" t="inlineStr">
        <is>
          <t>3</t>
        </is>
      </c>
      <c r="B9327" s="3" t="inlineStr">
        <is>
          <t>T Dus</t>
        </is>
      </c>
      <c r="C9327" s="3" t="inlineStr">
        <is>
          <t>buah</t>
        </is>
      </c>
      <c r="D9327" s="15" t="n">
        <v>1</v>
      </c>
      <c r="E9327" s="4" t="n">
        <v>4000</v>
      </c>
      <c r="F9327" s="4" t="n">
        <v>4000</v>
      </c>
    </row>
    <row r="9328">
      <c r="A9328" s="3" t="inlineStr">
        <is>
          <t>4</t>
        </is>
      </c>
      <c r="B9328" s="3" t="inlineStr">
        <is>
          <t>Socket Conduit 20 mm</t>
        </is>
      </c>
      <c r="C9328" s="3" t="inlineStr">
        <is>
          <t>buah</t>
        </is>
      </c>
      <c r="D9328" s="15" t="n">
        <v>17</v>
      </c>
      <c r="E9328" s="4" t="n">
        <v>700</v>
      </c>
      <c r="F9328" s="4" t="n">
        <v>11900</v>
      </c>
    </row>
    <row r="9329">
      <c r="A9329" s="3" t="inlineStr">
        <is>
          <t>5</t>
        </is>
      </c>
      <c r="B9329" s="3" t="inlineStr">
        <is>
          <t>Flexible Conduit 20 mm</t>
        </is>
      </c>
      <c r="C9329" s="3" t="inlineStr">
        <is>
          <t>buah</t>
        </is>
      </c>
      <c r="D9329" s="15" t="n">
        <v>1</v>
      </c>
      <c r="E9329" s="4" t="n">
        <v>5400</v>
      </c>
      <c r="F9329" s="4" t="n">
        <v>5400</v>
      </c>
    </row>
    <row r="9330">
      <c r="A9330" s="3" t="inlineStr">
        <is>
          <t>6</t>
        </is>
      </c>
      <c r="B9330" s="3" t="inlineStr">
        <is>
          <t>Isolasi</t>
        </is>
      </c>
      <c r="C9330" s="3" t="inlineStr">
        <is>
          <t>m</t>
        </is>
      </c>
      <c r="D9330" s="15" t="n">
        <v>0.5</v>
      </c>
      <c r="E9330" s="4" t="n">
        <v>416</v>
      </c>
      <c r="F9330" s="4" t="n">
        <v>208</v>
      </c>
    </row>
    <row r="9331">
      <c r="A9331" s="3" t="inlineStr">
        <is>
          <t>7</t>
        </is>
      </c>
      <c r="B9331" s="3" t="inlineStr">
        <is>
          <t>Lasdop</t>
        </is>
      </c>
      <c r="C9331" s="3" t="inlineStr">
        <is>
          <t>buah</t>
        </is>
      </c>
      <c r="D9331" s="15" t="n">
        <v>4</v>
      </c>
      <c r="E9331" s="4" t="n">
        <v>580</v>
      </c>
      <c r="F9331" s="4" t="n">
        <v>2320</v>
      </c>
    </row>
    <row r="9332">
      <c r="D9332" s="2" t="inlineStr">
        <is>
          <t>SUBTOTAL UPAH</t>
        </is>
      </c>
      <c r="F9332" s="16" t="n">
        <v>72910</v>
      </c>
    </row>
    <row r="9333">
      <c r="D9333" s="2" t="inlineStr">
        <is>
          <t>SUBTOTAL BAHAN</t>
        </is>
      </c>
      <c r="F9333" s="16" t="n">
        <v>462728</v>
      </c>
    </row>
    <row r="9334">
      <c r="D9334" s="2" t="inlineStr">
        <is>
          <t>SUBTOTAL ALAT</t>
        </is>
      </c>
      <c r="F9334" s="16" t="n">
        <v>0</v>
      </c>
    </row>
    <row r="9335">
      <c r="E9335" s="2" t="inlineStr">
        <is>
          <t>TOTAL HARGA SATUAN (Inc. Overhead)</t>
        </is>
      </c>
      <c r="F9335" s="17" t="n">
        <v>589201</v>
      </c>
    </row>
    <row r="9337">
      <c r="A9337" s="14" t="inlineStr">
        <is>
          <t>KODE: 5.4.3.19 - Pemasangan 1 titik Instalasi  Ceiling Speaker</t>
        </is>
      </c>
    </row>
    <row r="9338">
      <c r="A9338" s="10" t="inlineStr">
        <is>
          <t>No</t>
        </is>
      </c>
      <c r="B9338" s="10" t="inlineStr">
        <is>
          <t>Uraian Komponen</t>
        </is>
      </c>
      <c r="C9338" s="10" t="inlineStr">
        <is>
          <t>Satuan</t>
        </is>
      </c>
      <c r="D9338" s="10" t="inlineStr">
        <is>
          <t>Koef</t>
        </is>
      </c>
      <c r="E9338" s="10" t="inlineStr">
        <is>
          <t>Harga Satuan (Rp)</t>
        </is>
      </c>
      <c r="F9338" s="10" t="inlineStr">
        <is>
          <t>Jumlah Harga (Rp)</t>
        </is>
      </c>
    </row>
    <row r="9339">
      <c r="A9339" s="3" t="inlineStr">
        <is>
          <t>1</t>
        </is>
      </c>
      <c r="B9339" s="3" t="inlineStr">
        <is>
          <t>Pekerja</t>
        </is>
      </c>
      <c r="C9339" s="3" t="inlineStr">
        <is>
          <t>OH</t>
        </is>
      </c>
      <c r="D9339" s="15" t="n">
        <v>0.19</v>
      </c>
      <c r="E9339" s="4" t="n">
        <v>100000</v>
      </c>
      <c r="F9339" s="4" t="n">
        <v>19000</v>
      </c>
    </row>
    <row r="9340">
      <c r="A9340" s="3" t="inlineStr">
        <is>
          <t>2</t>
        </is>
      </c>
      <c r="B9340" s="3" t="inlineStr">
        <is>
          <t>Tukang listrik</t>
        </is>
      </c>
      <c r="C9340" s="3" t="inlineStr">
        <is>
          <t>OH</t>
        </is>
      </c>
      <c r="D9340" s="15" t="n">
        <v>0.318</v>
      </c>
      <c r="E9340" s="4" t="n">
        <v>145000</v>
      </c>
      <c r="F9340" s="4" t="n">
        <v>46110</v>
      </c>
    </row>
    <row r="9341">
      <c r="A9341" s="3" t="inlineStr">
        <is>
          <t>3</t>
        </is>
      </c>
      <c r="B9341" s="3" t="inlineStr">
        <is>
          <t>Kepala Tukang</t>
        </is>
      </c>
      <c r="C9341" s="3" t="inlineStr">
        <is>
          <t>OH</t>
        </is>
      </c>
      <c r="D9341" s="15" t="n">
        <v>0.032</v>
      </c>
      <c r="E9341" s="4" t="n">
        <v>175000</v>
      </c>
      <c r="F9341" s="4" t="n">
        <v>5600</v>
      </c>
    </row>
    <row r="9342">
      <c r="A9342" s="3" t="inlineStr">
        <is>
          <t>4</t>
        </is>
      </c>
      <c r="B9342" s="3" t="inlineStr">
        <is>
          <t>Mandor</t>
        </is>
      </c>
      <c r="C9342" s="3" t="inlineStr">
        <is>
          <t>OH</t>
        </is>
      </c>
      <c r="D9342" s="15" t="n">
        <v>0.011</v>
      </c>
      <c r="E9342" s="4" t="n">
        <v>200000</v>
      </c>
      <c r="F9342" s="4" t="n">
        <v>2200</v>
      </c>
    </row>
    <row r="9343">
      <c r="A9343" s="3" t="inlineStr">
        <is>
          <t>1</t>
        </is>
      </c>
      <c r="B9343" s="3" t="inlineStr">
        <is>
          <t>"Kabel NYMHY 2 x 1 5 mm²"</t>
        </is>
      </c>
      <c r="C9343" s="3" t="inlineStr">
        <is>
          <t>m</t>
        </is>
      </c>
      <c r="D9343" s="15" t="n">
        <v>9.9</v>
      </c>
      <c r="E9343" s="4" t="n">
        <v>9300</v>
      </c>
      <c r="F9343" s="4" t="n">
        <v>92070</v>
      </c>
    </row>
    <row r="9344">
      <c r="A9344" s="3" t="inlineStr">
        <is>
          <t>2</t>
        </is>
      </c>
      <c r="B9344" s="3" t="inlineStr">
        <is>
          <t>Conduit HI 20 mm</t>
        </is>
      </c>
      <c r="C9344" s="3" t="inlineStr">
        <is>
          <t>m</t>
        </is>
      </c>
      <c r="D9344" s="15" t="n">
        <v>9.9</v>
      </c>
      <c r="E9344" s="4" t="n">
        <v>4000</v>
      </c>
      <c r="F9344" s="4" t="n">
        <v>39600</v>
      </c>
    </row>
    <row r="9345">
      <c r="A9345" s="3" t="inlineStr">
        <is>
          <t>3</t>
        </is>
      </c>
      <c r="B9345" s="3" t="inlineStr">
        <is>
          <t>T Dus</t>
        </is>
      </c>
      <c r="C9345" s="3" t="inlineStr">
        <is>
          <t>buah</t>
        </is>
      </c>
      <c r="D9345" s="15" t="n">
        <v>1</v>
      </c>
      <c r="E9345" s="4" t="n">
        <v>4000</v>
      </c>
      <c r="F9345" s="4" t="n">
        <v>4000</v>
      </c>
    </row>
    <row r="9346">
      <c r="A9346" s="3" t="inlineStr">
        <is>
          <t>4</t>
        </is>
      </c>
      <c r="B9346" s="3" t="inlineStr">
        <is>
          <t>Socket Conduit 20 mm</t>
        </is>
      </c>
      <c r="C9346" s="3" t="inlineStr">
        <is>
          <t>buah</t>
        </is>
      </c>
      <c r="D9346" s="15" t="n">
        <v>5</v>
      </c>
      <c r="E9346" s="4" t="n">
        <v>700</v>
      </c>
      <c r="F9346" s="4" t="n">
        <v>3500</v>
      </c>
    </row>
    <row r="9347">
      <c r="A9347" s="3" t="inlineStr">
        <is>
          <t>5</t>
        </is>
      </c>
      <c r="B9347" s="3" t="inlineStr">
        <is>
          <t>Klem 20 mm</t>
        </is>
      </c>
      <c r="C9347" s="3" t="inlineStr">
        <is>
          <t>buah</t>
        </is>
      </c>
      <c r="D9347" s="15" t="n">
        <v>10</v>
      </c>
      <c r="E9347" s="4" t="n">
        <v>900</v>
      </c>
      <c r="F9347" s="4" t="n">
        <v>9000</v>
      </c>
    </row>
    <row r="9348">
      <c r="A9348" s="3" t="inlineStr">
        <is>
          <t>6</t>
        </is>
      </c>
      <c r="B9348" s="3" t="inlineStr">
        <is>
          <t>Flexible Conduit 20 mm</t>
        </is>
      </c>
      <c r="C9348" s="3" t="inlineStr">
        <is>
          <t>buah</t>
        </is>
      </c>
      <c r="D9348" s="15" t="n">
        <v>1</v>
      </c>
      <c r="E9348" s="4" t="n">
        <v>5400</v>
      </c>
      <c r="F9348" s="4" t="n">
        <v>5400</v>
      </c>
    </row>
    <row r="9349">
      <c r="A9349" s="3" t="inlineStr">
        <is>
          <t>7</t>
        </is>
      </c>
      <c r="B9349" s="3" t="inlineStr">
        <is>
          <t>Isolasi</t>
        </is>
      </c>
      <c r="C9349" s="3" t="inlineStr">
        <is>
          <t>m</t>
        </is>
      </c>
      <c r="D9349" s="15" t="n">
        <v>0.5</v>
      </c>
      <c r="E9349" s="4" t="n">
        <v>416</v>
      </c>
      <c r="F9349" s="4" t="n">
        <v>208</v>
      </c>
    </row>
    <row r="9350">
      <c r="A9350" s="3" t="inlineStr">
        <is>
          <t>8</t>
        </is>
      </c>
      <c r="B9350" s="3" t="inlineStr">
        <is>
          <t>Lasdop</t>
        </is>
      </c>
      <c r="C9350" s="3" t="inlineStr">
        <is>
          <t>buah</t>
        </is>
      </c>
      <c r="D9350" s="15" t="n">
        <v>4</v>
      </c>
      <c r="E9350" s="4" t="n">
        <v>580</v>
      </c>
      <c r="F9350" s="4" t="n">
        <v>2320</v>
      </c>
    </row>
    <row r="9351">
      <c r="A9351" s="3" t="inlineStr">
        <is>
          <t>9</t>
        </is>
      </c>
      <c r="B9351" s="3" t="inlineStr">
        <is>
          <t>Fischer S6 + Sekrup</t>
        </is>
      </c>
      <c r="C9351" s="3" t="inlineStr">
        <is>
          <t>buah</t>
        </is>
      </c>
      <c r="D9351" s="15" t="n">
        <v>14</v>
      </c>
      <c r="E9351" s="4" t="n">
        <v>21.5</v>
      </c>
      <c r="F9351" s="4" t="n">
        <v>301</v>
      </c>
    </row>
    <row r="9352">
      <c r="D9352" s="2" t="inlineStr">
        <is>
          <t>SUBTOTAL UPAH</t>
        </is>
      </c>
      <c r="F9352" s="16" t="n">
        <v>72910</v>
      </c>
    </row>
    <row r="9353">
      <c r="D9353" s="2" t="inlineStr">
        <is>
          <t>SUBTOTAL BAHAN</t>
        </is>
      </c>
      <c r="F9353" s="16" t="n">
        <v>156399</v>
      </c>
    </row>
    <row r="9354">
      <c r="D9354" s="2" t="inlineStr">
        <is>
          <t>SUBTOTAL ALAT</t>
        </is>
      </c>
      <c r="F9354" s="16" t="n">
        <v>0</v>
      </c>
    </row>
    <row r="9355">
      <c r="E9355" s="2" t="inlineStr">
        <is>
          <t>TOTAL HARGA SATUAN (Inc. Overhead)</t>
        </is>
      </c>
      <c r="F9355" s="17" t="n">
        <v>252239</v>
      </c>
    </row>
    <row r="9357">
      <c r="A9357" s="14" t="inlineStr">
        <is>
          <t>KODE: 5.4.3.20 - Pemasangan 1 Unit UPS 1 KVA (Inverter, Rectifier, Battery Backup 15 menit)</t>
        </is>
      </c>
    </row>
    <row r="9358">
      <c r="A9358" s="10" t="inlineStr">
        <is>
          <t>No</t>
        </is>
      </c>
      <c r="B9358" s="10" t="inlineStr">
        <is>
          <t>Uraian Komponen</t>
        </is>
      </c>
      <c r="C9358" s="10" t="inlineStr">
        <is>
          <t>Satuan</t>
        </is>
      </c>
      <c r="D9358" s="10" t="inlineStr">
        <is>
          <t>Koef</t>
        </is>
      </c>
      <c r="E9358" s="10" t="inlineStr">
        <is>
          <t>Harga Satuan (Rp)</t>
        </is>
      </c>
      <c r="F9358" s="10" t="inlineStr">
        <is>
          <t>Jumlah Harga (Rp)</t>
        </is>
      </c>
    </row>
    <row r="9359">
      <c r="A9359" s="3" t="inlineStr">
        <is>
          <t>1</t>
        </is>
      </c>
      <c r="B9359" s="3" t="inlineStr">
        <is>
          <t>Pekerja</t>
        </is>
      </c>
      <c r="C9359" s="3" t="inlineStr">
        <is>
          <t>OH</t>
        </is>
      </c>
      <c r="D9359" s="15" t="n">
        <v>0.25</v>
      </c>
      <c r="E9359" s="4" t="n">
        <v>100000</v>
      </c>
      <c r="F9359" s="4" t="n">
        <v>25000</v>
      </c>
    </row>
    <row r="9360">
      <c r="A9360" s="3" t="inlineStr">
        <is>
          <t>2</t>
        </is>
      </c>
      <c r="B9360" s="3" t="inlineStr">
        <is>
          <t>Tukang listrik</t>
        </is>
      </c>
      <c r="C9360" s="3" t="inlineStr">
        <is>
          <t>OH</t>
        </is>
      </c>
      <c r="D9360" s="15" t="n">
        <v>0.418</v>
      </c>
      <c r="E9360" s="4" t="n">
        <v>145000</v>
      </c>
      <c r="F9360" s="4" t="n">
        <v>60610</v>
      </c>
    </row>
    <row r="9361">
      <c r="A9361" s="3" t="inlineStr">
        <is>
          <t>3</t>
        </is>
      </c>
      <c r="B9361" s="3" t="inlineStr">
        <is>
          <t>Kepala Tukang</t>
        </is>
      </c>
      <c r="C9361" s="3" t="inlineStr">
        <is>
          <t>OH</t>
        </is>
      </c>
      <c r="D9361" s="15" t="n">
        <v>0.042</v>
      </c>
      <c r="E9361" s="4" t="n">
        <v>175000</v>
      </c>
      <c r="F9361" s="4" t="n">
        <v>7350.000000000001</v>
      </c>
    </row>
    <row r="9362">
      <c r="A9362" s="3" t="inlineStr">
        <is>
          <t>4</t>
        </is>
      </c>
      <c r="B9362" s="3" t="inlineStr">
        <is>
          <t>Mandor</t>
        </is>
      </c>
      <c r="C9362" s="3" t="inlineStr">
        <is>
          <t>OH</t>
        </is>
      </c>
      <c r="D9362" s="15" t="n">
        <v>0.014</v>
      </c>
      <c r="E9362" s="4" t="n">
        <v>200000</v>
      </c>
      <c r="F9362" s="4" t="n">
        <v>2800</v>
      </c>
    </row>
    <row r="9363">
      <c r="A9363" s="3" t="inlineStr">
        <is>
          <t>1</t>
        </is>
      </c>
      <c r="B9363" s="3" t="inlineStr">
        <is>
          <t>"UPS 1 KVA (Inverter Rectifier Battery Backup 15 menit)"</t>
        </is>
      </c>
      <c r="C9363" s="3" t="inlineStr">
        <is>
          <t>unit</t>
        </is>
      </c>
      <c r="D9363" s="15" t="n">
        <v>1.05</v>
      </c>
      <c r="E9363" s="4" t="n">
        <v>3800000</v>
      </c>
      <c r="F9363" s="4" t="n">
        <v>3990000</v>
      </c>
    </row>
    <row r="9364">
      <c r="D9364" s="2" t="inlineStr">
        <is>
          <t>SUBTOTAL UPAH</t>
        </is>
      </c>
      <c r="F9364" s="16" t="n">
        <v>95760</v>
      </c>
    </row>
    <row r="9365">
      <c r="D9365" s="2" t="inlineStr">
        <is>
          <t>SUBTOTAL BAHAN</t>
        </is>
      </c>
      <c r="F9365" s="16" t="n">
        <v>3990000</v>
      </c>
    </row>
    <row r="9366">
      <c r="D9366" s="2" t="inlineStr">
        <is>
          <t>SUBTOTAL ALAT</t>
        </is>
      </c>
      <c r="F9366" s="16" t="n">
        <v>0</v>
      </c>
    </row>
    <row r="9367">
      <c r="E9367" s="2" t="inlineStr">
        <is>
          <t>TOTAL HARGA SATUAN (Inc. Overhead)</t>
        </is>
      </c>
      <c r="F9367" s="17" t="n">
        <v>4494336</v>
      </c>
    </row>
    <row r="9369">
      <c r="A9369" s="14" t="inlineStr">
        <is>
          <t>KODE: 5.4.3.21 - Pemasangan 1 Unit UPS 1 KVA (Inverter, Rectifier, Battery Backup 30 menit)</t>
        </is>
      </c>
    </row>
    <row r="9370">
      <c r="A9370" s="10" t="inlineStr">
        <is>
          <t>No</t>
        </is>
      </c>
      <c r="B9370" s="10" t="inlineStr">
        <is>
          <t>Uraian Komponen</t>
        </is>
      </c>
      <c r="C9370" s="10" t="inlineStr">
        <is>
          <t>Satuan</t>
        </is>
      </c>
      <c r="D9370" s="10" t="inlineStr">
        <is>
          <t>Koef</t>
        </is>
      </c>
      <c r="E9370" s="10" t="inlineStr">
        <is>
          <t>Harga Satuan (Rp)</t>
        </is>
      </c>
      <c r="F9370" s="10" t="inlineStr">
        <is>
          <t>Jumlah Harga (Rp)</t>
        </is>
      </c>
    </row>
    <row r="9371">
      <c r="A9371" s="3" t="inlineStr">
        <is>
          <t>1</t>
        </is>
      </c>
      <c r="B9371" s="3" t="inlineStr">
        <is>
          <t>Pekerja</t>
        </is>
      </c>
      <c r="C9371" s="3" t="inlineStr">
        <is>
          <t>OH</t>
        </is>
      </c>
      <c r="D9371" s="15" t="n">
        <v>0.25</v>
      </c>
      <c r="E9371" s="4" t="n">
        <v>100000</v>
      </c>
      <c r="F9371" s="4" t="n">
        <v>25000</v>
      </c>
    </row>
    <row r="9372">
      <c r="A9372" s="3" t="inlineStr">
        <is>
          <t>2</t>
        </is>
      </c>
      <c r="B9372" s="3" t="inlineStr">
        <is>
          <t>Tukang listrik</t>
        </is>
      </c>
      <c r="C9372" s="3" t="inlineStr">
        <is>
          <t>OH</t>
        </is>
      </c>
      <c r="D9372" s="15" t="n">
        <v>0.418</v>
      </c>
      <c r="E9372" s="4" t="n">
        <v>145000</v>
      </c>
      <c r="F9372" s="4" t="n">
        <v>60610</v>
      </c>
    </row>
    <row r="9373">
      <c r="A9373" s="3" t="inlineStr">
        <is>
          <t>3</t>
        </is>
      </c>
      <c r="B9373" s="3" t="inlineStr">
        <is>
          <t>Kepala Tukang</t>
        </is>
      </c>
      <c r="C9373" s="3" t="inlineStr">
        <is>
          <t>OH</t>
        </is>
      </c>
      <c r="D9373" s="15" t="n">
        <v>0.042</v>
      </c>
      <c r="E9373" s="4" t="n">
        <v>175000</v>
      </c>
      <c r="F9373" s="4" t="n">
        <v>7350.000000000001</v>
      </c>
    </row>
    <row r="9374">
      <c r="A9374" s="3" t="inlineStr">
        <is>
          <t>4</t>
        </is>
      </c>
      <c r="B9374" s="3" t="inlineStr">
        <is>
          <t>Mandor</t>
        </is>
      </c>
      <c r="C9374" s="3" t="inlineStr">
        <is>
          <t>OH</t>
        </is>
      </c>
      <c r="D9374" s="15" t="n">
        <v>0.014</v>
      </c>
      <c r="E9374" s="4" t="n">
        <v>200000</v>
      </c>
      <c r="F9374" s="4" t="n">
        <v>2800</v>
      </c>
    </row>
    <row r="9375">
      <c r="A9375" s="3" t="inlineStr">
        <is>
          <t>1</t>
        </is>
      </c>
      <c r="B9375" s="3" t="inlineStr">
        <is>
          <t>"UPS 1 KVA (Inverter Rectifier Battery Backup 30 menit)"</t>
        </is>
      </c>
      <c r="C9375" s="3" t="inlineStr">
        <is>
          <t>unit</t>
        </is>
      </c>
      <c r="D9375" s="15" t="n">
        <v>1.05</v>
      </c>
      <c r="E9375" s="4" t="n">
        <v>4100000</v>
      </c>
      <c r="F9375" s="4" t="n">
        <v>4305000</v>
      </c>
    </row>
    <row r="9376">
      <c r="D9376" s="2" t="inlineStr">
        <is>
          <t>SUBTOTAL UPAH</t>
        </is>
      </c>
      <c r="F9376" s="16" t="n">
        <v>95760</v>
      </c>
    </row>
    <row r="9377">
      <c r="D9377" s="2" t="inlineStr">
        <is>
          <t>SUBTOTAL BAHAN</t>
        </is>
      </c>
      <c r="F9377" s="16" t="n">
        <v>4305000</v>
      </c>
    </row>
    <row r="9378">
      <c r="D9378" s="2" t="inlineStr">
        <is>
          <t>SUBTOTAL ALAT</t>
        </is>
      </c>
      <c r="F9378" s="16" t="n">
        <v>0</v>
      </c>
    </row>
    <row r="9379">
      <c r="E9379" s="2" t="inlineStr">
        <is>
          <t>TOTAL HARGA SATUAN (Inc. Overhead)</t>
        </is>
      </c>
      <c r="F9379" s="17" t="n">
        <v>4840836</v>
      </c>
    </row>
    <row r="9381">
      <c r="A9381" s="14" t="inlineStr">
        <is>
          <t>KODE: 5.4.3.22 - Pemasangan 1 Unit UPS 1 KVA (Inverter, Rectifier, Battery Backup 1 jam)</t>
        </is>
      </c>
    </row>
    <row r="9382">
      <c r="A9382" s="10" t="inlineStr">
        <is>
          <t>No</t>
        </is>
      </c>
      <c r="B9382" s="10" t="inlineStr">
        <is>
          <t>Uraian Komponen</t>
        </is>
      </c>
      <c r="C9382" s="10" t="inlineStr">
        <is>
          <t>Satuan</t>
        </is>
      </c>
      <c r="D9382" s="10" t="inlineStr">
        <is>
          <t>Koef</t>
        </is>
      </c>
      <c r="E9382" s="10" t="inlineStr">
        <is>
          <t>Harga Satuan (Rp)</t>
        </is>
      </c>
      <c r="F9382" s="10" t="inlineStr">
        <is>
          <t>Jumlah Harga (Rp)</t>
        </is>
      </c>
    </row>
    <row r="9383">
      <c r="A9383" s="3" t="inlineStr">
        <is>
          <t>1</t>
        </is>
      </c>
      <c r="B9383" s="3" t="inlineStr">
        <is>
          <t>Pekerja</t>
        </is>
      </c>
      <c r="C9383" s="3" t="inlineStr">
        <is>
          <t>OH</t>
        </is>
      </c>
      <c r="D9383" s="15" t="n">
        <v>0.25</v>
      </c>
      <c r="E9383" s="4" t="n">
        <v>100000</v>
      </c>
      <c r="F9383" s="4" t="n">
        <v>25000</v>
      </c>
    </row>
    <row r="9384">
      <c r="A9384" s="3" t="inlineStr">
        <is>
          <t>2</t>
        </is>
      </c>
      <c r="B9384" s="3" t="inlineStr">
        <is>
          <t>Tukang listrik</t>
        </is>
      </c>
      <c r="C9384" s="3" t="inlineStr">
        <is>
          <t>OH</t>
        </is>
      </c>
      <c r="D9384" s="15" t="n">
        <v>0.418</v>
      </c>
      <c r="E9384" s="4" t="n">
        <v>145000</v>
      </c>
      <c r="F9384" s="4" t="n">
        <v>60610</v>
      </c>
    </row>
    <row r="9385">
      <c r="A9385" s="3" t="inlineStr">
        <is>
          <t>3</t>
        </is>
      </c>
      <c r="B9385" s="3" t="inlineStr">
        <is>
          <t>Kepala Tukang</t>
        </is>
      </c>
      <c r="C9385" s="3" t="inlineStr">
        <is>
          <t>OH</t>
        </is>
      </c>
      <c r="D9385" s="15" t="n">
        <v>0.042</v>
      </c>
      <c r="E9385" s="4" t="n">
        <v>175000</v>
      </c>
      <c r="F9385" s="4" t="n">
        <v>7350.000000000001</v>
      </c>
    </row>
    <row r="9386">
      <c r="A9386" s="3" t="inlineStr">
        <is>
          <t>4</t>
        </is>
      </c>
      <c r="B9386" s="3" t="inlineStr">
        <is>
          <t>Mandor</t>
        </is>
      </c>
      <c r="C9386" s="3" t="inlineStr">
        <is>
          <t>OH</t>
        </is>
      </c>
      <c r="D9386" s="15" t="n">
        <v>0.014</v>
      </c>
      <c r="E9386" s="4" t="n">
        <v>200000</v>
      </c>
      <c r="F9386" s="4" t="n">
        <v>2800</v>
      </c>
    </row>
    <row r="9387">
      <c r="A9387" s="3" t="inlineStr">
        <is>
          <t>1</t>
        </is>
      </c>
      <c r="B9387" s="3" t="inlineStr">
        <is>
          <t>"UPS 1 KVA (Inverter Rectifier Battery Backup 1 jam)"</t>
        </is>
      </c>
      <c r="C9387" s="3" t="inlineStr">
        <is>
          <t>unit</t>
        </is>
      </c>
      <c r="D9387" s="15" t="n">
        <v>1.05</v>
      </c>
      <c r="E9387" s="4" t="n">
        <v>4900000</v>
      </c>
      <c r="F9387" s="4" t="n">
        <v>5145000</v>
      </c>
    </row>
    <row r="9388">
      <c r="D9388" s="2" t="inlineStr">
        <is>
          <t>SUBTOTAL UPAH</t>
        </is>
      </c>
      <c r="F9388" s="16" t="n">
        <v>95760</v>
      </c>
    </row>
    <row r="9389">
      <c r="D9389" s="2" t="inlineStr">
        <is>
          <t>SUBTOTAL BAHAN</t>
        </is>
      </c>
      <c r="F9389" s="16" t="n">
        <v>5145000</v>
      </c>
    </row>
    <row r="9390">
      <c r="D9390" s="2" t="inlineStr">
        <is>
          <t>SUBTOTAL ALAT</t>
        </is>
      </c>
      <c r="F9390" s="16" t="n">
        <v>0</v>
      </c>
    </row>
    <row r="9391">
      <c r="E9391" s="2" t="inlineStr">
        <is>
          <t>TOTAL HARGA SATUAN (Inc. Overhead)</t>
        </is>
      </c>
      <c r="F9391" s="17" t="n">
        <v>5764836</v>
      </c>
    </row>
    <row r="9393">
      <c r="A9393" s="14" t="inlineStr">
        <is>
          <t>KODE: 5.4.3.23 - Pemasangan 1 Unit UPS 1 KVA (Inverter, Rectifier, Battery Backup 2 jam)</t>
        </is>
      </c>
    </row>
    <row r="9394">
      <c r="A9394" s="10" t="inlineStr">
        <is>
          <t>No</t>
        </is>
      </c>
      <c r="B9394" s="10" t="inlineStr">
        <is>
          <t>Uraian Komponen</t>
        </is>
      </c>
      <c r="C9394" s="10" t="inlineStr">
        <is>
          <t>Satuan</t>
        </is>
      </c>
      <c r="D9394" s="10" t="inlineStr">
        <is>
          <t>Koef</t>
        </is>
      </c>
      <c r="E9394" s="10" t="inlineStr">
        <is>
          <t>Harga Satuan (Rp)</t>
        </is>
      </c>
      <c r="F9394" s="10" t="inlineStr">
        <is>
          <t>Jumlah Harga (Rp)</t>
        </is>
      </c>
    </row>
    <row r="9395">
      <c r="A9395" s="3" t="inlineStr">
        <is>
          <t>1</t>
        </is>
      </c>
      <c r="B9395" s="3" t="inlineStr">
        <is>
          <t>Pekerja</t>
        </is>
      </c>
      <c r="C9395" s="3" t="inlineStr">
        <is>
          <t>OH</t>
        </is>
      </c>
      <c r="D9395" s="15" t="n">
        <v>0.25</v>
      </c>
      <c r="E9395" s="4" t="n">
        <v>100000</v>
      </c>
      <c r="F9395" s="4" t="n">
        <v>25000</v>
      </c>
    </row>
    <row r="9396">
      <c r="A9396" s="3" t="inlineStr">
        <is>
          <t>2</t>
        </is>
      </c>
      <c r="B9396" s="3" t="inlineStr">
        <is>
          <t>Tukang listrik</t>
        </is>
      </c>
      <c r="C9396" s="3" t="inlineStr">
        <is>
          <t>OH</t>
        </is>
      </c>
      <c r="D9396" s="15" t="n">
        <v>0.418</v>
      </c>
      <c r="E9396" s="4" t="n">
        <v>145000</v>
      </c>
      <c r="F9396" s="4" t="n">
        <v>60610</v>
      </c>
    </row>
    <row r="9397">
      <c r="A9397" s="3" t="inlineStr">
        <is>
          <t>3</t>
        </is>
      </c>
      <c r="B9397" s="3" t="inlineStr">
        <is>
          <t>Kepala Tukang</t>
        </is>
      </c>
      <c r="C9397" s="3" t="inlineStr">
        <is>
          <t>OH</t>
        </is>
      </c>
      <c r="D9397" s="15" t="n">
        <v>0.042</v>
      </c>
      <c r="E9397" s="4" t="n">
        <v>175000</v>
      </c>
      <c r="F9397" s="4" t="n">
        <v>7350.000000000001</v>
      </c>
    </row>
    <row r="9398">
      <c r="A9398" s="3" t="inlineStr">
        <is>
          <t>4</t>
        </is>
      </c>
      <c r="B9398" s="3" t="inlineStr">
        <is>
          <t>Mandor</t>
        </is>
      </c>
      <c r="C9398" s="3" t="inlineStr">
        <is>
          <t>OH</t>
        </is>
      </c>
      <c r="D9398" s="15" t="n">
        <v>0.014</v>
      </c>
      <c r="E9398" s="4" t="n">
        <v>200000</v>
      </c>
      <c r="F9398" s="4" t="n">
        <v>2800</v>
      </c>
    </row>
    <row r="9399">
      <c r="A9399" s="3" t="inlineStr">
        <is>
          <t>1</t>
        </is>
      </c>
      <c r="B9399" s="3" t="inlineStr">
        <is>
          <t>"UPS 1 KVA (Inverter Rectifier Battery Backup 2 jam)"</t>
        </is>
      </c>
      <c r="C9399" s="3" t="inlineStr">
        <is>
          <t>unit</t>
        </is>
      </c>
      <c r="D9399" s="15" t="n">
        <v>1.05</v>
      </c>
      <c r="E9399" s="4" t="n">
        <v>5200000</v>
      </c>
      <c r="F9399" s="4" t="n">
        <v>5460000</v>
      </c>
    </row>
    <row r="9400">
      <c r="D9400" s="2" t="inlineStr">
        <is>
          <t>SUBTOTAL UPAH</t>
        </is>
      </c>
      <c r="F9400" s="16" t="n">
        <v>95760</v>
      </c>
    </row>
    <row r="9401">
      <c r="D9401" s="2" t="inlineStr">
        <is>
          <t>SUBTOTAL BAHAN</t>
        </is>
      </c>
      <c r="F9401" s="16" t="n">
        <v>5460000</v>
      </c>
    </row>
    <row r="9402">
      <c r="D9402" s="2" t="inlineStr">
        <is>
          <t>SUBTOTAL ALAT</t>
        </is>
      </c>
      <c r="F9402" s="16" t="n">
        <v>0</v>
      </c>
    </row>
    <row r="9403">
      <c r="E9403" s="2" t="inlineStr">
        <is>
          <t>TOTAL HARGA SATUAN (Inc. Overhead)</t>
        </is>
      </c>
      <c r="F9403" s="17" t="n">
        <v>6111336</v>
      </c>
    </row>
    <row r="9405">
      <c r="A9405" s="14" t="inlineStr">
        <is>
          <t>KODE: 5.4.3.24 - Pemasangan 1 Unit Power Amplifier 480 Watt</t>
        </is>
      </c>
    </row>
    <row r="9406">
      <c r="A9406" s="10" t="inlineStr">
        <is>
          <t>No</t>
        </is>
      </c>
      <c r="B9406" s="10" t="inlineStr">
        <is>
          <t>Uraian Komponen</t>
        </is>
      </c>
      <c r="C9406" s="10" t="inlineStr">
        <is>
          <t>Satuan</t>
        </is>
      </c>
      <c r="D9406" s="10" t="inlineStr">
        <is>
          <t>Koef</t>
        </is>
      </c>
      <c r="E9406" s="10" t="inlineStr">
        <is>
          <t>Harga Satuan (Rp)</t>
        </is>
      </c>
      <c r="F9406" s="10" t="inlineStr">
        <is>
          <t>Jumlah Harga (Rp)</t>
        </is>
      </c>
    </row>
    <row r="9407">
      <c r="A9407" s="3" t="inlineStr">
        <is>
          <t>1</t>
        </is>
      </c>
      <c r="B9407" s="3" t="inlineStr">
        <is>
          <t>Pekerja</t>
        </is>
      </c>
      <c r="C9407" s="3" t="inlineStr">
        <is>
          <t>OH</t>
        </is>
      </c>
      <c r="D9407" s="15" t="n">
        <v>0.19</v>
      </c>
      <c r="E9407" s="4" t="n">
        <v>100000</v>
      </c>
      <c r="F9407" s="4" t="n">
        <v>19000</v>
      </c>
    </row>
    <row r="9408">
      <c r="A9408" s="3" t="inlineStr">
        <is>
          <t>2</t>
        </is>
      </c>
      <c r="B9408" s="3" t="inlineStr">
        <is>
          <t>Tukang listrik</t>
        </is>
      </c>
      <c r="C9408" s="3" t="inlineStr">
        <is>
          <t>OH</t>
        </is>
      </c>
      <c r="D9408" s="15" t="n">
        <v>0.318</v>
      </c>
      <c r="E9408" s="4" t="n">
        <v>145000</v>
      </c>
      <c r="F9408" s="4" t="n">
        <v>46110</v>
      </c>
    </row>
    <row r="9409">
      <c r="A9409" s="3" t="inlineStr">
        <is>
          <t>3</t>
        </is>
      </c>
      <c r="B9409" s="3" t="inlineStr">
        <is>
          <t>Kepala Tukang</t>
        </is>
      </c>
      <c r="C9409" s="3" t="inlineStr">
        <is>
          <t>OH</t>
        </is>
      </c>
      <c r="D9409" s="15" t="n">
        <v>0.032</v>
      </c>
      <c r="E9409" s="4" t="n">
        <v>175000</v>
      </c>
      <c r="F9409" s="4" t="n">
        <v>5600</v>
      </c>
    </row>
    <row r="9410">
      <c r="A9410" s="3" t="inlineStr">
        <is>
          <t>4</t>
        </is>
      </c>
      <c r="B9410" s="3" t="inlineStr">
        <is>
          <t>Mandor</t>
        </is>
      </c>
      <c r="C9410" s="3" t="inlineStr">
        <is>
          <t>OH</t>
        </is>
      </c>
      <c r="D9410" s="15" t="n">
        <v>0.011</v>
      </c>
      <c r="E9410" s="4" t="n">
        <v>200000</v>
      </c>
      <c r="F9410" s="4" t="n">
        <v>2200</v>
      </c>
    </row>
    <row r="9411">
      <c r="A9411" s="3" t="inlineStr">
        <is>
          <t>1</t>
        </is>
      </c>
      <c r="B9411" s="3" t="inlineStr">
        <is>
          <t>Power Amplifier 480 Watt</t>
        </is>
      </c>
      <c r="C9411" s="3" t="inlineStr">
        <is>
          <t>unit</t>
        </is>
      </c>
      <c r="D9411" s="15" t="n">
        <v>1.05</v>
      </c>
      <c r="E9411" s="4" t="n">
        <v>2500000</v>
      </c>
      <c r="F9411" s="4" t="n">
        <v>2625000</v>
      </c>
    </row>
    <row r="9412">
      <c r="D9412" s="2" t="inlineStr">
        <is>
          <t>SUBTOTAL UPAH</t>
        </is>
      </c>
      <c r="F9412" s="16" t="n">
        <v>72910</v>
      </c>
    </row>
    <row r="9413">
      <c r="D9413" s="2" t="inlineStr">
        <is>
          <t>SUBTOTAL BAHAN</t>
        </is>
      </c>
      <c r="F9413" s="16" t="n">
        <v>2625000</v>
      </c>
    </row>
    <row r="9414">
      <c r="D9414" s="2" t="inlineStr">
        <is>
          <t>SUBTOTAL ALAT</t>
        </is>
      </c>
      <c r="F9414" s="16" t="n">
        <v>0</v>
      </c>
    </row>
    <row r="9415">
      <c r="E9415" s="2" t="inlineStr">
        <is>
          <t>TOTAL HARGA SATUAN (Inc. Overhead)</t>
        </is>
      </c>
      <c r="F9415" s="17" t="n">
        <v>2967701</v>
      </c>
    </row>
    <row r="9417">
      <c r="A9417" s="14" t="inlineStr">
        <is>
          <t>KODE: 5.4.3.25 - Pemasangan 1 Unit Firedome Speaker c/w Wall Metal Box</t>
        </is>
      </c>
    </row>
    <row r="9418">
      <c r="A9418" s="10" t="inlineStr">
        <is>
          <t>No</t>
        </is>
      </c>
      <c r="B9418" s="10" t="inlineStr">
        <is>
          <t>Uraian Komponen</t>
        </is>
      </c>
      <c r="C9418" s="10" t="inlineStr">
        <is>
          <t>Satuan</t>
        </is>
      </c>
      <c r="D9418" s="10" t="inlineStr">
        <is>
          <t>Koef</t>
        </is>
      </c>
      <c r="E9418" s="10" t="inlineStr">
        <is>
          <t>Harga Satuan (Rp)</t>
        </is>
      </c>
      <c r="F9418" s="10" t="inlineStr">
        <is>
          <t>Jumlah Harga (Rp)</t>
        </is>
      </c>
    </row>
    <row r="9419">
      <c r="A9419" s="3" t="inlineStr">
        <is>
          <t>1</t>
        </is>
      </c>
      <c r="B9419" s="3" t="inlineStr">
        <is>
          <t>Pekerja</t>
        </is>
      </c>
      <c r="C9419" s="3" t="inlineStr">
        <is>
          <t>OH</t>
        </is>
      </c>
      <c r="D9419" s="15" t="n">
        <v>0.129</v>
      </c>
      <c r="E9419" s="4" t="n">
        <v>100000</v>
      </c>
      <c r="F9419" s="4" t="n">
        <v>12900</v>
      </c>
    </row>
    <row r="9420">
      <c r="A9420" s="3" t="inlineStr">
        <is>
          <t>2</t>
        </is>
      </c>
      <c r="B9420" s="3" t="inlineStr">
        <is>
          <t>Tukang listrik</t>
        </is>
      </c>
      <c r="C9420" s="3" t="inlineStr">
        <is>
          <t>OH</t>
        </is>
      </c>
      <c r="D9420" s="15" t="n">
        <v>0.215</v>
      </c>
      <c r="E9420" s="4" t="n">
        <v>145000</v>
      </c>
      <c r="F9420" s="4" t="n">
        <v>31175</v>
      </c>
    </row>
    <row r="9421">
      <c r="A9421" s="3" t="inlineStr">
        <is>
          <t>3</t>
        </is>
      </c>
      <c r="B9421" s="3" t="inlineStr">
        <is>
          <t>Kepala Tukang</t>
        </is>
      </c>
      <c r="C9421" s="3" t="inlineStr">
        <is>
          <t>OH</t>
        </is>
      </c>
      <c r="D9421" s="15" t="n">
        <v>0.021</v>
      </c>
      <c r="E9421" s="4" t="n">
        <v>175000</v>
      </c>
      <c r="F9421" s="4" t="n">
        <v>3675</v>
      </c>
    </row>
    <row r="9422">
      <c r="A9422" s="3" t="inlineStr">
        <is>
          <t>4</t>
        </is>
      </c>
      <c r="B9422" s="3" t="inlineStr">
        <is>
          <t>Mandor</t>
        </is>
      </c>
      <c r="C9422" s="3" t="inlineStr">
        <is>
          <t>OH</t>
        </is>
      </c>
      <c r="D9422" s="15" t="n">
        <v>0.007</v>
      </c>
      <c r="E9422" s="4" t="n">
        <v>200000</v>
      </c>
      <c r="F9422" s="4" t="n">
        <v>1400</v>
      </c>
    </row>
    <row r="9423">
      <c r="A9423" s="3" t="inlineStr">
        <is>
          <t>1</t>
        </is>
      </c>
      <c r="B9423" s="3" t="inlineStr">
        <is>
          <t>Firedome Speaker c/w Wall Metal Box</t>
        </is>
      </c>
      <c r="C9423" s="3" t="inlineStr">
        <is>
          <t>unit</t>
        </is>
      </c>
      <c r="D9423" s="15" t="n">
        <v>1.1</v>
      </c>
      <c r="E9423" s="4" t="n">
        <v>1500000</v>
      </c>
      <c r="F9423" s="4" t="n">
        <v>1650000</v>
      </c>
    </row>
    <row r="9424">
      <c r="D9424" s="2" t="inlineStr">
        <is>
          <t>SUBTOTAL UPAH</t>
        </is>
      </c>
      <c r="F9424" s="16" t="n">
        <v>49150</v>
      </c>
    </row>
    <row r="9425">
      <c r="D9425" s="2" t="inlineStr">
        <is>
          <t>SUBTOTAL BAHAN</t>
        </is>
      </c>
      <c r="F9425" s="16" t="n">
        <v>1650000</v>
      </c>
    </row>
    <row r="9426">
      <c r="D9426" s="2" t="inlineStr">
        <is>
          <t>SUBTOTAL ALAT</t>
        </is>
      </c>
      <c r="F9426" s="16" t="n">
        <v>0</v>
      </c>
    </row>
    <row r="9427">
      <c r="E9427" s="2" t="inlineStr">
        <is>
          <t>TOTAL HARGA SATUAN (Inc. Overhead)</t>
        </is>
      </c>
      <c r="F9427" s="17" t="n">
        <v>1869065</v>
      </c>
    </row>
    <row r="9429">
      <c r="A9429" s="14" t="inlineStr">
        <is>
          <t>KODE: 5.4.3.26 - Pemasangan 1 Unit Equalizer</t>
        </is>
      </c>
    </row>
    <row r="9430">
      <c r="A9430" s="10" t="inlineStr">
        <is>
          <t>No</t>
        </is>
      </c>
      <c r="B9430" s="10" t="inlineStr">
        <is>
          <t>Uraian Komponen</t>
        </is>
      </c>
      <c r="C9430" s="10" t="inlineStr">
        <is>
          <t>Satuan</t>
        </is>
      </c>
      <c r="D9430" s="10" t="inlineStr">
        <is>
          <t>Koef</t>
        </is>
      </c>
      <c r="E9430" s="10" t="inlineStr">
        <is>
          <t>Harga Satuan (Rp)</t>
        </is>
      </c>
      <c r="F9430" s="10" t="inlineStr">
        <is>
          <t>Jumlah Harga (Rp)</t>
        </is>
      </c>
    </row>
    <row r="9431">
      <c r="A9431" s="3" t="inlineStr">
        <is>
          <t>1</t>
        </is>
      </c>
      <c r="B9431" s="3" t="inlineStr">
        <is>
          <t>Pekerja</t>
        </is>
      </c>
      <c r="C9431" s="3" t="inlineStr">
        <is>
          <t>OH</t>
        </is>
      </c>
      <c r="D9431" s="15" t="n">
        <v>0.19</v>
      </c>
      <c r="E9431" s="4" t="n">
        <v>100000</v>
      </c>
      <c r="F9431" s="4" t="n">
        <v>19000</v>
      </c>
    </row>
    <row r="9432">
      <c r="A9432" s="3" t="inlineStr">
        <is>
          <t>2</t>
        </is>
      </c>
      <c r="B9432" s="3" t="inlineStr">
        <is>
          <t>Tukang listrik</t>
        </is>
      </c>
      <c r="C9432" s="3" t="inlineStr">
        <is>
          <t>OH</t>
        </is>
      </c>
      <c r="D9432" s="15" t="n">
        <v>0.318</v>
      </c>
      <c r="E9432" s="4" t="n">
        <v>145000</v>
      </c>
      <c r="F9432" s="4" t="n">
        <v>46110</v>
      </c>
    </row>
    <row r="9433">
      <c r="A9433" s="3" t="inlineStr">
        <is>
          <t>3</t>
        </is>
      </c>
      <c r="B9433" s="3" t="inlineStr">
        <is>
          <t>Kepala Tukang</t>
        </is>
      </c>
      <c r="C9433" s="3" t="inlineStr">
        <is>
          <t>OH</t>
        </is>
      </c>
      <c r="D9433" s="15" t="n">
        <v>0.032</v>
      </c>
      <c r="E9433" s="4" t="n">
        <v>175000</v>
      </c>
      <c r="F9433" s="4" t="n">
        <v>5600</v>
      </c>
    </row>
    <row r="9434">
      <c r="A9434" s="3" t="inlineStr">
        <is>
          <t>4</t>
        </is>
      </c>
      <c r="B9434" s="3" t="inlineStr">
        <is>
          <t>Mandor</t>
        </is>
      </c>
      <c r="C9434" s="3" t="inlineStr">
        <is>
          <t>OH</t>
        </is>
      </c>
      <c r="D9434" s="15" t="n">
        <v>0.011</v>
      </c>
      <c r="E9434" s="4" t="n">
        <v>200000</v>
      </c>
      <c r="F9434" s="4" t="n">
        <v>2200</v>
      </c>
    </row>
    <row r="9435">
      <c r="A9435" s="3" t="inlineStr">
        <is>
          <t>1</t>
        </is>
      </c>
      <c r="B9435" s="3" t="inlineStr">
        <is>
          <t>Equalizer</t>
        </is>
      </c>
      <c r="C9435" s="3" t="inlineStr">
        <is>
          <t>unit</t>
        </is>
      </c>
      <c r="D9435" s="15" t="n">
        <v>1.05</v>
      </c>
      <c r="E9435" s="4" t="n">
        <v>1500000</v>
      </c>
      <c r="F9435" s="4" t="n">
        <v>1575000</v>
      </c>
    </row>
    <row r="9436">
      <c r="D9436" s="2" t="inlineStr">
        <is>
          <t>SUBTOTAL UPAH</t>
        </is>
      </c>
      <c r="F9436" s="16" t="n">
        <v>72910</v>
      </c>
    </row>
    <row r="9437">
      <c r="D9437" s="2" t="inlineStr">
        <is>
          <t>SUBTOTAL BAHAN</t>
        </is>
      </c>
      <c r="F9437" s="16" t="n">
        <v>1575000</v>
      </c>
    </row>
    <row r="9438">
      <c r="D9438" s="2" t="inlineStr">
        <is>
          <t>SUBTOTAL ALAT</t>
        </is>
      </c>
      <c r="F9438" s="16" t="n">
        <v>0</v>
      </c>
    </row>
    <row r="9439">
      <c r="E9439" s="2" t="inlineStr">
        <is>
          <t>TOTAL HARGA SATUAN (Inc. Overhead)</t>
        </is>
      </c>
      <c r="F9439" s="17" t="n">
        <v>1812701</v>
      </c>
    </row>
    <row r="9441">
      <c r="A9441" s="14" t="inlineStr">
        <is>
          <t>KODE: 5.4.3.27 - Pemasangan 1 Unit Volume Control</t>
        </is>
      </c>
    </row>
    <row r="9442">
      <c r="A9442" s="10" t="inlineStr">
        <is>
          <t>No</t>
        </is>
      </c>
      <c r="B9442" s="10" t="inlineStr">
        <is>
          <t>Uraian Komponen</t>
        </is>
      </c>
      <c r="C9442" s="10" t="inlineStr">
        <is>
          <t>Satuan</t>
        </is>
      </c>
      <c r="D9442" s="10" t="inlineStr">
        <is>
          <t>Koef</t>
        </is>
      </c>
      <c r="E9442" s="10" t="inlineStr">
        <is>
          <t>Harga Satuan (Rp)</t>
        </is>
      </c>
      <c r="F9442" s="10" t="inlineStr">
        <is>
          <t>Jumlah Harga (Rp)</t>
        </is>
      </c>
    </row>
    <row r="9443">
      <c r="A9443" s="3" t="inlineStr">
        <is>
          <t>1</t>
        </is>
      </c>
      <c r="B9443" s="3" t="inlineStr">
        <is>
          <t>Pekerja</t>
        </is>
      </c>
      <c r="C9443" s="3" t="inlineStr">
        <is>
          <t>OH</t>
        </is>
      </c>
      <c r="D9443" s="15" t="n">
        <v>0.031</v>
      </c>
      <c r="E9443" s="4" t="n">
        <v>100000</v>
      </c>
      <c r="F9443" s="4" t="n">
        <v>3100</v>
      </c>
    </row>
    <row r="9444">
      <c r="A9444" s="3" t="inlineStr">
        <is>
          <t>2</t>
        </is>
      </c>
      <c r="B9444" s="3" t="inlineStr">
        <is>
          <t>Tukang listrik</t>
        </is>
      </c>
      <c r="C9444" s="3" t="inlineStr">
        <is>
          <t>OH</t>
        </is>
      </c>
      <c r="D9444" s="15" t="n">
        <v>0.052</v>
      </c>
      <c r="E9444" s="4" t="n">
        <v>145000</v>
      </c>
      <c r="F9444" s="4" t="n">
        <v>7540</v>
      </c>
    </row>
    <row r="9445">
      <c r="A9445" s="3" t="inlineStr">
        <is>
          <t>3</t>
        </is>
      </c>
      <c r="B9445" s="3" t="inlineStr">
        <is>
          <t>Kepala Tukang</t>
        </is>
      </c>
      <c r="C9445" s="3" t="inlineStr">
        <is>
          <t>OH</t>
        </is>
      </c>
      <c r="D9445" s="15" t="n">
        <v>0.005</v>
      </c>
      <c r="E9445" s="4" t="n">
        <v>175000</v>
      </c>
      <c r="F9445" s="4" t="n">
        <v>875</v>
      </c>
    </row>
    <row r="9446">
      <c r="A9446" s="3" t="inlineStr">
        <is>
          <t>4</t>
        </is>
      </c>
      <c r="B9446" s="3" t="inlineStr">
        <is>
          <t>Mandor</t>
        </is>
      </c>
      <c r="C9446" s="3" t="inlineStr">
        <is>
          <t>OH</t>
        </is>
      </c>
      <c r="D9446" s="15" t="n">
        <v>0.002</v>
      </c>
      <c r="E9446" s="4" t="n">
        <v>200000</v>
      </c>
      <c r="F9446" s="4" t="n">
        <v>400</v>
      </c>
    </row>
    <row r="9447">
      <c r="A9447" s="3" t="inlineStr">
        <is>
          <t>1</t>
        </is>
      </c>
      <c r="B9447" s="3" t="inlineStr">
        <is>
          <t>Volume Control</t>
        </is>
      </c>
      <c r="C9447" s="3" t="inlineStr">
        <is>
          <t>unit</t>
        </is>
      </c>
      <c r="D9447" s="15" t="n">
        <v>1.1</v>
      </c>
      <c r="E9447" s="4" t="n">
        <v>500000</v>
      </c>
      <c r="F9447" s="4" t="n">
        <v>550000</v>
      </c>
    </row>
    <row r="9448">
      <c r="D9448" s="2" t="inlineStr">
        <is>
          <t>SUBTOTAL UPAH</t>
        </is>
      </c>
      <c r="F9448" s="16" t="n">
        <v>11915</v>
      </c>
    </row>
    <row r="9449">
      <c r="D9449" s="2" t="inlineStr">
        <is>
          <t>SUBTOTAL BAHAN</t>
        </is>
      </c>
      <c r="F9449" s="16" t="n">
        <v>550000</v>
      </c>
    </row>
    <row r="9450">
      <c r="D9450" s="2" t="inlineStr">
        <is>
          <t>SUBTOTAL ALAT</t>
        </is>
      </c>
      <c r="F9450" s="16" t="n">
        <v>0</v>
      </c>
    </row>
    <row r="9451">
      <c r="E9451" s="2" t="inlineStr">
        <is>
          <t>TOTAL HARGA SATUAN (Inc. Overhead)</t>
        </is>
      </c>
      <c r="F9451" s="17" t="n">
        <v>618106</v>
      </c>
    </row>
    <row r="9453">
      <c r="A9453" s="14" t="inlineStr">
        <is>
          <t>KODE: 5.4.3.28 - Pemasangan 1 Titik Instalasi Volume Kontrol</t>
        </is>
      </c>
    </row>
    <row r="9454">
      <c r="A9454" s="10" t="inlineStr">
        <is>
          <t>No</t>
        </is>
      </c>
      <c r="B9454" s="10" t="inlineStr">
        <is>
          <t>Uraian Komponen</t>
        </is>
      </c>
      <c r="C9454" s="10" t="inlineStr">
        <is>
          <t>Satuan</t>
        </is>
      </c>
      <c r="D9454" s="10" t="inlineStr">
        <is>
          <t>Koef</t>
        </is>
      </c>
      <c r="E9454" s="10" t="inlineStr">
        <is>
          <t>Harga Satuan (Rp)</t>
        </is>
      </c>
      <c r="F9454" s="10" t="inlineStr">
        <is>
          <t>Jumlah Harga (Rp)</t>
        </is>
      </c>
    </row>
    <row r="9455">
      <c r="A9455" s="3" t="inlineStr">
        <is>
          <t>1</t>
        </is>
      </c>
      <c r="B9455" s="3" t="inlineStr">
        <is>
          <t>Pekerja</t>
        </is>
      </c>
      <c r="C9455" s="3" t="inlineStr">
        <is>
          <t>OH</t>
        </is>
      </c>
      <c r="D9455" s="15" t="n">
        <v>0.129</v>
      </c>
      <c r="E9455" s="4" t="n">
        <v>100000</v>
      </c>
      <c r="F9455" s="4" t="n">
        <v>12900</v>
      </c>
    </row>
    <row r="9456">
      <c r="A9456" s="3" t="inlineStr">
        <is>
          <t>2</t>
        </is>
      </c>
      <c r="B9456" s="3" t="inlineStr">
        <is>
          <t>Tukang listrik</t>
        </is>
      </c>
      <c r="C9456" s="3" t="inlineStr">
        <is>
          <t>OH</t>
        </is>
      </c>
      <c r="D9456" s="15" t="n">
        <v>0.215</v>
      </c>
      <c r="E9456" s="4" t="n">
        <v>145000</v>
      </c>
      <c r="F9456" s="4" t="n">
        <v>31175</v>
      </c>
    </row>
    <row r="9457">
      <c r="A9457" s="3" t="inlineStr">
        <is>
          <t>3</t>
        </is>
      </c>
      <c r="B9457" s="3" t="inlineStr">
        <is>
          <t>Kepala Tukang</t>
        </is>
      </c>
      <c r="C9457" s="3" t="inlineStr">
        <is>
          <t>OH</t>
        </is>
      </c>
      <c r="D9457" s="15" t="n">
        <v>0.021</v>
      </c>
      <c r="E9457" s="4" t="n">
        <v>175000</v>
      </c>
      <c r="F9457" s="4" t="n">
        <v>3675</v>
      </c>
    </row>
    <row r="9458">
      <c r="A9458" s="3" t="inlineStr">
        <is>
          <t>4</t>
        </is>
      </c>
      <c r="B9458" s="3" t="inlineStr">
        <is>
          <t>Mandor</t>
        </is>
      </c>
      <c r="C9458" s="3" t="inlineStr">
        <is>
          <t>OH</t>
        </is>
      </c>
      <c r="D9458" s="15" t="n">
        <v>0.007</v>
      </c>
      <c r="E9458" s="4" t="n">
        <v>200000</v>
      </c>
      <c r="F9458" s="4" t="n">
        <v>1400</v>
      </c>
    </row>
    <row r="9459">
      <c r="A9459" s="3" t="inlineStr">
        <is>
          <t>1</t>
        </is>
      </c>
      <c r="B9459" s="3" t="inlineStr">
        <is>
          <t>"Kabel NYMHY 3 x 1 5 mm²"</t>
        </is>
      </c>
      <c r="C9459" s="3" t="inlineStr">
        <is>
          <t>m</t>
        </is>
      </c>
      <c r="D9459" s="15" t="n">
        <v>11</v>
      </c>
      <c r="E9459" s="4" t="n">
        <v>13400</v>
      </c>
      <c r="F9459" s="4" t="n">
        <v>147400</v>
      </c>
    </row>
    <row r="9460">
      <c r="A9460" s="3" t="inlineStr">
        <is>
          <t>2</t>
        </is>
      </c>
      <c r="B9460" s="3" t="inlineStr">
        <is>
          <t>Conduit HI 20 mm</t>
        </is>
      </c>
      <c r="C9460" s="3" t="inlineStr">
        <is>
          <t>m</t>
        </is>
      </c>
      <c r="D9460" s="15" t="n">
        <v>11</v>
      </c>
      <c r="E9460" s="4" t="n">
        <v>4000</v>
      </c>
      <c r="F9460" s="4" t="n">
        <v>44000</v>
      </c>
    </row>
    <row r="9461">
      <c r="A9461" s="3" t="inlineStr">
        <is>
          <t>3</t>
        </is>
      </c>
      <c r="B9461" s="3" t="inlineStr">
        <is>
          <t>T Dus</t>
        </is>
      </c>
      <c r="C9461" s="3" t="inlineStr">
        <is>
          <t>buah</t>
        </is>
      </c>
      <c r="D9461" s="15" t="n">
        <v>1</v>
      </c>
      <c r="E9461" s="4" t="n">
        <v>4000</v>
      </c>
      <c r="F9461" s="4" t="n">
        <v>4000</v>
      </c>
    </row>
    <row r="9462">
      <c r="A9462" s="3" t="inlineStr">
        <is>
          <t>4</t>
        </is>
      </c>
      <c r="B9462" s="3" t="inlineStr">
        <is>
          <t>Klem 20 mm</t>
        </is>
      </c>
      <c r="C9462" s="3" t="inlineStr">
        <is>
          <t>buah</t>
        </is>
      </c>
      <c r="D9462" s="15" t="n">
        <v>6</v>
      </c>
      <c r="E9462" s="4" t="n">
        <v>900</v>
      </c>
      <c r="F9462" s="4" t="n">
        <v>5400</v>
      </c>
    </row>
    <row r="9463">
      <c r="A9463" s="3" t="inlineStr">
        <is>
          <t>5</t>
        </is>
      </c>
      <c r="B9463" s="3" t="inlineStr">
        <is>
          <t>Flexible Conduit 20 mm</t>
        </is>
      </c>
      <c r="C9463" s="3" t="inlineStr">
        <is>
          <t>buah</t>
        </is>
      </c>
      <c r="D9463" s="15" t="n">
        <v>1</v>
      </c>
      <c r="E9463" s="4" t="n">
        <v>5400</v>
      </c>
      <c r="F9463" s="4" t="n">
        <v>5400</v>
      </c>
    </row>
    <row r="9464">
      <c r="A9464" s="3" t="inlineStr">
        <is>
          <t>6</t>
        </is>
      </c>
      <c r="B9464" s="3" t="inlineStr">
        <is>
          <t>Isolasi</t>
        </is>
      </c>
      <c r="C9464" s="3" t="inlineStr">
        <is>
          <t>m</t>
        </is>
      </c>
      <c r="D9464" s="15" t="n">
        <v>0.5</v>
      </c>
      <c r="E9464" s="4" t="n">
        <v>416</v>
      </c>
      <c r="F9464" s="4" t="n">
        <v>208</v>
      </c>
    </row>
    <row r="9465">
      <c r="A9465" s="3" t="inlineStr">
        <is>
          <t>7</t>
        </is>
      </c>
      <c r="B9465" s="3" t="inlineStr">
        <is>
          <t>Lasdop</t>
        </is>
      </c>
      <c r="C9465" s="3" t="inlineStr">
        <is>
          <t>buah</t>
        </is>
      </c>
      <c r="D9465" s="15" t="n">
        <v>3</v>
      </c>
      <c r="E9465" s="4" t="n">
        <v>580</v>
      </c>
      <c r="F9465" s="4" t="n">
        <v>1740</v>
      </c>
    </row>
    <row r="9466">
      <c r="A9466" s="3" t="inlineStr">
        <is>
          <t>8</t>
        </is>
      </c>
      <c r="B9466" s="3" t="inlineStr">
        <is>
          <t>Fischer S6 + Sekrup</t>
        </is>
      </c>
      <c r="C9466" s="3" t="inlineStr">
        <is>
          <t>buah</t>
        </is>
      </c>
      <c r="D9466" s="15" t="n">
        <v>12</v>
      </c>
      <c r="E9466" s="4" t="n">
        <v>21.5</v>
      </c>
      <c r="F9466" s="4" t="n">
        <v>258</v>
      </c>
    </row>
    <row r="9467">
      <c r="D9467" s="2" t="inlineStr">
        <is>
          <t>SUBTOTAL UPAH</t>
        </is>
      </c>
      <c r="F9467" s="16" t="n">
        <v>49150</v>
      </c>
    </row>
    <row r="9468">
      <c r="D9468" s="2" t="inlineStr">
        <is>
          <t>SUBTOTAL BAHAN</t>
        </is>
      </c>
      <c r="F9468" s="16" t="n">
        <v>208406</v>
      </c>
    </row>
    <row r="9469">
      <c r="D9469" s="2" t="inlineStr">
        <is>
          <t>SUBTOTAL ALAT</t>
        </is>
      </c>
      <c r="F9469" s="16" t="n">
        <v>0</v>
      </c>
    </row>
    <row r="9470">
      <c r="E9470" s="2" t="inlineStr">
        <is>
          <t>TOTAL HARGA SATUAN (Inc. Overhead)</t>
        </is>
      </c>
      <c r="F9470" s="17" t="n">
        <v>283311</v>
      </c>
    </row>
    <row r="9472">
      <c r="A9472" s="14" t="inlineStr">
        <is>
          <t>KODE: 5.4.4.1 - Pemasangan 1 Unit MDF 2 x 8 pair</t>
        </is>
      </c>
    </row>
    <row r="9473">
      <c r="A9473" s="10" t="inlineStr">
        <is>
          <t>No</t>
        </is>
      </c>
      <c r="B9473" s="10" t="inlineStr">
        <is>
          <t>Uraian Komponen</t>
        </is>
      </c>
      <c r="C9473" s="10" t="inlineStr">
        <is>
          <t>Satuan</t>
        </is>
      </c>
      <c r="D9473" s="10" t="inlineStr">
        <is>
          <t>Koef</t>
        </is>
      </c>
      <c r="E9473" s="10" t="inlineStr">
        <is>
          <t>Harga Satuan (Rp)</t>
        </is>
      </c>
      <c r="F9473" s="10" t="inlineStr">
        <is>
          <t>Jumlah Harga (Rp)</t>
        </is>
      </c>
    </row>
    <row r="9474">
      <c r="A9474" s="3" t="inlineStr">
        <is>
          <t>1</t>
        </is>
      </c>
      <c r="B9474" s="3" t="inlineStr">
        <is>
          <t>Pekerja</t>
        </is>
      </c>
      <c r="C9474" s="3" t="inlineStr">
        <is>
          <t>OH</t>
        </is>
      </c>
      <c r="D9474" s="15" t="n">
        <v>0.129</v>
      </c>
      <c r="E9474" s="4" t="n">
        <v>100000</v>
      </c>
      <c r="F9474" s="4" t="n">
        <v>12900</v>
      </c>
    </row>
    <row r="9475">
      <c r="A9475" s="3" t="inlineStr">
        <is>
          <t>2</t>
        </is>
      </c>
      <c r="B9475" s="3" t="inlineStr">
        <is>
          <t>Tukang listrik</t>
        </is>
      </c>
      <c r="C9475" s="3" t="inlineStr">
        <is>
          <t>OH</t>
        </is>
      </c>
      <c r="D9475" s="15" t="n">
        <v>0.215</v>
      </c>
      <c r="E9475" s="4" t="n">
        <v>145000</v>
      </c>
      <c r="F9475" s="4" t="n">
        <v>31175</v>
      </c>
    </row>
    <row r="9476">
      <c r="A9476" s="3" t="inlineStr">
        <is>
          <t>3</t>
        </is>
      </c>
      <c r="B9476" s="3" t="inlineStr">
        <is>
          <t>Kepala Tukang</t>
        </is>
      </c>
      <c r="C9476" s="3" t="inlineStr">
        <is>
          <t>OH</t>
        </is>
      </c>
      <c r="D9476" s="15" t="n">
        <v>0.021</v>
      </c>
      <c r="E9476" s="4" t="n">
        <v>175000</v>
      </c>
      <c r="F9476" s="4" t="n">
        <v>3675</v>
      </c>
    </row>
    <row r="9477">
      <c r="A9477" s="3" t="inlineStr">
        <is>
          <t>4</t>
        </is>
      </c>
      <c r="B9477" s="3" t="inlineStr">
        <is>
          <t>Mandor</t>
        </is>
      </c>
      <c r="C9477" s="3" t="inlineStr">
        <is>
          <t>OH</t>
        </is>
      </c>
      <c r="D9477" s="15" t="n">
        <v>0.007</v>
      </c>
      <c r="E9477" s="4" t="n">
        <v>200000</v>
      </c>
      <c r="F9477" s="4" t="n">
        <v>1400</v>
      </c>
    </row>
    <row r="9478">
      <c r="A9478" s="3" t="inlineStr">
        <is>
          <t>1</t>
        </is>
      </c>
      <c r="B9478" s="3" t="inlineStr">
        <is>
          <t>MDF 2 x 8 Pair</t>
        </is>
      </c>
      <c r="C9478" s="3" t="inlineStr">
        <is>
          <t>unit</t>
        </is>
      </c>
      <c r="D9478" s="15" t="n">
        <v>1.1</v>
      </c>
      <c r="E9478" s="4" t="n">
        <v>125000</v>
      </c>
      <c r="F9478" s="4" t="n">
        <v>137500</v>
      </c>
    </row>
    <row r="9479">
      <c r="D9479" s="2" t="inlineStr">
        <is>
          <t>SUBTOTAL UPAH</t>
        </is>
      </c>
      <c r="F9479" s="16" t="n">
        <v>49150</v>
      </c>
    </row>
    <row r="9480">
      <c r="D9480" s="2" t="inlineStr">
        <is>
          <t>SUBTOTAL BAHAN</t>
        </is>
      </c>
      <c r="F9480" s="16" t="n">
        <v>137500</v>
      </c>
    </row>
    <row r="9481">
      <c r="D9481" s="2" t="inlineStr">
        <is>
          <t>SUBTOTAL ALAT</t>
        </is>
      </c>
      <c r="F9481" s="16" t="n">
        <v>0</v>
      </c>
    </row>
    <row r="9482">
      <c r="E9482" s="2" t="inlineStr">
        <is>
          <t>TOTAL HARGA SATUAN (Inc. Overhead)</t>
        </is>
      </c>
      <c r="F9482" s="17" t="n">
        <v>205315</v>
      </c>
    </row>
    <row r="9484">
      <c r="A9484" s="14" t="inlineStr">
        <is>
          <t>KODE: 5.4.4.2 - Pemasangan 1 Unit MDF 2 x 10 pair</t>
        </is>
      </c>
    </row>
    <row r="9485">
      <c r="A9485" s="10" t="inlineStr">
        <is>
          <t>No</t>
        </is>
      </c>
      <c r="B9485" s="10" t="inlineStr">
        <is>
          <t>Uraian Komponen</t>
        </is>
      </c>
      <c r="C9485" s="10" t="inlineStr">
        <is>
          <t>Satuan</t>
        </is>
      </c>
      <c r="D9485" s="10" t="inlineStr">
        <is>
          <t>Koef</t>
        </is>
      </c>
      <c r="E9485" s="10" t="inlineStr">
        <is>
          <t>Harga Satuan (Rp)</t>
        </is>
      </c>
      <c r="F9485" s="10" t="inlineStr">
        <is>
          <t>Jumlah Harga (Rp)</t>
        </is>
      </c>
    </row>
    <row r="9486">
      <c r="A9486" s="3" t="inlineStr">
        <is>
          <t>1</t>
        </is>
      </c>
      <c r="B9486" s="3" t="inlineStr">
        <is>
          <t>Pekerja</t>
        </is>
      </c>
      <c r="C9486" s="3" t="inlineStr">
        <is>
          <t>OH</t>
        </is>
      </c>
      <c r="D9486" s="15" t="n">
        <v>0.129</v>
      </c>
      <c r="E9486" s="4" t="n">
        <v>100000</v>
      </c>
      <c r="F9486" s="4" t="n">
        <v>12900</v>
      </c>
    </row>
    <row r="9487">
      <c r="A9487" s="3" t="inlineStr">
        <is>
          <t>2</t>
        </is>
      </c>
      <c r="B9487" s="3" t="inlineStr">
        <is>
          <t>Tukang listrik</t>
        </is>
      </c>
      <c r="C9487" s="3" t="inlineStr">
        <is>
          <t>OH</t>
        </is>
      </c>
      <c r="D9487" s="15" t="n">
        <v>0.215</v>
      </c>
      <c r="E9487" s="4" t="n">
        <v>145000</v>
      </c>
      <c r="F9487" s="4" t="n">
        <v>31175</v>
      </c>
    </row>
    <row r="9488">
      <c r="A9488" s="3" t="inlineStr">
        <is>
          <t>3</t>
        </is>
      </c>
      <c r="B9488" s="3" t="inlineStr">
        <is>
          <t>Kepala Tukang</t>
        </is>
      </c>
      <c r="C9488" s="3" t="inlineStr">
        <is>
          <t>OH</t>
        </is>
      </c>
      <c r="D9488" s="15" t="n">
        <v>0.021</v>
      </c>
      <c r="E9488" s="4" t="n">
        <v>175000</v>
      </c>
      <c r="F9488" s="4" t="n">
        <v>3675</v>
      </c>
    </row>
    <row r="9489">
      <c r="A9489" s="3" t="inlineStr">
        <is>
          <t>4</t>
        </is>
      </c>
      <c r="B9489" s="3" t="inlineStr">
        <is>
          <t>Mandor</t>
        </is>
      </c>
      <c r="C9489" s="3" t="inlineStr">
        <is>
          <t>OH</t>
        </is>
      </c>
      <c r="D9489" s="15" t="n">
        <v>0.007</v>
      </c>
      <c r="E9489" s="4" t="n">
        <v>200000</v>
      </c>
      <c r="F9489" s="4" t="n">
        <v>1400</v>
      </c>
    </row>
    <row r="9490">
      <c r="A9490" s="3" t="inlineStr">
        <is>
          <t>1</t>
        </is>
      </c>
      <c r="B9490" s="3" t="inlineStr">
        <is>
          <t>MDF 2 x 10 Pair</t>
        </is>
      </c>
      <c r="C9490" s="3" t="inlineStr">
        <is>
          <t>unit</t>
        </is>
      </c>
      <c r="D9490" s="15" t="n">
        <v>1.1</v>
      </c>
      <c r="E9490" s="4" t="n">
        <v>150000</v>
      </c>
      <c r="F9490" s="4" t="n">
        <v>165000</v>
      </c>
    </row>
    <row r="9491">
      <c r="D9491" s="2" t="inlineStr">
        <is>
          <t>SUBTOTAL UPAH</t>
        </is>
      </c>
      <c r="F9491" s="16" t="n">
        <v>49150</v>
      </c>
    </row>
    <row r="9492">
      <c r="D9492" s="2" t="inlineStr">
        <is>
          <t>SUBTOTAL BAHAN</t>
        </is>
      </c>
      <c r="F9492" s="16" t="n">
        <v>165000</v>
      </c>
    </row>
    <row r="9493">
      <c r="D9493" s="2" t="inlineStr">
        <is>
          <t>SUBTOTAL ALAT</t>
        </is>
      </c>
      <c r="F9493" s="16" t="n">
        <v>0</v>
      </c>
    </row>
    <row r="9494">
      <c r="E9494" s="2" t="inlineStr">
        <is>
          <t>TOTAL HARGA SATUAN (Inc. Overhead)</t>
        </is>
      </c>
      <c r="F9494" s="17" t="n">
        <v>235565</v>
      </c>
    </row>
    <row r="9496">
      <c r="A9496" s="14" t="inlineStr">
        <is>
          <t>KODE: 5.4.4.3 - Pemasangan 1 Unit PABX Kap: 1 Line 10 Extension ( Lengkap dengan Pemprograman)</t>
        </is>
      </c>
    </row>
    <row r="9497">
      <c r="A9497" s="10" t="inlineStr">
        <is>
          <t>No</t>
        </is>
      </c>
      <c r="B9497" s="10" t="inlineStr">
        <is>
          <t>Uraian Komponen</t>
        </is>
      </c>
      <c r="C9497" s="10" t="inlineStr">
        <is>
          <t>Satuan</t>
        </is>
      </c>
      <c r="D9497" s="10" t="inlineStr">
        <is>
          <t>Koef</t>
        </is>
      </c>
      <c r="E9497" s="10" t="inlineStr">
        <is>
          <t>Harga Satuan (Rp)</t>
        </is>
      </c>
      <c r="F9497" s="10" t="inlineStr">
        <is>
          <t>Jumlah Harga (Rp)</t>
        </is>
      </c>
    </row>
    <row r="9498">
      <c r="A9498" s="3" t="inlineStr">
        <is>
          <t>1</t>
        </is>
      </c>
      <c r="B9498" s="3" t="inlineStr">
        <is>
          <t>Pekerja</t>
        </is>
      </c>
      <c r="C9498" s="3" t="inlineStr">
        <is>
          <t>OH</t>
        </is>
      </c>
      <c r="D9498" s="15" t="n">
        <v>0.762</v>
      </c>
      <c r="E9498" s="4" t="n">
        <v>100000</v>
      </c>
      <c r="F9498" s="4" t="n">
        <v>76200</v>
      </c>
    </row>
    <row r="9499">
      <c r="A9499" s="3" t="inlineStr">
        <is>
          <t>2</t>
        </is>
      </c>
      <c r="B9499" s="3" t="inlineStr">
        <is>
          <t>Tukang listrik</t>
        </is>
      </c>
      <c r="C9499" s="3" t="inlineStr">
        <is>
          <t>OH</t>
        </is>
      </c>
      <c r="D9499" s="15" t="n">
        <v>1.272</v>
      </c>
      <c r="E9499" s="4" t="n">
        <v>145000</v>
      </c>
      <c r="F9499" s="4" t="n">
        <v>184440</v>
      </c>
    </row>
    <row r="9500">
      <c r="A9500" s="3" t="inlineStr">
        <is>
          <t>3</t>
        </is>
      </c>
      <c r="B9500" s="3" t="inlineStr">
        <is>
          <t>Kepala Tukang</t>
        </is>
      </c>
      <c r="C9500" s="3" t="inlineStr">
        <is>
          <t>OH</t>
        </is>
      </c>
      <c r="D9500" s="15" t="n">
        <v>0.127</v>
      </c>
      <c r="E9500" s="4" t="n">
        <v>175000</v>
      </c>
      <c r="F9500" s="4" t="n">
        <v>22225</v>
      </c>
    </row>
    <row r="9501">
      <c r="A9501" s="3" t="inlineStr">
        <is>
          <t>4</t>
        </is>
      </c>
      <c r="B9501" s="3" t="inlineStr">
        <is>
          <t>Mandor</t>
        </is>
      </c>
      <c r="C9501" s="3" t="inlineStr">
        <is>
          <t>OH</t>
        </is>
      </c>
      <c r="D9501" s="15" t="n">
        <v>0.042</v>
      </c>
      <c r="E9501" s="4" t="n">
        <v>200000</v>
      </c>
      <c r="F9501" s="4" t="n">
        <v>8400</v>
      </c>
    </row>
    <row r="9502">
      <c r="A9502" s="3" t="inlineStr">
        <is>
          <t>1</t>
        </is>
      </c>
      <c r="B9502" s="3" t="inlineStr">
        <is>
          <t>Pemasangan 1 Unit PABX Kap: 1 Line 10 Extension</t>
        </is>
      </c>
      <c r="C9502" s="3" t="inlineStr">
        <is>
          <t>unit</t>
        </is>
      </c>
      <c r="D9502" s="15" t="n">
        <v>1.05</v>
      </c>
      <c r="E9502" s="4" t="n">
        <v>1000000</v>
      </c>
      <c r="F9502" s="4" t="n">
        <v>1050000</v>
      </c>
    </row>
    <row r="9503">
      <c r="D9503" s="2" t="inlineStr">
        <is>
          <t>SUBTOTAL UPAH</t>
        </is>
      </c>
      <c r="F9503" s="16" t="n">
        <v>291265</v>
      </c>
    </row>
    <row r="9504">
      <c r="D9504" s="2" t="inlineStr">
        <is>
          <t>SUBTOTAL BAHAN</t>
        </is>
      </c>
      <c r="F9504" s="16" t="n">
        <v>1050000</v>
      </c>
    </row>
    <row r="9505">
      <c r="D9505" s="2" t="inlineStr">
        <is>
          <t>SUBTOTAL ALAT</t>
        </is>
      </c>
      <c r="F9505" s="16" t="n">
        <v>0</v>
      </c>
    </row>
    <row r="9506">
      <c r="E9506" s="2" t="inlineStr">
        <is>
          <t>TOTAL HARGA SATUAN (Inc. Overhead)</t>
        </is>
      </c>
      <c r="F9506" s="17" t="n">
        <v>1475391</v>
      </c>
    </row>
    <row r="9508">
      <c r="A9508" s="14" t="inlineStr">
        <is>
          <t>KODE: 5.4.4.4 - Pemasangan 1 Unit PABX Kap: 1 Line 8 Extension ( Lengkap dengan Pemprograman)</t>
        </is>
      </c>
    </row>
    <row r="9509">
      <c r="A9509" s="10" t="inlineStr">
        <is>
          <t>No</t>
        </is>
      </c>
      <c r="B9509" s="10" t="inlineStr">
        <is>
          <t>Uraian Komponen</t>
        </is>
      </c>
      <c r="C9509" s="10" t="inlineStr">
        <is>
          <t>Satuan</t>
        </is>
      </c>
      <c r="D9509" s="10" t="inlineStr">
        <is>
          <t>Koef</t>
        </is>
      </c>
      <c r="E9509" s="10" t="inlineStr">
        <is>
          <t>Harga Satuan (Rp)</t>
        </is>
      </c>
      <c r="F9509" s="10" t="inlineStr">
        <is>
          <t>Jumlah Harga (Rp)</t>
        </is>
      </c>
    </row>
    <row r="9510">
      <c r="A9510" s="3" t="inlineStr">
        <is>
          <t>1</t>
        </is>
      </c>
      <c r="B9510" s="3" t="inlineStr">
        <is>
          <t>Pekerja</t>
        </is>
      </c>
      <c r="C9510" s="3" t="inlineStr">
        <is>
          <t>OH</t>
        </is>
      </c>
      <c r="D9510" s="15" t="n">
        <v>0.507</v>
      </c>
      <c r="E9510" s="4" t="n">
        <v>100000</v>
      </c>
      <c r="F9510" s="4" t="n">
        <v>50700</v>
      </c>
    </row>
    <row r="9511">
      <c r="A9511" s="3" t="inlineStr">
        <is>
          <t>2</t>
        </is>
      </c>
      <c r="B9511" s="3" t="inlineStr">
        <is>
          <t>Tukang listrik</t>
        </is>
      </c>
      <c r="C9511" s="3" t="inlineStr">
        <is>
          <t>OH</t>
        </is>
      </c>
      <c r="D9511" s="15" t="n">
        <v>0.847</v>
      </c>
      <c r="E9511" s="4" t="n">
        <v>145000</v>
      </c>
      <c r="F9511" s="4" t="n">
        <v>122815</v>
      </c>
    </row>
    <row r="9512">
      <c r="A9512" s="3" t="inlineStr">
        <is>
          <t>3</t>
        </is>
      </c>
      <c r="B9512" s="3" t="inlineStr">
        <is>
          <t>Kepala Tukang</t>
        </is>
      </c>
      <c r="C9512" s="3" t="inlineStr">
        <is>
          <t>OH</t>
        </is>
      </c>
      <c r="D9512" s="15" t="n">
        <v>0.08500000000000001</v>
      </c>
      <c r="E9512" s="4" t="n">
        <v>175000</v>
      </c>
      <c r="F9512" s="4" t="n">
        <v>14875</v>
      </c>
    </row>
    <row r="9513">
      <c r="A9513" s="3" t="inlineStr">
        <is>
          <t>4</t>
        </is>
      </c>
      <c r="B9513" s="3" t="inlineStr">
        <is>
          <t>Mandor</t>
        </is>
      </c>
      <c r="C9513" s="3" t="inlineStr">
        <is>
          <t>OH</t>
        </is>
      </c>
      <c r="D9513" s="15" t="n">
        <v>0.028</v>
      </c>
      <c r="E9513" s="4" t="n">
        <v>200000</v>
      </c>
      <c r="F9513" s="4" t="n">
        <v>5600</v>
      </c>
    </row>
    <row r="9514">
      <c r="A9514" s="3" t="inlineStr">
        <is>
          <t>1</t>
        </is>
      </c>
      <c r="B9514" s="3" t="inlineStr">
        <is>
          <t>Pemasangan 1 Unit PABX Kap: 1 Line 8 Extension</t>
        </is>
      </c>
      <c r="C9514" s="3" t="inlineStr">
        <is>
          <t>unit</t>
        </is>
      </c>
      <c r="D9514" s="15" t="n">
        <v>1.05</v>
      </c>
      <c r="E9514" s="4" t="n">
        <v>870000</v>
      </c>
      <c r="F9514" s="4" t="n">
        <v>913500</v>
      </c>
    </row>
    <row r="9515">
      <c r="D9515" s="2" t="inlineStr">
        <is>
          <t>SUBTOTAL UPAH</t>
        </is>
      </c>
      <c r="F9515" s="16" t="n">
        <v>193990</v>
      </c>
    </row>
    <row r="9516">
      <c r="D9516" s="2" t="inlineStr">
        <is>
          <t>SUBTOTAL BAHAN</t>
        </is>
      </c>
      <c r="F9516" s="16" t="n">
        <v>913500</v>
      </c>
    </row>
    <row r="9517">
      <c r="D9517" s="2" t="inlineStr">
        <is>
          <t>SUBTOTAL ALAT</t>
        </is>
      </c>
      <c r="F9517" s="16" t="n">
        <v>0</v>
      </c>
    </row>
    <row r="9518">
      <c r="E9518" s="2" t="inlineStr">
        <is>
          <t>TOTAL HARGA SATUAN (Inc. Overhead)</t>
        </is>
      </c>
      <c r="F9518" s="17" t="n">
        <v>1218239</v>
      </c>
    </row>
    <row r="9520">
      <c r="A9520" s="14" t="inlineStr">
        <is>
          <t>KODE: 5.4.4.5 - Pemasangan 1 Unit Terminal Box Telepon</t>
        </is>
      </c>
    </row>
    <row r="9521">
      <c r="A9521" s="10" t="inlineStr">
        <is>
          <t>No</t>
        </is>
      </c>
      <c r="B9521" s="10" t="inlineStr">
        <is>
          <t>Uraian Komponen</t>
        </is>
      </c>
      <c r="C9521" s="10" t="inlineStr">
        <is>
          <t>Satuan</t>
        </is>
      </c>
      <c r="D9521" s="10" t="inlineStr">
        <is>
          <t>Koef</t>
        </is>
      </c>
      <c r="E9521" s="10" t="inlineStr">
        <is>
          <t>Harga Satuan (Rp)</t>
        </is>
      </c>
      <c r="F9521" s="10" t="inlineStr">
        <is>
          <t>Jumlah Harga (Rp)</t>
        </is>
      </c>
    </row>
    <row r="9522">
      <c r="A9522" s="3" t="inlineStr">
        <is>
          <t>1</t>
        </is>
      </c>
      <c r="B9522" s="3" t="inlineStr">
        <is>
          <t>Pekerja</t>
        </is>
      </c>
      <c r="C9522" s="3" t="inlineStr">
        <is>
          <t>OH</t>
        </is>
      </c>
      <c r="D9522" s="15" t="n">
        <v>0.129</v>
      </c>
      <c r="E9522" s="4" t="n">
        <v>100000</v>
      </c>
      <c r="F9522" s="4" t="n">
        <v>12900</v>
      </c>
    </row>
    <row r="9523">
      <c r="A9523" s="3" t="inlineStr">
        <is>
          <t>2</t>
        </is>
      </c>
      <c r="B9523" s="3" t="inlineStr">
        <is>
          <t>Tukang listrik</t>
        </is>
      </c>
      <c r="C9523" s="3" t="inlineStr">
        <is>
          <t>OH</t>
        </is>
      </c>
      <c r="D9523" s="15" t="n">
        <v>0.215</v>
      </c>
      <c r="E9523" s="4" t="n">
        <v>145000</v>
      </c>
      <c r="F9523" s="4" t="n">
        <v>31175</v>
      </c>
    </row>
    <row r="9524">
      <c r="A9524" s="3" t="inlineStr">
        <is>
          <t>3</t>
        </is>
      </c>
      <c r="B9524" s="3" t="inlineStr">
        <is>
          <t>Kepala Tukang</t>
        </is>
      </c>
      <c r="C9524" s="3" t="inlineStr">
        <is>
          <t>OH</t>
        </is>
      </c>
      <c r="D9524" s="15" t="n">
        <v>0.021</v>
      </c>
      <c r="E9524" s="4" t="n">
        <v>175000</v>
      </c>
      <c r="F9524" s="4" t="n">
        <v>3675</v>
      </c>
    </row>
    <row r="9525">
      <c r="A9525" s="3" t="inlineStr">
        <is>
          <t>4</t>
        </is>
      </c>
      <c r="B9525" s="3" t="inlineStr">
        <is>
          <t>Mandor</t>
        </is>
      </c>
      <c r="C9525" s="3" t="inlineStr">
        <is>
          <t>OH</t>
        </is>
      </c>
      <c r="D9525" s="15" t="n">
        <v>0.007</v>
      </c>
      <c r="E9525" s="4" t="n">
        <v>200000</v>
      </c>
      <c r="F9525" s="4" t="n">
        <v>1400</v>
      </c>
    </row>
    <row r="9526">
      <c r="A9526" s="3" t="inlineStr">
        <is>
          <t>1</t>
        </is>
      </c>
      <c r="B9526" s="3" t="inlineStr">
        <is>
          <t>Terminal Box Telepon</t>
        </is>
      </c>
      <c r="C9526" s="3" t="inlineStr">
        <is>
          <t>unit</t>
        </is>
      </c>
      <c r="D9526" s="15" t="n">
        <v>1.05</v>
      </c>
      <c r="E9526" s="4" t="n">
        <v>250000</v>
      </c>
      <c r="F9526" s="4" t="n">
        <v>262500</v>
      </c>
    </row>
    <row r="9527">
      <c r="D9527" s="2" t="inlineStr">
        <is>
          <t>SUBTOTAL UPAH</t>
        </is>
      </c>
      <c r="F9527" s="16" t="n">
        <v>49150</v>
      </c>
    </row>
    <row r="9528">
      <c r="D9528" s="2" t="inlineStr">
        <is>
          <t>SUBTOTAL BAHAN</t>
        </is>
      </c>
      <c r="F9528" s="16" t="n">
        <v>262500</v>
      </c>
    </row>
    <row r="9529">
      <c r="D9529" s="2" t="inlineStr">
        <is>
          <t>SUBTOTAL ALAT</t>
        </is>
      </c>
      <c r="F9529" s="16" t="n">
        <v>0</v>
      </c>
    </row>
    <row r="9530">
      <c r="E9530" s="2" t="inlineStr">
        <is>
          <t>TOTAL HARGA SATUAN (Inc. Overhead)</t>
        </is>
      </c>
      <c r="F9530" s="17" t="n">
        <v>342815</v>
      </c>
    </row>
    <row r="9532">
      <c r="A9532" s="14" t="inlineStr">
        <is>
          <t>KODE: 5.4.4.6 - Pemasangan 1 Unit Outlet Telepon</t>
        </is>
      </c>
    </row>
    <row r="9533">
      <c r="A9533" s="10" t="inlineStr">
        <is>
          <t>No</t>
        </is>
      </c>
      <c r="B9533" s="10" t="inlineStr">
        <is>
          <t>Uraian Komponen</t>
        </is>
      </c>
      <c r="C9533" s="10" t="inlineStr">
        <is>
          <t>Satuan</t>
        </is>
      </c>
      <c r="D9533" s="10" t="inlineStr">
        <is>
          <t>Koef</t>
        </is>
      </c>
      <c r="E9533" s="10" t="inlineStr">
        <is>
          <t>Harga Satuan (Rp)</t>
        </is>
      </c>
      <c r="F9533" s="10" t="inlineStr">
        <is>
          <t>Jumlah Harga (Rp)</t>
        </is>
      </c>
    </row>
    <row r="9534">
      <c r="A9534" s="3" t="inlineStr">
        <is>
          <t>1</t>
        </is>
      </c>
      <c r="B9534" s="3" t="inlineStr">
        <is>
          <t>Pekerja</t>
        </is>
      </c>
      <c r="C9534" s="3" t="inlineStr">
        <is>
          <t>OH</t>
        </is>
      </c>
      <c r="D9534" s="15" t="n">
        <v>0.064</v>
      </c>
      <c r="E9534" s="4" t="n">
        <v>100000</v>
      </c>
      <c r="F9534" s="4" t="n">
        <v>6400</v>
      </c>
    </row>
    <row r="9535">
      <c r="A9535" s="3" t="inlineStr">
        <is>
          <t>2</t>
        </is>
      </c>
      <c r="B9535" s="3" t="inlineStr">
        <is>
          <t>Tukang listrik</t>
        </is>
      </c>
      <c r="C9535" s="3" t="inlineStr">
        <is>
          <t>OH</t>
        </is>
      </c>
      <c r="D9535" s="15" t="n">
        <v>0.107</v>
      </c>
      <c r="E9535" s="4" t="n">
        <v>145000</v>
      </c>
      <c r="F9535" s="4" t="n">
        <v>15515</v>
      </c>
    </row>
    <row r="9536">
      <c r="A9536" s="3" t="inlineStr">
        <is>
          <t>3</t>
        </is>
      </c>
      <c r="B9536" s="3" t="inlineStr">
        <is>
          <t>Kepala Tukang</t>
        </is>
      </c>
      <c r="C9536" s="3" t="inlineStr">
        <is>
          <t>OH</t>
        </is>
      </c>
      <c r="D9536" s="15" t="n">
        <v>0.011</v>
      </c>
      <c r="E9536" s="4" t="n">
        <v>175000</v>
      </c>
      <c r="F9536" s="4" t="n">
        <v>1925</v>
      </c>
    </row>
    <row r="9537">
      <c r="A9537" s="3" t="inlineStr">
        <is>
          <t>4</t>
        </is>
      </c>
      <c r="B9537" s="3" t="inlineStr">
        <is>
          <t>Mandor</t>
        </is>
      </c>
      <c r="C9537" s="3" t="inlineStr">
        <is>
          <t>OH</t>
        </is>
      </c>
      <c r="D9537" s="15" t="n">
        <v>0.004</v>
      </c>
      <c r="E9537" s="4" t="n">
        <v>200000</v>
      </c>
      <c r="F9537" s="4" t="n">
        <v>800</v>
      </c>
    </row>
    <row r="9538">
      <c r="A9538" s="3" t="inlineStr">
        <is>
          <t>1</t>
        </is>
      </c>
      <c r="B9538" s="3" t="inlineStr">
        <is>
          <t>Outlet Telepon</t>
        </is>
      </c>
      <c r="C9538" s="3" t="inlineStr">
        <is>
          <t>unit</t>
        </is>
      </c>
      <c r="D9538" s="15" t="n">
        <v>1.2</v>
      </c>
      <c r="E9538" s="4" t="n">
        <v>102000</v>
      </c>
      <c r="F9538" s="4" t="n">
        <v>122400</v>
      </c>
    </row>
    <row r="9539">
      <c r="D9539" s="2" t="inlineStr">
        <is>
          <t>SUBTOTAL UPAH</t>
        </is>
      </c>
      <c r="F9539" s="16" t="n">
        <v>24640</v>
      </c>
    </row>
    <row r="9540">
      <c r="D9540" s="2" t="inlineStr">
        <is>
          <t>SUBTOTAL BAHAN</t>
        </is>
      </c>
      <c r="F9540" s="16" t="n">
        <v>122400</v>
      </c>
    </row>
    <row r="9541">
      <c r="D9541" s="2" t="inlineStr">
        <is>
          <t>SUBTOTAL ALAT</t>
        </is>
      </c>
      <c r="F9541" s="16" t="n">
        <v>0</v>
      </c>
    </row>
    <row r="9542">
      <c r="E9542" s="2" t="inlineStr">
        <is>
          <t>TOTAL HARGA SATUAN (Inc. Overhead)</t>
        </is>
      </c>
      <c r="F9542" s="17" t="n">
        <v>161744</v>
      </c>
    </row>
    <row r="9544">
      <c r="A9544" s="14" t="inlineStr">
        <is>
          <t>KODE: 5.4.4.7 - Pemasangan 1 Unit Instalasi Outlet Telepon</t>
        </is>
      </c>
    </row>
    <row r="9545">
      <c r="A9545" s="10" t="inlineStr">
        <is>
          <t>No</t>
        </is>
      </c>
      <c r="B9545" s="10" t="inlineStr">
        <is>
          <t>Uraian Komponen</t>
        </is>
      </c>
      <c r="C9545" s="10" t="inlineStr">
        <is>
          <t>Satuan</t>
        </is>
      </c>
      <c r="D9545" s="10" t="inlineStr">
        <is>
          <t>Koef</t>
        </is>
      </c>
      <c r="E9545" s="10" t="inlineStr">
        <is>
          <t>Harga Satuan (Rp)</t>
        </is>
      </c>
      <c r="F9545" s="10" t="inlineStr">
        <is>
          <t>Jumlah Harga (Rp)</t>
        </is>
      </c>
    </row>
    <row r="9546">
      <c r="A9546" s="3" t="inlineStr">
        <is>
          <t>1</t>
        </is>
      </c>
      <c r="B9546" s="3" t="inlineStr">
        <is>
          <t>Pekerja</t>
        </is>
      </c>
      <c r="C9546" s="3" t="inlineStr">
        <is>
          <t>OH</t>
        </is>
      </c>
      <c r="D9546" s="15" t="n">
        <v>0.064</v>
      </c>
      <c r="E9546" s="4" t="n">
        <v>100000</v>
      </c>
      <c r="F9546" s="4" t="n">
        <v>6400</v>
      </c>
    </row>
    <row r="9547">
      <c r="A9547" s="3" t="inlineStr">
        <is>
          <t>2</t>
        </is>
      </c>
      <c r="B9547" s="3" t="inlineStr">
        <is>
          <t>Tukang listrik</t>
        </is>
      </c>
      <c r="C9547" s="3" t="inlineStr">
        <is>
          <t>OH</t>
        </is>
      </c>
      <c r="D9547" s="15" t="n">
        <v>0.107</v>
      </c>
      <c r="E9547" s="4" t="n">
        <v>145000</v>
      </c>
      <c r="F9547" s="4" t="n">
        <v>15515</v>
      </c>
    </row>
    <row r="9548">
      <c r="A9548" s="3" t="inlineStr">
        <is>
          <t>3</t>
        </is>
      </c>
      <c r="B9548" s="3" t="inlineStr">
        <is>
          <t>Kepala Tukang</t>
        </is>
      </c>
      <c r="C9548" s="3" t="inlineStr">
        <is>
          <t>OH</t>
        </is>
      </c>
      <c r="D9548" s="15" t="n">
        <v>0.011</v>
      </c>
      <c r="E9548" s="4" t="n">
        <v>175000</v>
      </c>
      <c r="F9548" s="4" t="n">
        <v>1925</v>
      </c>
    </row>
    <row r="9549">
      <c r="A9549" s="3" t="inlineStr">
        <is>
          <t>4</t>
        </is>
      </c>
      <c r="B9549" s="3" t="inlineStr">
        <is>
          <t>Mandor</t>
        </is>
      </c>
      <c r="C9549" s="3" t="inlineStr">
        <is>
          <t>OH</t>
        </is>
      </c>
      <c r="D9549" s="15" t="n">
        <v>0.004</v>
      </c>
      <c r="E9549" s="4" t="n">
        <v>200000</v>
      </c>
      <c r="F9549" s="4" t="n">
        <v>800</v>
      </c>
    </row>
    <row r="9550">
      <c r="A9550" s="3" t="inlineStr">
        <is>
          <t>1</t>
        </is>
      </c>
      <c r="B9550" s="3" t="inlineStr">
        <is>
          <t>"Kabel ITC 2x2x0 6 mm2"</t>
        </is>
      </c>
      <c r="C9550" s="3" t="inlineStr">
        <is>
          <t>m</t>
        </is>
      </c>
      <c r="D9550" s="15" t="n">
        <v>38.5</v>
      </c>
      <c r="E9550" s="4" t="n">
        <v>3924</v>
      </c>
      <c r="F9550" s="4" t="n">
        <v>151074</v>
      </c>
    </row>
    <row r="9551">
      <c r="A9551" s="3" t="inlineStr">
        <is>
          <t>2</t>
        </is>
      </c>
      <c r="B9551" s="3" t="inlineStr">
        <is>
          <t>Conduit HI 20 mm</t>
        </is>
      </c>
      <c r="C9551" s="3" t="inlineStr">
        <is>
          <t>m</t>
        </is>
      </c>
      <c r="D9551" s="15" t="n">
        <v>38.5</v>
      </c>
      <c r="E9551" s="4" t="n">
        <v>4000</v>
      </c>
      <c r="F9551" s="4" t="n">
        <v>154000</v>
      </c>
    </row>
    <row r="9552">
      <c r="A9552" s="3" t="inlineStr">
        <is>
          <t>3</t>
        </is>
      </c>
      <c r="B9552" s="3" t="inlineStr">
        <is>
          <t>T Dus</t>
        </is>
      </c>
      <c r="C9552" s="3" t="inlineStr">
        <is>
          <t>buah</t>
        </is>
      </c>
      <c r="D9552" s="15" t="n">
        <v>1</v>
      </c>
      <c r="E9552" s="4" t="n">
        <v>4000</v>
      </c>
      <c r="F9552" s="4" t="n">
        <v>4000</v>
      </c>
    </row>
    <row r="9553">
      <c r="A9553" s="3" t="inlineStr">
        <is>
          <t>4</t>
        </is>
      </c>
      <c r="B9553" s="3" t="inlineStr">
        <is>
          <t>Socket Conduit 20 mm</t>
        </is>
      </c>
      <c r="C9553" s="3" t="inlineStr">
        <is>
          <t>buah</t>
        </is>
      </c>
      <c r="D9553" s="15" t="n">
        <v>20</v>
      </c>
      <c r="E9553" s="4" t="n">
        <v>700</v>
      </c>
      <c r="F9553" s="4" t="n">
        <v>14000</v>
      </c>
    </row>
    <row r="9554">
      <c r="A9554" s="3" t="inlineStr">
        <is>
          <t>5</t>
        </is>
      </c>
      <c r="B9554" s="3" t="inlineStr">
        <is>
          <t>Klem 20 mm</t>
        </is>
      </c>
      <c r="C9554" s="3" t="inlineStr">
        <is>
          <t>buah</t>
        </is>
      </c>
      <c r="D9554" s="15" t="n">
        <v>40</v>
      </c>
      <c r="E9554" s="4" t="n">
        <v>900</v>
      </c>
      <c r="F9554" s="4" t="n">
        <v>36000</v>
      </c>
    </row>
    <row r="9555">
      <c r="A9555" s="3" t="inlineStr">
        <is>
          <t>6</t>
        </is>
      </c>
      <c r="B9555" s="3" t="inlineStr">
        <is>
          <t>Flexible Conduit 20 mm</t>
        </is>
      </c>
      <c r="C9555" s="3" t="inlineStr">
        <is>
          <t>buah</t>
        </is>
      </c>
      <c r="D9555" s="15" t="n">
        <v>1</v>
      </c>
      <c r="E9555" s="4" t="n">
        <v>5400</v>
      </c>
      <c r="F9555" s="4" t="n">
        <v>5400</v>
      </c>
    </row>
    <row r="9556">
      <c r="A9556" s="3" t="inlineStr">
        <is>
          <t>7</t>
        </is>
      </c>
      <c r="B9556" s="3" t="inlineStr">
        <is>
          <t>Fischer S6 + Sekrup</t>
        </is>
      </c>
      <c r="C9556" s="3" t="inlineStr">
        <is>
          <t>buah</t>
        </is>
      </c>
      <c r="D9556" s="15" t="n">
        <v>60</v>
      </c>
      <c r="E9556" s="4" t="n">
        <v>21.5</v>
      </c>
      <c r="F9556" s="4" t="n">
        <v>1290</v>
      </c>
    </row>
    <row r="9557">
      <c r="D9557" s="2" t="inlineStr">
        <is>
          <t>SUBTOTAL UPAH</t>
        </is>
      </c>
      <c r="F9557" s="16" t="n">
        <v>24640</v>
      </c>
    </row>
    <row r="9558">
      <c r="D9558" s="2" t="inlineStr">
        <is>
          <t>SUBTOTAL BAHAN</t>
        </is>
      </c>
      <c r="F9558" s="16" t="n">
        <v>365764</v>
      </c>
    </row>
    <row r="9559">
      <c r="D9559" s="2" t="inlineStr">
        <is>
          <t>SUBTOTAL ALAT</t>
        </is>
      </c>
      <c r="F9559" s="16" t="n">
        <v>0</v>
      </c>
    </row>
    <row r="9560">
      <c r="E9560" s="2" t="inlineStr">
        <is>
          <t>TOTAL HARGA SATUAN (Inc. Overhead)</t>
        </is>
      </c>
      <c r="F9560" s="17" t="n">
        <v>429444</v>
      </c>
    </row>
    <row r="9562">
      <c r="A9562" s="14" t="inlineStr">
        <is>
          <t>KODE: 5.4.4.8 - Pemasangan 1 Unit Telepon Kabel</t>
        </is>
      </c>
    </row>
    <row r="9563">
      <c r="A9563" s="10" t="inlineStr">
        <is>
          <t>No</t>
        </is>
      </c>
      <c r="B9563" s="10" t="inlineStr">
        <is>
          <t>Uraian Komponen</t>
        </is>
      </c>
      <c r="C9563" s="10" t="inlineStr">
        <is>
          <t>Satuan</t>
        </is>
      </c>
      <c r="D9563" s="10" t="inlineStr">
        <is>
          <t>Koef</t>
        </is>
      </c>
      <c r="E9563" s="10" t="inlineStr">
        <is>
          <t>Harga Satuan (Rp)</t>
        </is>
      </c>
      <c r="F9563" s="10" t="inlineStr">
        <is>
          <t>Jumlah Harga (Rp)</t>
        </is>
      </c>
    </row>
    <row r="9564">
      <c r="A9564" s="3" t="inlineStr">
        <is>
          <t>1</t>
        </is>
      </c>
      <c r="B9564" s="3" t="inlineStr">
        <is>
          <t>Pekerja</t>
        </is>
      </c>
      <c r="C9564" s="3" t="inlineStr">
        <is>
          <t>OH</t>
        </is>
      </c>
      <c r="D9564" s="15" t="n">
        <v>0.026</v>
      </c>
      <c r="E9564" s="4" t="n">
        <v>100000</v>
      </c>
      <c r="F9564" s="4" t="n">
        <v>2600</v>
      </c>
    </row>
    <row r="9565">
      <c r="A9565" s="3" t="inlineStr">
        <is>
          <t>2</t>
        </is>
      </c>
      <c r="B9565" s="3" t="inlineStr">
        <is>
          <t>Tukang listrik</t>
        </is>
      </c>
      <c r="C9565" s="3" t="inlineStr">
        <is>
          <t>OH</t>
        </is>
      </c>
      <c r="D9565" s="15" t="n">
        <v>0.044</v>
      </c>
      <c r="E9565" s="4" t="n">
        <v>145000</v>
      </c>
      <c r="F9565" s="4" t="n">
        <v>6380</v>
      </c>
    </row>
    <row r="9566">
      <c r="A9566" s="3" t="inlineStr">
        <is>
          <t>3</t>
        </is>
      </c>
      <c r="B9566" s="3" t="inlineStr">
        <is>
          <t>Kepala Tukang</t>
        </is>
      </c>
      <c r="C9566" s="3" t="inlineStr">
        <is>
          <t>OH</t>
        </is>
      </c>
      <c r="D9566" s="15" t="n">
        <v>0.004</v>
      </c>
      <c r="E9566" s="4" t="n">
        <v>175000</v>
      </c>
      <c r="F9566" s="4" t="n">
        <v>700</v>
      </c>
    </row>
    <row r="9567">
      <c r="A9567" s="3" t="inlineStr">
        <is>
          <t>4</t>
        </is>
      </c>
      <c r="B9567" s="3" t="inlineStr">
        <is>
          <t>Mandor</t>
        </is>
      </c>
      <c r="C9567" s="3" t="inlineStr">
        <is>
          <t>OH</t>
        </is>
      </c>
      <c r="D9567" s="15" t="n">
        <v>0.001</v>
      </c>
      <c r="E9567" s="4" t="n">
        <v>200000</v>
      </c>
      <c r="F9567" s="4" t="n">
        <v>200</v>
      </c>
    </row>
    <row r="9568">
      <c r="A9568" s="3" t="inlineStr">
        <is>
          <t>1</t>
        </is>
      </c>
      <c r="B9568" s="3" t="inlineStr">
        <is>
          <t>Telepon Kabel</t>
        </is>
      </c>
      <c r="C9568" s="3" t="inlineStr">
        <is>
          <t>unit</t>
        </is>
      </c>
      <c r="D9568" s="15" t="n">
        <v>1.05</v>
      </c>
      <c r="E9568" s="4" t="n">
        <v>600000</v>
      </c>
      <c r="F9568" s="4" t="n">
        <v>630000</v>
      </c>
    </row>
    <row r="9569">
      <c r="D9569" s="2" t="inlineStr">
        <is>
          <t>SUBTOTAL UPAH</t>
        </is>
      </c>
      <c r="F9569" s="16" t="n">
        <v>9880</v>
      </c>
    </row>
    <row r="9570">
      <c r="D9570" s="2" t="inlineStr">
        <is>
          <t>SUBTOTAL BAHAN</t>
        </is>
      </c>
      <c r="F9570" s="16" t="n">
        <v>630000</v>
      </c>
    </row>
    <row r="9571">
      <c r="D9571" s="2" t="inlineStr">
        <is>
          <t>SUBTOTAL ALAT</t>
        </is>
      </c>
      <c r="F9571" s="16" t="n">
        <v>0</v>
      </c>
    </row>
    <row r="9572">
      <c r="E9572" s="2" t="inlineStr">
        <is>
          <t>TOTAL HARGA SATUAN (Inc. Overhead)</t>
        </is>
      </c>
      <c r="F9572" s="17" t="n">
        <v>703868</v>
      </c>
    </row>
    <row r="9574">
      <c r="A9574" s="14" t="inlineStr">
        <is>
          <t>KODE: 5.4.5.1 - Pemasangan 1 Unit Sever / Gateway c/w PC, Monitor, Keyboar, Mouse</t>
        </is>
      </c>
    </row>
    <row r="9575">
      <c r="A9575" s="10" t="inlineStr">
        <is>
          <t>No</t>
        </is>
      </c>
      <c r="B9575" s="10" t="inlineStr">
        <is>
          <t>Uraian Komponen</t>
        </is>
      </c>
      <c r="C9575" s="10" t="inlineStr">
        <is>
          <t>Satuan</t>
        </is>
      </c>
      <c r="D9575" s="10" t="inlineStr">
        <is>
          <t>Koef</t>
        </is>
      </c>
      <c r="E9575" s="10" t="inlineStr">
        <is>
          <t>Harga Satuan (Rp)</t>
        </is>
      </c>
      <c r="F9575" s="10" t="inlineStr">
        <is>
          <t>Jumlah Harga (Rp)</t>
        </is>
      </c>
    </row>
    <row r="9576">
      <c r="A9576" s="3" t="inlineStr">
        <is>
          <t>1</t>
        </is>
      </c>
      <c r="B9576" s="3" t="inlineStr">
        <is>
          <t>Pekerja</t>
        </is>
      </c>
      <c r="C9576" s="3" t="inlineStr">
        <is>
          <t>OH</t>
        </is>
      </c>
      <c r="D9576" s="15" t="n">
        <v>0.876</v>
      </c>
      <c r="E9576" s="4" t="n">
        <v>100000</v>
      </c>
      <c r="F9576" s="4" t="n">
        <v>87600</v>
      </c>
    </row>
    <row r="9577">
      <c r="A9577" s="3" t="inlineStr">
        <is>
          <t>2</t>
        </is>
      </c>
      <c r="B9577" s="3" t="inlineStr">
        <is>
          <t>Tukang listrik</t>
        </is>
      </c>
      <c r="C9577" s="3" t="inlineStr">
        <is>
          <t>OH</t>
        </is>
      </c>
      <c r="D9577" s="15" t="n">
        <v>1.463</v>
      </c>
      <c r="E9577" s="4" t="n">
        <v>145000</v>
      </c>
      <c r="F9577" s="4" t="n">
        <v>212135</v>
      </c>
    </row>
    <row r="9578">
      <c r="A9578" s="3" t="inlineStr">
        <is>
          <t>3</t>
        </is>
      </c>
      <c r="B9578" s="3" t="inlineStr">
        <is>
          <t>Kepala Tukang</t>
        </is>
      </c>
      <c r="C9578" s="3" t="inlineStr">
        <is>
          <t>OH</t>
        </is>
      </c>
      <c r="D9578" s="15" t="n">
        <v>0.146</v>
      </c>
      <c r="E9578" s="4" t="n">
        <v>175000</v>
      </c>
      <c r="F9578" s="4" t="n">
        <v>25550</v>
      </c>
    </row>
    <row r="9579">
      <c r="A9579" s="3" t="inlineStr">
        <is>
          <t>4</t>
        </is>
      </c>
      <c r="B9579" s="3" t="inlineStr">
        <is>
          <t>Mandor</t>
        </is>
      </c>
      <c r="C9579" s="3" t="inlineStr">
        <is>
          <t>OH</t>
        </is>
      </c>
      <c r="D9579" s="15" t="n">
        <v>0.049</v>
      </c>
      <c r="E9579" s="4" t="n">
        <v>200000</v>
      </c>
      <c r="F9579" s="4" t="n">
        <v>9800</v>
      </c>
    </row>
    <row r="9580">
      <c r="A9580" s="3" t="inlineStr">
        <is>
          <t>1</t>
        </is>
      </c>
      <c r="B9580" s="3" t="inlineStr">
        <is>
          <t>"Server / Gateway c/w PC Monitor Keyboard Mouse"</t>
        </is>
      </c>
      <c r="C9580" s="3" t="inlineStr">
        <is>
          <t>Unit</t>
        </is>
      </c>
      <c r="D9580" s="15" t="n">
        <v>1.05</v>
      </c>
      <c r="E9580" s="4" t="n">
        <v>6500000</v>
      </c>
      <c r="F9580" s="4" t="n">
        <v>6825000</v>
      </c>
    </row>
    <row r="9581">
      <c r="D9581" s="2" t="inlineStr">
        <is>
          <t>SUBTOTAL UPAH</t>
        </is>
      </c>
      <c r="F9581" s="16" t="n">
        <v>335085</v>
      </c>
    </row>
    <row r="9582">
      <c r="D9582" s="2" t="inlineStr">
        <is>
          <t>SUBTOTAL BAHAN</t>
        </is>
      </c>
      <c r="F9582" s="16" t="n">
        <v>6825000</v>
      </c>
    </row>
    <row r="9583">
      <c r="D9583" s="2" t="inlineStr">
        <is>
          <t>SUBTOTAL ALAT</t>
        </is>
      </c>
      <c r="F9583" s="16" t="n">
        <v>0</v>
      </c>
    </row>
    <row r="9584">
      <c r="E9584" s="2" t="inlineStr">
        <is>
          <t>TOTAL HARGA SATUAN (Inc. Overhead)</t>
        </is>
      </c>
      <c r="F9584" s="17" t="n">
        <v>7876093</v>
      </c>
    </row>
    <row r="9586">
      <c r="A9586" s="14" t="inlineStr">
        <is>
          <t>KODE: 5.4.5.2 - Pemasangan 1 Unit Main Switch HUB 24 Port</t>
        </is>
      </c>
    </row>
    <row r="9587">
      <c r="A9587" s="10" t="inlineStr">
        <is>
          <t>No</t>
        </is>
      </c>
      <c r="B9587" s="10" t="inlineStr">
        <is>
          <t>Uraian Komponen</t>
        </is>
      </c>
      <c r="C9587" s="10" t="inlineStr">
        <is>
          <t>Satuan</t>
        </is>
      </c>
      <c r="D9587" s="10" t="inlineStr">
        <is>
          <t>Koef</t>
        </is>
      </c>
      <c r="E9587" s="10" t="inlineStr">
        <is>
          <t>Harga Satuan (Rp)</t>
        </is>
      </c>
      <c r="F9587" s="10" t="inlineStr">
        <is>
          <t>Jumlah Harga (Rp)</t>
        </is>
      </c>
    </row>
    <row r="9588">
      <c r="A9588" s="3" t="inlineStr">
        <is>
          <t>1</t>
        </is>
      </c>
      <c r="B9588" s="3" t="inlineStr">
        <is>
          <t>Pekerja</t>
        </is>
      </c>
      <c r="C9588" s="3" t="inlineStr">
        <is>
          <t>OH</t>
        </is>
      </c>
      <c r="D9588" s="15" t="n">
        <v>0.76</v>
      </c>
      <c r="E9588" s="4" t="n">
        <v>100000</v>
      </c>
      <c r="F9588" s="4" t="n">
        <v>76000</v>
      </c>
    </row>
    <row r="9589">
      <c r="A9589" s="3" t="inlineStr">
        <is>
          <t>2</t>
        </is>
      </c>
      <c r="B9589" s="3" t="inlineStr">
        <is>
          <t>Tukang listrik</t>
        </is>
      </c>
      <c r="C9589" s="3" t="inlineStr">
        <is>
          <t>OH</t>
        </is>
      </c>
      <c r="D9589" s="15" t="n">
        <v>1.268</v>
      </c>
      <c r="E9589" s="4" t="n">
        <v>145000</v>
      </c>
      <c r="F9589" s="4" t="n">
        <v>183860</v>
      </c>
    </row>
    <row r="9590">
      <c r="A9590" s="3" t="inlineStr">
        <is>
          <t>3</t>
        </is>
      </c>
      <c r="B9590" s="3" t="inlineStr">
        <is>
          <t>Kepala Tukang</t>
        </is>
      </c>
      <c r="C9590" s="3" t="inlineStr">
        <is>
          <t>OH</t>
        </is>
      </c>
      <c r="D9590" s="15" t="n">
        <v>0.127</v>
      </c>
      <c r="E9590" s="4" t="n">
        <v>175000</v>
      </c>
      <c r="F9590" s="4" t="n">
        <v>22225</v>
      </c>
    </row>
    <row r="9591">
      <c r="A9591" s="3" t="inlineStr">
        <is>
          <t>4</t>
        </is>
      </c>
      <c r="B9591" s="3" t="inlineStr">
        <is>
          <t>Mandor</t>
        </is>
      </c>
      <c r="C9591" s="3" t="inlineStr">
        <is>
          <t>OH</t>
        </is>
      </c>
      <c r="D9591" s="15" t="n">
        <v>0.042</v>
      </c>
      <c r="E9591" s="4" t="n">
        <v>200000</v>
      </c>
      <c r="F9591" s="4" t="n">
        <v>8400</v>
      </c>
    </row>
    <row r="9592">
      <c r="A9592" s="3" t="inlineStr">
        <is>
          <t>1</t>
        </is>
      </c>
      <c r="B9592" s="3" t="inlineStr">
        <is>
          <t>Main Switch HUB 24 Port</t>
        </is>
      </c>
      <c r="C9592" s="3" t="inlineStr">
        <is>
          <t>Unit</t>
        </is>
      </c>
      <c r="D9592" s="15" t="n">
        <v>1.05</v>
      </c>
      <c r="E9592" s="4" t="n">
        <v>950000</v>
      </c>
      <c r="F9592" s="4" t="n">
        <v>997500</v>
      </c>
    </row>
    <row r="9593">
      <c r="D9593" s="2" t="inlineStr">
        <is>
          <t>SUBTOTAL UPAH</t>
        </is>
      </c>
      <c r="F9593" s="16" t="n">
        <v>290485</v>
      </c>
    </row>
    <row r="9594">
      <c r="D9594" s="2" t="inlineStr">
        <is>
          <t>SUBTOTAL BAHAN</t>
        </is>
      </c>
      <c r="F9594" s="16" t="n">
        <v>997500</v>
      </c>
    </row>
    <row r="9595">
      <c r="D9595" s="2" t="inlineStr">
        <is>
          <t>SUBTOTAL ALAT</t>
        </is>
      </c>
      <c r="F9595" s="16" t="n">
        <v>0</v>
      </c>
    </row>
    <row r="9596">
      <c r="E9596" s="2" t="inlineStr">
        <is>
          <t>TOTAL HARGA SATUAN (Inc. Overhead)</t>
        </is>
      </c>
      <c r="F9596" s="17" t="n">
        <v>1416783</v>
      </c>
    </row>
    <row r="9598">
      <c r="A9598" s="14" t="inlineStr">
        <is>
          <t>KODE: 5.4.5.3 - Pemasangan 1 Unit Main Switch HUB 12 Port</t>
        </is>
      </c>
    </row>
    <row r="9599">
      <c r="A9599" s="10" t="inlineStr">
        <is>
          <t>No</t>
        </is>
      </c>
      <c r="B9599" s="10" t="inlineStr">
        <is>
          <t>Uraian Komponen</t>
        </is>
      </c>
      <c r="C9599" s="10" t="inlineStr">
        <is>
          <t>Satuan</t>
        </is>
      </c>
      <c r="D9599" s="10" t="inlineStr">
        <is>
          <t>Koef</t>
        </is>
      </c>
      <c r="E9599" s="10" t="inlineStr">
        <is>
          <t>Harga Satuan (Rp)</t>
        </is>
      </c>
      <c r="F9599" s="10" t="inlineStr">
        <is>
          <t>Jumlah Harga (Rp)</t>
        </is>
      </c>
    </row>
    <row r="9600">
      <c r="A9600" s="3" t="inlineStr">
        <is>
          <t>1</t>
        </is>
      </c>
      <c r="B9600" s="3" t="inlineStr">
        <is>
          <t>Pekerja</t>
        </is>
      </c>
      <c r="C9600" s="3" t="inlineStr">
        <is>
          <t>OH</t>
        </is>
      </c>
      <c r="D9600" s="15" t="n">
        <v>0.76</v>
      </c>
      <c r="E9600" s="4" t="n">
        <v>100000</v>
      </c>
      <c r="F9600" s="4" t="n">
        <v>76000</v>
      </c>
    </row>
    <row r="9601">
      <c r="A9601" s="3" t="inlineStr">
        <is>
          <t>2</t>
        </is>
      </c>
      <c r="B9601" s="3" t="inlineStr">
        <is>
          <t>Tukang listrik</t>
        </is>
      </c>
      <c r="C9601" s="3" t="inlineStr">
        <is>
          <t>OH</t>
        </is>
      </c>
      <c r="D9601" s="15" t="n">
        <v>1.268</v>
      </c>
      <c r="E9601" s="4" t="n">
        <v>145000</v>
      </c>
      <c r="F9601" s="4" t="n">
        <v>183860</v>
      </c>
    </row>
    <row r="9602">
      <c r="A9602" s="3" t="inlineStr">
        <is>
          <t>3</t>
        </is>
      </c>
      <c r="B9602" s="3" t="inlineStr">
        <is>
          <t>Kepala Tukang</t>
        </is>
      </c>
      <c r="C9602" s="3" t="inlineStr">
        <is>
          <t>OH</t>
        </is>
      </c>
      <c r="D9602" s="15" t="n">
        <v>0.127</v>
      </c>
      <c r="E9602" s="4" t="n">
        <v>175000</v>
      </c>
      <c r="F9602" s="4" t="n">
        <v>22225</v>
      </c>
    </row>
    <row r="9603">
      <c r="A9603" s="3" t="inlineStr">
        <is>
          <t>4</t>
        </is>
      </c>
      <c r="B9603" s="3" t="inlineStr">
        <is>
          <t>Mandor</t>
        </is>
      </c>
      <c r="C9603" s="3" t="inlineStr">
        <is>
          <t>OH</t>
        </is>
      </c>
      <c r="D9603" s="15" t="n">
        <v>0.042</v>
      </c>
      <c r="E9603" s="4" t="n">
        <v>200000</v>
      </c>
      <c r="F9603" s="4" t="n">
        <v>8400</v>
      </c>
    </row>
    <row r="9604">
      <c r="A9604" s="3" t="inlineStr">
        <is>
          <t>1</t>
        </is>
      </c>
      <c r="B9604" s="3" t="inlineStr">
        <is>
          <t>Main Switch HUB 12 Port</t>
        </is>
      </c>
      <c r="C9604" s="3" t="inlineStr">
        <is>
          <t>Unit</t>
        </is>
      </c>
      <c r="D9604" s="15" t="n">
        <v>1.05</v>
      </c>
      <c r="E9604" s="4" t="n">
        <v>650000</v>
      </c>
      <c r="F9604" s="4" t="n">
        <v>682500</v>
      </c>
    </row>
    <row r="9605">
      <c r="D9605" s="2" t="inlineStr">
        <is>
          <t>SUBTOTAL UPAH</t>
        </is>
      </c>
      <c r="F9605" s="16" t="n">
        <v>290485</v>
      </c>
    </row>
    <row r="9606">
      <c r="D9606" s="2" t="inlineStr">
        <is>
          <t>SUBTOTAL BAHAN</t>
        </is>
      </c>
      <c r="F9606" s="16" t="n">
        <v>682500</v>
      </c>
    </row>
    <row r="9607">
      <c r="D9607" s="2" t="inlineStr">
        <is>
          <t>SUBTOTAL ALAT</t>
        </is>
      </c>
      <c r="F9607" s="16" t="n">
        <v>0</v>
      </c>
    </row>
    <row r="9608">
      <c r="E9608" s="2" t="inlineStr">
        <is>
          <t>TOTAL HARGA SATUAN (Inc. Overhead)</t>
        </is>
      </c>
      <c r="F9608" s="17" t="n">
        <v>1070283</v>
      </c>
    </row>
    <row r="9610">
      <c r="A9610" s="14" t="inlineStr">
        <is>
          <t>KODE: 5.4.5.4 - Pemasangan 1 Unit Router Broadband</t>
        </is>
      </c>
    </row>
    <row r="9611">
      <c r="A9611" s="10" t="inlineStr">
        <is>
          <t>No</t>
        </is>
      </c>
      <c r="B9611" s="10" t="inlineStr">
        <is>
          <t>Uraian Komponen</t>
        </is>
      </c>
      <c r="C9611" s="10" t="inlineStr">
        <is>
          <t>Satuan</t>
        </is>
      </c>
      <c r="D9611" s="10" t="inlineStr">
        <is>
          <t>Koef</t>
        </is>
      </c>
      <c r="E9611" s="10" t="inlineStr">
        <is>
          <t>Harga Satuan (Rp)</t>
        </is>
      </c>
      <c r="F9611" s="10" t="inlineStr">
        <is>
          <t>Jumlah Harga (Rp)</t>
        </is>
      </c>
    </row>
    <row r="9612">
      <c r="A9612" s="3" t="inlineStr">
        <is>
          <t>1</t>
        </is>
      </c>
      <c r="B9612" s="3" t="inlineStr">
        <is>
          <t>Pekerja</t>
        </is>
      </c>
      <c r="C9612" s="3" t="inlineStr">
        <is>
          <t>OH</t>
        </is>
      </c>
      <c r="D9612" s="15" t="n">
        <v>0.19</v>
      </c>
      <c r="E9612" s="4" t="n">
        <v>100000</v>
      </c>
      <c r="F9612" s="4" t="n">
        <v>19000</v>
      </c>
    </row>
    <row r="9613">
      <c r="A9613" s="3" t="inlineStr">
        <is>
          <t>2</t>
        </is>
      </c>
      <c r="B9613" s="3" t="inlineStr">
        <is>
          <t>Tukang listrik</t>
        </is>
      </c>
      <c r="C9613" s="3" t="inlineStr">
        <is>
          <t>OH</t>
        </is>
      </c>
      <c r="D9613" s="15" t="n">
        <v>0.318</v>
      </c>
      <c r="E9613" s="4" t="n">
        <v>145000</v>
      </c>
      <c r="F9613" s="4" t="n">
        <v>46110</v>
      </c>
    </row>
    <row r="9614">
      <c r="A9614" s="3" t="inlineStr">
        <is>
          <t>3</t>
        </is>
      </c>
      <c r="B9614" s="3" t="inlineStr">
        <is>
          <t>Kepala Tukang</t>
        </is>
      </c>
      <c r="C9614" s="3" t="inlineStr">
        <is>
          <t>OH</t>
        </is>
      </c>
      <c r="D9614" s="15" t="n">
        <v>0.032</v>
      </c>
      <c r="E9614" s="4" t="n">
        <v>175000</v>
      </c>
      <c r="F9614" s="4" t="n">
        <v>5600</v>
      </c>
    </row>
    <row r="9615">
      <c r="A9615" s="3" t="inlineStr">
        <is>
          <t>4</t>
        </is>
      </c>
      <c r="B9615" s="3" t="inlineStr">
        <is>
          <t>Mandor</t>
        </is>
      </c>
      <c r="C9615" s="3" t="inlineStr">
        <is>
          <t>OH</t>
        </is>
      </c>
      <c r="D9615" s="15" t="n">
        <v>0.011</v>
      </c>
      <c r="E9615" s="4" t="n">
        <v>200000</v>
      </c>
      <c r="F9615" s="4" t="n">
        <v>2200</v>
      </c>
    </row>
    <row r="9616">
      <c r="A9616" s="3" t="inlineStr">
        <is>
          <t>1</t>
        </is>
      </c>
      <c r="B9616" s="3" t="inlineStr">
        <is>
          <t>Router Broadband</t>
        </is>
      </c>
      <c r="C9616" s="3" t="inlineStr">
        <is>
          <t>Unit</t>
        </is>
      </c>
      <c r="D9616" s="15" t="n">
        <v>1.05</v>
      </c>
      <c r="E9616" s="4" t="n">
        <v>550000</v>
      </c>
      <c r="F9616" s="4" t="n">
        <v>577500</v>
      </c>
    </row>
    <row r="9617">
      <c r="D9617" s="2" t="inlineStr">
        <is>
          <t>SUBTOTAL UPAH</t>
        </is>
      </c>
      <c r="F9617" s="16" t="n">
        <v>72910</v>
      </c>
    </row>
    <row r="9618">
      <c r="D9618" s="2" t="inlineStr">
        <is>
          <t>SUBTOTAL BAHAN</t>
        </is>
      </c>
      <c r="F9618" s="16" t="n">
        <v>577500</v>
      </c>
    </row>
    <row r="9619">
      <c r="D9619" s="2" t="inlineStr">
        <is>
          <t>SUBTOTAL ALAT</t>
        </is>
      </c>
      <c r="F9619" s="16" t="n">
        <v>0</v>
      </c>
    </row>
    <row r="9620">
      <c r="E9620" s="2" t="inlineStr">
        <is>
          <t>TOTAL HARGA SATUAN (Inc. Overhead)</t>
        </is>
      </c>
      <c r="F9620" s="17" t="n">
        <v>715451</v>
      </c>
    </row>
    <row r="9622">
      <c r="A9622" s="14" t="inlineStr">
        <is>
          <t>KODE: 5.4.5.5 - Pemasangan 1 Unit Fire Wall + Anti Virus</t>
        </is>
      </c>
    </row>
    <row r="9623">
      <c r="A9623" s="10" t="inlineStr">
        <is>
          <t>No</t>
        </is>
      </c>
      <c r="B9623" s="10" t="inlineStr">
        <is>
          <t>Uraian Komponen</t>
        </is>
      </c>
      <c r="C9623" s="10" t="inlineStr">
        <is>
          <t>Satuan</t>
        </is>
      </c>
      <c r="D9623" s="10" t="inlineStr">
        <is>
          <t>Koef</t>
        </is>
      </c>
      <c r="E9623" s="10" t="inlineStr">
        <is>
          <t>Harga Satuan (Rp)</t>
        </is>
      </c>
      <c r="F9623" s="10" t="inlineStr">
        <is>
          <t>Jumlah Harga (Rp)</t>
        </is>
      </c>
    </row>
    <row r="9624">
      <c r="A9624" s="3" t="inlineStr">
        <is>
          <t>1</t>
        </is>
      </c>
      <c r="B9624" s="3" t="inlineStr">
        <is>
          <t>Pekerja</t>
        </is>
      </c>
      <c r="C9624" s="3" t="inlineStr">
        <is>
          <t>OH</t>
        </is>
      </c>
      <c r="D9624" s="15" t="n">
        <v>0.312</v>
      </c>
      <c r="E9624" s="4" t="n">
        <v>100000</v>
      </c>
      <c r="F9624" s="4" t="n">
        <v>31200</v>
      </c>
    </row>
    <row r="9625">
      <c r="A9625" s="3" t="inlineStr">
        <is>
          <t>2</t>
        </is>
      </c>
      <c r="B9625" s="3" t="inlineStr">
        <is>
          <t>Tukang listrik</t>
        </is>
      </c>
      <c r="C9625" s="3" t="inlineStr">
        <is>
          <t>OH</t>
        </is>
      </c>
      <c r="D9625" s="15" t="n">
        <v>0.521</v>
      </c>
      <c r="E9625" s="4" t="n">
        <v>145000</v>
      </c>
      <c r="F9625" s="4" t="n">
        <v>75545</v>
      </c>
    </row>
    <row r="9626">
      <c r="A9626" s="3" t="inlineStr">
        <is>
          <t>3</t>
        </is>
      </c>
      <c r="B9626" s="3" t="inlineStr">
        <is>
          <t>Kepala Tukang</t>
        </is>
      </c>
      <c r="C9626" s="3" t="inlineStr">
        <is>
          <t>OH</t>
        </is>
      </c>
      <c r="D9626" s="15" t="n">
        <v>0.052</v>
      </c>
      <c r="E9626" s="4" t="n">
        <v>175000</v>
      </c>
      <c r="F9626" s="4" t="n">
        <v>9100</v>
      </c>
    </row>
    <row r="9627">
      <c r="A9627" s="3" t="inlineStr">
        <is>
          <t>4</t>
        </is>
      </c>
      <c r="B9627" s="3" t="inlineStr">
        <is>
          <t>Mandor</t>
        </is>
      </c>
      <c r="C9627" s="3" t="inlineStr">
        <is>
          <t>OH</t>
        </is>
      </c>
      <c r="D9627" s="15" t="n">
        <v>0.017</v>
      </c>
      <c r="E9627" s="4" t="n">
        <v>200000</v>
      </c>
      <c r="F9627" s="4" t="n">
        <v>3400</v>
      </c>
    </row>
    <row r="9628">
      <c r="A9628" s="3" t="inlineStr">
        <is>
          <t>1</t>
        </is>
      </c>
      <c r="B9628" s="3" t="inlineStr">
        <is>
          <t>Fire Wall + Anti Virus</t>
        </is>
      </c>
      <c r="C9628" s="3" t="inlineStr">
        <is>
          <t>Unit</t>
        </is>
      </c>
      <c r="D9628" s="15" t="n">
        <v>1.05</v>
      </c>
      <c r="E9628" s="4" t="n">
        <v>250000</v>
      </c>
      <c r="F9628" s="4" t="n">
        <v>262500</v>
      </c>
    </row>
    <row r="9629">
      <c r="D9629" s="2" t="inlineStr">
        <is>
          <t>SUBTOTAL UPAH</t>
        </is>
      </c>
      <c r="F9629" s="16" t="n">
        <v>119245</v>
      </c>
    </row>
    <row r="9630">
      <c r="D9630" s="2" t="inlineStr">
        <is>
          <t>SUBTOTAL BAHAN</t>
        </is>
      </c>
      <c r="F9630" s="16" t="n">
        <v>262500</v>
      </c>
    </row>
    <row r="9631">
      <c r="D9631" s="2" t="inlineStr">
        <is>
          <t>SUBTOTAL ALAT</t>
        </is>
      </c>
      <c r="F9631" s="16" t="n">
        <v>0</v>
      </c>
    </row>
    <row r="9632">
      <c r="E9632" s="2" t="inlineStr">
        <is>
          <t>TOTAL HARGA SATUAN (Inc. Overhead)</t>
        </is>
      </c>
      <c r="F9632" s="17" t="n">
        <v>419919</v>
      </c>
    </row>
    <row r="9634">
      <c r="A9634" s="14" t="inlineStr">
        <is>
          <t>KODE: 5.4.5.6 - Pemasangan 1 Unit  Outlet Data</t>
        </is>
      </c>
    </row>
    <row r="9635">
      <c r="A9635" s="10" t="inlineStr">
        <is>
          <t>No</t>
        </is>
      </c>
      <c r="B9635" s="10" t="inlineStr">
        <is>
          <t>Uraian Komponen</t>
        </is>
      </c>
      <c r="C9635" s="10" t="inlineStr">
        <is>
          <t>Satuan</t>
        </is>
      </c>
      <c r="D9635" s="10" t="inlineStr">
        <is>
          <t>Koef</t>
        </is>
      </c>
      <c r="E9635" s="10" t="inlineStr">
        <is>
          <t>Harga Satuan (Rp)</t>
        </is>
      </c>
      <c r="F9635" s="10" t="inlineStr">
        <is>
          <t>Jumlah Harga (Rp)</t>
        </is>
      </c>
    </row>
    <row r="9636">
      <c r="A9636" s="3" t="inlineStr">
        <is>
          <t>1</t>
        </is>
      </c>
      <c r="B9636" s="3" t="inlineStr">
        <is>
          <t>Pekerja</t>
        </is>
      </c>
      <c r="C9636" s="3" t="inlineStr">
        <is>
          <t>OH</t>
        </is>
      </c>
      <c r="D9636" s="15" t="n">
        <v>0.052</v>
      </c>
      <c r="E9636" s="4" t="n">
        <v>100000</v>
      </c>
      <c r="F9636" s="4" t="n">
        <v>5200</v>
      </c>
    </row>
    <row r="9637">
      <c r="A9637" s="3" t="inlineStr">
        <is>
          <t>2</t>
        </is>
      </c>
      <c r="B9637" s="3" t="inlineStr">
        <is>
          <t>Tukang listrik</t>
        </is>
      </c>
      <c r="C9637" s="3" t="inlineStr">
        <is>
          <t>OH</t>
        </is>
      </c>
      <c r="D9637" s="15" t="n">
        <v>0.08699999999999999</v>
      </c>
      <c r="E9637" s="4" t="n">
        <v>145000</v>
      </c>
      <c r="F9637" s="4" t="n">
        <v>12615</v>
      </c>
    </row>
    <row r="9638">
      <c r="A9638" s="3" t="inlineStr">
        <is>
          <t>3</t>
        </is>
      </c>
      <c r="B9638" s="3" t="inlineStr">
        <is>
          <t>Kepala Tukang</t>
        </is>
      </c>
      <c r="C9638" s="3" t="inlineStr">
        <is>
          <t>OH</t>
        </is>
      </c>
      <c r="D9638" s="15" t="n">
        <v>0.008999999999999999</v>
      </c>
      <c r="E9638" s="4" t="n">
        <v>175000</v>
      </c>
      <c r="F9638" s="4" t="n">
        <v>1575</v>
      </c>
    </row>
    <row r="9639">
      <c r="A9639" s="3" t="inlineStr">
        <is>
          <t>4</t>
        </is>
      </c>
      <c r="B9639" s="3" t="inlineStr">
        <is>
          <t>Mandor</t>
        </is>
      </c>
      <c r="C9639" s="3" t="inlineStr">
        <is>
          <t>OH</t>
        </is>
      </c>
      <c r="D9639" s="15" t="n">
        <v>0.003</v>
      </c>
      <c r="E9639" s="4" t="n">
        <v>200000</v>
      </c>
      <c r="F9639" s="4" t="n">
        <v>600</v>
      </c>
    </row>
    <row r="9640">
      <c r="A9640" s="3" t="inlineStr">
        <is>
          <t>1</t>
        </is>
      </c>
      <c r="B9640" s="3" t="inlineStr">
        <is>
          <t>Outlet Data</t>
        </is>
      </c>
      <c r="C9640" s="3" t="inlineStr">
        <is>
          <t>Unit</t>
        </is>
      </c>
      <c r="D9640" s="15" t="n">
        <v>1.05</v>
      </c>
      <c r="E9640" s="4" t="n">
        <v>150000</v>
      </c>
      <c r="F9640" s="4" t="n">
        <v>157500</v>
      </c>
    </row>
    <row r="9641">
      <c r="D9641" s="2" t="inlineStr">
        <is>
          <t>SUBTOTAL UPAH</t>
        </is>
      </c>
      <c r="F9641" s="16" t="n">
        <v>19990</v>
      </c>
    </row>
    <row r="9642">
      <c r="D9642" s="2" t="inlineStr">
        <is>
          <t>SUBTOTAL BAHAN</t>
        </is>
      </c>
      <c r="F9642" s="16" t="n">
        <v>157500</v>
      </c>
    </row>
    <row r="9643">
      <c r="D9643" s="2" t="inlineStr">
        <is>
          <t>SUBTOTAL ALAT</t>
        </is>
      </c>
      <c r="F9643" s="16" t="n">
        <v>0</v>
      </c>
    </row>
    <row r="9644">
      <c r="E9644" s="2" t="inlineStr">
        <is>
          <t>TOTAL HARGA SATUAN (Inc. Overhead)</t>
        </is>
      </c>
      <c r="F9644" s="17" t="n">
        <v>195239</v>
      </c>
    </row>
    <row r="9646">
      <c r="A9646" s="14" t="inlineStr">
        <is>
          <t>KODE: 5.4.5.7 - Pemasangan 1 Titik Instalasi Outlet Data</t>
        </is>
      </c>
    </row>
    <row r="9647">
      <c r="A9647" s="10" t="inlineStr">
        <is>
          <t>No</t>
        </is>
      </c>
      <c r="B9647" s="10" t="inlineStr">
        <is>
          <t>Uraian Komponen</t>
        </is>
      </c>
      <c r="C9647" s="10" t="inlineStr">
        <is>
          <t>Satuan</t>
        </is>
      </c>
      <c r="D9647" s="10" t="inlineStr">
        <is>
          <t>Koef</t>
        </is>
      </c>
      <c r="E9647" s="10" t="inlineStr">
        <is>
          <t>Harga Satuan (Rp)</t>
        </is>
      </c>
      <c r="F9647" s="10" t="inlineStr">
        <is>
          <t>Jumlah Harga (Rp)</t>
        </is>
      </c>
    </row>
    <row r="9648">
      <c r="A9648" s="3" t="inlineStr">
        <is>
          <t>1</t>
        </is>
      </c>
      <c r="B9648" s="3" t="inlineStr">
        <is>
          <t>Pekerja</t>
        </is>
      </c>
      <c r="C9648" s="3" t="inlineStr">
        <is>
          <t>OH</t>
        </is>
      </c>
      <c r="D9648" s="15" t="n">
        <v>0.052</v>
      </c>
      <c r="E9648" s="4" t="n">
        <v>100000</v>
      </c>
      <c r="F9648" s="4" t="n">
        <v>5200</v>
      </c>
    </row>
    <row r="9649">
      <c r="A9649" s="3" t="inlineStr">
        <is>
          <t>2</t>
        </is>
      </c>
      <c r="B9649" s="3" t="inlineStr">
        <is>
          <t>Tukang listrik</t>
        </is>
      </c>
      <c r="C9649" s="3" t="inlineStr">
        <is>
          <t>OH</t>
        </is>
      </c>
      <c r="D9649" s="15" t="n">
        <v>0.08699999999999999</v>
      </c>
      <c r="E9649" s="4" t="n">
        <v>145000</v>
      </c>
      <c r="F9649" s="4" t="n">
        <v>12615</v>
      </c>
    </row>
    <row r="9650">
      <c r="A9650" s="3" t="inlineStr">
        <is>
          <t>3</t>
        </is>
      </c>
      <c r="B9650" s="3" t="inlineStr">
        <is>
          <t>Kepala Tukang</t>
        </is>
      </c>
      <c r="C9650" s="3" t="inlineStr">
        <is>
          <t>OH</t>
        </is>
      </c>
      <c r="D9650" s="15" t="n">
        <v>0.008999999999999999</v>
      </c>
      <c r="E9650" s="4" t="n">
        <v>175000</v>
      </c>
      <c r="F9650" s="4" t="n">
        <v>1575</v>
      </c>
    </row>
    <row r="9651">
      <c r="A9651" s="3" t="inlineStr">
        <is>
          <t>4</t>
        </is>
      </c>
      <c r="B9651" s="3" t="inlineStr">
        <is>
          <t>Mandor</t>
        </is>
      </c>
      <c r="C9651" s="3" t="inlineStr">
        <is>
          <t>OH</t>
        </is>
      </c>
      <c r="D9651" s="15" t="n">
        <v>0.003</v>
      </c>
      <c r="E9651" s="4" t="n">
        <v>200000</v>
      </c>
      <c r="F9651" s="4" t="n">
        <v>600</v>
      </c>
    </row>
    <row r="9652">
      <c r="A9652" s="3" t="inlineStr">
        <is>
          <t>1</t>
        </is>
      </c>
      <c r="B9652" s="3" t="inlineStr">
        <is>
          <t>Kabel UTP CAT 6</t>
        </is>
      </c>
      <c r="C9652" s="3" t="inlineStr">
        <is>
          <t>m</t>
        </is>
      </c>
      <c r="D9652" s="15" t="n">
        <v>52.8</v>
      </c>
      <c r="E9652" s="4" t="n">
        <v>1500</v>
      </c>
      <c r="F9652" s="4" t="n">
        <v>79200</v>
      </c>
    </row>
    <row r="9653">
      <c r="A9653" s="3" t="inlineStr">
        <is>
          <t>2</t>
        </is>
      </c>
      <c r="B9653" s="3" t="inlineStr">
        <is>
          <t>Conduit HI 20 mm</t>
        </is>
      </c>
      <c r="C9653" s="3" t="inlineStr">
        <is>
          <t>m</t>
        </is>
      </c>
      <c r="D9653" s="15" t="n">
        <v>52.8</v>
      </c>
      <c r="E9653" s="4" t="n">
        <v>4000</v>
      </c>
      <c r="F9653" s="4" t="n">
        <v>211200</v>
      </c>
    </row>
    <row r="9654">
      <c r="A9654" s="3" t="inlineStr">
        <is>
          <t>3</t>
        </is>
      </c>
      <c r="B9654" s="3" t="inlineStr">
        <is>
          <t>T Dus</t>
        </is>
      </c>
      <c r="C9654" s="3" t="inlineStr">
        <is>
          <t>buah</t>
        </is>
      </c>
      <c r="D9654" s="15" t="n">
        <v>1</v>
      </c>
      <c r="E9654" s="4" t="n">
        <v>4000</v>
      </c>
      <c r="F9654" s="4" t="n">
        <v>4000</v>
      </c>
    </row>
    <row r="9655">
      <c r="A9655" s="3" t="inlineStr">
        <is>
          <t>4</t>
        </is>
      </c>
      <c r="B9655" s="3" t="inlineStr">
        <is>
          <t>Socket Conduit 20 mm</t>
        </is>
      </c>
      <c r="C9655" s="3" t="inlineStr">
        <is>
          <t>buah</t>
        </is>
      </c>
      <c r="D9655" s="15" t="n">
        <v>27</v>
      </c>
      <c r="E9655" s="4" t="n">
        <v>700</v>
      </c>
      <c r="F9655" s="4" t="n">
        <v>18900</v>
      </c>
    </row>
    <row r="9656">
      <c r="A9656" s="3" t="inlineStr">
        <is>
          <t>5</t>
        </is>
      </c>
      <c r="B9656" s="3" t="inlineStr">
        <is>
          <t>Klem 20 mm</t>
        </is>
      </c>
      <c r="C9656" s="3" t="inlineStr">
        <is>
          <t>buah</t>
        </is>
      </c>
      <c r="D9656" s="15" t="n">
        <v>54</v>
      </c>
      <c r="E9656" s="4" t="n">
        <v>900</v>
      </c>
      <c r="F9656" s="4" t="n">
        <v>48600</v>
      </c>
    </row>
    <row r="9657">
      <c r="A9657" s="3" t="inlineStr">
        <is>
          <t>6</t>
        </is>
      </c>
      <c r="B9657" s="3" t="inlineStr">
        <is>
          <t>Flexible Conduit 20 mm</t>
        </is>
      </c>
      <c r="C9657" s="3" t="inlineStr">
        <is>
          <t>buah</t>
        </is>
      </c>
      <c r="D9657" s="15" t="n">
        <v>1</v>
      </c>
      <c r="E9657" s="4" t="n">
        <v>5400</v>
      </c>
      <c r="F9657" s="4" t="n">
        <v>5400</v>
      </c>
    </row>
    <row r="9658">
      <c r="A9658" s="3" t="inlineStr">
        <is>
          <t>7</t>
        </is>
      </c>
      <c r="B9658" s="3" t="inlineStr">
        <is>
          <t>Fischer S6 + Sekrup</t>
        </is>
      </c>
      <c r="C9658" s="3" t="inlineStr">
        <is>
          <t>buah</t>
        </is>
      </c>
      <c r="D9658" s="15" t="n">
        <v>81</v>
      </c>
      <c r="E9658" s="4" t="n">
        <v>21.5</v>
      </c>
      <c r="F9658" s="4" t="n">
        <v>1741.5</v>
      </c>
    </row>
    <row r="9659">
      <c r="D9659" s="2" t="inlineStr">
        <is>
          <t>SUBTOTAL UPAH</t>
        </is>
      </c>
      <c r="F9659" s="16" t="n">
        <v>19990</v>
      </c>
    </row>
    <row r="9660">
      <c r="D9660" s="2" t="inlineStr">
        <is>
          <t>SUBTOTAL BAHAN</t>
        </is>
      </c>
      <c r="F9660" s="16" t="n">
        <v>369041.5</v>
      </c>
    </row>
    <row r="9661">
      <c r="D9661" s="2" t="inlineStr">
        <is>
          <t>SUBTOTAL ALAT</t>
        </is>
      </c>
      <c r="F9661" s="16" t="n">
        <v>0</v>
      </c>
    </row>
    <row r="9662">
      <c r="E9662" s="2" t="inlineStr">
        <is>
          <t>TOTAL HARGA SATUAN (Inc. Overhead)</t>
        </is>
      </c>
      <c r="F9662" s="17" t="n">
        <v>427934</v>
      </c>
    </row>
    <row r="9664">
      <c r="A9664" s="14" t="inlineStr">
        <is>
          <t>KODE: 5.4.5.8 - Pemasangan 1 Unit Patch Cord</t>
        </is>
      </c>
    </row>
    <row r="9665">
      <c r="A9665" s="10" t="inlineStr">
        <is>
          <t>No</t>
        </is>
      </c>
      <c r="B9665" s="10" t="inlineStr">
        <is>
          <t>Uraian Komponen</t>
        </is>
      </c>
      <c r="C9665" s="10" t="inlineStr">
        <is>
          <t>Satuan</t>
        </is>
      </c>
      <c r="D9665" s="10" t="inlineStr">
        <is>
          <t>Koef</t>
        </is>
      </c>
      <c r="E9665" s="10" t="inlineStr">
        <is>
          <t>Harga Satuan (Rp)</t>
        </is>
      </c>
      <c r="F9665" s="10" t="inlineStr">
        <is>
          <t>Jumlah Harga (Rp)</t>
        </is>
      </c>
    </row>
    <row r="9666">
      <c r="A9666" s="3" t="inlineStr">
        <is>
          <t>1</t>
        </is>
      </c>
      <c r="B9666" s="3" t="inlineStr">
        <is>
          <t>Pekerja</t>
        </is>
      </c>
      <c r="C9666" s="3" t="inlineStr">
        <is>
          <t>OH</t>
        </is>
      </c>
      <c r="D9666" s="15" t="n">
        <v>0.048</v>
      </c>
      <c r="E9666" s="4" t="n">
        <v>100000</v>
      </c>
      <c r="F9666" s="4" t="n">
        <v>4800</v>
      </c>
    </row>
    <row r="9667">
      <c r="A9667" s="3" t="inlineStr">
        <is>
          <t>2</t>
        </is>
      </c>
      <c r="B9667" s="3" t="inlineStr">
        <is>
          <t>Tukang listrik</t>
        </is>
      </c>
      <c r="C9667" s="3" t="inlineStr">
        <is>
          <t>OH</t>
        </is>
      </c>
      <c r="D9667" s="15" t="n">
        <v>0.08</v>
      </c>
      <c r="E9667" s="4" t="n">
        <v>145000</v>
      </c>
      <c r="F9667" s="4" t="n">
        <v>11600</v>
      </c>
    </row>
    <row r="9668">
      <c r="A9668" s="3" t="inlineStr">
        <is>
          <t>3</t>
        </is>
      </c>
      <c r="B9668" s="3" t="inlineStr">
        <is>
          <t>Kepala Tukang</t>
        </is>
      </c>
      <c r="C9668" s="3" t="inlineStr">
        <is>
          <t>OH</t>
        </is>
      </c>
      <c r="D9668" s="15" t="n">
        <v>0.008</v>
      </c>
      <c r="E9668" s="4" t="n">
        <v>175000</v>
      </c>
      <c r="F9668" s="4" t="n">
        <v>1400</v>
      </c>
    </row>
    <row r="9669">
      <c r="A9669" s="3" t="inlineStr">
        <is>
          <t>4</t>
        </is>
      </c>
      <c r="B9669" s="3" t="inlineStr">
        <is>
          <t>Mandor</t>
        </is>
      </c>
      <c r="C9669" s="3" t="inlineStr">
        <is>
          <t>OH</t>
        </is>
      </c>
      <c r="D9669" s="15" t="n">
        <v>0.003</v>
      </c>
      <c r="E9669" s="4" t="n">
        <v>200000</v>
      </c>
      <c r="F9669" s="4" t="n">
        <v>600</v>
      </c>
    </row>
    <row r="9670">
      <c r="A9670" s="3" t="inlineStr">
        <is>
          <t>1</t>
        </is>
      </c>
      <c r="B9670" s="3" t="inlineStr">
        <is>
          <t>Patch Cord</t>
        </is>
      </c>
      <c r="C9670" s="3" t="inlineStr">
        <is>
          <t>unit</t>
        </is>
      </c>
      <c r="D9670" s="15" t="n">
        <v>1.05</v>
      </c>
      <c r="E9670" s="4" t="n">
        <v>30000</v>
      </c>
      <c r="F9670" s="4" t="n">
        <v>31500</v>
      </c>
    </row>
    <row r="9671">
      <c r="D9671" s="2" t="inlineStr">
        <is>
          <t>SUBTOTAL UPAH</t>
        </is>
      </c>
      <c r="F9671" s="16" t="n">
        <v>18400</v>
      </c>
    </row>
    <row r="9672">
      <c r="D9672" s="2" t="inlineStr">
        <is>
          <t>SUBTOTAL BAHAN</t>
        </is>
      </c>
      <c r="F9672" s="16" t="n">
        <v>31500</v>
      </c>
    </row>
    <row r="9673">
      <c r="D9673" s="2" t="inlineStr">
        <is>
          <t>SUBTOTAL ALAT</t>
        </is>
      </c>
      <c r="F9673" s="16" t="n">
        <v>0</v>
      </c>
    </row>
    <row r="9674">
      <c r="E9674" s="2" t="inlineStr">
        <is>
          <t>TOTAL HARGA SATUAN (Inc. Overhead)</t>
        </is>
      </c>
      <c r="F9674" s="17" t="n">
        <v>54890</v>
      </c>
    </row>
    <row r="9676">
      <c r="A9676" s="14" t="inlineStr">
        <is>
          <t>KODE: 5.4.5.9 - Pemasangan 1 Unit Patch  Panel 24 Port</t>
        </is>
      </c>
    </row>
    <row r="9677">
      <c r="A9677" s="10" t="inlineStr">
        <is>
          <t>No</t>
        </is>
      </c>
      <c r="B9677" s="10" t="inlineStr">
        <is>
          <t>Uraian Komponen</t>
        </is>
      </c>
      <c r="C9677" s="10" t="inlineStr">
        <is>
          <t>Satuan</t>
        </is>
      </c>
      <c r="D9677" s="10" t="inlineStr">
        <is>
          <t>Koef</t>
        </is>
      </c>
      <c r="E9677" s="10" t="inlineStr">
        <is>
          <t>Harga Satuan (Rp)</t>
        </is>
      </c>
      <c r="F9677" s="10" t="inlineStr">
        <is>
          <t>Jumlah Harga (Rp)</t>
        </is>
      </c>
    </row>
    <row r="9678">
      <c r="A9678" s="3" t="inlineStr">
        <is>
          <t>1</t>
        </is>
      </c>
      <c r="B9678" s="3" t="inlineStr">
        <is>
          <t>Pekerja</t>
        </is>
      </c>
      <c r="C9678" s="3" t="inlineStr">
        <is>
          <t>OH</t>
        </is>
      </c>
      <c r="D9678" s="15" t="n">
        <v>0.317</v>
      </c>
      <c r="E9678" s="4" t="n">
        <v>100000</v>
      </c>
      <c r="F9678" s="4" t="n">
        <v>31700</v>
      </c>
    </row>
    <row r="9679">
      <c r="A9679" s="3" t="inlineStr">
        <is>
          <t>2</t>
        </is>
      </c>
      <c r="B9679" s="3" t="inlineStr">
        <is>
          <t>Tukang listrik</t>
        </is>
      </c>
      <c r="C9679" s="3" t="inlineStr">
        <is>
          <t>OH</t>
        </is>
      </c>
      <c r="D9679" s="15" t="n">
        <v>0.529</v>
      </c>
      <c r="E9679" s="4" t="n">
        <v>145000</v>
      </c>
      <c r="F9679" s="4" t="n">
        <v>76705</v>
      </c>
    </row>
    <row r="9680">
      <c r="A9680" s="3" t="inlineStr">
        <is>
          <t>3</t>
        </is>
      </c>
      <c r="B9680" s="3" t="inlineStr">
        <is>
          <t>Kepala Tukang</t>
        </is>
      </c>
      <c r="C9680" s="3" t="inlineStr">
        <is>
          <t>OH</t>
        </is>
      </c>
      <c r="D9680" s="15" t="n">
        <v>0.053</v>
      </c>
      <c r="E9680" s="4" t="n">
        <v>175000</v>
      </c>
      <c r="F9680" s="4" t="n">
        <v>9275</v>
      </c>
    </row>
    <row r="9681">
      <c r="A9681" s="3" t="inlineStr">
        <is>
          <t>4</t>
        </is>
      </c>
      <c r="B9681" s="3" t="inlineStr">
        <is>
          <t>Mandor</t>
        </is>
      </c>
      <c r="C9681" s="3" t="inlineStr">
        <is>
          <t>OH</t>
        </is>
      </c>
      <c r="D9681" s="15" t="n">
        <v>0.018</v>
      </c>
      <c r="E9681" s="4" t="n">
        <v>200000</v>
      </c>
      <c r="F9681" s="4" t="n">
        <v>3600</v>
      </c>
    </row>
    <row r="9682">
      <c r="A9682" s="3" t="inlineStr">
        <is>
          <t>1</t>
        </is>
      </c>
      <c r="B9682" s="3" t="inlineStr">
        <is>
          <t>Patch Panel 24 Port</t>
        </is>
      </c>
      <c r="C9682" s="3" t="inlineStr">
        <is>
          <t>unit</t>
        </is>
      </c>
      <c r="D9682" s="15" t="n">
        <v>1.05</v>
      </c>
      <c r="E9682" s="4" t="n">
        <v>500000</v>
      </c>
      <c r="F9682" s="4" t="n">
        <v>525000</v>
      </c>
    </row>
    <row r="9683">
      <c r="D9683" s="2" t="inlineStr">
        <is>
          <t>SUBTOTAL UPAH</t>
        </is>
      </c>
      <c r="F9683" s="16" t="n">
        <v>121280</v>
      </c>
    </row>
    <row r="9684">
      <c r="D9684" s="2" t="inlineStr">
        <is>
          <t>SUBTOTAL BAHAN</t>
        </is>
      </c>
      <c r="F9684" s="16" t="n">
        <v>525000</v>
      </c>
    </row>
    <row r="9685">
      <c r="D9685" s="2" t="inlineStr">
        <is>
          <t>SUBTOTAL ALAT</t>
        </is>
      </c>
      <c r="F9685" s="16" t="n">
        <v>0</v>
      </c>
    </row>
    <row r="9686">
      <c r="E9686" s="2" t="inlineStr">
        <is>
          <t>TOTAL HARGA SATUAN (Inc. Overhead)</t>
        </is>
      </c>
      <c r="F9686" s="17" t="n">
        <v>710908</v>
      </c>
    </row>
    <row r="9688">
      <c r="A9688" s="14" t="inlineStr">
        <is>
          <t>KODE: 5.4.5.10 - Pemasangan 1 Unit Wifi Access Ponit ( Wifi 6 Radius 50 m)</t>
        </is>
      </c>
    </row>
    <row r="9689">
      <c r="A9689" s="10" t="inlineStr">
        <is>
          <t>No</t>
        </is>
      </c>
      <c r="B9689" s="10" t="inlineStr">
        <is>
          <t>Uraian Komponen</t>
        </is>
      </c>
      <c r="C9689" s="10" t="inlineStr">
        <is>
          <t>Satuan</t>
        </is>
      </c>
      <c r="D9689" s="10" t="inlineStr">
        <is>
          <t>Koef</t>
        </is>
      </c>
      <c r="E9689" s="10" t="inlineStr">
        <is>
          <t>Harga Satuan (Rp)</t>
        </is>
      </c>
      <c r="F9689" s="10" t="inlineStr">
        <is>
          <t>Jumlah Harga (Rp)</t>
        </is>
      </c>
    </row>
    <row r="9690">
      <c r="A9690" s="3" t="inlineStr">
        <is>
          <t>1</t>
        </is>
      </c>
      <c r="B9690" s="3" t="inlineStr">
        <is>
          <t>Pekerja</t>
        </is>
      </c>
      <c r="C9690" s="3" t="inlineStr">
        <is>
          <t>OH</t>
        </is>
      </c>
      <c r="D9690" s="15" t="n">
        <v>0.038</v>
      </c>
      <c r="E9690" s="4" t="n">
        <v>100000</v>
      </c>
      <c r="F9690" s="4" t="n">
        <v>3800</v>
      </c>
    </row>
    <row r="9691">
      <c r="A9691" s="3" t="inlineStr">
        <is>
          <t>2</t>
        </is>
      </c>
      <c r="B9691" s="3" t="inlineStr">
        <is>
          <t>Tukang listrik</t>
        </is>
      </c>
      <c r="C9691" s="3" t="inlineStr">
        <is>
          <t>OH</t>
        </is>
      </c>
      <c r="D9691" s="15" t="n">
        <v>0.064</v>
      </c>
      <c r="E9691" s="4" t="n">
        <v>145000</v>
      </c>
      <c r="F9691" s="4" t="n">
        <v>9280</v>
      </c>
    </row>
    <row r="9692">
      <c r="A9692" s="3" t="inlineStr">
        <is>
          <t>3</t>
        </is>
      </c>
      <c r="B9692" s="3" t="inlineStr">
        <is>
          <t>Kepala Tukang</t>
        </is>
      </c>
      <c r="C9692" s="3" t="inlineStr">
        <is>
          <t>OH</t>
        </is>
      </c>
      <c r="D9692" s="15" t="n">
        <v>0.006</v>
      </c>
      <c r="E9692" s="4" t="n">
        <v>175000</v>
      </c>
      <c r="F9692" s="4" t="n">
        <v>1050</v>
      </c>
    </row>
    <row r="9693">
      <c r="A9693" s="3" t="inlineStr">
        <is>
          <t>4</t>
        </is>
      </c>
      <c r="B9693" s="3" t="inlineStr">
        <is>
          <t>Mandor</t>
        </is>
      </c>
      <c r="C9693" s="3" t="inlineStr">
        <is>
          <t>OH</t>
        </is>
      </c>
      <c r="D9693" s="15" t="n">
        <v>0.002</v>
      </c>
      <c r="E9693" s="4" t="n">
        <v>200000</v>
      </c>
      <c r="F9693" s="4" t="n">
        <v>400</v>
      </c>
    </row>
    <row r="9694">
      <c r="A9694" s="3" t="inlineStr">
        <is>
          <t>1</t>
        </is>
      </c>
      <c r="B9694" s="3" t="inlineStr">
        <is>
          <t>Wifi Access Point (Wifi 6 Radius 50 M)</t>
        </is>
      </c>
      <c r="C9694" s="3" t="inlineStr">
        <is>
          <t>unit</t>
        </is>
      </c>
      <c r="D9694" s="15" t="n">
        <v>1.05</v>
      </c>
      <c r="E9694" s="4" t="n">
        <v>1500000</v>
      </c>
      <c r="F9694" s="4" t="n">
        <v>1575000</v>
      </c>
    </row>
    <row r="9695">
      <c r="D9695" s="2" t="inlineStr">
        <is>
          <t>SUBTOTAL UPAH</t>
        </is>
      </c>
      <c r="F9695" s="16" t="n">
        <v>14530</v>
      </c>
    </row>
    <row r="9696">
      <c r="D9696" s="2" t="inlineStr">
        <is>
          <t>SUBTOTAL BAHAN</t>
        </is>
      </c>
      <c r="F9696" s="16" t="n">
        <v>1575000</v>
      </c>
    </row>
    <row r="9697">
      <c r="D9697" s="2" t="inlineStr">
        <is>
          <t>SUBTOTAL ALAT</t>
        </is>
      </c>
      <c r="F9697" s="16" t="n">
        <v>0</v>
      </c>
    </row>
    <row r="9698">
      <c r="E9698" s="2" t="inlineStr">
        <is>
          <t>TOTAL HARGA SATUAN (Inc. Overhead)</t>
        </is>
      </c>
      <c r="F9698" s="17" t="n">
        <v>1748483</v>
      </c>
    </row>
    <row r="9700">
      <c r="A9700" s="14" t="inlineStr">
        <is>
          <t>KODE: 5.4.5.11 - Pemasangan 1 Unit Switch HUB 8 Port, Unmanaged c/w OTB</t>
        </is>
      </c>
    </row>
    <row r="9701">
      <c r="A9701" s="10" t="inlineStr">
        <is>
          <t>No</t>
        </is>
      </c>
      <c r="B9701" s="10" t="inlineStr">
        <is>
          <t>Uraian Komponen</t>
        </is>
      </c>
      <c r="C9701" s="10" t="inlineStr">
        <is>
          <t>Satuan</t>
        </is>
      </c>
      <c r="D9701" s="10" t="inlineStr">
        <is>
          <t>Koef</t>
        </is>
      </c>
      <c r="E9701" s="10" t="inlineStr">
        <is>
          <t>Harga Satuan (Rp)</t>
        </is>
      </c>
      <c r="F9701" s="10" t="inlineStr">
        <is>
          <t>Jumlah Harga (Rp)</t>
        </is>
      </c>
    </row>
    <row r="9702">
      <c r="A9702" s="3" t="inlineStr">
        <is>
          <t>1</t>
        </is>
      </c>
      <c r="B9702" s="3" t="inlineStr">
        <is>
          <t>Pekerja</t>
        </is>
      </c>
      <c r="C9702" s="3" t="inlineStr">
        <is>
          <t>OH</t>
        </is>
      </c>
      <c r="D9702" s="15" t="n">
        <v>0.76</v>
      </c>
      <c r="E9702" s="4" t="n">
        <v>100000</v>
      </c>
      <c r="F9702" s="4" t="n">
        <v>76000</v>
      </c>
    </row>
    <row r="9703">
      <c r="A9703" s="3" t="inlineStr">
        <is>
          <t>2</t>
        </is>
      </c>
      <c r="B9703" s="3" t="inlineStr">
        <is>
          <t>Tukang listrik</t>
        </is>
      </c>
      <c r="C9703" s="3" t="inlineStr">
        <is>
          <t>OH</t>
        </is>
      </c>
      <c r="D9703" s="15" t="n">
        <v>1.286</v>
      </c>
      <c r="E9703" s="4" t="n">
        <v>145000</v>
      </c>
      <c r="F9703" s="4" t="n">
        <v>186470</v>
      </c>
    </row>
    <row r="9704">
      <c r="A9704" s="3" t="inlineStr">
        <is>
          <t>3</t>
        </is>
      </c>
      <c r="B9704" s="3" t="inlineStr">
        <is>
          <t>Kepala Tukang</t>
        </is>
      </c>
      <c r="C9704" s="3" t="inlineStr">
        <is>
          <t>OH</t>
        </is>
      </c>
      <c r="D9704" s="15" t="n">
        <v>0.127</v>
      </c>
      <c r="E9704" s="4" t="n">
        <v>175000</v>
      </c>
      <c r="F9704" s="4" t="n">
        <v>22225</v>
      </c>
    </row>
    <row r="9705">
      <c r="A9705" s="3" t="inlineStr">
        <is>
          <t>4</t>
        </is>
      </c>
      <c r="B9705" s="3" t="inlineStr">
        <is>
          <t>Mandor</t>
        </is>
      </c>
      <c r="C9705" s="3" t="inlineStr">
        <is>
          <t>OH</t>
        </is>
      </c>
      <c r="D9705" s="15" t="n">
        <v>0.042</v>
      </c>
      <c r="E9705" s="4" t="n">
        <v>200000</v>
      </c>
      <c r="F9705" s="4" t="n">
        <v>8400</v>
      </c>
    </row>
    <row r="9706">
      <c r="A9706" s="3" t="inlineStr">
        <is>
          <t>1</t>
        </is>
      </c>
      <c r="B9706" s="3" t="inlineStr">
        <is>
          <t>Switch Hub 8 Port</t>
        </is>
      </c>
      <c r="C9706" s="3" t="inlineStr">
        <is>
          <t>unit</t>
        </is>
      </c>
      <c r="D9706" s="15" t="n">
        <v>1.05</v>
      </c>
      <c r="E9706" s="4" t="n">
        <v>250000</v>
      </c>
      <c r="F9706" s="4" t="n">
        <v>262500</v>
      </c>
    </row>
    <row r="9707">
      <c r="A9707" s="3" t="inlineStr">
        <is>
          <t>1</t>
        </is>
      </c>
      <c r="B9707" s="3" t="inlineStr">
        <is>
          <t>Media Converter</t>
        </is>
      </c>
      <c r="C9707" s="3" t="inlineStr">
        <is>
          <t>unit</t>
        </is>
      </c>
      <c r="D9707" s="15" t="n">
        <v>2</v>
      </c>
      <c r="E9707" s="4" t="n">
        <v>110000</v>
      </c>
      <c r="F9707" s="4" t="n">
        <v>220000</v>
      </c>
    </row>
    <row r="9708">
      <c r="A9708" s="3" t="inlineStr">
        <is>
          <t>1</t>
        </is>
      </c>
      <c r="B9708" s="3" t="inlineStr">
        <is>
          <t>Patch Cord</t>
        </is>
      </c>
      <c r="C9708" s="3" t="inlineStr">
        <is>
          <t>unit</t>
        </is>
      </c>
      <c r="D9708" s="15" t="n">
        <v>2</v>
      </c>
      <c r="E9708" s="4" t="n">
        <v>30000</v>
      </c>
      <c r="F9708" s="4" t="n">
        <v>60000</v>
      </c>
    </row>
    <row r="9709">
      <c r="A9709" s="3" t="inlineStr">
        <is>
          <t>1</t>
        </is>
      </c>
      <c r="B9709" s="3" t="inlineStr">
        <is>
          <t>OTB</t>
        </is>
      </c>
      <c r="C9709" s="3" t="inlineStr">
        <is>
          <t>unit</t>
        </is>
      </c>
      <c r="D9709" s="15" t="n">
        <v>2</v>
      </c>
      <c r="E9709" s="4" t="n">
        <v>150000</v>
      </c>
      <c r="F9709" s="4" t="n">
        <v>300000</v>
      </c>
    </row>
    <row r="9710">
      <c r="D9710" s="2" t="inlineStr">
        <is>
          <t>SUBTOTAL UPAH</t>
        </is>
      </c>
      <c r="F9710" s="16" t="n">
        <v>293095</v>
      </c>
    </row>
    <row r="9711">
      <c r="D9711" s="2" t="inlineStr">
        <is>
          <t>SUBTOTAL BAHAN</t>
        </is>
      </c>
      <c r="F9711" s="16" t="n">
        <v>842500</v>
      </c>
    </row>
    <row r="9712">
      <c r="D9712" s="2" t="inlineStr">
        <is>
          <t>SUBTOTAL ALAT</t>
        </is>
      </c>
      <c r="F9712" s="16" t="n">
        <v>0</v>
      </c>
    </row>
    <row r="9713">
      <c r="E9713" s="2" t="inlineStr">
        <is>
          <t>TOTAL HARGA SATUAN (Inc. Overhead)</t>
        </is>
      </c>
      <c r="F9713" s="17" t="n">
        <v>1249154</v>
      </c>
    </row>
    <row r="9715">
      <c r="A9715" s="14" t="inlineStr">
        <is>
          <t>KODE: 5.4.5.12 - Pemasangan 1 Unit Touch Screen Panel 7"</t>
        </is>
      </c>
    </row>
    <row r="9716">
      <c r="A9716" s="10" t="inlineStr">
        <is>
          <t>No</t>
        </is>
      </c>
      <c r="B9716" s="10" t="inlineStr">
        <is>
          <t>Uraian Komponen</t>
        </is>
      </c>
      <c r="C9716" s="10" t="inlineStr">
        <is>
          <t>Satuan</t>
        </is>
      </c>
      <c r="D9716" s="10" t="inlineStr">
        <is>
          <t>Koef</t>
        </is>
      </c>
      <c r="E9716" s="10" t="inlineStr">
        <is>
          <t>Harga Satuan (Rp)</t>
        </is>
      </c>
      <c r="F9716" s="10" t="inlineStr">
        <is>
          <t>Jumlah Harga (Rp)</t>
        </is>
      </c>
    </row>
    <row r="9717">
      <c r="A9717" s="3" t="inlineStr">
        <is>
          <t>1</t>
        </is>
      </c>
      <c r="B9717" s="3" t="inlineStr">
        <is>
          <t>Pekerja</t>
        </is>
      </c>
      <c r="C9717" s="3" t="inlineStr">
        <is>
          <t>OH</t>
        </is>
      </c>
      <c r="D9717" s="15" t="n">
        <v>0.429</v>
      </c>
      <c r="E9717" s="4" t="n">
        <v>100000</v>
      </c>
      <c r="F9717" s="4" t="n">
        <v>42900</v>
      </c>
    </row>
    <row r="9718">
      <c r="A9718" s="3" t="inlineStr">
        <is>
          <t>2</t>
        </is>
      </c>
      <c r="B9718" s="3" t="inlineStr">
        <is>
          <t>Tukang listrik</t>
        </is>
      </c>
      <c r="C9718" s="3" t="inlineStr">
        <is>
          <t>OH</t>
        </is>
      </c>
      <c r="D9718" s="15" t="n">
        <v>0.716</v>
      </c>
      <c r="E9718" s="4" t="n">
        <v>145000</v>
      </c>
      <c r="F9718" s="4" t="n">
        <v>103820</v>
      </c>
    </row>
    <row r="9719">
      <c r="A9719" s="3" t="inlineStr">
        <is>
          <t>3</t>
        </is>
      </c>
      <c r="B9719" s="3" t="inlineStr">
        <is>
          <t>Kepala Tukang</t>
        </is>
      </c>
      <c r="C9719" s="3" t="inlineStr">
        <is>
          <t>OH</t>
        </is>
      </c>
      <c r="D9719" s="15" t="n">
        <v>0.07199999999999999</v>
      </c>
      <c r="E9719" s="4" t="n">
        <v>175000</v>
      </c>
      <c r="F9719" s="4" t="n">
        <v>12600</v>
      </c>
    </row>
    <row r="9720">
      <c r="A9720" s="3" t="inlineStr">
        <is>
          <t>4</t>
        </is>
      </c>
      <c r="B9720" s="3" t="inlineStr">
        <is>
          <t>Mandor</t>
        </is>
      </c>
      <c r="C9720" s="3" t="inlineStr">
        <is>
          <t>OH</t>
        </is>
      </c>
      <c r="D9720" s="15" t="n">
        <v>0.024</v>
      </c>
      <c r="E9720" s="4" t="n">
        <v>200000</v>
      </c>
      <c r="F9720" s="4" t="n">
        <v>4800</v>
      </c>
    </row>
    <row r="9721">
      <c r="A9721" s="3" t="inlineStr">
        <is>
          <t>1</t>
        </is>
      </c>
      <c r="B9721" s="3" t="inlineStr">
        <is>
          <t>"Touch Screen Panel 7"""</t>
        </is>
      </c>
      <c r="C9721" s="3" t="inlineStr">
        <is>
          <t>unit</t>
        </is>
      </c>
      <c r="D9721" s="15" t="n">
        <v>1.1</v>
      </c>
      <c r="E9721" s="4" t="n">
        <v>2300000</v>
      </c>
      <c r="F9721" s="4" t="n">
        <v>2530000</v>
      </c>
    </row>
    <row r="9722">
      <c r="D9722" s="2" t="inlineStr">
        <is>
          <t>SUBTOTAL UPAH</t>
        </is>
      </c>
      <c r="F9722" s="16" t="n">
        <v>164120</v>
      </c>
    </row>
    <row r="9723">
      <c r="D9723" s="2" t="inlineStr">
        <is>
          <t>SUBTOTAL BAHAN</t>
        </is>
      </c>
      <c r="F9723" s="16" t="n">
        <v>2530000</v>
      </c>
    </row>
    <row r="9724">
      <c r="D9724" s="2" t="inlineStr">
        <is>
          <t>SUBTOTAL ALAT</t>
        </is>
      </c>
      <c r="F9724" s="16" t="n">
        <v>0</v>
      </c>
    </row>
    <row r="9725">
      <c r="E9725" s="2" t="inlineStr">
        <is>
          <t>TOTAL HARGA SATUAN (Inc. Overhead)</t>
        </is>
      </c>
      <c r="F9725" s="17" t="n">
        <v>2963532</v>
      </c>
    </row>
    <row r="9727">
      <c r="A9727" s="14" t="inlineStr">
        <is>
          <t>KODE: 5.4.5.13 - Pemasangan 1 Unit Touch Screen Panel 10"</t>
        </is>
      </c>
    </row>
    <row r="9728">
      <c r="A9728" s="10" t="inlineStr">
        <is>
          <t>No</t>
        </is>
      </c>
      <c r="B9728" s="10" t="inlineStr">
        <is>
          <t>Uraian Komponen</t>
        </is>
      </c>
      <c r="C9728" s="10" t="inlineStr">
        <is>
          <t>Satuan</t>
        </is>
      </c>
      <c r="D9728" s="10" t="inlineStr">
        <is>
          <t>Koef</t>
        </is>
      </c>
      <c r="E9728" s="10" t="inlineStr">
        <is>
          <t>Harga Satuan (Rp)</t>
        </is>
      </c>
      <c r="F9728" s="10" t="inlineStr">
        <is>
          <t>Jumlah Harga (Rp)</t>
        </is>
      </c>
    </row>
    <row r="9729">
      <c r="A9729" s="3" t="inlineStr">
        <is>
          <t>1</t>
        </is>
      </c>
      <c r="B9729" s="3" t="inlineStr">
        <is>
          <t>Pekerja</t>
        </is>
      </c>
      <c r="C9729" s="3" t="inlineStr">
        <is>
          <t>OH</t>
        </is>
      </c>
      <c r="D9729" s="15" t="n">
        <v>0.429</v>
      </c>
      <c r="E9729" s="4" t="n">
        <v>100000</v>
      </c>
      <c r="F9729" s="4" t="n">
        <v>42900</v>
      </c>
    </row>
    <row r="9730">
      <c r="A9730" s="3" t="inlineStr">
        <is>
          <t>2</t>
        </is>
      </c>
      <c r="B9730" s="3" t="inlineStr">
        <is>
          <t>Tukang listrik</t>
        </is>
      </c>
      <c r="C9730" s="3" t="inlineStr">
        <is>
          <t>OH</t>
        </is>
      </c>
      <c r="D9730" s="15" t="n">
        <v>0.716</v>
      </c>
      <c r="E9730" s="4" t="n">
        <v>145000</v>
      </c>
      <c r="F9730" s="4" t="n">
        <v>103820</v>
      </c>
    </row>
    <row r="9731">
      <c r="A9731" s="3" t="inlineStr">
        <is>
          <t>3</t>
        </is>
      </c>
      <c r="B9731" s="3" t="inlineStr">
        <is>
          <t>Kepala Tukang</t>
        </is>
      </c>
      <c r="C9731" s="3" t="inlineStr">
        <is>
          <t>OH</t>
        </is>
      </c>
      <c r="D9731" s="15" t="n">
        <v>0.07199999999999999</v>
      </c>
      <c r="E9731" s="4" t="n">
        <v>175000</v>
      </c>
      <c r="F9731" s="4" t="n">
        <v>12600</v>
      </c>
    </row>
    <row r="9732">
      <c r="A9732" s="3" t="inlineStr">
        <is>
          <t>4</t>
        </is>
      </c>
      <c r="B9732" s="3" t="inlineStr">
        <is>
          <t>Mandor</t>
        </is>
      </c>
      <c r="C9732" s="3" t="inlineStr">
        <is>
          <t>OH</t>
        </is>
      </c>
      <c r="D9732" s="15" t="n">
        <v>0.024</v>
      </c>
      <c r="E9732" s="4" t="n">
        <v>200000</v>
      </c>
      <c r="F9732" s="4" t="n">
        <v>4800</v>
      </c>
    </row>
    <row r="9733">
      <c r="A9733" s="3" t="inlineStr">
        <is>
          <t>1</t>
        </is>
      </c>
      <c r="B9733" s="3" t="inlineStr">
        <is>
          <t>"Touch Screen Panel 10"""</t>
        </is>
      </c>
      <c r="C9733" s="3" t="inlineStr">
        <is>
          <t>unit</t>
        </is>
      </c>
      <c r="D9733" s="15" t="n">
        <v>1.1</v>
      </c>
      <c r="E9733" s="4" t="n">
        <v>2500000</v>
      </c>
      <c r="F9733" s="4" t="n">
        <v>2750000</v>
      </c>
    </row>
    <row r="9734">
      <c r="D9734" s="2" t="inlineStr">
        <is>
          <t>SUBTOTAL UPAH</t>
        </is>
      </c>
      <c r="F9734" s="16" t="n">
        <v>164120</v>
      </c>
    </row>
    <row r="9735">
      <c r="D9735" s="2" t="inlineStr">
        <is>
          <t>SUBTOTAL BAHAN</t>
        </is>
      </c>
      <c r="F9735" s="16" t="n">
        <v>2750000</v>
      </c>
    </row>
    <row r="9736">
      <c r="D9736" s="2" t="inlineStr">
        <is>
          <t>SUBTOTAL ALAT</t>
        </is>
      </c>
      <c r="F9736" s="16" t="n">
        <v>0</v>
      </c>
    </row>
    <row r="9737">
      <c r="E9737" s="2" t="inlineStr">
        <is>
          <t>TOTAL HARGA SATUAN (Inc. Overhead)</t>
        </is>
      </c>
      <c r="F9737" s="17" t="n">
        <v>3205532</v>
      </c>
    </row>
    <row r="9739">
      <c r="A9739" s="14" t="inlineStr">
        <is>
          <t>KODE: 5.4.5.14 - Pemasangan 1 Unit Touch Screen Panel 12"</t>
        </is>
      </c>
    </row>
    <row r="9740">
      <c r="A9740" s="10" t="inlineStr">
        <is>
          <t>No</t>
        </is>
      </c>
      <c r="B9740" s="10" t="inlineStr">
        <is>
          <t>Uraian Komponen</t>
        </is>
      </c>
      <c r="C9740" s="10" t="inlineStr">
        <is>
          <t>Satuan</t>
        </is>
      </c>
      <c r="D9740" s="10" t="inlineStr">
        <is>
          <t>Koef</t>
        </is>
      </c>
      <c r="E9740" s="10" t="inlineStr">
        <is>
          <t>Harga Satuan (Rp)</t>
        </is>
      </c>
      <c r="F9740" s="10" t="inlineStr">
        <is>
          <t>Jumlah Harga (Rp)</t>
        </is>
      </c>
    </row>
    <row r="9741">
      <c r="A9741" s="3" t="inlineStr">
        <is>
          <t>1</t>
        </is>
      </c>
      <c r="B9741" s="3" t="inlineStr">
        <is>
          <t>Pekerja</t>
        </is>
      </c>
      <c r="C9741" s="3" t="inlineStr">
        <is>
          <t>OH</t>
        </is>
      </c>
      <c r="D9741" s="15" t="n">
        <v>0.679</v>
      </c>
      <c r="E9741" s="4" t="n">
        <v>100000</v>
      </c>
      <c r="F9741" s="4" t="n">
        <v>67900</v>
      </c>
    </row>
    <row r="9742">
      <c r="A9742" s="3" t="inlineStr">
        <is>
          <t>2</t>
        </is>
      </c>
      <c r="B9742" s="3" t="inlineStr">
        <is>
          <t>Tukang listrik</t>
        </is>
      </c>
      <c r="C9742" s="3" t="inlineStr">
        <is>
          <t>OH</t>
        </is>
      </c>
      <c r="D9742" s="15" t="n">
        <v>1.133</v>
      </c>
      <c r="E9742" s="4" t="n">
        <v>145000</v>
      </c>
      <c r="F9742" s="4" t="n">
        <v>164285</v>
      </c>
    </row>
    <row r="9743">
      <c r="A9743" s="3" t="inlineStr">
        <is>
          <t>3</t>
        </is>
      </c>
      <c r="B9743" s="3" t="inlineStr">
        <is>
          <t>Kepala Tukang</t>
        </is>
      </c>
      <c r="C9743" s="3" t="inlineStr">
        <is>
          <t>OH</t>
        </is>
      </c>
      <c r="D9743" s="15" t="n">
        <v>0.113</v>
      </c>
      <c r="E9743" s="4" t="n">
        <v>175000</v>
      </c>
      <c r="F9743" s="4" t="n">
        <v>19775</v>
      </c>
    </row>
    <row r="9744">
      <c r="A9744" s="3" t="inlineStr">
        <is>
          <t>4</t>
        </is>
      </c>
      <c r="B9744" s="3" t="inlineStr">
        <is>
          <t>Mandor</t>
        </is>
      </c>
      <c r="C9744" s="3" t="inlineStr">
        <is>
          <t>OH</t>
        </is>
      </c>
      <c r="D9744" s="15" t="n">
        <v>0.038</v>
      </c>
      <c r="E9744" s="4" t="n">
        <v>200000</v>
      </c>
      <c r="F9744" s="4" t="n">
        <v>7600</v>
      </c>
    </row>
    <row r="9745">
      <c r="A9745" s="3" t="inlineStr">
        <is>
          <t>1</t>
        </is>
      </c>
      <c r="B9745" s="3" t="inlineStr">
        <is>
          <t>"Touch Screen Panel 12"""</t>
        </is>
      </c>
      <c r="C9745" s="3" t="inlineStr">
        <is>
          <t>unit</t>
        </is>
      </c>
      <c r="D9745" s="15" t="n">
        <v>1.1</v>
      </c>
      <c r="E9745" s="4" t="n">
        <v>2900000</v>
      </c>
      <c r="F9745" s="4" t="n">
        <v>3190000</v>
      </c>
    </row>
    <row r="9746">
      <c r="D9746" s="2" t="inlineStr">
        <is>
          <t>SUBTOTAL UPAH</t>
        </is>
      </c>
      <c r="F9746" s="16" t="n">
        <v>259560</v>
      </c>
    </row>
    <row r="9747">
      <c r="D9747" s="2" t="inlineStr">
        <is>
          <t>SUBTOTAL BAHAN</t>
        </is>
      </c>
      <c r="F9747" s="16" t="n">
        <v>3190000</v>
      </c>
    </row>
    <row r="9748">
      <c r="D9748" s="2" t="inlineStr">
        <is>
          <t>SUBTOTAL ALAT</t>
        </is>
      </c>
      <c r="F9748" s="16" t="n">
        <v>0</v>
      </c>
    </row>
    <row r="9749">
      <c r="E9749" s="2" t="inlineStr">
        <is>
          <t>TOTAL HARGA SATUAN (Inc. Overhead)</t>
        </is>
      </c>
      <c r="F9749" s="17" t="n">
        <v>3794516</v>
      </c>
    </row>
    <row r="9751">
      <c r="A9751" s="14" t="inlineStr">
        <is>
          <t>KODE: 5.4.5.15 - Pemasangan 1 Unit Touch Screen Panel 14"</t>
        </is>
      </c>
    </row>
    <row r="9752">
      <c r="A9752" s="10" t="inlineStr">
        <is>
          <t>No</t>
        </is>
      </c>
      <c r="B9752" s="10" t="inlineStr">
        <is>
          <t>Uraian Komponen</t>
        </is>
      </c>
      <c r="C9752" s="10" t="inlineStr">
        <is>
          <t>Satuan</t>
        </is>
      </c>
      <c r="D9752" s="10" t="inlineStr">
        <is>
          <t>Koef</t>
        </is>
      </c>
      <c r="E9752" s="10" t="inlineStr">
        <is>
          <t>Harga Satuan (Rp)</t>
        </is>
      </c>
      <c r="F9752" s="10" t="inlineStr">
        <is>
          <t>Jumlah Harga (Rp)</t>
        </is>
      </c>
    </row>
    <row r="9753">
      <c r="A9753" s="3" t="inlineStr">
        <is>
          <t>1</t>
        </is>
      </c>
      <c r="B9753" s="3" t="inlineStr">
        <is>
          <t>Pekerja</t>
        </is>
      </c>
      <c r="C9753" s="3" t="inlineStr">
        <is>
          <t>OH</t>
        </is>
      </c>
      <c r="D9753" s="15" t="n">
        <v>0.679</v>
      </c>
      <c r="E9753" s="4" t="n">
        <v>100000</v>
      </c>
      <c r="F9753" s="4" t="n">
        <v>67900</v>
      </c>
    </row>
    <row r="9754">
      <c r="A9754" s="3" t="inlineStr">
        <is>
          <t>2</t>
        </is>
      </c>
      <c r="B9754" s="3" t="inlineStr">
        <is>
          <t>Tukang listrik</t>
        </is>
      </c>
      <c r="C9754" s="3" t="inlineStr">
        <is>
          <t>OH</t>
        </is>
      </c>
      <c r="D9754" s="15" t="n">
        <v>1.133</v>
      </c>
      <c r="E9754" s="4" t="n">
        <v>145000</v>
      </c>
      <c r="F9754" s="4" t="n">
        <v>164285</v>
      </c>
    </row>
    <row r="9755">
      <c r="A9755" s="3" t="inlineStr">
        <is>
          <t>3</t>
        </is>
      </c>
      <c r="B9755" s="3" t="inlineStr">
        <is>
          <t>Kepala Tukang</t>
        </is>
      </c>
      <c r="C9755" s="3" t="inlineStr">
        <is>
          <t>OH</t>
        </is>
      </c>
      <c r="D9755" s="15" t="n">
        <v>0.113</v>
      </c>
      <c r="E9755" s="4" t="n">
        <v>175000</v>
      </c>
      <c r="F9755" s="4" t="n">
        <v>19775</v>
      </c>
    </row>
    <row r="9756">
      <c r="A9756" s="3" t="inlineStr">
        <is>
          <t>4</t>
        </is>
      </c>
      <c r="B9756" s="3" t="inlineStr">
        <is>
          <t>Mandor</t>
        </is>
      </c>
      <c r="C9756" s="3" t="inlineStr">
        <is>
          <t>OH</t>
        </is>
      </c>
      <c r="D9756" s="15" t="n">
        <v>0.038</v>
      </c>
      <c r="E9756" s="4" t="n">
        <v>200000</v>
      </c>
      <c r="F9756" s="4" t="n">
        <v>7600</v>
      </c>
    </row>
    <row r="9757">
      <c r="A9757" s="3" t="inlineStr">
        <is>
          <t>1</t>
        </is>
      </c>
      <c r="B9757" s="3" t="inlineStr">
        <is>
          <t>"Touch Screen Panel 14"""</t>
        </is>
      </c>
      <c r="C9757" s="3" t="inlineStr">
        <is>
          <t>unit</t>
        </is>
      </c>
      <c r="D9757" s="15" t="n">
        <v>1.1</v>
      </c>
      <c r="E9757" s="4" t="n">
        <v>3200000</v>
      </c>
      <c r="F9757" s="4" t="n">
        <v>3520000</v>
      </c>
    </row>
    <row r="9758">
      <c r="D9758" s="2" t="inlineStr">
        <is>
          <t>SUBTOTAL UPAH</t>
        </is>
      </c>
      <c r="F9758" s="16" t="n">
        <v>259560</v>
      </c>
    </row>
    <row r="9759">
      <c r="D9759" s="2" t="inlineStr">
        <is>
          <t>SUBTOTAL BAHAN</t>
        </is>
      </c>
      <c r="F9759" s="16" t="n">
        <v>3520000</v>
      </c>
    </row>
    <row r="9760">
      <c r="D9760" s="2" t="inlineStr">
        <is>
          <t>SUBTOTAL ALAT</t>
        </is>
      </c>
      <c r="F9760" s="16" t="n">
        <v>0</v>
      </c>
    </row>
    <row r="9761">
      <c r="E9761" s="2" t="inlineStr">
        <is>
          <t>TOTAL HARGA SATUAN (Inc. Overhead)</t>
        </is>
      </c>
      <c r="F9761" s="17" t="n">
        <v>4157516</v>
      </c>
    </row>
    <row r="9763">
      <c r="A9763" s="14" t="inlineStr">
        <is>
          <t>KODE: 5.4.5.16 - Pemasangan 1 Unit Wall Mounted Rack 15U</t>
        </is>
      </c>
    </row>
    <row r="9764">
      <c r="A9764" s="10" t="inlineStr">
        <is>
          <t>No</t>
        </is>
      </c>
      <c r="B9764" s="10" t="inlineStr">
        <is>
          <t>Uraian Komponen</t>
        </is>
      </c>
      <c r="C9764" s="10" t="inlineStr">
        <is>
          <t>Satuan</t>
        </is>
      </c>
      <c r="D9764" s="10" t="inlineStr">
        <is>
          <t>Koef</t>
        </is>
      </c>
      <c r="E9764" s="10" t="inlineStr">
        <is>
          <t>Harga Satuan (Rp)</t>
        </is>
      </c>
      <c r="F9764" s="10" t="inlineStr">
        <is>
          <t>Jumlah Harga (Rp)</t>
        </is>
      </c>
    </row>
    <row r="9765">
      <c r="A9765" s="3" t="inlineStr">
        <is>
          <t>1</t>
        </is>
      </c>
      <c r="B9765" s="3" t="inlineStr">
        <is>
          <t>Pekerja</t>
        </is>
      </c>
      <c r="C9765" s="3" t="inlineStr">
        <is>
          <t>OH</t>
        </is>
      </c>
      <c r="D9765" s="15" t="n">
        <v>0.679</v>
      </c>
      <c r="E9765" s="4" t="n">
        <v>100000</v>
      </c>
      <c r="F9765" s="4" t="n">
        <v>67900</v>
      </c>
    </row>
    <row r="9766">
      <c r="A9766" s="3" t="inlineStr">
        <is>
          <t>2</t>
        </is>
      </c>
      <c r="B9766" s="3" t="inlineStr">
        <is>
          <t>Tukang listrik</t>
        </is>
      </c>
      <c r="C9766" s="3" t="inlineStr">
        <is>
          <t>OH</t>
        </is>
      </c>
      <c r="D9766" s="15" t="n">
        <v>1.133</v>
      </c>
      <c r="E9766" s="4" t="n">
        <v>145000</v>
      </c>
      <c r="F9766" s="4" t="n">
        <v>164285</v>
      </c>
    </row>
    <row r="9767">
      <c r="A9767" s="3" t="inlineStr">
        <is>
          <t>3</t>
        </is>
      </c>
      <c r="B9767" s="3" t="inlineStr">
        <is>
          <t>Kepala Tukang</t>
        </is>
      </c>
      <c r="C9767" s="3" t="inlineStr">
        <is>
          <t>OH</t>
        </is>
      </c>
      <c r="D9767" s="15" t="n">
        <v>0.113</v>
      </c>
      <c r="E9767" s="4" t="n">
        <v>175000</v>
      </c>
      <c r="F9767" s="4" t="n">
        <v>19775</v>
      </c>
    </row>
    <row r="9768">
      <c r="A9768" s="3" t="inlineStr">
        <is>
          <t>4</t>
        </is>
      </c>
      <c r="B9768" s="3" t="inlineStr">
        <is>
          <t>Mandor</t>
        </is>
      </c>
      <c r="C9768" s="3" t="inlineStr">
        <is>
          <t>OH</t>
        </is>
      </c>
      <c r="D9768" s="15" t="n">
        <v>0.038</v>
      </c>
      <c r="E9768" s="4" t="n">
        <v>200000</v>
      </c>
      <c r="F9768" s="4" t="n">
        <v>7600</v>
      </c>
    </row>
    <row r="9769">
      <c r="A9769" s="3" t="inlineStr">
        <is>
          <t>1</t>
        </is>
      </c>
      <c r="B9769" s="3" t="inlineStr">
        <is>
          <t>Wall Mounted Rack 15U</t>
        </is>
      </c>
      <c r="C9769" s="3" t="inlineStr">
        <is>
          <t>unit</t>
        </is>
      </c>
      <c r="D9769" s="15" t="n">
        <v>1.05</v>
      </c>
      <c r="E9769" s="4" t="n">
        <v>150000</v>
      </c>
      <c r="F9769" s="4" t="n">
        <v>157500</v>
      </c>
    </row>
    <row r="9770">
      <c r="D9770" s="2" t="inlineStr">
        <is>
          <t>SUBTOTAL UPAH</t>
        </is>
      </c>
      <c r="F9770" s="16" t="n">
        <v>259560</v>
      </c>
    </row>
    <row r="9771">
      <c r="D9771" s="2" t="inlineStr">
        <is>
          <t>SUBTOTAL BAHAN</t>
        </is>
      </c>
      <c r="F9771" s="16" t="n">
        <v>157500</v>
      </c>
    </row>
    <row r="9772">
      <c r="D9772" s="2" t="inlineStr">
        <is>
          <t>SUBTOTAL ALAT</t>
        </is>
      </c>
      <c r="F9772" s="16" t="n">
        <v>0</v>
      </c>
    </row>
    <row r="9773">
      <c r="E9773" s="2" t="inlineStr">
        <is>
          <t>TOTAL HARGA SATUAN (Inc. Overhead)</t>
        </is>
      </c>
      <c r="F9773" s="17" t="n">
        <v>458766</v>
      </c>
    </row>
    <row r="9775">
      <c r="A9775" s="14" t="inlineStr">
        <is>
          <t>KODE: 5.4.5.17 - Pemasangan 1 Unit Workstation, Meja + Kursi</t>
        </is>
      </c>
    </row>
    <row r="9776">
      <c r="A9776" s="10" t="inlineStr">
        <is>
          <t>No</t>
        </is>
      </c>
      <c r="B9776" s="10" t="inlineStr">
        <is>
          <t>Uraian Komponen</t>
        </is>
      </c>
      <c r="C9776" s="10" t="inlineStr">
        <is>
          <t>Satuan</t>
        </is>
      </c>
      <c r="D9776" s="10" t="inlineStr">
        <is>
          <t>Koef</t>
        </is>
      </c>
      <c r="E9776" s="10" t="inlineStr">
        <is>
          <t>Harga Satuan (Rp)</t>
        </is>
      </c>
      <c r="F9776" s="10" t="inlineStr">
        <is>
          <t>Jumlah Harga (Rp)</t>
        </is>
      </c>
    </row>
    <row r="9777">
      <c r="A9777" s="3" t="inlineStr">
        <is>
          <t>1</t>
        </is>
      </c>
      <c r="B9777" s="3" t="inlineStr">
        <is>
          <t>Pekerja</t>
        </is>
      </c>
      <c r="C9777" s="3" t="inlineStr">
        <is>
          <t>OH</t>
        </is>
      </c>
      <c r="D9777" s="15" t="n">
        <v>0.417</v>
      </c>
      <c r="E9777" s="4" t="n">
        <v>100000</v>
      </c>
      <c r="F9777" s="4" t="n">
        <v>41700</v>
      </c>
    </row>
    <row r="9778">
      <c r="A9778" s="3" t="inlineStr">
        <is>
          <t>2</t>
        </is>
      </c>
      <c r="B9778" s="3" t="inlineStr">
        <is>
          <t>Tukang listrik</t>
        </is>
      </c>
      <c r="C9778" s="3" t="inlineStr">
        <is>
          <t>OH</t>
        </is>
      </c>
      <c r="D9778" s="15" t="n">
        <v>0.696</v>
      </c>
      <c r="E9778" s="4" t="n">
        <v>145000</v>
      </c>
      <c r="F9778" s="4" t="n">
        <v>100920</v>
      </c>
    </row>
    <row r="9779">
      <c r="A9779" s="3" t="inlineStr">
        <is>
          <t>3</t>
        </is>
      </c>
      <c r="B9779" s="3" t="inlineStr">
        <is>
          <t>Kepala Tukang</t>
        </is>
      </c>
      <c r="C9779" s="3" t="inlineStr">
        <is>
          <t>OH</t>
        </is>
      </c>
      <c r="D9779" s="15" t="n">
        <v>0.07000000000000001</v>
      </c>
      <c r="E9779" s="4" t="n">
        <v>175000</v>
      </c>
      <c r="F9779" s="4" t="n">
        <v>12250</v>
      </c>
    </row>
    <row r="9780">
      <c r="A9780" s="3" t="inlineStr">
        <is>
          <t>4</t>
        </is>
      </c>
      <c r="B9780" s="3" t="inlineStr">
        <is>
          <t>Mandor</t>
        </is>
      </c>
      <c r="C9780" s="3" t="inlineStr">
        <is>
          <t>OH</t>
        </is>
      </c>
      <c r="D9780" s="15" t="n">
        <v>0.023</v>
      </c>
      <c r="E9780" s="4" t="n">
        <v>200000</v>
      </c>
      <c r="F9780" s="4" t="n">
        <v>4600</v>
      </c>
    </row>
    <row r="9781">
      <c r="A9781" s="3" t="inlineStr">
        <is>
          <t>1</t>
        </is>
      </c>
      <c r="B9781" s="3" t="inlineStr">
        <is>
          <t>"Workstation Meja+Kursi"</t>
        </is>
      </c>
      <c r="C9781" s="3" t="inlineStr">
        <is>
          <t>unit</t>
        </is>
      </c>
      <c r="D9781" s="15" t="n">
        <v>1.05</v>
      </c>
      <c r="E9781" s="4" t="n">
        <v>2550000</v>
      </c>
      <c r="F9781" s="4" t="n">
        <v>2677500</v>
      </c>
    </row>
    <row r="9782">
      <c r="D9782" s="2" t="inlineStr">
        <is>
          <t>SUBTOTAL UPAH</t>
        </is>
      </c>
      <c r="F9782" s="16" t="n">
        <v>159470</v>
      </c>
    </row>
    <row r="9783">
      <c r="D9783" s="2" t="inlineStr">
        <is>
          <t>SUBTOTAL BAHAN</t>
        </is>
      </c>
      <c r="F9783" s="16" t="n">
        <v>2677500</v>
      </c>
    </row>
    <row r="9784">
      <c r="D9784" s="2" t="inlineStr">
        <is>
          <t>SUBTOTAL ALAT</t>
        </is>
      </c>
      <c r="F9784" s="16" t="n">
        <v>0</v>
      </c>
    </row>
    <row r="9785">
      <c r="E9785" s="2" t="inlineStr">
        <is>
          <t>TOTAL HARGA SATUAN (Inc. Overhead)</t>
        </is>
      </c>
      <c r="F9785" s="17" t="n">
        <v>3120667</v>
      </c>
    </row>
    <row r="9787">
      <c r="A9787" s="14" t="inlineStr">
        <is>
          <t>KODE: 5.4.5.18 - Pemasangan 1 Unit Modular Jack</t>
        </is>
      </c>
    </row>
    <row r="9788">
      <c r="A9788" s="10" t="inlineStr">
        <is>
          <t>No</t>
        </is>
      </c>
      <c r="B9788" s="10" t="inlineStr">
        <is>
          <t>Uraian Komponen</t>
        </is>
      </c>
      <c r="C9788" s="10" t="inlineStr">
        <is>
          <t>Satuan</t>
        </is>
      </c>
      <c r="D9788" s="10" t="inlineStr">
        <is>
          <t>Koef</t>
        </is>
      </c>
      <c r="E9788" s="10" t="inlineStr">
        <is>
          <t>Harga Satuan (Rp)</t>
        </is>
      </c>
      <c r="F9788" s="10" t="inlineStr">
        <is>
          <t>Jumlah Harga (Rp)</t>
        </is>
      </c>
    </row>
    <row r="9789">
      <c r="A9789" s="3" t="inlineStr">
        <is>
          <t>1</t>
        </is>
      </c>
      <c r="B9789" s="3" t="inlineStr">
        <is>
          <t>Pekerja</t>
        </is>
      </c>
      <c r="C9789" s="3" t="inlineStr">
        <is>
          <t>OH</t>
        </is>
      </c>
      <c r="D9789" s="15" t="n">
        <v>0.048</v>
      </c>
      <c r="E9789" s="4" t="n">
        <v>100000</v>
      </c>
      <c r="F9789" s="4" t="n">
        <v>4800</v>
      </c>
    </row>
    <row r="9790">
      <c r="A9790" s="3" t="inlineStr">
        <is>
          <t>2</t>
        </is>
      </c>
      <c r="B9790" s="3" t="inlineStr">
        <is>
          <t>Tukang listrik</t>
        </is>
      </c>
      <c r="C9790" s="3" t="inlineStr">
        <is>
          <t>OH</t>
        </is>
      </c>
      <c r="D9790" s="15" t="n">
        <v>0.08</v>
      </c>
      <c r="E9790" s="4" t="n">
        <v>145000</v>
      </c>
      <c r="F9790" s="4" t="n">
        <v>11600</v>
      </c>
    </row>
    <row r="9791">
      <c r="A9791" s="3" t="inlineStr">
        <is>
          <t>3</t>
        </is>
      </c>
      <c r="B9791" s="3" t="inlineStr">
        <is>
          <t>Kepala Tukang</t>
        </is>
      </c>
      <c r="C9791" s="3" t="inlineStr">
        <is>
          <t>OH</t>
        </is>
      </c>
      <c r="D9791" s="15" t="n">
        <v>0.008</v>
      </c>
      <c r="E9791" s="4" t="n">
        <v>175000</v>
      </c>
      <c r="F9791" s="4" t="n">
        <v>1400</v>
      </c>
    </row>
    <row r="9792">
      <c r="A9792" s="3" t="inlineStr">
        <is>
          <t>4</t>
        </is>
      </c>
      <c r="B9792" s="3" t="inlineStr">
        <is>
          <t>Mandor</t>
        </is>
      </c>
      <c r="C9792" s="3" t="inlineStr">
        <is>
          <t>OH</t>
        </is>
      </c>
      <c r="D9792" s="15" t="n">
        <v>0.003</v>
      </c>
      <c r="E9792" s="4" t="n">
        <v>200000</v>
      </c>
      <c r="F9792" s="4" t="n">
        <v>600</v>
      </c>
    </row>
    <row r="9793">
      <c r="A9793" s="3" t="inlineStr">
        <is>
          <t>1</t>
        </is>
      </c>
      <c r="B9793" s="3" t="inlineStr">
        <is>
          <t>Modular Jack</t>
        </is>
      </c>
      <c r="C9793" s="3" t="inlineStr">
        <is>
          <t>unit</t>
        </is>
      </c>
      <c r="D9793" s="15" t="n">
        <v>1.05</v>
      </c>
      <c r="E9793" s="4" t="n">
        <v>100000</v>
      </c>
      <c r="F9793" s="4" t="n">
        <v>105000</v>
      </c>
    </row>
    <row r="9794">
      <c r="D9794" s="2" t="inlineStr">
        <is>
          <t>SUBTOTAL UPAH</t>
        </is>
      </c>
      <c r="F9794" s="16" t="n">
        <v>18400</v>
      </c>
    </row>
    <row r="9795">
      <c r="D9795" s="2" t="inlineStr">
        <is>
          <t>SUBTOTAL BAHAN</t>
        </is>
      </c>
      <c r="F9795" s="16" t="n">
        <v>105000</v>
      </c>
    </row>
    <row r="9796">
      <c r="D9796" s="2" t="inlineStr">
        <is>
          <t>SUBTOTAL ALAT</t>
        </is>
      </c>
      <c r="F9796" s="16" t="n">
        <v>0</v>
      </c>
    </row>
    <row r="9797">
      <c r="E9797" s="2" t="inlineStr">
        <is>
          <t>TOTAL HARGA SATUAN (Inc. Overhead)</t>
        </is>
      </c>
      <c r="F9797" s="17" t="n">
        <v>135740</v>
      </c>
    </row>
    <row r="9799">
      <c r="A9799" s="14" t="inlineStr">
        <is>
          <t>KODE: 5.4.5.19 - Pemasangan 1 m' Kabel Fiber Optic 4 Core + Pipa Conduit HDPE 20 mm</t>
        </is>
      </c>
    </row>
    <row r="9800">
      <c r="A9800" s="10" t="inlineStr">
        <is>
          <t>No</t>
        </is>
      </c>
      <c r="B9800" s="10" t="inlineStr">
        <is>
          <t>Uraian Komponen</t>
        </is>
      </c>
      <c r="C9800" s="10" t="inlineStr">
        <is>
          <t>Satuan</t>
        </is>
      </c>
      <c r="D9800" s="10" t="inlineStr">
        <is>
          <t>Koef</t>
        </is>
      </c>
      <c r="E9800" s="10" t="inlineStr">
        <is>
          <t>Harga Satuan (Rp)</t>
        </is>
      </c>
      <c r="F9800" s="10" t="inlineStr">
        <is>
          <t>Jumlah Harga (Rp)</t>
        </is>
      </c>
    </row>
    <row r="9801">
      <c r="A9801" s="3" t="inlineStr">
        <is>
          <t>1</t>
        </is>
      </c>
      <c r="B9801" s="3" t="inlineStr">
        <is>
          <t>Pekerja</t>
        </is>
      </c>
      <c r="C9801" s="3" t="inlineStr">
        <is>
          <t>OH</t>
        </is>
      </c>
      <c r="D9801" s="15" t="n">
        <v>0.024</v>
      </c>
      <c r="E9801" s="4" t="n">
        <v>100000</v>
      </c>
      <c r="F9801" s="4" t="n">
        <v>2400</v>
      </c>
    </row>
    <row r="9802">
      <c r="A9802" s="3" t="inlineStr">
        <is>
          <t>2</t>
        </is>
      </c>
      <c r="B9802" s="3" t="inlineStr">
        <is>
          <t>Tukang listrik</t>
        </is>
      </c>
      <c r="C9802" s="3" t="inlineStr">
        <is>
          <t>OH</t>
        </is>
      </c>
      <c r="D9802" s="15" t="n">
        <v>0.04</v>
      </c>
      <c r="E9802" s="4" t="n">
        <v>145000</v>
      </c>
      <c r="F9802" s="4" t="n">
        <v>5800</v>
      </c>
    </row>
    <row r="9803">
      <c r="A9803" s="3" t="inlineStr">
        <is>
          <t>3</t>
        </is>
      </c>
      <c r="B9803" s="3" t="inlineStr">
        <is>
          <t>Kepala Tukang</t>
        </is>
      </c>
      <c r="C9803" s="3" t="inlineStr">
        <is>
          <t>OH</t>
        </is>
      </c>
      <c r="D9803" s="15" t="n">
        <v>0.004</v>
      </c>
      <c r="E9803" s="4" t="n">
        <v>175000</v>
      </c>
      <c r="F9803" s="4" t="n">
        <v>700</v>
      </c>
    </row>
    <row r="9804">
      <c r="A9804" s="3" t="inlineStr">
        <is>
          <t>4</t>
        </is>
      </c>
      <c r="B9804" s="3" t="inlineStr">
        <is>
          <t>Mandor</t>
        </is>
      </c>
      <c r="C9804" s="3" t="inlineStr">
        <is>
          <t>OH</t>
        </is>
      </c>
      <c r="D9804" s="15" t="n">
        <v>0.001</v>
      </c>
      <c r="E9804" s="4" t="n">
        <v>200000</v>
      </c>
      <c r="F9804" s="4" t="n">
        <v>200</v>
      </c>
    </row>
    <row r="9805">
      <c r="A9805" s="3" t="inlineStr">
        <is>
          <t>1</t>
        </is>
      </c>
      <c r="B9805" s="3" t="inlineStr">
        <is>
          <t>Kabel Fiber Optic 4 Core</t>
        </is>
      </c>
      <c r="C9805" s="3" t="inlineStr">
        <is>
          <t>m'</t>
        </is>
      </c>
      <c r="D9805" s="15" t="n">
        <v>1.1</v>
      </c>
      <c r="E9805" s="4" t="n">
        <v>20000</v>
      </c>
      <c r="F9805" s="4" t="n">
        <v>22000</v>
      </c>
    </row>
    <row r="9806">
      <c r="A9806" s="3" t="inlineStr">
        <is>
          <t>2</t>
        </is>
      </c>
      <c r="B9806" s="3" t="inlineStr">
        <is>
          <t>Pipa HDPE Conduit 20 mm</t>
        </is>
      </c>
      <c r="C9806" s="3" t="inlineStr">
        <is>
          <t>m'</t>
        </is>
      </c>
      <c r="D9806" s="15" t="n">
        <v>1.1</v>
      </c>
      <c r="E9806" s="4" t="n">
        <v>3800</v>
      </c>
      <c r="F9806" s="4" t="n">
        <v>4180</v>
      </c>
    </row>
    <row r="9807">
      <c r="D9807" s="2" t="inlineStr">
        <is>
          <t>SUBTOTAL UPAH</t>
        </is>
      </c>
      <c r="F9807" s="16" t="n">
        <v>9100</v>
      </c>
    </row>
    <row r="9808">
      <c r="D9808" s="2" t="inlineStr">
        <is>
          <t>SUBTOTAL BAHAN</t>
        </is>
      </c>
      <c r="F9808" s="16" t="n">
        <v>26180</v>
      </c>
    </row>
    <row r="9809">
      <c r="D9809" s="2" t="inlineStr">
        <is>
          <t>SUBTOTAL ALAT</t>
        </is>
      </c>
      <c r="F9809" s="16" t="n">
        <v>0</v>
      </c>
    </row>
    <row r="9810">
      <c r="E9810" s="2" t="inlineStr">
        <is>
          <t>TOTAL HARGA SATUAN (Inc. Overhead)</t>
        </is>
      </c>
      <c r="F9810" s="17" t="n">
        <v>38808</v>
      </c>
    </row>
    <row r="9812">
      <c r="A9812" s="14" t="inlineStr">
        <is>
          <t>KODE: 5.4.5.20 - Pemasangan 1 Unit Wireless Access Point Outdoor</t>
        </is>
      </c>
    </row>
    <row r="9813">
      <c r="A9813" s="10" t="inlineStr">
        <is>
          <t>No</t>
        </is>
      </c>
      <c r="B9813" s="10" t="inlineStr">
        <is>
          <t>Uraian Komponen</t>
        </is>
      </c>
      <c r="C9813" s="10" t="inlineStr">
        <is>
          <t>Satuan</t>
        </is>
      </c>
      <c r="D9813" s="10" t="inlineStr">
        <is>
          <t>Koef</t>
        </is>
      </c>
      <c r="E9813" s="10" t="inlineStr">
        <is>
          <t>Harga Satuan (Rp)</t>
        </is>
      </c>
      <c r="F9813" s="10" t="inlineStr">
        <is>
          <t>Jumlah Harga (Rp)</t>
        </is>
      </c>
    </row>
    <row r="9814">
      <c r="A9814" s="3" t="inlineStr">
        <is>
          <t>1</t>
        </is>
      </c>
      <c r="B9814" s="3" t="inlineStr">
        <is>
          <t>Pekerja</t>
        </is>
      </c>
      <c r="C9814" s="3" t="inlineStr">
        <is>
          <t>OH</t>
        </is>
      </c>
      <c r="D9814" s="15" t="n">
        <v>0.038</v>
      </c>
      <c r="E9814" s="4" t="n">
        <v>100000</v>
      </c>
      <c r="F9814" s="4" t="n">
        <v>3800</v>
      </c>
    </row>
    <row r="9815">
      <c r="A9815" s="3" t="inlineStr">
        <is>
          <t>2</t>
        </is>
      </c>
      <c r="B9815" s="3" t="inlineStr">
        <is>
          <t>Tukang listrik</t>
        </is>
      </c>
      <c r="C9815" s="3" t="inlineStr">
        <is>
          <t>OH</t>
        </is>
      </c>
      <c r="D9815" s="15" t="n">
        <v>0.064</v>
      </c>
      <c r="E9815" s="4" t="n">
        <v>145000</v>
      </c>
      <c r="F9815" s="4" t="n">
        <v>9280</v>
      </c>
    </row>
    <row r="9816">
      <c r="A9816" s="3" t="inlineStr">
        <is>
          <t>3</t>
        </is>
      </c>
      <c r="B9816" s="3" t="inlineStr">
        <is>
          <t>Kepala Tukang</t>
        </is>
      </c>
      <c r="C9816" s="3" t="inlineStr">
        <is>
          <t>OH</t>
        </is>
      </c>
      <c r="D9816" s="15" t="n">
        <v>0.006</v>
      </c>
      <c r="E9816" s="4" t="n">
        <v>175000</v>
      </c>
      <c r="F9816" s="4" t="n">
        <v>1050</v>
      </c>
    </row>
    <row r="9817">
      <c r="A9817" s="3" t="inlineStr">
        <is>
          <t>4</t>
        </is>
      </c>
      <c r="B9817" s="3" t="inlineStr">
        <is>
          <t>Mandor</t>
        </is>
      </c>
      <c r="C9817" s="3" t="inlineStr">
        <is>
          <t>OH</t>
        </is>
      </c>
      <c r="D9817" s="15" t="n">
        <v>0.002</v>
      </c>
      <c r="E9817" s="4" t="n">
        <v>200000</v>
      </c>
      <c r="F9817" s="4" t="n">
        <v>400</v>
      </c>
    </row>
    <row r="9818">
      <c r="A9818" s="3" t="inlineStr">
        <is>
          <t>1</t>
        </is>
      </c>
      <c r="B9818" s="3" t="inlineStr">
        <is>
          <t>Wireless Access Point Outdoor</t>
        </is>
      </c>
      <c r="C9818" s="3" t="inlineStr">
        <is>
          <t>unit</t>
        </is>
      </c>
      <c r="D9818" s="15" t="n">
        <v>1.05</v>
      </c>
      <c r="E9818" s="4" t="n">
        <v>1500000</v>
      </c>
      <c r="F9818" s="4" t="n">
        <v>1575000</v>
      </c>
    </row>
    <row r="9819">
      <c r="D9819" s="2" t="inlineStr">
        <is>
          <t>SUBTOTAL UPAH</t>
        </is>
      </c>
      <c r="F9819" s="16" t="n">
        <v>14530</v>
      </c>
    </row>
    <row r="9820">
      <c r="D9820" s="2" t="inlineStr">
        <is>
          <t>SUBTOTAL BAHAN</t>
        </is>
      </c>
      <c r="F9820" s="16" t="n">
        <v>1575000</v>
      </c>
    </row>
    <row r="9821">
      <c r="D9821" s="2" t="inlineStr">
        <is>
          <t>SUBTOTAL ALAT</t>
        </is>
      </c>
      <c r="F9821" s="16" t="n">
        <v>0</v>
      </c>
    </row>
    <row r="9822">
      <c r="E9822" s="2" t="inlineStr">
        <is>
          <t>TOTAL HARGA SATUAN (Inc. Overhead)</t>
        </is>
      </c>
      <c r="F9822" s="17" t="n">
        <v>1748483</v>
      </c>
    </row>
    <row r="9824">
      <c r="A9824" s="14" t="inlineStr">
        <is>
          <t>KODE: 5.4.6.1 - Pemasangan 1 Titik Instalasi TV</t>
        </is>
      </c>
    </row>
    <row r="9825">
      <c r="A9825" s="10" t="inlineStr">
        <is>
          <t>No</t>
        </is>
      </c>
      <c r="B9825" s="10" t="inlineStr">
        <is>
          <t>Uraian Komponen</t>
        </is>
      </c>
      <c r="C9825" s="10" t="inlineStr">
        <is>
          <t>Satuan</t>
        </is>
      </c>
      <c r="D9825" s="10" t="inlineStr">
        <is>
          <t>Koef</t>
        </is>
      </c>
      <c r="E9825" s="10" t="inlineStr">
        <is>
          <t>Harga Satuan (Rp)</t>
        </is>
      </c>
      <c r="F9825" s="10" t="inlineStr">
        <is>
          <t>Jumlah Harga (Rp)</t>
        </is>
      </c>
    </row>
    <row r="9826">
      <c r="A9826" s="3" t="inlineStr">
        <is>
          <t>1</t>
        </is>
      </c>
      <c r="B9826" s="3" t="inlineStr">
        <is>
          <t>Pekerja</t>
        </is>
      </c>
      <c r="C9826" s="3" t="inlineStr">
        <is>
          <t>OH</t>
        </is>
      </c>
      <c r="D9826" s="15" t="n">
        <v>0.205</v>
      </c>
      <c r="E9826" s="4" t="n">
        <v>100000</v>
      </c>
      <c r="F9826" s="4" t="n">
        <v>20500</v>
      </c>
    </row>
    <row r="9827">
      <c r="A9827" s="3" t="inlineStr">
        <is>
          <t>2</t>
        </is>
      </c>
      <c r="B9827" s="3" t="inlineStr">
        <is>
          <t>Tukang listrik</t>
        </is>
      </c>
      <c r="C9827" s="3" t="inlineStr">
        <is>
          <t>OH</t>
        </is>
      </c>
      <c r="D9827" s="15" t="n">
        <v>0.342</v>
      </c>
      <c r="E9827" s="4" t="n">
        <v>145000</v>
      </c>
      <c r="F9827" s="4" t="n">
        <v>49590.00000000001</v>
      </c>
    </row>
    <row r="9828">
      <c r="A9828" s="3" t="inlineStr">
        <is>
          <t>3</t>
        </is>
      </c>
      <c r="B9828" s="3" t="inlineStr">
        <is>
          <t>Kepala Tukang</t>
        </is>
      </c>
      <c r="C9828" s="3" t="inlineStr">
        <is>
          <t>OH</t>
        </is>
      </c>
      <c r="D9828" s="15" t="n">
        <v>0.034</v>
      </c>
      <c r="E9828" s="4" t="n">
        <v>175000</v>
      </c>
      <c r="F9828" s="4" t="n">
        <v>5950</v>
      </c>
    </row>
    <row r="9829">
      <c r="A9829" s="3" t="inlineStr">
        <is>
          <t>4</t>
        </is>
      </c>
      <c r="B9829" s="3" t="inlineStr">
        <is>
          <t>Mandor</t>
        </is>
      </c>
      <c r="C9829" s="3" t="inlineStr">
        <is>
          <t>OH</t>
        </is>
      </c>
      <c r="D9829" s="15" t="n">
        <v>0.011</v>
      </c>
      <c r="E9829" s="4" t="n">
        <v>200000</v>
      </c>
      <c r="F9829" s="4" t="n">
        <v>2200</v>
      </c>
    </row>
    <row r="9830">
      <c r="A9830" s="3" t="inlineStr">
        <is>
          <t>1</t>
        </is>
      </c>
      <c r="B9830" s="3" t="inlineStr">
        <is>
          <t>Kabel Coaxial 7C-2V</t>
        </is>
      </c>
      <c r="C9830" s="3" t="inlineStr">
        <is>
          <t>m</t>
        </is>
      </c>
      <c r="D9830" s="15" t="n">
        <v>27.5</v>
      </c>
      <c r="E9830" s="4" t="n">
        <v>22800</v>
      </c>
      <c r="F9830" s="4" t="n">
        <v>627000</v>
      </c>
    </row>
    <row r="9831">
      <c r="A9831" s="3" t="inlineStr">
        <is>
          <t>2</t>
        </is>
      </c>
      <c r="B9831" s="3" t="inlineStr">
        <is>
          <t>Conduit HI 20 mm</t>
        </is>
      </c>
      <c r="C9831" s="3" t="inlineStr">
        <is>
          <t>m</t>
        </is>
      </c>
      <c r="D9831" s="15" t="n">
        <v>27.5</v>
      </c>
      <c r="E9831" s="4" t="n">
        <v>4000</v>
      </c>
      <c r="F9831" s="4" t="n">
        <v>110000</v>
      </c>
    </row>
    <row r="9832">
      <c r="A9832" s="3" t="inlineStr">
        <is>
          <t>3</t>
        </is>
      </c>
      <c r="B9832" s="3" t="inlineStr">
        <is>
          <t>Socket Conduit 20 mm</t>
        </is>
      </c>
      <c r="C9832" s="3" t="inlineStr">
        <is>
          <t>buah</t>
        </is>
      </c>
      <c r="D9832" s="15" t="n">
        <v>14</v>
      </c>
      <c r="E9832" s="4" t="n">
        <v>700</v>
      </c>
      <c r="F9832" s="4" t="n">
        <v>9800</v>
      </c>
    </row>
    <row r="9833">
      <c r="A9833" s="3" t="inlineStr">
        <is>
          <t>4</t>
        </is>
      </c>
      <c r="B9833" s="3" t="inlineStr">
        <is>
          <t>Klem 20 mm</t>
        </is>
      </c>
      <c r="C9833" s="3" t="inlineStr">
        <is>
          <t>buah</t>
        </is>
      </c>
      <c r="D9833" s="15" t="n">
        <v>28</v>
      </c>
      <c r="E9833" s="4" t="n">
        <v>900</v>
      </c>
      <c r="F9833" s="4" t="n">
        <v>25200</v>
      </c>
    </row>
    <row r="9834">
      <c r="A9834" s="3" t="inlineStr">
        <is>
          <t>5</t>
        </is>
      </c>
      <c r="B9834" s="3" t="inlineStr">
        <is>
          <t>Fischer S6 + Sekrup</t>
        </is>
      </c>
      <c r="C9834" s="3" t="inlineStr">
        <is>
          <t>buah</t>
        </is>
      </c>
      <c r="D9834" s="15" t="n">
        <v>42</v>
      </c>
      <c r="E9834" s="4" t="n">
        <v>21.5</v>
      </c>
      <c r="F9834" s="4" t="n">
        <v>903</v>
      </c>
    </row>
    <row r="9835">
      <c r="A9835" s="3" t="inlineStr">
        <is>
          <t>6</t>
        </is>
      </c>
      <c r="B9835" s="3" t="inlineStr">
        <is>
          <t>Connector</t>
        </is>
      </c>
      <c r="C9835" s="3" t="inlineStr">
        <is>
          <t>buah</t>
        </is>
      </c>
      <c r="D9835" s="15" t="n">
        <v>81</v>
      </c>
      <c r="E9835" s="4" t="n">
        <v>2550</v>
      </c>
      <c r="F9835" s="4" t="n">
        <v>206550</v>
      </c>
    </row>
    <row r="9836">
      <c r="D9836" s="2" t="inlineStr">
        <is>
          <t>SUBTOTAL UPAH</t>
        </is>
      </c>
      <c r="F9836" s="16" t="n">
        <v>78240</v>
      </c>
    </row>
    <row r="9837">
      <c r="D9837" s="2" t="inlineStr">
        <is>
          <t>SUBTOTAL BAHAN</t>
        </is>
      </c>
      <c r="F9837" s="16" t="n">
        <v>979453</v>
      </c>
    </row>
    <row r="9838">
      <c r="D9838" s="2" t="inlineStr">
        <is>
          <t>SUBTOTAL ALAT</t>
        </is>
      </c>
      <c r="F9838" s="16" t="n">
        <v>0</v>
      </c>
    </row>
    <row r="9839">
      <c r="E9839" s="2" t="inlineStr">
        <is>
          <t>TOTAL HARGA SATUAN (Inc. Overhead)</t>
        </is>
      </c>
      <c r="F9839" s="17" t="n">
        <v>1163462</v>
      </c>
    </row>
    <row r="9841">
      <c r="A9841" s="14" t="inlineStr">
        <is>
          <t>KODE: 5.4.6.2 - Pemasangan 1 Unit Splitter TV 6 Port</t>
        </is>
      </c>
    </row>
    <row r="9842">
      <c r="A9842" s="10" t="inlineStr">
        <is>
          <t>No</t>
        </is>
      </c>
      <c r="B9842" s="10" t="inlineStr">
        <is>
          <t>Uraian Komponen</t>
        </is>
      </c>
      <c r="C9842" s="10" t="inlineStr">
        <is>
          <t>Satuan</t>
        </is>
      </c>
      <c r="D9842" s="10" t="inlineStr">
        <is>
          <t>Koef</t>
        </is>
      </c>
      <c r="E9842" s="10" t="inlineStr">
        <is>
          <t>Harga Satuan (Rp)</t>
        </is>
      </c>
      <c r="F9842" s="10" t="inlineStr">
        <is>
          <t>Jumlah Harga (Rp)</t>
        </is>
      </c>
    </row>
    <row r="9843">
      <c r="A9843" s="3" t="inlineStr">
        <is>
          <t>1</t>
        </is>
      </c>
      <c r="B9843" s="3" t="inlineStr">
        <is>
          <t>Pekerja</t>
        </is>
      </c>
      <c r="C9843" s="3" t="inlineStr">
        <is>
          <t>OH</t>
        </is>
      </c>
      <c r="D9843" s="15" t="n">
        <v>0.064</v>
      </c>
      <c r="E9843" s="4" t="n">
        <v>100000</v>
      </c>
      <c r="F9843" s="4" t="n">
        <v>6400</v>
      </c>
    </row>
    <row r="9844">
      <c r="A9844" s="3" t="inlineStr">
        <is>
          <t>2</t>
        </is>
      </c>
      <c r="B9844" s="3" t="inlineStr">
        <is>
          <t>Tukang listrik</t>
        </is>
      </c>
      <c r="C9844" s="3" t="inlineStr">
        <is>
          <t>OH</t>
        </is>
      </c>
      <c r="D9844" s="15" t="n">
        <v>0.107</v>
      </c>
      <c r="E9844" s="4" t="n">
        <v>145000</v>
      </c>
      <c r="F9844" s="4" t="n">
        <v>15515</v>
      </c>
    </row>
    <row r="9845">
      <c r="A9845" s="3" t="inlineStr">
        <is>
          <t>3</t>
        </is>
      </c>
      <c r="B9845" s="3" t="inlineStr">
        <is>
          <t>Kepala Tukang</t>
        </is>
      </c>
      <c r="C9845" s="3" t="inlineStr">
        <is>
          <t>OH</t>
        </is>
      </c>
      <c r="D9845" s="15" t="n">
        <v>0.011</v>
      </c>
      <c r="E9845" s="4" t="n">
        <v>175000</v>
      </c>
      <c r="F9845" s="4" t="n">
        <v>1925</v>
      </c>
    </row>
    <row r="9846">
      <c r="A9846" s="3" t="inlineStr">
        <is>
          <t>4</t>
        </is>
      </c>
      <c r="B9846" s="3" t="inlineStr">
        <is>
          <t>Mandor</t>
        </is>
      </c>
      <c r="C9846" s="3" t="inlineStr">
        <is>
          <t>OH</t>
        </is>
      </c>
      <c r="D9846" s="15" t="n">
        <v>0.004</v>
      </c>
      <c r="E9846" s="4" t="n">
        <v>200000</v>
      </c>
      <c r="F9846" s="4" t="n">
        <v>800</v>
      </c>
    </row>
    <row r="9847">
      <c r="A9847" s="3" t="inlineStr">
        <is>
          <t>1</t>
        </is>
      </c>
      <c r="B9847" s="3" t="inlineStr">
        <is>
          <t>Splitter TV 6 Port</t>
        </is>
      </c>
      <c r="C9847" s="3" t="inlineStr">
        <is>
          <t>Unit</t>
        </is>
      </c>
      <c r="D9847" s="15" t="n">
        <v>1.05</v>
      </c>
      <c r="E9847" s="4" t="n">
        <v>100000</v>
      </c>
      <c r="F9847" s="4" t="n">
        <v>105000</v>
      </c>
    </row>
    <row r="9848">
      <c r="D9848" s="2" t="inlineStr">
        <is>
          <t>SUBTOTAL UPAH</t>
        </is>
      </c>
      <c r="F9848" s="16" t="n">
        <v>24640</v>
      </c>
    </row>
    <row r="9849">
      <c r="D9849" s="2" t="inlineStr">
        <is>
          <t>SUBTOTAL BAHAN</t>
        </is>
      </c>
      <c r="F9849" s="16" t="n">
        <v>105000</v>
      </c>
    </row>
    <row r="9850">
      <c r="D9850" s="2" t="inlineStr">
        <is>
          <t>SUBTOTAL ALAT</t>
        </is>
      </c>
      <c r="F9850" s="16" t="n">
        <v>0</v>
      </c>
    </row>
    <row r="9851">
      <c r="E9851" s="2" t="inlineStr">
        <is>
          <t>TOTAL HARGA SATUAN (Inc. Overhead)</t>
        </is>
      </c>
      <c r="F9851" s="17" t="n">
        <v>142604</v>
      </c>
    </row>
    <row r="9853">
      <c r="A9853" s="14" t="inlineStr">
        <is>
          <t>KODE: 5.4.6.3 - Pemasangan 1 Unit Splitter TV 7 Port</t>
        </is>
      </c>
    </row>
    <row r="9854">
      <c r="A9854" s="10" t="inlineStr">
        <is>
          <t>No</t>
        </is>
      </c>
      <c r="B9854" s="10" t="inlineStr">
        <is>
          <t>Uraian Komponen</t>
        </is>
      </c>
      <c r="C9854" s="10" t="inlineStr">
        <is>
          <t>Satuan</t>
        </is>
      </c>
      <c r="D9854" s="10" t="inlineStr">
        <is>
          <t>Koef</t>
        </is>
      </c>
      <c r="E9854" s="10" t="inlineStr">
        <is>
          <t>Harga Satuan (Rp)</t>
        </is>
      </c>
      <c r="F9854" s="10" t="inlineStr">
        <is>
          <t>Jumlah Harga (Rp)</t>
        </is>
      </c>
    </row>
    <row r="9855">
      <c r="A9855" s="3" t="inlineStr">
        <is>
          <t>1</t>
        </is>
      </c>
      <c r="B9855" s="3" t="inlineStr">
        <is>
          <t>Pekerja</t>
        </is>
      </c>
      <c r="C9855" s="3" t="inlineStr">
        <is>
          <t>OH</t>
        </is>
      </c>
      <c r="D9855" s="15" t="n">
        <v>0.064</v>
      </c>
      <c r="E9855" s="4" t="n">
        <v>100000</v>
      </c>
      <c r="F9855" s="4" t="n">
        <v>6400</v>
      </c>
    </row>
    <row r="9856">
      <c r="A9856" s="3" t="inlineStr">
        <is>
          <t>2</t>
        </is>
      </c>
      <c r="B9856" s="3" t="inlineStr">
        <is>
          <t>Tukang listrik</t>
        </is>
      </c>
      <c r="C9856" s="3" t="inlineStr">
        <is>
          <t>OH</t>
        </is>
      </c>
      <c r="D9856" s="15" t="n">
        <v>0.107</v>
      </c>
      <c r="E9856" s="4" t="n">
        <v>145000</v>
      </c>
      <c r="F9856" s="4" t="n">
        <v>15515</v>
      </c>
    </row>
    <row r="9857">
      <c r="A9857" s="3" t="inlineStr">
        <is>
          <t>3</t>
        </is>
      </c>
      <c r="B9857" s="3" t="inlineStr">
        <is>
          <t>Kepala Tukang</t>
        </is>
      </c>
      <c r="C9857" s="3" t="inlineStr">
        <is>
          <t>OH</t>
        </is>
      </c>
      <c r="D9857" s="15" t="n">
        <v>0.011</v>
      </c>
      <c r="E9857" s="4" t="n">
        <v>175000</v>
      </c>
      <c r="F9857" s="4" t="n">
        <v>1925</v>
      </c>
    </row>
    <row r="9858">
      <c r="A9858" s="3" t="inlineStr">
        <is>
          <t>4</t>
        </is>
      </c>
      <c r="B9858" s="3" t="inlineStr">
        <is>
          <t>Mandor</t>
        </is>
      </c>
      <c r="C9858" s="3" t="inlineStr">
        <is>
          <t>OH</t>
        </is>
      </c>
      <c r="D9858" s="15" t="n">
        <v>0.004</v>
      </c>
      <c r="E9858" s="4" t="n">
        <v>200000</v>
      </c>
      <c r="F9858" s="4" t="n">
        <v>800</v>
      </c>
    </row>
    <row r="9859">
      <c r="A9859" s="3" t="inlineStr">
        <is>
          <t>1</t>
        </is>
      </c>
      <c r="B9859" s="3" t="inlineStr">
        <is>
          <t>Splitter TV 7 Port</t>
        </is>
      </c>
      <c r="C9859" s="3" t="inlineStr">
        <is>
          <t>Unit</t>
        </is>
      </c>
      <c r="D9859" s="15" t="n">
        <v>1.05</v>
      </c>
      <c r="E9859" s="4" t="n">
        <v>125000</v>
      </c>
      <c r="F9859" s="4" t="n">
        <v>131250</v>
      </c>
    </row>
    <row r="9860">
      <c r="D9860" s="2" t="inlineStr">
        <is>
          <t>SUBTOTAL UPAH</t>
        </is>
      </c>
      <c r="F9860" s="16" t="n">
        <v>24640</v>
      </c>
    </row>
    <row r="9861">
      <c r="D9861" s="2" t="inlineStr">
        <is>
          <t>SUBTOTAL BAHAN</t>
        </is>
      </c>
      <c r="F9861" s="16" t="n">
        <v>131250</v>
      </c>
    </row>
    <row r="9862">
      <c r="D9862" s="2" t="inlineStr">
        <is>
          <t>SUBTOTAL ALAT</t>
        </is>
      </c>
      <c r="F9862" s="16" t="n">
        <v>0</v>
      </c>
    </row>
    <row r="9863">
      <c r="E9863" s="2" t="inlineStr">
        <is>
          <t>TOTAL HARGA SATUAN (Inc. Overhead)</t>
        </is>
      </c>
      <c r="F9863" s="17" t="n">
        <v>171479</v>
      </c>
    </row>
    <row r="9865">
      <c r="A9865" s="14" t="inlineStr">
        <is>
          <t>KODE: 5.4.6.4 - Pemasangan 1 Unit Terminal Box TV</t>
        </is>
      </c>
    </row>
    <row r="9866">
      <c r="A9866" s="10" t="inlineStr">
        <is>
          <t>No</t>
        </is>
      </c>
      <c r="B9866" s="10" t="inlineStr">
        <is>
          <t>Uraian Komponen</t>
        </is>
      </c>
      <c r="C9866" s="10" t="inlineStr">
        <is>
          <t>Satuan</t>
        </is>
      </c>
      <c r="D9866" s="10" t="inlineStr">
        <is>
          <t>Koef</t>
        </is>
      </c>
      <c r="E9866" s="10" t="inlineStr">
        <is>
          <t>Harga Satuan (Rp)</t>
        </is>
      </c>
      <c r="F9866" s="10" t="inlineStr">
        <is>
          <t>Jumlah Harga (Rp)</t>
        </is>
      </c>
    </row>
    <row r="9867">
      <c r="A9867" s="3" t="inlineStr">
        <is>
          <t>1</t>
        </is>
      </c>
      <c r="B9867" s="3" t="inlineStr">
        <is>
          <t>Pekerja</t>
        </is>
      </c>
      <c r="C9867" s="3" t="inlineStr">
        <is>
          <t>OH</t>
        </is>
      </c>
      <c r="D9867" s="15" t="n">
        <v>0.052</v>
      </c>
      <c r="E9867" s="4" t="n">
        <v>100000</v>
      </c>
      <c r="F9867" s="4" t="n">
        <v>5200</v>
      </c>
    </row>
    <row r="9868">
      <c r="A9868" s="3" t="inlineStr">
        <is>
          <t>2</t>
        </is>
      </c>
      <c r="B9868" s="3" t="inlineStr">
        <is>
          <t>Tukang listrik</t>
        </is>
      </c>
      <c r="C9868" s="3" t="inlineStr">
        <is>
          <t>OH</t>
        </is>
      </c>
      <c r="D9868" s="15" t="n">
        <v>0.08699999999999999</v>
      </c>
      <c r="E9868" s="4" t="n">
        <v>145000</v>
      </c>
      <c r="F9868" s="4" t="n">
        <v>12615</v>
      </c>
    </row>
    <row r="9869">
      <c r="A9869" s="3" t="inlineStr">
        <is>
          <t>3</t>
        </is>
      </c>
      <c r="B9869" s="3" t="inlineStr">
        <is>
          <t>Kepala Tukang</t>
        </is>
      </c>
      <c r="C9869" s="3" t="inlineStr">
        <is>
          <t>OH</t>
        </is>
      </c>
      <c r="D9869" s="15" t="n">
        <v>0.008999999999999999</v>
      </c>
      <c r="E9869" s="4" t="n">
        <v>175000</v>
      </c>
      <c r="F9869" s="4" t="n">
        <v>1575</v>
      </c>
    </row>
    <row r="9870">
      <c r="A9870" s="3" t="inlineStr">
        <is>
          <t>4</t>
        </is>
      </c>
      <c r="B9870" s="3" t="inlineStr">
        <is>
          <t>Mandor</t>
        </is>
      </c>
      <c r="C9870" s="3" t="inlineStr">
        <is>
          <t>OH</t>
        </is>
      </c>
      <c r="D9870" s="15" t="n">
        <v>0.003</v>
      </c>
      <c r="E9870" s="4" t="n">
        <v>200000</v>
      </c>
      <c r="F9870" s="4" t="n">
        <v>600</v>
      </c>
    </row>
    <row r="9871">
      <c r="A9871" s="3" t="inlineStr">
        <is>
          <t>1</t>
        </is>
      </c>
      <c r="B9871" s="3" t="inlineStr">
        <is>
          <t>Terminal Bocx TV</t>
        </is>
      </c>
      <c r="C9871" s="3" t="inlineStr">
        <is>
          <t>Unit</t>
        </is>
      </c>
      <c r="D9871" s="15" t="n">
        <v>1.05</v>
      </c>
      <c r="E9871" s="4" t="n">
        <v>250000</v>
      </c>
      <c r="F9871" s="4" t="n">
        <v>262500</v>
      </c>
    </row>
    <row r="9872">
      <c r="D9872" s="2" t="inlineStr">
        <is>
          <t>SUBTOTAL UPAH</t>
        </is>
      </c>
      <c r="F9872" s="16" t="n">
        <v>19990</v>
      </c>
    </row>
    <row r="9873">
      <c r="D9873" s="2" t="inlineStr">
        <is>
          <t>SUBTOTAL BAHAN</t>
        </is>
      </c>
      <c r="F9873" s="16" t="n">
        <v>262500</v>
      </c>
    </row>
    <row r="9874">
      <c r="D9874" s="2" t="inlineStr">
        <is>
          <t>SUBTOTAL ALAT</t>
        </is>
      </c>
      <c r="F9874" s="16" t="n">
        <v>0</v>
      </c>
    </row>
    <row r="9875">
      <c r="E9875" s="2" t="inlineStr">
        <is>
          <t>TOTAL HARGA SATUAN (Inc. Overhead)</t>
        </is>
      </c>
      <c r="F9875" s="17" t="n">
        <v>310739</v>
      </c>
    </row>
    <row r="9877">
      <c r="A9877" s="14" t="inlineStr">
        <is>
          <t>KODE: 5.4.6.5 - Pemasangan 1 Unit Antena UHF</t>
        </is>
      </c>
    </row>
    <row r="9878">
      <c r="A9878" s="10" t="inlineStr">
        <is>
          <t>No</t>
        </is>
      </c>
      <c r="B9878" s="10" t="inlineStr">
        <is>
          <t>Uraian Komponen</t>
        </is>
      </c>
      <c r="C9878" s="10" t="inlineStr">
        <is>
          <t>Satuan</t>
        </is>
      </c>
      <c r="D9878" s="10" t="inlineStr">
        <is>
          <t>Koef</t>
        </is>
      </c>
      <c r="E9878" s="10" t="inlineStr">
        <is>
          <t>Harga Satuan (Rp)</t>
        </is>
      </c>
      <c r="F9878" s="10" t="inlineStr">
        <is>
          <t>Jumlah Harga (Rp)</t>
        </is>
      </c>
    </row>
    <row r="9879">
      <c r="A9879" s="3" t="inlineStr">
        <is>
          <t>1</t>
        </is>
      </c>
      <c r="B9879" s="3" t="inlineStr">
        <is>
          <t>Pekerja</t>
        </is>
      </c>
      <c r="C9879" s="3" t="inlineStr">
        <is>
          <t>OH</t>
        </is>
      </c>
      <c r="D9879" s="15" t="n">
        <v>0.126</v>
      </c>
      <c r="E9879" s="4" t="n">
        <v>100000</v>
      </c>
      <c r="F9879" s="4" t="n">
        <v>12600</v>
      </c>
    </row>
    <row r="9880">
      <c r="A9880" s="3" t="inlineStr">
        <is>
          <t>2</t>
        </is>
      </c>
      <c r="B9880" s="3" t="inlineStr">
        <is>
          <t>Tukang listrik</t>
        </is>
      </c>
      <c r="C9880" s="3" t="inlineStr">
        <is>
          <t>OH</t>
        </is>
      </c>
      <c r="D9880" s="15" t="n">
        <v>0.211</v>
      </c>
      <c r="E9880" s="4" t="n">
        <v>145000</v>
      </c>
      <c r="F9880" s="4" t="n">
        <v>30595</v>
      </c>
    </row>
    <row r="9881">
      <c r="A9881" s="3" t="inlineStr">
        <is>
          <t>3</t>
        </is>
      </c>
      <c r="B9881" s="3" t="inlineStr">
        <is>
          <t>Kepala Tukang</t>
        </is>
      </c>
      <c r="C9881" s="3" t="inlineStr">
        <is>
          <t>OH</t>
        </is>
      </c>
      <c r="D9881" s="15" t="n">
        <v>0.021</v>
      </c>
      <c r="E9881" s="4" t="n">
        <v>175000</v>
      </c>
      <c r="F9881" s="4" t="n">
        <v>3675</v>
      </c>
    </row>
    <row r="9882">
      <c r="A9882" s="3" t="inlineStr">
        <is>
          <t>4</t>
        </is>
      </c>
      <c r="B9882" s="3" t="inlineStr">
        <is>
          <t>Mandor</t>
        </is>
      </c>
      <c r="C9882" s="3" t="inlineStr">
        <is>
          <t>OH</t>
        </is>
      </c>
      <c r="D9882" s="15" t="n">
        <v>0.007</v>
      </c>
      <c r="E9882" s="4" t="n">
        <v>200000</v>
      </c>
      <c r="F9882" s="4" t="n">
        <v>1400</v>
      </c>
    </row>
    <row r="9883">
      <c r="A9883" s="3" t="inlineStr">
        <is>
          <t>1</t>
        </is>
      </c>
      <c r="B9883" s="3" t="inlineStr">
        <is>
          <t>Antena UHF</t>
        </is>
      </c>
      <c r="C9883" s="3" t="inlineStr">
        <is>
          <t>Unit</t>
        </is>
      </c>
      <c r="D9883" s="15" t="n">
        <v>1.05</v>
      </c>
      <c r="E9883" s="4" t="n">
        <v>130000</v>
      </c>
      <c r="F9883" s="4" t="n">
        <v>136500</v>
      </c>
    </row>
    <row r="9884">
      <c r="A9884" s="3" t="inlineStr">
        <is>
          <t>2</t>
        </is>
      </c>
      <c r="B9884" s="3" t="inlineStr">
        <is>
          <t>Tiang</t>
        </is>
      </c>
      <c r="C9884" s="3" t="inlineStr">
        <is>
          <t>buah</t>
        </is>
      </c>
      <c r="D9884" s="15" t="n">
        <v>1</v>
      </c>
      <c r="E9884" s="4" t="n">
        <v>55500</v>
      </c>
      <c r="F9884" s="4" t="n">
        <v>55500</v>
      </c>
    </row>
    <row r="9885">
      <c r="D9885" s="2" t="inlineStr">
        <is>
          <t>SUBTOTAL UPAH</t>
        </is>
      </c>
      <c r="F9885" s="16" t="n">
        <v>48270</v>
      </c>
    </row>
    <row r="9886">
      <c r="D9886" s="2" t="inlineStr">
        <is>
          <t>SUBTOTAL BAHAN</t>
        </is>
      </c>
      <c r="F9886" s="16" t="n">
        <v>192000</v>
      </c>
    </row>
    <row r="9887">
      <c r="D9887" s="2" t="inlineStr">
        <is>
          <t>SUBTOTAL ALAT</t>
        </is>
      </c>
      <c r="F9887" s="16" t="n">
        <v>0</v>
      </c>
    </row>
    <row r="9888">
      <c r="E9888" s="2" t="inlineStr">
        <is>
          <t>TOTAL HARGA SATUAN (Inc. Overhead)</t>
        </is>
      </c>
      <c r="F9888" s="17" t="n">
        <v>264297</v>
      </c>
    </row>
    <row r="9890">
      <c r="A9890" s="14" t="inlineStr">
        <is>
          <t>KODE: 5.4.6.6 - Pemasangan 1 Unit Antena VHF</t>
        </is>
      </c>
    </row>
    <row r="9891">
      <c r="A9891" s="10" t="inlineStr">
        <is>
          <t>No</t>
        </is>
      </c>
      <c r="B9891" s="10" t="inlineStr">
        <is>
          <t>Uraian Komponen</t>
        </is>
      </c>
      <c r="C9891" s="10" t="inlineStr">
        <is>
          <t>Satuan</t>
        </is>
      </c>
      <c r="D9891" s="10" t="inlineStr">
        <is>
          <t>Koef</t>
        </is>
      </c>
      <c r="E9891" s="10" t="inlineStr">
        <is>
          <t>Harga Satuan (Rp)</t>
        </is>
      </c>
      <c r="F9891" s="10" t="inlineStr">
        <is>
          <t>Jumlah Harga (Rp)</t>
        </is>
      </c>
    </row>
    <row r="9892">
      <c r="A9892" s="3" t="inlineStr">
        <is>
          <t>1</t>
        </is>
      </c>
      <c r="B9892" s="3" t="inlineStr">
        <is>
          <t>Pekerja</t>
        </is>
      </c>
      <c r="C9892" s="3" t="inlineStr">
        <is>
          <t>OH</t>
        </is>
      </c>
      <c r="D9892" s="15" t="n">
        <v>0.126</v>
      </c>
      <c r="E9892" s="4" t="n">
        <v>100000</v>
      </c>
      <c r="F9892" s="4" t="n">
        <v>12600</v>
      </c>
    </row>
    <row r="9893">
      <c r="A9893" s="3" t="inlineStr">
        <is>
          <t>2</t>
        </is>
      </c>
      <c r="B9893" s="3" t="inlineStr">
        <is>
          <t>Tukang listrik</t>
        </is>
      </c>
      <c r="C9893" s="3" t="inlineStr">
        <is>
          <t>OH</t>
        </is>
      </c>
      <c r="D9893" s="15" t="n">
        <v>0.211</v>
      </c>
      <c r="E9893" s="4" t="n">
        <v>145000</v>
      </c>
      <c r="F9893" s="4" t="n">
        <v>30595</v>
      </c>
    </row>
    <row r="9894">
      <c r="A9894" s="3" t="inlineStr">
        <is>
          <t>3</t>
        </is>
      </c>
      <c r="B9894" s="3" t="inlineStr">
        <is>
          <t>Kepala Tukang</t>
        </is>
      </c>
      <c r="C9894" s="3" t="inlineStr">
        <is>
          <t>OH</t>
        </is>
      </c>
      <c r="D9894" s="15" t="n">
        <v>0.021</v>
      </c>
      <c r="E9894" s="4" t="n">
        <v>175000</v>
      </c>
      <c r="F9894" s="4" t="n">
        <v>3675</v>
      </c>
    </row>
    <row r="9895">
      <c r="A9895" s="3" t="inlineStr">
        <is>
          <t>4</t>
        </is>
      </c>
      <c r="B9895" s="3" t="inlineStr">
        <is>
          <t>Mandor</t>
        </is>
      </c>
      <c r="C9895" s="3" t="inlineStr">
        <is>
          <t>OH</t>
        </is>
      </c>
      <c r="D9895" s="15" t="n">
        <v>0.007</v>
      </c>
      <c r="E9895" s="4" t="n">
        <v>200000</v>
      </c>
      <c r="F9895" s="4" t="n">
        <v>1400</v>
      </c>
    </row>
    <row r="9896">
      <c r="A9896" s="3" t="inlineStr">
        <is>
          <t>1</t>
        </is>
      </c>
      <c r="B9896" s="3" t="inlineStr">
        <is>
          <t>Antena VHF</t>
        </is>
      </c>
      <c r="C9896" s="3" t="inlineStr">
        <is>
          <t>Unit</t>
        </is>
      </c>
      <c r="D9896" s="15" t="n">
        <v>1.05</v>
      </c>
      <c r="E9896" s="4" t="n">
        <v>150000</v>
      </c>
      <c r="F9896" s="4" t="n">
        <v>157500</v>
      </c>
    </row>
    <row r="9897">
      <c r="A9897" s="3" t="inlineStr">
        <is>
          <t>2</t>
        </is>
      </c>
      <c r="B9897" s="3" t="inlineStr">
        <is>
          <t>Tiang</t>
        </is>
      </c>
      <c r="C9897" s="3" t="inlineStr">
        <is>
          <t>buah</t>
        </is>
      </c>
      <c r="D9897" s="15" t="n">
        <v>1</v>
      </c>
      <c r="E9897" s="4" t="n">
        <v>55500</v>
      </c>
      <c r="F9897" s="4" t="n">
        <v>55500</v>
      </c>
    </row>
    <row r="9898">
      <c r="D9898" s="2" t="inlineStr">
        <is>
          <t>SUBTOTAL UPAH</t>
        </is>
      </c>
      <c r="F9898" s="16" t="n">
        <v>48270</v>
      </c>
    </row>
    <row r="9899">
      <c r="D9899" s="2" t="inlineStr">
        <is>
          <t>SUBTOTAL BAHAN</t>
        </is>
      </c>
      <c r="F9899" s="16" t="n">
        <v>213000</v>
      </c>
    </row>
    <row r="9900">
      <c r="D9900" s="2" t="inlineStr">
        <is>
          <t>SUBTOTAL ALAT</t>
        </is>
      </c>
      <c r="F9900" s="16" t="n">
        <v>0</v>
      </c>
    </row>
    <row r="9901">
      <c r="E9901" s="2" t="inlineStr">
        <is>
          <t>TOTAL HARGA SATUAN (Inc. Overhead)</t>
        </is>
      </c>
      <c r="F9901" s="17" t="n">
        <v>287397</v>
      </c>
    </row>
    <row r="9903">
      <c r="A9903" s="14" t="inlineStr">
        <is>
          <t>KODE: 5.4.7.1 - Pemasangan 1 Unit Main Control Unit (MCU)</t>
        </is>
      </c>
    </row>
    <row r="9904">
      <c r="A9904" s="10" t="inlineStr">
        <is>
          <t>No</t>
        </is>
      </c>
      <c r="B9904" s="10" t="inlineStr">
        <is>
          <t>Uraian Komponen</t>
        </is>
      </c>
      <c r="C9904" s="10" t="inlineStr">
        <is>
          <t>Satuan</t>
        </is>
      </c>
      <c r="D9904" s="10" t="inlineStr">
        <is>
          <t>Koef</t>
        </is>
      </c>
      <c r="E9904" s="10" t="inlineStr">
        <is>
          <t>Harga Satuan (Rp)</t>
        </is>
      </c>
      <c r="F9904" s="10" t="inlineStr">
        <is>
          <t>Jumlah Harga (Rp)</t>
        </is>
      </c>
    </row>
    <row r="9905">
      <c r="A9905" s="3" t="inlineStr">
        <is>
          <t>1</t>
        </is>
      </c>
      <c r="B9905" s="3" t="inlineStr">
        <is>
          <t>Pekerja</t>
        </is>
      </c>
      <c r="C9905" s="3" t="inlineStr">
        <is>
          <t>OH</t>
        </is>
      </c>
      <c r="D9905" s="15" t="n">
        <v>0.788</v>
      </c>
      <c r="E9905" s="4" t="n">
        <v>100000</v>
      </c>
      <c r="F9905" s="4" t="n">
        <v>78800</v>
      </c>
    </row>
    <row r="9906">
      <c r="A9906" s="3" t="inlineStr">
        <is>
          <t>2</t>
        </is>
      </c>
      <c r="B9906" s="3" t="inlineStr">
        <is>
          <t>Tukang listrik</t>
        </is>
      </c>
      <c r="C9906" s="3" t="inlineStr">
        <is>
          <t>OH</t>
        </is>
      </c>
      <c r="D9906" s="15" t="n">
        <v>1.316</v>
      </c>
      <c r="E9906" s="4" t="n">
        <v>145000</v>
      </c>
      <c r="F9906" s="4" t="n">
        <v>190820</v>
      </c>
    </row>
    <row r="9907">
      <c r="A9907" s="3" t="inlineStr">
        <is>
          <t>3</t>
        </is>
      </c>
      <c r="B9907" s="3" t="inlineStr">
        <is>
          <t>Kepala Tukang</t>
        </is>
      </c>
      <c r="C9907" s="3" t="inlineStr">
        <is>
          <t>OH</t>
        </is>
      </c>
      <c r="D9907" s="15" t="n">
        <v>0.132</v>
      </c>
      <c r="E9907" s="4" t="n">
        <v>175000</v>
      </c>
      <c r="F9907" s="4" t="n">
        <v>23100</v>
      </c>
    </row>
    <row r="9908">
      <c r="A9908" s="3" t="inlineStr">
        <is>
          <t>4</t>
        </is>
      </c>
      <c r="B9908" s="3" t="inlineStr">
        <is>
          <t>Mandor</t>
        </is>
      </c>
      <c r="C9908" s="3" t="inlineStr">
        <is>
          <t>OH</t>
        </is>
      </c>
      <c r="D9908" s="15" t="n">
        <v>0.044</v>
      </c>
      <c r="E9908" s="4" t="n">
        <v>200000</v>
      </c>
      <c r="F9908" s="4" t="n">
        <v>8800</v>
      </c>
    </row>
    <row r="9909">
      <c r="A9909" s="3" t="inlineStr">
        <is>
          <t>1</t>
        </is>
      </c>
      <c r="B9909" s="3" t="inlineStr">
        <is>
          <t>Main Control Unit (MCU)</t>
        </is>
      </c>
      <c r="C9909" s="3" t="inlineStr">
        <is>
          <t>Unit</t>
        </is>
      </c>
      <c r="D9909" s="15" t="n">
        <v>1.05</v>
      </c>
      <c r="E9909" s="4" t="n">
        <v>15000000</v>
      </c>
      <c r="F9909" s="4" t="n">
        <v>15750000</v>
      </c>
    </row>
    <row r="9910">
      <c r="D9910" s="2" t="inlineStr">
        <is>
          <t>SUBTOTAL UPAH</t>
        </is>
      </c>
      <c r="F9910" s="16" t="n">
        <v>301520</v>
      </c>
    </row>
    <row r="9911">
      <c r="D9911" s="2" t="inlineStr">
        <is>
          <t>SUBTOTAL BAHAN</t>
        </is>
      </c>
      <c r="F9911" s="16" t="n">
        <v>15750000</v>
      </c>
    </row>
    <row r="9912">
      <c r="D9912" s="2" t="inlineStr">
        <is>
          <t>SUBTOTAL ALAT</t>
        </is>
      </c>
      <c r="F9912" s="16" t="n">
        <v>0</v>
      </c>
    </row>
    <row r="9913">
      <c r="E9913" s="2" t="inlineStr">
        <is>
          <t>TOTAL HARGA SATUAN (Inc. Overhead)</t>
        </is>
      </c>
      <c r="F9913" s="17" t="n">
        <v>17656672</v>
      </c>
    </row>
    <row r="9915">
      <c r="A9915" s="14" t="inlineStr">
        <is>
          <t>KODE: 5.4.7.2 - Pemasangan 1 Unit Remote Display 10''</t>
        </is>
      </c>
    </row>
    <row r="9916">
      <c r="A9916" s="10" t="inlineStr">
        <is>
          <t>No</t>
        </is>
      </c>
      <c r="B9916" s="10" t="inlineStr">
        <is>
          <t>Uraian Komponen</t>
        </is>
      </c>
      <c r="C9916" s="10" t="inlineStr">
        <is>
          <t>Satuan</t>
        </is>
      </c>
      <c r="D9916" s="10" t="inlineStr">
        <is>
          <t>Koef</t>
        </is>
      </c>
      <c r="E9916" s="10" t="inlineStr">
        <is>
          <t>Harga Satuan (Rp)</t>
        </is>
      </c>
      <c r="F9916" s="10" t="inlineStr">
        <is>
          <t>Jumlah Harga (Rp)</t>
        </is>
      </c>
    </row>
    <row r="9917">
      <c r="A9917" s="3" t="inlineStr">
        <is>
          <t>1</t>
        </is>
      </c>
      <c r="B9917" s="3" t="inlineStr">
        <is>
          <t>Pekerja</t>
        </is>
      </c>
      <c r="C9917" s="3" t="inlineStr">
        <is>
          <t>OH</t>
        </is>
      </c>
      <c r="D9917" s="15" t="n">
        <v>0.25</v>
      </c>
      <c r="E9917" s="4" t="n">
        <v>100000</v>
      </c>
      <c r="F9917" s="4" t="n">
        <v>25000</v>
      </c>
    </row>
    <row r="9918">
      <c r="A9918" s="3" t="inlineStr">
        <is>
          <t>2</t>
        </is>
      </c>
      <c r="B9918" s="3" t="inlineStr">
        <is>
          <t>Tukang listrik</t>
        </is>
      </c>
      <c r="C9918" s="3" t="inlineStr">
        <is>
          <t>OH</t>
        </is>
      </c>
      <c r="D9918" s="15" t="n">
        <v>0.418</v>
      </c>
      <c r="E9918" s="4" t="n">
        <v>145000</v>
      </c>
      <c r="F9918" s="4" t="n">
        <v>60610</v>
      </c>
    </row>
    <row r="9919">
      <c r="A9919" s="3" t="inlineStr">
        <is>
          <t>3</t>
        </is>
      </c>
      <c r="B9919" s="3" t="inlineStr">
        <is>
          <t>Kepala Tukang</t>
        </is>
      </c>
      <c r="C9919" s="3" t="inlineStr">
        <is>
          <t>OH</t>
        </is>
      </c>
      <c r="D9919" s="15" t="n">
        <v>0.042</v>
      </c>
      <c r="E9919" s="4" t="n">
        <v>175000</v>
      </c>
      <c r="F9919" s="4" t="n">
        <v>7350.000000000001</v>
      </c>
    </row>
    <row r="9920">
      <c r="A9920" s="3" t="inlineStr">
        <is>
          <t>4</t>
        </is>
      </c>
      <c r="B9920" s="3" t="inlineStr">
        <is>
          <t>Mandor</t>
        </is>
      </c>
      <c r="C9920" s="3" t="inlineStr">
        <is>
          <t>OH</t>
        </is>
      </c>
      <c r="D9920" s="15" t="n">
        <v>0.014</v>
      </c>
      <c r="E9920" s="4" t="n">
        <v>200000</v>
      </c>
      <c r="F9920" s="4" t="n">
        <v>2800</v>
      </c>
    </row>
    <row r="9921">
      <c r="A9921" s="3" t="inlineStr">
        <is>
          <t>1</t>
        </is>
      </c>
      <c r="B9921" s="3" t="inlineStr">
        <is>
          <t>Remote Display 10''</t>
        </is>
      </c>
      <c r="C9921" s="3" t="inlineStr">
        <is>
          <t>Unit</t>
        </is>
      </c>
      <c r="D9921" s="15" t="n">
        <v>1.05</v>
      </c>
      <c r="E9921" s="4" t="n">
        <v>1000000</v>
      </c>
      <c r="F9921" s="4" t="n">
        <v>1050000</v>
      </c>
    </row>
    <row r="9922">
      <c r="D9922" s="2" t="inlineStr">
        <is>
          <t>SUBTOTAL UPAH</t>
        </is>
      </c>
      <c r="F9922" s="16" t="n">
        <v>95760</v>
      </c>
    </row>
    <row r="9923">
      <c r="D9923" s="2" t="inlineStr">
        <is>
          <t>SUBTOTAL BAHAN</t>
        </is>
      </c>
      <c r="F9923" s="16" t="n">
        <v>1050000</v>
      </c>
    </row>
    <row r="9924">
      <c r="D9924" s="2" t="inlineStr">
        <is>
          <t>SUBTOTAL ALAT</t>
        </is>
      </c>
      <c r="F9924" s="16" t="n">
        <v>0</v>
      </c>
    </row>
    <row r="9925">
      <c r="E9925" s="2" t="inlineStr">
        <is>
          <t>TOTAL HARGA SATUAN (Inc. Overhead)</t>
        </is>
      </c>
      <c r="F9925" s="17" t="n">
        <v>1260336</v>
      </c>
    </row>
    <row r="9927">
      <c r="A9927" s="14" t="inlineStr">
        <is>
          <t>KODE: 5.4.7.3 - Pemasangan 1 Unit Cable Communication Module</t>
        </is>
      </c>
    </row>
    <row r="9928">
      <c r="A9928" s="10" t="inlineStr">
        <is>
          <t>No</t>
        </is>
      </c>
      <c r="B9928" s="10" t="inlineStr">
        <is>
          <t>Uraian Komponen</t>
        </is>
      </c>
      <c r="C9928" s="10" t="inlineStr">
        <is>
          <t>Satuan</t>
        </is>
      </c>
      <c r="D9928" s="10" t="inlineStr">
        <is>
          <t>Koef</t>
        </is>
      </c>
      <c r="E9928" s="10" t="inlineStr">
        <is>
          <t>Harga Satuan (Rp)</t>
        </is>
      </c>
      <c r="F9928" s="10" t="inlineStr">
        <is>
          <t>Jumlah Harga (Rp)</t>
        </is>
      </c>
    </row>
    <row r="9929">
      <c r="A9929" s="3" t="inlineStr">
        <is>
          <t>1</t>
        </is>
      </c>
      <c r="B9929" s="3" t="inlineStr">
        <is>
          <t>Pekerja</t>
        </is>
      </c>
      <c r="C9929" s="3" t="inlineStr">
        <is>
          <t>OH</t>
        </is>
      </c>
      <c r="D9929" s="15" t="n">
        <v>0.126</v>
      </c>
      <c r="E9929" s="4" t="n">
        <v>100000</v>
      </c>
      <c r="F9929" s="4" t="n">
        <v>12600</v>
      </c>
    </row>
    <row r="9930">
      <c r="A9930" s="3" t="inlineStr">
        <is>
          <t>2</t>
        </is>
      </c>
      <c r="B9930" s="3" t="inlineStr">
        <is>
          <t>Tukang listrik</t>
        </is>
      </c>
      <c r="C9930" s="3" t="inlineStr">
        <is>
          <t>OH</t>
        </is>
      </c>
      <c r="D9930" s="15" t="n">
        <v>0.211</v>
      </c>
      <c r="E9930" s="4" t="n">
        <v>145000</v>
      </c>
      <c r="F9930" s="4" t="n">
        <v>30595</v>
      </c>
    </row>
    <row r="9931">
      <c r="A9931" s="3" t="inlineStr">
        <is>
          <t>3</t>
        </is>
      </c>
      <c r="B9931" s="3" t="inlineStr">
        <is>
          <t>Kepala Tukang</t>
        </is>
      </c>
      <c r="C9931" s="3" t="inlineStr">
        <is>
          <t>OH</t>
        </is>
      </c>
      <c r="D9931" s="15" t="n">
        <v>0.021</v>
      </c>
      <c r="E9931" s="4" t="n">
        <v>175000</v>
      </c>
      <c r="F9931" s="4" t="n">
        <v>3675</v>
      </c>
    </row>
    <row r="9932">
      <c r="A9932" s="3" t="inlineStr">
        <is>
          <t>4</t>
        </is>
      </c>
      <c r="B9932" s="3" t="inlineStr">
        <is>
          <t>Mandor</t>
        </is>
      </c>
      <c r="C9932" s="3" t="inlineStr">
        <is>
          <t>OH</t>
        </is>
      </c>
      <c r="D9932" s="15" t="n">
        <v>0.007</v>
      </c>
      <c r="E9932" s="4" t="n">
        <v>200000</v>
      </c>
      <c r="F9932" s="4" t="n">
        <v>1400</v>
      </c>
    </row>
    <row r="9933">
      <c r="A9933" s="3" t="inlineStr">
        <is>
          <t>1</t>
        </is>
      </c>
      <c r="B9933" s="3" t="inlineStr">
        <is>
          <t>Cable Communication Module</t>
        </is>
      </c>
      <c r="C9933" s="3" t="inlineStr">
        <is>
          <t>Unit</t>
        </is>
      </c>
      <c r="D9933" s="15" t="n">
        <v>1.05</v>
      </c>
      <c r="E9933" s="4" t="n">
        <v>2500000</v>
      </c>
      <c r="F9933" s="4" t="n">
        <v>2625000</v>
      </c>
    </row>
    <row r="9934">
      <c r="D9934" s="2" t="inlineStr">
        <is>
          <t>SUBTOTAL UPAH</t>
        </is>
      </c>
      <c r="F9934" s="16" t="n">
        <v>48270</v>
      </c>
    </row>
    <row r="9935">
      <c r="D9935" s="2" t="inlineStr">
        <is>
          <t>SUBTOTAL BAHAN</t>
        </is>
      </c>
      <c r="F9935" s="16" t="n">
        <v>2625000</v>
      </c>
    </row>
    <row r="9936">
      <c r="D9936" s="2" t="inlineStr">
        <is>
          <t>SUBTOTAL ALAT</t>
        </is>
      </c>
      <c r="F9936" s="16" t="n">
        <v>0</v>
      </c>
    </row>
    <row r="9937">
      <c r="E9937" s="2" t="inlineStr">
        <is>
          <t>TOTAL HARGA SATUAN (Inc. Overhead)</t>
        </is>
      </c>
      <c r="F9937" s="17" t="n">
        <v>2940597</v>
      </c>
    </row>
    <row r="9939">
      <c r="A9939" s="14" t="inlineStr">
        <is>
          <t>KODE: 5.4.7.4 - Pemasangan 1 Unit Box Panel DDC</t>
        </is>
      </c>
    </row>
    <row r="9940">
      <c r="A9940" s="10" t="inlineStr">
        <is>
          <t>No</t>
        </is>
      </c>
      <c r="B9940" s="10" t="inlineStr">
        <is>
          <t>Uraian Komponen</t>
        </is>
      </c>
      <c r="C9940" s="10" t="inlineStr">
        <is>
          <t>Satuan</t>
        </is>
      </c>
      <c r="D9940" s="10" t="inlineStr">
        <is>
          <t>Koef</t>
        </is>
      </c>
      <c r="E9940" s="10" t="inlineStr">
        <is>
          <t>Harga Satuan (Rp)</t>
        </is>
      </c>
      <c r="F9940" s="10" t="inlineStr">
        <is>
          <t>Jumlah Harga (Rp)</t>
        </is>
      </c>
    </row>
    <row r="9941">
      <c r="A9941" s="3" t="inlineStr">
        <is>
          <t>1</t>
        </is>
      </c>
      <c r="B9941" s="3" t="inlineStr">
        <is>
          <t>Pekerja</t>
        </is>
      </c>
      <c r="C9941" s="3" t="inlineStr">
        <is>
          <t>OH</t>
        </is>
      </c>
      <c r="D9941" s="15" t="n">
        <v>0.317</v>
      </c>
      <c r="E9941" s="4" t="n">
        <v>100000</v>
      </c>
      <c r="F9941" s="4" t="n">
        <v>31700</v>
      </c>
    </row>
    <row r="9942">
      <c r="A9942" s="3" t="inlineStr">
        <is>
          <t>2</t>
        </is>
      </c>
      <c r="B9942" s="3" t="inlineStr">
        <is>
          <t>Tukang listrik</t>
        </is>
      </c>
      <c r="C9942" s="3" t="inlineStr">
        <is>
          <t>OH</t>
        </is>
      </c>
      <c r="D9942" s="15" t="n">
        <v>0.529</v>
      </c>
      <c r="E9942" s="4" t="n">
        <v>145000</v>
      </c>
      <c r="F9942" s="4" t="n">
        <v>76705</v>
      </c>
    </row>
    <row r="9943">
      <c r="A9943" s="3" t="inlineStr">
        <is>
          <t>3</t>
        </is>
      </c>
      <c r="B9943" s="3" t="inlineStr">
        <is>
          <t>Kepala Tukang</t>
        </is>
      </c>
      <c r="C9943" s="3" t="inlineStr">
        <is>
          <t>OH</t>
        </is>
      </c>
      <c r="D9943" s="15" t="n">
        <v>0.053</v>
      </c>
      <c r="E9943" s="4" t="n">
        <v>175000</v>
      </c>
      <c r="F9943" s="4" t="n">
        <v>9275</v>
      </c>
    </row>
    <row r="9944">
      <c r="A9944" s="3" t="inlineStr">
        <is>
          <t>4</t>
        </is>
      </c>
      <c r="B9944" s="3" t="inlineStr">
        <is>
          <t>Mandor</t>
        </is>
      </c>
      <c r="C9944" s="3" t="inlineStr">
        <is>
          <t>OH</t>
        </is>
      </c>
      <c r="D9944" s="15" t="n">
        <v>0.018</v>
      </c>
      <c r="E9944" s="4" t="n">
        <v>200000</v>
      </c>
      <c r="F9944" s="4" t="n">
        <v>3600</v>
      </c>
    </row>
    <row r="9945">
      <c r="A9945" s="3" t="inlineStr">
        <is>
          <t>1</t>
        </is>
      </c>
      <c r="B9945" s="3" t="inlineStr">
        <is>
          <t>Box Panel DDC</t>
        </is>
      </c>
      <c r="C9945" s="3" t="inlineStr">
        <is>
          <t>Unit</t>
        </is>
      </c>
      <c r="D9945" s="15" t="n">
        <v>1.05</v>
      </c>
      <c r="E9945" s="4" t="n">
        <v>1500000</v>
      </c>
      <c r="F9945" s="4" t="n">
        <v>1575000</v>
      </c>
    </row>
    <row r="9946">
      <c r="D9946" s="2" t="inlineStr">
        <is>
          <t>SUBTOTAL UPAH</t>
        </is>
      </c>
      <c r="F9946" s="16" t="n">
        <v>121280</v>
      </c>
    </row>
    <row r="9947">
      <c r="D9947" s="2" t="inlineStr">
        <is>
          <t>SUBTOTAL BAHAN</t>
        </is>
      </c>
      <c r="F9947" s="16" t="n">
        <v>1575000</v>
      </c>
    </row>
    <row r="9948">
      <c r="D9948" s="2" t="inlineStr">
        <is>
          <t>SUBTOTAL ALAT</t>
        </is>
      </c>
      <c r="F9948" s="16" t="n">
        <v>0</v>
      </c>
    </row>
    <row r="9949">
      <c r="E9949" s="2" t="inlineStr">
        <is>
          <t>TOTAL HARGA SATUAN (Inc. Overhead)</t>
        </is>
      </c>
      <c r="F9949" s="17" t="n">
        <v>1865908</v>
      </c>
    </row>
    <row r="9951">
      <c r="A9951" s="14" t="inlineStr">
        <is>
          <t>KODE: 5.4.7.5 - Pemasangan 1 Unit Room Temperature Sensor</t>
        </is>
      </c>
    </row>
    <row r="9952">
      <c r="A9952" s="10" t="inlineStr">
        <is>
          <t>No</t>
        </is>
      </c>
      <c r="B9952" s="10" t="inlineStr">
        <is>
          <t>Uraian Komponen</t>
        </is>
      </c>
      <c r="C9952" s="10" t="inlineStr">
        <is>
          <t>Satuan</t>
        </is>
      </c>
      <c r="D9952" s="10" t="inlineStr">
        <is>
          <t>Koef</t>
        </is>
      </c>
      <c r="E9952" s="10" t="inlineStr">
        <is>
          <t>Harga Satuan (Rp)</t>
        </is>
      </c>
      <c r="F9952" s="10" t="inlineStr">
        <is>
          <t>Jumlah Harga (Rp)</t>
        </is>
      </c>
    </row>
    <row r="9953">
      <c r="A9953" s="3" t="inlineStr">
        <is>
          <t>1</t>
        </is>
      </c>
      <c r="B9953" s="3" t="inlineStr">
        <is>
          <t>Pekerja</t>
        </is>
      </c>
      <c r="C9953" s="3" t="inlineStr">
        <is>
          <t>OH</t>
        </is>
      </c>
      <c r="D9953" s="15" t="n">
        <v>0.126</v>
      </c>
      <c r="E9953" s="4" t="n">
        <v>100000</v>
      </c>
      <c r="F9953" s="4" t="n">
        <v>12600</v>
      </c>
    </row>
    <row r="9954">
      <c r="A9954" s="3" t="inlineStr">
        <is>
          <t>2</t>
        </is>
      </c>
      <c r="B9954" s="3" t="inlineStr">
        <is>
          <t>Tukang listrik</t>
        </is>
      </c>
      <c r="C9954" s="3" t="inlineStr">
        <is>
          <t>OH</t>
        </is>
      </c>
      <c r="D9954" s="15" t="n">
        <v>0.211</v>
      </c>
      <c r="E9954" s="4" t="n">
        <v>145000</v>
      </c>
      <c r="F9954" s="4" t="n">
        <v>30595</v>
      </c>
    </row>
    <row r="9955">
      <c r="A9955" s="3" t="inlineStr">
        <is>
          <t>3</t>
        </is>
      </c>
      <c r="B9955" s="3" t="inlineStr">
        <is>
          <t>Kepala Tukang</t>
        </is>
      </c>
      <c r="C9955" s="3" t="inlineStr">
        <is>
          <t>OH</t>
        </is>
      </c>
      <c r="D9955" s="15" t="n">
        <v>0.021</v>
      </c>
      <c r="E9955" s="4" t="n">
        <v>175000</v>
      </c>
      <c r="F9955" s="4" t="n">
        <v>3675</v>
      </c>
    </row>
    <row r="9956">
      <c r="A9956" s="3" t="inlineStr">
        <is>
          <t>4</t>
        </is>
      </c>
      <c r="B9956" s="3" t="inlineStr">
        <is>
          <t>Mandor</t>
        </is>
      </c>
      <c r="C9956" s="3" t="inlineStr">
        <is>
          <t>OH</t>
        </is>
      </c>
      <c r="D9956" s="15" t="n">
        <v>0.007</v>
      </c>
      <c r="E9956" s="4" t="n">
        <v>200000</v>
      </c>
      <c r="F9956" s="4" t="n">
        <v>1400</v>
      </c>
    </row>
    <row r="9957">
      <c r="A9957" s="3" t="inlineStr">
        <is>
          <t>1</t>
        </is>
      </c>
      <c r="B9957" s="3" t="inlineStr">
        <is>
          <t>Room Temperature Sensor</t>
        </is>
      </c>
      <c r="C9957" s="3" t="inlineStr">
        <is>
          <t>Unit</t>
        </is>
      </c>
      <c r="D9957" s="15" t="n">
        <v>1.05</v>
      </c>
      <c r="E9957" s="4" t="n">
        <v>1200000</v>
      </c>
      <c r="F9957" s="4" t="n">
        <v>1260000</v>
      </c>
    </row>
    <row r="9958">
      <c r="D9958" s="2" t="inlineStr">
        <is>
          <t>SUBTOTAL UPAH</t>
        </is>
      </c>
      <c r="F9958" s="16" t="n">
        <v>48270</v>
      </c>
    </row>
    <row r="9959">
      <c r="D9959" s="2" t="inlineStr">
        <is>
          <t>SUBTOTAL BAHAN</t>
        </is>
      </c>
      <c r="F9959" s="16" t="n">
        <v>1260000</v>
      </c>
    </row>
    <row r="9960">
      <c r="D9960" s="2" t="inlineStr">
        <is>
          <t>SUBTOTAL ALAT</t>
        </is>
      </c>
      <c r="F9960" s="16" t="n">
        <v>0</v>
      </c>
    </row>
    <row r="9961">
      <c r="E9961" s="2" t="inlineStr">
        <is>
          <t>TOTAL HARGA SATUAN (Inc. Overhead)</t>
        </is>
      </c>
      <c r="F9961" s="17" t="n">
        <v>1439097</v>
      </c>
    </row>
    <row r="9963">
      <c r="A9963" s="14" t="inlineStr">
        <is>
          <t>KODE: 5.4.7.6 - Pemasangan 1 Unit Level Switch</t>
        </is>
      </c>
    </row>
    <row r="9964">
      <c r="A9964" s="10" t="inlineStr">
        <is>
          <t>No</t>
        </is>
      </c>
      <c r="B9964" s="10" t="inlineStr">
        <is>
          <t>Uraian Komponen</t>
        </is>
      </c>
      <c r="C9964" s="10" t="inlineStr">
        <is>
          <t>Satuan</t>
        </is>
      </c>
      <c r="D9964" s="10" t="inlineStr">
        <is>
          <t>Koef</t>
        </is>
      </c>
      <c r="E9964" s="10" t="inlineStr">
        <is>
          <t>Harga Satuan (Rp)</t>
        </is>
      </c>
      <c r="F9964" s="10" t="inlineStr">
        <is>
          <t>Jumlah Harga (Rp)</t>
        </is>
      </c>
    </row>
    <row r="9965">
      <c r="A9965" s="3" t="inlineStr">
        <is>
          <t>1</t>
        </is>
      </c>
      <c r="B9965" s="3" t="inlineStr">
        <is>
          <t>Pekerja</t>
        </is>
      </c>
      <c r="C9965" s="3" t="inlineStr">
        <is>
          <t>OH</t>
        </is>
      </c>
      <c r="D9965" s="15" t="n">
        <v>0.126</v>
      </c>
      <c r="E9965" s="4" t="n">
        <v>100000</v>
      </c>
      <c r="F9965" s="4" t="n">
        <v>12600</v>
      </c>
    </row>
    <row r="9966">
      <c r="A9966" s="3" t="inlineStr">
        <is>
          <t>2</t>
        </is>
      </c>
      <c r="B9966" s="3" t="inlineStr">
        <is>
          <t>Tukang listrik</t>
        </is>
      </c>
      <c r="C9966" s="3" t="inlineStr">
        <is>
          <t>OH</t>
        </is>
      </c>
      <c r="D9966" s="15" t="n">
        <v>0.211</v>
      </c>
      <c r="E9966" s="4" t="n">
        <v>145000</v>
      </c>
      <c r="F9966" s="4" t="n">
        <v>30595</v>
      </c>
    </row>
    <row r="9967">
      <c r="A9967" s="3" t="inlineStr">
        <is>
          <t>3</t>
        </is>
      </c>
      <c r="B9967" s="3" t="inlineStr">
        <is>
          <t>Kepala Tukang</t>
        </is>
      </c>
      <c r="C9967" s="3" t="inlineStr">
        <is>
          <t>OH</t>
        </is>
      </c>
      <c r="D9967" s="15" t="n">
        <v>0.021</v>
      </c>
      <c r="E9967" s="4" t="n">
        <v>175000</v>
      </c>
      <c r="F9967" s="4" t="n">
        <v>3675</v>
      </c>
    </row>
    <row r="9968">
      <c r="A9968" s="3" t="inlineStr">
        <is>
          <t>4</t>
        </is>
      </c>
      <c r="B9968" s="3" t="inlineStr">
        <is>
          <t>Mandor</t>
        </is>
      </c>
      <c r="C9968" s="3" t="inlineStr">
        <is>
          <t>OH</t>
        </is>
      </c>
      <c r="D9968" s="15" t="n">
        <v>0.007</v>
      </c>
      <c r="E9968" s="4" t="n">
        <v>200000</v>
      </c>
      <c r="F9968" s="4" t="n">
        <v>1400</v>
      </c>
    </row>
    <row r="9969">
      <c r="A9969" s="3" t="inlineStr">
        <is>
          <t>1</t>
        </is>
      </c>
      <c r="B9969" s="3" t="inlineStr">
        <is>
          <t>Level Switch</t>
        </is>
      </c>
      <c r="C9969" s="3" t="inlineStr">
        <is>
          <t>Unit</t>
        </is>
      </c>
      <c r="D9969" s="15" t="n">
        <v>1.05</v>
      </c>
      <c r="E9969" s="4" t="n">
        <v>185000</v>
      </c>
      <c r="F9969" s="4" t="n">
        <v>194250</v>
      </c>
    </row>
    <row r="9970">
      <c r="D9970" s="2" t="inlineStr">
        <is>
          <t>SUBTOTAL UPAH</t>
        </is>
      </c>
      <c r="F9970" s="16" t="n">
        <v>48270</v>
      </c>
    </row>
    <row r="9971">
      <c r="D9971" s="2" t="inlineStr">
        <is>
          <t>SUBTOTAL BAHAN</t>
        </is>
      </c>
      <c r="F9971" s="16" t="n">
        <v>194250</v>
      </c>
    </row>
    <row r="9972">
      <c r="D9972" s="2" t="inlineStr">
        <is>
          <t>SUBTOTAL ALAT</t>
        </is>
      </c>
      <c r="F9972" s="16" t="n">
        <v>0</v>
      </c>
    </row>
    <row r="9973">
      <c r="E9973" s="2" t="inlineStr">
        <is>
          <t>TOTAL HARGA SATUAN (Inc. Overhead)</t>
        </is>
      </c>
      <c r="F9973" s="17" t="n">
        <v>266772</v>
      </c>
    </row>
    <row r="9975">
      <c r="A9975" s="14" t="inlineStr">
        <is>
          <t>KODE: 5.4.7.7 - Pemasangan 1 Unit Digital Input</t>
        </is>
      </c>
    </row>
    <row r="9976">
      <c r="A9976" s="10" t="inlineStr">
        <is>
          <t>No</t>
        </is>
      </c>
      <c r="B9976" s="10" t="inlineStr">
        <is>
          <t>Uraian Komponen</t>
        </is>
      </c>
      <c r="C9976" s="10" t="inlineStr">
        <is>
          <t>Satuan</t>
        </is>
      </c>
      <c r="D9976" s="10" t="inlineStr">
        <is>
          <t>Koef</t>
        </is>
      </c>
      <c r="E9976" s="10" t="inlineStr">
        <is>
          <t>Harga Satuan (Rp)</t>
        </is>
      </c>
      <c r="F9976" s="10" t="inlineStr">
        <is>
          <t>Jumlah Harga (Rp)</t>
        </is>
      </c>
    </row>
    <row r="9977">
      <c r="A9977" s="3" t="inlineStr">
        <is>
          <t>1</t>
        </is>
      </c>
      <c r="B9977" s="3" t="inlineStr">
        <is>
          <t>Pekerja</t>
        </is>
      </c>
      <c r="C9977" s="3" t="inlineStr">
        <is>
          <t>OH</t>
        </is>
      </c>
      <c r="D9977" s="15" t="n">
        <v>0.052</v>
      </c>
      <c r="E9977" s="4" t="n">
        <v>100000</v>
      </c>
      <c r="F9977" s="4" t="n">
        <v>5200</v>
      </c>
    </row>
    <row r="9978">
      <c r="A9978" s="3" t="inlineStr">
        <is>
          <t>2</t>
        </is>
      </c>
      <c r="B9978" s="3" t="inlineStr">
        <is>
          <t>Tukang listrik</t>
        </is>
      </c>
      <c r="C9978" s="3" t="inlineStr">
        <is>
          <t>OH</t>
        </is>
      </c>
      <c r="D9978" s="15" t="n">
        <v>0.08699999999999999</v>
      </c>
      <c r="E9978" s="4" t="n">
        <v>145000</v>
      </c>
      <c r="F9978" s="4" t="n">
        <v>12615</v>
      </c>
    </row>
    <row r="9979">
      <c r="A9979" s="3" t="inlineStr">
        <is>
          <t>3</t>
        </is>
      </c>
      <c r="B9979" s="3" t="inlineStr">
        <is>
          <t>Kepala Tukang</t>
        </is>
      </c>
      <c r="C9979" s="3" t="inlineStr">
        <is>
          <t>OH</t>
        </is>
      </c>
      <c r="D9979" s="15" t="n">
        <v>0.008999999999999999</v>
      </c>
      <c r="E9979" s="4" t="n">
        <v>175000</v>
      </c>
      <c r="F9979" s="4" t="n">
        <v>1575</v>
      </c>
    </row>
    <row r="9980">
      <c r="A9980" s="3" t="inlineStr">
        <is>
          <t>4</t>
        </is>
      </c>
      <c r="B9980" s="3" t="inlineStr">
        <is>
          <t>Mandor</t>
        </is>
      </c>
      <c r="C9980" s="3" t="inlineStr">
        <is>
          <t>OH</t>
        </is>
      </c>
      <c r="D9980" s="15" t="n">
        <v>0.003</v>
      </c>
      <c r="E9980" s="4" t="n">
        <v>200000</v>
      </c>
      <c r="F9980" s="4" t="n">
        <v>600</v>
      </c>
    </row>
    <row r="9981">
      <c r="A9981" s="3" t="inlineStr">
        <is>
          <t>1</t>
        </is>
      </c>
      <c r="B9981" s="3" t="inlineStr">
        <is>
          <t>Digital Input</t>
        </is>
      </c>
      <c r="C9981" s="3" t="inlineStr">
        <is>
          <t>Unit</t>
        </is>
      </c>
      <c r="D9981" s="15" t="n">
        <v>1.05</v>
      </c>
      <c r="E9981" s="4" t="n">
        <v>5000000</v>
      </c>
      <c r="F9981" s="4" t="n">
        <v>5250000</v>
      </c>
    </row>
    <row r="9982">
      <c r="D9982" s="2" t="inlineStr">
        <is>
          <t>SUBTOTAL UPAH</t>
        </is>
      </c>
      <c r="F9982" s="16" t="n">
        <v>19990</v>
      </c>
    </row>
    <row r="9983">
      <c r="D9983" s="2" t="inlineStr">
        <is>
          <t>SUBTOTAL BAHAN</t>
        </is>
      </c>
      <c r="F9983" s="16" t="n">
        <v>5250000</v>
      </c>
    </row>
    <row r="9984">
      <c r="D9984" s="2" t="inlineStr">
        <is>
          <t>SUBTOTAL ALAT</t>
        </is>
      </c>
      <c r="F9984" s="16" t="n">
        <v>0</v>
      </c>
    </row>
    <row r="9985">
      <c r="E9985" s="2" t="inlineStr">
        <is>
          <t>TOTAL HARGA SATUAN (Inc. Overhead)</t>
        </is>
      </c>
      <c r="F9985" s="17" t="n">
        <v>5796989</v>
      </c>
    </row>
    <row r="9987">
      <c r="A9987" s="14" t="inlineStr">
        <is>
          <t>KODE: 5.4.7.8 - Pemasangan 1 Titik Instalasi Kabel Power DDC</t>
        </is>
      </c>
    </row>
    <row r="9988">
      <c r="A9988" s="10" t="inlineStr">
        <is>
          <t>No</t>
        </is>
      </c>
      <c r="B9988" s="10" t="inlineStr">
        <is>
          <t>Uraian Komponen</t>
        </is>
      </c>
      <c r="C9988" s="10" t="inlineStr">
        <is>
          <t>Satuan</t>
        </is>
      </c>
      <c r="D9988" s="10" t="inlineStr">
        <is>
          <t>Koef</t>
        </is>
      </c>
      <c r="E9988" s="10" t="inlineStr">
        <is>
          <t>Harga Satuan (Rp)</t>
        </is>
      </c>
      <c r="F9988" s="10" t="inlineStr">
        <is>
          <t>Jumlah Harga (Rp)</t>
        </is>
      </c>
    </row>
    <row r="9989">
      <c r="A9989" s="3" t="inlineStr">
        <is>
          <t>1</t>
        </is>
      </c>
      <c r="B9989" s="3" t="inlineStr">
        <is>
          <t>Pekerja</t>
        </is>
      </c>
      <c r="C9989" s="3" t="inlineStr">
        <is>
          <t>OH</t>
        </is>
      </c>
      <c r="D9989" s="15" t="n">
        <v>0.205</v>
      </c>
      <c r="E9989" s="4" t="n">
        <v>100000</v>
      </c>
      <c r="F9989" s="4" t="n">
        <v>20500</v>
      </c>
    </row>
    <row r="9990">
      <c r="A9990" s="3" t="inlineStr">
        <is>
          <t>2</t>
        </is>
      </c>
      <c r="B9990" s="3" t="inlineStr">
        <is>
          <t>Tukang listrik</t>
        </is>
      </c>
      <c r="C9990" s="3" t="inlineStr">
        <is>
          <t>OH</t>
        </is>
      </c>
      <c r="D9990" s="15" t="n">
        <v>0.342</v>
      </c>
      <c r="E9990" s="4" t="n">
        <v>145000</v>
      </c>
      <c r="F9990" s="4" t="n">
        <v>49590.00000000001</v>
      </c>
    </row>
    <row r="9991">
      <c r="A9991" s="3" t="inlineStr">
        <is>
          <t>3</t>
        </is>
      </c>
      <c r="B9991" s="3" t="inlineStr">
        <is>
          <t>Kepala Tukang</t>
        </is>
      </c>
      <c r="C9991" s="3" t="inlineStr">
        <is>
          <t>OH</t>
        </is>
      </c>
      <c r="D9991" s="15" t="n">
        <v>0.034</v>
      </c>
      <c r="E9991" s="4" t="n">
        <v>175000</v>
      </c>
      <c r="F9991" s="4" t="n">
        <v>5950</v>
      </c>
    </row>
    <row r="9992">
      <c r="A9992" s="3" t="inlineStr">
        <is>
          <t>4</t>
        </is>
      </c>
      <c r="B9992" s="3" t="inlineStr">
        <is>
          <t>Mandor</t>
        </is>
      </c>
      <c r="C9992" s="3" t="inlineStr">
        <is>
          <t>OH</t>
        </is>
      </c>
      <c r="D9992" s="15" t="n">
        <v>0.011</v>
      </c>
      <c r="E9992" s="4" t="n">
        <v>200000</v>
      </c>
      <c r="F9992" s="4" t="n">
        <v>2200</v>
      </c>
    </row>
    <row r="9993">
      <c r="A9993" s="3" t="inlineStr">
        <is>
          <t>1</t>
        </is>
      </c>
      <c r="B9993" s="3" t="inlineStr">
        <is>
          <t>"Kabel NYM 3 x 2 5 mm²"</t>
        </is>
      </c>
      <c r="C9993" s="3" t="inlineStr">
        <is>
          <t>m</t>
        </is>
      </c>
      <c r="D9993" s="15" t="n">
        <v>11</v>
      </c>
      <c r="E9993" s="4" t="n">
        <v>21300</v>
      </c>
      <c r="F9993" s="4" t="n">
        <v>234300</v>
      </c>
    </row>
    <row r="9994">
      <c r="A9994" s="3" t="inlineStr">
        <is>
          <t>2</t>
        </is>
      </c>
      <c r="B9994" s="3" t="inlineStr">
        <is>
          <t>Conduit HI 20 mm</t>
        </is>
      </c>
      <c r="C9994" s="3" t="inlineStr">
        <is>
          <t>m</t>
        </is>
      </c>
      <c r="D9994" s="15" t="n">
        <v>11</v>
      </c>
      <c r="E9994" s="4" t="n">
        <v>4000</v>
      </c>
      <c r="F9994" s="4" t="n">
        <v>44000</v>
      </c>
    </row>
    <row r="9995">
      <c r="A9995" s="3" t="inlineStr">
        <is>
          <t>3</t>
        </is>
      </c>
      <c r="B9995" s="3" t="inlineStr">
        <is>
          <t>Socket Conduit 20 mm</t>
        </is>
      </c>
      <c r="C9995" s="3" t="inlineStr">
        <is>
          <t>buah</t>
        </is>
      </c>
      <c r="D9995" s="15" t="n">
        <v>4</v>
      </c>
      <c r="E9995" s="4" t="n">
        <v>700</v>
      </c>
      <c r="F9995" s="4" t="n">
        <v>2800</v>
      </c>
    </row>
    <row r="9996">
      <c r="A9996" s="3" t="inlineStr">
        <is>
          <t>4</t>
        </is>
      </c>
      <c r="B9996" s="3" t="inlineStr">
        <is>
          <t>Klem 20 mm</t>
        </is>
      </c>
      <c r="C9996" s="3" t="inlineStr">
        <is>
          <t>buah</t>
        </is>
      </c>
      <c r="D9996" s="15" t="n">
        <v>7</v>
      </c>
      <c r="E9996" s="4" t="n">
        <v>900</v>
      </c>
      <c r="F9996" s="4" t="n">
        <v>6300</v>
      </c>
    </row>
    <row r="9997">
      <c r="A9997" s="3" t="inlineStr">
        <is>
          <t>5</t>
        </is>
      </c>
      <c r="B9997" s="3" t="inlineStr">
        <is>
          <t>Flexible Conduit 20 mm</t>
        </is>
      </c>
      <c r="C9997" s="3" t="inlineStr">
        <is>
          <t>buah</t>
        </is>
      </c>
      <c r="D9997" s="15" t="n">
        <v>1</v>
      </c>
      <c r="E9997" s="4" t="n">
        <v>5400</v>
      </c>
      <c r="F9997" s="4" t="n">
        <v>5400</v>
      </c>
    </row>
    <row r="9998">
      <c r="A9998" s="3" t="inlineStr">
        <is>
          <t>6</t>
        </is>
      </c>
      <c r="B9998" s="3" t="inlineStr">
        <is>
          <t>Fischer S6 + Sekrup</t>
        </is>
      </c>
      <c r="C9998" s="3" t="inlineStr">
        <is>
          <t>buah</t>
        </is>
      </c>
      <c r="D9998" s="15" t="n">
        <v>14</v>
      </c>
      <c r="E9998" s="4" t="n">
        <v>21.5</v>
      </c>
      <c r="F9998" s="4" t="n">
        <v>301</v>
      </c>
    </row>
    <row r="9999">
      <c r="D9999" s="2" t="inlineStr">
        <is>
          <t>SUBTOTAL UPAH</t>
        </is>
      </c>
      <c r="F9999" s="16" t="n">
        <v>78240</v>
      </c>
    </row>
    <row r="10000">
      <c r="D10000" s="2" t="inlineStr">
        <is>
          <t>SUBTOTAL BAHAN</t>
        </is>
      </c>
      <c r="F10000" s="16" t="n">
        <v>293101</v>
      </c>
    </row>
    <row r="10001">
      <c r="D10001" s="2" t="inlineStr">
        <is>
          <t>SUBTOTAL ALAT</t>
        </is>
      </c>
      <c r="F10001" s="16" t="n">
        <v>0</v>
      </c>
    </row>
    <row r="10002">
      <c r="E10002" s="2" t="inlineStr">
        <is>
          <t>TOTAL HARGA SATUAN (Inc. Overhead)</t>
        </is>
      </c>
      <c r="F10002" s="17" t="n">
        <v>408475</v>
      </c>
    </row>
    <row r="10004">
      <c r="A10004" s="14" t="inlineStr">
        <is>
          <t>KODE: 5.5.1.1 - Pemasangan 1 Unit AC Wall Mounted Kap: 5.000 BTUH</t>
        </is>
      </c>
    </row>
    <row r="10005">
      <c r="A10005" s="10" t="inlineStr">
        <is>
          <t>No</t>
        </is>
      </c>
      <c r="B10005" s="10" t="inlineStr">
        <is>
          <t>Uraian Komponen</t>
        </is>
      </c>
      <c r="C10005" s="10" t="inlineStr">
        <is>
          <t>Satuan</t>
        </is>
      </c>
      <c r="D10005" s="10" t="inlineStr">
        <is>
          <t>Koef</t>
        </is>
      </c>
      <c r="E10005" s="10" t="inlineStr">
        <is>
          <t>Harga Satuan (Rp)</t>
        </is>
      </c>
      <c r="F10005" s="10" t="inlineStr">
        <is>
          <t>Jumlah Harga (Rp)</t>
        </is>
      </c>
    </row>
    <row r="10006">
      <c r="A10006" s="3" t="inlineStr">
        <is>
          <t>1</t>
        </is>
      </c>
      <c r="B10006" s="3" t="inlineStr">
        <is>
          <t>Pekerja</t>
        </is>
      </c>
      <c r="C10006" s="3" t="inlineStr">
        <is>
          <t>OH</t>
        </is>
      </c>
      <c r="D10006" s="15" t="n">
        <v>0.762</v>
      </c>
      <c r="E10006" s="4" t="n">
        <v>100000</v>
      </c>
      <c r="F10006" s="4" t="n">
        <v>76200</v>
      </c>
    </row>
    <row r="10007">
      <c r="A10007" s="3" t="inlineStr">
        <is>
          <t>2</t>
        </is>
      </c>
      <c r="B10007" s="3" t="inlineStr">
        <is>
          <t>Tukang listrik</t>
        </is>
      </c>
      <c r="C10007" s="3" t="inlineStr">
        <is>
          <t>OH</t>
        </is>
      </c>
      <c r="D10007" s="15" t="n">
        <v>1.272</v>
      </c>
      <c r="E10007" s="4" t="n">
        <v>145000</v>
      </c>
      <c r="F10007" s="4" t="n">
        <v>184440</v>
      </c>
    </row>
    <row r="10008">
      <c r="A10008" s="3" t="inlineStr">
        <is>
          <t>3</t>
        </is>
      </c>
      <c r="B10008" s="3" t="inlineStr">
        <is>
          <t>Kepala Tukang</t>
        </is>
      </c>
      <c r="C10008" s="3" t="inlineStr">
        <is>
          <t>OH</t>
        </is>
      </c>
      <c r="D10008" s="15" t="n">
        <v>0.127</v>
      </c>
      <c r="E10008" s="4" t="n">
        <v>175000</v>
      </c>
      <c r="F10008" s="4" t="n">
        <v>22225</v>
      </c>
    </row>
    <row r="10009">
      <c r="A10009" s="3" t="inlineStr">
        <is>
          <t>4</t>
        </is>
      </c>
      <c r="B10009" s="3" t="inlineStr">
        <is>
          <t>Mandor</t>
        </is>
      </c>
      <c r="C10009" s="3" t="inlineStr">
        <is>
          <t>OH</t>
        </is>
      </c>
      <c r="D10009" s="15" t="n">
        <v>0.042</v>
      </c>
      <c r="E10009" s="4" t="n">
        <v>200000</v>
      </c>
      <c r="F10009" s="4" t="n">
        <v>8400</v>
      </c>
    </row>
    <row r="10010">
      <c r="A10010" s="3" t="inlineStr">
        <is>
          <t>1</t>
        </is>
      </c>
      <c r="B10010" s="3" t="inlineStr">
        <is>
          <t>AC Wall Mounted Kap : 5.000 BTUH</t>
        </is>
      </c>
      <c r="C10010" s="3" t="inlineStr">
        <is>
          <t>Unit</t>
        </is>
      </c>
      <c r="D10010" s="15" t="n">
        <v>1.1</v>
      </c>
      <c r="E10010" s="4" t="n">
        <v>3200000</v>
      </c>
      <c r="F10010" s="4" t="n">
        <v>3520000</v>
      </c>
    </row>
    <row r="10011">
      <c r="D10011" s="2" t="inlineStr">
        <is>
          <t>SUBTOTAL UPAH</t>
        </is>
      </c>
      <c r="F10011" s="16" t="n">
        <v>291265</v>
      </c>
    </row>
    <row r="10012">
      <c r="D10012" s="2" t="inlineStr">
        <is>
          <t>SUBTOTAL BAHAN</t>
        </is>
      </c>
      <c r="F10012" s="16" t="n">
        <v>3520000</v>
      </c>
    </row>
    <row r="10013">
      <c r="D10013" s="2" t="inlineStr">
        <is>
          <t>SUBTOTAL ALAT</t>
        </is>
      </c>
      <c r="F10013" s="16" t="n">
        <v>0</v>
      </c>
    </row>
    <row r="10014">
      <c r="E10014" s="2" t="inlineStr">
        <is>
          <t>TOTAL HARGA SATUAN (Inc. Overhead)</t>
        </is>
      </c>
      <c r="F10014" s="17" t="n">
        <v>4192391</v>
      </c>
    </row>
    <row r="10016">
      <c r="A10016" s="14" t="inlineStr">
        <is>
          <t>KODE: 5.5.1.2 - Pemasangan 1 Unit AC Wall Mounted Kap: 6.500 BTUH</t>
        </is>
      </c>
    </row>
    <row r="10017">
      <c r="A10017" s="10" t="inlineStr">
        <is>
          <t>No</t>
        </is>
      </c>
      <c r="B10017" s="10" t="inlineStr">
        <is>
          <t>Uraian Komponen</t>
        </is>
      </c>
      <c r="C10017" s="10" t="inlineStr">
        <is>
          <t>Satuan</t>
        </is>
      </c>
      <c r="D10017" s="10" t="inlineStr">
        <is>
          <t>Koef</t>
        </is>
      </c>
      <c r="E10017" s="10" t="inlineStr">
        <is>
          <t>Harga Satuan (Rp)</t>
        </is>
      </c>
      <c r="F10017" s="10" t="inlineStr">
        <is>
          <t>Jumlah Harga (Rp)</t>
        </is>
      </c>
    </row>
    <row r="10018">
      <c r="A10018" s="3" t="inlineStr">
        <is>
          <t>1</t>
        </is>
      </c>
      <c r="B10018" s="3" t="inlineStr">
        <is>
          <t>Pekerja</t>
        </is>
      </c>
      <c r="C10018" s="3" t="inlineStr">
        <is>
          <t>OH</t>
        </is>
      </c>
      <c r="D10018" s="15" t="n">
        <v>0.893</v>
      </c>
      <c r="E10018" s="4" t="n">
        <v>100000</v>
      </c>
      <c r="F10018" s="4" t="n">
        <v>89300</v>
      </c>
    </row>
    <row r="10019">
      <c r="A10019" s="3" t="inlineStr">
        <is>
          <t>2</t>
        </is>
      </c>
      <c r="B10019" s="3" t="inlineStr">
        <is>
          <t>Tukang listrik</t>
        </is>
      </c>
      <c r="C10019" s="3" t="inlineStr">
        <is>
          <t>OH</t>
        </is>
      </c>
      <c r="D10019" s="15" t="n">
        <v>1.491</v>
      </c>
      <c r="E10019" s="4" t="n">
        <v>145000</v>
      </c>
      <c r="F10019" s="4" t="n">
        <v>216195</v>
      </c>
    </row>
    <row r="10020">
      <c r="A10020" s="3" t="inlineStr">
        <is>
          <t>3</t>
        </is>
      </c>
      <c r="B10020" s="3" t="inlineStr">
        <is>
          <t>Kepala Tukang</t>
        </is>
      </c>
      <c r="C10020" s="3" t="inlineStr">
        <is>
          <t>OH</t>
        </is>
      </c>
      <c r="D10020" s="15" t="n">
        <v>0.149</v>
      </c>
      <c r="E10020" s="4" t="n">
        <v>175000</v>
      </c>
      <c r="F10020" s="4" t="n">
        <v>26075</v>
      </c>
    </row>
    <row r="10021">
      <c r="A10021" s="3" t="inlineStr">
        <is>
          <t>4</t>
        </is>
      </c>
      <c r="B10021" s="3" t="inlineStr">
        <is>
          <t>Mandor</t>
        </is>
      </c>
      <c r="C10021" s="3" t="inlineStr">
        <is>
          <t>OH</t>
        </is>
      </c>
      <c r="D10021" s="15" t="n">
        <v>0.05</v>
      </c>
      <c r="E10021" s="4" t="n">
        <v>200000</v>
      </c>
      <c r="F10021" s="4" t="n">
        <v>10000</v>
      </c>
    </row>
    <row r="10022">
      <c r="A10022" s="3" t="inlineStr">
        <is>
          <t>1</t>
        </is>
      </c>
      <c r="B10022" s="3" t="inlineStr">
        <is>
          <t>AC Wall Mounted Kap : 6.500 BTUH</t>
        </is>
      </c>
      <c r="C10022" s="3" t="inlineStr">
        <is>
          <t>Unit</t>
        </is>
      </c>
      <c r="D10022" s="15" t="n">
        <v>1.1</v>
      </c>
      <c r="E10022" s="4" t="n">
        <v>3800000</v>
      </c>
      <c r="F10022" s="4" t="n">
        <v>4180000</v>
      </c>
    </row>
    <row r="10023">
      <c r="D10023" s="2" t="inlineStr">
        <is>
          <t>SUBTOTAL UPAH</t>
        </is>
      </c>
      <c r="F10023" s="16" t="n">
        <v>341570</v>
      </c>
    </row>
    <row r="10024">
      <c r="D10024" s="2" t="inlineStr">
        <is>
          <t>SUBTOTAL BAHAN</t>
        </is>
      </c>
      <c r="F10024" s="16" t="n">
        <v>4180000</v>
      </c>
    </row>
    <row r="10025">
      <c r="D10025" s="2" t="inlineStr">
        <is>
          <t>SUBTOTAL ALAT</t>
        </is>
      </c>
      <c r="F10025" s="16" t="n">
        <v>0</v>
      </c>
    </row>
    <row r="10026">
      <c r="E10026" s="2" t="inlineStr">
        <is>
          <t>TOTAL HARGA SATUAN (Inc. Overhead)</t>
        </is>
      </c>
      <c r="F10026" s="17" t="n">
        <v>4973727</v>
      </c>
    </row>
    <row r="10028">
      <c r="A10028" s="14" t="inlineStr">
        <is>
          <t>KODE: 5.5.1.3 - Pemasangan 1 Unit AC Wall Mounted Kap: 7.000 BTUH</t>
        </is>
      </c>
    </row>
    <row r="10029">
      <c r="A10029" s="10" t="inlineStr">
        <is>
          <t>No</t>
        </is>
      </c>
      <c r="B10029" s="10" t="inlineStr">
        <is>
          <t>Uraian Komponen</t>
        </is>
      </c>
      <c r="C10029" s="10" t="inlineStr">
        <is>
          <t>Satuan</t>
        </is>
      </c>
      <c r="D10029" s="10" t="inlineStr">
        <is>
          <t>Koef</t>
        </is>
      </c>
      <c r="E10029" s="10" t="inlineStr">
        <is>
          <t>Harga Satuan (Rp)</t>
        </is>
      </c>
      <c r="F10029" s="10" t="inlineStr">
        <is>
          <t>Jumlah Harga (Rp)</t>
        </is>
      </c>
    </row>
    <row r="10030">
      <c r="A10030" s="3" t="inlineStr">
        <is>
          <t>1</t>
        </is>
      </c>
      <c r="B10030" s="3" t="inlineStr">
        <is>
          <t>Pekerja</t>
        </is>
      </c>
      <c r="C10030" s="3" t="inlineStr">
        <is>
          <t>OH</t>
        </is>
      </c>
      <c r="D10030" s="15" t="n">
        <v>0.893</v>
      </c>
      <c r="E10030" s="4" t="n">
        <v>100000</v>
      </c>
      <c r="F10030" s="4" t="n">
        <v>89300</v>
      </c>
    </row>
    <row r="10031">
      <c r="A10031" s="3" t="inlineStr">
        <is>
          <t>2</t>
        </is>
      </c>
      <c r="B10031" s="3" t="inlineStr">
        <is>
          <t>Tukang listrik</t>
        </is>
      </c>
      <c r="C10031" s="3" t="inlineStr">
        <is>
          <t>OH</t>
        </is>
      </c>
      <c r="D10031" s="15" t="n">
        <v>1.491</v>
      </c>
      <c r="E10031" s="4" t="n">
        <v>145000</v>
      </c>
      <c r="F10031" s="4" t="n">
        <v>216195</v>
      </c>
    </row>
    <row r="10032">
      <c r="A10032" s="3" t="inlineStr">
        <is>
          <t>3</t>
        </is>
      </c>
      <c r="B10032" s="3" t="inlineStr">
        <is>
          <t>Kepala Tukang</t>
        </is>
      </c>
      <c r="C10032" s="3" t="inlineStr">
        <is>
          <t>OH</t>
        </is>
      </c>
      <c r="D10032" s="15" t="n">
        <v>0.149</v>
      </c>
      <c r="E10032" s="4" t="n">
        <v>175000</v>
      </c>
      <c r="F10032" s="4" t="n">
        <v>26075</v>
      </c>
    </row>
    <row r="10033">
      <c r="A10033" s="3" t="inlineStr">
        <is>
          <t>4</t>
        </is>
      </c>
      <c r="B10033" s="3" t="inlineStr">
        <is>
          <t>Mandor</t>
        </is>
      </c>
      <c r="C10033" s="3" t="inlineStr">
        <is>
          <t>OH</t>
        </is>
      </c>
      <c r="D10033" s="15" t="n">
        <v>0.05</v>
      </c>
      <c r="E10033" s="4" t="n">
        <v>200000</v>
      </c>
      <c r="F10033" s="4" t="n">
        <v>10000</v>
      </c>
    </row>
    <row r="10034">
      <c r="A10034" s="3" t="inlineStr">
        <is>
          <t>1</t>
        </is>
      </c>
      <c r="B10034" s="3" t="inlineStr">
        <is>
          <t>AC Wall Mounted Kap : 7.000 BTUH</t>
        </is>
      </c>
      <c r="C10034" s="3" t="inlineStr">
        <is>
          <t>Unit</t>
        </is>
      </c>
      <c r="D10034" s="15" t="n">
        <v>1.1</v>
      </c>
      <c r="E10034" s="4" t="n">
        <v>4200000</v>
      </c>
      <c r="F10034" s="4" t="n">
        <v>4620000</v>
      </c>
    </row>
    <row r="10035">
      <c r="D10035" s="2" t="inlineStr">
        <is>
          <t>SUBTOTAL UPAH</t>
        </is>
      </c>
      <c r="F10035" s="16" t="n">
        <v>341570</v>
      </c>
    </row>
    <row r="10036">
      <c r="D10036" s="2" t="inlineStr">
        <is>
          <t>SUBTOTAL BAHAN</t>
        </is>
      </c>
      <c r="F10036" s="16" t="n">
        <v>4620000</v>
      </c>
    </row>
    <row r="10037">
      <c r="D10037" s="2" t="inlineStr">
        <is>
          <t>SUBTOTAL ALAT</t>
        </is>
      </c>
      <c r="F10037" s="16" t="n">
        <v>0</v>
      </c>
    </row>
    <row r="10038">
      <c r="E10038" s="2" t="inlineStr">
        <is>
          <t>TOTAL HARGA SATUAN (Inc. Overhead)</t>
        </is>
      </c>
      <c r="F10038" s="17" t="n">
        <v>5457727</v>
      </c>
    </row>
    <row r="10040">
      <c r="A10040" s="14" t="inlineStr">
        <is>
          <t>KODE: 5.5.1.4 - Pemasangan 1 Unit AC Wall Mounted Kap: 9.000 BTUH</t>
        </is>
      </c>
    </row>
    <row r="10041">
      <c r="A10041" s="10" t="inlineStr">
        <is>
          <t>No</t>
        </is>
      </c>
      <c r="B10041" s="10" t="inlineStr">
        <is>
          <t>Uraian Komponen</t>
        </is>
      </c>
      <c r="C10041" s="10" t="inlineStr">
        <is>
          <t>Satuan</t>
        </is>
      </c>
      <c r="D10041" s="10" t="inlineStr">
        <is>
          <t>Koef</t>
        </is>
      </c>
      <c r="E10041" s="10" t="inlineStr">
        <is>
          <t>Harga Satuan (Rp)</t>
        </is>
      </c>
      <c r="F10041" s="10" t="inlineStr">
        <is>
          <t>Jumlah Harga (Rp)</t>
        </is>
      </c>
    </row>
    <row r="10042">
      <c r="A10042" s="3" t="inlineStr">
        <is>
          <t>1</t>
        </is>
      </c>
      <c r="B10042" s="3" t="inlineStr">
        <is>
          <t>Pekerja</t>
        </is>
      </c>
      <c r="C10042" s="3" t="inlineStr">
        <is>
          <t>OH</t>
        </is>
      </c>
      <c r="D10042" s="15" t="n">
        <v>0.893</v>
      </c>
      <c r="E10042" s="4" t="n">
        <v>100000</v>
      </c>
      <c r="F10042" s="4" t="n">
        <v>89300</v>
      </c>
    </row>
    <row r="10043">
      <c r="A10043" s="3" t="inlineStr">
        <is>
          <t>2</t>
        </is>
      </c>
      <c r="B10043" s="3" t="inlineStr">
        <is>
          <t>Tukang listrik</t>
        </is>
      </c>
      <c r="C10043" s="3" t="inlineStr">
        <is>
          <t>OH</t>
        </is>
      </c>
      <c r="D10043" s="15" t="n">
        <v>1.491</v>
      </c>
      <c r="E10043" s="4" t="n">
        <v>145000</v>
      </c>
      <c r="F10043" s="4" t="n">
        <v>216195</v>
      </c>
    </row>
    <row r="10044">
      <c r="A10044" s="3" t="inlineStr">
        <is>
          <t>3</t>
        </is>
      </c>
      <c r="B10044" s="3" t="inlineStr">
        <is>
          <t>Kepala Tukang</t>
        </is>
      </c>
      <c r="C10044" s="3" t="inlineStr">
        <is>
          <t>OH</t>
        </is>
      </c>
      <c r="D10044" s="15" t="n">
        <v>0.149</v>
      </c>
      <c r="E10044" s="4" t="n">
        <v>175000</v>
      </c>
      <c r="F10044" s="4" t="n">
        <v>26075</v>
      </c>
    </row>
    <row r="10045">
      <c r="A10045" s="3" t="inlineStr">
        <is>
          <t>4</t>
        </is>
      </c>
      <c r="B10045" s="3" t="inlineStr">
        <is>
          <t>Mandor</t>
        </is>
      </c>
      <c r="C10045" s="3" t="inlineStr">
        <is>
          <t>OH</t>
        </is>
      </c>
      <c r="D10045" s="15" t="n">
        <v>0.05</v>
      </c>
      <c r="E10045" s="4" t="n">
        <v>200000</v>
      </c>
      <c r="F10045" s="4" t="n">
        <v>10000</v>
      </c>
    </row>
    <row r="10046">
      <c r="A10046" s="3" t="inlineStr">
        <is>
          <t>1</t>
        </is>
      </c>
      <c r="B10046" s="3" t="inlineStr">
        <is>
          <t>AC Wall Mounted Kap : 9.000 BTUH</t>
        </is>
      </c>
      <c r="C10046" s="3" t="inlineStr">
        <is>
          <t>Unit</t>
        </is>
      </c>
      <c r="D10046" s="15" t="n">
        <v>1.1</v>
      </c>
      <c r="E10046" s="4" t="n">
        <v>4500000</v>
      </c>
      <c r="F10046" s="4" t="n">
        <v>4950000</v>
      </c>
    </row>
    <row r="10047">
      <c r="D10047" s="2" t="inlineStr">
        <is>
          <t>SUBTOTAL UPAH</t>
        </is>
      </c>
      <c r="F10047" s="16" t="n">
        <v>341570</v>
      </c>
    </row>
    <row r="10048">
      <c r="D10048" s="2" t="inlineStr">
        <is>
          <t>SUBTOTAL BAHAN</t>
        </is>
      </c>
      <c r="F10048" s="16" t="n">
        <v>4950000</v>
      </c>
    </row>
    <row r="10049">
      <c r="D10049" s="2" t="inlineStr">
        <is>
          <t>SUBTOTAL ALAT</t>
        </is>
      </c>
      <c r="F10049" s="16" t="n">
        <v>0</v>
      </c>
    </row>
    <row r="10050">
      <c r="E10050" s="2" t="inlineStr">
        <is>
          <t>TOTAL HARGA SATUAN (Inc. Overhead)</t>
        </is>
      </c>
      <c r="F10050" s="17" t="n">
        <v>5820727</v>
      </c>
    </row>
    <row r="10052">
      <c r="A10052" s="14" t="inlineStr">
        <is>
          <t>KODE: 5.5.1.5 - Pemasangan 1 Unit AC Wall Mounted Kap:12.000 BTUH</t>
        </is>
      </c>
    </row>
    <row r="10053">
      <c r="A10053" s="10" t="inlineStr">
        <is>
          <t>No</t>
        </is>
      </c>
      <c r="B10053" s="10" t="inlineStr">
        <is>
          <t>Uraian Komponen</t>
        </is>
      </c>
      <c r="C10053" s="10" t="inlineStr">
        <is>
          <t>Satuan</t>
        </is>
      </c>
      <c r="D10053" s="10" t="inlineStr">
        <is>
          <t>Koef</t>
        </is>
      </c>
      <c r="E10053" s="10" t="inlineStr">
        <is>
          <t>Harga Satuan (Rp)</t>
        </is>
      </c>
      <c r="F10053" s="10" t="inlineStr">
        <is>
          <t>Jumlah Harga (Rp)</t>
        </is>
      </c>
    </row>
    <row r="10054">
      <c r="A10054" s="3" t="inlineStr">
        <is>
          <t>1</t>
        </is>
      </c>
      <c r="B10054" s="3" t="inlineStr">
        <is>
          <t>Pekerja</t>
        </is>
      </c>
      <c r="C10054" s="3" t="inlineStr">
        <is>
          <t>OH</t>
        </is>
      </c>
      <c r="D10054" s="15" t="n">
        <v>0.893</v>
      </c>
      <c r="E10054" s="4" t="n">
        <v>100000</v>
      </c>
      <c r="F10054" s="4" t="n">
        <v>89300</v>
      </c>
    </row>
    <row r="10055">
      <c r="A10055" s="3" t="inlineStr">
        <is>
          <t>2</t>
        </is>
      </c>
      <c r="B10055" s="3" t="inlineStr">
        <is>
          <t>Tukang listrik</t>
        </is>
      </c>
      <c r="C10055" s="3" t="inlineStr">
        <is>
          <t>OH</t>
        </is>
      </c>
      <c r="D10055" s="15" t="n">
        <v>1.491</v>
      </c>
      <c r="E10055" s="4" t="n">
        <v>145000</v>
      </c>
      <c r="F10055" s="4" t="n">
        <v>216195</v>
      </c>
    </row>
    <row r="10056">
      <c r="A10056" s="3" t="inlineStr">
        <is>
          <t>3</t>
        </is>
      </c>
      <c r="B10056" s="3" t="inlineStr">
        <is>
          <t>Kepala Tukang</t>
        </is>
      </c>
      <c r="C10056" s="3" t="inlineStr">
        <is>
          <t>OH</t>
        </is>
      </c>
      <c r="D10056" s="15" t="n">
        <v>0.149</v>
      </c>
      <c r="E10056" s="4" t="n">
        <v>175000</v>
      </c>
      <c r="F10056" s="4" t="n">
        <v>26075</v>
      </c>
    </row>
    <row r="10057">
      <c r="A10057" s="3" t="inlineStr">
        <is>
          <t>4</t>
        </is>
      </c>
      <c r="B10057" s="3" t="inlineStr">
        <is>
          <t>Mandor</t>
        </is>
      </c>
      <c r="C10057" s="3" t="inlineStr">
        <is>
          <t>OH</t>
        </is>
      </c>
      <c r="D10057" s="15" t="n">
        <v>0.05</v>
      </c>
      <c r="E10057" s="4" t="n">
        <v>200000</v>
      </c>
      <c r="F10057" s="4" t="n">
        <v>10000</v>
      </c>
    </row>
    <row r="10058">
      <c r="A10058" s="3" t="inlineStr">
        <is>
          <t>1</t>
        </is>
      </c>
      <c r="B10058" s="3" t="inlineStr">
        <is>
          <t>AC Wall Mounted Kap : 12.000 BTUH</t>
        </is>
      </c>
      <c r="C10058" s="3" t="inlineStr">
        <is>
          <t>Unit</t>
        </is>
      </c>
      <c r="D10058" s="15" t="n">
        <v>1.1</v>
      </c>
      <c r="E10058" s="4" t="n">
        <v>5300000</v>
      </c>
      <c r="F10058" s="4" t="n">
        <v>5830000.000000001</v>
      </c>
    </row>
    <row r="10059">
      <c r="D10059" s="2" t="inlineStr">
        <is>
          <t>SUBTOTAL UPAH</t>
        </is>
      </c>
      <c r="F10059" s="16" t="n">
        <v>341570</v>
      </c>
    </row>
    <row r="10060">
      <c r="D10060" s="2" t="inlineStr">
        <is>
          <t>SUBTOTAL BAHAN</t>
        </is>
      </c>
      <c r="F10060" s="16" t="n">
        <v>5830000.000000001</v>
      </c>
    </row>
    <row r="10061">
      <c r="D10061" s="2" t="inlineStr">
        <is>
          <t>SUBTOTAL ALAT</t>
        </is>
      </c>
      <c r="F10061" s="16" t="n">
        <v>0</v>
      </c>
    </row>
    <row r="10062">
      <c r="E10062" s="2" t="inlineStr">
        <is>
          <t>TOTAL HARGA SATUAN (Inc. Overhead)</t>
        </is>
      </c>
      <c r="F10062" s="17" t="n">
        <v>6788727</v>
      </c>
    </row>
    <row r="10064">
      <c r="A10064" s="14" t="inlineStr">
        <is>
          <t>KODE: 5.5.1.6 - Pemasangan 1 Unit AC Wall Mounted Kap:24.000 BTUH</t>
        </is>
      </c>
    </row>
    <row r="10065">
      <c r="A10065" s="10" t="inlineStr">
        <is>
          <t>No</t>
        </is>
      </c>
      <c r="B10065" s="10" t="inlineStr">
        <is>
          <t>Uraian Komponen</t>
        </is>
      </c>
      <c r="C10065" s="10" t="inlineStr">
        <is>
          <t>Satuan</t>
        </is>
      </c>
      <c r="D10065" s="10" t="inlineStr">
        <is>
          <t>Koef</t>
        </is>
      </c>
      <c r="E10065" s="10" t="inlineStr">
        <is>
          <t>Harga Satuan (Rp)</t>
        </is>
      </c>
      <c r="F10065" s="10" t="inlineStr">
        <is>
          <t>Jumlah Harga (Rp)</t>
        </is>
      </c>
    </row>
    <row r="10066">
      <c r="A10066" s="3" t="inlineStr">
        <is>
          <t>1</t>
        </is>
      </c>
      <c r="B10066" s="3" t="inlineStr">
        <is>
          <t>Pekerja</t>
        </is>
      </c>
      <c r="C10066" s="3" t="inlineStr">
        <is>
          <t>OH</t>
        </is>
      </c>
      <c r="D10066" s="15" t="n">
        <v>1.264</v>
      </c>
      <c r="E10066" s="4" t="n">
        <v>100000</v>
      </c>
      <c r="F10066" s="4" t="n">
        <v>126400</v>
      </c>
    </row>
    <row r="10067">
      <c r="A10067" s="3" t="inlineStr">
        <is>
          <t>2</t>
        </is>
      </c>
      <c r="B10067" s="3" t="inlineStr">
        <is>
          <t>Tukang listrik</t>
        </is>
      </c>
      <c r="C10067" s="3" t="inlineStr">
        <is>
          <t>OH</t>
        </is>
      </c>
      <c r="D10067" s="15" t="n">
        <v>2.111</v>
      </c>
      <c r="E10067" s="4" t="n">
        <v>145000</v>
      </c>
      <c r="F10067" s="4" t="n">
        <v>306095.0000000001</v>
      </c>
    </row>
    <row r="10068">
      <c r="A10068" s="3" t="inlineStr">
        <is>
          <t>3</t>
        </is>
      </c>
      <c r="B10068" s="3" t="inlineStr">
        <is>
          <t>Kepala Tukang</t>
        </is>
      </c>
      <c r="C10068" s="3" t="inlineStr">
        <is>
          <t>OH</t>
        </is>
      </c>
      <c r="D10068" s="15" t="n">
        <v>0.211</v>
      </c>
      <c r="E10068" s="4" t="n">
        <v>175000</v>
      </c>
      <c r="F10068" s="4" t="n">
        <v>36925</v>
      </c>
    </row>
    <row r="10069">
      <c r="A10069" s="3" t="inlineStr">
        <is>
          <t>4</t>
        </is>
      </c>
      <c r="B10069" s="3" t="inlineStr">
        <is>
          <t>Mandor</t>
        </is>
      </c>
      <c r="C10069" s="3" t="inlineStr">
        <is>
          <t>OH</t>
        </is>
      </c>
      <c r="D10069" s="15" t="n">
        <v>0.07000000000000001</v>
      </c>
      <c r="E10069" s="4" t="n">
        <v>200000</v>
      </c>
      <c r="F10069" s="4" t="n">
        <v>14000</v>
      </c>
    </row>
    <row r="10070">
      <c r="A10070" s="3" t="inlineStr">
        <is>
          <t>1</t>
        </is>
      </c>
      <c r="B10070" s="3" t="inlineStr">
        <is>
          <t>AC Wall Mounted Kap : 24.000 BTUH</t>
        </is>
      </c>
      <c r="C10070" s="3" t="inlineStr">
        <is>
          <t>Unit</t>
        </is>
      </c>
      <c r="D10070" s="15" t="n">
        <v>1.1</v>
      </c>
      <c r="E10070" s="4" t="n">
        <v>7600000</v>
      </c>
      <c r="F10070" s="4" t="n">
        <v>8360000.000000001</v>
      </c>
    </row>
    <row r="10071">
      <c r="D10071" s="2" t="inlineStr">
        <is>
          <t>SUBTOTAL UPAH</t>
        </is>
      </c>
      <c r="F10071" s="16" t="n">
        <v>483420.0000000001</v>
      </c>
    </row>
    <row r="10072">
      <c r="D10072" s="2" t="inlineStr">
        <is>
          <t>SUBTOTAL BAHAN</t>
        </is>
      </c>
      <c r="F10072" s="16" t="n">
        <v>8360000.000000001</v>
      </c>
    </row>
    <row r="10073">
      <c r="D10073" s="2" t="inlineStr">
        <is>
          <t>SUBTOTAL ALAT</t>
        </is>
      </c>
      <c r="F10073" s="16" t="n">
        <v>0</v>
      </c>
    </row>
    <row r="10074">
      <c r="E10074" s="2" t="inlineStr">
        <is>
          <t>TOTAL HARGA SATUAN (Inc. Overhead)</t>
        </is>
      </c>
      <c r="F10074" s="17" t="n">
        <v>9727762</v>
      </c>
    </row>
    <row r="10076">
      <c r="A10076" s="14" t="inlineStr">
        <is>
          <t>KODE: 5.5.1.7 - Pemasangan 1 Unit AC Wall Mounted Kap:35.000 BTUH</t>
        </is>
      </c>
    </row>
    <row r="10077">
      <c r="A10077" s="10" t="inlineStr">
        <is>
          <t>No</t>
        </is>
      </c>
      <c r="B10077" s="10" t="inlineStr">
        <is>
          <t>Uraian Komponen</t>
        </is>
      </c>
      <c r="C10077" s="10" t="inlineStr">
        <is>
          <t>Satuan</t>
        </is>
      </c>
      <c r="D10077" s="10" t="inlineStr">
        <is>
          <t>Koef</t>
        </is>
      </c>
      <c r="E10077" s="10" t="inlineStr">
        <is>
          <t>Harga Satuan (Rp)</t>
        </is>
      </c>
      <c r="F10077" s="10" t="inlineStr">
        <is>
          <t>Jumlah Harga (Rp)</t>
        </is>
      </c>
    </row>
    <row r="10078">
      <c r="A10078" s="3" t="inlineStr">
        <is>
          <t>1</t>
        </is>
      </c>
      <c r="B10078" s="3" t="inlineStr">
        <is>
          <t>Pekerja</t>
        </is>
      </c>
      <c r="C10078" s="3" t="inlineStr">
        <is>
          <t>OH</t>
        </is>
      </c>
      <c r="D10078" s="15" t="n">
        <v>2.024</v>
      </c>
      <c r="E10078" s="4" t="n">
        <v>100000</v>
      </c>
      <c r="F10078" s="4" t="n">
        <v>202400</v>
      </c>
    </row>
    <row r="10079">
      <c r="A10079" s="3" t="inlineStr">
        <is>
          <t>2</t>
        </is>
      </c>
      <c r="B10079" s="3" t="inlineStr">
        <is>
          <t>Tukang listrik</t>
        </is>
      </c>
      <c r="C10079" s="3" t="inlineStr">
        <is>
          <t>OH</t>
        </is>
      </c>
      <c r="D10079" s="15" t="n">
        <v>3.38</v>
      </c>
      <c r="E10079" s="4" t="n">
        <v>145000</v>
      </c>
      <c r="F10079" s="4" t="n">
        <v>490100</v>
      </c>
    </row>
    <row r="10080">
      <c r="A10080" s="3" t="inlineStr">
        <is>
          <t>3</t>
        </is>
      </c>
      <c r="B10080" s="3" t="inlineStr">
        <is>
          <t>Kepala Tukang</t>
        </is>
      </c>
      <c r="C10080" s="3" t="inlineStr">
        <is>
          <t>OH</t>
        </is>
      </c>
      <c r="D10080" s="15" t="n">
        <v>0.338</v>
      </c>
      <c r="E10080" s="4" t="n">
        <v>175000</v>
      </c>
      <c r="F10080" s="4" t="n">
        <v>59150.00000000001</v>
      </c>
    </row>
    <row r="10081">
      <c r="A10081" s="3" t="inlineStr">
        <is>
          <t>4</t>
        </is>
      </c>
      <c r="B10081" s="3" t="inlineStr">
        <is>
          <t>Mandor</t>
        </is>
      </c>
      <c r="C10081" s="3" t="inlineStr">
        <is>
          <t>OH</t>
        </is>
      </c>
      <c r="D10081" s="15" t="n">
        <v>0.113</v>
      </c>
      <c r="E10081" s="4" t="n">
        <v>200000</v>
      </c>
      <c r="F10081" s="4" t="n">
        <v>22600</v>
      </c>
    </row>
    <row r="10082">
      <c r="A10082" s="3" t="inlineStr">
        <is>
          <t>1</t>
        </is>
      </c>
      <c r="B10082" s="3" t="inlineStr">
        <is>
          <t>AC Wall Mounted Kap : 35.000 BTUH</t>
        </is>
      </c>
      <c r="C10082" s="3" t="inlineStr">
        <is>
          <t>Unit</t>
        </is>
      </c>
      <c r="D10082" s="15" t="n">
        <v>1.1</v>
      </c>
      <c r="E10082" s="4" t="n">
        <v>10000000</v>
      </c>
      <c r="F10082" s="4" t="n">
        <v>11000000</v>
      </c>
    </row>
    <row r="10083">
      <c r="D10083" s="2" t="inlineStr">
        <is>
          <t>SUBTOTAL UPAH</t>
        </is>
      </c>
      <c r="F10083" s="16" t="n">
        <v>774250</v>
      </c>
    </row>
    <row r="10084">
      <c r="D10084" s="2" t="inlineStr">
        <is>
          <t>SUBTOTAL BAHAN</t>
        </is>
      </c>
      <c r="F10084" s="16" t="n">
        <v>11000000</v>
      </c>
    </row>
    <row r="10085">
      <c r="D10085" s="2" t="inlineStr">
        <is>
          <t>SUBTOTAL ALAT</t>
        </is>
      </c>
      <c r="F10085" s="16" t="n">
        <v>0</v>
      </c>
    </row>
    <row r="10086">
      <c r="E10086" s="2" t="inlineStr">
        <is>
          <t>TOTAL HARGA SATUAN (Inc. Overhead)</t>
        </is>
      </c>
      <c r="F10086" s="17" t="n">
        <v>12951675</v>
      </c>
    </row>
    <row r="10088">
      <c r="A10088" s="14" t="inlineStr">
        <is>
          <t>KODE: 5.5.1.8 - Pemasangan 1 Titik Kabel Power AC NYM 3x2,5 mm2</t>
        </is>
      </c>
    </row>
    <row r="10089">
      <c r="A10089" s="10" t="inlineStr">
        <is>
          <t>No</t>
        </is>
      </c>
      <c r="B10089" s="10" t="inlineStr">
        <is>
          <t>Uraian Komponen</t>
        </is>
      </c>
      <c r="C10089" s="10" t="inlineStr">
        <is>
          <t>Satuan</t>
        </is>
      </c>
      <c r="D10089" s="10" t="inlineStr">
        <is>
          <t>Koef</t>
        </is>
      </c>
      <c r="E10089" s="10" t="inlineStr">
        <is>
          <t>Harga Satuan (Rp)</t>
        </is>
      </c>
      <c r="F10089" s="10" t="inlineStr">
        <is>
          <t>Jumlah Harga (Rp)</t>
        </is>
      </c>
    </row>
    <row r="10090">
      <c r="A10090" s="3" t="inlineStr">
        <is>
          <t>1</t>
        </is>
      </c>
      <c r="B10090" s="3" t="inlineStr">
        <is>
          <t>Pekerja</t>
        </is>
      </c>
      <c r="C10090" s="3" t="inlineStr">
        <is>
          <t>OH</t>
        </is>
      </c>
      <c r="D10090" s="15" t="n">
        <v>0.024</v>
      </c>
      <c r="E10090" s="4" t="n">
        <v>100000</v>
      </c>
      <c r="F10090" s="4" t="n">
        <v>2400</v>
      </c>
    </row>
    <row r="10091">
      <c r="A10091" s="3" t="inlineStr">
        <is>
          <t>2</t>
        </is>
      </c>
      <c r="B10091" s="3" t="inlineStr">
        <is>
          <t>Tukang listrik</t>
        </is>
      </c>
      <c r="C10091" s="3" t="inlineStr">
        <is>
          <t>OH</t>
        </is>
      </c>
      <c r="D10091" s="15" t="n">
        <v>0.04</v>
      </c>
      <c r="E10091" s="4" t="n">
        <v>145000</v>
      </c>
      <c r="F10091" s="4" t="n">
        <v>5800</v>
      </c>
    </row>
    <row r="10092">
      <c r="A10092" s="3" t="inlineStr">
        <is>
          <t>3</t>
        </is>
      </c>
      <c r="B10092" s="3" t="inlineStr">
        <is>
          <t>Kepala Tukang</t>
        </is>
      </c>
      <c r="C10092" s="3" t="inlineStr">
        <is>
          <t>OH</t>
        </is>
      </c>
      <c r="D10092" s="15" t="n">
        <v>0.004</v>
      </c>
      <c r="E10092" s="4" t="n">
        <v>175000</v>
      </c>
      <c r="F10092" s="4" t="n">
        <v>700</v>
      </c>
    </row>
    <row r="10093">
      <c r="A10093" s="3" t="inlineStr">
        <is>
          <t>4</t>
        </is>
      </c>
      <c r="B10093" s="3" t="inlineStr">
        <is>
          <t>Mandor</t>
        </is>
      </c>
      <c r="C10093" s="3" t="inlineStr">
        <is>
          <t>OH</t>
        </is>
      </c>
      <c r="D10093" s="15" t="n">
        <v>0.001</v>
      </c>
      <c r="E10093" s="4" t="n">
        <v>200000</v>
      </c>
      <c r="F10093" s="4" t="n">
        <v>200</v>
      </c>
    </row>
    <row r="10094">
      <c r="A10094" s="3" t="inlineStr">
        <is>
          <t>1</t>
        </is>
      </c>
      <c r="B10094" s="3" t="inlineStr">
        <is>
          <t>"Kabel NYM 3 x 2 5 mm²"</t>
        </is>
      </c>
      <c r="C10094" s="3" t="inlineStr">
        <is>
          <t>Unit</t>
        </is>
      </c>
      <c r="D10094" s="15" t="n">
        <v>1.1</v>
      </c>
      <c r="E10094" s="4" t="n">
        <v>21300</v>
      </c>
      <c r="F10094" s="4" t="n">
        <v>23430</v>
      </c>
    </row>
    <row r="10095">
      <c r="A10095" s="3" t="inlineStr">
        <is>
          <t>2</t>
        </is>
      </c>
      <c r="B10095" s="3" t="inlineStr">
        <is>
          <t>PVC conduit HI 20 mm²</t>
        </is>
      </c>
      <c r="C10095" s="3" t="inlineStr">
        <is>
          <t>Unit</t>
        </is>
      </c>
      <c r="D10095" s="15" t="n">
        <v>1.1</v>
      </c>
      <c r="E10095" s="4" t="n">
        <v>4100</v>
      </c>
      <c r="F10095" s="4" t="n">
        <v>4510</v>
      </c>
    </row>
    <row r="10096">
      <c r="D10096" s="2" t="inlineStr">
        <is>
          <t>SUBTOTAL UPAH</t>
        </is>
      </c>
      <c r="F10096" s="16" t="n">
        <v>9100</v>
      </c>
    </row>
    <row r="10097">
      <c r="D10097" s="2" t="inlineStr">
        <is>
          <t>SUBTOTAL BAHAN</t>
        </is>
      </c>
      <c r="F10097" s="16" t="n">
        <v>27940</v>
      </c>
    </row>
    <row r="10098">
      <c r="D10098" s="2" t="inlineStr">
        <is>
          <t>SUBTOTAL ALAT</t>
        </is>
      </c>
      <c r="F10098" s="16" t="n">
        <v>0</v>
      </c>
    </row>
    <row r="10099">
      <c r="E10099" s="2" t="inlineStr">
        <is>
          <t>TOTAL HARGA SATUAN (Inc. Overhead)</t>
        </is>
      </c>
      <c r="F10099" s="17" t="n">
        <v>40744</v>
      </c>
    </row>
    <row r="10101">
      <c r="A10101" s="14" t="inlineStr">
        <is>
          <t>KODE: 5.5.1.9 - Pemasangan 1 Titik Kabel Kontrol AC NYM 3x2,5 mm2</t>
        </is>
      </c>
    </row>
    <row r="10102">
      <c r="A10102" s="10" t="inlineStr">
        <is>
          <t>No</t>
        </is>
      </c>
      <c r="B10102" s="10" t="inlineStr">
        <is>
          <t>Uraian Komponen</t>
        </is>
      </c>
      <c r="C10102" s="10" t="inlineStr">
        <is>
          <t>Satuan</t>
        </is>
      </c>
      <c r="D10102" s="10" t="inlineStr">
        <is>
          <t>Koef</t>
        </is>
      </c>
      <c r="E10102" s="10" t="inlineStr">
        <is>
          <t>Harga Satuan (Rp)</t>
        </is>
      </c>
      <c r="F10102" s="10" t="inlineStr">
        <is>
          <t>Jumlah Harga (Rp)</t>
        </is>
      </c>
    </row>
    <row r="10103">
      <c r="A10103" s="3" t="inlineStr">
        <is>
          <t>1</t>
        </is>
      </c>
      <c r="B10103" s="3" t="inlineStr">
        <is>
          <t>Pekerja</t>
        </is>
      </c>
      <c r="C10103" s="3" t="inlineStr">
        <is>
          <t>OH</t>
        </is>
      </c>
      <c r="D10103" s="15" t="n">
        <v>0.024</v>
      </c>
      <c r="E10103" s="4" t="n">
        <v>100000</v>
      </c>
      <c r="F10103" s="4" t="n">
        <v>2400</v>
      </c>
    </row>
    <row r="10104">
      <c r="A10104" s="3" t="inlineStr">
        <is>
          <t>2</t>
        </is>
      </c>
      <c r="B10104" s="3" t="inlineStr">
        <is>
          <t>Tukang listrik</t>
        </is>
      </c>
      <c r="C10104" s="3" t="inlineStr">
        <is>
          <t>OH</t>
        </is>
      </c>
      <c r="D10104" s="15" t="n">
        <v>0.04</v>
      </c>
      <c r="E10104" s="4" t="n">
        <v>145000</v>
      </c>
      <c r="F10104" s="4" t="n">
        <v>5800</v>
      </c>
    </row>
    <row r="10105">
      <c r="A10105" s="3" t="inlineStr">
        <is>
          <t>3</t>
        </is>
      </c>
      <c r="B10105" s="3" t="inlineStr">
        <is>
          <t>Kepala Tukang</t>
        </is>
      </c>
      <c r="C10105" s="3" t="inlineStr">
        <is>
          <t>OH</t>
        </is>
      </c>
      <c r="D10105" s="15" t="n">
        <v>0.004</v>
      </c>
      <c r="E10105" s="4" t="n">
        <v>175000</v>
      </c>
      <c r="F10105" s="4" t="n">
        <v>700</v>
      </c>
    </row>
    <row r="10106">
      <c r="A10106" s="3" t="inlineStr">
        <is>
          <t>4</t>
        </is>
      </c>
      <c r="B10106" s="3" t="inlineStr">
        <is>
          <t>Mandor</t>
        </is>
      </c>
      <c r="C10106" s="3" t="inlineStr">
        <is>
          <t>OH</t>
        </is>
      </c>
      <c r="D10106" s="15" t="n">
        <v>0.001</v>
      </c>
      <c r="E10106" s="4" t="n">
        <v>200000</v>
      </c>
      <c r="F10106" s="4" t="n">
        <v>200</v>
      </c>
    </row>
    <row r="10107">
      <c r="A10107" s="3" t="inlineStr">
        <is>
          <t>1</t>
        </is>
      </c>
      <c r="B10107" s="3" t="inlineStr">
        <is>
          <t>"Kabel NYM 3 x 2 5 mm²"</t>
        </is>
      </c>
      <c r="C10107" s="3" t="inlineStr">
        <is>
          <t>Unit</t>
        </is>
      </c>
      <c r="D10107" s="15" t="n">
        <v>11.3</v>
      </c>
      <c r="E10107" s="4" t="n">
        <v>21300</v>
      </c>
      <c r="F10107" s="4" t="n">
        <v>240690</v>
      </c>
    </row>
    <row r="10108">
      <c r="D10108" s="2" t="inlineStr">
        <is>
          <t>SUBTOTAL UPAH</t>
        </is>
      </c>
      <c r="F10108" s="16" t="n">
        <v>9100</v>
      </c>
    </row>
    <row r="10109">
      <c r="D10109" s="2" t="inlineStr">
        <is>
          <t>SUBTOTAL BAHAN</t>
        </is>
      </c>
      <c r="F10109" s="16" t="n">
        <v>240690</v>
      </c>
    </row>
    <row r="10110">
      <c r="D10110" s="2" t="inlineStr">
        <is>
          <t>SUBTOTAL ALAT</t>
        </is>
      </c>
      <c r="F10110" s="16" t="n">
        <v>0</v>
      </c>
    </row>
    <row r="10111">
      <c r="E10111" s="2" t="inlineStr">
        <is>
          <t>TOTAL HARGA SATUAN (Inc. Overhead)</t>
        </is>
      </c>
      <c r="F10111" s="17" t="n">
        <v>274769</v>
      </c>
    </row>
    <row r="10113">
      <c r="A10113" s="14" t="inlineStr">
        <is>
          <t>KODE: 5.5.1.10 - Pemasangan 1 Unit AC Wall Mounted Kap : 15.400 BTUH</t>
        </is>
      </c>
    </row>
    <row r="10114">
      <c r="A10114" s="10" t="inlineStr">
        <is>
          <t>No</t>
        </is>
      </c>
      <c r="B10114" s="10" t="inlineStr">
        <is>
          <t>Uraian Komponen</t>
        </is>
      </c>
      <c r="C10114" s="10" t="inlineStr">
        <is>
          <t>Satuan</t>
        </is>
      </c>
      <c r="D10114" s="10" t="inlineStr">
        <is>
          <t>Koef</t>
        </is>
      </c>
      <c r="E10114" s="10" t="inlineStr">
        <is>
          <t>Harga Satuan (Rp)</t>
        </is>
      </c>
      <c r="F10114" s="10" t="inlineStr">
        <is>
          <t>Jumlah Harga (Rp)</t>
        </is>
      </c>
    </row>
    <row r="10115">
      <c r="A10115" s="3" t="inlineStr">
        <is>
          <t>1</t>
        </is>
      </c>
      <c r="B10115" s="3" t="inlineStr">
        <is>
          <t>Pekerja</t>
        </is>
      </c>
      <c r="C10115" s="3" t="inlineStr">
        <is>
          <t>OH</t>
        </is>
      </c>
      <c r="D10115" s="15" t="n">
        <v>0.893</v>
      </c>
      <c r="E10115" s="4" t="n">
        <v>100000</v>
      </c>
      <c r="F10115" s="4" t="n">
        <v>89300</v>
      </c>
    </row>
    <row r="10116">
      <c r="A10116" s="3" t="inlineStr">
        <is>
          <t>2</t>
        </is>
      </c>
      <c r="B10116" s="3" t="inlineStr">
        <is>
          <t>Tukang listrik</t>
        </is>
      </c>
      <c r="C10116" s="3" t="inlineStr">
        <is>
          <t>OH</t>
        </is>
      </c>
      <c r="D10116" s="15" t="n">
        <v>1.491</v>
      </c>
      <c r="E10116" s="4" t="n">
        <v>145000</v>
      </c>
      <c r="F10116" s="4" t="n">
        <v>216195</v>
      </c>
    </row>
    <row r="10117">
      <c r="A10117" s="3" t="inlineStr">
        <is>
          <t>3</t>
        </is>
      </c>
      <c r="B10117" s="3" t="inlineStr">
        <is>
          <t>Kepala Tukang</t>
        </is>
      </c>
      <c r="C10117" s="3" t="inlineStr">
        <is>
          <t>OH</t>
        </is>
      </c>
      <c r="D10117" s="15" t="n">
        <v>0.149</v>
      </c>
      <c r="E10117" s="4" t="n">
        <v>175000</v>
      </c>
      <c r="F10117" s="4" t="n">
        <v>26075</v>
      </c>
    </row>
    <row r="10118">
      <c r="A10118" s="3" t="inlineStr">
        <is>
          <t>4</t>
        </is>
      </c>
      <c r="B10118" s="3" t="inlineStr">
        <is>
          <t>Mandor</t>
        </is>
      </c>
      <c r="C10118" s="3" t="inlineStr">
        <is>
          <t>OH</t>
        </is>
      </c>
      <c r="D10118" s="15" t="n">
        <v>0.05</v>
      </c>
      <c r="E10118" s="4" t="n">
        <v>200000</v>
      </c>
      <c r="F10118" s="4" t="n">
        <v>10000</v>
      </c>
    </row>
    <row r="10119">
      <c r="A10119" s="3" t="inlineStr">
        <is>
          <t>1</t>
        </is>
      </c>
      <c r="B10119" s="3" t="inlineStr">
        <is>
          <t>AC Wall Mounted Kap : 15.400 BTUH</t>
        </is>
      </c>
      <c r="C10119" s="3" t="inlineStr">
        <is>
          <t>Unit</t>
        </is>
      </c>
      <c r="D10119" s="15" t="n">
        <v>1.1</v>
      </c>
      <c r="E10119" s="4" t="n">
        <v>6000000</v>
      </c>
      <c r="F10119" s="4" t="n">
        <v>6600000.000000001</v>
      </c>
    </row>
    <row r="10120">
      <c r="D10120" s="2" t="inlineStr">
        <is>
          <t>SUBTOTAL UPAH</t>
        </is>
      </c>
      <c r="F10120" s="16" t="n">
        <v>341570</v>
      </c>
    </row>
    <row r="10121">
      <c r="D10121" s="2" t="inlineStr">
        <is>
          <t>SUBTOTAL BAHAN</t>
        </is>
      </c>
      <c r="F10121" s="16" t="n">
        <v>6600000.000000001</v>
      </c>
    </row>
    <row r="10122">
      <c r="D10122" s="2" t="inlineStr">
        <is>
          <t>SUBTOTAL ALAT</t>
        </is>
      </c>
      <c r="F10122" s="16" t="n">
        <v>0</v>
      </c>
    </row>
    <row r="10123">
      <c r="E10123" s="2" t="inlineStr">
        <is>
          <t>TOTAL HARGA SATUAN (Inc. Overhead)</t>
        </is>
      </c>
      <c r="F10123" s="17" t="n">
        <v>7635727</v>
      </c>
    </row>
    <row r="10125">
      <c r="A10125" s="14" t="inlineStr">
        <is>
          <t>KODE: 5.5.1.11 - Pemasangan 1 Unit AC Wall Mounted Kap : 19.100 BTUH</t>
        </is>
      </c>
    </row>
    <row r="10126">
      <c r="A10126" s="10" t="inlineStr">
        <is>
          <t>No</t>
        </is>
      </c>
      <c r="B10126" s="10" t="inlineStr">
        <is>
          <t>Uraian Komponen</t>
        </is>
      </c>
      <c r="C10126" s="10" t="inlineStr">
        <is>
          <t>Satuan</t>
        </is>
      </c>
      <c r="D10126" s="10" t="inlineStr">
        <is>
          <t>Koef</t>
        </is>
      </c>
      <c r="E10126" s="10" t="inlineStr">
        <is>
          <t>Harga Satuan (Rp)</t>
        </is>
      </c>
      <c r="F10126" s="10" t="inlineStr">
        <is>
          <t>Jumlah Harga (Rp)</t>
        </is>
      </c>
    </row>
    <row r="10127">
      <c r="A10127" s="3" t="inlineStr">
        <is>
          <t>1</t>
        </is>
      </c>
      <c r="B10127" s="3" t="inlineStr">
        <is>
          <t>Pekerja</t>
        </is>
      </c>
      <c r="C10127" s="3" t="inlineStr">
        <is>
          <t>OH</t>
        </is>
      </c>
      <c r="D10127" s="15" t="n">
        <v>1.264</v>
      </c>
      <c r="E10127" s="4" t="n">
        <v>100000</v>
      </c>
      <c r="F10127" s="4" t="n">
        <v>126400</v>
      </c>
    </row>
    <row r="10128">
      <c r="A10128" s="3" t="inlineStr">
        <is>
          <t>2</t>
        </is>
      </c>
      <c r="B10128" s="3" t="inlineStr">
        <is>
          <t>Tukang listrik</t>
        </is>
      </c>
      <c r="C10128" s="3" t="inlineStr">
        <is>
          <t>OH</t>
        </is>
      </c>
      <c r="D10128" s="15" t="n">
        <v>2.111</v>
      </c>
      <c r="E10128" s="4" t="n">
        <v>145000</v>
      </c>
      <c r="F10128" s="4" t="n">
        <v>306095.0000000001</v>
      </c>
    </row>
    <row r="10129">
      <c r="A10129" s="3" t="inlineStr">
        <is>
          <t>3</t>
        </is>
      </c>
      <c r="B10129" s="3" t="inlineStr">
        <is>
          <t>Kepala Tukang</t>
        </is>
      </c>
      <c r="C10129" s="3" t="inlineStr">
        <is>
          <t>OH</t>
        </is>
      </c>
      <c r="D10129" s="15" t="n">
        <v>0.211</v>
      </c>
      <c r="E10129" s="4" t="n">
        <v>175000</v>
      </c>
      <c r="F10129" s="4" t="n">
        <v>36925</v>
      </c>
    </row>
    <row r="10130">
      <c r="A10130" s="3" t="inlineStr">
        <is>
          <t>4</t>
        </is>
      </c>
      <c r="B10130" s="3" t="inlineStr">
        <is>
          <t>Mandor</t>
        </is>
      </c>
      <c r="C10130" s="3" t="inlineStr">
        <is>
          <t>OH</t>
        </is>
      </c>
      <c r="D10130" s="15" t="n">
        <v>0.07000000000000001</v>
      </c>
      <c r="E10130" s="4" t="n">
        <v>200000</v>
      </c>
      <c r="F10130" s="4" t="n">
        <v>14000</v>
      </c>
    </row>
    <row r="10131">
      <c r="A10131" s="3" t="inlineStr">
        <is>
          <t>1</t>
        </is>
      </c>
      <c r="B10131" s="3" t="inlineStr">
        <is>
          <t>AC Wall Mounted Kap : 19.100 BTUH</t>
        </is>
      </c>
      <c r="C10131" s="3" t="inlineStr">
        <is>
          <t>Unit</t>
        </is>
      </c>
      <c r="D10131" s="15" t="n">
        <v>1.1</v>
      </c>
      <c r="E10131" s="4" t="n">
        <v>6500000</v>
      </c>
      <c r="F10131" s="4" t="n">
        <v>7150000.000000001</v>
      </c>
    </row>
    <row r="10132">
      <c r="D10132" s="2" t="inlineStr">
        <is>
          <t>SUBTOTAL UPAH</t>
        </is>
      </c>
      <c r="F10132" s="16" t="n">
        <v>483420.0000000001</v>
      </c>
    </row>
    <row r="10133">
      <c r="D10133" s="2" t="inlineStr">
        <is>
          <t>SUBTOTAL BAHAN</t>
        </is>
      </c>
      <c r="F10133" s="16" t="n">
        <v>7150000.000000001</v>
      </c>
    </row>
    <row r="10134">
      <c r="D10134" s="2" t="inlineStr">
        <is>
          <t>SUBTOTAL ALAT</t>
        </is>
      </c>
      <c r="F10134" s="16" t="n">
        <v>0</v>
      </c>
    </row>
    <row r="10135">
      <c r="E10135" s="2" t="inlineStr">
        <is>
          <t>TOTAL HARGA SATUAN (Inc. Overhead)</t>
        </is>
      </c>
      <c r="F10135" s="17" t="n">
        <v>8396762</v>
      </c>
    </row>
    <row r="10137">
      <c r="A10137" s="14" t="inlineStr">
        <is>
          <t>KODE: 5.5.1.12 - Pemasangan 1 Unit AC Cassette Kap : 15.400 BTUH</t>
        </is>
      </c>
    </row>
    <row r="10138">
      <c r="A10138" s="10" t="inlineStr">
        <is>
          <t>No</t>
        </is>
      </c>
      <c r="B10138" s="10" t="inlineStr">
        <is>
          <t>Uraian Komponen</t>
        </is>
      </c>
      <c r="C10138" s="10" t="inlineStr">
        <is>
          <t>Satuan</t>
        </is>
      </c>
      <c r="D10138" s="10" t="inlineStr">
        <is>
          <t>Koef</t>
        </is>
      </c>
      <c r="E10138" s="10" t="inlineStr">
        <is>
          <t>Harga Satuan (Rp)</t>
        </is>
      </c>
      <c r="F10138" s="10" t="inlineStr">
        <is>
          <t>Jumlah Harga (Rp)</t>
        </is>
      </c>
    </row>
    <row r="10139">
      <c r="A10139" s="3" t="inlineStr">
        <is>
          <t>1</t>
        </is>
      </c>
      <c r="B10139" s="3" t="inlineStr">
        <is>
          <t>Pekerja</t>
        </is>
      </c>
      <c r="C10139" s="3" t="inlineStr">
        <is>
          <t>OH</t>
        </is>
      </c>
      <c r="D10139" s="15" t="n">
        <v>1.264</v>
      </c>
      <c r="E10139" s="4" t="n">
        <v>100000</v>
      </c>
      <c r="F10139" s="4" t="n">
        <v>126400</v>
      </c>
    </row>
    <row r="10140">
      <c r="A10140" s="3" t="inlineStr">
        <is>
          <t>2</t>
        </is>
      </c>
      <c r="B10140" s="3" t="inlineStr">
        <is>
          <t>Tukang listrik</t>
        </is>
      </c>
      <c r="C10140" s="3" t="inlineStr">
        <is>
          <t>OH</t>
        </is>
      </c>
      <c r="D10140" s="15" t="n">
        <v>2.111</v>
      </c>
      <c r="E10140" s="4" t="n">
        <v>145000</v>
      </c>
      <c r="F10140" s="4" t="n">
        <v>306095.0000000001</v>
      </c>
    </row>
    <row r="10141">
      <c r="A10141" s="3" t="inlineStr">
        <is>
          <t>3</t>
        </is>
      </c>
      <c r="B10141" s="3" t="inlineStr">
        <is>
          <t>Kepala Tukang</t>
        </is>
      </c>
      <c r="C10141" s="3" t="inlineStr">
        <is>
          <t>OH</t>
        </is>
      </c>
      <c r="D10141" s="15" t="n">
        <v>0.211</v>
      </c>
      <c r="E10141" s="4" t="n">
        <v>175000</v>
      </c>
      <c r="F10141" s="4" t="n">
        <v>36925</v>
      </c>
    </row>
    <row r="10142">
      <c r="A10142" s="3" t="inlineStr">
        <is>
          <t>4</t>
        </is>
      </c>
      <c r="B10142" s="3" t="inlineStr">
        <is>
          <t>Mandor</t>
        </is>
      </c>
      <c r="C10142" s="3" t="inlineStr">
        <is>
          <t>OH</t>
        </is>
      </c>
      <c r="D10142" s="15" t="n">
        <v>0.07000000000000001</v>
      </c>
      <c r="E10142" s="4" t="n">
        <v>200000</v>
      </c>
      <c r="F10142" s="4" t="n">
        <v>14000</v>
      </c>
    </row>
    <row r="10143">
      <c r="A10143" s="3" t="inlineStr">
        <is>
          <t>1</t>
        </is>
      </c>
      <c r="B10143" s="3" t="inlineStr">
        <is>
          <t>AC Cassette Kap : 15.400 BTUH</t>
        </is>
      </c>
      <c r="C10143" s="3" t="inlineStr">
        <is>
          <t>Unit</t>
        </is>
      </c>
      <c r="D10143" s="15" t="n">
        <v>1.1</v>
      </c>
      <c r="E10143" s="4" t="n">
        <v>15000000</v>
      </c>
      <c r="F10143" s="4" t="n">
        <v>16500000</v>
      </c>
    </row>
    <row r="10144">
      <c r="D10144" s="2" t="inlineStr">
        <is>
          <t>SUBTOTAL UPAH</t>
        </is>
      </c>
      <c r="F10144" s="16" t="n">
        <v>483420.0000000001</v>
      </c>
    </row>
    <row r="10145">
      <c r="D10145" s="2" t="inlineStr">
        <is>
          <t>SUBTOTAL BAHAN</t>
        </is>
      </c>
      <c r="F10145" s="16" t="n">
        <v>16500000</v>
      </c>
    </row>
    <row r="10146">
      <c r="D10146" s="2" t="inlineStr">
        <is>
          <t>SUBTOTAL ALAT</t>
        </is>
      </c>
      <c r="F10146" s="16" t="n">
        <v>0</v>
      </c>
    </row>
    <row r="10147">
      <c r="E10147" s="2" t="inlineStr">
        <is>
          <t>TOTAL HARGA SATUAN (Inc. Overhead)</t>
        </is>
      </c>
      <c r="F10147" s="17" t="n">
        <v>18681762</v>
      </c>
    </row>
    <row r="10149">
      <c r="A10149" s="14" t="inlineStr">
        <is>
          <t>KODE: 5.5.1.13 - Pemasangan 1 Unit AC Cassette Kap : 19.100 BTUH</t>
        </is>
      </c>
    </row>
    <row r="10150">
      <c r="A10150" s="10" t="inlineStr">
        <is>
          <t>No</t>
        </is>
      </c>
      <c r="B10150" s="10" t="inlineStr">
        <is>
          <t>Uraian Komponen</t>
        </is>
      </c>
      <c r="C10150" s="10" t="inlineStr">
        <is>
          <t>Satuan</t>
        </is>
      </c>
      <c r="D10150" s="10" t="inlineStr">
        <is>
          <t>Koef</t>
        </is>
      </c>
      <c r="E10150" s="10" t="inlineStr">
        <is>
          <t>Harga Satuan (Rp)</t>
        </is>
      </c>
      <c r="F10150" s="10" t="inlineStr">
        <is>
          <t>Jumlah Harga (Rp)</t>
        </is>
      </c>
    </row>
    <row r="10151">
      <c r="A10151" s="3" t="inlineStr">
        <is>
          <t>1</t>
        </is>
      </c>
      <c r="B10151" s="3" t="inlineStr">
        <is>
          <t>Pekerja</t>
        </is>
      </c>
      <c r="C10151" s="3" t="inlineStr">
        <is>
          <t>OH</t>
        </is>
      </c>
      <c r="D10151" s="15" t="n">
        <v>1.264</v>
      </c>
      <c r="E10151" s="4" t="n">
        <v>100000</v>
      </c>
      <c r="F10151" s="4" t="n">
        <v>126400</v>
      </c>
    </row>
    <row r="10152">
      <c r="A10152" s="3" t="inlineStr">
        <is>
          <t>2</t>
        </is>
      </c>
      <c r="B10152" s="3" t="inlineStr">
        <is>
          <t>Tukang listrik</t>
        </is>
      </c>
      <c r="C10152" s="3" t="inlineStr">
        <is>
          <t>OH</t>
        </is>
      </c>
      <c r="D10152" s="15" t="n">
        <v>2.111</v>
      </c>
      <c r="E10152" s="4" t="n">
        <v>145000</v>
      </c>
      <c r="F10152" s="4" t="n">
        <v>306095.0000000001</v>
      </c>
    </row>
    <row r="10153">
      <c r="A10153" s="3" t="inlineStr">
        <is>
          <t>3</t>
        </is>
      </c>
      <c r="B10153" s="3" t="inlineStr">
        <is>
          <t>Kepala Tukang</t>
        </is>
      </c>
      <c r="C10153" s="3" t="inlineStr">
        <is>
          <t>OH</t>
        </is>
      </c>
      <c r="D10153" s="15" t="n">
        <v>0.211</v>
      </c>
      <c r="E10153" s="4" t="n">
        <v>175000</v>
      </c>
      <c r="F10153" s="4" t="n">
        <v>36925</v>
      </c>
    </row>
    <row r="10154">
      <c r="A10154" s="3" t="inlineStr">
        <is>
          <t>4</t>
        </is>
      </c>
      <c r="B10154" s="3" t="inlineStr">
        <is>
          <t>Mandor</t>
        </is>
      </c>
      <c r="C10154" s="3" t="inlineStr">
        <is>
          <t>OH</t>
        </is>
      </c>
      <c r="D10154" s="15" t="n">
        <v>0.07000000000000001</v>
      </c>
      <c r="E10154" s="4" t="n">
        <v>200000</v>
      </c>
      <c r="F10154" s="4" t="n">
        <v>14000</v>
      </c>
    </row>
    <row r="10155">
      <c r="A10155" s="3" t="inlineStr">
        <is>
          <t>1</t>
        </is>
      </c>
      <c r="B10155" s="3" t="inlineStr">
        <is>
          <t>AC Cassette Kap : 19.100 BTUH</t>
        </is>
      </c>
      <c r="C10155" s="3" t="inlineStr">
        <is>
          <t>Unit</t>
        </is>
      </c>
      <c r="D10155" s="15" t="n">
        <v>1.1</v>
      </c>
      <c r="E10155" s="4" t="n">
        <v>17500000</v>
      </c>
      <c r="F10155" s="4" t="n">
        <v>19250000</v>
      </c>
    </row>
    <row r="10156">
      <c r="D10156" s="2" t="inlineStr">
        <is>
          <t>SUBTOTAL UPAH</t>
        </is>
      </c>
      <c r="F10156" s="16" t="n">
        <v>483420.0000000001</v>
      </c>
    </row>
    <row r="10157">
      <c r="D10157" s="2" t="inlineStr">
        <is>
          <t>SUBTOTAL BAHAN</t>
        </is>
      </c>
      <c r="F10157" s="16" t="n">
        <v>19250000</v>
      </c>
    </row>
    <row r="10158">
      <c r="D10158" s="2" t="inlineStr">
        <is>
          <t>SUBTOTAL ALAT</t>
        </is>
      </c>
      <c r="F10158" s="16" t="n">
        <v>0</v>
      </c>
    </row>
    <row r="10159">
      <c r="E10159" s="2" t="inlineStr">
        <is>
          <t>TOTAL HARGA SATUAN (Inc. Overhead)</t>
        </is>
      </c>
      <c r="F10159" s="17" t="n">
        <v>21706762</v>
      </c>
    </row>
    <row r="10161">
      <c r="A10161" s="14" t="inlineStr">
        <is>
          <t>KODE: 5.5.1.14 - Pemasangan 1 Unit AC Cassette Kap : 24.200 BTUH</t>
        </is>
      </c>
    </row>
    <row r="10162">
      <c r="A10162" s="10" t="inlineStr">
        <is>
          <t>No</t>
        </is>
      </c>
      <c r="B10162" s="10" t="inlineStr">
        <is>
          <t>Uraian Komponen</t>
        </is>
      </c>
      <c r="C10162" s="10" t="inlineStr">
        <is>
          <t>Satuan</t>
        </is>
      </c>
      <c r="D10162" s="10" t="inlineStr">
        <is>
          <t>Koef</t>
        </is>
      </c>
      <c r="E10162" s="10" t="inlineStr">
        <is>
          <t>Harga Satuan (Rp)</t>
        </is>
      </c>
      <c r="F10162" s="10" t="inlineStr">
        <is>
          <t>Jumlah Harga (Rp)</t>
        </is>
      </c>
    </row>
    <row r="10163">
      <c r="A10163" s="3" t="inlineStr">
        <is>
          <t>1</t>
        </is>
      </c>
      <c r="B10163" s="3" t="inlineStr">
        <is>
          <t>Pekerja</t>
        </is>
      </c>
      <c r="C10163" s="3" t="inlineStr">
        <is>
          <t>OH</t>
        </is>
      </c>
      <c r="D10163" s="15" t="n">
        <v>1.264</v>
      </c>
      <c r="E10163" s="4" t="n">
        <v>100000</v>
      </c>
      <c r="F10163" s="4" t="n">
        <v>126400</v>
      </c>
    </row>
    <row r="10164">
      <c r="A10164" s="3" t="inlineStr">
        <is>
          <t>2</t>
        </is>
      </c>
      <c r="B10164" s="3" t="inlineStr">
        <is>
          <t>Tukang listrik</t>
        </is>
      </c>
      <c r="C10164" s="3" t="inlineStr">
        <is>
          <t>OH</t>
        </is>
      </c>
      <c r="D10164" s="15" t="n">
        <v>2.111</v>
      </c>
      <c r="E10164" s="4" t="n">
        <v>145000</v>
      </c>
      <c r="F10164" s="4" t="n">
        <v>306095.0000000001</v>
      </c>
    </row>
    <row r="10165">
      <c r="A10165" s="3" t="inlineStr">
        <is>
          <t>3</t>
        </is>
      </c>
      <c r="B10165" s="3" t="inlineStr">
        <is>
          <t>Kepala Tukang</t>
        </is>
      </c>
      <c r="C10165" s="3" t="inlineStr">
        <is>
          <t>OH</t>
        </is>
      </c>
      <c r="D10165" s="15" t="n">
        <v>0.211</v>
      </c>
      <c r="E10165" s="4" t="n">
        <v>175000</v>
      </c>
      <c r="F10165" s="4" t="n">
        <v>36925</v>
      </c>
    </row>
    <row r="10166">
      <c r="A10166" s="3" t="inlineStr">
        <is>
          <t>4</t>
        </is>
      </c>
      <c r="B10166" s="3" t="inlineStr">
        <is>
          <t>Mandor</t>
        </is>
      </c>
      <c r="C10166" s="3" t="inlineStr">
        <is>
          <t>OH</t>
        </is>
      </c>
      <c r="D10166" s="15" t="n">
        <v>0.07000000000000001</v>
      </c>
      <c r="E10166" s="4" t="n">
        <v>200000</v>
      </c>
      <c r="F10166" s="4" t="n">
        <v>14000</v>
      </c>
    </row>
    <row r="10167">
      <c r="A10167" s="3" t="inlineStr">
        <is>
          <t>1</t>
        </is>
      </c>
      <c r="B10167" s="3" t="inlineStr">
        <is>
          <t>AC Cassette Kap : 24.200 BTUH</t>
        </is>
      </c>
      <c r="C10167" s="3" t="inlineStr">
        <is>
          <t>Unit</t>
        </is>
      </c>
      <c r="D10167" s="15" t="n">
        <v>1.1</v>
      </c>
      <c r="E10167" s="4" t="n">
        <v>22500000</v>
      </c>
      <c r="F10167" s="4" t="n">
        <v>24750000</v>
      </c>
    </row>
    <row r="10168">
      <c r="D10168" s="2" t="inlineStr">
        <is>
          <t>SUBTOTAL UPAH</t>
        </is>
      </c>
      <c r="F10168" s="16" t="n">
        <v>483420.0000000001</v>
      </c>
    </row>
    <row r="10169">
      <c r="D10169" s="2" t="inlineStr">
        <is>
          <t>SUBTOTAL BAHAN</t>
        </is>
      </c>
      <c r="F10169" s="16" t="n">
        <v>24750000</v>
      </c>
    </row>
    <row r="10170">
      <c r="D10170" s="2" t="inlineStr">
        <is>
          <t>SUBTOTAL ALAT</t>
        </is>
      </c>
      <c r="F10170" s="16" t="n">
        <v>0</v>
      </c>
    </row>
    <row r="10171">
      <c r="E10171" s="2" t="inlineStr">
        <is>
          <t>TOTAL HARGA SATUAN (Inc. Overhead)</t>
        </is>
      </c>
      <c r="F10171" s="17" t="n">
        <v>27756762</v>
      </c>
    </row>
    <row r="10173">
      <c r="A10173" s="14" t="inlineStr">
        <is>
          <t>KODE: 5.5.1.15 - Pemasangan 1 Unit AC Cassette Kap : 30.700 BTUH</t>
        </is>
      </c>
    </row>
    <row r="10174">
      <c r="A10174" s="10" t="inlineStr">
        <is>
          <t>No</t>
        </is>
      </c>
      <c r="B10174" s="10" t="inlineStr">
        <is>
          <t>Uraian Komponen</t>
        </is>
      </c>
      <c r="C10174" s="10" t="inlineStr">
        <is>
          <t>Satuan</t>
        </is>
      </c>
      <c r="D10174" s="10" t="inlineStr">
        <is>
          <t>Koef</t>
        </is>
      </c>
      <c r="E10174" s="10" t="inlineStr">
        <is>
          <t>Harga Satuan (Rp)</t>
        </is>
      </c>
      <c r="F10174" s="10" t="inlineStr">
        <is>
          <t>Jumlah Harga (Rp)</t>
        </is>
      </c>
    </row>
    <row r="10175">
      <c r="A10175" s="3" t="inlineStr">
        <is>
          <t>1</t>
        </is>
      </c>
      <c r="B10175" s="3" t="inlineStr">
        <is>
          <t>Pekerja</t>
        </is>
      </c>
      <c r="C10175" s="3" t="inlineStr">
        <is>
          <t>OH</t>
        </is>
      </c>
      <c r="D10175" s="15" t="n">
        <v>1.264</v>
      </c>
      <c r="E10175" s="4" t="n">
        <v>100000</v>
      </c>
      <c r="F10175" s="4" t="n">
        <v>126400</v>
      </c>
    </row>
    <row r="10176">
      <c r="A10176" s="3" t="inlineStr">
        <is>
          <t>2</t>
        </is>
      </c>
      <c r="B10176" s="3" t="inlineStr">
        <is>
          <t>Tukang listrik</t>
        </is>
      </c>
      <c r="C10176" s="3" t="inlineStr">
        <is>
          <t>OH</t>
        </is>
      </c>
      <c r="D10176" s="15" t="n">
        <v>2.111</v>
      </c>
      <c r="E10176" s="4" t="n">
        <v>145000</v>
      </c>
      <c r="F10176" s="4" t="n">
        <v>306095.0000000001</v>
      </c>
    </row>
    <row r="10177">
      <c r="A10177" s="3" t="inlineStr">
        <is>
          <t>3</t>
        </is>
      </c>
      <c r="B10177" s="3" t="inlineStr">
        <is>
          <t>Kepala Tukang</t>
        </is>
      </c>
      <c r="C10177" s="3" t="inlineStr">
        <is>
          <t>OH</t>
        </is>
      </c>
      <c r="D10177" s="15" t="n">
        <v>0.211</v>
      </c>
      <c r="E10177" s="4" t="n">
        <v>175000</v>
      </c>
      <c r="F10177" s="4" t="n">
        <v>36925</v>
      </c>
    </row>
    <row r="10178">
      <c r="A10178" s="3" t="inlineStr">
        <is>
          <t>4</t>
        </is>
      </c>
      <c r="B10178" s="3" t="inlineStr">
        <is>
          <t>Mandor</t>
        </is>
      </c>
      <c r="C10178" s="3" t="inlineStr">
        <is>
          <t>OH</t>
        </is>
      </c>
      <c r="D10178" s="15" t="n">
        <v>0.07000000000000001</v>
      </c>
      <c r="E10178" s="4" t="n">
        <v>200000</v>
      </c>
      <c r="F10178" s="4" t="n">
        <v>14000</v>
      </c>
    </row>
    <row r="10179">
      <c r="A10179" s="3" t="inlineStr">
        <is>
          <t>1</t>
        </is>
      </c>
      <c r="B10179" s="3" t="inlineStr">
        <is>
          <t>AC Cassette Kap : 30.700 BTUH</t>
        </is>
      </c>
      <c r="C10179" s="3" t="inlineStr">
        <is>
          <t>Unit</t>
        </is>
      </c>
      <c r="D10179" s="15" t="n">
        <v>1.1</v>
      </c>
      <c r="E10179" s="4" t="n">
        <v>30000000</v>
      </c>
      <c r="F10179" s="4" t="n">
        <v>33000000</v>
      </c>
    </row>
    <row r="10180">
      <c r="D10180" s="2" t="inlineStr">
        <is>
          <t>SUBTOTAL UPAH</t>
        </is>
      </c>
      <c r="F10180" s="16" t="n">
        <v>483420.0000000001</v>
      </c>
    </row>
    <row r="10181">
      <c r="D10181" s="2" t="inlineStr">
        <is>
          <t>SUBTOTAL BAHAN</t>
        </is>
      </c>
      <c r="F10181" s="16" t="n">
        <v>33000000</v>
      </c>
    </row>
    <row r="10182">
      <c r="D10182" s="2" t="inlineStr">
        <is>
          <t>SUBTOTAL ALAT</t>
        </is>
      </c>
      <c r="F10182" s="16" t="n">
        <v>0</v>
      </c>
    </row>
    <row r="10183">
      <c r="E10183" s="2" t="inlineStr">
        <is>
          <t>TOTAL HARGA SATUAN (Inc. Overhead)</t>
        </is>
      </c>
      <c r="F10183" s="17" t="n">
        <v>36831762</v>
      </c>
    </row>
    <row r="10185">
      <c r="A10185" s="14" t="inlineStr">
        <is>
          <t>KODE: 5.5.1.16 - Pemasangan 1 Unit AC Cassette Kap : 38.200 BTUH</t>
        </is>
      </c>
    </row>
    <row r="10186">
      <c r="A10186" s="10" t="inlineStr">
        <is>
          <t>No</t>
        </is>
      </c>
      <c r="B10186" s="10" t="inlineStr">
        <is>
          <t>Uraian Komponen</t>
        </is>
      </c>
      <c r="C10186" s="10" t="inlineStr">
        <is>
          <t>Satuan</t>
        </is>
      </c>
      <c r="D10186" s="10" t="inlineStr">
        <is>
          <t>Koef</t>
        </is>
      </c>
      <c r="E10186" s="10" t="inlineStr">
        <is>
          <t>Harga Satuan (Rp)</t>
        </is>
      </c>
      <c r="F10186" s="10" t="inlineStr">
        <is>
          <t>Jumlah Harga (Rp)</t>
        </is>
      </c>
    </row>
    <row r="10187">
      <c r="A10187" s="3" t="inlineStr">
        <is>
          <t>1</t>
        </is>
      </c>
      <c r="B10187" s="3" t="inlineStr">
        <is>
          <t>Pekerja</t>
        </is>
      </c>
      <c r="C10187" s="3" t="inlineStr">
        <is>
          <t>OH</t>
        </is>
      </c>
      <c r="D10187" s="15" t="n">
        <v>2.024</v>
      </c>
      <c r="E10187" s="4" t="n">
        <v>100000</v>
      </c>
      <c r="F10187" s="4" t="n">
        <v>202400</v>
      </c>
    </row>
    <row r="10188">
      <c r="A10188" s="3" t="inlineStr">
        <is>
          <t>2</t>
        </is>
      </c>
      <c r="B10188" s="3" t="inlineStr">
        <is>
          <t>Tukang listrik</t>
        </is>
      </c>
      <c r="C10188" s="3" t="inlineStr">
        <is>
          <t>OH</t>
        </is>
      </c>
      <c r="D10188" s="15" t="n">
        <v>3.38</v>
      </c>
      <c r="E10188" s="4" t="n">
        <v>145000</v>
      </c>
      <c r="F10188" s="4" t="n">
        <v>490100</v>
      </c>
    </row>
    <row r="10189">
      <c r="A10189" s="3" t="inlineStr">
        <is>
          <t>3</t>
        </is>
      </c>
      <c r="B10189" s="3" t="inlineStr">
        <is>
          <t>Kepala Tukang</t>
        </is>
      </c>
      <c r="C10189" s="3" t="inlineStr">
        <is>
          <t>OH</t>
        </is>
      </c>
      <c r="D10189" s="15" t="n">
        <v>0.338</v>
      </c>
      <c r="E10189" s="4" t="n">
        <v>175000</v>
      </c>
      <c r="F10189" s="4" t="n">
        <v>59150.00000000001</v>
      </c>
    </row>
    <row r="10190">
      <c r="A10190" s="3" t="inlineStr">
        <is>
          <t>4</t>
        </is>
      </c>
      <c r="B10190" s="3" t="inlineStr">
        <is>
          <t>Mandor</t>
        </is>
      </c>
      <c r="C10190" s="3" t="inlineStr">
        <is>
          <t>OH</t>
        </is>
      </c>
      <c r="D10190" s="15" t="n">
        <v>0.113</v>
      </c>
      <c r="E10190" s="4" t="n">
        <v>200000</v>
      </c>
      <c r="F10190" s="4" t="n">
        <v>22600</v>
      </c>
    </row>
    <row r="10191">
      <c r="A10191" s="3" t="inlineStr">
        <is>
          <t>1</t>
        </is>
      </c>
      <c r="B10191" s="3" t="inlineStr">
        <is>
          <t>AC Cassette Kap : 38.200 BTUH</t>
        </is>
      </c>
      <c r="C10191" s="3" t="inlineStr">
        <is>
          <t>Unit</t>
        </is>
      </c>
      <c r="D10191" s="15" t="n">
        <v>1.1</v>
      </c>
      <c r="E10191" s="4" t="n">
        <v>35000000</v>
      </c>
      <c r="F10191" s="4" t="n">
        <v>38500000</v>
      </c>
    </row>
    <row r="10192">
      <c r="D10192" s="2" t="inlineStr">
        <is>
          <t>SUBTOTAL UPAH</t>
        </is>
      </c>
      <c r="F10192" s="16" t="n">
        <v>774250</v>
      </c>
    </row>
    <row r="10193">
      <c r="D10193" s="2" t="inlineStr">
        <is>
          <t>SUBTOTAL BAHAN</t>
        </is>
      </c>
      <c r="F10193" s="16" t="n">
        <v>38500000</v>
      </c>
    </row>
    <row r="10194">
      <c r="D10194" s="2" t="inlineStr">
        <is>
          <t>SUBTOTAL ALAT</t>
        </is>
      </c>
      <c r="F10194" s="16" t="n">
        <v>0</v>
      </c>
    </row>
    <row r="10195">
      <c r="E10195" s="2" t="inlineStr">
        <is>
          <t>TOTAL HARGA SATUAN (Inc. Overhead)</t>
        </is>
      </c>
      <c r="F10195" s="17" t="n">
        <v>43201675</v>
      </c>
    </row>
    <row r="10197">
      <c r="A10197" s="14" t="inlineStr">
        <is>
          <t>KODE: 5.5.1.17 - Pemasangan 1 Unit AC Cassette Kap : 47.800 BTUH</t>
        </is>
      </c>
    </row>
    <row r="10198">
      <c r="A10198" s="10" t="inlineStr">
        <is>
          <t>No</t>
        </is>
      </c>
      <c r="B10198" s="10" t="inlineStr">
        <is>
          <t>Uraian Komponen</t>
        </is>
      </c>
      <c r="C10198" s="10" t="inlineStr">
        <is>
          <t>Satuan</t>
        </is>
      </c>
      <c r="D10198" s="10" t="inlineStr">
        <is>
          <t>Koef</t>
        </is>
      </c>
      <c r="E10198" s="10" t="inlineStr">
        <is>
          <t>Harga Satuan (Rp)</t>
        </is>
      </c>
      <c r="F10198" s="10" t="inlineStr">
        <is>
          <t>Jumlah Harga (Rp)</t>
        </is>
      </c>
    </row>
    <row r="10199">
      <c r="A10199" s="3" t="inlineStr">
        <is>
          <t>1</t>
        </is>
      </c>
      <c r="B10199" s="3" t="inlineStr">
        <is>
          <t>Pekerja</t>
        </is>
      </c>
      <c r="C10199" s="3" t="inlineStr">
        <is>
          <t>OH</t>
        </is>
      </c>
      <c r="D10199" s="15" t="n">
        <v>2.024</v>
      </c>
      <c r="E10199" s="4" t="n">
        <v>100000</v>
      </c>
      <c r="F10199" s="4" t="n">
        <v>202400</v>
      </c>
    </row>
    <row r="10200">
      <c r="A10200" s="3" t="inlineStr">
        <is>
          <t>2</t>
        </is>
      </c>
      <c r="B10200" s="3" t="inlineStr">
        <is>
          <t>Tukang listrik</t>
        </is>
      </c>
      <c r="C10200" s="3" t="inlineStr">
        <is>
          <t>OH</t>
        </is>
      </c>
      <c r="D10200" s="15" t="n">
        <v>3.38</v>
      </c>
      <c r="E10200" s="4" t="n">
        <v>145000</v>
      </c>
      <c r="F10200" s="4" t="n">
        <v>490100</v>
      </c>
    </row>
    <row r="10201">
      <c r="A10201" s="3" t="inlineStr">
        <is>
          <t>3</t>
        </is>
      </c>
      <c r="B10201" s="3" t="inlineStr">
        <is>
          <t>Kepala Tukang</t>
        </is>
      </c>
      <c r="C10201" s="3" t="inlineStr">
        <is>
          <t>OH</t>
        </is>
      </c>
      <c r="D10201" s="15" t="n">
        <v>0.338</v>
      </c>
      <c r="E10201" s="4" t="n">
        <v>175000</v>
      </c>
      <c r="F10201" s="4" t="n">
        <v>59150.00000000001</v>
      </c>
    </row>
    <row r="10202">
      <c r="A10202" s="3" t="inlineStr">
        <is>
          <t>4</t>
        </is>
      </c>
      <c r="B10202" s="3" t="inlineStr">
        <is>
          <t>Mandor</t>
        </is>
      </c>
      <c r="C10202" s="3" t="inlineStr">
        <is>
          <t>OH</t>
        </is>
      </c>
      <c r="D10202" s="15" t="n">
        <v>0.113</v>
      </c>
      <c r="E10202" s="4" t="n">
        <v>200000</v>
      </c>
      <c r="F10202" s="4" t="n">
        <v>22600</v>
      </c>
    </row>
    <row r="10203">
      <c r="A10203" s="3" t="inlineStr">
        <is>
          <t>1</t>
        </is>
      </c>
      <c r="B10203" s="3" t="inlineStr">
        <is>
          <t>AC Cassette Kap : 47.800 BTUH</t>
        </is>
      </c>
      <c r="C10203" s="3" t="inlineStr">
        <is>
          <t>Unit</t>
        </is>
      </c>
      <c r="D10203" s="15" t="n">
        <v>1.1</v>
      </c>
      <c r="E10203" s="4" t="n">
        <v>40000000</v>
      </c>
      <c r="F10203" s="4" t="n">
        <v>44000000</v>
      </c>
    </row>
    <row r="10204">
      <c r="D10204" s="2" t="inlineStr">
        <is>
          <t>SUBTOTAL UPAH</t>
        </is>
      </c>
      <c r="F10204" s="16" t="n">
        <v>774250</v>
      </c>
    </row>
    <row r="10205">
      <c r="D10205" s="2" t="inlineStr">
        <is>
          <t>SUBTOTAL BAHAN</t>
        </is>
      </c>
      <c r="F10205" s="16" t="n">
        <v>44000000</v>
      </c>
    </row>
    <row r="10206">
      <c r="D10206" s="2" t="inlineStr">
        <is>
          <t>SUBTOTAL ALAT</t>
        </is>
      </c>
      <c r="F10206" s="16" t="n">
        <v>0</v>
      </c>
    </row>
    <row r="10207">
      <c r="E10207" s="2" t="inlineStr">
        <is>
          <t>TOTAL HARGA SATUAN (Inc. Overhead)</t>
        </is>
      </c>
      <c r="F10207" s="17" t="n">
        <v>49251675</v>
      </c>
    </row>
    <row r="10209">
      <c r="A10209" s="14" t="inlineStr">
        <is>
          <t>KODE: 5.5.1.18 - Pemasangan 1 Unit AC Cassette Kap : 54.600 BTUH</t>
        </is>
      </c>
    </row>
    <row r="10210">
      <c r="A10210" s="10" t="inlineStr">
        <is>
          <t>No</t>
        </is>
      </c>
      <c r="B10210" s="10" t="inlineStr">
        <is>
          <t>Uraian Komponen</t>
        </is>
      </c>
      <c r="C10210" s="10" t="inlineStr">
        <is>
          <t>Satuan</t>
        </is>
      </c>
      <c r="D10210" s="10" t="inlineStr">
        <is>
          <t>Koef</t>
        </is>
      </c>
      <c r="E10210" s="10" t="inlineStr">
        <is>
          <t>Harga Satuan (Rp)</t>
        </is>
      </c>
      <c r="F10210" s="10" t="inlineStr">
        <is>
          <t>Jumlah Harga (Rp)</t>
        </is>
      </c>
    </row>
    <row r="10211">
      <c r="A10211" s="3" t="inlineStr">
        <is>
          <t>1</t>
        </is>
      </c>
      <c r="B10211" s="3" t="inlineStr">
        <is>
          <t>Pekerja</t>
        </is>
      </c>
      <c r="C10211" s="3" t="inlineStr">
        <is>
          <t>OH</t>
        </is>
      </c>
      <c r="D10211" s="15" t="n">
        <v>2.631</v>
      </c>
      <c r="E10211" s="4" t="n">
        <v>100000</v>
      </c>
      <c r="F10211" s="4" t="n">
        <v>263100</v>
      </c>
    </row>
    <row r="10212">
      <c r="A10212" s="3" t="inlineStr">
        <is>
          <t>2</t>
        </is>
      </c>
      <c r="B10212" s="3" t="inlineStr">
        <is>
          <t>Tukang listrik</t>
        </is>
      </c>
      <c r="C10212" s="3" t="inlineStr">
        <is>
          <t>OH</t>
        </is>
      </c>
      <c r="D10212" s="15" t="n">
        <v>4.394</v>
      </c>
      <c r="E10212" s="4" t="n">
        <v>145000</v>
      </c>
      <c r="F10212" s="4" t="n">
        <v>637130</v>
      </c>
    </row>
    <row r="10213">
      <c r="A10213" s="3" t="inlineStr">
        <is>
          <t>3</t>
        </is>
      </c>
      <c r="B10213" s="3" t="inlineStr">
        <is>
          <t>Kepala Tukang</t>
        </is>
      </c>
      <c r="C10213" s="3" t="inlineStr">
        <is>
          <t>OH</t>
        </is>
      </c>
      <c r="D10213" s="15" t="n">
        <v>0.439</v>
      </c>
      <c r="E10213" s="4" t="n">
        <v>175000</v>
      </c>
      <c r="F10213" s="4" t="n">
        <v>76825</v>
      </c>
    </row>
    <row r="10214">
      <c r="A10214" s="3" t="inlineStr">
        <is>
          <t>4</t>
        </is>
      </c>
      <c r="B10214" s="3" t="inlineStr">
        <is>
          <t>Mandor</t>
        </is>
      </c>
      <c r="C10214" s="3" t="inlineStr">
        <is>
          <t>OH</t>
        </is>
      </c>
      <c r="D10214" s="15" t="n">
        <v>0.146</v>
      </c>
      <c r="E10214" s="4" t="n">
        <v>200000</v>
      </c>
      <c r="F10214" s="4" t="n">
        <v>29200</v>
      </c>
    </row>
    <row r="10215">
      <c r="A10215" s="3" t="inlineStr">
        <is>
          <t>1</t>
        </is>
      </c>
      <c r="B10215" s="3" t="inlineStr">
        <is>
          <t>AC Cassette Kap : 54.600 BTUH</t>
        </is>
      </c>
      <c r="C10215" s="3" t="inlineStr">
        <is>
          <t>Unit</t>
        </is>
      </c>
      <c r="D10215" s="15" t="n">
        <v>1.1</v>
      </c>
      <c r="E10215" s="4" t="n">
        <v>45000000</v>
      </c>
      <c r="F10215" s="4" t="n">
        <v>49500000.00000001</v>
      </c>
    </row>
    <row r="10216">
      <c r="D10216" s="2" t="inlineStr">
        <is>
          <t>SUBTOTAL UPAH</t>
        </is>
      </c>
      <c r="F10216" s="16" t="n">
        <v>1006255</v>
      </c>
    </row>
    <row r="10217">
      <c r="D10217" s="2" t="inlineStr">
        <is>
          <t>SUBTOTAL BAHAN</t>
        </is>
      </c>
      <c r="F10217" s="16" t="n">
        <v>49500000.00000001</v>
      </c>
    </row>
    <row r="10218">
      <c r="D10218" s="2" t="inlineStr">
        <is>
          <t>SUBTOTAL ALAT</t>
        </is>
      </c>
      <c r="F10218" s="16" t="n">
        <v>0</v>
      </c>
    </row>
    <row r="10219">
      <c r="E10219" s="2" t="inlineStr">
        <is>
          <t>TOTAL HARGA SATUAN (Inc. Overhead)</t>
        </is>
      </c>
      <c r="F10219" s="17" t="n">
        <v>55556880</v>
      </c>
    </row>
    <row r="10221">
      <c r="A10221" s="14" t="inlineStr">
        <is>
          <t>KODE: 5.5.1.19 - Pemasangan 1 Unit AC Cassette Duct Kap. 24.200 Btu/h</t>
        </is>
      </c>
    </row>
    <row r="10222">
      <c r="A10222" s="10" t="inlineStr">
        <is>
          <t>No</t>
        </is>
      </c>
      <c r="B10222" s="10" t="inlineStr">
        <is>
          <t>Uraian Komponen</t>
        </is>
      </c>
      <c r="C10222" s="10" t="inlineStr">
        <is>
          <t>Satuan</t>
        </is>
      </c>
      <c r="D10222" s="10" t="inlineStr">
        <is>
          <t>Koef</t>
        </is>
      </c>
      <c r="E10222" s="10" t="inlineStr">
        <is>
          <t>Harga Satuan (Rp)</t>
        </is>
      </c>
      <c r="F10222" s="10" t="inlineStr">
        <is>
          <t>Jumlah Harga (Rp)</t>
        </is>
      </c>
    </row>
    <row r="10223">
      <c r="A10223" s="3" t="inlineStr">
        <is>
          <t>1</t>
        </is>
      </c>
      <c r="B10223" s="3" t="inlineStr">
        <is>
          <t>Pekerja</t>
        </is>
      </c>
      <c r="C10223" s="3" t="inlineStr">
        <is>
          <t>OH</t>
        </is>
      </c>
      <c r="D10223" s="15" t="n">
        <v>1.39</v>
      </c>
      <c r="E10223" s="4" t="n">
        <v>100000</v>
      </c>
      <c r="F10223" s="4" t="n">
        <v>139000</v>
      </c>
    </row>
    <row r="10224">
      <c r="A10224" s="3" t="inlineStr">
        <is>
          <t>2</t>
        </is>
      </c>
      <c r="B10224" s="3" t="inlineStr">
        <is>
          <t>Tukang listrik</t>
        </is>
      </c>
      <c r="C10224" s="3" t="inlineStr">
        <is>
          <t>OH</t>
        </is>
      </c>
      <c r="D10224" s="15" t="n">
        <v>2.322</v>
      </c>
      <c r="E10224" s="4" t="n">
        <v>145000</v>
      </c>
      <c r="F10224" s="4" t="n">
        <v>336690</v>
      </c>
    </row>
    <row r="10225">
      <c r="A10225" s="3" t="inlineStr">
        <is>
          <t>3</t>
        </is>
      </c>
      <c r="B10225" s="3" t="inlineStr">
        <is>
          <t>Kepala Tukang</t>
        </is>
      </c>
      <c r="C10225" s="3" t="inlineStr">
        <is>
          <t>OH</t>
        </is>
      </c>
      <c r="D10225" s="15" t="n">
        <v>0.232</v>
      </c>
      <c r="E10225" s="4" t="n">
        <v>175000</v>
      </c>
      <c r="F10225" s="4" t="n">
        <v>40600</v>
      </c>
    </row>
    <row r="10226">
      <c r="A10226" s="3" t="inlineStr">
        <is>
          <t>4</t>
        </is>
      </c>
      <c r="B10226" s="3" t="inlineStr">
        <is>
          <t>Mandor</t>
        </is>
      </c>
      <c r="C10226" s="3" t="inlineStr">
        <is>
          <t>OH</t>
        </is>
      </c>
      <c r="D10226" s="15" t="n">
        <v>0.077</v>
      </c>
      <c r="E10226" s="4" t="n">
        <v>200000</v>
      </c>
      <c r="F10226" s="4" t="n">
        <v>15400</v>
      </c>
    </row>
    <row r="10227">
      <c r="A10227" s="3" t="inlineStr">
        <is>
          <t>1</t>
        </is>
      </c>
      <c r="B10227" s="3" t="inlineStr">
        <is>
          <t>AC Cassette Duct Kap. 24.200 Btu/h</t>
        </is>
      </c>
      <c r="C10227" s="3" t="inlineStr">
        <is>
          <t>Unit</t>
        </is>
      </c>
      <c r="D10227" s="15" t="n">
        <v>1.1</v>
      </c>
      <c r="E10227" s="4" t="n">
        <v>16500000</v>
      </c>
      <c r="F10227" s="4" t="n">
        <v>18150000</v>
      </c>
    </row>
    <row r="10228">
      <c r="D10228" s="2" t="inlineStr">
        <is>
          <t>SUBTOTAL UPAH</t>
        </is>
      </c>
      <c r="F10228" s="16" t="n">
        <v>531690</v>
      </c>
    </row>
    <row r="10229">
      <c r="D10229" s="2" t="inlineStr">
        <is>
          <t>SUBTOTAL BAHAN</t>
        </is>
      </c>
      <c r="F10229" s="16" t="n">
        <v>18150000</v>
      </c>
    </row>
    <row r="10230">
      <c r="D10230" s="2" t="inlineStr">
        <is>
          <t>SUBTOTAL ALAT</t>
        </is>
      </c>
      <c r="F10230" s="16" t="n">
        <v>0</v>
      </c>
    </row>
    <row r="10231">
      <c r="E10231" s="2" t="inlineStr">
        <is>
          <t>TOTAL HARGA SATUAN (Inc. Overhead)</t>
        </is>
      </c>
      <c r="F10231" s="17" t="n">
        <v>20549859</v>
      </c>
    </row>
    <row r="10233">
      <c r="A10233" s="14" t="inlineStr">
        <is>
          <t>KODE: 5.5.1.20 - Pemasangan 1 Unit AC Cassette Duct Kap. 30.700 Btu/h</t>
        </is>
      </c>
    </row>
    <row r="10234">
      <c r="A10234" s="10" t="inlineStr">
        <is>
          <t>No</t>
        </is>
      </c>
      <c r="B10234" s="10" t="inlineStr">
        <is>
          <t>Uraian Komponen</t>
        </is>
      </c>
      <c r="C10234" s="10" t="inlineStr">
        <is>
          <t>Satuan</t>
        </is>
      </c>
      <c r="D10234" s="10" t="inlineStr">
        <is>
          <t>Koef</t>
        </is>
      </c>
      <c r="E10234" s="10" t="inlineStr">
        <is>
          <t>Harga Satuan (Rp)</t>
        </is>
      </c>
      <c r="F10234" s="10" t="inlineStr">
        <is>
          <t>Jumlah Harga (Rp)</t>
        </is>
      </c>
    </row>
    <row r="10235">
      <c r="A10235" s="3" t="inlineStr">
        <is>
          <t>1</t>
        </is>
      </c>
      <c r="B10235" s="3" t="inlineStr">
        <is>
          <t>Pekerja</t>
        </is>
      </c>
      <c r="C10235" s="3" t="inlineStr">
        <is>
          <t>OH</t>
        </is>
      </c>
      <c r="D10235" s="15" t="n">
        <v>1.39</v>
      </c>
      <c r="E10235" s="4" t="n">
        <v>100000</v>
      </c>
      <c r="F10235" s="4" t="n">
        <v>139000</v>
      </c>
    </row>
    <row r="10236">
      <c r="A10236" s="3" t="inlineStr">
        <is>
          <t>2</t>
        </is>
      </c>
      <c r="B10236" s="3" t="inlineStr">
        <is>
          <t>Tukang listrik</t>
        </is>
      </c>
      <c r="C10236" s="3" t="inlineStr">
        <is>
          <t>OH</t>
        </is>
      </c>
      <c r="D10236" s="15" t="n">
        <v>2.322</v>
      </c>
      <c r="E10236" s="4" t="n">
        <v>145000</v>
      </c>
      <c r="F10236" s="4" t="n">
        <v>336690</v>
      </c>
    </row>
    <row r="10237">
      <c r="A10237" s="3" t="inlineStr">
        <is>
          <t>3</t>
        </is>
      </c>
      <c r="B10237" s="3" t="inlineStr">
        <is>
          <t>Kepala Tukang</t>
        </is>
      </c>
      <c r="C10237" s="3" t="inlineStr">
        <is>
          <t>OH</t>
        </is>
      </c>
      <c r="D10237" s="15" t="n">
        <v>0.232</v>
      </c>
      <c r="E10237" s="4" t="n">
        <v>175000</v>
      </c>
      <c r="F10237" s="4" t="n">
        <v>40600</v>
      </c>
    </row>
    <row r="10238">
      <c r="A10238" s="3" t="inlineStr">
        <is>
          <t>4</t>
        </is>
      </c>
      <c r="B10238" s="3" t="inlineStr">
        <is>
          <t>Mandor</t>
        </is>
      </c>
      <c r="C10238" s="3" t="inlineStr">
        <is>
          <t>OH</t>
        </is>
      </c>
      <c r="D10238" s="15" t="n">
        <v>0.077</v>
      </c>
      <c r="E10238" s="4" t="n">
        <v>200000</v>
      </c>
      <c r="F10238" s="4" t="n">
        <v>15400</v>
      </c>
    </row>
    <row r="10239">
      <c r="A10239" s="3" t="inlineStr">
        <is>
          <t>1</t>
        </is>
      </c>
      <c r="B10239" s="3" t="inlineStr">
        <is>
          <t>AC Cassette Duct Kap. 30.700 Btu/h</t>
        </is>
      </c>
      <c r="C10239" s="3" t="inlineStr">
        <is>
          <t>Unit</t>
        </is>
      </c>
      <c r="D10239" s="15" t="n">
        <v>1.1</v>
      </c>
      <c r="E10239" s="4" t="n">
        <v>32000000</v>
      </c>
      <c r="F10239" s="4" t="n">
        <v>35200000</v>
      </c>
    </row>
    <row r="10240">
      <c r="D10240" s="2" t="inlineStr">
        <is>
          <t>SUBTOTAL UPAH</t>
        </is>
      </c>
      <c r="F10240" s="16" t="n">
        <v>531690</v>
      </c>
    </row>
    <row r="10241">
      <c r="D10241" s="2" t="inlineStr">
        <is>
          <t>SUBTOTAL BAHAN</t>
        </is>
      </c>
      <c r="F10241" s="16" t="n">
        <v>35200000</v>
      </c>
    </row>
    <row r="10242">
      <c r="D10242" s="2" t="inlineStr">
        <is>
          <t>SUBTOTAL ALAT</t>
        </is>
      </c>
      <c r="F10242" s="16" t="n">
        <v>0</v>
      </c>
    </row>
    <row r="10243">
      <c r="E10243" s="2" t="inlineStr">
        <is>
          <t>TOTAL HARGA SATUAN (Inc. Overhead)</t>
        </is>
      </c>
      <c r="F10243" s="17" t="n">
        <v>39304859</v>
      </c>
    </row>
    <row r="10245">
      <c r="A10245" s="14" t="inlineStr">
        <is>
          <t>KODE: 5.5.1.21 - Pemasangan 1 Unit AC Cassette Duct Kap. 38.200 Btu/h</t>
        </is>
      </c>
    </row>
    <row r="10246">
      <c r="A10246" s="10" t="inlineStr">
        <is>
          <t>No</t>
        </is>
      </c>
      <c r="B10246" s="10" t="inlineStr">
        <is>
          <t>Uraian Komponen</t>
        </is>
      </c>
      <c r="C10246" s="10" t="inlineStr">
        <is>
          <t>Satuan</t>
        </is>
      </c>
      <c r="D10246" s="10" t="inlineStr">
        <is>
          <t>Koef</t>
        </is>
      </c>
      <c r="E10246" s="10" t="inlineStr">
        <is>
          <t>Harga Satuan (Rp)</t>
        </is>
      </c>
      <c r="F10246" s="10" t="inlineStr">
        <is>
          <t>Jumlah Harga (Rp)</t>
        </is>
      </c>
    </row>
    <row r="10247">
      <c r="A10247" s="3" t="inlineStr">
        <is>
          <t>1</t>
        </is>
      </c>
      <c r="B10247" s="3" t="inlineStr">
        <is>
          <t>Pekerja</t>
        </is>
      </c>
      <c r="C10247" s="3" t="inlineStr">
        <is>
          <t>OH</t>
        </is>
      </c>
      <c r="D10247" s="15" t="n">
        <v>2.226</v>
      </c>
      <c r="E10247" s="4" t="n">
        <v>100000</v>
      </c>
      <c r="F10247" s="4" t="n">
        <v>222600</v>
      </c>
    </row>
    <row r="10248">
      <c r="A10248" s="3" t="inlineStr">
        <is>
          <t>2</t>
        </is>
      </c>
      <c r="B10248" s="3" t="inlineStr">
        <is>
          <t>Tukang listrik</t>
        </is>
      </c>
      <c r="C10248" s="3" t="inlineStr">
        <is>
          <t>OH</t>
        </is>
      </c>
      <c r="D10248" s="15" t="n">
        <v>3.718</v>
      </c>
      <c r="E10248" s="4" t="n">
        <v>145000</v>
      </c>
      <c r="F10248" s="4" t="n">
        <v>539110</v>
      </c>
    </row>
    <row r="10249">
      <c r="A10249" s="3" t="inlineStr">
        <is>
          <t>3</t>
        </is>
      </c>
      <c r="B10249" s="3" t="inlineStr">
        <is>
          <t>Kepala Tukang</t>
        </is>
      </c>
      <c r="C10249" s="3" t="inlineStr">
        <is>
          <t>OH</t>
        </is>
      </c>
      <c r="D10249" s="15" t="n">
        <v>0.372</v>
      </c>
      <c r="E10249" s="4" t="n">
        <v>175000</v>
      </c>
      <c r="F10249" s="4" t="n">
        <v>65100</v>
      </c>
    </row>
    <row r="10250">
      <c r="A10250" s="3" t="inlineStr">
        <is>
          <t>4</t>
        </is>
      </c>
      <c r="B10250" s="3" t="inlineStr">
        <is>
          <t>Mandor</t>
        </is>
      </c>
      <c r="C10250" s="3" t="inlineStr">
        <is>
          <t>OH</t>
        </is>
      </c>
      <c r="D10250" s="15" t="n">
        <v>0.124</v>
      </c>
      <c r="E10250" s="4" t="n">
        <v>200000</v>
      </c>
      <c r="F10250" s="4" t="n">
        <v>24800</v>
      </c>
    </row>
    <row r="10251">
      <c r="A10251" s="3" t="inlineStr">
        <is>
          <t>1</t>
        </is>
      </c>
      <c r="B10251" s="3" t="inlineStr">
        <is>
          <t>AC Cassette Duct Kap. 38.200 Btu/h</t>
        </is>
      </c>
      <c r="C10251" s="3" t="inlineStr">
        <is>
          <t>Unit</t>
        </is>
      </c>
      <c r="D10251" s="15" t="n">
        <v>1.1</v>
      </c>
      <c r="E10251" s="4" t="n">
        <v>37000000</v>
      </c>
      <c r="F10251" s="4" t="n">
        <v>40700000</v>
      </c>
    </row>
    <row r="10252">
      <c r="D10252" s="2" t="inlineStr">
        <is>
          <t>SUBTOTAL UPAH</t>
        </is>
      </c>
      <c r="F10252" s="16" t="n">
        <v>851610</v>
      </c>
    </row>
    <row r="10253">
      <c r="D10253" s="2" t="inlineStr">
        <is>
          <t>SUBTOTAL BAHAN</t>
        </is>
      </c>
      <c r="F10253" s="16" t="n">
        <v>40700000</v>
      </c>
    </row>
    <row r="10254">
      <c r="D10254" s="2" t="inlineStr">
        <is>
          <t>SUBTOTAL ALAT</t>
        </is>
      </c>
      <c r="F10254" s="16" t="n">
        <v>0</v>
      </c>
    </row>
    <row r="10255">
      <c r="E10255" s="2" t="inlineStr">
        <is>
          <t>TOTAL HARGA SATUAN (Inc. Overhead)</t>
        </is>
      </c>
      <c r="F10255" s="17" t="n">
        <v>45706771</v>
      </c>
    </row>
    <row r="10257">
      <c r="A10257" s="14" t="inlineStr">
        <is>
          <t>KODE: 5.5.1.22 - Pemasangan 1 Unit AC Split Duct Kap. 12.300 Btu/h</t>
        </is>
      </c>
    </row>
    <row r="10258">
      <c r="A10258" s="10" t="inlineStr">
        <is>
          <t>No</t>
        </is>
      </c>
      <c r="B10258" s="10" t="inlineStr">
        <is>
          <t>Uraian Komponen</t>
        </is>
      </c>
      <c r="C10258" s="10" t="inlineStr">
        <is>
          <t>Satuan</t>
        </is>
      </c>
      <c r="D10258" s="10" t="inlineStr">
        <is>
          <t>Koef</t>
        </is>
      </c>
      <c r="E10258" s="10" t="inlineStr">
        <is>
          <t>Harga Satuan (Rp)</t>
        </is>
      </c>
      <c r="F10258" s="10" t="inlineStr">
        <is>
          <t>Jumlah Harga (Rp)</t>
        </is>
      </c>
    </row>
    <row r="10259">
      <c r="A10259" s="3" t="inlineStr">
        <is>
          <t>1</t>
        </is>
      </c>
      <c r="B10259" s="3" t="inlineStr">
        <is>
          <t>Pekerja</t>
        </is>
      </c>
      <c r="C10259" s="3" t="inlineStr">
        <is>
          <t>OH</t>
        </is>
      </c>
      <c r="D10259" s="15" t="n">
        <v>0.857</v>
      </c>
      <c r="E10259" s="4" t="n">
        <v>100000</v>
      </c>
      <c r="F10259" s="4" t="n">
        <v>85700</v>
      </c>
    </row>
    <row r="10260">
      <c r="A10260" s="3" t="inlineStr">
        <is>
          <t>2</t>
        </is>
      </c>
      <c r="B10260" s="3" t="inlineStr">
        <is>
          <t>Tukang listrik</t>
        </is>
      </c>
      <c r="C10260" s="3" t="inlineStr">
        <is>
          <t>OH</t>
        </is>
      </c>
      <c r="D10260" s="15" t="n">
        <v>1.431</v>
      </c>
      <c r="E10260" s="4" t="n">
        <v>145000</v>
      </c>
      <c r="F10260" s="4" t="n">
        <v>207495</v>
      </c>
    </row>
    <row r="10261">
      <c r="A10261" s="3" t="inlineStr">
        <is>
          <t>3</t>
        </is>
      </c>
      <c r="B10261" s="3" t="inlineStr">
        <is>
          <t>Kepala Tukang</t>
        </is>
      </c>
      <c r="C10261" s="3" t="inlineStr">
        <is>
          <t>OH</t>
        </is>
      </c>
      <c r="D10261" s="15" t="n">
        <v>0.143</v>
      </c>
      <c r="E10261" s="4" t="n">
        <v>175000</v>
      </c>
      <c r="F10261" s="4" t="n">
        <v>25025</v>
      </c>
    </row>
    <row r="10262">
      <c r="A10262" s="3" t="inlineStr">
        <is>
          <t>4</t>
        </is>
      </c>
      <c r="B10262" s="3" t="inlineStr">
        <is>
          <t>Mandor</t>
        </is>
      </c>
      <c r="C10262" s="3" t="inlineStr">
        <is>
          <t>OH</t>
        </is>
      </c>
      <c r="D10262" s="15" t="n">
        <v>0.048</v>
      </c>
      <c r="E10262" s="4" t="n">
        <v>200000</v>
      </c>
      <c r="F10262" s="4" t="n">
        <v>9600</v>
      </c>
    </row>
    <row r="10263">
      <c r="A10263" s="3" t="inlineStr">
        <is>
          <t>1</t>
        </is>
      </c>
      <c r="B10263" s="3" t="inlineStr">
        <is>
          <t>AC Split Duct Kap. 12.300 Btu/h</t>
        </is>
      </c>
      <c r="C10263" s="3" t="inlineStr">
        <is>
          <t>Unit</t>
        </is>
      </c>
      <c r="D10263" s="15" t="n">
        <v>1.1</v>
      </c>
      <c r="E10263" s="4" t="n">
        <v>11000000</v>
      </c>
      <c r="F10263" s="4" t="n">
        <v>12100000</v>
      </c>
    </row>
    <row r="10264">
      <c r="D10264" s="2" t="inlineStr">
        <is>
          <t>SUBTOTAL UPAH</t>
        </is>
      </c>
      <c r="F10264" s="16" t="n">
        <v>327820</v>
      </c>
    </row>
    <row r="10265">
      <c r="D10265" s="2" t="inlineStr">
        <is>
          <t>SUBTOTAL BAHAN</t>
        </is>
      </c>
      <c r="F10265" s="16" t="n">
        <v>12100000</v>
      </c>
    </row>
    <row r="10266">
      <c r="D10266" s="2" t="inlineStr">
        <is>
          <t>SUBTOTAL ALAT</t>
        </is>
      </c>
      <c r="F10266" s="16" t="n">
        <v>0</v>
      </c>
    </row>
    <row r="10267">
      <c r="E10267" s="2" t="inlineStr">
        <is>
          <t>TOTAL HARGA SATUAN (Inc. Overhead)</t>
        </is>
      </c>
      <c r="F10267" s="17" t="n">
        <v>13670602</v>
      </c>
    </row>
    <row r="10269">
      <c r="A10269" s="14" t="inlineStr">
        <is>
          <t>KODE: 5.5.1.23 - Pemasangan 1 Unit AC Split Duct Kap. 15.400 Btu/h</t>
        </is>
      </c>
    </row>
    <row r="10270">
      <c r="A10270" s="10" t="inlineStr">
        <is>
          <t>No</t>
        </is>
      </c>
      <c r="B10270" s="10" t="inlineStr">
        <is>
          <t>Uraian Komponen</t>
        </is>
      </c>
      <c r="C10270" s="10" t="inlineStr">
        <is>
          <t>Satuan</t>
        </is>
      </c>
      <c r="D10270" s="10" t="inlineStr">
        <is>
          <t>Koef</t>
        </is>
      </c>
      <c r="E10270" s="10" t="inlineStr">
        <is>
          <t>Harga Satuan (Rp)</t>
        </is>
      </c>
      <c r="F10270" s="10" t="inlineStr">
        <is>
          <t>Jumlah Harga (Rp)</t>
        </is>
      </c>
    </row>
    <row r="10271">
      <c r="A10271" s="3" t="inlineStr">
        <is>
          <t>1</t>
        </is>
      </c>
      <c r="B10271" s="3" t="inlineStr">
        <is>
          <t>Pekerja</t>
        </is>
      </c>
      <c r="C10271" s="3" t="inlineStr">
        <is>
          <t>OH</t>
        </is>
      </c>
      <c r="D10271" s="15" t="n">
        <v>0.9429999999999999</v>
      </c>
      <c r="E10271" s="4" t="n">
        <v>100000</v>
      </c>
      <c r="F10271" s="4" t="n">
        <v>94300</v>
      </c>
    </row>
    <row r="10272">
      <c r="A10272" s="3" t="inlineStr">
        <is>
          <t>2</t>
        </is>
      </c>
      <c r="B10272" s="3" t="inlineStr">
        <is>
          <t>Tukang listrik</t>
        </is>
      </c>
      <c r="C10272" s="3" t="inlineStr">
        <is>
          <t>OH</t>
        </is>
      </c>
      <c r="D10272" s="15" t="n">
        <v>1.575</v>
      </c>
      <c r="E10272" s="4" t="n">
        <v>145000</v>
      </c>
      <c r="F10272" s="4" t="n">
        <v>228375</v>
      </c>
    </row>
    <row r="10273">
      <c r="A10273" s="3" t="inlineStr">
        <is>
          <t>3</t>
        </is>
      </c>
      <c r="B10273" s="3" t="inlineStr">
        <is>
          <t>Kepala Tukang</t>
        </is>
      </c>
      <c r="C10273" s="3" t="inlineStr">
        <is>
          <t>OH</t>
        </is>
      </c>
      <c r="D10273" s="15" t="n">
        <v>0.157</v>
      </c>
      <c r="E10273" s="4" t="n">
        <v>175000</v>
      </c>
      <c r="F10273" s="4" t="n">
        <v>27475</v>
      </c>
    </row>
    <row r="10274">
      <c r="A10274" s="3" t="inlineStr">
        <is>
          <t>4</t>
        </is>
      </c>
      <c r="B10274" s="3" t="inlineStr">
        <is>
          <t>Mandor</t>
        </is>
      </c>
      <c r="C10274" s="3" t="inlineStr">
        <is>
          <t>OH</t>
        </is>
      </c>
      <c r="D10274" s="15" t="n">
        <v>0.052</v>
      </c>
      <c r="E10274" s="4" t="n">
        <v>200000</v>
      </c>
      <c r="F10274" s="4" t="n">
        <v>10400</v>
      </c>
    </row>
    <row r="10275">
      <c r="A10275" s="3" t="inlineStr">
        <is>
          <t>1</t>
        </is>
      </c>
      <c r="B10275" s="3" t="inlineStr">
        <is>
          <t>AC Split Duct Kap. 15.400 Btu/h</t>
        </is>
      </c>
      <c r="C10275" s="3" t="inlineStr">
        <is>
          <t>Unit</t>
        </is>
      </c>
      <c r="D10275" s="15" t="n">
        <v>1.1</v>
      </c>
      <c r="E10275" s="4" t="n">
        <v>16000000</v>
      </c>
      <c r="F10275" s="4" t="n">
        <v>17600000</v>
      </c>
    </row>
    <row r="10276">
      <c r="D10276" s="2" t="inlineStr">
        <is>
          <t>SUBTOTAL UPAH</t>
        </is>
      </c>
      <c r="F10276" s="16" t="n">
        <v>360550</v>
      </c>
    </row>
    <row r="10277">
      <c r="D10277" s="2" t="inlineStr">
        <is>
          <t>SUBTOTAL BAHAN</t>
        </is>
      </c>
      <c r="F10277" s="16" t="n">
        <v>17600000</v>
      </c>
    </row>
    <row r="10278">
      <c r="D10278" s="2" t="inlineStr">
        <is>
          <t>SUBTOTAL ALAT</t>
        </is>
      </c>
      <c r="F10278" s="16" t="n">
        <v>0</v>
      </c>
    </row>
    <row r="10279">
      <c r="E10279" s="2" t="inlineStr">
        <is>
          <t>TOTAL HARGA SATUAN (Inc. Overhead)</t>
        </is>
      </c>
      <c r="F10279" s="17" t="n">
        <v>19756605</v>
      </c>
    </row>
    <row r="10281">
      <c r="A10281" s="14" t="inlineStr">
        <is>
          <t>KODE: 5.5.1.24 - Pemasangan 1 Unit AC Split Duct Kap. 24.200 Btu/h</t>
        </is>
      </c>
    </row>
    <row r="10282">
      <c r="A10282" s="10" t="inlineStr">
        <is>
          <t>No</t>
        </is>
      </c>
      <c r="B10282" s="10" t="inlineStr">
        <is>
          <t>Uraian Komponen</t>
        </is>
      </c>
      <c r="C10282" s="10" t="inlineStr">
        <is>
          <t>Satuan</t>
        </is>
      </c>
      <c r="D10282" s="10" t="inlineStr">
        <is>
          <t>Koef</t>
        </is>
      </c>
      <c r="E10282" s="10" t="inlineStr">
        <is>
          <t>Harga Satuan (Rp)</t>
        </is>
      </c>
      <c r="F10282" s="10" t="inlineStr">
        <is>
          <t>Jumlah Harga (Rp)</t>
        </is>
      </c>
    </row>
    <row r="10283">
      <c r="A10283" s="3" t="inlineStr">
        <is>
          <t>1</t>
        </is>
      </c>
      <c r="B10283" s="3" t="inlineStr">
        <is>
          <t>Pekerja</t>
        </is>
      </c>
      <c r="C10283" s="3" t="inlineStr">
        <is>
          <t>OH</t>
        </is>
      </c>
      <c r="D10283" s="15" t="n">
        <v>1.286</v>
      </c>
      <c r="E10283" s="4" t="n">
        <v>100000</v>
      </c>
      <c r="F10283" s="4" t="n">
        <v>128600</v>
      </c>
    </row>
    <row r="10284">
      <c r="A10284" s="3" t="inlineStr">
        <is>
          <t>2</t>
        </is>
      </c>
      <c r="B10284" s="3" t="inlineStr">
        <is>
          <t>Tukang listrik</t>
        </is>
      </c>
      <c r="C10284" s="3" t="inlineStr">
        <is>
          <t>OH</t>
        </is>
      </c>
      <c r="D10284" s="15" t="n">
        <v>2.147</v>
      </c>
      <c r="E10284" s="4" t="n">
        <v>145000</v>
      </c>
      <c r="F10284" s="4" t="n">
        <v>311314.9999999999</v>
      </c>
    </row>
    <row r="10285">
      <c r="A10285" s="3" t="inlineStr">
        <is>
          <t>3</t>
        </is>
      </c>
      <c r="B10285" s="3" t="inlineStr">
        <is>
          <t>Kepala Tukang</t>
        </is>
      </c>
      <c r="C10285" s="3" t="inlineStr">
        <is>
          <t>OH</t>
        </is>
      </c>
      <c r="D10285" s="15" t="n">
        <v>0.215</v>
      </c>
      <c r="E10285" s="4" t="n">
        <v>175000</v>
      </c>
      <c r="F10285" s="4" t="n">
        <v>37625</v>
      </c>
    </row>
    <row r="10286">
      <c r="A10286" s="3" t="inlineStr">
        <is>
          <t>4</t>
        </is>
      </c>
      <c r="B10286" s="3" t="inlineStr">
        <is>
          <t>Mandor</t>
        </is>
      </c>
      <c r="C10286" s="3" t="inlineStr">
        <is>
          <t>OH</t>
        </is>
      </c>
      <c r="D10286" s="15" t="n">
        <v>0.07199999999999999</v>
      </c>
      <c r="E10286" s="4" t="n">
        <v>200000</v>
      </c>
      <c r="F10286" s="4" t="n">
        <v>14400</v>
      </c>
    </row>
    <row r="10287">
      <c r="A10287" s="3" t="inlineStr">
        <is>
          <t>1</t>
        </is>
      </c>
      <c r="B10287" s="3" t="inlineStr">
        <is>
          <t>AC Split Duct Kap. 24.200 Btu/h</t>
        </is>
      </c>
      <c r="C10287" s="3" t="inlineStr">
        <is>
          <t>Unit</t>
        </is>
      </c>
      <c r="D10287" s="15" t="n">
        <v>1.1</v>
      </c>
      <c r="E10287" s="4" t="n">
        <v>23500000</v>
      </c>
      <c r="F10287" s="4" t="n">
        <v>25850000</v>
      </c>
    </row>
    <row r="10288">
      <c r="D10288" s="2" t="inlineStr">
        <is>
          <t>SUBTOTAL UPAH</t>
        </is>
      </c>
      <c r="F10288" s="16" t="n">
        <v>491939.9999999999</v>
      </c>
    </row>
    <row r="10289">
      <c r="D10289" s="2" t="inlineStr">
        <is>
          <t>SUBTOTAL BAHAN</t>
        </is>
      </c>
      <c r="F10289" s="16" t="n">
        <v>25850000</v>
      </c>
    </row>
    <row r="10290">
      <c r="D10290" s="2" t="inlineStr">
        <is>
          <t>SUBTOTAL ALAT</t>
        </is>
      </c>
      <c r="F10290" s="16" t="n">
        <v>0</v>
      </c>
    </row>
    <row r="10291">
      <c r="E10291" s="2" t="inlineStr">
        <is>
          <t>TOTAL HARGA SATUAN (Inc. Overhead)</t>
        </is>
      </c>
      <c r="F10291" s="17" t="n">
        <v>28976134</v>
      </c>
    </row>
    <row r="10293">
      <c r="A10293" s="14" t="inlineStr">
        <is>
          <t>KODE: 5.5.1.25 - Pemasangan 1 Unit AC Split Duct Kap. 30.700 Btu/h</t>
        </is>
      </c>
    </row>
    <row r="10294">
      <c r="A10294" s="10" t="inlineStr">
        <is>
          <t>No</t>
        </is>
      </c>
      <c r="B10294" s="10" t="inlineStr">
        <is>
          <t>Uraian Komponen</t>
        </is>
      </c>
      <c r="C10294" s="10" t="inlineStr">
        <is>
          <t>Satuan</t>
        </is>
      </c>
      <c r="D10294" s="10" t="inlineStr">
        <is>
          <t>Koef</t>
        </is>
      </c>
      <c r="E10294" s="10" t="inlineStr">
        <is>
          <t>Harga Satuan (Rp)</t>
        </is>
      </c>
      <c r="F10294" s="10" t="inlineStr">
        <is>
          <t>Jumlah Harga (Rp)</t>
        </is>
      </c>
    </row>
    <row r="10295">
      <c r="A10295" s="3" t="inlineStr">
        <is>
          <t>1</t>
        </is>
      </c>
      <c r="B10295" s="3" t="inlineStr">
        <is>
          <t>Pekerja</t>
        </is>
      </c>
      <c r="C10295" s="3" t="inlineStr">
        <is>
          <t>OH</t>
        </is>
      </c>
      <c r="D10295" s="15" t="n">
        <v>2.057</v>
      </c>
      <c r="E10295" s="4" t="n">
        <v>100000</v>
      </c>
      <c r="F10295" s="4" t="n">
        <v>205700</v>
      </c>
    </row>
    <row r="10296">
      <c r="A10296" s="3" t="inlineStr">
        <is>
          <t>2</t>
        </is>
      </c>
      <c r="B10296" s="3" t="inlineStr">
        <is>
          <t>Tukang listrik</t>
        </is>
      </c>
      <c r="C10296" s="3" t="inlineStr">
        <is>
          <t>OH</t>
        </is>
      </c>
      <c r="D10296" s="15" t="n">
        <v>3.435</v>
      </c>
      <c r="E10296" s="4" t="n">
        <v>145000</v>
      </c>
      <c r="F10296" s="4" t="n">
        <v>498075</v>
      </c>
    </row>
    <row r="10297">
      <c r="A10297" s="3" t="inlineStr">
        <is>
          <t>3</t>
        </is>
      </c>
      <c r="B10297" s="3" t="inlineStr">
        <is>
          <t>Kepala Tukang</t>
        </is>
      </c>
      <c r="C10297" s="3" t="inlineStr">
        <is>
          <t>OH</t>
        </is>
      </c>
      <c r="D10297" s="15" t="n">
        <v>0.344</v>
      </c>
      <c r="E10297" s="4" t="n">
        <v>175000</v>
      </c>
      <c r="F10297" s="4" t="n">
        <v>60199.99999999999</v>
      </c>
    </row>
    <row r="10298">
      <c r="A10298" s="3" t="inlineStr">
        <is>
          <t>4</t>
        </is>
      </c>
      <c r="B10298" s="3" t="inlineStr">
        <is>
          <t>Mandor</t>
        </is>
      </c>
      <c r="C10298" s="3" t="inlineStr">
        <is>
          <t>OH</t>
        </is>
      </c>
      <c r="D10298" s="15" t="n">
        <v>0.115</v>
      </c>
      <c r="E10298" s="4" t="n">
        <v>200000</v>
      </c>
      <c r="F10298" s="4" t="n">
        <v>23000</v>
      </c>
    </row>
    <row r="10299">
      <c r="A10299" s="3" t="inlineStr">
        <is>
          <t>1</t>
        </is>
      </c>
      <c r="B10299" s="3" t="inlineStr">
        <is>
          <t>AC Split Duct Kap. 30.700 Btu/h</t>
        </is>
      </c>
      <c r="C10299" s="3" t="inlineStr">
        <is>
          <t>Unit</t>
        </is>
      </c>
      <c r="D10299" s="15" t="n">
        <v>1.1</v>
      </c>
      <c r="E10299" s="4" t="n">
        <v>31000000</v>
      </c>
      <c r="F10299" s="4" t="n">
        <v>34100000</v>
      </c>
    </row>
    <row r="10300">
      <c r="D10300" s="2" t="inlineStr">
        <is>
          <t>SUBTOTAL UPAH</t>
        </is>
      </c>
      <c r="F10300" s="16" t="n">
        <v>786975</v>
      </c>
    </row>
    <row r="10301">
      <c r="D10301" s="2" t="inlineStr">
        <is>
          <t>SUBTOTAL BAHAN</t>
        </is>
      </c>
      <c r="F10301" s="16" t="n">
        <v>34100000</v>
      </c>
    </row>
    <row r="10302">
      <c r="D10302" s="2" t="inlineStr">
        <is>
          <t>SUBTOTAL ALAT</t>
        </is>
      </c>
      <c r="F10302" s="16" t="n">
        <v>0</v>
      </c>
    </row>
    <row r="10303">
      <c r="E10303" s="2" t="inlineStr">
        <is>
          <t>TOTAL HARGA SATUAN (Inc. Overhead)</t>
        </is>
      </c>
      <c r="F10303" s="17" t="n">
        <v>38375672</v>
      </c>
    </row>
    <row r="10305">
      <c r="A10305" s="14" t="inlineStr">
        <is>
          <t>KODE: 5.5.1.26 - Pemasangan 1 Unit AC Split Duct Kap. 38.200 Btu/h</t>
        </is>
      </c>
    </row>
    <row r="10306">
      <c r="A10306" s="10" t="inlineStr">
        <is>
          <t>No</t>
        </is>
      </c>
      <c r="B10306" s="10" t="inlineStr">
        <is>
          <t>Uraian Komponen</t>
        </is>
      </c>
      <c r="C10306" s="10" t="inlineStr">
        <is>
          <t>Satuan</t>
        </is>
      </c>
      <c r="D10306" s="10" t="inlineStr">
        <is>
          <t>Koef</t>
        </is>
      </c>
      <c r="E10306" s="10" t="inlineStr">
        <is>
          <t>Harga Satuan (Rp)</t>
        </is>
      </c>
      <c r="F10306" s="10" t="inlineStr">
        <is>
          <t>Jumlah Harga (Rp)</t>
        </is>
      </c>
    </row>
    <row r="10307">
      <c r="A10307" s="3" t="inlineStr">
        <is>
          <t>1</t>
        </is>
      </c>
      <c r="B10307" s="3" t="inlineStr">
        <is>
          <t>Pekerja</t>
        </is>
      </c>
      <c r="C10307" s="3" t="inlineStr">
        <is>
          <t>OH</t>
        </is>
      </c>
      <c r="D10307" s="15" t="n">
        <v>2.057</v>
      </c>
      <c r="E10307" s="4" t="n">
        <v>100000</v>
      </c>
      <c r="F10307" s="4" t="n">
        <v>205700</v>
      </c>
    </row>
    <row r="10308">
      <c r="A10308" s="3" t="inlineStr">
        <is>
          <t>2</t>
        </is>
      </c>
      <c r="B10308" s="3" t="inlineStr">
        <is>
          <t>Tukang listrik</t>
        </is>
      </c>
      <c r="C10308" s="3" t="inlineStr">
        <is>
          <t>OH</t>
        </is>
      </c>
      <c r="D10308" s="15" t="n">
        <v>3.435</v>
      </c>
      <c r="E10308" s="4" t="n">
        <v>145000</v>
      </c>
      <c r="F10308" s="4" t="n">
        <v>498075</v>
      </c>
    </row>
    <row r="10309">
      <c r="A10309" s="3" t="inlineStr">
        <is>
          <t>3</t>
        </is>
      </c>
      <c r="B10309" s="3" t="inlineStr">
        <is>
          <t>Kepala Tukang</t>
        </is>
      </c>
      <c r="C10309" s="3" t="inlineStr">
        <is>
          <t>OH</t>
        </is>
      </c>
      <c r="D10309" s="15" t="n">
        <v>0.344</v>
      </c>
      <c r="E10309" s="4" t="n">
        <v>175000</v>
      </c>
      <c r="F10309" s="4" t="n">
        <v>60199.99999999999</v>
      </c>
    </row>
    <row r="10310">
      <c r="A10310" s="3" t="inlineStr">
        <is>
          <t>4</t>
        </is>
      </c>
      <c r="B10310" s="3" t="inlineStr">
        <is>
          <t>Mandor</t>
        </is>
      </c>
      <c r="C10310" s="3" t="inlineStr">
        <is>
          <t>OH</t>
        </is>
      </c>
      <c r="D10310" s="15" t="n">
        <v>0.115</v>
      </c>
      <c r="E10310" s="4" t="n">
        <v>200000</v>
      </c>
      <c r="F10310" s="4" t="n">
        <v>23000</v>
      </c>
    </row>
    <row r="10311">
      <c r="A10311" s="3" t="inlineStr">
        <is>
          <t>1</t>
        </is>
      </c>
      <c r="B10311" s="3" t="inlineStr">
        <is>
          <t>AC Split Duct Kap. 38.200 Btu/h</t>
        </is>
      </c>
      <c r="C10311" s="3" t="inlineStr">
        <is>
          <t>Unit</t>
        </is>
      </c>
      <c r="D10311" s="15" t="n">
        <v>1.1</v>
      </c>
      <c r="E10311" s="4" t="n">
        <v>36000000</v>
      </c>
      <c r="F10311" s="4" t="n">
        <v>39600000</v>
      </c>
    </row>
    <row r="10312">
      <c r="D10312" s="2" t="inlineStr">
        <is>
          <t>SUBTOTAL UPAH</t>
        </is>
      </c>
      <c r="F10312" s="16" t="n">
        <v>786975</v>
      </c>
    </row>
    <row r="10313">
      <c r="D10313" s="2" t="inlineStr">
        <is>
          <t>SUBTOTAL BAHAN</t>
        </is>
      </c>
      <c r="F10313" s="16" t="n">
        <v>39600000</v>
      </c>
    </row>
    <row r="10314">
      <c r="D10314" s="2" t="inlineStr">
        <is>
          <t>SUBTOTAL ALAT</t>
        </is>
      </c>
      <c r="F10314" s="16" t="n">
        <v>0</v>
      </c>
    </row>
    <row r="10315">
      <c r="E10315" s="2" t="inlineStr">
        <is>
          <t>TOTAL HARGA SATUAN (Inc. Overhead)</t>
        </is>
      </c>
      <c r="F10315" s="17" t="n">
        <v>44425672</v>
      </c>
    </row>
    <row r="10317">
      <c r="A10317" s="14" t="inlineStr">
        <is>
          <t>KODE: 5.5.1.27 - Pemasangan 1 Unit AC Split Duct Kap. 47.800 Btu/h</t>
        </is>
      </c>
    </row>
    <row r="10318">
      <c r="A10318" s="10" t="inlineStr">
        <is>
          <t>No</t>
        </is>
      </c>
      <c r="B10318" s="10" t="inlineStr">
        <is>
          <t>Uraian Komponen</t>
        </is>
      </c>
      <c r="C10318" s="10" t="inlineStr">
        <is>
          <t>Satuan</t>
        </is>
      </c>
      <c r="D10318" s="10" t="inlineStr">
        <is>
          <t>Koef</t>
        </is>
      </c>
      <c r="E10318" s="10" t="inlineStr">
        <is>
          <t>Harga Satuan (Rp)</t>
        </is>
      </c>
      <c r="F10318" s="10" t="inlineStr">
        <is>
          <t>Jumlah Harga (Rp)</t>
        </is>
      </c>
    </row>
    <row r="10319">
      <c r="A10319" s="3" t="inlineStr">
        <is>
          <t>1</t>
        </is>
      </c>
      <c r="B10319" s="3" t="inlineStr">
        <is>
          <t>Pekerja</t>
        </is>
      </c>
      <c r="C10319" s="3" t="inlineStr">
        <is>
          <t>OH</t>
        </is>
      </c>
      <c r="D10319" s="15" t="n">
        <v>2.057</v>
      </c>
      <c r="E10319" s="4" t="n">
        <v>100000</v>
      </c>
      <c r="F10319" s="4" t="n">
        <v>205700</v>
      </c>
    </row>
    <row r="10320">
      <c r="A10320" s="3" t="inlineStr">
        <is>
          <t>2</t>
        </is>
      </c>
      <c r="B10320" s="3" t="inlineStr">
        <is>
          <t>Tukang listrik</t>
        </is>
      </c>
      <c r="C10320" s="3" t="inlineStr">
        <is>
          <t>OH</t>
        </is>
      </c>
      <c r="D10320" s="15" t="n">
        <v>3.435</v>
      </c>
      <c r="E10320" s="4" t="n">
        <v>145000</v>
      </c>
      <c r="F10320" s="4" t="n">
        <v>498075</v>
      </c>
    </row>
    <row r="10321">
      <c r="A10321" s="3" t="inlineStr">
        <is>
          <t>3</t>
        </is>
      </c>
      <c r="B10321" s="3" t="inlineStr">
        <is>
          <t>Kepala Tukang</t>
        </is>
      </c>
      <c r="C10321" s="3" t="inlineStr">
        <is>
          <t>OH</t>
        </is>
      </c>
      <c r="D10321" s="15" t="n">
        <v>0.344</v>
      </c>
      <c r="E10321" s="4" t="n">
        <v>175000</v>
      </c>
      <c r="F10321" s="4" t="n">
        <v>60199.99999999999</v>
      </c>
    </row>
    <row r="10322">
      <c r="A10322" s="3" t="inlineStr">
        <is>
          <t>4</t>
        </is>
      </c>
      <c r="B10322" s="3" t="inlineStr">
        <is>
          <t>Mandor</t>
        </is>
      </c>
      <c r="C10322" s="3" t="inlineStr">
        <is>
          <t>OH</t>
        </is>
      </c>
      <c r="D10322" s="15" t="n">
        <v>0.115</v>
      </c>
      <c r="E10322" s="4" t="n">
        <v>200000</v>
      </c>
      <c r="F10322" s="4" t="n">
        <v>23000</v>
      </c>
    </row>
    <row r="10323">
      <c r="A10323" s="3" t="inlineStr">
        <is>
          <t>1</t>
        </is>
      </c>
      <c r="B10323" s="3" t="inlineStr">
        <is>
          <t>AC Split Duct Kap. 47.800 Btu/h</t>
        </is>
      </c>
      <c r="C10323" s="3" t="inlineStr">
        <is>
          <t>Unit</t>
        </is>
      </c>
      <c r="D10323" s="15" t="n">
        <v>1.1</v>
      </c>
      <c r="E10323" s="4" t="n">
        <v>41000000</v>
      </c>
      <c r="F10323" s="4" t="n">
        <v>45100000</v>
      </c>
    </row>
    <row r="10324">
      <c r="D10324" s="2" t="inlineStr">
        <is>
          <t>SUBTOTAL UPAH</t>
        </is>
      </c>
      <c r="F10324" s="16" t="n">
        <v>786975</v>
      </c>
    </row>
    <row r="10325">
      <c r="D10325" s="2" t="inlineStr">
        <is>
          <t>SUBTOTAL BAHAN</t>
        </is>
      </c>
      <c r="F10325" s="16" t="n">
        <v>45100000</v>
      </c>
    </row>
    <row r="10326">
      <c r="D10326" s="2" t="inlineStr">
        <is>
          <t>SUBTOTAL ALAT</t>
        </is>
      </c>
      <c r="F10326" s="16" t="n">
        <v>0</v>
      </c>
    </row>
    <row r="10327">
      <c r="E10327" s="2" t="inlineStr">
        <is>
          <t>TOTAL HARGA SATUAN (Inc. Overhead)</t>
        </is>
      </c>
      <c r="F10327" s="17" t="n">
        <v>50475672</v>
      </c>
    </row>
    <row r="10329">
      <c r="A10329" s="14" t="inlineStr">
        <is>
          <t>KODE: 5.5.1.28 - Pemasangan 1 Unit AC Split Duct Kap. 54.600 Btu/h</t>
        </is>
      </c>
    </row>
    <row r="10330">
      <c r="A10330" s="10" t="inlineStr">
        <is>
          <t>No</t>
        </is>
      </c>
      <c r="B10330" s="10" t="inlineStr">
        <is>
          <t>Uraian Komponen</t>
        </is>
      </c>
      <c r="C10330" s="10" t="inlineStr">
        <is>
          <t>Satuan</t>
        </is>
      </c>
      <c r="D10330" s="10" t="inlineStr">
        <is>
          <t>Koef</t>
        </is>
      </c>
      <c r="E10330" s="10" t="inlineStr">
        <is>
          <t>Harga Satuan (Rp)</t>
        </is>
      </c>
      <c r="F10330" s="10" t="inlineStr">
        <is>
          <t>Jumlah Harga (Rp)</t>
        </is>
      </c>
    </row>
    <row r="10331">
      <c r="A10331" s="3" t="inlineStr">
        <is>
          <t>1</t>
        </is>
      </c>
      <c r="B10331" s="3" t="inlineStr">
        <is>
          <t>Pekerja</t>
        </is>
      </c>
      <c r="C10331" s="3" t="inlineStr">
        <is>
          <t>OH</t>
        </is>
      </c>
      <c r="D10331" s="15" t="n">
        <v>2.314</v>
      </c>
      <c r="E10331" s="4" t="n">
        <v>100000</v>
      </c>
      <c r="F10331" s="4" t="n">
        <v>231400</v>
      </c>
    </row>
    <row r="10332">
      <c r="A10332" s="3" t="inlineStr">
        <is>
          <t>2</t>
        </is>
      </c>
      <c r="B10332" s="3" t="inlineStr">
        <is>
          <t>Tukang listrik</t>
        </is>
      </c>
      <c r="C10332" s="3" t="inlineStr">
        <is>
          <t>OH</t>
        </is>
      </c>
      <c r="D10332" s="15" t="n">
        <v>3.865</v>
      </c>
      <c r="E10332" s="4" t="n">
        <v>145000</v>
      </c>
      <c r="F10332" s="4" t="n">
        <v>560425</v>
      </c>
    </row>
    <row r="10333">
      <c r="A10333" s="3" t="inlineStr">
        <is>
          <t>3</t>
        </is>
      </c>
      <c r="B10333" s="3" t="inlineStr">
        <is>
          <t>Kepala Tukang</t>
        </is>
      </c>
      <c r="C10333" s="3" t="inlineStr">
        <is>
          <t>OH</t>
        </is>
      </c>
      <c r="D10333" s="15" t="n">
        <v>0.386</v>
      </c>
      <c r="E10333" s="4" t="n">
        <v>175000</v>
      </c>
      <c r="F10333" s="4" t="n">
        <v>67550</v>
      </c>
    </row>
    <row r="10334">
      <c r="A10334" s="3" t="inlineStr">
        <is>
          <t>4</t>
        </is>
      </c>
      <c r="B10334" s="3" t="inlineStr">
        <is>
          <t>Mandor</t>
        </is>
      </c>
      <c r="C10334" s="3" t="inlineStr">
        <is>
          <t>OH</t>
        </is>
      </c>
      <c r="D10334" s="15" t="n">
        <v>0.129</v>
      </c>
      <c r="E10334" s="4" t="n">
        <v>200000</v>
      </c>
      <c r="F10334" s="4" t="n">
        <v>25800</v>
      </c>
    </row>
    <row r="10335">
      <c r="A10335" s="3" t="inlineStr">
        <is>
          <t>1</t>
        </is>
      </c>
      <c r="B10335" s="3" t="inlineStr">
        <is>
          <t>AC Split Duct Kap. 54.600 Btu/h</t>
        </is>
      </c>
      <c r="C10335" s="3" t="inlineStr">
        <is>
          <t>Unit</t>
        </is>
      </c>
      <c r="D10335" s="15" t="n">
        <v>1.1</v>
      </c>
      <c r="E10335" s="4" t="n">
        <v>47000000</v>
      </c>
      <c r="F10335" s="4" t="n">
        <v>51700000.00000001</v>
      </c>
    </row>
    <row r="10336">
      <c r="D10336" s="2" t="inlineStr">
        <is>
          <t>SUBTOTAL UPAH</t>
        </is>
      </c>
      <c r="F10336" s="16" t="n">
        <v>885175</v>
      </c>
    </row>
    <row r="10337">
      <c r="D10337" s="2" t="inlineStr">
        <is>
          <t>SUBTOTAL BAHAN</t>
        </is>
      </c>
      <c r="F10337" s="16" t="n">
        <v>51700000.00000001</v>
      </c>
    </row>
    <row r="10338">
      <c r="D10338" s="2" t="inlineStr">
        <is>
          <t>SUBTOTAL ALAT</t>
        </is>
      </c>
      <c r="F10338" s="16" t="n">
        <v>0</v>
      </c>
    </row>
    <row r="10339">
      <c r="E10339" s="2" t="inlineStr">
        <is>
          <t>TOTAL HARGA SATUAN (Inc. Overhead)</t>
        </is>
      </c>
      <c r="F10339" s="17" t="n">
        <v>57843692</v>
      </c>
    </row>
    <row r="10341">
      <c r="A10341" s="14" t="inlineStr">
        <is>
          <t>KODE: 5.5.1.29 - Pemasangan 1 Unit AC High Static Duct Kap. 76.400 Btu/h</t>
        </is>
      </c>
    </row>
    <row r="10342">
      <c r="A10342" s="10" t="inlineStr">
        <is>
          <t>No</t>
        </is>
      </c>
      <c r="B10342" s="10" t="inlineStr">
        <is>
          <t>Uraian Komponen</t>
        </is>
      </c>
      <c r="C10342" s="10" t="inlineStr">
        <is>
          <t>Satuan</t>
        </is>
      </c>
      <c r="D10342" s="10" t="inlineStr">
        <is>
          <t>Koef</t>
        </is>
      </c>
      <c r="E10342" s="10" t="inlineStr">
        <is>
          <t>Harga Satuan (Rp)</t>
        </is>
      </c>
      <c r="F10342" s="10" t="inlineStr">
        <is>
          <t>Jumlah Harga (Rp)</t>
        </is>
      </c>
    </row>
    <row r="10343">
      <c r="A10343" s="3" t="inlineStr">
        <is>
          <t>1</t>
        </is>
      </c>
      <c r="B10343" s="3" t="inlineStr">
        <is>
          <t>Pekerja</t>
        </is>
      </c>
      <c r="C10343" s="3" t="inlineStr">
        <is>
          <t>OH</t>
        </is>
      </c>
      <c r="D10343" s="15" t="n">
        <v>2.571</v>
      </c>
      <c r="E10343" s="4" t="n">
        <v>100000</v>
      </c>
      <c r="F10343" s="4" t="n">
        <v>257100</v>
      </c>
    </row>
    <row r="10344">
      <c r="A10344" s="3" t="inlineStr">
        <is>
          <t>2</t>
        </is>
      </c>
      <c r="B10344" s="3" t="inlineStr">
        <is>
          <t>Tukang listrik</t>
        </is>
      </c>
      <c r="C10344" s="3" t="inlineStr">
        <is>
          <t>OH</t>
        </is>
      </c>
      <c r="D10344" s="15" t="n">
        <v>4.294</v>
      </c>
      <c r="E10344" s="4" t="n">
        <v>145000</v>
      </c>
      <c r="F10344" s="4" t="n">
        <v>622629.9999999999</v>
      </c>
    </row>
    <row r="10345">
      <c r="A10345" s="3" t="inlineStr">
        <is>
          <t>3</t>
        </is>
      </c>
      <c r="B10345" s="3" t="inlineStr">
        <is>
          <t>Kepala Tukang</t>
        </is>
      </c>
      <c r="C10345" s="3" t="inlineStr">
        <is>
          <t>OH</t>
        </is>
      </c>
      <c r="D10345" s="15" t="n">
        <v>0.429</v>
      </c>
      <c r="E10345" s="4" t="n">
        <v>175000</v>
      </c>
      <c r="F10345" s="4" t="n">
        <v>75075</v>
      </c>
    </row>
    <row r="10346">
      <c r="A10346" s="3" t="inlineStr">
        <is>
          <t>4</t>
        </is>
      </c>
      <c r="B10346" s="3" t="inlineStr">
        <is>
          <t>Mandor</t>
        </is>
      </c>
      <c r="C10346" s="3" t="inlineStr">
        <is>
          <t>OH</t>
        </is>
      </c>
      <c r="D10346" s="15" t="n">
        <v>0.143</v>
      </c>
      <c r="E10346" s="4" t="n">
        <v>200000</v>
      </c>
      <c r="F10346" s="4" t="n">
        <v>28600</v>
      </c>
    </row>
    <row r="10347">
      <c r="A10347" s="3" t="inlineStr">
        <is>
          <t>1</t>
        </is>
      </c>
      <c r="B10347" s="3" t="inlineStr">
        <is>
          <t>AC High Static Duct Kap. 76.400 Btu/h</t>
        </is>
      </c>
      <c r="C10347" s="3" t="inlineStr">
        <is>
          <t>Unit</t>
        </is>
      </c>
      <c r="D10347" s="15" t="n">
        <v>1.1</v>
      </c>
      <c r="E10347" s="4" t="n">
        <v>57000000</v>
      </c>
      <c r="F10347" s="4" t="n">
        <v>62700000.00000001</v>
      </c>
    </row>
    <row r="10348">
      <c r="D10348" s="2" t="inlineStr">
        <is>
          <t>SUBTOTAL UPAH</t>
        </is>
      </c>
      <c r="F10348" s="16" t="n">
        <v>983404.9999999999</v>
      </c>
    </row>
    <row r="10349">
      <c r="D10349" s="2" t="inlineStr">
        <is>
          <t>SUBTOTAL BAHAN</t>
        </is>
      </c>
      <c r="F10349" s="16" t="n">
        <v>62700000.00000001</v>
      </c>
    </row>
    <row r="10350">
      <c r="D10350" s="2" t="inlineStr">
        <is>
          <t>SUBTOTAL ALAT</t>
        </is>
      </c>
      <c r="F10350" s="16" t="n">
        <v>0</v>
      </c>
    </row>
    <row r="10351">
      <c r="E10351" s="2" t="inlineStr">
        <is>
          <t>TOTAL HARGA SATUAN (Inc. Overhead)</t>
        </is>
      </c>
      <c r="F10351" s="17" t="n">
        <v>70051745</v>
      </c>
    </row>
    <row r="10353">
      <c r="A10353" s="14" t="inlineStr">
        <is>
          <t>KODE: 5.5.1.30 - Pemasangan 1 Unit AC High Static Duct Kap. 95.500 Btu/h</t>
        </is>
      </c>
    </row>
    <row r="10354">
      <c r="A10354" s="10" t="inlineStr">
        <is>
          <t>No</t>
        </is>
      </c>
      <c r="B10354" s="10" t="inlineStr">
        <is>
          <t>Uraian Komponen</t>
        </is>
      </c>
      <c r="C10354" s="10" t="inlineStr">
        <is>
          <t>Satuan</t>
        </is>
      </c>
      <c r="D10354" s="10" t="inlineStr">
        <is>
          <t>Koef</t>
        </is>
      </c>
      <c r="E10354" s="10" t="inlineStr">
        <is>
          <t>Harga Satuan (Rp)</t>
        </is>
      </c>
      <c r="F10354" s="10" t="inlineStr">
        <is>
          <t>Jumlah Harga (Rp)</t>
        </is>
      </c>
    </row>
    <row r="10355">
      <c r="A10355" s="3" t="inlineStr">
        <is>
          <t>1</t>
        </is>
      </c>
      <c r="B10355" s="3" t="inlineStr">
        <is>
          <t>Pekerja</t>
        </is>
      </c>
      <c r="C10355" s="3" t="inlineStr">
        <is>
          <t>OH</t>
        </is>
      </c>
      <c r="D10355" s="15" t="n">
        <v>2.571</v>
      </c>
      <c r="E10355" s="4" t="n">
        <v>100000</v>
      </c>
      <c r="F10355" s="4" t="n">
        <v>257100</v>
      </c>
    </row>
    <row r="10356">
      <c r="A10356" s="3" t="inlineStr">
        <is>
          <t>2</t>
        </is>
      </c>
      <c r="B10356" s="3" t="inlineStr">
        <is>
          <t>Tukang listrik</t>
        </is>
      </c>
      <c r="C10356" s="3" t="inlineStr">
        <is>
          <t>OH</t>
        </is>
      </c>
      <c r="D10356" s="15" t="n">
        <v>4.294</v>
      </c>
      <c r="E10356" s="4" t="n">
        <v>145000</v>
      </c>
      <c r="F10356" s="4" t="n">
        <v>622629.9999999999</v>
      </c>
    </row>
    <row r="10357">
      <c r="A10357" s="3" t="inlineStr">
        <is>
          <t>3</t>
        </is>
      </c>
      <c r="B10357" s="3" t="inlineStr">
        <is>
          <t>Kepala Tukang</t>
        </is>
      </c>
      <c r="C10357" s="3" t="inlineStr">
        <is>
          <t>OH</t>
        </is>
      </c>
      <c r="D10357" s="15" t="n">
        <v>0.429</v>
      </c>
      <c r="E10357" s="4" t="n">
        <v>175000</v>
      </c>
      <c r="F10357" s="4" t="n">
        <v>75075</v>
      </c>
    </row>
    <row r="10358">
      <c r="A10358" s="3" t="inlineStr">
        <is>
          <t>4</t>
        </is>
      </c>
      <c r="B10358" s="3" t="inlineStr">
        <is>
          <t>Mandor</t>
        </is>
      </c>
      <c r="C10358" s="3" t="inlineStr">
        <is>
          <t>OH</t>
        </is>
      </c>
      <c r="D10358" s="15" t="n">
        <v>0.143</v>
      </c>
      <c r="E10358" s="4" t="n">
        <v>200000</v>
      </c>
      <c r="F10358" s="4" t="n">
        <v>28600</v>
      </c>
    </row>
    <row r="10359">
      <c r="A10359" s="3" t="inlineStr">
        <is>
          <t>1</t>
        </is>
      </c>
      <c r="B10359" s="3" t="inlineStr">
        <is>
          <t>AC High Static Duct Kap. 76.400 Btu/h</t>
        </is>
      </c>
      <c r="C10359" s="3" t="inlineStr">
        <is>
          <t>Unit</t>
        </is>
      </c>
      <c r="D10359" s="15" t="n">
        <v>1.1</v>
      </c>
      <c r="E10359" s="4" t="n">
        <v>57000000</v>
      </c>
      <c r="F10359" s="4" t="n">
        <v>62700000.00000001</v>
      </c>
    </row>
    <row r="10360">
      <c r="D10360" s="2" t="inlineStr">
        <is>
          <t>SUBTOTAL UPAH</t>
        </is>
      </c>
      <c r="F10360" s="16" t="n">
        <v>983404.9999999999</v>
      </c>
    </row>
    <row r="10361">
      <c r="D10361" s="2" t="inlineStr">
        <is>
          <t>SUBTOTAL BAHAN</t>
        </is>
      </c>
      <c r="F10361" s="16" t="n">
        <v>62700000.00000001</v>
      </c>
    </row>
    <row r="10362">
      <c r="D10362" s="2" t="inlineStr">
        <is>
          <t>SUBTOTAL ALAT</t>
        </is>
      </c>
      <c r="F10362" s="16" t="n">
        <v>0</v>
      </c>
    </row>
    <row r="10363">
      <c r="E10363" s="2" t="inlineStr">
        <is>
          <t>TOTAL HARGA SATUAN (Inc. Overhead)</t>
        </is>
      </c>
      <c r="F10363" s="17" t="n">
        <v>70051745</v>
      </c>
    </row>
    <row r="10365">
      <c r="A10365" s="14" t="inlineStr">
        <is>
          <t>KODE: 5.5.1.31 - Pemasangan 1 Unit Outdoor Air Processing Kap. 30.700 Btu/h</t>
        </is>
      </c>
    </row>
    <row r="10366">
      <c r="A10366" s="10" t="inlineStr">
        <is>
          <t>No</t>
        </is>
      </c>
      <c r="B10366" s="10" t="inlineStr">
        <is>
          <t>Uraian Komponen</t>
        </is>
      </c>
      <c r="C10366" s="10" t="inlineStr">
        <is>
          <t>Satuan</t>
        </is>
      </c>
      <c r="D10366" s="10" t="inlineStr">
        <is>
          <t>Koef</t>
        </is>
      </c>
      <c r="E10366" s="10" t="inlineStr">
        <is>
          <t>Harga Satuan (Rp)</t>
        </is>
      </c>
      <c r="F10366" s="10" t="inlineStr">
        <is>
          <t>Jumlah Harga (Rp)</t>
        </is>
      </c>
    </row>
    <row r="10367">
      <c r="A10367" s="3" t="inlineStr">
        <is>
          <t>1</t>
        </is>
      </c>
      <c r="B10367" s="3" t="inlineStr">
        <is>
          <t>Pekerja</t>
        </is>
      </c>
      <c r="C10367" s="3" t="inlineStr">
        <is>
          <t>OH</t>
        </is>
      </c>
      <c r="D10367" s="15" t="n">
        <v>2.057</v>
      </c>
      <c r="E10367" s="4" t="n">
        <v>100000</v>
      </c>
      <c r="F10367" s="4" t="n">
        <v>205700</v>
      </c>
    </row>
    <row r="10368">
      <c r="A10368" s="3" t="inlineStr">
        <is>
          <t>2</t>
        </is>
      </c>
      <c r="B10368" s="3" t="inlineStr">
        <is>
          <t>Tukang listrik</t>
        </is>
      </c>
      <c r="C10368" s="3" t="inlineStr">
        <is>
          <t>OH</t>
        </is>
      </c>
      <c r="D10368" s="15" t="n">
        <v>3.435</v>
      </c>
      <c r="E10368" s="4" t="n">
        <v>145000</v>
      </c>
      <c r="F10368" s="4" t="n">
        <v>498075</v>
      </c>
    </row>
    <row r="10369">
      <c r="A10369" s="3" t="inlineStr">
        <is>
          <t>3</t>
        </is>
      </c>
      <c r="B10369" s="3" t="inlineStr">
        <is>
          <t>Kepala Tukang</t>
        </is>
      </c>
      <c r="C10369" s="3" t="inlineStr">
        <is>
          <t>OH</t>
        </is>
      </c>
      <c r="D10369" s="15" t="n">
        <v>0.344</v>
      </c>
      <c r="E10369" s="4" t="n">
        <v>175000</v>
      </c>
      <c r="F10369" s="4" t="n">
        <v>60199.99999999999</v>
      </c>
    </row>
    <row r="10370">
      <c r="A10370" s="3" t="inlineStr">
        <is>
          <t>4</t>
        </is>
      </c>
      <c r="B10370" s="3" t="inlineStr">
        <is>
          <t>Mandor</t>
        </is>
      </c>
      <c r="C10370" s="3" t="inlineStr">
        <is>
          <t>OH</t>
        </is>
      </c>
      <c r="D10370" s="15" t="n">
        <v>0.115</v>
      </c>
      <c r="E10370" s="4" t="n">
        <v>200000</v>
      </c>
      <c r="F10370" s="4" t="n">
        <v>23000</v>
      </c>
    </row>
    <row r="10371">
      <c r="A10371" s="3" t="inlineStr">
        <is>
          <t>1</t>
        </is>
      </c>
      <c r="B10371" s="3" t="inlineStr">
        <is>
          <t>Outdoor Air Processing Kap. 30.700 Btu/h</t>
        </is>
      </c>
      <c r="C10371" s="3" t="inlineStr">
        <is>
          <t>Unit</t>
        </is>
      </c>
      <c r="D10371" s="15" t="n">
        <v>1.1</v>
      </c>
      <c r="E10371" s="4" t="n">
        <v>35000000</v>
      </c>
      <c r="F10371" s="4" t="n">
        <v>38500000</v>
      </c>
    </row>
    <row r="10372">
      <c r="D10372" s="2" t="inlineStr">
        <is>
          <t>SUBTOTAL UPAH</t>
        </is>
      </c>
      <c r="F10372" s="16" t="n">
        <v>786975</v>
      </c>
    </row>
    <row r="10373">
      <c r="D10373" s="2" t="inlineStr">
        <is>
          <t>SUBTOTAL BAHAN</t>
        </is>
      </c>
      <c r="F10373" s="16" t="n">
        <v>38500000</v>
      </c>
    </row>
    <row r="10374">
      <c r="D10374" s="2" t="inlineStr">
        <is>
          <t>SUBTOTAL ALAT</t>
        </is>
      </c>
      <c r="F10374" s="16" t="n">
        <v>0</v>
      </c>
    </row>
    <row r="10375">
      <c r="E10375" s="2" t="inlineStr">
        <is>
          <t>TOTAL HARGA SATUAN (Inc. Overhead)</t>
        </is>
      </c>
      <c r="F10375" s="17" t="n">
        <v>43215672</v>
      </c>
    </row>
    <row r="10377">
      <c r="A10377" s="14" t="inlineStr">
        <is>
          <t>KODE: 5.5.1.32 - Pemasangan 1 Unit Outdoor Air Processing Kap. 38.200 Btu/h</t>
        </is>
      </c>
    </row>
    <row r="10378">
      <c r="A10378" s="10" t="inlineStr">
        <is>
          <t>No</t>
        </is>
      </c>
      <c r="B10378" s="10" t="inlineStr">
        <is>
          <t>Uraian Komponen</t>
        </is>
      </c>
      <c r="C10378" s="10" t="inlineStr">
        <is>
          <t>Satuan</t>
        </is>
      </c>
      <c r="D10378" s="10" t="inlineStr">
        <is>
          <t>Koef</t>
        </is>
      </c>
      <c r="E10378" s="10" t="inlineStr">
        <is>
          <t>Harga Satuan (Rp)</t>
        </is>
      </c>
      <c r="F10378" s="10" t="inlineStr">
        <is>
          <t>Jumlah Harga (Rp)</t>
        </is>
      </c>
    </row>
    <row r="10379">
      <c r="A10379" s="3" t="inlineStr">
        <is>
          <t>1</t>
        </is>
      </c>
      <c r="B10379" s="3" t="inlineStr">
        <is>
          <t>Pekerja</t>
        </is>
      </c>
      <c r="C10379" s="3" t="inlineStr">
        <is>
          <t>OH</t>
        </is>
      </c>
      <c r="D10379" s="15" t="n">
        <v>2.057</v>
      </c>
      <c r="E10379" s="4" t="n">
        <v>100000</v>
      </c>
      <c r="F10379" s="4" t="n">
        <v>205700</v>
      </c>
    </row>
    <row r="10380">
      <c r="A10380" s="3" t="inlineStr">
        <is>
          <t>2</t>
        </is>
      </c>
      <c r="B10380" s="3" t="inlineStr">
        <is>
          <t>Tukang listrik</t>
        </is>
      </c>
      <c r="C10380" s="3" t="inlineStr">
        <is>
          <t>OH</t>
        </is>
      </c>
      <c r="D10380" s="15" t="n">
        <v>3.435</v>
      </c>
      <c r="E10380" s="4" t="n">
        <v>145000</v>
      </c>
      <c r="F10380" s="4" t="n">
        <v>498075</v>
      </c>
    </row>
    <row r="10381">
      <c r="A10381" s="3" t="inlineStr">
        <is>
          <t>3</t>
        </is>
      </c>
      <c r="B10381" s="3" t="inlineStr">
        <is>
          <t>Kepala Tukang</t>
        </is>
      </c>
      <c r="C10381" s="3" t="inlineStr">
        <is>
          <t>OH</t>
        </is>
      </c>
      <c r="D10381" s="15" t="n">
        <v>0.344</v>
      </c>
      <c r="E10381" s="4" t="n">
        <v>175000</v>
      </c>
      <c r="F10381" s="4" t="n">
        <v>60199.99999999999</v>
      </c>
    </row>
    <row r="10382">
      <c r="A10382" s="3" t="inlineStr">
        <is>
          <t>4</t>
        </is>
      </c>
      <c r="B10382" s="3" t="inlineStr">
        <is>
          <t>Mandor</t>
        </is>
      </c>
      <c r="C10382" s="3" t="inlineStr">
        <is>
          <t>OH</t>
        </is>
      </c>
      <c r="D10382" s="15" t="n">
        <v>0.115</v>
      </c>
      <c r="E10382" s="4" t="n">
        <v>200000</v>
      </c>
      <c r="F10382" s="4" t="n">
        <v>23000</v>
      </c>
    </row>
    <row r="10383">
      <c r="A10383" s="3" t="inlineStr">
        <is>
          <t>1</t>
        </is>
      </c>
      <c r="B10383" s="3" t="inlineStr">
        <is>
          <t>Outdoor Air Processing Kap. 38.200 Btu/h</t>
        </is>
      </c>
      <c r="C10383" s="3" t="inlineStr">
        <is>
          <t>Unit</t>
        </is>
      </c>
      <c r="D10383" s="15" t="n">
        <v>1.1</v>
      </c>
      <c r="E10383" s="4" t="n">
        <v>45000000</v>
      </c>
      <c r="F10383" s="4" t="n">
        <v>49500000.00000001</v>
      </c>
    </row>
    <row r="10384">
      <c r="D10384" s="2" t="inlineStr">
        <is>
          <t>SUBTOTAL UPAH</t>
        </is>
      </c>
      <c r="F10384" s="16" t="n">
        <v>786975</v>
      </c>
    </row>
    <row r="10385">
      <c r="D10385" s="2" t="inlineStr">
        <is>
          <t>SUBTOTAL BAHAN</t>
        </is>
      </c>
      <c r="F10385" s="16" t="n">
        <v>49500000.00000001</v>
      </c>
    </row>
    <row r="10386">
      <c r="D10386" s="2" t="inlineStr">
        <is>
          <t>SUBTOTAL ALAT</t>
        </is>
      </c>
      <c r="F10386" s="16" t="n">
        <v>0</v>
      </c>
    </row>
    <row r="10387">
      <c r="E10387" s="2" t="inlineStr">
        <is>
          <t>TOTAL HARGA SATUAN (Inc. Overhead)</t>
        </is>
      </c>
      <c r="F10387" s="17" t="n">
        <v>55315672</v>
      </c>
    </row>
    <row r="10389">
      <c r="A10389" s="14" t="inlineStr">
        <is>
          <t>KODE: 5.5.1.33 - Pemasangan 1 Unit Outdoor Air Processing Kap. 76.400 Btu/h</t>
        </is>
      </c>
    </row>
    <row r="10390">
      <c r="A10390" s="10" t="inlineStr">
        <is>
          <t>No</t>
        </is>
      </c>
      <c r="B10390" s="10" t="inlineStr">
        <is>
          <t>Uraian Komponen</t>
        </is>
      </c>
      <c r="C10390" s="10" t="inlineStr">
        <is>
          <t>Satuan</t>
        </is>
      </c>
      <c r="D10390" s="10" t="inlineStr">
        <is>
          <t>Koef</t>
        </is>
      </c>
      <c r="E10390" s="10" t="inlineStr">
        <is>
          <t>Harga Satuan (Rp)</t>
        </is>
      </c>
      <c r="F10390" s="10" t="inlineStr">
        <is>
          <t>Jumlah Harga (Rp)</t>
        </is>
      </c>
    </row>
    <row r="10391">
      <c r="A10391" s="3" t="inlineStr">
        <is>
          <t>1</t>
        </is>
      </c>
      <c r="B10391" s="3" t="inlineStr">
        <is>
          <t>Pekerja</t>
        </is>
      </c>
      <c r="C10391" s="3" t="inlineStr">
        <is>
          <t>OH</t>
        </is>
      </c>
      <c r="D10391" s="15" t="n">
        <v>2.571</v>
      </c>
      <c r="E10391" s="4" t="n">
        <v>100000</v>
      </c>
      <c r="F10391" s="4" t="n">
        <v>257100</v>
      </c>
    </row>
    <row r="10392">
      <c r="A10392" s="3" t="inlineStr">
        <is>
          <t>2</t>
        </is>
      </c>
      <c r="B10392" s="3" t="inlineStr">
        <is>
          <t>Tukang listrik</t>
        </is>
      </c>
      <c r="C10392" s="3" t="inlineStr">
        <is>
          <t>OH</t>
        </is>
      </c>
      <c r="D10392" s="15" t="n">
        <v>4.294</v>
      </c>
      <c r="E10392" s="4" t="n">
        <v>145000</v>
      </c>
      <c r="F10392" s="4" t="n">
        <v>622629.9999999999</v>
      </c>
    </row>
    <row r="10393">
      <c r="A10393" s="3" t="inlineStr">
        <is>
          <t>3</t>
        </is>
      </c>
      <c r="B10393" s="3" t="inlineStr">
        <is>
          <t>Kepala Tukang</t>
        </is>
      </c>
      <c r="C10393" s="3" t="inlineStr">
        <is>
          <t>OH</t>
        </is>
      </c>
      <c r="D10393" s="15" t="n">
        <v>0.429</v>
      </c>
      <c r="E10393" s="4" t="n">
        <v>175000</v>
      </c>
      <c r="F10393" s="4" t="n">
        <v>75075</v>
      </c>
    </row>
    <row r="10394">
      <c r="A10394" s="3" t="inlineStr">
        <is>
          <t>4</t>
        </is>
      </c>
      <c r="B10394" s="3" t="inlineStr">
        <is>
          <t>Mandor</t>
        </is>
      </c>
      <c r="C10394" s="3" t="inlineStr">
        <is>
          <t>OH</t>
        </is>
      </c>
      <c r="D10394" s="15" t="n">
        <v>0.143</v>
      </c>
      <c r="E10394" s="4" t="n">
        <v>200000</v>
      </c>
      <c r="F10394" s="4" t="n">
        <v>28600</v>
      </c>
    </row>
    <row r="10395">
      <c r="A10395" s="3" t="inlineStr">
        <is>
          <t>1</t>
        </is>
      </c>
      <c r="B10395" s="3" t="inlineStr">
        <is>
          <t>Outdoor Air Processing Kap. 76.400 Btu/h</t>
        </is>
      </c>
      <c r="C10395" s="3" t="inlineStr">
        <is>
          <t>Unit</t>
        </is>
      </c>
      <c r="D10395" s="15" t="n">
        <v>1.1</v>
      </c>
      <c r="E10395" s="4" t="n">
        <v>75000000</v>
      </c>
      <c r="F10395" s="4" t="n">
        <v>82500000</v>
      </c>
    </row>
    <row r="10396">
      <c r="D10396" s="2" t="inlineStr">
        <is>
          <t>SUBTOTAL UPAH</t>
        </is>
      </c>
      <c r="F10396" s="16" t="n">
        <v>983404.9999999999</v>
      </c>
    </row>
    <row r="10397">
      <c r="D10397" s="2" t="inlineStr">
        <is>
          <t>SUBTOTAL BAHAN</t>
        </is>
      </c>
      <c r="F10397" s="16" t="n">
        <v>82500000</v>
      </c>
    </row>
    <row r="10398">
      <c r="D10398" s="2" t="inlineStr">
        <is>
          <t>SUBTOTAL ALAT</t>
        </is>
      </c>
      <c r="F10398" s="16" t="n">
        <v>0</v>
      </c>
    </row>
    <row r="10399">
      <c r="E10399" s="2" t="inlineStr">
        <is>
          <t>TOTAL HARGA SATUAN (Inc. Overhead)</t>
        </is>
      </c>
      <c r="F10399" s="17" t="n">
        <v>91831745</v>
      </c>
    </row>
    <row r="10401">
      <c r="A10401" s="14" t="inlineStr">
        <is>
          <t>KODE: 5.5.1.34 - Pemasangan 1 Unit Outdoor Air Processing Kap. 95.500 Btu/h</t>
        </is>
      </c>
    </row>
    <row r="10402">
      <c r="A10402" s="10" t="inlineStr">
        <is>
          <t>No</t>
        </is>
      </c>
      <c r="B10402" s="10" t="inlineStr">
        <is>
          <t>Uraian Komponen</t>
        </is>
      </c>
      <c r="C10402" s="10" t="inlineStr">
        <is>
          <t>Satuan</t>
        </is>
      </c>
      <c r="D10402" s="10" t="inlineStr">
        <is>
          <t>Koef</t>
        </is>
      </c>
      <c r="E10402" s="10" t="inlineStr">
        <is>
          <t>Harga Satuan (Rp)</t>
        </is>
      </c>
      <c r="F10402" s="10" t="inlineStr">
        <is>
          <t>Jumlah Harga (Rp)</t>
        </is>
      </c>
    </row>
    <row r="10403">
      <c r="A10403" s="3" t="inlineStr">
        <is>
          <t>1</t>
        </is>
      </c>
      <c r="B10403" s="3" t="inlineStr">
        <is>
          <t>Pekerja</t>
        </is>
      </c>
      <c r="C10403" s="3" t="inlineStr">
        <is>
          <t>OH</t>
        </is>
      </c>
      <c r="D10403" s="15" t="n">
        <v>2.571</v>
      </c>
      <c r="E10403" s="4" t="n">
        <v>100000</v>
      </c>
      <c r="F10403" s="4" t="n">
        <v>257100</v>
      </c>
    </row>
    <row r="10404">
      <c r="A10404" s="3" t="inlineStr">
        <is>
          <t>2</t>
        </is>
      </c>
      <c r="B10404" s="3" t="inlineStr">
        <is>
          <t>Tukang listrik</t>
        </is>
      </c>
      <c r="C10404" s="3" t="inlineStr">
        <is>
          <t>OH</t>
        </is>
      </c>
      <c r="D10404" s="15" t="n">
        <v>4.294</v>
      </c>
      <c r="E10404" s="4" t="n">
        <v>145000</v>
      </c>
      <c r="F10404" s="4" t="n">
        <v>622629.9999999999</v>
      </c>
    </row>
    <row r="10405">
      <c r="A10405" s="3" t="inlineStr">
        <is>
          <t>3</t>
        </is>
      </c>
      <c r="B10405" s="3" t="inlineStr">
        <is>
          <t>Kepala Tukang</t>
        </is>
      </c>
      <c r="C10405" s="3" t="inlineStr">
        <is>
          <t>OH</t>
        </is>
      </c>
      <c r="D10405" s="15" t="n">
        <v>0.429</v>
      </c>
      <c r="E10405" s="4" t="n">
        <v>175000</v>
      </c>
      <c r="F10405" s="4" t="n">
        <v>75075</v>
      </c>
    </row>
    <row r="10406">
      <c r="A10406" s="3" t="inlineStr">
        <is>
          <t>4</t>
        </is>
      </c>
      <c r="B10406" s="3" t="inlineStr">
        <is>
          <t>Mandor</t>
        </is>
      </c>
      <c r="C10406" s="3" t="inlineStr">
        <is>
          <t>OH</t>
        </is>
      </c>
      <c r="D10406" s="15" t="n">
        <v>0.143</v>
      </c>
      <c r="E10406" s="4" t="n">
        <v>200000</v>
      </c>
      <c r="F10406" s="4" t="n">
        <v>28600</v>
      </c>
    </row>
    <row r="10407">
      <c r="A10407" s="3" t="inlineStr">
        <is>
          <t>1</t>
        </is>
      </c>
      <c r="B10407" s="3" t="inlineStr">
        <is>
          <t>Outdoor Air Processing Kap. 95.500 Btu/h</t>
        </is>
      </c>
      <c r="C10407" s="3" t="inlineStr">
        <is>
          <t>Unit</t>
        </is>
      </c>
      <c r="D10407" s="15" t="n">
        <v>1.1</v>
      </c>
      <c r="E10407" s="4" t="n">
        <v>95000000</v>
      </c>
      <c r="F10407" s="4" t="n">
        <v>104500000</v>
      </c>
    </row>
    <row r="10408">
      <c r="D10408" s="2" t="inlineStr">
        <is>
          <t>SUBTOTAL UPAH</t>
        </is>
      </c>
      <c r="F10408" s="16" t="n">
        <v>983404.9999999999</v>
      </c>
    </row>
    <row r="10409">
      <c r="D10409" s="2" t="inlineStr">
        <is>
          <t>SUBTOTAL BAHAN</t>
        </is>
      </c>
      <c r="F10409" s="16" t="n">
        <v>104500000</v>
      </c>
    </row>
    <row r="10410">
      <c r="D10410" s="2" t="inlineStr">
        <is>
          <t>SUBTOTAL ALAT</t>
        </is>
      </c>
      <c r="F10410" s="16" t="n">
        <v>0</v>
      </c>
    </row>
    <row r="10411">
      <c r="E10411" s="2" t="inlineStr">
        <is>
          <t>TOTAL HARGA SATUAN (Inc. Overhead)</t>
        </is>
      </c>
      <c r="F10411" s="17" t="n">
        <v>116031745</v>
      </c>
    </row>
    <row r="10413">
      <c r="A10413" s="14" t="inlineStr">
        <is>
          <t>KODE: 5.5.2.1 - Pemasangan 1 Unit Ceiling Fan : 50 CFM</t>
        </is>
      </c>
    </row>
    <row r="10414">
      <c r="A10414" s="10" t="inlineStr">
        <is>
          <t>No</t>
        </is>
      </c>
      <c r="B10414" s="10" t="inlineStr">
        <is>
          <t>Uraian Komponen</t>
        </is>
      </c>
      <c r="C10414" s="10" t="inlineStr">
        <is>
          <t>Satuan</t>
        </is>
      </c>
      <c r="D10414" s="10" t="inlineStr">
        <is>
          <t>Koef</t>
        </is>
      </c>
      <c r="E10414" s="10" t="inlineStr">
        <is>
          <t>Harga Satuan (Rp)</t>
        </is>
      </c>
      <c r="F10414" s="10" t="inlineStr">
        <is>
          <t>Jumlah Harga (Rp)</t>
        </is>
      </c>
    </row>
    <row r="10415">
      <c r="A10415" s="3" t="inlineStr">
        <is>
          <t>1</t>
        </is>
      </c>
      <c r="B10415" s="3" t="inlineStr">
        <is>
          <t>Pekerja</t>
        </is>
      </c>
      <c r="C10415" s="3" t="inlineStr">
        <is>
          <t>OH</t>
        </is>
      </c>
      <c r="D10415" s="15" t="n">
        <v>0.255</v>
      </c>
      <c r="E10415" s="4" t="n">
        <v>100000</v>
      </c>
      <c r="F10415" s="4" t="n">
        <v>25500</v>
      </c>
    </row>
    <row r="10416">
      <c r="A10416" s="3" t="inlineStr">
        <is>
          <t>2</t>
        </is>
      </c>
      <c r="B10416" s="3" t="inlineStr">
        <is>
          <t>Tukang listrik</t>
        </is>
      </c>
      <c r="C10416" s="3" t="inlineStr">
        <is>
          <t>OH</t>
        </is>
      </c>
      <c r="D10416" s="15" t="n">
        <v>0.425</v>
      </c>
      <c r="E10416" s="4" t="n">
        <v>145000</v>
      </c>
      <c r="F10416" s="4" t="n">
        <v>61625</v>
      </c>
    </row>
    <row r="10417">
      <c r="A10417" s="3" t="inlineStr">
        <is>
          <t>3</t>
        </is>
      </c>
      <c r="B10417" s="3" t="inlineStr">
        <is>
          <t>Kepala Tukang</t>
        </is>
      </c>
      <c r="C10417" s="3" t="inlineStr">
        <is>
          <t>OH</t>
        </is>
      </c>
      <c r="D10417" s="15" t="n">
        <v>0.043</v>
      </c>
      <c r="E10417" s="4" t="n">
        <v>175000</v>
      </c>
      <c r="F10417" s="4" t="n">
        <v>7524.999999999999</v>
      </c>
    </row>
    <row r="10418">
      <c r="A10418" s="3" t="inlineStr">
        <is>
          <t>4</t>
        </is>
      </c>
      <c r="B10418" s="3" t="inlineStr">
        <is>
          <t>Mandor</t>
        </is>
      </c>
      <c r="C10418" s="3" t="inlineStr">
        <is>
          <t>OH</t>
        </is>
      </c>
      <c r="D10418" s="15" t="n">
        <v>0.014</v>
      </c>
      <c r="E10418" s="4" t="n">
        <v>200000</v>
      </c>
      <c r="F10418" s="4" t="n">
        <v>2800</v>
      </c>
    </row>
    <row r="10419">
      <c r="A10419" s="3" t="inlineStr">
        <is>
          <t>1</t>
        </is>
      </c>
      <c r="B10419" s="3" t="inlineStr">
        <is>
          <t>"Ceiling Fan 50 CFM"</t>
        </is>
      </c>
      <c r="C10419" s="3" t="inlineStr">
        <is>
          <t>Unit</t>
        </is>
      </c>
      <c r="D10419" s="15" t="n">
        <v>1.1</v>
      </c>
      <c r="E10419" s="4" t="n">
        <v>900000</v>
      </c>
      <c r="F10419" s="4" t="n">
        <v>990000.0000000001</v>
      </c>
    </row>
    <row r="10420">
      <c r="D10420" s="2" t="inlineStr">
        <is>
          <t>SUBTOTAL UPAH</t>
        </is>
      </c>
      <c r="F10420" s="16" t="n">
        <v>97450</v>
      </c>
    </row>
    <row r="10421">
      <c r="D10421" s="2" t="inlineStr">
        <is>
          <t>SUBTOTAL BAHAN</t>
        </is>
      </c>
      <c r="F10421" s="16" t="n">
        <v>990000.0000000001</v>
      </c>
    </row>
    <row r="10422">
      <c r="D10422" s="2" t="inlineStr">
        <is>
          <t>SUBTOTAL ALAT</t>
        </is>
      </c>
      <c r="F10422" s="16" t="n">
        <v>0</v>
      </c>
    </row>
    <row r="10423">
      <c r="E10423" s="2" t="inlineStr">
        <is>
          <t>TOTAL HARGA SATUAN (Inc. Overhead)</t>
        </is>
      </c>
      <c r="F10423" s="17" t="n">
        <v>1196195</v>
      </c>
    </row>
    <row r="10425">
      <c r="A10425" s="14" t="inlineStr">
        <is>
          <t>KODE: 5.5.2.2 - Pemasangan 1 Unit Ceiling Fan : 75 CFM</t>
        </is>
      </c>
    </row>
    <row r="10426">
      <c r="A10426" s="10" t="inlineStr">
        <is>
          <t>No</t>
        </is>
      </c>
      <c r="B10426" s="10" t="inlineStr">
        <is>
          <t>Uraian Komponen</t>
        </is>
      </c>
      <c r="C10426" s="10" t="inlineStr">
        <is>
          <t>Satuan</t>
        </is>
      </c>
      <c r="D10426" s="10" t="inlineStr">
        <is>
          <t>Koef</t>
        </is>
      </c>
      <c r="E10426" s="10" t="inlineStr">
        <is>
          <t>Harga Satuan (Rp)</t>
        </is>
      </c>
      <c r="F10426" s="10" t="inlineStr">
        <is>
          <t>Jumlah Harga (Rp)</t>
        </is>
      </c>
    </row>
    <row r="10427">
      <c r="A10427" s="3" t="inlineStr">
        <is>
          <t>1</t>
        </is>
      </c>
      <c r="B10427" s="3" t="inlineStr">
        <is>
          <t>Pekerja</t>
        </is>
      </c>
      <c r="C10427" s="3" t="inlineStr">
        <is>
          <t>OH</t>
        </is>
      </c>
      <c r="D10427" s="15" t="n">
        <v>0.255</v>
      </c>
      <c r="E10427" s="4" t="n">
        <v>100000</v>
      </c>
      <c r="F10427" s="4" t="n">
        <v>25500</v>
      </c>
    </row>
    <row r="10428">
      <c r="A10428" s="3" t="inlineStr">
        <is>
          <t>2</t>
        </is>
      </c>
      <c r="B10428" s="3" t="inlineStr">
        <is>
          <t>Tukang listrik</t>
        </is>
      </c>
      <c r="C10428" s="3" t="inlineStr">
        <is>
          <t>OH</t>
        </is>
      </c>
      <c r="D10428" s="15" t="n">
        <v>0.425</v>
      </c>
      <c r="E10428" s="4" t="n">
        <v>145000</v>
      </c>
      <c r="F10428" s="4" t="n">
        <v>61625</v>
      </c>
    </row>
    <row r="10429">
      <c r="A10429" s="3" t="inlineStr">
        <is>
          <t>3</t>
        </is>
      </c>
      <c r="B10429" s="3" t="inlineStr">
        <is>
          <t>Kepala Tukang</t>
        </is>
      </c>
      <c r="C10429" s="3" t="inlineStr">
        <is>
          <t>OH</t>
        </is>
      </c>
      <c r="D10429" s="15" t="n">
        <v>0.043</v>
      </c>
      <c r="E10429" s="4" t="n">
        <v>175000</v>
      </c>
      <c r="F10429" s="4" t="n">
        <v>7524.999999999999</v>
      </c>
    </row>
    <row r="10430">
      <c r="A10430" s="3" t="inlineStr">
        <is>
          <t>4</t>
        </is>
      </c>
      <c r="B10430" s="3" t="inlineStr">
        <is>
          <t>Mandor</t>
        </is>
      </c>
      <c r="C10430" s="3" t="inlineStr">
        <is>
          <t>OH</t>
        </is>
      </c>
      <c r="D10430" s="15" t="n">
        <v>0.014</v>
      </c>
      <c r="E10430" s="4" t="n">
        <v>200000</v>
      </c>
      <c r="F10430" s="4" t="n">
        <v>2800</v>
      </c>
    </row>
    <row r="10431">
      <c r="A10431" s="3" t="inlineStr">
        <is>
          <t>1</t>
        </is>
      </c>
      <c r="B10431" s="3" t="inlineStr">
        <is>
          <t>"Ceiling Fan 75 CFM"</t>
        </is>
      </c>
      <c r="C10431" s="3" t="inlineStr">
        <is>
          <t>Unit</t>
        </is>
      </c>
      <c r="D10431" s="15" t="n">
        <v>1.1</v>
      </c>
      <c r="E10431" s="4" t="n">
        <v>1200000</v>
      </c>
      <c r="F10431" s="4" t="n">
        <v>1320000</v>
      </c>
    </row>
    <row r="10432">
      <c r="D10432" s="2" t="inlineStr">
        <is>
          <t>SUBTOTAL UPAH</t>
        </is>
      </c>
      <c r="F10432" s="16" t="n">
        <v>97450</v>
      </c>
    </row>
    <row r="10433">
      <c r="D10433" s="2" t="inlineStr">
        <is>
          <t>SUBTOTAL BAHAN</t>
        </is>
      </c>
      <c r="F10433" s="16" t="n">
        <v>1320000</v>
      </c>
    </row>
    <row r="10434">
      <c r="D10434" s="2" t="inlineStr">
        <is>
          <t>SUBTOTAL ALAT</t>
        </is>
      </c>
      <c r="F10434" s="16" t="n">
        <v>0</v>
      </c>
    </row>
    <row r="10435">
      <c r="E10435" s="2" t="inlineStr">
        <is>
          <t>TOTAL HARGA SATUAN (Inc. Overhead)</t>
        </is>
      </c>
      <c r="F10435" s="17" t="n">
        <v>1559195</v>
      </c>
    </row>
    <row r="10437">
      <c r="A10437" s="14" t="inlineStr">
        <is>
          <t>KODE: 5.5.2.3 - Pemasangan 1 Unit Ceiling Fan : 100 CFM</t>
        </is>
      </c>
    </row>
    <row r="10438">
      <c r="A10438" s="10" t="inlineStr">
        <is>
          <t>No</t>
        </is>
      </c>
      <c r="B10438" s="10" t="inlineStr">
        <is>
          <t>Uraian Komponen</t>
        </is>
      </c>
      <c r="C10438" s="10" t="inlineStr">
        <is>
          <t>Satuan</t>
        </is>
      </c>
      <c r="D10438" s="10" t="inlineStr">
        <is>
          <t>Koef</t>
        </is>
      </c>
      <c r="E10438" s="10" t="inlineStr">
        <is>
          <t>Harga Satuan (Rp)</t>
        </is>
      </c>
      <c r="F10438" s="10" t="inlineStr">
        <is>
          <t>Jumlah Harga (Rp)</t>
        </is>
      </c>
    </row>
    <row r="10439">
      <c r="A10439" s="3" t="inlineStr">
        <is>
          <t>1</t>
        </is>
      </c>
      <c r="B10439" s="3" t="inlineStr">
        <is>
          <t>Pekerja</t>
        </is>
      </c>
      <c r="C10439" s="3" t="inlineStr">
        <is>
          <t>OH</t>
        </is>
      </c>
      <c r="D10439" s="15" t="n">
        <v>0.255</v>
      </c>
      <c r="E10439" s="4" t="n">
        <v>100000</v>
      </c>
      <c r="F10439" s="4" t="n">
        <v>25500</v>
      </c>
    </row>
    <row r="10440">
      <c r="A10440" s="3" t="inlineStr">
        <is>
          <t>2</t>
        </is>
      </c>
      <c r="B10440" s="3" t="inlineStr">
        <is>
          <t>Tukang listrik</t>
        </is>
      </c>
      <c r="C10440" s="3" t="inlineStr">
        <is>
          <t>OH</t>
        </is>
      </c>
      <c r="D10440" s="15" t="n">
        <v>0.425</v>
      </c>
      <c r="E10440" s="4" t="n">
        <v>145000</v>
      </c>
      <c r="F10440" s="4" t="n">
        <v>61625</v>
      </c>
    </row>
    <row r="10441">
      <c r="A10441" s="3" t="inlineStr">
        <is>
          <t>3</t>
        </is>
      </c>
      <c r="B10441" s="3" t="inlineStr">
        <is>
          <t>Kepala Tukang</t>
        </is>
      </c>
      <c r="C10441" s="3" t="inlineStr">
        <is>
          <t>OH</t>
        </is>
      </c>
      <c r="D10441" s="15" t="n">
        <v>0.043</v>
      </c>
      <c r="E10441" s="4" t="n">
        <v>175000</v>
      </c>
      <c r="F10441" s="4" t="n">
        <v>7524.999999999999</v>
      </c>
    </row>
    <row r="10442">
      <c r="A10442" s="3" t="inlineStr">
        <is>
          <t>4</t>
        </is>
      </c>
      <c r="B10442" s="3" t="inlineStr">
        <is>
          <t>Mandor</t>
        </is>
      </c>
      <c r="C10442" s="3" t="inlineStr">
        <is>
          <t>OH</t>
        </is>
      </c>
      <c r="D10442" s="15" t="n">
        <v>0.014</v>
      </c>
      <c r="E10442" s="4" t="n">
        <v>200000</v>
      </c>
      <c r="F10442" s="4" t="n">
        <v>2800</v>
      </c>
    </row>
    <row r="10443">
      <c r="A10443" s="3" t="inlineStr">
        <is>
          <t>1</t>
        </is>
      </c>
      <c r="B10443" s="3" t="inlineStr">
        <is>
          <t>"Ceiling Fan 100 CFM"</t>
        </is>
      </c>
      <c r="C10443" s="3" t="inlineStr">
        <is>
          <t>Unit</t>
        </is>
      </c>
      <c r="D10443" s="15" t="n">
        <v>1.1</v>
      </c>
      <c r="E10443" s="4" t="n">
        <v>1350000</v>
      </c>
      <c r="F10443" s="4" t="n">
        <v>1485000</v>
      </c>
    </row>
    <row r="10444">
      <c r="D10444" s="2" t="inlineStr">
        <is>
          <t>SUBTOTAL UPAH</t>
        </is>
      </c>
      <c r="F10444" s="16" t="n">
        <v>97450</v>
      </c>
    </row>
    <row r="10445">
      <c r="D10445" s="2" t="inlineStr">
        <is>
          <t>SUBTOTAL BAHAN</t>
        </is>
      </c>
      <c r="F10445" s="16" t="n">
        <v>1485000</v>
      </c>
    </row>
    <row r="10446">
      <c r="D10446" s="2" t="inlineStr">
        <is>
          <t>SUBTOTAL ALAT</t>
        </is>
      </c>
      <c r="F10446" s="16" t="n">
        <v>0</v>
      </c>
    </row>
    <row r="10447">
      <c r="E10447" s="2" t="inlineStr">
        <is>
          <t>TOTAL HARGA SATUAN (Inc. Overhead)</t>
        </is>
      </c>
      <c r="F10447" s="17" t="n">
        <v>1740695</v>
      </c>
    </row>
    <row r="10449">
      <c r="A10449" s="14" t="inlineStr">
        <is>
          <t>KODE: 5.5.2.4 - Pemasangan 1 Unit Ceiling Fan : 200 CFM</t>
        </is>
      </c>
    </row>
    <row r="10450">
      <c r="A10450" s="10" t="inlineStr">
        <is>
          <t>No</t>
        </is>
      </c>
      <c r="B10450" s="10" t="inlineStr">
        <is>
          <t>Uraian Komponen</t>
        </is>
      </c>
      <c r="C10450" s="10" t="inlineStr">
        <is>
          <t>Satuan</t>
        </is>
      </c>
      <c r="D10450" s="10" t="inlineStr">
        <is>
          <t>Koef</t>
        </is>
      </c>
      <c r="E10450" s="10" t="inlineStr">
        <is>
          <t>Harga Satuan (Rp)</t>
        </is>
      </c>
      <c r="F10450" s="10" t="inlineStr">
        <is>
          <t>Jumlah Harga (Rp)</t>
        </is>
      </c>
    </row>
    <row r="10451">
      <c r="A10451" s="3" t="inlineStr">
        <is>
          <t>1</t>
        </is>
      </c>
      <c r="B10451" s="3" t="inlineStr">
        <is>
          <t>Pekerja</t>
        </is>
      </c>
      <c r="C10451" s="3" t="inlineStr">
        <is>
          <t>OH</t>
        </is>
      </c>
      <c r="D10451" s="15" t="n">
        <v>0.255</v>
      </c>
      <c r="E10451" s="4" t="n">
        <v>100000</v>
      </c>
      <c r="F10451" s="4" t="n">
        <v>25500</v>
      </c>
    </row>
    <row r="10452">
      <c r="A10452" s="3" t="inlineStr">
        <is>
          <t>2</t>
        </is>
      </c>
      <c r="B10452" s="3" t="inlineStr">
        <is>
          <t>Tukang listrik</t>
        </is>
      </c>
      <c r="C10452" s="3" t="inlineStr">
        <is>
          <t>OH</t>
        </is>
      </c>
      <c r="D10452" s="15" t="n">
        <v>0.425</v>
      </c>
      <c r="E10452" s="4" t="n">
        <v>145000</v>
      </c>
      <c r="F10452" s="4" t="n">
        <v>61625</v>
      </c>
    </row>
    <row r="10453">
      <c r="A10453" s="3" t="inlineStr">
        <is>
          <t>3</t>
        </is>
      </c>
      <c r="B10453" s="3" t="inlineStr">
        <is>
          <t>Kepala Tukang</t>
        </is>
      </c>
      <c r="C10453" s="3" t="inlineStr">
        <is>
          <t>OH</t>
        </is>
      </c>
      <c r="D10453" s="15" t="n">
        <v>0.043</v>
      </c>
      <c r="E10453" s="4" t="n">
        <v>175000</v>
      </c>
      <c r="F10453" s="4" t="n">
        <v>7524.999999999999</v>
      </c>
    </row>
    <row r="10454">
      <c r="A10454" s="3" t="inlineStr">
        <is>
          <t>4</t>
        </is>
      </c>
      <c r="B10454" s="3" t="inlineStr">
        <is>
          <t>Mandor</t>
        </is>
      </c>
      <c r="C10454" s="3" t="inlineStr">
        <is>
          <t>OH</t>
        </is>
      </c>
      <c r="D10454" s="15" t="n">
        <v>0.014</v>
      </c>
      <c r="E10454" s="4" t="n">
        <v>200000</v>
      </c>
      <c r="F10454" s="4" t="n">
        <v>2800</v>
      </c>
    </row>
    <row r="10455">
      <c r="A10455" s="3" t="inlineStr">
        <is>
          <t>1</t>
        </is>
      </c>
      <c r="B10455" s="3" t="inlineStr">
        <is>
          <t>"Ceiling Fan 200 CFM"</t>
        </is>
      </c>
      <c r="C10455" s="3" t="inlineStr">
        <is>
          <t>Unit</t>
        </is>
      </c>
      <c r="D10455" s="15" t="n">
        <v>1.1</v>
      </c>
      <c r="E10455" s="4" t="n">
        <v>1500000</v>
      </c>
      <c r="F10455" s="4" t="n">
        <v>1650000</v>
      </c>
    </row>
    <row r="10456">
      <c r="D10456" s="2" t="inlineStr">
        <is>
          <t>SUBTOTAL UPAH</t>
        </is>
      </c>
      <c r="F10456" s="16" t="n">
        <v>97450</v>
      </c>
    </row>
    <row r="10457">
      <c r="D10457" s="2" t="inlineStr">
        <is>
          <t>SUBTOTAL BAHAN</t>
        </is>
      </c>
      <c r="F10457" s="16" t="n">
        <v>1650000</v>
      </c>
    </row>
    <row r="10458">
      <c r="D10458" s="2" t="inlineStr">
        <is>
          <t>SUBTOTAL ALAT</t>
        </is>
      </c>
      <c r="F10458" s="16" t="n">
        <v>0</v>
      </c>
    </row>
    <row r="10459">
      <c r="E10459" s="2" t="inlineStr">
        <is>
          <t>TOTAL HARGA SATUAN (Inc. Overhead)</t>
        </is>
      </c>
      <c r="F10459" s="17" t="n">
        <v>1922195</v>
      </c>
    </row>
    <row r="10461">
      <c r="A10461" s="14" t="inlineStr">
        <is>
          <t>KODE: 5.5.2.5 - Pemasangan 1 Unit Inline Fan : 500 CFM</t>
        </is>
      </c>
    </row>
    <row r="10462">
      <c r="A10462" s="10" t="inlineStr">
        <is>
          <t>No</t>
        </is>
      </c>
      <c r="B10462" s="10" t="inlineStr">
        <is>
          <t>Uraian Komponen</t>
        </is>
      </c>
      <c r="C10462" s="10" t="inlineStr">
        <is>
          <t>Satuan</t>
        </is>
      </c>
      <c r="D10462" s="10" t="inlineStr">
        <is>
          <t>Koef</t>
        </is>
      </c>
      <c r="E10462" s="10" t="inlineStr">
        <is>
          <t>Harga Satuan (Rp)</t>
        </is>
      </c>
      <c r="F10462" s="10" t="inlineStr">
        <is>
          <t>Jumlah Harga (Rp)</t>
        </is>
      </c>
    </row>
    <row r="10463">
      <c r="A10463" s="3" t="inlineStr">
        <is>
          <t>1</t>
        </is>
      </c>
      <c r="B10463" s="3" t="inlineStr">
        <is>
          <t>Pekerja</t>
        </is>
      </c>
      <c r="C10463" s="3" t="inlineStr">
        <is>
          <t>OH</t>
        </is>
      </c>
      <c r="D10463" s="15" t="n">
        <v>0.76</v>
      </c>
      <c r="E10463" s="4" t="n">
        <v>100000</v>
      </c>
      <c r="F10463" s="4" t="n">
        <v>76000</v>
      </c>
    </row>
    <row r="10464">
      <c r="A10464" s="3" t="inlineStr">
        <is>
          <t>2</t>
        </is>
      </c>
      <c r="B10464" s="3" t="inlineStr">
        <is>
          <t>Tukang listrik</t>
        </is>
      </c>
      <c r="C10464" s="3" t="inlineStr">
        <is>
          <t>OH</t>
        </is>
      </c>
      <c r="D10464" s="15" t="n">
        <v>1.268</v>
      </c>
      <c r="E10464" s="4" t="n">
        <v>145000</v>
      </c>
      <c r="F10464" s="4" t="n">
        <v>183860</v>
      </c>
    </row>
    <row r="10465">
      <c r="A10465" s="3" t="inlineStr">
        <is>
          <t>3</t>
        </is>
      </c>
      <c r="B10465" s="3" t="inlineStr">
        <is>
          <t>Kepala Tukang</t>
        </is>
      </c>
      <c r="C10465" s="3" t="inlineStr">
        <is>
          <t>OH</t>
        </is>
      </c>
      <c r="D10465" s="15" t="n">
        <v>0.127</v>
      </c>
      <c r="E10465" s="4" t="n">
        <v>175000</v>
      </c>
      <c r="F10465" s="4" t="n">
        <v>22225</v>
      </c>
    </row>
    <row r="10466">
      <c r="A10466" s="3" t="inlineStr">
        <is>
          <t>4</t>
        </is>
      </c>
      <c r="B10466" s="3" t="inlineStr">
        <is>
          <t>Mandor</t>
        </is>
      </c>
      <c r="C10466" s="3" t="inlineStr">
        <is>
          <t>OH</t>
        </is>
      </c>
      <c r="D10466" s="15" t="n">
        <v>0.042</v>
      </c>
      <c r="E10466" s="4" t="n">
        <v>200000</v>
      </c>
      <c r="F10466" s="4" t="n">
        <v>8400</v>
      </c>
    </row>
    <row r="10467">
      <c r="A10467" s="3" t="inlineStr">
        <is>
          <t>1</t>
        </is>
      </c>
      <c r="B10467" s="3" t="inlineStr">
        <is>
          <t>"Inline  Fan 500 CFM"</t>
        </is>
      </c>
      <c r="C10467" s="3" t="inlineStr">
        <is>
          <t>Unit</t>
        </is>
      </c>
      <c r="D10467" s="15" t="n">
        <v>1.2</v>
      </c>
      <c r="E10467" s="4" t="n">
        <v>1300000</v>
      </c>
      <c r="F10467" s="4" t="n">
        <v>1560000</v>
      </c>
    </row>
    <row r="10468">
      <c r="D10468" s="2" t="inlineStr">
        <is>
          <t>SUBTOTAL UPAH</t>
        </is>
      </c>
      <c r="F10468" s="16" t="n">
        <v>290485</v>
      </c>
    </row>
    <row r="10469">
      <c r="D10469" s="2" t="inlineStr">
        <is>
          <t>SUBTOTAL BAHAN</t>
        </is>
      </c>
      <c r="F10469" s="16" t="n">
        <v>1560000</v>
      </c>
    </row>
    <row r="10470">
      <c r="D10470" s="2" t="inlineStr">
        <is>
          <t>SUBTOTAL ALAT</t>
        </is>
      </c>
      <c r="F10470" s="16" t="n">
        <v>0</v>
      </c>
    </row>
    <row r="10471">
      <c r="E10471" s="2" t="inlineStr">
        <is>
          <t>TOTAL HARGA SATUAN (Inc. Overhead)</t>
        </is>
      </c>
      <c r="F10471" s="17" t="n">
        <v>2035533</v>
      </c>
    </row>
    <row r="10473">
      <c r="A10473" s="14" t="inlineStr">
        <is>
          <t>KODE: 5.5.2.6 - Pemasangan 1 Unit Inline Fan : 700 CFM</t>
        </is>
      </c>
    </row>
    <row r="10474">
      <c r="A10474" s="10" t="inlineStr">
        <is>
          <t>No</t>
        </is>
      </c>
      <c r="B10474" s="10" t="inlineStr">
        <is>
          <t>Uraian Komponen</t>
        </is>
      </c>
      <c r="C10474" s="10" t="inlineStr">
        <is>
          <t>Satuan</t>
        </is>
      </c>
      <c r="D10474" s="10" t="inlineStr">
        <is>
          <t>Koef</t>
        </is>
      </c>
      <c r="E10474" s="10" t="inlineStr">
        <is>
          <t>Harga Satuan (Rp)</t>
        </is>
      </c>
      <c r="F10474" s="10" t="inlineStr">
        <is>
          <t>Jumlah Harga (Rp)</t>
        </is>
      </c>
    </row>
    <row r="10475">
      <c r="A10475" s="3" t="inlineStr">
        <is>
          <t>1</t>
        </is>
      </c>
      <c r="B10475" s="3" t="inlineStr">
        <is>
          <t>Pekerja</t>
        </is>
      </c>
      <c r="C10475" s="3" t="inlineStr">
        <is>
          <t>OH</t>
        </is>
      </c>
      <c r="D10475" s="15" t="n">
        <v>0.76</v>
      </c>
      <c r="E10475" s="4" t="n">
        <v>100000</v>
      </c>
      <c r="F10475" s="4" t="n">
        <v>76000</v>
      </c>
    </row>
    <row r="10476">
      <c r="A10476" s="3" t="inlineStr">
        <is>
          <t>2</t>
        </is>
      </c>
      <c r="B10476" s="3" t="inlineStr">
        <is>
          <t>Tukang listrik</t>
        </is>
      </c>
      <c r="C10476" s="3" t="inlineStr">
        <is>
          <t>OH</t>
        </is>
      </c>
      <c r="D10476" s="15" t="n">
        <v>1.268</v>
      </c>
      <c r="E10476" s="4" t="n">
        <v>145000</v>
      </c>
      <c r="F10476" s="4" t="n">
        <v>183860</v>
      </c>
    </row>
    <row r="10477">
      <c r="A10477" s="3" t="inlineStr">
        <is>
          <t>3</t>
        </is>
      </c>
      <c r="B10477" s="3" t="inlineStr">
        <is>
          <t>Kepala Tukang</t>
        </is>
      </c>
      <c r="C10477" s="3" t="inlineStr">
        <is>
          <t>OH</t>
        </is>
      </c>
      <c r="D10477" s="15" t="n">
        <v>0.127</v>
      </c>
      <c r="E10477" s="4" t="n">
        <v>175000</v>
      </c>
      <c r="F10477" s="4" t="n">
        <v>22225</v>
      </c>
    </row>
    <row r="10478">
      <c r="A10478" s="3" t="inlineStr">
        <is>
          <t>4</t>
        </is>
      </c>
      <c r="B10478" s="3" t="inlineStr">
        <is>
          <t>Mandor</t>
        </is>
      </c>
      <c r="C10478" s="3" t="inlineStr">
        <is>
          <t>OH</t>
        </is>
      </c>
      <c r="D10478" s="15" t="n">
        <v>0.042</v>
      </c>
      <c r="E10478" s="4" t="n">
        <v>200000</v>
      </c>
      <c r="F10478" s="4" t="n">
        <v>8400</v>
      </c>
    </row>
    <row r="10479">
      <c r="A10479" s="3" t="inlineStr">
        <is>
          <t>1</t>
        </is>
      </c>
      <c r="B10479" s="3" t="inlineStr">
        <is>
          <t>"Inline  Fan 700 CFM"</t>
        </is>
      </c>
      <c r="C10479" s="3" t="inlineStr">
        <is>
          <t>Unit</t>
        </is>
      </c>
      <c r="D10479" s="15" t="n">
        <v>1.2</v>
      </c>
      <c r="E10479" s="4" t="n">
        <v>1700000</v>
      </c>
      <c r="F10479" s="4" t="n">
        <v>2040000</v>
      </c>
    </row>
    <row r="10480">
      <c r="D10480" s="2" t="inlineStr">
        <is>
          <t>SUBTOTAL UPAH</t>
        </is>
      </c>
      <c r="F10480" s="16" t="n">
        <v>290485</v>
      </c>
    </row>
    <row r="10481">
      <c r="D10481" s="2" t="inlineStr">
        <is>
          <t>SUBTOTAL BAHAN</t>
        </is>
      </c>
      <c r="F10481" s="16" t="n">
        <v>2040000</v>
      </c>
    </row>
    <row r="10482">
      <c r="D10482" s="2" t="inlineStr">
        <is>
          <t>SUBTOTAL ALAT</t>
        </is>
      </c>
      <c r="F10482" s="16" t="n">
        <v>0</v>
      </c>
    </row>
    <row r="10483">
      <c r="E10483" s="2" t="inlineStr">
        <is>
          <t>TOTAL HARGA SATUAN (Inc. Overhead)</t>
        </is>
      </c>
      <c r="F10483" s="17" t="n">
        <v>2563533</v>
      </c>
    </row>
    <row r="10485">
      <c r="A10485" s="14" t="inlineStr">
        <is>
          <t>KODE: 5.5.2.7 - Pemasangan 1 Unit Axial Fan : 2.600 CFM</t>
        </is>
      </c>
    </row>
    <row r="10486">
      <c r="A10486" s="10" t="inlineStr">
        <is>
          <t>No</t>
        </is>
      </c>
      <c r="B10486" s="10" t="inlineStr">
        <is>
          <t>Uraian Komponen</t>
        </is>
      </c>
      <c r="C10486" s="10" t="inlineStr">
        <is>
          <t>Satuan</t>
        </is>
      </c>
      <c r="D10486" s="10" t="inlineStr">
        <is>
          <t>Koef</t>
        </is>
      </c>
      <c r="E10486" s="10" t="inlineStr">
        <is>
          <t>Harga Satuan (Rp)</t>
        </is>
      </c>
      <c r="F10486" s="10" t="inlineStr">
        <is>
          <t>Jumlah Harga (Rp)</t>
        </is>
      </c>
    </row>
    <row r="10487">
      <c r="A10487" s="3" t="inlineStr">
        <is>
          <t>1</t>
        </is>
      </c>
      <c r="B10487" s="3" t="inlineStr">
        <is>
          <t>Pekerja</t>
        </is>
      </c>
      <c r="C10487" s="3" t="inlineStr">
        <is>
          <t>OH</t>
        </is>
      </c>
      <c r="D10487" s="15" t="n">
        <v>2.276</v>
      </c>
      <c r="E10487" s="4" t="n">
        <v>100000</v>
      </c>
      <c r="F10487" s="4" t="n">
        <v>227600</v>
      </c>
    </row>
    <row r="10488">
      <c r="A10488" s="3" t="inlineStr">
        <is>
          <t>2</t>
        </is>
      </c>
      <c r="B10488" s="3" t="inlineStr">
        <is>
          <t>Tukang listrik</t>
        </is>
      </c>
      <c r="C10488" s="3" t="inlineStr">
        <is>
          <t>OH</t>
        </is>
      </c>
      <c r="D10488" s="15" t="n">
        <v>3.801</v>
      </c>
      <c r="E10488" s="4" t="n">
        <v>145000</v>
      </c>
      <c r="F10488" s="4" t="n">
        <v>551145</v>
      </c>
    </row>
    <row r="10489">
      <c r="A10489" s="3" t="inlineStr">
        <is>
          <t>3</t>
        </is>
      </c>
      <c r="B10489" s="3" t="inlineStr">
        <is>
          <t>Kepala Tukang</t>
        </is>
      </c>
      <c r="C10489" s="3" t="inlineStr">
        <is>
          <t>OH</t>
        </is>
      </c>
      <c r="D10489" s="15" t="n">
        <v>0.38</v>
      </c>
      <c r="E10489" s="4" t="n">
        <v>175000</v>
      </c>
      <c r="F10489" s="4" t="n">
        <v>66500</v>
      </c>
    </row>
    <row r="10490">
      <c r="A10490" s="3" t="inlineStr">
        <is>
          <t>4</t>
        </is>
      </c>
      <c r="B10490" s="3" t="inlineStr">
        <is>
          <t>Mandor</t>
        </is>
      </c>
      <c r="C10490" s="3" t="inlineStr">
        <is>
          <t>OH</t>
        </is>
      </c>
      <c r="D10490" s="15" t="n">
        <v>0.127</v>
      </c>
      <c r="E10490" s="4" t="n">
        <v>200000</v>
      </c>
      <c r="F10490" s="4" t="n">
        <v>25400</v>
      </c>
    </row>
    <row r="10491">
      <c r="A10491" s="3" t="inlineStr">
        <is>
          <t>1</t>
        </is>
      </c>
      <c r="B10491" s="3" t="inlineStr">
        <is>
          <t>Axial Fan ; 2.600 CFM</t>
        </is>
      </c>
      <c r="C10491" s="3" t="inlineStr">
        <is>
          <t>Unit</t>
        </is>
      </c>
      <c r="D10491" s="15" t="n">
        <v>1.2</v>
      </c>
      <c r="E10491" s="4" t="n">
        <v>780000</v>
      </c>
      <c r="F10491" s="4" t="n">
        <v>936000</v>
      </c>
    </row>
    <row r="10492">
      <c r="D10492" s="2" t="inlineStr">
        <is>
          <t>SUBTOTAL UPAH</t>
        </is>
      </c>
      <c r="F10492" s="16" t="n">
        <v>870645</v>
      </c>
    </row>
    <row r="10493">
      <c r="D10493" s="2" t="inlineStr">
        <is>
          <t>SUBTOTAL BAHAN</t>
        </is>
      </c>
      <c r="F10493" s="16" t="n">
        <v>936000</v>
      </c>
    </row>
    <row r="10494">
      <c r="D10494" s="2" t="inlineStr">
        <is>
          <t>SUBTOTAL ALAT</t>
        </is>
      </c>
      <c r="F10494" s="16" t="n">
        <v>0</v>
      </c>
    </row>
    <row r="10495">
      <c r="E10495" s="2" t="inlineStr">
        <is>
          <t>TOTAL HARGA SATUAN (Inc. Overhead)</t>
        </is>
      </c>
      <c r="F10495" s="17" t="n">
        <v>1987309</v>
      </c>
    </row>
    <row r="10497">
      <c r="A10497" s="14" t="inlineStr">
        <is>
          <t>KODE: 5.5.2.8 - Pemasangan 1 Unit Axial Fan : 2.800 CFM</t>
        </is>
      </c>
    </row>
    <row r="10498">
      <c r="A10498" s="10" t="inlineStr">
        <is>
          <t>No</t>
        </is>
      </c>
      <c r="B10498" s="10" t="inlineStr">
        <is>
          <t>Uraian Komponen</t>
        </is>
      </c>
      <c r="C10498" s="10" t="inlineStr">
        <is>
          <t>Satuan</t>
        </is>
      </c>
      <c r="D10498" s="10" t="inlineStr">
        <is>
          <t>Koef</t>
        </is>
      </c>
      <c r="E10498" s="10" t="inlineStr">
        <is>
          <t>Harga Satuan (Rp)</t>
        </is>
      </c>
      <c r="F10498" s="10" t="inlineStr">
        <is>
          <t>Jumlah Harga (Rp)</t>
        </is>
      </c>
    </row>
    <row r="10499">
      <c r="A10499" s="3" t="inlineStr">
        <is>
          <t>1</t>
        </is>
      </c>
      <c r="B10499" s="3" t="inlineStr">
        <is>
          <t>Pekerja</t>
        </is>
      </c>
      <c r="C10499" s="3" t="inlineStr">
        <is>
          <t>OH</t>
        </is>
      </c>
      <c r="D10499" s="15" t="n">
        <v>2.276</v>
      </c>
      <c r="E10499" s="4" t="n">
        <v>100000</v>
      </c>
      <c r="F10499" s="4" t="n">
        <v>227600</v>
      </c>
    </row>
    <row r="10500">
      <c r="A10500" s="3" t="inlineStr">
        <is>
          <t>2</t>
        </is>
      </c>
      <c r="B10500" s="3" t="inlineStr">
        <is>
          <t>Tukang listrik</t>
        </is>
      </c>
      <c r="C10500" s="3" t="inlineStr">
        <is>
          <t>OH</t>
        </is>
      </c>
      <c r="D10500" s="15" t="n">
        <v>3.801</v>
      </c>
      <c r="E10500" s="4" t="n">
        <v>145000</v>
      </c>
      <c r="F10500" s="4" t="n">
        <v>551145</v>
      </c>
    </row>
    <row r="10501">
      <c r="A10501" s="3" t="inlineStr">
        <is>
          <t>3</t>
        </is>
      </c>
      <c r="B10501" s="3" t="inlineStr">
        <is>
          <t>Kepala Tukang</t>
        </is>
      </c>
      <c r="C10501" s="3" t="inlineStr">
        <is>
          <t>OH</t>
        </is>
      </c>
      <c r="D10501" s="15" t="n">
        <v>0.38</v>
      </c>
      <c r="E10501" s="4" t="n">
        <v>175000</v>
      </c>
      <c r="F10501" s="4" t="n">
        <v>66500</v>
      </c>
    </row>
    <row r="10502">
      <c r="A10502" s="3" t="inlineStr">
        <is>
          <t>4</t>
        </is>
      </c>
      <c r="B10502" s="3" t="inlineStr">
        <is>
          <t>Mandor</t>
        </is>
      </c>
      <c r="C10502" s="3" t="inlineStr">
        <is>
          <t>OH</t>
        </is>
      </c>
      <c r="D10502" s="15" t="n">
        <v>0.127</v>
      </c>
      <c r="E10502" s="4" t="n">
        <v>200000</v>
      </c>
      <c r="F10502" s="4" t="n">
        <v>25400</v>
      </c>
    </row>
    <row r="10503">
      <c r="A10503" s="3" t="inlineStr">
        <is>
          <t>1</t>
        </is>
      </c>
      <c r="B10503" s="3" t="inlineStr">
        <is>
          <t>Axial Fan ; 2.800 CFM</t>
        </is>
      </c>
      <c r="C10503" s="3" t="inlineStr">
        <is>
          <t>Unit</t>
        </is>
      </c>
      <c r="D10503" s="15" t="n">
        <v>1.2</v>
      </c>
      <c r="E10503" s="4" t="n">
        <v>860000</v>
      </c>
      <c r="F10503" s="4" t="n">
        <v>1032000</v>
      </c>
    </row>
    <row r="10504">
      <c r="D10504" s="2" t="inlineStr">
        <is>
          <t>SUBTOTAL UPAH</t>
        </is>
      </c>
      <c r="F10504" s="16" t="n">
        <v>870645</v>
      </c>
    </row>
    <row r="10505">
      <c r="D10505" s="2" t="inlineStr">
        <is>
          <t>SUBTOTAL BAHAN</t>
        </is>
      </c>
      <c r="F10505" s="16" t="n">
        <v>1032000</v>
      </c>
    </row>
    <row r="10506">
      <c r="D10506" s="2" t="inlineStr">
        <is>
          <t>SUBTOTAL ALAT</t>
        </is>
      </c>
      <c r="F10506" s="16" t="n">
        <v>0</v>
      </c>
    </row>
    <row r="10507">
      <c r="E10507" s="2" t="inlineStr">
        <is>
          <t>TOTAL HARGA SATUAN (Inc. Overhead)</t>
        </is>
      </c>
      <c r="F10507" s="17" t="n">
        <v>2092909</v>
      </c>
    </row>
    <row r="10509">
      <c r="A10509" s="14" t="inlineStr">
        <is>
          <t>KODE: 5.5.2.9 - Pemasangan 1 Unit Axial Fan : 3.200 CFM</t>
        </is>
      </c>
    </row>
    <row r="10510">
      <c r="A10510" s="10" t="inlineStr">
        <is>
          <t>No</t>
        </is>
      </c>
      <c r="B10510" s="10" t="inlineStr">
        <is>
          <t>Uraian Komponen</t>
        </is>
      </c>
      <c r="C10510" s="10" t="inlineStr">
        <is>
          <t>Satuan</t>
        </is>
      </c>
      <c r="D10510" s="10" t="inlineStr">
        <is>
          <t>Koef</t>
        </is>
      </c>
      <c r="E10510" s="10" t="inlineStr">
        <is>
          <t>Harga Satuan (Rp)</t>
        </is>
      </c>
      <c r="F10510" s="10" t="inlineStr">
        <is>
          <t>Jumlah Harga (Rp)</t>
        </is>
      </c>
    </row>
    <row r="10511">
      <c r="A10511" s="3" t="inlineStr">
        <is>
          <t>1</t>
        </is>
      </c>
      <c r="B10511" s="3" t="inlineStr">
        <is>
          <t>Pekerja</t>
        </is>
      </c>
      <c r="C10511" s="3" t="inlineStr">
        <is>
          <t>OH</t>
        </is>
      </c>
      <c r="D10511" s="15" t="n">
        <v>2.276</v>
      </c>
      <c r="E10511" s="4" t="n">
        <v>100000</v>
      </c>
      <c r="F10511" s="4" t="n">
        <v>227600</v>
      </c>
    </row>
    <row r="10512">
      <c r="A10512" s="3" t="inlineStr">
        <is>
          <t>2</t>
        </is>
      </c>
      <c r="B10512" s="3" t="inlineStr">
        <is>
          <t>Tukang listrik</t>
        </is>
      </c>
      <c r="C10512" s="3" t="inlineStr">
        <is>
          <t>OH</t>
        </is>
      </c>
      <c r="D10512" s="15" t="n">
        <v>3.801</v>
      </c>
      <c r="E10512" s="4" t="n">
        <v>145000</v>
      </c>
      <c r="F10512" s="4" t="n">
        <v>551145</v>
      </c>
    </row>
    <row r="10513">
      <c r="A10513" s="3" t="inlineStr">
        <is>
          <t>3</t>
        </is>
      </c>
      <c r="B10513" s="3" t="inlineStr">
        <is>
          <t>Kepala Tukang</t>
        </is>
      </c>
      <c r="C10513" s="3" t="inlineStr">
        <is>
          <t>OH</t>
        </is>
      </c>
      <c r="D10513" s="15" t="n">
        <v>0.38</v>
      </c>
      <c r="E10513" s="4" t="n">
        <v>175000</v>
      </c>
      <c r="F10513" s="4" t="n">
        <v>66500</v>
      </c>
    </row>
    <row r="10514">
      <c r="A10514" s="3" t="inlineStr">
        <is>
          <t>4</t>
        </is>
      </c>
      <c r="B10514" s="3" t="inlineStr">
        <is>
          <t>Mandor</t>
        </is>
      </c>
      <c r="C10514" s="3" t="inlineStr">
        <is>
          <t>OH</t>
        </is>
      </c>
      <c r="D10514" s="15" t="n">
        <v>0.127</v>
      </c>
      <c r="E10514" s="4" t="n">
        <v>200000</v>
      </c>
      <c r="F10514" s="4" t="n">
        <v>25400</v>
      </c>
    </row>
    <row r="10515">
      <c r="A10515" s="3" t="inlineStr">
        <is>
          <t>1</t>
        </is>
      </c>
      <c r="B10515" s="3" t="inlineStr">
        <is>
          <t>Axial Fan ; 3.200 CFM</t>
        </is>
      </c>
      <c r="C10515" s="3" t="inlineStr">
        <is>
          <t>Unit</t>
        </is>
      </c>
      <c r="D10515" s="15" t="n">
        <v>1.2</v>
      </c>
      <c r="E10515" s="4" t="n">
        <v>995000</v>
      </c>
      <c r="F10515" s="4" t="n">
        <v>1194000</v>
      </c>
    </row>
    <row r="10516">
      <c r="D10516" s="2" t="inlineStr">
        <is>
          <t>SUBTOTAL UPAH</t>
        </is>
      </c>
      <c r="F10516" s="16" t="n">
        <v>870645</v>
      </c>
    </row>
    <row r="10517">
      <c r="D10517" s="2" t="inlineStr">
        <is>
          <t>SUBTOTAL BAHAN</t>
        </is>
      </c>
      <c r="F10517" s="16" t="n">
        <v>1194000</v>
      </c>
    </row>
    <row r="10518">
      <c r="D10518" s="2" t="inlineStr">
        <is>
          <t>SUBTOTAL ALAT</t>
        </is>
      </c>
      <c r="F10518" s="16" t="n">
        <v>0</v>
      </c>
    </row>
    <row r="10519">
      <c r="E10519" s="2" t="inlineStr">
        <is>
          <t>TOTAL HARGA SATUAN (Inc. Overhead)</t>
        </is>
      </c>
      <c r="F10519" s="17" t="n">
        <v>2271109</v>
      </c>
    </row>
    <row r="10521">
      <c r="A10521" s="14" t="inlineStr">
        <is>
          <t>KODE: 5.5.2.10 - Pemasangan 1 Unit Axial Fan : 3.500 CFM</t>
        </is>
      </c>
    </row>
    <row r="10522">
      <c r="A10522" s="10" t="inlineStr">
        <is>
          <t>No</t>
        </is>
      </c>
      <c r="B10522" s="10" t="inlineStr">
        <is>
          <t>Uraian Komponen</t>
        </is>
      </c>
      <c r="C10522" s="10" t="inlineStr">
        <is>
          <t>Satuan</t>
        </is>
      </c>
      <c r="D10522" s="10" t="inlineStr">
        <is>
          <t>Koef</t>
        </is>
      </c>
      <c r="E10522" s="10" t="inlineStr">
        <is>
          <t>Harga Satuan (Rp)</t>
        </is>
      </c>
      <c r="F10522" s="10" t="inlineStr">
        <is>
          <t>Jumlah Harga (Rp)</t>
        </is>
      </c>
    </row>
    <row r="10523">
      <c r="A10523" s="3" t="inlineStr">
        <is>
          <t>1</t>
        </is>
      </c>
      <c r="B10523" s="3" t="inlineStr">
        <is>
          <t>Pekerja</t>
        </is>
      </c>
      <c r="C10523" s="3" t="inlineStr">
        <is>
          <t>OH</t>
        </is>
      </c>
      <c r="D10523" s="15" t="n">
        <v>3.286</v>
      </c>
      <c r="E10523" s="4" t="n">
        <v>100000</v>
      </c>
      <c r="F10523" s="4" t="n">
        <v>328600</v>
      </c>
    </row>
    <row r="10524">
      <c r="A10524" s="3" t="inlineStr">
        <is>
          <t>2</t>
        </is>
      </c>
      <c r="B10524" s="3" t="inlineStr">
        <is>
          <t>Tukang listrik</t>
        </is>
      </c>
      <c r="C10524" s="3" t="inlineStr">
        <is>
          <t>OH</t>
        </is>
      </c>
      <c r="D10524" s="15" t="n">
        <v>5.487</v>
      </c>
      <c r="E10524" s="4" t="n">
        <v>145000</v>
      </c>
      <c r="F10524" s="4" t="n">
        <v>795615</v>
      </c>
    </row>
    <row r="10525">
      <c r="A10525" s="3" t="inlineStr">
        <is>
          <t>3</t>
        </is>
      </c>
      <c r="B10525" s="3" t="inlineStr">
        <is>
          <t>Kepala Tukang</t>
        </is>
      </c>
      <c r="C10525" s="3" t="inlineStr">
        <is>
          <t>OH</t>
        </is>
      </c>
      <c r="D10525" s="15" t="n">
        <v>0.549</v>
      </c>
      <c r="E10525" s="4" t="n">
        <v>175000</v>
      </c>
      <c r="F10525" s="4" t="n">
        <v>96075.00000000001</v>
      </c>
    </row>
    <row r="10526">
      <c r="A10526" s="3" t="inlineStr">
        <is>
          <t>4</t>
        </is>
      </c>
      <c r="B10526" s="3" t="inlineStr">
        <is>
          <t>Mandor</t>
        </is>
      </c>
      <c r="C10526" s="3" t="inlineStr">
        <is>
          <t>OH</t>
        </is>
      </c>
      <c r="D10526" s="15" t="n">
        <v>0.183</v>
      </c>
      <c r="E10526" s="4" t="n">
        <v>200000</v>
      </c>
      <c r="F10526" s="4" t="n">
        <v>36600</v>
      </c>
    </row>
    <row r="10527">
      <c r="A10527" s="3" t="inlineStr">
        <is>
          <t>1</t>
        </is>
      </c>
      <c r="B10527" s="3" t="inlineStr">
        <is>
          <t>Axial Fan ; 3.500 CFM</t>
        </is>
      </c>
      <c r="C10527" s="3" t="inlineStr">
        <is>
          <t>Unit</t>
        </is>
      </c>
      <c r="D10527" s="15" t="n">
        <v>1.2</v>
      </c>
      <c r="E10527" s="4" t="n">
        <v>1020000</v>
      </c>
      <c r="F10527" s="4" t="n">
        <v>1224000</v>
      </c>
    </row>
    <row r="10528">
      <c r="D10528" s="2" t="inlineStr">
        <is>
          <t>SUBTOTAL UPAH</t>
        </is>
      </c>
      <c r="F10528" s="16" t="n">
        <v>1256890</v>
      </c>
    </row>
    <row r="10529">
      <c r="D10529" s="2" t="inlineStr">
        <is>
          <t>SUBTOTAL BAHAN</t>
        </is>
      </c>
      <c r="F10529" s="16" t="n">
        <v>1224000</v>
      </c>
    </row>
    <row r="10530">
      <c r="D10530" s="2" t="inlineStr">
        <is>
          <t>SUBTOTAL ALAT</t>
        </is>
      </c>
      <c r="F10530" s="16" t="n">
        <v>0</v>
      </c>
    </row>
    <row r="10531">
      <c r="E10531" s="2" t="inlineStr">
        <is>
          <t>TOTAL HARGA SATUAN (Inc. Overhead)</t>
        </is>
      </c>
      <c r="F10531" s="17" t="n">
        <v>2728979</v>
      </c>
    </row>
    <row r="10533">
      <c r="A10533" s="14" t="inlineStr">
        <is>
          <t>KODE: 5.5.2.11 - Pemasangan 1 Unit Axial Fan : 4.000 CFM</t>
        </is>
      </c>
    </row>
    <row r="10534">
      <c r="A10534" s="10" t="inlineStr">
        <is>
          <t>No</t>
        </is>
      </c>
      <c r="B10534" s="10" t="inlineStr">
        <is>
          <t>Uraian Komponen</t>
        </is>
      </c>
      <c r="C10534" s="10" t="inlineStr">
        <is>
          <t>Satuan</t>
        </is>
      </c>
      <c r="D10534" s="10" t="inlineStr">
        <is>
          <t>Koef</t>
        </is>
      </c>
      <c r="E10534" s="10" t="inlineStr">
        <is>
          <t>Harga Satuan (Rp)</t>
        </is>
      </c>
      <c r="F10534" s="10" t="inlineStr">
        <is>
          <t>Jumlah Harga (Rp)</t>
        </is>
      </c>
    </row>
    <row r="10535">
      <c r="A10535" s="3" t="inlineStr">
        <is>
          <t>1</t>
        </is>
      </c>
      <c r="B10535" s="3" t="inlineStr">
        <is>
          <t>Pekerja</t>
        </is>
      </c>
      <c r="C10535" s="3" t="inlineStr">
        <is>
          <t>OH</t>
        </is>
      </c>
      <c r="D10535" s="15" t="n">
        <v>5.05</v>
      </c>
      <c r="E10535" s="4" t="n">
        <v>100000</v>
      </c>
      <c r="F10535" s="4" t="n">
        <v>505000</v>
      </c>
    </row>
    <row r="10536">
      <c r="A10536" s="3" t="inlineStr">
        <is>
          <t>2</t>
        </is>
      </c>
      <c r="B10536" s="3" t="inlineStr">
        <is>
          <t>Tukang listrik</t>
        </is>
      </c>
      <c r="C10536" s="3" t="inlineStr">
        <is>
          <t>OH</t>
        </is>
      </c>
      <c r="D10536" s="15" t="n">
        <v>8.441000000000001</v>
      </c>
      <c r="E10536" s="4" t="n">
        <v>145000</v>
      </c>
      <c r="F10536" s="4" t="n">
        <v>1223945</v>
      </c>
    </row>
    <row r="10537">
      <c r="A10537" s="3" t="inlineStr">
        <is>
          <t>3</t>
        </is>
      </c>
      <c r="B10537" s="3" t="inlineStr">
        <is>
          <t>Kepala Tukang</t>
        </is>
      </c>
      <c r="C10537" s="3" t="inlineStr">
        <is>
          <t>OH</t>
        </is>
      </c>
      <c r="D10537" s="15" t="n">
        <v>0.844</v>
      </c>
      <c r="E10537" s="4" t="n">
        <v>175000</v>
      </c>
      <c r="F10537" s="4" t="n">
        <v>147700</v>
      </c>
    </row>
    <row r="10538">
      <c r="A10538" s="3" t="inlineStr">
        <is>
          <t>4</t>
        </is>
      </c>
      <c r="B10538" s="3" t="inlineStr">
        <is>
          <t>Mandor</t>
        </is>
      </c>
      <c r="C10538" s="3" t="inlineStr">
        <is>
          <t>OH</t>
        </is>
      </c>
      <c r="D10538" s="15" t="n">
        <v>0.281</v>
      </c>
      <c r="E10538" s="4" t="n">
        <v>200000</v>
      </c>
      <c r="F10538" s="4" t="n">
        <v>56200.00000000001</v>
      </c>
    </row>
    <row r="10539">
      <c r="A10539" s="3" t="inlineStr">
        <is>
          <t>1</t>
        </is>
      </c>
      <c r="B10539" s="3" t="inlineStr">
        <is>
          <t>Axial Fan ; 4.000 CFM</t>
        </is>
      </c>
      <c r="C10539" s="3" t="inlineStr">
        <is>
          <t>Unit</t>
        </is>
      </c>
      <c r="D10539" s="15" t="n">
        <v>1.2</v>
      </c>
      <c r="E10539" s="4" t="n">
        <v>1350000</v>
      </c>
      <c r="F10539" s="4" t="n">
        <v>1620000</v>
      </c>
    </row>
    <row r="10540">
      <c r="D10540" s="2" t="inlineStr">
        <is>
          <t>SUBTOTAL UPAH</t>
        </is>
      </c>
      <c r="F10540" s="16" t="n">
        <v>1932845</v>
      </c>
    </row>
    <row r="10541">
      <c r="D10541" s="2" t="inlineStr">
        <is>
          <t>SUBTOTAL BAHAN</t>
        </is>
      </c>
      <c r="F10541" s="16" t="n">
        <v>1620000</v>
      </c>
    </row>
    <row r="10542">
      <c r="D10542" s="2" t="inlineStr">
        <is>
          <t>SUBTOTAL ALAT</t>
        </is>
      </c>
      <c r="F10542" s="16" t="n">
        <v>0</v>
      </c>
    </row>
    <row r="10543">
      <c r="E10543" s="2" t="inlineStr">
        <is>
          <t>TOTAL HARGA SATUAN (Inc. Overhead)</t>
        </is>
      </c>
      <c r="F10543" s="17" t="n">
        <v>3908129</v>
      </c>
    </row>
    <row r="10545">
      <c r="A10545" s="14" t="inlineStr">
        <is>
          <t>KODE: 5.5.2.12 - Pemasangan 1 Unit Axial Fan : 5.500 CFM</t>
        </is>
      </c>
    </row>
    <row r="10546">
      <c r="A10546" s="10" t="inlineStr">
        <is>
          <t>No</t>
        </is>
      </c>
      <c r="B10546" s="10" t="inlineStr">
        <is>
          <t>Uraian Komponen</t>
        </is>
      </c>
      <c r="C10546" s="10" t="inlineStr">
        <is>
          <t>Satuan</t>
        </is>
      </c>
      <c r="D10546" s="10" t="inlineStr">
        <is>
          <t>Koef</t>
        </is>
      </c>
      <c r="E10546" s="10" t="inlineStr">
        <is>
          <t>Harga Satuan (Rp)</t>
        </is>
      </c>
      <c r="F10546" s="10" t="inlineStr">
        <is>
          <t>Jumlah Harga (Rp)</t>
        </is>
      </c>
    </row>
    <row r="10547">
      <c r="A10547" s="3" t="inlineStr">
        <is>
          <t>1</t>
        </is>
      </c>
      <c r="B10547" s="3" t="inlineStr">
        <is>
          <t>Pekerja</t>
        </is>
      </c>
      <c r="C10547" s="3" t="inlineStr">
        <is>
          <t>OH</t>
        </is>
      </c>
      <c r="D10547" s="15" t="n">
        <v>5.05</v>
      </c>
      <c r="E10547" s="4" t="n">
        <v>100000</v>
      </c>
      <c r="F10547" s="4" t="n">
        <v>505000</v>
      </c>
    </row>
    <row r="10548">
      <c r="A10548" s="3" t="inlineStr">
        <is>
          <t>2</t>
        </is>
      </c>
      <c r="B10548" s="3" t="inlineStr">
        <is>
          <t>Tukang listrik</t>
        </is>
      </c>
      <c r="C10548" s="3" t="inlineStr">
        <is>
          <t>OH</t>
        </is>
      </c>
      <c r="D10548" s="15" t="n">
        <v>8.441000000000001</v>
      </c>
      <c r="E10548" s="4" t="n">
        <v>145000</v>
      </c>
      <c r="F10548" s="4" t="n">
        <v>1223945</v>
      </c>
    </row>
    <row r="10549">
      <c r="A10549" s="3" t="inlineStr">
        <is>
          <t>3</t>
        </is>
      </c>
      <c r="B10549" s="3" t="inlineStr">
        <is>
          <t>Kepala Tukang</t>
        </is>
      </c>
      <c r="C10549" s="3" t="inlineStr">
        <is>
          <t>OH</t>
        </is>
      </c>
      <c r="D10549" s="15" t="n">
        <v>0.844</v>
      </c>
      <c r="E10549" s="4" t="n">
        <v>175000</v>
      </c>
      <c r="F10549" s="4" t="n">
        <v>147700</v>
      </c>
    </row>
    <row r="10550">
      <c r="A10550" s="3" t="inlineStr">
        <is>
          <t>4</t>
        </is>
      </c>
      <c r="B10550" s="3" t="inlineStr">
        <is>
          <t>Mandor</t>
        </is>
      </c>
      <c r="C10550" s="3" t="inlineStr">
        <is>
          <t>OH</t>
        </is>
      </c>
      <c r="D10550" s="15" t="n">
        <v>0.281</v>
      </c>
      <c r="E10550" s="4" t="n">
        <v>200000</v>
      </c>
      <c r="F10550" s="4" t="n">
        <v>56200.00000000001</v>
      </c>
    </row>
    <row r="10551">
      <c r="A10551" s="3" t="inlineStr">
        <is>
          <t>1</t>
        </is>
      </c>
      <c r="B10551" s="3" t="inlineStr">
        <is>
          <t>Axial Fan ; 5.500 CFM</t>
        </is>
      </c>
      <c r="C10551" s="3" t="inlineStr">
        <is>
          <t>Unit</t>
        </is>
      </c>
      <c r="D10551" s="15" t="n">
        <v>1.2</v>
      </c>
      <c r="E10551" s="4" t="n">
        <v>1700000</v>
      </c>
      <c r="F10551" s="4" t="n">
        <v>2040000</v>
      </c>
    </row>
    <row r="10552">
      <c r="D10552" s="2" t="inlineStr">
        <is>
          <t>SUBTOTAL UPAH</t>
        </is>
      </c>
      <c r="F10552" s="16" t="n">
        <v>1932845</v>
      </c>
    </row>
    <row r="10553">
      <c r="D10553" s="2" t="inlineStr">
        <is>
          <t>SUBTOTAL BAHAN</t>
        </is>
      </c>
      <c r="F10553" s="16" t="n">
        <v>2040000</v>
      </c>
    </row>
    <row r="10554">
      <c r="D10554" s="2" t="inlineStr">
        <is>
          <t>SUBTOTAL ALAT</t>
        </is>
      </c>
      <c r="F10554" s="16" t="n">
        <v>0</v>
      </c>
    </row>
    <row r="10555">
      <c r="E10555" s="2" t="inlineStr">
        <is>
          <t>TOTAL HARGA SATUAN (Inc. Overhead)</t>
        </is>
      </c>
      <c r="F10555" s="17" t="n">
        <v>4370129</v>
      </c>
    </row>
    <row r="10557">
      <c r="A10557" s="14" t="inlineStr">
        <is>
          <t>KODE: 5.5.2.13 - Pemasangan 1 Unit Rotary Fan</t>
        </is>
      </c>
    </row>
    <row r="10558">
      <c r="A10558" s="10" t="inlineStr">
        <is>
          <t>No</t>
        </is>
      </c>
      <c r="B10558" s="10" t="inlineStr">
        <is>
          <t>Uraian Komponen</t>
        </is>
      </c>
      <c r="C10558" s="10" t="inlineStr">
        <is>
          <t>Satuan</t>
        </is>
      </c>
      <c r="D10558" s="10" t="inlineStr">
        <is>
          <t>Koef</t>
        </is>
      </c>
      <c r="E10558" s="10" t="inlineStr">
        <is>
          <t>Harga Satuan (Rp)</t>
        </is>
      </c>
      <c r="F10558" s="10" t="inlineStr">
        <is>
          <t>Jumlah Harga (Rp)</t>
        </is>
      </c>
    </row>
    <row r="10559">
      <c r="A10559" s="3" t="inlineStr">
        <is>
          <t>1</t>
        </is>
      </c>
      <c r="B10559" s="3" t="inlineStr">
        <is>
          <t>Pekerja</t>
        </is>
      </c>
      <c r="C10559" s="3" t="inlineStr">
        <is>
          <t>OH</t>
        </is>
      </c>
      <c r="D10559" s="15" t="n">
        <v>0.255</v>
      </c>
      <c r="E10559" s="4" t="n">
        <v>100000</v>
      </c>
      <c r="F10559" s="4" t="n">
        <v>25500</v>
      </c>
    </row>
    <row r="10560">
      <c r="A10560" s="3" t="inlineStr">
        <is>
          <t>2</t>
        </is>
      </c>
      <c r="B10560" s="3" t="inlineStr">
        <is>
          <t>Tukang listrik</t>
        </is>
      </c>
      <c r="C10560" s="3" t="inlineStr">
        <is>
          <t>OH</t>
        </is>
      </c>
      <c r="D10560" s="15" t="n">
        <v>0.425</v>
      </c>
      <c r="E10560" s="4" t="n">
        <v>145000</v>
      </c>
      <c r="F10560" s="4" t="n">
        <v>61625</v>
      </c>
    </row>
    <row r="10561">
      <c r="A10561" s="3" t="inlineStr">
        <is>
          <t>3</t>
        </is>
      </c>
      <c r="B10561" s="3" t="inlineStr">
        <is>
          <t>Kepala Tukang</t>
        </is>
      </c>
      <c r="C10561" s="3" t="inlineStr">
        <is>
          <t>OH</t>
        </is>
      </c>
      <c r="D10561" s="15" t="n">
        <v>0.043</v>
      </c>
      <c r="E10561" s="4" t="n">
        <v>175000</v>
      </c>
      <c r="F10561" s="4" t="n">
        <v>7524.999999999999</v>
      </c>
    </row>
    <row r="10562">
      <c r="A10562" s="3" t="inlineStr">
        <is>
          <t>4</t>
        </is>
      </c>
      <c r="B10562" s="3" t="inlineStr">
        <is>
          <t>Mandor</t>
        </is>
      </c>
      <c r="C10562" s="3" t="inlineStr">
        <is>
          <t>OH</t>
        </is>
      </c>
      <c r="D10562" s="15" t="n">
        <v>0.014</v>
      </c>
      <c r="E10562" s="4" t="n">
        <v>200000</v>
      </c>
      <c r="F10562" s="4" t="n">
        <v>2800</v>
      </c>
    </row>
    <row r="10563">
      <c r="A10563" s="3" t="inlineStr">
        <is>
          <t>1</t>
        </is>
      </c>
      <c r="B10563" s="3" t="inlineStr">
        <is>
          <t>Rotary Fan</t>
        </is>
      </c>
      <c r="C10563" s="3" t="inlineStr">
        <is>
          <t>Unit</t>
        </is>
      </c>
      <c r="D10563" s="15" t="n">
        <v>1.1</v>
      </c>
      <c r="E10563" s="4" t="n">
        <v>750000</v>
      </c>
      <c r="F10563" s="4" t="n">
        <v>825000.0000000001</v>
      </c>
    </row>
    <row r="10564">
      <c r="D10564" s="2" t="inlineStr">
        <is>
          <t>SUBTOTAL UPAH</t>
        </is>
      </c>
      <c r="F10564" s="16" t="n">
        <v>97450</v>
      </c>
    </row>
    <row r="10565">
      <c r="D10565" s="2" t="inlineStr">
        <is>
          <t>SUBTOTAL BAHAN</t>
        </is>
      </c>
      <c r="F10565" s="16" t="n">
        <v>825000.0000000001</v>
      </c>
    </row>
    <row r="10566">
      <c r="D10566" s="2" t="inlineStr">
        <is>
          <t>SUBTOTAL ALAT</t>
        </is>
      </c>
      <c r="F10566" s="16" t="n">
        <v>0</v>
      </c>
    </row>
    <row r="10567">
      <c r="E10567" s="2" t="inlineStr">
        <is>
          <t>TOTAL HARGA SATUAN (Inc. Overhead)</t>
        </is>
      </c>
      <c r="F10567" s="17" t="n">
        <v>1014695</v>
      </c>
    </row>
    <row r="10569">
      <c r="A10569" s="14" t="inlineStr">
        <is>
          <t>KODE: 5.5.2.14 - Pemasangan 1 Unit Ceiling Fan Rotary</t>
        </is>
      </c>
    </row>
    <row r="10570">
      <c r="A10570" s="10" t="inlineStr">
        <is>
          <t>No</t>
        </is>
      </c>
      <c r="B10570" s="10" t="inlineStr">
        <is>
          <t>Uraian Komponen</t>
        </is>
      </c>
      <c r="C10570" s="10" t="inlineStr">
        <is>
          <t>Satuan</t>
        </is>
      </c>
      <c r="D10570" s="10" t="inlineStr">
        <is>
          <t>Koef</t>
        </is>
      </c>
      <c r="E10570" s="10" t="inlineStr">
        <is>
          <t>Harga Satuan (Rp)</t>
        </is>
      </c>
      <c r="F10570" s="10" t="inlineStr">
        <is>
          <t>Jumlah Harga (Rp)</t>
        </is>
      </c>
    </row>
    <row r="10571">
      <c r="A10571" s="3" t="inlineStr">
        <is>
          <t>1</t>
        </is>
      </c>
      <c r="B10571" s="3" t="inlineStr">
        <is>
          <t>Pekerja</t>
        </is>
      </c>
      <c r="C10571" s="3" t="inlineStr">
        <is>
          <t>OH</t>
        </is>
      </c>
      <c r="D10571" s="15" t="n">
        <v>0.255</v>
      </c>
      <c r="E10571" s="4" t="n">
        <v>100000</v>
      </c>
      <c r="F10571" s="4" t="n">
        <v>25500</v>
      </c>
    </row>
    <row r="10572">
      <c r="A10572" s="3" t="inlineStr">
        <is>
          <t>2</t>
        </is>
      </c>
      <c r="B10572" s="3" t="inlineStr">
        <is>
          <t>Tukang listrik</t>
        </is>
      </c>
      <c r="C10572" s="3" t="inlineStr">
        <is>
          <t>OH</t>
        </is>
      </c>
      <c r="D10572" s="15" t="n">
        <v>0.425</v>
      </c>
      <c r="E10572" s="4" t="n">
        <v>145000</v>
      </c>
      <c r="F10572" s="4" t="n">
        <v>61625</v>
      </c>
    </row>
    <row r="10573">
      <c r="A10573" s="3" t="inlineStr">
        <is>
          <t>3</t>
        </is>
      </c>
      <c r="B10573" s="3" t="inlineStr">
        <is>
          <t>Kepala Tukang</t>
        </is>
      </c>
      <c r="C10573" s="3" t="inlineStr">
        <is>
          <t>OH</t>
        </is>
      </c>
      <c r="D10573" s="15" t="n">
        <v>0.043</v>
      </c>
      <c r="E10573" s="4" t="n">
        <v>175000</v>
      </c>
      <c r="F10573" s="4" t="n">
        <v>7524.999999999999</v>
      </c>
    </row>
    <row r="10574">
      <c r="A10574" s="3" t="inlineStr">
        <is>
          <t>4</t>
        </is>
      </c>
      <c r="B10574" s="3" t="inlineStr">
        <is>
          <t>Mandor</t>
        </is>
      </c>
      <c r="C10574" s="3" t="inlineStr">
        <is>
          <t>OH</t>
        </is>
      </c>
      <c r="D10574" s="15" t="n">
        <v>0.014</v>
      </c>
      <c r="E10574" s="4" t="n">
        <v>200000</v>
      </c>
      <c r="F10574" s="4" t="n">
        <v>2800</v>
      </c>
    </row>
    <row r="10575">
      <c r="A10575" s="3" t="inlineStr">
        <is>
          <t>1</t>
        </is>
      </c>
      <c r="B10575" s="3" t="inlineStr">
        <is>
          <t>Ceiling Fan Rotary</t>
        </is>
      </c>
      <c r="C10575" s="3" t="inlineStr">
        <is>
          <t>Unit</t>
        </is>
      </c>
      <c r="D10575" s="15" t="n">
        <v>1.1</v>
      </c>
      <c r="E10575" s="4" t="n">
        <v>1500000</v>
      </c>
      <c r="F10575" s="4" t="n">
        <v>1650000</v>
      </c>
    </row>
    <row r="10576">
      <c r="D10576" s="2" t="inlineStr">
        <is>
          <t>SUBTOTAL UPAH</t>
        </is>
      </c>
      <c r="F10576" s="16" t="n">
        <v>97450</v>
      </c>
    </row>
    <row r="10577">
      <c r="D10577" s="2" t="inlineStr">
        <is>
          <t>SUBTOTAL BAHAN</t>
        </is>
      </c>
      <c r="F10577" s="16" t="n">
        <v>1650000</v>
      </c>
    </row>
    <row r="10578">
      <c r="D10578" s="2" t="inlineStr">
        <is>
          <t>SUBTOTAL ALAT</t>
        </is>
      </c>
      <c r="F10578" s="16" t="n">
        <v>0</v>
      </c>
    </row>
    <row r="10579">
      <c r="E10579" s="2" t="inlineStr">
        <is>
          <t>TOTAL HARGA SATUAN (Inc. Overhead)</t>
        </is>
      </c>
      <c r="F10579" s="17" t="n">
        <v>1922195</v>
      </c>
    </row>
    <row r="10581">
      <c r="A10581" s="14" t="inlineStr">
        <is>
          <t>KODE: 5.5.2.15 - Pemasangan 1 Unit Bifurcated Fan : 1.500 CFM</t>
        </is>
      </c>
    </row>
    <row r="10582">
      <c r="A10582" s="10" t="inlineStr">
        <is>
          <t>No</t>
        </is>
      </c>
      <c r="B10582" s="10" t="inlineStr">
        <is>
          <t>Uraian Komponen</t>
        </is>
      </c>
      <c r="C10582" s="10" t="inlineStr">
        <is>
          <t>Satuan</t>
        </is>
      </c>
      <c r="D10582" s="10" t="inlineStr">
        <is>
          <t>Koef</t>
        </is>
      </c>
      <c r="E10582" s="10" t="inlineStr">
        <is>
          <t>Harga Satuan (Rp)</t>
        </is>
      </c>
      <c r="F10582" s="10" t="inlineStr">
        <is>
          <t>Jumlah Harga (Rp)</t>
        </is>
      </c>
    </row>
    <row r="10583">
      <c r="A10583" s="3" t="inlineStr">
        <is>
          <t>1</t>
        </is>
      </c>
      <c r="B10583" s="3" t="inlineStr">
        <is>
          <t>Pekerja</t>
        </is>
      </c>
      <c r="C10583" s="3" t="inlineStr">
        <is>
          <t>OH</t>
        </is>
      </c>
      <c r="D10583" s="15" t="n">
        <v>1.264</v>
      </c>
      <c r="E10583" s="4" t="n">
        <v>100000</v>
      </c>
      <c r="F10583" s="4" t="n">
        <v>126400</v>
      </c>
    </row>
    <row r="10584">
      <c r="A10584" s="3" t="inlineStr">
        <is>
          <t>2</t>
        </is>
      </c>
      <c r="B10584" s="3" t="inlineStr">
        <is>
          <t>Tukang listrik</t>
        </is>
      </c>
      <c r="C10584" s="3" t="inlineStr">
        <is>
          <t>OH</t>
        </is>
      </c>
      <c r="D10584" s="15" t="n">
        <v>2.111</v>
      </c>
      <c r="E10584" s="4" t="n">
        <v>145000</v>
      </c>
      <c r="F10584" s="4" t="n">
        <v>306095.0000000001</v>
      </c>
    </row>
    <row r="10585">
      <c r="A10585" s="3" t="inlineStr">
        <is>
          <t>3</t>
        </is>
      </c>
      <c r="B10585" s="3" t="inlineStr">
        <is>
          <t>Kepala Tukang</t>
        </is>
      </c>
      <c r="C10585" s="3" t="inlineStr">
        <is>
          <t>OH</t>
        </is>
      </c>
      <c r="D10585" s="15" t="n">
        <v>0.2111</v>
      </c>
      <c r="E10585" s="4" t="n">
        <v>175000</v>
      </c>
      <c r="F10585" s="4" t="n">
        <v>36942.5</v>
      </c>
    </row>
    <row r="10586">
      <c r="A10586" s="3" t="inlineStr">
        <is>
          <t>4</t>
        </is>
      </c>
      <c r="B10586" s="3" t="inlineStr">
        <is>
          <t>Mandor</t>
        </is>
      </c>
      <c r="C10586" s="3" t="inlineStr">
        <is>
          <t>OH</t>
        </is>
      </c>
      <c r="D10586" s="15" t="n">
        <v>0.07000000000000001</v>
      </c>
      <c r="E10586" s="4" t="n">
        <v>200000</v>
      </c>
      <c r="F10586" s="4" t="n">
        <v>14000</v>
      </c>
    </row>
    <row r="10587">
      <c r="A10587" s="3" t="inlineStr">
        <is>
          <t>1</t>
        </is>
      </c>
      <c r="B10587" s="3" t="inlineStr">
        <is>
          <t>Bifurcated Fan; 1.500 CFM</t>
        </is>
      </c>
      <c r="C10587" s="3" t="inlineStr">
        <is>
          <t>Unit</t>
        </is>
      </c>
      <c r="D10587" s="15" t="n">
        <v>1.2</v>
      </c>
      <c r="E10587" s="4" t="n">
        <v>8300000</v>
      </c>
      <c r="F10587" s="4" t="n">
        <v>9960000</v>
      </c>
    </row>
    <row r="10588">
      <c r="D10588" s="2" t="inlineStr">
        <is>
          <t>SUBTOTAL UPAH</t>
        </is>
      </c>
      <c r="F10588" s="16" t="n">
        <v>483437.5000000001</v>
      </c>
    </row>
    <row r="10589">
      <c r="D10589" s="2" t="inlineStr">
        <is>
          <t>SUBTOTAL BAHAN</t>
        </is>
      </c>
      <c r="F10589" s="16" t="n">
        <v>9960000</v>
      </c>
    </row>
    <row r="10590">
      <c r="D10590" s="2" t="inlineStr">
        <is>
          <t>SUBTOTAL ALAT</t>
        </is>
      </c>
      <c r="F10590" s="16" t="n">
        <v>0</v>
      </c>
    </row>
    <row r="10591">
      <c r="E10591" s="2" t="inlineStr">
        <is>
          <t>TOTAL HARGA SATUAN (Inc. Overhead)</t>
        </is>
      </c>
      <c r="F10591" s="17" t="n">
        <v>11487781</v>
      </c>
    </row>
    <row r="10593">
      <c r="A10593" s="14" t="inlineStr">
        <is>
          <t>KODE: 5.5.2.16 - Pemasangan 1 Unit Propeller Fan ; 75 CFM</t>
        </is>
      </c>
    </row>
    <row r="10594">
      <c r="A10594" s="10" t="inlineStr">
        <is>
          <t>No</t>
        </is>
      </c>
      <c r="B10594" s="10" t="inlineStr">
        <is>
          <t>Uraian Komponen</t>
        </is>
      </c>
      <c r="C10594" s="10" t="inlineStr">
        <is>
          <t>Satuan</t>
        </is>
      </c>
      <c r="D10594" s="10" t="inlineStr">
        <is>
          <t>Koef</t>
        </is>
      </c>
      <c r="E10594" s="10" t="inlineStr">
        <is>
          <t>Harga Satuan (Rp)</t>
        </is>
      </c>
      <c r="F10594" s="10" t="inlineStr">
        <is>
          <t>Jumlah Harga (Rp)</t>
        </is>
      </c>
    </row>
    <row r="10595">
      <c r="A10595" s="3" t="inlineStr">
        <is>
          <t>1</t>
        </is>
      </c>
      <c r="B10595" s="3" t="inlineStr">
        <is>
          <t>Pekerja</t>
        </is>
      </c>
      <c r="C10595" s="3" t="inlineStr">
        <is>
          <t>OH</t>
        </is>
      </c>
      <c r="D10595" s="15" t="n">
        <v>0.381</v>
      </c>
      <c r="E10595" s="4" t="n">
        <v>100000</v>
      </c>
      <c r="F10595" s="4" t="n">
        <v>38100</v>
      </c>
    </row>
    <row r="10596">
      <c r="A10596" s="3" t="inlineStr">
        <is>
          <t>2</t>
        </is>
      </c>
      <c r="B10596" s="3" t="inlineStr">
        <is>
          <t>Tukang listrik</t>
        </is>
      </c>
      <c r="C10596" s="3" t="inlineStr">
        <is>
          <t>OH</t>
        </is>
      </c>
      <c r="D10596" s="15" t="n">
        <v>0.636</v>
      </c>
      <c r="E10596" s="4" t="n">
        <v>145000</v>
      </c>
      <c r="F10596" s="4" t="n">
        <v>92220</v>
      </c>
    </row>
    <row r="10597">
      <c r="A10597" s="3" t="inlineStr">
        <is>
          <t>3</t>
        </is>
      </c>
      <c r="B10597" s="3" t="inlineStr">
        <is>
          <t>Kepala Tukang</t>
        </is>
      </c>
      <c r="C10597" s="3" t="inlineStr">
        <is>
          <t>OH</t>
        </is>
      </c>
      <c r="D10597" s="15" t="n">
        <v>0.064</v>
      </c>
      <c r="E10597" s="4" t="n">
        <v>175000</v>
      </c>
      <c r="F10597" s="4" t="n">
        <v>11200</v>
      </c>
    </row>
    <row r="10598">
      <c r="A10598" s="3" t="inlineStr">
        <is>
          <t>4</t>
        </is>
      </c>
      <c r="B10598" s="3" t="inlineStr">
        <is>
          <t>Mandor</t>
        </is>
      </c>
      <c r="C10598" s="3" t="inlineStr">
        <is>
          <t>OH</t>
        </is>
      </c>
      <c r="D10598" s="15" t="n">
        <v>0.021</v>
      </c>
      <c r="E10598" s="4" t="n">
        <v>200000</v>
      </c>
      <c r="F10598" s="4" t="n">
        <v>4200</v>
      </c>
    </row>
    <row r="10599">
      <c r="A10599" s="3" t="inlineStr">
        <is>
          <t>1</t>
        </is>
      </c>
      <c r="B10599" s="3" t="inlineStr">
        <is>
          <t>"Propeller Fan 75 CFM"</t>
        </is>
      </c>
      <c r="C10599" s="3" t="inlineStr">
        <is>
          <t>Unit</t>
        </is>
      </c>
      <c r="D10599" s="15" t="n">
        <v>1.2</v>
      </c>
      <c r="E10599" s="4" t="n">
        <v>1800000</v>
      </c>
      <c r="F10599" s="4" t="n">
        <v>2160000</v>
      </c>
    </row>
    <row r="10600">
      <c r="D10600" s="2" t="inlineStr">
        <is>
          <t>SUBTOTAL UPAH</t>
        </is>
      </c>
      <c r="F10600" s="16" t="n">
        <v>145720</v>
      </c>
    </row>
    <row r="10601">
      <c r="D10601" s="2" t="inlineStr">
        <is>
          <t>SUBTOTAL BAHAN</t>
        </is>
      </c>
      <c r="F10601" s="16" t="n">
        <v>2160000</v>
      </c>
    </row>
    <row r="10602">
      <c r="D10602" s="2" t="inlineStr">
        <is>
          <t>SUBTOTAL ALAT</t>
        </is>
      </c>
      <c r="F10602" s="16" t="n">
        <v>0</v>
      </c>
    </row>
    <row r="10603">
      <c r="E10603" s="2" t="inlineStr">
        <is>
          <t>TOTAL HARGA SATUAN (Inc. Overhead)</t>
        </is>
      </c>
      <c r="F10603" s="17" t="n">
        <v>2536292</v>
      </c>
    </row>
    <row r="10605">
      <c r="A10605" s="14" t="inlineStr">
        <is>
          <t>KODE: 5.5.2.17 - Pemasangan 1 Unit Propeller Fan ; 100 CFM</t>
        </is>
      </c>
    </row>
    <row r="10606">
      <c r="A10606" s="10" t="inlineStr">
        <is>
          <t>No</t>
        </is>
      </c>
      <c r="B10606" s="10" t="inlineStr">
        <is>
          <t>Uraian Komponen</t>
        </is>
      </c>
      <c r="C10606" s="10" t="inlineStr">
        <is>
          <t>Satuan</t>
        </is>
      </c>
      <c r="D10606" s="10" t="inlineStr">
        <is>
          <t>Koef</t>
        </is>
      </c>
      <c r="E10606" s="10" t="inlineStr">
        <is>
          <t>Harga Satuan (Rp)</t>
        </is>
      </c>
      <c r="F10606" s="10" t="inlineStr">
        <is>
          <t>Jumlah Harga (Rp)</t>
        </is>
      </c>
    </row>
    <row r="10607">
      <c r="A10607" s="3" t="inlineStr">
        <is>
          <t>1</t>
        </is>
      </c>
      <c r="B10607" s="3" t="inlineStr">
        <is>
          <t>Pekerja</t>
        </is>
      </c>
      <c r="C10607" s="3" t="inlineStr">
        <is>
          <t>OH</t>
        </is>
      </c>
      <c r="D10607" s="15" t="n">
        <v>0.381</v>
      </c>
      <c r="E10607" s="4" t="n">
        <v>100000</v>
      </c>
      <c r="F10607" s="4" t="n">
        <v>38100</v>
      </c>
    </row>
    <row r="10608">
      <c r="A10608" s="3" t="inlineStr">
        <is>
          <t>2</t>
        </is>
      </c>
      <c r="B10608" s="3" t="inlineStr">
        <is>
          <t>Tukang listrik</t>
        </is>
      </c>
      <c r="C10608" s="3" t="inlineStr">
        <is>
          <t>OH</t>
        </is>
      </c>
      <c r="D10608" s="15" t="n">
        <v>0.636</v>
      </c>
      <c r="E10608" s="4" t="n">
        <v>145000</v>
      </c>
      <c r="F10608" s="4" t="n">
        <v>92220</v>
      </c>
    </row>
    <row r="10609">
      <c r="A10609" s="3" t="inlineStr">
        <is>
          <t>3</t>
        </is>
      </c>
      <c r="B10609" s="3" t="inlineStr">
        <is>
          <t>Kepala Tukang</t>
        </is>
      </c>
      <c r="C10609" s="3" t="inlineStr">
        <is>
          <t>OH</t>
        </is>
      </c>
      <c r="D10609" s="15" t="n">
        <v>0.064</v>
      </c>
      <c r="E10609" s="4" t="n">
        <v>175000</v>
      </c>
      <c r="F10609" s="4" t="n">
        <v>11200</v>
      </c>
    </row>
    <row r="10610">
      <c r="A10610" s="3" t="inlineStr">
        <is>
          <t>4</t>
        </is>
      </c>
      <c r="B10610" s="3" t="inlineStr">
        <is>
          <t>Mandor</t>
        </is>
      </c>
      <c r="C10610" s="3" t="inlineStr">
        <is>
          <t>OH</t>
        </is>
      </c>
      <c r="D10610" s="15" t="n">
        <v>0.021</v>
      </c>
      <c r="E10610" s="4" t="n">
        <v>200000</v>
      </c>
      <c r="F10610" s="4" t="n">
        <v>4200</v>
      </c>
    </row>
    <row r="10611">
      <c r="A10611" s="3" t="inlineStr">
        <is>
          <t>1</t>
        </is>
      </c>
      <c r="B10611" s="3" t="inlineStr">
        <is>
          <t>"Propeller Fan 100 CFM"</t>
        </is>
      </c>
      <c r="C10611" s="3" t="inlineStr">
        <is>
          <t>Unit</t>
        </is>
      </c>
      <c r="D10611" s="15" t="n">
        <v>1.2</v>
      </c>
      <c r="E10611" s="4" t="n">
        <v>2100000</v>
      </c>
      <c r="F10611" s="4" t="n">
        <v>2520000</v>
      </c>
    </row>
    <row r="10612">
      <c r="D10612" s="2" t="inlineStr">
        <is>
          <t>SUBTOTAL UPAH</t>
        </is>
      </c>
      <c r="F10612" s="16" t="n">
        <v>145720</v>
      </c>
    </row>
    <row r="10613">
      <c r="D10613" s="2" t="inlineStr">
        <is>
          <t>SUBTOTAL BAHAN</t>
        </is>
      </c>
      <c r="F10613" s="16" t="n">
        <v>2520000</v>
      </c>
    </row>
    <row r="10614">
      <c r="D10614" s="2" t="inlineStr">
        <is>
          <t>SUBTOTAL ALAT</t>
        </is>
      </c>
      <c r="F10614" s="16" t="n">
        <v>0</v>
      </c>
    </row>
    <row r="10615">
      <c r="E10615" s="2" t="inlineStr">
        <is>
          <t>TOTAL HARGA SATUAN (Inc. Overhead)</t>
        </is>
      </c>
      <c r="F10615" s="17" t="n">
        <v>2932292</v>
      </c>
    </row>
    <row r="10617">
      <c r="A10617" s="14" t="inlineStr">
        <is>
          <t>KODE: 5.5.2.18 - Pemasangan 1 Unit Propeller Fan ; 150 CFM</t>
        </is>
      </c>
    </row>
    <row r="10618">
      <c r="A10618" s="10" t="inlineStr">
        <is>
          <t>No</t>
        </is>
      </c>
      <c r="B10618" s="10" t="inlineStr">
        <is>
          <t>Uraian Komponen</t>
        </is>
      </c>
      <c r="C10618" s="10" t="inlineStr">
        <is>
          <t>Satuan</t>
        </is>
      </c>
      <c r="D10618" s="10" t="inlineStr">
        <is>
          <t>Koef</t>
        </is>
      </c>
      <c r="E10618" s="10" t="inlineStr">
        <is>
          <t>Harga Satuan (Rp)</t>
        </is>
      </c>
      <c r="F10618" s="10" t="inlineStr">
        <is>
          <t>Jumlah Harga (Rp)</t>
        </is>
      </c>
    </row>
    <row r="10619">
      <c r="A10619" s="3" t="inlineStr">
        <is>
          <t>1</t>
        </is>
      </c>
      <c r="B10619" s="3" t="inlineStr">
        <is>
          <t>Pekerja</t>
        </is>
      </c>
      <c r="C10619" s="3" t="inlineStr">
        <is>
          <t>OH</t>
        </is>
      </c>
      <c r="D10619" s="15" t="n">
        <v>0.381</v>
      </c>
      <c r="E10619" s="4" t="n">
        <v>100000</v>
      </c>
      <c r="F10619" s="4" t="n">
        <v>38100</v>
      </c>
    </row>
    <row r="10620">
      <c r="A10620" s="3" t="inlineStr">
        <is>
          <t>2</t>
        </is>
      </c>
      <c r="B10620" s="3" t="inlineStr">
        <is>
          <t>Tukang listrik</t>
        </is>
      </c>
      <c r="C10620" s="3" t="inlineStr">
        <is>
          <t>OH</t>
        </is>
      </c>
      <c r="D10620" s="15" t="n">
        <v>0.636</v>
      </c>
      <c r="E10620" s="4" t="n">
        <v>145000</v>
      </c>
      <c r="F10620" s="4" t="n">
        <v>92220</v>
      </c>
    </row>
    <row r="10621">
      <c r="A10621" s="3" t="inlineStr">
        <is>
          <t>3</t>
        </is>
      </c>
      <c r="B10621" s="3" t="inlineStr">
        <is>
          <t>Kepala Tukang</t>
        </is>
      </c>
      <c r="C10621" s="3" t="inlineStr">
        <is>
          <t>OH</t>
        </is>
      </c>
      <c r="D10621" s="15" t="n">
        <v>0.064</v>
      </c>
      <c r="E10621" s="4" t="n">
        <v>175000</v>
      </c>
      <c r="F10621" s="4" t="n">
        <v>11200</v>
      </c>
    </row>
    <row r="10622">
      <c r="A10622" s="3" t="inlineStr">
        <is>
          <t>4</t>
        </is>
      </c>
      <c r="B10622" s="3" t="inlineStr">
        <is>
          <t>Mandor</t>
        </is>
      </c>
      <c r="C10622" s="3" t="inlineStr">
        <is>
          <t>OH</t>
        </is>
      </c>
      <c r="D10622" s="15" t="n">
        <v>0.021</v>
      </c>
      <c r="E10622" s="4" t="n">
        <v>200000</v>
      </c>
      <c r="F10622" s="4" t="n">
        <v>4200</v>
      </c>
    </row>
    <row r="10623">
      <c r="A10623" s="3" t="inlineStr">
        <is>
          <t>1</t>
        </is>
      </c>
      <c r="B10623" s="3" t="inlineStr">
        <is>
          <t>"Propeller Fan 150 CFM"</t>
        </is>
      </c>
      <c r="C10623" s="3" t="inlineStr">
        <is>
          <t>Unit</t>
        </is>
      </c>
      <c r="D10623" s="15" t="n">
        <v>1.2</v>
      </c>
      <c r="E10623" s="4" t="n">
        <v>2300000</v>
      </c>
      <c r="F10623" s="4" t="n">
        <v>2760000</v>
      </c>
    </row>
    <row r="10624">
      <c r="D10624" s="2" t="inlineStr">
        <is>
          <t>SUBTOTAL UPAH</t>
        </is>
      </c>
      <c r="F10624" s="16" t="n">
        <v>145720</v>
      </c>
    </row>
    <row r="10625">
      <c r="D10625" s="2" t="inlineStr">
        <is>
          <t>SUBTOTAL BAHAN</t>
        </is>
      </c>
      <c r="F10625" s="16" t="n">
        <v>2760000</v>
      </c>
    </row>
    <row r="10626">
      <c r="D10626" s="2" t="inlineStr">
        <is>
          <t>SUBTOTAL ALAT</t>
        </is>
      </c>
      <c r="F10626" s="16" t="n">
        <v>0</v>
      </c>
    </row>
    <row r="10627">
      <c r="E10627" s="2" t="inlineStr">
        <is>
          <t>TOTAL HARGA SATUAN (Inc. Overhead)</t>
        </is>
      </c>
      <c r="F10627" s="17" t="n">
        <v>3196292</v>
      </c>
    </row>
    <row r="10629">
      <c r="A10629" s="14" t="inlineStr">
        <is>
          <t>KODE: 5.5.2.19 - Pemasangan 1 Unit Propeller Fan ; 375 CFM</t>
        </is>
      </c>
    </row>
    <row r="10630">
      <c r="A10630" s="10" t="inlineStr">
        <is>
          <t>No</t>
        </is>
      </c>
      <c r="B10630" s="10" t="inlineStr">
        <is>
          <t>Uraian Komponen</t>
        </is>
      </c>
      <c r="C10630" s="10" t="inlineStr">
        <is>
          <t>Satuan</t>
        </is>
      </c>
      <c r="D10630" s="10" t="inlineStr">
        <is>
          <t>Koef</t>
        </is>
      </c>
      <c r="E10630" s="10" t="inlineStr">
        <is>
          <t>Harga Satuan (Rp)</t>
        </is>
      </c>
      <c r="F10630" s="10" t="inlineStr">
        <is>
          <t>Jumlah Harga (Rp)</t>
        </is>
      </c>
    </row>
    <row r="10631">
      <c r="A10631" s="3" t="inlineStr">
        <is>
          <t>1</t>
        </is>
      </c>
      <c r="B10631" s="3" t="inlineStr">
        <is>
          <t>Pekerja</t>
        </is>
      </c>
      <c r="C10631" s="3" t="inlineStr">
        <is>
          <t>OH</t>
        </is>
      </c>
      <c r="D10631" s="15" t="n">
        <v>0.507</v>
      </c>
      <c r="E10631" s="4" t="n">
        <v>100000</v>
      </c>
      <c r="F10631" s="4" t="n">
        <v>50700</v>
      </c>
    </row>
    <row r="10632">
      <c r="A10632" s="3" t="inlineStr">
        <is>
          <t>2</t>
        </is>
      </c>
      <c r="B10632" s="3" t="inlineStr">
        <is>
          <t>Tukang listrik</t>
        </is>
      </c>
      <c r="C10632" s="3" t="inlineStr">
        <is>
          <t>OH</t>
        </is>
      </c>
      <c r="D10632" s="15" t="n">
        <v>0.847</v>
      </c>
      <c r="E10632" s="4" t="n">
        <v>145000</v>
      </c>
      <c r="F10632" s="4" t="n">
        <v>122815</v>
      </c>
    </row>
    <row r="10633">
      <c r="A10633" s="3" t="inlineStr">
        <is>
          <t>3</t>
        </is>
      </c>
      <c r="B10633" s="3" t="inlineStr">
        <is>
          <t>Kepala Tukang</t>
        </is>
      </c>
      <c r="C10633" s="3" t="inlineStr">
        <is>
          <t>OH</t>
        </is>
      </c>
      <c r="D10633" s="15" t="n">
        <v>0.08500000000000001</v>
      </c>
      <c r="E10633" s="4" t="n">
        <v>175000</v>
      </c>
      <c r="F10633" s="4" t="n">
        <v>14875</v>
      </c>
    </row>
    <row r="10634">
      <c r="A10634" s="3" t="inlineStr">
        <is>
          <t>4</t>
        </is>
      </c>
      <c r="B10634" s="3" t="inlineStr">
        <is>
          <t>Mandor</t>
        </is>
      </c>
      <c r="C10634" s="3" t="inlineStr">
        <is>
          <t>OH</t>
        </is>
      </c>
      <c r="D10634" s="15" t="n">
        <v>0.028</v>
      </c>
      <c r="E10634" s="4" t="n">
        <v>200000</v>
      </c>
      <c r="F10634" s="4" t="n">
        <v>5600</v>
      </c>
    </row>
    <row r="10635">
      <c r="A10635" s="3" t="inlineStr">
        <is>
          <t>1</t>
        </is>
      </c>
      <c r="B10635" s="3" t="inlineStr">
        <is>
          <t>"Propeller Fan 375 CFM"</t>
        </is>
      </c>
      <c r="C10635" s="3" t="inlineStr">
        <is>
          <t>Unit</t>
        </is>
      </c>
      <c r="D10635" s="15" t="n">
        <v>1.1</v>
      </c>
      <c r="E10635" s="4" t="n">
        <v>2900000</v>
      </c>
      <c r="F10635" s="4" t="n">
        <v>3190000</v>
      </c>
    </row>
    <row r="10636">
      <c r="D10636" s="2" t="inlineStr">
        <is>
          <t>SUBTOTAL UPAH</t>
        </is>
      </c>
      <c r="F10636" s="16" t="n">
        <v>193990</v>
      </c>
    </row>
    <row r="10637">
      <c r="D10637" s="2" t="inlineStr">
        <is>
          <t>SUBTOTAL BAHAN</t>
        </is>
      </c>
      <c r="F10637" s="16" t="n">
        <v>3190000</v>
      </c>
    </row>
    <row r="10638">
      <c r="D10638" s="2" t="inlineStr">
        <is>
          <t>SUBTOTAL ALAT</t>
        </is>
      </c>
      <c r="F10638" s="16" t="n">
        <v>0</v>
      </c>
    </row>
    <row r="10639">
      <c r="E10639" s="2" t="inlineStr">
        <is>
          <t>TOTAL HARGA SATUAN (Inc. Overhead)</t>
        </is>
      </c>
      <c r="F10639" s="17" t="n">
        <v>3722389</v>
      </c>
    </row>
    <row r="10641">
      <c r="A10641" s="14" t="inlineStr">
        <is>
          <t>KODE: 5.5.2.20 - Pemasangan 1 Unit Propeller Fan ; 500 CFM</t>
        </is>
      </c>
    </row>
    <row r="10642">
      <c r="A10642" s="10" t="inlineStr">
        <is>
          <t>No</t>
        </is>
      </c>
      <c r="B10642" s="10" t="inlineStr">
        <is>
          <t>Uraian Komponen</t>
        </is>
      </c>
      <c r="C10642" s="10" t="inlineStr">
        <is>
          <t>Satuan</t>
        </is>
      </c>
      <c r="D10642" s="10" t="inlineStr">
        <is>
          <t>Koef</t>
        </is>
      </c>
      <c r="E10642" s="10" t="inlineStr">
        <is>
          <t>Harga Satuan (Rp)</t>
        </is>
      </c>
      <c r="F10642" s="10" t="inlineStr">
        <is>
          <t>Jumlah Harga (Rp)</t>
        </is>
      </c>
    </row>
    <row r="10643">
      <c r="A10643" s="3" t="inlineStr">
        <is>
          <t>1</t>
        </is>
      </c>
      <c r="B10643" s="3" t="inlineStr">
        <is>
          <t>Pekerja</t>
        </is>
      </c>
      <c r="C10643" s="3" t="inlineStr">
        <is>
          <t>OH</t>
        </is>
      </c>
      <c r="D10643" s="15" t="n">
        <v>0.886</v>
      </c>
      <c r="E10643" s="4" t="n">
        <v>100000</v>
      </c>
      <c r="F10643" s="4" t="n">
        <v>88600</v>
      </c>
    </row>
    <row r="10644">
      <c r="A10644" s="3" t="inlineStr">
        <is>
          <t>2</t>
        </is>
      </c>
      <c r="B10644" s="3" t="inlineStr">
        <is>
          <t>Tukang listrik</t>
        </is>
      </c>
      <c r="C10644" s="3" t="inlineStr">
        <is>
          <t>OH</t>
        </is>
      </c>
      <c r="D10644" s="15" t="n">
        <v>1.479</v>
      </c>
      <c r="E10644" s="4" t="n">
        <v>145000</v>
      </c>
      <c r="F10644" s="4" t="n">
        <v>214455</v>
      </c>
    </row>
    <row r="10645">
      <c r="A10645" s="3" t="inlineStr">
        <is>
          <t>3</t>
        </is>
      </c>
      <c r="B10645" s="3" t="inlineStr">
        <is>
          <t>Kepala Tukang</t>
        </is>
      </c>
      <c r="C10645" s="3" t="inlineStr">
        <is>
          <t>OH</t>
        </is>
      </c>
      <c r="D10645" s="15" t="n">
        <v>0.148</v>
      </c>
      <c r="E10645" s="4" t="n">
        <v>175000</v>
      </c>
      <c r="F10645" s="4" t="n">
        <v>25900</v>
      </c>
    </row>
    <row r="10646">
      <c r="A10646" s="3" t="inlineStr">
        <is>
          <t>4</t>
        </is>
      </c>
      <c r="B10646" s="3" t="inlineStr">
        <is>
          <t>Mandor</t>
        </is>
      </c>
      <c r="C10646" s="3" t="inlineStr">
        <is>
          <t>OH</t>
        </is>
      </c>
      <c r="D10646" s="15" t="n">
        <v>0.049</v>
      </c>
      <c r="E10646" s="4" t="n">
        <v>200000</v>
      </c>
      <c r="F10646" s="4" t="n">
        <v>9800</v>
      </c>
    </row>
    <row r="10647">
      <c r="A10647" s="3" t="inlineStr">
        <is>
          <t>1</t>
        </is>
      </c>
      <c r="B10647" s="3" t="inlineStr">
        <is>
          <t>"Propeller Fan 500 CFM"</t>
        </is>
      </c>
      <c r="C10647" s="3" t="inlineStr">
        <is>
          <t>Unit</t>
        </is>
      </c>
      <c r="D10647" s="15" t="n">
        <v>1.1</v>
      </c>
      <c r="E10647" s="4" t="n">
        <v>3500000</v>
      </c>
      <c r="F10647" s="4" t="n">
        <v>3850000</v>
      </c>
    </row>
    <row r="10648">
      <c r="D10648" s="2" t="inlineStr">
        <is>
          <t>SUBTOTAL UPAH</t>
        </is>
      </c>
      <c r="F10648" s="16" t="n">
        <v>338755</v>
      </c>
    </row>
    <row r="10649">
      <c r="D10649" s="2" t="inlineStr">
        <is>
          <t>SUBTOTAL BAHAN</t>
        </is>
      </c>
      <c r="F10649" s="16" t="n">
        <v>3850000</v>
      </c>
    </row>
    <row r="10650">
      <c r="D10650" s="2" t="inlineStr">
        <is>
          <t>SUBTOTAL ALAT</t>
        </is>
      </c>
      <c r="F10650" s="16" t="n">
        <v>0</v>
      </c>
    </row>
    <row r="10651">
      <c r="E10651" s="2" t="inlineStr">
        <is>
          <t>TOTAL HARGA SATUAN (Inc. Overhead)</t>
        </is>
      </c>
      <c r="F10651" s="17" t="n">
        <v>4607630</v>
      </c>
    </row>
    <row r="10653">
      <c r="A10653" s="14" t="inlineStr">
        <is>
          <t>KODE: 5.5.2.21 - Pemasangan 1 Unit Propeller Fan ; 600 CFM</t>
        </is>
      </c>
    </row>
    <row r="10654">
      <c r="A10654" s="10" t="inlineStr">
        <is>
          <t>No</t>
        </is>
      </c>
      <c r="B10654" s="10" t="inlineStr">
        <is>
          <t>Uraian Komponen</t>
        </is>
      </c>
      <c r="C10654" s="10" t="inlineStr">
        <is>
          <t>Satuan</t>
        </is>
      </c>
      <c r="D10654" s="10" t="inlineStr">
        <is>
          <t>Koef</t>
        </is>
      </c>
      <c r="E10654" s="10" t="inlineStr">
        <is>
          <t>Harga Satuan (Rp)</t>
        </is>
      </c>
      <c r="F10654" s="10" t="inlineStr">
        <is>
          <t>Jumlah Harga (Rp)</t>
        </is>
      </c>
    </row>
    <row r="10655">
      <c r="A10655" s="3" t="inlineStr">
        <is>
          <t>1</t>
        </is>
      </c>
      <c r="B10655" s="3" t="inlineStr">
        <is>
          <t>Pekerja</t>
        </is>
      </c>
      <c r="C10655" s="3" t="inlineStr">
        <is>
          <t>OH</t>
        </is>
      </c>
      <c r="D10655" s="15" t="n">
        <v>0.886</v>
      </c>
      <c r="E10655" s="4" t="n">
        <v>100000</v>
      </c>
      <c r="F10655" s="4" t="n">
        <v>88600</v>
      </c>
    </row>
    <row r="10656">
      <c r="A10656" s="3" t="inlineStr">
        <is>
          <t>2</t>
        </is>
      </c>
      <c r="B10656" s="3" t="inlineStr">
        <is>
          <t>Tukang listrik</t>
        </is>
      </c>
      <c r="C10656" s="3" t="inlineStr">
        <is>
          <t>OH</t>
        </is>
      </c>
      <c r="D10656" s="15" t="n">
        <v>1.479</v>
      </c>
      <c r="E10656" s="4" t="n">
        <v>145000</v>
      </c>
      <c r="F10656" s="4" t="n">
        <v>214455</v>
      </c>
    </row>
    <row r="10657">
      <c r="A10657" s="3" t="inlineStr">
        <is>
          <t>3</t>
        </is>
      </c>
      <c r="B10657" s="3" t="inlineStr">
        <is>
          <t>Kepala Tukang</t>
        </is>
      </c>
      <c r="C10657" s="3" t="inlineStr">
        <is>
          <t>OH</t>
        </is>
      </c>
      <c r="D10657" s="15" t="n">
        <v>0.148</v>
      </c>
      <c r="E10657" s="4" t="n">
        <v>175000</v>
      </c>
      <c r="F10657" s="4" t="n">
        <v>25900</v>
      </c>
    </row>
    <row r="10658">
      <c r="A10658" s="3" t="inlineStr">
        <is>
          <t>4</t>
        </is>
      </c>
      <c r="B10658" s="3" t="inlineStr">
        <is>
          <t>Mandor</t>
        </is>
      </c>
      <c r="C10658" s="3" t="inlineStr">
        <is>
          <t>OH</t>
        </is>
      </c>
      <c r="D10658" s="15" t="n">
        <v>0.049</v>
      </c>
      <c r="E10658" s="4" t="n">
        <v>200000</v>
      </c>
      <c r="F10658" s="4" t="n">
        <v>9800</v>
      </c>
    </row>
    <row r="10659">
      <c r="A10659" s="3" t="inlineStr">
        <is>
          <t>1</t>
        </is>
      </c>
      <c r="B10659" s="3" t="inlineStr">
        <is>
          <t>"Propeller Fan 600 CFM"</t>
        </is>
      </c>
      <c r="C10659" s="3" t="inlineStr">
        <is>
          <t>Unit</t>
        </is>
      </c>
      <c r="D10659" s="15" t="n">
        <v>1.1</v>
      </c>
      <c r="E10659" s="4" t="n">
        <v>3900000</v>
      </c>
      <c r="F10659" s="4" t="n">
        <v>4290000</v>
      </c>
    </row>
    <row r="10660">
      <c r="D10660" s="2" t="inlineStr">
        <is>
          <t>SUBTOTAL UPAH</t>
        </is>
      </c>
      <c r="F10660" s="16" t="n">
        <v>338755</v>
      </c>
    </row>
    <row r="10661">
      <c r="D10661" s="2" t="inlineStr">
        <is>
          <t>SUBTOTAL BAHAN</t>
        </is>
      </c>
      <c r="F10661" s="16" t="n">
        <v>4290000</v>
      </c>
    </row>
    <row r="10662">
      <c r="D10662" s="2" t="inlineStr">
        <is>
          <t>SUBTOTAL ALAT</t>
        </is>
      </c>
      <c r="F10662" s="16" t="n">
        <v>0</v>
      </c>
    </row>
    <row r="10663">
      <c r="E10663" s="2" t="inlineStr">
        <is>
          <t>TOTAL HARGA SATUAN (Inc. Overhead)</t>
        </is>
      </c>
      <c r="F10663" s="17" t="n">
        <v>5091630</v>
      </c>
    </row>
    <row r="10665">
      <c r="A10665" s="14" t="inlineStr">
        <is>
          <t>KODE: 5.5.2.22 - Pemasangan 1 Unit Intake Grille 600x300 mm</t>
        </is>
      </c>
    </row>
    <row r="10666">
      <c r="A10666" s="10" t="inlineStr">
        <is>
          <t>No</t>
        </is>
      </c>
      <c r="B10666" s="10" t="inlineStr">
        <is>
          <t>Uraian Komponen</t>
        </is>
      </c>
      <c r="C10666" s="10" t="inlineStr">
        <is>
          <t>Satuan</t>
        </is>
      </c>
      <c r="D10666" s="10" t="inlineStr">
        <is>
          <t>Koef</t>
        </is>
      </c>
      <c r="E10666" s="10" t="inlineStr">
        <is>
          <t>Harga Satuan (Rp)</t>
        </is>
      </c>
      <c r="F10666" s="10" t="inlineStr">
        <is>
          <t>Jumlah Harga (Rp)</t>
        </is>
      </c>
    </row>
    <row r="10667">
      <c r="A10667" s="3" t="inlineStr">
        <is>
          <t>1</t>
        </is>
      </c>
      <c r="B10667" s="3" t="inlineStr">
        <is>
          <t>Pekerja</t>
        </is>
      </c>
      <c r="C10667" s="3" t="inlineStr">
        <is>
          <t>OH</t>
        </is>
      </c>
      <c r="D10667" s="15" t="n">
        <v>0.064</v>
      </c>
      <c r="E10667" s="4" t="n">
        <v>100000</v>
      </c>
      <c r="F10667" s="4" t="n">
        <v>6400</v>
      </c>
    </row>
    <row r="10668">
      <c r="A10668" s="3" t="inlineStr">
        <is>
          <t>2</t>
        </is>
      </c>
      <c r="B10668" s="3" t="inlineStr">
        <is>
          <t>Tukang listrik</t>
        </is>
      </c>
      <c r="C10668" s="3" t="inlineStr">
        <is>
          <t>OH</t>
        </is>
      </c>
      <c r="D10668" s="15" t="n">
        <v>0.107</v>
      </c>
      <c r="E10668" s="4" t="n">
        <v>145000</v>
      </c>
      <c r="F10668" s="4" t="n">
        <v>15515</v>
      </c>
    </row>
    <row r="10669">
      <c r="A10669" s="3" t="inlineStr">
        <is>
          <t>3</t>
        </is>
      </c>
      <c r="B10669" s="3" t="inlineStr">
        <is>
          <t>Kepala Tukang</t>
        </is>
      </c>
      <c r="C10669" s="3" t="inlineStr">
        <is>
          <t>OH</t>
        </is>
      </c>
      <c r="D10669" s="15" t="n">
        <v>0.011</v>
      </c>
      <c r="E10669" s="4" t="n">
        <v>175000</v>
      </c>
      <c r="F10669" s="4" t="n">
        <v>1925</v>
      </c>
    </row>
    <row r="10670">
      <c r="A10670" s="3" t="inlineStr">
        <is>
          <t>4</t>
        </is>
      </c>
      <c r="B10670" s="3" t="inlineStr">
        <is>
          <t>Mandor</t>
        </is>
      </c>
      <c r="C10670" s="3" t="inlineStr">
        <is>
          <t>OH</t>
        </is>
      </c>
      <c r="D10670" s="15" t="n">
        <v>0.004</v>
      </c>
      <c r="E10670" s="4" t="n">
        <v>200000</v>
      </c>
      <c r="F10670" s="4" t="n">
        <v>800</v>
      </c>
    </row>
    <row r="10671">
      <c r="A10671" s="3" t="inlineStr">
        <is>
          <t>1</t>
        </is>
      </c>
      <c r="B10671" s="3" t="inlineStr">
        <is>
          <t>Intake Grille 600 x 300 mm</t>
        </is>
      </c>
      <c r="C10671" s="3" t="inlineStr">
        <is>
          <t>Unit</t>
        </is>
      </c>
      <c r="D10671" s="15" t="n">
        <v>1.1</v>
      </c>
      <c r="E10671" s="4" t="n">
        <v>95000</v>
      </c>
      <c r="F10671" s="4" t="n">
        <v>104500</v>
      </c>
    </row>
    <row r="10672">
      <c r="D10672" s="2" t="inlineStr">
        <is>
          <t>SUBTOTAL UPAH</t>
        </is>
      </c>
      <c r="F10672" s="16" t="n">
        <v>24640</v>
      </c>
    </row>
    <row r="10673">
      <c r="D10673" s="2" t="inlineStr">
        <is>
          <t>SUBTOTAL BAHAN</t>
        </is>
      </c>
      <c r="F10673" s="16" t="n">
        <v>104500</v>
      </c>
    </row>
    <row r="10674">
      <c r="D10674" s="2" t="inlineStr">
        <is>
          <t>SUBTOTAL ALAT</t>
        </is>
      </c>
      <c r="F10674" s="16" t="n">
        <v>0</v>
      </c>
    </row>
    <row r="10675">
      <c r="E10675" s="2" t="inlineStr">
        <is>
          <t>TOTAL HARGA SATUAN (Inc. Overhead)</t>
        </is>
      </c>
      <c r="F10675" s="17" t="n">
        <v>142054</v>
      </c>
    </row>
    <row r="10677">
      <c r="A10677" s="14" t="inlineStr">
        <is>
          <t>KODE: 5.5.2.23 - Pemasangan 1 Unit Intake Grille 650x350 mm</t>
        </is>
      </c>
    </row>
    <row r="10678">
      <c r="A10678" s="10" t="inlineStr">
        <is>
          <t>No</t>
        </is>
      </c>
      <c r="B10678" s="10" t="inlineStr">
        <is>
          <t>Uraian Komponen</t>
        </is>
      </c>
      <c r="C10678" s="10" t="inlineStr">
        <is>
          <t>Satuan</t>
        </is>
      </c>
      <c r="D10678" s="10" t="inlineStr">
        <is>
          <t>Koef</t>
        </is>
      </c>
      <c r="E10678" s="10" t="inlineStr">
        <is>
          <t>Harga Satuan (Rp)</t>
        </is>
      </c>
      <c r="F10678" s="10" t="inlineStr">
        <is>
          <t>Jumlah Harga (Rp)</t>
        </is>
      </c>
    </row>
    <row r="10679">
      <c r="A10679" s="3" t="inlineStr">
        <is>
          <t>1</t>
        </is>
      </c>
      <c r="B10679" s="3" t="inlineStr">
        <is>
          <t>Pekerja</t>
        </is>
      </c>
      <c r="C10679" s="3" t="inlineStr">
        <is>
          <t>OH</t>
        </is>
      </c>
      <c r="D10679" s="15" t="n">
        <v>0.064</v>
      </c>
      <c r="E10679" s="4" t="n">
        <v>100000</v>
      </c>
      <c r="F10679" s="4" t="n">
        <v>6400</v>
      </c>
    </row>
    <row r="10680">
      <c r="A10680" s="3" t="inlineStr">
        <is>
          <t>2</t>
        </is>
      </c>
      <c r="B10680" s="3" t="inlineStr">
        <is>
          <t>Tukang listrik</t>
        </is>
      </c>
      <c r="C10680" s="3" t="inlineStr">
        <is>
          <t>OH</t>
        </is>
      </c>
      <c r="D10680" s="15" t="n">
        <v>0.107</v>
      </c>
      <c r="E10680" s="4" t="n">
        <v>145000</v>
      </c>
      <c r="F10680" s="4" t="n">
        <v>15515</v>
      </c>
    </row>
    <row r="10681">
      <c r="A10681" s="3" t="inlineStr">
        <is>
          <t>3</t>
        </is>
      </c>
      <c r="B10681" s="3" t="inlineStr">
        <is>
          <t>Kepala Tukang</t>
        </is>
      </c>
      <c r="C10681" s="3" t="inlineStr">
        <is>
          <t>OH</t>
        </is>
      </c>
      <c r="D10681" s="15" t="n">
        <v>0.011</v>
      </c>
      <c r="E10681" s="4" t="n">
        <v>175000</v>
      </c>
      <c r="F10681" s="4" t="n">
        <v>1925</v>
      </c>
    </row>
    <row r="10682">
      <c r="A10682" s="3" t="inlineStr">
        <is>
          <t>4</t>
        </is>
      </c>
      <c r="B10682" s="3" t="inlineStr">
        <is>
          <t>Mandor</t>
        </is>
      </c>
      <c r="C10682" s="3" t="inlineStr">
        <is>
          <t>OH</t>
        </is>
      </c>
      <c r="D10682" s="15" t="n">
        <v>0.004</v>
      </c>
      <c r="E10682" s="4" t="n">
        <v>200000</v>
      </c>
      <c r="F10682" s="4" t="n">
        <v>800</v>
      </c>
    </row>
    <row r="10683">
      <c r="A10683" s="3" t="inlineStr">
        <is>
          <t>1</t>
        </is>
      </c>
      <c r="B10683" s="3" t="inlineStr">
        <is>
          <t>Intake Grille 650 x 350 mm</t>
        </is>
      </c>
      <c r="C10683" s="3" t="inlineStr">
        <is>
          <t>Unit</t>
        </is>
      </c>
      <c r="D10683" s="15" t="n">
        <v>1.1</v>
      </c>
      <c r="E10683" s="4" t="n">
        <v>115000</v>
      </c>
      <c r="F10683" s="4" t="n">
        <v>126500</v>
      </c>
    </row>
    <row r="10684">
      <c r="D10684" s="2" t="inlineStr">
        <is>
          <t>SUBTOTAL UPAH</t>
        </is>
      </c>
      <c r="F10684" s="16" t="n">
        <v>24640</v>
      </c>
    </row>
    <row r="10685">
      <c r="D10685" s="2" t="inlineStr">
        <is>
          <t>SUBTOTAL BAHAN</t>
        </is>
      </c>
      <c r="F10685" s="16" t="n">
        <v>126500</v>
      </c>
    </row>
    <row r="10686">
      <c r="D10686" s="2" t="inlineStr">
        <is>
          <t>SUBTOTAL ALAT</t>
        </is>
      </c>
      <c r="F10686" s="16" t="n">
        <v>0</v>
      </c>
    </row>
    <row r="10687">
      <c r="E10687" s="2" t="inlineStr">
        <is>
          <t>TOTAL HARGA SATUAN (Inc. Overhead)</t>
        </is>
      </c>
      <c r="F10687" s="17" t="n">
        <v>166254</v>
      </c>
    </row>
    <row r="10689">
      <c r="A10689" s="14" t="inlineStr">
        <is>
          <t>KODE: 5.5.2.24 - Pemasangan 1 Unit Intake Grille 800x350 mm</t>
        </is>
      </c>
    </row>
    <row r="10690">
      <c r="A10690" s="10" t="inlineStr">
        <is>
          <t>No</t>
        </is>
      </c>
      <c r="B10690" s="10" t="inlineStr">
        <is>
          <t>Uraian Komponen</t>
        </is>
      </c>
      <c r="C10690" s="10" t="inlineStr">
        <is>
          <t>Satuan</t>
        </is>
      </c>
      <c r="D10690" s="10" t="inlineStr">
        <is>
          <t>Koef</t>
        </is>
      </c>
      <c r="E10690" s="10" t="inlineStr">
        <is>
          <t>Harga Satuan (Rp)</t>
        </is>
      </c>
      <c r="F10690" s="10" t="inlineStr">
        <is>
          <t>Jumlah Harga (Rp)</t>
        </is>
      </c>
    </row>
    <row r="10691">
      <c r="A10691" s="3" t="inlineStr">
        <is>
          <t>1</t>
        </is>
      </c>
      <c r="B10691" s="3" t="inlineStr">
        <is>
          <t>Pekerja</t>
        </is>
      </c>
      <c r="C10691" s="3" t="inlineStr">
        <is>
          <t>OH</t>
        </is>
      </c>
      <c r="D10691" s="15" t="n">
        <v>0.076</v>
      </c>
      <c r="E10691" s="4" t="n">
        <v>100000</v>
      </c>
      <c r="F10691" s="4" t="n">
        <v>7600</v>
      </c>
    </row>
    <row r="10692">
      <c r="A10692" s="3" t="inlineStr">
        <is>
          <t>2</t>
        </is>
      </c>
      <c r="B10692" s="3" t="inlineStr">
        <is>
          <t>Tukang listrik</t>
        </is>
      </c>
      <c r="C10692" s="3" t="inlineStr">
        <is>
          <t>OH</t>
        </is>
      </c>
      <c r="D10692" s="15" t="n">
        <v>0.127</v>
      </c>
      <c r="E10692" s="4" t="n">
        <v>145000</v>
      </c>
      <c r="F10692" s="4" t="n">
        <v>18415</v>
      </c>
    </row>
    <row r="10693">
      <c r="A10693" s="3" t="inlineStr">
        <is>
          <t>3</t>
        </is>
      </c>
      <c r="B10693" s="3" t="inlineStr">
        <is>
          <t>Kepala Tukang</t>
        </is>
      </c>
      <c r="C10693" s="3" t="inlineStr">
        <is>
          <t>OH</t>
        </is>
      </c>
      <c r="D10693" s="15" t="n">
        <v>0.013</v>
      </c>
      <c r="E10693" s="4" t="n">
        <v>175000</v>
      </c>
      <c r="F10693" s="4" t="n">
        <v>2275</v>
      </c>
    </row>
    <row r="10694">
      <c r="A10694" s="3" t="inlineStr">
        <is>
          <t>4</t>
        </is>
      </c>
      <c r="B10694" s="3" t="inlineStr">
        <is>
          <t>Mandor</t>
        </is>
      </c>
      <c r="C10694" s="3" t="inlineStr">
        <is>
          <t>OH</t>
        </is>
      </c>
      <c r="D10694" s="15" t="n">
        <v>0.004</v>
      </c>
      <c r="E10694" s="4" t="n">
        <v>200000</v>
      </c>
      <c r="F10694" s="4" t="n">
        <v>800</v>
      </c>
    </row>
    <row r="10695">
      <c r="A10695" s="3" t="inlineStr">
        <is>
          <t>1</t>
        </is>
      </c>
      <c r="B10695" s="3" t="inlineStr">
        <is>
          <t>Intake Grille 800 x 350 mm</t>
        </is>
      </c>
      <c r="C10695" s="3" t="inlineStr">
        <is>
          <t>Unit</t>
        </is>
      </c>
      <c r="D10695" s="15" t="n">
        <v>1.1</v>
      </c>
      <c r="E10695" s="4" t="n">
        <v>130000</v>
      </c>
      <c r="F10695" s="4" t="n">
        <v>143000</v>
      </c>
    </row>
    <row r="10696">
      <c r="D10696" s="2" t="inlineStr">
        <is>
          <t>SUBTOTAL UPAH</t>
        </is>
      </c>
      <c r="F10696" s="16" t="n">
        <v>29090</v>
      </c>
    </row>
    <row r="10697">
      <c r="D10697" s="2" t="inlineStr">
        <is>
          <t>SUBTOTAL BAHAN</t>
        </is>
      </c>
      <c r="F10697" s="16" t="n">
        <v>143000</v>
      </c>
    </row>
    <row r="10698">
      <c r="D10698" s="2" t="inlineStr">
        <is>
          <t>SUBTOTAL ALAT</t>
        </is>
      </c>
      <c r="F10698" s="16" t="n">
        <v>0</v>
      </c>
    </row>
    <row r="10699">
      <c r="E10699" s="2" t="inlineStr">
        <is>
          <t>TOTAL HARGA SATUAN (Inc. Overhead)</t>
        </is>
      </c>
      <c r="F10699" s="17" t="n">
        <v>189299</v>
      </c>
    </row>
    <row r="10701">
      <c r="A10701" s="14" t="inlineStr">
        <is>
          <t>KODE: 5.5.2.25 - Pemasangan 1 Unit Intake Grille 800x400 mm</t>
        </is>
      </c>
    </row>
    <row r="10702">
      <c r="A10702" s="10" t="inlineStr">
        <is>
          <t>No</t>
        </is>
      </c>
      <c r="B10702" s="10" t="inlineStr">
        <is>
          <t>Uraian Komponen</t>
        </is>
      </c>
      <c r="C10702" s="10" t="inlineStr">
        <is>
          <t>Satuan</t>
        </is>
      </c>
      <c r="D10702" s="10" t="inlineStr">
        <is>
          <t>Koef</t>
        </is>
      </c>
      <c r="E10702" s="10" t="inlineStr">
        <is>
          <t>Harga Satuan (Rp)</t>
        </is>
      </c>
      <c r="F10702" s="10" t="inlineStr">
        <is>
          <t>Jumlah Harga (Rp)</t>
        </is>
      </c>
    </row>
    <row r="10703">
      <c r="A10703" s="3" t="inlineStr">
        <is>
          <t>1</t>
        </is>
      </c>
      <c r="B10703" s="3" t="inlineStr">
        <is>
          <t>Pekerja</t>
        </is>
      </c>
      <c r="C10703" s="3" t="inlineStr">
        <is>
          <t>OH</t>
        </is>
      </c>
      <c r="D10703" s="15" t="n">
        <v>0.076</v>
      </c>
      <c r="E10703" s="4" t="n">
        <v>100000</v>
      </c>
      <c r="F10703" s="4" t="n">
        <v>7600</v>
      </c>
    </row>
    <row r="10704">
      <c r="A10704" s="3" t="inlineStr">
        <is>
          <t>2</t>
        </is>
      </c>
      <c r="B10704" s="3" t="inlineStr">
        <is>
          <t>Tukang listrik</t>
        </is>
      </c>
      <c r="C10704" s="3" t="inlineStr">
        <is>
          <t>OH</t>
        </is>
      </c>
      <c r="D10704" s="15" t="n">
        <v>0.127</v>
      </c>
      <c r="E10704" s="4" t="n">
        <v>145000</v>
      </c>
      <c r="F10704" s="4" t="n">
        <v>18415</v>
      </c>
    </row>
    <row r="10705">
      <c r="A10705" s="3" t="inlineStr">
        <is>
          <t>3</t>
        </is>
      </c>
      <c r="B10705" s="3" t="inlineStr">
        <is>
          <t>Kepala Tukang</t>
        </is>
      </c>
      <c r="C10705" s="3" t="inlineStr">
        <is>
          <t>OH</t>
        </is>
      </c>
      <c r="D10705" s="15" t="n">
        <v>0.013</v>
      </c>
      <c r="E10705" s="4" t="n">
        <v>175000</v>
      </c>
      <c r="F10705" s="4" t="n">
        <v>2275</v>
      </c>
    </row>
    <row r="10706">
      <c r="A10706" s="3" t="inlineStr">
        <is>
          <t>4</t>
        </is>
      </c>
      <c r="B10706" s="3" t="inlineStr">
        <is>
          <t>Mandor</t>
        </is>
      </c>
      <c r="C10706" s="3" t="inlineStr">
        <is>
          <t>OH</t>
        </is>
      </c>
      <c r="D10706" s="15" t="n">
        <v>0.004</v>
      </c>
      <c r="E10706" s="4" t="n">
        <v>200000</v>
      </c>
      <c r="F10706" s="4" t="n">
        <v>800</v>
      </c>
    </row>
    <row r="10707">
      <c r="A10707" s="3" t="inlineStr">
        <is>
          <t>1</t>
        </is>
      </c>
      <c r="B10707" s="3" t="inlineStr">
        <is>
          <t>Intake Grille 800 x 400 mm</t>
        </is>
      </c>
      <c r="C10707" s="3" t="inlineStr">
        <is>
          <t>Unit</t>
        </is>
      </c>
      <c r="D10707" s="15" t="n">
        <v>1.1</v>
      </c>
      <c r="E10707" s="4" t="n">
        <v>145000</v>
      </c>
      <c r="F10707" s="4" t="n">
        <v>159500</v>
      </c>
    </row>
    <row r="10708">
      <c r="D10708" s="2" t="inlineStr">
        <is>
          <t>SUBTOTAL UPAH</t>
        </is>
      </c>
      <c r="F10708" s="16" t="n">
        <v>29090</v>
      </c>
    </row>
    <row r="10709">
      <c r="D10709" s="2" t="inlineStr">
        <is>
          <t>SUBTOTAL BAHAN</t>
        </is>
      </c>
      <c r="F10709" s="16" t="n">
        <v>159500</v>
      </c>
    </row>
    <row r="10710">
      <c r="D10710" s="2" t="inlineStr">
        <is>
          <t>SUBTOTAL ALAT</t>
        </is>
      </c>
      <c r="F10710" s="16" t="n">
        <v>0</v>
      </c>
    </row>
    <row r="10711">
      <c r="E10711" s="2" t="inlineStr">
        <is>
          <t>TOTAL HARGA SATUAN (Inc. Overhead)</t>
        </is>
      </c>
      <c r="F10711" s="17" t="n">
        <v>207449</v>
      </c>
    </row>
    <row r="10713">
      <c r="A10713" s="14" t="inlineStr">
        <is>
          <t>KODE: 5.5.2.26 - Pemasangan 1 Unit Intake Louvre 700x400 mm</t>
        </is>
      </c>
    </row>
    <row r="10714">
      <c r="A10714" s="10" t="inlineStr">
        <is>
          <t>No</t>
        </is>
      </c>
      <c r="B10714" s="10" t="inlineStr">
        <is>
          <t>Uraian Komponen</t>
        </is>
      </c>
      <c r="C10714" s="10" t="inlineStr">
        <is>
          <t>Satuan</t>
        </is>
      </c>
      <c r="D10714" s="10" t="inlineStr">
        <is>
          <t>Koef</t>
        </is>
      </c>
      <c r="E10714" s="10" t="inlineStr">
        <is>
          <t>Harga Satuan (Rp)</t>
        </is>
      </c>
      <c r="F10714" s="10" t="inlineStr">
        <is>
          <t>Jumlah Harga (Rp)</t>
        </is>
      </c>
    </row>
    <row r="10715">
      <c r="A10715" s="3" t="inlineStr">
        <is>
          <t>1</t>
        </is>
      </c>
      <c r="B10715" s="3" t="inlineStr">
        <is>
          <t>Pekerja</t>
        </is>
      </c>
      <c r="C10715" s="3" t="inlineStr">
        <is>
          <t>OH</t>
        </is>
      </c>
      <c r="D10715" s="15" t="n">
        <v>0.255</v>
      </c>
      <c r="E10715" s="4" t="n">
        <v>100000</v>
      </c>
      <c r="F10715" s="4" t="n">
        <v>25500</v>
      </c>
    </row>
    <row r="10716">
      <c r="A10716" s="3" t="inlineStr">
        <is>
          <t>2</t>
        </is>
      </c>
      <c r="B10716" s="3" t="inlineStr">
        <is>
          <t>Tukang listrik</t>
        </is>
      </c>
      <c r="C10716" s="3" t="inlineStr">
        <is>
          <t>OH</t>
        </is>
      </c>
      <c r="D10716" s="15" t="n">
        <v>0.425</v>
      </c>
      <c r="E10716" s="4" t="n">
        <v>145000</v>
      </c>
      <c r="F10716" s="4" t="n">
        <v>61625</v>
      </c>
    </row>
    <row r="10717">
      <c r="A10717" s="3" t="inlineStr">
        <is>
          <t>3</t>
        </is>
      </c>
      <c r="B10717" s="3" t="inlineStr">
        <is>
          <t>Kepala Tukang</t>
        </is>
      </c>
      <c r="C10717" s="3" t="inlineStr">
        <is>
          <t>OH</t>
        </is>
      </c>
      <c r="D10717" s="15" t="n">
        <v>0.043</v>
      </c>
      <c r="E10717" s="4" t="n">
        <v>175000</v>
      </c>
      <c r="F10717" s="4" t="n">
        <v>7524.999999999999</v>
      </c>
    </row>
    <row r="10718">
      <c r="A10718" s="3" t="inlineStr">
        <is>
          <t>4</t>
        </is>
      </c>
      <c r="B10718" s="3" t="inlineStr">
        <is>
          <t>Mandor</t>
        </is>
      </c>
      <c r="C10718" s="3" t="inlineStr">
        <is>
          <t>OH</t>
        </is>
      </c>
      <c r="D10718" s="15" t="n">
        <v>0.014</v>
      </c>
      <c r="E10718" s="4" t="n">
        <v>200000</v>
      </c>
      <c r="F10718" s="4" t="n">
        <v>2800</v>
      </c>
    </row>
    <row r="10719">
      <c r="A10719" s="3" t="inlineStr">
        <is>
          <t>1</t>
        </is>
      </c>
      <c r="B10719" s="3" t="inlineStr">
        <is>
          <t>Intake Louvre 700 x 400 mm</t>
        </is>
      </c>
      <c r="C10719" s="3" t="inlineStr">
        <is>
          <t>Unit</t>
        </is>
      </c>
      <c r="D10719" s="15" t="n">
        <v>1.1</v>
      </c>
      <c r="E10719" s="4" t="n">
        <v>135000</v>
      </c>
      <c r="F10719" s="4" t="n">
        <v>148500</v>
      </c>
    </row>
    <row r="10720">
      <c r="D10720" s="2" t="inlineStr">
        <is>
          <t>SUBTOTAL UPAH</t>
        </is>
      </c>
      <c r="F10720" s="16" t="n">
        <v>97450</v>
      </c>
    </row>
    <row r="10721">
      <c r="D10721" s="2" t="inlineStr">
        <is>
          <t>SUBTOTAL BAHAN</t>
        </is>
      </c>
      <c r="F10721" s="16" t="n">
        <v>148500</v>
      </c>
    </row>
    <row r="10722">
      <c r="D10722" s="2" t="inlineStr">
        <is>
          <t>SUBTOTAL ALAT</t>
        </is>
      </c>
      <c r="F10722" s="16" t="n">
        <v>0</v>
      </c>
    </row>
    <row r="10723">
      <c r="E10723" s="2" t="inlineStr">
        <is>
          <t>TOTAL HARGA SATUAN (Inc. Overhead)</t>
        </is>
      </c>
      <c r="F10723" s="17" t="n">
        <v>270545</v>
      </c>
    </row>
    <row r="10725">
      <c r="A10725" s="14" t="inlineStr">
        <is>
          <t>KODE: 5.5.2.27 - Pemasangan 1 Unit Intake Louvre 750x400 mm</t>
        </is>
      </c>
    </row>
    <row r="10726">
      <c r="A10726" s="10" t="inlineStr">
        <is>
          <t>No</t>
        </is>
      </c>
      <c r="B10726" s="10" t="inlineStr">
        <is>
          <t>Uraian Komponen</t>
        </is>
      </c>
      <c r="C10726" s="10" t="inlineStr">
        <is>
          <t>Satuan</t>
        </is>
      </c>
      <c r="D10726" s="10" t="inlineStr">
        <is>
          <t>Koef</t>
        </is>
      </c>
      <c r="E10726" s="10" t="inlineStr">
        <is>
          <t>Harga Satuan (Rp)</t>
        </is>
      </c>
      <c r="F10726" s="10" t="inlineStr">
        <is>
          <t>Jumlah Harga (Rp)</t>
        </is>
      </c>
    </row>
    <row r="10727">
      <c r="A10727" s="3" t="inlineStr">
        <is>
          <t>1</t>
        </is>
      </c>
      <c r="B10727" s="3" t="inlineStr">
        <is>
          <t>Pekerja</t>
        </is>
      </c>
      <c r="C10727" s="3" t="inlineStr">
        <is>
          <t>OH</t>
        </is>
      </c>
      <c r="D10727" s="15" t="n">
        <v>0.255</v>
      </c>
      <c r="E10727" s="4" t="n">
        <v>100000</v>
      </c>
      <c r="F10727" s="4" t="n">
        <v>25500</v>
      </c>
    </row>
    <row r="10728">
      <c r="A10728" s="3" t="inlineStr">
        <is>
          <t>2</t>
        </is>
      </c>
      <c r="B10728" s="3" t="inlineStr">
        <is>
          <t>Tukang listrik</t>
        </is>
      </c>
      <c r="C10728" s="3" t="inlineStr">
        <is>
          <t>OH</t>
        </is>
      </c>
      <c r="D10728" s="15" t="n">
        <v>0.425</v>
      </c>
      <c r="E10728" s="4" t="n">
        <v>145000</v>
      </c>
      <c r="F10728" s="4" t="n">
        <v>61625</v>
      </c>
    </row>
    <row r="10729">
      <c r="A10729" s="3" t="inlineStr">
        <is>
          <t>3</t>
        </is>
      </c>
      <c r="B10729" s="3" t="inlineStr">
        <is>
          <t>Kepala Tukang</t>
        </is>
      </c>
      <c r="C10729" s="3" t="inlineStr">
        <is>
          <t>OH</t>
        </is>
      </c>
      <c r="D10729" s="15" t="n">
        <v>0.043</v>
      </c>
      <c r="E10729" s="4" t="n">
        <v>175000</v>
      </c>
      <c r="F10729" s="4" t="n">
        <v>7524.999999999999</v>
      </c>
    </row>
    <row r="10730">
      <c r="A10730" s="3" t="inlineStr">
        <is>
          <t>4</t>
        </is>
      </c>
      <c r="B10730" s="3" t="inlineStr">
        <is>
          <t>Mandor</t>
        </is>
      </c>
      <c r="C10730" s="3" t="inlineStr">
        <is>
          <t>OH</t>
        </is>
      </c>
      <c r="D10730" s="15" t="n">
        <v>0.014</v>
      </c>
      <c r="E10730" s="4" t="n">
        <v>200000</v>
      </c>
      <c r="F10730" s="4" t="n">
        <v>2800</v>
      </c>
    </row>
    <row r="10731">
      <c r="A10731" s="3" t="inlineStr">
        <is>
          <t>1</t>
        </is>
      </c>
      <c r="B10731" s="3" t="inlineStr">
        <is>
          <t>Fan Louvre 750 x 400 mm</t>
        </is>
      </c>
      <c r="C10731" s="3" t="inlineStr">
        <is>
          <t>Unit</t>
        </is>
      </c>
      <c r="D10731" s="15" t="n">
        <v>1.1</v>
      </c>
      <c r="E10731" s="4" t="n">
        <v>150000</v>
      </c>
      <c r="F10731" s="4" t="n">
        <v>165000</v>
      </c>
    </row>
    <row r="10732">
      <c r="D10732" s="2" t="inlineStr">
        <is>
          <t>SUBTOTAL UPAH</t>
        </is>
      </c>
      <c r="F10732" s="16" t="n">
        <v>97450</v>
      </c>
    </row>
    <row r="10733">
      <c r="D10733" s="2" t="inlineStr">
        <is>
          <t>SUBTOTAL BAHAN</t>
        </is>
      </c>
      <c r="F10733" s="16" t="n">
        <v>165000</v>
      </c>
    </row>
    <row r="10734">
      <c r="D10734" s="2" t="inlineStr">
        <is>
          <t>SUBTOTAL ALAT</t>
        </is>
      </c>
      <c r="F10734" s="16" t="n">
        <v>0</v>
      </c>
    </row>
    <row r="10735">
      <c r="E10735" s="2" t="inlineStr">
        <is>
          <t>TOTAL HARGA SATUAN (Inc. Overhead)</t>
        </is>
      </c>
      <c r="F10735" s="17" t="n">
        <v>288695</v>
      </c>
    </row>
    <row r="10737">
      <c r="A10737" s="14" t="inlineStr">
        <is>
          <t>KODE: 5.5.2.28 - Pemasangan 1 Unit Fan Louvre900 x 500</t>
        </is>
      </c>
    </row>
    <row r="10738">
      <c r="A10738" s="10" t="inlineStr">
        <is>
          <t>No</t>
        </is>
      </c>
      <c r="B10738" s="10" t="inlineStr">
        <is>
          <t>Uraian Komponen</t>
        </is>
      </c>
      <c r="C10738" s="10" t="inlineStr">
        <is>
          <t>Satuan</t>
        </is>
      </c>
      <c r="D10738" s="10" t="inlineStr">
        <is>
          <t>Koef</t>
        </is>
      </c>
      <c r="E10738" s="10" t="inlineStr">
        <is>
          <t>Harga Satuan (Rp)</t>
        </is>
      </c>
      <c r="F10738" s="10" t="inlineStr">
        <is>
          <t>Jumlah Harga (Rp)</t>
        </is>
      </c>
    </row>
    <row r="10739">
      <c r="A10739" s="3" t="inlineStr">
        <is>
          <t>1</t>
        </is>
      </c>
      <c r="B10739" s="3" t="inlineStr">
        <is>
          <t>Pekerja</t>
        </is>
      </c>
      <c r="C10739" s="3" t="inlineStr">
        <is>
          <t>OH</t>
        </is>
      </c>
      <c r="D10739" s="15" t="n">
        <v>0.381</v>
      </c>
      <c r="E10739" s="4" t="n">
        <v>100000</v>
      </c>
      <c r="F10739" s="4" t="n">
        <v>38100</v>
      </c>
    </row>
    <row r="10740">
      <c r="A10740" s="3" t="inlineStr">
        <is>
          <t>2</t>
        </is>
      </c>
      <c r="B10740" s="3" t="inlineStr">
        <is>
          <t>Tukang listrik</t>
        </is>
      </c>
      <c r="C10740" s="3" t="inlineStr">
        <is>
          <t>OH</t>
        </is>
      </c>
      <c r="D10740" s="15" t="n">
        <v>0.636</v>
      </c>
      <c r="E10740" s="4" t="n">
        <v>145000</v>
      </c>
      <c r="F10740" s="4" t="n">
        <v>92220</v>
      </c>
    </row>
    <row r="10741">
      <c r="A10741" s="3" t="inlineStr">
        <is>
          <t>3</t>
        </is>
      </c>
      <c r="B10741" s="3" t="inlineStr">
        <is>
          <t>Kepala Tukang</t>
        </is>
      </c>
      <c r="C10741" s="3" t="inlineStr">
        <is>
          <t>OH</t>
        </is>
      </c>
      <c r="D10741" s="15" t="n">
        <v>0.064</v>
      </c>
      <c r="E10741" s="4" t="n">
        <v>175000</v>
      </c>
      <c r="F10741" s="4" t="n">
        <v>11200</v>
      </c>
    </row>
    <row r="10742">
      <c r="A10742" s="3" t="inlineStr">
        <is>
          <t>4</t>
        </is>
      </c>
      <c r="B10742" s="3" t="inlineStr">
        <is>
          <t>Mandor</t>
        </is>
      </c>
      <c r="C10742" s="3" t="inlineStr">
        <is>
          <t>OH</t>
        </is>
      </c>
      <c r="D10742" s="15" t="n">
        <v>0.021</v>
      </c>
      <c r="E10742" s="4" t="n">
        <v>200000</v>
      </c>
      <c r="F10742" s="4" t="n">
        <v>4200</v>
      </c>
    </row>
    <row r="10743">
      <c r="A10743" s="3" t="inlineStr">
        <is>
          <t>1</t>
        </is>
      </c>
      <c r="B10743" s="3" t="inlineStr">
        <is>
          <t>Fan Louvre 900 x 500 mm</t>
        </is>
      </c>
      <c r="C10743" s="3" t="inlineStr">
        <is>
          <t>Unit</t>
        </is>
      </c>
      <c r="D10743" s="15" t="n">
        <v>1.1</v>
      </c>
      <c r="E10743" s="4" t="n">
        <v>220000</v>
      </c>
      <c r="F10743" s="4" t="n">
        <v>242000</v>
      </c>
    </row>
    <row r="10744">
      <c r="D10744" s="2" t="inlineStr">
        <is>
          <t>SUBTOTAL UPAH</t>
        </is>
      </c>
      <c r="F10744" s="16" t="n">
        <v>145720</v>
      </c>
    </row>
    <row r="10745">
      <c r="D10745" s="2" t="inlineStr">
        <is>
          <t>SUBTOTAL BAHAN</t>
        </is>
      </c>
      <c r="F10745" s="16" t="n">
        <v>242000</v>
      </c>
    </row>
    <row r="10746">
      <c r="D10746" s="2" t="inlineStr">
        <is>
          <t>SUBTOTAL ALAT</t>
        </is>
      </c>
      <c r="F10746" s="16" t="n">
        <v>0</v>
      </c>
    </row>
    <row r="10747">
      <c r="E10747" s="2" t="inlineStr">
        <is>
          <t>TOTAL HARGA SATUAN (Inc. Overhead)</t>
        </is>
      </c>
      <c r="F10747" s="17" t="n">
        <v>426492</v>
      </c>
    </row>
    <row r="10749">
      <c r="A10749" s="14" t="inlineStr">
        <is>
          <t>KODE: 5.5.2.29 - Pemasangan 1 Unit Fan Louvre 1.000 x 400 mm</t>
        </is>
      </c>
    </row>
    <row r="10750">
      <c r="A10750" s="10" t="inlineStr">
        <is>
          <t>No</t>
        </is>
      </c>
      <c r="B10750" s="10" t="inlineStr">
        <is>
          <t>Uraian Komponen</t>
        </is>
      </c>
      <c r="C10750" s="10" t="inlineStr">
        <is>
          <t>Satuan</t>
        </is>
      </c>
      <c r="D10750" s="10" t="inlineStr">
        <is>
          <t>Koef</t>
        </is>
      </c>
      <c r="E10750" s="10" t="inlineStr">
        <is>
          <t>Harga Satuan (Rp)</t>
        </is>
      </c>
      <c r="F10750" s="10" t="inlineStr">
        <is>
          <t>Jumlah Harga (Rp)</t>
        </is>
      </c>
    </row>
    <row r="10751">
      <c r="A10751" s="3" t="inlineStr">
        <is>
          <t>1</t>
        </is>
      </c>
      <c r="B10751" s="3" t="inlineStr">
        <is>
          <t>Pekerja</t>
        </is>
      </c>
      <c r="C10751" s="3" t="inlineStr">
        <is>
          <t>OH</t>
        </is>
      </c>
      <c r="D10751" s="15" t="n">
        <v>0.507</v>
      </c>
      <c r="E10751" s="4" t="n">
        <v>100000</v>
      </c>
      <c r="F10751" s="4" t="n">
        <v>50700</v>
      </c>
    </row>
    <row r="10752">
      <c r="A10752" s="3" t="inlineStr">
        <is>
          <t>2</t>
        </is>
      </c>
      <c r="B10752" s="3" t="inlineStr">
        <is>
          <t>Tukang listrik</t>
        </is>
      </c>
      <c r="C10752" s="3" t="inlineStr">
        <is>
          <t>OH</t>
        </is>
      </c>
      <c r="D10752" s="15" t="n">
        <v>0.847</v>
      </c>
      <c r="E10752" s="4" t="n">
        <v>145000</v>
      </c>
      <c r="F10752" s="4" t="n">
        <v>122815</v>
      </c>
    </row>
    <row r="10753">
      <c r="A10753" s="3" t="inlineStr">
        <is>
          <t>3</t>
        </is>
      </c>
      <c r="B10753" s="3" t="inlineStr">
        <is>
          <t>Kepala Tukang</t>
        </is>
      </c>
      <c r="C10753" s="3" t="inlineStr">
        <is>
          <t>OH</t>
        </is>
      </c>
      <c r="D10753" s="15" t="n">
        <v>0.08500000000000001</v>
      </c>
      <c r="E10753" s="4" t="n">
        <v>175000</v>
      </c>
      <c r="F10753" s="4" t="n">
        <v>14875</v>
      </c>
    </row>
    <row r="10754">
      <c r="A10754" s="3" t="inlineStr">
        <is>
          <t>4</t>
        </is>
      </c>
      <c r="B10754" s="3" t="inlineStr">
        <is>
          <t>Mandor</t>
        </is>
      </c>
      <c r="C10754" s="3" t="inlineStr">
        <is>
          <t>OH</t>
        </is>
      </c>
      <c r="D10754" s="15" t="n">
        <v>0.028</v>
      </c>
      <c r="E10754" s="4" t="n">
        <v>200000</v>
      </c>
      <c r="F10754" s="4" t="n">
        <v>5600</v>
      </c>
    </row>
    <row r="10755">
      <c r="A10755" s="3" t="inlineStr">
        <is>
          <t>1</t>
        </is>
      </c>
      <c r="B10755" s="3" t="inlineStr">
        <is>
          <t>Fan Louvre 1.000 x 400 mm</t>
        </is>
      </c>
      <c r="C10755" s="3" t="inlineStr">
        <is>
          <t>Unit</t>
        </is>
      </c>
      <c r="D10755" s="15" t="n">
        <v>1.1</v>
      </c>
      <c r="E10755" s="4" t="n">
        <v>250000</v>
      </c>
      <c r="F10755" s="4" t="n">
        <v>275000</v>
      </c>
    </row>
    <row r="10756">
      <c r="D10756" s="2" t="inlineStr">
        <is>
          <t>SUBTOTAL UPAH</t>
        </is>
      </c>
      <c r="F10756" s="16" t="n">
        <v>193990</v>
      </c>
    </row>
    <row r="10757">
      <c r="D10757" s="2" t="inlineStr">
        <is>
          <t>SUBTOTAL BAHAN</t>
        </is>
      </c>
      <c r="F10757" s="16" t="n">
        <v>275000</v>
      </c>
    </row>
    <row r="10758">
      <c r="D10758" s="2" t="inlineStr">
        <is>
          <t>SUBTOTAL ALAT</t>
        </is>
      </c>
      <c r="F10758" s="16" t="n">
        <v>0</v>
      </c>
    </row>
    <row r="10759">
      <c r="E10759" s="2" t="inlineStr">
        <is>
          <t>TOTAL HARGA SATUAN (Inc. Overhead)</t>
        </is>
      </c>
      <c r="F10759" s="17" t="n">
        <v>515889</v>
      </c>
    </row>
    <row r="10761">
      <c r="A10761" s="14" t="inlineStr">
        <is>
          <t>KODE: 5.5.2.30 - Pemasangan 1 Unit Fan Louvre 1.000 x 450 mm</t>
        </is>
      </c>
    </row>
    <row r="10762">
      <c r="A10762" s="10" t="inlineStr">
        <is>
          <t>No</t>
        </is>
      </c>
      <c r="B10762" s="10" t="inlineStr">
        <is>
          <t>Uraian Komponen</t>
        </is>
      </c>
      <c r="C10762" s="10" t="inlineStr">
        <is>
          <t>Satuan</t>
        </is>
      </c>
      <c r="D10762" s="10" t="inlineStr">
        <is>
          <t>Koef</t>
        </is>
      </c>
      <c r="E10762" s="10" t="inlineStr">
        <is>
          <t>Harga Satuan (Rp)</t>
        </is>
      </c>
      <c r="F10762" s="10" t="inlineStr">
        <is>
          <t>Jumlah Harga (Rp)</t>
        </is>
      </c>
    </row>
    <row r="10763">
      <c r="A10763" s="3" t="inlineStr">
        <is>
          <t>1</t>
        </is>
      </c>
      <c r="B10763" s="3" t="inlineStr">
        <is>
          <t>Pekerja</t>
        </is>
      </c>
      <c r="C10763" s="3" t="inlineStr">
        <is>
          <t>OH</t>
        </is>
      </c>
      <c r="D10763" s="15" t="n">
        <v>0.507</v>
      </c>
      <c r="E10763" s="4" t="n">
        <v>100000</v>
      </c>
      <c r="F10763" s="4" t="n">
        <v>50700</v>
      </c>
    </row>
    <row r="10764">
      <c r="A10764" s="3" t="inlineStr">
        <is>
          <t>2</t>
        </is>
      </c>
      <c r="B10764" s="3" t="inlineStr">
        <is>
          <t>Tukang listrik</t>
        </is>
      </c>
      <c r="C10764" s="3" t="inlineStr">
        <is>
          <t>OH</t>
        </is>
      </c>
      <c r="D10764" s="15" t="n">
        <v>0.847</v>
      </c>
      <c r="E10764" s="4" t="n">
        <v>145000</v>
      </c>
      <c r="F10764" s="4" t="n">
        <v>122815</v>
      </c>
    </row>
    <row r="10765">
      <c r="A10765" s="3" t="inlineStr">
        <is>
          <t>3</t>
        </is>
      </c>
      <c r="B10765" s="3" t="inlineStr">
        <is>
          <t>Kepala Tukang</t>
        </is>
      </c>
      <c r="C10765" s="3" t="inlineStr">
        <is>
          <t>OH</t>
        </is>
      </c>
      <c r="D10765" s="15" t="n">
        <v>0.08500000000000001</v>
      </c>
      <c r="E10765" s="4" t="n">
        <v>175000</v>
      </c>
      <c r="F10765" s="4" t="n">
        <v>14875</v>
      </c>
    </row>
    <row r="10766">
      <c r="A10766" s="3" t="inlineStr">
        <is>
          <t>4</t>
        </is>
      </c>
      <c r="B10766" s="3" t="inlineStr">
        <is>
          <t>Mandor</t>
        </is>
      </c>
      <c r="C10766" s="3" t="inlineStr">
        <is>
          <t>OH</t>
        </is>
      </c>
      <c r="D10766" s="15" t="n">
        <v>0.028</v>
      </c>
      <c r="E10766" s="4" t="n">
        <v>200000</v>
      </c>
      <c r="F10766" s="4" t="n">
        <v>5600</v>
      </c>
    </row>
    <row r="10767">
      <c r="A10767" s="3" t="inlineStr">
        <is>
          <t>1</t>
        </is>
      </c>
      <c r="B10767" s="3" t="inlineStr">
        <is>
          <t>Fan Louvre 1.000 x 450 mm</t>
        </is>
      </c>
      <c r="C10767" s="3" t="inlineStr">
        <is>
          <t>Unit</t>
        </is>
      </c>
      <c r="D10767" s="15" t="n">
        <v>1.1</v>
      </c>
      <c r="E10767" s="4" t="n">
        <v>270000</v>
      </c>
      <c r="F10767" s="4" t="n">
        <v>297000</v>
      </c>
    </row>
    <row r="10768">
      <c r="D10768" s="2" t="inlineStr">
        <is>
          <t>SUBTOTAL UPAH</t>
        </is>
      </c>
      <c r="F10768" s="16" t="n">
        <v>193990</v>
      </c>
    </row>
    <row r="10769">
      <c r="D10769" s="2" t="inlineStr">
        <is>
          <t>SUBTOTAL BAHAN</t>
        </is>
      </c>
      <c r="F10769" s="16" t="n">
        <v>297000</v>
      </c>
    </row>
    <row r="10770">
      <c r="D10770" s="2" t="inlineStr">
        <is>
          <t>SUBTOTAL ALAT</t>
        </is>
      </c>
      <c r="F10770" s="16" t="n">
        <v>0</v>
      </c>
    </row>
    <row r="10771">
      <c r="E10771" s="2" t="inlineStr">
        <is>
          <t>TOTAL HARGA SATUAN (Inc. Overhead)</t>
        </is>
      </c>
      <c r="F10771" s="17" t="n">
        <v>540089</v>
      </c>
    </row>
    <row r="10773">
      <c r="A10773" s="14" t="inlineStr">
        <is>
          <t>KODE: 5.5.2.31 - Pemasangan 1 Unit Exhaust Grille 150 x 150 mm</t>
        </is>
      </c>
    </row>
    <row r="10774">
      <c r="A10774" s="10" t="inlineStr">
        <is>
          <t>No</t>
        </is>
      </c>
      <c r="B10774" s="10" t="inlineStr">
        <is>
          <t>Uraian Komponen</t>
        </is>
      </c>
      <c r="C10774" s="10" t="inlineStr">
        <is>
          <t>Satuan</t>
        </is>
      </c>
      <c r="D10774" s="10" t="inlineStr">
        <is>
          <t>Koef</t>
        </is>
      </c>
      <c r="E10774" s="10" t="inlineStr">
        <is>
          <t>Harga Satuan (Rp)</t>
        </is>
      </c>
      <c r="F10774" s="10" t="inlineStr">
        <is>
          <t>Jumlah Harga (Rp)</t>
        </is>
      </c>
    </row>
    <row r="10775">
      <c r="A10775" s="3" t="inlineStr">
        <is>
          <t>1</t>
        </is>
      </c>
      <c r="B10775" s="3" t="inlineStr">
        <is>
          <t>Pekerja</t>
        </is>
      </c>
      <c r="C10775" s="3" t="inlineStr">
        <is>
          <t>OH</t>
        </is>
      </c>
      <c r="D10775" s="15" t="n">
        <v>0.064</v>
      </c>
      <c r="E10775" s="4" t="n">
        <v>100000</v>
      </c>
      <c r="F10775" s="4" t="n">
        <v>6400</v>
      </c>
    </row>
    <row r="10776">
      <c r="A10776" s="3" t="inlineStr">
        <is>
          <t>2</t>
        </is>
      </c>
      <c r="B10776" s="3" t="inlineStr">
        <is>
          <t>Tukang listrik</t>
        </is>
      </c>
      <c r="C10776" s="3" t="inlineStr">
        <is>
          <t>OH</t>
        </is>
      </c>
      <c r="D10776" s="15" t="n">
        <v>0.107</v>
      </c>
      <c r="E10776" s="4" t="n">
        <v>145000</v>
      </c>
      <c r="F10776" s="4" t="n">
        <v>15515</v>
      </c>
    </row>
    <row r="10777">
      <c r="A10777" s="3" t="inlineStr">
        <is>
          <t>3</t>
        </is>
      </c>
      <c r="B10777" s="3" t="inlineStr">
        <is>
          <t>Kepala Tukang</t>
        </is>
      </c>
      <c r="C10777" s="3" t="inlineStr">
        <is>
          <t>OH</t>
        </is>
      </c>
      <c r="D10777" s="15" t="n">
        <v>0.011</v>
      </c>
      <c r="E10777" s="4" t="n">
        <v>175000</v>
      </c>
      <c r="F10777" s="4" t="n">
        <v>1925</v>
      </c>
    </row>
    <row r="10778">
      <c r="A10778" s="3" t="inlineStr">
        <is>
          <t>4</t>
        </is>
      </c>
      <c r="B10778" s="3" t="inlineStr">
        <is>
          <t>Mandor</t>
        </is>
      </c>
      <c r="C10778" s="3" t="inlineStr">
        <is>
          <t>OH</t>
        </is>
      </c>
      <c r="D10778" s="15" t="n">
        <v>0.004</v>
      </c>
      <c r="E10778" s="4" t="n">
        <v>200000</v>
      </c>
      <c r="F10778" s="4" t="n">
        <v>800</v>
      </c>
    </row>
    <row r="10779">
      <c r="A10779" s="3" t="inlineStr">
        <is>
          <t>1</t>
        </is>
      </c>
      <c r="B10779" s="3" t="inlineStr">
        <is>
          <t>Exhaust Grille 150 x 150 mm</t>
        </is>
      </c>
      <c r="C10779" s="3" t="inlineStr">
        <is>
          <t>Unit</t>
        </is>
      </c>
      <c r="D10779" s="15" t="n">
        <v>1.1</v>
      </c>
      <c r="E10779" s="4" t="n">
        <v>140000</v>
      </c>
      <c r="F10779" s="4" t="n">
        <v>154000</v>
      </c>
    </row>
    <row r="10780">
      <c r="D10780" s="2" t="inlineStr">
        <is>
          <t>SUBTOTAL UPAH</t>
        </is>
      </c>
      <c r="F10780" s="16" t="n">
        <v>24640</v>
      </c>
    </row>
    <row r="10781">
      <c r="D10781" s="2" t="inlineStr">
        <is>
          <t>SUBTOTAL BAHAN</t>
        </is>
      </c>
      <c r="F10781" s="16" t="n">
        <v>154000</v>
      </c>
    </row>
    <row r="10782">
      <c r="D10782" s="2" t="inlineStr">
        <is>
          <t>SUBTOTAL ALAT</t>
        </is>
      </c>
      <c r="F10782" s="16" t="n">
        <v>0</v>
      </c>
    </row>
    <row r="10783">
      <c r="E10783" s="2" t="inlineStr">
        <is>
          <t>TOTAL HARGA SATUAN (Inc. Overhead)</t>
        </is>
      </c>
      <c r="F10783" s="17" t="n">
        <v>196504</v>
      </c>
    </row>
    <row r="10785">
      <c r="A10785" s="14" t="inlineStr">
        <is>
          <t>KODE: 5.5.2.32 - Pemasangan 1 Unit Exhaust Grille 200 x 200 mm</t>
        </is>
      </c>
    </row>
    <row r="10786">
      <c r="A10786" s="10" t="inlineStr">
        <is>
          <t>No</t>
        </is>
      </c>
      <c r="B10786" s="10" t="inlineStr">
        <is>
          <t>Uraian Komponen</t>
        </is>
      </c>
      <c r="C10786" s="10" t="inlineStr">
        <is>
          <t>Satuan</t>
        </is>
      </c>
      <c r="D10786" s="10" t="inlineStr">
        <is>
          <t>Koef</t>
        </is>
      </c>
      <c r="E10786" s="10" t="inlineStr">
        <is>
          <t>Harga Satuan (Rp)</t>
        </is>
      </c>
      <c r="F10786" s="10" t="inlineStr">
        <is>
          <t>Jumlah Harga (Rp)</t>
        </is>
      </c>
    </row>
    <row r="10787">
      <c r="A10787" s="3" t="inlineStr">
        <is>
          <t>1</t>
        </is>
      </c>
      <c r="B10787" s="3" t="inlineStr">
        <is>
          <t>Pekerja</t>
        </is>
      </c>
      <c r="C10787" s="3" t="inlineStr">
        <is>
          <t>OH</t>
        </is>
      </c>
      <c r="D10787" s="15" t="n">
        <v>0.064</v>
      </c>
      <c r="E10787" s="4" t="n">
        <v>100000</v>
      </c>
      <c r="F10787" s="4" t="n">
        <v>6400</v>
      </c>
    </row>
    <row r="10788">
      <c r="A10788" s="3" t="inlineStr">
        <is>
          <t>2</t>
        </is>
      </c>
      <c r="B10788" s="3" t="inlineStr">
        <is>
          <t>Tukang listrik</t>
        </is>
      </c>
      <c r="C10788" s="3" t="inlineStr">
        <is>
          <t>OH</t>
        </is>
      </c>
      <c r="D10788" s="15" t="n">
        <v>0.107</v>
      </c>
      <c r="E10788" s="4" t="n">
        <v>145000</v>
      </c>
      <c r="F10788" s="4" t="n">
        <v>15515</v>
      </c>
    </row>
    <row r="10789">
      <c r="A10789" s="3" t="inlineStr">
        <is>
          <t>3</t>
        </is>
      </c>
      <c r="B10789" s="3" t="inlineStr">
        <is>
          <t>Kepala Tukang</t>
        </is>
      </c>
      <c r="C10789" s="3" t="inlineStr">
        <is>
          <t>OH</t>
        </is>
      </c>
      <c r="D10789" s="15" t="n">
        <v>0.011</v>
      </c>
      <c r="E10789" s="4" t="n">
        <v>175000</v>
      </c>
      <c r="F10789" s="4" t="n">
        <v>1925</v>
      </c>
    </row>
    <row r="10790">
      <c r="A10790" s="3" t="inlineStr">
        <is>
          <t>4</t>
        </is>
      </c>
      <c r="B10790" s="3" t="inlineStr">
        <is>
          <t>Mandor</t>
        </is>
      </c>
      <c r="C10790" s="3" t="inlineStr">
        <is>
          <t>OH</t>
        </is>
      </c>
      <c r="D10790" s="15" t="n">
        <v>0.004</v>
      </c>
      <c r="E10790" s="4" t="n">
        <v>200000</v>
      </c>
      <c r="F10790" s="4" t="n">
        <v>800</v>
      </c>
    </row>
    <row r="10791">
      <c r="A10791" s="3" t="inlineStr">
        <is>
          <t>1</t>
        </is>
      </c>
      <c r="B10791" s="3" t="inlineStr">
        <is>
          <t>Exhaust Grille 200 x 200 mm</t>
        </is>
      </c>
      <c r="C10791" s="3" t="inlineStr">
        <is>
          <t>Unit</t>
        </is>
      </c>
      <c r="D10791" s="15" t="n">
        <v>1.1</v>
      </c>
      <c r="E10791" s="4" t="n">
        <v>160000</v>
      </c>
      <c r="F10791" s="4" t="n">
        <v>176000</v>
      </c>
    </row>
    <row r="10792">
      <c r="D10792" s="2" t="inlineStr">
        <is>
          <t>SUBTOTAL UPAH</t>
        </is>
      </c>
      <c r="F10792" s="16" t="n">
        <v>24640</v>
      </c>
    </row>
    <row r="10793">
      <c r="D10793" s="2" t="inlineStr">
        <is>
          <t>SUBTOTAL BAHAN</t>
        </is>
      </c>
      <c r="F10793" s="16" t="n">
        <v>176000</v>
      </c>
    </row>
    <row r="10794">
      <c r="D10794" s="2" t="inlineStr">
        <is>
          <t>SUBTOTAL ALAT</t>
        </is>
      </c>
      <c r="F10794" s="16" t="n">
        <v>0</v>
      </c>
    </row>
    <row r="10795">
      <c r="E10795" s="2" t="inlineStr">
        <is>
          <t>TOTAL HARGA SATUAN (Inc. Overhead)</t>
        </is>
      </c>
      <c r="F10795" s="17" t="n">
        <v>220704</v>
      </c>
    </row>
    <row r="10797">
      <c r="A10797" s="14" t="inlineStr">
        <is>
          <t>KODE: 5.5.2.33 - Pemasangan 1 Unit Exhaust Grille 600 x 300 mm</t>
        </is>
      </c>
    </row>
    <row r="10798">
      <c r="A10798" s="10" t="inlineStr">
        <is>
          <t>No</t>
        </is>
      </c>
      <c r="B10798" s="10" t="inlineStr">
        <is>
          <t>Uraian Komponen</t>
        </is>
      </c>
      <c r="C10798" s="10" t="inlineStr">
        <is>
          <t>Satuan</t>
        </is>
      </c>
      <c r="D10798" s="10" t="inlineStr">
        <is>
          <t>Koef</t>
        </is>
      </c>
      <c r="E10798" s="10" t="inlineStr">
        <is>
          <t>Harga Satuan (Rp)</t>
        </is>
      </c>
      <c r="F10798" s="10" t="inlineStr">
        <is>
          <t>Jumlah Harga (Rp)</t>
        </is>
      </c>
    </row>
    <row r="10799">
      <c r="A10799" s="3" t="inlineStr">
        <is>
          <t>1</t>
        </is>
      </c>
      <c r="B10799" s="3" t="inlineStr">
        <is>
          <t>Pekerja</t>
        </is>
      </c>
      <c r="C10799" s="3" t="inlineStr">
        <is>
          <t>OH</t>
        </is>
      </c>
      <c r="D10799" s="15" t="n">
        <v>0.064</v>
      </c>
      <c r="E10799" s="4" t="n">
        <v>100000</v>
      </c>
      <c r="F10799" s="4" t="n">
        <v>6400</v>
      </c>
    </row>
    <row r="10800">
      <c r="A10800" s="3" t="inlineStr">
        <is>
          <t>2</t>
        </is>
      </c>
      <c r="B10800" s="3" t="inlineStr">
        <is>
          <t>Tukang listrik</t>
        </is>
      </c>
      <c r="C10800" s="3" t="inlineStr">
        <is>
          <t>OH</t>
        </is>
      </c>
      <c r="D10800" s="15" t="n">
        <v>0.107</v>
      </c>
      <c r="E10800" s="4" t="n">
        <v>145000</v>
      </c>
      <c r="F10800" s="4" t="n">
        <v>15515</v>
      </c>
    </row>
    <row r="10801">
      <c r="A10801" s="3" t="inlineStr">
        <is>
          <t>3</t>
        </is>
      </c>
      <c r="B10801" s="3" t="inlineStr">
        <is>
          <t>Kepala Tukang</t>
        </is>
      </c>
      <c r="C10801" s="3" t="inlineStr">
        <is>
          <t>OH</t>
        </is>
      </c>
      <c r="D10801" s="15" t="n">
        <v>0.011</v>
      </c>
      <c r="E10801" s="4" t="n">
        <v>175000</v>
      </c>
      <c r="F10801" s="4" t="n">
        <v>1925</v>
      </c>
    </row>
    <row r="10802">
      <c r="A10802" s="3" t="inlineStr">
        <is>
          <t>4</t>
        </is>
      </c>
      <c r="B10802" s="3" t="inlineStr">
        <is>
          <t>Mandor</t>
        </is>
      </c>
      <c r="C10802" s="3" t="inlineStr">
        <is>
          <t>OH</t>
        </is>
      </c>
      <c r="D10802" s="15" t="n">
        <v>0.004</v>
      </c>
      <c r="E10802" s="4" t="n">
        <v>200000</v>
      </c>
      <c r="F10802" s="4" t="n">
        <v>800</v>
      </c>
    </row>
    <row r="10803">
      <c r="A10803" s="3" t="inlineStr">
        <is>
          <t>1</t>
        </is>
      </c>
      <c r="B10803" s="3" t="inlineStr">
        <is>
          <t>Exhaust Grille 600 x 300 mm</t>
        </is>
      </c>
      <c r="C10803" s="3" t="inlineStr">
        <is>
          <t>Unit</t>
        </is>
      </c>
      <c r="D10803" s="15" t="n">
        <v>1.1</v>
      </c>
      <c r="E10803" s="4" t="n">
        <v>200000</v>
      </c>
      <c r="F10803" s="4" t="n">
        <v>220000</v>
      </c>
    </row>
    <row r="10804">
      <c r="D10804" s="2" t="inlineStr">
        <is>
          <t>SUBTOTAL UPAH</t>
        </is>
      </c>
      <c r="F10804" s="16" t="n">
        <v>24640</v>
      </c>
    </row>
    <row r="10805">
      <c r="D10805" s="2" t="inlineStr">
        <is>
          <t>SUBTOTAL BAHAN</t>
        </is>
      </c>
      <c r="F10805" s="16" t="n">
        <v>220000</v>
      </c>
    </row>
    <row r="10806">
      <c r="D10806" s="2" t="inlineStr">
        <is>
          <t>SUBTOTAL ALAT</t>
        </is>
      </c>
      <c r="F10806" s="16" t="n">
        <v>0</v>
      </c>
    </row>
    <row r="10807">
      <c r="E10807" s="2" t="inlineStr">
        <is>
          <t>TOTAL HARGA SATUAN (Inc. Overhead)</t>
        </is>
      </c>
      <c r="F10807" s="17" t="n">
        <v>269104</v>
      </c>
    </row>
    <row r="10809">
      <c r="A10809" s="14" t="inlineStr">
        <is>
          <t>KODE: 5.5.2.34 - Pemasangan 1 Unit Exhaust Grille 650 x 350 mm</t>
        </is>
      </c>
    </row>
    <row r="10810">
      <c r="A10810" s="10" t="inlineStr">
        <is>
          <t>No</t>
        </is>
      </c>
      <c r="B10810" s="10" t="inlineStr">
        <is>
          <t>Uraian Komponen</t>
        </is>
      </c>
      <c r="C10810" s="10" t="inlineStr">
        <is>
          <t>Satuan</t>
        </is>
      </c>
      <c r="D10810" s="10" t="inlineStr">
        <is>
          <t>Koef</t>
        </is>
      </c>
      <c r="E10810" s="10" t="inlineStr">
        <is>
          <t>Harga Satuan (Rp)</t>
        </is>
      </c>
      <c r="F10810" s="10" t="inlineStr">
        <is>
          <t>Jumlah Harga (Rp)</t>
        </is>
      </c>
    </row>
    <row r="10811">
      <c r="A10811" s="3" t="inlineStr">
        <is>
          <t>1</t>
        </is>
      </c>
      <c r="B10811" s="3" t="inlineStr">
        <is>
          <t>Pekerja</t>
        </is>
      </c>
      <c r="C10811" s="3" t="inlineStr">
        <is>
          <t>OH</t>
        </is>
      </c>
      <c r="D10811" s="15" t="n">
        <v>0.064</v>
      </c>
      <c r="E10811" s="4" t="n">
        <v>100000</v>
      </c>
      <c r="F10811" s="4" t="n">
        <v>6400</v>
      </c>
    </row>
    <row r="10812">
      <c r="A10812" s="3" t="inlineStr">
        <is>
          <t>2</t>
        </is>
      </c>
      <c r="B10812" s="3" t="inlineStr">
        <is>
          <t>Tukang listrik</t>
        </is>
      </c>
      <c r="C10812" s="3" t="inlineStr">
        <is>
          <t>OH</t>
        </is>
      </c>
      <c r="D10812" s="15" t="n">
        <v>0.107</v>
      </c>
      <c r="E10812" s="4" t="n">
        <v>145000</v>
      </c>
      <c r="F10812" s="4" t="n">
        <v>15515</v>
      </c>
    </row>
    <row r="10813">
      <c r="A10813" s="3" t="inlineStr">
        <is>
          <t>3</t>
        </is>
      </c>
      <c r="B10813" s="3" t="inlineStr">
        <is>
          <t>Kepala Tukang</t>
        </is>
      </c>
      <c r="C10813" s="3" t="inlineStr">
        <is>
          <t>OH</t>
        </is>
      </c>
      <c r="D10813" s="15" t="n">
        <v>0.011</v>
      </c>
      <c r="E10813" s="4" t="n">
        <v>175000</v>
      </c>
      <c r="F10813" s="4" t="n">
        <v>1925</v>
      </c>
    </row>
    <row r="10814">
      <c r="A10814" s="3" t="inlineStr">
        <is>
          <t>4</t>
        </is>
      </c>
      <c r="B10814" s="3" t="inlineStr">
        <is>
          <t>Mandor</t>
        </is>
      </c>
      <c r="C10814" s="3" t="inlineStr">
        <is>
          <t>OH</t>
        </is>
      </c>
      <c r="D10814" s="15" t="n">
        <v>0.004</v>
      </c>
      <c r="E10814" s="4" t="n">
        <v>200000</v>
      </c>
      <c r="F10814" s="4" t="n">
        <v>800</v>
      </c>
    </row>
    <row r="10815">
      <c r="A10815" s="3" t="inlineStr">
        <is>
          <t>1</t>
        </is>
      </c>
      <c r="B10815" s="3" t="inlineStr">
        <is>
          <t>Exhaust Grille 650 x 350 mm</t>
        </is>
      </c>
      <c r="C10815" s="3" t="inlineStr">
        <is>
          <t>Unit</t>
        </is>
      </c>
      <c r="D10815" s="15" t="n">
        <v>1.1</v>
      </c>
      <c r="E10815" s="4" t="n">
        <v>230000</v>
      </c>
      <c r="F10815" s="4" t="n">
        <v>253000</v>
      </c>
    </row>
    <row r="10816">
      <c r="D10816" s="2" t="inlineStr">
        <is>
          <t>SUBTOTAL UPAH</t>
        </is>
      </c>
      <c r="F10816" s="16" t="n">
        <v>24640</v>
      </c>
    </row>
    <row r="10817">
      <c r="D10817" s="2" t="inlineStr">
        <is>
          <t>SUBTOTAL BAHAN</t>
        </is>
      </c>
      <c r="F10817" s="16" t="n">
        <v>253000</v>
      </c>
    </row>
    <row r="10818">
      <c r="D10818" s="2" t="inlineStr">
        <is>
          <t>SUBTOTAL ALAT</t>
        </is>
      </c>
      <c r="F10818" s="16" t="n">
        <v>0</v>
      </c>
    </row>
    <row r="10819">
      <c r="E10819" s="2" t="inlineStr">
        <is>
          <t>TOTAL HARGA SATUAN (Inc. Overhead)</t>
        </is>
      </c>
      <c r="F10819" s="17" t="n">
        <v>305404</v>
      </c>
    </row>
    <row r="10821">
      <c r="A10821" s="14" t="inlineStr">
        <is>
          <t>KODE: 5.5.2.35 - Pemasangan 1 Unit Exhaust Grille 900 x 400 mm</t>
        </is>
      </c>
    </row>
    <row r="10822">
      <c r="A10822" s="10" t="inlineStr">
        <is>
          <t>No</t>
        </is>
      </c>
      <c r="B10822" s="10" t="inlineStr">
        <is>
          <t>Uraian Komponen</t>
        </is>
      </c>
      <c r="C10822" s="10" t="inlineStr">
        <is>
          <t>Satuan</t>
        </is>
      </c>
      <c r="D10822" s="10" t="inlineStr">
        <is>
          <t>Koef</t>
        </is>
      </c>
      <c r="E10822" s="10" t="inlineStr">
        <is>
          <t>Harga Satuan (Rp)</t>
        </is>
      </c>
      <c r="F10822" s="10" t="inlineStr">
        <is>
          <t>Jumlah Harga (Rp)</t>
        </is>
      </c>
    </row>
    <row r="10823">
      <c r="A10823" s="3" t="inlineStr">
        <is>
          <t>1</t>
        </is>
      </c>
      <c r="B10823" s="3" t="inlineStr">
        <is>
          <t>Pekerja</t>
        </is>
      </c>
      <c r="C10823" s="3" t="inlineStr">
        <is>
          <t>OH</t>
        </is>
      </c>
      <c r="D10823" s="15" t="n">
        <v>0.076</v>
      </c>
      <c r="E10823" s="4" t="n">
        <v>100000</v>
      </c>
      <c r="F10823" s="4" t="n">
        <v>7600</v>
      </c>
    </row>
    <row r="10824">
      <c r="A10824" s="3" t="inlineStr">
        <is>
          <t>2</t>
        </is>
      </c>
      <c r="B10824" s="3" t="inlineStr">
        <is>
          <t>Tukang listrik</t>
        </is>
      </c>
      <c r="C10824" s="3" t="inlineStr">
        <is>
          <t>OH</t>
        </is>
      </c>
      <c r="D10824" s="15" t="n">
        <v>0.127</v>
      </c>
      <c r="E10824" s="4" t="n">
        <v>145000</v>
      </c>
      <c r="F10824" s="4" t="n">
        <v>18415</v>
      </c>
    </row>
    <row r="10825">
      <c r="A10825" s="3" t="inlineStr">
        <is>
          <t>3</t>
        </is>
      </c>
      <c r="B10825" s="3" t="inlineStr">
        <is>
          <t>Kepala Tukang</t>
        </is>
      </c>
      <c r="C10825" s="3" t="inlineStr">
        <is>
          <t>OH</t>
        </is>
      </c>
      <c r="D10825" s="15" t="n">
        <v>0.013</v>
      </c>
      <c r="E10825" s="4" t="n">
        <v>175000</v>
      </c>
      <c r="F10825" s="4" t="n">
        <v>2275</v>
      </c>
    </row>
    <row r="10826">
      <c r="A10826" s="3" t="inlineStr">
        <is>
          <t>4</t>
        </is>
      </c>
      <c r="B10826" s="3" t="inlineStr">
        <is>
          <t>Mandor</t>
        </is>
      </c>
      <c r="C10826" s="3" t="inlineStr">
        <is>
          <t>OH</t>
        </is>
      </c>
      <c r="D10826" s="15" t="n">
        <v>0.004</v>
      </c>
      <c r="E10826" s="4" t="n">
        <v>200000</v>
      </c>
      <c r="F10826" s="4" t="n">
        <v>800</v>
      </c>
    </row>
    <row r="10827">
      <c r="A10827" s="3" t="inlineStr">
        <is>
          <t>1</t>
        </is>
      </c>
      <c r="B10827" s="3" t="inlineStr">
        <is>
          <t>Exhaust Grille 900 x 400 mm</t>
        </is>
      </c>
      <c r="C10827" s="3" t="inlineStr">
        <is>
          <t>Unit</t>
        </is>
      </c>
      <c r="D10827" s="15" t="n">
        <v>1.1</v>
      </c>
      <c r="E10827" s="4" t="n">
        <v>300000</v>
      </c>
      <c r="F10827" s="4" t="n">
        <v>330000</v>
      </c>
    </row>
    <row r="10828">
      <c r="D10828" s="2" t="inlineStr">
        <is>
          <t>SUBTOTAL UPAH</t>
        </is>
      </c>
      <c r="F10828" s="16" t="n">
        <v>29090</v>
      </c>
    </row>
    <row r="10829">
      <c r="D10829" s="2" t="inlineStr">
        <is>
          <t>SUBTOTAL BAHAN</t>
        </is>
      </c>
      <c r="F10829" s="16" t="n">
        <v>330000</v>
      </c>
    </row>
    <row r="10830">
      <c r="D10830" s="2" t="inlineStr">
        <is>
          <t>SUBTOTAL ALAT</t>
        </is>
      </c>
      <c r="F10830" s="16" t="n">
        <v>0</v>
      </c>
    </row>
    <row r="10831">
      <c r="E10831" s="2" t="inlineStr">
        <is>
          <t>TOTAL HARGA SATUAN (Inc. Overhead)</t>
        </is>
      </c>
      <c r="F10831" s="17" t="n">
        <v>394999</v>
      </c>
    </row>
    <row r="10833">
      <c r="A10833" s="14" t="inlineStr">
        <is>
          <t>KODE: 5.5.2.36 - Pemasangan 1 Unit Exhaust Louvre 200 x 200 mm s/d 750 x 350 mm</t>
        </is>
      </c>
    </row>
    <row r="10834">
      <c r="A10834" s="10" t="inlineStr">
        <is>
          <t>No</t>
        </is>
      </c>
      <c r="B10834" s="10" t="inlineStr">
        <is>
          <t>Uraian Komponen</t>
        </is>
      </c>
      <c r="C10834" s="10" t="inlineStr">
        <is>
          <t>Satuan</t>
        </is>
      </c>
      <c r="D10834" s="10" t="inlineStr">
        <is>
          <t>Koef</t>
        </is>
      </c>
      <c r="E10834" s="10" t="inlineStr">
        <is>
          <t>Harga Satuan (Rp)</t>
        </is>
      </c>
      <c r="F10834" s="10" t="inlineStr">
        <is>
          <t>Jumlah Harga (Rp)</t>
        </is>
      </c>
    </row>
    <row r="10835">
      <c r="A10835" s="3" t="inlineStr">
        <is>
          <t>1</t>
        </is>
      </c>
      <c r="B10835" s="3" t="inlineStr">
        <is>
          <t>Pekerja</t>
        </is>
      </c>
      <c r="C10835" s="3" t="inlineStr">
        <is>
          <t>OH</t>
        </is>
      </c>
      <c r="D10835" s="15" t="n">
        <v>0.255</v>
      </c>
      <c r="E10835" s="4" t="n">
        <v>100000</v>
      </c>
      <c r="F10835" s="4" t="n">
        <v>25500</v>
      </c>
    </row>
    <row r="10836">
      <c r="A10836" s="3" t="inlineStr">
        <is>
          <t>2</t>
        </is>
      </c>
      <c r="B10836" s="3" t="inlineStr">
        <is>
          <t>Tukang listrik</t>
        </is>
      </c>
      <c r="C10836" s="3" t="inlineStr">
        <is>
          <t>OH</t>
        </is>
      </c>
      <c r="D10836" s="15" t="n">
        <v>0.425</v>
      </c>
      <c r="E10836" s="4" t="n">
        <v>145000</v>
      </c>
      <c r="F10836" s="4" t="n">
        <v>61625</v>
      </c>
    </row>
    <row r="10837">
      <c r="A10837" s="3" t="inlineStr">
        <is>
          <t>3</t>
        </is>
      </c>
      <c r="B10837" s="3" t="inlineStr">
        <is>
          <t>Kepala Tukang</t>
        </is>
      </c>
      <c r="C10837" s="3" t="inlineStr">
        <is>
          <t>OH</t>
        </is>
      </c>
      <c r="D10837" s="15" t="n">
        <v>0.043</v>
      </c>
      <c r="E10837" s="4" t="n">
        <v>175000</v>
      </c>
      <c r="F10837" s="4" t="n">
        <v>7524.999999999999</v>
      </c>
    </row>
    <row r="10838">
      <c r="A10838" s="3" t="inlineStr">
        <is>
          <t>4</t>
        </is>
      </c>
      <c r="B10838" s="3" t="inlineStr">
        <is>
          <t>Mandor</t>
        </is>
      </c>
      <c r="C10838" s="3" t="inlineStr">
        <is>
          <t>OH</t>
        </is>
      </c>
      <c r="D10838" s="15" t="n">
        <v>0.014</v>
      </c>
      <c r="E10838" s="4" t="n">
        <v>200000</v>
      </c>
      <c r="F10838" s="4" t="n">
        <v>2800</v>
      </c>
    </row>
    <row r="10839">
      <c r="A10839" s="3" t="inlineStr">
        <is>
          <t>1</t>
        </is>
      </c>
      <c r="B10839" s="3" t="inlineStr">
        <is>
          <t>Exhaust Louvre</t>
        </is>
      </c>
      <c r="C10839" s="3" t="inlineStr">
        <is>
          <t>Unit</t>
        </is>
      </c>
      <c r="D10839" s="15" t="n">
        <v>1.1</v>
      </c>
      <c r="E10839" s="4" t="n">
        <v>450000</v>
      </c>
      <c r="F10839" s="4" t="n">
        <v>495000.0000000001</v>
      </c>
    </row>
    <row r="10840">
      <c r="D10840" s="2" t="inlineStr">
        <is>
          <t>SUBTOTAL UPAH</t>
        </is>
      </c>
      <c r="F10840" s="16" t="n">
        <v>97450</v>
      </c>
    </row>
    <row r="10841">
      <c r="D10841" s="2" t="inlineStr">
        <is>
          <t>SUBTOTAL BAHAN</t>
        </is>
      </c>
      <c r="F10841" s="16" t="n">
        <v>495000.0000000001</v>
      </c>
    </row>
    <row r="10842">
      <c r="D10842" s="2" t="inlineStr">
        <is>
          <t>SUBTOTAL ALAT</t>
        </is>
      </c>
      <c r="F10842" s="16" t="n">
        <v>0</v>
      </c>
    </row>
    <row r="10843">
      <c r="E10843" s="2" t="inlineStr">
        <is>
          <t>TOTAL HARGA SATUAN (Inc. Overhead)</t>
        </is>
      </c>
      <c r="F10843" s="17" t="n">
        <v>651695</v>
      </c>
    </row>
    <row r="10845">
      <c r="A10845" s="14" t="inlineStr">
        <is>
          <t>KODE: 5.5.2.40 - Pemasangan 1 Unit Exhaust Louvre 800 x 400 mm</t>
        </is>
      </c>
    </row>
    <row r="10846">
      <c r="A10846" s="10" t="inlineStr">
        <is>
          <t>No</t>
        </is>
      </c>
      <c r="B10846" s="10" t="inlineStr">
        <is>
          <t>Uraian Komponen</t>
        </is>
      </c>
      <c r="C10846" s="10" t="inlineStr">
        <is>
          <t>Satuan</t>
        </is>
      </c>
      <c r="D10846" s="10" t="inlineStr">
        <is>
          <t>Koef</t>
        </is>
      </c>
      <c r="E10846" s="10" t="inlineStr">
        <is>
          <t>Harga Satuan (Rp)</t>
        </is>
      </c>
      <c r="F10846" s="10" t="inlineStr">
        <is>
          <t>Jumlah Harga (Rp)</t>
        </is>
      </c>
    </row>
    <row r="10847">
      <c r="A10847" s="3" t="inlineStr">
        <is>
          <t>1</t>
        </is>
      </c>
      <c r="B10847" s="3" t="inlineStr">
        <is>
          <t>Pekerja</t>
        </is>
      </c>
      <c r="C10847" s="3" t="inlineStr">
        <is>
          <t>OH</t>
        </is>
      </c>
      <c r="D10847" s="15" t="n">
        <v>0.381</v>
      </c>
      <c r="E10847" s="4" t="n">
        <v>100000</v>
      </c>
      <c r="F10847" s="4" t="n">
        <v>38100</v>
      </c>
    </row>
    <row r="10848">
      <c r="A10848" s="3" t="inlineStr">
        <is>
          <t>2</t>
        </is>
      </c>
      <c r="B10848" s="3" t="inlineStr">
        <is>
          <t>Tukang listrik</t>
        </is>
      </c>
      <c r="C10848" s="3" t="inlineStr">
        <is>
          <t>OH</t>
        </is>
      </c>
      <c r="D10848" s="15" t="n">
        <v>0.636</v>
      </c>
      <c r="E10848" s="4" t="n">
        <v>145000</v>
      </c>
      <c r="F10848" s="4" t="n">
        <v>92220</v>
      </c>
    </row>
    <row r="10849">
      <c r="A10849" s="3" t="inlineStr">
        <is>
          <t>3</t>
        </is>
      </c>
      <c r="B10849" s="3" t="inlineStr">
        <is>
          <t>Kepala Tukang</t>
        </is>
      </c>
      <c r="C10849" s="3" t="inlineStr">
        <is>
          <t>OH</t>
        </is>
      </c>
      <c r="D10849" s="15" t="n">
        <v>0.064</v>
      </c>
      <c r="E10849" s="4" t="n">
        <v>175000</v>
      </c>
      <c r="F10849" s="4" t="n">
        <v>11200</v>
      </c>
    </row>
    <row r="10850">
      <c r="A10850" s="3" t="inlineStr">
        <is>
          <t>4</t>
        </is>
      </c>
      <c r="B10850" s="3" t="inlineStr">
        <is>
          <t>Mandor</t>
        </is>
      </c>
      <c r="C10850" s="3" t="inlineStr">
        <is>
          <t>OH</t>
        </is>
      </c>
      <c r="D10850" s="15" t="n">
        <v>0.021</v>
      </c>
      <c r="E10850" s="4" t="n">
        <v>200000</v>
      </c>
      <c r="F10850" s="4" t="n">
        <v>4200</v>
      </c>
    </row>
    <row r="10851">
      <c r="A10851" s="3" t="inlineStr">
        <is>
          <t>1</t>
        </is>
      </c>
      <c r="B10851" s="3" t="inlineStr">
        <is>
          <t>Exhaust Louvre</t>
        </is>
      </c>
      <c r="C10851" s="3" t="inlineStr">
        <is>
          <t>Unit</t>
        </is>
      </c>
      <c r="D10851" s="15" t="n">
        <v>1.1</v>
      </c>
      <c r="E10851" s="4" t="n">
        <v>450000</v>
      </c>
      <c r="F10851" s="4" t="n">
        <v>495000.0000000001</v>
      </c>
    </row>
    <row r="10852">
      <c r="D10852" s="2" t="inlineStr">
        <is>
          <t>SUBTOTAL UPAH</t>
        </is>
      </c>
      <c r="F10852" s="16" t="n">
        <v>145720</v>
      </c>
    </row>
    <row r="10853">
      <c r="D10853" s="2" t="inlineStr">
        <is>
          <t>SUBTOTAL BAHAN</t>
        </is>
      </c>
      <c r="F10853" s="16" t="n">
        <v>495000.0000000001</v>
      </c>
    </row>
    <row r="10854">
      <c r="D10854" s="2" t="inlineStr">
        <is>
          <t>SUBTOTAL ALAT</t>
        </is>
      </c>
      <c r="F10854" s="16" t="n">
        <v>0</v>
      </c>
    </row>
    <row r="10855">
      <c r="E10855" s="2" t="inlineStr">
        <is>
          <t>TOTAL HARGA SATUAN (Inc. Overhead)</t>
        </is>
      </c>
      <c r="F10855" s="17" t="n">
        <v>704792</v>
      </c>
    </row>
    <row r="10857">
      <c r="A10857" s="14" t="inlineStr">
        <is>
          <t>KODE: 5.5.2.41 - Pemasangan 1 Unit Exhaust Louvre 850 x 400 mm &amp; 900 X 500 mm</t>
        </is>
      </c>
    </row>
    <row r="10858">
      <c r="A10858" s="10" t="inlineStr">
        <is>
          <t>No</t>
        </is>
      </c>
      <c r="B10858" s="10" t="inlineStr">
        <is>
          <t>Uraian Komponen</t>
        </is>
      </c>
      <c r="C10858" s="10" t="inlineStr">
        <is>
          <t>Satuan</t>
        </is>
      </c>
      <c r="D10858" s="10" t="inlineStr">
        <is>
          <t>Koef</t>
        </is>
      </c>
      <c r="E10858" s="10" t="inlineStr">
        <is>
          <t>Harga Satuan (Rp)</t>
        </is>
      </c>
      <c r="F10858" s="10" t="inlineStr">
        <is>
          <t>Jumlah Harga (Rp)</t>
        </is>
      </c>
    </row>
    <row r="10859">
      <c r="A10859" s="3" t="inlineStr">
        <is>
          <t>1</t>
        </is>
      </c>
      <c r="B10859" s="3" t="inlineStr">
        <is>
          <t>Pekerja</t>
        </is>
      </c>
      <c r="C10859" s="3" t="inlineStr">
        <is>
          <t>OH</t>
        </is>
      </c>
      <c r="D10859" s="15" t="n">
        <v>0.507</v>
      </c>
      <c r="E10859" s="4" t="n">
        <v>100000</v>
      </c>
      <c r="F10859" s="4" t="n">
        <v>50700</v>
      </c>
    </row>
    <row r="10860">
      <c r="A10860" s="3" t="inlineStr">
        <is>
          <t>2</t>
        </is>
      </c>
      <c r="B10860" s="3" t="inlineStr">
        <is>
          <t>Tukang listrik</t>
        </is>
      </c>
      <c r="C10860" s="3" t="inlineStr">
        <is>
          <t>OH</t>
        </is>
      </c>
      <c r="D10860" s="15" t="n">
        <v>0.847</v>
      </c>
      <c r="E10860" s="4" t="n">
        <v>145000</v>
      </c>
      <c r="F10860" s="4" t="n">
        <v>122815</v>
      </c>
    </row>
    <row r="10861">
      <c r="A10861" s="3" t="inlineStr">
        <is>
          <t>3</t>
        </is>
      </c>
      <c r="B10861" s="3" t="inlineStr">
        <is>
          <t>Kepala Tukang</t>
        </is>
      </c>
      <c r="C10861" s="3" t="inlineStr">
        <is>
          <t>OH</t>
        </is>
      </c>
      <c r="D10861" s="15" t="n">
        <v>0.057</v>
      </c>
      <c r="E10861" s="4" t="n">
        <v>175000</v>
      </c>
      <c r="F10861" s="4" t="n">
        <v>9975</v>
      </c>
    </row>
    <row r="10862">
      <c r="A10862" s="3" t="inlineStr">
        <is>
          <t>4</t>
        </is>
      </c>
      <c r="B10862" s="3" t="inlineStr">
        <is>
          <t>Mandor</t>
        </is>
      </c>
      <c r="C10862" s="3" t="inlineStr">
        <is>
          <t>OH</t>
        </is>
      </c>
      <c r="D10862" s="15" t="n">
        <v>0.028</v>
      </c>
      <c r="E10862" s="4" t="n">
        <v>200000</v>
      </c>
      <c r="F10862" s="4" t="n">
        <v>5600</v>
      </c>
    </row>
    <row r="10863">
      <c r="A10863" s="3" t="inlineStr">
        <is>
          <t>1</t>
        </is>
      </c>
      <c r="B10863" s="3" t="inlineStr">
        <is>
          <t>Exhaust Louvre</t>
        </is>
      </c>
      <c r="C10863" s="3" t="inlineStr">
        <is>
          <t>Unit</t>
        </is>
      </c>
      <c r="D10863" s="15" t="n">
        <v>1.1</v>
      </c>
      <c r="E10863" s="4" t="n">
        <v>450000</v>
      </c>
      <c r="F10863" s="4" t="n">
        <v>495000.0000000001</v>
      </c>
    </row>
    <row r="10864">
      <c r="D10864" s="2" t="inlineStr">
        <is>
          <t>SUBTOTAL UPAH</t>
        </is>
      </c>
      <c r="F10864" s="16" t="n">
        <v>189090</v>
      </c>
    </row>
    <row r="10865">
      <c r="D10865" s="2" t="inlineStr">
        <is>
          <t>SUBTOTAL BAHAN</t>
        </is>
      </c>
      <c r="F10865" s="16" t="n">
        <v>495000.0000000001</v>
      </c>
    </row>
    <row r="10866">
      <c r="D10866" s="2" t="inlineStr">
        <is>
          <t>SUBTOTAL ALAT</t>
        </is>
      </c>
      <c r="F10866" s="16" t="n">
        <v>0</v>
      </c>
    </row>
    <row r="10867">
      <c r="E10867" s="2" t="inlineStr">
        <is>
          <t>TOTAL HARGA SATUAN (Inc. Overhead)</t>
        </is>
      </c>
      <c r="F10867" s="17" t="n">
        <v>752499</v>
      </c>
    </row>
    <row r="10869">
      <c r="A10869" s="14" t="inlineStr">
        <is>
          <t>KODE: 5.5.2.43 - Pemasangan 1 Unit Exhaust Louvre 1.000 x 400 mm</t>
        </is>
      </c>
    </row>
    <row r="10870">
      <c r="A10870" s="10" t="inlineStr">
        <is>
          <t>No</t>
        </is>
      </c>
      <c r="B10870" s="10" t="inlineStr">
        <is>
          <t>Uraian Komponen</t>
        </is>
      </c>
      <c r="C10870" s="10" t="inlineStr">
        <is>
          <t>Satuan</t>
        </is>
      </c>
      <c r="D10870" s="10" t="inlineStr">
        <is>
          <t>Koef</t>
        </is>
      </c>
      <c r="E10870" s="10" t="inlineStr">
        <is>
          <t>Harga Satuan (Rp)</t>
        </is>
      </c>
      <c r="F10870" s="10" t="inlineStr">
        <is>
          <t>Jumlah Harga (Rp)</t>
        </is>
      </c>
    </row>
    <row r="10871">
      <c r="A10871" s="3" t="inlineStr">
        <is>
          <t>1</t>
        </is>
      </c>
      <c r="B10871" s="3" t="inlineStr">
        <is>
          <t>Pekerja</t>
        </is>
      </c>
      <c r="C10871" s="3" t="inlineStr">
        <is>
          <t>OH</t>
        </is>
      </c>
      <c r="D10871" s="15" t="n">
        <v>0.633</v>
      </c>
      <c r="E10871" s="4" t="n">
        <v>100000</v>
      </c>
      <c r="F10871" s="4" t="n">
        <v>63300</v>
      </c>
    </row>
    <row r="10872">
      <c r="A10872" s="3" t="inlineStr">
        <is>
          <t>2</t>
        </is>
      </c>
      <c r="B10872" s="3" t="inlineStr">
        <is>
          <t>Tukang listrik</t>
        </is>
      </c>
      <c r="C10872" s="3" t="inlineStr">
        <is>
          <t>OH</t>
        </is>
      </c>
      <c r="D10872" s="15" t="n">
        <v>1.058</v>
      </c>
      <c r="E10872" s="4" t="n">
        <v>145000</v>
      </c>
      <c r="F10872" s="4" t="n">
        <v>153410</v>
      </c>
    </row>
    <row r="10873">
      <c r="A10873" s="3" t="inlineStr">
        <is>
          <t>3</t>
        </is>
      </c>
      <c r="B10873" s="3" t="inlineStr">
        <is>
          <t>Kepala Tukang</t>
        </is>
      </c>
      <c r="C10873" s="3" t="inlineStr">
        <is>
          <t>OH</t>
        </is>
      </c>
      <c r="D10873" s="15" t="n">
        <v>0.106</v>
      </c>
      <c r="E10873" s="4" t="n">
        <v>175000</v>
      </c>
      <c r="F10873" s="4" t="n">
        <v>18550</v>
      </c>
    </row>
    <row r="10874">
      <c r="A10874" s="3" t="inlineStr">
        <is>
          <t>4</t>
        </is>
      </c>
      <c r="B10874" s="3" t="inlineStr">
        <is>
          <t>Mandor</t>
        </is>
      </c>
      <c r="C10874" s="3" t="inlineStr">
        <is>
          <t>OH</t>
        </is>
      </c>
      <c r="D10874" s="15" t="n">
        <v>0.035</v>
      </c>
      <c r="E10874" s="4" t="n">
        <v>200000</v>
      </c>
      <c r="F10874" s="4" t="n">
        <v>7000.000000000001</v>
      </c>
    </row>
    <row r="10875">
      <c r="A10875" s="3" t="inlineStr">
        <is>
          <t>1</t>
        </is>
      </c>
      <c r="B10875" s="3" t="inlineStr">
        <is>
          <t>Exhaust Louvre</t>
        </is>
      </c>
      <c r="C10875" s="3" t="inlineStr">
        <is>
          <t>Unit</t>
        </is>
      </c>
      <c r="D10875" s="15" t="n">
        <v>1.1</v>
      </c>
      <c r="E10875" s="4" t="n">
        <v>450000</v>
      </c>
      <c r="F10875" s="4" t="n">
        <v>495000.0000000001</v>
      </c>
    </row>
    <row r="10876">
      <c r="D10876" s="2" t="inlineStr">
        <is>
          <t>SUBTOTAL UPAH</t>
        </is>
      </c>
      <c r="F10876" s="16" t="n">
        <v>242260</v>
      </c>
    </row>
    <row r="10877">
      <c r="D10877" s="2" t="inlineStr">
        <is>
          <t>SUBTOTAL BAHAN</t>
        </is>
      </c>
      <c r="F10877" s="16" t="n">
        <v>495000.0000000001</v>
      </c>
    </row>
    <row r="10878">
      <c r="D10878" s="2" t="inlineStr">
        <is>
          <t>SUBTOTAL ALAT</t>
        </is>
      </c>
      <c r="F10878" s="16" t="n">
        <v>0</v>
      </c>
    </row>
    <row r="10879">
      <c r="E10879" s="2" t="inlineStr">
        <is>
          <t>TOTAL HARGA SATUAN (Inc. Overhead)</t>
        </is>
      </c>
      <c r="F10879" s="17" t="n">
        <v>810986</v>
      </c>
    </row>
    <row r="10881">
      <c r="A10881" s="14" t="inlineStr">
        <is>
          <t>KODE: 5.5.2.44 - Pemasangan 1 Unit Exhaust Louvre 1.000 x 400 mm &amp; 1.000 x 450 mm</t>
        </is>
      </c>
    </row>
    <row r="10882">
      <c r="A10882" s="10" t="inlineStr">
        <is>
          <t>No</t>
        </is>
      </c>
      <c r="B10882" s="10" t="inlineStr">
        <is>
          <t>Uraian Komponen</t>
        </is>
      </c>
      <c r="C10882" s="10" t="inlineStr">
        <is>
          <t>Satuan</t>
        </is>
      </c>
      <c r="D10882" s="10" t="inlineStr">
        <is>
          <t>Koef</t>
        </is>
      </c>
      <c r="E10882" s="10" t="inlineStr">
        <is>
          <t>Harga Satuan (Rp)</t>
        </is>
      </c>
      <c r="F10882" s="10" t="inlineStr">
        <is>
          <t>Jumlah Harga (Rp)</t>
        </is>
      </c>
    </row>
    <row r="10883">
      <c r="A10883" s="3" t="inlineStr">
        <is>
          <t>1</t>
        </is>
      </c>
      <c r="B10883" s="3" t="inlineStr">
        <is>
          <t>Pekerja</t>
        </is>
      </c>
      <c r="C10883" s="3" t="inlineStr">
        <is>
          <t>OH</t>
        </is>
      </c>
      <c r="D10883" s="15" t="n">
        <v>0.633</v>
      </c>
      <c r="E10883" s="4" t="n">
        <v>100000</v>
      </c>
      <c r="F10883" s="4" t="n">
        <v>63300</v>
      </c>
    </row>
    <row r="10884">
      <c r="A10884" s="3" t="inlineStr">
        <is>
          <t>2</t>
        </is>
      </c>
      <c r="B10884" s="3" t="inlineStr">
        <is>
          <t>Tukang listrik</t>
        </is>
      </c>
      <c r="C10884" s="3" t="inlineStr">
        <is>
          <t>OH</t>
        </is>
      </c>
      <c r="D10884" s="15" t="n">
        <v>1.058</v>
      </c>
      <c r="E10884" s="4" t="n">
        <v>145000</v>
      </c>
      <c r="F10884" s="4" t="n">
        <v>153410</v>
      </c>
    </row>
    <row r="10885">
      <c r="A10885" s="3" t="inlineStr">
        <is>
          <t>3</t>
        </is>
      </c>
      <c r="B10885" s="3" t="inlineStr">
        <is>
          <t>Kepala Tukang</t>
        </is>
      </c>
      <c r="C10885" s="3" t="inlineStr">
        <is>
          <t>OH</t>
        </is>
      </c>
      <c r="D10885" s="15" t="n">
        <v>0.106</v>
      </c>
      <c r="E10885" s="4" t="n">
        <v>175000</v>
      </c>
      <c r="F10885" s="4" t="n">
        <v>18550</v>
      </c>
    </row>
    <row r="10886">
      <c r="A10886" s="3" t="inlineStr">
        <is>
          <t>4</t>
        </is>
      </c>
      <c r="B10886" s="3" t="inlineStr">
        <is>
          <t>Mandor</t>
        </is>
      </c>
      <c r="C10886" s="3" t="inlineStr">
        <is>
          <t>OH</t>
        </is>
      </c>
      <c r="D10886" s="15" t="n">
        <v>0.035</v>
      </c>
      <c r="E10886" s="4" t="n">
        <v>200000</v>
      </c>
      <c r="F10886" s="4" t="n">
        <v>7000.000000000001</v>
      </c>
    </row>
    <row r="10887">
      <c r="A10887" s="3" t="inlineStr">
        <is>
          <t>1</t>
        </is>
      </c>
      <c r="B10887" s="3" t="inlineStr">
        <is>
          <t>Exhaust Louvre</t>
        </is>
      </c>
      <c r="C10887" s="3" t="inlineStr">
        <is>
          <t>Unit</t>
        </is>
      </c>
      <c r="D10887" s="15" t="n">
        <v>1.1</v>
      </c>
      <c r="E10887" s="4" t="n">
        <v>450000</v>
      </c>
      <c r="F10887" s="4" t="n">
        <v>495000.0000000001</v>
      </c>
    </row>
    <row r="10888">
      <c r="D10888" s="2" t="inlineStr">
        <is>
          <t>SUBTOTAL UPAH</t>
        </is>
      </c>
      <c r="F10888" s="16" t="n">
        <v>242260</v>
      </c>
    </row>
    <row r="10889">
      <c r="D10889" s="2" t="inlineStr">
        <is>
          <t>SUBTOTAL BAHAN</t>
        </is>
      </c>
      <c r="F10889" s="16" t="n">
        <v>495000.0000000001</v>
      </c>
    </row>
    <row r="10890">
      <c r="D10890" s="2" t="inlineStr">
        <is>
          <t>SUBTOTAL ALAT</t>
        </is>
      </c>
      <c r="F10890" s="16" t="n">
        <v>0</v>
      </c>
    </row>
    <row r="10891">
      <c r="E10891" s="2" t="inlineStr">
        <is>
          <t>TOTAL HARGA SATUAN (Inc. Overhead)</t>
        </is>
      </c>
      <c r="F10891" s="17" t="n">
        <v>810986</v>
      </c>
    </row>
    <row r="10893">
      <c r="A10893" s="14" t="inlineStr">
        <is>
          <t>KODE: 5.5.2.45 - Pemasangan 1 Tititk Kabel Powwer Fan NYM 3 x 2,5 mm2</t>
        </is>
      </c>
    </row>
    <row r="10894">
      <c r="A10894" s="10" t="inlineStr">
        <is>
          <t>No</t>
        </is>
      </c>
      <c r="B10894" s="10" t="inlineStr">
        <is>
          <t>Uraian Komponen</t>
        </is>
      </c>
      <c r="C10894" s="10" t="inlineStr">
        <is>
          <t>Satuan</t>
        </is>
      </c>
      <c r="D10894" s="10" t="inlineStr">
        <is>
          <t>Koef</t>
        </is>
      </c>
      <c r="E10894" s="10" t="inlineStr">
        <is>
          <t>Harga Satuan (Rp)</t>
        </is>
      </c>
      <c r="F10894" s="10" t="inlineStr">
        <is>
          <t>Jumlah Harga (Rp)</t>
        </is>
      </c>
    </row>
    <row r="10895">
      <c r="A10895" s="3" t="inlineStr">
        <is>
          <t>1</t>
        </is>
      </c>
      <c r="B10895" s="3" t="inlineStr">
        <is>
          <t>Pekerja</t>
        </is>
      </c>
      <c r="C10895" s="3" t="inlineStr">
        <is>
          <t>OH</t>
        </is>
      </c>
      <c r="D10895" s="15" t="n">
        <v>0.024</v>
      </c>
      <c r="E10895" s="4" t="n">
        <v>100000</v>
      </c>
      <c r="F10895" s="4" t="n">
        <v>2400</v>
      </c>
    </row>
    <row r="10896">
      <c r="A10896" s="3" t="inlineStr">
        <is>
          <t>2</t>
        </is>
      </c>
      <c r="B10896" s="3" t="inlineStr">
        <is>
          <t>Tukang listrik</t>
        </is>
      </c>
      <c r="C10896" s="3" t="inlineStr">
        <is>
          <t>OH</t>
        </is>
      </c>
      <c r="D10896" s="15" t="n">
        <v>0.04</v>
      </c>
      <c r="E10896" s="4" t="n">
        <v>145000</v>
      </c>
      <c r="F10896" s="4" t="n">
        <v>5800</v>
      </c>
    </row>
    <row r="10897">
      <c r="A10897" s="3" t="inlineStr">
        <is>
          <t>3</t>
        </is>
      </c>
      <c r="B10897" s="3" t="inlineStr">
        <is>
          <t>Kepala Tukang</t>
        </is>
      </c>
      <c r="C10897" s="3" t="inlineStr">
        <is>
          <t>OH</t>
        </is>
      </c>
      <c r="D10897" s="15" t="n">
        <v>0.004</v>
      </c>
      <c r="E10897" s="4" t="n">
        <v>175000</v>
      </c>
      <c r="F10897" s="4" t="n">
        <v>700</v>
      </c>
    </row>
    <row r="10898">
      <c r="A10898" s="3" t="inlineStr">
        <is>
          <t>4</t>
        </is>
      </c>
      <c r="B10898" s="3" t="inlineStr">
        <is>
          <t>Mandor</t>
        </is>
      </c>
      <c r="C10898" s="3" t="inlineStr">
        <is>
          <t>OH</t>
        </is>
      </c>
      <c r="D10898" s="15" t="n">
        <v>0.001</v>
      </c>
      <c r="E10898" s="4" t="n">
        <v>200000</v>
      </c>
      <c r="F10898" s="4" t="n">
        <v>200</v>
      </c>
    </row>
    <row r="10899">
      <c r="A10899" s="3" t="inlineStr">
        <is>
          <t>1</t>
        </is>
      </c>
      <c r="B10899" s="3" t="inlineStr">
        <is>
          <t>"Kabel NYM 3 x 2 5 mm²"</t>
        </is>
      </c>
      <c r="C10899" s="3" t="inlineStr">
        <is>
          <t>m</t>
        </is>
      </c>
      <c r="D10899" s="15" t="n">
        <v>22.6</v>
      </c>
      <c r="E10899" s="4" t="n">
        <v>21300</v>
      </c>
      <c r="F10899" s="4" t="n">
        <v>481380.0000000001</v>
      </c>
    </row>
    <row r="10900">
      <c r="D10900" s="2" t="inlineStr">
        <is>
          <t>SUBTOTAL UPAH</t>
        </is>
      </c>
      <c r="F10900" s="16" t="n">
        <v>9100</v>
      </c>
    </row>
    <row r="10901">
      <c r="D10901" s="2" t="inlineStr">
        <is>
          <t>SUBTOTAL BAHAN</t>
        </is>
      </c>
      <c r="F10901" s="16" t="n">
        <v>481380.0000000001</v>
      </c>
    </row>
    <row r="10902">
      <c r="D10902" s="2" t="inlineStr">
        <is>
          <t>SUBTOTAL ALAT</t>
        </is>
      </c>
      <c r="F10902" s="16" t="n">
        <v>0</v>
      </c>
    </row>
    <row r="10903">
      <c r="E10903" s="2" t="inlineStr">
        <is>
          <t>TOTAL HARGA SATUAN (Inc. Overhead)</t>
        </is>
      </c>
      <c r="F10903" s="17" t="n">
        <v>539528</v>
      </c>
    </row>
    <row r="10905">
      <c r="A10905" s="14" t="inlineStr">
        <is>
          <t>KODE: 5.5.2.46 - Pemasangan 1 Tititk Kabel Kontrol  Fan NYM 3 x 2,5 mm2</t>
        </is>
      </c>
    </row>
    <row r="10906">
      <c r="A10906" s="10" t="inlineStr">
        <is>
          <t>No</t>
        </is>
      </c>
      <c r="B10906" s="10" t="inlineStr">
        <is>
          <t>Uraian Komponen</t>
        </is>
      </c>
      <c r="C10906" s="10" t="inlineStr">
        <is>
          <t>Satuan</t>
        </is>
      </c>
      <c r="D10906" s="10" t="inlineStr">
        <is>
          <t>Koef</t>
        </is>
      </c>
      <c r="E10906" s="10" t="inlineStr">
        <is>
          <t>Harga Satuan (Rp)</t>
        </is>
      </c>
      <c r="F10906" s="10" t="inlineStr">
        <is>
          <t>Jumlah Harga (Rp)</t>
        </is>
      </c>
    </row>
    <row r="10907">
      <c r="A10907" s="3" t="inlineStr">
        <is>
          <t>1</t>
        </is>
      </c>
      <c r="B10907" s="3" t="inlineStr">
        <is>
          <t>Pekerja</t>
        </is>
      </c>
      <c r="C10907" s="3" t="inlineStr">
        <is>
          <t>OH</t>
        </is>
      </c>
      <c r="D10907" s="15" t="n">
        <v>0.024</v>
      </c>
      <c r="E10907" s="4" t="n">
        <v>100000</v>
      </c>
      <c r="F10907" s="4" t="n">
        <v>2400</v>
      </c>
    </row>
    <row r="10908">
      <c r="A10908" s="3" t="inlineStr">
        <is>
          <t>2</t>
        </is>
      </c>
      <c r="B10908" s="3" t="inlineStr">
        <is>
          <t>Tukang listrik</t>
        </is>
      </c>
      <c r="C10908" s="3" t="inlineStr">
        <is>
          <t>OH</t>
        </is>
      </c>
      <c r="D10908" s="15" t="n">
        <v>0.04</v>
      </c>
      <c r="E10908" s="4" t="n">
        <v>145000</v>
      </c>
      <c r="F10908" s="4" t="n">
        <v>5800</v>
      </c>
    </row>
    <row r="10909">
      <c r="A10909" s="3" t="inlineStr">
        <is>
          <t>3</t>
        </is>
      </c>
      <c r="B10909" s="3" t="inlineStr">
        <is>
          <t>Kepala Tukang</t>
        </is>
      </c>
      <c r="C10909" s="3" t="inlineStr">
        <is>
          <t>OH</t>
        </is>
      </c>
      <c r="D10909" s="15" t="n">
        <v>0.004</v>
      </c>
      <c r="E10909" s="4" t="n">
        <v>175000</v>
      </c>
      <c r="F10909" s="4" t="n">
        <v>700</v>
      </c>
    </row>
    <row r="10910">
      <c r="A10910" s="3" t="inlineStr">
        <is>
          <t>4</t>
        </is>
      </c>
      <c r="B10910" s="3" t="inlineStr">
        <is>
          <t>Mandor</t>
        </is>
      </c>
      <c r="C10910" s="3" t="inlineStr">
        <is>
          <t>OH</t>
        </is>
      </c>
      <c r="D10910" s="15" t="n">
        <v>0.001</v>
      </c>
      <c r="E10910" s="4" t="n">
        <v>200000</v>
      </c>
      <c r="F10910" s="4" t="n">
        <v>200</v>
      </c>
    </row>
    <row r="10911">
      <c r="A10911" s="3" t="inlineStr">
        <is>
          <t>1</t>
        </is>
      </c>
      <c r="B10911" s="3" t="inlineStr">
        <is>
          <t>"Kabel NYM 3 x 2 5 mm²"</t>
        </is>
      </c>
      <c r="C10911" s="3" t="inlineStr">
        <is>
          <t>m</t>
        </is>
      </c>
      <c r="D10911" s="15" t="n">
        <v>11.3</v>
      </c>
      <c r="E10911" s="4" t="n">
        <v>21300</v>
      </c>
      <c r="F10911" s="4" t="n">
        <v>240690</v>
      </c>
    </row>
    <row r="10912">
      <c r="D10912" s="2" t="inlineStr">
        <is>
          <t>SUBTOTAL UPAH</t>
        </is>
      </c>
      <c r="F10912" s="16" t="n">
        <v>9100</v>
      </c>
    </row>
    <row r="10913">
      <c r="D10913" s="2" t="inlineStr">
        <is>
          <t>SUBTOTAL BAHAN</t>
        </is>
      </c>
      <c r="F10913" s="16" t="n">
        <v>240690</v>
      </c>
    </row>
    <row r="10914">
      <c r="D10914" s="2" t="inlineStr">
        <is>
          <t>SUBTOTAL ALAT</t>
        </is>
      </c>
      <c r="F10914" s="16" t="n">
        <v>0</v>
      </c>
    </row>
    <row r="10915">
      <c r="E10915" s="2" t="inlineStr">
        <is>
          <t>TOTAL HARGA SATUAN (Inc. Overhead)</t>
        </is>
      </c>
      <c r="F10915" s="17" t="n">
        <v>274769</v>
      </c>
    </row>
    <row r="10917">
      <c r="A10917" s="14" t="inlineStr">
        <is>
          <t>KODE: 5.5.2.47 - Pemasangan 1 Unit Proppeller Fan ; 370 CMF</t>
        </is>
      </c>
    </row>
    <row r="10918">
      <c r="A10918" s="10" t="inlineStr">
        <is>
          <t>No</t>
        </is>
      </c>
      <c r="B10918" s="10" t="inlineStr">
        <is>
          <t>Uraian Komponen</t>
        </is>
      </c>
      <c r="C10918" s="10" t="inlineStr">
        <is>
          <t>Satuan</t>
        </is>
      </c>
      <c r="D10918" s="10" t="inlineStr">
        <is>
          <t>Koef</t>
        </is>
      </c>
      <c r="E10918" s="10" t="inlineStr">
        <is>
          <t>Harga Satuan (Rp)</t>
        </is>
      </c>
      <c r="F10918" s="10" t="inlineStr">
        <is>
          <t>Jumlah Harga (Rp)</t>
        </is>
      </c>
    </row>
    <row r="10919">
      <c r="A10919" s="3" t="inlineStr">
        <is>
          <t>1</t>
        </is>
      </c>
      <c r="B10919" s="3" t="inlineStr">
        <is>
          <t>Pekerja</t>
        </is>
      </c>
      <c r="C10919" s="3" t="inlineStr">
        <is>
          <t>OH</t>
        </is>
      </c>
      <c r="D10919" s="15" t="n">
        <v>0.507</v>
      </c>
      <c r="E10919" s="4" t="n">
        <v>100000</v>
      </c>
      <c r="F10919" s="4" t="n">
        <v>50700</v>
      </c>
    </row>
    <row r="10920">
      <c r="A10920" s="3" t="inlineStr">
        <is>
          <t>2</t>
        </is>
      </c>
      <c r="B10920" s="3" t="inlineStr">
        <is>
          <t>Tukang listrik</t>
        </is>
      </c>
      <c r="C10920" s="3" t="inlineStr">
        <is>
          <t>OH</t>
        </is>
      </c>
      <c r="D10920" s="15" t="n">
        <v>0.847</v>
      </c>
      <c r="E10920" s="4" t="n">
        <v>145000</v>
      </c>
      <c r="F10920" s="4" t="n">
        <v>122815</v>
      </c>
    </row>
    <row r="10921">
      <c r="A10921" s="3" t="inlineStr">
        <is>
          <t>3</t>
        </is>
      </c>
      <c r="B10921" s="3" t="inlineStr">
        <is>
          <t>Kepala Tukang</t>
        </is>
      </c>
      <c r="C10921" s="3" t="inlineStr">
        <is>
          <t>OH</t>
        </is>
      </c>
      <c r="D10921" s="15" t="n">
        <v>0.08500000000000001</v>
      </c>
      <c r="E10921" s="4" t="n">
        <v>175000</v>
      </c>
      <c r="F10921" s="4" t="n">
        <v>14875</v>
      </c>
    </row>
    <row r="10922">
      <c r="A10922" s="3" t="inlineStr">
        <is>
          <t>4</t>
        </is>
      </c>
      <c r="B10922" s="3" t="inlineStr">
        <is>
          <t>Mandor</t>
        </is>
      </c>
      <c r="C10922" s="3" t="inlineStr">
        <is>
          <t>OH</t>
        </is>
      </c>
      <c r="D10922" s="15" t="n">
        <v>0.028</v>
      </c>
      <c r="E10922" s="4" t="n">
        <v>200000</v>
      </c>
      <c r="F10922" s="4" t="n">
        <v>5600</v>
      </c>
    </row>
    <row r="10923">
      <c r="A10923" s="3" t="inlineStr">
        <is>
          <t>1</t>
        </is>
      </c>
      <c r="B10923" s="3" t="inlineStr">
        <is>
          <t>"Propeller Fan 370 CFM"</t>
        </is>
      </c>
      <c r="C10923" s="3" t="inlineStr">
        <is>
          <t>m</t>
        </is>
      </c>
      <c r="D10923" s="15" t="n">
        <v>1.1</v>
      </c>
      <c r="E10923" s="4" t="n">
        <v>250000</v>
      </c>
      <c r="F10923" s="4" t="n">
        <v>275000</v>
      </c>
    </row>
    <row r="10924">
      <c r="D10924" s="2" t="inlineStr">
        <is>
          <t>SUBTOTAL UPAH</t>
        </is>
      </c>
      <c r="F10924" s="16" t="n">
        <v>193990</v>
      </c>
    </row>
    <row r="10925">
      <c r="D10925" s="2" t="inlineStr">
        <is>
          <t>SUBTOTAL BAHAN</t>
        </is>
      </c>
      <c r="F10925" s="16" t="n">
        <v>275000</v>
      </c>
    </row>
    <row r="10926">
      <c r="D10926" s="2" t="inlineStr">
        <is>
          <t>SUBTOTAL ALAT</t>
        </is>
      </c>
      <c r="F10926" s="16" t="n">
        <v>0</v>
      </c>
    </row>
    <row r="10927">
      <c r="E10927" s="2" t="inlineStr">
        <is>
          <t>TOTAL HARGA SATUAN (Inc. Overhead)</t>
        </is>
      </c>
      <c r="F10927" s="17" t="n">
        <v>515889</v>
      </c>
    </row>
    <row r="10929">
      <c r="A10929" s="14" t="inlineStr">
        <is>
          <t>KODE: 5.5.2.48 - Pemasangan 1 Unit Proppeller Fan ; 1200 CMF</t>
        </is>
      </c>
    </row>
    <row r="10930">
      <c r="A10930" s="10" t="inlineStr">
        <is>
          <t>No</t>
        </is>
      </c>
      <c r="B10930" s="10" t="inlineStr">
        <is>
          <t>Uraian Komponen</t>
        </is>
      </c>
      <c r="C10930" s="10" t="inlineStr">
        <is>
          <t>Satuan</t>
        </is>
      </c>
      <c r="D10930" s="10" t="inlineStr">
        <is>
          <t>Koef</t>
        </is>
      </c>
      <c r="E10930" s="10" t="inlineStr">
        <is>
          <t>Harga Satuan (Rp)</t>
        </is>
      </c>
      <c r="F10930" s="10" t="inlineStr">
        <is>
          <t>Jumlah Harga (Rp)</t>
        </is>
      </c>
    </row>
    <row r="10931">
      <c r="A10931" s="3" t="inlineStr">
        <is>
          <t>1</t>
        </is>
      </c>
      <c r="B10931" s="3" t="inlineStr">
        <is>
          <t>Pekerja</t>
        </is>
      </c>
      <c r="C10931" s="3" t="inlineStr">
        <is>
          <t>OH</t>
        </is>
      </c>
      <c r="D10931" s="15" t="n">
        <v>1.333</v>
      </c>
      <c r="E10931" s="4" t="n">
        <v>100000</v>
      </c>
      <c r="F10931" s="4" t="n">
        <v>133300</v>
      </c>
    </row>
    <row r="10932">
      <c r="A10932" s="3" t="inlineStr">
        <is>
          <t>2</t>
        </is>
      </c>
      <c r="B10932" s="3" t="inlineStr">
        <is>
          <t>Tukang listrik</t>
        </is>
      </c>
      <c r="C10932" s="3" t="inlineStr">
        <is>
          <t>OH</t>
        </is>
      </c>
      <c r="D10932" s="15" t="n">
        <v>2.227</v>
      </c>
      <c r="E10932" s="4" t="n">
        <v>145000</v>
      </c>
      <c r="F10932" s="4" t="n">
        <v>322915</v>
      </c>
    </row>
    <row r="10933">
      <c r="A10933" s="3" t="inlineStr">
        <is>
          <t>3</t>
        </is>
      </c>
      <c r="B10933" s="3" t="inlineStr">
        <is>
          <t>Kepala Tukang</t>
        </is>
      </c>
      <c r="C10933" s="3" t="inlineStr">
        <is>
          <t>OH</t>
        </is>
      </c>
      <c r="D10933" s="15" t="n">
        <v>0.223</v>
      </c>
      <c r="E10933" s="4" t="n">
        <v>175000</v>
      </c>
      <c r="F10933" s="4" t="n">
        <v>39025</v>
      </c>
    </row>
    <row r="10934">
      <c r="A10934" s="3" t="inlineStr">
        <is>
          <t>4</t>
        </is>
      </c>
      <c r="B10934" s="3" t="inlineStr">
        <is>
          <t>Mandor</t>
        </is>
      </c>
      <c r="C10934" s="3" t="inlineStr">
        <is>
          <t>OH</t>
        </is>
      </c>
      <c r="D10934" s="15" t="n">
        <v>0.074</v>
      </c>
      <c r="E10934" s="4" t="n">
        <v>200000</v>
      </c>
      <c r="F10934" s="4" t="n">
        <v>14800</v>
      </c>
    </row>
    <row r="10935">
      <c r="A10935" s="3" t="inlineStr">
        <is>
          <t>1</t>
        </is>
      </c>
      <c r="B10935" s="3" t="inlineStr">
        <is>
          <t>"Propeller Fan 1200 CFM"</t>
        </is>
      </c>
      <c r="C10935" s="3" t="inlineStr">
        <is>
          <t>unit</t>
        </is>
      </c>
      <c r="D10935" s="15" t="n">
        <v>1.1</v>
      </c>
      <c r="E10935" s="4" t="n">
        <v>4500000</v>
      </c>
      <c r="F10935" s="4" t="n">
        <v>4950000</v>
      </c>
    </row>
    <row r="10936">
      <c r="D10936" s="2" t="inlineStr">
        <is>
          <t>SUBTOTAL UPAH</t>
        </is>
      </c>
      <c r="F10936" s="16" t="n">
        <v>510040</v>
      </c>
    </row>
    <row r="10937">
      <c r="D10937" s="2" t="inlineStr">
        <is>
          <t>SUBTOTAL BAHAN</t>
        </is>
      </c>
      <c r="F10937" s="16" t="n">
        <v>4950000</v>
      </c>
    </row>
    <row r="10938">
      <c r="D10938" s="2" t="inlineStr">
        <is>
          <t>SUBTOTAL ALAT</t>
        </is>
      </c>
      <c r="F10938" s="16" t="n">
        <v>0</v>
      </c>
    </row>
    <row r="10939">
      <c r="E10939" s="2" t="inlineStr">
        <is>
          <t>TOTAL HARGA SATUAN (Inc. Overhead)</t>
        </is>
      </c>
      <c r="F10939" s="17" t="n">
        <v>6006044</v>
      </c>
    </row>
    <row r="10941">
      <c r="A10941" s="14" t="inlineStr">
        <is>
          <t>KODE: 5.5.2.49 - Pemasangan 1 Titik Kabel Power Exhaust Fan NYY 3x2,5 mm2</t>
        </is>
      </c>
    </row>
    <row r="10942">
      <c r="A10942" s="10" t="inlineStr">
        <is>
          <t>No</t>
        </is>
      </c>
      <c r="B10942" s="10" t="inlineStr">
        <is>
          <t>Uraian Komponen</t>
        </is>
      </c>
      <c r="C10942" s="10" t="inlineStr">
        <is>
          <t>Satuan</t>
        </is>
      </c>
      <c r="D10942" s="10" t="inlineStr">
        <is>
          <t>Koef</t>
        </is>
      </c>
      <c r="E10942" s="10" t="inlineStr">
        <is>
          <t>Harga Satuan (Rp)</t>
        </is>
      </c>
      <c r="F10942" s="10" t="inlineStr">
        <is>
          <t>Jumlah Harga (Rp)</t>
        </is>
      </c>
    </row>
    <row r="10943">
      <c r="A10943" s="3" t="inlineStr">
        <is>
          <t>1</t>
        </is>
      </c>
      <c r="B10943" s="3" t="inlineStr">
        <is>
          <t>Pekerja</t>
        </is>
      </c>
      <c r="C10943" s="3" t="inlineStr">
        <is>
          <t>OH</t>
        </is>
      </c>
      <c r="D10943" s="15" t="n">
        <v>0.024</v>
      </c>
      <c r="E10943" s="4" t="n">
        <v>100000</v>
      </c>
      <c r="F10943" s="4" t="n">
        <v>2400</v>
      </c>
    </row>
    <row r="10944">
      <c r="A10944" s="3" t="inlineStr">
        <is>
          <t>2</t>
        </is>
      </c>
      <c r="B10944" s="3" t="inlineStr">
        <is>
          <t>Tukang listrik</t>
        </is>
      </c>
      <c r="C10944" s="3" t="inlineStr">
        <is>
          <t>OH</t>
        </is>
      </c>
      <c r="D10944" s="15" t="n">
        <v>0.04</v>
      </c>
      <c r="E10944" s="4" t="n">
        <v>145000</v>
      </c>
      <c r="F10944" s="4" t="n">
        <v>5800</v>
      </c>
    </row>
    <row r="10945">
      <c r="A10945" s="3" t="inlineStr">
        <is>
          <t>3</t>
        </is>
      </c>
      <c r="B10945" s="3" t="inlineStr">
        <is>
          <t>Kepala Tukang</t>
        </is>
      </c>
      <c r="C10945" s="3" t="inlineStr">
        <is>
          <t>OH</t>
        </is>
      </c>
      <c r="D10945" s="15" t="n">
        <v>0.004</v>
      </c>
      <c r="E10945" s="4" t="n">
        <v>175000</v>
      </c>
      <c r="F10945" s="4" t="n">
        <v>700</v>
      </c>
    </row>
    <row r="10946">
      <c r="A10946" s="3" t="inlineStr">
        <is>
          <t>4</t>
        </is>
      </c>
      <c r="B10946" s="3" t="inlineStr">
        <is>
          <t>Mandor</t>
        </is>
      </c>
      <c r="C10946" s="3" t="inlineStr">
        <is>
          <t>OH</t>
        </is>
      </c>
      <c r="D10946" s="15" t="n">
        <v>0.001</v>
      </c>
      <c r="E10946" s="4" t="n">
        <v>200000</v>
      </c>
      <c r="F10946" s="4" t="n">
        <v>200</v>
      </c>
    </row>
    <row r="10947">
      <c r="A10947" s="3" t="inlineStr">
        <is>
          <t>1</t>
        </is>
      </c>
      <c r="B10947" s="3" t="inlineStr">
        <is>
          <t>"Kabel NYY 3 x 2 5 mm²"</t>
        </is>
      </c>
      <c r="C10947" s="3" t="inlineStr">
        <is>
          <t>m'</t>
        </is>
      </c>
      <c r="D10947" s="15" t="n">
        <v>22.6</v>
      </c>
      <c r="E10947" s="4" t="n">
        <v>21500</v>
      </c>
      <c r="F10947" s="4" t="n">
        <v>485900.0000000001</v>
      </c>
    </row>
    <row r="10948">
      <c r="D10948" s="2" t="inlineStr">
        <is>
          <t>SUBTOTAL UPAH</t>
        </is>
      </c>
      <c r="F10948" s="16" t="n">
        <v>9100</v>
      </c>
    </row>
    <row r="10949">
      <c r="D10949" s="2" t="inlineStr">
        <is>
          <t>SUBTOTAL BAHAN</t>
        </is>
      </c>
      <c r="F10949" s="16" t="n">
        <v>485900.0000000001</v>
      </c>
    </row>
    <row r="10950">
      <c r="D10950" s="2" t="inlineStr">
        <is>
          <t>SUBTOTAL ALAT</t>
        </is>
      </c>
      <c r="F10950" s="16" t="n">
        <v>0</v>
      </c>
    </row>
    <row r="10951">
      <c r="E10951" s="2" t="inlineStr">
        <is>
          <t>TOTAL HARGA SATUAN (Inc. Overhead)</t>
        </is>
      </c>
      <c r="F10951" s="17" t="n">
        <v>544500</v>
      </c>
    </row>
    <row r="10953">
      <c r="A10953" s="14" t="inlineStr">
        <is>
          <t>KODE: 5.5.2.50 - Pemasangan 1 Unit Exhaust Grille dia. 4"</t>
        </is>
      </c>
    </row>
    <row r="10954">
      <c r="A10954" s="10" t="inlineStr">
        <is>
          <t>No</t>
        </is>
      </c>
      <c r="B10954" s="10" t="inlineStr">
        <is>
          <t>Uraian Komponen</t>
        </is>
      </c>
      <c r="C10954" s="10" t="inlineStr">
        <is>
          <t>Satuan</t>
        </is>
      </c>
      <c r="D10954" s="10" t="inlineStr">
        <is>
          <t>Koef</t>
        </is>
      </c>
      <c r="E10954" s="10" t="inlineStr">
        <is>
          <t>Harga Satuan (Rp)</t>
        </is>
      </c>
      <c r="F10954" s="10" t="inlineStr">
        <is>
          <t>Jumlah Harga (Rp)</t>
        </is>
      </c>
    </row>
    <row r="10955">
      <c r="A10955" s="3" t="inlineStr">
        <is>
          <t>1</t>
        </is>
      </c>
      <c r="B10955" s="3" t="inlineStr">
        <is>
          <t>Pekerja</t>
        </is>
      </c>
      <c r="C10955" s="3" t="inlineStr">
        <is>
          <t>OH</t>
        </is>
      </c>
      <c r="D10955" s="15" t="n">
        <v>0.064</v>
      </c>
      <c r="E10955" s="4" t="n">
        <v>100000</v>
      </c>
      <c r="F10955" s="4" t="n">
        <v>6400</v>
      </c>
    </row>
    <row r="10956">
      <c r="A10956" s="3" t="inlineStr">
        <is>
          <t>2</t>
        </is>
      </c>
      <c r="B10956" s="3" t="inlineStr">
        <is>
          <t>Tukang listrik</t>
        </is>
      </c>
      <c r="C10956" s="3" t="inlineStr">
        <is>
          <t>OH</t>
        </is>
      </c>
      <c r="D10956" s="15" t="n">
        <v>0.107</v>
      </c>
      <c r="E10956" s="4" t="n">
        <v>145000</v>
      </c>
      <c r="F10956" s="4" t="n">
        <v>15515</v>
      </c>
    </row>
    <row r="10957">
      <c r="A10957" s="3" t="inlineStr">
        <is>
          <t>3</t>
        </is>
      </c>
      <c r="B10957" s="3" t="inlineStr">
        <is>
          <t>Kepala Tukang</t>
        </is>
      </c>
      <c r="C10957" s="3" t="inlineStr">
        <is>
          <t>OH</t>
        </is>
      </c>
      <c r="D10957" s="15" t="n">
        <v>0.011</v>
      </c>
      <c r="E10957" s="4" t="n">
        <v>175000</v>
      </c>
      <c r="F10957" s="4" t="n">
        <v>1925</v>
      </c>
    </row>
    <row r="10958">
      <c r="A10958" s="3" t="inlineStr">
        <is>
          <t>4</t>
        </is>
      </c>
      <c r="B10958" s="3" t="inlineStr">
        <is>
          <t>Mandor</t>
        </is>
      </c>
      <c r="C10958" s="3" t="inlineStr">
        <is>
          <t>OH</t>
        </is>
      </c>
      <c r="D10958" s="15" t="n">
        <v>0.004</v>
      </c>
      <c r="E10958" s="4" t="n">
        <v>200000</v>
      </c>
      <c r="F10958" s="4" t="n">
        <v>800</v>
      </c>
    </row>
    <row r="10959">
      <c r="A10959" s="3" t="inlineStr">
        <is>
          <t>1</t>
        </is>
      </c>
      <c r="B10959" s="3" t="inlineStr">
        <is>
          <t>"Exhaust Grille dia. 4"""</t>
        </is>
      </c>
      <c r="C10959" s="3" t="inlineStr">
        <is>
          <t>unit</t>
        </is>
      </c>
      <c r="D10959" s="15" t="n">
        <v>1.1</v>
      </c>
      <c r="E10959" s="4" t="n">
        <v>150000</v>
      </c>
      <c r="F10959" s="4" t="n">
        <v>165000</v>
      </c>
    </row>
    <row r="10960">
      <c r="D10960" s="2" t="inlineStr">
        <is>
          <t>SUBTOTAL UPAH</t>
        </is>
      </c>
      <c r="F10960" s="16" t="n">
        <v>24640</v>
      </c>
    </row>
    <row r="10961">
      <c r="D10961" s="2" t="inlineStr">
        <is>
          <t>SUBTOTAL BAHAN</t>
        </is>
      </c>
      <c r="F10961" s="16" t="n">
        <v>165000</v>
      </c>
    </row>
    <row r="10962">
      <c r="D10962" s="2" t="inlineStr">
        <is>
          <t>SUBTOTAL ALAT</t>
        </is>
      </c>
      <c r="F10962" s="16" t="n">
        <v>0</v>
      </c>
    </row>
    <row r="10963">
      <c r="E10963" s="2" t="inlineStr">
        <is>
          <t>TOTAL HARGA SATUAN (Inc. Overhead)</t>
        </is>
      </c>
      <c r="F10963" s="17" t="n">
        <v>208604</v>
      </c>
    </row>
    <row r="10965">
      <c r="A10965" s="14" t="inlineStr">
        <is>
          <t>KODE: 5.5.2.51 - Pemasangan 1 Unit Ceiling Fan Sirroco</t>
        </is>
      </c>
    </row>
    <row r="10966">
      <c r="A10966" s="10" t="inlineStr">
        <is>
          <t>No</t>
        </is>
      </c>
      <c r="B10966" s="10" t="inlineStr">
        <is>
          <t>Uraian Komponen</t>
        </is>
      </c>
      <c r="C10966" s="10" t="inlineStr">
        <is>
          <t>Satuan</t>
        </is>
      </c>
      <c r="D10966" s="10" t="inlineStr">
        <is>
          <t>Koef</t>
        </is>
      </c>
      <c r="E10966" s="10" t="inlineStr">
        <is>
          <t>Harga Satuan (Rp)</t>
        </is>
      </c>
      <c r="F10966" s="10" t="inlineStr">
        <is>
          <t>Jumlah Harga (Rp)</t>
        </is>
      </c>
    </row>
    <row r="10967">
      <c r="A10967" s="3" t="inlineStr">
        <is>
          <t>1</t>
        </is>
      </c>
      <c r="B10967" s="3" t="inlineStr">
        <is>
          <t>Pekerja</t>
        </is>
      </c>
      <c r="C10967" s="3" t="inlineStr">
        <is>
          <t>OH</t>
        </is>
      </c>
      <c r="D10967" s="15" t="n">
        <v>0.255</v>
      </c>
      <c r="E10967" s="4" t="n">
        <v>100000</v>
      </c>
      <c r="F10967" s="4" t="n">
        <v>25500</v>
      </c>
    </row>
    <row r="10968">
      <c r="A10968" s="3" t="inlineStr">
        <is>
          <t>2</t>
        </is>
      </c>
      <c r="B10968" s="3" t="inlineStr">
        <is>
          <t>Tukang listrik</t>
        </is>
      </c>
      <c r="C10968" s="3" t="inlineStr">
        <is>
          <t>OH</t>
        </is>
      </c>
      <c r="D10968" s="15" t="n">
        <v>0.425</v>
      </c>
      <c r="E10968" s="4" t="n">
        <v>145000</v>
      </c>
      <c r="F10968" s="4" t="n">
        <v>61625</v>
      </c>
    </row>
    <row r="10969">
      <c r="A10969" s="3" t="inlineStr">
        <is>
          <t>3</t>
        </is>
      </c>
      <c r="B10969" s="3" t="inlineStr">
        <is>
          <t>Kepala Tukang</t>
        </is>
      </c>
      <c r="C10969" s="3" t="inlineStr">
        <is>
          <t>OH</t>
        </is>
      </c>
      <c r="D10969" s="15" t="n">
        <v>0.043</v>
      </c>
      <c r="E10969" s="4" t="n">
        <v>175000</v>
      </c>
      <c r="F10969" s="4" t="n">
        <v>7524.999999999999</v>
      </c>
    </row>
    <row r="10970">
      <c r="A10970" s="3" t="inlineStr">
        <is>
          <t>4</t>
        </is>
      </c>
      <c r="B10970" s="3" t="inlineStr">
        <is>
          <t>Mandor</t>
        </is>
      </c>
      <c r="C10970" s="3" t="inlineStr">
        <is>
          <t>OH</t>
        </is>
      </c>
      <c r="D10970" s="15" t="n">
        <v>0.014</v>
      </c>
      <c r="E10970" s="4" t="n">
        <v>200000</v>
      </c>
      <c r="F10970" s="4" t="n">
        <v>2800</v>
      </c>
    </row>
    <row r="10971">
      <c r="A10971" s="3" t="inlineStr">
        <is>
          <t>1</t>
        </is>
      </c>
      <c r="B10971" s="3" t="inlineStr">
        <is>
          <t>Ceiling Fan Sirroco</t>
        </is>
      </c>
      <c r="C10971" s="3" t="inlineStr">
        <is>
          <t>unit</t>
        </is>
      </c>
      <c r="D10971" s="15" t="n">
        <v>1.1</v>
      </c>
      <c r="E10971" s="4" t="n">
        <v>2500000</v>
      </c>
      <c r="F10971" s="4" t="n">
        <v>2750000</v>
      </c>
    </row>
    <row r="10972">
      <c r="D10972" s="2" t="inlineStr">
        <is>
          <t>SUBTOTAL UPAH</t>
        </is>
      </c>
      <c r="F10972" s="16" t="n">
        <v>97450</v>
      </c>
    </row>
    <row r="10973">
      <c r="D10973" s="2" t="inlineStr">
        <is>
          <t>SUBTOTAL BAHAN</t>
        </is>
      </c>
      <c r="F10973" s="16" t="n">
        <v>2750000</v>
      </c>
    </row>
    <row r="10974">
      <c r="D10974" s="2" t="inlineStr">
        <is>
          <t>SUBTOTAL ALAT</t>
        </is>
      </c>
      <c r="F10974" s="16" t="n">
        <v>0</v>
      </c>
    </row>
    <row r="10975">
      <c r="E10975" s="2" t="inlineStr">
        <is>
          <t>TOTAL HARGA SATUAN (Inc. Overhead)</t>
        </is>
      </c>
      <c r="F10975" s="17" t="n">
        <v>3132195</v>
      </c>
    </row>
    <row r="10977">
      <c r="A10977" s="14" t="inlineStr">
        <is>
          <t>KODE: 5.5.2.52 - Pemasangan 1 Unit Centrifugal Fan Kap. 15.800 cfm</t>
        </is>
      </c>
    </row>
    <row r="10978">
      <c r="A10978" s="10" t="inlineStr">
        <is>
          <t>No</t>
        </is>
      </c>
      <c r="B10978" s="10" t="inlineStr">
        <is>
          <t>Uraian Komponen</t>
        </is>
      </c>
      <c r="C10978" s="10" t="inlineStr">
        <is>
          <t>Satuan</t>
        </is>
      </c>
      <c r="D10978" s="10" t="inlineStr">
        <is>
          <t>Koef</t>
        </is>
      </c>
      <c r="E10978" s="10" t="inlineStr">
        <is>
          <t>Harga Satuan (Rp)</t>
        </is>
      </c>
      <c r="F10978" s="10" t="inlineStr">
        <is>
          <t>Jumlah Harga (Rp)</t>
        </is>
      </c>
    </row>
    <row r="10979">
      <c r="A10979" s="3" t="inlineStr">
        <is>
          <t>1</t>
        </is>
      </c>
      <c r="B10979" s="3" t="inlineStr">
        <is>
          <t>Pekerja</t>
        </is>
      </c>
      <c r="C10979" s="3" t="inlineStr">
        <is>
          <t>OH</t>
        </is>
      </c>
      <c r="D10979" s="15" t="n">
        <v>2.571</v>
      </c>
      <c r="E10979" s="4" t="n">
        <v>100000</v>
      </c>
      <c r="F10979" s="4" t="n">
        <v>257100</v>
      </c>
    </row>
    <row r="10980">
      <c r="A10980" s="3" t="inlineStr">
        <is>
          <t>2</t>
        </is>
      </c>
      <c r="B10980" s="3" t="inlineStr">
        <is>
          <t>Tukang listrik</t>
        </is>
      </c>
      <c r="C10980" s="3" t="inlineStr">
        <is>
          <t>OH</t>
        </is>
      </c>
      <c r="D10980" s="15" t="n">
        <v>4.294</v>
      </c>
      <c r="E10980" s="4" t="n">
        <v>145000</v>
      </c>
      <c r="F10980" s="4" t="n">
        <v>622629.9999999999</v>
      </c>
    </row>
    <row r="10981">
      <c r="A10981" s="3" t="inlineStr">
        <is>
          <t>3</t>
        </is>
      </c>
      <c r="B10981" s="3" t="inlineStr">
        <is>
          <t>Kepala Tukang</t>
        </is>
      </c>
      <c r="C10981" s="3" t="inlineStr">
        <is>
          <t>OH</t>
        </is>
      </c>
      <c r="D10981" s="15" t="n">
        <v>0.429</v>
      </c>
      <c r="E10981" s="4" t="n">
        <v>175000</v>
      </c>
      <c r="F10981" s="4" t="n">
        <v>75075</v>
      </c>
    </row>
    <row r="10982">
      <c r="A10982" s="3" t="inlineStr">
        <is>
          <t>4</t>
        </is>
      </c>
      <c r="B10982" s="3" t="inlineStr">
        <is>
          <t>Mandor</t>
        </is>
      </c>
      <c r="C10982" s="3" t="inlineStr">
        <is>
          <t>OH</t>
        </is>
      </c>
      <c r="D10982" s="15" t="n">
        <v>0.143</v>
      </c>
      <c r="E10982" s="4" t="n">
        <v>200000</v>
      </c>
      <c r="F10982" s="4" t="n">
        <v>28600</v>
      </c>
    </row>
    <row r="10983">
      <c r="A10983" s="3" t="inlineStr">
        <is>
          <t>1</t>
        </is>
      </c>
      <c r="B10983" s="3" t="inlineStr">
        <is>
          <t>Centrifugal Fan Kap. 15.800 cfm</t>
        </is>
      </c>
      <c r="C10983" s="3" t="inlineStr">
        <is>
          <t>unit</t>
        </is>
      </c>
      <c r="D10983" s="15" t="n">
        <v>1.2</v>
      </c>
      <c r="E10983" s="4" t="n">
        <v>25000000</v>
      </c>
      <c r="F10983" s="4" t="n">
        <v>30000000</v>
      </c>
    </row>
    <row r="10984">
      <c r="D10984" s="2" t="inlineStr">
        <is>
          <t>SUBTOTAL UPAH</t>
        </is>
      </c>
      <c r="F10984" s="16" t="n">
        <v>983404.9999999999</v>
      </c>
    </row>
    <row r="10985">
      <c r="D10985" s="2" t="inlineStr">
        <is>
          <t>SUBTOTAL BAHAN</t>
        </is>
      </c>
      <c r="F10985" s="16" t="n">
        <v>30000000</v>
      </c>
    </row>
    <row r="10986">
      <c r="D10986" s="2" t="inlineStr">
        <is>
          <t>SUBTOTAL ALAT</t>
        </is>
      </c>
      <c r="F10986" s="16" t="n">
        <v>0</v>
      </c>
    </row>
    <row r="10987">
      <c r="E10987" s="2" t="inlineStr">
        <is>
          <t>TOTAL HARGA SATUAN (Inc. Overhead)</t>
        </is>
      </c>
      <c r="F10987" s="17" t="n">
        <v>34081745</v>
      </c>
    </row>
    <row r="10989">
      <c r="A10989" s="14" t="inlineStr">
        <is>
          <t>KODE: 5.5.2.53 - Pemasangan 1 Unit Centrifugal Fan Kap. 15.800 cfm c/w Panel Control VSD</t>
        </is>
      </c>
    </row>
    <row r="10990">
      <c r="A10990" s="10" t="inlineStr">
        <is>
          <t>No</t>
        </is>
      </c>
      <c r="B10990" s="10" t="inlineStr">
        <is>
          <t>Uraian Komponen</t>
        </is>
      </c>
      <c r="C10990" s="10" t="inlineStr">
        <is>
          <t>Satuan</t>
        </is>
      </c>
      <c r="D10990" s="10" t="inlineStr">
        <is>
          <t>Koef</t>
        </is>
      </c>
      <c r="E10990" s="10" t="inlineStr">
        <is>
          <t>Harga Satuan (Rp)</t>
        </is>
      </c>
      <c r="F10990" s="10" t="inlineStr">
        <is>
          <t>Jumlah Harga (Rp)</t>
        </is>
      </c>
    </row>
    <row r="10991">
      <c r="A10991" s="3" t="inlineStr">
        <is>
          <t>1</t>
        </is>
      </c>
      <c r="B10991" s="3" t="inlineStr">
        <is>
          <t>Pekerja</t>
        </is>
      </c>
      <c r="C10991" s="3" t="inlineStr">
        <is>
          <t>OH</t>
        </is>
      </c>
      <c r="D10991" s="15" t="n">
        <v>2.571</v>
      </c>
      <c r="E10991" s="4" t="n">
        <v>100000</v>
      </c>
      <c r="F10991" s="4" t="n">
        <v>257100</v>
      </c>
    </row>
    <row r="10992">
      <c r="A10992" s="3" t="inlineStr">
        <is>
          <t>2</t>
        </is>
      </c>
      <c r="B10992" s="3" t="inlineStr">
        <is>
          <t>Tukang listrik</t>
        </is>
      </c>
      <c r="C10992" s="3" t="inlineStr">
        <is>
          <t>OH</t>
        </is>
      </c>
      <c r="D10992" s="15" t="n">
        <v>4.294</v>
      </c>
      <c r="E10992" s="4" t="n">
        <v>145000</v>
      </c>
      <c r="F10992" s="4" t="n">
        <v>622629.9999999999</v>
      </c>
    </row>
    <row r="10993">
      <c r="A10993" s="3" t="inlineStr">
        <is>
          <t>3</t>
        </is>
      </c>
      <c r="B10993" s="3" t="inlineStr">
        <is>
          <t>Kepala Tukang</t>
        </is>
      </c>
      <c r="C10993" s="3" t="inlineStr">
        <is>
          <t>OH</t>
        </is>
      </c>
      <c r="D10993" s="15" t="n">
        <v>0.429</v>
      </c>
      <c r="E10993" s="4" t="n">
        <v>175000</v>
      </c>
      <c r="F10993" s="4" t="n">
        <v>75075</v>
      </c>
    </row>
    <row r="10994">
      <c r="A10994" s="3" t="inlineStr">
        <is>
          <t>4</t>
        </is>
      </c>
      <c r="B10994" s="3" t="inlineStr">
        <is>
          <t>Mandor</t>
        </is>
      </c>
      <c r="C10994" s="3" t="inlineStr">
        <is>
          <t>OH</t>
        </is>
      </c>
      <c r="D10994" s="15" t="n">
        <v>0.143</v>
      </c>
      <c r="E10994" s="4" t="n">
        <v>200000</v>
      </c>
      <c r="F10994" s="4" t="n">
        <v>28600</v>
      </c>
    </row>
    <row r="10995">
      <c r="A10995" s="3" t="inlineStr">
        <is>
          <t>1</t>
        </is>
      </c>
      <c r="B10995" s="3" t="inlineStr">
        <is>
          <t>Centrifugal Fan Kap. 15.800 cfm c/w Panel Control VSD</t>
        </is>
      </c>
      <c r="C10995" s="3" t="inlineStr">
        <is>
          <t>unit</t>
        </is>
      </c>
      <c r="D10995" s="15" t="n">
        <v>1.2</v>
      </c>
      <c r="E10995" s="4" t="n">
        <v>30000000</v>
      </c>
      <c r="F10995" s="4" t="n">
        <v>36000000</v>
      </c>
    </row>
    <row r="10996">
      <c r="D10996" s="2" t="inlineStr">
        <is>
          <t>SUBTOTAL UPAH</t>
        </is>
      </c>
      <c r="F10996" s="16" t="n">
        <v>983404.9999999999</v>
      </c>
    </row>
    <row r="10997">
      <c r="D10997" s="2" t="inlineStr">
        <is>
          <t>SUBTOTAL BAHAN</t>
        </is>
      </c>
      <c r="F10997" s="16" t="n">
        <v>36000000</v>
      </c>
    </row>
    <row r="10998">
      <c r="D10998" s="2" t="inlineStr">
        <is>
          <t>SUBTOTAL ALAT</t>
        </is>
      </c>
      <c r="F10998" s="16" t="n">
        <v>0</v>
      </c>
    </row>
    <row r="10999">
      <c r="E10999" s="2" t="inlineStr">
        <is>
          <t>TOTAL HARGA SATUAN (Inc. Overhead)</t>
        </is>
      </c>
      <c r="F10999" s="17" t="n">
        <v>40681745</v>
      </c>
    </row>
    <row r="11001">
      <c r="A11001" s="14" t="inlineStr">
        <is>
          <t>KODE: 5.5.2.54 - Pemasangan 1 Unit Centrifugal Fan Kap. 9.600 cfm</t>
        </is>
      </c>
    </row>
    <row r="11002">
      <c r="A11002" s="10" t="inlineStr">
        <is>
          <t>No</t>
        </is>
      </c>
      <c r="B11002" s="10" t="inlineStr">
        <is>
          <t>Uraian Komponen</t>
        </is>
      </c>
      <c r="C11002" s="10" t="inlineStr">
        <is>
          <t>Satuan</t>
        </is>
      </c>
      <c r="D11002" s="10" t="inlineStr">
        <is>
          <t>Koef</t>
        </is>
      </c>
      <c r="E11002" s="10" t="inlineStr">
        <is>
          <t>Harga Satuan (Rp)</t>
        </is>
      </c>
      <c r="F11002" s="10" t="inlineStr">
        <is>
          <t>Jumlah Harga (Rp)</t>
        </is>
      </c>
    </row>
    <row r="11003">
      <c r="A11003" s="3" t="inlineStr">
        <is>
          <t>1</t>
        </is>
      </c>
      <c r="B11003" s="3" t="inlineStr">
        <is>
          <t>Pekerja</t>
        </is>
      </c>
      <c r="C11003" s="3" t="inlineStr">
        <is>
          <t>OH</t>
        </is>
      </c>
      <c r="D11003" s="15" t="n">
        <v>1.371</v>
      </c>
      <c r="E11003" s="4" t="n">
        <v>100000</v>
      </c>
      <c r="F11003" s="4" t="n">
        <v>137100</v>
      </c>
    </row>
    <row r="11004">
      <c r="A11004" s="3" t="inlineStr">
        <is>
          <t>2</t>
        </is>
      </c>
      <c r="B11004" s="3" t="inlineStr">
        <is>
          <t>Tukang listrik</t>
        </is>
      </c>
      <c r="C11004" s="3" t="inlineStr">
        <is>
          <t>OH</t>
        </is>
      </c>
      <c r="D11004" s="15" t="n">
        <v>2.29</v>
      </c>
      <c r="E11004" s="4" t="n">
        <v>145000</v>
      </c>
      <c r="F11004" s="4" t="n">
        <v>332050</v>
      </c>
    </row>
    <row r="11005">
      <c r="A11005" s="3" t="inlineStr">
        <is>
          <t>3</t>
        </is>
      </c>
      <c r="B11005" s="3" t="inlineStr">
        <is>
          <t>Kepala Tukang</t>
        </is>
      </c>
      <c r="C11005" s="3" t="inlineStr">
        <is>
          <t>OH</t>
        </is>
      </c>
      <c r="D11005" s="15" t="n">
        <v>0.229</v>
      </c>
      <c r="E11005" s="4" t="n">
        <v>175000</v>
      </c>
      <c r="F11005" s="4" t="n">
        <v>40075</v>
      </c>
    </row>
    <row r="11006">
      <c r="A11006" s="3" t="inlineStr">
        <is>
          <t>4</t>
        </is>
      </c>
      <c r="B11006" s="3" t="inlineStr">
        <is>
          <t>Mandor</t>
        </is>
      </c>
      <c r="C11006" s="3" t="inlineStr">
        <is>
          <t>OH</t>
        </is>
      </c>
      <c r="D11006" s="15" t="n">
        <v>0.076</v>
      </c>
      <c r="E11006" s="4" t="n">
        <v>200000</v>
      </c>
      <c r="F11006" s="4" t="n">
        <v>15200</v>
      </c>
    </row>
    <row r="11007">
      <c r="A11007" s="3" t="inlineStr">
        <is>
          <t>1</t>
        </is>
      </c>
      <c r="B11007" s="3" t="inlineStr">
        <is>
          <t>Centrifugal Fan Kap. 9.600 cfm</t>
        </is>
      </c>
      <c r="C11007" s="3" t="inlineStr">
        <is>
          <t>unit</t>
        </is>
      </c>
      <c r="D11007" s="15" t="n">
        <v>1.2</v>
      </c>
      <c r="E11007" s="4" t="n">
        <v>17000000</v>
      </c>
      <c r="F11007" s="4" t="n">
        <v>20400000</v>
      </c>
    </row>
    <row r="11008">
      <c r="D11008" s="2" t="inlineStr">
        <is>
          <t>SUBTOTAL UPAH</t>
        </is>
      </c>
      <c r="F11008" s="16" t="n">
        <v>524425</v>
      </c>
    </row>
    <row r="11009">
      <c r="D11009" s="2" t="inlineStr">
        <is>
          <t>SUBTOTAL BAHAN</t>
        </is>
      </c>
      <c r="F11009" s="16" t="n">
        <v>20400000</v>
      </c>
    </row>
    <row r="11010">
      <c r="D11010" s="2" t="inlineStr">
        <is>
          <t>SUBTOTAL ALAT</t>
        </is>
      </c>
      <c r="F11010" s="16" t="n">
        <v>0</v>
      </c>
    </row>
    <row r="11011">
      <c r="E11011" s="2" t="inlineStr">
        <is>
          <t>TOTAL HARGA SATUAN (Inc. Overhead)</t>
        </is>
      </c>
      <c r="F11011" s="17" t="n">
        <v>23016867</v>
      </c>
    </row>
    <row r="11013">
      <c r="A11013" s="14" t="inlineStr">
        <is>
          <t>KODE: 5.5.2.55 - Pemasangan 1 Unit Centrifugal Fan Kap. 9.600 cfm c/w Panel Control VSD</t>
        </is>
      </c>
    </row>
    <row r="11014">
      <c r="A11014" s="10" t="inlineStr">
        <is>
          <t>No</t>
        </is>
      </c>
      <c r="B11014" s="10" t="inlineStr">
        <is>
          <t>Uraian Komponen</t>
        </is>
      </c>
      <c r="C11014" s="10" t="inlineStr">
        <is>
          <t>Satuan</t>
        </is>
      </c>
      <c r="D11014" s="10" t="inlineStr">
        <is>
          <t>Koef</t>
        </is>
      </c>
      <c r="E11014" s="10" t="inlineStr">
        <is>
          <t>Harga Satuan (Rp)</t>
        </is>
      </c>
      <c r="F11014" s="10" t="inlineStr">
        <is>
          <t>Jumlah Harga (Rp)</t>
        </is>
      </c>
    </row>
    <row r="11015">
      <c r="A11015" s="3" t="inlineStr">
        <is>
          <t>1</t>
        </is>
      </c>
      <c r="B11015" s="3" t="inlineStr">
        <is>
          <t>Pekerja</t>
        </is>
      </c>
      <c r="C11015" s="3" t="inlineStr">
        <is>
          <t>OH</t>
        </is>
      </c>
      <c r="D11015" s="15" t="n">
        <v>1.371</v>
      </c>
      <c r="E11015" s="4" t="n">
        <v>100000</v>
      </c>
      <c r="F11015" s="4" t="n">
        <v>137100</v>
      </c>
    </row>
    <row r="11016">
      <c r="A11016" s="3" t="inlineStr">
        <is>
          <t>2</t>
        </is>
      </c>
      <c r="B11016" s="3" t="inlineStr">
        <is>
          <t>Tukang listrik</t>
        </is>
      </c>
      <c r="C11016" s="3" t="inlineStr">
        <is>
          <t>OH</t>
        </is>
      </c>
      <c r="D11016" s="15" t="n">
        <v>2.29</v>
      </c>
      <c r="E11016" s="4" t="n">
        <v>145000</v>
      </c>
      <c r="F11016" s="4" t="n">
        <v>332050</v>
      </c>
    </row>
    <row r="11017">
      <c r="A11017" s="3" t="inlineStr">
        <is>
          <t>3</t>
        </is>
      </c>
      <c r="B11017" s="3" t="inlineStr">
        <is>
          <t>Kepala Tukang</t>
        </is>
      </c>
      <c r="C11017" s="3" t="inlineStr">
        <is>
          <t>OH</t>
        </is>
      </c>
      <c r="D11017" s="15" t="n">
        <v>0.229</v>
      </c>
      <c r="E11017" s="4" t="n">
        <v>175000</v>
      </c>
      <c r="F11017" s="4" t="n">
        <v>40075</v>
      </c>
    </row>
    <row r="11018">
      <c r="A11018" s="3" t="inlineStr">
        <is>
          <t>4</t>
        </is>
      </c>
      <c r="B11018" s="3" t="inlineStr">
        <is>
          <t>Mandor</t>
        </is>
      </c>
      <c r="C11018" s="3" t="inlineStr">
        <is>
          <t>OH</t>
        </is>
      </c>
      <c r="D11018" s="15" t="n">
        <v>0.076</v>
      </c>
      <c r="E11018" s="4" t="n">
        <v>200000</v>
      </c>
      <c r="F11018" s="4" t="n">
        <v>15200</v>
      </c>
    </row>
    <row r="11019">
      <c r="A11019" s="3" t="inlineStr">
        <is>
          <t>1</t>
        </is>
      </c>
      <c r="B11019" s="3" t="inlineStr">
        <is>
          <t>Centrifugal Fan Kap. 9.600 cfm c/w Panel Control VSD</t>
        </is>
      </c>
      <c r="C11019" s="3" t="inlineStr">
        <is>
          <t>unit</t>
        </is>
      </c>
      <c r="D11019" s="15" t="n">
        <v>1.2</v>
      </c>
      <c r="E11019" s="4" t="n">
        <v>20000000</v>
      </c>
      <c r="F11019" s="4" t="n">
        <v>24000000</v>
      </c>
    </row>
    <row r="11020">
      <c r="D11020" s="2" t="inlineStr">
        <is>
          <t>SUBTOTAL UPAH</t>
        </is>
      </c>
      <c r="F11020" s="16" t="n">
        <v>524425</v>
      </c>
    </row>
    <row r="11021">
      <c r="D11021" s="2" t="inlineStr">
        <is>
          <t>SUBTOTAL BAHAN</t>
        </is>
      </c>
      <c r="F11021" s="16" t="n">
        <v>24000000</v>
      </c>
    </row>
    <row r="11022">
      <c r="D11022" s="2" t="inlineStr">
        <is>
          <t>SUBTOTAL ALAT</t>
        </is>
      </c>
      <c r="F11022" s="16" t="n">
        <v>0</v>
      </c>
    </row>
    <row r="11023">
      <c r="E11023" s="2" t="inlineStr">
        <is>
          <t>TOTAL HARGA SATUAN (Inc. Overhead)</t>
        </is>
      </c>
      <c r="F11023" s="17" t="n">
        <v>26976867</v>
      </c>
    </row>
    <row r="11025">
      <c r="A11025" s="14" t="inlineStr">
        <is>
          <t>KODE: 5.5.2.56 - Pemasangan 1 Unit Centrifugal Fan Kap. 4.800 cfm</t>
        </is>
      </c>
    </row>
    <row r="11026">
      <c r="A11026" s="10" t="inlineStr">
        <is>
          <t>No</t>
        </is>
      </c>
      <c r="B11026" s="10" t="inlineStr">
        <is>
          <t>Uraian Komponen</t>
        </is>
      </c>
      <c r="C11026" s="10" t="inlineStr">
        <is>
          <t>Satuan</t>
        </is>
      </c>
      <c r="D11026" s="10" t="inlineStr">
        <is>
          <t>Koef</t>
        </is>
      </c>
      <c r="E11026" s="10" t="inlineStr">
        <is>
          <t>Harga Satuan (Rp)</t>
        </is>
      </c>
      <c r="F11026" s="10" t="inlineStr">
        <is>
          <t>Jumlah Harga (Rp)</t>
        </is>
      </c>
    </row>
    <row r="11027">
      <c r="A11027" s="3" t="inlineStr">
        <is>
          <t>1</t>
        </is>
      </c>
      <c r="B11027" s="3" t="inlineStr">
        <is>
          <t>Pekerja</t>
        </is>
      </c>
      <c r="C11027" s="3" t="inlineStr">
        <is>
          <t>OH</t>
        </is>
      </c>
      <c r="D11027" s="15" t="n">
        <v>1.2</v>
      </c>
      <c r="E11027" s="4" t="n">
        <v>100000</v>
      </c>
      <c r="F11027" s="4" t="n">
        <v>120000</v>
      </c>
    </row>
    <row r="11028">
      <c r="A11028" s="3" t="inlineStr">
        <is>
          <t>2</t>
        </is>
      </c>
      <c r="B11028" s="3" t="inlineStr">
        <is>
          <t>Tukang listrik</t>
        </is>
      </c>
      <c r="C11028" s="3" t="inlineStr">
        <is>
          <t>OH</t>
        </is>
      </c>
      <c r="D11028" s="15" t="n">
        <v>2.004</v>
      </c>
      <c r="E11028" s="4" t="n">
        <v>145000</v>
      </c>
      <c r="F11028" s="4" t="n">
        <v>290580</v>
      </c>
    </row>
    <row r="11029">
      <c r="A11029" s="3" t="inlineStr">
        <is>
          <t>3</t>
        </is>
      </c>
      <c r="B11029" s="3" t="inlineStr">
        <is>
          <t>Kepala Tukang</t>
        </is>
      </c>
      <c r="C11029" s="3" t="inlineStr">
        <is>
          <t>OH</t>
        </is>
      </c>
      <c r="D11029" s="15" t="n">
        <v>0.2</v>
      </c>
      <c r="E11029" s="4" t="n">
        <v>175000</v>
      </c>
      <c r="F11029" s="4" t="n">
        <v>35000</v>
      </c>
    </row>
    <row r="11030">
      <c r="A11030" s="3" t="inlineStr">
        <is>
          <t>4</t>
        </is>
      </c>
      <c r="B11030" s="3" t="inlineStr">
        <is>
          <t>Mandor</t>
        </is>
      </c>
      <c r="C11030" s="3" t="inlineStr">
        <is>
          <t>OH</t>
        </is>
      </c>
      <c r="D11030" s="15" t="n">
        <v>0.067</v>
      </c>
      <c r="E11030" s="4" t="n">
        <v>200000</v>
      </c>
      <c r="F11030" s="4" t="n">
        <v>13400</v>
      </c>
    </row>
    <row r="11031">
      <c r="A11031" s="3" t="inlineStr">
        <is>
          <t>1</t>
        </is>
      </c>
      <c r="B11031" s="3" t="inlineStr">
        <is>
          <t>Centrifugal Fan Kap. 4.800 cfm</t>
        </is>
      </c>
      <c r="C11031" s="3" t="inlineStr">
        <is>
          <t>unit</t>
        </is>
      </c>
      <c r="D11031" s="15" t="n">
        <v>1.2</v>
      </c>
      <c r="E11031" s="4" t="n">
        <v>12000000</v>
      </c>
      <c r="F11031" s="4" t="n">
        <v>14400000</v>
      </c>
    </row>
    <row r="11032">
      <c r="D11032" s="2" t="inlineStr">
        <is>
          <t>SUBTOTAL UPAH</t>
        </is>
      </c>
      <c r="F11032" s="16" t="n">
        <v>458980</v>
      </c>
    </row>
    <row r="11033">
      <c r="D11033" s="2" t="inlineStr">
        <is>
          <t>SUBTOTAL BAHAN</t>
        </is>
      </c>
      <c r="F11033" s="16" t="n">
        <v>14400000</v>
      </c>
    </row>
    <row r="11034">
      <c r="D11034" s="2" t="inlineStr">
        <is>
          <t>SUBTOTAL ALAT</t>
        </is>
      </c>
      <c r="F11034" s="16" t="n">
        <v>0</v>
      </c>
    </row>
    <row r="11035">
      <c r="E11035" s="2" t="inlineStr">
        <is>
          <t>TOTAL HARGA SATUAN (Inc. Overhead)</t>
        </is>
      </c>
      <c r="F11035" s="17" t="n">
        <v>16344878</v>
      </c>
    </row>
    <row r="11037">
      <c r="A11037" s="14" t="inlineStr">
        <is>
          <t>KODE: 5.5.2.57 - Pemasangan 1 Unit Centrifugal Fan Kap. 4.800 cfm c/w Panel Control VSD</t>
        </is>
      </c>
    </row>
    <row r="11038">
      <c r="A11038" s="10" t="inlineStr">
        <is>
          <t>No</t>
        </is>
      </c>
      <c r="B11038" s="10" t="inlineStr">
        <is>
          <t>Uraian Komponen</t>
        </is>
      </c>
      <c r="C11038" s="10" t="inlineStr">
        <is>
          <t>Satuan</t>
        </is>
      </c>
      <c r="D11038" s="10" t="inlineStr">
        <is>
          <t>Koef</t>
        </is>
      </c>
      <c r="E11038" s="10" t="inlineStr">
        <is>
          <t>Harga Satuan (Rp)</t>
        </is>
      </c>
      <c r="F11038" s="10" t="inlineStr">
        <is>
          <t>Jumlah Harga (Rp)</t>
        </is>
      </c>
    </row>
    <row r="11039">
      <c r="A11039" s="3" t="inlineStr">
        <is>
          <t>1</t>
        </is>
      </c>
      <c r="B11039" s="3" t="inlineStr">
        <is>
          <t>Pekerja</t>
        </is>
      </c>
      <c r="C11039" s="3" t="inlineStr">
        <is>
          <t>OH</t>
        </is>
      </c>
      <c r="D11039" s="15" t="n">
        <v>1.2</v>
      </c>
      <c r="E11039" s="4" t="n">
        <v>100000</v>
      </c>
      <c r="F11039" s="4" t="n">
        <v>120000</v>
      </c>
    </row>
    <row r="11040">
      <c r="A11040" s="3" t="inlineStr">
        <is>
          <t>2</t>
        </is>
      </c>
      <c r="B11040" s="3" t="inlineStr">
        <is>
          <t>Tukang listrik</t>
        </is>
      </c>
      <c r="C11040" s="3" t="inlineStr">
        <is>
          <t>OH</t>
        </is>
      </c>
      <c r="D11040" s="15" t="n">
        <v>2.004</v>
      </c>
      <c r="E11040" s="4" t="n">
        <v>145000</v>
      </c>
      <c r="F11040" s="4" t="n">
        <v>290580</v>
      </c>
    </row>
    <row r="11041">
      <c r="A11041" s="3" t="inlineStr">
        <is>
          <t>3</t>
        </is>
      </c>
      <c r="B11041" s="3" t="inlineStr">
        <is>
          <t>Kepala Tukang</t>
        </is>
      </c>
      <c r="C11041" s="3" t="inlineStr">
        <is>
          <t>OH</t>
        </is>
      </c>
      <c r="D11041" s="15" t="n">
        <v>0.2</v>
      </c>
      <c r="E11041" s="4" t="n">
        <v>175000</v>
      </c>
      <c r="F11041" s="4" t="n">
        <v>35000</v>
      </c>
    </row>
    <row r="11042">
      <c r="A11042" s="3" t="inlineStr">
        <is>
          <t>4</t>
        </is>
      </c>
      <c r="B11042" s="3" t="inlineStr">
        <is>
          <t>Mandor</t>
        </is>
      </c>
      <c r="C11042" s="3" t="inlineStr">
        <is>
          <t>OH</t>
        </is>
      </c>
      <c r="D11042" s="15" t="n">
        <v>0.067</v>
      </c>
      <c r="E11042" s="4" t="n">
        <v>200000</v>
      </c>
      <c r="F11042" s="4" t="n">
        <v>13400</v>
      </c>
    </row>
    <row r="11043">
      <c r="A11043" s="3" t="inlineStr">
        <is>
          <t>1</t>
        </is>
      </c>
      <c r="B11043" s="3" t="inlineStr">
        <is>
          <t>Centrifugal Fan Kap. 4.800 cfm c/w Panel Control VSD</t>
        </is>
      </c>
      <c r="C11043" s="3" t="inlineStr">
        <is>
          <t>unit</t>
        </is>
      </c>
      <c r="D11043" s="15" t="n">
        <v>1.2</v>
      </c>
      <c r="E11043" s="4" t="n">
        <v>15000000</v>
      </c>
      <c r="F11043" s="4" t="n">
        <v>18000000</v>
      </c>
    </row>
    <row r="11044">
      <c r="D11044" s="2" t="inlineStr">
        <is>
          <t>SUBTOTAL UPAH</t>
        </is>
      </c>
      <c r="F11044" s="16" t="n">
        <v>458980</v>
      </c>
    </row>
    <row r="11045">
      <c r="D11045" s="2" t="inlineStr">
        <is>
          <t>SUBTOTAL BAHAN</t>
        </is>
      </c>
      <c r="F11045" s="16" t="n">
        <v>18000000</v>
      </c>
    </row>
    <row r="11046">
      <c r="D11046" s="2" t="inlineStr">
        <is>
          <t>SUBTOTAL ALAT</t>
        </is>
      </c>
      <c r="F11046" s="16" t="n">
        <v>0</v>
      </c>
    </row>
    <row r="11047">
      <c r="E11047" s="2" t="inlineStr">
        <is>
          <t>TOTAL HARGA SATUAN (Inc. Overhead)</t>
        </is>
      </c>
      <c r="F11047" s="17" t="n">
        <v>20304878</v>
      </c>
    </row>
    <row r="11049">
      <c r="A11049" s="14" t="inlineStr">
        <is>
          <t>KODE: 5.5.2.58 - Pemasangan 1 Unit Box Louvre 450 x 300 mm</t>
        </is>
      </c>
    </row>
    <row r="11050">
      <c r="A11050" s="10" t="inlineStr">
        <is>
          <t>No</t>
        </is>
      </c>
      <c r="B11050" s="10" t="inlineStr">
        <is>
          <t>Uraian Komponen</t>
        </is>
      </c>
      <c r="C11050" s="10" t="inlineStr">
        <is>
          <t>Satuan</t>
        </is>
      </c>
      <c r="D11050" s="10" t="inlineStr">
        <is>
          <t>Koef</t>
        </is>
      </c>
      <c r="E11050" s="10" t="inlineStr">
        <is>
          <t>Harga Satuan (Rp)</t>
        </is>
      </c>
      <c r="F11050" s="10" t="inlineStr">
        <is>
          <t>Jumlah Harga (Rp)</t>
        </is>
      </c>
    </row>
    <row r="11051">
      <c r="A11051" s="3" t="inlineStr">
        <is>
          <t>1</t>
        </is>
      </c>
      <c r="B11051" s="3" t="inlineStr">
        <is>
          <t>Pekerja</t>
        </is>
      </c>
      <c r="C11051" s="3" t="inlineStr">
        <is>
          <t>OH</t>
        </is>
      </c>
      <c r="D11051" s="15" t="n">
        <v>0.476</v>
      </c>
      <c r="E11051" s="4" t="n">
        <v>100000</v>
      </c>
      <c r="F11051" s="4" t="n">
        <v>47600</v>
      </c>
    </row>
    <row r="11052">
      <c r="A11052" s="3" t="inlineStr">
        <is>
          <t>2</t>
        </is>
      </c>
      <c r="B11052" s="3" t="inlineStr">
        <is>
          <t>Tukang listrik</t>
        </is>
      </c>
      <c r="C11052" s="3" t="inlineStr">
        <is>
          <t>OH</t>
        </is>
      </c>
      <c r="D11052" s="15" t="n">
        <v>0.795</v>
      </c>
      <c r="E11052" s="4" t="n">
        <v>145000</v>
      </c>
      <c r="F11052" s="4" t="n">
        <v>115275</v>
      </c>
    </row>
    <row r="11053">
      <c r="A11053" s="3" t="inlineStr">
        <is>
          <t>3</t>
        </is>
      </c>
      <c r="B11053" s="3" t="inlineStr">
        <is>
          <t>Kepala Tukang</t>
        </is>
      </c>
      <c r="C11053" s="3" t="inlineStr">
        <is>
          <t>OH</t>
        </is>
      </c>
      <c r="D11053" s="15" t="n">
        <v>0.08</v>
      </c>
      <c r="E11053" s="4" t="n">
        <v>175000</v>
      </c>
      <c r="F11053" s="4" t="n">
        <v>14000</v>
      </c>
    </row>
    <row r="11054">
      <c r="A11054" s="3" t="inlineStr">
        <is>
          <t>4</t>
        </is>
      </c>
      <c r="B11054" s="3" t="inlineStr">
        <is>
          <t>Mandor</t>
        </is>
      </c>
      <c r="C11054" s="3" t="inlineStr">
        <is>
          <t>OH</t>
        </is>
      </c>
      <c r="D11054" s="15" t="n">
        <v>0.027</v>
      </c>
      <c r="E11054" s="4" t="n">
        <v>200000</v>
      </c>
      <c r="F11054" s="4" t="n">
        <v>5400</v>
      </c>
    </row>
    <row r="11055">
      <c r="A11055" s="3" t="inlineStr">
        <is>
          <t>1</t>
        </is>
      </c>
      <c r="B11055" s="3" t="inlineStr">
        <is>
          <t>Box Louvre 450 x 300 mm</t>
        </is>
      </c>
      <c r="C11055" s="3" t="inlineStr">
        <is>
          <t>unit</t>
        </is>
      </c>
      <c r="D11055" s="15" t="n">
        <v>1.1</v>
      </c>
      <c r="E11055" s="4" t="n">
        <v>75000</v>
      </c>
      <c r="F11055" s="4" t="n">
        <v>82500</v>
      </c>
    </row>
    <row r="11056">
      <c r="D11056" s="2" t="inlineStr">
        <is>
          <t>SUBTOTAL UPAH</t>
        </is>
      </c>
      <c r="F11056" s="16" t="n">
        <v>182275</v>
      </c>
    </row>
    <row r="11057">
      <c r="D11057" s="2" t="inlineStr">
        <is>
          <t>SUBTOTAL BAHAN</t>
        </is>
      </c>
      <c r="F11057" s="16" t="n">
        <v>82500</v>
      </c>
    </row>
    <row r="11058">
      <c r="D11058" s="2" t="inlineStr">
        <is>
          <t>SUBTOTAL ALAT</t>
        </is>
      </c>
      <c r="F11058" s="16" t="n">
        <v>0</v>
      </c>
    </row>
    <row r="11059">
      <c r="E11059" s="2" t="inlineStr">
        <is>
          <t>TOTAL HARGA SATUAN (Inc. Overhead)</t>
        </is>
      </c>
      <c r="F11059" s="17" t="n">
        <v>291252</v>
      </c>
    </row>
    <row r="11061">
      <c r="A11061" s="14" t="inlineStr">
        <is>
          <t>KODE: 5.5.2.59 - Pemasangan 1 Unit Exhaust Louvre 450 x 300 mm</t>
        </is>
      </c>
    </row>
    <row r="11062">
      <c r="A11062" s="10" t="inlineStr">
        <is>
          <t>No</t>
        </is>
      </c>
      <c r="B11062" s="10" t="inlineStr">
        <is>
          <t>Uraian Komponen</t>
        </is>
      </c>
      <c r="C11062" s="10" t="inlineStr">
        <is>
          <t>Satuan</t>
        </is>
      </c>
      <c r="D11062" s="10" t="inlineStr">
        <is>
          <t>Koef</t>
        </is>
      </c>
      <c r="E11062" s="10" t="inlineStr">
        <is>
          <t>Harga Satuan (Rp)</t>
        </is>
      </c>
      <c r="F11062" s="10" t="inlineStr">
        <is>
          <t>Jumlah Harga (Rp)</t>
        </is>
      </c>
    </row>
    <row r="11063">
      <c r="A11063" s="3" t="inlineStr">
        <is>
          <t>1</t>
        </is>
      </c>
      <c r="B11063" s="3" t="inlineStr">
        <is>
          <t>Pekerja</t>
        </is>
      </c>
      <c r="C11063" s="3" t="inlineStr">
        <is>
          <t>OH</t>
        </is>
      </c>
      <c r="D11063" s="15" t="n">
        <v>0.255</v>
      </c>
      <c r="E11063" s="4" t="n">
        <v>100000</v>
      </c>
      <c r="F11063" s="4" t="n">
        <v>25500</v>
      </c>
    </row>
    <row r="11064">
      <c r="A11064" s="3" t="inlineStr">
        <is>
          <t>2</t>
        </is>
      </c>
      <c r="B11064" s="3" t="inlineStr">
        <is>
          <t>Tukang listrik</t>
        </is>
      </c>
      <c r="C11064" s="3" t="inlineStr">
        <is>
          <t>OH</t>
        </is>
      </c>
      <c r="D11064" s="15" t="n">
        <v>0.425</v>
      </c>
      <c r="E11064" s="4" t="n">
        <v>145000</v>
      </c>
      <c r="F11064" s="4" t="n">
        <v>61625</v>
      </c>
    </row>
    <row r="11065">
      <c r="A11065" s="3" t="inlineStr">
        <is>
          <t>3</t>
        </is>
      </c>
      <c r="B11065" s="3" t="inlineStr">
        <is>
          <t>Kepala Tukang</t>
        </is>
      </c>
      <c r="C11065" s="3" t="inlineStr">
        <is>
          <t>OH</t>
        </is>
      </c>
      <c r="D11065" s="15" t="n">
        <v>0.043</v>
      </c>
      <c r="E11065" s="4" t="n">
        <v>175000</v>
      </c>
      <c r="F11065" s="4" t="n">
        <v>7524.999999999999</v>
      </c>
    </row>
    <row r="11066">
      <c r="A11066" s="3" t="inlineStr">
        <is>
          <t>4</t>
        </is>
      </c>
      <c r="B11066" s="3" t="inlineStr">
        <is>
          <t>Mandor</t>
        </is>
      </c>
      <c r="C11066" s="3" t="inlineStr">
        <is>
          <t>OH</t>
        </is>
      </c>
      <c r="D11066" s="15" t="n">
        <v>0.014</v>
      </c>
      <c r="E11066" s="4" t="n">
        <v>200000</v>
      </c>
      <c r="F11066" s="4" t="n">
        <v>2800</v>
      </c>
    </row>
    <row r="11067">
      <c r="A11067" s="3" t="inlineStr">
        <is>
          <t>1</t>
        </is>
      </c>
      <c r="B11067" s="3" t="inlineStr">
        <is>
          <t>Exhaust Louvre 450 x 300 mm</t>
        </is>
      </c>
      <c r="C11067" s="3" t="inlineStr">
        <is>
          <t>unit</t>
        </is>
      </c>
      <c r="D11067" s="15" t="n">
        <v>1.1</v>
      </c>
      <c r="E11067" s="4" t="n">
        <v>300000</v>
      </c>
      <c r="F11067" s="4" t="n">
        <v>330000</v>
      </c>
    </row>
    <row r="11068">
      <c r="D11068" s="2" t="inlineStr">
        <is>
          <t>SUBTOTAL UPAH</t>
        </is>
      </c>
      <c r="F11068" s="16" t="n">
        <v>97450</v>
      </c>
    </row>
    <row r="11069">
      <c r="D11069" s="2" t="inlineStr">
        <is>
          <t>SUBTOTAL BAHAN</t>
        </is>
      </c>
      <c r="F11069" s="16" t="n">
        <v>330000</v>
      </c>
    </row>
    <row r="11070">
      <c r="D11070" s="2" t="inlineStr">
        <is>
          <t>SUBTOTAL ALAT</t>
        </is>
      </c>
      <c r="F11070" s="16" t="n">
        <v>0</v>
      </c>
    </row>
    <row r="11071">
      <c r="E11071" s="2" t="inlineStr">
        <is>
          <t>TOTAL HARGA SATUAN (Inc. Overhead)</t>
        </is>
      </c>
      <c r="F11071" s="17" t="n">
        <v>470195</v>
      </c>
    </row>
    <row r="11073">
      <c r="A11073" s="14" t="inlineStr">
        <is>
          <t>KODE: 5.5.3.1 - Pemasangan 1 m2 BJLS 50 (Tanpa Isolasi)</t>
        </is>
      </c>
    </row>
    <row r="11074">
      <c r="A11074" s="10" t="inlineStr">
        <is>
          <t>No</t>
        </is>
      </c>
      <c r="B11074" s="10" t="inlineStr">
        <is>
          <t>Uraian Komponen</t>
        </is>
      </c>
      <c r="C11074" s="10" t="inlineStr">
        <is>
          <t>Satuan</t>
        </is>
      </c>
      <c r="D11074" s="10" t="inlineStr">
        <is>
          <t>Koef</t>
        </is>
      </c>
      <c r="E11074" s="10" t="inlineStr">
        <is>
          <t>Harga Satuan (Rp)</t>
        </is>
      </c>
      <c r="F11074" s="10" t="inlineStr">
        <is>
          <t>Jumlah Harga (Rp)</t>
        </is>
      </c>
    </row>
    <row r="11075">
      <c r="A11075" s="3" t="inlineStr">
        <is>
          <t>1</t>
        </is>
      </c>
      <c r="B11075" s="3" t="inlineStr">
        <is>
          <t>Pekerja</t>
        </is>
      </c>
      <c r="C11075" s="3" t="inlineStr">
        <is>
          <t>OH</t>
        </is>
      </c>
      <c r="D11075" s="15" t="n">
        <v>0.143</v>
      </c>
      <c r="E11075" s="4" t="n">
        <v>100000</v>
      </c>
      <c r="F11075" s="4" t="n">
        <v>14300</v>
      </c>
    </row>
    <row r="11076">
      <c r="A11076" s="3" t="inlineStr">
        <is>
          <t>2</t>
        </is>
      </c>
      <c r="B11076" s="3" t="inlineStr">
        <is>
          <t>Tukang listrik</t>
        </is>
      </c>
      <c r="C11076" s="3" t="inlineStr">
        <is>
          <t>OH</t>
        </is>
      </c>
      <c r="D11076" s="15" t="n">
        <v>0.239</v>
      </c>
      <c r="E11076" s="4" t="n">
        <v>145000</v>
      </c>
      <c r="F11076" s="4" t="n">
        <v>34655</v>
      </c>
    </row>
    <row r="11077">
      <c r="A11077" s="3" t="inlineStr">
        <is>
          <t>3</t>
        </is>
      </c>
      <c r="B11077" s="3" t="inlineStr">
        <is>
          <t>Kepala Tukang</t>
        </is>
      </c>
      <c r="C11077" s="3" t="inlineStr">
        <is>
          <t>OH</t>
        </is>
      </c>
      <c r="D11077" s="15" t="n">
        <v>0.024</v>
      </c>
      <c r="E11077" s="4" t="n">
        <v>175000</v>
      </c>
      <c r="F11077" s="4" t="n">
        <v>4200</v>
      </c>
    </row>
    <row r="11078">
      <c r="A11078" s="3" t="inlineStr">
        <is>
          <t>4</t>
        </is>
      </c>
      <c r="B11078" s="3" t="inlineStr">
        <is>
          <t>Mandor</t>
        </is>
      </c>
      <c r="C11078" s="3" t="inlineStr">
        <is>
          <t>OH</t>
        </is>
      </c>
      <c r="D11078" s="15" t="n">
        <v>0.008</v>
      </c>
      <c r="E11078" s="4" t="n">
        <v>200000</v>
      </c>
      <c r="F11078" s="4" t="n">
        <v>1600</v>
      </c>
    </row>
    <row r="11079">
      <c r="A11079" s="3" t="inlineStr">
        <is>
          <t>1</t>
        </is>
      </c>
      <c r="B11079" s="3" t="inlineStr">
        <is>
          <t>BJLS 50 (Tanpa Isolasi)</t>
        </is>
      </c>
      <c r="C11079" s="3" t="inlineStr">
        <is>
          <t>m2</t>
        </is>
      </c>
      <c r="D11079" s="15" t="n">
        <v>1.2</v>
      </c>
      <c r="E11079" s="4" t="n">
        <v>220000</v>
      </c>
      <c r="F11079" s="4" t="n">
        <v>264000</v>
      </c>
    </row>
    <row r="11080">
      <c r="A11080" s="3" t="inlineStr">
        <is>
          <t>2</t>
        </is>
      </c>
      <c r="B11080" s="3" t="inlineStr">
        <is>
          <t>Flinkote</t>
        </is>
      </c>
      <c r="C11080" s="3" t="inlineStr">
        <is>
          <t>lot</t>
        </is>
      </c>
      <c r="D11080" s="15" t="n">
        <v>1</v>
      </c>
      <c r="E11080" s="4" t="n">
        <v>56500</v>
      </c>
      <c r="F11080" s="4" t="n">
        <v>56500</v>
      </c>
    </row>
    <row r="11081">
      <c r="A11081" s="3" t="inlineStr">
        <is>
          <t>3</t>
        </is>
      </c>
      <c r="B11081" s="3" t="inlineStr">
        <is>
          <t>Finish Cat</t>
        </is>
      </c>
      <c r="C11081" s="3" t="inlineStr">
        <is>
          <t>lot</t>
        </is>
      </c>
      <c r="D11081" s="15" t="n">
        <v>1</v>
      </c>
      <c r="E11081" s="4" t="n">
        <v>92000</v>
      </c>
      <c r="F11081" s="4" t="n">
        <v>92000</v>
      </c>
    </row>
    <row r="11082">
      <c r="A11082" s="3" t="inlineStr">
        <is>
          <t>4</t>
        </is>
      </c>
      <c r="B11082" s="3" t="inlineStr">
        <is>
          <t>Hanger + Support</t>
        </is>
      </c>
      <c r="C11082" s="3" t="inlineStr">
        <is>
          <t>lot</t>
        </is>
      </c>
      <c r="D11082" s="15" t="n">
        <v>1</v>
      </c>
      <c r="E11082" s="4" t="n">
        <v>55000</v>
      </c>
      <c r="F11082" s="4" t="n">
        <v>55000</v>
      </c>
    </row>
    <row r="11083">
      <c r="D11083" s="2" t="inlineStr">
        <is>
          <t>SUBTOTAL UPAH</t>
        </is>
      </c>
      <c r="F11083" s="16" t="n">
        <v>54755</v>
      </c>
    </row>
    <row r="11084">
      <c r="D11084" s="2" t="inlineStr">
        <is>
          <t>SUBTOTAL BAHAN</t>
        </is>
      </c>
      <c r="F11084" s="16" t="n">
        <v>467500</v>
      </c>
    </row>
    <row r="11085">
      <c r="D11085" s="2" t="inlineStr">
        <is>
          <t>SUBTOTAL ALAT</t>
        </is>
      </c>
      <c r="F11085" s="16" t="n">
        <v>0</v>
      </c>
    </row>
    <row r="11086">
      <c r="E11086" s="2" t="inlineStr">
        <is>
          <t>TOTAL HARGA SATUAN (Inc. Overhead)</t>
        </is>
      </c>
      <c r="F11086" s="17" t="n">
        <v>574480</v>
      </c>
    </row>
    <row r="11088">
      <c r="A11088" s="14" t="inlineStr">
        <is>
          <t>KODE: 5.5.3.2 - Pemasangan 1 m2 BJLS 60 (Tanpa Isolasi)</t>
        </is>
      </c>
    </row>
    <row r="11089">
      <c r="A11089" s="10" t="inlineStr">
        <is>
          <t>No</t>
        </is>
      </c>
      <c r="B11089" s="10" t="inlineStr">
        <is>
          <t>Uraian Komponen</t>
        </is>
      </c>
      <c r="C11089" s="10" t="inlineStr">
        <is>
          <t>Satuan</t>
        </is>
      </c>
      <c r="D11089" s="10" t="inlineStr">
        <is>
          <t>Koef</t>
        </is>
      </c>
      <c r="E11089" s="10" t="inlineStr">
        <is>
          <t>Harga Satuan (Rp)</t>
        </is>
      </c>
      <c r="F11089" s="10" t="inlineStr">
        <is>
          <t>Jumlah Harga (Rp)</t>
        </is>
      </c>
    </row>
    <row r="11090">
      <c r="A11090" s="3" t="inlineStr">
        <is>
          <t>1</t>
        </is>
      </c>
      <c r="B11090" s="3" t="inlineStr">
        <is>
          <t>Pekerja</t>
        </is>
      </c>
      <c r="C11090" s="3" t="inlineStr">
        <is>
          <t>OH</t>
        </is>
      </c>
      <c r="D11090" s="15" t="n">
        <v>0.143</v>
      </c>
      <c r="E11090" s="4" t="n">
        <v>100000</v>
      </c>
      <c r="F11090" s="4" t="n">
        <v>14300</v>
      </c>
    </row>
    <row r="11091">
      <c r="A11091" s="3" t="inlineStr">
        <is>
          <t>2</t>
        </is>
      </c>
      <c r="B11091" s="3" t="inlineStr">
        <is>
          <t>Tukang listrik</t>
        </is>
      </c>
      <c r="C11091" s="3" t="inlineStr">
        <is>
          <t>OH</t>
        </is>
      </c>
      <c r="D11091" s="15" t="n">
        <v>0.239</v>
      </c>
      <c r="E11091" s="4" t="n">
        <v>145000</v>
      </c>
      <c r="F11091" s="4" t="n">
        <v>34655</v>
      </c>
    </row>
    <row r="11092">
      <c r="A11092" s="3" t="inlineStr">
        <is>
          <t>3</t>
        </is>
      </c>
      <c r="B11092" s="3" t="inlineStr">
        <is>
          <t>Kepala Tukang</t>
        </is>
      </c>
      <c r="C11092" s="3" t="inlineStr">
        <is>
          <t>OH</t>
        </is>
      </c>
      <c r="D11092" s="15" t="n">
        <v>0.024</v>
      </c>
      <c r="E11092" s="4" t="n">
        <v>175000</v>
      </c>
      <c r="F11092" s="4" t="n">
        <v>4200</v>
      </c>
    </row>
    <row r="11093">
      <c r="A11093" s="3" t="inlineStr">
        <is>
          <t>4</t>
        </is>
      </c>
      <c r="B11093" s="3" t="inlineStr">
        <is>
          <t>Mandor</t>
        </is>
      </c>
      <c r="C11093" s="3" t="inlineStr">
        <is>
          <t>OH</t>
        </is>
      </c>
      <c r="D11093" s="15" t="n">
        <v>0.008</v>
      </c>
      <c r="E11093" s="4" t="n">
        <v>200000</v>
      </c>
      <c r="F11093" s="4" t="n">
        <v>1600</v>
      </c>
    </row>
    <row r="11094">
      <c r="A11094" s="3" t="inlineStr">
        <is>
          <t>1</t>
        </is>
      </c>
      <c r="B11094" s="3" t="inlineStr">
        <is>
          <t>BJLS 60 (Tanpa Isolasi)</t>
        </is>
      </c>
      <c r="C11094" s="3" t="inlineStr">
        <is>
          <t>m2</t>
        </is>
      </c>
      <c r="D11094" s="15" t="n">
        <v>1.2</v>
      </c>
      <c r="E11094" s="4" t="n">
        <v>320000</v>
      </c>
      <c r="F11094" s="4" t="n">
        <v>384000</v>
      </c>
    </row>
    <row r="11095">
      <c r="A11095" s="3" t="inlineStr">
        <is>
          <t>2</t>
        </is>
      </c>
      <c r="B11095" s="3" t="inlineStr">
        <is>
          <t>Flinkote</t>
        </is>
      </c>
      <c r="C11095" s="3" t="inlineStr">
        <is>
          <t>lot</t>
        </is>
      </c>
      <c r="D11095" s="15" t="n">
        <v>1</v>
      </c>
      <c r="E11095" s="4" t="n">
        <v>56500</v>
      </c>
      <c r="F11095" s="4" t="n">
        <v>56500</v>
      </c>
    </row>
    <row r="11096">
      <c r="A11096" s="3" t="inlineStr">
        <is>
          <t>3</t>
        </is>
      </c>
      <c r="B11096" s="3" t="inlineStr">
        <is>
          <t>Finish Cat</t>
        </is>
      </c>
      <c r="C11096" s="3" t="inlineStr">
        <is>
          <t>lot</t>
        </is>
      </c>
      <c r="D11096" s="15" t="n">
        <v>1</v>
      </c>
      <c r="E11096" s="4" t="n">
        <v>92000</v>
      </c>
      <c r="F11096" s="4" t="n">
        <v>92000</v>
      </c>
    </row>
    <row r="11097">
      <c r="A11097" s="3" t="inlineStr">
        <is>
          <t>4</t>
        </is>
      </c>
      <c r="B11097" s="3" t="inlineStr">
        <is>
          <t>Hanger + Support</t>
        </is>
      </c>
      <c r="C11097" s="3" t="inlineStr">
        <is>
          <t>lot</t>
        </is>
      </c>
      <c r="D11097" s="15" t="n">
        <v>1</v>
      </c>
      <c r="E11097" s="4" t="n">
        <v>55000</v>
      </c>
      <c r="F11097" s="4" t="n">
        <v>55000</v>
      </c>
    </row>
    <row r="11098">
      <c r="D11098" s="2" t="inlineStr">
        <is>
          <t>SUBTOTAL UPAH</t>
        </is>
      </c>
      <c r="F11098" s="16" t="n">
        <v>54755</v>
      </c>
    </row>
    <row r="11099">
      <c r="D11099" s="2" t="inlineStr">
        <is>
          <t>SUBTOTAL BAHAN</t>
        </is>
      </c>
      <c r="F11099" s="16" t="n">
        <v>587500</v>
      </c>
    </row>
    <row r="11100">
      <c r="D11100" s="2" t="inlineStr">
        <is>
          <t>SUBTOTAL ALAT</t>
        </is>
      </c>
      <c r="F11100" s="16" t="n">
        <v>0</v>
      </c>
    </row>
    <row r="11101">
      <c r="E11101" s="2" t="inlineStr">
        <is>
          <t>TOTAL HARGA SATUAN (Inc. Overhead)</t>
        </is>
      </c>
      <c r="F11101" s="17" t="n">
        <v>706480</v>
      </c>
    </row>
    <row r="11103">
      <c r="A11103" s="14" t="inlineStr">
        <is>
          <t>KODE: 5.5.3.3 - Pemasangan 1 m2 BJLS 70 (Tanpa Isolasi)</t>
        </is>
      </c>
    </row>
    <row r="11104">
      <c r="A11104" s="10" t="inlineStr">
        <is>
          <t>No</t>
        </is>
      </c>
      <c r="B11104" s="10" t="inlineStr">
        <is>
          <t>Uraian Komponen</t>
        </is>
      </c>
      <c r="C11104" s="10" t="inlineStr">
        <is>
          <t>Satuan</t>
        </is>
      </c>
      <c r="D11104" s="10" t="inlineStr">
        <is>
          <t>Koef</t>
        </is>
      </c>
      <c r="E11104" s="10" t="inlineStr">
        <is>
          <t>Harga Satuan (Rp)</t>
        </is>
      </c>
      <c r="F11104" s="10" t="inlineStr">
        <is>
          <t>Jumlah Harga (Rp)</t>
        </is>
      </c>
    </row>
    <row r="11105">
      <c r="A11105" s="3" t="inlineStr">
        <is>
          <t>1</t>
        </is>
      </c>
      <c r="B11105" s="3" t="inlineStr">
        <is>
          <t>Pekerja</t>
        </is>
      </c>
      <c r="C11105" s="3" t="inlineStr">
        <is>
          <t>OH</t>
        </is>
      </c>
      <c r="D11105" s="15" t="n">
        <v>0.143</v>
      </c>
      <c r="E11105" s="4" t="n">
        <v>100000</v>
      </c>
      <c r="F11105" s="4" t="n">
        <v>14300</v>
      </c>
    </row>
    <row r="11106">
      <c r="A11106" s="3" t="inlineStr">
        <is>
          <t>2</t>
        </is>
      </c>
      <c r="B11106" s="3" t="inlineStr">
        <is>
          <t>Tukang listrik</t>
        </is>
      </c>
      <c r="C11106" s="3" t="inlineStr">
        <is>
          <t>OH</t>
        </is>
      </c>
      <c r="D11106" s="15" t="n">
        <v>0.239</v>
      </c>
      <c r="E11106" s="4" t="n">
        <v>145000</v>
      </c>
      <c r="F11106" s="4" t="n">
        <v>34655</v>
      </c>
    </row>
    <row r="11107">
      <c r="A11107" s="3" t="inlineStr">
        <is>
          <t>3</t>
        </is>
      </c>
      <c r="B11107" s="3" t="inlineStr">
        <is>
          <t>Kepala Tukang</t>
        </is>
      </c>
      <c r="C11107" s="3" t="inlineStr">
        <is>
          <t>OH</t>
        </is>
      </c>
      <c r="D11107" s="15" t="n">
        <v>0.024</v>
      </c>
      <c r="E11107" s="4" t="n">
        <v>175000</v>
      </c>
      <c r="F11107" s="4" t="n">
        <v>4200</v>
      </c>
    </row>
    <row r="11108">
      <c r="A11108" s="3" t="inlineStr">
        <is>
          <t>4</t>
        </is>
      </c>
      <c r="B11108" s="3" t="inlineStr">
        <is>
          <t>Mandor</t>
        </is>
      </c>
      <c r="C11108" s="3" t="inlineStr">
        <is>
          <t>OH</t>
        </is>
      </c>
      <c r="D11108" s="15" t="n">
        <v>0.008</v>
      </c>
      <c r="E11108" s="4" t="n">
        <v>200000</v>
      </c>
      <c r="F11108" s="4" t="n">
        <v>1600</v>
      </c>
    </row>
    <row r="11109">
      <c r="A11109" s="3" t="inlineStr">
        <is>
          <t>1</t>
        </is>
      </c>
      <c r="B11109" s="3" t="inlineStr">
        <is>
          <t>BJLS 70 (Tanpa Isolasi)</t>
        </is>
      </c>
      <c r="C11109" s="3" t="inlineStr">
        <is>
          <t>m2</t>
        </is>
      </c>
      <c r="D11109" s="15" t="n">
        <v>1.2</v>
      </c>
      <c r="E11109" s="4" t="n">
        <v>420000</v>
      </c>
      <c r="F11109" s="4" t="n">
        <v>504000</v>
      </c>
    </row>
    <row r="11110">
      <c r="A11110" s="3" t="inlineStr">
        <is>
          <t>2</t>
        </is>
      </c>
      <c r="B11110" s="3" t="inlineStr">
        <is>
          <t>Flinkote</t>
        </is>
      </c>
      <c r="C11110" s="3" t="inlineStr">
        <is>
          <t>lot</t>
        </is>
      </c>
      <c r="D11110" s="15" t="n">
        <v>1</v>
      </c>
      <c r="E11110" s="4" t="n">
        <v>56500</v>
      </c>
      <c r="F11110" s="4" t="n">
        <v>56500</v>
      </c>
    </row>
    <row r="11111">
      <c r="A11111" s="3" t="inlineStr">
        <is>
          <t>3</t>
        </is>
      </c>
      <c r="B11111" s="3" t="inlineStr">
        <is>
          <t>Finish Cat</t>
        </is>
      </c>
      <c r="C11111" s="3" t="inlineStr">
        <is>
          <t>lot</t>
        </is>
      </c>
      <c r="D11111" s="15" t="n">
        <v>1</v>
      </c>
      <c r="E11111" s="4" t="n">
        <v>92000</v>
      </c>
      <c r="F11111" s="4" t="n">
        <v>92000</v>
      </c>
    </row>
    <row r="11112">
      <c r="A11112" s="3" t="inlineStr">
        <is>
          <t>4</t>
        </is>
      </c>
      <c r="B11112" s="3" t="inlineStr">
        <is>
          <t>Hanger + Support</t>
        </is>
      </c>
      <c r="C11112" s="3" t="inlineStr">
        <is>
          <t>lot</t>
        </is>
      </c>
      <c r="D11112" s="15" t="n">
        <v>1</v>
      </c>
      <c r="E11112" s="4" t="n">
        <v>55000</v>
      </c>
      <c r="F11112" s="4" t="n">
        <v>55000</v>
      </c>
    </row>
    <row r="11113">
      <c r="D11113" s="2" t="inlineStr">
        <is>
          <t>SUBTOTAL UPAH</t>
        </is>
      </c>
      <c r="F11113" s="16" t="n">
        <v>54755</v>
      </c>
    </row>
    <row r="11114">
      <c r="D11114" s="2" t="inlineStr">
        <is>
          <t>SUBTOTAL BAHAN</t>
        </is>
      </c>
      <c r="F11114" s="16" t="n">
        <v>707500</v>
      </c>
    </row>
    <row r="11115">
      <c r="D11115" s="2" t="inlineStr">
        <is>
          <t>SUBTOTAL ALAT</t>
        </is>
      </c>
      <c r="F11115" s="16" t="n">
        <v>0</v>
      </c>
    </row>
    <row r="11116">
      <c r="E11116" s="2" t="inlineStr">
        <is>
          <t>TOTAL HARGA SATUAN (Inc. Overhead)</t>
        </is>
      </c>
      <c r="F11116" s="17" t="n">
        <v>838480</v>
      </c>
    </row>
    <row r="11118">
      <c r="A11118" s="14" t="inlineStr">
        <is>
          <t>KODE: 5.5.3.4 - Pemasangan 1 m2 BJLS 80 (Tanpa Isolasi)</t>
        </is>
      </c>
    </row>
    <row r="11119">
      <c r="A11119" s="10" t="inlineStr">
        <is>
          <t>No</t>
        </is>
      </c>
      <c r="B11119" s="10" t="inlineStr">
        <is>
          <t>Uraian Komponen</t>
        </is>
      </c>
      <c r="C11119" s="10" t="inlineStr">
        <is>
          <t>Satuan</t>
        </is>
      </c>
      <c r="D11119" s="10" t="inlineStr">
        <is>
          <t>Koef</t>
        </is>
      </c>
      <c r="E11119" s="10" t="inlineStr">
        <is>
          <t>Harga Satuan (Rp)</t>
        </is>
      </c>
      <c r="F11119" s="10" t="inlineStr">
        <is>
          <t>Jumlah Harga (Rp)</t>
        </is>
      </c>
    </row>
    <row r="11120">
      <c r="A11120" s="3" t="inlineStr">
        <is>
          <t>1</t>
        </is>
      </c>
      <c r="B11120" s="3" t="inlineStr">
        <is>
          <t>Pekerja</t>
        </is>
      </c>
      <c r="C11120" s="3" t="inlineStr">
        <is>
          <t>OH</t>
        </is>
      </c>
      <c r="D11120" s="15" t="n">
        <v>0.143</v>
      </c>
      <c r="E11120" s="4" t="n">
        <v>100000</v>
      </c>
      <c r="F11120" s="4" t="n">
        <v>14300</v>
      </c>
    </row>
    <row r="11121">
      <c r="A11121" s="3" t="inlineStr">
        <is>
          <t>2</t>
        </is>
      </c>
      <c r="B11121" s="3" t="inlineStr">
        <is>
          <t>Tukang listrik</t>
        </is>
      </c>
      <c r="C11121" s="3" t="inlineStr">
        <is>
          <t>OH</t>
        </is>
      </c>
      <c r="D11121" s="15" t="n">
        <v>0.239</v>
      </c>
      <c r="E11121" s="4" t="n">
        <v>145000</v>
      </c>
      <c r="F11121" s="4" t="n">
        <v>34655</v>
      </c>
    </row>
    <row r="11122">
      <c r="A11122" s="3" t="inlineStr">
        <is>
          <t>3</t>
        </is>
      </c>
      <c r="B11122" s="3" t="inlineStr">
        <is>
          <t>Kepala Tukang</t>
        </is>
      </c>
      <c r="C11122" s="3" t="inlineStr">
        <is>
          <t>OH</t>
        </is>
      </c>
      <c r="D11122" s="15" t="n">
        <v>0.024</v>
      </c>
      <c r="E11122" s="4" t="n">
        <v>175000</v>
      </c>
      <c r="F11122" s="4" t="n">
        <v>4200</v>
      </c>
    </row>
    <row r="11123">
      <c r="A11123" s="3" t="inlineStr">
        <is>
          <t>4</t>
        </is>
      </c>
      <c r="B11123" s="3" t="inlineStr">
        <is>
          <t>Mandor</t>
        </is>
      </c>
      <c r="C11123" s="3" t="inlineStr">
        <is>
          <t>OH</t>
        </is>
      </c>
      <c r="D11123" s="15" t="n">
        <v>0.008</v>
      </c>
      <c r="E11123" s="4" t="n">
        <v>200000</v>
      </c>
      <c r="F11123" s="4" t="n">
        <v>1600</v>
      </c>
    </row>
    <row r="11124">
      <c r="A11124" s="3" t="inlineStr">
        <is>
          <t>1</t>
        </is>
      </c>
      <c r="B11124" s="3" t="inlineStr">
        <is>
          <t>BJLS 80 (Tanpa Isolasi)</t>
        </is>
      </c>
      <c r="C11124" s="3" t="inlineStr">
        <is>
          <t>m2</t>
        </is>
      </c>
      <c r="D11124" s="15" t="n">
        <v>1.2</v>
      </c>
      <c r="E11124" s="4" t="n">
        <v>520000</v>
      </c>
      <c r="F11124" s="4" t="n">
        <v>624000</v>
      </c>
    </row>
    <row r="11125">
      <c r="A11125" s="3" t="inlineStr">
        <is>
          <t>2</t>
        </is>
      </c>
      <c r="B11125" s="3" t="inlineStr">
        <is>
          <t>Flinkote</t>
        </is>
      </c>
      <c r="C11125" s="3" t="inlineStr">
        <is>
          <t>lot</t>
        </is>
      </c>
      <c r="D11125" s="15" t="n">
        <v>1</v>
      </c>
      <c r="E11125" s="4" t="n">
        <v>56500</v>
      </c>
      <c r="F11125" s="4" t="n">
        <v>56500</v>
      </c>
    </row>
    <row r="11126">
      <c r="A11126" s="3" t="inlineStr">
        <is>
          <t>3</t>
        </is>
      </c>
      <c r="B11126" s="3" t="inlineStr">
        <is>
          <t>Finish Cat</t>
        </is>
      </c>
      <c r="C11126" s="3" t="inlineStr">
        <is>
          <t>lot</t>
        </is>
      </c>
      <c r="D11126" s="15" t="n">
        <v>1</v>
      </c>
      <c r="E11126" s="4" t="n">
        <v>92000</v>
      </c>
      <c r="F11126" s="4" t="n">
        <v>92000</v>
      </c>
    </row>
    <row r="11127">
      <c r="A11127" s="3" t="inlineStr">
        <is>
          <t>4</t>
        </is>
      </c>
      <c r="B11127" s="3" t="inlineStr">
        <is>
          <t>Hanger + Support</t>
        </is>
      </c>
      <c r="C11127" s="3" t="inlineStr">
        <is>
          <t>lot</t>
        </is>
      </c>
      <c r="D11127" s="15" t="n">
        <v>1</v>
      </c>
      <c r="E11127" s="4" t="n">
        <v>55000</v>
      </c>
      <c r="F11127" s="4" t="n">
        <v>55000</v>
      </c>
    </row>
    <row r="11128">
      <c r="D11128" s="2" t="inlineStr">
        <is>
          <t>SUBTOTAL UPAH</t>
        </is>
      </c>
      <c r="F11128" s="16" t="n">
        <v>54755</v>
      </c>
    </row>
    <row r="11129">
      <c r="D11129" s="2" t="inlineStr">
        <is>
          <t>SUBTOTAL BAHAN</t>
        </is>
      </c>
      <c r="F11129" s="16" t="n">
        <v>827500</v>
      </c>
    </row>
    <row r="11130">
      <c r="D11130" s="2" t="inlineStr">
        <is>
          <t>SUBTOTAL ALAT</t>
        </is>
      </c>
      <c r="F11130" s="16" t="n">
        <v>0</v>
      </c>
    </row>
    <row r="11131">
      <c r="E11131" s="2" t="inlineStr">
        <is>
          <t>TOTAL HARGA SATUAN (Inc. Overhead)</t>
        </is>
      </c>
      <c r="F11131" s="17" t="n">
        <v>970480</v>
      </c>
    </row>
    <row r="11133">
      <c r="A11133" s="14" t="inlineStr">
        <is>
          <t>KODE: 5.5.3.5 - Pemasangan 1 m2 BJLS 100 (Tanpa Isolasi)</t>
        </is>
      </c>
    </row>
    <row r="11134">
      <c r="A11134" s="10" t="inlineStr">
        <is>
          <t>No</t>
        </is>
      </c>
      <c r="B11134" s="10" t="inlineStr">
        <is>
          <t>Uraian Komponen</t>
        </is>
      </c>
      <c r="C11134" s="10" t="inlineStr">
        <is>
          <t>Satuan</t>
        </is>
      </c>
      <c r="D11134" s="10" t="inlineStr">
        <is>
          <t>Koef</t>
        </is>
      </c>
      <c r="E11134" s="10" t="inlineStr">
        <is>
          <t>Harga Satuan (Rp)</t>
        </is>
      </c>
      <c r="F11134" s="10" t="inlineStr">
        <is>
          <t>Jumlah Harga (Rp)</t>
        </is>
      </c>
    </row>
    <row r="11135">
      <c r="A11135" s="3" t="inlineStr">
        <is>
          <t>1</t>
        </is>
      </c>
      <c r="B11135" s="3" t="inlineStr">
        <is>
          <t>Pekerja</t>
        </is>
      </c>
      <c r="C11135" s="3" t="inlineStr">
        <is>
          <t>OH</t>
        </is>
      </c>
      <c r="D11135" s="15" t="n">
        <v>0.143</v>
      </c>
      <c r="E11135" s="4" t="n">
        <v>100000</v>
      </c>
      <c r="F11135" s="4" t="n">
        <v>14300</v>
      </c>
    </row>
    <row r="11136">
      <c r="A11136" s="3" t="inlineStr">
        <is>
          <t>2</t>
        </is>
      </c>
      <c r="B11136" s="3" t="inlineStr">
        <is>
          <t>Tukang listrik</t>
        </is>
      </c>
      <c r="C11136" s="3" t="inlineStr">
        <is>
          <t>OH</t>
        </is>
      </c>
      <c r="D11136" s="15" t="n">
        <v>0.239</v>
      </c>
      <c r="E11136" s="4" t="n">
        <v>145000</v>
      </c>
      <c r="F11136" s="4" t="n">
        <v>34655</v>
      </c>
    </row>
    <row r="11137">
      <c r="A11137" s="3" t="inlineStr">
        <is>
          <t>3</t>
        </is>
      </c>
      <c r="B11137" s="3" t="inlineStr">
        <is>
          <t>Kepala Tukang</t>
        </is>
      </c>
      <c r="C11137" s="3" t="inlineStr">
        <is>
          <t>OH</t>
        </is>
      </c>
      <c r="D11137" s="15" t="n">
        <v>0.024</v>
      </c>
      <c r="E11137" s="4" t="n">
        <v>175000</v>
      </c>
      <c r="F11137" s="4" t="n">
        <v>4200</v>
      </c>
    </row>
    <row r="11138">
      <c r="A11138" s="3" t="inlineStr">
        <is>
          <t>4</t>
        </is>
      </c>
      <c r="B11138" s="3" t="inlineStr">
        <is>
          <t>Mandor</t>
        </is>
      </c>
      <c r="C11138" s="3" t="inlineStr">
        <is>
          <t>OH</t>
        </is>
      </c>
      <c r="D11138" s="15" t="n">
        <v>0.008</v>
      </c>
      <c r="E11138" s="4" t="n">
        <v>200000</v>
      </c>
      <c r="F11138" s="4" t="n">
        <v>1600</v>
      </c>
    </row>
    <row r="11139">
      <c r="A11139" s="3" t="inlineStr">
        <is>
          <t>1</t>
        </is>
      </c>
      <c r="B11139" s="3" t="inlineStr">
        <is>
          <t>BJLS 100 (Tanpa Isolasi)</t>
        </is>
      </c>
      <c r="C11139" s="3" t="inlineStr">
        <is>
          <t>m2</t>
        </is>
      </c>
      <c r="D11139" s="15" t="n">
        <v>1.2</v>
      </c>
      <c r="E11139" s="4" t="n">
        <v>820000</v>
      </c>
      <c r="F11139" s="4" t="n">
        <v>984000</v>
      </c>
    </row>
    <row r="11140">
      <c r="A11140" s="3" t="inlineStr">
        <is>
          <t>2</t>
        </is>
      </c>
      <c r="B11140" s="3" t="inlineStr">
        <is>
          <t>Flinkote</t>
        </is>
      </c>
      <c r="C11140" s="3" t="inlineStr">
        <is>
          <t>lot</t>
        </is>
      </c>
      <c r="D11140" s="15" t="n">
        <v>1</v>
      </c>
      <c r="E11140" s="4" t="n">
        <v>56500</v>
      </c>
      <c r="F11140" s="4" t="n">
        <v>56500</v>
      </c>
    </row>
    <row r="11141">
      <c r="A11141" s="3" t="inlineStr">
        <is>
          <t>3</t>
        </is>
      </c>
      <c r="B11141" s="3" t="inlineStr">
        <is>
          <t>Finish Cat</t>
        </is>
      </c>
      <c r="C11141" s="3" t="inlineStr">
        <is>
          <t>lot</t>
        </is>
      </c>
      <c r="D11141" s="15" t="n">
        <v>1</v>
      </c>
      <c r="E11141" s="4" t="n">
        <v>92000</v>
      </c>
      <c r="F11141" s="4" t="n">
        <v>92000</v>
      </c>
    </row>
    <row r="11142">
      <c r="A11142" s="3" t="inlineStr">
        <is>
          <t>4</t>
        </is>
      </c>
      <c r="B11142" s="3" t="inlineStr">
        <is>
          <t>Hanger + Support</t>
        </is>
      </c>
      <c r="C11142" s="3" t="inlineStr">
        <is>
          <t>lot</t>
        </is>
      </c>
      <c r="D11142" s="15" t="n">
        <v>1</v>
      </c>
      <c r="E11142" s="4" t="n">
        <v>55000</v>
      </c>
      <c r="F11142" s="4" t="n">
        <v>55000</v>
      </c>
    </row>
    <row r="11143">
      <c r="D11143" s="2" t="inlineStr">
        <is>
          <t>SUBTOTAL UPAH</t>
        </is>
      </c>
      <c r="F11143" s="16" t="n">
        <v>54755</v>
      </c>
    </row>
    <row r="11144">
      <c r="D11144" s="2" t="inlineStr">
        <is>
          <t>SUBTOTAL BAHAN</t>
        </is>
      </c>
      <c r="F11144" s="16" t="n">
        <v>1187500</v>
      </c>
    </row>
    <row r="11145">
      <c r="D11145" s="2" t="inlineStr">
        <is>
          <t>SUBTOTAL ALAT</t>
        </is>
      </c>
      <c r="F11145" s="16" t="n">
        <v>0</v>
      </c>
    </row>
    <row r="11146">
      <c r="E11146" s="2" t="inlineStr">
        <is>
          <t>TOTAL HARGA SATUAN (Inc. Overhead)</t>
        </is>
      </c>
      <c r="F11146" s="17" t="n">
        <v>1366480</v>
      </c>
    </row>
    <row r="11148">
      <c r="A11148" s="14" t="inlineStr">
        <is>
          <t>KODE: 5.5.3.6 - Pemasangan 1 m2 BJLS 50 (Isolasi Luar)</t>
        </is>
      </c>
    </row>
    <row r="11149">
      <c r="A11149" s="10" t="inlineStr">
        <is>
          <t>No</t>
        </is>
      </c>
      <c r="B11149" s="10" t="inlineStr">
        <is>
          <t>Uraian Komponen</t>
        </is>
      </c>
      <c r="C11149" s="10" t="inlineStr">
        <is>
          <t>Satuan</t>
        </is>
      </c>
      <c r="D11149" s="10" t="inlineStr">
        <is>
          <t>Koef</t>
        </is>
      </c>
      <c r="E11149" s="10" t="inlineStr">
        <is>
          <t>Harga Satuan (Rp)</t>
        </is>
      </c>
      <c r="F11149" s="10" t="inlineStr">
        <is>
          <t>Jumlah Harga (Rp)</t>
        </is>
      </c>
    </row>
    <row r="11150">
      <c r="A11150" s="3" t="inlineStr">
        <is>
          <t>1</t>
        </is>
      </c>
      <c r="B11150" s="3" t="inlineStr">
        <is>
          <t>Pekerja</t>
        </is>
      </c>
      <c r="C11150" s="3" t="inlineStr">
        <is>
          <t>OH</t>
        </is>
      </c>
      <c r="D11150" s="15" t="n">
        <v>0.19</v>
      </c>
      <c r="E11150" s="4" t="n">
        <v>100000</v>
      </c>
      <c r="F11150" s="4" t="n">
        <v>19000</v>
      </c>
    </row>
    <row r="11151">
      <c r="A11151" s="3" t="inlineStr">
        <is>
          <t>2</t>
        </is>
      </c>
      <c r="B11151" s="3" t="inlineStr">
        <is>
          <t>Tukang listrik</t>
        </is>
      </c>
      <c r="C11151" s="3" t="inlineStr">
        <is>
          <t>OH</t>
        </is>
      </c>
      <c r="D11151" s="15" t="n">
        <v>0.318</v>
      </c>
      <c r="E11151" s="4" t="n">
        <v>145000</v>
      </c>
      <c r="F11151" s="4" t="n">
        <v>46110</v>
      </c>
    </row>
    <row r="11152">
      <c r="A11152" s="3" t="inlineStr">
        <is>
          <t>3</t>
        </is>
      </c>
      <c r="B11152" s="3" t="inlineStr">
        <is>
          <t>Kepala Tukang</t>
        </is>
      </c>
      <c r="C11152" s="3" t="inlineStr">
        <is>
          <t>OH</t>
        </is>
      </c>
      <c r="D11152" s="15" t="n">
        <v>0.032</v>
      </c>
      <c r="E11152" s="4" t="n">
        <v>175000</v>
      </c>
      <c r="F11152" s="4" t="n">
        <v>5600</v>
      </c>
    </row>
    <row r="11153">
      <c r="A11153" s="3" t="inlineStr">
        <is>
          <t>4</t>
        </is>
      </c>
      <c r="B11153" s="3" t="inlineStr">
        <is>
          <t>Mandor</t>
        </is>
      </c>
      <c r="C11153" s="3" t="inlineStr">
        <is>
          <t>OH</t>
        </is>
      </c>
      <c r="D11153" s="15" t="n">
        <v>0.011</v>
      </c>
      <c r="E11153" s="4" t="n">
        <v>200000</v>
      </c>
      <c r="F11153" s="4" t="n">
        <v>2200</v>
      </c>
    </row>
    <row r="11154">
      <c r="A11154" s="3" t="inlineStr">
        <is>
          <t>1</t>
        </is>
      </c>
      <c r="B11154" s="3" t="inlineStr">
        <is>
          <t>BJLS 50 (Isolasi Luar)</t>
        </is>
      </c>
      <c r="C11154" s="3" t="inlineStr">
        <is>
          <t>m2</t>
        </is>
      </c>
      <c r="D11154" s="15" t="n">
        <v>1.2</v>
      </c>
      <c r="E11154" s="4" t="n">
        <v>290000</v>
      </c>
      <c r="F11154" s="4" t="n">
        <v>348000</v>
      </c>
    </row>
    <row r="11155">
      <c r="A11155" s="3" t="inlineStr">
        <is>
          <t>2</t>
        </is>
      </c>
      <c r="B11155" s="3" t="inlineStr">
        <is>
          <t>Flinkote</t>
        </is>
      </c>
      <c r="C11155" s="3" t="inlineStr">
        <is>
          <t>lot</t>
        </is>
      </c>
      <c r="D11155" s="15" t="n">
        <v>1</v>
      </c>
      <c r="E11155" s="4" t="n">
        <v>56500</v>
      </c>
      <c r="F11155" s="4" t="n">
        <v>56500</v>
      </c>
    </row>
    <row r="11156">
      <c r="A11156" s="3" t="inlineStr">
        <is>
          <t>3</t>
        </is>
      </c>
      <c r="B11156" s="3" t="inlineStr">
        <is>
          <t>Finish Cat</t>
        </is>
      </c>
      <c r="C11156" s="3" t="inlineStr">
        <is>
          <t>lot</t>
        </is>
      </c>
      <c r="D11156" s="15" t="n">
        <v>1</v>
      </c>
      <c r="E11156" s="4" t="n">
        <v>92000</v>
      </c>
      <c r="F11156" s="4" t="n">
        <v>92000</v>
      </c>
    </row>
    <row r="11157">
      <c r="A11157" s="3" t="inlineStr">
        <is>
          <t>4</t>
        </is>
      </c>
      <c r="B11157" s="3" t="inlineStr">
        <is>
          <t>Hanger + Support</t>
        </is>
      </c>
      <c r="C11157" s="3" t="inlineStr">
        <is>
          <t>lot</t>
        </is>
      </c>
      <c r="D11157" s="15" t="n">
        <v>1</v>
      </c>
      <c r="E11157" s="4" t="n">
        <v>55000</v>
      </c>
      <c r="F11157" s="4" t="n">
        <v>55000</v>
      </c>
    </row>
    <row r="11158">
      <c r="D11158" s="2" t="inlineStr">
        <is>
          <t>SUBTOTAL UPAH</t>
        </is>
      </c>
      <c r="F11158" s="16" t="n">
        <v>72910</v>
      </c>
    </row>
    <row r="11159">
      <c r="D11159" s="2" t="inlineStr">
        <is>
          <t>SUBTOTAL BAHAN</t>
        </is>
      </c>
      <c r="F11159" s="16" t="n">
        <v>551500</v>
      </c>
    </row>
    <row r="11160">
      <c r="D11160" s="2" t="inlineStr">
        <is>
          <t>SUBTOTAL ALAT</t>
        </is>
      </c>
      <c r="F11160" s="16" t="n">
        <v>0</v>
      </c>
    </row>
    <row r="11161">
      <c r="E11161" s="2" t="inlineStr">
        <is>
          <t>TOTAL HARGA SATUAN (Inc. Overhead)</t>
        </is>
      </c>
      <c r="F11161" s="17" t="n">
        <v>686851</v>
      </c>
    </row>
    <row r="11163">
      <c r="A11163" s="14" t="inlineStr">
        <is>
          <t>KODE: 5.5.3.7 - Pemasangan 1 m2 BJLS 60 (Isolasi Luar)</t>
        </is>
      </c>
    </row>
    <row r="11164">
      <c r="A11164" s="10" t="inlineStr">
        <is>
          <t>No</t>
        </is>
      </c>
      <c r="B11164" s="10" t="inlineStr">
        <is>
          <t>Uraian Komponen</t>
        </is>
      </c>
      <c r="C11164" s="10" t="inlineStr">
        <is>
          <t>Satuan</t>
        </is>
      </c>
      <c r="D11164" s="10" t="inlineStr">
        <is>
          <t>Koef</t>
        </is>
      </c>
      <c r="E11164" s="10" t="inlineStr">
        <is>
          <t>Harga Satuan (Rp)</t>
        </is>
      </c>
      <c r="F11164" s="10" t="inlineStr">
        <is>
          <t>Jumlah Harga (Rp)</t>
        </is>
      </c>
    </row>
    <row r="11165">
      <c r="A11165" s="3" t="inlineStr">
        <is>
          <t>1</t>
        </is>
      </c>
      <c r="B11165" s="3" t="inlineStr">
        <is>
          <t>Pekerja</t>
        </is>
      </c>
      <c r="C11165" s="3" t="inlineStr">
        <is>
          <t>OH</t>
        </is>
      </c>
      <c r="D11165" s="15" t="n">
        <v>0.19</v>
      </c>
      <c r="E11165" s="4" t="n">
        <v>100000</v>
      </c>
      <c r="F11165" s="4" t="n">
        <v>19000</v>
      </c>
    </row>
    <row r="11166">
      <c r="A11166" s="3" t="inlineStr">
        <is>
          <t>2</t>
        </is>
      </c>
      <c r="B11166" s="3" t="inlineStr">
        <is>
          <t>Tukang listrik</t>
        </is>
      </c>
      <c r="C11166" s="3" t="inlineStr">
        <is>
          <t>OH</t>
        </is>
      </c>
      <c r="D11166" s="15" t="n">
        <v>0.318</v>
      </c>
      <c r="E11166" s="4" t="n">
        <v>145000</v>
      </c>
      <c r="F11166" s="4" t="n">
        <v>46110</v>
      </c>
    </row>
    <row r="11167">
      <c r="A11167" s="3" t="inlineStr">
        <is>
          <t>3</t>
        </is>
      </c>
      <c r="B11167" s="3" t="inlineStr">
        <is>
          <t>Kepala Tukang</t>
        </is>
      </c>
      <c r="C11167" s="3" t="inlineStr">
        <is>
          <t>OH</t>
        </is>
      </c>
      <c r="D11167" s="15" t="n">
        <v>0.032</v>
      </c>
      <c r="E11167" s="4" t="n">
        <v>175000</v>
      </c>
      <c r="F11167" s="4" t="n">
        <v>5600</v>
      </c>
    </row>
    <row r="11168">
      <c r="A11168" s="3" t="inlineStr">
        <is>
          <t>4</t>
        </is>
      </c>
      <c r="B11168" s="3" t="inlineStr">
        <is>
          <t>Mandor</t>
        </is>
      </c>
      <c r="C11168" s="3" t="inlineStr">
        <is>
          <t>OH</t>
        </is>
      </c>
      <c r="D11168" s="15" t="n">
        <v>0.011</v>
      </c>
      <c r="E11168" s="4" t="n">
        <v>200000</v>
      </c>
      <c r="F11168" s="4" t="n">
        <v>2200</v>
      </c>
    </row>
    <row r="11169">
      <c r="A11169" s="3" t="inlineStr">
        <is>
          <t>1</t>
        </is>
      </c>
      <c r="B11169" s="3" t="inlineStr">
        <is>
          <t>BJLS 60 (Isolasi Luar)</t>
        </is>
      </c>
      <c r="C11169" s="3" t="inlineStr">
        <is>
          <t>m2</t>
        </is>
      </c>
      <c r="D11169" s="15" t="n">
        <v>1.2</v>
      </c>
      <c r="E11169" s="4" t="n">
        <v>390000</v>
      </c>
      <c r="F11169" s="4" t="n">
        <v>468000</v>
      </c>
    </row>
    <row r="11170">
      <c r="A11170" s="3" t="inlineStr">
        <is>
          <t>2</t>
        </is>
      </c>
      <c r="B11170" s="3" t="inlineStr">
        <is>
          <t>Flinkote</t>
        </is>
      </c>
      <c r="C11170" s="3" t="inlineStr">
        <is>
          <t>lot</t>
        </is>
      </c>
      <c r="D11170" s="15" t="n">
        <v>1</v>
      </c>
      <c r="E11170" s="4" t="n">
        <v>56500</v>
      </c>
      <c r="F11170" s="4" t="n">
        <v>56500</v>
      </c>
    </row>
    <row r="11171">
      <c r="A11171" s="3" t="inlineStr">
        <is>
          <t>3</t>
        </is>
      </c>
      <c r="B11171" s="3" t="inlineStr">
        <is>
          <t>Finish Cat</t>
        </is>
      </c>
      <c r="C11171" s="3" t="inlineStr">
        <is>
          <t>lot</t>
        </is>
      </c>
      <c r="D11171" s="15" t="n">
        <v>1</v>
      </c>
      <c r="E11171" s="4" t="n">
        <v>92000</v>
      </c>
      <c r="F11171" s="4" t="n">
        <v>92000</v>
      </c>
    </row>
    <row r="11172">
      <c r="A11172" s="3" t="inlineStr">
        <is>
          <t>4</t>
        </is>
      </c>
      <c r="B11172" s="3" t="inlineStr">
        <is>
          <t>Hanger + Support</t>
        </is>
      </c>
      <c r="C11172" s="3" t="inlineStr">
        <is>
          <t>lot</t>
        </is>
      </c>
      <c r="D11172" s="15" t="n">
        <v>1</v>
      </c>
      <c r="E11172" s="4" t="n">
        <v>55000</v>
      </c>
      <c r="F11172" s="4" t="n">
        <v>55000</v>
      </c>
    </row>
    <row r="11173">
      <c r="D11173" s="2" t="inlineStr">
        <is>
          <t>SUBTOTAL UPAH</t>
        </is>
      </c>
      <c r="F11173" s="16" t="n">
        <v>72910</v>
      </c>
    </row>
    <row r="11174">
      <c r="D11174" s="2" t="inlineStr">
        <is>
          <t>SUBTOTAL BAHAN</t>
        </is>
      </c>
      <c r="F11174" s="16" t="n">
        <v>671500</v>
      </c>
    </row>
    <row r="11175">
      <c r="D11175" s="2" t="inlineStr">
        <is>
          <t>SUBTOTAL ALAT</t>
        </is>
      </c>
      <c r="F11175" s="16" t="n">
        <v>0</v>
      </c>
    </row>
    <row r="11176">
      <c r="E11176" s="2" t="inlineStr">
        <is>
          <t>TOTAL HARGA SATUAN (Inc. Overhead)</t>
        </is>
      </c>
      <c r="F11176" s="17" t="n">
        <v>818851</v>
      </c>
    </row>
    <row r="11178">
      <c r="A11178" s="14" t="inlineStr">
        <is>
          <t>KODE: 5.5.3.8 - Pemasangan 1 m2 BJLS 70 (Isolasi Luar)</t>
        </is>
      </c>
    </row>
    <row r="11179">
      <c r="A11179" s="10" t="inlineStr">
        <is>
          <t>No</t>
        </is>
      </c>
      <c r="B11179" s="10" t="inlineStr">
        <is>
          <t>Uraian Komponen</t>
        </is>
      </c>
      <c r="C11179" s="10" t="inlineStr">
        <is>
          <t>Satuan</t>
        </is>
      </c>
      <c r="D11179" s="10" t="inlineStr">
        <is>
          <t>Koef</t>
        </is>
      </c>
      <c r="E11179" s="10" t="inlineStr">
        <is>
          <t>Harga Satuan (Rp)</t>
        </is>
      </c>
      <c r="F11179" s="10" t="inlineStr">
        <is>
          <t>Jumlah Harga (Rp)</t>
        </is>
      </c>
    </row>
    <row r="11180">
      <c r="A11180" s="3" t="inlineStr">
        <is>
          <t>1</t>
        </is>
      </c>
      <c r="B11180" s="3" t="inlineStr">
        <is>
          <t>Pekerja</t>
        </is>
      </c>
      <c r="C11180" s="3" t="inlineStr">
        <is>
          <t>OH</t>
        </is>
      </c>
      <c r="D11180" s="15" t="n">
        <v>0.19</v>
      </c>
      <c r="E11180" s="4" t="n">
        <v>100000</v>
      </c>
      <c r="F11180" s="4" t="n">
        <v>19000</v>
      </c>
    </row>
    <row r="11181">
      <c r="A11181" s="3" t="inlineStr">
        <is>
          <t>2</t>
        </is>
      </c>
      <c r="B11181" s="3" t="inlineStr">
        <is>
          <t>Tukang listrik</t>
        </is>
      </c>
      <c r="C11181" s="3" t="inlineStr">
        <is>
          <t>OH</t>
        </is>
      </c>
      <c r="D11181" s="15" t="n">
        <v>0.318</v>
      </c>
      <c r="E11181" s="4" t="n">
        <v>145000</v>
      </c>
      <c r="F11181" s="4" t="n">
        <v>46110</v>
      </c>
    </row>
    <row r="11182">
      <c r="A11182" s="3" t="inlineStr">
        <is>
          <t>3</t>
        </is>
      </c>
      <c r="B11182" s="3" t="inlineStr">
        <is>
          <t>Kepala Tukang</t>
        </is>
      </c>
      <c r="C11182" s="3" t="inlineStr">
        <is>
          <t>OH</t>
        </is>
      </c>
      <c r="D11182" s="15" t="n">
        <v>0.032</v>
      </c>
      <c r="E11182" s="4" t="n">
        <v>175000</v>
      </c>
      <c r="F11182" s="4" t="n">
        <v>5600</v>
      </c>
    </row>
    <row r="11183">
      <c r="A11183" s="3" t="inlineStr">
        <is>
          <t>4</t>
        </is>
      </c>
      <c r="B11183" s="3" t="inlineStr">
        <is>
          <t>Mandor</t>
        </is>
      </c>
      <c r="C11183" s="3" t="inlineStr">
        <is>
          <t>OH</t>
        </is>
      </c>
      <c r="D11183" s="15" t="n">
        <v>0.011</v>
      </c>
      <c r="E11183" s="4" t="n">
        <v>200000</v>
      </c>
      <c r="F11183" s="4" t="n">
        <v>2200</v>
      </c>
    </row>
    <row r="11184">
      <c r="A11184" s="3" t="inlineStr">
        <is>
          <t>1</t>
        </is>
      </c>
      <c r="B11184" s="3" t="inlineStr">
        <is>
          <t>BJLS 70 (Isolasi Luar)</t>
        </is>
      </c>
      <c r="C11184" s="3" t="inlineStr">
        <is>
          <t>m2</t>
        </is>
      </c>
      <c r="D11184" s="15" t="n">
        <v>1.2</v>
      </c>
      <c r="E11184" s="4" t="n">
        <v>490000</v>
      </c>
      <c r="F11184" s="4" t="n">
        <v>588000</v>
      </c>
    </row>
    <row r="11185">
      <c r="A11185" s="3" t="inlineStr">
        <is>
          <t>2</t>
        </is>
      </c>
      <c r="B11185" s="3" t="inlineStr">
        <is>
          <t>Flinkote</t>
        </is>
      </c>
      <c r="C11185" s="3" t="inlineStr">
        <is>
          <t>lot</t>
        </is>
      </c>
      <c r="D11185" s="15" t="n">
        <v>1</v>
      </c>
      <c r="E11185" s="4" t="n">
        <v>56500</v>
      </c>
      <c r="F11185" s="4" t="n">
        <v>56500</v>
      </c>
    </row>
    <row r="11186">
      <c r="A11186" s="3" t="inlineStr">
        <is>
          <t>3</t>
        </is>
      </c>
      <c r="B11186" s="3" t="inlineStr">
        <is>
          <t>Finish Cat</t>
        </is>
      </c>
      <c r="C11186" s="3" t="inlineStr">
        <is>
          <t>lot</t>
        </is>
      </c>
      <c r="D11186" s="15" t="n">
        <v>1</v>
      </c>
      <c r="E11186" s="4" t="n">
        <v>92000</v>
      </c>
      <c r="F11186" s="4" t="n">
        <v>92000</v>
      </c>
    </row>
    <row r="11187">
      <c r="A11187" s="3" t="inlineStr">
        <is>
          <t>4</t>
        </is>
      </c>
      <c r="B11187" s="3" t="inlineStr">
        <is>
          <t>Hanger + Support</t>
        </is>
      </c>
      <c r="C11187" s="3" t="inlineStr">
        <is>
          <t>lot</t>
        </is>
      </c>
      <c r="D11187" s="15" t="n">
        <v>1</v>
      </c>
      <c r="E11187" s="4" t="n">
        <v>55000</v>
      </c>
      <c r="F11187" s="4" t="n">
        <v>55000</v>
      </c>
    </row>
    <row r="11188">
      <c r="D11188" s="2" t="inlineStr">
        <is>
          <t>SUBTOTAL UPAH</t>
        </is>
      </c>
      <c r="F11188" s="16" t="n">
        <v>72910</v>
      </c>
    </row>
    <row r="11189">
      <c r="D11189" s="2" t="inlineStr">
        <is>
          <t>SUBTOTAL BAHAN</t>
        </is>
      </c>
      <c r="F11189" s="16" t="n">
        <v>791500</v>
      </c>
    </row>
    <row r="11190">
      <c r="D11190" s="2" t="inlineStr">
        <is>
          <t>SUBTOTAL ALAT</t>
        </is>
      </c>
      <c r="F11190" s="16" t="n">
        <v>0</v>
      </c>
    </row>
    <row r="11191">
      <c r="E11191" s="2" t="inlineStr">
        <is>
          <t>TOTAL HARGA SATUAN (Inc. Overhead)</t>
        </is>
      </c>
      <c r="F11191" s="17" t="n">
        <v>950851</v>
      </c>
    </row>
    <row r="11193">
      <c r="A11193" s="14" t="inlineStr">
        <is>
          <t>KODE: 5.5.3.9 - Pemasangan 1 m2 BJLS 80 (Isolasi Luar)</t>
        </is>
      </c>
    </row>
    <row r="11194">
      <c r="A11194" s="10" t="inlineStr">
        <is>
          <t>No</t>
        </is>
      </c>
      <c r="B11194" s="10" t="inlineStr">
        <is>
          <t>Uraian Komponen</t>
        </is>
      </c>
      <c r="C11194" s="10" t="inlineStr">
        <is>
          <t>Satuan</t>
        </is>
      </c>
      <c r="D11194" s="10" t="inlineStr">
        <is>
          <t>Koef</t>
        </is>
      </c>
      <c r="E11194" s="10" t="inlineStr">
        <is>
          <t>Harga Satuan (Rp)</t>
        </is>
      </c>
      <c r="F11194" s="10" t="inlineStr">
        <is>
          <t>Jumlah Harga (Rp)</t>
        </is>
      </c>
    </row>
    <row r="11195">
      <c r="A11195" s="3" t="inlineStr">
        <is>
          <t>1</t>
        </is>
      </c>
      <c r="B11195" s="3" t="inlineStr">
        <is>
          <t>Pekerja</t>
        </is>
      </c>
      <c r="C11195" s="3" t="inlineStr">
        <is>
          <t>OH</t>
        </is>
      </c>
      <c r="D11195" s="15" t="n">
        <v>0.19</v>
      </c>
      <c r="E11195" s="4" t="n">
        <v>100000</v>
      </c>
      <c r="F11195" s="4" t="n">
        <v>19000</v>
      </c>
    </row>
    <row r="11196">
      <c r="A11196" s="3" t="inlineStr">
        <is>
          <t>2</t>
        </is>
      </c>
      <c r="B11196" s="3" t="inlineStr">
        <is>
          <t>Tukang listrik</t>
        </is>
      </c>
      <c r="C11196" s="3" t="inlineStr">
        <is>
          <t>OH</t>
        </is>
      </c>
      <c r="D11196" s="15" t="n">
        <v>0.318</v>
      </c>
      <c r="E11196" s="4" t="n">
        <v>145000</v>
      </c>
      <c r="F11196" s="4" t="n">
        <v>46110</v>
      </c>
    </row>
    <row r="11197">
      <c r="A11197" s="3" t="inlineStr">
        <is>
          <t>3</t>
        </is>
      </c>
      <c r="B11197" s="3" t="inlineStr">
        <is>
          <t>Kepala Tukang</t>
        </is>
      </c>
      <c r="C11197" s="3" t="inlineStr">
        <is>
          <t>OH</t>
        </is>
      </c>
      <c r="D11197" s="15" t="n">
        <v>0.032</v>
      </c>
      <c r="E11197" s="4" t="n">
        <v>175000</v>
      </c>
      <c r="F11197" s="4" t="n">
        <v>5600</v>
      </c>
    </row>
    <row r="11198">
      <c r="A11198" s="3" t="inlineStr">
        <is>
          <t>4</t>
        </is>
      </c>
      <c r="B11198" s="3" t="inlineStr">
        <is>
          <t>Mandor</t>
        </is>
      </c>
      <c r="C11198" s="3" t="inlineStr">
        <is>
          <t>OH</t>
        </is>
      </c>
      <c r="D11198" s="15" t="n">
        <v>0.011</v>
      </c>
      <c r="E11198" s="4" t="n">
        <v>200000</v>
      </c>
      <c r="F11198" s="4" t="n">
        <v>2200</v>
      </c>
    </row>
    <row r="11199">
      <c r="A11199" s="3" t="inlineStr">
        <is>
          <t>1</t>
        </is>
      </c>
      <c r="B11199" s="3" t="inlineStr">
        <is>
          <t>BJLS 80 (Isolasi Luar)</t>
        </is>
      </c>
      <c r="C11199" s="3" t="inlineStr">
        <is>
          <t>m2</t>
        </is>
      </c>
      <c r="D11199" s="15" t="n">
        <v>1.2</v>
      </c>
      <c r="E11199" s="4" t="n">
        <v>590000</v>
      </c>
      <c r="F11199" s="4" t="n">
        <v>708000</v>
      </c>
    </row>
    <row r="11200">
      <c r="A11200" s="3" t="inlineStr">
        <is>
          <t>2</t>
        </is>
      </c>
      <c r="B11200" s="3" t="inlineStr">
        <is>
          <t>Flinkote</t>
        </is>
      </c>
      <c r="C11200" s="3" t="inlineStr">
        <is>
          <t>lot</t>
        </is>
      </c>
      <c r="D11200" s="15" t="n">
        <v>1</v>
      </c>
      <c r="E11200" s="4" t="n">
        <v>56500</v>
      </c>
      <c r="F11200" s="4" t="n">
        <v>56500</v>
      </c>
    </row>
    <row r="11201">
      <c r="A11201" s="3" t="inlineStr">
        <is>
          <t>3</t>
        </is>
      </c>
      <c r="B11201" s="3" t="inlineStr">
        <is>
          <t>Finish Cat</t>
        </is>
      </c>
      <c r="C11201" s="3" t="inlineStr">
        <is>
          <t>lot</t>
        </is>
      </c>
      <c r="D11201" s="15" t="n">
        <v>1</v>
      </c>
      <c r="E11201" s="4" t="n">
        <v>92000</v>
      </c>
      <c r="F11201" s="4" t="n">
        <v>92000</v>
      </c>
    </row>
    <row r="11202">
      <c r="A11202" s="3" t="inlineStr">
        <is>
          <t>4</t>
        </is>
      </c>
      <c r="B11202" s="3" t="inlineStr">
        <is>
          <t>Hanger + Support</t>
        </is>
      </c>
      <c r="C11202" s="3" t="inlineStr">
        <is>
          <t>lot</t>
        </is>
      </c>
      <c r="D11202" s="15" t="n">
        <v>1</v>
      </c>
      <c r="E11202" s="4" t="n">
        <v>55000</v>
      </c>
      <c r="F11202" s="4" t="n">
        <v>55000</v>
      </c>
    </row>
    <row r="11203">
      <c r="D11203" s="2" t="inlineStr">
        <is>
          <t>SUBTOTAL UPAH</t>
        </is>
      </c>
      <c r="F11203" s="16" t="n">
        <v>72910</v>
      </c>
    </row>
    <row r="11204">
      <c r="D11204" s="2" t="inlineStr">
        <is>
          <t>SUBTOTAL BAHAN</t>
        </is>
      </c>
      <c r="F11204" s="16" t="n">
        <v>911500</v>
      </c>
    </row>
    <row r="11205">
      <c r="D11205" s="2" t="inlineStr">
        <is>
          <t>SUBTOTAL ALAT</t>
        </is>
      </c>
      <c r="F11205" s="16" t="n">
        <v>0</v>
      </c>
    </row>
    <row r="11206">
      <c r="E11206" s="2" t="inlineStr">
        <is>
          <t>TOTAL HARGA SATUAN (Inc. Overhead)</t>
        </is>
      </c>
      <c r="F11206" s="17" t="n">
        <v>1082851</v>
      </c>
    </row>
    <row r="11208">
      <c r="A11208" s="14" t="inlineStr">
        <is>
          <t>KODE: 5.5.3.10 - Pemasangan 1 m2 BJLS 100 (Isolasi Luar)</t>
        </is>
      </c>
    </row>
    <row r="11209">
      <c r="A11209" s="10" t="inlineStr">
        <is>
          <t>No</t>
        </is>
      </c>
      <c r="B11209" s="10" t="inlineStr">
        <is>
          <t>Uraian Komponen</t>
        </is>
      </c>
      <c r="C11209" s="10" t="inlineStr">
        <is>
          <t>Satuan</t>
        </is>
      </c>
      <c r="D11209" s="10" t="inlineStr">
        <is>
          <t>Koef</t>
        </is>
      </c>
      <c r="E11209" s="10" t="inlineStr">
        <is>
          <t>Harga Satuan (Rp)</t>
        </is>
      </c>
      <c r="F11209" s="10" t="inlineStr">
        <is>
          <t>Jumlah Harga (Rp)</t>
        </is>
      </c>
    </row>
    <row r="11210">
      <c r="A11210" s="3" t="inlineStr">
        <is>
          <t>1</t>
        </is>
      </c>
      <c r="B11210" s="3" t="inlineStr">
        <is>
          <t>Pekerja</t>
        </is>
      </c>
      <c r="C11210" s="3" t="inlineStr">
        <is>
          <t>OH</t>
        </is>
      </c>
      <c r="D11210" s="15" t="n">
        <v>0.19</v>
      </c>
      <c r="E11210" s="4" t="n">
        <v>100000</v>
      </c>
      <c r="F11210" s="4" t="n">
        <v>19000</v>
      </c>
    </row>
    <row r="11211">
      <c r="A11211" s="3" t="inlineStr">
        <is>
          <t>2</t>
        </is>
      </c>
      <c r="B11211" s="3" t="inlineStr">
        <is>
          <t>Tukang listrik</t>
        </is>
      </c>
      <c r="C11211" s="3" t="inlineStr">
        <is>
          <t>OH</t>
        </is>
      </c>
      <c r="D11211" s="15" t="n">
        <v>0.318</v>
      </c>
      <c r="E11211" s="4" t="n">
        <v>145000</v>
      </c>
      <c r="F11211" s="4" t="n">
        <v>46110</v>
      </c>
    </row>
    <row r="11212">
      <c r="A11212" s="3" t="inlineStr">
        <is>
          <t>3</t>
        </is>
      </c>
      <c r="B11212" s="3" t="inlineStr">
        <is>
          <t>Kepala Tukang</t>
        </is>
      </c>
      <c r="C11212" s="3" t="inlineStr">
        <is>
          <t>OH</t>
        </is>
      </c>
      <c r="D11212" s="15" t="n">
        <v>0.032</v>
      </c>
      <c r="E11212" s="4" t="n">
        <v>175000</v>
      </c>
      <c r="F11212" s="4" t="n">
        <v>5600</v>
      </c>
    </row>
    <row r="11213">
      <c r="A11213" s="3" t="inlineStr">
        <is>
          <t>4</t>
        </is>
      </c>
      <c r="B11213" s="3" t="inlineStr">
        <is>
          <t>Mandor</t>
        </is>
      </c>
      <c r="C11213" s="3" t="inlineStr">
        <is>
          <t>OH</t>
        </is>
      </c>
      <c r="D11213" s="15" t="n">
        <v>0.011</v>
      </c>
      <c r="E11213" s="4" t="n">
        <v>200000</v>
      </c>
      <c r="F11213" s="4" t="n">
        <v>2200</v>
      </c>
    </row>
    <row r="11214">
      <c r="A11214" s="3" t="inlineStr">
        <is>
          <t>1</t>
        </is>
      </c>
      <c r="B11214" s="3" t="inlineStr">
        <is>
          <t>BJLS 100 (Isolasi Luar)</t>
        </is>
      </c>
      <c r="C11214" s="3" t="inlineStr">
        <is>
          <t>m2</t>
        </is>
      </c>
      <c r="D11214" s="15" t="n">
        <v>1.2</v>
      </c>
      <c r="E11214" s="4" t="n">
        <v>990000</v>
      </c>
      <c r="F11214" s="4" t="n">
        <v>1188000</v>
      </c>
    </row>
    <row r="11215">
      <c r="A11215" s="3" t="inlineStr">
        <is>
          <t>2</t>
        </is>
      </c>
      <c r="B11215" s="3" t="inlineStr">
        <is>
          <t>Flinkote</t>
        </is>
      </c>
      <c r="C11215" s="3" t="inlineStr">
        <is>
          <t>lot</t>
        </is>
      </c>
      <c r="D11215" s="15" t="n">
        <v>1</v>
      </c>
      <c r="E11215" s="4" t="n">
        <v>56500</v>
      </c>
      <c r="F11215" s="4" t="n">
        <v>56500</v>
      </c>
    </row>
    <row r="11216">
      <c r="A11216" s="3" t="inlineStr">
        <is>
          <t>3</t>
        </is>
      </c>
      <c r="B11216" s="3" t="inlineStr">
        <is>
          <t>Finish Cat</t>
        </is>
      </c>
      <c r="C11216" s="3" t="inlineStr">
        <is>
          <t>lot</t>
        </is>
      </c>
      <c r="D11216" s="15" t="n">
        <v>1</v>
      </c>
      <c r="E11216" s="4" t="n">
        <v>92000</v>
      </c>
      <c r="F11216" s="4" t="n">
        <v>92000</v>
      </c>
    </row>
    <row r="11217">
      <c r="A11217" s="3" t="inlineStr">
        <is>
          <t>4</t>
        </is>
      </c>
      <c r="B11217" s="3" t="inlineStr">
        <is>
          <t>Hanger + Support</t>
        </is>
      </c>
      <c r="C11217" s="3" t="inlineStr">
        <is>
          <t>lot</t>
        </is>
      </c>
      <c r="D11217" s="15" t="n">
        <v>1</v>
      </c>
      <c r="E11217" s="4" t="n">
        <v>55000</v>
      </c>
      <c r="F11217" s="4" t="n">
        <v>55000</v>
      </c>
    </row>
    <row r="11218">
      <c r="D11218" s="2" t="inlineStr">
        <is>
          <t>SUBTOTAL UPAH</t>
        </is>
      </c>
      <c r="F11218" s="16" t="n">
        <v>72910</v>
      </c>
    </row>
    <row r="11219">
      <c r="D11219" s="2" t="inlineStr">
        <is>
          <t>SUBTOTAL BAHAN</t>
        </is>
      </c>
      <c r="F11219" s="16" t="n">
        <v>1391500</v>
      </c>
    </row>
    <row r="11220">
      <c r="D11220" s="2" t="inlineStr">
        <is>
          <t>SUBTOTAL ALAT</t>
        </is>
      </c>
      <c r="F11220" s="16" t="n">
        <v>0</v>
      </c>
    </row>
    <row r="11221">
      <c r="E11221" s="2" t="inlineStr">
        <is>
          <t>TOTAL HARGA SATUAN (Inc. Overhead)</t>
        </is>
      </c>
      <c r="F11221" s="17" t="n">
        <v>1610851</v>
      </c>
    </row>
    <row r="11223">
      <c r="A11223" s="14" t="inlineStr">
        <is>
          <t>KODE: 5.5.3.11 - Pemasangan 1 m2 BJLS 50 (Isolasi Luar Dalam)</t>
        </is>
      </c>
    </row>
    <row r="11224">
      <c r="A11224" s="10" t="inlineStr">
        <is>
          <t>No</t>
        </is>
      </c>
      <c r="B11224" s="10" t="inlineStr">
        <is>
          <t>Uraian Komponen</t>
        </is>
      </c>
      <c r="C11224" s="10" t="inlineStr">
        <is>
          <t>Satuan</t>
        </is>
      </c>
      <c r="D11224" s="10" t="inlineStr">
        <is>
          <t>Koef</t>
        </is>
      </c>
      <c r="E11224" s="10" t="inlineStr">
        <is>
          <t>Harga Satuan (Rp)</t>
        </is>
      </c>
      <c r="F11224" s="10" t="inlineStr">
        <is>
          <t>Jumlah Harga (Rp)</t>
        </is>
      </c>
    </row>
    <row r="11225">
      <c r="A11225" s="3" t="inlineStr">
        <is>
          <t>1</t>
        </is>
      </c>
      <c r="B11225" s="3" t="inlineStr">
        <is>
          <t>Pekerja</t>
        </is>
      </c>
      <c r="C11225" s="3" t="inlineStr">
        <is>
          <t>OH</t>
        </is>
      </c>
      <c r="D11225" s="15" t="n">
        <v>0.217</v>
      </c>
      <c r="E11225" s="4" t="n">
        <v>100000</v>
      </c>
      <c r="F11225" s="4" t="n">
        <v>21700</v>
      </c>
    </row>
    <row r="11226">
      <c r="A11226" s="3" t="inlineStr">
        <is>
          <t>2</t>
        </is>
      </c>
      <c r="B11226" s="3" t="inlineStr">
        <is>
          <t>Tukang listrik</t>
        </is>
      </c>
      <c r="C11226" s="3" t="inlineStr">
        <is>
          <t>OH</t>
        </is>
      </c>
      <c r="D11226" s="15" t="n">
        <v>0.362</v>
      </c>
      <c r="E11226" s="4" t="n">
        <v>145000</v>
      </c>
      <c r="F11226" s="4" t="n">
        <v>52490</v>
      </c>
    </row>
    <row r="11227">
      <c r="A11227" s="3" t="inlineStr">
        <is>
          <t>3</t>
        </is>
      </c>
      <c r="B11227" s="3" t="inlineStr">
        <is>
          <t>Kepala Tukang</t>
        </is>
      </c>
      <c r="C11227" s="3" t="inlineStr">
        <is>
          <t>OH</t>
        </is>
      </c>
      <c r="D11227" s="15" t="n">
        <v>0.036</v>
      </c>
      <c r="E11227" s="4" t="n">
        <v>175000</v>
      </c>
      <c r="F11227" s="4" t="n">
        <v>6299.999999999999</v>
      </c>
    </row>
    <row r="11228">
      <c r="A11228" s="3" t="inlineStr">
        <is>
          <t>4</t>
        </is>
      </c>
      <c r="B11228" s="3" t="inlineStr">
        <is>
          <t>Mandor</t>
        </is>
      </c>
      <c r="C11228" s="3" t="inlineStr">
        <is>
          <t>OH</t>
        </is>
      </c>
      <c r="D11228" s="15" t="n">
        <v>0.012</v>
      </c>
      <c r="E11228" s="4" t="n">
        <v>200000</v>
      </c>
      <c r="F11228" s="4" t="n">
        <v>2400</v>
      </c>
    </row>
    <row r="11229">
      <c r="A11229" s="3" t="inlineStr">
        <is>
          <t>1</t>
        </is>
      </c>
      <c r="B11229" s="3" t="inlineStr">
        <is>
          <t>BJLS 50 (Isolasi Luar Dalam)</t>
        </is>
      </c>
      <c r="C11229" s="3" t="inlineStr">
        <is>
          <t>m2</t>
        </is>
      </c>
      <c r="D11229" s="15" t="n">
        <v>1.2</v>
      </c>
      <c r="E11229" s="4" t="n">
        <v>390000</v>
      </c>
      <c r="F11229" s="4" t="n">
        <v>468000</v>
      </c>
    </row>
    <row r="11230">
      <c r="A11230" s="3" t="inlineStr">
        <is>
          <t>2</t>
        </is>
      </c>
      <c r="B11230" s="3" t="inlineStr">
        <is>
          <t>Flinkote</t>
        </is>
      </c>
      <c r="C11230" s="3" t="inlineStr">
        <is>
          <t>lot</t>
        </is>
      </c>
      <c r="D11230" s="15" t="n">
        <v>1</v>
      </c>
      <c r="E11230" s="4" t="n">
        <v>56500</v>
      </c>
      <c r="F11230" s="4" t="n">
        <v>56500</v>
      </c>
    </row>
    <row r="11231">
      <c r="A11231" s="3" t="inlineStr">
        <is>
          <t>3</t>
        </is>
      </c>
      <c r="B11231" s="3" t="inlineStr">
        <is>
          <t>Finish Cat</t>
        </is>
      </c>
      <c r="C11231" s="3" t="inlineStr">
        <is>
          <t>lot</t>
        </is>
      </c>
      <c r="D11231" s="15" t="n">
        <v>1</v>
      </c>
      <c r="E11231" s="4" t="n">
        <v>92000</v>
      </c>
      <c r="F11231" s="4" t="n">
        <v>92000</v>
      </c>
    </row>
    <row r="11232">
      <c r="A11232" s="3" t="inlineStr">
        <is>
          <t>4</t>
        </is>
      </c>
      <c r="B11232" s="3" t="inlineStr">
        <is>
          <t>Hanger + Support</t>
        </is>
      </c>
      <c r="C11232" s="3" t="inlineStr">
        <is>
          <t>lot</t>
        </is>
      </c>
      <c r="D11232" s="15" t="n">
        <v>1</v>
      </c>
      <c r="E11232" s="4" t="n">
        <v>55000</v>
      </c>
      <c r="F11232" s="4" t="n">
        <v>55000</v>
      </c>
    </row>
    <row r="11233">
      <c r="D11233" s="2" t="inlineStr">
        <is>
          <t>SUBTOTAL UPAH</t>
        </is>
      </c>
      <c r="F11233" s="16" t="n">
        <v>82890</v>
      </c>
    </row>
    <row r="11234">
      <c r="D11234" s="2" t="inlineStr">
        <is>
          <t>SUBTOTAL BAHAN</t>
        </is>
      </c>
      <c r="F11234" s="16" t="n">
        <v>671500</v>
      </c>
    </row>
    <row r="11235">
      <c r="D11235" s="2" t="inlineStr">
        <is>
          <t>SUBTOTAL ALAT</t>
        </is>
      </c>
      <c r="F11235" s="16" t="n">
        <v>0</v>
      </c>
    </row>
    <row r="11236">
      <c r="E11236" s="2" t="inlineStr">
        <is>
          <t>TOTAL HARGA SATUAN (Inc. Overhead)</t>
        </is>
      </c>
      <c r="F11236" s="17" t="n">
        <v>829829</v>
      </c>
    </row>
    <row r="11238">
      <c r="A11238" s="14" t="inlineStr">
        <is>
          <t>KODE: 5.5.3.12 - Pemasangan 1 m2 BJLS 60 (Isolasi Luar Dalam)</t>
        </is>
      </c>
    </row>
    <row r="11239">
      <c r="A11239" s="10" t="inlineStr">
        <is>
          <t>No</t>
        </is>
      </c>
      <c r="B11239" s="10" t="inlineStr">
        <is>
          <t>Uraian Komponen</t>
        </is>
      </c>
      <c r="C11239" s="10" t="inlineStr">
        <is>
          <t>Satuan</t>
        </is>
      </c>
      <c r="D11239" s="10" t="inlineStr">
        <is>
          <t>Koef</t>
        </is>
      </c>
      <c r="E11239" s="10" t="inlineStr">
        <is>
          <t>Harga Satuan (Rp)</t>
        </is>
      </c>
      <c r="F11239" s="10" t="inlineStr">
        <is>
          <t>Jumlah Harga (Rp)</t>
        </is>
      </c>
    </row>
    <row r="11240">
      <c r="A11240" s="3" t="inlineStr">
        <is>
          <t>1</t>
        </is>
      </c>
      <c r="B11240" s="3" t="inlineStr">
        <is>
          <t>Pekerja</t>
        </is>
      </c>
      <c r="C11240" s="3" t="inlineStr">
        <is>
          <t>OH</t>
        </is>
      </c>
      <c r="D11240" s="15" t="n">
        <v>0.217</v>
      </c>
      <c r="E11240" s="4" t="n">
        <v>100000</v>
      </c>
      <c r="F11240" s="4" t="n">
        <v>21700</v>
      </c>
    </row>
    <row r="11241">
      <c r="A11241" s="3" t="inlineStr">
        <is>
          <t>2</t>
        </is>
      </c>
      <c r="B11241" s="3" t="inlineStr">
        <is>
          <t>Tukang listrik</t>
        </is>
      </c>
      <c r="C11241" s="3" t="inlineStr">
        <is>
          <t>OH</t>
        </is>
      </c>
      <c r="D11241" s="15" t="n">
        <v>0.362</v>
      </c>
      <c r="E11241" s="4" t="n">
        <v>145000</v>
      </c>
      <c r="F11241" s="4" t="n">
        <v>52490</v>
      </c>
    </row>
    <row r="11242">
      <c r="A11242" s="3" t="inlineStr">
        <is>
          <t>3</t>
        </is>
      </c>
      <c r="B11242" s="3" t="inlineStr">
        <is>
          <t>Kepala Tukang</t>
        </is>
      </c>
      <c r="C11242" s="3" t="inlineStr">
        <is>
          <t>OH</t>
        </is>
      </c>
      <c r="D11242" s="15" t="n">
        <v>0.036</v>
      </c>
      <c r="E11242" s="4" t="n">
        <v>175000</v>
      </c>
      <c r="F11242" s="4" t="n">
        <v>6299.999999999999</v>
      </c>
    </row>
    <row r="11243">
      <c r="A11243" s="3" t="inlineStr">
        <is>
          <t>4</t>
        </is>
      </c>
      <c r="B11243" s="3" t="inlineStr">
        <is>
          <t>Mandor</t>
        </is>
      </c>
      <c r="C11243" s="3" t="inlineStr">
        <is>
          <t>OH</t>
        </is>
      </c>
      <c r="D11243" s="15" t="n">
        <v>0.012</v>
      </c>
      <c r="E11243" s="4" t="n">
        <v>200000</v>
      </c>
      <c r="F11243" s="4" t="n">
        <v>2400</v>
      </c>
    </row>
    <row r="11244">
      <c r="A11244" s="3" t="inlineStr">
        <is>
          <t>1</t>
        </is>
      </c>
      <c r="B11244" s="3" t="inlineStr">
        <is>
          <t>BJLS 60 (Isolasi Luar Dalam)</t>
        </is>
      </c>
      <c r="C11244" s="3" t="inlineStr">
        <is>
          <t>m2</t>
        </is>
      </c>
      <c r="D11244" s="15" t="n">
        <v>1.2</v>
      </c>
      <c r="E11244" s="4" t="n">
        <v>490000</v>
      </c>
      <c r="F11244" s="4" t="n">
        <v>588000</v>
      </c>
    </row>
    <row r="11245">
      <c r="A11245" s="3" t="inlineStr">
        <is>
          <t>2</t>
        </is>
      </c>
      <c r="B11245" s="3" t="inlineStr">
        <is>
          <t>Flinkote</t>
        </is>
      </c>
      <c r="C11245" s="3" t="inlineStr">
        <is>
          <t>lot</t>
        </is>
      </c>
      <c r="D11245" s="15" t="n">
        <v>1</v>
      </c>
      <c r="E11245" s="4" t="n">
        <v>56500</v>
      </c>
      <c r="F11245" s="4" t="n">
        <v>56500</v>
      </c>
    </row>
    <row r="11246">
      <c r="A11246" s="3" t="inlineStr">
        <is>
          <t>3</t>
        </is>
      </c>
      <c r="B11246" s="3" t="inlineStr">
        <is>
          <t>Finish Cat</t>
        </is>
      </c>
      <c r="C11246" s="3" t="inlineStr">
        <is>
          <t>lot</t>
        </is>
      </c>
      <c r="D11246" s="15" t="n">
        <v>1</v>
      </c>
      <c r="E11246" s="4" t="n">
        <v>92000</v>
      </c>
      <c r="F11246" s="4" t="n">
        <v>92000</v>
      </c>
    </row>
    <row r="11247">
      <c r="A11247" s="3" t="inlineStr">
        <is>
          <t>4</t>
        </is>
      </c>
      <c r="B11247" s="3" t="inlineStr">
        <is>
          <t>Hanger + Support</t>
        </is>
      </c>
      <c r="C11247" s="3" t="inlineStr">
        <is>
          <t>lot</t>
        </is>
      </c>
      <c r="D11247" s="15" t="n">
        <v>1</v>
      </c>
      <c r="E11247" s="4" t="n">
        <v>55000</v>
      </c>
      <c r="F11247" s="4" t="n">
        <v>55000</v>
      </c>
    </row>
    <row r="11248">
      <c r="D11248" s="2" t="inlineStr">
        <is>
          <t>SUBTOTAL UPAH</t>
        </is>
      </c>
      <c r="F11248" s="16" t="n">
        <v>82890</v>
      </c>
    </row>
    <row r="11249">
      <c r="D11249" s="2" t="inlineStr">
        <is>
          <t>SUBTOTAL BAHAN</t>
        </is>
      </c>
      <c r="F11249" s="16" t="n">
        <v>791500</v>
      </c>
    </row>
    <row r="11250">
      <c r="D11250" s="2" t="inlineStr">
        <is>
          <t>SUBTOTAL ALAT</t>
        </is>
      </c>
      <c r="F11250" s="16" t="n">
        <v>0</v>
      </c>
    </row>
    <row r="11251">
      <c r="E11251" s="2" t="inlineStr">
        <is>
          <t>TOTAL HARGA SATUAN (Inc. Overhead)</t>
        </is>
      </c>
      <c r="F11251" s="17" t="n">
        <v>961829</v>
      </c>
    </row>
    <row r="11253">
      <c r="A11253" s="14" t="inlineStr">
        <is>
          <t>KODE: 5.5.3.13 - Pemasangan 1 m2 BJLS 70 (Isolasi Luar Dalam)</t>
        </is>
      </c>
    </row>
    <row r="11254">
      <c r="A11254" s="10" t="inlineStr">
        <is>
          <t>No</t>
        </is>
      </c>
      <c r="B11254" s="10" t="inlineStr">
        <is>
          <t>Uraian Komponen</t>
        </is>
      </c>
      <c r="C11254" s="10" t="inlineStr">
        <is>
          <t>Satuan</t>
        </is>
      </c>
      <c r="D11254" s="10" t="inlineStr">
        <is>
          <t>Koef</t>
        </is>
      </c>
      <c r="E11254" s="10" t="inlineStr">
        <is>
          <t>Harga Satuan (Rp)</t>
        </is>
      </c>
      <c r="F11254" s="10" t="inlineStr">
        <is>
          <t>Jumlah Harga (Rp)</t>
        </is>
      </c>
    </row>
    <row r="11255">
      <c r="A11255" s="3" t="inlineStr">
        <is>
          <t>1</t>
        </is>
      </c>
      <c r="B11255" s="3" t="inlineStr">
        <is>
          <t>Pekerja</t>
        </is>
      </c>
      <c r="C11255" s="3" t="inlineStr">
        <is>
          <t>OH</t>
        </is>
      </c>
      <c r="D11255" s="15" t="n">
        <v>0.217</v>
      </c>
      <c r="E11255" s="4" t="n">
        <v>100000</v>
      </c>
      <c r="F11255" s="4" t="n">
        <v>21700</v>
      </c>
    </row>
    <row r="11256">
      <c r="A11256" s="3" t="inlineStr">
        <is>
          <t>2</t>
        </is>
      </c>
      <c r="B11256" s="3" t="inlineStr">
        <is>
          <t>Tukang listrik</t>
        </is>
      </c>
      <c r="C11256" s="3" t="inlineStr">
        <is>
          <t>OH</t>
        </is>
      </c>
      <c r="D11256" s="15" t="n">
        <v>0.362</v>
      </c>
      <c r="E11256" s="4" t="n">
        <v>145000</v>
      </c>
      <c r="F11256" s="4" t="n">
        <v>52490</v>
      </c>
    </row>
    <row r="11257">
      <c r="A11257" s="3" t="inlineStr">
        <is>
          <t>3</t>
        </is>
      </c>
      <c r="B11257" s="3" t="inlineStr">
        <is>
          <t>Kepala Tukang</t>
        </is>
      </c>
      <c r="C11257" s="3" t="inlineStr">
        <is>
          <t>OH</t>
        </is>
      </c>
      <c r="D11257" s="15" t="n">
        <v>0.036</v>
      </c>
      <c r="E11257" s="4" t="n">
        <v>175000</v>
      </c>
      <c r="F11257" s="4" t="n">
        <v>6299.999999999999</v>
      </c>
    </row>
    <row r="11258">
      <c r="A11258" s="3" t="inlineStr">
        <is>
          <t>4</t>
        </is>
      </c>
      <c r="B11258" s="3" t="inlineStr">
        <is>
          <t>Mandor</t>
        </is>
      </c>
      <c r="C11258" s="3" t="inlineStr">
        <is>
          <t>OH</t>
        </is>
      </c>
      <c r="D11258" s="15" t="n">
        <v>0.012</v>
      </c>
      <c r="E11258" s="4" t="n">
        <v>200000</v>
      </c>
      <c r="F11258" s="4" t="n">
        <v>2400</v>
      </c>
    </row>
    <row r="11259">
      <c r="A11259" s="3" t="inlineStr">
        <is>
          <t>1</t>
        </is>
      </c>
      <c r="B11259" s="3" t="inlineStr">
        <is>
          <t>BJLS 70 (Isolasi Luar Dalam)</t>
        </is>
      </c>
      <c r="C11259" s="3" t="inlineStr">
        <is>
          <t>m2</t>
        </is>
      </c>
      <c r="D11259" s="15" t="n">
        <v>1.2</v>
      </c>
      <c r="E11259" s="4" t="n">
        <v>590000</v>
      </c>
      <c r="F11259" s="4" t="n">
        <v>708000</v>
      </c>
    </row>
    <row r="11260">
      <c r="A11260" s="3" t="inlineStr">
        <is>
          <t>2</t>
        </is>
      </c>
      <c r="B11260" s="3" t="inlineStr">
        <is>
          <t>Flinkote</t>
        </is>
      </c>
      <c r="C11260" s="3" t="inlineStr">
        <is>
          <t>lot</t>
        </is>
      </c>
      <c r="D11260" s="15" t="n">
        <v>1</v>
      </c>
      <c r="E11260" s="4" t="n">
        <v>56500</v>
      </c>
      <c r="F11260" s="4" t="n">
        <v>56500</v>
      </c>
    </row>
    <row r="11261">
      <c r="A11261" s="3" t="inlineStr">
        <is>
          <t>3</t>
        </is>
      </c>
      <c r="B11261" s="3" t="inlineStr">
        <is>
          <t>Finish Cat</t>
        </is>
      </c>
      <c r="C11261" s="3" t="inlineStr">
        <is>
          <t>lot</t>
        </is>
      </c>
      <c r="D11261" s="15" t="n">
        <v>1</v>
      </c>
      <c r="E11261" s="4" t="n">
        <v>92000</v>
      </c>
      <c r="F11261" s="4" t="n">
        <v>92000</v>
      </c>
    </row>
    <row r="11262">
      <c r="A11262" s="3" t="inlineStr">
        <is>
          <t>4</t>
        </is>
      </c>
      <c r="B11262" s="3" t="inlineStr">
        <is>
          <t>Hanger + Support</t>
        </is>
      </c>
      <c r="C11262" s="3" t="inlineStr">
        <is>
          <t>lot</t>
        </is>
      </c>
      <c r="D11262" s="15" t="n">
        <v>1</v>
      </c>
      <c r="E11262" s="4" t="n">
        <v>55000</v>
      </c>
      <c r="F11262" s="4" t="n">
        <v>55000</v>
      </c>
    </row>
    <row r="11263">
      <c r="D11263" s="2" t="inlineStr">
        <is>
          <t>SUBTOTAL UPAH</t>
        </is>
      </c>
      <c r="F11263" s="16" t="n">
        <v>82890</v>
      </c>
    </row>
    <row r="11264">
      <c r="D11264" s="2" t="inlineStr">
        <is>
          <t>SUBTOTAL BAHAN</t>
        </is>
      </c>
      <c r="F11264" s="16" t="n">
        <v>911500</v>
      </c>
    </row>
    <row r="11265">
      <c r="D11265" s="2" t="inlineStr">
        <is>
          <t>SUBTOTAL ALAT</t>
        </is>
      </c>
      <c r="F11265" s="16" t="n">
        <v>0</v>
      </c>
    </row>
    <row r="11266">
      <c r="E11266" s="2" t="inlineStr">
        <is>
          <t>TOTAL HARGA SATUAN (Inc. Overhead)</t>
        </is>
      </c>
      <c r="F11266" s="17" t="n">
        <v>1093829</v>
      </c>
    </row>
    <row r="11268">
      <c r="A11268" s="14" t="inlineStr">
        <is>
          <t>KODE: 5.5.3.14 - Pemasangan 1 m2 BJLS 80 (Isolasi Luar Dalam)</t>
        </is>
      </c>
    </row>
    <row r="11269">
      <c r="A11269" s="10" t="inlineStr">
        <is>
          <t>No</t>
        </is>
      </c>
      <c r="B11269" s="10" t="inlineStr">
        <is>
          <t>Uraian Komponen</t>
        </is>
      </c>
      <c r="C11269" s="10" t="inlineStr">
        <is>
          <t>Satuan</t>
        </is>
      </c>
      <c r="D11269" s="10" t="inlineStr">
        <is>
          <t>Koef</t>
        </is>
      </c>
      <c r="E11269" s="10" t="inlineStr">
        <is>
          <t>Harga Satuan (Rp)</t>
        </is>
      </c>
      <c r="F11269" s="10" t="inlineStr">
        <is>
          <t>Jumlah Harga (Rp)</t>
        </is>
      </c>
    </row>
    <row r="11270">
      <c r="A11270" s="3" t="inlineStr">
        <is>
          <t>1</t>
        </is>
      </c>
      <c r="B11270" s="3" t="inlineStr">
        <is>
          <t>Pekerja</t>
        </is>
      </c>
      <c r="C11270" s="3" t="inlineStr">
        <is>
          <t>OH</t>
        </is>
      </c>
      <c r="D11270" s="15" t="n">
        <v>0.217</v>
      </c>
      <c r="E11270" s="4" t="n">
        <v>100000</v>
      </c>
      <c r="F11270" s="4" t="n">
        <v>21700</v>
      </c>
    </row>
    <row r="11271">
      <c r="A11271" s="3" t="inlineStr">
        <is>
          <t>2</t>
        </is>
      </c>
      <c r="B11271" s="3" t="inlineStr">
        <is>
          <t>Tukang listrik</t>
        </is>
      </c>
      <c r="C11271" s="3" t="inlineStr">
        <is>
          <t>OH</t>
        </is>
      </c>
      <c r="D11271" s="15" t="n">
        <v>0.362</v>
      </c>
      <c r="E11271" s="4" t="n">
        <v>145000</v>
      </c>
      <c r="F11271" s="4" t="n">
        <v>52490</v>
      </c>
    </row>
    <row r="11272">
      <c r="A11272" s="3" t="inlineStr">
        <is>
          <t>3</t>
        </is>
      </c>
      <c r="B11272" s="3" t="inlineStr">
        <is>
          <t>Kepala Tukang</t>
        </is>
      </c>
      <c r="C11272" s="3" t="inlineStr">
        <is>
          <t>OH</t>
        </is>
      </c>
      <c r="D11272" s="15" t="n">
        <v>0.036</v>
      </c>
      <c r="E11272" s="4" t="n">
        <v>175000</v>
      </c>
      <c r="F11272" s="4" t="n">
        <v>6299.999999999999</v>
      </c>
    </row>
    <row r="11273">
      <c r="A11273" s="3" t="inlineStr">
        <is>
          <t>4</t>
        </is>
      </c>
      <c r="B11273" s="3" t="inlineStr">
        <is>
          <t>Mandor</t>
        </is>
      </c>
      <c r="C11273" s="3" t="inlineStr">
        <is>
          <t>OH</t>
        </is>
      </c>
      <c r="D11273" s="15" t="n">
        <v>0.012</v>
      </c>
      <c r="E11273" s="4" t="n">
        <v>200000</v>
      </c>
      <c r="F11273" s="4" t="n">
        <v>2400</v>
      </c>
    </row>
    <row r="11274">
      <c r="A11274" s="3" t="inlineStr">
        <is>
          <t>1</t>
        </is>
      </c>
      <c r="B11274" s="3" t="inlineStr">
        <is>
          <t>BJLS 80 (Isolasi Luar Dalam)</t>
        </is>
      </c>
      <c r="C11274" s="3" t="inlineStr">
        <is>
          <t>m2</t>
        </is>
      </c>
      <c r="D11274" s="15" t="n">
        <v>1.2</v>
      </c>
      <c r="E11274" s="4" t="n">
        <v>690000</v>
      </c>
      <c r="F11274" s="4" t="n">
        <v>828000</v>
      </c>
    </row>
    <row r="11275">
      <c r="A11275" s="3" t="inlineStr">
        <is>
          <t>2</t>
        </is>
      </c>
      <c r="B11275" s="3" t="inlineStr">
        <is>
          <t>Flinkote</t>
        </is>
      </c>
      <c r="C11275" s="3" t="inlineStr">
        <is>
          <t>lot</t>
        </is>
      </c>
      <c r="D11275" s="15" t="n">
        <v>1</v>
      </c>
      <c r="E11275" s="4" t="n">
        <v>56500</v>
      </c>
      <c r="F11275" s="4" t="n">
        <v>56500</v>
      </c>
    </row>
    <row r="11276">
      <c r="A11276" s="3" t="inlineStr">
        <is>
          <t>3</t>
        </is>
      </c>
      <c r="B11276" s="3" t="inlineStr">
        <is>
          <t>Finish Cat</t>
        </is>
      </c>
      <c r="C11276" s="3" t="inlineStr">
        <is>
          <t>lot</t>
        </is>
      </c>
      <c r="D11276" s="15" t="n">
        <v>1</v>
      </c>
      <c r="E11276" s="4" t="n">
        <v>92000</v>
      </c>
      <c r="F11276" s="4" t="n">
        <v>92000</v>
      </c>
    </row>
    <row r="11277">
      <c r="A11277" s="3" t="inlineStr">
        <is>
          <t>4</t>
        </is>
      </c>
      <c r="B11277" s="3" t="inlineStr">
        <is>
          <t>Hanger + Support</t>
        </is>
      </c>
      <c r="C11277" s="3" t="inlineStr">
        <is>
          <t>lot</t>
        </is>
      </c>
      <c r="D11277" s="15" t="n">
        <v>1</v>
      </c>
      <c r="E11277" s="4" t="n">
        <v>55000</v>
      </c>
      <c r="F11277" s="4" t="n">
        <v>55000</v>
      </c>
    </row>
    <row r="11278">
      <c r="D11278" s="2" t="inlineStr">
        <is>
          <t>SUBTOTAL UPAH</t>
        </is>
      </c>
      <c r="F11278" s="16" t="n">
        <v>82890</v>
      </c>
    </row>
    <row r="11279">
      <c r="D11279" s="2" t="inlineStr">
        <is>
          <t>SUBTOTAL BAHAN</t>
        </is>
      </c>
      <c r="F11279" s="16" t="n">
        <v>1031500</v>
      </c>
    </row>
    <row r="11280">
      <c r="D11280" s="2" t="inlineStr">
        <is>
          <t>SUBTOTAL ALAT</t>
        </is>
      </c>
      <c r="F11280" s="16" t="n">
        <v>0</v>
      </c>
    </row>
    <row r="11281">
      <c r="E11281" s="2" t="inlineStr">
        <is>
          <t>TOTAL HARGA SATUAN (Inc. Overhead)</t>
        </is>
      </c>
      <c r="F11281" s="17" t="n">
        <v>1225829</v>
      </c>
    </row>
    <row r="11283">
      <c r="A11283" s="14" t="inlineStr">
        <is>
          <t>KODE: 5.5.3.15 - Pemasangan 1 m2 BJLS 100 (Isolasi Luar Dalam)</t>
        </is>
      </c>
    </row>
    <row r="11284">
      <c r="A11284" s="10" t="inlineStr">
        <is>
          <t>No</t>
        </is>
      </c>
      <c r="B11284" s="10" t="inlineStr">
        <is>
          <t>Uraian Komponen</t>
        </is>
      </c>
      <c r="C11284" s="10" t="inlineStr">
        <is>
          <t>Satuan</t>
        </is>
      </c>
      <c r="D11284" s="10" t="inlineStr">
        <is>
          <t>Koef</t>
        </is>
      </c>
      <c r="E11284" s="10" t="inlineStr">
        <is>
          <t>Harga Satuan (Rp)</t>
        </is>
      </c>
      <c r="F11284" s="10" t="inlineStr">
        <is>
          <t>Jumlah Harga (Rp)</t>
        </is>
      </c>
    </row>
    <row r="11285">
      <c r="A11285" s="3" t="inlineStr">
        <is>
          <t>1</t>
        </is>
      </c>
      <c r="B11285" s="3" t="inlineStr">
        <is>
          <t>Pekerja</t>
        </is>
      </c>
      <c r="C11285" s="3" t="inlineStr">
        <is>
          <t>OH</t>
        </is>
      </c>
      <c r="D11285" s="15" t="n">
        <v>0.217</v>
      </c>
      <c r="E11285" s="4" t="n">
        <v>100000</v>
      </c>
      <c r="F11285" s="4" t="n">
        <v>21700</v>
      </c>
    </row>
    <row r="11286">
      <c r="A11286" s="3" t="inlineStr">
        <is>
          <t>2</t>
        </is>
      </c>
      <c r="B11286" s="3" t="inlineStr">
        <is>
          <t>Tukang listrik</t>
        </is>
      </c>
      <c r="C11286" s="3" t="inlineStr">
        <is>
          <t>OH</t>
        </is>
      </c>
      <c r="D11286" s="15" t="n">
        <v>0.362</v>
      </c>
      <c r="E11286" s="4" t="n">
        <v>145000</v>
      </c>
      <c r="F11286" s="4" t="n">
        <v>52490</v>
      </c>
    </row>
    <row r="11287">
      <c r="A11287" s="3" t="inlineStr">
        <is>
          <t>3</t>
        </is>
      </c>
      <c r="B11287" s="3" t="inlineStr">
        <is>
          <t>Kepala Tukang</t>
        </is>
      </c>
      <c r="C11287" s="3" t="inlineStr">
        <is>
          <t>OH</t>
        </is>
      </c>
      <c r="D11287" s="15" t="n">
        <v>0.036</v>
      </c>
      <c r="E11287" s="4" t="n">
        <v>175000</v>
      </c>
      <c r="F11287" s="4" t="n">
        <v>6299.999999999999</v>
      </c>
    </row>
    <row r="11288">
      <c r="A11288" s="3" t="inlineStr">
        <is>
          <t>4</t>
        </is>
      </c>
      <c r="B11288" s="3" t="inlineStr">
        <is>
          <t>Mandor</t>
        </is>
      </c>
      <c r="C11288" s="3" t="inlineStr">
        <is>
          <t>OH</t>
        </is>
      </c>
      <c r="D11288" s="15" t="n">
        <v>0.012</v>
      </c>
      <c r="E11288" s="4" t="n">
        <v>200000</v>
      </c>
      <c r="F11288" s="4" t="n">
        <v>2400</v>
      </c>
    </row>
    <row r="11289">
      <c r="A11289" s="3" t="inlineStr">
        <is>
          <t>1</t>
        </is>
      </c>
      <c r="B11289" s="3" t="inlineStr">
        <is>
          <t>BJLS 100 (Isolasi Luar Dalam)</t>
        </is>
      </c>
      <c r="C11289" s="3" t="inlineStr">
        <is>
          <t>m2</t>
        </is>
      </c>
      <c r="D11289" s="15" t="n">
        <v>1.2</v>
      </c>
      <c r="E11289" s="4" t="n">
        <v>1100000</v>
      </c>
      <c r="F11289" s="4" t="n">
        <v>1320000</v>
      </c>
    </row>
    <row r="11290">
      <c r="A11290" s="3" t="inlineStr">
        <is>
          <t>2</t>
        </is>
      </c>
      <c r="B11290" s="3" t="inlineStr">
        <is>
          <t>Flinkote</t>
        </is>
      </c>
      <c r="C11290" s="3" t="inlineStr">
        <is>
          <t>lot</t>
        </is>
      </c>
      <c r="D11290" s="15" t="n">
        <v>1</v>
      </c>
      <c r="E11290" s="4" t="n">
        <v>56500</v>
      </c>
      <c r="F11290" s="4" t="n">
        <v>56500</v>
      </c>
    </row>
    <row r="11291">
      <c r="A11291" s="3" t="inlineStr">
        <is>
          <t>3</t>
        </is>
      </c>
      <c r="B11291" s="3" t="inlineStr">
        <is>
          <t>Finish Cat</t>
        </is>
      </c>
      <c r="C11291" s="3" t="inlineStr">
        <is>
          <t>lot</t>
        </is>
      </c>
      <c r="D11291" s="15" t="n">
        <v>1</v>
      </c>
      <c r="E11291" s="4" t="n">
        <v>92000</v>
      </c>
      <c r="F11291" s="4" t="n">
        <v>92000</v>
      </c>
    </row>
    <row r="11292">
      <c r="A11292" s="3" t="inlineStr">
        <is>
          <t>4</t>
        </is>
      </c>
      <c r="B11292" s="3" t="inlineStr">
        <is>
          <t>Hanger + Support</t>
        </is>
      </c>
      <c r="C11292" s="3" t="inlineStr">
        <is>
          <t>lot</t>
        </is>
      </c>
      <c r="D11292" s="15" t="n">
        <v>1</v>
      </c>
      <c r="E11292" s="4" t="n">
        <v>55000</v>
      </c>
      <c r="F11292" s="4" t="n">
        <v>55000</v>
      </c>
    </row>
    <row r="11293">
      <c r="D11293" s="2" t="inlineStr">
        <is>
          <t>SUBTOTAL UPAH</t>
        </is>
      </c>
      <c r="F11293" s="16" t="n">
        <v>82890</v>
      </c>
    </row>
    <row r="11294">
      <c r="D11294" s="2" t="inlineStr">
        <is>
          <t>SUBTOTAL BAHAN</t>
        </is>
      </c>
      <c r="F11294" s="16" t="n">
        <v>1523500</v>
      </c>
    </row>
    <row r="11295">
      <c r="D11295" s="2" t="inlineStr">
        <is>
          <t>SUBTOTAL ALAT</t>
        </is>
      </c>
      <c r="F11295" s="16" t="n">
        <v>0</v>
      </c>
    </row>
    <row r="11296">
      <c r="E11296" s="2" t="inlineStr">
        <is>
          <t>TOTAL HARGA SATUAN (Inc. Overhead)</t>
        </is>
      </c>
      <c r="F11296" s="17" t="n">
        <v>1767029</v>
      </c>
    </row>
    <row r="11298">
      <c r="A11298" s="14" t="inlineStr">
        <is>
          <t>KODE: 5.5.3.16 - Pemasangan 1 m2 Ducting PU</t>
        </is>
      </c>
    </row>
    <row r="11299">
      <c r="A11299" s="10" t="inlineStr">
        <is>
          <t>No</t>
        </is>
      </c>
      <c r="B11299" s="10" t="inlineStr">
        <is>
          <t>Uraian Komponen</t>
        </is>
      </c>
      <c r="C11299" s="10" t="inlineStr">
        <is>
          <t>Satuan</t>
        </is>
      </c>
      <c r="D11299" s="10" t="inlineStr">
        <is>
          <t>Koef</t>
        </is>
      </c>
      <c r="E11299" s="10" t="inlineStr">
        <is>
          <t>Harga Satuan (Rp)</t>
        </is>
      </c>
      <c r="F11299" s="10" t="inlineStr">
        <is>
          <t>Jumlah Harga (Rp)</t>
        </is>
      </c>
    </row>
    <row r="11300">
      <c r="A11300" s="3" t="inlineStr">
        <is>
          <t>1</t>
        </is>
      </c>
      <c r="B11300" s="3" t="inlineStr">
        <is>
          <t>Pekerja</t>
        </is>
      </c>
      <c r="C11300" s="3" t="inlineStr">
        <is>
          <t>OH</t>
        </is>
      </c>
      <c r="D11300" s="15" t="n">
        <v>0.114</v>
      </c>
      <c r="E11300" s="4" t="n">
        <v>100000</v>
      </c>
      <c r="F11300" s="4" t="n">
        <v>11400</v>
      </c>
    </row>
    <row r="11301">
      <c r="A11301" s="3" t="inlineStr">
        <is>
          <t>2</t>
        </is>
      </c>
      <c r="B11301" s="3" t="inlineStr">
        <is>
          <t>Tukang listrik</t>
        </is>
      </c>
      <c r="C11301" s="3" t="inlineStr">
        <is>
          <t>OH</t>
        </is>
      </c>
      <c r="D11301" s="15" t="n">
        <v>0.191</v>
      </c>
      <c r="E11301" s="4" t="n">
        <v>145000</v>
      </c>
      <c r="F11301" s="4" t="n">
        <v>27695</v>
      </c>
    </row>
    <row r="11302">
      <c r="A11302" s="3" t="inlineStr">
        <is>
          <t>3</t>
        </is>
      </c>
      <c r="B11302" s="3" t="inlineStr">
        <is>
          <t>Kepala Tukang</t>
        </is>
      </c>
      <c r="C11302" s="3" t="inlineStr">
        <is>
          <t>OH</t>
        </is>
      </c>
      <c r="D11302" s="15" t="n">
        <v>0.019</v>
      </c>
      <c r="E11302" s="4" t="n">
        <v>175000</v>
      </c>
      <c r="F11302" s="4" t="n">
        <v>3325</v>
      </c>
    </row>
    <row r="11303">
      <c r="A11303" s="3" t="inlineStr">
        <is>
          <t>4</t>
        </is>
      </c>
      <c r="B11303" s="3" t="inlineStr">
        <is>
          <t>Mandor</t>
        </is>
      </c>
      <c r="C11303" s="3" t="inlineStr">
        <is>
          <t>OH</t>
        </is>
      </c>
      <c r="D11303" s="15" t="n">
        <v>0.006</v>
      </c>
      <c r="E11303" s="4" t="n">
        <v>200000</v>
      </c>
      <c r="F11303" s="4" t="n">
        <v>1200</v>
      </c>
    </row>
    <row r="11304">
      <c r="A11304" s="3" t="inlineStr">
        <is>
          <t>1</t>
        </is>
      </c>
      <c r="B11304" s="3" t="inlineStr">
        <is>
          <t>Ducting PU</t>
        </is>
      </c>
      <c r="C11304" s="3" t="inlineStr">
        <is>
          <t>m2</t>
        </is>
      </c>
      <c r="D11304" s="15" t="n">
        <v>1.05</v>
      </c>
      <c r="E11304" s="4" t="n">
        <v>450000</v>
      </c>
      <c r="F11304" s="4" t="n">
        <v>472500</v>
      </c>
    </row>
    <row r="11305">
      <c r="A11305" s="3" t="inlineStr">
        <is>
          <t>2</t>
        </is>
      </c>
      <c r="B11305" s="3" t="inlineStr">
        <is>
          <t>Hanger + Support</t>
        </is>
      </c>
      <c r="C11305" s="3" t="inlineStr">
        <is>
          <t>lot</t>
        </is>
      </c>
      <c r="D11305" s="15" t="n">
        <v>1</v>
      </c>
      <c r="E11305" s="4" t="n">
        <v>55000</v>
      </c>
      <c r="F11305" s="4" t="n">
        <v>55000</v>
      </c>
    </row>
    <row r="11306">
      <c r="D11306" s="2" t="inlineStr">
        <is>
          <t>SUBTOTAL UPAH</t>
        </is>
      </c>
      <c r="F11306" s="16" t="n">
        <v>43620</v>
      </c>
    </row>
    <row r="11307">
      <c r="D11307" s="2" t="inlineStr">
        <is>
          <t>SUBTOTAL BAHAN</t>
        </is>
      </c>
      <c r="F11307" s="16" t="n">
        <v>527500</v>
      </c>
    </row>
    <row r="11308">
      <c r="D11308" s="2" t="inlineStr">
        <is>
          <t>SUBTOTAL ALAT</t>
        </is>
      </c>
      <c r="F11308" s="16" t="n">
        <v>0</v>
      </c>
    </row>
    <row r="11309">
      <c r="E11309" s="2" t="inlineStr">
        <is>
          <t>TOTAL HARGA SATUAN (Inc. Overhead)</t>
        </is>
      </c>
      <c r="F11309" s="17" t="n">
        <v>628232</v>
      </c>
    </row>
    <row r="11311">
      <c r="A11311" s="14" t="inlineStr">
        <is>
          <t>KODE: 5.5.3.17 - Pemasangan 1 m' Flexible Duct 200 mm</t>
        </is>
      </c>
    </row>
    <row r="11312">
      <c r="A11312" s="10" t="inlineStr">
        <is>
          <t>No</t>
        </is>
      </c>
      <c r="B11312" s="10" t="inlineStr">
        <is>
          <t>Uraian Komponen</t>
        </is>
      </c>
      <c r="C11312" s="10" t="inlineStr">
        <is>
          <t>Satuan</t>
        </is>
      </c>
      <c r="D11312" s="10" t="inlineStr">
        <is>
          <t>Koef</t>
        </is>
      </c>
      <c r="E11312" s="10" t="inlineStr">
        <is>
          <t>Harga Satuan (Rp)</t>
        </is>
      </c>
      <c r="F11312" s="10" t="inlineStr">
        <is>
          <t>Jumlah Harga (Rp)</t>
        </is>
      </c>
    </row>
    <row r="11313">
      <c r="A11313" s="3" t="inlineStr">
        <is>
          <t>1</t>
        </is>
      </c>
      <c r="B11313" s="3" t="inlineStr">
        <is>
          <t>Pekerja</t>
        </is>
      </c>
      <c r="C11313" s="3" t="inlineStr">
        <is>
          <t>OH</t>
        </is>
      </c>
      <c r="D11313" s="15" t="n">
        <v>0.024</v>
      </c>
      <c r="E11313" s="4" t="n">
        <v>100000</v>
      </c>
      <c r="F11313" s="4" t="n">
        <v>2400</v>
      </c>
    </row>
    <row r="11314">
      <c r="A11314" s="3" t="inlineStr">
        <is>
          <t>2</t>
        </is>
      </c>
      <c r="B11314" s="3" t="inlineStr">
        <is>
          <t>Tukang listrik</t>
        </is>
      </c>
      <c r="C11314" s="3" t="inlineStr">
        <is>
          <t>OH</t>
        </is>
      </c>
      <c r="D11314" s="15" t="n">
        <v>0.04</v>
      </c>
      <c r="E11314" s="4" t="n">
        <v>145000</v>
      </c>
      <c r="F11314" s="4" t="n">
        <v>5800</v>
      </c>
    </row>
    <row r="11315">
      <c r="A11315" s="3" t="inlineStr">
        <is>
          <t>3</t>
        </is>
      </c>
      <c r="B11315" s="3" t="inlineStr">
        <is>
          <t>Kepala Tukang</t>
        </is>
      </c>
      <c r="C11315" s="3" t="inlineStr">
        <is>
          <t>OH</t>
        </is>
      </c>
      <c r="D11315" s="15" t="n">
        <v>0.004</v>
      </c>
      <c r="E11315" s="4" t="n">
        <v>175000</v>
      </c>
      <c r="F11315" s="4" t="n">
        <v>700</v>
      </c>
    </row>
    <row r="11316">
      <c r="A11316" s="3" t="inlineStr">
        <is>
          <t>4</t>
        </is>
      </c>
      <c r="B11316" s="3" t="inlineStr">
        <is>
          <t>Mandor</t>
        </is>
      </c>
      <c r="C11316" s="3" t="inlineStr">
        <is>
          <t>OH</t>
        </is>
      </c>
      <c r="D11316" s="15" t="n">
        <v>0.001</v>
      </c>
      <c r="E11316" s="4" t="n">
        <v>200000</v>
      </c>
      <c r="F11316" s="4" t="n">
        <v>200</v>
      </c>
    </row>
    <row r="11317">
      <c r="A11317" s="3" t="inlineStr">
        <is>
          <t>1</t>
        </is>
      </c>
      <c r="B11317" s="3" t="inlineStr">
        <is>
          <t>Flexible Duct 200 mm</t>
        </is>
      </c>
      <c r="C11317" s="3" t="inlineStr">
        <is>
          <t>m2</t>
        </is>
      </c>
      <c r="D11317" s="15" t="n">
        <v>1.05</v>
      </c>
      <c r="E11317" s="4" t="n">
        <v>130000</v>
      </c>
      <c r="F11317" s="4" t="n">
        <v>136500</v>
      </c>
    </row>
    <row r="11318">
      <c r="D11318" s="2" t="inlineStr">
        <is>
          <t>SUBTOTAL UPAH</t>
        </is>
      </c>
      <c r="F11318" s="16" t="n">
        <v>9100</v>
      </c>
    </row>
    <row r="11319">
      <c r="D11319" s="2" t="inlineStr">
        <is>
          <t>SUBTOTAL BAHAN</t>
        </is>
      </c>
      <c r="F11319" s="16" t="n">
        <v>136500</v>
      </c>
    </row>
    <row r="11320">
      <c r="D11320" s="2" t="inlineStr">
        <is>
          <t>SUBTOTAL ALAT</t>
        </is>
      </c>
      <c r="F11320" s="16" t="n">
        <v>0</v>
      </c>
    </row>
    <row r="11321">
      <c r="E11321" s="2" t="inlineStr">
        <is>
          <t>TOTAL HARGA SATUAN (Inc. Overhead)</t>
        </is>
      </c>
      <c r="F11321" s="17" t="n">
        <v>160160</v>
      </c>
    </row>
    <row r="11323">
      <c r="A11323" s="14" t="inlineStr">
        <is>
          <t>KODE: 5.5.3.18 - Pemasangan 1 m' Flexible Duct 250 mm</t>
        </is>
      </c>
    </row>
    <row r="11324">
      <c r="A11324" s="10" t="inlineStr">
        <is>
          <t>No</t>
        </is>
      </c>
      <c r="B11324" s="10" t="inlineStr">
        <is>
          <t>Uraian Komponen</t>
        </is>
      </c>
      <c r="C11324" s="10" t="inlineStr">
        <is>
          <t>Satuan</t>
        </is>
      </c>
      <c r="D11324" s="10" t="inlineStr">
        <is>
          <t>Koef</t>
        </is>
      </c>
      <c r="E11324" s="10" t="inlineStr">
        <is>
          <t>Harga Satuan (Rp)</t>
        </is>
      </c>
      <c r="F11324" s="10" t="inlineStr">
        <is>
          <t>Jumlah Harga (Rp)</t>
        </is>
      </c>
    </row>
    <row r="11325">
      <c r="A11325" s="3" t="inlineStr">
        <is>
          <t>1</t>
        </is>
      </c>
      <c r="B11325" s="3" t="inlineStr">
        <is>
          <t>Pekerja</t>
        </is>
      </c>
      <c r="C11325" s="3" t="inlineStr">
        <is>
          <t>OH</t>
        </is>
      </c>
      <c r="D11325" s="15" t="n">
        <v>0.024</v>
      </c>
      <c r="E11325" s="4" t="n">
        <v>100000</v>
      </c>
      <c r="F11325" s="4" t="n">
        <v>2400</v>
      </c>
    </row>
    <row r="11326">
      <c r="A11326" s="3" t="inlineStr">
        <is>
          <t>2</t>
        </is>
      </c>
      <c r="B11326" s="3" t="inlineStr">
        <is>
          <t>Tukang listrik</t>
        </is>
      </c>
      <c r="C11326" s="3" t="inlineStr">
        <is>
          <t>OH</t>
        </is>
      </c>
      <c r="D11326" s="15" t="n">
        <v>0.04</v>
      </c>
      <c r="E11326" s="4" t="n">
        <v>145000</v>
      </c>
      <c r="F11326" s="4" t="n">
        <v>5800</v>
      </c>
    </row>
    <row r="11327">
      <c r="A11327" s="3" t="inlineStr">
        <is>
          <t>3</t>
        </is>
      </c>
      <c r="B11327" s="3" t="inlineStr">
        <is>
          <t>Kepala Tukang</t>
        </is>
      </c>
      <c r="C11327" s="3" t="inlineStr">
        <is>
          <t>OH</t>
        </is>
      </c>
      <c r="D11327" s="15" t="n">
        <v>0.004</v>
      </c>
      <c r="E11327" s="4" t="n">
        <v>175000</v>
      </c>
      <c r="F11327" s="4" t="n">
        <v>700</v>
      </c>
    </row>
    <row r="11328">
      <c r="A11328" s="3" t="inlineStr">
        <is>
          <t>4</t>
        </is>
      </c>
      <c r="B11328" s="3" t="inlineStr">
        <is>
          <t>Mandor</t>
        </is>
      </c>
      <c r="C11328" s="3" t="inlineStr">
        <is>
          <t>OH</t>
        </is>
      </c>
      <c r="D11328" s="15" t="n">
        <v>0.001</v>
      </c>
      <c r="E11328" s="4" t="n">
        <v>200000</v>
      </c>
      <c r="F11328" s="4" t="n">
        <v>200</v>
      </c>
    </row>
    <row r="11329">
      <c r="A11329" s="3" t="inlineStr">
        <is>
          <t>1</t>
        </is>
      </c>
      <c r="B11329" s="3" t="inlineStr">
        <is>
          <t>Flexible Duct 250 mm</t>
        </is>
      </c>
      <c r="C11329" s="3" t="inlineStr">
        <is>
          <t>m2</t>
        </is>
      </c>
      <c r="D11329" s="15" t="n">
        <v>1.05</v>
      </c>
      <c r="E11329" s="4" t="n">
        <v>180000</v>
      </c>
      <c r="F11329" s="4" t="n">
        <v>189000</v>
      </c>
    </row>
    <row r="11330">
      <c r="D11330" s="2" t="inlineStr">
        <is>
          <t>SUBTOTAL UPAH</t>
        </is>
      </c>
      <c r="F11330" s="16" t="n">
        <v>9100</v>
      </c>
    </row>
    <row r="11331">
      <c r="D11331" s="2" t="inlineStr">
        <is>
          <t>SUBTOTAL BAHAN</t>
        </is>
      </c>
      <c r="F11331" s="16" t="n">
        <v>189000</v>
      </c>
    </row>
    <row r="11332">
      <c r="D11332" s="2" t="inlineStr">
        <is>
          <t>SUBTOTAL ALAT</t>
        </is>
      </c>
      <c r="F11332" s="16" t="n">
        <v>0</v>
      </c>
    </row>
    <row r="11333">
      <c r="E11333" s="2" t="inlineStr">
        <is>
          <t>TOTAL HARGA SATUAN (Inc. Overhead)</t>
        </is>
      </c>
      <c r="F11333" s="17" t="n">
        <v>217910</v>
      </c>
    </row>
    <row r="11335">
      <c r="A11335" s="14" t="inlineStr">
        <is>
          <t>KODE: 5.5.4.1 - Pemasangan 1 m Pipa Tembaga B280 Dia. 6,4 mm (1/4")</t>
        </is>
      </c>
    </row>
    <row r="11336">
      <c r="A11336" s="10" t="inlineStr">
        <is>
          <t>No</t>
        </is>
      </c>
      <c r="B11336" s="10" t="inlineStr">
        <is>
          <t>Uraian Komponen</t>
        </is>
      </c>
      <c r="C11336" s="10" t="inlineStr">
        <is>
          <t>Satuan</t>
        </is>
      </c>
      <c r="D11336" s="10" t="inlineStr">
        <is>
          <t>Koef</t>
        </is>
      </c>
      <c r="E11336" s="10" t="inlineStr">
        <is>
          <t>Harga Satuan (Rp)</t>
        </is>
      </c>
      <c r="F11336" s="10" t="inlineStr">
        <is>
          <t>Jumlah Harga (Rp)</t>
        </is>
      </c>
    </row>
    <row r="11337">
      <c r="A11337" s="3" t="inlineStr">
        <is>
          <t>1</t>
        </is>
      </c>
      <c r="B11337" s="3" t="inlineStr">
        <is>
          <t>Pekerja OH</t>
        </is>
      </c>
      <c r="C11337" s="3" t="inlineStr">
        <is>
          <t>0.033</t>
        </is>
      </c>
      <c r="D11337" s="15" t="n">
        <v>100000</v>
      </c>
      <c r="E11337" s="4" t="n">
        <v>3300</v>
      </c>
      <c r="F11337" s="4" t="n">
        <v>0.1</v>
      </c>
    </row>
    <row r="11338">
      <c r="A11338" s="3" t="inlineStr">
        <is>
          <t>2</t>
        </is>
      </c>
      <c r="B11338" s="3" t="inlineStr">
        <is>
          <t>Tukang pipa</t>
        </is>
      </c>
      <c r="C11338" s="3" t="inlineStr">
        <is>
          <t>OH</t>
        </is>
      </c>
      <c r="D11338" s="15" t="n">
        <v>0.056</v>
      </c>
      <c r="E11338" s="4" t="n">
        <v>145000</v>
      </c>
      <c r="F11338" s="4" t="n">
        <v>8120</v>
      </c>
    </row>
    <row r="11339">
      <c r="A11339" s="3" t="inlineStr">
        <is>
          <t>3</t>
        </is>
      </c>
      <c r="B11339" s="3" t="inlineStr">
        <is>
          <t>Kepala tukang</t>
        </is>
      </c>
      <c r="C11339" s="3" t="inlineStr">
        <is>
          <t>OH</t>
        </is>
      </c>
      <c r="D11339" s="15" t="n">
        <v>0.006</v>
      </c>
      <c r="E11339" s="4" t="n">
        <v>175000</v>
      </c>
      <c r="F11339" s="4" t="n">
        <v>1050</v>
      </c>
    </row>
    <row r="11340">
      <c r="A11340" s="3" t="inlineStr">
        <is>
          <t>4</t>
        </is>
      </c>
      <c r="B11340" s="3" t="inlineStr">
        <is>
          <t>Mandor</t>
        </is>
      </c>
      <c r="C11340" s="3" t="inlineStr">
        <is>
          <t>OH</t>
        </is>
      </c>
      <c r="D11340" s="15" t="n">
        <v>0.002</v>
      </c>
      <c r="E11340" s="4" t="n">
        <v>200000</v>
      </c>
      <c r="F11340" s="4" t="n">
        <v>400</v>
      </c>
    </row>
    <row r="11341">
      <c r="A11341" s="3" t="inlineStr">
        <is>
          <t>1</t>
        </is>
      </c>
      <c r="B11341" s="3" t="inlineStr">
        <is>
          <t>"Pipa Tembaga B280 1/4"""</t>
        </is>
      </c>
      <c r="C11341" s="3" t="inlineStr">
        <is>
          <t>m'</t>
        </is>
      </c>
      <c r="D11341" s="15" t="n">
        <v>1.5</v>
      </c>
      <c r="E11341" s="4" t="n">
        <v>34300</v>
      </c>
      <c r="F11341" s="4" t="n">
        <v>51450</v>
      </c>
    </row>
    <row r="11342">
      <c r="A11342" s="3" t="inlineStr">
        <is>
          <t>2</t>
        </is>
      </c>
      <c r="B11342" s="3" t="inlineStr">
        <is>
          <t>Isolasi</t>
        </is>
      </c>
      <c r="C11342" s="3" t="inlineStr">
        <is>
          <t>m'</t>
        </is>
      </c>
      <c r="D11342" s="15" t="n">
        <v>1.2</v>
      </c>
      <c r="E11342" s="4" t="n">
        <v>416</v>
      </c>
      <c r="F11342" s="4" t="n">
        <v>499.2</v>
      </c>
    </row>
    <row r="11343">
      <c r="A11343" s="3" t="inlineStr">
        <is>
          <t>3</t>
        </is>
      </c>
      <c r="B11343" s="3" t="inlineStr">
        <is>
          <t>Duct Tape</t>
        </is>
      </c>
      <c r="C11343" s="3" t="inlineStr">
        <is>
          <t>Gulung</t>
        </is>
      </c>
      <c r="D11343" s="15" t="n">
        <v>0.5</v>
      </c>
      <c r="E11343" s="4" t="n">
        <v>9050</v>
      </c>
      <c r="F11343" s="4" t="n">
        <v>25725</v>
      </c>
    </row>
    <row r="11344">
      <c r="D11344" s="2" t="inlineStr">
        <is>
          <t>SUBTOTAL UPAH</t>
        </is>
      </c>
      <c r="F11344" s="16" t="n">
        <v>12870</v>
      </c>
    </row>
    <row r="11345">
      <c r="D11345" s="2" t="inlineStr">
        <is>
          <t>SUBTOTAL BAHAN</t>
        </is>
      </c>
      <c r="F11345" s="16" t="n">
        <v>77674.2</v>
      </c>
    </row>
    <row r="11346">
      <c r="D11346" s="2" t="inlineStr">
        <is>
          <t>SUBTOTAL ALAT</t>
        </is>
      </c>
      <c r="F11346" s="16" t="n">
        <v>0</v>
      </c>
    </row>
    <row r="11347">
      <c r="E11347" s="2" t="inlineStr">
        <is>
          <t>TOTAL HARGA SATUAN (Inc. Overhead)</t>
        </is>
      </c>
      <c r="F11347" s="17" t="n">
        <v>99598</v>
      </c>
    </row>
    <row r="11349">
      <c r="A11349" s="14" t="inlineStr">
        <is>
          <t>KODE: 5.5.4.2 - Pemasangan 1 m Pipa Tembaga B280 Dia. 9,5 mm (3/8")</t>
        </is>
      </c>
    </row>
    <row r="11350">
      <c r="A11350" s="10" t="inlineStr">
        <is>
          <t>No</t>
        </is>
      </c>
      <c r="B11350" s="10" t="inlineStr">
        <is>
          <t>Uraian Komponen</t>
        </is>
      </c>
      <c r="C11350" s="10" t="inlineStr">
        <is>
          <t>Satuan</t>
        </is>
      </c>
      <c r="D11350" s="10" t="inlineStr">
        <is>
          <t>Koef</t>
        </is>
      </c>
      <c r="E11350" s="10" t="inlineStr">
        <is>
          <t>Harga Satuan (Rp)</t>
        </is>
      </c>
      <c r="F11350" s="10" t="inlineStr">
        <is>
          <t>Jumlah Harga (Rp)</t>
        </is>
      </c>
    </row>
    <row r="11351">
      <c r="A11351" s="3" t="inlineStr">
        <is>
          <t>1</t>
        </is>
      </c>
      <c r="B11351" s="3" t="inlineStr">
        <is>
          <t>Pekerja</t>
        </is>
      </c>
      <c r="C11351" s="3" t="inlineStr">
        <is>
          <t>OH</t>
        </is>
      </c>
      <c r="D11351" s="15" t="n">
        <v>0.048</v>
      </c>
      <c r="E11351" s="4" t="n">
        <v>100000</v>
      </c>
      <c r="F11351" s="4" t="n">
        <v>4800</v>
      </c>
    </row>
    <row r="11352">
      <c r="A11352" s="3" t="inlineStr">
        <is>
          <t>2</t>
        </is>
      </c>
      <c r="B11352" s="3" t="inlineStr">
        <is>
          <t>Tukang pipa</t>
        </is>
      </c>
      <c r="C11352" s="3" t="inlineStr">
        <is>
          <t>OH</t>
        </is>
      </c>
      <c r="D11352" s="15" t="n">
        <v>0.8</v>
      </c>
      <c r="E11352" s="4" t="n">
        <v>145000</v>
      </c>
      <c r="F11352" s="4" t="n">
        <v>116000</v>
      </c>
    </row>
    <row r="11353">
      <c r="A11353" s="3" t="inlineStr">
        <is>
          <t>3</t>
        </is>
      </c>
      <c r="B11353" s="3" t="inlineStr">
        <is>
          <t>Kepala tukang</t>
        </is>
      </c>
      <c r="C11353" s="3" t="inlineStr">
        <is>
          <t>OH</t>
        </is>
      </c>
      <c r="D11353" s="15" t="n">
        <v>0.008</v>
      </c>
      <c r="E11353" s="4" t="n">
        <v>175000</v>
      </c>
      <c r="F11353" s="4" t="n">
        <v>1400</v>
      </c>
    </row>
    <row r="11354">
      <c r="A11354" s="3" t="inlineStr">
        <is>
          <t>4</t>
        </is>
      </c>
      <c r="B11354" s="3" t="inlineStr">
        <is>
          <t>Mandor</t>
        </is>
      </c>
      <c r="C11354" s="3" t="inlineStr">
        <is>
          <t>OH</t>
        </is>
      </c>
      <c r="D11354" s="15" t="n">
        <v>0.003</v>
      </c>
      <c r="E11354" s="4" t="n">
        <v>200000</v>
      </c>
      <c r="F11354" s="4" t="n">
        <v>600</v>
      </c>
    </row>
    <row r="11355">
      <c r="A11355" s="3" t="inlineStr">
        <is>
          <t>1</t>
        </is>
      </c>
      <c r="B11355" s="3" t="inlineStr">
        <is>
          <t>"Pipa Tembaga B280 3/8"""</t>
        </is>
      </c>
      <c r="C11355" s="3" t="inlineStr">
        <is>
          <t>m'</t>
        </is>
      </c>
      <c r="D11355" s="15" t="n">
        <v>1.5</v>
      </c>
      <c r="E11355" s="4" t="n">
        <v>45300</v>
      </c>
      <c r="F11355" s="4" t="n">
        <v>67950</v>
      </c>
    </row>
    <row r="11356">
      <c r="A11356" s="3" t="inlineStr">
        <is>
          <t>2</t>
        </is>
      </c>
      <c r="B11356" s="3" t="inlineStr">
        <is>
          <t>Isolasi</t>
        </is>
      </c>
      <c r="C11356" s="3" t="inlineStr">
        <is>
          <t>m'</t>
        </is>
      </c>
      <c r="D11356" s="15" t="n">
        <v>1.2</v>
      </c>
      <c r="E11356" s="4" t="n">
        <v>416</v>
      </c>
      <c r="F11356" s="4" t="n">
        <v>499.2</v>
      </c>
    </row>
    <row r="11357">
      <c r="A11357" s="3" t="inlineStr">
        <is>
          <t>3</t>
        </is>
      </c>
      <c r="B11357" s="3" t="inlineStr">
        <is>
          <t>Duct Tape</t>
        </is>
      </c>
      <c r="C11357" s="3" t="inlineStr">
        <is>
          <t>Gulung</t>
        </is>
      </c>
      <c r="D11357" s="15" t="n">
        <v>0.5</v>
      </c>
      <c r="E11357" s="4" t="n">
        <v>9050</v>
      </c>
      <c r="F11357" s="4" t="n">
        <v>33975</v>
      </c>
    </row>
    <row r="11358">
      <c r="D11358" s="2" t="inlineStr">
        <is>
          <t>SUBTOTAL UPAH</t>
        </is>
      </c>
      <c r="F11358" s="16" t="n">
        <v>122800</v>
      </c>
    </row>
    <row r="11359">
      <c r="D11359" s="2" t="inlineStr">
        <is>
          <t>SUBTOTAL BAHAN</t>
        </is>
      </c>
      <c r="F11359" s="16" t="n">
        <v>102424.2</v>
      </c>
    </row>
    <row r="11360">
      <c r="D11360" s="2" t="inlineStr">
        <is>
          <t>SUBTOTAL ALAT</t>
        </is>
      </c>
      <c r="F11360" s="16" t="n">
        <v>0</v>
      </c>
    </row>
    <row r="11361">
      <c r="E11361" s="2" t="inlineStr">
        <is>
          <t>TOTAL HARGA SATUAN (Inc. Overhead)</t>
        </is>
      </c>
      <c r="F11361" s="17" t="n">
        <v>247746</v>
      </c>
    </row>
    <row r="11363">
      <c r="A11363" s="14" t="inlineStr">
        <is>
          <t>KODE: 5.5.4.3 - Pemasangan 1 m Pipa Tembaga B280 Dia. 12,7 mm (1/2")</t>
        </is>
      </c>
    </row>
    <row r="11364">
      <c r="A11364" s="10" t="inlineStr">
        <is>
          <t>No</t>
        </is>
      </c>
      <c r="B11364" s="10" t="inlineStr">
        <is>
          <t>Uraian Komponen</t>
        </is>
      </c>
      <c r="C11364" s="10" t="inlineStr">
        <is>
          <t>Satuan</t>
        </is>
      </c>
      <c r="D11364" s="10" t="inlineStr">
        <is>
          <t>Koef</t>
        </is>
      </c>
      <c r="E11364" s="10" t="inlineStr">
        <is>
          <t>Harga Satuan (Rp)</t>
        </is>
      </c>
      <c r="F11364" s="10" t="inlineStr">
        <is>
          <t>Jumlah Harga (Rp)</t>
        </is>
      </c>
    </row>
    <row r="11365">
      <c r="A11365" s="3" t="inlineStr">
        <is>
          <t>1</t>
        </is>
      </c>
      <c r="B11365" s="3" t="inlineStr">
        <is>
          <t>Pekerja</t>
        </is>
      </c>
      <c r="C11365" s="3" t="inlineStr">
        <is>
          <t>OH</t>
        </is>
      </c>
      <c r="D11365" s="15" t="n">
        <v>0.064</v>
      </c>
      <c r="E11365" s="4" t="n">
        <v>100000</v>
      </c>
      <c r="F11365" s="4" t="n">
        <v>6400</v>
      </c>
    </row>
    <row r="11366">
      <c r="A11366" s="3" t="inlineStr">
        <is>
          <t>2</t>
        </is>
      </c>
      <c r="B11366" s="3" t="inlineStr">
        <is>
          <t>Tukang pipa</t>
        </is>
      </c>
      <c r="C11366" s="3" t="inlineStr">
        <is>
          <t>OH</t>
        </is>
      </c>
      <c r="D11366" s="15" t="n">
        <v>0.107</v>
      </c>
      <c r="E11366" s="4" t="n">
        <v>145000</v>
      </c>
      <c r="F11366" s="4" t="n">
        <v>15515</v>
      </c>
    </row>
    <row r="11367">
      <c r="A11367" s="3" t="inlineStr">
        <is>
          <t>3</t>
        </is>
      </c>
      <c r="B11367" s="3" t="inlineStr">
        <is>
          <t>Kepala tukang</t>
        </is>
      </c>
      <c r="C11367" s="3" t="inlineStr">
        <is>
          <t>OH</t>
        </is>
      </c>
      <c r="D11367" s="15" t="n">
        <v>0.011</v>
      </c>
      <c r="E11367" s="4" t="n">
        <v>175000</v>
      </c>
      <c r="F11367" s="4" t="n">
        <v>1925</v>
      </c>
    </row>
    <row r="11368">
      <c r="A11368" s="3" t="inlineStr">
        <is>
          <t>4</t>
        </is>
      </c>
      <c r="B11368" s="3" t="inlineStr">
        <is>
          <t>Mandor</t>
        </is>
      </c>
      <c r="C11368" s="3" t="inlineStr">
        <is>
          <t>OH</t>
        </is>
      </c>
      <c r="D11368" s="15" t="n">
        <v>0.004</v>
      </c>
      <c r="E11368" s="4" t="n">
        <v>200000</v>
      </c>
      <c r="F11368" s="4" t="n">
        <v>800</v>
      </c>
    </row>
    <row r="11369">
      <c r="A11369" s="3" t="inlineStr">
        <is>
          <t>1</t>
        </is>
      </c>
      <c r="B11369" s="3" t="inlineStr">
        <is>
          <t>"Pipa Tembaga B280 1/2"""</t>
        </is>
      </c>
      <c r="C11369" s="3" t="inlineStr">
        <is>
          <t>m'</t>
        </is>
      </c>
      <c r="D11369" s="15" t="n">
        <v>1.5</v>
      </c>
      <c r="E11369" s="4" t="n">
        <v>46400</v>
      </c>
      <c r="F11369" s="4" t="n">
        <v>69600</v>
      </c>
    </row>
    <row r="11370">
      <c r="A11370" s="3" t="inlineStr">
        <is>
          <t>2</t>
        </is>
      </c>
      <c r="B11370" s="3" t="inlineStr">
        <is>
          <t>Isolasi</t>
        </is>
      </c>
      <c r="C11370" s="3" t="inlineStr">
        <is>
          <t>m'</t>
        </is>
      </c>
      <c r="D11370" s="15" t="n">
        <v>1.2</v>
      </c>
      <c r="E11370" s="4" t="n">
        <v>416</v>
      </c>
      <c r="F11370" s="4" t="n">
        <v>499.2</v>
      </c>
    </row>
    <row r="11371">
      <c r="A11371" s="3" t="inlineStr">
        <is>
          <t>3</t>
        </is>
      </c>
      <c r="B11371" s="3" t="inlineStr">
        <is>
          <t>Duct Tape</t>
        </is>
      </c>
      <c r="C11371" s="3" t="inlineStr">
        <is>
          <t>Gulung</t>
        </is>
      </c>
      <c r="D11371" s="15" t="n">
        <v>0.5</v>
      </c>
      <c r="E11371" s="4" t="n">
        <v>9050</v>
      </c>
      <c r="F11371" s="4" t="n">
        <v>34800</v>
      </c>
    </row>
    <row r="11372">
      <c r="D11372" s="2" t="inlineStr">
        <is>
          <t>SUBTOTAL UPAH</t>
        </is>
      </c>
      <c r="F11372" s="16" t="n">
        <v>24640</v>
      </c>
    </row>
    <row r="11373">
      <c r="D11373" s="2" t="inlineStr">
        <is>
          <t>SUBTOTAL BAHAN</t>
        </is>
      </c>
      <c r="F11373" s="16" t="n">
        <v>104899.2</v>
      </c>
    </row>
    <row r="11374">
      <c r="D11374" s="2" t="inlineStr">
        <is>
          <t>SUBTOTAL ALAT</t>
        </is>
      </c>
      <c r="F11374" s="16" t="n">
        <v>0</v>
      </c>
    </row>
    <row r="11375">
      <c r="E11375" s="2" t="inlineStr">
        <is>
          <t>TOTAL HARGA SATUAN (Inc. Overhead)</t>
        </is>
      </c>
      <c r="F11375" s="17" t="n">
        <v>142493</v>
      </c>
    </row>
    <row r="11377">
      <c r="A11377" s="14" t="inlineStr">
        <is>
          <t>KODE: 5.5.4.4 - Pemasangan 1 m Pipa Tembaga B280 Dia. 15,9 mm (5/8")</t>
        </is>
      </c>
    </row>
    <row r="11378">
      <c r="A11378" s="10" t="inlineStr">
        <is>
          <t>No</t>
        </is>
      </c>
      <c r="B11378" s="10" t="inlineStr">
        <is>
          <t>Uraian Komponen</t>
        </is>
      </c>
      <c r="C11378" s="10" t="inlineStr">
        <is>
          <t>Satuan</t>
        </is>
      </c>
      <c r="D11378" s="10" t="inlineStr">
        <is>
          <t>Koef</t>
        </is>
      </c>
      <c r="E11378" s="10" t="inlineStr">
        <is>
          <t>Harga Satuan (Rp)</t>
        </is>
      </c>
      <c r="F11378" s="10" t="inlineStr">
        <is>
          <t>Jumlah Harga (Rp)</t>
        </is>
      </c>
    </row>
    <row r="11379">
      <c r="A11379" s="3" t="inlineStr">
        <is>
          <t>1</t>
        </is>
      </c>
      <c r="B11379" s="3" t="inlineStr">
        <is>
          <t>Pekerja</t>
        </is>
      </c>
      <c r="C11379" s="3" t="inlineStr">
        <is>
          <t>OH</t>
        </is>
      </c>
      <c r="D11379" s="15" t="n">
        <v>0.064</v>
      </c>
      <c r="E11379" s="4" t="n">
        <v>100000</v>
      </c>
      <c r="F11379" s="4" t="n">
        <v>6400</v>
      </c>
    </row>
    <row r="11380">
      <c r="A11380" s="3" t="inlineStr">
        <is>
          <t>2</t>
        </is>
      </c>
      <c r="B11380" s="3" t="inlineStr">
        <is>
          <t>Tukang pipa</t>
        </is>
      </c>
      <c r="C11380" s="3" t="inlineStr">
        <is>
          <t>OH</t>
        </is>
      </c>
      <c r="D11380" s="15" t="n">
        <v>0.107</v>
      </c>
      <c r="E11380" s="4" t="n">
        <v>145000</v>
      </c>
      <c r="F11380" s="4" t="n">
        <v>15515</v>
      </c>
    </row>
    <row r="11381">
      <c r="A11381" s="3" t="inlineStr">
        <is>
          <t>3</t>
        </is>
      </c>
      <c r="B11381" s="3" t="inlineStr">
        <is>
          <t>Kepala tukang</t>
        </is>
      </c>
      <c r="C11381" s="3" t="inlineStr">
        <is>
          <t>OH</t>
        </is>
      </c>
      <c r="D11381" s="15" t="n">
        <v>0.011</v>
      </c>
      <c r="E11381" s="4" t="n">
        <v>175000</v>
      </c>
      <c r="F11381" s="4" t="n">
        <v>1925</v>
      </c>
    </row>
    <row r="11382">
      <c r="A11382" s="3" t="inlineStr">
        <is>
          <t>4</t>
        </is>
      </c>
      <c r="B11382" s="3" t="inlineStr">
        <is>
          <t>Mandor</t>
        </is>
      </c>
      <c r="C11382" s="3" t="inlineStr">
        <is>
          <t>OH</t>
        </is>
      </c>
      <c r="D11382" s="15" t="n">
        <v>0.004</v>
      </c>
      <c r="E11382" s="4" t="n">
        <v>200000</v>
      </c>
      <c r="F11382" s="4" t="n">
        <v>800</v>
      </c>
    </row>
    <row r="11383">
      <c r="A11383" s="3" t="inlineStr">
        <is>
          <t>1</t>
        </is>
      </c>
      <c r="B11383" s="3" t="inlineStr">
        <is>
          <t>"Pipa Tembaga B280 5/8"""</t>
        </is>
      </c>
      <c r="C11383" s="3" t="inlineStr">
        <is>
          <t>m'</t>
        </is>
      </c>
      <c r="D11383" s="15" t="n">
        <v>1.5</v>
      </c>
      <c r="E11383" s="4" t="n">
        <v>101600</v>
      </c>
      <c r="F11383" s="4" t="n">
        <v>152400</v>
      </c>
    </row>
    <row r="11384">
      <c r="A11384" s="3" t="inlineStr">
        <is>
          <t>2</t>
        </is>
      </c>
      <c r="B11384" s="3" t="inlineStr">
        <is>
          <t>Isolasi</t>
        </is>
      </c>
      <c r="C11384" s="3" t="inlineStr">
        <is>
          <t>m'</t>
        </is>
      </c>
      <c r="D11384" s="15" t="n">
        <v>1.2</v>
      </c>
      <c r="E11384" s="4" t="n">
        <v>416</v>
      </c>
      <c r="F11384" s="4" t="n">
        <v>499.2</v>
      </c>
    </row>
    <row r="11385">
      <c r="A11385" s="3" t="inlineStr">
        <is>
          <t>3</t>
        </is>
      </c>
      <c r="B11385" s="3" t="inlineStr">
        <is>
          <t>Duct Tape</t>
        </is>
      </c>
      <c r="C11385" s="3" t="inlineStr">
        <is>
          <t>Gulung</t>
        </is>
      </c>
      <c r="D11385" s="15" t="n">
        <v>0.5</v>
      </c>
      <c r="E11385" s="4" t="n">
        <v>9050</v>
      </c>
      <c r="F11385" s="4" t="n">
        <v>76200</v>
      </c>
    </row>
    <row r="11386">
      <c r="D11386" s="2" t="inlineStr">
        <is>
          <t>SUBTOTAL UPAH</t>
        </is>
      </c>
      <c r="F11386" s="16" t="n">
        <v>24640</v>
      </c>
    </row>
    <row r="11387">
      <c r="D11387" s="2" t="inlineStr">
        <is>
          <t>SUBTOTAL BAHAN</t>
        </is>
      </c>
      <c r="F11387" s="16" t="n">
        <v>229099.2</v>
      </c>
    </row>
    <row r="11388">
      <c r="D11388" s="2" t="inlineStr">
        <is>
          <t>SUBTOTAL ALAT</t>
        </is>
      </c>
      <c r="F11388" s="16" t="n">
        <v>0</v>
      </c>
    </row>
    <row r="11389">
      <c r="E11389" s="2" t="inlineStr">
        <is>
          <t>TOTAL HARGA SATUAN (Inc. Overhead)</t>
        </is>
      </c>
      <c r="F11389" s="17" t="n">
        <v>279113</v>
      </c>
    </row>
    <row r="11391">
      <c r="A11391" s="14" t="inlineStr">
        <is>
          <t>KODE: 5.5.4.5 - Pemasangan 1 m Pipa Tembaga B280 Dia. 19,1 mm (3/4")</t>
        </is>
      </c>
    </row>
    <row r="11392">
      <c r="A11392" s="10" t="inlineStr">
        <is>
          <t>No</t>
        </is>
      </c>
      <c r="B11392" s="10" t="inlineStr">
        <is>
          <t>Uraian Komponen</t>
        </is>
      </c>
      <c r="C11392" s="10" t="inlineStr">
        <is>
          <t>Satuan</t>
        </is>
      </c>
      <c r="D11392" s="10" t="inlineStr">
        <is>
          <t>Koef</t>
        </is>
      </c>
      <c r="E11392" s="10" t="inlineStr">
        <is>
          <t>Harga Satuan (Rp)</t>
        </is>
      </c>
      <c r="F11392" s="10" t="inlineStr">
        <is>
          <t>Jumlah Harga (Rp)</t>
        </is>
      </c>
    </row>
    <row r="11393">
      <c r="A11393" s="3" t="inlineStr">
        <is>
          <t>1</t>
        </is>
      </c>
      <c r="B11393" s="3" t="inlineStr">
        <is>
          <t>Pekerja</t>
        </is>
      </c>
      <c r="C11393" s="3" t="inlineStr">
        <is>
          <t>OH</t>
        </is>
      </c>
      <c r="D11393" s="15" t="n">
        <v>0.095</v>
      </c>
      <c r="E11393" s="4" t="n">
        <v>100000</v>
      </c>
      <c r="F11393" s="4" t="n">
        <v>9500</v>
      </c>
    </row>
    <row r="11394">
      <c r="A11394" s="3" t="inlineStr">
        <is>
          <t>2</t>
        </is>
      </c>
      <c r="B11394" s="3" t="inlineStr">
        <is>
          <t>Tukang pipa</t>
        </is>
      </c>
      <c r="C11394" s="3" t="inlineStr">
        <is>
          <t>OH</t>
        </is>
      </c>
      <c r="D11394" s="15" t="n">
        <v>0.159</v>
      </c>
      <c r="E11394" s="4" t="n">
        <v>145000</v>
      </c>
      <c r="F11394" s="4" t="n">
        <v>23055</v>
      </c>
    </row>
    <row r="11395">
      <c r="A11395" s="3" t="inlineStr">
        <is>
          <t>3</t>
        </is>
      </c>
      <c r="B11395" s="3" t="inlineStr">
        <is>
          <t>Kepala tukang</t>
        </is>
      </c>
      <c r="C11395" s="3" t="inlineStr">
        <is>
          <t>OH</t>
        </is>
      </c>
      <c r="D11395" s="15" t="n">
        <v>0.016</v>
      </c>
      <c r="E11395" s="4" t="n">
        <v>175000</v>
      </c>
      <c r="F11395" s="4" t="n">
        <v>2800</v>
      </c>
    </row>
    <row r="11396">
      <c r="A11396" s="3" t="inlineStr">
        <is>
          <t>4</t>
        </is>
      </c>
      <c r="B11396" s="3" t="inlineStr">
        <is>
          <t>Mandor</t>
        </is>
      </c>
      <c r="C11396" s="3" t="inlineStr">
        <is>
          <t>OH</t>
        </is>
      </c>
      <c r="D11396" s="15" t="n">
        <v>0.005</v>
      </c>
      <c r="E11396" s="4" t="n">
        <v>200000</v>
      </c>
      <c r="F11396" s="4" t="n">
        <v>1000</v>
      </c>
    </row>
    <row r="11397">
      <c r="A11397" s="3" t="inlineStr">
        <is>
          <t>1</t>
        </is>
      </c>
      <c r="B11397" s="3" t="inlineStr">
        <is>
          <t>"Pipa Tembaga B280 3/4"""</t>
        </is>
      </c>
      <c r="C11397" s="3" t="inlineStr">
        <is>
          <t>m'</t>
        </is>
      </c>
      <c r="D11397" s="15" t="n">
        <v>1.5</v>
      </c>
      <c r="E11397" s="4" t="n">
        <v>122700</v>
      </c>
      <c r="F11397" s="4" t="n">
        <v>184050</v>
      </c>
    </row>
    <row r="11398">
      <c r="A11398" s="3" t="inlineStr">
        <is>
          <t>2</t>
        </is>
      </c>
      <c r="B11398" s="3" t="inlineStr">
        <is>
          <t>Isolasi</t>
        </is>
      </c>
      <c r="C11398" s="3" t="inlineStr">
        <is>
          <t>m'</t>
        </is>
      </c>
      <c r="D11398" s="15" t="n">
        <v>1.2</v>
      </c>
      <c r="E11398" s="4" t="n">
        <v>416</v>
      </c>
      <c r="F11398" s="4" t="n">
        <v>499.2</v>
      </c>
    </row>
    <row r="11399">
      <c r="A11399" s="3" t="inlineStr">
        <is>
          <t>3</t>
        </is>
      </c>
      <c r="B11399" s="3" t="inlineStr">
        <is>
          <t>Duct Tape</t>
        </is>
      </c>
      <c r="C11399" s="3" t="inlineStr">
        <is>
          <t>Gulung</t>
        </is>
      </c>
      <c r="D11399" s="15" t="n">
        <v>0.5</v>
      </c>
      <c r="E11399" s="4" t="n">
        <v>9050</v>
      </c>
      <c r="F11399" s="4" t="n">
        <v>92025</v>
      </c>
    </row>
    <row r="11400">
      <c r="D11400" s="2" t="inlineStr">
        <is>
          <t>SUBTOTAL UPAH</t>
        </is>
      </c>
      <c r="F11400" s="16" t="n">
        <v>36355</v>
      </c>
    </row>
    <row r="11401">
      <c r="D11401" s="2" t="inlineStr">
        <is>
          <t>SUBTOTAL BAHAN</t>
        </is>
      </c>
      <c r="F11401" s="16" t="n">
        <v>276574.2</v>
      </c>
    </row>
    <row r="11402">
      <c r="D11402" s="2" t="inlineStr">
        <is>
          <t>SUBTOTAL ALAT</t>
        </is>
      </c>
      <c r="F11402" s="16" t="n">
        <v>0</v>
      </c>
    </row>
    <row r="11403">
      <c r="E11403" s="2" t="inlineStr">
        <is>
          <t>TOTAL HARGA SATUAN (Inc. Overhead)</t>
        </is>
      </c>
      <c r="F11403" s="17" t="n">
        <v>344222</v>
      </c>
    </row>
    <row r="11405">
      <c r="A11405" s="14" t="inlineStr">
        <is>
          <t>KODE: 5.5.4.6 - Pemasangan 1 m Pipa Tembaga B280 Dia. 22,2 mm (7/8")</t>
        </is>
      </c>
    </row>
    <row r="11406">
      <c r="A11406" s="10" t="inlineStr">
        <is>
          <t>No</t>
        </is>
      </c>
      <c r="B11406" s="10" t="inlineStr">
        <is>
          <t>Uraian Komponen</t>
        </is>
      </c>
      <c r="C11406" s="10" t="inlineStr">
        <is>
          <t>Satuan</t>
        </is>
      </c>
      <c r="D11406" s="10" t="inlineStr">
        <is>
          <t>Koef</t>
        </is>
      </c>
      <c r="E11406" s="10" t="inlineStr">
        <is>
          <t>Harga Satuan (Rp)</t>
        </is>
      </c>
      <c r="F11406" s="10" t="inlineStr">
        <is>
          <t>Jumlah Harga (Rp)</t>
        </is>
      </c>
    </row>
    <row r="11407">
      <c r="A11407" s="3" t="inlineStr">
        <is>
          <t>1</t>
        </is>
      </c>
      <c r="B11407" s="3" t="inlineStr">
        <is>
          <t>Pekerja</t>
        </is>
      </c>
      <c r="C11407" s="3" t="inlineStr">
        <is>
          <t>OH</t>
        </is>
      </c>
      <c r="D11407" s="15" t="n">
        <v>0.112</v>
      </c>
      <c r="E11407" s="4" t="n">
        <v>100000</v>
      </c>
      <c r="F11407" s="4" t="n">
        <v>11200</v>
      </c>
    </row>
    <row r="11408">
      <c r="A11408" s="3" t="inlineStr">
        <is>
          <t>2</t>
        </is>
      </c>
      <c r="B11408" s="3" t="inlineStr">
        <is>
          <t>Tukang pipa</t>
        </is>
      </c>
      <c r="C11408" s="3" t="inlineStr">
        <is>
          <t>OH</t>
        </is>
      </c>
      <c r="D11408" s="15" t="n">
        <v>0.187</v>
      </c>
      <c r="E11408" s="4" t="n">
        <v>145000</v>
      </c>
      <c r="F11408" s="4" t="n">
        <v>27115</v>
      </c>
    </row>
    <row r="11409">
      <c r="A11409" s="3" t="inlineStr">
        <is>
          <t>3</t>
        </is>
      </c>
      <c r="B11409" s="3" t="inlineStr">
        <is>
          <t>Kepala tukang</t>
        </is>
      </c>
      <c r="C11409" s="3" t="inlineStr">
        <is>
          <t>OH</t>
        </is>
      </c>
      <c r="D11409" s="15" t="n">
        <v>0.019</v>
      </c>
      <c r="E11409" s="4" t="n">
        <v>175000</v>
      </c>
      <c r="F11409" s="4" t="n">
        <v>3325</v>
      </c>
    </row>
    <row r="11410">
      <c r="A11410" s="3" t="inlineStr">
        <is>
          <t>4</t>
        </is>
      </c>
      <c r="B11410" s="3" t="inlineStr">
        <is>
          <t>Mandor</t>
        </is>
      </c>
      <c r="C11410" s="3" t="inlineStr">
        <is>
          <t>OH</t>
        </is>
      </c>
      <c r="D11410" s="15" t="n">
        <v>0.006</v>
      </c>
      <c r="E11410" s="4" t="n">
        <v>200000</v>
      </c>
      <c r="F11410" s="4" t="n">
        <v>1200</v>
      </c>
    </row>
    <row r="11411">
      <c r="A11411" s="3" t="inlineStr">
        <is>
          <t>1</t>
        </is>
      </c>
      <c r="B11411" s="3" t="inlineStr">
        <is>
          <t>"Pipa Tembaga B280 7/8"""</t>
        </is>
      </c>
      <c r="C11411" s="3" t="inlineStr">
        <is>
          <t>m'</t>
        </is>
      </c>
      <c r="D11411" s="15" t="n">
        <v>1.5</v>
      </c>
      <c r="E11411" s="4" t="n">
        <v>351600</v>
      </c>
      <c r="F11411" s="4" t="n">
        <v>527400</v>
      </c>
    </row>
    <row r="11412">
      <c r="A11412" s="3" t="inlineStr">
        <is>
          <t>2</t>
        </is>
      </c>
      <c r="B11412" s="3" t="inlineStr">
        <is>
          <t>Isolasi</t>
        </is>
      </c>
      <c r="C11412" s="3" t="inlineStr">
        <is>
          <t>m'</t>
        </is>
      </c>
      <c r="D11412" s="15" t="n">
        <v>1.2</v>
      </c>
      <c r="E11412" s="4" t="n">
        <v>416</v>
      </c>
      <c r="F11412" s="4" t="n">
        <v>499.2</v>
      </c>
    </row>
    <row r="11413">
      <c r="A11413" s="3" t="inlineStr">
        <is>
          <t>3</t>
        </is>
      </c>
      <c r="B11413" s="3" t="inlineStr">
        <is>
          <t>Duct Tape</t>
        </is>
      </c>
      <c r="C11413" s="3" t="inlineStr">
        <is>
          <t>Gulung</t>
        </is>
      </c>
      <c r="D11413" s="15" t="n">
        <v>0.5</v>
      </c>
      <c r="E11413" s="4" t="n">
        <v>9050</v>
      </c>
      <c r="F11413" s="4" t="n">
        <v>263700</v>
      </c>
    </row>
    <row r="11414">
      <c r="D11414" s="2" t="inlineStr">
        <is>
          <t>SUBTOTAL UPAH</t>
        </is>
      </c>
      <c r="F11414" s="16" t="n">
        <v>42840</v>
      </c>
    </row>
    <row r="11415">
      <c r="D11415" s="2" t="inlineStr">
        <is>
          <t>SUBTOTAL BAHAN</t>
        </is>
      </c>
      <c r="F11415" s="16" t="n">
        <v>791599.2</v>
      </c>
    </row>
    <row r="11416">
      <c r="D11416" s="2" t="inlineStr">
        <is>
          <t>SUBTOTAL ALAT</t>
        </is>
      </c>
      <c r="F11416" s="16" t="n">
        <v>0</v>
      </c>
    </row>
    <row r="11417">
      <c r="E11417" s="2" t="inlineStr">
        <is>
          <t>TOTAL HARGA SATUAN (Inc. Overhead)</t>
        </is>
      </c>
      <c r="F11417" s="17" t="n">
        <v>917883</v>
      </c>
    </row>
    <row r="11419">
      <c r="A11419" s="14" t="inlineStr">
        <is>
          <t>KODE: 5.5.4.7 - Pemasangan 1 m Pipa Tembaga B280 Dia. 25,4 mm (1")</t>
        </is>
      </c>
    </row>
    <row r="11420">
      <c r="A11420" s="10" t="inlineStr">
        <is>
          <t>No</t>
        </is>
      </c>
      <c r="B11420" s="10" t="inlineStr">
        <is>
          <t>Uraian Komponen</t>
        </is>
      </c>
      <c r="C11420" s="10" t="inlineStr">
        <is>
          <t>Satuan</t>
        </is>
      </c>
      <c r="D11420" s="10" t="inlineStr">
        <is>
          <t>Koef</t>
        </is>
      </c>
      <c r="E11420" s="10" t="inlineStr">
        <is>
          <t>Harga Satuan (Rp)</t>
        </is>
      </c>
      <c r="F11420" s="10" t="inlineStr">
        <is>
          <t>Jumlah Harga (Rp)</t>
        </is>
      </c>
    </row>
    <row r="11421">
      <c r="A11421" s="3" t="inlineStr">
        <is>
          <t>1</t>
        </is>
      </c>
      <c r="B11421" s="3" t="inlineStr">
        <is>
          <t>Pekerja</t>
        </is>
      </c>
      <c r="C11421" s="3" t="inlineStr">
        <is>
          <t>OH</t>
        </is>
      </c>
      <c r="D11421" s="15" t="n">
        <v>0.129</v>
      </c>
      <c r="E11421" s="4" t="n">
        <v>100000</v>
      </c>
      <c r="F11421" s="4" t="n">
        <v>12900</v>
      </c>
    </row>
    <row r="11422">
      <c r="A11422" s="3" t="inlineStr">
        <is>
          <t>2</t>
        </is>
      </c>
      <c r="B11422" s="3" t="inlineStr">
        <is>
          <t>Tukang pipa</t>
        </is>
      </c>
      <c r="C11422" s="3" t="inlineStr">
        <is>
          <t>OH</t>
        </is>
      </c>
      <c r="D11422" s="15" t="n">
        <v>0.215</v>
      </c>
      <c r="E11422" s="4" t="n">
        <v>145000</v>
      </c>
      <c r="F11422" s="4" t="n">
        <v>31175</v>
      </c>
    </row>
    <row r="11423">
      <c r="A11423" s="3" t="inlineStr">
        <is>
          <t>3</t>
        </is>
      </c>
      <c r="B11423" s="3" t="inlineStr">
        <is>
          <t>Kepala tukang</t>
        </is>
      </c>
      <c r="C11423" s="3" t="inlineStr">
        <is>
          <t>OH</t>
        </is>
      </c>
      <c r="D11423" s="15" t="n">
        <v>0.021</v>
      </c>
      <c r="E11423" s="4" t="n">
        <v>175000</v>
      </c>
      <c r="F11423" s="4" t="n">
        <v>3675</v>
      </c>
    </row>
    <row r="11424">
      <c r="A11424" s="3" t="inlineStr">
        <is>
          <t>4</t>
        </is>
      </c>
      <c r="B11424" s="3" t="inlineStr">
        <is>
          <t>Mandor</t>
        </is>
      </c>
      <c r="C11424" s="3" t="inlineStr">
        <is>
          <t>OH</t>
        </is>
      </c>
      <c r="D11424" s="15" t="n">
        <v>0.007</v>
      </c>
      <c r="E11424" s="4" t="n">
        <v>200000</v>
      </c>
      <c r="F11424" s="4" t="n">
        <v>1400</v>
      </c>
    </row>
    <row r="11425">
      <c r="A11425" s="3" t="inlineStr">
        <is>
          <t>1</t>
        </is>
      </c>
      <c r="B11425" s="3" t="inlineStr">
        <is>
          <t>"Pipa Tembaga B280 1"""</t>
        </is>
      </c>
      <c r="C11425" s="3" t="inlineStr">
        <is>
          <t>m'</t>
        </is>
      </c>
      <c r="D11425" s="15" t="n">
        <v>1.5</v>
      </c>
      <c r="E11425" s="4" t="n">
        <v>370000</v>
      </c>
      <c r="F11425" s="4" t="n">
        <v>555000</v>
      </c>
    </row>
    <row r="11426">
      <c r="A11426" s="3" t="inlineStr">
        <is>
          <t>2</t>
        </is>
      </c>
      <c r="B11426" s="3" t="inlineStr">
        <is>
          <t>Isolasi</t>
        </is>
      </c>
      <c r="C11426" s="3" t="inlineStr">
        <is>
          <t>m'</t>
        </is>
      </c>
      <c r="D11426" s="15" t="n">
        <v>1.2</v>
      </c>
      <c r="E11426" s="4" t="n">
        <v>416</v>
      </c>
      <c r="F11426" s="4" t="n">
        <v>499.2</v>
      </c>
    </row>
    <row r="11427">
      <c r="A11427" s="3" t="inlineStr">
        <is>
          <t>3</t>
        </is>
      </c>
      <c r="B11427" s="3" t="inlineStr">
        <is>
          <t>Duct Tape</t>
        </is>
      </c>
      <c r="C11427" s="3" t="inlineStr">
        <is>
          <t>Gulung</t>
        </is>
      </c>
      <c r="D11427" s="15" t="n">
        <v>0.5</v>
      </c>
      <c r="E11427" s="4" t="n">
        <v>9050</v>
      </c>
      <c r="F11427" s="4" t="n">
        <v>277500</v>
      </c>
    </row>
    <row r="11428">
      <c r="D11428" s="2" t="inlineStr">
        <is>
          <t>SUBTOTAL UPAH</t>
        </is>
      </c>
      <c r="F11428" s="16" t="n">
        <v>49150</v>
      </c>
    </row>
    <row r="11429">
      <c r="D11429" s="2" t="inlineStr">
        <is>
          <t>SUBTOTAL BAHAN</t>
        </is>
      </c>
      <c r="F11429" s="16" t="n">
        <v>832999.2</v>
      </c>
    </row>
    <row r="11430">
      <c r="D11430" s="2" t="inlineStr">
        <is>
          <t>SUBTOTAL ALAT</t>
        </is>
      </c>
      <c r="F11430" s="16" t="n">
        <v>0</v>
      </c>
    </row>
    <row r="11431">
      <c r="E11431" s="2" t="inlineStr">
        <is>
          <t>TOTAL HARGA SATUAN (Inc. Overhead)</t>
        </is>
      </c>
      <c r="F11431" s="17" t="n">
        <v>970364</v>
      </c>
    </row>
    <row r="11433">
      <c r="A11433" s="14" t="inlineStr">
        <is>
          <t>KODE: 5.5.4.8 - Pemasangan 1 m Pipa Tembaga B280 Dia. 28,6 mm (1-1/8")</t>
        </is>
      </c>
    </row>
    <row r="11434">
      <c r="A11434" s="10" t="inlineStr">
        <is>
          <t>No</t>
        </is>
      </c>
      <c r="B11434" s="10" t="inlineStr">
        <is>
          <t>Uraian Komponen</t>
        </is>
      </c>
      <c r="C11434" s="10" t="inlineStr">
        <is>
          <t>Satuan</t>
        </is>
      </c>
      <c r="D11434" s="10" t="inlineStr">
        <is>
          <t>Koef</t>
        </is>
      </c>
      <c r="E11434" s="10" t="inlineStr">
        <is>
          <t>Harga Satuan (Rp)</t>
        </is>
      </c>
      <c r="F11434" s="10" t="inlineStr">
        <is>
          <t>Jumlah Harga (Rp)</t>
        </is>
      </c>
    </row>
    <row r="11435">
      <c r="A11435" s="3" t="inlineStr">
        <is>
          <t>1</t>
        </is>
      </c>
      <c r="B11435" s="3" t="inlineStr">
        <is>
          <t>Pekerja</t>
        </is>
      </c>
      <c r="C11435" s="3" t="inlineStr">
        <is>
          <t>OH</t>
        </is>
      </c>
      <c r="D11435" s="15" t="n">
        <v>0.143</v>
      </c>
      <c r="E11435" s="4" t="n">
        <v>100000</v>
      </c>
      <c r="F11435" s="4" t="n">
        <v>14300</v>
      </c>
    </row>
    <row r="11436">
      <c r="A11436" s="3" t="inlineStr">
        <is>
          <t>2</t>
        </is>
      </c>
      <c r="B11436" s="3" t="inlineStr">
        <is>
          <t>Tukang pipa</t>
        </is>
      </c>
      <c r="C11436" s="3" t="inlineStr">
        <is>
          <t>OH</t>
        </is>
      </c>
      <c r="D11436" s="15" t="n">
        <v>0.239</v>
      </c>
      <c r="E11436" s="4" t="n">
        <v>145000</v>
      </c>
      <c r="F11436" s="4" t="n">
        <v>34655</v>
      </c>
    </row>
    <row r="11437">
      <c r="A11437" s="3" t="inlineStr">
        <is>
          <t>3</t>
        </is>
      </c>
      <c r="B11437" s="3" t="inlineStr">
        <is>
          <t>Kepala tukang</t>
        </is>
      </c>
      <c r="C11437" s="3" t="inlineStr">
        <is>
          <t>OH</t>
        </is>
      </c>
      <c r="D11437" s="15" t="n">
        <v>0.024</v>
      </c>
      <c r="E11437" s="4" t="n">
        <v>175000</v>
      </c>
      <c r="F11437" s="4" t="n">
        <v>4200</v>
      </c>
    </row>
    <row r="11438">
      <c r="A11438" s="3" t="inlineStr">
        <is>
          <t>4</t>
        </is>
      </c>
      <c r="B11438" s="3" t="inlineStr">
        <is>
          <t>Mandor</t>
        </is>
      </c>
      <c r="C11438" s="3" t="inlineStr">
        <is>
          <t>OH</t>
        </is>
      </c>
      <c r="D11438" s="15" t="n">
        <v>0.008</v>
      </c>
      <c r="E11438" s="4" t="n">
        <v>200000</v>
      </c>
      <c r="F11438" s="4" t="n">
        <v>1600</v>
      </c>
    </row>
    <row r="11439">
      <c r="A11439" s="3" t="inlineStr">
        <is>
          <t>1</t>
        </is>
      </c>
      <c r="B11439" s="3" t="inlineStr">
        <is>
          <t>"Pipa Tembaga B280 1-1/8"""</t>
        </is>
      </c>
      <c r="C11439" s="3" t="inlineStr">
        <is>
          <t>m'</t>
        </is>
      </c>
      <c r="D11439" s="15" t="n">
        <v>1.5</v>
      </c>
      <c r="E11439" s="4" t="n">
        <v>375000</v>
      </c>
      <c r="F11439" s="4" t="n">
        <v>562500</v>
      </c>
    </row>
    <row r="11440">
      <c r="A11440" s="3" t="inlineStr">
        <is>
          <t>2</t>
        </is>
      </c>
      <c r="B11440" s="3" t="inlineStr">
        <is>
          <t>Isolasi</t>
        </is>
      </c>
      <c r="C11440" s="3" t="inlineStr">
        <is>
          <t>m'</t>
        </is>
      </c>
      <c r="D11440" s="15" t="n">
        <v>1.2</v>
      </c>
      <c r="E11440" s="4" t="n">
        <v>416</v>
      </c>
      <c r="F11440" s="4" t="n">
        <v>499.2</v>
      </c>
    </row>
    <row r="11441">
      <c r="A11441" s="3" t="inlineStr">
        <is>
          <t>3</t>
        </is>
      </c>
      <c r="B11441" s="3" t="inlineStr">
        <is>
          <t>Duct Tape</t>
        </is>
      </c>
      <c r="C11441" s="3" t="inlineStr">
        <is>
          <t>Gulung</t>
        </is>
      </c>
      <c r="D11441" s="15" t="n">
        <v>0.5</v>
      </c>
      <c r="E11441" s="4" t="n">
        <v>9050</v>
      </c>
      <c r="F11441" s="4" t="n">
        <v>281250</v>
      </c>
    </row>
    <row r="11442">
      <c r="D11442" s="2" t="inlineStr">
        <is>
          <t>SUBTOTAL UPAH</t>
        </is>
      </c>
      <c r="F11442" s="16" t="n">
        <v>54755</v>
      </c>
    </row>
    <row r="11443">
      <c r="D11443" s="2" t="inlineStr">
        <is>
          <t>SUBTOTAL BAHAN</t>
        </is>
      </c>
      <c r="F11443" s="16" t="n">
        <v>844249.2</v>
      </c>
    </row>
    <row r="11444">
      <c r="D11444" s="2" t="inlineStr">
        <is>
          <t>SUBTOTAL ALAT</t>
        </is>
      </c>
      <c r="F11444" s="16" t="n">
        <v>0</v>
      </c>
    </row>
    <row r="11445">
      <c r="E11445" s="2" t="inlineStr">
        <is>
          <t>TOTAL HARGA SATUAN (Inc. Overhead)</t>
        </is>
      </c>
      <c r="F11445" s="17" t="n">
        <v>988904</v>
      </c>
    </row>
    <row r="11447">
      <c r="A11447" s="14" t="inlineStr">
        <is>
          <t>KODE: 5.5.4.9 - Pemasangan 1 m Pipa Tembaga B280 Dia. 34,9 mm (1-3/8")</t>
        </is>
      </c>
    </row>
    <row r="11448">
      <c r="A11448" s="10" t="inlineStr">
        <is>
          <t>No</t>
        </is>
      </c>
      <c r="B11448" s="10" t="inlineStr">
        <is>
          <t>Uraian Komponen</t>
        </is>
      </c>
      <c r="C11448" s="10" t="inlineStr">
        <is>
          <t>Satuan</t>
        </is>
      </c>
      <c r="D11448" s="10" t="inlineStr">
        <is>
          <t>Koef</t>
        </is>
      </c>
      <c r="E11448" s="10" t="inlineStr">
        <is>
          <t>Harga Satuan (Rp)</t>
        </is>
      </c>
      <c r="F11448" s="10" t="inlineStr">
        <is>
          <t>Jumlah Harga (Rp)</t>
        </is>
      </c>
    </row>
    <row r="11449">
      <c r="A11449" s="3" t="inlineStr">
        <is>
          <t>1</t>
        </is>
      </c>
      <c r="B11449" s="3" t="inlineStr">
        <is>
          <t>Pekerja</t>
        </is>
      </c>
      <c r="C11449" s="3" t="inlineStr">
        <is>
          <t>OH</t>
        </is>
      </c>
      <c r="D11449" s="15" t="n">
        <v>0.174</v>
      </c>
      <c r="E11449" s="4" t="n">
        <v>100000</v>
      </c>
      <c r="F11449" s="4" t="n">
        <v>17400</v>
      </c>
    </row>
    <row r="11450">
      <c r="A11450" s="3" t="inlineStr">
        <is>
          <t>2</t>
        </is>
      </c>
      <c r="B11450" s="3" t="inlineStr">
        <is>
          <t>Tukang pipa</t>
        </is>
      </c>
      <c r="C11450" s="3" t="inlineStr">
        <is>
          <t>OH</t>
        </is>
      </c>
      <c r="D11450" s="15" t="n">
        <v>0.29</v>
      </c>
      <c r="E11450" s="4" t="n">
        <v>145000</v>
      </c>
      <c r="F11450" s="4" t="n">
        <v>42050</v>
      </c>
    </row>
    <row r="11451">
      <c r="A11451" s="3" t="inlineStr">
        <is>
          <t>3</t>
        </is>
      </c>
      <c r="B11451" s="3" t="inlineStr">
        <is>
          <t>Kepala tukang</t>
        </is>
      </c>
      <c r="C11451" s="3" t="inlineStr">
        <is>
          <t>OH</t>
        </is>
      </c>
      <c r="D11451" s="15" t="n">
        <v>0.029</v>
      </c>
      <c r="E11451" s="4" t="n">
        <v>175000</v>
      </c>
      <c r="F11451" s="4" t="n">
        <v>5075</v>
      </c>
    </row>
    <row r="11452">
      <c r="A11452" s="3" t="inlineStr">
        <is>
          <t>4</t>
        </is>
      </c>
      <c r="B11452" s="3" t="inlineStr">
        <is>
          <t>Mandor</t>
        </is>
      </c>
      <c r="C11452" s="3" t="inlineStr">
        <is>
          <t>OH</t>
        </is>
      </c>
      <c r="D11452" s="15" t="n">
        <v>0.01</v>
      </c>
      <c r="E11452" s="4" t="n">
        <v>200000</v>
      </c>
      <c r="F11452" s="4" t="n">
        <v>2000</v>
      </c>
    </row>
    <row r="11453">
      <c r="A11453" s="3" t="inlineStr">
        <is>
          <t>1</t>
        </is>
      </c>
      <c r="B11453" s="3" t="inlineStr">
        <is>
          <t>"Pipa Tembaga B280 1-3/8"""</t>
        </is>
      </c>
      <c r="C11453" s="3" t="inlineStr">
        <is>
          <t>m'</t>
        </is>
      </c>
      <c r="D11453" s="15" t="n">
        <v>1.5</v>
      </c>
      <c r="E11453" s="4" t="n">
        <v>380000</v>
      </c>
      <c r="F11453" s="4" t="n">
        <v>570000</v>
      </c>
    </row>
    <row r="11454">
      <c r="A11454" s="3" t="inlineStr">
        <is>
          <t>2</t>
        </is>
      </c>
      <c r="B11454" s="3" t="inlineStr">
        <is>
          <t>Isolasi</t>
        </is>
      </c>
      <c r="C11454" s="3" t="inlineStr">
        <is>
          <t>m'</t>
        </is>
      </c>
      <c r="D11454" s="15" t="n">
        <v>1.2</v>
      </c>
      <c r="E11454" s="4" t="n">
        <v>416</v>
      </c>
      <c r="F11454" s="4" t="n">
        <v>499.2</v>
      </c>
    </row>
    <row r="11455">
      <c r="A11455" s="3" t="inlineStr">
        <is>
          <t>3</t>
        </is>
      </c>
      <c r="B11455" s="3" t="inlineStr">
        <is>
          <t>Duct Tape</t>
        </is>
      </c>
      <c r="C11455" s="3" t="inlineStr">
        <is>
          <t>Gulung</t>
        </is>
      </c>
      <c r="D11455" s="15" t="n">
        <v>0.5</v>
      </c>
      <c r="E11455" s="4" t="n">
        <v>9050</v>
      </c>
      <c r="F11455" s="4" t="n">
        <v>285000</v>
      </c>
    </row>
    <row r="11456">
      <c r="D11456" s="2" t="inlineStr">
        <is>
          <t>SUBTOTAL UPAH</t>
        </is>
      </c>
      <c r="F11456" s="16" t="n">
        <v>66525</v>
      </c>
    </row>
    <row r="11457">
      <c r="D11457" s="2" t="inlineStr">
        <is>
          <t>SUBTOTAL BAHAN</t>
        </is>
      </c>
      <c r="F11457" s="16" t="n">
        <v>855499.2</v>
      </c>
    </row>
    <row r="11458">
      <c r="D11458" s="2" t="inlineStr">
        <is>
          <t>SUBTOTAL ALAT</t>
        </is>
      </c>
      <c r="F11458" s="16" t="n">
        <v>0</v>
      </c>
    </row>
    <row r="11459">
      <c r="E11459" s="2" t="inlineStr">
        <is>
          <t>TOTAL HARGA SATUAN (Inc. Overhead)</t>
        </is>
      </c>
      <c r="F11459" s="17" t="n">
        <v>1014226</v>
      </c>
    </row>
    <row r="11461">
      <c r="A11461" s="14" t="inlineStr">
        <is>
          <t>KODE: 5.5.4.10 - Pemasangan 1 m Pipa Tembaga B280 Dia. 41,3 mm (1-5/8")</t>
        </is>
      </c>
    </row>
    <row r="11462">
      <c r="A11462" s="10" t="inlineStr">
        <is>
          <t>No</t>
        </is>
      </c>
      <c r="B11462" s="10" t="inlineStr">
        <is>
          <t>Uraian Komponen</t>
        </is>
      </c>
      <c r="C11462" s="10" t="inlineStr">
        <is>
          <t>Satuan</t>
        </is>
      </c>
      <c r="D11462" s="10" t="inlineStr">
        <is>
          <t>Koef</t>
        </is>
      </c>
      <c r="E11462" s="10" t="inlineStr">
        <is>
          <t>Harga Satuan (Rp)</t>
        </is>
      </c>
      <c r="F11462" s="10" t="inlineStr">
        <is>
          <t>Jumlah Harga (Rp)</t>
        </is>
      </c>
    </row>
    <row r="11463">
      <c r="A11463" s="3" t="inlineStr">
        <is>
          <t>1</t>
        </is>
      </c>
      <c r="B11463" s="3" t="inlineStr">
        <is>
          <t>Pekerja</t>
        </is>
      </c>
      <c r="C11463" s="3" t="inlineStr">
        <is>
          <t>OH</t>
        </is>
      </c>
      <c r="D11463" s="15" t="n">
        <v>0.207</v>
      </c>
      <c r="E11463" s="4" t="n">
        <v>100000</v>
      </c>
      <c r="F11463" s="4" t="n">
        <v>20700</v>
      </c>
    </row>
    <row r="11464">
      <c r="A11464" s="3" t="inlineStr">
        <is>
          <t>2</t>
        </is>
      </c>
      <c r="B11464" s="3" t="inlineStr">
        <is>
          <t>Tukang pipa</t>
        </is>
      </c>
      <c r="C11464" s="3" t="inlineStr">
        <is>
          <t>OH</t>
        </is>
      </c>
      <c r="D11464" s="15" t="n">
        <v>0.346</v>
      </c>
      <c r="E11464" s="4" t="n">
        <v>145000</v>
      </c>
      <c r="F11464" s="4" t="n">
        <v>50169.99999999999</v>
      </c>
    </row>
    <row r="11465">
      <c r="A11465" s="3" t="inlineStr">
        <is>
          <t>3</t>
        </is>
      </c>
      <c r="B11465" s="3" t="inlineStr">
        <is>
          <t>Kepala tukang</t>
        </is>
      </c>
      <c r="C11465" s="3" t="inlineStr">
        <is>
          <t>OH</t>
        </is>
      </c>
      <c r="D11465" s="15" t="n">
        <v>0.035</v>
      </c>
      <c r="E11465" s="4" t="n">
        <v>175000</v>
      </c>
      <c r="F11465" s="4" t="n">
        <v>6125.000000000001</v>
      </c>
    </row>
    <row r="11466">
      <c r="A11466" s="3" t="inlineStr">
        <is>
          <t>4</t>
        </is>
      </c>
      <c r="B11466" s="3" t="inlineStr">
        <is>
          <t>Mandor</t>
        </is>
      </c>
      <c r="C11466" s="3" t="inlineStr">
        <is>
          <t>OH</t>
        </is>
      </c>
      <c r="D11466" s="15" t="n">
        <v>0.012</v>
      </c>
      <c r="E11466" s="4" t="n">
        <v>200000</v>
      </c>
      <c r="F11466" s="4" t="n">
        <v>2400</v>
      </c>
    </row>
    <row r="11467">
      <c r="A11467" s="3" t="inlineStr">
        <is>
          <t>1</t>
        </is>
      </c>
      <c r="B11467" s="3" t="inlineStr">
        <is>
          <t>"Pipa Tembaga B280 1-5/8"""</t>
        </is>
      </c>
      <c r="C11467" s="3" t="inlineStr">
        <is>
          <t>m'</t>
        </is>
      </c>
      <c r="D11467" s="15" t="n">
        <v>1.5</v>
      </c>
      <c r="E11467" s="4" t="n">
        <v>290000</v>
      </c>
      <c r="F11467" s="4" t="n">
        <v>435000</v>
      </c>
    </row>
    <row r="11468">
      <c r="A11468" s="3" t="inlineStr">
        <is>
          <t>2</t>
        </is>
      </c>
      <c r="B11468" s="3" t="inlineStr">
        <is>
          <t>Isolasi</t>
        </is>
      </c>
      <c r="C11468" s="3" t="inlineStr">
        <is>
          <t>m'</t>
        </is>
      </c>
      <c r="D11468" s="15" t="n">
        <v>1.2</v>
      </c>
      <c r="E11468" s="4" t="n">
        <v>416</v>
      </c>
      <c r="F11468" s="4" t="n">
        <v>499.2</v>
      </c>
    </row>
    <row r="11469">
      <c r="A11469" s="3" t="inlineStr">
        <is>
          <t>3</t>
        </is>
      </c>
      <c r="B11469" s="3" t="inlineStr">
        <is>
          <t>Duct Tape</t>
        </is>
      </c>
      <c r="C11469" s="3" t="inlineStr">
        <is>
          <t>Gulung</t>
        </is>
      </c>
      <c r="D11469" s="15" t="n">
        <v>0.5</v>
      </c>
      <c r="E11469" s="4" t="n">
        <v>9050</v>
      </c>
      <c r="F11469" s="4" t="n">
        <v>217500</v>
      </c>
    </row>
    <row r="11470">
      <c r="D11470" s="2" t="inlineStr">
        <is>
          <t>SUBTOTAL UPAH</t>
        </is>
      </c>
      <c r="F11470" s="16" t="n">
        <v>79395</v>
      </c>
    </row>
    <row r="11471">
      <c r="D11471" s="2" t="inlineStr">
        <is>
          <t>SUBTOTAL BAHAN</t>
        </is>
      </c>
      <c r="F11471" s="16" t="n">
        <v>652999.2</v>
      </c>
    </row>
    <row r="11472">
      <c r="D11472" s="2" t="inlineStr">
        <is>
          <t>SUBTOTAL ALAT</t>
        </is>
      </c>
      <c r="F11472" s="16" t="n">
        <v>0</v>
      </c>
    </row>
    <row r="11473">
      <c r="E11473" s="2" t="inlineStr">
        <is>
          <t>TOTAL HARGA SATUAN (Inc. Overhead)</t>
        </is>
      </c>
      <c r="F11473" s="17" t="n">
        <v>805633</v>
      </c>
    </row>
    <row r="11475">
      <c r="A11475" s="14" t="inlineStr">
        <is>
          <t>KODE: 5.5.4.11 - Pemasangan 1 m' pipa PVC AW, DN. 1/2" (15 mm) + Isolasi</t>
        </is>
      </c>
    </row>
    <row r="11476">
      <c r="A11476" s="10" t="inlineStr">
        <is>
          <t>No</t>
        </is>
      </c>
      <c r="B11476" s="10" t="inlineStr">
        <is>
          <t>Uraian Komponen</t>
        </is>
      </c>
      <c r="C11476" s="10" t="inlineStr">
        <is>
          <t>Satuan</t>
        </is>
      </c>
      <c r="D11476" s="10" t="inlineStr">
        <is>
          <t>Koef</t>
        </is>
      </c>
      <c r="E11476" s="10" t="inlineStr">
        <is>
          <t>Harga Satuan (Rp)</t>
        </is>
      </c>
      <c r="F11476" s="10" t="inlineStr">
        <is>
          <t>Jumlah Harga (Rp)</t>
        </is>
      </c>
    </row>
    <row r="11477">
      <c r="A11477" s="3" t="inlineStr">
        <is>
          <t>1</t>
        </is>
      </c>
      <c r="B11477" s="3" t="inlineStr">
        <is>
          <t>Pekerja</t>
        </is>
      </c>
      <c r="C11477" s="3" t="inlineStr">
        <is>
          <t>OH</t>
        </is>
      </c>
      <c r="D11477" s="15" t="n">
        <v>0.033</v>
      </c>
      <c r="E11477" s="4" t="n">
        <v>100000</v>
      </c>
      <c r="F11477" s="4" t="n">
        <v>3300</v>
      </c>
    </row>
    <row r="11478">
      <c r="A11478" s="3" t="inlineStr">
        <is>
          <t>2</t>
        </is>
      </c>
      <c r="B11478" s="3" t="inlineStr">
        <is>
          <t>Tukang pipa</t>
        </is>
      </c>
      <c r="C11478" s="3" t="inlineStr">
        <is>
          <t>OH</t>
        </is>
      </c>
      <c r="D11478" s="15" t="n">
        <v>0.056</v>
      </c>
      <c r="E11478" s="4" t="n">
        <v>145000</v>
      </c>
      <c r="F11478" s="4" t="n">
        <v>8120</v>
      </c>
    </row>
    <row r="11479">
      <c r="A11479" s="3" t="inlineStr">
        <is>
          <t>3</t>
        </is>
      </c>
      <c r="B11479" s="3" t="inlineStr">
        <is>
          <t>Kepala tukang</t>
        </is>
      </c>
      <c r="C11479" s="3" t="inlineStr">
        <is>
          <t>OH</t>
        </is>
      </c>
      <c r="D11479" s="15" t="n">
        <v>0.006</v>
      </c>
      <c r="E11479" s="4" t="n">
        <v>175000</v>
      </c>
      <c r="F11479" s="4" t="n">
        <v>1050</v>
      </c>
    </row>
    <row r="11480">
      <c r="A11480" s="3" t="inlineStr">
        <is>
          <t>4</t>
        </is>
      </c>
      <c r="B11480" s="3" t="inlineStr">
        <is>
          <t>Mandor</t>
        </is>
      </c>
      <c r="C11480" s="3" t="inlineStr">
        <is>
          <t>OH</t>
        </is>
      </c>
      <c r="D11480" s="15" t="n">
        <v>0.002</v>
      </c>
      <c r="E11480" s="4" t="n">
        <v>200000</v>
      </c>
      <c r="F11480" s="4" t="n">
        <v>400</v>
      </c>
    </row>
    <row r="11481">
      <c r="A11481" s="3" t="inlineStr">
        <is>
          <t>aksesoris"</t>
        </is>
      </c>
      <c r="B11481" s="3" t="inlineStr"/>
      <c r="C11481" s="3" t="inlineStr">
        <is>
          <t>m'</t>
        </is>
      </c>
      <c r="D11481" s="15" t="n">
        <v>1.5</v>
      </c>
      <c r="E11481" s="4" t="n">
        <v>6900</v>
      </c>
      <c r="F11481" s="4" t="n">
        <v>10350</v>
      </c>
    </row>
    <row r="11482">
      <c r="A11482" s="3" t="inlineStr">
        <is>
          <t>2</t>
        </is>
      </c>
      <c r="B11482" s="3" t="inlineStr">
        <is>
          <t>Isolasi</t>
        </is>
      </c>
      <c r="C11482" s="3" t="inlineStr">
        <is>
          <t>m'</t>
        </is>
      </c>
      <c r="D11482" s="15" t="n">
        <v>1.2</v>
      </c>
      <c r="E11482" s="4" t="n">
        <v>416</v>
      </c>
      <c r="F11482" s="4" t="n">
        <v>499.2</v>
      </c>
    </row>
    <row r="11483">
      <c r="D11483" s="2" t="inlineStr">
        <is>
          <t>SUBTOTAL UPAH</t>
        </is>
      </c>
      <c r="F11483" s="16" t="n">
        <v>12870</v>
      </c>
    </row>
    <row r="11484">
      <c r="D11484" s="2" t="inlineStr">
        <is>
          <t>SUBTOTAL BAHAN</t>
        </is>
      </c>
      <c r="F11484" s="16" t="n">
        <v>10849.2</v>
      </c>
    </row>
    <row r="11485">
      <c r="D11485" s="2" t="inlineStr">
        <is>
          <t>SUBTOTAL ALAT</t>
        </is>
      </c>
      <c r="F11485" s="16" t="n">
        <v>0</v>
      </c>
    </row>
    <row r="11486">
      <c r="E11486" s="2" t="inlineStr">
        <is>
          <t>TOTAL HARGA SATUAN (Inc. Overhead)</t>
        </is>
      </c>
      <c r="F11486" s="17" t="n">
        <v>26091</v>
      </c>
    </row>
    <row r="11488">
      <c r="A11488" s="14" t="inlineStr">
        <is>
          <t>KODE: 5.5.4.13 - Pemasangan 1 m' pipa PVC AW, DN. 1" (25 mm) + Isolasi</t>
        </is>
      </c>
    </row>
    <row r="11489">
      <c r="A11489" s="10" t="inlineStr">
        <is>
          <t>No</t>
        </is>
      </c>
      <c r="B11489" s="10" t="inlineStr">
        <is>
          <t>Uraian Komponen</t>
        </is>
      </c>
      <c r="C11489" s="10" t="inlineStr">
        <is>
          <t>Satuan</t>
        </is>
      </c>
      <c r="D11489" s="10" t="inlineStr">
        <is>
          <t>Koef</t>
        </is>
      </c>
      <c r="E11489" s="10" t="inlineStr">
        <is>
          <t>Harga Satuan (Rp)</t>
        </is>
      </c>
      <c r="F11489" s="10" t="inlineStr">
        <is>
          <t>Jumlah Harga (Rp)</t>
        </is>
      </c>
    </row>
    <row r="11490">
      <c r="A11490" s="3" t="inlineStr">
        <is>
          <t>1</t>
        </is>
      </c>
      <c r="B11490" s="3" t="inlineStr">
        <is>
          <t>Pekerja</t>
        </is>
      </c>
      <c r="C11490" s="3" t="inlineStr">
        <is>
          <t>OH</t>
        </is>
      </c>
      <c r="D11490" s="15" t="n">
        <v>0.064</v>
      </c>
      <c r="E11490" s="4" t="n">
        <v>100000</v>
      </c>
      <c r="F11490" s="4" t="n">
        <v>6400</v>
      </c>
    </row>
    <row r="11491">
      <c r="A11491" s="3" t="inlineStr">
        <is>
          <t>2</t>
        </is>
      </c>
      <c r="B11491" s="3" t="inlineStr">
        <is>
          <t>Tukang pipa</t>
        </is>
      </c>
      <c r="C11491" s="3" t="inlineStr">
        <is>
          <t>OH</t>
        </is>
      </c>
      <c r="D11491" s="15" t="n">
        <v>0.107</v>
      </c>
      <c r="E11491" s="4" t="n">
        <v>145000</v>
      </c>
      <c r="F11491" s="4" t="n">
        <v>15515</v>
      </c>
    </row>
    <row r="11492">
      <c r="A11492" s="3" t="inlineStr">
        <is>
          <t>3</t>
        </is>
      </c>
      <c r="B11492" s="3" t="inlineStr">
        <is>
          <t>Kepala tukang</t>
        </is>
      </c>
      <c r="C11492" s="3" t="inlineStr">
        <is>
          <t>OH</t>
        </is>
      </c>
      <c r="D11492" s="15" t="n">
        <v>0.011</v>
      </c>
      <c r="E11492" s="4" t="n">
        <v>175000</v>
      </c>
      <c r="F11492" s="4" t="n">
        <v>1925</v>
      </c>
    </row>
    <row r="11493">
      <c r="A11493" s="3" t="inlineStr">
        <is>
          <t>4</t>
        </is>
      </c>
      <c r="B11493" s="3" t="inlineStr">
        <is>
          <t>Mandor</t>
        </is>
      </c>
      <c r="C11493" s="3" t="inlineStr">
        <is>
          <t>OH</t>
        </is>
      </c>
      <c r="D11493" s="15" t="n">
        <v>0.004</v>
      </c>
      <c r="E11493" s="4" t="n">
        <v>200000</v>
      </c>
      <c r="F11493" s="4" t="n">
        <v>800</v>
      </c>
    </row>
    <row r="11494">
      <c r="A11494" s="3" t="inlineStr">
        <is>
          <t>aksesoris"</t>
        </is>
      </c>
      <c r="B11494" s="3" t="inlineStr"/>
      <c r="C11494" s="3" t="inlineStr">
        <is>
          <t>m'</t>
        </is>
      </c>
      <c r="D11494" s="15" t="n">
        <v>1.5</v>
      </c>
      <c r="E11494" s="4" t="n">
        <v>11500</v>
      </c>
      <c r="F11494" s="4" t="n">
        <v>17250</v>
      </c>
    </row>
    <row r="11495">
      <c r="A11495" s="3" t="inlineStr">
        <is>
          <t>2</t>
        </is>
      </c>
      <c r="B11495" s="3" t="inlineStr">
        <is>
          <t>Isolasi</t>
        </is>
      </c>
      <c r="C11495" s="3" t="inlineStr">
        <is>
          <t>m'</t>
        </is>
      </c>
      <c r="D11495" s="15" t="n">
        <v>1.2</v>
      </c>
      <c r="E11495" s="4" t="n">
        <v>416</v>
      </c>
      <c r="F11495" s="4" t="n">
        <v>499.2</v>
      </c>
    </row>
    <row r="11496">
      <c r="D11496" s="2" t="inlineStr">
        <is>
          <t>SUBTOTAL UPAH</t>
        </is>
      </c>
      <c r="F11496" s="16" t="n">
        <v>24640</v>
      </c>
    </row>
    <row r="11497">
      <c r="D11497" s="2" t="inlineStr">
        <is>
          <t>SUBTOTAL BAHAN</t>
        </is>
      </c>
      <c r="F11497" s="16" t="n">
        <v>17749.2</v>
      </c>
    </row>
    <row r="11498">
      <c r="D11498" s="2" t="inlineStr">
        <is>
          <t>SUBTOTAL ALAT</t>
        </is>
      </c>
      <c r="F11498" s="16" t="n">
        <v>0</v>
      </c>
    </row>
    <row r="11499">
      <c r="E11499" s="2" t="inlineStr">
        <is>
          <t>TOTAL HARGA SATUAN (Inc. Overhead)</t>
        </is>
      </c>
      <c r="F11499" s="17" t="n">
        <v>46628</v>
      </c>
    </row>
    <row r="11501">
      <c r="A11501" s="14" t="inlineStr">
        <is>
          <t>KODE: 5.5.4.14 - Pemasangan 1 m' pipa PVC AW, DN. 1-1/4" (32 mm) + Isolasi</t>
        </is>
      </c>
    </row>
    <row r="11502">
      <c r="A11502" s="10" t="inlineStr">
        <is>
          <t>No</t>
        </is>
      </c>
      <c r="B11502" s="10" t="inlineStr">
        <is>
          <t>Uraian Komponen</t>
        </is>
      </c>
      <c r="C11502" s="10" t="inlineStr">
        <is>
          <t>Satuan</t>
        </is>
      </c>
      <c r="D11502" s="10" t="inlineStr">
        <is>
          <t>Koef</t>
        </is>
      </c>
      <c r="E11502" s="10" t="inlineStr">
        <is>
          <t>Harga Satuan (Rp)</t>
        </is>
      </c>
      <c r="F11502" s="10" t="inlineStr">
        <is>
          <t>Jumlah Harga (Rp)</t>
        </is>
      </c>
    </row>
    <row r="11503">
      <c r="A11503" s="3" t="inlineStr">
        <is>
          <t>1</t>
        </is>
      </c>
      <c r="B11503" s="3" t="inlineStr">
        <is>
          <t>Pekerja</t>
        </is>
      </c>
      <c r="C11503" s="3" t="inlineStr">
        <is>
          <t>OH</t>
        </is>
      </c>
      <c r="D11503" s="15" t="n">
        <v>0.081</v>
      </c>
      <c r="E11503" s="4" t="n">
        <v>100000</v>
      </c>
      <c r="F11503" s="4" t="n">
        <v>8100</v>
      </c>
    </row>
    <row r="11504">
      <c r="A11504" s="3" t="inlineStr">
        <is>
          <t>2</t>
        </is>
      </c>
      <c r="B11504" s="3" t="inlineStr">
        <is>
          <t>Tukang pipa</t>
        </is>
      </c>
      <c r="C11504" s="3" t="inlineStr">
        <is>
          <t>OH</t>
        </is>
      </c>
      <c r="D11504" s="15" t="n">
        <v>0.135</v>
      </c>
      <c r="E11504" s="4" t="n">
        <v>145000</v>
      </c>
      <c r="F11504" s="4" t="n">
        <v>19575</v>
      </c>
    </row>
    <row r="11505">
      <c r="A11505" s="3" t="inlineStr">
        <is>
          <t>3</t>
        </is>
      </c>
      <c r="B11505" s="3" t="inlineStr">
        <is>
          <t>Kepala tukang</t>
        </is>
      </c>
      <c r="C11505" s="3" t="inlineStr">
        <is>
          <t>OH</t>
        </is>
      </c>
      <c r="D11505" s="15" t="n">
        <v>0.014</v>
      </c>
      <c r="E11505" s="4" t="n">
        <v>175000</v>
      </c>
      <c r="F11505" s="4" t="n">
        <v>2450</v>
      </c>
    </row>
    <row r="11506">
      <c r="A11506" s="3" t="inlineStr">
        <is>
          <t>4</t>
        </is>
      </c>
      <c r="B11506" s="3" t="inlineStr">
        <is>
          <t>Mandor</t>
        </is>
      </c>
      <c r="C11506" s="3" t="inlineStr">
        <is>
          <t>OH</t>
        </is>
      </c>
      <c r="D11506" s="15" t="n">
        <v>0.005</v>
      </c>
      <c r="E11506" s="4" t="n">
        <v>200000</v>
      </c>
      <c r="F11506" s="4" t="n">
        <v>1000</v>
      </c>
    </row>
    <row r="11507">
      <c r="A11507" s="3" t="inlineStr">
        <is>
          <t>aksesoris"</t>
        </is>
      </c>
      <c r="B11507" s="3" t="inlineStr"/>
      <c r="C11507" s="3" t="inlineStr">
        <is>
          <t>m'</t>
        </is>
      </c>
      <c r="D11507" s="15" t="n">
        <v>1.5</v>
      </c>
      <c r="E11507" s="4" t="n">
        <v>18900</v>
      </c>
      <c r="F11507" s="4" t="n">
        <v>28350</v>
      </c>
    </row>
    <row r="11508">
      <c r="A11508" s="3" t="inlineStr">
        <is>
          <t>2</t>
        </is>
      </c>
      <c r="B11508" s="3" t="inlineStr">
        <is>
          <t>Isolasi</t>
        </is>
      </c>
      <c r="C11508" s="3" t="inlineStr">
        <is>
          <t>m'</t>
        </is>
      </c>
      <c r="D11508" s="15" t="n">
        <v>1.2</v>
      </c>
      <c r="E11508" s="4" t="n">
        <v>416</v>
      </c>
      <c r="F11508" s="4" t="n">
        <v>499.2</v>
      </c>
    </row>
    <row r="11509">
      <c r="D11509" s="2" t="inlineStr">
        <is>
          <t>SUBTOTAL UPAH</t>
        </is>
      </c>
      <c r="F11509" s="16" t="n">
        <v>31125</v>
      </c>
    </row>
    <row r="11510">
      <c r="D11510" s="2" t="inlineStr">
        <is>
          <t>SUBTOTAL BAHAN</t>
        </is>
      </c>
      <c r="F11510" s="16" t="n">
        <v>28849.2</v>
      </c>
    </row>
    <row r="11511">
      <c r="D11511" s="2" t="inlineStr">
        <is>
          <t>SUBTOTAL ALAT</t>
        </is>
      </c>
      <c r="F11511" s="16" t="n">
        <v>0</v>
      </c>
    </row>
    <row r="11512">
      <c r="E11512" s="2" t="inlineStr">
        <is>
          <t>TOTAL HARGA SATUAN (Inc. Overhead)</t>
        </is>
      </c>
      <c r="F11512" s="17" t="n">
        <v>65971</v>
      </c>
    </row>
    <row r="11514">
      <c r="A11514" s="14" t="inlineStr">
        <is>
          <t>KODE: 5.5.4.15 - Pemasangan 1 m' pipa PVC AW, DN. 1-1/2" (40 mm) + Isolasi</t>
        </is>
      </c>
    </row>
    <row r="11515">
      <c r="A11515" s="10" t="inlineStr">
        <is>
          <t>No</t>
        </is>
      </c>
      <c r="B11515" s="10" t="inlineStr">
        <is>
          <t>Uraian Komponen</t>
        </is>
      </c>
      <c r="C11515" s="10" t="inlineStr">
        <is>
          <t>Satuan</t>
        </is>
      </c>
      <c r="D11515" s="10" t="inlineStr">
        <is>
          <t>Koef</t>
        </is>
      </c>
      <c r="E11515" s="10" t="inlineStr">
        <is>
          <t>Harga Satuan (Rp)</t>
        </is>
      </c>
      <c r="F11515" s="10" t="inlineStr">
        <is>
          <t>Jumlah Harga (Rp)</t>
        </is>
      </c>
    </row>
    <row r="11516">
      <c r="A11516" s="3" t="inlineStr">
        <is>
          <t>1</t>
        </is>
      </c>
      <c r="B11516" s="3" t="inlineStr">
        <is>
          <t>Pekerja</t>
        </is>
      </c>
      <c r="C11516" s="3" t="inlineStr">
        <is>
          <t>OH</t>
        </is>
      </c>
      <c r="D11516" s="15" t="n">
        <v>0.095</v>
      </c>
      <c r="E11516" s="4" t="n">
        <v>100000</v>
      </c>
      <c r="F11516" s="4" t="n">
        <v>9500</v>
      </c>
    </row>
    <row r="11517">
      <c r="A11517" s="3" t="inlineStr">
        <is>
          <t>2</t>
        </is>
      </c>
      <c r="B11517" s="3" t="inlineStr">
        <is>
          <t>Tukang pipa</t>
        </is>
      </c>
      <c r="C11517" s="3" t="inlineStr">
        <is>
          <t>OH</t>
        </is>
      </c>
      <c r="D11517" s="15" t="n">
        <v>0.159</v>
      </c>
      <c r="E11517" s="4" t="n">
        <v>145000</v>
      </c>
      <c r="F11517" s="4" t="n">
        <v>23055</v>
      </c>
    </row>
    <row r="11518">
      <c r="A11518" s="3" t="inlineStr">
        <is>
          <t>3</t>
        </is>
      </c>
      <c r="B11518" s="3" t="inlineStr">
        <is>
          <t>Kepala tukang</t>
        </is>
      </c>
      <c r="C11518" s="3" t="inlineStr">
        <is>
          <t>OH</t>
        </is>
      </c>
      <c r="D11518" s="15" t="n">
        <v>0.016</v>
      </c>
      <c r="E11518" s="4" t="n">
        <v>175000</v>
      </c>
      <c r="F11518" s="4" t="n">
        <v>2800</v>
      </c>
    </row>
    <row r="11519">
      <c r="A11519" s="3" t="inlineStr">
        <is>
          <t>4</t>
        </is>
      </c>
      <c r="B11519" s="3" t="inlineStr">
        <is>
          <t>Mandor</t>
        </is>
      </c>
      <c r="C11519" s="3" t="inlineStr">
        <is>
          <t>OH</t>
        </is>
      </c>
      <c r="D11519" s="15" t="n">
        <v>0.005</v>
      </c>
      <c r="E11519" s="4" t="n">
        <v>200000</v>
      </c>
      <c r="F11519" s="4" t="n">
        <v>1000</v>
      </c>
    </row>
    <row r="11520">
      <c r="A11520" s="3" t="inlineStr">
        <is>
          <t>aksesoris"</t>
        </is>
      </c>
      <c r="B11520" s="3" t="inlineStr"/>
      <c r="C11520" s="3" t="inlineStr">
        <is>
          <t>m'</t>
        </is>
      </c>
      <c r="D11520" s="15" t="n">
        <v>1.5</v>
      </c>
      <c r="E11520" s="4" t="n">
        <v>20500</v>
      </c>
      <c r="F11520" s="4" t="n">
        <v>30750</v>
      </c>
    </row>
    <row r="11521">
      <c r="A11521" s="3" t="inlineStr">
        <is>
          <t>2</t>
        </is>
      </c>
      <c r="B11521" s="3" t="inlineStr">
        <is>
          <t>Isolasi</t>
        </is>
      </c>
      <c r="C11521" s="3" t="inlineStr">
        <is>
          <t>m'</t>
        </is>
      </c>
      <c r="D11521" s="15" t="n">
        <v>1.2</v>
      </c>
      <c r="E11521" s="4" t="n">
        <v>416</v>
      </c>
      <c r="F11521" s="4" t="n">
        <v>499.2</v>
      </c>
    </row>
    <row r="11522">
      <c r="D11522" s="2" t="inlineStr">
        <is>
          <t>SUBTOTAL UPAH</t>
        </is>
      </c>
      <c r="F11522" s="16" t="n">
        <v>36355</v>
      </c>
    </row>
    <row r="11523">
      <c r="D11523" s="2" t="inlineStr">
        <is>
          <t>SUBTOTAL BAHAN</t>
        </is>
      </c>
      <c r="F11523" s="16" t="n">
        <v>31249.2</v>
      </c>
    </row>
    <row r="11524">
      <c r="D11524" s="2" t="inlineStr">
        <is>
          <t>SUBTOTAL ALAT</t>
        </is>
      </c>
      <c r="F11524" s="16" t="n">
        <v>0</v>
      </c>
    </row>
    <row r="11525">
      <c r="E11525" s="2" t="inlineStr">
        <is>
          <t>TOTAL HARGA SATUAN (Inc. Overhead)</t>
        </is>
      </c>
      <c r="F11525" s="17" t="n">
        <v>74364</v>
      </c>
    </row>
    <row r="11527">
      <c r="A11527" s="14" t="inlineStr">
        <is>
          <t>KODE: 5.5.4.16 - Pemasangan 1 m' pipa PVC AW, DN. 2" (50 mm) + Isolasi</t>
        </is>
      </c>
    </row>
    <row r="11528">
      <c r="A11528" s="10" t="inlineStr">
        <is>
          <t>No</t>
        </is>
      </c>
      <c r="B11528" s="10" t="inlineStr">
        <is>
          <t>Uraian Komponen</t>
        </is>
      </c>
      <c r="C11528" s="10" t="inlineStr">
        <is>
          <t>Satuan</t>
        </is>
      </c>
      <c r="D11528" s="10" t="inlineStr">
        <is>
          <t>Koef</t>
        </is>
      </c>
      <c r="E11528" s="10" t="inlineStr">
        <is>
          <t>Harga Satuan (Rp)</t>
        </is>
      </c>
      <c r="F11528" s="10" t="inlineStr">
        <is>
          <t>Jumlah Harga (Rp)</t>
        </is>
      </c>
    </row>
    <row r="11529">
      <c r="A11529" s="3" t="inlineStr">
        <is>
          <t>1</t>
        </is>
      </c>
      <c r="B11529" s="3" t="inlineStr">
        <is>
          <t>Pekerja</t>
        </is>
      </c>
      <c r="C11529" s="3" t="inlineStr">
        <is>
          <t>OH</t>
        </is>
      </c>
      <c r="D11529" s="15" t="n">
        <v>0.129</v>
      </c>
      <c r="E11529" s="4" t="n">
        <v>100000</v>
      </c>
      <c r="F11529" s="4" t="n">
        <v>12900</v>
      </c>
    </row>
    <row r="11530">
      <c r="A11530" s="3" t="inlineStr">
        <is>
          <t>2</t>
        </is>
      </c>
      <c r="B11530" s="3" t="inlineStr">
        <is>
          <t>Tukang pipa</t>
        </is>
      </c>
      <c r="C11530" s="3" t="inlineStr">
        <is>
          <t>OH</t>
        </is>
      </c>
      <c r="D11530" s="15" t="n">
        <v>0.215</v>
      </c>
      <c r="E11530" s="4" t="n">
        <v>145000</v>
      </c>
      <c r="F11530" s="4" t="n">
        <v>31175</v>
      </c>
    </row>
    <row r="11531">
      <c r="A11531" s="3" t="inlineStr">
        <is>
          <t>3</t>
        </is>
      </c>
      <c r="B11531" s="3" t="inlineStr">
        <is>
          <t>Kepala tukang</t>
        </is>
      </c>
      <c r="C11531" s="3" t="inlineStr">
        <is>
          <t>OH</t>
        </is>
      </c>
      <c r="D11531" s="15" t="n">
        <v>0.021</v>
      </c>
      <c r="E11531" s="4" t="n">
        <v>175000</v>
      </c>
      <c r="F11531" s="4" t="n">
        <v>3675</v>
      </c>
    </row>
    <row r="11532">
      <c r="A11532" s="3" t="inlineStr">
        <is>
          <t>4</t>
        </is>
      </c>
      <c r="B11532" s="3" t="inlineStr">
        <is>
          <t>Mandor</t>
        </is>
      </c>
      <c r="C11532" s="3" t="inlineStr">
        <is>
          <t>OH</t>
        </is>
      </c>
      <c r="D11532" s="15" t="n">
        <v>0.007</v>
      </c>
      <c r="E11532" s="4" t="n">
        <v>200000</v>
      </c>
      <c r="F11532" s="4" t="n">
        <v>1400</v>
      </c>
    </row>
    <row r="11533">
      <c r="A11533" s="3" t="inlineStr">
        <is>
          <t>aksesoris"</t>
        </is>
      </c>
      <c r="B11533" s="3" t="inlineStr"/>
      <c r="C11533" s="3" t="inlineStr">
        <is>
          <t>m'</t>
        </is>
      </c>
      <c r="D11533" s="15" t="n">
        <v>1.5</v>
      </c>
      <c r="E11533" s="4" t="n">
        <v>26500</v>
      </c>
      <c r="F11533" s="4" t="n">
        <v>39750</v>
      </c>
    </row>
    <row r="11534">
      <c r="A11534" s="3" t="inlineStr">
        <is>
          <t>2</t>
        </is>
      </c>
      <c r="B11534" s="3" t="inlineStr">
        <is>
          <t>Isolasi</t>
        </is>
      </c>
      <c r="C11534" s="3" t="inlineStr">
        <is>
          <t>m'</t>
        </is>
      </c>
      <c r="D11534" s="15" t="n">
        <v>1.2</v>
      </c>
      <c r="E11534" s="4" t="n">
        <v>416</v>
      </c>
      <c r="F11534" s="4" t="n">
        <v>499.2</v>
      </c>
    </row>
    <row r="11535">
      <c r="D11535" s="2" t="inlineStr">
        <is>
          <t>SUBTOTAL UPAH</t>
        </is>
      </c>
      <c r="F11535" s="16" t="n">
        <v>49150</v>
      </c>
    </row>
    <row r="11536">
      <c r="D11536" s="2" t="inlineStr">
        <is>
          <t>SUBTOTAL BAHAN</t>
        </is>
      </c>
      <c r="F11536" s="16" t="n">
        <v>40249.2</v>
      </c>
    </row>
    <row r="11537">
      <c r="D11537" s="2" t="inlineStr">
        <is>
          <t>SUBTOTAL ALAT</t>
        </is>
      </c>
      <c r="F11537" s="16" t="n">
        <v>0</v>
      </c>
    </row>
    <row r="11538">
      <c r="E11538" s="2" t="inlineStr">
        <is>
          <t>TOTAL HARGA SATUAN (Inc. Overhead)</t>
        </is>
      </c>
      <c r="F11538" s="17" t="n">
        <v>98339</v>
      </c>
    </row>
    <row r="11540">
      <c r="A11540" s="14" t="inlineStr">
        <is>
          <t>KODE: 5.3.4.17 - Pemasangan 1 m' pipa PVC AW, DN. 2-1/2" (65 mm) + Isolasi</t>
        </is>
      </c>
    </row>
    <row r="11541">
      <c r="A11541" s="10" t="inlineStr">
        <is>
          <t>No</t>
        </is>
      </c>
      <c r="B11541" s="10" t="inlineStr">
        <is>
          <t>Uraian Komponen</t>
        </is>
      </c>
      <c r="C11541" s="10" t="inlineStr">
        <is>
          <t>Satuan</t>
        </is>
      </c>
      <c r="D11541" s="10" t="inlineStr">
        <is>
          <t>Koef</t>
        </is>
      </c>
      <c r="E11541" s="10" t="inlineStr">
        <is>
          <t>Harga Satuan (Rp)</t>
        </is>
      </c>
      <c r="F11541" s="10" t="inlineStr">
        <is>
          <t>Jumlah Harga (Rp)</t>
        </is>
      </c>
    </row>
    <row r="11542">
      <c r="A11542" s="3" t="inlineStr">
        <is>
          <t>1</t>
        </is>
      </c>
      <c r="B11542" s="3" t="inlineStr">
        <is>
          <t>Pekerja</t>
        </is>
      </c>
      <c r="C11542" s="3" t="inlineStr">
        <is>
          <t>OH</t>
        </is>
      </c>
      <c r="D11542" s="15" t="n">
        <v>0.16</v>
      </c>
      <c r="E11542" s="4" t="n">
        <v>100000</v>
      </c>
      <c r="F11542" s="4" t="n">
        <v>16000</v>
      </c>
    </row>
    <row r="11543">
      <c r="A11543" s="3" t="inlineStr">
        <is>
          <t>2</t>
        </is>
      </c>
      <c r="B11543" s="3" t="inlineStr">
        <is>
          <t>Tukang pipa</t>
        </is>
      </c>
      <c r="C11543" s="3" t="inlineStr">
        <is>
          <t>OH</t>
        </is>
      </c>
      <c r="D11543" s="15" t="n">
        <v>0.266</v>
      </c>
      <c r="E11543" s="4" t="n">
        <v>145000</v>
      </c>
      <c r="F11543" s="4" t="n">
        <v>38570</v>
      </c>
    </row>
    <row r="11544">
      <c r="A11544" s="3" t="inlineStr">
        <is>
          <t>3</t>
        </is>
      </c>
      <c r="B11544" s="3" t="inlineStr">
        <is>
          <t>Kepala tukang</t>
        </is>
      </c>
      <c r="C11544" s="3" t="inlineStr">
        <is>
          <t>OH</t>
        </is>
      </c>
      <c r="D11544" s="15" t="n">
        <v>0.027</v>
      </c>
      <c r="E11544" s="4" t="n">
        <v>175000</v>
      </c>
      <c r="F11544" s="4" t="n">
        <v>4725</v>
      </c>
    </row>
    <row r="11545">
      <c r="A11545" s="3" t="inlineStr">
        <is>
          <t>4</t>
        </is>
      </c>
      <c r="B11545" s="3" t="inlineStr">
        <is>
          <t>Mandor</t>
        </is>
      </c>
      <c r="C11545" s="3" t="inlineStr">
        <is>
          <t>OH</t>
        </is>
      </c>
      <c r="D11545" s="15" t="n">
        <v>0.008999999999999999</v>
      </c>
      <c r="E11545" s="4" t="n">
        <v>200000</v>
      </c>
      <c r="F11545" s="4" t="n">
        <v>1800</v>
      </c>
    </row>
    <row r="11546">
      <c r="A11546" s="3" t="inlineStr">
        <is>
          <t>aksesoris"</t>
        </is>
      </c>
      <c r="B11546" s="3" t="inlineStr"/>
      <c r="C11546" s="3" t="inlineStr">
        <is>
          <t>m'</t>
        </is>
      </c>
      <c r="D11546" s="15" t="n">
        <v>1.5</v>
      </c>
      <c r="E11546" s="4" t="n">
        <v>33900</v>
      </c>
      <c r="F11546" s="4" t="n">
        <v>50850</v>
      </c>
    </row>
    <row r="11547">
      <c r="A11547" s="3" t="inlineStr">
        <is>
          <t>2</t>
        </is>
      </c>
      <c r="B11547" s="3" t="inlineStr">
        <is>
          <t>Isolasi</t>
        </is>
      </c>
      <c r="C11547" s="3" t="inlineStr">
        <is>
          <t>m'</t>
        </is>
      </c>
      <c r="D11547" s="15" t="n">
        <v>1.2</v>
      </c>
      <c r="E11547" s="4" t="n">
        <v>416</v>
      </c>
      <c r="F11547" s="4" t="n">
        <v>499.2</v>
      </c>
    </row>
    <row r="11548">
      <c r="D11548" s="2" t="inlineStr">
        <is>
          <t>SUBTOTAL UPAH</t>
        </is>
      </c>
      <c r="F11548" s="16" t="n">
        <v>61095</v>
      </c>
    </row>
    <row r="11549">
      <c r="D11549" s="2" t="inlineStr">
        <is>
          <t>SUBTOTAL BAHAN</t>
        </is>
      </c>
      <c r="F11549" s="16" t="n">
        <v>51349.2</v>
      </c>
    </row>
    <row r="11550">
      <c r="D11550" s="2" t="inlineStr">
        <is>
          <t>SUBTOTAL ALAT</t>
        </is>
      </c>
      <c r="F11550" s="16" t="n">
        <v>0</v>
      </c>
    </row>
    <row r="11551">
      <c r="E11551" s="2" t="inlineStr">
        <is>
          <t>TOTAL HARGA SATUAN (Inc. Overhead)</t>
        </is>
      </c>
      <c r="F11551" s="17" t="n">
        <v>123688</v>
      </c>
    </row>
    <row r="11553">
      <c r="A11553" s="14" t="inlineStr">
        <is>
          <t>KODE: 5.5.4.18 - Pemasangan 1 m' pipa PVC AW, DN. 3" (80 mm) + Isolasi</t>
        </is>
      </c>
    </row>
    <row r="11554">
      <c r="A11554" s="10" t="inlineStr">
        <is>
          <t>No</t>
        </is>
      </c>
      <c r="B11554" s="10" t="inlineStr">
        <is>
          <t>Uraian Komponen</t>
        </is>
      </c>
      <c r="C11554" s="10" t="inlineStr">
        <is>
          <t>Satuan</t>
        </is>
      </c>
      <c r="D11554" s="10" t="inlineStr">
        <is>
          <t>Koef</t>
        </is>
      </c>
      <c r="E11554" s="10" t="inlineStr">
        <is>
          <t>Harga Satuan (Rp)</t>
        </is>
      </c>
      <c r="F11554" s="10" t="inlineStr">
        <is>
          <t>Jumlah Harga (Rp)</t>
        </is>
      </c>
    </row>
    <row r="11555">
      <c r="A11555" s="3" t="inlineStr">
        <is>
          <t>1</t>
        </is>
      </c>
      <c r="B11555" s="3" t="inlineStr">
        <is>
          <t>Pekerja</t>
        </is>
      </c>
      <c r="C11555" s="3" t="inlineStr">
        <is>
          <t>OH</t>
        </is>
      </c>
      <c r="D11555" s="15" t="n">
        <v>0.19</v>
      </c>
      <c r="E11555" s="4" t="n">
        <v>100000</v>
      </c>
      <c r="F11555" s="4" t="n">
        <v>19000</v>
      </c>
    </row>
    <row r="11556">
      <c r="A11556" s="3" t="inlineStr">
        <is>
          <t>2</t>
        </is>
      </c>
      <c r="B11556" s="3" t="inlineStr">
        <is>
          <t>Tukang pipa</t>
        </is>
      </c>
      <c r="C11556" s="3" t="inlineStr">
        <is>
          <t>OH</t>
        </is>
      </c>
      <c r="D11556" s="15" t="n">
        <v>0.318</v>
      </c>
      <c r="E11556" s="4" t="n">
        <v>145000</v>
      </c>
      <c r="F11556" s="4" t="n">
        <v>46110</v>
      </c>
    </row>
    <row r="11557">
      <c r="A11557" s="3" t="inlineStr">
        <is>
          <t>3</t>
        </is>
      </c>
      <c r="B11557" s="3" t="inlineStr">
        <is>
          <t>Kepala tukang</t>
        </is>
      </c>
      <c r="C11557" s="3" t="inlineStr">
        <is>
          <t>OH</t>
        </is>
      </c>
      <c r="D11557" s="15" t="n">
        <v>0.032</v>
      </c>
      <c r="E11557" s="4" t="n">
        <v>175000</v>
      </c>
      <c r="F11557" s="4" t="n">
        <v>5600</v>
      </c>
    </row>
    <row r="11558">
      <c r="A11558" s="3" t="inlineStr">
        <is>
          <t>4</t>
        </is>
      </c>
      <c r="B11558" s="3" t="inlineStr">
        <is>
          <t>Mandor</t>
        </is>
      </c>
      <c r="C11558" s="3" t="inlineStr">
        <is>
          <t>OH</t>
        </is>
      </c>
      <c r="D11558" s="15" t="n">
        <v>0.011</v>
      </c>
      <c r="E11558" s="4" t="n">
        <v>200000</v>
      </c>
      <c r="F11558" s="4" t="n">
        <v>2200</v>
      </c>
    </row>
    <row r="11559">
      <c r="A11559" s="3" t="inlineStr">
        <is>
          <t>aksesoris"</t>
        </is>
      </c>
      <c r="B11559" s="3" t="inlineStr"/>
      <c r="C11559" s="3" t="inlineStr">
        <is>
          <t>m'</t>
        </is>
      </c>
      <c r="D11559" s="15" t="n">
        <v>1.5</v>
      </c>
      <c r="E11559" s="4" t="n">
        <v>51500</v>
      </c>
      <c r="F11559" s="4" t="n">
        <v>77250</v>
      </c>
    </row>
    <row r="11560">
      <c r="A11560" s="3" t="inlineStr">
        <is>
          <t>2</t>
        </is>
      </c>
      <c r="B11560" s="3" t="inlineStr">
        <is>
          <t>Isolasi</t>
        </is>
      </c>
      <c r="C11560" s="3" t="inlineStr">
        <is>
          <t>m'</t>
        </is>
      </c>
      <c r="D11560" s="15" t="n">
        <v>1.2</v>
      </c>
      <c r="E11560" s="4" t="n">
        <v>416</v>
      </c>
      <c r="F11560" s="4" t="n">
        <v>499.2</v>
      </c>
    </row>
    <row r="11561">
      <c r="D11561" s="2" t="inlineStr">
        <is>
          <t>SUBTOTAL UPAH</t>
        </is>
      </c>
      <c r="F11561" s="16" t="n">
        <v>72910</v>
      </c>
    </row>
    <row r="11562">
      <c r="D11562" s="2" t="inlineStr">
        <is>
          <t>SUBTOTAL BAHAN</t>
        </is>
      </c>
      <c r="F11562" s="16" t="n">
        <v>77749.2</v>
      </c>
    </row>
    <row r="11563">
      <c r="D11563" s="2" t="inlineStr">
        <is>
          <t>SUBTOTAL ALAT</t>
        </is>
      </c>
      <c r="F11563" s="16" t="n">
        <v>0</v>
      </c>
    </row>
    <row r="11564">
      <c r="E11564" s="2" t="inlineStr">
        <is>
          <t>TOTAL HARGA SATUAN (Inc. Overhead)</t>
        </is>
      </c>
      <c r="F11564" s="17" t="n">
        <v>165725</v>
      </c>
    </row>
    <row r="11566">
      <c r="A11566" s="14" t="inlineStr">
        <is>
          <t>KODE: 5.5.4.19 - Pemasangan 1 m' pipa PVC AW, DN. 4" (100 mm) + Isolasi</t>
        </is>
      </c>
    </row>
    <row r="11567">
      <c r="A11567" s="10" t="inlineStr">
        <is>
          <t>No</t>
        </is>
      </c>
      <c r="B11567" s="10" t="inlineStr">
        <is>
          <t>Uraian Komponen</t>
        </is>
      </c>
      <c r="C11567" s="10" t="inlineStr">
        <is>
          <t>Satuan</t>
        </is>
      </c>
      <c r="D11567" s="10" t="inlineStr">
        <is>
          <t>Koef</t>
        </is>
      </c>
      <c r="E11567" s="10" t="inlineStr">
        <is>
          <t>Harga Satuan (Rp)</t>
        </is>
      </c>
      <c r="F11567" s="10" t="inlineStr">
        <is>
          <t>Jumlah Harga (Rp)</t>
        </is>
      </c>
    </row>
    <row r="11568">
      <c r="A11568" s="3" t="inlineStr">
        <is>
          <t>1</t>
        </is>
      </c>
      <c r="B11568" s="3" t="inlineStr">
        <is>
          <t>Pekerja</t>
        </is>
      </c>
      <c r="C11568" s="3" t="inlineStr">
        <is>
          <t>OH</t>
        </is>
      </c>
      <c r="D11568" s="15" t="n">
        <v>0.255</v>
      </c>
      <c r="E11568" s="4" t="n">
        <v>100000</v>
      </c>
      <c r="F11568" s="4" t="n">
        <v>25500</v>
      </c>
    </row>
    <row r="11569">
      <c r="A11569" s="3" t="inlineStr">
        <is>
          <t>2</t>
        </is>
      </c>
      <c r="B11569" s="3" t="inlineStr">
        <is>
          <t>Tukang pipa</t>
        </is>
      </c>
      <c r="C11569" s="3" t="inlineStr">
        <is>
          <t>OH</t>
        </is>
      </c>
      <c r="D11569" s="15" t="n">
        <v>0.425</v>
      </c>
      <c r="E11569" s="4" t="n">
        <v>145000</v>
      </c>
      <c r="F11569" s="4" t="n">
        <v>61625</v>
      </c>
    </row>
    <row r="11570">
      <c r="A11570" s="3" t="inlineStr">
        <is>
          <t>3</t>
        </is>
      </c>
      <c r="B11570" s="3" t="inlineStr">
        <is>
          <t>Kepala tukang</t>
        </is>
      </c>
      <c r="C11570" s="3" t="inlineStr">
        <is>
          <t>OH</t>
        </is>
      </c>
      <c r="D11570" s="15" t="n">
        <v>0.043</v>
      </c>
      <c r="E11570" s="4" t="n">
        <v>175000</v>
      </c>
      <c r="F11570" s="4" t="n">
        <v>7524.999999999999</v>
      </c>
    </row>
    <row r="11571">
      <c r="A11571" s="3" t="inlineStr">
        <is>
          <t>4</t>
        </is>
      </c>
      <c r="B11571" s="3" t="inlineStr">
        <is>
          <t>Mandor</t>
        </is>
      </c>
      <c r="C11571" s="3" t="inlineStr">
        <is>
          <t>OH</t>
        </is>
      </c>
      <c r="D11571" s="15" t="n">
        <v>0.014</v>
      </c>
      <c r="E11571" s="4" t="n">
        <v>200000</v>
      </c>
      <c r="F11571" s="4" t="n">
        <v>2800</v>
      </c>
    </row>
    <row r="11572">
      <c r="A11572" s="3" t="inlineStr">
        <is>
          <t>aksesoris"</t>
        </is>
      </c>
      <c r="B11572" s="3" t="inlineStr"/>
      <c r="C11572" s="3" t="inlineStr">
        <is>
          <t>m'</t>
        </is>
      </c>
      <c r="D11572" s="15" t="n">
        <v>1.5</v>
      </c>
      <c r="E11572" s="4" t="n">
        <v>72700</v>
      </c>
      <c r="F11572" s="4" t="n">
        <v>109050</v>
      </c>
    </row>
    <row r="11573">
      <c r="A11573" s="3" t="inlineStr">
        <is>
          <t>2</t>
        </is>
      </c>
      <c r="B11573" s="3" t="inlineStr">
        <is>
          <t>Isolasi</t>
        </is>
      </c>
      <c r="C11573" s="3" t="inlineStr">
        <is>
          <t>m'</t>
        </is>
      </c>
      <c r="D11573" s="15" t="n">
        <v>1.2</v>
      </c>
      <c r="E11573" s="4" t="n">
        <v>416</v>
      </c>
      <c r="F11573" s="4" t="n">
        <v>499.2</v>
      </c>
    </row>
    <row r="11574">
      <c r="D11574" s="2" t="inlineStr">
        <is>
          <t>SUBTOTAL UPAH</t>
        </is>
      </c>
      <c r="F11574" s="16" t="n">
        <v>97450</v>
      </c>
    </row>
    <row r="11575">
      <c r="D11575" s="2" t="inlineStr">
        <is>
          <t>SUBTOTAL BAHAN</t>
        </is>
      </c>
      <c r="F11575" s="16" t="n">
        <v>109549.2</v>
      </c>
    </row>
    <row r="11576">
      <c r="D11576" s="2" t="inlineStr">
        <is>
          <t>SUBTOTAL ALAT</t>
        </is>
      </c>
      <c r="F11576" s="16" t="n">
        <v>0</v>
      </c>
    </row>
    <row r="11577">
      <c r="E11577" s="2" t="inlineStr">
        <is>
          <t>TOTAL HARGA SATUAN (Inc. Overhead)</t>
        </is>
      </c>
      <c r="F11577" s="17" t="n">
        <v>227699</v>
      </c>
    </row>
    <row r="11579">
      <c r="A11579" s="14" t="inlineStr">
        <is>
          <t>KODE: 5.5.4.20 - Pemasangan 1 m Pipa Tembaga B280 Dia. 1/4" + 3/8"</t>
        </is>
      </c>
    </row>
    <row r="11580">
      <c r="A11580" s="10" t="inlineStr">
        <is>
          <t>No</t>
        </is>
      </c>
      <c r="B11580" s="10" t="inlineStr">
        <is>
          <t>Uraian Komponen</t>
        </is>
      </c>
      <c r="C11580" s="10" t="inlineStr">
        <is>
          <t>Satuan</t>
        </is>
      </c>
      <c r="D11580" s="10" t="inlineStr">
        <is>
          <t>Koef</t>
        </is>
      </c>
      <c r="E11580" s="10" t="inlineStr">
        <is>
          <t>Harga Satuan (Rp)</t>
        </is>
      </c>
      <c r="F11580" s="10" t="inlineStr">
        <is>
          <t>Jumlah Harga (Rp)</t>
        </is>
      </c>
    </row>
    <row r="11581">
      <c r="A11581" s="3" t="inlineStr">
        <is>
          <t>1</t>
        </is>
      </c>
      <c r="B11581" s="3" t="inlineStr">
        <is>
          <t>Pekerja</t>
        </is>
      </c>
      <c r="C11581" s="3" t="inlineStr">
        <is>
          <t>OH</t>
        </is>
      </c>
      <c r="D11581" s="15" t="n">
        <v>0.057</v>
      </c>
      <c r="E11581" s="4" t="n">
        <v>100000</v>
      </c>
      <c r="F11581" s="4" t="n">
        <v>5700</v>
      </c>
    </row>
    <row r="11582">
      <c r="A11582" s="3" t="inlineStr">
        <is>
          <t>2</t>
        </is>
      </c>
      <c r="B11582" s="3" t="inlineStr">
        <is>
          <t>Tukang pipa</t>
        </is>
      </c>
      <c r="C11582" s="3" t="inlineStr">
        <is>
          <t>OH</t>
        </is>
      </c>
      <c r="D11582" s="15" t="n">
        <v>0.095</v>
      </c>
      <c r="E11582" s="4" t="n">
        <v>145000</v>
      </c>
      <c r="F11582" s="4" t="n">
        <v>13775</v>
      </c>
    </row>
    <row r="11583">
      <c r="A11583" s="3" t="inlineStr">
        <is>
          <t>3</t>
        </is>
      </c>
      <c r="B11583" s="3" t="inlineStr">
        <is>
          <t>Kepala tukang</t>
        </is>
      </c>
      <c r="C11583" s="3" t="inlineStr">
        <is>
          <t>OH</t>
        </is>
      </c>
      <c r="D11583" s="15" t="n">
        <v>0.01</v>
      </c>
      <c r="E11583" s="4" t="n">
        <v>175000</v>
      </c>
      <c r="F11583" s="4" t="n">
        <v>1750</v>
      </c>
    </row>
    <row r="11584">
      <c r="A11584" s="3" t="inlineStr">
        <is>
          <t>4</t>
        </is>
      </c>
      <c r="B11584" s="3" t="inlineStr">
        <is>
          <t>Mandor</t>
        </is>
      </c>
      <c r="C11584" s="3" t="inlineStr">
        <is>
          <t>OH</t>
        </is>
      </c>
      <c r="D11584" s="15" t="n">
        <v>0.003</v>
      </c>
      <c r="E11584" s="4" t="n">
        <v>200000</v>
      </c>
      <c r="F11584" s="4" t="n">
        <v>600</v>
      </c>
    </row>
    <row r="11585">
      <c r="A11585" s="3" t="inlineStr">
        <is>
          <t>1</t>
        </is>
      </c>
      <c r="B11585" s="3" t="inlineStr">
        <is>
          <t>"Pipa Tembaga B280 Dia. 1/4"" + 3/8"""</t>
        </is>
      </c>
      <c r="C11585" s="3" t="inlineStr">
        <is>
          <t>m'</t>
        </is>
      </c>
      <c r="D11585" s="15" t="n">
        <v>1.5</v>
      </c>
      <c r="E11585" s="4" t="n">
        <v>70000</v>
      </c>
      <c r="F11585" s="4" t="n">
        <v>105000</v>
      </c>
    </row>
    <row r="11586">
      <c r="A11586" s="3" t="inlineStr">
        <is>
          <t>2</t>
        </is>
      </c>
      <c r="B11586" s="3" t="inlineStr">
        <is>
          <t>Duct Tape</t>
        </is>
      </c>
      <c r="C11586" s="3" t="inlineStr">
        <is>
          <t>Gulung</t>
        </is>
      </c>
      <c r="D11586" s="15" t="n">
        <v>0.5</v>
      </c>
      <c r="E11586" s="4" t="n">
        <v>9050</v>
      </c>
      <c r="F11586" s="4" t="n">
        <v>52500</v>
      </c>
    </row>
    <row r="11587">
      <c r="D11587" s="2" t="inlineStr">
        <is>
          <t>SUBTOTAL UPAH</t>
        </is>
      </c>
      <c r="F11587" s="16" t="n">
        <v>21825</v>
      </c>
    </row>
    <row r="11588">
      <c r="D11588" s="2" t="inlineStr">
        <is>
          <t>SUBTOTAL BAHAN</t>
        </is>
      </c>
      <c r="F11588" s="16" t="n">
        <v>157500</v>
      </c>
    </row>
    <row r="11589">
      <c r="D11589" s="2" t="inlineStr">
        <is>
          <t>SUBTOTAL ALAT</t>
        </is>
      </c>
      <c r="F11589" s="16" t="n">
        <v>0</v>
      </c>
    </row>
    <row r="11590">
      <c r="E11590" s="2" t="inlineStr">
        <is>
          <t>TOTAL HARGA SATUAN (Inc. Overhead)</t>
        </is>
      </c>
      <c r="F11590" s="17" t="n">
        <v>197257</v>
      </c>
    </row>
    <row r="11592">
      <c r="A11592" s="14" t="inlineStr">
        <is>
          <t>KODE: 5.5.4.21 - Pemasangan 1 m Pipa Tembaga B280 Dia. 1/4" + 1/2"</t>
        </is>
      </c>
    </row>
    <row r="11593">
      <c r="A11593" s="10" t="inlineStr">
        <is>
          <t>No</t>
        </is>
      </c>
      <c r="B11593" s="10" t="inlineStr">
        <is>
          <t>Uraian Komponen</t>
        </is>
      </c>
      <c r="C11593" s="10" t="inlineStr">
        <is>
          <t>Satuan</t>
        </is>
      </c>
      <c r="D11593" s="10" t="inlineStr">
        <is>
          <t>Koef</t>
        </is>
      </c>
      <c r="E11593" s="10" t="inlineStr">
        <is>
          <t>Harga Satuan (Rp)</t>
        </is>
      </c>
      <c r="F11593" s="10" t="inlineStr">
        <is>
          <t>Jumlah Harga (Rp)</t>
        </is>
      </c>
    </row>
    <row r="11594">
      <c r="A11594" s="3" t="inlineStr">
        <is>
          <t>1</t>
        </is>
      </c>
      <c r="B11594" s="3" t="inlineStr">
        <is>
          <t>Pekerja</t>
        </is>
      </c>
      <c r="C11594" s="3" t="inlineStr">
        <is>
          <t>OH</t>
        </is>
      </c>
      <c r="D11594" s="15" t="n">
        <v>0.067</v>
      </c>
      <c r="E11594" s="4" t="n">
        <v>100000</v>
      </c>
      <c r="F11594" s="4" t="n">
        <v>6700</v>
      </c>
    </row>
    <row r="11595">
      <c r="A11595" s="3" t="inlineStr">
        <is>
          <t>2</t>
        </is>
      </c>
      <c r="B11595" s="3" t="inlineStr">
        <is>
          <t>Tukang pipa</t>
        </is>
      </c>
      <c r="C11595" s="3" t="inlineStr">
        <is>
          <t>OH</t>
        </is>
      </c>
      <c r="D11595" s="15" t="n">
        <v>0.111</v>
      </c>
      <c r="E11595" s="4" t="n">
        <v>145000</v>
      </c>
      <c r="F11595" s="4" t="n">
        <v>16095</v>
      </c>
    </row>
    <row r="11596">
      <c r="A11596" s="3" t="inlineStr">
        <is>
          <t>3</t>
        </is>
      </c>
      <c r="B11596" s="3" t="inlineStr">
        <is>
          <t>Kepala tukang</t>
        </is>
      </c>
      <c r="C11596" s="3" t="inlineStr">
        <is>
          <t>OH</t>
        </is>
      </c>
      <c r="D11596" s="15" t="n">
        <v>0.011</v>
      </c>
      <c r="E11596" s="4" t="n">
        <v>175000</v>
      </c>
      <c r="F11596" s="4" t="n">
        <v>1925</v>
      </c>
    </row>
    <row r="11597">
      <c r="A11597" s="3" t="inlineStr">
        <is>
          <t>4</t>
        </is>
      </c>
      <c r="B11597" s="3" t="inlineStr">
        <is>
          <t>Mandor</t>
        </is>
      </c>
      <c r="C11597" s="3" t="inlineStr">
        <is>
          <t>OH</t>
        </is>
      </c>
      <c r="D11597" s="15" t="n">
        <v>0.004</v>
      </c>
      <c r="E11597" s="4" t="n">
        <v>200000</v>
      </c>
      <c r="F11597" s="4" t="n">
        <v>800</v>
      </c>
    </row>
    <row r="11598">
      <c r="A11598" s="3" t="inlineStr">
        <is>
          <t>1</t>
        </is>
      </c>
      <c r="B11598" s="3" t="inlineStr">
        <is>
          <t>"Pipa Tembaga B280 Dia. 1/4"" + 1/2"""</t>
        </is>
      </c>
      <c r="C11598" s="3" t="inlineStr">
        <is>
          <t>m'</t>
        </is>
      </c>
      <c r="D11598" s="15" t="n">
        <v>1.5</v>
      </c>
      <c r="E11598" s="4" t="n">
        <v>90000</v>
      </c>
      <c r="F11598" s="4" t="n">
        <v>135000</v>
      </c>
    </row>
    <row r="11599">
      <c r="A11599" s="3" t="inlineStr">
        <is>
          <t>2</t>
        </is>
      </c>
      <c r="B11599" s="3" t="inlineStr">
        <is>
          <t>Duct Tape</t>
        </is>
      </c>
      <c r="C11599" s="3" t="inlineStr">
        <is>
          <t>Gulung</t>
        </is>
      </c>
      <c r="D11599" s="15" t="n">
        <v>0.5</v>
      </c>
      <c r="E11599" s="4" t="n">
        <v>9050</v>
      </c>
      <c r="F11599" s="4" t="n">
        <v>67500</v>
      </c>
    </row>
    <row r="11600">
      <c r="D11600" s="2" t="inlineStr">
        <is>
          <t>SUBTOTAL UPAH</t>
        </is>
      </c>
      <c r="F11600" s="16" t="n">
        <v>25520</v>
      </c>
    </row>
    <row r="11601">
      <c r="D11601" s="2" t="inlineStr">
        <is>
          <t>SUBTOTAL BAHAN</t>
        </is>
      </c>
      <c r="F11601" s="16" t="n">
        <v>202500</v>
      </c>
    </row>
    <row r="11602">
      <c r="D11602" s="2" t="inlineStr">
        <is>
          <t>SUBTOTAL ALAT</t>
        </is>
      </c>
      <c r="F11602" s="16" t="n">
        <v>0</v>
      </c>
    </row>
    <row r="11603">
      <c r="E11603" s="2" t="inlineStr">
        <is>
          <t>TOTAL HARGA SATUAN (Inc. Overhead)</t>
        </is>
      </c>
      <c r="F11603" s="17" t="n">
        <v>250822</v>
      </c>
    </row>
    <row r="11605">
      <c r="A11605" s="14" t="inlineStr">
        <is>
          <t>KODE: 5.5.4.22 - Pemasangan 1 m Pipa Tembaga B280 Dia. 1/4" + 5/8"</t>
        </is>
      </c>
    </row>
    <row r="11606">
      <c r="A11606" s="10" t="inlineStr">
        <is>
          <t>No</t>
        </is>
      </c>
      <c r="B11606" s="10" t="inlineStr">
        <is>
          <t>Uraian Komponen</t>
        </is>
      </c>
      <c r="C11606" s="10" t="inlineStr">
        <is>
          <t>Satuan</t>
        </is>
      </c>
      <c r="D11606" s="10" t="inlineStr">
        <is>
          <t>Koef</t>
        </is>
      </c>
      <c r="E11606" s="10" t="inlineStr">
        <is>
          <t>Harga Satuan (Rp)</t>
        </is>
      </c>
      <c r="F11606" s="10" t="inlineStr">
        <is>
          <t>Jumlah Harga (Rp)</t>
        </is>
      </c>
    </row>
    <row r="11607">
      <c r="A11607" s="3" t="inlineStr">
        <is>
          <t>1</t>
        </is>
      </c>
      <c r="B11607" s="3" t="inlineStr">
        <is>
          <t>Pekerja</t>
        </is>
      </c>
      <c r="C11607" s="3" t="inlineStr">
        <is>
          <t>OH</t>
        </is>
      </c>
      <c r="D11607" s="15" t="n">
        <v>0.081</v>
      </c>
      <c r="E11607" s="4" t="n">
        <v>100000</v>
      </c>
      <c r="F11607" s="4" t="n">
        <v>8100</v>
      </c>
    </row>
    <row r="11608">
      <c r="A11608" s="3" t="inlineStr">
        <is>
          <t>2</t>
        </is>
      </c>
      <c r="B11608" s="3" t="inlineStr">
        <is>
          <t>Tukang pipa</t>
        </is>
      </c>
      <c r="C11608" s="3" t="inlineStr">
        <is>
          <t>OH</t>
        </is>
      </c>
      <c r="D11608" s="15" t="n">
        <v>0.135</v>
      </c>
      <c r="E11608" s="4" t="n">
        <v>145000</v>
      </c>
      <c r="F11608" s="4" t="n">
        <v>19575</v>
      </c>
    </row>
    <row r="11609">
      <c r="A11609" s="3" t="inlineStr">
        <is>
          <t>3</t>
        </is>
      </c>
      <c r="B11609" s="3" t="inlineStr">
        <is>
          <t>Kepala tukang</t>
        </is>
      </c>
      <c r="C11609" s="3" t="inlineStr">
        <is>
          <t>OH</t>
        </is>
      </c>
      <c r="D11609" s="15" t="n">
        <v>0.014</v>
      </c>
      <c r="E11609" s="4" t="n">
        <v>175000</v>
      </c>
      <c r="F11609" s="4" t="n">
        <v>2450</v>
      </c>
    </row>
    <row r="11610">
      <c r="A11610" s="3" t="inlineStr">
        <is>
          <t>4</t>
        </is>
      </c>
      <c r="B11610" s="3" t="inlineStr">
        <is>
          <t>Mandor</t>
        </is>
      </c>
      <c r="C11610" s="3" t="inlineStr">
        <is>
          <t>OH</t>
        </is>
      </c>
      <c r="D11610" s="15" t="n">
        <v>0.005</v>
      </c>
      <c r="E11610" s="4" t="n">
        <v>200000</v>
      </c>
      <c r="F11610" s="4" t="n">
        <v>1000</v>
      </c>
    </row>
    <row r="11611">
      <c r="A11611" s="3" t="inlineStr">
        <is>
          <t>1</t>
        </is>
      </c>
      <c r="B11611" s="3" t="inlineStr">
        <is>
          <t>"Pipa Tembaga B280 Dia. 1/4"" + 5/8"""</t>
        </is>
      </c>
      <c r="C11611" s="3" t="inlineStr">
        <is>
          <t>m'</t>
        </is>
      </c>
      <c r="D11611" s="15" t="n">
        <v>1.5</v>
      </c>
      <c r="E11611" s="4" t="n">
        <v>130000</v>
      </c>
      <c r="F11611" s="4" t="n">
        <v>195000</v>
      </c>
    </row>
    <row r="11612">
      <c r="A11612" s="3" t="inlineStr">
        <is>
          <t>2</t>
        </is>
      </c>
      <c r="B11612" s="3" t="inlineStr">
        <is>
          <t>Duct Tape</t>
        </is>
      </c>
      <c r="C11612" s="3" t="inlineStr">
        <is>
          <t>Gulung</t>
        </is>
      </c>
      <c r="D11612" s="15" t="n">
        <v>0.5</v>
      </c>
      <c r="E11612" s="4" t="n">
        <v>9050</v>
      </c>
      <c r="F11612" s="4" t="n">
        <v>97500</v>
      </c>
    </row>
    <row r="11613">
      <c r="D11613" s="2" t="inlineStr">
        <is>
          <t>SUBTOTAL UPAH</t>
        </is>
      </c>
      <c r="F11613" s="16" t="n">
        <v>31125</v>
      </c>
    </row>
    <row r="11614">
      <c r="D11614" s="2" t="inlineStr">
        <is>
          <t>SUBTOTAL BAHAN</t>
        </is>
      </c>
      <c r="F11614" s="16" t="n">
        <v>292500</v>
      </c>
    </row>
    <row r="11615">
      <c r="D11615" s="2" t="inlineStr">
        <is>
          <t>SUBTOTAL ALAT</t>
        </is>
      </c>
      <c r="F11615" s="16" t="n">
        <v>0</v>
      </c>
    </row>
    <row r="11616">
      <c r="E11616" s="2" t="inlineStr">
        <is>
          <t>TOTAL HARGA SATUAN (Inc. Overhead)</t>
        </is>
      </c>
      <c r="F11616" s="17" t="n">
        <v>355987</v>
      </c>
    </row>
    <row r="11618">
      <c r="A11618" s="14" t="inlineStr">
        <is>
          <t>KODE: 5.5.5.1 - Pemasangan 1 Unit Box Diffuser 250 x 250 mm</t>
        </is>
      </c>
    </row>
    <row r="11619">
      <c r="A11619" s="10" t="inlineStr">
        <is>
          <t>No</t>
        </is>
      </c>
      <c r="B11619" s="10" t="inlineStr">
        <is>
          <t>Uraian Komponen</t>
        </is>
      </c>
      <c r="C11619" s="10" t="inlineStr">
        <is>
          <t>Satuan</t>
        </is>
      </c>
      <c r="D11619" s="10" t="inlineStr">
        <is>
          <t>Koef</t>
        </is>
      </c>
      <c r="E11619" s="10" t="inlineStr">
        <is>
          <t>Harga Satuan (Rp)</t>
        </is>
      </c>
      <c r="F11619" s="10" t="inlineStr">
        <is>
          <t>Jumlah Harga (Rp)</t>
        </is>
      </c>
    </row>
    <row r="11620">
      <c r="A11620" s="3" t="inlineStr">
        <is>
          <t>1</t>
        </is>
      </c>
      <c r="B11620" s="3" t="inlineStr">
        <is>
          <t>Pekerja</t>
        </is>
      </c>
      <c r="C11620" s="3" t="inlineStr">
        <is>
          <t>OH</t>
        </is>
      </c>
      <c r="D11620" s="15" t="n">
        <v>0.09</v>
      </c>
      <c r="E11620" s="4" t="n">
        <v>100000</v>
      </c>
      <c r="F11620" s="4" t="n">
        <v>9000</v>
      </c>
    </row>
    <row r="11621">
      <c r="A11621" s="3" t="inlineStr">
        <is>
          <t>2</t>
        </is>
      </c>
      <c r="B11621" s="3" t="inlineStr">
        <is>
          <t>Tukang pipa</t>
        </is>
      </c>
      <c r="C11621" s="3" t="inlineStr">
        <is>
          <t>OH</t>
        </is>
      </c>
      <c r="D11621" s="15" t="n">
        <v>0.151</v>
      </c>
      <c r="E11621" s="4" t="n">
        <v>145000</v>
      </c>
      <c r="F11621" s="4" t="n">
        <v>21895</v>
      </c>
    </row>
    <row r="11622">
      <c r="A11622" s="3" t="inlineStr">
        <is>
          <t>3</t>
        </is>
      </c>
      <c r="B11622" s="3" t="inlineStr">
        <is>
          <t>Kepala tukang</t>
        </is>
      </c>
      <c r="C11622" s="3" t="inlineStr">
        <is>
          <t>OH</t>
        </is>
      </c>
      <c r="D11622" s="15" t="n">
        <v>0.015</v>
      </c>
      <c r="E11622" s="4" t="n">
        <v>175000</v>
      </c>
      <c r="F11622" s="4" t="n">
        <v>2625</v>
      </c>
    </row>
    <row r="11623">
      <c r="A11623" s="3" t="inlineStr">
        <is>
          <t>4</t>
        </is>
      </c>
      <c r="B11623" s="3" t="inlineStr">
        <is>
          <t>Mandor</t>
        </is>
      </c>
      <c r="C11623" s="3" t="inlineStr">
        <is>
          <t>OH</t>
        </is>
      </c>
      <c r="D11623" s="15" t="n">
        <v>0.005</v>
      </c>
      <c r="E11623" s="4" t="n">
        <v>200000</v>
      </c>
      <c r="F11623" s="4" t="n">
        <v>1000</v>
      </c>
    </row>
    <row r="11624">
      <c r="A11624" s="3" t="inlineStr">
        <is>
          <t>1</t>
        </is>
      </c>
      <c r="B11624" s="3" t="inlineStr">
        <is>
          <t>Box Diffuser 250 x 250 mm</t>
        </is>
      </c>
      <c r="C11624" s="3" t="inlineStr">
        <is>
          <t>Unit</t>
        </is>
      </c>
      <c r="D11624" s="15" t="n">
        <v>1.1</v>
      </c>
      <c r="E11624" s="4" t="n">
        <v>350000</v>
      </c>
      <c r="F11624" s="4" t="n">
        <v>385000.0000000001</v>
      </c>
    </row>
    <row r="11625">
      <c r="D11625" s="2" t="inlineStr">
        <is>
          <t>SUBTOTAL UPAH</t>
        </is>
      </c>
      <c r="F11625" s="16" t="n">
        <v>34520</v>
      </c>
    </row>
    <row r="11626">
      <c r="D11626" s="2" t="inlineStr">
        <is>
          <t>SUBTOTAL BAHAN</t>
        </is>
      </c>
      <c r="F11626" s="16" t="n">
        <v>385000.0000000001</v>
      </c>
    </row>
    <row r="11627">
      <c r="D11627" s="2" t="inlineStr">
        <is>
          <t>SUBTOTAL ALAT</t>
        </is>
      </c>
      <c r="F11627" s="16" t="n">
        <v>0</v>
      </c>
    </row>
    <row r="11628">
      <c r="E11628" s="2" t="inlineStr">
        <is>
          <t>TOTAL HARGA SATUAN (Inc. Overhead)</t>
        </is>
      </c>
      <c r="F11628" s="17" t="n">
        <v>461472</v>
      </c>
    </row>
    <row r="11630">
      <c r="A11630" s="14" t="inlineStr">
        <is>
          <t>KODE: 5.5.5.2 - Pemasangan 1 Unit Box Diffuser 350 x 350 mm</t>
        </is>
      </c>
    </row>
    <row r="11631">
      <c r="A11631" s="10" t="inlineStr">
        <is>
          <t>No</t>
        </is>
      </c>
      <c r="B11631" s="10" t="inlineStr">
        <is>
          <t>Uraian Komponen</t>
        </is>
      </c>
      <c r="C11631" s="10" t="inlineStr">
        <is>
          <t>Satuan</t>
        </is>
      </c>
      <c r="D11631" s="10" t="inlineStr">
        <is>
          <t>Koef</t>
        </is>
      </c>
      <c r="E11631" s="10" t="inlineStr">
        <is>
          <t>Harga Satuan (Rp)</t>
        </is>
      </c>
      <c r="F11631" s="10" t="inlineStr">
        <is>
          <t>Jumlah Harga (Rp)</t>
        </is>
      </c>
    </row>
    <row r="11632">
      <c r="A11632" s="3" t="inlineStr">
        <is>
          <t>1</t>
        </is>
      </c>
      <c r="B11632" s="3" t="inlineStr">
        <is>
          <t>Pekerja</t>
        </is>
      </c>
      <c r="C11632" s="3" t="inlineStr">
        <is>
          <t>OH</t>
        </is>
      </c>
      <c r="D11632" s="15" t="n">
        <v>0.09</v>
      </c>
      <c r="E11632" s="4" t="n">
        <v>100000</v>
      </c>
      <c r="F11632" s="4" t="n">
        <v>9000</v>
      </c>
    </row>
    <row r="11633">
      <c r="A11633" s="3" t="inlineStr">
        <is>
          <t>2</t>
        </is>
      </c>
      <c r="B11633" s="3" t="inlineStr">
        <is>
          <t>Tukang pipa</t>
        </is>
      </c>
      <c r="C11633" s="3" t="inlineStr">
        <is>
          <t>OH</t>
        </is>
      </c>
      <c r="D11633" s="15" t="n">
        <v>0.151</v>
      </c>
      <c r="E11633" s="4" t="n">
        <v>145000</v>
      </c>
      <c r="F11633" s="4" t="n">
        <v>21895</v>
      </c>
    </row>
    <row r="11634">
      <c r="A11634" s="3" t="inlineStr">
        <is>
          <t>3</t>
        </is>
      </c>
      <c r="B11634" s="3" t="inlineStr">
        <is>
          <t>Kepala tukang</t>
        </is>
      </c>
      <c r="C11634" s="3" t="inlineStr">
        <is>
          <t>OH</t>
        </is>
      </c>
      <c r="D11634" s="15" t="n">
        <v>0.015</v>
      </c>
      <c r="E11634" s="4" t="n">
        <v>175000</v>
      </c>
      <c r="F11634" s="4" t="n">
        <v>2625</v>
      </c>
    </row>
    <row r="11635">
      <c r="A11635" s="3" t="inlineStr">
        <is>
          <t>4</t>
        </is>
      </c>
      <c r="B11635" s="3" t="inlineStr">
        <is>
          <t>Mandor</t>
        </is>
      </c>
      <c r="C11635" s="3" t="inlineStr">
        <is>
          <t>OH</t>
        </is>
      </c>
      <c r="D11635" s="15" t="n">
        <v>0.005</v>
      </c>
      <c r="E11635" s="4" t="n">
        <v>200000</v>
      </c>
      <c r="F11635" s="4" t="n">
        <v>1000</v>
      </c>
    </row>
    <row r="11636">
      <c r="A11636" s="3" t="inlineStr">
        <is>
          <t>1</t>
        </is>
      </c>
      <c r="B11636" s="3" t="inlineStr">
        <is>
          <t>Box Diffuser 350 x 350 mm</t>
        </is>
      </c>
      <c r="C11636" s="3" t="inlineStr">
        <is>
          <t>Unit</t>
        </is>
      </c>
      <c r="D11636" s="15" t="n">
        <v>1.1</v>
      </c>
      <c r="E11636" s="4" t="n">
        <v>450000</v>
      </c>
      <c r="F11636" s="4" t="n">
        <v>495000.0000000001</v>
      </c>
    </row>
    <row r="11637">
      <c r="D11637" s="2" t="inlineStr">
        <is>
          <t>SUBTOTAL UPAH</t>
        </is>
      </c>
      <c r="F11637" s="16" t="n">
        <v>34520</v>
      </c>
    </row>
    <row r="11638">
      <c r="D11638" s="2" t="inlineStr">
        <is>
          <t>SUBTOTAL BAHAN</t>
        </is>
      </c>
      <c r="F11638" s="16" t="n">
        <v>495000.0000000001</v>
      </c>
    </row>
    <row r="11639">
      <c r="D11639" s="2" t="inlineStr">
        <is>
          <t>SUBTOTAL ALAT</t>
        </is>
      </c>
      <c r="F11639" s="16" t="n">
        <v>0</v>
      </c>
    </row>
    <row r="11640">
      <c r="E11640" s="2" t="inlineStr">
        <is>
          <t>TOTAL HARGA SATUAN (Inc. Overhead)</t>
        </is>
      </c>
      <c r="F11640" s="17" t="n">
        <v>582472</v>
      </c>
    </row>
    <row r="11642">
      <c r="A11642" s="14" t="inlineStr">
        <is>
          <t>KODE: 5.6.1.1 - Pemasanga 1 Unit PRV Set Dia. 50 mm</t>
        </is>
      </c>
    </row>
    <row r="11643">
      <c r="A11643" s="10" t="inlineStr">
        <is>
          <t>No</t>
        </is>
      </c>
      <c r="B11643" s="10" t="inlineStr">
        <is>
          <t>Uraian Komponen</t>
        </is>
      </c>
      <c r="C11643" s="10" t="inlineStr">
        <is>
          <t>Satuan</t>
        </is>
      </c>
      <c r="D11643" s="10" t="inlineStr">
        <is>
          <t>Koef</t>
        </is>
      </c>
      <c r="E11643" s="10" t="inlineStr">
        <is>
          <t>Harga Satuan (Rp)</t>
        </is>
      </c>
      <c r="F11643" s="10" t="inlineStr">
        <is>
          <t>Jumlah Harga (Rp)</t>
        </is>
      </c>
    </row>
    <row r="11644">
      <c r="A11644" s="3" t="inlineStr">
        <is>
          <t>1</t>
        </is>
      </c>
      <c r="B11644" s="3" t="inlineStr">
        <is>
          <t>Pekerja</t>
        </is>
      </c>
      <c r="C11644" s="3" t="inlineStr">
        <is>
          <t>OH</t>
        </is>
      </c>
      <c r="D11644" s="15" t="n">
        <v>0.512</v>
      </c>
      <c r="E11644" s="4" t="n">
        <v>100000</v>
      </c>
      <c r="F11644" s="4" t="n">
        <v>51200</v>
      </c>
    </row>
    <row r="11645">
      <c r="A11645" s="3" t="inlineStr">
        <is>
          <t>2</t>
        </is>
      </c>
      <c r="B11645" s="3" t="inlineStr">
        <is>
          <t>Tukang pipa</t>
        </is>
      </c>
      <c r="C11645" s="3" t="inlineStr">
        <is>
          <t>OH</t>
        </is>
      </c>
      <c r="D11645" s="15" t="n">
        <v>0.855</v>
      </c>
      <c r="E11645" s="4" t="n">
        <v>145000</v>
      </c>
      <c r="F11645" s="4" t="n">
        <v>123975</v>
      </c>
    </row>
    <row r="11646">
      <c r="A11646" s="3" t="inlineStr">
        <is>
          <t>3</t>
        </is>
      </c>
      <c r="B11646" s="3" t="inlineStr">
        <is>
          <t>Kepala tukang</t>
        </is>
      </c>
      <c r="C11646" s="3" t="inlineStr">
        <is>
          <t>OH</t>
        </is>
      </c>
      <c r="D11646" s="15" t="n">
        <v>0.08500000000000001</v>
      </c>
      <c r="E11646" s="4" t="n">
        <v>175000</v>
      </c>
      <c r="F11646" s="4" t="n">
        <v>14875</v>
      </c>
    </row>
    <row r="11647">
      <c r="A11647" s="3" t="inlineStr">
        <is>
          <t>4</t>
        </is>
      </c>
      <c r="B11647" s="3" t="inlineStr">
        <is>
          <t>Mandor</t>
        </is>
      </c>
      <c r="C11647" s="3" t="inlineStr">
        <is>
          <t>OH</t>
        </is>
      </c>
      <c r="D11647" s="15" t="n">
        <v>0.028</v>
      </c>
      <c r="E11647" s="4" t="n">
        <v>200000</v>
      </c>
      <c r="F11647" s="4" t="n">
        <v>5600</v>
      </c>
    </row>
    <row r="11648">
      <c r="A11648" s="3" t="inlineStr">
        <is>
          <t>1</t>
        </is>
      </c>
      <c r="B11648" s="3" t="inlineStr">
        <is>
          <t>PRV SET dia. 50 mm dan aksesoris</t>
        </is>
      </c>
      <c r="C11648" s="3" t="inlineStr">
        <is>
          <t>unit</t>
        </is>
      </c>
      <c r="D11648" s="15" t="n">
        <v>1.15</v>
      </c>
      <c r="E11648" s="4" t="n">
        <v>6131000</v>
      </c>
      <c r="F11648" s="4" t="n">
        <v>7050649.999999999</v>
      </c>
    </row>
    <row r="11649">
      <c r="D11649" s="2" t="inlineStr">
        <is>
          <t>SUBTOTAL UPAH</t>
        </is>
      </c>
      <c r="F11649" s="16" t="n">
        <v>195650</v>
      </c>
    </row>
    <row r="11650">
      <c r="D11650" s="2" t="inlineStr">
        <is>
          <t>SUBTOTAL BAHAN</t>
        </is>
      </c>
      <c r="F11650" s="16" t="n">
        <v>7050649.999999999</v>
      </c>
    </row>
    <row r="11651">
      <c r="D11651" s="2" t="inlineStr">
        <is>
          <t>SUBTOTAL ALAT</t>
        </is>
      </c>
      <c r="F11651" s="16" t="n">
        <v>0</v>
      </c>
    </row>
    <row r="11652">
      <c r="E11652" s="2" t="inlineStr">
        <is>
          <t>TOTAL HARGA SATUAN (Inc. Overhead)</t>
        </is>
      </c>
      <c r="F11652" s="17" t="n">
        <v>7970930</v>
      </c>
    </row>
    <row r="11654">
      <c r="A11654" s="14" t="inlineStr">
        <is>
          <t>KODE: 5.6.1.2 - Pemasanga 1 Unit PRV Set Dia. 65 mm</t>
        </is>
      </c>
    </row>
    <row r="11655">
      <c r="A11655" s="10" t="inlineStr">
        <is>
          <t>No</t>
        </is>
      </c>
      <c r="B11655" s="10" t="inlineStr">
        <is>
          <t>Uraian Komponen</t>
        </is>
      </c>
      <c r="C11655" s="10" t="inlineStr">
        <is>
          <t>Satuan</t>
        </is>
      </c>
      <c r="D11655" s="10" t="inlineStr">
        <is>
          <t>Koef</t>
        </is>
      </c>
      <c r="E11655" s="10" t="inlineStr">
        <is>
          <t>Harga Satuan (Rp)</t>
        </is>
      </c>
      <c r="F11655" s="10" t="inlineStr">
        <is>
          <t>Jumlah Harga (Rp)</t>
        </is>
      </c>
    </row>
    <row r="11656">
      <c r="A11656" s="3" t="inlineStr">
        <is>
          <t>1</t>
        </is>
      </c>
      <c r="B11656" s="3" t="inlineStr">
        <is>
          <t>Pekerja</t>
        </is>
      </c>
      <c r="C11656" s="3" t="inlineStr">
        <is>
          <t>OH</t>
        </is>
      </c>
      <c r="D11656" s="15" t="n">
        <v>0.636</v>
      </c>
      <c r="E11656" s="4" t="n">
        <v>100000</v>
      </c>
      <c r="F11656" s="4" t="n">
        <v>63600</v>
      </c>
    </row>
    <row r="11657">
      <c r="A11657" s="3" t="inlineStr">
        <is>
          <t>2</t>
        </is>
      </c>
      <c r="B11657" s="3" t="inlineStr">
        <is>
          <t>Tukang Pipa</t>
        </is>
      </c>
      <c r="C11657" s="3" t="inlineStr">
        <is>
          <t>OH</t>
        </is>
      </c>
      <c r="D11657" s="15" t="n">
        <v>1.062</v>
      </c>
      <c r="E11657" s="4" t="n">
        <v>145000</v>
      </c>
      <c r="F11657" s="4" t="n">
        <v>153990</v>
      </c>
    </row>
    <row r="11658">
      <c r="A11658" s="3" t="inlineStr">
        <is>
          <t>3</t>
        </is>
      </c>
      <c r="B11658" s="3" t="inlineStr">
        <is>
          <t>Kepala tukang</t>
        </is>
      </c>
      <c r="C11658" s="3" t="inlineStr">
        <is>
          <t>OH</t>
        </is>
      </c>
      <c r="D11658" s="15" t="n">
        <v>0.106</v>
      </c>
      <c r="E11658" s="4" t="n">
        <v>175000</v>
      </c>
      <c r="F11658" s="4" t="n">
        <v>18550</v>
      </c>
    </row>
    <row r="11659">
      <c r="A11659" s="3" t="inlineStr">
        <is>
          <t>4</t>
        </is>
      </c>
      <c r="B11659" s="3" t="inlineStr">
        <is>
          <t>Mandor</t>
        </is>
      </c>
      <c r="C11659" s="3" t="inlineStr">
        <is>
          <t>OH</t>
        </is>
      </c>
      <c r="D11659" s="15" t="n">
        <v>0.035</v>
      </c>
      <c r="E11659" s="4" t="n">
        <v>200000</v>
      </c>
      <c r="F11659" s="4" t="n">
        <v>7000.000000000001</v>
      </c>
    </row>
    <row r="11660">
      <c r="A11660" s="3" t="inlineStr">
        <is>
          <t>1</t>
        </is>
      </c>
      <c r="B11660" s="3" t="inlineStr">
        <is>
          <t>PRV SET dia. 65 mm dan aksesoris</t>
        </is>
      </c>
      <c r="C11660" s="3" t="inlineStr">
        <is>
          <t>unit</t>
        </is>
      </c>
      <c r="D11660" s="15" t="n">
        <v>1.15</v>
      </c>
      <c r="E11660" s="4" t="n">
        <v>8397000</v>
      </c>
      <c r="F11660" s="4" t="n">
        <v>9656550</v>
      </c>
    </row>
    <row r="11661">
      <c r="D11661" s="2" t="inlineStr">
        <is>
          <t>SUBTOTAL UPAH</t>
        </is>
      </c>
      <c r="F11661" s="16" t="n">
        <v>243140</v>
      </c>
    </row>
    <row r="11662">
      <c r="D11662" s="2" t="inlineStr">
        <is>
          <t>SUBTOTAL BAHAN</t>
        </is>
      </c>
      <c r="F11662" s="16" t="n">
        <v>9656550</v>
      </c>
    </row>
    <row r="11663">
      <c r="D11663" s="2" t="inlineStr">
        <is>
          <t>SUBTOTAL ALAT</t>
        </is>
      </c>
      <c r="F11663" s="16" t="n">
        <v>0</v>
      </c>
    </row>
    <row r="11664">
      <c r="E11664" s="2" t="inlineStr">
        <is>
          <t>TOTAL HARGA SATUAN (Inc. Overhead)</t>
        </is>
      </c>
      <c r="F11664" s="17" t="n">
        <v>10889659</v>
      </c>
    </row>
    <row r="11666">
      <c r="A11666" s="14" t="inlineStr">
        <is>
          <t>KODE: 5.6.1.3 - Pemasanga 1 Unit PRV Set Dia. 80 mm</t>
        </is>
      </c>
    </row>
    <row r="11667">
      <c r="A11667" s="10" t="inlineStr">
        <is>
          <t>No</t>
        </is>
      </c>
      <c r="B11667" s="10" t="inlineStr">
        <is>
          <t>Uraian Komponen</t>
        </is>
      </c>
      <c r="C11667" s="10" t="inlineStr">
        <is>
          <t>Satuan</t>
        </is>
      </c>
      <c r="D11667" s="10" t="inlineStr">
        <is>
          <t>Koef</t>
        </is>
      </c>
      <c r="E11667" s="10" t="inlineStr">
        <is>
          <t>Harga Satuan (Rp)</t>
        </is>
      </c>
      <c r="F11667" s="10" t="inlineStr">
        <is>
          <t>Jumlah Harga (Rp)</t>
        </is>
      </c>
    </row>
    <row r="11668">
      <c r="A11668" s="3" t="inlineStr">
        <is>
          <t>1</t>
        </is>
      </c>
      <c r="B11668" s="3" t="inlineStr">
        <is>
          <t>Pekerja</t>
        </is>
      </c>
      <c r="C11668" s="3" t="inlineStr">
        <is>
          <t>OH</t>
        </is>
      </c>
      <c r="D11668" s="15" t="n">
        <v>0.636</v>
      </c>
      <c r="E11668" s="4" t="n">
        <v>100000</v>
      </c>
      <c r="F11668" s="4" t="n">
        <v>63600</v>
      </c>
    </row>
    <row r="11669">
      <c r="A11669" s="3" t="inlineStr">
        <is>
          <t>2</t>
        </is>
      </c>
      <c r="B11669" s="3" t="inlineStr">
        <is>
          <t>Tukang Pipa</t>
        </is>
      </c>
      <c r="C11669" s="3" t="inlineStr">
        <is>
          <t>OH</t>
        </is>
      </c>
      <c r="D11669" s="15" t="n">
        <v>1.062</v>
      </c>
      <c r="E11669" s="4" t="n">
        <v>145000</v>
      </c>
      <c r="F11669" s="4" t="n">
        <v>153990</v>
      </c>
    </row>
    <row r="11670">
      <c r="A11670" s="3" t="inlineStr">
        <is>
          <t>3</t>
        </is>
      </c>
      <c r="B11670" s="3" t="inlineStr">
        <is>
          <t>Kepala tukang</t>
        </is>
      </c>
      <c r="C11670" s="3" t="inlineStr">
        <is>
          <t>OH</t>
        </is>
      </c>
      <c r="D11670" s="15" t="n">
        <v>0.106</v>
      </c>
      <c r="E11670" s="4" t="n">
        <v>175000</v>
      </c>
      <c r="F11670" s="4" t="n">
        <v>18550</v>
      </c>
    </row>
    <row r="11671">
      <c r="A11671" s="3" t="inlineStr">
        <is>
          <t>4</t>
        </is>
      </c>
      <c r="B11671" s="3" t="inlineStr">
        <is>
          <t>Mandor</t>
        </is>
      </c>
      <c r="C11671" s="3" t="inlineStr">
        <is>
          <t>OH</t>
        </is>
      </c>
      <c r="D11671" s="15" t="n">
        <v>0.035</v>
      </c>
      <c r="E11671" s="4" t="n">
        <v>200000</v>
      </c>
      <c r="F11671" s="4" t="n">
        <v>7000.000000000001</v>
      </c>
    </row>
    <row r="11672">
      <c r="A11672" s="3" t="inlineStr">
        <is>
          <t>1</t>
        </is>
      </c>
      <c r="B11672" s="3" t="inlineStr">
        <is>
          <t>PRV SET dia. 80 mm dan aksesoris</t>
        </is>
      </c>
      <c r="C11672" s="3" t="inlineStr">
        <is>
          <t>unit</t>
        </is>
      </c>
      <c r="D11672" s="15" t="n">
        <v>1.3</v>
      </c>
      <c r="E11672" s="4" t="n">
        <v>8550000</v>
      </c>
      <c r="F11672" s="4" t="n">
        <v>11115000</v>
      </c>
    </row>
    <row r="11673">
      <c r="D11673" s="2" t="inlineStr">
        <is>
          <t>SUBTOTAL UPAH</t>
        </is>
      </c>
      <c r="F11673" s="16" t="n">
        <v>243140</v>
      </c>
    </row>
    <row r="11674">
      <c r="D11674" s="2" t="inlineStr">
        <is>
          <t>SUBTOTAL BAHAN</t>
        </is>
      </c>
      <c r="F11674" s="16" t="n">
        <v>11115000</v>
      </c>
    </row>
    <row r="11675">
      <c r="D11675" s="2" t="inlineStr">
        <is>
          <t>SUBTOTAL ALAT</t>
        </is>
      </c>
      <c r="F11675" s="16" t="n">
        <v>0</v>
      </c>
    </row>
    <row r="11676">
      <c r="E11676" s="2" t="inlineStr">
        <is>
          <t>TOTAL HARGA SATUAN (Inc. Overhead)</t>
        </is>
      </c>
      <c r="F11676" s="17" t="n">
        <v>12493954</v>
      </c>
    </row>
    <row r="11678">
      <c r="A11678" s="14" t="inlineStr">
        <is>
          <t>KODE: 5.6.1.4 - Pemasanga 1 Unit PRV Set Dia. 100 mm</t>
        </is>
      </c>
    </row>
    <row r="11679">
      <c r="A11679" s="10" t="inlineStr">
        <is>
          <t>No</t>
        </is>
      </c>
      <c r="B11679" s="10" t="inlineStr">
        <is>
          <t>Uraian Komponen</t>
        </is>
      </c>
      <c r="C11679" s="10" t="inlineStr">
        <is>
          <t>Satuan</t>
        </is>
      </c>
      <c r="D11679" s="10" t="inlineStr">
        <is>
          <t>Koef</t>
        </is>
      </c>
      <c r="E11679" s="10" t="inlineStr">
        <is>
          <t>Harga Satuan (Rp)</t>
        </is>
      </c>
      <c r="F11679" s="10" t="inlineStr">
        <is>
          <t>Jumlah Harga (Rp)</t>
        </is>
      </c>
    </row>
    <row r="11680">
      <c r="A11680" s="3" t="inlineStr">
        <is>
          <t>1</t>
        </is>
      </c>
      <c r="B11680" s="3" t="inlineStr">
        <is>
          <t>Pekerja</t>
        </is>
      </c>
      <c r="C11680" s="3" t="inlineStr">
        <is>
          <t>OH</t>
        </is>
      </c>
      <c r="D11680" s="15" t="n">
        <v>1.012</v>
      </c>
      <c r="E11680" s="4" t="n">
        <v>100000</v>
      </c>
      <c r="F11680" s="4" t="n">
        <v>101200</v>
      </c>
    </row>
    <row r="11681">
      <c r="A11681" s="3" t="inlineStr">
        <is>
          <t>2</t>
        </is>
      </c>
      <c r="B11681" s="3" t="inlineStr">
        <is>
          <t>Tukang Pipa</t>
        </is>
      </c>
      <c r="C11681" s="3" t="inlineStr">
        <is>
          <t>OH</t>
        </is>
      </c>
      <c r="D11681" s="15" t="n">
        <v>1.69</v>
      </c>
      <c r="E11681" s="4" t="n">
        <v>145000</v>
      </c>
      <c r="F11681" s="4" t="n">
        <v>245050</v>
      </c>
    </row>
    <row r="11682">
      <c r="A11682" s="3" t="inlineStr">
        <is>
          <t>3</t>
        </is>
      </c>
      <c r="B11682" s="3" t="inlineStr">
        <is>
          <t>Kepala tukang</t>
        </is>
      </c>
      <c r="C11682" s="3" t="inlineStr">
        <is>
          <t>OH</t>
        </is>
      </c>
      <c r="D11682" s="15" t="n">
        <v>0.169</v>
      </c>
      <c r="E11682" s="4" t="n">
        <v>175000</v>
      </c>
      <c r="F11682" s="4" t="n">
        <v>29575</v>
      </c>
    </row>
    <row r="11683">
      <c r="A11683" s="3" t="inlineStr">
        <is>
          <t>4</t>
        </is>
      </c>
      <c r="B11683" s="3" t="inlineStr">
        <is>
          <t>Mandor</t>
        </is>
      </c>
      <c r="C11683" s="3" t="inlineStr">
        <is>
          <t>OH</t>
        </is>
      </c>
      <c r="D11683" s="15" t="n">
        <v>0.056</v>
      </c>
      <c r="E11683" s="4" t="n">
        <v>200000</v>
      </c>
      <c r="F11683" s="4" t="n">
        <v>11200</v>
      </c>
    </row>
    <row r="11684">
      <c r="A11684" s="3" t="inlineStr">
        <is>
          <t>1</t>
        </is>
      </c>
      <c r="B11684" s="3" t="inlineStr">
        <is>
          <t>PRV SET dia. 100 mm dan aksesoris</t>
        </is>
      </c>
      <c r="C11684" s="3" t="inlineStr">
        <is>
          <t>unit</t>
        </is>
      </c>
      <c r="D11684" s="15" t="n">
        <v>1.3</v>
      </c>
      <c r="E11684" s="4" t="n">
        <v>14250000</v>
      </c>
      <c r="F11684" s="4" t="n">
        <v>18525000</v>
      </c>
    </row>
    <row r="11685">
      <c r="D11685" s="2" t="inlineStr">
        <is>
          <t>SUBTOTAL UPAH</t>
        </is>
      </c>
      <c r="F11685" s="16" t="n">
        <v>387025</v>
      </c>
    </row>
    <row r="11686">
      <c r="D11686" s="2" t="inlineStr">
        <is>
          <t>SUBTOTAL BAHAN</t>
        </is>
      </c>
      <c r="F11686" s="16" t="n">
        <v>18525000</v>
      </c>
    </row>
    <row r="11687">
      <c r="D11687" s="2" t="inlineStr">
        <is>
          <t>SUBTOTAL ALAT</t>
        </is>
      </c>
      <c r="F11687" s="16" t="n">
        <v>0</v>
      </c>
    </row>
    <row r="11688">
      <c r="E11688" s="2" t="inlineStr">
        <is>
          <t>TOTAL HARGA SATUAN (Inc. Overhead)</t>
        </is>
      </c>
      <c r="F11688" s="17" t="n">
        <v>20803227</v>
      </c>
    </row>
    <row r="11690">
      <c r="A11690" s="14" t="inlineStr">
        <is>
          <t>KODE: 5.6.1.5 - Pemasangan 1 Unit PRV SET dia. 150 mm</t>
        </is>
      </c>
    </row>
    <row r="11691">
      <c r="A11691" s="10" t="inlineStr">
        <is>
          <t>No</t>
        </is>
      </c>
      <c r="B11691" s="10" t="inlineStr">
        <is>
          <t>Uraian Komponen</t>
        </is>
      </c>
      <c r="C11691" s="10" t="inlineStr">
        <is>
          <t>Satuan</t>
        </is>
      </c>
      <c r="D11691" s="10" t="inlineStr">
        <is>
          <t>Koef</t>
        </is>
      </c>
      <c r="E11691" s="10" t="inlineStr">
        <is>
          <t>Harga Satuan (Rp)</t>
        </is>
      </c>
      <c r="F11691" s="10" t="inlineStr">
        <is>
          <t>Jumlah Harga (Rp)</t>
        </is>
      </c>
    </row>
    <row r="11692">
      <c r="A11692" s="3" t="inlineStr">
        <is>
          <t>1</t>
        </is>
      </c>
      <c r="B11692" s="3" t="inlineStr">
        <is>
          <t>Pekerja</t>
        </is>
      </c>
      <c r="C11692" s="3" t="inlineStr">
        <is>
          <t>OH</t>
        </is>
      </c>
      <c r="D11692" s="15" t="n">
        <v>1.524</v>
      </c>
      <c r="E11692" s="4" t="n">
        <v>100000</v>
      </c>
      <c r="F11692" s="4" t="n">
        <v>152400</v>
      </c>
    </row>
    <row r="11693">
      <c r="A11693" s="3" t="inlineStr">
        <is>
          <t>2</t>
        </is>
      </c>
      <c r="B11693" s="3" t="inlineStr">
        <is>
          <t>Tukang Pipa</t>
        </is>
      </c>
      <c r="C11693" s="3" t="inlineStr">
        <is>
          <t>OH</t>
        </is>
      </c>
      <c r="D11693" s="15" t="n">
        <v>2.545</v>
      </c>
      <c r="E11693" s="4" t="n">
        <v>145000</v>
      </c>
      <c r="F11693" s="4" t="n">
        <v>369025</v>
      </c>
    </row>
    <row r="11694">
      <c r="A11694" s="3" t="inlineStr">
        <is>
          <t>3</t>
        </is>
      </c>
      <c r="B11694" s="3" t="inlineStr">
        <is>
          <t>Kepala tukang</t>
        </is>
      </c>
      <c r="C11694" s="3" t="inlineStr">
        <is>
          <t>OH</t>
        </is>
      </c>
      <c r="D11694" s="15" t="n">
        <v>0.254</v>
      </c>
      <c r="E11694" s="4" t="n">
        <v>175000</v>
      </c>
      <c r="F11694" s="4" t="n">
        <v>44450</v>
      </c>
    </row>
    <row r="11695">
      <c r="A11695" s="3" t="inlineStr">
        <is>
          <t>4</t>
        </is>
      </c>
      <c r="B11695" s="3" t="inlineStr">
        <is>
          <t>Mandor</t>
        </is>
      </c>
      <c r="C11695" s="3" t="inlineStr">
        <is>
          <t>OH</t>
        </is>
      </c>
      <c r="D11695" s="15" t="n">
        <v>0.08500000000000001</v>
      </c>
      <c r="E11695" s="4" t="n">
        <v>200000</v>
      </c>
      <c r="F11695" s="4" t="n">
        <v>17000</v>
      </c>
    </row>
    <row r="11696">
      <c r="A11696" s="3" t="inlineStr">
        <is>
          <t>1</t>
        </is>
      </c>
      <c r="B11696" s="3" t="inlineStr">
        <is>
          <t>PRV SET dia. 150 mm dan aksesoris</t>
        </is>
      </c>
      <c r="C11696" s="3" t="inlineStr">
        <is>
          <t>unit</t>
        </is>
      </c>
      <c r="D11696" s="15" t="n">
        <v>1.3</v>
      </c>
      <c r="E11696" s="4" t="n">
        <v>14500000</v>
      </c>
      <c r="F11696" s="4" t="n">
        <v>18850000</v>
      </c>
    </row>
    <row r="11697">
      <c r="D11697" s="2" t="inlineStr">
        <is>
          <t>SUBTOTAL UPAH</t>
        </is>
      </c>
      <c r="F11697" s="16" t="n">
        <v>582875</v>
      </c>
    </row>
    <row r="11698">
      <c r="D11698" s="2" t="inlineStr">
        <is>
          <t>SUBTOTAL BAHAN</t>
        </is>
      </c>
      <c r="F11698" s="16" t="n">
        <v>18850000</v>
      </c>
    </row>
    <row r="11699">
      <c r="D11699" s="2" t="inlineStr">
        <is>
          <t>SUBTOTAL ALAT</t>
        </is>
      </c>
      <c r="F11699" s="16" t="n">
        <v>0</v>
      </c>
    </row>
    <row r="11700">
      <c r="E11700" s="2" t="inlineStr">
        <is>
          <t>TOTAL HARGA SATUAN (Inc. Overhead)</t>
        </is>
      </c>
      <c r="F11700" s="17" t="n">
        <v>21376162</v>
      </c>
    </row>
    <row r="11702">
      <c r="A11702" s="14" t="inlineStr">
        <is>
          <t>KODE: 5.6.1.6 - Pemasangan 1 Unit PRV SET dia. 200 mm</t>
        </is>
      </c>
    </row>
    <row r="11703">
      <c r="A11703" s="10" t="inlineStr">
        <is>
          <t>No</t>
        </is>
      </c>
      <c r="B11703" s="10" t="inlineStr">
        <is>
          <t>Uraian Komponen</t>
        </is>
      </c>
      <c r="C11703" s="10" t="inlineStr">
        <is>
          <t>Satuan</t>
        </is>
      </c>
      <c r="D11703" s="10" t="inlineStr">
        <is>
          <t>Koef</t>
        </is>
      </c>
      <c r="E11703" s="10" t="inlineStr">
        <is>
          <t>Harga Satuan (Rp)</t>
        </is>
      </c>
      <c r="F11703" s="10" t="inlineStr">
        <is>
          <t>Jumlah Harga (Rp)</t>
        </is>
      </c>
    </row>
    <row r="11704">
      <c r="A11704" s="3" t="inlineStr">
        <is>
          <t>1</t>
        </is>
      </c>
      <c r="B11704" s="3" t="inlineStr">
        <is>
          <t>Pekerja</t>
        </is>
      </c>
      <c r="C11704" s="3" t="inlineStr">
        <is>
          <t>OH</t>
        </is>
      </c>
      <c r="D11704" s="15" t="n">
        <v>2.029</v>
      </c>
      <c r="E11704" s="4" t="n">
        <v>100000</v>
      </c>
      <c r="F11704" s="4" t="n">
        <v>202900</v>
      </c>
    </row>
    <row r="11705">
      <c r="A11705" s="3" t="inlineStr">
        <is>
          <t>2</t>
        </is>
      </c>
      <c r="B11705" s="3" t="inlineStr">
        <is>
          <t>Tukang Pipa</t>
        </is>
      </c>
      <c r="C11705" s="3" t="inlineStr">
        <is>
          <t>OH</t>
        </is>
      </c>
      <c r="D11705" s="15" t="n">
        <v>3.388</v>
      </c>
      <c r="E11705" s="4" t="n">
        <v>145000</v>
      </c>
      <c r="F11705" s="4" t="n">
        <v>491260</v>
      </c>
    </row>
    <row r="11706">
      <c r="A11706" s="3" t="inlineStr">
        <is>
          <t>3</t>
        </is>
      </c>
      <c r="B11706" s="3" t="inlineStr">
        <is>
          <t>Kepala tukang</t>
        </is>
      </c>
      <c r="C11706" s="3" t="inlineStr">
        <is>
          <t>OH</t>
        </is>
      </c>
      <c r="D11706" s="15" t="n">
        <v>0.339</v>
      </c>
      <c r="E11706" s="4" t="n">
        <v>175000</v>
      </c>
      <c r="F11706" s="4" t="n">
        <v>59325.00000000001</v>
      </c>
    </row>
    <row r="11707">
      <c r="A11707" s="3" t="inlineStr">
        <is>
          <t>4</t>
        </is>
      </c>
      <c r="B11707" s="3" t="inlineStr">
        <is>
          <t>Mandor</t>
        </is>
      </c>
      <c r="C11707" s="3" t="inlineStr">
        <is>
          <t>OH</t>
        </is>
      </c>
      <c r="D11707" s="15" t="n">
        <v>0.113</v>
      </c>
      <c r="E11707" s="4" t="n">
        <v>200000</v>
      </c>
      <c r="F11707" s="4" t="n">
        <v>22600</v>
      </c>
    </row>
    <row r="11708">
      <c r="A11708" s="3" t="inlineStr">
        <is>
          <t>1</t>
        </is>
      </c>
      <c r="B11708" s="3" t="inlineStr">
        <is>
          <t>PRV SET dia. 200 mm dan aksesoris</t>
        </is>
      </c>
      <c r="C11708" s="3" t="inlineStr">
        <is>
          <t>unit</t>
        </is>
      </c>
      <c r="D11708" s="15" t="n">
        <v>1.3</v>
      </c>
      <c r="E11708" s="4" t="n">
        <v>15500000</v>
      </c>
      <c r="F11708" s="4" t="n">
        <v>20150000</v>
      </c>
    </row>
    <row r="11709">
      <c r="D11709" s="2" t="inlineStr">
        <is>
          <t>SUBTOTAL UPAH</t>
        </is>
      </c>
      <c r="F11709" s="16" t="n">
        <v>776085</v>
      </c>
    </row>
    <row r="11710">
      <c r="D11710" s="2" t="inlineStr">
        <is>
          <t>SUBTOTAL BAHAN</t>
        </is>
      </c>
      <c r="F11710" s="16" t="n">
        <v>20150000</v>
      </c>
    </row>
    <row r="11711">
      <c r="D11711" s="2" t="inlineStr">
        <is>
          <t>SUBTOTAL ALAT</t>
        </is>
      </c>
      <c r="F11711" s="16" t="n">
        <v>0</v>
      </c>
    </row>
    <row r="11712">
      <c r="E11712" s="2" t="inlineStr">
        <is>
          <t>TOTAL HARGA SATUAN (Inc. Overhead)</t>
        </is>
      </c>
      <c r="F11712" s="17" t="n">
        <v>23018693</v>
      </c>
    </row>
    <row r="11714">
      <c r="A11714" s="14" t="inlineStr">
        <is>
          <t>KODE: 5.6.1.7 - Pemasangan 1 Unit MCV Set dia. 80 mm</t>
        </is>
      </c>
    </row>
    <row r="11715">
      <c r="A11715" s="10" t="inlineStr">
        <is>
          <t>No</t>
        </is>
      </c>
      <c r="B11715" s="10" t="inlineStr">
        <is>
          <t>Uraian Komponen</t>
        </is>
      </c>
      <c r="C11715" s="10" t="inlineStr">
        <is>
          <t>Satuan</t>
        </is>
      </c>
      <c r="D11715" s="10" t="inlineStr">
        <is>
          <t>Koef</t>
        </is>
      </c>
      <c r="E11715" s="10" t="inlineStr">
        <is>
          <t>Harga Satuan (Rp)</t>
        </is>
      </c>
      <c r="F11715" s="10" t="inlineStr">
        <is>
          <t>Jumlah Harga (Rp)</t>
        </is>
      </c>
    </row>
    <row r="11716">
      <c r="A11716" s="3" t="inlineStr">
        <is>
          <t>1</t>
        </is>
      </c>
      <c r="B11716" s="3" t="inlineStr">
        <is>
          <t>Pekerja</t>
        </is>
      </c>
      <c r="C11716" s="3" t="inlineStr">
        <is>
          <t>OH</t>
        </is>
      </c>
      <c r="D11716" s="15" t="n">
        <v>0.457</v>
      </c>
      <c r="E11716" s="4" t="n">
        <v>100000</v>
      </c>
      <c r="F11716" s="4" t="n">
        <v>45700</v>
      </c>
    </row>
    <row r="11717">
      <c r="A11717" s="3" t="inlineStr">
        <is>
          <t>2</t>
        </is>
      </c>
      <c r="B11717" s="3" t="inlineStr">
        <is>
          <t>Tukang Pipa</t>
        </is>
      </c>
      <c r="C11717" s="3" t="inlineStr">
        <is>
          <t>OH</t>
        </is>
      </c>
      <c r="D11717" s="15" t="n">
        <v>0.763</v>
      </c>
      <c r="E11717" s="4" t="n">
        <v>145000</v>
      </c>
      <c r="F11717" s="4" t="n">
        <v>110635</v>
      </c>
    </row>
    <row r="11718">
      <c r="A11718" s="3" t="inlineStr">
        <is>
          <t>3</t>
        </is>
      </c>
      <c r="B11718" s="3" t="inlineStr">
        <is>
          <t>Kepala tukang</t>
        </is>
      </c>
      <c r="C11718" s="3" t="inlineStr">
        <is>
          <t>OH</t>
        </is>
      </c>
      <c r="D11718" s="15" t="n">
        <v>0.076</v>
      </c>
      <c r="E11718" s="4" t="n">
        <v>175000</v>
      </c>
      <c r="F11718" s="4" t="n">
        <v>13300</v>
      </c>
    </row>
    <row r="11719">
      <c r="A11719" s="3" t="inlineStr">
        <is>
          <t>4</t>
        </is>
      </c>
      <c r="B11719" s="3" t="inlineStr">
        <is>
          <t>Mandor</t>
        </is>
      </c>
      <c r="C11719" s="3" t="inlineStr">
        <is>
          <t>OH</t>
        </is>
      </c>
      <c r="D11719" s="15" t="n">
        <v>0.025</v>
      </c>
      <c r="E11719" s="4" t="n">
        <v>200000</v>
      </c>
      <c r="F11719" s="4" t="n">
        <v>5000</v>
      </c>
    </row>
    <row r="11720">
      <c r="A11720" s="3" t="inlineStr">
        <is>
          <t>1</t>
        </is>
      </c>
      <c r="B11720" s="3" t="inlineStr">
        <is>
          <t>MCV Set dia. 80 mm</t>
        </is>
      </c>
      <c r="C11720" s="3" t="inlineStr">
        <is>
          <t>unit</t>
        </is>
      </c>
      <c r="D11720" s="15" t="n">
        <v>1.3</v>
      </c>
      <c r="E11720" s="4" t="n">
        <v>20500000</v>
      </c>
      <c r="F11720" s="4" t="n">
        <v>26650000</v>
      </c>
    </row>
    <row r="11721">
      <c r="D11721" s="2" t="inlineStr">
        <is>
          <t>SUBTOTAL UPAH</t>
        </is>
      </c>
      <c r="F11721" s="16" t="n">
        <v>174635</v>
      </c>
    </row>
    <row r="11722">
      <c r="D11722" s="2" t="inlineStr">
        <is>
          <t>SUBTOTAL BAHAN</t>
        </is>
      </c>
      <c r="F11722" s="16" t="n">
        <v>26650000</v>
      </c>
    </row>
    <row r="11723">
      <c r="D11723" s="2" t="inlineStr">
        <is>
          <t>SUBTOTAL ALAT</t>
        </is>
      </c>
      <c r="F11723" s="16" t="n">
        <v>0</v>
      </c>
    </row>
    <row r="11724">
      <c r="E11724" s="2" t="inlineStr">
        <is>
          <t>TOTAL HARGA SATUAN (Inc. Overhead)</t>
        </is>
      </c>
      <c r="F11724" s="17" t="n">
        <v>29507098</v>
      </c>
    </row>
    <row r="11726">
      <c r="A11726" s="14" t="inlineStr">
        <is>
          <t>KODE: 5.6.1.8 - Pemasangan 1 Unit MCV Set dia. 100 mm</t>
        </is>
      </c>
    </row>
    <row r="11727">
      <c r="A11727" s="10" t="inlineStr">
        <is>
          <t>No</t>
        </is>
      </c>
      <c r="B11727" s="10" t="inlineStr">
        <is>
          <t>Uraian Komponen</t>
        </is>
      </c>
      <c r="C11727" s="10" t="inlineStr">
        <is>
          <t>Satuan</t>
        </is>
      </c>
      <c r="D11727" s="10" t="inlineStr">
        <is>
          <t>Koef</t>
        </is>
      </c>
      <c r="E11727" s="10" t="inlineStr">
        <is>
          <t>Harga Satuan (Rp)</t>
        </is>
      </c>
      <c r="F11727" s="10" t="inlineStr">
        <is>
          <t>Jumlah Harga (Rp)</t>
        </is>
      </c>
    </row>
    <row r="11728">
      <c r="A11728" s="3" t="inlineStr">
        <is>
          <t>1</t>
        </is>
      </c>
      <c r="B11728" s="3" t="inlineStr">
        <is>
          <t>Pekerja</t>
        </is>
      </c>
      <c r="C11728" s="3" t="inlineStr">
        <is>
          <t>OH</t>
        </is>
      </c>
      <c r="D11728" s="15" t="n">
        <v>0.607</v>
      </c>
      <c r="E11728" s="4" t="n">
        <v>100000</v>
      </c>
      <c r="F11728" s="4" t="n">
        <v>60700</v>
      </c>
    </row>
    <row r="11729">
      <c r="A11729" s="3" t="inlineStr">
        <is>
          <t>2</t>
        </is>
      </c>
      <c r="B11729" s="3" t="inlineStr">
        <is>
          <t>Tukang Pipa</t>
        </is>
      </c>
      <c r="C11729" s="3" t="inlineStr">
        <is>
          <t>OH</t>
        </is>
      </c>
      <c r="D11729" s="15" t="n">
        <v>1.014</v>
      </c>
      <c r="E11729" s="4" t="n">
        <v>145000</v>
      </c>
      <c r="F11729" s="4" t="n">
        <v>147030</v>
      </c>
    </row>
    <row r="11730">
      <c r="A11730" s="3" t="inlineStr">
        <is>
          <t>3</t>
        </is>
      </c>
      <c r="B11730" s="3" t="inlineStr">
        <is>
          <t>Kepala tukang</t>
        </is>
      </c>
      <c r="C11730" s="3" t="inlineStr">
        <is>
          <t>OH</t>
        </is>
      </c>
      <c r="D11730" s="15" t="n">
        <v>0.101</v>
      </c>
      <c r="E11730" s="4" t="n">
        <v>175000</v>
      </c>
      <c r="F11730" s="4" t="n">
        <v>17675</v>
      </c>
    </row>
    <row r="11731">
      <c r="A11731" s="3" t="inlineStr">
        <is>
          <t>4</t>
        </is>
      </c>
      <c r="B11731" s="3" t="inlineStr">
        <is>
          <t>Mandor</t>
        </is>
      </c>
      <c r="C11731" s="3" t="inlineStr">
        <is>
          <t>OH</t>
        </is>
      </c>
      <c r="D11731" s="15" t="n">
        <v>0.034</v>
      </c>
      <c r="E11731" s="4" t="n">
        <v>200000</v>
      </c>
      <c r="F11731" s="4" t="n">
        <v>6800.000000000001</v>
      </c>
    </row>
    <row r="11732">
      <c r="A11732" s="3" t="inlineStr">
        <is>
          <t>1</t>
        </is>
      </c>
      <c r="B11732" s="3" t="inlineStr">
        <is>
          <t>MCV Set dia. 100 mm</t>
        </is>
      </c>
      <c r="C11732" s="3" t="inlineStr">
        <is>
          <t>unit</t>
        </is>
      </c>
      <c r="D11732" s="15" t="n">
        <v>1.3</v>
      </c>
      <c r="E11732" s="4" t="n">
        <v>20900000</v>
      </c>
      <c r="F11732" s="4" t="n">
        <v>27170000</v>
      </c>
    </row>
    <row r="11733">
      <c r="D11733" s="2" t="inlineStr">
        <is>
          <t>SUBTOTAL UPAH</t>
        </is>
      </c>
      <c r="F11733" s="16" t="n">
        <v>232205</v>
      </c>
    </row>
    <row r="11734">
      <c r="D11734" s="2" t="inlineStr">
        <is>
          <t>SUBTOTAL BAHAN</t>
        </is>
      </c>
      <c r="F11734" s="16" t="n">
        <v>27170000</v>
      </c>
    </row>
    <row r="11735">
      <c r="D11735" s="2" t="inlineStr">
        <is>
          <t>SUBTOTAL ALAT</t>
        </is>
      </c>
      <c r="F11735" s="16" t="n">
        <v>0</v>
      </c>
    </row>
    <row r="11736">
      <c r="E11736" s="2" t="inlineStr">
        <is>
          <t>TOTAL HARGA SATUAN (Inc. Overhead)</t>
        </is>
      </c>
      <c r="F11736" s="17" t="n">
        <v>30142425</v>
      </c>
    </row>
    <row r="11738">
      <c r="A11738" s="14" t="inlineStr">
        <is>
          <t>KODE: 5.6.1.9 - Pemasangan 1 Unit MCV Set dia. 150 mm</t>
        </is>
      </c>
    </row>
    <row r="11739">
      <c r="A11739" s="10" t="inlineStr">
        <is>
          <t>No</t>
        </is>
      </c>
      <c r="B11739" s="10" t="inlineStr">
        <is>
          <t>Uraian Komponen</t>
        </is>
      </c>
      <c r="C11739" s="10" t="inlineStr">
        <is>
          <t>Satuan</t>
        </is>
      </c>
      <c r="D11739" s="10" t="inlineStr">
        <is>
          <t>Koef</t>
        </is>
      </c>
      <c r="E11739" s="10" t="inlineStr">
        <is>
          <t>Harga Satuan (Rp)</t>
        </is>
      </c>
      <c r="F11739" s="10" t="inlineStr">
        <is>
          <t>Jumlah Harga (Rp)</t>
        </is>
      </c>
    </row>
    <row r="11740">
      <c r="A11740" s="3" t="inlineStr">
        <is>
          <t>1</t>
        </is>
      </c>
      <c r="B11740" s="3" t="inlineStr">
        <is>
          <t>Pekerja</t>
        </is>
      </c>
      <c r="C11740" s="3" t="inlineStr">
        <is>
          <t>OH</t>
        </is>
      </c>
      <c r="D11740" s="15" t="n">
        <v>0.917</v>
      </c>
      <c r="E11740" s="4" t="n">
        <v>100000</v>
      </c>
      <c r="F11740" s="4" t="n">
        <v>91700</v>
      </c>
    </row>
    <row r="11741">
      <c r="A11741" s="3" t="inlineStr">
        <is>
          <t>2</t>
        </is>
      </c>
      <c r="B11741" s="3" t="inlineStr">
        <is>
          <t>Tukang Pipa</t>
        </is>
      </c>
      <c r="C11741" s="3" t="inlineStr">
        <is>
          <t>OH</t>
        </is>
      </c>
      <c r="D11741" s="15" t="n">
        <v>1.531</v>
      </c>
      <c r="E11741" s="4" t="n">
        <v>145000</v>
      </c>
      <c r="F11741" s="4" t="n">
        <v>221995</v>
      </c>
    </row>
    <row r="11742">
      <c r="A11742" s="3" t="inlineStr">
        <is>
          <t>3</t>
        </is>
      </c>
      <c r="B11742" s="3" t="inlineStr">
        <is>
          <t>Kepala tukang</t>
        </is>
      </c>
      <c r="C11742" s="3" t="inlineStr">
        <is>
          <t>OH</t>
        </is>
      </c>
      <c r="D11742" s="15" t="n">
        <v>0.153</v>
      </c>
      <c r="E11742" s="4" t="n">
        <v>175000</v>
      </c>
      <c r="F11742" s="4" t="n">
        <v>26775</v>
      </c>
    </row>
    <row r="11743">
      <c r="A11743" s="3" t="inlineStr">
        <is>
          <t>4</t>
        </is>
      </c>
      <c r="B11743" s="3" t="inlineStr">
        <is>
          <t>Mandor</t>
        </is>
      </c>
      <c r="C11743" s="3" t="inlineStr">
        <is>
          <t>OH</t>
        </is>
      </c>
      <c r="D11743" s="15" t="n">
        <v>0.051</v>
      </c>
      <c r="E11743" s="4" t="n">
        <v>200000</v>
      </c>
      <c r="F11743" s="4" t="n">
        <v>10200</v>
      </c>
    </row>
    <row r="11744">
      <c r="A11744" s="3" t="inlineStr">
        <is>
          <t>1</t>
        </is>
      </c>
      <c r="B11744" s="3" t="inlineStr">
        <is>
          <t>MCV Set dia. 150 mm</t>
        </is>
      </c>
      <c r="C11744" s="3" t="inlineStr">
        <is>
          <t>unit</t>
        </is>
      </c>
      <c r="D11744" s="15" t="n">
        <v>1.3</v>
      </c>
      <c r="E11744" s="4" t="n">
        <v>30300000</v>
      </c>
      <c r="F11744" s="4" t="n">
        <v>39390000</v>
      </c>
    </row>
    <row r="11745">
      <c r="D11745" s="2" t="inlineStr">
        <is>
          <t>SUBTOTAL UPAH</t>
        </is>
      </c>
      <c r="F11745" s="16" t="n">
        <v>350670</v>
      </c>
    </row>
    <row r="11746">
      <c r="D11746" s="2" t="inlineStr">
        <is>
          <t>SUBTOTAL BAHAN</t>
        </is>
      </c>
      <c r="F11746" s="16" t="n">
        <v>39390000</v>
      </c>
    </row>
    <row r="11747">
      <c r="D11747" s="2" t="inlineStr">
        <is>
          <t>SUBTOTAL ALAT</t>
        </is>
      </c>
      <c r="F11747" s="16" t="n">
        <v>0</v>
      </c>
    </row>
    <row r="11748">
      <c r="E11748" s="2" t="inlineStr">
        <is>
          <t>TOTAL HARGA SATUAN (Inc. Overhead)</t>
        </is>
      </c>
      <c r="F11748" s="17" t="n">
        <v>43714737</v>
      </c>
    </row>
    <row r="11750">
      <c r="A11750" s="14" t="inlineStr">
        <is>
          <t>KODE: 5.6.1.10 - Pemasangan 1 Unit BCV Set dia. 50 mm</t>
        </is>
      </c>
    </row>
    <row r="11751">
      <c r="A11751" s="10" t="inlineStr">
        <is>
          <t>No</t>
        </is>
      </c>
      <c r="B11751" s="10" t="inlineStr">
        <is>
          <t>Uraian Komponen</t>
        </is>
      </c>
      <c r="C11751" s="10" t="inlineStr">
        <is>
          <t>Satuan</t>
        </is>
      </c>
      <c r="D11751" s="10" t="inlineStr">
        <is>
          <t>Koef</t>
        </is>
      </c>
      <c r="E11751" s="10" t="inlineStr">
        <is>
          <t>Harga Satuan (Rp)</t>
        </is>
      </c>
      <c r="F11751" s="10" t="inlineStr">
        <is>
          <t>Jumlah Harga (Rp)</t>
        </is>
      </c>
    </row>
    <row r="11752">
      <c r="A11752" s="3" t="inlineStr">
        <is>
          <t>1</t>
        </is>
      </c>
      <c r="B11752" s="3" t="inlineStr">
        <is>
          <t>Pekerja</t>
        </is>
      </c>
      <c r="C11752" s="3" t="inlineStr">
        <is>
          <t>OH</t>
        </is>
      </c>
      <c r="D11752" s="15" t="n">
        <v>0.255</v>
      </c>
      <c r="E11752" s="4" t="n">
        <v>100000</v>
      </c>
      <c r="F11752" s="4" t="n">
        <v>25500</v>
      </c>
    </row>
    <row r="11753">
      <c r="A11753" s="3" t="inlineStr">
        <is>
          <t>2</t>
        </is>
      </c>
      <c r="B11753" s="3" t="inlineStr">
        <is>
          <t>Tukang Pipa</t>
        </is>
      </c>
      <c r="C11753" s="3" t="inlineStr">
        <is>
          <t>OH</t>
        </is>
      </c>
      <c r="D11753" s="15" t="n">
        <v>0.425</v>
      </c>
      <c r="E11753" s="4" t="n">
        <v>145000</v>
      </c>
      <c r="F11753" s="4" t="n">
        <v>61625</v>
      </c>
    </row>
    <row r="11754">
      <c r="A11754" s="3" t="inlineStr">
        <is>
          <t>3</t>
        </is>
      </c>
      <c r="B11754" s="3" t="inlineStr">
        <is>
          <t>Kepala tukang</t>
        </is>
      </c>
      <c r="C11754" s="3" t="inlineStr">
        <is>
          <t>OH</t>
        </is>
      </c>
      <c r="D11754" s="15" t="n">
        <v>0.043</v>
      </c>
      <c r="E11754" s="4" t="n">
        <v>175000</v>
      </c>
      <c r="F11754" s="4" t="n">
        <v>7524.999999999999</v>
      </c>
    </row>
    <row r="11755">
      <c r="A11755" s="3" t="inlineStr">
        <is>
          <t>4</t>
        </is>
      </c>
      <c r="B11755" s="3" t="inlineStr">
        <is>
          <t>Mandor</t>
        </is>
      </c>
      <c r="C11755" s="3" t="inlineStr">
        <is>
          <t>OH</t>
        </is>
      </c>
      <c r="D11755" s="15" t="n">
        <v>0.014</v>
      </c>
      <c r="E11755" s="4" t="n">
        <v>200000</v>
      </c>
      <c r="F11755" s="4" t="n">
        <v>2800</v>
      </c>
    </row>
    <row r="11756">
      <c r="A11756" s="3" t="inlineStr">
        <is>
          <t>1</t>
        </is>
      </c>
      <c r="B11756" s="3" t="inlineStr">
        <is>
          <t>BCV Set dia. 50 mm</t>
        </is>
      </c>
      <c r="C11756" s="3" t="inlineStr">
        <is>
          <t>Set</t>
        </is>
      </c>
      <c r="D11756" s="15" t="n">
        <v>1.3</v>
      </c>
      <c r="E11756" s="4" t="n">
        <v>1700000</v>
      </c>
      <c r="F11756" s="4" t="n">
        <v>2210000</v>
      </c>
    </row>
    <row r="11757">
      <c r="D11757" s="2" t="inlineStr">
        <is>
          <t>SUBTOTAL UPAH</t>
        </is>
      </c>
      <c r="F11757" s="16" t="n">
        <v>97450</v>
      </c>
    </row>
    <row r="11758">
      <c r="D11758" s="2" t="inlineStr">
        <is>
          <t>SUBTOTAL BAHAN</t>
        </is>
      </c>
      <c r="F11758" s="16" t="n">
        <v>2210000</v>
      </c>
    </row>
    <row r="11759">
      <c r="D11759" s="2" t="inlineStr">
        <is>
          <t>SUBTOTAL ALAT</t>
        </is>
      </c>
      <c r="F11759" s="16" t="n">
        <v>0</v>
      </c>
    </row>
    <row r="11760">
      <c r="E11760" s="2" t="inlineStr">
        <is>
          <t>TOTAL HARGA SATUAN (Inc. Overhead)</t>
        </is>
      </c>
      <c r="F11760" s="17" t="n">
        <v>2538195</v>
      </c>
    </row>
    <row r="11762">
      <c r="A11762" s="14" t="inlineStr">
        <is>
          <t>KODE: 5.6.1.11 - Pemasangan 1 Unit BCV Set dia. 65 mm</t>
        </is>
      </c>
    </row>
    <row r="11763">
      <c r="A11763" s="10" t="inlineStr">
        <is>
          <t>No</t>
        </is>
      </c>
      <c r="B11763" s="10" t="inlineStr">
        <is>
          <t>Uraian Komponen</t>
        </is>
      </c>
      <c r="C11763" s="10" t="inlineStr">
        <is>
          <t>Satuan</t>
        </is>
      </c>
      <c r="D11763" s="10" t="inlineStr">
        <is>
          <t>Koef</t>
        </is>
      </c>
      <c r="E11763" s="10" t="inlineStr">
        <is>
          <t>Harga Satuan (Rp)</t>
        </is>
      </c>
      <c r="F11763" s="10" t="inlineStr">
        <is>
          <t>Jumlah Harga (Rp)</t>
        </is>
      </c>
    </row>
    <row r="11764">
      <c r="A11764" s="3" t="inlineStr">
        <is>
          <t>1</t>
        </is>
      </c>
      <c r="B11764" s="3" t="inlineStr">
        <is>
          <t>Pekerja</t>
        </is>
      </c>
      <c r="C11764" s="3" t="inlineStr">
        <is>
          <t>OH</t>
        </is>
      </c>
      <c r="D11764" s="15" t="n">
        <v>0.321</v>
      </c>
      <c r="E11764" s="4" t="n">
        <v>100000</v>
      </c>
      <c r="F11764" s="4" t="n">
        <v>32100</v>
      </c>
    </row>
    <row r="11765">
      <c r="A11765" s="3" t="inlineStr">
        <is>
          <t>2</t>
        </is>
      </c>
      <c r="B11765" s="3" t="inlineStr">
        <is>
          <t>Tukang Pipa</t>
        </is>
      </c>
      <c r="C11765" s="3" t="inlineStr">
        <is>
          <t>OH</t>
        </is>
      </c>
      <c r="D11765" s="15" t="n">
        <v>0.537</v>
      </c>
      <c r="E11765" s="4" t="n">
        <v>145000</v>
      </c>
      <c r="F11765" s="4" t="n">
        <v>77865</v>
      </c>
    </row>
    <row r="11766">
      <c r="A11766" s="3" t="inlineStr">
        <is>
          <t>3</t>
        </is>
      </c>
      <c r="B11766" s="3" t="inlineStr">
        <is>
          <t>Kepala tukang</t>
        </is>
      </c>
      <c r="C11766" s="3" t="inlineStr">
        <is>
          <t>OH</t>
        </is>
      </c>
      <c r="D11766" s="15" t="n">
        <v>0.054</v>
      </c>
      <c r="E11766" s="4" t="n">
        <v>175000</v>
      </c>
      <c r="F11766" s="4" t="n">
        <v>9450</v>
      </c>
    </row>
    <row r="11767">
      <c r="A11767" s="3" t="inlineStr">
        <is>
          <t>4</t>
        </is>
      </c>
      <c r="B11767" s="3" t="inlineStr">
        <is>
          <t>Mandor</t>
        </is>
      </c>
      <c r="C11767" s="3" t="inlineStr">
        <is>
          <t>OH</t>
        </is>
      </c>
      <c r="D11767" s="15" t="n">
        <v>0.018</v>
      </c>
      <c r="E11767" s="4" t="n">
        <v>200000</v>
      </c>
      <c r="F11767" s="4" t="n">
        <v>3600</v>
      </c>
    </row>
    <row r="11768">
      <c r="A11768" s="3" t="inlineStr">
        <is>
          <t>1</t>
        </is>
      </c>
      <c r="B11768" s="3" t="inlineStr">
        <is>
          <t>BCV Set dia. 65 mm</t>
        </is>
      </c>
      <c r="C11768" s="3" t="inlineStr">
        <is>
          <t>Set</t>
        </is>
      </c>
      <c r="D11768" s="15" t="n">
        <v>1.3</v>
      </c>
      <c r="E11768" s="4" t="n">
        <v>1900000</v>
      </c>
      <c r="F11768" s="4" t="n">
        <v>2470000</v>
      </c>
    </row>
    <row r="11769">
      <c r="D11769" s="2" t="inlineStr">
        <is>
          <t>SUBTOTAL UPAH</t>
        </is>
      </c>
      <c r="F11769" s="16" t="n">
        <v>123015</v>
      </c>
    </row>
    <row r="11770">
      <c r="D11770" s="2" t="inlineStr">
        <is>
          <t>SUBTOTAL BAHAN</t>
        </is>
      </c>
      <c r="F11770" s="16" t="n">
        <v>2470000</v>
      </c>
    </row>
    <row r="11771">
      <c r="D11771" s="2" t="inlineStr">
        <is>
          <t>SUBTOTAL ALAT</t>
        </is>
      </c>
      <c r="F11771" s="16" t="n">
        <v>0</v>
      </c>
    </row>
    <row r="11772">
      <c r="E11772" s="2" t="inlineStr">
        <is>
          <t>TOTAL HARGA SATUAN (Inc. Overhead)</t>
        </is>
      </c>
      <c r="F11772" s="17" t="n">
        <v>2852316</v>
      </c>
    </row>
    <row r="11774">
      <c r="A11774" s="14" t="inlineStr">
        <is>
          <t>KODE: 5.6.1.12 - Pemasangan 1 Unit BCV Set dia. 80 mm</t>
        </is>
      </c>
    </row>
    <row r="11775">
      <c r="A11775" s="10" t="inlineStr">
        <is>
          <t>No</t>
        </is>
      </c>
      <c r="B11775" s="10" t="inlineStr">
        <is>
          <t>Uraian Komponen</t>
        </is>
      </c>
      <c r="C11775" s="10" t="inlineStr">
        <is>
          <t>Satuan</t>
        </is>
      </c>
      <c r="D11775" s="10" t="inlineStr">
        <is>
          <t>Koef</t>
        </is>
      </c>
      <c r="E11775" s="10" t="inlineStr">
        <is>
          <t>Harga Satuan (Rp)</t>
        </is>
      </c>
      <c r="F11775" s="10" t="inlineStr">
        <is>
          <t>Jumlah Harga (Rp)</t>
        </is>
      </c>
    </row>
    <row r="11776">
      <c r="A11776" s="3" t="inlineStr">
        <is>
          <t>1</t>
        </is>
      </c>
      <c r="B11776" s="3" t="inlineStr">
        <is>
          <t>Pekerja</t>
        </is>
      </c>
      <c r="C11776" s="3" t="inlineStr">
        <is>
          <t>OH</t>
        </is>
      </c>
      <c r="D11776" s="15" t="n">
        <v>0.381</v>
      </c>
      <c r="E11776" s="4" t="n">
        <v>100000</v>
      </c>
      <c r="F11776" s="4" t="n">
        <v>38100</v>
      </c>
    </row>
    <row r="11777">
      <c r="A11777" s="3" t="inlineStr">
        <is>
          <t>2</t>
        </is>
      </c>
      <c r="B11777" s="3" t="inlineStr">
        <is>
          <t>Tukang Pipa</t>
        </is>
      </c>
      <c r="C11777" s="3" t="inlineStr">
        <is>
          <t>OH</t>
        </is>
      </c>
      <c r="D11777" s="15" t="n">
        <v>0.636</v>
      </c>
      <c r="E11777" s="4" t="n">
        <v>145000</v>
      </c>
      <c r="F11777" s="4" t="n">
        <v>92220</v>
      </c>
    </row>
    <row r="11778">
      <c r="A11778" s="3" t="inlineStr">
        <is>
          <t>3</t>
        </is>
      </c>
      <c r="B11778" s="3" t="inlineStr">
        <is>
          <t>Kepala tukang</t>
        </is>
      </c>
      <c r="C11778" s="3" t="inlineStr">
        <is>
          <t>OH</t>
        </is>
      </c>
      <c r="D11778" s="15" t="n">
        <v>0.064</v>
      </c>
      <c r="E11778" s="4" t="n">
        <v>175000</v>
      </c>
      <c r="F11778" s="4" t="n">
        <v>11200</v>
      </c>
    </row>
    <row r="11779">
      <c r="A11779" s="3" t="inlineStr">
        <is>
          <t>4</t>
        </is>
      </c>
      <c r="B11779" s="3" t="inlineStr">
        <is>
          <t>Mandor</t>
        </is>
      </c>
      <c r="C11779" s="3" t="inlineStr">
        <is>
          <t>OH</t>
        </is>
      </c>
      <c r="D11779" s="15" t="n">
        <v>0.021</v>
      </c>
      <c r="E11779" s="4" t="n">
        <v>200000</v>
      </c>
      <c r="F11779" s="4" t="n">
        <v>4200</v>
      </c>
    </row>
    <row r="11780">
      <c r="A11780" s="3" t="inlineStr">
        <is>
          <t>1</t>
        </is>
      </c>
      <c r="B11780" s="3" t="inlineStr">
        <is>
          <t>BCV Set dia. 80 mm</t>
        </is>
      </c>
      <c r="C11780" s="3" t="inlineStr">
        <is>
          <t>Set</t>
        </is>
      </c>
      <c r="D11780" s="15" t="n">
        <v>1.3</v>
      </c>
      <c r="E11780" s="4" t="n">
        <v>2100000</v>
      </c>
      <c r="F11780" s="4" t="n">
        <v>2730000</v>
      </c>
    </row>
    <row r="11781">
      <c r="D11781" s="2" t="inlineStr">
        <is>
          <t>SUBTOTAL UPAH</t>
        </is>
      </c>
      <c r="F11781" s="16" t="n">
        <v>145720</v>
      </c>
    </row>
    <row r="11782">
      <c r="D11782" s="2" t="inlineStr">
        <is>
          <t>SUBTOTAL BAHAN</t>
        </is>
      </c>
      <c r="F11782" s="16" t="n">
        <v>2730000</v>
      </c>
    </row>
    <row r="11783">
      <c r="D11783" s="2" t="inlineStr">
        <is>
          <t>SUBTOTAL ALAT</t>
        </is>
      </c>
      <c r="F11783" s="16" t="n">
        <v>0</v>
      </c>
    </row>
    <row r="11784">
      <c r="E11784" s="2" t="inlineStr">
        <is>
          <t>TOTAL HARGA SATUAN (Inc. Overhead)</t>
        </is>
      </c>
      <c r="F11784" s="17" t="n">
        <v>3163292</v>
      </c>
    </row>
    <row r="11786">
      <c r="A11786" s="14" t="inlineStr">
        <is>
          <t>KODE: 5.6.1.13 - Pemasangan 1 Unit BCV Set dia. 100 mm</t>
        </is>
      </c>
    </row>
    <row r="11787">
      <c r="A11787" s="10" t="inlineStr">
        <is>
          <t>No</t>
        </is>
      </c>
      <c r="B11787" s="10" t="inlineStr">
        <is>
          <t>Uraian Komponen</t>
        </is>
      </c>
      <c r="C11787" s="10" t="inlineStr">
        <is>
          <t>Satuan</t>
        </is>
      </c>
      <c r="D11787" s="10" t="inlineStr">
        <is>
          <t>Koef</t>
        </is>
      </c>
      <c r="E11787" s="10" t="inlineStr">
        <is>
          <t>Harga Satuan (Rp)</t>
        </is>
      </c>
      <c r="F11787" s="10" t="inlineStr">
        <is>
          <t>Jumlah Harga (Rp)</t>
        </is>
      </c>
    </row>
    <row r="11788">
      <c r="A11788" s="3" t="inlineStr">
        <is>
          <t>1</t>
        </is>
      </c>
      <c r="B11788" s="3" t="inlineStr">
        <is>
          <t>Pekerja</t>
        </is>
      </c>
      <c r="C11788" s="3" t="inlineStr">
        <is>
          <t>OH</t>
        </is>
      </c>
      <c r="D11788" s="15" t="n">
        <v>0.512</v>
      </c>
      <c r="E11788" s="4" t="n">
        <v>100000</v>
      </c>
      <c r="F11788" s="4" t="n">
        <v>51200</v>
      </c>
    </row>
    <row r="11789">
      <c r="A11789" s="3" t="inlineStr">
        <is>
          <t>2</t>
        </is>
      </c>
      <c r="B11789" s="3" t="inlineStr">
        <is>
          <t>Tukang Pipa</t>
        </is>
      </c>
      <c r="C11789" s="3" t="inlineStr">
        <is>
          <t>OH</t>
        </is>
      </c>
      <c r="D11789" s="15" t="n">
        <v>0.855</v>
      </c>
      <c r="E11789" s="4" t="n">
        <v>145000</v>
      </c>
      <c r="F11789" s="4" t="n">
        <v>123975</v>
      </c>
    </row>
    <row r="11790">
      <c r="A11790" s="3" t="inlineStr">
        <is>
          <t>3</t>
        </is>
      </c>
      <c r="B11790" s="3" t="inlineStr">
        <is>
          <t>Kepala tukang</t>
        </is>
      </c>
      <c r="C11790" s="3" t="inlineStr">
        <is>
          <t>OH</t>
        </is>
      </c>
      <c r="D11790" s="15" t="n">
        <v>0.08500000000000001</v>
      </c>
      <c r="E11790" s="4" t="n">
        <v>175000</v>
      </c>
      <c r="F11790" s="4" t="n">
        <v>14875</v>
      </c>
    </row>
    <row r="11791">
      <c r="A11791" s="3" t="inlineStr">
        <is>
          <t>4</t>
        </is>
      </c>
      <c r="B11791" s="3" t="inlineStr">
        <is>
          <t>Mandor</t>
        </is>
      </c>
      <c r="C11791" s="3" t="inlineStr">
        <is>
          <t>OH</t>
        </is>
      </c>
      <c r="D11791" s="15" t="n">
        <v>0.028</v>
      </c>
      <c r="E11791" s="4" t="n">
        <v>200000</v>
      </c>
      <c r="F11791" s="4" t="n">
        <v>5600</v>
      </c>
    </row>
    <row r="11792">
      <c r="A11792" s="3" t="inlineStr">
        <is>
          <t>1</t>
        </is>
      </c>
      <c r="B11792" s="3" t="inlineStr">
        <is>
          <t>BCV Set dia. 100 mm</t>
        </is>
      </c>
      <c r="C11792" s="3" t="inlineStr">
        <is>
          <t>Set</t>
        </is>
      </c>
      <c r="D11792" s="15" t="n">
        <v>1.3</v>
      </c>
      <c r="E11792" s="4" t="n">
        <v>2400000</v>
      </c>
      <c r="F11792" s="4" t="n">
        <v>3120000</v>
      </c>
    </row>
    <row r="11793">
      <c r="D11793" s="2" t="inlineStr">
        <is>
          <t>SUBTOTAL UPAH</t>
        </is>
      </c>
      <c r="F11793" s="16" t="n">
        <v>195650</v>
      </c>
    </row>
    <row r="11794">
      <c r="D11794" s="2" t="inlineStr">
        <is>
          <t>SUBTOTAL BAHAN</t>
        </is>
      </c>
      <c r="F11794" s="16" t="n">
        <v>3120000</v>
      </c>
    </row>
    <row r="11795">
      <c r="D11795" s="2" t="inlineStr">
        <is>
          <t>SUBTOTAL ALAT</t>
        </is>
      </c>
      <c r="F11795" s="16" t="n">
        <v>0</v>
      </c>
    </row>
    <row r="11796">
      <c r="E11796" s="2" t="inlineStr">
        <is>
          <t>TOTAL HARGA SATUAN (Inc. Overhead)</t>
        </is>
      </c>
      <c r="F11796" s="17" t="n">
        <v>3647215</v>
      </c>
    </row>
    <row r="11798">
      <c r="A11798" s="14" t="inlineStr">
        <is>
          <t>KODE: 5.6.1.14 - Pemasangan 1 Unit BCV Set dia. 150 mm</t>
        </is>
      </c>
    </row>
    <row r="11799">
      <c r="A11799" s="10" t="inlineStr">
        <is>
          <t>No</t>
        </is>
      </c>
      <c r="B11799" s="10" t="inlineStr">
        <is>
          <t>Uraian Komponen</t>
        </is>
      </c>
      <c r="C11799" s="10" t="inlineStr">
        <is>
          <t>Satuan</t>
        </is>
      </c>
      <c r="D11799" s="10" t="inlineStr">
        <is>
          <t>Koef</t>
        </is>
      </c>
      <c r="E11799" s="10" t="inlineStr">
        <is>
          <t>Harga Satuan (Rp)</t>
        </is>
      </c>
      <c r="F11799" s="10" t="inlineStr">
        <is>
          <t>Jumlah Harga (Rp)</t>
        </is>
      </c>
    </row>
    <row r="11800">
      <c r="A11800" s="3" t="inlineStr">
        <is>
          <t>1</t>
        </is>
      </c>
      <c r="B11800" s="3" t="inlineStr">
        <is>
          <t>Pekerja</t>
        </is>
      </c>
      <c r="C11800" s="3" t="inlineStr">
        <is>
          <t>OH</t>
        </is>
      </c>
      <c r="D11800" s="15" t="n">
        <v>0.762</v>
      </c>
      <c r="E11800" s="4" t="n">
        <v>100000</v>
      </c>
      <c r="F11800" s="4" t="n">
        <v>76200</v>
      </c>
    </row>
    <row r="11801">
      <c r="A11801" s="3" t="inlineStr">
        <is>
          <t>2</t>
        </is>
      </c>
      <c r="B11801" s="3" t="inlineStr">
        <is>
          <t>Tukang Pipa</t>
        </is>
      </c>
      <c r="C11801" s="3" t="inlineStr">
        <is>
          <t>OH</t>
        </is>
      </c>
      <c r="D11801" s="15" t="n">
        <v>1.272</v>
      </c>
      <c r="E11801" s="4" t="n">
        <v>145000</v>
      </c>
      <c r="F11801" s="4" t="n">
        <v>184440</v>
      </c>
    </row>
    <row r="11802">
      <c r="A11802" s="3" t="inlineStr">
        <is>
          <t>3</t>
        </is>
      </c>
      <c r="B11802" s="3" t="inlineStr">
        <is>
          <t>Kepala tukang</t>
        </is>
      </c>
      <c r="C11802" s="3" t="inlineStr">
        <is>
          <t>OH</t>
        </is>
      </c>
      <c r="D11802" s="15" t="n">
        <v>0.127</v>
      </c>
      <c r="E11802" s="4" t="n">
        <v>175000</v>
      </c>
      <c r="F11802" s="4" t="n">
        <v>22225</v>
      </c>
    </row>
    <row r="11803">
      <c r="A11803" s="3" t="inlineStr">
        <is>
          <t>4</t>
        </is>
      </c>
      <c r="B11803" s="3" t="inlineStr">
        <is>
          <t>Mandor</t>
        </is>
      </c>
      <c r="C11803" s="3" t="inlineStr">
        <is>
          <t>OH</t>
        </is>
      </c>
      <c r="D11803" s="15" t="n">
        <v>0.042</v>
      </c>
      <c r="E11803" s="4" t="n">
        <v>200000</v>
      </c>
      <c r="F11803" s="4" t="n">
        <v>8400</v>
      </c>
    </row>
    <row r="11804">
      <c r="A11804" s="3" t="inlineStr">
        <is>
          <t>1</t>
        </is>
      </c>
      <c r="B11804" s="3" t="inlineStr">
        <is>
          <t>BCV Set dia. 150 mm</t>
        </is>
      </c>
      <c r="C11804" s="3" t="inlineStr">
        <is>
          <t>Set</t>
        </is>
      </c>
      <c r="D11804" s="15" t="n">
        <v>1.3</v>
      </c>
      <c r="E11804" s="4" t="n">
        <v>2600000</v>
      </c>
      <c r="F11804" s="4" t="n">
        <v>3380000</v>
      </c>
    </row>
    <row r="11805">
      <c r="D11805" s="2" t="inlineStr">
        <is>
          <t>SUBTOTAL UPAH</t>
        </is>
      </c>
      <c r="F11805" s="16" t="n">
        <v>291265</v>
      </c>
    </row>
    <row r="11806">
      <c r="D11806" s="2" t="inlineStr">
        <is>
          <t>SUBTOTAL BAHAN</t>
        </is>
      </c>
      <c r="F11806" s="16" t="n">
        <v>3380000</v>
      </c>
    </row>
    <row r="11807">
      <c r="D11807" s="2" t="inlineStr">
        <is>
          <t>SUBTOTAL ALAT</t>
        </is>
      </c>
      <c r="F11807" s="16" t="n">
        <v>0</v>
      </c>
    </row>
    <row r="11808">
      <c r="E11808" s="2" t="inlineStr">
        <is>
          <t>TOTAL HARGA SATUAN (Inc. Overhead)</t>
        </is>
      </c>
      <c r="F11808" s="17" t="n">
        <v>4038391</v>
      </c>
    </row>
    <row r="11810">
      <c r="A11810" s="14" t="inlineStr">
        <is>
          <t>KODE: 5.6.1.15 - Pemasangan 1 Unit Automatic Air Vent dia. 50mm</t>
        </is>
      </c>
    </row>
    <row r="11811">
      <c r="A11811" s="10" t="inlineStr">
        <is>
          <t>No</t>
        </is>
      </c>
      <c r="B11811" s="10" t="inlineStr">
        <is>
          <t>Uraian Komponen</t>
        </is>
      </c>
      <c r="C11811" s="10" t="inlineStr">
        <is>
          <t>Satuan</t>
        </is>
      </c>
      <c r="D11811" s="10" t="inlineStr">
        <is>
          <t>Koef</t>
        </is>
      </c>
      <c r="E11811" s="10" t="inlineStr">
        <is>
          <t>Harga Satuan (Rp)</t>
        </is>
      </c>
      <c r="F11811" s="10" t="inlineStr">
        <is>
          <t>Jumlah Harga (Rp)</t>
        </is>
      </c>
    </row>
    <row r="11812">
      <c r="A11812" s="3" t="inlineStr">
        <is>
          <t>1</t>
        </is>
      </c>
      <c r="B11812" s="3" t="inlineStr">
        <is>
          <t>Pekerja</t>
        </is>
      </c>
      <c r="C11812" s="3" t="inlineStr">
        <is>
          <t>OH</t>
        </is>
      </c>
      <c r="D11812" s="15" t="n">
        <v>0.093</v>
      </c>
      <c r="E11812" s="4" t="n">
        <v>100000</v>
      </c>
      <c r="F11812" s="4" t="n">
        <v>9300</v>
      </c>
    </row>
    <row r="11813">
      <c r="A11813" s="3" t="inlineStr">
        <is>
          <t>2</t>
        </is>
      </c>
      <c r="B11813" s="3" t="inlineStr">
        <is>
          <t>Tukang Pipa</t>
        </is>
      </c>
      <c r="C11813" s="3" t="inlineStr">
        <is>
          <t>OH</t>
        </is>
      </c>
      <c r="D11813" s="15" t="n">
        <v>0.155</v>
      </c>
      <c r="E11813" s="4" t="n">
        <v>145000</v>
      </c>
      <c r="F11813" s="4" t="n">
        <v>22475</v>
      </c>
    </row>
    <row r="11814">
      <c r="A11814" s="3" t="inlineStr">
        <is>
          <t>3</t>
        </is>
      </c>
      <c r="B11814" s="3" t="inlineStr">
        <is>
          <t>Kepala tukang</t>
        </is>
      </c>
      <c r="C11814" s="3" t="inlineStr">
        <is>
          <t>OH</t>
        </is>
      </c>
      <c r="D11814" s="15" t="n">
        <v>0.016</v>
      </c>
      <c r="E11814" s="4" t="n">
        <v>175000</v>
      </c>
      <c r="F11814" s="4" t="n">
        <v>2800</v>
      </c>
    </row>
    <row r="11815">
      <c r="A11815" s="3" t="inlineStr">
        <is>
          <t>4</t>
        </is>
      </c>
      <c r="B11815" s="3" t="inlineStr">
        <is>
          <t>Mandor</t>
        </is>
      </c>
      <c r="C11815" s="3" t="inlineStr">
        <is>
          <t>OH</t>
        </is>
      </c>
      <c r="D11815" s="15" t="n">
        <v>0.005</v>
      </c>
      <c r="E11815" s="4" t="n">
        <v>200000</v>
      </c>
      <c r="F11815" s="4" t="n">
        <v>1000</v>
      </c>
    </row>
    <row r="11816">
      <c r="A11816" s="3" t="inlineStr">
        <is>
          <t>1</t>
        </is>
      </c>
      <c r="B11816" s="3" t="inlineStr">
        <is>
          <t>Automatic Air Vent  dia. 50 mm</t>
        </is>
      </c>
      <c r="C11816" s="3" t="inlineStr">
        <is>
          <t>unit</t>
        </is>
      </c>
      <c r="D11816" s="15" t="n">
        <v>1.15</v>
      </c>
      <c r="E11816" s="4" t="n">
        <v>635000</v>
      </c>
      <c r="F11816" s="4" t="n">
        <v>730250</v>
      </c>
    </row>
    <row r="11817">
      <c r="D11817" s="2" t="inlineStr">
        <is>
          <t>SUBTOTAL UPAH</t>
        </is>
      </c>
      <c r="F11817" s="16" t="n">
        <v>35575</v>
      </c>
    </row>
    <row r="11818">
      <c r="D11818" s="2" t="inlineStr">
        <is>
          <t>SUBTOTAL BAHAN</t>
        </is>
      </c>
      <c r="F11818" s="16" t="n">
        <v>730250</v>
      </c>
    </row>
    <row r="11819">
      <c r="D11819" s="2" t="inlineStr">
        <is>
          <t>SUBTOTAL ALAT</t>
        </is>
      </c>
      <c r="F11819" s="16" t="n">
        <v>0</v>
      </c>
    </row>
    <row r="11820">
      <c r="E11820" s="2" t="inlineStr">
        <is>
          <t>TOTAL HARGA SATUAN (Inc. Overhead)</t>
        </is>
      </c>
      <c r="F11820" s="17" t="n">
        <v>842407</v>
      </c>
    </row>
    <row r="11822">
      <c r="A11822" s="14" t="inlineStr">
        <is>
          <t>KODE: 5.6.1.16 - Pemasangan 1 Unit Automatic Air Vent dia. 80mm</t>
        </is>
      </c>
    </row>
    <row r="11823">
      <c r="A11823" s="10" t="inlineStr">
        <is>
          <t>No</t>
        </is>
      </c>
      <c r="B11823" s="10" t="inlineStr">
        <is>
          <t>Uraian Komponen</t>
        </is>
      </c>
      <c r="C11823" s="10" t="inlineStr">
        <is>
          <t>Satuan</t>
        </is>
      </c>
      <c r="D11823" s="10" t="inlineStr">
        <is>
          <t>Koef</t>
        </is>
      </c>
      <c r="E11823" s="10" t="inlineStr">
        <is>
          <t>Harga Satuan (Rp)</t>
        </is>
      </c>
      <c r="F11823" s="10" t="inlineStr">
        <is>
          <t>Jumlah Harga (Rp)</t>
        </is>
      </c>
    </row>
    <row r="11824">
      <c r="A11824" s="3" t="inlineStr">
        <is>
          <t>1</t>
        </is>
      </c>
      <c r="B11824" s="3" t="inlineStr">
        <is>
          <t>Pekerja</t>
        </is>
      </c>
      <c r="C11824" s="3" t="inlineStr">
        <is>
          <t>OH</t>
        </is>
      </c>
      <c r="D11824" s="15" t="n">
        <v>0.183</v>
      </c>
      <c r="E11824" s="4" t="n">
        <v>100000</v>
      </c>
      <c r="F11824" s="4" t="n">
        <v>18300</v>
      </c>
    </row>
    <row r="11825">
      <c r="A11825" s="3" t="inlineStr">
        <is>
          <t>2</t>
        </is>
      </c>
      <c r="B11825" s="3" t="inlineStr">
        <is>
          <t>Tukang Pipa</t>
        </is>
      </c>
      <c r="C11825" s="3" t="inlineStr">
        <is>
          <t>OH</t>
        </is>
      </c>
      <c r="D11825" s="15" t="n">
        <v>0.306</v>
      </c>
      <c r="E11825" s="4" t="n">
        <v>145000</v>
      </c>
      <c r="F11825" s="4" t="n">
        <v>44370</v>
      </c>
    </row>
    <row r="11826">
      <c r="A11826" s="3" t="inlineStr">
        <is>
          <t>3</t>
        </is>
      </c>
      <c r="B11826" s="3" t="inlineStr">
        <is>
          <t>Kepala tukang</t>
        </is>
      </c>
      <c r="C11826" s="3" t="inlineStr">
        <is>
          <t>OH</t>
        </is>
      </c>
      <c r="D11826" s="15" t="n">
        <v>0.031</v>
      </c>
      <c r="E11826" s="4" t="n">
        <v>175000</v>
      </c>
      <c r="F11826" s="4" t="n">
        <v>5425</v>
      </c>
    </row>
    <row r="11827">
      <c r="A11827" s="3" t="inlineStr">
        <is>
          <t>4</t>
        </is>
      </c>
      <c r="B11827" s="3" t="inlineStr">
        <is>
          <t>Mandor</t>
        </is>
      </c>
      <c r="C11827" s="3" t="inlineStr">
        <is>
          <t>OH</t>
        </is>
      </c>
      <c r="D11827" s="15" t="n">
        <v>0.01</v>
      </c>
      <c r="E11827" s="4" t="n">
        <v>200000</v>
      </c>
      <c r="F11827" s="4" t="n">
        <v>2000</v>
      </c>
    </row>
    <row r="11828">
      <c r="A11828" s="3" t="inlineStr">
        <is>
          <t>1</t>
        </is>
      </c>
      <c r="B11828" s="3" t="inlineStr">
        <is>
          <t>Automatic Air Vent  dia. 80 mm</t>
        </is>
      </c>
      <c r="C11828" s="3" t="inlineStr">
        <is>
          <t>unit</t>
        </is>
      </c>
      <c r="D11828" s="15" t="n">
        <v>1.15</v>
      </c>
      <c r="E11828" s="4" t="n">
        <v>766500</v>
      </c>
      <c r="F11828" s="4" t="n">
        <v>881474.9999999999</v>
      </c>
    </row>
    <row r="11829">
      <c r="D11829" s="2" t="inlineStr">
        <is>
          <t>SUBTOTAL UPAH</t>
        </is>
      </c>
      <c r="F11829" s="16" t="n">
        <v>70095</v>
      </c>
    </row>
    <row r="11830">
      <c r="D11830" s="2" t="inlineStr">
        <is>
          <t>SUBTOTAL BAHAN</t>
        </is>
      </c>
      <c r="F11830" s="16" t="n">
        <v>881474.9999999999</v>
      </c>
    </row>
    <row r="11831">
      <c r="D11831" s="2" t="inlineStr">
        <is>
          <t>SUBTOTAL ALAT</t>
        </is>
      </c>
      <c r="F11831" s="16" t="n">
        <v>0</v>
      </c>
    </row>
    <row r="11832">
      <c r="E11832" s="2" t="inlineStr">
        <is>
          <t>TOTAL HARGA SATUAN (Inc. Overhead)</t>
        </is>
      </c>
      <c r="F11832" s="17" t="n">
        <v>1046727</v>
      </c>
    </row>
    <row r="11834">
      <c r="A11834" s="14" t="inlineStr">
        <is>
          <t>KODE: 5.6.1.17 - Pemasangan 1 Unit Automatic Air Vent dia. 100mm</t>
        </is>
      </c>
    </row>
    <row r="11835">
      <c r="A11835" s="10" t="inlineStr">
        <is>
          <t>No</t>
        </is>
      </c>
      <c r="B11835" s="10" t="inlineStr">
        <is>
          <t>Uraian Komponen</t>
        </is>
      </c>
      <c r="C11835" s="10" t="inlineStr">
        <is>
          <t>Satuan</t>
        </is>
      </c>
      <c r="D11835" s="10" t="inlineStr">
        <is>
          <t>Koef</t>
        </is>
      </c>
      <c r="E11835" s="10" t="inlineStr">
        <is>
          <t>Harga Satuan (Rp)</t>
        </is>
      </c>
      <c r="F11835" s="10" t="inlineStr">
        <is>
          <t>Jumlah Harga (Rp)</t>
        </is>
      </c>
    </row>
    <row r="11836">
      <c r="A11836" s="3" t="inlineStr">
        <is>
          <t>1</t>
        </is>
      </c>
      <c r="B11836" s="3" t="inlineStr">
        <is>
          <t>Pekerja</t>
        </is>
      </c>
      <c r="C11836" s="3" t="inlineStr">
        <is>
          <t>OH</t>
        </is>
      </c>
      <c r="D11836" s="15" t="n">
        <v>0.631</v>
      </c>
      <c r="E11836" s="4" t="n">
        <v>100000</v>
      </c>
      <c r="F11836" s="4" t="n">
        <v>63100</v>
      </c>
    </row>
    <row r="11837">
      <c r="A11837" s="3" t="inlineStr">
        <is>
          <t>2</t>
        </is>
      </c>
      <c r="B11837" s="3" t="inlineStr">
        <is>
          <t>Tukang Pipa</t>
        </is>
      </c>
      <c r="C11837" s="3" t="inlineStr">
        <is>
          <t>OH</t>
        </is>
      </c>
      <c r="D11837" s="15" t="n">
        <v>1.054</v>
      </c>
      <c r="E11837" s="4" t="n">
        <v>145000</v>
      </c>
      <c r="F11837" s="4" t="n">
        <v>152830</v>
      </c>
    </row>
    <row r="11838">
      <c r="A11838" s="3" t="inlineStr">
        <is>
          <t>3</t>
        </is>
      </c>
      <c r="B11838" s="3" t="inlineStr">
        <is>
          <t>Kepala tukang</t>
        </is>
      </c>
      <c r="C11838" s="3" t="inlineStr">
        <is>
          <t>OH</t>
        </is>
      </c>
      <c r="D11838" s="15" t="n">
        <v>0.105</v>
      </c>
      <c r="E11838" s="4" t="n">
        <v>175000</v>
      </c>
      <c r="F11838" s="4" t="n">
        <v>18375</v>
      </c>
    </row>
    <row r="11839">
      <c r="A11839" s="3" t="inlineStr">
        <is>
          <t>4</t>
        </is>
      </c>
      <c r="B11839" s="3" t="inlineStr">
        <is>
          <t>Mandor</t>
        </is>
      </c>
      <c r="C11839" s="3" t="inlineStr">
        <is>
          <t>OH</t>
        </is>
      </c>
      <c r="D11839" s="15" t="n">
        <v>0.035</v>
      </c>
      <c r="E11839" s="4" t="n">
        <v>200000</v>
      </c>
      <c r="F11839" s="4" t="n">
        <v>7000.000000000001</v>
      </c>
    </row>
    <row r="11840">
      <c r="A11840" s="3" t="inlineStr">
        <is>
          <t>1</t>
        </is>
      </c>
      <c r="B11840" s="3" t="inlineStr">
        <is>
          <t>Automatic Air Vent  dia. 100 mm</t>
        </is>
      </c>
      <c r="C11840" s="3" t="inlineStr">
        <is>
          <t>unit</t>
        </is>
      </c>
      <c r="D11840" s="15" t="n">
        <v>1.3</v>
      </c>
      <c r="E11840" s="4" t="n">
        <v>980000</v>
      </c>
      <c r="F11840" s="4" t="n">
        <v>1274000</v>
      </c>
    </row>
    <row r="11841">
      <c r="D11841" s="2" t="inlineStr">
        <is>
          <t>SUBTOTAL UPAH</t>
        </is>
      </c>
      <c r="F11841" s="16" t="n">
        <v>241305</v>
      </c>
    </row>
    <row r="11842">
      <c r="D11842" s="2" t="inlineStr">
        <is>
          <t>SUBTOTAL BAHAN</t>
        </is>
      </c>
      <c r="F11842" s="16" t="n">
        <v>1274000</v>
      </c>
    </row>
    <row r="11843">
      <c r="D11843" s="2" t="inlineStr">
        <is>
          <t>SUBTOTAL ALAT</t>
        </is>
      </c>
      <c r="F11843" s="16" t="n">
        <v>0</v>
      </c>
    </row>
    <row r="11844">
      <c r="E11844" s="2" t="inlineStr">
        <is>
          <t>TOTAL HARGA SATUAN (Inc. Overhead)</t>
        </is>
      </c>
      <c r="F11844" s="17" t="n">
        <v>1666835</v>
      </c>
    </row>
    <row r="11846">
      <c r="A11846" s="14" t="inlineStr">
        <is>
          <t>KODE: 5.6.1.18 - Pemasangan 1 Unit Automatic Air Vent dia. 150mm</t>
        </is>
      </c>
    </row>
    <row r="11847">
      <c r="A11847" s="10" t="inlineStr">
        <is>
          <t>No</t>
        </is>
      </c>
      <c r="B11847" s="10" t="inlineStr">
        <is>
          <t>Uraian Komponen</t>
        </is>
      </c>
      <c r="C11847" s="10" t="inlineStr">
        <is>
          <t>Satuan</t>
        </is>
      </c>
      <c r="D11847" s="10" t="inlineStr">
        <is>
          <t>Koef</t>
        </is>
      </c>
      <c r="E11847" s="10" t="inlineStr">
        <is>
          <t>Harga Satuan (Rp)</t>
        </is>
      </c>
      <c r="F11847" s="10" t="inlineStr">
        <is>
          <t>Jumlah Harga (Rp)</t>
        </is>
      </c>
    </row>
    <row r="11848">
      <c r="A11848" s="3" t="inlineStr">
        <is>
          <t>1</t>
        </is>
      </c>
      <c r="B11848" s="3" t="inlineStr">
        <is>
          <t>Pekerja</t>
        </is>
      </c>
      <c r="C11848" s="3" t="inlineStr">
        <is>
          <t>OH</t>
        </is>
      </c>
      <c r="D11848" s="15" t="n">
        <v>0.9399999999999999</v>
      </c>
      <c r="E11848" s="4" t="n">
        <v>100000</v>
      </c>
      <c r="F11848" s="4" t="n">
        <v>94000</v>
      </c>
    </row>
    <row r="11849">
      <c r="A11849" s="3" t="inlineStr">
        <is>
          <t>2</t>
        </is>
      </c>
      <c r="B11849" s="3" t="inlineStr">
        <is>
          <t>Tukang Pipa</t>
        </is>
      </c>
      <c r="C11849" s="3" t="inlineStr">
        <is>
          <t>OH</t>
        </is>
      </c>
      <c r="D11849" s="15" t="n">
        <v>1.571</v>
      </c>
      <c r="E11849" s="4" t="n">
        <v>145000</v>
      </c>
      <c r="F11849" s="4" t="n">
        <v>227795</v>
      </c>
    </row>
    <row r="11850">
      <c r="A11850" s="3" t="inlineStr">
        <is>
          <t>3</t>
        </is>
      </c>
      <c r="B11850" s="3" t="inlineStr">
        <is>
          <t>Kepala tukang</t>
        </is>
      </c>
      <c r="C11850" s="3" t="inlineStr">
        <is>
          <t>OH</t>
        </is>
      </c>
      <c r="D11850" s="15" t="n">
        <v>0.157</v>
      </c>
      <c r="E11850" s="4" t="n">
        <v>175000</v>
      </c>
      <c r="F11850" s="4" t="n">
        <v>27475</v>
      </c>
    </row>
    <row r="11851">
      <c r="A11851" s="3" t="inlineStr">
        <is>
          <t>4</t>
        </is>
      </c>
      <c r="B11851" s="3" t="inlineStr">
        <is>
          <t>Mandor</t>
        </is>
      </c>
      <c r="C11851" s="3" t="inlineStr">
        <is>
          <t>OH</t>
        </is>
      </c>
      <c r="D11851" s="15" t="n">
        <v>0.052</v>
      </c>
      <c r="E11851" s="4" t="n">
        <v>200000</v>
      </c>
      <c r="F11851" s="4" t="n">
        <v>10400</v>
      </c>
    </row>
    <row r="11852">
      <c r="A11852" s="3" t="inlineStr">
        <is>
          <t>1</t>
        </is>
      </c>
      <c r="B11852" s="3" t="inlineStr">
        <is>
          <t>Automatic Air Vent  dia. 150 mm</t>
        </is>
      </c>
      <c r="C11852" s="3" t="inlineStr">
        <is>
          <t>unit</t>
        </is>
      </c>
      <c r="D11852" s="15" t="n">
        <v>1.3</v>
      </c>
      <c r="E11852" s="4" t="n">
        <v>1150000</v>
      </c>
      <c r="F11852" s="4" t="n">
        <v>1495000</v>
      </c>
    </row>
    <row r="11853">
      <c r="D11853" s="2" t="inlineStr">
        <is>
          <t>SUBTOTAL UPAH</t>
        </is>
      </c>
      <c r="F11853" s="16" t="n">
        <v>359670</v>
      </c>
    </row>
    <row r="11854">
      <c r="D11854" s="2" t="inlineStr">
        <is>
          <t>SUBTOTAL BAHAN</t>
        </is>
      </c>
      <c r="F11854" s="16" t="n">
        <v>1495000</v>
      </c>
    </row>
    <row r="11855">
      <c r="D11855" s="2" t="inlineStr">
        <is>
          <t>SUBTOTAL ALAT</t>
        </is>
      </c>
      <c r="F11855" s="16" t="n">
        <v>0</v>
      </c>
    </row>
    <row r="11856">
      <c r="E11856" s="2" t="inlineStr">
        <is>
          <t>TOTAL HARGA SATUAN (Inc. Overhead)</t>
        </is>
      </c>
      <c r="F11856" s="17" t="n">
        <v>2040137</v>
      </c>
    </row>
    <row r="11858">
      <c r="A11858" s="14" t="inlineStr">
        <is>
          <t>KODE: 5.6.1.19 - Pemasangan 1 Unit Flow Meter Analog dia.100 mm</t>
        </is>
      </c>
    </row>
    <row r="11859">
      <c r="A11859" s="10" t="inlineStr">
        <is>
          <t>No</t>
        </is>
      </c>
      <c r="B11859" s="10" t="inlineStr">
        <is>
          <t>Uraian Komponen</t>
        </is>
      </c>
      <c r="C11859" s="10" t="inlineStr">
        <is>
          <t>Satuan</t>
        </is>
      </c>
      <c r="D11859" s="10" t="inlineStr">
        <is>
          <t>Koef</t>
        </is>
      </c>
      <c r="E11859" s="10" t="inlineStr">
        <is>
          <t>Harga Satuan (Rp)</t>
        </is>
      </c>
      <c r="F11859" s="10" t="inlineStr">
        <is>
          <t>Jumlah Harga (Rp)</t>
        </is>
      </c>
    </row>
    <row r="11860">
      <c r="A11860" s="3" t="inlineStr">
        <is>
          <t>1</t>
        </is>
      </c>
      <c r="B11860" s="3" t="inlineStr">
        <is>
          <t>Pekerja</t>
        </is>
      </c>
      <c r="C11860" s="3" t="inlineStr">
        <is>
          <t>OH</t>
        </is>
      </c>
      <c r="D11860" s="15" t="n">
        <v>0.721</v>
      </c>
      <c r="E11860" s="4" t="n">
        <v>100000</v>
      </c>
      <c r="F11860" s="4" t="n">
        <v>72100</v>
      </c>
    </row>
    <row r="11861">
      <c r="A11861" s="3" t="inlineStr">
        <is>
          <t>2</t>
        </is>
      </c>
      <c r="B11861" s="3" t="inlineStr">
        <is>
          <t>Tukang Pipa</t>
        </is>
      </c>
      <c r="C11861" s="3" t="inlineStr">
        <is>
          <t>OH</t>
        </is>
      </c>
      <c r="D11861" s="15" t="n">
        <v>1.205</v>
      </c>
      <c r="E11861" s="4" t="n">
        <v>145000</v>
      </c>
      <c r="F11861" s="4" t="n">
        <v>174725</v>
      </c>
    </row>
    <row r="11862">
      <c r="A11862" s="3" t="inlineStr">
        <is>
          <t>3</t>
        </is>
      </c>
      <c r="B11862" s="3" t="inlineStr">
        <is>
          <t>Kepala tukang</t>
        </is>
      </c>
      <c r="C11862" s="3" t="inlineStr">
        <is>
          <t>OH</t>
        </is>
      </c>
      <c r="D11862" s="15" t="n">
        <v>0.12</v>
      </c>
      <c r="E11862" s="4" t="n">
        <v>175000</v>
      </c>
      <c r="F11862" s="4" t="n">
        <v>21000</v>
      </c>
    </row>
    <row r="11863">
      <c r="A11863" s="3" t="inlineStr">
        <is>
          <t>4</t>
        </is>
      </c>
      <c r="B11863" s="3" t="inlineStr">
        <is>
          <t>Mandor</t>
        </is>
      </c>
      <c r="C11863" s="3" t="inlineStr">
        <is>
          <t>OH</t>
        </is>
      </c>
      <c r="D11863" s="15" t="n">
        <v>0.04</v>
      </c>
      <c r="E11863" s="4" t="n">
        <v>200000</v>
      </c>
      <c r="F11863" s="4" t="n">
        <v>8000</v>
      </c>
    </row>
    <row r="11864">
      <c r="A11864" s="3" t="inlineStr">
        <is>
          <t>1</t>
        </is>
      </c>
      <c r="B11864" s="3" t="inlineStr">
        <is>
          <t>Flow Meter Analog dia. 100 mm</t>
        </is>
      </c>
      <c r="C11864" s="3" t="inlineStr">
        <is>
          <t>unit</t>
        </is>
      </c>
      <c r="D11864" s="15" t="n">
        <v>1.1</v>
      </c>
      <c r="E11864" s="4" t="n">
        <v>1300000</v>
      </c>
      <c r="F11864" s="4" t="n">
        <v>1430000</v>
      </c>
    </row>
    <row r="11865">
      <c r="D11865" s="2" t="inlineStr">
        <is>
          <t>SUBTOTAL UPAH</t>
        </is>
      </c>
      <c r="F11865" s="16" t="n">
        <v>275825</v>
      </c>
    </row>
    <row r="11866">
      <c r="D11866" s="2" t="inlineStr">
        <is>
          <t>SUBTOTAL BAHAN</t>
        </is>
      </c>
      <c r="F11866" s="16" t="n">
        <v>1430000</v>
      </c>
    </row>
    <row r="11867">
      <c r="D11867" s="2" t="inlineStr">
        <is>
          <t>SUBTOTAL ALAT</t>
        </is>
      </c>
      <c r="F11867" s="16" t="n">
        <v>0</v>
      </c>
    </row>
    <row r="11868">
      <c r="E11868" s="2" t="inlineStr">
        <is>
          <t>TOTAL HARGA SATUAN (Inc. Overhead)</t>
        </is>
      </c>
      <c r="F11868" s="17" t="n">
        <v>1876407</v>
      </c>
    </row>
    <row r="11870">
      <c r="A11870" s="14" t="inlineStr">
        <is>
          <t>KODE: 5.6.1.20 - Pemasangan 1 Unit Flow Meter Analog dia.200 mm</t>
        </is>
      </c>
    </row>
    <row r="11871">
      <c r="A11871" s="10" t="inlineStr">
        <is>
          <t>No</t>
        </is>
      </c>
      <c r="B11871" s="10" t="inlineStr">
        <is>
          <t>Uraian Komponen</t>
        </is>
      </c>
      <c r="C11871" s="10" t="inlineStr">
        <is>
          <t>Satuan</t>
        </is>
      </c>
      <c r="D11871" s="10" t="inlineStr">
        <is>
          <t>Koef</t>
        </is>
      </c>
      <c r="E11871" s="10" t="inlineStr">
        <is>
          <t>Harga Satuan (Rp)</t>
        </is>
      </c>
      <c r="F11871" s="10" t="inlineStr">
        <is>
          <t>Jumlah Harga (Rp)</t>
        </is>
      </c>
    </row>
    <row r="11872">
      <c r="A11872" s="3" t="inlineStr">
        <is>
          <t>1</t>
        </is>
      </c>
      <c r="B11872" s="3" t="inlineStr">
        <is>
          <t>Pekerja</t>
        </is>
      </c>
      <c r="C11872" s="3" t="inlineStr">
        <is>
          <t>OH</t>
        </is>
      </c>
      <c r="D11872" s="15" t="n">
        <v>0.762</v>
      </c>
      <c r="E11872" s="4" t="n">
        <v>100000</v>
      </c>
      <c r="F11872" s="4" t="n">
        <v>76200</v>
      </c>
    </row>
    <row r="11873">
      <c r="A11873" s="3" t="inlineStr">
        <is>
          <t>2</t>
        </is>
      </c>
      <c r="B11873" s="3" t="inlineStr">
        <is>
          <t>Tukang Pipa</t>
        </is>
      </c>
      <c r="C11873" s="3" t="inlineStr">
        <is>
          <t>OH</t>
        </is>
      </c>
      <c r="D11873" s="15" t="n">
        <v>1.272</v>
      </c>
      <c r="E11873" s="4" t="n">
        <v>145000</v>
      </c>
      <c r="F11873" s="4" t="n">
        <v>184440</v>
      </c>
    </row>
    <row r="11874">
      <c r="A11874" s="3" t="inlineStr">
        <is>
          <t>3</t>
        </is>
      </c>
      <c r="B11874" s="3" t="inlineStr">
        <is>
          <t>Kepala tukang</t>
        </is>
      </c>
      <c r="C11874" s="3" t="inlineStr">
        <is>
          <t>OH</t>
        </is>
      </c>
      <c r="D11874" s="15" t="n">
        <v>0.127</v>
      </c>
      <c r="E11874" s="4" t="n">
        <v>175000</v>
      </c>
      <c r="F11874" s="4" t="n">
        <v>22225</v>
      </c>
    </row>
    <row r="11875">
      <c r="A11875" s="3" t="inlineStr">
        <is>
          <t>4</t>
        </is>
      </c>
      <c r="B11875" s="3" t="inlineStr">
        <is>
          <t>Mandor</t>
        </is>
      </c>
      <c r="C11875" s="3" t="inlineStr">
        <is>
          <t>OH</t>
        </is>
      </c>
      <c r="D11875" s="15" t="n">
        <v>0.042</v>
      </c>
      <c r="E11875" s="4" t="n">
        <v>200000</v>
      </c>
      <c r="F11875" s="4" t="n">
        <v>8400</v>
      </c>
    </row>
    <row r="11876">
      <c r="A11876" s="3" t="inlineStr">
        <is>
          <t>1</t>
        </is>
      </c>
      <c r="B11876" s="3" t="inlineStr">
        <is>
          <t>Flow Meter Analog dia. 200 mm</t>
        </is>
      </c>
      <c r="C11876" s="3" t="inlineStr">
        <is>
          <t>unit</t>
        </is>
      </c>
      <c r="D11876" s="15" t="n">
        <v>1.1</v>
      </c>
      <c r="E11876" s="4" t="n">
        <v>1500000</v>
      </c>
      <c r="F11876" s="4" t="n">
        <v>1650000</v>
      </c>
    </row>
    <row r="11877">
      <c r="D11877" s="2" t="inlineStr">
        <is>
          <t>SUBTOTAL UPAH</t>
        </is>
      </c>
      <c r="F11877" s="16" t="n">
        <v>291265</v>
      </c>
    </row>
    <row r="11878">
      <c r="D11878" s="2" t="inlineStr">
        <is>
          <t>SUBTOTAL BAHAN</t>
        </is>
      </c>
      <c r="F11878" s="16" t="n">
        <v>1650000</v>
      </c>
    </row>
    <row r="11879">
      <c r="D11879" s="2" t="inlineStr">
        <is>
          <t>SUBTOTAL ALAT</t>
        </is>
      </c>
      <c r="F11879" s="16" t="n">
        <v>0</v>
      </c>
    </row>
    <row r="11880">
      <c r="E11880" s="2" t="inlineStr">
        <is>
          <t>TOTAL HARGA SATUAN (Inc. Overhead)</t>
        </is>
      </c>
      <c r="F11880" s="17" t="n">
        <v>2135391</v>
      </c>
    </row>
    <row r="11882">
      <c r="A11882" s="14" t="inlineStr">
        <is>
          <t>KODE: 5.6.1.21 - Pemasangan 1 Unit Landing Velve 2,5"</t>
        </is>
      </c>
    </row>
    <row r="11883">
      <c r="A11883" s="10" t="inlineStr">
        <is>
          <t>No</t>
        </is>
      </c>
      <c r="B11883" s="10" t="inlineStr">
        <is>
          <t>Uraian Komponen</t>
        </is>
      </c>
      <c r="C11883" s="10" t="inlineStr">
        <is>
          <t>Satuan</t>
        </is>
      </c>
      <c r="D11883" s="10" t="inlineStr">
        <is>
          <t>Koef</t>
        </is>
      </c>
      <c r="E11883" s="10" t="inlineStr">
        <is>
          <t>Harga Satuan (Rp)</t>
        </is>
      </c>
      <c r="F11883" s="10" t="inlineStr">
        <is>
          <t>Jumlah Harga (Rp)</t>
        </is>
      </c>
    </row>
    <row r="11884">
      <c r="A11884" s="3" t="inlineStr">
        <is>
          <t>1</t>
        </is>
      </c>
      <c r="B11884" s="3" t="inlineStr">
        <is>
          <t>Pekerja</t>
        </is>
      </c>
      <c r="C11884" s="3" t="inlineStr">
        <is>
          <t>OH</t>
        </is>
      </c>
      <c r="D11884" s="15" t="n">
        <v>0.21</v>
      </c>
      <c r="E11884" s="4" t="n">
        <v>100000</v>
      </c>
      <c r="F11884" s="4" t="n">
        <v>21000</v>
      </c>
    </row>
    <row r="11885">
      <c r="A11885" s="3" t="inlineStr">
        <is>
          <t>2</t>
        </is>
      </c>
      <c r="B11885" s="3" t="inlineStr">
        <is>
          <t>Tukang Pipa</t>
        </is>
      </c>
      <c r="C11885" s="3" t="inlineStr">
        <is>
          <t>OH</t>
        </is>
      </c>
      <c r="D11885" s="15" t="n">
        <v>0.35</v>
      </c>
      <c r="E11885" s="4" t="n">
        <v>145000</v>
      </c>
      <c r="F11885" s="4" t="n">
        <v>50750</v>
      </c>
    </row>
    <row r="11886">
      <c r="A11886" s="3" t="inlineStr">
        <is>
          <t>3</t>
        </is>
      </c>
      <c r="B11886" s="3" t="inlineStr">
        <is>
          <t>Kepala tukang</t>
        </is>
      </c>
      <c r="C11886" s="3" t="inlineStr">
        <is>
          <t>OH</t>
        </is>
      </c>
      <c r="D11886" s="15" t="n">
        <v>0.035</v>
      </c>
      <c r="E11886" s="4" t="n">
        <v>175000</v>
      </c>
      <c r="F11886" s="4" t="n">
        <v>6125.000000000001</v>
      </c>
    </row>
    <row r="11887">
      <c r="A11887" s="3" t="inlineStr">
        <is>
          <t>4</t>
        </is>
      </c>
      <c r="B11887" s="3" t="inlineStr">
        <is>
          <t>Mandor</t>
        </is>
      </c>
      <c r="C11887" s="3" t="inlineStr">
        <is>
          <t>OH</t>
        </is>
      </c>
      <c r="D11887" s="15" t="n">
        <v>0.012</v>
      </c>
      <c r="E11887" s="4" t="n">
        <v>200000</v>
      </c>
      <c r="F11887" s="4" t="n">
        <v>2400</v>
      </c>
    </row>
    <row r="11888">
      <c r="A11888" s="3" t="inlineStr">
        <is>
          <t>1</t>
        </is>
      </c>
      <c r="B11888" s="3" t="inlineStr">
        <is>
          <t>"Landing Velve 2 5"""</t>
        </is>
      </c>
      <c r="C11888" s="3" t="inlineStr">
        <is>
          <t>unit</t>
        </is>
      </c>
      <c r="D11888" s="15" t="n">
        <v>1.15</v>
      </c>
      <c r="E11888" s="4" t="n">
        <v>1259000</v>
      </c>
      <c r="F11888" s="4" t="n">
        <v>1447850</v>
      </c>
    </row>
    <row r="11889">
      <c r="D11889" s="2" t="inlineStr">
        <is>
          <t>SUBTOTAL UPAH</t>
        </is>
      </c>
      <c r="F11889" s="16" t="n">
        <v>80275</v>
      </c>
    </row>
    <row r="11890">
      <c r="D11890" s="2" t="inlineStr">
        <is>
          <t>SUBTOTAL BAHAN</t>
        </is>
      </c>
      <c r="F11890" s="16" t="n">
        <v>1447850</v>
      </c>
    </row>
    <row r="11891">
      <c r="D11891" s="2" t="inlineStr">
        <is>
          <t>SUBTOTAL ALAT</t>
        </is>
      </c>
      <c r="F11891" s="16" t="n">
        <v>0</v>
      </c>
    </row>
    <row r="11892">
      <c r="E11892" s="2" t="inlineStr">
        <is>
          <t>TOTAL HARGA SATUAN (Inc. Overhead)</t>
        </is>
      </c>
      <c r="F11892" s="17" t="n">
        <v>1680937</v>
      </c>
    </row>
    <row r="11894">
      <c r="A11894" s="14" t="inlineStr">
        <is>
          <t>KODE: 5.6.1.22 - Pemasangan 1 Unit Orifice Plate dia. 25 mm</t>
        </is>
      </c>
    </row>
    <row r="11895">
      <c r="A11895" s="10" t="inlineStr">
        <is>
          <t>No</t>
        </is>
      </c>
      <c r="B11895" s="10" t="inlineStr">
        <is>
          <t>Uraian Komponen</t>
        </is>
      </c>
      <c r="C11895" s="10" t="inlineStr">
        <is>
          <t>Satuan</t>
        </is>
      </c>
      <c r="D11895" s="10" t="inlineStr">
        <is>
          <t>Koef</t>
        </is>
      </c>
      <c r="E11895" s="10" t="inlineStr">
        <is>
          <t>Harga Satuan (Rp)</t>
        </is>
      </c>
      <c r="F11895" s="10" t="inlineStr">
        <is>
          <t>Jumlah Harga (Rp)</t>
        </is>
      </c>
    </row>
    <row r="11896">
      <c r="A11896" s="3" t="inlineStr">
        <is>
          <t>1</t>
        </is>
      </c>
      <c r="B11896" s="3" t="inlineStr">
        <is>
          <t>Pekerja</t>
        </is>
      </c>
      <c r="C11896" s="3" t="inlineStr">
        <is>
          <t>OH</t>
        </is>
      </c>
      <c r="D11896" s="15" t="n">
        <v>0.064</v>
      </c>
      <c r="E11896" s="4" t="n">
        <v>100000</v>
      </c>
      <c r="F11896" s="4" t="n">
        <v>6400</v>
      </c>
    </row>
    <row r="11897">
      <c r="A11897" s="3" t="inlineStr">
        <is>
          <t>2</t>
        </is>
      </c>
      <c r="B11897" s="3" t="inlineStr">
        <is>
          <t>Tukang Pipa</t>
        </is>
      </c>
      <c r="C11897" s="3" t="inlineStr">
        <is>
          <t>OH</t>
        </is>
      </c>
      <c r="D11897" s="15" t="n">
        <v>0.107</v>
      </c>
      <c r="E11897" s="4" t="n">
        <v>145000</v>
      </c>
      <c r="F11897" s="4" t="n">
        <v>15515</v>
      </c>
    </row>
    <row r="11898">
      <c r="A11898" s="3" t="inlineStr">
        <is>
          <t>3</t>
        </is>
      </c>
      <c r="B11898" s="3" t="inlineStr">
        <is>
          <t>Kepala tukang</t>
        </is>
      </c>
      <c r="C11898" s="3" t="inlineStr">
        <is>
          <t>OH</t>
        </is>
      </c>
      <c r="D11898" s="15" t="n">
        <v>0.011</v>
      </c>
      <c r="E11898" s="4" t="n">
        <v>175000</v>
      </c>
      <c r="F11898" s="4" t="n">
        <v>1925</v>
      </c>
    </row>
    <row r="11899">
      <c r="A11899" s="3" t="inlineStr">
        <is>
          <t>4</t>
        </is>
      </c>
      <c r="B11899" s="3" t="inlineStr">
        <is>
          <t>Mandor</t>
        </is>
      </c>
      <c r="C11899" s="3" t="inlineStr">
        <is>
          <t>OH</t>
        </is>
      </c>
      <c r="D11899" s="15" t="n">
        <v>0.004</v>
      </c>
      <c r="E11899" s="4" t="n">
        <v>200000</v>
      </c>
      <c r="F11899" s="4" t="n">
        <v>800</v>
      </c>
    </row>
    <row r="11900">
      <c r="A11900" s="3" t="inlineStr">
        <is>
          <t>1</t>
        </is>
      </c>
      <c r="B11900" s="3" t="inlineStr">
        <is>
          <t>Orifice Plate dia. 25 mm</t>
        </is>
      </c>
      <c r="C11900" s="3" t="inlineStr">
        <is>
          <t>unit</t>
        </is>
      </c>
      <c r="D11900" s="15" t="n">
        <v>1.1</v>
      </c>
      <c r="E11900" s="4" t="n">
        <v>1500000</v>
      </c>
      <c r="F11900" s="4" t="n">
        <v>1650000</v>
      </c>
    </row>
    <row r="11901">
      <c r="D11901" s="2" t="inlineStr">
        <is>
          <t>SUBTOTAL UPAH</t>
        </is>
      </c>
      <c r="F11901" s="16" t="n">
        <v>24640</v>
      </c>
    </row>
    <row r="11902">
      <c r="D11902" s="2" t="inlineStr">
        <is>
          <t>SUBTOTAL BAHAN</t>
        </is>
      </c>
      <c r="F11902" s="16" t="n">
        <v>1650000</v>
      </c>
    </row>
    <row r="11903">
      <c r="D11903" s="2" t="inlineStr">
        <is>
          <t>SUBTOTAL ALAT</t>
        </is>
      </c>
      <c r="F11903" s="16" t="n">
        <v>0</v>
      </c>
    </row>
    <row r="11904">
      <c r="E11904" s="2" t="inlineStr">
        <is>
          <t>TOTAL HARGA SATUAN (Inc. Overhead)</t>
        </is>
      </c>
      <c r="F11904" s="17" t="n">
        <v>1842104</v>
      </c>
    </row>
    <row r="11906">
      <c r="A11906" s="14" t="inlineStr">
        <is>
          <t>KODE: 5.6.2.1 - Pemasangan 1 unit Sprinkler Head Pendant</t>
        </is>
      </c>
    </row>
    <row r="11907">
      <c r="A11907" s="10" t="inlineStr">
        <is>
          <t>No</t>
        </is>
      </c>
      <c r="B11907" s="10" t="inlineStr">
        <is>
          <t>Uraian Komponen</t>
        </is>
      </c>
      <c r="C11907" s="10" t="inlineStr">
        <is>
          <t>Satuan</t>
        </is>
      </c>
      <c r="D11907" s="10" t="inlineStr">
        <is>
          <t>Koef</t>
        </is>
      </c>
      <c r="E11907" s="10" t="inlineStr">
        <is>
          <t>Harga Satuan (Rp)</t>
        </is>
      </c>
      <c r="F11907" s="10" t="inlineStr">
        <is>
          <t>Jumlah Harga (Rp)</t>
        </is>
      </c>
    </row>
    <row r="11908">
      <c r="A11908" s="3" t="inlineStr">
        <is>
          <t>1</t>
        </is>
      </c>
      <c r="B11908" s="3" t="inlineStr">
        <is>
          <t>Pekerja</t>
        </is>
      </c>
      <c r="C11908" s="3" t="inlineStr">
        <is>
          <t>OH</t>
        </is>
      </c>
      <c r="D11908" s="15" t="n">
        <v>0.052</v>
      </c>
      <c r="E11908" s="4" t="n">
        <v>100000</v>
      </c>
      <c r="F11908" s="4" t="n">
        <v>5200</v>
      </c>
    </row>
    <row r="11909">
      <c r="A11909" s="3" t="inlineStr">
        <is>
          <t>2</t>
        </is>
      </c>
      <c r="B11909" s="3" t="inlineStr">
        <is>
          <t>Tukang Pipa</t>
        </is>
      </c>
      <c r="C11909" s="3" t="inlineStr">
        <is>
          <t>OH</t>
        </is>
      </c>
      <c r="D11909" s="15" t="n">
        <v>0.08699999999999999</v>
      </c>
      <c r="E11909" s="4" t="n">
        <v>145000</v>
      </c>
      <c r="F11909" s="4" t="n">
        <v>12615</v>
      </c>
    </row>
    <row r="11910">
      <c r="A11910" s="3" t="inlineStr">
        <is>
          <t>3</t>
        </is>
      </c>
      <c r="B11910" s="3" t="inlineStr">
        <is>
          <t>Kepala tukang</t>
        </is>
      </c>
      <c r="C11910" s="3" t="inlineStr">
        <is>
          <t>OH</t>
        </is>
      </c>
      <c r="D11910" s="15" t="n">
        <v>0.008999999999999999</v>
      </c>
      <c r="E11910" s="4" t="n">
        <v>175000</v>
      </c>
      <c r="F11910" s="4" t="n">
        <v>1575</v>
      </c>
    </row>
    <row r="11911">
      <c r="A11911" s="3" t="inlineStr">
        <is>
          <t>4</t>
        </is>
      </c>
      <c r="B11911" s="3" t="inlineStr">
        <is>
          <t>Mandor</t>
        </is>
      </c>
      <c r="C11911" s="3" t="inlineStr">
        <is>
          <t>OH</t>
        </is>
      </c>
      <c r="D11911" s="15" t="n">
        <v>0.003</v>
      </c>
      <c r="E11911" s="4" t="n">
        <v>200000</v>
      </c>
      <c r="F11911" s="4" t="n">
        <v>600</v>
      </c>
    </row>
    <row r="11912">
      <c r="A11912" s="3" t="inlineStr">
        <is>
          <t>1</t>
        </is>
      </c>
      <c r="B11912" s="3" t="inlineStr">
        <is>
          <t>Sprinkler Head Pendant dan Aksesoris</t>
        </is>
      </c>
      <c r="C11912" s="3" t="inlineStr">
        <is>
          <t>unit</t>
        </is>
      </c>
      <c r="D11912" s="15" t="n">
        <v>1.1</v>
      </c>
      <c r="E11912" s="4" t="n">
        <v>85000</v>
      </c>
      <c r="F11912" s="4" t="n">
        <v>93500.00000000001</v>
      </c>
    </row>
    <row r="11913">
      <c r="D11913" s="2" t="inlineStr">
        <is>
          <t>SUBTOTAL UPAH</t>
        </is>
      </c>
      <c r="F11913" s="16" t="n">
        <v>19990</v>
      </c>
    </row>
    <row r="11914">
      <c r="D11914" s="2" t="inlineStr">
        <is>
          <t>SUBTOTAL BAHAN</t>
        </is>
      </c>
      <c r="F11914" s="16" t="n">
        <v>93500.00000000001</v>
      </c>
    </row>
    <row r="11915">
      <c r="D11915" s="2" t="inlineStr">
        <is>
          <t>SUBTOTAL ALAT</t>
        </is>
      </c>
      <c r="F11915" s="16" t="n">
        <v>0</v>
      </c>
    </row>
    <row r="11916">
      <c r="E11916" s="2" t="inlineStr">
        <is>
          <t>TOTAL HARGA SATUAN (Inc. Overhead)</t>
        </is>
      </c>
      <c r="F11916" s="17" t="n">
        <v>124839</v>
      </c>
    </row>
    <row r="11918">
      <c r="A11918" s="14" t="inlineStr">
        <is>
          <t>KODE: 5.6.2.2 - Pemasangan 1 unit Sprinkler Head Upright</t>
        </is>
      </c>
    </row>
    <row r="11919">
      <c r="A11919" s="10" t="inlineStr">
        <is>
          <t>No</t>
        </is>
      </c>
      <c r="B11919" s="10" t="inlineStr">
        <is>
          <t>Uraian Komponen</t>
        </is>
      </c>
      <c r="C11919" s="10" t="inlineStr">
        <is>
          <t>Satuan</t>
        </is>
      </c>
      <c r="D11919" s="10" t="inlineStr">
        <is>
          <t>Koef</t>
        </is>
      </c>
      <c r="E11919" s="10" t="inlineStr">
        <is>
          <t>Harga Satuan (Rp)</t>
        </is>
      </c>
      <c r="F11919" s="10" t="inlineStr">
        <is>
          <t>Jumlah Harga (Rp)</t>
        </is>
      </c>
    </row>
    <row r="11920">
      <c r="A11920" s="3" t="inlineStr">
        <is>
          <t>1</t>
        </is>
      </c>
      <c r="B11920" s="3" t="inlineStr">
        <is>
          <t>Pekerja</t>
        </is>
      </c>
      <c r="C11920" s="3" t="inlineStr">
        <is>
          <t>OH</t>
        </is>
      </c>
      <c r="D11920" s="15" t="n">
        <v>0.052</v>
      </c>
      <c r="E11920" s="4" t="n">
        <v>100000</v>
      </c>
      <c r="F11920" s="4" t="n">
        <v>5200</v>
      </c>
    </row>
    <row r="11921">
      <c r="A11921" s="3" t="inlineStr">
        <is>
          <t>2</t>
        </is>
      </c>
      <c r="B11921" s="3" t="inlineStr">
        <is>
          <t>Tukang Pipa</t>
        </is>
      </c>
      <c r="C11921" s="3" t="inlineStr">
        <is>
          <t>OH</t>
        </is>
      </c>
      <c r="D11921" s="15" t="n">
        <v>0.08699999999999999</v>
      </c>
      <c r="E11921" s="4" t="n">
        <v>145000</v>
      </c>
      <c r="F11921" s="4" t="n">
        <v>12615</v>
      </c>
    </row>
    <row r="11922">
      <c r="A11922" s="3" t="inlineStr">
        <is>
          <t>3</t>
        </is>
      </c>
      <c r="B11922" s="3" t="inlineStr">
        <is>
          <t>Kepala tukang</t>
        </is>
      </c>
      <c r="C11922" s="3" t="inlineStr">
        <is>
          <t>OH</t>
        </is>
      </c>
      <c r="D11922" s="15" t="n">
        <v>0.008999999999999999</v>
      </c>
      <c r="E11922" s="4" t="n">
        <v>175000</v>
      </c>
      <c r="F11922" s="4" t="n">
        <v>1575</v>
      </c>
    </row>
    <row r="11923">
      <c r="A11923" s="3" t="inlineStr">
        <is>
          <t>4</t>
        </is>
      </c>
      <c r="B11923" s="3" t="inlineStr">
        <is>
          <t>Mandor</t>
        </is>
      </c>
      <c r="C11923" s="3" t="inlineStr">
        <is>
          <t>OH</t>
        </is>
      </c>
      <c r="D11923" s="15" t="n">
        <v>0.003</v>
      </c>
      <c r="E11923" s="4" t="n">
        <v>200000</v>
      </c>
      <c r="F11923" s="4" t="n">
        <v>600</v>
      </c>
    </row>
    <row r="11924">
      <c r="A11924" s="3" t="inlineStr">
        <is>
          <t>1</t>
        </is>
      </c>
      <c r="B11924" s="3" t="inlineStr">
        <is>
          <t>Sprinkler Head Upright dan Aksesoris</t>
        </is>
      </c>
      <c r="C11924" s="3" t="inlineStr">
        <is>
          <t>unit</t>
        </is>
      </c>
      <c r="D11924" s="15" t="n">
        <v>1.1</v>
      </c>
      <c r="E11924" s="4" t="n">
        <v>82900</v>
      </c>
      <c r="F11924" s="4" t="n">
        <v>91190.00000000001</v>
      </c>
    </row>
    <row r="11925">
      <c r="D11925" s="2" t="inlineStr">
        <is>
          <t>SUBTOTAL UPAH</t>
        </is>
      </c>
      <c r="F11925" s="16" t="n">
        <v>19990</v>
      </c>
    </row>
    <row r="11926">
      <c r="D11926" s="2" t="inlineStr">
        <is>
          <t>SUBTOTAL BAHAN</t>
        </is>
      </c>
      <c r="F11926" s="16" t="n">
        <v>91190.00000000001</v>
      </c>
    </row>
    <row r="11927">
      <c r="D11927" s="2" t="inlineStr">
        <is>
          <t>SUBTOTAL ALAT</t>
        </is>
      </c>
      <c r="F11927" s="16" t="n">
        <v>0</v>
      </c>
    </row>
    <row r="11928">
      <c r="E11928" s="2" t="inlineStr">
        <is>
          <t>TOTAL HARGA SATUAN (Inc. Overhead)</t>
        </is>
      </c>
      <c r="F11928" s="17" t="n">
        <v>122298</v>
      </c>
    </row>
    <row r="11930">
      <c r="A11930" s="14" t="inlineStr">
        <is>
          <t>KODE: 5.6.2.3 - Pemasangan 1 unit Hydrant Pillar</t>
        </is>
      </c>
    </row>
    <row r="11931">
      <c r="A11931" s="10" t="inlineStr">
        <is>
          <t>No</t>
        </is>
      </c>
      <c r="B11931" s="10" t="inlineStr">
        <is>
          <t>Uraian Komponen</t>
        </is>
      </c>
      <c r="C11931" s="10" t="inlineStr">
        <is>
          <t>Satuan</t>
        </is>
      </c>
      <c r="D11931" s="10" t="inlineStr">
        <is>
          <t>Koef</t>
        </is>
      </c>
      <c r="E11931" s="10" t="inlineStr">
        <is>
          <t>Harga Satuan (Rp)</t>
        </is>
      </c>
      <c r="F11931" s="10" t="inlineStr">
        <is>
          <t>Jumlah Harga (Rp)</t>
        </is>
      </c>
    </row>
    <row r="11932">
      <c r="A11932" s="3" t="inlineStr">
        <is>
          <t>1</t>
        </is>
      </c>
      <c r="B11932" s="3" t="inlineStr">
        <is>
          <t>Pekerja</t>
        </is>
      </c>
      <c r="C11932" s="3" t="inlineStr">
        <is>
          <t>OH</t>
        </is>
      </c>
      <c r="D11932" s="15" t="n">
        <v>1.269</v>
      </c>
      <c r="E11932" s="4" t="n">
        <v>100000</v>
      </c>
      <c r="F11932" s="4" t="n">
        <v>126900</v>
      </c>
    </row>
    <row r="11933">
      <c r="A11933" s="3" t="inlineStr">
        <is>
          <t>2</t>
        </is>
      </c>
      <c r="B11933" s="3" t="inlineStr">
        <is>
          <t>Tukang Pipa</t>
        </is>
      </c>
      <c r="C11933" s="3" t="inlineStr">
        <is>
          <t>OH</t>
        </is>
      </c>
      <c r="D11933" s="15" t="n">
        <v>2.119</v>
      </c>
      <c r="E11933" s="4" t="n">
        <v>145000</v>
      </c>
      <c r="F11933" s="4" t="n">
        <v>307255.0000000001</v>
      </c>
    </row>
    <row r="11934">
      <c r="A11934" s="3" t="inlineStr">
        <is>
          <t>3</t>
        </is>
      </c>
      <c r="B11934" s="3" t="inlineStr">
        <is>
          <t>Kepala tukang</t>
        </is>
      </c>
      <c r="C11934" s="3" t="inlineStr">
        <is>
          <t>OH</t>
        </is>
      </c>
      <c r="D11934" s="15" t="n">
        <v>0.212</v>
      </c>
      <c r="E11934" s="4" t="n">
        <v>175000</v>
      </c>
      <c r="F11934" s="4" t="n">
        <v>37100</v>
      </c>
    </row>
    <row r="11935">
      <c r="A11935" s="3" t="inlineStr">
        <is>
          <t>4</t>
        </is>
      </c>
      <c r="B11935" s="3" t="inlineStr">
        <is>
          <t>Mandor</t>
        </is>
      </c>
      <c r="C11935" s="3" t="inlineStr">
        <is>
          <t>OH</t>
        </is>
      </c>
      <c r="D11935" s="15" t="n">
        <v>0.07099999999999999</v>
      </c>
      <c r="E11935" s="4" t="n">
        <v>200000</v>
      </c>
      <c r="F11935" s="4" t="n">
        <v>14200</v>
      </c>
    </row>
    <row r="11936">
      <c r="A11936" s="3" t="inlineStr">
        <is>
          <t>1</t>
        </is>
      </c>
      <c r="B11936" s="3" t="inlineStr">
        <is>
          <t>Hydrant Pillar dan Aksesoris</t>
        </is>
      </c>
      <c r="C11936" s="3" t="inlineStr">
        <is>
          <t>unit</t>
        </is>
      </c>
      <c r="D11936" s="15" t="n">
        <v>1.1</v>
      </c>
      <c r="E11936" s="4" t="n">
        <v>3750000</v>
      </c>
      <c r="F11936" s="4" t="n">
        <v>4125000</v>
      </c>
    </row>
    <row r="11937">
      <c r="D11937" s="2" t="inlineStr">
        <is>
          <t>SUBTOTAL UPAH</t>
        </is>
      </c>
      <c r="F11937" s="16" t="n">
        <v>485455.0000000001</v>
      </c>
    </row>
    <row r="11938">
      <c r="D11938" s="2" t="inlineStr">
        <is>
          <t>SUBTOTAL BAHAN</t>
        </is>
      </c>
      <c r="F11938" s="16" t="n">
        <v>4125000</v>
      </c>
    </row>
    <row r="11939">
      <c r="D11939" s="2" t="inlineStr">
        <is>
          <t>SUBTOTAL ALAT</t>
        </is>
      </c>
      <c r="F11939" s="16" t="n">
        <v>0</v>
      </c>
    </row>
    <row r="11940">
      <c r="E11940" s="2" t="inlineStr">
        <is>
          <t>TOTAL HARGA SATUAN (Inc. Overhead)</t>
        </is>
      </c>
      <c r="F11940" s="17" t="n">
        <v>5071500</v>
      </c>
    </row>
    <row r="11942">
      <c r="A11942" s="14" t="inlineStr">
        <is>
          <t>KODE: 5.6.2.4 - Pemasangan 1 unit Indoor Hydrant Box (IHB)</t>
        </is>
      </c>
    </row>
    <row r="11943">
      <c r="A11943" s="10" t="inlineStr">
        <is>
          <t>No</t>
        </is>
      </c>
      <c r="B11943" s="10" t="inlineStr">
        <is>
          <t>Uraian Komponen</t>
        </is>
      </c>
      <c r="C11943" s="10" t="inlineStr">
        <is>
          <t>Satuan</t>
        </is>
      </c>
      <c r="D11943" s="10" t="inlineStr">
        <is>
          <t>Koef</t>
        </is>
      </c>
      <c r="E11943" s="10" t="inlineStr">
        <is>
          <t>Harga Satuan (Rp)</t>
        </is>
      </c>
      <c r="F11943" s="10" t="inlineStr">
        <is>
          <t>Jumlah Harga (Rp)</t>
        </is>
      </c>
    </row>
    <row r="11944">
      <c r="A11944" s="3" t="inlineStr">
        <is>
          <t>1</t>
        </is>
      </c>
      <c r="B11944" s="3" t="inlineStr">
        <is>
          <t>Pekerja</t>
        </is>
      </c>
      <c r="C11944" s="3" t="inlineStr">
        <is>
          <t>OH</t>
        </is>
      </c>
      <c r="D11944" s="15" t="n">
        <v>1.269</v>
      </c>
      <c r="E11944" s="4" t="n">
        <v>100000</v>
      </c>
      <c r="F11944" s="4" t="n">
        <v>126900</v>
      </c>
    </row>
    <row r="11945">
      <c r="A11945" s="3" t="inlineStr">
        <is>
          <t>2</t>
        </is>
      </c>
      <c r="B11945" s="3" t="inlineStr">
        <is>
          <t>Tukang Pipa</t>
        </is>
      </c>
      <c r="C11945" s="3" t="inlineStr">
        <is>
          <t>OH</t>
        </is>
      </c>
      <c r="D11945" s="15" t="n">
        <v>2.119</v>
      </c>
      <c r="E11945" s="4" t="n">
        <v>145000</v>
      </c>
      <c r="F11945" s="4" t="n">
        <v>307255.0000000001</v>
      </c>
    </row>
    <row r="11946">
      <c r="A11946" s="3" t="inlineStr">
        <is>
          <t>3</t>
        </is>
      </c>
      <c r="B11946" s="3" t="inlineStr">
        <is>
          <t>Kepala tukang</t>
        </is>
      </c>
      <c r="C11946" s="3" t="inlineStr">
        <is>
          <t>OH</t>
        </is>
      </c>
      <c r="D11946" s="15" t="n">
        <v>0.212</v>
      </c>
      <c r="E11946" s="4" t="n">
        <v>175000</v>
      </c>
      <c r="F11946" s="4" t="n">
        <v>37100</v>
      </c>
    </row>
    <row r="11947">
      <c r="A11947" s="3" t="inlineStr">
        <is>
          <t>4</t>
        </is>
      </c>
      <c r="B11947" s="3" t="inlineStr">
        <is>
          <t>Mandor</t>
        </is>
      </c>
      <c r="C11947" s="3" t="inlineStr">
        <is>
          <t>OH</t>
        </is>
      </c>
      <c r="D11947" s="15" t="n">
        <v>0.07099999999999999</v>
      </c>
      <c r="E11947" s="4" t="n">
        <v>200000</v>
      </c>
      <c r="F11947" s="4" t="n">
        <v>14200</v>
      </c>
    </row>
    <row r="11948">
      <c r="A11948" s="3" t="inlineStr">
        <is>
          <t>1</t>
        </is>
      </c>
      <c r="B11948" s="3" t="inlineStr">
        <is>
          <t>Indoor Hydrant Box dan Aksesoris</t>
        </is>
      </c>
      <c r="C11948" s="3" t="inlineStr">
        <is>
          <t>unit</t>
        </is>
      </c>
      <c r="D11948" s="15" t="n">
        <v>1.1</v>
      </c>
      <c r="E11948" s="4" t="n">
        <v>1200000</v>
      </c>
      <c r="F11948" s="4" t="n">
        <v>1320000</v>
      </c>
    </row>
    <row r="11949">
      <c r="D11949" s="2" t="inlineStr">
        <is>
          <t>SUBTOTAL UPAH</t>
        </is>
      </c>
      <c r="F11949" s="16" t="n">
        <v>485455.0000000001</v>
      </c>
    </row>
    <row r="11950">
      <c r="D11950" s="2" t="inlineStr">
        <is>
          <t>SUBTOTAL BAHAN</t>
        </is>
      </c>
      <c r="F11950" s="16" t="n">
        <v>1320000</v>
      </c>
    </row>
    <row r="11951">
      <c r="D11951" s="2" t="inlineStr">
        <is>
          <t>SUBTOTAL ALAT</t>
        </is>
      </c>
      <c r="F11951" s="16" t="n">
        <v>0</v>
      </c>
    </row>
    <row r="11952">
      <c r="E11952" s="2" t="inlineStr">
        <is>
          <t>TOTAL HARGA SATUAN (Inc. Overhead)</t>
        </is>
      </c>
      <c r="F11952" s="17" t="n">
        <v>1986000</v>
      </c>
    </row>
    <row r="11954">
      <c r="A11954" s="14" t="inlineStr">
        <is>
          <t>KODE: 5.6.2.5 - Pemasangan 1 unit outdoor Hydrant Box (OHB)</t>
        </is>
      </c>
    </row>
    <row r="11955">
      <c r="A11955" s="10" t="inlineStr">
        <is>
          <t>No</t>
        </is>
      </c>
      <c r="B11955" s="10" t="inlineStr">
        <is>
          <t>Uraian Komponen</t>
        </is>
      </c>
      <c r="C11955" s="10" t="inlineStr">
        <is>
          <t>Satuan</t>
        </is>
      </c>
      <c r="D11955" s="10" t="inlineStr">
        <is>
          <t>Koef</t>
        </is>
      </c>
      <c r="E11955" s="10" t="inlineStr">
        <is>
          <t>Harga Satuan (Rp)</t>
        </is>
      </c>
      <c r="F11955" s="10" t="inlineStr">
        <is>
          <t>Jumlah Harga (Rp)</t>
        </is>
      </c>
    </row>
    <row r="11956">
      <c r="A11956" s="3" t="inlineStr">
        <is>
          <t>1</t>
        </is>
      </c>
      <c r="B11956" s="3" t="inlineStr">
        <is>
          <t>Pekerja</t>
        </is>
      </c>
      <c r="C11956" s="3" t="inlineStr">
        <is>
          <t>OH</t>
        </is>
      </c>
      <c r="D11956" s="15" t="n">
        <v>1.774</v>
      </c>
      <c r="E11956" s="4" t="n">
        <v>100000</v>
      </c>
      <c r="F11956" s="4" t="n">
        <v>177400</v>
      </c>
    </row>
    <row r="11957">
      <c r="A11957" s="3" t="inlineStr">
        <is>
          <t>2</t>
        </is>
      </c>
      <c r="B11957" s="3" t="inlineStr">
        <is>
          <t>Tukang Pipa</t>
        </is>
      </c>
      <c r="C11957" s="3" t="inlineStr">
        <is>
          <t>OH</t>
        </is>
      </c>
      <c r="D11957" s="15" t="n">
        <v>2.962</v>
      </c>
      <c r="E11957" s="4" t="n">
        <v>145000</v>
      </c>
      <c r="F11957" s="4" t="n">
        <v>429490</v>
      </c>
    </row>
    <row r="11958">
      <c r="A11958" s="3" t="inlineStr">
        <is>
          <t>3</t>
        </is>
      </c>
      <c r="B11958" s="3" t="inlineStr">
        <is>
          <t>Kepala tukang</t>
        </is>
      </c>
      <c r="C11958" s="3" t="inlineStr">
        <is>
          <t>OH</t>
        </is>
      </c>
      <c r="D11958" s="15" t="n">
        <v>0.296</v>
      </c>
      <c r="E11958" s="4" t="n">
        <v>175000</v>
      </c>
      <c r="F11958" s="4" t="n">
        <v>51800</v>
      </c>
    </row>
    <row r="11959">
      <c r="A11959" s="3" t="inlineStr">
        <is>
          <t>4</t>
        </is>
      </c>
      <c r="B11959" s="3" t="inlineStr">
        <is>
          <t>Mandor</t>
        </is>
      </c>
      <c r="C11959" s="3" t="inlineStr">
        <is>
          <t>OH</t>
        </is>
      </c>
      <c r="D11959" s="15" t="n">
        <v>0.099</v>
      </c>
      <c r="E11959" s="4" t="n">
        <v>200000</v>
      </c>
      <c r="F11959" s="4" t="n">
        <v>19800</v>
      </c>
    </row>
    <row r="11960">
      <c r="A11960" s="3" t="inlineStr">
        <is>
          <t>1</t>
        </is>
      </c>
      <c r="B11960" s="3" t="inlineStr">
        <is>
          <t>Outdoor Hydrant Box dan Aksesoris</t>
        </is>
      </c>
      <c r="C11960" s="3" t="inlineStr">
        <is>
          <t>unit</t>
        </is>
      </c>
      <c r="D11960" s="15" t="n">
        <v>1.1</v>
      </c>
      <c r="E11960" s="4" t="n">
        <v>1700000</v>
      </c>
      <c r="F11960" s="4" t="n">
        <v>1870000</v>
      </c>
    </row>
    <row r="11961">
      <c r="D11961" s="2" t="inlineStr">
        <is>
          <t>SUBTOTAL UPAH</t>
        </is>
      </c>
      <c r="F11961" s="16" t="n">
        <v>678490</v>
      </c>
    </row>
    <row r="11962">
      <c r="D11962" s="2" t="inlineStr">
        <is>
          <t>SUBTOTAL BAHAN</t>
        </is>
      </c>
      <c r="F11962" s="16" t="n">
        <v>1870000</v>
      </c>
    </row>
    <row r="11963">
      <c r="D11963" s="2" t="inlineStr">
        <is>
          <t>SUBTOTAL ALAT</t>
        </is>
      </c>
      <c r="F11963" s="16" t="n">
        <v>0</v>
      </c>
    </row>
    <row r="11964">
      <c r="E11964" s="2" t="inlineStr">
        <is>
          <t>TOTAL HARGA SATUAN (Inc. Overhead)</t>
        </is>
      </c>
      <c r="F11964" s="17" t="n">
        <v>2803339</v>
      </c>
    </row>
    <row r="11966">
      <c r="A11966" s="14" t="inlineStr">
        <is>
          <t>KODE: 5.6.2.6 - Pemasangan 1 unit Siamesse Connection</t>
        </is>
      </c>
    </row>
    <row r="11967">
      <c r="A11967" s="10" t="inlineStr">
        <is>
          <t>No</t>
        </is>
      </c>
      <c r="B11967" s="10" t="inlineStr">
        <is>
          <t>Uraian Komponen</t>
        </is>
      </c>
      <c r="C11967" s="10" t="inlineStr">
        <is>
          <t>Satuan</t>
        </is>
      </c>
      <c r="D11967" s="10" t="inlineStr">
        <is>
          <t>Koef</t>
        </is>
      </c>
      <c r="E11967" s="10" t="inlineStr">
        <is>
          <t>Harga Satuan (Rp)</t>
        </is>
      </c>
      <c r="F11967" s="10" t="inlineStr">
        <is>
          <t>Jumlah Harga (Rp)</t>
        </is>
      </c>
    </row>
    <row r="11968">
      <c r="A11968" s="3" t="inlineStr">
        <is>
          <t>1</t>
        </is>
      </c>
      <c r="B11968" s="3" t="inlineStr">
        <is>
          <t>Pekerja</t>
        </is>
      </c>
      <c r="C11968" s="3" t="inlineStr">
        <is>
          <t>OH</t>
        </is>
      </c>
      <c r="D11968" s="15" t="n">
        <v>0.762</v>
      </c>
      <c r="E11968" s="4" t="n">
        <v>100000</v>
      </c>
      <c r="F11968" s="4" t="n">
        <v>76200</v>
      </c>
    </row>
    <row r="11969">
      <c r="A11969" s="3" t="inlineStr">
        <is>
          <t>2</t>
        </is>
      </c>
      <c r="B11969" s="3" t="inlineStr">
        <is>
          <t>Tukang Pipa</t>
        </is>
      </c>
      <c r="C11969" s="3" t="inlineStr">
        <is>
          <t>OH</t>
        </is>
      </c>
      <c r="D11969" s="15" t="n">
        <v>1.272</v>
      </c>
      <c r="E11969" s="4" t="n">
        <v>145000</v>
      </c>
      <c r="F11969" s="4" t="n">
        <v>184440</v>
      </c>
    </row>
    <row r="11970">
      <c r="A11970" s="3" t="inlineStr">
        <is>
          <t>3</t>
        </is>
      </c>
      <c r="B11970" s="3" t="inlineStr">
        <is>
          <t>Kepala tukang</t>
        </is>
      </c>
      <c r="C11970" s="3" t="inlineStr">
        <is>
          <t>OH</t>
        </is>
      </c>
      <c r="D11970" s="15" t="n">
        <v>0.127</v>
      </c>
      <c r="E11970" s="4" t="n">
        <v>175000</v>
      </c>
      <c r="F11970" s="4" t="n">
        <v>22225</v>
      </c>
    </row>
    <row r="11971">
      <c r="A11971" s="3" t="inlineStr">
        <is>
          <t>4</t>
        </is>
      </c>
      <c r="B11971" s="3" t="inlineStr">
        <is>
          <t>Mandor</t>
        </is>
      </c>
      <c r="C11971" s="3" t="inlineStr">
        <is>
          <t>OH</t>
        </is>
      </c>
      <c r="D11971" s="15" t="n">
        <v>0.042</v>
      </c>
      <c r="E11971" s="4" t="n">
        <v>200000</v>
      </c>
      <c r="F11971" s="4" t="n">
        <v>8400</v>
      </c>
    </row>
    <row r="11972">
      <c r="A11972" s="3" t="inlineStr">
        <is>
          <t>1</t>
        </is>
      </c>
      <c r="B11972" s="3" t="inlineStr">
        <is>
          <t>Siamesse Connection dan Aksesoris</t>
        </is>
      </c>
      <c r="C11972" s="3" t="inlineStr">
        <is>
          <t>unit</t>
        </is>
      </c>
      <c r="D11972" s="15" t="n">
        <v>1.1</v>
      </c>
      <c r="E11972" s="4" t="n">
        <v>2200000</v>
      </c>
      <c r="F11972" s="4" t="n">
        <v>2420000</v>
      </c>
    </row>
    <row r="11973">
      <c r="D11973" s="2" t="inlineStr">
        <is>
          <t>SUBTOTAL UPAH</t>
        </is>
      </c>
      <c r="F11973" s="16" t="n">
        <v>291265</v>
      </c>
    </row>
    <row r="11974">
      <c r="D11974" s="2" t="inlineStr">
        <is>
          <t>SUBTOTAL BAHAN</t>
        </is>
      </c>
      <c r="F11974" s="16" t="n">
        <v>2420000</v>
      </c>
    </row>
    <row r="11975">
      <c r="D11975" s="2" t="inlineStr">
        <is>
          <t>SUBTOTAL ALAT</t>
        </is>
      </c>
      <c r="F11975" s="16" t="n">
        <v>0</v>
      </c>
    </row>
    <row r="11976">
      <c r="E11976" s="2" t="inlineStr">
        <is>
          <t>TOTAL HARGA SATUAN (Inc. Overhead)</t>
        </is>
      </c>
      <c r="F11976" s="17" t="n">
        <v>2982391</v>
      </c>
    </row>
    <row r="11978">
      <c r="A11978" s="14" t="inlineStr">
        <is>
          <t>KODE: 5.6.2.7 - Pemasangan 1 Unit Sprinkler Thermatic C02 3,5 Kg</t>
        </is>
      </c>
    </row>
    <row r="11979">
      <c r="A11979" s="10" t="inlineStr">
        <is>
          <t>No</t>
        </is>
      </c>
      <c r="B11979" s="10" t="inlineStr">
        <is>
          <t>Uraian Komponen</t>
        </is>
      </c>
      <c r="C11979" s="10" t="inlineStr">
        <is>
          <t>Satuan</t>
        </is>
      </c>
      <c r="D11979" s="10" t="inlineStr">
        <is>
          <t>Koef</t>
        </is>
      </c>
      <c r="E11979" s="10" t="inlineStr">
        <is>
          <t>Harga Satuan (Rp)</t>
        </is>
      </c>
      <c r="F11979" s="10" t="inlineStr">
        <is>
          <t>Jumlah Harga (Rp)</t>
        </is>
      </c>
    </row>
    <row r="11980">
      <c r="A11980" s="3" t="inlineStr">
        <is>
          <t>1</t>
        </is>
      </c>
      <c r="B11980" s="3" t="inlineStr">
        <is>
          <t>Pekerja</t>
        </is>
      </c>
      <c r="C11980" s="3" t="inlineStr">
        <is>
          <t>OH</t>
        </is>
      </c>
      <c r="D11980" s="15" t="n">
        <v>0.154</v>
      </c>
      <c r="E11980" s="4" t="n">
        <v>100000</v>
      </c>
      <c r="F11980" s="4" t="n">
        <v>15400</v>
      </c>
    </row>
    <row r="11981">
      <c r="A11981" s="3" t="inlineStr">
        <is>
          <t>2</t>
        </is>
      </c>
      <c r="B11981" s="3" t="inlineStr">
        <is>
          <t>Tukang Pipa</t>
        </is>
      </c>
      <c r="C11981" s="3" t="inlineStr">
        <is>
          <t>OH</t>
        </is>
      </c>
      <c r="D11981" s="15" t="n">
        <v>0.256</v>
      </c>
      <c r="E11981" s="4" t="n">
        <v>145000</v>
      </c>
      <c r="F11981" s="4" t="n">
        <v>37120</v>
      </c>
    </row>
    <row r="11982">
      <c r="A11982" s="3" t="inlineStr">
        <is>
          <t>3</t>
        </is>
      </c>
      <c r="B11982" s="3" t="inlineStr">
        <is>
          <t>Kepala tukang</t>
        </is>
      </c>
      <c r="C11982" s="3" t="inlineStr">
        <is>
          <t>OH</t>
        </is>
      </c>
      <c r="D11982" s="15" t="n">
        <v>0.026</v>
      </c>
      <c r="E11982" s="4" t="n">
        <v>175000</v>
      </c>
      <c r="F11982" s="4" t="n">
        <v>4550</v>
      </c>
    </row>
    <row r="11983">
      <c r="A11983" s="3" t="inlineStr">
        <is>
          <t>4</t>
        </is>
      </c>
      <c r="B11983" s="3" t="inlineStr">
        <is>
          <t>Mandor</t>
        </is>
      </c>
      <c r="C11983" s="3" t="inlineStr">
        <is>
          <t>OH</t>
        </is>
      </c>
      <c r="D11983" s="15" t="n">
        <v>0.008999999999999999</v>
      </c>
      <c r="E11983" s="4" t="n">
        <v>200000</v>
      </c>
      <c r="F11983" s="4" t="n">
        <v>1800</v>
      </c>
    </row>
    <row r="11984">
      <c r="A11984" s="3" t="inlineStr">
        <is>
          <t>1</t>
        </is>
      </c>
      <c r="B11984" s="3" t="inlineStr">
        <is>
          <t>"Sprinkler Thermatic C02 3 5 Kg"</t>
        </is>
      </c>
      <c r="C11984" s="3" t="inlineStr">
        <is>
          <t>unit</t>
        </is>
      </c>
      <c r="D11984" s="15" t="n">
        <v>1.1</v>
      </c>
      <c r="E11984" s="4" t="n">
        <v>2000000</v>
      </c>
      <c r="F11984" s="4" t="n">
        <v>2200000</v>
      </c>
    </row>
    <row r="11985">
      <c r="D11985" s="2" t="inlineStr">
        <is>
          <t>SUBTOTAL UPAH</t>
        </is>
      </c>
      <c r="F11985" s="16" t="n">
        <v>58870</v>
      </c>
    </row>
    <row r="11986">
      <c r="D11986" s="2" t="inlineStr">
        <is>
          <t>SUBTOTAL BAHAN</t>
        </is>
      </c>
      <c r="F11986" s="16" t="n">
        <v>2200000</v>
      </c>
    </row>
    <row r="11987">
      <c r="D11987" s="2" t="inlineStr">
        <is>
          <t>SUBTOTAL ALAT</t>
        </is>
      </c>
      <c r="F11987" s="16" t="n">
        <v>0</v>
      </c>
    </row>
    <row r="11988">
      <c r="E11988" s="2" t="inlineStr">
        <is>
          <t>TOTAL HARGA SATUAN (Inc. Overhead)</t>
        </is>
      </c>
      <c r="F11988" s="17" t="n">
        <v>2484757</v>
      </c>
    </row>
    <row r="11990">
      <c r="A11990" s="14" t="inlineStr">
        <is>
          <t>KODE: 5.6.3.1 - Pemasangan 1 unit Fire Extinguisher 3 kg</t>
        </is>
      </c>
    </row>
    <row r="11991">
      <c r="A11991" s="10" t="inlineStr">
        <is>
          <t>No</t>
        </is>
      </c>
      <c r="B11991" s="10" t="inlineStr">
        <is>
          <t>Uraian Komponen</t>
        </is>
      </c>
      <c r="C11991" s="10" t="inlineStr">
        <is>
          <t>Satuan</t>
        </is>
      </c>
      <c r="D11991" s="10" t="inlineStr">
        <is>
          <t>Koef</t>
        </is>
      </c>
      <c r="E11991" s="10" t="inlineStr">
        <is>
          <t>Harga Satuan (Rp)</t>
        </is>
      </c>
      <c r="F11991" s="10" t="inlineStr">
        <is>
          <t>Jumlah Harga (Rp)</t>
        </is>
      </c>
    </row>
    <row r="11992">
      <c r="A11992" s="3" t="inlineStr">
        <is>
          <t>1</t>
        </is>
      </c>
      <c r="B11992" s="3" t="inlineStr">
        <is>
          <t>Pekerja</t>
        </is>
      </c>
      <c r="C11992" s="3" t="inlineStr">
        <is>
          <t>OH</t>
        </is>
      </c>
      <c r="D11992" s="15" t="n">
        <v>0.102</v>
      </c>
      <c r="E11992" s="4" t="n">
        <v>100000</v>
      </c>
      <c r="F11992" s="4" t="n">
        <v>10200</v>
      </c>
    </row>
    <row r="11993">
      <c r="A11993" s="3" t="inlineStr">
        <is>
          <t>2</t>
        </is>
      </c>
      <c r="B11993" s="3" t="inlineStr">
        <is>
          <t>Tukang Pipa</t>
        </is>
      </c>
      <c r="C11993" s="3" t="inlineStr">
        <is>
          <t>OH</t>
        </is>
      </c>
      <c r="D11993" s="15" t="n">
        <v>0.171</v>
      </c>
      <c r="E11993" s="4" t="n">
        <v>145000</v>
      </c>
      <c r="F11993" s="4" t="n">
        <v>24795</v>
      </c>
    </row>
    <row r="11994">
      <c r="A11994" s="3" t="inlineStr">
        <is>
          <t>3</t>
        </is>
      </c>
      <c r="B11994" s="3" t="inlineStr">
        <is>
          <t>Kepala tukang</t>
        </is>
      </c>
      <c r="C11994" s="3" t="inlineStr">
        <is>
          <t>OH</t>
        </is>
      </c>
      <c r="D11994" s="15" t="n">
        <v>0.017</v>
      </c>
      <c r="E11994" s="4" t="n">
        <v>175000</v>
      </c>
      <c r="F11994" s="4" t="n">
        <v>2975</v>
      </c>
    </row>
    <row r="11995">
      <c r="A11995" s="3" t="inlineStr">
        <is>
          <t>4</t>
        </is>
      </c>
      <c r="B11995" s="3" t="inlineStr">
        <is>
          <t>Mandor</t>
        </is>
      </c>
      <c r="C11995" s="3" t="inlineStr">
        <is>
          <t>OH</t>
        </is>
      </c>
      <c r="D11995" s="15" t="n">
        <v>0.006</v>
      </c>
      <c r="E11995" s="4" t="n">
        <v>200000</v>
      </c>
      <c r="F11995" s="4" t="n">
        <v>1200</v>
      </c>
    </row>
    <row r="11996">
      <c r="A11996" s="3" t="inlineStr">
        <is>
          <t>1</t>
        </is>
      </c>
      <c r="B11996" s="3" t="inlineStr">
        <is>
          <t>Fire Extinguisher 3 kg  dan Aksesoris</t>
        </is>
      </c>
      <c r="C11996" s="3" t="inlineStr">
        <is>
          <t>unit</t>
        </is>
      </c>
      <c r="D11996" s="15" t="n">
        <v>1.1</v>
      </c>
      <c r="E11996" s="4" t="n">
        <v>171500</v>
      </c>
      <c r="F11996" s="4" t="n">
        <v>188650</v>
      </c>
    </row>
    <row r="11997">
      <c r="D11997" s="2" t="inlineStr">
        <is>
          <t>SUBTOTAL UPAH</t>
        </is>
      </c>
      <c r="F11997" s="16" t="n">
        <v>39170</v>
      </c>
    </row>
    <row r="11998">
      <c r="D11998" s="2" t="inlineStr">
        <is>
          <t>SUBTOTAL BAHAN</t>
        </is>
      </c>
      <c r="F11998" s="16" t="n">
        <v>188650</v>
      </c>
    </row>
    <row r="11999">
      <c r="D11999" s="2" t="inlineStr">
        <is>
          <t>SUBTOTAL ALAT</t>
        </is>
      </c>
      <c r="F11999" s="16" t="n">
        <v>0</v>
      </c>
    </row>
    <row r="12000">
      <c r="E12000" s="2" t="inlineStr">
        <is>
          <t>TOTAL HARGA SATUAN (Inc. Overhead)</t>
        </is>
      </c>
      <c r="F12000" s="17" t="n">
        <v>250602</v>
      </c>
    </row>
    <row r="12002">
      <c r="A12002" s="14" t="inlineStr">
        <is>
          <t>KODE: 5.6.3.2 - Pemasangan 1 unit Fire Extinguisher 5 kg</t>
        </is>
      </c>
    </row>
    <row r="12003">
      <c r="A12003" s="10" t="inlineStr">
        <is>
          <t>No</t>
        </is>
      </c>
      <c r="B12003" s="10" t="inlineStr">
        <is>
          <t>Uraian Komponen</t>
        </is>
      </c>
      <c r="C12003" s="10" t="inlineStr">
        <is>
          <t>Satuan</t>
        </is>
      </c>
      <c r="D12003" s="10" t="inlineStr">
        <is>
          <t>Koef</t>
        </is>
      </c>
      <c r="E12003" s="10" t="inlineStr">
        <is>
          <t>Harga Satuan (Rp)</t>
        </is>
      </c>
      <c r="F12003" s="10" t="inlineStr">
        <is>
          <t>Jumlah Harga (Rp)</t>
        </is>
      </c>
    </row>
    <row r="12004">
      <c r="A12004" s="3" t="inlineStr">
        <is>
          <t>1</t>
        </is>
      </c>
      <c r="B12004" s="3" t="inlineStr">
        <is>
          <t>Pekerja</t>
        </is>
      </c>
      <c r="C12004" s="3" t="inlineStr">
        <is>
          <t>OH</t>
        </is>
      </c>
      <c r="D12004" s="15" t="n">
        <v>0.102</v>
      </c>
      <c r="E12004" s="4" t="n">
        <v>100000</v>
      </c>
      <c r="F12004" s="4" t="n">
        <v>10200</v>
      </c>
    </row>
    <row r="12005">
      <c r="A12005" s="3" t="inlineStr">
        <is>
          <t>2</t>
        </is>
      </c>
      <c r="B12005" s="3" t="inlineStr">
        <is>
          <t>Tukang Pipa</t>
        </is>
      </c>
      <c r="C12005" s="3" t="inlineStr">
        <is>
          <t>OH</t>
        </is>
      </c>
      <c r="D12005" s="15" t="n">
        <v>0.171</v>
      </c>
      <c r="E12005" s="4" t="n">
        <v>145000</v>
      </c>
      <c r="F12005" s="4" t="n">
        <v>24795</v>
      </c>
    </row>
    <row r="12006">
      <c r="A12006" s="3" t="inlineStr">
        <is>
          <t>3</t>
        </is>
      </c>
      <c r="B12006" s="3" t="inlineStr">
        <is>
          <t>Kepala tukang</t>
        </is>
      </c>
      <c r="C12006" s="3" t="inlineStr">
        <is>
          <t>OH</t>
        </is>
      </c>
      <c r="D12006" s="15" t="n">
        <v>0.017</v>
      </c>
      <c r="E12006" s="4" t="n">
        <v>175000</v>
      </c>
      <c r="F12006" s="4" t="n">
        <v>2975</v>
      </c>
    </row>
    <row r="12007">
      <c r="A12007" s="3" t="inlineStr">
        <is>
          <t>4</t>
        </is>
      </c>
      <c r="B12007" s="3" t="inlineStr">
        <is>
          <t>Mandor</t>
        </is>
      </c>
      <c r="C12007" s="3" t="inlineStr">
        <is>
          <t>OH</t>
        </is>
      </c>
      <c r="D12007" s="15" t="n">
        <v>0.006</v>
      </c>
      <c r="E12007" s="4" t="n">
        <v>200000</v>
      </c>
      <c r="F12007" s="4" t="n">
        <v>1200</v>
      </c>
    </row>
    <row r="12008">
      <c r="A12008" s="3" t="inlineStr">
        <is>
          <t>1</t>
        </is>
      </c>
      <c r="B12008" s="3" t="inlineStr">
        <is>
          <t>Fire Extinguisher 5 kg  dan Aksesoris</t>
        </is>
      </c>
      <c r="C12008" s="3" t="inlineStr">
        <is>
          <t>unit</t>
        </is>
      </c>
      <c r="D12008" s="15" t="n">
        <v>1.1</v>
      </c>
      <c r="E12008" s="4" t="n">
        <v>227900</v>
      </c>
      <c r="F12008" s="4" t="n">
        <v>250690</v>
      </c>
    </row>
    <row r="12009">
      <c r="D12009" s="2" t="inlineStr">
        <is>
          <t>SUBTOTAL UPAH</t>
        </is>
      </c>
      <c r="F12009" s="16" t="n">
        <v>39170</v>
      </c>
    </row>
    <row r="12010">
      <c r="D12010" s="2" t="inlineStr">
        <is>
          <t>SUBTOTAL BAHAN</t>
        </is>
      </c>
      <c r="F12010" s="16" t="n">
        <v>250690</v>
      </c>
    </row>
    <row r="12011">
      <c r="D12011" s="2" t="inlineStr">
        <is>
          <t>SUBTOTAL ALAT</t>
        </is>
      </c>
      <c r="F12011" s="16" t="n">
        <v>0</v>
      </c>
    </row>
    <row r="12012">
      <c r="E12012" s="2" t="inlineStr">
        <is>
          <t>TOTAL HARGA SATUAN (Inc. Overhead)</t>
        </is>
      </c>
      <c r="F12012" s="17" t="n">
        <v>318846</v>
      </c>
    </row>
    <row r="12014">
      <c r="A12014" s="14" t="inlineStr">
        <is>
          <t>KODE: 5.6.3.3 - Pemasangan 1 unit Fire Extinguisher 25 kg</t>
        </is>
      </c>
    </row>
    <row r="12015">
      <c r="A12015" s="10" t="inlineStr">
        <is>
          <t>No</t>
        </is>
      </c>
      <c r="B12015" s="10" t="inlineStr">
        <is>
          <t>Uraian Komponen</t>
        </is>
      </c>
      <c r="C12015" s="10" t="inlineStr">
        <is>
          <t>Satuan</t>
        </is>
      </c>
      <c r="D12015" s="10" t="inlineStr">
        <is>
          <t>Koef</t>
        </is>
      </c>
      <c r="E12015" s="10" t="inlineStr">
        <is>
          <t>Harga Satuan (Rp)</t>
        </is>
      </c>
      <c r="F12015" s="10" t="inlineStr">
        <is>
          <t>Jumlah Harga (Rp)</t>
        </is>
      </c>
    </row>
    <row r="12016">
      <c r="A12016" s="3" t="inlineStr">
        <is>
          <t>1</t>
        </is>
      </c>
      <c r="B12016" s="3" t="inlineStr">
        <is>
          <t>Pekerja</t>
        </is>
      </c>
      <c r="C12016" s="3" t="inlineStr">
        <is>
          <t>OH</t>
        </is>
      </c>
      <c r="D12016" s="15" t="n">
        <v>0.102</v>
      </c>
      <c r="E12016" s="4" t="n">
        <v>100000</v>
      </c>
      <c r="F12016" s="4" t="n">
        <v>10200</v>
      </c>
    </row>
    <row r="12017">
      <c r="A12017" s="3" t="inlineStr">
        <is>
          <t>2</t>
        </is>
      </c>
      <c r="B12017" s="3" t="inlineStr">
        <is>
          <t>Tukang Pipa</t>
        </is>
      </c>
      <c r="C12017" s="3" t="inlineStr">
        <is>
          <t>OH</t>
        </is>
      </c>
      <c r="D12017" s="15" t="n">
        <v>0.171</v>
      </c>
      <c r="E12017" s="4" t="n">
        <v>145000</v>
      </c>
      <c r="F12017" s="4" t="n">
        <v>24795</v>
      </c>
    </row>
    <row r="12018">
      <c r="A12018" s="3" t="inlineStr">
        <is>
          <t>3</t>
        </is>
      </c>
      <c r="B12018" s="3" t="inlineStr">
        <is>
          <t>Kepala tukang</t>
        </is>
      </c>
      <c r="C12018" s="3" t="inlineStr">
        <is>
          <t>OH</t>
        </is>
      </c>
      <c r="D12018" s="15" t="n">
        <v>0.017</v>
      </c>
      <c r="E12018" s="4" t="n">
        <v>175000</v>
      </c>
      <c r="F12018" s="4" t="n">
        <v>2975</v>
      </c>
    </row>
    <row r="12019">
      <c r="A12019" s="3" t="inlineStr">
        <is>
          <t>4</t>
        </is>
      </c>
      <c r="B12019" s="3" t="inlineStr">
        <is>
          <t>Mandor</t>
        </is>
      </c>
      <c r="C12019" s="3" t="inlineStr">
        <is>
          <t>OH</t>
        </is>
      </c>
      <c r="D12019" s="15" t="n">
        <v>0.006</v>
      </c>
      <c r="E12019" s="4" t="n">
        <v>200000</v>
      </c>
      <c r="F12019" s="4" t="n">
        <v>1200</v>
      </c>
    </row>
    <row r="12020">
      <c r="A12020" s="3" t="inlineStr">
        <is>
          <t>1</t>
        </is>
      </c>
      <c r="B12020" s="3" t="inlineStr">
        <is>
          <t>Fire Extinguisher 25 kg  dan Aksesoris</t>
        </is>
      </c>
      <c r="C12020" s="3" t="inlineStr">
        <is>
          <t>unit</t>
        </is>
      </c>
      <c r="D12020" s="15" t="n">
        <v>1.1</v>
      </c>
      <c r="E12020" s="4" t="n">
        <v>1900000</v>
      </c>
      <c r="F12020" s="4" t="n">
        <v>2090000</v>
      </c>
    </row>
    <row r="12021">
      <c r="D12021" s="2" t="inlineStr">
        <is>
          <t>SUBTOTAL UPAH</t>
        </is>
      </c>
      <c r="F12021" s="16" t="n">
        <v>39170</v>
      </c>
    </row>
    <row r="12022">
      <c r="D12022" s="2" t="inlineStr">
        <is>
          <t>SUBTOTAL BAHAN</t>
        </is>
      </c>
      <c r="F12022" s="16" t="n">
        <v>2090000</v>
      </c>
    </row>
    <row r="12023">
      <c r="D12023" s="2" t="inlineStr">
        <is>
          <t>SUBTOTAL ALAT</t>
        </is>
      </c>
      <c r="F12023" s="16" t="n">
        <v>0</v>
      </c>
    </row>
    <row r="12024">
      <c r="E12024" s="2" t="inlineStr">
        <is>
          <t>TOTAL HARGA SATUAN (Inc. Overhead)</t>
        </is>
      </c>
      <c r="F12024" s="17" t="n">
        <v>2342087</v>
      </c>
    </row>
    <row r="12026">
      <c r="A12026" s="14" t="inlineStr">
        <is>
          <t>KODE: 5.6.3.4 - Pemasangan 1 unit Fire Extinguisher 6 kg</t>
        </is>
      </c>
    </row>
    <row r="12027">
      <c r="A12027" s="10" t="inlineStr">
        <is>
          <t>No</t>
        </is>
      </c>
      <c r="B12027" s="10" t="inlineStr">
        <is>
          <t>Uraian Komponen</t>
        </is>
      </c>
      <c r="C12027" s="10" t="inlineStr">
        <is>
          <t>Satuan</t>
        </is>
      </c>
      <c r="D12027" s="10" t="inlineStr">
        <is>
          <t>Koef</t>
        </is>
      </c>
      <c r="E12027" s="10" t="inlineStr">
        <is>
          <t>Harga Satuan (Rp)</t>
        </is>
      </c>
      <c r="F12027" s="10" t="inlineStr">
        <is>
          <t>Jumlah Harga (Rp)</t>
        </is>
      </c>
    </row>
    <row r="12028">
      <c r="A12028" s="3" t="inlineStr">
        <is>
          <t>1</t>
        </is>
      </c>
      <c r="B12028" s="3" t="inlineStr">
        <is>
          <t>Pekerja</t>
        </is>
      </c>
      <c r="C12028" s="3" t="inlineStr">
        <is>
          <t>OH</t>
        </is>
      </c>
      <c r="D12028" s="15" t="n">
        <v>0.102</v>
      </c>
      <c r="E12028" s="4" t="n">
        <v>100000</v>
      </c>
      <c r="F12028" s="4" t="n">
        <v>10200</v>
      </c>
    </row>
    <row r="12029">
      <c r="A12029" s="3" t="inlineStr">
        <is>
          <t>2</t>
        </is>
      </c>
      <c r="B12029" s="3" t="inlineStr">
        <is>
          <t>Tukang Pipa</t>
        </is>
      </c>
      <c r="C12029" s="3" t="inlineStr">
        <is>
          <t>OH</t>
        </is>
      </c>
      <c r="D12029" s="15" t="n">
        <v>0.171</v>
      </c>
      <c r="E12029" s="4" t="n">
        <v>145000</v>
      </c>
      <c r="F12029" s="4" t="n">
        <v>24795</v>
      </c>
    </row>
    <row r="12030">
      <c r="A12030" s="3" t="inlineStr">
        <is>
          <t>3</t>
        </is>
      </c>
      <c r="B12030" s="3" t="inlineStr">
        <is>
          <t>Kepala tukang</t>
        </is>
      </c>
      <c r="C12030" s="3" t="inlineStr">
        <is>
          <t>OH</t>
        </is>
      </c>
      <c r="D12030" s="15" t="n">
        <v>0.017</v>
      </c>
      <c r="E12030" s="4" t="n">
        <v>175000</v>
      </c>
      <c r="F12030" s="4" t="n">
        <v>2975</v>
      </c>
    </row>
    <row r="12031">
      <c r="A12031" s="3" t="inlineStr">
        <is>
          <t>4</t>
        </is>
      </c>
      <c r="B12031" s="3" t="inlineStr">
        <is>
          <t>Mandor</t>
        </is>
      </c>
      <c r="C12031" s="3" t="inlineStr">
        <is>
          <t>OH</t>
        </is>
      </c>
      <c r="D12031" s="15" t="n">
        <v>0.006</v>
      </c>
      <c r="E12031" s="4" t="n">
        <v>200000</v>
      </c>
      <c r="F12031" s="4" t="n">
        <v>1200</v>
      </c>
    </row>
    <row r="12032">
      <c r="A12032" s="3" t="inlineStr">
        <is>
          <t>1</t>
        </is>
      </c>
      <c r="B12032" s="3" t="inlineStr">
        <is>
          <t>Fire Extinguisher 6 kg  dan Aksesoris</t>
        </is>
      </c>
      <c r="C12032" s="3" t="inlineStr">
        <is>
          <t>unit</t>
        </is>
      </c>
      <c r="D12032" s="15" t="n">
        <v>1.1</v>
      </c>
      <c r="E12032" s="4" t="n">
        <v>350000</v>
      </c>
      <c r="F12032" s="4" t="n">
        <v>385000.0000000001</v>
      </c>
    </row>
    <row r="12033">
      <c r="D12033" s="2" t="inlineStr">
        <is>
          <t>SUBTOTAL UPAH</t>
        </is>
      </c>
      <c r="F12033" s="16" t="n">
        <v>39170</v>
      </c>
    </row>
    <row r="12034">
      <c r="D12034" s="2" t="inlineStr">
        <is>
          <t>SUBTOTAL BAHAN</t>
        </is>
      </c>
      <c r="F12034" s="16" t="n">
        <v>385000.0000000001</v>
      </c>
    </row>
    <row r="12035">
      <c r="D12035" s="2" t="inlineStr">
        <is>
          <t>SUBTOTAL ALAT</t>
        </is>
      </c>
      <c r="F12035" s="16" t="n">
        <v>0</v>
      </c>
    </row>
    <row r="12036">
      <c r="E12036" s="2" t="inlineStr">
        <is>
          <t>TOTAL HARGA SATUAN (Inc. Overhead)</t>
        </is>
      </c>
      <c r="F12036" s="17" t="n">
        <v>466587</v>
      </c>
    </row>
    <row r="12038">
      <c r="A12038" s="14" t="inlineStr">
        <is>
          <t>KODE: 5.6.4.1 - Pemasangan 1 Unit Jockey Fire Pump Vertical Multi Stage, 25 USGPM</t>
        </is>
      </c>
    </row>
    <row r="12039">
      <c r="A12039" s="10" t="inlineStr">
        <is>
          <t>No</t>
        </is>
      </c>
      <c r="B12039" s="10" t="inlineStr">
        <is>
          <t>Uraian Komponen</t>
        </is>
      </c>
      <c r="C12039" s="10" t="inlineStr">
        <is>
          <t>Satuan</t>
        </is>
      </c>
      <c r="D12039" s="10" t="inlineStr">
        <is>
          <t>Koef</t>
        </is>
      </c>
      <c r="E12039" s="10" t="inlineStr">
        <is>
          <t>Harga Satuan (Rp)</t>
        </is>
      </c>
      <c r="F12039" s="10" t="inlineStr">
        <is>
          <t>Jumlah Harga (Rp)</t>
        </is>
      </c>
    </row>
    <row r="12040">
      <c r="A12040" s="3" t="inlineStr">
        <is>
          <t>1</t>
        </is>
      </c>
      <c r="B12040" s="3" t="inlineStr">
        <is>
          <t>Pekerja</t>
        </is>
      </c>
      <c r="C12040" s="3" t="inlineStr">
        <is>
          <t>OH</t>
        </is>
      </c>
      <c r="D12040" s="15" t="n">
        <v>6.338</v>
      </c>
      <c r="E12040" s="4" t="n">
        <v>100000</v>
      </c>
      <c r="F12040" s="4" t="n">
        <v>633800</v>
      </c>
    </row>
    <row r="12041">
      <c r="A12041" s="3" t="inlineStr">
        <is>
          <t>2</t>
        </is>
      </c>
      <c r="B12041" s="3" t="inlineStr">
        <is>
          <t>Tukang Pipa</t>
        </is>
      </c>
      <c r="C12041" s="3" t="inlineStr">
        <is>
          <t>OH</t>
        </is>
      </c>
      <c r="D12041" s="15" t="n">
        <v>10.585</v>
      </c>
      <c r="E12041" s="4" t="n">
        <v>145000</v>
      </c>
      <c r="F12041" s="4" t="n">
        <v>1534825</v>
      </c>
    </row>
    <row r="12042">
      <c r="A12042" s="3" t="inlineStr">
        <is>
          <t>3</t>
        </is>
      </c>
      <c r="B12042" s="3" t="inlineStr">
        <is>
          <t>Kepala tukang</t>
        </is>
      </c>
      <c r="C12042" s="3" t="inlineStr">
        <is>
          <t>OH</t>
        </is>
      </c>
      <c r="D12042" s="15" t="n">
        <v>1.058</v>
      </c>
      <c r="E12042" s="4" t="n">
        <v>175000</v>
      </c>
      <c r="F12042" s="4" t="n">
        <v>185150</v>
      </c>
    </row>
    <row r="12043">
      <c r="A12043" s="3" t="inlineStr">
        <is>
          <t>4</t>
        </is>
      </c>
      <c r="B12043" s="3" t="inlineStr">
        <is>
          <t>Mandor</t>
        </is>
      </c>
      <c r="C12043" s="3" t="inlineStr">
        <is>
          <t>OH</t>
        </is>
      </c>
      <c r="D12043" s="15" t="n">
        <v>0.353</v>
      </c>
      <c r="E12043" s="4" t="n">
        <v>200000</v>
      </c>
      <c r="F12043" s="4" t="n">
        <v>70600</v>
      </c>
    </row>
    <row r="12044">
      <c r="A12044" s="3" t="inlineStr">
        <is>
          <t>1</t>
        </is>
      </c>
      <c r="B12044" s="3" t="inlineStr">
        <is>
          <t>Jockey Fire Pump Vertical Multi Stage 25 USGPM</t>
        </is>
      </c>
      <c r="C12044" s="3" t="inlineStr">
        <is>
          <t>unit</t>
        </is>
      </c>
      <c r="D12044" s="15" t="n">
        <v>1.05</v>
      </c>
      <c r="E12044" s="4" t="n">
        <v>7400000</v>
      </c>
      <c r="F12044" s="4" t="n">
        <v>7770000</v>
      </c>
    </row>
    <row r="12045">
      <c r="D12045" s="2" t="inlineStr">
        <is>
          <t>SUBTOTAL UPAH</t>
        </is>
      </c>
      <c r="F12045" s="16" t="n">
        <v>2424375</v>
      </c>
    </row>
    <row r="12046">
      <c r="D12046" s="2" t="inlineStr">
        <is>
          <t>SUBTOTAL BAHAN</t>
        </is>
      </c>
      <c r="F12046" s="16" t="n">
        <v>7770000</v>
      </c>
    </row>
    <row r="12047">
      <c r="D12047" s="2" t="inlineStr">
        <is>
          <t>SUBTOTAL ALAT</t>
        </is>
      </c>
      <c r="F12047" s="16" t="n">
        <v>0</v>
      </c>
    </row>
    <row r="12048">
      <c r="E12048" s="2" t="inlineStr">
        <is>
          <t>TOTAL HARGA SATUAN (Inc. Overhead)</t>
        </is>
      </c>
      <c r="F12048" s="17" t="n">
        <v>11213812</v>
      </c>
    </row>
    <row r="12050">
      <c r="A12050" s="14" t="inlineStr">
        <is>
          <t>KODE: 5.6.4.2 - Pemasangan 1 Unit Main Fire Pump Centrifugal End Suction, 1.000 USGPM</t>
        </is>
      </c>
    </row>
    <row r="12051">
      <c r="A12051" s="10" t="inlineStr">
        <is>
          <t>No</t>
        </is>
      </c>
      <c r="B12051" s="10" t="inlineStr">
        <is>
          <t>Uraian Komponen</t>
        </is>
      </c>
      <c r="C12051" s="10" t="inlineStr">
        <is>
          <t>Satuan</t>
        </is>
      </c>
      <c r="D12051" s="10" t="inlineStr">
        <is>
          <t>Koef</t>
        </is>
      </c>
      <c r="E12051" s="10" t="inlineStr">
        <is>
          <t>Harga Satuan (Rp)</t>
        </is>
      </c>
      <c r="F12051" s="10" t="inlineStr">
        <is>
          <t>Jumlah Harga (Rp)</t>
        </is>
      </c>
    </row>
    <row r="12052">
      <c r="A12052" s="3" t="inlineStr">
        <is>
          <t>1</t>
        </is>
      </c>
      <c r="B12052" s="3" t="inlineStr">
        <is>
          <t>Pekerja</t>
        </is>
      </c>
      <c r="C12052" s="3" t="inlineStr">
        <is>
          <t>OH</t>
        </is>
      </c>
      <c r="D12052" s="15" t="n">
        <v>22.821</v>
      </c>
      <c r="E12052" s="4" t="n">
        <v>100000</v>
      </c>
      <c r="F12052" s="4" t="n">
        <v>2282100</v>
      </c>
    </row>
    <row r="12053">
      <c r="A12053" s="3" t="inlineStr">
        <is>
          <t>2</t>
        </is>
      </c>
      <c r="B12053" s="3" t="inlineStr">
        <is>
          <t>Tukang Pipa</t>
        </is>
      </c>
      <c r="C12053" s="3" t="inlineStr">
        <is>
          <t>OH</t>
        </is>
      </c>
      <c r="D12053" s="15" t="n">
        <v>38.112</v>
      </c>
      <c r="E12053" s="4" t="n">
        <v>145000</v>
      </c>
      <c r="F12053" s="4" t="n">
        <v>5526240</v>
      </c>
    </row>
    <row r="12054">
      <c r="A12054" s="3" t="inlineStr">
        <is>
          <t>3</t>
        </is>
      </c>
      <c r="B12054" s="3" t="inlineStr">
        <is>
          <t>Kepala tukang</t>
        </is>
      </c>
      <c r="C12054" s="3" t="inlineStr">
        <is>
          <t>OH</t>
        </is>
      </c>
      <c r="D12054" s="15" t="n">
        <v>3.811</v>
      </c>
      <c r="E12054" s="4" t="n">
        <v>175000</v>
      </c>
      <c r="F12054" s="4" t="n">
        <v>666925</v>
      </c>
    </row>
    <row r="12055">
      <c r="A12055" s="3" t="inlineStr">
        <is>
          <t>4</t>
        </is>
      </c>
      <c r="B12055" s="3" t="inlineStr">
        <is>
          <t>Mandor</t>
        </is>
      </c>
      <c r="C12055" s="3" t="inlineStr">
        <is>
          <t>OH</t>
        </is>
      </c>
      <c r="D12055" s="15" t="n">
        <v>1.27</v>
      </c>
      <c r="E12055" s="4" t="n">
        <v>200000</v>
      </c>
      <c r="F12055" s="4" t="n">
        <v>254000</v>
      </c>
    </row>
    <row r="12056">
      <c r="A12056" s="3" t="inlineStr">
        <is>
          <t>1</t>
        </is>
      </c>
      <c r="B12056" s="3" t="inlineStr">
        <is>
          <t>Main Fire Pump Centrifugal  End Suction 1.000 USGPM</t>
        </is>
      </c>
      <c r="C12056" s="3" t="inlineStr">
        <is>
          <t>unit</t>
        </is>
      </c>
      <c r="D12056" s="15" t="n">
        <v>1.05</v>
      </c>
      <c r="E12056" s="4" t="n">
        <v>10000000</v>
      </c>
      <c r="F12056" s="4" t="n">
        <v>10500000</v>
      </c>
    </row>
    <row r="12057">
      <c r="D12057" s="2" t="inlineStr">
        <is>
          <t>SUBTOTAL UPAH</t>
        </is>
      </c>
      <c r="F12057" s="16" t="n">
        <v>8729265</v>
      </c>
    </row>
    <row r="12058">
      <c r="D12058" s="2" t="inlineStr">
        <is>
          <t>SUBTOTAL BAHAN</t>
        </is>
      </c>
      <c r="F12058" s="16" t="n">
        <v>10500000</v>
      </c>
    </row>
    <row r="12059">
      <c r="D12059" s="2" t="inlineStr">
        <is>
          <t>SUBTOTAL ALAT</t>
        </is>
      </c>
      <c r="F12059" s="16" t="n">
        <v>0</v>
      </c>
    </row>
    <row r="12060">
      <c r="E12060" s="2" t="inlineStr">
        <is>
          <t>TOTAL HARGA SATUAN (Inc. Overhead)</t>
        </is>
      </c>
      <c r="F12060" s="17" t="n">
        <v>21152191</v>
      </c>
    </row>
    <row r="12062">
      <c r="A12062" s="14" t="inlineStr">
        <is>
          <t>KODE: 5.6.4.3 - Pemasangan 1 Unit Diesel Fire Pump Centrifugal End Suction, 1.000 USGPM</t>
        </is>
      </c>
    </row>
    <row r="12063">
      <c r="A12063" s="10" t="inlineStr">
        <is>
          <t>No</t>
        </is>
      </c>
      <c r="B12063" s="10" t="inlineStr">
        <is>
          <t>Uraian Komponen</t>
        </is>
      </c>
      <c r="C12063" s="10" t="inlineStr">
        <is>
          <t>Satuan</t>
        </is>
      </c>
      <c r="D12063" s="10" t="inlineStr">
        <is>
          <t>Koef</t>
        </is>
      </c>
      <c r="E12063" s="10" t="inlineStr">
        <is>
          <t>Harga Satuan (Rp)</t>
        </is>
      </c>
      <c r="F12063" s="10" t="inlineStr">
        <is>
          <t>Jumlah Harga (Rp)</t>
        </is>
      </c>
    </row>
    <row r="12064">
      <c r="A12064" s="3" t="inlineStr">
        <is>
          <t>1</t>
        </is>
      </c>
      <c r="B12064" s="3" t="inlineStr">
        <is>
          <t>Pekerja</t>
        </is>
      </c>
      <c r="C12064" s="3" t="inlineStr">
        <is>
          <t>OH</t>
        </is>
      </c>
      <c r="D12064" s="15" t="n">
        <v>30.476</v>
      </c>
      <c r="E12064" s="4" t="n">
        <v>100000</v>
      </c>
      <c r="F12064" s="4" t="n">
        <v>3047600</v>
      </c>
    </row>
    <row r="12065">
      <c r="A12065" s="3" t="inlineStr">
        <is>
          <t>2</t>
        </is>
      </c>
      <c r="B12065" s="3" t="inlineStr">
        <is>
          <t>Tukang Pipa</t>
        </is>
      </c>
      <c r="C12065" s="3" t="inlineStr">
        <is>
          <t>OH</t>
        </is>
      </c>
      <c r="D12065" s="15" t="n">
        <v>50.895</v>
      </c>
      <c r="E12065" s="4" t="n">
        <v>145000</v>
      </c>
      <c r="F12065" s="4" t="n">
        <v>7379775</v>
      </c>
    </row>
    <row r="12066">
      <c r="A12066" s="3" t="inlineStr">
        <is>
          <t>3</t>
        </is>
      </c>
      <c r="B12066" s="3" t="inlineStr">
        <is>
          <t>Kepala tukang</t>
        </is>
      </c>
      <c r="C12066" s="3" t="inlineStr">
        <is>
          <t>OH</t>
        </is>
      </c>
      <c r="D12066" s="15" t="n">
        <v>5.09</v>
      </c>
      <c r="E12066" s="4" t="n">
        <v>175000</v>
      </c>
      <c r="F12066" s="4" t="n">
        <v>890750</v>
      </c>
    </row>
    <row r="12067">
      <c r="A12067" s="3" t="inlineStr">
        <is>
          <t>4</t>
        </is>
      </c>
      <c r="B12067" s="3" t="inlineStr">
        <is>
          <t>Mandor</t>
        </is>
      </c>
      <c r="C12067" s="3" t="inlineStr">
        <is>
          <t>OH</t>
        </is>
      </c>
      <c r="D12067" s="15" t="n">
        <v>1.697</v>
      </c>
      <c r="E12067" s="4" t="n">
        <v>200000</v>
      </c>
      <c r="F12067" s="4" t="n">
        <v>339400</v>
      </c>
    </row>
    <row r="12068">
      <c r="A12068" s="3" t="inlineStr">
        <is>
          <t>1</t>
        </is>
      </c>
      <c r="B12068" s="3" t="inlineStr">
        <is>
          <t>Diesel Fire Pump Centrifugal End Suction dan Aksesoris</t>
        </is>
      </c>
      <c r="C12068" s="3" t="inlineStr">
        <is>
          <t>unit</t>
        </is>
      </c>
      <c r="D12068" s="15" t="n">
        <v>1.05</v>
      </c>
      <c r="E12068" s="4" t="n">
        <v>12000000</v>
      </c>
      <c r="F12068" s="4" t="n">
        <v>12600000</v>
      </c>
    </row>
    <row r="12069">
      <c r="D12069" s="2" t="inlineStr">
        <is>
          <t>SUBTOTAL UPAH</t>
        </is>
      </c>
      <c r="F12069" s="16" t="n">
        <v>11657525</v>
      </c>
    </row>
    <row r="12070">
      <c r="D12070" s="2" t="inlineStr">
        <is>
          <t>SUBTOTAL BAHAN</t>
        </is>
      </c>
      <c r="F12070" s="16" t="n">
        <v>12600000</v>
      </c>
    </row>
    <row r="12071">
      <c r="D12071" s="2" t="inlineStr">
        <is>
          <t>SUBTOTAL ALAT</t>
        </is>
      </c>
      <c r="F12071" s="16" t="n">
        <v>0</v>
      </c>
    </row>
    <row r="12072">
      <c r="E12072" s="2" t="inlineStr">
        <is>
          <t>TOTAL HARGA SATUAN (Inc. Overhead)</t>
        </is>
      </c>
      <c r="F12072" s="17" t="n">
        <v>26683277</v>
      </c>
    </row>
    <row r="12074">
      <c r="A12074" s="14" t="inlineStr">
        <is>
          <t>KODE: 5.6.4.4 - Pemasangan 1 Unit Main Fire Pump Centrifugal End Suction, 1.250 USGPM</t>
        </is>
      </c>
    </row>
    <row r="12075">
      <c r="A12075" s="10" t="inlineStr">
        <is>
          <t>No</t>
        </is>
      </c>
      <c r="B12075" s="10" t="inlineStr">
        <is>
          <t>Uraian Komponen</t>
        </is>
      </c>
      <c r="C12075" s="10" t="inlineStr">
        <is>
          <t>Satuan</t>
        </is>
      </c>
      <c r="D12075" s="10" t="inlineStr">
        <is>
          <t>Koef</t>
        </is>
      </c>
      <c r="E12075" s="10" t="inlineStr">
        <is>
          <t>Harga Satuan (Rp)</t>
        </is>
      </c>
      <c r="F12075" s="10" t="inlineStr">
        <is>
          <t>Jumlah Harga (Rp)</t>
        </is>
      </c>
    </row>
    <row r="12076">
      <c r="A12076" s="3" t="inlineStr">
        <is>
          <t>1</t>
        </is>
      </c>
      <c r="B12076" s="3" t="inlineStr">
        <is>
          <t>Pekerja</t>
        </is>
      </c>
      <c r="C12076" s="3" t="inlineStr">
        <is>
          <t>OH</t>
        </is>
      </c>
      <c r="D12076" s="15" t="n">
        <v>25.098</v>
      </c>
      <c r="E12076" s="4" t="n">
        <v>100000</v>
      </c>
      <c r="F12076" s="4" t="n">
        <v>2509800</v>
      </c>
    </row>
    <row r="12077">
      <c r="A12077" s="3" t="inlineStr">
        <is>
          <t>2</t>
        </is>
      </c>
      <c r="B12077" s="3" t="inlineStr">
        <is>
          <t>Tukang Pipa</t>
        </is>
      </c>
      <c r="C12077" s="3" t="inlineStr">
        <is>
          <t>OH</t>
        </is>
      </c>
      <c r="D12077" s="15" t="n">
        <v>41.918</v>
      </c>
      <c r="E12077" s="4" t="n">
        <v>145000</v>
      </c>
      <c r="F12077" s="4" t="n">
        <v>6078110</v>
      </c>
    </row>
    <row r="12078">
      <c r="A12078" s="3" t="inlineStr">
        <is>
          <t>3</t>
        </is>
      </c>
      <c r="B12078" s="3" t="inlineStr">
        <is>
          <t>Kepala tukang</t>
        </is>
      </c>
      <c r="C12078" s="3" t="inlineStr">
        <is>
          <t>OH</t>
        </is>
      </c>
      <c r="D12078" s="15" t="n">
        <v>4.191</v>
      </c>
      <c r="E12078" s="4" t="n">
        <v>175000</v>
      </c>
      <c r="F12078" s="4" t="n">
        <v>733425</v>
      </c>
    </row>
    <row r="12079">
      <c r="A12079" s="3" t="inlineStr">
        <is>
          <t>4</t>
        </is>
      </c>
      <c r="B12079" s="3" t="inlineStr">
        <is>
          <t>Mandor</t>
        </is>
      </c>
      <c r="C12079" s="3" t="inlineStr">
        <is>
          <t>OH</t>
        </is>
      </c>
      <c r="D12079" s="15" t="n">
        <v>1.897</v>
      </c>
      <c r="E12079" s="4" t="n">
        <v>200000</v>
      </c>
      <c r="F12079" s="4" t="n">
        <v>379400</v>
      </c>
    </row>
    <row r="12080">
      <c r="A12080" s="3" t="inlineStr">
        <is>
          <t>1</t>
        </is>
      </c>
      <c r="B12080" s="3" t="inlineStr">
        <is>
          <t>Main Fire Pump Centrifugal End Suction dan Aksesoris</t>
        </is>
      </c>
      <c r="C12080" s="3" t="inlineStr">
        <is>
          <t>unit</t>
        </is>
      </c>
      <c r="D12080" s="15" t="n">
        <v>1.05</v>
      </c>
      <c r="E12080" s="4" t="n">
        <v>14000000</v>
      </c>
      <c r="F12080" s="4" t="n">
        <v>14700000</v>
      </c>
    </row>
    <row r="12081">
      <c r="D12081" s="2" t="inlineStr">
        <is>
          <t>SUBTOTAL UPAH</t>
        </is>
      </c>
      <c r="F12081" s="16" t="n">
        <v>9700735</v>
      </c>
    </row>
    <row r="12082">
      <c r="D12082" s="2" t="inlineStr">
        <is>
          <t>SUBTOTAL BAHAN</t>
        </is>
      </c>
      <c r="F12082" s="16" t="n">
        <v>14700000</v>
      </c>
    </row>
    <row r="12083">
      <c r="D12083" s="2" t="inlineStr">
        <is>
          <t>SUBTOTAL ALAT</t>
        </is>
      </c>
      <c r="F12083" s="16" t="n">
        <v>0</v>
      </c>
    </row>
    <row r="12084">
      <c r="E12084" s="2" t="inlineStr">
        <is>
          <t>TOTAL HARGA SATUAN (Inc. Overhead)</t>
        </is>
      </c>
      <c r="F12084" s="17" t="n">
        <v>26840808</v>
      </c>
    </row>
    <row r="12086">
      <c r="A12086" s="14" t="inlineStr">
        <is>
          <t>KODE: 5.6.4.5 - Pemasangan 1 Unit Diesel Fire Centrifugal Ed Suction, 1.250 USGPM</t>
        </is>
      </c>
    </row>
    <row r="12087">
      <c r="A12087" s="10" t="inlineStr">
        <is>
          <t>No</t>
        </is>
      </c>
      <c r="B12087" s="10" t="inlineStr">
        <is>
          <t>Uraian Komponen</t>
        </is>
      </c>
      <c r="C12087" s="10" t="inlineStr">
        <is>
          <t>Satuan</t>
        </is>
      </c>
      <c r="D12087" s="10" t="inlineStr">
        <is>
          <t>Koef</t>
        </is>
      </c>
      <c r="E12087" s="10" t="inlineStr">
        <is>
          <t>Harga Satuan (Rp)</t>
        </is>
      </c>
      <c r="F12087" s="10" t="inlineStr">
        <is>
          <t>Jumlah Harga (Rp)</t>
        </is>
      </c>
    </row>
    <row r="12088">
      <c r="A12088" s="3" t="inlineStr">
        <is>
          <t>1</t>
        </is>
      </c>
      <c r="B12088" s="3" t="inlineStr">
        <is>
          <t>Pekerja</t>
        </is>
      </c>
      <c r="C12088" s="3" t="inlineStr">
        <is>
          <t>OH</t>
        </is>
      </c>
      <c r="D12088" s="15" t="n">
        <v>33.457</v>
      </c>
      <c r="E12088" s="4" t="n">
        <v>100000</v>
      </c>
      <c r="F12088" s="4" t="n">
        <v>3345700</v>
      </c>
    </row>
    <row r="12089">
      <c r="A12089" s="3" t="inlineStr">
        <is>
          <t>2</t>
        </is>
      </c>
      <c r="B12089" s="3" t="inlineStr">
        <is>
          <t>Tukang Pipa</t>
        </is>
      </c>
      <c r="C12089" s="3" t="inlineStr">
        <is>
          <t>OH</t>
        </is>
      </c>
      <c r="D12089" s="15" t="n">
        <v>55.873</v>
      </c>
      <c r="E12089" s="4" t="n">
        <v>145000</v>
      </c>
      <c r="F12089" s="4" t="n">
        <v>8101585</v>
      </c>
    </row>
    <row r="12090">
      <c r="A12090" s="3" t="inlineStr">
        <is>
          <t>3</t>
        </is>
      </c>
      <c r="B12090" s="3" t="inlineStr">
        <is>
          <t>Kepala tukang</t>
        </is>
      </c>
      <c r="C12090" s="3" t="inlineStr">
        <is>
          <t>OH</t>
        </is>
      </c>
      <c r="D12090" s="15" t="n">
        <v>5.587</v>
      </c>
      <c r="E12090" s="4" t="n">
        <v>175000</v>
      </c>
      <c r="F12090" s="4" t="n">
        <v>977725</v>
      </c>
    </row>
    <row r="12091">
      <c r="A12091" s="3" t="inlineStr">
        <is>
          <t>4</t>
        </is>
      </c>
      <c r="B12091" s="3" t="inlineStr">
        <is>
          <t>Mandor</t>
        </is>
      </c>
      <c r="C12091" s="3" t="inlineStr">
        <is>
          <t>OH</t>
        </is>
      </c>
      <c r="D12091" s="15" t="n">
        <v>1.862</v>
      </c>
      <c r="E12091" s="4" t="n">
        <v>200000</v>
      </c>
      <c r="F12091" s="4" t="n">
        <v>372400</v>
      </c>
    </row>
    <row r="12092">
      <c r="A12092" s="3" t="inlineStr">
        <is>
          <t>1</t>
        </is>
      </c>
      <c r="B12092" s="3" t="inlineStr">
        <is>
          <t>Diesel Fire Pump Centrifugal End Suction dan Aksesoris</t>
        </is>
      </c>
      <c r="C12092" s="3" t="inlineStr">
        <is>
          <t>unit</t>
        </is>
      </c>
      <c r="D12092" s="15" t="n">
        <v>1.05</v>
      </c>
      <c r="E12092" s="4" t="n">
        <v>12000000</v>
      </c>
      <c r="F12092" s="4" t="n">
        <v>12600000</v>
      </c>
    </row>
    <row r="12093">
      <c r="D12093" s="2" t="inlineStr">
        <is>
          <t>SUBTOTAL UPAH</t>
        </is>
      </c>
      <c r="F12093" s="16" t="n">
        <v>12797410</v>
      </c>
    </row>
    <row r="12094">
      <c r="D12094" s="2" t="inlineStr">
        <is>
          <t>SUBTOTAL BAHAN</t>
        </is>
      </c>
      <c r="F12094" s="16" t="n">
        <v>12600000</v>
      </c>
    </row>
    <row r="12095">
      <c r="D12095" s="2" t="inlineStr">
        <is>
          <t>SUBTOTAL ALAT</t>
        </is>
      </c>
      <c r="F12095" s="16" t="n">
        <v>0</v>
      </c>
    </row>
    <row r="12096">
      <c r="E12096" s="2" t="inlineStr">
        <is>
          <t>TOTAL HARGA SATUAN (Inc. Overhead)</t>
        </is>
      </c>
      <c r="F12096" s="17" t="n">
        <v>27937151</v>
      </c>
    </row>
    <row r="12098">
      <c r="A12098" s="14" t="inlineStr">
        <is>
          <t>KODE: 5.6.5.1 - Pemasangan 1 m2 Fire Stop Mortar + Rockwool</t>
        </is>
      </c>
    </row>
    <row r="12099">
      <c r="A12099" s="10" t="inlineStr">
        <is>
          <t>No</t>
        </is>
      </c>
      <c r="B12099" s="10" t="inlineStr">
        <is>
          <t>Uraian Komponen</t>
        </is>
      </c>
      <c r="C12099" s="10" t="inlineStr">
        <is>
          <t>Satuan</t>
        </is>
      </c>
      <c r="D12099" s="10" t="inlineStr">
        <is>
          <t>Koef</t>
        </is>
      </c>
      <c r="E12099" s="10" t="inlineStr">
        <is>
          <t>Harga Satuan (Rp)</t>
        </is>
      </c>
      <c r="F12099" s="10" t="inlineStr">
        <is>
          <t>Jumlah Harga (Rp)</t>
        </is>
      </c>
    </row>
    <row r="12100">
      <c r="A12100" s="3" t="inlineStr">
        <is>
          <t>1</t>
        </is>
      </c>
      <c r="B12100" s="3" t="inlineStr">
        <is>
          <t>Pekerja</t>
        </is>
      </c>
      <c r="C12100" s="3" t="inlineStr">
        <is>
          <t>OH</t>
        </is>
      </c>
      <c r="D12100" s="15" t="n">
        <v>1.193</v>
      </c>
      <c r="E12100" s="4" t="n">
        <v>100000</v>
      </c>
      <c r="F12100" s="4" t="n">
        <v>119300</v>
      </c>
    </row>
    <row r="12101">
      <c r="A12101" s="3" t="inlineStr">
        <is>
          <t>2</t>
        </is>
      </c>
      <c r="B12101" s="3" t="inlineStr">
        <is>
          <t>Tukang Pipa</t>
        </is>
      </c>
      <c r="C12101" s="3" t="inlineStr">
        <is>
          <t>OH</t>
        </is>
      </c>
      <c r="D12101" s="15" t="n">
        <v>1.992</v>
      </c>
      <c r="E12101" s="4" t="n">
        <v>145000</v>
      </c>
      <c r="F12101" s="4" t="n">
        <v>288840</v>
      </c>
    </row>
    <row r="12102">
      <c r="A12102" s="3" t="inlineStr">
        <is>
          <t>3</t>
        </is>
      </c>
      <c r="B12102" s="3" t="inlineStr">
        <is>
          <t>Kepala tukang</t>
        </is>
      </c>
      <c r="C12102" s="3" t="inlineStr">
        <is>
          <t>OH</t>
        </is>
      </c>
      <c r="D12102" s="15" t="n">
        <v>0.199</v>
      </c>
      <c r="E12102" s="4" t="n">
        <v>175000</v>
      </c>
      <c r="F12102" s="4" t="n">
        <v>34825</v>
      </c>
    </row>
    <row r="12103">
      <c r="A12103" s="3" t="inlineStr">
        <is>
          <t>4</t>
        </is>
      </c>
      <c r="B12103" s="3" t="inlineStr">
        <is>
          <t>Mandor</t>
        </is>
      </c>
      <c r="C12103" s="3" t="inlineStr">
        <is>
          <t>OH</t>
        </is>
      </c>
      <c r="D12103" s="15" t="n">
        <v>0.066</v>
      </c>
      <c r="E12103" s="4" t="n">
        <v>200000</v>
      </c>
      <c r="F12103" s="4" t="n">
        <v>13200</v>
      </c>
    </row>
    <row r="12104">
      <c r="A12104" s="3" t="inlineStr">
        <is>
          <t>1</t>
        </is>
      </c>
      <c r="B12104" s="3" t="inlineStr">
        <is>
          <t>Fire Stop Mortar</t>
        </is>
      </c>
      <c r="C12104" s="3" t="inlineStr">
        <is>
          <t>kg</t>
        </is>
      </c>
      <c r="D12104" s="15" t="n">
        <v>20</v>
      </c>
      <c r="E12104" s="4" t="n">
        <v>110000</v>
      </c>
      <c r="F12104" s="4" t="n">
        <v>2200000</v>
      </c>
    </row>
    <row r="12105">
      <c r="A12105" s="3" t="inlineStr">
        <is>
          <t>2</t>
        </is>
      </c>
      <c r="B12105" s="3" t="inlineStr">
        <is>
          <t>Rockwool Density 80kg/m3 t-40</t>
        </is>
      </c>
      <c r="C12105" s="3" t="inlineStr">
        <is>
          <t>m2</t>
        </is>
      </c>
      <c r="D12105" s="15" t="n">
        <v>1</v>
      </c>
      <c r="E12105" s="4" t="n">
        <v>125000</v>
      </c>
      <c r="F12105" s="4" t="n">
        <v>125000</v>
      </c>
    </row>
    <row r="12106">
      <c r="A12106" s="3" t="inlineStr">
        <is>
          <t>3</t>
        </is>
      </c>
      <c r="B12106" s="3" t="inlineStr">
        <is>
          <t>Pelat Besi</t>
        </is>
      </c>
      <c r="C12106" s="3" t="inlineStr">
        <is>
          <t>m2</t>
        </is>
      </c>
      <c r="D12106" s="15" t="n">
        <v>1</v>
      </c>
      <c r="E12106" s="4" t="n">
        <v>20000</v>
      </c>
      <c r="F12106" s="4" t="n">
        <v>20000</v>
      </c>
    </row>
    <row r="12107">
      <c r="A12107" s="3" t="inlineStr">
        <is>
          <t>4</t>
        </is>
      </c>
      <c r="B12107" s="3" t="inlineStr">
        <is>
          <t>Hollow 50 x 50mm</t>
        </is>
      </c>
      <c r="C12107" s="3" t="inlineStr">
        <is>
          <t>m</t>
        </is>
      </c>
      <c r="D12107" s="15" t="n">
        <v>4</v>
      </c>
      <c r="E12107" s="4" t="n">
        <v>50000</v>
      </c>
      <c r="F12107" s="4" t="n">
        <v>200000</v>
      </c>
    </row>
    <row r="12108">
      <c r="A12108" s="3" t="inlineStr">
        <is>
          <t>5</t>
        </is>
      </c>
      <c r="B12108" s="3" t="inlineStr">
        <is>
          <t>Suppport dan aksesoris</t>
        </is>
      </c>
      <c r="C12108" s="3" t="inlineStr">
        <is>
          <t>set</t>
        </is>
      </c>
      <c r="D12108" s="15" t="n">
        <v>1</v>
      </c>
      <c r="E12108" s="4" t="n">
        <v>15000</v>
      </c>
      <c r="F12108" s="4" t="n">
        <v>15000</v>
      </c>
    </row>
    <row r="12109">
      <c r="D12109" s="2" t="inlineStr">
        <is>
          <t>SUBTOTAL UPAH</t>
        </is>
      </c>
      <c r="F12109" s="16" t="n">
        <v>456165</v>
      </c>
    </row>
    <row r="12110">
      <c r="D12110" s="2" t="inlineStr">
        <is>
          <t>SUBTOTAL BAHAN</t>
        </is>
      </c>
      <c r="F12110" s="16" t="n">
        <v>2560000</v>
      </c>
    </row>
    <row r="12111">
      <c r="D12111" s="2" t="inlineStr">
        <is>
          <t>SUBTOTAL ALAT</t>
        </is>
      </c>
      <c r="F12111" s="16" t="n">
        <v>0</v>
      </c>
    </row>
    <row r="12112">
      <c r="E12112" s="2" t="inlineStr">
        <is>
          <t>TOTAL HARGA SATUAN (Inc. Overhead)</t>
        </is>
      </c>
      <c r="F12112" s="17" t="n">
        <v>3317781</v>
      </c>
    </row>
    <row r="12114">
      <c r="A12114" s="14" t="inlineStr">
        <is>
          <t>KODE: 6.1.1.1 - Pemasangan 1 Unit Rof Tank Fiberglass Kap. 2 m3</t>
        </is>
      </c>
    </row>
    <row r="12115">
      <c r="A12115" s="10" t="inlineStr">
        <is>
          <t>No</t>
        </is>
      </c>
      <c r="B12115" s="10" t="inlineStr">
        <is>
          <t>Uraian Komponen</t>
        </is>
      </c>
      <c r="C12115" s="10" t="inlineStr">
        <is>
          <t>Satuan</t>
        </is>
      </c>
      <c r="D12115" s="10" t="inlineStr">
        <is>
          <t>Koef</t>
        </is>
      </c>
      <c r="E12115" s="10" t="inlineStr">
        <is>
          <t>Harga Satuan (Rp)</t>
        </is>
      </c>
      <c r="F12115" s="10" t="inlineStr">
        <is>
          <t>Jumlah Harga (Rp)</t>
        </is>
      </c>
    </row>
    <row r="12116">
      <c r="A12116" s="3" t="inlineStr">
        <is>
          <t>1</t>
        </is>
      </c>
      <c r="B12116" s="3" t="inlineStr">
        <is>
          <t>Pekerja OH</t>
        </is>
      </c>
      <c r="C12116" s="3" t="inlineStr">
        <is>
          <t>0.417</t>
        </is>
      </c>
      <c r="D12116" s="15" t="n">
        <v>100000</v>
      </c>
      <c r="E12116" s="4" t="n">
        <v>41700</v>
      </c>
      <c r="F12116" s="4" t="n">
        <v>0.1</v>
      </c>
    </row>
    <row r="12117">
      <c r="A12117" s="3" t="inlineStr">
        <is>
          <t>2</t>
        </is>
      </c>
      <c r="B12117" s="3" t="inlineStr">
        <is>
          <t>Tukang batu</t>
        </is>
      </c>
      <c r="C12117" s="3" t="inlineStr">
        <is>
          <t>OH</t>
        </is>
      </c>
      <c r="D12117" s="15" t="n">
        <v>0.696</v>
      </c>
      <c r="E12117" s="4" t="n">
        <v>145000</v>
      </c>
      <c r="F12117" s="4" t="n">
        <v>100920</v>
      </c>
    </row>
    <row r="12118">
      <c r="A12118" s="3" t="inlineStr">
        <is>
          <t>3</t>
        </is>
      </c>
      <c r="B12118" s="3" t="inlineStr">
        <is>
          <t>Kepala tukang</t>
        </is>
      </c>
      <c r="C12118" s="3" t="inlineStr">
        <is>
          <t>OH</t>
        </is>
      </c>
      <c r="D12118" s="15" t="n">
        <v>0.07000000000000001</v>
      </c>
      <c r="E12118" s="4" t="n">
        <v>175000</v>
      </c>
      <c r="F12118" s="4" t="n">
        <v>12250</v>
      </c>
    </row>
    <row r="12119">
      <c r="A12119" s="3" t="inlineStr">
        <is>
          <t>4</t>
        </is>
      </c>
      <c r="B12119" s="3" t="inlineStr">
        <is>
          <t>Mandor</t>
        </is>
      </c>
      <c r="C12119" s="3" t="inlineStr">
        <is>
          <t>OH</t>
        </is>
      </c>
      <c r="D12119" s="15" t="n">
        <v>0.021</v>
      </c>
      <c r="E12119" s="4" t="n">
        <v>200000</v>
      </c>
      <c r="F12119" s="4" t="n">
        <v>4200</v>
      </c>
    </row>
    <row r="12120">
      <c r="A12120" s="3" t="inlineStr">
        <is>
          <t>1</t>
        </is>
      </c>
      <c r="B12120" s="3" t="inlineStr">
        <is>
          <t>Roof tank fiberglass kap. 2 m3</t>
        </is>
      </c>
      <c r="C12120" s="3" t="inlineStr">
        <is>
          <t>unit</t>
        </is>
      </c>
      <c r="D12120" s="15" t="n">
        <v>1.08</v>
      </c>
      <c r="E12120" s="4" t="n">
        <v>6000000</v>
      </c>
      <c r="F12120" s="4" t="n">
        <v>6480000</v>
      </c>
    </row>
    <row r="12121">
      <c r="D12121" s="2" t="inlineStr">
        <is>
          <t>SUBTOTAL UPAH</t>
        </is>
      </c>
      <c r="F12121" s="16" t="n">
        <v>159070</v>
      </c>
    </row>
    <row r="12122">
      <c r="D12122" s="2" t="inlineStr">
        <is>
          <t>SUBTOTAL BAHAN</t>
        </is>
      </c>
      <c r="F12122" s="16" t="n">
        <v>6480000</v>
      </c>
    </row>
    <row r="12123">
      <c r="D12123" s="2" t="inlineStr">
        <is>
          <t>SUBTOTAL ALAT</t>
        </is>
      </c>
      <c r="F12123" s="16" t="n">
        <v>0</v>
      </c>
    </row>
    <row r="12124">
      <c r="E12124" s="2" t="inlineStr">
        <is>
          <t>TOTAL HARGA SATUAN (Inc. Overhead)</t>
        </is>
      </c>
      <c r="F12124" s="17" t="n">
        <v>7302977</v>
      </c>
    </row>
    <row r="12126">
      <c r="A12126" s="14" t="inlineStr">
        <is>
          <t>KODE: 6.1.1.2 - Pemasangan 1 unit roof tank fiberglass kap. 4 m3</t>
        </is>
      </c>
    </row>
    <row r="12127">
      <c r="A12127" s="10" t="inlineStr">
        <is>
          <t>No</t>
        </is>
      </c>
      <c r="B12127" s="10" t="inlineStr">
        <is>
          <t>Uraian Komponen</t>
        </is>
      </c>
      <c r="C12127" s="10" t="inlineStr">
        <is>
          <t>Satuan</t>
        </is>
      </c>
      <c r="D12127" s="10" t="inlineStr">
        <is>
          <t>Koef</t>
        </is>
      </c>
      <c r="E12127" s="10" t="inlineStr">
        <is>
          <t>Harga Satuan (Rp)</t>
        </is>
      </c>
      <c r="F12127" s="10" t="inlineStr">
        <is>
          <t>Jumlah Harga (Rp)</t>
        </is>
      </c>
    </row>
    <row r="12128">
      <c r="A12128" s="3" t="inlineStr">
        <is>
          <t>1</t>
        </is>
      </c>
      <c r="B12128" s="3" t="inlineStr">
        <is>
          <t>Pekerja</t>
        </is>
      </c>
      <c r="C12128" s="3" t="inlineStr">
        <is>
          <t>OH</t>
        </is>
      </c>
      <c r="D12128" s="15" t="n">
        <v>0.646</v>
      </c>
      <c r="E12128" s="4" t="n">
        <v>100000</v>
      </c>
      <c r="F12128" s="4" t="n">
        <v>64600</v>
      </c>
    </row>
    <row r="12129">
      <c r="A12129" s="3" t="inlineStr">
        <is>
          <t>2</t>
        </is>
      </c>
      <c r="B12129" s="3" t="inlineStr">
        <is>
          <t>Tukang batu</t>
        </is>
      </c>
      <c r="C12129" s="3" t="inlineStr">
        <is>
          <t>OH</t>
        </is>
      </c>
      <c r="D12129" s="15" t="n">
        <v>1.079</v>
      </c>
      <c r="E12129" s="4" t="n">
        <v>145000</v>
      </c>
      <c r="F12129" s="4" t="n">
        <v>156455</v>
      </c>
    </row>
    <row r="12130">
      <c r="A12130" s="3" t="inlineStr">
        <is>
          <t>3</t>
        </is>
      </c>
      <c r="B12130" s="3" t="inlineStr">
        <is>
          <t>Kepala tukang</t>
        </is>
      </c>
      <c r="C12130" s="3" t="inlineStr">
        <is>
          <t>OH</t>
        </is>
      </c>
      <c r="D12130" s="15" t="n">
        <v>0.108</v>
      </c>
      <c r="E12130" s="4" t="n">
        <v>175000</v>
      </c>
      <c r="F12130" s="4" t="n">
        <v>18900</v>
      </c>
    </row>
    <row r="12131">
      <c r="A12131" s="3" t="inlineStr">
        <is>
          <t>4</t>
        </is>
      </c>
      <c r="B12131" s="3" t="inlineStr">
        <is>
          <t>Mandor</t>
        </is>
      </c>
      <c r="C12131" s="3" t="inlineStr">
        <is>
          <t>OH</t>
        </is>
      </c>
      <c r="D12131" s="15" t="n">
        <v>0.032</v>
      </c>
      <c r="E12131" s="4" t="n">
        <v>200000</v>
      </c>
      <c r="F12131" s="4" t="n">
        <v>6400</v>
      </c>
    </row>
    <row r="12132">
      <c r="A12132" s="3" t="inlineStr">
        <is>
          <t>1</t>
        </is>
      </c>
      <c r="B12132" s="3" t="inlineStr">
        <is>
          <t>Roof tank fiberglass kap. 4 m3</t>
        </is>
      </c>
      <c r="C12132" s="3" t="inlineStr">
        <is>
          <t>unit</t>
        </is>
      </c>
      <c r="D12132" s="15" t="n">
        <v>1.1</v>
      </c>
      <c r="E12132" s="4" t="n">
        <v>12000000</v>
      </c>
      <c r="F12132" s="4" t="n">
        <v>13200000</v>
      </c>
    </row>
    <row r="12133">
      <c r="D12133" s="2" t="inlineStr">
        <is>
          <t>SUBTOTAL UPAH</t>
        </is>
      </c>
      <c r="F12133" s="16" t="n">
        <v>246355</v>
      </c>
    </row>
    <row r="12134">
      <c r="D12134" s="2" t="inlineStr">
        <is>
          <t>SUBTOTAL BAHAN</t>
        </is>
      </c>
      <c r="F12134" s="16" t="n">
        <v>13200000</v>
      </c>
    </row>
    <row r="12135">
      <c r="D12135" s="2" t="inlineStr">
        <is>
          <t>SUBTOTAL ALAT</t>
        </is>
      </c>
      <c r="F12135" s="16" t="n">
        <v>0</v>
      </c>
    </row>
    <row r="12136">
      <c r="E12136" s="2" t="inlineStr">
        <is>
          <t>TOTAL HARGA SATUAN (Inc. Overhead)</t>
        </is>
      </c>
      <c r="F12136" s="17" t="n">
        <v>14790990</v>
      </c>
    </row>
    <row r="12138">
      <c r="A12138" s="14" t="inlineStr">
        <is>
          <t>KODE: 6.1.1.3 - Pemasangan 1 unit roof tank fiberglass kap. 12 m3</t>
        </is>
      </c>
    </row>
    <row r="12139">
      <c r="A12139" s="10" t="inlineStr">
        <is>
          <t>No</t>
        </is>
      </c>
      <c r="B12139" s="10" t="inlineStr">
        <is>
          <t>Uraian Komponen</t>
        </is>
      </c>
      <c r="C12139" s="10" t="inlineStr">
        <is>
          <t>Satuan</t>
        </is>
      </c>
      <c r="D12139" s="10" t="inlineStr">
        <is>
          <t>Koef</t>
        </is>
      </c>
      <c r="E12139" s="10" t="inlineStr">
        <is>
          <t>Harga Satuan (Rp)</t>
        </is>
      </c>
      <c r="F12139" s="10" t="inlineStr">
        <is>
          <t>Jumlah Harga (Rp)</t>
        </is>
      </c>
    </row>
    <row r="12140">
      <c r="A12140" s="3" t="inlineStr">
        <is>
          <t>1</t>
        </is>
      </c>
      <c r="B12140" s="3" t="inlineStr">
        <is>
          <t>Pekerja</t>
        </is>
      </c>
      <c r="C12140" s="3" t="inlineStr">
        <is>
          <t>OH</t>
        </is>
      </c>
      <c r="D12140" s="15" t="n">
        <v>0.771</v>
      </c>
      <c r="E12140" s="4" t="n">
        <v>100000</v>
      </c>
      <c r="F12140" s="4" t="n">
        <v>77100</v>
      </c>
    </row>
    <row r="12141">
      <c r="A12141" s="3" t="inlineStr">
        <is>
          <t>2</t>
        </is>
      </c>
      <c r="B12141" s="3" t="inlineStr">
        <is>
          <t>Tukang batu</t>
        </is>
      </c>
      <c r="C12141" s="3" t="inlineStr">
        <is>
          <t>OH</t>
        </is>
      </c>
      <c r="D12141" s="15" t="n">
        <v>1.288</v>
      </c>
      <c r="E12141" s="4" t="n">
        <v>145000</v>
      </c>
      <c r="F12141" s="4" t="n">
        <v>186760</v>
      </c>
    </row>
    <row r="12142">
      <c r="A12142" s="3" t="inlineStr">
        <is>
          <t>3</t>
        </is>
      </c>
      <c r="B12142" s="3" t="inlineStr">
        <is>
          <t>Kepala tukang</t>
        </is>
      </c>
      <c r="C12142" s="3" t="inlineStr">
        <is>
          <t>OH</t>
        </is>
      </c>
      <c r="D12142" s="15" t="n">
        <v>0.129</v>
      </c>
      <c r="E12142" s="4" t="n">
        <v>175000</v>
      </c>
      <c r="F12142" s="4" t="n">
        <v>22575</v>
      </c>
    </row>
    <row r="12143">
      <c r="A12143" s="3" t="inlineStr">
        <is>
          <t>4</t>
        </is>
      </c>
      <c r="B12143" s="3" t="inlineStr">
        <is>
          <t>Mandor</t>
        </is>
      </c>
      <c r="C12143" s="3" t="inlineStr">
        <is>
          <t>OH</t>
        </is>
      </c>
      <c r="D12143" s="15" t="n">
        <v>0.039</v>
      </c>
      <c r="E12143" s="4" t="n">
        <v>200000</v>
      </c>
      <c r="F12143" s="4" t="n">
        <v>7800</v>
      </c>
    </row>
    <row r="12144">
      <c r="A12144" s="3" t="inlineStr">
        <is>
          <t>1</t>
        </is>
      </c>
      <c r="B12144" s="3" t="inlineStr">
        <is>
          <t>Roof tank fiberglass kap. 12 m3</t>
        </is>
      </c>
      <c r="C12144" s="3" t="inlineStr">
        <is>
          <t>unit</t>
        </is>
      </c>
      <c r="D12144" s="15" t="n">
        <v>1.12</v>
      </c>
      <c r="E12144" s="4" t="n">
        <v>36000000</v>
      </c>
      <c r="F12144" s="4" t="n">
        <v>40320000.00000001</v>
      </c>
    </row>
    <row r="12145">
      <c r="D12145" s="2" t="inlineStr">
        <is>
          <t>SUBTOTAL UPAH</t>
        </is>
      </c>
      <c r="F12145" s="16" t="n">
        <v>294235</v>
      </c>
    </row>
    <row r="12146">
      <c r="D12146" s="2" t="inlineStr">
        <is>
          <t>SUBTOTAL BAHAN</t>
        </is>
      </c>
      <c r="F12146" s="16" t="n">
        <v>40320000.00000001</v>
      </c>
    </row>
    <row r="12147">
      <c r="D12147" s="2" t="inlineStr">
        <is>
          <t>SUBTOTAL ALAT</t>
        </is>
      </c>
      <c r="F12147" s="16" t="n">
        <v>0</v>
      </c>
    </row>
    <row r="12148">
      <c r="E12148" s="2" t="inlineStr">
        <is>
          <t>TOTAL HARGA SATUAN (Inc. Overhead)</t>
        </is>
      </c>
      <c r="F12148" s="17" t="n">
        <v>44675658</v>
      </c>
    </row>
    <row r="12150">
      <c r="A12150" s="14" t="inlineStr">
        <is>
          <t>KODE: 6.1.1.4 - Pemasangan 1 unit roof tank stainless kap. 2 m3</t>
        </is>
      </c>
    </row>
    <row r="12151">
      <c r="A12151" s="10" t="inlineStr">
        <is>
          <t>No</t>
        </is>
      </c>
      <c r="B12151" s="10" t="inlineStr">
        <is>
          <t>Uraian Komponen</t>
        </is>
      </c>
      <c r="C12151" s="10" t="inlineStr">
        <is>
          <t>Satuan</t>
        </is>
      </c>
      <c r="D12151" s="10" t="inlineStr">
        <is>
          <t>Koef</t>
        </is>
      </c>
      <c r="E12151" s="10" t="inlineStr">
        <is>
          <t>Harga Satuan (Rp)</t>
        </is>
      </c>
      <c r="F12151" s="10" t="inlineStr">
        <is>
          <t>Jumlah Harga (Rp)</t>
        </is>
      </c>
    </row>
    <row r="12152">
      <c r="A12152" s="3" t="inlineStr">
        <is>
          <t>1</t>
        </is>
      </c>
      <c r="B12152" s="3" t="inlineStr">
        <is>
          <t>Pekerja</t>
        </is>
      </c>
      <c r="C12152" s="3" t="inlineStr">
        <is>
          <t>OH</t>
        </is>
      </c>
      <c r="D12152" s="15" t="n">
        <v>0.417</v>
      </c>
      <c r="E12152" s="4" t="n">
        <v>100000</v>
      </c>
      <c r="F12152" s="4" t="n">
        <v>41700</v>
      </c>
    </row>
    <row r="12153">
      <c r="A12153" s="3" t="inlineStr">
        <is>
          <t>2</t>
        </is>
      </c>
      <c r="B12153" s="3" t="inlineStr">
        <is>
          <t>Tukang batu</t>
        </is>
      </c>
      <c r="C12153" s="3" t="inlineStr">
        <is>
          <t>OH</t>
        </is>
      </c>
      <c r="D12153" s="15" t="n">
        <v>0.696</v>
      </c>
      <c r="E12153" s="4" t="n">
        <v>145000</v>
      </c>
      <c r="F12153" s="4" t="n">
        <v>100920</v>
      </c>
    </row>
    <row r="12154">
      <c r="A12154" s="3" t="inlineStr">
        <is>
          <t>3</t>
        </is>
      </c>
      <c r="B12154" s="3" t="inlineStr">
        <is>
          <t>Kepala tukang</t>
        </is>
      </c>
      <c r="C12154" s="3" t="inlineStr">
        <is>
          <t>OH</t>
        </is>
      </c>
      <c r="D12154" s="15" t="n">
        <v>0.07000000000000001</v>
      </c>
      <c r="E12154" s="4" t="n">
        <v>175000</v>
      </c>
      <c r="F12154" s="4" t="n">
        <v>12250</v>
      </c>
    </row>
    <row r="12155">
      <c r="A12155" s="3" t="inlineStr">
        <is>
          <t>4</t>
        </is>
      </c>
      <c r="B12155" s="3" t="inlineStr">
        <is>
          <t>Mandor</t>
        </is>
      </c>
      <c r="C12155" s="3" t="inlineStr">
        <is>
          <t>OH</t>
        </is>
      </c>
      <c r="D12155" s="15" t="n">
        <v>0.021</v>
      </c>
      <c r="E12155" s="4" t="n">
        <v>200000</v>
      </c>
      <c r="F12155" s="4" t="n">
        <v>4200</v>
      </c>
    </row>
    <row r="12156">
      <c r="A12156" s="3" t="inlineStr">
        <is>
          <t>1</t>
        </is>
      </c>
      <c r="B12156" s="3" t="inlineStr">
        <is>
          <t>Roof tank stainless kap. 2 m3</t>
        </is>
      </c>
      <c r="C12156" s="3" t="inlineStr">
        <is>
          <t>unit</t>
        </is>
      </c>
      <c r="D12156" s="15" t="n">
        <v>1.15</v>
      </c>
      <c r="E12156" s="4" t="n">
        <v>6400000</v>
      </c>
      <c r="F12156" s="4" t="n">
        <v>7359999.999999999</v>
      </c>
    </row>
    <row r="12157">
      <c r="D12157" s="2" t="inlineStr">
        <is>
          <t>SUBTOTAL UPAH</t>
        </is>
      </c>
      <c r="F12157" s="16" t="n">
        <v>159070</v>
      </c>
    </row>
    <row r="12158">
      <c r="D12158" s="2" t="inlineStr">
        <is>
          <t>SUBTOTAL BAHAN</t>
        </is>
      </c>
      <c r="F12158" s="16" t="n">
        <v>7359999.999999999</v>
      </c>
    </row>
    <row r="12159">
      <c r="D12159" s="2" t="inlineStr">
        <is>
          <t>SUBTOTAL ALAT</t>
        </is>
      </c>
      <c r="F12159" s="16" t="n">
        <v>0</v>
      </c>
    </row>
    <row r="12160">
      <c r="E12160" s="2" t="inlineStr">
        <is>
          <t>TOTAL HARGA SATUAN (Inc. Overhead)</t>
        </is>
      </c>
      <c r="F12160" s="17" t="n">
        <v>8270977</v>
      </c>
    </row>
    <row r="12162">
      <c r="A12162" s="14" t="inlineStr">
        <is>
          <t>KODE: 6.1.1.5 - Pemasangan 1 unit roof tank stainless kap. 4 m3</t>
        </is>
      </c>
    </row>
    <row r="12163">
      <c r="A12163" s="10" t="inlineStr">
        <is>
          <t>No</t>
        </is>
      </c>
      <c r="B12163" s="10" t="inlineStr">
        <is>
          <t>Uraian Komponen</t>
        </is>
      </c>
      <c r="C12163" s="10" t="inlineStr">
        <is>
          <t>Satuan</t>
        </is>
      </c>
      <c r="D12163" s="10" t="inlineStr">
        <is>
          <t>Koef</t>
        </is>
      </c>
      <c r="E12163" s="10" t="inlineStr">
        <is>
          <t>Harga Satuan (Rp)</t>
        </is>
      </c>
      <c r="F12163" s="10" t="inlineStr">
        <is>
          <t>Jumlah Harga (Rp)</t>
        </is>
      </c>
    </row>
    <row r="12164">
      <c r="A12164" s="3" t="inlineStr">
        <is>
          <t>1</t>
        </is>
      </c>
      <c r="B12164" s="3" t="inlineStr">
        <is>
          <t>Pekerja</t>
        </is>
      </c>
      <c r="C12164" s="3" t="inlineStr">
        <is>
          <t>OH</t>
        </is>
      </c>
      <c r="D12164" s="15" t="n">
        <v>0.646</v>
      </c>
      <c r="E12164" s="4" t="n">
        <v>100000</v>
      </c>
      <c r="F12164" s="4" t="n">
        <v>64600</v>
      </c>
    </row>
    <row r="12165">
      <c r="A12165" s="3" t="inlineStr">
        <is>
          <t>2</t>
        </is>
      </c>
      <c r="B12165" s="3" t="inlineStr">
        <is>
          <t>Tukang batu</t>
        </is>
      </c>
      <c r="C12165" s="3" t="inlineStr">
        <is>
          <t>OH</t>
        </is>
      </c>
      <c r="D12165" s="15" t="n">
        <v>1.079</v>
      </c>
      <c r="E12165" s="4" t="n">
        <v>145000</v>
      </c>
      <c r="F12165" s="4" t="n">
        <v>156455</v>
      </c>
    </row>
    <row r="12166">
      <c r="A12166" s="3" t="inlineStr">
        <is>
          <t>3</t>
        </is>
      </c>
      <c r="B12166" s="3" t="inlineStr">
        <is>
          <t>Kepala tukang</t>
        </is>
      </c>
      <c r="C12166" s="3" t="inlineStr">
        <is>
          <t>OH</t>
        </is>
      </c>
      <c r="D12166" s="15" t="n">
        <v>0.108</v>
      </c>
      <c r="E12166" s="4" t="n">
        <v>175000</v>
      </c>
      <c r="F12166" s="4" t="n">
        <v>18900</v>
      </c>
    </row>
    <row r="12167">
      <c r="A12167" s="3" t="inlineStr">
        <is>
          <t>4</t>
        </is>
      </c>
      <c r="B12167" s="3" t="inlineStr">
        <is>
          <t>Mandor</t>
        </is>
      </c>
      <c r="C12167" s="3" t="inlineStr">
        <is>
          <t>OH</t>
        </is>
      </c>
      <c r="D12167" s="15" t="n">
        <v>0.032</v>
      </c>
      <c r="E12167" s="4" t="n">
        <v>200000</v>
      </c>
      <c r="F12167" s="4" t="n">
        <v>6400</v>
      </c>
    </row>
    <row r="12168">
      <c r="A12168" s="3" t="inlineStr">
        <is>
          <t>1</t>
        </is>
      </c>
      <c r="B12168" s="3" t="inlineStr">
        <is>
          <t>Roof tank stainless kap. 4 m3</t>
        </is>
      </c>
      <c r="C12168" s="3" t="inlineStr">
        <is>
          <t>unit</t>
        </is>
      </c>
      <c r="D12168" s="15" t="n">
        <v>1.15</v>
      </c>
      <c r="E12168" s="4" t="n">
        <v>15000000</v>
      </c>
      <c r="F12168" s="4" t="n">
        <v>17250000</v>
      </c>
    </row>
    <row r="12169">
      <c r="D12169" s="2" t="inlineStr">
        <is>
          <t>SUBTOTAL UPAH</t>
        </is>
      </c>
      <c r="F12169" s="16" t="n">
        <v>246355</v>
      </c>
    </row>
    <row r="12170">
      <c r="D12170" s="2" t="inlineStr">
        <is>
          <t>SUBTOTAL BAHAN</t>
        </is>
      </c>
      <c r="F12170" s="16" t="n">
        <v>17250000</v>
      </c>
    </row>
    <row r="12171">
      <c r="D12171" s="2" t="inlineStr">
        <is>
          <t>SUBTOTAL ALAT</t>
        </is>
      </c>
      <c r="F12171" s="16" t="n">
        <v>0</v>
      </c>
    </row>
    <row r="12172">
      <c r="E12172" s="2" t="inlineStr">
        <is>
          <t>TOTAL HARGA SATUAN (Inc. Overhead)</t>
        </is>
      </c>
      <c r="F12172" s="17" t="n">
        <v>19245990</v>
      </c>
    </row>
    <row r="12174">
      <c r="A12174" s="14" t="inlineStr">
        <is>
          <t>KODE: 6.1.1.6 - Pemasangan 1 unit roof tank stainless kap. 12 m3</t>
        </is>
      </c>
    </row>
    <row r="12175">
      <c r="A12175" s="10" t="inlineStr">
        <is>
          <t>No</t>
        </is>
      </c>
      <c r="B12175" s="10" t="inlineStr">
        <is>
          <t>Uraian Komponen</t>
        </is>
      </c>
      <c r="C12175" s="10" t="inlineStr">
        <is>
          <t>Satuan</t>
        </is>
      </c>
      <c r="D12175" s="10" t="inlineStr">
        <is>
          <t>Koef</t>
        </is>
      </c>
      <c r="E12175" s="10" t="inlineStr">
        <is>
          <t>Harga Satuan (Rp)</t>
        </is>
      </c>
      <c r="F12175" s="10" t="inlineStr">
        <is>
          <t>Jumlah Harga (Rp)</t>
        </is>
      </c>
    </row>
    <row r="12176">
      <c r="A12176" s="3" t="inlineStr">
        <is>
          <t>1</t>
        </is>
      </c>
      <c r="B12176" s="3" t="inlineStr">
        <is>
          <t>Pekerja</t>
        </is>
      </c>
      <c r="C12176" s="3" t="inlineStr">
        <is>
          <t>OH</t>
        </is>
      </c>
      <c r="D12176" s="15" t="n">
        <v>0.771</v>
      </c>
      <c r="E12176" s="4" t="n">
        <v>100000</v>
      </c>
      <c r="F12176" s="4" t="n">
        <v>77100</v>
      </c>
    </row>
    <row r="12177">
      <c r="A12177" s="3" t="inlineStr">
        <is>
          <t>2</t>
        </is>
      </c>
      <c r="B12177" s="3" t="inlineStr">
        <is>
          <t>Tukang batu</t>
        </is>
      </c>
      <c r="C12177" s="3" t="inlineStr">
        <is>
          <t>OH</t>
        </is>
      </c>
      <c r="D12177" s="15" t="n">
        <v>1.288</v>
      </c>
      <c r="E12177" s="4" t="n">
        <v>145000</v>
      </c>
      <c r="F12177" s="4" t="n">
        <v>186760</v>
      </c>
    </row>
    <row r="12178">
      <c r="A12178" s="3" t="inlineStr">
        <is>
          <t>3</t>
        </is>
      </c>
      <c r="B12178" s="3" t="inlineStr">
        <is>
          <t>Kepala tukang</t>
        </is>
      </c>
      <c r="C12178" s="3" t="inlineStr">
        <is>
          <t>OH</t>
        </is>
      </c>
      <c r="D12178" s="15" t="n">
        <v>0.129</v>
      </c>
      <c r="E12178" s="4" t="n">
        <v>175000</v>
      </c>
      <c r="F12178" s="4" t="n">
        <v>22575</v>
      </c>
    </row>
    <row r="12179">
      <c r="A12179" s="3" t="inlineStr">
        <is>
          <t>4</t>
        </is>
      </c>
      <c r="B12179" s="3" t="inlineStr">
        <is>
          <t>Mandor</t>
        </is>
      </c>
      <c r="C12179" s="3" t="inlineStr">
        <is>
          <t>OH</t>
        </is>
      </c>
      <c r="D12179" s="15" t="n">
        <v>0.039</v>
      </c>
      <c r="E12179" s="4" t="n">
        <v>200000</v>
      </c>
      <c r="F12179" s="4" t="n">
        <v>7800</v>
      </c>
    </row>
    <row r="12180">
      <c r="A12180" s="3" t="inlineStr">
        <is>
          <t>1</t>
        </is>
      </c>
      <c r="B12180" s="3" t="inlineStr">
        <is>
          <t>Roof tank stainless kap. 12 m3</t>
        </is>
      </c>
      <c r="C12180" s="3" t="inlineStr">
        <is>
          <t>unit</t>
        </is>
      </c>
      <c r="D12180" s="15" t="n">
        <v>1.15</v>
      </c>
      <c r="E12180" s="4" t="n">
        <v>48000000</v>
      </c>
      <c r="F12180" s="4" t="n">
        <v>55199999.99999999</v>
      </c>
    </row>
    <row r="12181">
      <c r="D12181" s="2" t="inlineStr">
        <is>
          <t>SUBTOTAL UPAH</t>
        </is>
      </c>
      <c r="F12181" s="16" t="n">
        <v>294235</v>
      </c>
    </row>
    <row r="12182">
      <c r="D12182" s="2" t="inlineStr">
        <is>
          <t>SUBTOTAL BAHAN</t>
        </is>
      </c>
      <c r="F12182" s="16" t="n">
        <v>55199999.99999999</v>
      </c>
    </row>
    <row r="12183">
      <c r="D12183" s="2" t="inlineStr">
        <is>
          <t>SUBTOTAL ALAT</t>
        </is>
      </c>
      <c r="F12183" s="16" t="n">
        <v>0</v>
      </c>
    </row>
    <row r="12184">
      <c r="E12184" s="2" t="inlineStr">
        <is>
          <t>TOTAL HARGA SATUAN (Inc. Overhead)</t>
        </is>
      </c>
      <c r="F12184" s="17" t="n">
        <v>61043658</v>
      </c>
    </row>
    <row r="12186">
      <c r="A12186" s="14" t="inlineStr">
        <is>
          <t>KODE: 6.1.1.7 - Pemasangan 1 unit tangki toren kap. 0,7 m3</t>
        </is>
      </c>
    </row>
    <row r="12187">
      <c r="A12187" s="10" t="inlineStr">
        <is>
          <t>No</t>
        </is>
      </c>
      <c r="B12187" s="10" t="inlineStr">
        <is>
          <t>Uraian Komponen</t>
        </is>
      </c>
      <c r="C12187" s="10" t="inlineStr">
        <is>
          <t>Satuan</t>
        </is>
      </c>
      <c r="D12187" s="10" t="inlineStr">
        <is>
          <t>Koef</t>
        </is>
      </c>
      <c r="E12187" s="10" t="inlineStr">
        <is>
          <t>Harga Satuan (Rp)</t>
        </is>
      </c>
      <c r="F12187" s="10" t="inlineStr">
        <is>
          <t>Jumlah Harga (Rp)</t>
        </is>
      </c>
    </row>
    <row r="12188">
      <c r="A12188" s="3" t="inlineStr">
        <is>
          <t>1</t>
        </is>
      </c>
      <c r="B12188" s="3" t="inlineStr">
        <is>
          <t>Pekerja</t>
        </is>
      </c>
      <c r="C12188" s="3" t="inlineStr">
        <is>
          <t>OH</t>
        </is>
      </c>
      <c r="D12188" s="15" t="n">
        <v>0.129</v>
      </c>
      <c r="E12188" s="4" t="n">
        <v>100000</v>
      </c>
      <c r="F12188" s="4" t="n">
        <v>12900</v>
      </c>
    </row>
    <row r="12189">
      <c r="A12189" s="3" t="inlineStr">
        <is>
          <t>2</t>
        </is>
      </c>
      <c r="B12189" s="3" t="inlineStr">
        <is>
          <t>Tukang batu</t>
        </is>
      </c>
      <c r="C12189" s="3" t="inlineStr">
        <is>
          <t>OH</t>
        </is>
      </c>
      <c r="D12189" s="15" t="n">
        <v>0.215</v>
      </c>
      <c r="E12189" s="4" t="n">
        <v>145000</v>
      </c>
      <c r="F12189" s="4" t="n">
        <v>31175</v>
      </c>
    </row>
    <row r="12190">
      <c r="A12190" s="3" t="inlineStr">
        <is>
          <t>3</t>
        </is>
      </c>
      <c r="B12190" s="3" t="inlineStr">
        <is>
          <t>Kepala tukang</t>
        </is>
      </c>
      <c r="C12190" s="3" t="inlineStr">
        <is>
          <t>OH</t>
        </is>
      </c>
      <c r="D12190" s="15" t="n">
        <v>0.021</v>
      </c>
      <c r="E12190" s="4" t="n">
        <v>175000</v>
      </c>
      <c r="F12190" s="4" t="n">
        <v>3675</v>
      </c>
    </row>
    <row r="12191">
      <c r="A12191" s="3" t="inlineStr">
        <is>
          <t>4</t>
        </is>
      </c>
      <c r="B12191" s="3" t="inlineStr">
        <is>
          <t>Mandor</t>
        </is>
      </c>
      <c r="C12191" s="3" t="inlineStr">
        <is>
          <t>OH</t>
        </is>
      </c>
      <c r="D12191" s="15" t="n">
        <v>0.006</v>
      </c>
      <c r="E12191" s="4" t="n">
        <v>200000</v>
      </c>
      <c r="F12191" s="4" t="n">
        <v>1200</v>
      </c>
    </row>
    <row r="12192">
      <c r="A12192" s="3" t="inlineStr">
        <is>
          <t>1</t>
        </is>
      </c>
      <c r="B12192" s="3" t="inlineStr">
        <is>
          <t>"Tangki toren kap. 0 7 m3"</t>
        </is>
      </c>
      <c r="C12192" s="3" t="inlineStr">
        <is>
          <t>unit</t>
        </is>
      </c>
      <c r="D12192" s="15" t="n">
        <v>1.02</v>
      </c>
      <c r="E12192" s="4" t="n">
        <v>1100000</v>
      </c>
      <c r="F12192" s="4" t="n">
        <v>1122000</v>
      </c>
    </row>
    <row r="12193">
      <c r="D12193" s="2" t="inlineStr">
        <is>
          <t>SUBTOTAL UPAH</t>
        </is>
      </c>
      <c r="F12193" s="16" t="n">
        <v>48950</v>
      </c>
    </row>
    <row r="12194">
      <c r="D12194" s="2" t="inlineStr">
        <is>
          <t>SUBTOTAL BAHAN</t>
        </is>
      </c>
      <c r="F12194" s="16" t="n">
        <v>1122000</v>
      </c>
    </row>
    <row r="12195">
      <c r="D12195" s="2" t="inlineStr">
        <is>
          <t>SUBTOTAL ALAT</t>
        </is>
      </c>
      <c r="F12195" s="16" t="n">
        <v>0</v>
      </c>
    </row>
    <row r="12196">
      <c r="E12196" s="2" t="inlineStr">
        <is>
          <t>TOTAL HARGA SATUAN (Inc. Overhead)</t>
        </is>
      </c>
      <c r="F12196" s="17" t="n">
        <v>1288045</v>
      </c>
    </row>
    <row r="12198">
      <c r="A12198" s="14" t="inlineStr">
        <is>
          <t>KODE: 6.1.1.8 - Pemasangan 1 unit tangki toren kap. 1,5 m3</t>
        </is>
      </c>
    </row>
    <row r="12199">
      <c r="A12199" s="10" t="inlineStr">
        <is>
          <t>No</t>
        </is>
      </c>
      <c r="B12199" s="10" t="inlineStr">
        <is>
          <t>Uraian Komponen</t>
        </is>
      </c>
      <c r="C12199" s="10" t="inlineStr">
        <is>
          <t>Satuan</t>
        </is>
      </c>
      <c r="D12199" s="10" t="inlineStr">
        <is>
          <t>Koef</t>
        </is>
      </c>
      <c r="E12199" s="10" t="inlineStr">
        <is>
          <t>Harga Satuan (Rp)</t>
        </is>
      </c>
      <c r="F12199" s="10" t="inlineStr">
        <is>
          <t>Jumlah Harga (Rp)</t>
        </is>
      </c>
    </row>
    <row r="12200">
      <c r="A12200" s="3" t="inlineStr">
        <is>
          <t>1</t>
        </is>
      </c>
      <c r="B12200" s="3" t="inlineStr">
        <is>
          <t>Pekerja</t>
        </is>
      </c>
      <c r="C12200" s="3" t="inlineStr">
        <is>
          <t>OH</t>
        </is>
      </c>
      <c r="D12200" s="15" t="n">
        <v>0.417</v>
      </c>
      <c r="E12200" s="4" t="n">
        <v>100000</v>
      </c>
      <c r="F12200" s="4" t="n">
        <v>41700</v>
      </c>
    </row>
    <row r="12201">
      <c r="A12201" s="3" t="inlineStr">
        <is>
          <t>2</t>
        </is>
      </c>
      <c r="B12201" s="3" t="inlineStr">
        <is>
          <t>Tukang batu</t>
        </is>
      </c>
      <c r="C12201" s="3" t="inlineStr">
        <is>
          <t>OH</t>
        </is>
      </c>
      <c r="D12201" s="15" t="n">
        <v>0.696</v>
      </c>
      <c r="E12201" s="4" t="n">
        <v>145000</v>
      </c>
      <c r="F12201" s="4" t="n">
        <v>100920</v>
      </c>
    </row>
    <row r="12202">
      <c r="A12202" s="3" t="inlineStr">
        <is>
          <t>3</t>
        </is>
      </c>
      <c r="B12202" s="3" t="inlineStr">
        <is>
          <t>Kepala tukang</t>
        </is>
      </c>
      <c r="C12202" s="3" t="inlineStr">
        <is>
          <t>OH</t>
        </is>
      </c>
      <c r="D12202" s="15" t="n">
        <v>0.07000000000000001</v>
      </c>
      <c r="E12202" s="4" t="n">
        <v>175000</v>
      </c>
      <c r="F12202" s="4" t="n">
        <v>12250</v>
      </c>
    </row>
    <row r="12203">
      <c r="A12203" s="3" t="inlineStr">
        <is>
          <t>4</t>
        </is>
      </c>
      <c r="B12203" s="3" t="inlineStr">
        <is>
          <t>Mandor</t>
        </is>
      </c>
      <c r="C12203" s="3" t="inlineStr">
        <is>
          <t>OH</t>
        </is>
      </c>
      <c r="D12203" s="15" t="n">
        <v>0.021</v>
      </c>
      <c r="E12203" s="4" t="n">
        <v>200000</v>
      </c>
      <c r="F12203" s="4" t="n">
        <v>4200</v>
      </c>
    </row>
    <row r="12204">
      <c r="A12204" s="3" t="inlineStr">
        <is>
          <t>1</t>
        </is>
      </c>
      <c r="B12204" s="3" t="inlineStr">
        <is>
          <t>"Tangki toren kap. 1 5 m3"</t>
        </is>
      </c>
      <c r="C12204" s="3" t="inlineStr">
        <is>
          <t>unit</t>
        </is>
      </c>
      <c r="D12204" s="15" t="n">
        <v>1.05</v>
      </c>
      <c r="E12204" s="4" t="n">
        <v>1700000</v>
      </c>
      <c r="F12204" s="4" t="n">
        <v>1785000</v>
      </c>
    </row>
    <row r="12205">
      <c r="D12205" s="2" t="inlineStr">
        <is>
          <t>SUBTOTAL UPAH</t>
        </is>
      </c>
      <c r="F12205" s="16" t="n">
        <v>159070</v>
      </c>
    </row>
    <row r="12206">
      <c r="D12206" s="2" t="inlineStr">
        <is>
          <t>SUBTOTAL BAHAN</t>
        </is>
      </c>
      <c r="F12206" s="16" t="n">
        <v>1785000</v>
      </c>
    </row>
    <row r="12207">
      <c r="D12207" s="2" t="inlineStr">
        <is>
          <t>SUBTOTAL ALAT</t>
        </is>
      </c>
      <c r="F12207" s="16" t="n">
        <v>0</v>
      </c>
    </row>
    <row r="12208">
      <c r="E12208" s="2" t="inlineStr">
        <is>
          <t>TOTAL HARGA SATUAN (Inc. Overhead)</t>
        </is>
      </c>
      <c r="F12208" s="17" t="n">
        <v>2138477</v>
      </c>
    </row>
    <row r="12210">
      <c r="A12210" s="14" t="inlineStr">
        <is>
          <t>KODE: 6.1.1.9 - Pemasangan 1 unit tangki toren kap. 2,5 m3</t>
        </is>
      </c>
    </row>
    <row r="12211">
      <c r="A12211" s="10" t="inlineStr">
        <is>
          <t>No</t>
        </is>
      </c>
      <c r="B12211" s="10" t="inlineStr">
        <is>
          <t>Uraian Komponen</t>
        </is>
      </c>
      <c r="C12211" s="10" t="inlineStr">
        <is>
          <t>Satuan</t>
        </is>
      </c>
      <c r="D12211" s="10" t="inlineStr">
        <is>
          <t>Koef</t>
        </is>
      </c>
      <c r="E12211" s="10" t="inlineStr">
        <is>
          <t>Harga Satuan (Rp)</t>
        </is>
      </c>
      <c r="F12211" s="10" t="inlineStr">
        <is>
          <t>Jumlah Harga (Rp)</t>
        </is>
      </c>
    </row>
    <row r="12212">
      <c r="A12212" s="3" t="inlineStr">
        <is>
          <t>1</t>
        </is>
      </c>
      <c r="B12212" s="3" t="inlineStr">
        <is>
          <t>Pekerja</t>
        </is>
      </c>
      <c r="C12212" s="3" t="inlineStr">
        <is>
          <t>OH</t>
        </is>
      </c>
      <c r="D12212" s="15" t="n">
        <v>0.417</v>
      </c>
      <c r="E12212" s="4" t="n">
        <v>100000</v>
      </c>
      <c r="F12212" s="4" t="n">
        <v>41700</v>
      </c>
    </row>
    <row r="12213">
      <c r="A12213" s="3" t="inlineStr">
        <is>
          <t>2</t>
        </is>
      </c>
      <c r="B12213" s="3" t="inlineStr">
        <is>
          <t>Tukang batu</t>
        </is>
      </c>
      <c r="C12213" s="3" t="inlineStr">
        <is>
          <t>OH</t>
        </is>
      </c>
      <c r="D12213" s="15" t="n">
        <v>0.696</v>
      </c>
      <c r="E12213" s="4" t="n">
        <v>145000</v>
      </c>
      <c r="F12213" s="4" t="n">
        <v>100920</v>
      </c>
    </row>
    <row r="12214">
      <c r="A12214" s="3" t="inlineStr">
        <is>
          <t>3</t>
        </is>
      </c>
      <c r="B12214" s="3" t="inlineStr">
        <is>
          <t>Kepala tukang</t>
        </is>
      </c>
      <c r="C12214" s="3" t="inlineStr">
        <is>
          <t>OH</t>
        </is>
      </c>
      <c r="D12214" s="15" t="n">
        <v>0.07000000000000001</v>
      </c>
      <c r="E12214" s="4" t="n">
        <v>175000</v>
      </c>
      <c r="F12214" s="4" t="n">
        <v>12250</v>
      </c>
    </row>
    <row r="12215">
      <c r="A12215" s="3" t="inlineStr">
        <is>
          <t>4</t>
        </is>
      </c>
      <c r="B12215" s="3" t="inlineStr">
        <is>
          <t>Mandor</t>
        </is>
      </c>
      <c r="C12215" s="3" t="inlineStr">
        <is>
          <t>OH</t>
        </is>
      </c>
      <c r="D12215" s="15" t="n">
        <v>0.021</v>
      </c>
      <c r="E12215" s="4" t="n">
        <v>200000</v>
      </c>
      <c r="F12215" s="4" t="n">
        <v>4200</v>
      </c>
    </row>
    <row r="12216">
      <c r="A12216" s="3" t="inlineStr">
        <is>
          <t>1</t>
        </is>
      </c>
      <c r="B12216" s="3" t="inlineStr">
        <is>
          <t>"Tangki toren kap. 2 5 m3"</t>
        </is>
      </c>
      <c r="C12216" s="3" t="inlineStr">
        <is>
          <t>unit</t>
        </is>
      </c>
      <c r="D12216" s="15" t="n">
        <v>1.05</v>
      </c>
      <c r="E12216" s="4" t="n">
        <v>3400000</v>
      </c>
      <c r="F12216" s="4" t="n">
        <v>3570000</v>
      </c>
    </row>
    <row r="12217">
      <c r="D12217" s="2" t="inlineStr">
        <is>
          <t>SUBTOTAL UPAH</t>
        </is>
      </c>
      <c r="F12217" s="16" t="n">
        <v>159070</v>
      </c>
    </row>
    <row r="12218">
      <c r="D12218" s="2" t="inlineStr">
        <is>
          <t>SUBTOTAL BAHAN</t>
        </is>
      </c>
      <c r="F12218" s="16" t="n">
        <v>3570000</v>
      </c>
    </row>
    <row r="12219">
      <c r="D12219" s="2" t="inlineStr">
        <is>
          <t>SUBTOTAL ALAT</t>
        </is>
      </c>
      <c r="F12219" s="16" t="n">
        <v>0</v>
      </c>
    </row>
    <row r="12220">
      <c r="E12220" s="2" t="inlineStr">
        <is>
          <t>TOTAL HARGA SATUAN (Inc. Overhead)</t>
        </is>
      </c>
      <c r="F12220" s="17" t="n">
        <v>4101977</v>
      </c>
    </row>
    <row r="12222">
      <c r="A12222" s="14" t="inlineStr">
        <is>
          <t>KODE: 6.1.1.10 - Pemasangan 1 unit tangki toren kap. 3 m3</t>
        </is>
      </c>
    </row>
    <row r="12223">
      <c r="A12223" s="10" t="inlineStr">
        <is>
          <t>No</t>
        </is>
      </c>
      <c r="B12223" s="10" t="inlineStr">
        <is>
          <t>Uraian Komponen</t>
        </is>
      </c>
      <c r="C12223" s="10" t="inlineStr">
        <is>
          <t>Satuan</t>
        </is>
      </c>
      <c r="D12223" s="10" t="inlineStr">
        <is>
          <t>Koef</t>
        </is>
      </c>
      <c r="E12223" s="10" t="inlineStr">
        <is>
          <t>Harga Satuan (Rp)</t>
        </is>
      </c>
      <c r="F12223" s="10" t="inlineStr">
        <is>
          <t>Jumlah Harga (Rp)</t>
        </is>
      </c>
    </row>
    <row r="12224">
      <c r="A12224" s="3" t="inlineStr">
        <is>
          <t>1</t>
        </is>
      </c>
      <c r="B12224" s="3" t="inlineStr">
        <is>
          <t>Pekerja</t>
        </is>
      </c>
      <c r="C12224" s="3" t="inlineStr">
        <is>
          <t>OH</t>
        </is>
      </c>
      <c r="D12224" s="15" t="n">
        <v>0.646</v>
      </c>
      <c r="E12224" s="4" t="n">
        <v>100000</v>
      </c>
      <c r="F12224" s="4" t="n">
        <v>64600</v>
      </c>
    </row>
    <row r="12225">
      <c r="A12225" s="3" t="inlineStr">
        <is>
          <t>2</t>
        </is>
      </c>
      <c r="B12225" s="3" t="inlineStr">
        <is>
          <t>Tukang batu</t>
        </is>
      </c>
      <c r="C12225" s="3" t="inlineStr">
        <is>
          <t>OH</t>
        </is>
      </c>
      <c r="D12225" s="15" t="n">
        <v>1.079</v>
      </c>
      <c r="E12225" s="4" t="n">
        <v>145000</v>
      </c>
      <c r="F12225" s="4" t="n">
        <v>156455</v>
      </c>
    </row>
    <row r="12226">
      <c r="A12226" s="3" t="inlineStr">
        <is>
          <t>3</t>
        </is>
      </c>
      <c r="B12226" s="3" t="inlineStr">
        <is>
          <t>Kepala tukang</t>
        </is>
      </c>
      <c r="C12226" s="3" t="inlineStr">
        <is>
          <t>OH</t>
        </is>
      </c>
      <c r="D12226" s="15" t="n">
        <v>0.108</v>
      </c>
      <c r="E12226" s="4" t="n">
        <v>175000</v>
      </c>
      <c r="F12226" s="4" t="n">
        <v>18900</v>
      </c>
    </row>
    <row r="12227">
      <c r="A12227" s="3" t="inlineStr">
        <is>
          <t>4</t>
        </is>
      </c>
      <c r="B12227" s="3" t="inlineStr">
        <is>
          <t>Mandor</t>
        </is>
      </c>
      <c r="C12227" s="3" t="inlineStr">
        <is>
          <t>OH</t>
        </is>
      </c>
      <c r="D12227" s="15" t="n">
        <v>0.032</v>
      </c>
      <c r="E12227" s="4" t="n">
        <v>200000</v>
      </c>
      <c r="F12227" s="4" t="n">
        <v>6400</v>
      </c>
    </row>
    <row r="12228">
      <c r="A12228" s="3" t="inlineStr">
        <is>
          <t>1</t>
        </is>
      </c>
      <c r="B12228" s="3" t="inlineStr">
        <is>
          <t>Tangki toren kap. 3 m3</t>
        </is>
      </c>
      <c r="C12228" s="3" t="inlineStr">
        <is>
          <t>unit</t>
        </is>
      </c>
      <c r="D12228" s="15" t="n">
        <v>1.05</v>
      </c>
      <c r="E12228" s="4" t="n">
        <v>4600000</v>
      </c>
      <c r="F12228" s="4" t="n">
        <v>4830000</v>
      </c>
    </row>
    <row r="12229">
      <c r="D12229" s="2" t="inlineStr">
        <is>
          <t>SUBTOTAL UPAH</t>
        </is>
      </c>
      <c r="F12229" s="16" t="n">
        <v>246355</v>
      </c>
    </row>
    <row r="12230">
      <c r="D12230" s="2" t="inlineStr">
        <is>
          <t>SUBTOTAL BAHAN</t>
        </is>
      </c>
      <c r="F12230" s="16" t="n">
        <v>4830000</v>
      </c>
    </row>
    <row r="12231">
      <c r="D12231" s="2" t="inlineStr">
        <is>
          <t>SUBTOTAL ALAT</t>
        </is>
      </c>
      <c r="F12231" s="16" t="n">
        <v>0</v>
      </c>
    </row>
    <row r="12232">
      <c r="E12232" s="2" t="inlineStr">
        <is>
          <t>TOTAL HARGA SATUAN (Inc. Overhead)</t>
        </is>
      </c>
      <c r="F12232" s="17" t="n">
        <v>5583990</v>
      </c>
    </row>
    <row r="12234">
      <c r="A12234" s="14" t="inlineStr">
        <is>
          <t>KODE: 6.1.1.11 - Pemasangan 1 unit tangki toren kap. 4 m3</t>
        </is>
      </c>
    </row>
    <row r="12235">
      <c r="A12235" s="10" t="inlineStr">
        <is>
          <t>No</t>
        </is>
      </c>
      <c r="B12235" s="10" t="inlineStr">
        <is>
          <t>Uraian Komponen</t>
        </is>
      </c>
      <c r="C12235" s="10" t="inlineStr">
        <is>
          <t>Satuan</t>
        </is>
      </c>
      <c r="D12235" s="10" t="inlineStr">
        <is>
          <t>Koef</t>
        </is>
      </c>
      <c r="E12235" s="10" t="inlineStr">
        <is>
          <t>Harga Satuan (Rp)</t>
        </is>
      </c>
      <c r="F12235" s="10" t="inlineStr">
        <is>
          <t>Jumlah Harga (Rp)</t>
        </is>
      </c>
    </row>
    <row r="12236">
      <c r="A12236" s="3" t="inlineStr">
        <is>
          <t>1</t>
        </is>
      </c>
      <c r="B12236" s="3" t="inlineStr">
        <is>
          <t>Pekerja</t>
        </is>
      </c>
      <c r="C12236" s="3" t="inlineStr">
        <is>
          <t>OH</t>
        </is>
      </c>
      <c r="D12236" s="15" t="n">
        <v>0.646</v>
      </c>
      <c r="E12236" s="4" t="n">
        <v>100000</v>
      </c>
      <c r="F12236" s="4" t="n">
        <v>64600</v>
      </c>
    </row>
    <row r="12237">
      <c r="A12237" s="3" t="inlineStr">
        <is>
          <t>2</t>
        </is>
      </c>
      <c r="B12237" s="3" t="inlineStr">
        <is>
          <t>Tukang batu</t>
        </is>
      </c>
      <c r="C12237" s="3" t="inlineStr">
        <is>
          <t>OH</t>
        </is>
      </c>
      <c r="D12237" s="15" t="n">
        <v>1.079</v>
      </c>
      <c r="E12237" s="4" t="n">
        <v>145000</v>
      </c>
      <c r="F12237" s="4" t="n">
        <v>156455</v>
      </c>
    </row>
    <row r="12238">
      <c r="A12238" s="3" t="inlineStr">
        <is>
          <t>3</t>
        </is>
      </c>
      <c r="B12238" s="3" t="inlineStr">
        <is>
          <t>Kepala tukang</t>
        </is>
      </c>
      <c r="C12238" s="3" t="inlineStr">
        <is>
          <t>OH</t>
        </is>
      </c>
      <c r="D12238" s="15" t="n">
        <v>0.108</v>
      </c>
      <c r="E12238" s="4" t="n">
        <v>175000</v>
      </c>
      <c r="F12238" s="4" t="n">
        <v>18900</v>
      </c>
    </row>
    <row r="12239">
      <c r="A12239" s="3" t="inlineStr">
        <is>
          <t>4</t>
        </is>
      </c>
      <c r="B12239" s="3" t="inlineStr">
        <is>
          <t>Mandor</t>
        </is>
      </c>
      <c r="C12239" s="3" t="inlineStr">
        <is>
          <t>OH</t>
        </is>
      </c>
      <c r="D12239" s="15" t="n">
        <v>0.032</v>
      </c>
      <c r="E12239" s="4" t="n">
        <v>200000</v>
      </c>
      <c r="F12239" s="4" t="n">
        <v>6400</v>
      </c>
    </row>
    <row r="12240">
      <c r="A12240" s="3" t="inlineStr">
        <is>
          <t>1</t>
        </is>
      </c>
      <c r="B12240" s="3" t="inlineStr">
        <is>
          <t>Tangki toren kap. 4 m3</t>
        </is>
      </c>
      <c r="C12240" s="3" t="inlineStr">
        <is>
          <t>unit</t>
        </is>
      </c>
      <c r="D12240" s="15" t="n">
        <v>1.01</v>
      </c>
      <c r="E12240" s="4" t="n">
        <v>5500000</v>
      </c>
      <c r="F12240" s="4" t="n">
        <v>5555000</v>
      </c>
    </row>
    <row r="12241">
      <c r="D12241" s="2" t="inlineStr">
        <is>
          <t>SUBTOTAL UPAH</t>
        </is>
      </c>
      <c r="F12241" s="16" t="n">
        <v>246355</v>
      </c>
    </row>
    <row r="12242">
      <c r="D12242" s="2" t="inlineStr">
        <is>
          <t>SUBTOTAL BAHAN</t>
        </is>
      </c>
      <c r="F12242" s="16" t="n">
        <v>5555000</v>
      </c>
    </row>
    <row r="12243">
      <c r="D12243" s="2" t="inlineStr">
        <is>
          <t>SUBTOTAL ALAT</t>
        </is>
      </c>
      <c r="F12243" s="16" t="n">
        <v>0</v>
      </c>
    </row>
    <row r="12244">
      <c r="E12244" s="2" t="inlineStr">
        <is>
          <t>TOTAL HARGA SATUAN (Inc. Overhead)</t>
        </is>
      </c>
      <c r="F12244" s="17" t="n">
        <v>6381490</v>
      </c>
    </row>
    <row r="12246">
      <c r="A12246" s="14" t="inlineStr">
        <is>
          <t>KODE: 6.1.1.12 - Pemasangan 1 unit tangki toren kap. 5 m3</t>
        </is>
      </c>
    </row>
    <row r="12247">
      <c r="A12247" s="10" t="inlineStr">
        <is>
          <t>No</t>
        </is>
      </c>
      <c r="B12247" s="10" t="inlineStr">
        <is>
          <t>Uraian Komponen</t>
        </is>
      </c>
      <c r="C12247" s="10" t="inlineStr">
        <is>
          <t>Satuan</t>
        </is>
      </c>
      <c r="D12247" s="10" t="inlineStr">
        <is>
          <t>Koef</t>
        </is>
      </c>
      <c r="E12247" s="10" t="inlineStr">
        <is>
          <t>Harga Satuan (Rp)</t>
        </is>
      </c>
      <c r="F12247" s="10" t="inlineStr">
        <is>
          <t>Jumlah Harga (Rp)</t>
        </is>
      </c>
    </row>
    <row r="12248">
      <c r="A12248" s="3" t="inlineStr">
        <is>
          <t>1</t>
        </is>
      </c>
      <c r="B12248" s="3" t="inlineStr">
        <is>
          <t>Pekerja</t>
        </is>
      </c>
      <c r="C12248" s="3" t="inlineStr">
        <is>
          <t>OH</t>
        </is>
      </c>
      <c r="D12248" s="15" t="n">
        <v>0.646</v>
      </c>
      <c r="E12248" s="4" t="n">
        <v>100000</v>
      </c>
      <c r="F12248" s="4" t="n">
        <v>64600</v>
      </c>
    </row>
    <row r="12249">
      <c r="A12249" s="3" t="inlineStr">
        <is>
          <t>2</t>
        </is>
      </c>
      <c r="B12249" s="3" t="inlineStr">
        <is>
          <t>Tukang batu</t>
        </is>
      </c>
      <c r="C12249" s="3" t="inlineStr">
        <is>
          <t>OH</t>
        </is>
      </c>
      <c r="D12249" s="15" t="n">
        <v>1.079</v>
      </c>
      <c r="E12249" s="4" t="n">
        <v>145000</v>
      </c>
      <c r="F12249" s="4" t="n">
        <v>156455</v>
      </c>
    </row>
    <row r="12250">
      <c r="A12250" s="3" t="inlineStr">
        <is>
          <t>3</t>
        </is>
      </c>
      <c r="B12250" s="3" t="inlineStr">
        <is>
          <t>Kepala tukang</t>
        </is>
      </c>
      <c r="C12250" s="3" t="inlineStr">
        <is>
          <t>OH</t>
        </is>
      </c>
      <c r="D12250" s="15" t="n">
        <v>0.108</v>
      </c>
      <c r="E12250" s="4" t="n">
        <v>175000</v>
      </c>
      <c r="F12250" s="4" t="n">
        <v>18900</v>
      </c>
    </row>
    <row r="12251">
      <c r="A12251" s="3" t="inlineStr">
        <is>
          <t>4</t>
        </is>
      </c>
      <c r="B12251" s="3" t="inlineStr">
        <is>
          <t>Mandor</t>
        </is>
      </c>
      <c r="C12251" s="3" t="inlineStr">
        <is>
          <t>OH</t>
        </is>
      </c>
      <c r="D12251" s="15" t="n">
        <v>0.032</v>
      </c>
      <c r="E12251" s="4" t="n">
        <v>200000</v>
      </c>
      <c r="F12251" s="4" t="n">
        <v>6400</v>
      </c>
    </row>
    <row r="12252">
      <c r="A12252" s="3" t="inlineStr">
        <is>
          <t>1</t>
        </is>
      </c>
      <c r="B12252" s="3" t="inlineStr">
        <is>
          <t>Tangki toren kap. 5 m3</t>
        </is>
      </c>
      <c r="C12252" s="3" t="inlineStr">
        <is>
          <t>unit</t>
        </is>
      </c>
      <c r="D12252" s="15" t="n">
        <v>1.01</v>
      </c>
      <c r="E12252" s="4" t="n">
        <v>6900000</v>
      </c>
      <c r="F12252" s="4" t="n">
        <v>6969000</v>
      </c>
    </row>
    <row r="12253">
      <c r="D12253" s="2" t="inlineStr">
        <is>
          <t>SUBTOTAL UPAH</t>
        </is>
      </c>
      <c r="F12253" s="16" t="n">
        <v>246355</v>
      </c>
    </row>
    <row r="12254">
      <c r="D12254" s="2" t="inlineStr">
        <is>
          <t>SUBTOTAL BAHAN</t>
        </is>
      </c>
      <c r="F12254" s="16" t="n">
        <v>6969000</v>
      </c>
    </row>
    <row r="12255">
      <c r="D12255" s="2" t="inlineStr">
        <is>
          <t>SUBTOTAL ALAT</t>
        </is>
      </c>
      <c r="F12255" s="16" t="n">
        <v>0</v>
      </c>
    </row>
    <row r="12256">
      <c r="E12256" s="2" t="inlineStr">
        <is>
          <t>TOTAL HARGA SATUAN (Inc. Overhead)</t>
        </is>
      </c>
      <c r="F12256" s="17" t="n">
        <v>7936890</v>
      </c>
    </row>
    <row r="12258">
      <c r="A12258" s="14" t="inlineStr">
        <is>
          <t>KODE: 6.1.1.13 - Pemasangan 1 unit tangki toren kap. 5,5 m3</t>
        </is>
      </c>
    </row>
    <row r="12259">
      <c r="A12259" s="10" t="inlineStr">
        <is>
          <t>No</t>
        </is>
      </c>
      <c r="B12259" s="10" t="inlineStr">
        <is>
          <t>Uraian Komponen</t>
        </is>
      </c>
      <c r="C12259" s="10" t="inlineStr">
        <is>
          <t>Satuan</t>
        </is>
      </c>
      <c r="D12259" s="10" t="inlineStr">
        <is>
          <t>Koef</t>
        </is>
      </c>
      <c r="E12259" s="10" t="inlineStr">
        <is>
          <t>Harga Satuan (Rp)</t>
        </is>
      </c>
      <c r="F12259" s="10" t="inlineStr">
        <is>
          <t>Jumlah Harga (Rp)</t>
        </is>
      </c>
    </row>
    <row r="12260">
      <c r="A12260" s="3" t="inlineStr">
        <is>
          <t>1</t>
        </is>
      </c>
      <c r="B12260" s="3" t="inlineStr">
        <is>
          <t>Pekerja</t>
        </is>
      </c>
      <c r="C12260" s="3" t="inlineStr">
        <is>
          <t>OH</t>
        </is>
      </c>
      <c r="D12260" s="15" t="n">
        <v>0.646</v>
      </c>
      <c r="E12260" s="4" t="n">
        <v>100000</v>
      </c>
      <c r="F12260" s="4" t="n">
        <v>64600</v>
      </c>
    </row>
    <row r="12261">
      <c r="A12261" s="3" t="inlineStr">
        <is>
          <t>2</t>
        </is>
      </c>
      <c r="B12261" s="3" t="inlineStr">
        <is>
          <t>Tukang batu</t>
        </is>
      </c>
      <c r="C12261" s="3" t="inlineStr">
        <is>
          <t>OH</t>
        </is>
      </c>
      <c r="D12261" s="15" t="n">
        <v>1.079</v>
      </c>
      <c r="E12261" s="4" t="n">
        <v>145000</v>
      </c>
      <c r="F12261" s="4" t="n">
        <v>156455</v>
      </c>
    </row>
    <row r="12262">
      <c r="A12262" s="3" t="inlineStr">
        <is>
          <t>3</t>
        </is>
      </c>
      <c r="B12262" s="3" t="inlineStr">
        <is>
          <t>Kepala tukang</t>
        </is>
      </c>
      <c r="C12262" s="3" t="inlineStr">
        <is>
          <t>OH</t>
        </is>
      </c>
      <c r="D12262" s="15" t="n">
        <v>0.108</v>
      </c>
      <c r="E12262" s="4" t="n">
        <v>175000</v>
      </c>
      <c r="F12262" s="4" t="n">
        <v>18900</v>
      </c>
    </row>
    <row r="12263">
      <c r="A12263" s="3" t="inlineStr">
        <is>
          <t>4</t>
        </is>
      </c>
      <c r="B12263" s="3" t="inlineStr">
        <is>
          <t>Mandor</t>
        </is>
      </c>
      <c r="C12263" s="3" t="inlineStr">
        <is>
          <t>OH</t>
        </is>
      </c>
      <c r="D12263" s="15" t="n">
        <v>0.032</v>
      </c>
      <c r="E12263" s="4" t="n">
        <v>200000</v>
      </c>
      <c r="F12263" s="4" t="n">
        <v>6400</v>
      </c>
    </row>
    <row r="12264">
      <c r="A12264" s="3" t="inlineStr">
        <is>
          <t>1</t>
        </is>
      </c>
      <c r="B12264" s="3" t="inlineStr">
        <is>
          <t>"Tangki toren kap. 5 5 m3"</t>
        </is>
      </c>
      <c r="C12264" s="3" t="inlineStr">
        <is>
          <t>unit</t>
        </is>
      </c>
      <c r="D12264" s="15" t="n">
        <v>1.01</v>
      </c>
      <c r="E12264" s="4" t="n">
        <v>7100000</v>
      </c>
      <c r="F12264" s="4" t="n">
        <v>7171000</v>
      </c>
    </row>
    <row r="12265">
      <c r="D12265" s="2" t="inlineStr">
        <is>
          <t>SUBTOTAL UPAH</t>
        </is>
      </c>
      <c r="F12265" s="16" t="n">
        <v>246355</v>
      </c>
    </row>
    <row r="12266">
      <c r="D12266" s="2" t="inlineStr">
        <is>
          <t>SUBTOTAL BAHAN</t>
        </is>
      </c>
      <c r="F12266" s="16" t="n">
        <v>7171000</v>
      </c>
    </row>
    <row r="12267">
      <c r="D12267" s="2" t="inlineStr">
        <is>
          <t>SUBTOTAL ALAT</t>
        </is>
      </c>
      <c r="F12267" s="16" t="n">
        <v>0</v>
      </c>
    </row>
    <row r="12268">
      <c r="E12268" s="2" t="inlineStr">
        <is>
          <t>TOTAL HARGA SATUAN (Inc. Overhead)</t>
        </is>
      </c>
      <c r="F12268" s="17" t="n">
        <v>8159090</v>
      </c>
    </row>
    <row r="12270">
      <c r="A12270" s="14" t="inlineStr">
        <is>
          <t>KODE: 6.1.1.14 - Pemasangan 1 unit tangki toren kap. 6 m3</t>
        </is>
      </c>
    </row>
    <row r="12271">
      <c r="A12271" s="10" t="inlineStr">
        <is>
          <t>No</t>
        </is>
      </c>
      <c r="B12271" s="10" t="inlineStr">
        <is>
          <t>Uraian Komponen</t>
        </is>
      </c>
      <c r="C12271" s="10" t="inlineStr">
        <is>
          <t>Satuan</t>
        </is>
      </c>
      <c r="D12271" s="10" t="inlineStr">
        <is>
          <t>Koef</t>
        </is>
      </c>
      <c r="E12271" s="10" t="inlineStr">
        <is>
          <t>Harga Satuan (Rp)</t>
        </is>
      </c>
      <c r="F12271" s="10" t="inlineStr">
        <is>
          <t>Jumlah Harga (Rp)</t>
        </is>
      </c>
    </row>
    <row r="12272">
      <c r="A12272" s="3" t="inlineStr">
        <is>
          <t>1</t>
        </is>
      </c>
      <c r="B12272" s="3" t="inlineStr">
        <is>
          <t>Pekerja</t>
        </is>
      </c>
      <c r="C12272" s="3" t="inlineStr">
        <is>
          <t>OH</t>
        </is>
      </c>
      <c r="D12272" s="15" t="n">
        <v>0.762</v>
      </c>
      <c r="E12272" s="4" t="n">
        <v>100000</v>
      </c>
      <c r="F12272" s="4" t="n">
        <v>76200</v>
      </c>
    </row>
    <row r="12273">
      <c r="A12273" s="3" t="inlineStr">
        <is>
          <t>2</t>
        </is>
      </c>
      <c r="B12273" s="3" t="inlineStr">
        <is>
          <t>Tukang batu</t>
        </is>
      </c>
      <c r="C12273" s="3" t="inlineStr">
        <is>
          <t>OH</t>
        </is>
      </c>
      <c r="D12273" s="15" t="n">
        <v>1.272</v>
      </c>
      <c r="E12273" s="4" t="n">
        <v>145000</v>
      </c>
      <c r="F12273" s="4" t="n">
        <v>184440</v>
      </c>
    </row>
    <row r="12274">
      <c r="A12274" s="3" t="inlineStr">
        <is>
          <t>3</t>
        </is>
      </c>
      <c r="B12274" s="3" t="inlineStr">
        <is>
          <t>Kepala tukang</t>
        </is>
      </c>
      <c r="C12274" s="3" t="inlineStr">
        <is>
          <t>OH</t>
        </is>
      </c>
      <c r="D12274" s="15" t="n">
        <v>0.127</v>
      </c>
      <c r="E12274" s="4" t="n">
        <v>175000</v>
      </c>
      <c r="F12274" s="4" t="n">
        <v>22225</v>
      </c>
    </row>
    <row r="12275">
      <c r="A12275" s="3" t="inlineStr">
        <is>
          <t>4</t>
        </is>
      </c>
      <c r="B12275" s="3" t="inlineStr">
        <is>
          <t>Mandor</t>
        </is>
      </c>
      <c r="C12275" s="3" t="inlineStr">
        <is>
          <t>OH</t>
        </is>
      </c>
      <c r="D12275" s="15" t="n">
        <v>0.038</v>
      </c>
      <c r="E12275" s="4" t="n">
        <v>200000</v>
      </c>
      <c r="F12275" s="4" t="n">
        <v>7600</v>
      </c>
    </row>
    <row r="12276">
      <c r="A12276" s="3" t="inlineStr">
        <is>
          <t>1</t>
        </is>
      </c>
      <c r="B12276" s="3" t="inlineStr">
        <is>
          <t>Tangki toren kap. 6 m3</t>
        </is>
      </c>
      <c r="C12276" s="3" t="inlineStr">
        <is>
          <t>unit</t>
        </is>
      </c>
      <c r="D12276" s="15" t="n">
        <v>1.01</v>
      </c>
      <c r="E12276" s="4" t="n">
        <v>7850000</v>
      </c>
      <c r="F12276" s="4" t="n">
        <v>7928500</v>
      </c>
    </row>
    <row r="12277">
      <c r="D12277" s="2" t="inlineStr">
        <is>
          <t>SUBTOTAL UPAH</t>
        </is>
      </c>
      <c r="F12277" s="16" t="n">
        <v>290465</v>
      </c>
    </row>
    <row r="12278">
      <c r="D12278" s="2" t="inlineStr">
        <is>
          <t>SUBTOTAL BAHAN</t>
        </is>
      </c>
      <c r="F12278" s="16" t="n">
        <v>7928500</v>
      </c>
    </row>
    <row r="12279">
      <c r="D12279" s="2" t="inlineStr">
        <is>
          <t>SUBTOTAL ALAT</t>
        </is>
      </c>
      <c r="F12279" s="16" t="n">
        <v>0</v>
      </c>
    </row>
    <row r="12280">
      <c r="E12280" s="2" t="inlineStr">
        <is>
          <t>TOTAL HARGA SATUAN (Inc. Overhead)</t>
        </is>
      </c>
      <c r="F12280" s="17" t="n">
        <v>9040861</v>
      </c>
    </row>
    <row r="12282">
      <c r="A12282" s="14" t="inlineStr">
        <is>
          <t>KODE: 6.1.1.15 - Pemasangan 1 buah Tangki Panel FRP Kap.12 m3</t>
        </is>
      </c>
    </row>
    <row r="12283">
      <c r="A12283" s="10" t="inlineStr">
        <is>
          <t>No</t>
        </is>
      </c>
      <c r="B12283" s="10" t="inlineStr">
        <is>
          <t>Uraian Komponen</t>
        </is>
      </c>
      <c r="C12283" s="10" t="inlineStr">
        <is>
          <t>Satuan</t>
        </is>
      </c>
      <c r="D12283" s="10" t="inlineStr">
        <is>
          <t>Koef</t>
        </is>
      </c>
      <c r="E12283" s="10" t="inlineStr">
        <is>
          <t>Harga Satuan (Rp)</t>
        </is>
      </c>
      <c r="F12283" s="10" t="inlineStr">
        <is>
          <t>Jumlah Harga (Rp)</t>
        </is>
      </c>
    </row>
    <row r="12284">
      <c r="A12284" s="3" t="inlineStr">
        <is>
          <t>1</t>
        </is>
      </c>
      <c r="B12284" s="3" t="inlineStr">
        <is>
          <t>Pekerja</t>
        </is>
      </c>
      <c r="C12284" s="3" t="inlineStr">
        <is>
          <t>OH</t>
        </is>
      </c>
      <c r="D12284" s="15" t="n">
        <v>0.771</v>
      </c>
      <c r="E12284" s="4" t="n">
        <v>100000</v>
      </c>
      <c r="F12284" s="4" t="n">
        <v>77100</v>
      </c>
    </row>
    <row r="12285">
      <c r="A12285" s="3" t="inlineStr">
        <is>
          <t>2</t>
        </is>
      </c>
      <c r="B12285" s="3" t="inlineStr">
        <is>
          <t>Tukang batu</t>
        </is>
      </c>
      <c r="C12285" s="3" t="inlineStr">
        <is>
          <t>OH</t>
        </is>
      </c>
      <c r="D12285" s="15" t="n">
        <v>1.288</v>
      </c>
      <c r="E12285" s="4" t="n">
        <v>145000</v>
      </c>
      <c r="F12285" s="4" t="n">
        <v>186760</v>
      </c>
    </row>
    <row r="12286">
      <c r="A12286" s="3" t="inlineStr">
        <is>
          <t>3</t>
        </is>
      </c>
      <c r="B12286" s="3" t="inlineStr">
        <is>
          <t>Kepala tukang</t>
        </is>
      </c>
      <c r="C12286" s="3" t="inlineStr">
        <is>
          <t>OH</t>
        </is>
      </c>
      <c r="D12286" s="15" t="n">
        <v>0.129</v>
      </c>
      <c r="E12286" s="4" t="n">
        <v>175000</v>
      </c>
      <c r="F12286" s="4" t="n">
        <v>22575</v>
      </c>
    </row>
    <row r="12287">
      <c r="A12287" s="3" t="inlineStr">
        <is>
          <t>4</t>
        </is>
      </c>
      <c r="B12287" s="3" t="inlineStr">
        <is>
          <t>Mandor</t>
        </is>
      </c>
      <c r="C12287" s="3" t="inlineStr">
        <is>
          <t>OH</t>
        </is>
      </c>
      <c r="D12287" s="15" t="n">
        <v>0.039</v>
      </c>
      <c r="E12287" s="4" t="n">
        <v>200000</v>
      </c>
      <c r="F12287" s="4" t="n">
        <v>7800</v>
      </c>
    </row>
    <row r="12288">
      <c r="A12288" s="3" t="inlineStr">
        <is>
          <t>1</t>
        </is>
      </c>
      <c r="B12288" s="3" t="inlineStr">
        <is>
          <t>Tangki Panel FRP kap. 12 m3</t>
        </is>
      </c>
      <c r="C12288" s="3" t="inlineStr">
        <is>
          <t>unit</t>
        </is>
      </c>
      <c r="D12288" s="15" t="n">
        <v>1.1</v>
      </c>
      <c r="E12288" s="4" t="n">
        <v>15000000</v>
      </c>
      <c r="F12288" s="4" t="n">
        <v>16500000</v>
      </c>
    </row>
    <row r="12289">
      <c r="D12289" s="2" t="inlineStr">
        <is>
          <t>SUBTOTAL UPAH</t>
        </is>
      </c>
      <c r="F12289" s="16" t="n">
        <v>294235</v>
      </c>
    </row>
    <row r="12290">
      <c r="D12290" s="2" t="inlineStr">
        <is>
          <t>SUBTOTAL BAHAN</t>
        </is>
      </c>
      <c r="F12290" s="16" t="n">
        <v>16500000</v>
      </c>
    </row>
    <row r="12291">
      <c r="D12291" s="2" t="inlineStr">
        <is>
          <t>SUBTOTAL ALAT</t>
        </is>
      </c>
      <c r="F12291" s="16" t="n">
        <v>0</v>
      </c>
    </row>
    <row r="12292">
      <c r="E12292" s="2" t="inlineStr">
        <is>
          <t>TOTAL HARGA SATUAN (Inc. Overhead)</t>
        </is>
      </c>
      <c r="F12292" s="17" t="n">
        <v>18473658</v>
      </c>
    </row>
    <row r="12294">
      <c r="A12294" s="14" t="inlineStr">
        <is>
          <t>KODE: 6.1.1.16 - Pemasangan 1 buah Tangki Panel Stainless Steel Kap. 12 m3</t>
        </is>
      </c>
    </row>
    <row r="12295">
      <c r="A12295" s="10" t="inlineStr">
        <is>
          <t>No</t>
        </is>
      </c>
      <c r="B12295" s="10" t="inlineStr">
        <is>
          <t>Uraian Komponen</t>
        </is>
      </c>
      <c r="C12295" s="10" t="inlineStr">
        <is>
          <t>Satuan</t>
        </is>
      </c>
      <c r="D12295" s="10" t="inlineStr">
        <is>
          <t>Koef</t>
        </is>
      </c>
      <c r="E12295" s="10" t="inlineStr">
        <is>
          <t>Harga Satuan (Rp)</t>
        </is>
      </c>
      <c r="F12295" s="10" t="inlineStr">
        <is>
          <t>Jumlah Harga (Rp)</t>
        </is>
      </c>
    </row>
    <row r="12296">
      <c r="A12296" s="3" t="inlineStr">
        <is>
          <t>1</t>
        </is>
      </c>
      <c r="B12296" s="3" t="inlineStr">
        <is>
          <t>Pekerja</t>
        </is>
      </c>
      <c r="C12296" s="3" t="inlineStr">
        <is>
          <t>OH</t>
        </is>
      </c>
      <c r="D12296" s="15" t="n">
        <v>0.771</v>
      </c>
      <c r="E12296" s="4" t="n">
        <v>100000</v>
      </c>
      <c r="F12296" s="4" t="n">
        <v>77100</v>
      </c>
    </row>
    <row r="12297">
      <c r="A12297" s="3" t="inlineStr">
        <is>
          <t>2</t>
        </is>
      </c>
      <c r="B12297" s="3" t="inlineStr">
        <is>
          <t>Tukang batu</t>
        </is>
      </c>
      <c r="C12297" s="3" t="inlineStr">
        <is>
          <t>OH</t>
        </is>
      </c>
      <c r="D12297" s="15" t="n">
        <v>1.288</v>
      </c>
      <c r="E12297" s="4" t="n">
        <v>145000</v>
      </c>
      <c r="F12297" s="4" t="n">
        <v>186760</v>
      </c>
    </row>
    <row r="12298">
      <c r="A12298" s="3" t="inlineStr">
        <is>
          <t>3</t>
        </is>
      </c>
      <c r="B12298" s="3" t="inlineStr">
        <is>
          <t>Kepala tukang</t>
        </is>
      </c>
      <c r="C12298" s="3" t="inlineStr">
        <is>
          <t>OH</t>
        </is>
      </c>
      <c r="D12298" s="15" t="n">
        <v>0.129</v>
      </c>
      <c r="E12298" s="4" t="n">
        <v>175000</v>
      </c>
      <c r="F12298" s="4" t="n">
        <v>22575</v>
      </c>
    </row>
    <row r="12299">
      <c r="A12299" s="3" t="inlineStr">
        <is>
          <t>4</t>
        </is>
      </c>
      <c r="B12299" s="3" t="inlineStr">
        <is>
          <t>Mandor</t>
        </is>
      </c>
      <c r="C12299" s="3" t="inlineStr">
        <is>
          <t>OH</t>
        </is>
      </c>
      <c r="D12299" s="15" t="n">
        <v>0.039</v>
      </c>
      <c r="E12299" s="4" t="n">
        <v>200000</v>
      </c>
      <c r="F12299" s="4" t="n">
        <v>7800</v>
      </c>
    </row>
    <row r="12300">
      <c r="A12300" s="3" t="inlineStr">
        <is>
          <t>1</t>
        </is>
      </c>
      <c r="B12300" s="3" t="inlineStr">
        <is>
          <t>Tangki panel Stainless Steel kapasitas 12 m3 + Material Bantu / Aksesoris</t>
        </is>
      </c>
      <c r="C12300" s="3" t="inlineStr">
        <is>
          <t>unit</t>
        </is>
      </c>
      <c r="D12300" s="15" t="n">
        <v>1.1</v>
      </c>
      <c r="E12300" s="4" t="n">
        <v>12500000</v>
      </c>
      <c r="F12300" s="4" t="n">
        <v>13750000</v>
      </c>
    </row>
    <row r="12301">
      <c r="D12301" s="2" t="inlineStr">
        <is>
          <t>SUBTOTAL UPAH</t>
        </is>
      </c>
      <c r="F12301" s="16" t="n">
        <v>294235</v>
      </c>
    </row>
    <row r="12302">
      <c r="D12302" s="2" t="inlineStr">
        <is>
          <t>SUBTOTAL BAHAN</t>
        </is>
      </c>
      <c r="F12302" s="16" t="n">
        <v>13750000</v>
      </c>
    </row>
    <row r="12303">
      <c r="D12303" s="2" t="inlineStr">
        <is>
          <t>SUBTOTAL ALAT</t>
        </is>
      </c>
      <c r="F12303" s="16" t="n">
        <v>0</v>
      </c>
    </row>
    <row r="12304">
      <c r="E12304" s="2" t="inlineStr">
        <is>
          <t>TOTAL HARGA SATUAN (Inc. Overhead)</t>
        </is>
      </c>
      <c r="F12304" s="17" t="n">
        <v>15448658</v>
      </c>
    </row>
    <row r="12306">
      <c r="A12306" s="14" t="inlineStr">
        <is>
          <t>KODE: 6.1.1.17 - Pemasangan 1 buah Tangki Panel GRP Kap. 12 m3</t>
        </is>
      </c>
    </row>
    <row r="12307">
      <c r="A12307" s="10" t="inlineStr">
        <is>
          <t>No</t>
        </is>
      </c>
      <c r="B12307" s="10" t="inlineStr">
        <is>
          <t>Uraian Komponen</t>
        </is>
      </c>
      <c r="C12307" s="10" t="inlineStr">
        <is>
          <t>Satuan</t>
        </is>
      </c>
      <c r="D12307" s="10" t="inlineStr">
        <is>
          <t>Koef</t>
        </is>
      </c>
      <c r="E12307" s="10" t="inlineStr">
        <is>
          <t>Harga Satuan (Rp)</t>
        </is>
      </c>
      <c r="F12307" s="10" t="inlineStr">
        <is>
          <t>Jumlah Harga (Rp)</t>
        </is>
      </c>
    </row>
    <row r="12308">
      <c r="A12308" s="3" t="inlineStr">
        <is>
          <t>1</t>
        </is>
      </c>
      <c r="B12308" s="3" t="inlineStr">
        <is>
          <t>Pekerja</t>
        </is>
      </c>
      <c r="C12308" s="3" t="inlineStr">
        <is>
          <t>OH</t>
        </is>
      </c>
      <c r="D12308" s="15" t="n">
        <v>0.771</v>
      </c>
      <c r="E12308" s="4" t="n">
        <v>100000</v>
      </c>
      <c r="F12308" s="4" t="n">
        <v>77100</v>
      </c>
    </row>
    <row r="12309">
      <c r="A12309" s="3" t="inlineStr">
        <is>
          <t>2</t>
        </is>
      </c>
      <c r="B12309" s="3" t="inlineStr">
        <is>
          <t>Tukang batu</t>
        </is>
      </c>
      <c r="C12309" s="3" t="inlineStr">
        <is>
          <t>OH</t>
        </is>
      </c>
      <c r="D12309" s="15" t="n">
        <v>1.288</v>
      </c>
      <c r="E12309" s="4" t="n">
        <v>145000</v>
      </c>
      <c r="F12309" s="4" t="n">
        <v>186760</v>
      </c>
    </row>
    <row r="12310">
      <c r="A12310" s="3" t="inlineStr">
        <is>
          <t>3</t>
        </is>
      </c>
      <c r="B12310" s="3" t="inlineStr">
        <is>
          <t>Kepala tukang</t>
        </is>
      </c>
      <c r="C12310" s="3" t="inlineStr">
        <is>
          <t>OH</t>
        </is>
      </c>
      <c r="D12310" s="15" t="n">
        <v>0.129</v>
      </c>
      <c r="E12310" s="4" t="n">
        <v>175000</v>
      </c>
      <c r="F12310" s="4" t="n">
        <v>22575</v>
      </c>
    </row>
    <row r="12311">
      <c r="A12311" s="3" t="inlineStr">
        <is>
          <t>4</t>
        </is>
      </c>
      <c r="B12311" s="3" t="inlineStr">
        <is>
          <t>Mandor</t>
        </is>
      </c>
      <c r="C12311" s="3" t="inlineStr">
        <is>
          <t>OH</t>
        </is>
      </c>
      <c r="D12311" s="15" t="n">
        <v>0.039</v>
      </c>
      <c r="E12311" s="4" t="n">
        <v>200000</v>
      </c>
      <c r="F12311" s="4" t="n">
        <v>7800</v>
      </c>
    </row>
    <row r="12312">
      <c r="A12312" s="3" t="inlineStr">
        <is>
          <t>Aksesoris"</t>
        </is>
      </c>
      <c r="B12312" s="3" t="inlineStr"/>
      <c r="C12312" s="3" t="inlineStr">
        <is>
          <t>unit</t>
        </is>
      </c>
      <c r="D12312" s="15" t="n">
        <v>1.1</v>
      </c>
      <c r="E12312" s="4" t="n">
        <v>12000000</v>
      </c>
      <c r="F12312" s="4" t="n">
        <v>13200000</v>
      </c>
    </row>
    <row r="12313">
      <c r="D12313" s="2" t="inlineStr">
        <is>
          <t>SUBTOTAL UPAH</t>
        </is>
      </c>
      <c r="F12313" s="16" t="n">
        <v>294235</v>
      </c>
    </row>
    <row r="12314">
      <c r="D12314" s="2" t="inlineStr">
        <is>
          <t>SUBTOTAL BAHAN</t>
        </is>
      </c>
      <c r="F12314" s="16" t="n">
        <v>13200000</v>
      </c>
    </row>
    <row r="12315">
      <c r="D12315" s="2" t="inlineStr">
        <is>
          <t>SUBTOTAL ALAT</t>
        </is>
      </c>
      <c r="F12315" s="16" t="n">
        <v>0</v>
      </c>
    </row>
    <row r="12316">
      <c r="E12316" s="2" t="inlineStr">
        <is>
          <t>TOTAL HARGA SATUAN (Inc. Overhead)</t>
        </is>
      </c>
      <c r="F12316" s="17" t="n">
        <v>14843658</v>
      </c>
    </row>
    <row r="12318">
      <c r="A12318" s="14" t="inlineStr">
        <is>
          <t>KODE: 6.1.1.18 - Pemasangan 1 buah Tangki Toren Kap. 0,5 m3</t>
        </is>
      </c>
    </row>
    <row r="12319">
      <c r="A12319" s="10" t="inlineStr">
        <is>
          <t>No</t>
        </is>
      </c>
      <c r="B12319" s="10" t="inlineStr">
        <is>
          <t>Uraian Komponen</t>
        </is>
      </c>
      <c r="C12319" s="10" t="inlineStr">
        <is>
          <t>Satuan</t>
        </is>
      </c>
      <c r="D12319" s="10" t="inlineStr">
        <is>
          <t>Koef</t>
        </is>
      </c>
      <c r="E12319" s="10" t="inlineStr">
        <is>
          <t>Harga Satuan (Rp)</t>
        </is>
      </c>
      <c r="F12319" s="10" t="inlineStr">
        <is>
          <t>Jumlah Harga (Rp)</t>
        </is>
      </c>
    </row>
    <row r="12320">
      <c r="A12320" s="3" t="inlineStr">
        <is>
          <t>1</t>
        </is>
      </c>
      <c r="B12320" s="3" t="inlineStr">
        <is>
          <t>Pekerja</t>
        </is>
      </c>
      <c r="C12320" s="3" t="inlineStr">
        <is>
          <t>OH</t>
        </is>
      </c>
      <c r="D12320" s="15" t="n">
        <v>0.129</v>
      </c>
      <c r="E12320" s="4" t="n">
        <v>100000</v>
      </c>
      <c r="F12320" s="4" t="n">
        <v>12900</v>
      </c>
    </row>
    <row r="12321">
      <c r="A12321" s="3" t="inlineStr">
        <is>
          <t>2</t>
        </is>
      </c>
      <c r="B12321" s="3" t="inlineStr">
        <is>
          <t>Tukang batu</t>
        </is>
      </c>
      <c r="C12321" s="3" t="inlineStr">
        <is>
          <t>OH</t>
        </is>
      </c>
      <c r="D12321" s="15" t="n">
        <v>0.215</v>
      </c>
      <c r="E12321" s="4" t="n">
        <v>145000</v>
      </c>
      <c r="F12321" s="4" t="n">
        <v>31175</v>
      </c>
    </row>
    <row r="12322">
      <c r="A12322" s="3" t="inlineStr">
        <is>
          <t>3</t>
        </is>
      </c>
      <c r="B12322" s="3" t="inlineStr">
        <is>
          <t>Kepala tukang</t>
        </is>
      </c>
      <c r="C12322" s="3" t="inlineStr">
        <is>
          <t>OH</t>
        </is>
      </c>
      <c r="D12322" s="15" t="n">
        <v>0.021</v>
      </c>
      <c r="E12322" s="4" t="n">
        <v>175000</v>
      </c>
      <c r="F12322" s="4" t="n">
        <v>3675</v>
      </c>
    </row>
    <row r="12323">
      <c r="A12323" s="3" t="inlineStr">
        <is>
          <t>4</t>
        </is>
      </c>
      <c r="B12323" s="3" t="inlineStr">
        <is>
          <t>Mandor</t>
        </is>
      </c>
      <c r="C12323" s="3" t="inlineStr">
        <is>
          <t>OH</t>
        </is>
      </c>
      <c r="D12323" s="15" t="n">
        <v>0.006</v>
      </c>
      <c r="E12323" s="4" t="n">
        <v>200000</v>
      </c>
      <c r="F12323" s="4" t="n">
        <v>1200</v>
      </c>
    </row>
    <row r="12324">
      <c r="A12324" s="3" t="inlineStr">
        <is>
          <t>1</t>
        </is>
      </c>
      <c r="B12324" s="3" t="inlineStr">
        <is>
          <t>"Tangki Toren Kapasitas 0 5 m3"</t>
        </is>
      </c>
      <c r="C12324" s="3" t="inlineStr">
        <is>
          <t>unit</t>
        </is>
      </c>
      <c r="D12324" s="15" t="n">
        <v>1.02</v>
      </c>
      <c r="E12324" s="4" t="n">
        <v>650000</v>
      </c>
      <c r="F12324" s="4" t="n">
        <v>663000</v>
      </c>
    </row>
    <row r="12325">
      <c r="D12325" s="2" t="inlineStr">
        <is>
          <t>SUBTOTAL UPAH</t>
        </is>
      </c>
      <c r="F12325" s="16" t="n">
        <v>48950</v>
      </c>
    </row>
    <row r="12326">
      <c r="D12326" s="2" t="inlineStr">
        <is>
          <t>SUBTOTAL BAHAN</t>
        </is>
      </c>
      <c r="F12326" s="16" t="n">
        <v>663000</v>
      </c>
    </row>
    <row r="12327">
      <c r="D12327" s="2" t="inlineStr">
        <is>
          <t>SUBTOTAL ALAT</t>
        </is>
      </c>
      <c r="F12327" s="16" t="n">
        <v>0</v>
      </c>
    </row>
    <row r="12328">
      <c r="E12328" s="2" t="inlineStr">
        <is>
          <t>TOTAL HARGA SATUAN (Inc. Overhead)</t>
        </is>
      </c>
      <c r="F12328" s="17" t="n">
        <v>783145</v>
      </c>
    </row>
    <row r="12330">
      <c r="A12330" s="14" t="inlineStr">
        <is>
          <t>KODE: 6.1.1.19 - Pemasangan 1 buah Tangki Panel GRP Kap. 16 m3</t>
        </is>
      </c>
    </row>
    <row r="12331">
      <c r="A12331" s="10" t="inlineStr">
        <is>
          <t>No</t>
        </is>
      </c>
      <c r="B12331" s="10" t="inlineStr">
        <is>
          <t>Uraian Komponen</t>
        </is>
      </c>
      <c r="C12331" s="10" t="inlineStr">
        <is>
          <t>Satuan</t>
        </is>
      </c>
      <c r="D12331" s="10" t="inlineStr">
        <is>
          <t>Koef</t>
        </is>
      </c>
      <c r="E12331" s="10" t="inlineStr">
        <is>
          <t>Harga Satuan (Rp)</t>
        </is>
      </c>
      <c r="F12331" s="10" t="inlineStr">
        <is>
          <t>Jumlah Harga (Rp)</t>
        </is>
      </c>
    </row>
    <row r="12332">
      <c r="A12332" s="3" t="inlineStr">
        <is>
          <t>1</t>
        </is>
      </c>
      <c r="B12332" s="3" t="inlineStr">
        <is>
          <t>Pekerja</t>
        </is>
      </c>
      <c r="C12332" s="3" t="inlineStr">
        <is>
          <t>OH</t>
        </is>
      </c>
      <c r="D12332" s="15" t="n">
        <v>0.774</v>
      </c>
      <c r="E12332" s="4" t="n">
        <v>100000</v>
      </c>
      <c r="F12332" s="4" t="n">
        <v>77400</v>
      </c>
    </row>
    <row r="12333">
      <c r="A12333" s="3" t="inlineStr">
        <is>
          <t>2</t>
        </is>
      </c>
      <c r="B12333" s="3" t="inlineStr">
        <is>
          <t>Tukang batu</t>
        </is>
      </c>
      <c r="C12333" s="3" t="inlineStr">
        <is>
          <t>OH</t>
        </is>
      </c>
      <c r="D12333" s="15" t="n">
        <v>1.292</v>
      </c>
      <c r="E12333" s="4" t="n">
        <v>145000</v>
      </c>
      <c r="F12333" s="4" t="n">
        <v>187340</v>
      </c>
    </row>
    <row r="12334">
      <c r="A12334" s="3" t="inlineStr">
        <is>
          <t>3</t>
        </is>
      </c>
      <c r="B12334" s="3" t="inlineStr">
        <is>
          <t>Kepala tukang</t>
        </is>
      </c>
      <c r="C12334" s="3" t="inlineStr">
        <is>
          <t>OH</t>
        </is>
      </c>
      <c r="D12334" s="15" t="n">
        <v>0.129</v>
      </c>
      <c r="E12334" s="4" t="n">
        <v>175000</v>
      </c>
      <c r="F12334" s="4" t="n">
        <v>22575</v>
      </c>
    </row>
    <row r="12335">
      <c r="A12335" s="3" t="inlineStr">
        <is>
          <t>4</t>
        </is>
      </c>
      <c r="B12335" s="3" t="inlineStr">
        <is>
          <t>Mandor</t>
        </is>
      </c>
      <c r="C12335" s="3" t="inlineStr">
        <is>
          <t>OH</t>
        </is>
      </c>
      <c r="D12335" s="15" t="n">
        <v>0.043</v>
      </c>
      <c r="E12335" s="4" t="n">
        <v>200000</v>
      </c>
      <c r="F12335" s="4" t="n">
        <v>8600</v>
      </c>
    </row>
    <row r="12336">
      <c r="A12336" s="3" t="inlineStr">
        <is>
          <t>1</t>
        </is>
      </c>
      <c r="B12336" s="3" t="inlineStr">
        <is>
          <t>Tangki panel GRP kapasitas 16 m3 + Material Bantu / Aksesoris</t>
        </is>
      </c>
      <c r="C12336" s="3" t="inlineStr">
        <is>
          <t>unit</t>
        </is>
      </c>
      <c r="D12336" s="15" t="n">
        <v>1.1</v>
      </c>
      <c r="E12336" s="4" t="n">
        <v>18000000</v>
      </c>
      <c r="F12336" s="4" t="n">
        <v>19800000</v>
      </c>
    </row>
    <row r="12337">
      <c r="D12337" s="2" t="inlineStr">
        <is>
          <t>SUBTOTAL UPAH</t>
        </is>
      </c>
      <c r="F12337" s="16" t="n">
        <v>295915</v>
      </c>
    </row>
    <row r="12338">
      <c r="D12338" s="2" t="inlineStr">
        <is>
          <t>SUBTOTAL BAHAN</t>
        </is>
      </c>
      <c r="F12338" s="16" t="n">
        <v>19800000</v>
      </c>
    </row>
    <row r="12339">
      <c r="D12339" s="2" t="inlineStr">
        <is>
          <t>SUBTOTAL ALAT</t>
        </is>
      </c>
      <c r="F12339" s="16" t="n">
        <v>0</v>
      </c>
    </row>
    <row r="12340">
      <c r="E12340" s="2" t="inlineStr">
        <is>
          <t>TOTAL HARGA SATUAN (Inc. Overhead)</t>
        </is>
      </c>
      <c r="F12340" s="17" t="n">
        <v>22105506</v>
      </c>
    </row>
    <row r="12342">
      <c r="A12342" s="14" t="inlineStr">
        <is>
          <t>KODE: 6.1.1.20 - Pemasangan 1 buah Tangki Toren Kap. 2.2 m3</t>
        </is>
      </c>
    </row>
    <row r="12343">
      <c r="A12343" s="10" t="inlineStr">
        <is>
          <t>No</t>
        </is>
      </c>
      <c r="B12343" s="10" t="inlineStr">
        <is>
          <t>Uraian Komponen</t>
        </is>
      </c>
      <c r="C12343" s="10" t="inlineStr">
        <is>
          <t>Satuan</t>
        </is>
      </c>
      <c r="D12343" s="10" t="inlineStr">
        <is>
          <t>Koef</t>
        </is>
      </c>
      <c r="E12343" s="10" t="inlineStr">
        <is>
          <t>Harga Satuan (Rp)</t>
        </is>
      </c>
      <c r="F12343" s="10" t="inlineStr">
        <is>
          <t>Jumlah Harga (Rp)</t>
        </is>
      </c>
    </row>
    <row r="12344">
      <c r="A12344" s="3" t="inlineStr">
        <is>
          <t>1</t>
        </is>
      </c>
      <c r="B12344" s="3" t="inlineStr">
        <is>
          <t>Pekerja</t>
        </is>
      </c>
      <c r="C12344" s="3" t="inlineStr">
        <is>
          <t>OH</t>
        </is>
      </c>
      <c r="D12344" s="15" t="n">
        <v>0.417</v>
      </c>
      <c r="E12344" s="4" t="n">
        <v>100000</v>
      </c>
      <c r="F12344" s="4" t="n">
        <v>41700</v>
      </c>
    </row>
    <row r="12345">
      <c r="A12345" s="3" t="inlineStr">
        <is>
          <t>2</t>
        </is>
      </c>
      <c r="B12345" s="3" t="inlineStr">
        <is>
          <t>Tukang batu</t>
        </is>
      </c>
      <c r="C12345" s="3" t="inlineStr">
        <is>
          <t>OH</t>
        </is>
      </c>
      <c r="D12345" s="15" t="n">
        <v>0.696</v>
      </c>
      <c r="E12345" s="4" t="n">
        <v>145000</v>
      </c>
      <c r="F12345" s="4" t="n">
        <v>100920</v>
      </c>
    </row>
    <row r="12346">
      <c r="A12346" s="3" t="inlineStr">
        <is>
          <t>3</t>
        </is>
      </c>
      <c r="B12346" s="3" t="inlineStr">
        <is>
          <t>Kepala tukang</t>
        </is>
      </c>
      <c r="C12346" s="3" t="inlineStr">
        <is>
          <t>OH</t>
        </is>
      </c>
      <c r="D12346" s="15" t="n">
        <v>0.07000000000000001</v>
      </c>
      <c r="E12346" s="4" t="n">
        <v>175000</v>
      </c>
      <c r="F12346" s="4" t="n">
        <v>12250</v>
      </c>
    </row>
    <row r="12347">
      <c r="A12347" s="3" t="inlineStr">
        <is>
          <t>4</t>
        </is>
      </c>
      <c r="B12347" s="3" t="inlineStr">
        <is>
          <t>Mandor</t>
        </is>
      </c>
      <c r="C12347" s="3" t="inlineStr">
        <is>
          <t>OH</t>
        </is>
      </c>
      <c r="D12347" s="15" t="n">
        <v>0.023</v>
      </c>
      <c r="E12347" s="4" t="n">
        <v>200000</v>
      </c>
      <c r="F12347" s="4" t="n">
        <v>4600</v>
      </c>
    </row>
    <row r="12348">
      <c r="A12348" s="3" t="inlineStr">
        <is>
          <t>1</t>
        </is>
      </c>
      <c r="B12348" s="3" t="inlineStr">
        <is>
          <t>Tangki Toren Kapasitas 2.2 m3</t>
        </is>
      </c>
      <c r="C12348" s="3" t="inlineStr">
        <is>
          <t>unit</t>
        </is>
      </c>
      <c r="D12348" s="15" t="n">
        <v>1.05</v>
      </c>
      <c r="E12348" s="4" t="n">
        <v>1200000</v>
      </c>
      <c r="F12348" s="4" t="n">
        <v>1260000</v>
      </c>
    </row>
    <row r="12349">
      <c r="D12349" s="2" t="inlineStr">
        <is>
          <t>SUBTOTAL UPAH</t>
        </is>
      </c>
      <c r="F12349" s="16" t="n">
        <v>159470</v>
      </c>
    </row>
    <row r="12350">
      <c r="D12350" s="2" t="inlineStr">
        <is>
          <t>SUBTOTAL BAHAN</t>
        </is>
      </c>
      <c r="F12350" s="16" t="n">
        <v>1260000</v>
      </c>
    </row>
    <row r="12351">
      <c r="D12351" s="2" t="inlineStr">
        <is>
          <t>SUBTOTAL ALAT</t>
        </is>
      </c>
      <c r="F12351" s="16" t="n">
        <v>0</v>
      </c>
    </row>
    <row r="12352">
      <c r="E12352" s="2" t="inlineStr">
        <is>
          <t>TOTAL HARGA SATUAN (Inc. Overhead)</t>
        </is>
      </c>
      <c r="F12352" s="17" t="n">
        <v>1561417</v>
      </c>
    </row>
    <row r="12354">
      <c r="A12354" s="14" t="inlineStr">
        <is>
          <t>KODE: 6.1.2.1 - Pemasangan 1 unit pompa transfer 150 lpm; centrifugal end suction</t>
        </is>
      </c>
    </row>
    <row r="12355">
      <c r="A12355" s="10" t="inlineStr">
        <is>
          <t>No</t>
        </is>
      </c>
      <c r="B12355" s="10" t="inlineStr">
        <is>
          <t>Uraian Komponen</t>
        </is>
      </c>
      <c r="C12355" s="10" t="inlineStr">
        <is>
          <t>Satuan</t>
        </is>
      </c>
      <c r="D12355" s="10" t="inlineStr">
        <is>
          <t>Koef</t>
        </is>
      </c>
      <c r="E12355" s="10" t="inlineStr">
        <is>
          <t>Harga Satuan (Rp)</t>
        </is>
      </c>
      <c r="F12355" s="10" t="inlineStr">
        <is>
          <t>Jumlah Harga (Rp)</t>
        </is>
      </c>
    </row>
    <row r="12356">
      <c r="A12356" s="3" t="inlineStr">
        <is>
          <t>1</t>
        </is>
      </c>
      <c r="B12356" s="3" t="inlineStr">
        <is>
          <t>Pekerja</t>
        </is>
      </c>
      <c r="C12356" s="3" t="inlineStr">
        <is>
          <t>OH</t>
        </is>
      </c>
      <c r="D12356" s="15" t="n">
        <v>0.729</v>
      </c>
      <c r="E12356" s="4" t="n">
        <v>100000</v>
      </c>
      <c r="F12356" s="4" t="n">
        <v>72900</v>
      </c>
    </row>
    <row r="12357">
      <c r="A12357" s="3" t="inlineStr">
        <is>
          <t>2</t>
        </is>
      </c>
      <c r="B12357" s="3" t="inlineStr">
        <is>
          <t>Tukang pipa</t>
        </is>
      </c>
      <c r="C12357" s="3" t="inlineStr">
        <is>
          <t>OH</t>
        </is>
      </c>
      <c r="D12357" s="15" t="n">
        <v>1.217</v>
      </c>
      <c r="E12357" s="4" t="n">
        <v>145000</v>
      </c>
      <c r="F12357" s="4" t="n">
        <v>176465</v>
      </c>
    </row>
    <row r="12358">
      <c r="A12358" s="3" t="inlineStr">
        <is>
          <t>3</t>
        </is>
      </c>
      <c r="B12358" s="3" t="inlineStr">
        <is>
          <t>Kepala tukang</t>
        </is>
      </c>
      <c r="C12358" s="3" t="inlineStr">
        <is>
          <t>OH</t>
        </is>
      </c>
      <c r="D12358" s="15" t="n">
        <v>0.122</v>
      </c>
      <c r="E12358" s="4" t="n">
        <v>175000</v>
      </c>
      <c r="F12358" s="4" t="n">
        <v>21350</v>
      </c>
    </row>
    <row r="12359">
      <c r="A12359" s="3" t="inlineStr">
        <is>
          <t>4</t>
        </is>
      </c>
      <c r="B12359" s="3" t="inlineStr">
        <is>
          <t>Mandor</t>
        </is>
      </c>
      <c r="C12359" s="3" t="inlineStr">
        <is>
          <t>OH</t>
        </is>
      </c>
      <c r="D12359" s="15" t="n">
        <v>0.037</v>
      </c>
      <c r="E12359" s="4" t="n">
        <v>200000</v>
      </c>
      <c r="F12359" s="4" t="n">
        <v>7400</v>
      </c>
    </row>
    <row r="12360">
      <c r="A12360" s="3" t="inlineStr">
        <is>
          <t>1</t>
        </is>
      </c>
      <c r="B12360" s="3" t="inlineStr">
        <is>
          <t>Pompa transfer 150 lpm (centrifugal end suction)</t>
        </is>
      </c>
      <c r="C12360" s="3" t="inlineStr">
        <is>
          <t>unit</t>
        </is>
      </c>
      <c r="D12360" s="15" t="n">
        <v>1.025</v>
      </c>
      <c r="E12360" s="4" t="n">
        <v>1000000</v>
      </c>
      <c r="F12360" s="4" t="n">
        <v>1025000</v>
      </c>
    </row>
    <row r="12361">
      <c r="D12361" s="2" t="inlineStr">
        <is>
          <t>SUBTOTAL UPAH</t>
        </is>
      </c>
      <c r="F12361" s="16" t="n">
        <v>278115</v>
      </c>
    </row>
    <row r="12362">
      <c r="D12362" s="2" t="inlineStr">
        <is>
          <t>SUBTOTAL BAHAN</t>
        </is>
      </c>
      <c r="F12362" s="16" t="n">
        <v>1025000</v>
      </c>
    </row>
    <row r="12363">
      <c r="D12363" s="2" t="inlineStr">
        <is>
          <t>SUBTOTAL ALAT</t>
        </is>
      </c>
      <c r="F12363" s="16" t="n">
        <v>0</v>
      </c>
    </row>
    <row r="12364">
      <c r="E12364" s="2" t="inlineStr">
        <is>
          <t>TOTAL HARGA SATUAN (Inc. Overhead)</t>
        </is>
      </c>
      <c r="F12364" s="17" t="n">
        <v>1433426</v>
      </c>
    </row>
    <row r="12366">
      <c r="A12366" s="14" t="inlineStr">
        <is>
          <t>KODE: 6.1.2.2 - Pemasangan 1 unit pompa booster 450 lpm; centrifugal end suction</t>
        </is>
      </c>
    </row>
    <row r="12367">
      <c r="A12367" s="10" t="inlineStr">
        <is>
          <t>No</t>
        </is>
      </c>
      <c r="B12367" s="10" t="inlineStr">
        <is>
          <t>Uraian Komponen</t>
        </is>
      </c>
      <c r="C12367" s="10" t="inlineStr">
        <is>
          <t>Satuan</t>
        </is>
      </c>
      <c r="D12367" s="10" t="inlineStr">
        <is>
          <t>Koef</t>
        </is>
      </c>
      <c r="E12367" s="10" t="inlineStr">
        <is>
          <t>Harga Satuan (Rp)</t>
        </is>
      </c>
      <c r="F12367" s="10" t="inlineStr">
        <is>
          <t>Jumlah Harga (Rp)</t>
        </is>
      </c>
    </row>
    <row r="12368">
      <c r="A12368" s="3" t="inlineStr">
        <is>
          <t>1</t>
        </is>
      </c>
      <c r="B12368" s="3" t="inlineStr">
        <is>
          <t>Pekerja</t>
        </is>
      </c>
      <c r="C12368" s="3" t="inlineStr">
        <is>
          <t>OH</t>
        </is>
      </c>
      <c r="D12368" s="15" t="n">
        <v>0.417</v>
      </c>
      <c r="E12368" s="4" t="n">
        <v>100000</v>
      </c>
      <c r="F12368" s="4" t="n">
        <v>41700</v>
      </c>
    </row>
    <row r="12369">
      <c r="A12369" s="3" t="inlineStr">
        <is>
          <t>2</t>
        </is>
      </c>
      <c r="B12369" s="3" t="inlineStr">
        <is>
          <t>Tukang pipa</t>
        </is>
      </c>
      <c r="C12369" s="3" t="inlineStr">
        <is>
          <t>OH</t>
        </is>
      </c>
      <c r="D12369" s="15" t="n">
        <v>0.696</v>
      </c>
      <c r="E12369" s="4" t="n">
        <v>145000</v>
      </c>
      <c r="F12369" s="4" t="n">
        <v>100920</v>
      </c>
    </row>
    <row r="12370">
      <c r="A12370" s="3" t="inlineStr">
        <is>
          <t>3</t>
        </is>
      </c>
      <c r="B12370" s="3" t="inlineStr">
        <is>
          <t>Kepala tukang</t>
        </is>
      </c>
      <c r="C12370" s="3" t="inlineStr">
        <is>
          <t>OH</t>
        </is>
      </c>
      <c r="D12370" s="15" t="n">
        <v>0.07000000000000001</v>
      </c>
      <c r="E12370" s="4" t="n">
        <v>175000</v>
      </c>
      <c r="F12370" s="4" t="n">
        <v>12250</v>
      </c>
    </row>
    <row r="12371">
      <c r="A12371" s="3" t="inlineStr">
        <is>
          <t>4</t>
        </is>
      </c>
      <c r="B12371" s="3" t="inlineStr">
        <is>
          <t>Mandor</t>
        </is>
      </c>
      <c r="C12371" s="3" t="inlineStr">
        <is>
          <t>OH</t>
        </is>
      </c>
      <c r="D12371" s="15" t="n">
        <v>0.021</v>
      </c>
      <c r="E12371" s="4" t="n">
        <v>200000</v>
      </c>
      <c r="F12371" s="4" t="n">
        <v>4200</v>
      </c>
    </row>
    <row r="12372">
      <c r="A12372" s="3" t="inlineStr">
        <is>
          <t>1</t>
        </is>
      </c>
      <c r="B12372" s="3" t="inlineStr">
        <is>
          <t>Pompa booster 450 lpm (centrifugal end suction)</t>
        </is>
      </c>
      <c r="C12372" s="3" t="inlineStr">
        <is>
          <t>unit</t>
        </is>
      </c>
      <c r="D12372" s="15" t="n">
        <v>1.025</v>
      </c>
      <c r="E12372" s="4" t="n">
        <v>2970000</v>
      </c>
      <c r="F12372" s="4" t="n">
        <v>3044250</v>
      </c>
    </row>
    <row r="12373">
      <c r="D12373" s="2" t="inlineStr">
        <is>
          <t>SUBTOTAL UPAH</t>
        </is>
      </c>
      <c r="F12373" s="16" t="n">
        <v>159070</v>
      </c>
    </row>
    <row r="12374">
      <c r="D12374" s="2" t="inlineStr">
        <is>
          <t>SUBTOTAL BAHAN</t>
        </is>
      </c>
      <c r="F12374" s="16" t="n">
        <v>3044250</v>
      </c>
    </row>
    <row r="12375">
      <c r="D12375" s="2" t="inlineStr">
        <is>
          <t>SUBTOTAL ALAT</t>
        </is>
      </c>
      <c r="F12375" s="16" t="n">
        <v>0</v>
      </c>
    </row>
    <row r="12376">
      <c r="E12376" s="2" t="inlineStr">
        <is>
          <t>TOTAL HARGA SATUAN (Inc. Overhead)</t>
        </is>
      </c>
      <c r="F12376" s="17" t="n">
        <v>3523652</v>
      </c>
    </row>
    <row r="12378">
      <c r="A12378" s="14" t="inlineStr">
        <is>
          <t>KODE: 6.1.2.3 - Pemasangan 1 unit pompa booster 150 lpm; vertical in line-packaged</t>
        </is>
      </c>
    </row>
    <row r="12379">
      <c r="A12379" s="10" t="inlineStr">
        <is>
          <t>No</t>
        </is>
      </c>
      <c r="B12379" s="10" t="inlineStr">
        <is>
          <t>Uraian Komponen</t>
        </is>
      </c>
      <c r="C12379" s="10" t="inlineStr">
        <is>
          <t>Satuan</t>
        </is>
      </c>
      <c r="D12379" s="10" t="inlineStr">
        <is>
          <t>Koef</t>
        </is>
      </c>
      <c r="E12379" s="10" t="inlineStr">
        <is>
          <t>Harga Satuan (Rp)</t>
        </is>
      </c>
      <c r="F12379" s="10" t="inlineStr">
        <is>
          <t>Jumlah Harga (Rp)</t>
        </is>
      </c>
    </row>
    <row r="12380">
      <c r="A12380" s="3" t="inlineStr">
        <is>
          <t>1</t>
        </is>
      </c>
      <c r="B12380" s="3" t="inlineStr">
        <is>
          <t>Pekerja</t>
        </is>
      </c>
      <c r="C12380" s="3" t="inlineStr">
        <is>
          <t>OH</t>
        </is>
      </c>
      <c r="D12380" s="15" t="n">
        <v>0.417</v>
      </c>
      <c r="E12380" s="4" t="n">
        <v>100000</v>
      </c>
      <c r="F12380" s="4" t="n">
        <v>41700</v>
      </c>
    </row>
    <row r="12381">
      <c r="A12381" s="3" t="inlineStr">
        <is>
          <t>2</t>
        </is>
      </c>
      <c r="B12381" s="3" t="inlineStr">
        <is>
          <t>Tukang pipa</t>
        </is>
      </c>
      <c r="C12381" s="3" t="inlineStr">
        <is>
          <t>OH</t>
        </is>
      </c>
      <c r="D12381" s="15" t="n">
        <v>0.696</v>
      </c>
      <c r="E12381" s="4" t="n">
        <v>145000</v>
      </c>
      <c r="F12381" s="4" t="n">
        <v>100920</v>
      </c>
    </row>
    <row r="12382">
      <c r="A12382" s="3" t="inlineStr">
        <is>
          <t>3</t>
        </is>
      </c>
      <c r="B12382" s="3" t="inlineStr">
        <is>
          <t>Kepala tukang</t>
        </is>
      </c>
      <c r="C12382" s="3" t="inlineStr">
        <is>
          <t>OH</t>
        </is>
      </c>
      <c r="D12382" s="15" t="n">
        <v>0.07000000000000001</v>
      </c>
      <c r="E12382" s="4" t="n">
        <v>175000</v>
      </c>
      <c r="F12382" s="4" t="n">
        <v>12250</v>
      </c>
    </row>
    <row r="12383">
      <c r="A12383" s="3" t="inlineStr">
        <is>
          <t>4</t>
        </is>
      </c>
      <c r="B12383" s="3" t="inlineStr">
        <is>
          <t>Mandor</t>
        </is>
      </c>
      <c r="C12383" s="3" t="inlineStr">
        <is>
          <t>OH</t>
        </is>
      </c>
      <c r="D12383" s="15" t="n">
        <v>0.021</v>
      </c>
      <c r="E12383" s="4" t="n">
        <v>200000</v>
      </c>
      <c r="F12383" s="4" t="n">
        <v>4200</v>
      </c>
    </row>
    <row r="12384">
      <c r="A12384" s="3" t="inlineStr">
        <is>
          <t>1</t>
        </is>
      </c>
      <c r="B12384" s="3" t="inlineStr">
        <is>
          <t>Pompa booster 150 lpm (vertical in line-packaged)</t>
        </is>
      </c>
      <c r="C12384" s="3" t="inlineStr">
        <is>
          <t>unit</t>
        </is>
      </c>
      <c r="D12384" s="15" t="n">
        <v>1.025</v>
      </c>
      <c r="E12384" s="4" t="n">
        <v>1200000</v>
      </c>
      <c r="F12384" s="4" t="n">
        <v>1230000</v>
      </c>
    </row>
    <row r="12385">
      <c r="D12385" s="2" t="inlineStr">
        <is>
          <t>SUBTOTAL UPAH</t>
        </is>
      </c>
      <c r="F12385" s="16" t="n">
        <v>159070</v>
      </c>
    </row>
    <row r="12386">
      <c r="D12386" s="2" t="inlineStr">
        <is>
          <t>SUBTOTAL BAHAN</t>
        </is>
      </c>
      <c r="F12386" s="16" t="n">
        <v>1230000</v>
      </c>
    </row>
    <row r="12387">
      <c r="D12387" s="2" t="inlineStr">
        <is>
          <t>SUBTOTAL ALAT</t>
        </is>
      </c>
      <c r="F12387" s="16" t="n">
        <v>0</v>
      </c>
    </row>
    <row r="12388">
      <c r="E12388" s="2" t="inlineStr">
        <is>
          <t>TOTAL HARGA SATUAN (Inc. Overhead)</t>
        </is>
      </c>
      <c r="F12388" s="17" t="n">
        <v>1527977</v>
      </c>
    </row>
    <row r="12390">
      <c r="A12390" s="14" t="inlineStr">
        <is>
          <t>KODE: 6.1.2.4 - Pemasangan 1 unit pompa jet 27 lpm</t>
        </is>
      </c>
    </row>
    <row r="12391">
      <c r="A12391" s="10" t="inlineStr">
        <is>
          <t>No</t>
        </is>
      </c>
      <c r="B12391" s="10" t="inlineStr">
        <is>
          <t>Uraian Komponen</t>
        </is>
      </c>
      <c r="C12391" s="10" t="inlineStr">
        <is>
          <t>Satuan</t>
        </is>
      </c>
      <c r="D12391" s="10" t="inlineStr">
        <is>
          <t>Koef</t>
        </is>
      </c>
      <c r="E12391" s="10" t="inlineStr">
        <is>
          <t>Harga Satuan (Rp)</t>
        </is>
      </c>
      <c r="F12391" s="10" t="inlineStr">
        <is>
          <t>Jumlah Harga (Rp)</t>
        </is>
      </c>
    </row>
    <row r="12392">
      <c r="A12392" s="3" t="inlineStr">
        <is>
          <t>1</t>
        </is>
      </c>
      <c r="B12392" s="3" t="inlineStr">
        <is>
          <t>Pekerja</t>
        </is>
      </c>
      <c r="C12392" s="3" t="inlineStr">
        <is>
          <t>OH</t>
        </is>
      </c>
      <c r="D12392" s="15" t="n">
        <v>0.763</v>
      </c>
      <c r="E12392" s="4" t="n">
        <v>100000</v>
      </c>
      <c r="F12392" s="4" t="n">
        <v>76300</v>
      </c>
    </row>
    <row r="12393">
      <c r="A12393" s="3" t="inlineStr">
        <is>
          <t>2</t>
        </is>
      </c>
      <c r="B12393" s="3" t="inlineStr">
        <is>
          <t>Tukang pipa</t>
        </is>
      </c>
      <c r="C12393" s="3" t="inlineStr">
        <is>
          <t>OH</t>
        </is>
      </c>
      <c r="D12393" s="15" t="n">
        <v>1.274</v>
      </c>
      <c r="E12393" s="4" t="n">
        <v>145000</v>
      </c>
      <c r="F12393" s="4" t="n">
        <v>184730</v>
      </c>
    </row>
    <row r="12394">
      <c r="A12394" s="3" t="inlineStr">
        <is>
          <t>3</t>
        </is>
      </c>
      <c r="B12394" s="3" t="inlineStr">
        <is>
          <t>Kepala tukang</t>
        </is>
      </c>
      <c r="C12394" s="3" t="inlineStr">
        <is>
          <t>OH</t>
        </is>
      </c>
      <c r="D12394" s="15" t="n">
        <v>0.127</v>
      </c>
      <c r="E12394" s="4" t="n">
        <v>175000</v>
      </c>
      <c r="F12394" s="4" t="n">
        <v>22225</v>
      </c>
    </row>
    <row r="12395">
      <c r="A12395" s="3" t="inlineStr">
        <is>
          <t>4</t>
        </is>
      </c>
      <c r="B12395" s="3" t="inlineStr">
        <is>
          <t>Mandor</t>
        </is>
      </c>
      <c r="C12395" s="3" t="inlineStr">
        <is>
          <t>OH</t>
        </is>
      </c>
      <c r="D12395" s="15" t="n">
        <v>0.038</v>
      </c>
      <c r="E12395" s="4" t="n">
        <v>200000</v>
      </c>
      <c r="F12395" s="4" t="n">
        <v>7600</v>
      </c>
    </row>
    <row r="12396">
      <c r="A12396" s="3" t="inlineStr">
        <is>
          <t>1</t>
        </is>
      </c>
      <c r="B12396" s="3" t="inlineStr">
        <is>
          <t>Pompa jet 27 lpm</t>
        </is>
      </c>
      <c r="C12396" s="3" t="inlineStr">
        <is>
          <t>unit</t>
        </is>
      </c>
      <c r="D12396" s="15" t="n">
        <v>1.1</v>
      </c>
      <c r="E12396" s="4" t="n">
        <v>900000</v>
      </c>
      <c r="F12396" s="4" t="n">
        <v>990000.0000000001</v>
      </c>
    </row>
    <row r="12397">
      <c r="D12397" s="2" t="inlineStr">
        <is>
          <t>SUBTOTAL UPAH</t>
        </is>
      </c>
      <c r="F12397" s="16" t="n">
        <v>290855</v>
      </c>
    </row>
    <row r="12398">
      <c r="D12398" s="2" t="inlineStr">
        <is>
          <t>SUBTOTAL BAHAN</t>
        </is>
      </c>
      <c r="F12398" s="16" t="n">
        <v>990000.0000000001</v>
      </c>
    </row>
    <row r="12399">
      <c r="D12399" s="2" t="inlineStr">
        <is>
          <t>SUBTOTAL ALAT</t>
        </is>
      </c>
      <c r="F12399" s="16" t="n">
        <v>0</v>
      </c>
    </row>
    <row r="12400">
      <c r="E12400" s="2" t="inlineStr">
        <is>
          <t>TOTAL HARGA SATUAN (Inc. Overhead)</t>
        </is>
      </c>
      <c r="F12400" s="17" t="n">
        <v>1408940</v>
      </c>
    </row>
    <row r="12402">
      <c r="A12402" s="14" t="inlineStr">
        <is>
          <t>KODE: 6.1.2.5 - Pemasangan 1 unit pompa jet 34 lpm</t>
        </is>
      </c>
    </row>
    <row r="12403">
      <c r="A12403" s="10" t="inlineStr">
        <is>
          <t>No</t>
        </is>
      </c>
      <c r="B12403" s="10" t="inlineStr">
        <is>
          <t>Uraian Komponen</t>
        </is>
      </c>
      <c r="C12403" s="10" t="inlineStr">
        <is>
          <t>Satuan</t>
        </is>
      </c>
      <c r="D12403" s="10" t="inlineStr">
        <is>
          <t>Koef</t>
        </is>
      </c>
      <c r="E12403" s="10" t="inlineStr">
        <is>
          <t>Harga Satuan (Rp)</t>
        </is>
      </c>
      <c r="F12403" s="10" t="inlineStr">
        <is>
          <t>Jumlah Harga (Rp)</t>
        </is>
      </c>
    </row>
    <row r="12404">
      <c r="A12404" s="3" t="inlineStr">
        <is>
          <t>1</t>
        </is>
      </c>
      <c r="B12404" s="3" t="inlineStr">
        <is>
          <t>Pekerja</t>
        </is>
      </c>
      <c r="C12404" s="3" t="inlineStr">
        <is>
          <t>OH</t>
        </is>
      </c>
      <c r="D12404" s="15" t="n">
        <v>0.763</v>
      </c>
      <c r="E12404" s="4" t="n">
        <v>100000</v>
      </c>
      <c r="F12404" s="4" t="n">
        <v>76300</v>
      </c>
    </row>
    <row r="12405">
      <c r="A12405" s="3" t="inlineStr">
        <is>
          <t>2</t>
        </is>
      </c>
      <c r="B12405" s="3" t="inlineStr">
        <is>
          <t>Tukang pipa</t>
        </is>
      </c>
      <c r="C12405" s="3" t="inlineStr">
        <is>
          <t>OH</t>
        </is>
      </c>
      <c r="D12405" s="15" t="n">
        <v>1.274</v>
      </c>
      <c r="E12405" s="4" t="n">
        <v>145000</v>
      </c>
      <c r="F12405" s="4" t="n">
        <v>184730</v>
      </c>
    </row>
    <row r="12406">
      <c r="A12406" s="3" t="inlineStr">
        <is>
          <t>3</t>
        </is>
      </c>
      <c r="B12406" s="3" t="inlineStr">
        <is>
          <t>Kepala tukang</t>
        </is>
      </c>
      <c r="C12406" s="3" t="inlineStr">
        <is>
          <t>OH</t>
        </is>
      </c>
      <c r="D12406" s="15" t="n">
        <v>0.127</v>
      </c>
      <c r="E12406" s="4" t="n">
        <v>175000</v>
      </c>
      <c r="F12406" s="4" t="n">
        <v>22225</v>
      </c>
    </row>
    <row r="12407">
      <c r="A12407" s="3" t="inlineStr">
        <is>
          <t>4</t>
        </is>
      </c>
      <c r="B12407" s="3" t="inlineStr">
        <is>
          <t>Mandor</t>
        </is>
      </c>
      <c r="C12407" s="3" t="inlineStr">
        <is>
          <t>OH</t>
        </is>
      </c>
      <c r="D12407" s="15" t="n">
        <v>0.038</v>
      </c>
      <c r="E12407" s="4" t="n">
        <v>200000</v>
      </c>
      <c r="F12407" s="4" t="n">
        <v>7600</v>
      </c>
    </row>
    <row r="12408">
      <c r="A12408" s="3" t="inlineStr">
        <is>
          <t>1</t>
        </is>
      </c>
      <c r="B12408" s="3" t="inlineStr">
        <is>
          <t>Pompa jet 34 lpm</t>
        </is>
      </c>
      <c r="C12408" s="3" t="inlineStr">
        <is>
          <t>unit</t>
        </is>
      </c>
      <c r="D12408" s="15" t="n">
        <v>1.1</v>
      </c>
      <c r="E12408" s="4" t="n">
        <v>1200000</v>
      </c>
      <c r="F12408" s="4" t="n">
        <v>1320000</v>
      </c>
    </row>
    <row r="12409">
      <c r="D12409" s="2" t="inlineStr">
        <is>
          <t>SUBTOTAL UPAH</t>
        </is>
      </c>
      <c r="F12409" s="16" t="n">
        <v>290855</v>
      </c>
    </row>
    <row r="12410">
      <c r="D12410" s="2" t="inlineStr">
        <is>
          <t>SUBTOTAL BAHAN</t>
        </is>
      </c>
      <c r="F12410" s="16" t="n">
        <v>1320000</v>
      </c>
    </row>
    <row r="12411">
      <c r="D12411" s="2" t="inlineStr">
        <is>
          <t>SUBTOTAL ALAT</t>
        </is>
      </c>
      <c r="F12411" s="16" t="n">
        <v>0</v>
      </c>
    </row>
    <row r="12412">
      <c r="E12412" s="2" t="inlineStr">
        <is>
          <t>TOTAL HARGA SATUAN (Inc. Overhead)</t>
        </is>
      </c>
      <c r="F12412" s="17" t="n">
        <v>1771940</v>
      </c>
    </row>
    <row r="12414">
      <c r="A12414" s="14" t="inlineStr">
        <is>
          <t>KODE: 6.1.2.6 - Pemasangan 1 unit pompa jet 100 lpm</t>
        </is>
      </c>
    </row>
    <row r="12415">
      <c r="A12415" s="10" t="inlineStr">
        <is>
          <t>No</t>
        </is>
      </c>
      <c r="B12415" s="10" t="inlineStr">
        <is>
          <t>Uraian Komponen</t>
        </is>
      </c>
      <c r="C12415" s="10" t="inlineStr">
        <is>
          <t>Satuan</t>
        </is>
      </c>
      <c r="D12415" s="10" t="inlineStr">
        <is>
          <t>Koef</t>
        </is>
      </c>
      <c r="E12415" s="10" t="inlineStr">
        <is>
          <t>Harga Satuan (Rp)</t>
        </is>
      </c>
      <c r="F12415" s="10" t="inlineStr">
        <is>
          <t>Jumlah Harga (Rp)</t>
        </is>
      </c>
    </row>
    <row r="12416">
      <c r="A12416" s="3" t="inlineStr">
        <is>
          <t>1</t>
        </is>
      </c>
      <c r="B12416" s="3" t="inlineStr">
        <is>
          <t>Pekerja</t>
        </is>
      </c>
      <c r="C12416" s="3" t="inlineStr">
        <is>
          <t>OH</t>
        </is>
      </c>
      <c r="D12416" s="15" t="n">
        <v>0.763</v>
      </c>
      <c r="E12416" s="4" t="n">
        <v>100000</v>
      </c>
      <c r="F12416" s="4" t="n">
        <v>76300</v>
      </c>
    </row>
    <row r="12417">
      <c r="A12417" s="3" t="inlineStr">
        <is>
          <t>2</t>
        </is>
      </c>
      <c r="B12417" s="3" t="inlineStr">
        <is>
          <t>Tukang pipa</t>
        </is>
      </c>
      <c r="C12417" s="3" t="inlineStr">
        <is>
          <t>OH</t>
        </is>
      </c>
      <c r="D12417" s="15" t="n">
        <v>1.274</v>
      </c>
      <c r="E12417" s="4" t="n">
        <v>145000</v>
      </c>
      <c r="F12417" s="4" t="n">
        <v>184730</v>
      </c>
    </row>
    <row r="12418">
      <c r="A12418" s="3" t="inlineStr">
        <is>
          <t>3</t>
        </is>
      </c>
      <c r="B12418" s="3" t="inlineStr">
        <is>
          <t>Kepala tukang</t>
        </is>
      </c>
      <c r="C12418" s="3" t="inlineStr">
        <is>
          <t>OH</t>
        </is>
      </c>
      <c r="D12418" s="15" t="n">
        <v>0.127</v>
      </c>
      <c r="E12418" s="4" t="n">
        <v>175000</v>
      </c>
      <c r="F12418" s="4" t="n">
        <v>22225</v>
      </c>
    </row>
    <row r="12419">
      <c r="A12419" s="3" t="inlineStr">
        <is>
          <t>4</t>
        </is>
      </c>
      <c r="B12419" s="3" t="inlineStr">
        <is>
          <t>Mandor</t>
        </is>
      </c>
      <c r="C12419" s="3" t="inlineStr">
        <is>
          <t>OH</t>
        </is>
      </c>
      <c r="D12419" s="15" t="n">
        <v>0.038</v>
      </c>
      <c r="E12419" s="4" t="n">
        <v>200000</v>
      </c>
      <c r="F12419" s="4" t="n">
        <v>7600</v>
      </c>
    </row>
    <row r="12420">
      <c r="A12420" s="3" t="inlineStr">
        <is>
          <t>1</t>
        </is>
      </c>
      <c r="B12420" s="3" t="inlineStr">
        <is>
          <t>Pompa jet 100 lpm</t>
        </is>
      </c>
      <c r="C12420" s="3" t="inlineStr">
        <is>
          <t>unit</t>
        </is>
      </c>
      <c r="D12420" s="15" t="n">
        <v>1.1</v>
      </c>
      <c r="E12420" s="4" t="n">
        <v>2000000</v>
      </c>
      <c r="F12420" s="4" t="n">
        <v>2200000</v>
      </c>
    </row>
    <row r="12421">
      <c r="D12421" s="2" t="inlineStr">
        <is>
          <t>SUBTOTAL UPAH</t>
        </is>
      </c>
      <c r="F12421" s="16" t="n">
        <v>290855</v>
      </c>
    </row>
    <row r="12422">
      <c r="D12422" s="2" t="inlineStr">
        <is>
          <t>SUBTOTAL BAHAN</t>
        </is>
      </c>
      <c r="F12422" s="16" t="n">
        <v>2200000</v>
      </c>
    </row>
    <row r="12423">
      <c r="D12423" s="2" t="inlineStr">
        <is>
          <t>SUBTOTAL ALAT</t>
        </is>
      </c>
      <c r="F12423" s="16" t="n">
        <v>0</v>
      </c>
    </row>
    <row r="12424">
      <c r="E12424" s="2" t="inlineStr">
        <is>
          <t>TOTAL HARGA SATUAN (Inc. Overhead)</t>
        </is>
      </c>
      <c r="F12424" s="17" t="n">
        <v>2739940</v>
      </c>
    </row>
    <row r="12426">
      <c r="A12426" s="14" t="inlineStr">
        <is>
          <t>KODE: 6.1.2.7 - Pemasangan 1 unit pompa lift 80 lpm</t>
        </is>
      </c>
    </row>
    <row r="12427">
      <c r="A12427" s="10" t="inlineStr">
        <is>
          <t>No</t>
        </is>
      </c>
      <c r="B12427" s="10" t="inlineStr">
        <is>
          <t>Uraian Komponen</t>
        </is>
      </c>
      <c r="C12427" s="10" t="inlineStr">
        <is>
          <t>Satuan</t>
        </is>
      </c>
      <c r="D12427" s="10" t="inlineStr">
        <is>
          <t>Koef</t>
        </is>
      </c>
      <c r="E12427" s="10" t="inlineStr">
        <is>
          <t>Harga Satuan (Rp)</t>
        </is>
      </c>
      <c r="F12427" s="10" t="inlineStr">
        <is>
          <t>Jumlah Harga (Rp)</t>
        </is>
      </c>
    </row>
    <row r="12428">
      <c r="A12428" s="3" t="inlineStr">
        <is>
          <t>1</t>
        </is>
      </c>
      <c r="B12428" s="3" t="inlineStr">
        <is>
          <t>Pekerja</t>
        </is>
      </c>
      <c r="C12428" s="3" t="inlineStr">
        <is>
          <t>OH</t>
        </is>
      </c>
      <c r="D12428" s="15" t="n">
        <v>0.625</v>
      </c>
      <c r="E12428" s="4" t="n">
        <v>100000</v>
      </c>
      <c r="F12428" s="4" t="n">
        <v>62500</v>
      </c>
    </row>
    <row r="12429">
      <c r="A12429" s="3" t="inlineStr">
        <is>
          <t>2</t>
        </is>
      </c>
      <c r="B12429" s="3" t="inlineStr">
        <is>
          <t>Tukang pipa</t>
        </is>
      </c>
      <c r="C12429" s="3" t="inlineStr">
        <is>
          <t>OH</t>
        </is>
      </c>
      <c r="D12429" s="15" t="n">
        <v>1.044</v>
      </c>
      <c r="E12429" s="4" t="n">
        <v>145000</v>
      </c>
      <c r="F12429" s="4" t="n">
        <v>151380</v>
      </c>
    </row>
    <row r="12430">
      <c r="A12430" s="3" t="inlineStr">
        <is>
          <t>3</t>
        </is>
      </c>
      <c r="B12430" s="3" t="inlineStr">
        <is>
          <t>Kepala tukang</t>
        </is>
      </c>
      <c r="C12430" s="3" t="inlineStr">
        <is>
          <t>OH</t>
        </is>
      </c>
      <c r="D12430" s="15" t="n">
        <v>0.104</v>
      </c>
      <c r="E12430" s="4" t="n">
        <v>175000</v>
      </c>
      <c r="F12430" s="4" t="n">
        <v>18200</v>
      </c>
    </row>
    <row r="12431">
      <c r="A12431" s="3" t="inlineStr">
        <is>
          <t>4</t>
        </is>
      </c>
      <c r="B12431" s="3" t="inlineStr">
        <is>
          <t>Mandor</t>
        </is>
      </c>
      <c r="C12431" s="3" t="inlineStr">
        <is>
          <t>OH</t>
        </is>
      </c>
      <c r="D12431" s="15" t="n">
        <v>0.031</v>
      </c>
      <c r="E12431" s="4" t="n">
        <v>200000</v>
      </c>
      <c r="F12431" s="4" t="n">
        <v>6200</v>
      </c>
    </row>
    <row r="12432">
      <c r="A12432" s="3" t="inlineStr">
        <is>
          <t>1</t>
        </is>
      </c>
      <c r="B12432" s="3" t="inlineStr">
        <is>
          <t>Pompa lift 80 lpm</t>
        </is>
      </c>
      <c r="C12432" s="3" t="inlineStr">
        <is>
          <t>unit</t>
        </is>
      </c>
      <c r="D12432" s="15" t="n">
        <v>1.05</v>
      </c>
      <c r="E12432" s="4" t="n">
        <v>1000000</v>
      </c>
      <c r="F12432" s="4" t="n">
        <v>1050000</v>
      </c>
    </row>
    <row r="12433">
      <c r="D12433" s="2" t="inlineStr">
        <is>
          <t>SUBTOTAL UPAH</t>
        </is>
      </c>
      <c r="F12433" s="16" t="n">
        <v>238280</v>
      </c>
    </row>
    <row r="12434">
      <c r="D12434" s="2" t="inlineStr">
        <is>
          <t>SUBTOTAL BAHAN</t>
        </is>
      </c>
      <c r="F12434" s="16" t="n">
        <v>1050000</v>
      </c>
    </row>
    <row r="12435">
      <c r="D12435" s="2" t="inlineStr">
        <is>
          <t>SUBTOTAL ALAT</t>
        </is>
      </c>
      <c r="F12435" s="16" t="n">
        <v>0</v>
      </c>
    </row>
    <row r="12436">
      <c r="E12436" s="2" t="inlineStr">
        <is>
          <t>TOTAL HARGA SATUAN (Inc. Overhead)</t>
        </is>
      </c>
      <c r="F12436" s="17" t="n">
        <v>1417108</v>
      </c>
    </row>
    <row r="12438">
      <c r="A12438" s="14" t="inlineStr">
        <is>
          <t>KODE: 6.1.2.8 - Pemasangan 1 unit pompa lift 250 lpm</t>
        </is>
      </c>
    </row>
    <row r="12439">
      <c r="A12439" s="10" t="inlineStr">
        <is>
          <t>No</t>
        </is>
      </c>
      <c r="B12439" s="10" t="inlineStr">
        <is>
          <t>Uraian Komponen</t>
        </is>
      </c>
      <c r="C12439" s="10" t="inlineStr">
        <is>
          <t>Satuan</t>
        </is>
      </c>
      <c r="D12439" s="10" t="inlineStr">
        <is>
          <t>Koef</t>
        </is>
      </c>
      <c r="E12439" s="10" t="inlineStr">
        <is>
          <t>Harga Satuan (Rp)</t>
        </is>
      </c>
      <c r="F12439" s="10" t="inlineStr">
        <is>
          <t>Jumlah Harga (Rp)</t>
        </is>
      </c>
    </row>
    <row r="12440">
      <c r="A12440" s="3" t="inlineStr">
        <is>
          <t>1</t>
        </is>
      </c>
      <c r="B12440" s="3" t="inlineStr">
        <is>
          <t>Pekerja</t>
        </is>
      </c>
      <c r="C12440" s="3" t="inlineStr">
        <is>
          <t>OH</t>
        </is>
      </c>
      <c r="D12440" s="15" t="n">
        <v>0.729</v>
      </c>
      <c r="E12440" s="4" t="n">
        <v>100000</v>
      </c>
      <c r="F12440" s="4" t="n">
        <v>72900</v>
      </c>
    </row>
    <row r="12441">
      <c r="A12441" s="3" t="inlineStr">
        <is>
          <t>2</t>
        </is>
      </c>
      <c r="B12441" s="3" t="inlineStr">
        <is>
          <t>Tukang pipa</t>
        </is>
      </c>
      <c r="C12441" s="3" t="inlineStr">
        <is>
          <t>OH</t>
        </is>
      </c>
      <c r="D12441" s="15" t="n">
        <v>1.218</v>
      </c>
      <c r="E12441" s="4" t="n">
        <v>145000</v>
      </c>
      <c r="F12441" s="4" t="n">
        <v>176610</v>
      </c>
    </row>
    <row r="12442">
      <c r="A12442" s="3" t="inlineStr">
        <is>
          <t>3</t>
        </is>
      </c>
      <c r="B12442" s="3" t="inlineStr">
        <is>
          <t>Kepala tukang</t>
        </is>
      </c>
      <c r="C12442" s="3" t="inlineStr">
        <is>
          <t>OH</t>
        </is>
      </c>
      <c r="D12442" s="15" t="n">
        <v>0.122</v>
      </c>
      <c r="E12442" s="4" t="n">
        <v>175000</v>
      </c>
      <c r="F12442" s="4" t="n">
        <v>21350</v>
      </c>
    </row>
    <row r="12443">
      <c r="A12443" s="3" t="inlineStr">
        <is>
          <t>4</t>
        </is>
      </c>
      <c r="B12443" s="3" t="inlineStr">
        <is>
          <t>Mandor</t>
        </is>
      </c>
      <c r="C12443" s="3" t="inlineStr">
        <is>
          <t>OH</t>
        </is>
      </c>
      <c r="D12443" s="15" t="n">
        <v>0.037</v>
      </c>
      <c r="E12443" s="4" t="n">
        <v>200000</v>
      </c>
      <c r="F12443" s="4" t="n">
        <v>7400</v>
      </c>
    </row>
    <row r="12444">
      <c r="A12444" s="3" t="inlineStr">
        <is>
          <t>1</t>
        </is>
      </c>
      <c r="B12444" s="3" t="inlineStr">
        <is>
          <t>Pompa lift 250 lpm</t>
        </is>
      </c>
      <c r="C12444" s="3" t="inlineStr">
        <is>
          <t>unit</t>
        </is>
      </c>
      <c r="D12444" s="15" t="n">
        <v>1.05</v>
      </c>
      <c r="E12444" s="4" t="n">
        <v>3500000</v>
      </c>
      <c r="F12444" s="4" t="n">
        <v>3675000</v>
      </c>
    </row>
    <row r="12445">
      <c r="D12445" s="2" t="inlineStr">
        <is>
          <t>SUBTOTAL UPAH</t>
        </is>
      </c>
      <c r="F12445" s="16" t="n">
        <v>278260</v>
      </c>
    </row>
    <row r="12446">
      <c r="D12446" s="2" t="inlineStr">
        <is>
          <t>SUBTOTAL BAHAN</t>
        </is>
      </c>
      <c r="F12446" s="16" t="n">
        <v>3675000</v>
      </c>
    </row>
    <row r="12447">
      <c r="D12447" s="2" t="inlineStr">
        <is>
          <t>SUBTOTAL ALAT</t>
        </is>
      </c>
      <c r="F12447" s="16" t="n">
        <v>0</v>
      </c>
    </row>
    <row r="12448">
      <c r="E12448" s="2" t="inlineStr">
        <is>
          <t>TOTAL HARGA SATUAN (Inc. Overhead)</t>
        </is>
      </c>
      <c r="F12448" s="17" t="n">
        <v>4348586</v>
      </c>
    </row>
    <row r="12450">
      <c r="A12450" s="14" t="inlineStr">
        <is>
          <t>KODE: 6.1.2.9 - Pemasangan 1 unit Pompa Jet 30 lpm</t>
        </is>
      </c>
    </row>
    <row r="12451">
      <c r="A12451" s="10" t="inlineStr">
        <is>
          <t>No</t>
        </is>
      </c>
      <c r="B12451" s="10" t="inlineStr">
        <is>
          <t>Uraian Komponen</t>
        </is>
      </c>
      <c r="C12451" s="10" t="inlineStr">
        <is>
          <t>Satuan</t>
        </is>
      </c>
      <c r="D12451" s="10" t="inlineStr">
        <is>
          <t>Koef</t>
        </is>
      </c>
      <c r="E12451" s="10" t="inlineStr">
        <is>
          <t>Harga Satuan (Rp)</t>
        </is>
      </c>
      <c r="F12451" s="10" t="inlineStr">
        <is>
          <t>Jumlah Harga (Rp)</t>
        </is>
      </c>
    </row>
    <row r="12452">
      <c r="A12452" s="3" t="inlineStr">
        <is>
          <t>1</t>
        </is>
      </c>
      <c r="B12452" s="3" t="inlineStr">
        <is>
          <t>Pekerja</t>
        </is>
      </c>
      <c r="C12452" s="3" t="inlineStr">
        <is>
          <t>OH</t>
        </is>
      </c>
      <c r="D12452" s="15" t="n">
        <v>0.763</v>
      </c>
      <c r="E12452" s="4" t="n">
        <v>100000</v>
      </c>
      <c r="F12452" s="4" t="n">
        <v>76300</v>
      </c>
    </row>
    <row r="12453">
      <c r="A12453" s="3" t="inlineStr">
        <is>
          <t>2</t>
        </is>
      </c>
      <c r="B12453" s="3" t="inlineStr">
        <is>
          <t>Tukang pipa</t>
        </is>
      </c>
      <c r="C12453" s="3" t="inlineStr">
        <is>
          <t>OH</t>
        </is>
      </c>
      <c r="D12453" s="15" t="n">
        <v>1.274</v>
      </c>
      <c r="E12453" s="4" t="n">
        <v>145000</v>
      </c>
      <c r="F12453" s="4" t="n">
        <v>184730</v>
      </c>
    </row>
    <row r="12454">
      <c r="A12454" s="3" t="inlineStr">
        <is>
          <t>3</t>
        </is>
      </c>
      <c r="B12454" s="3" t="inlineStr">
        <is>
          <t>Kepala tukang</t>
        </is>
      </c>
      <c r="C12454" s="3" t="inlineStr">
        <is>
          <t>OH</t>
        </is>
      </c>
      <c r="D12454" s="15" t="n">
        <v>0.127</v>
      </c>
      <c r="E12454" s="4" t="n">
        <v>175000</v>
      </c>
      <c r="F12454" s="4" t="n">
        <v>22225</v>
      </c>
    </row>
    <row r="12455">
      <c r="A12455" s="3" t="inlineStr">
        <is>
          <t>4</t>
        </is>
      </c>
      <c r="B12455" s="3" t="inlineStr">
        <is>
          <t>Mandor</t>
        </is>
      </c>
      <c r="C12455" s="3" t="inlineStr">
        <is>
          <t>OH</t>
        </is>
      </c>
      <c r="D12455" s="15" t="n">
        <v>0.038</v>
      </c>
      <c r="E12455" s="4" t="n">
        <v>200000</v>
      </c>
      <c r="F12455" s="4" t="n">
        <v>7600</v>
      </c>
    </row>
    <row r="12456">
      <c r="A12456" s="3" t="inlineStr">
        <is>
          <t>1</t>
        </is>
      </c>
      <c r="B12456" s="3" t="inlineStr">
        <is>
          <t>Pompa Jet 30 lpm</t>
        </is>
      </c>
      <c r="C12456" s="3" t="inlineStr">
        <is>
          <t>unit</t>
        </is>
      </c>
      <c r="D12456" s="15" t="n">
        <v>1.1</v>
      </c>
      <c r="E12456" s="4" t="n">
        <v>730000</v>
      </c>
      <c r="F12456" s="4" t="n">
        <v>803000.0000000001</v>
      </c>
    </row>
    <row r="12457">
      <c r="D12457" s="2" t="inlineStr">
        <is>
          <t>SUBTOTAL UPAH</t>
        </is>
      </c>
      <c r="F12457" s="16" t="n">
        <v>290855</v>
      </c>
    </row>
    <row r="12458">
      <c r="D12458" s="2" t="inlineStr">
        <is>
          <t>SUBTOTAL BAHAN</t>
        </is>
      </c>
      <c r="F12458" s="16" t="n">
        <v>803000.0000000001</v>
      </c>
    </row>
    <row r="12459">
      <c r="D12459" s="2" t="inlineStr">
        <is>
          <t>SUBTOTAL ALAT</t>
        </is>
      </c>
      <c r="F12459" s="16" t="n">
        <v>0</v>
      </c>
    </row>
    <row r="12460">
      <c r="E12460" s="2" t="inlineStr">
        <is>
          <t>TOTAL HARGA SATUAN (Inc. Overhead)</t>
        </is>
      </c>
      <c r="F12460" s="17" t="n">
        <v>1203240</v>
      </c>
    </row>
    <row r="12462">
      <c r="A12462" s="14" t="inlineStr">
        <is>
          <t>KODE: 6.1.2.10 - Pemasangan 1 Unit Pompa Transfer 500 lpm; Centrifugal End Suction</t>
        </is>
      </c>
    </row>
    <row r="12463">
      <c r="A12463" s="10" t="inlineStr">
        <is>
          <t>No</t>
        </is>
      </c>
      <c r="B12463" s="10" t="inlineStr">
        <is>
          <t>Uraian Komponen</t>
        </is>
      </c>
      <c r="C12463" s="10" t="inlineStr">
        <is>
          <t>Satuan</t>
        </is>
      </c>
      <c r="D12463" s="10" t="inlineStr">
        <is>
          <t>Koef</t>
        </is>
      </c>
      <c r="E12463" s="10" t="inlineStr">
        <is>
          <t>Harga Satuan (Rp)</t>
        </is>
      </c>
      <c r="F12463" s="10" t="inlineStr">
        <is>
          <t>Jumlah Harga (Rp)</t>
        </is>
      </c>
    </row>
    <row r="12464">
      <c r="A12464" s="3" t="inlineStr">
        <is>
          <t>1</t>
        </is>
      </c>
      <c r="B12464" s="3" t="inlineStr">
        <is>
          <t>Pekerja</t>
        </is>
      </c>
      <c r="C12464" s="3" t="inlineStr">
        <is>
          <t>OH</t>
        </is>
      </c>
      <c r="D12464" s="15" t="n">
        <v>0.729</v>
      </c>
      <c r="E12464" s="4" t="n">
        <v>100000</v>
      </c>
      <c r="F12464" s="4" t="n">
        <v>72900</v>
      </c>
    </row>
    <row r="12465">
      <c r="A12465" s="3" t="inlineStr">
        <is>
          <t>2</t>
        </is>
      </c>
      <c r="B12465" s="3" t="inlineStr">
        <is>
          <t>Tukang pipa</t>
        </is>
      </c>
      <c r="C12465" s="3" t="inlineStr">
        <is>
          <t>OH</t>
        </is>
      </c>
      <c r="D12465" s="15" t="n">
        <v>1.217</v>
      </c>
      <c r="E12465" s="4" t="n">
        <v>145000</v>
      </c>
      <c r="F12465" s="4" t="n">
        <v>176465</v>
      </c>
    </row>
    <row r="12466">
      <c r="A12466" s="3" t="inlineStr">
        <is>
          <t>3</t>
        </is>
      </c>
      <c r="B12466" s="3" t="inlineStr">
        <is>
          <t>Kepala tukang</t>
        </is>
      </c>
      <c r="C12466" s="3" t="inlineStr">
        <is>
          <t>OH</t>
        </is>
      </c>
      <c r="D12466" s="15" t="n">
        <v>0.122</v>
      </c>
      <c r="E12466" s="4" t="n">
        <v>175000</v>
      </c>
      <c r="F12466" s="4" t="n">
        <v>21350</v>
      </c>
    </row>
    <row r="12467">
      <c r="A12467" s="3" t="inlineStr">
        <is>
          <t>4</t>
        </is>
      </c>
      <c r="B12467" s="3" t="inlineStr">
        <is>
          <t>Mandor</t>
        </is>
      </c>
      <c r="C12467" s="3" t="inlineStr">
        <is>
          <t>OH</t>
        </is>
      </c>
      <c r="D12467" s="15" t="n">
        <v>0.041</v>
      </c>
      <c r="E12467" s="4" t="n">
        <v>200000</v>
      </c>
      <c r="F12467" s="4" t="n">
        <v>8200</v>
      </c>
    </row>
    <row r="12468">
      <c r="A12468" s="3" t="inlineStr">
        <is>
          <t>1</t>
        </is>
      </c>
      <c r="B12468" s="3" t="inlineStr">
        <is>
          <t>Pompa Transfer 500 lpm (Centrifugal End Suction)</t>
        </is>
      </c>
      <c r="C12468" s="3" t="inlineStr">
        <is>
          <t>unit</t>
        </is>
      </c>
      <c r="D12468" s="15" t="n">
        <v>1.05</v>
      </c>
      <c r="E12468" s="4" t="n">
        <v>5000000</v>
      </c>
      <c r="F12468" s="4" t="n">
        <v>5250000</v>
      </c>
    </row>
    <row r="12469">
      <c r="D12469" s="2" t="inlineStr">
        <is>
          <t>SUBTOTAL UPAH</t>
        </is>
      </c>
      <c r="F12469" s="16" t="n">
        <v>278915</v>
      </c>
    </row>
    <row r="12470">
      <c r="D12470" s="2" t="inlineStr">
        <is>
          <t>SUBTOTAL BAHAN</t>
        </is>
      </c>
      <c r="F12470" s="16" t="n">
        <v>5250000</v>
      </c>
    </row>
    <row r="12471">
      <c r="D12471" s="2" t="inlineStr">
        <is>
          <t>SUBTOTAL ALAT</t>
        </is>
      </c>
      <c r="F12471" s="16" t="n">
        <v>0</v>
      </c>
    </row>
    <row r="12472">
      <c r="E12472" s="2" t="inlineStr">
        <is>
          <t>TOTAL HARGA SATUAN (Inc. Overhead)</t>
        </is>
      </c>
      <c r="F12472" s="17" t="n">
        <v>6081806</v>
      </c>
    </row>
    <row r="12474">
      <c r="A12474" s="14" t="inlineStr">
        <is>
          <t>KODE: 6.1.2.11 - Pemasangan 1 Unit Pompa Transfer 50 lpm; Centrifugal End Suction</t>
        </is>
      </c>
    </row>
    <row r="12475">
      <c r="A12475" s="10" t="inlineStr">
        <is>
          <t>No</t>
        </is>
      </c>
      <c r="B12475" s="10" t="inlineStr">
        <is>
          <t>Uraian Komponen</t>
        </is>
      </c>
      <c r="C12475" s="10" t="inlineStr">
        <is>
          <t>Satuan</t>
        </is>
      </c>
      <c r="D12475" s="10" t="inlineStr">
        <is>
          <t>Koef</t>
        </is>
      </c>
      <c r="E12475" s="10" t="inlineStr">
        <is>
          <t>Harga Satuan (Rp)</t>
        </is>
      </c>
      <c r="F12475" s="10" t="inlineStr">
        <is>
          <t>Jumlah Harga (Rp)</t>
        </is>
      </c>
    </row>
    <row r="12476">
      <c r="A12476" s="3" t="inlineStr">
        <is>
          <t>1</t>
        </is>
      </c>
      <c r="B12476" s="3" t="inlineStr">
        <is>
          <t>Pekerja</t>
        </is>
      </c>
      <c r="C12476" s="3" t="inlineStr">
        <is>
          <t>OH</t>
        </is>
      </c>
      <c r="D12476" s="15" t="n">
        <v>0.583</v>
      </c>
      <c r="E12476" s="4" t="n">
        <v>100000</v>
      </c>
      <c r="F12476" s="4" t="n">
        <v>58299.99999999999</v>
      </c>
    </row>
    <row r="12477">
      <c r="A12477" s="3" t="inlineStr">
        <is>
          <t>2</t>
        </is>
      </c>
      <c r="B12477" s="3" t="inlineStr">
        <is>
          <t>Tukang pipa</t>
        </is>
      </c>
      <c r="C12477" s="3" t="inlineStr">
        <is>
          <t>OH</t>
        </is>
      </c>
      <c r="D12477" s="15" t="n">
        <v>0.974</v>
      </c>
      <c r="E12477" s="4" t="n">
        <v>145000</v>
      </c>
      <c r="F12477" s="4" t="n">
        <v>141230</v>
      </c>
    </row>
    <row r="12478">
      <c r="A12478" s="3" t="inlineStr">
        <is>
          <t>3</t>
        </is>
      </c>
      <c r="B12478" s="3" t="inlineStr">
        <is>
          <t>Kepala tukang</t>
        </is>
      </c>
      <c r="C12478" s="3" t="inlineStr">
        <is>
          <t>OH</t>
        </is>
      </c>
      <c r="D12478" s="15" t="n">
        <v>0.097</v>
      </c>
      <c r="E12478" s="4" t="n">
        <v>175000</v>
      </c>
      <c r="F12478" s="4" t="n">
        <v>16975</v>
      </c>
    </row>
    <row r="12479">
      <c r="A12479" s="3" t="inlineStr">
        <is>
          <t>4</t>
        </is>
      </c>
      <c r="B12479" s="3" t="inlineStr">
        <is>
          <t>Mandor</t>
        </is>
      </c>
      <c r="C12479" s="3" t="inlineStr">
        <is>
          <t>OH</t>
        </is>
      </c>
      <c r="D12479" s="15" t="n">
        <v>0.032</v>
      </c>
      <c r="E12479" s="4" t="n">
        <v>200000</v>
      </c>
      <c r="F12479" s="4" t="n">
        <v>6400</v>
      </c>
    </row>
    <row r="12480">
      <c r="A12480" s="3" t="inlineStr">
        <is>
          <t>1</t>
        </is>
      </c>
      <c r="B12480" s="3" t="inlineStr">
        <is>
          <t>Pompa Transfer 50 lpm (Centrifugal End Suction)</t>
        </is>
      </c>
      <c r="C12480" s="3" t="inlineStr">
        <is>
          <t>unit</t>
        </is>
      </c>
      <c r="D12480" s="15" t="n">
        <v>1.025</v>
      </c>
      <c r="E12480" s="4" t="n">
        <v>750000</v>
      </c>
      <c r="F12480" s="4" t="n">
        <v>768749.9999999999</v>
      </c>
    </row>
    <row r="12481">
      <c r="D12481" s="2" t="inlineStr">
        <is>
          <t>SUBTOTAL UPAH</t>
        </is>
      </c>
      <c r="F12481" s="16" t="n">
        <v>222905</v>
      </c>
    </row>
    <row r="12482">
      <c r="D12482" s="2" t="inlineStr">
        <is>
          <t>SUBTOTAL BAHAN</t>
        </is>
      </c>
      <c r="F12482" s="16" t="n">
        <v>768749.9999999999</v>
      </c>
    </row>
    <row r="12483">
      <c r="D12483" s="2" t="inlineStr">
        <is>
          <t>SUBTOTAL ALAT</t>
        </is>
      </c>
      <c r="F12483" s="16" t="n">
        <v>0</v>
      </c>
    </row>
    <row r="12484">
      <c r="E12484" s="2" t="inlineStr">
        <is>
          <t>TOTAL HARGA SATUAN (Inc. Overhead)</t>
        </is>
      </c>
      <c r="F12484" s="17" t="n">
        <v>1090820</v>
      </c>
    </row>
    <row r="12486">
      <c r="A12486" s="14" t="inlineStr">
        <is>
          <t>KODE: 6.1.3.1 - Pemasangan 1 unit sand filter kap. 0,1 m3 / hari</t>
        </is>
      </c>
    </row>
    <row r="12487">
      <c r="A12487" s="10" t="inlineStr">
        <is>
          <t>No</t>
        </is>
      </c>
      <c r="B12487" s="10" t="inlineStr">
        <is>
          <t>Uraian Komponen</t>
        </is>
      </c>
      <c r="C12487" s="10" t="inlineStr">
        <is>
          <t>Satuan</t>
        </is>
      </c>
      <c r="D12487" s="10" t="inlineStr">
        <is>
          <t>Koef</t>
        </is>
      </c>
      <c r="E12487" s="10" t="inlineStr">
        <is>
          <t>Harga Satuan (Rp)</t>
        </is>
      </c>
      <c r="F12487" s="10" t="inlineStr">
        <is>
          <t>Jumlah Harga (Rp)</t>
        </is>
      </c>
    </row>
    <row r="12488">
      <c r="A12488" s="3" t="inlineStr">
        <is>
          <t>1</t>
        </is>
      </c>
      <c r="B12488" s="3" t="inlineStr">
        <is>
          <t>Pekerja</t>
        </is>
      </c>
      <c r="C12488" s="3" t="inlineStr">
        <is>
          <t>OH</t>
        </is>
      </c>
      <c r="D12488" s="15" t="n">
        <v>1.104</v>
      </c>
      <c r="E12488" s="4" t="n">
        <v>100000</v>
      </c>
      <c r="F12488" s="4" t="n">
        <v>110400</v>
      </c>
    </row>
    <row r="12489">
      <c r="A12489" s="3" t="inlineStr">
        <is>
          <t>2</t>
        </is>
      </c>
      <c r="B12489" s="3" t="inlineStr">
        <is>
          <t>Tukang pipa</t>
        </is>
      </c>
      <c r="C12489" s="3" t="inlineStr">
        <is>
          <t>OH</t>
        </is>
      </c>
      <c r="D12489" s="15" t="n">
        <v>1.844</v>
      </c>
      <c r="E12489" s="4" t="n">
        <v>145000</v>
      </c>
      <c r="F12489" s="4" t="n">
        <v>267380</v>
      </c>
    </row>
    <row r="12490">
      <c r="A12490" s="3" t="inlineStr">
        <is>
          <t>3</t>
        </is>
      </c>
      <c r="B12490" s="3" t="inlineStr">
        <is>
          <t>Kepala tukang</t>
        </is>
      </c>
      <c r="C12490" s="3" t="inlineStr">
        <is>
          <t>OH</t>
        </is>
      </c>
      <c r="D12490" s="15" t="n">
        <v>0.184</v>
      </c>
      <c r="E12490" s="4" t="n">
        <v>175000</v>
      </c>
      <c r="F12490" s="4" t="n">
        <v>32200</v>
      </c>
    </row>
    <row r="12491">
      <c r="A12491" s="3" t="inlineStr">
        <is>
          <t>4</t>
        </is>
      </c>
      <c r="B12491" s="3" t="inlineStr">
        <is>
          <t>Mandor</t>
        </is>
      </c>
      <c r="C12491" s="3" t="inlineStr">
        <is>
          <t>OH</t>
        </is>
      </c>
      <c r="D12491" s="15" t="n">
        <v>0.055</v>
      </c>
      <c r="E12491" s="4" t="n">
        <v>200000</v>
      </c>
      <c r="F12491" s="4" t="n">
        <v>11000</v>
      </c>
    </row>
    <row r="12492">
      <c r="A12492" s="3" t="inlineStr">
        <is>
          <t>1</t>
        </is>
      </c>
      <c r="B12492" s="3" t="inlineStr">
        <is>
          <t>"Sand filter kap. 0 1 m3/hari"</t>
        </is>
      </c>
      <c r="C12492" s="3" t="inlineStr">
        <is>
          <t>unit</t>
        </is>
      </c>
      <c r="D12492" s="15" t="n">
        <v>1.025</v>
      </c>
      <c r="E12492" s="4" t="n">
        <v>2500000</v>
      </c>
      <c r="F12492" s="4" t="n">
        <v>2562500</v>
      </c>
    </row>
    <row r="12493">
      <c r="D12493" s="2" t="inlineStr">
        <is>
          <t>SUBTOTAL UPAH</t>
        </is>
      </c>
      <c r="F12493" s="16" t="n">
        <v>420980</v>
      </c>
    </row>
    <row r="12494">
      <c r="D12494" s="2" t="inlineStr">
        <is>
          <t>SUBTOTAL BAHAN</t>
        </is>
      </c>
      <c r="F12494" s="16" t="n">
        <v>2562500</v>
      </c>
    </row>
    <row r="12495">
      <c r="D12495" s="2" t="inlineStr">
        <is>
          <t>SUBTOTAL ALAT</t>
        </is>
      </c>
      <c r="F12495" s="16" t="n">
        <v>0</v>
      </c>
    </row>
    <row r="12496">
      <c r="E12496" s="2" t="inlineStr">
        <is>
          <t>TOTAL HARGA SATUAN (Inc. Overhead)</t>
        </is>
      </c>
      <c r="F12496" s="17" t="n">
        <v>3281828</v>
      </c>
    </row>
    <row r="12498">
      <c r="A12498" s="14" t="inlineStr">
        <is>
          <t>KODE: 6.1.3.2 - Pemasangan 1 unit sand filter kap. 14 m3 / hari</t>
        </is>
      </c>
    </row>
    <row r="12499">
      <c r="A12499" s="10" t="inlineStr">
        <is>
          <t>No</t>
        </is>
      </c>
      <c r="B12499" s="10" t="inlineStr">
        <is>
          <t>Uraian Komponen</t>
        </is>
      </c>
      <c r="C12499" s="10" t="inlineStr">
        <is>
          <t>Satuan</t>
        </is>
      </c>
      <c r="D12499" s="10" t="inlineStr">
        <is>
          <t>Koef</t>
        </is>
      </c>
      <c r="E12499" s="10" t="inlineStr">
        <is>
          <t>Harga Satuan (Rp)</t>
        </is>
      </c>
      <c r="F12499" s="10" t="inlineStr">
        <is>
          <t>Jumlah Harga (Rp)</t>
        </is>
      </c>
    </row>
    <row r="12500">
      <c r="A12500" s="3" t="inlineStr">
        <is>
          <t>1</t>
        </is>
      </c>
      <c r="B12500" s="3" t="inlineStr">
        <is>
          <t>Pekerja</t>
        </is>
      </c>
      <c r="C12500" s="3" t="inlineStr">
        <is>
          <t>OH</t>
        </is>
      </c>
      <c r="D12500" s="15" t="n">
        <v>5.625</v>
      </c>
      <c r="E12500" s="4" t="n">
        <v>100000</v>
      </c>
      <c r="F12500" s="4" t="n">
        <v>562500</v>
      </c>
    </row>
    <row r="12501">
      <c r="A12501" s="3" t="inlineStr">
        <is>
          <t>2</t>
        </is>
      </c>
      <c r="B12501" s="3" t="inlineStr">
        <is>
          <t>Tukang pipa</t>
        </is>
      </c>
      <c r="C12501" s="3" t="inlineStr">
        <is>
          <t>OH</t>
        </is>
      </c>
      <c r="D12501" s="15" t="n">
        <v>9.394</v>
      </c>
      <c r="E12501" s="4" t="n">
        <v>145000</v>
      </c>
      <c r="F12501" s="4" t="n">
        <v>1362130</v>
      </c>
    </row>
    <row r="12502">
      <c r="A12502" s="3" t="inlineStr">
        <is>
          <t>3</t>
        </is>
      </c>
      <c r="B12502" s="3" t="inlineStr">
        <is>
          <t>Kepala tukang</t>
        </is>
      </c>
      <c r="C12502" s="3" t="inlineStr">
        <is>
          <t>OH</t>
        </is>
      </c>
      <c r="D12502" s="15" t="n">
        <v>0.9389999999999999</v>
      </c>
      <c r="E12502" s="4" t="n">
        <v>175000</v>
      </c>
      <c r="F12502" s="4" t="n">
        <v>164325</v>
      </c>
    </row>
    <row r="12503">
      <c r="A12503" s="3" t="inlineStr">
        <is>
          <t>4</t>
        </is>
      </c>
      <c r="B12503" s="3" t="inlineStr">
        <is>
          <t>Mandor</t>
        </is>
      </c>
      <c r="C12503" s="3" t="inlineStr">
        <is>
          <t>OH</t>
        </is>
      </c>
      <c r="D12503" s="15" t="n">
        <v>0.282</v>
      </c>
      <c r="E12503" s="4" t="n">
        <v>200000</v>
      </c>
      <c r="F12503" s="4" t="n">
        <v>56399.99999999999</v>
      </c>
    </row>
    <row r="12504">
      <c r="A12504" s="3" t="inlineStr">
        <is>
          <t>1</t>
        </is>
      </c>
      <c r="B12504" s="3" t="inlineStr">
        <is>
          <t>Sand filter kap. 14 m3/hari</t>
        </is>
      </c>
      <c r="C12504" s="3" t="inlineStr">
        <is>
          <t>unit</t>
        </is>
      </c>
      <c r="D12504" s="15" t="n">
        <v>1.05</v>
      </c>
      <c r="E12504" s="4" t="n">
        <v>4800000</v>
      </c>
      <c r="F12504" s="4" t="n">
        <v>5040000</v>
      </c>
    </row>
    <row r="12505">
      <c r="D12505" s="2" t="inlineStr">
        <is>
          <t>SUBTOTAL UPAH</t>
        </is>
      </c>
      <c r="F12505" s="16" t="n">
        <v>2145355</v>
      </c>
    </row>
    <row r="12506">
      <c r="D12506" s="2" t="inlineStr">
        <is>
          <t>SUBTOTAL BAHAN</t>
        </is>
      </c>
      <c r="F12506" s="16" t="n">
        <v>5040000</v>
      </c>
    </row>
    <row r="12507">
      <c r="D12507" s="2" t="inlineStr">
        <is>
          <t>SUBTOTAL ALAT</t>
        </is>
      </c>
      <c r="F12507" s="16" t="n">
        <v>0</v>
      </c>
    </row>
    <row r="12508">
      <c r="E12508" s="2" t="inlineStr">
        <is>
          <t>TOTAL HARGA SATUAN (Inc. Overhead)</t>
        </is>
      </c>
      <c r="F12508" s="17" t="n">
        <v>7903890</v>
      </c>
    </row>
    <row r="12510">
      <c r="A12510" s="14" t="inlineStr">
        <is>
          <t>KODE: 6.1.3.3 - Pemasangan 1 unit carbon filter kap. 0,1 m3 / hari</t>
        </is>
      </c>
    </row>
    <row r="12511">
      <c r="A12511" s="10" t="inlineStr">
        <is>
          <t>No</t>
        </is>
      </c>
      <c r="B12511" s="10" t="inlineStr">
        <is>
          <t>Uraian Komponen</t>
        </is>
      </c>
      <c r="C12511" s="10" t="inlineStr">
        <is>
          <t>Satuan</t>
        </is>
      </c>
      <c r="D12511" s="10" t="inlineStr">
        <is>
          <t>Koef</t>
        </is>
      </c>
      <c r="E12511" s="10" t="inlineStr">
        <is>
          <t>Harga Satuan (Rp)</t>
        </is>
      </c>
      <c r="F12511" s="10" t="inlineStr">
        <is>
          <t>Jumlah Harga (Rp)</t>
        </is>
      </c>
    </row>
    <row r="12512">
      <c r="A12512" s="3" t="inlineStr">
        <is>
          <t>1</t>
        </is>
      </c>
      <c r="B12512" s="3" t="inlineStr">
        <is>
          <t>Pekerja</t>
        </is>
      </c>
      <c r="C12512" s="3" t="inlineStr">
        <is>
          <t>OH</t>
        </is>
      </c>
      <c r="D12512" s="15" t="n">
        <v>1.104</v>
      </c>
      <c r="E12512" s="4" t="n">
        <v>100000</v>
      </c>
      <c r="F12512" s="4" t="n">
        <v>110400</v>
      </c>
    </row>
    <row r="12513">
      <c r="A12513" s="3" t="inlineStr">
        <is>
          <t>2</t>
        </is>
      </c>
      <c r="B12513" s="3" t="inlineStr">
        <is>
          <t>Tukang pipa</t>
        </is>
      </c>
      <c r="C12513" s="3" t="inlineStr">
        <is>
          <t>OH</t>
        </is>
      </c>
      <c r="D12513" s="15" t="n">
        <v>1.844</v>
      </c>
      <c r="E12513" s="4" t="n">
        <v>145000</v>
      </c>
      <c r="F12513" s="4" t="n">
        <v>267380</v>
      </c>
    </row>
    <row r="12514">
      <c r="A12514" s="3" t="inlineStr">
        <is>
          <t>3</t>
        </is>
      </c>
      <c r="B12514" s="3" t="inlineStr">
        <is>
          <t>Kepala tukang</t>
        </is>
      </c>
      <c r="C12514" s="3" t="inlineStr">
        <is>
          <t>OH</t>
        </is>
      </c>
      <c r="D12514" s="15" t="n">
        <v>0.184</v>
      </c>
      <c r="E12514" s="4" t="n">
        <v>175000</v>
      </c>
      <c r="F12514" s="4" t="n">
        <v>32200</v>
      </c>
    </row>
    <row r="12515">
      <c r="A12515" s="3" t="inlineStr">
        <is>
          <t>4</t>
        </is>
      </c>
      <c r="B12515" s="3" t="inlineStr">
        <is>
          <t>Mandor</t>
        </is>
      </c>
      <c r="C12515" s="3" t="inlineStr">
        <is>
          <t>OH</t>
        </is>
      </c>
      <c r="D12515" s="15" t="n">
        <v>0.055</v>
      </c>
      <c r="E12515" s="4" t="n">
        <v>200000</v>
      </c>
      <c r="F12515" s="4" t="n">
        <v>11000</v>
      </c>
    </row>
    <row r="12516">
      <c r="A12516" s="3" t="inlineStr">
        <is>
          <t>1</t>
        </is>
      </c>
      <c r="B12516" s="3" t="inlineStr">
        <is>
          <t>"Carbon filter kap. 0 1 m3/hari"</t>
        </is>
      </c>
      <c r="C12516" s="3" t="inlineStr">
        <is>
          <t>unit</t>
        </is>
      </c>
      <c r="D12516" s="15" t="n">
        <v>1.025</v>
      </c>
      <c r="E12516" s="4" t="n">
        <v>650000</v>
      </c>
      <c r="F12516" s="4" t="n">
        <v>666250</v>
      </c>
    </row>
    <row r="12517">
      <c r="D12517" s="2" t="inlineStr">
        <is>
          <t>SUBTOTAL UPAH</t>
        </is>
      </c>
      <c r="F12517" s="16" t="n">
        <v>420980</v>
      </c>
    </row>
    <row r="12518">
      <c r="D12518" s="2" t="inlineStr">
        <is>
          <t>SUBTOTAL BAHAN</t>
        </is>
      </c>
      <c r="F12518" s="16" t="n">
        <v>666250</v>
      </c>
    </row>
    <row r="12519">
      <c r="D12519" s="2" t="inlineStr">
        <is>
          <t>SUBTOTAL ALAT</t>
        </is>
      </c>
      <c r="F12519" s="16" t="n">
        <v>0</v>
      </c>
    </row>
    <row r="12520">
      <c r="E12520" s="2" t="inlineStr">
        <is>
          <t>TOTAL HARGA SATUAN (Inc. Overhead)</t>
        </is>
      </c>
      <c r="F12520" s="17" t="n">
        <v>1195953</v>
      </c>
    </row>
    <row r="12522">
      <c r="A12522" s="14" t="inlineStr">
        <is>
          <t>KODE: 6.1.3.4 - Pemasangan 1 unit carbon filter kap. 0,6 m3 / hari</t>
        </is>
      </c>
    </row>
    <row r="12523">
      <c r="A12523" s="10" t="inlineStr">
        <is>
          <t>No</t>
        </is>
      </c>
      <c r="B12523" s="10" t="inlineStr">
        <is>
          <t>Uraian Komponen</t>
        </is>
      </c>
      <c r="C12523" s="10" t="inlineStr">
        <is>
          <t>Satuan</t>
        </is>
      </c>
      <c r="D12523" s="10" t="inlineStr">
        <is>
          <t>Koef</t>
        </is>
      </c>
      <c r="E12523" s="10" t="inlineStr">
        <is>
          <t>Harga Satuan (Rp)</t>
        </is>
      </c>
      <c r="F12523" s="10" t="inlineStr">
        <is>
          <t>Jumlah Harga (Rp)</t>
        </is>
      </c>
    </row>
    <row r="12524">
      <c r="A12524" s="3" t="inlineStr">
        <is>
          <t>1</t>
        </is>
      </c>
      <c r="B12524" s="3" t="inlineStr">
        <is>
          <t>Pekerja</t>
        </is>
      </c>
      <c r="C12524" s="3" t="inlineStr">
        <is>
          <t>OH</t>
        </is>
      </c>
      <c r="D12524" s="15" t="n">
        <v>5.625</v>
      </c>
      <c r="E12524" s="4" t="n">
        <v>100000</v>
      </c>
      <c r="F12524" s="4" t="n">
        <v>562500</v>
      </c>
    </row>
    <row r="12525">
      <c r="A12525" s="3" t="inlineStr">
        <is>
          <t>2</t>
        </is>
      </c>
      <c r="B12525" s="3" t="inlineStr">
        <is>
          <t>Tukang pipa</t>
        </is>
      </c>
      <c r="C12525" s="3" t="inlineStr">
        <is>
          <t>OH</t>
        </is>
      </c>
      <c r="D12525" s="15" t="n">
        <v>9.394</v>
      </c>
      <c r="E12525" s="4" t="n">
        <v>145000</v>
      </c>
      <c r="F12525" s="4" t="n">
        <v>1362130</v>
      </c>
    </row>
    <row r="12526">
      <c r="A12526" s="3" t="inlineStr">
        <is>
          <t>3</t>
        </is>
      </c>
      <c r="B12526" s="3" t="inlineStr">
        <is>
          <t>Kepala tukang</t>
        </is>
      </c>
      <c r="C12526" s="3" t="inlineStr">
        <is>
          <t>OH</t>
        </is>
      </c>
      <c r="D12526" s="15" t="n">
        <v>0.9389999999999999</v>
      </c>
      <c r="E12526" s="4" t="n">
        <v>175000</v>
      </c>
      <c r="F12526" s="4" t="n">
        <v>164325</v>
      </c>
    </row>
    <row r="12527">
      <c r="A12527" s="3" t="inlineStr">
        <is>
          <t>4</t>
        </is>
      </c>
      <c r="B12527" s="3" t="inlineStr">
        <is>
          <t>Mandor</t>
        </is>
      </c>
      <c r="C12527" s="3" t="inlineStr">
        <is>
          <t>OH</t>
        </is>
      </c>
      <c r="D12527" s="15" t="n">
        <v>0.282</v>
      </c>
      <c r="E12527" s="4" t="n">
        <v>200000</v>
      </c>
      <c r="F12527" s="4" t="n">
        <v>56399.99999999999</v>
      </c>
    </row>
    <row r="12528">
      <c r="A12528" s="3" t="inlineStr">
        <is>
          <t>1</t>
        </is>
      </c>
      <c r="B12528" s="3" t="inlineStr">
        <is>
          <t>"Carbon filter kap. 0 6 m3/hari"</t>
        </is>
      </c>
      <c r="C12528" s="3" t="inlineStr">
        <is>
          <t>unit</t>
        </is>
      </c>
      <c r="D12528" s="15" t="n">
        <v>1.025</v>
      </c>
      <c r="E12528" s="4" t="n">
        <v>3000000</v>
      </c>
      <c r="F12528" s="4" t="n">
        <v>3075000</v>
      </c>
    </row>
    <row r="12529">
      <c r="D12529" s="2" t="inlineStr">
        <is>
          <t>SUBTOTAL UPAH</t>
        </is>
      </c>
      <c r="F12529" s="16" t="n">
        <v>2145355</v>
      </c>
    </row>
    <row r="12530">
      <c r="D12530" s="2" t="inlineStr">
        <is>
          <t>SUBTOTAL BAHAN</t>
        </is>
      </c>
      <c r="F12530" s="16" t="n">
        <v>3075000</v>
      </c>
    </row>
    <row r="12531">
      <c r="D12531" s="2" t="inlineStr">
        <is>
          <t>SUBTOTAL ALAT</t>
        </is>
      </c>
      <c r="F12531" s="16" t="n">
        <v>0</v>
      </c>
    </row>
    <row r="12532">
      <c r="E12532" s="2" t="inlineStr">
        <is>
          <t>TOTAL HARGA SATUAN (Inc. Overhead)</t>
        </is>
      </c>
      <c r="F12532" s="17" t="n">
        <v>5742390</v>
      </c>
    </row>
    <row r="12534">
      <c r="A12534" s="14" t="inlineStr">
        <is>
          <t>KODE: 6.1.3.5 - Pemasangan 1 unit silika filter kap. 0,1 m3 / hari</t>
        </is>
      </c>
    </row>
    <row r="12535">
      <c r="A12535" s="10" t="inlineStr">
        <is>
          <t>No</t>
        </is>
      </c>
      <c r="B12535" s="10" t="inlineStr">
        <is>
          <t>Uraian Komponen</t>
        </is>
      </c>
      <c r="C12535" s="10" t="inlineStr">
        <is>
          <t>Satuan</t>
        </is>
      </c>
      <c r="D12535" s="10" t="inlineStr">
        <is>
          <t>Koef</t>
        </is>
      </c>
      <c r="E12535" s="10" t="inlineStr">
        <is>
          <t>Harga Satuan (Rp)</t>
        </is>
      </c>
      <c r="F12535" s="10" t="inlineStr">
        <is>
          <t>Jumlah Harga (Rp)</t>
        </is>
      </c>
    </row>
    <row r="12536">
      <c r="A12536" s="3" t="inlineStr">
        <is>
          <t>1</t>
        </is>
      </c>
      <c r="B12536" s="3" t="inlineStr">
        <is>
          <t>Pekerja</t>
        </is>
      </c>
      <c r="C12536" s="3" t="inlineStr">
        <is>
          <t>OH</t>
        </is>
      </c>
      <c r="D12536" s="15" t="n">
        <v>1.104</v>
      </c>
      <c r="E12536" s="4" t="n">
        <v>100000</v>
      </c>
      <c r="F12536" s="4" t="n">
        <v>110400</v>
      </c>
    </row>
    <row r="12537">
      <c r="A12537" s="3" t="inlineStr">
        <is>
          <t>2</t>
        </is>
      </c>
      <c r="B12537" s="3" t="inlineStr">
        <is>
          <t>Tukang pipa</t>
        </is>
      </c>
      <c r="C12537" s="3" t="inlineStr">
        <is>
          <t>OH</t>
        </is>
      </c>
      <c r="D12537" s="15" t="n">
        <v>1.844</v>
      </c>
      <c r="E12537" s="4" t="n">
        <v>145000</v>
      </c>
      <c r="F12537" s="4" t="n">
        <v>267380</v>
      </c>
    </row>
    <row r="12538">
      <c r="A12538" s="3" t="inlineStr">
        <is>
          <t>3</t>
        </is>
      </c>
      <c r="B12538" s="3" t="inlineStr">
        <is>
          <t>Kepala tukang</t>
        </is>
      </c>
      <c r="C12538" s="3" t="inlineStr">
        <is>
          <t>OH</t>
        </is>
      </c>
      <c r="D12538" s="15" t="n">
        <v>0.184</v>
      </c>
      <c r="E12538" s="4" t="n">
        <v>175000</v>
      </c>
      <c r="F12538" s="4" t="n">
        <v>32200</v>
      </c>
    </row>
    <row r="12539">
      <c r="A12539" s="3" t="inlineStr">
        <is>
          <t>4</t>
        </is>
      </c>
      <c r="B12539" s="3" t="inlineStr">
        <is>
          <t>Mandor</t>
        </is>
      </c>
      <c r="C12539" s="3" t="inlineStr">
        <is>
          <t>OH</t>
        </is>
      </c>
      <c r="D12539" s="15" t="n">
        <v>0.055</v>
      </c>
      <c r="E12539" s="4" t="n">
        <v>200000</v>
      </c>
      <c r="F12539" s="4" t="n">
        <v>11000</v>
      </c>
    </row>
    <row r="12540">
      <c r="A12540" s="3" t="inlineStr">
        <is>
          <t>1</t>
        </is>
      </c>
      <c r="B12540" s="3" t="inlineStr">
        <is>
          <t>"Silika filter kap. 0 1 m3/hari"</t>
        </is>
      </c>
      <c r="C12540" s="3" t="inlineStr">
        <is>
          <t>unit</t>
        </is>
      </c>
      <c r="D12540" s="15" t="n">
        <v>1.025</v>
      </c>
      <c r="E12540" s="4" t="n">
        <v>500000</v>
      </c>
      <c r="F12540" s="4" t="n">
        <v>512499.9999999999</v>
      </c>
    </row>
    <row r="12541">
      <c r="D12541" s="2" t="inlineStr">
        <is>
          <t>SUBTOTAL UPAH</t>
        </is>
      </c>
      <c r="F12541" s="16" t="n">
        <v>420980</v>
      </c>
    </row>
    <row r="12542">
      <c r="D12542" s="2" t="inlineStr">
        <is>
          <t>SUBTOTAL BAHAN</t>
        </is>
      </c>
      <c r="F12542" s="16" t="n">
        <v>512499.9999999999</v>
      </c>
    </row>
    <row r="12543">
      <c r="D12543" s="2" t="inlineStr">
        <is>
          <t>SUBTOTAL ALAT</t>
        </is>
      </c>
      <c r="F12543" s="16" t="n">
        <v>0</v>
      </c>
    </row>
    <row r="12544">
      <c r="E12544" s="2" t="inlineStr">
        <is>
          <t>TOTAL HARGA SATUAN (Inc. Overhead)</t>
        </is>
      </c>
      <c r="F12544" s="17" t="n">
        <v>1026828</v>
      </c>
    </row>
    <row r="12546">
      <c r="A12546" s="14" t="inlineStr">
        <is>
          <t>KODE: 6.1.4.1 - Pemasangan 1 set priming tank 500 liter</t>
        </is>
      </c>
    </row>
    <row r="12547">
      <c r="A12547" s="10" t="inlineStr">
        <is>
          <t>No</t>
        </is>
      </c>
      <c r="B12547" s="10" t="inlineStr">
        <is>
          <t>Uraian Komponen</t>
        </is>
      </c>
      <c r="C12547" s="10" t="inlineStr">
        <is>
          <t>Satuan</t>
        </is>
      </c>
      <c r="D12547" s="10" t="inlineStr">
        <is>
          <t>Koef</t>
        </is>
      </c>
      <c r="E12547" s="10" t="inlineStr">
        <is>
          <t>Harga Satuan (Rp)</t>
        </is>
      </c>
      <c r="F12547" s="10" t="inlineStr">
        <is>
          <t>Jumlah Harga (Rp)</t>
        </is>
      </c>
    </row>
    <row r="12548">
      <c r="A12548" s="3" t="inlineStr">
        <is>
          <t>1</t>
        </is>
      </c>
      <c r="B12548" s="3" t="inlineStr">
        <is>
          <t>Pekerja</t>
        </is>
      </c>
      <c r="C12548" s="3" t="inlineStr">
        <is>
          <t>OH</t>
        </is>
      </c>
      <c r="D12548" s="15" t="n">
        <v>0.625</v>
      </c>
      <c r="E12548" s="4" t="n">
        <v>100000</v>
      </c>
      <c r="F12548" s="4" t="n">
        <v>62500</v>
      </c>
    </row>
    <row r="12549">
      <c r="A12549" s="3" t="inlineStr">
        <is>
          <t>2</t>
        </is>
      </c>
      <c r="B12549" s="3" t="inlineStr">
        <is>
          <t>Tukang pipa</t>
        </is>
      </c>
      <c r="C12549" s="3" t="inlineStr">
        <is>
          <t>OH</t>
        </is>
      </c>
      <c r="D12549" s="15" t="n">
        <v>1.044</v>
      </c>
      <c r="E12549" s="4" t="n">
        <v>145000</v>
      </c>
      <c r="F12549" s="4" t="n">
        <v>151380</v>
      </c>
    </row>
    <row r="12550">
      <c r="A12550" s="3" t="inlineStr">
        <is>
          <t>3</t>
        </is>
      </c>
      <c r="B12550" s="3" t="inlineStr">
        <is>
          <t>Kepala tukang</t>
        </is>
      </c>
      <c r="C12550" s="3" t="inlineStr">
        <is>
          <t>OH</t>
        </is>
      </c>
      <c r="D12550" s="15" t="n">
        <v>0.104</v>
      </c>
      <c r="E12550" s="4" t="n">
        <v>175000</v>
      </c>
      <c r="F12550" s="4" t="n">
        <v>18200</v>
      </c>
    </row>
    <row r="12551">
      <c r="A12551" s="3" t="inlineStr">
        <is>
          <t>4</t>
        </is>
      </c>
      <c r="B12551" s="3" t="inlineStr">
        <is>
          <t>Mandor</t>
        </is>
      </c>
      <c r="C12551" s="3" t="inlineStr">
        <is>
          <t>OH</t>
        </is>
      </c>
      <c r="D12551" s="15" t="n">
        <v>0.031</v>
      </c>
      <c r="E12551" s="4" t="n">
        <v>200000</v>
      </c>
      <c r="F12551" s="4" t="n">
        <v>6200</v>
      </c>
    </row>
    <row r="12552">
      <c r="A12552" s="3" t="inlineStr">
        <is>
          <t>1</t>
        </is>
      </c>
      <c r="B12552" s="3" t="inlineStr">
        <is>
          <t>Priming tank fiber 500 liter</t>
        </is>
      </c>
      <c r="C12552" s="3" t="inlineStr">
        <is>
          <t>unit</t>
        </is>
      </c>
      <c r="D12552" s="15" t="n">
        <v>1.025</v>
      </c>
      <c r="E12552" s="4" t="n">
        <v>1300000</v>
      </c>
      <c r="F12552" s="4" t="n">
        <v>1332500</v>
      </c>
    </row>
    <row r="12553">
      <c r="D12553" s="2" t="inlineStr">
        <is>
          <t>SUBTOTAL UPAH</t>
        </is>
      </c>
      <c r="F12553" s="16" t="n">
        <v>238280</v>
      </c>
    </row>
    <row r="12554">
      <c r="D12554" s="2" t="inlineStr">
        <is>
          <t>SUBTOTAL BAHAN</t>
        </is>
      </c>
      <c r="F12554" s="16" t="n">
        <v>1332500</v>
      </c>
    </row>
    <row r="12555">
      <c r="D12555" s="2" t="inlineStr">
        <is>
          <t>SUBTOTAL ALAT</t>
        </is>
      </c>
      <c r="F12555" s="16" t="n">
        <v>0</v>
      </c>
    </row>
    <row r="12556">
      <c r="E12556" s="2" t="inlineStr">
        <is>
          <t>TOTAL HARGA SATUAN (Inc. Overhead)</t>
        </is>
      </c>
      <c r="F12556" s="17" t="n">
        <v>1727858</v>
      </c>
    </row>
    <row r="12558">
      <c r="A12558" s="14" t="inlineStr">
        <is>
          <t>KODE: 6.1.4.2 - Pemasangan 1 set priming tank 800 liter</t>
        </is>
      </c>
    </row>
    <row r="12559">
      <c r="A12559" s="10" t="inlineStr">
        <is>
          <t>No</t>
        </is>
      </c>
      <c r="B12559" s="10" t="inlineStr">
        <is>
          <t>Uraian Komponen</t>
        </is>
      </c>
      <c r="C12559" s="10" t="inlineStr">
        <is>
          <t>Satuan</t>
        </is>
      </c>
      <c r="D12559" s="10" t="inlineStr">
        <is>
          <t>Koef</t>
        </is>
      </c>
      <c r="E12559" s="10" t="inlineStr">
        <is>
          <t>Harga Satuan (Rp)</t>
        </is>
      </c>
      <c r="F12559" s="10" t="inlineStr">
        <is>
          <t>Jumlah Harga (Rp)</t>
        </is>
      </c>
    </row>
    <row r="12560">
      <c r="A12560" s="3" t="inlineStr">
        <is>
          <t>1</t>
        </is>
      </c>
      <c r="B12560" s="3" t="inlineStr">
        <is>
          <t>Pekerja</t>
        </is>
      </c>
      <c r="C12560" s="3" t="inlineStr">
        <is>
          <t>OH</t>
        </is>
      </c>
      <c r="D12560" s="15" t="n">
        <v>0.667</v>
      </c>
      <c r="E12560" s="4" t="n">
        <v>100000</v>
      </c>
      <c r="F12560" s="4" t="n">
        <v>66700</v>
      </c>
    </row>
    <row r="12561">
      <c r="A12561" s="3" t="inlineStr">
        <is>
          <t>2</t>
        </is>
      </c>
      <c r="B12561" s="3" t="inlineStr">
        <is>
          <t>Tukang pipa</t>
        </is>
      </c>
      <c r="C12561" s="3" t="inlineStr">
        <is>
          <t>OH</t>
        </is>
      </c>
      <c r="D12561" s="15" t="n">
        <v>1.113</v>
      </c>
      <c r="E12561" s="4" t="n">
        <v>145000</v>
      </c>
      <c r="F12561" s="4" t="n">
        <v>161385</v>
      </c>
    </row>
    <row r="12562">
      <c r="A12562" s="3" t="inlineStr">
        <is>
          <t>3</t>
        </is>
      </c>
      <c r="B12562" s="3" t="inlineStr">
        <is>
          <t>Kepala tukang</t>
        </is>
      </c>
      <c r="C12562" s="3" t="inlineStr">
        <is>
          <t>OH</t>
        </is>
      </c>
      <c r="D12562" s="15" t="n">
        <v>0.111</v>
      </c>
      <c r="E12562" s="4" t="n">
        <v>175000</v>
      </c>
      <c r="F12562" s="4" t="n">
        <v>19425</v>
      </c>
    </row>
    <row r="12563">
      <c r="A12563" s="3" t="inlineStr">
        <is>
          <t>4</t>
        </is>
      </c>
      <c r="B12563" s="3" t="inlineStr">
        <is>
          <t>Mandor</t>
        </is>
      </c>
      <c r="C12563" s="3" t="inlineStr">
        <is>
          <t>OH</t>
        </is>
      </c>
      <c r="D12563" s="15" t="n">
        <v>0.033</v>
      </c>
      <c r="E12563" s="4" t="n">
        <v>200000</v>
      </c>
      <c r="F12563" s="4" t="n">
        <v>6600</v>
      </c>
    </row>
    <row r="12564">
      <c r="A12564" s="3" t="inlineStr">
        <is>
          <t>1</t>
        </is>
      </c>
      <c r="B12564" s="3" t="inlineStr">
        <is>
          <t>Priming tank fiber 800 liter</t>
        </is>
      </c>
      <c r="C12564" s="3" t="inlineStr">
        <is>
          <t>unit</t>
        </is>
      </c>
      <c r="D12564" s="15" t="n">
        <v>1.025</v>
      </c>
      <c r="E12564" s="4" t="n">
        <v>2080000</v>
      </c>
      <c r="F12564" s="4" t="n">
        <v>2132000</v>
      </c>
    </row>
    <row r="12565">
      <c r="D12565" s="2" t="inlineStr">
        <is>
          <t>SUBTOTAL UPAH</t>
        </is>
      </c>
      <c r="F12565" s="16" t="n">
        <v>254110</v>
      </c>
    </row>
    <row r="12566">
      <c r="D12566" s="2" t="inlineStr">
        <is>
          <t>SUBTOTAL BAHAN</t>
        </is>
      </c>
      <c r="F12566" s="16" t="n">
        <v>2132000</v>
      </c>
    </row>
    <row r="12567">
      <c r="D12567" s="2" t="inlineStr">
        <is>
          <t>SUBTOTAL ALAT</t>
        </is>
      </c>
      <c r="F12567" s="16" t="n">
        <v>0</v>
      </c>
    </row>
    <row r="12568">
      <c r="E12568" s="2" t="inlineStr">
        <is>
          <t>TOTAL HARGA SATUAN (Inc. Overhead)</t>
        </is>
      </c>
      <c r="F12568" s="17" t="n">
        <v>2624721</v>
      </c>
    </row>
    <row r="12570">
      <c r="A12570" s="14" t="inlineStr">
        <is>
          <t>KODE: 6.1.4.3 - Pemasangan 1 set priming tank 1.000 liter</t>
        </is>
      </c>
    </row>
    <row r="12571">
      <c r="A12571" s="10" t="inlineStr">
        <is>
          <t>No</t>
        </is>
      </c>
      <c r="B12571" s="10" t="inlineStr">
        <is>
          <t>Uraian Komponen</t>
        </is>
      </c>
      <c r="C12571" s="10" t="inlineStr">
        <is>
          <t>Satuan</t>
        </is>
      </c>
      <c r="D12571" s="10" t="inlineStr">
        <is>
          <t>Koef</t>
        </is>
      </c>
      <c r="E12571" s="10" t="inlineStr">
        <is>
          <t>Harga Satuan (Rp)</t>
        </is>
      </c>
      <c r="F12571" s="10" t="inlineStr">
        <is>
          <t>Jumlah Harga (Rp)</t>
        </is>
      </c>
    </row>
    <row r="12572">
      <c r="A12572" s="3" t="inlineStr">
        <is>
          <t>1</t>
        </is>
      </c>
      <c r="B12572" s="3" t="inlineStr">
        <is>
          <t>Pekerja</t>
        </is>
      </c>
      <c r="C12572" s="3" t="inlineStr">
        <is>
          <t>OH</t>
        </is>
      </c>
      <c r="D12572" s="15" t="n">
        <v>0.729</v>
      </c>
      <c r="E12572" s="4" t="n">
        <v>100000</v>
      </c>
      <c r="F12572" s="4" t="n">
        <v>72900</v>
      </c>
    </row>
    <row r="12573">
      <c r="A12573" s="3" t="inlineStr">
        <is>
          <t>2</t>
        </is>
      </c>
      <c r="B12573" s="3" t="inlineStr">
        <is>
          <t>Tukang pipa</t>
        </is>
      </c>
      <c r="C12573" s="3" t="inlineStr">
        <is>
          <t>OH</t>
        </is>
      </c>
      <c r="D12573" s="15" t="n">
        <v>1.218</v>
      </c>
      <c r="E12573" s="4" t="n">
        <v>145000</v>
      </c>
      <c r="F12573" s="4" t="n">
        <v>176610</v>
      </c>
    </row>
    <row r="12574">
      <c r="A12574" s="3" t="inlineStr">
        <is>
          <t>3</t>
        </is>
      </c>
      <c r="B12574" s="3" t="inlineStr">
        <is>
          <t>Kepala tukang</t>
        </is>
      </c>
      <c r="C12574" s="3" t="inlineStr">
        <is>
          <t>OH</t>
        </is>
      </c>
      <c r="D12574" s="15" t="n">
        <v>0.122</v>
      </c>
      <c r="E12574" s="4" t="n">
        <v>175000</v>
      </c>
      <c r="F12574" s="4" t="n">
        <v>21350</v>
      </c>
    </row>
    <row r="12575">
      <c r="A12575" s="3" t="inlineStr">
        <is>
          <t>4</t>
        </is>
      </c>
      <c r="B12575" s="3" t="inlineStr">
        <is>
          <t>Mandor</t>
        </is>
      </c>
      <c r="C12575" s="3" t="inlineStr">
        <is>
          <t>OH</t>
        </is>
      </c>
      <c r="D12575" s="15" t="n">
        <v>0.037</v>
      </c>
      <c r="E12575" s="4" t="n">
        <v>200000</v>
      </c>
      <c r="F12575" s="4" t="n">
        <v>7400</v>
      </c>
    </row>
    <row r="12576">
      <c r="A12576" s="3" t="inlineStr">
        <is>
          <t>1</t>
        </is>
      </c>
      <c r="B12576" s="3" t="inlineStr">
        <is>
          <t>Priming tank fiber 1.000 liter</t>
        </is>
      </c>
      <c r="C12576" s="3" t="inlineStr">
        <is>
          <t>unit</t>
        </is>
      </c>
      <c r="D12576" s="15" t="n">
        <v>1.025</v>
      </c>
      <c r="E12576" s="4" t="n">
        <v>2850000</v>
      </c>
      <c r="F12576" s="4" t="n">
        <v>2921250</v>
      </c>
    </row>
    <row r="12577">
      <c r="D12577" s="2" t="inlineStr">
        <is>
          <t>SUBTOTAL UPAH</t>
        </is>
      </c>
      <c r="F12577" s="16" t="n">
        <v>278260</v>
      </c>
    </row>
    <row r="12578">
      <c r="D12578" s="2" t="inlineStr">
        <is>
          <t>SUBTOTAL BAHAN</t>
        </is>
      </c>
      <c r="F12578" s="16" t="n">
        <v>2921250</v>
      </c>
    </row>
    <row r="12579">
      <c r="D12579" s="2" t="inlineStr">
        <is>
          <t>SUBTOTAL ALAT</t>
        </is>
      </c>
      <c r="F12579" s="16" t="n">
        <v>0</v>
      </c>
    </row>
    <row r="12580">
      <c r="E12580" s="2" t="inlineStr">
        <is>
          <t>TOTAL HARGA SATUAN (Inc. Overhead)</t>
        </is>
      </c>
      <c r="F12580" s="17" t="n">
        <v>3519461</v>
      </c>
    </row>
    <row r="12582">
      <c r="A12582" s="14" t="inlineStr">
        <is>
          <t>KODE: 6.1.4.4 - Pemasangan 1 set priming tank 2.000 liter</t>
        </is>
      </c>
    </row>
    <row r="12583">
      <c r="A12583" s="10" t="inlineStr">
        <is>
          <t>No</t>
        </is>
      </c>
      <c r="B12583" s="10" t="inlineStr">
        <is>
          <t>Uraian Komponen</t>
        </is>
      </c>
      <c r="C12583" s="10" t="inlineStr">
        <is>
          <t>Satuan</t>
        </is>
      </c>
      <c r="D12583" s="10" t="inlineStr">
        <is>
          <t>Koef</t>
        </is>
      </c>
      <c r="E12583" s="10" t="inlineStr">
        <is>
          <t>Harga Satuan (Rp)</t>
        </is>
      </c>
      <c r="F12583" s="10" t="inlineStr">
        <is>
          <t>Jumlah Harga (Rp)</t>
        </is>
      </c>
    </row>
    <row r="12584">
      <c r="A12584" s="3" t="inlineStr">
        <is>
          <t>1</t>
        </is>
      </c>
      <c r="B12584" s="3" t="inlineStr">
        <is>
          <t>Pekerja</t>
        </is>
      </c>
      <c r="C12584" s="3" t="inlineStr">
        <is>
          <t>OH</t>
        </is>
      </c>
      <c r="D12584" s="15" t="n">
        <v>0.833</v>
      </c>
      <c r="E12584" s="4" t="n">
        <v>100000</v>
      </c>
      <c r="F12584" s="4" t="n">
        <v>83300</v>
      </c>
    </row>
    <row r="12585">
      <c r="A12585" s="3" t="inlineStr">
        <is>
          <t>2</t>
        </is>
      </c>
      <c r="B12585" s="3" t="inlineStr">
        <is>
          <t>Tukang pipa</t>
        </is>
      </c>
      <c r="C12585" s="3" t="inlineStr">
        <is>
          <t>OH</t>
        </is>
      </c>
      <c r="D12585" s="15" t="n">
        <v>1.392</v>
      </c>
      <c r="E12585" s="4" t="n">
        <v>145000</v>
      </c>
      <c r="F12585" s="4" t="n">
        <v>201840</v>
      </c>
    </row>
    <row r="12586">
      <c r="A12586" s="3" t="inlineStr">
        <is>
          <t>3</t>
        </is>
      </c>
      <c r="B12586" s="3" t="inlineStr">
        <is>
          <t>Kepala tukang</t>
        </is>
      </c>
      <c r="C12586" s="3" t="inlineStr">
        <is>
          <t>OH</t>
        </is>
      </c>
      <c r="D12586" s="15" t="n">
        <v>0.139</v>
      </c>
      <c r="E12586" s="4" t="n">
        <v>175000</v>
      </c>
      <c r="F12586" s="4" t="n">
        <v>24325</v>
      </c>
    </row>
    <row r="12587">
      <c r="A12587" s="3" t="inlineStr">
        <is>
          <t>4</t>
        </is>
      </c>
      <c r="B12587" s="3" t="inlineStr">
        <is>
          <t>Mandor</t>
        </is>
      </c>
      <c r="C12587" s="3" t="inlineStr">
        <is>
          <t>OH</t>
        </is>
      </c>
      <c r="D12587" s="15" t="n">
        <v>0.042</v>
      </c>
      <c r="E12587" s="4" t="n">
        <v>200000</v>
      </c>
      <c r="F12587" s="4" t="n">
        <v>8400</v>
      </c>
    </row>
    <row r="12588">
      <c r="A12588" s="3" t="inlineStr">
        <is>
          <t>1</t>
        </is>
      </c>
      <c r="B12588" s="3" t="inlineStr">
        <is>
          <t>Priming tank fiber 2.000 liter</t>
        </is>
      </c>
      <c r="C12588" s="3" t="inlineStr">
        <is>
          <t>unit</t>
        </is>
      </c>
      <c r="D12588" s="15" t="n">
        <v>1.025</v>
      </c>
      <c r="E12588" s="4" t="n">
        <v>4000000</v>
      </c>
      <c r="F12588" s="4" t="n">
        <v>4100000</v>
      </c>
    </row>
    <row r="12589">
      <c r="D12589" s="2" t="inlineStr">
        <is>
          <t>SUBTOTAL UPAH</t>
        </is>
      </c>
      <c r="F12589" s="16" t="n">
        <v>317865</v>
      </c>
    </row>
    <row r="12590">
      <c r="D12590" s="2" t="inlineStr">
        <is>
          <t>SUBTOTAL BAHAN</t>
        </is>
      </c>
      <c r="F12590" s="16" t="n">
        <v>4100000</v>
      </c>
    </row>
    <row r="12591">
      <c r="D12591" s="2" t="inlineStr">
        <is>
          <t>SUBTOTAL ALAT</t>
        </is>
      </c>
      <c r="F12591" s="16" t="n">
        <v>0</v>
      </c>
    </row>
    <row r="12592">
      <c r="E12592" s="2" t="inlineStr">
        <is>
          <t>TOTAL HARGA SATUAN (Inc. Overhead)</t>
        </is>
      </c>
      <c r="F12592" s="17" t="n">
        <v>4859651</v>
      </c>
    </row>
    <row r="12594">
      <c r="A12594" s="14" t="inlineStr">
        <is>
          <t>KODE: 6.1.4.5 - Pemasangan 1 set pressure tank 1.000 liter</t>
        </is>
      </c>
    </row>
    <row r="12595">
      <c r="A12595" s="10" t="inlineStr">
        <is>
          <t>No</t>
        </is>
      </c>
      <c r="B12595" s="10" t="inlineStr">
        <is>
          <t>Uraian Komponen</t>
        </is>
      </c>
      <c r="C12595" s="10" t="inlineStr">
        <is>
          <t>Satuan</t>
        </is>
      </c>
      <c r="D12595" s="10" t="inlineStr">
        <is>
          <t>Koef</t>
        </is>
      </c>
      <c r="E12595" s="10" t="inlineStr">
        <is>
          <t>Harga Satuan (Rp)</t>
        </is>
      </c>
      <c r="F12595" s="10" t="inlineStr">
        <is>
          <t>Jumlah Harga (Rp)</t>
        </is>
      </c>
    </row>
    <row r="12596">
      <c r="A12596" s="3" t="inlineStr">
        <is>
          <t>1</t>
        </is>
      </c>
      <c r="B12596" s="3" t="inlineStr">
        <is>
          <t>Pekerja</t>
        </is>
      </c>
      <c r="C12596" s="3" t="inlineStr">
        <is>
          <t>OH</t>
        </is>
      </c>
      <c r="D12596" s="15" t="n">
        <v>0.729</v>
      </c>
      <c r="E12596" s="4" t="n">
        <v>100000</v>
      </c>
      <c r="F12596" s="4" t="n">
        <v>72900</v>
      </c>
    </row>
    <row r="12597">
      <c r="A12597" s="3" t="inlineStr">
        <is>
          <t>2</t>
        </is>
      </c>
      <c r="B12597" s="3" t="inlineStr">
        <is>
          <t>Tukang pipa</t>
        </is>
      </c>
      <c r="C12597" s="3" t="inlineStr">
        <is>
          <t>OH</t>
        </is>
      </c>
      <c r="D12597" s="15" t="n">
        <v>1.218</v>
      </c>
      <c r="E12597" s="4" t="n">
        <v>145000</v>
      </c>
      <c r="F12597" s="4" t="n">
        <v>176610</v>
      </c>
    </row>
    <row r="12598">
      <c r="A12598" s="3" t="inlineStr">
        <is>
          <t>3</t>
        </is>
      </c>
      <c r="B12598" s="3" t="inlineStr">
        <is>
          <t>Kepala tukang</t>
        </is>
      </c>
      <c r="C12598" s="3" t="inlineStr">
        <is>
          <t>OH</t>
        </is>
      </c>
      <c r="D12598" s="15" t="n">
        <v>0.122</v>
      </c>
      <c r="E12598" s="4" t="n">
        <v>175000</v>
      </c>
      <c r="F12598" s="4" t="n">
        <v>21350</v>
      </c>
    </row>
    <row r="12599">
      <c r="A12599" s="3" t="inlineStr">
        <is>
          <t>4</t>
        </is>
      </c>
      <c r="B12599" s="3" t="inlineStr">
        <is>
          <t>Mandor</t>
        </is>
      </c>
      <c r="C12599" s="3" t="inlineStr">
        <is>
          <t>OH</t>
        </is>
      </c>
      <c r="D12599" s="15" t="n">
        <v>0.037</v>
      </c>
      <c r="E12599" s="4" t="n">
        <v>200000</v>
      </c>
      <c r="F12599" s="4" t="n">
        <v>7400</v>
      </c>
    </row>
    <row r="12600">
      <c r="A12600" s="3" t="inlineStr">
        <is>
          <t>1</t>
        </is>
      </c>
      <c r="B12600" s="3" t="inlineStr">
        <is>
          <t>Pressure tank 1.000 liter</t>
        </is>
      </c>
      <c r="C12600" s="3" t="inlineStr">
        <is>
          <t>unit</t>
        </is>
      </c>
      <c r="D12600" s="15" t="n">
        <v>1.025</v>
      </c>
      <c r="E12600" s="4" t="n">
        <v>17000000</v>
      </c>
      <c r="F12600" s="4" t="n">
        <v>17425000</v>
      </c>
    </row>
    <row r="12601">
      <c r="D12601" s="2" t="inlineStr">
        <is>
          <t>SUBTOTAL UPAH</t>
        </is>
      </c>
      <c r="F12601" s="16" t="n">
        <v>278260</v>
      </c>
    </row>
    <row r="12602">
      <c r="D12602" s="2" t="inlineStr">
        <is>
          <t>SUBTOTAL BAHAN</t>
        </is>
      </c>
      <c r="F12602" s="16" t="n">
        <v>17425000</v>
      </c>
    </row>
    <row r="12603">
      <c r="D12603" s="2" t="inlineStr">
        <is>
          <t>SUBTOTAL ALAT</t>
        </is>
      </c>
      <c r="F12603" s="16" t="n">
        <v>0</v>
      </c>
    </row>
    <row r="12604">
      <c r="E12604" s="2" t="inlineStr">
        <is>
          <t>TOTAL HARGA SATUAN (Inc. Overhead)</t>
        </is>
      </c>
      <c r="F12604" s="17" t="n">
        <v>19473586</v>
      </c>
    </row>
    <row r="12606">
      <c r="A12606" s="14" t="inlineStr">
        <is>
          <t>KODE: 6.2.1.1 - Pemasangan 1 set Sewage Treatment Plant (STP) fiberglass kap. 2 m3</t>
        </is>
      </c>
    </row>
    <row r="12607">
      <c r="A12607" s="10" t="inlineStr">
        <is>
          <t>No</t>
        </is>
      </c>
      <c r="B12607" s="10" t="inlineStr">
        <is>
          <t>Uraian Komponen</t>
        </is>
      </c>
      <c r="C12607" s="10" t="inlineStr">
        <is>
          <t>Satuan</t>
        </is>
      </c>
      <c r="D12607" s="10" t="inlineStr">
        <is>
          <t>Koef</t>
        </is>
      </c>
      <c r="E12607" s="10" t="inlineStr">
        <is>
          <t>Harga Satuan (Rp)</t>
        </is>
      </c>
      <c r="F12607" s="10" t="inlineStr">
        <is>
          <t>Jumlah Harga (Rp)</t>
        </is>
      </c>
    </row>
    <row r="12608">
      <c r="A12608" s="3" t="inlineStr">
        <is>
          <t>1</t>
        </is>
      </c>
      <c r="B12608" s="3" t="inlineStr">
        <is>
          <t>Pekerja OH</t>
        </is>
      </c>
      <c r="C12608" s="3" t="inlineStr">
        <is>
          <t>1.324</t>
        </is>
      </c>
      <c r="D12608" s="15" t="n">
        <v>100000</v>
      </c>
      <c r="E12608" s="4" t="n">
        <v>132400</v>
      </c>
      <c r="F12608" s="4" t="n">
        <v>0.1</v>
      </c>
    </row>
    <row r="12609">
      <c r="A12609" s="3" t="inlineStr">
        <is>
          <t>2</t>
        </is>
      </c>
      <c r="B12609" s="3" t="inlineStr">
        <is>
          <t>Tukang batu</t>
        </is>
      </c>
      <c r="C12609" s="3" t="inlineStr">
        <is>
          <t>OH</t>
        </is>
      </c>
      <c r="D12609" s="15" t="n">
        <v>2.211</v>
      </c>
      <c r="E12609" s="4" t="n">
        <v>145000</v>
      </c>
      <c r="F12609" s="4" t="n">
        <v>320595</v>
      </c>
    </row>
    <row r="12610">
      <c r="A12610" s="3" t="inlineStr">
        <is>
          <t>3</t>
        </is>
      </c>
      <c r="B12610" s="3" t="inlineStr">
        <is>
          <t>Kepala tukang</t>
        </is>
      </c>
      <c r="C12610" s="3" t="inlineStr">
        <is>
          <t>OH</t>
        </is>
      </c>
      <c r="D12610" s="15" t="n">
        <v>0.221</v>
      </c>
      <c r="E12610" s="4" t="n">
        <v>175000</v>
      </c>
      <c r="F12610" s="4" t="n">
        <v>38675</v>
      </c>
    </row>
    <row r="12611">
      <c r="A12611" s="3" t="inlineStr">
        <is>
          <t>4</t>
        </is>
      </c>
      <c r="B12611" s="3" t="inlineStr">
        <is>
          <t>Mandor</t>
        </is>
      </c>
      <c r="C12611" s="3" t="inlineStr">
        <is>
          <t>OH</t>
        </is>
      </c>
      <c r="D12611" s="15" t="n">
        <v>0.066</v>
      </c>
      <c r="E12611" s="4" t="n">
        <v>200000</v>
      </c>
      <c r="F12611" s="4" t="n">
        <v>13200</v>
      </c>
    </row>
    <row r="12612">
      <c r="A12612" s="3" t="inlineStr">
        <is>
          <t>1</t>
        </is>
      </c>
      <c r="B12612" s="3" t="inlineStr">
        <is>
          <t>Sewage Treatment Plant (STP) fiberglass kap. 2 m3</t>
        </is>
      </c>
      <c r="C12612" s="3" t="inlineStr">
        <is>
          <t>unit</t>
        </is>
      </c>
      <c r="D12612" s="15" t="n">
        <v>1.5</v>
      </c>
      <c r="E12612" s="4" t="n">
        <v>19500000</v>
      </c>
      <c r="F12612" s="4" t="n">
        <v>29250000</v>
      </c>
    </row>
    <row r="12613">
      <c r="D12613" s="2" t="inlineStr">
        <is>
          <t>SUBTOTAL UPAH</t>
        </is>
      </c>
      <c r="F12613" s="16" t="n">
        <v>504870</v>
      </c>
    </row>
    <row r="12614">
      <c r="D12614" s="2" t="inlineStr">
        <is>
          <t>SUBTOTAL BAHAN</t>
        </is>
      </c>
      <c r="F12614" s="16" t="n">
        <v>29250000</v>
      </c>
    </row>
    <row r="12615">
      <c r="D12615" s="2" t="inlineStr">
        <is>
          <t>SUBTOTAL ALAT</t>
        </is>
      </c>
      <c r="F12615" s="16" t="n">
        <v>0</v>
      </c>
    </row>
    <row r="12616">
      <c r="E12616" s="2" t="inlineStr">
        <is>
          <t>TOTAL HARGA SATUAN (Inc. Overhead)</t>
        </is>
      </c>
      <c r="F12616" s="17" t="n">
        <v>32730357</v>
      </c>
    </row>
    <row r="12618">
      <c r="A12618" s="14" t="inlineStr">
        <is>
          <t>KODE: 6.2.1.2 - Pemasangan 1 set Sewage Treatment Plant (STP) fiberglass kap. 5 m3</t>
        </is>
      </c>
    </row>
    <row r="12619">
      <c r="A12619" s="10" t="inlineStr">
        <is>
          <t>No</t>
        </is>
      </c>
      <c r="B12619" s="10" t="inlineStr">
        <is>
          <t>Uraian Komponen</t>
        </is>
      </c>
      <c r="C12619" s="10" t="inlineStr">
        <is>
          <t>Satuan</t>
        </is>
      </c>
      <c r="D12619" s="10" t="inlineStr">
        <is>
          <t>Koef</t>
        </is>
      </c>
      <c r="E12619" s="10" t="inlineStr">
        <is>
          <t>Harga Satuan (Rp)</t>
        </is>
      </c>
      <c r="F12619" s="10" t="inlineStr">
        <is>
          <t>Jumlah Harga (Rp)</t>
        </is>
      </c>
    </row>
    <row r="12620">
      <c r="A12620" s="3" t="inlineStr">
        <is>
          <t>1</t>
        </is>
      </c>
      <c r="B12620" s="3" t="inlineStr">
        <is>
          <t>Pekerja</t>
        </is>
      </c>
      <c r="C12620" s="3" t="inlineStr">
        <is>
          <t>OH</t>
        </is>
      </c>
      <c r="D12620" s="15" t="n">
        <v>3.304</v>
      </c>
      <c r="E12620" s="4" t="n">
        <v>100000</v>
      </c>
      <c r="F12620" s="4" t="n">
        <v>330400</v>
      </c>
    </row>
    <row r="12621">
      <c r="A12621" s="3" t="inlineStr">
        <is>
          <t>2</t>
        </is>
      </c>
      <c r="B12621" s="3" t="inlineStr">
        <is>
          <t>Tukang batu</t>
        </is>
      </c>
      <c r="C12621" s="3" t="inlineStr">
        <is>
          <t>OH</t>
        </is>
      </c>
      <c r="D12621" s="15" t="n">
        <v>5.518</v>
      </c>
      <c r="E12621" s="4" t="n">
        <v>145000</v>
      </c>
      <c r="F12621" s="4" t="n">
        <v>800110</v>
      </c>
    </row>
    <row r="12622">
      <c r="A12622" s="3" t="inlineStr">
        <is>
          <t>3</t>
        </is>
      </c>
      <c r="B12622" s="3" t="inlineStr">
        <is>
          <t>Kepala tukang</t>
        </is>
      </c>
      <c r="C12622" s="3" t="inlineStr">
        <is>
          <t>OH</t>
        </is>
      </c>
      <c r="D12622" s="15" t="n">
        <v>0.552</v>
      </c>
      <c r="E12622" s="4" t="n">
        <v>175000</v>
      </c>
      <c r="F12622" s="4" t="n">
        <v>96600.00000000001</v>
      </c>
    </row>
    <row r="12623">
      <c r="A12623" s="3" t="inlineStr">
        <is>
          <t>4</t>
        </is>
      </c>
      <c r="B12623" s="3" t="inlineStr">
        <is>
          <t>Mandor</t>
        </is>
      </c>
      <c r="C12623" s="3" t="inlineStr">
        <is>
          <t>OH</t>
        </is>
      </c>
      <c r="D12623" s="15" t="n">
        <v>0.166</v>
      </c>
      <c r="E12623" s="4" t="n">
        <v>200000</v>
      </c>
      <c r="F12623" s="4" t="n">
        <v>33200</v>
      </c>
    </row>
    <row r="12624">
      <c r="A12624" s="3" t="inlineStr">
        <is>
          <t>1</t>
        </is>
      </c>
      <c r="B12624" s="3" t="inlineStr">
        <is>
          <t>Sewage Treatment Plant (STP) fiberglass kap. 5 m3</t>
        </is>
      </c>
      <c r="C12624" s="3" t="inlineStr">
        <is>
          <t>unit</t>
        </is>
      </c>
      <c r="D12624" s="15" t="n">
        <v>1.5</v>
      </c>
      <c r="E12624" s="4" t="n">
        <v>33000000</v>
      </c>
      <c r="F12624" s="4" t="n">
        <v>49500000</v>
      </c>
    </row>
    <row r="12625">
      <c r="D12625" s="2" t="inlineStr">
        <is>
          <t>SUBTOTAL UPAH</t>
        </is>
      </c>
      <c r="F12625" s="16" t="n">
        <v>1260310</v>
      </c>
    </row>
    <row r="12626">
      <c r="D12626" s="2" t="inlineStr">
        <is>
          <t>SUBTOTAL BAHAN</t>
        </is>
      </c>
      <c r="F12626" s="16" t="n">
        <v>49500000</v>
      </c>
    </row>
    <row r="12627">
      <c r="D12627" s="2" t="inlineStr">
        <is>
          <t>SUBTOTAL ALAT</t>
        </is>
      </c>
      <c r="F12627" s="16" t="n">
        <v>0</v>
      </c>
    </row>
    <row r="12628">
      <c r="E12628" s="2" t="inlineStr">
        <is>
          <t>TOTAL HARGA SATUAN (Inc. Overhead)</t>
        </is>
      </c>
      <c r="F12628" s="17" t="n">
        <v>55836341</v>
      </c>
    </row>
    <row r="12630">
      <c r="A12630" s="14" t="inlineStr">
        <is>
          <t>KODE: 6.2.1.3 - Pemasangan 1 set Sewage Treatment Plant (STP) fiberglass kap. 10 m3</t>
        </is>
      </c>
    </row>
    <row r="12631">
      <c r="A12631" s="10" t="inlineStr">
        <is>
          <t>No</t>
        </is>
      </c>
      <c r="B12631" s="10" t="inlineStr">
        <is>
          <t>Uraian Komponen</t>
        </is>
      </c>
      <c r="C12631" s="10" t="inlineStr">
        <is>
          <t>Satuan</t>
        </is>
      </c>
      <c r="D12631" s="10" t="inlineStr">
        <is>
          <t>Koef</t>
        </is>
      </c>
      <c r="E12631" s="10" t="inlineStr">
        <is>
          <t>Harga Satuan (Rp)</t>
        </is>
      </c>
      <c r="F12631" s="10" t="inlineStr">
        <is>
          <t>Jumlah Harga (Rp)</t>
        </is>
      </c>
    </row>
    <row r="12632">
      <c r="A12632" s="3" t="inlineStr">
        <is>
          <t>1</t>
        </is>
      </c>
      <c r="B12632" s="3" t="inlineStr">
        <is>
          <t>Pekerja</t>
        </is>
      </c>
      <c r="C12632" s="3" t="inlineStr">
        <is>
          <t>OH</t>
        </is>
      </c>
      <c r="D12632" s="15" t="n">
        <v>6.667</v>
      </c>
      <c r="E12632" s="4" t="n">
        <v>100000</v>
      </c>
      <c r="F12632" s="4" t="n">
        <v>666700</v>
      </c>
    </row>
    <row r="12633">
      <c r="A12633" s="3" t="inlineStr">
        <is>
          <t>2</t>
        </is>
      </c>
      <c r="B12633" s="3" t="inlineStr">
        <is>
          <t>Tukang batu</t>
        </is>
      </c>
      <c r="C12633" s="3" t="inlineStr">
        <is>
          <t>OH</t>
        </is>
      </c>
      <c r="D12633" s="15" t="n">
        <v>11.133</v>
      </c>
      <c r="E12633" s="4" t="n">
        <v>145000</v>
      </c>
      <c r="F12633" s="4" t="n">
        <v>1614285</v>
      </c>
    </row>
    <row r="12634">
      <c r="A12634" s="3" t="inlineStr">
        <is>
          <t>3</t>
        </is>
      </c>
      <c r="B12634" s="3" t="inlineStr">
        <is>
          <t>Kepala tukang</t>
        </is>
      </c>
      <c r="C12634" s="3" t="inlineStr">
        <is>
          <t>OH</t>
        </is>
      </c>
      <c r="D12634" s="15" t="n">
        <v>1.113</v>
      </c>
      <c r="E12634" s="4" t="n">
        <v>175000</v>
      </c>
      <c r="F12634" s="4" t="n">
        <v>194775</v>
      </c>
    </row>
    <row r="12635">
      <c r="A12635" s="3" t="inlineStr">
        <is>
          <t>4</t>
        </is>
      </c>
      <c r="B12635" s="3" t="inlineStr">
        <is>
          <t>Mandor</t>
        </is>
      </c>
      <c r="C12635" s="3" t="inlineStr">
        <is>
          <t>OH</t>
        </is>
      </c>
      <c r="D12635" s="15" t="n">
        <v>0.334</v>
      </c>
      <c r="E12635" s="4" t="n">
        <v>200000</v>
      </c>
      <c r="F12635" s="4" t="n">
        <v>66800</v>
      </c>
    </row>
    <row r="12636">
      <c r="A12636" s="3" t="inlineStr">
        <is>
          <t>1</t>
        </is>
      </c>
      <c r="B12636" s="3" t="inlineStr">
        <is>
          <t>Sewage Treatment Plant (STP) fiberglass kap. 10 m3</t>
        </is>
      </c>
      <c r="C12636" s="3" t="inlineStr">
        <is>
          <t>unit</t>
        </is>
      </c>
      <c r="D12636" s="15" t="n">
        <v>1.5</v>
      </c>
      <c r="E12636" s="4" t="n">
        <v>53200000</v>
      </c>
      <c r="F12636" s="4" t="n">
        <v>79800000</v>
      </c>
    </row>
    <row r="12637">
      <c r="D12637" s="2" t="inlineStr">
        <is>
          <t>SUBTOTAL UPAH</t>
        </is>
      </c>
      <c r="F12637" s="16" t="n">
        <v>2542560</v>
      </c>
    </row>
    <row r="12638">
      <c r="D12638" s="2" t="inlineStr">
        <is>
          <t>SUBTOTAL BAHAN</t>
        </is>
      </c>
      <c r="F12638" s="16" t="n">
        <v>79800000</v>
      </c>
    </row>
    <row r="12639">
      <c r="D12639" s="2" t="inlineStr">
        <is>
          <t>SUBTOTAL ALAT</t>
        </is>
      </c>
      <c r="F12639" s="16" t="n">
        <v>0</v>
      </c>
    </row>
    <row r="12640">
      <c r="E12640" s="2" t="inlineStr">
        <is>
          <t>TOTAL HARGA SATUAN (Inc. Overhead)</t>
        </is>
      </c>
      <c r="F12640" s="17" t="n">
        <v>90576816</v>
      </c>
    </row>
    <row r="12642">
      <c r="A12642" s="14" t="inlineStr">
        <is>
          <t>KODE: 6.2.1.4 - Pemasangan 1 set Sewage Treatment Plant (STP) fiberglass kap. 30 m3</t>
        </is>
      </c>
    </row>
    <row r="12643">
      <c r="A12643" s="10" t="inlineStr">
        <is>
          <t>No</t>
        </is>
      </c>
      <c r="B12643" s="10" t="inlineStr">
        <is>
          <t>Uraian Komponen</t>
        </is>
      </c>
      <c r="C12643" s="10" t="inlineStr">
        <is>
          <t>Satuan</t>
        </is>
      </c>
      <c r="D12643" s="10" t="inlineStr">
        <is>
          <t>Koef</t>
        </is>
      </c>
      <c r="E12643" s="10" t="inlineStr">
        <is>
          <t>Harga Satuan (Rp)</t>
        </is>
      </c>
      <c r="F12643" s="10" t="inlineStr">
        <is>
          <t>Jumlah Harga (Rp)</t>
        </is>
      </c>
    </row>
    <row r="12644">
      <c r="A12644" s="3" t="inlineStr">
        <is>
          <t>1</t>
        </is>
      </c>
      <c r="B12644" s="3" t="inlineStr">
        <is>
          <t>Pekerja</t>
        </is>
      </c>
      <c r="C12644" s="3" t="inlineStr">
        <is>
          <t>OH</t>
        </is>
      </c>
      <c r="D12644" s="15" t="n">
        <v>19.896</v>
      </c>
      <c r="E12644" s="4" t="n">
        <v>100000</v>
      </c>
      <c r="F12644" s="4" t="n">
        <v>1989600</v>
      </c>
    </row>
    <row r="12645">
      <c r="A12645" s="3" t="inlineStr">
        <is>
          <t>2</t>
        </is>
      </c>
      <c r="B12645" s="3" t="inlineStr">
        <is>
          <t>Tukang batu</t>
        </is>
      </c>
      <c r="C12645" s="3" t="inlineStr">
        <is>
          <t>OH</t>
        </is>
      </c>
      <c r="D12645" s="15" t="n">
        <v>33.226</v>
      </c>
      <c r="E12645" s="4" t="n">
        <v>145000</v>
      </c>
      <c r="F12645" s="4" t="n">
        <v>4817770</v>
      </c>
    </row>
    <row r="12646">
      <c r="A12646" s="3" t="inlineStr">
        <is>
          <t>3</t>
        </is>
      </c>
      <c r="B12646" s="3" t="inlineStr">
        <is>
          <t>Kepala tukang</t>
        </is>
      </c>
      <c r="C12646" s="3" t="inlineStr">
        <is>
          <t>OH</t>
        </is>
      </c>
      <c r="D12646" s="15" t="n">
        <v>3.323</v>
      </c>
      <c r="E12646" s="4" t="n">
        <v>175000</v>
      </c>
      <c r="F12646" s="4" t="n">
        <v>581525</v>
      </c>
    </row>
    <row r="12647">
      <c r="A12647" s="3" t="inlineStr">
        <is>
          <t>4</t>
        </is>
      </c>
      <c r="B12647" s="3" t="inlineStr">
        <is>
          <t>Mandor</t>
        </is>
      </c>
      <c r="C12647" s="3" t="inlineStr">
        <is>
          <t>OH</t>
        </is>
      </c>
      <c r="D12647" s="15" t="n">
        <v>0.997</v>
      </c>
      <c r="E12647" s="4" t="n">
        <v>200000</v>
      </c>
      <c r="F12647" s="4" t="n">
        <v>199400</v>
      </c>
    </row>
    <row r="12648">
      <c r="A12648" s="3" t="inlineStr">
        <is>
          <t>1</t>
        </is>
      </c>
      <c r="B12648" s="3" t="inlineStr">
        <is>
          <t>Sewage Treatment Plant (STP) fiberglass kap. 30 m3</t>
        </is>
      </c>
      <c r="C12648" s="3" t="inlineStr">
        <is>
          <t>unit</t>
        </is>
      </c>
      <c r="D12648" s="15" t="n">
        <v>1.5</v>
      </c>
      <c r="E12648" s="4" t="n">
        <v>100000000</v>
      </c>
      <c r="F12648" s="4" t="n">
        <v>150000000</v>
      </c>
    </row>
    <row r="12649">
      <c r="D12649" s="2" t="inlineStr">
        <is>
          <t>SUBTOTAL UPAH</t>
        </is>
      </c>
      <c r="F12649" s="16" t="n">
        <v>7588295</v>
      </c>
    </row>
    <row r="12650">
      <c r="D12650" s="2" t="inlineStr">
        <is>
          <t>SUBTOTAL BAHAN</t>
        </is>
      </c>
      <c r="F12650" s="16" t="n">
        <v>150000000</v>
      </c>
    </row>
    <row r="12651">
      <c r="D12651" s="2" t="inlineStr">
        <is>
          <t>SUBTOTAL ALAT</t>
        </is>
      </c>
      <c r="F12651" s="16" t="n">
        <v>0</v>
      </c>
    </row>
    <row r="12652">
      <c r="E12652" s="2" t="inlineStr">
        <is>
          <t>TOTAL HARGA SATUAN (Inc. Overhead)</t>
        </is>
      </c>
      <c r="F12652" s="17" t="n">
        <v>173347124</v>
      </c>
    </row>
    <row r="12654">
      <c r="A12654" s="14" t="inlineStr">
        <is>
          <t>KODE: 6.2.1.5 - Pemasangan 1 set Sewage Treatment Plant (STP) precast kap. 30 m3</t>
        </is>
      </c>
    </row>
    <row r="12655">
      <c r="A12655" s="10" t="inlineStr">
        <is>
          <t>No</t>
        </is>
      </c>
      <c r="B12655" s="10" t="inlineStr">
        <is>
          <t>Uraian Komponen</t>
        </is>
      </c>
      <c r="C12655" s="10" t="inlineStr">
        <is>
          <t>Satuan</t>
        </is>
      </c>
      <c r="D12655" s="10" t="inlineStr">
        <is>
          <t>Koef</t>
        </is>
      </c>
      <c r="E12655" s="10" t="inlineStr">
        <is>
          <t>Harga Satuan (Rp)</t>
        </is>
      </c>
      <c r="F12655" s="10" t="inlineStr">
        <is>
          <t>Jumlah Harga (Rp)</t>
        </is>
      </c>
    </row>
    <row r="12656">
      <c r="A12656" s="3" t="inlineStr">
        <is>
          <t>1</t>
        </is>
      </c>
      <c r="B12656" s="3" t="inlineStr">
        <is>
          <t>Pekerja</t>
        </is>
      </c>
      <c r="C12656" s="3" t="inlineStr">
        <is>
          <t>OH</t>
        </is>
      </c>
      <c r="D12656" s="15" t="n">
        <v>28.646</v>
      </c>
      <c r="E12656" s="4" t="n">
        <v>100000</v>
      </c>
      <c r="F12656" s="4" t="n">
        <v>2864600</v>
      </c>
    </row>
    <row r="12657">
      <c r="A12657" s="3" t="inlineStr">
        <is>
          <t>2</t>
        </is>
      </c>
      <c r="B12657" s="3" t="inlineStr">
        <is>
          <t>Tukang batu</t>
        </is>
      </c>
      <c r="C12657" s="3" t="inlineStr">
        <is>
          <t>OH</t>
        </is>
      </c>
      <c r="D12657" s="15" t="n">
        <v>47.839</v>
      </c>
      <c r="E12657" s="4" t="n">
        <v>145000</v>
      </c>
      <c r="F12657" s="4" t="n">
        <v>6936655</v>
      </c>
    </row>
    <row r="12658">
      <c r="A12658" s="3" t="inlineStr">
        <is>
          <t>3</t>
        </is>
      </c>
      <c r="B12658" s="3" t="inlineStr">
        <is>
          <t>Kepala tukang</t>
        </is>
      </c>
      <c r="C12658" s="3" t="inlineStr">
        <is>
          <t>OH</t>
        </is>
      </c>
      <c r="D12658" s="15" t="n">
        <v>4.784</v>
      </c>
      <c r="E12658" s="4" t="n">
        <v>175000</v>
      </c>
      <c r="F12658" s="4" t="n">
        <v>837200</v>
      </c>
    </row>
    <row r="12659">
      <c r="A12659" s="3" t="inlineStr">
        <is>
          <t>4</t>
        </is>
      </c>
      <c r="B12659" s="3" t="inlineStr">
        <is>
          <t>Mandor</t>
        </is>
      </c>
      <c r="C12659" s="3" t="inlineStr">
        <is>
          <t>OH</t>
        </is>
      </c>
      <c r="D12659" s="15" t="n">
        <v>1.435</v>
      </c>
      <c r="E12659" s="4" t="n">
        <v>200000</v>
      </c>
      <c r="F12659" s="4" t="n">
        <v>287000</v>
      </c>
    </row>
    <row r="12660">
      <c r="A12660" s="3" t="inlineStr">
        <is>
          <t>1</t>
        </is>
      </c>
      <c r="B12660" s="3" t="inlineStr">
        <is>
          <t>Sewage Treatment Plant (STP) precast kap. 30 m3</t>
        </is>
      </c>
      <c r="C12660" s="3" t="inlineStr">
        <is>
          <t>unit</t>
        </is>
      </c>
      <c r="D12660" s="15" t="n">
        <v>1.1</v>
      </c>
      <c r="E12660" s="4" t="n">
        <v>84000000</v>
      </c>
      <c r="F12660" s="4" t="n">
        <v>92400000.00000001</v>
      </c>
    </row>
    <row r="12661">
      <c r="D12661" s="2" t="inlineStr">
        <is>
          <t>SUBTOTAL UPAH</t>
        </is>
      </c>
      <c r="F12661" s="16" t="n">
        <v>10925455</v>
      </c>
    </row>
    <row r="12662">
      <c r="D12662" s="2" t="inlineStr">
        <is>
          <t>SUBTOTAL BAHAN</t>
        </is>
      </c>
      <c r="F12662" s="16" t="n">
        <v>92400000.00000001</v>
      </c>
    </row>
    <row r="12663">
      <c r="D12663" s="2" t="inlineStr">
        <is>
          <t>SUBTOTAL ALAT</t>
        </is>
      </c>
      <c r="F12663" s="16" t="n">
        <v>0</v>
      </c>
    </row>
    <row r="12664">
      <c r="E12664" s="2" t="inlineStr">
        <is>
          <t>TOTAL HARGA SATUAN (Inc. Overhead)</t>
        </is>
      </c>
      <c r="F12664" s="17" t="n">
        <v>113658000</v>
      </c>
    </row>
    <row r="12666">
      <c r="A12666" s="14" t="inlineStr">
        <is>
          <t>KODE: 6.2.1.6 - Pemasangan 1 set Sewage Treatment Plant (STP) Fiberglass kap. 1 m3</t>
        </is>
      </c>
    </row>
    <row r="12667">
      <c r="A12667" s="10" t="inlineStr">
        <is>
          <t>No</t>
        </is>
      </c>
      <c r="B12667" s="10" t="inlineStr">
        <is>
          <t>Uraian Komponen</t>
        </is>
      </c>
      <c r="C12667" s="10" t="inlineStr">
        <is>
          <t>Satuan</t>
        </is>
      </c>
      <c r="D12667" s="10" t="inlineStr">
        <is>
          <t>Koef</t>
        </is>
      </c>
      <c r="E12667" s="10" t="inlineStr">
        <is>
          <t>Harga Satuan (Rp)</t>
        </is>
      </c>
      <c r="F12667" s="10" t="inlineStr">
        <is>
          <t>Jumlah Harga (Rp)</t>
        </is>
      </c>
    </row>
    <row r="12668">
      <c r="A12668" s="3" t="inlineStr">
        <is>
          <t>1</t>
        </is>
      </c>
      <c r="B12668" s="3" t="inlineStr">
        <is>
          <t>Pekerja</t>
        </is>
      </c>
      <c r="C12668" s="3" t="inlineStr">
        <is>
          <t>OH</t>
        </is>
      </c>
      <c r="D12668" s="15" t="n">
        <v>0.662</v>
      </c>
      <c r="E12668" s="4" t="n">
        <v>100000</v>
      </c>
      <c r="F12668" s="4" t="n">
        <v>66200</v>
      </c>
    </row>
    <row r="12669">
      <c r="A12669" s="3" t="inlineStr">
        <is>
          <t>2</t>
        </is>
      </c>
      <c r="B12669" s="3" t="inlineStr">
        <is>
          <t>Tukang batu</t>
        </is>
      </c>
      <c r="C12669" s="3" t="inlineStr">
        <is>
          <t>OH</t>
        </is>
      </c>
      <c r="D12669" s="15" t="n">
        <v>1.105</v>
      </c>
      <c r="E12669" s="4" t="n">
        <v>145000</v>
      </c>
      <c r="F12669" s="4" t="n">
        <v>160225</v>
      </c>
    </row>
    <row r="12670">
      <c r="A12670" s="3" t="inlineStr">
        <is>
          <t>3</t>
        </is>
      </c>
      <c r="B12670" s="3" t="inlineStr">
        <is>
          <t>Kepala tukang</t>
        </is>
      </c>
      <c r="C12670" s="3" t="inlineStr">
        <is>
          <t>OH</t>
        </is>
      </c>
      <c r="D12670" s="15" t="n">
        <v>0.111</v>
      </c>
      <c r="E12670" s="4" t="n">
        <v>175000</v>
      </c>
      <c r="F12670" s="4" t="n">
        <v>19425</v>
      </c>
    </row>
    <row r="12671">
      <c r="A12671" s="3" t="inlineStr">
        <is>
          <t>4</t>
        </is>
      </c>
      <c r="B12671" s="3" t="inlineStr">
        <is>
          <t>Mandor</t>
        </is>
      </c>
      <c r="C12671" s="3" t="inlineStr">
        <is>
          <t>OH</t>
        </is>
      </c>
      <c r="D12671" s="15" t="n">
        <v>0.033</v>
      </c>
      <c r="E12671" s="4" t="n">
        <v>200000</v>
      </c>
      <c r="F12671" s="4" t="n">
        <v>6600</v>
      </c>
    </row>
    <row r="12672">
      <c r="A12672" s="3" t="inlineStr">
        <is>
          <t>1</t>
        </is>
      </c>
      <c r="B12672" s="3" t="inlineStr">
        <is>
          <t>Sewage Treatment Plant (STP) Fiberglass kap. 30 m3</t>
        </is>
      </c>
      <c r="C12672" s="3" t="inlineStr">
        <is>
          <t>unit</t>
        </is>
      </c>
      <c r="D12672" s="15" t="n">
        <v>1.5</v>
      </c>
      <c r="E12672" s="4" t="n">
        <v>100000000</v>
      </c>
      <c r="F12672" s="4" t="n">
        <v>150000000</v>
      </c>
    </row>
    <row r="12673">
      <c r="D12673" s="2" t="inlineStr">
        <is>
          <t>SUBTOTAL UPAH</t>
        </is>
      </c>
      <c r="F12673" s="16" t="n">
        <v>252450</v>
      </c>
    </row>
    <row r="12674">
      <c r="D12674" s="2" t="inlineStr">
        <is>
          <t>SUBTOTAL BAHAN</t>
        </is>
      </c>
      <c r="F12674" s="16" t="n">
        <v>150000000</v>
      </c>
    </row>
    <row r="12675">
      <c r="D12675" s="2" t="inlineStr">
        <is>
          <t>SUBTOTAL ALAT</t>
        </is>
      </c>
      <c r="F12675" s="16" t="n">
        <v>0</v>
      </c>
    </row>
    <row r="12676">
      <c r="E12676" s="2" t="inlineStr">
        <is>
          <t>TOTAL HARGA SATUAN (Inc. Overhead)</t>
        </is>
      </c>
      <c r="F12676" s="17" t="n">
        <v>165277695</v>
      </c>
    </row>
    <row r="12678">
      <c r="A12678" s="14" t="inlineStr">
        <is>
          <t>KODE: 6.2.1.7 - Pemasangan 1 Set BioFilter Anaerobic Aerobic Clarifier Packed Kap. 50 m3</t>
        </is>
      </c>
    </row>
    <row r="12679">
      <c r="A12679" s="10" t="inlineStr">
        <is>
          <t>No</t>
        </is>
      </c>
      <c r="B12679" s="10" t="inlineStr">
        <is>
          <t>Uraian Komponen</t>
        </is>
      </c>
      <c r="C12679" s="10" t="inlineStr">
        <is>
          <t>Satuan</t>
        </is>
      </c>
      <c r="D12679" s="10" t="inlineStr">
        <is>
          <t>Koef</t>
        </is>
      </c>
      <c r="E12679" s="10" t="inlineStr">
        <is>
          <t>Harga Satuan (Rp)</t>
        </is>
      </c>
      <c r="F12679" s="10" t="inlineStr">
        <is>
          <t>Jumlah Harga (Rp)</t>
        </is>
      </c>
    </row>
    <row r="12680">
      <c r="A12680" s="3" t="inlineStr">
        <is>
          <t>1</t>
        </is>
      </c>
      <c r="B12680" s="3" t="inlineStr">
        <is>
          <t>Pekerja</t>
        </is>
      </c>
      <c r="C12680" s="3" t="inlineStr">
        <is>
          <t>OH</t>
        </is>
      </c>
      <c r="D12680" s="15" t="n">
        <v>19.895</v>
      </c>
      <c r="E12680" s="4" t="n">
        <v>100000</v>
      </c>
      <c r="F12680" s="4" t="n">
        <v>1989500</v>
      </c>
    </row>
    <row r="12681">
      <c r="A12681" s="3" t="inlineStr">
        <is>
          <t>2</t>
        </is>
      </c>
      <c r="B12681" s="3" t="inlineStr">
        <is>
          <t>Tukang batu</t>
        </is>
      </c>
      <c r="C12681" s="3" t="inlineStr">
        <is>
          <t>OH</t>
        </is>
      </c>
      <c r="D12681" s="15" t="n">
        <v>33.225</v>
      </c>
      <c r="E12681" s="4" t="n">
        <v>145000</v>
      </c>
      <c r="F12681" s="4" t="n">
        <v>4817625</v>
      </c>
    </row>
    <row r="12682">
      <c r="A12682" s="3" t="inlineStr">
        <is>
          <t>3</t>
        </is>
      </c>
      <c r="B12682" s="3" t="inlineStr">
        <is>
          <t>Kepala tukang</t>
        </is>
      </c>
      <c r="C12682" s="3" t="inlineStr">
        <is>
          <t>OH</t>
        </is>
      </c>
      <c r="D12682" s="15" t="n">
        <v>3.323</v>
      </c>
      <c r="E12682" s="4" t="n">
        <v>175000</v>
      </c>
      <c r="F12682" s="4" t="n">
        <v>581525</v>
      </c>
    </row>
    <row r="12683">
      <c r="A12683" s="3" t="inlineStr">
        <is>
          <t>4</t>
        </is>
      </c>
      <c r="B12683" s="3" t="inlineStr">
        <is>
          <t>Mandor</t>
        </is>
      </c>
      <c r="C12683" s="3" t="inlineStr">
        <is>
          <t>OH</t>
        </is>
      </c>
      <c r="D12683" s="15" t="n">
        <v>1.108</v>
      </c>
      <c r="E12683" s="4" t="n">
        <v>200000</v>
      </c>
      <c r="F12683" s="4" t="n">
        <v>221600</v>
      </c>
    </row>
    <row r="12684">
      <c r="A12684" s="3" t="inlineStr">
        <is>
          <t>1</t>
        </is>
      </c>
      <c r="B12684" s="3" t="inlineStr">
        <is>
          <t>BioFilter Anaerobic Aerobic Clarifier Packed Kap. 50 m3</t>
        </is>
      </c>
      <c r="C12684" s="3" t="inlineStr">
        <is>
          <t>unit</t>
        </is>
      </c>
      <c r="D12684" s="15" t="n">
        <v>1.05</v>
      </c>
      <c r="E12684" s="4" t="n">
        <v>280000000</v>
      </c>
      <c r="F12684" s="4" t="n">
        <v>294000000</v>
      </c>
    </row>
    <row r="12685">
      <c r="D12685" s="2" t="inlineStr">
        <is>
          <t>SUBTOTAL UPAH</t>
        </is>
      </c>
      <c r="F12685" s="16" t="n">
        <v>7610250</v>
      </c>
    </row>
    <row r="12686">
      <c r="D12686" s="2" t="inlineStr">
        <is>
          <t>SUBTOTAL BAHAN</t>
        </is>
      </c>
      <c r="F12686" s="16" t="n">
        <v>294000000</v>
      </c>
    </row>
    <row r="12687">
      <c r="D12687" s="2" t="inlineStr">
        <is>
          <t>SUBTOTAL ALAT</t>
        </is>
      </c>
      <c r="F12687" s="16" t="n">
        <v>0</v>
      </c>
    </row>
    <row r="12688">
      <c r="E12688" s="2" t="inlineStr">
        <is>
          <t>TOTAL HARGA SATUAN (Inc. Overhead)</t>
        </is>
      </c>
      <c r="F12688" s="17" t="n">
        <v>331771275</v>
      </c>
    </row>
    <row r="12690">
      <c r="A12690" s="14" t="inlineStr">
        <is>
          <t>KODE: 6.2.2.1 - Pemasangan 1 unit pompa sump pit air kotor 100 m3/jam, submersible cutter pump</t>
        </is>
      </c>
    </row>
    <row r="12691">
      <c r="A12691" s="10" t="inlineStr">
        <is>
          <t>No</t>
        </is>
      </c>
      <c r="B12691" s="10" t="inlineStr">
        <is>
          <t>Uraian Komponen</t>
        </is>
      </c>
      <c r="C12691" s="10" t="inlineStr">
        <is>
          <t>Satuan</t>
        </is>
      </c>
      <c r="D12691" s="10" t="inlineStr">
        <is>
          <t>Koef</t>
        </is>
      </c>
      <c r="E12691" s="10" t="inlineStr">
        <is>
          <t>Harga Satuan (Rp)</t>
        </is>
      </c>
      <c r="F12691" s="10" t="inlineStr">
        <is>
          <t>Jumlah Harga (Rp)</t>
        </is>
      </c>
    </row>
    <row r="12692">
      <c r="A12692" s="3" t="inlineStr">
        <is>
          <t>1</t>
        </is>
      </c>
      <c r="B12692" s="3" t="inlineStr">
        <is>
          <t>Pekerja</t>
        </is>
      </c>
      <c r="C12692" s="3" t="inlineStr">
        <is>
          <t>OH</t>
        </is>
      </c>
      <c r="D12692" s="15" t="n">
        <v>0.442</v>
      </c>
      <c r="E12692" s="4" t="n">
        <v>100000</v>
      </c>
      <c r="F12692" s="4" t="n">
        <v>44200</v>
      </c>
    </row>
    <row r="12693">
      <c r="A12693" s="3" t="inlineStr">
        <is>
          <t>2</t>
        </is>
      </c>
      <c r="B12693" s="3" t="inlineStr">
        <is>
          <t>Tukang batu</t>
        </is>
      </c>
      <c r="C12693" s="3" t="inlineStr">
        <is>
          <t>OH</t>
        </is>
      </c>
      <c r="D12693" s="15" t="n">
        <v>0.738</v>
      </c>
      <c r="E12693" s="4" t="n">
        <v>145000</v>
      </c>
      <c r="F12693" s="4" t="n">
        <v>107010</v>
      </c>
    </row>
    <row r="12694">
      <c r="A12694" s="3" t="inlineStr">
        <is>
          <t>3</t>
        </is>
      </c>
      <c r="B12694" s="3" t="inlineStr">
        <is>
          <t>Kepala tukang</t>
        </is>
      </c>
      <c r="C12694" s="3" t="inlineStr">
        <is>
          <t>OH</t>
        </is>
      </c>
      <c r="D12694" s="15" t="n">
        <v>0.074</v>
      </c>
      <c r="E12694" s="4" t="n">
        <v>175000</v>
      </c>
      <c r="F12694" s="4" t="n">
        <v>12950</v>
      </c>
    </row>
    <row r="12695">
      <c r="A12695" s="3" t="inlineStr">
        <is>
          <t>4</t>
        </is>
      </c>
      <c r="B12695" s="3" t="inlineStr">
        <is>
          <t>Mandor</t>
        </is>
      </c>
      <c r="C12695" s="3" t="inlineStr">
        <is>
          <t>OH</t>
        </is>
      </c>
      <c r="D12695" s="15" t="n">
        <v>0.022</v>
      </c>
      <c r="E12695" s="4" t="n">
        <v>200000</v>
      </c>
      <c r="F12695" s="4" t="n">
        <v>4400</v>
      </c>
    </row>
    <row r="12696">
      <c r="A12696" s="3" t="inlineStr">
        <is>
          <t>1</t>
        </is>
      </c>
      <c r="B12696" s="3" t="inlineStr">
        <is>
          <t>Submersible cutter pump kap. 100 lpm</t>
        </is>
      </c>
      <c r="C12696" s="3" t="inlineStr">
        <is>
          <t>unit</t>
        </is>
      </c>
      <c r="D12696" s="15" t="n">
        <v>1.025</v>
      </c>
      <c r="E12696" s="4" t="n">
        <v>8500000</v>
      </c>
      <c r="F12696" s="4" t="n">
        <v>8712500</v>
      </c>
    </row>
    <row r="12697">
      <c r="D12697" s="2" t="inlineStr">
        <is>
          <t>SUBTOTAL UPAH</t>
        </is>
      </c>
      <c r="F12697" s="16" t="n">
        <v>168560</v>
      </c>
    </row>
    <row r="12698">
      <c r="D12698" s="2" t="inlineStr">
        <is>
          <t>SUBTOTAL BAHAN</t>
        </is>
      </c>
      <c r="F12698" s="16" t="n">
        <v>8712500</v>
      </c>
    </row>
    <row r="12699">
      <c r="D12699" s="2" t="inlineStr">
        <is>
          <t>SUBTOTAL ALAT</t>
        </is>
      </c>
      <c r="F12699" s="16" t="n">
        <v>0</v>
      </c>
    </row>
    <row r="12700">
      <c r="E12700" s="2" t="inlineStr">
        <is>
          <t>TOTAL HARGA SATUAN (Inc. Overhead)</t>
        </is>
      </c>
      <c r="F12700" s="17" t="n">
        <v>9769166</v>
      </c>
    </row>
    <row r="12702">
      <c r="A12702" s="14" t="inlineStr">
        <is>
          <t>KODE: 6.2.2.2 - Pemasangan 1 Unit Pompa Jenis Submersible Cutter Pump Kap. 75 LPM</t>
        </is>
      </c>
    </row>
    <row r="12703">
      <c r="A12703" s="10" t="inlineStr">
        <is>
          <t>No</t>
        </is>
      </c>
      <c r="B12703" s="10" t="inlineStr">
        <is>
          <t>Uraian Komponen</t>
        </is>
      </c>
      <c r="C12703" s="10" t="inlineStr">
        <is>
          <t>Satuan</t>
        </is>
      </c>
      <c r="D12703" s="10" t="inlineStr">
        <is>
          <t>Koef</t>
        </is>
      </c>
      <c r="E12703" s="10" t="inlineStr">
        <is>
          <t>Harga Satuan (Rp)</t>
        </is>
      </c>
      <c r="F12703" s="10" t="inlineStr">
        <is>
          <t>Jumlah Harga (Rp)</t>
        </is>
      </c>
    </row>
    <row r="12704">
      <c r="A12704" s="3" t="inlineStr">
        <is>
          <t>1</t>
        </is>
      </c>
      <c r="B12704" s="3" t="inlineStr">
        <is>
          <t>Pekerja</t>
        </is>
      </c>
      <c r="C12704" s="3" t="inlineStr">
        <is>
          <t>OH</t>
        </is>
      </c>
      <c r="D12704" s="15" t="n">
        <v>0.44</v>
      </c>
      <c r="E12704" s="4" t="n">
        <v>100000</v>
      </c>
      <c r="F12704" s="4" t="n">
        <v>44000</v>
      </c>
    </row>
    <row r="12705">
      <c r="A12705" s="3" t="inlineStr">
        <is>
          <t>2</t>
        </is>
      </c>
      <c r="B12705" s="3" t="inlineStr">
        <is>
          <t>Tukang batu</t>
        </is>
      </c>
      <c r="C12705" s="3" t="inlineStr">
        <is>
          <t>OH</t>
        </is>
      </c>
      <c r="D12705" s="15" t="n">
        <v>0.736</v>
      </c>
      <c r="E12705" s="4" t="n">
        <v>145000</v>
      </c>
      <c r="F12705" s="4" t="n">
        <v>106720</v>
      </c>
    </row>
    <row r="12706">
      <c r="A12706" s="3" t="inlineStr">
        <is>
          <t>3</t>
        </is>
      </c>
      <c r="B12706" s="3" t="inlineStr">
        <is>
          <t>Kepala tukang</t>
        </is>
      </c>
      <c r="C12706" s="3" t="inlineStr">
        <is>
          <t>OH</t>
        </is>
      </c>
      <c r="D12706" s="15" t="n">
        <v>0.074</v>
      </c>
      <c r="E12706" s="4" t="n">
        <v>175000</v>
      </c>
      <c r="F12706" s="4" t="n">
        <v>12950</v>
      </c>
    </row>
    <row r="12707">
      <c r="A12707" s="3" t="inlineStr">
        <is>
          <t>4</t>
        </is>
      </c>
      <c r="B12707" s="3" t="inlineStr">
        <is>
          <t>Mandor</t>
        </is>
      </c>
      <c r="C12707" s="3" t="inlineStr">
        <is>
          <t>OH</t>
        </is>
      </c>
      <c r="D12707" s="15" t="n">
        <v>0.025</v>
      </c>
      <c r="E12707" s="4" t="n">
        <v>200000</v>
      </c>
      <c r="F12707" s="4" t="n">
        <v>5000</v>
      </c>
    </row>
    <row r="12708">
      <c r="A12708" s="3" t="inlineStr">
        <is>
          <t>1</t>
        </is>
      </c>
      <c r="B12708" s="3" t="inlineStr">
        <is>
          <t>Pompa Jenis Submersible Cutter Pump Kap. 75 LPM</t>
        </is>
      </c>
      <c r="C12708" s="3" t="inlineStr">
        <is>
          <t>unit</t>
        </is>
      </c>
      <c r="D12708" s="15" t="n">
        <v>1.025</v>
      </c>
      <c r="E12708" s="4" t="n">
        <v>4500000</v>
      </c>
      <c r="F12708" s="4" t="n">
        <v>4612500</v>
      </c>
    </row>
    <row r="12709">
      <c r="D12709" s="2" t="inlineStr">
        <is>
          <t>SUBTOTAL UPAH</t>
        </is>
      </c>
      <c r="F12709" s="16" t="n">
        <v>168670</v>
      </c>
    </row>
    <row r="12710">
      <c r="D12710" s="2" t="inlineStr">
        <is>
          <t>SUBTOTAL BAHAN</t>
        </is>
      </c>
      <c r="F12710" s="16" t="n">
        <v>4612500</v>
      </c>
    </row>
    <row r="12711">
      <c r="D12711" s="2" t="inlineStr">
        <is>
          <t>SUBTOTAL ALAT</t>
        </is>
      </c>
      <c r="F12711" s="16" t="n">
        <v>0</v>
      </c>
    </row>
    <row r="12712">
      <c r="E12712" s="2" t="inlineStr">
        <is>
          <t>TOTAL HARGA SATUAN (Inc. Overhead)</t>
        </is>
      </c>
      <c r="F12712" s="17" t="n">
        <v>5259287</v>
      </c>
    </row>
    <row r="12714">
      <c r="A12714" s="14" t="inlineStr">
        <is>
          <t>KODE: 6.2.2.3 - Pemasangan 1 Unit Pompa Jenis Submersible Cutter Pump Kap. 100 LPM</t>
        </is>
      </c>
    </row>
    <row r="12715">
      <c r="A12715" s="10" t="inlineStr">
        <is>
          <t>No</t>
        </is>
      </c>
      <c r="B12715" s="10" t="inlineStr">
        <is>
          <t>Uraian Komponen</t>
        </is>
      </c>
      <c r="C12715" s="10" t="inlineStr">
        <is>
          <t>Satuan</t>
        </is>
      </c>
      <c r="D12715" s="10" t="inlineStr">
        <is>
          <t>Koef</t>
        </is>
      </c>
      <c r="E12715" s="10" t="inlineStr">
        <is>
          <t>Harga Satuan (Rp)</t>
        </is>
      </c>
      <c r="F12715" s="10" t="inlineStr">
        <is>
          <t>Jumlah Harga (Rp)</t>
        </is>
      </c>
    </row>
    <row r="12716">
      <c r="A12716" s="3" t="inlineStr">
        <is>
          <t>1</t>
        </is>
      </c>
      <c r="B12716" s="3" t="inlineStr">
        <is>
          <t>Pekerja</t>
        </is>
      </c>
      <c r="C12716" s="3" t="inlineStr">
        <is>
          <t>OH</t>
        </is>
      </c>
      <c r="D12716" s="15" t="n">
        <v>0.445</v>
      </c>
      <c r="E12716" s="4" t="n">
        <v>100000</v>
      </c>
      <c r="F12716" s="4" t="n">
        <v>44500</v>
      </c>
    </row>
    <row r="12717">
      <c r="A12717" s="3" t="inlineStr">
        <is>
          <t>2</t>
        </is>
      </c>
      <c r="B12717" s="3" t="inlineStr">
        <is>
          <t>Tukang batu</t>
        </is>
      </c>
      <c r="C12717" s="3" t="inlineStr">
        <is>
          <t>OH</t>
        </is>
      </c>
      <c r="D12717" s="15" t="n">
        <v>0.744</v>
      </c>
      <c r="E12717" s="4" t="n">
        <v>145000</v>
      </c>
      <c r="F12717" s="4" t="n">
        <v>107880</v>
      </c>
    </row>
    <row r="12718">
      <c r="A12718" s="3" t="inlineStr">
        <is>
          <t>3</t>
        </is>
      </c>
      <c r="B12718" s="3" t="inlineStr">
        <is>
          <t>Kepala tukang</t>
        </is>
      </c>
      <c r="C12718" s="3" t="inlineStr">
        <is>
          <t>OH</t>
        </is>
      </c>
      <c r="D12718" s="15" t="n">
        <v>0.074</v>
      </c>
      <c r="E12718" s="4" t="n">
        <v>175000</v>
      </c>
      <c r="F12718" s="4" t="n">
        <v>12950</v>
      </c>
    </row>
    <row r="12719">
      <c r="A12719" s="3" t="inlineStr">
        <is>
          <t>4</t>
        </is>
      </c>
      <c r="B12719" s="3" t="inlineStr">
        <is>
          <t>Mandor</t>
        </is>
      </c>
      <c r="C12719" s="3" t="inlineStr">
        <is>
          <t>OH</t>
        </is>
      </c>
      <c r="D12719" s="15" t="n">
        <v>0.025</v>
      </c>
      <c r="E12719" s="4" t="n">
        <v>200000</v>
      </c>
      <c r="F12719" s="4" t="n">
        <v>5000</v>
      </c>
    </row>
    <row r="12720">
      <c r="A12720" s="3" t="inlineStr">
        <is>
          <t>1</t>
        </is>
      </c>
      <c r="B12720" s="3" t="inlineStr">
        <is>
          <t>Pompa Jenis Submersible Cutter Pump Kap. 100 LPM</t>
        </is>
      </c>
      <c r="C12720" s="3" t="inlineStr">
        <is>
          <t>unit</t>
        </is>
      </c>
      <c r="D12720" s="15" t="n">
        <v>1.025</v>
      </c>
      <c r="E12720" s="4" t="n">
        <v>6500000</v>
      </c>
      <c r="F12720" s="4" t="n">
        <v>6662499.999999999</v>
      </c>
    </row>
    <row r="12721">
      <c r="D12721" s="2" t="inlineStr">
        <is>
          <t>SUBTOTAL UPAH</t>
        </is>
      </c>
      <c r="F12721" s="16" t="n">
        <v>170330</v>
      </c>
    </row>
    <row r="12722">
      <c r="D12722" s="2" t="inlineStr">
        <is>
          <t>SUBTOTAL BAHAN</t>
        </is>
      </c>
      <c r="F12722" s="16" t="n">
        <v>6662499.999999999</v>
      </c>
    </row>
    <row r="12723">
      <c r="D12723" s="2" t="inlineStr">
        <is>
          <t>SUBTOTAL ALAT</t>
        </is>
      </c>
      <c r="F12723" s="16" t="n">
        <v>0</v>
      </c>
    </row>
    <row r="12724">
      <c r="E12724" s="2" t="inlineStr">
        <is>
          <t>TOTAL HARGA SATUAN (Inc. Overhead)</t>
        </is>
      </c>
      <c r="F12724" s="17" t="n">
        <v>7516113</v>
      </c>
    </row>
    <row r="12726">
      <c r="A12726" s="14" t="inlineStr">
        <is>
          <t>KODE: 6.2.3.1 - Pemasangan 1 unit grease trap portable fiberglass, kap. 30 Liter</t>
        </is>
      </c>
    </row>
    <row r="12727">
      <c r="A12727" s="10" t="inlineStr">
        <is>
          <t>No</t>
        </is>
      </c>
      <c r="B12727" s="10" t="inlineStr">
        <is>
          <t>Uraian Komponen</t>
        </is>
      </c>
      <c r="C12727" s="10" t="inlineStr">
        <is>
          <t>Satuan</t>
        </is>
      </c>
      <c r="D12727" s="10" t="inlineStr">
        <is>
          <t>Koef</t>
        </is>
      </c>
      <c r="E12727" s="10" t="inlineStr">
        <is>
          <t>Harga Satuan (Rp)</t>
        </is>
      </c>
      <c r="F12727" s="10" t="inlineStr">
        <is>
          <t>Jumlah Harga (Rp)</t>
        </is>
      </c>
    </row>
    <row r="12728">
      <c r="A12728" s="3" t="inlineStr">
        <is>
          <t>1</t>
        </is>
      </c>
      <c r="B12728" s="3" t="inlineStr">
        <is>
          <t>Pekerja</t>
        </is>
      </c>
      <c r="C12728" s="3" t="inlineStr">
        <is>
          <t>OH</t>
        </is>
      </c>
      <c r="D12728" s="15" t="n">
        <v>0.25</v>
      </c>
      <c r="E12728" s="4" t="n">
        <v>100000</v>
      </c>
      <c r="F12728" s="4" t="n">
        <v>25000</v>
      </c>
    </row>
    <row r="12729">
      <c r="A12729" s="3" t="inlineStr">
        <is>
          <t>2</t>
        </is>
      </c>
      <c r="B12729" s="3" t="inlineStr">
        <is>
          <t>Tukang batu</t>
        </is>
      </c>
      <c r="C12729" s="3" t="inlineStr">
        <is>
          <t>OH</t>
        </is>
      </c>
      <c r="D12729" s="15" t="n">
        <v>0.418</v>
      </c>
      <c r="E12729" s="4" t="n">
        <v>145000</v>
      </c>
      <c r="F12729" s="4" t="n">
        <v>60610</v>
      </c>
    </row>
    <row r="12730">
      <c r="A12730" s="3" t="inlineStr">
        <is>
          <t>3</t>
        </is>
      </c>
      <c r="B12730" s="3" t="inlineStr">
        <is>
          <t>Kepala tukang</t>
        </is>
      </c>
      <c r="C12730" s="3" t="inlineStr">
        <is>
          <t>OH</t>
        </is>
      </c>
      <c r="D12730" s="15" t="n">
        <v>0.042</v>
      </c>
      <c r="E12730" s="4" t="n">
        <v>175000</v>
      </c>
      <c r="F12730" s="4" t="n">
        <v>7350.000000000001</v>
      </c>
    </row>
    <row r="12731">
      <c r="A12731" s="3" t="inlineStr">
        <is>
          <t>4</t>
        </is>
      </c>
      <c r="B12731" s="3" t="inlineStr">
        <is>
          <t>Mandor</t>
        </is>
      </c>
      <c r="C12731" s="3" t="inlineStr">
        <is>
          <t>OH</t>
        </is>
      </c>
      <c r="D12731" s="15" t="n">
        <v>0.013</v>
      </c>
      <c r="E12731" s="4" t="n">
        <v>200000</v>
      </c>
      <c r="F12731" s="4" t="n">
        <v>2600</v>
      </c>
    </row>
    <row r="12732">
      <c r="A12732" s="3" t="inlineStr">
        <is>
          <t>1</t>
        </is>
      </c>
      <c r="B12732" s="3" t="inlineStr">
        <is>
          <t>"Grease trap portable fiberglass kap. 30 Liter"</t>
        </is>
      </c>
      <c r="C12732" s="3" t="inlineStr">
        <is>
          <t>unit</t>
        </is>
      </c>
      <c r="D12732" s="15" t="n">
        <v>1.025</v>
      </c>
      <c r="E12732" s="4" t="n">
        <v>1000000</v>
      </c>
      <c r="F12732" s="4" t="n">
        <v>1025000</v>
      </c>
    </row>
    <row r="12733">
      <c r="D12733" s="2" t="inlineStr">
        <is>
          <t>SUBTOTAL UPAH</t>
        </is>
      </c>
      <c r="F12733" s="16" t="n">
        <v>95560</v>
      </c>
    </row>
    <row r="12734">
      <c r="D12734" s="2" t="inlineStr">
        <is>
          <t>SUBTOTAL BAHAN</t>
        </is>
      </c>
      <c r="F12734" s="16" t="n">
        <v>1025000</v>
      </c>
    </row>
    <row r="12735">
      <c r="D12735" s="2" t="inlineStr">
        <is>
          <t>SUBTOTAL ALAT</t>
        </is>
      </c>
      <c r="F12735" s="16" t="n">
        <v>0</v>
      </c>
    </row>
    <row r="12736">
      <c r="E12736" s="2" t="inlineStr">
        <is>
          <t>TOTAL HARGA SATUAN (Inc. Overhead)</t>
        </is>
      </c>
      <c r="F12736" s="17" t="n">
        <v>1232616</v>
      </c>
    </row>
    <row r="12738">
      <c r="A12738" s="14" t="inlineStr">
        <is>
          <t>KODE: 6.2.3.2 - Pemasangan 1 unit grease trap portable stainless, kap. 30 Liter</t>
        </is>
      </c>
    </row>
    <row r="12739">
      <c r="A12739" s="10" t="inlineStr">
        <is>
          <t>No</t>
        </is>
      </c>
      <c r="B12739" s="10" t="inlineStr">
        <is>
          <t>Uraian Komponen</t>
        </is>
      </c>
      <c r="C12739" s="10" t="inlineStr">
        <is>
          <t>Satuan</t>
        </is>
      </c>
      <c r="D12739" s="10" t="inlineStr">
        <is>
          <t>Koef</t>
        </is>
      </c>
      <c r="E12739" s="10" t="inlineStr">
        <is>
          <t>Harga Satuan (Rp)</t>
        </is>
      </c>
      <c r="F12739" s="10" t="inlineStr">
        <is>
          <t>Jumlah Harga (Rp)</t>
        </is>
      </c>
    </row>
    <row r="12740">
      <c r="A12740" s="3" t="inlineStr">
        <is>
          <t>1</t>
        </is>
      </c>
      <c r="B12740" s="3" t="inlineStr">
        <is>
          <t>Pekerja</t>
        </is>
      </c>
      <c r="C12740" s="3" t="inlineStr">
        <is>
          <t>OH</t>
        </is>
      </c>
      <c r="D12740" s="15" t="n">
        <v>0.25</v>
      </c>
      <c r="E12740" s="4" t="n">
        <v>100000</v>
      </c>
      <c r="F12740" s="4" t="n">
        <v>25000</v>
      </c>
    </row>
    <row r="12741">
      <c r="A12741" s="3" t="inlineStr">
        <is>
          <t>2</t>
        </is>
      </c>
      <c r="B12741" s="3" t="inlineStr">
        <is>
          <t>Tukang batu</t>
        </is>
      </c>
      <c r="C12741" s="3" t="inlineStr">
        <is>
          <t>OH</t>
        </is>
      </c>
      <c r="D12741" s="15" t="n">
        <v>0.418</v>
      </c>
      <c r="E12741" s="4" t="n">
        <v>145000</v>
      </c>
      <c r="F12741" s="4" t="n">
        <v>60610</v>
      </c>
    </row>
    <row r="12742">
      <c r="A12742" s="3" t="inlineStr">
        <is>
          <t>3</t>
        </is>
      </c>
      <c r="B12742" s="3" t="inlineStr">
        <is>
          <t>Kepala tukang</t>
        </is>
      </c>
      <c r="C12742" s="3" t="inlineStr">
        <is>
          <t>OH</t>
        </is>
      </c>
      <c r="D12742" s="15" t="n">
        <v>0.042</v>
      </c>
      <c r="E12742" s="4" t="n">
        <v>175000</v>
      </c>
      <c r="F12742" s="4" t="n">
        <v>7350.000000000001</v>
      </c>
    </row>
    <row r="12743">
      <c r="A12743" s="3" t="inlineStr">
        <is>
          <t>4</t>
        </is>
      </c>
      <c r="B12743" s="3" t="inlineStr">
        <is>
          <t>Mandor</t>
        </is>
      </c>
      <c r="C12743" s="3" t="inlineStr">
        <is>
          <t>OH</t>
        </is>
      </c>
      <c r="D12743" s="15" t="n">
        <v>0.013</v>
      </c>
      <c r="E12743" s="4" t="n">
        <v>200000</v>
      </c>
      <c r="F12743" s="4" t="n">
        <v>2600</v>
      </c>
    </row>
    <row r="12744">
      <c r="A12744" s="3" t="inlineStr">
        <is>
          <t>1</t>
        </is>
      </c>
      <c r="B12744" s="3" t="inlineStr">
        <is>
          <t>"Grease trap portable stainless kap. 30 Liter"</t>
        </is>
      </c>
      <c r="C12744" s="3" t="inlineStr">
        <is>
          <t>unit</t>
        </is>
      </c>
      <c r="D12744" s="15" t="n">
        <v>1.025</v>
      </c>
      <c r="E12744" s="4" t="n">
        <v>1500000</v>
      </c>
      <c r="F12744" s="4" t="n">
        <v>1537500</v>
      </c>
    </row>
    <row r="12745">
      <c r="D12745" s="2" t="inlineStr">
        <is>
          <t>SUBTOTAL UPAH</t>
        </is>
      </c>
      <c r="F12745" s="16" t="n">
        <v>95560</v>
      </c>
    </row>
    <row r="12746">
      <c r="D12746" s="2" t="inlineStr">
        <is>
          <t>SUBTOTAL BAHAN</t>
        </is>
      </c>
      <c r="F12746" s="16" t="n">
        <v>1537500</v>
      </c>
    </row>
    <row r="12747">
      <c r="D12747" s="2" t="inlineStr">
        <is>
          <t>SUBTOTAL ALAT</t>
        </is>
      </c>
      <c r="F12747" s="16" t="n">
        <v>0</v>
      </c>
    </row>
    <row r="12748">
      <c r="E12748" s="2" t="inlineStr">
        <is>
          <t>TOTAL HARGA SATUAN (Inc. Overhead)</t>
        </is>
      </c>
      <c r="F12748" s="17" t="n">
        <v>1796366</v>
      </c>
    </row>
    <row r="12750">
      <c r="A12750" s="14" t="inlineStr">
        <is>
          <t>KODE: 6.2.3.3 - Pemasangan 1 unit grease trap central fiberglass, kap. 5 m3</t>
        </is>
      </c>
    </row>
    <row r="12751">
      <c r="A12751" s="10" t="inlineStr">
        <is>
          <t>No</t>
        </is>
      </c>
      <c r="B12751" s="10" t="inlineStr">
        <is>
          <t>Uraian Komponen</t>
        </is>
      </c>
      <c r="C12751" s="10" t="inlineStr">
        <is>
          <t>Satuan</t>
        </is>
      </c>
      <c r="D12751" s="10" t="inlineStr">
        <is>
          <t>Koef</t>
        </is>
      </c>
      <c r="E12751" s="10" t="inlineStr">
        <is>
          <t>Harga Satuan (Rp)</t>
        </is>
      </c>
      <c r="F12751" s="10" t="inlineStr">
        <is>
          <t>Jumlah Harga (Rp)</t>
        </is>
      </c>
    </row>
    <row r="12752">
      <c r="A12752" s="3" t="inlineStr">
        <is>
          <t>1</t>
        </is>
      </c>
      <c r="B12752" s="3" t="inlineStr">
        <is>
          <t>Pekerja</t>
        </is>
      </c>
      <c r="C12752" s="3" t="inlineStr">
        <is>
          <t>OH</t>
        </is>
      </c>
      <c r="D12752" s="15" t="n">
        <v>1.042</v>
      </c>
      <c r="E12752" s="4" t="n">
        <v>100000</v>
      </c>
      <c r="F12752" s="4" t="n">
        <v>104200</v>
      </c>
    </row>
    <row r="12753">
      <c r="A12753" s="3" t="inlineStr">
        <is>
          <t>2</t>
        </is>
      </c>
      <c r="B12753" s="3" t="inlineStr">
        <is>
          <t>Tukang batu</t>
        </is>
      </c>
      <c r="C12753" s="3" t="inlineStr">
        <is>
          <t>OH</t>
        </is>
      </c>
      <c r="D12753" s="15" t="n">
        <v>1.74</v>
      </c>
      <c r="E12753" s="4" t="n">
        <v>145000</v>
      </c>
      <c r="F12753" s="4" t="n">
        <v>252300</v>
      </c>
    </row>
    <row r="12754">
      <c r="A12754" s="3" t="inlineStr">
        <is>
          <t>3</t>
        </is>
      </c>
      <c r="B12754" s="3" t="inlineStr">
        <is>
          <t>Kepala tukang</t>
        </is>
      </c>
      <c r="C12754" s="3" t="inlineStr">
        <is>
          <t>OH</t>
        </is>
      </c>
      <c r="D12754" s="15" t="n">
        <v>0.174</v>
      </c>
      <c r="E12754" s="4" t="n">
        <v>175000</v>
      </c>
      <c r="F12754" s="4" t="n">
        <v>30450</v>
      </c>
    </row>
    <row r="12755">
      <c r="A12755" s="3" t="inlineStr">
        <is>
          <t>4</t>
        </is>
      </c>
      <c r="B12755" s="3" t="inlineStr">
        <is>
          <t>Mandor</t>
        </is>
      </c>
      <c r="C12755" s="3" t="inlineStr">
        <is>
          <t>OH</t>
        </is>
      </c>
      <c r="D12755" s="15" t="n">
        <v>0.052</v>
      </c>
      <c r="E12755" s="4" t="n">
        <v>200000</v>
      </c>
      <c r="F12755" s="4" t="n">
        <v>10400</v>
      </c>
    </row>
    <row r="12756">
      <c r="A12756" s="3" t="inlineStr">
        <is>
          <t>1</t>
        </is>
      </c>
      <c r="B12756" s="3" t="inlineStr">
        <is>
          <t>"Grease trap central fiberglass kap. 5 m3"</t>
        </is>
      </c>
      <c r="C12756" s="3" t="inlineStr">
        <is>
          <t>unit</t>
        </is>
      </c>
      <c r="D12756" s="15" t="n">
        <v>1.025</v>
      </c>
      <c r="E12756" s="4" t="n">
        <v>20000000</v>
      </c>
      <c r="F12756" s="4" t="n">
        <v>20500000</v>
      </c>
    </row>
    <row r="12757">
      <c r="D12757" s="2" t="inlineStr">
        <is>
          <t>SUBTOTAL UPAH</t>
        </is>
      </c>
      <c r="F12757" s="16" t="n">
        <v>397350</v>
      </c>
    </row>
    <row r="12758">
      <c r="D12758" s="2" t="inlineStr">
        <is>
          <t>SUBTOTAL BAHAN</t>
        </is>
      </c>
      <c r="F12758" s="16" t="n">
        <v>20500000</v>
      </c>
    </row>
    <row r="12759">
      <c r="D12759" s="2" t="inlineStr">
        <is>
          <t>SUBTOTAL ALAT</t>
        </is>
      </c>
      <c r="F12759" s="16" t="n">
        <v>0</v>
      </c>
    </row>
    <row r="12760">
      <c r="E12760" s="2" t="inlineStr">
        <is>
          <t>TOTAL HARGA SATUAN (Inc. Overhead)</t>
        </is>
      </c>
      <c r="F12760" s="17" t="n">
        <v>22987085</v>
      </c>
    </row>
    <row r="12762">
      <c r="A12762" s="14" t="inlineStr">
        <is>
          <t>KODE: 6.2.4.1 - Pemasangan 1 buah Sumur Resapan Air Limbah diameter 80 cm, t=100 cm ( dengan tutup Beton)</t>
        </is>
      </c>
    </row>
    <row r="12763">
      <c r="A12763" s="10" t="inlineStr">
        <is>
          <t>No</t>
        </is>
      </c>
      <c r="B12763" s="10" t="inlineStr">
        <is>
          <t>Uraian Komponen</t>
        </is>
      </c>
      <c r="C12763" s="10" t="inlineStr">
        <is>
          <t>Satuan</t>
        </is>
      </c>
      <c r="D12763" s="10" t="inlineStr">
        <is>
          <t>Koef</t>
        </is>
      </c>
      <c r="E12763" s="10" t="inlineStr">
        <is>
          <t>Harga Satuan (Rp)</t>
        </is>
      </c>
      <c r="F12763" s="10" t="inlineStr">
        <is>
          <t>Jumlah Harga (Rp)</t>
        </is>
      </c>
    </row>
    <row r="12764">
      <c r="A12764" s="3" t="inlineStr">
        <is>
          <t>1</t>
        </is>
      </c>
      <c r="B12764" s="3" t="inlineStr">
        <is>
          <t>Pekerja</t>
        </is>
      </c>
      <c r="C12764" s="3" t="inlineStr">
        <is>
          <t>OH</t>
        </is>
      </c>
      <c r="D12764" s="15" t="n">
        <v>0.121</v>
      </c>
      <c r="E12764" s="4" t="n">
        <v>100000</v>
      </c>
      <c r="F12764" s="4" t="n">
        <v>12100</v>
      </c>
    </row>
    <row r="12765">
      <c r="A12765" s="3" t="inlineStr">
        <is>
          <t>2</t>
        </is>
      </c>
      <c r="B12765" s="3" t="inlineStr">
        <is>
          <t>Tukang batu</t>
        </is>
      </c>
      <c r="C12765" s="3" t="inlineStr">
        <is>
          <t>OH</t>
        </is>
      </c>
      <c r="D12765" s="15" t="n">
        <v>0.203</v>
      </c>
      <c r="E12765" s="4" t="n">
        <v>145000</v>
      </c>
      <c r="F12765" s="4" t="n">
        <v>29435</v>
      </c>
    </row>
    <row r="12766">
      <c r="A12766" s="3" t="inlineStr">
        <is>
          <t>3</t>
        </is>
      </c>
      <c r="B12766" s="3" t="inlineStr">
        <is>
          <t>Kepala tukang</t>
        </is>
      </c>
      <c r="C12766" s="3" t="inlineStr">
        <is>
          <t>OH</t>
        </is>
      </c>
      <c r="D12766" s="15" t="n">
        <v>0.02</v>
      </c>
      <c r="E12766" s="4" t="n">
        <v>175000</v>
      </c>
      <c r="F12766" s="4" t="n">
        <v>3500</v>
      </c>
    </row>
    <row r="12767">
      <c r="A12767" s="3" t="inlineStr">
        <is>
          <t>4</t>
        </is>
      </c>
      <c r="B12767" s="3" t="inlineStr">
        <is>
          <t>Mandor</t>
        </is>
      </c>
      <c r="C12767" s="3" t="inlineStr">
        <is>
          <t>OH</t>
        </is>
      </c>
      <c r="D12767" s="15" t="n">
        <v>0.006</v>
      </c>
      <c r="E12767" s="4" t="n">
        <v>200000</v>
      </c>
      <c r="F12767" s="4" t="n">
        <v>1200</v>
      </c>
    </row>
    <row r="12768">
      <c r="A12768" s="3" t="inlineStr">
        <is>
          <t>1</t>
        </is>
      </c>
      <c r="B12768" s="3" t="inlineStr">
        <is>
          <t>Galian tanah biasa</t>
        </is>
      </c>
      <c r="C12768" s="3" t="inlineStr">
        <is>
          <t>M3</t>
        </is>
      </c>
      <c r="D12768" s="15" t="n">
        <v>1.327</v>
      </c>
      <c r="E12768" s="4" t="n">
        <v>45000</v>
      </c>
      <c r="F12768" s="4" t="n">
        <v>59715</v>
      </c>
    </row>
    <row r="12769">
      <c r="A12769" s="3" t="inlineStr">
        <is>
          <t>2</t>
        </is>
      </c>
      <c r="B12769" s="3" t="inlineStr">
        <is>
          <t>Urukan Tanah</t>
        </is>
      </c>
      <c r="C12769" s="3" t="inlineStr">
        <is>
          <t>M3</t>
        </is>
      </c>
      <c r="D12769" s="15" t="n">
        <v>0.13</v>
      </c>
      <c r="E12769" s="4" t="n">
        <v>65000</v>
      </c>
      <c r="F12769" s="4" t="n">
        <v>8450</v>
      </c>
    </row>
    <row r="12770">
      <c r="A12770" s="3" t="inlineStr">
        <is>
          <t>3</t>
        </is>
      </c>
      <c r="B12770" s="3" t="inlineStr">
        <is>
          <t>Buis beton dia. 80 cm</t>
        </is>
      </c>
      <c r="C12770" s="3" t="inlineStr">
        <is>
          <t>buah</t>
        </is>
      </c>
      <c r="D12770" s="15" t="n">
        <v>1</v>
      </c>
      <c r="E12770" s="4" t="n">
        <v>255400</v>
      </c>
      <c r="F12770" s="4" t="n">
        <v>255400</v>
      </c>
    </row>
    <row r="12771">
      <c r="A12771" s="3" t="inlineStr">
        <is>
          <t>4</t>
        </is>
      </c>
      <c r="B12771" s="3" t="inlineStr">
        <is>
          <t>Ijuk</t>
        </is>
      </c>
      <c r="C12771" s="3" t="inlineStr">
        <is>
          <t>kg</t>
        </is>
      </c>
      <c r="D12771" s="15" t="n">
        <v>4.5</v>
      </c>
      <c r="E12771" s="4" t="n">
        <v>39700</v>
      </c>
      <c r="F12771" s="4" t="n">
        <v>178650</v>
      </c>
    </row>
    <row r="12772">
      <c r="A12772" s="3" t="inlineStr">
        <is>
          <t>5</t>
        </is>
      </c>
      <c r="B12772" s="3" t="inlineStr">
        <is>
          <t>Kerikil</t>
        </is>
      </c>
      <c r="C12772" s="3" t="inlineStr">
        <is>
          <t>m3</t>
        </is>
      </c>
      <c r="D12772" s="15" t="n">
        <v>0.502</v>
      </c>
      <c r="E12772" s="4" t="n">
        <v>352300</v>
      </c>
      <c r="F12772" s="4" t="n">
        <v>176854.6</v>
      </c>
    </row>
    <row r="12773">
      <c r="A12773" s="3" t="inlineStr">
        <is>
          <t>Beton</t>
        </is>
      </c>
      <c r="B12773" s="3" t="inlineStr"/>
      <c r="C12773" s="3" t="inlineStr">
        <is>
          <t>m3</t>
        </is>
      </c>
      <c r="D12773" s="15" t="n">
        <v>0.05</v>
      </c>
      <c r="E12773" s="4" t="n">
        <v>825000</v>
      </c>
      <c r="F12773" s="4" t="n">
        <v>41250</v>
      </c>
    </row>
    <row r="12774">
      <c r="A12774" s="3" t="inlineStr">
        <is>
          <t>Tulangan</t>
        </is>
      </c>
      <c r="B12774" s="3" t="inlineStr"/>
      <c r="C12774" s="3" t="inlineStr">
        <is>
          <t>kg</t>
        </is>
      </c>
      <c r="D12774" s="15" t="n">
        <v>5.024</v>
      </c>
      <c r="E12774" s="4" t="n">
        <v>10300</v>
      </c>
      <c r="F12774" s="4" t="n">
        <v>51747.2</v>
      </c>
    </row>
    <row r="12775">
      <c r="A12775" s="3" t="inlineStr">
        <is>
          <t>Bekisting</t>
        </is>
      </c>
      <c r="B12775" s="3" t="inlineStr"/>
      <c r="C12775" s="3" t="inlineStr">
        <is>
          <t>m2</t>
        </is>
      </c>
      <c r="D12775" s="15" t="n">
        <v>0.502</v>
      </c>
      <c r="E12775" s="4" t="n">
        <v>37500</v>
      </c>
      <c r="F12775" s="4" t="n">
        <v>18825</v>
      </c>
    </row>
    <row r="12776">
      <c r="A12776" s="3" t="inlineStr">
        <is>
          <t>7</t>
        </is>
      </c>
      <c r="B12776" s="3" t="inlineStr">
        <is>
          <t>"Pipa PVC D Ø 4"""</t>
        </is>
      </c>
      <c r="C12776" s="3" t="inlineStr">
        <is>
          <t>m'</t>
        </is>
      </c>
      <c r="D12776" s="15" t="n">
        <v>1.2</v>
      </c>
      <c r="E12776" s="4" t="n">
        <v>39575</v>
      </c>
      <c r="F12776" s="4" t="n">
        <v>47490</v>
      </c>
    </row>
    <row r="12777">
      <c r="D12777" s="2" t="inlineStr">
        <is>
          <t>SUBTOTAL UPAH</t>
        </is>
      </c>
      <c r="F12777" s="16" t="n">
        <v>46235</v>
      </c>
    </row>
    <row r="12778">
      <c r="D12778" s="2" t="inlineStr">
        <is>
          <t>SUBTOTAL BAHAN</t>
        </is>
      </c>
      <c r="F12778" s="16" t="n">
        <v>838381.7999999999</v>
      </c>
    </row>
    <row r="12779">
      <c r="D12779" s="2" t="inlineStr">
        <is>
          <t>SUBTOTAL ALAT</t>
        </is>
      </c>
      <c r="F12779" s="16" t="n">
        <v>0</v>
      </c>
    </row>
    <row r="12780">
      <c r="E12780" s="2" t="inlineStr">
        <is>
          <t>TOTAL HARGA SATUAN (Inc. Overhead)</t>
        </is>
      </c>
      <c r="F12780" s="17" t="n">
        <v>973078</v>
      </c>
    </row>
    <row r="12782">
      <c r="A12782" s="14" t="inlineStr">
        <is>
          <t>KODE: 6.2.4.2 - Pemasangan 1 buah Sumur Resapan Air Limbah diameter 80 cm, t=100 cm ( tanpa tutup Beton)</t>
        </is>
      </c>
    </row>
    <row r="12783">
      <c r="A12783" s="10" t="inlineStr">
        <is>
          <t>No</t>
        </is>
      </c>
      <c r="B12783" s="10" t="inlineStr">
        <is>
          <t>Uraian Komponen</t>
        </is>
      </c>
      <c r="C12783" s="10" t="inlineStr">
        <is>
          <t>Satuan</t>
        </is>
      </c>
      <c r="D12783" s="10" t="inlineStr">
        <is>
          <t>Koef</t>
        </is>
      </c>
      <c r="E12783" s="10" t="inlineStr">
        <is>
          <t>Harga Satuan (Rp)</t>
        </is>
      </c>
      <c r="F12783" s="10" t="inlineStr">
        <is>
          <t>Jumlah Harga (Rp)</t>
        </is>
      </c>
    </row>
    <row r="12784">
      <c r="A12784" s="3" t="inlineStr">
        <is>
          <t>1</t>
        </is>
      </c>
      <c r="B12784" s="3" t="inlineStr">
        <is>
          <t>Pekerja</t>
        </is>
      </c>
      <c r="C12784" s="3" t="inlineStr">
        <is>
          <t>OH</t>
        </is>
      </c>
      <c r="D12784" s="15" t="n">
        <v>0.121</v>
      </c>
      <c r="E12784" s="4" t="n">
        <v>100000</v>
      </c>
      <c r="F12784" s="4" t="n">
        <v>12100</v>
      </c>
    </row>
    <row r="12785">
      <c r="A12785" s="3" t="inlineStr">
        <is>
          <t>2</t>
        </is>
      </c>
      <c r="B12785" s="3" t="inlineStr">
        <is>
          <t>Tukang batu</t>
        </is>
      </c>
      <c r="C12785" s="3" t="inlineStr">
        <is>
          <t>OH</t>
        </is>
      </c>
      <c r="D12785" s="15" t="n">
        <v>0.203</v>
      </c>
      <c r="E12785" s="4" t="n">
        <v>145000</v>
      </c>
      <c r="F12785" s="4" t="n">
        <v>29435</v>
      </c>
    </row>
    <row r="12786">
      <c r="A12786" s="3" t="inlineStr">
        <is>
          <t>3</t>
        </is>
      </c>
      <c r="B12786" s="3" t="inlineStr">
        <is>
          <t>Kepala tukang</t>
        </is>
      </c>
      <c r="C12786" s="3" t="inlineStr">
        <is>
          <t>OH</t>
        </is>
      </c>
      <c r="D12786" s="15" t="n">
        <v>0.02</v>
      </c>
      <c r="E12786" s="4" t="n">
        <v>175000</v>
      </c>
      <c r="F12786" s="4" t="n">
        <v>3500</v>
      </c>
    </row>
    <row r="12787">
      <c r="A12787" s="3" t="inlineStr">
        <is>
          <t>4</t>
        </is>
      </c>
      <c r="B12787" s="3" t="inlineStr">
        <is>
          <t>Mandor</t>
        </is>
      </c>
      <c r="C12787" s="3" t="inlineStr">
        <is>
          <t>OH</t>
        </is>
      </c>
      <c r="D12787" s="15" t="n">
        <v>0.006</v>
      </c>
      <c r="E12787" s="4" t="n">
        <v>200000</v>
      </c>
      <c r="F12787" s="4" t="n">
        <v>1200</v>
      </c>
    </row>
    <row r="12788">
      <c r="A12788" s="3" t="inlineStr">
        <is>
          <t>1</t>
        </is>
      </c>
      <c r="B12788" s="3" t="inlineStr">
        <is>
          <t>Galian tanah biasa</t>
        </is>
      </c>
      <c r="C12788" s="3" t="inlineStr">
        <is>
          <t>M3</t>
        </is>
      </c>
      <c r="D12788" s="15" t="n">
        <v>1.327</v>
      </c>
      <c r="E12788" s="4" t="n">
        <v>45000</v>
      </c>
      <c r="F12788" s="4" t="n">
        <v>59715</v>
      </c>
    </row>
    <row r="12789">
      <c r="A12789" s="3" t="inlineStr">
        <is>
          <t>2</t>
        </is>
      </c>
      <c r="B12789" s="3" t="inlineStr">
        <is>
          <t>Urukan Tanah</t>
        </is>
      </c>
      <c r="C12789" s="3" t="inlineStr">
        <is>
          <t>m2</t>
        </is>
      </c>
      <c r="D12789" s="15" t="n">
        <v>0.025</v>
      </c>
      <c r="E12789" s="4" t="n">
        <v>65000</v>
      </c>
      <c r="F12789" s="4" t="n">
        <v>1625</v>
      </c>
    </row>
    <row r="12790">
      <c r="A12790" s="3" t="inlineStr">
        <is>
          <t>3</t>
        </is>
      </c>
      <c r="B12790" s="3" t="inlineStr">
        <is>
          <t>Buis beton dia. 80 cm</t>
        </is>
      </c>
      <c r="C12790" s="3" t="inlineStr">
        <is>
          <t>buah</t>
        </is>
      </c>
      <c r="D12790" s="15" t="n">
        <v>1</v>
      </c>
      <c r="E12790" s="4" t="n">
        <v>255400</v>
      </c>
      <c r="F12790" s="4" t="n">
        <v>255400</v>
      </c>
    </row>
    <row r="12791">
      <c r="A12791" s="3" t="inlineStr">
        <is>
          <t>4</t>
        </is>
      </c>
      <c r="B12791" s="3" t="inlineStr">
        <is>
          <t>Ijuk</t>
        </is>
      </c>
      <c r="C12791" s="3" t="inlineStr">
        <is>
          <t>kg</t>
        </is>
      </c>
      <c r="D12791" s="15" t="n">
        <v>4.5</v>
      </c>
      <c r="E12791" s="4" t="n">
        <v>39700</v>
      </c>
      <c r="F12791" s="4" t="n">
        <v>178650</v>
      </c>
    </row>
    <row r="12792">
      <c r="A12792" s="3" t="inlineStr">
        <is>
          <t>5</t>
        </is>
      </c>
      <c r="B12792" s="3" t="inlineStr">
        <is>
          <t>Kerikil</t>
        </is>
      </c>
      <c r="C12792" s="3" t="inlineStr">
        <is>
          <t>m3</t>
        </is>
      </c>
      <c r="D12792" s="15" t="n">
        <v>0.502</v>
      </c>
      <c r="E12792" s="4" t="n">
        <v>352300</v>
      </c>
      <c r="F12792" s="4" t="n">
        <v>176854.6</v>
      </c>
    </row>
    <row r="12793">
      <c r="A12793" s="3" t="inlineStr">
        <is>
          <t>6</t>
        </is>
      </c>
      <c r="B12793" s="3" t="inlineStr">
        <is>
          <t>"Pipa PVC D Ø 4"""</t>
        </is>
      </c>
      <c r="C12793" s="3" t="inlineStr">
        <is>
          <t>m'</t>
        </is>
      </c>
      <c r="D12793" s="15" t="n">
        <v>1.2</v>
      </c>
      <c r="E12793" s="4" t="n">
        <v>39575</v>
      </c>
      <c r="F12793" s="4" t="n">
        <v>47490</v>
      </c>
    </row>
    <row r="12794">
      <c r="D12794" s="2" t="inlineStr">
        <is>
          <t>SUBTOTAL UPAH</t>
        </is>
      </c>
      <c r="F12794" s="16" t="n">
        <v>46235</v>
      </c>
    </row>
    <row r="12795">
      <c r="D12795" s="2" t="inlineStr">
        <is>
          <t>SUBTOTAL BAHAN</t>
        </is>
      </c>
      <c r="F12795" s="16" t="n">
        <v>719734.6</v>
      </c>
    </row>
    <row r="12796">
      <c r="D12796" s="2" t="inlineStr">
        <is>
          <t>SUBTOTAL ALAT</t>
        </is>
      </c>
      <c r="F12796" s="16" t="n">
        <v>0</v>
      </c>
    </row>
    <row r="12797">
      <c r="E12797" s="2" t="inlineStr">
        <is>
          <t>TOTAL HARGA SATUAN (Inc. Overhead)</t>
        </is>
      </c>
      <c r="F12797" s="17" t="n">
        <v>842566</v>
      </c>
    </row>
    <row r="12799">
      <c r="A12799" s="14" t="inlineStr">
        <is>
          <t>KODE: 6.4.1.1 - Pemasangan 1 m pipa PVC AW, DN. 1/2" (15 mm)</t>
        </is>
      </c>
    </row>
    <row r="12800">
      <c r="A12800" s="10" t="inlineStr">
        <is>
          <t>No</t>
        </is>
      </c>
      <c r="B12800" s="10" t="inlineStr">
        <is>
          <t>Uraian Komponen</t>
        </is>
      </c>
      <c r="C12800" s="10" t="inlineStr">
        <is>
          <t>Satuan</t>
        </is>
      </c>
      <c r="D12800" s="10" t="inlineStr">
        <is>
          <t>Koef</t>
        </is>
      </c>
      <c r="E12800" s="10" t="inlineStr">
        <is>
          <t>Harga Satuan (Rp)</t>
        </is>
      </c>
      <c r="F12800" s="10" t="inlineStr">
        <is>
          <t>Jumlah Harga (Rp)</t>
        </is>
      </c>
    </row>
    <row r="12801">
      <c r="A12801" s="3" t="inlineStr">
        <is>
          <t>1</t>
        </is>
      </c>
      <c r="B12801" s="3" t="inlineStr">
        <is>
          <t>Pekerja OH</t>
        </is>
      </c>
      <c r="C12801" s="3" t="inlineStr">
        <is>
          <t>0.017</t>
        </is>
      </c>
      <c r="D12801" s="15" t="n">
        <v>100000</v>
      </c>
      <c r="E12801" s="4" t="n">
        <v>1700</v>
      </c>
      <c r="F12801" s="4" t="n">
        <v>0.1</v>
      </c>
    </row>
    <row r="12802">
      <c r="A12802" s="3" t="inlineStr">
        <is>
          <t>2</t>
        </is>
      </c>
      <c r="B12802" s="3" t="inlineStr">
        <is>
          <t>Tukang pipa</t>
        </is>
      </c>
      <c r="C12802" s="3" t="inlineStr">
        <is>
          <t>OH</t>
        </is>
      </c>
      <c r="D12802" s="15" t="n">
        <v>0.028</v>
      </c>
      <c r="E12802" s="4" t="n">
        <v>145000</v>
      </c>
      <c r="F12802" s="4" t="n">
        <v>4060</v>
      </c>
    </row>
    <row r="12803">
      <c r="A12803" s="3" t="inlineStr">
        <is>
          <t>3</t>
        </is>
      </c>
      <c r="B12803" s="3" t="inlineStr">
        <is>
          <t>Kepala tukang</t>
        </is>
      </c>
      <c r="C12803" s="3" t="inlineStr">
        <is>
          <t>OH</t>
        </is>
      </c>
      <c r="D12803" s="15" t="n">
        <v>0.003</v>
      </c>
      <c r="E12803" s="4" t="n">
        <v>175000</v>
      </c>
      <c r="F12803" s="4" t="n">
        <v>525</v>
      </c>
    </row>
    <row r="12804">
      <c r="A12804" s="3" t="inlineStr">
        <is>
          <t>4</t>
        </is>
      </c>
      <c r="B12804" s="3" t="inlineStr">
        <is>
          <t>Mandor</t>
        </is>
      </c>
      <c r="C12804" s="3" t="inlineStr">
        <is>
          <t>OH</t>
        </is>
      </c>
      <c r="D12804" s="15" t="n">
        <v>0.01</v>
      </c>
      <c r="E12804" s="4" t="n">
        <v>200000</v>
      </c>
      <c r="F12804" s="4" t="n">
        <v>2000</v>
      </c>
    </row>
    <row r="12805">
      <c r="A12805" s="3" t="inlineStr">
        <is>
          <t>fitting &amp; aksesoris"</t>
        </is>
      </c>
      <c r="B12805" s="3" t="inlineStr"/>
      <c r="C12805" s="3" t="inlineStr">
        <is>
          <t>m'</t>
        </is>
      </c>
      <c r="D12805" s="15" t="n">
        <v>1.45</v>
      </c>
      <c r="E12805" s="4" t="n">
        <v>7100</v>
      </c>
      <c r="F12805" s="4" t="n">
        <v>10295</v>
      </c>
    </row>
    <row r="12806">
      <c r="D12806" s="2" t="inlineStr">
        <is>
          <t>SUBTOTAL UPAH</t>
        </is>
      </c>
      <c r="F12806" s="16" t="n">
        <v>8285</v>
      </c>
    </row>
    <row r="12807">
      <c r="D12807" s="2" t="inlineStr">
        <is>
          <t>SUBTOTAL BAHAN</t>
        </is>
      </c>
      <c r="F12807" s="16" t="n">
        <v>10295</v>
      </c>
    </row>
    <row r="12808">
      <c r="D12808" s="2" t="inlineStr">
        <is>
          <t>SUBTOTAL ALAT</t>
        </is>
      </c>
      <c r="F12808" s="16" t="n">
        <v>0</v>
      </c>
    </row>
    <row r="12809">
      <c r="E12809" s="2" t="inlineStr">
        <is>
          <t>TOTAL HARGA SATUAN (Inc. Overhead)</t>
        </is>
      </c>
      <c r="F12809" s="17" t="n">
        <v>20438</v>
      </c>
    </row>
    <row r="12811">
      <c r="A12811" s="14" t="inlineStr">
        <is>
          <t>KODE: 6.4.1.2 - Pemasangan 1 m pipa PVC AW, DN. 3/4" (20 mm)</t>
        </is>
      </c>
    </row>
    <row r="12812">
      <c r="A12812" s="10" t="inlineStr">
        <is>
          <t>No</t>
        </is>
      </c>
      <c r="B12812" s="10" t="inlineStr">
        <is>
          <t>Uraian Komponen</t>
        </is>
      </c>
      <c r="C12812" s="10" t="inlineStr">
        <is>
          <t>Satuan</t>
        </is>
      </c>
      <c r="D12812" s="10" t="inlineStr">
        <is>
          <t>Koef</t>
        </is>
      </c>
      <c r="E12812" s="10" t="inlineStr">
        <is>
          <t>Harga Satuan (Rp)</t>
        </is>
      </c>
      <c r="F12812" s="10" t="inlineStr">
        <is>
          <t>Jumlah Harga (Rp)</t>
        </is>
      </c>
    </row>
    <row r="12813">
      <c r="A12813" s="3" t="inlineStr">
        <is>
          <t>1</t>
        </is>
      </c>
      <c r="B12813" s="3" t="inlineStr">
        <is>
          <t>Pekerja</t>
        </is>
      </c>
      <c r="C12813" s="3" t="inlineStr">
        <is>
          <t>OH</t>
        </is>
      </c>
      <c r="D12813" s="15" t="n">
        <v>0.024</v>
      </c>
      <c r="E12813" s="4" t="n">
        <v>100000</v>
      </c>
      <c r="F12813" s="4" t="n">
        <v>2400</v>
      </c>
    </row>
    <row r="12814">
      <c r="A12814" s="3" t="inlineStr">
        <is>
          <t>2</t>
        </is>
      </c>
      <c r="B12814" s="3" t="inlineStr">
        <is>
          <t>Tukang pipa</t>
        </is>
      </c>
      <c r="C12814" s="3" t="inlineStr">
        <is>
          <t>OH</t>
        </is>
      </c>
      <c r="D12814" s="15" t="n">
        <v>0.04</v>
      </c>
      <c r="E12814" s="4" t="n">
        <v>145000</v>
      </c>
      <c r="F12814" s="4" t="n">
        <v>5800</v>
      </c>
    </row>
    <row r="12815">
      <c r="A12815" s="3" t="inlineStr">
        <is>
          <t>3</t>
        </is>
      </c>
      <c r="B12815" s="3" t="inlineStr">
        <is>
          <t>Kepala tukang</t>
        </is>
      </c>
      <c r="C12815" s="3" t="inlineStr">
        <is>
          <t>OH</t>
        </is>
      </c>
      <c r="D12815" s="15" t="n">
        <v>0.004</v>
      </c>
      <c r="E12815" s="4" t="n">
        <v>175000</v>
      </c>
      <c r="F12815" s="4" t="n">
        <v>700</v>
      </c>
    </row>
    <row r="12816">
      <c r="A12816" s="3" t="inlineStr">
        <is>
          <t>4</t>
        </is>
      </c>
      <c r="B12816" s="3" t="inlineStr">
        <is>
          <t>Mandor</t>
        </is>
      </c>
      <c r="C12816" s="3" t="inlineStr">
        <is>
          <t>OH</t>
        </is>
      </c>
      <c r="D12816" s="15" t="n">
        <v>0.001</v>
      </c>
      <c r="E12816" s="4" t="n">
        <v>200000</v>
      </c>
      <c r="F12816" s="4" t="n">
        <v>200</v>
      </c>
    </row>
    <row r="12817">
      <c r="A12817" s="3" t="inlineStr">
        <is>
          <t>fitting &amp; aksesoris"</t>
        </is>
      </c>
      <c r="B12817" s="3" t="inlineStr"/>
      <c r="C12817" s="3" t="inlineStr">
        <is>
          <t>m'</t>
        </is>
      </c>
      <c r="D12817" s="15" t="n">
        <v>1.45</v>
      </c>
      <c r="E12817" s="4" t="n">
        <v>9300</v>
      </c>
      <c r="F12817" s="4" t="n">
        <v>13485</v>
      </c>
    </row>
    <row r="12818">
      <c r="D12818" s="2" t="inlineStr">
        <is>
          <t>SUBTOTAL UPAH</t>
        </is>
      </c>
      <c r="F12818" s="16" t="n">
        <v>9100</v>
      </c>
    </row>
    <row r="12819">
      <c r="D12819" s="2" t="inlineStr">
        <is>
          <t>SUBTOTAL BAHAN</t>
        </is>
      </c>
      <c r="F12819" s="16" t="n">
        <v>13485</v>
      </c>
    </row>
    <row r="12820">
      <c r="D12820" s="2" t="inlineStr">
        <is>
          <t>SUBTOTAL ALAT</t>
        </is>
      </c>
      <c r="F12820" s="16" t="n">
        <v>0</v>
      </c>
    </row>
    <row r="12821">
      <c r="E12821" s="2" t="inlineStr">
        <is>
          <t>TOTAL HARGA SATUAN (Inc. Overhead)</t>
        </is>
      </c>
      <c r="F12821" s="17" t="n">
        <v>24843</v>
      </c>
    </row>
    <row r="12823">
      <c r="A12823" s="14" t="inlineStr">
        <is>
          <t>KODE: 6.4.1.3 - Pemasangan 1 m pipa PVC AW, DN. 1" (25 mm)</t>
        </is>
      </c>
    </row>
    <row r="12824">
      <c r="A12824" s="10" t="inlineStr">
        <is>
          <t>No</t>
        </is>
      </c>
      <c r="B12824" s="10" t="inlineStr">
        <is>
          <t>Uraian Komponen</t>
        </is>
      </c>
      <c r="C12824" s="10" t="inlineStr">
        <is>
          <t>Satuan</t>
        </is>
      </c>
      <c r="D12824" s="10" t="inlineStr">
        <is>
          <t>Koef</t>
        </is>
      </c>
      <c r="E12824" s="10" t="inlineStr">
        <is>
          <t>Harga Satuan (Rp)</t>
        </is>
      </c>
      <c r="F12824" s="10" t="inlineStr">
        <is>
          <t>Jumlah Harga (Rp)</t>
        </is>
      </c>
    </row>
    <row r="12825">
      <c r="A12825" s="3" t="inlineStr">
        <is>
          <t>1</t>
        </is>
      </c>
      <c r="B12825" s="3" t="inlineStr">
        <is>
          <t>Pekerja</t>
        </is>
      </c>
      <c r="C12825" s="3" t="inlineStr">
        <is>
          <t>OH</t>
        </is>
      </c>
      <c r="D12825" s="15" t="n">
        <v>0.031</v>
      </c>
      <c r="E12825" s="4" t="n">
        <v>100000</v>
      </c>
      <c r="F12825" s="4" t="n">
        <v>3100</v>
      </c>
    </row>
    <row r="12826">
      <c r="A12826" s="3" t="inlineStr">
        <is>
          <t>2</t>
        </is>
      </c>
      <c r="B12826" s="3" t="inlineStr">
        <is>
          <t>Tukang pipa</t>
        </is>
      </c>
      <c r="C12826" s="3" t="inlineStr">
        <is>
          <t>OH</t>
        </is>
      </c>
      <c r="D12826" s="15" t="n">
        <v>0.052</v>
      </c>
      <c r="E12826" s="4" t="n">
        <v>145000</v>
      </c>
      <c r="F12826" s="4" t="n">
        <v>7540</v>
      </c>
    </row>
    <row r="12827">
      <c r="A12827" s="3" t="inlineStr">
        <is>
          <t>3</t>
        </is>
      </c>
      <c r="B12827" s="3" t="inlineStr">
        <is>
          <t>Kepala tukang</t>
        </is>
      </c>
      <c r="C12827" s="3" t="inlineStr">
        <is>
          <t>OH</t>
        </is>
      </c>
      <c r="D12827" s="15" t="n">
        <v>0.005</v>
      </c>
      <c r="E12827" s="4" t="n">
        <v>175000</v>
      </c>
      <c r="F12827" s="4" t="n">
        <v>875</v>
      </c>
    </row>
    <row r="12828">
      <c r="A12828" s="3" t="inlineStr">
        <is>
          <t>4</t>
        </is>
      </c>
      <c r="B12828" s="3" t="inlineStr">
        <is>
          <t>Mandor</t>
        </is>
      </c>
      <c r="C12828" s="3" t="inlineStr">
        <is>
          <t>OH</t>
        </is>
      </c>
      <c r="D12828" s="15" t="n">
        <v>0.002</v>
      </c>
      <c r="E12828" s="4" t="n">
        <v>200000</v>
      </c>
      <c r="F12828" s="4" t="n">
        <v>400</v>
      </c>
    </row>
    <row r="12829">
      <c r="A12829" s="3" t="inlineStr">
        <is>
          <t>aksesoris"</t>
        </is>
      </c>
      <c r="B12829" s="3" t="inlineStr"/>
      <c r="C12829" s="3" t="inlineStr">
        <is>
          <t>m'</t>
        </is>
      </c>
      <c r="D12829" s="15" t="n">
        <v>1.45</v>
      </c>
      <c r="E12829" s="4" t="n">
        <v>11700</v>
      </c>
      <c r="F12829" s="4" t="n">
        <v>16965</v>
      </c>
    </row>
    <row r="12830">
      <c r="D12830" s="2" t="inlineStr">
        <is>
          <t>SUBTOTAL UPAH</t>
        </is>
      </c>
      <c r="F12830" s="16" t="n">
        <v>11915</v>
      </c>
    </row>
    <row r="12831">
      <c r="D12831" s="2" t="inlineStr">
        <is>
          <t>SUBTOTAL BAHAN</t>
        </is>
      </c>
      <c r="F12831" s="16" t="n">
        <v>16965</v>
      </c>
    </row>
    <row r="12832">
      <c r="D12832" s="2" t="inlineStr">
        <is>
          <t>SUBTOTAL ALAT</t>
        </is>
      </c>
      <c r="F12832" s="16" t="n">
        <v>0</v>
      </c>
    </row>
    <row r="12833">
      <c r="E12833" s="2" t="inlineStr">
        <is>
          <t>TOTAL HARGA SATUAN (Inc. Overhead)</t>
        </is>
      </c>
      <c r="F12833" s="17" t="n">
        <v>31768</v>
      </c>
    </row>
    <row r="12835">
      <c r="A12835" s="14" t="inlineStr">
        <is>
          <t>KODE: 6.4.1.4 - Pemasangan 1 m pipa PVC AW, DN. 1-1/4" (32 mm)</t>
        </is>
      </c>
    </row>
    <row r="12836">
      <c r="A12836" s="10" t="inlineStr">
        <is>
          <t>No</t>
        </is>
      </c>
      <c r="B12836" s="10" t="inlineStr">
        <is>
          <t>Uraian Komponen</t>
        </is>
      </c>
      <c r="C12836" s="10" t="inlineStr">
        <is>
          <t>Satuan</t>
        </is>
      </c>
      <c r="D12836" s="10" t="inlineStr">
        <is>
          <t>Koef</t>
        </is>
      </c>
      <c r="E12836" s="10" t="inlineStr">
        <is>
          <t>Harga Satuan (Rp)</t>
        </is>
      </c>
      <c r="F12836" s="10" t="inlineStr">
        <is>
          <t>Jumlah Harga (Rp)</t>
        </is>
      </c>
    </row>
    <row r="12837">
      <c r="A12837" s="3" t="inlineStr">
        <is>
          <t>1</t>
        </is>
      </c>
      <c r="B12837" s="3" t="inlineStr">
        <is>
          <t>Pekerja</t>
        </is>
      </c>
      <c r="C12837" s="3" t="inlineStr">
        <is>
          <t>OH</t>
        </is>
      </c>
      <c r="D12837" s="15" t="n">
        <v>0.04</v>
      </c>
      <c r="E12837" s="4" t="n">
        <v>100000</v>
      </c>
      <c r="F12837" s="4" t="n">
        <v>4000</v>
      </c>
    </row>
    <row r="12838">
      <c r="A12838" s="3" t="inlineStr">
        <is>
          <t>2</t>
        </is>
      </c>
      <c r="B12838" s="3" t="inlineStr">
        <is>
          <t>Tukang pipa</t>
        </is>
      </c>
      <c r="C12838" s="3" t="inlineStr">
        <is>
          <t>OH</t>
        </is>
      </c>
      <c r="D12838" s="15" t="n">
        <v>0.068</v>
      </c>
      <c r="E12838" s="4" t="n">
        <v>145000</v>
      </c>
      <c r="F12838" s="4" t="n">
        <v>9860</v>
      </c>
    </row>
    <row r="12839">
      <c r="A12839" s="3" t="inlineStr">
        <is>
          <t>3</t>
        </is>
      </c>
      <c r="B12839" s="3" t="inlineStr">
        <is>
          <t>Kepala tukang</t>
        </is>
      </c>
      <c r="C12839" s="3" t="inlineStr">
        <is>
          <t>OH</t>
        </is>
      </c>
      <c r="D12839" s="15" t="n">
        <v>0.007</v>
      </c>
      <c r="E12839" s="4" t="n">
        <v>175000</v>
      </c>
      <c r="F12839" s="4" t="n">
        <v>1225</v>
      </c>
    </row>
    <row r="12840">
      <c r="A12840" s="3" t="inlineStr">
        <is>
          <t>4</t>
        </is>
      </c>
      <c r="B12840" s="3" t="inlineStr">
        <is>
          <t>Mandor</t>
        </is>
      </c>
      <c r="C12840" s="3" t="inlineStr">
        <is>
          <t>OH</t>
        </is>
      </c>
      <c r="D12840" s="15" t="n">
        <v>0.002</v>
      </c>
      <c r="E12840" s="4" t="n">
        <v>200000</v>
      </c>
      <c r="F12840" s="4" t="n">
        <v>400</v>
      </c>
    </row>
    <row r="12841">
      <c r="A12841" s="3" t="inlineStr">
        <is>
          <t>fitting &amp; aksesoris"</t>
        </is>
      </c>
      <c r="B12841" s="3" t="inlineStr"/>
      <c r="C12841" s="3" t="inlineStr">
        <is>
          <t>m'</t>
        </is>
      </c>
      <c r="D12841" s="15" t="n">
        <v>1.45</v>
      </c>
      <c r="E12841" s="4" t="n">
        <v>19000</v>
      </c>
      <c r="F12841" s="4" t="n">
        <v>27550</v>
      </c>
    </row>
    <row r="12842">
      <c r="D12842" s="2" t="inlineStr">
        <is>
          <t>SUBTOTAL UPAH</t>
        </is>
      </c>
      <c r="F12842" s="16" t="n">
        <v>15485</v>
      </c>
    </row>
    <row r="12843">
      <c r="D12843" s="2" t="inlineStr">
        <is>
          <t>SUBTOTAL BAHAN</t>
        </is>
      </c>
      <c r="F12843" s="16" t="n">
        <v>27550</v>
      </c>
    </row>
    <row r="12844">
      <c r="D12844" s="2" t="inlineStr">
        <is>
          <t>SUBTOTAL ALAT</t>
        </is>
      </c>
      <c r="F12844" s="16" t="n">
        <v>0</v>
      </c>
    </row>
    <row r="12845">
      <c r="E12845" s="2" t="inlineStr">
        <is>
          <t>TOTAL HARGA SATUAN (Inc. Overhead)</t>
        </is>
      </c>
      <c r="F12845" s="17" t="n">
        <v>47338</v>
      </c>
    </row>
    <row r="12847">
      <c r="A12847" s="14" t="inlineStr">
        <is>
          <t>KODE: 6.4.1.5 - Pemasangan 1 m pipa PVC AW, DN. 1-1/2" (40 mm)</t>
        </is>
      </c>
    </row>
    <row r="12848">
      <c r="A12848" s="10" t="inlineStr">
        <is>
          <t>No</t>
        </is>
      </c>
      <c r="B12848" s="10" t="inlineStr">
        <is>
          <t>Uraian Komponen</t>
        </is>
      </c>
      <c r="C12848" s="10" t="inlineStr">
        <is>
          <t>Satuan</t>
        </is>
      </c>
      <c r="D12848" s="10" t="inlineStr">
        <is>
          <t>Koef</t>
        </is>
      </c>
      <c r="E12848" s="10" t="inlineStr">
        <is>
          <t>Harga Satuan (Rp)</t>
        </is>
      </c>
      <c r="F12848" s="10" t="inlineStr">
        <is>
          <t>Jumlah Harga (Rp)</t>
        </is>
      </c>
    </row>
    <row r="12849">
      <c r="A12849" s="3" t="inlineStr">
        <is>
          <t>1</t>
        </is>
      </c>
      <c r="B12849" s="3" t="inlineStr">
        <is>
          <t>Pekerja</t>
        </is>
      </c>
      <c r="C12849" s="3" t="inlineStr">
        <is>
          <t>OH</t>
        </is>
      </c>
      <c r="D12849" s="15" t="n">
        <v>0.048</v>
      </c>
      <c r="E12849" s="4" t="n">
        <v>100000</v>
      </c>
      <c r="F12849" s="4" t="n">
        <v>4800</v>
      </c>
    </row>
    <row r="12850">
      <c r="A12850" s="3" t="inlineStr">
        <is>
          <t>2</t>
        </is>
      </c>
      <c r="B12850" s="3" t="inlineStr">
        <is>
          <t>Tukang pipa</t>
        </is>
      </c>
      <c r="C12850" s="3" t="inlineStr">
        <is>
          <t>OH</t>
        </is>
      </c>
      <c r="D12850" s="15" t="n">
        <v>0.08</v>
      </c>
      <c r="E12850" s="4" t="n">
        <v>145000</v>
      </c>
      <c r="F12850" s="4" t="n">
        <v>11600</v>
      </c>
    </row>
    <row r="12851">
      <c r="A12851" s="3" t="inlineStr">
        <is>
          <t>3</t>
        </is>
      </c>
      <c r="B12851" s="3" t="inlineStr">
        <is>
          <t>Kepala tukang</t>
        </is>
      </c>
      <c r="C12851" s="3" t="inlineStr">
        <is>
          <t>OH</t>
        </is>
      </c>
      <c r="D12851" s="15" t="n">
        <v>0.008</v>
      </c>
      <c r="E12851" s="4" t="n">
        <v>175000</v>
      </c>
      <c r="F12851" s="4" t="n">
        <v>1400</v>
      </c>
    </row>
    <row r="12852">
      <c r="A12852" s="3" t="inlineStr">
        <is>
          <t>4</t>
        </is>
      </c>
      <c r="B12852" s="3" t="inlineStr">
        <is>
          <t>Mandor</t>
        </is>
      </c>
      <c r="C12852" s="3" t="inlineStr">
        <is>
          <t>OH</t>
        </is>
      </c>
      <c r="D12852" s="15" t="n">
        <v>0.002</v>
      </c>
      <c r="E12852" s="4" t="n">
        <v>200000</v>
      </c>
      <c r="F12852" s="4" t="n">
        <v>400</v>
      </c>
    </row>
    <row r="12853">
      <c r="A12853" s="3" t="inlineStr">
        <is>
          <t>fitting &amp; aksesoris"</t>
        </is>
      </c>
      <c r="B12853" s="3" t="inlineStr"/>
      <c r="C12853" s="3" t="inlineStr">
        <is>
          <t>m'</t>
        </is>
      </c>
      <c r="D12853" s="15" t="n">
        <v>1.45</v>
      </c>
      <c r="E12853" s="4" t="n">
        <v>22000</v>
      </c>
      <c r="F12853" s="4" t="n">
        <v>31900</v>
      </c>
    </row>
    <row r="12854">
      <c r="D12854" s="2" t="inlineStr">
        <is>
          <t>SUBTOTAL UPAH</t>
        </is>
      </c>
      <c r="F12854" s="16" t="n">
        <v>18200</v>
      </c>
    </row>
    <row r="12855">
      <c r="D12855" s="2" t="inlineStr">
        <is>
          <t>SUBTOTAL BAHAN</t>
        </is>
      </c>
      <c r="F12855" s="16" t="n">
        <v>31900</v>
      </c>
    </row>
    <row r="12856">
      <c r="D12856" s="2" t="inlineStr">
        <is>
          <t>SUBTOTAL ALAT</t>
        </is>
      </c>
      <c r="F12856" s="16" t="n">
        <v>0</v>
      </c>
    </row>
    <row r="12857">
      <c r="E12857" s="2" t="inlineStr">
        <is>
          <t>TOTAL HARGA SATUAN (Inc. Overhead)</t>
        </is>
      </c>
      <c r="F12857" s="17" t="n">
        <v>55110</v>
      </c>
    </row>
    <row r="12859">
      <c r="A12859" s="14" t="inlineStr">
        <is>
          <t>KODE: 6.4.1.6 - Pemasangan 1 m pipa PVC AW, DN. 2" (50 mm)</t>
        </is>
      </c>
    </row>
    <row r="12860">
      <c r="A12860" s="10" t="inlineStr">
        <is>
          <t>No</t>
        </is>
      </c>
      <c r="B12860" s="10" t="inlineStr">
        <is>
          <t>Uraian Komponen</t>
        </is>
      </c>
      <c r="C12860" s="10" t="inlineStr">
        <is>
          <t>Satuan</t>
        </is>
      </c>
      <c r="D12860" s="10" t="inlineStr">
        <is>
          <t>Koef</t>
        </is>
      </c>
      <c r="E12860" s="10" t="inlineStr">
        <is>
          <t>Harga Satuan (Rp)</t>
        </is>
      </c>
      <c r="F12860" s="10" t="inlineStr">
        <is>
          <t>Jumlah Harga (Rp)</t>
        </is>
      </c>
    </row>
    <row r="12861">
      <c r="A12861" s="3" t="inlineStr">
        <is>
          <t>1</t>
        </is>
      </c>
      <c r="B12861" s="3" t="inlineStr">
        <is>
          <t>Pekerja</t>
        </is>
      </c>
      <c r="C12861" s="3" t="inlineStr">
        <is>
          <t>OH</t>
        </is>
      </c>
      <c r="D12861" s="15" t="n">
        <v>0.063</v>
      </c>
      <c r="E12861" s="4" t="n">
        <v>100000</v>
      </c>
      <c r="F12861" s="4" t="n">
        <v>6300</v>
      </c>
    </row>
    <row r="12862">
      <c r="A12862" s="3" t="inlineStr">
        <is>
          <t>2</t>
        </is>
      </c>
      <c r="B12862" s="3" t="inlineStr">
        <is>
          <t>Tukang pipa</t>
        </is>
      </c>
      <c r="C12862" s="3" t="inlineStr">
        <is>
          <t>OH</t>
        </is>
      </c>
      <c r="D12862" s="15" t="n">
        <v>0.104</v>
      </c>
      <c r="E12862" s="4" t="n">
        <v>145000</v>
      </c>
      <c r="F12862" s="4" t="n">
        <v>15080</v>
      </c>
    </row>
    <row r="12863">
      <c r="A12863" s="3" t="inlineStr">
        <is>
          <t>3</t>
        </is>
      </c>
      <c r="B12863" s="3" t="inlineStr">
        <is>
          <t>Kepala tukang</t>
        </is>
      </c>
      <c r="C12863" s="3" t="inlineStr">
        <is>
          <t>OH</t>
        </is>
      </c>
      <c r="D12863" s="15" t="n">
        <v>0.01</v>
      </c>
      <c r="E12863" s="4" t="n">
        <v>175000</v>
      </c>
      <c r="F12863" s="4" t="n">
        <v>1750</v>
      </c>
    </row>
    <row r="12864">
      <c r="A12864" s="3" t="inlineStr">
        <is>
          <t>4</t>
        </is>
      </c>
      <c r="B12864" s="3" t="inlineStr">
        <is>
          <t>Mandor</t>
        </is>
      </c>
      <c r="C12864" s="3" t="inlineStr">
        <is>
          <t>OH</t>
        </is>
      </c>
      <c r="D12864" s="15" t="n">
        <v>0.003</v>
      </c>
      <c r="E12864" s="4" t="n">
        <v>200000</v>
      </c>
      <c r="F12864" s="4" t="n">
        <v>600</v>
      </c>
    </row>
    <row r="12865">
      <c r="A12865" s="3" t="inlineStr">
        <is>
          <t>1</t>
        </is>
      </c>
      <c r="B12865" s="3" t="inlineStr">
        <is>
          <t>"Pipa PVC AW ; DN. 2"" (50 mm) + fitting &amp; aksesoris"</t>
        </is>
      </c>
      <c r="C12865" s="3" t="inlineStr">
        <is>
          <t>m'</t>
        </is>
      </c>
      <c r="D12865" s="15" t="n">
        <v>1.45</v>
      </c>
      <c r="E12865" s="4" t="n">
        <v>28000</v>
      </c>
      <c r="F12865" s="4" t="n">
        <v>40600</v>
      </c>
    </row>
    <row r="12866">
      <c r="D12866" s="2" t="inlineStr">
        <is>
          <t>SUBTOTAL UPAH</t>
        </is>
      </c>
      <c r="F12866" s="16" t="n">
        <v>23730</v>
      </c>
    </row>
    <row r="12867">
      <c r="D12867" s="2" t="inlineStr">
        <is>
          <t>SUBTOTAL BAHAN</t>
        </is>
      </c>
      <c r="F12867" s="16" t="n">
        <v>40600</v>
      </c>
    </row>
    <row r="12868">
      <c r="D12868" s="2" t="inlineStr">
        <is>
          <t>SUBTOTAL ALAT</t>
        </is>
      </c>
      <c r="F12868" s="16" t="n">
        <v>0</v>
      </c>
    </row>
    <row r="12869">
      <c r="E12869" s="2" t="inlineStr">
        <is>
          <t>TOTAL HARGA SATUAN (Inc. Overhead)</t>
        </is>
      </c>
      <c r="F12869" s="17" t="n">
        <v>70763</v>
      </c>
    </row>
    <row r="12871">
      <c r="A12871" s="14" t="inlineStr">
        <is>
          <t>KODE: 6.4.1.7 - Pemasangan 1 m pipa PVC AW, DN. 2-1/2" (65 mm)</t>
        </is>
      </c>
    </row>
    <row r="12872">
      <c r="A12872" s="10" t="inlineStr">
        <is>
          <t>No</t>
        </is>
      </c>
      <c r="B12872" s="10" t="inlineStr">
        <is>
          <t>Uraian Komponen</t>
        </is>
      </c>
      <c r="C12872" s="10" t="inlineStr">
        <is>
          <t>Satuan</t>
        </is>
      </c>
      <c r="D12872" s="10" t="inlineStr">
        <is>
          <t>Koef</t>
        </is>
      </c>
      <c r="E12872" s="10" t="inlineStr">
        <is>
          <t>Harga Satuan (Rp)</t>
        </is>
      </c>
      <c r="F12872" s="10" t="inlineStr">
        <is>
          <t>Jumlah Harga (Rp)</t>
        </is>
      </c>
    </row>
    <row r="12873">
      <c r="A12873" s="3" t="inlineStr">
        <is>
          <t>1</t>
        </is>
      </c>
      <c r="B12873" s="3" t="inlineStr">
        <is>
          <t>Pekerja</t>
        </is>
      </c>
      <c r="C12873" s="3" t="inlineStr">
        <is>
          <t>OH</t>
        </is>
      </c>
      <c r="D12873" s="15" t="n">
        <v>0.077</v>
      </c>
      <c r="E12873" s="4" t="n">
        <v>100000</v>
      </c>
      <c r="F12873" s="4" t="n">
        <v>7700</v>
      </c>
    </row>
    <row r="12874">
      <c r="A12874" s="3" t="inlineStr">
        <is>
          <t>2</t>
        </is>
      </c>
      <c r="B12874" s="3" t="inlineStr">
        <is>
          <t>Tukang pipa</t>
        </is>
      </c>
      <c r="C12874" s="3" t="inlineStr">
        <is>
          <t>OH</t>
        </is>
      </c>
      <c r="D12874" s="15" t="n">
        <v>0.129</v>
      </c>
      <c r="E12874" s="4" t="n">
        <v>145000</v>
      </c>
      <c r="F12874" s="4" t="n">
        <v>18705</v>
      </c>
    </row>
    <row r="12875">
      <c r="A12875" s="3" t="inlineStr">
        <is>
          <t>3</t>
        </is>
      </c>
      <c r="B12875" s="3" t="inlineStr">
        <is>
          <t>Kepala tukang</t>
        </is>
      </c>
      <c r="C12875" s="3" t="inlineStr">
        <is>
          <t>OH</t>
        </is>
      </c>
      <c r="D12875" s="15" t="n">
        <v>0.013</v>
      </c>
      <c r="E12875" s="4" t="n">
        <v>175000</v>
      </c>
      <c r="F12875" s="4" t="n">
        <v>2275</v>
      </c>
    </row>
    <row r="12876">
      <c r="A12876" s="3" t="inlineStr">
        <is>
          <t>4</t>
        </is>
      </c>
      <c r="B12876" s="3" t="inlineStr">
        <is>
          <t>Mandor</t>
        </is>
      </c>
      <c r="C12876" s="3" t="inlineStr">
        <is>
          <t>OH</t>
        </is>
      </c>
      <c r="D12876" s="15" t="n">
        <v>0.004</v>
      </c>
      <c r="E12876" s="4" t="n">
        <v>200000</v>
      </c>
      <c r="F12876" s="4" t="n">
        <v>800</v>
      </c>
    </row>
    <row r="12877">
      <c r="A12877" s="3" t="inlineStr">
        <is>
          <t>1</t>
        </is>
      </c>
      <c r="B12877" s="3" t="inlineStr">
        <is>
          <t>"Pipa PVC AW ; DN. 2-1/2"" (65 mm) + fitting &amp; aksesoris"</t>
        </is>
      </c>
      <c r="C12877" s="3" t="inlineStr">
        <is>
          <t>m'</t>
        </is>
      </c>
      <c r="D12877" s="15" t="n">
        <v>1.45</v>
      </c>
      <c r="E12877" s="4" t="n">
        <v>40000</v>
      </c>
      <c r="F12877" s="4" t="n">
        <v>58000</v>
      </c>
    </row>
    <row r="12878">
      <c r="D12878" s="2" t="inlineStr">
        <is>
          <t>SUBTOTAL UPAH</t>
        </is>
      </c>
      <c r="F12878" s="16" t="n">
        <v>29480</v>
      </c>
    </row>
    <row r="12879">
      <c r="D12879" s="2" t="inlineStr">
        <is>
          <t>SUBTOTAL BAHAN</t>
        </is>
      </c>
      <c r="F12879" s="16" t="n">
        <v>58000</v>
      </c>
    </row>
    <row r="12880">
      <c r="D12880" s="2" t="inlineStr">
        <is>
          <t>SUBTOTAL ALAT</t>
        </is>
      </c>
      <c r="F12880" s="16" t="n">
        <v>0</v>
      </c>
    </row>
    <row r="12881">
      <c r="E12881" s="2" t="inlineStr">
        <is>
          <t>TOTAL HARGA SATUAN (Inc. Overhead)</t>
        </is>
      </c>
      <c r="F12881" s="17" t="n">
        <v>96228</v>
      </c>
    </row>
    <row r="12883">
      <c r="A12883" s="14" t="inlineStr">
        <is>
          <t>KODE: 6.4.1.8 - Pemasangan 1 m pipa PVC AW, DN. 3" (80 mm)</t>
        </is>
      </c>
    </row>
    <row r="12884">
      <c r="A12884" s="10" t="inlineStr">
        <is>
          <t>No</t>
        </is>
      </c>
      <c r="B12884" s="10" t="inlineStr">
        <is>
          <t>Uraian Komponen</t>
        </is>
      </c>
      <c r="C12884" s="10" t="inlineStr">
        <is>
          <t>Satuan</t>
        </is>
      </c>
      <c r="D12884" s="10" t="inlineStr">
        <is>
          <t>Koef</t>
        </is>
      </c>
      <c r="E12884" s="10" t="inlineStr">
        <is>
          <t>Harga Satuan (Rp)</t>
        </is>
      </c>
      <c r="F12884" s="10" t="inlineStr">
        <is>
          <t>Jumlah Harga (Rp)</t>
        </is>
      </c>
    </row>
    <row r="12885">
      <c r="A12885" s="3" t="inlineStr">
        <is>
          <t>1</t>
        </is>
      </c>
      <c r="B12885" s="3" t="inlineStr">
        <is>
          <t>Pekerja</t>
        </is>
      </c>
      <c r="C12885" s="3" t="inlineStr">
        <is>
          <t>OH</t>
        </is>
      </c>
      <c r="D12885" s="15" t="n">
        <v>0.094</v>
      </c>
      <c r="E12885" s="4" t="n">
        <v>100000</v>
      </c>
      <c r="F12885" s="4" t="n">
        <v>9400</v>
      </c>
    </row>
    <row r="12886">
      <c r="A12886" s="3" t="inlineStr">
        <is>
          <t>2</t>
        </is>
      </c>
      <c r="B12886" s="3" t="inlineStr">
        <is>
          <t>Tukang pipa</t>
        </is>
      </c>
      <c r="C12886" s="3" t="inlineStr">
        <is>
          <t>OH</t>
        </is>
      </c>
      <c r="D12886" s="15" t="n">
        <v>0.157</v>
      </c>
      <c r="E12886" s="4" t="n">
        <v>145000</v>
      </c>
      <c r="F12886" s="4" t="n">
        <v>22765</v>
      </c>
    </row>
    <row r="12887">
      <c r="A12887" s="3" t="inlineStr">
        <is>
          <t>3</t>
        </is>
      </c>
      <c r="B12887" s="3" t="inlineStr">
        <is>
          <t>Kepala tukang</t>
        </is>
      </c>
      <c r="C12887" s="3" t="inlineStr">
        <is>
          <t>OH</t>
        </is>
      </c>
      <c r="D12887" s="15" t="n">
        <v>0.016</v>
      </c>
      <c r="E12887" s="4" t="n">
        <v>175000</v>
      </c>
      <c r="F12887" s="4" t="n">
        <v>2800</v>
      </c>
    </row>
    <row r="12888">
      <c r="A12888" s="3" t="inlineStr">
        <is>
          <t>4</t>
        </is>
      </c>
      <c r="B12888" s="3" t="inlineStr">
        <is>
          <t>Mandor</t>
        </is>
      </c>
      <c r="C12888" s="3" t="inlineStr">
        <is>
          <t>OH</t>
        </is>
      </c>
      <c r="D12888" s="15" t="n">
        <v>0.005</v>
      </c>
      <c r="E12888" s="4" t="n">
        <v>200000</v>
      </c>
      <c r="F12888" s="4" t="n">
        <v>1000</v>
      </c>
    </row>
    <row r="12889">
      <c r="A12889" s="3" t="inlineStr">
        <is>
          <t>aksesoris"</t>
        </is>
      </c>
      <c r="B12889" s="3" t="inlineStr"/>
      <c r="C12889" s="3" t="inlineStr">
        <is>
          <t>m'</t>
        </is>
      </c>
      <c r="D12889" s="15" t="n">
        <v>1.45</v>
      </c>
      <c r="E12889" s="4" t="n">
        <v>53000</v>
      </c>
      <c r="F12889" s="4" t="n">
        <v>76850</v>
      </c>
    </row>
    <row r="12890">
      <c r="D12890" s="2" t="inlineStr">
        <is>
          <t>SUBTOTAL UPAH</t>
        </is>
      </c>
      <c r="F12890" s="16" t="n">
        <v>35965</v>
      </c>
    </row>
    <row r="12891">
      <c r="D12891" s="2" t="inlineStr">
        <is>
          <t>SUBTOTAL BAHAN</t>
        </is>
      </c>
      <c r="F12891" s="16" t="n">
        <v>76850</v>
      </c>
    </row>
    <row r="12892">
      <c r="D12892" s="2" t="inlineStr">
        <is>
          <t>SUBTOTAL ALAT</t>
        </is>
      </c>
      <c r="F12892" s="16" t="n">
        <v>0</v>
      </c>
    </row>
    <row r="12893">
      <c r="E12893" s="2" t="inlineStr">
        <is>
          <t>TOTAL HARGA SATUAN (Inc. Overhead)</t>
        </is>
      </c>
      <c r="F12893" s="17" t="n">
        <v>124096</v>
      </c>
    </row>
    <row r="12895">
      <c r="A12895" s="14" t="inlineStr">
        <is>
          <t>KODE: 6.4.1.9 - Pemasangan 1 m pipa PVC AW, DN. 4" (100 mm)</t>
        </is>
      </c>
    </row>
    <row r="12896">
      <c r="A12896" s="10" t="inlineStr">
        <is>
          <t>No</t>
        </is>
      </c>
      <c r="B12896" s="10" t="inlineStr">
        <is>
          <t>Uraian Komponen</t>
        </is>
      </c>
      <c r="C12896" s="10" t="inlineStr">
        <is>
          <t>Satuan</t>
        </is>
      </c>
      <c r="D12896" s="10" t="inlineStr">
        <is>
          <t>Koef</t>
        </is>
      </c>
      <c r="E12896" s="10" t="inlineStr">
        <is>
          <t>Harga Satuan (Rp)</t>
        </is>
      </c>
      <c r="F12896" s="10" t="inlineStr">
        <is>
          <t>Jumlah Harga (Rp)</t>
        </is>
      </c>
    </row>
    <row r="12897">
      <c r="A12897" s="3" t="inlineStr">
        <is>
          <t>1</t>
        </is>
      </c>
      <c r="B12897" s="3" t="inlineStr">
        <is>
          <t>Pekerja</t>
        </is>
      </c>
      <c r="C12897" s="3" t="inlineStr">
        <is>
          <t>OH</t>
        </is>
      </c>
      <c r="D12897" s="15" t="n">
        <v>0.123</v>
      </c>
      <c r="E12897" s="4" t="n">
        <v>100000</v>
      </c>
      <c r="F12897" s="4" t="n">
        <v>12300</v>
      </c>
    </row>
    <row r="12898">
      <c r="A12898" s="3" t="inlineStr">
        <is>
          <t>2</t>
        </is>
      </c>
      <c r="B12898" s="3" t="inlineStr">
        <is>
          <t>Tukang pipa</t>
        </is>
      </c>
      <c r="C12898" s="3" t="inlineStr">
        <is>
          <t>OH</t>
        </is>
      </c>
      <c r="D12898" s="15" t="n">
        <v>0.205</v>
      </c>
      <c r="E12898" s="4" t="n">
        <v>145000</v>
      </c>
      <c r="F12898" s="4" t="n">
        <v>29725</v>
      </c>
    </row>
    <row r="12899">
      <c r="A12899" s="3" t="inlineStr">
        <is>
          <t>3</t>
        </is>
      </c>
      <c r="B12899" s="3" t="inlineStr">
        <is>
          <t>Kepala tukang</t>
        </is>
      </c>
      <c r="C12899" s="3" t="inlineStr">
        <is>
          <t>OH</t>
        </is>
      </c>
      <c r="D12899" s="15" t="n">
        <v>0.021</v>
      </c>
      <c r="E12899" s="4" t="n">
        <v>175000</v>
      </c>
      <c r="F12899" s="4" t="n">
        <v>3675</v>
      </c>
    </row>
    <row r="12900">
      <c r="A12900" s="3" t="inlineStr">
        <is>
          <t>4</t>
        </is>
      </c>
      <c r="B12900" s="3" t="inlineStr">
        <is>
          <t>Mandor</t>
        </is>
      </c>
      <c r="C12900" s="3" t="inlineStr">
        <is>
          <t>OH</t>
        </is>
      </c>
      <c r="D12900" s="15" t="n">
        <v>0.006</v>
      </c>
      <c r="E12900" s="4" t="n">
        <v>200000</v>
      </c>
      <c r="F12900" s="4" t="n">
        <v>1200</v>
      </c>
    </row>
    <row r="12901">
      <c r="A12901" s="3" t="inlineStr">
        <is>
          <t>aksesoris"</t>
        </is>
      </c>
      <c r="B12901" s="3" t="inlineStr"/>
      <c r="C12901" s="3" t="inlineStr">
        <is>
          <t>m'</t>
        </is>
      </c>
      <c r="D12901" s="15" t="n">
        <v>1.45</v>
      </c>
      <c r="E12901" s="4" t="n">
        <v>74000</v>
      </c>
      <c r="F12901" s="4" t="n">
        <v>107300</v>
      </c>
    </row>
    <row r="12902">
      <c r="D12902" s="2" t="inlineStr">
        <is>
          <t>SUBTOTAL UPAH</t>
        </is>
      </c>
      <c r="F12902" s="16" t="n">
        <v>46900</v>
      </c>
    </row>
    <row r="12903">
      <c r="D12903" s="2" t="inlineStr">
        <is>
          <t>SUBTOTAL BAHAN</t>
        </is>
      </c>
      <c r="F12903" s="16" t="n">
        <v>107300</v>
      </c>
    </row>
    <row r="12904">
      <c r="D12904" s="2" t="inlineStr">
        <is>
          <t>SUBTOTAL ALAT</t>
        </is>
      </c>
      <c r="F12904" s="16" t="n">
        <v>0</v>
      </c>
    </row>
    <row r="12905">
      <c r="E12905" s="2" t="inlineStr">
        <is>
          <t>TOTAL HARGA SATUAN (Inc. Overhead)</t>
        </is>
      </c>
      <c r="F12905" s="17" t="n">
        <v>169620</v>
      </c>
    </row>
    <row r="12907">
      <c r="A12907" s="14" t="inlineStr">
        <is>
          <t>KODE: 6.4.1.10 - Pemasangan 1 m pipa PVC AW, DN. 5" (125 mm)</t>
        </is>
      </c>
    </row>
    <row r="12908">
      <c r="A12908" s="10" t="inlineStr">
        <is>
          <t>No</t>
        </is>
      </c>
      <c r="B12908" s="10" t="inlineStr">
        <is>
          <t>Uraian Komponen</t>
        </is>
      </c>
      <c r="C12908" s="10" t="inlineStr">
        <is>
          <t>Satuan</t>
        </is>
      </c>
      <c r="D12908" s="10" t="inlineStr">
        <is>
          <t>Koef</t>
        </is>
      </c>
      <c r="E12908" s="10" t="inlineStr">
        <is>
          <t>Harga Satuan (Rp)</t>
        </is>
      </c>
      <c r="F12908" s="10" t="inlineStr">
        <is>
          <t>Jumlah Harga (Rp)</t>
        </is>
      </c>
    </row>
    <row r="12909">
      <c r="A12909" s="3" t="inlineStr">
        <is>
          <t>1</t>
        </is>
      </c>
      <c r="B12909" s="3" t="inlineStr">
        <is>
          <t>Pekerja</t>
        </is>
      </c>
      <c r="C12909" s="3" t="inlineStr">
        <is>
          <t>OH</t>
        </is>
      </c>
      <c r="D12909" s="15" t="n">
        <v>0.152</v>
      </c>
      <c r="E12909" s="4" t="n">
        <v>100000</v>
      </c>
      <c r="F12909" s="4" t="n">
        <v>15200</v>
      </c>
    </row>
    <row r="12910">
      <c r="A12910" s="3" t="inlineStr">
        <is>
          <t>2</t>
        </is>
      </c>
      <c r="B12910" s="3" t="inlineStr">
        <is>
          <t>Tukang pipa</t>
        </is>
      </c>
      <c r="C12910" s="3" t="inlineStr">
        <is>
          <t>OH</t>
        </is>
      </c>
      <c r="D12910" s="15" t="n">
        <v>0.254</v>
      </c>
      <c r="E12910" s="4" t="n">
        <v>145000</v>
      </c>
      <c r="F12910" s="4" t="n">
        <v>36830</v>
      </c>
    </row>
    <row r="12911">
      <c r="A12911" s="3" t="inlineStr">
        <is>
          <t>3</t>
        </is>
      </c>
      <c r="B12911" s="3" t="inlineStr">
        <is>
          <t>Kepala tukang</t>
        </is>
      </c>
      <c r="C12911" s="3" t="inlineStr">
        <is>
          <t>OH</t>
        </is>
      </c>
      <c r="D12911" s="15" t="n">
        <v>0.025</v>
      </c>
      <c r="E12911" s="4" t="n">
        <v>175000</v>
      </c>
      <c r="F12911" s="4" t="n">
        <v>4375</v>
      </c>
    </row>
    <row r="12912">
      <c r="A12912" s="3" t="inlineStr">
        <is>
          <t>4</t>
        </is>
      </c>
      <c r="B12912" s="3" t="inlineStr">
        <is>
          <t>Mandor</t>
        </is>
      </c>
      <c r="C12912" s="3" t="inlineStr">
        <is>
          <t>OH</t>
        </is>
      </c>
      <c r="D12912" s="15" t="n">
        <v>0.008</v>
      </c>
      <c r="E12912" s="4" t="n">
        <v>200000</v>
      </c>
      <c r="F12912" s="4" t="n">
        <v>1600</v>
      </c>
    </row>
    <row r="12913">
      <c r="A12913" s="3" t="inlineStr">
        <is>
          <t>aksesoris"</t>
        </is>
      </c>
      <c r="B12913" s="3" t="inlineStr"/>
      <c r="C12913" s="3" t="inlineStr">
        <is>
          <t>m'</t>
        </is>
      </c>
      <c r="D12913" s="15" t="n">
        <v>1.45</v>
      </c>
      <c r="E12913" s="4" t="n">
        <v>101000</v>
      </c>
      <c r="F12913" s="4" t="n">
        <v>146450</v>
      </c>
    </row>
    <row r="12914">
      <c r="D12914" s="2" t="inlineStr">
        <is>
          <t>SUBTOTAL UPAH</t>
        </is>
      </c>
      <c r="F12914" s="16" t="n">
        <v>58005</v>
      </c>
    </row>
    <row r="12915">
      <c r="D12915" s="2" t="inlineStr">
        <is>
          <t>SUBTOTAL BAHAN</t>
        </is>
      </c>
      <c r="F12915" s="16" t="n">
        <v>146450</v>
      </c>
    </row>
    <row r="12916">
      <c r="D12916" s="2" t="inlineStr">
        <is>
          <t>SUBTOTAL ALAT</t>
        </is>
      </c>
      <c r="F12916" s="16" t="n">
        <v>0</v>
      </c>
    </row>
    <row r="12917">
      <c r="E12917" s="2" t="inlineStr">
        <is>
          <t>TOTAL HARGA SATUAN (Inc. Overhead)</t>
        </is>
      </c>
      <c r="F12917" s="17" t="n">
        <v>224900</v>
      </c>
    </row>
    <row r="12919">
      <c r="A12919" s="14" t="inlineStr">
        <is>
          <t>KODE: 6.4.1.11 - Pemasangan 1 m pipa PVC AW, DN. 6" (150 mm)</t>
        </is>
      </c>
    </row>
    <row r="12920">
      <c r="A12920" s="10" t="inlineStr">
        <is>
          <t>No</t>
        </is>
      </c>
      <c r="B12920" s="10" t="inlineStr">
        <is>
          <t>Uraian Komponen</t>
        </is>
      </c>
      <c r="C12920" s="10" t="inlineStr">
        <is>
          <t>Satuan</t>
        </is>
      </c>
      <c r="D12920" s="10" t="inlineStr">
        <is>
          <t>Koef</t>
        </is>
      </c>
      <c r="E12920" s="10" t="inlineStr">
        <is>
          <t>Harga Satuan (Rp)</t>
        </is>
      </c>
      <c r="F12920" s="10" t="inlineStr">
        <is>
          <t>Jumlah Harga (Rp)</t>
        </is>
      </c>
    </row>
    <row r="12921">
      <c r="A12921" s="3" t="inlineStr">
        <is>
          <t>1</t>
        </is>
      </c>
      <c r="B12921" s="3" t="inlineStr">
        <is>
          <t>Pekerja</t>
        </is>
      </c>
      <c r="C12921" s="3" t="inlineStr">
        <is>
          <t>OH</t>
        </is>
      </c>
      <c r="D12921" s="15" t="n">
        <v>0.183</v>
      </c>
      <c r="E12921" s="4" t="n">
        <v>100000</v>
      </c>
      <c r="F12921" s="4" t="n">
        <v>18300</v>
      </c>
    </row>
    <row r="12922">
      <c r="A12922" s="3" t="inlineStr">
        <is>
          <t>2</t>
        </is>
      </c>
      <c r="B12922" s="3" t="inlineStr">
        <is>
          <t>Tukang pipa</t>
        </is>
      </c>
      <c r="C12922" s="3" t="inlineStr">
        <is>
          <t>OH</t>
        </is>
      </c>
      <c r="D12922" s="15" t="n">
        <v>0.306</v>
      </c>
      <c r="E12922" s="4" t="n">
        <v>145000</v>
      </c>
      <c r="F12922" s="4" t="n">
        <v>44370</v>
      </c>
    </row>
    <row r="12923">
      <c r="A12923" s="3" t="inlineStr">
        <is>
          <t>3</t>
        </is>
      </c>
      <c r="B12923" s="3" t="inlineStr">
        <is>
          <t>Kepala tukang</t>
        </is>
      </c>
      <c r="C12923" s="3" t="inlineStr">
        <is>
          <t>OH</t>
        </is>
      </c>
      <c r="D12923" s="15" t="n">
        <v>0.031</v>
      </c>
      <c r="E12923" s="4" t="n">
        <v>175000</v>
      </c>
      <c r="F12923" s="4" t="n">
        <v>5425</v>
      </c>
    </row>
    <row r="12924">
      <c r="A12924" s="3" t="inlineStr">
        <is>
          <t>4</t>
        </is>
      </c>
      <c r="B12924" s="3" t="inlineStr">
        <is>
          <t>Mandor</t>
        </is>
      </c>
      <c r="C12924" s="3" t="inlineStr">
        <is>
          <t>OH</t>
        </is>
      </c>
      <c r="D12924" s="15" t="n">
        <v>0.008999999999999999</v>
      </c>
      <c r="E12924" s="4" t="n">
        <v>200000</v>
      </c>
      <c r="F12924" s="4" t="n">
        <v>1800</v>
      </c>
    </row>
    <row r="12925">
      <c r="A12925" s="3" t="inlineStr">
        <is>
          <t>1</t>
        </is>
      </c>
      <c r="B12925" s="3" t="inlineStr">
        <is>
          <t>"Pemasangan 1 m pipa PVC AW DN. 6"" (150 mm)"</t>
        </is>
      </c>
      <c r="C12925" s="3" t="inlineStr">
        <is>
          <t>m'</t>
        </is>
      </c>
      <c r="D12925" s="15" t="n">
        <v>1.45</v>
      </c>
      <c r="E12925" s="4" t="n">
        <v>108000</v>
      </c>
      <c r="F12925" s="4" t="n">
        <v>156600</v>
      </c>
    </row>
    <row r="12926">
      <c r="D12926" s="2" t="inlineStr">
        <is>
          <t>SUBTOTAL UPAH</t>
        </is>
      </c>
      <c r="F12926" s="16" t="n">
        <v>69895</v>
      </c>
    </row>
    <row r="12927">
      <c r="D12927" s="2" t="inlineStr">
        <is>
          <t>SUBTOTAL BAHAN</t>
        </is>
      </c>
      <c r="F12927" s="16" t="n">
        <v>156600</v>
      </c>
    </row>
    <row r="12928">
      <c r="D12928" s="2" t="inlineStr">
        <is>
          <t>SUBTOTAL ALAT</t>
        </is>
      </c>
      <c r="F12928" s="16" t="n">
        <v>0</v>
      </c>
    </row>
    <row r="12929">
      <c r="E12929" s="2" t="inlineStr">
        <is>
          <t>TOTAL HARGA SATUAN (Inc. Overhead)</t>
        </is>
      </c>
      <c r="F12929" s="17" t="n">
        <v>249144</v>
      </c>
    </row>
    <row r="12931">
      <c r="A12931" s="14" t="inlineStr">
        <is>
          <t>KODE: 6.4.1.12 - Pemasangan 1 m pipa PVC AW, DN. 8" (200 mm)</t>
        </is>
      </c>
    </row>
    <row r="12932">
      <c r="A12932" s="10" t="inlineStr">
        <is>
          <t>No</t>
        </is>
      </c>
      <c r="B12932" s="10" t="inlineStr">
        <is>
          <t>Uraian Komponen</t>
        </is>
      </c>
      <c r="C12932" s="10" t="inlineStr">
        <is>
          <t>Satuan</t>
        </is>
      </c>
      <c r="D12932" s="10" t="inlineStr">
        <is>
          <t>Koef</t>
        </is>
      </c>
      <c r="E12932" s="10" t="inlineStr">
        <is>
          <t>Harga Satuan (Rp)</t>
        </is>
      </c>
      <c r="F12932" s="10" t="inlineStr">
        <is>
          <t>Jumlah Harga (Rp)</t>
        </is>
      </c>
    </row>
    <row r="12933">
      <c r="A12933" s="3" t="inlineStr">
        <is>
          <t>1</t>
        </is>
      </c>
      <c r="B12933" s="3" t="inlineStr">
        <is>
          <t>Pekerja</t>
        </is>
      </c>
      <c r="C12933" s="3" t="inlineStr">
        <is>
          <t>OH</t>
        </is>
      </c>
      <c r="D12933" s="15" t="n">
        <v>0.246</v>
      </c>
      <c r="E12933" s="4" t="n">
        <v>100000</v>
      </c>
      <c r="F12933" s="4" t="n">
        <v>24600</v>
      </c>
    </row>
    <row r="12934">
      <c r="A12934" s="3" t="inlineStr">
        <is>
          <t>2</t>
        </is>
      </c>
      <c r="B12934" s="3" t="inlineStr">
        <is>
          <t>Tukang pipa</t>
        </is>
      </c>
      <c r="C12934" s="3" t="inlineStr">
        <is>
          <t>OH</t>
        </is>
      </c>
      <c r="D12934" s="15" t="n">
        <v>0.411</v>
      </c>
      <c r="E12934" s="4" t="n">
        <v>145000</v>
      </c>
      <c r="F12934" s="4" t="n">
        <v>59595</v>
      </c>
    </row>
    <row r="12935">
      <c r="A12935" s="3" t="inlineStr">
        <is>
          <t>3</t>
        </is>
      </c>
      <c r="B12935" s="3" t="inlineStr">
        <is>
          <t>Kepala tukang</t>
        </is>
      </c>
      <c r="C12935" s="3" t="inlineStr">
        <is>
          <t>OH</t>
        </is>
      </c>
      <c r="D12935" s="15" t="n">
        <v>0.041</v>
      </c>
      <c r="E12935" s="4" t="n">
        <v>175000</v>
      </c>
      <c r="F12935" s="4" t="n">
        <v>7175</v>
      </c>
    </row>
    <row r="12936">
      <c r="A12936" s="3" t="inlineStr">
        <is>
          <t>4</t>
        </is>
      </c>
      <c r="B12936" s="3" t="inlineStr">
        <is>
          <t>Mandor</t>
        </is>
      </c>
      <c r="C12936" s="3" t="inlineStr">
        <is>
          <t>OH</t>
        </is>
      </c>
      <c r="D12936" s="15" t="n">
        <v>0.012</v>
      </c>
      <c r="E12936" s="4" t="n">
        <v>200000</v>
      </c>
      <c r="F12936" s="4" t="n">
        <v>2400</v>
      </c>
    </row>
    <row r="12937">
      <c r="A12937" s="3" t="inlineStr">
        <is>
          <t>aksesoris"</t>
        </is>
      </c>
      <c r="B12937" s="3" t="inlineStr"/>
      <c r="C12937" s="3" t="inlineStr">
        <is>
          <t>m'</t>
        </is>
      </c>
      <c r="D12937" s="15" t="n">
        <v>1.45</v>
      </c>
      <c r="E12937" s="4" t="n">
        <v>133000</v>
      </c>
      <c r="F12937" s="4" t="n">
        <v>192850</v>
      </c>
    </row>
    <row r="12938">
      <c r="D12938" s="2" t="inlineStr">
        <is>
          <t>SUBTOTAL UPAH</t>
        </is>
      </c>
      <c r="F12938" s="16" t="n">
        <v>93770</v>
      </c>
    </row>
    <row r="12939">
      <c r="D12939" s="2" t="inlineStr">
        <is>
          <t>SUBTOTAL BAHAN</t>
        </is>
      </c>
      <c r="F12939" s="16" t="n">
        <v>192850</v>
      </c>
    </row>
    <row r="12940">
      <c r="D12940" s="2" t="inlineStr">
        <is>
          <t>SUBTOTAL ALAT</t>
        </is>
      </c>
      <c r="F12940" s="16" t="n">
        <v>0</v>
      </c>
    </row>
    <row r="12941">
      <c r="E12941" s="2" t="inlineStr">
        <is>
          <t>TOTAL HARGA SATUAN (Inc. Overhead)</t>
        </is>
      </c>
      <c r="F12941" s="17" t="n">
        <v>315282</v>
      </c>
    </row>
    <row r="12943">
      <c r="A12943" s="14" t="inlineStr">
        <is>
          <t>KODE: 6.4.1.13 - Pemasangan 1 m pipa PVC AW, DN. 10" (250 mm)</t>
        </is>
      </c>
    </row>
    <row r="12944">
      <c r="A12944" s="10" t="inlineStr">
        <is>
          <t>No</t>
        </is>
      </c>
      <c r="B12944" s="10" t="inlineStr">
        <is>
          <t>Uraian Komponen</t>
        </is>
      </c>
      <c r="C12944" s="10" t="inlineStr">
        <is>
          <t>Satuan</t>
        </is>
      </c>
      <c r="D12944" s="10" t="inlineStr">
        <is>
          <t>Koef</t>
        </is>
      </c>
      <c r="E12944" s="10" t="inlineStr">
        <is>
          <t>Harga Satuan (Rp)</t>
        </is>
      </c>
      <c r="F12944" s="10" t="inlineStr">
        <is>
          <t>Jumlah Harga (Rp)</t>
        </is>
      </c>
    </row>
    <row r="12945">
      <c r="A12945" s="3" t="inlineStr">
        <is>
          <t>1</t>
        </is>
      </c>
      <c r="B12945" s="3" t="inlineStr">
        <is>
          <t>Pekerja</t>
        </is>
      </c>
      <c r="C12945" s="3" t="inlineStr">
        <is>
          <t>OH</t>
        </is>
      </c>
      <c r="D12945" s="15" t="n">
        <v>0.306</v>
      </c>
      <c r="E12945" s="4" t="n">
        <v>100000</v>
      </c>
      <c r="F12945" s="4" t="n">
        <v>30600</v>
      </c>
    </row>
    <row r="12946">
      <c r="A12946" s="3" t="inlineStr">
        <is>
          <t>2</t>
        </is>
      </c>
      <c r="B12946" s="3" t="inlineStr">
        <is>
          <t>Tukang pipa</t>
        </is>
      </c>
      <c r="C12946" s="3" t="inlineStr">
        <is>
          <t>OH</t>
        </is>
      </c>
      <c r="D12946" s="15" t="n">
        <v>0.511</v>
      </c>
      <c r="E12946" s="4" t="n">
        <v>145000</v>
      </c>
      <c r="F12946" s="4" t="n">
        <v>74095</v>
      </c>
    </row>
    <row r="12947">
      <c r="A12947" s="3" t="inlineStr">
        <is>
          <t>3</t>
        </is>
      </c>
      <c r="B12947" s="3" t="inlineStr">
        <is>
          <t>Kepala tukang</t>
        </is>
      </c>
      <c r="C12947" s="3" t="inlineStr">
        <is>
          <t>OH</t>
        </is>
      </c>
      <c r="D12947" s="15" t="n">
        <v>0.051</v>
      </c>
      <c r="E12947" s="4" t="n">
        <v>175000</v>
      </c>
      <c r="F12947" s="4" t="n">
        <v>8925</v>
      </c>
    </row>
    <row r="12948">
      <c r="A12948" s="3" t="inlineStr">
        <is>
          <t>4</t>
        </is>
      </c>
      <c r="B12948" s="3" t="inlineStr">
        <is>
          <t>Mandor</t>
        </is>
      </c>
      <c r="C12948" s="3" t="inlineStr">
        <is>
          <t>OH</t>
        </is>
      </c>
      <c r="D12948" s="15" t="n">
        <v>0.015</v>
      </c>
      <c r="E12948" s="4" t="n">
        <v>200000</v>
      </c>
      <c r="F12948" s="4" t="n">
        <v>3000</v>
      </c>
    </row>
    <row r="12949">
      <c r="A12949" s="3" t="inlineStr">
        <is>
          <t>fitting &amp; aksesoris"</t>
        </is>
      </c>
      <c r="B12949" s="3" t="inlineStr"/>
      <c r="C12949" s="3" t="inlineStr">
        <is>
          <t>m'</t>
        </is>
      </c>
      <c r="D12949" s="15" t="n">
        <v>1.45</v>
      </c>
      <c r="E12949" s="4" t="n">
        <v>232000</v>
      </c>
      <c r="F12949" s="4" t="n">
        <v>336400</v>
      </c>
    </row>
    <row r="12950">
      <c r="D12950" s="2" t="inlineStr">
        <is>
          <t>SUBTOTAL UPAH</t>
        </is>
      </c>
      <c r="F12950" s="16" t="n">
        <v>116620</v>
      </c>
    </row>
    <row r="12951">
      <c r="D12951" s="2" t="inlineStr">
        <is>
          <t>SUBTOTAL BAHAN</t>
        </is>
      </c>
      <c r="F12951" s="16" t="n">
        <v>336400</v>
      </c>
    </row>
    <row r="12952">
      <c r="D12952" s="2" t="inlineStr">
        <is>
          <t>SUBTOTAL ALAT</t>
        </is>
      </c>
      <c r="F12952" s="16" t="n">
        <v>0</v>
      </c>
    </row>
    <row r="12953">
      <c r="E12953" s="2" t="inlineStr">
        <is>
          <t>TOTAL HARGA SATUAN (Inc. Overhead)</t>
        </is>
      </c>
      <c r="F12953" s="17" t="n">
        <v>498322</v>
      </c>
    </row>
    <row r="12955">
      <c r="A12955" s="14" t="inlineStr">
        <is>
          <t>KODE: 6.4.1.14 - Pemasangan 1 m pipa PVC AW, DN. 12" (300 mm)</t>
        </is>
      </c>
    </row>
    <row r="12956">
      <c r="A12956" s="10" t="inlineStr">
        <is>
          <t>No</t>
        </is>
      </c>
      <c r="B12956" s="10" t="inlineStr">
        <is>
          <t>Uraian Komponen</t>
        </is>
      </c>
      <c r="C12956" s="10" t="inlineStr">
        <is>
          <t>Satuan</t>
        </is>
      </c>
      <c r="D12956" s="10" t="inlineStr">
        <is>
          <t>Koef</t>
        </is>
      </c>
      <c r="E12956" s="10" t="inlineStr">
        <is>
          <t>Harga Satuan (Rp)</t>
        </is>
      </c>
      <c r="F12956" s="10" t="inlineStr">
        <is>
          <t>Jumlah Harga (Rp)</t>
        </is>
      </c>
    </row>
    <row r="12957">
      <c r="A12957" s="3" t="inlineStr">
        <is>
          <t>1</t>
        </is>
      </c>
      <c r="B12957" s="3" t="inlineStr">
        <is>
          <t>Pekerja</t>
        </is>
      </c>
      <c r="C12957" s="3" t="inlineStr">
        <is>
          <t>OH</t>
        </is>
      </c>
      <c r="D12957" s="15" t="n">
        <v>0.367</v>
      </c>
      <c r="E12957" s="4" t="n">
        <v>100000</v>
      </c>
      <c r="F12957" s="4" t="n">
        <v>36700</v>
      </c>
    </row>
    <row r="12958">
      <c r="A12958" s="3" t="inlineStr">
        <is>
          <t>2</t>
        </is>
      </c>
      <c r="B12958" s="3" t="inlineStr">
        <is>
          <t>Tukang pipa</t>
        </is>
      </c>
      <c r="C12958" s="3" t="inlineStr">
        <is>
          <t>OH</t>
        </is>
      </c>
      <c r="D12958" s="15" t="n">
        <v>0.613</v>
      </c>
      <c r="E12958" s="4" t="n">
        <v>145000</v>
      </c>
      <c r="F12958" s="4" t="n">
        <v>88885</v>
      </c>
    </row>
    <row r="12959">
      <c r="A12959" s="3" t="inlineStr">
        <is>
          <t>3</t>
        </is>
      </c>
      <c r="B12959" s="3" t="inlineStr">
        <is>
          <t>Kepala tukang</t>
        </is>
      </c>
      <c r="C12959" s="3" t="inlineStr">
        <is>
          <t>OH</t>
        </is>
      </c>
      <c r="D12959" s="15" t="n">
        <v>0.061</v>
      </c>
      <c r="E12959" s="4" t="n">
        <v>175000</v>
      </c>
      <c r="F12959" s="4" t="n">
        <v>10675</v>
      </c>
    </row>
    <row r="12960">
      <c r="A12960" s="3" t="inlineStr">
        <is>
          <t>4</t>
        </is>
      </c>
      <c r="B12960" s="3" t="inlineStr">
        <is>
          <t>Mandor</t>
        </is>
      </c>
      <c r="C12960" s="3" t="inlineStr">
        <is>
          <t>OH</t>
        </is>
      </c>
      <c r="D12960" s="15" t="n">
        <v>0.018</v>
      </c>
      <c r="E12960" s="4" t="n">
        <v>200000</v>
      </c>
      <c r="F12960" s="4" t="n">
        <v>3600</v>
      </c>
    </row>
    <row r="12961">
      <c r="A12961" s="3" t="inlineStr">
        <is>
          <t>1</t>
        </is>
      </c>
      <c r="B12961" s="3" t="inlineStr">
        <is>
          <t>"Pipa PVC AW ; DN. 12"" (300 mm) + fitting &amp; aksesoris"</t>
        </is>
      </c>
      <c r="C12961" s="3" t="inlineStr">
        <is>
          <t>m'</t>
        </is>
      </c>
      <c r="D12961" s="15" t="n">
        <v>1.45</v>
      </c>
      <c r="E12961" s="4" t="n">
        <v>179000</v>
      </c>
      <c r="F12961" s="4" t="n">
        <v>259550</v>
      </c>
    </row>
    <row r="12962">
      <c r="D12962" s="2" t="inlineStr">
        <is>
          <t>SUBTOTAL UPAH</t>
        </is>
      </c>
      <c r="F12962" s="16" t="n">
        <v>139860</v>
      </c>
    </row>
    <row r="12963">
      <c r="D12963" s="2" t="inlineStr">
        <is>
          <t>SUBTOTAL BAHAN</t>
        </is>
      </c>
      <c r="F12963" s="16" t="n">
        <v>259550</v>
      </c>
    </row>
    <row r="12964">
      <c r="D12964" s="2" t="inlineStr">
        <is>
          <t>SUBTOTAL ALAT</t>
        </is>
      </c>
      <c r="F12964" s="16" t="n">
        <v>0</v>
      </c>
    </row>
    <row r="12965">
      <c r="E12965" s="2" t="inlineStr">
        <is>
          <t>TOTAL HARGA SATUAN (Inc. Overhead)</t>
        </is>
      </c>
      <c r="F12965" s="17" t="n">
        <v>439351</v>
      </c>
    </row>
    <row r="12967">
      <c r="A12967" s="14" t="inlineStr">
        <is>
          <t>KODE: 6.4.1.15 - Pemasangan 1 m pipa PVC AW, DN. 14" (350 mm)</t>
        </is>
      </c>
    </row>
    <row r="12968">
      <c r="A12968" s="10" t="inlineStr">
        <is>
          <t>No</t>
        </is>
      </c>
      <c r="B12968" s="10" t="inlineStr">
        <is>
          <t>Uraian Komponen</t>
        </is>
      </c>
      <c r="C12968" s="10" t="inlineStr">
        <is>
          <t>Satuan</t>
        </is>
      </c>
      <c r="D12968" s="10" t="inlineStr">
        <is>
          <t>Koef</t>
        </is>
      </c>
      <c r="E12968" s="10" t="inlineStr">
        <is>
          <t>Harga Satuan (Rp)</t>
        </is>
      </c>
      <c r="F12968" s="10" t="inlineStr">
        <is>
          <t>Jumlah Harga (Rp)</t>
        </is>
      </c>
    </row>
    <row r="12969">
      <c r="A12969" s="3" t="inlineStr">
        <is>
          <t>1</t>
        </is>
      </c>
      <c r="B12969" s="3" t="inlineStr">
        <is>
          <t>Pekerja</t>
        </is>
      </c>
      <c r="C12969" s="3" t="inlineStr">
        <is>
          <t>OH</t>
        </is>
      </c>
      <c r="D12969" s="15" t="n">
        <v>0.427</v>
      </c>
      <c r="E12969" s="4" t="n">
        <v>100000</v>
      </c>
      <c r="F12969" s="4" t="n">
        <v>42700</v>
      </c>
    </row>
    <row r="12970">
      <c r="A12970" s="3" t="inlineStr">
        <is>
          <t>2</t>
        </is>
      </c>
      <c r="B12970" s="3" t="inlineStr">
        <is>
          <t>Tukang pipa</t>
        </is>
      </c>
      <c r="C12970" s="3" t="inlineStr">
        <is>
          <t>OH</t>
        </is>
      </c>
      <c r="D12970" s="15" t="n">
        <v>0.713</v>
      </c>
      <c r="E12970" s="4" t="n">
        <v>145000</v>
      </c>
      <c r="F12970" s="4" t="n">
        <v>103385</v>
      </c>
    </row>
    <row r="12971">
      <c r="A12971" s="3" t="inlineStr">
        <is>
          <t>3</t>
        </is>
      </c>
      <c r="B12971" s="3" t="inlineStr">
        <is>
          <t>Kepala tukang</t>
        </is>
      </c>
      <c r="C12971" s="3" t="inlineStr">
        <is>
          <t>OH</t>
        </is>
      </c>
      <c r="D12971" s="15" t="n">
        <v>0.07099999999999999</v>
      </c>
      <c r="E12971" s="4" t="n">
        <v>175000</v>
      </c>
      <c r="F12971" s="4" t="n">
        <v>12425</v>
      </c>
    </row>
    <row r="12972">
      <c r="A12972" s="3" t="inlineStr">
        <is>
          <t>4</t>
        </is>
      </c>
      <c r="B12972" s="3" t="inlineStr">
        <is>
          <t>Mandor</t>
        </is>
      </c>
      <c r="C12972" s="3" t="inlineStr">
        <is>
          <t>OH</t>
        </is>
      </c>
      <c r="D12972" s="15" t="n">
        <v>0.021</v>
      </c>
      <c r="E12972" s="4" t="n">
        <v>200000</v>
      </c>
      <c r="F12972" s="4" t="n">
        <v>4200</v>
      </c>
    </row>
    <row r="12973">
      <c r="A12973" s="3" t="inlineStr">
        <is>
          <t>1</t>
        </is>
      </c>
      <c r="B12973" s="3" t="inlineStr">
        <is>
          <t>"Pipa PVC AW ; DN. 14"" (350 mm) + fitting &amp; aksesoris"</t>
        </is>
      </c>
      <c r="C12973" s="3" t="inlineStr">
        <is>
          <t>m'</t>
        </is>
      </c>
      <c r="D12973" s="15" t="n">
        <v>1.45</v>
      </c>
      <c r="E12973" s="4" t="n">
        <v>201000</v>
      </c>
      <c r="F12973" s="4" t="n">
        <v>291450</v>
      </c>
    </row>
    <row r="12974">
      <c r="D12974" s="2" t="inlineStr">
        <is>
          <t>SUBTOTAL UPAH</t>
        </is>
      </c>
      <c r="F12974" s="16" t="n">
        <v>162710</v>
      </c>
    </row>
    <row r="12975">
      <c r="D12975" s="2" t="inlineStr">
        <is>
          <t>SUBTOTAL BAHAN</t>
        </is>
      </c>
      <c r="F12975" s="16" t="n">
        <v>291450</v>
      </c>
    </row>
    <row r="12976">
      <c r="D12976" s="2" t="inlineStr">
        <is>
          <t>SUBTOTAL ALAT</t>
        </is>
      </c>
      <c r="F12976" s="16" t="n">
        <v>0</v>
      </c>
    </row>
    <row r="12977">
      <c r="E12977" s="2" t="inlineStr">
        <is>
          <t>TOTAL HARGA SATUAN (Inc. Overhead)</t>
        </is>
      </c>
      <c r="F12977" s="17" t="n">
        <v>499576</v>
      </c>
    </row>
    <row r="12979">
      <c r="A12979" s="14" t="inlineStr">
        <is>
          <t>KODE: 6.4.1.16 - Pemasangan 1 m pipa PVC AW, DN. 16" (400 mm)</t>
        </is>
      </c>
    </row>
    <row r="12980">
      <c r="A12980" s="10" t="inlineStr">
        <is>
          <t>No</t>
        </is>
      </c>
      <c r="B12980" s="10" t="inlineStr">
        <is>
          <t>Uraian Komponen</t>
        </is>
      </c>
      <c r="C12980" s="10" t="inlineStr">
        <is>
          <t>Satuan</t>
        </is>
      </c>
      <c r="D12980" s="10" t="inlineStr">
        <is>
          <t>Koef</t>
        </is>
      </c>
      <c r="E12980" s="10" t="inlineStr">
        <is>
          <t>Harga Satuan (Rp)</t>
        </is>
      </c>
      <c r="F12980" s="10" t="inlineStr">
        <is>
          <t>Jumlah Harga (Rp)</t>
        </is>
      </c>
    </row>
    <row r="12981">
      <c r="A12981" s="3" t="inlineStr">
        <is>
          <t>1</t>
        </is>
      </c>
      <c r="B12981" s="3" t="inlineStr">
        <is>
          <t>Pekerja</t>
        </is>
      </c>
      <c r="C12981" s="3" t="inlineStr">
        <is>
          <t>OH</t>
        </is>
      </c>
      <c r="D12981" s="15" t="n">
        <v>0.488</v>
      </c>
      <c r="E12981" s="4" t="n">
        <v>100000</v>
      </c>
      <c r="F12981" s="4" t="n">
        <v>48800</v>
      </c>
    </row>
    <row r="12982">
      <c r="A12982" s="3" t="inlineStr">
        <is>
          <t>2</t>
        </is>
      </c>
      <c r="B12982" s="3" t="inlineStr">
        <is>
          <t>Tukang pipa</t>
        </is>
      </c>
      <c r="C12982" s="3" t="inlineStr">
        <is>
          <t>OH</t>
        </is>
      </c>
      <c r="D12982" s="15" t="n">
        <v>0.8149999999999999</v>
      </c>
      <c r="E12982" s="4" t="n">
        <v>145000</v>
      </c>
      <c r="F12982" s="4" t="n">
        <v>118175</v>
      </c>
    </row>
    <row r="12983">
      <c r="A12983" s="3" t="inlineStr">
        <is>
          <t>3</t>
        </is>
      </c>
      <c r="B12983" s="3" t="inlineStr">
        <is>
          <t>Kepala tukang</t>
        </is>
      </c>
      <c r="C12983" s="3" t="inlineStr">
        <is>
          <t>OH</t>
        </is>
      </c>
      <c r="D12983" s="15" t="n">
        <v>0.081</v>
      </c>
      <c r="E12983" s="4" t="n">
        <v>175000</v>
      </c>
      <c r="F12983" s="4" t="n">
        <v>14175</v>
      </c>
    </row>
    <row r="12984">
      <c r="A12984" s="3" t="inlineStr">
        <is>
          <t>4</t>
        </is>
      </c>
      <c r="B12984" s="3" t="inlineStr">
        <is>
          <t>Mandor</t>
        </is>
      </c>
      <c r="C12984" s="3" t="inlineStr">
        <is>
          <t>OH</t>
        </is>
      </c>
      <c r="D12984" s="15" t="n">
        <v>0.024</v>
      </c>
      <c r="E12984" s="4" t="n">
        <v>200000</v>
      </c>
      <c r="F12984" s="4" t="n">
        <v>4800</v>
      </c>
    </row>
    <row r="12985">
      <c r="A12985" s="3" t="inlineStr">
        <is>
          <t>1</t>
        </is>
      </c>
      <c r="B12985" s="3" t="inlineStr">
        <is>
          <t>"Pipa PVC AW ; DN. 16"" (400 mm) + fitting &amp; aksesoris"</t>
        </is>
      </c>
      <c r="C12985" s="3" t="inlineStr">
        <is>
          <t>m'</t>
        </is>
      </c>
      <c r="D12985" s="15" t="n">
        <v>1.45</v>
      </c>
      <c r="E12985" s="4" t="n">
        <v>234000</v>
      </c>
      <c r="F12985" s="4" t="n">
        <v>339300</v>
      </c>
    </row>
    <row r="12986">
      <c r="D12986" s="2" t="inlineStr">
        <is>
          <t>SUBTOTAL UPAH</t>
        </is>
      </c>
      <c r="F12986" s="16" t="n">
        <v>185950</v>
      </c>
    </row>
    <row r="12987">
      <c r="D12987" s="2" t="inlineStr">
        <is>
          <t>SUBTOTAL BAHAN</t>
        </is>
      </c>
      <c r="F12987" s="16" t="n">
        <v>339300</v>
      </c>
    </row>
    <row r="12988">
      <c r="D12988" s="2" t="inlineStr">
        <is>
          <t>SUBTOTAL ALAT</t>
        </is>
      </c>
      <c r="F12988" s="16" t="n">
        <v>0</v>
      </c>
    </row>
    <row r="12989">
      <c r="E12989" s="2" t="inlineStr">
        <is>
          <t>TOTAL HARGA SATUAN (Inc. Overhead)</t>
        </is>
      </c>
      <c r="F12989" s="17" t="n">
        <v>577775</v>
      </c>
    </row>
    <row r="12991">
      <c r="A12991" s="14" t="inlineStr">
        <is>
          <t>KODE: 6.4.1.17 - Pemasangan 1 m pipa PVC D, DN. 1-1/4" (32 mm)</t>
        </is>
      </c>
    </row>
    <row r="12992">
      <c r="A12992" s="10" t="inlineStr">
        <is>
          <t>No</t>
        </is>
      </c>
      <c r="B12992" s="10" t="inlineStr">
        <is>
          <t>Uraian Komponen</t>
        </is>
      </c>
      <c r="C12992" s="10" t="inlineStr">
        <is>
          <t>Satuan</t>
        </is>
      </c>
      <c r="D12992" s="10" t="inlineStr">
        <is>
          <t>Koef</t>
        </is>
      </c>
      <c r="E12992" s="10" t="inlineStr">
        <is>
          <t>Harga Satuan (Rp)</t>
        </is>
      </c>
      <c r="F12992" s="10" t="inlineStr">
        <is>
          <t>Jumlah Harga (Rp)</t>
        </is>
      </c>
    </row>
    <row r="12993">
      <c r="A12993" s="3" t="inlineStr">
        <is>
          <t>1</t>
        </is>
      </c>
      <c r="B12993" s="3" t="inlineStr">
        <is>
          <t>Pekerja</t>
        </is>
      </c>
      <c r="C12993" s="3" t="inlineStr">
        <is>
          <t>OH</t>
        </is>
      </c>
      <c r="D12993" s="15" t="n">
        <v>0.04</v>
      </c>
      <c r="E12993" s="4" t="n">
        <v>100000</v>
      </c>
      <c r="F12993" s="4" t="n">
        <v>4000</v>
      </c>
    </row>
    <row r="12994">
      <c r="A12994" s="3" t="inlineStr">
        <is>
          <t>2</t>
        </is>
      </c>
      <c r="B12994" s="3" t="inlineStr">
        <is>
          <t>Tukang pipa</t>
        </is>
      </c>
      <c r="C12994" s="3" t="inlineStr">
        <is>
          <t>OH</t>
        </is>
      </c>
      <c r="D12994" s="15" t="n">
        <v>0.067</v>
      </c>
      <c r="E12994" s="4" t="n">
        <v>145000</v>
      </c>
      <c r="F12994" s="4" t="n">
        <v>9715</v>
      </c>
    </row>
    <row r="12995">
      <c r="A12995" s="3" t="inlineStr">
        <is>
          <t>3</t>
        </is>
      </c>
      <c r="B12995" s="3" t="inlineStr">
        <is>
          <t>Kepala tukang</t>
        </is>
      </c>
      <c r="C12995" s="3" t="inlineStr">
        <is>
          <t>OH</t>
        </is>
      </c>
      <c r="D12995" s="15" t="n">
        <v>0.007</v>
      </c>
      <c r="E12995" s="4" t="n">
        <v>175000</v>
      </c>
      <c r="F12995" s="4" t="n">
        <v>1225</v>
      </c>
    </row>
    <row r="12996">
      <c r="A12996" s="3" t="inlineStr">
        <is>
          <t>4</t>
        </is>
      </c>
      <c r="B12996" s="3" t="inlineStr">
        <is>
          <t>Mandor</t>
        </is>
      </c>
      <c r="C12996" s="3" t="inlineStr">
        <is>
          <t>OH</t>
        </is>
      </c>
      <c r="D12996" s="15" t="n">
        <v>0.002</v>
      </c>
      <c r="E12996" s="4" t="n">
        <v>200000</v>
      </c>
      <c r="F12996" s="4" t="n">
        <v>400</v>
      </c>
    </row>
    <row r="12997">
      <c r="A12997" s="3" t="inlineStr">
        <is>
          <t>1</t>
        </is>
      </c>
      <c r="B12997" s="3" t="inlineStr">
        <is>
          <t>"Pipa PVC D ; DN. 1-1/4"" (32 mm) + fitting &amp; aksesoris"</t>
        </is>
      </c>
      <c r="C12997" s="3" t="inlineStr">
        <is>
          <t>m'</t>
        </is>
      </c>
      <c r="D12997" s="15" t="n">
        <v>1.45</v>
      </c>
      <c r="E12997" s="4" t="n">
        <v>11000</v>
      </c>
      <c r="F12997" s="4" t="n">
        <v>15950</v>
      </c>
    </row>
    <row r="12998">
      <c r="D12998" s="2" t="inlineStr">
        <is>
          <t>SUBTOTAL UPAH</t>
        </is>
      </c>
      <c r="F12998" s="16" t="n">
        <v>15340</v>
      </c>
    </row>
    <row r="12999">
      <c r="D12999" s="2" t="inlineStr">
        <is>
          <t>SUBTOTAL BAHAN</t>
        </is>
      </c>
      <c r="F12999" s="16" t="n">
        <v>15950</v>
      </c>
    </row>
    <row r="13000">
      <c r="D13000" s="2" t="inlineStr">
        <is>
          <t>SUBTOTAL ALAT</t>
        </is>
      </c>
      <c r="F13000" s="16" t="n">
        <v>0</v>
      </c>
    </row>
    <row r="13001">
      <c r="E13001" s="2" t="inlineStr">
        <is>
          <t>TOTAL HARGA SATUAN (Inc. Overhead)</t>
        </is>
      </c>
      <c r="F13001" s="17" t="n">
        <v>34419</v>
      </c>
    </row>
    <row r="13003">
      <c r="A13003" s="14" t="inlineStr">
        <is>
          <t>KODE: 6.4.1.18 - Pemasangan 1 m pipa PVC D, DN. 1-1/2" (40 mm)</t>
        </is>
      </c>
    </row>
    <row r="13004">
      <c r="A13004" s="10" t="inlineStr">
        <is>
          <t>No</t>
        </is>
      </c>
      <c r="B13004" s="10" t="inlineStr">
        <is>
          <t>Uraian Komponen</t>
        </is>
      </c>
      <c r="C13004" s="10" t="inlineStr">
        <is>
          <t>Satuan</t>
        </is>
      </c>
      <c r="D13004" s="10" t="inlineStr">
        <is>
          <t>Koef</t>
        </is>
      </c>
      <c r="E13004" s="10" t="inlineStr">
        <is>
          <t>Harga Satuan (Rp)</t>
        </is>
      </c>
      <c r="F13004" s="10" t="inlineStr">
        <is>
          <t>Jumlah Harga (Rp)</t>
        </is>
      </c>
    </row>
    <row r="13005">
      <c r="A13005" s="3" t="inlineStr">
        <is>
          <t>1</t>
        </is>
      </c>
      <c r="B13005" s="3" t="inlineStr">
        <is>
          <t>Pekerja</t>
        </is>
      </c>
      <c r="C13005" s="3" t="inlineStr">
        <is>
          <t>OH</t>
        </is>
      </c>
      <c r="D13005" s="15" t="n">
        <v>0.048</v>
      </c>
      <c r="E13005" s="4" t="n">
        <v>100000</v>
      </c>
      <c r="F13005" s="4" t="n">
        <v>4800</v>
      </c>
    </row>
    <row r="13006">
      <c r="A13006" s="3" t="inlineStr">
        <is>
          <t>2</t>
        </is>
      </c>
      <c r="B13006" s="3" t="inlineStr">
        <is>
          <t>Tukang pipa</t>
        </is>
      </c>
      <c r="C13006" s="3" t="inlineStr">
        <is>
          <t>OH</t>
        </is>
      </c>
      <c r="D13006" s="15" t="n">
        <v>0.08</v>
      </c>
      <c r="E13006" s="4" t="n">
        <v>145000</v>
      </c>
      <c r="F13006" s="4" t="n">
        <v>11600</v>
      </c>
    </row>
    <row r="13007">
      <c r="A13007" s="3" t="inlineStr">
        <is>
          <t>3</t>
        </is>
      </c>
      <c r="B13007" s="3" t="inlineStr">
        <is>
          <t>Kepala tukang</t>
        </is>
      </c>
      <c r="C13007" s="3" t="inlineStr">
        <is>
          <t>OH</t>
        </is>
      </c>
      <c r="D13007" s="15" t="n">
        <v>0.008</v>
      </c>
      <c r="E13007" s="4" t="n">
        <v>175000</v>
      </c>
      <c r="F13007" s="4" t="n">
        <v>1400</v>
      </c>
    </row>
    <row r="13008">
      <c r="A13008" s="3" t="inlineStr">
        <is>
          <t>4</t>
        </is>
      </c>
      <c r="B13008" s="3" t="inlineStr">
        <is>
          <t>Mandor</t>
        </is>
      </c>
      <c r="C13008" s="3" t="inlineStr">
        <is>
          <t>OH</t>
        </is>
      </c>
      <c r="D13008" s="15" t="n">
        <v>0.002</v>
      </c>
      <c r="E13008" s="4" t="n">
        <v>200000</v>
      </c>
      <c r="F13008" s="4" t="n">
        <v>400</v>
      </c>
    </row>
    <row r="13009">
      <c r="A13009" s="3" t="inlineStr">
        <is>
          <t>1</t>
        </is>
      </c>
      <c r="B13009" s="3" t="inlineStr">
        <is>
          <t>"Pipa PVC D ; DN. 1-1/2"" (40 mm) + fitting &amp; aksesoris"</t>
        </is>
      </c>
      <c r="C13009" s="3" t="inlineStr">
        <is>
          <t>m'</t>
        </is>
      </c>
      <c r="D13009" s="15" t="n">
        <v>1.45</v>
      </c>
      <c r="E13009" s="4" t="n">
        <v>12000</v>
      </c>
      <c r="F13009" s="4" t="n">
        <v>17400</v>
      </c>
    </row>
    <row r="13010">
      <c r="D13010" s="2" t="inlineStr">
        <is>
          <t>SUBTOTAL UPAH</t>
        </is>
      </c>
      <c r="F13010" s="16" t="n">
        <v>18200</v>
      </c>
    </row>
    <row r="13011">
      <c r="D13011" s="2" t="inlineStr">
        <is>
          <t>SUBTOTAL BAHAN</t>
        </is>
      </c>
      <c r="F13011" s="16" t="n">
        <v>17400</v>
      </c>
    </row>
    <row r="13012">
      <c r="D13012" s="2" t="inlineStr">
        <is>
          <t>SUBTOTAL ALAT</t>
        </is>
      </c>
      <c r="F13012" s="16" t="n">
        <v>0</v>
      </c>
    </row>
    <row r="13013">
      <c r="E13013" s="2" t="inlineStr">
        <is>
          <t>TOTAL HARGA SATUAN (Inc. Overhead)</t>
        </is>
      </c>
      <c r="F13013" s="17" t="n">
        <v>39160</v>
      </c>
    </row>
    <row r="13015">
      <c r="A13015" s="14" t="inlineStr">
        <is>
          <t>KODE: 6.4.1.19 - Pemasangan 1 m pipa PVC D, DN. 2" (50 mm)</t>
        </is>
      </c>
    </row>
    <row r="13016">
      <c r="A13016" s="10" t="inlineStr">
        <is>
          <t>No</t>
        </is>
      </c>
      <c r="B13016" s="10" t="inlineStr">
        <is>
          <t>Uraian Komponen</t>
        </is>
      </c>
      <c r="C13016" s="10" t="inlineStr">
        <is>
          <t>Satuan</t>
        </is>
      </c>
      <c r="D13016" s="10" t="inlineStr">
        <is>
          <t>Koef</t>
        </is>
      </c>
      <c r="E13016" s="10" t="inlineStr">
        <is>
          <t>Harga Satuan (Rp)</t>
        </is>
      </c>
      <c r="F13016" s="10" t="inlineStr">
        <is>
          <t>Jumlah Harga (Rp)</t>
        </is>
      </c>
    </row>
    <row r="13017">
      <c r="A13017" s="3" t="inlineStr">
        <is>
          <t>1</t>
        </is>
      </c>
      <c r="B13017" s="3" t="inlineStr">
        <is>
          <t>Pekerja</t>
        </is>
      </c>
      <c r="C13017" s="3" t="inlineStr">
        <is>
          <t>OH</t>
        </is>
      </c>
      <c r="D13017" s="15" t="n">
        <v>0.063</v>
      </c>
      <c r="E13017" s="4" t="n">
        <v>100000</v>
      </c>
      <c r="F13017" s="4" t="n">
        <v>6300</v>
      </c>
    </row>
    <row r="13018">
      <c r="A13018" s="3" t="inlineStr">
        <is>
          <t>2</t>
        </is>
      </c>
      <c r="B13018" s="3" t="inlineStr">
        <is>
          <t>Tukang pipa</t>
        </is>
      </c>
      <c r="C13018" s="3" t="inlineStr">
        <is>
          <t>OH</t>
        </is>
      </c>
      <c r="D13018" s="15" t="n">
        <v>0.104</v>
      </c>
      <c r="E13018" s="4" t="n">
        <v>145000</v>
      </c>
      <c r="F13018" s="4" t="n">
        <v>15080</v>
      </c>
    </row>
    <row r="13019">
      <c r="A13019" s="3" t="inlineStr">
        <is>
          <t>3</t>
        </is>
      </c>
      <c r="B13019" s="3" t="inlineStr">
        <is>
          <t>Kepala tukang</t>
        </is>
      </c>
      <c r="C13019" s="3" t="inlineStr">
        <is>
          <t>OH</t>
        </is>
      </c>
      <c r="D13019" s="15" t="n">
        <v>0.01</v>
      </c>
      <c r="E13019" s="4" t="n">
        <v>175000</v>
      </c>
      <c r="F13019" s="4" t="n">
        <v>1750</v>
      </c>
    </row>
    <row r="13020">
      <c r="A13020" s="3" t="inlineStr">
        <is>
          <t>4</t>
        </is>
      </c>
      <c r="B13020" s="3" t="inlineStr">
        <is>
          <t>Mandor</t>
        </is>
      </c>
      <c r="C13020" s="3" t="inlineStr">
        <is>
          <t>OH</t>
        </is>
      </c>
      <c r="D13020" s="15" t="n">
        <v>0.003</v>
      </c>
      <c r="E13020" s="4" t="n">
        <v>200000</v>
      </c>
      <c r="F13020" s="4" t="n">
        <v>600</v>
      </c>
    </row>
    <row r="13021">
      <c r="A13021" s="3" t="inlineStr">
        <is>
          <t>1</t>
        </is>
      </c>
      <c r="B13021" s="3" t="inlineStr">
        <is>
          <t>"Pipa PVC D ; DN. 2"" (50 mm) + fitting &amp; aksesoris"</t>
        </is>
      </c>
      <c r="C13021" s="3" t="inlineStr">
        <is>
          <t>m'</t>
        </is>
      </c>
      <c r="D13021" s="15" t="n">
        <v>1.45</v>
      </c>
      <c r="E13021" s="4" t="n">
        <v>15000</v>
      </c>
      <c r="F13021" s="4" t="n">
        <v>21750</v>
      </c>
    </row>
    <row r="13022">
      <c r="D13022" s="2" t="inlineStr">
        <is>
          <t>SUBTOTAL UPAH</t>
        </is>
      </c>
      <c r="F13022" s="16" t="n">
        <v>23730</v>
      </c>
    </row>
    <row r="13023">
      <c r="D13023" s="2" t="inlineStr">
        <is>
          <t>SUBTOTAL BAHAN</t>
        </is>
      </c>
      <c r="F13023" s="16" t="n">
        <v>21750</v>
      </c>
    </row>
    <row r="13024">
      <c r="D13024" s="2" t="inlineStr">
        <is>
          <t>SUBTOTAL ALAT</t>
        </is>
      </c>
      <c r="F13024" s="16" t="n">
        <v>0</v>
      </c>
    </row>
    <row r="13025">
      <c r="E13025" s="2" t="inlineStr">
        <is>
          <t>TOTAL HARGA SATUAN (Inc. Overhead)</t>
        </is>
      </c>
      <c r="F13025" s="17" t="n">
        <v>50028</v>
      </c>
    </row>
    <row r="13027">
      <c r="A13027" s="14" t="inlineStr">
        <is>
          <t>KODE: 6.4.1.20 - Pemasangan 1 m pipa PVC D, DN. 2-1/2" (65 mm)</t>
        </is>
      </c>
    </row>
    <row r="13028">
      <c r="A13028" s="10" t="inlineStr">
        <is>
          <t>No</t>
        </is>
      </c>
      <c r="B13028" s="10" t="inlineStr">
        <is>
          <t>Uraian Komponen</t>
        </is>
      </c>
      <c r="C13028" s="10" t="inlineStr">
        <is>
          <t>Satuan</t>
        </is>
      </c>
      <c r="D13028" s="10" t="inlineStr">
        <is>
          <t>Koef</t>
        </is>
      </c>
      <c r="E13028" s="10" t="inlineStr">
        <is>
          <t>Harga Satuan (Rp)</t>
        </is>
      </c>
      <c r="F13028" s="10" t="inlineStr">
        <is>
          <t>Jumlah Harga (Rp)</t>
        </is>
      </c>
    </row>
    <row r="13029">
      <c r="A13029" s="3" t="inlineStr">
        <is>
          <t>1</t>
        </is>
      </c>
      <c r="B13029" s="3" t="inlineStr">
        <is>
          <t>Pekerja</t>
        </is>
      </c>
      <c r="C13029" s="3" t="inlineStr">
        <is>
          <t>OH</t>
        </is>
      </c>
      <c r="D13029" s="15" t="n">
        <v>0.077</v>
      </c>
      <c r="E13029" s="4" t="n">
        <v>100000</v>
      </c>
      <c r="F13029" s="4" t="n">
        <v>7700</v>
      </c>
    </row>
    <row r="13030">
      <c r="A13030" s="3" t="inlineStr">
        <is>
          <t>2</t>
        </is>
      </c>
      <c r="B13030" s="3" t="inlineStr">
        <is>
          <t>Tukang pipa</t>
        </is>
      </c>
      <c r="C13030" s="3" t="inlineStr">
        <is>
          <t>OH</t>
        </is>
      </c>
      <c r="D13030" s="15" t="n">
        <v>0.129</v>
      </c>
      <c r="E13030" s="4" t="n">
        <v>145000</v>
      </c>
      <c r="F13030" s="4" t="n">
        <v>18705</v>
      </c>
    </row>
    <row r="13031">
      <c r="A13031" s="3" t="inlineStr">
        <is>
          <t>3</t>
        </is>
      </c>
      <c r="B13031" s="3" t="inlineStr">
        <is>
          <t>Kepala tukang</t>
        </is>
      </c>
      <c r="C13031" s="3" t="inlineStr">
        <is>
          <t>OH</t>
        </is>
      </c>
      <c r="D13031" s="15" t="n">
        <v>0.013</v>
      </c>
      <c r="E13031" s="4" t="n">
        <v>175000</v>
      </c>
      <c r="F13031" s="4" t="n">
        <v>2275</v>
      </c>
    </row>
    <row r="13032">
      <c r="A13032" s="3" t="inlineStr">
        <is>
          <t>4</t>
        </is>
      </c>
      <c r="B13032" s="3" t="inlineStr">
        <is>
          <t>Mandor</t>
        </is>
      </c>
      <c r="C13032" s="3" t="inlineStr">
        <is>
          <t>OH</t>
        </is>
      </c>
      <c r="D13032" s="15" t="n">
        <v>0.004</v>
      </c>
      <c r="E13032" s="4" t="n">
        <v>200000</v>
      </c>
      <c r="F13032" s="4" t="n">
        <v>800</v>
      </c>
    </row>
    <row r="13033">
      <c r="A13033" s="3" t="inlineStr">
        <is>
          <t>fitting &amp; aksesoris"</t>
        </is>
      </c>
      <c r="B13033" s="3" t="inlineStr"/>
      <c r="C13033" s="3" t="inlineStr">
        <is>
          <t>m'</t>
        </is>
      </c>
      <c r="D13033" s="15" t="n">
        <v>1.45</v>
      </c>
      <c r="E13033" s="4" t="n">
        <v>21000</v>
      </c>
      <c r="F13033" s="4" t="n">
        <v>30450</v>
      </c>
    </row>
    <row r="13034">
      <c r="D13034" s="2" t="inlineStr">
        <is>
          <t>SUBTOTAL UPAH</t>
        </is>
      </c>
      <c r="F13034" s="16" t="n">
        <v>29480</v>
      </c>
    </row>
    <row r="13035">
      <c r="D13035" s="2" t="inlineStr">
        <is>
          <t>SUBTOTAL BAHAN</t>
        </is>
      </c>
      <c r="F13035" s="16" t="n">
        <v>30450</v>
      </c>
    </row>
    <row r="13036">
      <c r="D13036" s="2" t="inlineStr">
        <is>
          <t>SUBTOTAL ALAT</t>
        </is>
      </c>
      <c r="F13036" s="16" t="n">
        <v>0</v>
      </c>
    </row>
    <row r="13037">
      <c r="E13037" s="2" t="inlineStr">
        <is>
          <t>TOTAL HARGA SATUAN (Inc. Overhead)</t>
        </is>
      </c>
      <c r="F13037" s="17" t="n">
        <v>65923</v>
      </c>
    </row>
    <row r="13039">
      <c r="A13039" s="14" t="inlineStr">
        <is>
          <t>KODE: 6.4.1.21 - Pemasangan 1 m pipa PVC D, DN. 3" (80 mm)</t>
        </is>
      </c>
    </row>
    <row r="13040">
      <c r="A13040" s="10" t="inlineStr">
        <is>
          <t>No</t>
        </is>
      </c>
      <c r="B13040" s="10" t="inlineStr">
        <is>
          <t>Uraian Komponen</t>
        </is>
      </c>
      <c r="C13040" s="10" t="inlineStr">
        <is>
          <t>Satuan</t>
        </is>
      </c>
      <c r="D13040" s="10" t="inlineStr">
        <is>
          <t>Koef</t>
        </is>
      </c>
      <c r="E13040" s="10" t="inlineStr">
        <is>
          <t>Harga Satuan (Rp)</t>
        </is>
      </c>
      <c r="F13040" s="10" t="inlineStr">
        <is>
          <t>Jumlah Harga (Rp)</t>
        </is>
      </c>
    </row>
    <row r="13041">
      <c r="A13041" s="3" t="inlineStr">
        <is>
          <t>1</t>
        </is>
      </c>
      <c r="B13041" s="3" t="inlineStr">
        <is>
          <t>Pekerja</t>
        </is>
      </c>
      <c r="C13041" s="3" t="inlineStr">
        <is>
          <t>OH</t>
        </is>
      </c>
      <c r="D13041" s="15" t="n">
        <v>0.094</v>
      </c>
      <c r="E13041" s="4" t="n">
        <v>100000</v>
      </c>
      <c r="F13041" s="4" t="n">
        <v>9400</v>
      </c>
    </row>
    <row r="13042">
      <c r="A13042" s="3" t="inlineStr">
        <is>
          <t>2</t>
        </is>
      </c>
      <c r="B13042" s="3" t="inlineStr">
        <is>
          <t>Tukang pipa</t>
        </is>
      </c>
      <c r="C13042" s="3" t="inlineStr">
        <is>
          <t>OH</t>
        </is>
      </c>
      <c r="D13042" s="15" t="n">
        <v>0.157</v>
      </c>
      <c r="E13042" s="4" t="n">
        <v>145000</v>
      </c>
      <c r="F13042" s="4" t="n">
        <v>22765</v>
      </c>
    </row>
    <row r="13043">
      <c r="A13043" s="3" t="inlineStr">
        <is>
          <t>3</t>
        </is>
      </c>
      <c r="B13043" s="3" t="inlineStr">
        <is>
          <t>Kepala tukang</t>
        </is>
      </c>
      <c r="C13043" s="3" t="inlineStr">
        <is>
          <t>OH</t>
        </is>
      </c>
      <c r="D13043" s="15" t="n">
        <v>0.016</v>
      </c>
      <c r="E13043" s="4" t="n">
        <v>175000</v>
      </c>
      <c r="F13043" s="4" t="n">
        <v>2800</v>
      </c>
    </row>
    <row r="13044">
      <c r="A13044" s="3" t="inlineStr">
        <is>
          <t>4</t>
        </is>
      </c>
      <c r="B13044" s="3" t="inlineStr">
        <is>
          <t>Mandor</t>
        </is>
      </c>
      <c r="C13044" s="3" t="inlineStr">
        <is>
          <t>OH</t>
        </is>
      </c>
      <c r="D13044" s="15" t="n">
        <v>0.005</v>
      </c>
      <c r="E13044" s="4" t="n">
        <v>200000</v>
      </c>
      <c r="F13044" s="4" t="n">
        <v>1000</v>
      </c>
    </row>
    <row r="13045">
      <c r="A13045" s="3" t="inlineStr">
        <is>
          <t>aksesoris"</t>
        </is>
      </c>
      <c r="B13045" s="3" t="inlineStr"/>
      <c r="C13045" s="3" t="inlineStr">
        <is>
          <t>m'</t>
        </is>
      </c>
      <c r="D13045" s="15" t="n">
        <v>1.45</v>
      </c>
      <c r="E13045" s="4" t="n">
        <v>29000</v>
      </c>
      <c r="F13045" s="4" t="n">
        <v>42050</v>
      </c>
    </row>
    <row r="13046">
      <c r="D13046" s="2" t="inlineStr">
        <is>
          <t>SUBTOTAL UPAH</t>
        </is>
      </c>
      <c r="F13046" s="16" t="n">
        <v>35965</v>
      </c>
    </row>
    <row r="13047">
      <c r="D13047" s="2" t="inlineStr">
        <is>
          <t>SUBTOTAL BAHAN</t>
        </is>
      </c>
      <c r="F13047" s="16" t="n">
        <v>42050</v>
      </c>
    </row>
    <row r="13048">
      <c r="D13048" s="2" t="inlineStr">
        <is>
          <t>SUBTOTAL ALAT</t>
        </is>
      </c>
      <c r="F13048" s="16" t="n">
        <v>0</v>
      </c>
    </row>
    <row r="13049">
      <c r="E13049" s="2" t="inlineStr">
        <is>
          <t>TOTAL HARGA SATUAN (Inc. Overhead)</t>
        </is>
      </c>
      <c r="F13049" s="17" t="n">
        <v>85816</v>
      </c>
    </row>
    <row r="13051">
      <c r="A13051" s="14" t="inlineStr">
        <is>
          <t>KODE: 6.4.1.22 - Pemasangan 1 m pipa PVC D, DN. 4" (100 mm)</t>
        </is>
      </c>
    </row>
    <row r="13052">
      <c r="A13052" s="10" t="inlineStr">
        <is>
          <t>No</t>
        </is>
      </c>
      <c r="B13052" s="10" t="inlineStr">
        <is>
          <t>Uraian Komponen</t>
        </is>
      </c>
      <c r="C13052" s="10" t="inlineStr">
        <is>
          <t>Satuan</t>
        </is>
      </c>
      <c r="D13052" s="10" t="inlineStr">
        <is>
          <t>Koef</t>
        </is>
      </c>
      <c r="E13052" s="10" t="inlineStr">
        <is>
          <t>Harga Satuan (Rp)</t>
        </is>
      </c>
      <c r="F13052" s="10" t="inlineStr">
        <is>
          <t>Jumlah Harga (Rp)</t>
        </is>
      </c>
    </row>
    <row r="13053">
      <c r="A13053" s="3" t="inlineStr">
        <is>
          <t>1</t>
        </is>
      </c>
      <c r="B13053" s="3" t="inlineStr">
        <is>
          <t>Pekerja</t>
        </is>
      </c>
      <c r="C13053" s="3" t="inlineStr">
        <is>
          <t>OH</t>
        </is>
      </c>
      <c r="D13053" s="15" t="n">
        <v>0.123</v>
      </c>
      <c r="E13053" s="4" t="n">
        <v>100000</v>
      </c>
      <c r="F13053" s="4" t="n">
        <v>12300</v>
      </c>
    </row>
    <row r="13054">
      <c r="A13054" s="3" t="inlineStr">
        <is>
          <t>2</t>
        </is>
      </c>
      <c r="B13054" s="3" t="inlineStr">
        <is>
          <t>Tukang pipa</t>
        </is>
      </c>
      <c r="C13054" s="3" t="inlineStr">
        <is>
          <t>OH</t>
        </is>
      </c>
      <c r="D13054" s="15" t="n">
        <v>0.205</v>
      </c>
      <c r="E13054" s="4" t="n">
        <v>145000</v>
      </c>
      <c r="F13054" s="4" t="n">
        <v>29725</v>
      </c>
    </row>
    <row r="13055">
      <c r="A13055" s="3" t="inlineStr">
        <is>
          <t>3</t>
        </is>
      </c>
      <c r="B13055" s="3" t="inlineStr">
        <is>
          <t>Kepala tukang</t>
        </is>
      </c>
      <c r="C13055" s="3" t="inlineStr">
        <is>
          <t>OH</t>
        </is>
      </c>
      <c r="D13055" s="15" t="n">
        <v>0.021</v>
      </c>
      <c r="E13055" s="4" t="n">
        <v>175000</v>
      </c>
      <c r="F13055" s="4" t="n">
        <v>3675</v>
      </c>
    </row>
    <row r="13056">
      <c r="A13056" s="3" t="inlineStr">
        <is>
          <t>4</t>
        </is>
      </c>
      <c r="B13056" s="3" t="inlineStr">
        <is>
          <t>Mandor</t>
        </is>
      </c>
      <c r="C13056" s="3" t="inlineStr">
        <is>
          <t>OH</t>
        </is>
      </c>
      <c r="D13056" s="15" t="n">
        <v>0.006</v>
      </c>
      <c r="E13056" s="4" t="n">
        <v>200000</v>
      </c>
      <c r="F13056" s="4" t="n">
        <v>1200</v>
      </c>
    </row>
    <row r="13057">
      <c r="A13057" s="3" t="inlineStr">
        <is>
          <t>1</t>
        </is>
      </c>
      <c r="B13057" s="3" t="inlineStr">
        <is>
          <t>"Pipa PVC D ; DN. 4"" (100 mm) + fitting &amp; aksesoris"</t>
        </is>
      </c>
      <c r="C13057" s="3" t="inlineStr">
        <is>
          <t>m'</t>
        </is>
      </c>
      <c r="D13057" s="15" t="n">
        <v>1.45</v>
      </c>
      <c r="E13057" s="4" t="n">
        <v>40000</v>
      </c>
      <c r="F13057" s="4" t="n">
        <v>58000</v>
      </c>
    </row>
    <row r="13058">
      <c r="D13058" s="2" t="inlineStr">
        <is>
          <t>SUBTOTAL UPAH</t>
        </is>
      </c>
      <c r="F13058" s="16" t="n">
        <v>46900</v>
      </c>
    </row>
    <row r="13059">
      <c r="D13059" s="2" t="inlineStr">
        <is>
          <t>SUBTOTAL BAHAN</t>
        </is>
      </c>
      <c r="F13059" s="16" t="n">
        <v>58000</v>
      </c>
    </row>
    <row r="13060">
      <c r="D13060" s="2" t="inlineStr">
        <is>
          <t>SUBTOTAL ALAT</t>
        </is>
      </c>
      <c r="F13060" s="16" t="n">
        <v>0</v>
      </c>
    </row>
    <row r="13061">
      <c r="E13061" s="2" t="inlineStr">
        <is>
          <t>TOTAL HARGA SATUAN (Inc. Overhead)</t>
        </is>
      </c>
      <c r="F13061" s="17" t="n">
        <v>115390</v>
      </c>
    </row>
    <row r="13063">
      <c r="A13063" s="14" t="inlineStr">
        <is>
          <t>KODE: 6.4.1.23 - Pemasangan 1 m pipa PVC D, DN. 5" (125 mm)</t>
        </is>
      </c>
    </row>
    <row r="13064">
      <c r="A13064" s="10" t="inlineStr">
        <is>
          <t>No</t>
        </is>
      </c>
      <c r="B13064" s="10" t="inlineStr">
        <is>
          <t>Uraian Komponen</t>
        </is>
      </c>
      <c r="C13064" s="10" t="inlineStr">
        <is>
          <t>Satuan</t>
        </is>
      </c>
      <c r="D13064" s="10" t="inlineStr">
        <is>
          <t>Koef</t>
        </is>
      </c>
      <c r="E13064" s="10" t="inlineStr">
        <is>
          <t>Harga Satuan (Rp)</t>
        </is>
      </c>
      <c r="F13064" s="10" t="inlineStr">
        <is>
          <t>Jumlah Harga (Rp)</t>
        </is>
      </c>
    </row>
    <row r="13065">
      <c r="A13065" s="3" t="inlineStr">
        <is>
          <t>1</t>
        </is>
      </c>
      <c r="B13065" s="3" t="inlineStr">
        <is>
          <t>Pekerja</t>
        </is>
      </c>
      <c r="C13065" s="3" t="inlineStr">
        <is>
          <t>OH</t>
        </is>
      </c>
      <c r="D13065" s="15" t="n">
        <v>0.152</v>
      </c>
      <c r="E13065" s="4" t="n">
        <v>100000</v>
      </c>
      <c r="F13065" s="4" t="n">
        <v>15200</v>
      </c>
    </row>
    <row r="13066">
      <c r="A13066" s="3" t="inlineStr">
        <is>
          <t>2</t>
        </is>
      </c>
      <c r="B13066" s="3" t="inlineStr">
        <is>
          <t>Tukang pipa</t>
        </is>
      </c>
      <c r="C13066" s="3" t="inlineStr">
        <is>
          <t>OH</t>
        </is>
      </c>
      <c r="D13066" s="15" t="n">
        <v>0.254</v>
      </c>
      <c r="E13066" s="4" t="n">
        <v>145000</v>
      </c>
      <c r="F13066" s="4" t="n">
        <v>36830</v>
      </c>
    </row>
    <row r="13067">
      <c r="A13067" s="3" t="inlineStr">
        <is>
          <t>3</t>
        </is>
      </c>
      <c r="B13067" s="3" t="inlineStr">
        <is>
          <t>Kepala tukang</t>
        </is>
      </c>
      <c r="C13067" s="3" t="inlineStr">
        <is>
          <t>OH</t>
        </is>
      </c>
      <c r="D13067" s="15" t="n">
        <v>0.025</v>
      </c>
      <c r="E13067" s="4" t="n">
        <v>175000</v>
      </c>
      <c r="F13067" s="4" t="n">
        <v>4375</v>
      </c>
    </row>
    <row r="13068">
      <c r="A13068" s="3" t="inlineStr">
        <is>
          <t>4</t>
        </is>
      </c>
      <c r="B13068" s="3" t="inlineStr">
        <is>
          <t>Mandor</t>
        </is>
      </c>
      <c r="C13068" s="3" t="inlineStr">
        <is>
          <t>OH</t>
        </is>
      </c>
      <c r="D13068" s="15" t="n">
        <v>0.008</v>
      </c>
      <c r="E13068" s="4" t="n">
        <v>200000</v>
      </c>
      <c r="F13068" s="4" t="n">
        <v>1600</v>
      </c>
    </row>
    <row r="13069">
      <c r="A13069" s="3" t="inlineStr">
        <is>
          <t>1</t>
        </is>
      </c>
      <c r="B13069" s="3" t="inlineStr">
        <is>
          <t>"Pipa PVC D ; DN. 5"" (125 mm) + fitting &amp; aksesoris"</t>
        </is>
      </c>
      <c r="C13069" s="3" t="inlineStr">
        <is>
          <t>m'</t>
        </is>
      </c>
      <c r="D13069" s="15" t="n">
        <v>1.45</v>
      </c>
      <c r="E13069" s="4" t="n">
        <v>64000</v>
      </c>
      <c r="F13069" s="4" t="n">
        <v>92800</v>
      </c>
    </row>
    <row r="13070">
      <c r="D13070" s="2" t="inlineStr">
        <is>
          <t>SUBTOTAL UPAH</t>
        </is>
      </c>
      <c r="F13070" s="16" t="n">
        <v>58005</v>
      </c>
    </row>
    <row r="13071">
      <c r="D13071" s="2" t="inlineStr">
        <is>
          <t>SUBTOTAL BAHAN</t>
        </is>
      </c>
      <c r="F13071" s="16" t="n">
        <v>92800</v>
      </c>
    </row>
    <row r="13072">
      <c r="D13072" s="2" t="inlineStr">
        <is>
          <t>SUBTOTAL ALAT</t>
        </is>
      </c>
      <c r="F13072" s="16" t="n">
        <v>0</v>
      </c>
    </row>
    <row r="13073">
      <c r="E13073" s="2" t="inlineStr">
        <is>
          <t>TOTAL HARGA SATUAN (Inc. Overhead)</t>
        </is>
      </c>
      <c r="F13073" s="17" t="n">
        <v>165885</v>
      </c>
    </row>
    <row r="13075">
      <c r="A13075" s="14" t="inlineStr">
        <is>
          <t>KODE: 6.4.1.24 - Pemasangan 1 m pipa PVC D, DN. 6" (150 mm)</t>
        </is>
      </c>
    </row>
    <row r="13076">
      <c r="A13076" s="10" t="inlineStr">
        <is>
          <t>No</t>
        </is>
      </c>
      <c r="B13076" s="10" t="inlineStr">
        <is>
          <t>Uraian Komponen</t>
        </is>
      </c>
      <c r="C13076" s="10" t="inlineStr">
        <is>
          <t>Satuan</t>
        </is>
      </c>
      <c r="D13076" s="10" t="inlineStr">
        <is>
          <t>Koef</t>
        </is>
      </c>
      <c r="E13076" s="10" t="inlineStr">
        <is>
          <t>Harga Satuan (Rp)</t>
        </is>
      </c>
      <c r="F13076" s="10" t="inlineStr">
        <is>
          <t>Jumlah Harga (Rp)</t>
        </is>
      </c>
    </row>
    <row r="13077">
      <c r="A13077" s="3" t="inlineStr">
        <is>
          <t>1</t>
        </is>
      </c>
      <c r="B13077" s="3" t="inlineStr">
        <is>
          <t>Pekerja</t>
        </is>
      </c>
      <c r="C13077" s="3" t="inlineStr">
        <is>
          <t>OH</t>
        </is>
      </c>
      <c r="D13077" s="15" t="n">
        <v>0.183</v>
      </c>
      <c r="E13077" s="4" t="n">
        <v>100000</v>
      </c>
      <c r="F13077" s="4" t="n">
        <v>18300</v>
      </c>
    </row>
    <row r="13078">
      <c r="A13078" s="3" t="inlineStr">
        <is>
          <t>2</t>
        </is>
      </c>
      <c r="B13078" s="3" t="inlineStr">
        <is>
          <t>Tukang pipa</t>
        </is>
      </c>
      <c r="C13078" s="3" t="inlineStr">
        <is>
          <t>OH</t>
        </is>
      </c>
      <c r="D13078" s="15" t="n">
        <v>0.306</v>
      </c>
      <c r="E13078" s="4" t="n">
        <v>145000</v>
      </c>
      <c r="F13078" s="4" t="n">
        <v>44370</v>
      </c>
    </row>
    <row r="13079">
      <c r="A13079" s="3" t="inlineStr">
        <is>
          <t>3</t>
        </is>
      </c>
      <c r="B13079" s="3" t="inlineStr">
        <is>
          <t>Kepala tukang</t>
        </is>
      </c>
      <c r="C13079" s="3" t="inlineStr">
        <is>
          <t>OH</t>
        </is>
      </c>
      <c r="D13079" s="15" t="n">
        <v>0.031</v>
      </c>
      <c r="E13079" s="4" t="n">
        <v>175000</v>
      </c>
      <c r="F13079" s="4" t="n">
        <v>5425</v>
      </c>
    </row>
    <row r="13080">
      <c r="A13080" s="3" t="inlineStr">
        <is>
          <t>4</t>
        </is>
      </c>
      <c r="B13080" s="3" t="inlineStr">
        <is>
          <t>Mandor</t>
        </is>
      </c>
      <c r="C13080" s="3" t="inlineStr">
        <is>
          <t>OH</t>
        </is>
      </c>
      <c r="D13080" s="15" t="n">
        <v>0.008999999999999999</v>
      </c>
      <c r="E13080" s="4" t="n">
        <v>200000</v>
      </c>
      <c r="F13080" s="4" t="n">
        <v>1800</v>
      </c>
    </row>
    <row r="13081">
      <c r="A13081" s="3" t="inlineStr">
        <is>
          <t>1</t>
        </is>
      </c>
      <c r="B13081" s="3" t="inlineStr">
        <is>
          <t>"Pipa PVC D ; DN. 6"" (150 mm) + fitting &amp; aksesoris"</t>
        </is>
      </c>
      <c r="C13081" s="3" t="inlineStr">
        <is>
          <t>m'</t>
        </is>
      </c>
      <c r="D13081" s="15" t="n">
        <v>1.45</v>
      </c>
      <c r="E13081" s="4" t="n">
        <v>80000</v>
      </c>
      <c r="F13081" s="4" t="n">
        <v>116000</v>
      </c>
    </row>
    <row r="13082">
      <c r="D13082" s="2" t="inlineStr">
        <is>
          <t>SUBTOTAL UPAH</t>
        </is>
      </c>
      <c r="F13082" s="16" t="n">
        <v>69895</v>
      </c>
    </row>
    <row r="13083">
      <c r="D13083" s="2" t="inlineStr">
        <is>
          <t>SUBTOTAL BAHAN</t>
        </is>
      </c>
      <c r="F13083" s="16" t="n">
        <v>116000</v>
      </c>
    </row>
    <row r="13084">
      <c r="D13084" s="2" t="inlineStr">
        <is>
          <t>SUBTOTAL ALAT</t>
        </is>
      </c>
      <c r="F13084" s="16" t="n">
        <v>0</v>
      </c>
    </row>
    <row r="13085">
      <c r="E13085" s="2" t="inlineStr">
        <is>
          <t>TOTAL HARGA SATUAN (Inc. Overhead)</t>
        </is>
      </c>
      <c r="F13085" s="17" t="n">
        <v>204484</v>
      </c>
    </row>
    <row r="13087">
      <c r="A13087" s="14" t="inlineStr">
        <is>
          <t>KODE: 6.4.1.25 - Pemasangan 1 m pipa PVC D, DN. 8" (200 mm)</t>
        </is>
      </c>
    </row>
    <row r="13088">
      <c r="A13088" s="10" t="inlineStr">
        <is>
          <t>No</t>
        </is>
      </c>
      <c r="B13088" s="10" t="inlineStr">
        <is>
          <t>Uraian Komponen</t>
        </is>
      </c>
      <c r="C13088" s="10" t="inlineStr">
        <is>
          <t>Satuan</t>
        </is>
      </c>
      <c r="D13088" s="10" t="inlineStr">
        <is>
          <t>Koef</t>
        </is>
      </c>
      <c r="E13088" s="10" t="inlineStr">
        <is>
          <t>Harga Satuan (Rp)</t>
        </is>
      </c>
      <c r="F13088" s="10" t="inlineStr">
        <is>
          <t>Jumlah Harga (Rp)</t>
        </is>
      </c>
    </row>
    <row r="13089">
      <c r="A13089" s="3" t="inlineStr">
        <is>
          <t>1</t>
        </is>
      </c>
      <c r="B13089" s="3" t="inlineStr">
        <is>
          <t>Pekerja</t>
        </is>
      </c>
      <c r="C13089" s="3" t="inlineStr">
        <is>
          <t>OH</t>
        </is>
      </c>
      <c r="D13089" s="15" t="n">
        <v>0.246</v>
      </c>
      <c r="E13089" s="4" t="n">
        <v>100000</v>
      </c>
      <c r="F13089" s="4" t="n">
        <v>24600</v>
      </c>
    </row>
    <row r="13090">
      <c r="A13090" s="3" t="inlineStr">
        <is>
          <t>2</t>
        </is>
      </c>
      <c r="B13090" s="3" t="inlineStr">
        <is>
          <t>Tukang pipa</t>
        </is>
      </c>
      <c r="C13090" s="3" t="inlineStr">
        <is>
          <t>OH</t>
        </is>
      </c>
      <c r="D13090" s="15" t="n">
        <v>0.411</v>
      </c>
      <c r="E13090" s="4" t="n">
        <v>145000</v>
      </c>
      <c r="F13090" s="4" t="n">
        <v>59595</v>
      </c>
    </row>
    <row r="13091">
      <c r="A13091" s="3" t="inlineStr">
        <is>
          <t>3</t>
        </is>
      </c>
      <c r="B13091" s="3" t="inlineStr">
        <is>
          <t>Kepala tukang</t>
        </is>
      </c>
      <c r="C13091" s="3" t="inlineStr">
        <is>
          <t>OH</t>
        </is>
      </c>
      <c r="D13091" s="15" t="n">
        <v>0.041</v>
      </c>
      <c r="E13091" s="4" t="n">
        <v>175000</v>
      </c>
      <c r="F13091" s="4" t="n">
        <v>7175</v>
      </c>
    </row>
    <row r="13092">
      <c r="A13092" s="3" t="inlineStr">
        <is>
          <t>4</t>
        </is>
      </c>
      <c r="B13092" s="3" t="inlineStr">
        <is>
          <t>Mandor</t>
        </is>
      </c>
      <c r="C13092" s="3" t="inlineStr">
        <is>
          <t>OH</t>
        </is>
      </c>
      <c r="D13092" s="15" t="n">
        <v>0.012</v>
      </c>
      <c r="E13092" s="4" t="n">
        <v>200000</v>
      </c>
      <c r="F13092" s="4" t="n">
        <v>2400</v>
      </c>
    </row>
    <row r="13093">
      <c r="A13093" s="3" t="inlineStr">
        <is>
          <t>1</t>
        </is>
      </c>
      <c r="B13093" s="3" t="inlineStr">
        <is>
          <t>"Pipa PVC D ; DN. 8"" (200 mm) + fitting &amp; aksesoris"</t>
        </is>
      </c>
      <c r="C13093" s="3" t="inlineStr">
        <is>
          <t>m'</t>
        </is>
      </c>
      <c r="D13093" s="15" t="n">
        <v>1.45</v>
      </c>
      <c r="E13093" s="4" t="n">
        <v>140000</v>
      </c>
      <c r="F13093" s="4" t="n">
        <v>203000</v>
      </c>
    </row>
    <row r="13094">
      <c r="D13094" s="2" t="inlineStr">
        <is>
          <t>SUBTOTAL UPAH</t>
        </is>
      </c>
      <c r="F13094" s="16" t="n">
        <v>93770</v>
      </c>
    </row>
    <row r="13095">
      <c r="D13095" s="2" t="inlineStr">
        <is>
          <t>SUBTOTAL BAHAN</t>
        </is>
      </c>
      <c r="F13095" s="16" t="n">
        <v>203000</v>
      </c>
    </row>
    <row r="13096">
      <c r="D13096" s="2" t="inlineStr">
        <is>
          <t>SUBTOTAL ALAT</t>
        </is>
      </c>
      <c r="F13096" s="16" t="n">
        <v>0</v>
      </c>
    </row>
    <row r="13097">
      <c r="E13097" s="2" t="inlineStr">
        <is>
          <t>TOTAL HARGA SATUAN (Inc. Overhead)</t>
        </is>
      </c>
      <c r="F13097" s="17" t="n">
        <v>326447</v>
      </c>
    </row>
    <row r="13099">
      <c r="A13099" s="14" t="inlineStr">
        <is>
          <t>KODE: 6.4.1.26 - Pemasangan 1 m pipa PVC D, DN. 10" (250 mm)</t>
        </is>
      </c>
    </row>
    <row r="13100">
      <c r="A13100" s="10" t="inlineStr">
        <is>
          <t>No</t>
        </is>
      </c>
      <c r="B13100" s="10" t="inlineStr">
        <is>
          <t>Uraian Komponen</t>
        </is>
      </c>
      <c r="C13100" s="10" t="inlineStr">
        <is>
          <t>Satuan</t>
        </is>
      </c>
      <c r="D13100" s="10" t="inlineStr">
        <is>
          <t>Koef</t>
        </is>
      </c>
      <c r="E13100" s="10" t="inlineStr">
        <is>
          <t>Harga Satuan (Rp)</t>
        </is>
      </c>
      <c r="F13100" s="10" t="inlineStr">
        <is>
          <t>Jumlah Harga (Rp)</t>
        </is>
      </c>
    </row>
    <row r="13101">
      <c r="A13101" s="3" t="inlineStr">
        <is>
          <t>1</t>
        </is>
      </c>
      <c r="B13101" s="3" t="inlineStr">
        <is>
          <t>Pekerja</t>
        </is>
      </c>
      <c r="C13101" s="3" t="inlineStr">
        <is>
          <t>OH</t>
        </is>
      </c>
      <c r="D13101" s="15" t="n">
        <v>0.306</v>
      </c>
      <c r="E13101" s="4" t="n">
        <v>100000</v>
      </c>
      <c r="F13101" s="4" t="n">
        <v>30600</v>
      </c>
    </row>
    <row r="13102">
      <c r="A13102" s="3" t="inlineStr">
        <is>
          <t>2</t>
        </is>
      </c>
      <c r="B13102" s="3" t="inlineStr">
        <is>
          <t>Tukang pipa</t>
        </is>
      </c>
      <c r="C13102" s="3" t="inlineStr">
        <is>
          <t>OH</t>
        </is>
      </c>
      <c r="D13102" s="15" t="n">
        <v>0.511</v>
      </c>
      <c r="E13102" s="4" t="n">
        <v>145000</v>
      </c>
      <c r="F13102" s="4" t="n">
        <v>74095</v>
      </c>
    </row>
    <row r="13103">
      <c r="A13103" s="3" t="inlineStr">
        <is>
          <t>3</t>
        </is>
      </c>
      <c r="B13103" s="3" t="inlineStr">
        <is>
          <t>Kepala tukang</t>
        </is>
      </c>
      <c r="C13103" s="3" t="inlineStr">
        <is>
          <t>OH</t>
        </is>
      </c>
      <c r="D13103" s="15" t="n">
        <v>0.051</v>
      </c>
      <c r="E13103" s="4" t="n">
        <v>175000</v>
      </c>
      <c r="F13103" s="4" t="n">
        <v>8925</v>
      </c>
    </row>
    <row r="13104">
      <c r="A13104" s="3" t="inlineStr">
        <is>
          <t>4</t>
        </is>
      </c>
      <c r="B13104" s="3" t="inlineStr">
        <is>
          <t>Mandor</t>
        </is>
      </c>
      <c r="C13104" s="3" t="inlineStr">
        <is>
          <t>OH</t>
        </is>
      </c>
      <c r="D13104" s="15" t="n">
        <v>0.015</v>
      </c>
      <c r="E13104" s="4" t="n">
        <v>200000</v>
      </c>
      <c r="F13104" s="4" t="n">
        <v>3000</v>
      </c>
    </row>
    <row r="13105">
      <c r="A13105" s="3" t="inlineStr">
        <is>
          <t>fitting &amp; aksesoris"</t>
        </is>
      </c>
      <c r="B13105" s="3" t="inlineStr"/>
      <c r="C13105" s="3" t="inlineStr">
        <is>
          <t>m'</t>
        </is>
      </c>
      <c r="D13105" s="15" t="n">
        <v>1.45</v>
      </c>
      <c r="E13105" s="4" t="n">
        <v>233000</v>
      </c>
      <c r="F13105" s="4" t="n">
        <v>337850</v>
      </c>
    </row>
    <row r="13106">
      <c r="D13106" s="2" t="inlineStr">
        <is>
          <t>SUBTOTAL UPAH</t>
        </is>
      </c>
      <c r="F13106" s="16" t="n">
        <v>116620</v>
      </c>
    </row>
    <row r="13107">
      <c r="D13107" s="2" t="inlineStr">
        <is>
          <t>SUBTOTAL BAHAN</t>
        </is>
      </c>
      <c r="F13107" s="16" t="n">
        <v>337850</v>
      </c>
    </row>
    <row r="13108">
      <c r="D13108" s="2" t="inlineStr">
        <is>
          <t>SUBTOTAL ALAT</t>
        </is>
      </c>
      <c r="F13108" s="16" t="n">
        <v>0</v>
      </c>
    </row>
    <row r="13109">
      <c r="E13109" s="2" t="inlineStr">
        <is>
          <t>TOTAL HARGA SATUAN (Inc. Overhead)</t>
        </is>
      </c>
      <c r="F13109" s="17" t="n">
        <v>499917</v>
      </c>
    </row>
    <row r="13111">
      <c r="A13111" s="14" t="inlineStr">
        <is>
          <t>KODE: 6.4.1.27 - Pemasangan 1 m pipa PVC D, DN. 12" (300 mm)</t>
        </is>
      </c>
    </row>
    <row r="13112">
      <c r="A13112" s="10" t="inlineStr">
        <is>
          <t>No</t>
        </is>
      </c>
      <c r="B13112" s="10" t="inlineStr">
        <is>
          <t>Uraian Komponen</t>
        </is>
      </c>
      <c r="C13112" s="10" t="inlineStr">
        <is>
          <t>Satuan</t>
        </is>
      </c>
      <c r="D13112" s="10" t="inlineStr">
        <is>
          <t>Koef</t>
        </is>
      </c>
      <c r="E13112" s="10" t="inlineStr">
        <is>
          <t>Harga Satuan (Rp)</t>
        </is>
      </c>
      <c r="F13112" s="10" t="inlineStr">
        <is>
          <t>Jumlah Harga (Rp)</t>
        </is>
      </c>
    </row>
    <row r="13113">
      <c r="A13113" s="3" t="inlineStr">
        <is>
          <t>1</t>
        </is>
      </c>
      <c r="B13113" s="3" t="inlineStr">
        <is>
          <t>Pekerja</t>
        </is>
      </c>
      <c r="C13113" s="3" t="inlineStr">
        <is>
          <t>OH</t>
        </is>
      </c>
      <c r="D13113" s="15" t="n">
        <v>0.367</v>
      </c>
      <c r="E13113" s="4" t="n">
        <v>100000</v>
      </c>
      <c r="F13113" s="4" t="n">
        <v>36700</v>
      </c>
    </row>
    <row r="13114">
      <c r="A13114" s="3" t="inlineStr">
        <is>
          <t>2</t>
        </is>
      </c>
      <c r="B13114" s="3" t="inlineStr">
        <is>
          <t>Tukang pipa</t>
        </is>
      </c>
      <c r="C13114" s="3" t="inlineStr">
        <is>
          <t>OH</t>
        </is>
      </c>
      <c r="D13114" s="15" t="n">
        <v>0.613</v>
      </c>
      <c r="E13114" s="4" t="n">
        <v>145000</v>
      </c>
      <c r="F13114" s="4" t="n">
        <v>88885</v>
      </c>
    </row>
    <row r="13115">
      <c r="A13115" s="3" t="inlineStr">
        <is>
          <t>3</t>
        </is>
      </c>
      <c r="B13115" s="3" t="inlineStr">
        <is>
          <t>Kepala tukang</t>
        </is>
      </c>
      <c r="C13115" s="3" t="inlineStr">
        <is>
          <t>OH</t>
        </is>
      </c>
      <c r="D13115" s="15" t="n">
        <v>0.061</v>
      </c>
      <c r="E13115" s="4" t="n">
        <v>175000</v>
      </c>
      <c r="F13115" s="4" t="n">
        <v>10675</v>
      </c>
    </row>
    <row r="13116">
      <c r="A13116" s="3" t="inlineStr">
        <is>
          <t>4</t>
        </is>
      </c>
      <c r="B13116" s="3" t="inlineStr">
        <is>
          <t>Mandor</t>
        </is>
      </c>
      <c r="C13116" s="3" t="inlineStr">
        <is>
          <t>OH</t>
        </is>
      </c>
      <c r="D13116" s="15" t="n">
        <v>0.018</v>
      </c>
      <c r="E13116" s="4" t="n">
        <v>200000</v>
      </c>
      <c r="F13116" s="4" t="n">
        <v>3600</v>
      </c>
    </row>
    <row r="13117">
      <c r="A13117" s="3" t="inlineStr">
        <is>
          <t>fitting &amp; aksesoris"</t>
        </is>
      </c>
      <c r="B13117" s="3" t="inlineStr"/>
      <c r="C13117" s="3" t="inlineStr">
        <is>
          <t>m'</t>
        </is>
      </c>
      <c r="D13117" s="15" t="n">
        <v>1.45</v>
      </c>
      <c r="E13117" s="4" t="n">
        <v>320000</v>
      </c>
      <c r="F13117" s="4" t="n">
        <v>464000</v>
      </c>
    </row>
    <row r="13118">
      <c r="D13118" s="2" t="inlineStr">
        <is>
          <t>SUBTOTAL UPAH</t>
        </is>
      </c>
      <c r="F13118" s="16" t="n">
        <v>139860</v>
      </c>
    </row>
    <row r="13119">
      <c r="D13119" s="2" t="inlineStr">
        <is>
          <t>SUBTOTAL BAHAN</t>
        </is>
      </c>
      <c r="F13119" s="16" t="n">
        <v>464000</v>
      </c>
    </row>
    <row r="13120">
      <c r="D13120" s="2" t="inlineStr">
        <is>
          <t>SUBTOTAL ALAT</t>
        </is>
      </c>
      <c r="F13120" s="16" t="n">
        <v>0</v>
      </c>
    </row>
    <row r="13121">
      <c r="E13121" s="2" t="inlineStr">
        <is>
          <t>TOTAL HARGA SATUAN (Inc. Overhead)</t>
        </is>
      </c>
      <c r="F13121" s="17" t="n">
        <v>664246</v>
      </c>
    </row>
    <row r="13123">
      <c r="A13123" s="14" t="inlineStr">
        <is>
          <t>KODE: 6.4.1.28 - Pemasangan 1 m pipa PVC D, DN. 14" (350 mm)</t>
        </is>
      </c>
    </row>
    <row r="13124">
      <c r="A13124" s="10" t="inlineStr">
        <is>
          <t>No</t>
        </is>
      </c>
      <c r="B13124" s="10" t="inlineStr">
        <is>
          <t>Uraian Komponen</t>
        </is>
      </c>
      <c r="C13124" s="10" t="inlineStr">
        <is>
          <t>Satuan</t>
        </is>
      </c>
      <c r="D13124" s="10" t="inlineStr">
        <is>
          <t>Koef</t>
        </is>
      </c>
      <c r="E13124" s="10" t="inlineStr">
        <is>
          <t>Harga Satuan (Rp)</t>
        </is>
      </c>
      <c r="F13124" s="10" t="inlineStr">
        <is>
          <t>Jumlah Harga (Rp)</t>
        </is>
      </c>
    </row>
    <row r="13125">
      <c r="A13125" s="3" t="inlineStr">
        <is>
          <t>1</t>
        </is>
      </c>
      <c r="B13125" s="3" t="inlineStr">
        <is>
          <t>Pekerja</t>
        </is>
      </c>
      <c r="C13125" s="3" t="inlineStr">
        <is>
          <t>OH</t>
        </is>
      </c>
      <c r="D13125" s="15" t="n">
        <v>0.427</v>
      </c>
      <c r="E13125" s="4" t="n">
        <v>100000</v>
      </c>
      <c r="F13125" s="4" t="n">
        <v>42700</v>
      </c>
    </row>
    <row r="13126">
      <c r="A13126" s="3" t="inlineStr">
        <is>
          <t>2</t>
        </is>
      </c>
      <c r="B13126" s="3" t="inlineStr">
        <is>
          <t>Tukang pipa</t>
        </is>
      </c>
      <c r="C13126" s="3" t="inlineStr">
        <is>
          <t>OH</t>
        </is>
      </c>
      <c r="D13126" s="15" t="n">
        <v>0.713</v>
      </c>
      <c r="E13126" s="4" t="n">
        <v>145000</v>
      </c>
      <c r="F13126" s="4" t="n">
        <v>103385</v>
      </c>
    </row>
    <row r="13127">
      <c r="A13127" s="3" t="inlineStr">
        <is>
          <t>3</t>
        </is>
      </c>
      <c r="B13127" s="3" t="inlineStr">
        <is>
          <t>Kepala tukang</t>
        </is>
      </c>
      <c r="C13127" s="3" t="inlineStr">
        <is>
          <t>OH</t>
        </is>
      </c>
      <c r="D13127" s="15" t="n">
        <v>0.07099999999999999</v>
      </c>
      <c r="E13127" s="4" t="n">
        <v>175000</v>
      </c>
      <c r="F13127" s="4" t="n">
        <v>12425</v>
      </c>
    </row>
    <row r="13128">
      <c r="A13128" s="3" t="inlineStr">
        <is>
          <t>4</t>
        </is>
      </c>
      <c r="B13128" s="3" t="inlineStr">
        <is>
          <t>Mandor</t>
        </is>
      </c>
      <c r="C13128" s="3" t="inlineStr">
        <is>
          <t>OH</t>
        </is>
      </c>
      <c r="D13128" s="15" t="n">
        <v>0.021</v>
      </c>
      <c r="E13128" s="4" t="n">
        <v>200000</v>
      </c>
      <c r="F13128" s="4" t="n">
        <v>4200</v>
      </c>
    </row>
    <row r="13129">
      <c r="A13129" s="3" t="inlineStr">
        <is>
          <t>fitting &amp; aksesoris"</t>
        </is>
      </c>
      <c r="B13129" s="3" t="inlineStr"/>
      <c r="C13129" s="3" t="inlineStr">
        <is>
          <t>m'</t>
        </is>
      </c>
      <c r="D13129" s="15" t="n">
        <v>1.45</v>
      </c>
      <c r="E13129" s="4" t="n">
        <v>323000</v>
      </c>
      <c r="F13129" s="4" t="n">
        <v>468350</v>
      </c>
    </row>
    <row r="13130">
      <c r="D13130" s="2" t="inlineStr">
        <is>
          <t>SUBTOTAL UPAH</t>
        </is>
      </c>
      <c r="F13130" s="16" t="n">
        <v>162710</v>
      </c>
    </row>
    <row r="13131">
      <c r="D13131" s="2" t="inlineStr">
        <is>
          <t>SUBTOTAL BAHAN</t>
        </is>
      </c>
      <c r="F13131" s="16" t="n">
        <v>468350</v>
      </c>
    </row>
    <row r="13132">
      <c r="D13132" s="2" t="inlineStr">
        <is>
          <t>SUBTOTAL ALAT</t>
        </is>
      </c>
      <c r="F13132" s="16" t="n">
        <v>0</v>
      </c>
    </row>
    <row r="13133">
      <c r="E13133" s="2" t="inlineStr">
        <is>
          <t>TOTAL HARGA SATUAN (Inc. Overhead)</t>
        </is>
      </c>
      <c r="F13133" s="17" t="n">
        <v>694166</v>
      </c>
    </row>
    <row r="13135">
      <c r="A13135" s="14" t="inlineStr">
        <is>
          <t>KODE: 6.4.1.29 - Pemasangan 1 m pipa PVC D, DN. 16" (400 mm)</t>
        </is>
      </c>
    </row>
    <row r="13136">
      <c r="A13136" s="10" t="inlineStr">
        <is>
          <t>No</t>
        </is>
      </c>
      <c r="B13136" s="10" t="inlineStr">
        <is>
          <t>Uraian Komponen</t>
        </is>
      </c>
      <c r="C13136" s="10" t="inlineStr">
        <is>
          <t>Satuan</t>
        </is>
      </c>
      <c r="D13136" s="10" t="inlineStr">
        <is>
          <t>Koef</t>
        </is>
      </c>
      <c r="E13136" s="10" t="inlineStr">
        <is>
          <t>Harga Satuan (Rp)</t>
        </is>
      </c>
      <c r="F13136" s="10" t="inlineStr">
        <is>
          <t>Jumlah Harga (Rp)</t>
        </is>
      </c>
    </row>
    <row r="13137">
      <c r="A13137" s="3" t="inlineStr">
        <is>
          <t>1</t>
        </is>
      </c>
      <c r="B13137" s="3" t="inlineStr">
        <is>
          <t>Pekerja</t>
        </is>
      </c>
      <c r="C13137" s="3" t="inlineStr">
        <is>
          <t>OH</t>
        </is>
      </c>
      <c r="D13137" s="15" t="n">
        <v>0.488</v>
      </c>
      <c r="E13137" s="4" t="n">
        <v>100000</v>
      </c>
      <c r="F13137" s="4" t="n">
        <v>48800</v>
      </c>
    </row>
    <row r="13138">
      <c r="A13138" s="3" t="inlineStr">
        <is>
          <t>2</t>
        </is>
      </c>
      <c r="B13138" s="3" t="inlineStr">
        <is>
          <t>Tukang pipa</t>
        </is>
      </c>
      <c r="C13138" s="3" t="inlineStr">
        <is>
          <t>OH</t>
        </is>
      </c>
      <c r="D13138" s="15" t="n">
        <v>0.8139999999999999</v>
      </c>
      <c r="E13138" s="4" t="n">
        <v>145000</v>
      </c>
      <c r="F13138" s="4" t="n">
        <v>118030</v>
      </c>
    </row>
    <row r="13139">
      <c r="A13139" s="3" t="inlineStr">
        <is>
          <t>3</t>
        </is>
      </c>
      <c r="B13139" s="3" t="inlineStr">
        <is>
          <t>Kepala tukang</t>
        </is>
      </c>
      <c r="C13139" s="3" t="inlineStr">
        <is>
          <t>OH</t>
        </is>
      </c>
      <c r="D13139" s="15" t="n">
        <v>0.081</v>
      </c>
      <c r="E13139" s="4" t="n">
        <v>175000</v>
      </c>
      <c r="F13139" s="4" t="n">
        <v>14175</v>
      </c>
    </row>
    <row r="13140">
      <c r="A13140" s="3" t="inlineStr">
        <is>
          <t>4</t>
        </is>
      </c>
      <c r="B13140" s="3" t="inlineStr">
        <is>
          <t>Mandor</t>
        </is>
      </c>
      <c r="C13140" s="3" t="inlineStr">
        <is>
          <t>OH</t>
        </is>
      </c>
      <c r="D13140" s="15" t="n">
        <v>0.024</v>
      </c>
      <c r="E13140" s="4" t="n">
        <v>200000</v>
      </c>
      <c r="F13140" s="4" t="n">
        <v>4800</v>
      </c>
    </row>
    <row r="13141">
      <c r="A13141" s="3" t="inlineStr">
        <is>
          <t>fitting &amp; aksesoris"</t>
        </is>
      </c>
      <c r="B13141" s="3" t="inlineStr"/>
      <c r="C13141" s="3" t="inlineStr">
        <is>
          <t>m'</t>
        </is>
      </c>
      <c r="D13141" s="15" t="n">
        <v>1.45</v>
      </c>
      <c r="E13141" s="4" t="n">
        <v>363000</v>
      </c>
      <c r="F13141" s="4" t="n">
        <v>526350</v>
      </c>
    </row>
    <row r="13142">
      <c r="D13142" s="2" t="inlineStr">
        <is>
          <t>SUBTOTAL UPAH</t>
        </is>
      </c>
      <c r="F13142" s="16" t="n">
        <v>185805</v>
      </c>
    </row>
    <row r="13143">
      <c r="D13143" s="2" t="inlineStr">
        <is>
          <t>SUBTOTAL BAHAN</t>
        </is>
      </c>
      <c r="F13143" s="16" t="n">
        <v>526350</v>
      </c>
    </row>
    <row r="13144">
      <c r="D13144" s="2" t="inlineStr">
        <is>
          <t>SUBTOTAL ALAT</t>
        </is>
      </c>
      <c r="F13144" s="16" t="n">
        <v>0</v>
      </c>
    </row>
    <row r="13145">
      <c r="E13145" s="2" t="inlineStr">
        <is>
          <t>TOTAL HARGA SATUAN (Inc. Overhead)</t>
        </is>
      </c>
      <c r="F13145" s="17" t="n">
        <v>783370</v>
      </c>
    </row>
    <row r="13147">
      <c r="A13147" s="14" t="inlineStr">
        <is>
          <t>KODE: 6.4.2.1 - Pemasangan 1 m Pipa Galvanis MED CLASS, DN. 1/2" (15 mm)</t>
        </is>
      </c>
    </row>
    <row r="13148">
      <c r="A13148" s="10" t="inlineStr">
        <is>
          <t>No</t>
        </is>
      </c>
      <c r="B13148" s="10" t="inlineStr">
        <is>
          <t>Uraian Komponen</t>
        </is>
      </c>
      <c r="C13148" s="10" t="inlineStr">
        <is>
          <t>Satuan</t>
        </is>
      </c>
      <c r="D13148" s="10" t="inlineStr">
        <is>
          <t>Koef</t>
        </is>
      </c>
      <c r="E13148" s="10" t="inlineStr">
        <is>
          <t>Harga Satuan (Rp)</t>
        </is>
      </c>
      <c r="F13148" s="10" t="inlineStr">
        <is>
          <t>Jumlah Harga (Rp)</t>
        </is>
      </c>
    </row>
    <row r="13149">
      <c r="A13149" s="3" t="inlineStr">
        <is>
          <t>1</t>
        </is>
      </c>
      <c r="B13149" s="3" t="inlineStr">
        <is>
          <t>Pekerja</t>
        </is>
      </c>
      <c r="C13149" s="3" t="inlineStr">
        <is>
          <t>OH</t>
        </is>
      </c>
      <c r="D13149" s="15" t="n">
        <v>0.035</v>
      </c>
      <c r="E13149" s="4" t="n">
        <v>100000</v>
      </c>
      <c r="F13149" s="4" t="n">
        <v>3500</v>
      </c>
    </row>
    <row r="13150">
      <c r="A13150" s="3" t="inlineStr">
        <is>
          <t>2</t>
        </is>
      </c>
      <c r="B13150" s="3" t="inlineStr">
        <is>
          <t>Tukang pipa</t>
        </is>
      </c>
      <c r="C13150" s="3" t="inlineStr">
        <is>
          <t>OH</t>
        </is>
      </c>
      <c r="D13150" s="15" t="n">
        <v>0.058</v>
      </c>
      <c r="E13150" s="4" t="n">
        <v>145000</v>
      </c>
      <c r="F13150" s="4" t="n">
        <v>8410</v>
      </c>
    </row>
    <row r="13151">
      <c r="A13151" s="3" t="inlineStr">
        <is>
          <t>3</t>
        </is>
      </c>
      <c r="B13151" s="3" t="inlineStr">
        <is>
          <t>Kepala tukang</t>
        </is>
      </c>
      <c r="C13151" s="3" t="inlineStr">
        <is>
          <t>OH</t>
        </is>
      </c>
      <c r="D13151" s="15" t="n">
        <v>0.006</v>
      </c>
      <c r="E13151" s="4" t="n">
        <v>175000</v>
      </c>
      <c r="F13151" s="4" t="n">
        <v>1050</v>
      </c>
    </row>
    <row r="13152">
      <c r="A13152" s="3" t="inlineStr">
        <is>
          <t>4</t>
        </is>
      </c>
      <c r="B13152" s="3" t="inlineStr">
        <is>
          <t>Mandor</t>
        </is>
      </c>
      <c r="C13152" s="3" t="inlineStr">
        <is>
          <t>OH</t>
        </is>
      </c>
      <c r="D13152" s="15" t="n">
        <v>0.002</v>
      </c>
      <c r="E13152" s="4" t="n">
        <v>200000</v>
      </c>
      <c r="F13152" s="4" t="n">
        <v>400</v>
      </c>
    </row>
    <row r="13153">
      <c r="A13153" s="3" t="inlineStr">
        <is>
          <t>1</t>
        </is>
      </c>
      <c r="B13153" s="3" t="inlineStr">
        <is>
          <t>"Pipa galvanis MED CLASS ; DN. 1/2"" (15 mm) + fitting &amp; aksesoris"</t>
        </is>
      </c>
      <c r="C13153" s="3" t="inlineStr">
        <is>
          <t>m'</t>
        </is>
      </c>
      <c r="D13153" s="15" t="n">
        <v>1.5</v>
      </c>
      <c r="E13153" s="4" t="n">
        <v>28000</v>
      </c>
      <c r="F13153" s="4" t="n">
        <v>42000</v>
      </c>
    </row>
    <row r="13154">
      <c r="D13154" s="2" t="inlineStr">
        <is>
          <t>SUBTOTAL UPAH</t>
        </is>
      </c>
      <c r="F13154" s="16" t="n">
        <v>13360</v>
      </c>
    </row>
    <row r="13155">
      <c r="D13155" s="2" t="inlineStr">
        <is>
          <t>SUBTOTAL BAHAN</t>
        </is>
      </c>
      <c r="F13155" s="16" t="n">
        <v>42000</v>
      </c>
    </row>
    <row r="13156">
      <c r="D13156" s="2" t="inlineStr">
        <is>
          <t>SUBTOTAL ALAT</t>
        </is>
      </c>
      <c r="F13156" s="16" t="n">
        <v>0</v>
      </c>
    </row>
    <row r="13157">
      <c r="E13157" s="2" t="inlineStr">
        <is>
          <t>TOTAL HARGA SATUAN (Inc. Overhead)</t>
        </is>
      </c>
      <c r="F13157" s="17" t="n">
        <v>60896</v>
      </c>
    </row>
    <row r="13159">
      <c r="A13159" s="14" t="inlineStr">
        <is>
          <t>KODE: 6.4.2.2 - Pemasangan 1 m Pipa Galvanis MED CLASS, DN. 3/4" (20 mm)</t>
        </is>
      </c>
    </row>
    <row r="13160">
      <c r="A13160" s="10" t="inlineStr">
        <is>
          <t>No</t>
        </is>
      </c>
      <c r="B13160" s="10" t="inlineStr">
        <is>
          <t>Uraian Komponen</t>
        </is>
      </c>
      <c r="C13160" s="10" t="inlineStr">
        <is>
          <t>Satuan</t>
        </is>
      </c>
      <c r="D13160" s="10" t="inlineStr">
        <is>
          <t>Koef</t>
        </is>
      </c>
      <c r="E13160" s="10" t="inlineStr">
        <is>
          <t>Harga Satuan (Rp)</t>
        </is>
      </c>
      <c r="F13160" s="10" t="inlineStr">
        <is>
          <t>Jumlah Harga (Rp)</t>
        </is>
      </c>
    </row>
    <row r="13161">
      <c r="A13161" s="3" t="inlineStr">
        <is>
          <t>1</t>
        </is>
      </c>
      <c r="B13161" s="3" t="inlineStr">
        <is>
          <t>Pekerja</t>
        </is>
      </c>
      <c r="C13161" s="3" t="inlineStr">
        <is>
          <t>OH</t>
        </is>
      </c>
      <c r="D13161" s="15" t="n">
        <v>0.052</v>
      </c>
      <c r="E13161" s="4" t="n">
        <v>100000</v>
      </c>
      <c r="F13161" s="4" t="n">
        <v>5200</v>
      </c>
    </row>
    <row r="13162">
      <c r="A13162" s="3" t="inlineStr">
        <is>
          <t>2</t>
        </is>
      </c>
      <c r="B13162" s="3" t="inlineStr">
        <is>
          <t>Tukang pipa</t>
        </is>
      </c>
      <c r="C13162" s="3" t="inlineStr">
        <is>
          <t>OH</t>
        </is>
      </c>
      <c r="D13162" s="15" t="n">
        <v>0.08699999999999999</v>
      </c>
      <c r="E13162" s="4" t="n">
        <v>145000</v>
      </c>
      <c r="F13162" s="4" t="n">
        <v>12615</v>
      </c>
    </row>
    <row r="13163">
      <c r="A13163" s="3" t="inlineStr">
        <is>
          <t>3</t>
        </is>
      </c>
      <c r="B13163" s="3" t="inlineStr">
        <is>
          <t>Kepala tukang</t>
        </is>
      </c>
      <c r="C13163" s="3" t="inlineStr">
        <is>
          <t>OH</t>
        </is>
      </c>
      <c r="D13163" s="15" t="n">
        <v>0.008999999999999999</v>
      </c>
      <c r="E13163" s="4" t="n">
        <v>175000</v>
      </c>
      <c r="F13163" s="4" t="n">
        <v>1575</v>
      </c>
    </row>
    <row r="13164">
      <c r="A13164" s="3" t="inlineStr">
        <is>
          <t>4</t>
        </is>
      </c>
      <c r="B13164" s="3" t="inlineStr">
        <is>
          <t>Mandor</t>
        </is>
      </c>
      <c r="C13164" s="3" t="inlineStr">
        <is>
          <t>OH</t>
        </is>
      </c>
      <c r="D13164" s="15" t="n">
        <v>0.003</v>
      </c>
      <c r="E13164" s="4" t="n">
        <v>200000</v>
      </c>
      <c r="F13164" s="4" t="n">
        <v>600</v>
      </c>
    </row>
    <row r="13165">
      <c r="A13165" s="3" t="inlineStr">
        <is>
          <t>1</t>
        </is>
      </c>
      <c r="B13165" s="3" t="inlineStr">
        <is>
          <t>"Pipa galvanis MED CLASS ; DN. 3/4"" (20 mm) + fitting &amp; aksesoris"</t>
        </is>
      </c>
      <c r="C13165" s="3" t="inlineStr">
        <is>
          <t>m'</t>
        </is>
      </c>
      <c r="D13165" s="15" t="n">
        <v>1.5</v>
      </c>
      <c r="E13165" s="4" t="n">
        <v>36000</v>
      </c>
      <c r="F13165" s="4" t="n">
        <v>54000</v>
      </c>
    </row>
    <row r="13166">
      <c r="D13166" s="2" t="inlineStr">
        <is>
          <t>SUBTOTAL UPAH</t>
        </is>
      </c>
      <c r="F13166" s="16" t="n">
        <v>19990</v>
      </c>
    </row>
    <row r="13167">
      <c r="D13167" s="2" t="inlineStr">
        <is>
          <t>SUBTOTAL BAHAN</t>
        </is>
      </c>
      <c r="F13167" s="16" t="n">
        <v>54000</v>
      </c>
    </row>
    <row r="13168">
      <c r="D13168" s="2" t="inlineStr">
        <is>
          <t>SUBTOTAL ALAT</t>
        </is>
      </c>
      <c r="F13168" s="16" t="n">
        <v>0</v>
      </c>
    </row>
    <row r="13169">
      <c r="E13169" s="2" t="inlineStr">
        <is>
          <t>TOTAL HARGA SATUAN (Inc. Overhead)</t>
        </is>
      </c>
      <c r="F13169" s="17" t="n">
        <v>81389</v>
      </c>
    </row>
    <row r="13171">
      <c r="A13171" s="14" t="inlineStr">
        <is>
          <t>KODE: 6.4.2.3 - Pemasangan 1 m Pipa Galvanis MED CLASS, DN. 1" (25 mm)</t>
        </is>
      </c>
    </row>
    <row r="13172">
      <c r="A13172" s="10" t="inlineStr">
        <is>
          <t>No</t>
        </is>
      </c>
      <c r="B13172" s="10" t="inlineStr">
        <is>
          <t>Uraian Komponen</t>
        </is>
      </c>
      <c r="C13172" s="10" t="inlineStr">
        <is>
          <t>Satuan</t>
        </is>
      </c>
      <c r="D13172" s="10" t="inlineStr">
        <is>
          <t>Koef</t>
        </is>
      </c>
      <c r="E13172" s="10" t="inlineStr">
        <is>
          <t>Harga Satuan (Rp)</t>
        </is>
      </c>
      <c r="F13172" s="10" t="inlineStr">
        <is>
          <t>Jumlah Harga (Rp)</t>
        </is>
      </c>
    </row>
    <row r="13173">
      <c r="A13173" s="3" t="inlineStr">
        <is>
          <t>1</t>
        </is>
      </c>
      <c r="B13173" s="3" t="inlineStr">
        <is>
          <t>Pekerja</t>
        </is>
      </c>
      <c r="C13173" s="3" t="inlineStr">
        <is>
          <t>OH</t>
        </is>
      </c>
      <c r="D13173" s="15" t="n">
        <v>0.06900000000000001</v>
      </c>
      <c r="E13173" s="4" t="n">
        <v>100000</v>
      </c>
      <c r="F13173" s="4" t="n">
        <v>6900.000000000001</v>
      </c>
    </row>
    <row r="13174">
      <c r="A13174" s="3" t="inlineStr">
        <is>
          <t>2</t>
        </is>
      </c>
      <c r="B13174" s="3" t="inlineStr">
        <is>
          <t>Tukang pipa</t>
        </is>
      </c>
      <c r="C13174" s="3" t="inlineStr">
        <is>
          <t>OH</t>
        </is>
      </c>
      <c r="D13174" s="15" t="n">
        <v>0.115</v>
      </c>
      <c r="E13174" s="4" t="n">
        <v>145000</v>
      </c>
      <c r="F13174" s="4" t="n">
        <v>16675</v>
      </c>
    </row>
    <row r="13175">
      <c r="A13175" s="3" t="inlineStr">
        <is>
          <t>3</t>
        </is>
      </c>
      <c r="B13175" s="3" t="inlineStr">
        <is>
          <t>Kepala tukang</t>
        </is>
      </c>
      <c r="C13175" s="3" t="inlineStr">
        <is>
          <t>OH</t>
        </is>
      </c>
      <c r="D13175" s="15" t="n">
        <v>0.011</v>
      </c>
      <c r="E13175" s="4" t="n">
        <v>175000</v>
      </c>
      <c r="F13175" s="4" t="n">
        <v>1925</v>
      </c>
    </row>
    <row r="13176">
      <c r="A13176" s="3" t="inlineStr">
        <is>
          <t>4</t>
        </is>
      </c>
      <c r="B13176" s="3" t="inlineStr">
        <is>
          <t>Mandor</t>
        </is>
      </c>
      <c r="C13176" s="3" t="inlineStr">
        <is>
          <t>OH</t>
        </is>
      </c>
      <c r="D13176" s="15" t="n">
        <v>0.003</v>
      </c>
      <c r="E13176" s="4" t="n">
        <v>200000</v>
      </c>
      <c r="F13176" s="4" t="n">
        <v>600</v>
      </c>
    </row>
    <row r="13177">
      <c r="A13177" s="3" t="inlineStr">
        <is>
          <t>aksesoris"</t>
        </is>
      </c>
      <c r="B13177" s="3" t="inlineStr"/>
      <c r="C13177" s="3" t="inlineStr">
        <is>
          <t>m'</t>
        </is>
      </c>
      <c r="D13177" s="15" t="n">
        <v>1.5</v>
      </c>
      <c r="E13177" s="4" t="n">
        <v>50000</v>
      </c>
      <c r="F13177" s="4" t="n">
        <v>75000</v>
      </c>
    </row>
    <row r="13178">
      <c r="D13178" s="2" t="inlineStr">
        <is>
          <t>SUBTOTAL UPAH</t>
        </is>
      </c>
      <c r="F13178" s="16" t="n">
        <v>26100</v>
      </c>
    </row>
    <row r="13179">
      <c r="D13179" s="2" t="inlineStr">
        <is>
          <t>SUBTOTAL BAHAN</t>
        </is>
      </c>
      <c r="F13179" s="16" t="n">
        <v>75000</v>
      </c>
    </row>
    <row r="13180">
      <c r="D13180" s="2" t="inlineStr">
        <is>
          <t>SUBTOTAL ALAT</t>
        </is>
      </c>
      <c r="F13180" s="16" t="n">
        <v>0</v>
      </c>
    </row>
    <row r="13181">
      <c r="E13181" s="2" t="inlineStr">
        <is>
          <t>TOTAL HARGA SATUAN (Inc. Overhead)</t>
        </is>
      </c>
      <c r="F13181" s="17" t="n">
        <v>111210</v>
      </c>
    </row>
    <row r="13183">
      <c r="A13183" s="14" t="inlineStr">
        <is>
          <t>KODE: 6.4.2.4 - Pemasangan 1 m Pipa Galvanis MED CLASS, DN. 1-1/4" (32 mm)</t>
        </is>
      </c>
    </row>
    <row r="13184">
      <c r="A13184" s="10" t="inlineStr">
        <is>
          <t>No</t>
        </is>
      </c>
      <c r="B13184" s="10" t="inlineStr">
        <is>
          <t>Uraian Komponen</t>
        </is>
      </c>
      <c r="C13184" s="10" t="inlineStr">
        <is>
          <t>Satuan</t>
        </is>
      </c>
      <c r="D13184" s="10" t="inlineStr">
        <is>
          <t>Koef</t>
        </is>
      </c>
      <c r="E13184" s="10" t="inlineStr">
        <is>
          <t>Harga Satuan (Rp)</t>
        </is>
      </c>
      <c r="F13184" s="10" t="inlineStr">
        <is>
          <t>Jumlah Harga (Rp)</t>
        </is>
      </c>
    </row>
    <row r="13185">
      <c r="A13185" s="3" t="inlineStr">
        <is>
          <t>1</t>
        </is>
      </c>
      <c r="B13185" s="3" t="inlineStr">
        <is>
          <t>Pekerja</t>
        </is>
      </c>
      <c r="C13185" s="3" t="inlineStr">
        <is>
          <t>OH</t>
        </is>
      </c>
      <c r="D13185" s="15" t="n">
        <v>0.08500000000000001</v>
      </c>
      <c r="E13185" s="4" t="n">
        <v>100000</v>
      </c>
      <c r="F13185" s="4" t="n">
        <v>8500</v>
      </c>
    </row>
    <row r="13186">
      <c r="A13186" s="3" t="inlineStr">
        <is>
          <t>2</t>
        </is>
      </c>
      <c r="B13186" s="3" t="inlineStr">
        <is>
          <t>Tukang pipa</t>
        </is>
      </c>
      <c r="C13186" s="3" t="inlineStr">
        <is>
          <t>OH</t>
        </is>
      </c>
      <c r="D13186" s="15" t="n">
        <v>0.143</v>
      </c>
      <c r="E13186" s="4" t="n">
        <v>145000</v>
      </c>
      <c r="F13186" s="4" t="n">
        <v>20735</v>
      </c>
    </row>
    <row r="13187">
      <c r="A13187" s="3" t="inlineStr">
        <is>
          <t>3</t>
        </is>
      </c>
      <c r="B13187" s="3" t="inlineStr">
        <is>
          <t>Kepala tukang</t>
        </is>
      </c>
      <c r="C13187" s="3" t="inlineStr">
        <is>
          <t>OH</t>
        </is>
      </c>
      <c r="D13187" s="15" t="n">
        <v>0.014</v>
      </c>
      <c r="E13187" s="4" t="n">
        <v>175000</v>
      </c>
      <c r="F13187" s="4" t="n">
        <v>2450</v>
      </c>
    </row>
    <row r="13188">
      <c r="A13188" s="3" t="inlineStr">
        <is>
          <t>4</t>
        </is>
      </c>
      <c r="B13188" s="3" t="inlineStr">
        <is>
          <t>Mandor</t>
        </is>
      </c>
      <c r="C13188" s="3" t="inlineStr">
        <is>
          <t>OH</t>
        </is>
      </c>
      <c r="D13188" s="15" t="n">
        <v>0.004</v>
      </c>
      <c r="E13188" s="4" t="n">
        <v>200000</v>
      </c>
      <c r="F13188" s="4" t="n">
        <v>800</v>
      </c>
    </row>
    <row r="13189">
      <c r="A13189" s="3" t="inlineStr">
        <is>
          <t>aksesoris"</t>
        </is>
      </c>
      <c r="B13189" s="3" t="inlineStr"/>
      <c r="C13189" s="3" t="inlineStr">
        <is>
          <t>m'</t>
        </is>
      </c>
      <c r="D13189" s="15" t="n">
        <v>1.5</v>
      </c>
      <c r="E13189" s="4" t="n">
        <v>81000</v>
      </c>
      <c r="F13189" s="4" t="n">
        <v>121500</v>
      </c>
    </row>
    <row r="13190">
      <c r="D13190" s="2" t="inlineStr">
        <is>
          <t>SUBTOTAL UPAH</t>
        </is>
      </c>
      <c r="F13190" s="16" t="n">
        <v>32485</v>
      </c>
    </row>
    <row r="13191">
      <c r="D13191" s="2" t="inlineStr">
        <is>
          <t>SUBTOTAL BAHAN</t>
        </is>
      </c>
      <c r="F13191" s="16" t="n">
        <v>121500</v>
      </c>
    </row>
    <row r="13192">
      <c r="D13192" s="2" t="inlineStr">
        <is>
          <t>SUBTOTAL ALAT</t>
        </is>
      </c>
      <c r="F13192" s="16" t="n">
        <v>0</v>
      </c>
    </row>
    <row r="13193">
      <c r="E13193" s="2" t="inlineStr">
        <is>
          <t>TOTAL HARGA SATUAN (Inc. Overhead)</t>
        </is>
      </c>
      <c r="F13193" s="17" t="n">
        <v>169383</v>
      </c>
    </row>
    <row r="13195">
      <c r="A13195" s="14" t="inlineStr">
        <is>
          <t>KODE: 6.4.2.5 - Pemasangan 1 m Pipa Galvanis MED CLASS, DN. 1-1/2" (40 mm)</t>
        </is>
      </c>
    </row>
    <row r="13196">
      <c r="A13196" s="10" t="inlineStr">
        <is>
          <t>No</t>
        </is>
      </c>
      <c r="B13196" s="10" t="inlineStr">
        <is>
          <t>Uraian Komponen</t>
        </is>
      </c>
      <c r="C13196" s="10" t="inlineStr">
        <is>
          <t>Satuan</t>
        </is>
      </c>
      <c r="D13196" s="10" t="inlineStr">
        <is>
          <t>Koef</t>
        </is>
      </c>
      <c r="E13196" s="10" t="inlineStr">
        <is>
          <t>Harga Satuan (Rp)</t>
        </is>
      </c>
      <c r="F13196" s="10" t="inlineStr">
        <is>
          <t>Jumlah Harga (Rp)</t>
        </is>
      </c>
    </row>
    <row r="13197">
      <c r="A13197" s="3" t="inlineStr">
        <is>
          <t>1</t>
        </is>
      </c>
      <c r="B13197" s="3" t="inlineStr">
        <is>
          <t>Pekerja</t>
        </is>
      </c>
      <c r="C13197" s="3" t="inlineStr">
        <is>
          <t>OH</t>
        </is>
      </c>
      <c r="D13197" s="15" t="n">
        <v>0.104</v>
      </c>
      <c r="E13197" s="4" t="n">
        <v>100000</v>
      </c>
      <c r="F13197" s="4" t="n">
        <v>10400</v>
      </c>
    </row>
    <row r="13198">
      <c r="A13198" s="3" t="inlineStr">
        <is>
          <t>2</t>
        </is>
      </c>
      <c r="B13198" s="3" t="inlineStr">
        <is>
          <t>Tukang pipa</t>
        </is>
      </c>
      <c r="C13198" s="3" t="inlineStr">
        <is>
          <t>OH</t>
        </is>
      </c>
      <c r="D13198" s="15" t="n">
        <v>0.174</v>
      </c>
      <c r="E13198" s="4" t="n">
        <v>145000</v>
      </c>
      <c r="F13198" s="4" t="n">
        <v>25230</v>
      </c>
    </row>
    <row r="13199">
      <c r="A13199" s="3" t="inlineStr">
        <is>
          <t>3</t>
        </is>
      </c>
      <c r="B13199" s="3" t="inlineStr">
        <is>
          <t>Kepala tukang</t>
        </is>
      </c>
      <c r="C13199" s="3" t="inlineStr">
        <is>
          <t>OH</t>
        </is>
      </c>
      <c r="D13199" s="15" t="n">
        <v>0.017</v>
      </c>
      <c r="E13199" s="4" t="n">
        <v>175000</v>
      </c>
      <c r="F13199" s="4" t="n">
        <v>2975</v>
      </c>
    </row>
    <row r="13200">
      <c r="A13200" s="3" t="inlineStr">
        <is>
          <t>4</t>
        </is>
      </c>
      <c r="B13200" s="3" t="inlineStr">
        <is>
          <t>Mandor</t>
        </is>
      </c>
      <c r="C13200" s="3" t="inlineStr">
        <is>
          <t>OH</t>
        </is>
      </c>
      <c r="D13200" s="15" t="n">
        <v>0.005</v>
      </c>
      <c r="E13200" s="4" t="n">
        <v>200000</v>
      </c>
      <c r="F13200" s="4" t="n">
        <v>1000</v>
      </c>
    </row>
    <row r="13201">
      <c r="A13201" s="3" t="inlineStr">
        <is>
          <t>1</t>
        </is>
      </c>
      <c r="B13201" s="3" t="inlineStr">
        <is>
          <t>"Pipa galvanis MED CLASS ; DN. 1-1/2"" (40 mm) + fitting &amp; aksesoris"</t>
        </is>
      </c>
      <c r="C13201" s="3" t="inlineStr">
        <is>
          <t>m'</t>
        </is>
      </c>
      <c r="D13201" s="15" t="n">
        <v>1.5</v>
      </c>
      <c r="E13201" s="4" t="n">
        <v>82500</v>
      </c>
      <c r="F13201" s="4" t="n">
        <v>123750</v>
      </c>
    </row>
    <row r="13202">
      <c r="D13202" s="2" t="inlineStr">
        <is>
          <t>SUBTOTAL UPAH</t>
        </is>
      </c>
      <c r="F13202" s="16" t="n">
        <v>39605</v>
      </c>
    </row>
    <row r="13203">
      <c r="D13203" s="2" t="inlineStr">
        <is>
          <t>SUBTOTAL BAHAN</t>
        </is>
      </c>
      <c r="F13203" s="16" t="n">
        <v>123750</v>
      </c>
    </row>
    <row r="13204">
      <c r="D13204" s="2" t="inlineStr">
        <is>
          <t>SUBTOTAL ALAT</t>
        </is>
      </c>
      <c r="F13204" s="16" t="n">
        <v>0</v>
      </c>
    </row>
    <row r="13205">
      <c r="E13205" s="2" t="inlineStr">
        <is>
          <t>TOTAL HARGA SATUAN (Inc. Overhead)</t>
        </is>
      </c>
      <c r="F13205" s="17" t="n">
        <v>179690</v>
      </c>
    </row>
    <row r="13207">
      <c r="A13207" s="14" t="inlineStr">
        <is>
          <t>KODE: 6.4.2.6 - Pemasangan 1 m Pipa Galvanis MED CLASS, DN. 2" (50 mm)</t>
        </is>
      </c>
    </row>
    <row r="13208">
      <c r="A13208" s="10" t="inlineStr">
        <is>
          <t>No</t>
        </is>
      </c>
      <c r="B13208" s="10" t="inlineStr">
        <is>
          <t>Uraian Komponen</t>
        </is>
      </c>
      <c r="C13208" s="10" t="inlineStr">
        <is>
          <t>Satuan</t>
        </is>
      </c>
      <c r="D13208" s="10" t="inlineStr">
        <is>
          <t>Koef</t>
        </is>
      </c>
      <c r="E13208" s="10" t="inlineStr">
        <is>
          <t>Harga Satuan (Rp)</t>
        </is>
      </c>
      <c r="F13208" s="10" t="inlineStr">
        <is>
          <t>Jumlah Harga (Rp)</t>
        </is>
      </c>
    </row>
    <row r="13209">
      <c r="A13209" s="3" t="inlineStr">
        <is>
          <t>1</t>
        </is>
      </c>
      <c r="B13209" s="3" t="inlineStr">
        <is>
          <t>Pekerja</t>
        </is>
      </c>
      <c r="C13209" s="3" t="inlineStr">
        <is>
          <t>OH</t>
        </is>
      </c>
      <c r="D13209" s="15" t="n">
        <v>0.138</v>
      </c>
      <c r="E13209" s="4" t="n">
        <v>100000</v>
      </c>
      <c r="F13209" s="4" t="n">
        <v>13800</v>
      </c>
    </row>
    <row r="13210">
      <c r="A13210" s="3" t="inlineStr">
        <is>
          <t>2</t>
        </is>
      </c>
      <c r="B13210" s="3" t="inlineStr">
        <is>
          <t>Tukang pipa</t>
        </is>
      </c>
      <c r="C13210" s="3" t="inlineStr">
        <is>
          <t>OH</t>
        </is>
      </c>
      <c r="D13210" s="15" t="n">
        <v>0.23</v>
      </c>
      <c r="E13210" s="4" t="n">
        <v>145000</v>
      </c>
      <c r="F13210" s="4" t="n">
        <v>33350</v>
      </c>
    </row>
    <row r="13211">
      <c r="A13211" s="3" t="inlineStr">
        <is>
          <t>3</t>
        </is>
      </c>
      <c r="B13211" s="3" t="inlineStr">
        <is>
          <t>Kepala tukang</t>
        </is>
      </c>
      <c r="C13211" s="3" t="inlineStr">
        <is>
          <t>OH</t>
        </is>
      </c>
      <c r="D13211" s="15" t="n">
        <v>0.023</v>
      </c>
      <c r="E13211" s="4" t="n">
        <v>175000</v>
      </c>
      <c r="F13211" s="4" t="n">
        <v>4025</v>
      </c>
    </row>
    <row r="13212">
      <c r="A13212" s="3" t="inlineStr">
        <is>
          <t>4</t>
        </is>
      </c>
      <c r="B13212" s="3" t="inlineStr">
        <is>
          <t>Mandor</t>
        </is>
      </c>
      <c r="C13212" s="3" t="inlineStr">
        <is>
          <t>OH</t>
        </is>
      </c>
      <c r="D13212" s="15" t="n">
        <v>0.007</v>
      </c>
      <c r="E13212" s="4" t="n">
        <v>200000</v>
      </c>
      <c r="F13212" s="4" t="n">
        <v>1400</v>
      </c>
    </row>
    <row r="13213">
      <c r="A13213" s="3" t="inlineStr">
        <is>
          <t>1</t>
        </is>
      </c>
      <c r="B13213" s="3" t="inlineStr">
        <is>
          <t>"Pipa galvanis MED CLASS ; DN. 2"" (50 mm) + fitting &amp; aksesoris"</t>
        </is>
      </c>
      <c r="C13213" s="3" t="inlineStr">
        <is>
          <t>m'</t>
        </is>
      </c>
      <c r="D13213" s="15" t="n">
        <v>1.5</v>
      </c>
      <c r="E13213" s="4" t="n">
        <v>94000</v>
      </c>
      <c r="F13213" s="4" t="n">
        <v>141000</v>
      </c>
    </row>
    <row r="13214">
      <c r="D13214" s="2" t="inlineStr">
        <is>
          <t>SUBTOTAL UPAH</t>
        </is>
      </c>
      <c r="F13214" s="16" t="n">
        <v>52575</v>
      </c>
    </row>
    <row r="13215">
      <c r="D13215" s="2" t="inlineStr">
        <is>
          <t>SUBTOTAL BAHAN</t>
        </is>
      </c>
      <c r="F13215" s="16" t="n">
        <v>141000</v>
      </c>
    </row>
    <row r="13216">
      <c r="D13216" s="2" t="inlineStr">
        <is>
          <t>SUBTOTAL ALAT</t>
        </is>
      </c>
      <c r="F13216" s="16" t="n">
        <v>0</v>
      </c>
    </row>
    <row r="13217">
      <c r="E13217" s="2" t="inlineStr">
        <is>
          <t>TOTAL HARGA SATUAN (Inc. Overhead)</t>
        </is>
      </c>
      <c r="F13217" s="17" t="n">
        <v>212932</v>
      </c>
    </row>
    <row r="13219">
      <c r="A13219" s="14" t="inlineStr">
        <is>
          <t>KODE: 6.4.2.7 - Pemasangan 1 m Pipa Galvanis MED CLASS, DN. 2-1/2" (65 mm)</t>
        </is>
      </c>
    </row>
    <row r="13220">
      <c r="A13220" s="10" t="inlineStr">
        <is>
          <t>No</t>
        </is>
      </c>
      <c r="B13220" s="10" t="inlineStr">
        <is>
          <t>Uraian Komponen</t>
        </is>
      </c>
      <c r="C13220" s="10" t="inlineStr">
        <is>
          <t>Satuan</t>
        </is>
      </c>
      <c r="D13220" s="10" t="inlineStr">
        <is>
          <t>Koef</t>
        </is>
      </c>
      <c r="E13220" s="10" t="inlineStr">
        <is>
          <t>Harga Satuan (Rp)</t>
        </is>
      </c>
      <c r="F13220" s="10" t="inlineStr">
        <is>
          <t>Jumlah Harga (Rp)</t>
        </is>
      </c>
    </row>
    <row r="13221">
      <c r="A13221" s="3" t="inlineStr">
        <is>
          <t>1</t>
        </is>
      </c>
      <c r="B13221" s="3" t="inlineStr">
        <is>
          <t>Pekerja</t>
        </is>
      </c>
      <c r="C13221" s="3" t="inlineStr">
        <is>
          <t>OH</t>
        </is>
      </c>
      <c r="D13221" s="15" t="n">
        <v>0.171</v>
      </c>
      <c r="E13221" s="4" t="n">
        <v>100000</v>
      </c>
      <c r="F13221" s="4" t="n">
        <v>17100</v>
      </c>
    </row>
    <row r="13222">
      <c r="A13222" s="3" t="inlineStr">
        <is>
          <t>2</t>
        </is>
      </c>
      <c r="B13222" s="3" t="inlineStr">
        <is>
          <t>Tukang pipa</t>
        </is>
      </c>
      <c r="C13222" s="3" t="inlineStr">
        <is>
          <t>OH</t>
        </is>
      </c>
      <c r="D13222" s="15" t="n">
        <v>0.285</v>
      </c>
      <c r="E13222" s="4" t="n">
        <v>145000</v>
      </c>
      <c r="F13222" s="4" t="n">
        <v>41325</v>
      </c>
    </row>
    <row r="13223">
      <c r="A13223" s="3" t="inlineStr">
        <is>
          <t>3</t>
        </is>
      </c>
      <c r="B13223" s="3" t="inlineStr">
        <is>
          <t>Kepala tukang</t>
        </is>
      </c>
      <c r="C13223" s="3" t="inlineStr">
        <is>
          <t>OH</t>
        </is>
      </c>
      <c r="D13223" s="15" t="n">
        <v>0.029</v>
      </c>
      <c r="E13223" s="4" t="n">
        <v>175000</v>
      </c>
      <c r="F13223" s="4" t="n">
        <v>5075</v>
      </c>
    </row>
    <row r="13224">
      <c r="A13224" s="3" t="inlineStr">
        <is>
          <t>4</t>
        </is>
      </c>
      <c r="B13224" s="3" t="inlineStr">
        <is>
          <t>Mandor</t>
        </is>
      </c>
      <c r="C13224" s="3" t="inlineStr">
        <is>
          <t>OH</t>
        </is>
      </c>
      <c r="D13224" s="15" t="n">
        <v>0.008999999999999999</v>
      </c>
      <c r="E13224" s="4" t="n">
        <v>200000</v>
      </c>
      <c r="F13224" s="4" t="n">
        <v>1800</v>
      </c>
    </row>
    <row r="13225">
      <c r="A13225" s="3" t="inlineStr">
        <is>
          <t>1</t>
        </is>
      </c>
      <c r="B13225" s="3" t="inlineStr">
        <is>
          <t>"Pipa galvanis MED CLASS ; DN. 2-1/2"" (65 mm) + fitting &amp; aksesoris"</t>
        </is>
      </c>
      <c r="C13225" s="3" t="inlineStr">
        <is>
          <t>m'</t>
        </is>
      </c>
      <c r="D13225" s="15" t="n">
        <v>1.5</v>
      </c>
      <c r="E13225" s="4" t="n">
        <v>95000</v>
      </c>
      <c r="F13225" s="4" t="n">
        <v>142500</v>
      </c>
    </row>
    <row r="13226">
      <c r="D13226" s="2" t="inlineStr">
        <is>
          <t>SUBTOTAL UPAH</t>
        </is>
      </c>
      <c r="F13226" s="16" t="n">
        <v>65300</v>
      </c>
    </row>
    <row r="13227">
      <c r="D13227" s="2" t="inlineStr">
        <is>
          <t>SUBTOTAL BAHAN</t>
        </is>
      </c>
      <c r="F13227" s="16" t="n">
        <v>142500</v>
      </c>
    </row>
    <row r="13228">
      <c r="D13228" s="2" t="inlineStr">
        <is>
          <t>SUBTOTAL ALAT</t>
        </is>
      </c>
      <c r="F13228" s="16" t="n">
        <v>0</v>
      </c>
    </row>
    <row r="13229">
      <c r="E13229" s="2" t="inlineStr">
        <is>
          <t>TOTAL HARGA SATUAN (Inc. Overhead)</t>
        </is>
      </c>
      <c r="F13229" s="17" t="n">
        <v>228580</v>
      </c>
    </row>
    <row r="13231">
      <c r="A13231" s="14" t="inlineStr">
        <is>
          <t>KODE: 6.4.2.8 - Pemasangan 1 m Pipa Galvanis MED CLASS, DN. 3" (80 mm)</t>
        </is>
      </c>
    </row>
    <row r="13232">
      <c r="A13232" s="10" t="inlineStr">
        <is>
          <t>No</t>
        </is>
      </c>
      <c r="B13232" s="10" t="inlineStr">
        <is>
          <t>Uraian Komponen</t>
        </is>
      </c>
      <c r="C13232" s="10" t="inlineStr">
        <is>
          <t>Satuan</t>
        </is>
      </c>
      <c r="D13232" s="10" t="inlineStr">
        <is>
          <t>Koef</t>
        </is>
      </c>
      <c r="E13232" s="10" t="inlineStr">
        <is>
          <t>Harga Satuan (Rp)</t>
        </is>
      </c>
      <c r="F13232" s="10" t="inlineStr">
        <is>
          <t>Jumlah Harga (Rp)</t>
        </is>
      </c>
    </row>
    <row r="13233">
      <c r="A13233" s="3" t="inlineStr">
        <is>
          <t>1</t>
        </is>
      </c>
      <c r="B13233" s="3" t="inlineStr">
        <is>
          <t>Pekerja</t>
        </is>
      </c>
      <c r="C13233" s="3" t="inlineStr">
        <is>
          <t>OH</t>
        </is>
      </c>
      <c r="D13233" s="15" t="n">
        <v>0.238</v>
      </c>
      <c r="E13233" s="4" t="n">
        <v>100000</v>
      </c>
      <c r="F13233" s="4" t="n">
        <v>23800</v>
      </c>
    </row>
    <row r="13234">
      <c r="A13234" s="3" t="inlineStr">
        <is>
          <t>2</t>
        </is>
      </c>
      <c r="B13234" s="3" t="inlineStr">
        <is>
          <t>Tukang pipa</t>
        </is>
      </c>
      <c r="C13234" s="3" t="inlineStr">
        <is>
          <t>OH</t>
        </is>
      </c>
      <c r="D13234" s="15" t="n">
        <v>0.397</v>
      </c>
      <c r="E13234" s="4" t="n">
        <v>145000</v>
      </c>
      <c r="F13234" s="4" t="n">
        <v>57565</v>
      </c>
    </row>
    <row r="13235">
      <c r="A13235" s="3" t="inlineStr">
        <is>
          <t>3</t>
        </is>
      </c>
      <c r="B13235" s="3" t="inlineStr">
        <is>
          <t>Kepala tukang</t>
        </is>
      </c>
      <c r="C13235" s="3" t="inlineStr">
        <is>
          <t>OH</t>
        </is>
      </c>
      <c r="D13235" s="15" t="n">
        <v>0.04</v>
      </c>
      <c r="E13235" s="4" t="n">
        <v>175000</v>
      </c>
      <c r="F13235" s="4" t="n">
        <v>7000</v>
      </c>
    </row>
    <row r="13236">
      <c r="A13236" s="3" t="inlineStr">
        <is>
          <t>4</t>
        </is>
      </c>
      <c r="B13236" s="3" t="inlineStr">
        <is>
          <t>Mandor</t>
        </is>
      </c>
      <c r="C13236" s="3" t="inlineStr">
        <is>
          <t>OH</t>
        </is>
      </c>
      <c r="D13236" s="15" t="n">
        <v>0.012</v>
      </c>
      <c r="E13236" s="4" t="n">
        <v>200000</v>
      </c>
      <c r="F13236" s="4" t="n">
        <v>2400</v>
      </c>
    </row>
    <row r="13237">
      <c r="A13237" s="3" t="inlineStr">
        <is>
          <t>1</t>
        </is>
      </c>
      <c r="B13237" s="3" t="inlineStr">
        <is>
          <t>"Pipa galvanis MED CLASS ; DN. 3"" (80 mm) + fitting &amp; aksesoris"</t>
        </is>
      </c>
      <c r="C13237" s="3" t="inlineStr">
        <is>
          <t>m'</t>
        </is>
      </c>
      <c r="D13237" s="15" t="n">
        <v>1.5</v>
      </c>
      <c r="E13237" s="4" t="n">
        <v>176000</v>
      </c>
      <c r="F13237" s="4" t="n">
        <v>264000</v>
      </c>
    </row>
    <row r="13238">
      <c r="D13238" s="2" t="inlineStr">
        <is>
          <t>SUBTOTAL UPAH</t>
        </is>
      </c>
      <c r="F13238" s="16" t="n">
        <v>90765</v>
      </c>
    </row>
    <row r="13239">
      <c r="D13239" s="2" t="inlineStr">
        <is>
          <t>SUBTOTAL BAHAN</t>
        </is>
      </c>
      <c r="F13239" s="16" t="n">
        <v>264000</v>
      </c>
    </row>
    <row r="13240">
      <c r="D13240" s="2" t="inlineStr">
        <is>
          <t>SUBTOTAL ALAT</t>
        </is>
      </c>
      <c r="F13240" s="16" t="n">
        <v>0</v>
      </c>
    </row>
    <row r="13241">
      <c r="E13241" s="2" t="inlineStr">
        <is>
          <t>TOTAL HARGA SATUAN (Inc. Overhead)</t>
        </is>
      </c>
      <c r="F13241" s="17" t="n">
        <v>390241</v>
      </c>
    </row>
    <row r="13243">
      <c r="A13243" s="14" t="inlineStr">
        <is>
          <t>KODE: 6.4.2.9 - Pemasangan 1 m Pipa Galvanis MED CLASS, DN. 4" (100 mm)</t>
        </is>
      </c>
    </row>
    <row r="13244">
      <c r="A13244" s="10" t="inlineStr">
        <is>
          <t>No</t>
        </is>
      </c>
      <c r="B13244" s="10" t="inlineStr">
        <is>
          <t>Uraian Komponen</t>
        </is>
      </c>
      <c r="C13244" s="10" t="inlineStr">
        <is>
          <t>Satuan</t>
        </is>
      </c>
      <c r="D13244" s="10" t="inlineStr">
        <is>
          <t>Koef</t>
        </is>
      </c>
      <c r="E13244" s="10" t="inlineStr">
        <is>
          <t>Harga Satuan (Rp)</t>
        </is>
      </c>
      <c r="F13244" s="10" t="inlineStr">
        <is>
          <t>Jumlah Harga (Rp)</t>
        </is>
      </c>
    </row>
    <row r="13245">
      <c r="A13245" s="3" t="inlineStr">
        <is>
          <t>1</t>
        </is>
      </c>
      <c r="B13245" s="3" t="inlineStr">
        <is>
          <t>Pekerja</t>
        </is>
      </c>
      <c r="C13245" s="3" t="inlineStr">
        <is>
          <t>OH</t>
        </is>
      </c>
      <c r="D13245" s="15" t="n">
        <v>0.317</v>
      </c>
      <c r="E13245" s="4" t="n">
        <v>100000</v>
      </c>
      <c r="F13245" s="4" t="n">
        <v>31700</v>
      </c>
    </row>
    <row r="13246">
      <c r="A13246" s="3" t="inlineStr">
        <is>
          <t>2</t>
        </is>
      </c>
      <c r="B13246" s="3" t="inlineStr">
        <is>
          <t>Tukang pipa</t>
        </is>
      </c>
      <c r="C13246" s="3" t="inlineStr">
        <is>
          <t>OH</t>
        </is>
      </c>
      <c r="D13246" s="15" t="n">
        <v>0.529</v>
      </c>
      <c r="E13246" s="4" t="n">
        <v>145000</v>
      </c>
      <c r="F13246" s="4" t="n">
        <v>76705</v>
      </c>
    </row>
    <row r="13247">
      <c r="A13247" s="3" t="inlineStr">
        <is>
          <t>3</t>
        </is>
      </c>
      <c r="B13247" s="3" t="inlineStr">
        <is>
          <t>Kepala tukang</t>
        </is>
      </c>
      <c r="C13247" s="3" t="inlineStr">
        <is>
          <t>OH</t>
        </is>
      </c>
      <c r="D13247" s="15" t="n">
        <v>0.053</v>
      </c>
      <c r="E13247" s="4" t="n">
        <v>175000</v>
      </c>
      <c r="F13247" s="4" t="n">
        <v>9275</v>
      </c>
    </row>
    <row r="13248">
      <c r="A13248" s="3" t="inlineStr">
        <is>
          <t>4</t>
        </is>
      </c>
      <c r="B13248" s="3" t="inlineStr">
        <is>
          <t>Mandor</t>
        </is>
      </c>
      <c r="C13248" s="3" t="inlineStr">
        <is>
          <t>OH</t>
        </is>
      </c>
      <c r="D13248" s="15" t="n">
        <v>0.016</v>
      </c>
      <c r="E13248" s="4" t="n">
        <v>200000</v>
      </c>
      <c r="F13248" s="4" t="n">
        <v>3200</v>
      </c>
    </row>
    <row r="13249">
      <c r="A13249" s="3" t="inlineStr">
        <is>
          <t>1</t>
        </is>
      </c>
      <c r="B13249" s="3" t="inlineStr">
        <is>
          <t>"Pipa galvanis MED CLASS ; DN. 4"" (100 mm) + fitting &amp; aksesoris"</t>
        </is>
      </c>
      <c r="C13249" s="3" t="inlineStr">
        <is>
          <t>m'</t>
        </is>
      </c>
      <c r="D13249" s="15" t="n">
        <v>1.5</v>
      </c>
      <c r="E13249" s="4" t="n">
        <v>253500</v>
      </c>
      <c r="F13249" s="4" t="n">
        <v>380250</v>
      </c>
    </row>
    <row r="13250">
      <c r="D13250" s="2" t="inlineStr">
        <is>
          <t>SUBTOTAL UPAH</t>
        </is>
      </c>
      <c r="F13250" s="16" t="n">
        <v>120880</v>
      </c>
    </row>
    <row r="13251">
      <c r="D13251" s="2" t="inlineStr">
        <is>
          <t>SUBTOTAL BAHAN</t>
        </is>
      </c>
      <c r="F13251" s="16" t="n">
        <v>380250</v>
      </c>
    </row>
    <row r="13252">
      <c r="D13252" s="2" t="inlineStr">
        <is>
          <t>SUBTOTAL ALAT</t>
        </is>
      </c>
      <c r="F13252" s="16" t="n">
        <v>0</v>
      </c>
    </row>
    <row r="13253">
      <c r="E13253" s="2" t="inlineStr">
        <is>
          <t>TOTAL HARGA SATUAN (Inc. Overhead)</t>
        </is>
      </c>
      <c r="F13253" s="17" t="n">
        <v>551243</v>
      </c>
    </row>
    <row r="13255">
      <c r="A13255" s="14" t="inlineStr">
        <is>
          <t>KODE: 6.4.2.10 - Pemasangan 1 m Pipa Galvanis MED CLASS, DN. 5" (125 mm)</t>
        </is>
      </c>
    </row>
    <row r="13256">
      <c r="A13256" s="10" t="inlineStr">
        <is>
          <t>No</t>
        </is>
      </c>
      <c r="B13256" s="10" t="inlineStr">
        <is>
          <t>Uraian Komponen</t>
        </is>
      </c>
      <c r="C13256" s="10" t="inlineStr">
        <is>
          <t>Satuan</t>
        </is>
      </c>
      <c r="D13256" s="10" t="inlineStr">
        <is>
          <t>Koef</t>
        </is>
      </c>
      <c r="E13256" s="10" t="inlineStr">
        <is>
          <t>Harga Satuan (Rp)</t>
        </is>
      </c>
      <c r="F13256" s="10" t="inlineStr">
        <is>
          <t>Jumlah Harga (Rp)</t>
        </is>
      </c>
    </row>
    <row r="13257">
      <c r="A13257" s="3" t="inlineStr">
        <is>
          <t>1</t>
        </is>
      </c>
      <c r="B13257" s="3" t="inlineStr">
        <is>
          <t>Pekerja</t>
        </is>
      </c>
      <c r="C13257" s="3" t="inlineStr">
        <is>
          <t>OH</t>
        </is>
      </c>
      <c r="D13257" s="15" t="n">
        <v>0.394</v>
      </c>
      <c r="E13257" s="4" t="n">
        <v>100000</v>
      </c>
      <c r="F13257" s="4" t="n">
        <v>39400</v>
      </c>
    </row>
    <row r="13258">
      <c r="A13258" s="3" t="inlineStr">
        <is>
          <t>2</t>
        </is>
      </c>
      <c r="B13258" s="3" t="inlineStr">
        <is>
          <t>Tukang pipa</t>
        </is>
      </c>
      <c r="C13258" s="3" t="inlineStr">
        <is>
          <t>OH</t>
        </is>
      </c>
      <c r="D13258" s="15" t="n">
        <v>0.658</v>
      </c>
      <c r="E13258" s="4" t="n">
        <v>145000</v>
      </c>
      <c r="F13258" s="4" t="n">
        <v>95410</v>
      </c>
    </row>
    <row r="13259">
      <c r="A13259" s="3" t="inlineStr">
        <is>
          <t>3</t>
        </is>
      </c>
      <c r="B13259" s="3" t="inlineStr">
        <is>
          <t>Kepala tukang</t>
        </is>
      </c>
      <c r="C13259" s="3" t="inlineStr">
        <is>
          <t>OH</t>
        </is>
      </c>
      <c r="D13259" s="15" t="n">
        <v>0.066</v>
      </c>
      <c r="E13259" s="4" t="n">
        <v>175000</v>
      </c>
      <c r="F13259" s="4" t="n">
        <v>11550</v>
      </c>
    </row>
    <row r="13260">
      <c r="A13260" s="3" t="inlineStr">
        <is>
          <t>4</t>
        </is>
      </c>
      <c r="B13260" s="3" t="inlineStr">
        <is>
          <t>Mandor</t>
        </is>
      </c>
      <c r="C13260" s="3" t="inlineStr">
        <is>
          <t>OH</t>
        </is>
      </c>
      <c r="D13260" s="15" t="n">
        <v>0.02</v>
      </c>
      <c r="E13260" s="4" t="n">
        <v>200000</v>
      </c>
      <c r="F13260" s="4" t="n">
        <v>4000</v>
      </c>
    </row>
    <row r="13261">
      <c r="A13261" s="3" t="inlineStr">
        <is>
          <t>1</t>
        </is>
      </c>
      <c r="B13261" s="3" t="inlineStr">
        <is>
          <t>"Pipa galvanis MED CLASS ; DN. 5"" (125 mm) + fitting &amp; aksesoris"</t>
        </is>
      </c>
      <c r="C13261" s="3" t="inlineStr">
        <is>
          <t>m'</t>
        </is>
      </c>
      <c r="D13261" s="15" t="n">
        <v>1.5</v>
      </c>
      <c r="E13261" s="4" t="n">
        <v>336000</v>
      </c>
      <c r="F13261" s="4" t="n">
        <v>504000</v>
      </c>
    </row>
    <row r="13262">
      <c r="D13262" s="2" t="inlineStr">
        <is>
          <t>SUBTOTAL UPAH</t>
        </is>
      </c>
      <c r="F13262" s="16" t="n">
        <v>150360</v>
      </c>
    </row>
    <row r="13263">
      <c r="D13263" s="2" t="inlineStr">
        <is>
          <t>SUBTOTAL BAHAN</t>
        </is>
      </c>
      <c r="F13263" s="16" t="n">
        <v>504000</v>
      </c>
    </row>
    <row r="13264">
      <c r="D13264" s="2" t="inlineStr">
        <is>
          <t>SUBTOTAL ALAT</t>
        </is>
      </c>
      <c r="F13264" s="16" t="n">
        <v>0</v>
      </c>
    </row>
    <row r="13265">
      <c r="E13265" s="2" t="inlineStr">
        <is>
          <t>TOTAL HARGA SATUAN (Inc. Overhead)</t>
        </is>
      </c>
      <c r="F13265" s="17" t="n">
        <v>719796</v>
      </c>
    </row>
    <row r="13267">
      <c r="A13267" s="14" t="inlineStr">
        <is>
          <t>KODE: 6.4.2.11 - Pemasangan 1 m Pipa Galvanis MED CLASS, DN. 6" (150 mm)</t>
        </is>
      </c>
    </row>
    <row r="13268">
      <c r="A13268" s="10" t="inlineStr">
        <is>
          <t>No</t>
        </is>
      </c>
      <c r="B13268" s="10" t="inlineStr">
        <is>
          <t>Uraian Komponen</t>
        </is>
      </c>
      <c r="C13268" s="10" t="inlineStr">
        <is>
          <t>Satuan</t>
        </is>
      </c>
      <c r="D13268" s="10" t="inlineStr">
        <is>
          <t>Koef</t>
        </is>
      </c>
      <c r="E13268" s="10" t="inlineStr">
        <is>
          <t>Harga Satuan (Rp)</t>
        </is>
      </c>
      <c r="F13268" s="10" t="inlineStr">
        <is>
          <t>Jumlah Harga (Rp)</t>
        </is>
      </c>
    </row>
    <row r="13269">
      <c r="A13269" s="3" t="inlineStr">
        <is>
          <t>1</t>
        </is>
      </c>
      <c r="B13269" s="3" t="inlineStr">
        <is>
          <t>Pekerja</t>
        </is>
      </c>
      <c r="C13269" s="3" t="inlineStr">
        <is>
          <t>OH</t>
        </is>
      </c>
      <c r="D13269" s="15" t="n">
        <v>0.473</v>
      </c>
      <c r="E13269" s="4" t="n">
        <v>100000</v>
      </c>
      <c r="F13269" s="4" t="n">
        <v>47300</v>
      </c>
    </row>
    <row r="13270">
      <c r="A13270" s="3" t="inlineStr">
        <is>
          <t>2</t>
        </is>
      </c>
      <c r="B13270" s="3" t="inlineStr">
        <is>
          <t>Tukang pipa</t>
        </is>
      </c>
      <c r="C13270" s="3" t="inlineStr">
        <is>
          <t>OH</t>
        </is>
      </c>
      <c r="D13270" s="15" t="n">
        <v>0.79</v>
      </c>
      <c r="E13270" s="4" t="n">
        <v>145000</v>
      </c>
      <c r="F13270" s="4" t="n">
        <v>114550</v>
      </c>
    </row>
    <row r="13271">
      <c r="A13271" s="3" t="inlineStr">
        <is>
          <t>3</t>
        </is>
      </c>
      <c r="B13271" s="3" t="inlineStr">
        <is>
          <t>Kepala tukang</t>
        </is>
      </c>
      <c r="C13271" s="3" t="inlineStr">
        <is>
          <t>OH</t>
        </is>
      </c>
      <c r="D13271" s="15" t="n">
        <v>0.079</v>
      </c>
      <c r="E13271" s="4" t="n">
        <v>175000</v>
      </c>
      <c r="F13271" s="4" t="n">
        <v>13825</v>
      </c>
    </row>
    <row r="13272">
      <c r="A13272" s="3" t="inlineStr">
        <is>
          <t>4</t>
        </is>
      </c>
      <c r="B13272" s="3" t="inlineStr">
        <is>
          <t>Mandor</t>
        </is>
      </c>
      <c r="C13272" s="3" t="inlineStr">
        <is>
          <t>OH</t>
        </is>
      </c>
      <c r="D13272" s="15" t="n">
        <v>0.024</v>
      </c>
      <c r="E13272" s="4" t="n">
        <v>200000</v>
      </c>
      <c r="F13272" s="4" t="n">
        <v>4800</v>
      </c>
    </row>
    <row r="13273">
      <c r="A13273" s="3" t="inlineStr">
        <is>
          <t>1</t>
        </is>
      </c>
      <c r="B13273" s="3" t="inlineStr">
        <is>
          <t>"Pipa galvanis MED CLASS ; DN. 6"" (150 mm) + fitting &amp; aksesoris"</t>
        </is>
      </c>
      <c r="C13273" s="3" t="inlineStr">
        <is>
          <t>m'</t>
        </is>
      </c>
      <c r="D13273" s="15" t="n">
        <v>1.5</v>
      </c>
      <c r="E13273" s="4" t="n">
        <v>266000</v>
      </c>
      <c r="F13273" s="4" t="n">
        <v>399000</v>
      </c>
    </row>
    <row r="13274">
      <c r="D13274" s="2" t="inlineStr">
        <is>
          <t>SUBTOTAL UPAH</t>
        </is>
      </c>
      <c r="F13274" s="16" t="n">
        <v>180475</v>
      </c>
    </row>
    <row r="13275">
      <c r="D13275" s="2" t="inlineStr">
        <is>
          <t>SUBTOTAL BAHAN</t>
        </is>
      </c>
      <c r="F13275" s="16" t="n">
        <v>399000</v>
      </c>
    </row>
    <row r="13276">
      <c r="D13276" s="2" t="inlineStr">
        <is>
          <t>SUBTOTAL ALAT</t>
        </is>
      </c>
      <c r="F13276" s="16" t="n">
        <v>0</v>
      </c>
    </row>
    <row r="13277">
      <c r="E13277" s="2" t="inlineStr">
        <is>
          <t>TOTAL HARGA SATUAN (Inc. Overhead)</t>
        </is>
      </c>
      <c r="F13277" s="17" t="n">
        <v>637422</v>
      </c>
    </row>
    <row r="13279">
      <c r="A13279" s="14" t="inlineStr">
        <is>
          <t>KODE: 6.4.2.12 - Pemasangan 1 m Pipa Galvanis MED CLASS, DN. 8" (200 mm)</t>
        </is>
      </c>
    </row>
    <row r="13280">
      <c r="A13280" s="10" t="inlineStr">
        <is>
          <t>No</t>
        </is>
      </c>
      <c r="B13280" s="10" t="inlineStr">
        <is>
          <t>Uraian Komponen</t>
        </is>
      </c>
      <c r="C13280" s="10" t="inlineStr">
        <is>
          <t>Satuan</t>
        </is>
      </c>
      <c r="D13280" s="10" t="inlineStr">
        <is>
          <t>Koef</t>
        </is>
      </c>
      <c r="E13280" s="10" t="inlineStr">
        <is>
          <t>Harga Satuan (Rp)</t>
        </is>
      </c>
      <c r="F13280" s="10" t="inlineStr">
        <is>
          <t>Jumlah Harga (Rp)</t>
        </is>
      </c>
    </row>
    <row r="13281">
      <c r="A13281" s="3" t="inlineStr">
        <is>
          <t>1</t>
        </is>
      </c>
      <c r="B13281" s="3" t="inlineStr">
        <is>
          <t>Pekerja</t>
        </is>
      </c>
      <c r="C13281" s="3" t="inlineStr">
        <is>
          <t>OH</t>
        </is>
      </c>
      <c r="D13281" s="15" t="n">
        <v>0.629</v>
      </c>
      <c r="E13281" s="4" t="n">
        <v>100000</v>
      </c>
      <c r="F13281" s="4" t="n">
        <v>62900</v>
      </c>
    </row>
    <row r="13282">
      <c r="A13282" s="3" t="inlineStr">
        <is>
          <t>2</t>
        </is>
      </c>
      <c r="B13282" s="3" t="inlineStr">
        <is>
          <t>Tukang pipa</t>
        </is>
      </c>
      <c r="C13282" s="3" t="inlineStr">
        <is>
          <t>OH</t>
        </is>
      </c>
      <c r="D13282" s="15" t="n">
        <v>1.051</v>
      </c>
      <c r="E13282" s="4" t="n">
        <v>145000</v>
      </c>
      <c r="F13282" s="4" t="n">
        <v>152395</v>
      </c>
    </row>
    <row r="13283">
      <c r="A13283" s="3" t="inlineStr">
        <is>
          <t>3</t>
        </is>
      </c>
      <c r="B13283" s="3" t="inlineStr">
        <is>
          <t>Kepala tukang</t>
        </is>
      </c>
      <c r="C13283" s="3" t="inlineStr">
        <is>
          <t>OH</t>
        </is>
      </c>
      <c r="D13283" s="15" t="n">
        <v>0.105</v>
      </c>
      <c r="E13283" s="4" t="n">
        <v>175000</v>
      </c>
      <c r="F13283" s="4" t="n">
        <v>18375</v>
      </c>
    </row>
    <row r="13284">
      <c r="A13284" s="3" t="inlineStr">
        <is>
          <t>4</t>
        </is>
      </c>
      <c r="B13284" s="3" t="inlineStr">
        <is>
          <t>Mandor</t>
        </is>
      </c>
      <c r="C13284" s="3" t="inlineStr">
        <is>
          <t>OH</t>
        </is>
      </c>
      <c r="D13284" s="15" t="n">
        <v>0.032</v>
      </c>
      <c r="E13284" s="4" t="n">
        <v>200000</v>
      </c>
      <c r="F13284" s="4" t="n">
        <v>6400</v>
      </c>
    </row>
    <row r="13285">
      <c r="A13285" s="3" t="inlineStr">
        <is>
          <t>1</t>
        </is>
      </c>
      <c r="B13285" s="3" t="inlineStr">
        <is>
          <t>"Pipa galvanis MED CLASS ; DN. 8"" (200 mm) + fitting &amp; aksesoris"</t>
        </is>
      </c>
      <c r="C13285" s="3" t="inlineStr">
        <is>
          <t>m'</t>
        </is>
      </c>
      <c r="D13285" s="15" t="n">
        <v>1.5</v>
      </c>
      <c r="E13285" s="4" t="n">
        <v>384000</v>
      </c>
      <c r="F13285" s="4" t="n">
        <v>576000</v>
      </c>
    </row>
    <row r="13286">
      <c r="D13286" s="2" t="inlineStr">
        <is>
          <t>SUBTOTAL UPAH</t>
        </is>
      </c>
      <c r="F13286" s="16" t="n">
        <v>240070</v>
      </c>
    </row>
    <row r="13287">
      <c r="D13287" s="2" t="inlineStr">
        <is>
          <t>SUBTOTAL BAHAN</t>
        </is>
      </c>
      <c r="F13287" s="16" t="n">
        <v>576000</v>
      </c>
    </row>
    <row r="13288">
      <c r="D13288" s="2" t="inlineStr">
        <is>
          <t>SUBTOTAL ALAT</t>
        </is>
      </c>
      <c r="F13288" s="16" t="n">
        <v>0</v>
      </c>
    </row>
    <row r="13289">
      <c r="E13289" s="2" t="inlineStr">
        <is>
          <t>TOTAL HARGA SATUAN (Inc. Overhead)</t>
        </is>
      </c>
      <c r="F13289" s="17" t="n">
        <v>897677</v>
      </c>
    </row>
    <row r="13291">
      <c r="A13291" s="14" t="inlineStr">
        <is>
          <t>KODE: 6.4.2.13 - Pemasangan 1 m Pipa Galvanis MED CLASS, DN. 10" (250 mm)</t>
        </is>
      </c>
    </row>
    <row r="13292">
      <c r="A13292" s="10" t="inlineStr">
        <is>
          <t>No</t>
        </is>
      </c>
      <c r="B13292" s="10" t="inlineStr">
        <is>
          <t>Uraian Komponen</t>
        </is>
      </c>
      <c r="C13292" s="10" t="inlineStr">
        <is>
          <t>Satuan</t>
        </is>
      </c>
      <c r="D13292" s="10" t="inlineStr">
        <is>
          <t>Koef</t>
        </is>
      </c>
      <c r="E13292" s="10" t="inlineStr">
        <is>
          <t>Harga Satuan (Rp)</t>
        </is>
      </c>
      <c r="F13292" s="10" t="inlineStr">
        <is>
          <t>Jumlah Harga (Rp)</t>
        </is>
      </c>
    </row>
    <row r="13293">
      <c r="A13293" s="3" t="inlineStr">
        <is>
          <t>1</t>
        </is>
      </c>
      <c r="B13293" s="3" t="inlineStr">
        <is>
          <t>Pekerja</t>
        </is>
      </c>
      <c r="C13293" s="3" t="inlineStr">
        <is>
          <t>OH</t>
        </is>
      </c>
      <c r="D13293" s="15" t="n">
        <v>0.788</v>
      </c>
      <c r="E13293" s="4" t="n">
        <v>100000</v>
      </c>
      <c r="F13293" s="4" t="n">
        <v>78800</v>
      </c>
    </row>
    <row r="13294">
      <c r="A13294" s="3" t="inlineStr">
        <is>
          <t>2</t>
        </is>
      </c>
      <c r="B13294" s="3" t="inlineStr">
        <is>
          <t>Tukang pipa</t>
        </is>
      </c>
      <c r="C13294" s="3" t="inlineStr">
        <is>
          <t>OH</t>
        </is>
      </c>
      <c r="D13294" s="15" t="n">
        <v>1.315</v>
      </c>
      <c r="E13294" s="4" t="n">
        <v>145000</v>
      </c>
      <c r="F13294" s="4" t="n">
        <v>190675</v>
      </c>
    </row>
    <row r="13295">
      <c r="A13295" s="3" t="inlineStr">
        <is>
          <t>3</t>
        </is>
      </c>
      <c r="B13295" s="3" t="inlineStr">
        <is>
          <t>Kepala tukang</t>
        </is>
      </c>
      <c r="C13295" s="3" t="inlineStr">
        <is>
          <t>OH</t>
        </is>
      </c>
      <c r="D13295" s="15" t="n">
        <v>0.132</v>
      </c>
      <c r="E13295" s="4" t="n">
        <v>175000</v>
      </c>
      <c r="F13295" s="4" t="n">
        <v>23100</v>
      </c>
    </row>
    <row r="13296">
      <c r="A13296" s="3" t="inlineStr">
        <is>
          <t>4</t>
        </is>
      </c>
      <c r="B13296" s="3" t="inlineStr">
        <is>
          <t>Mandor</t>
        </is>
      </c>
      <c r="C13296" s="3" t="inlineStr">
        <is>
          <t>OH</t>
        </is>
      </c>
      <c r="D13296" s="15" t="n">
        <v>0.039</v>
      </c>
      <c r="E13296" s="4" t="n">
        <v>200000</v>
      </c>
      <c r="F13296" s="4" t="n">
        <v>7800</v>
      </c>
    </row>
    <row r="13297">
      <c r="A13297" s="3" t="inlineStr">
        <is>
          <t>1</t>
        </is>
      </c>
      <c r="B13297" s="3" t="inlineStr">
        <is>
          <t>"Pipa galvanis MED CLASS ; DN. 10"" (250 mm) + fitting &amp; aksesoris"</t>
        </is>
      </c>
      <c r="C13297" s="3" t="inlineStr">
        <is>
          <t>m'</t>
        </is>
      </c>
      <c r="D13297" s="15" t="n">
        <v>1.5</v>
      </c>
      <c r="E13297" s="4" t="n">
        <v>391000</v>
      </c>
      <c r="F13297" s="4" t="n">
        <v>586500</v>
      </c>
    </row>
    <row r="13298">
      <c r="D13298" s="2" t="inlineStr">
        <is>
          <t>SUBTOTAL UPAH</t>
        </is>
      </c>
      <c r="F13298" s="16" t="n">
        <v>300375</v>
      </c>
    </row>
    <row r="13299">
      <c r="D13299" s="2" t="inlineStr">
        <is>
          <t>SUBTOTAL BAHAN</t>
        </is>
      </c>
      <c r="F13299" s="16" t="n">
        <v>586500</v>
      </c>
    </row>
    <row r="13300">
      <c r="D13300" s="2" t="inlineStr">
        <is>
          <t>SUBTOTAL ALAT</t>
        </is>
      </c>
      <c r="F13300" s="16" t="n">
        <v>0</v>
      </c>
    </row>
    <row r="13301">
      <c r="E13301" s="2" t="inlineStr">
        <is>
          <t>TOTAL HARGA SATUAN (Inc. Overhead)</t>
        </is>
      </c>
      <c r="F13301" s="17" t="n">
        <v>975562</v>
      </c>
    </row>
    <row r="13303">
      <c r="A13303" s="14" t="inlineStr">
        <is>
          <t>KODE: 6.4.2.14 - Pemasangan 1 m Pipa Galvanis MED CLASS, DN. 12" (300 mm)</t>
        </is>
      </c>
    </row>
    <row r="13304">
      <c r="A13304" s="10" t="inlineStr">
        <is>
          <t>No</t>
        </is>
      </c>
      <c r="B13304" s="10" t="inlineStr">
        <is>
          <t>Uraian Komponen</t>
        </is>
      </c>
      <c r="C13304" s="10" t="inlineStr">
        <is>
          <t>Satuan</t>
        </is>
      </c>
      <c r="D13304" s="10" t="inlineStr">
        <is>
          <t>Koef</t>
        </is>
      </c>
      <c r="E13304" s="10" t="inlineStr">
        <is>
          <t>Harga Satuan (Rp)</t>
        </is>
      </c>
      <c r="F13304" s="10" t="inlineStr">
        <is>
          <t>Jumlah Harga (Rp)</t>
        </is>
      </c>
    </row>
    <row r="13305">
      <c r="A13305" s="3" t="inlineStr">
        <is>
          <t>1</t>
        </is>
      </c>
      <c r="B13305" s="3" t="inlineStr">
        <is>
          <t>Pekerja</t>
        </is>
      </c>
      <c r="C13305" s="3" t="inlineStr">
        <is>
          <t>OH</t>
        </is>
      </c>
      <c r="D13305" s="15" t="n">
        <v>0.944</v>
      </c>
      <c r="E13305" s="4" t="n">
        <v>100000</v>
      </c>
      <c r="F13305" s="4" t="n">
        <v>94400</v>
      </c>
    </row>
    <row r="13306">
      <c r="A13306" s="3" t="inlineStr">
        <is>
          <t>2</t>
        </is>
      </c>
      <c r="B13306" s="3" t="inlineStr">
        <is>
          <t>Tukang pipa</t>
        </is>
      </c>
      <c r="C13306" s="3" t="inlineStr">
        <is>
          <t>OH</t>
        </is>
      </c>
      <c r="D13306" s="15" t="n">
        <v>1.576</v>
      </c>
      <c r="E13306" s="4" t="n">
        <v>145000</v>
      </c>
      <c r="F13306" s="4" t="n">
        <v>228520</v>
      </c>
    </row>
    <row r="13307">
      <c r="A13307" s="3" t="inlineStr">
        <is>
          <t>3</t>
        </is>
      </c>
      <c r="B13307" s="3" t="inlineStr">
        <is>
          <t>Kepala tukang</t>
        </is>
      </c>
      <c r="C13307" s="3" t="inlineStr">
        <is>
          <t>OH</t>
        </is>
      </c>
      <c r="D13307" s="15" t="n">
        <v>0.158</v>
      </c>
      <c r="E13307" s="4" t="n">
        <v>175000</v>
      </c>
      <c r="F13307" s="4" t="n">
        <v>27650</v>
      </c>
    </row>
    <row r="13308">
      <c r="A13308" s="3" t="inlineStr">
        <is>
          <t>4</t>
        </is>
      </c>
      <c r="B13308" s="3" t="inlineStr">
        <is>
          <t>Mandor</t>
        </is>
      </c>
      <c r="C13308" s="3" t="inlineStr">
        <is>
          <t>OH</t>
        </is>
      </c>
      <c r="D13308" s="15" t="n">
        <v>0.047</v>
      </c>
      <c r="E13308" s="4" t="n">
        <v>200000</v>
      </c>
      <c r="F13308" s="4" t="n">
        <v>9400</v>
      </c>
    </row>
    <row r="13309">
      <c r="A13309" s="3" t="inlineStr">
        <is>
          <t>1</t>
        </is>
      </c>
      <c r="B13309" s="3" t="inlineStr">
        <is>
          <t>"Pipa galvanis MED CLASS ; DN. 12"" (300 mm) + fitting &amp; aksesoris"</t>
        </is>
      </c>
      <c r="C13309" s="3" t="inlineStr">
        <is>
          <t>m'</t>
        </is>
      </c>
      <c r="D13309" s="15" t="n">
        <v>1.5</v>
      </c>
      <c r="E13309" s="4" t="n">
        <v>340000</v>
      </c>
      <c r="F13309" s="4" t="n">
        <v>510000</v>
      </c>
    </row>
    <row r="13310">
      <c r="D13310" s="2" t="inlineStr">
        <is>
          <t>SUBTOTAL UPAH</t>
        </is>
      </c>
      <c r="F13310" s="16" t="n">
        <v>359970</v>
      </c>
    </row>
    <row r="13311">
      <c r="D13311" s="2" t="inlineStr">
        <is>
          <t>SUBTOTAL BAHAN</t>
        </is>
      </c>
      <c r="F13311" s="16" t="n">
        <v>510000</v>
      </c>
    </row>
    <row r="13312">
      <c r="D13312" s="2" t="inlineStr">
        <is>
          <t>SUBTOTAL ALAT</t>
        </is>
      </c>
      <c r="F13312" s="16" t="n">
        <v>0</v>
      </c>
    </row>
    <row r="13313">
      <c r="E13313" s="2" t="inlineStr">
        <is>
          <t>TOTAL HARGA SATUAN (Inc. Overhead)</t>
        </is>
      </c>
      <c r="F13313" s="17" t="n">
        <v>956967</v>
      </c>
    </row>
    <row r="13315">
      <c r="A13315" s="14" t="inlineStr">
        <is>
          <t>KODE: 6.4.2.15 - Pemasangan 1 m Pipa Galvanis MED CLASS, DN. 14" (350 mm)</t>
        </is>
      </c>
    </row>
    <row r="13316">
      <c r="A13316" s="10" t="inlineStr">
        <is>
          <t>No</t>
        </is>
      </c>
      <c r="B13316" s="10" t="inlineStr">
        <is>
          <t>Uraian Komponen</t>
        </is>
      </c>
      <c r="C13316" s="10" t="inlineStr">
        <is>
          <t>Satuan</t>
        </is>
      </c>
      <c r="D13316" s="10" t="inlineStr">
        <is>
          <t>Koef</t>
        </is>
      </c>
      <c r="E13316" s="10" t="inlineStr">
        <is>
          <t>Harga Satuan (Rp)</t>
        </is>
      </c>
      <c r="F13316" s="10" t="inlineStr">
        <is>
          <t>Jumlah Harga (Rp)</t>
        </is>
      </c>
    </row>
    <row r="13317">
      <c r="A13317" s="3" t="inlineStr">
        <is>
          <t>1</t>
        </is>
      </c>
      <c r="B13317" s="3" t="inlineStr">
        <is>
          <t>Pekerja</t>
        </is>
      </c>
      <c r="C13317" s="3" t="inlineStr">
        <is>
          <t>OH</t>
        </is>
      </c>
      <c r="D13317" s="15" t="n">
        <v>1.102</v>
      </c>
      <c r="E13317" s="4" t="n">
        <v>100000</v>
      </c>
      <c r="F13317" s="4" t="n">
        <v>110200</v>
      </c>
    </row>
    <row r="13318">
      <c r="A13318" s="3" t="inlineStr">
        <is>
          <t>2</t>
        </is>
      </c>
      <c r="B13318" s="3" t="inlineStr">
        <is>
          <t>Tukang pipa</t>
        </is>
      </c>
      <c r="C13318" s="3" t="inlineStr">
        <is>
          <t>OH</t>
        </is>
      </c>
      <c r="D13318" s="15" t="n">
        <v>1.84</v>
      </c>
      <c r="E13318" s="4" t="n">
        <v>145000</v>
      </c>
      <c r="F13318" s="4" t="n">
        <v>266800</v>
      </c>
    </row>
    <row r="13319">
      <c r="A13319" s="3" t="inlineStr">
        <is>
          <t>3</t>
        </is>
      </c>
      <c r="B13319" s="3" t="inlineStr">
        <is>
          <t>Kepala tukang</t>
        </is>
      </c>
      <c r="C13319" s="3" t="inlineStr">
        <is>
          <t>OH</t>
        </is>
      </c>
      <c r="D13319" s="15" t="n">
        <v>0.184</v>
      </c>
      <c r="E13319" s="4" t="n">
        <v>175000</v>
      </c>
      <c r="F13319" s="4" t="n">
        <v>32200</v>
      </c>
    </row>
    <row r="13320">
      <c r="A13320" s="3" t="inlineStr">
        <is>
          <t>4</t>
        </is>
      </c>
      <c r="B13320" s="3" t="inlineStr">
        <is>
          <t>Mandor</t>
        </is>
      </c>
      <c r="C13320" s="3" t="inlineStr">
        <is>
          <t>OH</t>
        </is>
      </c>
      <c r="D13320" s="15" t="n">
        <v>0.055</v>
      </c>
      <c r="E13320" s="4" t="n">
        <v>200000</v>
      </c>
      <c r="F13320" s="4" t="n">
        <v>11000</v>
      </c>
    </row>
    <row r="13321">
      <c r="A13321" s="3" t="inlineStr">
        <is>
          <t>1</t>
        </is>
      </c>
      <c r="B13321" s="3" t="inlineStr">
        <is>
          <t>"Pipa galvanis MED CLASS ; DN. 14"" (350 mm) + fitting &amp; aksesoris"</t>
        </is>
      </c>
      <c r="C13321" s="3" t="inlineStr">
        <is>
          <t>m'</t>
        </is>
      </c>
      <c r="D13321" s="15" t="n">
        <v>1.5</v>
      </c>
      <c r="E13321" s="4" t="n">
        <v>411000</v>
      </c>
      <c r="F13321" s="4" t="n">
        <v>616500</v>
      </c>
    </row>
    <row r="13322">
      <c r="D13322" s="2" t="inlineStr">
        <is>
          <t>SUBTOTAL UPAH</t>
        </is>
      </c>
      <c r="F13322" s="16" t="n">
        <v>420200</v>
      </c>
    </row>
    <row r="13323">
      <c r="D13323" s="2" t="inlineStr">
        <is>
          <t>SUBTOTAL BAHAN</t>
        </is>
      </c>
      <c r="F13323" s="16" t="n">
        <v>616500</v>
      </c>
    </row>
    <row r="13324">
      <c r="D13324" s="2" t="inlineStr">
        <is>
          <t>SUBTOTAL ALAT</t>
        </is>
      </c>
      <c r="F13324" s="16" t="n">
        <v>0</v>
      </c>
    </row>
    <row r="13325">
      <c r="E13325" s="2" t="inlineStr">
        <is>
          <t>TOTAL HARGA SATUAN (Inc. Overhead)</t>
        </is>
      </c>
      <c r="F13325" s="17" t="n">
        <v>1140370</v>
      </c>
    </row>
    <row r="13327">
      <c r="A13327" s="14" t="inlineStr">
        <is>
          <t>KODE: 6.4.2.16 - Pemasangan 1 m Pipa Galvanis MED CLASS, DN. 16" (400 mm)</t>
        </is>
      </c>
    </row>
    <row r="13328">
      <c r="A13328" s="10" t="inlineStr">
        <is>
          <t>No</t>
        </is>
      </c>
      <c r="B13328" s="10" t="inlineStr">
        <is>
          <t>Uraian Komponen</t>
        </is>
      </c>
      <c r="C13328" s="10" t="inlineStr">
        <is>
          <t>Satuan</t>
        </is>
      </c>
      <c r="D13328" s="10" t="inlineStr">
        <is>
          <t>Koef</t>
        </is>
      </c>
      <c r="E13328" s="10" t="inlineStr">
        <is>
          <t>Harga Satuan (Rp)</t>
        </is>
      </c>
      <c r="F13328" s="10" t="inlineStr">
        <is>
          <t>Jumlah Harga (Rp)</t>
        </is>
      </c>
    </row>
    <row r="13329">
      <c r="A13329" s="3" t="inlineStr">
        <is>
          <t>1</t>
        </is>
      </c>
      <c r="B13329" s="3" t="inlineStr">
        <is>
          <t>Pekerja</t>
        </is>
      </c>
      <c r="C13329" s="3" t="inlineStr">
        <is>
          <t>OH</t>
        </is>
      </c>
      <c r="D13329" s="15" t="n">
        <v>1.258</v>
      </c>
      <c r="E13329" s="4" t="n">
        <v>100000</v>
      </c>
      <c r="F13329" s="4" t="n">
        <v>125800</v>
      </c>
    </row>
    <row r="13330">
      <c r="A13330" s="3" t="inlineStr">
        <is>
          <t>2</t>
        </is>
      </c>
      <c r="B13330" s="3" t="inlineStr">
        <is>
          <t>Tukang pipa</t>
        </is>
      </c>
      <c r="C13330" s="3" t="inlineStr">
        <is>
          <t>OH</t>
        </is>
      </c>
      <c r="D13330" s="15" t="n">
        <v>2.101</v>
      </c>
      <c r="E13330" s="4" t="n">
        <v>145000</v>
      </c>
      <c r="F13330" s="4" t="n">
        <v>304645</v>
      </c>
    </row>
    <row r="13331">
      <c r="A13331" s="3" t="inlineStr">
        <is>
          <t>3</t>
        </is>
      </c>
      <c r="B13331" s="3" t="inlineStr">
        <is>
          <t>Kepala tukang</t>
        </is>
      </c>
      <c r="C13331" s="3" t="inlineStr">
        <is>
          <t>OH</t>
        </is>
      </c>
      <c r="D13331" s="15" t="n">
        <v>0.21</v>
      </c>
      <c r="E13331" s="4" t="n">
        <v>175000</v>
      </c>
      <c r="F13331" s="4" t="n">
        <v>36750</v>
      </c>
    </row>
    <row r="13332">
      <c r="A13332" s="3" t="inlineStr">
        <is>
          <t>4</t>
        </is>
      </c>
      <c r="B13332" s="3" t="inlineStr">
        <is>
          <t>Mandor</t>
        </is>
      </c>
      <c r="C13332" s="3" t="inlineStr">
        <is>
          <t>OH</t>
        </is>
      </c>
      <c r="D13332" s="15" t="n">
        <v>0.063</v>
      </c>
      <c r="E13332" s="4" t="n">
        <v>200000</v>
      </c>
      <c r="F13332" s="4" t="n">
        <v>12600</v>
      </c>
    </row>
    <row r="13333">
      <c r="A13333" s="3" t="inlineStr">
        <is>
          <t>1</t>
        </is>
      </c>
      <c r="B13333" s="3" t="inlineStr">
        <is>
          <t>"Pipa galvanis MED CLASS ; DN. 16"" (400 mm) + fitting &amp; aksesoris"</t>
        </is>
      </c>
      <c r="C13333" s="3" t="inlineStr">
        <is>
          <t>m'</t>
        </is>
      </c>
      <c r="D13333" s="15" t="n">
        <v>1.5</v>
      </c>
      <c r="E13333" s="4" t="n">
        <v>418000</v>
      </c>
      <c r="F13333" s="4" t="n">
        <v>627000</v>
      </c>
    </row>
    <row r="13334">
      <c r="D13334" s="2" t="inlineStr">
        <is>
          <t>SUBTOTAL UPAH</t>
        </is>
      </c>
      <c r="F13334" s="16" t="n">
        <v>479795</v>
      </c>
    </row>
    <row r="13335">
      <c r="D13335" s="2" t="inlineStr">
        <is>
          <t>SUBTOTAL BAHAN</t>
        </is>
      </c>
      <c r="F13335" s="16" t="n">
        <v>627000</v>
      </c>
    </row>
    <row r="13336">
      <c r="D13336" s="2" t="inlineStr">
        <is>
          <t>SUBTOTAL ALAT</t>
        </is>
      </c>
      <c r="F13336" s="16" t="n">
        <v>0</v>
      </c>
    </row>
    <row r="13337">
      <c r="E13337" s="2" t="inlineStr">
        <is>
          <t>TOTAL HARGA SATUAN (Inc. Overhead)</t>
        </is>
      </c>
      <c r="F13337" s="17" t="n">
        <v>1217474</v>
      </c>
    </row>
    <row r="13339">
      <c r="A13339" s="14" t="inlineStr">
        <is>
          <t>KODE: 6.4.2.17 - Pemasangan 1 m Pipa Galvanis SCH 40, DN. 1/2" (15 mm)</t>
        </is>
      </c>
    </row>
    <row r="13340">
      <c r="A13340" s="10" t="inlineStr">
        <is>
          <t>No</t>
        </is>
      </c>
      <c r="B13340" s="10" t="inlineStr">
        <is>
          <t>Uraian Komponen</t>
        </is>
      </c>
      <c r="C13340" s="10" t="inlineStr">
        <is>
          <t>Satuan</t>
        </is>
      </c>
      <c r="D13340" s="10" t="inlineStr">
        <is>
          <t>Koef</t>
        </is>
      </c>
      <c r="E13340" s="10" t="inlineStr">
        <is>
          <t>Harga Satuan (Rp)</t>
        </is>
      </c>
      <c r="F13340" s="10" t="inlineStr">
        <is>
          <t>Jumlah Harga (Rp)</t>
        </is>
      </c>
    </row>
    <row r="13341">
      <c r="A13341" s="3" t="inlineStr">
        <is>
          <t>1</t>
        </is>
      </c>
      <c r="B13341" s="3" t="inlineStr">
        <is>
          <t>Pekerja</t>
        </is>
      </c>
      <c r="C13341" s="3" t="inlineStr">
        <is>
          <t>OH</t>
        </is>
      </c>
      <c r="D13341" s="15" t="n">
        <v>0.035</v>
      </c>
      <c r="E13341" s="4" t="n">
        <v>100000</v>
      </c>
      <c r="F13341" s="4" t="n">
        <v>3500</v>
      </c>
    </row>
    <row r="13342">
      <c r="A13342" s="3" t="inlineStr">
        <is>
          <t>2</t>
        </is>
      </c>
      <c r="B13342" s="3" t="inlineStr">
        <is>
          <t>Tukang pipa</t>
        </is>
      </c>
      <c r="C13342" s="3" t="inlineStr">
        <is>
          <t>OH</t>
        </is>
      </c>
      <c r="D13342" s="15" t="n">
        <v>0.058</v>
      </c>
      <c r="E13342" s="4" t="n">
        <v>145000</v>
      </c>
      <c r="F13342" s="4" t="n">
        <v>8410</v>
      </c>
    </row>
    <row r="13343">
      <c r="A13343" s="3" t="inlineStr">
        <is>
          <t>3</t>
        </is>
      </c>
      <c r="B13343" s="3" t="inlineStr">
        <is>
          <t>Kepala tukang</t>
        </is>
      </c>
      <c r="C13343" s="3" t="inlineStr">
        <is>
          <t>OH</t>
        </is>
      </c>
      <c r="D13343" s="15" t="n">
        <v>0.006</v>
      </c>
      <c r="E13343" s="4" t="n">
        <v>175000</v>
      </c>
      <c r="F13343" s="4" t="n">
        <v>1050</v>
      </c>
    </row>
    <row r="13344">
      <c r="A13344" s="3" t="inlineStr">
        <is>
          <t>4</t>
        </is>
      </c>
      <c r="B13344" s="3" t="inlineStr">
        <is>
          <t>Mandor</t>
        </is>
      </c>
      <c r="C13344" s="3" t="inlineStr">
        <is>
          <t>OH</t>
        </is>
      </c>
      <c r="D13344" s="15" t="n">
        <v>0.002</v>
      </c>
      <c r="E13344" s="4" t="n">
        <v>200000</v>
      </c>
      <c r="F13344" s="4" t="n">
        <v>400</v>
      </c>
    </row>
    <row r="13345">
      <c r="A13345" s="3" t="inlineStr">
        <is>
          <t>1</t>
        </is>
      </c>
      <c r="B13345" s="3" t="inlineStr">
        <is>
          <t>"Pipa galvanis SCH 40 ; DN. 1/2"" (15 mm) + fitting &amp; aksesoris"</t>
        </is>
      </c>
      <c r="C13345" s="3" t="inlineStr">
        <is>
          <t>m'</t>
        </is>
      </c>
      <c r="D13345" s="15" t="n">
        <v>1.5</v>
      </c>
      <c r="E13345" s="4" t="n">
        <v>40000</v>
      </c>
      <c r="F13345" s="4" t="n">
        <v>60000</v>
      </c>
    </row>
    <row r="13346">
      <c r="D13346" s="2" t="inlineStr">
        <is>
          <t>SUBTOTAL UPAH</t>
        </is>
      </c>
      <c r="F13346" s="16" t="n">
        <v>13360</v>
      </c>
    </row>
    <row r="13347">
      <c r="D13347" s="2" t="inlineStr">
        <is>
          <t>SUBTOTAL BAHAN</t>
        </is>
      </c>
      <c r="F13347" s="16" t="n">
        <v>60000</v>
      </c>
    </row>
    <row r="13348">
      <c r="D13348" s="2" t="inlineStr">
        <is>
          <t>SUBTOTAL ALAT</t>
        </is>
      </c>
      <c r="F13348" s="16" t="n">
        <v>0</v>
      </c>
    </row>
    <row r="13349">
      <c r="E13349" s="2" t="inlineStr">
        <is>
          <t>TOTAL HARGA SATUAN (Inc. Overhead)</t>
        </is>
      </c>
      <c r="F13349" s="17" t="n">
        <v>80696</v>
      </c>
    </row>
    <row r="13351">
      <c r="A13351" s="14" t="inlineStr">
        <is>
          <t>KODE: 6.4.2.18 - Pemasangan 1 m Pipa Galvanis SCH 40, DN. 3/4" (20 mm)</t>
        </is>
      </c>
    </row>
    <row r="13352">
      <c r="A13352" s="10" t="inlineStr">
        <is>
          <t>No</t>
        </is>
      </c>
      <c r="B13352" s="10" t="inlineStr">
        <is>
          <t>Uraian Komponen</t>
        </is>
      </c>
      <c r="C13352" s="10" t="inlineStr">
        <is>
          <t>Satuan</t>
        </is>
      </c>
      <c r="D13352" s="10" t="inlineStr">
        <is>
          <t>Koef</t>
        </is>
      </c>
      <c r="E13352" s="10" t="inlineStr">
        <is>
          <t>Harga Satuan (Rp)</t>
        </is>
      </c>
      <c r="F13352" s="10" t="inlineStr">
        <is>
          <t>Jumlah Harga (Rp)</t>
        </is>
      </c>
    </row>
    <row r="13353">
      <c r="A13353" s="3" t="inlineStr">
        <is>
          <t>1</t>
        </is>
      </c>
      <c r="B13353" s="3" t="inlineStr">
        <is>
          <t>Pekerja</t>
        </is>
      </c>
      <c r="C13353" s="3" t="inlineStr">
        <is>
          <t>OH</t>
        </is>
      </c>
      <c r="D13353" s="15" t="n">
        <v>0.052</v>
      </c>
      <c r="E13353" s="4" t="n">
        <v>100000</v>
      </c>
      <c r="F13353" s="4" t="n">
        <v>5200</v>
      </c>
    </row>
    <row r="13354">
      <c r="A13354" s="3" t="inlineStr">
        <is>
          <t>2</t>
        </is>
      </c>
      <c r="B13354" s="3" t="inlineStr">
        <is>
          <t>Tukang pipa</t>
        </is>
      </c>
      <c r="C13354" s="3" t="inlineStr">
        <is>
          <t>OH</t>
        </is>
      </c>
      <c r="D13354" s="15" t="n">
        <v>0.08699999999999999</v>
      </c>
      <c r="E13354" s="4" t="n">
        <v>145000</v>
      </c>
      <c r="F13354" s="4" t="n">
        <v>12615</v>
      </c>
    </row>
    <row r="13355">
      <c r="A13355" s="3" t="inlineStr">
        <is>
          <t>3</t>
        </is>
      </c>
      <c r="B13355" s="3" t="inlineStr">
        <is>
          <t>Kepala tukang</t>
        </is>
      </c>
      <c r="C13355" s="3" t="inlineStr">
        <is>
          <t>OH</t>
        </is>
      </c>
      <c r="D13355" s="15" t="n">
        <v>0.008999999999999999</v>
      </c>
      <c r="E13355" s="4" t="n">
        <v>175000</v>
      </c>
      <c r="F13355" s="4" t="n">
        <v>1575</v>
      </c>
    </row>
    <row r="13356">
      <c r="A13356" s="3" t="inlineStr">
        <is>
          <t>4</t>
        </is>
      </c>
      <c r="B13356" s="3" t="inlineStr">
        <is>
          <t>Mandor</t>
        </is>
      </c>
      <c r="C13356" s="3" t="inlineStr">
        <is>
          <t>OH</t>
        </is>
      </c>
      <c r="D13356" s="15" t="n">
        <v>0.003</v>
      </c>
      <c r="E13356" s="4" t="n">
        <v>200000</v>
      </c>
      <c r="F13356" s="4" t="n">
        <v>600</v>
      </c>
    </row>
    <row r="13357">
      <c r="A13357" s="3" t="inlineStr">
        <is>
          <t>1</t>
        </is>
      </c>
      <c r="B13357" s="3" t="inlineStr">
        <is>
          <t>"Pipa galvanis SCH 40 ; DN. 3/4"" (20 mm) + fitting &amp; aksesoris"</t>
        </is>
      </c>
      <c r="C13357" s="3" t="inlineStr">
        <is>
          <t>m'</t>
        </is>
      </c>
      <c r="D13357" s="15" t="n">
        <v>1.5</v>
      </c>
      <c r="E13357" s="4" t="n">
        <v>48000</v>
      </c>
      <c r="F13357" s="4" t="n">
        <v>72000</v>
      </c>
    </row>
    <row r="13358">
      <c r="D13358" s="2" t="inlineStr">
        <is>
          <t>SUBTOTAL UPAH</t>
        </is>
      </c>
      <c r="F13358" s="16" t="n">
        <v>19990</v>
      </c>
    </row>
    <row r="13359">
      <c r="D13359" s="2" t="inlineStr">
        <is>
          <t>SUBTOTAL BAHAN</t>
        </is>
      </c>
      <c r="F13359" s="16" t="n">
        <v>72000</v>
      </c>
    </row>
    <row r="13360">
      <c r="D13360" s="2" t="inlineStr">
        <is>
          <t>SUBTOTAL ALAT</t>
        </is>
      </c>
      <c r="F13360" s="16" t="n">
        <v>0</v>
      </c>
    </row>
    <row r="13361">
      <c r="E13361" s="2" t="inlineStr">
        <is>
          <t>TOTAL HARGA SATUAN (Inc. Overhead)</t>
        </is>
      </c>
      <c r="F13361" s="17" t="n">
        <v>101189</v>
      </c>
    </row>
    <row r="13363">
      <c r="A13363" s="14" t="inlineStr">
        <is>
          <t>KODE: 6.4.2.19 - Pemasangan 1 m Pipa Galvanis SCH 40, DN. 1" (25 mm)</t>
        </is>
      </c>
    </row>
    <row r="13364">
      <c r="A13364" s="10" t="inlineStr">
        <is>
          <t>No</t>
        </is>
      </c>
      <c r="B13364" s="10" t="inlineStr">
        <is>
          <t>Uraian Komponen</t>
        </is>
      </c>
      <c r="C13364" s="10" t="inlineStr">
        <is>
          <t>Satuan</t>
        </is>
      </c>
      <c r="D13364" s="10" t="inlineStr">
        <is>
          <t>Koef</t>
        </is>
      </c>
      <c r="E13364" s="10" t="inlineStr">
        <is>
          <t>Harga Satuan (Rp)</t>
        </is>
      </c>
      <c r="F13364" s="10" t="inlineStr">
        <is>
          <t>Jumlah Harga (Rp)</t>
        </is>
      </c>
    </row>
    <row r="13365">
      <c r="A13365" s="3" t="inlineStr">
        <is>
          <t>1</t>
        </is>
      </c>
      <c r="B13365" s="3" t="inlineStr">
        <is>
          <t>Pekerja</t>
        </is>
      </c>
      <c r="C13365" s="3" t="inlineStr">
        <is>
          <t>OH</t>
        </is>
      </c>
      <c r="D13365" s="15" t="n">
        <v>0.06900000000000001</v>
      </c>
      <c r="E13365" s="4" t="n">
        <v>100000</v>
      </c>
      <c r="F13365" s="4" t="n">
        <v>6900.000000000001</v>
      </c>
    </row>
    <row r="13366">
      <c r="A13366" s="3" t="inlineStr">
        <is>
          <t>2</t>
        </is>
      </c>
      <c r="B13366" s="3" t="inlineStr">
        <is>
          <t>Tukang pipa</t>
        </is>
      </c>
      <c r="C13366" s="3" t="inlineStr">
        <is>
          <t>OH</t>
        </is>
      </c>
      <c r="D13366" s="15" t="n">
        <v>0.115</v>
      </c>
      <c r="E13366" s="4" t="n">
        <v>145000</v>
      </c>
      <c r="F13366" s="4" t="n">
        <v>16675</v>
      </c>
    </row>
    <row r="13367">
      <c r="A13367" s="3" t="inlineStr">
        <is>
          <t>3</t>
        </is>
      </c>
      <c r="B13367" s="3" t="inlineStr">
        <is>
          <t>Kepala tukang</t>
        </is>
      </c>
      <c r="C13367" s="3" t="inlineStr">
        <is>
          <t>OH</t>
        </is>
      </c>
      <c r="D13367" s="15" t="n">
        <v>0.011</v>
      </c>
      <c r="E13367" s="4" t="n">
        <v>175000</v>
      </c>
      <c r="F13367" s="4" t="n">
        <v>1925</v>
      </c>
    </row>
    <row r="13368">
      <c r="A13368" s="3" t="inlineStr">
        <is>
          <t>4</t>
        </is>
      </c>
      <c r="B13368" s="3" t="inlineStr">
        <is>
          <t>Mandor</t>
        </is>
      </c>
      <c r="C13368" s="3" t="inlineStr">
        <is>
          <t>OH</t>
        </is>
      </c>
      <c r="D13368" s="15" t="n">
        <v>0.003</v>
      </c>
      <c r="E13368" s="4" t="n">
        <v>200000</v>
      </c>
      <c r="F13368" s="4" t="n">
        <v>600</v>
      </c>
    </row>
    <row r="13369">
      <c r="A13369" s="3" t="inlineStr">
        <is>
          <t>1</t>
        </is>
      </c>
      <c r="B13369" s="3" t="inlineStr">
        <is>
          <t>"Pipa galvanis SCH 40 ; DN. 1"" (25 mm) + fitting &amp; aksesoris"</t>
        </is>
      </c>
      <c r="C13369" s="3" t="inlineStr">
        <is>
          <t>m'</t>
        </is>
      </c>
      <c r="D13369" s="15" t="n">
        <v>1.5</v>
      </c>
      <c r="E13369" s="4" t="n">
        <v>66500</v>
      </c>
      <c r="F13369" s="4" t="n">
        <v>99750</v>
      </c>
    </row>
    <row r="13370">
      <c r="D13370" s="2" t="inlineStr">
        <is>
          <t>SUBTOTAL UPAH</t>
        </is>
      </c>
      <c r="F13370" s="16" t="n">
        <v>26100</v>
      </c>
    </row>
    <row r="13371">
      <c r="D13371" s="2" t="inlineStr">
        <is>
          <t>SUBTOTAL BAHAN</t>
        </is>
      </c>
      <c r="F13371" s="16" t="n">
        <v>99750</v>
      </c>
    </row>
    <row r="13372">
      <c r="D13372" s="2" t="inlineStr">
        <is>
          <t>SUBTOTAL ALAT</t>
        </is>
      </c>
      <c r="F13372" s="16" t="n">
        <v>0</v>
      </c>
    </row>
    <row r="13373">
      <c r="E13373" s="2" t="inlineStr">
        <is>
          <t>TOTAL HARGA SATUAN (Inc. Overhead)</t>
        </is>
      </c>
      <c r="F13373" s="17" t="n">
        <v>138435</v>
      </c>
    </row>
    <row r="13375">
      <c r="A13375" s="14" t="inlineStr">
        <is>
          <t>KODE: 6.4.2.20 - Pemasangan 1 m Pipa Galvanis SCH 40, DN. 1-1/4" (32 mm)</t>
        </is>
      </c>
    </row>
    <row r="13376">
      <c r="A13376" s="10" t="inlineStr">
        <is>
          <t>No</t>
        </is>
      </c>
      <c r="B13376" s="10" t="inlineStr">
        <is>
          <t>Uraian Komponen</t>
        </is>
      </c>
      <c r="C13376" s="10" t="inlineStr">
        <is>
          <t>Satuan</t>
        </is>
      </c>
      <c r="D13376" s="10" t="inlineStr">
        <is>
          <t>Koef</t>
        </is>
      </c>
      <c r="E13376" s="10" t="inlineStr">
        <is>
          <t>Harga Satuan (Rp)</t>
        </is>
      </c>
      <c r="F13376" s="10" t="inlineStr">
        <is>
          <t>Jumlah Harga (Rp)</t>
        </is>
      </c>
    </row>
    <row r="13377">
      <c r="A13377" s="3" t="inlineStr">
        <is>
          <t>1</t>
        </is>
      </c>
      <c r="B13377" s="3" t="inlineStr">
        <is>
          <t>Pekerja</t>
        </is>
      </c>
      <c r="C13377" s="3" t="inlineStr">
        <is>
          <t>OH</t>
        </is>
      </c>
      <c r="D13377" s="15" t="n">
        <v>0.08500000000000001</v>
      </c>
      <c r="E13377" s="4" t="n">
        <v>100000</v>
      </c>
      <c r="F13377" s="4" t="n">
        <v>8500</v>
      </c>
    </row>
    <row r="13378">
      <c r="A13378" s="3" t="inlineStr">
        <is>
          <t>2</t>
        </is>
      </c>
      <c r="B13378" s="3" t="inlineStr">
        <is>
          <t>Tukang pipa</t>
        </is>
      </c>
      <c r="C13378" s="3" t="inlineStr">
        <is>
          <t>OH</t>
        </is>
      </c>
      <c r="D13378" s="15" t="n">
        <v>0.143</v>
      </c>
      <c r="E13378" s="4" t="n">
        <v>145000</v>
      </c>
      <c r="F13378" s="4" t="n">
        <v>20735</v>
      </c>
    </row>
    <row r="13379">
      <c r="A13379" s="3" t="inlineStr">
        <is>
          <t>3</t>
        </is>
      </c>
      <c r="B13379" s="3" t="inlineStr">
        <is>
          <t>Kepala tukang</t>
        </is>
      </c>
      <c r="C13379" s="3" t="inlineStr">
        <is>
          <t>OH</t>
        </is>
      </c>
      <c r="D13379" s="15" t="n">
        <v>0.014</v>
      </c>
      <c r="E13379" s="4" t="n">
        <v>175000</v>
      </c>
      <c r="F13379" s="4" t="n">
        <v>2450</v>
      </c>
    </row>
    <row r="13380">
      <c r="A13380" s="3" t="inlineStr">
        <is>
          <t>4</t>
        </is>
      </c>
      <c r="B13380" s="3" t="inlineStr">
        <is>
          <t>Mandor</t>
        </is>
      </c>
      <c r="C13380" s="3" t="inlineStr">
        <is>
          <t>OH</t>
        </is>
      </c>
      <c r="D13380" s="15" t="n">
        <v>0.004</v>
      </c>
      <c r="E13380" s="4" t="n">
        <v>200000</v>
      </c>
      <c r="F13380" s="4" t="n">
        <v>800</v>
      </c>
    </row>
    <row r="13381">
      <c r="A13381" s="3" t="inlineStr">
        <is>
          <t>1</t>
        </is>
      </c>
      <c r="B13381" s="3" t="inlineStr">
        <is>
          <t>"Pipa galvanis SCH 40 ; DN. 1-1/4"" (32 mm) + fitting &amp; aksesoris"</t>
        </is>
      </c>
      <c r="C13381" s="3" t="inlineStr">
        <is>
          <t>m'</t>
        </is>
      </c>
      <c r="D13381" s="15" t="n">
        <v>1.5</v>
      </c>
      <c r="E13381" s="4" t="n">
        <v>88500</v>
      </c>
      <c r="F13381" s="4" t="n">
        <v>132750</v>
      </c>
    </row>
    <row r="13382">
      <c r="D13382" s="2" t="inlineStr">
        <is>
          <t>SUBTOTAL UPAH</t>
        </is>
      </c>
      <c r="F13382" s="16" t="n">
        <v>32485</v>
      </c>
    </row>
    <row r="13383">
      <c r="D13383" s="2" t="inlineStr">
        <is>
          <t>SUBTOTAL BAHAN</t>
        </is>
      </c>
      <c r="F13383" s="16" t="n">
        <v>132750</v>
      </c>
    </row>
    <row r="13384">
      <c r="D13384" s="2" t="inlineStr">
        <is>
          <t>SUBTOTAL ALAT</t>
        </is>
      </c>
      <c r="F13384" s="16" t="n">
        <v>0</v>
      </c>
    </row>
    <row r="13385">
      <c r="E13385" s="2" t="inlineStr">
        <is>
          <t>TOTAL HARGA SATUAN (Inc. Overhead)</t>
        </is>
      </c>
      <c r="F13385" s="17" t="n">
        <v>181758</v>
      </c>
    </row>
    <row r="13387">
      <c r="A13387" s="14" t="inlineStr">
        <is>
          <t>KODE: 6.4.2.21 - Pemasangan 1 m Pipa Galvanis SCH 40, DN. 1-1/2" (40 mm)</t>
        </is>
      </c>
    </row>
    <row r="13388">
      <c r="A13388" s="10" t="inlineStr">
        <is>
          <t>No</t>
        </is>
      </c>
      <c r="B13388" s="10" t="inlineStr">
        <is>
          <t>Uraian Komponen</t>
        </is>
      </c>
      <c r="C13388" s="10" t="inlineStr">
        <is>
          <t>Satuan</t>
        </is>
      </c>
      <c r="D13388" s="10" t="inlineStr">
        <is>
          <t>Koef</t>
        </is>
      </c>
      <c r="E13388" s="10" t="inlineStr">
        <is>
          <t>Harga Satuan (Rp)</t>
        </is>
      </c>
      <c r="F13388" s="10" t="inlineStr">
        <is>
          <t>Jumlah Harga (Rp)</t>
        </is>
      </c>
    </row>
    <row r="13389">
      <c r="A13389" s="3" t="inlineStr">
        <is>
          <t>1</t>
        </is>
      </c>
      <c r="B13389" s="3" t="inlineStr">
        <is>
          <t>Pekerja</t>
        </is>
      </c>
      <c r="C13389" s="3" t="inlineStr">
        <is>
          <t>OH</t>
        </is>
      </c>
      <c r="D13389" s="15" t="n">
        <v>0.104</v>
      </c>
      <c r="E13389" s="4" t="n">
        <v>100000</v>
      </c>
      <c r="F13389" s="4" t="n">
        <v>10400</v>
      </c>
    </row>
    <row r="13390">
      <c r="A13390" s="3" t="inlineStr">
        <is>
          <t>2</t>
        </is>
      </c>
      <c r="B13390" s="3" t="inlineStr">
        <is>
          <t>Tukang pipa</t>
        </is>
      </c>
      <c r="C13390" s="3" t="inlineStr">
        <is>
          <t>OH</t>
        </is>
      </c>
      <c r="D13390" s="15" t="n">
        <v>0.174</v>
      </c>
      <c r="E13390" s="4" t="n">
        <v>145000</v>
      </c>
      <c r="F13390" s="4" t="n">
        <v>25230</v>
      </c>
    </row>
    <row r="13391">
      <c r="A13391" s="3" t="inlineStr">
        <is>
          <t>3</t>
        </is>
      </c>
      <c r="B13391" s="3" t="inlineStr">
        <is>
          <t>Kepala tukang</t>
        </is>
      </c>
      <c r="C13391" s="3" t="inlineStr">
        <is>
          <t>OH</t>
        </is>
      </c>
      <c r="D13391" s="15" t="n">
        <v>0.017</v>
      </c>
      <c r="E13391" s="4" t="n">
        <v>175000</v>
      </c>
      <c r="F13391" s="4" t="n">
        <v>2975</v>
      </c>
    </row>
    <row r="13392">
      <c r="A13392" s="3" t="inlineStr">
        <is>
          <t>4</t>
        </is>
      </c>
      <c r="B13392" s="3" t="inlineStr">
        <is>
          <t>Mandor</t>
        </is>
      </c>
      <c r="C13392" s="3" t="inlineStr">
        <is>
          <t>OH</t>
        </is>
      </c>
      <c r="D13392" s="15" t="n">
        <v>0.005</v>
      </c>
      <c r="E13392" s="4" t="n">
        <v>200000</v>
      </c>
      <c r="F13392" s="4" t="n">
        <v>1000</v>
      </c>
    </row>
    <row r="13393">
      <c r="A13393" s="3" t="inlineStr">
        <is>
          <t>1</t>
        </is>
      </c>
      <c r="B13393" s="3" t="inlineStr">
        <is>
          <t>"Pipa galvanis SCH 40 ; DN. 1-1/2"" (40 mm) + fitting &amp; aksesoris"</t>
        </is>
      </c>
      <c r="C13393" s="3" t="inlineStr">
        <is>
          <t>m'</t>
        </is>
      </c>
      <c r="D13393" s="15" t="n">
        <v>1.5</v>
      </c>
      <c r="E13393" s="4" t="n">
        <v>103000</v>
      </c>
      <c r="F13393" s="4" t="n">
        <v>154500</v>
      </c>
    </row>
    <row r="13394">
      <c r="D13394" s="2" t="inlineStr">
        <is>
          <t>SUBTOTAL UPAH</t>
        </is>
      </c>
      <c r="F13394" s="16" t="n">
        <v>39605</v>
      </c>
    </row>
    <row r="13395">
      <c r="D13395" s="2" t="inlineStr">
        <is>
          <t>SUBTOTAL BAHAN</t>
        </is>
      </c>
      <c r="F13395" s="16" t="n">
        <v>154500</v>
      </c>
    </row>
    <row r="13396">
      <c r="D13396" s="2" t="inlineStr">
        <is>
          <t>SUBTOTAL ALAT</t>
        </is>
      </c>
      <c r="F13396" s="16" t="n">
        <v>0</v>
      </c>
    </row>
    <row r="13397">
      <c r="E13397" s="2" t="inlineStr">
        <is>
          <t>TOTAL HARGA SATUAN (Inc. Overhead)</t>
        </is>
      </c>
      <c r="F13397" s="17" t="n">
        <v>213515</v>
      </c>
    </row>
    <row r="13399">
      <c r="A13399" s="14" t="inlineStr">
        <is>
          <t>KODE: 6.4.2.22 - Pemasangan 1 m Pipa Galvanis SCH 40, DN. 2" (50 mm)</t>
        </is>
      </c>
    </row>
    <row r="13400">
      <c r="A13400" s="10" t="inlineStr">
        <is>
          <t>No</t>
        </is>
      </c>
      <c r="B13400" s="10" t="inlineStr">
        <is>
          <t>Uraian Komponen</t>
        </is>
      </c>
      <c r="C13400" s="10" t="inlineStr">
        <is>
          <t>Satuan</t>
        </is>
      </c>
      <c r="D13400" s="10" t="inlineStr">
        <is>
          <t>Koef</t>
        </is>
      </c>
      <c r="E13400" s="10" t="inlineStr">
        <is>
          <t>Harga Satuan (Rp)</t>
        </is>
      </c>
      <c r="F13400" s="10" t="inlineStr">
        <is>
          <t>Jumlah Harga (Rp)</t>
        </is>
      </c>
    </row>
    <row r="13401">
      <c r="A13401" s="3" t="inlineStr">
        <is>
          <t>1</t>
        </is>
      </c>
      <c r="B13401" s="3" t="inlineStr">
        <is>
          <t>Pekerja</t>
        </is>
      </c>
      <c r="C13401" s="3" t="inlineStr">
        <is>
          <t>OH</t>
        </is>
      </c>
      <c r="D13401" s="15" t="n">
        <v>0.138</v>
      </c>
      <c r="E13401" s="4" t="n">
        <v>100000</v>
      </c>
      <c r="F13401" s="4" t="n">
        <v>13800</v>
      </c>
    </row>
    <row r="13402">
      <c r="A13402" s="3" t="inlineStr">
        <is>
          <t>2</t>
        </is>
      </c>
      <c r="B13402" s="3" t="inlineStr">
        <is>
          <t>Tukang pipa</t>
        </is>
      </c>
      <c r="C13402" s="3" t="inlineStr">
        <is>
          <t>OH</t>
        </is>
      </c>
      <c r="D13402" s="15" t="n">
        <v>0.23</v>
      </c>
      <c r="E13402" s="4" t="n">
        <v>145000</v>
      </c>
      <c r="F13402" s="4" t="n">
        <v>33350</v>
      </c>
    </row>
    <row r="13403">
      <c r="A13403" s="3" t="inlineStr">
        <is>
          <t>3</t>
        </is>
      </c>
      <c r="B13403" s="3" t="inlineStr">
        <is>
          <t>Kepala tukang</t>
        </is>
      </c>
      <c r="C13403" s="3" t="inlineStr">
        <is>
          <t>OH</t>
        </is>
      </c>
      <c r="D13403" s="15" t="n">
        <v>0.023</v>
      </c>
      <c r="E13403" s="4" t="n">
        <v>175000</v>
      </c>
      <c r="F13403" s="4" t="n">
        <v>4025</v>
      </c>
    </row>
    <row r="13404">
      <c r="A13404" s="3" t="inlineStr">
        <is>
          <t>4</t>
        </is>
      </c>
      <c r="B13404" s="3" t="inlineStr">
        <is>
          <t>Mandor</t>
        </is>
      </c>
      <c r="C13404" s="3" t="inlineStr">
        <is>
          <t>OH</t>
        </is>
      </c>
      <c r="D13404" s="15" t="n">
        <v>0.007</v>
      </c>
      <c r="E13404" s="4" t="n">
        <v>200000</v>
      </c>
      <c r="F13404" s="4" t="n">
        <v>1400</v>
      </c>
    </row>
    <row r="13405">
      <c r="A13405" s="3" t="inlineStr">
        <is>
          <t>1</t>
        </is>
      </c>
      <c r="B13405" s="3" t="inlineStr">
        <is>
          <t>"Pipa galvanis SCH 40 ; DN. 2"" (50 mm) + fitting &amp; aksesoris"</t>
        </is>
      </c>
      <c r="C13405" s="3" t="inlineStr">
        <is>
          <t>m'</t>
        </is>
      </c>
      <c r="D13405" s="15" t="n">
        <v>1.5</v>
      </c>
      <c r="E13405" s="4" t="n">
        <v>189000</v>
      </c>
      <c r="F13405" s="4" t="n">
        <v>283500</v>
      </c>
    </row>
    <row r="13406">
      <c r="D13406" s="2" t="inlineStr">
        <is>
          <t>SUBTOTAL UPAH</t>
        </is>
      </c>
      <c r="F13406" s="16" t="n">
        <v>52575</v>
      </c>
    </row>
    <row r="13407">
      <c r="D13407" s="2" t="inlineStr">
        <is>
          <t>SUBTOTAL BAHAN</t>
        </is>
      </c>
      <c r="F13407" s="16" t="n">
        <v>283500</v>
      </c>
    </row>
    <row r="13408">
      <c r="D13408" s="2" t="inlineStr">
        <is>
          <t>SUBTOTAL ALAT</t>
        </is>
      </c>
      <c r="F13408" s="16" t="n">
        <v>0</v>
      </c>
    </row>
    <row r="13409">
      <c r="E13409" s="2" t="inlineStr">
        <is>
          <t>TOTAL HARGA SATUAN (Inc. Overhead)</t>
        </is>
      </c>
      <c r="F13409" s="17" t="n">
        <v>369682</v>
      </c>
    </row>
    <row r="13411">
      <c r="A13411" s="14" t="inlineStr">
        <is>
          <t>KODE: 6.4.2.23 - Pemasangan 1 m Pipa Galvanis SCH 40, DN. 2-1/2" (65 mm)</t>
        </is>
      </c>
    </row>
    <row r="13412">
      <c r="A13412" s="10" t="inlineStr">
        <is>
          <t>No</t>
        </is>
      </c>
      <c r="B13412" s="10" t="inlineStr">
        <is>
          <t>Uraian Komponen</t>
        </is>
      </c>
      <c r="C13412" s="10" t="inlineStr">
        <is>
          <t>Satuan</t>
        </is>
      </c>
      <c r="D13412" s="10" t="inlineStr">
        <is>
          <t>Koef</t>
        </is>
      </c>
      <c r="E13412" s="10" t="inlineStr">
        <is>
          <t>Harga Satuan (Rp)</t>
        </is>
      </c>
      <c r="F13412" s="10" t="inlineStr">
        <is>
          <t>Jumlah Harga (Rp)</t>
        </is>
      </c>
    </row>
    <row r="13413">
      <c r="A13413" s="3" t="inlineStr">
        <is>
          <t>1</t>
        </is>
      </c>
      <c r="B13413" s="3" t="inlineStr">
        <is>
          <t>Pekerja</t>
        </is>
      </c>
      <c r="C13413" s="3" t="inlineStr">
        <is>
          <t>OH</t>
        </is>
      </c>
      <c r="D13413" s="15" t="n">
        <v>0.171</v>
      </c>
      <c r="E13413" s="4" t="n">
        <v>100000</v>
      </c>
      <c r="F13413" s="4" t="n">
        <v>17100</v>
      </c>
    </row>
    <row r="13414">
      <c r="A13414" s="3" t="inlineStr">
        <is>
          <t>2</t>
        </is>
      </c>
      <c r="B13414" s="3" t="inlineStr">
        <is>
          <t>Tukang pipa</t>
        </is>
      </c>
      <c r="C13414" s="3" t="inlineStr">
        <is>
          <t>OH</t>
        </is>
      </c>
      <c r="D13414" s="15" t="n">
        <v>0.285</v>
      </c>
      <c r="E13414" s="4" t="n">
        <v>145000</v>
      </c>
      <c r="F13414" s="4" t="n">
        <v>41325</v>
      </c>
    </row>
    <row r="13415">
      <c r="A13415" s="3" t="inlineStr">
        <is>
          <t>3</t>
        </is>
      </c>
      <c r="B13415" s="3" t="inlineStr">
        <is>
          <t>Kepala tukang</t>
        </is>
      </c>
      <c r="C13415" s="3" t="inlineStr">
        <is>
          <t>OH</t>
        </is>
      </c>
      <c r="D13415" s="15" t="n">
        <v>0.029</v>
      </c>
      <c r="E13415" s="4" t="n">
        <v>175000</v>
      </c>
      <c r="F13415" s="4" t="n">
        <v>5075</v>
      </c>
    </row>
    <row r="13416">
      <c r="A13416" s="3" t="inlineStr">
        <is>
          <t>4</t>
        </is>
      </c>
      <c r="B13416" s="3" t="inlineStr">
        <is>
          <t>Mandor</t>
        </is>
      </c>
      <c r="C13416" s="3" t="inlineStr">
        <is>
          <t>OH</t>
        </is>
      </c>
      <c r="D13416" s="15" t="n">
        <v>0.008999999999999999</v>
      </c>
      <c r="E13416" s="4" t="n">
        <v>200000</v>
      </c>
      <c r="F13416" s="4" t="n">
        <v>1800</v>
      </c>
    </row>
    <row r="13417">
      <c r="A13417" s="3" t="inlineStr">
        <is>
          <t>1</t>
        </is>
      </c>
      <c r="B13417" s="3" t="inlineStr">
        <is>
          <t>"Pipa galvanis SCH 40 ; DN. 2-1/2"" (65 mm) + fitting &amp; aksesoris"</t>
        </is>
      </c>
      <c r="C13417" s="3" t="inlineStr">
        <is>
          <t>m'</t>
        </is>
      </c>
      <c r="D13417" s="15" t="n">
        <v>1.5</v>
      </c>
      <c r="E13417" s="4" t="n">
        <v>206000</v>
      </c>
      <c r="F13417" s="4" t="n">
        <v>309000</v>
      </c>
    </row>
    <row r="13418">
      <c r="D13418" s="2" t="inlineStr">
        <is>
          <t>SUBTOTAL UPAH</t>
        </is>
      </c>
      <c r="F13418" s="16" t="n">
        <v>65300</v>
      </c>
    </row>
    <row r="13419">
      <c r="D13419" s="2" t="inlineStr">
        <is>
          <t>SUBTOTAL BAHAN</t>
        </is>
      </c>
      <c r="F13419" s="16" t="n">
        <v>309000</v>
      </c>
    </row>
    <row r="13420">
      <c r="D13420" s="2" t="inlineStr">
        <is>
          <t>SUBTOTAL ALAT</t>
        </is>
      </c>
      <c r="F13420" s="16" t="n">
        <v>0</v>
      </c>
    </row>
    <row r="13421">
      <c r="E13421" s="2" t="inlineStr">
        <is>
          <t>TOTAL HARGA SATUAN (Inc. Overhead)</t>
        </is>
      </c>
      <c r="F13421" s="17" t="n">
        <v>411730</v>
      </c>
    </row>
    <row r="13423">
      <c r="A13423" s="14" t="inlineStr">
        <is>
          <t>KODE: 6.4.2.24 - Pemasangan 1 m Pipa Galvanis SCH 40, DN. 3" (80 mm)</t>
        </is>
      </c>
    </row>
    <row r="13424">
      <c r="A13424" s="10" t="inlineStr">
        <is>
          <t>No</t>
        </is>
      </c>
      <c r="B13424" s="10" t="inlineStr">
        <is>
          <t>Uraian Komponen</t>
        </is>
      </c>
      <c r="C13424" s="10" t="inlineStr">
        <is>
          <t>Satuan</t>
        </is>
      </c>
      <c r="D13424" s="10" t="inlineStr">
        <is>
          <t>Koef</t>
        </is>
      </c>
      <c r="E13424" s="10" t="inlineStr">
        <is>
          <t>Harga Satuan (Rp)</t>
        </is>
      </c>
      <c r="F13424" s="10" t="inlineStr">
        <is>
          <t>Jumlah Harga (Rp)</t>
        </is>
      </c>
    </row>
    <row r="13425">
      <c r="A13425" s="3" t="inlineStr">
        <is>
          <t>1</t>
        </is>
      </c>
      <c r="B13425" s="3" t="inlineStr">
        <is>
          <t>Pekerja</t>
        </is>
      </c>
      <c r="C13425" s="3" t="inlineStr">
        <is>
          <t>OH</t>
        </is>
      </c>
      <c r="D13425" s="15" t="n">
        <v>0.238</v>
      </c>
      <c r="E13425" s="4" t="n">
        <v>100000</v>
      </c>
      <c r="F13425" s="4" t="n">
        <v>23800</v>
      </c>
    </row>
    <row r="13426">
      <c r="A13426" s="3" t="inlineStr">
        <is>
          <t>2</t>
        </is>
      </c>
      <c r="B13426" s="3" t="inlineStr">
        <is>
          <t>Tukang pipa</t>
        </is>
      </c>
      <c r="C13426" s="3" t="inlineStr">
        <is>
          <t>OH</t>
        </is>
      </c>
      <c r="D13426" s="15" t="n">
        <v>0.397</v>
      </c>
      <c r="E13426" s="4" t="n">
        <v>145000</v>
      </c>
      <c r="F13426" s="4" t="n">
        <v>57565</v>
      </c>
    </row>
    <row r="13427">
      <c r="A13427" s="3" t="inlineStr">
        <is>
          <t>3</t>
        </is>
      </c>
      <c r="B13427" s="3" t="inlineStr">
        <is>
          <t>Kepala tukang</t>
        </is>
      </c>
      <c r="C13427" s="3" t="inlineStr">
        <is>
          <t>OH</t>
        </is>
      </c>
      <c r="D13427" s="15" t="n">
        <v>0.04</v>
      </c>
      <c r="E13427" s="4" t="n">
        <v>175000</v>
      </c>
      <c r="F13427" s="4" t="n">
        <v>7000</v>
      </c>
    </row>
    <row r="13428">
      <c r="A13428" s="3" t="inlineStr">
        <is>
          <t>4</t>
        </is>
      </c>
      <c r="B13428" s="3" t="inlineStr">
        <is>
          <t>Mandor</t>
        </is>
      </c>
      <c r="C13428" s="3" t="inlineStr">
        <is>
          <t>OH</t>
        </is>
      </c>
      <c r="D13428" s="15" t="n">
        <v>0.012</v>
      </c>
      <c r="E13428" s="4" t="n">
        <v>200000</v>
      </c>
      <c r="F13428" s="4" t="n">
        <v>2400</v>
      </c>
    </row>
    <row r="13429">
      <c r="A13429" s="3" t="inlineStr">
        <is>
          <t>1</t>
        </is>
      </c>
      <c r="B13429" s="3" t="inlineStr">
        <is>
          <t>"Pipa galvanis SCH 40 ; DN. 3"" (80 mm) + fitting &amp; aksesoris"</t>
        </is>
      </c>
      <c r="C13429" s="3" t="inlineStr">
        <is>
          <t>m'</t>
        </is>
      </c>
      <c r="D13429" s="15" t="n">
        <v>1.5</v>
      </c>
      <c r="E13429" s="4" t="n">
        <v>360000</v>
      </c>
      <c r="F13429" s="4" t="n">
        <v>540000</v>
      </c>
    </row>
    <row r="13430">
      <c r="D13430" s="2" t="inlineStr">
        <is>
          <t>SUBTOTAL UPAH</t>
        </is>
      </c>
      <c r="F13430" s="16" t="n">
        <v>90765</v>
      </c>
    </row>
    <row r="13431">
      <c r="D13431" s="2" t="inlineStr">
        <is>
          <t>SUBTOTAL BAHAN</t>
        </is>
      </c>
      <c r="F13431" s="16" t="n">
        <v>540000</v>
      </c>
    </row>
    <row r="13432">
      <c r="D13432" s="2" t="inlineStr">
        <is>
          <t>SUBTOTAL ALAT</t>
        </is>
      </c>
      <c r="F13432" s="16" t="n">
        <v>0</v>
      </c>
    </row>
    <row r="13433">
      <c r="E13433" s="2" t="inlineStr">
        <is>
          <t>TOTAL HARGA SATUAN (Inc. Overhead)</t>
        </is>
      </c>
      <c r="F13433" s="17" t="n">
        <v>693841</v>
      </c>
    </row>
    <row r="13435">
      <c r="A13435" s="14" t="inlineStr">
        <is>
          <t>KODE: 6.4.2.25 - Pemasangan 1 m Pipa Galvanis SCH 40, DN. 4" (100 mm)</t>
        </is>
      </c>
    </row>
    <row r="13436">
      <c r="A13436" s="10" t="inlineStr">
        <is>
          <t>No</t>
        </is>
      </c>
      <c r="B13436" s="10" t="inlineStr">
        <is>
          <t>Uraian Komponen</t>
        </is>
      </c>
      <c r="C13436" s="10" t="inlineStr">
        <is>
          <t>Satuan</t>
        </is>
      </c>
      <c r="D13436" s="10" t="inlineStr">
        <is>
          <t>Koef</t>
        </is>
      </c>
      <c r="E13436" s="10" t="inlineStr">
        <is>
          <t>Harga Satuan (Rp)</t>
        </is>
      </c>
      <c r="F13436" s="10" t="inlineStr">
        <is>
          <t>Jumlah Harga (Rp)</t>
        </is>
      </c>
    </row>
    <row r="13437">
      <c r="A13437" s="3" t="inlineStr">
        <is>
          <t>1</t>
        </is>
      </c>
      <c r="B13437" s="3" t="inlineStr">
        <is>
          <t>Pekerja</t>
        </is>
      </c>
      <c r="C13437" s="3" t="inlineStr">
        <is>
          <t>OH</t>
        </is>
      </c>
      <c r="D13437" s="15" t="n">
        <v>0.317</v>
      </c>
      <c r="E13437" s="4" t="n">
        <v>100000</v>
      </c>
      <c r="F13437" s="4" t="n">
        <v>31700</v>
      </c>
    </row>
    <row r="13438">
      <c r="A13438" s="3" t="inlineStr">
        <is>
          <t>2</t>
        </is>
      </c>
      <c r="B13438" s="3" t="inlineStr">
        <is>
          <t>Tukang pipa</t>
        </is>
      </c>
      <c r="C13438" s="3" t="inlineStr">
        <is>
          <t>OH</t>
        </is>
      </c>
      <c r="D13438" s="15" t="n">
        <v>0.529</v>
      </c>
      <c r="E13438" s="4" t="n">
        <v>145000</v>
      </c>
      <c r="F13438" s="4" t="n">
        <v>76705</v>
      </c>
    </row>
    <row r="13439">
      <c r="A13439" s="3" t="inlineStr">
        <is>
          <t>3</t>
        </is>
      </c>
      <c r="B13439" s="3" t="inlineStr">
        <is>
          <t>Kepala tukang</t>
        </is>
      </c>
      <c r="C13439" s="3" t="inlineStr">
        <is>
          <t>OH</t>
        </is>
      </c>
      <c r="D13439" s="15" t="n">
        <v>0.053</v>
      </c>
      <c r="E13439" s="4" t="n">
        <v>175000</v>
      </c>
      <c r="F13439" s="4" t="n">
        <v>9275</v>
      </c>
    </row>
    <row r="13440">
      <c r="A13440" s="3" t="inlineStr">
        <is>
          <t>4</t>
        </is>
      </c>
      <c r="B13440" s="3" t="inlineStr">
        <is>
          <t>Mandor</t>
        </is>
      </c>
      <c r="C13440" s="3" t="inlineStr">
        <is>
          <t>OH</t>
        </is>
      </c>
      <c r="D13440" s="15" t="n">
        <v>0.016</v>
      </c>
      <c r="E13440" s="4" t="n">
        <v>200000</v>
      </c>
      <c r="F13440" s="4" t="n">
        <v>3200</v>
      </c>
    </row>
    <row r="13441">
      <c r="A13441" s="3" t="inlineStr">
        <is>
          <t>1</t>
        </is>
      </c>
      <c r="B13441" s="3" t="inlineStr">
        <is>
          <t>"Pipa galvanis SCH 40 ; DN. 4"" (100 mm) + fitting &amp; aksesoris"</t>
        </is>
      </c>
      <c r="C13441" s="3" t="inlineStr">
        <is>
          <t>m'</t>
        </is>
      </c>
      <c r="D13441" s="15" t="n">
        <v>1.5</v>
      </c>
      <c r="E13441" s="4" t="n">
        <v>381000</v>
      </c>
      <c r="F13441" s="4" t="n">
        <v>571500</v>
      </c>
    </row>
    <row r="13442">
      <c r="D13442" s="2" t="inlineStr">
        <is>
          <t>SUBTOTAL UPAH</t>
        </is>
      </c>
      <c r="F13442" s="16" t="n">
        <v>120880</v>
      </c>
    </row>
    <row r="13443">
      <c r="D13443" s="2" t="inlineStr">
        <is>
          <t>SUBTOTAL BAHAN</t>
        </is>
      </c>
      <c r="F13443" s="16" t="n">
        <v>571500</v>
      </c>
    </row>
    <row r="13444">
      <c r="D13444" s="2" t="inlineStr">
        <is>
          <t>SUBTOTAL ALAT</t>
        </is>
      </c>
      <c r="F13444" s="16" t="n">
        <v>0</v>
      </c>
    </row>
    <row r="13445">
      <c r="E13445" s="2" t="inlineStr">
        <is>
          <t>TOTAL HARGA SATUAN (Inc. Overhead)</t>
        </is>
      </c>
      <c r="F13445" s="17" t="n">
        <v>761618</v>
      </c>
    </row>
    <row r="13447">
      <c r="A13447" s="14" t="inlineStr">
        <is>
          <t>KODE: 6.4.2.26 - Pemasangan 1 m Pipa Galvanis SCH 40, DN. 5" (125 mm)</t>
        </is>
      </c>
    </row>
    <row r="13448">
      <c r="A13448" s="10" t="inlineStr">
        <is>
          <t>No</t>
        </is>
      </c>
      <c r="B13448" s="10" t="inlineStr">
        <is>
          <t>Uraian Komponen</t>
        </is>
      </c>
      <c r="C13448" s="10" t="inlineStr">
        <is>
          <t>Satuan</t>
        </is>
      </c>
      <c r="D13448" s="10" t="inlineStr">
        <is>
          <t>Koef</t>
        </is>
      </c>
      <c r="E13448" s="10" t="inlineStr">
        <is>
          <t>Harga Satuan (Rp)</t>
        </is>
      </c>
      <c r="F13448" s="10" t="inlineStr">
        <is>
          <t>Jumlah Harga (Rp)</t>
        </is>
      </c>
    </row>
    <row r="13449">
      <c r="A13449" s="3" t="inlineStr">
        <is>
          <t>1</t>
        </is>
      </c>
      <c r="B13449" s="3" t="inlineStr">
        <is>
          <t>Pekerja</t>
        </is>
      </c>
      <c r="C13449" s="3" t="inlineStr">
        <is>
          <t>OH</t>
        </is>
      </c>
      <c r="D13449" s="15" t="n">
        <v>0.394</v>
      </c>
      <c r="E13449" s="4" t="n">
        <v>100000</v>
      </c>
      <c r="F13449" s="4" t="n">
        <v>39400</v>
      </c>
    </row>
    <row r="13450">
      <c r="A13450" s="3" t="inlineStr">
        <is>
          <t>2</t>
        </is>
      </c>
      <c r="B13450" s="3" t="inlineStr">
        <is>
          <t>Tukang pipa</t>
        </is>
      </c>
      <c r="C13450" s="3" t="inlineStr">
        <is>
          <t>OH</t>
        </is>
      </c>
      <c r="D13450" s="15" t="n">
        <v>0.658</v>
      </c>
      <c r="E13450" s="4" t="n">
        <v>145000</v>
      </c>
      <c r="F13450" s="4" t="n">
        <v>95410</v>
      </c>
    </row>
    <row r="13451">
      <c r="A13451" s="3" t="inlineStr">
        <is>
          <t>3</t>
        </is>
      </c>
      <c r="B13451" s="3" t="inlineStr">
        <is>
          <t>Kepala tukang</t>
        </is>
      </c>
      <c r="C13451" s="3" t="inlineStr">
        <is>
          <t>OH</t>
        </is>
      </c>
      <c r="D13451" s="15" t="n">
        <v>0.066</v>
      </c>
      <c r="E13451" s="4" t="n">
        <v>175000</v>
      </c>
      <c r="F13451" s="4" t="n">
        <v>11550</v>
      </c>
    </row>
    <row r="13452">
      <c r="A13452" s="3" t="inlineStr">
        <is>
          <t>4</t>
        </is>
      </c>
      <c r="B13452" s="3" t="inlineStr">
        <is>
          <t>Mandor</t>
        </is>
      </c>
      <c r="C13452" s="3" t="inlineStr">
        <is>
          <t>OH</t>
        </is>
      </c>
      <c r="D13452" s="15" t="n">
        <v>0.02</v>
      </c>
      <c r="E13452" s="4" t="n">
        <v>200000</v>
      </c>
      <c r="F13452" s="4" t="n">
        <v>4000</v>
      </c>
    </row>
    <row r="13453">
      <c r="A13453" s="3" t="inlineStr">
        <is>
          <t>1</t>
        </is>
      </c>
      <c r="B13453" s="3" t="inlineStr">
        <is>
          <t>"Pipa galvanis SCH 40 ; DN. 5"" (125 mm) + fitting &amp; aksesoris"</t>
        </is>
      </c>
      <c r="C13453" s="3" t="inlineStr">
        <is>
          <t>m'</t>
        </is>
      </c>
      <c r="D13453" s="15" t="n">
        <v>1.5</v>
      </c>
      <c r="E13453" s="4" t="n">
        <v>502000</v>
      </c>
      <c r="F13453" s="4" t="n">
        <v>753000</v>
      </c>
    </row>
    <row r="13454">
      <c r="D13454" s="2" t="inlineStr">
        <is>
          <t>SUBTOTAL UPAH</t>
        </is>
      </c>
      <c r="F13454" s="16" t="n">
        <v>150360</v>
      </c>
    </row>
    <row r="13455">
      <c r="D13455" s="2" t="inlineStr">
        <is>
          <t>SUBTOTAL BAHAN</t>
        </is>
      </c>
      <c r="F13455" s="16" t="n">
        <v>753000</v>
      </c>
    </row>
    <row r="13456">
      <c r="D13456" s="2" t="inlineStr">
        <is>
          <t>SUBTOTAL ALAT</t>
        </is>
      </c>
      <c r="F13456" s="16" t="n">
        <v>0</v>
      </c>
    </row>
    <row r="13457">
      <c r="E13457" s="2" t="inlineStr">
        <is>
          <t>TOTAL HARGA SATUAN (Inc. Overhead)</t>
        </is>
      </c>
      <c r="F13457" s="17" t="n">
        <v>993696</v>
      </c>
    </row>
    <row r="13459">
      <c r="A13459" s="14" t="inlineStr">
        <is>
          <t>KODE: 6.4.2.27 - Pemasangan 1 m Pipa Galvanis SCH 40, DN. 6" (150 mm)</t>
        </is>
      </c>
    </row>
    <row r="13460">
      <c r="A13460" s="10" t="inlineStr">
        <is>
          <t>No</t>
        </is>
      </c>
      <c r="B13460" s="10" t="inlineStr">
        <is>
          <t>Uraian Komponen</t>
        </is>
      </c>
      <c r="C13460" s="10" t="inlineStr">
        <is>
          <t>Satuan</t>
        </is>
      </c>
      <c r="D13460" s="10" t="inlineStr">
        <is>
          <t>Koef</t>
        </is>
      </c>
      <c r="E13460" s="10" t="inlineStr">
        <is>
          <t>Harga Satuan (Rp)</t>
        </is>
      </c>
      <c r="F13460" s="10" t="inlineStr">
        <is>
          <t>Jumlah Harga (Rp)</t>
        </is>
      </c>
    </row>
    <row r="13461">
      <c r="A13461" s="3" t="inlineStr">
        <is>
          <t>1</t>
        </is>
      </c>
      <c r="B13461" s="3" t="inlineStr">
        <is>
          <t>Pekerja</t>
        </is>
      </c>
      <c r="C13461" s="3" t="inlineStr">
        <is>
          <t>OH</t>
        </is>
      </c>
      <c r="D13461" s="15" t="n">
        <v>0.473</v>
      </c>
      <c r="E13461" s="4" t="n">
        <v>100000</v>
      </c>
      <c r="F13461" s="4" t="n">
        <v>47300</v>
      </c>
    </row>
    <row r="13462">
      <c r="A13462" s="3" t="inlineStr">
        <is>
          <t>2</t>
        </is>
      </c>
      <c r="B13462" s="3" t="inlineStr">
        <is>
          <t>Tukang pipa</t>
        </is>
      </c>
      <c r="C13462" s="3" t="inlineStr">
        <is>
          <t>OH</t>
        </is>
      </c>
      <c r="D13462" s="15" t="n">
        <v>0.79</v>
      </c>
      <c r="E13462" s="4" t="n">
        <v>145000</v>
      </c>
      <c r="F13462" s="4" t="n">
        <v>114550</v>
      </c>
    </row>
    <row r="13463">
      <c r="A13463" s="3" t="inlineStr">
        <is>
          <t>3</t>
        </is>
      </c>
      <c r="B13463" s="3" t="inlineStr">
        <is>
          <t>Kepala tukang</t>
        </is>
      </c>
      <c r="C13463" s="3" t="inlineStr">
        <is>
          <t>OH</t>
        </is>
      </c>
      <c r="D13463" s="15" t="n">
        <v>0.079</v>
      </c>
      <c r="E13463" s="4" t="n">
        <v>175000</v>
      </c>
      <c r="F13463" s="4" t="n">
        <v>13825</v>
      </c>
    </row>
    <row r="13464">
      <c r="A13464" s="3" t="inlineStr">
        <is>
          <t>4</t>
        </is>
      </c>
      <c r="B13464" s="3" t="inlineStr">
        <is>
          <t>Mandor</t>
        </is>
      </c>
      <c r="C13464" s="3" t="inlineStr">
        <is>
          <t>OH</t>
        </is>
      </c>
      <c r="D13464" s="15" t="n">
        <v>0.024</v>
      </c>
      <c r="E13464" s="4" t="n">
        <v>200000</v>
      </c>
      <c r="F13464" s="4" t="n">
        <v>4800</v>
      </c>
    </row>
    <row r="13465">
      <c r="A13465" s="3" t="inlineStr">
        <is>
          <t>1</t>
        </is>
      </c>
      <c r="B13465" s="3" t="inlineStr">
        <is>
          <t>"Pipa galvanis SCH 40 ; DN. 6"" (150 mm) + fitting &amp; aksesoris"</t>
        </is>
      </c>
      <c r="C13465" s="3" t="inlineStr">
        <is>
          <t>m'</t>
        </is>
      </c>
      <c r="D13465" s="15" t="n">
        <v>1.5</v>
      </c>
      <c r="E13465" s="4" t="n">
        <v>636000</v>
      </c>
      <c r="F13465" s="4" t="n">
        <v>954000</v>
      </c>
    </row>
    <row r="13466">
      <c r="D13466" s="2" t="inlineStr">
        <is>
          <t>SUBTOTAL UPAH</t>
        </is>
      </c>
      <c r="F13466" s="16" t="n">
        <v>180475</v>
      </c>
    </row>
    <row r="13467">
      <c r="D13467" s="2" t="inlineStr">
        <is>
          <t>SUBTOTAL BAHAN</t>
        </is>
      </c>
      <c r="F13467" s="16" t="n">
        <v>954000</v>
      </c>
    </row>
    <row r="13468">
      <c r="D13468" s="2" t="inlineStr">
        <is>
          <t>SUBTOTAL ALAT</t>
        </is>
      </c>
      <c r="F13468" s="16" t="n">
        <v>0</v>
      </c>
    </row>
    <row r="13469">
      <c r="E13469" s="2" t="inlineStr">
        <is>
          <t>TOTAL HARGA SATUAN (Inc. Overhead)</t>
        </is>
      </c>
      <c r="F13469" s="17" t="n">
        <v>1247922</v>
      </c>
    </row>
    <row r="13471">
      <c r="A13471" s="14" t="inlineStr">
        <is>
          <t>KODE: 6.4.2.28 - Pemasangan 1 m Pipa Galvanis SCH 40, DN. 8" (200 mm)</t>
        </is>
      </c>
    </row>
    <row r="13472">
      <c r="A13472" s="10" t="inlineStr">
        <is>
          <t>No</t>
        </is>
      </c>
      <c r="B13472" s="10" t="inlineStr">
        <is>
          <t>Uraian Komponen</t>
        </is>
      </c>
      <c r="C13472" s="10" t="inlineStr">
        <is>
          <t>Satuan</t>
        </is>
      </c>
      <c r="D13472" s="10" t="inlineStr">
        <is>
          <t>Koef</t>
        </is>
      </c>
      <c r="E13472" s="10" t="inlineStr">
        <is>
          <t>Harga Satuan (Rp)</t>
        </is>
      </c>
      <c r="F13472" s="10" t="inlineStr">
        <is>
          <t>Jumlah Harga (Rp)</t>
        </is>
      </c>
    </row>
    <row r="13473">
      <c r="A13473" s="3" t="inlineStr">
        <is>
          <t>1</t>
        </is>
      </c>
      <c r="B13473" s="3" t="inlineStr">
        <is>
          <t>Pekerja</t>
        </is>
      </c>
      <c r="C13473" s="3" t="inlineStr">
        <is>
          <t>OH</t>
        </is>
      </c>
      <c r="D13473" s="15" t="n">
        <v>0.629</v>
      </c>
      <c r="E13473" s="4" t="n">
        <v>100000</v>
      </c>
      <c r="F13473" s="4" t="n">
        <v>62900</v>
      </c>
    </row>
    <row r="13474">
      <c r="A13474" s="3" t="inlineStr">
        <is>
          <t>2</t>
        </is>
      </c>
      <c r="B13474" s="3" t="inlineStr">
        <is>
          <t>Tukang pipa</t>
        </is>
      </c>
      <c r="C13474" s="3" t="inlineStr">
        <is>
          <t>OH</t>
        </is>
      </c>
      <c r="D13474" s="15" t="n">
        <v>1.051</v>
      </c>
      <c r="E13474" s="4" t="n">
        <v>145000</v>
      </c>
      <c r="F13474" s="4" t="n">
        <v>152395</v>
      </c>
    </row>
    <row r="13475">
      <c r="A13475" s="3" t="inlineStr">
        <is>
          <t>3</t>
        </is>
      </c>
      <c r="B13475" s="3" t="inlineStr">
        <is>
          <t>Kepala tukang</t>
        </is>
      </c>
      <c r="C13475" s="3" t="inlineStr">
        <is>
          <t>OH</t>
        </is>
      </c>
      <c r="D13475" s="15" t="n">
        <v>0.105</v>
      </c>
      <c r="E13475" s="4" t="n">
        <v>175000</v>
      </c>
      <c r="F13475" s="4" t="n">
        <v>18375</v>
      </c>
    </row>
    <row r="13476">
      <c r="A13476" s="3" t="inlineStr">
        <is>
          <t>4</t>
        </is>
      </c>
      <c r="B13476" s="3" t="inlineStr">
        <is>
          <t>Mandor</t>
        </is>
      </c>
      <c r="C13476" s="3" t="inlineStr">
        <is>
          <t>OH</t>
        </is>
      </c>
      <c r="D13476" s="15" t="n">
        <v>0.032</v>
      </c>
      <c r="E13476" s="4" t="n">
        <v>200000</v>
      </c>
      <c r="F13476" s="4" t="n">
        <v>6400</v>
      </c>
    </row>
    <row r="13477">
      <c r="A13477" s="3" t="inlineStr">
        <is>
          <t>1</t>
        </is>
      </c>
      <c r="B13477" s="3" t="inlineStr">
        <is>
          <t>"Pipa galvanis SCH 40 ; DN. 8"" (200 mm) + fitting &amp; aksesoris"</t>
        </is>
      </c>
      <c r="C13477" s="3" t="inlineStr">
        <is>
          <t>m'</t>
        </is>
      </c>
      <c r="D13477" s="15" t="n">
        <v>1.5</v>
      </c>
      <c r="E13477" s="4" t="n">
        <v>987500</v>
      </c>
      <c r="F13477" s="4" t="n">
        <v>1481250</v>
      </c>
    </row>
    <row r="13478">
      <c r="D13478" s="2" t="inlineStr">
        <is>
          <t>SUBTOTAL UPAH</t>
        </is>
      </c>
      <c r="F13478" s="16" t="n">
        <v>240070</v>
      </c>
    </row>
    <row r="13479">
      <c r="D13479" s="2" t="inlineStr">
        <is>
          <t>SUBTOTAL BAHAN</t>
        </is>
      </c>
      <c r="F13479" s="16" t="n">
        <v>1481250</v>
      </c>
    </row>
    <row r="13480">
      <c r="D13480" s="2" t="inlineStr">
        <is>
          <t>SUBTOTAL ALAT</t>
        </is>
      </c>
      <c r="F13480" s="16" t="n">
        <v>0</v>
      </c>
    </row>
    <row r="13481">
      <c r="E13481" s="2" t="inlineStr">
        <is>
          <t>TOTAL HARGA SATUAN (Inc. Overhead)</t>
        </is>
      </c>
      <c r="F13481" s="17" t="n">
        <v>1893452</v>
      </c>
    </row>
    <row r="13483">
      <c r="A13483" s="14" t="inlineStr">
        <is>
          <t>KODE: 6.4.2.29 - Pemasangan 1 m Pipa Galvanis SCH 40, DN. 10" (250 mm</t>
        </is>
      </c>
    </row>
    <row r="13484">
      <c r="A13484" s="10" t="inlineStr">
        <is>
          <t>No</t>
        </is>
      </c>
      <c r="B13484" s="10" t="inlineStr">
        <is>
          <t>Uraian Komponen</t>
        </is>
      </c>
      <c r="C13484" s="10" t="inlineStr">
        <is>
          <t>Satuan</t>
        </is>
      </c>
      <c r="D13484" s="10" t="inlineStr">
        <is>
          <t>Koef</t>
        </is>
      </c>
      <c r="E13484" s="10" t="inlineStr">
        <is>
          <t>Harga Satuan (Rp)</t>
        </is>
      </c>
      <c r="F13484" s="10" t="inlineStr">
        <is>
          <t>Jumlah Harga (Rp)</t>
        </is>
      </c>
    </row>
    <row r="13485">
      <c r="A13485" s="3" t="inlineStr">
        <is>
          <t>1</t>
        </is>
      </c>
      <c r="B13485" s="3" t="inlineStr">
        <is>
          <t>Pekerja</t>
        </is>
      </c>
      <c r="C13485" s="3" t="inlineStr">
        <is>
          <t>OH</t>
        </is>
      </c>
      <c r="D13485" s="15" t="n">
        <v>0.788</v>
      </c>
      <c r="E13485" s="4" t="n">
        <v>100000</v>
      </c>
      <c r="F13485" s="4" t="n">
        <v>78800</v>
      </c>
    </row>
    <row r="13486">
      <c r="A13486" s="3" t="inlineStr">
        <is>
          <t>2</t>
        </is>
      </c>
      <c r="B13486" s="3" t="inlineStr">
        <is>
          <t>Tukang pipa</t>
        </is>
      </c>
      <c r="C13486" s="3" t="inlineStr">
        <is>
          <t>OH</t>
        </is>
      </c>
      <c r="D13486" s="15" t="n">
        <v>1.315</v>
      </c>
      <c r="E13486" s="4" t="n">
        <v>145000</v>
      </c>
      <c r="F13486" s="4" t="n">
        <v>190675</v>
      </c>
    </row>
    <row r="13487">
      <c r="A13487" s="3" t="inlineStr">
        <is>
          <t>3</t>
        </is>
      </c>
      <c r="B13487" s="3" t="inlineStr">
        <is>
          <t>Kepala tukang</t>
        </is>
      </c>
      <c r="C13487" s="3" t="inlineStr">
        <is>
          <t>OH</t>
        </is>
      </c>
      <c r="D13487" s="15" t="n">
        <v>0.132</v>
      </c>
      <c r="E13487" s="4" t="n">
        <v>175000</v>
      </c>
      <c r="F13487" s="4" t="n">
        <v>23100</v>
      </c>
    </row>
    <row r="13488">
      <c r="A13488" s="3" t="inlineStr">
        <is>
          <t>4</t>
        </is>
      </c>
      <c r="B13488" s="3" t="inlineStr">
        <is>
          <t>Mandor</t>
        </is>
      </c>
      <c r="C13488" s="3" t="inlineStr">
        <is>
          <t>OH</t>
        </is>
      </c>
      <c r="D13488" s="15" t="n">
        <v>0.039</v>
      </c>
      <c r="E13488" s="4" t="n">
        <v>200000</v>
      </c>
      <c r="F13488" s="4" t="n">
        <v>7800</v>
      </c>
    </row>
    <row r="13489">
      <c r="A13489" s="3" t="inlineStr">
        <is>
          <t>1</t>
        </is>
      </c>
      <c r="B13489" s="3" t="inlineStr">
        <is>
          <t>"Pipa galvanis SCH 40 ; DN. 10"" (250 mm) + fitting &amp; aksesoris"</t>
        </is>
      </c>
      <c r="C13489" s="3" t="inlineStr">
        <is>
          <t>m'</t>
        </is>
      </c>
      <c r="D13489" s="15" t="n">
        <v>1.5</v>
      </c>
      <c r="E13489" s="4" t="n">
        <v>1322500</v>
      </c>
      <c r="F13489" s="4" t="n">
        <v>1983750</v>
      </c>
    </row>
    <row r="13490">
      <c r="D13490" s="2" t="inlineStr">
        <is>
          <t>SUBTOTAL UPAH</t>
        </is>
      </c>
      <c r="F13490" s="16" t="n">
        <v>300375</v>
      </c>
    </row>
    <row r="13491">
      <c r="D13491" s="2" t="inlineStr">
        <is>
          <t>SUBTOTAL BAHAN</t>
        </is>
      </c>
      <c r="F13491" s="16" t="n">
        <v>1983750</v>
      </c>
    </row>
    <row r="13492">
      <c r="D13492" s="2" t="inlineStr">
        <is>
          <t>SUBTOTAL ALAT</t>
        </is>
      </c>
      <c r="F13492" s="16" t="n">
        <v>0</v>
      </c>
    </row>
    <row r="13493">
      <c r="E13493" s="2" t="inlineStr">
        <is>
          <t>TOTAL HARGA SATUAN (Inc. Overhead)</t>
        </is>
      </c>
      <c r="F13493" s="17" t="n">
        <v>2512537</v>
      </c>
    </row>
    <row r="13495">
      <c r="A13495" s="14" t="inlineStr">
        <is>
          <t>KODE: 6.4.2.30 - Pemasangan 1 m Pipa Galvanis SCH 40, DN. 12" (300 mm)</t>
        </is>
      </c>
    </row>
    <row r="13496">
      <c r="A13496" s="10" t="inlineStr">
        <is>
          <t>No</t>
        </is>
      </c>
      <c r="B13496" s="10" t="inlineStr">
        <is>
          <t>Uraian Komponen</t>
        </is>
      </c>
      <c r="C13496" s="10" t="inlineStr">
        <is>
          <t>Satuan</t>
        </is>
      </c>
      <c r="D13496" s="10" t="inlineStr">
        <is>
          <t>Koef</t>
        </is>
      </c>
      <c r="E13496" s="10" t="inlineStr">
        <is>
          <t>Harga Satuan (Rp)</t>
        </is>
      </c>
      <c r="F13496" s="10" t="inlineStr">
        <is>
          <t>Jumlah Harga (Rp)</t>
        </is>
      </c>
    </row>
    <row r="13497">
      <c r="A13497" s="3" t="inlineStr">
        <is>
          <t>1</t>
        </is>
      </c>
      <c r="B13497" s="3" t="inlineStr">
        <is>
          <t>Pekerja</t>
        </is>
      </c>
      <c r="C13497" s="3" t="inlineStr">
        <is>
          <t>OH</t>
        </is>
      </c>
      <c r="D13497" s="15" t="n">
        <v>0.944</v>
      </c>
      <c r="E13497" s="4" t="n">
        <v>100000</v>
      </c>
      <c r="F13497" s="4" t="n">
        <v>94400</v>
      </c>
    </row>
    <row r="13498">
      <c r="A13498" s="3" t="inlineStr">
        <is>
          <t>2</t>
        </is>
      </c>
      <c r="B13498" s="3" t="inlineStr">
        <is>
          <t>Tukang pipa</t>
        </is>
      </c>
      <c r="C13498" s="3" t="inlineStr">
        <is>
          <t>OH</t>
        </is>
      </c>
      <c r="D13498" s="15" t="n">
        <v>1.576</v>
      </c>
      <c r="E13498" s="4" t="n">
        <v>145000</v>
      </c>
      <c r="F13498" s="4" t="n">
        <v>228520</v>
      </c>
    </row>
    <row r="13499">
      <c r="A13499" s="3" t="inlineStr">
        <is>
          <t>3</t>
        </is>
      </c>
      <c r="B13499" s="3" t="inlineStr">
        <is>
          <t>Kepala tukang</t>
        </is>
      </c>
      <c r="C13499" s="3" t="inlineStr">
        <is>
          <t>OH</t>
        </is>
      </c>
      <c r="D13499" s="15" t="n">
        <v>0.158</v>
      </c>
      <c r="E13499" s="4" t="n">
        <v>175000</v>
      </c>
      <c r="F13499" s="4" t="n">
        <v>27650</v>
      </c>
    </row>
    <row r="13500">
      <c r="A13500" s="3" t="inlineStr">
        <is>
          <t>4</t>
        </is>
      </c>
      <c r="B13500" s="3" t="inlineStr">
        <is>
          <t>Mandor</t>
        </is>
      </c>
      <c r="C13500" s="3" t="inlineStr">
        <is>
          <t>OH</t>
        </is>
      </c>
      <c r="D13500" s="15" t="n">
        <v>0.047</v>
      </c>
      <c r="E13500" s="4" t="n">
        <v>200000</v>
      </c>
      <c r="F13500" s="4" t="n">
        <v>9400</v>
      </c>
    </row>
    <row r="13501">
      <c r="A13501" s="3" t="inlineStr">
        <is>
          <t>1</t>
        </is>
      </c>
      <c r="B13501" s="3" t="inlineStr">
        <is>
          <t>"Pipa galvanis SCH 40 ; DN. 12"" (300 mm) + fitting &amp; aksesoris"</t>
        </is>
      </c>
      <c r="C13501" s="3" t="inlineStr">
        <is>
          <t>m'</t>
        </is>
      </c>
      <c r="D13501" s="15" t="n">
        <v>1.5</v>
      </c>
      <c r="E13501" s="4" t="n">
        <v>1406000</v>
      </c>
      <c r="F13501" s="4" t="n">
        <v>2109000</v>
      </c>
    </row>
    <row r="13502">
      <c r="D13502" s="2" t="inlineStr">
        <is>
          <t>SUBTOTAL UPAH</t>
        </is>
      </c>
      <c r="F13502" s="16" t="n">
        <v>359970</v>
      </c>
    </row>
    <row r="13503">
      <c r="D13503" s="2" t="inlineStr">
        <is>
          <t>SUBTOTAL BAHAN</t>
        </is>
      </c>
      <c r="F13503" s="16" t="n">
        <v>2109000</v>
      </c>
    </row>
    <row r="13504">
      <c r="D13504" s="2" t="inlineStr">
        <is>
          <t>SUBTOTAL ALAT</t>
        </is>
      </c>
      <c r="F13504" s="16" t="n">
        <v>0</v>
      </c>
    </row>
    <row r="13505">
      <c r="E13505" s="2" t="inlineStr">
        <is>
          <t>TOTAL HARGA SATUAN (Inc. Overhead)</t>
        </is>
      </c>
      <c r="F13505" s="17" t="n">
        <v>2715867</v>
      </c>
    </row>
    <row r="13507">
      <c r="A13507" s="14" t="inlineStr">
        <is>
          <t>KODE: 6.4.2.31 - Pemasangan 1 m Pipa Galvanis SCH 40, DN. 14" (350 mm)</t>
        </is>
      </c>
    </row>
    <row r="13508">
      <c r="A13508" s="10" t="inlineStr">
        <is>
          <t>No</t>
        </is>
      </c>
      <c r="B13508" s="10" t="inlineStr">
        <is>
          <t>Uraian Komponen</t>
        </is>
      </c>
      <c r="C13508" s="10" t="inlineStr">
        <is>
          <t>Satuan</t>
        </is>
      </c>
      <c r="D13508" s="10" t="inlineStr">
        <is>
          <t>Koef</t>
        </is>
      </c>
      <c r="E13508" s="10" t="inlineStr">
        <is>
          <t>Harga Satuan (Rp)</t>
        </is>
      </c>
      <c r="F13508" s="10" t="inlineStr">
        <is>
          <t>Jumlah Harga (Rp)</t>
        </is>
      </c>
    </row>
    <row r="13509">
      <c r="A13509" s="3" t="inlineStr">
        <is>
          <t>1</t>
        </is>
      </c>
      <c r="B13509" s="3" t="inlineStr">
        <is>
          <t>Pekerja</t>
        </is>
      </c>
      <c r="C13509" s="3" t="inlineStr">
        <is>
          <t>OH</t>
        </is>
      </c>
      <c r="D13509" s="15" t="n">
        <v>1.102</v>
      </c>
      <c r="E13509" s="4" t="n">
        <v>100000</v>
      </c>
      <c r="F13509" s="4" t="n">
        <v>110200</v>
      </c>
    </row>
    <row r="13510">
      <c r="A13510" s="3" t="inlineStr">
        <is>
          <t>2</t>
        </is>
      </c>
      <c r="B13510" s="3" t="inlineStr">
        <is>
          <t>Tukang pipa</t>
        </is>
      </c>
      <c r="C13510" s="3" t="inlineStr">
        <is>
          <t>OH</t>
        </is>
      </c>
      <c r="D13510" s="15" t="n">
        <v>1.84</v>
      </c>
      <c r="E13510" s="4" t="n">
        <v>145000</v>
      </c>
      <c r="F13510" s="4" t="n">
        <v>266800</v>
      </c>
    </row>
    <row r="13511">
      <c r="A13511" s="3" t="inlineStr">
        <is>
          <t>3</t>
        </is>
      </c>
      <c r="B13511" s="3" t="inlineStr">
        <is>
          <t>Kepala tukang</t>
        </is>
      </c>
      <c r="C13511" s="3" t="inlineStr">
        <is>
          <t>OH</t>
        </is>
      </c>
      <c r="D13511" s="15" t="n">
        <v>0.184</v>
      </c>
      <c r="E13511" s="4" t="n">
        <v>175000</v>
      </c>
      <c r="F13511" s="4" t="n">
        <v>32200</v>
      </c>
    </row>
    <row r="13512">
      <c r="A13512" s="3" t="inlineStr">
        <is>
          <t>4</t>
        </is>
      </c>
      <c r="B13512" s="3" t="inlineStr">
        <is>
          <t>Mandor</t>
        </is>
      </c>
      <c r="C13512" s="3" t="inlineStr">
        <is>
          <t>OH</t>
        </is>
      </c>
      <c r="D13512" s="15" t="n">
        <v>0.055</v>
      </c>
      <c r="E13512" s="4" t="n">
        <v>200000</v>
      </c>
      <c r="F13512" s="4" t="n">
        <v>11000</v>
      </c>
    </row>
    <row r="13513">
      <c r="A13513" s="3" t="inlineStr">
        <is>
          <t>1</t>
        </is>
      </c>
      <c r="B13513" s="3" t="inlineStr">
        <is>
          <t>"Pipa galvanis SCH 40 ; DN. 14"" (350 mm) + fitting &amp; aksesoris"</t>
        </is>
      </c>
      <c r="C13513" s="3" t="inlineStr">
        <is>
          <t>m'</t>
        </is>
      </c>
      <c r="D13513" s="15" t="n">
        <v>1.5</v>
      </c>
      <c r="E13513" s="4" t="n">
        <v>1464000</v>
      </c>
      <c r="F13513" s="4" t="n">
        <v>2196000</v>
      </c>
    </row>
    <row r="13514">
      <c r="D13514" s="2" t="inlineStr">
        <is>
          <t>SUBTOTAL UPAH</t>
        </is>
      </c>
      <c r="F13514" s="16" t="n">
        <v>420200</v>
      </c>
    </row>
    <row r="13515">
      <c r="D13515" s="2" t="inlineStr">
        <is>
          <t>SUBTOTAL BAHAN</t>
        </is>
      </c>
      <c r="F13515" s="16" t="n">
        <v>2196000</v>
      </c>
    </row>
    <row r="13516">
      <c r="D13516" s="2" t="inlineStr">
        <is>
          <t>SUBTOTAL ALAT</t>
        </is>
      </c>
      <c r="F13516" s="16" t="n">
        <v>0</v>
      </c>
    </row>
    <row r="13517">
      <c r="E13517" s="2" t="inlineStr">
        <is>
          <t>TOTAL HARGA SATUAN (Inc. Overhead)</t>
        </is>
      </c>
      <c r="F13517" s="17" t="n">
        <v>2877820</v>
      </c>
    </row>
    <row r="13519">
      <c r="A13519" s="14" t="inlineStr">
        <is>
          <t>KODE: 6.4.2.32 - Pemasangan 1 m Pipa Galvanis SCH 40, DN. 16" (400 mm)</t>
        </is>
      </c>
    </row>
    <row r="13520">
      <c r="A13520" s="10" t="inlineStr">
        <is>
          <t>No</t>
        </is>
      </c>
      <c r="B13520" s="10" t="inlineStr">
        <is>
          <t>Uraian Komponen</t>
        </is>
      </c>
      <c r="C13520" s="10" t="inlineStr">
        <is>
          <t>Satuan</t>
        </is>
      </c>
      <c r="D13520" s="10" t="inlineStr">
        <is>
          <t>Koef</t>
        </is>
      </c>
      <c r="E13520" s="10" t="inlineStr">
        <is>
          <t>Harga Satuan (Rp)</t>
        </is>
      </c>
      <c r="F13520" s="10" t="inlineStr">
        <is>
          <t>Jumlah Harga (Rp)</t>
        </is>
      </c>
    </row>
    <row r="13521">
      <c r="A13521" s="3" t="inlineStr">
        <is>
          <t>1</t>
        </is>
      </c>
      <c r="B13521" s="3" t="inlineStr">
        <is>
          <t>Pekerja</t>
        </is>
      </c>
      <c r="C13521" s="3" t="inlineStr">
        <is>
          <t>OH</t>
        </is>
      </c>
      <c r="D13521" s="15" t="n">
        <v>1.258</v>
      </c>
      <c r="E13521" s="4" t="n">
        <v>100000</v>
      </c>
      <c r="F13521" s="4" t="n">
        <v>125800</v>
      </c>
    </row>
    <row r="13522">
      <c r="A13522" s="3" t="inlineStr">
        <is>
          <t>2</t>
        </is>
      </c>
      <c r="B13522" s="3" t="inlineStr">
        <is>
          <t>Tukang pipa</t>
        </is>
      </c>
      <c r="C13522" s="3" t="inlineStr">
        <is>
          <t>OH</t>
        </is>
      </c>
      <c r="D13522" s="15" t="n">
        <v>2.101</v>
      </c>
      <c r="E13522" s="4" t="n">
        <v>145000</v>
      </c>
      <c r="F13522" s="4" t="n">
        <v>304645</v>
      </c>
    </row>
    <row r="13523">
      <c r="A13523" s="3" t="inlineStr">
        <is>
          <t>3</t>
        </is>
      </c>
      <c r="B13523" s="3" t="inlineStr">
        <is>
          <t>Kepala tukang</t>
        </is>
      </c>
      <c r="C13523" s="3" t="inlineStr">
        <is>
          <t>OH</t>
        </is>
      </c>
      <c r="D13523" s="15" t="n">
        <v>0.21</v>
      </c>
      <c r="E13523" s="4" t="n">
        <v>175000</v>
      </c>
      <c r="F13523" s="4" t="n">
        <v>36750</v>
      </c>
    </row>
    <row r="13524">
      <c r="A13524" s="3" t="inlineStr">
        <is>
          <t>4</t>
        </is>
      </c>
      <c r="B13524" s="3" t="inlineStr">
        <is>
          <t>Mandor</t>
        </is>
      </c>
      <c r="C13524" s="3" t="inlineStr">
        <is>
          <t>OH</t>
        </is>
      </c>
      <c r="D13524" s="15" t="n">
        <v>0.063</v>
      </c>
      <c r="E13524" s="4" t="n">
        <v>200000</v>
      </c>
      <c r="F13524" s="4" t="n">
        <v>12600</v>
      </c>
    </row>
    <row r="13525">
      <c r="A13525" s="3" t="inlineStr">
        <is>
          <t>1</t>
        </is>
      </c>
      <c r="B13525" s="3" t="inlineStr">
        <is>
          <t>"Pipa galvanis SCH 40 ; DN. 16"" (400 mm) + fitting &amp; aksesoris"</t>
        </is>
      </c>
      <c r="C13525" s="3" t="inlineStr">
        <is>
          <t>m'</t>
        </is>
      </c>
      <c r="D13525" s="15" t="n">
        <v>1.5</v>
      </c>
      <c r="E13525" s="4" t="n">
        <v>1502000</v>
      </c>
      <c r="F13525" s="4" t="n">
        <v>2253000</v>
      </c>
    </row>
    <row r="13526">
      <c r="D13526" s="2" t="inlineStr">
        <is>
          <t>SUBTOTAL UPAH</t>
        </is>
      </c>
      <c r="F13526" s="16" t="n">
        <v>479795</v>
      </c>
    </row>
    <row r="13527">
      <c r="D13527" s="2" t="inlineStr">
        <is>
          <t>SUBTOTAL BAHAN</t>
        </is>
      </c>
      <c r="F13527" s="16" t="n">
        <v>2253000</v>
      </c>
    </row>
    <row r="13528">
      <c r="D13528" s="2" t="inlineStr">
        <is>
          <t>SUBTOTAL ALAT</t>
        </is>
      </c>
      <c r="F13528" s="16" t="n">
        <v>0</v>
      </c>
    </row>
    <row r="13529">
      <c r="E13529" s="2" t="inlineStr">
        <is>
          <t>TOTAL HARGA SATUAN (Inc. Overhead)</t>
        </is>
      </c>
      <c r="F13529" s="17" t="n">
        <v>3006074</v>
      </c>
    </row>
    <row r="13531">
      <c r="A13531" s="14" t="inlineStr">
        <is>
          <t>KODE: 6.4.3.1 - Pemasangan 1 m pipa PPR PN 10, DN. 1/2" (15 mm)</t>
        </is>
      </c>
    </row>
    <row r="13532">
      <c r="A13532" s="10" t="inlineStr">
        <is>
          <t>No</t>
        </is>
      </c>
      <c r="B13532" s="10" t="inlineStr">
        <is>
          <t>Uraian Komponen</t>
        </is>
      </c>
      <c r="C13532" s="10" t="inlineStr">
        <is>
          <t>Satuan</t>
        </is>
      </c>
      <c r="D13532" s="10" t="inlineStr">
        <is>
          <t>Koef</t>
        </is>
      </c>
      <c r="E13532" s="10" t="inlineStr">
        <is>
          <t>Harga Satuan (Rp)</t>
        </is>
      </c>
      <c r="F13532" s="10" t="inlineStr">
        <is>
          <t>Jumlah Harga (Rp)</t>
        </is>
      </c>
    </row>
    <row r="13533">
      <c r="A13533" s="3" t="inlineStr">
        <is>
          <t>1</t>
        </is>
      </c>
      <c r="B13533" s="3" t="inlineStr">
        <is>
          <t>Pekerja</t>
        </is>
      </c>
      <c r="C13533" s="3" t="inlineStr">
        <is>
          <t>OH</t>
        </is>
      </c>
      <c r="D13533" s="15" t="n">
        <v>0.021</v>
      </c>
      <c r="E13533" s="4" t="n">
        <v>100000</v>
      </c>
      <c r="F13533" s="4" t="n">
        <v>2100</v>
      </c>
    </row>
    <row r="13534">
      <c r="A13534" s="3" t="inlineStr">
        <is>
          <t>2</t>
        </is>
      </c>
      <c r="B13534" s="3" t="inlineStr">
        <is>
          <t>Tukang pipa</t>
        </is>
      </c>
      <c r="C13534" s="3" t="inlineStr">
        <is>
          <t>OH</t>
        </is>
      </c>
      <c r="D13534" s="15" t="n">
        <v>0.035</v>
      </c>
      <c r="E13534" s="4" t="n">
        <v>145000</v>
      </c>
      <c r="F13534" s="4" t="n">
        <v>5075.000000000001</v>
      </c>
    </row>
    <row r="13535">
      <c r="A13535" s="3" t="inlineStr">
        <is>
          <t>3</t>
        </is>
      </c>
      <c r="B13535" s="3" t="inlineStr">
        <is>
          <t>Kepala tukang</t>
        </is>
      </c>
      <c r="C13535" s="3" t="inlineStr">
        <is>
          <t>OH</t>
        </is>
      </c>
      <c r="D13535" s="15" t="n">
        <v>0.003</v>
      </c>
      <c r="E13535" s="4" t="n">
        <v>175000</v>
      </c>
      <c r="F13535" s="4" t="n">
        <v>525</v>
      </c>
    </row>
    <row r="13536">
      <c r="A13536" s="3" t="inlineStr">
        <is>
          <t>4</t>
        </is>
      </c>
      <c r="B13536" s="3" t="inlineStr">
        <is>
          <t>Mandor</t>
        </is>
      </c>
      <c r="C13536" s="3" t="inlineStr">
        <is>
          <t>OH</t>
        </is>
      </c>
      <c r="D13536" s="15" t="n">
        <v>0.001</v>
      </c>
      <c r="E13536" s="4" t="n">
        <v>200000</v>
      </c>
      <c r="F13536" s="4" t="n">
        <v>200</v>
      </c>
    </row>
    <row r="13537">
      <c r="A13537" s="3" t="inlineStr">
        <is>
          <t>1</t>
        </is>
      </c>
      <c r="B13537" s="3" t="inlineStr">
        <is>
          <t>"Pipa PPR PN 10 ; DN. 1/2"" (15 mm) + fitting &amp; aksesoris"</t>
        </is>
      </c>
      <c r="C13537" s="3" t="inlineStr">
        <is>
          <t>m'</t>
        </is>
      </c>
      <c r="D13537" s="15" t="n">
        <v>1.65</v>
      </c>
      <c r="E13537" s="4" t="n">
        <v>16100</v>
      </c>
      <c r="F13537" s="4" t="n">
        <v>26565</v>
      </c>
    </row>
    <row r="13538">
      <c r="D13538" s="2" t="inlineStr">
        <is>
          <t>SUBTOTAL UPAH</t>
        </is>
      </c>
      <c r="F13538" s="16" t="n">
        <v>7900.000000000001</v>
      </c>
    </row>
    <row r="13539">
      <c r="D13539" s="2" t="inlineStr">
        <is>
          <t>SUBTOTAL BAHAN</t>
        </is>
      </c>
      <c r="F13539" s="16" t="n">
        <v>26565</v>
      </c>
    </row>
    <row r="13540">
      <c r="D13540" s="2" t="inlineStr">
        <is>
          <t>SUBTOTAL ALAT</t>
        </is>
      </c>
      <c r="F13540" s="16" t="n">
        <v>0</v>
      </c>
    </row>
    <row r="13541">
      <c r="E13541" s="2" t="inlineStr">
        <is>
          <t>TOTAL HARGA SATUAN (Inc. Overhead)</t>
        </is>
      </c>
      <c r="F13541" s="17" t="n">
        <v>37911</v>
      </c>
    </row>
    <row r="13543">
      <c r="A13543" s="14" t="inlineStr">
        <is>
          <t>KODE: 6.4.3.2 - Pemasangan 1 m pipa PPR PN 10, DN. 3/4" (20 mm)</t>
        </is>
      </c>
    </row>
    <row r="13544">
      <c r="A13544" s="10" t="inlineStr">
        <is>
          <t>No</t>
        </is>
      </c>
      <c r="B13544" s="10" t="inlineStr">
        <is>
          <t>Uraian Komponen</t>
        </is>
      </c>
      <c r="C13544" s="10" t="inlineStr">
        <is>
          <t>Satuan</t>
        </is>
      </c>
      <c r="D13544" s="10" t="inlineStr">
        <is>
          <t>Koef</t>
        </is>
      </c>
      <c r="E13544" s="10" t="inlineStr">
        <is>
          <t>Harga Satuan (Rp)</t>
        </is>
      </c>
      <c r="F13544" s="10" t="inlineStr">
        <is>
          <t>Jumlah Harga (Rp)</t>
        </is>
      </c>
    </row>
    <row r="13545">
      <c r="A13545" s="3" t="inlineStr">
        <is>
          <t>1</t>
        </is>
      </c>
      <c r="B13545" s="3" t="inlineStr">
        <is>
          <t>Pekerja</t>
        </is>
      </c>
      <c r="C13545" s="3" t="inlineStr">
        <is>
          <t>OH</t>
        </is>
      </c>
      <c r="D13545" s="15" t="n">
        <v>0.031</v>
      </c>
      <c r="E13545" s="4" t="n">
        <v>100000</v>
      </c>
      <c r="F13545" s="4" t="n">
        <v>3100</v>
      </c>
    </row>
    <row r="13546">
      <c r="A13546" s="3" t="inlineStr">
        <is>
          <t>2</t>
        </is>
      </c>
      <c r="B13546" s="3" t="inlineStr">
        <is>
          <t>Tukang pipa</t>
        </is>
      </c>
      <c r="C13546" s="3" t="inlineStr">
        <is>
          <t>OH</t>
        </is>
      </c>
      <c r="D13546" s="15" t="n">
        <v>0.052</v>
      </c>
      <c r="E13546" s="4" t="n">
        <v>145000</v>
      </c>
      <c r="F13546" s="4" t="n">
        <v>7540</v>
      </c>
    </row>
    <row r="13547">
      <c r="A13547" s="3" t="inlineStr">
        <is>
          <t>3</t>
        </is>
      </c>
      <c r="B13547" s="3" t="inlineStr">
        <is>
          <t>Kepala tukang</t>
        </is>
      </c>
      <c r="C13547" s="3" t="inlineStr">
        <is>
          <t>OH</t>
        </is>
      </c>
      <c r="D13547" s="15" t="n">
        <v>0.005</v>
      </c>
      <c r="E13547" s="4" t="n">
        <v>175000</v>
      </c>
      <c r="F13547" s="4" t="n">
        <v>875</v>
      </c>
    </row>
    <row r="13548">
      <c r="A13548" s="3" t="inlineStr">
        <is>
          <t>4</t>
        </is>
      </c>
      <c r="B13548" s="3" t="inlineStr">
        <is>
          <t>Mandor</t>
        </is>
      </c>
      <c r="C13548" s="3" t="inlineStr">
        <is>
          <t>OH</t>
        </is>
      </c>
      <c r="D13548" s="15" t="n">
        <v>0.002</v>
      </c>
      <c r="E13548" s="4" t="n">
        <v>200000</v>
      </c>
      <c r="F13548" s="4" t="n">
        <v>400</v>
      </c>
    </row>
    <row r="13549">
      <c r="A13549" s="3" t="inlineStr">
        <is>
          <t>1</t>
        </is>
      </c>
      <c r="B13549" s="3" t="inlineStr">
        <is>
          <t>"Pipa PPR PN 10 ; DN. 3/4"" (20 mm) + fitting &amp; aksesoris"</t>
        </is>
      </c>
      <c r="C13549" s="3" t="inlineStr">
        <is>
          <t>m'</t>
        </is>
      </c>
      <c r="D13549" s="15" t="n">
        <v>1.65</v>
      </c>
      <c r="E13549" s="4" t="n">
        <v>19700</v>
      </c>
      <c r="F13549" s="4" t="n">
        <v>32505</v>
      </c>
    </row>
    <row r="13550">
      <c r="D13550" s="2" t="inlineStr">
        <is>
          <t>SUBTOTAL UPAH</t>
        </is>
      </c>
      <c r="F13550" s="16" t="n">
        <v>11915</v>
      </c>
    </row>
    <row r="13551">
      <c r="D13551" s="2" t="inlineStr">
        <is>
          <t>SUBTOTAL BAHAN</t>
        </is>
      </c>
      <c r="F13551" s="16" t="n">
        <v>32505</v>
      </c>
    </row>
    <row r="13552">
      <c r="D13552" s="2" t="inlineStr">
        <is>
          <t>SUBTOTAL ALAT</t>
        </is>
      </c>
      <c r="F13552" s="16" t="n">
        <v>0</v>
      </c>
    </row>
    <row r="13553">
      <c r="E13553" s="2" t="inlineStr">
        <is>
          <t>TOTAL HARGA SATUAN (Inc. Overhead)</t>
        </is>
      </c>
      <c r="F13553" s="17" t="n">
        <v>48862</v>
      </c>
    </row>
    <row r="13555">
      <c r="A13555" s="14" t="inlineStr">
        <is>
          <t>KODE: 6.4.3.3 - Pemasangan 1 m pipa PPR PN 10, DN. 1" (25 mm)</t>
        </is>
      </c>
    </row>
    <row r="13556">
      <c r="A13556" s="10" t="inlineStr">
        <is>
          <t>No</t>
        </is>
      </c>
      <c r="B13556" s="10" t="inlineStr">
        <is>
          <t>Uraian Komponen</t>
        </is>
      </c>
      <c r="C13556" s="10" t="inlineStr">
        <is>
          <t>Satuan</t>
        </is>
      </c>
      <c r="D13556" s="10" t="inlineStr">
        <is>
          <t>Koef</t>
        </is>
      </c>
      <c r="E13556" s="10" t="inlineStr">
        <is>
          <t>Harga Satuan (Rp)</t>
        </is>
      </c>
      <c r="F13556" s="10" t="inlineStr">
        <is>
          <t>Jumlah Harga (Rp)</t>
        </is>
      </c>
    </row>
    <row r="13557">
      <c r="A13557" s="3" t="inlineStr">
        <is>
          <t>1</t>
        </is>
      </c>
      <c r="B13557" s="3" t="inlineStr">
        <is>
          <t>Pekerja</t>
        </is>
      </c>
      <c r="C13557" s="3" t="inlineStr">
        <is>
          <t>OH</t>
        </is>
      </c>
      <c r="D13557" s="15" t="n">
        <v>0.044</v>
      </c>
      <c r="E13557" s="4" t="n">
        <v>100000</v>
      </c>
      <c r="F13557" s="4" t="n">
        <v>4400</v>
      </c>
    </row>
    <row r="13558">
      <c r="A13558" s="3" t="inlineStr">
        <is>
          <t>2</t>
        </is>
      </c>
      <c r="B13558" s="3" t="inlineStr">
        <is>
          <t>Tukang pipa</t>
        </is>
      </c>
      <c r="C13558" s="3" t="inlineStr">
        <is>
          <t>OH</t>
        </is>
      </c>
      <c r="D13558" s="15" t="n">
        <v>0.073</v>
      </c>
      <c r="E13558" s="4" t="n">
        <v>145000</v>
      </c>
      <c r="F13558" s="4" t="n">
        <v>10585</v>
      </c>
    </row>
    <row r="13559">
      <c r="A13559" s="3" t="inlineStr">
        <is>
          <t>3</t>
        </is>
      </c>
      <c r="B13559" s="3" t="inlineStr">
        <is>
          <t>Kepala tukang</t>
        </is>
      </c>
      <c r="C13559" s="3" t="inlineStr">
        <is>
          <t>OH</t>
        </is>
      </c>
      <c r="D13559" s="15" t="n">
        <v>0.007</v>
      </c>
      <c r="E13559" s="4" t="n">
        <v>175000</v>
      </c>
      <c r="F13559" s="4" t="n">
        <v>1225</v>
      </c>
    </row>
    <row r="13560">
      <c r="A13560" s="3" t="inlineStr">
        <is>
          <t>4</t>
        </is>
      </c>
      <c r="B13560" s="3" t="inlineStr">
        <is>
          <t>Mandor</t>
        </is>
      </c>
      <c r="C13560" s="3" t="inlineStr">
        <is>
          <t>OH</t>
        </is>
      </c>
      <c r="D13560" s="15" t="n">
        <v>0.002</v>
      </c>
      <c r="E13560" s="4" t="n">
        <v>200000</v>
      </c>
      <c r="F13560" s="4" t="n">
        <v>400</v>
      </c>
    </row>
    <row r="13561">
      <c r="A13561" s="3" t="inlineStr">
        <is>
          <t>1</t>
        </is>
      </c>
      <c r="B13561" s="3" t="inlineStr">
        <is>
          <t>"Pipa PPR PN 10 ; DN. 1"" (25 mm) + fitting &amp; aksesoris"</t>
        </is>
      </c>
      <c r="C13561" s="3" t="inlineStr">
        <is>
          <t>m'</t>
        </is>
      </c>
      <c r="D13561" s="15" t="n">
        <v>1.65</v>
      </c>
      <c r="E13561" s="4" t="n">
        <v>28500</v>
      </c>
      <c r="F13561" s="4" t="n">
        <v>47025</v>
      </c>
    </row>
    <row r="13562">
      <c r="D13562" s="2" t="inlineStr">
        <is>
          <t>SUBTOTAL UPAH</t>
        </is>
      </c>
      <c r="F13562" s="16" t="n">
        <v>16610</v>
      </c>
    </row>
    <row r="13563">
      <c r="D13563" s="2" t="inlineStr">
        <is>
          <t>SUBTOTAL BAHAN</t>
        </is>
      </c>
      <c r="F13563" s="16" t="n">
        <v>47025</v>
      </c>
    </row>
    <row r="13564">
      <c r="D13564" s="2" t="inlineStr">
        <is>
          <t>SUBTOTAL ALAT</t>
        </is>
      </c>
      <c r="F13564" s="16" t="n">
        <v>0</v>
      </c>
    </row>
    <row r="13565">
      <c r="E13565" s="2" t="inlineStr">
        <is>
          <t>TOTAL HARGA SATUAN (Inc. Overhead)</t>
        </is>
      </c>
      <c r="F13565" s="17" t="n">
        <v>69998</v>
      </c>
    </row>
    <row r="13567">
      <c r="A13567" s="14" t="inlineStr">
        <is>
          <t>KODE: 6.4.3.4 - Pemasangan 1 m pipa PPR PN 10, DN. 1-1/4" (32 mm)</t>
        </is>
      </c>
    </row>
    <row r="13568">
      <c r="A13568" s="10" t="inlineStr">
        <is>
          <t>No</t>
        </is>
      </c>
      <c r="B13568" s="10" t="inlineStr">
        <is>
          <t>Uraian Komponen</t>
        </is>
      </c>
      <c r="C13568" s="10" t="inlineStr">
        <is>
          <t>Satuan</t>
        </is>
      </c>
      <c r="D13568" s="10" t="inlineStr">
        <is>
          <t>Koef</t>
        </is>
      </c>
      <c r="E13568" s="10" t="inlineStr">
        <is>
          <t>Harga Satuan (Rp)</t>
        </is>
      </c>
      <c r="F13568" s="10" t="inlineStr">
        <is>
          <t>Jumlah Harga (Rp)</t>
        </is>
      </c>
    </row>
    <row r="13569">
      <c r="A13569" s="3" t="inlineStr">
        <is>
          <t>1</t>
        </is>
      </c>
      <c r="B13569" s="3" t="inlineStr">
        <is>
          <t>Pekerja</t>
        </is>
      </c>
      <c r="C13569" s="3" t="inlineStr">
        <is>
          <t>OH</t>
        </is>
      </c>
      <c r="D13569" s="15" t="n">
        <v>0.054</v>
      </c>
      <c r="E13569" s="4" t="n">
        <v>100000</v>
      </c>
      <c r="F13569" s="4" t="n">
        <v>5400</v>
      </c>
    </row>
    <row r="13570">
      <c r="A13570" s="3" t="inlineStr">
        <is>
          <t>2</t>
        </is>
      </c>
      <c r="B13570" s="3" t="inlineStr">
        <is>
          <t>Tukang pipa</t>
        </is>
      </c>
      <c r="C13570" s="3" t="inlineStr">
        <is>
          <t>OH</t>
        </is>
      </c>
      <c r="D13570" s="15" t="n">
        <v>0.09</v>
      </c>
      <c r="E13570" s="4" t="n">
        <v>145000</v>
      </c>
      <c r="F13570" s="4" t="n">
        <v>13050</v>
      </c>
    </row>
    <row r="13571">
      <c r="A13571" s="3" t="inlineStr">
        <is>
          <t>3</t>
        </is>
      </c>
      <c r="B13571" s="3" t="inlineStr">
        <is>
          <t>Kepala tukang</t>
        </is>
      </c>
      <c r="C13571" s="3" t="inlineStr">
        <is>
          <t>OH</t>
        </is>
      </c>
      <c r="D13571" s="15" t="n">
        <v>0.008999999999999999</v>
      </c>
      <c r="E13571" s="4" t="n">
        <v>175000</v>
      </c>
      <c r="F13571" s="4" t="n">
        <v>1575</v>
      </c>
    </row>
    <row r="13572">
      <c r="A13572" s="3" t="inlineStr">
        <is>
          <t>4</t>
        </is>
      </c>
      <c r="B13572" s="3" t="inlineStr">
        <is>
          <t>Mandor</t>
        </is>
      </c>
      <c r="C13572" s="3" t="inlineStr">
        <is>
          <t>OH</t>
        </is>
      </c>
      <c r="D13572" s="15" t="n">
        <v>0.003</v>
      </c>
      <c r="E13572" s="4" t="n">
        <v>200000</v>
      </c>
      <c r="F13572" s="4" t="n">
        <v>600</v>
      </c>
    </row>
    <row r="13573">
      <c r="A13573" s="3" t="inlineStr">
        <is>
          <t>1</t>
        </is>
      </c>
      <c r="B13573" s="3" t="inlineStr">
        <is>
          <t>"Pipa PPR PN 10 ; DN. 1-1/4"" (32 mm) + fitting &amp; aksesoris"</t>
        </is>
      </c>
      <c r="C13573" s="3" t="inlineStr">
        <is>
          <t>m'</t>
        </is>
      </c>
      <c r="D13573" s="15" t="n">
        <v>1.65</v>
      </c>
      <c r="E13573" s="4" t="n">
        <v>42000</v>
      </c>
      <c r="F13573" s="4" t="n">
        <v>69300</v>
      </c>
    </row>
    <row r="13574">
      <c r="D13574" s="2" t="inlineStr">
        <is>
          <t>SUBTOTAL UPAH</t>
        </is>
      </c>
      <c r="F13574" s="16" t="n">
        <v>20625</v>
      </c>
    </row>
    <row r="13575">
      <c r="D13575" s="2" t="inlineStr">
        <is>
          <t>SUBTOTAL BAHAN</t>
        </is>
      </c>
      <c r="F13575" s="16" t="n">
        <v>69300</v>
      </c>
    </row>
    <row r="13576">
      <c r="D13576" s="2" t="inlineStr">
        <is>
          <t>SUBTOTAL ALAT</t>
        </is>
      </c>
      <c r="F13576" s="16" t="n">
        <v>0</v>
      </c>
    </row>
    <row r="13577">
      <c r="E13577" s="2" t="inlineStr">
        <is>
          <t>TOTAL HARGA SATUAN (Inc. Overhead)</t>
        </is>
      </c>
      <c r="F13577" s="17" t="n">
        <v>98917</v>
      </c>
    </row>
    <row r="13579">
      <c r="A13579" s="14" t="inlineStr">
        <is>
          <t>KODE: 6.4.3.5 - Pemasangan 1 m pipa PPR PN 10, DN. 1-1/2" (40 mm)</t>
        </is>
      </c>
    </row>
    <row r="13580">
      <c r="A13580" s="10" t="inlineStr">
        <is>
          <t>No</t>
        </is>
      </c>
      <c r="B13580" s="10" t="inlineStr">
        <is>
          <t>Uraian Komponen</t>
        </is>
      </c>
      <c r="C13580" s="10" t="inlineStr">
        <is>
          <t>Satuan</t>
        </is>
      </c>
      <c r="D13580" s="10" t="inlineStr">
        <is>
          <t>Koef</t>
        </is>
      </c>
      <c r="E13580" s="10" t="inlineStr">
        <is>
          <t>Harga Satuan (Rp)</t>
        </is>
      </c>
      <c r="F13580" s="10" t="inlineStr">
        <is>
          <t>Jumlah Harga (Rp)</t>
        </is>
      </c>
    </row>
    <row r="13581">
      <c r="A13581" s="3" t="inlineStr">
        <is>
          <t>1</t>
        </is>
      </c>
      <c r="B13581" s="3" t="inlineStr">
        <is>
          <t>Pekerja</t>
        </is>
      </c>
      <c r="C13581" s="3" t="inlineStr">
        <is>
          <t>OH</t>
        </is>
      </c>
      <c r="D13581" s="15" t="n">
        <v>0.065</v>
      </c>
      <c r="E13581" s="4" t="n">
        <v>100000</v>
      </c>
      <c r="F13581" s="4" t="n">
        <v>6500</v>
      </c>
    </row>
    <row r="13582">
      <c r="A13582" s="3" t="inlineStr">
        <is>
          <t>2</t>
        </is>
      </c>
      <c r="B13582" s="3" t="inlineStr">
        <is>
          <t>Tukang pipa</t>
        </is>
      </c>
      <c r="C13582" s="3" t="inlineStr">
        <is>
          <t>OH</t>
        </is>
      </c>
      <c r="D13582" s="15" t="n">
        <v>0.108</v>
      </c>
      <c r="E13582" s="4" t="n">
        <v>145000</v>
      </c>
      <c r="F13582" s="4" t="n">
        <v>15660</v>
      </c>
    </row>
    <row r="13583">
      <c r="A13583" s="3" t="inlineStr">
        <is>
          <t>3</t>
        </is>
      </c>
      <c r="B13583" s="3" t="inlineStr">
        <is>
          <t>Kepala tukang</t>
        </is>
      </c>
      <c r="C13583" s="3" t="inlineStr">
        <is>
          <t>OH</t>
        </is>
      </c>
      <c r="D13583" s="15" t="n">
        <v>0.011</v>
      </c>
      <c r="E13583" s="4" t="n">
        <v>175000</v>
      </c>
      <c r="F13583" s="4" t="n">
        <v>1925</v>
      </c>
    </row>
    <row r="13584">
      <c r="A13584" s="3" t="inlineStr">
        <is>
          <t>4</t>
        </is>
      </c>
      <c r="B13584" s="3" t="inlineStr">
        <is>
          <t>Mandor</t>
        </is>
      </c>
      <c r="C13584" s="3" t="inlineStr">
        <is>
          <t>OH</t>
        </is>
      </c>
      <c r="D13584" s="15" t="n">
        <v>0.003</v>
      </c>
      <c r="E13584" s="4" t="n">
        <v>200000</v>
      </c>
      <c r="F13584" s="4" t="n">
        <v>600</v>
      </c>
    </row>
    <row r="13585">
      <c r="A13585" s="3" t="inlineStr">
        <is>
          <t>1</t>
        </is>
      </c>
      <c r="B13585" s="3" t="inlineStr">
        <is>
          <t>"Pipa PPR PN 10 ; DN. 1-1/2"" (40 mm) + fitting &amp; aksesoris"</t>
        </is>
      </c>
      <c r="C13585" s="3" t="inlineStr">
        <is>
          <t>m'</t>
        </is>
      </c>
      <c r="D13585" s="15" t="n">
        <v>1.65</v>
      </c>
      <c r="E13585" s="4" t="n">
        <v>62500</v>
      </c>
      <c r="F13585" s="4" t="n">
        <v>103125</v>
      </c>
    </row>
    <row r="13586">
      <c r="D13586" s="2" t="inlineStr">
        <is>
          <t>SUBTOTAL UPAH</t>
        </is>
      </c>
      <c r="F13586" s="16" t="n">
        <v>24685</v>
      </c>
    </row>
    <row r="13587">
      <c r="D13587" s="2" t="inlineStr">
        <is>
          <t>SUBTOTAL BAHAN</t>
        </is>
      </c>
      <c r="F13587" s="16" t="n">
        <v>103125</v>
      </c>
    </row>
    <row r="13588">
      <c r="D13588" s="2" t="inlineStr">
        <is>
          <t>SUBTOTAL ALAT</t>
        </is>
      </c>
      <c r="F13588" s="16" t="n">
        <v>0</v>
      </c>
    </row>
    <row r="13589">
      <c r="E13589" s="2" t="inlineStr">
        <is>
          <t>TOTAL HARGA SATUAN (Inc. Overhead)</t>
        </is>
      </c>
      <c r="F13589" s="17" t="n">
        <v>140591</v>
      </c>
    </row>
    <row r="13591">
      <c r="A13591" s="14" t="inlineStr">
        <is>
          <t>KODE: 6.4.3.6 - Pemasangan 1 m pipa PPR PN 10, DN. 2" (50 mm)</t>
        </is>
      </c>
    </row>
    <row r="13592">
      <c r="A13592" s="10" t="inlineStr">
        <is>
          <t>No</t>
        </is>
      </c>
      <c r="B13592" s="10" t="inlineStr">
        <is>
          <t>Uraian Komponen</t>
        </is>
      </c>
      <c r="C13592" s="10" t="inlineStr">
        <is>
          <t>Satuan</t>
        </is>
      </c>
      <c r="D13592" s="10" t="inlineStr">
        <is>
          <t>Koef</t>
        </is>
      </c>
      <c r="E13592" s="10" t="inlineStr">
        <is>
          <t>Harga Satuan (Rp)</t>
        </is>
      </c>
      <c r="F13592" s="10" t="inlineStr">
        <is>
          <t>Jumlah Harga (Rp)</t>
        </is>
      </c>
    </row>
    <row r="13593">
      <c r="A13593" s="3" t="inlineStr">
        <is>
          <t>1</t>
        </is>
      </c>
      <c r="B13593" s="3" t="inlineStr">
        <is>
          <t>Pekerja</t>
        </is>
      </c>
      <c r="C13593" s="3" t="inlineStr">
        <is>
          <t>OH</t>
        </is>
      </c>
      <c r="D13593" s="15" t="n">
        <v>0.077</v>
      </c>
      <c r="E13593" s="4" t="n">
        <v>100000</v>
      </c>
      <c r="F13593" s="4" t="n">
        <v>7700</v>
      </c>
    </row>
    <row r="13594">
      <c r="A13594" s="3" t="inlineStr">
        <is>
          <t>2</t>
        </is>
      </c>
      <c r="B13594" s="3" t="inlineStr">
        <is>
          <t>Tukang pipa</t>
        </is>
      </c>
      <c r="C13594" s="3" t="inlineStr">
        <is>
          <t>OH</t>
        </is>
      </c>
      <c r="D13594" s="15" t="n">
        <v>0.129</v>
      </c>
      <c r="E13594" s="4" t="n">
        <v>145000</v>
      </c>
      <c r="F13594" s="4" t="n">
        <v>18705</v>
      </c>
    </row>
    <row r="13595">
      <c r="A13595" s="3" t="inlineStr">
        <is>
          <t>3</t>
        </is>
      </c>
      <c r="B13595" s="3" t="inlineStr">
        <is>
          <t>Kepala tukang</t>
        </is>
      </c>
      <c r="C13595" s="3" t="inlineStr">
        <is>
          <t>OH</t>
        </is>
      </c>
      <c r="D13595" s="15" t="n">
        <v>0.013</v>
      </c>
      <c r="E13595" s="4" t="n">
        <v>175000</v>
      </c>
      <c r="F13595" s="4" t="n">
        <v>2275</v>
      </c>
    </row>
    <row r="13596">
      <c r="A13596" s="3" t="inlineStr">
        <is>
          <t>4</t>
        </is>
      </c>
      <c r="B13596" s="3" t="inlineStr">
        <is>
          <t>Mandor</t>
        </is>
      </c>
      <c r="C13596" s="3" t="inlineStr">
        <is>
          <t>OH</t>
        </is>
      </c>
      <c r="D13596" s="15" t="n">
        <v>0.004</v>
      </c>
      <c r="E13596" s="4" t="n">
        <v>200000</v>
      </c>
      <c r="F13596" s="4" t="n">
        <v>800</v>
      </c>
    </row>
    <row r="13597">
      <c r="A13597" s="3" t="inlineStr">
        <is>
          <t>1</t>
        </is>
      </c>
      <c r="B13597" s="3" t="inlineStr">
        <is>
          <t>"Pipa PPR PN 10 ; DN. 2"" (50 mm) + fitting &amp; aksesoris"</t>
        </is>
      </c>
      <c r="C13597" s="3" t="inlineStr">
        <is>
          <t>m'</t>
        </is>
      </c>
      <c r="D13597" s="15" t="n">
        <v>1.65</v>
      </c>
      <c r="E13597" s="4" t="n">
        <v>96000</v>
      </c>
      <c r="F13597" s="4" t="n">
        <v>158400</v>
      </c>
    </row>
    <row r="13598">
      <c r="D13598" s="2" t="inlineStr">
        <is>
          <t>SUBTOTAL UPAH</t>
        </is>
      </c>
      <c r="F13598" s="16" t="n">
        <v>29480</v>
      </c>
    </row>
    <row r="13599">
      <c r="D13599" s="2" t="inlineStr">
        <is>
          <t>SUBTOTAL BAHAN</t>
        </is>
      </c>
      <c r="F13599" s="16" t="n">
        <v>158400</v>
      </c>
    </row>
    <row r="13600">
      <c r="D13600" s="2" t="inlineStr">
        <is>
          <t>SUBTOTAL ALAT</t>
        </is>
      </c>
      <c r="F13600" s="16" t="n">
        <v>0</v>
      </c>
    </row>
    <row r="13601">
      <c r="E13601" s="2" t="inlineStr">
        <is>
          <t>TOTAL HARGA SATUAN (Inc. Overhead)</t>
        </is>
      </c>
      <c r="F13601" s="17" t="n">
        <v>206668</v>
      </c>
    </row>
    <row r="13603">
      <c r="A13603" s="14" t="inlineStr">
        <is>
          <t>KODE: 6.4.3.7 - Pemasangan 1 m pipa PPR PN 10, DN. 2-1/2" (65 mm)</t>
        </is>
      </c>
    </row>
    <row r="13604">
      <c r="A13604" s="10" t="inlineStr">
        <is>
          <t>No</t>
        </is>
      </c>
      <c r="B13604" s="10" t="inlineStr">
        <is>
          <t>Uraian Komponen</t>
        </is>
      </c>
      <c r="C13604" s="10" t="inlineStr">
        <is>
          <t>Satuan</t>
        </is>
      </c>
      <c r="D13604" s="10" t="inlineStr">
        <is>
          <t>Koef</t>
        </is>
      </c>
      <c r="E13604" s="10" t="inlineStr">
        <is>
          <t>Harga Satuan (Rp)</t>
        </is>
      </c>
      <c r="F13604" s="10" t="inlineStr">
        <is>
          <t>Jumlah Harga (Rp)</t>
        </is>
      </c>
    </row>
    <row r="13605">
      <c r="A13605" s="3" t="inlineStr">
        <is>
          <t>1</t>
        </is>
      </c>
      <c r="B13605" s="3" t="inlineStr">
        <is>
          <t>Pekerja</t>
        </is>
      </c>
      <c r="C13605" s="3" t="inlineStr">
        <is>
          <t>OH</t>
        </is>
      </c>
      <c r="D13605" s="15" t="n">
        <v>0.108</v>
      </c>
      <c r="E13605" s="4" t="n">
        <v>100000</v>
      </c>
      <c r="F13605" s="4" t="n">
        <v>10800</v>
      </c>
    </row>
    <row r="13606">
      <c r="A13606" s="3" t="inlineStr">
        <is>
          <t>2</t>
        </is>
      </c>
      <c r="B13606" s="3" t="inlineStr">
        <is>
          <t>Tukang pipa</t>
        </is>
      </c>
      <c r="C13606" s="3" t="inlineStr">
        <is>
          <t>OH</t>
        </is>
      </c>
      <c r="D13606" s="15" t="n">
        <v>0.181</v>
      </c>
      <c r="E13606" s="4" t="n">
        <v>145000</v>
      </c>
      <c r="F13606" s="4" t="n">
        <v>26245</v>
      </c>
    </row>
    <row r="13607">
      <c r="A13607" s="3" t="inlineStr">
        <is>
          <t>3</t>
        </is>
      </c>
      <c r="B13607" s="3" t="inlineStr">
        <is>
          <t>Kepala tukang</t>
        </is>
      </c>
      <c r="C13607" s="3" t="inlineStr">
        <is>
          <t>OH</t>
        </is>
      </c>
      <c r="D13607" s="15" t="n">
        <v>0.018</v>
      </c>
      <c r="E13607" s="4" t="n">
        <v>175000</v>
      </c>
      <c r="F13607" s="4" t="n">
        <v>3150</v>
      </c>
    </row>
    <row r="13608">
      <c r="A13608" s="3" t="inlineStr">
        <is>
          <t>4</t>
        </is>
      </c>
      <c r="B13608" s="3" t="inlineStr">
        <is>
          <t>Mandor</t>
        </is>
      </c>
      <c r="C13608" s="3" t="inlineStr">
        <is>
          <t>OH</t>
        </is>
      </c>
      <c r="D13608" s="15" t="n">
        <v>0.005</v>
      </c>
      <c r="E13608" s="4" t="n">
        <v>200000</v>
      </c>
      <c r="F13608" s="4" t="n">
        <v>1000</v>
      </c>
    </row>
    <row r="13609">
      <c r="A13609" s="3" t="inlineStr">
        <is>
          <t>1</t>
        </is>
      </c>
      <c r="B13609" s="3" t="inlineStr">
        <is>
          <t>"Pipa PPR PN 10 ; DN. 2-1/2"" (65 mm) + fitting &amp; aksesoris"</t>
        </is>
      </c>
      <c r="C13609" s="3" t="inlineStr">
        <is>
          <t>m'</t>
        </is>
      </c>
      <c r="D13609" s="15" t="n">
        <v>1.65</v>
      </c>
      <c r="E13609" s="4" t="n">
        <v>132000</v>
      </c>
      <c r="F13609" s="4" t="n">
        <v>217800</v>
      </c>
    </row>
    <row r="13610">
      <c r="D13610" s="2" t="inlineStr">
        <is>
          <t>SUBTOTAL UPAH</t>
        </is>
      </c>
      <c r="F13610" s="16" t="n">
        <v>41195</v>
      </c>
    </row>
    <row r="13611">
      <c r="D13611" s="2" t="inlineStr">
        <is>
          <t>SUBTOTAL BAHAN</t>
        </is>
      </c>
      <c r="F13611" s="16" t="n">
        <v>217800</v>
      </c>
    </row>
    <row r="13612">
      <c r="D13612" s="2" t="inlineStr">
        <is>
          <t>SUBTOTAL ALAT</t>
        </is>
      </c>
      <c r="F13612" s="16" t="n">
        <v>0</v>
      </c>
    </row>
    <row r="13613">
      <c r="E13613" s="2" t="inlineStr">
        <is>
          <t>TOTAL HARGA SATUAN (Inc. Overhead)</t>
        </is>
      </c>
      <c r="F13613" s="17" t="n">
        <v>284894</v>
      </c>
    </row>
    <row r="13615">
      <c r="A13615" s="14" t="inlineStr">
        <is>
          <t>KODE: 6.4.3.8 - Pemasangan 1 m pipa PPR PN 10, DN. 3" (80 mm)</t>
        </is>
      </c>
    </row>
    <row r="13616">
      <c r="A13616" s="10" t="inlineStr">
        <is>
          <t>No</t>
        </is>
      </c>
      <c r="B13616" s="10" t="inlineStr">
        <is>
          <t>Uraian Komponen</t>
        </is>
      </c>
      <c r="C13616" s="10" t="inlineStr">
        <is>
          <t>Satuan</t>
        </is>
      </c>
      <c r="D13616" s="10" t="inlineStr">
        <is>
          <t>Koef</t>
        </is>
      </c>
      <c r="E13616" s="10" t="inlineStr">
        <is>
          <t>Harga Satuan (Rp)</t>
        </is>
      </c>
      <c r="F13616" s="10" t="inlineStr">
        <is>
          <t>Jumlah Harga (Rp)</t>
        </is>
      </c>
    </row>
    <row r="13617">
      <c r="A13617" s="3" t="inlineStr">
        <is>
          <t>1</t>
        </is>
      </c>
      <c r="B13617" s="3" t="inlineStr">
        <is>
          <t>Pekerja</t>
        </is>
      </c>
      <c r="C13617" s="3" t="inlineStr">
        <is>
          <t>OH</t>
        </is>
      </c>
      <c r="D13617" s="15" t="n">
        <v>0.129</v>
      </c>
      <c r="E13617" s="4" t="n">
        <v>100000</v>
      </c>
      <c r="F13617" s="4" t="n">
        <v>12900</v>
      </c>
    </row>
    <row r="13618">
      <c r="A13618" s="3" t="inlineStr">
        <is>
          <t>2</t>
        </is>
      </c>
      <c r="B13618" s="3" t="inlineStr">
        <is>
          <t>Tukang pipa</t>
        </is>
      </c>
      <c r="C13618" s="3" t="inlineStr">
        <is>
          <t>OH</t>
        </is>
      </c>
      <c r="D13618" s="15" t="n">
        <v>0.216</v>
      </c>
      <c r="E13618" s="4" t="n">
        <v>145000</v>
      </c>
      <c r="F13618" s="4" t="n">
        <v>31320</v>
      </c>
    </row>
    <row r="13619">
      <c r="A13619" s="3" t="inlineStr">
        <is>
          <t>3</t>
        </is>
      </c>
      <c r="B13619" s="3" t="inlineStr">
        <is>
          <t>Kepala tukang</t>
        </is>
      </c>
      <c r="C13619" s="3" t="inlineStr">
        <is>
          <t>OH</t>
        </is>
      </c>
      <c r="D13619" s="15" t="n">
        <v>0.022</v>
      </c>
      <c r="E13619" s="4" t="n">
        <v>175000</v>
      </c>
      <c r="F13619" s="4" t="n">
        <v>3850</v>
      </c>
    </row>
    <row r="13620">
      <c r="A13620" s="3" t="inlineStr">
        <is>
          <t>4</t>
        </is>
      </c>
      <c r="B13620" s="3" t="inlineStr">
        <is>
          <t>Mandor</t>
        </is>
      </c>
      <c r="C13620" s="3" t="inlineStr">
        <is>
          <t>OH</t>
        </is>
      </c>
      <c r="D13620" s="15" t="n">
        <v>0.006</v>
      </c>
      <c r="E13620" s="4" t="n">
        <v>200000</v>
      </c>
      <c r="F13620" s="4" t="n">
        <v>1200</v>
      </c>
    </row>
    <row r="13621">
      <c r="A13621" s="3" t="inlineStr">
        <is>
          <t>1</t>
        </is>
      </c>
      <c r="B13621" s="3" t="inlineStr">
        <is>
          <t>"Pipa PPR PN 10 ; DN. 3"" (80 mm) + fitting &amp; aksesoris"</t>
        </is>
      </c>
      <c r="C13621" s="3" t="inlineStr">
        <is>
          <t>m'</t>
        </is>
      </c>
      <c r="D13621" s="15" t="n">
        <v>1.65</v>
      </c>
      <c r="E13621" s="4" t="n">
        <v>183500</v>
      </c>
      <c r="F13621" s="4" t="n">
        <v>302775</v>
      </c>
    </row>
    <row r="13622">
      <c r="D13622" s="2" t="inlineStr">
        <is>
          <t>SUBTOTAL UPAH</t>
        </is>
      </c>
      <c r="F13622" s="16" t="n">
        <v>49270</v>
      </c>
    </row>
    <row r="13623">
      <c r="D13623" s="2" t="inlineStr">
        <is>
          <t>SUBTOTAL BAHAN</t>
        </is>
      </c>
      <c r="F13623" s="16" t="n">
        <v>302775</v>
      </c>
    </row>
    <row r="13624">
      <c r="D13624" s="2" t="inlineStr">
        <is>
          <t>SUBTOTAL ALAT</t>
        </is>
      </c>
      <c r="F13624" s="16" t="n">
        <v>0</v>
      </c>
    </row>
    <row r="13625">
      <c r="E13625" s="2" t="inlineStr">
        <is>
          <t>TOTAL HARGA SATUAN (Inc. Overhead)</t>
        </is>
      </c>
      <c r="F13625" s="17" t="n">
        <v>387249</v>
      </c>
    </row>
    <row r="13627">
      <c r="A13627" s="14" t="inlineStr">
        <is>
          <t>KODE: 6.4.3.9 - Pemasangan 1 m pipa PPR PN 10, DN. 4" (100 mm)</t>
        </is>
      </c>
    </row>
    <row r="13628">
      <c r="A13628" s="10" t="inlineStr">
        <is>
          <t>No</t>
        </is>
      </c>
      <c r="B13628" s="10" t="inlineStr">
        <is>
          <t>Uraian Komponen</t>
        </is>
      </c>
      <c r="C13628" s="10" t="inlineStr">
        <is>
          <t>Satuan</t>
        </is>
      </c>
      <c r="D13628" s="10" t="inlineStr">
        <is>
          <t>Koef</t>
        </is>
      </c>
      <c r="E13628" s="10" t="inlineStr">
        <is>
          <t>Harga Satuan (Rp)</t>
        </is>
      </c>
      <c r="F13628" s="10" t="inlineStr">
        <is>
          <t>Jumlah Harga (Rp)</t>
        </is>
      </c>
    </row>
    <row r="13629">
      <c r="A13629" s="3" t="inlineStr">
        <is>
          <t>1</t>
        </is>
      </c>
      <c r="B13629" s="3" t="inlineStr">
        <is>
          <t>Pekerja</t>
        </is>
      </c>
      <c r="C13629" s="3" t="inlineStr">
        <is>
          <t>OH</t>
        </is>
      </c>
      <c r="D13629" s="15" t="n">
        <v>0.173</v>
      </c>
      <c r="E13629" s="4" t="n">
        <v>100000</v>
      </c>
      <c r="F13629" s="4" t="n">
        <v>17300</v>
      </c>
    </row>
    <row r="13630">
      <c r="A13630" s="3" t="inlineStr">
        <is>
          <t>2</t>
        </is>
      </c>
      <c r="B13630" s="3" t="inlineStr">
        <is>
          <t>Tukang pipa</t>
        </is>
      </c>
      <c r="C13630" s="3" t="inlineStr">
        <is>
          <t>OH</t>
        </is>
      </c>
      <c r="D13630" s="15" t="n">
        <v>0.289</v>
      </c>
      <c r="E13630" s="4" t="n">
        <v>145000</v>
      </c>
      <c r="F13630" s="4" t="n">
        <v>41905</v>
      </c>
    </row>
    <row r="13631">
      <c r="A13631" s="3" t="inlineStr">
        <is>
          <t>3</t>
        </is>
      </c>
      <c r="B13631" s="3" t="inlineStr">
        <is>
          <t>Kepala tukang</t>
        </is>
      </c>
      <c r="C13631" s="3" t="inlineStr">
        <is>
          <t>OH</t>
        </is>
      </c>
      <c r="D13631" s="15" t="n">
        <v>0.029</v>
      </c>
      <c r="E13631" s="4" t="n">
        <v>175000</v>
      </c>
      <c r="F13631" s="4" t="n">
        <v>5075</v>
      </c>
    </row>
    <row r="13632">
      <c r="A13632" s="3" t="inlineStr">
        <is>
          <t>4</t>
        </is>
      </c>
      <c r="B13632" s="3" t="inlineStr">
        <is>
          <t>Mandor</t>
        </is>
      </c>
      <c r="C13632" s="3" t="inlineStr">
        <is>
          <t>OH</t>
        </is>
      </c>
      <c r="D13632" s="15" t="n">
        <v>0.008999999999999999</v>
      </c>
      <c r="E13632" s="4" t="n">
        <v>200000</v>
      </c>
      <c r="F13632" s="4" t="n">
        <v>1800</v>
      </c>
    </row>
    <row r="13633">
      <c r="A13633" s="3" t="inlineStr">
        <is>
          <t>1</t>
        </is>
      </c>
      <c r="B13633" s="3" t="inlineStr">
        <is>
          <t>"Pipa PPR PN 10 ; DN. 4"" (100 mm) + fitting &amp; aksesoris"</t>
        </is>
      </c>
      <c r="C13633" s="3" t="inlineStr">
        <is>
          <t>m'</t>
        </is>
      </c>
      <c r="D13633" s="15" t="n">
        <v>1.65</v>
      </c>
      <c r="E13633" s="4" t="n">
        <v>276600</v>
      </c>
      <c r="F13633" s="4" t="n">
        <v>456390</v>
      </c>
    </row>
    <row r="13634">
      <c r="D13634" s="2" t="inlineStr">
        <is>
          <t>SUBTOTAL UPAH</t>
        </is>
      </c>
      <c r="F13634" s="16" t="n">
        <v>66080</v>
      </c>
    </row>
    <row r="13635">
      <c r="D13635" s="2" t="inlineStr">
        <is>
          <t>SUBTOTAL BAHAN</t>
        </is>
      </c>
      <c r="F13635" s="16" t="n">
        <v>456390</v>
      </c>
    </row>
    <row r="13636">
      <c r="D13636" s="2" t="inlineStr">
        <is>
          <t>SUBTOTAL ALAT</t>
        </is>
      </c>
      <c r="F13636" s="16" t="n">
        <v>0</v>
      </c>
    </row>
    <row r="13637">
      <c r="E13637" s="2" t="inlineStr">
        <is>
          <t>TOTAL HARGA SATUAN (Inc. Overhead)</t>
        </is>
      </c>
      <c r="F13637" s="17" t="n">
        <v>574717</v>
      </c>
    </row>
    <row r="13639">
      <c r="A13639" s="14" t="inlineStr">
        <is>
          <t>KODE: 6.4.3.10 - Pemasangan 1 m pipa PPR PN 10, DN. 6" (150 mm)</t>
        </is>
      </c>
    </row>
    <row r="13640">
      <c r="A13640" s="10" t="inlineStr">
        <is>
          <t>No</t>
        </is>
      </c>
      <c r="B13640" s="10" t="inlineStr">
        <is>
          <t>Uraian Komponen</t>
        </is>
      </c>
      <c r="C13640" s="10" t="inlineStr">
        <is>
          <t>Satuan</t>
        </is>
      </c>
      <c r="D13640" s="10" t="inlineStr">
        <is>
          <t>Koef</t>
        </is>
      </c>
      <c r="E13640" s="10" t="inlineStr">
        <is>
          <t>Harga Satuan (Rp)</t>
        </is>
      </c>
      <c r="F13640" s="10" t="inlineStr">
        <is>
          <t>Jumlah Harga (Rp)</t>
        </is>
      </c>
    </row>
    <row r="13641">
      <c r="A13641" s="3" t="inlineStr">
        <is>
          <t>1</t>
        </is>
      </c>
      <c r="B13641" s="3" t="inlineStr">
        <is>
          <t>Pekerja</t>
        </is>
      </c>
      <c r="C13641" s="3" t="inlineStr">
        <is>
          <t>OH</t>
        </is>
      </c>
      <c r="D13641" s="15" t="n">
        <v>0.26</v>
      </c>
      <c r="E13641" s="4" t="n">
        <v>100000</v>
      </c>
      <c r="F13641" s="4" t="n">
        <v>26000</v>
      </c>
    </row>
    <row r="13642">
      <c r="A13642" s="3" t="inlineStr">
        <is>
          <t>2</t>
        </is>
      </c>
      <c r="B13642" s="3" t="inlineStr">
        <is>
          <t>Tukang pipa</t>
        </is>
      </c>
      <c r="C13642" s="3" t="inlineStr">
        <is>
          <t>OH</t>
        </is>
      </c>
      <c r="D13642" s="15" t="n">
        <v>0.435</v>
      </c>
      <c r="E13642" s="4" t="n">
        <v>145000</v>
      </c>
      <c r="F13642" s="4" t="n">
        <v>63075</v>
      </c>
    </row>
    <row r="13643">
      <c r="A13643" s="3" t="inlineStr">
        <is>
          <t>3</t>
        </is>
      </c>
      <c r="B13643" s="3" t="inlineStr">
        <is>
          <t>Kepala tukang</t>
        </is>
      </c>
      <c r="C13643" s="3" t="inlineStr">
        <is>
          <t>OH</t>
        </is>
      </c>
      <c r="D13643" s="15" t="n">
        <v>0.043</v>
      </c>
      <c r="E13643" s="4" t="n">
        <v>175000</v>
      </c>
      <c r="F13643" s="4" t="n">
        <v>7524.999999999999</v>
      </c>
    </row>
    <row r="13644">
      <c r="A13644" s="3" t="inlineStr">
        <is>
          <t>4</t>
        </is>
      </c>
      <c r="B13644" s="3" t="inlineStr">
        <is>
          <t>Mandor</t>
        </is>
      </c>
      <c r="C13644" s="3" t="inlineStr">
        <is>
          <t>OH</t>
        </is>
      </c>
      <c r="D13644" s="15" t="n">
        <v>0.013</v>
      </c>
      <c r="E13644" s="4" t="n">
        <v>200000</v>
      </c>
      <c r="F13644" s="4" t="n">
        <v>2600</v>
      </c>
    </row>
    <row r="13645">
      <c r="A13645" s="3" t="inlineStr">
        <is>
          <t>1</t>
        </is>
      </c>
      <c r="B13645" s="3" t="inlineStr">
        <is>
          <t>"Pipa PPR PN 10 ; DN. 6"" (150 mm) + fitting &amp; aksesoris"</t>
        </is>
      </c>
      <c r="C13645" s="3" t="inlineStr">
        <is>
          <t>m'</t>
        </is>
      </c>
      <c r="D13645" s="15" t="n">
        <v>1.65</v>
      </c>
      <c r="E13645" s="4" t="n">
        <v>930500</v>
      </c>
      <c r="F13645" s="4" t="n">
        <v>1535325</v>
      </c>
    </row>
    <row r="13646">
      <c r="D13646" s="2" t="inlineStr">
        <is>
          <t>SUBTOTAL UPAH</t>
        </is>
      </c>
      <c r="F13646" s="16" t="n">
        <v>99200</v>
      </c>
    </row>
    <row r="13647">
      <c r="D13647" s="2" t="inlineStr">
        <is>
          <t>SUBTOTAL BAHAN</t>
        </is>
      </c>
      <c r="F13647" s="16" t="n">
        <v>1535325</v>
      </c>
    </row>
    <row r="13648">
      <c r="D13648" s="2" t="inlineStr">
        <is>
          <t>SUBTOTAL ALAT</t>
        </is>
      </c>
      <c r="F13648" s="16" t="n">
        <v>0</v>
      </c>
    </row>
    <row r="13649">
      <c r="E13649" s="2" t="inlineStr">
        <is>
          <t>TOTAL HARGA SATUAN (Inc. Overhead)</t>
        </is>
      </c>
      <c r="F13649" s="17" t="n">
        <v>1797977</v>
      </c>
    </row>
    <row r="13651">
      <c r="A13651" s="14" t="inlineStr">
        <is>
          <t>KODE: 6.4.3.11 - Pemasangan 1 m pipa PPR PN 20, DN. 1/2" (15 mm)</t>
        </is>
      </c>
    </row>
    <row r="13652">
      <c r="A13652" s="10" t="inlineStr">
        <is>
          <t>No</t>
        </is>
      </c>
      <c r="B13652" s="10" t="inlineStr">
        <is>
          <t>Uraian Komponen</t>
        </is>
      </c>
      <c r="C13652" s="10" t="inlineStr">
        <is>
          <t>Satuan</t>
        </is>
      </c>
      <c r="D13652" s="10" t="inlineStr">
        <is>
          <t>Koef</t>
        </is>
      </c>
      <c r="E13652" s="10" t="inlineStr">
        <is>
          <t>Harga Satuan (Rp)</t>
        </is>
      </c>
      <c r="F13652" s="10" t="inlineStr">
        <is>
          <t>Jumlah Harga (Rp)</t>
        </is>
      </c>
    </row>
    <row r="13653">
      <c r="A13653" s="3" t="inlineStr">
        <is>
          <t>1</t>
        </is>
      </c>
      <c r="B13653" s="3" t="inlineStr">
        <is>
          <t>Pekerja</t>
        </is>
      </c>
      <c r="C13653" s="3" t="inlineStr">
        <is>
          <t>OH</t>
        </is>
      </c>
      <c r="D13653" s="15" t="n">
        <v>0.021</v>
      </c>
      <c r="E13653" s="4" t="n">
        <v>100000</v>
      </c>
      <c r="F13653" s="4" t="n">
        <v>2100</v>
      </c>
    </row>
    <row r="13654">
      <c r="A13654" s="3" t="inlineStr">
        <is>
          <t>2</t>
        </is>
      </c>
      <c r="B13654" s="3" t="inlineStr">
        <is>
          <t>Tukang pipa</t>
        </is>
      </c>
      <c r="C13654" s="3" t="inlineStr">
        <is>
          <t>OH</t>
        </is>
      </c>
      <c r="D13654" s="15" t="n">
        <v>0.035</v>
      </c>
      <c r="E13654" s="4" t="n">
        <v>145000</v>
      </c>
      <c r="F13654" s="4" t="n">
        <v>5075.000000000001</v>
      </c>
    </row>
    <row r="13655">
      <c r="A13655" s="3" t="inlineStr">
        <is>
          <t>3</t>
        </is>
      </c>
      <c r="B13655" s="3" t="inlineStr">
        <is>
          <t>Kepala tukang</t>
        </is>
      </c>
      <c r="C13655" s="3" t="inlineStr">
        <is>
          <t>OH</t>
        </is>
      </c>
      <c r="D13655" s="15" t="n">
        <v>0.003</v>
      </c>
      <c r="E13655" s="4" t="n">
        <v>175000</v>
      </c>
      <c r="F13655" s="4" t="n">
        <v>525</v>
      </c>
    </row>
    <row r="13656">
      <c r="A13656" s="3" t="inlineStr">
        <is>
          <t>4</t>
        </is>
      </c>
      <c r="B13656" s="3" t="inlineStr">
        <is>
          <t>Mandor</t>
        </is>
      </c>
      <c r="C13656" s="3" t="inlineStr">
        <is>
          <t>OH</t>
        </is>
      </c>
      <c r="D13656" s="15" t="n">
        <v>0.001</v>
      </c>
      <c r="E13656" s="4" t="n">
        <v>200000</v>
      </c>
      <c r="F13656" s="4" t="n">
        <v>200</v>
      </c>
    </row>
    <row r="13657">
      <c r="A13657" s="3" t="inlineStr">
        <is>
          <t>1</t>
        </is>
      </c>
      <c r="B13657" s="3" t="inlineStr">
        <is>
          <t>"Pipa PPR PN 20 ; DN. 1/2"" (15 mm) + fitting &amp; aksesoris"</t>
        </is>
      </c>
      <c r="C13657" s="3" t="inlineStr">
        <is>
          <t>m'</t>
        </is>
      </c>
      <c r="D13657" s="15" t="n">
        <v>1.65</v>
      </c>
      <c r="E13657" s="4" t="n">
        <v>931000</v>
      </c>
      <c r="F13657" s="4" t="n">
        <v>1536150</v>
      </c>
    </row>
    <row r="13658">
      <c r="D13658" s="2" t="inlineStr">
        <is>
          <t>SUBTOTAL UPAH</t>
        </is>
      </c>
      <c r="F13658" s="16" t="n">
        <v>7900.000000000001</v>
      </c>
    </row>
    <row r="13659">
      <c r="D13659" s="2" t="inlineStr">
        <is>
          <t>SUBTOTAL BAHAN</t>
        </is>
      </c>
      <c r="F13659" s="16" t="n">
        <v>1536150</v>
      </c>
    </row>
    <row r="13660">
      <c r="D13660" s="2" t="inlineStr">
        <is>
          <t>SUBTOTAL ALAT</t>
        </is>
      </c>
      <c r="F13660" s="16" t="n">
        <v>0</v>
      </c>
    </row>
    <row r="13661">
      <c r="E13661" s="2" t="inlineStr">
        <is>
          <t>TOTAL HARGA SATUAN (Inc. Overhead)</t>
        </is>
      </c>
      <c r="F13661" s="17" t="n">
        <v>1698455</v>
      </c>
    </row>
    <row r="13663">
      <c r="A13663" s="14" t="inlineStr">
        <is>
          <t>KODE: 6.4.3.12 - Pemasangan 1 m pipa PPR PN 20, DN. 3/4" (20 mm)</t>
        </is>
      </c>
    </row>
    <row r="13664">
      <c r="A13664" s="10" t="inlineStr">
        <is>
          <t>No</t>
        </is>
      </c>
      <c r="B13664" s="10" t="inlineStr">
        <is>
          <t>Uraian Komponen</t>
        </is>
      </c>
      <c r="C13664" s="10" t="inlineStr">
        <is>
          <t>Satuan</t>
        </is>
      </c>
      <c r="D13664" s="10" t="inlineStr">
        <is>
          <t>Koef</t>
        </is>
      </c>
      <c r="E13664" s="10" t="inlineStr">
        <is>
          <t>Harga Satuan (Rp)</t>
        </is>
      </c>
      <c r="F13664" s="10" t="inlineStr">
        <is>
          <t>Jumlah Harga (Rp)</t>
        </is>
      </c>
    </row>
    <row r="13665">
      <c r="A13665" s="3" t="inlineStr">
        <is>
          <t>1</t>
        </is>
      </c>
      <c r="B13665" s="3" t="inlineStr">
        <is>
          <t>Pekerja</t>
        </is>
      </c>
      <c r="C13665" s="3" t="inlineStr">
        <is>
          <t>OH</t>
        </is>
      </c>
      <c r="D13665" s="15" t="n">
        <v>0.031</v>
      </c>
      <c r="E13665" s="4" t="n">
        <v>100000</v>
      </c>
      <c r="F13665" s="4" t="n">
        <v>3100</v>
      </c>
    </row>
    <row r="13666">
      <c r="A13666" s="3" t="inlineStr">
        <is>
          <t>2</t>
        </is>
      </c>
      <c r="B13666" s="3" t="inlineStr">
        <is>
          <t>Tukang pipa</t>
        </is>
      </c>
      <c r="C13666" s="3" t="inlineStr">
        <is>
          <t>OH</t>
        </is>
      </c>
      <c r="D13666" s="15" t="n">
        <v>0.052</v>
      </c>
      <c r="E13666" s="4" t="n">
        <v>145000</v>
      </c>
      <c r="F13666" s="4" t="n">
        <v>7540</v>
      </c>
    </row>
    <row r="13667">
      <c r="A13667" s="3" t="inlineStr">
        <is>
          <t>3</t>
        </is>
      </c>
      <c r="B13667" s="3" t="inlineStr">
        <is>
          <t>Kepala tukang</t>
        </is>
      </c>
      <c r="C13667" s="3" t="inlineStr">
        <is>
          <t>OH</t>
        </is>
      </c>
      <c r="D13667" s="15" t="n">
        <v>0.005</v>
      </c>
      <c r="E13667" s="4" t="n">
        <v>175000</v>
      </c>
      <c r="F13667" s="4" t="n">
        <v>875</v>
      </c>
    </row>
    <row r="13668">
      <c r="A13668" s="3" t="inlineStr">
        <is>
          <t>4</t>
        </is>
      </c>
      <c r="B13668" s="3" t="inlineStr">
        <is>
          <t>Mandor</t>
        </is>
      </c>
      <c r="C13668" s="3" t="inlineStr">
        <is>
          <t>OH</t>
        </is>
      </c>
      <c r="D13668" s="15" t="n">
        <v>0.002</v>
      </c>
      <c r="E13668" s="4" t="n">
        <v>200000</v>
      </c>
      <c r="F13668" s="4" t="n">
        <v>400</v>
      </c>
    </row>
    <row r="13669">
      <c r="A13669" s="3" t="inlineStr">
        <is>
          <t>1</t>
        </is>
      </c>
      <c r="B13669" s="3" t="inlineStr">
        <is>
          <t>"Pipa PPR PN 20 ; DN. 3/4"" (20 mm) + fitting &amp; aksesoris"</t>
        </is>
      </c>
      <c r="C13669" s="3" t="inlineStr">
        <is>
          <t>m'</t>
        </is>
      </c>
      <c r="D13669" s="15" t="n">
        <v>1.65</v>
      </c>
      <c r="E13669" s="4" t="n">
        <v>29000</v>
      </c>
      <c r="F13669" s="4" t="n">
        <v>47850</v>
      </c>
    </row>
    <row r="13670">
      <c r="D13670" s="2" t="inlineStr">
        <is>
          <t>SUBTOTAL UPAH</t>
        </is>
      </c>
      <c r="F13670" s="16" t="n">
        <v>11915</v>
      </c>
    </row>
    <row r="13671">
      <c r="D13671" s="2" t="inlineStr">
        <is>
          <t>SUBTOTAL BAHAN</t>
        </is>
      </c>
      <c r="F13671" s="16" t="n">
        <v>47850</v>
      </c>
    </row>
    <row r="13672">
      <c r="D13672" s="2" t="inlineStr">
        <is>
          <t>SUBTOTAL ALAT</t>
        </is>
      </c>
      <c r="F13672" s="16" t="n">
        <v>0</v>
      </c>
    </row>
    <row r="13673">
      <c r="E13673" s="2" t="inlineStr">
        <is>
          <t>TOTAL HARGA SATUAN (Inc. Overhead)</t>
        </is>
      </c>
      <c r="F13673" s="17" t="n">
        <v>65741</v>
      </c>
    </row>
    <row r="13675">
      <c r="A13675" s="14" t="inlineStr">
        <is>
          <t>KODE: 6.4.3.13 - Pemasangan 1 m pipa PPR PN 20, DN. 1" (25 mm)</t>
        </is>
      </c>
    </row>
    <row r="13676">
      <c r="A13676" s="10" t="inlineStr">
        <is>
          <t>No</t>
        </is>
      </c>
      <c r="B13676" s="10" t="inlineStr">
        <is>
          <t>Uraian Komponen</t>
        </is>
      </c>
      <c r="C13676" s="10" t="inlineStr">
        <is>
          <t>Satuan</t>
        </is>
      </c>
      <c r="D13676" s="10" t="inlineStr">
        <is>
          <t>Koef</t>
        </is>
      </c>
      <c r="E13676" s="10" t="inlineStr">
        <is>
          <t>Harga Satuan (Rp)</t>
        </is>
      </c>
      <c r="F13676" s="10" t="inlineStr">
        <is>
          <t>Jumlah Harga (Rp)</t>
        </is>
      </c>
    </row>
    <row r="13677">
      <c r="A13677" s="3" t="inlineStr">
        <is>
          <t>1</t>
        </is>
      </c>
      <c r="B13677" s="3" t="inlineStr">
        <is>
          <t>Pekerja</t>
        </is>
      </c>
      <c r="C13677" s="3" t="inlineStr">
        <is>
          <t>OH</t>
        </is>
      </c>
      <c r="D13677" s="15" t="n">
        <v>0.044</v>
      </c>
      <c r="E13677" s="4" t="n">
        <v>100000</v>
      </c>
      <c r="F13677" s="4" t="n">
        <v>4400</v>
      </c>
    </row>
    <row r="13678">
      <c r="A13678" s="3" t="inlineStr">
        <is>
          <t>2</t>
        </is>
      </c>
      <c r="B13678" s="3" t="inlineStr">
        <is>
          <t>Tukang pipa</t>
        </is>
      </c>
      <c r="C13678" s="3" t="inlineStr">
        <is>
          <t>OH</t>
        </is>
      </c>
      <c r="D13678" s="15" t="n">
        <v>0.073</v>
      </c>
      <c r="E13678" s="4" t="n">
        <v>145000</v>
      </c>
      <c r="F13678" s="4" t="n">
        <v>10585</v>
      </c>
    </row>
    <row r="13679">
      <c r="A13679" s="3" t="inlineStr">
        <is>
          <t>3</t>
        </is>
      </c>
      <c r="B13679" s="3" t="inlineStr">
        <is>
          <t>Kepala tukang</t>
        </is>
      </c>
      <c r="C13679" s="3" t="inlineStr">
        <is>
          <t>OH</t>
        </is>
      </c>
      <c r="D13679" s="15" t="n">
        <v>0.007</v>
      </c>
      <c r="E13679" s="4" t="n">
        <v>175000</v>
      </c>
      <c r="F13679" s="4" t="n">
        <v>1225</v>
      </c>
    </row>
    <row r="13680">
      <c r="A13680" s="3" t="inlineStr">
        <is>
          <t>4</t>
        </is>
      </c>
      <c r="B13680" s="3" t="inlineStr">
        <is>
          <t>Mandor</t>
        </is>
      </c>
      <c r="C13680" s="3" t="inlineStr">
        <is>
          <t>OH</t>
        </is>
      </c>
      <c r="D13680" s="15" t="n">
        <v>0.002</v>
      </c>
      <c r="E13680" s="4" t="n">
        <v>200000</v>
      </c>
      <c r="F13680" s="4" t="n">
        <v>400</v>
      </c>
    </row>
    <row r="13681">
      <c r="A13681" s="3" t="inlineStr">
        <is>
          <t>1</t>
        </is>
      </c>
      <c r="B13681" s="3" t="inlineStr">
        <is>
          <t>"Pipa PPR PN 20 ; DN. 1"" (25 mm) + fitting &amp; aksesoris"</t>
        </is>
      </c>
      <c r="C13681" s="3" t="inlineStr">
        <is>
          <t>m'</t>
        </is>
      </c>
      <c r="D13681" s="15" t="n">
        <v>1.65</v>
      </c>
      <c r="E13681" s="4" t="n">
        <v>44000</v>
      </c>
      <c r="F13681" s="4" t="n">
        <v>72600</v>
      </c>
    </row>
    <row r="13682">
      <c r="D13682" s="2" t="inlineStr">
        <is>
          <t>SUBTOTAL UPAH</t>
        </is>
      </c>
      <c r="F13682" s="16" t="n">
        <v>16610</v>
      </c>
    </row>
    <row r="13683">
      <c r="D13683" s="2" t="inlineStr">
        <is>
          <t>SUBTOTAL BAHAN</t>
        </is>
      </c>
      <c r="F13683" s="16" t="n">
        <v>72600</v>
      </c>
    </row>
    <row r="13684">
      <c r="D13684" s="2" t="inlineStr">
        <is>
          <t>SUBTOTAL ALAT</t>
        </is>
      </c>
      <c r="F13684" s="16" t="n">
        <v>0</v>
      </c>
    </row>
    <row r="13685">
      <c r="E13685" s="2" t="inlineStr">
        <is>
          <t>TOTAL HARGA SATUAN (Inc. Overhead)</t>
        </is>
      </c>
      <c r="F13685" s="17" t="n">
        <v>98131</v>
      </c>
    </row>
    <row r="13687">
      <c r="A13687" s="14" t="inlineStr">
        <is>
          <t>KODE: 6.4.3.14 - Pemasangan 1 m pipa PPR PN 20, DN. 1-1/4" (32 mm)</t>
        </is>
      </c>
    </row>
    <row r="13688">
      <c r="A13688" s="10" t="inlineStr">
        <is>
          <t>No</t>
        </is>
      </c>
      <c r="B13688" s="10" t="inlineStr">
        <is>
          <t>Uraian Komponen</t>
        </is>
      </c>
      <c r="C13688" s="10" t="inlineStr">
        <is>
          <t>Satuan</t>
        </is>
      </c>
      <c r="D13688" s="10" t="inlineStr">
        <is>
          <t>Koef</t>
        </is>
      </c>
      <c r="E13688" s="10" t="inlineStr">
        <is>
          <t>Harga Satuan (Rp)</t>
        </is>
      </c>
      <c r="F13688" s="10" t="inlineStr">
        <is>
          <t>Jumlah Harga (Rp)</t>
        </is>
      </c>
    </row>
    <row r="13689">
      <c r="A13689" s="3" t="inlineStr">
        <is>
          <t>1</t>
        </is>
      </c>
      <c r="B13689" s="3" t="inlineStr">
        <is>
          <t>Pekerja</t>
        </is>
      </c>
      <c r="C13689" s="3" t="inlineStr">
        <is>
          <t>OH</t>
        </is>
      </c>
      <c r="D13689" s="15" t="n">
        <v>0.054</v>
      </c>
      <c r="E13689" s="4" t="n">
        <v>100000</v>
      </c>
      <c r="F13689" s="4" t="n">
        <v>5400</v>
      </c>
    </row>
    <row r="13690">
      <c r="A13690" s="3" t="inlineStr">
        <is>
          <t>2</t>
        </is>
      </c>
      <c r="B13690" s="3" t="inlineStr">
        <is>
          <t>Tukang pipa</t>
        </is>
      </c>
      <c r="C13690" s="3" t="inlineStr">
        <is>
          <t>OH</t>
        </is>
      </c>
      <c r="D13690" s="15" t="n">
        <v>0.09</v>
      </c>
      <c r="E13690" s="4" t="n">
        <v>145000</v>
      </c>
      <c r="F13690" s="4" t="n">
        <v>13050</v>
      </c>
    </row>
    <row r="13691">
      <c r="A13691" s="3" t="inlineStr">
        <is>
          <t>3</t>
        </is>
      </c>
      <c r="B13691" s="3" t="inlineStr">
        <is>
          <t>Kepala tukang</t>
        </is>
      </c>
      <c r="C13691" s="3" t="inlineStr">
        <is>
          <t>OH</t>
        </is>
      </c>
      <c r="D13691" s="15" t="n">
        <v>0.008999999999999999</v>
      </c>
      <c r="E13691" s="4" t="n">
        <v>175000</v>
      </c>
      <c r="F13691" s="4" t="n">
        <v>1575</v>
      </c>
    </row>
    <row r="13692">
      <c r="A13692" s="3" t="inlineStr">
        <is>
          <t>4</t>
        </is>
      </c>
      <c r="B13692" s="3" t="inlineStr">
        <is>
          <t>Mandor</t>
        </is>
      </c>
      <c r="C13692" s="3" t="inlineStr">
        <is>
          <t>OH</t>
        </is>
      </c>
      <c r="D13692" s="15" t="n">
        <v>0.003</v>
      </c>
      <c r="E13692" s="4" t="n">
        <v>200000</v>
      </c>
      <c r="F13692" s="4" t="n">
        <v>600</v>
      </c>
    </row>
    <row r="13693">
      <c r="A13693" s="3" t="inlineStr">
        <is>
          <t>1</t>
        </is>
      </c>
      <c r="B13693" s="3" t="inlineStr">
        <is>
          <t>"Pipa PPR PN 20 ; DN. 1-1/4"" (32 mm) + fitting &amp; aksesoris"</t>
        </is>
      </c>
      <c r="C13693" s="3" t="inlineStr">
        <is>
          <t>m'</t>
        </is>
      </c>
      <c r="D13693" s="15" t="n">
        <v>1.65</v>
      </c>
      <c r="E13693" s="4" t="n">
        <v>65000</v>
      </c>
      <c r="F13693" s="4" t="n">
        <v>107250</v>
      </c>
    </row>
    <row r="13694">
      <c r="D13694" s="2" t="inlineStr">
        <is>
          <t>SUBTOTAL UPAH</t>
        </is>
      </c>
      <c r="F13694" s="16" t="n">
        <v>20625</v>
      </c>
    </row>
    <row r="13695">
      <c r="D13695" s="2" t="inlineStr">
        <is>
          <t>SUBTOTAL BAHAN</t>
        </is>
      </c>
      <c r="F13695" s="16" t="n">
        <v>107250</v>
      </c>
    </row>
    <row r="13696">
      <c r="D13696" s="2" t="inlineStr">
        <is>
          <t>SUBTOTAL ALAT</t>
        </is>
      </c>
      <c r="F13696" s="16" t="n">
        <v>0</v>
      </c>
    </row>
    <row r="13697">
      <c r="E13697" s="2" t="inlineStr">
        <is>
          <t>TOTAL HARGA SATUAN (Inc. Overhead)</t>
        </is>
      </c>
      <c r="F13697" s="17" t="n">
        <v>140662</v>
      </c>
    </row>
    <row r="13699">
      <c r="A13699" s="14" t="inlineStr">
        <is>
          <t>KODE: 6.4.3.15 - Pemasangan 1 m pipa PPR PN 20, DN. 1-1/2" (40 mm)</t>
        </is>
      </c>
    </row>
    <row r="13700">
      <c r="A13700" s="10" t="inlineStr">
        <is>
          <t>No</t>
        </is>
      </c>
      <c r="B13700" s="10" t="inlineStr">
        <is>
          <t>Uraian Komponen</t>
        </is>
      </c>
      <c r="C13700" s="10" t="inlineStr">
        <is>
          <t>Satuan</t>
        </is>
      </c>
      <c r="D13700" s="10" t="inlineStr">
        <is>
          <t>Koef</t>
        </is>
      </c>
      <c r="E13700" s="10" t="inlineStr">
        <is>
          <t>Harga Satuan (Rp)</t>
        </is>
      </c>
      <c r="F13700" s="10" t="inlineStr">
        <is>
          <t>Jumlah Harga (Rp)</t>
        </is>
      </c>
    </row>
    <row r="13701">
      <c r="A13701" s="3" t="inlineStr">
        <is>
          <t>1</t>
        </is>
      </c>
      <c r="B13701" s="3" t="inlineStr">
        <is>
          <t>Pekerja</t>
        </is>
      </c>
      <c r="C13701" s="3" t="inlineStr">
        <is>
          <t>OH</t>
        </is>
      </c>
      <c r="D13701" s="15" t="n">
        <v>0.065</v>
      </c>
      <c r="E13701" s="4" t="n">
        <v>100000</v>
      </c>
      <c r="F13701" s="4" t="n">
        <v>6500</v>
      </c>
    </row>
    <row r="13702">
      <c r="A13702" s="3" t="inlineStr">
        <is>
          <t>2</t>
        </is>
      </c>
      <c r="B13702" s="3" t="inlineStr">
        <is>
          <t>Tukang pipa</t>
        </is>
      </c>
      <c r="C13702" s="3" t="inlineStr">
        <is>
          <t>OH</t>
        </is>
      </c>
      <c r="D13702" s="15" t="n">
        <v>0.108</v>
      </c>
      <c r="E13702" s="4" t="n">
        <v>145000</v>
      </c>
      <c r="F13702" s="4" t="n">
        <v>15660</v>
      </c>
    </row>
    <row r="13703">
      <c r="A13703" s="3" t="inlineStr">
        <is>
          <t>3</t>
        </is>
      </c>
      <c r="B13703" s="3" t="inlineStr">
        <is>
          <t>Kepala tukang</t>
        </is>
      </c>
      <c r="C13703" s="3" t="inlineStr">
        <is>
          <t>OH</t>
        </is>
      </c>
      <c r="D13703" s="15" t="n">
        <v>0.011</v>
      </c>
      <c r="E13703" s="4" t="n">
        <v>175000</v>
      </c>
      <c r="F13703" s="4" t="n">
        <v>1925</v>
      </c>
    </row>
    <row r="13704">
      <c r="A13704" s="3" t="inlineStr">
        <is>
          <t>4</t>
        </is>
      </c>
      <c r="B13704" s="3" t="inlineStr">
        <is>
          <t>Mandor</t>
        </is>
      </c>
      <c r="C13704" s="3" t="inlineStr">
        <is>
          <t>OH</t>
        </is>
      </c>
      <c r="D13704" s="15" t="n">
        <v>0.003</v>
      </c>
      <c r="E13704" s="4" t="n">
        <v>200000</v>
      </c>
      <c r="F13704" s="4" t="n">
        <v>600</v>
      </c>
    </row>
    <row r="13705">
      <c r="A13705" s="3" t="inlineStr">
        <is>
          <t>1</t>
        </is>
      </c>
      <c r="B13705" s="3" t="inlineStr">
        <is>
          <t>"Pipa PPR PN 20 ; DN. 1-1/2"" (40 mm) + fitting &amp; aksesoris"</t>
        </is>
      </c>
      <c r="C13705" s="3" t="inlineStr">
        <is>
          <t>m'</t>
        </is>
      </c>
      <c r="D13705" s="15" t="n">
        <v>1.65</v>
      </c>
      <c r="E13705" s="4" t="n">
        <v>98500</v>
      </c>
      <c r="F13705" s="4" t="n">
        <v>162525</v>
      </c>
    </row>
    <row r="13706">
      <c r="D13706" s="2" t="inlineStr">
        <is>
          <t>SUBTOTAL UPAH</t>
        </is>
      </c>
      <c r="F13706" s="16" t="n">
        <v>24685</v>
      </c>
    </row>
    <row r="13707">
      <c r="D13707" s="2" t="inlineStr">
        <is>
          <t>SUBTOTAL BAHAN</t>
        </is>
      </c>
      <c r="F13707" s="16" t="n">
        <v>162525</v>
      </c>
    </row>
    <row r="13708">
      <c r="D13708" s="2" t="inlineStr">
        <is>
          <t>SUBTOTAL ALAT</t>
        </is>
      </c>
      <c r="F13708" s="16" t="n">
        <v>0</v>
      </c>
    </row>
    <row r="13709">
      <c r="E13709" s="2" t="inlineStr">
        <is>
          <t>TOTAL HARGA SATUAN (Inc. Overhead)</t>
        </is>
      </c>
      <c r="F13709" s="17" t="n">
        <v>205931</v>
      </c>
    </row>
    <row r="13711">
      <c r="A13711" s="14" t="inlineStr">
        <is>
          <t>KODE: 6.4.3.16 - Pemasangan 1 m pipa PPR PN 20, DN. 2" (50 mm)</t>
        </is>
      </c>
    </row>
    <row r="13712">
      <c r="A13712" s="10" t="inlineStr">
        <is>
          <t>No</t>
        </is>
      </c>
      <c r="B13712" s="10" t="inlineStr">
        <is>
          <t>Uraian Komponen</t>
        </is>
      </c>
      <c r="C13712" s="10" t="inlineStr">
        <is>
          <t>Satuan</t>
        </is>
      </c>
      <c r="D13712" s="10" t="inlineStr">
        <is>
          <t>Koef</t>
        </is>
      </c>
      <c r="E13712" s="10" t="inlineStr">
        <is>
          <t>Harga Satuan (Rp)</t>
        </is>
      </c>
      <c r="F13712" s="10" t="inlineStr">
        <is>
          <t>Jumlah Harga (Rp)</t>
        </is>
      </c>
    </row>
    <row r="13713">
      <c r="A13713" s="3" t="inlineStr">
        <is>
          <t>1</t>
        </is>
      </c>
      <c r="B13713" s="3" t="inlineStr">
        <is>
          <t>Pekerja</t>
        </is>
      </c>
      <c r="C13713" s="3" t="inlineStr">
        <is>
          <t>OH</t>
        </is>
      </c>
      <c r="D13713" s="15" t="n">
        <v>0.08799999999999999</v>
      </c>
      <c r="E13713" s="4" t="n">
        <v>100000</v>
      </c>
      <c r="F13713" s="4" t="n">
        <v>8800</v>
      </c>
    </row>
    <row r="13714">
      <c r="A13714" s="3" t="inlineStr">
        <is>
          <t>2</t>
        </is>
      </c>
      <c r="B13714" s="3" t="inlineStr">
        <is>
          <t>Tukang pipa</t>
        </is>
      </c>
      <c r="C13714" s="3" t="inlineStr">
        <is>
          <t>OH</t>
        </is>
      </c>
      <c r="D13714" s="15" t="n">
        <v>0.147</v>
      </c>
      <c r="E13714" s="4" t="n">
        <v>145000</v>
      </c>
      <c r="F13714" s="4" t="n">
        <v>21315</v>
      </c>
    </row>
    <row r="13715">
      <c r="A13715" s="3" t="inlineStr">
        <is>
          <t>3</t>
        </is>
      </c>
      <c r="B13715" s="3" t="inlineStr">
        <is>
          <t>Kepala tukang</t>
        </is>
      </c>
      <c r="C13715" s="3" t="inlineStr">
        <is>
          <t>OH</t>
        </is>
      </c>
      <c r="D13715" s="15" t="n">
        <v>0.015</v>
      </c>
      <c r="E13715" s="4" t="n">
        <v>175000</v>
      </c>
      <c r="F13715" s="4" t="n">
        <v>2625</v>
      </c>
    </row>
    <row r="13716">
      <c r="A13716" s="3" t="inlineStr">
        <is>
          <t>4</t>
        </is>
      </c>
      <c r="B13716" s="3" t="inlineStr">
        <is>
          <t>Mandor</t>
        </is>
      </c>
      <c r="C13716" s="3" t="inlineStr">
        <is>
          <t>OH</t>
        </is>
      </c>
      <c r="D13716" s="15" t="n">
        <v>0.004</v>
      </c>
      <c r="E13716" s="4" t="n">
        <v>200000</v>
      </c>
      <c r="F13716" s="4" t="n">
        <v>800</v>
      </c>
    </row>
    <row r="13717">
      <c r="A13717" s="3" t="inlineStr">
        <is>
          <t>1</t>
        </is>
      </c>
      <c r="B13717" s="3" t="inlineStr">
        <is>
          <t>"Pipa PPR PN 20 ; DN. 2"" (50 mm) + fitting &amp; aksesoris"</t>
        </is>
      </c>
      <c r="C13717" s="3" t="inlineStr">
        <is>
          <t>m'</t>
        </is>
      </c>
      <c r="D13717" s="15" t="n">
        <v>1.65</v>
      </c>
      <c r="E13717" s="4" t="n">
        <v>153000</v>
      </c>
      <c r="F13717" s="4" t="n">
        <v>252450</v>
      </c>
    </row>
    <row r="13718">
      <c r="D13718" s="2" t="inlineStr">
        <is>
          <t>SUBTOTAL UPAH</t>
        </is>
      </c>
      <c r="F13718" s="16" t="n">
        <v>33540</v>
      </c>
    </row>
    <row r="13719">
      <c r="D13719" s="2" t="inlineStr">
        <is>
          <t>SUBTOTAL BAHAN</t>
        </is>
      </c>
      <c r="F13719" s="16" t="n">
        <v>252450</v>
      </c>
    </row>
    <row r="13720">
      <c r="D13720" s="2" t="inlineStr">
        <is>
          <t>SUBTOTAL ALAT</t>
        </is>
      </c>
      <c r="F13720" s="16" t="n">
        <v>0</v>
      </c>
    </row>
    <row r="13721">
      <c r="E13721" s="2" t="inlineStr">
        <is>
          <t>TOTAL HARGA SATUAN (Inc. Overhead)</t>
        </is>
      </c>
      <c r="F13721" s="17" t="n">
        <v>314589</v>
      </c>
    </row>
    <row r="13723">
      <c r="A13723" s="14" t="inlineStr">
        <is>
          <t>KODE: 6.4.3.17 - Pemasangan 1 m pipa PPR PN 20, DN. 2-1/2" (65 mm)</t>
        </is>
      </c>
    </row>
    <row r="13724">
      <c r="A13724" s="10" t="inlineStr">
        <is>
          <t>No</t>
        </is>
      </c>
      <c r="B13724" s="10" t="inlineStr">
        <is>
          <t>Uraian Komponen</t>
        </is>
      </c>
      <c r="C13724" s="10" t="inlineStr">
        <is>
          <t>Satuan</t>
        </is>
      </c>
      <c r="D13724" s="10" t="inlineStr">
        <is>
          <t>Koef</t>
        </is>
      </c>
      <c r="E13724" s="10" t="inlineStr">
        <is>
          <t>Harga Satuan (Rp)</t>
        </is>
      </c>
      <c r="F13724" s="10" t="inlineStr">
        <is>
          <t>Jumlah Harga (Rp)</t>
        </is>
      </c>
    </row>
    <row r="13725">
      <c r="A13725" s="3" t="inlineStr">
        <is>
          <t>1</t>
        </is>
      </c>
      <c r="B13725" s="3" t="inlineStr">
        <is>
          <t>Pekerja</t>
        </is>
      </c>
      <c r="C13725" s="3" t="inlineStr">
        <is>
          <t>OH</t>
        </is>
      </c>
      <c r="D13725" s="15" t="n">
        <v>0.108</v>
      </c>
      <c r="E13725" s="4" t="n">
        <v>100000</v>
      </c>
      <c r="F13725" s="4" t="n">
        <v>10800</v>
      </c>
    </row>
    <row r="13726">
      <c r="A13726" s="3" t="inlineStr">
        <is>
          <t>2</t>
        </is>
      </c>
      <c r="B13726" s="3" t="inlineStr">
        <is>
          <t>Tukang pipa</t>
        </is>
      </c>
      <c r="C13726" s="3" t="inlineStr">
        <is>
          <t>OH</t>
        </is>
      </c>
      <c r="D13726" s="15" t="n">
        <v>0.181</v>
      </c>
      <c r="E13726" s="4" t="n">
        <v>145000</v>
      </c>
      <c r="F13726" s="4" t="n">
        <v>26245</v>
      </c>
    </row>
    <row r="13727">
      <c r="A13727" s="3" t="inlineStr">
        <is>
          <t>3</t>
        </is>
      </c>
      <c r="B13727" s="3" t="inlineStr">
        <is>
          <t>Kepala tukang</t>
        </is>
      </c>
      <c r="C13727" s="3" t="inlineStr">
        <is>
          <t>OH</t>
        </is>
      </c>
      <c r="D13727" s="15" t="n">
        <v>0.018</v>
      </c>
      <c r="E13727" s="4" t="n">
        <v>175000</v>
      </c>
      <c r="F13727" s="4" t="n">
        <v>3150</v>
      </c>
    </row>
    <row r="13728">
      <c r="A13728" s="3" t="inlineStr">
        <is>
          <t>4</t>
        </is>
      </c>
      <c r="B13728" s="3" t="inlineStr">
        <is>
          <t>Mandor</t>
        </is>
      </c>
      <c r="C13728" s="3" t="inlineStr">
        <is>
          <t>OH</t>
        </is>
      </c>
      <c r="D13728" s="15" t="n">
        <v>0.005</v>
      </c>
      <c r="E13728" s="4" t="n">
        <v>200000</v>
      </c>
      <c r="F13728" s="4" t="n">
        <v>1000</v>
      </c>
    </row>
    <row r="13729">
      <c r="A13729" s="3" t="inlineStr">
        <is>
          <t>1</t>
        </is>
      </c>
      <c r="B13729" s="3" t="inlineStr">
        <is>
          <t>"Pipa PPR PN 20 ; DN. 2-1/2"" (65 mm) + fitting &amp; aksesoris"</t>
        </is>
      </c>
      <c r="C13729" s="3" t="inlineStr">
        <is>
          <t>m'</t>
        </is>
      </c>
      <c r="D13729" s="15" t="n">
        <v>1.65</v>
      </c>
      <c r="E13729" s="4" t="n">
        <v>214500</v>
      </c>
      <c r="F13729" s="4" t="n">
        <v>353925</v>
      </c>
    </row>
    <row r="13730">
      <c r="D13730" s="2" t="inlineStr">
        <is>
          <t>SUBTOTAL UPAH</t>
        </is>
      </c>
      <c r="F13730" s="16" t="n">
        <v>41195</v>
      </c>
    </row>
    <row r="13731">
      <c r="D13731" s="2" t="inlineStr">
        <is>
          <t>SUBTOTAL BAHAN</t>
        </is>
      </c>
      <c r="F13731" s="16" t="n">
        <v>353925</v>
      </c>
    </row>
    <row r="13732">
      <c r="D13732" s="2" t="inlineStr">
        <is>
          <t>SUBTOTAL ALAT</t>
        </is>
      </c>
      <c r="F13732" s="16" t="n">
        <v>0</v>
      </c>
    </row>
    <row r="13733">
      <c r="E13733" s="2" t="inlineStr">
        <is>
          <t>TOTAL HARGA SATUAN (Inc. Overhead)</t>
        </is>
      </c>
      <c r="F13733" s="17" t="n">
        <v>434632</v>
      </c>
    </row>
    <row r="13735">
      <c r="A13735" s="14" t="inlineStr">
        <is>
          <t>KODE: 6.4.3.18 - Pemasangan 1 m pipa PPR PN 20, DN. 3" (80 mm)</t>
        </is>
      </c>
    </row>
    <row r="13736">
      <c r="A13736" s="10" t="inlineStr">
        <is>
          <t>No</t>
        </is>
      </c>
      <c r="B13736" s="10" t="inlineStr">
        <is>
          <t>Uraian Komponen</t>
        </is>
      </c>
      <c r="C13736" s="10" t="inlineStr">
        <is>
          <t>Satuan</t>
        </is>
      </c>
      <c r="D13736" s="10" t="inlineStr">
        <is>
          <t>Koef</t>
        </is>
      </c>
      <c r="E13736" s="10" t="inlineStr">
        <is>
          <t>Harga Satuan (Rp)</t>
        </is>
      </c>
      <c r="F13736" s="10" t="inlineStr">
        <is>
          <t>Jumlah Harga (Rp)</t>
        </is>
      </c>
    </row>
    <row r="13737">
      <c r="A13737" s="3" t="inlineStr">
        <is>
          <t>1</t>
        </is>
      </c>
      <c r="B13737" s="3" t="inlineStr">
        <is>
          <t>Pekerja</t>
        </is>
      </c>
      <c r="C13737" s="3" t="inlineStr">
        <is>
          <t>OH</t>
        </is>
      </c>
      <c r="D13737" s="15" t="n">
        <v>0.129</v>
      </c>
      <c r="E13737" s="4" t="n">
        <v>100000</v>
      </c>
      <c r="F13737" s="4" t="n">
        <v>12900</v>
      </c>
    </row>
    <row r="13738">
      <c r="A13738" s="3" t="inlineStr">
        <is>
          <t>2</t>
        </is>
      </c>
      <c r="B13738" s="3" t="inlineStr">
        <is>
          <t>Tukang pipa</t>
        </is>
      </c>
      <c r="C13738" s="3" t="inlineStr">
        <is>
          <t>OH</t>
        </is>
      </c>
      <c r="D13738" s="15" t="n">
        <v>0.216</v>
      </c>
      <c r="E13738" s="4" t="n">
        <v>145000</v>
      </c>
      <c r="F13738" s="4" t="n">
        <v>31320</v>
      </c>
    </row>
    <row r="13739">
      <c r="A13739" s="3" t="inlineStr">
        <is>
          <t>3</t>
        </is>
      </c>
      <c r="B13739" s="3" t="inlineStr">
        <is>
          <t>Kepala tukang</t>
        </is>
      </c>
      <c r="C13739" s="3" t="inlineStr">
        <is>
          <t>OH</t>
        </is>
      </c>
      <c r="D13739" s="15" t="n">
        <v>0.022</v>
      </c>
      <c r="E13739" s="4" t="n">
        <v>175000</v>
      </c>
      <c r="F13739" s="4" t="n">
        <v>3850</v>
      </c>
    </row>
    <row r="13740">
      <c r="A13740" s="3" t="inlineStr">
        <is>
          <t>4</t>
        </is>
      </c>
      <c r="B13740" s="3" t="inlineStr">
        <is>
          <t>Mandor</t>
        </is>
      </c>
      <c r="C13740" s="3" t="inlineStr">
        <is>
          <t>OH</t>
        </is>
      </c>
      <c r="D13740" s="15" t="n">
        <v>0.006</v>
      </c>
      <c r="E13740" s="4" t="n">
        <v>200000</v>
      </c>
      <c r="F13740" s="4" t="n">
        <v>1200</v>
      </c>
    </row>
    <row r="13741">
      <c r="A13741" s="3" t="inlineStr">
        <is>
          <t>1</t>
        </is>
      </c>
      <c r="B13741" s="3" t="inlineStr">
        <is>
          <t>"Pipa PPR PN 20 ; DN. 3"" (80 mm) + fitting &amp; aksesoris"</t>
        </is>
      </c>
      <c r="C13741" s="3" t="inlineStr">
        <is>
          <t>m'</t>
        </is>
      </c>
      <c r="D13741" s="15" t="n">
        <v>1.65</v>
      </c>
      <c r="E13741" s="4" t="n">
        <v>305500</v>
      </c>
      <c r="F13741" s="4" t="n">
        <v>504075</v>
      </c>
    </row>
    <row r="13742">
      <c r="D13742" s="2" t="inlineStr">
        <is>
          <t>SUBTOTAL UPAH</t>
        </is>
      </c>
      <c r="F13742" s="16" t="n">
        <v>49270</v>
      </c>
    </row>
    <row r="13743">
      <c r="D13743" s="2" t="inlineStr">
        <is>
          <t>SUBTOTAL BAHAN</t>
        </is>
      </c>
      <c r="F13743" s="16" t="n">
        <v>504075</v>
      </c>
    </row>
    <row r="13744">
      <c r="D13744" s="2" t="inlineStr">
        <is>
          <t>SUBTOTAL ALAT</t>
        </is>
      </c>
      <c r="F13744" s="16" t="n">
        <v>0</v>
      </c>
    </row>
    <row r="13745">
      <c r="E13745" s="2" t="inlineStr">
        <is>
          <t>TOTAL HARGA SATUAN (Inc. Overhead)</t>
        </is>
      </c>
      <c r="F13745" s="17" t="n">
        <v>608679</v>
      </c>
    </row>
    <row r="13747">
      <c r="A13747" s="14" t="inlineStr">
        <is>
          <t>KODE: 6.4.3.19 - Pemasangan 1 m pipa PPR PN 20, DN. 4" (100 mm)</t>
        </is>
      </c>
    </row>
    <row r="13748">
      <c r="A13748" s="10" t="inlineStr">
        <is>
          <t>No</t>
        </is>
      </c>
      <c r="B13748" s="10" t="inlineStr">
        <is>
          <t>Uraian Komponen</t>
        </is>
      </c>
      <c r="C13748" s="10" t="inlineStr">
        <is>
          <t>Satuan</t>
        </is>
      </c>
      <c r="D13748" s="10" t="inlineStr">
        <is>
          <t>Koef</t>
        </is>
      </c>
      <c r="E13748" s="10" t="inlineStr">
        <is>
          <t>Harga Satuan (Rp)</t>
        </is>
      </c>
      <c r="F13748" s="10" t="inlineStr">
        <is>
          <t>Jumlah Harga (Rp)</t>
        </is>
      </c>
    </row>
    <row r="13749">
      <c r="A13749" s="3" t="inlineStr">
        <is>
          <t>1</t>
        </is>
      </c>
      <c r="B13749" s="3" t="inlineStr">
        <is>
          <t>Pekerja</t>
        </is>
      </c>
      <c r="C13749" s="3" t="inlineStr">
        <is>
          <t>OH</t>
        </is>
      </c>
      <c r="D13749" s="15" t="n">
        <v>0.173</v>
      </c>
      <c r="E13749" s="4" t="n">
        <v>100000</v>
      </c>
      <c r="F13749" s="4" t="n">
        <v>17300</v>
      </c>
    </row>
    <row r="13750">
      <c r="A13750" s="3" t="inlineStr">
        <is>
          <t>2</t>
        </is>
      </c>
      <c r="B13750" s="3" t="inlineStr">
        <is>
          <t>Tukang pipa</t>
        </is>
      </c>
      <c r="C13750" s="3" t="inlineStr">
        <is>
          <t>OH</t>
        </is>
      </c>
      <c r="D13750" s="15" t="n">
        <v>0.289</v>
      </c>
      <c r="E13750" s="4" t="n">
        <v>145000</v>
      </c>
      <c r="F13750" s="4" t="n">
        <v>41905</v>
      </c>
    </row>
    <row r="13751">
      <c r="A13751" s="3" t="inlineStr">
        <is>
          <t>3</t>
        </is>
      </c>
      <c r="B13751" s="3" t="inlineStr">
        <is>
          <t>Kepala tukang</t>
        </is>
      </c>
      <c r="C13751" s="3" t="inlineStr">
        <is>
          <t>OH</t>
        </is>
      </c>
      <c r="D13751" s="15" t="n">
        <v>0.029</v>
      </c>
      <c r="E13751" s="4" t="n">
        <v>175000</v>
      </c>
      <c r="F13751" s="4" t="n">
        <v>5075</v>
      </c>
    </row>
    <row r="13752">
      <c r="A13752" s="3" t="inlineStr">
        <is>
          <t>4</t>
        </is>
      </c>
      <c r="B13752" s="3" t="inlineStr">
        <is>
          <t>Mandor</t>
        </is>
      </c>
      <c r="C13752" s="3" t="inlineStr">
        <is>
          <t>OH</t>
        </is>
      </c>
      <c r="D13752" s="15" t="n">
        <v>0.008999999999999999</v>
      </c>
      <c r="E13752" s="4" t="n">
        <v>200000</v>
      </c>
      <c r="F13752" s="4" t="n">
        <v>1800</v>
      </c>
    </row>
    <row r="13753">
      <c r="A13753" s="3" t="inlineStr">
        <is>
          <t>1</t>
        </is>
      </c>
      <c r="B13753" s="3" t="inlineStr">
        <is>
          <t>"Pipa PPR PN 20 ; DN. 4"" (100 mm) + fitting &amp; aksesoris"</t>
        </is>
      </c>
      <c r="C13753" s="3" t="inlineStr">
        <is>
          <t>m'</t>
        </is>
      </c>
      <c r="D13753" s="15" t="n">
        <v>1.65</v>
      </c>
      <c r="E13753" s="4" t="n">
        <v>454000</v>
      </c>
      <c r="F13753" s="4" t="n">
        <v>749100</v>
      </c>
    </row>
    <row r="13754">
      <c r="D13754" s="2" t="inlineStr">
        <is>
          <t>SUBTOTAL UPAH</t>
        </is>
      </c>
      <c r="F13754" s="16" t="n">
        <v>66080</v>
      </c>
    </row>
    <row r="13755">
      <c r="D13755" s="2" t="inlineStr">
        <is>
          <t>SUBTOTAL BAHAN</t>
        </is>
      </c>
      <c r="F13755" s="16" t="n">
        <v>749100</v>
      </c>
    </row>
    <row r="13756">
      <c r="D13756" s="2" t="inlineStr">
        <is>
          <t>SUBTOTAL ALAT</t>
        </is>
      </c>
      <c r="F13756" s="16" t="n">
        <v>0</v>
      </c>
    </row>
    <row r="13757">
      <c r="E13757" s="2" t="inlineStr">
        <is>
          <t>TOTAL HARGA SATUAN (Inc. Overhead)</t>
        </is>
      </c>
      <c r="F13757" s="17" t="n">
        <v>896698</v>
      </c>
    </row>
    <row r="13759">
      <c r="A13759" s="14" t="inlineStr">
        <is>
          <t>KODE: 6.4.3.20 - Pemasangan 1 m pipa PPR PN 20, DN. 6" (150 mm)</t>
        </is>
      </c>
    </row>
    <row r="13760">
      <c r="A13760" s="10" t="inlineStr">
        <is>
          <t>No</t>
        </is>
      </c>
      <c r="B13760" s="10" t="inlineStr">
        <is>
          <t>Uraian Komponen</t>
        </is>
      </c>
      <c r="C13760" s="10" t="inlineStr">
        <is>
          <t>Satuan</t>
        </is>
      </c>
      <c r="D13760" s="10" t="inlineStr">
        <is>
          <t>Koef</t>
        </is>
      </c>
      <c r="E13760" s="10" t="inlineStr">
        <is>
          <t>Harga Satuan (Rp)</t>
        </is>
      </c>
      <c r="F13760" s="10" t="inlineStr">
        <is>
          <t>Jumlah Harga (Rp)</t>
        </is>
      </c>
    </row>
    <row r="13761">
      <c r="A13761" s="3" t="inlineStr">
        <is>
          <t>1</t>
        </is>
      </c>
      <c r="B13761" s="3" t="inlineStr">
        <is>
          <t>Pekerja</t>
        </is>
      </c>
      <c r="C13761" s="3" t="inlineStr">
        <is>
          <t>OH</t>
        </is>
      </c>
      <c r="D13761" s="15" t="n">
        <v>0.26</v>
      </c>
      <c r="E13761" s="4" t="n">
        <v>100000</v>
      </c>
      <c r="F13761" s="4" t="n">
        <v>26000</v>
      </c>
    </row>
    <row r="13762">
      <c r="A13762" s="3" t="inlineStr">
        <is>
          <t>2</t>
        </is>
      </c>
      <c r="B13762" s="3" t="inlineStr">
        <is>
          <t>Tukang pipa</t>
        </is>
      </c>
      <c r="C13762" s="3" t="inlineStr">
        <is>
          <t>OH</t>
        </is>
      </c>
      <c r="D13762" s="15" t="n">
        <v>0.435</v>
      </c>
      <c r="E13762" s="4" t="n">
        <v>145000</v>
      </c>
      <c r="F13762" s="4" t="n">
        <v>63075</v>
      </c>
    </row>
    <row r="13763">
      <c r="A13763" s="3" t="inlineStr">
        <is>
          <t>3</t>
        </is>
      </c>
      <c r="B13763" s="3" t="inlineStr">
        <is>
          <t>Kepala tukang</t>
        </is>
      </c>
      <c r="C13763" s="3" t="inlineStr">
        <is>
          <t>OH</t>
        </is>
      </c>
      <c r="D13763" s="15" t="n">
        <v>0.043</v>
      </c>
      <c r="E13763" s="4" t="n">
        <v>175000</v>
      </c>
      <c r="F13763" s="4" t="n">
        <v>7524.999999999999</v>
      </c>
    </row>
    <row r="13764">
      <c r="A13764" s="3" t="inlineStr">
        <is>
          <t>4</t>
        </is>
      </c>
      <c r="B13764" s="3" t="inlineStr">
        <is>
          <t>Mandor</t>
        </is>
      </c>
      <c r="C13764" s="3" t="inlineStr">
        <is>
          <t>OH</t>
        </is>
      </c>
      <c r="D13764" s="15" t="n">
        <v>0.013</v>
      </c>
      <c r="E13764" s="4" t="n">
        <v>200000</v>
      </c>
      <c r="F13764" s="4" t="n">
        <v>2600</v>
      </c>
    </row>
    <row r="13765">
      <c r="A13765" s="3" t="inlineStr">
        <is>
          <t>1</t>
        </is>
      </c>
      <c r="B13765" s="3" t="inlineStr">
        <is>
          <t>"Pipa PPR PN 20 ; DN. 6"" (150 mm) + fitting &amp; akseso"</t>
        </is>
      </c>
      <c r="C13765" s="3" t="inlineStr">
        <is>
          <t>m'</t>
        </is>
      </c>
      <c r="D13765" s="15" t="n">
        <v>1.65</v>
      </c>
      <c r="E13765" s="4" t="n">
        <v>1535000</v>
      </c>
      <c r="F13765" s="4" t="n">
        <v>2532750</v>
      </c>
    </row>
    <row r="13766">
      <c r="D13766" s="2" t="inlineStr">
        <is>
          <t>SUBTOTAL UPAH</t>
        </is>
      </c>
      <c r="F13766" s="16" t="n">
        <v>99200</v>
      </c>
    </row>
    <row r="13767">
      <c r="D13767" s="2" t="inlineStr">
        <is>
          <t>SUBTOTAL BAHAN</t>
        </is>
      </c>
      <c r="F13767" s="16" t="n">
        <v>2532750</v>
      </c>
    </row>
    <row r="13768">
      <c r="D13768" s="2" t="inlineStr">
        <is>
          <t>SUBTOTAL ALAT</t>
        </is>
      </c>
      <c r="F13768" s="16" t="n">
        <v>0</v>
      </c>
    </row>
    <row r="13769">
      <c r="E13769" s="2" t="inlineStr">
        <is>
          <t>TOTAL HARGA SATUAN (Inc. Overhead)</t>
        </is>
      </c>
      <c r="F13769" s="17" t="n">
        <v>2895145</v>
      </c>
    </row>
    <row r="13771">
      <c r="A13771" s="14" t="inlineStr">
        <is>
          <t>KODE: 6.4.4.1 - Pemasangan 1 m pipa BS MED CLASS, DN. 1/2" (15 mm)</t>
        </is>
      </c>
    </row>
    <row r="13772">
      <c r="A13772" s="10" t="inlineStr">
        <is>
          <t>No</t>
        </is>
      </c>
      <c r="B13772" s="10" t="inlineStr">
        <is>
          <t>Uraian Komponen</t>
        </is>
      </c>
      <c r="C13772" s="10" t="inlineStr">
        <is>
          <t>Satuan</t>
        </is>
      </c>
      <c r="D13772" s="10" t="inlineStr">
        <is>
          <t>Koef</t>
        </is>
      </c>
      <c r="E13772" s="10" t="inlineStr">
        <is>
          <t>Harga Satuan (Rp)</t>
        </is>
      </c>
      <c r="F13772" s="10" t="inlineStr">
        <is>
          <t>Jumlah Harga (Rp)</t>
        </is>
      </c>
    </row>
    <row r="13773">
      <c r="A13773" s="3" t="inlineStr">
        <is>
          <t>1</t>
        </is>
      </c>
      <c r="B13773" s="3" t="inlineStr">
        <is>
          <t>Pekerja</t>
        </is>
      </c>
      <c r="C13773" s="3" t="inlineStr">
        <is>
          <t>OH</t>
        </is>
      </c>
      <c r="D13773" s="15" t="n">
        <v>0.035</v>
      </c>
      <c r="E13773" s="4" t="n">
        <v>100000</v>
      </c>
      <c r="F13773" s="4" t="n">
        <v>3500</v>
      </c>
    </row>
    <row r="13774">
      <c r="A13774" s="3" t="inlineStr">
        <is>
          <t>2</t>
        </is>
      </c>
      <c r="B13774" s="3" t="inlineStr">
        <is>
          <t>Tukang pipa</t>
        </is>
      </c>
      <c r="C13774" s="3" t="inlineStr">
        <is>
          <t>OH</t>
        </is>
      </c>
      <c r="D13774" s="15" t="n">
        <v>0.058</v>
      </c>
      <c r="E13774" s="4" t="n">
        <v>145000</v>
      </c>
      <c r="F13774" s="4" t="n">
        <v>8410</v>
      </c>
    </row>
    <row r="13775">
      <c r="A13775" s="3" t="inlineStr">
        <is>
          <t>3</t>
        </is>
      </c>
      <c r="B13775" s="3" t="inlineStr">
        <is>
          <t>Kepala tukang</t>
        </is>
      </c>
      <c r="C13775" s="3" t="inlineStr">
        <is>
          <t>OH</t>
        </is>
      </c>
      <c r="D13775" s="15" t="n">
        <v>0.006</v>
      </c>
      <c r="E13775" s="4" t="n">
        <v>175000</v>
      </c>
      <c r="F13775" s="4" t="n">
        <v>1050</v>
      </c>
    </row>
    <row r="13776">
      <c r="A13776" s="3" t="inlineStr">
        <is>
          <t>4</t>
        </is>
      </c>
      <c r="B13776" s="3" t="inlineStr">
        <is>
          <t>Mandor</t>
        </is>
      </c>
      <c r="C13776" s="3" t="inlineStr">
        <is>
          <t>OH</t>
        </is>
      </c>
      <c r="D13776" s="15" t="n">
        <v>0.002</v>
      </c>
      <c r="E13776" s="4" t="n">
        <v>200000</v>
      </c>
      <c r="F13776" s="4" t="n">
        <v>400</v>
      </c>
    </row>
    <row r="13777">
      <c r="A13777" s="3" t="inlineStr">
        <is>
          <t>1</t>
        </is>
      </c>
      <c r="B13777" s="3" t="inlineStr">
        <is>
          <t>"Pipa BS MED CLASS ; DN. 1/2"" (15 mm) + fitting &amp; aksesoris"</t>
        </is>
      </c>
      <c r="C13777" s="3" t="inlineStr">
        <is>
          <t>m'</t>
        </is>
      </c>
      <c r="D13777" s="15" t="n">
        <v>1.55</v>
      </c>
      <c r="E13777" s="4" t="n">
        <v>30500</v>
      </c>
      <c r="F13777" s="4" t="n">
        <v>47275</v>
      </c>
    </row>
    <row r="13778">
      <c r="D13778" s="2" t="inlineStr">
        <is>
          <t>SUBTOTAL UPAH</t>
        </is>
      </c>
      <c r="F13778" s="16" t="n">
        <v>13360</v>
      </c>
    </row>
    <row r="13779">
      <c r="D13779" s="2" t="inlineStr">
        <is>
          <t>SUBTOTAL BAHAN</t>
        </is>
      </c>
      <c r="F13779" s="16" t="n">
        <v>47275</v>
      </c>
    </row>
    <row r="13780">
      <c r="D13780" s="2" t="inlineStr">
        <is>
          <t>SUBTOTAL ALAT</t>
        </is>
      </c>
      <c r="F13780" s="16" t="n">
        <v>0</v>
      </c>
    </row>
    <row r="13781">
      <c r="E13781" s="2" t="inlineStr">
        <is>
          <t>TOTAL HARGA SATUAN (Inc. Overhead)</t>
        </is>
      </c>
      <c r="F13781" s="17" t="n">
        <v>66698</v>
      </c>
    </row>
    <row r="13783">
      <c r="A13783" s="14" t="inlineStr">
        <is>
          <t>KODE: 6.4.4.2 - Pemasangan 1 m pipa BS MED CLASS, DN. 3/4" (20 mm)</t>
        </is>
      </c>
    </row>
    <row r="13784">
      <c r="A13784" s="10" t="inlineStr">
        <is>
          <t>No</t>
        </is>
      </c>
      <c r="B13784" s="10" t="inlineStr">
        <is>
          <t>Uraian Komponen</t>
        </is>
      </c>
      <c r="C13784" s="10" t="inlineStr">
        <is>
          <t>Satuan</t>
        </is>
      </c>
      <c r="D13784" s="10" t="inlineStr">
        <is>
          <t>Koef</t>
        </is>
      </c>
      <c r="E13784" s="10" t="inlineStr">
        <is>
          <t>Harga Satuan (Rp)</t>
        </is>
      </c>
      <c r="F13784" s="10" t="inlineStr">
        <is>
          <t>Jumlah Harga (Rp)</t>
        </is>
      </c>
    </row>
    <row r="13785">
      <c r="A13785" s="3" t="inlineStr">
        <is>
          <t>1</t>
        </is>
      </c>
      <c r="B13785" s="3" t="inlineStr">
        <is>
          <t>Pekerja</t>
        </is>
      </c>
      <c r="C13785" s="3" t="inlineStr">
        <is>
          <t>OH</t>
        </is>
      </c>
      <c r="D13785" s="15" t="n">
        <v>0.052</v>
      </c>
      <c r="E13785" s="4" t="n">
        <v>100000</v>
      </c>
      <c r="F13785" s="4" t="n">
        <v>5200</v>
      </c>
    </row>
    <row r="13786">
      <c r="A13786" s="3" t="inlineStr">
        <is>
          <t>2</t>
        </is>
      </c>
      <c r="B13786" s="3" t="inlineStr">
        <is>
          <t>Tukang pipa</t>
        </is>
      </c>
      <c r="C13786" s="3" t="inlineStr">
        <is>
          <t>OH</t>
        </is>
      </c>
      <c r="D13786" s="15" t="n">
        <v>0.08699999999999999</v>
      </c>
      <c r="E13786" s="4" t="n">
        <v>145000</v>
      </c>
      <c r="F13786" s="4" t="n">
        <v>12615</v>
      </c>
    </row>
    <row r="13787">
      <c r="A13787" s="3" t="inlineStr">
        <is>
          <t>3</t>
        </is>
      </c>
      <c r="B13787" s="3" t="inlineStr">
        <is>
          <t>Kepala tukang</t>
        </is>
      </c>
      <c r="C13787" s="3" t="inlineStr">
        <is>
          <t>OH</t>
        </is>
      </c>
      <c r="D13787" s="15" t="n">
        <v>0.008999999999999999</v>
      </c>
      <c r="E13787" s="4" t="n">
        <v>175000</v>
      </c>
      <c r="F13787" s="4" t="n">
        <v>1575</v>
      </c>
    </row>
    <row r="13788">
      <c r="A13788" s="3" t="inlineStr">
        <is>
          <t>4</t>
        </is>
      </c>
      <c r="B13788" s="3" t="inlineStr">
        <is>
          <t>Mandor</t>
        </is>
      </c>
      <c r="C13788" s="3" t="inlineStr">
        <is>
          <t>OH</t>
        </is>
      </c>
      <c r="D13788" s="15" t="n">
        <v>0.003</v>
      </c>
      <c r="E13788" s="4" t="n">
        <v>200000</v>
      </c>
      <c r="F13788" s="4" t="n">
        <v>600</v>
      </c>
    </row>
    <row r="13789">
      <c r="A13789" s="3" t="inlineStr">
        <is>
          <t>1</t>
        </is>
      </c>
      <c r="B13789" s="3" t="inlineStr">
        <is>
          <t>"Pipa BS MED CLASS ; DN. 3/4"" (20 mm) + fitting &amp; aksesoris"</t>
        </is>
      </c>
      <c r="C13789" s="3" t="inlineStr">
        <is>
          <t>m'</t>
        </is>
      </c>
      <c r="D13789" s="15" t="n">
        <v>1.55</v>
      </c>
      <c r="E13789" s="4" t="n">
        <v>37500</v>
      </c>
      <c r="F13789" s="4" t="n">
        <v>58125</v>
      </c>
    </row>
    <row r="13790">
      <c r="D13790" s="2" t="inlineStr">
        <is>
          <t>SUBTOTAL UPAH</t>
        </is>
      </c>
      <c r="F13790" s="16" t="n">
        <v>19990</v>
      </c>
    </row>
    <row r="13791">
      <c r="D13791" s="2" t="inlineStr">
        <is>
          <t>SUBTOTAL BAHAN</t>
        </is>
      </c>
      <c r="F13791" s="16" t="n">
        <v>58125</v>
      </c>
    </row>
    <row r="13792">
      <c r="D13792" s="2" t="inlineStr">
        <is>
          <t>SUBTOTAL ALAT</t>
        </is>
      </c>
      <c r="F13792" s="16" t="n">
        <v>0</v>
      </c>
    </row>
    <row r="13793">
      <c r="E13793" s="2" t="inlineStr">
        <is>
          <t>TOTAL HARGA SATUAN (Inc. Overhead)</t>
        </is>
      </c>
      <c r="F13793" s="17" t="n">
        <v>85926</v>
      </c>
    </row>
    <row r="13795">
      <c r="A13795" s="14" t="inlineStr">
        <is>
          <t>KODE: 6.4.4.3 - Pemasangan 1 m pipa BS MED CLASS, DN. 1" (25 mm)</t>
        </is>
      </c>
    </row>
    <row r="13796">
      <c r="A13796" s="10" t="inlineStr">
        <is>
          <t>No</t>
        </is>
      </c>
      <c r="B13796" s="10" t="inlineStr">
        <is>
          <t>Uraian Komponen</t>
        </is>
      </c>
      <c r="C13796" s="10" t="inlineStr">
        <is>
          <t>Satuan</t>
        </is>
      </c>
      <c r="D13796" s="10" t="inlineStr">
        <is>
          <t>Koef</t>
        </is>
      </c>
      <c r="E13796" s="10" t="inlineStr">
        <is>
          <t>Harga Satuan (Rp)</t>
        </is>
      </c>
      <c r="F13796" s="10" t="inlineStr">
        <is>
          <t>Jumlah Harga (Rp)</t>
        </is>
      </c>
    </row>
    <row r="13797">
      <c r="A13797" s="3" t="inlineStr">
        <is>
          <t>1</t>
        </is>
      </c>
      <c r="B13797" s="3" t="inlineStr">
        <is>
          <t>Pekerja</t>
        </is>
      </c>
      <c r="C13797" s="3" t="inlineStr">
        <is>
          <t>OH</t>
        </is>
      </c>
      <c r="D13797" s="15" t="n">
        <v>0.06900000000000001</v>
      </c>
      <c r="E13797" s="4" t="n">
        <v>100000</v>
      </c>
      <c r="F13797" s="4" t="n">
        <v>6900.000000000001</v>
      </c>
    </row>
    <row r="13798">
      <c r="A13798" s="3" t="inlineStr">
        <is>
          <t>2</t>
        </is>
      </c>
      <c r="B13798" s="3" t="inlineStr">
        <is>
          <t>Tukang pipa</t>
        </is>
      </c>
      <c r="C13798" s="3" t="inlineStr">
        <is>
          <t>OH</t>
        </is>
      </c>
      <c r="D13798" s="15" t="n">
        <v>0.115</v>
      </c>
      <c r="E13798" s="4" t="n">
        <v>145000</v>
      </c>
      <c r="F13798" s="4" t="n">
        <v>16675</v>
      </c>
    </row>
    <row r="13799">
      <c r="A13799" s="3" t="inlineStr">
        <is>
          <t>3</t>
        </is>
      </c>
      <c r="B13799" s="3" t="inlineStr">
        <is>
          <t>Kepala tukang</t>
        </is>
      </c>
      <c r="C13799" s="3" t="inlineStr">
        <is>
          <t>OH</t>
        </is>
      </c>
      <c r="D13799" s="15" t="n">
        <v>0.011</v>
      </c>
      <c r="E13799" s="4" t="n">
        <v>175000</v>
      </c>
      <c r="F13799" s="4" t="n">
        <v>1925</v>
      </c>
    </row>
    <row r="13800">
      <c r="A13800" s="3" t="inlineStr">
        <is>
          <t>4</t>
        </is>
      </c>
      <c r="B13800" s="3" t="inlineStr">
        <is>
          <t>Mandor</t>
        </is>
      </c>
      <c r="C13800" s="3" t="inlineStr">
        <is>
          <t>OH</t>
        </is>
      </c>
      <c r="D13800" s="15" t="n">
        <v>0.003</v>
      </c>
      <c r="E13800" s="4" t="n">
        <v>200000</v>
      </c>
      <c r="F13800" s="4" t="n">
        <v>600</v>
      </c>
    </row>
    <row r="13801">
      <c r="A13801" s="3" t="inlineStr">
        <is>
          <t>1</t>
        </is>
      </c>
      <c r="B13801" s="3" t="inlineStr">
        <is>
          <t>"Pipa BS MED CLASS ; DN. 1"" (25 mm) + fitting &amp; aksesoris"</t>
        </is>
      </c>
      <c r="C13801" s="3" t="inlineStr">
        <is>
          <t>m'</t>
        </is>
      </c>
      <c r="D13801" s="15" t="n">
        <v>1.55</v>
      </c>
      <c r="E13801" s="4" t="n">
        <v>53000</v>
      </c>
      <c r="F13801" s="4" t="n">
        <v>82150</v>
      </c>
    </row>
    <row r="13802">
      <c r="D13802" s="2" t="inlineStr">
        <is>
          <t>SUBTOTAL UPAH</t>
        </is>
      </c>
      <c r="F13802" s="16" t="n">
        <v>26100</v>
      </c>
    </row>
    <row r="13803">
      <c r="D13803" s="2" t="inlineStr">
        <is>
          <t>SUBTOTAL BAHAN</t>
        </is>
      </c>
      <c r="F13803" s="16" t="n">
        <v>82150</v>
      </c>
    </row>
    <row r="13804">
      <c r="D13804" s="2" t="inlineStr">
        <is>
          <t>SUBTOTAL ALAT</t>
        </is>
      </c>
      <c r="F13804" s="16" t="n">
        <v>0</v>
      </c>
    </row>
    <row r="13805">
      <c r="E13805" s="2" t="inlineStr">
        <is>
          <t>TOTAL HARGA SATUAN (Inc. Overhead)</t>
        </is>
      </c>
      <c r="F13805" s="17" t="n">
        <v>119075</v>
      </c>
    </row>
    <row r="13807">
      <c r="A13807" s="14" t="inlineStr">
        <is>
          <t>KODE: 6.4.4.4 - Pemasangan 1 m pipa BS MED CLASS, DN. 1-1/4" (32 mm)</t>
        </is>
      </c>
    </row>
    <row r="13808">
      <c r="A13808" s="10" t="inlineStr">
        <is>
          <t>No</t>
        </is>
      </c>
      <c r="B13808" s="10" t="inlineStr">
        <is>
          <t>Uraian Komponen</t>
        </is>
      </c>
      <c r="C13808" s="10" t="inlineStr">
        <is>
          <t>Satuan</t>
        </is>
      </c>
      <c r="D13808" s="10" t="inlineStr">
        <is>
          <t>Koef</t>
        </is>
      </c>
      <c r="E13808" s="10" t="inlineStr">
        <is>
          <t>Harga Satuan (Rp)</t>
        </is>
      </c>
      <c r="F13808" s="10" t="inlineStr">
        <is>
          <t>Jumlah Harga (Rp)</t>
        </is>
      </c>
    </row>
    <row r="13809">
      <c r="A13809" s="3" t="inlineStr">
        <is>
          <t>1</t>
        </is>
      </c>
      <c r="B13809" s="3" t="inlineStr">
        <is>
          <t>Pekerja</t>
        </is>
      </c>
      <c r="C13809" s="3" t="inlineStr">
        <is>
          <t>OH</t>
        </is>
      </c>
      <c r="D13809" s="15" t="n">
        <v>0.08500000000000001</v>
      </c>
      <c r="E13809" s="4" t="n">
        <v>100000</v>
      </c>
      <c r="F13809" s="4" t="n">
        <v>8500</v>
      </c>
    </row>
    <row r="13810">
      <c r="A13810" s="3" t="inlineStr">
        <is>
          <t>2</t>
        </is>
      </c>
      <c r="B13810" s="3" t="inlineStr">
        <is>
          <t>Tukang pipa</t>
        </is>
      </c>
      <c r="C13810" s="3" t="inlineStr">
        <is>
          <t>OH</t>
        </is>
      </c>
      <c r="D13810" s="15" t="n">
        <v>0.143</v>
      </c>
      <c r="E13810" s="4" t="n">
        <v>145000</v>
      </c>
      <c r="F13810" s="4" t="n">
        <v>20735</v>
      </c>
    </row>
    <row r="13811">
      <c r="A13811" s="3" t="inlineStr">
        <is>
          <t>3</t>
        </is>
      </c>
      <c r="B13811" s="3" t="inlineStr">
        <is>
          <t>Kepala tukang</t>
        </is>
      </c>
      <c r="C13811" s="3" t="inlineStr">
        <is>
          <t>OH</t>
        </is>
      </c>
      <c r="D13811" s="15" t="n">
        <v>0.014</v>
      </c>
      <c r="E13811" s="4" t="n">
        <v>175000</v>
      </c>
      <c r="F13811" s="4" t="n">
        <v>2450</v>
      </c>
    </row>
    <row r="13812">
      <c r="A13812" s="3" t="inlineStr">
        <is>
          <t>4</t>
        </is>
      </c>
      <c r="B13812" s="3" t="inlineStr">
        <is>
          <t>Mandor</t>
        </is>
      </c>
      <c r="C13812" s="3" t="inlineStr">
        <is>
          <t>OH</t>
        </is>
      </c>
      <c r="D13812" s="15" t="n">
        <v>0.004</v>
      </c>
      <c r="E13812" s="4" t="n">
        <v>200000</v>
      </c>
      <c r="F13812" s="4" t="n">
        <v>800</v>
      </c>
    </row>
    <row r="13813">
      <c r="A13813" s="3" t="inlineStr">
        <is>
          <t>1</t>
        </is>
      </c>
      <c r="B13813" s="3" t="inlineStr">
        <is>
          <t>"Pipa BS MED CLASS DN. 1-1/4"" (32 mm) + fitting &amp; aksesoris"</t>
        </is>
      </c>
      <c r="C13813" s="3" t="inlineStr">
        <is>
          <t>m'</t>
        </is>
      </c>
      <c r="D13813" s="15" t="n">
        <v>1.55</v>
      </c>
      <c r="E13813" s="4" t="n">
        <v>68000</v>
      </c>
      <c r="F13813" s="4" t="n">
        <v>105400</v>
      </c>
    </row>
    <row r="13814">
      <c r="D13814" s="2" t="inlineStr">
        <is>
          <t>SUBTOTAL UPAH</t>
        </is>
      </c>
      <c r="F13814" s="16" t="n">
        <v>32485</v>
      </c>
    </row>
    <row r="13815">
      <c r="D13815" s="2" t="inlineStr">
        <is>
          <t>SUBTOTAL BAHAN</t>
        </is>
      </c>
      <c r="F13815" s="16" t="n">
        <v>105400</v>
      </c>
    </row>
    <row r="13816">
      <c r="D13816" s="2" t="inlineStr">
        <is>
          <t>SUBTOTAL ALAT</t>
        </is>
      </c>
      <c r="F13816" s="16" t="n">
        <v>0</v>
      </c>
    </row>
    <row r="13817">
      <c r="E13817" s="2" t="inlineStr">
        <is>
          <t>TOTAL HARGA SATUAN (Inc. Overhead)</t>
        </is>
      </c>
      <c r="F13817" s="17" t="n">
        <v>151673</v>
      </c>
    </row>
    <row r="13819">
      <c r="A13819" s="14" t="inlineStr">
        <is>
          <t>KODE: 6.4.4.5 - Pemasangan 1 m pipa BS MED CLASS, DN. 1-1/2" (40 mm)</t>
        </is>
      </c>
    </row>
    <row r="13820">
      <c r="A13820" s="10" t="inlineStr">
        <is>
          <t>No</t>
        </is>
      </c>
      <c r="B13820" s="10" t="inlineStr">
        <is>
          <t>Uraian Komponen</t>
        </is>
      </c>
      <c r="C13820" s="10" t="inlineStr">
        <is>
          <t>Satuan</t>
        </is>
      </c>
      <c r="D13820" s="10" t="inlineStr">
        <is>
          <t>Koef</t>
        </is>
      </c>
      <c r="E13820" s="10" t="inlineStr">
        <is>
          <t>Harga Satuan (Rp)</t>
        </is>
      </c>
      <c r="F13820" s="10" t="inlineStr">
        <is>
          <t>Jumlah Harga (Rp)</t>
        </is>
      </c>
    </row>
    <row r="13821">
      <c r="A13821" s="3" t="inlineStr">
        <is>
          <t>1</t>
        </is>
      </c>
      <c r="B13821" s="3" t="inlineStr">
        <is>
          <t>Pekerja</t>
        </is>
      </c>
      <c r="C13821" s="3" t="inlineStr">
        <is>
          <t>OH</t>
        </is>
      </c>
      <c r="D13821" s="15" t="n">
        <v>0.104</v>
      </c>
      <c r="E13821" s="4" t="n">
        <v>100000</v>
      </c>
      <c r="F13821" s="4" t="n">
        <v>10400</v>
      </c>
    </row>
    <row r="13822">
      <c r="A13822" s="3" t="inlineStr">
        <is>
          <t>2</t>
        </is>
      </c>
      <c r="B13822" s="3" t="inlineStr">
        <is>
          <t>Tukang pipa</t>
        </is>
      </c>
      <c r="C13822" s="3" t="inlineStr">
        <is>
          <t>OH</t>
        </is>
      </c>
      <c r="D13822" s="15" t="n">
        <v>0.174</v>
      </c>
      <c r="E13822" s="4" t="n">
        <v>145000</v>
      </c>
      <c r="F13822" s="4" t="n">
        <v>25230</v>
      </c>
    </row>
    <row r="13823">
      <c r="A13823" s="3" t="inlineStr">
        <is>
          <t>3</t>
        </is>
      </c>
      <c r="B13823" s="3" t="inlineStr">
        <is>
          <t>Kepala tukang</t>
        </is>
      </c>
      <c r="C13823" s="3" t="inlineStr">
        <is>
          <t>OH</t>
        </is>
      </c>
      <c r="D13823" s="15" t="n">
        <v>0.017</v>
      </c>
      <c r="E13823" s="4" t="n">
        <v>175000</v>
      </c>
      <c r="F13823" s="4" t="n">
        <v>2975</v>
      </c>
    </row>
    <row r="13824">
      <c r="A13824" s="3" t="inlineStr">
        <is>
          <t>4</t>
        </is>
      </c>
      <c r="B13824" s="3" t="inlineStr">
        <is>
          <t>Mandor</t>
        </is>
      </c>
      <c r="C13824" s="3" t="inlineStr">
        <is>
          <t>OH</t>
        </is>
      </c>
      <c r="D13824" s="15" t="n">
        <v>0.005</v>
      </c>
      <c r="E13824" s="4" t="n">
        <v>200000</v>
      </c>
      <c r="F13824" s="4" t="n">
        <v>1000</v>
      </c>
    </row>
    <row r="13825">
      <c r="A13825" s="3" t="inlineStr">
        <is>
          <t>1</t>
        </is>
      </c>
      <c r="B13825" s="3" t="inlineStr">
        <is>
          <t>"Pipa BS MED CLASS DN. 1-1/2"" (40 mm) + fitting &amp; aksesoris"</t>
        </is>
      </c>
      <c r="C13825" s="3" t="inlineStr">
        <is>
          <t>m'</t>
        </is>
      </c>
      <c r="D13825" s="15" t="n">
        <v>1.55</v>
      </c>
      <c r="E13825" s="4" t="n">
        <v>77000</v>
      </c>
      <c r="F13825" s="4" t="n">
        <v>119350</v>
      </c>
    </row>
    <row r="13826">
      <c r="D13826" s="2" t="inlineStr">
        <is>
          <t>SUBTOTAL UPAH</t>
        </is>
      </c>
      <c r="F13826" s="16" t="n">
        <v>39605</v>
      </c>
    </row>
    <row r="13827">
      <c r="D13827" s="2" t="inlineStr">
        <is>
          <t>SUBTOTAL BAHAN</t>
        </is>
      </c>
      <c r="F13827" s="16" t="n">
        <v>119350</v>
      </c>
    </row>
    <row r="13828">
      <c r="D13828" s="2" t="inlineStr">
        <is>
          <t>SUBTOTAL ALAT</t>
        </is>
      </c>
      <c r="F13828" s="16" t="n">
        <v>0</v>
      </c>
    </row>
    <row r="13829">
      <c r="E13829" s="2" t="inlineStr">
        <is>
          <t>TOTAL HARGA SATUAN (Inc. Overhead)</t>
        </is>
      </c>
      <c r="F13829" s="17" t="n">
        <v>174850</v>
      </c>
    </row>
    <row r="13831">
      <c r="A13831" s="14" t="inlineStr">
        <is>
          <t>KODE: 6.4.4.6 - Pemasangan 1 m pipa BS MED CLASS, DN. 2" (50 mm)</t>
        </is>
      </c>
    </row>
    <row r="13832">
      <c r="A13832" s="10" t="inlineStr">
        <is>
          <t>No</t>
        </is>
      </c>
      <c r="B13832" s="10" t="inlineStr">
        <is>
          <t>Uraian Komponen</t>
        </is>
      </c>
      <c r="C13832" s="10" t="inlineStr">
        <is>
          <t>Satuan</t>
        </is>
      </c>
      <c r="D13832" s="10" t="inlineStr">
        <is>
          <t>Koef</t>
        </is>
      </c>
      <c r="E13832" s="10" t="inlineStr">
        <is>
          <t>Harga Satuan (Rp)</t>
        </is>
      </c>
      <c r="F13832" s="10" t="inlineStr">
        <is>
          <t>Jumlah Harga (Rp)</t>
        </is>
      </c>
    </row>
    <row r="13833">
      <c r="A13833" s="3" t="inlineStr">
        <is>
          <t>1</t>
        </is>
      </c>
      <c r="B13833" s="3" t="inlineStr">
        <is>
          <t>Pekerja</t>
        </is>
      </c>
      <c r="C13833" s="3" t="inlineStr">
        <is>
          <t>OH</t>
        </is>
      </c>
      <c r="D13833" s="15" t="n">
        <v>0.138</v>
      </c>
      <c r="E13833" s="4" t="n">
        <v>100000</v>
      </c>
      <c r="F13833" s="4" t="n">
        <v>13800</v>
      </c>
    </row>
    <row r="13834">
      <c r="A13834" s="3" t="inlineStr">
        <is>
          <t>2</t>
        </is>
      </c>
      <c r="B13834" s="3" t="inlineStr">
        <is>
          <t>Tukang pipa</t>
        </is>
      </c>
      <c r="C13834" s="3" t="inlineStr">
        <is>
          <t>OH</t>
        </is>
      </c>
      <c r="D13834" s="15" t="n">
        <v>0.23</v>
      </c>
      <c r="E13834" s="4" t="n">
        <v>145000</v>
      </c>
      <c r="F13834" s="4" t="n">
        <v>33350</v>
      </c>
    </row>
    <row r="13835">
      <c r="A13835" s="3" t="inlineStr">
        <is>
          <t>3</t>
        </is>
      </c>
      <c r="B13835" s="3" t="inlineStr">
        <is>
          <t>Kepala tukang</t>
        </is>
      </c>
      <c r="C13835" s="3" t="inlineStr">
        <is>
          <t>OH</t>
        </is>
      </c>
      <c r="D13835" s="15" t="n">
        <v>0.023</v>
      </c>
      <c r="E13835" s="4" t="n">
        <v>175000</v>
      </c>
      <c r="F13835" s="4" t="n">
        <v>4025</v>
      </c>
    </row>
    <row r="13836">
      <c r="A13836" s="3" t="inlineStr">
        <is>
          <t>4</t>
        </is>
      </c>
      <c r="B13836" s="3" t="inlineStr">
        <is>
          <t>Mandor</t>
        </is>
      </c>
      <c r="C13836" s="3" t="inlineStr">
        <is>
          <t>OH</t>
        </is>
      </c>
      <c r="D13836" s="15" t="n">
        <v>0.007</v>
      </c>
      <c r="E13836" s="4" t="n">
        <v>200000</v>
      </c>
      <c r="F13836" s="4" t="n">
        <v>1400</v>
      </c>
    </row>
    <row r="13837">
      <c r="A13837" s="3" t="inlineStr">
        <is>
          <t>1</t>
        </is>
      </c>
      <c r="B13837" s="3" t="inlineStr">
        <is>
          <t>"Pipa BS MED CLASS ; DN. 2"" (50 mm) + fitting &amp; aksesoris"</t>
        </is>
      </c>
      <c r="C13837" s="3" t="inlineStr">
        <is>
          <t>m'</t>
        </is>
      </c>
      <c r="D13837" s="15" t="n">
        <v>1.55</v>
      </c>
      <c r="E13837" s="4" t="n">
        <v>103000</v>
      </c>
      <c r="F13837" s="4" t="n">
        <v>159650</v>
      </c>
    </row>
    <row r="13838">
      <c r="D13838" s="2" t="inlineStr">
        <is>
          <t>SUBTOTAL UPAH</t>
        </is>
      </c>
      <c r="F13838" s="16" t="n">
        <v>52575</v>
      </c>
    </row>
    <row r="13839">
      <c r="D13839" s="2" t="inlineStr">
        <is>
          <t>SUBTOTAL BAHAN</t>
        </is>
      </c>
      <c r="F13839" s="16" t="n">
        <v>159650</v>
      </c>
    </row>
    <row r="13840">
      <c r="D13840" s="2" t="inlineStr">
        <is>
          <t>SUBTOTAL ALAT</t>
        </is>
      </c>
      <c r="F13840" s="16" t="n">
        <v>0</v>
      </c>
    </row>
    <row r="13841">
      <c r="E13841" s="2" t="inlineStr">
        <is>
          <t>TOTAL HARGA SATUAN (Inc. Overhead)</t>
        </is>
      </c>
      <c r="F13841" s="17" t="n">
        <v>233447</v>
      </c>
    </row>
    <row r="13843">
      <c r="A13843" s="14" t="inlineStr">
        <is>
          <t>KODE: 6.4.4.7 - Pemasangan 1 m pipa BS MED CLASS, DN. 2-1/2" (65 mm)</t>
        </is>
      </c>
    </row>
    <row r="13844">
      <c r="A13844" s="10" t="inlineStr">
        <is>
          <t>No</t>
        </is>
      </c>
      <c r="B13844" s="10" t="inlineStr">
        <is>
          <t>Uraian Komponen</t>
        </is>
      </c>
      <c r="C13844" s="10" t="inlineStr">
        <is>
          <t>Satuan</t>
        </is>
      </c>
      <c r="D13844" s="10" t="inlineStr">
        <is>
          <t>Koef</t>
        </is>
      </c>
      <c r="E13844" s="10" t="inlineStr">
        <is>
          <t>Harga Satuan (Rp)</t>
        </is>
      </c>
      <c r="F13844" s="10" t="inlineStr">
        <is>
          <t>Jumlah Harga (Rp)</t>
        </is>
      </c>
    </row>
    <row r="13845">
      <c r="A13845" s="3" t="inlineStr">
        <is>
          <t>1</t>
        </is>
      </c>
      <c r="B13845" s="3" t="inlineStr">
        <is>
          <t>Pekerja</t>
        </is>
      </c>
      <c r="C13845" s="3" t="inlineStr">
        <is>
          <t>OH</t>
        </is>
      </c>
      <c r="D13845" s="15" t="n">
        <v>0.171</v>
      </c>
      <c r="E13845" s="4" t="n">
        <v>100000</v>
      </c>
      <c r="F13845" s="4" t="n">
        <v>17100</v>
      </c>
    </row>
    <row r="13846">
      <c r="A13846" s="3" t="inlineStr">
        <is>
          <t>2</t>
        </is>
      </c>
      <c r="B13846" s="3" t="inlineStr">
        <is>
          <t>Tukang pipa</t>
        </is>
      </c>
      <c r="C13846" s="3" t="inlineStr">
        <is>
          <t>OH</t>
        </is>
      </c>
      <c r="D13846" s="15" t="n">
        <v>0.285</v>
      </c>
      <c r="E13846" s="4" t="n">
        <v>145000</v>
      </c>
      <c r="F13846" s="4" t="n">
        <v>41325</v>
      </c>
    </row>
    <row r="13847">
      <c r="A13847" s="3" t="inlineStr">
        <is>
          <t>3</t>
        </is>
      </c>
      <c r="B13847" s="3" t="inlineStr">
        <is>
          <t>Kepala tukang</t>
        </is>
      </c>
      <c r="C13847" s="3" t="inlineStr">
        <is>
          <t>OH</t>
        </is>
      </c>
      <c r="D13847" s="15" t="n">
        <v>0.029</v>
      </c>
      <c r="E13847" s="4" t="n">
        <v>175000</v>
      </c>
      <c r="F13847" s="4" t="n">
        <v>5075</v>
      </c>
    </row>
    <row r="13848">
      <c r="A13848" s="3" t="inlineStr">
        <is>
          <t>4</t>
        </is>
      </c>
      <c r="B13848" s="3" t="inlineStr">
        <is>
          <t>Mandor</t>
        </is>
      </c>
      <c r="C13848" s="3" t="inlineStr">
        <is>
          <t>OH</t>
        </is>
      </c>
      <c r="D13848" s="15" t="n">
        <v>0.008999999999999999</v>
      </c>
      <c r="E13848" s="4" t="n">
        <v>200000</v>
      </c>
      <c r="F13848" s="4" t="n">
        <v>1800</v>
      </c>
    </row>
    <row r="13849">
      <c r="A13849" s="3" t="inlineStr">
        <is>
          <t>1</t>
        </is>
      </c>
      <c r="B13849" s="3" t="inlineStr">
        <is>
          <t>"Pipa BS MED CLASS DN. 2-1/2"" (65 mm) + fitting &amp; aksesoris"</t>
        </is>
      </c>
      <c r="C13849" s="3" t="inlineStr">
        <is>
          <t>m'</t>
        </is>
      </c>
      <c r="D13849" s="15" t="n">
        <v>1.55</v>
      </c>
      <c r="E13849" s="4" t="n">
        <v>130000</v>
      </c>
      <c r="F13849" s="4" t="n">
        <v>201500</v>
      </c>
    </row>
    <row r="13850">
      <c r="D13850" s="2" t="inlineStr">
        <is>
          <t>SUBTOTAL UPAH</t>
        </is>
      </c>
      <c r="F13850" s="16" t="n">
        <v>65300</v>
      </c>
    </row>
    <row r="13851">
      <c r="D13851" s="2" t="inlineStr">
        <is>
          <t>SUBTOTAL BAHAN</t>
        </is>
      </c>
      <c r="F13851" s="16" t="n">
        <v>201500</v>
      </c>
    </row>
    <row r="13852">
      <c r="D13852" s="2" t="inlineStr">
        <is>
          <t>SUBTOTAL ALAT</t>
        </is>
      </c>
      <c r="F13852" s="16" t="n">
        <v>0</v>
      </c>
    </row>
    <row r="13853">
      <c r="E13853" s="2" t="inlineStr">
        <is>
          <t>TOTAL HARGA SATUAN (Inc. Overhead)</t>
        </is>
      </c>
      <c r="F13853" s="17" t="n">
        <v>293480</v>
      </c>
    </row>
    <row r="13855">
      <c r="A13855" s="14" t="inlineStr">
        <is>
          <t>KODE: 6.4.4.8 - Pemasangan 1 m pipa BS MED CLASS, DN. 3" (80 mm)</t>
        </is>
      </c>
    </row>
    <row r="13856">
      <c r="A13856" s="10" t="inlineStr">
        <is>
          <t>No</t>
        </is>
      </c>
      <c r="B13856" s="10" t="inlineStr">
        <is>
          <t>Uraian Komponen</t>
        </is>
      </c>
      <c r="C13856" s="10" t="inlineStr">
        <is>
          <t>Satuan</t>
        </is>
      </c>
      <c r="D13856" s="10" t="inlineStr">
        <is>
          <t>Koef</t>
        </is>
      </c>
      <c r="E13856" s="10" t="inlineStr">
        <is>
          <t>Harga Satuan (Rp)</t>
        </is>
      </c>
      <c r="F13856" s="10" t="inlineStr">
        <is>
          <t>Jumlah Harga (Rp)</t>
        </is>
      </c>
    </row>
    <row r="13857">
      <c r="A13857" s="3" t="inlineStr">
        <is>
          <t>1</t>
        </is>
      </c>
      <c r="B13857" s="3" t="inlineStr">
        <is>
          <t>Pekerja</t>
        </is>
      </c>
      <c r="C13857" s="3" t="inlineStr">
        <is>
          <t>OH</t>
        </is>
      </c>
      <c r="D13857" s="15" t="n">
        <v>0.238</v>
      </c>
      <c r="E13857" s="4" t="n">
        <v>100000</v>
      </c>
      <c r="F13857" s="4" t="n">
        <v>23800</v>
      </c>
    </row>
    <row r="13858">
      <c r="A13858" s="3" t="inlineStr">
        <is>
          <t>2</t>
        </is>
      </c>
      <c r="B13858" s="3" t="inlineStr">
        <is>
          <t>Tukang pipa</t>
        </is>
      </c>
      <c r="C13858" s="3" t="inlineStr">
        <is>
          <t>OH</t>
        </is>
      </c>
      <c r="D13858" s="15" t="n">
        <v>0.397</v>
      </c>
      <c r="E13858" s="4" t="n">
        <v>145000</v>
      </c>
      <c r="F13858" s="4" t="n">
        <v>57565</v>
      </c>
    </row>
    <row r="13859">
      <c r="A13859" s="3" t="inlineStr">
        <is>
          <t>3</t>
        </is>
      </c>
      <c r="B13859" s="3" t="inlineStr">
        <is>
          <t>Kepala tukang</t>
        </is>
      </c>
      <c r="C13859" s="3" t="inlineStr">
        <is>
          <t>OH</t>
        </is>
      </c>
      <c r="D13859" s="15" t="n">
        <v>0.04</v>
      </c>
      <c r="E13859" s="4" t="n">
        <v>175000</v>
      </c>
      <c r="F13859" s="4" t="n">
        <v>7000</v>
      </c>
    </row>
    <row r="13860">
      <c r="A13860" s="3" t="inlineStr">
        <is>
          <t>4</t>
        </is>
      </c>
      <c r="B13860" s="3" t="inlineStr">
        <is>
          <t>Mandor</t>
        </is>
      </c>
      <c r="C13860" s="3" t="inlineStr">
        <is>
          <t>OH</t>
        </is>
      </c>
      <c r="D13860" s="15" t="n">
        <v>0.012</v>
      </c>
      <c r="E13860" s="4" t="n">
        <v>200000</v>
      </c>
      <c r="F13860" s="4" t="n">
        <v>2400</v>
      </c>
    </row>
    <row r="13861">
      <c r="A13861" s="3" t="inlineStr">
        <is>
          <t>1</t>
        </is>
      </c>
      <c r="B13861" s="3" t="inlineStr">
        <is>
          <t>"Pipa BS MED CLASS ; DN. 3"" (80 mm) + fitting &amp; aksesoris"</t>
        </is>
      </c>
      <c r="C13861" s="3" t="inlineStr">
        <is>
          <t>m'</t>
        </is>
      </c>
      <c r="D13861" s="15" t="n">
        <v>1.55</v>
      </c>
      <c r="E13861" s="4" t="n">
        <v>166000</v>
      </c>
      <c r="F13861" s="4" t="n">
        <v>257300</v>
      </c>
    </row>
    <row r="13862">
      <c r="D13862" s="2" t="inlineStr">
        <is>
          <t>SUBTOTAL UPAH</t>
        </is>
      </c>
      <c r="F13862" s="16" t="n">
        <v>90765</v>
      </c>
    </row>
    <row r="13863">
      <c r="D13863" s="2" t="inlineStr">
        <is>
          <t>SUBTOTAL BAHAN</t>
        </is>
      </c>
      <c r="F13863" s="16" t="n">
        <v>257300</v>
      </c>
    </row>
    <row r="13864">
      <c r="D13864" s="2" t="inlineStr">
        <is>
          <t>SUBTOTAL ALAT</t>
        </is>
      </c>
      <c r="F13864" s="16" t="n">
        <v>0</v>
      </c>
    </row>
    <row r="13865">
      <c r="E13865" s="2" t="inlineStr">
        <is>
          <t>TOTAL HARGA SATUAN (Inc. Overhead)</t>
        </is>
      </c>
      <c r="F13865" s="17" t="n">
        <v>382871</v>
      </c>
    </row>
    <row r="13867">
      <c r="A13867" s="14" t="inlineStr">
        <is>
          <t>KODE: 6.4.4.9 - Pemasangan 1 m pipa BS MED CLASS, DN. 4" (100 mm)</t>
        </is>
      </c>
    </row>
    <row r="13868">
      <c r="A13868" s="10" t="inlineStr">
        <is>
          <t>No</t>
        </is>
      </c>
      <c r="B13868" s="10" t="inlineStr">
        <is>
          <t>Uraian Komponen</t>
        </is>
      </c>
      <c r="C13868" s="10" t="inlineStr">
        <is>
          <t>Satuan</t>
        </is>
      </c>
      <c r="D13868" s="10" t="inlineStr">
        <is>
          <t>Koef</t>
        </is>
      </c>
      <c r="E13868" s="10" t="inlineStr">
        <is>
          <t>Harga Satuan (Rp)</t>
        </is>
      </c>
      <c r="F13868" s="10" t="inlineStr">
        <is>
          <t>Jumlah Harga (Rp)</t>
        </is>
      </c>
    </row>
    <row r="13869">
      <c r="A13869" s="3" t="inlineStr">
        <is>
          <t>1</t>
        </is>
      </c>
      <c r="B13869" s="3" t="inlineStr">
        <is>
          <t>Pekerja</t>
        </is>
      </c>
      <c r="C13869" s="3" t="inlineStr">
        <is>
          <t>OH</t>
        </is>
      </c>
      <c r="D13869" s="15" t="n">
        <v>0.317</v>
      </c>
      <c r="E13869" s="4" t="n">
        <v>100000</v>
      </c>
      <c r="F13869" s="4" t="n">
        <v>31700</v>
      </c>
    </row>
    <row r="13870">
      <c r="A13870" s="3" t="inlineStr">
        <is>
          <t>2</t>
        </is>
      </c>
      <c r="B13870" s="3" t="inlineStr">
        <is>
          <t>Tukang pipa</t>
        </is>
      </c>
      <c r="C13870" s="3" t="inlineStr">
        <is>
          <t>OH</t>
        </is>
      </c>
      <c r="D13870" s="15" t="n">
        <v>0.529</v>
      </c>
      <c r="E13870" s="4" t="n">
        <v>145000</v>
      </c>
      <c r="F13870" s="4" t="n">
        <v>76705</v>
      </c>
    </row>
    <row r="13871">
      <c r="A13871" s="3" t="inlineStr">
        <is>
          <t>3</t>
        </is>
      </c>
      <c r="B13871" s="3" t="inlineStr">
        <is>
          <t>Kepala tukang</t>
        </is>
      </c>
      <c r="C13871" s="3" t="inlineStr">
        <is>
          <t>OH</t>
        </is>
      </c>
      <c r="D13871" s="15" t="n">
        <v>0.053</v>
      </c>
      <c r="E13871" s="4" t="n">
        <v>175000</v>
      </c>
      <c r="F13871" s="4" t="n">
        <v>9275</v>
      </c>
    </row>
    <row r="13872">
      <c r="A13872" s="3" t="inlineStr">
        <is>
          <t>4</t>
        </is>
      </c>
      <c r="B13872" s="3" t="inlineStr">
        <is>
          <t>Mandor</t>
        </is>
      </c>
      <c r="C13872" s="3" t="inlineStr">
        <is>
          <t>OH</t>
        </is>
      </c>
      <c r="D13872" s="15" t="n">
        <v>0.016</v>
      </c>
      <c r="E13872" s="4" t="n">
        <v>200000</v>
      </c>
      <c r="F13872" s="4" t="n">
        <v>3200</v>
      </c>
    </row>
    <row r="13873">
      <c r="A13873" s="3" t="inlineStr">
        <is>
          <t>1</t>
        </is>
      </c>
      <c r="B13873" s="3" t="inlineStr">
        <is>
          <t>"Pipa BS MED CLASS ; DN. 4"" (100 mm) + fitting &amp; aksesoris"</t>
        </is>
      </c>
      <c r="C13873" s="3" t="inlineStr">
        <is>
          <t>m'</t>
        </is>
      </c>
      <c r="D13873" s="15" t="n">
        <v>1.55</v>
      </c>
      <c r="E13873" s="4" t="n">
        <v>237500</v>
      </c>
      <c r="F13873" s="4" t="n">
        <v>368125</v>
      </c>
    </row>
    <row r="13874">
      <c r="D13874" s="2" t="inlineStr">
        <is>
          <t>SUBTOTAL UPAH</t>
        </is>
      </c>
      <c r="F13874" s="16" t="n">
        <v>120880</v>
      </c>
    </row>
    <row r="13875">
      <c r="D13875" s="2" t="inlineStr">
        <is>
          <t>SUBTOTAL BAHAN</t>
        </is>
      </c>
      <c r="F13875" s="16" t="n">
        <v>368125</v>
      </c>
    </row>
    <row r="13876">
      <c r="D13876" s="2" t="inlineStr">
        <is>
          <t>SUBTOTAL ALAT</t>
        </is>
      </c>
      <c r="F13876" s="16" t="n">
        <v>0</v>
      </c>
    </row>
    <row r="13877">
      <c r="E13877" s="2" t="inlineStr">
        <is>
          <t>TOTAL HARGA SATUAN (Inc. Overhead)</t>
        </is>
      </c>
      <c r="F13877" s="17" t="n">
        <v>537905</v>
      </c>
    </row>
    <row r="13879">
      <c r="A13879" s="14" t="inlineStr">
        <is>
          <t>KODE: 6.4.4.10 - Pemasangan 1 m pipa BS MED CLASS, DN. 5" (125 mm)</t>
        </is>
      </c>
    </row>
    <row r="13880">
      <c r="A13880" s="10" t="inlineStr">
        <is>
          <t>No</t>
        </is>
      </c>
      <c r="B13880" s="10" t="inlineStr">
        <is>
          <t>Uraian Komponen</t>
        </is>
      </c>
      <c r="C13880" s="10" t="inlineStr">
        <is>
          <t>Satuan</t>
        </is>
      </c>
      <c r="D13880" s="10" t="inlineStr">
        <is>
          <t>Koef</t>
        </is>
      </c>
      <c r="E13880" s="10" t="inlineStr">
        <is>
          <t>Harga Satuan (Rp)</t>
        </is>
      </c>
      <c r="F13880" s="10" t="inlineStr">
        <is>
          <t>Jumlah Harga (Rp)</t>
        </is>
      </c>
    </row>
    <row r="13881">
      <c r="A13881" s="3" t="inlineStr">
        <is>
          <t>1</t>
        </is>
      </c>
      <c r="B13881" s="3" t="inlineStr">
        <is>
          <t>Pekerja</t>
        </is>
      </c>
      <c r="C13881" s="3" t="inlineStr">
        <is>
          <t>OH</t>
        </is>
      </c>
      <c r="D13881" s="15" t="n">
        <v>0.394</v>
      </c>
      <c r="E13881" s="4" t="n">
        <v>100000</v>
      </c>
      <c r="F13881" s="4" t="n">
        <v>39400</v>
      </c>
    </row>
    <row r="13882">
      <c r="A13882" s="3" t="inlineStr">
        <is>
          <t>2</t>
        </is>
      </c>
      <c r="B13882" s="3" t="inlineStr">
        <is>
          <t>Tukang pipa</t>
        </is>
      </c>
      <c r="C13882" s="3" t="inlineStr">
        <is>
          <t>OH</t>
        </is>
      </c>
      <c r="D13882" s="15" t="n">
        <v>0.658</v>
      </c>
      <c r="E13882" s="4" t="n">
        <v>145000</v>
      </c>
      <c r="F13882" s="4" t="n">
        <v>95410</v>
      </c>
    </row>
    <row r="13883">
      <c r="A13883" s="3" t="inlineStr">
        <is>
          <t>3</t>
        </is>
      </c>
      <c r="B13883" s="3" t="inlineStr">
        <is>
          <t>Kepala tukang</t>
        </is>
      </c>
      <c r="C13883" s="3" t="inlineStr">
        <is>
          <t>OH</t>
        </is>
      </c>
      <c r="D13883" s="15" t="n">
        <v>0.066</v>
      </c>
      <c r="E13883" s="4" t="n">
        <v>175000</v>
      </c>
      <c r="F13883" s="4" t="n">
        <v>11550</v>
      </c>
    </row>
    <row r="13884">
      <c r="A13884" s="3" t="inlineStr">
        <is>
          <t>4</t>
        </is>
      </c>
      <c r="B13884" s="3" t="inlineStr">
        <is>
          <t>Mandor</t>
        </is>
      </c>
      <c r="C13884" s="3" t="inlineStr">
        <is>
          <t>OH</t>
        </is>
      </c>
      <c r="D13884" s="15" t="n">
        <v>0.02</v>
      </c>
      <c r="E13884" s="4" t="n">
        <v>200000</v>
      </c>
      <c r="F13884" s="4" t="n">
        <v>4000</v>
      </c>
    </row>
    <row r="13885">
      <c r="A13885" s="3" t="inlineStr">
        <is>
          <t>1</t>
        </is>
      </c>
      <c r="B13885" s="3" t="inlineStr">
        <is>
          <t>"Pipa BS MED CLASS ; DN. 5"" (125 mm) + fitting &amp; aksesoris"</t>
        </is>
      </c>
      <c r="C13885" s="3" t="inlineStr">
        <is>
          <t>m'</t>
        </is>
      </c>
      <c r="D13885" s="15" t="n">
        <v>1.55</v>
      </c>
      <c r="E13885" s="4" t="n">
        <v>317500</v>
      </c>
      <c r="F13885" s="4" t="n">
        <v>492125</v>
      </c>
    </row>
    <row r="13886">
      <c r="D13886" s="2" t="inlineStr">
        <is>
          <t>SUBTOTAL UPAH</t>
        </is>
      </c>
      <c r="F13886" s="16" t="n">
        <v>150360</v>
      </c>
    </row>
    <row r="13887">
      <c r="D13887" s="2" t="inlineStr">
        <is>
          <t>SUBTOTAL BAHAN</t>
        </is>
      </c>
      <c r="F13887" s="16" t="n">
        <v>492125</v>
      </c>
    </row>
    <row r="13888">
      <c r="D13888" s="2" t="inlineStr">
        <is>
          <t>SUBTOTAL ALAT</t>
        </is>
      </c>
      <c r="F13888" s="16" t="n">
        <v>0</v>
      </c>
    </row>
    <row r="13889">
      <c r="E13889" s="2" t="inlineStr">
        <is>
          <t>TOTAL HARGA SATUAN (Inc. Overhead)</t>
        </is>
      </c>
      <c r="F13889" s="17" t="n">
        <v>706733</v>
      </c>
    </row>
    <row r="13891">
      <c r="A13891" s="14" t="inlineStr">
        <is>
          <t>KODE: 6.4.4.11 - Pemasangan 1 m pipa BS MED CLASS, DN. 6" (150 mm)</t>
        </is>
      </c>
    </row>
    <row r="13892">
      <c r="A13892" s="10" t="inlineStr">
        <is>
          <t>No</t>
        </is>
      </c>
      <c r="B13892" s="10" t="inlineStr">
        <is>
          <t>Uraian Komponen</t>
        </is>
      </c>
      <c r="C13892" s="10" t="inlineStr">
        <is>
          <t>Satuan</t>
        </is>
      </c>
      <c r="D13892" s="10" t="inlineStr">
        <is>
          <t>Koef</t>
        </is>
      </c>
      <c r="E13892" s="10" t="inlineStr">
        <is>
          <t>Harga Satuan (Rp)</t>
        </is>
      </c>
      <c r="F13892" s="10" t="inlineStr">
        <is>
          <t>Jumlah Harga (Rp)</t>
        </is>
      </c>
    </row>
    <row r="13893">
      <c r="A13893" s="3" t="inlineStr">
        <is>
          <t>1</t>
        </is>
      </c>
      <c r="B13893" s="3" t="inlineStr">
        <is>
          <t>Pekerja</t>
        </is>
      </c>
      <c r="C13893" s="3" t="inlineStr">
        <is>
          <t>OH</t>
        </is>
      </c>
      <c r="D13893" s="15" t="n">
        <v>0.473</v>
      </c>
      <c r="E13893" s="4" t="n">
        <v>100000</v>
      </c>
      <c r="F13893" s="4" t="n">
        <v>47300</v>
      </c>
    </row>
    <row r="13894">
      <c r="A13894" s="3" t="inlineStr">
        <is>
          <t>2</t>
        </is>
      </c>
      <c r="B13894" s="3" t="inlineStr">
        <is>
          <t>Tukang pipa</t>
        </is>
      </c>
      <c r="C13894" s="3" t="inlineStr">
        <is>
          <t>OH</t>
        </is>
      </c>
      <c r="D13894" s="15" t="n">
        <v>0.79</v>
      </c>
      <c r="E13894" s="4" t="n">
        <v>145000</v>
      </c>
      <c r="F13894" s="4" t="n">
        <v>114550</v>
      </c>
    </row>
    <row r="13895">
      <c r="A13895" s="3" t="inlineStr">
        <is>
          <t>3</t>
        </is>
      </c>
      <c r="B13895" s="3" t="inlineStr">
        <is>
          <t>Kepala tukang</t>
        </is>
      </c>
      <c r="C13895" s="3" t="inlineStr">
        <is>
          <t>OH</t>
        </is>
      </c>
      <c r="D13895" s="15" t="n">
        <v>0.079</v>
      </c>
      <c r="E13895" s="4" t="n">
        <v>175000</v>
      </c>
      <c r="F13895" s="4" t="n">
        <v>13825</v>
      </c>
    </row>
    <row r="13896">
      <c r="A13896" s="3" t="inlineStr">
        <is>
          <t>4</t>
        </is>
      </c>
      <c r="B13896" s="3" t="inlineStr">
        <is>
          <t>Mandor</t>
        </is>
      </c>
      <c r="C13896" s="3" t="inlineStr">
        <is>
          <t>OH</t>
        </is>
      </c>
      <c r="D13896" s="15" t="n">
        <v>0.024</v>
      </c>
      <c r="E13896" s="4" t="n">
        <v>200000</v>
      </c>
      <c r="F13896" s="4" t="n">
        <v>4800</v>
      </c>
    </row>
    <row r="13897">
      <c r="A13897" s="3" t="inlineStr">
        <is>
          <t>1</t>
        </is>
      </c>
      <c r="B13897" s="3" t="inlineStr">
        <is>
          <t>"Pipa BS MED CLASS ; DN. 6"" (150 mm) + fitting &amp; aksesoris"</t>
        </is>
      </c>
      <c r="C13897" s="3" t="inlineStr">
        <is>
          <t>m'</t>
        </is>
      </c>
      <c r="D13897" s="15" t="n">
        <v>1.55</v>
      </c>
      <c r="E13897" s="4" t="n">
        <v>377000</v>
      </c>
      <c r="F13897" s="4" t="n">
        <v>584350</v>
      </c>
    </row>
    <row r="13898">
      <c r="D13898" s="2" t="inlineStr">
        <is>
          <t>SUBTOTAL UPAH</t>
        </is>
      </c>
      <c r="F13898" s="16" t="n">
        <v>180475</v>
      </c>
    </row>
    <row r="13899">
      <c r="D13899" s="2" t="inlineStr">
        <is>
          <t>SUBTOTAL BAHAN</t>
        </is>
      </c>
      <c r="F13899" s="16" t="n">
        <v>584350</v>
      </c>
    </row>
    <row r="13900">
      <c r="D13900" s="2" t="inlineStr">
        <is>
          <t>SUBTOTAL ALAT</t>
        </is>
      </c>
      <c r="F13900" s="16" t="n">
        <v>0</v>
      </c>
    </row>
    <row r="13901">
      <c r="E13901" s="2" t="inlineStr">
        <is>
          <t>TOTAL HARGA SATUAN (Inc. Overhead)</t>
        </is>
      </c>
      <c r="F13901" s="17" t="n">
        <v>841307</v>
      </c>
    </row>
    <row r="13903">
      <c r="A13903" s="14" t="inlineStr">
        <is>
          <t>KODE: 6.4.4.12 - Pemasangan 1 m pipa BS MED CLASS, DN. 8" (200 mm)</t>
        </is>
      </c>
    </row>
    <row r="13904">
      <c r="A13904" s="10" t="inlineStr">
        <is>
          <t>No</t>
        </is>
      </c>
      <c r="B13904" s="10" t="inlineStr">
        <is>
          <t>Uraian Komponen</t>
        </is>
      </c>
      <c r="C13904" s="10" t="inlineStr">
        <is>
          <t>Satuan</t>
        </is>
      </c>
      <c r="D13904" s="10" t="inlineStr">
        <is>
          <t>Koef</t>
        </is>
      </c>
      <c r="E13904" s="10" t="inlineStr">
        <is>
          <t>Harga Satuan (Rp)</t>
        </is>
      </c>
      <c r="F13904" s="10" t="inlineStr">
        <is>
          <t>Jumlah Harga (Rp)</t>
        </is>
      </c>
    </row>
    <row r="13905">
      <c r="A13905" s="3" t="inlineStr">
        <is>
          <t>1</t>
        </is>
      </c>
      <c r="B13905" s="3" t="inlineStr">
        <is>
          <t>Pekerja</t>
        </is>
      </c>
      <c r="C13905" s="3" t="inlineStr">
        <is>
          <t>OH</t>
        </is>
      </c>
      <c r="D13905" s="15" t="n">
        <v>0.629</v>
      </c>
      <c r="E13905" s="4" t="n">
        <v>100000</v>
      </c>
      <c r="F13905" s="4" t="n">
        <v>62900</v>
      </c>
    </row>
    <row r="13906">
      <c r="A13906" s="3" t="inlineStr">
        <is>
          <t>2</t>
        </is>
      </c>
      <c r="B13906" s="3" t="inlineStr">
        <is>
          <t>Tukang pipa</t>
        </is>
      </c>
      <c r="C13906" s="3" t="inlineStr">
        <is>
          <t>OH</t>
        </is>
      </c>
      <c r="D13906" s="15" t="n">
        <v>1.051</v>
      </c>
      <c r="E13906" s="4" t="n">
        <v>145000</v>
      </c>
      <c r="F13906" s="4" t="n">
        <v>152395</v>
      </c>
    </row>
    <row r="13907">
      <c r="A13907" s="3" t="inlineStr">
        <is>
          <t>3</t>
        </is>
      </c>
      <c r="B13907" s="3" t="inlineStr">
        <is>
          <t>Kepala tukang</t>
        </is>
      </c>
      <c r="C13907" s="3" t="inlineStr">
        <is>
          <t>OH</t>
        </is>
      </c>
      <c r="D13907" s="15" t="n">
        <v>0.105</v>
      </c>
      <c r="E13907" s="4" t="n">
        <v>175000</v>
      </c>
      <c r="F13907" s="4" t="n">
        <v>18375</v>
      </c>
    </row>
    <row r="13908">
      <c r="A13908" s="3" t="inlineStr">
        <is>
          <t>4</t>
        </is>
      </c>
      <c r="B13908" s="3" t="inlineStr">
        <is>
          <t>Mandor</t>
        </is>
      </c>
      <c r="C13908" s="3" t="inlineStr">
        <is>
          <t>OH</t>
        </is>
      </c>
      <c r="D13908" s="15" t="n">
        <v>0.032</v>
      </c>
      <c r="E13908" s="4" t="n">
        <v>200000</v>
      </c>
      <c r="F13908" s="4" t="n">
        <v>6400</v>
      </c>
    </row>
    <row r="13909">
      <c r="A13909" s="3" t="inlineStr">
        <is>
          <t>1</t>
        </is>
      </c>
      <c r="B13909" s="3" t="inlineStr">
        <is>
          <t>"Pipa BS MED CLASS ; DN. 8"" (200 mm) + fitting &amp; aksesoris"</t>
        </is>
      </c>
      <c r="C13909" s="3" t="inlineStr">
        <is>
          <t>m'</t>
        </is>
      </c>
      <c r="D13909" s="15" t="n">
        <v>1.55</v>
      </c>
      <c r="E13909" s="4" t="n">
        <v>663500</v>
      </c>
      <c r="F13909" s="4" t="n">
        <v>1028425</v>
      </c>
    </row>
    <row r="13910">
      <c r="D13910" s="2" t="inlineStr">
        <is>
          <t>SUBTOTAL UPAH</t>
        </is>
      </c>
      <c r="F13910" s="16" t="n">
        <v>240070</v>
      </c>
    </row>
    <row r="13911">
      <c r="D13911" s="2" t="inlineStr">
        <is>
          <t>SUBTOTAL BAHAN</t>
        </is>
      </c>
      <c r="F13911" s="16" t="n">
        <v>1028425</v>
      </c>
    </row>
    <row r="13912">
      <c r="D13912" s="2" t="inlineStr">
        <is>
          <t>SUBTOTAL ALAT</t>
        </is>
      </c>
      <c r="F13912" s="16" t="n">
        <v>0</v>
      </c>
    </row>
    <row r="13913">
      <c r="E13913" s="2" t="inlineStr">
        <is>
          <t>TOTAL HARGA SATUAN (Inc. Overhead)</t>
        </is>
      </c>
      <c r="F13913" s="17" t="n">
        <v>1395344</v>
      </c>
    </row>
    <row r="13915">
      <c r="A13915" s="14" t="inlineStr">
        <is>
          <t>KODE: 6.4.4.13 - Pemasangan 1 m pipa BS MED CLASS, DN. 10" (250 mm)</t>
        </is>
      </c>
    </row>
    <row r="13916">
      <c r="A13916" s="10" t="inlineStr">
        <is>
          <t>No</t>
        </is>
      </c>
      <c r="B13916" s="10" t="inlineStr">
        <is>
          <t>Uraian Komponen</t>
        </is>
      </c>
      <c r="C13916" s="10" t="inlineStr">
        <is>
          <t>Satuan</t>
        </is>
      </c>
      <c r="D13916" s="10" t="inlineStr">
        <is>
          <t>Koef</t>
        </is>
      </c>
      <c r="E13916" s="10" t="inlineStr">
        <is>
          <t>Harga Satuan (Rp)</t>
        </is>
      </c>
      <c r="F13916" s="10" t="inlineStr">
        <is>
          <t>Jumlah Harga (Rp)</t>
        </is>
      </c>
    </row>
    <row r="13917">
      <c r="A13917" s="3" t="inlineStr">
        <is>
          <t>1</t>
        </is>
      </c>
      <c r="B13917" s="3" t="inlineStr">
        <is>
          <t>Pekerja</t>
        </is>
      </c>
      <c r="C13917" s="3" t="inlineStr">
        <is>
          <t>OH</t>
        </is>
      </c>
      <c r="D13917" s="15" t="n">
        <v>0.788</v>
      </c>
      <c r="E13917" s="4" t="n">
        <v>100000</v>
      </c>
      <c r="F13917" s="4" t="n">
        <v>78800</v>
      </c>
    </row>
    <row r="13918">
      <c r="A13918" s="3" t="inlineStr">
        <is>
          <t>2</t>
        </is>
      </c>
      <c r="B13918" s="3" t="inlineStr">
        <is>
          <t>Tukang pipa</t>
        </is>
      </c>
      <c r="C13918" s="3" t="inlineStr">
        <is>
          <t>OH</t>
        </is>
      </c>
      <c r="D13918" s="15" t="n">
        <v>1.315</v>
      </c>
      <c r="E13918" s="4" t="n">
        <v>145000</v>
      </c>
      <c r="F13918" s="4" t="n">
        <v>190675</v>
      </c>
    </row>
    <row r="13919">
      <c r="A13919" s="3" t="inlineStr">
        <is>
          <t>3</t>
        </is>
      </c>
      <c r="B13919" s="3" t="inlineStr">
        <is>
          <t>Kepala tukang</t>
        </is>
      </c>
      <c r="C13919" s="3" t="inlineStr">
        <is>
          <t>OH</t>
        </is>
      </c>
      <c r="D13919" s="15" t="n">
        <v>0.132</v>
      </c>
      <c r="E13919" s="4" t="n">
        <v>175000</v>
      </c>
      <c r="F13919" s="4" t="n">
        <v>23100</v>
      </c>
    </row>
    <row r="13920">
      <c r="A13920" s="3" t="inlineStr">
        <is>
          <t>4</t>
        </is>
      </c>
      <c r="B13920" s="3" t="inlineStr">
        <is>
          <t>Mandor</t>
        </is>
      </c>
      <c r="C13920" s="3" t="inlineStr">
        <is>
          <t>OH</t>
        </is>
      </c>
      <c r="D13920" s="15" t="n">
        <v>0.039</v>
      </c>
      <c r="E13920" s="4" t="n">
        <v>200000</v>
      </c>
      <c r="F13920" s="4" t="n">
        <v>7800</v>
      </c>
    </row>
    <row r="13921">
      <c r="A13921" s="3" t="inlineStr">
        <is>
          <t>1</t>
        </is>
      </c>
      <c r="B13921" s="3" t="inlineStr">
        <is>
          <t>"Pipa BS MED CLASS ; DN. 10"" (250 mm) + fitting &amp; aksesoris"</t>
        </is>
      </c>
      <c r="C13921" s="3" t="inlineStr">
        <is>
          <t>m'</t>
        </is>
      </c>
      <c r="D13921" s="15" t="n">
        <v>1.55</v>
      </c>
      <c r="E13921" s="4" t="n">
        <v>756000</v>
      </c>
      <c r="F13921" s="4" t="n">
        <v>1171800</v>
      </c>
    </row>
    <row r="13922">
      <c r="D13922" s="2" t="inlineStr">
        <is>
          <t>SUBTOTAL UPAH</t>
        </is>
      </c>
      <c r="F13922" s="16" t="n">
        <v>300375</v>
      </c>
    </row>
    <row r="13923">
      <c r="D13923" s="2" t="inlineStr">
        <is>
          <t>SUBTOTAL BAHAN</t>
        </is>
      </c>
      <c r="F13923" s="16" t="n">
        <v>1171800</v>
      </c>
    </row>
    <row r="13924">
      <c r="D13924" s="2" t="inlineStr">
        <is>
          <t>SUBTOTAL ALAT</t>
        </is>
      </c>
      <c r="F13924" s="16" t="n">
        <v>0</v>
      </c>
    </row>
    <row r="13925">
      <c r="E13925" s="2" t="inlineStr">
        <is>
          <t>TOTAL HARGA SATUAN (Inc. Overhead)</t>
        </is>
      </c>
      <c r="F13925" s="17" t="n">
        <v>1619392</v>
      </c>
    </row>
    <row r="13927">
      <c r="A13927" s="14" t="inlineStr">
        <is>
          <t>KODE: 6.4.4.14 - Pemasangan 1 m pipa BS MED CLASS, DN. 12" (300 mm)</t>
        </is>
      </c>
    </row>
    <row r="13928">
      <c r="A13928" s="10" t="inlineStr">
        <is>
          <t>No</t>
        </is>
      </c>
      <c r="B13928" s="10" t="inlineStr">
        <is>
          <t>Uraian Komponen</t>
        </is>
      </c>
      <c r="C13928" s="10" t="inlineStr">
        <is>
          <t>Satuan</t>
        </is>
      </c>
      <c r="D13928" s="10" t="inlineStr">
        <is>
          <t>Koef</t>
        </is>
      </c>
      <c r="E13928" s="10" t="inlineStr">
        <is>
          <t>Harga Satuan (Rp)</t>
        </is>
      </c>
      <c r="F13928" s="10" t="inlineStr">
        <is>
          <t>Jumlah Harga (Rp)</t>
        </is>
      </c>
    </row>
    <row r="13929">
      <c r="A13929" s="3" t="inlineStr">
        <is>
          <t>1</t>
        </is>
      </c>
      <c r="B13929" s="3" t="inlineStr">
        <is>
          <t>Pekerja</t>
        </is>
      </c>
      <c r="C13929" s="3" t="inlineStr">
        <is>
          <t>OH</t>
        </is>
      </c>
      <c r="D13929" s="15" t="n">
        <v>0.944</v>
      </c>
      <c r="E13929" s="4" t="n">
        <v>100000</v>
      </c>
      <c r="F13929" s="4" t="n">
        <v>94400</v>
      </c>
    </row>
    <row r="13930">
      <c r="A13930" s="3" t="inlineStr">
        <is>
          <t>2</t>
        </is>
      </c>
      <c r="B13930" s="3" t="inlineStr">
        <is>
          <t>Tukang pipa</t>
        </is>
      </c>
      <c r="C13930" s="3" t="inlineStr">
        <is>
          <t>OH</t>
        </is>
      </c>
      <c r="D13930" s="15" t="n">
        <v>1.576</v>
      </c>
      <c r="E13930" s="4" t="n">
        <v>145000</v>
      </c>
      <c r="F13930" s="4" t="n">
        <v>228520</v>
      </c>
    </row>
    <row r="13931">
      <c r="A13931" s="3" t="inlineStr">
        <is>
          <t>3</t>
        </is>
      </c>
      <c r="B13931" s="3" t="inlineStr">
        <is>
          <t>Kepala tukang</t>
        </is>
      </c>
      <c r="C13931" s="3" t="inlineStr">
        <is>
          <t>OH</t>
        </is>
      </c>
      <c r="D13931" s="15" t="n">
        <v>0.158</v>
      </c>
      <c r="E13931" s="4" t="n">
        <v>175000</v>
      </c>
      <c r="F13931" s="4" t="n">
        <v>27650</v>
      </c>
    </row>
    <row r="13932">
      <c r="A13932" s="3" t="inlineStr">
        <is>
          <t>4</t>
        </is>
      </c>
      <c r="B13932" s="3" t="inlineStr">
        <is>
          <t>Mandor</t>
        </is>
      </c>
      <c r="C13932" s="3" t="inlineStr">
        <is>
          <t>OH</t>
        </is>
      </c>
      <c r="D13932" s="15" t="n">
        <v>0.047</v>
      </c>
      <c r="E13932" s="4" t="n">
        <v>200000</v>
      </c>
      <c r="F13932" s="4" t="n">
        <v>9400</v>
      </c>
    </row>
    <row r="13933">
      <c r="A13933" s="3" t="inlineStr">
        <is>
          <t>1</t>
        </is>
      </c>
      <c r="B13933" s="3" t="inlineStr">
        <is>
          <t>"Pipa BS MED CLASS ; DN. 12"" (300 mm) + fitting &amp; aksesoris"</t>
        </is>
      </c>
      <c r="C13933" s="3" t="inlineStr">
        <is>
          <t>m'</t>
        </is>
      </c>
      <c r="D13933" s="15" t="n">
        <v>1.55</v>
      </c>
      <c r="E13933" s="4" t="n">
        <v>883000</v>
      </c>
      <c r="F13933" s="4" t="n">
        <v>1368650</v>
      </c>
    </row>
    <row r="13934">
      <c r="D13934" s="2" t="inlineStr">
        <is>
          <t>SUBTOTAL UPAH</t>
        </is>
      </c>
      <c r="F13934" s="16" t="n">
        <v>359970</v>
      </c>
    </row>
    <row r="13935">
      <c r="D13935" s="2" t="inlineStr">
        <is>
          <t>SUBTOTAL BAHAN</t>
        </is>
      </c>
      <c r="F13935" s="16" t="n">
        <v>1368650</v>
      </c>
    </row>
    <row r="13936">
      <c r="D13936" s="2" t="inlineStr">
        <is>
          <t>SUBTOTAL ALAT</t>
        </is>
      </c>
      <c r="F13936" s="16" t="n">
        <v>0</v>
      </c>
    </row>
    <row r="13937">
      <c r="E13937" s="2" t="inlineStr">
        <is>
          <t>TOTAL HARGA SATUAN (Inc. Overhead)</t>
        </is>
      </c>
      <c r="F13937" s="17" t="n">
        <v>1901482</v>
      </c>
    </row>
    <row r="13939">
      <c r="A13939" s="14" t="inlineStr">
        <is>
          <t>KODE: 6.4.4.15 - Pemasangan 1 m pipa BS MED CLASS, DN. 14" (350 mm)</t>
        </is>
      </c>
    </row>
    <row r="13940">
      <c r="A13940" s="10" t="inlineStr">
        <is>
          <t>No</t>
        </is>
      </c>
      <c r="B13940" s="10" t="inlineStr">
        <is>
          <t>Uraian Komponen</t>
        </is>
      </c>
      <c r="C13940" s="10" t="inlineStr">
        <is>
          <t>Satuan</t>
        </is>
      </c>
      <c r="D13940" s="10" t="inlineStr">
        <is>
          <t>Koef</t>
        </is>
      </c>
      <c r="E13940" s="10" t="inlineStr">
        <is>
          <t>Harga Satuan (Rp)</t>
        </is>
      </c>
      <c r="F13940" s="10" t="inlineStr">
        <is>
          <t>Jumlah Harga (Rp)</t>
        </is>
      </c>
    </row>
    <row r="13941">
      <c r="A13941" s="3" t="inlineStr">
        <is>
          <t>1</t>
        </is>
      </c>
      <c r="B13941" s="3" t="inlineStr">
        <is>
          <t>Pekerja</t>
        </is>
      </c>
      <c r="C13941" s="3" t="inlineStr">
        <is>
          <t>OH</t>
        </is>
      </c>
      <c r="D13941" s="15" t="n">
        <v>1.102</v>
      </c>
      <c r="E13941" s="4" t="n">
        <v>100000</v>
      </c>
      <c r="F13941" s="4" t="n">
        <v>110200</v>
      </c>
    </row>
    <row r="13942">
      <c r="A13942" s="3" t="inlineStr">
        <is>
          <t>2</t>
        </is>
      </c>
      <c r="B13942" s="3" t="inlineStr">
        <is>
          <t>Tukang pipa</t>
        </is>
      </c>
      <c r="C13942" s="3" t="inlineStr">
        <is>
          <t>OH</t>
        </is>
      </c>
      <c r="D13942" s="15" t="n">
        <v>1.84</v>
      </c>
      <c r="E13942" s="4" t="n">
        <v>145000</v>
      </c>
      <c r="F13942" s="4" t="n">
        <v>266800</v>
      </c>
    </row>
    <row r="13943">
      <c r="A13943" s="3" t="inlineStr">
        <is>
          <t>3</t>
        </is>
      </c>
      <c r="B13943" s="3" t="inlineStr">
        <is>
          <t>Kepala tukang</t>
        </is>
      </c>
      <c r="C13943" s="3" t="inlineStr">
        <is>
          <t>OH</t>
        </is>
      </c>
      <c r="D13943" s="15" t="n">
        <v>0.184</v>
      </c>
      <c r="E13943" s="4" t="n">
        <v>175000</v>
      </c>
      <c r="F13943" s="4" t="n">
        <v>32200</v>
      </c>
    </row>
    <row r="13944">
      <c r="A13944" s="3" t="inlineStr">
        <is>
          <t>4</t>
        </is>
      </c>
      <c r="B13944" s="3" t="inlineStr">
        <is>
          <t>Mandor</t>
        </is>
      </c>
      <c r="C13944" s="3" t="inlineStr">
        <is>
          <t>OH</t>
        </is>
      </c>
      <c r="D13944" s="15" t="n">
        <v>0.055</v>
      </c>
      <c r="E13944" s="4" t="n">
        <v>200000</v>
      </c>
      <c r="F13944" s="4" t="n">
        <v>11000</v>
      </c>
    </row>
    <row r="13945">
      <c r="A13945" s="3" t="inlineStr">
        <is>
          <t>1</t>
        </is>
      </c>
      <c r="B13945" s="3" t="inlineStr">
        <is>
          <t>"Pipa BS MED CLASS ; DN. 14"" (350 mm) + fitting &amp; aksesoris"</t>
        </is>
      </c>
      <c r="C13945" s="3" t="inlineStr">
        <is>
          <t>m'</t>
        </is>
      </c>
      <c r="D13945" s="15" t="n">
        <v>1.55</v>
      </c>
      <c r="E13945" s="4" t="n">
        <v>1086000</v>
      </c>
      <c r="F13945" s="4" t="n">
        <v>1683300</v>
      </c>
    </row>
    <row r="13946">
      <c r="D13946" s="2" t="inlineStr">
        <is>
          <t>SUBTOTAL UPAH</t>
        </is>
      </c>
      <c r="F13946" s="16" t="n">
        <v>420200</v>
      </c>
    </row>
    <row r="13947">
      <c r="D13947" s="2" t="inlineStr">
        <is>
          <t>SUBTOTAL BAHAN</t>
        </is>
      </c>
      <c r="F13947" s="16" t="n">
        <v>1683300</v>
      </c>
    </row>
    <row r="13948">
      <c r="D13948" s="2" t="inlineStr">
        <is>
          <t>SUBTOTAL ALAT</t>
        </is>
      </c>
      <c r="F13948" s="16" t="n">
        <v>0</v>
      </c>
    </row>
    <row r="13949">
      <c r="E13949" s="2" t="inlineStr">
        <is>
          <t>TOTAL HARGA SATUAN (Inc. Overhead)</t>
        </is>
      </c>
      <c r="F13949" s="17" t="n">
        <v>2313850</v>
      </c>
    </row>
    <row r="13951">
      <c r="A13951" s="14" t="inlineStr">
        <is>
          <t>KODE: 6.4.4.16 - Pemasangan 1 m pipa BS MED CLASS, DN. 16" (400 mm)</t>
        </is>
      </c>
    </row>
    <row r="13952">
      <c r="A13952" s="10" t="inlineStr">
        <is>
          <t>No</t>
        </is>
      </c>
      <c r="B13952" s="10" t="inlineStr">
        <is>
          <t>Uraian Komponen</t>
        </is>
      </c>
      <c r="C13952" s="10" t="inlineStr">
        <is>
          <t>Satuan</t>
        </is>
      </c>
      <c r="D13952" s="10" t="inlineStr">
        <is>
          <t>Koef</t>
        </is>
      </c>
      <c r="E13952" s="10" t="inlineStr">
        <is>
          <t>Harga Satuan (Rp)</t>
        </is>
      </c>
      <c r="F13952" s="10" t="inlineStr">
        <is>
          <t>Jumlah Harga (Rp)</t>
        </is>
      </c>
    </row>
    <row r="13953">
      <c r="A13953" s="3" t="inlineStr">
        <is>
          <t>1</t>
        </is>
      </c>
      <c r="B13953" s="3" t="inlineStr">
        <is>
          <t>Pekerja</t>
        </is>
      </c>
      <c r="C13953" s="3" t="inlineStr">
        <is>
          <t>OH</t>
        </is>
      </c>
      <c r="D13953" s="15" t="n">
        <v>1.258</v>
      </c>
      <c r="E13953" s="4" t="n">
        <v>100000</v>
      </c>
      <c r="F13953" s="4" t="n">
        <v>125800</v>
      </c>
    </row>
    <row r="13954">
      <c r="A13954" s="3" t="inlineStr">
        <is>
          <t>2</t>
        </is>
      </c>
      <c r="B13954" s="3" t="inlineStr">
        <is>
          <t>Tukang pipa</t>
        </is>
      </c>
      <c r="C13954" s="3" t="inlineStr">
        <is>
          <t>OH</t>
        </is>
      </c>
      <c r="D13954" s="15" t="n">
        <v>2.101</v>
      </c>
      <c r="E13954" s="4" t="n">
        <v>145000</v>
      </c>
      <c r="F13954" s="4" t="n">
        <v>304645</v>
      </c>
    </row>
    <row r="13955">
      <c r="A13955" s="3" t="inlineStr">
        <is>
          <t>3</t>
        </is>
      </c>
      <c r="B13955" s="3" t="inlineStr">
        <is>
          <t>Kepala tukang</t>
        </is>
      </c>
      <c r="C13955" s="3" t="inlineStr">
        <is>
          <t>OH</t>
        </is>
      </c>
      <c r="D13955" s="15" t="n">
        <v>0.21</v>
      </c>
      <c r="E13955" s="4" t="n">
        <v>175000</v>
      </c>
      <c r="F13955" s="4" t="n">
        <v>36750</v>
      </c>
    </row>
    <row r="13956">
      <c r="A13956" s="3" t="inlineStr">
        <is>
          <t>4</t>
        </is>
      </c>
      <c r="B13956" s="3" t="inlineStr">
        <is>
          <t>Mandor</t>
        </is>
      </c>
      <c r="C13956" s="3" t="inlineStr">
        <is>
          <t>OH</t>
        </is>
      </c>
      <c r="D13956" s="15" t="n">
        <v>0.063</v>
      </c>
      <c r="E13956" s="4" t="n">
        <v>200000</v>
      </c>
      <c r="F13956" s="4" t="n">
        <v>12600</v>
      </c>
    </row>
    <row r="13957">
      <c r="A13957" s="3" t="inlineStr">
        <is>
          <t>1</t>
        </is>
      </c>
      <c r="B13957" s="3" t="inlineStr">
        <is>
          <t>"Pipa BS MED CLASS ; DN. 16"" (400 mm) + fitting &amp; aksesoris"</t>
        </is>
      </c>
      <c r="C13957" s="3" t="inlineStr">
        <is>
          <t>m'</t>
        </is>
      </c>
      <c r="D13957" s="15" t="n">
        <v>1.55</v>
      </c>
      <c r="E13957" s="4" t="n">
        <v>1241000</v>
      </c>
      <c r="F13957" s="4" t="n">
        <v>1923550</v>
      </c>
    </row>
    <row r="13958">
      <c r="D13958" s="2" t="inlineStr">
        <is>
          <t>SUBTOTAL UPAH</t>
        </is>
      </c>
      <c r="F13958" s="16" t="n">
        <v>479795</v>
      </c>
    </row>
    <row r="13959">
      <c r="D13959" s="2" t="inlineStr">
        <is>
          <t>SUBTOTAL BAHAN</t>
        </is>
      </c>
      <c r="F13959" s="16" t="n">
        <v>1923550</v>
      </c>
    </row>
    <row r="13960">
      <c r="D13960" s="2" t="inlineStr">
        <is>
          <t>SUBTOTAL ALAT</t>
        </is>
      </c>
      <c r="F13960" s="16" t="n">
        <v>0</v>
      </c>
    </row>
    <row r="13961">
      <c r="E13961" s="2" t="inlineStr">
        <is>
          <t>TOTAL HARGA SATUAN (Inc. Overhead)</t>
        </is>
      </c>
      <c r="F13961" s="17" t="n">
        <v>2643679</v>
      </c>
    </row>
    <row r="13963">
      <c r="A13963" s="14" t="inlineStr">
        <is>
          <t>KODE: 6.4.4.17 - Pemasangan 1 m pipa BS SCH 40, DN. 1/2" (15 mm)</t>
        </is>
      </c>
    </row>
    <row r="13964">
      <c r="A13964" s="10" t="inlineStr">
        <is>
          <t>No</t>
        </is>
      </c>
      <c r="B13964" s="10" t="inlineStr">
        <is>
          <t>Uraian Komponen</t>
        </is>
      </c>
      <c r="C13964" s="10" t="inlineStr">
        <is>
          <t>Satuan</t>
        </is>
      </c>
      <c r="D13964" s="10" t="inlineStr">
        <is>
          <t>Koef</t>
        </is>
      </c>
      <c r="E13964" s="10" t="inlineStr">
        <is>
          <t>Harga Satuan (Rp)</t>
        </is>
      </c>
      <c r="F13964" s="10" t="inlineStr">
        <is>
          <t>Jumlah Harga (Rp)</t>
        </is>
      </c>
    </row>
    <row r="13965">
      <c r="A13965" s="3" t="inlineStr">
        <is>
          <t>1</t>
        </is>
      </c>
      <c r="B13965" s="3" t="inlineStr">
        <is>
          <t>Pekerja</t>
        </is>
      </c>
      <c r="C13965" s="3" t="inlineStr">
        <is>
          <t>OH</t>
        </is>
      </c>
      <c r="D13965" s="15" t="n">
        <v>0.035</v>
      </c>
      <c r="E13965" s="4" t="n">
        <v>100000</v>
      </c>
      <c r="F13965" s="4" t="n">
        <v>3500</v>
      </c>
    </row>
    <row r="13966">
      <c r="A13966" s="3" t="inlineStr">
        <is>
          <t>2</t>
        </is>
      </c>
      <c r="B13966" s="3" t="inlineStr">
        <is>
          <t>Tukang pipa</t>
        </is>
      </c>
      <c r="C13966" s="3" t="inlineStr">
        <is>
          <t>OH</t>
        </is>
      </c>
      <c r="D13966" s="15" t="n">
        <v>0.058</v>
      </c>
      <c r="E13966" s="4" t="n">
        <v>145000</v>
      </c>
      <c r="F13966" s="4" t="n">
        <v>8410</v>
      </c>
    </row>
    <row r="13967">
      <c r="A13967" s="3" t="inlineStr">
        <is>
          <t>3</t>
        </is>
      </c>
      <c r="B13967" s="3" t="inlineStr">
        <is>
          <t>Kepala tukang</t>
        </is>
      </c>
      <c r="C13967" s="3" t="inlineStr">
        <is>
          <t>OH</t>
        </is>
      </c>
      <c r="D13967" s="15" t="n">
        <v>0.006</v>
      </c>
      <c r="E13967" s="4" t="n">
        <v>175000</v>
      </c>
      <c r="F13967" s="4" t="n">
        <v>1050</v>
      </c>
    </row>
    <row r="13968">
      <c r="A13968" s="3" t="inlineStr">
        <is>
          <t>4</t>
        </is>
      </c>
      <c r="B13968" s="3" t="inlineStr">
        <is>
          <t>Mandor</t>
        </is>
      </c>
      <c r="C13968" s="3" t="inlineStr">
        <is>
          <t>OH</t>
        </is>
      </c>
      <c r="D13968" s="15" t="n">
        <v>0.002</v>
      </c>
      <c r="E13968" s="4" t="n">
        <v>200000</v>
      </c>
      <c r="F13968" s="4" t="n">
        <v>400</v>
      </c>
    </row>
    <row r="13969">
      <c r="A13969" s="3" t="inlineStr">
        <is>
          <t>1</t>
        </is>
      </c>
      <c r="B13969" s="3" t="inlineStr">
        <is>
          <t>"Pipa BS SCH 40 ; DN. 1/2"" (15 mm) + fitting &amp; aksesoris"</t>
        </is>
      </c>
      <c r="C13969" s="3" t="inlineStr">
        <is>
          <t>m'</t>
        </is>
      </c>
      <c r="D13969" s="15" t="n">
        <v>1.55</v>
      </c>
      <c r="E13969" s="4" t="n">
        <v>250000</v>
      </c>
      <c r="F13969" s="4" t="n">
        <v>387500</v>
      </c>
    </row>
    <row r="13970">
      <c r="D13970" s="2" t="inlineStr">
        <is>
          <t>SUBTOTAL UPAH</t>
        </is>
      </c>
      <c r="F13970" s="16" t="n">
        <v>13360</v>
      </c>
    </row>
    <row r="13971">
      <c r="D13971" s="2" t="inlineStr">
        <is>
          <t>SUBTOTAL BAHAN</t>
        </is>
      </c>
      <c r="F13971" s="16" t="n">
        <v>387500</v>
      </c>
    </row>
    <row r="13972">
      <c r="D13972" s="2" t="inlineStr">
        <is>
          <t>SUBTOTAL ALAT</t>
        </is>
      </c>
      <c r="F13972" s="16" t="n">
        <v>0</v>
      </c>
    </row>
    <row r="13973">
      <c r="E13973" s="2" t="inlineStr">
        <is>
          <t>TOTAL HARGA SATUAN (Inc. Overhead)</t>
        </is>
      </c>
      <c r="F13973" s="17" t="n">
        <v>440946</v>
      </c>
    </row>
    <row r="13975">
      <c r="A13975" s="14" t="inlineStr">
        <is>
          <t>KODE: 6.4.4.18 - Pemasangan 1 m pipa BS SCH 40, DN. 3/4" (20 mm)</t>
        </is>
      </c>
    </row>
    <row r="13976">
      <c r="A13976" s="10" t="inlineStr">
        <is>
          <t>No</t>
        </is>
      </c>
      <c r="B13976" s="10" t="inlineStr">
        <is>
          <t>Uraian Komponen</t>
        </is>
      </c>
      <c r="C13976" s="10" t="inlineStr">
        <is>
          <t>Satuan</t>
        </is>
      </c>
      <c r="D13976" s="10" t="inlineStr">
        <is>
          <t>Koef</t>
        </is>
      </c>
      <c r="E13976" s="10" t="inlineStr">
        <is>
          <t>Harga Satuan (Rp)</t>
        </is>
      </c>
      <c r="F13976" s="10" t="inlineStr">
        <is>
          <t>Jumlah Harga (Rp)</t>
        </is>
      </c>
    </row>
    <row r="13977">
      <c r="A13977" s="3" t="inlineStr">
        <is>
          <t>1</t>
        </is>
      </c>
      <c r="B13977" s="3" t="inlineStr">
        <is>
          <t>Pekerja</t>
        </is>
      </c>
      <c r="C13977" s="3" t="inlineStr">
        <is>
          <t>OH</t>
        </is>
      </c>
      <c r="D13977" s="15" t="n">
        <v>0.052</v>
      </c>
      <c r="E13977" s="4" t="n">
        <v>100000</v>
      </c>
      <c r="F13977" s="4" t="n">
        <v>5200</v>
      </c>
    </row>
    <row r="13978">
      <c r="A13978" s="3" t="inlineStr">
        <is>
          <t>2</t>
        </is>
      </c>
      <c r="B13978" s="3" t="inlineStr">
        <is>
          <t>Tukang pipa</t>
        </is>
      </c>
      <c r="C13978" s="3" t="inlineStr">
        <is>
          <t>OH</t>
        </is>
      </c>
      <c r="D13978" s="15" t="n">
        <v>0.08699999999999999</v>
      </c>
      <c r="E13978" s="4" t="n">
        <v>145000</v>
      </c>
      <c r="F13978" s="4" t="n">
        <v>12615</v>
      </c>
    </row>
    <row r="13979">
      <c r="A13979" s="3" t="inlineStr">
        <is>
          <t>3</t>
        </is>
      </c>
      <c r="B13979" s="3" t="inlineStr">
        <is>
          <t>Kepala tukang</t>
        </is>
      </c>
      <c r="C13979" s="3" t="inlineStr">
        <is>
          <t>OH</t>
        </is>
      </c>
      <c r="D13979" s="15" t="n">
        <v>0.008999999999999999</v>
      </c>
      <c r="E13979" s="4" t="n">
        <v>175000</v>
      </c>
      <c r="F13979" s="4" t="n">
        <v>1575</v>
      </c>
    </row>
    <row r="13980">
      <c r="A13980" s="3" t="inlineStr">
        <is>
          <t>4</t>
        </is>
      </c>
      <c r="B13980" s="3" t="inlineStr">
        <is>
          <t>Mandor</t>
        </is>
      </c>
      <c r="C13980" s="3" t="inlineStr">
        <is>
          <t>OH</t>
        </is>
      </c>
      <c r="D13980" s="15" t="n">
        <v>0.003</v>
      </c>
      <c r="E13980" s="4" t="n">
        <v>200000</v>
      </c>
      <c r="F13980" s="4" t="n">
        <v>600</v>
      </c>
    </row>
    <row r="13981">
      <c r="A13981" s="3" t="inlineStr">
        <is>
          <t>1</t>
        </is>
      </c>
      <c r="B13981" s="3" t="inlineStr">
        <is>
          <t>"Pipa BS SCH 40 ; DN. 3/4"" (20 mm) + fitting &amp; aksesoris"</t>
        </is>
      </c>
      <c r="C13981" s="3" t="inlineStr">
        <is>
          <t>m'</t>
        </is>
      </c>
      <c r="D13981" s="15" t="n">
        <v>1.55</v>
      </c>
      <c r="E13981" s="4" t="n">
        <v>260000</v>
      </c>
      <c r="F13981" s="4" t="n">
        <v>403000</v>
      </c>
    </row>
    <row r="13982">
      <c r="D13982" s="2" t="inlineStr">
        <is>
          <t>SUBTOTAL UPAH</t>
        </is>
      </c>
      <c r="F13982" s="16" t="n">
        <v>19990</v>
      </c>
    </row>
    <row r="13983">
      <c r="D13983" s="2" t="inlineStr">
        <is>
          <t>SUBTOTAL BAHAN</t>
        </is>
      </c>
      <c r="F13983" s="16" t="n">
        <v>403000</v>
      </c>
    </row>
    <row r="13984">
      <c r="D13984" s="2" t="inlineStr">
        <is>
          <t>SUBTOTAL ALAT</t>
        </is>
      </c>
      <c r="F13984" s="16" t="n">
        <v>0</v>
      </c>
    </row>
    <row r="13985">
      <c r="E13985" s="2" t="inlineStr">
        <is>
          <t>TOTAL HARGA SATUAN (Inc. Overhead)</t>
        </is>
      </c>
      <c r="F13985" s="17" t="n">
        <v>465289</v>
      </c>
    </row>
    <row r="13987">
      <c r="A13987" s="14" t="inlineStr">
        <is>
          <t>KODE: 6.4.4.19 - Pemasangan 1 m pipa BS SCH 40, DN. 1" (25 mm)</t>
        </is>
      </c>
    </row>
    <row r="13988">
      <c r="A13988" s="10" t="inlineStr">
        <is>
          <t>No</t>
        </is>
      </c>
      <c r="B13988" s="10" t="inlineStr">
        <is>
          <t>Uraian Komponen</t>
        </is>
      </c>
      <c r="C13988" s="10" t="inlineStr">
        <is>
          <t>Satuan</t>
        </is>
      </c>
      <c r="D13988" s="10" t="inlineStr">
        <is>
          <t>Koef</t>
        </is>
      </c>
      <c r="E13988" s="10" t="inlineStr">
        <is>
          <t>Harga Satuan (Rp)</t>
        </is>
      </c>
      <c r="F13988" s="10" t="inlineStr">
        <is>
          <t>Jumlah Harga (Rp)</t>
        </is>
      </c>
    </row>
    <row r="13989">
      <c r="A13989" s="3" t="inlineStr">
        <is>
          <t>1</t>
        </is>
      </c>
      <c r="B13989" s="3" t="inlineStr">
        <is>
          <t>Pekerja</t>
        </is>
      </c>
      <c r="C13989" s="3" t="inlineStr">
        <is>
          <t>OH</t>
        </is>
      </c>
      <c r="D13989" s="15" t="n">
        <v>0.06900000000000001</v>
      </c>
      <c r="E13989" s="4" t="n">
        <v>100000</v>
      </c>
      <c r="F13989" s="4" t="n">
        <v>6900.000000000001</v>
      </c>
    </row>
    <row r="13990">
      <c r="A13990" s="3" t="inlineStr">
        <is>
          <t>2</t>
        </is>
      </c>
      <c r="B13990" s="3" t="inlineStr">
        <is>
          <t>Tukang pipa</t>
        </is>
      </c>
      <c r="C13990" s="3" t="inlineStr">
        <is>
          <t>OH</t>
        </is>
      </c>
      <c r="D13990" s="15" t="n">
        <v>0.115</v>
      </c>
      <c r="E13990" s="4" t="n">
        <v>145000</v>
      </c>
      <c r="F13990" s="4" t="n">
        <v>16675</v>
      </c>
    </row>
    <row r="13991">
      <c r="A13991" s="3" t="inlineStr">
        <is>
          <t>3</t>
        </is>
      </c>
      <c r="B13991" s="3" t="inlineStr">
        <is>
          <t>Kepala tukang</t>
        </is>
      </c>
      <c r="C13991" s="3" t="inlineStr">
        <is>
          <t>OH</t>
        </is>
      </c>
      <c r="D13991" s="15" t="n">
        <v>0.011</v>
      </c>
      <c r="E13991" s="4" t="n">
        <v>175000</v>
      </c>
      <c r="F13991" s="4" t="n">
        <v>1925</v>
      </c>
    </row>
    <row r="13992">
      <c r="A13992" s="3" t="inlineStr">
        <is>
          <t>4</t>
        </is>
      </c>
      <c r="B13992" s="3" t="inlineStr">
        <is>
          <t>Mandor</t>
        </is>
      </c>
      <c r="C13992" s="3" t="inlineStr">
        <is>
          <t>OH</t>
        </is>
      </c>
      <c r="D13992" s="15" t="n">
        <v>0.003</v>
      </c>
      <c r="E13992" s="4" t="n">
        <v>200000</v>
      </c>
      <c r="F13992" s="4" t="n">
        <v>600</v>
      </c>
    </row>
    <row r="13993">
      <c r="A13993" s="3" t="inlineStr">
        <is>
          <t>1</t>
        </is>
      </c>
      <c r="B13993" s="3" t="inlineStr">
        <is>
          <t>"Pipa BS SCH 40 ; DN. 3/4"" (20 mm) + fitting &amp; aksesoris"</t>
        </is>
      </c>
      <c r="C13993" s="3" t="inlineStr">
        <is>
          <t>m'</t>
        </is>
      </c>
      <c r="D13993" s="15" t="n">
        <v>1.55</v>
      </c>
      <c r="E13993" s="4" t="n">
        <v>260000</v>
      </c>
      <c r="F13993" s="4" t="n">
        <v>403000</v>
      </c>
    </row>
    <row r="13994">
      <c r="D13994" s="2" t="inlineStr">
        <is>
          <t>SUBTOTAL UPAH</t>
        </is>
      </c>
      <c r="F13994" s="16" t="n">
        <v>26100</v>
      </c>
    </row>
    <row r="13995">
      <c r="D13995" s="2" t="inlineStr">
        <is>
          <t>SUBTOTAL BAHAN</t>
        </is>
      </c>
      <c r="F13995" s="16" t="n">
        <v>403000</v>
      </c>
    </row>
    <row r="13996">
      <c r="D13996" s="2" t="inlineStr">
        <is>
          <t>SUBTOTAL ALAT</t>
        </is>
      </c>
      <c r="F13996" s="16" t="n">
        <v>0</v>
      </c>
    </row>
    <row r="13997">
      <c r="E13997" s="2" t="inlineStr">
        <is>
          <t>TOTAL HARGA SATUAN (Inc. Overhead)</t>
        </is>
      </c>
      <c r="F13997" s="17" t="n">
        <v>472010</v>
      </c>
    </row>
    <row r="13999">
      <c r="A13999" s="14" t="inlineStr">
        <is>
          <t>KODE: 6.4.4.20 - Pemasangan 1 m pipa BS SCH 40, DN. 1-1/4" (32 mm)</t>
        </is>
      </c>
    </row>
    <row r="14000">
      <c r="A14000" s="10" t="inlineStr">
        <is>
          <t>No</t>
        </is>
      </c>
      <c r="B14000" s="10" t="inlineStr">
        <is>
          <t>Uraian Komponen</t>
        </is>
      </c>
      <c r="C14000" s="10" t="inlineStr">
        <is>
          <t>Satuan</t>
        </is>
      </c>
      <c r="D14000" s="10" t="inlineStr">
        <is>
          <t>Koef</t>
        </is>
      </c>
      <c r="E14000" s="10" t="inlineStr">
        <is>
          <t>Harga Satuan (Rp)</t>
        </is>
      </c>
      <c r="F14000" s="10" t="inlineStr">
        <is>
          <t>Jumlah Harga (Rp)</t>
        </is>
      </c>
    </row>
    <row r="14001">
      <c r="A14001" s="3" t="inlineStr">
        <is>
          <t>1</t>
        </is>
      </c>
      <c r="B14001" s="3" t="inlineStr">
        <is>
          <t>Pekerja</t>
        </is>
      </c>
      <c r="C14001" s="3" t="inlineStr">
        <is>
          <t>OH</t>
        </is>
      </c>
      <c r="D14001" s="15" t="n">
        <v>0.08500000000000001</v>
      </c>
      <c r="E14001" s="4" t="n">
        <v>100000</v>
      </c>
      <c r="F14001" s="4" t="n">
        <v>8500</v>
      </c>
    </row>
    <row r="14002">
      <c r="A14002" s="3" t="inlineStr">
        <is>
          <t>2</t>
        </is>
      </c>
      <c r="B14002" s="3" t="inlineStr">
        <is>
          <t>Tukang pipa</t>
        </is>
      </c>
      <c r="C14002" s="3" t="inlineStr">
        <is>
          <t>OH</t>
        </is>
      </c>
      <c r="D14002" s="15" t="n">
        <v>0.143</v>
      </c>
      <c r="E14002" s="4" t="n">
        <v>145000</v>
      </c>
      <c r="F14002" s="4" t="n">
        <v>20735</v>
      </c>
    </row>
    <row r="14003">
      <c r="A14003" s="3" t="inlineStr">
        <is>
          <t>3</t>
        </is>
      </c>
      <c r="B14003" s="3" t="inlineStr">
        <is>
          <t>Kepala tukang</t>
        </is>
      </c>
      <c r="C14003" s="3" t="inlineStr">
        <is>
          <t>OH</t>
        </is>
      </c>
      <c r="D14003" s="15" t="n">
        <v>0.014</v>
      </c>
      <c r="E14003" s="4" t="n">
        <v>175000</v>
      </c>
      <c r="F14003" s="4" t="n">
        <v>2450</v>
      </c>
    </row>
    <row r="14004">
      <c r="A14004" s="3" t="inlineStr">
        <is>
          <t>4</t>
        </is>
      </c>
      <c r="B14004" s="3" t="inlineStr">
        <is>
          <t>Mandor</t>
        </is>
      </c>
      <c r="C14004" s="3" t="inlineStr">
        <is>
          <t>OH</t>
        </is>
      </c>
      <c r="D14004" s="15" t="n">
        <v>0.004</v>
      </c>
      <c r="E14004" s="4" t="n">
        <v>200000</v>
      </c>
      <c r="F14004" s="4" t="n">
        <v>800</v>
      </c>
    </row>
    <row r="14005">
      <c r="A14005" s="3" t="inlineStr">
        <is>
          <t>1</t>
        </is>
      </c>
      <c r="B14005" s="3" t="inlineStr">
        <is>
          <t>"Pipa BS SCH 40 ; DN. 1-1/4"" (32 mm) + fitting &amp; aksesoris"</t>
        </is>
      </c>
      <c r="C14005" s="3" t="inlineStr">
        <is>
          <t>m'</t>
        </is>
      </c>
      <c r="D14005" s="15" t="n">
        <v>1.55</v>
      </c>
      <c r="E14005" s="4" t="n">
        <v>270000</v>
      </c>
      <c r="F14005" s="4" t="n">
        <v>418500</v>
      </c>
    </row>
    <row r="14006">
      <c r="D14006" s="2" t="inlineStr">
        <is>
          <t>SUBTOTAL UPAH</t>
        </is>
      </c>
      <c r="F14006" s="16" t="n">
        <v>32485</v>
      </c>
    </row>
    <row r="14007">
      <c r="D14007" s="2" t="inlineStr">
        <is>
          <t>SUBTOTAL BAHAN</t>
        </is>
      </c>
      <c r="F14007" s="16" t="n">
        <v>418500</v>
      </c>
    </row>
    <row r="14008">
      <c r="D14008" s="2" t="inlineStr">
        <is>
          <t>SUBTOTAL ALAT</t>
        </is>
      </c>
      <c r="F14008" s="16" t="n">
        <v>0</v>
      </c>
    </row>
    <row r="14009">
      <c r="E14009" s="2" t="inlineStr">
        <is>
          <t>TOTAL HARGA SATUAN (Inc. Overhead)</t>
        </is>
      </c>
      <c r="F14009" s="17" t="n">
        <v>496083</v>
      </c>
    </row>
    <row r="14011">
      <c r="A14011" s="14" t="inlineStr">
        <is>
          <t>KODE: 6.4.4.21 - Pemasangan 1 m pipa BS SCH 40, DN. 1-1/2" (40 mm)</t>
        </is>
      </c>
    </row>
    <row r="14012">
      <c r="A14012" s="10" t="inlineStr">
        <is>
          <t>No</t>
        </is>
      </c>
      <c r="B14012" s="10" t="inlineStr">
        <is>
          <t>Uraian Komponen</t>
        </is>
      </c>
      <c r="C14012" s="10" t="inlineStr">
        <is>
          <t>Satuan</t>
        </is>
      </c>
      <c r="D14012" s="10" t="inlineStr">
        <is>
          <t>Koef</t>
        </is>
      </c>
      <c r="E14012" s="10" t="inlineStr">
        <is>
          <t>Harga Satuan (Rp)</t>
        </is>
      </c>
      <c r="F14012" s="10" t="inlineStr">
        <is>
          <t>Jumlah Harga (Rp)</t>
        </is>
      </c>
    </row>
    <row r="14013">
      <c r="A14013" s="3" t="inlineStr">
        <is>
          <t>1</t>
        </is>
      </c>
      <c r="B14013" s="3" t="inlineStr">
        <is>
          <t>Pekerja</t>
        </is>
      </c>
      <c r="C14013" s="3" t="inlineStr">
        <is>
          <t>OH</t>
        </is>
      </c>
      <c r="D14013" s="15" t="n">
        <v>0.104</v>
      </c>
      <c r="E14013" s="4" t="n">
        <v>100000</v>
      </c>
      <c r="F14013" s="4" t="n">
        <v>10400</v>
      </c>
    </row>
    <row r="14014">
      <c r="A14014" s="3" t="inlineStr">
        <is>
          <t>2</t>
        </is>
      </c>
      <c r="B14014" s="3" t="inlineStr">
        <is>
          <t>Tukang pipa</t>
        </is>
      </c>
      <c r="C14014" s="3" t="inlineStr">
        <is>
          <t>OH</t>
        </is>
      </c>
      <c r="D14014" s="15" t="n">
        <v>0.174</v>
      </c>
      <c r="E14014" s="4" t="n">
        <v>145000</v>
      </c>
      <c r="F14014" s="4" t="n">
        <v>25230</v>
      </c>
    </row>
    <row r="14015">
      <c r="A14015" s="3" t="inlineStr">
        <is>
          <t>3</t>
        </is>
      </c>
      <c r="B14015" s="3" t="inlineStr">
        <is>
          <t>Kepala tukang</t>
        </is>
      </c>
      <c r="C14015" s="3" t="inlineStr">
        <is>
          <t>OH</t>
        </is>
      </c>
      <c r="D14015" s="15" t="n">
        <v>0.017</v>
      </c>
      <c r="E14015" s="4" t="n">
        <v>175000</v>
      </c>
      <c r="F14015" s="4" t="n">
        <v>2975</v>
      </c>
    </row>
    <row r="14016">
      <c r="A14016" s="3" t="inlineStr">
        <is>
          <t>4</t>
        </is>
      </c>
      <c r="B14016" s="3" t="inlineStr">
        <is>
          <t>Mandor</t>
        </is>
      </c>
      <c r="C14016" s="3" t="inlineStr">
        <is>
          <t>OH</t>
        </is>
      </c>
      <c r="D14016" s="15" t="n">
        <v>0.005</v>
      </c>
      <c r="E14016" s="4" t="n">
        <v>200000</v>
      </c>
      <c r="F14016" s="4" t="n">
        <v>1000</v>
      </c>
    </row>
    <row r="14017">
      <c r="A14017" s="3" t="inlineStr">
        <is>
          <t>1</t>
        </is>
      </c>
      <c r="B14017" s="3" t="inlineStr">
        <is>
          <t>"Pipa BS SCH 40 ; DN. 1-1/2"" (40 mm) + fitting &amp; aksesoris"</t>
        </is>
      </c>
      <c r="C14017" s="3" t="inlineStr">
        <is>
          <t>m'</t>
        </is>
      </c>
      <c r="D14017" s="15" t="n">
        <v>1.55</v>
      </c>
      <c r="E14017" s="4" t="n">
        <v>280000</v>
      </c>
      <c r="F14017" s="4" t="n">
        <v>434000</v>
      </c>
    </row>
    <row r="14018">
      <c r="D14018" s="2" t="inlineStr">
        <is>
          <t>SUBTOTAL UPAH</t>
        </is>
      </c>
      <c r="F14018" s="16" t="n">
        <v>39605</v>
      </c>
    </row>
    <row r="14019">
      <c r="D14019" s="2" t="inlineStr">
        <is>
          <t>SUBTOTAL BAHAN</t>
        </is>
      </c>
      <c r="F14019" s="16" t="n">
        <v>434000</v>
      </c>
    </row>
    <row r="14020">
      <c r="D14020" s="2" t="inlineStr">
        <is>
          <t>SUBTOTAL ALAT</t>
        </is>
      </c>
      <c r="F14020" s="16" t="n">
        <v>0</v>
      </c>
    </row>
    <row r="14021">
      <c r="E14021" s="2" t="inlineStr">
        <is>
          <t>TOTAL HARGA SATUAN (Inc. Overhead)</t>
        </is>
      </c>
      <c r="F14021" s="17" t="n">
        <v>520965</v>
      </c>
    </row>
    <row r="14023">
      <c r="A14023" s="14" t="inlineStr">
        <is>
          <t>KODE: 6.4.4.22 - Pemasangan 1 m pipa BS SCH 40, DN. 2" (50 mm)</t>
        </is>
      </c>
    </row>
    <row r="14024">
      <c r="A14024" s="10" t="inlineStr">
        <is>
          <t>No</t>
        </is>
      </c>
      <c r="B14024" s="10" t="inlineStr">
        <is>
          <t>Uraian Komponen</t>
        </is>
      </c>
      <c r="C14024" s="10" t="inlineStr">
        <is>
          <t>Satuan</t>
        </is>
      </c>
      <c r="D14024" s="10" t="inlineStr">
        <is>
          <t>Koef</t>
        </is>
      </c>
      <c r="E14024" s="10" t="inlineStr">
        <is>
          <t>Harga Satuan (Rp)</t>
        </is>
      </c>
      <c r="F14024" s="10" t="inlineStr">
        <is>
          <t>Jumlah Harga (Rp)</t>
        </is>
      </c>
    </row>
    <row r="14025">
      <c r="A14025" s="3" t="inlineStr">
        <is>
          <t>1</t>
        </is>
      </c>
      <c r="B14025" s="3" t="inlineStr">
        <is>
          <t>Pekerja</t>
        </is>
      </c>
      <c r="C14025" s="3" t="inlineStr">
        <is>
          <t>OH</t>
        </is>
      </c>
      <c r="D14025" s="15" t="n">
        <v>0.138</v>
      </c>
      <c r="E14025" s="4" t="n">
        <v>100000</v>
      </c>
      <c r="F14025" s="4" t="n">
        <v>13800</v>
      </c>
    </row>
    <row r="14026">
      <c r="A14026" s="3" t="inlineStr">
        <is>
          <t>2</t>
        </is>
      </c>
      <c r="B14026" s="3" t="inlineStr">
        <is>
          <t>Tukang pipa</t>
        </is>
      </c>
      <c r="C14026" s="3" t="inlineStr">
        <is>
          <t>OH</t>
        </is>
      </c>
      <c r="D14026" s="15" t="n">
        <v>0.23</v>
      </c>
      <c r="E14026" s="4" t="n">
        <v>145000</v>
      </c>
      <c r="F14026" s="4" t="n">
        <v>33350</v>
      </c>
    </row>
    <row r="14027">
      <c r="A14027" s="3" t="inlineStr">
        <is>
          <t>3</t>
        </is>
      </c>
      <c r="B14027" s="3" t="inlineStr">
        <is>
          <t>Kepala tukang</t>
        </is>
      </c>
      <c r="C14027" s="3" t="inlineStr">
        <is>
          <t>OH</t>
        </is>
      </c>
      <c r="D14027" s="15" t="n">
        <v>0.023</v>
      </c>
      <c r="E14027" s="4" t="n">
        <v>175000</v>
      </c>
      <c r="F14027" s="4" t="n">
        <v>4025</v>
      </c>
    </row>
    <row r="14028">
      <c r="A14028" s="3" t="inlineStr">
        <is>
          <t>4</t>
        </is>
      </c>
      <c r="B14028" s="3" t="inlineStr">
        <is>
          <t>Mandor</t>
        </is>
      </c>
      <c r="C14028" s="3" t="inlineStr">
        <is>
          <t>OH</t>
        </is>
      </c>
      <c r="D14028" s="15" t="n">
        <v>0.007</v>
      </c>
      <c r="E14028" s="4" t="n">
        <v>200000</v>
      </c>
      <c r="F14028" s="4" t="n">
        <v>1400</v>
      </c>
    </row>
    <row r="14029">
      <c r="A14029" s="3" t="inlineStr">
        <is>
          <t>1</t>
        </is>
      </c>
      <c r="B14029" s="3" t="inlineStr">
        <is>
          <t>"Pipa BS SCH 40 ; DN. 2"" (50 mm) + fitting &amp; aksesoris"</t>
        </is>
      </c>
      <c r="C14029" s="3" t="inlineStr">
        <is>
          <t>m'</t>
        </is>
      </c>
      <c r="D14029" s="15" t="n">
        <v>1.55</v>
      </c>
      <c r="E14029" s="4" t="n">
        <v>290000</v>
      </c>
      <c r="F14029" s="4" t="n">
        <v>449500</v>
      </c>
    </row>
    <row r="14030">
      <c r="D14030" s="2" t="inlineStr">
        <is>
          <t>SUBTOTAL UPAH</t>
        </is>
      </c>
      <c r="F14030" s="16" t="n">
        <v>52575</v>
      </c>
    </row>
    <row r="14031">
      <c r="D14031" s="2" t="inlineStr">
        <is>
          <t>SUBTOTAL BAHAN</t>
        </is>
      </c>
      <c r="F14031" s="16" t="n">
        <v>449500</v>
      </c>
    </row>
    <row r="14032">
      <c r="D14032" s="2" t="inlineStr">
        <is>
          <t>SUBTOTAL ALAT</t>
        </is>
      </c>
      <c r="F14032" s="16" t="n">
        <v>0</v>
      </c>
    </row>
    <row r="14033">
      <c r="E14033" s="2" t="inlineStr">
        <is>
          <t>TOTAL HARGA SATUAN (Inc. Overhead)</t>
        </is>
      </c>
      <c r="F14033" s="17" t="n">
        <v>552282</v>
      </c>
    </row>
    <row r="14035">
      <c r="A14035" s="14" t="inlineStr">
        <is>
          <t>KODE: 6.4.4.23 - Pemasangan 1 m pipa BS SCH 40, DN. 2-1/2" (65 mm)</t>
        </is>
      </c>
    </row>
    <row r="14036">
      <c r="A14036" s="10" t="inlineStr">
        <is>
          <t>No</t>
        </is>
      </c>
      <c r="B14036" s="10" t="inlineStr">
        <is>
          <t>Uraian Komponen</t>
        </is>
      </c>
      <c r="C14036" s="10" t="inlineStr">
        <is>
          <t>Satuan</t>
        </is>
      </c>
      <c r="D14036" s="10" t="inlineStr">
        <is>
          <t>Koef</t>
        </is>
      </c>
      <c r="E14036" s="10" t="inlineStr">
        <is>
          <t>Harga Satuan (Rp)</t>
        </is>
      </c>
      <c r="F14036" s="10" t="inlineStr">
        <is>
          <t>Jumlah Harga (Rp)</t>
        </is>
      </c>
    </row>
    <row r="14037">
      <c r="A14037" s="3" t="inlineStr">
        <is>
          <t>1</t>
        </is>
      </c>
      <c r="B14037" s="3" t="inlineStr">
        <is>
          <t>Pekerja</t>
        </is>
      </c>
      <c r="C14037" s="3" t="inlineStr">
        <is>
          <t>OH</t>
        </is>
      </c>
      <c r="D14037" s="15" t="n">
        <v>0.171</v>
      </c>
      <c r="E14037" s="4" t="n">
        <v>100000</v>
      </c>
      <c r="F14037" s="4" t="n">
        <v>17100</v>
      </c>
    </row>
    <row r="14038">
      <c r="A14038" s="3" t="inlineStr">
        <is>
          <t>2</t>
        </is>
      </c>
      <c r="B14038" s="3" t="inlineStr">
        <is>
          <t>Tukang pipa</t>
        </is>
      </c>
      <c r="C14038" s="3" t="inlineStr">
        <is>
          <t>OH</t>
        </is>
      </c>
      <c r="D14038" s="15" t="n">
        <v>0.285</v>
      </c>
      <c r="E14038" s="4" t="n">
        <v>145000</v>
      </c>
      <c r="F14038" s="4" t="n">
        <v>41325</v>
      </c>
    </row>
    <row r="14039">
      <c r="A14039" s="3" t="inlineStr">
        <is>
          <t>3</t>
        </is>
      </c>
      <c r="B14039" s="3" t="inlineStr">
        <is>
          <t>Kepala tukang</t>
        </is>
      </c>
      <c r="C14039" s="3" t="inlineStr">
        <is>
          <t>OH</t>
        </is>
      </c>
      <c r="D14039" s="15" t="n">
        <v>0.029</v>
      </c>
      <c r="E14039" s="4" t="n">
        <v>175000</v>
      </c>
      <c r="F14039" s="4" t="n">
        <v>5075</v>
      </c>
    </row>
    <row r="14040">
      <c r="A14040" s="3" t="inlineStr">
        <is>
          <t>4</t>
        </is>
      </c>
      <c r="B14040" s="3" t="inlineStr">
        <is>
          <t>Mandor</t>
        </is>
      </c>
      <c r="C14040" s="3" t="inlineStr">
        <is>
          <t>OH</t>
        </is>
      </c>
      <c r="D14040" s="15" t="n">
        <v>0.008999999999999999</v>
      </c>
      <c r="E14040" s="4" t="n">
        <v>200000</v>
      </c>
      <c r="F14040" s="4" t="n">
        <v>1800</v>
      </c>
    </row>
    <row r="14041">
      <c r="A14041" s="3" t="inlineStr">
        <is>
          <t>1</t>
        </is>
      </c>
      <c r="B14041" s="3" t="inlineStr">
        <is>
          <t>"Pipa BS SCH 40 ; DN. 2-1/2"" (65 mm) + fitting &amp; aksesoris"</t>
        </is>
      </c>
      <c r="C14041" s="3" t="inlineStr">
        <is>
          <t>m'</t>
        </is>
      </c>
      <c r="D14041" s="15" t="n">
        <v>1.55</v>
      </c>
      <c r="E14041" s="4" t="n">
        <v>300000</v>
      </c>
      <c r="F14041" s="4" t="n">
        <v>465000</v>
      </c>
    </row>
    <row r="14042">
      <c r="D14042" s="2" t="inlineStr">
        <is>
          <t>SUBTOTAL UPAH</t>
        </is>
      </c>
      <c r="F14042" s="16" t="n">
        <v>65300</v>
      </c>
    </row>
    <row r="14043">
      <c r="D14043" s="2" t="inlineStr">
        <is>
          <t>SUBTOTAL BAHAN</t>
        </is>
      </c>
      <c r="F14043" s="16" t="n">
        <v>465000</v>
      </c>
    </row>
    <row r="14044">
      <c r="D14044" s="2" t="inlineStr">
        <is>
          <t>SUBTOTAL ALAT</t>
        </is>
      </c>
      <c r="F14044" s="16" t="n">
        <v>0</v>
      </c>
    </row>
    <row r="14045">
      <c r="E14045" s="2" t="inlineStr">
        <is>
          <t>TOTAL HARGA SATUAN (Inc. Overhead)</t>
        </is>
      </c>
      <c r="F14045" s="17" t="n">
        <v>583330</v>
      </c>
    </row>
    <row r="14047">
      <c r="A14047" s="14" t="inlineStr">
        <is>
          <t>KODE: 6.4.4.24 - Pemasangan 1 m pipa BS SCH 40, DN. 3" (80 mm)</t>
        </is>
      </c>
    </row>
    <row r="14048">
      <c r="A14048" s="10" t="inlineStr">
        <is>
          <t>No</t>
        </is>
      </c>
      <c r="B14048" s="10" t="inlineStr">
        <is>
          <t>Uraian Komponen</t>
        </is>
      </c>
      <c r="C14048" s="10" t="inlineStr">
        <is>
          <t>Satuan</t>
        </is>
      </c>
      <c r="D14048" s="10" t="inlineStr">
        <is>
          <t>Koef</t>
        </is>
      </c>
      <c r="E14048" s="10" t="inlineStr">
        <is>
          <t>Harga Satuan (Rp)</t>
        </is>
      </c>
      <c r="F14048" s="10" t="inlineStr">
        <is>
          <t>Jumlah Harga (Rp)</t>
        </is>
      </c>
    </row>
    <row r="14049">
      <c r="A14049" s="3" t="inlineStr">
        <is>
          <t>1</t>
        </is>
      </c>
      <c r="B14049" s="3" t="inlineStr">
        <is>
          <t>Pekerja</t>
        </is>
      </c>
      <c r="C14049" s="3" t="inlineStr">
        <is>
          <t>OH</t>
        </is>
      </c>
      <c r="D14049" s="15" t="n">
        <v>0.238</v>
      </c>
      <c r="E14049" s="4" t="n">
        <v>100000</v>
      </c>
      <c r="F14049" s="4" t="n">
        <v>23800</v>
      </c>
    </row>
    <row r="14050">
      <c r="A14050" s="3" t="inlineStr">
        <is>
          <t>2</t>
        </is>
      </c>
      <c r="B14050" s="3" t="inlineStr">
        <is>
          <t>Tukang pipa</t>
        </is>
      </c>
      <c r="C14050" s="3" t="inlineStr">
        <is>
          <t>OH</t>
        </is>
      </c>
      <c r="D14050" s="15" t="n">
        <v>0.397</v>
      </c>
      <c r="E14050" s="4" t="n">
        <v>145000</v>
      </c>
      <c r="F14050" s="4" t="n">
        <v>57565</v>
      </c>
    </row>
    <row r="14051">
      <c r="A14051" s="3" t="inlineStr">
        <is>
          <t>3</t>
        </is>
      </c>
      <c r="B14051" s="3" t="inlineStr">
        <is>
          <t>Kepala tukang</t>
        </is>
      </c>
      <c r="C14051" s="3" t="inlineStr">
        <is>
          <t>OH</t>
        </is>
      </c>
      <c r="D14051" s="15" t="n">
        <v>0.04</v>
      </c>
      <c r="E14051" s="4" t="n">
        <v>175000</v>
      </c>
      <c r="F14051" s="4" t="n">
        <v>7000</v>
      </c>
    </row>
    <row r="14052">
      <c r="A14052" s="3" t="inlineStr">
        <is>
          <t>4</t>
        </is>
      </c>
      <c r="B14052" s="3" t="inlineStr">
        <is>
          <t>Mandor</t>
        </is>
      </c>
      <c r="C14052" s="3" t="inlineStr">
        <is>
          <t>OH</t>
        </is>
      </c>
      <c r="D14052" s="15" t="n">
        <v>0.012</v>
      </c>
      <c r="E14052" s="4" t="n">
        <v>200000</v>
      </c>
      <c r="F14052" s="4" t="n">
        <v>2400</v>
      </c>
    </row>
    <row r="14053">
      <c r="A14053" s="3" t="inlineStr">
        <is>
          <t>1</t>
        </is>
      </c>
      <c r="B14053" s="3" t="inlineStr">
        <is>
          <t>"Pipa BS SCH 40 ; DN. 3"" (80 mm) + fitting &amp; aksesoris"</t>
        </is>
      </c>
      <c r="C14053" s="3" t="inlineStr">
        <is>
          <t>m'</t>
        </is>
      </c>
      <c r="D14053" s="15" t="n">
        <v>1.55</v>
      </c>
      <c r="E14053" s="4" t="n">
        <v>310000</v>
      </c>
      <c r="F14053" s="4" t="n">
        <v>480500</v>
      </c>
    </row>
    <row r="14054">
      <c r="D14054" s="2" t="inlineStr">
        <is>
          <t>SUBTOTAL UPAH</t>
        </is>
      </c>
      <c r="F14054" s="16" t="n">
        <v>90765</v>
      </c>
    </row>
    <row r="14055">
      <c r="D14055" s="2" t="inlineStr">
        <is>
          <t>SUBTOTAL BAHAN</t>
        </is>
      </c>
      <c r="F14055" s="16" t="n">
        <v>480500</v>
      </c>
    </row>
    <row r="14056">
      <c r="D14056" s="2" t="inlineStr">
        <is>
          <t>SUBTOTAL ALAT</t>
        </is>
      </c>
      <c r="F14056" s="16" t="n">
        <v>0</v>
      </c>
    </row>
    <row r="14057">
      <c r="E14057" s="2" t="inlineStr">
        <is>
          <t>TOTAL HARGA SATUAN (Inc. Overhead)</t>
        </is>
      </c>
      <c r="F14057" s="17" t="n">
        <v>628391</v>
      </c>
    </row>
    <row r="14059">
      <c r="A14059" s="14" t="inlineStr">
        <is>
          <t>KODE: 6.4.4.25 - Pemasangan 1 m pipa BS SCH 40, DN. 4" (100 mm)</t>
        </is>
      </c>
    </row>
    <row r="14060">
      <c r="A14060" s="10" t="inlineStr">
        <is>
          <t>No</t>
        </is>
      </c>
      <c r="B14060" s="10" t="inlineStr">
        <is>
          <t>Uraian Komponen</t>
        </is>
      </c>
      <c r="C14060" s="10" t="inlineStr">
        <is>
          <t>Satuan</t>
        </is>
      </c>
      <c r="D14060" s="10" t="inlineStr">
        <is>
          <t>Koef</t>
        </is>
      </c>
      <c r="E14060" s="10" t="inlineStr">
        <is>
          <t>Harga Satuan (Rp)</t>
        </is>
      </c>
      <c r="F14060" s="10" t="inlineStr">
        <is>
          <t>Jumlah Harga (Rp)</t>
        </is>
      </c>
    </row>
    <row r="14061">
      <c r="A14061" s="3" t="inlineStr">
        <is>
          <t>1</t>
        </is>
      </c>
      <c r="B14061" s="3" t="inlineStr">
        <is>
          <t>Pekerja</t>
        </is>
      </c>
      <c r="C14061" s="3" t="inlineStr">
        <is>
          <t>OH</t>
        </is>
      </c>
      <c r="D14061" s="15" t="n">
        <v>0.317</v>
      </c>
      <c r="E14061" s="4" t="n">
        <v>100000</v>
      </c>
      <c r="F14061" s="4" t="n">
        <v>31700</v>
      </c>
    </row>
    <row r="14062">
      <c r="A14062" s="3" t="inlineStr">
        <is>
          <t>2</t>
        </is>
      </c>
      <c r="B14062" s="3" t="inlineStr">
        <is>
          <t>Tukang pipa</t>
        </is>
      </c>
      <c r="C14062" s="3" t="inlineStr">
        <is>
          <t>OH</t>
        </is>
      </c>
      <c r="D14062" s="15" t="n">
        <v>0.529</v>
      </c>
      <c r="E14062" s="4" t="n">
        <v>145000</v>
      </c>
      <c r="F14062" s="4" t="n">
        <v>76705</v>
      </c>
    </row>
    <row r="14063">
      <c r="A14063" s="3" t="inlineStr">
        <is>
          <t>3</t>
        </is>
      </c>
      <c r="B14063" s="3" t="inlineStr">
        <is>
          <t>Kepala tukang</t>
        </is>
      </c>
      <c r="C14063" s="3" t="inlineStr">
        <is>
          <t>OH</t>
        </is>
      </c>
      <c r="D14063" s="15" t="n">
        <v>0.053</v>
      </c>
      <c r="E14063" s="4" t="n">
        <v>175000</v>
      </c>
      <c r="F14063" s="4" t="n">
        <v>9275</v>
      </c>
    </row>
    <row r="14064">
      <c r="A14064" s="3" t="inlineStr">
        <is>
          <t>4</t>
        </is>
      </c>
      <c r="B14064" s="3" t="inlineStr">
        <is>
          <t>Mandor</t>
        </is>
      </c>
      <c r="C14064" s="3" t="inlineStr">
        <is>
          <t>OH</t>
        </is>
      </c>
      <c r="D14064" s="15" t="n">
        <v>0.016</v>
      </c>
      <c r="E14064" s="4" t="n">
        <v>200000</v>
      </c>
      <c r="F14064" s="4" t="n">
        <v>3200</v>
      </c>
    </row>
    <row r="14065">
      <c r="A14065" s="3" t="inlineStr">
        <is>
          <t>1</t>
        </is>
      </c>
      <c r="B14065" s="3" t="inlineStr">
        <is>
          <t>"Pipa BS SCH 40 ; DN. 4"" (100 mm) + fitting &amp; aksesoris"</t>
        </is>
      </c>
      <c r="C14065" s="3" t="inlineStr">
        <is>
          <t>m'</t>
        </is>
      </c>
      <c r="D14065" s="15" t="n">
        <v>1.55</v>
      </c>
      <c r="E14065" s="4" t="n">
        <v>320000</v>
      </c>
      <c r="F14065" s="4" t="n">
        <v>496000</v>
      </c>
    </row>
    <row r="14066">
      <c r="D14066" s="2" t="inlineStr">
        <is>
          <t>SUBTOTAL UPAH</t>
        </is>
      </c>
      <c r="F14066" s="16" t="n">
        <v>120880</v>
      </c>
    </row>
    <row r="14067">
      <c r="D14067" s="2" t="inlineStr">
        <is>
          <t>SUBTOTAL BAHAN</t>
        </is>
      </c>
      <c r="F14067" s="16" t="n">
        <v>496000</v>
      </c>
    </row>
    <row r="14068">
      <c r="D14068" s="2" t="inlineStr">
        <is>
          <t>SUBTOTAL ALAT</t>
        </is>
      </c>
      <c r="F14068" s="16" t="n">
        <v>0</v>
      </c>
    </row>
    <row r="14069">
      <c r="E14069" s="2" t="inlineStr">
        <is>
          <t>TOTAL HARGA SATUAN (Inc. Overhead)</t>
        </is>
      </c>
      <c r="F14069" s="17" t="n">
        <v>678568</v>
      </c>
    </row>
    <row r="14071">
      <c r="A14071" s="14" t="inlineStr">
        <is>
          <t>KODE: 6.4.4.26 - Pemasangan 1 m pipa BS SCH 40, DN. 5" (125 mm)</t>
        </is>
      </c>
    </row>
    <row r="14072">
      <c r="A14072" s="10" t="inlineStr">
        <is>
          <t>No</t>
        </is>
      </c>
      <c r="B14072" s="10" t="inlineStr">
        <is>
          <t>Uraian Komponen</t>
        </is>
      </c>
      <c r="C14072" s="10" t="inlineStr">
        <is>
          <t>Satuan</t>
        </is>
      </c>
      <c r="D14072" s="10" t="inlineStr">
        <is>
          <t>Koef</t>
        </is>
      </c>
      <c r="E14072" s="10" t="inlineStr">
        <is>
          <t>Harga Satuan (Rp)</t>
        </is>
      </c>
      <c r="F14072" s="10" t="inlineStr">
        <is>
          <t>Jumlah Harga (Rp)</t>
        </is>
      </c>
    </row>
    <row r="14073">
      <c r="A14073" s="3" t="inlineStr">
        <is>
          <t>1</t>
        </is>
      </c>
      <c r="B14073" s="3" t="inlineStr">
        <is>
          <t>Pekerja</t>
        </is>
      </c>
      <c r="C14073" s="3" t="inlineStr">
        <is>
          <t>OH</t>
        </is>
      </c>
      <c r="D14073" s="15" t="n">
        <v>0.394</v>
      </c>
      <c r="E14073" s="4" t="n">
        <v>100000</v>
      </c>
      <c r="F14073" s="4" t="n">
        <v>39400</v>
      </c>
    </row>
    <row r="14074">
      <c r="A14074" s="3" t="inlineStr">
        <is>
          <t>2</t>
        </is>
      </c>
      <c r="B14074" s="3" t="inlineStr">
        <is>
          <t>Tukang pipa</t>
        </is>
      </c>
      <c r="C14074" s="3" t="inlineStr">
        <is>
          <t>OH</t>
        </is>
      </c>
      <c r="D14074" s="15" t="n">
        <v>0.658</v>
      </c>
      <c r="E14074" s="4" t="n">
        <v>145000</v>
      </c>
      <c r="F14074" s="4" t="n">
        <v>95410</v>
      </c>
    </row>
    <row r="14075">
      <c r="A14075" s="3" t="inlineStr">
        <is>
          <t>3</t>
        </is>
      </c>
      <c r="B14075" s="3" t="inlineStr">
        <is>
          <t>Kepala tukang</t>
        </is>
      </c>
      <c r="C14075" s="3" t="inlineStr">
        <is>
          <t>OH</t>
        </is>
      </c>
      <c r="D14075" s="15" t="n">
        <v>0.066</v>
      </c>
      <c r="E14075" s="4" t="n">
        <v>175000</v>
      </c>
      <c r="F14075" s="4" t="n">
        <v>11550</v>
      </c>
    </row>
    <row r="14076">
      <c r="A14076" s="3" t="inlineStr">
        <is>
          <t>4</t>
        </is>
      </c>
      <c r="B14076" s="3" t="inlineStr">
        <is>
          <t>Mandor</t>
        </is>
      </c>
      <c r="C14076" s="3" t="inlineStr">
        <is>
          <t>OH</t>
        </is>
      </c>
      <c r="D14076" s="15" t="n">
        <v>0.02</v>
      </c>
      <c r="E14076" s="4" t="n">
        <v>200000</v>
      </c>
      <c r="F14076" s="4" t="n">
        <v>4000</v>
      </c>
    </row>
    <row r="14077">
      <c r="A14077" s="3" t="inlineStr">
        <is>
          <t>1</t>
        </is>
      </c>
      <c r="B14077" s="3" t="inlineStr">
        <is>
          <t>"Pipa BS SCH 40 ; DN. 5"" (125 mm) + fitting &amp; aksesoris"</t>
        </is>
      </c>
      <c r="C14077" s="3" t="inlineStr">
        <is>
          <t>m'</t>
        </is>
      </c>
      <c r="D14077" s="15" t="n">
        <v>1.55</v>
      </c>
      <c r="E14077" s="4" t="n">
        <v>330000</v>
      </c>
      <c r="F14077" s="4" t="n">
        <v>511500</v>
      </c>
    </row>
    <row r="14078">
      <c r="D14078" s="2" t="inlineStr">
        <is>
          <t>SUBTOTAL UPAH</t>
        </is>
      </c>
      <c r="F14078" s="16" t="n">
        <v>150360</v>
      </c>
    </row>
    <row r="14079">
      <c r="D14079" s="2" t="inlineStr">
        <is>
          <t>SUBTOTAL BAHAN</t>
        </is>
      </c>
      <c r="F14079" s="16" t="n">
        <v>511500</v>
      </c>
    </row>
    <row r="14080">
      <c r="D14080" s="2" t="inlineStr">
        <is>
          <t>SUBTOTAL ALAT</t>
        </is>
      </c>
      <c r="F14080" s="16" t="n">
        <v>0</v>
      </c>
    </row>
    <row r="14081">
      <c r="E14081" s="2" t="inlineStr">
        <is>
          <t>TOTAL HARGA SATUAN (Inc. Overhead)</t>
        </is>
      </c>
      <c r="F14081" s="17" t="n">
        <v>728046</v>
      </c>
    </row>
    <row r="14083">
      <c r="A14083" s="14" t="inlineStr">
        <is>
          <t>KODE: 6.4.4.27 - Pemasangan 1 m pipa BS SCH 40, DN. 6" (150 mm)</t>
        </is>
      </c>
    </row>
    <row r="14084">
      <c r="A14084" s="10" t="inlineStr">
        <is>
          <t>No</t>
        </is>
      </c>
      <c r="B14084" s="10" t="inlineStr">
        <is>
          <t>Uraian Komponen</t>
        </is>
      </c>
      <c r="C14084" s="10" t="inlineStr">
        <is>
          <t>Satuan</t>
        </is>
      </c>
      <c r="D14084" s="10" t="inlineStr">
        <is>
          <t>Koef</t>
        </is>
      </c>
      <c r="E14084" s="10" t="inlineStr">
        <is>
          <t>Harga Satuan (Rp)</t>
        </is>
      </c>
      <c r="F14084" s="10" t="inlineStr">
        <is>
          <t>Jumlah Harga (Rp)</t>
        </is>
      </c>
    </row>
    <row r="14085">
      <c r="A14085" s="3" t="inlineStr">
        <is>
          <t>1</t>
        </is>
      </c>
      <c r="B14085" s="3" t="inlineStr">
        <is>
          <t>Pekerja</t>
        </is>
      </c>
      <c r="C14085" s="3" t="inlineStr">
        <is>
          <t>OH</t>
        </is>
      </c>
      <c r="D14085" s="15" t="n">
        <v>0.473</v>
      </c>
      <c r="E14085" s="4" t="n">
        <v>100000</v>
      </c>
      <c r="F14085" s="4" t="n">
        <v>47300</v>
      </c>
    </row>
    <row r="14086">
      <c r="A14086" s="3" t="inlineStr">
        <is>
          <t>2</t>
        </is>
      </c>
      <c r="B14086" s="3" t="inlineStr">
        <is>
          <t>Tukang pipa</t>
        </is>
      </c>
      <c r="C14086" s="3" t="inlineStr">
        <is>
          <t>OH</t>
        </is>
      </c>
      <c r="D14086" s="15" t="n">
        <v>0.79</v>
      </c>
      <c r="E14086" s="4" t="n">
        <v>145000</v>
      </c>
      <c r="F14086" s="4" t="n">
        <v>114550</v>
      </c>
    </row>
    <row r="14087">
      <c r="A14087" s="3" t="inlineStr">
        <is>
          <t>3</t>
        </is>
      </c>
      <c r="B14087" s="3" t="inlineStr">
        <is>
          <t>Kepala tukang</t>
        </is>
      </c>
      <c r="C14087" s="3" t="inlineStr">
        <is>
          <t>OH</t>
        </is>
      </c>
      <c r="D14087" s="15" t="n">
        <v>0.079</v>
      </c>
      <c r="E14087" s="4" t="n">
        <v>175000</v>
      </c>
      <c r="F14087" s="4" t="n">
        <v>13825</v>
      </c>
    </row>
    <row r="14088">
      <c r="A14088" s="3" t="inlineStr">
        <is>
          <t>4</t>
        </is>
      </c>
      <c r="B14088" s="3" t="inlineStr">
        <is>
          <t>Mandor</t>
        </is>
      </c>
      <c r="C14088" s="3" t="inlineStr">
        <is>
          <t>OH</t>
        </is>
      </c>
      <c r="D14088" s="15" t="n">
        <v>0.024</v>
      </c>
      <c r="E14088" s="4" t="n">
        <v>200000</v>
      </c>
      <c r="F14088" s="4" t="n">
        <v>4800</v>
      </c>
    </row>
    <row r="14089">
      <c r="A14089" s="3" t="inlineStr">
        <is>
          <t>1</t>
        </is>
      </c>
      <c r="B14089" s="3" t="inlineStr">
        <is>
          <t>"Pipa BS SCH 40 ; DN. 6"" (150 mm) + fitting &amp; aksesoris"</t>
        </is>
      </c>
      <c r="C14089" s="3" t="inlineStr">
        <is>
          <t>m'</t>
        </is>
      </c>
      <c r="D14089" s="15" t="n">
        <v>1.55</v>
      </c>
      <c r="E14089" s="4" t="n">
        <v>340000</v>
      </c>
      <c r="F14089" s="4" t="n">
        <v>527000</v>
      </c>
    </row>
    <row r="14090">
      <c r="D14090" s="2" t="inlineStr">
        <is>
          <t>SUBTOTAL UPAH</t>
        </is>
      </c>
      <c r="F14090" s="16" t="n">
        <v>180475</v>
      </c>
    </row>
    <row r="14091">
      <c r="D14091" s="2" t="inlineStr">
        <is>
          <t>SUBTOTAL BAHAN</t>
        </is>
      </c>
      <c r="F14091" s="16" t="n">
        <v>527000</v>
      </c>
    </row>
    <row r="14092">
      <c r="D14092" s="2" t="inlineStr">
        <is>
          <t>SUBTOTAL ALAT</t>
        </is>
      </c>
      <c r="F14092" s="16" t="n">
        <v>0</v>
      </c>
    </row>
    <row r="14093">
      <c r="E14093" s="2" t="inlineStr">
        <is>
          <t>TOTAL HARGA SATUAN (Inc. Overhead)</t>
        </is>
      </c>
      <c r="F14093" s="17" t="n">
        <v>778222</v>
      </c>
    </row>
    <row r="14095">
      <c r="A14095" s="14" t="inlineStr">
        <is>
          <t>KODE: 6.4.4.28 - Pemasangan 1 m pipa BS SCH 40, DN. 8" (200 mm)</t>
        </is>
      </c>
    </row>
    <row r="14096">
      <c r="A14096" s="10" t="inlineStr">
        <is>
          <t>No</t>
        </is>
      </c>
      <c r="B14096" s="10" t="inlineStr">
        <is>
          <t>Uraian Komponen</t>
        </is>
      </c>
      <c r="C14096" s="10" t="inlineStr">
        <is>
          <t>Satuan</t>
        </is>
      </c>
      <c r="D14096" s="10" t="inlineStr">
        <is>
          <t>Koef</t>
        </is>
      </c>
      <c r="E14096" s="10" t="inlineStr">
        <is>
          <t>Harga Satuan (Rp)</t>
        </is>
      </c>
      <c r="F14096" s="10" t="inlineStr">
        <is>
          <t>Jumlah Harga (Rp)</t>
        </is>
      </c>
    </row>
    <row r="14097">
      <c r="A14097" s="3" t="inlineStr">
        <is>
          <t>1</t>
        </is>
      </c>
      <c r="B14097" s="3" t="inlineStr">
        <is>
          <t>Pekerja</t>
        </is>
      </c>
      <c r="C14097" s="3" t="inlineStr">
        <is>
          <t>OH</t>
        </is>
      </c>
      <c r="D14097" s="15" t="n">
        <v>0.629</v>
      </c>
      <c r="E14097" s="4" t="n">
        <v>100000</v>
      </c>
      <c r="F14097" s="4" t="n">
        <v>62900</v>
      </c>
    </row>
    <row r="14098">
      <c r="A14098" s="3" t="inlineStr">
        <is>
          <t>2</t>
        </is>
      </c>
      <c r="B14098" s="3" t="inlineStr">
        <is>
          <t>Tukang pipa</t>
        </is>
      </c>
      <c r="C14098" s="3" t="inlineStr">
        <is>
          <t>OH</t>
        </is>
      </c>
      <c r="D14098" s="15" t="n">
        <v>1.051</v>
      </c>
      <c r="E14098" s="4" t="n">
        <v>145000</v>
      </c>
      <c r="F14098" s="4" t="n">
        <v>152395</v>
      </c>
    </row>
    <row r="14099">
      <c r="A14099" s="3" t="inlineStr">
        <is>
          <t>3</t>
        </is>
      </c>
      <c r="B14099" s="3" t="inlineStr">
        <is>
          <t>Kepala tukang</t>
        </is>
      </c>
      <c r="C14099" s="3" t="inlineStr">
        <is>
          <t>OH</t>
        </is>
      </c>
      <c r="D14099" s="15" t="n">
        <v>0.105</v>
      </c>
      <c r="E14099" s="4" t="n">
        <v>175000</v>
      </c>
      <c r="F14099" s="4" t="n">
        <v>18375</v>
      </c>
    </row>
    <row r="14100">
      <c r="A14100" s="3" t="inlineStr">
        <is>
          <t>4</t>
        </is>
      </c>
      <c r="B14100" s="3" t="inlineStr">
        <is>
          <t>Mandor</t>
        </is>
      </c>
      <c r="C14100" s="3" t="inlineStr">
        <is>
          <t>OH</t>
        </is>
      </c>
      <c r="D14100" s="15" t="n">
        <v>0.032</v>
      </c>
      <c r="E14100" s="4" t="n">
        <v>200000</v>
      </c>
      <c r="F14100" s="4" t="n">
        <v>6400</v>
      </c>
    </row>
    <row r="14101">
      <c r="A14101" s="3" t="inlineStr">
        <is>
          <t>1</t>
        </is>
      </c>
      <c r="B14101" s="3" t="inlineStr">
        <is>
          <t>"Pipa BS SCH 40 ; DN. 8"" (200 mm) + fitting &amp; aksesoris"</t>
        </is>
      </c>
      <c r="C14101" s="3" t="inlineStr">
        <is>
          <t>m'</t>
        </is>
      </c>
      <c r="D14101" s="15" t="n">
        <v>1.55</v>
      </c>
      <c r="E14101" s="4" t="n">
        <v>350000</v>
      </c>
      <c r="F14101" s="4" t="n">
        <v>542500</v>
      </c>
    </row>
    <row r="14102">
      <c r="D14102" s="2" t="inlineStr">
        <is>
          <t>SUBTOTAL UPAH</t>
        </is>
      </c>
      <c r="F14102" s="16" t="n">
        <v>240070</v>
      </c>
    </row>
    <row r="14103">
      <c r="D14103" s="2" t="inlineStr">
        <is>
          <t>SUBTOTAL BAHAN</t>
        </is>
      </c>
      <c r="F14103" s="16" t="n">
        <v>542500</v>
      </c>
    </row>
    <row r="14104">
      <c r="D14104" s="2" t="inlineStr">
        <is>
          <t>SUBTOTAL ALAT</t>
        </is>
      </c>
      <c r="F14104" s="16" t="n">
        <v>0</v>
      </c>
    </row>
    <row r="14105">
      <c r="E14105" s="2" t="inlineStr">
        <is>
          <t>TOTAL HARGA SATUAN (Inc. Overhead)</t>
        </is>
      </c>
      <c r="F14105" s="17" t="n">
        <v>860827</v>
      </c>
    </row>
    <row r="14107">
      <c r="A14107" s="14" t="inlineStr">
        <is>
          <t>KODE: 6.4.4.29 - Pemasangan 1 m pipa BS SCH 40, DN. 10" (250 mm)</t>
        </is>
      </c>
    </row>
    <row r="14108">
      <c r="A14108" s="10" t="inlineStr">
        <is>
          <t>No</t>
        </is>
      </c>
      <c r="B14108" s="10" t="inlineStr">
        <is>
          <t>Uraian Komponen</t>
        </is>
      </c>
      <c r="C14108" s="10" t="inlineStr">
        <is>
          <t>Satuan</t>
        </is>
      </c>
      <c r="D14108" s="10" t="inlineStr">
        <is>
          <t>Koef</t>
        </is>
      </c>
      <c r="E14108" s="10" t="inlineStr">
        <is>
          <t>Harga Satuan (Rp)</t>
        </is>
      </c>
      <c r="F14108" s="10" t="inlineStr">
        <is>
          <t>Jumlah Harga (Rp)</t>
        </is>
      </c>
    </row>
    <row r="14109">
      <c r="A14109" s="3" t="inlineStr">
        <is>
          <t>1</t>
        </is>
      </c>
      <c r="B14109" s="3" t="inlineStr">
        <is>
          <t>Pekerja</t>
        </is>
      </c>
      <c r="C14109" s="3" t="inlineStr">
        <is>
          <t>OH</t>
        </is>
      </c>
      <c r="D14109" s="15" t="n">
        <v>0.788</v>
      </c>
      <c r="E14109" s="4" t="n">
        <v>100000</v>
      </c>
      <c r="F14109" s="4" t="n">
        <v>78800</v>
      </c>
    </row>
    <row r="14110">
      <c r="A14110" s="3" t="inlineStr">
        <is>
          <t>2</t>
        </is>
      </c>
      <c r="B14110" s="3" t="inlineStr">
        <is>
          <t>Tukang pipa</t>
        </is>
      </c>
      <c r="C14110" s="3" t="inlineStr">
        <is>
          <t>OH</t>
        </is>
      </c>
      <c r="D14110" s="15" t="n">
        <v>1.315</v>
      </c>
      <c r="E14110" s="4" t="n">
        <v>145000</v>
      </c>
      <c r="F14110" s="4" t="n">
        <v>190675</v>
      </c>
    </row>
    <row r="14111">
      <c r="A14111" s="3" t="inlineStr">
        <is>
          <t>3</t>
        </is>
      </c>
      <c r="B14111" s="3" t="inlineStr">
        <is>
          <t>Kepala tukang</t>
        </is>
      </c>
      <c r="C14111" s="3" t="inlineStr">
        <is>
          <t>OH</t>
        </is>
      </c>
      <c r="D14111" s="15" t="n">
        <v>0.132</v>
      </c>
      <c r="E14111" s="4" t="n">
        <v>175000</v>
      </c>
      <c r="F14111" s="4" t="n">
        <v>23100</v>
      </c>
    </row>
    <row r="14112">
      <c r="A14112" s="3" t="inlineStr">
        <is>
          <t>4</t>
        </is>
      </c>
      <c r="B14112" s="3" t="inlineStr">
        <is>
          <t>Mandor</t>
        </is>
      </c>
      <c r="C14112" s="3" t="inlineStr">
        <is>
          <t>OH</t>
        </is>
      </c>
      <c r="D14112" s="15" t="n">
        <v>0.039</v>
      </c>
      <c r="E14112" s="4" t="n">
        <v>200000</v>
      </c>
      <c r="F14112" s="4" t="n">
        <v>7800</v>
      </c>
    </row>
    <row r="14113">
      <c r="A14113" s="3" t="inlineStr">
        <is>
          <t>1</t>
        </is>
      </c>
      <c r="B14113" s="3" t="inlineStr">
        <is>
          <t>"Pipa BS SCH 40 ; DN. 10"" (250 mm) + fitting &amp; aksesoris"</t>
        </is>
      </c>
      <c r="C14113" s="3" t="inlineStr">
        <is>
          <t>m'</t>
        </is>
      </c>
      <c r="D14113" s="15" t="n">
        <v>1.55</v>
      </c>
      <c r="E14113" s="4" t="n">
        <v>360000</v>
      </c>
      <c r="F14113" s="4" t="n">
        <v>558000</v>
      </c>
    </row>
    <row r="14114">
      <c r="D14114" s="2" t="inlineStr">
        <is>
          <t>SUBTOTAL UPAH</t>
        </is>
      </c>
      <c r="F14114" s="16" t="n">
        <v>300375</v>
      </c>
    </row>
    <row r="14115">
      <c r="D14115" s="2" t="inlineStr">
        <is>
          <t>SUBTOTAL BAHAN</t>
        </is>
      </c>
      <c r="F14115" s="16" t="n">
        <v>558000</v>
      </c>
    </row>
    <row r="14116">
      <c r="D14116" s="2" t="inlineStr">
        <is>
          <t>SUBTOTAL ALAT</t>
        </is>
      </c>
      <c r="F14116" s="16" t="n">
        <v>0</v>
      </c>
    </row>
    <row r="14117">
      <c r="E14117" s="2" t="inlineStr">
        <is>
          <t>TOTAL HARGA SATUAN (Inc. Overhead)</t>
        </is>
      </c>
      <c r="F14117" s="17" t="n">
        <v>944212</v>
      </c>
    </row>
    <row r="14119">
      <c r="A14119" s="14" t="inlineStr">
        <is>
          <t>KODE: 6.4.4.30 - Pemasangan 1 m pipa BS SCH 40, DN. 12" (300 mm)</t>
        </is>
      </c>
    </row>
    <row r="14120">
      <c r="A14120" s="10" t="inlineStr">
        <is>
          <t>No</t>
        </is>
      </c>
      <c r="B14120" s="10" t="inlineStr">
        <is>
          <t>Uraian Komponen</t>
        </is>
      </c>
      <c r="C14120" s="10" t="inlineStr">
        <is>
          <t>Satuan</t>
        </is>
      </c>
      <c r="D14120" s="10" t="inlineStr">
        <is>
          <t>Koef</t>
        </is>
      </c>
      <c r="E14120" s="10" t="inlineStr">
        <is>
          <t>Harga Satuan (Rp)</t>
        </is>
      </c>
      <c r="F14120" s="10" t="inlineStr">
        <is>
          <t>Jumlah Harga (Rp)</t>
        </is>
      </c>
    </row>
    <row r="14121">
      <c r="A14121" s="3" t="inlineStr">
        <is>
          <t>1</t>
        </is>
      </c>
      <c r="B14121" s="3" t="inlineStr">
        <is>
          <t>Pekerja</t>
        </is>
      </c>
      <c r="C14121" s="3" t="inlineStr">
        <is>
          <t>OH</t>
        </is>
      </c>
      <c r="D14121" s="15" t="n">
        <v>0.944</v>
      </c>
      <c r="E14121" s="4" t="n">
        <v>100000</v>
      </c>
      <c r="F14121" s="4" t="n">
        <v>94400</v>
      </c>
    </row>
    <row r="14122">
      <c r="A14122" s="3" t="inlineStr">
        <is>
          <t>2</t>
        </is>
      </c>
      <c r="B14122" s="3" t="inlineStr">
        <is>
          <t>Tukang pipa</t>
        </is>
      </c>
      <c r="C14122" s="3" t="inlineStr">
        <is>
          <t>OH</t>
        </is>
      </c>
      <c r="D14122" s="15" t="n">
        <v>1.576</v>
      </c>
      <c r="E14122" s="4" t="n">
        <v>145000</v>
      </c>
      <c r="F14122" s="4" t="n">
        <v>228520</v>
      </c>
    </row>
    <row r="14123">
      <c r="A14123" s="3" t="inlineStr">
        <is>
          <t>3</t>
        </is>
      </c>
      <c r="B14123" s="3" t="inlineStr">
        <is>
          <t>Kepala tukang</t>
        </is>
      </c>
      <c r="C14123" s="3" t="inlineStr">
        <is>
          <t>OH</t>
        </is>
      </c>
      <c r="D14123" s="15" t="n">
        <v>0.158</v>
      </c>
      <c r="E14123" s="4" t="n">
        <v>175000</v>
      </c>
      <c r="F14123" s="4" t="n">
        <v>27650</v>
      </c>
    </row>
    <row r="14124">
      <c r="A14124" s="3" t="inlineStr">
        <is>
          <t>4</t>
        </is>
      </c>
      <c r="B14124" s="3" t="inlineStr">
        <is>
          <t>Mandor</t>
        </is>
      </c>
      <c r="C14124" s="3" t="inlineStr">
        <is>
          <t>OH</t>
        </is>
      </c>
      <c r="D14124" s="15" t="n">
        <v>0.047</v>
      </c>
      <c r="E14124" s="4" t="n">
        <v>200000</v>
      </c>
      <c r="F14124" s="4" t="n">
        <v>9400</v>
      </c>
    </row>
    <row r="14125">
      <c r="A14125" s="3" t="inlineStr">
        <is>
          <t>1</t>
        </is>
      </c>
      <c r="B14125" s="3" t="inlineStr">
        <is>
          <t>"Pipa BS SCH 40 ; DN. 12"" (300 mm) + fitting &amp; aksesoris"</t>
        </is>
      </c>
      <c r="C14125" s="3" t="inlineStr">
        <is>
          <t>m'</t>
        </is>
      </c>
      <c r="D14125" s="15" t="n">
        <v>1.55</v>
      </c>
      <c r="E14125" s="4" t="n">
        <v>370000</v>
      </c>
      <c r="F14125" s="4" t="n">
        <v>573500</v>
      </c>
    </row>
    <row r="14126">
      <c r="D14126" s="2" t="inlineStr">
        <is>
          <t>SUBTOTAL UPAH</t>
        </is>
      </c>
      <c r="F14126" s="16" t="n">
        <v>359970</v>
      </c>
    </row>
    <row r="14127">
      <c r="D14127" s="2" t="inlineStr">
        <is>
          <t>SUBTOTAL BAHAN</t>
        </is>
      </c>
      <c r="F14127" s="16" t="n">
        <v>573500</v>
      </c>
    </row>
    <row r="14128">
      <c r="D14128" s="2" t="inlineStr">
        <is>
          <t>SUBTOTAL ALAT</t>
        </is>
      </c>
      <c r="F14128" s="16" t="n">
        <v>0</v>
      </c>
    </row>
    <row r="14129">
      <c r="E14129" s="2" t="inlineStr">
        <is>
          <t>TOTAL HARGA SATUAN (Inc. Overhead)</t>
        </is>
      </c>
      <c r="F14129" s="17" t="n">
        <v>1026817</v>
      </c>
    </row>
    <row r="14131">
      <c r="A14131" s="14" t="inlineStr">
        <is>
          <t>KODE: 6.4.4.31 - Pemasangan 1 m pipa BS SCH 40, DN. 14" (350 mm)</t>
        </is>
      </c>
    </row>
    <row r="14132">
      <c r="A14132" s="10" t="inlineStr">
        <is>
          <t>No</t>
        </is>
      </c>
      <c r="B14132" s="10" t="inlineStr">
        <is>
          <t>Uraian Komponen</t>
        </is>
      </c>
      <c r="C14132" s="10" t="inlineStr">
        <is>
          <t>Satuan</t>
        </is>
      </c>
      <c r="D14132" s="10" t="inlineStr">
        <is>
          <t>Koef</t>
        </is>
      </c>
      <c r="E14132" s="10" t="inlineStr">
        <is>
          <t>Harga Satuan (Rp)</t>
        </is>
      </c>
      <c r="F14132" s="10" t="inlineStr">
        <is>
          <t>Jumlah Harga (Rp)</t>
        </is>
      </c>
    </row>
    <row r="14133">
      <c r="A14133" s="3" t="inlineStr">
        <is>
          <t>1</t>
        </is>
      </c>
      <c r="B14133" s="3" t="inlineStr">
        <is>
          <t>Pekerja</t>
        </is>
      </c>
      <c r="C14133" s="3" t="inlineStr">
        <is>
          <t>OH</t>
        </is>
      </c>
      <c r="D14133" s="15" t="n">
        <v>1.102</v>
      </c>
      <c r="E14133" s="4" t="n">
        <v>100000</v>
      </c>
      <c r="F14133" s="4" t="n">
        <v>110200</v>
      </c>
    </row>
    <row r="14134">
      <c r="A14134" s="3" t="inlineStr">
        <is>
          <t>2</t>
        </is>
      </c>
      <c r="B14134" s="3" t="inlineStr">
        <is>
          <t>Tukang pipa</t>
        </is>
      </c>
      <c r="C14134" s="3" t="inlineStr">
        <is>
          <t>OH</t>
        </is>
      </c>
      <c r="D14134" s="15" t="n">
        <v>1.84</v>
      </c>
      <c r="E14134" s="4" t="n">
        <v>145000</v>
      </c>
      <c r="F14134" s="4" t="n">
        <v>266800</v>
      </c>
    </row>
    <row r="14135">
      <c r="A14135" s="3" t="inlineStr">
        <is>
          <t>3</t>
        </is>
      </c>
      <c r="B14135" s="3" t="inlineStr">
        <is>
          <t>Kepala tukang</t>
        </is>
      </c>
      <c r="C14135" s="3" t="inlineStr">
        <is>
          <t>OH</t>
        </is>
      </c>
      <c r="D14135" s="15" t="n">
        <v>0.184</v>
      </c>
      <c r="E14135" s="4" t="n">
        <v>175000</v>
      </c>
      <c r="F14135" s="4" t="n">
        <v>32200</v>
      </c>
    </row>
    <row r="14136">
      <c r="A14136" s="3" t="inlineStr">
        <is>
          <t>4</t>
        </is>
      </c>
      <c r="B14136" s="3" t="inlineStr">
        <is>
          <t>Mandor</t>
        </is>
      </c>
      <c r="C14136" s="3" t="inlineStr">
        <is>
          <t>OH</t>
        </is>
      </c>
      <c r="D14136" s="15" t="n">
        <v>0.055</v>
      </c>
      <c r="E14136" s="4" t="n">
        <v>200000</v>
      </c>
      <c r="F14136" s="4" t="n">
        <v>11000</v>
      </c>
    </row>
    <row r="14137">
      <c r="A14137" s="3" t="inlineStr">
        <is>
          <t>1</t>
        </is>
      </c>
      <c r="B14137" s="3" t="inlineStr">
        <is>
          <t>"Pipa BS SCH 40 ; DN. 14"" (350 mm) + fitting &amp; aksesoris"</t>
        </is>
      </c>
      <c r="C14137" s="3" t="inlineStr">
        <is>
          <t>m'</t>
        </is>
      </c>
      <c r="D14137" s="15" t="n">
        <v>1.55</v>
      </c>
      <c r="E14137" s="4" t="n">
        <v>380000</v>
      </c>
      <c r="F14137" s="4" t="n">
        <v>589000</v>
      </c>
    </row>
    <row r="14138">
      <c r="D14138" s="2" t="inlineStr">
        <is>
          <t>SUBTOTAL UPAH</t>
        </is>
      </c>
      <c r="F14138" s="16" t="n">
        <v>420200</v>
      </c>
    </row>
    <row r="14139">
      <c r="D14139" s="2" t="inlineStr">
        <is>
          <t>SUBTOTAL BAHAN</t>
        </is>
      </c>
      <c r="F14139" s="16" t="n">
        <v>589000</v>
      </c>
    </row>
    <row r="14140">
      <c r="D14140" s="2" t="inlineStr">
        <is>
          <t>SUBTOTAL ALAT</t>
        </is>
      </c>
      <c r="F14140" s="16" t="n">
        <v>0</v>
      </c>
    </row>
    <row r="14141">
      <c r="E14141" s="2" t="inlineStr">
        <is>
          <t>TOTAL HARGA SATUAN (Inc. Overhead)</t>
        </is>
      </c>
      <c r="F14141" s="17" t="n">
        <v>1110120</v>
      </c>
    </row>
    <row r="14143">
      <c r="A14143" s="14" t="inlineStr">
        <is>
          <t>KODE: 6.4.4.32 - Pemasangan 1 m pipa BS SCH 40, DN. 16" (400 mm)</t>
        </is>
      </c>
    </row>
    <row r="14144">
      <c r="A14144" s="10" t="inlineStr">
        <is>
          <t>No</t>
        </is>
      </c>
      <c r="B14144" s="10" t="inlineStr">
        <is>
          <t>Uraian Komponen</t>
        </is>
      </c>
      <c r="C14144" s="10" t="inlineStr">
        <is>
          <t>Satuan</t>
        </is>
      </c>
      <c r="D14144" s="10" t="inlineStr">
        <is>
          <t>Koef</t>
        </is>
      </c>
      <c r="E14144" s="10" t="inlineStr">
        <is>
          <t>Harga Satuan (Rp)</t>
        </is>
      </c>
      <c r="F14144" s="10" t="inlineStr">
        <is>
          <t>Jumlah Harga (Rp)</t>
        </is>
      </c>
    </row>
    <row r="14145">
      <c r="A14145" s="3" t="inlineStr">
        <is>
          <t>1</t>
        </is>
      </c>
      <c r="B14145" s="3" t="inlineStr">
        <is>
          <t>Pekerja</t>
        </is>
      </c>
      <c r="C14145" s="3" t="inlineStr">
        <is>
          <t>OH</t>
        </is>
      </c>
      <c r="D14145" s="15" t="n">
        <v>1.258</v>
      </c>
      <c r="E14145" s="4" t="n">
        <v>100000</v>
      </c>
      <c r="F14145" s="4" t="n">
        <v>125800</v>
      </c>
    </row>
    <row r="14146">
      <c r="A14146" s="3" t="inlineStr">
        <is>
          <t>2</t>
        </is>
      </c>
      <c r="B14146" s="3" t="inlineStr">
        <is>
          <t>Tukang pipa</t>
        </is>
      </c>
      <c r="C14146" s="3" t="inlineStr">
        <is>
          <t>OH</t>
        </is>
      </c>
      <c r="D14146" s="15" t="n">
        <v>2.101</v>
      </c>
      <c r="E14146" s="4" t="n">
        <v>145000</v>
      </c>
      <c r="F14146" s="4" t="n">
        <v>304645</v>
      </c>
    </row>
    <row r="14147">
      <c r="A14147" s="3" t="inlineStr">
        <is>
          <t>3</t>
        </is>
      </c>
      <c r="B14147" s="3" t="inlineStr">
        <is>
          <t>Kepala tukang</t>
        </is>
      </c>
      <c r="C14147" s="3" t="inlineStr">
        <is>
          <t>OH</t>
        </is>
      </c>
      <c r="D14147" s="15" t="n">
        <v>0.21</v>
      </c>
      <c r="E14147" s="4" t="n">
        <v>175000</v>
      </c>
      <c r="F14147" s="4" t="n">
        <v>36750</v>
      </c>
    </row>
    <row r="14148">
      <c r="A14148" s="3" t="inlineStr">
        <is>
          <t>4</t>
        </is>
      </c>
      <c r="B14148" s="3" t="inlineStr">
        <is>
          <t>Mandor</t>
        </is>
      </c>
      <c r="C14148" s="3" t="inlineStr">
        <is>
          <t>OH</t>
        </is>
      </c>
      <c r="D14148" s="15" t="n">
        <v>0.063</v>
      </c>
      <c r="E14148" s="4" t="n">
        <v>200000</v>
      </c>
      <c r="F14148" s="4" t="n">
        <v>12600</v>
      </c>
    </row>
    <row r="14149">
      <c r="A14149" s="3" t="inlineStr">
        <is>
          <t>1</t>
        </is>
      </c>
      <c r="B14149" s="3" t="inlineStr">
        <is>
          <t>"Pipa BS SCH 40 ; DN. 16"" (400 mm) + fitting &amp; aksesoris"</t>
        </is>
      </c>
      <c r="C14149" s="3" t="inlineStr">
        <is>
          <t>m'</t>
        </is>
      </c>
      <c r="D14149" s="15" t="n">
        <v>1.55</v>
      </c>
      <c r="E14149" s="4" t="n">
        <v>390000</v>
      </c>
      <c r="F14149" s="4" t="n">
        <v>604500</v>
      </c>
    </row>
    <row r="14150">
      <c r="D14150" s="2" t="inlineStr">
        <is>
          <t>SUBTOTAL UPAH</t>
        </is>
      </c>
      <c r="F14150" s="16" t="n">
        <v>479795</v>
      </c>
    </row>
    <row r="14151">
      <c r="D14151" s="2" t="inlineStr">
        <is>
          <t>SUBTOTAL BAHAN</t>
        </is>
      </c>
      <c r="F14151" s="16" t="n">
        <v>604500</v>
      </c>
    </row>
    <row r="14152">
      <c r="D14152" s="2" t="inlineStr">
        <is>
          <t>SUBTOTAL ALAT</t>
        </is>
      </c>
      <c r="F14152" s="16" t="n">
        <v>0</v>
      </c>
    </row>
    <row r="14153">
      <c r="E14153" s="2" t="inlineStr">
        <is>
          <t>TOTAL HARGA SATUAN (Inc. Overhead)</t>
        </is>
      </c>
      <c r="F14153" s="17" t="n">
        <v>1192724</v>
      </c>
    </row>
    <row r="14155">
      <c r="A14155" s="14" t="inlineStr">
        <is>
          <t>KODE: 6.4.5.1 - Pemasangan 1 m’ Pipa Air Limbah Jenis Pipa Tanah, DN. 6" (150 mm)</t>
        </is>
      </c>
    </row>
    <row r="14156">
      <c r="A14156" s="10" t="inlineStr">
        <is>
          <t>No</t>
        </is>
      </c>
      <c r="B14156" s="10" t="inlineStr">
        <is>
          <t>Uraian Komponen</t>
        </is>
      </c>
      <c r="C14156" s="10" t="inlineStr">
        <is>
          <t>Satuan</t>
        </is>
      </c>
      <c r="D14156" s="10" t="inlineStr">
        <is>
          <t>Koef</t>
        </is>
      </c>
      <c r="E14156" s="10" t="inlineStr">
        <is>
          <t>Harga Satuan (Rp)</t>
        </is>
      </c>
      <c r="F14156" s="10" t="inlineStr">
        <is>
          <t>Jumlah Harga (Rp)</t>
        </is>
      </c>
    </row>
    <row r="14157">
      <c r="A14157" s="3" t="inlineStr">
        <is>
          <t>1</t>
        </is>
      </c>
      <c r="B14157" s="3" t="inlineStr">
        <is>
          <t>Pekerja</t>
        </is>
      </c>
      <c r="C14157" s="3" t="inlineStr">
        <is>
          <t>OH</t>
        </is>
      </c>
      <c r="D14157" s="15" t="n">
        <v>0.06</v>
      </c>
      <c r="E14157" s="4" t="n">
        <v>100000</v>
      </c>
      <c r="F14157" s="4" t="n">
        <v>6000</v>
      </c>
    </row>
    <row r="14158">
      <c r="A14158" s="3" t="inlineStr">
        <is>
          <t>2</t>
        </is>
      </c>
      <c r="B14158" s="3" t="inlineStr">
        <is>
          <t>Tukang pipa</t>
        </is>
      </c>
      <c r="C14158" s="3" t="inlineStr">
        <is>
          <t>OH</t>
        </is>
      </c>
      <c r="D14158" s="15" t="n">
        <v>0.03</v>
      </c>
      <c r="E14158" s="4" t="n">
        <v>145000</v>
      </c>
      <c r="F14158" s="4" t="n">
        <v>4350</v>
      </c>
    </row>
    <row r="14159">
      <c r="A14159" s="3" t="inlineStr">
        <is>
          <t>3</t>
        </is>
      </c>
      <c r="B14159" s="3" t="inlineStr">
        <is>
          <t>Kepala tukang</t>
        </is>
      </c>
      <c r="C14159" s="3" t="inlineStr">
        <is>
          <t>OH</t>
        </is>
      </c>
      <c r="D14159" s="15" t="n">
        <v>0.003</v>
      </c>
      <c r="E14159" s="4" t="n">
        <v>175000</v>
      </c>
      <c r="F14159" s="4" t="n">
        <v>525</v>
      </c>
    </row>
    <row r="14160">
      <c r="A14160" s="3" t="inlineStr">
        <is>
          <t>4</t>
        </is>
      </c>
      <c r="B14160" s="3" t="inlineStr">
        <is>
          <t>Mandor</t>
        </is>
      </c>
      <c r="C14160" s="3" t="inlineStr">
        <is>
          <t>OH</t>
        </is>
      </c>
      <c r="D14160" s="15" t="n">
        <v>0.003</v>
      </c>
      <c r="E14160" s="4" t="n">
        <v>200000</v>
      </c>
      <c r="F14160" s="4" t="n">
        <v>600</v>
      </c>
    </row>
    <row r="14161">
      <c r="A14161" s="3" t="inlineStr">
        <is>
          <t>1</t>
        </is>
      </c>
      <c r="B14161" s="3" t="inlineStr">
        <is>
          <t>"Pipa Tanah DN. 6"" (150 mm"</t>
        </is>
      </c>
      <c r="C14161" s="3" t="inlineStr">
        <is>
          <t>m'</t>
        </is>
      </c>
      <c r="D14161" s="15" t="n">
        <v>1.6</v>
      </c>
      <c r="E14161" s="4" t="n">
        <v>187500</v>
      </c>
      <c r="F14161" s="4" t="n">
        <v>300000</v>
      </c>
    </row>
    <row r="14162">
      <c r="A14162" s="3" t="inlineStr">
        <is>
          <t>2</t>
        </is>
      </c>
      <c r="B14162" s="3" t="inlineStr">
        <is>
          <t>Semen Portland (PC)</t>
        </is>
      </c>
      <c r="C14162" s="3" t="inlineStr">
        <is>
          <t>kg</t>
        </is>
      </c>
      <c r="D14162" s="15" t="n">
        <v>0.96</v>
      </c>
      <c r="E14162" s="4" t="n">
        <v>1300</v>
      </c>
      <c r="F14162" s="4" t="n">
        <v>1248</v>
      </c>
    </row>
    <row r="14163">
      <c r="A14163" s="3" t="inlineStr">
        <is>
          <t>3</t>
        </is>
      </c>
      <c r="B14163" s="3" t="inlineStr">
        <is>
          <t>Pasir pasang (quarry - lokasi pekerjaan)</t>
        </is>
      </c>
      <c r="C14163" s="3" t="inlineStr">
        <is>
          <t>m3</t>
        </is>
      </c>
      <c r="D14163" s="15" t="n">
        <v>0.013</v>
      </c>
      <c r="E14163" s="4" t="n">
        <v>275000</v>
      </c>
      <c r="F14163" s="4" t="n">
        <v>3575</v>
      </c>
    </row>
    <row r="14164">
      <c r="A14164" s="3" t="inlineStr">
        <is>
          <t>4</t>
        </is>
      </c>
      <c r="B14164" s="3" t="inlineStr">
        <is>
          <t>Pasir urug (quarry - lokasi pekerjaan)</t>
        </is>
      </c>
      <c r="C14164" s="3" t="inlineStr">
        <is>
          <t>m3</t>
        </is>
      </c>
      <c r="D14164" s="15" t="n">
        <v>0.011</v>
      </c>
      <c r="E14164" s="4" t="n">
        <v>254700</v>
      </c>
      <c r="F14164" s="4" t="n">
        <v>2801.7</v>
      </c>
    </row>
    <row r="14165">
      <c r="D14165" s="2" t="inlineStr">
        <is>
          <t>SUBTOTAL UPAH</t>
        </is>
      </c>
      <c r="F14165" s="16" t="n">
        <v>11475</v>
      </c>
    </row>
    <row r="14166">
      <c r="D14166" s="2" t="inlineStr">
        <is>
          <t>SUBTOTAL BAHAN</t>
        </is>
      </c>
      <c r="F14166" s="16" t="n">
        <v>307624.7</v>
      </c>
    </row>
    <row r="14167">
      <c r="D14167" s="2" t="inlineStr">
        <is>
          <t>SUBTOTAL ALAT</t>
        </is>
      </c>
      <c r="F14167" s="16" t="n">
        <v>0</v>
      </c>
    </row>
    <row r="14168">
      <c r="E14168" s="2" t="inlineStr">
        <is>
          <t>TOTAL HARGA SATUAN (Inc. Overhead)</t>
        </is>
      </c>
      <c r="F14168" s="17" t="n">
        <v>351009</v>
      </c>
    </row>
    <row r="14170">
      <c r="A14170" s="14" t="inlineStr">
        <is>
          <t>KODE: 6.4.5.2 - Pemasangan 1 m’ Pipa Air Limbah Jenis Pipa Tanah, DN. 8" (200 mm)</t>
        </is>
      </c>
    </row>
    <row r="14171">
      <c r="A14171" s="10" t="inlineStr">
        <is>
          <t>No</t>
        </is>
      </c>
      <c r="B14171" s="10" t="inlineStr">
        <is>
          <t>Uraian Komponen</t>
        </is>
      </c>
      <c r="C14171" s="10" t="inlineStr">
        <is>
          <t>Satuan</t>
        </is>
      </c>
      <c r="D14171" s="10" t="inlineStr">
        <is>
          <t>Koef</t>
        </is>
      </c>
      <c r="E14171" s="10" t="inlineStr">
        <is>
          <t>Harga Satuan (Rp)</t>
        </is>
      </c>
      <c r="F14171" s="10" t="inlineStr">
        <is>
          <t>Jumlah Harga (Rp)</t>
        </is>
      </c>
    </row>
    <row r="14172">
      <c r="A14172" s="3" t="inlineStr">
        <is>
          <t>1</t>
        </is>
      </c>
      <c r="B14172" s="3" t="inlineStr">
        <is>
          <t>Pekerja</t>
        </is>
      </c>
      <c r="C14172" s="3" t="inlineStr">
        <is>
          <t>OH</t>
        </is>
      </c>
      <c r="D14172" s="15" t="n">
        <v>0.08</v>
      </c>
      <c r="E14172" s="4" t="n">
        <v>100000</v>
      </c>
      <c r="F14172" s="4" t="n">
        <v>8000</v>
      </c>
    </row>
    <row r="14173">
      <c r="A14173" s="3" t="inlineStr">
        <is>
          <t>2</t>
        </is>
      </c>
      <c r="B14173" s="3" t="inlineStr">
        <is>
          <t>Tukang pipa</t>
        </is>
      </c>
      <c r="C14173" s="3" t="inlineStr">
        <is>
          <t>OH</t>
        </is>
      </c>
      <c r="D14173" s="15" t="n">
        <v>0.04</v>
      </c>
      <c r="E14173" s="4" t="n">
        <v>145000</v>
      </c>
      <c r="F14173" s="4" t="n">
        <v>5800</v>
      </c>
    </row>
    <row r="14174">
      <c r="A14174" s="3" t="inlineStr">
        <is>
          <t>3</t>
        </is>
      </c>
      <c r="B14174" s="3" t="inlineStr">
        <is>
          <t>Kepala tukang</t>
        </is>
      </c>
      <c r="C14174" s="3" t="inlineStr">
        <is>
          <t>OH</t>
        </is>
      </c>
      <c r="D14174" s="15" t="n">
        <v>0.004</v>
      </c>
      <c r="E14174" s="4" t="n">
        <v>175000</v>
      </c>
      <c r="F14174" s="4" t="n">
        <v>700</v>
      </c>
    </row>
    <row r="14175">
      <c r="A14175" s="3" t="inlineStr">
        <is>
          <t>4</t>
        </is>
      </c>
      <c r="B14175" s="3" t="inlineStr">
        <is>
          <t>Mandor</t>
        </is>
      </c>
      <c r="C14175" s="3" t="inlineStr">
        <is>
          <t>OH</t>
        </is>
      </c>
      <c r="D14175" s="15" t="n">
        <v>0.004</v>
      </c>
      <c r="E14175" s="4" t="n">
        <v>200000</v>
      </c>
      <c r="F14175" s="4" t="n">
        <v>800</v>
      </c>
    </row>
    <row r="14176">
      <c r="A14176" s="3" t="inlineStr">
        <is>
          <t>1</t>
        </is>
      </c>
      <c r="B14176" s="3" t="inlineStr">
        <is>
          <t>"Pipa Tanah DN. 8"" (200 mm)"</t>
        </is>
      </c>
      <c r="C14176" s="3" t="inlineStr">
        <is>
          <t>m'</t>
        </is>
      </c>
      <c r="D14176" s="15" t="n">
        <v>1.6</v>
      </c>
      <c r="E14176" s="4" t="n">
        <v>205000</v>
      </c>
      <c r="F14176" s="4" t="n">
        <v>328000</v>
      </c>
    </row>
    <row r="14177">
      <c r="A14177" s="3" t="inlineStr">
        <is>
          <t>2</t>
        </is>
      </c>
      <c r="B14177" s="3" t="inlineStr">
        <is>
          <t>Semen Portland (PC)</t>
        </is>
      </c>
      <c r="C14177" s="3" t="inlineStr">
        <is>
          <t>kg</t>
        </is>
      </c>
      <c r="D14177" s="15" t="n">
        <v>35</v>
      </c>
      <c r="E14177" s="4" t="n">
        <v>1300</v>
      </c>
      <c r="F14177" s="4" t="n">
        <v>45500</v>
      </c>
    </row>
    <row r="14178">
      <c r="A14178" s="3" t="inlineStr">
        <is>
          <t>3</t>
        </is>
      </c>
      <c r="B14178" s="3" t="inlineStr">
        <is>
          <t>Pasir pasang (quarry - lokasi pekerjaan)</t>
        </is>
      </c>
      <c r="C14178" s="3" t="inlineStr">
        <is>
          <t>m3</t>
        </is>
      </c>
      <c r="D14178" s="15" t="n">
        <v>0.014</v>
      </c>
      <c r="E14178" s="4" t="n">
        <v>275000</v>
      </c>
      <c r="F14178" s="4" t="n">
        <v>3850</v>
      </c>
    </row>
    <row r="14179">
      <c r="A14179" s="3" t="inlineStr">
        <is>
          <t>4</t>
        </is>
      </c>
      <c r="B14179" s="3" t="inlineStr">
        <is>
          <t>Pasir urug (quarry - lokasi pekerjaan)</t>
        </is>
      </c>
      <c r="C14179" s="3" t="inlineStr">
        <is>
          <t>m3</t>
        </is>
      </c>
      <c r="D14179" s="15" t="n">
        <v>0.014</v>
      </c>
      <c r="E14179" s="4" t="n">
        <v>254700</v>
      </c>
      <c r="F14179" s="4" t="n">
        <v>3565.8</v>
      </c>
    </row>
    <row r="14180">
      <c r="D14180" s="2" t="inlineStr">
        <is>
          <t>SUBTOTAL UPAH</t>
        </is>
      </c>
      <c r="F14180" s="16" t="n">
        <v>15300</v>
      </c>
    </row>
    <row r="14181">
      <c r="D14181" s="2" t="inlineStr">
        <is>
          <t>SUBTOTAL BAHAN</t>
        </is>
      </c>
      <c r="F14181" s="16" t="n">
        <v>380915.8</v>
      </c>
    </row>
    <row r="14182">
      <c r="D14182" s="2" t="inlineStr">
        <is>
          <t>SUBTOTAL ALAT</t>
        </is>
      </c>
      <c r="F14182" s="16" t="n">
        <v>0</v>
      </c>
    </row>
    <row r="14183">
      <c r="E14183" s="2" t="inlineStr">
        <is>
          <t>TOTAL HARGA SATUAN (Inc. Overhead)</t>
        </is>
      </c>
      <c r="F14183" s="17" t="n">
        <v>435837</v>
      </c>
    </row>
    <row r="14185">
      <c r="A14185" s="14" t="inlineStr">
        <is>
          <t>KODE: 6.5.1.1 - Pemasangan 1 buah gate velve (10,16,20) K, dia. 1/2" (15 mm)</t>
        </is>
      </c>
    </row>
    <row r="14186">
      <c r="A14186" s="10" t="inlineStr">
        <is>
          <t>No</t>
        </is>
      </c>
      <c r="B14186" s="10" t="inlineStr">
        <is>
          <t>Uraian Komponen</t>
        </is>
      </c>
      <c r="C14186" s="10" t="inlineStr">
        <is>
          <t>Satuan</t>
        </is>
      </c>
      <c r="D14186" s="10" t="inlineStr">
        <is>
          <t>Koef</t>
        </is>
      </c>
      <c r="E14186" s="10" t="inlineStr">
        <is>
          <t>Harga Satuan (Rp)</t>
        </is>
      </c>
      <c r="F14186" s="10" t="inlineStr">
        <is>
          <t>Jumlah Harga (Rp)</t>
        </is>
      </c>
    </row>
    <row r="14187">
      <c r="A14187" s="3" t="inlineStr">
        <is>
          <t>1</t>
        </is>
      </c>
      <c r="B14187" s="3" t="inlineStr">
        <is>
          <t>Pekerja</t>
        </is>
      </c>
      <c r="C14187" s="3" t="inlineStr">
        <is>
          <t>OH</t>
        </is>
      </c>
      <c r="D14187" s="15" t="n">
        <v>0.052</v>
      </c>
      <c r="E14187" s="4" t="n">
        <v>100000</v>
      </c>
      <c r="F14187" s="4" t="n">
        <v>5200</v>
      </c>
    </row>
    <row r="14188">
      <c r="A14188" s="3" t="inlineStr">
        <is>
          <t>2</t>
        </is>
      </c>
      <c r="B14188" s="3" t="inlineStr">
        <is>
          <t>Tukang pipa</t>
        </is>
      </c>
      <c r="C14188" s="3" t="inlineStr">
        <is>
          <t>OH</t>
        </is>
      </c>
      <c r="D14188" s="15" t="n">
        <v>0.08699999999999999</v>
      </c>
      <c r="E14188" s="4" t="n">
        <v>145000</v>
      </c>
      <c r="F14188" s="4" t="n">
        <v>12615</v>
      </c>
    </row>
    <row r="14189">
      <c r="A14189" s="3" t="inlineStr">
        <is>
          <t>3</t>
        </is>
      </c>
      <c r="B14189" s="3" t="inlineStr">
        <is>
          <t>Kepala tukang</t>
        </is>
      </c>
      <c r="C14189" s="3" t="inlineStr">
        <is>
          <t>OH</t>
        </is>
      </c>
      <c r="D14189" s="15" t="n">
        <v>0.008999999999999999</v>
      </c>
      <c r="E14189" s="4" t="n">
        <v>175000</v>
      </c>
      <c r="F14189" s="4" t="n">
        <v>1575</v>
      </c>
    </row>
    <row r="14190">
      <c r="A14190" s="3" t="inlineStr">
        <is>
          <t>4</t>
        </is>
      </c>
      <c r="B14190" s="3" t="inlineStr">
        <is>
          <t>Mandor</t>
        </is>
      </c>
      <c r="C14190" s="3" t="inlineStr">
        <is>
          <t>OH</t>
        </is>
      </c>
      <c r="D14190" s="15" t="n">
        <v>0.003</v>
      </c>
      <c r="E14190" s="4" t="n">
        <v>200000</v>
      </c>
      <c r="F14190" s="4" t="n">
        <v>600</v>
      </c>
    </row>
    <row r="14191">
      <c r="A14191" s="3" t="inlineStr">
        <is>
          <t>1</t>
        </is>
      </c>
      <c r="B14191" s="3" t="inlineStr">
        <is>
          <t>"Gate Valve dia. 1/2"""</t>
        </is>
      </c>
      <c r="C14191" s="3" t="inlineStr">
        <is>
          <t>unit</t>
        </is>
      </c>
      <c r="D14191" s="15" t="n">
        <v>1.15</v>
      </c>
      <c r="E14191" s="4" t="n">
        <v>1500000</v>
      </c>
      <c r="F14191" s="4" t="n">
        <v>1725000</v>
      </c>
    </row>
    <row r="14192">
      <c r="D14192" s="2" t="inlineStr">
        <is>
          <t>SUBTOTAL UPAH</t>
        </is>
      </c>
      <c r="F14192" s="16" t="n">
        <v>19990</v>
      </c>
    </row>
    <row r="14193">
      <c r="D14193" s="2" t="inlineStr">
        <is>
          <t>SUBTOTAL BAHAN</t>
        </is>
      </c>
      <c r="F14193" s="16" t="n">
        <v>1725000</v>
      </c>
    </row>
    <row r="14194">
      <c r="D14194" s="2" t="inlineStr">
        <is>
          <t>SUBTOTAL ALAT</t>
        </is>
      </c>
      <c r="F14194" s="16" t="n">
        <v>0</v>
      </c>
    </row>
    <row r="14195">
      <c r="E14195" s="2" t="inlineStr">
        <is>
          <t>TOTAL HARGA SATUAN (Inc. Overhead)</t>
        </is>
      </c>
      <c r="F14195" s="17" t="n">
        <v>1919489</v>
      </c>
    </row>
    <row r="14197">
      <c r="A14197" s="14" t="inlineStr">
        <is>
          <t>KODE: 6.5.1.2 - Pemasangan 1 buah gate velve (10, 16) K, dia. 3/4" (20 mm)</t>
        </is>
      </c>
    </row>
    <row r="14198">
      <c r="A14198" s="10" t="inlineStr">
        <is>
          <t>No</t>
        </is>
      </c>
      <c r="B14198" s="10" t="inlineStr">
        <is>
          <t>Uraian Komponen</t>
        </is>
      </c>
      <c r="C14198" s="10" t="inlineStr">
        <is>
          <t>Satuan</t>
        </is>
      </c>
      <c r="D14198" s="10" t="inlineStr">
        <is>
          <t>Koef</t>
        </is>
      </c>
      <c r="E14198" s="10" t="inlineStr">
        <is>
          <t>Harga Satuan (Rp)</t>
        </is>
      </c>
      <c r="F14198" s="10" t="inlineStr">
        <is>
          <t>Jumlah Harga (Rp)</t>
        </is>
      </c>
    </row>
    <row r="14199">
      <c r="A14199" s="3" t="inlineStr">
        <is>
          <t>1</t>
        </is>
      </c>
      <c r="B14199" s="3" t="inlineStr">
        <is>
          <t>Pekerja</t>
        </is>
      </c>
      <c r="C14199" s="3" t="inlineStr">
        <is>
          <t>OH</t>
        </is>
      </c>
      <c r="D14199" s="15" t="n">
        <v>0.079</v>
      </c>
      <c r="E14199" s="4" t="n">
        <v>100000</v>
      </c>
      <c r="F14199" s="4" t="n">
        <v>7900</v>
      </c>
    </row>
    <row r="14200">
      <c r="A14200" s="3" t="inlineStr">
        <is>
          <t>2</t>
        </is>
      </c>
      <c r="B14200" s="3" t="inlineStr">
        <is>
          <t>Tukang pipa</t>
        </is>
      </c>
      <c r="C14200" s="3" t="inlineStr">
        <is>
          <t>OH</t>
        </is>
      </c>
      <c r="D14200" s="15" t="n">
        <v>0.131</v>
      </c>
      <c r="E14200" s="4" t="n">
        <v>145000</v>
      </c>
      <c r="F14200" s="4" t="n">
        <v>18995</v>
      </c>
    </row>
    <row r="14201">
      <c r="A14201" s="3" t="inlineStr">
        <is>
          <t>3</t>
        </is>
      </c>
      <c r="B14201" s="3" t="inlineStr">
        <is>
          <t>Kepala tukang</t>
        </is>
      </c>
      <c r="C14201" s="3" t="inlineStr">
        <is>
          <t>OH</t>
        </is>
      </c>
      <c r="D14201" s="15" t="n">
        <v>0.013</v>
      </c>
      <c r="E14201" s="4" t="n">
        <v>175000</v>
      </c>
      <c r="F14201" s="4" t="n">
        <v>2275</v>
      </c>
    </row>
    <row r="14202">
      <c r="A14202" s="3" t="inlineStr">
        <is>
          <t>4</t>
        </is>
      </c>
      <c r="B14202" s="3" t="inlineStr">
        <is>
          <t>Mandor</t>
        </is>
      </c>
      <c r="C14202" s="3" t="inlineStr">
        <is>
          <t>OH</t>
        </is>
      </c>
      <c r="D14202" s="15" t="n">
        <v>0.004</v>
      </c>
      <c r="E14202" s="4" t="n">
        <v>200000</v>
      </c>
      <c r="F14202" s="4" t="n">
        <v>800</v>
      </c>
    </row>
    <row r="14203">
      <c r="A14203" s="3" t="inlineStr">
        <is>
          <t>1</t>
        </is>
      </c>
      <c r="B14203" s="3" t="inlineStr">
        <is>
          <t>"Gate Valve dia. 3/4"""</t>
        </is>
      </c>
      <c r="C14203" s="3" t="inlineStr">
        <is>
          <t>unit</t>
        </is>
      </c>
      <c r="D14203" s="15" t="n">
        <v>1.15</v>
      </c>
      <c r="E14203" s="4" t="n">
        <v>1700000</v>
      </c>
      <c r="F14203" s="4" t="n">
        <v>1955000</v>
      </c>
    </row>
    <row r="14204">
      <c r="D14204" s="2" t="inlineStr">
        <is>
          <t>SUBTOTAL UPAH</t>
        </is>
      </c>
      <c r="F14204" s="16" t="n">
        <v>29970</v>
      </c>
    </row>
    <row r="14205">
      <c r="D14205" s="2" t="inlineStr">
        <is>
          <t>SUBTOTAL BAHAN</t>
        </is>
      </c>
      <c r="F14205" s="16" t="n">
        <v>1955000</v>
      </c>
    </row>
    <row r="14206">
      <c r="D14206" s="2" t="inlineStr">
        <is>
          <t>SUBTOTAL ALAT</t>
        </is>
      </c>
      <c r="F14206" s="16" t="n">
        <v>0</v>
      </c>
    </row>
    <row r="14207">
      <c r="E14207" s="2" t="inlineStr">
        <is>
          <t>TOTAL HARGA SATUAN (Inc. Overhead)</t>
        </is>
      </c>
      <c r="F14207" s="17" t="n">
        <v>2183467</v>
      </c>
    </row>
    <row r="14209">
      <c r="A14209" s="14" t="inlineStr">
        <is>
          <t>KODE: 6.5.1.3 - Pemasangan 1 buah gate velve (10, 16, 20) K, dia. 1" (25 mm)</t>
        </is>
      </c>
    </row>
    <row r="14210">
      <c r="A14210" s="10" t="inlineStr">
        <is>
          <t>No</t>
        </is>
      </c>
      <c r="B14210" s="10" t="inlineStr">
        <is>
          <t>Uraian Komponen</t>
        </is>
      </c>
      <c r="C14210" s="10" t="inlineStr">
        <is>
          <t>Satuan</t>
        </is>
      </c>
      <c r="D14210" s="10" t="inlineStr">
        <is>
          <t>Koef</t>
        </is>
      </c>
      <c r="E14210" s="10" t="inlineStr">
        <is>
          <t>Harga Satuan (Rp)</t>
        </is>
      </c>
      <c r="F14210" s="10" t="inlineStr">
        <is>
          <t>Jumlah Harga (Rp)</t>
        </is>
      </c>
    </row>
    <row r="14211">
      <c r="A14211" s="3" t="inlineStr">
        <is>
          <t>1</t>
        </is>
      </c>
      <c r="B14211" s="3" t="inlineStr">
        <is>
          <t>Pekerja</t>
        </is>
      </c>
      <c r="C14211" s="3" t="inlineStr">
        <is>
          <t>OH</t>
        </is>
      </c>
      <c r="D14211" s="15" t="n">
        <v>0.105</v>
      </c>
      <c r="E14211" s="4" t="n">
        <v>100000</v>
      </c>
      <c r="F14211" s="4" t="n">
        <v>10500</v>
      </c>
    </row>
    <row r="14212">
      <c r="A14212" s="3" t="inlineStr">
        <is>
          <t>2</t>
        </is>
      </c>
      <c r="B14212" s="3" t="inlineStr">
        <is>
          <t>Tukang pipa</t>
        </is>
      </c>
      <c r="C14212" s="3" t="inlineStr">
        <is>
          <t>OH</t>
        </is>
      </c>
      <c r="D14212" s="15" t="n">
        <v>0.175</v>
      </c>
      <c r="E14212" s="4" t="n">
        <v>145000</v>
      </c>
      <c r="F14212" s="4" t="n">
        <v>25375</v>
      </c>
    </row>
    <row r="14213">
      <c r="A14213" s="3" t="inlineStr">
        <is>
          <t>3</t>
        </is>
      </c>
      <c r="B14213" s="3" t="inlineStr">
        <is>
          <t>Kepala tukang</t>
        </is>
      </c>
      <c r="C14213" s="3" t="inlineStr">
        <is>
          <t>OH</t>
        </is>
      </c>
      <c r="D14213" s="15" t="n">
        <v>0.017</v>
      </c>
      <c r="E14213" s="4" t="n">
        <v>175000</v>
      </c>
      <c r="F14213" s="4" t="n">
        <v>2975</v>
      </c>
    </row>
    <row r="14214">
      <c r="A14214" s="3" t="inlineStr">
        <is>
          <t>4</t>
        </is>
      </c>
      <c r="B14214" s="3" t="inlineStr">
        <is>
          <t>Mandor</t>
        </is>
      </c>
      <c r="C14214" s="3" t="inlineStr">
        <is>
          <t>OH</t>
        </is>
      </c>
      <c r="D14214" s="15" t="n">
        <v>0.005</v>
      </c>
      <c r="E14214" s="4" t="n">
        <v>200000</v>
      </c>
      <c r="F14214" s="4" t="n">
        <v>1000</v>
      </c>
    </row>
    <row r="14215">
      <c r="A14215" s="3" t="inlineStr">
        <is>
          <t>1</t>
        </is>
      </c>
      <c r="B14215" s="3" t="inlineStr">
        <is>
          <t>"Gate Valve dia. 1"""</t>
        </is>
      </c>
      <c r="C14215" s="3" t="inlineStr">
        <is>
          <t>unit</t>
        </is>
      </c>
      <c r="D14215" s="15" t="n">
        <v>1.15</v>
      </c>
      <c r="E14215" s="4" t="n">
        <v>1900000</v>
      </c>
      <c r="F14215" s="4" t="n">
        <v>2185000</v>
      </c>
    </row>
    <row r="14216">
      <c r="D14216" s="2" t="inlineStr">
        <is>
          <t>SUBTOTAL UPAH</t>
        </is>
      </c>
      <c r="F14216" s="16" t="n">
        <v>39850</v>
      </c>
    </row>
    <row r="14217">
      <c r="D14217" s="2" t="inlineStr">
        <is>
          <t>SUBTOTAL BAHAN</t>
        </is>
      </c>
      <c r="F14217" s="16" t="n">
        <v>2185000</v>
      </c>
    </row>
    <row r="14218">
      <c r="D14218" s="2" t="inlineStr">
        <is>
          <t>SUBTOTAL ALAT</t>
        </is>
      </c>
      <c r="F14218" s="16" t="n">
        <v>0</v>
      </c>
    </row>
    <row r="14219">
      <c r="E14219" s="2" t="inlineStr">
        <is>
          <t>TOTAL HARGA SATUAN (Inc. Overhead)</t>
        </is>
      </c>
      <c r="F14219" s="17" t="n">
        <v>2447335</v>
      </c>
    </row>
    <row r="14221">
      <c r="A14221" s="14" t="inlineStr">
        <is>
          <t>KODE: 6.5.1.4 - Pemasangan 1 buah gate velve (10, 16) K, dia. 1-1/4" (32 mm)</t>
        </is>
      </c>
    </row>
    <row r="14222">
      <c r="A14222" s="10" t="inlineStr">
        <is>
          <t>No</t>
        </is>
      </c>
      <c r="B14222" s="10" t="inlineStr">
        <is>
          <t>Uraian Komponen</t>
        </is>
      </c>
      <c r="C14222" s="10" t="inlineStr">
        <is>
          <t>Satuan</t>
        </is>
      </c>
      <c r="D14222" s="10" t="inlineStr">
        <is>
          <t>Koef</t>
        </is>
      </c>
      <c r="E14222" s="10" t="inlineStr">
        <is>
          <t>Harga Satuan (Rp)</t>
        </is>
      </c>
      <c r="F14222" s="10" t="inlineStr">
        <is>
          <t>Jumlah Harga (Rp)</t>
        </is>
      </c>
    </row>
    <row r="14223">
      <c r="A14223" s="3" t="inlineStr">
        <is>
          <t>1</t>
        </is>
      </c>
      <c r="B14223" s="3" t="inlineStr">
        <is>
          <t>Pekerja</t>
        </is>
      </c>
      <c r="C14223" s="3" t="inlineStr">
        <is>
          <t>OH</t>
        </is>
      </c>
      <c r="D14223" s="15" t="n">
        <v>0.129</v>
      </c>
      <c r="E14223" s="4" t="n">
        <v>100000</v>
      </c>
      <c r="F14223" s="4" t="n">
        <v>12900</v>
      </c>
    </row>
    <row r="14224">
      <c r="A14224" s="3" t="inlineStr">
        <is>
          <t>2</t>
        </is>
      </c>
      <c r="B14224" s="3" t="inlineStr">
        <is>
          <t>Tukang pipa</t>
        </is>
      </c>
      <c r="C14224" s="3" t="inlineStr">
        <is>
          <t>OH</t>
        </is>
      </c>
      <c r="D14224" s="15" t="n">
        <v>0.215</v>
      </c>
      <c r="E14224" s="4" t="n">
        <v>145000</v>
      </c>
      <c r="F14224" s="4" t="n">
        <v>31175</v>
      </c>
    </row>
    <row r="14225">
      <c r="A14225" s="3" t="inlineStr">
        <is>
          <t>3</t>
        </is>
      </c>
      <c r="B14225" s="3" t="inlineStr">
        <is>
          <t>Kepala tukang</t>
        </is>
      </c>
      <c r="C14225" s="3" t="inlineStr">
        <is>
          <t>OH</t>
        </is>
      </c>
      <c r="D14225" s="15" t="n">
        <v>0.021</v>
      </c>
      <c r="E14225" s="4" t="n">
        <v>175000</v>
      </c>
      <c r="F14225" s="4" t="n">
        <v>3675</v>
      </c>
    </row>
    <row r="14226">
      <c r="A14226" s="3" t="inlineStr">
        <is>
          <t>4</t>
        </is>
      </c>
      <c r="B14226" s="3" t="inlineStr">
        <is>
          <t>Mandor</t>
        </is>
      </c>
      <c r="C14226" s="3" t="inlineStr">
        <is>
          <t>OH</t>
        </is>
      </c>
      <c r="D14226" s="15" t="n">
        <v>0.006</v>
      </c>
      <c r="E14226" s="4" t="n">
        <v>200000</v>
      </c>
      <c r="F14226" s="4" t="n">
        <v>1200</v>
      </c>
    </row>
    <row r="14227">
      <c r="A14227" s="3" t="inlineStr">
        <is>
          <t>1</t>
        </is>
      </c>
      <c r="B14227" s="3" t="inlineStr">
        <is>
          <t>"Gate Valve dia. 1-1/4"""</t>
        </is>
      </c>
      <c r="C14227" s="3" t="inlineStr">
        <is>
          <t>unit</t>
        </is>
      </c>
      <c r="D14227" s="15" t="n">
        <v>1.15</v>
      </c>
      <c r="E14227" s="4" t="n">
        <v>2050000</v>
      </c>
      <c r="F14227" s="4" t="n">
        <v>2357500</v>
      </c>
    </row>
    <row r="14228">
      <c r="D14228" s="2" t="inlineStr">
        <is>
          <t>SUBTOTAL UPAH</t>
        </is>
      </c>
      <c r="F14228" s="16" t="n">
        <v>48950</v>
      </c>
    </row>
    <row r="14229">
      <c r="D14229" s="2" t="inlineStr">
        <is>
          <t>SUBTOTAL BAHAN</t>
        </is>
      </c>
      <c r="F14229" s="16" t="n">
        <v>2357500</v>
      </c>
    </row>
    <row r="14230">
      <c r="D14230" s="2" t="inlineStr">
        <is>
          <t>SUBTOTAL ALAT</t>
        </is>
      </c>
      <c r="F14230" s="16" t="n">
        <v>0</v>
      </c>
    </row>
    <row r="14231">
      <c r="E14231" s="2" t="inlineStr">
        <is>
          <t>TOTAL HARGA SATUAN (Inc. Overhead)</t>
        </is>
      </c>
      <c r="F14231" s="17" t="n">
        <v>2647095</v>
      </c>
    </row>
    <row r="14233">
      <c r="A14233" s="14" t="inlineStr">
        <is>
          <t>KODE: 6.5.1.5 - Pemasangan 1 buah gate velve (10, 16) K, dia. 1-1/2" (40 mm)</t>
        </is>
      </c>
    </row>
    <row r="14234">
      <c r="A14234" s="10" t="inlineStr">
        <is>
          <t>No</t>
        </is>
      </c>
      <c r="B14234" s="10" t="inlineStr">
        <is>
          <t>Uraian Komponen</t>
        </is>
      </c>
      <c r="C14234" s="10" t="inlineStr">
        <is>
          <t>Satuan</t>
        </is>
      </c>
      <c r="D14234" s="10" t="inlineStr">
        <is>
          <t>Koef</t>
        </is>
      </c>
      <c r="E14234" s="10" t="inlineStr">
        <is>
          <t>Harga Satuan (Rp)</t>
        </is>
      </c>
      <c r="F14234" s="10" t="inlineStr">
        <is>
          <t>Jumlah Harga (Rp)</t>
        </is>
      </c>
    </row>
    <row r="14235">
      <c r="A14235" s="3" t="inlineStr">
        <is>
          <t>1</t>
        </is>
      </c>
      <c r="B14235" s="3" t="inlineStr">
        <is>
          <t>Pekerja</t>
        </is>
      </c>
      <c r="C14235" s="3" t="inlineStr">
        <is>
          <t>OH</t>
        </is>
      </c>
      <c r="D14235" s="15" t="n">
        <v>0.157</v>
      </c>
      <c r="E14235" s="4" t="n">
        <v>100000</v>
      </c>
      <c r="F14235" s="4" t="n">
        <v>15700</v>
      </c>
    </row>
    <row r="14236">
      <c r="A14236" s="3" t="inlineStr">
        <is>
          <t>2</t>
        </is>
      </c>
      <c r="B14236" s="3" t="inlineStr">
        <is>
          <t>Tukang pipa</t>
        </is>
      </c>
      <c r="C14236" s="3" t="inlineStr">
        <is>
          <t>OH</t>
        </is>
      </c>
      <c r="D14236" s="15" t="n">
        <v>0.262</v>
      </c>
      <c r="E14236" s="4" t="n">
        <v>145000</v>
      </c>
      <c r="F14236" s="4" t="n">
        <v>37990</v>
      </c>
    </row>
    <row r="14237">
      <c r="A14237" s="3" t="inlineStr">
        <is>
          <t>3</t>
        </is>
      </c>
      <c r="B14237" s="3" t="inlineStr">
        <is>
          <t>Kepala tukang</t>
        </is>
      </c>
      <c r="C14237" s="3" t="inlineStr">
        <is>
          <t>OH</t>
        </is>
      </c>
      <c r="D14237" s="15" t="n">
        <v>0.026</v>
      </c>
      <c r="E14237" s="4" t="n">
        <v>175000</v>
      </c>
      <c r="F14237" s="4" t="n">
        <v>4550</v>
      </c>
    </row>
    <row r="14238">
      <c r="A14238" s="3" t="inlineStr">
        <is>
          <t>4</t>
        </is>
      </c>
      <c r="B14238" s="3" t="inlineStr">
        <is>
          <t>Mandor</t>
        </is>
      </c>
      <c r="C14238" s="3" t="inlineStr">
        <is>
          <t>OH</t>
        </is>
      </c>
      <c r="D14238" s="15" t="n">
        <v>0.008</v>
      </c>
      <c r="E14238" s="4" t="n">
        <v>200000</v>
      </c>
      <c r="F14238" s="4" t="n">
        <v>1600</v>
      </c>
    </row>
    <row r="14239">
      <c r="A14239" s="3" t="inlineStr">
        <is>
          <t>1</t>
        </is>
      </c>
      <c r="B14239" s="3" t="inlineStr">
        <is>
          <t>"Gate Valve dia. 1-1/2"""</t>
        </is>
      </c>
      <c r="C14239" s="3" t="inlineStr">
        <is>
          <t>unit</t>
        </is>
      </c>
      <c r="D14239" s="15" t="n">
        <v>1.15</v>
      </c>
      <c r="E14239" s="4" t="n">
        <v>2125000</v>
      </c>
      <c r="F14239" s="4" t="n">
        <v>2443750</v>
      </c>
    </row>
    <row r="14240">
      <c r="D14240" s="2" t="inlineStr">
        <is>
          <t>SUBTOTAL UPAH</t>
        </is>
      </c>
      <c r="F14240" s="16" t="n">
        <v>59840</v>
      </c>
    </row>
    <row r="14241">
      <c r="D14241" s="2" t="inlineStr">
        <is>
          <t>SUBTOTAL BAHAN</t>
        </is>
      </c>
      <c r="F14241" s="16" t="n">
        <v>2443750</v>
      </c>
    </row>
    <row r="14242">
      <c r="D14242" s="2" t="inlineStr">
        <is>
          <t>SUBTOTAL ALAT</t>
        </is>
      </c>
      <c r="F14242" s="16" t="n">
        <v>0</v>
      </c>
    </row>
    <row r="14243">
      <c r="E14243" s="2" t="inlineStr">
        <is>
          <t>TOTAL HARGA SATUAN (Inc. Overhead)</t>
        </is>
      </c>
      <c r="F14243" s="17" t="n">
        <v>2753949</v>
      </c>
    </row>
    <row r="14245">
      <c r="A14245" s="14" t="inlineStr">
        <is>
          <t>KODE: 6.5.1.6 - Pemasangan 1 buah gate velve (10, 16, 20) K, dia. 2" (50 mm)</t>
        </is>
      </c>
    </row>
    <row r="14246">
      <c r="A14246" s="10" t="inlineStr">
        <is>
          <t>No</t>
        </is>
      </c>
      <c r="B14246" s="10" t="inlineStr">
        <is>
          <t>Uraian Komponen</t>
        </is>
      </c>
      <c r="C14246" s="10" t="inlineStr">
        <is>
          <t>Satuan</t>
        </is>
      </c>
      <c r="D14246" s="10" t="inlineStr">
        <is>
          <t>Koef</t>
        </is>
      </c>
      <c r="E14246" s="10" t="inlineStr">
        <is>
          <t>Harga Satuan (Rp)</t>
        </is>
      </c>
      <c r="F14246" s="10" t="inlineStr">
        <is>
          <t>Jumlah Harga (Rp)</t>
        </is>
      </c>
    </row>
    <row r="14247">
      <c r="A14247" s="3" t="inlineStr">
        <is>
          <t>1</t>
        </is>
      </c>
      <c r="B14247" s="3" t="inlineStr">
        <is>
          <t>Pekerja</t>
        </is>
      </c>
      <c r="C14247" s="3" t="inlineStr">
        <is>
          <t>OH</t>
        </is>
      </c>
      <c r="D14247" s="15" t="n">
        <v>0.207</v>
      </c>
      <c r="E14247" s="4" t="n">
        <v>100000</v>
      </c>
      <c r="F14247" s="4" t="n">
        <v>20700</v>
      </c>
    </row>
    <row r="14248">
      <c r="A14248" s="3" t="inlineStr">
        <is>
          <t>2</t>
        </is>
      </c>
      <c r="B14248" s="3" t="inlineStr">
        <is>
          <t>Tukang pipa</t>
        </is>
      </c>
      <c r="C14248" s="3" t="inlineStr">
        <is>
          <t>OH</t>
        </is>
      </c>
      <c r="D14248" s="15" t="n">
        <v>0.346</v>
      </c>
      <c r="E14248" s="4" t="n">
        <v>145000</v>
      </c>
      <c r="F14248" s="4" t="n">
        <v>50169.99999999999</v>
      </c>
    </row>
    <row r="14249">
      <c r="A14249" s="3" t="inlineStr">
        <is>
          <t>3</t>
        </is>
      </c>
      <c r="B14249" s="3" t="inlineStr">
        <is>
          <t>Kepala tukang</t>
        </is>
      </c>
      <c r="C14249" s="3" t="inlineStr">
        <is>
          <t>OH</t>
        </is>
      </c>
      <c r="D14249" s="15" t="n">
        <v>0.035</v>
      </c>
      <c r="E14249" s="4" t="n">
        <v>175000</v>
      </c>
      <c r="F14249" s="4" t="n">
        <v>6125.000000000001</v>
      </c>
    </row>
    <row r="14250">
      <c r="A14250" s="3" t="inlineStr">
        <is>
          <t>4</t>
        </is>
      </c>
      <c r="B14250" s="3" t="inlineStr">
        <is>
          <t>Mandor</t>
        </is>
      </c>
      <c r="C14250" s="3" t="inlineStr">
        <is>
          <t>OH</t>
        </is>
      </c>
      <c r="D14250" s="15" t="n">
        <v>0.01</v>
      </c>
      <c r="E14250" s="4" t="n">
        <v>200000</v>
      </c>
      <c r="F14250" s="4" t="n">
        <v>2000</v>
      </c>
    </row>
    <row r="14251">
      <c r="A14251" s="3" t="inlineStr">
        <is>
          <t>1</t>
        </is>
      </c>
      <c r="B14251" s="3" t="inlineStr">
        <is>
          <t>"Gate Valve dia.2"""</t>
        </is>
      </c>
      <c r="C14251" s="3" t="inlineStr">
        <is>
          <t>unit</t>
        </is>
      </c>
      <c r="D14251" s="15" t="n">
        <v>1.15</v>
      </c>
      <c r="E14251" s="4" t="n">
        <v>2315000</v>
      </c>
      <c r="F14251" s="4" t="n">
        <v>2662250</v>
      </c>
    </row>
    <row r="14252">
      <c r="D14252" s="2" t="inlineStr">
        <is>
          <t>SUBTOTAL UPAH</t>
        </is>
      </c>
      <c r="F14252" s="16" t="n">
        <v>78995</v>
      </c>
    </row>
    <row r="14253">
      <c r="D14253" s="2" t="inlineStr">
        <is>
          <t>SUBTOTAL BAHAN</t>
        </is>
      </c>
      <c r="F14253" s="16" t="n">
        <v>2662250</v>
      </c>
    </row>
    <row r="14254">
      <c r="D14254" s="2" t="inlineStr">
        <is>
          <t>SUBTOTAL ALAT</t>
        </is>
      </c>
      <c r="F14254" s="16" t="n">
        <v>0</v>
      </c>
    </row>
    <row r="14255">
      <c r="E14255" s="2" t="inlineStr">
        <is>
          <t>TOTAL HARGA SATUAN (Inc. Overhead)</t>
        </is>
      </c>
      <c r="F14255" s="17" t="n">
        <v>3015369</v>
      </c>
    </row>
    <row r="14257">
      <c r="A14257" s="14" t="inlineStr">
        <is>
          <t>KODE: 6.5.1.7 - Pemasangan 1 buah gate velve (10, 16, 20)K, dia. 2-1/2" (65 mm)</t>
        </is>
      </c>
    </row>
    <row r="14258">
      <c r="A14258" s="10" t="inlineStr">
        <is>
          <t>No</t>
        </is>
      </c>
      <c r="B14258" s="10" t="inlineStr">
        <is>
          <t>Uraian Komponen</t>
        </is>
      </c>
      <c r="C14258" s="10" t="inlineStr">
        <is>
          <t>Satuan</t>
        </is>
      </c>
      <c r="D14258" s="10" t="inlineStr">
        <is>
          <t>Koef</t>
        </is>
      </c>
      <c r="E14258" s="10" t="inlineStr">
        <is>
          <t>Harga Satuan (Rp)</t>
        </is>
      </c>
      <c r="F14258" s="10" t="inlineStr">
        <is>
          <t>Jumlah Harga (Rp)</t>
        </is>
      </c>
    </row>
    <row r="14259">
      <c r="A14259" s="3" t="inlineStr">
        <is>
          <t>1</t>
        </is>
      </c>
      <c r="B14259" s="3" t="inlineStr">
        <is>
          <t>Pekerja</t>
        </is>
      </c>
      <c r="C14259" s="3" t="inlineStr">
        <is>
          <t>OH</t>
        </is>
      </c>
      <c r="D14259" s="15" t="n">
        <v>0.26</v>
      </c>
      <c r="E14259" s="4" t="n">
        <v>100000</v>
      </c>
      <c r="F14259" s="4" t="n">
        <v>26000</v>
      </c>
    </row>
    <row r="14260">
      <c r="A14260" s="3" t="inlineStr">
        <is>
          <t>2</t>
        </is>
      </c>
      <c r="B14260" s="3" t="inlineStr">
        <is>
          <t>Tukang pipa</t>
        </is>
      </c>
      <c r="C14260" s="3" t="inlineStr">
        <is>
          <t>OH</t>
        </is>
      </c>
      <c r="D14260" s="15" t="n">
        <v>0.433</v>
      </c>
      <c r="E14260" s="4" t="n">
        <v>145000</v>
      </c>
      <c r="F14260" s="4" t="n">
        <v>62785</v>
      </c>
    </row>
    <row r="14261">
      <c r="A14261" s="3" t="inlineStr">
        <is>
          <t>3</t>
        </is>
      </c>
      <c r="B14261" s="3" t="inlineStr">
        <is>
          <t>Kepala tukang</t>
        </is>
      </c>
      <c r="C14261" s="3" t="inlineStr">
        <is>
          <t>OH</t>
        </is>
      </c>
      <c r="D14261" s="15" t="n">
        <v>0.043</v>
      </c>
      <c r="E14261" s="4" t="n">
        <v>175000</v>
      </c>
      <c r="F14261" s="4" t="n">
        <v>7524.999999999999</v>
      </c>
    </row>
    <row r="14262">
      <c r="A14262" s="3" t="inlineStr">
        <is>
          <t>4</t>
        </is>
      </c>
      <c r="B14262" s="3" t="inlineStr">
        <is>
          <t>Mandor</t>
        </is>
      </c>
      <c r="C14262" s="3" t="inlineStr">
        <is>
          <t>OH</t>
        </is>
      </c>
      <c r="D14262" s="15" t="n">
        <v>0.013</v>
      </c>
      <c r="E14262" s="4" t="n">
        <v>200000</v>
      </c>
      <c r="F14262" s="4" t="n">
        <v>2600</v>
      </c>
    </row>
    <row r="14263">
      <c r="A14263" s="3" t="inlineStr">
        <is>
          <t>1</t>
        </is>
      </c>
      <c r="B14263" s="3" t="inlineStr">
        <is>
          <t>"Gate Valve dia.2-1/2"""</t>
        </is>
      </c>
      <c r="C14263" s="3" t="inlineStr">
        <is>
          <t>unit</t>
        </is>
      </c>
      <c r="D14263" s="15" t="n">
        <v>1.15</v>
      </c>
      <c r="E14263" s="4" t="n">
        <v>2475000</v>
      </c>
      <c r="F14263" s="4" t="n">
        <v>2846250</v>
      </c>
    </row>
    <row r="14264">
      <c r="D14264" s="2" t="inlineStr">
        <is>
          <t>SUBTOTAL UPAH</t>
        </is>
      </c>
      <c r="F14264" s="16" t="n">
        <v>98910</v>
      </c>
    </row>
    <row r="14265">
      <c r="D14265" s="2" t="inlineStr">
        <is>
          <t>SUBTOTAL BAHAN</t>
        </is>
      </c>
      <c r="F14265" s="16" t="n">
        <v>2846250</v>
      </c>
    </row>
    <row r="14266">
      <c r="D14266" s="2" t="inlineStr">
        <is>
          <t>SUBTOTAL ALAT</t>
        </is>
      </c>
      <c r="F14266" s="16" t="n">
        <v>0</v>
      </c>
    </row>
    <row r="14267">
      <c r="E14267" s="2" t="inlineStr">
        <is>
          <t>TOTAL HARGA SATUAN (Inc. Overhead)</t>
        </is>
      </c>
      <c r="F14267" s="17" t="n">
        <v>3239676</v>
      </c>
    </row>
    <row r="14269">
      <c r="A14269" s="14" t="inlineStr">
        <is>
          <t>KODE: 6.5.1.8 - Pemasangan 1 buah gate velve (10, 16, 25) K, dia. 3" (80 mm)</t>
        </is>
      </c>
    </row>
    <row r="14270">
      <c r="A14270" s="10" t="inlineStr">
        <is>
          <t>No</t>
        </is>
      </c>
      <c r="B14270" s="10" t="inlineStr">
        <is>
          <t>Uraian Komponen</t>
        </is>
      </c>
      <c r="C14270" s="10" t="inlineStr">
        <is>
          <t>Satuan</t>
        </is>
      </c>
      <c r="D14270" s="10" t="inlineStr">
        <is>
          <t>Koef</t>
        </is>
      </c>
      <c r="E14270" s="10" t="inlineStr">
        <is>
          <t>Harga Satuan (Rp)</t>
        </is>
      </c>
      <c r="F14270" s="10" t="inlineStr">
        <is>
          <t>Jumlah Harga (Rp)</t>
        </is>
      </c>
    </row>
    <row r="14271">
      <c r="A14271" s="3" t="inlineStr">
        <is>
          <t>1</t>
        </is>
      </c>
      <c r="B14271" s="3" t="inlineStr">
        <is>
          <t>Pekerja</t>
        </is>
      </c>
      <c r="C14271" s="3" t="inlineStr">
        <is>
          <t>OH</t>
        </is>
      </c>
      <c r="D14271" s="15" t="n">
        <v>0.471</v>
      </c>
      <c r="E14271" s="4" t="n">
        <v>100000</v>
      </c>
      <c r="F14271" s="4" t="n">
        <v>47100</v>
      </c>
    </row>
    <row r="14272">
      <c r="A14272" s="3" t="inlineStr">
        <is>
          <t>2</t>
        </is>
      </c>
      <c r="B14272" s="3" t="inlineStr">
        <is>
          <t>Tukang pipa</t>
        </is>
      </c>
      <c r="C14272" s="3" t="inlineStr">
        <is>
          <t>OH</t>
        </is>
      </c>
      <c r="D14272" s="15" t="n">
        <v>0.787</v>
      </c>
      <c r="E14272" s="4" t="n">
        <v>145000</v>
      </c>
      <c r="F14272" s="4" t="n">
        <v>114115</v>
      </c>
    </row>
    <row r="14273">
      <c r="A14273" s="3" t="inlineStr">
        <is>
          <t>3</t>
        </is>
      </c>
      <c r="B14273" s="3" t="inlineStr">
        <is>
          <t>Kepala tukang</t>
        </is>
      </c>
      <c r="C14273" s="3" t="inlineStr">
        <is>
          <t>OH</t>
        </is>
      </c>
      <c r="D14273" s="15" t="n">
        <v>0.079</v>
      </c>
      <c r="E14273" s="4" t="n">
        <v>175000</v>
      </c>
      <c r="F14273" s="4" t="n">
        <v>13825</v>
      </c>
    </row>
    <row r="14274">
      <c r="A14274" s="3" t="inlineStr">
        <is>
          <t>4</t>
        </is>
      </c>
      <c r="B14274" s="3" t="inlineStr">
        <is>
          <t>Mandor</t>
        </is>
      </c>
      <c r="C14274" s="3" t="inlineStr">
        <is>
          <t>OH</t>
        </is>
      </c>
      <c r="D14274" s="15" t="n">
        <v>0.024</v>
      </c>
      <c r="E14274" s="4" t="n">
        <v>200000</v>
      </c>
      <c r="F14274" s="4" t="n">
        <v>4800</v>
      </c>
    </row>
    <row r="14275">
      <c r="A14275" s="3" t="inlineStr">
        <is>
          <t>1</t>
        </is>
      </c>
      <c r="B14275" s="3" t="inlineStr">
        <is>
          <t>"Gate Valve dia.3"""</t>
        </is>
      </c>
      <c r="C14275" s="3" t="inlineStr">
        <is>
          <t>unit</t>
        </is>
      </c>
      <c r="D14275" s="15" t="n">
        <v>1.3</v>
      </c>
      <c r="E14275" s="4" t="n">
        <v>2750000</v>
      </c>
      <c r="F14275" s="4" t="n">
        <v>3575000</v>
      </c>
    </row>
    <row r="14276">
      <c r="D14276" s="2" t="inlineStr">
        <is>
          <t>SUBTOTAL UPAH</t>
        </is>
      </c>
      <c r="F14276" s="16" t="n">
        <v>179840</v>
      </c>
    </row>
    <row r="14277">
      <c r="D14277" s="2" t="inlineStr">
        <is>
          <t>SUBTOTAL BAHAN</t>
        </is>
      </c>
      <c r="F14277" s="16" t="n">
        <v>3575000</v>
      </c>
    </row>
    <row r="14278">
      <c r="D14278" s="2" t="inlineStr">
        <is>
          <t>SUBTOTAL ALAT</t>
        </is>
      </c>
      <c r="F14278" s="16" t="n">
        <v>0</v>
      </c>
    </row>
    <row r="14279">
      <c r="E14279" s="2" t="inlineStr">
        <is>
          <t>TOTAL HARGA SATUAN (Inc. Overhead)</t>
        </is>
      </c>
      <c r="F14279" s="17" t="n">
        <v>4130324</v>
      </c>
    </row>
    <row r="14281">
      <c r="A14281" s="14" t="inlineStr">
        <is>
          <t>KODE: 6.5.1.9 - Pemasangan 1 buah gate velve (10, 16, 25) K, dia. 4" (100 mm)</t>
        </is>
      </c>
    </row>
    <row r="14282">
      <c r="A14282" s="10" t="inlineStr">
        <is>
          <t>No</t>
        </is>
      </c>
      <c r="B14282" s="10" t="inlineStr">
        <is>
          <t>Uraian Komponen</t>
        </is>
      </c>
      <c r="C14282" s="10" t="inlineStr">
        <is>
          <t>Satuan</t>
        </is>
      </c>
      <c r="D14282" s="10" t="inlineStr">
        <is>
          <t>Koef</t>
        </is>
      </c>
      <c r="E14282" s="10" t="inlineStr">
        <is>
          <t>Harga Satuan (Rp)</t>
        </is>
      </c>
      <c r="F14282" s="10" t="inlineStr">
        <is>
          <t>Jumlah Harga (Rp)</t>
        </is>
      </c>
    </row>
    <row r="14283">
      <c r="A14283" s="3" t="inlineStr">
        <is>
          <t>1</t>
        </is>
      </c>
      <c r="B14283" s="3" t="inlineStr">
        <is>
          <t>Pekerja</t>
        </is>
      </c>
      <c r="C14283" s="3" t="inlineStr">
        <is>
          <t>OH</t>
        </is>
      </c>
      <c r="D14283" s="15" t="n">
        <v>0.631</v>
      </c>
      <c r="E14283" s="4" t="n">
        <v>100000</v>
      </c>
      <c r="F14283" s="4" t="n">
        <v>63100</v>
      </c>
    </row>
    <row r="14284">
      <c r="A14284" s="3" t="inlineStr">
        <is>
          <t>2</t>
        </is>
      </c>
      <c r="B14284" s="3" t="inlineStr">
        <is>
          <t>Tukang pipa</t>
        </is>
      </c>
      <c r="C14284" s="3" t="inlineStr">
        <is>
          <t>OH</t>
        </is>
      </c>
      <c r="D14284" s="15" t="n">
        <v>1.054</v>
      </c>
      <c r="E14284" s="4" t="n">
        <v>145000</v>
      </c>
      <c r="F14284" s="4" t="n">
        <v>152830</v>
      </c>
    </row>
    <row r="14285">
      <c r="A14285" s="3" t="inlineStr">
        <is>
          <t>3</t>
        </is>
      </c>
      <c r="B14285" s="3" t="inlineStr">
        <is>
          <t>Kepala tukang</t>
        </is>
      </c>
      <c r="C14285" s="3" t="inlineStr">
        <is>
          <t>OH</t>
        </is>
      </c>
      <c r="D14285" s="15" t="n">
        <v>0.105</v>
      </c>
      <c r="E14285" s="4" t="n">
        <v>175000</v>
      </c>
      <c r="F14285" s="4" t="n">
        <v>18375</v>
      </c>
    </row>
    <row r="14286">
      <c r="A14286" s="3" t="inlineStr">
        <is>
          <t>4</t>
        </is>
      </c>
      <c r="B14286" s="3" t="inlineStr">
        <is>
          <t>Mandor</t>
        </is>
      </c>
      <c r="C14286" s="3" t="inlineStr">
        <is>
          <t>OH</t>
        </is>
      </c>
      <c r="D14286" s="15" t="n">
        <v>0.032</v>
      </c>
      <c r="E14286" s="4" t="n">
        <v>200000</v>
      </c>
      <c r="F14286" s="4" t="n">
        <v>6400</v>
      </c>
    </row>
    <row r="14287">
      <c r="A14287" s="3" t="inlineStr">
        <is>
          <t>1</t>
        </is>
      </c>
      <c r="B14287" s="3" t="inlineStr">
        <is>
          <t>"Gate Valve dia.4"""</t>
        </is>
      </c>
      <c r="C14287" s="3" t="inlineStr">
        <is>
          <t>unit</t>
        </is>
      </c>
      <c r="D14287" s="15" t="n">
        <v>1.3</v>
      </c>
      <c r="E14287" s="4" t="n">
        <v>2995000</v>
      </c>
      <c r="F14287" s="4" t="n">
        <v>3893500</v>
      </c>
    </row>
    <row r="14288">
      <c r="D14288" s="2" t="inlineStr">
        <is>
          <t>SUBTOTAL UPAH</t>
        </is>
      </c>
      <c r="F14288" s="16" t="n">
        <v>240705</v>
      </c>
    </row>
    <row r="14289">
      <c r="D14289" s="2" t="inlineStr">
        <is>
          <t>SUBTOTAL BAHAN</t>
        </is>
      </c>
      <c r="F14289" s="16" t="n">
        <v>3893500</v>
      </c>
    </row>
    <row r="14290">
      <c r="D14290" s="2" t="inlineStr">
        <is>
          <t>SUBTOTAL ALAT</t>
        </is>
      </c>
      <c r="F14290" s="16" t="n">
        <v>0</v>
      </c>
    </row>
    <row r="14291">
      <c r="E14291" s="2" t="inlineStr">
        <is>
          <t>TOTAL HARGA SATUAN (Inc. Overhead)</t>
        </is>
      </c>
      <c r="F14291" s="17" t="n">
        <v>4547625</v>
      </c>
    </row>
    <row r="14293">
      <c r="A14293" s="14" t="inlineStr">
        <is>
          <t>KODE: 6.5.1.10 - Pemasangan 1 buah gate velve (10, 16) K, dia. 5" (125 mm)</t>
        </is>
      </c>
    </row>
    <row r="14294">
      <c r="A14294" s="10" t="inlineStr">
        <is>
          <t>No</t>
        </is>
      </c>
      <c r="B14294" s="10" t="inlineStr">
        <is>
          <t>Uraian Komponen</t>
        </is>
      </c>
      <c r="C14294" s="10" t="inlineStr">
        <is>
          <t>Satuan</t>
        </is>
      </c>
      <c r="D14294" s="10" t="inlineStr">
        <is>
          <t>Koef</t>
        </is>
      </c>
      <c r="E14294" s="10" t="inlineStr">
        <is>
          <t>Harga Satuan (Rp)</t>
        </is>
      </c>
      <c r="F14294" s="10" t="inlineStr">
        <is>
          <t>Jumlah Harga (Rp)</t>
        </is>
      </c>
    </row>
    <row r="14295">
      <c r="A14295" s="3" t="inlineStr">
        <is>
          <t>1</t>
        </is>
      </c>
      <c r="B14295" s="3" t="inlineStr">
        <is>
          <t>Pekerja</t>
        </is>
      </c>
      <c r="C14295" s="3" t="inlineStr">
        <is>
          <t>OH</t>
        </is>
      </c>
      <c r="D14295" s="15" t="n">
        <v>0.788</v>
      </c>
      <c r="E14295" s="4" t="n">
        <v>100000</v>
      </c>
      <c r="F14295" s="4" t="n">
        <v>78800</v>
      </c>
    </row>
    <row r="14296">
      <c r="A14296" s="3" t="inlineStr">
        <is>
          <t>2</t>
        </is>
      </c>
      <c r="B14296" s="3" t="inlineStr">
        <is>
          <t>Tukang pipa</t>
        </is>
      </c>
      <c r="C14296" s="3" t="inlineStr">
        <is>
          <t>OH</t>
        </is>
      </c>
      <c r="D14296" s="15" t="n">
        <v>1.316</v>
      </c>
      <c r="E14296" s="4" t="n">
        <v>145000</v>
      </c>
      <c r="F14296" s="4" t="n">
        <v>190820</v>
      </c>
    </row>
    <row r="14297">
      <c r="A14297" s="3" t="inlineStr">
        <is>
          <t>3</t>
        </is>
      </c>
      <c r="B14297" s="3" t="inlineStr">
        <is>
          <t>Kepala tukang</t>
        </is>
      </c>
      <c r="C14297" s="3" t="inlineStr">
        <is>
          <t>OH</t>
        </is>
      </c>
      <c r="D14297" s="15" t="n">
        <v>0.132</v>
      </c>
      <c r="E14297" s="4" t="n">
        <v>175000</v>
      </c>
      <c r="F14297" s="4" t="n">
        <v>23100</v>
      </c>
    </row>
    <row r="14298">
      <c r="A14298" s="3" t="inlineStr">
        <is>
          <t>4</t>
        </is>
      </c>
      <c r="B14298" s="3" t="inlineStr">
        <is>
          <t>Mandor</t>
        </is>
      </c>
      <c r="C14298" s="3" t="inlineStr">
        <is>
          <t>OH</t>
        </is>
      </c>
      <c r="D14298" s="15" t="n">
        <v>0.039</v>
      </c>
      <c r="E14298" s="4" t="n">
        <v>200000</v>
      </c>
      <c r="F14298" s="4" t="n">
        <v>7800</v>
      </c>
    </row>
    <row r="14299">
      <c r="A14299" s="3" t="inlineStr">
        <is>
          <t>1</t>
        </is>
      </c>
      <c r="B14299" s="3" t="inlineStr">
        <is>
          <t>"Gate Valve dia.5"""</t>
        </is>
      </c>
      <c r="C14299" s="3" t="inlineStr">
        <is>
          <t>unit</t>
        </is>
      </c>
      <c r="D14299" s="15" t="n">
        <v>1.3</v>
      </c>
      <c r="E14299" s="4" t="n">
        <v>3250000</v>
      </c>
      <c r="F14299" s="4" t="n">
        <v>4225000</v>
      </c>
    </row>
    <row r="14300">
      <c r="D14300" s="2" t="inlineStr">
        <is>
          <t>SUBTOTAL UPAH</t>
        </is>
      </c>
      <c r="F14300" s="16" t="n">
        <v>300520</v>
      </c>
    </row>
    <row r="14301">
      <c r="D14301" s="2" t="inlineStr">
        <is>
          <t>SUBTOTAL BAHAN</t>
        </is>
      </c>
      <c r="F14301" s="16" t="n">
        <v>4225000</v>
      </c>
    </row>
    <row r="14302">
      <c r="D14302" s="2" t="inlineStr">
        <is>
          <t>SUBTOTAL ALAT</t>
        </is>
      </c>
      <c r="F14302" s="16" t="n">
        <v>0</v>
      </c>
    </row>
    <row r="14303">
      <c r="E14303" s="2" t="inlineStr">
        <is>
          <t>TOTAL HARGA SATUAN (Inc. Overhead)</t>
        </is>
      </c>
      <c r="F14303" s="17" t="n">
        <v>4978072</v>
      </c>
    </row>
    <row r="14305">
      <c r="A14305" s="14" t="inlineStr">
        <is>
          <t>KODE: 6.5.1.11 - Pemasangan 1 buah gate velve (10, 12, 16, 25)K, dia. 6" (150 mm)</t>
        </is>
      </c>
    </row>
    <row r="14306">
      <c r="A14306" s="10" t="inlineStr">
        <is>
          <t>No</t>
        </is>
      </c>
      <c r="B14306" s="10" t="inlineStr">
        <is>
          <t>Uraian Komponen</t>
        </is>
      </c>
      <c r="C14306" s="10" t="inlineStr">
        <is>
          <t>Satuan</t>
        </is>
      </c>
      <c r="D14306" s="10" t="inlineStr">
        <is>
          <t>Koef</t>
        </is>
      </c>
      <c r="E14306" s="10" t="inlineStr">
        <is>
          <t>Harga Satuan (Rp)</t>
        </is>
      </c>
      <c r="F14306" s="10" t="inlineStr">
        <is>
          <t>Jumlah Harga (Rp)</t>
        </is>
      </c>
    </row>
    <row r="14307">
      <c r="A14307" s="3" t="inlineStr">
        <is>
          <t>1</t>
        </is>
      </c>
      <c r="B14307" s="3" t="inlineStr">
        <is>
          <t>Pekerja</t>
        </is>
      </c>
      <c r="C14307" s="3" t="inlineStr">
        <is>
          <t>OH</t>
        </is>
      </c>
      <c r="D14307" s="15" t="n">
        <v>0.945</v>
      </c>
      <c r="E14307" s="4" t="n">
        <v>100000</v>
      </c>
      <c r="F14307" s="4" t="n">
        <v>94500</v>
      </c>
    </row>
    <row r="14308">
      <c r="A14308" s="3" t="inlineStr">
        <is>
          <t>2</t>
        </is>
      </c>
      <c r="B14308" s="3" t="inlineStr">
        <is>
          <t>Tukang pipa</t>
        </is>
      </c>
      <c r="C14308" s="3" t="inlineStr">
        <is>
          <t>OH</t>
        </is>
      </c>
      <c r="D14308" s="15" t="n">
        <v>1.579</v>
      </c>
      <c r="E14308" s="4" t="n">
        <v>145000</v>
      </c>
      <c r="F14308" s="4" t="n">
        <v>228955</v>
      </c>
    </row>
    <row r="14309">
      <c r="A14309" s="3" t="inlineStr">
        <is>
          <t>3</t>
        </is>
      </c>
      <c r="B14309" s="3" t="inlineStr">
        <is>
          <t>Kepala tukang</t>
        </is>
      </c>
      <c r="C14309" s="3" t="inlineStr">
        <is>
          <t>OH</t>
        </is>
      </c>
      <c r="D14309" s="15" t="n">
        <v>0.158</v>
      </c>
      <c r="E14309" s="4" t="n">
        <v>175000</v>
      </c>
      <c r="F14309" s="4" t="n">
        <v>27650</v>
      </c>
    </row>
    <row r="14310">
      <c r="A14310" s="3" t="inlineStr">
        <is>
          <t>4</t>
        </is>
      </c>
      <c r="B14310" s="3" t="inlineStr">
        <is>
          <t>Mandor</t>
        </is>
      </c>
      <c r="C14310" s="3" t="inlineStr">
        <is>
          <t>OH</t>
        </is>
      </c>
      <c r="D14310" s="15" t="n">
        <v>0.047</v>
      </c>
      <c r="E14310" s="4" t="n">
        <v>200000</v>
      </c>
      <c r="F14310" s="4" t="n">
        <v>9400</v>
      </c>
    </row>
    <row r="14311">
      <c r="A14311" s="3" t="inlineStr">
        <is>
          <t>1</t>
        </is>
      </c>
      <c r="B14311" s="3" t="inlineStr">
        <is>
          <t>"Gate Valve dia.6"""</t>
        </is>
      </c>
      <c r="C14311" s="3" t="inlineStr">
        <is>
          <t>unit</t>
        </is>
      </c>
      <c r="D14311" s="15" t="n">
        <v>1.3</v>
      </c>
      <c r="E14311" s="4" t="n">
        <v>3570000</v>
      </c>
      <c r="F14311" s="4" t="n">
        <v>4641000</v>
      </c>
    </row>
    <row r="14312">
      <c r="D14312" s="2" t="inlineStr">
        <is>
          <t>SUBTOTAL UPAH</t>
        </is>
      </c>
      <c r="F14312" s="16" t="n">
        <v>360505</v>
      </c>
    </row>
    <row r="14313">
      <c r="D14313" s="2" t="inlineStr">
        <is>
          <t>SUBTOTAL BAHAN</t>
        </is>
      </c>
      <c r="F14313" s="16" t="n">
        <v>4641000</v>
      </c>
    </row>
    <row r="14314">
      <c r="D14314" s="2" t="inlineStr">
        <is>
          <t>SUBTOTAL ALAT</t>
        </is>
      </c>
      <c r="F14314" s="16" t="n">
        <v>0</v>
      </c>
    </row>
    <row r="14315">
      <c r="E14315" s="2" t="inlineStr">
        <is>
          <t>TOTAL HARGA SATUAN (Inc. Overhead)</t>
        </is>
      </c>
      <c r="F14315" s="17" t="n">
        <v>5501655</v>
      </c>
    </row>
    <row r="14317">
      <c r="A14317" s="14" t="inlineStr">
        <is>
          <t>KODE: 6.5.1.12 - Pemasangan 1 buah gate velve (10, 16) K, dia. 8" (200 mm)</t>
        </is>
      </c>
    </row>
    <row r="14318">
      <c r="A14318" s="10" t="inlineStr">
        <is>
          <t>No</t>
        </is>
      </c>
      <c r="B14318" s="10" t="inlineStr">
        <is>
          <t>Uraian Komponen</t>
        </is>
      </c>
      <c r="C14318" s="10" t="inlineStr">
        <is>
          <t>Satuan</t>
        </is>
      </c>
      <c r="D14318" s="10" t="inlineStr">
        <is>
          <t>Koef</t>
        </is>
      </c>
      <c r="E14318" s="10" t="inlineStr">
        <is>
          <t>Harga Satuan (Rp)</t>
        </is>
      </c>
      <c r="F14318" s="10" t="inlineStr">
        <is>
          <t>Jumlah Harga (Rp)</t>
        </is>
      </c>
    </row>
    <row r="14319">
      <c r="A14319" s="3" t="inlineStr">
        <is>
          <t>1</t>
        </is>
      </c>
      <c r="B14319" s="3" t="inlineStr">
        <is>
          <t>Pekerja</t>
        </is>
      </c>
      <c r="C14319" s="3" t="inlineStr">
        <is>
          <t>OH</t>
        </is>
      </c>
      <c r="D14319" s="15" t="n">
        <v>1.26</v>
      </c>
      <c r="E14319" s="4" t="n">
        <v>100000</v>
      </c>
      <c r="F14319" s="4" t="n">
        <v>126000</v>
      </c>
    </row>
    <row r="14320">
      <c r="A14320" s="3" t="inlineStr">
        <is>
          <t>2</t>
        </is>
      </c>
      <c r="B14320" s="3" t="inlineStr">
        <is>
          <t>Tukang pipa</t>
        </is>
      </c>
      <c r="C14320" s="3" t="inlineStr">
        <is>
          <t>OH</t>
        </is>
      </c>
      <c r="D14320" s="15" t="n">
        <v>2.103</v>
      </c>
      <c r="E14320" s="4" t="n">
        <v>145000</v>
      </c>
      <c r="F14320" s="4" t="n">
        <v>304935.0000000001</v>
      </c>
    </row>
    <row r="14321">
      <c r="A14321" s="3" t="inlineStr">
        <is>
          <t>3</t>
        </is>
      </c>
      <c r="B14321" s="3" t="inlineStr">
        <is>
          <t>Kepala tukang</t>
        </is>
      </c>
      <c r="C14321" s="3" t="inlineStr">
        <is>
          <t>OH</t>
        </is>
      </c>
      <c r="D14321" s="15" t="n">
        <v>0.21</v>
      </c>
      <c r="E14321" s="4" t="n">
        <v>175000</v>
      </c>
      <c r="F14321" s="4" t="n">
        <v>36750</v>
      </c>
    </row>
    <row r="14322">
      <c r="A14322" s="3" t="inlineStr">
        <is>
          <t>4</t>
        </is>
      </c>
      <c r="B14322" s="3" t="inlineStr">
        <is>
          <t>Mandor</t>
        </is>
      </c>
      <c r="C14322" s="3" t="inlineStr">
        <is>
          <t>OH</t>
        </is>
      </c>
      <c r="D14322" s="15" t="n">
        <v>0.063</v>
      </c>
      <c r="E14322" s="4" t="n">
        <v>200000</v>
      </c>
      <c r="F14322" s="4" t="n">
        <v>12600</v>
      </c>
    </row>
    <row r="14323">
      <c r="A14323" s="3" t="inlineStr">
        <is>
          <t>1</t>
        </is>
      </c>
      <c r="B14323" s="3" t="inlineStr">
        <is>
          <t>"Gate Valve dia.8"""</t>
        </is>
      </c>
      <c r="C14323" s="3" t="inlineStr">
        <is>
          <t>unit</t>
        </is>
      </c>
      <c r="D14323" s="15" t="n">
        <v>1.3</v>
      </c>
      <c r="E14323" s="4" t="n">
        <v>3950000</v>
      </c>
      <c r="F14323" s="4" t="n">
        <v>5135000</v>
      </c>
    </row>
    <row r="14324">
      <c r="D14324" s="2" t="inlineStr">
        <is>
          <t>SUBTOTAL UPAH</t>
        </is>
      </c>
      <c r="F14324" s="16" t="n">
        <v>480285.0000000001</v>
      </c>
    </row>
    <row r="14325">
      <c r="D14325" s="2" t="inlineStr">
        <is>
          <t>SUBTOTAL BAHAN</t>
        </is>
      </c>
      <c r="F14325" s="16" t="n">
        <v>5135000</v>
      </c>
    </row>
    <row r="14326">
      <c r="D14326" s="2" t="inlineStr">
        <is>
          <t>SUBTOTAL ALAT</t>
        </is>
      </c>
      <c r="F14326" s="16" t="n">
        <v>0</v>
      </c>
    </row>
    <row r="14327">
      <c r="E14327" s="2" t="inlineStr">
        <is>
          <t>TOTAL HARGA SATUAN (Inc. Overhead)</t>
        </is>
      </c>
      <c r="F14327" s="17" t="n">
        <v>6176813</v>
      </c>
    </row>
    <row r="14329">
      <c r="A14329" s="14" t="inlineStr">
        <is>
          <t>KODE: 6.5.1.13 - Pemasangan 1 buah gate velve (10, 16) K, dia. 10" (250 mm)</t>
        </is>
      </c>
    </row>
    <row r="14330">
      <c r="A14330" s="10" t="inlineStr">
        <is>
          <t>No</t>
        </is>
      </c>
      <c r="B14330" s="10" t="inlineStr">
        <is>
          <t>Uraian Komponen</t>
        </is>
      </c>
      <c r="C14330" s="10" t="inlineStr">
        <is>
          <t>Satuan</t>
        </is>
      </c>
      <c r="D14330" s="10" t="inlineStr">
        <is>
          <t>Koef</t>
        </is>
      </c>
      <c r="E14330" s="10" t="inlineStr">
        <is>
          <t>Harga Satuan (Rp)</t>
        </is>
      </c>
      <c r="F14330" s="10" t="inlineStr">
        <is>
          <t>Jumlah Harga (Rp)</t>
        </is>
      </c>
    </row>
    <row r="14331">
      <c r="A14331" s="3" t="inlineStr">
        <is>
          <t>1</t>
        </is>
      </c>
      <c r="B14331" s="3" t="inlineStr">
        <is>
          <t>Pekerja</t>
        </is>
      </c>
      <c r="C14331" s="3" t="inlineStr">
        <is>
          <t>OH</t>
        </is>
      </c>
      <c r="D14331" s="15" t="n">
        <v>1.574</v>
      </c>
      <c r="E14331" s="4" t="n">
        <v>100000</v>
      </c>
      <c r="F14331" s="4" t="n">
        <v>157400</v>
      </c>
    </row>
    <row r="14332">
      <c r="A14332" s="3" t="inlineStr">
        <is>
          <t>2</t>
        </is>
      </c>
      <c r="B14332" s="3" t="inlineStr">
        <is>
          <t>Tukang pipa</t>
        </is>
      </c>
      <c r="C14332" s="3" t="inlineStr">
        <is>
          <t>OH</t>
        </is>
      </c>
      <c r="D14332" s="15" t="n">
        <v>2.628</v>
      </c>
      <c r="E14332" s="4" t="n">
        <v>145000</v>
      </c>
      <c r="F14332" s="4" t="n">
        <v>381060</v>
      </c>
    </row>
    <row r="14333">
      <c r="A14333" s="3" t="inlineStr">
        <is>
          <t>3</t>
        </is>
      </c>
      <c r="B14333" s="3" t="inlineStr">
        <is>
          <t>Kepala tukang</t>
        </is>
      </c>
      <c r="C14333" s="3" t="inlineStr">
        <is>
          <t>OH</t>
        </is>
      </c>
      <c r="D14333" s="15" t="n">
        <v>0.263</v>
      </c>
      <c r="E14333" s="4" t="n">
        <v>175000</v>
      </c>
      <c r="F14333" s="4" t="n">
        <v>46025</v>
      </c>
    </row>
    <row r="14334">
      <c r="A14334" s="3" t="inlineStr">
        <is>
          <t>4</t>
        </is>
      </c>
      <c r="B14334" s="3" t="inlineStr">
        <is>
          <t>Mandor</t>
        </is>
      </c>
      <c r="C14334" s="3" t="inlineStr">
        <is>
          <t>OH</t>
        </is>
      </c>
      <c r="D14334" s="15" t="n">
        <v>0.079</v>
      </c>
      <c r="E14334" s="4" t="n">
        <v>200000</v>
      </c>
      <c r="F14334" s="4" t="n">
        <v>15800</v>
      </c>
    </row>
    <row r="14335">
      <c r="A14335" s="3" t="inlineStr">
        <is>
          <t>1</t>
        </is>
      </c>
      <c r="B14335" s="3" t="inlineStr">
        <is>
          <t>"Gate Valve dia.10"""</t>
        </is>
      </c>
      <c r="C14335" s="3" t="inlineStr">
        <is>
          <t>unit</t>
        </is>
      </c>
      <c r="D14335" s="15" t="n">
        <v>1.3</v>
      </c>
      <c r="E14335" s="4" t="n">
        <v>4210000</v>
      </c>
      <c r="F14335" s="4" t="n">
        <v>5473000</v>
      </c>
    </row>
    <row r="14336">
      <c r="D14336" s="2" t="inlineStr">
        <is>
          <t>SUBTOTAL UPAH</t>
        </is>
      </c>
      <c r="F14336" s="16" t="n">
        <v>600285</v>
      </c>
    </row>
    <row r="14337">
      <c r="D14337" s="2" t="inlineStr">
        <is>
          <t>SUBTOTAL BAHAN</t>
        </is>
      </c>
      <c r="F14337" s="16" t="n">
        <v>5473000</v>
      </c>
    </row>
    <row r="14338">
      <c r="D14338" s="2" t="inlineStr">
        <is>
          <t>SUBTOTAL ALAT</t>
        </is>
      </c>
      <c r="F14338" s="16" t="n">
        <v>0</v>
      </c>
    </row>
    <row r="14339">
      <c r="E14339" s="2" t="inlineStr">
        <is>
          <t>TOTAL HARGA SATUAN (Inc. Overhead)</t>
        </is>
      </c>
      <c r="F14339" s="17" t="n">
        <v>6680613</v>
      </c>
    </row>
    <row r="14341">
      <c r="A14341" s="14" t="inlineStr">
        <is>
          <t>KODE: 6.5.1.14 - Pemasangan 1 buah gate velve (10, 16) K, dia. 12" (300 mm)</t>
        </is>
      </c>
    </row>
    <row r="14342">
      <c r="A14342" s="10" t="inlineStr">
        <is>
          <t>No</t>
        </is>
      </c>
      <c r="B14342" s="10" t="inlineStr">
        <is>
          <t>Uraian Komponen</t>
        </is>
      </c>
      <c r="C14342" s="10" t="inlineStr">
        <is>
          <t>Satuan</t>
        </is>
      </c>
      <c r="D14342" s="10" t="inlineStr">
        <is>
          <t>Koef</t>
        </is>
      </c>
      <c r="E14342" s="10" t="inlineStr">
        <is>
          <t>Harga Satuan (Rp)</t>
        </is>
      </c>
      <c r="F14342" s="10" t="inlineStr">
        <is>
          <t>Jumlah Harga (Rp)</t>
        </is>
      </c>
    </row>
    <row r="14343">
      <c r="A14343" s="3" t="inlineStr">
        <is>
          <t>1</t>
        </is>
      </c>
      <c r="B14343" s="3" t="inlineStr">
        <is>
          <t>Pekerja</t>
        </is>
      </c>
      <c r="C14343" s="3" t="inlineStr">
        <is>
          <t>OH</t>
        </is>
      </c>
      <c r="D14343" s="15" t="n">
        <v>1.886</v>
      </c>
      <c r="E14343" s="4" t="n">
        <v>100000</v>
      </c>
      <c r="F14343" s="4" t="n">
        <v>188600</v>
      </c>
    </row>
    <row r="14344">
      <c r="A14344" s="3" t="inlineStr">
        <is>
          <t>2</t>
        </is>
      </c>
      <c r="B14344" s="3" t="inlineStr">
        <is>
          <t>Tukang pipa</t>
        </is>
      </c>
      <c r="C14344" s="3" t="inlineStr">
        <is>
          <t>OH</t>
        </is>
      </c>
      <c r="D14344" s="15" t="n">
        <v>3.149</v>
      </c>
      <c r="E14344" s="4" t="n">
        <v>145000</v>
      </c>
      <c r="F14344" s="4" t="n">
        <v>456605</v>
      </c>
    </row>
    <row r="14345">
      <c r="A14345" s="3" t="inlineStr">
        <is>
          <t>3</t>
        </is>
      </c>
      <c r="B14345" s="3" t="inlineStr">
        <is>
          <t>Kepala tukang</t>
        </is>
      </c>
      <c r="C14345" s="3" t="inlineStr">
        <is>
          <t>OH</t>
        </is>
      </c>
      <c r="D14345" s="15" t="n">
        <v>0.315</v>
      </c>
      <c r="E14345" s="4" t="n">
        <v>175000</v>
      </c>
      <c r="F14345" s="4" t="n">
        <v>55125</v>
      </c>
    </row>
    <row r="14346">
      <c r="A14346" s="3" t="inlineStr">
        <is>
          <t>4</t>
        </is>
      </c>
      <c r="B14346" s="3" t="inlineStr">
        <is>
          <t>Mandor</t>
        </is>
      </c>
      <c r="C14346" s="3" t="inlineStr">
        <is>
          <t>OH</t>
        </is>
      </c>
      <c r="D14346" s="15" t="n">
        <v>0.094</v>
      </c>
      <c r="E14346" s="4" t="n">
        <v>200000</v>
      </c>
      <c r="F14346" s="4" t="n">
        <v>18800</v>
      </c>
    </row>
    <row r="14347">
      <c r="A14347" s="3" t="inlineStr">
        <is>
          <t>1</t>
        </is>
      </c>
      <c r="B14347" s="3" t="inlineStr">
        <is>
          <t>"Gate Valve dia.12"""</t>
        </is>
      </c>
      <c r="C14347" s="3" t="inlineStr">
        <is>
          <t>unit</t>
        </is>
      </c>
      <c r="D14347" s="15" t="n">
        <v>1.3</v>
      </c>
      <c r="E14347" s="4" t="n">
        <v>4520000</v>
      </c>
      <c r="F14347" s="4" t="n">
        <v>5876000</v>
      </c>
    </row>
    <row r="14348">
      <c r="D14348" s="2" t="inlineStr">
        <is>
          <t>SUBTOTAL UPAH</t>
        </is>
      </c>
      <c r="F14348" s="16" t="n">
        <v>719130</v>
      </c>
    </row>
    <row r="14349">
      <c r="D14349" s="2" t="inlineStr">
        <is>
          <t>SUBTOTAL BAHAN</t>
        </is>
      </c>
      <c r="F14349" s="16" t="n">
        <v>5876000</v>
      </c>
    </row>
    <row r="14350">
      <c r="D14350" s="2" t="inlineStr">
        <is>
          <t>SUBTOTAL ALAT</t>
        </is>
      </c>
      <c r="F14350" s="16" t="n">
        <v>0</v>
      </c>
    </row>
    <row r="14351">
      <c r="E14351" s="2" t="inlineStr">
        <is>
          <t>TOTAL HARGA SATUAN (Inc. Overhead)</t>
        </is>
      </c>
      <c r="F14351" s="17" t="n">
        <v>7254643</v>
      </c>
    </row>
    <row r="14353">
      <c r="A14353" s="14" t="inlineStr">
        <is>
          <t>KODE: 6.5.2.1 - Pemasangan 1 buah ball velve, Dia. 1/2" (15 mm)</t>
        </is>
      </c>
    </row>
    <row r="14354">
      <c r="A14354" s="10" t="inlineStr">
        <is>
          <t>No</t>
        </is>
      </c>
      <c r="B14354" s="10" t="inlineStr">
        <is>
          <t>Uraian Komponen</t>
        </is>
      </c>
      <c r="C14354" s="10" t="inlineStr">
        <is>
          <t>Satuan</t>
        </is>
      </c>
      <c r="D14354" s="10" t="inlineStr">
        <is>
          <t>Koef</t>
        </is>
      </c>
      <c r="E14354" s="10" t="inlineStr">
        <is>
          <t>Harga Satuan (Rp)</t>
        </is>
      </c>
      <c r="F14354" s="10" t="inlineStr">
        <is>
          <t>Jumlah Harga (Rp)</t>
        </is>
      </c>
    </row>
    <row r="14355">
      <c r="A14355" s="3" t="inlineStr">
        <is>
          <t>1</t>
        </is>
      </c>
      <c r="B14355" s="3" t="inlineStr">
        <is>
          <t>Pekerja</t>
        </is>
      </c>
      <c r="C14355" s="3" t="inlineStr">
        <is>
          <t>OH</t>
        </is>
      </c>
      <c r="D14355" s="15" t="n">
        <v>0.052</v>
      </c>
      <c r="E14355" s="4" t="n">
        <v>100000</v>
      </c>
      <c r="F14355" s="4" t="n">
        <v>5200</v>
      </c>
    </row>
    <row r="14356">
      <c r="A14356" s="3" t="inlineStr">
        <is>
          <t>2</t>
        </is>
      </c>
      <c r="B14356" s="3" t="inlineStr">
        <is>
          <t>Tukang pipa</t>
        </is>
      </c>
      <c r="C14356" s="3" t="inlineStr">
        <is>
          <t>OH</t>
        </is>
      </c>
      <c r="D14356" s="15" t="n">
        <v>0.08699999999999999</v>
      </c>
      <c r="E14356" s="4" t="n">
        <v>145000</v>
      </c>
      <c r="F14356" s="4" t="n">
        <v>12615</v>
      </c>
    </row>
    <row r="14357">
      <c r="A14357" s="3" t="inlineStr">
        <is>
          <t>3</t>
        </is>
      </c>
      <c r="B14357" s="3" t="inlineStr">
        <is>
          <t>Kepala tukang</t>
        </is>
      </c>
      <c r="C14357" s="3" t="inlineStr">
        <is>
          <t>OH</t>
        </is>
      </c>
      <c r="D14357" s="15" t="n">
        <v>0.008999999999999999</v>
      </c>
      <c r="E14357" s="4" t="n">
        <v>175000</v>
      </c>
      <c r="F14357" s="4" t="n">
        <v>1575</v>
      </c>
    </row>
    <row r="14358">
      <c r="A14358" s="3" t="inlineStr">
        <is>
          <t>4</t>
        </is>
      </c>
      <c r="B14358" s="3" t="inlineStr">
        <is>
          <t>Mandor</t>
        </is>
      </c>
      <c r="C14358" s="3" t="inlineStr">
        <is>
          <t>OH</t>
        </is>
      </c>
      <c r="D14358" s="15" t="n">
        <v>0.003</v>
      </c>
      <c r="E14358" s="4" t="n">
        <v>200000</v>
      </c>
      <c r="F14358" s="4" t="n">
        <v>600</v>
      </c>
    </row>
    <row r="14359">
      <c r="A14359" s="3" t="inlineStr">
        <is>
          <t>1</t>
        </is>
      </c>
      <c r="B14359" s="3" t="inlineStr">
        <is>
          <t>"Ball Velve dia. 1/2"""</t>
        </is>
      </c>
      <c r="C14359" s="3" t="inlineStr">
        <is>
          <t>unit</t>
        </is>
      </c>
      <c r="D14359" s="15" t="n">
        <v>1.15</v>
      </c>
      <c r="E14359" s="4" t="n">
        <v>25000</v>
      </c>
      <c r="F14359" s="4" t="n">
        <v>28750</v>
      </c>
    </row>
    <row r="14360">
      <c r="D14360" s="2" t="inlineStr">
        <is>
          <t>SUBTOTAL UPAH</t>
        </is>
      </c>
      <c r="F14360" s="16" t="n">
        <v>19990</v>
      </c>
    </row>
    <row r="14361">
      <c r="D14361" s="2" t="inlineStr">
        <is>
          <t>SUBTOTAL BAHAN</t>
        </is>
      </c>
      <c r="F14361" s="16" t="n">
        <v>28750</v>
      </c>
    </row>
    <row r="14362">
      <c r="D14362" s="2" t="inlineStr">
        <is>
          <t>SUBTOTAL ALAT</t>
        </is>
      </c>
      <c r="F14362" s="16" t="n">
        <v>0</v>
      </c>
    </row>
    <row r="14363">
      <c r="E14363" s="2" t="inlineStr">
        <is>
          <t>TOTAL HARGA SATUAN (Inc. Overhead)</t>
        </is>
      </c>
      <c r="F14363" s="17" t="n">
        <v>53614</v>
      </c>
    </row>
    <row r="14365">
      <c r="A14365" s="14" t="inlineStr">
        <is>
          <t>KODE: 6.5.2.2 - Pemasangan 1 buah ball velve, Dia. 3/4" (20 mm)</t>
        </is>
      </c>
    </row>
    <row r="14366">
      <c r="A14366" s="10" t="inlineStr">
        <is>
          <t>No</t>
        </is>
      </c>
      <c r="B14366" s="10" t="inlineStr">
        <is>
          <t>Uraian Komponen</t>
        </is>
      </c>
      <c r="C14366" s="10" t="inlineStr">
        <is>
          <t>Satuan</t>
        </is>
      </c>
      <c r="D14366" s="10" t="inlineStr">
        <is>
          <t>Koef</t>
        </is>
      </c>
      <c r="E14366" s="10" t="inlineStr">
        <is>
          <t>Harga Satuan (Rp)</t>
        </is>
      </c>
      <c r="F14366" s="10" t="inlineStr">
        <is>
          <t>Jumlah Harga (Rp)</t>
        </is>
      </c>
    </row>
    <row r="14367">
      <c r="A14367" s="3" t="inlineStr">
        <is>
          <t>1</t>
        </is>
      </c>
      <c r="B14367" s="3" t="inlineStr">
        <is>
          <t>Pekerja</t>
        </is>
      </c>
      <c r="C14367" s="3" t="inlineStr">
        <is>
          <t>OH</t>
        </is>
      </c>
      <c r="D14367" s="15" t="n">
        <v>0.079</v>
      </c>
      <c r="E14367" s="4" t="n">
        <v>100000</v>
      </c>
      <c r="F14367" s="4" t="n">
        <v>7900</v>
      </c>
    </row>
    <row r="14368">
      <c r="A14368" s="3" t="inlineStr">
        <is>
          <t>2</t>
        </is>
      </c>
      <c r="B14368" s="3" t="inlineStr">
        <is>
          <t>Tukang pipa</t>
        </is>
      </c>
      <c r="C14368" s="3" t="inlineStr">
        <is>
          <t>OH</t>
        </is>
      </c>
      <c r="D14368" s="15" t="n">
        <v>0.131</v>
      </c>
      <c r="E14368" s="4" t="n">
        <v>145000</v>
      </c>
      <c r="F14368" s="4" t="n">
        <v>18995</v>
      </c>
    </row>
    <row r="14369">
      <c r="A14369" s="3" t="inlineStr">
        <is>
          <t>3</t>
        </is>
      </c>
      <c r="B14369" s="3" t="inlineStr">
        <is>
          <t>Kepala tukang</t>
        </is>
      </c>
      <c r="C14369" s="3" t="inlineStr">
        <is>
          <t>OH</t>
        </is>
      </c>
      <c r="D14369" s="15" t="n">
        <v>0.013</v>
      </c>
      <c r="E14369" s="4" t="n">
        <v>175000</v>
      </c>
      <c r="F14369" s="4" t="n">
        <v>2275</v>
      </c>
    </row>
    <row r="14370">
      <c r="A14370" s="3" t="inlineStr">
        <is>
          <t>4</t>
        </is>
      </c>
      <c r="B14370" s="3" t="inlineStr">
        <is>
          <t>Mandor</t>
        </is>
      </c>
      <c r="C14370" s="3" t="inlineStr">
        <is>
          <t>OH</t>
        </is>
      </c>
      <c r="D14370" s="15" t="n">
        <v>0.004</v>
      </c>
      <c r="E14370" s="4" t="n">
        <v>200000</v>
      </c>
      <c r="F14370" s="4" t="n">
        <v>800</v>
      </c>
    </row>
    <row r="14371">
      <c r="A14371" s="3" t="inlineStr">
        <is>
          <t>1</t>
        </is>
      </c>
      <c r="B14371" s="3" t="inlineStr">
        <is>
          <t>"Ball Velve dia. 3/4"""</t>
        </is>
      </c>
      <c r="C14371" s="3" t="inlineStr">
        <is>
          <t>unit</t>
        </is>
      </c>
      <c r="D14371" s="15" t="n">
        <v>1.15</v>
      </c>
      <c r="E14371" s="4" t="n">
        <v>36750</v>
      </c>
      <c r="F14371" s="4" t="n">
        <v>42262.5</v>
      </c>
    </row>
    <row r="14372">
      <c r="D14372" s="2" t="inlineStr">
        <is>
          <t>SUBTOTAL UPAH</t>
        </is>
      </c>
      <c r="F14372" s="16" t="n">
        <v>29970</v>
      </c>
    </row>
    <row r="14373">
      <c r="D14373" s="2" t="inlineStr">
        <is>
          <t>SUBTOTAL BAHAN</t>
        </is>
      </c>
      <c r="F14373" s="16" t="n">
        <v>42262.5</v>
      </c>
    </row>
    <row r="14374">
      <c r="D14374" s="2" t="inlineStr">
        <is>
          <t>SUBTOTAL ALAT</t>
        </is>
      </c>
      <c r="F14374" s="16" t="n">
        <v>0</v>
      </c>
    </row>
    <row r="14375">
      <c r="E14375" s="2" t="inlineStr">
        <is>
          <t>TOTAL HARGA SATUAN (Inc. Overhead)</t>
        </is>
      </c>
      <c r="F14375" s="17" t="n">
        <v>79455</v>
      </c>
    </row>
    <row r="14377">
      <c r="A14377" s="14" t="inlineStr">
        <is>
          <t>KODE: 6.5.2.3 - Pemasangan 1 buah ball velve, Dia. 1" (25 mm)</t>
        </is>
      </c>
    </row>
    <row r="14378">
      <c r="A14378" s="10" t="inlineStr">
        <is>
          <t>No</t>
        </is>
      </c>
      <c r="B14378" s="10" t="inlineStr">
        <is>
          <t>Uraian Komponen</t>
        </is>
      </c>
      <c r="C14378" s="10" t="inlineStr">
        <is>
          <t>Satuan</t>
        </is>
      </c>
      <c r="D14378" s="10" t="inlineStr">
        <is>
          <t>Koef</t>
        </is>
      </c>
      <c r="E14378" s="10" t="inlineStr">
        <is>
          <t>Harga Satuan (Rp)</t>
        </is>
      </c>
      <c r="F14378" s="10" t="inlineStr">
        <is>
          <t>Jumlah Harga (Rp)</t>
        </is>
      </c>
    </row>
    <row r="14379">
      <c r="A14379" s="3" t="inlineStr">
        <is>
          <t>1</t>
        </is>
      </c>
      <c r="B14379" s="3" t="inlineStr">
        <is>
          <t>Pekerja</t>
        </is>
      </c>
      <c r="C14379" s="3" t="inlineStr">
        <is>
          <t>OH</t>
        </is>
      </c>
      <c r="D14379" s="15" t="n">
        <v>0.105</v>
      </c>
      <c r="E14379" s="4" t="n">
        <v>100000</v>
      </c>
      <c r="F14379" s="4" t="n">
        <v>10500</v>
      </c>
    </row>
    <row r="14380">
      <c r="A14380" s="3" t="inlineStr">
        <is>
          <t>2</t>
        </is>
      </c>
      <c r="B14380" s="3" t="inlineStr">
        <is>
          <t>Tukang pipa</t>
        </is>
      </c>
      <c r="C14380" s="3" t="inlineStr">
        <is>
          <t>OH</t>
        </is>
      </c>
      <c r="D14380" s="15" t="n">
        <v>0.175</v>
      </c>
      <c r="E14380" s="4" t="n">
        <v>145000</v>
      </c>
      <c r="F14380" s="4" t="n">
        <v>25375</v>
      </c>
    </row>
    <row r="14381">
      <c r="A14381" s="3" t="inlineStr">
        <is>
          <t>3</t>
        </is>
      </c>
      <c r="B14381" s="3" t="inlineStr">
        <is>
          <t>Kepala tukang</t>
        </is>
      </c>
      <c r="C14381" s="3" t="inlineStr">
        <is>
          <t>OH</t>
        </is>
      </c>
      <c r="D14381" s="15" t="n">
        <v>0.017</v>
      </c>
      <c r="E14381" s="4" t="n">
        <v>175000</v>
      </c>
      <c r="F14381" s="4" t="n">
        <v>2975</v>
      </c>
    </row>
    <row r="14382">
      <c r="A14382" s="3" t="inlineStr">
        <is>
          <t>4</t>
        </is>
      </c>
      <c r="B14382" s="3" t="inlineStr">
        <is>
          <t>Mandor</t>
        </is>
      </c>
      <c r="C14382" s="3" t="inlineStr">
        <is>
          <t>OH</t>
        </is>
      </c>
      <c r="D14382" s="15" t="n">
        <v>0.005</v>
      </c>
      <c r="E14382" s="4" t="n">
        <v>200000</v>
      </c>
      <c r="F14382" s="4" t="n">
        <v>1000</v>
      </c>
    </row>
    <row r="14383">
      <c r="A14383" s="3" t="inlineStr">
        <is>
          <t>1</t>
        </is>
      </c>
      <c r="B14383" s="3" t="inlineStr">
        <is>
          <t>"Ball Velve dia. 1"""</t>
        </is>
      </c>
      <c r="C14383" s="3" t="inlineStr">
        <is>
          <t>unit</t>
        </is>
      </c>
      <c r="D14383" s="15" t="n">
        <v>1.15</v>
      </c>
      <c r="E14383" s="4" t="n">
        <v>46100</v>
      </c>
      <c r="F14383" s="4" t="n">
        <v>53014.99999999999</v>
      </c>
    </row>
    <row r="14384">
      <c r="D14384" s="2" t="inlineStr">
        <is>
          <t>SUBTOTAL UPAH</t>
        </is>
      </c>
      <c r="F14384" s="16" t="n">
        <v>39850</v>
      </c>
    </row>
    <row r="14385">
      <c r="D14385" s="2" t="inlineStr">
        <is>
          <t>SUBTOTAL BAHAN</t>
        </is>
      </c>
      <c r="F14385" s="16" t="n">
        <v>53014.99999999999</v>
      </c>
    </row>
    <row r="14386">
      <c r="D14386" s="2" t="inlineStr">
        <is>
          <t>SUBTOTAL ALAT</t>
        </is>
      </c>
      <c r="F14386" s="16" t="n">
        <v>0</v>
      </c>
    </row>
    <row r="14387">
      <c r="E14387" s="2" t="inlineStr">
        <is>
          <t>TOTAL HARGA SATUAN (Inc. Overhead)</t>
        </is>
      </c>
      <c r="F14387" s="17" t="n">
        <v>102151</v>
      </c>
    </row>
    <row r="14389">
      <c r="A14389" s="14" t="inlineStr">
        <is>
          <t>KODE: 6.5.2.4 - Pemasangan 1 buah ball velve, Dia. 1-1/4" (32 mm)</t>
        </is>
      </c>
    </row>
    <row r="14390">
      <c r="A14390" s="10" t="inlineStr">
        <is>
          <t>No</t>
        </is>
      </c>
      <c r="B14390" s="10" t="inlineStr">
        <is>
          <t>Uraian Komponen</t>
        </is>
      </c>
      <c r="C14390" s="10" t="inlineStr">
        <is>
          <t>Satuan</t>
        </is>
      </c>
      <c r="D14390" s="10" t="inlineStr">
        <is>
          <t>Koef</t>
        </is>
      </c>
      <c r="E14390" s="10" t="inlineStr">
        <is>
          <t>Harga Satuan (Rp)</t>
        </is>
      </c>
      <c r="F14390" s="10" t="inlineStr">
        <is>
          <t>Jumlah Harga (Rp)</t>
        </is>
      </c>
    </row>
    <row r="14391">
      <c r="A14391" s="3" t="inlineStr">
        <is>
          <t>1</t>
        </is>
      </c>
      <c r="B14391" s="3" t="inlineStr">
        <is>
          <t>Pekerja</t>
        </is>
      </c>
      <c r="C14391" s="3" t="inlineStr">
        <is>
          <t>OH</t>
        </is>
      </c>
      <c r="D14391" s="15" t="n">
        <v>0.129</v>
      </c>
      <c r="E14391" s="4" t="n">
        <v>100000</v>
      </c>
      <c r="F14391" s="4" t="n">
        <v>12900</v>
      </c>
    </row>
    <row r="14392">
      <c r="A14392" s="3" t="inlineStr">
        <is>
          <t>2</t>
        </is>
      </c>
      <c r="B14392" s="3" t="inlineStr">
        <is>
          <t>Tukang pipa</t>
        </is>
      </c>
      <c r="C14392" s="3" t="inlineStr">
        <is>
          <t>OH</t>
        </is>
      </c>
      <c r="D14392" s="15" t="n">
        <v>0.215</v>
      </c>
      <c r="E14392" s="4" t="n">
        <v>145000</v>
      </c>
      <c r="F14392" s="4" t="n">
        <v>31175</v>
      </c>
    </row>
    <row r="14393">
      <c r="A14393" s="3" t="inlineStr">
        <is>
          <t>3</t>
        </is>
      </c>
      <c r="B14393" s="3" t="inlineStr">
        <is>
          <t>Kepala tukang</t>
        </is>
      </c>
      <c r="C14393" s="3" t="inlineStr">
        <is>
          <t>OH</t>
        </is>
      </c>
      <c r="D14393" s="15" t="n">
        <v>0.021</v>
      </c>
      <c r="E14393" s="4" t="n">
        <v>175000</v>
      </c>
      <c r="F14393" s="4" t="n">
        <v>3675</v>
      </c>
    </row>
    <row r="14394">
      <c r="A14394" s="3" t="inlineStr">
        <is>
          <t>4</t>
        </is>
      </c>
      <c r="B14394" s="3" t="inlineStr">
        <is>
          <t>Mandor</t>
        </is>
      </c>
      <c r="C14394" s="3" t="inlineStr">
        <is>
          <t>OH</t>
        </is>
      </c>
      <c r="D14394" s="15" t="n">
        <v>0.006</v>
      </c>
      <c r="E14394" s="4" t="n">
        <v>200000</v>
      </c>
      <c r="F14394" s="4" t="n">
        <v>1200</v>
      </c>
    </row>
    <row r="14395">
      <c r="A14395" s="3" t="inlineStr">
        <is>
          <t>1</t>
        </is>
      </c>
      <c r="B14395" s="3" t="inlineStr">
        <is>
          <t>"Ball Velve dia. 1-1/4"""</t>
        </is>
      </c>
      <c r="C14395" s="3" t="inlineStr">
        <is>
          <t>unit</t>
        </is>
      </c>
      <c r="D14395" s="15" t="n">
        <v>1.15</v>
      </c>
      <c r="E14395" s="4" t="n">
        <v>68000</v>
      </c>
      <c r="F14395" s="4" t="n">
        <v>78200</v>
      </c>
    </row>
    <row r="14396">
      <c r="D14396" s="2" t="inlineStr">
        <is>
          <t>SUBTOTAL UPAH</t>
        </is>
      </c>
      <c r="F14396" s="16" t="n">
        <v>48950</v>
      </c>
    </row>
    <row r="14397">
      <c r="D14397" s="2" t="inlineStr">
        <is>
          <t>SUBTOTAL BAHAN</t>
        </is>
      </c>
      <c r="F14397" s="16" t="n">
        <v>78200</v>
      </c>
    </row>
    <row r="14398">
      <c r="D14398" s="2" t="inlineStr">
        <is>
          <t>SUBTOTAL ALAT</t>
        </is>
      </c>
      <c r="F14398" s="16" t="n">
        <v>0</v>
      </c>
    </row>
    <row r="14399">
      <c r="E14399" s="2" t="inlineStr">
        <is>
          <t>TOTAL HARGA SATUAN (Inc. Overhead)</t>
        </is>
      </c>
      <c r="F14399" s="17" t="n">
        <v>139865</v>
      </c>
    </row>
    <row r="14401">
      <c r="A14401" s="14" t="inlineStr">
        <is>
          <t>KODE: 6.5.2.5 - Pemasangan 1 buah ball velve, Dia. 1-1/2" (40 mm)</t>
        </is>
      </c>
    </row>
    <row r="14402">
      <c r="A14402" s="10" t="inlineStr">
        <is>
          <t>No</t>
        </is>
      </c>
      <c r="B14402" s="10" t="inlineStr">
        <is>
          <t>Uraian Komponen</t>
        </is>
      </c>
      <c r="C14402" s="10" t="inlineStr">
        <is>
          <t>Satuan</t>
        </is>
      </c>
      <c r="D14402" s="10" t="inlineStr">
        <is>
          <t>Koef</t>
        </is>
      </c>
      <c r="E14402" s="10" t="inlineStr">
        <is>
          <t>Harga Satuan (Rp)</t>
        </is>
      </c>
      <c r="F14402" s="10" t="inlineStr">
        <is>
          <t>Jumlah Harga (Rp)</t>
        </is>
      </c>
    </row>
    <row r="14403">
      <c r="A14403" s="3" t="inlineStr">
        <is>
          <t>1</t>
        </is>
      </c>
      <c r="B14403" s="3" t="inlineStr">
        <is>
          <t>Pekerja</t>
        </is>
      </c>
      <c r="C14403" s="3" t="inlineStr">
        <is>
          <t>OH</t>
        </is>
      </c>
      <c r="D14403" s="15" t="n">
        <v>0.157</v>
      </c>
      <c r="E14403" s="4" t="n">
        <v>100000</v>
      </c>
      <c r="F14403" s="4" t="n">
        <v>15700</v>
      </c>
    </row>
    <row r="14404">
      <c r="A14404" s="3" t="inlineStr">
        <is>
          <t>2</t>
        </is>
      </c>
      <c r="B14404" s="3" t="inlineStr">
        <is>
          <t>Tukang pipa</t>
        </is>
      </c>
      <c r="C14404" s="3" t="inlineStr">
        <is>
          <t>OH</t>
        </is>
      </c>
      <c r="D14404" s="15" t="n">
        <v>0.262</v>
      </c>
      <c r="E14404" s="4" t="n">
        <v>145000</v>
      </c>
      <c r="F14404" s="4" t="n">
        <v>37990</v>
      </c>
    </row>
    <row r="14405">
      <c r="A14405" s="3" t="inlineStr">
        <is>
          <t>3</t>
        </is>
      </c>
      <c r="B14405" s="3" t="inlineStr">
        <is>
          <t>Kepala tukang</t>
        </is>
      </c>
      <c r="C14405" s="3" t="inlineStr">
        <is>
          <t>OH</t>
        </is>
      </c>
      <c r="D14405" s="15" t="n">
        <v>0.026</v>
      </c>
      <c r="E14405" s="4" t="n">
        <v>175000</v>
      </c>
      <c r="F14405" s="4" t="n">
        <v>4550</v>
      </c>
    </row>
    <row r="14406">
      <c r="A14406" s="3" t="inlineStr">
        <is>
          <t>4</t>
        </is>
      </c>
      <c r="B14406" s="3" t="inlineStr">
        <is>
          <t>Mandor</t>
        </is>
      </c>
      <c r="C14406" s="3" t="inlineStr">
        <is>
          <t>OH</t>
        </is>
      </c>
      <c r="D14406" s="15" t="n">
        <v>0.008</v>
      </c>
      <c r="E14406" s="4" t="n">
        <v>200000</v>
      </c>
      <c r="F14406" s="4" t="n">
        <v>1600</v>
      </c>
    </row>
    <row r="14407">
      <c r="A14407" s="3" t="inlineStr">
        <is>
          <t>1</t>
        </is>
      </c>
      <c r="B14407" s="3" t="inlineStr">
        <is>
          <t>"Ball Velve dia. 1-1/2"""</t>
        </is>
      </c>
      <c r="C14407" s="3" t="inlineStr">
        <is>
          <t>unit</t>
        </is>
      </c>
      <c r="D14407" s="15" t="n">
        <v>1.15</v>
      </c>
      <c r="E14407" s="4" t="n">
        <v>79000</v>
      </c>
      <c r="F14407" s="4" t="n">
        <v>90850</v>
      </c>
    </row>
    <row r="14408">
      <c r="D14408" s="2" t="inlineStr">
        <is>
          <t>SUBTOTAL UPAH</t>
        </is>
      </c>
      <c r="F14408" s="16" t="n">
        <v>59840</v>
      </c>
    </row>
    <row r="14409">
      <c r="D14409" s="2" t="inlineStr">
        <is>
          <t>SUBTOTAL BAHAN</t>
        </is>
      </c>
      <c r="F14409" s="16" t="n">
        <v>90850</v>
      </c>
    </row>
    <row r="14410">
      <c r="D14410" s="2" t="inlineStr">
        <is>
          <t>SUBTOTAL ALAT</t>
        </is>
      </c>
      <c r="F14410" s="16" t="n">
        <v>0</v>
      </c>
    </row>
    <row r="14411">
      <c r="E14411" s="2" t="inlineStr">
        <is>
          <t>TOTAL HARGA SATUAN (Inc. Overhead)</t>
        </is>
      </c>
      <c r="F14411" s="17" t="n">
        <v>165759</v>
      </c>
    </row>
    <row r="14413">
      <c r="A14413" s="14" t="inlineStr">
        <is>
          <t>KODE: 6.5.2.6 - Pemasangan 1 buah ball velve, Dia.2" (50 mm)</t>
        </is>
      </c>
    </row>
    <row r="14414">
      <c r="A14414" s="10" t="inlineStr">
        <is>
          <t>No</t>
        </is>
      </c>
      <c r="B14414" s="10" t="inlineStr">
        <is>
          <t>Uraian Komponen</t>
        </is>
      </c>
      <c r="C14414" s="10" t="inlineStr">
        <is>
          <t>Satuan</t>
        </is>
      </c>
      <c r="D14414" s="10" t="inlineStr">
        <is>
          <t>Koef</t>
        </is>
      </c>
      <c r="E14414" s="10" t="inlineStr">
        <is>
          <t>Harga Satuan (Rp)</t>
        </is>
      </c>
      <c r="F14414" s="10" t="inlineStr">
        <is>
          <t>Jumlah Harga (Rp)</t>
        </is>
      </c>
    </row>
    <row r="14415">
      <c r="A14415" s="3" t="inlineStr">
        <is>
          <t>1</t>
        </is>
      </c>
      <c r="B14415" s="3" t="inlineStr">
        <is>
          <t>Pekerja</t>
        </is>
      </c>
      <c r="C14415" s="3" t="inlineStr">
        <is>
          <t>OH</t>
        </is>
      </c>
      <c r="D14415" s="15" t="n">
        <v>0.207</v>
      </c>
      <c r="E14415" s="4" t="n">
        <v>100000</v>
      </c>
      <c r="F14415" s="4" t="n">
        <v>20700</v>
      </c>
    </row>
    <row r="14416">
      <c r="A14416" s="3" t="inlineStr">
        <is>
          <t>2</t>
        </is>
      </c>
      <c r="B14416" s="3" t="inlineStr">
        <is>
          <t>Tukang pipa</t>
        </is>
      </c>
      <c r="C14416" s="3" t="inlineStr">
        <is>
          <t>OH</t>
        </is>
      </c>
      <c r="D14416" s="15" t="n">
        <v>0.346</v>
      </c>
      <c r="E14416" s="4" t="n">
        <v>145000</v>
      </c>
      <c r="F14416" s="4" t="n">
        <v>50169.99999999999</v>
      </c>
    </row>
    <row r="14417">
      <c r="A14417" s="3" t="inlineStr">
        <is>
          <t>3</t>
        </is>
      </c>
      <c r="B14417" s="3" t="inlineStr">
        <is>
          <t>Kepala tukang</t>
        </is>
      </c>
      <c r="C14417" s="3" t="inlineStr">
        <is>
          <t>OH</t>
        </is>
      </c>
      <c r="D14417" s="15" t="n">
        <v>0.035</v>
      </c>
      <c r="E14417" s="4" t="n">
        <v>175000</v>
      </c>
      <c r="F14417" s="4" t="n">
        <v>6125.000000000001</v>
      </c>
    </row>
    <row r="14418">
      <c r="A14418" s="3" t="inlineStr">
        <is>
          <t>4</t>
        </is>
      </c>
      <c r="B14418" s="3" t="inlineStr">
        <is>
          <t>Mandor</t>
        </is>
      </c>
      <c r="C14418" s="3" t="inlineStr">
        <is>
          <t>OH</t>
        </is>
      </c>
      <c r="D14418" s="15" t="n">
        <v>0.01</v>
      </c>
      <c r="E14418" s="4" t="n">
        <v>200000</v>
      </c>
      <c r="F14418" s="4" t="n">
        <v>2000</v>
      </c>
    </row>
    <row r="14419">
      <c r="A14419" s="3" t="inlineStr">
        <is>
          <t>1</t>
        </is>
      </c>
      <c r="B14419" s="3" t="inlineStr">
        <is>
          <t>"Ball Velve dia. 2"""</t>
        </is>
      </c>
      <c r="C14419" s="3" t="inlineStr">
        <is>
          <t>unit</t>
        </is>
      </c>
      <c r="D14419" s="15" t="n">
        <v>1.15</v>
      </c>
      <c r="E14419" s="4" t="n">
        <v>118000</v>
      </c>
      <c r="F14419" s="4" t="n">
        <v>135700</v>
      </c>
    </row>
    <row r="14420">
      <c r="D14420" s="2" t="inlineStr">
        <is>
          <t>SUBTOTAL UPAH</t>
        </is>
      </c>
      <c r="F14420" s="16" t="n">
        <v>78995</v>
      </c>
    </row>
    <row r="14421">
      <c r="D14421" s="2" t="inlineStr">
        <is>
          <t>SUBTOTAL BAHAN</t>
        </is>
      </c>
      <c r="F14421" s="16" t="n">
        <v>135700</v>
      </c>
    </row>
    <row r="14422">
      <c r="D14422" s="2" t="inlineStr">
        <is>
          <t>SUBTOTAL ALAT</t>
        </is>
      </c>
      <c r="F14422" s="16" t="n">
        <v>0</v>
      </c>
    </row>
    <row r="14423">
      <c r="E14423" s="2" t="inlineStr">
        <is>
          <t>TOTAL HARGA SATUAN (Inc. Overhead)</t>
        </is>
      </c>
      <c r="F14423" s="17" t="n">
        <v>236164</v>
      </c>
    </row>
    <row r="14425">
      <c r="A14425" s="14" t="inlineStr">
        <is>
          <t>KODE: 6.5.2.7 - Pemasangan 1 buah ball velve, Dia.2-1/2" (65 mm)</t>
        </is>
      </c>
    </row>
    <row r="14426">
      <c r="A14426" s="10" t="inlineStr">
        <is>
          <t>No</t>
        </is>
      </c>
      <c r="B14426" s="10" t="inlineStr">
        <is>
          <t>Uraian Komponen</t>
        </is>
      </c>
      <c r="C14426" s="10" t="inlineStr">
        <is>
          <t>Satuan</t>
        </is>
      </c>
      <c r="D14426" s="10" t="inlineStr">
        <is>
          <t>Koef</t>
        </is>
      </c>
      <c r="E14426" s="10" t="inlineStr">
        <is>
          <t>Harga Satuan (Rp)</t>
        </is>
      </c>
      <c r="F14426" s="10" t="inlineStr">
        <is>
          <t>Jumlah Harga (Rp)</t>
        </is>
      </c>
    </row>
    <row r="14427">
      <c r="A14427" s="3" t="inlineStr">
        <is>
          <t>1</t>
        </is>
      </c>
      <c r="B14427" s="3" t="inlineStr">
        <is>
          <t>Pekerja</t>
        </is>
      </c>
      <c r="C14427" s="3" t="inlineStr">
        <is>
          <t>OH</t>
        </is>
      </c>
      <c r="D14427" s="15" t="n">
        <v>0.26</v>
      </c>
      <c r="E14427" s="4" t="n">
        <v>100000</v>
      </c>
      <c r="F14427" s="4" t="n">
        <v>26000</v>
      </c>
    </row>
    <row r="14428">
      <c r="A14428" s="3" t="inlineStr">
        <is>
          <t>2</t>
        </is>
      </c>
      <c r="B14428" s="3" t="inlineStr">
        <is>
          <t>Tukang pipa</t>
        </is>
      </c>
      <c r="C14428" s="3" t="inlineStr">
        <is>
          <t>OH</t>
        </is>
      </c>
      <c r="D14428" s="15" t="n">
        <v>0.433</v>
      </c>
      <c r="E14428" s="4" t="n">
        <v>145000</v>
      </c>
      <c r="F14428" s="4" t="n">
        <v>62785</v>
      </c>
    </row>
    <row r="14429">
      <c r="A14429" s="3" t="inlineStr">
        <is>
          <t>3</t>
        </is>
      </c>
      <c r="B14429" s="3" t="inlineStr">
        <is>
          <t>Kepala tukang</t>
        </is>
      </c>
      <c r="C14429" s="3" t="inlineStr">
        <is>
          <t>OH</t>
        </is>
      </c>
      <c r="D14429" s="15" t="n">
        <v>0.043</v>
      </c>
      <c r="E14429" s="4" t="n">
        <v>175000</v>
      </c>
      <c r="F14429" s="4" t="n">
        <v>7524.999999999999</v>
      </c>
    </row>
    <row r="14430">
      <c r="A14430" s="3" t="inlineStr">
        <is>
          <t>4</t>
        </is>
      </c>
      <c r="B14430" s="3" t="inlineStr">
        <is>
          <t>Mandor</t>
        </is>
      </c>
      <c r="C14430" s="3" t="inlineStr">
        <is>
          <t>OH</t>
        </is>
      </c>
      <c r="D14430" s="15" t="n">
        <v>0.013</v>
      </c>
      <c r="E14430" s="4" t="n">
        <v>200000</v>
      </c>
      <c r="F14430" s="4" t="n">
        <v>2600</v>
      </c>
    </row>
    <row r="14431">
      <c r="A14431" s="3" t="inlineStr">
        <is>
          <t>1</t>
        </is>
      </c>
      <c r="B14431" s="3" t="inlineStr">
        <is>
          <t>"Ball Velve dia. 2-1/2"""</t>
        </is>
      </c>
      <c r="C14431" s="3" t="inlineStr">
        <is>
          <t>unit</t>
        </is>
      </c>
      <c r="D14431" s="15" t="n">
        <v>1.15</v>
      </c>
      <c r="E14431" s="4" t="n">
        <v>145000</v>
      </c>
      <c r="F14431" s="4" t="n">
        <v>166750</v>
      </c>
    </row>
    <row r="14432">
      <c r="D14432" s="2" t="inlineStr">
        <is>
          <t>SUBTOTAL UPAH</t>
        </is>
      </c>
      <c r="F14432" s="16" t="n">
        <v>98910</v>
      </c>
    </row>
    <row r="14433">
      <c r="D14433" s="2" t="inlineStr">
        <is>
          <t>SUBTOTAL BAHAN</t>
        </is>
      </c>
      <c r="F14433" s="16" t="n">
        <v>166750</v>
      </c>
    </row>
    <row r="14434">
      <c r="D14434" s="2" t="inlineStr">
        <is>
          <t>SUBTOTAL ALAT</t>
        </is>
      </c>
      <c r="F14434" s="16" t="n">
        <v>0</v>
      </c>
    </row>
    <row r="14435">
      <c r="E14435" s="2" t="inlineStr">
        <is>
          <t>TOTAL HARGA SATUAN (Inc. Overhead)</t>
        </is>
      </c>
      <c r="F14435" s="17" t="n">
        <v>292226</v>
      </c>
    </row>
    <row r="14437">
      <c r="A14437" s="14" t="inlineStr">
        <is>
          <t>KODE: 6.5.2.8 - Pemasangan 1 buah ball velve, Dia.3" (80 mm)</t>
        </is>
      </c>
    </row>
    <row r="14438">
      <c r="A14438" s="10" t="inlineStr">
        <is>
          <t>No</t>
        </is>
      </c>
      <c r="B14438" s="10" t="inlineStr">
        <is>
          <t>Uraian Komponen</t>
        </is>
      </c>
      <c r="C14438" s="10" t="inlineStr">
        <is>
          <t>Satuan</t>
        </is>
      </c>
      <c r="D14438" s="10" t="inlineStr">
        <is>
          <t>Koef</t>
        </is>
      </c>
      <c r="E14438" s="10" t="inlineStr">
        <is>
          <t>Harga Satuan (Rp)</t>
        </is>
      </c>
      <c r="F14438" s="10" t="inlineStr">
        <is>
          <t>Jumlah Harga (Rp)</t>
        </is>
      </c>
    </row>
    <row r="14439">
      <c r="A14439" s="3" t="inlineStr">
        <is>
          <t>1</t>
        </is>
      </c>
      <c r="B14439" s="3" t="inlineStr">
        <is>
          <t>Pekerja</t>
        </is>
      </c>
      <c r="C14439" s="3" t="inlineStr">
        <is>
          <t>OH</t>
        </is>
      </c>
      <c r="D14439" s="15" t="n">
        <v>0.471</v>
      </c>
      <c r="E14439" s="4" t="n">
        <v>100000</v>
      </c>
      <c r="F14439" s="4" t="n">
        <v>47100</v>
      </c>
    </row>
    <row r="14440">
      <c r="A14440" s="3" t="inlineStr">
        <is>
          <t>2</t>
        </is>
      </c>
      <c r="B14440" s="3" t="inlineStr">
        <is>
          <t>Tukang pipa</t>
        </is>
      </c>
      <c r="C14440" s="3" t="inlineStr">
        <is>
          <t>OH</t>
        </is>
      </c>
      <c r="D14440" s="15" t="n">
        <v>0.787</v>
      </c>
      <c r="E14440" s="4" t="n">
        <v>145000</v>
      </c>
      <c r="F14440" s="4" t="n">
        <v>114115</v>
      </c>
    </row>
    <row r="14441">
      <c r="A14441" s="3" t="inlineStr">
        <is>
          <t>3</t>
        </is>
      </c>
      <c r="B14441" s="3" t="inlineStr">
        <is>
          <t>Kepala tukang</t>
        </is>
      </c>
      <c r="C14441" s="3" t="inlineStr">
        <is>
          <t>OH</t>
        </is>
      </c>
      <c r="D14441" s="15" t="n">
        <v>0.079</v>
      </c>
      <c r="E14441" s="4" t="n">
        <v>175000</v>
      </c>
      <c r="F14441" s="4" t="n">
        <v>13825</v>
      </c>
    </row>
    <row r="14442">
      <c r="A14442" s="3" t="inlineStr">
        <is>
          <t>4</t>
        </is>
      </c>
      <c r="B14442" s="3" t="inlineStr">
        <is>
          <t>Mandor</t>
        </is>
      </c>
      <c r="C14442" s="3" t="inlineStr">
        <is>
          <t>OH</t>
        </is>
      </c>
      <c r="D14442" s="15" t="n">
        <v>0.024</v>
      </c>
      <c r="E14442" s="4" t="n">
        <v>200000</v>
      </c>
      <c r="F14442" s="4" t="n">
        <v>4800</v>
      </c>
    </row>
    <row r="14443">
      <c r="A14443" s="3" t="inlineStr">
        <is>
          <t>1</t>
        </is>
      </c>
      <c r="B14443" s="3" t="inlineStr">
        <is>
          <t>"Ball Velve dia. 3"""</t>
        </is>
      </c>
      <c r="C14443" s="3" t="inlineStr">
        <is>
          <t>unit</t>
        </is>
      </c>
      <c r="D14443" s="15" t="n">
        <v>1.3</v>
      </c>
      <c r="E14443" s="4" t="n">
        <v>215000</v>
      </c>
      <c r="F14443" s="4" t="n">
        <v>279500</v>
      </c>
    </row>
    <row r="14444">
      <c r="D14444" s="2" t="inlineStr">
        <is>
          <t>SUBTOTAL UPAH</t>
        </is>
      </c>
      <c r="F14444" s="16" t="n">
        <v>179840</v>
      </c>
    </row>
    <row r="14445">
      <c r="D14445" s="2" t="inlineStr">
        <is>
          <t>SUBTOTAL BAHAN</t>
        </is>
      </c>
      <c r="F14445" s="16" t="n">
        <v>279500</v>
      </c>
    </row>
    <row r="14446">
      <c r="D14446" s="2" t="inlineStr">
        <is>
          <t>SUBTOTAL ALAT</t>
        </is>
      </c>
      <c r="F14446" s="16" t="n">
        <v>0</v>
      </c>
    </row>
    <row r="14447">
      <c r="E14447" s="2" t="inlineStr">
        <is>
          <t>TOTAL HARGA SATUAN (Inc. Overhead)</t>
        </is>
      </c>
      <c r="F14447" s="17" t="n">
        <v>505274</v>
      </c>
    </row>
    <row r="14449">
      <c r="A14449" s="14" t="inlineStr">
        <is>
          <t>KODE: 6.5.2.9 - Pemasangan 1 buah ball velve, Dia.4" (100 mm)</t>
        </is>
      </c>
    </row>
    <row r="14450">
      <c r="A14450" s="10" t="inlineStr">
        <is>
          <t>No</t>
        </is>
      </c>
      <c r="B14450" s="10" t="inlineStr">
        <is>
          <t>Uraian Komponen</t>
        </is>
      </c>
      <c r="C14450" s="10" t="inlineStr">
        <is>
          <t>Satuan</t>
        </is>
      </c>
      <c r="D14450" s="10" t="inlineStr">
        <is>
          <t>Koef</t>
        </is>
      </c>
      <c r="E14450" s="10" t="inlineStr">
        <is>
          <t>Harga Satuan (Rp)</t>
        </is>
      </c>
      <c r="F14450" s="10" t="inlineStr">
        <is>
          <t>Jumlah Harga (Rp)</t>
        </is>
      </c>
    </row>
    <row r="14451">
      <c r="A14451" s="3" t="inlineStr">
        <is>
          <t>1</t>
        </is>
      </c>
      <c r="B14451" s="3" t="inlineStr">
        <is>
          <t>Pekerja</t>
        </is>
      </c>
      <c r="C14451" s="3" t="inlineStr">
        <is>
          <t>OH</t>
        </is>
      </c>
      <c r="D14451" s="15" t="n">
        <v>0.631</v>
      </c>
      <c r="E14451" s="4" t="n">
        <v>100000</v>
      </c>
      <c r="F14451" s="4" t="n">
        <v>63100</v>
      </c>
    </row>
    <row r="14452">
      <c r="A14452" s="3" t="inlineStr">
        <is>
          <t>2</t>
        </is>
      </c>
      <c r="B14452" s="3" t="inlineStr">
        <is>
          <t>Tukang pipa</t>
        </is>
      </c>
      <c r="C14452" s="3" t="inlineStr">
        <is>
          <t>OH</t>
        </is>
      </c>
      <c r="D14452" s="15" t="n">
        <v>1.054</v>
      </c>
      <c r="E14452" s="4" t="n">
        <v>145000</v>
      </c>
      <c r="F14452" s="4" t="n">
        <v>152830</v>
      </c>
    </row>
    <row r="14453">
      <c r="A14453" s="3" t="inlineStr">
        <is>
          <t>3</t>
        </is>
      </c>
      <c r="B14453" s="3" t="inlineStr">
        <is>
          <t>Kepala tukang</t>
        </is>
      </c>
      <c r="C14453" s="3" t="inlineStr">
        <is>
          <t>OH</t>
        </is>
      </c>
      <c r="D14453" s="15" t="n">
        <v>0.105</v>
      </c>
      <c r="E14453" s="4" t="n">
        <v>175000</v>
      </c>
      <c r="F14453" s="4" t="n">
        <v>18375</v>
      </c>
    </row>
    <row r="14454">
      <c r="A14454" s="3" t="inlineStr">
        <is>
          <t>4</t>
        </is>
      </c>
      <c r="B14454" s="3" t="inlineStr">
        <is>
          <t>Mandor</t>
        </is>
      </c>
      <c r="C14454" s="3" t="inlineStr">
        <is>
          <t>OH</t>
        </is>
      </c>
      <c r="D14454" s="15" t="n">
        <v>0.032</v>
      </c>
      <c r="E14454" s="4" t="n">
        <v>200000</v>
      </c>
      <c r="F14454" s="4" t="n">
        <v>6400</v>
      </c>
    </row>
    <row r="14455">
      <c r="A14455" s="3" t="inlineStr">
        <is>
          <t>1</t>
        </is>
      </c>
      <c r="B14455" s="3" t="inlineStr">
        <is>
          <t>"Ball Velve dia. 4"""</t>
        </is>
      </c>
      <c r="C14455" s="3" t="inlineStr">
        <is>
          <t>unit</t>
        </is>
      </c>
      <c r="D14455" s="15" t="n">
        <v>1.3</v>
      </c>
      <c r="E14455" s="4" t="n">
        <v>233300</v>
      </c>
      <c r="F14455" s="4" t="n">
        <v>303290</v>
      </c>
    </row>
    <row r="14456">
      <c r="D14456" s="2" t="inlineStr">
        <is>
          <t>SUBTOTAL UPAH</t>
        </is>
      </c>
      <c r="F14456" s="16" t="n">
        <v>240705</v>
      </c>
    </row>
    <row r="14457">
      <c r="D14457" s="2" t="inlineStr">
        <is>
          <t>SUBTOTAL BAHAN</t>
        </is>
      </c>
      <c r="F14457" s="16" t="n">
        <v>303290</v>
      </c>
    </row>
    <row r="14458">
      <c r="D14458" s="2" t="inlineStr">
        <is>
          <t>SUBTOTAL ALAT</t>
        </is>
      </c>
      <c r="F14458" s="16" t="n">
        <v>0</v>
      </c>
    </row>
    <row r="14459">
      <c r="E14459" s="2" t="inlineStr">
        <is>
          <t>TOTAL HARGA SATUAN (Inc. Overhead)</t>
        </is>
      </c>
      <c r="F14459" s="17" t="n">
        <v>598394</v>
      </c>
    </row>
    <row r="14461">
      <c r="A14461" s="14" t="inlineStr">
        <is>
          <t>KODE: 6.5.3.1 - Pemasangan 1 buah Check Velve 10 K, Dia. 1/2" (15 mm)</t>
        </is>
      </c>
    </row>
    <row r="14462">
      <c r="A14462" s="10" t="inlineStr">
        <is>
          <t>No</t>
        </is>
      </c>
      <c r="B14462" s="10" t="inlineStr">
        <is>
          <t>Uraian Komponen</t>
        </is>
      </c>
      <c r="C14462" s="10" t="inlineStr">
        <is>
          <t>Satuan</t>
        </is>
      </c>
      <c r="D14462" s="10" t="inlineStr">
        <is>
          <t>Koef</t>
        </is>
      </c>
      <c r="E14462" s="10" t="inlineStr">
        <is>
          <t>Harga Satuan (Rp)</t>
        </is>
      </c>
      <c r="F14462" s="10" t="inlineStr">
        <is>
          <t>Jumlah Harga (Rp)</t>
        </is>
      </c>
    </row>
    <row r="14463">
      <c r="A14463" s="3" t="inlineStr">
        <is>
          <t>1</t>
        </is>
      </c>
      <c r="B14463" s="3" t="inlineStr">
        <is>
          <t>Pekerja</t>
        </is>
      </c>
      <c r="C14463" s="3" t="inlineStr">
        <is>
          <t>OH</t>
        </is>
      </c>
      <c r="D14463" s="15" t="n">
        <v>0.052</v>
      </c>
      <c r="E14463" s="4" t="n">
        <v>100000</v>
      </c>
      <c r="F14463" s="4" t="n">
        <v>5200</v>
      </c>
    </row>
    <row r="14464">
      <c r="A14464" s="3" t="inlineStr">
        <is>
          <t>2</t>
        </is>
      </c>
      <c r="B14464" s="3" t="inlineStr">
        <is>
          <t>Tukang pipa</t>
        </is>
      </c>
      <c r="C14464" s="3" t="inlineStr">
        <is>
          <t>OH</t>
        </is>
      </c>
      <c r="D14464" s="15" t="n">
        <v>0.08699999999999999</v>
      </c>
      <c r="E14464" s="4" t="n">
        <v>145000</v>
      </c>
      <c r="F14464" s="4" t="n">
        <v>12615</v>
      </c>
    </row>
    <row r="14465">
      <c r="A14465" s="3" t="inlineStr">
        <is>
          <t>3</t>
        </is>
      </c>
      <c r="B14465" s="3" t="inlineStr">
        <is>
          <t>Kepala tukang</t>
        </is>
      </c>
      <c r="C14465" s="3" t="inlineStr">
        <is>
          <t>OH</t>
        </is>
      </c>
      <c r="D14465" s="15" t="n">
        <v>0.008999999999999999</v>
      </c>
      <c r="E14465" s="4" t="n">
        <v>175000</v>
      </c>
      <c r="F14465" s="4" t="n">
        <v>1575</v>
      </c>
    </row>
    <row r="14466">
      <c r="A14466" s="3" t="inlineStr">
        <is>
          <t>4</t>
        </is>
      </c>
      <c r="B14466" s="3" t="inlineStr">
        <is>
          <t>Mandor</t>
        </is>
      </c>
      <c r="C14466" s="3" t="inlineStr">
        <is>
          <t>OH</t>
        </is>
      </c>
      <c r="D14466" s="15" t="n">
        <v>0.003</v>
      </c>
      <c r="E14466" s="4" t="n">
        <v>200000</v>
      </c>
      <c r="F14466" s="4" t="n">
        <v>600</v>
      </c>
    </row>
    <row r="14467">
      <c r="A14467" s="3" t="inlineStr">
        <is>
          <t>1</t>
        </is>
      </c>
      <c r="B14467" s="3" t="inlineStr">
        <is>
          <t>"Check Velve dia. 1/2"""</t>
        </is>
      </c>
      <c r="C14467" s="3" t="inlineStr">
        <is>
          <t>unit</t>
        </is>
      </c>
      <c r="D14467" s="15" t="n">
        <v>1.15</v>
      </c>
      <c r="E14467" s="4" t="n">
        <v>39000</v>
      </c>
      <c r="F14467" s="4" t="n">
        <v>44850</v>
      </c>
    </row>
    <row r="14468">
      <c r="D14468" s="2" t="inlineStr">
        <is>
          <t>SUBTOTAL UPAH</t>
        </is>
      </c>
      <c r="F14468" s="16" t="n">
        <v>19990</v>
      </c>
    </row>
    <row r="14469">
      <c r="D14469" s="2" t="inlineStr">
        <is>
          <t>SUBTOTAL BAHAN</t>
        </is>
      </c>
      <c r="F14469" s="16" t="n">
        <v>44850</v>
      </c>
    </row>
    <row r="14470">
      <c r="D14470" s="2" t="inlineStr">
        <is>
          <t>SUBTOTAL ALAT</t>
        </is>
      </c>
      <c r="F14470" s="16" t="n">
        <v>0</v>
      </c>
    </row>
    <row r="14471">
      <c r="E14471" s="2" t="inlineStr">
        <is>
          <t>TOTAL HARGA SATUAN (Inc. Overhead)</t>
        </is>
      </c>
      <c r="F14471" s="17" t="n">
        <v>71324</v>
      </c>
    </row>
    <row r="14473">
      <c r="A14473" s="14" t="inlineStr">
        <is>
          <t>KODE: 6.5.3.2 - Pemasangan 1 buah Check Velve 10 K, Dia. 3/4" (20 mm)</t>
        </is>
      </c>
    </row>
    <row r="14474">
      <c r="A14474" s="10" t="inlineStr">
        <is>
          <t>No</t>
        </is>
      </c>
      <c r="B14474" s="10" t="inlineStr">
        <is>
          <t>Uraian Komponen</t>
        </is>
      </c>
      <c r="C14474" s="10" t="inlineStr">
        <is>
          <t>Satuan</t>
        </is>
      </c>
      <c r="D14474" s="10" t="inlineStr">
        <is>
          <t>Koef</t>
        </is>
      </c>
      <c r="E14474" s="10" t="inlineStr">
        <is>
          <t>Harga Satuan (Rp)</t>
        </is>
      </c>
      <c r="F14474" s="10" t="inlineStr">
        <is>
          <t>Jumlah Harga (Rp)</t>
        </is>
      </c>
    </row>
    <row r="14475">
      <c r="A14475" s="3" t="inlineStr">
        <is>
          <t>1</t>
        </is>
      </c>
      <c r="B14475" s="3" t="inlineStr">
        <is>
          <t>Pekerja</t>
        </is>
      </c>
      <c r="C14475" s="3" t="inlineStr">
        <is>
          <t>OH</t>
        </is>
      </c>
      <c r="D14475" s="15" t="n">
        <v>0.079</v>
      </c>
      <c r="E14475" s="4" t="n">
        <v>100000</v>
      </c>
      <c r="F14475" s="4" t="n">
        <v>7900</v>
      </c>
    </row>
    <row r="14476">
      <c r="A14476" s="3" t="inlineStr">
        <is>
          <t>2</t>
        </is>
      </c>
      <c r="B14476" s="3" t="inlineStr">
        <is>
          <t>Tukang pipa</t>
        </is>
      </c>
      <c r="C14476" s="3" t="inlineStr">
        <is>
          <t>OH</t>
        </is>
      </c>
      <c r="D14476" s="15" t="n">
        <v>0.131</v>
      </c>
      <c r="E14476" s="4" t="n">
        <v>145000</v>
      </c>
      <c r="F14476" s="4" t="n">
        <v>18995</v>
      </c>
    </row>
    <row r="14477">
      <c r="A14477" s="3" t="inlineStr">
        <is>
          <t>3</t>
        </is>
      </c>
      <c r="B14477" s="3" t="inlineStr">
        <is>
          <t>Kepala tukang</t>
        </is>
      </c>
      <c r="C14477" s="3" t="inlineStr">
        <is>
          <t>OH</t>
        </is>
      </c>
      <c r="D14477" s="15" t="n">
        <v>0.013</v>
      </c>
      <c r="E14477" s="4" t="n">
        <v>175000</v>
      </c>
      <c r="F14477" s="4" t="n">
        <v>2275</v>
      </c>
    </row>
    <row r="14478">
      <c r="A14478" s="3" t="inlineStr">
        <is>
          <t>4</t>
        </is>
      </c>
      <c r="B14478" s="3" t="inlineStr">
        <is>
          <t>Mandor</t>
        </is>
      </c>
      <c r="C14478" s="3" t="inlineStr">
        <is>
          <t>OH</t>
        </is>
      </c>
      <c r="D14478" s="15" t="n">
        <v>0.004</v>
      </c>
      <c r="E14478" s="4" t="n">
        <v>200000</v>
      </c>
      <c r="F14478" s="4" t="n">
        <v>800</v>
      </c>
    </row>
    <row r="14479">
      <c r="A14479" s="3" t="inlineStr">
        <is>
          <t>1</t>
        </is>
      </c>
      <c r="B14479" s="3" t="inlineStr">
        <is>
          <t>"Check Velve dia. 3/4"""</t>
        </is>
      </c>
      <c r="C14479" s="3" t="inlineStr">
        <is>
          <t>unit</t>
        </is>
      </c>
      <c r="D14479" s="15" t="n">
        <v>1.15</v>
      </c>
      <c r="E14479" s="4" t="n">
        <v>59000</v>
      </c>
      <c r="F14479" s="4" t="n">
        <v>67850</v>
      </c>
    </row>
    <row r="14480">
      <c r="D14480" s="2" t="inlineStr">
        <is>
          <t>SUBTOTAL UPAH</t>
        </is>
      </c>
      <c r="F14480" s="16" t="n">
        <v>29970</v>
      </c>
    </row>
    <row r="14481">
      <c r="D14481" s="2" t="inlineStr">
        <is>
          <t>SUBTOTAL BAHAN</t>
        </is>
      </c>
      <c r="F14481" s="16" t="n">
        <v>67850</v>
      </c>
    </row>
    <row r="14482">
      <c r="D14482" s="2" t="inlineStr">
        <is>
          <t>SUBTOTAL ALAT</t>
        </is>
      </c>
      <c r="F14482" s="16" t="n">
        <v>0</v>
      </c>
    </row>
    <row r="14483">
      <c r="E14483" s="2" t="inlineStr">
        <is>
          <t>TOTAL HARGA SATUAN (Inc. Overhead)</t>
        </is>
      </c>
      <c r="F14483" s="17" t="n">
        <v>107602</v>
      </c>
    </row>
    <row r="14485">
      <c r="A14485" s="14" t="inlineStr">
        <is>
          <t>KODE: 6.5.3.3 - Pemasangan 1 buah Check Velve 10 K, Dia. 1" (25 mm)</t>
        </is>
      </c>
    </row>
    <row r="14486">
      <c r="A14486" s="10" t="inlineStr">
        <is>
          <t>No</t>
        </is>
      </c>
      <c r="B14486" s="10" t="inlineStr">
        <is>
          <t>Uraian Komponen</t>
        </is>
      </c>
      <c r="C14486" s="10" t="inlineStr">
        <is>
          <t>Satuan</t>
        </is>
      </c>
      <c r="D14486" s="10" t="inlineStr">
        <is>
          <t>Koef</t>
        </is>
      </c>
      <c r="E14486" s="10" t="inlineStr">
        <is>
          <t>Harga Satuan (Rp)</t>
        </is>
      </c>
      <c r="F14486" s="10" t="inlineStr">
        <is>
          <t>Jumlah Harga (Rp)</t>
        </is>
      </c>
    </row>
    <row r="14487">
      <c r="A14487" s="3" t="inlineStr">
        <is>
          <t>1</t>
        </is>
      </c>
      <c r="B14487" s="3" t="inlineStr">
        <is>
          <t>Pekerja</t>
        </is>
      </c>
      <c r="C14487" s="3" t="inlineStr">
        <is>
          <t>OH</t>
        </is>
      </c>
      <c r="D14487" s="15" t="n">
        <v>0.105</v>
      </c>
      <c r="E14487" s="4" t="n">
        <v>100000</v>
      </c>
      <c r="F14487" s="4" t="n">
        <v>10500</v>
      </c>
    </row>
    <row r="14488">
      <c r="A14488" s="3" t="inlineStr">
        <is>
          <t>2</t>
        </is>
      </c>
      <c r="B14488" s="3" t="inlineStr">
        <is>
          <t>Tukang pipa</t>
        </is>
      </c>
      <c r="C14488" s="3" t="inlineStr">
        <is>
          <t>OH</t>
        </is>
      </c>
      <c r="D14488" s="15" t="n">
        <v>0.175</v>
      </c>
      <c r="E14488" s="4" t="n">
        <v>145000</v>
      </c>
      <c r="F14488" s="4" t="n">
        <v>25375</v>
      </c>
    </row>
    <row r="14489">
      <c r="A14489" s="3" t="inlineStr">
        <is>
          <t>3</t>
        </is>
      </c>
      <c r="B14489" s="3" t="inlineStr">
        <is>
          <t>Kepala tukang</t>
        </is>
      </c>
      <c r="C14489" s="3" t="inlineStr">
        <is>
          <t>OH</t>
        </is>
      </c>
      <c r="D14489" s="15" t="n">
        <v>0.017</v>
      </c>
      <c r="E14489" s="4" t="n">
        <v>175000</v>
      </c>
      <c r="F14489" s="4" t="n">
        <v>2975</v>
      </c>
    </row>
    <row r="14490">
      <c r="A14490" s="3" t="inlineStr">
        <is>
          <t>4</t>
        </is>
      </c>
      <c r="B14490" s="3" t="inlineStr">
        <is>
          <t>Mandor</t>
        </is>
      </c>
      <c r="C14490" s="3" t="inlineStr">
        <is>
          <t>OH</t>
        </is>
      </c>
      <c r="D14490" s="15" t="n">
        <v>0.005</v>
      </c>
      <c r="E14490" s="4" t="n">
        <v>200000</v>
      </c>
      <c r="F14490" s="4" t="n">
        <v>1000</v>
      </c>
    </row>
    <row r="14491">
      <c r="A14491" s="3" t="inlineStr">
        <is>
          <t>1</t>
        </is>
      </c>
      <c r="B14491" s="3" t="inlineStr">
        <is>
          <t>"Check Velve dia. 1"""</t>
        </is>
      </c>
      <c r="C14491" s="3" t="inlineStr">
        <is>
          <t>unit</t>
        </is>
      </c>
      <c r="D14491" s="15" t="n">
        <v>1.15</v>
      </c>
      <c r="E14491" s="4" t="n">
        <v>88350</v>
      </c>
      <c r="F14491" s="4" t="n">
        <v>101602.5</v>
      </c>
    </row>
    <row r="14492">
      <c r="D14492" s="2" t="inlineStr">
        <is>
          <t>SUBTOTAL UPAH</t>
        </is>
      </c>
      <c r="F14492" s="16" t="n">
        <v>39850</v>
      </c>
    </row>
    <row r="14493">
      <c r="D14493" s="2" t="inlineStr">
        <is>
          <t>SUBTOTAL BAHAN</t>
        </is>
      </c>
      <c r="F14493" s="16" t="n">
        <v>101602.5</v>
      </c>
    </row>
    <row r="14494">
      <c r="D14494" s="2" t="inlineStr">
        <is>
          <t>SUBTOTAL ALAT</t>
        </is>
      </c>
      <c r="F14494" s="16" t="n">
        <v>0</v>
      </c>
    </row>
    <row r="14495">
      <c r="E14495" s="2" t="inlineStr">
        <is>
          <t>TOTAL HARGA SATUAN (Inc. Overhead)</t>
        </is>
      </c>
      <c r="F14495" s="17" t="n">
        <v>155597</v>
      </c>
    </row>
    <row r="14497">
      <c r="A14497" s="14" t="inlineStr">
        <is>
          <t>KODE: 6.5.3.4 - Pemasangan 1 buah Check Velve 10 K, Dia. 1-1/4" (32 mm)</t>
        </is>
      </c>
    </row>
    <row r="14498">
      <c r="A14498" s="10" t="inlineStr">
        <is>
          <t>No</t>
        </is>
      </c>
      <c r="B14498" s="10" t="inlineStr">
        <is>
          <t>Uraian Komponen</t>
        </is>
      </c>
      <c r="C14498" s="10" t="inlineStr">
        <is>
          <t>Satuan</t>
        </is>
      </c>
      <c r="D14498" s="10" t="inlineStr">
        <is>
          <t>Koef</t>
        </is>
      </c>
      <c r="E14498" s="10" t="inlineStr">
        <is>
          <t>Harga Satuan (Rp)</t>
        </is>
      </c>
      <c r="F14498" s="10" t="inlineStr">
        <is>
          <t>Jumlah Harga (Rp)</t>
        </is>
      </c>
    </row>
    <row r="14499">
      <c r="A14499" s="3" t="inlineStr">
        <is>
          <t>1</t>
        </is>
      </c>
      <c r="B14499" s="3" t="inlineStr">
        <is>
          <t>Pekerja</t>
        </is>
      </c>
      <c r="C14499" s="3" t="inlineStr">
        <is>
          <t>OH</t>
        </is>
      </c>
      <c r="D14499" s="15" t="n">
        <v>0.129</v>
      </c>
      <c r="E14499" s="4" t="n">
        <v>100000</v>
      </c>
      <c r="F14499" s="4" t="n">
        <v>12900</v>
      </c>
    </row>
    <row r="14500">
      <c r="A14500" s="3" t="inlineStr">
        <is>
          <t>2</t>
        </is>
      </c>
      <c r="B14500" s="3" t="inlineStr">
        <is>
          <t>Tukang pipa</t>
        </is>
      </c>
      <c r="C14500" s="3" t="inlineStr">
        <is>
          <t>OH</t>
        </is>
      </c>
      <c r="D14500" s="15" t="n">
        <v>0.215</v>
      </c>
      <c r="E14500" s="4" t="n">
        <v>145000</v>
      </c>
      <c r="F14500" s="4" t="n">
        <v>31175</v>
      </c>
    </row>
    <row r="14501">
      <c r="A14501" s="3" t="inlineStr">
        <is>
          <t>3</t>
        </is>
      </c>
      <c r="B14501" s="3" t="inlineStr">
        <is>
          <t>Kepala tukang</t>
        </is>
      </c>
      <c r="C14501" s="3" t="inlineStr">
        <is>
          <t>OH</t>
        </is>
      </c>
      <c r="D14501" s="15" t="n">
        <v>0.021</v>
      </c>
      <c r="E14501" s="4" t="n">
        <v>175000</v>
      </c>
      <c r="F14501" s="4" t="n">
        <v>3675</v>
      </c>
    </row>
    <row r="14502">
      <c r="A14502" s="3" t="inlineStr">
        <is>
          <t>4</t>
        </is>
      </c>
      <c r="B14502" s="3" t="inlineStr">
        <is>
          <t>Mandor</t>
        </is>
      </c>
      <c r="C14502" s="3" t="inlineStr">
        <is>
          <t>OH</t>
        </is>
      </c>
      <c r="D14502" s="15" t="n">
        <v>0.006</v>
      </c>
      <c r="E14502" s="4" t="n">
        <v>200000</v>
      </c>
      <c r="F14502" s="4" t="n">
        <v>1200</v>
      </c>
    </row>
    <row r="14503">
      <c r="A14503" s="3" t="inlineStr">
        <is>
          <t>1</t>
        </is>
      </c>
      <c r="B14503" s="3" t="inlineStr">
        <is>
          <t>"Check Velve dia. 1-1/4"""</t>
        </is>
      </c>
      <c r="C14503" s="3" t="inlineStr">
        <is>
          <t>unit</t>
        </is>
      </c>
      <c r="D14503" s="15" t="n">
        <v>1.15</v>
      </c>
      <c r="E14503" s="4" t="n">
        <v>110960</v>
      </c>
      <c r="F14503" s="4" t="n">
        <v>127604</v>
      </c>
    </row>
    <row r="14504">
      <c r="D14504" s="2" t="inlineStr">
        <is>
          <t>SUBTOTAL UPAH</t>
        </is>
      </c>
      <c r="F14504" s="16" t="n">
        <v>48950</v>
      </c>
    </row>
    <row r="14505">
      <c r="D14505" s="2" t="inlineStr">
        <is>
          <t>SUBTOTAL BAHAN</t>
        </is>
      </c>
      <c r="F14505" s="16" t="n">
        <v>127604</v>
      </c>
    </row>
    <row r="14506">
      <c r="D14506" s="2" t="inlineStr">
        <is>
          <t>SUBTOTAL ALAT</t>
        </is>
      </c>
      <c r="F14506" s="16" t="n">
        <v>0</v>
      </c>
    </row>
    <row r="14507">
      <c r="E14507" s="2" t="inlineStr">
        <is>
          <t>TOTAL HARGA SATUAN (Inc. Overhead)</t>
        </is>
      </c>
      <c r="F14507" s="17" t="n">
        <v>194209</v>
      </c>
    </row>
    <row r="14509">
      <c r="A14509" s="14" t="inlineStr">
        <is>
          <t>KODE: 6.5.3.5 - Pemasangan 1 buah Check Velve 10 K, Dia. 1-1/2" (40 mm)</t>
        </is>
      </c>
    </row>
    <row r="14510">
      <c r="A14510" s="10" t="inlineStr">
        <is>
          <t>No</t>
        </is>
      </c>
      <c r="B14510" s="10" t="inlineStr">
        <is>
          <t>Uraian Komponen</t>
        </is>
      </c>
      <c r="C14510" s="10" t="inlineStr">
        <is>
          <t>Satuan</t>
        </is>
      </c>
      <c r="D14510" s="10" t="inlineStr">
        <is>
          <t>Koef</t>
        </is>
      </c>
      <c r="E14510" s="10" t="inlineStr">
        <is>
          <t>Harga Satuan (Rp)</t>
        </is>
      </c>
      <c r="F14510" s="10" t="inlineStr">
        <is>
          <t>Jumlah Harga (Rp)</t>
        </is>
      </c>
    </row>
    <row r="14511">
      <c r="A14511" s="3" t="inlineStr">
        <is>
          <t>1</t>
        </is>
      </c>
      <c r="B14511" s="3" t="inlineStr">
        <is>
          <t>Pekerja</t>
        </is>
      </c>
      <c r="C14511" s="3" t="inlineStr">
        <is>
          <t>OH</t>
        </is>
      </c>
      <c r="D14511" s="15" t="n">
        <v>0.157</v>
      </c>
      <c r="E14511" s="4" t="n">
        <v>100000</v>
      </c>
      <c r="F14511" s="4" t="n">
        <v>15700</v>
      </c>
    </row>
    <row r="14512">
      <c r="A14512" s="3" t="inlineStr">
        <is>
          <t>2</t>
        </is>
      </c>
      <c r="B14512" s="3" t="inlineStr">
        <is>
          <t>Tukang pipa</t>
        </is>
      </c>
      <c r="C14512" s="3" t="inlineStr">
        <is>
          <t>OH</t>
        </is>
      </c>
      <c r="D14512" s="15" t="n">
        <v>0.262</v>
      </c>
      <c r="E14512" s="4" t="n">
        <v>145000</v>
      </c>
      <c r="F14512" s="4" t="n">
        <v>37990</v>
      </c>
    </row>
    <row r="14513">
      <c r="A14513" s="3" t="inlineStr">
        <is>
          <t>3</t>
        </is>
      </c>
      <c r="B14513" s="3" t="inlineStr">
        <is>
          <t>Kepala tukang</t>
        </is>
      </c>
      <c r="C14513" s="3" t="inlineStr">
        <is>
          <t>OH</t>
        </is>
      </c>
      <c r="D14513" s="15" t="n">
        <v>0.026</v>
      </c>
      <c r="E14513" s="4" t="n">
        <v>175000</v>
      </c>
      <c r="F14513" s="4" t="n">
        <v>4550</v>
      </c>
    </row>
    <row r="14514">
      <c r="A14514" s="3" t="inlineStr">
        <is>
          <t>4</t>
        </is>
      </c>
      <c r="B14514" s="3" t="inlineStr">
        <is>
          <t>Mandor</t>
        </is>
      </c>
      <c r="C14514" s="3" t="inlineStr">
        <is>
          <t>OH</t>
        </is>
      </c>
      <c r="D14514" s="15" t="n">
        <v>0.008</v>
      </c>
      <c r="E14514" s="4" t="n">
        <v>200000</v>
      </c>
      <c r="F14514" s="4" t="n">
        <v>1600</v>
      </c>
    </row>
    <row r="14515">
      <c r="A14515" s="3" t="inlineStr">
        <is>
          <t>1</t>
        </is>
      </c>
      <c r="B14515" s="3" t="inlineStr">
        <is>
          <t>"Check Velve dia. 1-1/2"""</t>
        </is>
      </c>
      <c r="C14515" s="3" t="inlineStr">
        <is>
          <t>unit</t>
        </is>
      </c>
      <c r="D14515" s="15" t="n">
        <v>1.15</v>
      </c>
      <c r="E14515" s="4" t="n">
        <v>148960</v>
      </c>
      <c r="F14515" s="4" t="n">
        <v>171304</v>
      </c>
    </row>
    <row r="14516">
      <c r="D14516" s="2" t="inlineStr">
        <is>
          <t>SUBTOTAL UPAH</t>
        </is>
      </c>
      <c r="F14516" s="16" t="n">
        <v>59840</v>
      </c>
    </row>
    <row r="14517">
      <c r="D14517" s="2" t="inlineStr">
        <is>
          <t>SUBTOTAL BAHAN</t>
        </is>
      </c>
      <c r="F14517" s="16" t="n">
        <v>171304</v>
      </c>
    </row>
    <row r="14518">
      <c r="D14518" s="2" t="inlineStr">
        <is>
          <t>SUBTOTAL ALAT</t>
        </is>
      </c>
      <c r="F14518" s="16" t="n">
        <v>0</v>
      </c>
    </row>
    <row r="14519">
      <c r="E14519" s="2" t="inlineStr">
        <is>
          <t>TOTAL HARGA SATUAN (Inc. Overhead)</t>
        </is>
      </c>
      <c r="F14519" s="17" t="n">
        <v>254258</v>
      </c>
    </row>
    <row r="14521">
      <c r="A14521" s="14" t="inlineStr">
        <is>
          <t>KODE: 6.5.3.6 - Pemasangan 1 buah Check Velve (10, 16) K, Dia. 2" (50 mm)</t>
        </is>
      </c>
    </row>
    <row r="14522">
      <c r="A14522" s="10" t="inlineStr">
        <is>
          <t>No</t>
        </is>
      </c>
      <c r="B14522" s="10" t="inlineStr">
        <is>
          <t>Uraian Komponen</t>
        </is>
      </c>
      <c r="C14522" s="10" t="inlineStr">
        <is>
          <t>Satuan</t>
        </is>
      </c>
      <c r="D14522" s="10" t="inlineStr">
        <is>
          <t>Koef</t>
        </is>
      </c>
      <c r="E14522" s="10" t="inlineStr">
        <is>
          <t>Harga Satuan (Rp)</t>
        </is>
      </c>
      <c r="F14522" s="10" t="inlineStr">
        <is>
          <t>Jumlah Harga (Rp)</t>
        </is>
      </c>
    </row>
    <row r="14523">
      <c r="A14523" s="3" t="inlineStr">
        <is>
          <t>1</t>
        </is>
      </c>
      <c r="B14523" s="3" t="inlineStr">
        <is>
          <t>Pekerja</t>
        </is>
      </c>
      <c r="C14523" s="3" t="inlineStr">
        <is>
          <t>OH</t>
        </is>
      </c>
      <c r="D14523" s="15" t="n">
        <v>0.207</v>
      </c>
      <c r="E14523" s="4" t="n">
        <v>100000</v>
      </c>
      <c r="F14523" s="4" t="n">
        <v>20700</v>
      </c>
    </row>
    <row r="14524">
      <c r="A14524" s="3" t="inlineStr">
        <is>
          <t>2</t>
        </is>
      </c>
      <c r="B14524" s="3" t="inlineStr">
        <is>
          <t>Tukang pipa</t>
        </is>
      </c>
      <c r="C14524" s="3" t="inlineStr">
        <is>
          <t>OH</t>
        </is>
      </c>
      <c r="D14524" s="15" t="n">
        <v>0.346</v>
      </c>
      <c r="E14524" s="4" t="n">
        <v>145000</v>
      </c>
      <c r="F14524" s="4" t="n">
        <v>50169.99999999999</v>
      </c>
    </row>
    <row r="14525">
      <c r="A14525" s="3" t="inlineStr">
        <is>
          <t>3</t>
        </is>
      </c>
      <c r="B14525" s="3" t="inlineStr">
        <is>
          <t>Kepala tukang</t>
        </is>
      </c>
      <c r="C14525" s="3" t="inlineStr">
        <is>
          <t>OH</t>
        </is>
      </c>
      <c r="D14525" s="15" t="n">
        <v>0.035</v>
      </c>
      <c r="E14525" s="4" t="n">
        <v>175000</v>
      </c>
      <c r="F14525" s="4" t="n">
        <v>6125.000000000001</v>
      </c>
    </row>
    <row r="14526">
      <c r="A14526" s="3" t="inlineStr">
        <is>
          <t>4</t>
        </is>
      </c>
      <c r="B14526" s="3" t="inlineStr">
        <is>
          <t>Mandor</t>
        </is>
      </c>
      <c r="C14526" s="3" t="inlineStr">
        <is>
          <t>OH</t>
        </is>
      </c>
      <c r="D14526" s="15" t="n">
        <v>0.01</v>
      </c>
      <c r="E14526" s="4" t="n">
        <v>200000</v>
      </c>
      <c r="F14526" s="4" t="n">
        <v>2000</v>
      </c>
    </row>
    <row r="14527">
      <c r="A14527" s="3" t="inlineStr">
        <is>
          <t>1</t>
        </is>
      </c>
      <c r="B14527" s="3" t="inlineStr">
        <is>
          <t>"Check Velve dia. 2"""</t>
        </is>
      </c>
      <c r="C14527" s="3" t="inlineStr">
        <is>
          <t>unit</t>
        </is>
      </c>
      <c r="D14527" s="15" t="n">
        <v>1.15</v>
      </c>
      <c r="E14527" s="4" t="n">
        <v>215460</v>
      </c>
      <c r="F14527" s="4" t="n">
        <v>247779</v>
      </c>
    </row>
    <row r="14528">
      <c r="D14528" s="2" t="inlineStr">
        <is>
          <t>SUBTOTAL UPAH</t>
        </is>
      </c>
      <c r="F14528" s="16" t="n">
        <v>78995</v>
      </c>
    </row>
    <row r="14529">
      <c r="D14529" s="2" t="inlineStr">
        <is>
          <t>SUBTOTAL BAHAN</t>
        </is>
      </c>
      <c r="F14529" s="16" t="n">
        <v>247779</v>
      </c>
    </row>
    <row r="14530">
      <c r="D14530" s="2" t="inlineStr">
        <is>
          <t>SUBTOTAL ALAT</t>
        </is>
      </c>
      <c r="F14530" s="16" t="n">
        <v>0</v>
      </c>
    </row>
    <row r="14531">
      <c r="E14531" s="2" t="inlineStr">
        <is>
          <t>TOTAL HARGA SATUAN (Inc. Overhead)</t>
        </is>
      </c>
      <c r="F14531" s="17" t="n">
        <v>359451</v>
      </c>
    </row>
    <row r="14533">
      <c r="A14533" s="14" t="inlineStr">
        <is>
          <t>KODE: 6.5.3.7 - Pemasangan 1 buah Check Velve (10,16) K, Dia. 2-1/2" (65 mm)</t>
        </is>
      </c>
    </row>
    <row r="14534">
      <c r="A14534" s="10" t="inlineStr">
        <is>
          <t>No</t>
        </is>
      </c>
      <c r="B14534" s="10" t="inlineStr">
        <is>
          <t>Uraian Komponen</t>
        </is>
      </c>
      <c r="C14534" s="10" t="inlineStr">
        <is>
          <t>Satuan</t>
        </is>
      </c>
      <c r="D14534" s="10" t="inlineStr">
        <is>
          <t>Koef</t>
        </is>
      </c>
      <c r="E14534" s="10" t="inlineStr">
        <is>
          <t>Harga Satuan (Rp)</t>
        </is>
      </c>
      <c r="F14534" s="10" t="inlineStr">
        <is>
          <t>Jumlah Harga (Rp)</t>
        </is>
      </c>
    </row>
    <row r="14535">
      <c r="A14535" s="3" t="inlineStr">
        <is>
          <t>1</t>
        </is>
      </c>
      <c r="B14535" s="3" t="inlineStr">
        <is>
          <t>Pekerja</t>
        </is>
      </c>
      <c r="C14535" s="3" t="inlineStr">
        <is>
          <t>OH</t>
        </is>
      </c>
      <c r="D14535" s="15" t="n">
        <v>0.26</v>
      </c>
      <c r="E14535" s="4" t="n">
        <v>100000</v>
      </c>
      <c r="F14535" s="4" t="n">
        <v>26000</v>
      </c>
    </row>
    <row r="14536">
      <c r="A14536" s="3" t="inlineStr">
        <is>
          <t>2</t>
        </is>
      </c>
      <c r="B14536" s="3" t="inlineStr">
        <is>
          <t>Tukang pipa</t>
        </is>
      </c>
      <c r="C14536" s="3" t="inlineStr">
        <is>
          <t>OH</t>
        </is>
      </c>
      <c r="D14536" s="15" t="n">
        <v>0.433</v>
      </c>
      <c r="E14536" s="4" t="n">
        <v>145000</v>
      </c>
      <c r="F14536" s="4" t="n">
        <v>62785</v>
      </c>
    </row>
    <row r="14537">
      <c r="A14537" s="3" t="inlineStr">
        <is>
          <t>3</t>
        </is>
      </c>
      <c r="B14537" s="3" t="inlineStr">
        <is>
          <t>Kepala tukang</t>
        </is>
      </c>
      <c r="C14537" s="3" t="inlineStr">
        <is>
          <t>OH</t>
        </is>
      </c>
      <c r="D14537" s="15" t="n">
        <v>0.043</v>
      </c>
      <c r="E14537" s="4" t="n">
        <v>175000</v>
      </c>
      <c r="F14537" s="4" t="n">
        <v>7524.999999999999</v>
      </c>
    </row>
    <row r="14538">
      <c r="A14538" s="3" t="inlineStr">
        <is>
          <t>4</t>
        </is>
      </c>
      <c r="B14538" s="3" t="inlineStr">
        <is>
          <t>Mandor</t>
        </is>
      </c>
      <c r="C14538" s="3" t="inlineStr">
        <is>
          <t>OH</t>
        </is>
      </c>
      <c r="D14538" s="15" t="n">
        <v>0.013</v>
      </c>
      <c r="E14538" s="4" t="n">
        <v>200000</v>
      </c>
      <c r="F14538" s="4" t="n">
        <v>2600</v>
      </c>
    </row>
    <row r="14539">
      <c r="A14539" s="3" t="inlineStr">
        <is>
          <t>1</t>
        </is>
      </c>
      <c r="B14539" s="3" t="inlineStr">
        <is>
          <t>"Check Velve dia. 2-1/2"""</t>
        </is>
      </c>
      <c r="C14539" s="3" t="inlineStr">
        <is>
          <t>unit</t>
        </is>
      </c>
      <c r="D14539" s="15" t="n">
        <v>1.15</v>
      </c>
      <c r="E14539" s="4" t="n">
        <v>265000</v>
      </c>
      <c r="F14539" s="4" t="n">
        <v>304750</v>
      </c>
    </row>
    <row r="14540">
      <c r="D14540" s="2" t="inlineStr">
        <is>
          <t>SUBTOTAL UPAH</t>
        </is>
      </c>
      <c r="F14540" s="16" t="n">
        <v>98910</v>
      </c>
    </row>
    <row r="14541">
      <c r="D14541" s="2" t="inlineStr">
        <is>
          <t>SUBTOTAL BAHAN</t>
        </is>
      </c>
      <c r="F14541" s="16" t="n">
        <v>304750</v>
      </c>
    </row>
    <row r="14542">
      <c r="D14542" s="2" t="inlineStr">
        <is>
          <t>SUBTOTAL ALAT</t>
        </is>
      </c>
      <c r="F14542" s="16" t="n">
        <v>0</v>
      </c>
    </row>
    <row r="14543">
      <c r="E14543" s="2" t="inlineStr">
        <is>
          <t>TOTAL HARGA SATUAN (Inc. Overhead)</t>
        </is>
      </c>
      <c r="F14543" s="17" t="n">
        <v>444026</v>
      </c>
    </row>
    <row r="14545">
      <c r="A14545" s="14" t="inlineStr">
        <is>
          <t>KODE: 6.5.3.8 - Pemasangan 1 buah Check Velve (10,16) K, Dia. 3" (80 mm)</t>
        </is>
      </c>
    </row>
    <row r="14546">
      <c r="A14546" s="10" t="inlineStr">
        <is>
          <t>No</t>
        </is>
      </c>
      <c r="B14546" s="10" t="inlineStr">
        <is>
          <t>Uraian Komponen</t>
        </is>
      </c>
      <c r="C14546" s="10" t="inlineStr">
        <is>
          <t>Satuan</t>
        </is>
      </c>
      <c r="D14546" s="10" t="inlineStr">
        <is>
          <t>Koef</t>
        </is>
      </c>
      <c r="E14546" s="10" t="inlineStr">
        <is>
          <t>Harga Satuan (Rp)</t>
        </is>
      </c>
      <c r="F14546" s="10" t="inlineStr">
        <is>
          <t>Jumlah Harga (Rp)</t>
        </is>
      </c>
    </row>
    <row r="14547">
      <c r="A14547" s="3" t="inlineStr">
        <is>
          <t>1</t>
        </is>
      </c>
      <c r="B14547" s="3" t="inlineStr">
        <is>
          <t>Pekerja</t>
        </is>
      </c>
      <c r="C14547" s="3" t="inlineStr">
        <is>
          <t>OH</t>
        </is>
      </c>
      <c r="D14547" s="15" t="n">
        <v>0.471</v>
      </c>
      <c r="E14547" s="4" t="n">
        <v>100000</v>
      </c>
      <c r="F14547" s="4" t="n">
        <v>47100</v>
      </c>
    </row>
    <row r="14548">
      <c r="A14548" s="3" t="inlineStr">
        <is>
          <t>2</t>
        </is>
      </c>
      <c r="B14548" s="3" t="inlineStr">
        <is>
          <t>Tukang pipa</t>
        </is>
      </c>
      <c r="C14548" s="3" t="inlineStr">
        <is>
          <t>OH</t>
        </is>
      </c>
      <c r="D14548" s="15" t="n">
        <v>0.787</v>
      </c>
      <c r="E14548" s="4" t="n">
        <v>145000</v>
      </c>
      <c r="F14548" s="4" t="n">
        <v>114115</v>
      </c>
    </row>
    <row r="14549">
      <c r="A14549" s="3" t="inlineStr">
        <is>
          <t>3</t>
        </is>
      </c>
      <c r="B14549" s="3" t="inlineStr">
        <is>
          <t>Kepala tukang</t>
        </is>
      </c>
      <c r="C14549" s="3" t="inlineStr">
        <is>
          <t>OH</t>
        </is>
      </c>
      <c r="D14549" s="15" t="n">
        <v>0.079</v>
      </c>
      <c r="E14549" s="4" t="n">
        <v>175000</v>
      </c>
      <c r="F14549" s="4" t="n">
        <v>13825</v>
      </c>
    </row>
    <row r="14550">
      <c r="A14550" s="3" t="inlineStr">
        <is>
          <t>4</t>
        </is>
      </c>
      <c r="B14550" s="3" t="inlineStr">
        <is>
          <t>Mandor</t>
        </is>
      </c>
      <c r="C14550" s="3" t="inlineStr">
        <is>
          <t>OH</t>
        </is>
      </c>
      <c r="D14550" s="15" t="n">
        <v>0.024</v>
      </c>
      <c r="E14550" s="4" t="n">
        <v>200000</v>
      </c>
      <c r="F14550" s="4" t="n">
        <v>4800</v>
      </c>
    </row>
    <row r="14551">
      <c r="A14551" s="3" t="inlineStr">
        <is>
          <t>1</t>
        </is>
      </c>
      <c r="B14551" s="3" t="inlineStr">
        <is>
          <t>"Check Velve dia. 3"""</t>
        </is>
      </c>
      <c r="C14551" s="3" t="inlineStr">
        <is>
          <t>unit</t>
        </is>
      </c>
      <c r="D14551" s="15" t="n">
        <v>1.3</v>
      </c>
      <c r="E14551" s="4" t="n">
        <v>587000</v>
      </c>
      <c r="F14551" s="4" t="n">
        <v>763100</v>
      </c>
    </row>
    <row r="14552">
      <c r="D14552" s="2" t="inlineStr">
        <is>
          <t>SUBTOTAL UPAH</t>
        </is>
      </c>
      <c r="F14552" s="16" t="n">
        <v>179840</v>
      </c>
    </row>
    <row r="14553">
      <c r="D14553" s="2" t="inlineStr">
        <is>
          <t>SUBTOTAL BAHAN</t>
        </is>
      </c>
      <c r="F14553" s="16" t="n">
        <v>763100</v>
      </c>
    </row>
    <row r="14554">
      <c r="D14554" s="2" t="inlineStr">
        <is>
          <t>SUBTOTAL ALAT</t>
        </is>
      </c>
      <c r="F14554" s="16" t="n">
        <v>0</v>
      </c>
    </row>
    <row r="14555">
      <c r="E14555" s="2" t="inlineStr">
        <is>
          <t>TOTAL HARGA SATUAN (Inc. Overhead)</t>
        </is>
      </c>
      <c r="F14555" s="17" t="n">
        <v>1037234</v>
      </c>
    </row>
    <row r="14557">
      <c r="A14557" s="14" t="inlineStr">
        <is>
          <t>KODE: 6.5.3.9 - Pemasangan 1 buah Check Velve (10,16) K, Dia. 4" (100 mm)</t>
        </is>
      </c>
    </row>
    <row r="14558">
      <c r="A14558" s="10" t="inlineStr">
        <is>
          <t>No</t>
        </is>
      </c>
      <c r="B14558" s="10" t="inlineStr">
        <is>
          <t>Uraian Komponen</t>
        </is>
      </c>
      <c r="C14558" s="10" t="inlineStr">
        <is>
          <t>Satuan</t>
        </is>
      </c>
      <c r="D14558" s="10" t="inlineStr">
        <is>
          <t>Koef</t>
        </is>
      </c>
      <c r="E14558" s="10" t="inlineStr">
        <is>
          <t>Harga Satuan (Rp)</t>
        </is>
      </c>
      <c r="F14558" s="10" t="inlineStr">
        <is>
          <t>Jumlah Harga (Rp)</t>
        </is>
      </c>
    </row>
    <row r="14559">
      <c r="A14559" s="3" t="inlineStr">
        <is>
          <t>1</t>
        </is>
      </c>
      <c r="B14559" s="3" t="inlineStr">
        <is>
          <t>Pekerja</t>
        </is>
      </c>
      <c r="C14559" s="3" t="inlineStr">
        <is>
          <t>OH</t>
        </is>
      </c>
      <c r="D14559" s="15" t="n">
        <v>0.631</v>
      </c>
      <c r="E14559" s="4" t="n">
        <v>100000</v>
      </c>
      <c r="F14559" s="4" t="n">
        <v>63100</v>
      </c>
    </row>
    <row r="14560">
      <c r="A14560" s="3" t="inlineStr">
        <is>
          <t>2</t>
        </is>
      </c>
      <c r="B14560" s="3" t="inlineStr">
        <is>
          <t>Tukang pipa</t>
        </is>
      </c>
      <c r="C14560" s="3" t="inlineStr">
        <is>
          <t>OH</t>
        </is>
      </c>
      <c r="D14560" s="15" t="n">
        <v>1.054</v>
      </c>
      <c r="E14560" s="4" t="n">
        <v>145000</v>
      </c>
      <c r="F14560" s="4" t="n">
        <v>152830</v>
      </c>
    </row>
    <row r="14561">
      <c r="A14561" s="3" t="inlineStr">
        <is>
          <t>3</t>
        </is>
      </c>
      <c r="B14561" s="3" t="inlineStr">
        <is>
          <t>Kepala tukang</t>
        </is>
      </c>
      <c r="C14561" s="3" t="inlineStr">
        <is>
          <t>OH</t>
        </is>
      </c>
      <c r="D14561" s="15" t="n">
        <v>0.105</v>
      </c>
      <c r="E14561" s="4" t="n">
        <v>175000</v>
      </c>
      <c r="F14561" s="4" t="n">
        <v>18375</v>
      </c>
    </row>
    <row r="14562">
      <c r="A14562" s="3" t="inlineStr">
        <is>
          <t>4</t>
        </is>
      </c>
      <c r="B14562" s="3" t="inlineStr">
        <is>
          <t>Mandor</t>
        </is>
      </c>
      <c r="C14562" s="3" t="inlineStr">
        <is>
          <t>OH</t>
        </is>
      </c>
      <c r="D14562" s="15" t="n">
        <v>0.032</v>
      </c>
      <c r="E14562" s="4" t="n">
        <v>200000</v>
      </c>
      <c r="F14562" s="4" t="n">
        <v>6400</v>
      </c>
    </row>
    <row r="14563">
      <c r="A14563" s="3" t="inlineStr">
        <is>
          <t>1</t>
        </is>
      </c>
      <c r="B14563" s="3" t="inlineStr">
        <is>
          <t>"Check Velve dia. 4"""</t>
        </is>
      </c>
      <c r="C14563" s="3" t="inlineStr">
        <is>
          <t>unit</t>
        </is>
      </c>
      <c r="D14563" s="15" t="n">
        <v>1.3</v>
      </c>
      <c r="E14563" s="4" t="n">
        <v>1440000</v>
      </c>
      <c r="F14563" s="4" t="n">
        <v>1872000</v>
      </c>
    </row>
    <row r="14564">
      <c r="D14564" s="2" t="inlineStr">
        <is>
          <t>SUBTOTAL UPAH</t>
        </is>
      </c>
      <c r="F14564" s="16" t="n">
        <v>240705</v>
      </c>
    </row>
    <row r="14565">
      <c r="D14565" s="2" t="inlineStr">
        <is>
          <t>SUBTOTAL BAHAN</t>
        </is>
      </c>
      <c r="F14565" s="16" t="n">
        <v>1872000</v>
      </c>
    </row>
    <row r="14566">
      <c r="D14566" s="2" t="inlineStr">
        <is>
          <t>SUBTOTAL ALAT</t>
        </is>
      </c>
      <c r="F14566" s="16" t="n">
        <v>0</v>
      </c>
    </row>
    <row r="14567">
      <c r="E14567" s="2" t="inlineStr">
        <is>
          <t>TOTAL HARGA SATUAN (Inc. Overhead)</t>
        </is>
      </c>
      <c r="F14567" s="17" t="n">
        <v>2323975</v>
      </c>
    </row>
    <row r="14569">
      <c r="A14569" s="14" t="inlineStr">
        <is>
          <t>KODE: 6.5.3.10 - Pemasangan 1 buah Check Velve (10, 16) K, Dia. 5" (125 mm)</t>
        </is>
      </c>
    </row>
    <row r="14570">
      <c r="A14570" s="10" t="inlineStr">
        <is>
          <t>No</t>
        </is>
      </c>
      <c r="B14570" s="10" t="inlineStr">
        <is>
          <t>Uraian Komponen</t>
        </is>
      </c>
      <c r="C14570" s="10" t="inlineStr">
        <is>
          <t>Satuan</t>
        </is>
      </c>
      <c r="D14570" s="10" t="inlineStr">
        <is>
          <t>Koef</t>
        </is>
      </c>
      <c r="E14570" s="10" t="inlineStr">
        <is>
          <t>Harga Satuan (Rp)</t>
        </is>
      </c>
      <c r="F14570" s="10" t="inlineStr">
        <is>
          <t>Jumlah Harga (Rp)</t>
        </is>
      </c>
    </row>
    <row r="14571">
      <c r="A14571" s="3" t="inlineStr">
        <is>
          <t>1</t>
        </is>
      </c>
      <c r="B14571" s="3" t="inlineStr">
        <is>
          <t>Pekerja</t>
        </is>
      </c>
      <c r="C14571" s="3" t="inlineStr">
        <is>
          <t>OH</t>
        </is>
      </c>
      <c r="D14571" s="15" t="n">
        <v>0.788</v>
      </c>
      <c r="E14571" s="4" t="n">
        <v>100000</v>
      </c>
      <c r="F14571" s="4" t="n">
        <v>78800</v>
      </c>
    </row>
    <row r="14572">
      <c r="A14572" s="3" t="inlineStr">
        <is>
          <t>2</t>
        </is>
      </c>
      <c r="B14572" s="3" t="inlineStr">
        <is>
          <t>Tukang pipa</t>
        </is>
      </c>
      <c r="C14572" s="3" t="inlineStr">
        <is>
          <t>OH</t>
        </is>
      </c>
      <c r="D14572" s="15" t="n">
        <v>1.316</v>
      </c>
      <c r="E14572" s="4" t="n">
        <v>145000</v>
      </c>
      <c r="F14572" s="4" t="n">
        <v>190820</v>
      </c>
    </row>
    <row r="14573">
      <c r="A14573" s="3" t="inlineStr">
        <is>
          <t>3</t>
        </is>
      </c>
      <c r="B14573" s="3" t="inlineStr">
        <is>
          <t>Kepala tukang</t>
        </is>
      </c>
      <c r="C14573" s="3" t="inlineStr">
        <is>
          <t>OH</t>
        </is>
      </c>
      <c r="D14573" s="15" t="n">
        <v>0.132</v>
      </c>
      <c r="E14573" s="4" t="n">
        <v>175000</v>
      </c>
      <c r="F14573" s="4" t="n">
        <v>23100</v>
      </c>
    </row>
    <row r="14574">
      <c r="A14574" s="3" t="inlineStr">
        <is>
          <t>4</t>
        </is>
      </c>
      <c r="B14574" s="3" t="inlineStr">
        <is>
          <t>Mandor</t>
        </is>
      </c>
      <c r="C14574" s="3" t="inlineStr">
        <is>
          <t>OH</t>
        </is>
      </c>
      <c r="D14574" s="15" t="n">
        <v>0.039</v>
      </c>
      <c r="E14574" s="4" t="n">
        <v>200000</v>
      </c>
      <c r="F14574" s="4" t="n">
        <v>7800</v>
      </c>
    </row>
    <row r="14575">
      <c r="A14575" s="3" t="inlineStr">
        <is>
          <t>1</t>
        </is>
      </c>
      <c r="B14575" s="3" t="inlineStr">
        <is>
          <t>"Check Velve dia. 5"""</t>
        </is>
      </c>
      <c r="C14575" s="3" t="inlineStr">
        <is>
          <t>unit</t>
        </is>
      </c>
      <c r="D14575" s="15" t="n">
        <v>1.3</v>
      </c>
      <c r="E14575" s="4" t="n">
        <v>2750000</v>
      </c>
      <c r="F14575" s="4" t="n">
        <v>3575000</v>
      </c>
    </row>
    <row r="14576">
      <c r="D14576" s="2" t="inlineStr">
        <is>
          <t>SUBTOTAL UPAH</t>
        </is>
      </c>
      <c r="F14576" s="16" t="n">
        <v>300520</v>
      </c>
    </row>
    <row r="14577">
      <c r="D14577" s="2" t="inlineStr">
        <is>
          <t>SUBTOTAL BAHAN</t>
        </is>
      </c>
      <c r="F14577" s="16" t="n">
        <v>3575000</v>
      </c>
    </row>
    <row r="14578">
      <c r="D14578" s="2" t="inlineStr">
        <is>
          <t>SUBTOTAL ALAT</t>
        </is>
      </c>
      <c r="F14578" s="16" t="n">
        <v>0</v>
      </c>
    </row>
    <row r="14579">
      <c r="E14579" s="2" t="inlineStr">
        <is>
          <t>TOTAL HARGA SATUAN (Inc. Overhead)</t>
        </is>
      </c>
      <c r="F14579" s="17" t="n">
        <v>4263072</v>
      </c>
    </row>
    <row r="14581">
      <c r="A14581" s="14" t="inlineStr">
        <is>
          <t>KODE: 6.5.3.11 - Pemasangan 1 buah Check Velve (10, 16) K, Dia. 6" (150 mm)</t>
        </is>
      </c>
    </row>
    <row r="14582">
      <c r="A14582" s="10" t="inlineStr">
        <is>
          <t>No</t>
        </is>
      </c>
      <c r="B14582" s="10" t="inlineStr">
        <is>
          <t>Uraian Komponen</t>
        </is>
      </c>
      <c r="C14582" s="10" t="inlineStr">
        <is>
          <t>Satuan</t>
        </is>
      </c>
      <c r="D14582" s="10" t="inlineStr">
        <is>
          <t>Koef</t>
        </is>
      </c>
      <c r="E14582" s="10" t="inlineStr">
        <is>
          <t>Harga Satuan (Rp)</t>
        </is>
      </c>
      <c r="F14582" s="10" t="inlineStr">
        <is>
          <t>Jumlah Harga (Rp)</t>
        </is>
      </c>
    </row>
    <row r="14583">
      <c r="A14583" s="3" t="inlineStr">
        <is>
          <t>1</t>
        </is>
      </c>
      <c r="B14583" s="3" t="inlineStr">
        <is>
          <t>Pekerja</t>
        </is>
      </c>
      <c r="C14583" s="3" t="inlineStr">
        <is>
          <t>OH</t>
        </is>
      </c>
      <c r="D14583" s="15" t="n">
        <v>0.945</v>
      </c>
      <c r="E14583" s="4" t="n">
        <v>100000</v>
      </c>
      <c r="F14583" s="4" t="n">
        <v>94500</v>
      </c>
    </row>
    <row r="14584">
      <c r="A14584" s="3" t="inlineStr">
        <is>
          <t>2</t>
        </is>
      </c>
      <c r="B14584" s="3" t="inlineStr">
        <is>
          <t>Tukang pipa</t>
        </is>
      </c>
      <c r="C14584" s="3" t="inlineStr">
        <is>
          <t>OH</t>
        </is>
      </c>
      <c r="D14584" s="15" t="n">
        <v>1.579</v>
      </c>
      <c r="E14584" s="4" t="n">
        <v>145000</v>
      </c>
      <c r="F14584" s="4" t="n">
        <v>228955</v>
      </c>
    </row>
    <row r="14585">
      <c r="A14585" s="3" t="inlineStr">
        <is>
          <t>3</t>
        </is>
      </c>
      <c r="B14585" s="3" t="inlineStr">
        <is>
          <t>Kepala tukang</t>
        </is>
      </c>
      <c r="C14585" s="3" t="inlineStr">
        <is>
          <t>OH</t>
        </is>
      </c>
      <c r="D14585" s="15" t="n">
        <v>0.158</v>
      </c>
      <c r="E14585" s="4" t="n">
        <v>175000</v>
      </c>
      <c r="F14585" s="4" t="n">
        <v>27650</v>
      </c>
    </row>
    <row r="14586">
      <c r="A14586" s="3" t="inlineStr">
        <is>
          <t>4</t>
        </is>
      </c>
      <c r="B14586" s="3" t="inlineStr">
        <is>
          <t>Mandor</t>
        </is>
      </c>
      <c r="C14586" s="3" t="inlineStr">
        <is>
          <t>OH</t>
        </is>
      </c>
      <c r="D14586" s="15" t="n">
        <v>0.047</v>
      </c>
      <c r="E14586" s="4" t="n">
        <v>200000</v>
      </c>
      <c r="F14586" s="4" t="n">
        <v>9400</v>
      </c>
    </row>
    <row r="14587">
      <c r="A14587" s="3" t="inlineStr">
        <is>
          <t>1</t>
        </is>
      </c>
      <c r="B14587" s="3" t="inlineStr">
        <is>
          <t>"Check Velve dia. 6"""</t>
        </is>
      </c>
      <c r="C14587" s="3" t="inlineStr">
        <is>
          <t>unit</t>
        </is>
      </c>
      <c r="D14587" s="15" t="n">
        <v>1.3</v>
      </c>
      <c r="E14587" s="4" t="n">
        <v>3050000</v>
      </c>
      <c r="F14587" s="4" t="n">
        <v>3965000</v>
      </c>
    </row>
    <row r="14588">
      <c r="D14588" s="2" t="inlineStr">
        <is>
          <t>SUBTOTAL UPAH</t>
        </is>
      </c>
      <c r="F14588" s="16" t="n">
        <v>360505</v>
      </c>
    </row>
    <row r="14589">
      <c r="D14589" s="2" t="inlineStr">
        <is>
          <t>SUBTOTAL BAHAN</t>
        </is>
      </c>
      <c r="F14589" s="16" t="n">
        <v>3965000</v>
      </c>
    </row>
    <row r="14590">
      <c r="D14590" s="2" t="inlineStr">
        <is>
          <t>SUBTOTAL ALAT</t>
        </is>
      </c>
      <c r="F14590" s="16" t="n">
        <v>0</v>
      </c>
    </row>
    <row r="14591">
      <c r="E14591" s="2" t="inlineStr">
        <is>
          <t>TOTAL HARGA SATUAN (Inc. Overhead)</t>
        </is>
      </c>
      <c r="F14591" s="17" t="n">
        <v>4758055</v>
      </c>
    </row>
    <row r="14593">
      <c r="A14593" s="14" t="inlineStr">
        <is>
          <t>KODE: 6.5.3.12 - Pemasangan 1 buah Check Velve (10, 16) K, Dia. 8" (200 mm)</t>
        </is>
      </c>
    </row>
    <row r="14594">
      <c r="A14594" s="10" t="inlineStr">
        <is>
          <t>No</t>
        </is>
      </c>
      <c r="B14594" s="10" t="inlineStr">
        <is>
          <t>Uraian Komponen</t>
        </is>
      </c>
      <c r="C14594" s="10" t="inlineStr">
        <is>
          <t>Satuan</t>
        </is>
      </c>
      <c r="D14594" s="10" t="inlineStr">
        <is>
          <t>Koef</t>
        </is>
      </c>
      <c r="E14594" s="10" t="inlineStr">
        <is>
          <t>Harga Satuan (Rp)</t>
        </is>
      </c>
      <c r="F14594" s="10" t="inlineStr">
        <is>
          <t>Jumlah Harga (Rp)</t>
        </is>
      </c>
    </row>
    <row r="14595">
      <c r="A14595" s="3" t="inlineStr">
        <is>
          <t>1</t>
        </is>
      </c>
      <c r="B14595" s="3" t="inlineStr">
        <is>
          <t>Pekerja</t>
        </is>
      </c>
      <c r="C14595" s="3" t="inlineStr">
        <is>
          <t>OH</t>
        </is>
      </c>
      <c r="D14595" s="15" t="n">
        <v>1.26</v>
      </c>
      <c r="E14595" s="4" t="n">
        <v>100000</v>
      </c>
      <c r="F14595" s="4" t="n">
        <v>126000</v>
      </c>
    </row>
    <row r="14596">
      <c r="A14596" s="3" t="inlineStr">
        <is>
          <t>2</t>
        </is>
      </c>
      <c r="B14596" s="3" t="inlineStr">
        <is>
          <t>Tukang pipa</t>
        </is>
      </c>
      <c r="C14596" s="3" t="inlineStr">
        <is>
          <t>OH</t>
        </is>
      </c>
      <c r="D14596" s="15" t="n">
        <v>2.103</v>
      </c>
      <c r="E14596" s="4" t="n">
        <v>145000</v>
      </c>
      <c r="F14596" s="4" t="n">
        <v>304935.0000000001</v>
      </c>
    </row>
    <row r="14597">
      <c r="A14597" s="3" t="inlineStr">
        <is>
          <t>3</t>
        </is>
      </c>
      <c r="B14597" s="3" t="inlineStr">
        <is>
          <t>Kepala tukang</t>
        </is>
      </c>
      <c r="C14597" s="3" t="inlineStr">
        <is>
          <t>OH</t>
        </is>
      </c>
      <c r="D14597" s="15" t="n">
        <v>0.21</v>
      </c>
      <c r="E14597" s="4" t="n">
        <v>175000</v>
      </c>
      <c r="F14597" s="4" t="n">
        <v>36750</v>
      </c>
    </row>
    <row r="14598">
      <c r="A14598" s="3" t="inlineStr">
        <is>
          <t>4</t>
        </is>
      </c>
      <c r="B14598" s="3" t="inlineStr">
        <is>
          <t>Mandor</t>
        </is>
      </c>
      <c r="C14598" s="3" t="inlineStr">
        <is>
          <t>OH</t>
        </is>
      </c>
      <c r="D14598" s="15" t="n">
        <v>0.063</v>
      </c>
      <c r="E14598" s="4" t="n">
        <v>200000</v>
      </c>
      <c r="F14598" s="4" t="n">
        <v>12600</v>
      </c>
    </row>
    <row r="14599">
      <c r="A14599" s="3" t="inlineStr">
        <is>
          <t>1</t>
        </is>
      </c>
      <c r="B14599" s="3" t="inlineStr">
        <is>
          <t>"Check Velve dia. 8"""</t>
        </is>
      </c>
      <c r="C14599" s="3" t="inlineStr">
        <is>
          <t>unit</t>
        </is>
      </c>
      <c r="D14599" s="15" t="n">
        <v>1.3</v>
      </c>
      <c r="E14599" s="4" t="n">
        <v>3470000</v>
      </c>
      <c r="F14599" s="4" t="n">
        <v>4511000</v>
      </c>
    </row>
    <row r="14600">
      <c r="D14600" s="2" t="inlineStr">
        <is>
          <t>SUBTOTAL UPAH</t>
        </is>
      </c>
      <c r="F14600" s="16" t="n">
        <v>480285.0000000001</v>
      </c>
    </row>
    <row r="14601">
      <c r="D14601" s="2" t="inlineStr">
        <is>
          <t>SUBTOTAL BAHAN</t>
        </is>
      </c>
      <c r="F14601" s="16" t="n">
        <v>4511000</v>
      </c>
    </row>
    <row r="14602">
      <c r="D14602" s="2" t="inlineStr">
        <is>
          <t>SUBTOTAL ALAT</t>
        </is>
      </c>
      <c r="F14602" s="16" t="n">
        <v>0</v>
      </c>
    </row>
    <row r="14603">
      <c r="E14603" s="2" t="inlineStr">
        <is>
          <t>TOTAL HARGA SATUAN (Inc. Overhead)</t>
        </is>
      </c>
      <c r="F14603" s="17" t="n">
        <v>5490413</v>
      </c>
    </row>
    <row r="14605">
      <c r="A14605" s="14" t="inlineStr">
        <is>
          <t>KODE: 6.5.3.13 - Pemasangan 1 buah Check Velve (10,16)  K, Dia. 10" (250 mm)</t>
        </is>
      </c>
    </row>
    <row r="14606">
      <c r="A14606" s="10" t="inlineStr">
        <is>
          <t>No</t>
        </is>
      </c>
      <c r="B14606" s="10" t="inlineStr">
        <is>
          <t>Uraian Komponen</t>
        </is>
      </c>
      <c r="C14606" s="10" t="inlineStr">
        <is>
          <t>Satuan</t>
        </is>
      </c>
      <c r="D14606" s="10" t="inlineStr">
        <is>
          <t>Koef</t>
        </is>
      </c>
      <c r="E14606" s="10" t="inlineStr">
        <is>
          <t>Harga Satuan (Rp)</t>
        </is>
      </c>
      <c r="F14606" s="10" t="inlineStr">
        <is>
          <t>Jumlah Harga (Rp)</t>
        </is>
      </c>
    </row>
    <row r="14607">
      <c r="A14607" s="3" t="inlineStr">
        <is>
          <t>1</t>
        </is>
      </c>
      <c r="B14607" s="3" t="inlineStr">
        <is>
          <t>Pekerja</t>
        </is>
      </c>
      <c r="C14607" s="3" t="inlineStr">
        <is>
          <t>OH</t>
        </is>
      </c>
      <c r="D14607" s="15" t="n">
        <v>1.574</v>
      </c>
      <c r="E14607" s="4" t="n">
        <v>100000</v>
      </c>
      <c r="F14607" s="4" t="n">
        <v>157400</v>
      </c>
    </row>
    <row r="14608">
      <c r="A14608" s="3" t="inlineStr">
        <is>
          <t>2</t>
        </is>
      </c>
      <c r="B14608" s="3" t="inlineStr">
        <is>
          <t>Tukang pipa</t>
        </is>
      </c>
      <c r="C14608" s="3" t="inlineStr">
        <is>
          <t>OH</t>
        </is>
      </c>
      <c r="D14608" s="15" t="n">
        <v>2.628</v>
      </c>
      <c r="E14608" s="4" t="n">
        <v>145000</v>
      </c>
      <c r="F14608" s="4" t="n">
        <v>381060</v>
      </c>
    </row>
    <row r="14609">
      <c r="A14609" s="3" t="inlineStr">
        <is>
          <t>3</t>
        </is>
      </c>
      <c r="B14609" s="3" t="inlineStr">
        <is>
          <t>Kepala tukang</t>
        </is>
      </c>
      <c r="C14609" s="3" t="inlineStr">
        <is>
          <t>OH</t>
        </is>
      </c>
      <c r="D14609" s="15" t="n">
        <v>0.263</v>
      </c>
      <c r="E14609" s="4" t="n">
        <v>175000</v>
      </c>
      <c r="F14609" s="4" t="n">
        <v>46025</v>
      </c>
    </row>
    <row r="14610">
      <c r="A14610" s="3" t="inlineStr">
        <is>
          <t>4</t>
        </is>
      </c>
      <c r="B14610" s="3" t="inlineStr">
        <is>
          <t>Mandor</t>
        </is>
      </c>
      <c r="C14610" s="3" t="inlineStr">
        <is>
          <t>OH</t>
        </is>
      </c>
      <c r="D14610" s="15" t="n">
        <v>0.079</v>
      </c>
      <c r="E14610" s="4" t="n">
        <v>200000</v>
      </c>
      <c r="F14610" s="4" t="n">
        <v>15800</v>
      </c>
    </row>
    <row r="14611">
      <c r="A14611" s="3" t="inlineStr">
        <is>
          <t>1</t>
        </is>
      </c>
      <c r="B14611" s="3" t="inlineStr">
        <is>
          <t>"Check Velve dia. 10"""</t>
        </is>
      </c>
      <c r="C14611" s="3" t="inlineStr">
        <is>
          <t>unit</t>
        </is>
      </c>
      <c r="D14611" s="15" t="n">
        <v>1.3</v>
      </c>
      <c r="E14611" s="4" t="n">
        <v>3680000</v>
      </c>
      <c r="F14611" s="4" t="n">
        <v>4784000</v>
      </c>
    </row>
    <row r="14612">
      <c r="D14612" s="2" t="inlineStr">
        <is>
          <t>SUBTOTAL UPAH</t>
        </is>
      </c>
      <c r="F14612" s="16" t="n">
        <v>600285</v>
      </c>
    </row>
    <row r="14613">
      <c r="D14613" s="2" t="inlineStr">
        <is>
          <t>SUBTOTAL BAHAN</t>
        </is>
      </c>
      <c r="F14613" s="16" t="n">
        <v>4784000</v>
      </c>
    </row>
    <row r="14614">
      <c r="D14614" s="2" t="inlineStr">
        <is>
          <t>SUBTOTAL ALAT</t>
        </is>
      </c>
      <c r="F14614" s="16" t="n">
        <v>0</v>
      </c>
    </row>
    <row r="14615">
      <c r="E14615" s="2" t="inlineStr">
        <is>
          <t>TOTAL HARGA SATUAN (Inc. Overhead)</t>
        </is>
      </c>
      <c r="F14615" s="17" t="n">
        <v>5922713</v>
      </c>
    </row>
    <row r="14617">
      <c r="A14617" s="14" t="inlineStr">
        <is>
          <t>KODE: 6.5.3.14 - Pemasangan 1 buah Check Velve (10, 16) K, Dia. 12" (300 mm)</t>
        </is>
      </c>
    </row>
    <row r="14618">
      <c r="A14618" s="10" t="inlineStr">
        <is>
          <t>No</t>
        </is>
      </c>
      <c r="B14618" s="10" t="inlineStr">
        <is>
          <t>Uraian Komponen</t>
        </is>
      </c>
      <c r="C14618" s="10" t="inlineStr">
        <is>
          <t>Satuan</t>
        </is>
      </c>
      <c r="D14618" s="10" t="inlineStr">
        <is>
          <t>Koef</t>
        </is>
      </c>
      <c r="E14618" s="10" t="inlineStr">
        <is>
          <t>Harga Satuan (Rp)</t>
        </is>
      </c>
      <c r="F14618" s="10" t="inlineStr">
        <is>
          <t>Jumlah Harga (Rp)</t>
        </is>
      </c>
    </row>
    <row r="14619">
      <c r="A14619" s="3" t="inlineStr">
        <is>
          <t>1</t>
        </is>
      </c>
      <c r="B14619" s="3" t="inlineStr">
        <is>
          <t>Pekerja</t>
        </is>
      </c>
      <c r="C14619" s="3" t="inlineStr">
        <is>
          <t>OH</t>
        </is>
      </c>
      <c r="D14619" s="15" t="n">
        <v>1.886</v>
      </c>
      <c r="E14619" s="4" t="n">
        <v>100000</v>
      </c>
      <c r="F14619" s="4" t="n">
        <v>188600</v>
      </c>
    </row>
    <row r="14620">
      <c r="A14620" s="3" t="inlineStr">
        <is>
          <t>2</t>
        </is>
      </c>
      <c r="B14620" s="3" t="inlineStr">
        <is>
          <t>Tukang pipa</t>
        </is>
      </c>
      <c r="C14620" s="3" t="inlineStr">
        <is>
          <t>OH</t>
        </is>
      </c>
      <c r="D14620" s="15" t="n">
        <v>3.149</v>
      </c>
      <c r="E14620" s="4" t="n">
        <v>145000</v>
      </c>
      <c r="F14620" s="4" t="n">
        <v>456605</v>
      </c>
    </row>
    <row r="14621">
      <c r="A14621" s="3" t="inlineStr">
        <is>
          <t>3</t>
        </is>
      </c>
      <c r="B14621" s="3" t="inlineStr">
        <is>
          <t>Kepala tukang</t>
        </is>
      </c>
      <c r="C14621" s="3" t="inlineStr">
        <is>
          <t>OH</t>
        </is>
      </c>
      <c r="D14621" s="15" t="n">
        <v>0.315</v>
      </c>
      <c r="E14621" s="4" t="n">
        <v>175000</v>
      </c>
      <c r="F14621" s="4" t="n">
        <v>55125</v>
      </c>
    </row>
    <row r="14622">
      <c r="A14622" s="3" t="inlineStr">
        <is>
          <t>4</t>
        </is>
      </c>
      <c r="B14622" s="3" t="inlineStr">
        <is>
          <t>Mandor</t>
        </is>
      </c>
      <c r="C14622" s="3" t="inlineStr">
        <is>
          <t>OH</t>
        </is>
      </c>
      <c r="D14622" s="15" t="n">
        <v>0.094</v>
      </c>
      <c r="E14622" s="4" t="n">
        <v>200000</v>
      </c>
      <c r="F14622" s="4" t="n">
        <v>18800</v>
      </c>
    </row>
    <row r="14623">
      <c r="A14623" s="3" t="inlineStr">
        <is>
          <t>1</t>
        </is>
      </c>
      <c r="B14623" s="3" t="inlineStr">
        <is>
          <t>"Check Velve dia. 12"""</t>
        </is>
      </c>
      <c r="C14623" s="3" t="inlineStr">
        <is>
          <t>unit</t>
        </is>
      </c>
      <c r="D14623" s="15" t="n">
        <v>1.3</v>
      </c>
      <c r="E14623" s="4" t="n">
        <v>3970000</v>
      </c>
      <c r="F14623" s="4" t="n">
        <v>5161000</v>
      </c>
    </row>
    <row r="14624">
      <c r="D14624" s="2" t="inlineStr">
        <is>
          <t>SUBTOTAL UPAH</t>
        </is>
      </c>
      <c r="F14624" s="16" t="n">
        <v>719130</v>
      </c>
    </row>
    <row r="14625">
      <c r="D14625" s="2" t="inlineStr">
        <is>
          <t>SUBTOTAL BAHAN</t>
        </is>
      </c>
      <c r="F14625" s="16" t="n">
        <v>5161000</v>
      </c>
    </row>
    <row r="14626">
      <c r="D14626" s="2" t="inlineStr">
        <is>
          <t>SUBTOTAL ALAT</t>
        </is>
      </c>
      <c r="F14626" s="16" t="n">
        <v>0</v>
      </c>
    </row>
    <row r="14627">
      <c r="E14627" s="2" t="inlineStr">
        <is>
          <t>TOTAL HARGA SATUAN (Inc. Overhead)</t>
        </is>
      </c>
      <c r="F14627" s="17" t="n">
        <v>6468143</v>
      </c>
    </row>
    <row r="14629">
      <c r="A14629" s="14" t="inlineStr">
        <is>
          <t>KODE: 6.5.4.1 - Pemasangan 1 buah strainer 10 K, Dia. 1/2 " (15 mm)</t>
        </is>
      </c>
    </row>
    <row r="14630">
      <c r="A14630" s="10" t="inlineStr">
        <is>
          <t>No</t>
        </is>
      </c>
      <c r="B14630" s="10" t="inlineStr">
        <is>
          <t>Uraian Komponen</t>
        </is>
      </c>
      <c r="C14630" s="10" t="inlineStr">
        <is>
          <t>Satuan</t>
        </is>
      </c>
      <c r="D14630" s="10" t="inlineStr">
        <is>
          <t>Koef</t>
        </is>
      </c>
      <c r="E14630" s="10" t="inlineStr">
        <is>
          <t>Harga Satuan (Rp)</t>
        </is>
      </c>
      <c r="F14630" s="10" t="inlineStr">
        <is>
          <t>Jumlah Harga (Rp)</t>
        </is>
      </c>
    </row>
    <row r="14631">
      <c r="A14631" s="3" t="inlineStr">
        <is>
          <t>1</t>
        </is>
      </c>
      <c r="B14631" s="3" t="inlineStr">
        <is>
          <t>Pekerja</t>
        </is>
      </c>
      <c r="C14631" s="3" t="inlineStr">
        <is>
          <t>OH</t>
        </is>
      </c>
      <c r="D14631" s="15" t="n">
        <v>0.052</v>
      </c>
      <c r="E14631" s="4" t="n">
        <v>100000</v>
      </c>
      <c r="F14631" s="4" t="n">
        <v>5200</v>
      </c>
    </row>
    <row r="14632">
      <c r="A14632" s="3" t="inlineStr">
        <is>
          <t>2</t>
        </is>
      </c>
      <c r="B14632" s="3" t="inlineStr">
        <is>
          <t>Tukang pipa</t>
        </is>
      </c>
      <c r="C14632" s="3" t="inlineStr">
        <is>
          <t>OH</t>
        </is>
      </c>
      <c r="D14632" s="15" t="n">
        <v>0.08699999999999999</v>
      </c>
      <c r="E14632" s="4" t="n">
        <v>145000</v>
      </c>
      <c r="F14632" s="4" t="n">
        <v>12615</v>
      </c>
    </row>
    <row r="14633">
      <c r="A14633" s="3" t="inlineStr">
        <is>
          <t>3</t>
        </is>
      </c>
      <c r="B14633" s="3" t="inlineStr">
        <is>
          <t>Kepala tukang</t>
        </is>
      </c>
      <c r="C14633" s="3" t="inlineStr">
        <is>
          <t>OH</t>
        </is>
      </c>
      <c r="D14633" s="15" t="n">
        <v>0.008999999999999999</v>
      </c>
      <c r="E14633" s="4" t="n">
        <v>175000</v>
      </c>
      <c r="F14633" s="4" t="n">
        <v>1575</v>
      </c>
    </row>
    <row r="14634">
      <c r="A14634" s="3" t="inlineStr">
        <is>
          <t>4</t>
        </is>
      </c>
      <c r="B14634" s="3" t="inlineStr">
        <is>
          <t>Mandor</t>
        </is>
      </c>
      <c r="C14634" s="3" t="inlineStr">
        <is>
          <t>OH</t>
        </is>
      </c>
      <c r="D14634" s="15" t="n">
        <v>0.003</v>
      </c>
      <c r="E14634" s="4" t="n">
        <v>200000</v>
      </c>
      <c r="F14634" s="4" t="n">
        <v>600</v>
      </c>
    </row>
    <row r="14635">
      <c r="A14635" s="3" t="inlineStr">
        <is>
          <t>1</t>
        </is>
      </c>
      <c r="B14635" s="3" t="inlineStr">
        <is>
          <t>"Strainer dia. 1/2"""</t>
        </is>
      </c>
      <c r="C14635" s="3" t="inlineStr">
        <is>
          <t>unit</t>
        </is>
      </c>
      <c r="D14635" s="15" t="n">
        <v>1.15</v>
      </c>
      <c r="E14635" s="4" t="n">
        <v>36000</v>
      </c>
      <c r="F14635" s="4" t="n">
        <v>41400</v>
      </c>
    </row>
    <row r="14636">
      <c r="D14636" s="2" t="inlineStr">
        <is>
          <t>SUBTOTAL UPAH</t>
        </is>
      </c>
      <c r="F14636" s="16" t="n">
        <v>19990</v>
      </c>
    </row>
    <row r="14637">
      <c r="D14637" s="2" t="inlineStr">
        <is>
          <t>SUBTOTAL BAHAN</t>
        </is>
      </c>
      <c r="F14637" s="16" t="n">
        <v>41400</v>
      </c>
    </row>
    <row r="14638">
      <c r="D14638" s="2" t="inlineStr">
        <is>
          <t>SUBTOTAL ALAT</t>
        </is>
      </c>
      <c r="F14638" s="16" t="n">
        <v>0</v>
      </c>
    </row>
    <row r="14639">
      <c r="E14639" s="2" t="inlineStr">
        <is>
          <t>TOTAL HARGA SATUAN (Inc. Overhead)</t>
        </is>
      </c>
      <c r="F14639" s="17" t="n">
        <v>67529</v>
      </c>
    </row>
    <row r="14641">
      <c r="A14641" s="14" t="inlineStr">
        <is>
          <t>KODE: 6.5.4.2 - Pemasangan 1 buah strainer 10 K, Dia. 3/4 " (20 mm)</t>
        </is>
      </c>
    </row>
    <row r="14642">
      <c r="A14642" s="10" t="inlineStr">
        <is>
          <t>No</t>
        </is>
      </c>
      <c r="B14642" s="10" t="inlineStr">
        <is>
          <t>Uraian Komponen</t>
        </is>
      </c>
      <c r="C14642" s="10" t="inlineStr">
        <is>
          <t>Satuan</t>
        </is>
      </c>
      <c r="D14642" s="10" t="inlineStr">
        <is>
          <t>Koef</t>
        </is>
      </c>
      <c r="E14642" s="10" t="inlineStr">
        <is>
          <t>Harga Satuan (Rp)</t>
        </is>
      </c>
      <c r="F14642" s="10" t="inlineStr">
        <is>
          <t>Jumlah Harga (Rp)</t>
        </is>
      </c>
    </row>
    <row r="14643">
      <c r="A14643" s="3" t="inlineStr">
        <is>
          <t>1</t>
        </is>
      </c>
      <c r="B14643" s="3" t="inlineStr">
        <is>
          <t>Pekerja</t>
        </is>
      </c>
      <c r="C14643" s="3" t="inlineStr">
        <is>
          <t>OH</t>
        </is>
      </c>
      <c r="D14643" s="15" t="n">
        <v>0.079</v>
      </c>
      <c r="E14643" s="4" t="n">
        <v>100000</v>
      </c>
      <c r="F14643" s="4" t="n">
        <v>7900</v>
      </c>
    </row>
    <row r="14644">
      <c r="A14644" s="3" t="inlineStr">
        <is>
          <t>2</t>
        </is>
      </c>
      <c r="B14644" s="3" t="inlineStr">
        <is>
          <t>Tukang pipa</t>
        </is>
      </c>
      <c r="C14644" s="3" t="inlineStr">
        <is>
          <t>OH</t>
        </is>
      </c>
      <c r="D14644" s="15" t="n">
        <v>0.131</v>
      </c>
      <c r="E14644" s="4" t="n">
        <v>145000</v>
      </c>
      <c r="F14644" s="4" t="n">
        <v>18995</v>
      </c>
    </row>
    <row r="14645">
      <c r="A14645" s="3" t="inlineStr">
        <is>
          <t>3</t>
        </is>
      </c>
      <c r="B14645" s="3" t="inlineStr">
        <is>
          <t>Kepala tukang</t>
        </is>
      </c>
      <c r="C14645" s="3" t="inlineStr">
        <is>
          <t>OH</t>
        </is>
      </c>
      <c r="D14645" s="15" t="n">
        <v>0.013</v>
      </c>
      <c r="E14645" s="4" t="n">
        <v>175000</v>
      </c>
      <c r="F14645" s="4" t="n">
        <v>2275</v>
      </c>
    </row>
    <row r="14646">
      <c r="A14646" s="3" t="inlineStr">
        <is>
          <t>4</t>
        </is>
      </c>
      <c r="B14646" s="3" t="inlineStr">
        <is>
          <t>Mandor</t>
        </is>
      </c>
      <c r="C14646" s="3" t="inlineStr">
        <is>
          <t>OH</t>
        </is>
      </c>
      <c r="D14646" s="15" t="n">
        <v>0.004</v>
      </c>
      <c r="E14646" s="4" t="n">
        <v>200000</v>
      </c>
      <c r="F14646" s="4" t="n">
        <v>800</v>
      </c>
    </row>
    <row r="14647">
      <c r="A14647" s="3" t="inlineStr">
        <is>
          <t>1</t>
        </is>
      </c>
      <c r="B14647" s="3" t="inlineStr">
        <is>
          <t>"Strainer dia. 3/4"""</t>
        </is>
      </c>
      <c r="C14647" s="3" t="inlineStr">
        <is>
          <t>unit</t>
        </is>
      </c>
      <c r="D14647" s="15" t="n">
        <v>1.15</v>
      </c>
      <c r="E14647" s="4" t="n">
        <v>47000</v>
      </c>
      <c r="F14647" s="4" t="n">
        <v>54049.99999999999</v>
      </c>
    </row>
    <row r="14648">
      <c r="D14648" s="2" t="inlineStr">
        <is>
          <t>SUBTOTAL UPAH</t>
        </is>
      </c>
      <c r="F14648" s="16" t="n">
        <v>29970</v>
      </c>
    </row>
    <row r="14649">
      <c r="D14649" s="2" t="inlineStr">
        <is>
          <t>SUBTOTAL BAHAN</t>
        </is>
      </c>
      <c r="F14649" s="16" t="n">
        <v>54049.99999999999</v>
      </c>
    </row>
    <row r="14650">
      <c r="D14650" s="2" t="inlineStr">
        <is>
          <t>SUBTOTAL ALAT</t>
        </is>
      </c>
      <c r="F14650" s="16" t="n">
        <v>0</v>
      </c>
    </row>
    <row r="14651">
      <c r="E14651" s="2" t="inlineStr">
        <is>
          <t>TOTAL HARGA SATUAN (Inc. Overhead)</t>
        </is>
      </c>
      <c r="F14651" s="17" t="n">
        <v>92422</v>
      </c>
    </row>
    <row r="14653">
      <c r="A14653" s="14" t="inlineStr">
        <is>
          <t>KODE: 6.5.4.3 - Pemasangan 1 buah strainer 10 K, Dia. 1 " (25 mm)</t>
        </is>
      </c>
    </row>
    <row r="14654">
      <c r="A14654" s="10" t="inlineStr">
        <is>
          <t>No</t>
        </is>
      </c>
      <c r="B14654" s="10" t="inlineStr">
        <is>
          <t>Uraian Komponen</t>
        </is>
      </c>
      <c r="C14654" s="10" t="inlineStr">
        <is>
          <t>Satuan</t>
        </is>
      </c>
      <c r="D14654" s="10" t="inlineStr">
        <is>
          <t>Koef</t>
        </is>
      </c>
      <c r="E14654" s="10" t="inlineStr">
        <is>
          <t>Harga Satuan (Rp)</t>
        </is>
      </c>
      <c r="F14654" s="10" t="inlineStr">
        <is>
          <t>Jumlah Harga (Rp)</t>
        </is>
      </c>
    </row>
    <row r="14655">
      <c r="A14655" s="3" t="inlineStr">
        <is>
          <t>1</t>
        </is>
      </c>
      <c r="B14655" s="3" t="inlineStr">
        <is>
          <t>Pekerja</t>
        </is>
      </c>
      <c r="C14655" s="3" t="inlineStr">
        <is>
          <t>OH</t>
        </is>
      </c>
      <c r="D14655" s="15" t="n">
        <v>0.105</v>
      </c>
      <c r="E14655" s="4" t="n">
        <v>100000</v>
      </c>
      <c r="F14655" s="4" t="n">
        <v>10500</v>
      </c>
    </row>
    <row r="14656">
      <c r="A14656" s="3" t="inlineStr">
        <is>
          <t>2</t>
        </is>
      </c>
      <c r="B14656" s="3" t="inlineStr">
        <is>
          <t>Tukang pipa</t>
        </is>
      </c>
      <c r="C14656" s="3" t="inlineStr">
        <is>
          <t>OH</t>
        </is>
      </c>
      <c r="D14656" s="15" t="n">
        <v>0.175</v>
      </c>
      <c r="E14656" s="4" t="n">
        <v>145000</v>
      </c>
      <c r="F14656" s="4" t="n">
        <v>25375</v>
      </c>
    </row>
    <row r="14657">
      <c r="A14657" s="3" t="inlineStr">
        <is>
          <t>3</t>
        </is>
      </c>
      <c r="B14657" s="3" t="inlineStr">
        <is>
          <t>Kepala tukang</t>
        </is>
      </c>
      <c r="C14657" s="3" t="inlineStr">
        <is>
          <t>OH</t>
        </is>
      </c>
      <c r="D14657" s="15" t="n">
        <v>0.017</v>
      </c>
      <c r="E14657" s="4" t="n">
        <v>175000</v>
      </c>
      <c r="F14657" s="4" t="n">
        <v>2975</v>
      </c>
    </row>
    <row r="14658">
      <c r="A14658" s="3" t="inlineStr">
        <is>
          <t>4</t>
        </is>
      </c>
      <c r="B14658" s="3" t="inlineStr">
        <is>
          <t>Mandor</t>
        </is>
      </c>
      <c r="C14658" s="3" t="inlineStr">
        <is>
          <t>OH</t>
        </is>
      </c>
      <c r="D14658" s="15" t="n">
        <v>0.005</v>
      </c>
      <c r="E14658" s="4" t="n">
        <v>200000</v>
      </c>
      <c r="F14658" s="4" t="n">
        <v>1000</v>
      </c>
    </row>
    <row r="14659">
      <c r="A14659" s="3" t="inlineStr">
        <is>
          <t>1</t>
        </is>
      </c>
      <c r="B14659" s="3" t="inlineStr">
        <is>
          <t>"Strainer dia. 1"""</t>
        </is>
      </c>
      <c r="C14659" s="3" t="inlineStr">
        <is>
          <t>unit</t>
        </is>
      </c>
      <c r="D14659" s="15" t="n">
        <v>1.15</v>
      </c>
      <c r="E14659" s="4" t="n">
        <v>59000</v>
      </c>
      <c r="F14659" s="4" t="n">
        <v>67850</v>
      </c>
    </row>
    <row r="14660">
      <c r="D14660" s="2" t="inlineStr">
        <is>
          <t>SUBTOTAL UPAH</t>
        </is>
      </c>
      <c r="F14660" s="16" t="n">
        <v>39850</v>
      </c>
    </row>
    <row r="14661">
      <c r="D14661" s="2" t="inlineStr">
        <is>
          <t>SUBTOTAL BAHAN</t>
        </is>
      </c>
      <c r="F14661" s="16" t="n">
        <v>67850</v>
      </c>
    </row>
    <row r="14662">
      <c r="D14662" s="2" t="inlineStr">
        <is>
          <t>SUBTOTAL ALAT</t>
        </is>
      </c>
      <c r="F14662" s="16" t="n">
        <v>0</v>
      </c>
    </row>
    <row r="14663">
      <c r="E14663" s="2" t="inlineStr">
        <is>
          <t>TOTAL HARGA SATUAN (Inc. Overhead)</t>
        </is>
      </c>
      <c r="F14663" s="17" t="n">
        <v>118470</v>
      </c>
    </row>
    <row r="14665">
      <c r="A14665" s="14" t="inlineStr">
        <is>
          <t>KODE: 6.5.4.4 - Pemasangan 1 buah strainer 10 K, Dia. 1-1/4 " (32 mm)</t>
        </is>
      </c>
    </row>
    <row r="14666">
      <c r="A14666" s="10" t="inlineStr">
        <is>
          <t>No</t>
        </is>
      </c>
      <c r="B14666" s="10" t="inlineStr">
        <is>
          <t>Uraian Komponen</t>
        </is>
      </c>
      <c r="C14666" s="10" t="inlineStr">
        <is>
          <t>Satuan</t>
        </is>
      </c>
      <c r="D14666" s="10" t="inlineStr">
        <is>
          <t>Koef</t>
        </is>
      </c>
      <c r="E14666" s="10" t="inlineStr">
        <is>
          <t>Harga Satuan (Rp)</t>
        </is>
      </c>
      <c r="F14666" s="10" t="inlineStr">
        <is>
          <t>Jumlah Harga (Rp)</t>
        </is>
      </c>
    </row>
    <row r="14667">
      <c r="A14667" s="3" t="inlineStr">
        <is>
          <t>1</t>
        </is>
      </c>
      <c r="B14667" s="3" t="inlineStr">
        <is>
          <t>Pekerja</t>
        </is>
      </c>
      <c r="C14667" s="3" t="inlineStr">
        <is>
          <t>OH</t>
        </is>
      </c>
      <c r="D14667" s="15" t="n">
        <v>0.129</v>
      </c>
      <c r="E14667" s="4" t="n">
        <v>100000</v>
      </c>
      <c r="F14667" s="4" t="n">
        <v>12900</v>
      </c>
    </row>
    <row r="14668">
      <c r="A14668" s="3" t="inlineStr">
        <is>
          <t>2</t>
        </is>
      </c>
      <c r="B14668" s="3" t="inlineStr">
        <is>
          <t>Tukang pipa</t>
        </is>
      </c>
      <c r="C14668" s="3" t="inlineStr">
        <is>
          <t>OH</t>
        </is>
      </c>
      <c r="D14668" s="15" t="n">
        <v>0.215</v>
      </c>
      <c r="E14668" s="4" t="n">
        <v>145000</v>
      </c>
      <c r="F14668" s="4" t="n">
        <v>31175</v>
      </c>
    </row>
    <row r="14669">
      <c r="A14669" s="3" t="inlineStr">
        <is>
          <t>3</t>
        </is>
      </c>
      <c r="B14669" s="3" t="inlineStr">
        <is>
          <t>Kepala tukang</t>
        </is>
      </c>
      <c r="C14669" s="3" t="inlineStr">
        <is>
          <t>OH</t>
        </is>
      </c>
      <c r="D14669" s="15" t="n">
        <v>0.021</v>
      </c>
      <c r="E14669" s="4" t="n">
        <v>175000</v>
      </c>
      <c r="F14669" s="4" t="n">
        <v>3675</v>
      </c>
    </row>
    <row r="14670">
      <c r="A14670" s="3" t="inlineStr">
        <is>
          <t>4</t>
        </is>
      </c>
      <c r="B14670" s="3" t="inlineStr">
        <is>
          <t>Mandor</t>
        </is>
      </c>
      <c r="C14670" s="3" t="inlineStr">
        <is>
          <t>OH</t>
        </is>
      </c>
      <c r="D14670" s="15" t="n">
        <v>0.006</v>
      </c>
      <c r="E14670" s="4" t="n">
        <v>200000</v>
      </c>
      <c r="F14670" s="4" t="n">
        <v>1200</v>
      </c>
    </row>
    <row r="14671">
      <c r="A14671" s="3" t="inlineStr">
        <is>
          <t>1</t>
        </is>
      </c>
      <c r="B14671" s="3" t="inlineStr">
        <is>
          <t>"Strainer dia. 1-1/4"""</t>
        </is>
      </c>
      <c r="C14671" s="3" t="inlineStr">
        <is>
          <t>unit</t>
        </is>
      </c>
      <c r="D14671" s="15" t="n">
        <v>1.15</v>
      </c>
      <c r="E14671" s="4" t="n">
        <v>95600</v>
      </c>
      <c r="F14671" s="4" t="n">
        <v>109940</v>
      </c>
    </row>
    <row r="14672">
      <c r="D14672" s="2" t="inlineStr">
        <is>
          <t>SUBTOTAL UPAH</t>
        </is>
      </c>
      <c r="F14672" s="16" t="n">
        <v>48950</v>
      </c>
    </row>
    <row r="14673">
      <c r="D14673" s="2" t="inlineStr">
        <is>
          <t>SUBTOTAL BAHAN</t>
        </is>
      </c>
      <c r="F14673" s="16" t="n">
        <v>109940</v>
      </c>
    </row>
    <row r="14674">
      <c r="D14674" s="2" t="inlineStr">
        <is>
          <t>SUBTOTAL ALAT</t>
        </is>
      </c>
      <c r="F14674" s="16" t="n">
        <v>0</v>
      </c>
    </row>
    <row r="14675">
      <c r="E14675" s="2" t="inlineStr">
        <is>
          <t>TOTAL HARGA SATUAN (Inc. Overhead)</t>
        </is>
      </c>
      <c r="F14675" s="17" t="n">
        <v>174779</v>
      </c>
    </row>
    <row r="14677">
      <c r="A14677" s="14" t="inlineStr">
        <is>
          <t>KODE: 6.5.4.5 - Pemasangan 1 buah strainer 10 K, Dia. 1-1/2 " (40 mm)</t>
        </is>
      </c>
    </row>
    <row r="14678">
      <c r="A14678" s="10" t="inlineStr">
        <is>
          <t>No</t>
        </is>
      </c>
      <c r="B14678" s="10" t="inlineStr">
        <is>
          <t>Uraian Komponen</t>
        </is>
      </c>
      <c r="C14678" s="10" t="inlineStr">
        <is>
          <t>Satuan</t>
        </is>
      </c>
      <c r="D14678" s="10" t="inlineStr">
        <is>
          <t>Koef</t>
        </is>
      </c>
      <c r="E14678" s="10" t="inlineStr">
        <is>
          <t>Harga Satuan (Rp)</t>
        </is>
      </c>
      <c r="F14678" s="10" t="inlineStr">
        <is>
          <t>Jumlah Harga (Rp)</t>
        </is>
      </c>
    </row>
    <row r="14679">
      <c r="A14679" s="3" t="inlineStr">
        <is>
          <t>1</t>
        </is>
      </c>
      <c r="B14679" s="3" t="inlineStr">
        <is>
          <t>Pekerja</t>
        </is>
      </c>
      <c r="C14679" s="3" t="inlineStr">
        <is>
          <t>OH</t>
        </is>
      </c>
      <c r="D14679" s="15" t="n">
        <v>0.157</v>
      </c>
      <c r="E14679" s="4" t="n">
        <v>100000</v>
      </c>
      <c r="F14679" s="4" t="n">
        <v>15700</v>
      </c>
    </row>
    <row r="14680">
      <c r="A14680" s="3" t="inlineStr">
        <is>
          <t>2</t>
        </is>
      </c>
      <c r="B14680" s="3" t="inlineStr">
        <is>
          <t>Tukang pipa</t>
        </is>
      </c>
      <c r="C14680" s="3" t="inlineStr">
        <is>
          <t>OH</t>
        </is>
      </c>
      <c r="D14680" s="15" t="n">
        <v>0.262</v>
      </c>
      <c r="E14680" s="4" t="n">
        <v>145000</v>
      </c>
      <c r="F14680" s="4" t="n">
        <v>37990</v>
      </c>
    </row>
    <row r="14681">
      <c r="A14681" s="3" t="inlineStr">
        <is>
          <t>3</t>
        </is>
      </c>
      <c r="B14681" s="3" t="inlineStr">
        <is>
          <t>Kepala tukang</t>
        </is>
      </c>
      <c r="C14681" s="3" t="inlineStr">
        <is>
          <t>OH</t>
        </is>
      </c>
      <c r="D14681" s="15" t="n">
        <v>0.026</v>
      </c>
      <c r="E14681" s="4" t="n">
        <v>175000</v>
      </c>
      <c r="F14681" s="4" t="n">
        <v>4550</v>
      </c>
    </row>
    <row r="14682">
      <c r="A14682" s="3" t="inlineStr">
        <is>
          <t>4</t>
        </is>
      </c>
      <c r="B14682" s="3" t="inlineStr">
        <is>
          <t>Mandor</t>
        </is>
      </c>
      <c r="C14682" s="3" t="inlineStr">
        <is>
          <t>OH</t>
        </is>
      </c>
      <c r="D14682" s="15" t="n">
        <v>0.008</v>
      </c>
      <c r="E14682" s="4" t="n">
        <v>200000</v>
      </c>
      <c r="F14682" s="4" t="n">
        <v>1600</v>
      </c>
    </row>
    <row r="14683">
      <c r="A14683" s="3" t="inlineStr">
        <is>
          <t>1</t>
        </is>
      </c>
      <c r="B14683" s="3" t="inlineStr">
        <is>
          <t>"Strainer dia. 1-1/2"""</t>
        </is>
      </c>
      <c r="C14683" s="3" t="inlineStr">
        <is>
          <t>unit</t>
        </is>
      </c>
      <c r="D14683" s="15" t="n">
        <v>1.15</v>
      </c>
      <c r="E14683" s="4" t="n">
        <v>143000</v>
      </c>
      <c r="F14683" s="4" t="n">
        <v>164450</v>
      </c>
    </row>
    <row r="14684">
      <c r="D14684" s="2" t="inlineStr">
        <is>
          <t>SUBTOTAL UPAH</t>
        </is>
      </c>
      <c r="F14684" s="16" t="n">
        <v>59840</v>
      </c>
    </row>
    <row r="14685">
      <c r="D14685" s="2" t="inlineStr">
        <is>
          <t>SUBTOTAL BAHAN</t>
        </is>
      </c>
      <c r="F14685" s="16" t="n">
        <v>164450</v>
      </c>
    </row>
    <row r="14686">
      <c r="D14686" s="2" t="inlineStr">
        <is>
          <t>SUBTOTAL ALAT</t>
        </is>
      </c>
      <c r="F14686" s="16" t="n">
        <v>0</v>
      </c>
    </row>
    <row r="14687">
      <c r="E14687" s="2" t="inlineStr">
        <is>
          <t>TOTAL HARGA SATUAN (Inc. Overhead)</t>
        </is>
      </c>
      <c r="F14687" s="17" t="n">
        <v>246719</v>
      </c>
    </row>
    <row r="14689">
      <c r="A14689" s="14" t="inlineStr">
        <is>
          <t>KODE: 6.5.4.6 - Pemasangan 1 buah strainer (10, 16) K, Dia. 2 " (50 mm)</t>
        </is>
      </c>
    </row>
    <row r="14690">
      <c r="A14690" s="10" t="inlineStr">
        <is>
          <t>No</t>
        </is>
      </c>
      <c r="B14690" s="10" t="inlineStr">
        <is>
          <t>Uraian Komponen</t>
        </is>
      </c>
      <c r="C14690" s="10" t="inlineStr">
        <is>
          <t>Satuan</t>
        </is>
      </c>
      <c r="D14690" s="10" t="inlineStr">
        <is>
          <t>Koef</t>
        </is>
      </c>
      <c r="E14690" s="10" t="inlineStr">
        <is>
          <t>Harga Satuan (Rp)</t>
        </is>
      </c>
      <c r="F14690" s="10" t="inlineStr">
        <is>
          <t>Jumlah Harga (Rp)</t>
        </is>
      </c>
    </row>
    <row r="14691">
      <c r="A14691" s="3" t="inlineStr">
        <is>
          <t>1</t>
        </is>
      </c>
      <c r="B14691" s="3" t="inlineStr">
        <is>
          <t>Pekerja</t>
        </is>
      </c>
      <c r="C14691" s="3" t="inlineStr">
        <is>
          <t>OH</t>
        </is>
      </c>
      <c r="D14691" s="15" t="n">
        <v>0.207</v>
      </c>
      <c r="E14691" s="4" t="n">
        <v>100000</v>
      </c>
      <c r="F14691" s="4" t="n">
        <v>20700</v>
      </c>
    </row>
    <row r="14692">
      <c r="A14692" s="3" t="inlineStr">
        <is>
          <t>2</t>
        </is>
      </c>
      <c r="B14692" s="3" t="inlineStr">
        <is>
          <t>Tukang pipa</t>
        </is>
      </c>
      <c r="C14692" s="3" t="inlineStr">
        <is>
          <t>OH</t>
        </is>
      </c>
      <c r="D14692" s="15" t="n">
        <v>0.346</v>
      </c>
      <c r="E14692" s="4" t="n">
        <v>145000</v>
      </c>
      <c r="F14692" s="4" t="n">
        <v>50169.99999999999</v>
      </c>
    </row>
    <row r="14693">
      <c r="A14693" s="3" t="inlineStr">
        <is>
          <t>3</t>
        </is>
      </c>
      <c r="B14693" s="3" t="inlineStr">
        <is>
          <t>Kepala tukang</t>
        </is>
      </c>
      <c r="C14693" s="3" t="inlineStr">
        <is>
          <t>OH</t>
        </is>
      </c>
      <c r="D14693" s="15" t="n">
        <v>0.035</v>
      </c>
      <c r="E14693" s="4" t="n">
        <v>175000</v>
      </c>
      <c r="F14693" s="4" t="n">
        <v>6125.000000000001</v>
      </c>
    </row>
    <row r="14694">
      <c r="A14694" s="3" t="inlineStr">
        <is>
          <t>4</t>
        </is>
      </c>
      <c r="B14694" s="3" t="inlineStr">
        <is>
          <t>Mandor</t>
        </is>
      </c>
      <c r="C14694" s="3" t="inlineStr">
        <is>
          <t>OH</t>
        </is>
      </c>
      <c r="D14694" s="15" t="n">
        <v>0.01</v>
      </c>
      <c r="E14694" s="4" t="n">
        <v>200000</v>
      </c>
      <c r="F14694" s="4" t="n">
        <v>2000</v>
      </c>
    </row>
    <row r="14695">
      <c r="A14695" s="3" t="inlineStr">
        <is>
          <t>1</t>
        </is>
      </c>
      <c r="B14695" s="3" t="inlineStr">
        <is>
          <t>"Strainer dia. 2"""</t>
        </is>
      </c>
      <c r="C14695" s="3" t="inlineStr">
        <is>
          <t>unit</t>
        </is>
      </c>
      <c r="D14695" s="15" t="n">
        <v>1.15</v>
      </c>
      <c r="E14695" s="4" t="n">
        <v>303600</v>
      </c>
      <c r="F14695" s="4" t="n">
        <v>349140</v>
      </c>
    </row>
    <row r="14696">
      <c r="D14696" s="2" t="inlineStr">
        <is>
          <t>SUBTOTAL UPAH</t>
        </is>
      </c>
      <c r="F14696" s="16" t="n">
        <v>78995</v>
      </c>
    </row>
    <row r="14697">
      <c r="D14697" s="2" t="inlineStr">
        <is>
          <t>SUBTOTAL BAHAN</t>
        </is>
      </c>
      <c r="F14697" s="16" t="n">
        <v>349140</v>
      </c>
    </row>
    <row r="14698">
      <c r="D14698" s="2" t="inlineStr">
        <is>
          <t>SUBTOTAL ALAT</t>
        </is>
      </c>
      <c r="F14698" s="16" t="n">
        <v>0</v>
      </c>
    </row>
    <row r="14699">
      <c r="E14699" s="2" t="inlineStr">
        <is>
          <t>TOTAL HARGA SATUAN (Inc. Overhead)</t>
        </is>
      </c>
      <c r="F14699" s="17" t="n">
        <v>470948</v>
      </c>
    </row>
    <row r="14701">
      <c r="A14701" s="14" t="inlineStr">
        <is>
          <t>KODE: 6.5.4.7 - Pemasangan 1 buah strainer (10, 16) K, Dia. 2-1/2 " (65 mm)</t>
        </is>
      </c>
    </row>
    <row r="14702">
      <c r="A14702" s="10" t="inlineStr">
        <is>
          <t>No</t>
        </is>
      </c>
      <c r="B14702" s="10" t="inlineStr">
        <is>
          <t>Uraian Komponen</t>
        </is>
      </c>
      <c r="C14702" s="10" t="inlineStr">
        <is>
          <t>Satuan</t>
        </is>
      </c>
      <c r="D14702" s="10" t="inlineStr">
        <is>
          <t>Koef</t>
        </is>
      </c>
      <c r="E14702" s="10" t="inlineStr">
        <is>
          <t>Harga Satuan (Rp)</t>
        </is>
      </c>
      <c r="F14702" s="10" t="inlineStr">
        <is>
          <t>Jumlah Harga (Rp)</t>
        </is>
      </c>
    </row>
    <row r="14703">
      <c r="A14703" s="3" t="inlineStr">
        <is>
          <t>1</t>
        </is>
      </c>
      <c r="B14703" s="3" t="inlineStr">
        <is>
          <t>Pekerja</t>
        </is>
      </c>
      <c r="C14703" s="3" t="inlineStr">
        <is>
          <t>OH</t>
        </is>
      </c>
      <c r="D14703" s="15" t="n">
        <v>0.26</v>
      </c>
      <c r="E14703" s="4" t="n">
        <v>100000</v>
      </c>
      <c r="F14703" s="4" t="n">
        <v>26000</v>
      </c>
    </row>
    <row r="14704">
      <c r="A14704" s="3" t="inlineStr">
        <is>
          <t>2</t>
        </is>
      </c>
      <c r="B14704" s="3" t="inlineStr">
        <is>
          <t>Tukang pipa</t>
        </is>
      </c>
      <c r="C14704" s="3" t="inlineStr">
        <is>
          <t>OH</t>
        </is>
      </c>
      <c r="D14704" s="15" t="n">
        <v>0.433</v>
      </c>
      <c r="E14704" s="4" t="n">
        <v>145000</v>
      </c>
      <c r="F14704" s="4" t="n">
        <v>62785</v>
      </c>
    </row>
    <row r="14705">
      <c r="A14705" s="3" t="inlineStr">
        <is>
          <t>3</t>
        </is>
      </c>
      <c r="B14705" s="3" t="inlineStr">
        <is>
          <t>Kepala tukang</t>
        </is>
      </c>
      <c r="C14705" s="3" t="inlineStr">
        <is>
          <t>OH</t>
        </is>
      </c>
      <c r="D14705" s="15" t="n">
        <v>0.043</v>
      </c>
      <c r="E14705" s="4" t="n">
        <v>175000</v>
      </c>
      <c r="F14705" s="4" t="n">
        <v>7524.999999999999</v>
      </c>
    </row>
    <row r="14706">
      <c r="A14706" s="3" t="inlineStr">
        <is>
          <t>4</t>
        </is>
      </c>
      <c r="B14706" s="3" t="inlineStr">
        <is>
          <t>Mandor</t>
        </is>
      </c>
      <c r="C14706" s="3" t="inlineStr">
        <is>
          <t>OH</t>
        </is>
      </c>
      <c r="D14706" s="15" t="n">
        <v>0.013</v>
      </c>
      <c r="E14706" s="4" t="n">
        <v>200000</v>
      </c>
      <c r="F14706" s="4" t="n">
        <v>2600</v>
      </c>
    </row>
    <row r="14707">
      <c r="A14707" s="3" t="inlineStr">
        <is>
          <t>1</t>
        </is>
      </c>
      <c r="B14707" s="3" t="inlineStr">
        <is>
          <t>"Strainer dia. 2-1/2"""</t>
        </is>
      </c>
      <c r="C14707" s="3" t="inlineStr">
        <is>
          <t>unit</t>
        </is>
      </c>
      <c r="D14707" s="15" t="n">
        <v>1.15</v>
      </c>
      <c r="E14707" s="4" t="n">
        <v>415600</v>
      </c>
      <c r="F14707" s="4" t="n">
        <v>477939.9999999999</v>
      </c>
    </row>
    <row r="14708">
      <c r="D14708" s="2" t="inlineStr">
        <is>
          <t>SUBTOTAL UPAH</t>
        </is>
      </c>
      <c r="F14708" s="16" t="n">
        <v>98910</v>
      </c>
    </row>
    <row r="14709">
      <c r="D14709" s="2" t="inlineStr">
        <is>
          <t>SUBTOTAL BAHAN</t>
        </is>
      </c>
      <c r="F14709" s="16" t="n">
        <v>477939.9999999999</v>
      </c>
    </row>
    <row r="14710">
      <c r="D14710" s="2" t="inlineStr">
        <is>
          <t>SUBTOTAL ALAT</t>
        </is>
      </c>
      <c r="F14710" s="16" t="n">
        <v>0</v>
      </c>
    </row>
    <row r="14711">
      <c r="E14711" s="2" t="inlineStr">
        <is>
          <t>TOTAL HARGA SATUAN (Inc. Overhead)</t>
        </is>
      </c>
      <c r="F14711" s="17" t="n">
        <v>634535</v>
      </c>
    </row>
    <row r="14713">
      <c r="A14713" s="14" t="inlineStr">
        <is>
          <t>KODE: 6.5.4.8 - Pemasangan 1 buah strainer (10, 16) K, Dia. 3 " (80 mm)</t>
        </is>
      </c>
    </row>
    <row r="14714">
      <c r="A14714" s="10" t="inlineStr">
        <is>
          <t>No</t>
        </is>
      </c>
      <c r="B14714" s="10" t="inlineStr">
        <is>
          <t>Uraian Komponen</t>
        </is>
      </c>
      <c r="C14714" s="10" t="inlineStr">
        <is>
          <t>Satuan</t>
        </is>
      </c>
      <c r="D14714" s="10" t="inlineStr">
        <is>
          <t>Koef</t>
        </is>
      </c>
      <c r="E14714" s="10" t="inlineStr">
        <is>
          <t>Harga Satuan (Rp)</t>
        </is>
      </c>
      <c r="F14714" s="10" t="inlineStr">
        <is>
          <t>Jumlah Harga (Rp)</t>
        </is>
      </c>
    </row>
    <row r="14715">
      <c r="A14715" s="3" t="inlineStr">
        <is>
          <t>1</t>
        </is>
      </c>
      <c r="B14715" s="3" t="inlineStr">
        <is>
          <t>Pekerja</t>
        </is>
      </c>
      <c r="C14715" s="3" t="inlineStr">
        <is>
          <t>OH</t>
        </is>
      </c>
      <c r="D14715" s="15" t="n">
        <v>0.471</v>
      </c>
      <c r="E14715" s="4" t="n">
        <v>100000</v>
      </c>
      <c r="F14715" s="4" t="n">
        <v>47100</v>
      </c>
    </row>
    <row r="14716">
      <c r="A14716" s="3" t="inlineStr">
        <is>
          <t>2</t>
        </is>
      </c>
      <c r="B14716" s="3" t="inlineStr">
        <is>
          <t>Tukang pipa</t>
        </is>
      </c>
      <c r="C14716" s="3" t="inlineStr">
        <is>
          <t>OH</t>
        </is>
      </c>
      <c r="D14716" s="15" t="n">
        <v>0.787</v>
      </c>
      <c r="E14716" s="4" t="n">
        <v>145000</v>
      </c>
      <c r="F14716" s="4" t="n">
        <v>114115</v>
      </c>
    </row>
    <row r="14717">
      <c r="A14717" s="3" t="inlineStr">
        <is>
          <t>3</t>
        </is>
      </c>
      <c r="B14717" s="3" t="inlineStr">
        <is>
          <t>Kepala tukang</t>
        </is>
      </c>
      <c r="C14717" s="3" t="inlineStr">
        <is>
          <t>OH</t>
        </is>
      </c>
      <c r="D14717" s="15" t="n">
        <v>0.079</v>
      </c>
      <c r="E14717" s="4" t="n">
        <v>175000</v>
      </c>
      <c r="F14717" s="4" t="n">
        <v>13825</v>
      </c>
    </row>
    <row r="14718">
      <c r="A14718" s="3" t="inlineStr">
        <is>
          <t>4</t>
        </is>
      </c>
      <c r="B14718" s="3" t="inlineStr">
        <is>
          <t>Mandor</t>
        </is>
      </c>
      <c r="C14718" s="3" t="inlineStr">
        <is>
          <t>OH</t>
        </is>
      </c>
      <c r="D14718" s="15" t="n">
        <v>0.024</v>
      </c>
      <c r="E14718" s="4" t="n">
        <v>200000</v>
      </c>
      <c r="F14718" s="4" t="n">
        <v>4800</v>
      </c>
    </row>
    <row r="14719">
      <c r="A14719" s="3" t="inlineStr">
        <is>
          <t>1</t>
        </is>
      </c>
      <c r="B14719" s="3" t="inlineStr">
        <is>
          <t>"Strainer dia. 3"""</t>
        </is>
      </c>
      <c r="C14719" s="3" t="inlineStr">
        <is>
          <t>unit</t>
        </is>
      </c>
      <c r="D14719" s="15" t="n">
        <v>1.3</v>
      </c>
      <c r="E14719" s="4" t="n">
        <v>552000</v>
      </c>
      <c r="F14719" s="4" t="n">
        <v>717600</v>
      </c>
    </row>
    <row r="14720">
      <c r="D14720" s="2" t="inlineStr">
        <is>
          <t>SUBTOTAL UPAH</t>
        </is>
      </c>
      <c r="F14720" s="16" t="n">
        <v>179840</v>
      </c>
    </row>
    <row r="14721">
      <c r="D14721" s="2" t="inlineStr">
        <is>
          <t>SUBTOTAL BAHAN</t>
        </is>
      </c>
      <c r="F14721" s="16" t="n">
        <v>717600</v>
      </c>
    </row>
    <row r="14722">
      <c r="D14722" s="2" t="inlineStr">
        <is>
          <t>SUBTOTAL ALAT</t>
        </is>
      </c>
      <c r="F14722" s="16" t="n">
        <v>0</v>
      </c>
    </row>
    <row r="14723">
      <c r="E14723" s="2" t="inlineStr">
        <is>
          <t>TOTAL HARGA SATUAN (Inc. Overhead)</t>
        </is>
      </c>
      <c r="F14723" s="17" t="n">
        <v>987184</v>
      </c>
    </row>
    <row r="14725">
      <c r="A14725" s="14" t="inlineStr">
        <is>
          <t>KODE: 6.5.4.9 - Pemasangan 1 buah strainer (10, 16) K, Dia. 4" (100 mm)</t>
        </is>
      </c>
    </row>
    <row r="14726">
      <c r="A14726" s="10" t="inlineStr">
        <is>
          <t>No</t>
        </is>
      </c>
      <c r="B14726" s="10" t="inlineStr">
        <is>
          <t>Uraian Komponen</t>
        </is>
      </c>
      <c r="C14726" s="10" t="inlineStr">
        <is>
          <t>Satuan</t>
        </is>
      </c>
      <c r="D14726" s="10" t="inlineStr">
        <is>
          <t>Koef</t>
        </is>
      </c>
      <c r="E14726" s="10" t="inlineStr">
        <is>
          <t>Harga Satuan (Rp)</t>
        </is>
      </c>
      <c r="F14726" s="10" t="inlineStr">
        <is>
          <t>Jumlah Harga (Rp)</t>
        </is>
      </c>
    </row>
    <row r="14727">
      <c r="A14727" s="3" t="inlineStr">
        <is>
          <t>1</t>
        </is>
      </c>
      <c r="B14727" s="3" t="inlineStr">
        <is>
          <t>Pekerja</t>
        </is>
      </c>
      <c r="C14727" s="3" t="inlineStr">
        <is>
          <t>OH</t>
        </is>
      </c>
      <c r="D14727" s="15" t="n">
        <v>0.631</v>
      </c>
      <c r="E14727" s="4" t="n">
        <v>100000</v>
      </c>
      <c r="F14727" s="4" t="n">
        <v>63100</v>
      </c>
    </row>
    <row r="14728">
      <c r="A14728" s="3" t="inlineStr">
        <is>
          <t>2</t>
        </is>
      </c>
      <c r="B14728" s="3" t="inlineStr">
        <is>
          <t>Tukang pipa</t>
        </is>
      </c>
      <c r="C14728" s="3" t="inlineStr">
        <is>
          <t>OH</t>
        </is>
      </c>
      <c r="D14728" s="15" t="n">
        <v>1.054</v>
      </c>
      <c r="E14728" s="4" t="n">
        <v>145000</v>
      </c>
      <c r="F14728" s="4" t="n">
        <v>152830</v>
      </c>
    </row>
    <row r="14729">
      <c r="A14729" s="3" t="inlineStr">
        <is>
          <t>3</t>
        </is>
      </c>
      <c r="B14729" s="3" t="inlineStr">
        <is>
          <t>Kepala tukang</t>
        </is>
      </c>
      <c r="C14729" s="3" t="inlineStr">
        <is>
          <t>OH</t>
        </is>
      </c>
      <c r="D14729" s="15" t="n">
        <v>0.105</v>
      </c>
      <c r="E14729" s="4" t="n">
        <v>175000</v>
      </c>
      <c r="F14729" s="4" t="n">
        <v>18375</v>
      </c>
    </row>
    <row r="14730">
      <c r="A14730" s="3" t="inlineStr">
        <is>
          <t>4</t>
        </is>
      </c>
      <c r="B14730" s="3" t="inlineStr">
        <is>
          <t>Mandor</t>
        </is>
      </c>
      <c r="C14730" s="3" t="inlineStr">
        <is>
          <t>OH</t>
        </is>
      </c>
      <c r="D14730" s="15" t="n">
        <v>0.032</v>
      </c>
      <c r="E14730" s="4" t="n">
        <v>200000</v>
      </c>
      <c r="F14730" s="4" t="n">
        <v>6400</v>
      </c>
    </row>
    <row r="14731">
      <c r="A14731" s="3" t="inlineStr">
        <is>
          <t>1</t>
        </is>
      </c>
      <c r="B14731" s="3" t="inlineStr">
        <is>
          <t>"Strainer dia. 4"""</t>
        </is>
      </c>
      <c r="C14731" s="3" t="inlineStr">
        <is>
          <t>unit</t>
        </is>
      </c>
      <c r="D14731" s="15" t="n">
        <v>1.3</v>
      </c>
      <c r="E14731" s="4" t="n">
        <v>809600</v>
      </c>
      <c r="F14731" s="4" t="n">
        <v>1052480</v>
      </c>
    </row>
    <row r="14732">
      <c r="D14732" s="2" t="inlineStr">
        <is>
          <t>SUBTOTAL UPAH</t>
        </is>
      </c>
      <c r="F14732" s="16" t="n">
        <v>240705</v>
      </c>
    </row>
    <row r="14733">
      <c r="D14733" s="2" t="inlineStr">
        <is>
          <t>SUBTOTAL BAHAN</t>
        </is>
      </c>
      <c r="F14733" s="16" t="n">
        <v>1052480</v>
      </c>
    </row>
    <row r="14734">
      <c r="D14734" s="2" t="inlineStr">
        <is>
          <t>SUBTOTAL ALAT</t>
        </is>
      </c>
      <c r="F14734" s="16" t="n">
        <v>0</v>
      </c>
    </row>
    <row r="14735">
      <c r="E14735" s="2" t="inlineStr">
        <is>
          <t>TOTAL HARGA SATUAN (Inc. Overhead)</t>
        </is>
      </c>
      <c r="F14735" s="17" t="n">
        <v>1422503</v>
      </c>
    </row>
    <row r="14737">
      <c r="A14737" s="14" t="inlineStr">
        <is>
          <t>KODE: 6.5.4.10 - Pemasangan 1 buah strainer (10, 16) K, Dia. 5" (125 mm)</t>
        </is>
      </c>
    </row>
    <row r="14738">
      <c r="A14738" s="10" t="inlineStr">
        <is>
          <t>No</t>
        </is>
      </c>
      <c r="B14738" s="10" t="inlineStr">
        <is>
          <t>Uraian Komponen</t>
        </is>
      </c>
      <c r="C14738" s="10" t="inlineStr">
        <is>
          <t>Satuan</t>
        </is>
      </c>
      <c r="D14738" s="10" t="inlineStr">
        <is>
          <t>Koef</t>
        </is>
      </c>
      <c r="E14738" s="10" t="inlineStr">
        <is>
          <t>Harga Satuan (Rp)</t>
        </is>
      </c>
      <c r="F14738" s="10" t="inlineStr">
        <is>
          <t>Jumlah Harga (Rp)</t>
        </is>
      </c>
    </row>
    <row r="14739">
      <c r="A14739" s="3" t="inlineStr">
        <is>
          <t>1</t>
        </is>
      </c>
      <c r="B14739" s="3" t="inlineStr">
        <is>
          <t>Pekerja</t>
        </is>
      </c>
      <c r="C14739" s="3" t="inlineStr">
        <is>
          <t>OH</t>
        </is>
      </c>
      <c r="D14739" s="15" t="n">
        <v>0.788</v>
      </c>
      <c r="E14739" s="4" t="n">
        <v>100000</v>
      </c>
      <c r="F14739" s="4" t="n">
        <v>78800</v>
      </c>
    </row>
    <row r="14740">
      <c r="A14740" s="3" t="inlineStr">
        <is>
          <t>2</t>
        </is>
      </c>
      <c r="B14740" s="3" t="inlineStr">
        <is>
          <t>Tukang pipa</t>
        </is>
      </c>
      <c r="C14740" s="3" t="inlineStr">
        <is>
          <t>OH</t>
        </is>
      </c>
      <c r="D14740" s="15" t="n">
        <v>1.316</v>
      </c>
      <c r="E14740" s="4" t="n">
        <v>145000</v>
      </c>
      <c r="F14740" s="4" t="n">
        <v>190820</v>
      </c>
    </row>
    <row r="14741">
      <c r="A14741" s="3" t="inlineStr">
        <is>
          <t>3</t>
        </is>
      </c>
      <c r="B14741" s="3" t="inlineStr">
        <is>
          <t>Kepala tukang</t>
        </is>
      </c>
      <c r="C14741" s="3" t="inlineStr">
        <is>
          <t>OH</t>
        </is>
      </c>
      <c r="D14741" s="15" t="n">
        <v>0.132</v>
      </c>
      <c r="E14741" s="4" t="n">
        <v>175000</v>
      </c>
      <c r="F14741" s="4" t="n">
        <v>23100</v>
      </c>
    </row>
    <row r="14742">
      <c r="A14742" s="3" t="inlineStr">
        <is>
          <t>4</t>
        </is>
      </c>
      <c r="B14742" s="3" t="inlineStr">
        <is>
          <t>Mandor</t>
        </is>
      </c>
      <c r="C14742" s="3" t="inlineStr">
        <is>
          <t>OH</t>
        </is>
      </c>
      <c r="D14742" s="15" t="n">
        <v>0.039</v>
      </c>
      <c r="E14742" s="4" t="n">
        <v>200000</v>
      </c>
      <c r="F14742" s="4" t="n">
        <v>7800</v>
      </c>
    </row>
    <row r="14743">
      <c r="A14743" s="3" t="inlineStr">
        <is>
          <t>1</t>
        </is>
      </c>
      <c r="B14743" s="3" t="inlineStr">
        <is>
          <t>"Strainer dia. 5"""</t>
        </is>
      </c>
      <c r="C14743" s="3" t="inlineStr">
        <is>
          <t>unit</t>
        </is>
      </c>
      <c r="D14743" s="15" t="n">
        <v>1.3</v>
      </c>
      <c r="E14743" s="4" t="n">
        <v>873000</v>
      </c>
      <c r="F14743" s="4" t="n">
        <v>1134900</v>
      </c>
    </row>
    <row r="14744">
      <c r="D14744" s="2" t="inlineStr">
        <is>
          <t>SUBTOTAL UPAH</t>
        </is>
      </c>
      <c r="F14744" s="16" t="n">
        <v>300520</v>
      </c>
    </row>
    <row r="14745">
      <c r="D14745" s="2" t="inlineStr">
        <is>
          <t>SUBTOTAL BAHAN</t>
        </is>
      </c>
      <c r="F14745" s="16" t="n">
        <v>1134900</v>
      </c>
    </row>
    <row r="14746">
      <c r="D14746" s="2" t="inlineStr">
        <is>
          <t>SUBTOTAL ALAT</t>
        </is>
      </c>
      <c r="F14746" s="16" t="n">
        <v>0</v>
      </c>
    </row>
    <row r="14747">
      <c r="E14747" s="2" t="inlineStr">
        <is>
          <t>TOTAL HARGA SATUAN (Inc. Overhead)</t>
        </is>
      </c>
      <c r="F14747" s="17" t="n">
        <v>1578962</v>
      </c>
    </row>
    <row r="14749">
      <c r="A14749" s="14" t="inlineStr">
        <is>
          <t>KODE: 6.5.4.11 - Pemasangan 1 buah strainer (10, 16) K, Dia. 6" (150 mm)</t>
        </is>
      </c>
    </row>
    <row r="14750">
      <c r="A14750" s="10" t="inlineStr">
        <is>
          <t>No</t>
        </is>
      </c>
      <c r="B14750" s="10" t="inlineStr">
        <is>
          <t>Uraian Komponen</t>
        </is>
      </c>
      <c r="C14750" s="10" t="inlineStr">
        <is>
          <t>Satuan</t>
        </is>
      </c>
      <c r="D14750" s="10" t="inlineStr">
        <is>
          <t>Koef</t>
        </is>
      </c>
      <c r="E14750" s="10" t="inlineStr">
        <is>
          <t>Harga Satuan (Rp)</t>
        </is>
      </c>
      <c r="F14750" s="10" t="inlineStr">
        <is>
          <t>Jumlah Harga (Rp)</t>
        </is>
      </c>
    </row>
    <row r="14751">
      <c r="A14751" s="3" t="inlineStr">
        <is>
          <t>1</t>
        </is>
      </c>
      <c r="B14751" s="3" t="inlineStr">
        <is>
          <t>Pekerja</t>
        </is>
      </c>
      <c r="C14751" s="3" t="inlineStr">
        <is>
          <t>OH</t>
        </is>
      </c>
      <c r="D14751" s="15" t="n">
        <v>0.945</v>
      </c>
      <c r="E14751" s="4" t="n">
        <v>100000</v>
      </c>
      <c r="F14751" s="4" t="n">
        <v>94500</v>
      </c>
    </row>
    <row r="14752">
      <c r="A14752" s="3" t="inlineStr">
        <is>
          <t>2</t>
        </is>
      </c>
      <c r="B14752" s="3" t="inlineStr">
        <is>
          <t>Tukang pipa</t>
        </is>
      </c>
      <c r="C14752" s="3" t="inlineStr">
        <is>
          <t>OH</t>
        </is>
      </c>
      <c r="D14752" s="15" t="n">
        <v>1.579</v>
      </c>
      <c r="E14752" s="4" t="n">
        <v>145000</v>
      </c>
      <c r="F14752" s="4" t="n">
        <v>228955</v>
      </c>
    </row>
    <row r="14753">
      <c r="A14753" s="3" t="inlineStr">
        <is>
          <t>3</t>
        </is>
      </c>
      <c r="B14753" s="3" t="inlineStr">
        <is>
          <t>Kepala tukang</t>
        </is>
      </c>
      <c r="C14753" s="3" t="inlineStr">
        <is>
          <t>OH</t>
        </is>
      </c>
      <c r="D14753" s="15" t="n">
        <v>0.158</v>
      </c>
      <c r="E14753" s="4" t="n">
        <v>175000</v>
      </c>
      <c r="F14753" s="4" t="n">
        <v>27650</v>
      </c>
    </row>
    <row r="14754">
      <c r="A14754" s="3" t="inlineStr">
        <is>
          <t>4</t>
        </is>
      </c>
      <c r="B14754" s="3" t="inlineStr">
        <is>
          <t>Mandor</t>
        </is>
      </c>
      <c r="C14754" s="3" t="inlineStr">
        <is>
          <t>OH</t>
        </is>
      </c>
      <c r="D14754" s="15" t="n">
        <v>0.047</v>
      </c>
      <c r="E14754" s="4" t="n">
        <v>200000</v>
      </c>
      <c r="F14754" s="4" t="n">
        <v>9400</v>
      </c>
    </row>
    <row r="14755">
      <c r="A14755" s="3" t="inlineStr">
        <is>
          <t>1</t>
        </is>
      </c>
      <c r="B14755" s="3" t="inlineStr">
        <is>
          <t>"Strainer dia. 6"""</t>
        </is>
      </c>
      <c r="C14755" s="3" t="inlineStr">
        <is>
          <t>unit</t>
        </is>
      </c>
      <c r="D14755" s="15" t="n">
        <v>1.3</v>
      </c>
      <c r="E14755" s="4" t="n">
        <v>970500</v>
      </c>
      <c r="F14755" s="4" t="n">
        <v>1261650</v>
      </c>
    </row>
    <row r="14756">
      <c r="D14756" s="2" t="inlineStr">
        <is>
          <t>SUBTOTAL UPAH</t>
        </is>
      </c>
      <c r="F14756" s="16" t="n">
        <v>360505</v>
      </c>
    </row>
    <row r="14757">
      <c r="D14757" s="2" t="inlineStr">
        <is>
          <t>SUBTOTAL BAHAN</t>
        </is>
      </c>
      <c r="F14757" s="16" t="n">
        <v>1261650</v>
      </c>
    </row>
    <row r="14758">
      <c r="D14758" s="2" t="inlineStr">
        <is>
          <t>SUBTOTAL ALAT</t>
        </is>
      </c>
      <c r="F14758" s="16" t="n">
        <v>0</v>
      </c>
    </row>
    <row r="14759">
      <c r="E14759" s="2" t="inlineStr">
        <is>
          <t>TOTAL HARGA SATUAN (Inc. Overhead)</t>
        </is>
      </c>
      <c r="F14759" s="17" t="n">
        <v>1784370</v>
      </c>
    </row>
    <row r="14761">
      <c r="A14761" s="14" t="inlineStr">
        <is>
          <t>KODE: 6.5.4.12 - Pemasangan 1 buah strainer (10, 16) K, Dia. 8" (200 mm)</t>
        </is>
      </c>
    </row>
    <row r="14762">
      <c r="A14762" s="10" t="inlineStr">
        <is>
          <t>No</t>
        </is>
      </c>
      <c r="B14762" s="10" t="inlineStr">
        <is>
          <t>Uraian Komponen</t>
        </is>
      </c>
      <c r="C14762" s="10" t="inlineStr">
        <is>
          <t>Satuan</t>
        </is>
      </c>
      <c r="D14762" s="10" t="inlineStr">
        <is>
          <t>Koef</t>
        </is>
      </c>
      <c r="E14762" s="10" t="inlineStr">
        <is>
          <t>Harga Satuan (Rp)</t>
        </is>
      </c>
      <c r="F14762" s="10" t="inlineStr">
        <is>
          <t>Jumlah Harga (Rp)</t>
        </is>
      </c>
    </row>
    <row r="14763">
      <c r="A14763" s="3" t="inlineStr">
        <is>
          <t>1</t>
        </is>
      </c>
      <c r="B14763" s="3" t="inlineStr">
        <is>
          <t>Pekerja</t>
        </is>
      </c>
      <c r="C14763" s="3" t="inlineStr">
        <is>
          <t>OH</t>
        </is>
      </c>
      <c r="D14763" s="15" t="n">
        <v>1.26</v>
      </c>
      <c r="E14763" s="4" t="n">
        <v>100000</v>
      </c>
      <c r="F14763" s="4" t="n">
        <v>126000</v>
      </c>
    </row>
    <row r="14764">
      <c r="A14764" s="3" t="inlineStr">
        <is>
          <t>2</t>
        </is>
      </c>
      <c r="B14764" s="3" t="inlineStr">
        <is>
          <t>Tukang pipa</t>
        </is>
      </c>
      <c r="C14764" s="3" t="inlineStr">
        <is>
          <t>OH</t>
        </is>
      </c>
      <c r="D14764" s="15" t="n">
        <v>2.103</v>
      </c>
      <c r="E14764" s="4" t="n">
        <v>145000</v>
      </c>
      <c r="F14764" s="4" t="n">
        <v>304935.0000000001</v>
      </c>
    </row>
    <row r="14765">
      <c r="A14765" s="3" t="inlineStr">
        <is>
          <t>3</t>
        </is>
      </c>
      <c r="B14765" s="3" t="inlineStr">
        <is>
          <t>Kepala tukang</t>
        </is>
      </c>
      <c r="C14765" s="3" t="inlineStr">
        <is>
          <t>OH</t>
        </is>
      </c>
      <c r="D14765" s="15" t="n">
        <v>0.21</v>
      </c>
      <c r="E14765" s="4" t="n">
        <v>175000</v>
      </c>
      <c r="F14765" s="4" t="n">
        <v>36750</v>
      </c>
    </row>
    <row r="14766">
      <c r="A14766" s="3" t="inlineStr">
        <is>
          <t>4</t>
        </is>
      </c>
      <c r="B14766" s="3" t="inlineStr">
        <is>
          <t>Mandor</t>
        </is>
      </c>
      <c r="C14766" s="3" t="inlineStr">
        <is>
          <t>OH</t>
        </is>
      </c>
      <c r="D14766" s="15" t="n">
        <v>0.063</v>
      </c>
      <c r="E14766" s="4" t="n">
        <v>200000</v>
      </c>
      <c r="F14766" s="4" t="n">
        <v>12600</v>
      </c>
    </row>
    <row r="14767">
      <c r="A14767" s="3" t="inlineStr">
        <is>
          <t>1</t>
        </is>
      </c>
      <c r="B14767" s="3" t="inlineStr">
        <is>
          <t>"Strainer dia. 8"""</t>
        </is>
      </c>
      <c r="C14767" s="3" t="inlineStr">
        <is>
          <t>unit</t>
        </is>
      </c>
      <c r="D14767" s="15" t="n">
        <v>1.3</v>
      </c>
      <c r="E14767" s="4" t="n">
        <v>1260000</v>
      </c>
      <c r="F14767" s="4" t="n">
        <v>1638000</v>
      </c>
    </row>
    <row r="14768">
      <c r="D14768" s="2" t="inlineStr">
        <is>
          <t>SUBTOTAL UPAH</t>
        </is>
      </c>
      <c r="F14768" s="16" t="n">
        <v>480285.0000000001</v>
      </c>
    </row>
    <row r="14769">
      <c r="D14769" s="2" t="inlineStr">
        <is>
          <t>SUBTOTAL BAHAN</t>
        </is>
      </c>
      <c r="F14769" s="16" t="n">
        <v>1638000</v>
      </c>
    </row>
    <row r="14770">
      <c r="D14770" s="2" t="inlineStr">
        <is>
          <t>SUBTOTAL ALAT</t>
        </is>
      </c>
      <c r="F14770" s="16" t="n">
        <v>0</v>
      </c>
    </row>
    <row r="14771">
      <c r="E14771" s="2" t="inlineStr">
        <is>
          <t>TOTAL HARGA SATUAN (Inc. Overhead)</t>
        </is>
      </c>
      <c r="F14771" s="17" t="n">
        <v>2330113</v>
      </c>
    </row>
    <row r="14773">
      <c r="A14773" s="14" t="inlineStr">
        <is>
          <t>KODE: 6.5.4.13 - Pemasangan 1 buah strainer (10, 16) K, Dia. 10" (250 mm)</t>
        </is>
      </c>
    </row>
    <row r="14774">
      <c r="A14774" s="10" t="inlineStr">
        <is>
          <t>No</t>
        </is>
      </c>
      <c r="B14774" s="10" t="inlineStr">
        <is>
          <t>Uraian Komponen</t>
        </is>
      </c>
      <c r="C14774" s="10" t="inlineStr">
        <is>
          <t>Satuan</t>
        </is>
      </c>
      <c r="D14774" s="10" t="inlineStr">
        <is>
          <t>Koef</t>
        </is>
      </c>
      <c r="E14774" s="10" t="inlineStr">
        <is>
          <t>Harga Satuan (Rp)</t>
        </is>
      </c>
      <c r="F14774" s="10" t="inlineStr">
        <is>
          <t>Jumlah Harga (Rp)</t>
        </is>
      </c>
    </row>
    <row r="14775">
      <c r="A14775" s="3" t="inlineStr">
        <is>
          <t>1</t>
        </is>
      </c>
      <c r="B14775" s="3" t="inlineStr">
        <is>
          <t>Pekerja</t>
        </is>
      </c>
      <c r="C14775" s="3" t="inlineStr">
        <is>
          <t>OH</t>
        </is>
      </c>
      <c r="D14775" s="15" t="n">
        <v>1.574</v>
      </c>
      <c r="E14775" s="4" t="n">
        <v>100000</v>
      </c>
      <c r="F14775" s="4" t="n">
        <v>157400</v>
      </c>
    </row>
    <row r="14776">
      <c r="A14776" s="3" t="inlineStr">
        <is>
          <t>2</t>
        </is>
      </c>
      <c r="B14776" s="3" t="inlineStr">
        <is>
          <t>Tukang pipa</t>
        </is>
      </c>
      <c r="C14776" s="3" t="inlineStr">
        <is>
          <t>OH</t>
        </is>
      </c>
      <c r="D14776" s="15" t="n">
        <v>2.628</v>
      </c>
      <c r="E14776" s="4" t="n">
        <v>145000</v>
      </c>
      <c r="F14776" s="4" t="n">
        <v>381060</v>
      </c>
    </row>
    <row r="14777">
      <c r="A14777" s="3" t="inlineStr">
        <is>
          <t>3</t>
        </is>
      </c>
      <c r="B14777" s="3" t="inlineStr">
        <is>
          <t>Kepala tukang</t>
        </is>
      </c>
      <c r="C14777" s="3" t="inlineStr">
        <is>
          <t>OH</t>
        </is>
      </c>
      <c r="D14777" s="15" t="n">
        <v>0.263</v>
      </c>
      <c r="E14777" s="4" t="n">
        <v>175000</v>
      </c>
      <c r="F14777" s="4" t="n">
        <v>46025</v>
      </c>
    </row>
    <row r="14778">
      <c r="A14778" s="3" t="inlineStr">
        <is>
          <t>4</t>
        </is>
      </c>
      <c r="B14778" s="3" t="inlineStr">
        <is>
          <t>Mandor</t>
        </is>
      </c>
      <c r="C14778" s="3" t="inlineStr">
        <is>
          <t>OH</t>
        </is>
      </c>
      <c r="D14778" s="15" t="n">
        <v>0.079</v>
      </c>
      <c r="E14778" s="4" t="n">
        <v>200000</v>
      </c>
      <c r="F14778" s="4" t="n">
        <v>15800</v>
      </c>
    </row>
    <row r="14779">
      <c r="A14779" s="3" t="inlineStr">
        <is>
          <t>1</t>
        </is>
      </c>
      <c r="B14779" s="3" t="inlineStr">
        <is>
          <t>"Strainer dia. 10"""</t>
        </is>
      </c>
      <c r="C14779" s="3" t="inlineStr">
        <is>
          <t>unit</t>
        </is>
      </c>
      <c r="D14779" s="15" t="n">
        <v>1.3</v>
      </c>
      <c r="E14779" s="4" t="n">
        <v>1540000</v>
      </c>
      <c r="F14779" s="4" t="n">
        <v>2002000</v>
      </c>
    </row>
    <row r="14780">
      <c r="D14780" s="2" t="inlineStr">
        <is>
          <t>SUBTOTAL UPAH</t>
        </is>
      </c>
      <c r="F14780" s="16" t="n">
        <v>600285</v>
      </c>
    </row>
    <row r="14781">
      <c r="D14781" s="2" t="inlineStr">
        <is>
          <t>SUBTOTAL BAHAN</t>
        </is>
      </c>
      <c r="F14781" s="16" t="n">
        <v>2002000</v>
      </c>
    </row>
    <row r="14782">
      <c r="D14782" s="2" t="inlineStr">
        <is>
          <t>SUBTOTAL ALAT</t>
        </is>
      </c>
      <c r="F14782" s="16" t="n">
        <v>0</v>
      </c>
    </row>
    <row r="14783">
      <c r="E14783" s="2" t="inlineStr">
        <is>
          <t>TOTAL HARGA SATUAN (Inc. Overhead)</t>
        </is>
      </c>
      <c r="F14783" s="17" t="n">
        <v>2862513</v>
      </c>
    </row>
    <row r="14785">
      <c r="A14785" s="14" t="inlineStr">
        <is>
          <t>KODE: 6.5.4.14 - Pemasangan 1 buah strainer (10, 16) K, Dia. 12" (300 mm)</t>
        </is>
      </c>
    </row>
    <row r="14786">
      <c r="A14786" s="10" t="inlineStr">
        <is>
          <t>No</t>
        </is>
      </c>
      <c r="B14786" s="10" t="inlineStr">
        <is>
          <t>Uraian Komponen</t>
        </is>
      </c>
      <c r="C14786" s="10" t="inlineStr">
        <is>
          <t>Satuan</t>
        </is>
      </c>
      <c r="D14786" s="10" t="inlineStr">
        <is>
          <t>Koef</t>
        </is>
      </c>
      <c r="E14786" s="10" t="inlineStr">
        <is>
          <t>Harga Satuan (Rp)</t>
        </is>
      </c>
      <c r="F14786" s="10" t="inlineStr">
        <is>
          <t>Jumlah Harga (Rp)</t>
        </is>
      </c>
    </row>
    <row r="14787">
      <c r="A14787" s="3" t="inlineStr">
        <is>
          <t>1</t>
        </is>
      </c>
      <c r="B14787" s="3" t="inlineStr">
        <is>
          <t>Pekerja</t>
        </is>
      </c>
      <c r="C14787" s="3" t="inlineStr">
        <is>
          <t>OH</t>
        </is>
      </c>
      <c r="D14787" s="15" t="n">
        <v>1.886</v>
      </c>
      <c r="E14787" s="4" t="n">
        <v>100000</v>
      </c>
      <c r="F14787" s="4" t="n">
        <v>188600</v>
      </c>
    </row>
    <row r="14788">
      <c r="A14788" s="3" t="inlineStr">
        <is>
          <t>2</t>
        </is>
      </c>
      <c r="B14788" s="3" t="inlineStr">
        <is>
          <t>Tukang pipa</t>
        </is>
      </c>
      <c r="C14788" s="3" t="inlineStr">
        <is>
          <t>OH</t>
        </is>
      </c>
      <c r="D14788" s="15" t="n">
        <v>3.149</v>
      </c>
      <c r="E14788" s="4" t="n">
        <v>145000</v>
      </c>
      <c r="F14788" s="4" t="n">
        <v>456605</v>
      </c>
    </row>
    <row r="14789">
      <c r="A14789" s="3" t="inlineStr">
        <is>
          <t>3</t>
        </is>
      </c>
      <c r="B14789" s="3" t="inlineStr">
        <is>
          <t>Kepala tukang</t>
        </is>
      </c>
      <c r="C14789" s="3" t="inlineStr">
        <is>
          <t>OH</t>
        </is>
      </c>
      <c r="D14789" s="15" t="n">
        <v>0.315</v>
      </c>
      <c r="E14789" s="4" t="n">
        <v>175000</v>
      </c>
      <c r="F14789" s="4" t="n">
        <v>55125</v>
      </c>
    </row>
    <row r="14790">
      <c r="A14790" s="3" t="inlineStr">
        <is>
          <t>4</t>
        </is>
      </c>
      <c r="B14790" s="3" t="inlineStr">
        <is>
          <t>Mandor</t>
        </is>
      </c>
      <c r="C14790" s="3" t="inlineStr">
        <is>
          <t>OH</t>
        </is>
      </c>
      <c r="D14790" s="15" t="n">
        <v>0.094</v>
      </c>
      <c r="E14790" s="4" t="n">
        <v>200000</v>
      </c>
      <c r="F14790" s="4" t="n">
        <v>18800</v>
      </c>
    </row>
    <row r="14791">
      <c r="A14791" s="3" t="inlineStr">
        <is>
          <t>1</t>
        </is>
      </c>
      <c r="B14791" s="3" t="inlineStr">
        <is>
          <t>"Strainer dia. 12"""</t>
        </is>
      </c>
      <c r="C14791" s="3" t="inlineStr">
        <is>
          <t>unit</t>
        </is>
      </c>
      <c r="D14791" s="15" t="n">
        <v>1.3</v>
      </c>
      <c r="E14791" s="4" t="n">
        <v>1670000</v>
      </c>
      <c r="F14791" s="4" t="n">
        <v>2171000</v>
      </c>
    </row>
    <row r="14792">
      <c r="D14792" s="2" t="inlineStr">
        <is>
          <t>SUBTOTAL UPAH</t>
        </is>
      </c>
      <c r="F14792" s="16" t="n">
        <v>719130</v>
      </c>
    </row>
    <row r="14793">
      <c r="D14793" s="2" t="inlineStr">
        <is>
          <t>SUBTOTAL BAHAN</t>
        </is>
      </c>
      <c r="F14793" s="16" t="n">
        <v>2171000</v>
      </c>
    </row>
    <row r="14794">
      <c r="D14794" s="2" t="inlineStr">
        <is>
          <t>SUBTOTAL ALAT</t>
        </is>
      </c>
      <c r="F14794" s="16" t="n">
        <v>0</v>
      </c>
    </row>
    <row r="14795">
      <c r="E14795" s="2" t="inlineStr">
        <is>
          <t>TOTAL HARGA SATUAN (Inc. Overhead)</t>
        </is>
      </c>
      <c r="F14795" s="17" t="n">
        <v>3179143</v>
      </c>
    </row>
    <row r="14797">
      <c r="A14797" s="14" t="inlineStr">
        <is>
          <t>KODE: 6.5.4.15 - Pemasangan 1 buah strainer 10 K, Dia. 14" (350 mm)</t>
        </is>
      </c>
    </row>
    <row r="14798">
      <c r="A14798" s="10" t="inlineStr">
        <is>
          <t>No</t>
        </is>
      </c>
      <c r="B14798" s="10" t="inlineStr">
        <is>
          <t>Uraian Komponen</t>
        </is>
      </c>
      <c r="C14798" s="10" t="inlineStr">
        <is>
          <t>Satuan</t>
        </is>
      </c>
      <c r="D14798" s="10" t="inlineStr">
        <is>
          <t>Koef</t>
        </is>
      </c>
      <c r="E14798" s="10" t="inlineStr">
        <is>
          <t>Harga Satuan (Rp)</t>
        </is>
      </c>
      <c r="F14798" s="10" t="inlineStr">
        <is>
          <t>Jumlah Harga (Rp)</t>
        </is>
      </c>
    </row>
    <row r="14799">
      <c r="A14799" s="3" t="inlineStr">
        <is>
          <t>1</t>
        </is>
      </c>
      <c r="B14799" s="3" t="inlineStr">
        <is>
          <t>Pekerja</t>
        </is>
      </c>
      <c r="C14799" s="3" t="inlineStr">
        <is>
          <t>OH</t>
        </is>
      </c>
      <c r="D14799" s="15" t="n">
        <v>2.202</v>
      </c>
      <c r="E14799" s="4" t="n">
        <v>100000</v>
      </c>
      <c r="F14799" s="4" t="n">
        <v>220200</v>
      </c>
    </row>
    <row r="14800">
      <c r="A14800" s="3" t="inlineStr">
        <is>
          <t>2</t>
        </is>
      </c>
      <c r="B14800" s="3" t="inlineStr">
        <is>
          <t>Tukang pipa</t>
        </is>
      </c>
      <c r="C14800" s="3" t="inlineStr">
        <is>
          <t>OH</t>
        </is>
      </c>
      <c r="D14800" s="15" t="n">
        <v>3.678</v>
      </c>
      <c r="E14800" s="4" t="n">
        <v>145000</v>
      </c>
      <c r="F14800" s="4" t="n">
        <v>533310</v>
      </c>
    </row>
    <row r="14801">
      <c r="A14801" s="3" t="inlineStr">
        <is>
          <t>3</t>
        </is>
      </c>
      <c r="B14801" s="3" t="inlineStr">
        <is>
          <t>Kepala tukang</t>
        </is>
      </c>
      <c r="C14801" s="3" t="inlineStr">
        <is>
          <t>OH</t>
        </is>
      </c>
      <c r="D14801" s="15" t="n">
        <v>0.368</v>
      </c>
      <c r="E14801" s="4" t="n">
        <v>175000</v>
      </c>
      <c r="F14801" s="4" t="n">
        <v>64400</v>
      </c>
    </row>
    <row r="14802">
      <c r="A14802" s="3" t="inlineStr">
        <is>
          <t>4</t>
        </is>
      </c>
      <c r="B14802" s="3" t="inlineStr">
        <is>
          <t>Mandor</t>
        </is>
      </c>
      <c r="C14802" s="3" t="inlineStr">
        <is>
          <t>OH</t>
        </is>
      </c>
      <c r="D14802" s="15" t="n">
        <v>0.11</v>
      </c>
      <c r="E14802" s="4" t="n">
        <v>200000</v>
      </c>
      <c r="F14802" s="4" t="n">
        <v>22000</v>
      </c>
    </row>
    <row r="14803">
      <c r="A14803" s="3" t="inlineStr">
        <is>
          <t>1</t>
        </is>
      </c>
      <c r="B14803" s="3" t="inlineStr">
        <is>
          <t>"Strainer dia. 14"""</t>
        </is>
      </c>
      <c r="C14803" s="3" t="inlineStr">
        <is>
          <t>unit</t>
        </is>
      </c>
      <c r="D14803" s="15" t="n">
        <v>1.3</v>
      </c>
      <c r="E14803" s="4" t="n">
        <v>1820000</v>
      </c>
      <c r="F14803" s="4" t="n">
        <v>2366000</v>
      </c>
    </row>
    <row r="14804">
      <c r="D14804" s="2" t="inlineStr">
        <is>
          <t>SUBTOTAL UPAH</t>
        </is>
      </c>
      <c r="F14804" s="16" t="n">
        <v>839910</v>
      </c>
    </row>
    <row r="14805">
      <c r="D14805" s="2" t="inlineStr">
        <is>
          <t>SUBTOTAL BAHAN</t>
        </is>
      </c>
      <c r="F14805" s="16" t="n">
        <v>2366000</v>
      </c>
    </row>
    <row r="14806">
      <c r="D14806" s="2" t="inlineStr">
        <is>
          <t>SUBTOTAL ALAT</t>
        </is>
      </c>
      <c r="F14806" s="16" t="n">
        <v>0</v>
      </c>
    </row>
    <row r="14807">
      <c r="E14807" s="2" t="inlineStr">
        <is>
          <t>TOTAL HARGA SATUAN (Inc. Overhead)</t>
        </is>
      </c>
      <c r="F14807" s="17" t="n">
        <v>3526501</v>
      </c>
    </row>
    <row r="14809">
      <c r="A14809" s="14" t="inlineStr">
        <is>
          <t>KODE: 6.5.5.1 - Pemasangan 1 buah Floater Velve, Dia 1/2" ( 15 mm)</t>
        </is>
      </c>
    </row>
    <row r="14810">
      <c r="A14810" s="10" t="inlineStr">
        <is>
          <t>No</t>
        </is>
      </c>
      <c r="B14810" s="10" t="inlineStr">
        <is>
          <t>Uraian Komponen</t>
        </is>
      </c>
      <c r="C14810" s="10" t="inlineStr">
        <is>
          <t>Satuan</t>
        </is>
      </c>
      <c r="D14810" s="10" t="inlineStr">
        <is>
          <t>Koef</t>
        </is>
      </c>
      <c r="E14810" s="10" t="inlineStr">
        <is>
          <t>Harga Satuan (Rp)</t>
        </is>
      </c>
      <c r="F14810" s="10" t="inlineStr">
        <is>
          <t>Jumlah Harga (Rp)</t>
        </is>
      </c>
    </row>
    <row r="14811">
      <c r="A14811" s="3" t="inlineStr">
        <is>
          <t>1</t>
        </is>
      </c>
      <c r="B14811" s="3" t="inlineStr">
        <is>
          <t>Pekerja</t>
        </is>
      </c>
      <c r="C14811" s="3" t="inlineStr">
        <is>
          <t>OH</t>
        </is>
      </c>
      <c r="D14811" s="15" t="n">
        <v>0.052</v>
      </c>
      <c r="E14811" s="4" t="n">
        <v>100000</v>
      </c>
      <c r="F14811" s="4" t="n">
        <v>5200</v>
      </c>
    </row>
    <row r="14812">
      <c r="A14812" s="3" t="inlineStr">
        <is>
          <t>2</t>
        </is>
      </c>
      <c r="B14812" s="3" t="inlineStr">
        <is>
          <t>Tukang pipa</t>
        </is>
      </c>
      <c r="C14812" s="3" t="inlineStr">
        <is>
          <t>OH</t>
        </is>
      </c>
      <c r="D14812" s="15" t="n">
        <v>0.08699999999999999</v>
      </c>
      <c r="E14812" s="4" t="n">
        <v>145000</v>
      </c>
      <c r="F14812" s="4" t="n">
        <v>12615</v>
      </c>
    </row>
    <row r="14813">
      <c r="A14813" s="3" t="inlineStr">
        <is>
          <t>3</t>
        </is>
      </c>
      <c r="B14813" s="3" t="inlineStr">
        <is>
          <t>Kepala tukang</t>
        </is>
      </c>
      <c r="C14813" s="3" t="inlineStr">
        <is>
          <t>OH</t>
        </is>
      </c>
      <c r="D14813" s="15" t="n">
        <v>0.008999999999999999</v>
      </c>
      <c r="E14813" s="4" t="n">
        <v>175000</v>
      </c>
      <c r="F14813" s="4" t="n">
        <v>1575</v>
      </c>
    </row>
    <row r="14814">
      <c r="A14814" s="3" t="inlineStr">
        <is>
          <t>4</t>
        </is>
      </c>
      <c r="B14814" s="3" t="inlineStr">
        <is>
          <t>Mandor</t>
        </is>
      </c>
      <c r="C14814" s="3" t="inlineStr">
        <is>
          <t>OH</t>
        </is>
      </c>
      <c r="D14814" s="15" t="n">
        <v>0.003</v>
      </c>
      <c r="E14814" s="4" t="n">
        <v>200000</v>
      </c>
      <c r="F14814" s="4" t="n">
        <v>600</v>
      </c>
    </row>
    <row r="14815">
      <c r="A14815" s="3" t="inlineStr">
        <is>
          <t>1</t>
        </is>
      </c>
      <c r="B14815" s="3" t="inlineStr">
        <is>
          <t>"Floater Velve dia. 1/2"""</t>
        </is>
      </c>
      <c r="C14815" s="3" t="inlineStr">
        <is>
          <t>unit</t>
        </is>
      </c>
      <c r="D14815" s="15" t="n">
        <v>1.15</v>
      </c>
      <c r="E14815" s="4" t="n">
        <v>221000</v>
      </c>
      <c r="F14815" s="4" t="n">
        <v>254150</v>
      </c>
    </row>
    <row r="14816">
      <c r="D14816" s="2" t="inlineStr">
        <is>
          <t>SUBTOTAL UPAH</t>
        </is>
      </c>
      <c r="F14816" s="16" t="n">
        <v>19990</v>
      </c>
    </row>
    <row r="14817">
      <c r="D14817" s="2" t="inlineStr">
        <is>
          <t>SUBTOTAL BAHAN</t>
        </is>
      </c>
      <c r="F14817" s="16" t="n">
        <v>254150</v>
      </c>
    </row>
    <row r="14818">
      <c r="D14818" s="2" t="inlineStr">
        <is>
          <t>SUBTOTAL ALAT</t>
        </is>
      </c>
      <c r="F14818" s="16" t="n">
        <v>0</v>
      </c>
    </row>
    <row r="14819">
      <c r="E14819" s="2" t="inlineStr">
        <is>
          <t>TOTAL HARGA SATUAN (Inc. Overhead)</t>
        </is>
      </c>
      <c r="F14819" s="17" t="n">
        <v>301554</v>
      </c>
    </row>
    <row r="14821">
      <c r="A14821" s="14" t="inlineStr">
        <is>
          <t>KODE: 6.5.5.2 - Pemasangan 1 buah Floater Velve, Dia 3/4" ( 20 mm)</t>
        </is>
      </c>
    </row>
    <row r="14822">
      <c r="A14822" s="10" t="inlineStr">
        <is>
          <t>No</t>
        </is>
      </c>
      <c r="B14822" s="10" t="inlineStr">
        <is>
          <t>Uraian Komponen</t>
        </is>
      </c>
      <c r="C14822" s="10" t="inlineStr">
        <is>
          <t>Satuan</t>
        </is>
      </c>
      <c r="D14822" s="10" t="inlineStr">
        <is>
          <t>Koef</t>
        </is>
      </c>
      <c r="E14822" s="10" t="inlineStr">
        <is>
          <t>Harga Satuan (Rp)</t>
        </is>
      </c>
      <c r="F14822" s="10" t="inlineStr">
        <is>
          <t>Jumlah Harga (Rp)</t>
        </is>
      </c>
    </row>
    <row r="14823">
      <c r="A14823" s="3" t="inlineStr">
        <is>
          <t>1</t>
        </is>
      </c>
      <c r="B14823" s="3" t="inlineStr">
        <is>
          <t>Pekerja</t>
        </is>
      </c>
      <c r="C14823" s="3" t="inlineStr">
        <is>
          <t>OH</t>
        </is>
      </c>
      <c r="D14823" s="15" t="n">
        <v>0.079</v>
      </c>
      <c r="E14823" s="4" t="n">
        <v>100000</v>
      </c>
      <c r="F14823" s="4" t="n">
        <v>7900</v>
      </c>
    </row>
    <row r="14824">
      <c r="A14824" s="3" t="inlineStr">
        <is>
          <t>2</t>
        </is>
      </c>
      <c r="B14824" s="3" t="inlineStr">
        <is>
          <t>Tukang pipa</t>
        </is>
      </c>
      <c r="C14824" s="3" t="inlineStr">
        <is>
          <t>OH</t>
        </is>
      </c>
      <c r="D14824" s="15" t="n">
        <v>0.131</v>
      </c>
      <c r="E14824" s="4" t="n">
        <v>145000</v>
      </c>
      <c r="F14824" s="4" t="n">
        <v>18995</v>
      </c>
    </row>
    <row r="14825">
      <c r="A14825" s="3" t="inlineStr">
        <is>
          <t>3</t>
        </is>
      </c>
      <c r="B14825" s="3" t="inlineStr">
        <is>
          <t>Kepala tukang</t>
        </is>
      </c>
      <c r="C14825" s="3" t="inlineStr">
        <is>
          <t>OH</t>
        </is>
      </c>
      <c r="D14825" s="15" t="n">
        <v>0.013</v>
      </c>
      <c r="E14825" s="4" t="n">
        <v>175000</v>
      </c>
      <c r="F14825" s="4" t="n">
        <v>2275</v>
      </c>
    </row>
    <row r="14826">
      <c r="A14826" s="3" t="inlineStr">
        <is>
          <t>4</t>
        </is>
      </c>
      <c r="B14826" s="3" t="inlineStr">
        <is>
          <t>Mandor</t>
        </is>
      </c>
      <c r="C14826" s="3" t="inlineStr">
        <is>
          <t>OH</t>
        </is>
      </c>
      <c r="D14826" s="15" t="n">
        <v>0.004</v>
      </c>
      <c r="E14826" s="4" t="n">
        <v>200000</v>
      </c>
      <c r="F14826" s="4" t="n">
        <v>800</v>
      </c>
    </row>
    <row r="14827">
      <c r="A14827" s="3" t="inlineStr">
        <is>
          <t>1</t>
        </is>
      </c>
      <c r="B14827" s="3" t="inlineStr">
        <is>
          <t>"Floater Velve dia. 3/4"""</t>
        </is>
      </c>
      <c r="C14827" s="3" t="inlineStr">
        <is>
          <t>unit</t>
        </is>
      </c>
      <c r="D14827" s="15" t="n">
        <v>1.15</v>
      </c>
      <c r="E14827" s="4" t="n">
        <v>250000</v>
      </c>
      <c r="F14827" s="4" t="n">
        <v>287500</v>
      </c>
    </row>
    <row r="14828">
      <c r="D14828" s="2" t="inlineStr">
        <is>
          <t>SUBTOTAL UPAH</t>
        </is>
      </c>
      <c r="F14828" s="16" t="n">
        <v>29970</v>
      </c>
    </row>
    <row r="14829">
      <c r="D14829" s="2" t="inlineStr">
        <is>
          <t>SUBTOTAL BAHAN</t>
        </is>
      </c>
      <c r="F14829" s="16" t="n">
        <v>287500</v>
      </c>
    </row>
    <row r="14830">
      <c r="D14830" s="2" t="inlineStr">
        <is>
          <t>SUBTOTAL ALAT</t>
        </is>
      </c>
      <c r="F14830" s="16" t="n">
        <v>0</v>
      </c>
    </row>
    <row r="14831">
      <c r="E14831" s="2" t="inlineStr">
        <is>
          <t>TOTAL HARGA SATUAN (Inc. Overhead)</t>
        </is>
      </c>
      <c r="F14831" s="17" t="n">
        <v>349217</v>
      </c>
    </row>
    <row r="14833">
      <c r="A14833" s="14" t="inlineStr">
        <is>
          <t>KODE: 6.5.5.3 - Pemasangan 1 buah Floater Velve, Dia 1" ( 25 mm)</t>
        </is>
      </c>
    </row>
    <row r="14834">
      <c r="A14834" s="10" t="inlineStr">
        <is>
          <t>No</t>
        </is>
      </c>
      <c r="B14834" s="10" t="inlineStr">
        <is>
          <t>Uraian Komponen</t>
        </is>
      </c>
      <c r="C14834" s="10" t="inlineStr">
        <is>
          <t>Satuan</t>
        </is>
      </c>
      <c r="D14834" s="10" t="inlineStr">
        <is>
          <t>Koef</t>
        </is>
      </c>
      <c r="E14834" s="10" t="inlineStr">
        <is>
          <t>Harga Satuan (Rp)</t>
        </is>
      </c>
      <c r="F14834" s="10" t="inlineStr">
        <is>
          <t>Jumlah Harga (Rp)</t>
        </is>
      </c>
    </row>
    <row r="14835">
      <c r="A14835" s="3" t="inlineStr">
        <is>
          <t>1</t>
        </is>
      </c>
      <c r="B14835" s="3" t="inlineStr">
        <is>
          <t>Pekerja</t>
        </is>
      </c>
      <c r="C14835" s="3" t="inlineStr">
        <is>
          <t>OH</t>
        </is>
      </c>
      <c r="D14835" s="15" t="n">
        <v>0.105</v>
      </c>
      <c r="E14835" s="4" t="n">
        <v>100000</v>
      </c>
      <c r="F14835" s="4" t="n">
        <v>10500</v>
      </c>
    </row>
    <row r="14836">
      <c r="A14836" s="3" t="inlineStr">
        <is>
          <t>2</t>
        </is>
      </c>
      <c r="B14836" s="3" t="inlineStr">
        <is>
          <t>Tukang pipa</t>
        </is>
      </c>
      <c r="C14836" s="3" t="inlineStr">
        <is>
          <t>OH</t>
        </is>
      </c>
      <c r="D14836" s="15" t="n">
        <v>0.175</v>
      </c>
      <c r="E14836" s="4" t="n">
        <v>145000</v>
      </c>
      <c r="F14836" s="4" t="n">
        <v>25375</v>
      </c>
    </row>
    <row r="14837">
      <c r="A14837" s="3" t="inlineStr">
        <is>
          <t>3</t>
        </is>
      </c>
      <c r="B14837" s="3" t="inlineStr">
        <is>
          <t>Kepala tukang</t>
        </is>
      </c>
      <c r="C14837" s="3" t="inlineStr">
        <is>
          <t>OH</t>
        </is>
      </c>
      <c r="D14837" s="15" t="n">
        <v>0.017</v>
      </c>
      <c r="E14837" s="4" t="n">
        <v>175000</v>
      </c>
      <c r="F14837" s="4" t="n">
        <v>2975</v>
      </c>
    </row>
    <row r="14838">
      <c r="A14838" s="3" t="inlineStr">
        <is>
          <t>4</t>
        </is>
      </c>
      <c r="B14838" s="3" t="inlineStr">
        <is>
          <t>Mandor</t>
        </is>
      </c>
      <c r="C14838" s="3" t="inlineStr">
        <is>
          <t>OH</t>
        </is>
      </c>
      <c r="D14838" s="15" t="n">
        <v>0.005</v>
      </c>
      <c r="E14838" s="4" t="n">
        <v>200000</v>
      </c>
      <c r="F14838" s="4" t="n">
        <v>1000</v>
      </c>
    </row>
    <row r="14839">
      <c r="A14839" s="3" t="inlineStr">
        <is>
          <t>1</t>
        </is>
      </c>
      <c r="B14839" s="3" t="inlineStr">
        <is>
          <t>"Floater Velve dia. 1"""</t>
        </is>
      </c>
      <c r="C14839" s="3" t="inlineStr">
        <is>
          <t>unit</t>
        </is>
      </c>
      <c r="D14839" s="15" t="n">
        <v>1.15</v>
      </c>
      <c r="E14839" s="4" t="n">
        <v>375000</v>
      </c>
      <c r="F14839" s="4" t="n">
        <v>431249.9999999999</v>
      </c>
    </row>
    <row r="14840">
      <c r="D14840" s="2" t="inlineStr">
        <is>
          <t>SUBTOTAL UPAH</t>
        </is>
      </c>
      <c r="F14840" s="16" t="n">
        <v>39850</v>
      </c>
    </row>
    <row r="14841">
      <c r="D14841" s="2" t="inlineStr">
        <is>
          <t>SUBTOTAL BAHAN</t>
        </is>
      </c>
      <c r="F14841" s="16" t="n">
        <v>431249.9999999999</v>
      </c>
    </row>
    <row r="14842">
      <c r="D14842" s="2" t="inlineStr">
        <is>
          <t>SUBTOTAL ALAT</t>
        </is>
      </c>
      <c r="F14842" s="16" t="n">
        <v>0</v>
      </c>
    </row>
    <row r="14843">
      <c r="E14843" s="2" t="inlineStr">
        <is>
          <t>TOTAL HARGA SATUAN (Inc. Overhead)</t>
        </is>
      </c>
      <c r="F14843" s="17" t="n">
        <v>518210</v>
      </c>
    </row>
    <row r="14845">
      <c r="A14845" s="14" t="inlineStr">
        <is>
          <t>KODE: 6.5.5.4 - Pemasangan 1 buah Floater Velve Dia. 1-1/4 " (32 mm)</t>
        </is>
      </c>
    </row>
    <row r="14846">
      <c r="A14846" s="10" t="inlineStr">
        <is>
          <t>No</t>
        </is>
      </c>
      <c r="B14846" s="10" t="inlineStr">
        <is>
          <t>Uraian Komponen</t>
        </is>
      </c>
      <c r="C14846" s="10" t="inlineStr">
        <is>
          <t>Satuan</t>
        </is>
      </c>
      <c r="D14846" s="10" t="inlineStr">
        <is>
          <t>Koef</t>
        </is>
      </c>
      <c r="E14846" s="10" t="inlineStr">
        <is>
          <t>Harga Satuan (Rp)</t>
        </is>
      </c>
      <c r="F14846" s="10" t="inlineStr">
        <is>
          <t>Jumlah Harga (Rp)</t>
        </is>
      </c>
    </row>
    <row r="14847">
      <c r="A14847" s="3" t="inlineStr">
        <is>
          <t>1</t>
        </is>
      </c>
      <c r="B14847" s="3" t="inlineStr">
        <is>
          <t>Pekerja</t>
        </is>
      </c>
      <c r="C14847" s="3" t="inlineStr">
        <is>
          <t>OH</t>
        </is>
      </c>
      <c r="D14847" s="15" t="n">
        <v>0.148</v>
      </c>
      <c r="E14847" s="4" t="n">
        <v>100000</v>
      </c>
      <c r="F14847" s="4" t="n">
        <v>14800</v>
      </c>
    </row>
    <row r="14848">
      <c r="A14848" s="3" t="inlineStr">
        <is>
          <t>2</t>
        </is>
      </c>
      <c r="B14848" s="3" t="inlineStr">
        <is>
          <t>Tukang pipa</t>
        </is>
      </c>
      <c r="C14848" s="3" t="inlineStr">
        <is>
          <t>OH</t>
        </is>
      </c>
      <c r="D14848" s="15" t="n">
        <v>0.247</v>
      </c>
      <c r="E14848" s="4" t="n">
        <v>145000</v>
      </c>
      <c r="F14848" s="4" t="n">
        <v>35815</v>
      </c>
    </row>
    <row r="14849">
      <c r="A14849" s="3" t="inlineStr">
        <is>
          <t>3</t>
        </is>
      </c>
      <c r="B14849" s="3" t="inlineStr">
        <is>
          <t>Kepala tukang</t>
        </is>
      </c>
      <c r="C14849" s="3" t="inlineStr">
        <is>
          <t>OH</t>
        </is>
      </c>
      <c r="D14849" s="15" t="n">
        <v>0.025</v>
      </c>
      <c r="E14849" s="4" t="n">
        <v>175000</v>
      </c>
      <c r="F14849" s="4" t="n">
        <v>4375</v>
      </c>
    </row>
    <row r="14850">
      <c r="A14850" s="3" t="inlineStr">
        <is>
          <t>4</t>
        </is>
      </c>
      <c r="B14850" s="3" t="inlineStr">
        <is>
          <t>Mandor</t>
        </is>
      </c>
      <c r="C14850" s="3" t="inlineStr">
        <is>
          <t>OH</t>
        </is>
      </c>
      <c r="D14850" s="15" t="n">
        <v>0.007</v>
      </c>
      <c r="E14850" s="4" t="n">
        <v>200000</v>
      </c>
      <c r="F14850" s="4" t="n">
        <v>1400</v>
      </c>
    </row>
    <row r="14851">
      <c r="A14851" s="3" t="inlineStr">
        <is>
          <t>1</t>
        </is>
      </c>
      <c r="B14851" s="3" t="inlineStr">
        <is>
          <t>"Foot Velve dia. 1-1/4"""</t>
        </is>
      </c>
      <c r="C14851" s="3" t="inlineStr">
        <is>
          <t>unit</t>
        </is>
      </c>
      <c r="D14851" s="15" t="n">
        <v>1.15</v>
      </c>
      <c r="E14851" s="4" t="n">
        <v>134600</v>
      </c>
      <c r="F14851" s="4" t="n">
        <v>154790</v>
      </c>
    </row>
    <row r="14852">
      <c r="D14852" s="2" t="inlineStr">
        <is>
          <t>SUBTOTAL UPAH</t>
        </is>
      </c>
      <c r="F14852" s="16" t="n">
        <v>56390</v>
      </c>
    </row>
    <row r="14853">
      <c r="D14853" s="2" t="inlineStr">
        <is>
          <t>SUBTOTAL BAHAN</t>
        </is>
      </c>
      <c r="F14853" s="16" t="n">
        <v>154790</v>
      </c>
    </row>
    <row r="14854">
      <c r="D14854" s="2" t="inlineStr">
        <is>
          <t>SUBTOTAL ALAT</t>
        </is>
      </c>
      <c r="F14854" s="16" t="n">
        <v>0</v>
      </c>
    </row>
    <row r="14855">
      <c r="E14855" s="2" t="inlineStr">
        <is>
          <t>TOTAL HARGA SATUAN (Inc. Overhead)</t>
        </is>
      </c>
      <c r="F14855" s="17" t="n">
        <v>667370</v>
      </c>
    </row>
    <row r="14857">
      <c r="A14857" s="14" t="inlineStr">
        <is>
          <t>KODE: 6.5.5.5 - Pemasangan 1 buah Floater Velve, Dia. 1-1/2 " (40 mm)</t>
        </is>
      </c>
    </row>
    <row r="14858">
      <c r="A14858" s="10" t="inlineStr">
        <is>
          <t>No</t>
        </is>
      </c>
      <c r="B14858" s="10" t="inlineStr">
        <is>
          <t>Uraian Komponen</t>
        </is>
      </c>
      <c r="C14858" s="10" t="inlineStr">
        <is>
          <t>Satuan</t>
        </is>
      </c>
      <c r="D14858" s="10" t="inlineStr">
        <is>
          <t>Koef</t>
        </is>
      </c>
      <c r="E14858" s="10" t="inlineStr">
        <is>
          <t>Harga Satuan (Rp)</t>
        </is>
      </c>
      <c r="F14858" s="10" t="inlineStr">
        <is>
          <t>Jumlah Harga (Rp)</t>
        </is>
      </c>
    </row>
    <row r="14859">
      <c r="A14859" s="3" t="inlineStr">
        <is>
          <t>1</t>
        </is>
      </c>
      <c r="B14859" s="3" t="inlineStr">
        <is>
          <t>Pekerja</t>
        </is>
      </c>
      <c r="C14859" s="3" t="inlineStr">
        <is>
          <t>OH</t>
        </is>
      </c>
      <c r="D14859" s="15" t="n">
        <v>0.157</v>
      </c>
      <c r="E14859" s="4" t="n">
        <v>100000</v>
      </c>
      <c r="F14859" s="4" t="n">
        <v>15700</v>
      </c>
    </row>
    <row r="14860">
      <c r="A14860" s="3" t="inlineStr">
        <is>
          <t>2</t>
        </is>
      </c>
      <c r="B14860" s="3" t="inlineStr">
        <is>
          <t>Tukang pipa</t>
        </is>
      </c>
      <c r="C14860" s="3" t="inlineStr">
        <is>
          <t>OH</t>
        </is>
      </c>
      <c r="D14860" s="15" t="n">
        <v>0.262</v>
      </c>
      <c r="E14860" s="4" t="n">
        <v>145000</v>
      </c>
      <c r="F14860" s="4" t="n">
        <v>37990</v>
      </c>
    </row>
    <row r="14861">
      <c r="A14861" s="3" t="inlineStr">
        <is>
          <t>3</t>
        </is>
      </c>
      <c r="B14861" s="3" t="inlineStr">
        <is>
          <t>Kepala tukang</t>
        </is>
      </c>
      <c r="C14861" s="3" t="inlineStr">
        <is>
          <t>OH</t>
        </is>
      </c>
      <c r="D14861" s="15" t="n">
        <v>0.026</v>
      </c>
      <c r="E14861" s="4" t="n">
        <v>175000</v>
      </c>
      <c r="F14861" s="4" t="n">
        <v>4550</v>
      </c>
    </row>
    <row r="14862">
      <c r="A14862" s="3" t="inlineStr">
        <is>
          <t>4</t>
        </is>
      </c>
      <c r="B14862" s="3" t="inlineStr">
        <is>
          <t>Mandor</t>
        </is>
      </c>
      <c r="C14862" s="3" t="inlineStr">
        <is>
          <t>OH</t>
        </is>
      </c>
      <c r="D14862" s="15" t="n">
        <v>0.008</v>
      </c>
      <c r="E14862" s="4" t="n">
        <v>200000</v>
      </c>
      <c r="F14862" s="4" t="n">
        <v>1600</v>
      </c>
    </row>
    <row r="14863">
      <c r="A14863" s="3" t="inlineStr">
        <is>
          <t>1</t>
        </is>
      </c>
      <c r="B14863" s="3" t="inlineStr">
        <is>
          <t>"Foot Velve dia. 1-1/2"""</t>
        </is>
      </c>
      <c r="C14863" s="3" t="inlineStr">
        <is>
          <t>unit</t>
        </is>
      </c>
      <c r="D14863" s="15" t="n">
        <v>1.15</v>
      </c>
      <c r="E14863" s="4" t="n">
        <v>202000</v>
      </c>
      <c r="F14863" s="4" t="n">
        <v>232300</v>
      </c>
    </row>
    <row r="14864">
      <c r="D14864" s="2" t="inlineStr">
        <is>
          <t>SUBTOTAL UPAH</t>
        </is>
      </c>
      <c r="F14864" s="16" t="n">
        <v>59840</v>
      </c>
    </row>
    <row r="14865">
      <c r="D14865" s="2" t="inlineStr">
        <is>
          <t>SUBTOTAL BAHAN</t>
        </is>
      </c>
      <c r="F14865" s="16" t="n">
        <v>232300</v>
      </c>
    </row>
    <row r="14866">
      <c r="D14866" s="2" t="inlineStr">
        <is>
          <t>SUBTOTAL ALAT</t>
        </is>
      </c>
      <c r="F14866" s="16" t="n">
        <v>0</v>
      </c>
    </row>
    <row r="14867">
      <c r="E14867" s="2" t="inlineStr">
        <is>
          <t>TOTAL HARGA SATUAN (Inc. Overhead)</t>
        </is>
      </c>
      <c r="F14867" s="17" t="n">
        <v>862774</v>
      </c>
    </row>
    <row r="14869">
      <c r="A14869" s="14" t="inlineStr">
        <is>
          <t>KODE: 6.5.5.6 - Pemasangan 1 buahFloater Velve, Dia. 2 " (50 mm)</t>
        </is>
      </c>
    </row>
    <row r="14870">
      <c r="A14870" s="10" t="inlineStr">
        <is>
          <t>No</t>
        </is>
      </c>
      <c r="B14870" s="10" t="inlineStr">
        <is>
          <t>Uraian Komponen</t>
        </is>
      </c>
      <c r="C14870" s="10" t="inlineStr">
        <is>
          <t>Satuan</t>
        </is>
      </c>
      <c r="D14870" s="10" t="inlineStr">
        <is>
          <t>Koef</t>
        </is>
      </c>
      <c r="E14870" s="10" t="inlineStr">
        <is>
          <t>Harga Satuan (Rp)</t>
        </is>
      </c>
      <c r="F14870" s="10" t="inlineStr">
        <is>
          <t>Jumlah Harga (Rp)</t>
        </is>
      </c>
    </row>
    <row r="14871">
      <c r="A14871" s="3" t="inlineStr">
        <is>
          <t>1</t>
        </is>
      </c>
      <c r="B14871" s="3" t="inlineStr">
        <is>
          <t>Pekerja</t>
        </is>
      </c>
      <c r="C14871" s="3" t="inlineStr">
        <is>
          <t>OH</t>
        </is>
      </c>
      <c r="D14871" s="15" t="n">
        <v>0.207</v>
      </c>
      <c r="E14871" s="4" t="n">
        <v>100000</v>
      </c>
      <c r="F14871" s="4" t="n">
        <v>20700</v>
      </c>
    </row>
    <row r="14872">
      <c r="A14872" s="3" t="inlineStr">
        <is>
          <t>2</t>
        </is>
      </c>
      <c r="B14872" s="3" t="inlineStr">
        <is>
          <t>Tukang pipa</t>
        </is>
      </c>
      <c r="C14872" s="3" t="inlineStr">
        <is>
          <t>OH</t>
        </is>
      </c>
      <c r="D14872" s="15" t="n">
        <v>0.346</v>
      </c>
      <c r="E14872" s="4" t="n">
        <v>145000</v>
      </c>
      <c r="F14872" s="4" t="n">
        <v>50169.99999999999</v>
      </c>
    </row>
    <row r="14873">
      <c r="A14873" s="3" t="inlineStr">
        <is>
          <t>3</t>
        </is>
      </c>
      <c r="B14873" s="3" t="inlineStr">
        <is>
          <t>Kepala tukang</t>
        </is>
      </c>
      <c r="C14873" s="3" t="inlineStr">
        <is>
          <t>OH</t>
        </is>
      </c>
      <c r="D14873" s="15" t="n">
        <v>0.035</v>
      </c>
      <c r="E14873" s="4" t="n">
        <v>175000</v>
      </c>
      <c r="F14873" s="4" t="n">
        <v>6125.000000000001</v>
      </c>
    </row>
    <row r="14874">
      <c r="A14874" s="3" t="inlineStr">
        <is>
          <t>4</t>
        </is>
      </c>
      <c r="B14874" s="3" t="inlineStr">
        <is>
          <t>Mandor</t>
        </is>
      </c>
      <c r="C14874" s="3" t="inlineStr">
        <is>
          <t>OH</t>
        </is>
      </c>
      <c r="D14874" s="15" t="n">
        <v>0.01</v>
      </c>
      <c r="E14874" s="4" t="n">
        <v>200000</v>
      </c>
      <c r="F14874" s="4" t="n">
        <v>2000</v>
      </c>
    </row>
    <row r="14875">
      <c r="A14875" s="3" t="inlineStr">
        <is>
          <t>1</t>
        </is>
      </c>
      <c r="B14875" s="3" t="inlineStr">
        <is>
          <t>"Floater Velve dia. 2"""</t>
        </is>
      </c>
      <c r="C14875" s="3" t="inlineStr">
        <is>
          <t>unit</t>
        </is>
      </c>
      <c r="D14875" s="15" t="n">
        <v>1.15</v>
      </c>
      <c r="E14875" s="4" t="n">
        <v>870000</v>
      </c>
      <c r="F14875" s="4" t="n">
        <v>1000500</v>
      </c>
    </row>
    <row r="14876">
      <c r="D14876" s="2" t="inlineStr">
        <is>
          <t>SUBTOTAL UPAH</t>
        </is>
      </c>
      <c r="F14876" s="16" t="n">
        <v>78995</v>
      </c>
    </row>
    <row r="14877">
      <c r="D14877" s="2" t="inlineStr">
        <is>
          <t>SUBTOTAL BAHAN</t>
        </is>
      </c>
      <c r="F14877" s="16" t="n">
        <v>1000500</v>
      </c>
    </row>
    <row r="14878">
      <c r="D14878" s="2" t="inlineStr">
        <is>
          <t>SUBTOTAL ALAT</t>
        </is>
      </c>
      <c r="F14878" s="16" t="n">
        <v>0</v>
      </c>
    </row>
    <row r="14879">
      <c r="E14879" s="2" t="inlineStr">
        <is>
          <t>TOTAL HARGA SATUAN (Inc. Overhead)</t>
        </is>
      </c>
      <c r="F14879" s="17" t="n">
        <v>1187444</v>
      </c>
    </row>
    <row r="14881">
      <c r="A14881" s="14" t="inlineStr">
        <is>
          <t>KODE: 6.5.5.7 - Pemasangan 1 buah Floater Velve, Dia. 2-1/2 " (65 mm)</t>
        </is>
      </c>
    </row>
    <row r="14882">
      <c r="A14882" s="10" t="inlineStr">
        <is>
          <t>No</t>
        </is>
      </c>
      <c r="B14882" s="10" t="inlineStr">
        <is>
          <t>Uraian Komponen</t>
        </is>
      </c>
      <c r="C14882" s="10" t="inlineStr">
        <is>
          <t>Satuan</t>
        </is>
      </c>
      <c r="D14882" s="10" t="inlineStr">
        <is>
          <t>Koef</t>
        </is>
      </c>
      <c r="E14882" s="10" t="inlineStr">
        <is>
          <t>Harga Satuan (Rp)</t>
        </is>
      </c>
      <c r="F14882" s="10" t="inlineStr">
        <is>
          <t>Jumlah Harga (Rp)</t>
        </is>
      </c>
    </row>
    <row r="14883">
      <c r="A14883" s="3" t="inlineStr">
        <is>
          <t>1</t>
        </is>
      </c>
      <c r="B14883" s="3" t="inlineStr">
        <is>
          <t>Pekerja</t>
        </is>
      </c>
      <c r="C14883" s="3" t="inlineStr">
        <is>
          <t>OH</t>
        </is>
      </c>
      <c r="D14883" s="15" t="n">
        <v>0.26</v>
      </c>
      <c r="E14883" s="4" t="n">
        <v>100000</v>
      </c>
      <c r="F14883" s="4" t="n">
        <v>26000</v>
      </c>
    </row>
    <row r="14884">
      <c r="A14884" s="3" t="inlineStr">
        <is>
          <t>2</t>
        </is>
      </c>
      <c r="B14884" s="3" t="inlineStr">
        <is>
          <t>Tukang pipa</t>
        </is>
      </c>
      <c r="C14884" s="3" t="inlineStr">
        <is>
          <t>OH</t>
        </is>
      </c>
      <c r="D14884" s="15" t="n">
        <v>0.433</v>
      </c>
      <c r="E14884" s="4" t="n">
        <v>145000</v>
      </c>
      <c r="F14884" s="4" t="n">
        <v>62785</v>
      </c>
    </row>
    <row r="14885">
      <c r="A14885" s="3" t="inlineStr">
        <is>
          <t>3</t>
        </is>
      </c>
      <c r="B14885" s="3" t="inlineStr">
        <is>
          <t>Kepala tukang</t>
        </is>
      </c>
      <c r="C14885" s="3" t="inlineStr">
        <is>
          <t>OH</t>
        </is>
      </c>
      <c r="D14885" s="15" t="n">
        <v>0.043</v>
      </c>
      <c r="E14885" s="4" t="n">
        <v>175000</v>
      </c>
      <c r="F14885" s="4" t="n">
        <v>7524.999999999999</v>
      </c>
    </row>
    <row r="14886">
      <c r="A14886" s="3" t="inlineStr">
        <is>
          <t>4</t>
        </is>
      </c>
      <c r="B14886" s="3" t="inlineStr">
        <is>
          <t>Mandor</t>
        </is>
      </c>
      <c r="C14886" s="3" t="inlineStr">
        <is>
          <t>OH</t>
        </is>
      </c>
      <c r="D14886" s="15" t="n">
        <v>0.013</v>
      </c>
      <c r="E14886" s="4" t="n">
        <v>200000</v>
      </c>
      <c r="F14886" s="4" t="n">
        <v>2600</v>
      </c>
    </row>
    <row r="14887">
      <c r="A14887" s="3" t="inlineStr">
        <is>
          <t>1</t>
        </is>
      </c>
      <c r="B14887" s="3" t="inlineStr">
        <is>
          <t>"Floater Velve dia. 2-1/2"""</t>
        </is>
      </c>
      <c r="C14887" s="3" t="inlineStr">
        <is>
          <t>unit</t>
        </is>
      </c>
      <c r="D14887" s="15" t="n">
        <v>1.15</v>
      </c>
      <c r="E14887" s="4" t="n">
        <v>980000</v>
      </c>
      <c r="F14887" s="4" t="n">
        <v>1127000</v>
      </c>
    </row>
    <row r="14888">
      <c r="D14888" s="2" t="inlineStr">
        <is>
          <t>SUBTOTAL UPAH</t>
        </is>
      </c>
      <c r="F14888" s="16" t="n">
        <v>98910</v>
      </c>
    </row>
    <row r="14889">
      <c r="D14889" s="2" t="inlineStr">
        <is>
          <t>SUBTOTAL BAHAN</t>
        </is>
      </c>
      <c r="F14889" s="16" t="n">
        <v>1127000</v>
      </c>
    </row>
    <row r="14890">
      <c r="D14890" s="2" t="inlineStr">
        <is>
          <t>SUBTOTAL ALAT</t>
        </is>
      </c>
      <c r="F14890" s="16" t="n">
        <v>0</v>
      </c>
    </row>
    <row r="14891">
      <c r="E14891" s="2" t="inlineStr">
        <is>
          <t>TOTAL HARGA SATUAN (Inc. Overhead)</t>
        </is>
      </c>
      <c r="F14891" s="17" t="n">
        <v>1348501</v>
      </c>
    </row>
    <row r="14893">
      <c r="A14893" s="14" t="inlineStr">
        <is>
          <t>KODE: 6.5.5.8 - Pemasangan 1 buah Floater Velve, Dia. 3 " (80 mm)</t>
        </is>
      </c>
    </row>
    <row r="14894">
      <c r="A14894" s="10" t="inlineStr">
        <is>
          <t>No</t>
        </is>
      </c>
      <c r="B14894" s="10" t="inlineStr">
        <is>
          <t>Uraian Komponen</t>
        </is>
      </c>
      <c r="C14894" s="10" t="inlineStr">
        <is>
          <t>Satuan</t>
        </is>
      </c>
      <c r="D14894" s="10" t="inlineStr">
        <is>
          <t>Koef</t>
        </is>
      </c>
      <c r="E14894" s="10" t="inlineStr">
        <is>
          <t>Harga Satuan (Rp)</t>
        </is>
      </c>
      <c r="F14894" s="10" t="inlineStr">
        <is>
          <t>Jumlah Harga (Rp)</t>
        </is>
      </c>
    </row>
    <row r="14895">
      <c r="A14895" s="3" t="inlineStr">
        <is>
          <t>1</t>
        </is>
      </c>
      <c r="B14895" s="3" t="inlineStr">
        <is>
          <t>Pekerja</t>
        </is>
      </c>
      <c r="C14895" s="3" t="inlineStr">
        <is>
          <t>OH</t>
        </is>
      </c>
      <c r="D14895" s="15" t="n">
        <v>0.471</v>
      </c>
      <c r="E14895" s="4" t="n">
        <v>100000</v>
      </c>
      <c r="F14895" s="4" t="n">
        <v>47100</v>
      </c>
    </row>
    <row r="14896">
      <c r="A14896" s="3" t="inlineStr">
        <is>
          <t>2</t>
        </is>
      </c>
      <c r="B14896" s="3" t="inlineStr">
        <is>
          <t>Tukang pipa</t>
        </is>
      </c>
      <c r="C14896" s="3" t="inlineStr">
        <is>
          <t>OH</t>
        </is>
      </c>
      <c r="D14896" s="15" t="n">
        <v>0.787</v>
      </c>
      <c r="E14896" s="4" t="n">
        <v>145000</v>
      </c>
      <c r="F14896" s="4" t="n">
        <v>114115</v>
      </c>
    </row>
    <row r="14897">
      <c r="A14897" s="3" t="inlineStr">
        <is>
          <t>3</t>
        </is>
      </c>
      <c r="B14897" s="3" t="inlineStr">
        <is>
          <t>Kepala tukang</t>
        </is>
      </c>
      <c r="C14897" s="3" t="inlineStr">
        <is>
          <t>OH</t>
        </is>
      </c>
      <c r="D14897" s="15" t="n">
        <v>0.079</v>
      </c>
      <c r="E14897" s="4" t="n">
        <v>175000</v>
      </c>
      <c r="F14897" s="4" t="n">
        <v>13825</v>
      </c>
    </row>
    <row r="14898">
      <c r="A14898" s="3" t="inlineStr">
        <is>
          <t>4</t>
        </is>
      </c>
      <c r="B14898" s="3" t="inlineStr">
        <is>
          <t>Mandor</t>
        </is>
      </c>
      <c r="C14898" s="3" t="inlineStr">
        <is>
          <t>OH</t>
        </is>
      </c>
      <c r="D14898" s="15" t="n">
        <v>0.024</v>
      </c>
      <c r="E14898" s="4" t="n">
        <v>200000</v>
      </c>
      <c r="F14898" s="4" t="n">
        <v>4800</v>
      </c>
    </row>
    <row r="14899">
      <c r="A14899" s="3" t="inlineStr">
        <is>
          <t>1</t>
        </is>
      </c>
      <c r="B14899" s="3" t="inlineStr">
        <is>
          <t>"Floater Velve dia. 3"""</t>
        </is>
      </c>
      <c r="C14899" s="3" t="inlineStr">
        <is>
          <t>unit</t>
        </is>
      </c>
      <c r="D14899" s="15" t="n">
        <v>1.3</v>
      </c>
      <c r="E14899" s="4" t="n">
        <v>1170000</v>
      </c>
      <c r="F14899" s="4" t="n">
        <v>1521000</v>
      </c>
    </row>
    <row r="14900">
      <c r="D14900" s="2" t="inlineStr">
        <is>
          <t>SUBTOTAL UPAH</t>
        </is>
      </c>
      <c r="F14900" s="16" t="n">
        <v>179840</v>
      </c>
    </row>
    <row r="14901">
      <c r="D14901" s="2" t="inlineStr">
        <is>
          <t>SUBTOTAL BAHAN</t>
        </is>
      </c>
      <c r="F14901" s="16" t="n">
        <v>1521000</v>
      </c>
    </row>
    <row r="14902">
      <c r="D14902" s="2" t="inlineStr">
        <is>
          <t>SUBTOTAL ALAT</t>
        </is>
      </c>
      <c r="F14902" s="16" t="n">
        <v>0</v>
      </c>
    </row>
    <row r="14903">
      <c r="E14903" s="2" t="inlineStr">
        <is>
          <t>TOTAL HARGA SATUAN (Inc. Overhead)</t>
        </is>
      </c>
      <c r="F14903" s="17" t="n">
        <v>1870924</v>
      </c>
    </row>
    <row r="14905">
      <c r="A14905" s="14" t="inlineStr">
        <is>
          <t>KODE: 6.5.5.9 - Pemasangan 1 buah Floater Velve, Dia. 4" (100 mm)</t>
        </is>
      </c>
    </row>
    <row r="14906">
      <c r="A14906" s="10" t="inlineStr">
        <is>
          <t>No</t>
        </is>
      </c>
      <c r="B14906" s="10" t="inlineStr">
        <is>
          <t>Uraian Komponen</t>
        </is>
      </c>
      <c r="C14906" s="10" t="inlineStr">
        <is>
          <t>Satuan</t>
        </is>
      </c>
      <c r="D14906" s="10" t="inlineStr">
        <is>
          <t>Koef</t>
        </is>
      </c>
      <c r="E14906" s="10" t="inlineStr">
        <is>
          <t>Harga Satuan (Rp)</t>
        </is>
      </c>
      <c r="F14906" s="10" t="inlineStr">
        <is>
          <t>Jumlah Harga (Rp)</t>
        </is>
      </c>
    </row>
    <row r="14907">
      <c r="A14907" s="3" t="inlineStr">
        <is>
          <t>1</t>
        </is>
      </c>
      <c r="B14907" s="3" t="inlineStr">
        <is>
          <t>Pekerja</t>
        </is>
      </c>
      <c r="C14907" s="3" t="inlineStr">
        <is>
          <t>OH</t>
        </is>
      </c>
      <c r="D14907" s="15" t="n">
        <v>0.631</v>
      </c>
      <c r="E14907" s="4" t="n">
        <v>100000</v>
      </c>
      <c r="F14907" s="4" t="n">
        <v>63100</v>
      </c>
    </row>
    <row r="14908">
      <c r="A14908" s="3" t="inlineStr">
        <is>
          <t>2</t>
        </is>
      </c>
      <c r="B14908" s="3" t="inlineStr">
        <is>
          <t>Tukang pipa</t>
        </is>
      </c>
      <c r="C14908" s="3" t="inlineStr">
        <is>
          <t>OH</t>
        </is>
      </c>
      <c r="D14908" s="15" t="n">
        <v>1.054</v>
      </c>
      <c r="E14908" s="4" t="n">
        <v>145000</v>
      </c>
      <c r="F14908" s="4" t="n">
        <v>152830</v>
      </c>
    </row>
    <row r="14909">
      <c r="A14909" s="3" t="inlineStr">
        <is>
          <t>3</t>
        </is>
      </c>
      <c r="B14909" s="3" t="inlineStr">
        <is>
          <t>Kepala tukang</t>
        </is>
      </c>
      <c r="C14909" s="3" t="inlineStr">
        <is>
          <t>OH</t>
        </is>
      </c>
      <c r="D14909" s="15" t="n">
        <v>0.105</v>
      </c>
      <c r="E14909" s="4" t="n">
        <v>175000</v>
      </c>
      <c r="F14909" s="4" t="n">
        <v>18375</v>
      </c>
    </row>
    <row r="14910">
      <c r="A14910" s="3" t="inlineStr">
        <is>
          <t>4</t>
        </is>
      </c>
      <c r="B14910" s="3" t="inlineStr">
        <is>
          <t>Mandor</t>
        </is>
      </c>
      <c r="C14910" s="3" t="inlineStr">
        <is>
          <t>OH</t>
        </is>
      </c>
      <c r="D14910" s="15" t="n">
        <v>0.032</v>
      </c>
      <c r="E14910" s="4" t="n">
        <v>200000</v>
      </c>
      <c r="F14910" s="4" t="n">
        <v>6400</v>
      </c>
    </row>
    <row r="14911">
      <c r="A14911" s="3" t="inlineStr">
        <is>
          <t>1</t>
        </is>
      </c>
      <c r="B14911" s="3" t="inlineStr">
        <is>
          <t>"Floater Velve dia. 4"""</t>
        </is>
      </c>
      <c r="C14911" s="3" t="inlineStr">
        <is>
          <t>unit</t>
        </is>
      </c>
      <c r="D14911" s="15" t="n">
        <v>1.3</v>
      </c>
      <c r="E14911" s="4" t="n">
        <v>1370000</v>
      </c>
      <c r="F14911" s="4" t="n">
        <v>1781000</v>
      </c>
    </row>
    <row r="14912">
      <c r="D14912" s="2" t="inlineStr">
        <is>
          <t>SUBTOTAL UPAH</t>
        </is>
      </c>
      <c r="F14912" s="16" t="n">
        <v>240705</v>
      </c>
    </row>
    <row r="14913">
      <c r="D14913" s="2" t="inlineStr">
        <is>
          <t>SUBTOTAL BAHAN</t>
        </is>
      </c>
      <c r="F14913" s="16" t="n">
        <v>1781000</v>
      </c>
    </row>
    <row r="14914">
      <c r="D14914" s="2" t="inlineStr">
        <is>
          <t>SUBTOTAL ALAT</t>
        </is>
      </c>
      <c r="F14914" s="16" t="n">
        <v>0</v>
      </c>
    </row>
    <row r="14915">
      <c r="E14915" s="2" t="inlineStr">
        <is>
          <t>TOTAL HARGA SATUAN (Inc. Overhead)</t>
        </is>
      </c>
      <c r="F14915" s="17" t="n">
        <v>2223875</v>
      </c>
    </row>
    <row r="14917">
      <c r="A14917" s="14" t="inlineStr">
        <is>
          <t>KODE: 6.5.5.10 - Pemasangan 1 buah Floater Velve, Dia. 5" (125 mm)</t>
        </is>
      </c>
    </row>
    <row r="14918">
      <c r="A14918" s="10" t="inlineStr">
        <is>
          <t>No</t>
        </is>
      </c>
      <c r="B14918" s="10" t="inlineStr">
        <is>
          <t>Uraian Komponen</t>
        </is>
      </c>
      <c r="C14918" s="10" t="inlineStr">
        <is>
          <t>Satuan</t>
        </is>
      </c>
      <c r="D14918" s="10" t="inlineStr">
        <is>
          <t>Koef</t>
        </is>
      </c>
      <c r="E14918" s="10" t="inlineStr">
        <is>
          <t>Harga Satuan (Rp)</t>
        </is>
      </c>
      <c r="F14918" s="10" t="inlineStr">
        <is>
          <t>Jumlah Harga (Rp)</t>
        </is>
      </c>
    </row>
    <row r="14919">
      <c r="A14919" s="3" t="inlineStr">
        <is>
          <t>1</t>
        </is>
      </c>
      <c r="B14919" s="3" t="inlineStr">
        <is>
          <t>Pekerja</t>
        </is>
      </c>
      <c r="C14919" s="3" t="inlineStr">
        <is>
          <t>OH</t>
        </is>
      </c>
      <c r="D14919" s="15" t="n">
        <v>0.788</v>
      </c>
      <c r="E14919" s="4" t="n">
        <v>100000</v>
      </c>
      <c r="F14919" s="4" t="n">
        <v>78800</v>
      </c>
    </row>
    <row r="14920">
      <c r="A14920" s="3" t="inlineStr">
        <is>
          <t>2</t>
        </is>
      </c>
      <c r="B14920" s="3" t="inlineStr">
        <is>
          <t>Tukang pipa</t>
        </is>
      </c>
      <c r="C14920" s="3" t="inlineStr">
        <is>
          <t>OH</t>
        </is>
      </c>
      <c r="D14920" s="15" t="n">
        <v>1.316</v>
      </c>
      <c r="E14920" s="4" t="n">
        <v>145000</v>
      </c>
      <c r="F14920" s="4" t="n">
        <v>190820</v>
      </c>
    </row>
    <row r="14921">
      <c r="A14921" s="3" t="inlineStr">
        <is>
          <t>3</t>
        </is>
      </c>
      <c r="B14921" s="3" t="inlineStr">
        <is>
          <t>Kepala tukang</t>
        </is>
      </c>
      <c r="C14921" s="3" t="inlineStr">
        <is>
          <t>OH</t>
        </is>
      </c>
      <c r="D14921" s="15" t="n">
        <v>0.132</v>
      </c>
      <c r="E14921" s="4" t="n">
        <v>175000</v>
      </c>
      <c r="F14921" s="4" t="n">
        <v>23100</v>
      </c>
    </row>
    <row r="14922">
      <c r="A14922" s="3" t="inlineStr">
        <is>
          <t>4</t>
        </is>
      </c>
      <c r="B14922" s="3" t="inlineStr">
        <is>
          <t>Mandor</t>
        </is>
      </c>
      <c r="C14922" s="3" t="inlineStr">
        <is>
          <t>OH</t>
        </is>
      </c>
      <c r="D14922" s="15" t="n">
        <v>0.039</v>
      </c>
      <c r="E14922" s="4" t="n">
        <v>200000</v>
      </c>
      <c r="F14922" s="4" t="n">
        <v>7800</v>
      </c>
    </row>
    <row r="14923">
      <c r="A14923" s="3" t="inlineStr">
        <is>
          <t>1</t>
        </is>
      </c>
      <c r="B14923" s="3" t="inlineStr">
        <is>
          <t>"Floater Velve dia. 5"""</t>
        </is>
      </c>
      <c r="C14923" s="3" t="inlineStr">
        <is>
          <t>unit</t>
        </is>
      </c>
      <c r="D14923" s="15" t="n">
        <v>1.3</v>
      </c>
      <c r="E14923" s="4" t="n">
        <v>1520000</v>
      </c>
      <c r="F14923" s="4" t="n">
        <v>1976000</v>
      </c>
    </row>
    <row r="14924">
      <c r="D14924" s="2" t="inlineStr">
        <is>
          <t>SUBTOTAL UPAH</t>
        </is>
      </c>
      <c r="F14924" s="16" t="n">
        <v>300520</v>
      </c>
    </row>
    <row r="14925">
      <c r="D14925" s="2" t="inlineStr">
        <is>
          <t>SUBTOTAL BAHAN</t>
        </is>
      </c>
      <c r="F14925" s="16" t="n">
        <v>1976000</v>
      </c>
    </row>
    <row r="14926">
      <c r="D14926" s="2" t="inlineStr">
        <is>
          <t>SUBTOTAL ALAT</t>
        </is>
      </c>
      <c r="F14926" s="16" t="n">
        <v>0</v>
      </c>
    </row>
    <row r="14927">
      <c r="E14927" s="2" t="inlineStr">
        <is>
          <t>TOTAL HARGA SATUAN (Inc. Overhead)</t>
        </is>
      </c>
      <c r="F14927" s="17" t="n">
        <v>2504172</v>
      </c>
    </row>
    <row r="14929">
      <c r="A14929" s="14" t="inlineStr">
        <is>
          <t>KODE: 6.5.5.11 - Pemasangan 1 buah Floater Velve, Dia. 6" (150 mm)</t>
        </is>
      </c>
    </row>
    <row r="14930">
      <c r="A14930" s="10" t="inlineStr">
        <is>
          <t>No</t>
        </is>
      </c>
      <c r="B14930" s="10" t="inlineStr">
        <is>
          <t>Uraian Komponen</t>
        </is>
      </c>
      <c r="C14930" s="10" t="inlineStr">
        <is>
          <t>Satuan</t>
        </is>
      </c>
      <c r="D14930" s="10" t="inlineStr">
        <is>
          <t>Koef</t>
        </is>
      </c>
      <c r="E14930" s="10" t="inlineStr">
        <is>
          <t>Harga Satuan (Rp)</t>
        </is>
      </c>
      <c r="F14930" s="10" t="inlineStr">
        <is>
          <t>Jumlah Harga (Rp)</t>
        </is>
      </c>
    </row>
    <row r="14931">
      <c r="A14931" s="3" t="inlineStr">
        <is>
          <t>1</t>
        </is>
      </c>
      <c r="B14931" s="3" t="inlineStr">
        <is>
          <t>Pekerja</t>
        </is>
      </c>
      <c r="C14931" s="3" t="inlineStr">
        <is>
          <t>OH</t>
        </is>
      </c>
      <c r="D14931" s="15" t="n">
        <v>0.945</v>
      </c>
      <c r="E14931" s="4" t="n">
        <v>100000</v>
      </c>
      <c r="F14931" s="4" t="n">
        <v>94500</v>
      </c>
    </row>
    <row r="14932">
      <c r="A14932" s="3" t="inlineStr">
        <is>
          <t>2</t>
        </is>
      </c>
      <c r="B14932" s="3" t="inlineStr">
        <is>
          <t>Tukang pipa</t>
        </is>
      </c>
      <c r="C14932" s="3" t="inlineStr">
        <is>
          <t>OH</t>
        </is>
      </c>
      <c r="D14932" s="15" t="n">
        <v>1.579</v>
      </c>
      <c r="E14932" s="4" t="n">
        <v>145000</v>
      </c>
      <c r="F14932" s="4" t="n">
        <v>228955</v>
      </c>
    </row>
    <row r="14933">
      <c r="A14933" s="3" t="inlineStr">
        <is>
          <t>3</t>
        </is>
      </c>
      <c r="B14933" s="3" t="inlineStr">
        <is>
          <t>Kepala tukang</t>
        </is>
      </c>
      <c r="C14933" s="3" t="inlineStr">
        <is>
          <t>OH</t>
        </is>
      </c>
      <c r="D14933" s="15" t="n">
        <v>0.158</v>
      </c>
      <c r="E14933" s="4" t="n">
        <v>175000</v>
      </c>
      <c r="F14933" s="4" t="n">
        <v>27650</v>
      </c>
    </row>
    <row r="14934">
      <c r="A14934" s="3" t="inlineStr">
        <is>
          <t>4</t>
        </is>
      </c>
      <c r="B14934" s="3" t="inlineStr">
        <is>
          <t>Mandor</t>
        </is>
      </c>
      <c r="C14934" s="3" t="inlineStr">
        <is>
          <t>OH</t>
        </is>
      </c>
      <c r="D14934" s="15" t="n">
        <v>0.047</v>
      </c>
      <c r="E14934" s="4" t="n">
        <v>200000</v>
      </c>
      <c r="F14934" s="4" t="n">
        <v>9400</v>
      </c>
    </row>
    <row r="14935">
      <c r="A14935" s="3" t="inlineStr">
        <is>
          <t>1</t>
        </is>
      </c>
      <c r="B14935" s="3" t="inlineStr">
        <is>
          <t>"Floater Velve dia. 6"""</t>
        </is>
      </c>
      <c r="C14935" s="3" t="inlineStr">
        <is>
          <t>unit</t>
        </is>
      </c>
      <c r="D14935" s="15" t="n">
        <v>1.3</v>
      </c>
      <c r="E14935" s="4" t="n">
        <v>1740000</v>
      </c>
      <c r="F14935" s="4" t="n">
        <v>2262000</v>
      </c>
    </row>
    <row r="14936">
      <c r="D14936" s="2" t="inlineStr">
        <is>
          <t>SUBTOTAL UPAH</t>
        </is>
      </c>
      <c r="F14936" s="16" t="n">
        <v>360505</v>
      </c>
    </row>
    <row r="14937">
      <c r="D14937" s="2" t="inlineStr">
        <is>
          <t>SUBTOTAL BAHAN</t>
        </is>
      </c>
      <c r="F14937" s="16" t="n">
        <v>2262000</v>
      </c>
    </row>
    <row r="14938">
      <c r="D14938" s="2" t="inlineStr">
        <is>
          <t>SUBTOTAL ALAT</t>
        </is>
      </c>
      <c r="F14938" s="16" t="n">
        <v>0</v>
      </c>
    </row>
    <row r="14939">
      <c r="E14939" s="2" t="inlineStr">
        <is>
          <t>TOTAL HARGA SATUAN (Inc. Overhead)</t>
        </is>
      </c>
      <c r="F14939" s="17" t="n">
        <v>2884755</v>
      </c>
    </row>
    <row r="14941">
      <c r="A14941" s="14" t="inlineStr">
        <is>
          <t>KODE: 6.5.5.12 - Pemasangan 1 buah Floater Velve, Dia. 8" (200 mm)</t>
        </is>
      </c>
    </row>
    <row r="14942">
      <c r="A14942" s="10" t="inlineStr">
        <is>
          <t>No</t>
        </is>
      </c>
      <c r="B14942" s="10" t="inlineStr">
        <is>
          <t>Uraian Komponen</t>
        </is>
      </c>
      <c r="C14942" s="10" t="inlineStr">
        <is>
          <t>Satuan</t>
        </is>
      </c>
      <c r="D14942" s="10" t="inlineStr">
        <is>
          <t>Koef</t>
        </is>
      </c>
      <c r="E14942" s="10" t="inlineStr">
        <is>
          <t>Harga Satuan (Rp)</t>
        </is>
      </c>
      <c r="F14942" s="10" t="inlineStr">
        <is>
          <t>Jumlah Harga (Rp)</t>
        </is>
      </c>
    </row>
    <row r="14943">
      <c r="A14943" s="3" t="inlineStr">
        <is>
          <t>1</t>
        </is>
      </c>
      <c r="B14943" s="3" t="inlineStr">
        <is>
          <t>Pekerja</t>
        </is>
      </c>
      <c r="C14943" s="3" t="inlineStr">
        <is>
          <t>OH</t>
        </is>
      </c>
      <c r="D14943" s="15" t="n">
        <v>1.26</v>
      </c>
      <c r="E14943" s="4" t="n">
        <v>100000</v>
      </c>
      <c r="F14943" s="4" t="n">
        <v>126000</v>
      </c>
    </row>
    <row r="14944">
      <c r="A14944" s="3" t="inlineStr">
        <is>
          <t>2</t>
        </is>
      </c>
      <c r="B14944" s="3" t="inlineStr">
        <is>
          <t>Tukang pipa</t>
        </is>
      </c>
      <c r="C14944" s="3" t="inlineStr">
        <is>
          <t>OH</t>
        </is>
      </c>
      <c r="D14944" s="15" t="n">
        <v>2.103</v>
      </c>
      <c r="E14944" s="4" t="n">
        <v>145000</v>
      </c>
      <c r="F14944" s="4" t="n">
        <v>304935.0000000001</v>
      </c>
    </row>
    <row r="14945">
      <c r="A14945" s="3" t="inlineStr">
        <is>
          <t>3</t>
        </is>
      </c>
      <c r="B14945" s="3" t="inlineStr">
        <is>
          <t>Kepala tukang</t>
        </is>
      </c>
      <c r="C14945" s="3" t="inlineStr">
        <is>
          <t>OH</t>
        </is>
      </c>
      <c r="D14945" s="15" t="n">
        <v>0.21</v>
      </c>
      <c r="E14945" s="4" t="n">
        <v>175000</v>
      </c>
      <c r="F14945" s="4" t="n">
        <v>36750</v>
      </c>
    </row>
    <row r="14946">
      <c r="A14946" s="3" t="inlineStr">
        <is>
          <t>4</t>
        </is>
      </c>
      <c r="B14946" s="3" t="inlineStr">
        <is>
          <t>Mandor</t>
        </is>
      </c>
      <c r="C14946" s="3" t="inlineStr">
        <is>
          <t>OH</t>
        </is>
      </c>
      <c r="D14946" s="15" t="n">
        <v>0.063</v>
      </c>
      <c r="E14946" s="4" t="n">
        <v>200000</v>
      </c>
      <c r="F14946" s="4" t="n">
        <v>12600</v>
      </c>
    </row>
    <row r="14947">
      <c r="A14947" s="3" t="inlineStr">
        <is>
          <t>1</t>
        </is>
      </c>
      <c r="B14947" s="3" t="inlineStr">
        <is>
          <t>"Floater Velve dia. 8"""</t>
        </is>
      </c>
      <c r="C14947" s="3" t="inlineStr">
        <is>
          <t>unit</t>
        </is>
      </c>
      <c r="D14947" s="15" t="n">
        <v>1.3</v>
      </c>
      <c r="E14947" s="4" t="n">
        <v>1960000</v>
      </c>
      <c r="F14947" s="4" t="n">
        <v>2548000</v>
      </c>
    </row>
    <row r="14948">
      <c r="D14948" s="2" t="inlineStr">
        <is>
          <t>SUBTOTAL UPAH</t>
        </is>
      </c>
      <c r="F14948" s="16" t="n">
        <v>480285.0000000001</v>
      </c>
    </row>
    <row r="14949">
      <c r="D14949" s="2" t="inlineStr">
        <is>
          <t>SUBTOTAL BAHAN</t>
        </is>
      </c>
      <c r="F14949" s="16" t="n">
        <v>2548000</v>
      </c>
    </row>
    <row r="14950">
      <c r="D14950" s="2" t="inlineStr">
        <is>
          <t>SUBTOTAL ALAT</t>
        </is>
      </c>
      <c r="F14950" s="16" t="n">
        <v>0</v>
      </c>
    </row>
    <row r="14951">
      <c r="E14951" s="2" t="inlineStr">
        <is>
          <t>TOTAL HARGA SATUAN (Inc. Overhead)</t>
        </is>
      </c>
      <c r="F14951" s="17" t="n">
        <v>3331113</v>
      </c>
    </row>
    <row r="14953">
      <c r="A14953" s="14" t="inlineStr">
        <is>
          <t>KODE: 6.5.5.13 - Pemasangan 1 buah Floater Velve, Dia. 10" (250 mm)</t>
        </is>
      </c>
    </row>
    <row r="14954">
      <c r="A14954" s="10" t="inlineStr">
        <is>
          <t>No</t>
        </is>
      </c>
      <c r="B14954" s="10" t="inlineStr">
        <is>
          <t>Uraian Komponen</t>
        </is>
      </c>
      <c r="C14954" s="10" t="inlineStr">
        <is>
          <t>Satuan</t>
        </is>
      </c>
      <c r="D14954" s="10" t="inlineStr">
        <is>
          <t>Koef</t>
        </is>
      </c>
      <c r="E14954" s="10" t="inlineStr">
        <is>
          <t>Harga Satuan (Rp)</t>
        </is>
      </c>
      <c r="F14954" s="10" t="inlineStr">
        <is>
          <t>Jumlah Harga (Rp)</t>
        </is>
      </c>
    </row>
    <row r="14955">
      <c r="A14955" s="3" t="inlineStr">
        <is>
          <t>1</t>
        </is>
      </c>
      <c r="B14955" s="3" t="inlineStr">
        <is>
          <t>Pekerja</t>
        </is>
      </c>
      <c r="C14955" s="3" t="inlineStr">
        <is>
          <t>OH</t>
        </is>
      </c>
      <c r="D14955" s="15" t="n">
        <v>1.574</v>
      </c>
      <c r="E14955" s="4" t="n">
        <v>100000</v>
      </c>
      <c r="F14955" s="4" t="n">
        <v>157400</v>
      </c>
    </row>
    <row r="14956">
      <c r="A14956" s="3" t="inlineStr">
        <is>
          <t>2</t>
        </is>
      </c>
      <c r="B14956" s="3" t="inlineStr">
        <is>
          <t>Tukang pipa</t>
        </is>
      </c>
      <c r="C14956" s="3" t="inlineStr">
        <is>
          <t>OH</t>
        </is>
      </c>
      <c r="D14956" s="15" t="n">
        <v>2.628</v>
      </c>
      <c r="E14956" s="4" t="n">
        <v>145000</v>
      </c>
      <c r="F14956" s="4" t="n">
        <v>381060</v>
      </c>
    </row>
    <row r="14957">
      <c r="A14957" s="3" t="inlineStr">
        <is>
          <t>3</t>
        </is>
      </c>
      <c r="B14957" s="3" t="inlineStr">
        <is>
          <t>Kepala tukang</t>
        </is>
      </c>
      <c r="C14957" s="3" t="inlineStr">
        <is>
          <t>OH</t>
        </is>
      </c>
      <c r="D14957" s="15" t="n">
        <v>0.263</v>
      </c>
      <c r="E14957" s="4" t="n">
        <v>175000</v>
      </c>
      <c r="F14957" s="4" t="n">
        <v>46025</v>
      </c>
    </row>
    <row r="14958">
      <c r="A14958" s="3" t="inlineStr">
        <is>
          <t>4</t>
        </is>
      </c>
      <c r="B14958" s="3" t="inlineStr">
        <is>
          <t>Mandor</t>
        </is>
      </c>
      <c r="C14958" s="3" t="inlineStr">
        <is>
          <t>OH</t>
        </is>
      </c>
      <c r="D14958" s="15" t="n">
        <v>0.079</v>
      </c>
      <c r="E14958" s="4" t="n">
        <v>200000</v>
      </c>
      <c r="F14958" s="4" t="n">
        <v>15800</v>
      </c>
    </row>
    <row r="14959">
      <c r="A14959" s="3" t="inlineStr">
        <is>
          <t>1</t>
        </is>
      </c>
      <c r="B14959" s="3" t="inlineStr">
        <is>
          <t>"Floater Velve dia. 10"""</t>
        </is>
      </c>
      <c r="C14959" s="3" t="inlineStr">
        <is>
          <t>unit</t>
        </is>
      </c>
      <c r="D14959" s="15" t="n">
        <v>1.3</v>
      </c>
      <c r="E14959" s="4" t="n">
        <v>2130000</v>
      </c>
      <c r="F14959" s="4" t="n">
        <v>2769000</v>
      </c>
    </row>
    <row r="14960">
      <c r="D14960" s="2" t="inlineStr">
        <is>
          <t>SUBTOTAL UPAH</t>
        </is>
      </c>
      <c r="F14960" s="16" t="n">
        <v>600285</v>
      </c>
    </row>
    <row r="14961">
      <c r="D14961" s="2" t="inlineStr">
        <is>
          <t>SUBTOTAL BAHAN</t>
        </is>
      </c>
      <c r="F14961" s="16" t="n">
        <v>2769000</v>
      </c>
    </row>
    <row r="14962">
      <c r="D14962" s="2" t="inlineStr">
        <is>
          <t>SUBTOTAL ALAT</t>
        </is>
      </c>
      <c r="F14962" s="16" t="n">
        <v>0</v>
      </c>
    </row>
    <row r="14963">
      <c r="E14963" s="2" t="inlineStr">
        <is>
          <t>TOTAL HARGA SATUAN (Inc. Overhead)</t>
        </is>
      </c>
      <c r="F14963" s="17" t="n">
        <v>3706213</v>
      </c>
    </row>
    <row r="14965">
      <c r="A14965" s="14" t="inlineStr">
        <is>
          <t>KODE: 6.5.5.14 - Pemasangan 1 buah Floater Velve, Dia. 12" (300 mm)</t>
        </is>
      </c>
    </row>
    <row r="14966">
      <c r="A14966" s="10" t="inlineStr">
        <is>
          <t>No</t>
        </is>
      </c>
      <c r="B14966" s="10" t="inlineStr">
        <is>
          <t>Uraian Komponen</t>
        </is>
      </c>
      <c r="C14966" s="10" t="inlineStr">
        <is>
          <t>Satuan</t>
        </is>
      </c>
      <c r="D14966" s="10" t="inlineStr">
        <is>
          <t>Koef</t>
        </is>
      </c>
      <c r="E14966" s="10" t="inlineStr">
        <is>
          <t>Harga Satuan (Rp)</t>
        </is>
      </c>
      <c r="F14966" s="10" t="inlineStr">
        <is>
          <t>Jumlah Harga (Rp)</t>
        </is>
      </c>
    </row>
    <row r="14967">
      <c r="A14967" s="3" t="inlineStr">
        <is>
          <t>1</t>
        </is>
      </c>
      <c r="B14967" s="3" t="inlineStr">
        <is>
          <t>Pekerja</t>
        </is>
      </c>
      <c r="C14967" s="3" t="inlineStr">
        <is>
          <t>OH</t>
        </is>
      </c>
      <c r="D14967" s="15" t="n">
        <v>1.886</v>
      </c>
      <c r="E14967" s="4" t="n">
        <v>100000</v>
      </c>
      <c r="F14967" s="4" t="n">
        <v>188600</v>
      </c>
    </row>
    <row r="14968">
      <c r="A14968" s="3" t="inlineStr">
        <is>
          <t>2</t>
        </is>
      </c>
      <c r="B14968" s="3" t="inlineStr">
        <is>
          <t>Tukang pipa</t>
        </is>
      </c>
      <c r="C14968" s="3" t="inlineStr">
        <is>
          <t>OH</t>
        </is>
      </c>
      <c r="D14968" s="15" t="n">
        <v>3.149</v>
      </c>
      <c r="E14968" s="4" t="n">
        <v>145000</v>
      </c>
      <c r="F14968" s="4" t="n">
        <v>456605</v>
      </c>
    </row>
    <row r="14969">
      <c r="A14969" s="3" t="inlineStr">
        <is>
          <t>3</t>
        </is>
      </c>
      <c r="B14969" s="3" t="inlineStr">
        <is>
          <t>Kepala tukang</t>
        </is>
      </c>
      <c r="C14969" s="3" t="inlineStr">
        <is>
          <t>OH</t>
        </is>
      </c>
      <c r="D14969" s="15" t="n">
        <v>0.315</v>
      </c>
      <c r="E14969" s="4" t="n">
        <v>175000</v>
      </c>
      <c r="F14969" s="4" t="n">
        <v>55125</v>
      </c>
    </row>
    <row r="14970">
      <c r="A14970" s="3" t="inlineStr">
        <is>
          <t>4</t>
        </is>
      </c>
      <c r="B14970" s="3" t="inlineStr">
        <is>
          <t>Mandor</t>
        </is>
      </c>
      <c r="C14970" s="3" t="inlineStr">
        <is>
          <t>OH</t>
        </is>
      </c>
      <c r="D14970" s="15" t="n">
        <v>0.094</v>
      </c>
      <c r="E14970" s="4" t="n">
        <v>200000</v>
      </c>
      <c r="F14970" s="4" t="n">
        <v>18800</v>
      </c>
    </row>
    <row r="14971">
      <c r="A14971" s="3" t="inlineStr">
        <is>
          <t>1</t>
        </is>
      </c>
      <c r="B14971" s="3" t="inlineStr">
        <is>
          <t>"Floater Velve dia. 12"""</t>
        </is>
      </c>
      <c r="C14971" s="3" t="inlineStr">
        <is>
          <t>unit</t>
        </is>
      </c>
      <c r="D14971" s="15" t="n">
        <v>1.3</v>
      </c>
      <c r="E14971" s="4" t="n">
        <v>2480000</v>
      </c>
      <c r="F14971" s="4" t="n">
        <v>3224000</v>
      </c>
    </row>
    <row r="14972">
      <c r="D14972" s="2" t="inlineStr">
        <is>
          <t>SUBTOTAL UPAH</t>
        </is>
      </c>
      <c r="F14972" s="16" t="n">
        <v>719130</v>
      </c>
    </row>
    <row r="14973">
      <c r="D14973" s="2" t="inlineStr">
        <is>
          <t>SUBTOTAL BAHAN</t>
        </is>
      </c>
      <c r="F14973" s="16" t="n">
        <v>3224000</v>
      </c>
    </row>
    <row r="14974">
      <c r="D14974" s="2" t="inlineStr">
        <is>
          <t>SUBTOTAL ALAT</t>
        </is>
      </c>
      <c r="F14974" s="16" t="n">
        <v>0</v>
      </c>
    </row>
    <row r="14975">
      <c r="E14975" s="2" t="inlineStr">
        <is>
          <t>TOTAL HARGA SATUAN (Inc. Overhead)</t>
        </is>
      </c>
      <c r="F14975" s="17" t="n">
        <v>4337443</v>
      </c>
    </row>
    <row r="14977">
      <c r="A14977" s="14" t="inlineStr">
        <is>
          <t>KODE: 6.5.6.1 - Pemasangan 1 buah Foot Velve, Dia 1/2" ( 15 mm)</t>
        </is>
      </c>
    </row>
    <row r="14978">
      <c r="A14978" s="10" t="inlineStr">
        <is>
          <t>No</t>
        </is>
      </c>
      <c r="B14978" s="10" t="inlineStr">
        <is>
          <t>Uraian Komponen</t>
        </is>
      </c>
      <c r="C14978" s="10" t="inlineStr">
        <is>
          <t>Satuan</t>
        </is>
      </c>
      <c r="D14978" s="10" t="inlineStr">
        <is>
          <t>Koef</t>
        </is>
      </c>
      <c r="E14978" s="10" t="inlineStr">
        <is>
          <t>Harga Satuan (Rp)</t>
        </is>
      </c>
      <c r="F14978" s="10" t="inlineStr">
        <is>
          <t>Jumlah Harga (Rp)</t>
        </is>
      </c>
    </row>
    <row r="14979">
      <c r="A14979" s="3" t="inlineStr">
        <is>
          <t>1</t>
        </is>
      </c>
      <c r="B14979" s="3" t="inlineStr">
        <is>
          <t>Pekerja</t>
        </is>
      </c>
      <c r="C14979" s="3" t="inlineStr">
        <is>
          <t>OH</t>
        </is>
      </c>
      <c r="D14979" s="15" t="n">
        <v>0.052</v>
      </c>
      <c r="E14979" s="4" t="n">
        <v>100000</v>
      </c>
      <c r="F14979" s="4" t="n">
        <v>5200</v>
      </c>
    </row>
    <row r="14980">
      <c r="A14980" s="3" t="inlineStr">
        <is>
          <t>2</t>
        </is>
      </c>
      <c r="B14980" s="3" t="inlineStr">
        <is>
          <t>Tukang pipa</t>
        </is>
      </c>
      <c r="C14980" s="3" t="inlineStr">
        <is>
          <t>OH</t>
        </is>
      </c>
      <c r="D14980" s="15" t="n">
        <v>0.08699999999999999</v>
      </c>
      <c r="E14980" s="4" t="n">
        <v>145000</v>
      </c>
      <c r="F14980" s="4" t="n">
        <v>12615</v>
      </c>
    </row>
    <row r="14981">
      <c r="A14981" s="3" t="inlineStr">
        <is>
          <t>3</t>
        </is>
      </c>
      <c r="B14981" s="3" t="inlineStr">
        <is>
          <t>Kepala tukang</t>
        </is>
      </c>
      <c r="C14981" s="3" t="inlineStr">
        <is>
          <t>OH</t>
        </is>
      </c>
      <c r="D14981" s="15" t="n">
        <v>0.008999999999999999</v>
      </c>
      <c r="E14981" s="4" t="n">
        <v>175000</v>
      </c>
      <c r="F14981" s="4" t="n">
        <v>1575</v>
      </c>
    </row>
    <row r="14982">
      <c r="A14982" s="3" t="inlineStr">
        <is>
          <t>4</t>
        </is>
      </c>
      <c r="B14982" s="3" t="inlineStr">
        <is>
          <t>Mandor</t>
        </is>
      </c>
      <c r="C14982" s="3" t="inlineStr">
        <is>
          <t>OH</t>
        </is>
      </c>
      <c r="D14982" s="15" t="n">
        <v>0.003</v>
      </c>
      <c r="E14982" s="4" t="n">
        <v>200000</v>
      </c>
      <c r="F14982" s="4" t="n">
        <v>600</v>
      </c>
    </row>
    <row r="14983">
      <c r="A14983" s="3" t="inlineStr">
        <is>
          <t>1</t>
        </is>
      </c>
      <c r="B14983" s="3" t="inlineStr">
        <is>
          <t>"Foot Velve dia. 1/2"""</t>
        </is>
      </c>
      <c r="C14983" s="3" t="inlineStr">
        <is>
          <t>unit</t>
        </is>
      </c>
      <c r="D14983" s="15" t="n">
        <v>1.15</v>
      </c>
      <c r="E14983" s="4" t="n">
        <v>21450</v>
      </c>
      <c r="F14983" s="4" t="n">
        <v>24667.5</v>
      </c>
    </row>
    <row r="14984">
      <c r="D14984" s="2" t="inlineStr">
        <is>
          <t>SUBTOTAL UPAH</t>
        </is>
      </c>
      <c r="F14984" s="16" t="n">
        <v>19990</v>
      </c>
    </row>
    <row r="14985">
      <c r="D14985" s="2" t="inlineStr">
        <is>
          <t>SUBTOTAL BAHAN</t>
        </is>
      </c>
      <c r="F14985" s="16" t="n">
        <v>24667.5</v>
      </c>
    </row>
    <row r="14986">
      <c r="D14986" s="2" t="inlineStr">
        <is>
          <t>SUBTOTAL ALAT</t>
        </is>
      </c>
      <c r="F14986" s="16" t="n">
        <v>0</v>
      </c>
    </row>
    <row r="14987">
      <c r="E14987" s="2" t="inlineStr">
        <is>
          <t>TOTAL HARGA SATUAN (Inc. Overhead)</t>
        </is>
      </c>
      <c r="F14987" s="17" t="n">
        <v>49123</v>
      </c>
    </row>
    <row r="14989">
      <c r="A14989" s="14" t="inlineStr">
        <is>
          <t>KODE: 6.5.6.2 - Pemasangan 1 buah Foot Velve, Dia 3/4" ( 20 mm)</t>
        </is>
      </c>
    </row>
    <row r="14990">
      <c r="A14990" s="10" t="inlineStr">
        <is>
          <t>No</t>
        </is>
      </c>
      <c r="B14990" s="10" t="inlineStr">
        <is>
          <t>Uraian Komponen</t>
        </is>
      </c>
      <c r="C14990" s="10" t="inlineStr">
        <is>
          <t>Satuan</t>
        </is>
      </c>
      <c r="D14990" s="10" t="inlineStr">
        <is>
          <t>Koef</t>
        </is>
      </c>
      <c r="E14990" s="10" t="inlineStr">
        <is>
          <t>Harga Satuan (Rp)</t>
        </is>
      </c>
      <c r="F14990" s="10" t="inlineStr">
        <is>
          <t>Jumlah Harga (Rp)</t>
        </is>
      </c>
    </row>
    <row r="14991">
      <c r="A14991" s="3" t="inlineStr">
        <is>
          <t>1</t>
        </is>
      </c>
      <c r="B14991" s="3" t="inlineStr">
        <is>
          <t>Pekerja</t>
        </is>
      </c>
      <c r="C14991" s="3" t="inlineStr">
        <is>
          <t>OH</t>
        </is>
      </c>
      <c r="D14991" s="15" t="n">
        <v>0.079</v>
      </c>
      <c r="E14991" s="4" t="n">
        <v>100000</v>
      </c>
      <c r="F14991" s="4" t="n">
        <v>7900</v>
      </c>
    </row>
    <row r="14992">
      <c r="A14992" s="3" t="inlineStr">
        <is>
          <t>2</t>
        </is>
      </c>
      <c r="B14992" s="3" t="inlineStr">
        <is>
          <t>Tukang pipa</t>
        </is>
      </c>
      <c r="C14992" s="3" t="inlineStr">
        <is>
          <t>OH</t>
        </is>
      </c>
      <c r="D14992" s="15" t="n">
        <v>0.131</v>
      </c>
      <c r="E14992" s="4" t="n">
        <v>145000</v>
      </c>
      <c r="F14992" s="4" t="n">
        <v>18995</v>
      </c>
    </row>
    <row r="14993">
      <c r="A14993" s="3" t="inlineStr">
        <is>
          <t>3</t>
        </is>
      </c>
      <c r="B14993" s="3" t="inlineStr">
        <is>
          <t>Kepala tukang</t>
        </is>
      </c>
      <c r="C14993" s="3" t="inlineStr">
        <is>
          <t>OH</t>
        </is>
      </c>
      <c r="D14993" s="15" t="n">
        <v>0.013</v>
      </c>
      <c r="E14993" s="4" t="n">
        <v>175000</v>
      </c>
      <c r="F14993" s="4" t="n">
        <v>2275</v>
      </c>
    </row>
    <row r="14994">
      <c r="A14994" s="3" t="inlineStr">
        <is>
          <t>4</t>
        </is>
      </c>
      <c r="B14994" s="3" t="inlineStr">
        <is>
          <t>Mandor</t>
        </is>
      </c>
      <c r="C14994" s="3" t="inlineStr">
        <is>
          <t>OH</t>
        </is>
      </c>
      <c r="D14994" s="15" t="n">
        <v>0.004</v>
      </c>
      <c r="E14994" s="4" t="n">
        <v>200000</v>
      </c>
      <c r="F14994" s="4" t="n">
        <v>800</v>
      </c>
    </row>
    <row r="14995">
      <c r="A14995" s="3" t="inlineStr">
        <is>
          <t>1</t>
        </is>
      </c>
      <c r="B14995" s="3" t="inlineStr">
        <is>
          <t>"Foot Velve dia. 3/4"""</t>
        </is>
      </c>
      <c r="C14995" s="3" t="inlineStr">
        <is>
          <t>unit</t>
        </is>
      </c>
      <c r="D14995" s="15" t="n">
        <v>1.15</v>
      </c>
      <c r="E14995" s="4" t="n">
        <v>69400</v>
      </c>
      <c r="F14995" s="4" t="n">
        <v>79810</v>
      </c>
    </row>
    <row r="14996">
      <c r="D14996" s="2" t="inlineStr">
        <is>
          <t>SUBTOTAL UPAH</t>
        </is>
      </c>
      <c r="F14996" s="16" t="n">
        <v>29970</v>
      </c>
    </row>
    <row r="14997">
      <c r="D14997" s="2" t="inlineStr">
        <is>
          <t>SUBTOTAL BAHAN</t>
        </is>
      </c>
      <c r="F14997" s="16" t="n">
        <v>79810</v>
      </c>
    </row>
    <row r="14998">
      <c r="D14998" s="2" t="inlineStr">
        <is>
          <t>SUBTOTAL ALAT</t>
        </is>
      </c>
      <c r="F14998" s="16" t="n">
        <v>0</v>
      </c>
    </row>
    <row r="14999">
      <c r="E14999" s="2" t="inlineStr">
        <is>
          <t>TOTAL HARGA SATUAN (Inc. Overhead)</t>
        </is>
      </c>
      <c r="F14999" s="17" t="n">
        <v>120758</v>
      </c>
    </row>
    <row r="15001">
      <c r="A15001" s="14" t="inlineStr">
        <is>
          <t>KODE: 6.5.6.3 - Pemasangan 1 buah Floater Velve, Dia 1" ( 25 mm)</t>
        </is>
      </c>
    </row>
    <row r="15002">
      <c r="A15002" s="10" t="inlineStr">
        <is>
          <t>No</t>
        </is>
      </c>
      <c r="B15002" s="10" t="inlineStr">
        <is>
          <t>Uraian Komponen</t>
        </is>
      </c>
      <c r="C15002" s="10" t="inlineStr">
        <is>
          <t>Satuan</t>
        </is>
      </c>
      <c r="D15002" s="10" t="inlineStr">
        <is>
          <t>Koef</t>
        </is>
      </c>
      <c r="E15002" s="10" t="inlineStr">
        <is>
          <t>Harga Satuan (Rp)</t>
        </is>
      </c>
      <c r="F15002" s="10" t="inlineStr">
        <is>
          <t>Jumlah Harga (Rp)</t>
        </is>
      </c>
    </row>
    <row r="15003">
      <c r="A15003" s="3" t="inlineStr">
        <is>
          <t>1</t>
        </is>
      </c>
      <c r="B15003" s="3" t="inlineStr">
        <is>
          <t>Pekerja</t>
        </is>
      </c>
      <c r="C15003" s="3" t="inlineStr">
        <is>
          <t>OH</t>
        </is>
      </c>
      <c r="D15003" s="15" t="n">
        <v>0.105</v>
      </c>
      <c r="E15003" s="4" t="n">
        <v>100000</v>
      </c>
      <c r="F15003" s="4" t="n">
        <v>10500</v>
      </c>
    </row>
    <row r="15004">
      <c r="A15004" s="3" t="inlineStr">
        <is>
          <t>2</t>
        </is>
      </c>
      <c r="B15004" s="3" t="inlineStr">
        <is>
          <t>Tukang pipa</t>
        </is>
      </c>
      <c r="C15004" s="3" t="inlineStr">
        <is>
          <t>OH</t>
        </is>
      </c>
      <c r="D15004" s="15" t="n">
        <v>0.175</v>
      </c>
      <c r="E15004" s="4" t="n">
        <v>145000</v>
      </c>
      <c r="F15004" s="4" t="n">
        <v>25375</v>
      </c>
    </row>
    <row r="15005">
      <c r="A15005" s="3" t="inlineStr">
        <is>
          <t>3</t>
        </is>
      </c>
      <c r="B15005" s="3" t="inlineStr">
        <is>
          <t>Kepala tukang</t>
        </is>
      </c>
      <c r="C15005" s="3" t="inlineStr">
        <is>
          <t>OH</t>
        </is>
      </c>
      <c r="D15005" s="15" t="n">
        <v>0.017</v>
      </c>
      <c r="E15005" s="4" t="n">
        <v>175000</v>
      </c>
      <c r="F15005" s="4" t="n">
        <v>2975</v>
      </c>
    </row>
    <row r="15006">
      <c r="A15006" s="3" t="inlineStr">
        <is>
          <t>4</t>
        </is>
      </c>
      <c r="B15006" s="3" t="inlineStr">
        <is>
          <t>Mandor</t>
        </is>
      </c>
      <c r="C15006" s="3" t="inlineStr">
        <is>
          <t>OH</t>
        </is>
      </c>
      <c r="D15006" s="15" t="n">
        <v>0.005</v>
      </c>
      <c r="E15006" s="4" t="n">
        <v>200000</v>
      </c>
      <c r="F15006" s="4" t="n">
        <v>1000</v>
      </c>
    </row>
    <row r="15007">
      <c r="A15007" s="3" t="inlineStr">
        <is>
          <t>1</t>
        </is>
      </c>
      <c r="B15007" s="3" t="inlineStr">
        <is>
          <t>"Floater Velve dia. 1"""</t>
        </is>
      </c>
      <c r="C15007" s="3" t="inlineStr">
        <is>
          <t>unit</t>
        </is>
      </c>
      <c r="D15007" s="15" t="n">
        <v>1.15</v>
      </c>
      <c r="E15007" s="4" t="n">
        <v>375000</v>
      </c>
      <c r="F15007" s="4" t="n">
        <v>431249.9999999999</v>
      </c>
    </row>
    <row r="15008">
      <c r="D15008" s="2" t="inlineStr">
        <is>
          <t>SUBTOTAL UPAH</t>
        </is>
      </c>
      <c r="F15008" s="16" t="n">
        <v>39850</v>
      </c>
    </row>
    <row r="15009">
      <c r="D15009" s="2" t="inlineStr">
        <is>
          <t>SUBTOTAL BAHAN</t>
        </is>
      </c>
      <c r="F15009" s="16" t="n">
        <v>431249.9999999999</v>
      </c>
    </row>
    <row r="15010">
      <c r="D15010" s="2" t="inlineStr">
        <is>
          <t>SUBTOTAL ALAT</t>
        </is>
      </c>
      <c r="F15010" s="16" t="n">
        <v>0</v>
      </c>
    </row>
    <row r="15011">
      <c r="E15011" s="2" t="inlineStr">
        <is>
          <t>TOTAL HARGA SATUAN (Inc. Overhead)</t>
        </is>
      </c>
      <c r="F15011" s="17" t="n">
        <v>518210</v>
      </c>
    </row>
    <row r="15013">
      <c r="A15013" s="14" t="inlineStr">
        <is>
          <t>KODE: 6.5.5.4 - Pemasangan 1 buah Floater Velve Dia. 1-1/4 " (32 mm)</t>
        </is>
      </c>
    </row>
    <row r="15014">
      <c r="A15014" s="10" t="inlineStr">
        <is>
          <t>No</t>
        </is>
      </c>
      <c r="B15014" s="10" t="inlineStr">
        <is>
          <t>Uraian Komponen</t>
        </is>
      </c>
      <c r="C15014" s="10" t="inlineStr">
        <is>
          <t>Satuan</t>
        </is>
      </c>
      <c r="D15014" s="10" t="inlineStr">
        <is>
          <t>Koef</t>
        </is>
      </c>
      <c r="E15014" s="10" t="inlineStr">
        <is>
          <t>Harga Satuan (Rp)</t>
        </is>
      </c>
      <c r="F15014" s="10" t="inlineStr">
        <is>
          <t>Jumlah Harga (Rp)</t>
        </is>
      </c>
    </row>
    <row r="15015">
      <c r="A15015" s="3" t="inlineStr">
        <is>
          <t>1</t>
        </is>
      </c>
      <c r="B15015" s="3" t="inlineStr">
        <is>
          <t>Pekerja</t>
        </is>
      </c>
      <c r="C15015" s="3" t="inlineStr">
        <is>
          <t>OH</t>
        </is>
      </c>
      <c r="D15015" s="15" t="n">
        <v>0.148</v>
      </c>
      <c r="E15015" s="4" t="n">
        <v>100000</v>
      </c>
      <c r="F15015" s="4" t="n">
        <v>14800</v>
      </c>
    </row>
    <row r="15016">
      <c r="A15016" s="3" t="inlineStr">
        <is>
          <t>2</t>
        </is>
      </c>
      <c r="B15016" s="3" t="inlineStr">
        <is>
          <t>Tukang pipa</t>
        </is>
      </c>
      <c r="C15016" s="3" t="inlineStr">
        <is>
          <t>OH</t>
        </is>
      </c>
      <c r="D15016" s="15" t="n">
        <v>0.247</v>
      </c>
      <c r="E15016" s="4" t="n">
        <v>145000</v>
      </c>
      <c r="F15016" s="4" t="n">
        <v>35815</v>
      </c>
    </row>
    <row r="15017">
      <c r="A15017" s="3" t="inlineStr">
        <is>
          <t>3</t>
        </is>
      </c>
      <c r="B15017" s="3" t="inlineStr">
        <is>
          <t>Kepala tukang</t>
        </is>
      </c>
      <c r="C15017" s="3" t="inlineStr">
        <is>
          <t>OH</t>
        </is>
      </c>
      <c r="D15017" s="15" t="n">
        <v>0.025</v>
      </c>
      <c r="E15017" s="4" t="n">
        <v>175000</v>
      </c>
      <c r="F15017" s="4" t="n">
        <v>4375</v>
      </c>
    </row>
    <row r="15018">
      <c r="A15018" s="3" t="inlineStr">
        <is>
          <t>4</t>
        </is>
      </c>
      <c r="B15018" s="3" t="inlineStr">
        <is>
          <t>Mandor</t>
        </is>
      </c>
      <c r="C15018" s="3" t="inlineStr">
        <is>
          <t>OH</t>
        </is>
      </c>
      <c r="D15018" s="15" t="n">
        <v>0.007</v>
      </c>
      <c r="E15018" s="4" t="n">
        <v>200000</v>
      </c>
      <c r="F15018" s="4" t="n">
        <v>1400</v>
      </c>
    </row>
    <row r="15019">
      <c r="A15019" s="3" t="inlineStr">
        <is>
          <t>1</t>
        </is>
      </c>
      <c r="B15019" s="3" t="inlineStr">
        <is>
          <t>"Foot Velve dia. 1-1/4"""</t>
        </is>
      </c>
      <c r="C15019" s="3" t="inlineStr">
        <is>
          <t>unit</t>
        </is>
      </c>
      <c r="D15019" s="15" t="n">
        <v>1.15</v>
      </c>
      <c r="E15019" s="4" t="n">
        <v>134600</v>
      </c>
      <c r="F15019" s="4" t="n">
        <v>154790</v>
      </c>
    </row>
    <row r="15020">
      <c r="D15020" s="2" t="inlineStr">
        <is>
          <t>SUBTOTAL UPAH</t>
        </is>
      </c>
      <c r="F15020" s="16" t="n">
        <v>56390</v>
      </c>
    </row>
    <row r="15021">
      <c r="D15021" s="2" t="inlineStr">
        <is>
          <t>SUBTOTAL BAHAN</t>
        </is>
      </c>
      <c r="F15021" s="16" t="n">
        <v>154790</v>
      </c>
    </row>
    <row r="15022">
      <c r="D15022" s="2" t="inlineStr">
        <is>
          <t>SUBTOTAL ALAT</t>
        </is>
      </c>
      <c r="F15022" s="16" t="n">
        <v>0</v>
      </c>
    </row>
    <row r="15023">
      <c r="E15023" s="2" t="inlineStr">
        <is>
          <t>TOTAL HARGA SATUAN (Inc. Overhead)</t>
        </is>
      </c>
      <c r="F15023" s="17" t="n">
        <v>667370</v>
      </c>
    </row>
    <row r="15025">
      <c r="A15025" s="14" t="inlineStr">
        <is>
          <t>KODE: 6.5.5.5 - Pemasangan 1 buah Floater Velve, Dia. 1-1/2 " (40 mm)</t>
        </is>
      </c>
    </row>
    <row r="15026">
      <c r="A15026" s="10" t="inlineStr">
        <is>
          <t>No</t>
        </is>
      </c>
      <c r="B15026" s="10" t="inlineStr">
        <is>
          <t>Uraian Komponen</t>
        </is>
      </c>
      <c r="C15026" s="10" t="inlineStr">
        <is>
          <t>Satuan</t>
        </is>
      </c>
      <c r="D15026" s="10" t="inlineStr">
        <is>
          <t>Koef</t>
        </is>
      </c>
      <c r="E15026" s="10" t="inlineStr">
        <is>
          <t>Harga Satuan (Rp)</t>
        </is>
      </c>
      <c r="F15026" s="10" t="inlineStr">
        <is>
          <t>Jumlah Harga (Rp)</t>
        </is>
      </c>
    </row>
    <row r="15027">
      <c r="A15027" s="3" t="inlineStr">
        <is>
          <t>1</t>
        </is>
      </c>
      <c r="B15027" s="3" t="inlineStr">
        <is>
          <t>Pekerja</t>
        </is>
      </c>
      <c r="C15027" s="3" t="inlineStr">
        <is>
          <t>OH</t>
        </is>
      </c>
      <c r="D15027" s="15" t="n">
        <v>0.157</v>
      </c>
      <c r="E15027" s="4" t="n">
        <v>100000</v>
      </c>
      <c r="F15027" s="4" t="n">
        <v>15700</v>
      </c>
    </row>
    <row r="15028">
      <c r="A15028" s="3" t="inlineStr">
        <is>
          <t>2</t>
        </is>
      </c>
      <c r="B15028" s="3" t="inlineStr">
        <is>
          <t>Tukang pipa</t>
        </is>
      </c>
      <c r="C15028" s="3" t="inlineStr">
        <is>
          <t>OH</t>
        </is>
      </c>
      <c r="D15028" s="15" t="n">
        <v>0.262</v>
      </c>
      <c r="E15028" s="4" t="n">
        <v>145000</v>
      </c>
      <c r="F15028" s="4" t="n">
        <v>37990</v>
      </c>
    </row>
    <row r="15029">
      <c r="A15029" s="3" t="inlineStr">
        <is>
          <t>3</t>
        </is>
      </c>
      <c r="B15029" s="3" t="inlineStr">
        <is>
          <t>Kepala tukang</t>
        </is>
      </c>
      <c r="C15029" s="3" t="inlineStr">
        <is>
          <t>OH</t>
        </is>
      </c>
      <c r="D15029" s="15" t="n">
        <v>0.026</v>
      </c>
      <c r="E15029" s="4" t="n">
        <v>175000</v>
      </c>
      <c r="F15029" s="4" t="n">
        <v>4550</v>
      </c>
    </row>
    <row r="15030">
      <c r="A15030" s="3" t="inlineStr">
        <is>
          <t>4</t>
        </is>
      </c>
      <c r="B15030" s="3" t="inlineStr">
        <is>
          <t>Mandor</t>
        </is>
      </c>
      <c r="C15030" s="3" t="inlineStr">
        <is>
          <t>OH</t>
        </is>
      </c>
      <c r="D15030" s="15" t="n">
        <v>0.008</v>
      </c>
      <c r="E15030" s="4" t="n">
        <v>200000</v>
      </c>
      <c r="F15030" s="4" t="n">
        <v>1600</v>
      </c>
    </row>
    <row r="15031">
      <c r="A15031" s="3" t="inlineStr">
        <is>
          <t>1</t>
        </is>
      </c>
      <c r="B15031" s="3" t="inlineStr">
        <is>
          <t>"Foot Velve dia. 1-1/2"""</t>
        </is>
      </c>
      <c r="C15031" s="3" t="inlineStr">
        <is>
          <t>unit</t>
        </is>
      </c>
      <c r="D15031" s="15" t="n">
        <v>1.15</v>
      </c>
      <c r="E15031" s="4" t="n">
        <v>202000</v>
      </c>
      <c r="F15031" s="4" t="n">
        <v>232300</v>
      </c>
    </row>
    <row r="15032">
      <c r="D15032" s="2" t="inlineStr">
        <is>
          <t>SUBTOTAL UPAH</t>
        </is>
      </c>
      <c r="F15032" s="16" t="n">
        <v>59840</v>
      </c>
    </row>
    <row r="15033">
      <c r="D15033" s="2" t="inlineStr">
        <is>
          <t>SUBTOTAL BAHAN</t>
        </is>
      </c>
      <c r="F15033" s="16" t="n">
        <v>232300</v>
      </c>
    </row>
    <row r="15034">
      <c r="D15034" s="2" t="inlineStr">
        <is>
          <t>SUBTOTAL ALAT</t>
        </is>
      </c>
      <c r="F15034" s="16" t="n">
        <v>0</v>
      </c>
    </row>
    <row r="15035">
      <c r="E15035" s="2" t="inlineStr">
        <is>
          <t>TOTAL HARGA SATUAN (Inc. Overhead)</t>
        </is>
      </c>
      <c r="F15035" s="17" t="n">
        <v>862774</v>
      </c>
    </row>
    <row r="15037">
      <c r="A15037" s="14" t="inlineStr">
        <is>
          <t>KODE: 6.5.6.6 - Pemasangan 1 buah Foot Velve, Dia. 2 " (50 mm)</t>
        </is>
      </c>
    </row>
    <row r="15038">
      <c r="A15038" s="10" t="inlineStr">
        <is>
          <t>No</t>
        </is>
      </c>
      <c r="B15038" s="10" t="inlineStr">
        <is>
          <t>Uraian Komponen</t>
        </is>
      </c>
      <c r="C15038" s="10" t="inlineStr">
        <is>
          <t>Satuan</t>
        </is>
      </c>
      <c r="D15038" s="10" t="inlineStr">
        <is>
          <t>Koef</t>
        </is>
      </c>
      <c r="E15038" s="10" t="inlineStr">
        <is>
          <t>Harga Satuan (Rp)</t>
        </is>
      </c>
      <c r="F15038" s="10" t="inlineStr">
        <is>
          <t>Jumlah Harga (Rp)</t>
        </is>
      </c>
    </row>
    <row r="15039">
      <c r="A15039" s="3" t="inlineStr">
        <is>
          <t>1</t>
        </is>
      </c>
      <c r="B15039" s="3" t="inlineStr">
        <is>
          <t>Pekerja</t>
        </is>
      </c>
      <c r="C15039" s="3" t="inlineStr">
        <is>
          <t>OH</t>
        </is>
      </c>
      <c r="D15039" s="15" t="n">
        <v>0.207</v>
      </c>
      <c r="E15039" s="4" t="n">
        <v>100000</v>
      </c>
      <c r="F15039" s="4" t="n">
        <v>20700</v>
      </c>
    </row>
    <row r="15040">
      <c r="A15040" s="3" t="inlineStr">
        <is>
          <t>2</t>
        </is>
      </c>
      <c r="B15040" s="3" t="inlineStr">
        <is>
          <t>Tukang pipa</t>
        </is>
      </c>
      <c r="C15040" s="3" t="inlineStr">
        <is>
          <t>OH</t>
        </is>
      </c>
      <c r="D15040" s="15" t="n">
        <v>0.346</v>
      </c>
      <c r="E15040" s="4" t="n">
        <v>145000</v>
      </c>
      <c r="F15040" s="4" t="n">
        <v>50169.99999999999</v>
      </c>
    </row>
    <row r="15041">
      <c r="A15041" s="3" t="inlineStr">
        <is>
          <t>3</t>
        </is>
      </c>
      <c r="B15041" s="3" t="inlineStr">
        <is>
          <t>Kepala tukang</t>
        </is>
      </c>
      <c r="C15041" s="3" t="inlineStr">
        <is>
          <t>OH</t>
        </is>
      </c>
      <c r="D15041" s="15" t="n">
        <v>0.035</v>
      </c>
      <c r="E15041" s="4" t="n">
        <v>175000</v>
      </c>
      <c r="F15041" s="4" t="n">
        <v>6125.000000000001</v>
      </c>
    </row>
    <row r="15042">
      <c r="A15042" s="3" t="inlineStr">
        <is>
          <t>4</t>
        </is>
      </c>
      <c r="B15042" s="3" t="inlineStr">
        <is>
          <t>Mandor</t>
        </is>
      </c>
      <c r="C15042" s="3" t="inlineStr">
        <is>
          <t>OH</t>
        </is>
      </c>
      <c r="D15042" s="15" t="n">
        <v>0.01</v>
      </c>
      <c r="E15042" s="4" t="n">
        <v>200000</v>
      </c>
      <c r="F15042" s="4" t="n">
        <v>2000</v>
      </c>
    </row>
    <row r="15043">
      <c r="A15043" s="3" t="inlineStr">
        <is>
          <t>1</t>
        </is>
      </c>
      <c r="B15043" s="3" t="inlineStr">
        <is>
          <t>"Foot Velve dia. 2"""</t>
        </is>
      </c>
      <c r="C15043" s="3" t="inlineStr">
        <is>
          <t>unit</t>
        </is>
      </c>
      <c r="D15043" s="15" t="n">
        <v>1.15</v>
      </c>
      <c r="E15043" s="4" t="n">
        <v>331300</v>
      </c>
      <c r="F15043" s="4" t="n">
        <v>380994.9999999999</v>
      </c>
    </row>
    <row r="15044">
      <c r="D15044" s="2" t="inlineStr">
        <is>
          <t>SUBTOTAL UPAH</t>
        </is>
      </c>
      <c r="F15044" s="16" t="n">
        <v>78995</v>
      </c>
    </row>
    <row r="15045">
      <c r="D15045" s="2" t="inlineStr">
        <is>
          <t>SUBTOTAL BAHAN</t>
        </is>
      </c>
      <c r="F15045" s="16" t="n">
        <v>380994.9999999999</v>
      </c>
    </row>
    <row r="15046">
      <c r="D15046" s="2" t="inlineStr">
        <is>
          <t>SUBTOTAL ALAT</t>
        </is>
      </c>
      <c r="F15046" s="16" t="n">
        <v>0</v>
      </c>
    </row>
    <row r="15047">
      <c r="E15047" s="2" t="inlineStr">
        <is>
          <t>TOTAL HARGA SATUAN (Inc. Overhead)</t>
        </is>
      </c>
      <c r="F15047" s="17" t="n">
        <v>505989</v>
      </c>
    </row>
    <row r="15049">
      <c r="A15049" s="14" t="inlineStr">
        <is>
          <t>KODE: 6.5.6.7 - Pemasangan 1 buah Foot Velve, Dia. 2-1/2 " (65 mm)</t>
        </is>
      </c>
    </row>
    <row r="15050">
      <c r="A15050" s="10" t="inlineStr">
        <is>
          <t>No</t>
        </is>
      </c>
      <c r="B15050" s="10" t="inlineStr">
        <is>
          <t>Uraian Komponen</t>
        </is>
      </c>
      <c r="C15050" s="10" t="inlineStr">
        <is>
          <t>Satuan</t>
        </is>
      </c>
      <c r="D15050" s="10" t="inlineStr">
        <is>
          <t>Koef</t>
        </is>
      </c>
      <c r="E15050" s="10" t="inlineStr">
        <is>
          <t>Harga Satuan (Rp)</t>
        </is>
      </c>
      <c r="F15050" s="10" t="inlineStr">
        <is>
          <t>Jumlah Harga (Rp)</t>
        </is>
      </c>
    </row>
    <row r="15051">
      <c r="A15051" s="3" t="inlineStr">
        <is>
          <t>1</t>
        </is>
      </c>
      <c r="B15051" s="3" t="inlineStr">
        <is>
          <t>Pekerja</t>
        </is>
      </c>
      <c r="C15051" s="3" t="inlineStr">
        <is>
          <t>OH</t>
        </is>
      </c>
      <c r="D15051" s="15" t="n">
        <v>0.26</v>
      </c>
      <c r="E15051" s="4" t="n">
        <v>100000</v>
      </c>
      <c r="F15051" s="4" t="n">
        <v>26000</v>
      </c>
    </row>
    <row r="15052">
      <c r="A15052" s="3" t="inlineStr">
        <is>
          <t>2</t>
        </is>
      </c>
      <c r="B15052" s="3" t="inlineStr">
        <is>
          <t>Tukang pipa</t>
        </is>
      </c>
      <c r="C15052" s="3" t="inlineStr">
        <is>
          <t>OH</t>
        </is>
      </c>
      <c r="D15052" s="15" t="n">
        <v>0.433</v>
      </c>
      <c r="E15052" s="4" t="n">
        <v>145000</v>
      </c>
      <c r="F15052" s="4" t="n">
        <v>62785</v>
      </c>
    </row>
    <row r="15053">
      <c r="A15053" s="3" t="inlineStr">
        <is>
          <t>3</t>
        </is>
      </c>
      <c r="B15053" s="3" t="inlineStr">
        <is>
          <t>Kepala tukang</t>
        </is>
      </c>
      <c r="C15053" s="3" t="inlineStr">
        <is>
          <t>OH</t>
        </is>
      </c>
      <c r="D15053" s="15" t="n">
        <v>0.043</v>
      </c>
      <c r="E15053" s="4" t="n">
        <v>175000</v>
      </c>
      <c r="F15053" s="4" t="n">
        <v>7524.999999999999</v>
      </c>
    </row>
    <row r="15054">
      <c r="A15054" s="3" t="inlineStr">
        <is>
          <t>4</t>
        </is>
      </c>
      <c r="B15054" s="3" t="inlineStr">
        <is>
          <t>Mandor</t>
        </is>
      </c>
      <c r="C15054" s="3" t="inlineStr">
        <is>
          <t>OH</t>
        </is>
      </c>
      <c r="D15054" s="15" t="n">
        <v>0.013</v>
      </c>
      <c r="E15054" s="4" t="n">
        <v>200000</v>
      </c>
      <c r="F15054" s="4" t="n">
        <v>2600</v>
      </c>
    </row>
    <row r="15055">
      <c r="A15055" s="3" t="inlineStr">
        <is>
          <t>1</t>
        </is>
      </c>
      <c r="B15055" s="3" t="inlineStr">
        <is>
          <t>"Foot Velve dia. 2-1/2"""</t>
        </is>
      </c>
      <c r="C15055" s="3" t="inlineStr">
        <is>
          <t>unit</t>
        </is>
      </c>
      <c r="D15055" s="15" t="n">
        <v>1.15</v>
      </c>
      <c r="E15055" s="4" t="n">
        <v>348000</v>
      </c>
      <c r="F15055" s="4" t="n">
        <v>400199.9999999999</v>
      </c>
    </row>
    <row r="15056">
      <c r="D15056" s="2" t="inlineStr">
        <is>
          <t>SUBTOTAL UPAH</t>
        </is>
      </c>
      <c r="F15056" s="16" t="n">
        <v>98910</v>
      </c>
    </row>
    <row r="15057">
      <c r="D15057" s="2" t="inlineStr">
        <is>
          <t>SUBTOTAL BAHAN</t>
        </is>
      </c>
      <c r="F15057" s="16" t="n">
        <v>400199.9999999999</v>
      </c>
    </row>
    <row r="15058">
      <c r="D15058" s="2" t="inlineStr">
        <is>
          <t>SUBTOTAL ALAT</t>
        </is>
      </c>
      <c r="F15058" s="16" t="n">
        <v>0</v>
      </c>
    </row>
    <row r="15059">
      <c r="E15059" s="2" t="inlineStr">
        <is>
          <t>TOTAL HARGA SATUAN (Inc. Overhead)</t>
        </is>
      </c>
      <c r="F15059" s="17" t="n">
        <v>549021</v>
      </c>
    </row>
    <row r="15061">
      <c r="A15061" s="14" t="inlineStr">
        <is>
          <t>KODE: 6.5.6.8 - Pemasangan 1 buah Foot Velve, Dia. 3 " (80 mm)</t>
        </is>
      </c>
    </row>
    <row r="15062">
      <c r="A15062" s="10" t="inlineStr">
        <is>
          <t>No</t>
        </is>
      </c>
      <c r="B15062" s="10" t="inlineStr">
        <is>
          <t>Uraian Komponen</t>
        </is>
      </c>
      <c r="C15062" s="10" t="inlineStr">
        <is>
          <t>Satuan</t>
        </is>
      </c>
      <c r="D15062" s="10" t="inlineStr">
        <is>
          <t>Koef</t>
        </is>
      </c>
      <c r="E15062" s="10" t="inlineStr">
        <is>
          <t>Harga Satuan (Rp)</t>
        </is>
      </c>
      <c r="F15062" s="10" t="inlineStr">
        <is>
          <t>Jumlah Harga (Rp)</t>
        </is>
      </c>
    </row>
    <row r="15063">
      <c r="A15063" s="3" t="inlineStr">
        <is>
          <t>1</t>
        </is>
      </c>
      <c r="B15063" s="3" t="inlineStr">
        <is>
          <t>Pekerja</t>
        </is>
      </c>
      <c r="C15063" s="3" t="inlineStr">
        <is>
          <t>OH</t>
        </is>
      </c>
      <c r="D15063" s="15" t="n">
        <v>0.471</v>
      </c>
      <c r="E15063" s="4" t="n">
        <v>100000</v>
      </c>
      <c r="F15063" s="4" t="n">
        <v>47100</v>
      </c>
    </row>
    <row r="15064">
      <c r="A15064" s="3" t="inlineStr">
        <is>
          <t>2</t>
        </is>
      </c>
      <c r="B15064" s="3" t="inlineStr">
        <is>
          <t>Tukang pipa</t>
        </is>
      </c>
      <c r="C15064" s="3" t="inlineStr">
        <is>
          <t>OH</t>
        </is>
      </c>
      <c r="D15064" s="15" t="n">
        <v>0.787</v>
      </c>
      <c r="E15064" s="4" t="n">
        <v>145000</v>
      </c>
      <c r="F15064" s="4" t="n">
        <v>114115</v>
      </c>
    </row>
    <row r="15065">
      <c r="A15065" s="3" t="inlineStr">
        <is>
          <t>3</t>
        </is>
      </c>
      <c r="B15065" s="3" t="inlineStr">
        <is>
          <t>Kepala tukang</t>
        </is>
      </c>
      <c r="C15065" s="3" t="inlineStr">
        <is>
          <t>OH</t>
        </is>
      </c>
      <c r="D15065" s="15" t="n">
        <v>0.079</v>
      </c>
      <c r="E15065" s="4" t="n">
        <v>175000</v>
      </c>
      <c r="F15065" s="4" t="n">
        <v>13825</v>
      </c>
    </row>
    <row r="15066">
      <c r="A15066" s="3" t="inlineStr">
        <is>
          <t>4</t>
        </is>
      </c>
      <c r="B15066" s="3" t="inlineStr">
        <is>
          <t>Mandor</t>
        </is>
      </c>
      <c r="C15066" s="3" t="inlineStr">
        <is>
          <t>OH</t>
        </is>
      </c>
      <c r="D15066" s="15" t="n">
        <v>0.024</v>
      </c>
      <c r="E15066" s="4" t="n">
        <v>200000</v>
      </c>
      <c r="F15066" s="4" t="n">
        <v>4800</v>
      </c>
    </row>
    <row r="15067">
      <c r="A15067" s="3" t="inlineStr">
        <is>
          <t>1</t>
        </is>
      </c>
      <c r="B15067" s="3" t="inlineStr">
        <is>
          <t>"Foot Velve dia. 3"""</t>
        </is>
      </c>
      <c r="C15067" s="3" t="inlineStr">
        <is>
          <t>unit</t>
        </is>
      </c>
      <c r="D15067" s="15" t="n">
        <v>1.3</v>
      </c>
      <c r="E15067" s="4" t="n">
        <v>609000</v>
      </c>
      <c r="F15067" s="4" t="n">
        <v>791700</v>
      </c>
    </row>
    <row r="15068">
      <c r="D15068" s="2" t="inlineStr">
        <is>
          <t>SUBTOTAL UPAH</t>
        </is>
      </c>
      <c r="F15068" s="16" t="n">
        <v>179840</v>
      </c>
    </row>
    <row r="15069">
      <c r="D15069" s="2" t="inlineStr">
        <is>
          <t>SUBTOTAL BAHAN</t>
        </is>
      </c>
      <c r="F15069" s="16" t="n">
        <v>791700</v>
      </c>
    </row>
    <row r="15070">
      <c r="D15070" s="2" t="inlineStr">
        <is>
          <t>SUBTOTAL ALAT</t>
        </is>
      </c>
      <c r="F15070" s="16" t="n">
        <v>0</v>
      </c>
    </row>
    <row r="15071">
      <c r="E15071" s="2" t="inlineStr">
        <is>
          <t>TOTAL HARGA SATUAN (Inc. Overhead)</t>
        </is>
      </c>
      <c r="F15071" s="17" t="n">
        <v>1068694</v>
      </c>
    </row>
    <row r="15073">
      <c r="A15073" s="14" t="inlineStr">
        <is>
          <t>KODE: 6.5.6.9 - Pemasangan 1 buah Foot Velve, Dia. 4" (100 mm)</t>
        </is>
      </c>
    </row>
    <row r="15074">
      <c r="A15074" s="10" t="inlineStr">
        <is>
          <t>No</t>
        </is>
      </c>
      <c r="B15074" s="10" t="inlineStr">
        <is>
          <t>Uraian Komponen</t>
        </is>
      </c>
      <c r="C15074" s="10" t="inlineStr">
        <is>
          <t>Satuan</t>
        </is>
      </c>
      <c r="D15074" s="10" t="inlineStr">
        <is>
          <t>Koef</t>
        </is>
      </c>
      <c r="E15074" s="10" t="inlineStr">
        <is>
          <t>Harga Satuan (Rp)</t>
        </is>
      </c>
      <c r="F15074" s="10" t="inlineStr">
        <is>
          <t>Jumlah Harga (Rp)</t>
        </is>
      </c>
    </row>
    <row r="15075">
      <c r="A15075" s="3" t="inlineStr">
        <is>
          <t>1</t>
        </is>
      </c>
      <c r="B15075" s="3" t="inlineStr">
        <is>
          <t>Pekerja</t>
        </is>
      </c>
      <c r="C15075" s="3" t="inlineStr">
        <is>
          <t>OH</t>
        </is>
      </c>
      <c r="D15075" s="15" t="n">
        <v>0.631</v>
      </c>
      <c r="E15075" s="4" t="n">
        <v>100000</v>
      </c>
      <c r="F15075" s="4" t="n">
        <v>63100</v>
      </c>
    </row>
    <row r="15076">
      <c r="A15076" s="3" t="inlineStr">
        <is>
          <t>2</t>
        </is>
      </c>
      <c r="B15076" s="3" t="inlineStr">
        <is>
          <t>Tukang pipa</t>
        </is>
      </c>
      <c r="C15076" s="3" t="inlineStr">
        <is>
          <t>OH</t>
        </is>
      </c>
      <c r="D15076" s="15" t="n">
        <v>1.054</v>
      </c>
      <c r="E15076" s="4" t="n">
        <v>145000</v>
      </c>
      <c r="F15076" s="4" t="n">
        <v>152830</v>
      </c>
    </row>
    <row r="15077">
      <c r="A15077" s="3" t="inlineStr">
        <is>
          <t>3</t>
        </is>
      </c>
      <c r="B15077" s="3" t="inlineStr">
        <is>
          <t>Kepala tukang</t>
        </is>
      </c>
      <c r="C15077" s="3" t="inlineStr">
        <is>
          <t>OH</t>
        </is>
      </c>
      <c r="D15077" s="15" t="n">
        <v>0.105</v>
      </c>
      <c r="E15077" s="4" t="n">
        <v>175000</v>
      </c>
      <c r="F15077" s="4" t="n">
        <v>18375</v>
      </c>
    </row>
    <row r="15078">
      <c r="A15078" s="3" t="inlineStr">
        <is>
          <t>4</t>
        </is>
      </c>
      <c r="B15078" s="3" t="inlineStr">
        <is>
          <t>Mandor</t>
        </is>
      </c>
      <c r="C15078" s="3" t="inlineStr">
        <is>
          <t>OH</t>
        </is>
      </c>
      <c r="D15078" s="15" t="n">
        <v>0.032</v>
      </c>
      <c r="E15078" s="4" t="n">
        <v>200000</v>
      </c>
      <c r="F15078" s="4" t="n">
        <v>6400</v>
      </c>
    </row>
    <row r="15079">
      <c r="A15079" s="3" t="inlineStr">
        <is>
          <t>1</t>
        </is>
      </c>
      <c r="B15079" s="3" t="inlineStr">
        <is>
          <t>"Foot Velve dia. 4"""</t>
        </is>
      </c>
      <c r="C15079" s="3" t="inlineStr">
        <is>
          <t>unit</t>
        </is>
      </c>
      <c r="D15079" s="15" t="n">
        <v>1.3</v>
      </c>
      <c r="E15079" s="4" t="n">
        <v>870000</v>
      </c>
      <c r="F15079" s="4" t="n">
        <v>1131000</v>
      </c>
    </row>
    <row r="15080">
      <c r="D15080" s="2" t="inlineStr">
        <is>
          <t>SUBTOTAL UPAH</t>
        </is>
      </c>
      <c r="F15080" s="16" t="n">
        <v>240705</v>
      </c>
    </row>
    <row r="15081">
      <c r="D15081" s="2" t="inlineStr">
        <is>
          <t>SUBTOTAL BAHAN</t>
        </is>
      </c>
      <c r="F15081" s="16" t="n">
        <v>1131000</v>
      </c>
    </row>
    <row r="15082">
      <c r="D15082" s="2" t="inlineStr">
        <is>
          <t>SUBTOTAL ALAT</t>
        </is>
      </c>
      <c r="F15082" s="16" t="n">
        <v>0</v>
      </c>
    </row>
    <row r="15083">
      <c r="E15083" s="2" t="inlineStr">
        <is>
          <t>TOTAL HARGA SATUAN (Inc. Overhead)</t>
        </is>
      </c>
      <c r="F15083" s="17" t="n">
        <v>1508875</v>
      </c>
    </row>
    <row r="15085">
      <c r="A15085" s="14" t="inlineStr">
        <is>
          <t>KODE: 6.5.6.10 - Pemasangan 1 buah Foot Velve, Dia. 5" (125 mm)</t>
        </is>
      </c>
    </row>
    <row r="15086">
      <c r="A15086" s="10" t="inlineStr">
        <is>
          <t>No</t>
        </is>
      </c>
      <c r="B15086" s="10" t="inlineStr">
        <is>
          <t>Uraian Komponen</t>
        </is>
      </c>
      <c r="C15086" s="10" t="inlineStr">
        <is>
          <t>Satuan</t>
        </is>
      </c>
      <c r="D15086" s="10" t="inlineStr">
        <is>
          <t>Koef</t>
        </is>
      </c>
      <c r="E15086" s="10" t="inlineStr">
        <is>
          <t>Harga Satuan (Rp)</t>
        </is>
      </c>
      <c r="F15086" s="10" t="inlineStr">
        <is>
          <t>Jumlah Harga (Rp)</t>
        </is>
      </c>
    </row>
    <row r="15087">
      <c r="A15087" s="3" t="inlineStr">
        <is>
          <t>1</t>
        </is>
      </c>
      <c r="B15087" s="3" t="inlineStr">
        <is>
          <t>Pekerja</t>
        </is>
      </c>
      <c r="C15087" s="3" t="inlineStr">
        <is>
          <t>OH</t>
        </is>
      </c>
      <c r="D15087" s="15" t="n">
        <v>0.788</v>
      </c>
      <c r="E15087" s="4" t="n">
        <v>100000</v>
      </c>
      <c r="F15087" s="4" t="n">
        <v>78800</v>
      </c>
    </row>
    <row r="15088">
      <c r="A15088" s="3" t="inlineStr">
        <is>
          <t>2</t>
        </is>
      </c>
      <c r="B15088" s="3" t="inlineStr">
        <is>
          <t>Tukang pipa</t>
        </is>
      </c>
      <c r="C15088" s="3" t="inlineStr">
        <is>
          <t>OH</t>
        </is>
      </c>
      <c r="D15088" s="15" t="n">
        <v>1.316</v>
      </c>
      <c r="E15088" s="4" t="n">
        <v>145000</v>
      </c>
      <c r="F15088" s="4" t="n">
        <v>190820</v>
      </c>
    </row>
    <row r="15089">
      <c r="A15089" s="3" t="inlineStr">
        <is>
          <t>3</t>
        </is>
      </c>
      <c r="B15089" s="3" t="inlineStr">
        <is>
          <t>Kepala tukang</t>
        </is>
      </c>
      <c r="C15089" s="3" t="inlineStr">
        <is>
          <t>OH</t>
        </is>
      </c>
      <c r="D15089" s="15" t="n">
        <v>0.132</v>
      </c>
      <c r="E15089" s="4" t="n">
        <v>175000</v>
      </c>
      <c r="F15089" s="4" t="n">
        <v>23100</v>
      </c>
    </row>
    <row r="15090">
      <c r="A15090" s="3" t="inlineStr">
        <is>
          <t>4</t>
        </is>
      </c>
      <c r="B15090" s="3" t="inlineStr">
        <is>
          <t>Mandor</t>
        </is>
      </c>
      <c r="C15090" s="3" t="inlineStr">
        <is>
          <t>OH</t>
        </is>
      </c>
      <c r="D15090" s="15" t="n">
        <v>0.039</v>
      </c>
      <c r="E15090" s="4" t="n">
        <v>200000</v>
      </c>
      <c r="F15090" s="4" t="n">
        <v>7800</v>
      </c>
    </row>
    <row r="15091">
      <c r="A15091" s="3" t="inlineStr">
        <is>
          <t>1</t>
        </is>
      </c>
      <c r="B15091" s="3" t="inlineStr">
        <is>
          <t>"Foot Velve dia. 5"""</t>
        </is>
      </c>
      <c r="C15091" s="3" t="inlineStr">
        <is>
          <t>unit</t>
        </is>
      </c>
      <c r="D15091" s="15" t="n">
        <v>1.3</v>
      </c>
      <c r="E15091" s="4" t="n">
        <v>920500</v>
      </c>
      <c r="F15091" s="4" t="n">
        <v>1196650</v>
      </c>
    </row>
    <row r="15092">
      <c r="D15092" s="2" t="inlineStr">
        <is>
          <t>SUBTOTAL UPAH</t>
        </is>
      </c>
      <c r="F15092" s="16" t="n">
        <v>300520</v>
      </c>
    </row>
    <row r="15093">
      <c r="D15093" s="2" t="inlineStr">
        <is>
          <t>SUBTOTAL BAHAN</t>
        </is>
      </c>
      <c r="F15093" s="16" t="n">
        <v>1196650</v>
      </c>
    </row>
    <row r="15094">
      <c r="D15094" s="2" t="inlineStr">
        <is>
          <t>SUBTOTAL ALAT</t>
        </is>
      </c>
      <c r="F15094" s="16" t="n">
        <v>0</v>
      </c>
    </row>
    <row r="15095">
      <c r="E15095" s="2" t="inlineStr">
        <is>
          <t>TOTAL HARGA SATUAN (Inc. Overhead)</t>
        </is>
      </c>
      <c r="F15095" s="17" t="n">
        <v>1646887</v>
      </c>
    </row>
    <row r="15097">
      <c r="A15097" s="14" t="inlineStr">
        <is>
          <t>KODE: 6.5.6.11 - Pemasangan 1 buah Foot Velve, Dia. 6" (150 mm)</t>
        </is>
      </c>
    </row>
    <row r="15098">
      <c r="A15098" s="10" t="inlineStr">
        <is>
          <t>No</t>
        </is>
      </c>
      <c r="B15098" s="10" t="inlineStr">
        <is>
          <t>Uraian Komponen</t>
        </is>
      </c>
      <c r="C15098" s="10" t="inlineStr">
        <is>
          <t>Satuan</t>
        </is>
      </c>
      <c r="D15098" s="10" t="inlineStr">
        <is>
          <t>Koef</t>
        </is>
      </c>
      <c r="E15098" s="10" t="inlineStr">
        <is>
          <t>Harga Satuan (Rp)</t>
        </is>
      </c>
      <c r="F15098" s="10" t="inlineStr">
        <is>
          <t>Jumlah Harga (Rp)</t>
        </is>
      </c>
    </row>
    <row r="15099">
      <c r="A15099" s="3" t="inlineStr">
        <is>
          <t>1</t>
        </is>
      </c>
      <c r="B15099" s="3" t="inlineStr">
        <is>
          <t>Pekerja</t>
        </is>
      </c>
      <c r="C15099" s="3" t="inlineStr">
        <is>
          <t>OH</t>
        </is>
      </c>
      <c r="D15099" s="15" t="n">
        <v>0.945</v>
      </c>
      <c r="E15099" s="4" t="n">
        <v>100000</v>
      </c>
      <c r="F15099" s="4" t="n">
        <v>94500</v>
      </c>
    </row>
    <row r="15100">
      <c r="A15100" s="3" t="inlineStr">
        <is>
          <t>2</t>
        </is>
      </c>
      <c r="B15100" s="3" t="inlineStr">
        <is>
          <t>Tukang pipa</t>
        </is>
      </c>
      <c r="C15100" s="3" t="inlineStr">
        <is>
          <t>OH</t>
        </is>
      </c>
      <c r="D15100" s="15" t="n">
        <v>1.579</v>
      </c>
      <c r="E15100" s="4" t="n">
        <v>145000</v>
      </c>
      <c r="F15100" s="4" t="n">
        <v>228955</v>
      </c>
    </row>
    <row r="15101">
      <c r="A15101" s="3" t="inlineStr">
        <is>
          <t>3</t>
        </is>
      </c>
      <c r="B15101" s="3" t="inlineStr">
        <is>
          <t>Kepala tukang</t>
        </is>
      </c>
      <c r="C15101" s="3" t="inlineStr">
        <is>
          <t>OH</t>
        </is>
      </c>
      <c r="D15101" s="15" t="n">
        <v>0.158</v>
      </c>
      <c r="E15101" s="4" t="n">
        <v>175000</v>
      </c>
      <c r="F15101" s="4" t="n">
        <v>27650</v>
      </c>
    </row>
    <row r="15102">
      <c r="A15102" s="3" t="inlineStr">
        <is>
          <t>4</t>
        </is>
      </c>
      <c r="B15102" s="3" t="inlineStr">
        <is>
          <t>Mandor</t>
        </is>
      </c>
      <c r="C15102" s="3" t="inlineStr">
        <is>
          <t>OH</t>
        </is>
      </c>
      <c r="D15102" s="15" t="n">
        <v>0.047</v>
      </c>
      <c r="E15102" s="4" t="n">
        <v>200000</v>
      </c>
      <c r="F15102" s="4" t="n">
        <v>9400</v>
      </c>
    </row>
    <row r="15103">
      <c r="A15103" s="3" t="inlineStr">
        <is>
          <t>1</t>
        </is>
      </c>
      <c r="B15103" s="3" t="inlineStr">
        <is>
          <t>"Foot Velve dia. 6"""</t>
        </is>
      </c>
      <c r="C15103" s="3" t="inlineStr">
        <is>
          <t>unit</t>
        </is>
      </c>
      <c r="D15103" s="15" t="n">
        <v>1.3</v>
      </c>
      <c r="E15103" s="4" t="n">
        <v>1055000</v>
      </c>
      <c r="F15103" s="4" t="n">
        <v>1371500</v>
      </c>
    </row>
    <row r="15104">
      <c r="D15104" s="2" t="inlineStr">
        <is>
          <t>SUBTOTAL UPAH</t>
        </is>
      </c>
      <c r="F15104" s="16" t="n">
        <v>360505</v>
      </c>
    </row>
    <row r="15105">
      <c r="D15105" s="2" t="inlineStr">
        <is>
          <t>SUBTOTAL BAHAN</t>
        </is>
      </c>
      <c r="F15105" s="16" t="n">
        <v>1371500</v>
      </c>
    </row>
    <row r="15106">
      <c r="D15106" s="2" t="inlineStr">
        <is>
          <t>SUBTOTAL ALAT</t>
        </is>
      </c>
      <c r="F15106" s="16" t="n">
        <v>0</v>
      </c>
    </row>
    <row r="15107">
      <c r="E15107" s="2" t="inlineStr">
        <is>
          <t>TOTAL HARGA SATUAN (Inc. Overhead)</t>
        </is>
      </c>
      <c r="F15107" s="17" t="n">
        <v>1905205</v>
      </c>
    </row>
    <row r="15109">
      <c r="A15109" s="14" t="inlineStr">
        <is>
          <t>KODE: 6.5.6.12 - Pemasangan 1 buah Floater Velve, Dia. 8" (200 mm)</t>
        </is>
      </c>
    </row>
    <row r="15110">
      <c r="A15110" s="10" t="inlineStr">
        <is>
          <t>No</t>
        </is>
      </c>
      <c r="B15110" s="10" t="inlineStr">
        <is>
          <t>Uraian Komponen</t>
        </is>
      </c>
      <c r="C15110" s="10" t="inlineStr">
        <is>
          <t>Satuan</t>
        </is>
      </c>
      <c r="D15110" s="10" t="inlineStr">
        <is>
          <t>Koef</t>
        </is>
      </c>
      <c r="E15110" s="10" t="inlineStr">
        <is>
          <t>Harga Satuan (Rp)</t>
        </is>
      </c>
      <c r="F15110" s="10" t="inlineStr">
        <is>
          <t>Jumlah Harga (Rp)</t>
        </is>
      </c>
    </row>
    <row r="15111">
      <c r="A15111" s="3" t="inlineStr">
        <is>
          <t>1</t>
        </is>
      </c>
      <c r="B15111" s="3" t="inlineStr">
        <is>
          <t>Pekerja</t>
        </is>
      </c>
      <c r="C15111" s="3" t="inlineStr">
        <is>
          <t>OH</t>
        </is>
      </c>
      <c r="D15111" s="15" t="n">
        <v>1.26</v>
      </c>
      <c r="E15111" s="4" t="n">
        <v>100000</v>
      </c>
      <c r="F15111" s="4" t="n">
        <v>126000</v>
      </c>
    </row>
    <row r="15112">
      <c r="A15112" s="3" t="inlineStr">
        <is>
          <t>2</t>
        </is>
      </c>
      <c r="B15112" s="3" t="inlineStr">
        <is>
          <t>Tukang pipa</t>
        </is>
      </c>
      <c r="C15112" s="3" t="inlineStr">
        <is>
          <t>OH</t>
        </is>
      </c>
      <c r="D15112" s="15" t="n">
        <v>2.103</v>
      </c>
      <c r="E15112" s="4" t="n">
        <v>145000</v>
      </c>
      <c r="F15112" s="4" t="n">
        <v>304935.0000000001</v>
      </c>
    </row>
    <row r="15113">
      <c r="A15113" s="3" t="inlineStr">
        <is>
          <t>3</t>
        </is>
      </c>
      <c r="B15113" s="3" t="inlineStr">
        <is>
          <t>Kepala tukang</t>
        </is>
      </c>
      <c r="C15113" s="3" t="inlineStr">
        <is>
          <t>OH</t>
        </is>
      </c>
      <c r="D15113" s="15" t="n">
        <v>0.21</v>
      </c>
      <c r="E15113" s="4" t="n">
        <v>175000</v>
      </c>
      <c r="F15113" s="4" t="n">
        <v>36750</v>
      </c>
    </row>
    <row r="15114">
      <c r="A15114" s="3" t="inlineStr">
        <is>
          <t>4</t>
        </is>
      </c>
      <c r="B15114" s="3" t="inlineStr">
        <is>
          <t>Mandor</t>
        </is>
      </c>
      <c r="C15114" s="3" t="inlineStr">
        <is>
          <t>OH</t>
        </is>
      </c>
      <c r="D15114" s="15" t="n">
        <v>0.063</v>
      </c>
      <c r="E15114" s="4" t="n">
        <v>200000</v>
      </c>
      <c r="F15114" s="4" t="n">
        <v>12600</v>
      </c>
    </row>
    <row r="15115">
      <c r="A15115" s="3" t="inlineStr">
        <is>
          <t>1</t>
        </is>
      </c>
      <c r="B15115" s="3" t="inlineStr">
        <is>
          <t>"Foot Velve dia. 8"""</t>
        </is>
      </c>
      <c r="C15115" s="3" t="inlineStr">
        <is>
          <t>unit</t>
        </is>
      </c>
      <c r="D15115" s="15" t="n">
        <v>1.3</v>
      </c>
      <c r="E15115" s="4" t="n">
        <v>1315000</v>
      </c>
      <c r="F15115" s="4" t="n">
        <v>1709500</v>
      </c>
    </row>
    <row r="15116">
      <c r="D15116" s="2" t="inlineStr">
        <is>
          <t>SUBTOTAL UPAH</t>
        </is>
      </c>
      <c r="F15116" s="16" t="n">
        <v>480285.0000000001</v>
      </c>
    </row>
    <row r="15117">
      <c r="D15117" s="2" t="inlineStr">
        <is>
          <t>SUBTOTAL BAHAN</t>
        </is>
      </c>
      <c r="F15117" s="16" t="n">
        <v>1709500</v>
      </c>
    </row>
    <row r="15118">
      <c r="D15118" s="2" t="inlineStr">
        <is>
          <t>SUBTOTAL ALAT</t>
        </is>
      </c>
      <c r="F15118" s="16" t="n">
        <v>0</v>
      </c>
    </row>
    <row r="15119">
      <c r="E15119" s="2" t="inlineStr">
        <is>
          <t>TOTAL HARGA SATUAN (Inc. Overhead)</t>
        </is>
      </c>
      <c r="F15119" s="17" t="n">
        <v>3331113</v>
      </c>
    </row>
    <row r="15121">
      <c r="A15121" s="14" t="inlineStr">
        <is>
          <t>KODE: 6.5.6.13 - Pemasangan 1 buah Foot Velve, Dia. 10" (250 mm)</t>
        </is>
      </c>
    </row>
    <row r="15122">
      <c r="A15122" s="10" t="inlineStr">
        <is>
          <t>No</t>
        </is>
      </c>
      <c r="B15122" s="10" t="inlineStr">
        <is>
          <t>Uraian Komponen</t>
        </is>
      </c>
      <c r="C15122" s="10" t="inlineStr">
        <is>
          <t>Satuan</t>
        </is>
      </c>
      <c r="D15122" s="10" t="inlineStr">
        <is>
          <t>Koef</t>
        </is>
      </c>
      <c r="E15122" s="10" t="inlineStr">
        <is>
          <t>Harga Satuan (Rp)</t>
        </is>
      </c>
      <c r="F15122" s="10" t="inlineStr">
        <is>
          <t>Jumlah Harga (Rp)</t>
        </is>
      </c>
    </row>
    <row r="15123">
      <c r="A15123" s="3" t="inlineStr">
        <is>
          <t>1</t>
        </is>
      </c>
      <c r="B15123" s="3" t="inlineStr">
        <is>
          <t>Pekerja</t>
        </is>
      </c>
      <c r="C15123" s="3" t="inlineStr">
        <is>
          <t>OH</t>
        </is>
      </c>
      <c r="D15123" s="15" t="n">
        <v>1.574</v>
      </c>
      <c r="E15123" s="4" t="n">
        <v>100000</v>
      </c>
      <c r="F15123" s="4" t="n">
        <v>157400</v>
      </c>
    </row>
    <row r="15124">
      <c r="A15124" s="3" t="inlineStr">
        <is>
          <t>2</t>
        </is>
      </c>
      <c r="B15124" s="3" t="inlineStr">
        <is>
          <t>Tukang pipa</t>
        </is>
      </c>
      <c r="C15124" s="3" t="inlineStr">
        <is>
          <t>OH</t>
        </is>
      </c>
      <c r="D15124" s="15" t="n">
        <v>2.628</v>
      </c>
      <c r="E15124" s="4" t="n">
        <v>145000</v>
      </c>
      <c r="F15124" s="4" t="n">
        <v>381060</v>
      </c>
    </row>
    <row r="15125">
      <c r="A15125" s="3" t="inlineStr">
        <is>
          <t>3</t>
        </is>
      </c>
      <c r="B15125" s="3" t="inlineStr">
        <is>
          <t>Kepala tukang</t>
        </is>
      </c>
      <c r="C15125" s="3" t="inlineStr">
        <is>
          <t>OH</t>
        </is>
      </c>
      <c r="D15125" s="15" t="n">
        <v>0.263</v>
      </c>
      <c r="E15125" s="4" t="n">
        <v>175000</v>
      </c>
      <c r="F15125" s="4" t="n">
        <v>46025</v>
      </c>
    </row>
    <row r="15126">
      <c r="A15126" s="3" t="inlineStr">
        <is>
          <t>4</t>
        </is>
      </c>
      <c r="B15126" s="3" t="inlineStr">
        <is>
          <t>Mandor</t>
        </is>
      </c>
      <c r="C15126" s="3" t="inlineStr">
        <is>
          <t>OH</t>
        </is>
      </c>
      <c r="D15126" s="15" t="n">
        <v>0.079</v>
      </c>
      <c r="E15126" s="4" t="n">
        <v>200000</v>
      </c>
      <c r="F15126" s="4" t="n">
        <v>15800</v>
      </c>
    </row>
    <row r="15127">
      <c r="A15127" s="3" t="inlineStr">
        <is>
          <t>1</t>
        </is>
      </c>
      <c r="B15127" s="3" t="inlineStr">
        <is>
          <t>"Foot Velve dia. 10"""</t>
        </is>
      </c>
      <c r="C15127" s="3" t="inlineStr">
        <is>
          <t>unit</t>
        </is>
      </c>
      <c r="D15127" s="15" t="n">
        <v>1.3</v>
      </c>
      <c r="E15127" s="4" t="n">
        <v>1525000</v>
      </c>
      <c r="F15127" s="4" t="n">
        <v>1982500</v>
      </c>
    </row>
    <row r="15128">
      <c r="D15128" s="2" t="inlineStr">
        <is>
          <t>SUBTOTAL UPAH</t>
        </is>
      </c>
      <c r="F15128" s="16" t="n">
        <v>600285</v>
      </c>
    </row>
    <row r="15129">
      <c r="D15129" s="2" t="inlineStr">
        <is>
          <t>SUBTOTAL BAHAN</t>
        </is>
      </c>
      <c r="F15129" s="16" t="n">
        <v>1982500</v>
      </c>
    </row>
    <row r="15130">
      <c r="D15130" s="2" t="inlineStr">
        <is>
          <t>SUBTOTAL ALAT</t>
        </is>
      </c>
      <c r="F15130" s="16" t="n">
        <v>0</v>
      </c>
    </row>
    <row r="15131">
      <c r="E15131" s="2" t="inlineStr">
        <is>
          <t>TOTAL HARGA SATUAN (Inc. Overhead)</t>
        </is>
      </c>
      <c r="F15131" s="17" t="n">
        <v>2841063</v>
      </c>
    </row>
    <row r="15133">
      <c r="A15133" s="14" t="inlineStr">
        <is>
          <t>KODE: 6.5.6.14 - Pemasangan 1 buah Foot Velve, Dia. 12" (300 mm)</t>
        </is>
      </c>
    </row>
    <row r="15134">
      <c r="A15134" s="10" t="inlineStr">
        <is>
          <t>No</t>
        </is>
      </c>
      <c r="B15134" s="10" t="inlineStr">
        <is>
          <t>Uraian Komponen</t>
        </is>
      </c>
      <c r="C15134" s="10" t="inlineStr">
        <is>
          <t>Satuan</t>
        </is>
      </c>
      <c r="D15134" s="10" t="inlineStr">
        <is>
          <t>Koef</t>
        </is>
      </c>
      <c r="E15134" s="10" t="inlineStr">
        <is>
          <t>Harga Satuan (Rp)</t>
        </is>
      </c>
      <c r="F15134" s="10" t="inlineStr">
        <is>
          <t>Jumlah Harga (Rp)</t>
        </is>
      </c>
    </row>
    <row r="15135">
      <c r="A15135" s="3" t="inlineStr">
        <is>
          <t>1</t>
        </is>
      </c>
      <c r="B15135" s="3" t="inlineStr">
        <is>
          <t>Pekerja</t>
        </is>
      </c>
      <c r="C15135" s="3" t="inlineStr">
        <is>
          <t>OH</t>
        </is>
      </c>
      <c r="D15135" s="15" t="n">
        <v>1.886</v>
      </c>
      <c r="E15135" s="4" t="n">
        <v>100000</v>
      </c>
      <c r="F15135" s="4" t="n">
        <v>188600</v>
      </c>
    </row>
    <row r="15136">
      <c r="A15136" s="3" t="inlineStr">
        <is>
          <t>2</t>
        </is>
      </c>
      <c r="B15136" s="3" t="inlineStr">
        <is>
          <t>Tukang pipa</t>
        </is>
      </c>
      <c r="C15136" s="3" t="inlineStr">
        <is>
          <t>OH</t>
        </is>
      </c>
      <c r="D15136" s="15" t="n">
        <v>3.149</v>
      </c>
      <c r="E15136" s="4" t="n">
        <v>145000</v>
      </c>
      <c r="F15136" s="4" t="n">
        <v>456605</v>
      </c>
    </row>
    <row r="15137">
      <c r="A15137" s="3" t="inlineStr">
        <is>
          <t>3</t>
        </is>
      </c>
      <c r="B15137" s="3" t="inlineStr">
        <is>
          <t>Kepala tukang</t>
        </is>
      </c>
      <c r="C15137" s="3" t="inlineStr">
        <is>
          <t>OH</t>
        </is>
      </c>
      <c r="D15137" s="15" t="n">
        <v>0.315</v>
      </c>
      <c r="E15137" s="4" t="n">
        <v>175000</v>
      </c>
      <c r="F15137" s="4" t="n">
        <v>55125</v>
      </c>
    </row>
    <row r="15138">
      <c r="A15138" s="3" t="inlineStr">
        <is>
          <t>4</t>
        </is>
      </c>
      <c r="B15138" s="3" t="inlineStr">
        <is>
          <t>Mandor</t>
        </is>
      </c>
      <c r="C15138" s="3" t="inlineStr">
        <is>
          <t>OH</t>
        </is>
      </c>
      <c r="D15138" s="15" t="n">
        <v>0.094</v>
      </c>
      <c r="E15138" s="4" t="n">
        <v>200000</v>
      </c>
      <c r="F15138" s="4" t="n">
        <v>18800</v>
      </c>
    </row>
    <row r="15139">
      <c r="A15139" s="3" t="inlineStr">
        <is>
          <t>1</t>
        </is>
      </c>
      <c r="B15139" s="3" t="inlineStr">
        <is>
          <t>"Foot Velve dia. 12"""</t>
        </is>
      </c>
      <c r="C15139" s="3" t="inlineStr">
        <is>
          <t>unit</t>
        </is>
      </c>
      <c r="D15139" s="15" t="n">
        <v>1.3</v>
      </c>
      <c r="E15139" s="4" t="n">
        <v>1740000</v>
      </c>
      <c r="F15139" s="4" t="n">
        <v>2262000</v>
      </c>
    </row>
    <row r="15140">
      <c r="D15140" s="2" t="inlineStr">
        <is>
          <t>SUBTOTAL UPAH</t>
        </is>
      </c>
      <c r="F15140" s="16" t="n">
        <v>719130</v>
      </c>
    </row>
    <row r="15141">
      <c r="D15141" s="2" t="inlineStr">
        <is>
          <t>SUBTOTAL BAHAN</t>
        </is>
      </c>
      <c r="F15141" s="16" t="n">
        <v>2262000</v>
      </c>
    </row>
    <row r="15142">
      <c r="D15142" s="2" t="inlineStr">
        <is>
          <t>SUBTOTAL ALAT</t>
        </is>
      </c>
      <c r="F15142" s="16" t="n">
        <v>0</v>
      </c>
    </row>
    <row r="15143">
      <c r="E15143" s="2" t="inlineStr">
        <is>
          <t>TOTAL HARGA SATUAN (Inc. Overhead)</t>
        </is>
      </c>
      <c r="F15143" s="17" t="n">
        <v>3279243</v>
      </c>
    </row>
    <row r="15145">
      <c r="A15145" s="14" t="inlineStr">
        <is>
          <t>KODE: 6.5.6.15 - Pemasangan 1 buah Foot Velve, Dia. 14" (350 mm)</t>
        </is>
      </c>
    </row>
    <row r="15146">
      <c r="A15146" s="10" t="inlineStr">
        <is>
          <t>No</t>
        </is>
      </c>
      <c r="B15146" s="10" t="inlineStr">
        <is>
          <t>Uraian Komponen</t>
        </is>
      </c>
      <c r="C15146" s="10" t="inlineStr">
        <is>
          <t>Satuan</t>
        </is>
      </c>
      <c r="D15146" s="10" t="inlineStr">
        <is>
          <t>Koef</t>
        </is>
      </c>
      <c r="E15146" s="10" t="inlineStr">
        <is>
          <t>Harga Satuan (Rp)</t>
        </is>
      </c>
      <c r="F15146" s="10" t="inlineStr">
        <is>
          <t>Jumlah Harga (Rp)</t>
        </is>
      </c>
    </row>
    <row r="15147">
      <c r="A15147" s="3" t="inlineStr">
        <is>
          <t>1</t>
        </is>
      </c>
      <c r="B15147" s="3" t="inlineStr">
        <is>
          <t>Pekerja</t>
        </is>
      </c>
      <c r="C15147" s="3" t="inlineStr">
        <is>
          <t>OH</t>
        </is>
      </c>
      <c r="D15147" s="15" t="n">
        <v>2.202</v>
      </c>
      <c r="E15147" s="4" t="n">
        <v>100000</v>
      </c>
      <c r="F15147" s="4" t="n">
        <v>220200</v>
      </c>
    </row>
    <row r="15148">
      <c r="A15148" s="3" t="inlineStr">
        <is>
          <t>2</t>
        </is>
      </c>
      <c r="B15148" s="3" t="inlineStr">
        <is>
          <t>Tukang pipa</t>
        </is>
      </c>
      <c r="C15148" s="3" t="inlineStr">
        <is>
          <t>OH</t>
        </is>
      </c>
      <c r="D15148" s="15" t="n">
        <v>3.678</v>
      </c>
      <c r="E15148" s="4" t="n">
        <v>145000</v>
      </c>
      <c r="F15148" s="4" t="n">
        <v>533310</v>
      </c>
    </row>
    <row r="15149">
      <c r="A15149" s="3" t="inlineStr">
        <is>
          <t>3</t>
        </is>
      </c>
      <c r="B15149" s="3" t="inlineStr">
        <is>
          <t>Kepala tukang</t>
        </is>
      </c>
      <c r="C15149" s="3" t="inlineStr">
        <is>
          <t>OH</t>
        </is>
      </c>
      <c r="D15149" s="15" t="n">
        <v>0.368</v>
      </c>
      <c r="E15149" s="4" t="n">
        <v>175000</v>
      </c>
      <c r="F15149" s="4" t="n">
        <v>64400</v>
      </c>
    </row>
    <row r="15150">
      <c r="A15150" s="3" t="inlineStr">
        <is>
          <t>4</t>
        </is>
      </c>
      <c r="B15150" s="3" t="inlineStr">
        <is>
          <t>Mandor</t>
        </is>
      </c>
      <c r="C15150" s="3" t="inlineStr">
        <is>
          <t>OH</t>
        </is>
      </c>
      <c r="D15150" s="15" t="n">
        <v>0.11</v>
      </c>
      <c r="E15150" s="4" t="n">
        <v>200000</v>
      </c>
      <c r="F15150" s="4" t="n">
        <v>22000</v>
      </c>
    </row>
    <row r="15151">
      <c r="A15151" s="3" t="inlineStr">
        <is>
          <t>1</t>
        </is>
      </c>
      <c r="B15151" s="3" t="inlineStr">
        <is>
          <t>"Foot Velve dia. 14"""</t>
        </is>
      </c>
      <c r="C15151" s="3" t="inlineStr">
        <is>
          <t>unit</t>
        </is>
      </c>
      <c r="D15151" s="15" t="n">
        <v>1.3</v>
      </c>
      <c r="E15151" s="4" t="n">
        <v>1980000</v>
      </c>
      <c r="F15151" s="4" t="n">
        <v>2574000</v>
      </c>
    </row>
    <row r="15152">
      <c r="D15152" s="2" t="inlineStr">
        <is>
          <t>SUBTOTAL UPAH</t>
        </is>
      </c>
      <c r="F15152" s="16" t="n">
        <v>839910</v>
      </c>
    </row>
    <row r="15153">
      <c r="D15153" s="2" t="inlineStr">
        <is>
          <t>SUBTOTAL BAHAN</t>
        </is>
      </c>
      <c r="F15153" s="16" t="n">
        <v>2574000</v>
      </c>
    </row>
    <row r="15154">
      <c r="D15154" s="2" t="inlineStr">
        <is>
          <t>SUBTOTAL ALAT</t>
        </is>
      </c>
      <c r="F15154" s="16" t="n">
        <v>0</v>
      </c>
    </row>
    <row r="15155">
      <c r="E15155" s="2" t="inlineStr">
        <is>
          <t>TOTAL HARGA SATUAN (Inc. Overhead)</t>
        </is>
      </c>
      <c r="F15155" s="17" t="n">
        <v>3755301</v>
      </c>
    </row>
    <row r="15157">
      <c r="A15157" s="14" t="inlineStr">
        <is>
          <t>KODE: 6.5.7.1 - Pemasangan 1 buah Flexible Joint 10 K, Dia 1/2" ( 15 mm)</t>
        </is>
      </c>
    </row>
    <row r="15158">
      <c r="A15158" s="10" t="inlineStr">
        <is>
          <t>No</t>
        </is>
      </c>
      <c r="B15158" s="10" t="inlineStr">
        <is>
          <t>Uraian Komponen</t>
        </is>
      </c>
      <c r="C15158" s="10" t="inlineStr">
        <is>
          <t>Satuan</t>
        </is>
      </c>
      <c r="D15158" s="10" t="inlineStr">
        <is>
          <t>Koef</t>
        </is>
      </c>
      <c r="E15158" s="10" t="inlineStr">
        <is>
          <t>Harga Satuan (Rp)</t>
        </is>
      </c>
      <c r="F15158" s="10" t="inlineStr">
        <is>
          <t>Jumlah Harga (Rp)</t>
        </is>
      </c>
    </row>
    <row r="15159">
      <c r="A15159" s="3" t="inlineStr">
        <is>
          <t>1</t>
        </is>
      </c>
      <c r="B15159" s="3" t="inlineStr">
        <is>
          <t>Pekerja</t>
        </is>
      </c>
      <c r="C15159" s="3" t="inlineStr">
        <is>
          <t>OH</t>
        </is>
      </c>
      <c r="D15159" s="15" t="n">
        <v>0.052</v>
      </c>
      <c r="E15159" s="4" t="n">
        <v>100000</v>
      </c>
      <c r="F15159" s="4" t="n">
        <v>5200</v>
      </c>
    </row>
    <row r="15160">
      <c r="A15160" s="3" t="inlineStr">
        <is>
          <t>2</t>
        </is>
      </c>
      <c r="B15160" s="3" t="inlineStr">
        <is>
          <t>Tukang pipa</t>
        </is>
      </c>
      <c r="C15160" s="3" t="inlineStr">
        <is>
          <t>OH</t>
        </is>
      </c>
      <c r="D15160" s="15" t="n">
        <v>0.08699999999999999</v>
      </c>
      <c r="E15160" s="4" t="n">
        <v>145000</v>
      </c>
      <c r="F15160" s="4" t="n">
        <v>12615</v>
      </c>
    </row>
    <row r="15161">
      <c r="A15161" s="3" t="inlineStr">
        <is>
          <t>3</t>
        </is>
      </c>
      <c r="B15161" s="3" t="inlineStr">
        <is>
          <t>Kepala tukang</t>
        </is>
      </c>
      <c r="C15161" s="3" t="inlineStr">
        <is>
          <t>OH</t>
        </is>
      </c>
      <c r="D15161" s="15" t="n">
        <v>0.008999999999999999</v>
      </c>
      <c r="E15161" s="4" t="n">
        <v>175000</v>
      </c>
      <c r="F15161" s="4" t="n">
        <v>1575</v>
      </c>
    </row>
    <row r="15162">
      <c r="A15162" s="3" t="inlineStr">
        <is>
          <t>4</t>
        </is>
      </c>
      <c r="B15162" s="3" t="inlineStr">
        <is>
          <t>Mandor</t>
        </is>
      </c>
      <c r="C15162" s="3" t="inlineStr">
        <is>
          <t>OH</t>
        </is>
      </c>
      <c r="D15162" s="15" t="n">
        <v>0.003</v>
      </c>
      <c r="E15162" s="4" t="n">
        <v>200000</v>
      </c>
      <c r="F15162" s="4" t="n">
        <v>600</v>
      </c>
    </row>
    <row r="15163">
      <c r="A15163" s="3" t="inlineStr">
        <is>
          <t>1</t>
        </is>
      </c>
      <c r="B15163" s="3" t="inlineStr">
        <is>
          <t>"Flexible Joint dia. 1/2"""</t>
        </is>
      </c>
      <c r="C15163" s="3" t="inlineStr">
        <is>
          <t>unit</t>
        </is>
      </c>
      <c r="D15163" s="15" t="n">
        <v>1.15</v>
      </c>
      <c r="E15163" s="4" t="n">
        <v>33600</v>
      </c>
      <c r="F15163" s="4" t="n">
        <v>38640</v>
      </c>
    </row>
    <row r="15164">
      <c r="D15164" s="2" t="inlineStr">
        <is>
          <t>SUBTOTAL UPAH</t>
        </is>
      </c>
      <c r="F15164" s="16" t="n">
        <v>19990</v>
      </c>
    </row>
    <row r="15165">
      <c r="D15165" s="2" t="inlineStr">
        <is>
          <t>SUBTOTAL BAHAN</t>
        </is>
      </c>
      <c r="F15165" s="16" t="n">
        <v>38640</v>
      </c>
    </row>
    <row r="15166">
      <c r="D15166" s="2" t="inlineStr">
        <is>
          <t>SUBTOTAL ALAT</t>
        </is>
      </c>
      <c r="F15166" s="16" t="n">
        <v>0</v>
      </c>
    </row>
    <row r="15167">
      <c r="E15167" s="2" t="inlineStr">
        <is>
          <t>TOTAL HARGA SATUAN (Inc. Overhead)</t>
        </is>
      </c>
      <c r="F15167" s="17" t="n">
        <v>64493</v>
      </c>
    </row>
    <row r="15169">
      <c r="A15169" s="14" t="inlineStr">
        <is>
          <t>KODE: 6.5.7.2 - Pemasangan 1 buah Flexible Joint 10 K, Dia 3/4" ( 20 mm)</t>
        </is>
      </c>
    </row>
    <row r="15170">
      <c r="A15170" s="10" t="inlineStr">
        <is>
          <t>No</t>
        </is>
      </c>
      <c r="B15170" s="10" t="inlineStr">
        <is>
          <t>Uraian Komponen</t>
        </is>
      </c>
      <c r="C15170" s="10" t="inlineStr">
        <is>
          <t>Satuan</t>
        </is>
      </c>
      <c r="D15170" s="10" t="inlineStr">
        <is>
          <t>Koef</t>
        </is>
      </c>
      <c r="E15170" s="10" t="inlineStr">
        <is>
          <t>Harga Satuan (Rp)</t>
        </is>
      </c>
      <c r="F15170" s="10" t="inlineStr">
        <is>
          <t>Jumlah Harga (Rp)</t>
        </is>
      </c>
    </row>
    <row r="15171">
      <c r="A15171" s="3" t="inlineStr">
        <is>
          <t>1</t>
        </is>
      </c>
      <c r="B15171" s="3" t="inlineStr">
        <is>
          <t>Pekerja</t>
        </is>
      </c>
      <c r="C15171" s="3" t="inlineStr">
        <is>
          <t>OH</t>
        </is>
      </c>
      <c r="D15171" s="15" t="n">
        <v>0.079</v>
      </c>
      <c r="E15171" s="4" t="n">
        <v>100000</v>
      </c>
      <c r="F15171" s="4" t="n">
        <v>7900</v>
      </c>
    </row>
    <row r="15172">
      <c r="A15172" s="3" t="inlineStr">
        <is>
          <t>2</t>
        </is>
      </c>
      <c r="B15172" s="3" t="inlineStr">
        <is>
          <t>Tukang pipa</t>
        </is>
      </c>
      <c r="C15172" s="3" t="inlineStr">
        <is>
          <t>OH</t>
        </is>
      </c>
      <c r="D15172" s="15" t="n">
        <v>0.131</v>
      </c>
      <c r="E15172" s="4" t="n">
        <v>145000</v>
      </c>
      <c r="F15172" s="4" t="n">
        <v>18995</v>
      </c>
    </row>
    <row r="15173">
      <c r="A15173" s="3" t="inlineStr">
        <is>
          <t>3</t>
        </is>
      </c>
      <c r="B15173" s="3" t="inlineStr">
        <is>
          <t>Kepala tukang</t>
        </is>
      </c>
      <c r="C15173" s="3" t="inlineStr">
        <is>
          <t>OH</t>
        </is>
      </c>
      <c r="D15173" s="15" t="n">
        <v>0.013</v>
      </c>
      <c r="E15173" s="4" t="n">
        <v>175000</v>
      </c>
      <c r="F15173" s="4" t="n">
        <v>2275</v>
      </c>
    </row>
    <row r="15174">
      <c r="A15174" s="3" t="inlineStr">
        <is>
          <t>4</t>
        </is>
      </c>
      <c r="B15174" s="3" t="inlineStr">
        <is>
          <t>Mandor</t>
        </is>
      </c>
      <c r="C15174" s="3" t="inlineStr">
        <is>
          <t>OH</t>
        </is>
      </c>
      <c r="D15174" s="15" t="n">
        <v>0.004</v>
      </c>
      <c r="E15174" s="4" t="n">
        <v>200000</v>
      </c>
      <c r="F15174" s="4" t="n">
        <v>800</v>
      </c>
    </row>
    <row r="15175">
      <c r="A15175" s="3" t="inlineStr">
        <is>
          <t>1</t>
        </is>
      </c>
      <c r="B15175" s="3" t="inlineStr">
        <is>
          <t>"Flexible Joint dia. 3/4"""</t>
        </is>
      </c>
      <c r="C15175" s="3" t="inlineStr">
        <is>
          <t>unit</t>
        </is>
      </c>
      <c r="D15175" s="15" t="n">
        <v>1.15</v>
      </c>
      <c r="E15175" s="4" t="n">
        <v>46500</v>
      </c>
      <c r="F15175" s="4" t="n">
        <v>53474.99999999999</v>
      </c>
    </row>
    <row r="15176">
      <c r="D15176" s="2" t="inlineStr">
        <is>
          <t>SUBTOTAL UPAH</t>
        </is>
      </c>
      <c r="F15176" s="16" t="n">
        <v>29970</v>
      </c>
    </row>
    <row r="15177">
      <c r="D15177" s="2" t="inlineStr">
        <is>
          <t>SUBTOTAL BAHAN</t>
        </is>
      </c>
      <c r="F15177" s="16" t="n">
        <v>53474.99999999999</v>
      </c>
    </row>
    <row r="15178">
      <c r="D15178" s="2" t="inlineStr">
        <is>
          <t>SUBTOTAL ALAT</t>
        </is>
      </c>
      <c r="F15178" s="16" t="n">
        <v>0</v>
      </c>
    </row>
    <row r="15179">
      <c r="E15179" s="2" t="inlineStr">
        <is>
          <t>TOTAL HARGA SATUAN (Inc. Overhead)</t>
        </is>
      </c>
      <c r="F15179" s="17" t="n">
        <v>91789</v>
      </c>
    </row>
    <row r="15181">
      <c r="A15181" s="14" t="inlineStr">
        <is>
          <t>KODE: 6.5.7.3 - Pemasangan 1 buah Flexible Joint 10 K, Dia 1" ( 25 mm)</t>
        </is>
      </c>
    </row>
    <row r="15182">
      <c r="A15182" s="10" t="inlineStr">
        <is>
          <t>No</t>
        </is>
      </c>
      <c r="B15182" s="10" t="inlineStr">
        <is>
          <t>Uraian Komponen</t>
        </is>
      </c>
      <c r="C15182" s="10" t="inlineStr">
        <is>
          <t>Satuan</t>
        </is>
      </c>
      <c r="D15182" s="10" t="inlineStr">
        <is>
          <t>Koef</t>
        </is>
      </c>
      <c r="E15182" s="10" t="inlineStr">
        <is>
          <t>Harga Satuan (Rp)</t>
        </is>
      </c>
      <c r="F15182" s="10" t="inlineStr">
        <is>
          <t>Jumlah Harga (Rp)</t>
        </is>
      </c>
    </row>
    <row r="15183">
      <c r="A15183" s="3" t="inlineStr">
        <is>
          <t>1</t>
        </is>
      </c>
      <c r="B15183" s="3" t="inlineStr">
        <is>
          <t>Pekerja</t>
        </is>
      </c>
      <c r="C15183" s="3" t="inlineStr">
        <is>
          <t>OH</t>
        </is>
      </c>
      <c r="D15183" s="15" t="n">
        <v>0.105</v>
      </c>
      <c r="E15183" s="4" t="n">
        <v>100000</v>
      </c>
      <c r="F15183" s="4" t="n">
        <v>10500</v>
      </c>
    </row>
    <row r="15184">
      <c r="A15184" s="3" t="inlineStr">
        <is>
          <t>2</t>
        </is>
      </c>
      <c r="B15184" s="3" t="inlineStr">
        <is>
          <t>Tukang pipa</t>
        </is>
      </c>
      <c r="C15184" s="3" t="inlineStr">
        <is>
          <t>OH</t>
        </is>
      </c>
      <c r="D15184" s="15" t="n">
        <v>0.175</v>
      </c>
      <c r="E15184" s="4" t="n">
        <v>145000</v>
      </c>
      <c r="F15184" s="4" t="n">
        <v>25375</v>
      </c>
    </row>
    <row r="15185">
      <c r="A15185" s="3" t="inlineStr">
        <is>
          <t>3</t>
        </is>
      </c>
      <c r="B15185" s="3" t="inlineStr">
        <is>
          <t>Kepala tukang</t>
        </is>
      </c>
      <c r="C15185" s="3" t="inlineStr">
        <is>
          <t>OH</t>
        </is>
      </c>
      <c r="D15185" s="15" t="n">
        <v>0.017</v>
      </c>
      <c r="E15185" s="4" t="n">
        <v>175000</v>
      </c>
      <c r="F15185" s="4" t="n">
        <v>2975</v>
      </c>
    </row>
    <row r="15186">
      <c r="A15186" s="3" t="inlineStr">
        <is>
          <t>4</t>
        </is>
      </c>
      <c r="B15186" s="3" t="inlineStr">
        <is>
          <t>Mandor</t>
        </is>
      </c>
      <c r="C15186" s="3" t="inlineStr">
        <is>
          <t>OH</t>
        </is>
      </c>
      <c r="D15186" s="15" t="n">
        <v>0.005</v>
      </c>
      <c r="E15186" s="4" t="n">
        <v>200000</v>
      </c>
      <c r="F15186" s="4" t="n">
        <v>1000</v>
      </c>
    </row>
    <row r="15187">
      <c r="A15187" s="3" t="inlineStr">
        <is>
          <t>1</t>
        </is>
      </c>
      <c r="B15187" s="3" t="inlineStr">
        <is>
          <t>"Flexible Joint dia. 1"""</t>
        </is>
      </c>
      <c r="C15187" s="3" t="inlineStr">
        <is>
          <t>unit</t>
        </is>
      </c>
      <c r="D15187" s="15" t="n">
        <v>1.15</v>
      </c>
      <c r="E15187" s="4" t="n">
        <v>87500</v>
      </c>
      <c r="F15187" s="4" t="n">
        <v>100625</v>
      </c>
    </row>
    <row r="15188">
      <c r="D15188" s="2" t="inlineStr">
        <is>
          <t>SUBTOTAL UPAH</t>
        </is>
      </c>
      <c r="F15188" s="16" t="n">
        <v>39850</v>
      </c>
    </row>
    <row r="15189">
      <c r="D15189" s="2" t="inlineStr">
        <is>
          <t>SUBTOTAL BAHAN</t>
        </is>
      </c>
      <c r="F15189" s="16" t="n">
        <v>100625</v>
      </c>
    </row>
    <row r="15190">
      <c r="D15190" s="2" t="inlineStr">
        <is>
          <t>SUBTOTAL ALAT</t>
        </is>
      </c>
      <c r="F15190" s="16" t="n">
        <v>0</v>
      </c>
    </row>
    <row r="15191">
      <c r="E15191" s="2" t="inlineStr">
        <is>
          <t>TOTAL HARGA SATUAN (Inc. Overhead)</t>
        </is>
      </c>
      <c r="F15191" s="17" t="n">
        <v>154522</v>
      </c>
    </row>
    <row r="15193">
      <c r="A15193" s="14" t="inlineStr">
        <is>
          <t>KODE: 6.5.7.4 - Pemasangan 1 buah Flexible Joint 10 K, Dia. 1-1/4 " (32 mm)</t>
        </is>
      </c>
    </row>
    <row r="15194">
      <c r="A15194" s="10" t="inlineStr">
        <is>
          <t>No</t>
        </is>
      </c>
      <c r="B15194" s="10" t="inlineStr">
        <is>
          <t>Uraian Komponen</t>
        </is>
      </c>
      <c r="C15194" s="10" t="inlineStr">
        <is>
          <t>Satuan</t>
        </is>
      </c>
      <c r="D15194" s="10" t="inlineStr">
        <is>
          <t>Koef</t>
        </is>
      </c>
      <c r="E15194" s="10" t="inlineStr">
        <is>
          <t>Harga Satuan (Rp)</t>
        </is>
      </c>
      <c r="F15194" s="10" t="inlineStr">
        <is>
          <t>Jumlah Harga (Rp)</t>
        </is>
      </c>
    </row>
    <row r="15195">
      <c r="A15195" s="3" t="inlineStr">
        <is>
          <t>1</t>
        </is>
      </c>
      <c r="B15195" s="3" t="inlineStr">
        <is>
          <t>Pekerja</t>
        </is>
      </c>
      <c r="C15195" s="3" t="inlineStr">
        <is>
          <t>OH</t>
        </is>
      </c>
      <c r="D15195" s="15" t="n">
        <v>0.129</v>
      </c>
      <c r="E15195" s="4" t="n">
        <v>100000</v>
      </c>
      <c r="F15195" s="4" t="n">
        <v>12900</v>
      </c>
    </row>
    <row r="15196">
      <c r="A15196" s="3" t="inlineStr">
        <is>
          <t>2</t>
        </is>
      </c>
      <c r="B15196" s="3" t="inlineStr">
        <is>
          <t>Tukang pipa</t>
        </is>
      </c>
      <c r="C15196" s="3" t="inlineStr">
        <is>
          <t>OH</t>
        </is>
      </c>
      <c r="D15196" s="15" t="n">
        <v>0.215</v>
      </c>
      <c r="E15196" s="4" t="n">
        <v>145000</v>
      </c>
      <c r="F15196" s="4" t="n">
        <v>31175</v>
      </c>
    </row>
    <row r="15197">
      <c r="A15197" s="3" t="inlineStr">
        <is>
          <t>3</t>
        </is>
      </c>
      <c r="B15197" s="3" t="inlineStr">
        <is>
          <t>Kepala tukang</t>
        </is>
      </c>
      <c r="C15197" s="3" t="inlineStr">
        <is>
          <t>OH</t>
        </is>
      </c>
      <c r="D15197" s="15" t="n">
        <v>0.021</v>
      </c>
      <c r="E15197" s="4" t="n">
        <v>175000</v>
      </c>
      <c r="F15197" s="4" t="n">
        <v>3675</v>
      </c>
    </row>
    <row r="15198">
      <c r="A15198" s="3" t="inlineStr">
        <is>
          <t>4</t>
        </is>
      </c>
      <c r="B15198" s="3" t="inlineStr">
        <is>
          <t>Mandor</t>
        </is>
      </c>
      <c r="C15198" s="3" t="inlineStr">
        <is>
          <t>OH</t>
        </is>
      </c>
      <c r="D15198" s="15" t="n">
        <v>0.006</v>
      </c>
      <c r="E15198" s="4" t="n">
        <v>200000</v>
      </c>
      <c r="F15198" s="4" t="n">
        <v>1200</v>
      </c>
    </row>
    <row r="15199">
      <c r="A15199" s="3" t="inlineStr">
        <is>
          <t>1</t>
        </is>
      </c>
      <c r="B15199" s="3" t="inlineStr">
        <is>
          <t>"Flexible Joint dia. 1-1/4"""</t>
        </is>
      </c>
      <c r="C15199" s="3" t="inlineStr">
        <is>
          <t>unit</t>
        </is>
      </c>
      <c r="D15199" s="15" t="n">
        <v>1.15</v>
      </c>
      <c r="E15199" s="4" t="n">
        <v>97800</v>
      </c>
      <c r="F15199" s="4" t="n">
        <v>112470</v>
      </c>
    </row>
    <row r="15200">
      <c r="D15200" s="2" t="inlineStr">
        <is>
          <t>SUBTOTAL UPAH</t>
        </is>
      </c>
      <c r="F15200" s="16" t="n">
        <v>48950</v>
      </c>
    </row>
    <row r="15201">
      <c r="D15201" s="2" t="inlineStr">
        <is>
          <t>SUBTOTAL BAHAN</t>
        </is>
      </c>
      <c r="F15201" s="16" t="n">
        <v>112470</v>
      </c>
    </row>
    <row r="15202">
      <c r="D15202" s="2" t="inlineStr">
        <is>
          <t>SUBTOTAL ALAT</t>
        </is>
      </c>
      <c r="F15202" s="16" t="n">
        <v>0</v>
      </c>
    </row>
    <row r="15203">
      <c r="E15203" s="2" t="inlineStr">
        <is>
          <t>TOTAL HARGA SATUAN (Inc. Overhead)</t>
        </is>
      </c>
      <c r="F15203" s="17" t="n">
        <v>177562</v>
      </c>
    </row>
    <row r="15205">
      <c r="A15205" s="14" t="inlineStr">
        <is>
          <t>KODE: 6.5.7.5 - Pemasangan 1 buah Flexible Joint 10 K, Dia. 1-1/2 " (40 mm)</t>
        </is>
      </c>
    </row>
    <row r="15206">
      <c r="A15206" s="10" t="inlineStr">
        <is>
          <t>No</t>
        </is>
      </c>
      <c r="B15206" s="10" t="inlineStr">
        <is>
          <t>Uraian Komponen</t>
        </is>
      </c>
      <c r="C15206" s="10" t="inlineStr">
        <is>
          <t>Satuan</t>
        </is>
      </c>
      <c r="D15206" s="10" t="inlineStr">
        <is>
          <t>Koef</t>
        </is>
      </c>
      <c r="E15206" s="10" t="inlineStr">
        <is>
          <t>Harga Satuan (Rp)</t>
        </is>
      </c>
      <c r="F15206" s="10" t="inlineStr">
        <is>
          <t>Jumlah Harga (Rp)</t>
        </is>
      </c>
    </row>
    <row r="15207">
      <c r="A15207" s="3" t="inlineStr">
        <is>
          <t>1</t>
        </is>
      </c>
      <c r="B15207" s="3" t="inlineStr">
        <is>
          <t>Pekerja</t>
        </is>
      </c>
      <c r="C15207" s="3" t="inlineStr">
        <is>
          <t>OH</t>
        </is>
      </c>
      <c r="D15207" s="15" t="n">
        <v>0.157</v>
      </c>
      <c r="E15207" s="4" t="n">
        <v>100000</v>
      </c>
      <c r="F15207" s="4" t="n">
        <v>15700</v>
      </c>
    </row>
    <row r="15208">
      <c r="A15208" s="3" t="inlineStr">
        <is>
          <t>2</t>
        </is>
      </c>
      <c r="B15208" s="3" t="inlineStr">
        <is>
          <t>Tukang pipa</t>
        </is>
      </c>
      <c r="C15208" s="3" t="inlineStr">
        <is>
          <t>OH</t>
        </is>
      </c>
      <c r="D15208" s="15" t="n">
        <v>0.262</v>
      </c>
      <c r="E15208" s="4" t="n">
        <v>145000</v>
      </c>
      <c r="F15208" s="4" t="n">
        <v>37990</v>
      </c>
    </row>
    <row r="15209">
      <c r="A15209" s="3" t="inlineStr">
        <is>
          <t>3</t>
        </is>
      </c>
      <c r="B15209" s="3" t="inlineStr">
        <is>
          <t>Kepala tukang</t>
        </is>
      </c>
      <c r="C15209" s="3" t="inlineStr">
        <is>
          <t>OH</t>
        </is>
      </c>
      <c r="D15209" s="15" t="n">
        <v>0.026</v>
      </c>
      <c r="E15209" s="4" t="n">
        <v>175000</v>
      </c>
      <c r="F15209" s="4" t="n">
        <v>4550</v>
      </c>
    </row>
    <row r="15210">
      <c r="A15210" s="3" t="inlineStr">
        <is>
          <t>4</t>
        </is>
      </c>
      <c r="B15210" s="3" t="inlineStr">
        <is>
          <t>Mandor</t>
        </is>
      </c>
      <c r="C15210" s="3" t="inlineStr">
        <is>
          <t>OH</t>
        </is>
      </c>
      <c r="D15210" s="15" t="n">
        <v>0.008</v>
      </c>
      <c r="E15210" s="4" t="n">
        <v>200000</v>
      </c>
      <c r="F15210" s="4" t="n">
        <v>1600</v>
      </c>
    </row>
    <row r="15211">
      <c r="A15211" s="3" t="inlineStr">
        <is>
          <t>1</t>
        </is>
      </c>
      <c r="B15211" s="3" t="inlineStr">
        <is>
          <t>"Flexible Joint dia. 1-1/2"""</t>
        </is>
      </c>
      <c r="C15211" s="3" t="inlineStr">
        <is>
          <t>unit</t>
        </is>
      </c>
      <c r="D15211" s="15" t="n">
        <v>1.15</v>
      </c>
      <c r="E15211" s="4" t="n">
        <v>105700</v>
      </c>
      <c r="F15211" s="4" t="n">
        <v>121555</v>
      </c>
    </row>
    <row r="15212">
      <c r="D15212" s="2" t="inlineStr">
        <is>
          <t>SUBTOTAL UPAH</t>
        </is>
      </c>
      <c r="F15212" s="16" t="n">
        <v>59840</v>
      </c>
    </row>
    <row r="15213">
      <c r="D15213" s="2" t="inlineStr">
        <is>
          <t>SUBTOTAL BAHAN</t>
        </is>
      </c>
      <c r="F15213" s="16" t="n">
        <v>121555</v>
      </c>
    </row>
    <row r="15214">
      <c r="D15214" s="2" t="inlineStr">
        <is>
          <t>SUBTOTAL ALAT</t>
        </is>
      </c>
      <c r="F15214" s="16" t="n">
        <v>0</v>
      </c>
    </row>
    <row r="15215">
      <c r="E15215" s="2" t="inlineStr">
        <is>
          <t>TOTAL HARGA SATUAN (Inc. Overhead)</t>
        </is>
      </c>
      <c r="F15215" s="17" t="n">
        <v>199534</v>
      </c>
    </row>
    <row r="15217">
      <c r="A15217" s="14" t="inlineStr">
        <is>
          <t>KODE: 6.5.7.6 - Pemasangan 1 buah Flexible Joint (10, 20) K, Dia. 2 " (50 mm)</t>
        </is>
      </c>
    </row>
    <row r="15218">
      <c r="A15218" s="10" t="inlineStr">
        <is>
          <t>No</t>
        </is>
      </c>
      <c r="B15218" s="10" t="inlineStr">
        <is>
          <t>Uraian Komponen</t>
        </is>
      </c>
      <c r="C15218" s="10" t="inlineStr">
        <is>
          <t>Satuan</t>
        </is>
      </c>
      <c r="D15218" s="10" t="inlineStr">
        <is>
          <t>Koef</t>
        </is>
      </c>
      <c r="E15218" s="10" t="inlineStr">
        <is>
          <t>Harga Satuan (Rp)</t>
        </is>
      </c>
      <c r="F15218" s="10" t="inlineStr">
        <is>
          <t>Jumlah Harga (Rp)</t>
        </is>
      </c>
    </row>
    <row r="15219">
      <c r="A15219" s="3" t="inlineStr">
        <is>
          <t>1</t>
        </is>
      </c>
      <c r="B15219" s="3" t="inlineStr">
        <is>
          <t>Pekerja</t>
        </is>
      </c>
      <c r="C15219" s="3" t="inlineStr">
        <is>
          <t>OH</t>
        </is>
      </c>
      <c r="D15219" s="15" t="n">
        <v>0.207</v>
      </c>
      <c r="E15219" s="4" t="n">
        <v>100000</v>
      </c>
      <c r="F15219" s="4" t="n">
        <v>20700</v>
      </c>
    </row>
    <row r="15220">
      <c r="A15220" s="3" t="inlineStr">
        <is>
          <t>2</t>
        </is>
      </c>
      <c r="B15220" s="3" t="inlineStr">
        <is>
          <t>Tukang pipa</t>
        </is>
      </c>
      <c r="C15220" s="3" t="inlineStr">
        <is>
          <t>OH</t>
        </is>
      </c>
      <c r="D15220" s="15" t="n">
        <v>0.346</v>
      </c>
      <c r="E15220" s="4" t="n">
        <v>145000</v>
      </c>
      <c r="F15220" s="4" t="n">
        <v>50169.99999999999</v>
      </c>
    </row>
    <row r="15221">
      <c r="A15221" s="3" t="inlineStr">
        <is>
          <t>3</t>
        </is>
      </c>
      <c r="B15221" s="3" t="inlineStr">
        <is>
          <t>Kepala tukang</t>
        </is>
      </c>
      <c r="C15221" s="3" t="inlineStr">
        <is>
          <t>OH</t>
        </is>
      </c>
      <c r="D15221" s="15" t="n">
        <v>0.035</v>
      </c>
      <c r="E15221" s="4" t="n">
        <v>175000</v>
      </c>
      <c r="F15221" s="4" t="n">
        <v>6125.000000000001</v>
      </c>
    </row>
    <row r="15222">
      <c r="A15222" s="3" t="inlineStr">
        <is>
          <t>4</t>
        </is>
      </c>
      <c r="B15222" s="3" t="inlineStr">
        <is>
          <t>Mandor</t>
        </is>
      </c>
      <c r="C15222" s="3" t="inlineStr">
        <is>
          <t>OH</t>
        </is>
      </c>
      <c r="D15222" s="15" t="n">
        <v>0.01</v>
      </c>
      <c r="E15222" s="4" t="n">
        <v>200000</v>
      </c>
      <c r="F15222" s="4" t="n">
        <v>2000</v>
      </c>
    </row>
    <row r="15223">
      <c r="A15223" s="3" t="inlineStr">
        <is>
          <t>1</t>
        </is>
      </c>
      <c r="B15223" s="3" t="inlineStr">
        <is>
          <t>"Flexible Joint dia. 2"""</t>
        </is>
      </c>
      <c r="C15223" s="3" t="inlineStr">
        <is>
          <t>unit</t>
        </is>
      </c>
      <c r="D15223" s="15" t="n">
        <v>1.15</v>
      </c>
      <c r="E15223" s="4" t="n">
        <v>136500</v>
      </c>
      <c r="F15223" s="4" t="n">
        <v>156975</v>
      </c>
    </row>
    <row r="15224">
      <c r="D15224" s="2" t="inlineStr">
        <is>
          <t>SUBTOTAL UPAH</t>
        </is>
      </c>
      <c r="F15224" s="16" t="n">
        <v>78995</v>
      </c>
    </row>
    <row r="15225">
      <c r="D15225" s="2" t="inlineStr">
        <is>
          <t>SUBTOTAL BAHAN</t>
        </is>
      </c>
      <c r="F15225" s="16" t="n">
        <v>156975</v>
      </c>
    </row>
    <row r="15226">
      <c r="D15226" s="2" t="inlineStr">
        <is>
          <t>SUBTOTAL ALAT</t>
        </is>
      </c>
      <c r="F15226" s="16" t="n">
        <v>0</v>
      </c>
    </row>
    <row r="15227">
      <c r="E15227" s="2" t="inlineStr">
        <is>
          <t>TOTAL HARGA SATUAN (Inc. Overhead)</t>
        </is>
      </c>
      <c r="F15227" s="17" t="n">
        <v>259567</v>
      </c>
    </row>
    <row r="15229">
      <c r="A15229" s="14" t="inlineStr">
        <is>
          <t>KODE: 6.5.7.7 - Pemasangan 1 buah Flexible Joint (10, 20) K, Dia. 2-1/2 " (65 mm)</t>
        </is>
      </c>
    </row>
    <row r="15230">
      <c r="A15230" s="10" t="inlineStr">
        <is>
          <t>No</t>
        </is>
      </c>
      <c r="B15230" s="10" t="inlineStr">
        <is>
          <t>Uraian Komponen</t>
        </is>
      </c>
      <c r="C15230" s="10" t="inlineStr">
        <is>
          <t>Satuan</t>
        </is>
      </c>
      <c r="D15230" s="10" t="inlineStr">
        <is>
          <t>Koef</t>
        </is>
      </c>
      <c r="E15230" s="10" t="inlineStr">
        <is>
          <t>Harga Satuan (Rp)</t>
        </is>
      </c>
      <c r="F15230" s="10" t="inlineStr">
        <is>
          <t>Jumlah Harga (Rp)</t>
        </is>
      </c>
    </row>
    <row r="15231">
      <c r="A15231" s="3" t="inlineStr">
        <is>
          <t>1</t>
        </is>
      </c>
      <c r="B15231" s="3" t="inlineStr">
        <is>
          <t>Pekerja</t>
        </is>
      </c>
      <c r="C15231" s="3" t="inlineStr">
        <is>
          <t>OH</t>
        </is>
      </c>
      <c r="D15231" s="15" t="n">
        <v>0.26</v>
      </c>
      <c r="E15231" s="4" t="n">
        <v>100000</v>
      </c>
      <c r="F15231" s="4" t="n">
        <v>26000</v>
      </c>
    </row>
    <row r="15232">
      <c r="A15232" s="3" t="inlineStr">
        <is>
          <t>2</t>
        </is>
      </c>
      <c r="B15232" s="3" t="inlineStr">
        <is>
          <t>Tukang pipa</t>
        </is>
      </c>
      <c r="C15232" s="3" t="inlineStr">
        <is>
          <t>OH</t>
        </is>
      </c>
      <c r="D15232" s="15" t="n">
        <v>0.433</v>
      </c>
      <c r="E15232" s="4" t="n">
        <v>145000</v>
      </c>
      <c r="F15232" s="4" t="n">
        <v>62785</v>
      </c>
    </row>
    <row r="15233">
      <c r="A15233" s="3" t="inlineStr">
        <is>
          <t>3</t>
        </is>
      </c>
      <c r="B15233" s="3" t="inlineStr">
        <is>
          <t>Kepala tukang</t>
        </is>
      </c>
      <c r="C15233" s="3" t="inlineStr">
        <is>
          <t>OH</t>
        </is>
      </c>
      <c r="D15233" s="15" t="n">
        <v>0.043</v>
      </c>
      <c r="E15233" s="4" t="n">
        <v>175000</v>
      </c>
      <c r="F15233" s="4" t="n">
        <v>7524.999999999999</v>
      </c>
    </row>
    <row r="15234">
      <c r="A15234" s="3" t="inlineStr">
        <is>
          <t>4</t>
        </is>
      </c>
      <c r="B15234" s="3" t="inlineStr">
        <is>
          <t>Mandor</t>
        </is>
      </c>
      <c r="C15234" s="3" t="inlineStr">
        <is>
          <t>OH</t>
        </is>
      </c>
      <c r="D15234" s="15" t="n">
        <v>0.013</v>
      </c>
      <c r="E15234" s="4" t="n">
        <v>200000</v>
      </c>
      <c r="F15234" s="4" t="n">
        <v>2600</v>
      </c>
    </row>
    <row r="15235">
      <c r="A15235" s="3" t="inlineStr">
        <is>
          <t>1</t>
        </is>
      </c>
      <c r="B15235" s="3" t="inlineStr">
        <is>
          <t>"Flexible Joint dia. 2-1/2"""</t>
        </is>
      </c>
      <c r="C15235" s="3" t="inlineStr">
        <is>
          <t>unit</t>
        </is>
      </c>
      <c r="D15235" s="15" t="n">
        <v>1.15</v>
      </c>
      <c r="E15235" s="4" t="n">
        <v>157900</v>
      </c>
      <c r="F15235" s="4" t="n">
        <v>181585</v>
      </c>
    </row>
    <row r="15236">
      <c r="D15236" s="2" t="inlineStr">
        <is>
          <t>SUBTOTAL UPAH</t>
        </is>
      </c>
      <c r="F15236" s="16" t="n">
        <v>98910</v>
      </c>
    </row>
    <row r="15237">
      <c r="D15237" s="2" t="inlineStr">
        <is>
          <t>SUBTOTAL BAHAN</t>
        </is>
      </c>
      <c r="F15237" s="16" t="n">
        <v>181585</v>
      </c>
    </row>
    <row r="15238">
      <c r="D15238" s="2" t="inlineStr">
        <is>
          <t>SUBTOTAL ALAT</t>
        </is>
      </c>
      <c r="F15238" s="16" t="n">
        <v>0</v>
      </c>
    </row>
    <row r="15239">
      <c r="E15239" s="2" t="inlineStr">
        <is>
          <t>TOTAL HARGA SATUAN (Inc. Overhead)</t>
        </is>
      </c>
      <c r="F15239" s="17" t="n">
        <v>308544</v>
      </c>
    </row>
    <row r="15241">
      <c r="A15241" s="14" t="inlineStr">
        <is>
          <t>KODE: 6.5.7.8 - Pemasangan 1 buah Flexible Joint (10, 20) K, Dia. 3 " (80 mm)</t>
        </is>
      </c>
    </row>
    <row r="15242">
      <c r="A15242" s="10" t="inlineStr">
        <is>
          <t>No</t>
        </is>
      </c>
      <c r="B15242" s="10" t="inlineStr">
        <is>
          <t>Uraian Komponen</t>
        </is>
      </c>
      <c r="C15242" s="10" t="inlineStr">
        <is>
          <t>Satuan</t>
        </is>
      </c>
      <c r="D15242" s="10" t="inlineStr">
        <is>
          <t>Koef</t>
        </is>
      </c>
      <c r="E15242" s="10" t="inlineStr">
        <is>
          <t>Harga Satuan (Rp)</t>
        </is>
      </c>
      <c r="F15242" s="10" t="inlineStr">
        <is>
          <t>Jumlah Harga (Rp)</t>
        </is>
      </c>
    </row>
    <row r="15243">
      <c r="A15243" s="3" t="inlineStr">
        <is>
          <t>1</t>
        </is>
      </c>
      <c r="B15243" s="3" t="inlineStr">
        <is>
          <t>Pekerja</t>
        </is>
      </c>
      <c r="C15243" s="3" t="inlineStr">
        <is>
          <t>OH</t>
        </is>
      </c>
      <c r="D15243" s="15" t="n">
        <v>0.471</v>
      </c>
      <c r="E15243" s="4" t="n">
        <v>100000</v>
      </c>
      <c r="F15243" s="4" t="n">
        <v>47100</v>
      </c>
    </row>
    <row r="15244">
      <c r="A15244" s="3" t="inlineStr">
        <is>
          <t>2</t>
        </is>
      </c>
      <c r="B15244" s="3" t="inlineStr">
        <is>
          <t>Tukang pipa</t>
        </is>
      </c>
      <c r="C15244" s="3" t="inlineStr">
        <is>
          <t>OH</t>
        </is>
      </c>
      <c r="D15244" s="15" t="n">
        <v>0.787</v>
      </c>
      <c r="E15244" s="4" t="n">
        <v>145000</v>
      </c>
      <c r="F15244" s="4" t="n">
        <v>114115</v>
      </c>
    </row>
    <row r="15245">
      <c r="A15245" s="3" t="inlineStr">
        <is>
          <t>3</t>
        </is>
      </c>
      <c r="B15245" s="3" t="inlineStr">
        <is>
          <t>Kepala tukang</t>
        </is>
      </c>
      <c r="C15245" s="3" t="inlineStr">
        <is>
          <t>OH</t>
        </is>
      </c>
      <c r="D15245" s="15" t="n">
        <v>0.079</v>
      </c>
      <c r="E15245" s="4" t="n">
        <v>175000</v>
      </c>
      <c r="F15245" s="4" t="n">
        <v>13825</v>
      </c>
    </row>
    <row r="15246">
      <c r="A15246" s="3" t="inlineStr">
        <is>
          <t>4</t>
        </is>
      </c>
      <c r="B15246" s="3" t="inlineStr">
        <is>
          <t>Mandor</t>
        </is>
      </c>
      <c r="C15246" s="3" t="inlineStr">
        <is>
          <t>OH</t>
        </is>
      </c>
      <c r="D15246" s="15" t="n">
        <v>0.024</v>
      </c>
      <c r="E15246" s="4" t="n">
        <v>200000</v>
      </c>
      <c r="F15246" s="4" t="n">
        <v>4800</v>
      </c>
    </row>
    <row r="15247">
      <c r="A15247" s="3" t="inlineStr">
        <is>
          <t>1</t>
        </is>
      </c>
      <c r="B15247" s="3" t="inlineStr">
        <is>
          <t>"Flexible Joint dia. 3"""</t>
        </is>
      </c>
      <c r="C15247" s="3" t="inlineStr">
        <is>
          <t>unit</t>
        </is>
      </c>
      <c r="D15247" s="15" t="n">
        <v>1.3</v>
      </c>
      <c r="E15247" s="4" t="n">
        <v>165400</v>
      </c>
      <c r="F15247" s="4" t="n">
        <v>215020</v>
      </c>
    </row>
    <row r="15248">
      <c r="D15248" s="2" t="inlineStr">
        <is>
          <t>SUBTOTAL UPAH</t>
        </is>
      </c>
      <c r="F15248" s="16" t="n">
        <v>179840</v>
      </c>
    </row>
    <row r="15249">
      <c r="D15249" s="2" t="inlineStr">
        <is>
          <t>SUBTOTAL BAHAN</t>
        </is>
      </c>
      <c r="F15249" s="16" t="n">
        <v>215020</v>
      </c>
    </row>
    <row r="15250">
      <c r="D15250" s="2" t="inlineStr">
        <is>
          <t>SUBTOTAL ALAT</t>
        </is>
      </c>
      <c r="F15250" s="16" t="n">
        <v>0</v>
      </c>
    </row>
    <row r="15251">
      <c r="E15251" s="2" t="inlineStr">
        <is>
          <t>TOTAL HARGA SATUAN (Inc. Overhead)</t>
        </is>
      </c>
      <c r="F15251" s="17" t="n">
        <v>434346</v>
      </c>
    </row>
    <row r="15253">
      <c r="A15253" s="14" t="inlineStr">
        <is>
          <t>KODE: 6.5.7.9 - Pemasangan 1 buah Flexible Joint (10, 20) K, Dia. 4" (100 mm)</t>
        </is>
      </c>
    </row>
    <row r="15254">
      <c r="A15254" s="10" t="inlineStr">
        <is>
          <t>No</t>
        </is>
      </c>
      <c r="B15254" s="10" t="inlineStr">
        <is>
          <t>Uraian Komponen</t>
        </is>
      </c>
      <c r="C15254" s="10" t="inlineStr">
        <is>
          <t>Satuan</t>
        </is>
      </c>
      <c r="D15254" s="10" t="inlineStr">
        <is>
          <t>Koef</t>
        </is>
      </c>
      <c r="E15254" s="10" t="inlineStr">
        <is>
          <t>Harga Satuan (Rp)</t>
        </is>
      </c>
      <c r="F15254" s="10" t="inlineStr">
        <is>
          <t>Jumlah Harga (Rp)</t>
        </is>
      </c>
    </row>
    <row r="15255">
      <c r="A15255" s="3" t="inlineStr">
        <is>
          <t>1</t>
        </is>
      </c>
      <c r="B15255" s="3" t="inlineStr">
        <is>
          <t>Pekerja</t>
        </is>
      </c>
      <c r="C15255" s="3" t="inlineStr">
        <is>
          <t>OH</t>
        </is>
      </c>
      <c r="D15255" s="15" t="n">
        <v>0.631</v>
      </c>
      <c r="E15255" s="4" t="n">
        <v>100000</v>
      </c>
      <c r="F15255" s="4" t="n">
        <v>63100</v>
      </c>
    </row>
    <row r="15256">
      <c r="A15256" s="3" t="inlineStr">
        <is>
          <t>2</t>
        </is>
      </c>
      <c r="B15256" s="3" t="inlineStr">
        <is>
          <t>Tukang pipa</t>
        </is>
      </c>
      <c r="C15256" s="3" t="inlineStr">
        <is>
          <t>OH</t>
        </is>
      </c>
      <c r="D15256" s="15" t="n">
        <v>1.054</v>
      </c>
      <c r="E15256" s="4" t="n">
        <v>145000</v>
      </c>
      <c r="F15256" s="4" t="n">
        <v>152830</v>
      </c>
    </row>
    <row r="15257">
      <c r="A15257" s="3" t="inlineStr">
        <is>
          <t>3</t>
        </is>
      </c>
      <c r="B15257" s="3" t="inlineStr">
        <is>
          <t>Kepala tukang</t>
        </is>
      </c>
      <c r="C15257" s="3" t="inlineStr">
        <is>
          <t>OH</t>
        </is>
      </c>
      <c r="D15257" s="15" t="n">
        <v>0.105</v>
      </c>
      <c r="E15257" s="4" t="n">
        <v>175000</v>
      </c>
      <c r="F15257" s="4" t="n">
        <v>18375</v>
      </c>
    </row>
    <row r="15258">
      <c r="A15258" s="3" t="inlineStr">
        <is>
          <t>4</t>
        </is>
      </c>
      <c r="B15258" s="3" t="inlineStr">
        <is>
          <t>Mandor</t>
        </is>
      </c>
      <c r="C15258" s="3" t="inlineStr">
        <is>
          <t>OH</t>
        </is>
      </c>
      <c r="D15258" s="15" t="n">
        <v>0.032</v>
      </c>
      <c r="E15258" s="4" t="n">
        <v>200000</v>
      </c>
      <c r="F15258" s="4" t="n">
        <v>6400</v>
      </c>
    </row>
    <row r="15259">
      <c r="A15259" s="3" t="inlineStr">
        <is>
          <t>1</t>
        </is>
      </c>
      <c r="B15259" s="3" t="inlineStr">
        <is>
          <t>"Flexible Joint dia. 4"""</t>
        </is>
      </c>
      <c r="C15259" s="3" t="inlineStr">
        <is>
          <t>unit</t>
        </is>
      </c>
      <c r="D15259" s="15" t="n">
        <v>1.3</v>
      </c>
      <c r="E15259" s="4" t="n">
        <v>360000</v>
      </c>
      <c r="F15259" s="4" t="n">
        <v>468000</v>
      </c>
    </row>
    <row r="15260">
      <c r="D15260" s="2" t="inlineStr">
        <is>
          <t>SUBTOTAL UPAH</t>
        </is>
      </c>
      <c r="F15260" s="16" t="n">
        <v>240705</v>
      </c>
    </row>
    <row r="15261">
      <c r="D15261" s="2" t="inlineStr">
        <is>
          <t>SUBTOTAL BAHAN</t>
        </is>
      </c>
      <c r="F15261" s="16" t="n">
        <v>468000</v>
      </c>
    </row>
    <row r="15262">
      <c r="D15262" s="2" t="inlineStr">
        <is>
          <t>SUBTOTAL ALAT</t>
        </is>
      </c>
      <c r="F15262" s="16" t="n">
        <v>0</v>
      </c>
    </row>
    <row r="15263">
      <c r="E15263" s="2" t="inlineStr">
        <is>
          <t>TOTAL HARGA SATUAN (Inc. Overhead)</t>
        </is>
      </c>
      <c r="F15263" s="17" t="n">
        <v>779575</v>
      </c>
    </row>
    <row r="15265">
      <c r="A15265" s="14" t="inlineStr">
        <is>
          <t>KODE: 6.5.7.10 - Pemasangan 1 buah Flexible Joint (10, 20) K, Dia. 5" (125 mm)</t>
        </is>
      </c>
    </row>
    <row r="15266">
      <c r="A15266" s="10" t="inlineStr">
        <is>
          <t>No</t>
        </is>
      </c>
      <c r="B15266" s="10" t="inlineStr">
        <is>
          <t>Uraian Komponen</t>
        </is>
      </c>
      <c r="C15266" s="10" t="inlineStr">
        <is>
          <t>Satuan</t>
        </is>
      </c>
      <c r="D15266" s="10" t="inlineStr">
        <is>
          <t>Koef</t>
        </is>
      </c>
      <c r="E15266" s="10" t="inlineStr">
        <is>
          <t>Harga Satuan (Rp)</t>
        </is>
      </c>
      <c r="F15266" s="10" t="inlineStr">
        <is>
          <t>Jumlah Harga (Rp)</t>
        </is>
      </c>
    </row>
    <row r="15267">
      <c r="A15267" s="3" t="inlineStr">
        <is>
          <t>1</t>
        </is>
      </c>
      <c r="B15267" s="3" t="inlineStr">
        <is>
          <t>Pekerja</t>
        </is>
      </c>
      <c r="C15267" s="3" t="inlineStr">
        <is>
          <t>OH</t>
        </is>
      </c>
      <c r="D15267" s="15" t="n">
        <v>0.788</v>
      </c>
      <c r="E15267" s="4" t="n">
        <v>100000</v>
      </c>
      <c r="F15267" s="4" t="n">
        <v>78800</v>
      </c>
    </row>
    <row r="15268">
      <c r="A15268" s="3" t="inlineStr">
        <is>
          <t>2</t>
        </is>
      </c>
      <c r="B15268" s="3" t="inlineStr">
        <is>
          <t>Tukang pipa</t>
        </is>
      </c>
      <c r="C15268" s="3" t="inlineStr">
        <is>
          <t>OH</t>
        </is>
      </c>
      <c r="D15268" s="15" t="n">
        <v>1.316</v>
      </c>
      <c r="E15268" s="4" t="n">
        <v>145000</v>
      </c>
      <c r="F15268" s="4" t="n">
        <v>190820</v>
      </c>
    </row>
    <row r="15269">
      <c r="A15269" s="3" t="inlineStr">
        <is>
          <t>3</t>
        </is>
      </c>
      <c r="B15269" s="3" t="inlineStr">
        <is>
          <t>Kepala tukang</t>
        </is>
      </c>
      <c r="C15269" s="3" t="inlineStr">
        <is>
          <t>OH</t>
        </is>
      </c>
      <c r="D15269" s="15" t="n">
        <v>0.132</v>
      </c>
      <c r="E15269" s="4" t="n">
        <v>175000</v>
      </c>
      <c r="F15269" s="4" t="n">
        <v>23100</v>
      </c>
    </row>
    <row r="15270">
      <c r="A15270" s="3" t="inlineStr">
        <is>
          <t>4</t>
        </is>
      </c>
      <c r="B15270" s="3" t="inlineStr">
        <is>
          <t>Mandor</t>
        </is>
      </c>
      <c r="C15270" s="3" t="inlineStr">
        <is>
          <t>OH</t>
        </is>
      </c>
      <c r="D15270" s="15" t="n">
        <v>0.039</v>
      </c>
      <c r="E15270" s="4" t="n">
        <v>200000</v>
      </c>
      <c r="F15270" s="4" t="n">
        <v>7800</v>
      </c>
    </row>
    <row r="15271">
      <c r="A15271" s="3" t="inlineStr">
        <is>
          <t>1</t>
        </is>
      </c>
      <c r="B15271" s="3" t="inlineStr">
        <is>
          <t>"Flexible Joint dia. 5"""</t>
        </is>
      </c>
      <c r="C15271" s="3" t="inlineStr">
        <is>
          <t>unit</t>
        </is>
      </c>
      <c r="D15271" s="15" t="n">
        <v>1.3</v>
      </c>
      <c r="E15271" s="4" t="n">
        <v>740900</v>
      </c>
      <c r="F15271" s="4" t="n">
        <v>963170</v>
      </c>
    </row>
    <row r="15272">
      <c r="D15272" s="2" t="inlineStr">
        <is>
          <t>SUBTOTAL UPAH</t>
        </is>
      </c>
      <c r="F15272" s="16" t="n">
        <v>300520</v>
      </c>
    </row>
    <row r="15273">
      <c r="D15273" s="2" t="inlineStr">
        <is>
          <t>SUBTOTAL BAHAN</t>
        </is>
      </c>
      <c r="F15273" s="16" t="n">
        <v>963170</v>
      </c>
    </row>
    <row r="15274">
      <c r="D15274" s="2" t="inlineStr">
        <is>
          <t>SUBTOTAL ALAT</t>
        </is>
      </c>
      <c r="F15274" s="16" t="n">
        <v>0</v>
      </c>
    </row>
    <row r="15275">
      <c r="E15275" s="2" t="inlineStr">
        <is>
          <t>TOTAL HARGA SATUAN (Inc. Overhead)</t>
        </is>
      </c>
      <c r="F15275" s="17" t="n">
        <v>1390059</v>
      </c>
    </row>
    <row r="15277">
      <c r="A15277" s="14" t="inlineStr">
        <is>
          <t>KODE: 6.5.7.11 - Pemasangan 1 buah Flexible Joint (10, 20) K, Dia. 6" (150 mm)</t>
        </is>
      </c>
    </row>
    <row r="15278">
      <c r="A15278" s="10" t="inlineStr">
        <is>
          <t>No</t>
        </is>
      </c>
      <c r="B15278" s="10" t="inlineStr">
        <is>
          <t>Uraian Komponen</t>
        </is>
      </c>
      <c r="C15278" s="10" t="inlineStr">
        <is>
          <t>Satuan</t>
        </is>
      </c>
      <c r="D15278" s="10" t="inlineStr">
        <is>
          <t>Koef</t>
        </is>
      </c>
      <c r="E15278" s="10" t="inlineStr">
        <is>
          <t>Harga Satuan (Rp)</t>
        </is>
      </c>
      <c r="F15278" s="10" t="inlineStr">
        <is>
          <t>Jumlah Harga (Rp)</t>
        </is>
      </c>
    </row>
    <row r="15279">
      <c r="A15279" s="3" t="inlineStr">
        <is>
          <t>1</t>
        </is>
      </c>
      <c r="B15279" s="3" t="inlineStr">
        <is>
          <t>Pekerja</t>
        </is>
      </c>
      <c r="C15279" s="3" t="inlineStr">
        <is>
          <t>OH</t>
        </is>
      </c>
      <c r="D15279" s="15" t="n">
        <v>0.945</v>
      </c>
      <c r="E15279" s="4" t="n">
        <v>100000</v>
      </c>
      <c r="F15279" s="4" t="n">
        <v>94500</v>
      </c>
    </row>
    <row r="15280">
      <c r="A15280" s="3" t="inlineStr">
        <is>
          <t>2</t>
        </is>
      </c>
      <c r="B15280" s="3" t="inlineStr">
        <is>
          <t>Tukang pipa</t>
        </is>
      </c>
      <c r="C15280" s="3" t="inlineStr">
        <is>
          <t>OH</t>
        </is>
      </c>
      <c r="D15280" s="15" t="n">
        <v>1.579</v>
      </c>
      <c r="E15280" s="4" t="n">
        <v>145000</v>
      </c>
      <c r="F15280" s="4" t="n">
        <v>228955</v>
      </c>
    </row>
    <row r="15281">
      <c r="A15281" s="3" t="inlineStr">
        <is>
          <t>3</t>
        </is>
      </c>
      <c r="B15281" s="3" t="inlineStr">
        <is>
          <t>Kepala tukang</t>
        </is>
      </c>
      <c r="C15281" s="3" t="inlineStr">
        <is>
          <t>OH</t>
        </is>
      </c>
      <c r="D15281" s="15" t="n">
        <v>0.158</v>
      </c>
      <c r="E15281" s="4" t="n">
        <v>175000</v>
      </c>
      <c r="F15281" s="4" t="n">
        <v>27650</v>
      </c>
    </row>
    <row r="15282">
      <c r="A15282" s="3" t="inlineStr">
        <is>
          <t>4</t>
        </is>
      </c>
      <c r="B15282" s="3" t="inlineStr">
        <is>
          <t>Mandor</t>
        </is>
      </c>
      <c r="C15282" s="3" t="inlineStr">
        <is>
          <t>OH</t>
        </is>
      </c>
      <c r="D15282" s="15" t="n">
        <v>0.047</v>
      </c>
      <c r="E15282" s="4" t="n">
        <v>200000</v>
      </c>
      <c r="F15282" s="4" t="n">
        <v>9400</v>
      </c>
    </row>
    <row r="15283">
      <c r="A15283" s="3" t="inlineStr">
        <is>
          <t>1</t>
        </is>
      </c>
      <c r="B15283" s="3" t="inlineStr">
        <is>
          <t>"Flexible Joint dia. 6"""</t>
        </is>
      </c>
      <c r="C15283" s="3" t="inlineStr">
        <is>
          <t>unit</t>
        </is>
      </c>
      <c r="D15283" s="15" t="n">
        <v>1.3</v>
      </c>
      <c r="E15283" s="4" t="n">
        <v>937500</v>
      </c>
      <c r="F15283" s="4" t="n">
        <v>1218750</v>
      </c>
    </row>
    <row r="15284">
      <c r="D15284" s="2" t="inlineStr">
        <is>
          <t>SUBTOTAL UPAH</t>
        </is>
      </c>
      <c r="F15284" s="16" t="n">
        <v>360505</v>
      </c>
    </row>
    <row r="15285">
      <c r="D15285" s="2" t="inlineStr">
        <is>
          <t>SUBTOTAL BAHAN</t>
        </is>
      </c>
      <c r="F15285" s="16" t="n">
        <v>1218750</v>
      </c>
    </row>
    <row r="15286">
      <c r="D15286" s="2" t="inlineStr">
        <is>
          <t>SUBTOTAL ALAT</t>
        </is>
      </c>
      <c r="F15286" s="16" t="n">
        <v>0</v>
      </c>
    </row>
    <row r="15287">
      <c r="E15287" s="2" t="inlineStr">
        <is>
          <t>TOTAL HARGA SATUAN (Inc. Overhead)</t>
        </is>
      </c>
      <c r="F15287" s="17" t="n">
        <v>1737180</v>
      </c>
    </row>
    <row r="15289">
      <c r="A15289" s="14" t="inlineStr">
        <is>
          <t>KODE: 6.5.7.12 - Pemasangan 1 buah Flexible Joint (10, 20) K, Dia. 8" (200 mm)</t>
        </is>
      </c>
    </row>
    <row r="15290">
      <c r="A15290" s="10" t="inlineStr">
        <is>
          <t>No</t>
        </is>
      </c>
      <c r="B15290" s="10" t="inlineStr">
        <is>
          <t>Uraian Komponen</t>
        </is>
      </c>
      <c r="C15290" s="10" t="inlineStr">
        <is>
          <t>Satuan</t>
        </is>
      </c>
      <c r="D15290" s="10" t="inlineStr">
        <is>
          <t>Koef</t>
        </is>
      </c>
      <c r="E15290" s="10" t="inlineStr">
        <is>
          <t>Harga Satuan (Rp)</t>
        </is>
      </c>
      <c r="F15290" s="10" t="inlineStr">
        <is>
          <t>Jumlah Harga (Rp)</t>
        </is>
      </c>
    </row>
    <row r="15291">
      <c r="A15291" s="3" t="inlineStr">
        <is>
          <t>1</t>
        </is>
      </c>
      <c r="B15291" s="3" t="inlineStr">
        <is>
          <t>Pekerja</t>
        </is>
      </c>
      <c r="C15291" s="3" t="inlineStr">
        <is>
          <t>OH</t>
        </is>
      </c>
      <c r="D15291" s="15" t="n">
        <v>1.26</v>
      </c>
      <c r="E15291" s="4" t="n">
        <v>100000</v>
      </c>
      <c r="F15291" s="4" t="n">
        <v>126000</v>
      </c>
    </row>
    <row r="15292">
      <c r="A15292" s="3" t="inlineStr">
        <is>
          <t>2</t>
        </is>
      </c>
      <c r="B15292" s="3" t="inlineStr">
        <is>
          <t>Tukang pipa</t>
        </is>
      </c>
      <c r="C15292" s="3" t="inlineStr">
        <is>
          <t>OH</t>
        </is>
      </c>
      <c r="D15292" s="15" t="n">
        <v>2.103</v>
      </c>
      <c r="E15292" s="4" t="n">
        <v>145000</v>
      </c>
      <c r="F15292" s="4" t="n">
        <v>304935.0000000001</v>
      </c>
    </row>
    <row r="15293">
      <c r="A15293" s="3" t="inlineStr">
        <is>
          <t>3</t>
        </is>
      </c>
      <c r="B15293" s="3" t="inlineStr">
        <is>
          <t>Kepala tukang</t>
        </is>
      </c>
      <c r="C15293" s="3" t="inlineStr">
        <is>
          <t>OH</t>
        </is>
      </c>
      <c r="D15293" s="15" t="n">
        <v>0.21</v>
      </c>
      <c r="E15293" s="4" t="n">
        <v>175000</v>
      </c>
      <c r="F15293" s="4" t="n">
        <v>36750</v>
      </c>
    </row>
    <row r="15294">
      <c r="A15294" s="3" t="inlineStr">
        <is>
          <t>4</t>
        </is>
      </c>
      <c r="B15294" s="3" t="inlineStr">
        <is>
          <t>Mandor</t>
        </is>
      </c>
      <c r="C15294" s="3" t="inlineStr">
        <is>
          <t>OH</t>
        </is>
      </c>
      <c r="D15294" s="15" t="n">
        <v>0.063</v>
      </c>
      <c r="E15294" s="4" t="n">
        <v>200000</v>
      </c>
      <c r="F15294" s="4" t="n">
        <v>12600</v>
      </c>
    </row>
    <row r="15295">
      <c r="A15295" s="3" t="inlineStr">
        <is>
          <t>1</t>
        </is>
      </c>
      <c r="B15295" s="3" t="inlineStr">
        <is>
          <t>"Flexible Joint dia. 8"""</t>
        </is>
      </c>
      <c r="C15295" s="3" t="inlineStr">
        <is>
          <t>unit</t>
        </is>
      </c>
      <c r="D15295" s="15" t="n">
        <v>1.3</v>
      </c>
      <c r="E15295" s="4" t="n">
        <v>1050900</v>
      </c>
      <c r="F15295" s="4" t="n">
        <v>1366170</v>
      </c>
    </row>
    <row r="15296">
      <c r="D15296" s="2" t="inlineStr">
        <is>
          <t>SUBTOTAL UPAH</t>
        </is>
      </c>
      <c r="F15296" s="16" t="n">
        <v>480285.0000000001</v>
      </c>
    </row>
    <row r="15297">
      <c r="D15297" s="2" t="inlineStr">
        <is>
          <t>SUBTOTAL BAHAN</t>
        </is>
      </c>
      <c r="F15297" s="16" t="n">
        <v>1366170</v>
      </c>
    </row>
    <row r="15298">
      <c r="D15298" s="2" t="inlineStr">
        <is>
          <t>SUBTOTAL ALAT</t>
        </is>
      </c>
      <c r="F15298" s="16" t="n">
        <v>0</v>
      </c>
    </row>
    <row r="15299">
      <c r="E15299" s="2" t="inlineStr">
        <is>
          <t>TOTAL HARGA SATUAN (Inc. Overhead)</t>
        </is>
      </c>
      <c r="F15299" s="17" t="n">
        <v>2031100</v>
      </c>
    </row>
    <row r="15301">
      <c r="A15301" s="14" t="inlineStr">
        <is>
          <t>KODE: 6.5.7.13 - Pemasangan 1 buah Flexible Joint (10, 20) K, Dia. 10" (250 mm)</t>
        </is>
      </c>
    </row>
    <row r="15302">
      <c r="A15302" s="10" t="inlineStr">
        <is>
          <t>No</t>
        </is>
      </c>
      <c r="B15302" s="10" t="inlineStr">
        <is>
          <t>Uraian Komponen</t>
        </is>
      </c>
      <c r="C15302" s="10" t="inlineStr">
        <is>
          <t>Satuan</t>
        </is>
      </c>
      <c r="D15302" s="10" t="inlineStr">
        <is>
          <t>Koef</t>
        </is>
      </c>
      <c r="E15302" s="10" t="inlineStr">
        <is>
          <t>Harga Satuan (Rp)</t>
        </is>
      </c>
      <c r="F15302" s="10" t="inlineStr">
        <is>
          <t>Jumlah Harga (Rp)</t>
        </is>
      </c>
    </row>
    <row r="15303">
      <c r="A15303" s="3" t="inlineStr">
        <is>
          <t>1</t>
        </is>
      </c>
      <c r="B15303" s="3" t="inlineStr">
        <is>
          <t>Pekerja</t>
        </is>
      </c>
      <c r="C15303" s="3" t="inlineStr">
        <is>
          <t>OH</t>
        </is>
      </c>
      <c r="D15303" s="15" t="n">
        <v>1.574</v>
      </c>
      <c r="E15303" s="4" t="n">
        <v>100000</v>
      </c>
      <c r="F15303" s="4" t="n">
        <v>157400</v>
      </c>
    </row>
    <row r="15304">
      <c r="A15304" s="3" t="inlineStr">
        <is>
          <t>2</t>
        </is>
      </c>
      <c r="B15304" s="3" t="inlineStr">
        <is>
          <t>Tukang pipa</t>
        </is>
      </c>
      <c r="C15304" s="3" t="inlineStr">
        <is>
          <t>OH</t>
        </is>
      </c>
      <c r="D15304" s="15" t="n">
        <v>2.628</v>
      </c>
      <c r="E15304" s="4" t="n">
        <v>145000</v>
      </c>
      <c r="F15304" s="4" t="n">
        <v>381060</v>
      </c>
    </row>
    <row r="15305">
      <c r="A15305" s="3" t="inlineStr">
        <is>
          <t>3</t>
        </is>
      </c>
      <c r="B15305" s="3" t="inlineStr">
        <is>
          <t>Kepala tukang</t>
        </is>
      </c>
      <c r="C15305" s="3" t="inlineStr">
        <is>
          <t>OH</t>
        </is>
      </c>
      <c r="D15305" s="15" t="n">
        <v>0.263</v>
      </c>
      <c r="E15305" s="4" t="n">
        <v>175000</v>
      </c>
      <c r="F15305" s="4" t="n">
        <v>46025</v>
      </c>
    </row>
    <row r="15306">
      <c r="A15306" s="3" t="inlineStr">
        <is>
          <t>4</t>
        </is>
      </c>
      <c r="B15306" s="3" t="inlineStr">
        <is>
          <t>Mandor</t>
        </is>
      </c>
      <c r="C15306" s="3" t="inlineStr">
        <is>
          <t>OH</t>
        </is>
      </c>
      <c r="D15306" s="15" t="n">
        <v>0.079</v>
      </c>
      <c r="E15306" s="4" t="n">
        <v>200000</v>
      </c>
      <c r="F15306" s="4" t="n">
        <v>15800</v>
      </c>
    </row>
    <row r="15307">
      <c r="A15307" s="3" t="inlineStr">
        <is>
          <t>1</t>
        </is>
      </c>
      <c r="B15307" s="3" t="inlineStr">
        <is>
          <t>"Flexible Joint dia. 10"""</t>
        </is>
      </c>
      <c r="C15307" s="3" t="inlineStr">
        <is>
          <t>unit</t>
        </is>
      </c>
      <c r="D15307" s="15" t="n">
        <v>1.3</v>
      </c>
      <c r="E15307" s="4" t="n">
        <v>1345000</v>
      </c>
      <c r="F15307" s="4" t="n">
        <v>1748500</v>
      </c>
    </row>
    <row r="15308">
      <c r="D15308" s="2" t="inlineStr">
        <is>
          <t>SUBTOTAL UPAH</t>
        </is>
      </c>
      <c r="F15308" s="16" t="n">
        <v>600285</v>
      </c>
    </row>
    <row r="15309">
      <c r="D15309" s="2" t="inlineStr">
        <is>
          <t>SUBTOTAL BAHAN</t>
        </is>
      </c>
      <c r="F15309" s="16" t="n">
        <v>1748500</v>
      </c>
    </row>
    <row r="15310">
      <c r="D15310" s="2" t="inlineStr">
        <is>
          <t>SUBTOTAL ALAT</t>
        </is>
      </c>
      <c r="F15310" s="16" t="n">
        <v>0</v>
      </c>
    </row>
    <row r="15311">
      <c r="E15311" s="2" t="inlineStr">
        <is>
          <t>TOTAL HARGA SATUAN (Inc. Overhead)</t>
        </is>
      </c>
      <c r="F15311" s="17" t="n">
        <v>2583663</v>
      </c>
    </row>
    <row r="15313">
      <c r="A15313" s="14" t="inlineStr">
        <is>
          <t>KODE: 6.5.7.14 - Pemasangan 1 buah Flexible Joint 10 K, Dia. 12" (300 mm)</t>
        </is>
      </c>
    </row>
    <row r="15314">
      <c r="A15314" s="10" t="inlineStr">
        <is>
          <t>No</t>
        </is>
      </c>
      <c r="B15314" s="10" t="inlineStr">
        <is>
          <t>Uraian Komponen</t>
        </is>
      </c>
      <c r="C15314" s="10" t="inlineStr">
        <is>
          <t>Satuan</t>
        </is>
      </c>
      <c r="D15314" s="10" t="inlineStr">
        <is>
          <t>Koef</t>
        </is>
      </c>
      <c r="E15314" s="10" t="inlineStr">
        <is>
          <t>Harga Satuan (Rp)</t>
        </is>
      </c>
      <c r="F15314" s="10" t="inlineStr">
        <is>
          <t>Jumlah Harga (Rp)</t>
        </is>
      </c>
    </row>
    <row r="15315">
      <c r="A15315" s="3" t="inlineStr">
        <is>
          <t>1</t>
        </is>
      </c>
      <c r="B15315" s="3" t="inlineStr">
        <is>
          <t>Pekerja</t>
        </is>
      </c>
      <c r="C15315" s="3" t="inlineStr">
        <is>
          <t>OH</t>
        </is>
      </c>
      <c r="D15315" s="15" t="n">
        <v>1.65</v>
      </c>
      <c r="E15315" s="4" t="n">
        <v>100000</v>
      </c>
      <c r="F15315" s="4" t="n">
        <v>165000</v>
      </c>
    </row>
    <row r="15316">
      <c r="A15316" s="3" t="inlineStr">
        <is>
          <t>2</t>
        </is>
      </c>
      <c r="B15316" s="3" t="inlineStr">
        <is>
          <t>Tukang pipa</t>
        </is>
      </c>
      <c r="C15316" s="3" t="inlineStr">
        <is>
          <t>OH</t>
        </is>
      </c>
      <c r="D15316" s="15" t="n">
        <v>2.756</v>
      </c>
      <c r="E15316" s="4" t="n">
        <v>145000</v>
      </c>
      <c r="F15316" s="4" t="n">
        <v>399619.9999999999</v>
      </c>
    </row>
    <row r="15317">
      <c r="A15317" s="3" t="inlineStr">
        <is>
          <t>3</t>
        </is>
      </c>
      <c r="B15317" s="3" t="inlineStr">
        <is>
          <t>Kepala tukang</t>
        </is>
      </c>
      <c r="C15317" s="3" t="inlineStr">
        <is>
          <t>OH</t>
        </is>
      </c>
      <c r="D15317" s="15" t="n">
        <v>0.276</v>
      </c>
      <c r="E15317" s="4" t="n">
        <v>175000</v>
      </c>
      <c r="F15317" s="4" t="n">
        <v>48300.00000000001</v>
      </c>
    </row>
    <row r="15318">
      <c r="A15318" s="3" t="inlineStr">
        <is>
          <t>4</t>
        </is>
      </c>
      <c r="B15318" s="3" t="inlineStr">
        <is>
          <t>Mandor</t>
        </is>
      </c>
      <c r="C15318" s="3" t="inlineStr">
        <is>
          <t>OH</t>
        </is>
      </c>
      <c r="D15318" s="15" t="n">
        <v>0.083</v>
      </c>
      <c r="E15318" s="4" t="n">
        <v>200000</v>
      </c>
      <c r="F15318" s="4" t="n">
        <v>16600</v>
      </c>
    </row>
    <row r="15319">
      <c r="A15319" s="3" t="inlineStr">
        <is>
          <t>1</t>
        </is>
      </c>
      <c r="B15319" s="3" t="inlineStr">
        <is>
          <t>"Flexible Joint dia. 12"""</t>
        </is>
      </c>
      <c r="C15319" s="3" t="inlineStr">
        <is>
          <t>unit</t>
        </is>
      </c>
      <c r="D15319" s="15" t="n">
        <v>1.3</v>
      </c>
      <c r="E15319" s="4" t="n">
        <v>1678000</v>
      </c>
      <c r="F15319" s="4" t="n">
        <v>2181400</v>
      </c>
    </row>
    <row r="15320">
      <c r="D15320" s="2" t="inlineStr">
        <is>
          <t>SUBTOTAL UPAH</t>
        </is>
      </c>
      <c r="F15320" s="16" t="n">
        <v>629520</v>
      </c>
    </row>
    <row r="15321">
      <c r="D15321" s="2" t="inlineStr">
        <is>
          <t>SUBTOTAL BAHAN</t>
        </is>
      </c>
      <c r="F15321" s="16" t="n">
        <v>2181400</v>
      </c>
    </row>
    <row r="15322">
      <c r="D15322" s="2" t="inlineStr">
        <is>
          <t>SUBTOTAL ALAT</t>
        </is>
      </c>
      <c r="F15322" s="16" t="n">
        <v>0</v>
      </c>
    </row>
    <row r="15323">
      <c r="E15323" s="2" t="inlineStr">
        <is>
          <t>TOTAL HARGA SATUAN (Inc. Overhead)</t>
        </is>
      </c>
      <c r="F15323" s="17" t="n">
        <v>3092012</v>
      </c>
    </row>
    <row r="15325">
      <c r="A15325" s="14" t="inlineStr">
        <is>
          <t>KODE: 6.5.7.23 - Pemasangan 1 buah Flexible Joint 20 K, Dia. 12" (300 mm)</t>
        </is>
      </c>
    </row>
    <row r="15326">
      <c r="A15326" s="10" t="inlineStr">
        <is>
          <t>No</t>
        </is>
      </c>
      <c r="B15326" s="10" t="inlineStr">
        <is>
          <t>Uraian Komponen</t>
        </is>
      </c>
      <c r="C15326" s="10" t="inlineStr">
        <is>
          <t>Satuan</t>
        </is>
      </c>
      <c r="D15326" s="10" t="inlineStr">
        <is>
          <t>Koef</t>
        </is>
      </c>
      <c r="E15326" s="10" t="inlineStr">
        <is>
          <t>Harga Satuan (Rp)</t>
        </is>
      </c>
      <c r="F15326" s="10" t="inlineStr">
        <is>
          <t>Jumlah Harga (Rp)</t>
        </is>
      </c>
    </row>
    <row r="15327">
      <c r="A15327" s="3" t="inlineStr">
        <is>
          <t>1</t>
        </is>
      </c>
      <c r="B15327" s="3" t="inlineStr">
        <is>
          <t>Pekerja</t>
        </is>
      </c>
      <c r="C15327" s="3" t="inlineStr">
        <is>
          <t>OH</t>
        </is>
      </c>
      <c r="D15327" s="15" t="n">
        <v>1.886</v>
      </c>
      <c r="E15327" s="4" t="n">
        <v>100000</v>
      </c>
      <c r="F15327" s="4" t="n">
        <v>188600</v>
      </c>
    </row>
    <row r="15328">
      <c r="A15328" s="3" t="inlineStr">
        <is>
          <t>2</t>
        </is>
      </c>
      <c r="B15328" s="3" t="inlineStr">
        <is>
          <t>Tukang pipa</t>
        </is>
      </c>
      <c r="C15328" s="3" t="inlineStr">
        <is>
          <t>OH</t>
        </is>
      </c>
      <c r="D15328" s="15" t="n">
        <v>3.149</v>
      </c>
      <c r="E15328" s="4" t="n">
        <v>145000</v>
      </c>
      <c r="F15328" s="4" t="n">
        <v>456605</v>
      </c>
    </row>
    <row r="15329">
      <c r="A15329" s="3" t="inlineStr">
        <is>
          <t>3</t>
        </is>
      </c>
      <c r="B15329" s="3" t="inlineStr">
        <is>
          <t>Kepala tukang</t>
        </is>
      </c>
      <c r="C15329" s="3" t="inlineStr">
        <is>
          <t>OH</t>
        </is>
      </c>
      <c r="D15329" s="15" t="n">
        <v>0.315</v>
      </c>
      <c r="E15329" s="4" t="n">
        <v>175000</v>
      </c>
      <c r="F15329" s="4" t="n">
        <v>55125</v>
      </c>
    </row>
    <row r="15330">
      <c r="A15330" s="3" t="inlineStr">
        <is>
          <t>4</t>
        </is>
      </c>
      <c r="B15330" s="3" t="inlineStr">
        <is>
          <t>Mandor</t>
        </is>
      </c>
      <c r="C15330" s="3" t="inlineStr">
        <is>
          <t>OH</t>
        </is>
      </c>
      <c r="D15330" s="15" t="n">
        <v>0.094</v>
      </c>
      <c r="E15330" s="4" t="n">
        <v>200000</v>
      </c>
      <c r="F15330" s="4" t="n">
        <v>18800</v>
      </c>
    </row>
    <row r="15331">
      <c r="A15331" s="3" t="inlineStr">
        <is>
          <t>1</t>
        </is>
      </c>
      <c r="B15331" s="3" t="inlineStr">
        <is>
          <t>"Flexible Joint dia. 12"""</t>
        </is>
      </c>
      <c r="C15331" s="3" t="inlineStr">
        <is>
          <t>unit</t>
        </is>
      </c>
      <c r="D15331" s="15" t="n">
        <v>1.3</v>
      </c>
      <c r="E15331" s="4" t="n">
        <v>1678000</v>
      </c>
      <c r="F15331" s="4" t="n">
        <v>2181400</v>
      </c>
    </row>
    <row r="15332">
      <c r="D15332" s="2" t="inlineStr">
        <is>
          <t>SUBTOTAL UPAH</t>
        </is>
      </c>
      <c r="F15332" s="16" t="n">
        <v>719130</v>
      </c>
    </row>
    <row r="15333">
      <c r="D15333" s="2" t="inlineStr">
        <is>
          <t>SUBTOTAL BAHAN</t>
        </is>
      </c>
      <c r="F15333" s="16" t="n">
        <v>2181400</v>
      </c>
    </row>
    <row r="15334">
      <c r="D15334" s="2" t="inlineStr">
        <is>
          <t>SUBTOTAL ALAT</t>
        </is>
      </c>
      <c r="F15334" s="16" t="n">
        <v>0</v>
      </c>
    </row>
    <row r="15335">
      <c r="E15335" s="2" t="inlineStr">
        <is>
          <t>TOTAL HARGA SATUAN (Inc. Overhead)</t>
        </is>
      </c>
      <c r="F15335" s="17" t="n">
        <v>3190583</v>
      </c>
    </row>
    <row r="15337">
      <c r="A15337" s="14" t="inlineStr">
        <is>
          <t>KODE: 6.5.7.24 - Pemasangan 1 buah Flexible Joint 20 K, Dia. 14" (350 mm)</t>
        </is>
      </c>
    </row>
    <row r="15338">
      <c r="A15338" s="10" t="inlineStr">
        <is>
          <t>No</t>
        </is>
      </c>
      <c r="B15338" s="10" t="inlineStr">
        <is>
          <t>Uraian Komponen</t>
        </is>
      </c>
      <c r="C15338" s="10" t="inlineStr">
        <is>
          <t>Satuan</t>
        </is>
      </c>
      <c r="D15338" s="10" t="inlineStr">
        <is>
          <t>Koef</t>
        </is>
      </c>
      <c r="E15338" s="10" t="inlineStr">
        <is>
          <t>Harga Satuan (Rp)</t>
        </is>
      </c>
      <c r="F15338" s="10" t="inlineStr">
        <is>
          <t>Jumlah Harga (Rp)</t>
        </is>
      </c>
    </row>
    <row r="15339">
      <c r="A15339" s="3" t="inlineStr">
        <is>
          <t>1</t>
        </is>
      </c>
      <c r="B15339" s="3" t="inlineStr">
        <is>
          <t>Pekerja</t>
        </is>
      </c>
      <c r="C15339" s="3" t="inlineStr">
        <is>
          <t>OH</t>
        </is>
      </c>
      <c r="D15339" s="15" t="n">
        <v>2.202</v>
      </c>
      <c r="E15339" s="4" t="n">
        <v>100000</v>
      </c>
      <c r="F15339" s="4" t="n">
        <v>220200</v>
      </c>
    </row>
    <row r="15340">
      <c r="A15340" s="3" t="inlineStr">
        <is>
          <t>2</t>
        </is>
      </c>
      <c r="B15340" s="3" t="inlineStr">
        <is>
          <t>Tukang pipa</t>
        </is>
      </c>
      <c r="C15340" s="3" t="inlineStr">
        <is>
          <t>OH</t>
        </is>
      </c>
      <c r="D15340" s="15" t="n">
        <v>3.678</v>
      </c>
      <c r="E15340" s="4" t="n">
        <v>145000</v>
      </c>
      <c r="F15340" s="4" t="n">
        <v>533310</v>
      </c>
    </row>
    <row r="15341">
      <c r="A15341" s="3" t="inlineStr">
        <is>
          <t>3</t>
        </is>
      </c>
      <c r="B15341" s="3" t="inlineStr">
        <is>
          <t>Kepala tukang</t>
        </is>
      </c>
      <c r="C15341" s="3" t="inlineStr">
        <is>
          <t>OH</t>
        </is>
      </c>
      <c r="D15341" s="15" t="n">
        <v>0.368</v>
      </c>
      <c r="E15341" s="4" t="n">
        <v>175000</v>
      </c>
      <c r="F15341" s="4" t="n">
        <v>64400</v>
      </c>
    </row>
    <row r="15342">
      <c r="A15342" s="3" t="inlineStr">
        <is>
          <t>4</t>
        </is>
      </c>
      <c r="B15342" s="3" t="inlineStr">
        <is>
          <t>Mandor</t>
        </is>
      </c>
      <c r="C15342" s="3" t="inlineStr">
        <is>
          <t>OH</t>
        </is>
      </c>
      <c r="D15342" s="15" t="n">
        <v>0.11</v>
      </c>
      <c r="E15342" s="4" t="n">
        <v>200000</v>
      </c>
      <c r="F15342" s="4" t="n">
        <v>22000</v>
      </c>
    </row>
    <row r="15343">
      <c r="A15343" s="3" t="inlineStr">
        <is>
          <t>1</t>
        </is>
      </c>
      <c r="B15343" s="3" t="inlineStr">
        <is>
          <t>"Flexible Joint dia. 14"""</t>
        </is>
      </c>
      <c r="C15343" s="3" t="inlineStr">
        <is>
          <t>unit</t>
        </is>
      </c>
      <c r="D15343" s="15" t="n">
        <v>1.3</v>
      </c>
      <c r="E15343" s="4" t="n">
        <v>1945000</v>
      </c>
      <c r="F15343" s="4" t="n">
        <v>2528500</v>
      </c>
    </row>
    <row r="15344">
      <c r="D15344" s="2" t="inlineStr">
        <is>
          <t>SUBTOTAL UPAH</t>
        </is>
      </c>
      <c r="F15344" s="16" t="n">
        <v>839910</v>
      </c>
    </row>
    <row r="15345">
      <c r="D15345" s="2" t="inlineStr">
        <is>
          <t>SUBTOTAL BAHAN</t>
        </is>
      </c>
      <c r="F15345" s="16" t="n">
        <v>2528500</v>
      </c>
    </row>
    <row r="15346">
      <c r="D15346" s="2" t="inlineStr">
        <is>
          <t>SUBTOTAL ALAT</t>
        </is>
      </c>
      <c r="F15346" s="16" t="n">
        <v>0</v>
      </c>
    </row>
    <row r="15347">
      <c r="E15347" s="2" t="inlineStr">
        <is>
          <t>TOTAL HARGA SATUAN (Inc. Overhead)</t>
        </is>
      </c>
      <c r="F15347" s="17" t="n">
        <v>3705251</v>
      </c>
    </row>
    <row r="15349">
      <c r="A15349" s="14" t="inlineStr">
        <is>
          <t>KODE: 6.5.8.1 - Pemasangan 1 buah Butterfly Velve, Dia. 2" (50 mm)</t>
        </is>
      </c>
    </row>
    <row r="15350">
      <c r="A15350" s="10" t="inlineStr">
        <is>
          <t>No</t>
        </is>
      </c>
      <c r="B15350" s="10" t="inlineStr">
        <is>
          <t>Uraian Komponen</t>
        </is>
      </c>
      <c r="C15350" s="10" t="inlineStr">
        <is>
          <t>Satuan</t>
        </is>
      </c>
      <c r="D15350" s="10" t="inlineStr">
        <is>
          <t>Koef</t>
        </is>
      </c>
      <c r="E15350" s="10" t="inlineStr">
        <is>
          <t>Harga Satuan (Rp)</t>
        </is>
      </c>
      <c r="F15350" s="10" t="inlineStr">
        <is>
          <t>Jumlah Harga (Rp)</t>
        </is>
      </c>
    </row>
    <row r="15351">
      <c r="A15351" s="3" t="inlineStr">
        <is>
          <t>1</t>
        </is>
      </c>
      <c r="B15351" s="3" t="inlineStr">
        <is>
          <t>Pekerja</t>
        </is>
      </c>
      <c r="C15351" s="3" t="inlineStr">
        <is>
          <t>OH</t>
        </is>
      </c>
      <c r="D15351" s="15" t="n">
        <v>0.207</v>
      </c>
      <c r="E15351" s="4" t="n">
        <v>100000</v>
      </c>
      <c r="F15351" s="4" t="n">
        <v>20700</v>
      </c>
    </row>
    <row r="15352">
      <c r="A15352" s="3" t="inlineStr">
        <is>
          <t>2</t>
        </is>
      </c>
      <c r="B15352" s="3" t="inlineStr">
        <is>
          <t>Tukang pipa</t>
        </is>
      </c>
      <c r="C15352" s="3" t="inlineStr">
        <is>
          <t>OH</t>
        </is>
      </c>
      <c r="D15352" s="15" t="n">
        <v>0.346</v>
      </c>
      <c r="E15352" s="4" t="n">
        <v>145000</v>
      </c>
      <c r="F15352" s="4" t="n">
        <v>50169.99999999999</v>
      </c>
    </row>
    <row r="15353">
      <c r="A15353" s="3" t="inlineStr">
        <is>
          <t>3</t>
        </is>
      </c>
      <c r="B15353" s="3" t="inlineStr">
        <is>
          <t>Kepala tukang</t>
        </is>
      </c>
      <c r="C15353" s="3" t="inlineStr">
        <is>
          <t>OH</t>
        </is>
      </c>
      <c r="D15353" s="15" t="n">
        <v>0.035</v>
      </c>
      <c r="E15353" s="4" t="n">
        <v>175000</v>
      </c>
      <c r="F15353" s="4" t="n">
        <v>6125.000000000001</v>
      </c>
    </row>
    <row r="15354">
      <c r="A15354" s="3" t="inlineStr">
        <is>
          <t>4</t>
        </is>
      </c>
      <c r="B15354" s="3" t="inlineStr">
        <is>
          <t>Mandor</t>
        </is>
      </c>
      <c r="C15354" s="3" t="inlineStr">
        <is>
          <t>OH</t>
        </is>
      </c>
      <c r="D15354" s="15" t="n">
        <v>0.01</v>
      </c>
      <c r="E15354" s="4" t="n">
        <v>200000</v>
      </c>
      <c r="F15354" s="4" t="n">
        <v>2000</v>
      </c>
    </row>
    <row r="15355">
      <c r="A15355" s="3" t="inlineStr">
        <is>
          <t>1</t>
        </is>
      </c>
      <c r="B15355" s="3" t="inlineStr">
        <is>
          <t>"Butterfly Velve dia. 2"""</t>
        </is>
      </c>
      <c r="C15355" s="3" t="inlineStr">
        <is>
          <t>unit</t>
        </is>
      </c>
      <c r="D15355" s="15" t="n">
        <v>1.15</v>
      </c>
      <c r="E15355" s="4" t="n">
        <v>136100</v>
      </c>
      <c r="F15355" s="4" t="n">
        <v>156515</v>
      </c>
    </row>
    <row r="15356">
      <c r="D15356" s="2" t="inlineStr">
        <is>
          <t>SUBTOTAL UPAH</t>
        </is>
      </c>
      <c r="F15356" s="16" t="n">
        <v>78995</v>
      </c>
    </row>
    <row r="15357">
      <c r="D15357" s="2" t="inlineStr">
        <is>
          <t>SUBTOTAL BAHAN</t>
        </is>
      </c>
      <c r="F15357" s="16" t="n">
        <v>156515</v>
      </c>
    </row>
    <row r="15358">
      <c r="D15358" s="2" t="inlineStr">
        <is>
          <t>SUBTOTAL ALAT</t>
        </is>
      </c>
      <c r="F15358" s="16" t="n">
        <v>0</v>
      </c>
    </row>
    <row r="15359">
      <c r="E15359" s="2" t="inlineStr">
        <is>
          <t>TOTAL HARGA SATUAN (Inc. Overhead)</t>
        </is>
      </c>
      <c r="F15359" s="17" t="n">
        <v>259061</v>
      </c>
    </row>
    <row r="15361">
      <c r="A15361" s="14" t="inlineStr">
        <is>
          <t>KODE: 6.5.8.2 - Pemasangan 1 buah Butterfly Velve, Dia. 2-1/2 " (65 mm)</t>
        </is>
      </c>
    </row>
    <row r="15362">
      <c r="A15362" s="10" t="inlineStr">
        <is>
          <t>No</t>
        </is>
      </c>
      <c r="B15362" s="10" t="inlineStr">
        <is>
          <t>Uraian Komponen</t>
        </is>
      </c>
      <c r="C15362" s="10" t="inlineStr">
        <is>
          <t>Satuan</t>
        </is>
      </c>
      <c r="D15362" s="10" t="inlineStr">
        <is>
          <t>Koef</t>
        </is>
      </c>
      <c r="E15362" s="10" t="inlineStr">
        <is>
          <t>Harga Satuan (Rp)</t>
        </is>
      </c>
      <c r="F15362" s="10" t="inlineStr">
        <is>
          <t>Jumlah Harga (Rp)</t>
        </is>
      </c>
    </row>
    <row r="15363">
      <c r="A15363" s="3" t="inlineStr">
        <is>
          <t>1</t>
        </is>
      </c>
      <c r="B15363" s="3" t="inlineStr">
        <is>
          <t>Pekerja</t>
        </is>
      </c>
      <c r="C15363" s="3" t="inlineStr">
        <is>
          <t>OH</t>
        </is>
      </c>
      <c r="D15363" s="15" t="n">
        <v>0.26</v>
      </c>
      <c r="E15363" s="4" t="n">
        <v>100000</v>
      </c>
      <c r="F15363" s="4" t="n">
        <v>26000</v>
      </c>
    </row>
    <row r="15364">
      <c r="A15364" s="3" t="inlineStr">
        <is>
          <t>2</t>
        </is>
      </c>
      <c r="B15364" s="3" t="inlineStr">
        <is>
          <t>Tukang pipa</t>
        </is>
      </c>
      <c r="C15364" s="3" t="inlineStr">
        <is>
          <t>OH</t>
        </is>
      </c>
      <c r="D15364" s="15" t="n">
        <v>0.433</v>
      </c>
      <c r="E15364" s="4" t="n">
        <v>145000</v>
      </c>
      <c r="F15364" s="4" t="n">
        <v>62785</v>
      </c>
    </row>
    <row r="15365">
      <c r="A15365" s="3" t="inlineStr">
        <is>
          <t>3</t>
        </is>
      </c>
      <c r="B15365" s="3" t="inlineStr">
        <is>
          <t>Kepala tukang</t>
        </is>
      </c>
      <c r="C15365" s="3" t="inlineStr">
        <is>
          <t>OH</t>
        </is>
      </c>
      <c r="D15365" s="15" t="n">
        <v>0.043</v>
      </c>
      <c r="E15365" s="4" t="n">
        <v>175000</v>
      </c>
      <c r="F15365" s="4" t="n">
        <v>7524.999999999999</v>
      </c>
    </row>
    <row r="15366">
      <c r="A15366" s="3" t="inlineStr">
        <is>
          <t>4</t>
        </is>
      </c>
      <c r="B15366" s="3" t="inlineStr">
        <is>
          <t>Mandor</t>
        </is>
      </c>
      <c r="C15366" s="3" t="inlineStr">
        <is>
          <t>OH</t>
        </is>
      </c>
      <c r="D15366" s="15" t="n">
        <v>0.013</v>
      </c>
      <c r="E15366" s="4" t="n">
        <v>200000</v>
      </c>
      <c r="F15366" s="4" t="n">
        <v>2600</v>
      </c>
    </row>
    <row r="15367">
      <c r="A15367" s="3" t="inlineStr">
        <is>
          <t>1</t>
        </is>
      </c>
      <c r="B15367" s="3" t="inlineStr">
        <is>
          <t>"Butterfly Velve dia. 2-1/2"""</t>
        </is>
      </c>
      <c r="C15367" s="3" t="inlineStr">
        <is>
          <t>unit</t>
        </is>
      </c>
      <c r="D15367" s="15" t="n">
        <v>1.15</v>
      </c>
      <c r="E15367" s="4" t="n">
        <v>170700</v>
      </c>
      <c r="F15367" s="4" t="n">
        <v>196305</v>
      </c>
    </row>
    <row r="15368">
      <c r="D15368" s="2" t="inlineStr">
        <is>
          <t>SUBTOTAL UPAH</t>
        </is>
      </c>
      <c r="F15368" s="16" t="n">
        <v>98910</v>
      </c>
    </row>
    <row r="15369">
      <c r="D15369" s="2" t="inlineStr">
        <is>
          <t>SUBTOTAL BAHAN</t>
        </is>
      </c>
      <c r="F15369" s="16" t="n">
        <v>196305</v>
      </c>
    </row>
    <row r="15370">
      <c r="D15370" s="2" t="inlineStr">
        <is>
          <t>SUBTOTAL ALAT</t>
        </is>
      </c>
      <c r="F15370" s="16" t="n">
        <v>0</v>
      </c>
    </row>
    <row r="15371">
      <c r="E15371" s="2" t="inlineStr">
        <is>
          <t>TOTAL HARGA SATUAN (Inc. Overhead)</t>
        </is>
      </c>
      <c r="F15371" s="17" t="n">
        <v>324736</v>
      </c>
    </row>
    <row r="15373">
      <c r="A15373" s="14" t="inlineStr">
        <is>
          <t>KODE: 6.5.8.3 - Pemasangan 1 buah Butterfly Velve, Dia. 3 " (80 mm)</t>
        </is>
      </c>
    </row>
    <row r="15374">
      <c r="A15374" s="10" t="inlineStr">
        <is>
          <t>No</t>
        </is>
      </c>
      <c r="B15374" s="10" t="inlineStr">
        <is>
          <t>Uraian Komponen</t>
        </is>
      </c>
      <c r="C15374" s="10" t="inlineStr">
        <is>
          <t>Satuan</t>
        </is>
      </c>
      <c r="D15374" s="10" t="inlineStr">
        <is>
          <t>Koef</t>
        </is>
      </c>
      <c r="E15374" s="10" t="inlineStr">
        <is>
          <t>Harga Satuan (Rp)</t>
        </is>
      </c>
      <c r="F15374" s="10" t="inlineStr">
        <is>
          <t>Jumlah Harga (Rp)</t>
        </is>
      </c>
    </row>
    <row r="15375">
      <c r="A15375" s="3" t="inlineStr">
        <is>
          <t>1</t>
        </is>
      </c>
      <c r="B15375" s="3" t="inlineStr">
        <is>
          <t>Pekerja</t>
        </is>
      </c>
      <c r="C15375" s="3" t="inlineStr">
        <is>
          <t>OH</t>
        </is>
      </c>
      <c r="D15375" s="15" t="n">
        <v>0.471</v>
      </c>
      <c r="E15375" s="4" t="n">
        <v>100000</v>
      </c>
      <c r="F15375" s="4" t="n">
        <v>47100</v>
      </c>
    </row>
    <row r="15376">
      <c r="A15376" s="3" t="inlineStr">
        <is>
          <t>2</t>
        </is>
      </c>
      <c r="B15376" s="3" t="inlineStr">
        <is>
          <t>Tukang pipa</t>
        </is>
      </c>
      <c r="C15376" s="3" t="inlineStr">
        <is>
          <t>OH</t>
        </is>
      </c>
      <c r="D15376" s="15" t="n">
        <v>0.787</v>
      </c>
      <c r="E15376" s="4" t="n">
        <v>145000</v>
      </c>
      <c r="F15376" s="4" t="n">
        <v>114115</v>
      </c>
    </row>
    <row r="15377">
      <c r="A15377" s="3" t="inlineStr">
        <is>
          <t>3</t>
        </is>
      </c>
      <c r="B15377" s="3" t="inlineStr">
        <is>
          <t>Kepala tukang</t>
        </is>
      </c>
      <c r="C15377" s="3" t="inlineStr">
        <is>
          <t>OH</t>
        </is>
      </c>
      <c r="D15377" s="15" t="n">
        <v>0.079</v>
      </c>
      <c r="E15377" s="4" t="n">
        <v>175000</v>
      </c>
      <c r="F15377" s="4" t="n">
        <v>13825</v>
      </c>
    </row>
    <row r="15378">
      <c r="A15378" s="3" t="inlineStr">
        <is>
          <t>4</t>
        </is>
      </c>
      <c r="B15378" s="3" t="inlineStr">
        <is>
          <t>Mandor</t>
        </is>
      </c>
      <c r="C15378" s="3" t="inlineStr">
        <is>
          <t>OH</t>
        </is>
      </c>
      <c r="D15378" s="15" t="n">
        <v>0.024</v>
      </c>
      <c r="E15378" s="4" t="n">
        <v>200000</v>
      </c>
      <c r="F15378" s="4" t="n">
        <v>4800</v>
      </c>
    </row>
    <row r="15379">
      <c r="A15379" s="3" t="inlineStr">
        <is>
          <t>1</t>
        </is>
      </c>
      <c r="B15379" s="3" t="inlineStr">
        <is>
          <t>"Butterfly Velve dia. 3"""</t>
        </is>
      </c>
      <c r="C15379" s="3" t="inlineStr">
        <is>
          <t>unit</t>
        </is>
      </c>
      <c r="D15379" s="15" t="n">
        <v>1.3</v>
      </c>
      <c r="E15379" s="4" t="n">
        <v>276400</v>
      </c>
      <c r="F15379" s="4" t="n">
        <v>359320</v>
      </c>
    </row>
    <row r="15380">
      <c r="D15380" s="2" t="inlineStr">
        <is>
          <t>SUBTOTAL UPAH</t>
        </is>
      </c>
      <c r="F15380" s="16" t="n">
        <v>179840</v>
      </c>
    </row>
    <row r="15381">
      <c r="D15381" s="2" t="inlineStr">
        <is>
          <t>SUBTOTAL BAHAN</t>
        </is>
      </c>
      <c r="F15381" s="16" t="n">
        <v>359320</v>
      </c>
    </row>
    <row r="15382">
      <c r="D15382" s="2" t="inlineStr">
        <is>
          <t>SUBTOTAL ALAT</t>
        </is>
      </c>
      <c r="F15382" s="16" t="n">
        <v>0</v>
      </c>
    </row>
    <row r="15383">
      <c r="E15383" s="2" t="inlineStr">
        <is>
          <t>TOTAL HARGA SATUAN (Inc. Overhead)</t>
        </is>
      </c>
      <c r="F15383" s="17" t="n">
        <v>593076</v>
      </c>
    </row>
    <row r="15385">
      <c r="A15385" s="14" t="inlineStr">
        <is>
          <t>KODE: 6.5.8.4 - Pemasangan 1 buah Butterfly Velve, Dia. 4" (100 mm)</t>
        </is>
      </c>
    </row>
    <row r="15386">
      <c r="A15386" s="10" t="inlineStr">
        <is>
          <t>No</t>
        </is>
      </c>
      <c r="B15386" s="10" t="inlineStr">
        <is>
          <t>Uraian Komponen</t>
        </is>
      </c>
      <c r="C15386" s="10" t="inlineStr">
        <is>
          <t>Satuan</t>
        </is>
      </c>
      <c r="D15386" s="10" t="inlineStr">
        <is>
          <t>Koef</t>
        </is>
      </c>
      <c r="E15386" s="10" t="inlineStr">
        <is>
          <t>Harga Satuan (Rp)</t>
        </is>
      </c>
      <c r="F15386" s="10" t="inlineStr">
        <is>
          <t>Jumlah Harga (Rp)</t>
        </is>
      </c>
    </row>
    <row r="15387">
      <c r="A15387" s="3" t="inlineStr">
        <is>
          <t>1</t>
        </is>
      </c>
      <c r="B15387" s="3" t="inlineStr">
        <is>
          <t>Pekerja</t>
        </is>
      </c>
      <c r="C15387" s="3" t="inlineStr">
        <is>
          <t>OH</t>
        </is>
      </c>
      <c r="D15387" s="15" t="n">
        <v>0.631</v>
      </c>
      <c r="E15387" s="4" t="n">
        <v>100000</v>
      </c>
      <c r="F15387" s="4" t="n">
        <v>63100</v>
      </c>
    </row>
    <row r="15388">
      <c r="A15388" s="3" t="inlineStr">
        <is>
          <t>2</t>
        </is>
      </c>
      <c r="B15388" s="3" t="inlineStr">
        <is>
          <t>Tukang pipa</t>
        </is>
      </c>
      <c r="C15388" s="3" t="inlineStr">
        <is>
          <t>OH</t>
        </is>
      </c>
      <c r="D15388" s="15" t="n">
        <v>1.054</v>
      </c>
      <c r="E15388" s="4" t="n">
        <v>145000</v>
      </c>
      <c r="F15388" s="4" t="n">
        <v>152830</v>
      </c>
    </row>
    <row r="15389">
      <c r="A15389" s="3" t="inlineStr">
        <is>
          <t>3</t>
        </is>
      </c>
      <c r="B15389" s="3" t="inlineStr">
        <is>
          <t>Kepala tukang</t>
        </is>
      </c>
      <c r="C15389" s="3" t="inlineStr">
        <is>
          <t>OH</t>
        </is>
      </c>
      <c r="D15389" s="15" t="n">
        <v>0.105</v>
      </c>
      <c r="E15389" s="4" t="n">
        <v>175000</v>
      </c>
      <c r="F15389" s="4" t="n">
        <v>18375</v>
      </c>
    </row>
    <row r="15390">
      <c r="A15390" s="3" t="inlineStr">
        <is>
          <t>4</t>
        </is>
      </c>
      <c r="B15390" s="3" t="inlineStr">
        <is>
          <t>Mandor</t>
        </is>
      </c>
      <c r="C15390" s="3" t="inlineStr">
        <is>
          <t>OH</t>
        </is>
      </c>
      <c r="D15390" s="15" t="n">
        <v>0.032</v>
      </c>
      <c r="E15390" s="4" t="n">
        <v>200000</v>
      </c>
      <c r="F15390" s="4" t="n">
        <v>6400</v>
      </c>
    </row>
    <row r="15391">
      <c r="A15391" s="3" t="inlineStr">
        <is>
          <t>1</t>
        </is>
      </c>
      <c r="B15391" s="3" t="inlineStr">
        <is>
          <t>"Butterfly Velve dia. 4"""</t>
        </is>
      </c>
      <c r="C15391" s="3" t="inlineStr">
        <is>
          <t>unit</t>
        </is>
      </c>
      <c r="D15391" s="15" t="n">
        <v>1.3</v>
      </c>
      <c r="E15391" s="4" t="n">
        <v>303600</v>
      </c>
      <c r="F15391" s="4" t="n">
        <v>394680</v>
      </c>
    </row>
    <row r="15392">
      <c r="D15392" s="2" t="inlineStr">
        <is>
          <t>SUBTOTAL UPAH</t>
        </is>
      </c>
      <c r="F15392" s="16" t="n">
        <v>240705</v>
      </c>
    </row>
    <row r="15393">
      <c r="D15393" s="2" t="inlineStr">
        <is>
          <t>SUBTOTAL BAHAN</t>
        </is>
      </c>
      <c r="F15393" s="16" t="n">
        <v>394680</v>
      </c>
    </row>
    <row r="15394">
      <c r="D15394" s="2" t="inlineStr">
        <is>
          <t>SUBTOTAL ALAT</t>
        </is>
      </c>
      <c r="F15394" s="16" t="n">
        <v>0</v>
      </c>
    </row>
    <row r="15395">
      <c r="E15395" s="2" t="inlineStr">
        <is>
          <t>TOTAL HARGA SATUAN (Inc. Overhead)</t>
        </is>
      </c>
      <c r="F15395" s="17" t="n">
        <v>698923</v>
      </c>
    </row>
    <row r="15397">
      <c r="A15397" s="14" t="inlineStr">
        <is>
          <t>KODE: 6.5.8.5 - Pemasangan 1 buah Buttefly Velve, Dia. 5" (125 mm)</t>
        </is>
      </c>
    </row>
    <row r="15398">
      <c r="A15398" s="10" t="inlineStr">
        <is>
          <t>No</t>
        </is>
      </c>
      <c r="B15398" s="10" t="inlineStr">
        <is>
          <t>Uraian Komponen</t>
        </is>
      </c>
      <c r="C15398" s="10" t="inlineStr">
        <is>
          <t>Satuan</t>
        </is>
      </c>
      <c r="D15398" s="10" t="inlineStr">
        <is>
          <t>Koef</t>
        </is>
      </c>
      <c r="E15398" s="10" t="inlineStr">
        <is>
          <t>Harga Satuan (Rp)</t>
        </is>
      </c>
      <c r="F15398" s="10" t="inlineStr">
        <is>
          <t>Jumlah Harga (Rp)</t>
        </is>
      </c>
    </row>
    <row r="15399">
      <c r="A15399" s="3" t="inlineStr">
        <is>
          <t>1</t>
        </is>
      </c>
      <c r="B15399" s="3" t="inlineStr">
        <is>
          <t>Pekerja</t>
        </is>
      </c>
      <c r="C15399" s="3" t="inlineStr">
        <is>
          <t>OH</t>
        </is>
      </c>
      <c r="D15399" s="15" t="n">
        <v>0.788</v>
      </c>
      <c r="E15399" s="4" t="n">
        <v>100000</v>
      </c>
      <c r="F15399" s="4" t="n">
        <v>78800</v>
      </c>
    </row>
    <row r="15400">
      <c r="A15400" s="3" t="inlineStr">
        <is>
          <t>2</t>
        </is>
      </c>
      <c r="B15400" s="3" t="inlineStr">
        <is>
          <t>Tukang pipa</t>
        </is>
      </c>
      <c r="C15400" s="3" t="inlineStr">
        <is>
          <t>OH</t>
        </is>
      </c>
      <c r="D15400" s="15" t="n">
        <v>1.316</v>
      </c>
      <c r="E15400" s="4" t="n">
        <v>145000</v>
      </c>
      <c r="F15400" s="4" t="n">
        <v>190820</v>
      </c>
    </row>
    <row r="15401">
      <c r="A15401" s="3" t="inlineStr">
        <is>
          <t>3</t>
        </is>
      </c>
      <c r="B15401" s="3" t="inlineStr">
        <is>
          <t>Kepala tukang</t>
        </is>
      </c>
      <c r="C15401" s="3" t="inlineStr">
        <is>
          <t>OH</t>
        </is>
      </c>
      <c r="D15401" s="15" t="n">
        <v>0.132</v>
      </c>
      <c r="E15401" s="4" t="n">
        <v>175000</v>
      </c>
      <c r="F15401" s="4" t="n">
        <v>23100</v>
      </c>
    </row>
    <row r="15402">
      <c r="A15402" s="3" t="inlineStr">
        <is>
          <t>4</t>
        </is>
      </c>
      <c r="B15402" s="3" t="inlineStr">
        <is>
          <t>Mandor</t>
        </is>
      </c>
      <c r="C15402" s="3" t="inlineStr">
        <is>
          <t>OH</t>
        </is>
      </c>
      <c r="D15402" s="15" t="n">
        <v>0.039</v>
      </c>
      <c r="E15402" s="4" t="n">
        <v>200000</v>
      </c>
      <c r="F15402" s="4" t="n">
        <v>7800</v>
      </c>
    </row>
    <row r="15403">
      <c r="A15403" s="3" t="inlineStr">
        <is>
          <t>1</t>
        </is>
      </c>
      <c r="B15403" s="3" t="inlineStr">
        <is>
          <t>"Butterfly Velve dia. 5"""</t>
        </is>
      </c>
      <c r="C15403" s="3" t="inlineStr">
        <is>
          <t>unit</t>
        </is>
      </c>
      <c r="D15403" s="15" t="n">
        <v>1.3</v>
      </c>
      <c r="E15403" s="4" t="n">
        <v>515200</v>
      </c>
      <c r="F15403" s="4" t="n">
        <v>669760</v>
      </c>
    </row>
    <row r="15404">
      <c r="D15404" s="2" t="inlineStr">
        <is>
          <t>SUBTOTAL UPAH</t>
        </is>
      </c>
      <c r="F15404" s="16" t="n">
        <v>300520</v>
      </c>
    </row>
    <row r="15405">
      <c r="D15405" s="2" t="inlineStr">
        <is>
          <t>SUBTOTAL BAHAN</t>
        </is>
      </c>
      <c r="F15405" s="16" t="n">
        <v>669760</v>
      </c>
    </row>
    <row r="15406">
      <c r="D15406" s="2" t="inlineStr">
        <is>
          <t>SUBTOTAL ALAT</t>
        </is>
      </c>
      <c r="F15406" s="16" t="n">
        <v>0</v>
      </c>
    </row>
    <row r="15407">
      <c r="E15407" s="2" t="inlineStr">
        <is>
          <t>TOTAL HARGA SATUAN (Inc. Overhead)</t>
        </is>
      </c>
      <c r="F15407" s="17" t="n">
        <v>1067308</v>
      </c>
    </row>
    <row r="15409">
      <c r="A15409" s="14" t="inlineStr">
        <is>
          <t>KODE: 6.5.8.6 - Pemasangan 1 buah Butterfly Velve, Dia. 6" (150 mm)</t>
        </is>
      </c>
    </row>
    <row r="15410">
      <c r="A15410" s="10" t="inlineStr">
        <is>
          <t>No</t>
        </is>
      </c>
      <c r="B15410" s="10" t="inlineStr">
        <is>
          <t>Uraian Komponen</t>
        </is>
      </c>
      <c r="C15410" s="10" t="inlineStr">
        <is>
          <t>Satuan</t>
        </is>
      </c>
      <c r="D15410" s="10" t="inlineStr">
        <is>
          <t>Koef</t>
        </is>
      </c>
      <c r="E15410" s="10" t="inlineStr">
        <is>
          <t>Harga Satuan (Rp)</t>
        </is>
      </c>
      <c r="F15410" s="10" t="inlineStr">
        <is>
          <t>Jumlah Harga (Rp)</t>
        </is>
      </c>
    </row>
    <row r="15411">
      <c r="A15411" s="3" t="inlineStr">
        <is>
          <t>1</t>
        </is>
      </c>
      <c r="B15411" s="3" t="inlineStr">
        <is>
          <t>Pekerja</t>
        </is>
      </c>
      <c r="C15411" s="3" t="inlineStr">
        <is>
          <t>OH</t>
        </is>
      </c>
      <c r="D15411" s="15" t="n">
        <v>0.945</v>
      </c>
      <c r="E15411" s="4" t="n">
        <v>100000</v>
      </c>
      <c r="F15411" s="4" t="n">
        <v>94500</v>
      </c>
    </row>
    <row r="15412">
      <c r="A15412" s="3" t="inlineStr">
        <is>
          <t>2</t>
        </is>
      </c>
      <c r="B15412" s="3" t="inlineStr">
        <is>
          <t>Tukang pipa</t>
        </is>
      </c>
      <c r="C15412" s="3" t="inlineStr">
        <is>
          <t>OH</t>
        </is>
      </c>
      <c r="D15412" s="15" t="n">
        <v>1.579</v>
      </c>
      <c r="E15412" s="4" t="n">
        <v>145000</v>
      </c>
      <c r="F15412" s="4" t="n">
        <v>228955</v>
      </c>
    </row>
    <row r="15413">
      <c r="A15413" s="3" t="inlineStr">
        <is>
          <t>3</t>
        </is>
      </c>
      <c r="B15413" s="3" t="inlineStr">
        <is>
          <t>Kepala tukang</t>
        </is>
      </c>
      <c r="C15413" s="3" t="inlineStr">
        <is>
          <t>OH</t>
        </is>
      </c>
      <c r="D15413" s="15" t="n">
        <v>0.158</v>
      </c>
      <c r="E15413" s="4" t="n">
        <v>175000</v>
      </c>
      <c r="F15413" s="4" t="n">
        <v>27650</v>
      </c>
    </row>
    <row r="15414">
      <c r="A15414" s="3" t="inlineStr">
        <is>
          <t>4</t>
        </is>
      </c>
      <c r="B15414" s="3" t="inlineStr">
        <is>
          <t>Mandor</t>
        </is>
      </c>
      <c r="C15414" s="3" t="inlineStr">
        <is>
          <t>OH</t>
        </is>
      </c>
      <c r="D15414" s="15" t="n">
        <v>0.047</v>
      </c>
      <c r="E15414" s="4" t="n">
        <v>200000</v>
      </c>
      <c r="F15414" s="4" t="n">
        <v>9400</v>
      </c>
    </row>
    <row r="15415">
      <c r="A15415" s="3" t="inlineStr">
        <is>
          <t>1</t>
        </is>
      </c>
      <c r="B15415" s="3" t="inlineStr">
        <is>
          <t>"Butterfly Velve dia. 6"""</t>
        </is>
      </c>
      <c r="C15415" s="3" t="inlineStr">
        <is>
          <t>unit</t>
        </is>
      </c>
      <c r="D15415" s="15" t="n">
        <v>1.3</v>
      </c>
      <c r="E15415" s="4" t="n">
        <v>829300</v>
      </c>
      <c r="F15415" s="4" t="n">
        <v>1078090</v>
      </c>
    </row>
    <row r="15416">
      <c r="D15416" s="2" t="inlineStr">
        <is>
          <t>SUBTOTAL UPAH</t>
        </is>
      </c>
      <c r="F15416" s="16" t="n">
        <v>360505</v>
      </c>
    </row>
    <row r="15417">
      <c r="D15417" s="2" t="inlineStr">
        <is>
          <t>SUBTOTAL BAHAN</t>
        </is>
      </c>
      <c r="F15417" s="16" t="n">
        <v>1078090</v>
      </c>
    </row>
    <row r="15418">
      <c r="D15418" s="2" t="inlineStr">
        <is>
          <t>SUBTOTAL ALAT</t>
        </is>
      </c>
      <c r="F15418" s="16" t="n">
        <v>0</v>
      </c>
    </row>
    <row r="15419">
      <c r="E15419" s="2" t="inlineStr">
        <is>
          <t>TOTAL HARGA SATUAN (Inc. Overhead)</t>
        </is>
      </c>
      <c r="F15419" s="17" t="n">
        <v>1582454</v>
      </c>
    </row>
    <row r="15421">
      <c r="A15421" s="14" t="inlineStr">
        <is>
          <t>KODE: 6.5.8.7 - Pemasangan 1 buah Butterfly Velve, Dia. 8" (200 mm)</t>
        </is>
      </c>
    </row>
    <row r="15422">
      <c r="A15422" s="10" t="inlineStr">
        <is>
          <t>No</t>
        </is>
      </c>
      <c r="B15422" s="10" t="inlineStr">
        <is>
          <t>Uraian Komponen</t>
        </is>
      </c>
      <c r="C15422" s="10" t="inlineStr">
        <is>
          <t>Satuan</t>
        </is>
      </c>
      <c r="D15422" s="10" t="inlineStr">
        <is>
          <t>Koef</t>
        </is>
      </c>
      <c r="E15422" s="10" t="inlineStr">
        <is>
          <t>Harga Satuan (Rp)</t>
        </is>
      </c>
      <c r="F15422" s="10" t="inlineStr">
        <is>
          <t>Jumlah Harga (Rp)</t>
        </is>
      </c>
    </row>
    <row r="15423">
      <c r="A15423" s="3" t="inlineStr">
        <is>
          <t>1</t>
        </is>
      </c>
      <c r="B15423" s="3" t="inlineStr">
        <is>
          <t>Pekerja</t>
        </is>
      </c>
      <c r="C15423" s="3" t="inlineStr">
        <is>
          <t>OH</t>
        </is>
      </c>
      <c r="D15423" s="15" t="n">
        <v>1.26</v>
      </c>
      <c r="E15423" s="4" t="n">
        <v>100000</v>
      </c>
      <c r="F15423" s="4" t="n">
        <v>126000</v>
      </c>
    </row>
    <row r="15424">
      <c r="A15424" s="3" t="inlineStr">
        <is>
          <t>2</t>
        </is>
      </c>
      <c r="B15424" s="3" t="inlineStr">
        <is>
          <t>Tukang pipa</t>
        </is>
      </c>
      <c r="C15424" s="3" t="inlineStr">
        <is>
          <t>OH</t>
        </is>
      </c>
      <c r="D15424" s="15" t="n">
        <v>2.103</v>
      </c>
      <c r="E15424" s="4" t="n">
        <v>145000</v>
      </c>
      <c r="F15424" s="4" t="n">
        <v>304935.0000000001</v>
      </c>
    </row>
    <row r="15425">
      <c r="A15425" s="3" t="inlineStr">
        <is>
          <t>3</t>
        </is>
      </c>
      <c r="B15425" s="3" t="inlineStr">
        <is>
          <t>Kepala tukang</t>
        </is>
      </c>
      <c r="C15425" s="3" t="inlineStr">
        <is>
          <t>OH</t>
        </is>
      </c>
      <c r="D15425" s="15" t="n">
        <v>0.21</v>
      </c>
      <c r="E15425" s="4" t="n">
        <v>175000</v>
      </c>
      <c r="F15425" s="4" t="n">
        <v>36750</v>
      </c>
    </row>
    <row r="15426">
      <c r="A15426" s="3" t="inlineStr">
        <is>
          <t>4</t>
        </is>
      </c>
      <c r="B15426" s="3" t="inlineStr">
        <is>
          <t>Mandor</t>
        </is>
      </c>
      <c r="C15426" s="3" t="inlineStr">
        <is>
          <t>OH</t>
        </is>
      </c>
      <c r="D15426" s="15" t="n">
        <v>0.063</v>
      </c>
      <c r="E15426" s="4" t="n">
        <v>200000</v>
      </c>
      <c r="F15426" s="4" t="n">
        <v>12600</v>
      </c>
    </row>
    <row r="15427">
      <c r="A15427" s="3" t="inlineStr">
        <is>
          <t>1</t>
        </is>
      </c>
      <c r="B15427" s="3" t="inlineStr">
        <is>
          <t>"Butterfly Velve dia. 8"""</t>
        </is>
      </c>
      <c r="C15427" s="3" t="inlineStr">
        <is>
          <t>unit</t>
        </is>
      </c>
      <c r="D15427" s="15" t="n">
        <v>1.3</v>
      </c>
      <c r="E15427" s="4" t="n">
        <v>1364500</v>
      </c>
      <c r="F15427" s="4" t="n">
        <v>1773850</v>
      </c>
    </row>
    <row r="15428">
      <c r="D15428" s="2" t="inlineStr">
        <is>
          <t>SUBTOTAL UPAH</t>
        </is>
      </c>
      <c r="F15428" s="16" t="n">
        <v>480285.0000000001</v>
      </c>
    </row>
    <row r="15429">
      <c r="D15429" s="2" t="inlineStr">
        <is>
          <t>SUBTOTAL BAHAN</t>
        </is>
      </c>
      <c r="F15429" s="16" t="n">
        <v>1773850</v>
      </c>
    </row>
    <row r="15430">
      <c r="D15430" s="2" t="inlineStr">
        <is>
          <t>SUBTOTAL ALAT</t>
        </is>
      </c>
      <c r="F15430" s="16" t="n">
        <v>0</v>
      </c>
    </row>
    <row r="15431">
      <c r="E15431" s="2" t="inlineStr">
        <is>
          <t>TOTAL HARGA SATUAN (Inc. Overhead)</t>
        </is>
      </c>
      <c r="F15431" s="17" t="n">
        <v>2479548</v>
      </c>
    </row>
    <row r="15433">
      <c r="A15433" s="14" t="inlineStr">
        <is>
          <t>KODE: 6.5.8.8 - Pemasangan 1 buah Butterfly Velve, Dia. 10" (250 mm)</t>
        </is>
      </c>
    </row>
    <row r="15434">
      <c r="A15434" s="10" t="inlineStr">
        <is>
          <t>No</t>
        </is>
      </c>
      <c r="B15434" s="10" t="inlineStr">
        <is>
          <t>Uraian Komponen</t>
        </is>
      </c>
      <c r="C15434" s="10" t="inlineStr">
        <is>
          <t>Satuan</t>
        </is>
      </c>
      <c r="D15434" s="10" t="inlineStr">
        <is>
          <t>Koef</t>
        </is>
      </c>
      <c r="E15434" s="10" t="inlineStr">
        <is>
          <t>Harga Satuan (Rp)</t>
        </is>
      </c>
      <c r="F15434" s="10" t="inlineStr">
        <is>
          <t>Jumlah Harga (Rp)</t>
        </is>
      </c>
    </row>
    <row r="15435">
      <c r="A15435" s="3" t="inlineStr">
        <is>
          <t>1</t>
        </is>
      </c>
      <c r="B15435" s="3" t="inlineStr">
        <is>
          <t>Pekerja</t>
        </is>
      </c>
      <c r="C15435" s="3" t="inlineStr">
        <is>
          <t>OH</t>
        </is>
      </c>
      <c r="D15435" s="15" t="n">
        <v>1.574</v>
      </c>
      <c r="E15435" s="4" t="n">
        <v>100000</v>
      </c>
      <c r="F15435" s="4" t="n">
        <v>157400</v>
      </c>
    </row>
    <row r="15436">
      <c r="A15436" s="3" t="inlineStr">
        <is>
          <t>2</t>
        </is>
      </c>
      <c r="B15436" s="3" t="inlineStr">
        <is>
          <t>Tukang pipa</t>
        </is>
      </c>
      <c r="C15436" s="3" t="inlineStr">
        <is>
          <t>OH</t>
        </is>
      </c>
      <c r="D15436" s="15" t="n">
        <v>2.628</v>
      </c>
      <c r="E15436" s="4" t="n">
        <v>145000</v>
      </c>
      <c r="F15436" s="4" t="n">
        <v>381060</v>
      </c>
    </row>
    <row r="15437">
      <c r="A15437" s="3" t="inlineStr">
        <is>
          <t>3</t>
        </is>
      </c>
      <c r="B15437" s="3" t="inlineStr">
        <is>
          <t>Kepala tukang</t>
        </is>
      </c>
      <c r="C15437" s="3" t="inlineStr">
        <is>
          <t>OH</t>
        </is>
      </c>
      <c r="D15437" s="15" t="n">
        <v>0.263</v>
      </c>
      <c r="E15437" s="4" t="n">
        <v>175000</v>
      </c>
      <c r="F15437" s="4" t="n">
        <v>46025</v>
      </c>
    </row>
    <row r="15438">
      <c r="A15438" s="3" t="inlineStr">
        <is>
          <t>4</t>
        </is>
      </c>
      <c r="B15438" s="3" t="inlineStr">
        <is>
          <t>Mandor</t>
        </is>
      </c>
      <c r="C15438" s="3" t="inlineStr">
        <is>
          <t>OH</t>
        </is>
      </c>
      <c r="D15438" s="15" t="n">
        <v>0.079</v>
      </c>
      <c r="E15438" s="4" t="n">
        <v>200000</v>
      </c>
      <c r="F15438" s="4" t="n">
        <v>15800</v>
      </c>
    </row>
    <row r="15439">
      <c r="A15439" s="3" t="inlineStr">
        <is>
          <t>1</t>
        </is>
      </c>
      <c r="B15439" s="3" t="inlineStr">
        <is>
          <t>"Butterfly Velve dia. 10"""</t>
        </is>
      </c>
      <c r="C15439" s="3" t="inlineStr">
        <is>
          <t>unit</t>
        </is>
      </c>
      <c r="D15439" s="15" t="n">
        <v>1.3</v>
      </c>
      <c r="E15439" s="4" t="n">
        <v>1808900</v>
      </c>
      <c r="F15439" s="4" t="n">
        <v>2351570</v>
      </c>
    </row>
    <row r="15440">
      <c r="D15440" s="2" t="inlineStr">
        <is>
          <t>SUBTOTAL UPAH</t>
        </is>
      </c>
      <c r="F15440" s="16" t="n">
        <v>600285</v>
      </c>
    </row>
    <row r="15441">
      <c r="D15441" s="2" t="inlineStr">
        <is>
          <t>SUBTOTAL BAHAN</t>
        </is>
      </c>
      <c r="F15441" s="16" t="n">
        <v>2351570</v>
      </c>
    </row>
    <row r="15442">
      <c r="D15442" s="2" t="inlineStr">
        <is>
          <t>SUBTOTAL ALAT</t>
        </is>
      </c>
      <c r="F15442" s="16" t="n">
        <v>0</v>
      </c>
    </row>
    <row r="15443">
      <c r="E15443" s="2" t="inlineStr">
        <is>
          <t>TOTAL HARGA SATUAN (Inc. Overhead)</t>
        </is>
      </c>
      <c r="F15443" s="17" t="n">
        <v>3247040</v>
      </c>
    </row>
    <row r="15445">
      <c r="A15445" s="14" t="inlineStr">
        <is>
          <t>KODE: 6.5.8.9 - Pemasangan 1 buah Butterfly Velve, Dia. 12" (300 mm)</t>
        </is>
      </c>
    </row>
    <row r="15446">
      <c r="A15446" s="10" t="inlineStr">
        <is>
          <t>No</t>
        </is>
      </c>
      <c r="B15446" s="10" t="inlineStr">
        <is>
          <t>Uraian Komponen</t>
        </is>
      </c>
      <c r="C15446" s="10" t="inlineStr">
        <is>
          <t>Satuan</t>
        </is>
      </c>
      <c r="D15446" s="10" t="inlineStr">
        <is>
          <t>Koef</t>
        </is>
      </c>
      <c r="E15446" s="10" t="inlineStr">
        <is>
          <t>Harga Satuan (Rp)</t>
        </is>
      </c>
      <c r="F15446" s="10" t="inlineStr">
        <is>
          <t>Jumlah Harga (Rp)</t>
        </is>
      </c>
    </row>
    <row r="15447">
      <c r="A15447" s="3" t="inlineStr">
        <is>
          <t>1</t>
        </is>
      </c>
      <c r="B15447" s="3" t="inlineStr">
        <is>
          <t>Pekerja</t>
        </is>
      </c>
      <c r="C15447" s="3" t="inlineStr">
        <is>
          <t>OH</t>
        </is>
      </c>
      <c r="D15447" s="15" t="n">
        <v>1.65</v>
      </c>
      <c r="E15447" s="4" t="n">
        <v>100000</v>
      </c>
      <c r="F15447" s="4" t="n">
        <v>165000</v>
      </c>
    </row>
    <row r="15448">
      <c r="A15448" s="3" t="inlineStr">
        <is>
          <t>2</t>
        </is>
      </c>
      <c r="B15448" s="3" t="inlineStr">
        <is>
          <t>Tukang pipa</t>
        </is>
      </c>
      <c r="C15448" s="3" t="inlineStr">
        <is>
          <t>OH</t>
        </is>
      </c>
      <c r="D15448" s="15" t="n">
        <v>2.756</v>
      </c>
      <c r="E15448" s="4" t="n">
        <v>145000</v>
      </c>
      <c r="F15448" s="4" t="n">
        <v>399619.9999999999</v>
      </c>
    </row>
    <row r="15449">
      <c r="A15449" s="3" t="inlineStr">
        <is>
          <t>3</t>
        </is>
      </c>
      <c r="B15449" s="3" t="inlineStr">
        <is>
          <t>Kepala tukang</t>
        </is>
      </c>
      <c r="C15449" s="3" t="inlineStr">
        <is>
          <t>OH</t>
        </is>
      </c>
      <c r="D15449" s="15" t="n">
        <v>0.276</v>
      </c>
      <c r="E15449" s="4" t="n">
        <v>175000</v>
      </c>
      <c r="F15449" s="4" t="n">
        <v>48300.00000000001</v>
      </c>
    </row>
    <row r="15450">
      <c r="A15450" s="3" t="inlineStr">
        <is>
          <t>4</t>
        </is>
      </c>
      <c r="B15450" s="3" t="inlineStr">
        <is>
          <t>Mandor</t>
        </is>
      </c>
      <c r="C15450" s="3" t="inlineStr">
        <is>
          <t>OH</t>
        </is>
      </c>
      <c r="D15450" s="15" t="n">
        <v>0.083</v>
      </c>
      <c r="E15450" s="4" t="n">
        <v>200000</v>
      </c>
      <c r="F15450" s="4" t="n">
        <v>16600</v>
      </c>
    </row>
    <row r="15451">
      <c r="A15451" s="3" t="inlineStr">
        <is>
          <t>1</t>
        </is>
      </c>
      <c r="B15451" s="3" t="inlineStr">
        <is>
          <t>"Butterfly Velve dia. 12"""</t>
        </is>
      </c>
      <c r="C15451" s="3" t="inlineStr">
        <is>
          <t>unit</t>
        </is>
      </c>
      <c r="D15451" s="15" t="n">
        <v>1.3</v>
      </c>
      <c r="E15451" s="4" t="n">
        <v>2170800</v>
      </c>
      <c r="F15451" s="4" t="n">
        <v>2822040</v>
      </c>
    </row>
    <row r="15452">
      <c r="D15452" s="2" t="inlineStr">
        <is>
          <t>SUBTOTAL UPAH</t>
        </is>
      </c>
      <c r="F15452" s="16" t="n">
        <v>629520</v>
      </c>
    </row>
    <row r="15453">
      <c r="D15453" s="2" t="inlineStr">
        <is>
          <t>SUBTOTAL BAHAN</t>
        </is>
      </c>
      <c r="F15453" s="16" t="n">
        <v>2822040</v>
      </c>
    </row>
    <row r="15454">
      <c r="D15454" s="2" t="inlineStr">
        <is>
          <t>SUBTOTAL ALAT</t>
        </is>
      </c>
      <c r="F15454" s="16" t="n">
        <v>0</v>
      </c>
    </row>
    <row r="15455">
      <c r="E15455" s="2" t="inlineStr">
        <is>
          <t>TOTAL HARGA SATUAN (Inc. Overhead)</t>
        </is>
      </c>
      <c r="F15455" s="17" t="n">
        <v>3796716</v>
      </c>
    </row>
    <row r="15457">
      <c r="A15457" s="14" t="inlineStr">
        <is>
          <t>KODE: 6.5.8.10 - Pemasangan 1 buah Butterfly Velve, Dia. 12" (300 mm)</t>
        </is>
      </c>
    </row>
    <row r="15458">
      <c r="A15458" s="10" t="inlineStr">
        <is>
          <t>No</t>
        </is>
      </c>
      <c r="B15458" s="10" t="inlineStr">
        <is>
          <t>Uraian Komponen</t>
        </is>
      </c>
      <c r="C15458" s="10" t="inlineStr">
        <is>
          <t>Satuan</t>
        </is>
      </c>
      <c r="D15458" s="10" t="inlineStr">
        <is>
          <t>Koef</t>
        </is>
      </c>
      <c r="E15458" s="10" t="inlineStr">
        <is>
          <t>Harga Satuan (Rp)</t>
        </is>
      </c>
      <c r="F15458" s="10" t="inlineStr">
        <is>
          <t>Jumlah Harga (Rp)</t>
        </is>
      </c>
    </row>
    <row r="15459">
      <c r="A15459" s="3" t="inlineStr">
        <is>
          <t>1</t>
        </is>
      </c>
      <c r="B15459" s="3" t="inlineStr">
        <is>
          <t>Pekerja</t>
        </is>
      </c>
      <c r="C15459" s="3" t="inlineStr">
        <is>
          <t>OH</t>
        </is>
      </c>
      <c r="D15459" s="15" t="n">
        <v>1.886</v>
      </c>
      <c r="E15459" s="4" t="n">
        <v>100000</v>
      </c>
      <c r="F15459" s="4" t="n">
        <v>188600</v>
      </c>
    </row>
    <row r="15460">
      <c r="A15460" s="3" t="inlineStr">
        <is>
          <t>2</t>
        </is>
      </c>
      <c r="B15460" s="3" t="inlineStr">
        <is>
          <t>Tukang pipa</t>
        </is>
      </c>
      <c r="C15460" s="3" t="inlineStr">
        <is>
          <t>OH</t>
        </is>
      </c>
      <c r="D15460" s="15" t="n">
        <v>3.149</v>
      </c>
      <c r="E15460" s="4" t="n">
        <v>145000</v>
      </c>
      <c r="F15460" s="4" t="n">
        <v>456605</v>
      </c>
    </row>
    <row r="15461">
      <c r="A15461" s="3" t="inlineStr">
        <is>
          <t>3</t>
        </is>
      </c>
      <c r="B15461" s="3" t="inlineStr">
        <is>
          <t>Kepala tukang</t>
        </is>
      </c>
      <c r="C15461" s="3" t="inlineStr">
        <is>
          <t>OH</t>
        </is>
      </c>
      <c r="D15461" s="15" t="n">
        <v>0.315</v>
      </c>
      <c r="E15461" s="4" t="n">
        <v>175000</v>
      </c>
      <c r="F15461" s="4" t="n">
        <v>55125</v>
      </c>
    </row>
    <row r="15462">
      <c r="A15462" s="3" t="inlineStr">
        <is>
          <t>4</t>
        </is>
      </c>
      <c r="B15462" s="3" t="inlineStr">
        <is>
          <t>Mandor</t>
        </is>
      </c>
      <c r="C15462" s="3" t="inlineStr">
        <is>
          <t>OH</t>
        </is>
      </c>
      <c r="D15462" s="15" t="n">
        <v>0.094</v>
      </c>
      <c r="E15462" s="4" t="n">
        <v>200000</v>
      </c>
      <c r="F15462" s="4" t="n">
        <v>18800</v>
      </c>
    </row>
    <row r="15463">
      <c r="A15463" s="3" t="inlineStr">
        <is>
          <t>1</t>
        </is>
      </c>
      <c r="B15463" s="3" t="inlineStr">
        <is>
          <t>"Butterfly Velve dia. 12"""</t>
        </is>
      </c>
      <c r="C15463" s="3" t="inlineStr">
        <is>
          <t>unit</t>
        </is>
      </c>
      <c r="D15463" s="15" t="n">
        <v>1.3</v>
      </c>
      <c r="E15463" s="4" t="n">
        <v>2170800</v>
      </c>
      <c r="F15463" s="4" t="n">
        <v>2822040</v>
      </c>
    </row>
    <row r="15464">
      <c r="D15464" s="2" t="inlineStr">
        <is>
          <t>SUBTOTAL UPAH</t>
        </is>
      </c>
      <c r="F15464" s="16" t="n">
        <v>719130</v>
      </c>
    </row>
    <row r="15465">
      <c r="D15465" s="2" t="inlineStr">
        <is>
          <t>SUBTOTAL BAHAN</t>
        </is>
      </c>
      <c r="F15465" s="16" t="n">
        <v>2822040</v>
      </c>
    </row>
    <row r="15466">
      <c r="D15466" s="2" t="inlineStr">
        <is>
          <t>SUBTOTAL ALAT</t>
        </is>
      </c>
      <c r="F15466" s="16" t="n">
        <v>0</v>
      </c>
    </row>
    <row r="15467">
      <c r="E15467" s="2" t="inlineStr">
        <is>
          <t>TOTAL HARGA SATUAN (Inc. Overhead)</t>
        </is>
      </c>
      <c r="F15467" s="17" t="n">
        <v>3796716</v>
      </c>
    </row>
    <row r="15469">
      <c r="A15469" s="14" t="inlineStr">
        <is>
          <t>KODE: 6.5.9.1 - Pemasangan 1 buah Globe Velve, Dia. 1/2" (15 mm)</t>
        </is>
      </c>
    </row>
    <row r="15470">
      <c r="A15470" s="10" t="inlineStr">
        <is>
          <t>No</t>
        </is>
      </c>
      <c r="B15470" s="10" t="inlineStr">
        <is>
          <t>Uraian Komponen</t>
        </is>
      </c>
      <c r="C15470" s="10" t="inlineStr">
        <is>
          <t>Satuan</t>
        </is>
      </c>
      <c r="D15470" s="10" t="inlineStr">
        <is>
          <t>Koef</t>
        </is>
      </c>
      <c r="E15470" s="10" t="inlineStr">
        <is>
          <t>Harga Satuan (Rp)</t>
        </is>
      </c>
      <c r="F15470" s="10" t="inlineStr">
        <is>
          <t>Jumlah Harga (Rp)</t>
        </is>
      </c>
    </row>
    <row r="15471">
      <c r="A15471" s="3" t="inlineStr">
        <is>
          <t>1</t>
        </is>
      </c>
      <c r="B15471" s="3" t="inlineStr">
        <is>
          <t>Pekerja</t>
        </is>
      </c>
      <c r="C15471" s="3" t="inlineStr">
        <is>
          <t>OH</t>
        </is>
      </c>
      <c r="D15471" s="15" t="n">
        <v>0.052</v>
      </c>
      <c r="E15471" s="4" t="n">
        <v>100000</v>
      </c>
      <c r="F15471" s="4" t="n">
        <v>5200</v>
      </c>
    </row>
    <row r="15472">
      <c r="A15472" s="3" t="inlineStr">
        <is>
          <t>2</t>
        </is>
      </c>
      <c r="B15472" s="3" t="inlineStr">
        <is>
          <t>Tukang pipa</t>
        </is>
      </c>
      <c r="C15472" s="3" t="inlineStr">
        <is>
          <t>OH</t>
        </is>
      </c>
      <c r="D15472" s="15" t="n">
        <v>0.08699999999999999</v>
      </c>
      <c r="E15472" s="4" t="n">
        <v>145000</v>
      </c>
      <c r="F15472" s="4" t="n">
        <v>12615</v>
      </c>
    </row>
    <row r="15473">
      <c r="A15473" s="3" t="inlineStr">
        <is>
          <t>3</t>
        </is>
      </c>
      <c r="B15473" s="3" t="inlineStr">
        <is>
          <t>Kepala tukang</t>
        </is>
      </c>
      <c r="C15473" s="3" t="inlineStr">
        <is>
          <t>OH</t>
        </is>
      </c>
      <c r="D15473" s="15" t="n">
        <v>0.008999999999999999</v>
      </c>
      <c r="E15473" s="4" t="n">
        <v>175000</v>
      </c>
      <c r="F15473" s="4" t="n">
        <v>1575</v>
      </c>
    </row>
    <row r="15474">
      <c r="A15474" s="3" t="inlineStr">
        <is>
          <t>4</t>
        </is>
      </c>
      <c r="B15474" s="3" t="inlineStr">
        <is>
          <t>Mandor</t>
        </is>
      </c>
      <c r="C15474" s="3" t="inlineStr">
        <is>
          <t>OH</t>
        </is>
      </c>
      <c r="D15474" s="15" t="n">
        <v>0.003</v>
      </c>
      <c r="E15474" s="4" t="n">
        <v>200000</v>
      </c>
      <c r="F15474" s="4" t="n">
        <v>600</v>
      </c>
    </row>
    <row r="15475">
      <c r="A15475" s="3" t="inlineStr">
        <is>
          <t>1</t>
        </is>
      </c>
      <c r="B15475" s="3" t="inlineStr">
        <is>
          <t>"Globe Velve dia. 1/2"""</t>
        </is>
      </c>
      <c r="C15475" s="3" t="inlineStr">
        <is>
          <t>unit</t>
        </is>
      </c>
      <c r="D15475" s="15" t="n">
        <v>1.15</v>
      </c>
      <c r="E15475" s="4" t="n">
        <v>104500</v>
      </c>
      <c r="F15475" s="4" t="n">
        <v>120175</v>
      </c>
    </row>
    <row r="15476">
      <c r="D15476" s="2" t="inlineStr">
        <is>
          <t>SUBTOTAL UPAH</t>
        </is>
      </c>
      <c r="F15476" s="16" t="n">
        <v>19990</v>
      </c>
    </row>
    <row r="15477">
      <c r="D15477" s="2" t="inlineStr">
        <is>
          <t>SUBTOTAL BAHAN</t>
        </is>
      </c>
      <c r="F15477" s="16" t="n">
        <v>120175</v>
      </c>
    </row>
    <row r="15478">
      <c r="D15478" s="2" t="inlineStr">
        <is>
          <t>SUBTOTAL ALAT</t>
        </is>
      </c>
      <c r="F15478" s="16" t="n">
        <v>0</v>
      </c>
    </row>
    <row r="15479">
      <c r="E15479" s="2" t="inlineStr">
        <is>
          <t>TOTAL HARGA SATUAN (Inc. Overhead)</t>
        </is>
      </c>
      <c r="F15479" s="17" t="n">
        <v>154181</v>
      </c>
    </row>
    <row r="15481">
      <c r="A15481" s="14" t="inlineStr">
        <is>
          <t>KODE: 6.5.9.2 - Pemasangan 1 buah Globe Velve, Dia 3/4" ( 20 mm)</t>
        </is>
      </c>
    </row>
    <row r="15482">
      <c r="A15482" s="10" t="inlineStr">
        <is>
          <t>No</t>
        </is>
      </c>
      <c r="B15482" s="10" t="inlineStr">
        <is>
          <t>Uraian Komponen</t>
        </is>
      </c>
      <c r="C15482" s="10" t="inlineStr">
        <is>
          <t>Satuan</t>
        </is>
      </c>
      <c r="D15482" s="10" t="inlineStr">
        <is>
          <t>Koef</t>
        </is>
      </c>
      <c r="E15482" s="10" t="inlineStr">
        <is>
          <t>Harga Satuan (Rp)</t>
        </is>
      </c>
      <c r="F15482" s="10" t="inlineStr">
        <is>
          <t>Jumlah Harga (Rp)</t>
        </is>
      </c>
    </row>
    <row r="15483">
      <c r="A15483" s="3" t="inlineStr">
        <is>
          <t>1</t>
        </is>
      </c>
      <c r="B15483" s="3" t="inlineStr">
        <is>
          <t>Pekerja</t>
        </is>
      </c>
      <c r="C15483" s="3" t="inlineStr">
        <is>
          <t>OH</t>
        </is>
      </c>
      <c r="D15483" s="15" t="n">
        <v>0.079</v>
      </c>
      <c r="E15483" s="4" t="n">
        <v>100000</v>
      </c>
      <c r="F15483" s="4" t="n">
        <v>7900</v>
      </c>
    </row>
    <row r="15484">
      <c r="A15484" s="3" t="inlineStr">
        <is>
          <t>2</t>
        </is>
      </c>
      <c r="B15484" s="3" t="inlineStr">
        <is>
          <t>Tukang pipa</t>
        </is>
      </c>
      <c r="C15484" s="3" t="inlineStr">
        <is>
          <t>OH</t>
        </is>
      </c>
      <c r="D15484" s="15" t="n">
        <v>0.131</v>
      </c>
      <c r="E15484" s="4" t="n">
        <v>145000</v>
      </c>
      <c r="F15484" s="4" t="n">
        <v>18995</v>
      </c>
    </row>
    <row r="15485">
      <c r="A15485" s="3" t="inlineStr">
        <is>
          <t>3</t>
        </is>
      </c>
      <c r="B15485" s="3" t="inlineStr">
        <is>
          <t>Kepala tukang</t>
        </is>
      </c>
      <c r="C15485" s="3" t="inlineStr">
        <is>
          <t>OH</t>
        </is>
      </c>
      <c r="D15485" s="15" t="n">
        <v>0.013</v>
      </c>
      <c r="E15485" s="4" t="n">
        <v>175000</v>
      </c>
      <c r="F15485" s="4" t="n">
        <v>2275</v>
      </c>
    </row>
    <row r="15486">
      <c r="A15486" s="3" t="inlineStr">
        <is>
          <t>4</t>
        </is>
      </c>
      <c r="B15486" s="3" t="inlineStr">
        <is>
          <t>Mandor</t>
        </is>
      </c>
      <c r="C15486" s="3" t="inlineStr">
        <is>
          <t>OH</t>
        </is>
      </c>
      <c r="D15486" s="15" t="n">
        <v>0.004</v>
      </c>
      <c r="E15486" s="4" t="n">
        <v>200000</v>
      </c>
      <c r="F15486" s="4" t="n">
        <v>800</v>
      </c>
    </row>
    <row r="15487">
      <c r="A15487" s="3" t="inlineStr">
        <is>
          <t>1</t>
        </is>
      </c>
      <c r="B15487" s="3" t="inlineStr">
        <is>
          <t>"Globe Velve dia. 3/4"""</t>
        </is>
      </c>
      <c r="C15487" s="3" t="inlineStr">
        <is>
          <t>unit</t>
        </is>
      </c>
      <c r="D15487" s="15" t="n">
        <v>1.15</v>
      </c>
      <c r="E15487" s="4" t="n">
        <v>118000</v>
      </c>
      <c r="F15487" s="4" t="n">
        <v>135700</v>
      </c>
    </row>
    <row r="15488">
      <c r="D15488" s="2" t="inlineStr">
        <is>
          <t>SUBTOTAL UPAH</t>
        </is>
      </c>
      <c r="F15488" s="16" t="n">
        <v>29970</v>
      </c>
    </row>
    <row r="15489">
      <c r="D15489" s="2" t="inlineStr">
        <is>
          <t>SUBTOTAL BAHAN</t>
        </is>
      </c>
      <c r="F15489" s="16" t="n">
        <v>135700</v>
      </c>
    </row>
    <row r="15490">
      <c r="D15490" s="2" t="inlineStr">
        <is>
          <t>SUBTOTAL ALAT</t>
        </is>
      </c>
      <c r="F15490" s="16" t="n">
        <v>0</v>
      </c>
    </row>
    <row r="15491">
      <c r="E15491" s="2" t="inlineStr">
        <is>
          <t>TOTAL HARGA SATUAN (Inc. Overhead)</t>
        </is>
      </c>
      <c r="F15491" s="17" t="n">
        <v>182237</v>
      </c>
    </row>
    <row r="15493">
      <c r="A15493" s="14" t="inlineStr">
        <is>
          <t>KODE: 6.5.9.3 - Pemasangan 1 buah Globe Velve, Dia 1" ( 25 mm)</t>
        </is>
      </c>
    </row>
    <row r="15494">
      <c r="A15494" s="10" t="inlineStr">
        <is>
          <t>No</t>
        </is>
      </c>
      <c r="B15494" s="10" t="inlineStr">
        <is>
          <t>Uraian Komponen</t>
        </is>
      </c>
      <c r="C15494" s="10" t="inlineStr">
        <is>
          <t>Satuan</t>
        </is>
      </c>
      <c r="D15494" s="10" t="inlineStr">
        <is>
          <t>Koef</t>
        </is>
      </c>
      <c r="E15494" s="10" t="inlineStr">
        <is>
          <t>Harga Satuan (Rp)</t>
        </is>
      </c>
      <c r="F15494" s="10" t="inlineStr">
        <is>
          <t>Jumlah Harga (Rp)</t>
        </is>
      </c>
    </row>
    <row r="15495">
      <c r="A15495" s="3" t="inlineStr">
        <is>
          <t>1</t>
        </is>
      </c>
      <c r="B15495" s="3" t="inlineStr">
        <is>
          <t>Pekerja</t>
        </is>
      </c>
      <c r="C15495" s="3" t="inlineStr">
        <is>
          <t>OH</t>
        </is>
      </c>
      <c r="D15495" s="15" t="n">
        <v>0.105</v>
      </c>
      <c r="E15495" s="4" t="n">
        <v>100000</v>
      </c>
      <c r="F15495" s="4" t="n">
        <v>10500</v>
      </c>
    </row>
    <row r="15496">
      <c r="A15496" s="3" t="inlineStr">
        <is>
          <t>2</t>
        </is>
      </c>
      <c r="B15496" s="3" t="inlineStr">
        <is>
          <t>Tukang pipa</t>
        </is>
      </c>
      <c r="C15496" s="3" t="inlineStr">
        <is>
          <t>OH</t>
        </is>
      </c>
      <c r="D15496" s="15" t="n">
        <v>0.175</v>
      </c>
      <c r="E15496" s="4" t="n">
        <v>145000</v>
      </c>
      <c r="F15496" s="4" t="n">
        <v>25375</v>
      </c>
    </row>
    <row r="15497">
      <c r="A15497" s="3" t="inlineStr">
        <is>
          <t>3</t>
        </is>
      </c>
      <c r="B15497" s="3" t="inlineStr">
        <is>
          <t>Kepala tukang</t>
        </is>
      </c>
      <c r="C15497" s="3" t="inlineStr">
        <is>
          <t>OH</t>
        </is>
      </c>
      <c r="D15497" s="15" t="n">
        <v>0.017</v>
      </c>
      <c r="E15497" s="4" t="n">
        <v>175000</v>
      </c>
      <c r="F15497" s="4" t="n">
        <v>2975</v>
      </c>
    </row>
    <row r="15498">
      <c r="A15498" s="3" t="inlineStr">
        <is>
          <t>4</t>
        </is>
      </c>
      <c r="B15498" s="3" t="inlineStr">
        <is>
          <t>Mandor</t>
        </is>
      </c>
      <c r="C15498" s="3" t="inlineStr">
        <is>
          <t>OH</t>
        </is>
      </c>
      <c r="D15498" s="15" t="n">
        <v>0.005</v>
      </c>
      <c r="E15498" s="4" t="n">
        <v>200000</v>
      </c>
      <c r="F15498" s="4" t="n">
        <v>1000</v>
      </c>
    </row>
    <row r="15499">
      <c r="A15499" s="3" t="inlineStr">
        <is>
          <t>1</t>
        </is>
      </c>
      <c r="B15499" s="3" t="inlineStr">
        <is>
          <t>"Globe Velve dia. 1"""</t>
        </is>
      </c>
      <c r="C15499" s="3" t="inlineStr">
        <is>
          <t>unit</t>
        </is>
      </c>
      <c r="D15499" s="15" t="n">
        <v>1.15</v>
      </c>
      <c r="E15499" s="4" t="n">
        <v>140500</v>
      </c>
      <c r="F15499" s="4" t="n">
        <v>161575</v>
      </c>
    </row>
    <row r="15500">
      <c r="D15500" s="2" t="inlineStr">
        <is>
          <t>SUBTOTAL UPAH</t>
        </is>
      </c>
      <c r="F15500" s="16" t="n">
        <v>39850</v>
      </c>
    </row>
    <row r="15501">
      <c r="D15501" s="2" t="inlineStr">
        <is>
          <t>SUBTOTAL BAHAN</t>
        </is>
      </c>
      <c r="F15501" s="16" t="n">
        <v>161575</v>
      </c>
    </row>
    <row r="15502">
      <c r="D15502" s="2" t="inlineStr">
        <is>
          <t>SUBTOTAL ALAT</t>
        </is>
      </c>
      <c r="F15502" s="16" t="n">
        <v>0</v>
      </c>
    </row>
    <row r="15503">
      <c r="E15503" s="2" t="inlineStr">
        <is>
          <t>TOTAL HARGA SATUAN (Inc. Overhead)</t>
        </is>
      </c>
      <c r="F15503" s="17" t="n">
        <v>221567</v>
      </c>
    </row>
    <row r="15505">
      <c r="A15505" s="14" t="inlineStr">
        <is>
          <t>KODE: 6.5.9.4 - Pemasangan 1 buah Globe Velve, Dia. 1-1/4 " (32 mm)</t>
        </is>
      </c>
    </row>
    <row r="15506">
      <c r="A15506" s="10" t="inlineStr">
        <is>
          <t>No</t>
        </is>
      </c>
      <c r="B15506" s="10" t="inlineStr">
        <is>
          <t>Uraian Komponen</t>
        </is>
      </c>
      <c r="C15506" s="10" t="inlineStr">
        <is>
          <t>Satuan</t>
        </is>
      </c>
      <c r="D15506" s="10" t="inlineStr">
        <is>
          <t>Koef</t>
        </is>
      </c>
      <c r="E15506" s="10" t="inlineStr">
        <is>
          <t>Harga Satuan (Rp)</t>
        </is>
      </c>
      <c r="F15506" s="10" t="inlineStr">
        <is>
          <t>Jumlah Harga (Rp)</t>
        </is>
      </c>
    </row>
    <row r="15507">
      <c r="A15507" s="3" t="inlineStr">
        <is>
          <t>1</t>
        </is>
      </c>
      <c r="B15507" s="3" t="inlineStr">
        <is>
          <t>Pekerja</t>
        </is>
      </c>
      <c r="C15507" s="3" t="inlineStr">
        <is>
          <t>OH</t>
        </is>
      </c>
      <c r="D15507" s="15" t="n">
        <v>0.129</v>
      </c>
      <c r="E15507" s="4" t="n">
        <v>100000</v>
      </c>
      <c r="F15507" s="4" t="n">
        <v>12900</v>
      </c>
    </row>
    <row r="15508">
      <c r="A15508" s="3" t="inlineStr">
        <is>
          <t>2</t>
        </is>
      </c>
      <c r="B15508" s="3" t="inlineStr">
        <is>
          <t>Tukang pipa</t>
        </is>
      </c>
      <c r="C15508" s="3" t="inlineStr">
        <is>
          <t>OH</t>
        </is>
      </c>
      <c r="D15508" s="15" t="n">
        <v>0.215</v>
      </c>
      <c r="E15508" s="4" t="n">
        <v>145000</v>
      </c>
      <c r="F15508" s="4" t="n">
        <v>31175</v>
      </c>
    </row>
    <row r="15509">
      <c r="A15509" s="3" t="inlineStr">
        <is>
          <t>3</t>
        </is>
      </c>
      <c r="B15509" s="3" t="inlineStr">
        <is>
          <t>Kepala tukang</t>
        </is>
      </c>
      <c r="C15509" s="3" t="inlineStr">
        <is>
          <t>OH</t>
        </is>
      </c>
      <c r="D15509" s="15" t="n">
        <v>0.021</v>
      </c>
      <c r="E15509" s="4" t="n">
        <v>175000</v>
      </c>
      <c r="F15509" s="4" t="n">
        <v>3675</v>
      </c>
    </row>
    <row r="15510">
      <c r="A15510" s="3" t="inlineStr">
        <is>
          <t>4</t>
        </is>
      </c>
      <c r="B15510" s="3" t="inlineStr">
        <is>
          <t>Mandor</t>
        </is>
      </c>
      <c r="C15510" s="3" t="inlineStr">
        <is>
          <t>OH</t>
        </is>
      </c>
      <c r="D15510" s="15" t="n">
        <v>0.006</v>
      </c>
      <c r="E15510" s="4" t="n">
        <v>200000</v>
      </c>
      <c r="F15510" s="4" t="n">
        <v>1200</v>
      </c>
    </row>
    <row r="15511">
      <c r="A15511" s="3" t="inlineStr">
        <is>
          <t>1</t>
        </is>
      </c>
      <c r="B15511" s="3" t="inlineStr">
        <is>
          <t>"Globe Velve dia. 1-1/4"""</t>
        </is>
      </c>
      <c r="C15511" s="3" t="inlineStr">
        <is>
          <t>unit</t>
        </is>
      </c>
      <c r="D15511" s="15" t="n">
        <v>1.15</v>
      </c>
      <c r="E15511" s="4" t="n">
        <v>189900</v>
      </c>
      <c r="F15511" s="4" t="n">
        <v>218385</v>
      </c>
    </row>
    <row r="15512">
      <c r="D15512" s="2" t="inlineStr">
        <is>
          <t>SUBTOTAL UPAH</t>
        </is>
      </c>
      <c r="F15512" s="16" t="n">
        <v>48950</v>
      </c>
    </row>
    <row r="15513">
      <c r="D15513" s="2" t="inlineStr">
        <is>
          <t>SUBTOTAL BAHAN</t>
        </is>
      </c>
      <c r="F15513" s="16" t="n">
        <v>218385</v>
      </c>
    </row>
    <row r="15514">
      <c r="D15514" s="2" t="inlineStr">
        <is>
          <t>SUBTOTAL ALAT</t>
        </is>
      </c>
      <c r="F15514" s="16" t="n">
        <v>0</v>
      </c>
    </row>
    <row r="15515">
      <c r="E15515" s="2" t="inlineStr">
        <is>
          <t>TOTAL HARGA SATUAN (Inc. Overhead)</t>
        </is>
      </c>
      <c r="F15515" s="17" t="n">
        <v>294068</v>
      </c>
    </row>
    <row r="15517">
      <c r="A15517" s="14" t="inlineStr">
        <is>
          <t>KODE: 6.5.9.5 - Pemasangan 1 buah Globe Velve, Dia. 1-1/2 " (40 mm)</t>
        </is>
      </c>
    </row>
    <row r="15518">
      <c r="A15518" s="10" t="inlineStr">
        <is>
          <t>No</t>
        </is>
      </c>
      <c r="B15518" s="10" t="inlineStr">
        <is>
          <t>Uraian Komponen</t>
        </is>
      </c>
      <c r="C15518" s="10" t="inlineStr">
        <is>
          <t>Satuan</t>
        </is>
      </c>
      <c r="D15518" s="10" t="inlineStr">
        <is>
          <t>Koef</t>
        </is>
      </c>
      <c r="E15518" s="10" t="inlineStr">
        <is>
          <t>Harga Satuan (Rp)</t>
        </is>
      </c>
      <c r="F15518" s="10" t="inlineStr">
        <is>
          <t>Jumlah Harga (Rp)</t>
        </is>
      </c>
    </row>
    <row r="15519">
      <c r="A15519" s="3" t="inlineStr">
        <is>
          <t>1</t>
        </is>
      </c>
      <c r="B15519" s="3" t="inlineStr">
        <is>
          <t>Pekerja</t>
        </is>
      </c>
      <c r="C15519" s="3" t="inlineStr">
        <is>
          <t>OH</t>
        </is>
      </c>
      <c r="D15519" s="15" t="n">
        <v>0.157</v>
      </c>
      <c r="E15519" s="4" t="n">
        <v>100000</v>
      </c>
      <c r="F15519" s="4" t="n">
        <v>15700</v>
      </c>
    </row>
    <row r="15520">
      <c r="A15520" s="3" t="inlineStr">
        <is>
          <t>2</t>
        </is>
      </c>
      <c r="B15520" s="3" t="inlineStr">
        <is>
          <t>Tukang pipa</t>
        </is>
      </c>
      <c r="C15520" s="3" t="inlineStr">
        <is>
          <t>OH</t>
        </is>
      </c>
      <c r="D15520" s="15" t="n">
        <v>0.262</v>
      </c>
      <c r="E15520" s="4" t="n">
        <v>145000</v>
      </c>
      <c r="F15520" s="4" t="n">
        <v>37990</v>
      </c>
    </row>
    <row r="15521">
      <c r="A15521" s="3" t="inlineStr">
        <is>
          <t>3</t>
        </is>
      </c>
      <c r="B15521" s="3" t="inlineStr">
        <is>
          <t>Kepala tukang</t>
        </is>
      </c>
      <c r="C15521" s="3" t="inlineStr">
        <is>
          <t>OH</t>
        </is>
      </c>
      <c r="D15521" s="15" t="n">
        <v>0.026</v>
      </c>
      <c r="E15521" s="4" t="n">
        <v>175000</v>
      </c>
      <c r="F15521" s="4" t="n">
        <v>4550</v>
      </c>
    </row>
    <row r="15522">
      <c r="A15522" s="3" t="inlineStr">
        <is>
          <t>4</t>
        </is>
      </c>
      <c r="B15522" s="3" t="inlineStr">
        <is>
          <t>Mandor</t>
        </is>
      </c>
      <c r="C15522" s="3" t="inlineStr">
        <is>
          <t>OH</t>
        </is>
      </c>
      <c r="D15522" s="15" t="n">
        <v>0.008</v>
      </c>
      <c r="E15522" s="4" t="n">
        <v>200000</v>
      </c>
      <c r="F15522" s="4" t="n">
        <v>1600</v>
      </c>
    </row>
    <row r="15523">
      <c r="A15523" s="3" t="inlineStr">
        <is>
          <t>1</t>
        </is>
      </c>
      <c r="B15523" s="3" t="inlineStr">
        <is>
          <t>"Globe Velve dia. 1-1/2"""</t>
        </is>
      </c>
      <c r="C15523" s="3" t="inlineStr">
        <is>
          <t>unit</t>
        </is>
      </c>
      <c r="D15523" s="15" t="n">
        <v>1.15</v>
      </c>
      <c r="E15523" s="4" t="n">
        <v>252900</v>
      </c>
      <c r="F15523" s="4" t="n">
        <v>290835</v>
      </c>
    </row>
    <row r="15524">
      <c r="D15524" s="2" t="inlineStr">
        <is>
          <t>SUBTOTAL UPAH</t>
        </is>
      </c>
      <c r="F15524" s="16" t="n">
        <v>59840</v>
      </c>
    </row>
    <row r="15525">
      <c r="D15525" s="2" t="inlineStr">
        <is>
          <t>SUBTOTAL BAHAN</t>
        </is>
      </c>
      <c r="F15525" s="16" t="n">
        <v>290835</v>
      </c>
    </row>
    <row r="15526">
      <c r="D15526" s="2" t="inlineStr">
        <is>
          <t>SUBTOTAL ALAT</t>
        </is>
      </c>
      <c r="F15526" s="16" t="n">
        <v>0</v>
      </c>
    </row>
    <row r="15527">
      <c r="E15527" s="2" t="inlineStr">
        <is>
          <t>TOTAL HARGA SATUAN (Inc. Overhead)</t>
        </is>
      </c>
      <c r="F15527" s="17" t="n">
        <v>385742</v>
      </c>
    </row>
    <row r="15529">
      <c r="A15529" s="14" t="inlineStr">
        <is>
          <t>KODE: 6.5.9.6 - Pemasangan 1 buah Globe Velve, Dia. 2 " (50 mm)</t>
        </is>
      </c>
    </row>
    <row r="15530">
      <c r="A15530" s="10" t="inlineStr">
        <is>
          <t>No</t>
        </is>
      </c>
      <c r="B15530" s="10" t="inlineStr">
        <is>
          <t>Uraian Komponen</t>
        </is>
      </c>
      <c r="C15530" s="10" t="inlineStr">
        <is>
          <t>Satuan</t>
        </is>
      </c>
      <c r="D15530" s="10" t="inlineStr">
        <is>
          <t>Koef</t>
        </is>
      </c>
      <c r="E15530" s="10" t="inlineStr">
        <is>
          <t>Harga Satuan (Rp)</t>
        </is>
      </c>
      <c r="F15530" s="10" t="inlineStr">
        <is>
          <t>Jumlah Harga (Rp)</t>
        </is>
      </c>
    </row>
    <row r="15531">
      <c r="A15531" s="3" t="inlineStr">
        <is>
          <t>1</t>
        </is>
      </c>
      <c r="B15531" s="3" t="inlineStr">
        <is>
          <t>Pekerja</t>
        </is>
      </c>
      <c r="C15531" s="3" t="inlineStr">
        <is>
          <t>OH</t>
        </is>
      </c>
      <c r="D15531" s="15" t="n">
        <v>0.207</v>
      </c>
      <c r="E15531" s="4" t="n">
        <v>100000</v>
      </c>
      <c r="F15531" s="4" t="n">
        <v>20700</v>
      </c>
    </row>
    <row r="15532">
      <c r="A15532" s="3" t="inlineStr">
        <is>
          <t>2</t>
        </is>
      </c>
      <c r="B15532" s="3" t="inlineStr">
        <is>
          <t>Tukang pipa</t>
        </is>
      </c>
      <c r="C15532" s="3" t="inlineStr">
        <is>
          <t>OH</t>
        </is>
      </c>
      <c r="D15532" s="15" t="n">
        <v>0.346</v>
      </c>
      <c r="E15532" s="4" t="n">
        <v>145000</v>
      </c>
      <c r="F15532" s="4" t="n">
        <v>50169.99999999999</v>
      </c>
    </row>
    <row r="15533">
      <c r="A15533" s="3" t="inlineStr">
        <is>
          <t>3</t>
        </is>
      </c>
      <c r="B15533" s="3" t="inlineStr">
        <is>
          <t>Kepala tukang</t>
        </is>
      </c>
      <c r="C15533" s="3" t="inlineStr">
        <is>
          <t>OH</t>
        </is>
      </c>
      <c r="D15533" s="15" t="n">
        <v>0.035</v>
      </c>
      <c r="E15533" s="4" t="n">
        <v>175000</v>
      </c>
      <c r="F15533" s="4" t="n">
        <v>6125.000000000001</v>
      </c>
    </row>
    <row r="15534">
      <c r="A15534" s="3" t="inlineStr">
        <is>
          <t>4</t>
        </is>
      </c>
      <c r="B15534" s="3" t="inlineStr">
        <is>
          <t>Mandor</t>
        </is>
      </c>
      <c r="C15534" s="3" t="inlineStr">
        <is>
          <t>OH</t>
        </is>
      </c>
      <c r="D15534" s="15" t="n">
        <v>0.01</v>
      </c>
      <c r="E15534" s="4" t="n">
        <v>200000</v>
      </c>
      <c r="F15534" s="4" t="n">
        <v>2000</v>
      </c>
    </row>
    <row r="15535">
      <c r="A15535" s="3" t="inlineStr">
        <is>
          <t>1</t>
        </is>
      </c>
      <c r="B15535" s="3" t="inlineStr">
        <is>
          <t>"Globe Velve dia. 2"""</t>
        </is>
      </c>
      <c r="C15535" s="3" t="inlineStr">
        <is>
          <t>unit</t>
        </is>
      </c>
      <c r="D15535" s="15" t="n">
        <v>1.15</v>
      </c>
      <c r="E15535" s="4" t="n">
        <v>966300</v>
      </c>
      <c r="F15535" s="4" t="n">
        <v>1111245</v>
      </c>
    </row>
    <row r="15536">
      <c r="D15536" s="2" t="inlineStr">
        <is>
          <t>SUBTOTAL UPAH</t>
        </is>
      </c>
      <c r="F15536" s="16" t="n">
        <v>78995</v>
      </c>
    </row>
    <row r="15537">
      <c r="D15537" s="2" t="inlineStr">
        <is>
          <t>SUBTOTAL BAHAN</t>
        </is>
      </c>
      <c r="F15537" s="16" t="n">
        <v>1111245</v>
      </c>
    </row>
    <row r="15538">
      <c r="D15538" s="2" t="inlineStr">
        <is>
          <t>SUBTOTAL ALAT</t>
        </is>
      </c>
      <c r="F15538" s="16" t="n">
        <v>0</v>
      </c>
    </row>
    <row r="15539">
      <c r="E15539" s="2" t="inlineStr">
        <is>
          <t>TOTAL HARGA SATUAN (Inc. Overhead)</t>
        </is>
      </c>
      <c r="F15539" s="17" t="n">
        <v>1309264</v>
      </c>
    </row>
    <row r="15541">
      <c r="A15541" s="14" t="inlineStr">
        <is>
          <t>KODE: 6.5.9.7 - Pemasangan 1 buah Globe Velve, Dia. 2-1/2 " (65 mm)</t>
        </is>
      </c>
    </row>
    <row r="15542">
      <c r="A15542" s="10" t="inlineStr">
        <is>
          <t>No</t>
        </is>
      </c>
      <c r="B15542" s="10" t="inlineStr">
        <is>
          <t>Uraian Komponen</t>
        </is>
      </c>
      <c r="C15542" s="10" t="inlineStr">
        <is>
          <t>Satuan</t>
        </is>
      </c>
      <c r="D15542" s="10" t="inlineStr">
        <is>
          <t>Koef</t>
        </is>
      </c>
      <c r="E15542" s="10" t="inlineStr">
        <is>
          <t>Harga Satuan (Rp)</t>
        </is>
      </c>
      <c r="F15542" s="10" t="inlineStr">
        <is>
          <t>Jumlah Harga (Rp)</t>
        </is>
      </c>
    </row>
    <row r="15543">
      <c r="A15543" s="3" t="inlineStr">
        <is>
          <t>1</t>
        </is>
      </c>
      <c r="B15543" s="3" t="inlineStr">
        <is>
          <t>Pekerja</t>
        </is>
      </c>
      <c r="C15543" s="3" t="inlineStr">
        <is>
          <t>OH</t>
        </is>
      </c>
      <c r="D15543" s="15" t="n">
        <v>0.26</v>
      </c>
      <c r="E15543" s="4" t="n">
        <v>100000</v>
      </c>
      <c r="F15543" s="4" t="n">
        <v>26000</v>
      </c>
    </row>
    <row r="15544">
      <c r="A15544" s="3" t="inlineStr">
        <is>
          <t>2</t>
        </is>
      </c>
      <c r="B15544" s="3" t="inlineStr">
        <is>
          <t>Tukang pipa</t>
        </is>
      </c>
      <c r="C15544" s="3" t="inlineStr">
        <is>
          <t>OH</t>
        </is>
      </c>
      <c r="D15544" s="15" t="n">
        <v>0.433</v>
      </c>
      <c r="E15544" s="4" t="n">
        <v>145000</v>
      </c>
      <c r="F15544" s="4" t="n">
        <v>62785</v>
      </c>
    </row>
    <row r="15545">
      <c r="A15545" s="3" t="inlineStr">
        <is>
          <t>3</t>
        </is>
      </c>
      <c r="B15545" s="3" t="inlineStr">
        <is>
          <t>Kepala tukang</t>
        </is>
      </c>
      <c r="C15545" s="3" t="inlineStr">
        <is>
          <t>OH</t>
        </is>
      </c>
      <c r="D15545" s="15" t="n">
        <v>0.043</v>
      </c>
      <c r="E15545" s="4" t="n">
        <v>175000</v>
      </c>
      <c r="F15545" s="4" t="n">
        <v>7524.999999999999</v>
      </c>
    </row>
    <row r="15546">
      <c r="A15546" s="3" t="inlineStr">
        <is>
          <t>4</t>
        </is>
      </c>
      <c r="B15546" s="3" t="inlineStr">
        <is>
          <t>Mandor</t>
        </is>
      </c>
      <c r="C15546" s="3" t="inlineStr">
        <is>
          <t>OH</t>
        </is>
      </c>
      <c r="D15546" s="15" t="n">
        <v>0.013</v>
      </c>
      <c r="E15546" s="4" t="n">
        <v>200000</v>
      </c>
      <c r="F15546" s="4" t="n">
        <v>2600</v>
      </c>
    </row>
    <row r="15547">
      <c r="A15547" s="3" t="inlineStr">
        <is>
          <t>1</t>
        </is>
      </c>
      <c r="B15547" s="3" t="inlineStr">
        <is>
          <t>"Globe Velve dia. 2-1/2"""</t>
        </is>
      </c>
      <c r="C15547" s="3" t="inlineStr">
        <is>
          <t>unit</t>
        </is>
      </c>
      <c r="D15547" s="15" t="n">
        <v>1.15</v>
      </c>
      <c r="E15547" s="4" t="n">
        <v>1214300</v>
      </c>
      <c r="F15547" s="4" t="n">
        <v>1396445</v>
      </c>
    </row>
    <row r="15548">
      <c r="D15548" s="2" t="inlineStr">
        <is>
          <t>SUBTOTAL UPAH</t>
        </is>
      </c>
      <c r="F15548" s="16" t="n">
        <v>98910</v>
      </c>
    </row>
    <row r="15549">
      <c r="D15549" s="2" t="inlineStr">
        <is>
          <t>SUBTOTAL BAHAN</t>
        </is>
      </c>
      <c r="F15549" s="16" t="n">
        <v>1396445</v>
      </c>
    </row>
    <row r="15550">
      <c r="D15550" s="2" t="inlineStr">
        <is>
          <t>SUBTOTAL ALAT</t>
        </is>
      </c>
      <c r="F15550" s="16" t="n">
        <v>0</v>
      </c>
    </row>
    <row r="15551">
      <c r="E15551" s="2" t="inlineStr">
        <is>
          <t>TOTAL HARGA SATUAN (Inc. Overhead)</t>
        </is>
      </c>
      <c r="F15551" s="17" t="n">
        <v>1644890</v>
      </c>
    </row>
    <row r="15553">
      <c r="A15553" s="14" t="inlineStr">
        <is>
          <t>KODE: 6.5.9.8 - Pemasangan 1 buah Globe Velve, Dia. 3 " (80 mm)</t>
        </is>
      </c>
    </row>
    <row r="15554">
      <c r="A15554" s="10" t="inlineStr">
        <is>
          <t>No</t>
        </is>
      </c>
      <c r="B15554" s="10" t="inlineStr">
        <is>
          <t>Uraian Komponen</t>
        </is>
      </c>
      <c r="C15554" s="10" t="inlineStr">
        <is>
          <t>Satuan</t>
        </is>
      </c>
      <c r="D15554" s="10" t="inlineStr">
        <is>
          <t>Koef</t>
        </is>
      </c>
      <c r="E15554" s="10" t="inlineStr">
        <is>
          <t>Harga Satuan (Rp)</t>
        </is>
      </c>
      <c r="F15554" s="10" t="inlineStr">
        <is>
          <t>Jumlah Harga (Rp)</t>
        </is>
      </c>
    </row>
    <row r="15555">
      <c r="A15555" s="3" t="inlineStr">
        <is>
          <t>1</t>
        </is>
      </c>
      <c r="B15555" s="3" t="inlineStr">
        <is>
          <t>Pekerja</t>
        </is>
      </c>
      <c r="C15555" s="3" t="inlineStr">
        <is>
          <t>OH</t>
        </is>
      </c>
      <c r="D15555" s="15" t="n">
        <v>0.471</v>
      </c>
      <c r="E15555" s="4" t="n">
        <v>100000</v>
      </c>
      <c r="F15555" s="4" t="n">
        <v>47100</v>
      </c>
    </row>
    <row r="15556">
      <c r="A15556" s="3" t="inlineStr">
        <is>
          <t>2</t>
        </is>
      </c>
      <c r="B15556" s="3" t="inlineStr">
        <is>
          <t>Tukang pipa</t>
        </is>
      </c>
      <c r="C15556" s="3" t="inlineStr">
        <is>
          <t>OH</t>
        </is>
      </c>
      <c r="D15556" s="15" t="n">
        <v>0.787</v>
      </c>
      <c r="E15556" s="4" t="n">
        <v>145000</v>
      </c>
      <c r="F15556" s="4" t="n">
        <v>114115</v>
      </c>
    </row>
    <row r="15557">
      <c r="A15557" s="3" t="inlineStr">
        <is>
          <t>3</t>
        </is>
      </c>
      <c r="B15557" s="3" t="inlineStr">
        <is>
          <t>Kepala tukang</t>
        </is>
      </c>
      <c r="C15557" s="3" t="inlineStr">
        <is>
          <t>OH</t>
        </is>
      </c>
      <c r="D15557" s="15" t="n">
        <v>0.079</v>
      </c>
      <c r="E15557" s="4" t="n">
        <v>175000</v>
      </c>
      <c r="F15557" s="4" t="n">
        <v>13825</v>
      </c>
    </row>
    <row r="15558">
      <c r="A15558" s="3" t="inlineStr">
        <is>
          <t>4</t>
        </is>
      </c>
      <c r="B15558" s="3" t="inlineStr">
        <is>
          <t>Mandor</t>
        </is>
      </c>
      <c r="C15558" s="3" t="inlineStr">
        <is>
          <t>OH</t>
        </is>
      </c>
      <c r="D15558" s="15" t="n">
        <v>0.024</v>
      </c>
      <c r="E15558" s="4" t="n">
        <v>200000</v>
      </c>
      <c r="F15558" s="4" t="n">
        <v>4800</v>
      </c>
    </row>
    <row r="15559">
      <c r="A15559" s="3" t="inlineStr">
        <is>
          <t>1</t>
        </is>
      </c>
      <c r="B15559" s="3" t="inlineStr">
        <is>
          <t>"Globe Velve dia. 3"""</t>
        </is>
      </c>
      <c r="C15559" s="3" t="inlineStr">
        <is>
          <t>unit</t>
        </is>
      </c>
      <c r="D15559" s="15" t="n">
        <v>1.3</v>
      </c>
      <c r="E15559" s="4" t="n">
        <v>1573100</v>
      </c>
      <c r="F15559" s="4" t="n">
        <v>2045030</v>
      </c>
    </row>
    <row r="15560">
      <c r="D15560" s="2" t="inlineStr">
        <is>
          <t>SUBTOTAL UPAH</t>
        </is>
      </c>
      <c r="F15560" s="16" t="n">
        <v>179840</v>
      </c>
    </row>
    <row r="15561">
      <c r="D15561" s="2" t="inlineStr">
        <is>
          <t>SUBTOTAL BAHAN</t>
        </is>
      </c>
      <c r="F15561" s="16" t="n">
        <v>2045030</v>
      </c>
    </row>
    <row r="15562">
      <c r="D15562" s="2" t="inlineStr">
        <is>
          <t>SUBTOTAL ALAT</t>
        </is>
      </c>
      <c r="F15562" s="16" t="n">
        <v>0</v>
      </c>
    </row>
    <row r="15563">
      <c r="E15563" s="2" t="inlineStr">
        <is>
          <t>TOTAL HARGA SATUAN (Inc. Overhead)</t>
        </is>
      </c>
      <c r="F15563" s="17" t="n">
        <v>2447357</v>
      </c>
    </row>
    <row r="15565">
      <c r="A15565" s="14" t="inlineStr">
        <is>
          <t>KODE: 6.5.9.9 - Pemasangan 1 buah Flexible Joint (10, 20) K, Dia. 4" (100 mm)</t>
        </is>
      </c>
    </row>
    <row r="15566">
      <c r="A15566" s="10" t="inlineStr">
        <is>
          <t>No</t>
        </is>
      </c>
      <c r="B15566" s="10" t="inlineStr">
        <is>
          <t>Uraian Komponen</t>
        </is>
      </c>
      <c r="C15566" s="10" t="inlineStr">
        <is>
          <t>Satuan</t>
        </is>
      </c>
      <c r="D15566" s="10" t="inlineStr">
        <is>
          <t>Koef</t>
        </is>
      </c>
      <c r="E15566" s="10" t="inlineStr">
        <is>
          <t>Harga Satuan (Rp)</t>
        </is>
      </c>
      <c r="F15566" s="10" t="inlineStr">
        <is>
          <t>Jumlah Harga (Rp)</t>
        </is>
      </c>
    </row>
    <row r="15567">
      <c r="A15567" s="3" t="inlineStr">
        <is>
          <t>1</t>
        </is>
      </c>
      <c r="B15567" s="3" t="inlineStr">
        <is>
          <t>Pekerja</t>
        </is>
      </c>
      <c r="C15567" s="3" t="inlineStr">
        <is>
          <t>OH</t>
        </is>
      </c>
      <c r="D15567" s="15" t="n">
        <v>0.631</v>
      </c>
      <c r="E15567" s="4" t="n">
        <v>100000</v>
      </c>
      <c r="F15567" s="4" t="n">
        <v>63100</v>
      </c>
    </row>
    <row r="15568">
      <c r="A15568" s="3" t="inlineStr">
        <is>
          <t>2</t>
        </is>
      </c>
      <c r="B15568" s="3" t="inlineStr">
        <is>
          <t>Tukang pipa</t>
        </is>
      </c>
      <c r="C15568" s="3" t="inlineStr">
        <is>
          <t>OH</t>
        </is>
      </c>
      <c r="D15568" s="15" t="n">
        <v>1.054</v>
      </c>
      <c r="E15568" s="4" t="n">
        <v>145000</v>
      </c>
      <c r="F15568" s="4" t="n">
        <v>152830</v>
      </c>
    </row>
    <row r="15569">
      <c r="A15569" s="3" t="inlineStr">
        <is>
          <t>3</t>
        </is>
      </c>
      <c r="B15569" s="3" t="inlineStr">
        <is>
          <t>Kepala tukang</t>
        </is>
      </c>
      <c r="C15569" s="3" t="inlineStr">
        <is>
          <t>OH</t>
        </is>
      </c>
      <c r="D15569" s="15" t="n">
        <v>0.105</v>
      </c>
      <c r="E15569" s="4" t="n">
        <v>175000</v>
      </c>
      <c r="F15569" s="4" t="n">
        <v>18375</v>
      </c>
    </row>
    <row r="15570">
      <c r="A15570" s="3" t="inlineStr">
        <is>
          <t>4</t>
        </is>
      </c>
      <c r="B15570" s="3" t="inlineStr">
        <is>
          <t>Mandor</t>
        </is>
      </c>
      <c r="C15570" s="3" t="inlineStr">
        <is>
          <t>OH</t>
        </is>
      </c>
      <c r="D15570" s="15" t="n">
        <v>0.032</v>
      </c>
      <c r="E15570" s="4" t="n">
        <v>200000</v>
      </c>
      <c r="F15570" s="4" t="n">
        <v>6400</v>
      </c>
    </row>
    <row r="15571">
      <c r="A15571" s="3" t="inlineStr">
        <is>
          <t>1</t>
        </is>
      </c>
      <c r="B15571" s="3" t="inlineStr">
        <is>
          <t>"Globe Velve dia. 4"""</t>
        </is>
      </c>
      <c r="C15571" s="3" t="inlineStr">
        <is>
          <t>unit</t>
        </is>
      </c>
      <c r="D15571" s="15" t="n">
        <v>1.3</v>
      </c>
      <c r="E15571" s="4" t="n">
        <v>2121400</v>
      </c>
      <c r="F15571" s="4" t="n">
        <v>2757820</v>
      </c>
    </row>
    <row r="15572">
      <c r="D15572" s="2" t="inlineStr">
        <is>
          <t>SUBTOTAL UPAH</t>
        </is>
      </c>
      <c r="F15572" s="16" t="n">
        <v>240705</v>
      </c>
    </row>
    <row r="15573">
      <c r="D15573" s="2" t="inlineStr">
        <is>
          <t>SUBTOTAL BAHAN</t>
        </is>
      </c>
      <c r="F15573" s="16" t="n">
        <v>2757820</v>
      </c>
    </row>
    <row r="15574">
      <c r="D15574" s="2" t="inlineStr">
        <is>
          <t>SUBTOTAL ALAT</t>
        </is>
      </c>
      <c r="F15574" s="16" t="n">
        <v>0</v>
      </c>
    </row>
    <row r="15575">
      <c r="E15575" s="2" t="inlineStr">
        <is>
          <t>TOTAL HARGA SATUAN (Inc. Overhead)</t>
        </is>
      </c>
      <c r="F15575" s="17" t="n">
        <v>779575</v>
      </c>
    </row>
    <row r="15577">
      <c r="A15577" s="14" t="inlineStr">
        <is>
          <t>KODE: 6.5.9.10 - Pemasangan 1 buah Flexible Joint (10, 20) K, Dia. 5" (125 mm)</t>
        </is>
      </c>
    </row>
    <row r="15578">
      <c r="A15578" s="10" t="inlineStr">
        <is>
          <t>No</t>
        </is>
      </c>
      <c r="B15578" s="10" t="inlineStr">
        <is>
          <t>Uraian Komponen</t>
        </is>
      </c>
      <c r="C15578" s="10" t="inlineStr">
        <is>
          <t>Satuan</t>
        </is>
      </c>
      <c r="D15578" s="10" t="inlineStr">
        <is>
          <t>Koef</t>
        </is>
      </c>
      <c r="E15578" s="10" t="inlineStr">
        <is>
          <t>Harga Satuan (Rp)</t>
        </is>
      </c>
      <c r="F15578" s="10" t="inlineStr">
        <is>
          <t>Jumlah Harga (Rp)</t>
        </is>
      </c>
    </row>
    <row r="15579">
      <c r="A15579" s="3" t="inlineStr">
        <is>
          <t>1</t>
        </is>
      </c>
      <c r="B15579" s="3" t="inlineStr">
        <is>
          <t>Pekerja</t>
        </is>
      </c>
      <c r="C15579" s="3" t="inlineStr">
        <is>
          <t>OH</t>
        </is>
      </c>
      <c r="D15579" s="15" t="n">
        <v>0.788</v>
      </c>
      <c r="E15579" s="4" t="n">
        <v>100000</v>
      </c>
      <c r="F15579" s="4" t="n">
        <v>78800</v>
      </c>
    </row>
    <row r="15580">
      <c r="A15580" s="3" t="inlineStr">
        <is>
          <t>2</t>
        </is>
      </c>
      <c r="B15580" s="3" t="inlineStr">
        <is>
          <t>Tukang pipa</t>
        </is>
      </c>
      <c r="C15580" s="3" t="inlineStr">
        <is>
          <t>OH</t>
        </is>
      </c>
      <c r="D15580" s="15" t="n">
        <v>1.316</v>
      </c>
      <c r="E15580" s="4" t="n">
        <v>145000</v>
      </c>
      <c r="F15580" s="4" t="n">
        <v>190820</v>
      </c>
    </row>
    <row r="15581">
      <c r="A15581" s="3" t="inlineStr">
        <is>
          <t>3</t>
        </is>
      </c>
      <c r="B15581" s="3" t="inlineStr">
        <is>
          <t>Kepala tukang</t>
        </is>
      </c>
      <c r="C15581" s="3" t="inlineStr">
        <is>
          <t>OH</t>
        </is>
      </c>
      <c r="D15581" s="15" t="n">
        <v>0.132</v>
      </c>
      <c r="E15581" s="4" t="n">
        <v>175000</v>
      </c>
      <c r="F15581" s="4" t="n">
        <v>23100</v>
      </c>
    </row>
    <row r="15582">
      <c r="A15582" s="3" t="inlineStr">
        <is>
          <t>4</t>
        </is>
      </c>
      <c r="B15582" s="3" t="inlineStr">
        <is>
          <t>Mandor</t>
        </is>
      </c>
      <c r="C15582" s="3" t="inlineStr">
        <is>
          <t>OH</t>
        </is>
      </c>
      <c r="D15582" s="15" t="n">
        <v>0.039</v>
      </c>
      <c r="E15582" s="4" t="n">
        <v>200000</v>
      </c>
      <c r="F15582" s="4" t="n">
        <v>7800</v>
      </c>
    </row>
    <row r="15583">
      <c r="A15583" s="3" t="inlineStr">
        <is>
          <t>1</t>
        </is>
      </c>
      <c r="B15583" s="3" t="inlineStr">
        <is>
          <t>"Globe Velve dia. 5"""</t>
        </is>
      </c>
      <c r="C15583" s="3" t="inlineStr">
        <is>
          <t>unit</t>
        </is>
      </c>
      <c r="D15583" s="15" t="n">
        <v>1.3</v>
      </c>
      <c r="E15583" s="4" t="n">
        <v>3890000</v>
      </c>
      <c r="F15583" s="4" t="n">
        <v>5057000</v>
      </c>
    </row>
    <row r="15584">
      <c r="D15584" s="2" t="inlineStr">
        <is>
          <t>SUBTOTAL UPAH</t>
        </is>
      </c>
      <c r="F15584" s="16" t="n">
        <v>300520</v>
      </c>
    </row>
    <row r="15585">
      <c r="D15585" s="2" t="inlineStr">
        <is>
          <t>SUBTOTAL BAHAN</t>
        </is>
      </c>
      <c r="F15585" s="16" t="n">
        <v>5057000</v>
      </c>
    </row>
    <row r="15586">
      <c r="D15586" s="2" t="inlineStr">
        <is>
          <t>SUBTOTAL ALAT</t>
        </is>
      </c>
      <c r="F15586" s="16" t="n">
        <v>0</v>
      </c>
    </row>
    <row r="15587">
      <c r="E15587" s="2" t="inlineStr">
        <is>
          <t>TOTAL HARGA SATUAN (Inc. Overhead)</t>
        </is>
      </c>
      <c r="F15587" s="17" t="n">
        <v>1390059</v>
      </c>
    </row>
    <row r="15589">
      <c r="A15589" s="14" t="inlineStr">
        <is>
          <t>KODE: 6.5.9.11 - Pemasangan 1 buah Globe Velve, Dia. 6" (150 mm)</t>
        </is>
      </c>
    </row>
    <row r="15590">
      <c r="A15590" s="10" t="inlineStr">
        <is>
          <t>No</t>
        </is>
      </c>
      <c r="B15590" s="10" t="inlineStr">
        <is>
          <t>Uraian Komponen</t>
        </is>
      </c>
      <c r="C15590" s="10" t="inlineStr">
        <is>
          <t>Satuan</t>
        </is>
      </c>
      <c r="D15590" s="10" t="inlineStr">
        <is>
          <t>Koef</t>
        </is>
      </c>
      <c r="E15590" s="10" t="inlineStr">
        <is>
          <t>Harga Satuan (Rp)</t>
        </is>
      </c>
      <c r="F15590" s="10" t="inlineStr">
        <is>
          <t>Jumlah Harga (Rp)</t>
        </is>
      </c>
    </row>
    <row r="15591">
      <c r="A15591" s="3" t="inlineStr">
        <is>
          <t>1</t>
        </is>
      </c>
      <c r="B15591" s="3" t="inlineStr">
        <is>
          <t>Pekerja</t>
        </is>
      </c>
      <c r="C15591" s="3" t="inlineStr">
        <is>
          <t>OH</t>
        </is>
      </c>
      <c r="D15591" s="15" t="n">
        <v>0.945</v>
      </c>
      <c r="E15591" s="4" t="n">
        <v>100000</v>
      </c>
      <c r="F15591" s="4" t="n">
        <v>94500</v>
      </c>
    </row>
    <row r="15592">
      <c r="A15592" s="3" t="inlineStr">
        <is>
          <t>2</t>
        </is>
      </c>
      <c r="B15592" s="3" t="inlineStr">
        <is>
          <t>Tukang pipa</t>
        </is>
      </c>
      <c r="C15592" s="3" t="inlineStr">
        <is>
          <t>OH</t>
        </is>
      </c>
      <c r="D15592" s="15" t="n">
        <v>1.579</v>
      </c>
      <c r="E15592" s="4" t="n">
        <v>145000</v>
      </c>
      <c r="F15592" s="4" t="n">
        <v>228955</v>
      </c>
    </row>
    <row r="15593">
      <c r="A15593" s="3" t="inlineStr">
        <is>
          <t>3</t>
        </is>
      </c>
      <c r="B15593" s="3" t="inlineStr">
        <is>
          <t>Kepala tukang</t>
        </is>
      </c>
      <c r="C15593" s="3" t="inlineStr">
        <is>
          <t>OH</t>
        </is>
      </c>
      <c r="D15593" s="15" t="n">
        <v>0.158</v>
      </c>
      <c r="E15593" s="4" t="n">
        <v>175000</v>
      </c>
      <c r="F15593" s="4" t="n">
        <v>27650</v>
      </c>
    </row>
    <row r="15594">
      <c r="A15594" s="3" t="inlineStr">
        <is>
          <t>4</t>
        </is>
      </c>
      <c r="B15594" s="3" t="inlineStr">
        <is>
          <t>Mandor</t>
        </is>
      </c>
      <c r="C15594" s="3" t="inlineStr">
        <is>
          <t>OH</t>
        </is>
      </c>
      <c r="D15594" s="15" t="n">
        <v>0.047</v>
      </c>
      <c r="E15594" s="4" t="n">
        <v>200000</v>
      </c>
      <c r="F15594" s="4" t="n">
        <v>9400</v>
      </c>
    </row>
    <row r="15595">
      <c r="A15595" s="3" t="inlineStr">
        <is>
          <t>1</t>
        </is>
      </c>
      <c r="B15595" s="3" t="inlineStr">
        <is>
          <t>"Globe Velve dia. 6"""</t>
        </is>
      </c>
      <c r="C15595" s="3" t="inlineStr">
        <is>
          <t>unit</t>
        </is>
      </c>
      <c r="D15595" s="15" t="n">
        <v>1.3</v>
      </c>
      <c r="E15595" s="4" t="n">
        <v>4996000</v>
      </c>
      <c r="F15595" s="4" t="n">
        <v>6494800</v>
      </c>
    </row>
    <row r="15596">
      <c r="D15596" s="2" t="inlineStr">
        <is>
          <t>SUBTOTAL UPAH</t>
        </is>
      </c>
      <c r="F15596" s="16" t="n">
        <v>360505</v>
      </c>
    </row>
    <row r="15597">
      <c r="D15597" s="2" t="inlineStr">
        <is>
          <t>SUBTOTAL BAHAN</t>
        </is>
      </c>
      <c r="F15597" s="16" t="n">
        <v>6494800</v>
      </c>
    </row>
    <row r="15598">
      <c r="D15598" s="2" t="inlineStr">
        <is>
          <t>SUBTOTAL ALAT</t>
        </is>
      </c>
      <c r="F15598" s="16" t="n">
        <v>0</v>
      </c>
    </row>
    <row r="15599">
      <c r="E15599" s="2" t="inlineStr">
        <is>
          <t>TOTAL HARGA SATUAN (Inc. Overhead)</t>
        </is>
      </c>
      <c r="F15599" s="17" t="n">
        <v>7540835</v>
      </c>
    </row>
    <row r="15601">
      <c r="A15601" s="14" t="inlineStr">
        <is>
          <t>KODE: 6.5.9.12 - Pemasangan 1 buah Globe Velve, Dia. 8" (200 mm)</t>
        </is>
      </c>
    </row>
    <row r="15602">
      <c r="A15602" s="10" t="inlineStr">
        <is>
          <t>No</t>
        </is>
      </c>
      <c r="B15602" s="10" t="inlineStr">
        <is>
          <t>Uraian Komponen</t>
        </is>
      </c>
      <c r="C15602" s="10" t="inlineStr">
        <is>
          <t>Satuan</t>
        </is>
      </c>
      <c r="D15602" s="10" t="inlineStr">
        <is>
          <t>Koef</t>
        </is>
      </c>
      <c r="E15602" s="10" t="inlineStr">
        <is>
          <t>Harga Satuan (Rp)</t>
        </is>
      </c>
      <c r="F15602" s="10" t="inlineStr">
        <is>
          <t>Jumlah Harga (Rp)</t>
        </is>
      </c>
    </row>
    <row r="15603">
      <c r="A15603" s="3" t="inlineStr">
        <is>
          <t>1</t>
        </is>
      </c>
      <c r="B15603" s="3" t="inlineStr">
        <is>
          <t>Pekerja</t>
        </is>
      </c>
      <c r="C15603" s="3" t="inlineStr">
        <is>
          <t>OH</t>
        </is>
      </c>
      <c r="D15603" s="15" t="n">
        <v>1.26</v>
      </c>
      <c r="E15603" s="4" t="n">
        <v>100000</v>
      </c>
      <c r="F15603" s="4" t="n">
        <v>126000</v>
      </c>
    </row>
    <row r="15604">
      <c r="A15604" s="3" t="inlineStr">
        <is>
          <t>2</t>
        </is>
      </c>
      <c r="B15604" s="3" t="inlineStr">
        <is>
          <t>Tukang pipa</t>
        </is>
      </c>
      <c r="C15604" s="3" t="inlineStr">
        <is>
          <t>OH</t>
        </is>
      </c>
      <c r="D15604" s="15" t="n">
        <v>2.103</v>
      </c>
      <c r="E15604" s="4" t="n">
        <v>145000</v>
      </c>
      <c r="F15604" s="4" t="n">
        <v>304935.0000000001</v>
      </c>
    </row>
    <row r="15605">
      <c r="A15605" s="3" t="inlineStr">
        <is>
          <t>3</t>
        </is>
      </c>
      <c r="B15605" s="3" t="inlineStr">
        <is>
          <t>Kepala tukang</t>
        </is>
      </c>
      <c r="C15605" s="3" t="inlineStr">
        <is>
          <t>OH</t>
        </is>
      </c>
      <c r="D15605" s="15" t="n">
        <v>0.21</v>
      </c>
      <c r="E15605" s="4" t="n">
        <v>175000</v>
      </c>
      <c r="F15605" s="4" t="n">
        <v>36750</v>
      </c>
    </row>
    <row r="15606">
      <c r="A15606" s="3" t="inlineStr">
        <is>
          <t>4</t>
        </is>
      </c>
      <c r="B15606" s="3" t="inlineStr">
        <is>
          <t>Mandor</t>
        </is>
      </c>
      <c r="C15606" s="3" t="inlineStr">
        <is>
          <t>OH</t>
        </is>
      </c>
      <c r="D15606" s="15" t="n">
        <v>0.063</v>
      </c>
      <c r="E15606" s="4" t="n">
        <v>200000</v>
      </c>
      <c r="F15606" s="4" t="n">
        <v>12600</v>
      </c>
    </row>
    <row r="15607">
      <c r="A15607" s="3" t="inlineStr">
        <is>
          <t>1</t>
        </is>
      </c>
      <c r="B15607" s="3" t="inlineStr">
        <is>
          <t>"Globe Velve dia. 8"""</t>
        </is>
      </c>
      <c r="C15607" s="3" t="inlineStr">
        <is>
          <t>unit</t>
        </is>
      </c>
      <c r="D15607" s="15" t="n">
        <v>1.3</v>
      </c>
      <c r="E15607" s="4" t="n">
        <v>5740000</v>
      </c>
      <c r="F15607" s="4" t="n">
        <v>7462000</v>
      </c>
    </row>
    <row r="15608">
      <c r="D15608" s="2" t="inlineStr">
        <is>
          <t>SUBTOTAL UPAH</t>
        </is>
      </c>
      <c r="F15608" s="16" t="n">
        <v>480285.0000000001</v>
      </c>
    </row>
    <row r="15609">
      <c r="D15609" s="2" t="inlineStr">
        <is>
          <t>SUBTOTAL BAHAN</t>
        </is>
      </c>
      <c r="F15609" s="16" t="n">
        <v>7462000</v>
      </c>
    </row>
    <row r="15610">
      <c r="D15610" s="2" t="inlineStr">
        <is>
          <t>SUBTOTAL ALAT</t>
        </is>
      </c>
      <c r="F15610" s="16" t="n">
        <v>0</v>
      </c>
    </row>
    <row r="15611">
      <c r="E15611" s="2" t="inlineStr">
        <is>
          <t>TOTAL HARGA SATUAN (Inc. Overhead)</t>
        </is>
      </c>
      <c r="F15611" s="17" t="n">
        <v>8736513</v>
      </c>
    </row>
    <row r="15613">
      <c r="A15613" s="14" t="inlineStr">
        <is>
          <t>KODE: 6.5.10.1 - Pemasangan 1 buah Pressure Gauge (16,25, 40) K + Gate Velve, Dia. 1/2" (15 mm)</t>
        </is>
      </c>
    </row>
    <row r="15614">
      <c r="A15614" s="10" t="inlineStr">
        <is>
          <t>No</t>
        </is>
      </c>
      <c r="B15614" s="10" t="inlineStr">
        <is>
          <t>Uraian Komponen</t>
        </is>
      </c>
      <c r="C15614" s="10" t="inlineStr">
        <is>
          <t>Satuan</t>
        </is>
      </c>
      <c r="D15614" s="10" t="inlineStr">
        <is>
          <t>Koef</t>
        </is>
      </c>
      <c r="E15614" s="10" t="inlineStr">
        <is>
          <t>Harga Satuan (Rp)</t>
        </is>
      </c>
      <c r="F15614" s="10" t="inlineStr">
        <is>
          <t>Jumlah Harga (Rp)</t>
        </is>
      </c>
    </row>
    <row r="15615">
      <c r="A15615" s="3" t="inlineStr">
        <is>
          <t>1</t>
        </is>
      </c>
      <c r="B15615" s="3" t="inlineStr">
        <is>
          <t>Pekerja</t>
        </is>
      </c>
      <c r="C15615" s="3" t="inlineStr">
        <is>
          <t>OH</t>
        </is>
      </c>
      <c r="D15615" s="15" t="n">
        <v>0.052</v>
      </c>
      <c r="E15615" s="4" t="n">
        <v>100000</v>
      </c>
      <c r="F15615" s="4" t="n">
        <v>5200</v>
      </c>
    </row>
    <row r="15616">
      <c r="A15616" s="3" t="inlineStr">
        <is>
          <t>2</t>
        </is>
      </c>
      <c r="B15616" s="3" t="inlineStr">
        <is>
          <t>Tukang pipa</t>
        </is>
      </c>
      <c r="C15616" s="3" t="inlineStr">
        <is>
          <t>OH</t>
        </is>
      </c>
      <c r="D15616" s="15" t="n">
        <v>0.08699999999999999</v>
      </c>
      <c r="E15616" s="4" t="n">
        <v>145000</v>
      </c>
      <c r="F15616" s="4" t="n">
        <v>12615</v>
      </c>
    </row>
    <row r="15617">
      <c r="A15617" s="3" t="inlineStr">
        <is>
          <t>3</t>
        </is>
      </c>
      <c r="B15617" s="3" t="inlineStr">
        <is>
          <t>Kepala tukang</t>
        </is>
      </c>
      <c r="C15617" s="3" t="inlineStr">
        <is>
          <t>OH</t>
        </is>
      </c>
      <c r="D15617" s="15" t="n">
        <v>0.008999999999999999</v>
      </c>
      <c r="E15617" s="4" t="n">
        <v>175000</v>
      </c>
      <c r="F15617" s="4" t="n">
        <v>1575</v>
      </c>
    </row>
    <row r="15618">
      <c r="A15618" s="3" t="inlineStr">
        <is>
          <t>4</t>
        </is>
      </c>
      <c r="B15618" s="3" t="inlineStr">
        <is>
          <t>Mandor</t>
        </is>
      </c>
      <c r="C15618" s="3" t="inlineStr">
        <is>
          <t>OH</t>
        </is>
      </c>
      <c r="D15618" s="15" t="n">
        <v>0.003</v>
      </c>
      <c r="E15618" s="4" t="n">
        <v>200000</v>
      </c>
      <c r="F15618" s="4" t="n">
        <v>600</v>
      </c>
    </row>
    <row r="15619">
      <c r="A15619" s="3" t="inlineStr">
        <is>
          <t>1</t>
        </is>
      </c>
      <c r="B15619" s="3" t="inlineStr">
        <is>
          <t>"Pressure Gauge Dia. 1/2"""</t>
        </is>
      </c>
      <c r="C15619" s="3" t="inlineStr">
        <is>
          <t>Unit</t>
        </is>
      </c>
      <c r="D15619" s="15" t="n">
        <v>1.15</v>
      </c>
      <c r="E15619" s="4" t="n">
        <v>58000</v>
      </c>
      <c r="F15619" s="4" t="n">
        <v>66700</v>
      </c>
    </row>
    <row r="15620">
      <c r="A15620" s="3" t="inlineStr">
        <is>
          <t>2</t>
        </is>
      </c>
      <c r="B15620" s="3" t="inlineStr">
        <is>
          <t>"Gate Valve dia. 1/2"""</t>
        </is>
      </c>
      <c r="C15620" s="3" t="inlineStr">
        <is>
          <t>unit</t>
        </is>
      </c>
      <c r="D15620" s="15" t="n">
        <v>1</v>
      </c>
      <c r="E15620" s="4" t="n">
        <v>1500000</v>
      </c>
      <c r="F15620" s="4" t="n">
        <v>1500000</v>
      </c>
    </row>
    <row r="15621">
      <c r="D15621" s="2" t="inlineStr">
        <is>
          <t>SUBTOTAL UPAH</t>
        </is>
      </c>
      <c r="F15621" s="16" t="n">
        <v>19990</v>
      </c>
    </row>
    <row r="15622">
      <c r="D15622" s="2" t="inlineStr">
        <is>
          <t>SUBTOTAL BAHAN</t>
        </is>
      </c>
      <c r="F15622" s="16" t="n">
        <v>1566700</v>
      </c>
    </row>
    <row r="15623">
      <c r="D15623" s="2" t="inlineStr">
        <is>
          <t>SUBTOTAL ALAT</t>
        </is>
      </c>
      <c r="F15623" s="16" t="n">
        <v>0</v>
      </c>
    </row>
    <row r="15624">
      <c r="E15624" s="2" t="inlineStr">
        <is>
          <t>TOTAL HARGA SATUAN (Inc. Overhead)</t>
        </is>
      </c>
      <c r="F15624" s="17" t="n">
        <v>1745359</v>
      </c>
    </row>
    <row r="15626">
      <c r="A15626" s="14" t="inlineStr">
        <is>
          <t>KODE: 6.5.10.2 - Pemasangan 1 buah Pressure Gauge (16, 25, 40) K + Gate Valve, Dia 1" ( 25 mm)</t>
        </is>
      </c>
    </row>
    <row r="15627">
      <c r="A15627" s="10" t="inlineStr">
        <is>
          <t>No</t>
        </is>
      </c>
      <c r="B15627" s="10" t="inlineStr">
        <is>
          <t>Uraian Komponen</t>
        </is>
      </c>
      <c r="C15627" s="10" t="inlineStr">
        <is>
          <t>Satuan</t>
        </is>
      </c>
      <c r="D15627" s="10" t="inlineStr">
        <is>
          <t>Koef</t>
        </is>
      </c>
      <c r="E15627" s="10" t="inlineStr">
        <is>
          <t>Harga Satuan (Rp)</t>
        </is>
      </c>
      <c r="F15627" s="10" t="inlineStr">
        <is>
          <t>Jumlah Harga (Rp)</t>
        </is>
      </c>
    </row>
    <row r="15628">
      <c r="A15628" s="3" t="inlineStr">
        <is>
          <t>1</t>
        </is>
      </c>
      <c r="B15628" s="3" t="inlineStr">
        <is>
          <t>Pekerja</t>
        </is>
      </c>
      <c r="C15628" s="3" t="inlineStr">
        <is>
          <t>OH</t>
        </is>
      </c>
      <c r="D15628" s="15" t="n">
        <v>0.105</v>
      </c>
      <c r="E15628" s="4" t="n">
        <v>100000</v>
      </c>
      <c r="F15628" s="4" t="n">
        <v>10500</v>
      </c>
    </row>
    <row r="15629">
      <c r="A15629" s="3" t="inlineStr">
        <is>
          <t>2</t>
        </is>
      </c>
      <c r="B15629" s="3" t="inlineStr">
        <is>
          <t>Tukang pipa</t>
        </is>
      </c>
      <c r="C15629" s="3" t="inlineStr">
        <is>
          <t>OH</t>
        </is>
      </c>
      <c r="D15629" s="15" t="n">
        <v>0.175</v>
      </c>
      <c r="E15629" s="4" t="n">
        <v>145000</v>
      </c>
      <c r="F15629" s="4" t="n">
        <v>25375</v>
      </c>
    </row>
    <row r="15630">
      <c r="A15630" s="3" t="inlineStr">
        <is>
          <t>3</t>
        </is>
      </c>
      <c r="B15630" s="3" t="inlineStr">
        <is>
          <t>Kepala tukang</t>
        </is>
      </c>
      <c r="C15630" s="3" t="inlineStr">
        <is>
          <t>OH</t>
        </is>
      </c>
      <c r="D15630" s="15" t="n">
        <v>0.017</v>
      </c>
      <c r="E15630" s="4" t="n">
        <v>175000</v>
      </c>
      <c r="F15630" s="4" t="n">
        <v>2975</v>
      </c>
    </row>
    <row r="15631">
      <c r="A15631" s="3" t="inlineStr">
        <is>
          <t>4</t>
        </is>
      </c>
      <c r="B15631" s="3" t="inlineStr">
        <is>
          <t>Mandor</t>
        </is>
      </c>
      <c r="C15631" s="3" t="inlineStr">
        <is>
          <t>OH</t>
        </is>
      </c>
      <c r="D15631" s="15" t="n">
        <v>0.005</v>
      </c>
      <c r="E15631" s="4" t="n">
        <v>200000</v>
      </c>
      <c r="F15631" s="4" t="n">
        <v>1000</v>
      </c>
    </row>
    <row r="15632">
      <c r="A15632" s="3" t="inlineStr">
        <is>
          <t>1</t>
        </is>
      </c>
      <c r="B15632" s="3" t="inlineStr">
        <is>
          <t>"Pressure Gauge dia. 1"""</t>
        </is>
      </c>
      <c r="C15632" s="3" t="inlineStr">
        <is>
          <t>unit</t>
        </is>
      </c>
      <c r="D15632" s="15" t="n">
        <v>1.15</v>
      </c>
      <c r="E15632" s="4" t="n">
        <v>79800</v>
      </c>
      <c r="F15632" s="4" t="n">
        <v>91770</v>
      </c>
    </row>
    <row r="15633">
      <c r="A15633" s="3" t="inlineStr">
        <is>
          <t>2</t>
        </is>
      </c>
      <c r="B15633" s="3" t="inlineStr">
        <is>
          <t>"Gate Valve dia. 1"""</t>
        </is>
      </c>
      <c r="C15633" s="3" t="inlineStr">
        <is>
          <t>unit</t>
        </is>
      </c>
      <c r="D15633" s="15" t="n">
        <v>1</v>
      </c>
      <c r="E15633" s="4" t="n">
        <v>1900000</v>
      </c>
      <c r="F15633" s="4" t="n">
        <v>1900000</v>
      </c>
    </row>
    <row r="15634">
      <c r="D15634" s="2" t="inlineStr">
        <is>
          <t>SUBTOTAL UPAH</t>
        </is>
      </c>
      <c r="F15634" s="16" t="n">
        <v>39850</v>
      </c>
    </row>
    <row r="15635">
      <c r="D15635" s="2" t="inlineStr">
        <is>
          <t>SUBTOTAL BAHAN</t>
        </is>
      </c>
      <c r="F15635" s="16" t="n">
        <v>1991770</v>
      </c>
    </row>
    <row r="15636">
      <c r="D15636" s="2" t="inlineStr">
        <is>
          <t>SUBTOTAL ALAT</t>
        </is>
      </c>
      <c r="F15636" s="16" t="n">
        <v>0</v>
      </c>
    </row>
    <row r="15637">
      <c r="E15637" s="2" t="inlineStr">
        <is>
          <t>TOTAL HARGA SATUAN (Inc. Overhead)</t>
        </is>
      </c>
      <c r="F15637" s="17" t="n">
        <v>2234782</v>
      </c>
    </row>
    <row r="15639">
      <c r="A15639" s="14" t="inlineStr">
        <is>
          <t>KODE: 6.5.10.3 - Pemasangan 1 buah Pressure Gauge (16, 25) K + Gate Valve, Dia. 2 " (50 mm)</t>
        </is>
      </c>
    </row>
    <row r="15640">
      <c r="A15640" s="10" t="inlineStr">
        <is>
          <t>No</t>
        </is>
      </c>
      <c r="B15640" s="10" t="inlineStr">
        <is>
          <t>Uraian Komponen</t>
        </is>
      </c>
      <c r="C15640" s="10" t="inlineStr">
        <is>
          <t>Satuan</t>
        </is>
      </c>
      <c r="D15640" s="10" t="inlineStr">
        <is>
          <t>Koef</t>
        </is>
      </c>
      <c r="E15640" s="10" t="inlineStr">
        <is>
          <t>Harga Satuan (Rp)</t>
        </is>
      </c>
      <c r="F15640" s="10" t="inlineStr">
        <is>
          <t>Jumlah Harga (Rp)</t>
        </is>
      </c>
    </row>
    <row r="15641">
      <c r="A15641" s="3" t="inlineStr">
        <is>
          <t>1</t>
        </is>
      </c>
      <c r="B15641" s="3" t="inlineStr">
        <is>
          <t>Pekerja</t>
        </is>
      </c>
      <c r="C15641" s="3" t="inlineStr">
        <is>
          <t>OH</t>
        </is>
      </c>
      <c r="D15641" s="15" t="n">
        <v>0.207</v>
      </c>
      <c r="E15641" s="4" t="n">
        <v>100000</v>
      </c>
      <c r="F15641" s="4" t="n">
        <v>20700</v>
      </c>
    </row>
    <row r="15642">
      <c r="A15642" s="3" t="inlineStr">
        <is>
          <t>2</t>
        </is>
      </c>
      <c r="B15642" s="3" t="inlineStr">
        <is>
          <t>Tukang pipa</t>
        </is>
      </c>
      <c r="C15642" s="3" t="inlineStr">
        <is>
          <t>OH</t>
        </is>
      </c>
      <c r="D15642" s="15" t="n">
        <v>0.346</v>
      </c>
      <c r="E15642" s="4" t="n">
        <v>145000</v>
      </c>
      <c r="F15642" s="4" t="n">
        <v>50169.99999999999</v>
      </c>
    </row>
    <row r="15643">
      <c r="A15643" s="3" t="inlineStr">
        <is>
          <t>3</t>
        </is>
      </c>
      <c r="B15643" s="3" t="inlineStr">
        <is>
          <t>Kepala tukang</t>
        </is>
      </c>
      <c r="C15643" s="3" t="inlineStr">
        <is>
          <t>OH</t>
        </is>
      </c>
      <c r="D15643" s="15" t="n">
        <v>0.035</v>
      </c>
      <c r="E15643" s="4" t="n">
        <v>175000</v>
      </c>
      <c r="F15643" s="4" t="n">
        <v>6125.000000000001</v>
      </c>
    </row>
    <row r="15644">
      <c r="A15644" s="3" t="inlineStr">
        <is>
          <t>4</t>
        </is>
      </c>
      <c r="B15644" s="3" t="inlineStr">
        <is>
          <t>Mandor</t>
        </is>
      </c>
      <c r="C15644" s="3" t="inlineStr">
        <is>
          <t>OH</t>
        </is>
      </c>
      <c r="D15644" s="15" t="n">
        <v>0.01</v>
      </c>
      <c r="E15644" s="4" t="n">
        <v>200000</v>
      </c>
      <c r="F15644" s="4" t="n">
        <v>2000</v>
      </c>
    </row>
    <row r="15645">
      <c r="A15645" s="3" t="inlineStr">
        <is>
          <t>1</t>
        </is>
      </c>
      <c r="B15645" s="3" t="inlineStr">
        <is>
          <t>"Pressure Gauge dia. 2"""</t>
        </is>
      </c>
      <c r="C15645" s="3" t="inlineStr">
        <is>
          <t>unit</t>
        </is>
      </c>
      <c r="D15645" s="15" t="n">
        <v>1.15</v>
      </c>
      <c r="E15645" s="4" t="n">
        <v>123000</v>
      </c>
      <c r="F15645" s="4" t="n">
        <v>141450</v>
      </c>
    </row>
    <row r="15646">
      <c r="A15646" s="3" t="inlineStr">
        <is>
          <t>2</t>
        </is>
      </c>
      <c r="B15646" s="3" t="inlineStr">
        <is>
          <t>"Gate Valve dia.2"""</t>
        </is>
      </c>
      <c r="C15646" s="3" t="inlineStr">
        <is>
          <t>unit</t>
        </is>
      </c>
      <c r="D15646" s="15" t="n">
        <v>1</v>
      </c>
      <c r="E15646" s="4" t="n">
        <v>2315000</v>
      </c>
      <c r="F15646" s="4" t="n">
        <v>2315000</v>
      </c>
    </row>
    <row r="15647">
      <c r="D15647" s="2" t="inlineStr">
        <is>
          <t>SUBTOTAL UPAH</t>
        </is>
      </c>
      <c r="F15647" s="16" t="n">
        <v>78995</v>
      </c>
    </row>
    <row r="15648">
      <c r="D15648" s="2" t="inlineStr">
        <is>
          <t>SUBTOTAL BAHAN</t>
        </is>
      </c>
      <c r="F15648" s="16" t="n">
        <v>2456450</v>
      </c>
    </row>
    <row r="15649">
      <c r="D15649" s="2" t="inlineStr">
        <is>
          <t>SUBTOTAL ALAT</t>
        </is>
      </c>
      <c r="F15649" s="16" t="n">
        <v>0</v>
      </c>
    </row>
    <row r="15650">
      <c r="E15650" s="2" t="inlineStr">
        <is>
          <t>TOTAL HARGA SATUAN (Inc. Overhead)</t>
        </is>
      </c>
      <c r="F15650" s="17" t="n">
        <v>2788989</v>
      </c>
    </row>
    <row r="15652">
      <c r="A15652" s="14" t="inlineStr">
        <is>
          <t>KODE: 6.5.10.4 - Pemasangan 1 buah Pressure Gauge + Gate Valve, Dia. 3 " (80 mm)</t>
        </is>
      </c>
    </row>
    <row r="15653">
      <c r="A15653" s="10" t="inlineStr">
        <is>
          <t>No</t>
        </is>
      </c>
      <c r="B15653" s="10" t="inlineStr">
        <is>
          <t>Uraian Komponen</t>
        </is>
      </c>
      <c r="C15653" s="10" t="inlineStr">
        <is>
          <t>Satuan</t>
        </is>
      </c>
      <c r="D15653" s="10" t="inlineStr">
        <is>
          <t>Koef</t>
        </is>
      </c>
      <c r="E15653" s="10" t="inlineStr">
        <is>
          <t>Harga Satuan (Rp)</t>
        </is>
      </c>
      <c r="F15653" s="10" t="inlineStr">
        <is>
          <t>Jumlah Harga (Rp)</t>
        </is>
      </c>
    </row>
    <row r="15654">
      <c r="A15654" s="3" t="inlineStr">
        <is>
          <t>1</t>
        </is>
      </c>
      <c r="B15654" s="3" t="inlineStr">
        <is>
          <t>Pekerja</t>
        </is>
      </c>
      <c r="C15654" s="3" t="inlineStr">
        <is>
          <t>OH</t>
        </is>
      </c>
      <c r="D15654" s="15" t="n">
        <v>0.471</v>
      </c>
      <c r="E15654" s="4" t="n">
        <v>100000</v>
      </c>
      <c r="F15654" s="4" t="n">
        <v>47100</v>
      </c>
    </row>
    <row r="15655">
      <c r="A15655" s="3" t="inlineStr">
        <is>
          <t>2</t>
        </is>
      </c>
      <c r="B15655" s="3" t="inlineStr">
        <is>
          <t>Tukang pipa</t>
        </is>
      </c>
      <c r="C15655" s="3" t="inlineStr">
        <is>
          <t>OH</t>
        </is>
      </c>
      <c r="D15655" s="15" t="n">
        <v>0.787</v>
      </c>
      <c r="E15655" s="4" t="n">
        <v>145000</v>
      </c>
      <c r="F15655" s="4" t="n">
        <v>114115</v>
      </c>
    </row>
    <row r="15656">
      <c r="A15656" s="3" t="inlineStr">
        <is>
          <t>3</t>
        </is>
      </c>
      <c r="B15656" s="3" t="inlineStr">
        <is>
          <t>Kepala tukang</t>
        </is>
      </c>
      <c r="C15656" s="3" t="inlineStr">
        <is>
          <t>OH</t>
        </is>
      </c>
      <c r="D15656" s="15" t="n">
        <v>0.079</v>
      </c>
      <c r="E15656" s="4" t="n">
        <v>175000</v>
      </c>
      <c r="F15656" s="4" t="n">
        <v>13825</v>
      </c>
    </row>
    <row r="15657">
      <c r="A15657" s="3" t="inlineStr">
        <is>
          <t>4</t>
        </is>
      </c>
      <c r="B15657" s="3" t="inlineStr">
        <is>
          <t>Mandor</t>
        </is>
      </c>
      <c r="C15657" s="3" t="inlineStr">
        <is>
          <t>OH</t>
        </is>
      </c>
      <c r="D15657" s="15" t="n">
        <v>0.024</v>
      </c>
      <c r="E15657" s="4" t="n">
        <v>200000</v>
      </c>
      <c r="F15657" s="4" t="n">
        <v>4800</v>
      </c>
    </row>
    <row r="15658">
      <c r="A15658" s="3" t="inlineStr">
        <is>
          <t>1</t>
        </is>
      </c>
      <c r="B15658" s="3" t="inlineStr">
        <is>
          <t>"Pressure Gauge dia. 3"""</t>
        </is>
      </c>
      <c r="C15658" s="3" t="inlineStr">
        <is>
          <t>unit</t>
        </is>
      </c>
      <c r="D15658" s="15" t="n">
        <v>1.3</v>
      </c>
      <c r="E15658" s="4" t="n">
        <v>165400</v>
      </c>
      <c r="F15658" s="4" t="n">
        <v>215020</v>
      </c>
    </row>
    <row r="15659">
      <c r="A15659" s="3" t="inlineStr">
        <is>
          <t>2</t>
        </is>
      </c>
      <c r="B15659" s="3" t="inlineStr">
        <is>
          <t>"Gate Valve dia.3"""</t>
        </is>
      </c>
      <c r="C15659" s="3" t="inlineStr">
        <is>
          <t>unit</t>
        </is>
      </c>
      <c r="D15659" s="15" t="n">
        <v>1</v>
      </c>
      <c r="E15659" s="4" t="n">
        <v>2750000</v>
      </c>
      <c r="F15659" s="4" t="n">
        <v>2750000</v>
      </c>
    </row>
    <row r="15660">
      <c r="D15660" s="2" t="inlineStr">
        <is>
          <t>SUBTOTAL UPAH</t>
        </is>
      </c>
      <c r="F15660" s="16" t="n">
        <v>179840</v>
      </c>
    </row>
    <row r="15661">
      <c r="D15661" s="2" t="inlineStr">
        <is>
          <t>SUBTOTAL BAHAN</t>
        </is>
      </c>
      <c r="F15661" s="16" t="n">
        <v>2965020</v>
      </c>
    </row>
    <row r="15662">
      <c r="D15662" s="2" t="inlineStr">
        <is>
          <t>SUBTOTAL ALAT</t>
        </is>
      </c>
      <c r="F15662" s="16" t="n">
        <v>0</v>
      </c>
    </row>
    <row r="15663">
      <c r="E15663" s="2" t="inlineStr">
        <is>
          <t>TOTAL HARGA SATUAN (Inc. Overhead)</t>
        </is>
      </c>
      <c r="F15663" s="17" t="n">
        <v>3459346</v>
      </c>
    </row>
    <row r="15665">
      <c r="A15665" s="14" t="inlineStr">
        <is>
          <t>KODE: 6.5.10.5 - Pemasangan 1 buah Pressure Gauge 16 K + Gate Vave, Dia. 4" (100 mm)</t>
        </is>
      </c>
    </row>
    <row r="15666">
      <c r="A15666" s="10" t="inlineStr">
        <is>
          <t>No</t>
        </is>
      </c>
      <c r="B15666" s="10" t="inlineStr">
        <is>
          <t>Uraian Komponen</t>
        </is>
      </c>
      <c r="C15666" s="10" t="inlineStr">
        <is>
          <t>Satuan</t>
        </is>
      </c>
      <c r="D15666" s="10" t="inlineStr">
        <is>
          <t>Koef</t>
        </is>
      </c>
      <c r="E15666" s="10" t="inlineStr">
        <is>
          <t>Harga Satuan (Rp)</t>
        </is>
      </c>
      <c r="F15666" s="10" t="inlineStr">
        <is>
          <t>Jumlah Harga (Rp)</t>
        </is>
      </c>
    </row>
    <row r="15667">
      <c r="A15667" s="3" t="inlineStr">
        <is>
          <t>1</t>
        </is>
      </c>
      <c r="B15667" s="3" t="inlineStr">
        <is>
          <t>Pekerja</t>
        </is>
      </c>
      <c r="C15667" s="3" t="inlineStr">
        <is>
          <t>OH</t>
        </is>
      </c>
      <c r="D15667" s="15" t="n">
        <v>0.631</v>
      </c>
      <c r="E15667" s="4" t="n">
        <v>100000</v>
      </c>
      <c r="F15667" s="4" t="n">
        <v>63100</v>
      </c>
    </row>
    <row r="15668">
      <c r="A15668" s="3" t="inlineStr">
        <is>
          <t>2</t>
        </is>
      </c>
      <c r="B15668" s="3" t="inlineStr">
        <is>
          <t>Tukang pipa</t>
        </is>
      </c>
      <c r="C15668" s="3" t="inlineStr">
        <is>
          <t>OH</t>
        </is>
      </c>
      <c r="D15668" s="15" t="n">
        <v>1.054</v>
      </c>
      <c r="E15668" s="4" t="n">
        <v>145000</v>
      </c>
      <c r="F15668" s="4" t="n">
        <v>152830</v>
      </c>
    </row>
    <row r="15669">
      <c r="A15669" s="3" t="inlineStr">
        <is>
          <t>3</t>
        </is>
      </c>
      <c r="B15669" s="3" t="inlineStr">
        <is>
          <t>Kepala tukang</t>
        </is>
      </c>
      <c r="C15669" s="3" t="inlineStr">
        <is>
          <t>OH</t>
        </is>
      </c>
      <c r="D15669" s="15" t="n">
        <v>0.105</v>
      </c>
      <c r="E15669" s="4" t="n">
        <v>175000</v>
      </c>
      <c r="F15669" s="4" t="n">
        <v>18375</v>
      </c>
    </row>
    <row r="15670">
      <c r="A15670" s="3" t="inlineStr">
        <is>
          <t>4</t>
        </is>
      </c>
      <c r="B15670" s="3" t="inlineStr">
        <is>
          <t>Mandor</t>
        </is>
      </c>
      <c r="C15670" s="3" t="inlineStr">
        <is>
          <t>OH</t>
        </is>
      </c>
      <c r="D15670" s="15" t="n">
        <v>0.032</v>
      </c>
      <c r="E15670" s="4" t="n">
        <v>200000</v>
      </c>
      <c r="F15670" s="4" t="n">
        <v>6400</v>
      </c>
    </row>
    <row r="15671">
      <c r="A15671" s="3" t="inlineStr">
        <is>
          <t>1</t>
        </is>
      </c>
      <c r="B15671" s="3" t="inlineStr">
        <is>
          <t>"Pressure Gauge dia. 4"""</t>
        </is>
      </c>
      <c r="C15671" s="3" t="inlineStr">
        <is>
          <t>unit</t>
        </is>
      </c>
      <c r="D15671" s="15" t="n">
        <v>1.3</v>
      </c>
      <c r="E15671" s="4" t="n">
        <v>218500</v>
      </c>
      <c r="F15671" s="4" t="n">
        <v>284050</v>
      </c>
    </row>
    <row r="15672">
      <c r="A15672" s="3" t="inlineStr">
        <is>
          <t>2</t>
        </is>
      </c>
      <c r="B15672" s="3" t="inlineStr">
        <is>
          <t>"Gate Valve dia.4"""</t>
        </is>
      </c>
      <c r="C15672" s="3" t="inlineStr">
        <is>
          <t>unit</t>
        </is>
      </c>
      <c r="D15672" s="15" t="n">
        <v>1</v>
      </c>
      <c r="E15672" s="4" t="n">
        <v>2995000</v>
      </c>
      <c r="F15672" s="4" t="n">
        <v>2995000</v>
      </c>
    </row>
    <row r="15673">
      <c r="D15673" s="2" t="inlineStr">
        <is>
          <t>SUBTOTAL UPAH</t>
        </is>
      </c>
      <c r="F15673" s="16" t="n">
        <v>240705</v>
      </c>
    </row>
    <row r="15674">
      <c r="D15674" s="2" t="inlineStr">
        <is>
          <t>SUBTOTAL BAHAN</t>
        </is>
      </c>
      <c r="F15674" s="16" t="n">
        <v>3279050</v>
      </c>
    </row>
    <row r="15675">
      <c r="D15675" s="2" t="inlineStr">
        <is>
          <t>SUBTOTAL ALAT</t>
        </is>
      </c>
      <c r="F15675" s="16" t="n">
        <v>0</v>
      </c>
    </row>
    <row r="15676">
      <c r="E15676" s="2" t="inlineStr">
        <is>
          <t>TOTAL HARGA SATUAN (Inc. Overhead)</t>
        </is>
      </c>
      <c r="F15676" s="17" t="n">
        <v>3871730</v>
      </c>
    </row>
    <row r="15678">
      <c r="A15678" s="14" t="inlineStr">
        <is>
          <t>KODE: 6.5.10.9 - Pemasangan 1 buah Pressure Gauge 25 K +Gate Valve, Dia. 4" (100 mm)</t>
        </is>
      </c>
    </row>
    <row r="15679">
      <c r="A15679" s="10" t="inlineStr">
        <is>
          <t>No</t>
        </is>
      </c>
      <c r="B15679" s="10" t="inlineStr">
        <is>
          <t>Uraian Komponen</t>
        </is>
      </c>
      <c r="C15679" s="10" t="inlineStr">
        <is>
          <t>Satuan</t>
        </is>
      </c>
      <c r="D15679" s="10" t="inlineStr">
        <is>
          <t>Koef</t>
        </is>
      </c>
      <c r="E15679" s="10" t="inlineStr">
        <is>
          <t>Harga Satuan (Rp)</t>
        </is>
      </c>
      <c r="F15679" s="10" t="inlineStr">
        <is>
          <t>Jumlah Harga (Rp)</t>
        </is>
      </c>
    </row>
    <row r="15680">
      <c r="A15680" s="3" t="inlineStr">
        <is>
          <t>1</t>
        </is>
      </c>
      <c r="B15680" s="3" t="inlineStr">
        <is>
          <t>Pekerja</t>
        </is>
      </c>
      <c r="C15680" s="3" t="inlineStr">
        <is>
          <t>OH</t>
        </is>
      </c>
      <c r="D15680" s="15" t="n">
        <v>0.471</v>
      </c>
      <c r="E15680" s="4" t="n">
        <v>100000</v>
      </c>
      <c r="F15680" s="4" t="n">
        <v>47100</v>
      </c>
    </row>
    <row r="15681">
      <c r="A15681" s="3" t="inlineStr">
        <is>
          <t>2</t>
        </is>
      </c>
      <c r="B15681" s="3" t="inlineStr">
        <is>
          <t>Tukang pipa</t>
        </is>
      </c>
      <c r="C15681" s="3" t="inlineStr">
        <is>
          <t>OH</t>
        </is>
      </c>
      <c r="D15681" s="15" t="n">
        <v>0.787</v>
      </c>
      <c r="E15681" s="4" t="n">
        <v>145000</v>
      </c>
      <c r="F15681" s="4" t="n">
        <v>114115</v>
      </c>
    </row>
    <row r="15682">
      <c r="A15682" s="3" t="inlineStr">
        <is>
          <t>3</t>
        </is>
      </c>
      <c r="B15682" s="3" t="inlineStr">
        <is>
          <t>Kepala tukang</t>
        </is>
      </c>
      <c r="C15682" s="3" t="inlineStr">
        <is>
          <t>OH</t>
        </is>
      </c>
      <c r="D15682" s="15" t="n">
        <v>0.079</v>
      </c>
      <c r="E15682" s="4" t="n">
        <v>175000</v>
      </c>
      <c r="F15682" s="4" t="n">
        <v>13825</v>
      </c>
    </row>
    <row r="15683">
      <c r="A15683" s="3" t="inlineStr">
        <is>
          <t>4</t>
        </is>
      </c>
      <c r="B15683" s="3" t="inlineStr">
        <is>
          <t>Mandor</t>
        </is>
      </c>
      <c r="C15683" s="3" t="inlineStr">
        <is>
          <t>OH</t>
        </is>
      </c>
      <c r="D15683" s="15" t="n">
        <v>0.024</v>
      </c>
      <c r="E15683" s="4" t="n">
        <v>200000</v>
      </c>
      <c r="F15683" s="4" t="n">
        <v>4800</v>
      </c>
    </row>
    <row r="15684">
      <c r="A15684" s="3" t="inlineStr">
        <is>
          <t>1</t>
        </is>
      </c>
      <c r="B15684" s="3" t="inlineStr">
        <is>
          <t>"Pressure Gauge dia. 4"""</t>
        </is>
      </c>
      <c r="C15684" s="3" t="inlineStr">
        <is>
          <t>unit</t>
        </is>
      </c>
      <c r="D15684" s="15" t="n">
        <v>1.3</v>
      </c>
      <c r="E15684" s="4" t="n">
        <v>218500</v>
      </c>
      <c r="F15684" s="4" t="n">
        <v>284050</v>
      </c>
    </row>
    <row r="15685">
      <c r="A15685" s="3" t="inlineStr">
        <is>
          <t>2</t>
        </is>
      </c>
      <c r="B15685" s="3" t="inlineStr">
        <is>
          <t>"Gate Valve dia.4"""</t>
        </is>
      </c>
      <c r="C15685" s="3" t="inlineStr">
        <is>
          <t>unit</t>
        </is>
      </c>
      <c r="D15685" s="15" t="n">
        <v>1</v>
      </c>
      <c r="E15685" s="4" t="n">
        <v>2995000</v>
      </c>
      <c r="F15685" s="4" t="n">
        <v>2995000</v>
      </c>
    </row>
    <row r="15686">
      <c r="D15686" s="2" t="inlineStr">
        <is>
          <t>SUBTOTAL UPAH</t>
        </is>
      </c>
      <c r="F15686" s="16" t="n">
        <v>179840</v>
      </c>
    </row>
    <row r="15687">
      <c r="D15687" s="2" t="inlineStr">
        <is>
          <t>SUBTOTAL BAHAN</t>
        </is>
      </c>
      <c r="F15687" s="16" t="n">
        <v>3279050</v>
      </c>
    </row>
    <row r="15688">
      <c r="D15688" s="2" t="inlineStr">
        <is>
          <t>SUBTOTAL ALAT</t>
        </is>
      </c>
      <c r="F15688" s="16" t="n">
        <v>0</v>
      </c>
    </row>
    <row r="15689">
      <c r="E15689" s="2" t="inlineStr">
        <is>
          <t>TOTAL HARGA SATUAN (Inc. Overhead)</t>
        </is>
      </c>
      <c r="F15689" s="17" t="n">
        <v>3804779</v>
      </c>
    </row>
    <row r="15691">
      <c r="A15691" s="14" t="inlineStr">
        <is>
          <t>KODE: 6.5.10.10 - Pemasangan 1 buah Pressure Gauge 25 K + Gate Valve, Dia. 3" (80 mm)</t>
        </is>
      </c>
    </row>
    <row r="15692">
      <c r="A15692" s="10" t="inlineStr">
        <is>
          <t>No</t>
        </is>
      </c>
      <c r="B15692" s="10" t="inlineStr">
        <is>
          <t>Uraian Komponen</t>
        </is>
      </c>
      <c r="C15692" s="10" t="inlineStr">
        <is>
          <t>Satuan</t>
        </is>
      </c>
      <c r="D15692" s="10" t="inlineStr">
        <is>
          <t>Koef</t>
        </is>
      </c>
      <c r="E15692" s="10" t="inlineStr">
        <is>
          <t>Harga Satuan (Rp)</t>
        </is>
      </c>
      <c r="F15692" s="10" t="inlineStr">
        <is>
          <t>Jumlah Harga (Rp)</t>
        </is>
      </c>
    </row>
    <row r="15693">
      <c r="A15693" s="3" t="inlineStr">
        <is>
          <t>1</t>
        </is>
      </c>
      <c r="B15693" s="3" t="inlineStr">
        <is>
          <t>Pekerja</t>
        </is>
      </c>
      <c r="C15693" s="3" t="inlineStr">
        <is>
          <t>OH</t>
        </is>
      </c>
      <c r="D15693" s="15" t="n">
        <v>0.631</v>
      </c>
      <c r="E15693" s="4" t="n">
        <v>100000</v>
      </c>
      <c r="F15693" s="4" t="n">
        <v>63100</v>
      </c>
    </row>
    <row r="15694">
      <c r="A15694" s="3" t="inlineStr">
        <is>
          <t>2</t>
        </is>
      </c>
      <c r="B15694" s="3" t="inlineStr">
        <is>
          <t>Tukang pipa</t>
        </is>
      </c>
      <c r="C15694" s="3" t="inlineStr">
        <is>
          <t>OH</t>
        </is>
      </c>
      <c r="D15694" s="15" t="n">
        <v>1.054</v>
      </c>
      <c r="E15694" s="4" t="n">
        <v>145000</v>
      </c>
      <c r="F15694" s="4" t="n">
        <v>152830</v>
      </c>
    </row>
    <row r="15695">
      <c r="A15695" s="3" t="inlineStr">
        <is>
          <t>3</t>
        </is>
      </c>
      <c r="B15695" s="3" t="inlineStr">
        <is>
          <t>Kepala tukang</t>
        </is>
      </c>
      <c r="C15695" s="3" t="inlineStr">
        <is>
          <t>OH</t>
        </is>
      </c>
      <c r="D15695" s="15" t="n">
        <v>0.105</v>
      </c>
      <c r="E15695" s="4" t="n">
        <v>175000</v>
      </c>
      <c r="F15695" s="4" t="n">
        <v>18375</v>
      </c>
    </row>
    <row r="15696">
      <c r="A15696" s="3" t="inlineStr">
        <is>
          <t>4</t>
        </is>
      </c>
      <c r="B15696" s="3" t="inlineStr">
        <is>
          <t>Mandor</t>
        </is>
      </c>
      <c r="C15696" s="3" t="inlineStr">
        <is>
          <t>OH</t>
        </is>
      </c>
      <c r="D15696" s="15" t="n">
        <v>0.032</v>
      </c>
      <c r="E15696" s="4" t="n">
        <v>200000</v>
      </c>
      <c r="F15696" s="4" t="n">
        <v>6400</v>
      </c>
    </row>
    <row r="15697">
      <c r="A15697" s="3" t="inlineStr">
        <is>
          <t>1</t>
        </is>
      </c>
      <c r="B15697" s="3" t="inlineStr">
        <is>
          <t>"Pressure Gauge dia. 3"""</t>
        </is>
      </c>
      <c r="C15697" s="3" t="inlineStr">
        <is>
          <t>unit</t>
        </is>
      </c>
      <c r="D15697" s="15" t="n">
        <v>1.3</v>
      </c>
      <c r="E15697" s="4" t="n">
        <v>165400</v>
      </c>
      <c r="F15697" s="4" t="n">
        <v>215020</v>
      </c>
    </row>
    <row r="15698">
      <c r="A15698" s="3" t="inlineStr">
        <is>
          <t>2</t>
        </is>
      </c>
      <c r="B15698" s="3" t="inlineStr">
        <is>
          <t>"Gate Valve dia.3"""</t>
        </is>
      </c>
      <c r="C15698" s="3" t="inlineStr">
        <is>
          <t>unit</t>
        </is>
      </c>
      <c r="D15698" s="15" t="n">
        <v>1</v>
      </c>
      <c r="E15698" s="4" t="n">
        <v>2750000</v>
      </c>
      <c r="F15698" s="4" t="n">
        <v>2750000</v>
      </c>
    </row>
    <row r="15699">
      <c r="D15699" s="2" t="inlineStr">
        <is>
          <t>SUBTOTAL UPAH</t>
        </is>
      </c>
      <c r="F15699" s="16" t="n">
        <v>240705</v>
      </c>
    </row>
    <row r="15700">
      <c r="D15700" s="2" t="inlineStr">
        <is>
          <t>SUBTOTAL BAHAN</t>
        </is>
      </c>
      <c r="F15700" s="16" t="n">
        <v>2965020</v>
      </c>
    </row>
    <row r="15701">
      <c r="D15701" s="2" t="inlineStr">
        <is>
          <t>SUBTOTAL ALAT</t>
        </is>
      </c>
      <c r="F15701" s="16" t="n">
        <v>0</v>
      </c>
    </row>
    <row r="15702">
      <c r="E15702" s="2" t="inlineStr">
        <is>
          <t>TOTAL HARGA SATUAN (Inc. Overhead)</t>
        </is>
      </c>
      <c r="F15702" s="17" t="n">
        <v>3526297</v>
      </c>
    </row>
    <row r="15704">
      <c r="A15704" s="14" t="inlineStr">
        <is>
          <t>KODE: 6.5.11.1 - Pemasangan 1 buah Water Meter, Dia. 1/2" (15 mm)</t>
        </is>
      </c>
    </row>
    <row r="15705">
      <c r="A15705" s="10" t="inlineStr">
        <is>
          <t>No</t>
        </is>
      </c>
      <c r="B15705" s="10" t="inlineStr">
        <is>
          <t>Uraian Komponen</t>
        </is>
      </c>
      <c r="C15705" s="10" t="inlineStr">
        <is>
          <t>Satuan</t>
        </is>
      </c>
      <c r="D15705" s="10" t="inlineStr">
        <is>
          <t>Koef</t>
        </is>
      </c>
      <c r="E15705" s="10" t="inlineStr">
        <is>
          <t>Harga Satuan (Rp)</t>
        </is>
      </c>
      <c r="F15705" s="10" t="inlineStr">
        <is>
          <t>Jumlah Harga (Rp)</t>
        </is>
      </c>
    </row>
    <row r="15706">
      <c r="A15706" s="3" t="inlineStr">
        <is>
          <t>1</t>
        </is>
      </c>
      <c r="B15706" s="3" t="inlineStr">
        <is>
          <t>Pekerja</t>
        </is>
      </c>
      <c r="C15706" s="3" t="inlineStr">
        <is>
          <t>OH</t>
        </is>
      </c>
      <c r="D15706" s="15" t="n">
        <v>0.052</v>
      </c>
      <c r="E15706" s="4" t="n">
        <v>100000</v>
      </c>
      <c r="F15706" s="4" t="n">
        <v>5200</v>
      </c>
    </row>
    <row r="15707">
      <c r="A15707" s="3" t="inlineStr">
        <is>
          <t>2</t>
        </is>
      </c>
      <c r="B15707" s="3" t="inlineStr">
        <is>
          <t>Tukang pipa</t>
        </is>
      </c>
      <c r="C15707" s="3" t="inlineStr">
        <is>
          <t>OH</t>
        </is>
      </c>
      <c r="D15707" s="15" t="n">
        <v>0.08699999999999999</v>
      </c>
      <c r="E15707" s="4" t="n">
        <v>145000</v>
      </c>
      <c r="F15707" s="4" t="n">
        <v>12615</v>
      </c>
    </row>
    <row r="15708">
      <c r="A15708" s="3" t="inlineStr">
        <is>
          <t>3</t>
        </is>
      </c>
      <c r="B15708" s="3" t="inlineStr">
        <is>
          <t>Kepala tukang</t>
        </is>
      </c>
      <c r="C15708" s="3" t="inlineStr">
        <is>
          <t>OH</t>
        </is>
      </c>
      <c r="D15708" s="15" t="n">
        <v>0.008999999999999999</v>
      </c>
      <c r="E15708" s="4" t="n">
        <v>175000</v>
      </c>
      <c r="F15708" s="4" t="n">
        <v>1575</v>
      </c>
    </row>
    <row r="15709">
      <c r="A15709" s="3" t="inlineStr">
        <is>
          <t>4</t>
        </is>
      </c>
      <c r="B15709" s="3" t="inlineStr">
        <is>
          <t>Mandor</t>
        </is>
      </c>
      <c r="C15709" s="3" t="inlineStr">
        <is>
          <t>OH</t>
        </is>
      </c>
      <c r="D15709" s="15" t="n">
        <v>0.003</v>
      </c>
      <c r="E15709" s="4" t="n">
        <v>200000</v>
      </c>
      <c r="F15709" s="4" t="n">
        <v>600</v>
      </c>
    </row>
    <row r="15710">
      <c r="A15710" s="3" t="inlineStr">
        <is>
          <t>1</t>
        </is>
      </c>
      <c r="B15710" s="3" t="inlineStr">
        <is>
          <t>"Water Meter dia. 1/2"""</t>
        </is>
      </c>
      <c r="C15710" s="3" t="inlineStr">
        <is>
          <t>Bh</t>
        </is>
      </c>
      <c r="D15710" s="15" t="n">
        <v>1.1</v>
      </c>
      <c r="E15710" s="4" t="n">
        <v>270750</v>
      </c>
      <c r="F15710" s="4" t="n">
        <v>297825</v>
      </c>
    </row>
    <row r="15711">
      <c r="D15711" s="2" t="inlineStr">
        <is>
          <t>SUBTOTAL UPAH</t>
        </is>
      </c>
      <c r="F15711" s="16" t="n">
        <v>19990</v>
      </c>
    </row>
    <row r="15712">
      <c r="D15712" s="2" t="inlineStr">
        <is>
          <t>SUBTOTAL BAHAN</t>
        </is>
      </c>
      <c r="F15712" s="16" t="n">
        <v>297825</v>
      </c>
    </row>
    <row r="15713">
      <c r="D15713" s="2" t="inlineStr">
        <is>
          <t>SUBTOTAL ALAT</t>
        </is>
      </c>
      <c r="F15713" s="16" t="n">
        <v>0</v>
      </c>
    </row>
    <row r="15714">
      <c r="E15714" s="2" t="inlineStr">
        <is>
          <t>TOTAL HARGA SATUAN (Inc. Overhead)</t>
        </is>
      </c>
      <c r="F15714" s="17" t="n">
        <v>349596</v>
      </c>
    </row>
    <row r="15716">
      <c r="A15716" s="14" t="inlineStr">
        <is>
          <t>KODE: 6.5.11.2 - Pemasangan 1 buah Water Meter, Dia. 3/4" (20 mm)</t>
        </is>
      </c>
    </row>
    <row r="15717">
      <c r="A15717" s="10" t="inlineStr">
        <is>
          <t>No</t>
        </is>
      </c>
      <c r="B15717" s="10" t="inlineStr">
        <is>
          <t>Uraian Komponen</t>
        </is>
      </c>
      <c r="C15717" s="10" t="inlineStr">
        <is>
          <t>Satuan</t>
        </is>
      </c>
      <c r="D15717" s="10" t="inlineStr">
        <is>
          <t>Koef</t>
        </is>
      </c>
      <c r="E15717" s="10" t="inlineStr">
        <is>
          <t>Harga Satuan (Rp)</t>
        </is>
      </c>
      <c r="F15717" s="10" t="inlineStr">
        <is>
          <t>Jumlah Harga (Rp)</t>
        </is>
      </c>
    </row>
    <row r="15718">
      <c r="A15718" s="3" t="inlineStr">
        <is>
          <t>1</t>
        </is>
      </c>
      <c r="B15718" s="3" t="inlineStr">
        <is>
          <t>Pekerja</t>
        </is>
      </c>
      <c r="C15718" s="3" t="inlineStr">
        <is>
          <t>OH</t>
        </is>
      </c>
      <c r="D15718" s="15" t="n">
        <v>0.079</v>
      </c>
      <c r="E15718" s="4" t="n">
        <v>100000</v>
      </c>
      <c r="F15718" s="4" t="n">
        <v>7900</v>
      </c>
    </row>
    <row r="15719">
      <c r="A15719" s="3" t="inlineStr">
        <is>
          <t>2</t>
        </is>
      </c>
      <c r="B15719" s="3" t="inlineStr">
        <is>
          <t>Tukang pipa</t>
        </is>
      </c>
      <c r="C15719" s="3" t="inlineStr">
        <is>
          <t>OH</t>
        </is>
      </c>
      <c r="D15719" s="15" t="n">
        <v>0.131</v>
      </c>
      <c r="E15719" s="4" t="n">
        <v>145000</v>
      </c>
      <c r="F15719" s="4" t="n">
        <v>18995</v>
      </c>
    </row>
    <row r="15720">
      <c r="A15720" s="3" t="inlineStr">
        <is>
          <t>3</t>
        </is>
      </c>
      <c r="B15720" s="3" t="inlineStr">
        <is>
          <t>Kepala tukang</t>
        </is>
      </c>
      <c r="C15720" s="3" t="inlineStr">
        <is>
          <t>OH</t>
        </is>
      </c>
      <c r="D15720" s="15" t="n">
        <v>0.013</v>
      </c>
      <c r="E15720" s="4" t="n">
        <v>175000</v>
      </c>
      <c r="F15720" s="4" t="n">
        <v>2275</v>
      </c>
    </row>
    <row r="15721">
      <c r="A15721" s="3" t="inlineStr">
        <is>
          <t>4</t>
        </is>
      </c>
      <c r="B15721" s="3" t="inlineStr">
        <is>
          <t>Mandor</t>
        </is>
      </c>
      <c r="C15721" s="3" t="inlineStr">
        <is>
          <t>OH</t>
        </is>
      </c>
      <c r="D15721" s="15" t="n">
        <v>0.004</v>
      </c>
      <c r="E15721" s="4" t="n">
        <v>200000</v>
      </c>
      <c r="F15721" s="4" t="n">
        <v>800</v>
      </c>
    </row>
    <row r="15722">
      <c r="A15722" s="3" t="inlineStr">
        <is>
          <t>1</t>
        </is>
      </c>
      <c r="B15722" s="3" t="inlineStr">
        <is>
          <t>"Water Meter dia. 3/4"""</t>
        </is>
      </c>
      <c r="C15722" s="3" t="inlineStr">
        <is>
          <t>Bh</t>
        </is>
      </c>
      <c r="D15722" s="15" t="n">
        <v>1.1</v>
      </c>
      <c r="E15722" s="4" t="n">
        <v>655914</v>
      </c>
      <c r="F15722" s="4" t="n">
        <v>721505.4</v>
      </c>
    </row>
    <row r="15723">
      <c r="D15723" s="2" t="inlineStr">
        <is>
          <t>SUBTOTAL UPAH</t>
        </is>
      </c>
      <c r="F15723" s="16" t="n">
        <v>29970</v>
      </c>
    </row>
    <row r="15724">
      <c r="D15724" s="2" t="inlineStr">
        <is>
          <t>SUBTOTAL BAHAN</t>
        </is>
      </c>
      <c r="F15724" s="16" t="n">
        <v>721505.4</v>
      </c>
    </row>
    <row r="15725">
      <c r="D15725" s="2" t="inlineStr">
        <is>
          <t>SUBTOTAL ALAT</t>
        </is>
      </c>
      <c r="F15725" s="16" t="n">
        <v>0</v>
      </c>
    </row>
    <row r="15726">
      <c r="E15726" s="2" t="inlineStr">
        <is>
          <t>TOTAL HARGA SATUAN (Inc. Overhead)</t>
        </is>
      </c>
      <c r="F15726" s="17" t="n">
        <v>826622</v>
      </c>
    </row>
    <row r="15728">
      <c r="A15728" s="14" t="inlineStr">
        <is>
          <t>KODE: 6.5.11.3 - Pemasangan 1 buah Water Meter, Dia 1" ( 25 mm)</t>
        </is>
      </c>
    </row>
    <row r="15729">
      <c r="A15729" s="10" t="inlineStr">
        <is>
          <t>No</t>
        </is>
      </c>
      <c r="B15729" s="10" t="inlineStr">
        <is>
          <t>Uraian Komponen</t>
        </is>
      </c>
      <c r="C15729" s="10" t="inlineStr">
        <is>
          <t>Satuan</t>
        </is>
      </c>
      <c r="D15729" s="10" t="inlineStr">
        <is>
          <t>Koef</t>
        </is>
      </c>
      <c r="E15729" s="10" t="inlineStr">
        <is>
          <t>Harga Satuan (Rp)</t>
        </is>
      </c>
      <c r="F15729" s="10" t="inlineStr">
        <is>
          <t>Jumlah Harga (Rp)</t>
        </is>
      </c>
    </row>
    <row r="15730">
      <c r="A15730" s="3" t="inlineStr">
        <is>
          <t>1</t>
        </is>
      </c>
      <c r="B15730" s="3" t="inlineStr">
        <is>
          <t>Pekerja</t>
        </is>
      </c>
      <c r="C15730" s="3" t="inlineStr">
        <is>
          <t>OH</t>
        </is>
      </c>
      <c r="D15730" s="15" t="n">
        <v>0.105</v>
      </c>
      <c r="E15730" s="4" t="n">
        <v>100000</v>
      </c>
      <c r="F15730" s="4" t="n">
        <v>10500</v>
      </c>
    </row>
    <row r="15731">
      <c r="A15731" s="3" t="inlineStr">
        <is>
          <t>2</t>
        </is>
      </c>
      <c r="B15731" s="3" t="inlineStr">
        <is>
          <t>Tukang pipa</t>
        </is>
      </c>
      <c r="C15731" s="3" t="inlineStr">
        <is>
          <t>OH</t>
        </is>
      </c>
      <c r="D15731" s="15" t="n">
        <v>0.175</v>
      </c>
      <c r="E15731" s="4" t="n">
        <v>145000</v>
      </c>
      <c r="F15731" s="4" t="n">
        <v>25375</v>
      </c>
    </row>
    <row r="15732">
      <c r="A15732" s="3" t="inlineStr">
        <is>
          <t>3</t>
        </is>
      </c>
      <c r="B15732" s="3" t="inlineStr">
        <is>
          <t>Kepala tukang</t>
        </is>
      </c>
      <c r="C15732" s="3" t="inlineStr">
        <is>
          <t>OH</t>
        </is>
      </c>
      <c r="D15732" s="15" t="n">
        <v>0.017</v>
      </c>
      <c r="E15732" s="4" t="n">
        <v>175000</v>
      </c>
      <c r="F15732" s="4" t="n">
        <v>2975</v>
      </c>
    </row>
    <row r="15733">
      <c r="A15733" s="3" t="inlineStr">
        <is>
          <t>4</t>
        </is>
      </c>
      <c r="B15733" s="3" t="inlineStr">
        <is>
          <t>Mandor</t>
        </is>
      </c>
      <c r="C15733" s="3" t="inlineStr">
        <is>
          <t>OH</t>
        </is>
      </c>
      <c r="D15733" s="15" t="n">
        <v>0.005</v>
      </c>
      <c r="E15733" s="4" t="n">
        <v>200000</v>
      </c>
      <c r="F15733" s="4" t="n">
        <v>1000</v>
      </c>
    </row>
    <row r="15734">
      <c r="A15734" s="3" t="inlineStr">
        <is>
          <t>1</t>
        </is>
      </c>
      <c r="B15734" s="3" t="inlineStr">
        <is>
          <t>"Water Meter dia. 1"""</t>
        </is>
      </c>
      <c r="C15734" s="3" t="inlineStr">
        <is>
          <t>Bh</t>
        </is>
      </c>
      <c r="D15734" s="15" t="n">
        <v>1.1</v>
      </c>
      <c r="E15734" s="4" t="n">
        <v>1416800</v>
      </c>
      <c r="F15734" s="4" t="n">
        <v>1558480</v>
      </c>
    </row>
    <row r="15735">
      <c r="D15735" s="2" t="inlineStr">
        <is>
          <t>SUBTOTAL UPAH</t>
        </is>
      </c>
      <c r="F15735" s="16" t="n">
        <v>39850</v>
      </c>
    </row>
    <row r="15736">
      <c r="D15736" s="2" t="inlineStr">
        <is>
          <t>SUBTOTAL BAHAN</t>
        </is>
      </c>
      <c r="F15736" s="16" t="n">
        <v>1558480</v>
      </c>
    </row>
    <row r="15737">
      <c r="D15737" s="2" t="inlineStr">
        <is>
          <t>SUBTOTAL ALAT</t>
        </is>
      </c>
      <c r="F15737" s="16" t="n">
        <v>0</v>
      </c>
    </row>
    <row r="15738">
      <c r="E15738" s="2" t="inlineStr">
        <is>
          <t>TOTAL HARGA SATUAN (Inc. Overhead)</t>
        </is>
      </c>
      <c r="F15738" s="17" t="n">
        <v>1758163</v>
      </c>
    </row>
    <row r="15740">
      <c r="A15740" s="14" t="inlineStr">
        <is>
          <t>KODE: 6.5.11.4 - Pemasangan 1 buah Water Meter, Dia 1-1/2" ( 40 mm)</t>
        </is>
      </c>
    </row>
    <row r="15741">
      <c r="A15741" s="10" t="inlineStr">
        <is>
          <t>No</t>
        </is>
      </c>
      <c r="B15741" s="10" t="inlineStr">
        <is>
          <t>Uraian Komponen</t>
        </is>
      </c>
      <c r="C15741" s="10" t="inlineStr">
        <is>
          <t>Satuan</t>
        </is>
      </c>
      <c r="D15741" s="10" t="inlineStr">
        <is>
          <t>Koef</t>
        </is>
      </c>
      <c r="E15741" s="10" t="inlineStr">
        <is>
          <t>Harga Satuan (Rp)</t>
        </is>
      </c>
      <c r="F15741" s="10" t="inlineStr">
        <is>
          <t>Jumlah Harga (Rp)</t>
        </is>
      </c>
    </row>
    <row r="15742">
      <c r="A15742" s="3" t="inlineStr">
        <is>
          <t>1</t>
        </is>
      </c>
      <c r="B15742" s="3" t="inlineStr">
        <is>
          <t>Pekerja</t>
        </is>
      </c>
      <c r="C15742" s="3" t="inlineStr">
        <is>
          <t>OH</t>
        </is>
      </c>
      <c r="D15742" s="15" t="n">
        <v>0.157</v>
      </c>
      <c r="E15742" s="4" t="n">
        <v>100000</v>
      </c>
      <c r="F15742" s="4" t="n">
        <v>15700</v>
      </c>
    </row>
    <row r="15743">
      <c r="A15743" s="3" t="inlineStr">
        <is>
          <t>2</t>
        </is>
      </c>
      <c r="B15743" s="3" t="inlineStr">
        <is>
          <t>Tukang pipa</t>
        </is>
      </c>
      <c r="C15743" s="3" t="inlineStr">
        <is>
          <t>OH</t>
        </is>
      </c>
      <c r="D15743" s="15" t="n">
        <v>0.262</v>
      </c>
      <c r="E15743" s="4" t="n">
        <v>145000</v>
      </c>
      <c r="F15743" s="4" t="n">
        <v>37990</v>
      </c>
    </row>
    <row r="15744">
      <c r="A15744" s="3" t="inlineStr">
        <is>
          <t>3</t>
        </is>
      </c>
      <c r="B15744" s="3" t="inlineStr">
        <is>
          <t>Kepala tukang</t>
        </is>
      </c>
      <c r="C15744" s="3" t="inlineStr">
        <is>
          <t>OH</t>
        </is>
      </c>
      <c r="D15744" s="15" t="n">
        <v>0.026</v>
      </c>
      <c r="E15744" s="4" t="n">
        <v>175000</v>
      </c>
      <c r="F15744" s="4" t="n">
        <v>4550</v>
      </c>
    </row>
    <row r="15745">
      <c r="A15745" s="3" t="inlineStr">
        <is>
          <t>4</t>
        </is>
      </c>
      <c r="B15745" s="3" t="inlineStr">
        <is>
          <t>Mandor</t>
        </is>
      </c>
      <c r="C15745" s="3" t="inlineStr">
        <is>
          <t>OH</t>
        </is>
      </c>
      <c r="D15745" s="15" t="n">
        <v>0.008</v>
      </c>
      <c r="E15745" s="4" t="n">
        <v>200000</v>
      </c>
      <c r="F15745" s="4" t="n">
        <v>1600</v>
      </c>
    </row>
    <row r="15746">
      <c r="A15746" s="3" t="inlineStr">
        <is>
          <t>1</t>
        </is>
      </c>
      <c r="B15746" s="3" t="inlineStr">
        <is>
          <t>"Water Meter dia. 1-1/2"""</t>
        </is>
      </c>
      <c r="C15746" s="3" t="inlineStr">
        <is>
          <t>Bh</t>
        </is>
      </c>
      <c r="D15746" s="15" t="n">
        <v>1.1</v>
      </c>
      <c r="E15746" s="4" t="n">
        <v>1740600</v>
      </c>
      <c r="F15746" s="4" t="n">
        <v>1914660</v>
      </c>
    </row>
    <row r="15747">
      <c r="D15747" s="2" t="inlineStr">
        <is>
          <t>SUBTOTAL UPAH</t>
        </is>
      </c>
      <c r="F15747" s="16" t="n">
        <v>59840</v>
      </c>
    </row>
    <row r="15748">
      <c r="D15748" s="2" t="inlineStr">
        <is>
          <t>SUBTOTAL BAHAN</t>
        </is>
      </c>
      <c r="F15748" s="16" t="n">
        <v>1914660</v>
      </c>
    </row>
    <row r="15749">
      <c r="D15749" s="2" t="inlineStr">
        <is>
          <t>SUBTOTAL ALAT</t>
        </is>
      </c>
      <c r="F15749" s="16" t="n">
        <v>0</v>
      </c>
    </row>
    <row r="15750">
      <c r="E15750" s="2" t="inlineStr">
        <is>
          <t>TOTAL HARGA SATUAN (Inc. Overhead)</t>
        </is>
      </c>
      <c r="F15750" s="17" t="n">
        <v>2171950</v>
      </c>
    </row>
    <row r="15752">
      <c r="A15752" s="14" t="inlineStr">
        <is>
          <t>KODE: 6.5.11.5 - Pemasangan 1 buah Water Meter, Dia. 2 " (50 mm)</t>
        </is>
      </c>
    </row>
    <row r="15753">
      <c r="A15753" s="10" t="inlineStr">
        <is>
          <t>No</t>
        </is>
      </c>
      <c r="B15753" s="10" t="inlineStr">
        <is>
          <t>Uraian Komponen</t>
        </is>
      </c>
      <c r="C15753" s="10" t="inlineStr">
        <is>
          <t>Satuan</t>
        </is>
      </c>
      <c r="D15753" s="10" t="inlineStr">
        <is>
          <t>Koef</t>
        </is>
      </c>
      <c r="E15753" s="10" t="inlineStr">
        <is>
          <t>Harga Satuan (Rp)</t>
        </is>
      </c>
      <c r="F15753" s="10" t="inlineStr">
        <is>
          <t>Jumlah Harga (Rp)</t>
        </is>
      </c>
    </row>
    <row r="15754">
      <c r="A15754" s="3" t="inlineStr">
        <is>
          <t>1</t>
        </is>
      </c>
      <c r="B15754" s="3" t="inlineStr">
        <is>
          <t>Pekerja</t>
        </is>
      </c>
      <c r="C15754" s="3" t="inlineStr">
        <is>
          <t>OH</t>
        </is>
      </c>
      <c r="D15754" s="15" t="n">
        <v>0.207</v>
      </c>
      <c r="E15754" s="4" t="n">
        <v>100000</v>
      </c>
      <c r="F15754" s="4" t="n">
        <v>20700</v>
      </c>
    </row>
    <row r="15755">
      <c r="A15755" s="3" t="inlineStr">
        <is>
          <t>2</t>
        </is>
      </c>
      <c r="B15755" s="3" t="inlineStr">
        <is>
          <t>Tukang pipa</t>
        </is>
      </c>
      <c r="C15755" s="3" t="inlineStr">
        <is>
          <t>OH</t>
        </is>
      </c>
      <c r="D15755" s="15" t="n">
        <v>0.346</v>
      </c>
      <c r="E15755" s="4" t="n">
        <v>145000</v>
      </c>
      <c r="F15755" s="4" t="n">
        <v>50169.99999999999</v>
      </c>
    </row>
    <row r="15756">
      <c r="A15756" s="3" t="inlineStr">
        <is>
          <t>3</t>
        </is>
      </c>
      <c r="B15756" s="3" t="inlineStr">
        <is>
          <t>Kepala tukang</t>
        </is>
      </c>
      <c r="C15756" s="3" t="inlineStr">
        <is>
          <t>OH</t>
        </is>
      </c>
      <c r="D15756" s="15" t="n">
        <v>0.035</v>
      </c>
      <c r="E15756" s="4" t="n">
        <v>175000</v>
      </c>
      <c r="F15756" s="4" t="n">
        <v>6125.000000000001</v>
      </c>
    </row>
    <row r="15757">
      <c r="A15757" s="3" t="inlineStr">
        <is>
          <t>4</t>
        </is>
      </c>
      <c r="B15757" s="3" t="inlineStr">
        <is>
          <t>Mandor</t>
        </is>
      </c>
      <c r="C15757" s="3" t="inlineStr">
        <is>
          <t>OH</t>
        </is>
      </c>
      <c r="D15757" s="15" t="n">
        <v>0.01</v>
      </c>
      <c r="E15757" s="4" t="n">
        <v>200000</v>
      </c>
      <c r="F15757" s="4" t="n">
        <v>2000</v>
      </c>
    </row>
    <row r="15758">
      <c r="A15758" s="3" t="inlineStr">
        <is>
          <t>1</t>
        </is>
      </c>
      <c r="B15758" s="3" t="inlineStr">
        <is>
          <t>"Water Meter dia. 2"""</t>
        </is>
      </c>
      <c r="C15758" s="3" t="inlineStr">
        <is>
          <t>Bh</t>
        </is>
      </c>
      <c r="D15758" s="15" t="n">
        <v>1.1</v>
      </c>
      <c r="E15758" s="4" t="n">
        <v>2392000</v>
      </c>
      <c r="F15758" s="4" t="n">
        <v>2631200</v>
      </c>
    </row>
    <row r="15759">
      <c r="D15759" s="2" t="inlineStr">
        <is>
          <t>SUBTOTAL UPAH</t>
        </is>
      </c>
      <c r="F15759" s="16" t="n">
        <v>78995</v>
      </c>
    </row>
    <row r="15760">
      <c r="D15760" s="2" t="inlineStr">
        <is>
          <t>SUBTOTAL BAHAN</t>
        </is>
      </c>
      <c r="F15760" s="16" t="n">
        <v>2631200</v>
      </c>
    </row>
    <row r="15761">
      <c r="D15761" s="2" t="inlineStr">
        <is>
          <t>SUBTOTAL ALAT</t>
        </is>
      </c>
      <c r="F15761" s="16" t="n">
        <v>0</v>
      </c>
    </row>
    <row r="15762">
      <c r="E15762" s="2" t="inlineStr">
        <is>
          <t>TOTAL HARGA SATUAN (Inc. Overhead)</t>
        </is>
      </c>
      <c r="F15762" s="17" t="n">
        <v>2981214</v>
      </c>
    </row>
    <row r="15764">
      <c r="A15764" s="14" t="inlineStr">
        <is>
          <t>KODE: 6.5.11.6 - Pemasangan 1 buah Water Meter, Dia. 3 " (80 mm)</t>
        </is>
      </c>
    </row>
    <row r="15765">
      <c r="A15765" s="10" t="inlineStr">
        <is>
          <t>No</t>
        </is>
      </c>
      <c r="B15765" s="10" t="inlineStr">
        <is>
          <t>Uraian Komponen</t>
        </is>
      </c>
      <c r="C15765" s="10" t="inlineStr">
        <is>
          <t>Satuan</t>
        </is>
      </c>
      <c r="D15765" s="10" t="inlineStr">
        <is>
          <t>Koef</t>
        </is>
      </c>
      <c r="E15765" s="10" t="inlineStr">
        <is>
          <t>Harga Satuan (Rp)</t>
        </is>
      </c>
      <c r="F15765" s="10" t="inlineStr">
        <is>
          <t>Jumlah Harga (Rp)</t>
        </is>
      </c>
    </row>
    <row r="15766">
      <c r="A15766" s="3" t="inlineStr">
        <is>
          <t>1</t>
        </is>
      </c>
      <c r="B15766" s="3" t="inlineStr">
        <is>
          <t>Pekerja</t>
        </is>
      </c>
      <c r="C15766" s="3" t="inlineStr">
        <is>
          <t>OH</t>
        </is>
      </c>
      <c r="D15766" s="15" t="n">
        <v>0.471</v>
      </c>
      <c r="E15766" s="4" t="n">
        <v>100000</v>
      </c>
      <c r="F15766" s="4" t="n">
        <v>47100</v>
      </c>
    </row>
    <row r="15767">
      <c r="A15767" s="3" t="inlineStr">
        <is>
          <t>2</t>
        </is>
      </c>
      <c r="B15767" s="3" t="inlineStr">
        <is>
          <t>Tukang pipa</t>
        </is>
      </c>
      <c r="C15767" s="3" t="inlineStr">
        <is>
          <t>OH</t>
        </is>
      </c>
      <c r="D15767" s="15" t="n">
        <v>0.787</v>
      </c>
      <c r="E15767" s="4" t="n">
        <v>145000</v>
      </c>
      <c r="F15767" s="4" t="n">
        <v>114115</v>
      </c>
    </row>
    <row r="15768">
      <c r="A15768" s="3" t="inlineStr">
        <is>
          <t>3</t>
        </is>
      </c>
      <c r="B15768" s="3" t="inlineStr">
        <is>
          <t>Kepala tukang</t>
        </is>
      </c>
      <c r="C15768" s="3" t="inlineStr">
        <is>
          <t>OH</t>
        </is>
      </c>
      <c r="D15768" s="15" t="n">
        <v>0.079</v>
      </c>
      <c r="E15768" s="4" t="n">
        <v>175000</v>
      </c>
      <c r="F15768" s="4" t="n">
        <v>13825</v>
      </c>
    </row>
    <row r="15769">
      <c r="A15769" s="3" t="inlineStr">
        <is>
          <t>4</t>
        </is>
      </c>
      <c r="B15769" s="3" t="inlineStr">
        <is>
          <t>Mandor</t>
        </is>
      </c>
      <c r="C15769" s="3" t="inlineStr">
        <is>
          <t>OH</t>
        </is>
      </c>
      <c r="D15769" s="15" t="n">
        <v>0.024</v>
      </c>
      <c r="E15769" s="4" t="n">
        <v>200000</v>
      </c>
      <c r="F15769" s="4" t="n">
        <v>4800</v>
      </c>
    </row>
    <row r="15770">
      <c r="A15770" s="3" t="inlineStr">
        <is>
          <t>1</t>
        </is>
      </c>
      <c r="B15770" s="3" t="inlineStr">
        <is>
          <t>"Water Meter dia. 3"""</t>
        </is>
      </c>
      <c r="C15770" s="3" t="inlineStr">
        <is>
          <t>BH</t>
        </is>
      </c>
      <c r="D15770" s="15" t="n">
        <v>1.3</v>
      </c>
      <c r="E15770" s="4" t="n">
        <v>2700000</v>
      </c>
      <c r="F15770" s="4" t="n">
        <v>3510000</v>
      </c>
    </row>
    <row r="15771">
      <c r="D15771" s="2" t="inlineStr">
        <is>
          <t>SUBTOTAL UPAH</t>
        </is>
      </c>
      <c r="F15771" s="16" t="n">
        <v>179840</v>
      </c>
    </row>
    <row r="15772">
      <c r="D15772" s="2" t="inlineStr">
        <is>
          <t>SUBTOTAL BAHAN</t>
        </is>
      </c>
      <c r="F15772" s="16" t="n">
        <v>3510000</v>
      </c>
    </row>
    <row r="15773">
      <c r="D15773" s="2" t="inlineStr">
        <is>
          <t>SUBTOTAL ALAT</t>
        </is>
      </c>
      <c r="F15773" s="16" t="n">
        <v>0</v>
      </c>
    </row>
    <row r="15774">
      <c r="E15774" s="2" t="inlineStr">
        <is>
          <t>TOTAL HARGA SATUAN (Inc. Overhead)</t>
        </is>
      </c>
      <c r="F15774" s="17" t="n">
        <v>4058824</v>
      </c>
    </row>
    <row r="15776">
      <c r="A15776" s="14" t="inlineStr">
        <is>
          <t>KODE: 6.5.11.7 - Pemasangan 1 buah Water Meter, Dia. 4" (100 mm)</t>
        </is>
      </c>
    </row>
    <row r="15777">
      <c r="A15777" s="10" t="inlineStr">
        <is>
          <t>No</t>
        </is>
      </c>
      <c r="B15777" s="10" t="inlineStr">
        <is>
          <t>Uraian Komponen</t>
        </is>
      </c>
      <c r="C15777" s="10" t="inlineStr">
        <is>
          <t>Satuan</t>
        </is>
      </c>
      <c r="D15777" s="10" t="inlineStr">
        <is>
          <t>Koef</t>
        </is>
      </c>
      <c r="E15777" s="10" t="inlineStr">
        <is>
          <t>Harga Satuan (Rp)</t>
        </is>
      </c>
      <c r="F15777" s="10" t="inlineStr">
        <is>
          <t>Jumlah Harga (Rp)</t>
        </is>
      </c>
    </row>
    <row r="15778">
      <c r="A15778" s="3" t="inlineStr">
        <is>
          <t>1</t>
        </is>
      </c>
      <c r="B15778" s="3" t="inlineStr">
        <is>
          <t>Pekerja</t>
        </is>
      </c>
      <c r="C15778" s="3" t="inlineStr">
        <is>
          <t>OH</t>
        </is>
      </c>
      <c r="D15778" s="15" t="n">
        <v>0.631</v>
      </c>
      <c r="E15778" s="4" t="n">
        <v>100000</v>
      </c>
      <c r="F15778" s="4" t="n">
        <v>63100</v>
      </c>
    </row>
    <row r="15779">
      <c r="A15779" s="3" t="inlineStr">
        <is>
          <t>2</t>
        </is>
      </c>
      <c r="B15779" s="3" t="inlineStr">
        <is>
          <t>Tukang pipa</t>
        </is>
      </c>
      <c r="C15779" s="3" t="inlineStr">
        <is>
          <t>OH</t>
        </is>
      </c>
      <c r="D15779" s="15" t="n">
        <v>1.054</v>
      </c>
      <c r="E15779" s="4" t="n">
        <v>145000</v>
      </c>
      <c r="F15779" s="4" t="n">
        <v>152830</v>
      </c>
    </row>
    <row r="15780">
      <c r="A15780" s="3" t="inlineStr">
        <is>
          <t>3</t>
        </is>
      </c>
      <c r="B15780" s="3" t="inlineStr">
        <is>
          <t>Kepala tukang</t>
        </is>
      </c>
      <c r="C15780" s="3" t="inlineStr">
        <is>
          <t>OH</t>
        </is>
      </c>
      <c r="D15780" s="15" t="n">
        <v>0.105</v>
      </c>
      <c r="E15780" s="4" t="n">
        <v>175000</v>
      </c>
      <c r="F15780" s="4" t="n">
        <v>18375</v>
      </c>
    </row>
    <row r="15781">
      <c r="A15781" s="3" t="inlineStr">
        <is>
          <t>4</t>
        </is>
      </c>
      <c r="B15781" s="3" t="inlineStr">
        <is>
          <t>Mandor</t>
        </is>
      </c>
      <c r="C15781" s="3" t="inlineStr">
        <is>
          <t>OH</t>
        </is>
      </c>
      <c r="D15781" s="15" t="n">
        <v>0.032</v>
      </c>
      <c r="E15781" s="4" t="n">
        <v>200000</v>
      </c>
      <c r="F15781" s="4" t="n">
        <v>6400</v>
      </c>
    </row>
    <row r="15782">
      <c r="A15782" s="3" t="inlineStr">
        <is>
          <t>1</t>
        </is>
      </c>
      <c r="B15782" s="3" t="inlineStr">
        <is>
          <t>"Water Meter dia. 4"""</t>
        </is>
      </c>
      <c r="C15782" s="3" t="inlineStr">
        <is>
          <t>Bh</t>
        </is>
      </c>
      <c r="D15782" s="15" t="n">
        <v>1.3</v>
      </c>
      <c r="E15782" s="4" t="n">
        <v>2980000</v>
      </c>
      <c r="F15782" s="4" t="n">
        <v>3874000</v>
      </c>
    </row>
    <row r="15783">
      <c r="D15783" s="2" t="inlineStr">
        <is>
          <t>SUBTOTAL UPAH</t>
        </is>
      </c>
      <c r="F15783" s="16" t="n">
        <v>240705</v>
      </c>
    </row>
    <row r="15784">
      <c r="D15784" s="2" t="inlineStr">
        <is>
          <t>SUBTOTAL BAHAN</t>
        </is>
      </c>
      <c r="F15784" s="16" t="n">
        <v>3874000</v>
      </c>
    </row>
    <row r="15785">
      <c r="D15785" s="2" t="inlineStr">
        <is>
          <t>SUBTOTAL ALAT</t>
        </is>
      </c>
      <c r="F15785" s="16" t="n">
        <v>0</v>
      </c>
    </row>
    <row r="15786">
      <c r="E15786" s="2" t="inlineStr">
        <is>
          <t>TOTAL HARGA SATUAN (Inc. Overhead)</t>
        </is>
      </c>
      <c r="F15786" s="17" t="n">
        <v>4526175</v>
      </c>
    </row>
    <row r="15788">
      <c r="A15788" s="14" t="inlineStr">
        <is>
          <t>KODE: 6.5.11.8 - Pemasangan 1 buah Water Meter, Dia. 6" (150 mm)</t>
        </is>
      </c>
    </row>
    <row r="15789">
      <c r="A15789" s="10" t="inlineStr">
        <is>
          <t>No</t>
        </is>
      </c>
      <c r="B15789" s="10" t="inlineStr">
        <is>
          <t>Uraian Komponen</t>
        </is>
      </c>
      <c r="C15789" s="10" t="inlineStr">
        <is>
          <t>Satuan</t>
        </is>
      </c>
      <c r="D15789" s="10" t="inlineStr">
        <is>
          <t>Koef</t>
        </is>
      </c>
      <c r="E15789" s="10" t="inlineStr">
        <is>
          <t>Harga Satuan (Rp)</t>
        </is>
      </c>
      <c r="F15789" s="10" t="inlineStr">
        <is>
          <t>Jumlah Harga (Rp)</t>
        </is>
      </c>
    </row>
    <row r="15790">
      <c r="A15790" s="3" t="inlineStr">
        <is>
          <t>1</t>
        </is>
      </c>
      <c r="B15790" s="3" t="inlineStr">
        <is>
          <t>Pekerja</t>
        </is>
      </c>
      <c r="C15790" s="3" t="inlineStr">
        <is>
          <t>OH</t>
        </is>
      </c>
      <c r="D15790" s="15" t="n">
        <v>0.945</v>
      </c>
      <c r="E15790" s="4" t="n">
        <v>100000</v>
      </c>
      <c r="F15790" s="4" t="n">
        <v>94500</v>
      </c>
    </row>
    <row r="15791">
      <c r="A15791" s="3" t="inlineStr">
        <is>
          <t>2</t>
        </is>
      </c>
      <c r="B15791" s="3" t="inlineStr">
        <is>
          <t>Tukang pipa</t>
        </is>
      </c>
      <c r="C15791" s="3" t="inlineStr">
        <is>
          <t>OH</t>
        </is>
      </c>
      <c r="D15791" s="15" t="n">
        <v>1.579</v>
      </c>
      <c r="E15791" s="4" t="n">
        <v>145000</v>
      </c>
      <c r="F15791" s="4" t="n">
        <v>228955</v>
      </c>
    </row>
    <row r="15792">
      <c r="A15792" s="3" t="inlineStr">
        <is>
          <t>3</t>
        </is>
      </c>
      <c r="B15792" s="3" t="inlineStr">
        <is>
          <t>Kepala tukang</t>
        </is>
      </c>
      <c r="C15792" s="3" t="inlineStr">
        <is>
          <t>OH</t>
        </is>
      </c>
      <c r="D15792" s="15" t="n">
        <v>0.158</v>
      </c>
      <c r="E15792" s="4" t="n">
        <v>175000</v>
      </c>
      <c r="F15792" s="4" t="n">
        <v>27650</v>
      </c>
    </row>
    <row r="15793">
      <c r="A15793" s="3" t="inlineStr">
        <is>
          <t>4</t>
        </is>
      </c>
      <c r="B15793" s="3" t="inlineStr">
        <is>
          <t>Mandor</t>
        </is>
      </c>
      <c r="C15793" s="3" t="inlineStr">
        <is>
          <t>OH</t>
        </is>
      </c>
      <c r="D15793" s="15" t="n">
        <v>0.047</v>
      </c>
      <c r="E15793" s="4" t="n">
        <v>200000</v>
      </c>
      <c r="F15793" s="4" t="n">
        <v>9400</v>
      </c>
    </row>
    <row r="15794">
      <c r="A15794" s="3" t="inlineStr">
        <is>
          <t>1</t>
        </is>
      </c>
      <c r="B15794" s="3" t="inlineStr">
        <is>
          <t>"Water Meter dia. 6"""</t>
        </is>
      </c>
      <c r="C15794" s="3" t="inlineStr">
        <is>
          <t>Bh</t>
        </is>
      </c>
      <c r="D15794" s="15" t="n">
        <v>1.3</v>
      </c>
      <c r="E15794" s="4" t="n">
        <v>3540900</v>
      </c>
      <c r="F15794" s="4" t="n">
        <v>4603170</v>
      </c>
    </row>
    <row r="15795">
      <c r="D15795" s="2" t="inlineStr">
        <is>
          <t>SUBTOTAL UPAH</t>
        </is>
      </c>
      <c r="F15795" s="16" t="n">
        <v>360505</v>
      </c>
    </row>
    <row r="15796">
      <c r="D15796" s="2" t="inlineStr">
        <is>
          <t>SUBTOTAL BAHAN</t>
        </is>
      </c>
      <c r="F15796" s="16" t="n">
        <v>4603170</v>
      </c>
    </row>
    <row r="15797">
      <c r="D15797" s="2" t="inlineStr">
        <is>
          <t>SUBTOTAL ALAT</t>
        </is>
      </c>
      <c r="F15797" s="16" t="n">
        <v>0</v>
      </c>
    </row>
    <row r="15798">
      <c r="E15798" s="2" t="inlineStr">
        <is>
          <t>TOTAL HARGA SATUAN (Inc. Overhead)</t>
        </is>
      </c>
      <c r="F15798" s="17" t="n">
        <v>5460042</v>
      </c>
    </row>
    <row r="15800">
      <c r="A15800" s="14" t="inlineStr">
        <is>
          <t>KODE: 6.5.11.9 - Pemasangan 1 buah Water Meter, Dia. 8" (200 mm)</t>
        </is>
      </c>
    </row>
    <row r="15801">
      <c r="A15801" s="10" t="inlineStr">
        <is>
          <t>No</t>
        </is>
      </c>
      <c r="B15801" s="10" t="inlineStr">
        <is>
          <t>Uraian Komponen</t>
        </is>
      </c>
      <c r="C15801" s="10" t="inlineStr">
        <is>
          <t>Satuan</t>
        </is>
      </c>
      <c r="D15801" s="10" t="inlineStr">
        <is>
          <t>Koef</t>
        </is>
      </c>
      <c r="E15801" s="10" t="inlineStr">
        <is>
          <t>Harga Satuan (Rp)</t>
        </is>
      </c>
      <c r="F15801" s="10" t="inlineStr">
        <is>
          <t>Jumlah Harga (Rp)</t>
        </is>
      </c>
    </row>
    <row r="15802">
      <c r="A15802" s="3" t="inlineStr">
        <is>
          <t>1</t>
        </is>
      </c>
      <c r="B15802" s="3" t="inlineStr">
        <is>
          <t>Pekerja</t>
        </is>
      </c>
      <c r="C15802" s="3" t="inlineStr">
        <is>
          <t>OH</t>
        </is>
      </c>
      <c r="D15802" s="15" t="n">
        <v>1.26</v>
      </c>
      <c r="E15802" s="4" t="n">
        <v>100000</v>
      </c>
      <c r="F15802" s="4" t="n">
        <v>126000</v>
      </c>
    </row>
    <row r="15803">
      <c r="A15803" s="3" t="inlineStr">
        <is>
          <t>2</t>
        </is>
      </c>
      <c r="B15803" s="3" t="inlineStr">
        <is>
          <t>Tukang pipa</t>
        </is>
      </c>
      <c r="C15803" s="3" t="inlineStr">
        <is>
          <t>OH</t>
        </is>
      </c>
      <c r="D15803" s="15" t="n">
        <v>2.103</v>
      </c>
      <c r="E15803" s="4" t="n">
        <v>145000</v>
      </c>
      <c r="F15803" s="4" t="n">
        <v>304935.0000000001</v>
      </c>
    </row>
    <row r="15804">
      <c r="A15804" s="3" t="inlineStr">
        <is>
          <t>3</t>
        </is>
      </c>
      <c r="B15804" s="3" t="inlineStr">
        <is>
          <t>Kepala tukang</t>
        </is>
      </c>
      <c r="C15804" s="3" t="inlineStr">
        <is>
          <t>OH</t>
        </is>
      </c>
      <c r="D15804" s="15" t="n">
        <v>0.21</v>
      </c>
      <c r="E15804" s="4" t="n">
        <v>175000</v>
      </c>
      <c r="F15804" s="4" t="n">
        <v>36750</v>
      </c>
    </row>
    <row r="15805">
      <c r="A15805" s="3" t="inlineStr">
        <is>
          <t>4</t>
        </is>
      </c>
      <c r="B15805" s="3" t="inlineStr">
        <is>
          <t>Mandor</t>
        </is>
      </c>
      <c r="C15805" s="3" t="inlineStr">
        <is>
          <t>OH</t>
        </is>
      </c>
      <c r="D15805" s="15" t="n">
        <v>0.063</v>
      </c>
      <c r="E15805" s="4" t="n">
        <v>200000</v>
      </c>
      <c r="F15805" s="4" t="n">
        <v>12600</v>
      </c>
    </row>
    <row r="15806">
      <c r="A15806" s="3" t="inlineStr">
        <is>
          <t>1</t>
        </is>
      </c>
      <c r="B15806" s="3" t="inlineStr">
        <is>
          <t>"Water Meter dia. 8"""</t>
        </is>
      </c>
      <c r="C15806" s="3" t="inlineStr">
        <is>
          <t>Bh</t>
        </is>
      </c>
      <c r="D15806" s="15" t="n">
        <v>1.3</v>
      </c>
      <c r="E15806" s="4" t="n">
        <v>3947000</v>
      </c>
      <c r="F15806" s="4" t="n">
        <v>5131100</v>
      </c>
    </row>
    <row r="15807">
      <c r="D15807" s="2" t="inlineStr">
        <is>
          <t>SUBTOTAL UPAH</t>
        </is>
      </c>
      <c r="F15807" s="16" t="n">
        <v>480285.0000000001</v>
      </c>
    </row>
    <row r="15808">
      <c r="D15808" s="2" t="inlineStr">
        <is>
          <t>SUBTOTAL BAHAN</t>
        </is>
      </c>
      <c r="F15808" s="16" t="n">
        <v>5131100</v>
      </c>
    </row>
    <row r="15809">
      <c r="D15809" s="2" t="inlineStr">
        <is>
          <t>SUBTOTAL ALAT</t>
        </is>
      </c>
      <c r="F15809" s="16" t="n">
        <v>0</v>
      </c>
    </row>
    <row r="15810">
      <c r="E15810" s="2" t="inlineStr">
        <is>
          <t>TOTAL HARGA SATUAN (Inc. Overhead)</t>
        </is>
      </c>
      <c r="F15810" s="17" t="n">
        <v>6172523</v>
      </c>
    </row>
    <row r="15812">
      <c r="A15812" s="14" t="inlineStr">
        <is>
          <t>KODE: 6.5.11.10 - Pemasangan 1 buah Water Meter, Dia. 10" (250 mm)</t>
        </is>
      </c>
    </row>
    <row r="15813">
      <c r="A15813" s="10" t="inlineStr">
        <is>
          <t>No</t>
        </is>
      </c>
      <c r="B15813" s="10" t="inlineStr">
        <is>
          <t>Uraian Komponen</t>
        </is>
      </c>
      <c r="C15813" s="10" t="inlineStr">
        <is>
          <t>Satuan</t>
        </is>
      </c>
      <c r="D15813" s="10" t="inlineStr">
        <is>
          <t>Koef</t>
        </is>
      </c>
      <c r="E15813" s="10" t="inlineStr">
        <is>
          <t>Harga Satuan (Rp)</t>
        </is>
      </c>
      <c r="F15813" s="10" t="inlineStr">
        <is>
          <t>Jumlah Harga (Rp)</t>
        </is>
      </c>
    </row>
    <row r="15814">
      <c r="A15814" s="3" t="inlineStr">
        <is>
          <t>1</t>
        </is>
      </c>
      <c r="B15814" s="3" t="inlineStr">
        <is>
          <t>Pekerja</t>
        </is>
      </c>
      <c r="C15814" s="3" t="inlineStr">
        <is>
          <t>OH</t>
        </is>
      </c>
      <c r="D15814" s="15" t="n">
        <v>1.574</v>
      </c>
      <c r="E15814" s="4" t="n">
        <v>100000</v>
      </c>
      <c r="F15814" s="4" t="n">
        <v>157400</v>
      </c>
    </row>
    <row r="15815">
      <c r="A15815" s="3" t="inlineStr">
        <is>
          <t>2</t>
        </is>
      </c>
      <c r="B15815" s="3" t="inlineStr">
        <is>
          <t>Tukang pipa</t>
        </is>
      </c>
      <c r="C15815" s="3" t="inlineStr">
        <is>
          <t>OH</t>
        </is>
      </c>
      <c r="D15815" s="15" t="n">
        <v>2.628</v>
      </c>
      <c r="E15815" s="4" t="n">
        <v>145000</v>
      </c>
      <c r="F15815" s="4" t="n">
        <v>381060</v>
      </c>
    </row>
    <row r="15816">
      <c r="A15816" s="3" t="inlineStr">
        <is>
          <t>3</t>
        </is>
      </c>
      <c r="B15816" s="3" t="inlineStr">
        <is>
          <t>Kepala tukang</t>
        </is>
      </c>
      <c r="C15816" s="3" t="inlineStr">
        <is>
          <t>OH</t>
        </is>
      </c>
      <c r="D15816" s="15" t="n">
        <v>0.263</v>
      </c>
      <c r="E15816" s="4" t="n">
        <v>175000</v>
      </c>
      <c r="F15816" s="4" t="n">
        <v>46025</v>
      </c>
    </row>
    <row r="15817">
      <c r="A15817" s="3" t="inlineStr">
        <is>
          <t>4</t>
        </is>
      </c>
      <c r="B15817" s="3" t="inlineStr">
        <is>
          <t>Mandor</t>
        </is>
      </c>
      <c r="C15817" s="3" t="inlineStr">
        <is>
          <t>OH</t>
        </is>
      </c>
      <c r="D15817" s="15" t="n">
        <v>0.079</v>
      </c>
      <c r="E15817" s="4" t="n">
        <v>200000</v>
      </c>
      <c r="F15817" s="4" t="n">
        <v>15800</v>
      </c>
    </row>
    <row r="15818">
      <c r="A15818" s="3" t="inlineStr">
        <is>
          <t>1</t>
        </is>
      </c>
      <c r="B15818" s="3" t="inlineStr">
        <is>
          <t>"Water Meter dia. 10"""</t>
        </is>
      </c>
      <c r="C15818" s="3" t="inlineStr">
        <is>
          <t>Bh</t>
        </is>
      </c>
      <c r="D15818" s="15" t="n">
        <v>1.3</v>
      </c>
      <c r="E15818" s="4" t="n">
        <v>4230900</v>
      </c>
      <c r="F15818" s="4" t="n">
        <v>5500170</v>
      </c>
    </row>
    <row r="15819">
      <c r="D15819" s="2" t="inlineStr">
        <is>
          <t>SUBTOTAL UPAH</t>
        </is>
      </c>
      <c r="F15819" s="16" t="n">
        <v>600285</v>
      </c>
    </row>
    <row r="15820">
      <c r="D15820" s="2" t="inlineStr">
        <is>
          <t>SUBTOTAL BAHAN</t>
        </is>
      </c>
      <c r="F15820" s="16" t="n">
        <v>5500170</v>
      </c>
    </row>
    <row r="15821">
      <c r="D15821" s="2" t="inlineStr">
        <is>
          <t>SUBTOTAL ALAT</t>
        </is>
      </c>
      <c r="F15821" s="16" t="n">
        <v>0</v>
      </c>
    </row>
    <row r="15822">
      <c r="E15822" s="2" t="inlineStr">
        <is>
          <t>TOTAL HARGA SATUAN (Inc. Overhead)</t>
        </is>
      </c>
      <c r="F15822" s="17" t="n">
        <v>6710500</v>
      </c>
    </row>
    <row r="15824">
      <c r="A15824" s="14" t="inlineStr">
        <is>
          <t>KODE: 6.5.11.11 - Pemasangan 1 buah Water Meter, Dia. 12" (300 mm)</t>
        </is>
      </c>
    </row>
    <row r="15825">
      <c r="A15825" s="10" t="inlineStr">
        <is>
          <t>No</t>
        </is>
      </c>
      <c r="B15825" s="10" t="inlineStr">
        <is>
          <t>Uraian Komponen</t>
        </is>
      </c>
      <c r="C15825" s="10" t="inlineStr">
        <is>
          <t>Satuan</t>
        </is>
      </c>
      <c r="D15825" s="10" t="inlineStr">
        <is>
          <t>Koef</t>
        </is>
      </c>
      <c r="E15825" s="10" t="inlineStr">
        <is>
          <t>Harga Satuan (Rp)</t>
        </is>
      </c>
      <c r="F15825" s="10" t="inlineStr">
        <is>
          <t>Jumlah Harga (Rp)</t>
        </is>
      </c>
    </row>
    <row r="15826">
      <c r="A15826" s="3" t="inlineStr">
        <is>
          <t>1</t>
        </is>
      </c>
      <c r="B15826" s="3" t="inlineStr">
        <is>
          <t>Pekerja</t>
        </is>
      </c>
      <c r="C15826" s="3" t="inlineStr">
        <is>
          <t>OH</t>
        </is>
      </c>
      <c r="D15826" s="15" t="n">
        <v>1.886</v>
      </c>
      <c r="E15826" s="4" t="n">
        <v>100000</v>
      </c>
      <c r="F15826" s="4" t="n">
        <v>188600</v>
      </c>
    </row>
    <row r="15827">
      <c r="A15827" s="3" t="inlineStr">
        <is>
          <t>2</t>
        </is>
      </c>
      <c r="B15827" s="3" t="inlineStr">
        <is>
          <t>Tukang pipa</t>
        </is>
      </c>
      <c r="C15827" s="3" t="inlineStr">
        <is>
          <t>OH</t>
        </is>
      </c>
      <c r="D15827" s="15" t="n">
        <v>3.149</v>
      </c>
      <c r="E15827" s="4" t="n">
        <v>145000</v>
      </c>
      <c r="F15827" s="4" t="n">
        <v>456605</v>
      </c>
    </row>
    <row r="15828">
      <c r="A15828" s="3" t="inlineStr">
        <is>
          <t>3</t>
        </is>
      </c>
      <c r="B15828" s="3" t="inlineStr">
        <is>
          <t>Kepala tukang</t>
        </is>
      </c>
      <c r="C15828" s="3" t="inlineStr">
        <is>
          <t>OH</t>
        </is>
      </c>
      <c r="D15828" s="15" t="n">
        <v>0.315</v>
      </c>
      <c r="E15828" s="4" t="n">
        <v>175000</v>
      </c>
      <c r="F15828" s="4" t="n">
        <v>55125</v>
      </c>
    </row>
    <row r="15829">
      <c r="A15829" s="3" t="inlineStr">
        <is>
          <t>4</t>
        </is>
      </c>
      <c r="B15829" s="3" t="inlineStr">
        <is>
          <t>Mandor</t>
        </is>
      </c>
      <c r="C15829" s="3" t="inlineStr">
        <is>
          <t>OH</t>
        </is>
      </c>
      <c r="D15829" s="15" t="n">
        <v>0.094</v>
      </c>
      <c r="E15829" s="4" t="n">
        <v>200000</v>
      </c>
      <c r="F15829" s="4" t="n">
        <v>18800</v>
      </c>
    </row>
    <row r="15830">
      <c r="A15830" s="3" t="inlineStr">
        <is>
          <t>1</t>
        </is>
      </c>
      <c r="B15830" s="3" t="inlineStr">
        <is>
          <t>"Water Meter dia. 12"""</t>
        </is>
      </c>
      <c r="C15830" s="3" t="inlineStr">
        <is>
          <t>Bh</t>
        </is>
      </c>
      <c r="D15830" s="15" t="n">
        <v>1.3</v>
      </c>
      <c r="E15830" s="4" t="n">
        <v>4560000</v>
      </c>
      <c r="F15830" s="4" t="n">
        <v>5928000</v>
      </c>
    </row>
    <row r="15831">
      <c r="D15831" s="2" t="inlineStr">
        <is>
          <t>SUBTOTAL UPAH</t>
        </is>
      </c>
      <c r="F15831" s="16" t="n">
        <v>719130</v>
      </c>
    </row>
    <row r="15832">
      <c r="D15832" s="2" t="inlineStr">
        <is>
          <t>SUBTOTAL BAHAN</t>
        </is>
      </c>
      <c r="F15832" s="16" t="n">
        <v>5928000</v>
      </c>
    </row>
    <row r="15833">
      <c r="D15833" s="2" t="inlineStr">
        <is>
          <t>SUBTOTAL ALAT</t>
        </is>
      </c>
      <c r="F15833" s="16" t="n">
        <v>0</v>
      </c>
    </row>
    <row r="15834">
      <c r="E15834" s="2" t="inlineStr">
        <is>
          <t>TOTAL HARGA SATUAN (Inc. Overhead)</t>
        </is>
      </c>
      <c r="F15834" s="17" t="n">
        <v>7311843</v>
      </c>
    </row>
    <row r="15836">
      <c r="A15836" s="14" t="inlineStr">
        <is>
          <t>KODE: 6.5.11.12 - Pemasangan 1 buah Water Meter, Dia. 16" (400 mm)</t>
        </is>
      </c>
    </row>
    <row r="15837">
      <c r="A15837" s="10" t="inlineStr">
        <is>
          <t>No</t>
        </is>
      </c>
      <c r="B15837" s="10" t="inlineStr">
        <is>
          <t>Uraian Komponen</t>
        </is>
      </c>
      <c r="C15837" s="10" t="inlineStr">
        <is>
          <t>Satuan</t>
        </is>
      </c>
      <c r="D15837" s="10" t="inlineStr">
        <is>
          <t>Koef</t>
        </is>
      </c>
      <c r="E15837" s="10" t="inlineStr">
        <is>
          <t>Harga Satuan (Rp)</t>
        </is>
      </c>
      <c r="F15837" s="10" t="inlineStr">
        <is>
          <t>Jumlah Harga (Rp)</t>
        </is>
      </c>
    </row>
    <row r="15838">
      <c r="A15838" s="3" t="inlineStr">
        <is>
          <t>1</t>
        </is>
      </c>
      <c r="B15838" s="3" t="inlineStr">
        <is>
          <t>Pekerja</t>
        </is>
      </c>
      <c r="C15838" s="3" t="inlineStr">
        <is>
          <t>OH</t>
        </is>
      </c>
      <c r="D15838" s="15" t="n">
        <v>2.202</v>
      </c>
      <c r="E15838" s="4" t="n">
        <v>100000</v>
      </c>
      <c r="F15838" s="4" t="n">
        <v>220200</v>
      </c>
    </row>
    <row r="15839">
      <c r="A15839" s="3" t="inlineStr">
        <is>
          <t>2</t>
        </is>
      </c>
      <c r="B15839" s="3" t="inlineStr">
        <is>
          <t>Tukang pipa</t>
        </is>
      </c>
      <c r="C15839" s="3" t="inlineStr">
        <is>
          <t>OH</t>
        </is>
      </c>
      <c r="D15839" s="15" t="n">
        <v>3.678</v>
      </c>
      <c r="E15839" s="4" t="n">
        <v>145000</v>
      </c>
      <c r="F15839" s="4" t="n">
        <v>533310</v>
      </c>
    </row>
    <row r="15840">
      <c r="A15840" s="3" t="inlineStr">
        <is>
          <t>3</t>
        </is>
      </c>
      <c r="B15840" s="3" t="inlineStr">
        <is>
          <t>Kepala tukang</t>
        </is>
      </c>
      <c r="C15840" s="3" t="inlineStr">
        <is>
          <t>OH</t>
        </is>
      </c>
      <c r="D15840" s="15" t="n">
        <v>0.368</v>
      </c>
      <c r="E15840" s="4" t="n">
        <v>175000</v>
      </c>
      <c r="F15840" s="4" t="n">
        <v>64400</v>
      </c>
    </row>
    <row r="15841">
      <c r="A15841" s="3" t="inlineStr">
        <is>
          <t>4</t>
        </is>
      </c>
      <c r="B15841" s="3" t="inlineStr">
        <is>
          <t>Mandor</t>
        </is>
      </c>
      <c r="C15841" s="3" t="inlineStr">
        <is>
          <t>OH</t>
        </is>
      </c>
      <c r="D15841" s="15" t="n">
        <v>0.11</v>
      </c>
      <c r="E15841" s="4" t="n">
        <v>200000</v>
      </c>
      <c r="F15841" s="4" t="n">
        <v>22000</v>
      </c>
    </row>
    <row r="15842">
      <c r="A15842" s="3" t="inlineStr">
        <is>
          <t>1</t>
        </is>
      </c>
      <c r="B15842" s="3" t="inlineStr">
        <is>
          <t>"Water Meter dia. 16"""</t>
        </is>
      </c>
      <c r="C15842" s="3" t="inlineStr">
        <is>
          <t>Bh</t>
        </is>
      </c>
      <c r="D15842" s="15" t="n">
        <v>1.3</v>
      </c>
      <c r="E15842" s="4" t="n">
        <v>4760900</v>
      </c>
      <c r="F15842" s="4" t="n">
        <v>6189170</v>
      </c>
    </row>
    <row r="15843">
      <c r="D15843" s="2" t="inlineStr">
        <is>
          <t>SUBTOTAL UPAH</t>
        </is>
      </c>
      <c r="F15843" s="16" t="n">
        <v>839910</v>
      </c>
    </row>
    <row r="15844">
      <c r="D15844" s="2" t="inlineStr">
        <is>
          <t>SUBTOTAL BAHAN</t>
        </is>
      </c>
      <c r="F15844" s="16" t="n">
        <v>6189170</v>
      </c>
    </row>
    <row r="15845">
      <c r="D15845" s="2" t="inlineStr">
        <is>
          <t>SUBTOTAL ALAT</t>
        </is>
      </c>
      <c r="F15845" s="16" t="n">
        <v>0</v>
      </c>
    </row>
    <row r="15846">
      <c r="E15846" s="2" t="inlineStr">
        <is>
          <t>TOTAL HARGA SATUAN (Inc. Overhead)</t>
        </is>
      </c>
      <c r="F15846" s="17" t="n">
        <v>7731988</v>
      </c>
    </row>
    <row r="15848">
      <c r="A15848" s="14" t="inlineStr">
        <is>
          <t>KODE: 6.5.11.13 - Pemasangan 1 buah Flow Meter Analog 10 K, Dia. 4" (100 mm)</t>
        </is>
      </c>
    </row>
    <row r="15849">
      <c r="A15849" s="10" t="inlineStr">
        <is>
          <t>No</t>
        </is>
      </c>
      <c r="B15849" s="10" t="inlineStr">
        <is>
          <t>Uraian Komponen</t>
        </is>
      </c>
      <c r="C15849" s="10" t="inlineStr">
        <is>
          <t>Satuan</t>
        </is>
      </c>
      <c r="D15849" s="10" t="inlineStr">
        <is>
          <t>Koef</t>
        </is>
      </c>
      <c r="E15849" s="10" t="inlineStr">
        <is>
          <t>Harga Satuan (Rp)</t>
        </is>
      </c>
      <c r="F15849" s="10" t="inlineStr">
        <is>
          <t>Jumlah Harga (Rp)</t>
        </is>
      </c>
    </row>
    <row r="15850">
      <c r="A15850" s="3" t="inlineStr">
        <is>
          <t>1</t>
        </is>
      </c>
      <c r="B15850" s="3" t="inlineStr">
        <is>
          <t>Pekerja</t>
        </is>
      </c>
      <c r="C15850" s="3" t="inlineStr">
        <is>
          <t>OH</t>
        </is>
      </c>
      <c r="D15850" s="15" t="n">
        <v>0.631</v>
      </c>
      <c r="E15850" s="4" t="n">
        <v>100000</v>
      </c>
      <c r="F15850" s="4" t="n">
        <v>63100</v>
      </c>
    </row>
    <row r="15851">
      <c r="A15851" s="3" t="inlineStr">
        <is>
          <t>2</t>
        </is>
      </c>
      <c r="B15851" s="3" t="inlineStr">
        <is>
          <t>Tukang pipa</t>
        </is>
      </c>
      <c r="C15851" s="3" t="inlineStr">
        <is>
          <t>OH</t>
        </is>
      </c>
      <c r="D15851" s="15" t="n">
        <v>1.054</v>
      </c>
      <c r="E15851" s="4" t="n">
        <v>145000</v>
      </c>
      <c r="F15851" s="4" t="n">
        <v>152830</v>
      </c>
    </row>
    <row r="15852">
      <c r="A15852" s="3" t="inlineStr">
        <is>
          <t>3</t>
        </is>
      </c>
      <c r="B15852" s="3" t="inlineStr">
        <is>
          <t>Kepala tukang</t>
        </is>
      </c>
      <c r="C15852" s="3" t="inlineStr">
        <is>
          <t>OH</t>
        </is>
      </c>
      <c r="D15852" s="15" t="n">
        <v>0.105</v>
      </c>
      <c r="E15852" s="4" t="n">
        <v>175000</v>
      </c>
      <c r="F15852" s="4" t="n">
        <v>18375</v>
      </c>
    </row>
    <row r="15853">
      <c r="A15853" s="3" t="inlineStr">
        <is>
          <t>4</t>
        </is>
      </c>
      <c r="B15853" s="3" t="inlineStr">
        <is>
          <t>Mandor</t>
        </is>
      </c>
      <c r="C15853" s="3" t="inlineStr">
        <is>
          <t>OH</t>
        </is>
      </c>
      <c r="D15853" s="15" t="n">
        <v>0.032</v>
      </c>
      <c r="E15853" s="4" t="n">
        <v>200000</v>
      </c>
      <c r="F15853" s="4" t="n">
        <v>6400</v>
      </c>
    </row>
    <row r="15854">
      <c r="A15854" s="3" t="inlineStr">
        <is>
          <t>1</t>
        </is>
      </c>
      <c r="B15854" s="3" t="inlineStr">
        <is>
          <t>"Flow Meter Analog dia.4"""</t>
        </is>
      </c>
      <c r="C15854" s="3" t="inlineStr">
        <is>
          <t>Bh</t>
        </is>
      </c>
      <c r="D15854" s="15" t="n">
        <v>1.3</v>
      </c>
      <c r="E15854" s="4" t="n">
        <v>2449000</v>
      </c>
      <c r="F15854" s="4" t="n">
        <v>3183700</v>
      </c>
    </row>
    <row r="15855">
      <c r="D15855" s="2" t="inlineStr">
        <is>
          <t>SUBTOTAL UPAH</t>
        </is>
      </c>
      <c r="F15855" s="16" t="n">
        <v>240705</v>
      </c>
    </row>
    <row r="15856">
      <c r="D15856" s="2" t="inlineStr">
        <is>
          <t>SUBTOTAL BAHAN</t>
        </is>
      </c>
      <c r="F15856" s="16" t="n">
        <v>3183700</v>
      </c>
    </row>
    <row r="15857">
      <c r="D15857" s="2" t="inlineStr">
        <is>
          <t>SUBTOTAL ALAT</t>
        </is>
      </c>
      <c r="F15857" s="16" t="n">
        <v>0</v>
      </c>
    </row>
    <row r="15858">
      <c r="E15858" s="2" t="inlineStr">
        <is>
          <t>TOTAL HARGA SATUAN (Inc. Overhead)</t>
        </is>
      </c>
      <c r="F15858" s="17" t="n">
        <v>3766845</v>
      </c>
    </row>
    <row r="15860">
      <c r="A15860" s="14" t="inlineStr">
        <is>
          <t>KODE: 6.5.11.14 - Pemasangan 1 buah flow meter analog 10 K, Dia 1" (25 mm)</t>
        </is>
      </c>
    </row>
    <row r="15861">
      <c r="A15861" s="10" t="inlineStr">
        <is>
          <t>No</t>
        </is>
      </c>
      <c r="B15861" s="10" t="inlineStr">
        <is>
          <t>Uraian Komponen</t>
        </is>
      </c>
      <c r="C15861" s="10" t="inlineStr">
        <is>
          <t>Satuan</t>
        </is>
      </c>
      <c r="D15861" s="10" t="inlineStr">
        <is>
          <t>Koef</t>
        </is>
      </c>
      <c r="E15861" s="10" t="inlineStr">
        <is>
          <t>Harga Satuan (Rp)</t>
        </is>
      </c>
      <c r="F15861" s="10" t="inlineStr">
        <is>
          <t>Jumlah Harga (Rp)</t>
        </is>
      </c>
    </row>
    <row r="15862">
      <c r="A15862" s="3" t="inlineStr">
        <is>
          <t>1</t>
        </is>
      </c>
      <c r="B15862" s="3" t="inlineStr">
        <is>
          <t>Pekerja</t>
        </is>
      </c>
      <c r="C15862" s="3" t="inlineStr">
        <is>
          <t>OH</t>
        </is>
      </c>
      <c r="D15862" s="15" t="n">
        <v>0.105</v>
      </c>
      <c r="E15862" s="4" t="n">
        <v>100000</v>
      </c>
      <c r="F15862" s="4" t="n">
        <v>10500</v>
      </c>
    </row>
    <row r="15863">
      <c r="A15863" s="3" t="inlineStr">
        <is>
          <t>2</t>
        </is>
      </c>
      <c r="B15863" s="3" t="inlineStr">
        <is>
          <t>Tukang pipa</t>
        </is>
      </c>
      <c r="C15863" s="3" t="inlineStr">
        <is>
          <t>OH</t>
        </is>
      </c>
      <c r="D15863" s="15" t="n">
        <v>0.175</v>
      </c>
      <c r="E15863" s="4" t="n">
        <v>145000</v>
      </c>
      <c r="F15863" s="4" t="n">
        <v>25375</v>
      </c>
    </row>
    <row r="15864">
      <c r="A15864" s="3" t="inlineStr">
        <is>
          <t>3</t>
        </is>
      </c>
      <c r="B15864" s="3" t="inlineStr">
        <is>
          <t>Kepala tukang</t>
        </is>
      </c>
      <c r="C15864" s="3" t="inlineStr">
        <is>
          <t>OH</t>
        </is>
      </c>
      <c r="D15864" s="15" t="n">
        <v>0.017</v>
      </c>
      <c r="E15864" s="4" t="n">
        <v>175000</v>
      </c>
      <c r="F15864" s="4" t="n">
        <v>2975</v>
      </c>
    </row>
    <row r="15865">
      <c r="A15865" s="3" t="inlineStr">
        <is>
          <t>4</t>
        </is>
      </c>
      <c r="B15865" s="3" t="inlineStr">
        <is>
          <t>Mandor</t>
        </is>
      </c>
      <c r="C15865" s="3" t="inlineStr">
        <is>
          <t>OH</t>
        </is>
      </c>
      <c r="D15865" s="15" t="n">
        <v>0.005</v>
      </c>
      <c r="E15865" s="4" t="n">
        <v>200000</v>
      </c>
      <c r="F15865" s="4" t="n">
        <v>1000</v>
      </c>
    </row>
    <row r="15866">
      <c r="A15866" s="3" t="inlineStr">
        <is>
          <t>1</t>
        </is>
      </c>
      <c r="B15866" s="3" t="inlineStr">
        <is>
          <t>"Flow Meter Analog 10 K Dia 1"" (25 mm)"</t>
        </is>
      </c>
      <c r="C15866" s="3" t="inlineStr">
        <is>
          <t>Bh</t>
        </is>
      </c>
      <c r="D15866" s="15" t="n">
        <v>1.1</v>
      </c>
      <c r="E15866" s="4" t="n">
        <v>650000</v>
      </c>
      <c r="F15866" s="4" t="n">
        <v>715000</v>
      </c>
    </row>
    <row r="15867">
      <c r="D15867" s="2" t="inlineStr">
        <is>
          <t>SUBTOTAL UPAH</t>
        </is>
      </c>
      <c r="F15867" s="16" t="n">
        <v>39850</v>
      </c>
    </row>
    <row r="15868">
      <c r="D15868" s="2" t="inlineStr">
        <is>
          <t>SUBTOTAL BAHAN</t>
        </is>
      </c>
      <c r="F15868" s="16" t="n">
        <v>715000</v>
      </c>
    </row>
    <row r="15869">
      <c r="D15869" s="2" t="inlineStr">
        <is>
          <t>SUBTOTAL ALAT</t>
        </is>
      </c>
      <c r="F15869" s="16" t="n">
        <v>0</v>
      </c>
    </row>
    <row r="15870">
      <c r="E15870" s="2" t="inlineStr">
        <is>
          <t>TOTAL HARGA SATUAN (Inc. Overhead)</t>
        </is>
      </c>
      <c r="F15870" s="17" t="n">
        <v>830335</v>
      </c>
    </row>
    <row r="15872">
      <c r="A15872" s="14" t="inlineStr">
        <is>
          <t>KODE: 6.5.11.15 - Pemasangan 1 buah water meter, DN 2-1/2" (65 mm)</t>
        </is>
      </c>
    </row>
    <row r="15873">
      <c r="A15873" s="10" t="inlineStr">
        <is>
          <t>No</t>
        </is>
      </c>
      <c r="B15873" s="10" t="inlineStr">
        <is>
          <t>Uraian Komponen</t>
        </is>
      </c>
      <c r="C15873" s="10" t="inlineStr">
        <is>
          <t>Satuan</t>
        </is>
      </c>
      <c r="D15873" s="10" t="inlineStr">
        <is>
          <t>Koef</t>
        </is>
      </c>
      <c r="E15873" s="10" t="inlineStr">
        <is>
          <t>Harga Satuan (Rp)</t>
        </is>
      </c>
      <c r="F15873" s="10" t="inlineStr">
        <is>
          <t>Jumlah Harga (Rp)</t>
        </is>
      </c>
    </row>
    <row r="15874">
      <c r="A15874" s="3" t="inlineStr">
        <is>
          <t>1</t>
        </is>
      </c>
      <c r="B15874" s="3" t="inlineStr">
        <is>
          <t>Pekerja</t>
        </is>
      </c>
      <c r="C15874" s="3" t="inlineStr">
        <is>
          <t>OH</t>
        </is>
      </c>
      <c r="D15874" s="15" t="n">
        <v>0.207</v>
      </c>
      <c r="E15874" s="4" t="n">
        <v>100000</v>
      </c>
      <c r="F15874" s="4" t="n">
        <v>20700</v>
      </c>
    </row>
    <row r="15875">
      <c r="A15875" s="3" t="inlineStr">
        <is>
          <t>2</t>
        </is>
      </c>
      <c r="B15875" s="3" t="inlineStr">
        <is>
          <t>Tukang pipa</t>
        </is>
      </c>
      <c r="C15875" s="3" t="inlineStr">
        <is>
          <t>OH</t>
        </is>
      </c>
      <c r="D15875" s="15" t="n">
        <v>0.346</v>
      </c>
      <c r="E15875" s="4" t="n">
        <v>145000</v>
      </c>
      <c r="F15875" s="4" t="n">
        <v>50169.99999999999</v>
      </c>
    </row>
    <row r="15876">
      <c r="A15876" s="3" t="inlineStr">
        <is>
          <t>3</t>
        </is>
      </c>
      <c r="B15876" s="3" t="inlineStr">
        <is>
          <t>Kepala tukang</t>
        </is>
      </c>
      <c r="C15876" s="3" t="inlineStr">
        <is>
          <t>OH</t>
        </is>
      </c>
      <c r="D15876" s="15" t="n">
        <v>0.035</v>
      </c>
      <c r="E15876" s="4" t="n">
        <v>175000</v>
      </c>
      <c r="F15876" s="4" t="n">
        <v>6125.000000000001</v>
      </c>
    </row>
    <row r="15877">
      <c r="A15877" s="3" t="inlineStr">
        <is>
          <t>4</t>
        </is>
      </c>
      <c r="B15877" s="3" t="inlineStr">
        <is>
          <t>Mandor</t>
        </is>
      </c>
      <c r="C15877" s="3" t="inlineStr">
        <is>
          <t>OH</t>
        </is>
      </c>
      <c r="D15877" s="15" t="n">
        <v>0.012</v>
      </c>
      <c r="E15877" s="4" t="n">
        <v>200000</v>
      </c>
      <c r="F15877" s="4" t="n">
        <v>2400</v>
      </c>
    </row>
    <row r="15878">
      <c r="A15878" s="3" t="inlineStr">
        <is>
          <t>1</t>
        </is>
      </c>
      <c r="B15878" s="3" t="inlineStr">
        <is>
          <t>"water meter DN 2-1/2"" (65 mm)"</t>
        </is>
      </c>
      <c r="C15878" s="3" t="inlineStr">
        <is>
          <t>Bh</t>
        </is>
      </c>
      <c r="D15878" s="15" t="n">
        <v>1.1</v>
      </c>
      <c r="E15878" s="4" t="n">
        <v>750000</v>
      </c>
      <c r="F15878" s="4" t="n">
        <v>825000.0000000001</v>
      </c>
    </row>
    <row r="15879">
      <c r="D15879" s="2" t="inlineStr">
        <is>
          <t>SUBTOTAL UPAH</t>
        </is>
      </c>
      <c r="F15879" s="16" t="n">
        <v>79395</v>
      </c>
    </row>
    <row r="15880">
      <c r="D15880" s="2" t="inlineStr">
        <is>
          <t>SUBTOTAL BAHAN</t>
        </is>
      </c>
      <c r="F15880" s="16" t="n">
        <v>825000.0000000001</v>
      </c>
    </row>
    <row r="15881">
      <c r="D15881" s="2" t="inlineStr">
        <is>
          <t>SUBTOTAL ALAT</t>
        </is>
      </c>
      <c r="F15881" s="16" t="n">
        <v>0</v>
      </c>
    </row>
    <row r="15882">
      <c r="E15882" s="2" t="inlineStr">
        <is>
          <t>TOTAL HARGA SATUAN (Inc. Overhead)</t>
        </is>
      </c>
      <c r="F15882" s="17" t="n">
        <v>994834</v>
      </c>
    </row>
    <row r="15884">
      <c r="A15884" s="14" t="inlineStr">
        <is>
          <t>KODE: 6.5.12.1 - Pemasangan 1 buah Clean Out, Dia. 2" (50 mm)</t>
        </is>
      </c>
    </row>
    <row r="15885">
      <c r="A15885" s="10" t="inlineStr">
        <is>
          <t>No</t>
        </is>
      </c>
      <c r="B15885" s="10" t="inlineStr">
        <is>
          <t>Uraian Komponen</t>
        </is>
      </c>
      <c r="C15885" s="10" t="inlineStr">
        <is>
          <t>Satuan</t>
        </is>
      </c>
      <c r="D15885" s="10" t="inlineStr">
        <is>
          <t>Koef</t>
        </is>
      </c>
      <c r="E15885" s="10" t="inlineStr">
        <is>
          <t>Harga Satuan (Rp)</t>
        </is>
      </c>
      <c r="F15885" s="10" t="inlineStr">
        <is>
          <t>Jumlah Harga (Rp)</t>
        </is>
      </c>
    </row>
    <row r="15886">
      <c r="A15886" s="3" t="inlineStr">
        <is>
          <t>1</t>
        </is>
      </c>
      <c r="B15886" s="3" t="inlineStr">
        <is>
          <t>Pekerja</t>
        </is>
      </c>
      <c r="C15886" s="3" t="inlineStr">
        <is>
          <t>OH</t>
        </is>
      </c>
      <c r="D15886" s="15" t="n">
        <v>0.094</v>
      </c>
      <c r="E15886" s="4" t="n">
        <v>100000</v>
      </c>
      <c r="F15886" s="4" t="n">
        <v>9400</v>
      </c>
    </row>
    <row r="15887">
      <c r="A15887" s="3" t="inlineStr">
        <is>
          <t>2</t>
        </is>
      </c>
      <c r="B15887" s="3" t="inlineStr">
        <is>
          <t>Tukang pipa</t>
        </is>
      </c>
      <c r="C15887" s="3" t="inlineStr">
        <is>
          <t>OH</t>
        </is>
      </c>
      <c r="D15887" s="15" t="n">
        <v>0.157</v>
      </c>
      <c r="E15887" s="4" t="n">
        <v>145000</v>
      </c>
      <c r="F15887" s="4" t="n">
        <v>22765</v>
      </c>
    </row>
    <row r="15888">
      <c r="A15888" s="3" t="inlineStr">
        <is>
          <t>3</t>
        </is>
      </c>
      <c r="B15888" s="3" t="inlineStr">
        <is>
          <t>Kepala tukang</t>
        </is>
      </c>
      <c r="C15888" s="3" t="inlineStr">
        <is>
          <t>OH</t>
        </is>
      </c>
      <c r="D15888" s="15" t="n">
        <v>0.016</v>
      </c>
      <c r="E15888" s="4" t="n">
        <v>175000</v>
      </c>
      <c r="F15888" s="4" t="n">
        <v>2800</v>
      </c>
    </row>
    <row r="15889">
      <c r="A15889" s="3" t="inlineStr">
        <is>
          <t>4</t>
        </is>
      </c>
      <c r="B15889" s="3" t="inlineStr">
        <is>
          <t>Mandor</t>
        </is>
      </c>
      <c r="C15889" s="3" t="inlineStr">
        <is>
          <t>OH</t>
        </is>
      </c>
      <c r="D15889" s="15" t="n">
        <v>0.005</v>
      </c>
      <c r="E15889" s="4" t="n">
        <v>200000</v>
      </c>
      <c r="F15889" s="4" t="n">
        <v>1000</v>
      </c>
    </row>
    <row r="15890">
      <c r="A15890" s="3" t="inlineStr">
        <is>
          <t>1</t>
        </is>
      </c>
      <c r="B15890" s="3" t="inlineStr">
        <is>
          <t>"Clean Out dia. 2"""</t>
        </is>
      </c>
      <c r="C15890" s="3" t="inlineStr">
        <is>
          <t>Bh</t>
        </is>
      </c>
      <c r="D15890" s="15" t="n">
        <v>1.1</v>
      </c>
      <c r="E15890" s="4" t="n">
        <v>47500</v>
      </c>
      <c r="F15890" s="4" t="n">
        <v>52250.00000000001</v>
      </c>
    </row>
    <row r="15891">
      <c r="D15891" s="2" t="inlineStr">
        <is>
          <t>SUBTOTAL UPAH</t>
        </is>
      </c>
      <c r="F15891" s="16" t="n">
        <v>35965</v>
      </c>
    </row>
    <row r="15892">
      <c r="D15892" s="2" t="inlineStr">
        <is>
          <t>SUBTOTAL BAHAN</t>
        </is>
      </c>
      <c r="F15892" s="16" t="n">
        <v>52250.00000000001</v>
      </c>
    </row>
    <row r="15893">
      <c r="D15893" s="2" t="inlineStr">
        <is>
          <t>SUBTOTAL ALAT</t>
        </is>
      </c>
      <c r="F15893" s="16" t="n">
        <v>0</v>
      </c>
    </row>
    <row r="15894">
      <c r="E15894" s="2" t="inlineStr">
        <is>
          <t>TOTAL HARGA SATUAN (Inc. Overhead)</t>
        </is>
      </c>
      <c r="F15894" s="17" t="n">
        <v>97036</v>
      </c>
    </row>
    <row r="15896">
      <c r="A15896" s="14" t="inlineStr">
        <is>
          <t>KODE: 6.5.12.2 - Pemasangan 1 buah Clean Out, Dia. 2-1/2" (65 mm)</t>
        </is>
      </c>
    </row>
    <row r="15897">
      <c r="A15897" s="10" t="inlineStr">
        <is>
          <t>No</t>
        </is>
      </c>
      <c r="B15897" s="10" t="inlineStr">
        <is>
          <t>Uraian Komponen</t>
        </is>
      </c>
      <c r="C15897" s="10" t="inlineStr">
        <is>
          <t>Satuan</t>
        </is>
      </c>
      <c r="D15897" s="10" t="inlineStr">
        <is>
          <t>Koef</t>
        </is>
      </c>
      <c r="E15897" s="10" t="inlineStr">
        <is>
          <t>Harga Satuan (Rp)</t>
        </is>
      </c>
      <c r="F15897" s="10" t="inlineStr">
        <is>
          <t>Jumlah Harga (Rp)</t>
        </is>
      </c>
    </row>
    <row r="15898">
      <c r="A15898" s="3" t="inlineStr">
        <is>
          <t>1</t>
        </is>
      </c>
      <c r="B15898" s="3" t="inlineStr">
        <is>
          <t>Pekerja</t>
        </is>
      </c>
      <c r="C15898" s="3" t="inlineStr">
        <is>
          <t>OH</t>
        </is>
      </c>
      <c r="D15898" s="15" t="n">
        <v>0.115</v>
      </c>
      <c r="E15898" s="4" t="n">
        <v>100000</v>
      </c>
      <c r="F15898" s="4" t="n">
        <v>11500</v>
      </c>
    </row>
    <row r="15899">
      <c r="A15899" s="3" t="inlineStr">
        <is>
          <t>2</t>
        </is>
      </c>
      <c r="B15899" s="3" t="inlineStr">
        <is>
          <t>Tukang pipa</t>
        </is>
      </c>
      <c r="C15899" s="3" t="inlineStr">
        <is>
          <t>OH</t>
        </is>
      </c>
      <c r="D15899" s="15" t="n">
        <v>0.193</v>
      </c>
      <c r="E15899" s="4" t="n">
        <v>145000</v>
      </c>
      <c r="F15899" s="4" t="n">
        <v>27985</v>
      </c>
    </row>
    <row r="15900">
      <c r="A15900" s="3" t="inlineStr">
        <is>
          <t>3</t>
        </is>
      </c>
      <c r="B15900" s="3" t="inlineStr">
        <is>
          <t>Kepala tukang</t>
        </is>
      </c>
      <c r="C15900" s="3" t="inlineStr">
        <is>
          <t>OH</t>
        </is>
      </c>
      <c r="D15900" s="15" t="n">
        <v>0.019</v>
      </c>
      <c r="E15900" s="4" t="n">
        <v>175000</v>
      </c>
      <c r="F15900" s="4" t="n">
        <v>3325</v>
      </c>
    </row>
    <row r="15901">
      <c r="A15901" s="3" t="inlineStr">
        <is>
          <t>4</t>
        </is>
      </c>
      <c r="B15901" s="3" t="inlineStr">
        <is>
          <t>Mandor</t>
        </is>
      </c>
      <c r="C15901" s="3" t="inlineStr">
        <is>
          <t>OH</t>
        </is>
      </c>
      <c r="D15901" s="15" t="n">
        <v>0.006</v>
      </c>
      <c r="E15901" s="4" t="n">
        <v>200000</v>
      </c>
      <c r="F15901" s="4" t="n">
        <v>1200</v>
      </c>
    </row>
    <row r="15902">
      <c r="A15902" s="3" t="inlineStr">
        <is>
          <t>1</t>
        </is>
      </c>
      <c r="B15902" s="3" t="inlineStr">
        <is>
          <t>"Clean Out dia. 2-1/2"""</t>
        </is>
      </c>
      <c r="C15902" s="3" t="inlineStr">
        <is>
          <t>Bh</t>
        </is>
      </c>
      <c r="D15902" s="15" t="n">
        <v>1.1</v>
      </c>
      <c r="E15902" s="4" t="n">
        <v>56700</v>
      </c>
      <c r="F15902" s="4" t="n">
        <v>62370.00000000001</v>
      </c>
    </row>
    <row r="15903">
      <c r="D15903" s="2" t="inlineStr">
        <is>
          <t>SUBTOTAL UPAH</t>
        </is>
      </c>
      <c r="F15903" s="16" t="n">
        <v>44010</v>
      </c>
    </row>
    <row r="15904">
      <c r="D15904" s="2" t="inlineStr">
        <is>
          <t>SUBTOTAL BAHAN</t>
        </is>
      </c>
      <c r="F15904" s="16" t="n">
        <v>62370.00000000001</v>
      </c>
    </row>
    <row r="15905">
      <c r="D15905" s="2" t="inlineStr">
        <is>
          <t>SUBTOTAL ALAT</t>
        </is>
      </c>
      <c r="F15905" s="16" t="n">
        <v>0</v>
      </c>
    </row>
    <row r="15906">
      <c r="E15906" s="2" t="inlineStr">
        <is>
          <t>TOTAL HARGA SATUAN (Inc. Overhead)</t>
        </is>
      </c>
      <c r="F15906" s="17" t="n">
        <v>117018</v>
      </c>
    </row>
    <row r="15908">
      <c r="A15908" s="14" t="inlineStr">
        <is>
          <t>KODE: 6.5.12.3 - Pemasangan 1 buah Clean Out, Dia. 3" (80 mm)</t>
        </is>
      </c>
    </row>
    <row r="15909">
      <c r="A15909" s="10" t="inlineStr">
        <is>
          <t>No</t>
        </is>
      </c>
      <c r="B15909" s="10" t="inlineStr">
        <is>
          <t>Uraian Komponen</t>
        </is>
      </c>
      <c r="C15909" s="10" t="inlineStr">
        <is>
          <t>Satuan</t>
        </is>
      </c>
      <c r="D15909" s="10" t="inlineStr">
        <is>
          <t>Koef</t>
        </is>
      </c>
      <c r="E15909" s="10" t="inlineStr">
        <is>
          <t>Harga Satuan (Rp)</t>
        </is>
      </c>
      <c r="F15909" s="10" t="inlineStr">
        <is>
          <t>Jumlah Harga (Rp)</t>
        </is>
      </c>
    </row>
    <row r="15910">
      <c r="A15910" s="3" t="inlineStr">
        <is>
          <t>1</t>
        </is>
      </c>
      <c r="B15910" s="3" t="inlineStr">
        <is>
          <t>Pekerja</t>
        </is>
      </c>
      <c r="C15910" s="3" t="inlineStr">
        <is>
          <t>OH</t>
        </is>
      </c>
      <c r="D15910" s="15" t="n">
        <v>0.183</v>
      </c>
      <c r="E15910" s="4" t="n">
        <v>100000</v>
      </c>
      <c r="F15910" s="4" t="n">
        <v>18300</v>
      </c>
    </row>
    <row r="15911">
      <c r="A15911" s="3" t="inlineStr">
        <is>
          <t>2</t>
        </is>
      </c>
      <c r="B15911" s="3" t="inlineStr">
        <is>
          <t>Tukang pipa</t>
        </is>
      </c>
      <c r="C15911" s="3" t="inlineStr">
        <is>
          <t>OH</t>
        </is>
      </c>
      <c r="D15911" s="15" t="n">
        <v>0.306</v>
      </c>
      <c r="E15911" s="4" t="n">
        <v>145000</v>
      </c>
      <c r="F15911" s="4" t="n">
        <v>44370</v>
      </c>
    </row>
    <row r="15912">
      <c r="A15912" s="3" t="inlineStr">
        <is>
          <t>3</t>
        </is>
      </c>
      <c r="B15912" s="3" t="inlineStr">
        <is>
          <t>Kepala tukang</t>
        </is>
      </c>
      <c r="C15912" s="3" t="inlineStr">
        <is>
          <t>OH</t>
        </is>
      </c>
      <c r="D15912" s="15" t="n">
        <v>0.031</v>
      </c>
      <c r="E15912" s="4" t="n">
        <v>175000</v>
      </c>
      <c r="F15912" s="4" t="n">
        <v>5425</v>
      </c>
    </row>
    <row r="15913">
      <c r="A15913" s="3" t="inlineStr">
        <is>
          <t>4</t>
        </is>
      </c>
      <c r="B15913" s="3" t="inlineStr">
        <is>
          <t>Mandor</t>
        </is>
      </c>
      <c r="C15913" s="3" t="inlineStr">
        <is>
          <t>OH</t>
        </is>
      </c>
      <c r="D15913" s="15" t="n">
        <v>0.008999999999999999</v>
      </c>
      <c r="E15913" s="4" t="n">
        <v>200000</v>
      </c>
      <c r="F15913" s="4" t="n">
        <v>1800</v>
      </c>
    </row>
    <row r="15914">
      <c r="A15914" s="3" t="inlineStr">
        <is>
          <t>1</t>
        </is>
      </c>
      <c r="B15914" s="3" t="inlineStr">
        <is>
          <t>"Clean Out dia. 3"""</t>
        </is>
      </c>
      <c r="C15914" s="3" t="inlineStr">
        <is>
          <t>Bh</t>
        </is>
      </c>
      <c r="D15914" s="15" t="n">
        <v>1.1</v>
      </c>
      <c r="E15914" s="4" t="n">
        <v>65000</v>
      </c>
      <c r="F15914" s="4" t="n">
        <v>71500</v>
      </c>
    </row>
    <row r="15915">
      <c r="D15915" s="2" t="inlineStr">
        <is>
          <t>SUBTOTAL UPAH</t>
        </is>
      </c>
      <c r="F15915" s="16" t="n">
        <v>69895</v>
      </c>
    </row>
    <row r="15916">
      <c r="D15916" s="2" t="inlineStr">
        <is>
          <t>SUBTOTAL BAHAN</t>
        </is>
      </c>
      <c r="F15916" s="16" t="n">
        <v>71500</v>
      </c>
    </row>
    <row r="15917">
      <c r="D15917" s="2" t="inlineStr">
        <is>
          <t>SUBTOTAL ALAT</t>
        </is>
      </c>
      <c r="F15917" s="16" t="n">
        <v>0</v>
      </c>
    </row>
    <row r="15918">
      <c r="E15918" s="2" t="inlineStr">
        <is>
          <t>TOTAL HARGA SATUAN (Inc. Overhead)</t>
        </is>
      </c>
      <c r="F15918" s="17" t="n">
        <v>155534</v>
      </c>
    </row>
    <row r="15920">
      <c r="A15920" s="14" t="inlineStr">
        <is>
          <t>KODE: 6.5.12.4 - Pemasangan 1 buah Clean Out, Dia. 4" (100 mm)</t>
        </is>
      </c>
    </row>
    <row r="15921">
      <c r="A15921" s="10" t="inlineStr">
        <is>
          <t>No</t>
        </is>
      </c>
      <c r="B15921" s="10" t="inlineStr">
        <is>
          <t>Uraian Komponen</t>
        </is>
      </c>
      <c r="C15921" s="10" t="inlineStr">
        <is>
          <t>Satuan</t>
        </is>
      </c>
      <c r="D15921" s="10" t="inlineStr">
        <is>
          <t>Koef</t>
        </is>
      </c>
      <c r="E15921" s="10" t="inlineStr">
        <is>
          <t>Harga Satuan (Rp)</t>
        </is>
      </c>
      <c r="F15921" s="10" t="inlineStr">
        <is>
          <t>Jumlah Harga (Rp)</t>
        </is>
      </c>
    </row>
    <row r="15922">
      <c r="A15922" s="3" t="inlineStr">
        <is>
          <t>1</t>
        </is>
      </c>
      <c r="B15922" s="3" t="inlineStr">
        <is>
          <t>Pekerja</t>
        </is>
      </c>
      <c r="C15922" s="3" t="inlineStr">
        <is>
          <t>OH</t>
        </is>
      </c>
      <c r="D15922" s="15" t="n">
        <v>0.244</v>
      </c>
      <c r="E15922" s="4" t="n">
        <v>100000</v>
      </c>
      <c r="F15922" s="4" t="n">
        <v>24400</v>
      </c>
    </row>
    <row r="15923">
      <c r="A15923" s="3" t="inlineStr">
        <is>
          <t>2</t>
        </is>
      </c>
      <c r="B15923" s="3" t="inlineStr">
        <is>
          <t>Tukang pipa</t>
        </is>
      </c>
      <c r="C15923" s="3" t="inlineStr">
        <is>
          <t>OH</t>
        </is>
      </c>
      <c r="D15923" s="15" t="n">
        <v>0.408</v>
      </c>
      <c r="E15923" s="4" t="n">
        <v>145000</v>
      </c>
      <c r="F15923" s="4" t="n">
        <v>59159.99999999999</v>
      </c>
    </row>
    <row r="15924">
      <c r="A15924" s="3" t="inlineStr">
        <is>
          <t>3</t>
        </is>
      </c>
      <c r="B15924" s="3" t="inlineStr">
        <is>
          <t>Kepala tukang</t>
        </is>
      </c>
      <c r="C15924" s="3" t="inlineStr">
        <is>
          <t>OH</t>
        </is>
      </c>
      <c r="D15924" s="15" t="n">
        <v>0.041</v>
      </c>
      <c r="E15924" s="4" t="n">
        <v>175000</v>
      </c>
      <c r="F15924" s="4" t="n">
        <v>7175</v>
      </c>
    </row>
    <row r="15925">
      <c r="A15925" s="3" t="inlineStr">
        <is>
          <t>4</t>
        </is>
      </c>
      <c r="B15925" s="3" t="inlineStr">
        <is>
          <t>Mandor</t>
        </is>
      </c>
      <c r="C15925" s="3" t="inlineStr">
        <is>
          <t>OH</t>
        </is>
      </c>
      <c r="D15925" s="15" t="n">
        <v>0.012</v>
      </c>
      <c r="E15925" s="4" t="n">
        <v>200000</v>
      </c>
      <c r="F15925" s="4" t="n">
        <v>2400</v>
      </c>
    </row>
    <row r="15926">
      <c r="A15926" s="3" t="inlineStr">
        <is>
          <t>1</t>
        </is>
      </c>
      <c r="B15926" s="3" t="inlineStr">
        <is>
          <t>"Clean Out dia. 4"""</t>
        </is>
      </c>
      <c r="C15926" s="3" t="inlineStr">
        <is>
          <t>Bh</t>
        </is>
      </c>
      <c r="D15926" s="15" t="n">
        <v>1.1</v>
      </c>
      <c r="E15926" s="4" t="n">
        <v>72500</v>
      </c>
      <c r="F15926" s="4" t="n">
        <v>79750</v>
      </c>
    </row>
    <row r="15927">
      <c r="D15927" s="2" t="inlineStr">
        <is>
          <t>SUBTOTAL UPAH</t>
        </is>
      </c>
      <c r="F15927" s="16" t="n">
        <v>93135</v>
      </c>
    </row>
    <row r="15928">
      <c r="D15928" s="2" t="inlineStr">
        <is>
          <t>SUBTOTAL BAHAN</t>
        </is>
      </c>
      <c r="F15928" s="16" t="n">
        <v>79750</v>
      </c>
    </row>
    <row r="15929">
      <c r="D15929" s="2" t="inlineStr">
        <is>
          <t>SUBTOTAL ALAT</t>
        </is>
      </c>
      <c r="F15929" s="16" t="n">
        <v>0</v>
      </c>
    </row>
    <row r="15930">
      <c r="E15930" s="2" t="inlineStr">
        <is>
          <t>TOTAL HARGA SATUAN (Inc. Overhead)</t>
        </is>
      </c>
      <c r="F15930" s="17" t="n">
        <v>190173</v>
      </c>
    </row>
    <row r="15932">
      <c r="A15932" s="14" t="inlineStr">
        <is>
          <t>KODE: 6.5.12.5 - Pemasangan 1 buah Clean Out, Dia. 5" (125 mm)</t>
        </is>
      </c>
    </row>
    <row r="15933">
      <c r="A15933" s="10" t="inlineStr">
        <is>
          <t>No</t>
        </is>
      </c>
      <c r="B15933" s="10" t="inlineStr">
        <is>
          <t>Uraian Komponen</t>
        </is>
      </c>
      <c r="C15933" s="10" t="inlineStr">
        <is>
          <t>Satuan</t>
        </is>
      </c>
      <c r="D15933" s="10" t="inlineStr">
        <is>
          <t>Koef</t>
        </is>
      </c>
      <c r="E15933" s="10" t="inlineStr">
        <is>
          <t>Harga Satuan (Rp)</t>
        </is>
      </c>
      <c r="F15933" s="10" t="inlineStr">
        <is>
          <t>Jumlah Harga (Rp)</t>
        </is>
      </c>
    </row>
    <row r="15934">
      <c r="A15934" s="3" t="inlineStr">
        <is>
          <t>1</t>
        </is>
      </c>
      <c r="B15934" s="3" t="inlineStr">
        <is>
          <t>Pekerja</t>
        </is>
      </c>
      <c r="C15934" s="3" t="inlineStr">
        <is>
          <t>OH</t>
        </is>
      </c>
      <c r="D15934" s="15" t="n">
        <v>0.305</v>
      </c>
      <c r="E15934" s="4" t="n">
        <v>100000</v>
      </c>
      <c r="F15934" s="4" t="n">
        <v>30500</v>
      </c>
    </row>
    <row r="15935">
      <c r="A15935" s="3" t="inlineStr">
        <is>
          <t>2</t>
        </is>
      </c>
      <c r="B15935" s="3" t="inlineStr">
        <is>
          <t>Tukang pipa</t>
        </is>
      </c>
      <c r="C15935" s="3" t="inlineStr">
        <is>
          <t>OH</t>
        </is>
      </c>
      <c r="D15935" s="15" t="n">
        <v>0.509</v>
      </c>
      <c r="E15935" s="4" t="n">
        <v>145000</v>
      </c>
      <c r="F15935" s="4" t="n">
        <v>73805</v>
      </c>
    </row>
    <row r="15936">
      <c r="A15936" s="3" t="inlineStr">
        <is>
          <t>3</t>
        </is>
      </c>
      <c r="B15936" s="3" t="inlineStr">
        <is>
          <t>Kepala tukang</t>
        </is>
      </c>
      <c r="C15936" s="3" t="inlineStr">
        <is>
          <t>OH</t>
        </is>
      </c>
      <c r="D15936" s="15" t="n">
        <v>0.051</v>
      </c>
      <c r="E15936" s="4" t="n">
        <v>175000</v>
      </c>
      <c r="F15936" s="4" t="n">
        <v>8925</v>
      </c>
    </row>
    <row r="15937">
      <c r="A15937" s="3" t="inlineStr">
        <is>
          <t>4</t>
        </is>
      </c>
      <c r="B15937" s="3" t="inlineStr">
        <is>
          <t>Mandor</t>
        </is>
      </c>
      <c r="C15937" s="3" t="inlineStr">
        <is>
          <t>OH</t>
        </is>
      </c>
      <c r="D15937" s="15" t="n">
        <v>0.015</v>
      </c>
      <c r="E15937" s="4" t="n">
        <v>200000</v>
      </c>
      <c r="F15937" s="4" t="n">
        <v>3000</v>
      </c>
    </row>
    <row r="15938">
      <c r="A15938" s="3" t="inlineStr">
        <is>
          <t>1</t>
        </is>
      </c>
      <c r="B15938" s="3" t="inlineStr">
        <is>
          <t>"Clean Out dia. 5"""</t>
        </is>
      </c>
      <c r="C15938" s="3" t="inlineStr">
        <is>
          <t>Bh</t>
        </is>
      </c>
      <c r="D15938" s="15" t="n">
        <v>1.1</v>
      </c>
      <c r="E15938" s="4" t="n">
        <v>178900</v>
      </c>
      <c r="F15938" s="4" t="n">
        <v>196790</v>
      </c>
    </row>
    <row r="15939">
      <c r="D15939" s="2" t="inlineStr">
        <is>
          <t>SUBTOTAL UPAH</t>
        </is>
      </c>
      <c r="F15939" s="16" t="n">
        <v>116230</v>
      </c>
    </row>
    <row r="15940">
      <c r="D15940" s="2" t="inlineStr">
        <is>
          <t>SUBTOTAL BAHAN</t>
        </is>
      </c>
      <c r="F15940" s="16" t="n">
        <v>196790</v>
      </c>
    </row>
    <row r="15941">
      <c r="D15941" s="2" t="inlineStr">
        <is>
          <t>SUBTOTAL ALAT</t>
        </is>
      </c>
      <c r="F15941" s="16" t="n">
        <v>0</v>
      </c>
    </row>
    <row r="15942">
      <c r="E15942" s="2" t="inlineStr">
        <is>
          <t>TOTAL HARGA SATUAN (Inc. Overhead)</t>
        </is>
      </c>
      <c r="F15942" s="17" t="n">
        <v>344322</v>
      </c>
    </row>
    <row r="15944">
      <c r="A15944" s="14" t="inlineStr">
        <is>
          <t>KODE: 6.5.12.6 - Pemasangan 1 buah Clean Out, Dia. 6" (150 mm)</t>
        </is>
      </c>
    </row>
    <row r="15945">
      <c r="A15945" s="10" t="inlineStr">
        <is>
          <t>No</t>
        </is>
      </c>
      <c r="B15945" s="10" t="inlineStr">
        <is>
          <t>Uraian Komponen</t>
        </is>
      </c>
      <c r="C15945" s="10" t="inlineStr">
        <is>
          <t>Satuan</t>
        </is>
      </c>
      <c r="D15945" s="10" t="inlineStr">
        <is>
          <t>Koef</t>
        </is>
      </c>
      <c r="E15945" s="10" t="inlineStr">
        <is>
          <t>Harga Satuan (Rp)</t>
        </is>
      </c>
      <c r="F15945" s="10" t="inlineStr">
        <is>
          <t>Jumlah Harga (Rp)</t>
        </is>
      </c>
    </row>
    <row r="15946">
      <c r="A15946" s="3" t="inlineStr">
        <is>
          <t>1</t>
        </is>
      </c>
      <c r="B15946" s="3" t="inlineStr">
        <is>
          <t>Pekerja</t>
        </is>
      </c>
      <c r="C15946" s="3" t="inlineStr">
        <is>
          <t>OH</t>
        </is>
      </c>
      <c r="D15946" s="15" t="n">
        <v>0.367</v>
      </c>
      <c r="E15946" s="4" t="n">
        <v>100000</v>
      </c>
      <c r="F15946" s="4" t="n">
        <v>36700</v>
      </c>
    </row>
    <row r="15947">
      <c r="A15947" s="3" t="inlineStr">
        <is>
          <t>2</t>
        </is>
      </c>
      <c r="B15947" s="3" t="inlineStr">
        <is>
          <t>Tukang pipa</t>
        </is>
      </c>
      <c r="C15947" s="3" t="inlineStr">
        <is>
          <t>OH</t>
        </is>
      </c>
      <c r="D15947" s="15" t="n">
        <v>0.612</v>
      </c>
      <c r="E15947" s="4" t="n">
        <v>145000</v>
      </c>
      <c r="F15947" s="4" t="n">
        <v>88740</v>
      </c>
    </row>
    <row r="15948">
      <c r="A15948" s="3" t="inlineStr">
        <is>
          <t>3</t>
        </is>
      </c>
      <c r="B15948" s="3" t="inlineStr">
        <is>
          <t>Kepala tukang</t>
        </is>
      </c>
      <c r="C15948" s="3" t="inlineStr">
        <is>
          <t>OH</t>
        </is>
      </c>
      <c r="D15948" s="15" t="n">
        <v>0.061</v>
      </c>
      <c r="E15948" s="4" t="n">
        <v>175000</v>
      </c>
      <c r="F15948" s="4" t="n">
        <v>10675</v>
      </c>
    </row>
    <row r="15949">
      <c r="A15949" s="3" t="inlineStr">
        <is>
          <t>4</t>
        </is>
      </c>
      <c r="B15949" s="3" t="inlineStr">
        <is>
          <t>Mandor</t>
        </is>
      </c>
      <c r="C15949" s="3" t="inlineStr">
        <is>
          <t>OH</t>
        </is>
      </c>
      <c r="D15949" s="15" t="n">
        <v>0.018</v>
      </c>
      <c r="E15949" s="4" t="n">
        <v>200000</v>
      </c>
      <c r="F15949" s="4" t="n">
        <v>3600</v>
      </c>
    </row>
    <row r="15950">
      <c r="A15950" s="3" t="inlineStr">
        <is>
          <t>1</t>
        </is>
      </c>
      <c r="B15950" s="3" t="inlineStr">
        <is>
          <t>"Clean Out dia. 6"""</t>
        </is>
      </c>
      <c r="C15950" s="3" t="inlineStr">
        <is>
          <t>Bh</t>
        </is>
      </c>
      <c r="D15950" s="15" t="n">
        <v>1.1</v>
      </c>
      <c r="E15950" s="4" t="n">
        <v>230880</v>
      </c>
      <c r="F15950" s="4" t="n">
        <v>253968</v>
      </c>
    </row>
    <row r="15951">
      <c r="D15951" s="2" t="inlineStr">
        <is>
          <t>SUBTOTAL UPAH</t>
        </is>
      </c>
      <c r="F15951" s="16" t="n">
        <v>139715</v>
      </c>
    </row>
    <row r="15952">
      <c r="D15952" s="2" t="inlineStr">
        <is>
          <t>SUBTOTAL BAHAN</t>
        </is>
      </c>
      <c r="F15952" s="16" t="n">
        <v>253968</v>
      </c>
    </row>
    <row r="15953">
      <c r="D15953" s="2" t="inlineStr">
        <is>
          <t>SUBTOTAL ALAT</t>
        </is>
      </c>
      <c r="F15953" s="16" t="n">
        <v>0</v>
      </c>
    </row>
    <row r="15954">
      <c r="E15954" s="2" t="inlineStr">
        <is>
          <t>TOTAL HARGA SATUAN (Inc. Overhead)</t>
        </is>
      </c>
      <c r="F15954" s="17" t="n">
        <v>433051</v>
      </c>
    </row>
    <row r="15956">
      <c r="A15956" s="14" t="inlineStr">
        <is>
          <t>KODE: 6.5.12.7 - Pemasangan 1 buah Clean Out, Dia. 8" (200 mm)</t>
        </is>
      </c>
    </row>
    <row r="15957">
      <c r="A15957" s="10" t="inlineStr">
        <is>
          <t>No</t>
        </is>
      </c>
      <c r="B15957" s="10" t="inlineStr">
        <is>
          <t>Uraian Komponen</t>
        </is>
      </c>
      <c r="C15957" s="10" t="inlineStr">
        <is>
          <t>Satuan</t>
        </is>
      </c>
      <c r="D15957" s="10" t="inlineStr">
        <is>
          <t>Koef</t>
        </is>
      </c>
      <c r="E15957" s="10" t="inlineStr">
        <is>
          <t>Harga Satuan (Rp)</t>
        </is>
      </c>
      <c r="F15957" s="10" t="inlineStr">
        <is>
          <t>Jumlah Harga (Rp)</t>
        </is>
      </c>
    </row>
    <row r="15958">
      <c r="A15958" s="3" t="inlineStr">
        <is>
          <t>1</t>
        </is>
      </c>
      <c r="B15958" s="3" t="inlineStr">
        <is>
          <t>Pekerja</t>
        </is>
      </c>
      <c r="C15958" s="3" t="inlineStr">
        <is>
          <t>OH</t>
        </is>
      </c>
      <c r="D15958" s="15" t="n">
        <v>0.488</v>
      </c>
      <c r="E15958" s="4" t="n">
        <v>100000</v>
      </c>
      <c r="F15958" s="4" t="n">
        <v>48800</v>
      </c>
    </row>
    <row r="15959">
      <c r="A15959" s="3" t="inlineStr">
        <is>
          <t>2</t>
        </is>
      </c>
      <c r="B15959" s="3" t="inlineStr">
        <is>
          <t>Tukang pipa</t>
        </is>
      </c>
      <c r="C15959" s="3" t="inlineStr">
        <is>
          <t>OH</t>
        </is>
      </c>
      <c r="D15959" s="15" t="n">
        <v>0.8149999999999999</v>
      </c>
      <c r="E15959" s="4" t="n">
        <v>145000</v>
      </c>
      <c r="F15959" s="4" t="n">
        <v>118175</v>
      </c>
    </row>
    <row r="15960">
      <c r="A15960" s="3" t="inlineStr">
        <is>
          <t>3</t>
        </is>
      </c>
      <c r="B15960" s="3" t="inlineStr">
        <is>
          <t>Kepala tukang</t>
        </is>
      </c>
      <c r="C15960" s="3" t="inlineStr">
        <is>
          <t>OH</t>
        </is>
      </c>
      <c r="D15960" s="15" t="n">
        <v>0.082</v>
      </c>
      <c r="E15960" s="4" t="n">
        <v>175000</v>
      </c>
      <c r="F15960" s="4" t="n">
        <v>14350</v>
      </c>
    </row>
    <row r="15961">
      <c r="A15961" s="3" t="inlineStr">
        <is>
          <t>4</t>
        </is>
      </c>
      <c r="B15961" s="3" t="inlineStr">
        <is>
          <t>Mandor</t>
        </is>
      </c>
      <c r="C15961" s="3" t="inlineStr">
        <is>
          <t>OH</t>
        </is>
      </c>
      <c r="D15961" s="15" t="n">
        <v>0.024</v>
      </c>
      <c r="E15961" s="4" t="n">
        <v>200000</v>
      </c>
      <c r="F15961" s="4" t="n">
        <v>4800</v>
      </c>
    </row>
    <row r="15962">
      <c r="A15962" s="3" t="inlineStr">
        <is>
          <t>1</t>
        </is>
      </c>
      <c r="B15962" s="3" t="inlineStr">
        <is>
          <t>"Clean Out dia. 8"""</t>
        </is>
      </c>
      <c r="C15962" s="3" t="inlineStr">
        <is>
          <t>Bh</t>
        </is>
      </c>
      <c r="D15962" s="15" t="n">
        <v>1.1</v>
      </c>
      <c r="E15962" s="4" t="n">
        <v>370000</v>
      </c>
      <c r="F15962" s="4" t="n">
        <v>407000.0000000001</v>
      </c>
    </row>
    <row r="15963">
      <c r="D15963" s="2" t="inlineStr">
        <is>
          <t>SUBTOTAL UPAH</t>
        </is>
      </c>
      <c r="F15963" s="16" t="n">
        <v>186125</v>
      </c>
    </row>
    <row r="15964">
      <c r="D15964" s="2" t="inlineStr">
        <is>
          <t>SUBTOTAL BAHAN</t>
        </is>
      </c>
      <c r="F15964" s="16" t="n">
        <v>407000.0000000001</v>
      </c>
    </row>
    <row r="15965">
      <c r="D15965" s="2" t="inlineStr">
        <is>
          <t>SUBTOTAL ALAT</t>
        </is>
      </c>
      <c r="F15965" s="16" t="n">
        <v>0</v>
      </c>
    </row>
    <row r="15966">
      <c r="E15966" s="2" t="inlineStr">
        <is>
          <t>TOTAL HARGA SATUAN (Inc. Overhead)</t>
        </is>
      </c>
      <c r="F15966" s="17" t="n">
        <v>652437</v>
      </c>
    </row>
    <row r="15968">
      <c r="A15968" s="14" t="inlineStr">
        <is>
          <t>KODE: 6.5.13.1 - Pemasangan 1 buahRoof Drain, Dia. 2" (50 mm)</t>
        </is>
      </c>
    </row>
    <row r="15969">
      <c r="A15969" s="10" t="inlineStr">
        <is>
          <t>No</t>
        </is>
      </c>
      <c r="B15969" s="10" t="inlineStr">
        <is>
          <t>Uraian Komponen</t>
        </is>
      </c>
      <c r="C15969" s="10" t="inlineStr">
        <is>
          <t>Satuan</t>
        </is>
      </c>
      <c r="D15969" s="10" t="inlineStr">
        <is>
          <t>Koef</t>
        </is>
      </c>
      <c r="E15969" s="10" t="inlineStr">
        <is>
          <t>Harga Satuan (Rp)</t>
        </is>
      </c>
      <c r="F15969" s="10" t="inlineStr">
        <is>
          <t>Jumlah Harga (Rp)</t>
        </is>
      </c>
    </row>
    <row r="15970">
      <c r="A15970" s="3" t="inlineStr">
        <is>
          <t>1</t>
        </is>
      </c>
      <c r="B15970" s="3" t="inlineStr">
        <is>
          <t>Pekerja</t>
        </is>
      </c>
      <c r="C15970" s="3" t="inlineStr">
        <is>
          <t>OH</t>
        </is>
      </c>
      <c r="D15970" s="15" t="n">
        <v>0.138</v>
      </c>
      <c r="E15970" s="4" t="n">
        <v>100000</v>
      </c>
      <c r="F15970" s="4" t="n">
        <v>13800</v>
      </c>
    </row>
    <row r="15971">
      <c r="A15971" s="3" t="inlineStr">
        <is>
          <t>2</t>
        </is>
      </c>
      <c r="B15971" s="3" t="inlineStr">
        <is>
          <t>Tukang pipa</t>
        </is>
      </c>
      <c r="C15971" s="3" t="inlineStr">
        <is>
          <t>OH</t>
        </is>
      </c>
      <c r="D15971" s="15" t="n">
        <v>0.231</v>
      </c>
      <c r="E15971" s="4" t="n">
        <v>145000</v>
      </c>
      <c r="F15971" s="4" t="n">
        <v>33495</v>
      </c>
    </row>
    <row r="15972">
      <c r="A15972" s="3" t="inlineStr">
        <is>
          <t>3</t>
        </is>
      </c>
      <c r="B15972" s="3" t="inlineStr">
        <is>
          <t>Kepala tukang</t>
        </is>
      </c>
      <c r="C15972" s="3" t="inlineStr">
        <is>
          <t>OH</t>
        </is>
      </c>
      <c r="D15972" s="15" t="n">
        <v>0.023</v>
      </c>
      <c r="E15972" s="4" t="n">
        <v>175000</v>
      </c>
      <c r="F15972" s="4" t="n">
        <v>4025</v>
      </c>
    </row>
    <row r="15973">
      <c r="A15973" s="3" t="inlineStr">
        <is>
          <t>4</t>
        </is>
      </c>
      <c r="B15973" s="3" t="inlineStr">
        <is>
          <t>Mandor</t>
        </is>
      </c>
      <c r="C15973" s="3" t="inlineStr">
        <is>
          <t>OH</t>
        </is>
      </c>
      <c r="D15973" s="15" t="n">
        <v>0.007</v>
      </c>
      <c r="E15973" s="4" t="n">
        <v>200000</v>
      </c>
      <c r="F15973" s="4" t="n">
        <v>1400</v>
      </c>
    </row>
    <row r="15974">
      <c r="A15974" s="3" t="inlineStr">
        <is>
          <t>1</t>
        </is>
      </c>
      <c r="B15974" s="3" t="inlineStr">
        <is>
          <t>"Roof Drain dia. 2"""</t>
        </is>
      </c>
      <c r="C15974" s="3" t="inlineStr">
        <is>
          <t>Bh</t>
        </is>
      </c>
      <c r="D15974" s="15" t="n">
        <v>1.25</v>
      </c>
      <c r="E15974" s="4" t="n">
        <v>29800</v>
      </c>
      <c r="F15974" s="4" t="n">
        <v>37250</v>
      </c>
    </row>
    <row r="15975">
      <c r="D15975" s="2" t="inlineStr">
        <is>
          <t>SUBTOTAL UPAH</t>
        </is>
      </c>
      <c r="F15975" s="16" t="n">
        <v>52720</v>
      </c>
    </row>
    <row r="15976">
      <c r="D15976" s="2" t="inlineStr">
        <is>
          <t>SUBTOTAL BAHAN</t>
        </is>
      </c>
      <c r="F15976" s="16" t="n">
        <v>37250</v>
      </c>
    </row>
    <row r="15977">
      <c r="D15977" s="2" t="inlineStr">
        <is>
          <t>SUBTOTAL ALAT</t>
        </is>
      </c>
      <c r="F15977" s="16" t="n">
        <v>0</v>
      </c>
    </row>
    <row r="15978">
      <c r="E15978" s="2" t="inlineStr">
        <is>
          <t>TOTAL HARGA SATUAN (Inc. Overhead)</t>
        </is>
      </c>
      <c r="F15978" s="17" t="n">
        <v>98967</v>
      </c>
    </row>
    <row r="15980">
      <c r="A15980" s="14" t="inlineStr">
        <is>
          <t>KODE: 6.5.13.2 - Pemasangan 1 buahRoof Drain, Dia. 2-1/2" (65 mm)</t>
        </is>
      </c>
    </row>
    <row r="15981">
      <c r="A15981" s="10" t="inlineStr">
        <is>
          <t>No</t>
        </is>
      </c>
      <c r="B15981" s="10" t="inlineStr">
        <is>
          <t>Uraian Komponen</t>
        </is>
      </c>
      <c r="C15981" s="10" t="inlineStr">
        <is>
          <t>Satuan</t>
        </is>
      </c>
      <c r="D15981" s="10" t="inlineStr">
        <is>
          <t>Koef</t>
        </is>
      </c>
      <c r="E15981" s="10" t="inlineStr">
        <is>
          <t>Harga Satuan (Rp)</t>
        </is>
      </c>
      <c r="F15981" s="10" t="inlineStr">
        <is>
          <t>Jumlah Harga (Rp)</t>
        </is>
      </c>
    </row>
    <row r="15982">
      <c r="A15982" s="3" t="inlineStr">
        <is>
          <t>1</t>
        </is>
      </c>
      <c r="B15982" s="3" t="inlineStr">
        <is>
          <t>Pekerja</t>
        </is>
      </c>
      <c r="C15982" s="3" t="inlineStr">
        <is>
          <t>OH</t>
        </is>
      </c>
      <c r="D15982" s="15" t="n">
        <v>0.173</v>
      </c>
      <c r="E15982" s="4" t="n">
        <v>100000</v>
      </c>
      <c r="F15982" s="4" t="n">
        <v>17300</v>
      </c>
    </row>
    <row r="15983">
      <c r="A15983" s="3" t="inlineStr">
        <is>
          <t>2</t>
        </is>
      </c>
      <c r="B15983" s="3" t="inlineStr">
        <is>
          <t>Tukang pipa</t>
        </is>
      </c>
      <c r="C15983" s="3" t="inlineStr">
        <is>
          <t>OH</t>
        </is>
      </c>
      <c r="D15983" s="15" t="n">
        <v>0.289</v>
      </c>
      <c r="E15983" s="4" t="n">
        <v>145000</v>
      </c>
      <c r="F15983" s="4" t="n">
        <v>41905</v>
      </c>
    </row>
    <row r="15984">
      <c r="A15984" s="3" t="inlineStr">
        <is>
          <t>3</t>
        </is>
      </c>
      <c r="B15984" s="3" t="inlineStr">
        <is>
          <t>Kepala tukang</t>
        </is>
      </c>
      <c r="C15984" s="3" t="inlineStr">
        <is>
          <t>OH</t>
        </is>
      </c>
      <c r="D15984" s="15" t="n">
        <v>0.029</v>
      </c>
      <c r="E15984" s="4" t="n">
        <v>175000</v>
      </c>
      <c r="F15984" s="4" t="n">
        <v>5075</v>
      </c>
    </row>
    <row r="15985">
      <c r="A15985" s="3" t="inlineStr">
        <is>
          <t>4</t>
        </is>
      </c>
      <c r="B15985" s="3" t="inlineStr">
        <is>
          <t>Mandor</t>
        </is>
      </c>
      <c r="C15985" s="3" t="inlineStr">
        <is>
          <t>OH</t>
        </is>
      </c>
      <c r="D15985" s="15" t="n">
        <v>0.008999999999999999</v>
      </c>
      <c r="E15985" s="4" t="n">
        <v>200000</v>
      </c>
      <c r="F15985" s="4" t="n">
        <v>1800</v>
      </c>
    </row>
    <row r="15986">
      <c r="A15986" s="3" t="inlineStr">
        <is>
          <t>1</t>
        </is>
      </c>
      <c r="B15986" s="3" t="inlineStr">
        <is>
          <t>"Roof Drain dia. 2-1/2"""</t>
        </is>
      </c>
      <c r="C15986" s="3" t="inlineStr">
        <is>
          <t>Bh</t>
        </is>
      </c>
      <c r="D15986" s="15" t="n">
        <v>1.25</v>
      </c>
      <c r="E15986" s="4" t="n">
        <v>33925</v>
      </c>
      <c r="F15986" s="4" t="n">
        <v>42406.25</v>
      </c>
    </row>
    <row r="15987">
      <c r="D15987" s="2" t="inlineStr">
        <is>
          <t>SUBTOTAL UPAH</t>
        </is>
      </c>
      <c r="F15987" s="16" t="n">
        <v>66080</v>
      </c>
    </row>
    <row r="15988">
      <c r="D15988" s="2" t="inlineStr">
        <is>
          <t>SUBTOTAL BAHAN</t>
        </is>
      </c>
      <c r="F15988" s="16" t="n">
        <v>42406.25</v>
      </c>
    </row>
    <row r="15989">
      <c r="D15989" s="2" t="inlineStr">
        <is>
          <t>SUBTOTAL ALAT</t>
        </is>
      </c>
      <c r="F15989" s="16" t="n">
        <v>0</v>
      </c>
    </row>
    <row r="15990">
      <c r="E15990" s="2" t="inlineStr">
        <is>
          <t>TOTAL HARGA SATUAN (Inc. Overhead)</t>
        </is>
      </c>
      <c r="F15990" s="17" t="n">
        <v>119334</v>
      </c>
    </row>
    <row r="15992">
      <c r="A15992" s="14" t="inlineStr">
        <is>
          <t>KODE: 6.5.13.3 - Pemasangan 1 buahRoof Drain, Dia. 3" (80 mm)</t>
        </is>
      </c>
    </row>
    <row r="15993">
      <c r="A15993" s="10" t="inlineStr">
        <is>
          <t>No</t>
        </is>
      </c>
      <c r="B15993" s="10" t="inlineStr">
        <is>
          <t>Uraian Komponen</t>
        </is>
      </c>
      <c r="C15993" s="10" t="inlineStr">
        <is>
          <t>Satuan</t>
        </is>
      </c>
      <c r="D15993" s="10" t="inlineStr">
        <is>
          <t>Koef</t>
        </is>
      </c>
      <c r="E15993" s="10" t="inlineStr">
        <is>
          <t>Harga Satuan (Rp)</t>
        </is>
      </c>
      <c r="F15993" s="10" t="inlineStr">
        <is>
          <t>Jumlah Harga (Rp)</t>
        </is>
      </c>
    </row>
    <row r="15994">
      <c r="A15994" s="3" t="inlineStr">
        <is>
          <t>1</t>
        </is>
      </c>
      <c r="B15994" s="3" t="inlineStr">
        <is>
          <t>Pekerja</t>
        </is>
      </c>
      <c r="C15994" s="3" t="inlineStr">
        <is>
          <t>OH</t>
        </is>
      </c>
      <c r="D15994" s="15" t="n">
        <v>0.208</v>
      </c>
      <c r="E15994" s="4" t="n">
        <v>100000</v>
      </c>
      <c r="F15994" s="4" t="n">
        <v>20800</v>
      </c>
    </row>
    <row r="15995">
      <c r="A15995" s="3" t="inlineStr">
        <is>
          <t>2</t>
        </is>
      </c>
      <c r="B15995" s="3" t="inlineStr">
        <is>
          <t>Tukang pipa</t>
        </is>
      </c>
      <c r="C15995" s="3" t="inlineStr">
        <is>
          <t>OH</t>
        </is>
      </c>
      <c r="D15995" s="15" t="n">
        <v>0.348</v>
      </c>
      <c r="E15995" s="4" t="n">
        <v>145000</v>
      </c>
      <c r="F15995" s="4" t="n">
        <v>50460</v>
      </c>
    </row>
    <row r="15996">
      <c r="A15996" s="3" t="inlineStr">
        <is>
          <t>3</t>
        </is>
      </c>
      <c r="B15996" s="3" t="inlineStr">
        <is>
          <t>Kepala tukang</t>
        </is>
      </c>
      <c r="C15996" s="3" t="inlineStr">
        <is>
          <t>OH</t>
        </is>
      </c>
      <c r="D15996" s="15" t="n">
        <v>0.035</v>
      </c>
      <c r="E15996" s="4" t="n">
        <v>175000</v>
      </c>
      <c r="F15996" s="4" t="n">
        <v>6125.000000000001</v>
      </c>
    </row>
    <row r="15997">
      <c r="A15997" s="3" t="inlineStr">
        <is>
          <t>4</t>
        </is>
      </c>
      <c r="B15997" s="3" t="inlineStr">
        <is>
          <t>Mandor</t>
        </is>
      </c>
      <c r="C15997" s="3" t="inlineStr">
        <is>
          <t>OH</t>
        </is>
      </c>
      <c r="D15997" s="15" t="n">
        <v>0.01</v>
      </c>
      <c r="E15997" s="4" t="n">
        <v>200000</v>
      </c>
      <c r="F15997" s="4" t="n">
        <v>2000</v>
      </c>
    </row>
    <row r="15998">
      <c r="A15998" s="3" t="inlineStr">
        <is>
          <t>1</t>
        </is>
      </c>
      <c r="B15998" s="3" t="inlineStr">
        <is>
          <t>"Roof Drain dia. 3"""</t>
        </is>
      </c>
      <c r="C15998" s="3" t="inlineStr">
        <is>
          <t>Bh</t>
        </is>
      </c>
      <c r="D15998" s="15" t="n">
        <v>1.25</v>
      </c>
      <c r="E15998" s="4" t="n">
        <v>37375</v>
      </c>
      <c r="F15998" s="4" t="n">
        <v>46718.75</v>
      </c>
    </row>
    <row r="15999">
      <c r="D15999" s="2" t="inlineStr">
        <is>
          <t>SUBTOTAL UPAH</t>
        </is>
      </c>
      <c r="F15999" s="16" t="n">
        <v>79385</v>
      </c>
    </row>
    <row r="16000">
      <c r="D16000" s="2" t="inlineStr">
        <is>
          <t>SUBTOTAL BAHAN</t>
        </is>
      </c>
      <c r="F16000" s="16" t="n">
        <v>46718.75</v>
      </c>
    </row>
    <row r="16001">
      <c r="D16001" s="2" t="inlineStr">
        <is>
          <t>SUBTOTAL ALAT</t>
        </is>
      </c>
      <c r="F16001" s="16" t="n">
        <v>0</v>
      </c>
    </row>
    <row r="16002">
      <c r="E16002" s="2" t="inlineStr">
        <is>
          <t>TOTAL HARGA SATUAN (Inc. Overhead)</t>
        </is>
      </c>
      <c r="F16002" s="17" t="n">
        <v>138714</v>
      </c>
    </row>
    <row r="16004">
      <c r="A16004" s="14" t="inlineStr">
        <is>
          <t>KODE: 6.5.13.4 - Pemasangan 1 buahRoof Drain, Dia. 4" (100 mm)</t>
        </is>
      </c>
    </row>
    <row r="16005">
      <c r="A16005" s="10" t="inlineStr">
        <is>
          <t>No</t>
        </is>
      </c>
      <c r="B16005" s="10" t="inlineStr">
        <is>
          <t>Uraian Komponen</t>
        </is>
      </c>
      <c r="C16005" s="10" t="inlineStr">
        <is>
          <t>Satuan</t>
        </is>
      </c>
      <c r="D16005" s="10" t="inlineStr">
        <is>
          <t>Koef</t>
        </is>
      </c>
      <c r="E16005" s="10" t="inlineStr">
        <is>
          <t>Harga Satuan (Rp)</t>
        </is>
      </c>
      <c r="F16005" s="10" t="inlineStr">
        <is>
          <t>Jumlah Harga (Rp)</t>
        </is>
      </c>
    </row>
    <row r="16006">
      <c r="A16006" s="3" t="inlineStr">
        <is>
          <t>1</t>
        </is>
      </c>
      <c r="B16006" s="3" t="inlineStr">
        <is>
          <t>Pekerja</t>
        </is>
      </c>
      <c r="C16006" s="3" t="inlineStr">
        <is>
          <t>OH</t>
        </is>
      </c>
      <c r="D16006" s="15" t="n">
        <v>0.269</v>
      </c>
      <c r="E16006" s="4" t="n">
        <v>100000</v>
      </c>
      <c r="F16006" s="4" t="n">
        <v>26900</v>
      </c>
    </row>
    <row r="16007">
      <c r="A16007" s="3" t="inlineStr">
        <is>
          <t>2</t>
        </is>
      </c>
      <c r="B16007" s="3" t="inlineStr">
        <is>
          <t>Tukang pipa</t>
        </is>
      </c>
      <c r="C16007" s="3" t="inlineStr">
        <is>
          <t>OH</t>
        </is>
      </c>
      <c r="D16007" s="15" t="n">
        <v>0.449</v>
      </c>
      <c r="E16007" s="4" t="n">
        <v>145000</v>
      </c>
      <c r="F16007" s="4" t="n">
        <v>65105</v>
      </c>
    </row>
    <row r="16008">
      <c r="A16008" s="3" t="inlineStr">
        <is>
          <t>3</t>
        </is>
      </c>
      <c r="B16008" s="3" t="inlineStr">
        <is>
          <t>Kepala tukang</t>
        </is>
      </c>
      <c r="C16008" s="3" t="inlineStr">
        <is>
          <t>OH</t>
        </is>
      </c>
      <c r="D16008" s="15" t="n">
        <v>0.045</v>
      </c>
      <c r="E16008" s="4" t="n">
        <v>175000</v>
      </c>
      <c r="F16008" s="4" t="n">
        <v>7875</v>
      </c>
    </row>
    <row r="16009">
      <c r="A16009" s="3" t="inlineStr">
        <is>
          <t>4</t>
        </is>
      </c>
      <c r="B16009" s="3" t="inlineStr">
        <is>
          <t>Mandor</t>
        </is>
      </c>
      <c r="C16009" s="3" t="inlineStr">
        <is>
          <t>OH</t>
        </is>
      </c>
      <c r="D16009" s="15" t="n">
        <v>0.013</v>
      </c>
      <c r="E16009" s="4" t="n">
        <v>200000</v>
      </c>
      <c r="F16009" s="4" t="n">
        <v>2600</v>
      </c>
    </row>
    <row r="16010">
      <c r="A16010" s="3" t="inlineStr">
        <is>
          <t>1</t>
        </is>
      </c>
      <c r="B16010" s="3" t="inlineStr">
        <is>
          <t>"Roof Drain dia. 4"""</t>
        </is>
      </c>
      <c r="C16010" s="3" t="inlineStr">
        <is>
          <t>Bh</t>
        </is>
      </c>
      <c r="D16010" s="15" t="n">
        <v>1.25</v>
      </c>
      <c r="E16010" s="4" t="n">
        <v>40250</v>
      </c>
      <c r="F16010" s="4" t="n">
        <v>50312.5</v>
      </c>
    </row>
    <row r="16011">
      <c r="D16011" s="2" t="inlineStr">
        <is>
          <t>SUBTOTAL UPAH</t>
        </is>
      </c>
      <c r="F16011" s="16" t="n">
        <v>102480</v>
      </c>
    </row>
    <row r="16012">
      <c r="D16012" s="2" t="inlineStr">
        <is>
          <t>SUBTOTAL BAHAN</t>
        </is>
      </c>
      <c r="F16012" s="16" t="n">
        <v>50312.5</v>
      </c>
    </row>
    <row r="16013">
      <c r="D16013" s="2" t="inlineStr">
        <is>
          <t>SUBTOTAL ALAT</t>
        </is>
      </c>
      <c r="F16013" s="16" t="n">
        <v>0</v>
      </c>
    </row>
    <row r="16014">
      <c r="E16014" s="2" t="inlineStr">
        <is>
          <t>TOTAL HARGA SATUAN (Inc. Overhead)</t>
        </is>
      </c>
      <c r="F16014" s="17" t="n">
        <v>168071</v>
      </c>
    </row>
    <row r="16016">
      <c r="A16016" s="14" t="inlineStr">
        <is>
          <t>KODE: 6.5.13.5 - Pemasangan 1 buahRoof Drain, Dia. 5" (125 mm)</t>
        </is>
      </c>
    </row>
    <row r="16017">
      <c r="A16017" s="10" t="inlineStr">
        <is>
          <t>No</t>
        </is>
      </c>
      <c r="B16017" s="10" t="inlineStr">
        <is>
          <t>Uraian Komponen</t>
        </is>
      </c>
      <c r="C16017" s="10" t="inlineStr">
        <is>
          <t>Satuan</t>
        </is>
      </c>
      <c r="D16017" s="10" t="inlineStr">
        <is>
          <t>Koef</t>
        </is>
      </c>
      <c r="E16017" s="10" t="inlineStr">
        <is>
          <t>Harga Satuan (Rp)</t>
        </is>
      </c>
      <c r="F16017" s="10" t="inlineStr">
        <is>
          <t>Jumlah Harga (Rp)</t>
        </is>
      </c>
    </row>
    <row r="16018">
      <c r="A16018" s="3" t="inlineStr">
        <is>
          <t>1</t>
        </is>
      </c>
      <c r="B16018" s="3" t="inlineStr">
        <is>
          <t>Pekerja</t>
        </is>
      </c>
      <c r="C16018" s="3" t="inlineStr">
        <is>
          <t>OH</t>
        </is>
      </c>
      <c r="D16018" s="15" t="n">
        <v>0.344</v>
      </c>
      <c r="E16018" s="4" t="n">
        <v>100000</v>
      </c>
      <c r="F16018" s="4" t="n">
        <v>34400</v>
      </c>
    </row>
    <row r="16019">
      <c r="A16019" s="3" t="inlineStr">
        <is>
          <t>2</t>
        </is>
      </c>
      <c r="B16019" s="3" t="inlineStr">
        <is>
          <t>Tukang pipa</t>
        </is>
      </c>
      <c r="C16019" s="3" t="inlineStr">
        <is>
          <t>OH</t>
        </is>
      </c>
      <c r="D16019" s="15" t="n">
        <v>0.575</v>
      </c>
      <c r="E16019" s="4" t="n">
        <v>145000</v>
      </c>
      <c r="F16019" s="4" t="n">
        <v>83375</v>
      </c>
    </row>
    <row r="16020">
      <c r="A16020" s="3" t="inlineStr">
        <is>
          <t>3</t>
        </is>
      </c>
      <c r="B16020" s="3" t="inlineStr">
        <is>
          <t>Kepala tukang</t>
        </is>
      </c>
      <c r="C16020" s="3" t="inlineStr">
        <is>
          <t>OH</t>
        </is>
      </c>
      <c r="D16020" s="15" t="n">
        <v>0.057</v>
      </c>
      <c r="E16020" s="4" t="n">
        <v>175000</v>
      </c>
      <c r="F16020" s="4" t="n">
        <v>9975</v>
      </c>
    </row>
    <row r="16021">
      <c r="A16021" s="3" t="inlineStr">
        <is>
          <t>4</t>
        </is>
      </c>
      <c r="B16021" s="3" t="inlineStr">
        <is>
          <t>Mandor</t>
        </is>
      </c>
      <c r="C16021" s="3" t="inlineStr">
        <is>
          <t>OH</t>
        </is>
      </c>
      <c r="D16021" s="15" t="n">
        <v>0.017</v>
      </c>
      <c r="E16021" s="4" t="n">
        <v>200000</v>
      </c>
      <c r="F16021" s="4" t="n">
        <v>3400</v>
      </c>
    </row>
    <row r="16022">
      <c r="A16022" s="3" t="inlineStr">
        <is>
          <t>1</t>
        </is>
      </c>
      <c r="B16022" s="3" t="inlineStr">
        <is>
          <t>"Roof Drain dia. 5"""</t>
        </is>
      </c>
      <c r="C16022" s="3" t="inlineStr">
        <is>
          <t>Bh</t>
        </is>
      </c>
      <c r="D16022" s="15" t="n">
        <v>1.25</v>
      </c>
      <c r="E16022" s="4" t="n">
        <v>51700</v>
      </c>
      <c r="F16022" s="4" t="n">
        <v>64625</v>
      </c>
    </row>
    <row r="16023">
      <c r="D16023" s="2" t="inlineStr">
        <is>
          <t>SUBTOTAL UPAH</t>
        </is>
      </c>
      <c r="F16023" s="16" t="n">
        <v>131150</v>
      </c>
    </row>
    <row r="16024">
      <c r="D16024" s="2" t="inlineStr">
        <is>
          <t>SUBTOTAL BAHAN</t>
        </is>
      </c>
      <c r="F16024" s="16" t="n">
        <v>64625</v>
      </c>
    </row>
    <row r="16025">
      <c r="D16025" s="2" t="inlineStr">
        <is>
          <t>SUBTOTAL ALAT</t>
        </is>
      </c>
      <c r="F16025" s="16" t="n">
        <v>0</v>
      </c>
    </row>
    <row r="16026">
      <c r="E16026" s="2" t="inlineStr">
        <is>
          <t>TOTAL HARGA SATUAN (Inc. Overhead)</t>
        </is>
      </c>
      <c r="F16026" s="17" t="n">
        <v>215352</v>
      </c>
    </row>
    <row r="16028">
      <c r="A16028" s="14" t="inlineStr">
        <is>
          <t>KODE: 6.5.13.6 - Pemasangan 1 buahRoof Drain, Dia. 6" (150 mm)</t>
        </is>
      </c>
    </row>
    <row r="16029">
      <c r="A16029" s="10" t="inlineStr">
        <is>
          <t>No</t>
        </is>
      </c>
      <c r="B16029" s="10" t="inlineStr">
        <is>
          <t>Uraian Komponen</t>
        </is>
      </c>
      <c r="C16029" s="10" t="inlineStr">
        <is>
          <t>Satuan</t>
        </is>
      </c>
      <c r="D16029" s="10" t="inlineStr">
        <is>
          <t>Koef</t>
        </is>
      </c>
      <c r="E16029" s="10" t="inlineStr">
        <is>
          <t>Harga Satuan (Rp)</t>
        </is>
      </c>
      <c r="F16029" s="10" t="inlineStr">
        <is>
          <t>Jumlah Harga (Rp)</t>
        </is>
      </c>
    </row>
    <row r="16030">
      <c r="A16030" s="3" t="inlineStr">
        <is>
          <t>1</t>
        </is>
      </c>
      <c r="B16030" s="3" t="inlineStr">
        <is>
          <t>Pekerja</t>
        </is>
      </c>
      <c r="C16030" s="3" t="inlineStr">
        <is>
          <t>OH</t>
        </is>
      </c>
      <c r="D16030" s="15" t="n">
        <v>0.413</v>
      </c>
      <c r="E16030" s="4" t="n">
        <v>100000</v>
      </c>
      <c r="F16030" s="4" t="n">
        <v>41300</v>
      </c>
    </row>
    <row r="16031">
      <c r="A16031" s="3" t="inlineStr">
        <is>
          <t>2</t>
        </is>
      </c>
      <c r="B16031" s="3" t="inlineStr">
        <is>
          <t>Tukang pipa</t>
        </is>
      </c>
      <c r="C16031" s="3" t="inlineStr">
        <is>
          <t>OH</t>
        </is>
      </c>
      <c r="D16031" s="15" t="n">
        <v>0.6899999999999999</v>
      </c>
      <c r="E16031" s="4" t="n">
        <v>145000</v>
      </c>
      <c r="F16031" s="4" t="n">
        <v>100050</v>
      </c>
    </row>
    <row r="16032">
      <c r="A16032" s="3" t="inlineStr">
        <is>
          <t>3</t>
        </is>
      </c>
      <c r="B16032" s="3" t="inlineStr">
        <is>
          <t>Kepala tukang</t>
        </is>
      </c>
      <c r="C16032" s="3" t="inlineStr">
        <is>
          <t>OH</t>
        </is>
      </c>
      <c r="D16032" s="15" t="n">
        <v>0.06900000000000001</v>
      </c>
      <c r="E16032" s="4" t="n">
        <v>175000</v>
      </c>
      <c r="F16032" s="4" t="n">
        <v>12075</v>
      </c>
    </row>
    <row r="16033">
      <c r="A16033" s="3" t="inlineStr">
        <is>
          <t>4</t>
        </is>
      </c>
      <c r="B16033" s="3" t="inlineStr">
        <is>
          <t>Mandor</t>
        </is>
      </c>
      <c r="C16033" s="3" t="inlineStr">
        <is>
          <t>OH</t>
        </is>
      </c>
      <c r="D16033" s="15" t="n">
        <v>0.021</v>
      </c>
      <c r="E16033" s="4" t="n">
        <v>200000</v>
      </c>
      <c r="F16033" s="4" t="n">
        <v>4200</v>
      </c>
    </row>
    <row r="16034">
      <c r="A16034" s="3" t="inlineStr">
        <is>
          <t>1</t>
        </is>
      </c>
      <c r="B16034" s="3" t="inlineStr">
        <is>
          <t>"Roof Drain dia. 6"""</t>
        </is>
      </c>
      <c r="C16034" s="3" t="inlineStr">
        <is>
          <t>Bh</t>
        </is>
      </c>
      <c r="D16034" s="15" t="n">
        <v>1.25</v>
      </c>
      <c r="E16034" s="4" t="n">
        <v>61100</v>
      </c>
      <c r="F16034" s="4" t="n">
        <v>76375</v>
      </c>
    </row>
    <row r="16035">
      <c r="D16035" s="2" t="inlineStr">
        <is>
          <t>SUBTOTAL UPAH</t>
        </is>
      </c>
      <c r="F16035" s="16" t="n">
        <v>157625</v>
      </c>
    </row>
    <row r="16036">
      <c r="D16036" s="2" t="inlineStr">
        <is>
          <t>SUBTOTAL BAHAN</t>
        </is>
      </c>
      <c r="F16036" s="16" t="n">
        <v>76375</v>
      </c>
    </row>
    <row r="16037">
      <c r="D16037" s="2" t="inlineStr">
        <is>
          <t>SUBTOTAL ALAT</t>
        </is>
      </c>
      <c r="F16037" s="16" t="n">
        <v>0</v>
      </c>
    </row>
    <row r="16038">
      <c r="E16038" s="2" t="inlineStr">
        <is>
          <t>TOTAL HARGA SATUAN (Inc. Overhead)</t>
        </is>
      </c>
      <c r="F16038" s="17" t="n">
        <v>257400</v>
      </c>
    </row>
    <row r="16040">
      <c r="A16040" s="14" t="inlineStr">
        <is>
          <t>KODE: 6.5.13.7 - Pemasangan 1 buahRoof Drain, Dia. 8" (200 mm)</t>
        </is>
      </c>
    </row>
    <row r="16041">
      <c r="A16041" s="10" t="inlineStr">
        <is>
          <t>No</t>
        </is>
      </c>
      <c r="B16041" s="10" t="inlineStr">
        <is>
          <t>Uraian Komponen</t>
        </is>
      </c>
      <c r="C16041" s="10" t="inlineStr">
        <is>
          <t>Satuan</t>
        </is>
      </c>
      <c r="D16041" s="10" t="inlineStr">
        <is>
          <t>Koef</t>
        </is>
      </c>
      <c r="E16041" s="10" t="inlineStr">
        <is>
          <t>Harga Satuan (Rp)</t>
        </is>
      </c>
      <c r="F16041" s="10" t="inlineStr">
        <is>
          <t>Jumlah Harga (Rp)</t>
        </is>
      </c>
    </row>
    <row r="16042">
      <c r="A16042" s="3" t="inlineStr">
        <is>
          <t>1</t>
        </is>
      </c>
      <c r="B16042" s="3" t="inlineStr">
        <is>
          <t>Pekerja</t>
        </is>
      </c>
      <c r="C16042" s="3" t="inlineStr">
        <is>
          <t>OH</t>
        </is>
      </c>
      <c r="D16042" s="15" t="n">
        <v>0.55</v>
      </c>
      <c r="E16042" s="4" t="n">
        <v>100000</v>
      </c>
      <c r="F16042" s="4" t="n">
        <v>55000.00000000001</v>
      </c>
    </row>
    <row r="16043">
      <c r="A16043" s="3" t="inlineStr">
        <is>
          <t>2</t>
        </is>
      </c>
      <c r="B16043" s="3" t="inlineStr">
        <is>
          <t>Tukang pipa</t>
        </is>
      </c>
      <c r="C16043" s="3" t="inlineStr">
        <is>
          <t>OH</t>
        </is>
      </c>
      <c r="D16043" s="15" t="n">
        <v>0.919</v>
      </c>
      <c r="E16043" s="4" t="n">
        <v>145000</v>
      </c>
      <c r="F16043" s="4" t="n">
        <v>133255</v>
      </c>
    </row>
    <row r="16044">
      <c r="A16044" s="3" t="inlineStr">
        <is>
          <t>3</t>
        </is>
      </c>
      <c r="B16044" s="3" t="inlineStr">
        <is>
          <t>Kepala tukang</t>
        </is>
      </c>
      <c r="C16044" s="3" t="inlineStr">
        <is>
          <t>OH</t>
        </is>
      </c>
      <c r="D16044" s="15" t="n">
        <v>0.092</v>
      </c>
      <c r="E16044" s="4" t="n">
        <v>175000</v>
      </c>
      <c r="F16044" s="4" t="n">
        <v>16100</v>
      </c>
    </row>
    <row r="16045">
      <c r="A16045" s="3" t="inlineStr">
        <is>
          <t>4</t>
        </is>
      </c>
      <c r="B16045" s="3" t="inlineStr">
        <is>
          <t>Mandor</t>
        </is>
      </c>
      <c r="C16045" s="3" t="inlineStr">
        <is>
          <t>OH</t>
        </is>
      </c>
      <c r="D16045" s="15" t="n">
        <v>0.028</v>
      </c>
      <c r="E16045" s="4" t="n">
        <v>200000</v>
      </c>
      <c r="F16045" s="4" t="n">
        <v>5600</v>
      </c>
    </row>
    <row r="16046">
      <c r="A16046" s="3" t="inlineStr">
        <is>
          <t>1</t>
        </is>
      </c>
      <c r="B16046" s="3" t="inlineStr">
        <is>
          <t>"Roof Drain dia. 8"""</t>
        </is>
      </c>
      <c r="C16046" s="3" t="inlineStr">
        <is>
          <t>Bh</t>
        </is>
      </c>
      <c r="D16046" s="15" t="n">
        <v>1.25</v>
      </c>
      <c r="E16046" s="4" t="n">
        <v>90250</v>
      </c>
      <c r="F16046" s="4" t="n">
        <v>112812.5</v>
      </c>
    </row>
    <row r="16047">
      <c r="D16047" s="2" t="inlineStr">
        <is>
          <t>SUBTOTAL UPAH</t>
        </is>
      </c>
      <c r="F16047" s="16" t="n">
        <v>209955</v>
      </c>
    </row>
    <row r="16048">
      <c r="D16048" s="2" t="inlineStr">
        <is>
          <t>SUBTOTAL BAHAN</t>
        </is>
      </c>
      <c r="F16048" s="16" t="n">
        <v>112812.5</v>
      </c>
    </row>
    <row r="16049">
      <c r="D16049" s="2" t="inlineStr">
        <is>
          <t>SUBTOTAL ALAT</t>
        </is>
      </c>
      <c r="F16049" s="16" t="n">
        <v>0</v>
      </c>
    </row>
    <row r="16050">
      <c r="E16050" s="2" t="inlineStr">
        <is>
          <t>TOTAL HARGA SATUAN (Inc. Overhead)</t>
        </is>
      </c>
      <c r="F16050" s="17" t="n">
        <v>355044</v>
      </c>
    </row>
    <row r="16052">
      <c r="A16052" s="14" t="inlineStr">
        <is>
          <t>KODE: 6.5.13.8 - Pemasangan 1 buahRoof Drain, Dia. 10" (200 mm)</t>
        </is>
      </c>
    </row>
    <row r="16053">
      <c r="A16053" s="10" t="inlineStr">
        <is>
          <t>No</t>
        </is>
      </c>
      <c r="B16053" s="10" t="inlineStr">
        <is>
          <t>Uraian Komponen</t>
        </is>
      </c>
      <c r="C16053" s="10" t="inlineStr">
        <is>
          <t>Satuan</t>
        </is>
      </c>
      <c r="D16053" s="10" t="inlineStr">
        <is>
          <t>Koef</t>
        </is>
      </c>
      <c r="E16053" s="10" t="inlineStr">
        <is>
          <t>Harga Satuan (Rp)</t>
        </is>
      </c>
      <c r="F16053" s="10" t="inlineStr">
        <is>
          <t>Jumlah Harga (Rp)</t>
        </is>
      </c>
    </row>
    <row r="16054">
      <c r="A16054" s="3" t="inlineStr">
        <is>
          <t>1</t>
        </is>
      </c>
      <c r="B16054" s="3" t="inlineStr">
        <is>
          <t>Pekerja</t>
        </is>
      </c>
      <c r="C16054" s="3" t="inlineStr">
        <is>
          <t>OH</t>
        </is>
      </c>
      <c r="D16054" s="15" t="n">
        <v>0.6879999999999999</v>
      </c>
      <c r="E16054" s="4" t="n">
        <v>100000</v>
      </c>
      <c r="F16054" s="4" t="n">
        <v>68800</v>
      </c>
    </row>
    <row r="16055">
      <c r="A16055" s="3" t="inlineStr">
        <is>
          <t>2</t>
        </is>
      </c>
      <c r="B16055" s="3" t="inlineStr">
        <is>
          <t>Tukang pipa</t>
        </is>
      </c>
      <c r="C16055" s="3" t="inlineStr">
        <is>
          <t>OH</t>
        </is>
      </c>
      <c r="D16055" s="15" t="n">
        <v>1.149</v>
      </c>
      <c r="E16055" s="4" t="n">
        <v>145000</v>
      </c>
      <c r="F16055" s="4" t="n">
        <v>166605</v>
      </c>
    </row>
    <row r="16056">
      <c r="A16056" s="3" t="inlineStr">
        <is>
          <t>3</t>
        </is>
      </c>
      <c r="B16056" s="3" t="inlineStr">
        <is>
          <t>Kepala tukang</t>
        </is>
      </c>
      <c r="C16056" s="3" t="inlineStr">
        <is>
          <t>OH</t>
        </is>
      </c>
      <c r="D16056" s="15" t="n">
        <v>0.115</v>
      </c>
      <c r="E16056" s="4" t="n">
        <v>175000</v>
      </c>
      <c r="F16056" s="4" t="n">
        <v>20125</v>
      </c>
    </row>
    <row r="16057">
      <c r="A16057" s="3" t="inlineStr">
        <is>
          <t>4</t>
        </is>
      </c>
      <c r="B16057" s="3" t="inlineStr">
        <is>
          <t>Mandor</t>
        </is>
      </c>
      <c r="C16057" s="3" t="inlineStr">
        <is>
          <t>OH</t>
        </is>
      </c>
      <c r="D16057" s="15" t="n">
        <v>0.034</v>
      </c>
      <c r="E16057" s="4" t="n">
        <v>200000</v>
      </c>
      <c r="F16057" s="4" t="n">
        <v>6800.000000000001</v>
      </c>
    </row>
    <row r="16058">
      <c r="A16058" s="3" t="inlineStr">
        <is>
          <t>1</t>
        </is>
      </c>
      <c r="B16058" s="3" t="inlineStr">
        <is>
          <t>"Roof Drain dia. 10"""</t>
        </is>
      </c>
      <c r="C16058" s="3" t="inlineStr">
        <is>
          <t>Bh</t>
        </is>
      </c>
      <c r="D16058" s="15" t="n">
        <v>1.25</v>
      </c>
      <c r="E16058" s="4" t="n">
        <v>142500</v>
      </c>
      <c r="F16058" s="4" t="n">
        <v>178125</v>
      </c>
    </row>
    <row r="16059">
      <c r="D16059" s="2" t="inlineStr">
        <is>
          <t>SUBTOTAL UPAH</t>
        </is>
      </c>
      <c r="F16059" s="16" t="n">
        <v>262330</v>
      </c>
    </row>
    <row r="16060">
      <c r="D16060" s="2" t="inlineStr">
        <is>
          <t>SUBTOTAL BAHAN</t>
        </is>
      </c>
      <c r="F16060" s="16" t="n">
        <v>178125</v>
      </c>
    </row>
    <row r="16061">
      <c r="D16061" s="2" t="inlineStr">
        <is>
          <t>SUBTOTAL ALAT</t>
        </is>
      </c>
      <c r="F16061" s="16" t="n">
        <v>0</v>
      </c>
    </row>
    <row r="16062">
      <c r="E16062" s="2" t="inlineStr">
        <is>
          <t>TOTAL HARGA SATUAN (Inc. Overhead)</t>
        </is>
      </c>
      <c r="F16062" s="17" t="n">
        <v>484500</v>
      </c>
    </row>
    <row r="16064">
      <c r="A16064" s="14" t="inlineStr">
        <is>
          <t>KODE: 6.5.13.9 - Pemasangan 1 buahRoof Drain, Dia. 12" (300 mm)</t>
        </is>
      </c>
    </row>
    <row r="16065">
      <c r="A16065" s="10" t="inlineStr">
        <is>
          <t>No</t>
        </is>
      </c>
      <c r="B16065" s="10" t="inlineStr">
        <is>
          <t>Uraian Komponen</t>
        </is>
      </c>
      <c r="C16065" s="10" t="inlineStr">
        <is>
          <t>Satuan</t>
        </is>
      </c>
      <c r="D16065" s="10" t="inlineStr">
        <is>
          <t>Koef</t>
        </is>
      </c>
      <c r="E16065" s="10" t="inlineStr">
        <is>
          <t>Harga Satuan (Rp)</t>
        </is>
      </c>
      <c r="F16065" s="10" t="inlineStr">
        <is>
          <t>Jumlah Harga (Rp)</t>
        </is>
      </c>
    </row>
    <row r="16066">
      <c r="A16066" s="3" t="inlineStr">
        <is>
          <t>1</t>
        </is>
      </c>
      <c r="B16066" s="3" t="inlineStr">
        <is>
          <t>Pekerja</t>
        </is>
      </c>
      <c r="C16066" s="3" t="inlineStr">
        <is>
          <t>OH</t>
        </is>
      </c>
      <c r="D16066" s="15" t="n">
        <v>0.824</v>
      </c>
      <c r="E16066" s="4" t="n">
        <v>100000</v>
      </c>
      <c r="F16066" s="4" t="n">
        <v>82400</v>
      </c>
    </row>
    <row r="16067">
      <c r="A16067" s="3" t="inlineStr">
        <is>
          <t>2</t>
        </is>
      </c>
      <c r="B16067" s="3" t="inlineStr">
        <is>
          <t>Tukang pipa</t>
        </is>
      </c>
      <c r="C16067" s="3" t="inlineStr">
        <is>
          <t>OH</t>
        </is>
      </c>
      <c r="D16067" s="15" t="n">
        <v>1.376</v>
      </c>
      <c r="E16067" s="4" t="n">
        <v>145000</v>
      </c>
      <c r="F16067" s="4" t="n">
        <v>199520</v>
      </c>
    </row>
    <row r="16068">
      <c r="A16068" s="3" t="inlineStr">
        <is>
          <t>3</t>
        </is>
      </c>
      <c r="B16068" s="3" t="inlineStr">
        <is>
          <t>Kepala tukang</t>
        </is>
      </c>
      <c r="C16068" s="3" t="inlineStr">
        <is>
          <t>OH</t>
        </is>
      </c>
      <c r="D16068" s="15" t="n">
        <v>0.138</v>
      </c>
      <c r="E16068" s="4" t="n">
        <v>175000</v>
      </c>
      <c r="F16068" s="4" t="n">
        <v>24150</v>
      </c>
    </row>
    <row r="16069">
      <c r="A16069" s="3" t="inlineStr">
        <is>
          <t>4</t>
        </is>
      </c>
      <c r="B16069" s="3" t="inlineStr">
        <is>
          <t>Mandor</t>
        </is>
      </c>
      <c r="C16069" s="3" t="inlineStr">
        <is>
          <t>OH</t>
        </is>
      </c>
      <c r="D16069" s="15" t="n">
        <v>0.041</v>
      </c>
      <c r="E16069" s="4" t="n">
        <v>200000</v>
      </c>
      <c r="F16069" s="4" t="n">
        <v>8200</v>
      </c>
    </row>
    <row r="16070">
      <c r="A16070" s="3" t="inlineStr">
        <is>
          <t>1</t>
        </is>
      </c>
      <c r="B16070" s="3" t="inlineStr">
        <is>
          <t>"Roof Drain dia. 12"""</t>
        </is>
      </c>
      <c r="C16070" s="3" t="inlineStr">
        <is>
          <t>Bh</t>
        </is>
      </c>
      <c r="D16070" s="15" t="n">
        <v>1.25</v>
      </c>
      <c r="E16070" s="4" t="n">
        <v>167500</v>
      </c>
      <c r="F16070" s="4" t="n">
        <v>209375</v>
      </c>
    </row>
    <row r="16071">
      <c r="D16071" s="2" t="inlineStr">
        <is>
          <t>SUBTOTAL UPAH</t>
        </is>
      </c>
      <c r="F16071" s="16" t="n">
        <v>314270</v>
      </c>
    </row>
    <row r="16072">
      <c r="D16072" s="2" t="inlineStr">
        <is>
          <t>SUBTOTAL BAHAN</t>
        </is>
      </c>
      <c r="F16072" s="16" t="n">
        <v>209375</v>
      </c>
    </row>
    <row r="16073">
      <c r="D16073" s="2" t="inlineStr">
        <is>
          <t>SUBTOTAL ALAT</t>
        </is>
      </c>
      <c r="F16073" s="16" t="n">
        <v>0</v>
      </c>
    </row>
    <row r="16074">
      <c r="E16074" s="2" t="inlineStr">
        <is>
          <t>TOTAL HARGA SATUAN (Inc. Overhead)</t>
        </is>
      </c>
      <c r="F16074" s="17" t="n">
        <v>576009</v>
      </c>
    </row>
    <row r="16076">
      <c r="A16076" s="14" t="inlineStr">
        <is>
          <t>KODE: 6.5.14.1 - Pemasangan 1 buah Floor Clean Out, Dia. 2" (50 mm)</t>
        </is>
      </c>
    </row>
    <row r="16077">
      <c r="A16077" s="10" t="inlineStr">
        <is>
          <t>No</t>
        </is>
      </c>
      <c r="B16077" s="10" t="inlineStr">
        <is>
          <t>Uraian Komponen</t>
        </is>
      </c>
      <c r="C16077" s="10" t="inlineStr">
        <is>
          <t>Satuan</t>
        </is>
      </c>
      <c r="D16077" s="10" t="inlineStr">
        <is>
          <t>Koef</t>
        </is>
      </c>
      <c r="E16077" s="10" t="inlineStr">
        <is>
          <t>Harga Satuan (Rp)</t>
        </is>
      </c>
      <c r="F16077" s="10" t="inlineStr">
        <is>
          <t>Jumlah Harga (Rp)</t>
        </is>
      </c>
    </row>
    <row r="16078">
      <c r="A16078" s="3" t="inlineStr">
        <is>
          <t>1</t>
        </is>
      </c>
      <c r="B16078" s="3" t="inlineStr">
        <is>
          <t>Pekerja</t>
        </is>
      </c>
      <c r="C16078" s="3" t="inlineStr">
        <is>
          <t>OH</t>
        </is>
      </c>
      <c r="D16078" s="15" t="n">
        <v>0.138</v>
      </c>
      <c r="E16078" s="4" t="n">
        <v>100000</v>
      </c>
      <c r="F16078" s="4" t="n">
        <v>13800</v>
      </c>
    </row>
    <row r="16079">
      <c r="A16079" s="3" t="inlineStr">
        <is>
          <t>2</t>
        </is>
      </c>
      <c r="B16079" s="3" t="inlineStr">
        <is>
          <t>Tukang pipa</t>
        </is>
      </c>
      <c r="C16079" s="3" t="inlineStr">
        <is>
          <t>OH</t>
        </is>
      </c>
      <c r="D16079" s="15" t="n">
        <v>0.231</v>
      </c>
      <c r="E16079" s="4" t="n">
        <v>145000</v>
      </c>
      <c r="F16079" s="4" t="n">
        <v>33495</v>
      </c>
    </row>
    <row r="16080">
      <c r="A16080" s="3" t="inlineStr">
        <is>
          <t>3</t>
        </is>
      </c>
      <c r="B16080" s="3" t="inlineStr">
        <is>
          <t>Kepala tukang</t>
        </is>
      </c>
      <c r="C16080" s="3" t="inlineStr">
        <is>
          <t>OH</t>
        </is>
      </c>
      <c r="D16080" s="15" t="n">
        <v>0.023</v>
      </c>
      <c r="E16080" s="4" t="n">
        <v>175000</v>
      </c>
      <c r="F16080" s="4" t="n">
        <v>4025</v>
      </c>
    </row>
    <row r="16081">
      <c r="A16081" s="3" t="inlineStr">
        <is>
          <t>4</t>
        </is>
      </c>
      <c r="B16081" s="3" t="inlineStr">
        <is>
          <t>Mandor</t>
        </is>
      </c>
      <c r="C16081" s="3" t="inlineStr">
        <is>
          <t>OH</t>
        </is>
      </c>
      <c r="D16081" s="15" t="n">
        <v>0.007</v>
      </c>
      <c r="E16081" s="4" t="n">
        <v>200000</v>
      </c>
      <c r="F16081" s="4" t="n">
        <v>1400</v>
      </c>
    </row>
    <row r="16082">
      <c r="A16082" s="3" t="inlineStr">
        <is>
          <t>1</t>
        </is>
      </c>
      <c r="B16082" s="3" t="inlineStr">
        <is>
          <t>"Floor Clean Out dia. 2"""</t>
        </is>
      </c>
      <c r="C16082" s="3" t="inlineStr">
        <is>
          <t>Bh</t>
        </is>
      </c>
      <c r="D16082" s="15" t="n">
        <v>1.15</v>
      </c>
      <c r="E16082" s="4" t="n">
        <v>136800</v>
      </c>
      <c r="F16082" s="4" t="n">
        <v>157320</v>
      </c>
    </row>
    <row r="16083">
      <c r="D16083" s="2" t="inlineStr">
        <is>
          <t>SUBTOTAL UPAH</t>
        </is>
      </c>
      <c r="F16083" s="16" t="n">
        <v>52720</v>
      </c>
    </row>
    <row r="16084">
      <c r="D16084" s="2" t="inlineStr">
        <is>
          <t>SUBTOTAL BAHAN</t>
        </is>
      </c>
      <c r="F16084" s="16" t="n">
        <v>157320</v>
      </c>
    </row>
    <row r="16085">
      <c r="D16085" s="2" t="inlineStr">
        <is>
          <t>SUBTOTAL ALAT</t>
        </is>
      </c>
      <c r="F16085" s="16" t="n">
        <v>0</v>
      </c>
    </row>
    <row r="16086">
      <c r="E16086" s="2" t="inlineStr">
        <is>
          <t>TOTAL HARGA SATUAN (Inc. Overhead)</t>
        </is>
      </c>
      <c r="F16086" s="17" t="n">
        <v>231044</v>
      </c>
    </row>
    <row r="16088">
      <c r="A16088" s="14" t="inlineStr">
        <is>
          <t>KODE: 6.5.14.2 - Pemasangan 1 buah Floor Clean Out, Dia. 2-1/2" (65 mm)</t>
        </is>
      </c>
    </row>
    <row r="16089">
      <c r="A16089" s="10" t="inlineStr">
        <is>
          <t>No</t>
        </is>
      </c>
      <c r="B16089" s="10" t="inlineStr">
        <is>
          <t>Uraian Komponen</t>
        </is>
      </c>
      <c r="C16089" s="10" t="inlineStr">
        <is>
          <t>Satuan</t>
        </is>
      </c>
      <c r="D16089" s="10" t="inlineStr">
        <is>
          <t>Koef</t>
        </is>
      </c>
      <c r="E16089" s="10" t="inlineStr">
        <is>
          <t>Harga Satuan (Rp)</t>
        </is>
      </c>
      <c r="F16089" s="10" t="inlineStr">
        <is>
          <t>Jumlah Harga (Rp)</t>
        </is>
      </c>
    </row>
    <row r="16090">
      <c r="A16090" s="3" t="inlineStr">
        <is>
          <t>1</t>
        </is>
      </c>
      <c r="B16090" s="3" t="inlineStr">
        <is>
          <t>Pekerja</t>
        </is>
      </c>
      <c r="C16090" s="3" t="inlineStr">
        <is>
          <t>OH</t>
        </is>
      </c>
      <c r="D16090" s="15" t="n">
        <v>0.173</v>
      </c>
      <c r="E16090" s="4" t="n">
        <v>100000</v>
      </c>
      <c r="F16090" s="4" t="n">
        <v>17300</v>
      </c>
    </row>
    <row r="16091">
      <c r="A16091" s="3" t="inlineStr">
        <is>
          <t>2</t>
        </is>
      </c>
      <c r="B16091" s="3" t="inlineStr">
        <is>
          <t>Tukang pipa</t>
        </is>
      </c>
      <c r="C16091" s="3" t="inlineStr">
        <is>
          <t>OH</t>
        </is>
      </c>
      <c r="D16091" s="15" t="n">
        <v>0.289</v>
      </c>
      <c r="E16091" s="4" t="n">
        <v>145000</v>
      </c>
      <c r="F16091" s="4" t="n">
        <v>41905</v>
      </c>
    </row>
    <row r="16092">
      <c r="A16092" s="3" t="inlineStr">
        <is>
          <t>3</t>
        </is>
      </c>
      <c r="B16092" s="3" t="inlineStr">
        <is>
          <t>Kepala tukang</t>
        </is>
      </c>
      <c r="C16092" s="3" t="inlineStr">
        <is>
          <t>OH</t>
        </is>
      </c>
      <c r="D16092" s="15" t="n">
        <v>0.029</v>
      </c>
      <c r="E16092" s="4" t="n">
        <v>175000</v>
      </c>
      <c r="F16092" s="4" t="n">
        <v>5075</v>
      </c>
    </row>
    <row r="16093">
      <c r="A16093" s="3" t="inlineStr">
        <is>
          <t>4</t>
        </is>
      </c>
      <c r="B16093" s="3" t="inlineStr">
        <is>
          <t>Mandor</t>
        </is>
      </c>
      <c r="C16093" s="3" t="inlineStr">
        <is>
          <t>OH</t>
        </is>
      </c>
      <c r="D16093" s="15" t="n">
        <v>0.008999999999999999</v>
      </c>
      <c r="E16093" s="4" t="n">
        <v>200000</v>
      </c>
      <c r="F16093" s="4" t="n">
        <v>1800</v>
      </c>
    </row>
    <row r="16094">
      <c r="A16094" s="3" t="inlineStr">
        <is>
          <t>1</t>
        </is>
      </c>
      <c r="B16094" s="3" t="inlineStr">
        <is>
          <t>"Floor Clean Out dia. 2-1/2"""</t>
        </is>
      </c>
      <c r="C16094" s="3" t="inlineStr">
        <is>
          <t>Bh</t>
        </is>
      </c>
      <c r="D16094" s="15" t="n">
        <v>1.25</v>
      </c>
      <c r="E16094" s="4" t="n">
        <v>163100</v>
      </c>
      <c r="F16094" s="4" t="n">
        <v>203875</v>
      </c>
    </row>
    <row r="16095">
      <c r="D16095" s="2" t="inlineStr">
        <is>
          <t>SUBTOTAL UPAH</t>
        </is>
      </c>
      <c r="F16095" s="16" t="n">
        <v>66080</v>
      </c>
    </row>
    <row r="16096">
      <c r="D16096" s="2" t="inlineStr">
        <is>
          <t>SUBTOTAL BAHAN</t>
        </is>
      </c>
      <c r="F16096" s="16" t="n">
        <v>203875</v>
      </c>
    </row>
    <row r="16097">
      <c r="D16097" s="2" t="inlineStr">
        <is>
          <t>SUBTOTAL ALAT</t>
        </is>
      </c>
      <c r="F16097" s="16" t="n">
        <v>0</v>
      </c>
    </row>
    <row r="16098">
      <c r="E16098" s="2" t="inlineStr">
        <is>
          <t>TOTAL HARGA SATUAN (Inc. Overhead)</t>
        </is>
      </c>
      <c r="F16098" s="17" t="n">
        <v>296950</v>
      </c>
    </row>
    <row r="16100">
      <c r="A16100" s="14" t="inlineStr">
        <is>
          <t>KODE: 6.5.14.3 - Pemasangan 1 buah Floor Clean Out, Dia. 3" (80 mm)</t>
        </is>
      </c>
    </row>
    <row r="16101">
      <c r="A16101" s="10" t="inlineStr">
        <is>
          <t>No</t>
        </is>
      </c>
      <c r="B16101" s="10" t="inlineStr">
        <is>
          <t>Uraian Komponen</t>
        </is>
      </c>
      <c r="C16101" s="10" t="inlineStr">
        <is>
          <t>Satuan</t>
        </is>
      </c>
      <c r="D16101" s="10" t="inlineStr">
        <is>
          <t>Koef</t>
        </is>
      </c>
      <c r="E16101" s="10" t="inlineStr">
        <is>
          <t>Harga Satuan (Rp)</t>
        </is>
      </c>
      <c r="F16101" s="10" t="inlineStr">
        <is>
          <t>Jumlah Harga (Rp)</t>
        </is>
      </c>
    </row>
    <row r="16102">
      <c r="A16102" s="3" t="inlineStr">
        <is>
          <t>1</t>
        </is>
      </c>
      <c r="B16102" s="3" t="inlineStr">
        <is>
          <t>Pekerja</t>
        </is>
      </c>
      <c r="C16102" s="3" t="inlineStr">
        <is>
          <t>OH</t>
        </is>
      </c>
      <c r="D16102" s="15" t="n">
        <v>0.208</v>
      </c>
      <c r="E16102" s="4" t="n">
        <v>100000</v>
      </c>
      <c r="F16102" s="4" t="n">
        <v>20800</v>
      </c>
    </row>
    <row r="16103">
      <c r="A16103" s="3" t="inlineStr">
        <is>
          <t>2</t>
        </is>
      </c>
      <c r="B16103" s="3" t="inlineStr">
        <is>
          <t>Tukang pipa</t>
        </is>
      </c>
      <c r="C16103" s="3" t="inlineStr">
        <is>
          <t>OH</t>
        </is>
      </c>
      <c r="D16103" s="15" t="n">
        <v>0.348</v>
      </c>
      <c r="E16103" s="4" t="n">
        <v>145000</v>
      </c>
      <c r="F16103" s="4" t="n">
        <v>50460</v>
      </c>
    </row>
    <row r="16104">
      <c r="A16104" s="3" t="inlineStr">
        <is>
          <t>3</t>
        </is>
      </c>
      <c r="B16104" s="3" t="inlineStr">
        <is>
          <t>Kepala tukang</t>
        </is>
      </c>
      <c r="C16104" s="3" t="inlineStr">
        <is>
          <t>OH</t>
        </is>
      </c>
      <c r="D16104" s="15" t="n">
        <v>0.035</v>
      </c>
      <c r="E16104" s="4" t="n">
        <v>175000</v>
      </c>
      <c r="F16104" s="4" t="n">
        <v>6125.000000000001</v>
      </c>
    </row>
    <row r="16105">
      <c r="A16105" s="3" t="inlineStr">
        <is>
          <t>4</t>
        </is>
      </c>
      <c r="B16105" s="3" t="inlineStr">
        <is>
          <t>Mandor</t>
        </is>
      </c>
      <c r="C16105" s="3" t="inlineStr">
        <is>
          <t>OH</t>
        </is>
      </c>
      <c r="D16105" s="15" t="n">
        <v>0.01</v>
      </c>
      <c r="E16105" s="4" t="n">
        <v>200000</v>
      </c>
      <c r="F16105" s="4" t="n">
        <v>2000</v>
      </c>
    </row>
    <row r="16106">
      <c r="A16106" s="3" t="inlineStr">
        <is>
          <t>1</t>
        </is>
      </c>
      <c r="B16106" s="3" t="inlineStr">
        <is>
          <t>"Floor Clean Out dia. 3"""</t>
        </is>
      </c>
      <c r="C16106" s="3" t="inlineStr">
        <is>
          <t>Bh</t>
        </is>
      </c>
      <c r="D16106" s="15" t="n">
        <v>1.25</v>
      </c>
      <c r="E16106" s="4" t="n">
        <v>199500</v>
      </c>
      <c r="F16106" s="4" t="n">
        <v>249375</v>
      </c>
    </row>
    <row r="16107">
      <c r="D16107" s="2" t="inlineStr">
        <is>
          <t>SUBTOTAL UPAH</t>
        </is>
      </c>
      <c r="F16107" s="16" t="n">
        <v>79385</v>
      </c>
    </row>
    <row r="16108">
      <c r="D16108" s="2" t="inlineStr">
        <is>
          <t>SUBTOTAL BAHAN</t>
        </is>
      </c>
      <c r="F16108" s="16" t="n">
        <v>249375</v>
      </c>
    </row>
    <row r="16109">
      <c r="D16109" s="2" t="inlineStr">
        <is>
          <t>SUBTOTAL ALAT</t>
        </is>
      </c>
      <c r="F16109" s="16" t="n">
        <v>0</v>
      </c>
    </row>
    <row r="16110">
      <c r="E16110" s="2" t="inlineStr">
        <is>
          <t>TOTAL HARGA SATUAN (Inc. Overhead)</t>
        </is>
      </c>
      <c r="F16110" s="17" t="n">
        <v>361636</v>
      </c>
    </row>
    <row r="16112">
      <c r="A16112" s="14" t="inlineStr">
        <is>
          <t>KODE: 6.5.14.4 - Pemasangan 1 buah Floor Clean Out, Dia. 4" (100 mm)</t>
        </is>
      </c>
    </row>
    <row r="16113">
      <c r="A16113" s="10" t="inlineStr">
        <is>
          <t>No</t>
        </is>
      </c>
      <c r="B16113" s="10" t="inlineStr">
        <is>
          <t>Uraian Komponen</t>
        </is>
      </c>
      <c r="C16113" s="10" t="inlineStr">
        <is>
          <t>Satuan</t>
        </is>
      </c>
      <c r="D16113" s="10" t="inlineStr">
        <is>
          <t>Koef</t>
        </is>
      </c>
      <c r="E16113" s="10" t="inlineStr">
        <is>
          <t>Harga Satuan (Rp)</t>
        </is>
      </c>
      <c r="F16113" s="10" t="inlineStr">
        <is>
          <t>Jumlah Harga (Rp)</t>
        </is>
      </c>
    </row>
    <row r="16114">
      <c r="A16114" s="3" t="inlineStr">
        <is>
          <t>1</t>
        </is>
      </c>
      <c r="B16114" s="3" t="inlineStr">
        <is>
          <t>Pekerja</t>
        </is>
      </c>
      <c r="C16114" s="3" t="inlineStr">
        <is>
          <t>OH</t>
        </is>
      </c>
      <c r="D16114" s="15" t="n">
        <v>0.269</v>
      </c>
      <c r="E16114" s="4" t="n">
        <v>100000</v>
      </c>
      <c r="F16114" s="4" t="n">
        <v>26900</v>
      </c>
    </row>
    <row r="16115">
      <c r="A16115" s="3" t="inlineStr">
        <is>
          <t>2</t>
        </is>
      </c>
      <c r="B16115" s="3" t="inlineStr">
        <is>
          <t>Tukang pipa</t>
        </is>
      </c>
      <c r="C16115" s="3" t="inlineStr">
        <is>
          <t>OH</t>
        </is>
      </c>
      <c r="D16115" s="15" t="n">
        <v>0.449</v>
      </c>
      <c r="E16115" s="4" t="n">
        <v>145000</v>
      </c>
      <c r="F16115" s="4" t="n">
        <v>65105</v>
      </c>
    </row>
    <row r="16116">
      <c r="A16116" s="3" t="inlineStr">
        <is>
          <t>3</t>
        </is>
      </c>
      <c r="B16116" s="3" t="inlineStr">
        <is>
          <t>Kepala tukang</t>
        </is>
      </c>
      <c r="C16116" s="3" t="inlineStr">
        <is>
          <t>OH</t>
        </is>
      </c>
      <c r="D16116" s="15" t="n">
        <v>0.045</v>
      </c>
      <c r="E16116" s="4" t="n">
        <v>175000</v>
      </c>
      <c r="F16116" s="4" t="n">
        <v>7875</v>
      </c>
    </row>
    <row r="16117">
      <c r="A16117" s="3" t="inlineStr">
        <is>
          <t>4</t>
        </is>
      </c>
      <c r="B16117" s="3" t="inlineStr">
        <is>
          <t>Mandor</t>
        </is>
      </c>
      <c r="C16117" s="3" t="inlineStr">
        <is>
          <t>OH</t>
        </is>
      </c>
      <c r="D16117" s="15" t="n">
        <v>0.013</v>
      </c>
      <c r="E16117" s="4" t="n">
        <v>200000</v>
      </c>
      <c r="F16117" s="4" t="n">
        <v>2600</v>
      </c>
    </row>
    <row r="16118">
      <c r="A16118" s="3" t="inlineStr">
        <is>
          <t>1</t>
        </is>
      </c>
      <c r="B16118" s="3" t="inlineStr">
        <is>
          <t>"Floor Clean Out dia. 4"""</t>
        </is>
      </c>
      <c r="C16118" s="3" t="inlineStr">
        <is>
          <t>Bh</t>
        </is>
      </c>
      <c r="D16118" s="15" t="n">
        <v>1.25</v>
      </c>
      <c r="E16118" s="4" t="n">
        <v>300300</v>
      </c>
      <c r="F16118" s="4" t="n">
        <v>375375</v>
      </c>
    </row>
    <row r="16119">
      <c r="D16119" s="2" t="inlineStr">
        <is>
          <t>SUBTOTAL UPAH</t>
        </is>
      </c>
      <c r="F16119" s="16" t="n">
        <v>102480</v>
      </c>
    </row>
    <row r="16120">
      <c r="D16120" s="2" t="inlineStr">
        <is>
          <t>SUBTOTAL BAHAN</t>
        </is>
      </c>
      <c r="F16120" s="16" t="n">
        <v>375375</v>
      </c>
    </row>
    <row r="16121">
      <c r="D16121" s="2" t="inlineStr">
        <is>
          <t>SUBTOTAL ALAT</t>
        </is>
      </c>
      <c r="F16121" s="16" t="n">
        <v>0</v>
      </c>
    </row>
    <row r="16122">
      <c r="E16122" s="2" t="inlineStr">
        <is>
          <t>TOTAL HARGA SATUAN (Inc. Overhead)</t>
        </is>
      </c>
      <c r="F16122" s="17" t="n">
        <v>525640</v>
      </c>
    </row>
    <row r="16124">
      <c r="A16124" s="14" t="inlineStr">
        <is>
          <t>KODE: 6.5.14.5 - Pemasangan 1 buah Floor Clean Out, Dia. 6" (150 mm)</t>
        </is>
      </c>
    </row>
    <row r="16125">
      <c r="A16125" s="10" t="inlineStr">
        <is>
          <t>No</t>
        </is>
      </c>
      <c r="B16125" s="10" t="inlineStr">
        <is>
          <t>Uraian Komponen</t>
        </is>
      </c>
      <c r="C16125" s="10" t="inlineStr">
        <is>
          <t>Satuan</t>
        </is>
      </c>
      <c r="D16125" s="10" t="inlineStr">
        <is>
          <t>Koef</t>
        </is>
      </c>
      <c r="E16125" s="10" t="inlineStr">
        <is>
          <t>Harga Satuan (Rp)</t>
        </is>
      </c>
      <c r="F16125" s="10" t="inlineStr">
        <is>
          <t>Jumlah Harga (Rp)</t>
        </is>
      </c>
    </row>
    <row r="16126">
      <c r="A16126" s="3" t="inlineStr">
        <is>
          <t>1</t>
        </is>
      </c>
      <c r="B16126" s="3" t="inlineStr">
        <is>
          <t>Pekerja</t>
        </is>
      </c>
      <c r="C16126" s="3" t="inlineStr">
        <is>
          <t>OH</t>
        </is>
      </c>
      <c r="D16126" s="15" t="n">
        <v>0.413</v>
      </c>
      <c r="E16126" s="4" t="n">
        <v>100000</v>
      </c>
      <c r="F16126" s="4" t="n">
        <v>41300</v>
      </c>
    </row>
    <row r="16127">
      <c r="A16127" s="3" t="inlineStr">
        <is>
          <t>2</t>
        </is>
      </c>
      <c r="B16127" s="3" t="inlineStr">
        <is>
          <t>Tukang pipa</t>
        </is>
      </c>
      <c r="C16127" s="3" t="inlineStr">
        <is>
          <t>OH</t>
        </is>
      </c>
      <c r="D16127" s="15" t="n">
        <v>0.6899999999999999</v>
      </c>
      <c r="E16127" s="4" t="n">
        <v>145000</v>
      </c>
      <c r="F16127" s="4" t="n">
        <v>100050</v>
      </c>
    </row>
    <row r="16128">
      <c r="A16128" s="3" t="inlineStr">
        <is>
          <t>3</t>
        </is>
      </c>
      <c r="B16128" s="3" t="inlineStr">
        <is>
          <t>Kepala tukang</t>
        </is>
      </c>
      <c r="C16128" s="3" t="inlineStr">
        <is>
          <t>OH</t>
        </is>
      </c>
      <c r="D16128" s="15" t="n">
        <v>0.06900000000000001</v>
      </c>
      <c r="E16128" s="4" t="n">
        <v>175000</v>
      </c>
      <c r="F16128" s="4" t="n">
        <v>12075</v>
      </c>
    </row>
    <row r="16129">
      <c r="A16129" s="3" t="inlineStr">
        <is>
          <t>4</t>
        </is>
      </c>
      <c r="B16129" s="3" t="inlineStr">
        <is>
          <t>Mandor</t>
        </is>
      </c>
      <c r="C16129" s="3" t="inlineStr">
        <is>
          <t>OH</t>
        </is>
      </c>
      <c r="D16129" s="15" t="n">
        <v>0.021</v>
      </c>
      <c r="E16129" s="4" t="n">
        <v>200000</v>
      </c>
      <c r="F16129" s="4" t="n">
        <v>4200</v>
      </c>
    </row>
    <row r="16130">
      <c r="A16130" s="3" t="inlineStr">
        <is>
          <t>1</t>
        </is>
      </c>
      <c r="B16130" s="3" t="inlineStr">
        <is>
          <t>"Floor Clean Out dia. 6"""</t>
        </is>
      </c>
      <c r="C16130" s="3" t="inlineStr">
        <is>
          <t>Bh</t>
        </is>
      </c>
      <c r="D16130" s="15" t="n">
        <v>1.25</v>
      </c>
      <c r="E16130" s="4" t="n">
        <v>415500</v>
      </c>
      <c r="F16130" s="4" t="n">
        <v>519375</v>
      </c>
    </row>
    <row r="16131">
      <c r="D16131" s="2" t="inlineStr">
        <is>
          <t>SUBTOTAL UPAH</t>
        </is>
      </c>
      <c r="F16131" s="16" t="n">
        <v>157625</v>
      </c>
    </row>
    <row r="16132">
      <c r="D16132" s="2" t="inlineStr">
        <is>
          <t>SUBTOTAL BAHAN</t>
        </is>
      </c>
      <c r="F16132" s="16" t="n">
        <v>519375</v>
      </c>
    </row>
    <row r="16133">
      <c r="D16133" s="2" t="inlineStr">
        <is>
          <t>SUBTOTAL ALAT</t>
        </is>
      </c>
      <c r="F16133" s="16" t="n">
        <v>0</v>
      </c>
    </row>
    <row r="16134">
      <c r="E16134" s="2" t="inlineStr">
        <is>
          <t>TOTAL HARGA SATUAN (Inc. Overhead)</t>
        </is>
      </c>
      <c r="F16134" s="17" t="n">
        <v>744700</v>
      </c>
    </row>
    <row r="16136">
      <c r="A16136" s="14" t="inlineStr">
        <is>
          <t>KODE: 6.5.14.6 - Pemasangan 1 buah Floor Clean Out, Dia. 8" (200 mm)</t>
        </is>
      </c>
    </row>
    <row r="16137">
      <c r="A16137" s="10" t="inlineStr">
        <is>
          <t>No</t>
        </is>
      </c>
      <c r="B16137" s="10" t="inlineStr">
        <is>
          <t>Uraian Komponen</t>
        </is>
      </c>
      <c r="C16137" s="10" t="inlineStr">
        <is>
          <t>Satuan</t>
        </is>
      </c>
      <c r="D16137" s="10" t="inlineStr">
        <is>
          <t>Koef</t>
        </is>
      </c>
      <c r="E16137" s="10" t="inlineStr">
        <is>
          <t>Harga Satuan (Rp)</t>
        </is>
      </c>
      <c r="F16137" s="10" t="inlineStr">
        <is>
          <t>Jumlah Harga (Rp)</t>
        </is>
      </c>
    </row>
    <row r="16138">
      <c r="A16138" s="3" t="inlineStr">
        <is>
          <t>1</t>
        </is>
      </c>
      <c r="B16138" s="3" t="inlineStr">
        <is>
          <t>Pekerja</t>
        </is>
      </c>
      <c r="C16138" s="3" t="inlineStr">
        <is>
          <t>OH</t>
        </is>
      </c>
      <c r="D16138" s="15" t="n">
        <v>0.55</v>
      </c>
      <c r="E16138" s="4" t="n">
        <v>100000</v>
      </c>
      <c r="F16138" s="4" t="n">
        <v>55000.00000000001</v>
      </c>
    </row>
    <row r="16139">
      <c r="A16139" s="3" t="inlineStr">
        <is>
          <t>2</t>
        </is>
      </c>
      <c r="B16139" s="3" t="inlineStr">
        <is>
          <t>Tukang pipa</t>
        </is>
      </c>
      <c r="C16139" s="3" t="inlineStr">
        <is>
          <t>OH</t>
        </is>
      </c>
      <c r="D16139" s="15" t="n">
        <v>0.919</v>
      </c>
      <c r="E16139" s="4" t="n">
        <v>145000</v>
      </c>
      <c r="F16139" s="4" t="n">
        <v>133255</v>
      </c>
    </row>
    <row r="16140">
      <c r="A16140" s="3" t="inlineStr">
        <is>
          <t>3</t>
        </is>
      </c>
      <c r="B16140" s="3" t="inlineStr">
        <is>
          <t>Kepala tukang</t>
        </is>
      </c>
      <c r="C16140" s="3" t="inlineStr">
        <is>
          <t>OH</t>
        </is>
      </c>
      <c r="D16140" s="15" t="n">
        <v>0.092</v>
      </c>
      <c r="E16140" s="4" t="n">
        <v>175000</v>
      </c>
      <c r="F16140" s="4" t="n">
        <v>16100</v>
      </c>
    </row>
    <row r="16141">
      <c r="A16141" s="3" t="inlineStr">
        <is>
          <t>4</t>
        </is>
      </c>
      <c r="B16141" s="3" t="inlineStr">
        <is>
          <t>Mandor</t>
        </is>
      </c>
      <c r="C16141" s="3" t="inlineStr">
        <is>
          <t>OH</t>
        </is>
      </c>
      <c r="D16141" s="15" t="n">
        <v>0.028</v>
      </c>
      <c r="E16141" s="4" t="n">
        <v>200000</v>
      </c>
      <c r="F16141" s="4" t="n">
        <v>5600</v>
      </c>
    </row>
    <row r="16142">
      <c r="A16142" s="3" t="inlineStr">
        <is>
          <t>1</t>
        </is>
      </c>
      <c r="B16142" s="3" t="inlineStr">
        <is>
          <t>"Floor Clean Out dia. 8"""</t>
        </is>
      </c>
      <c r="C16142" s="3" t="inlineStr">
        <is>
          <t>Bh</t>
        </is>
      </c>
      <c r="D16142" s="15" t="n">
        <v>1.25</v>
      </c>
      <c r="E16142" s="4" t="n">
        <v>507600</v>
      </c>
      <c r="F16142" s="4" t="n">
        <v>634500</v>
      </c>
    </row>
    <row r="16143">
      <c r="D16143" s="2" t="inlineStr">
        <is>
          <t>SUBTOTAL UPAH</t>
        </is>
      </c>
      <c r="F16143" s="16" t="n">
        <v>209955</v>
      </c>
    </row>
    <row r="16144">
      <c r="D16144" s="2" t="inlineStr">
        <is>
          <t>SUBTOTAL BAHAN</t>
        </is>
      </c>
      <c r="F16144" s="16" t="n">
        <v>634500</v>
      </c>
    </row>
    <row r="16145">
      <c r="D16145" s="2" t="inlineStr">
        <is>
          <t>SUBTOTAL ALAT</t>
        </is>
      </c>
      <c r="F16145" s="16" t="n">
        <v>0</v>
      </c>
    </row>
    <row r="16146">
      <c r="E16146" s="2" t="inlineStr">
        <is>
          <t>TOTAL HARGA SATUAN (Inc. Overhead)</t>
        </is>
      </c>
      <c r="F16146" s="17" t="n">
        <v>928900</v>
      </c>
    </row>
    <row r="16148">
      <c r="A16148" s="14" t="inlineStr">
        <is>
          <t>KODE: 6.5.15.1 - Pemasangan 1 buah Vent Cap, Dia 2" (50 mm)</t>
        </is>
      </c>
    </row>
    <row r="16149">
      <c r="A16149" s="10" t="inlineStr">
        <is>
          <t>No</t>
        </is>
      </c>
      <c r="B16149" s="10" t="inlineStr">
        <is>
          <t>Uraian Komponen</t>
        </is>
      </c>
      <c r="C16149" s="10" t="inlineStr">
        <is>
          <t>Satuan</t>
        </is>
      </c>
      <c r="D16149" s="10" t="inlineStr">
        <is>
          <t>Koef</t>
        </is>
      </c>
      <c r="E16149" s="10" t="inlineStr">
        <is>
          <t>Harga Satuan (Rp)</t>
        </is>
      </c>
      <c r="F16149" s="10" t="inlineStr">
        <is>
          <t>Jumlah Harga (Rp)</t>
        </is>
      </c>
    </row>
    <row r="16150">
      <c r="A16150" s="3" t="inlineStr">
        <is>
          <t>1</t>
        </is>
      </c>
      <c r="B16150" s="3" t="inlineStr">
        <is>
          <t>Pekerja</t>
        </is>
      </c>
      <c r="C16150" s="3" t="inlineStr">
        <is>
          <t>OH</t>
        </is>
      </c>
      <c r="D16150" s="15" t="n">
        <v>0.094</v>
      </c>
      <c r="E16150" s="4" t="n">
        <v>100000</v>
      </c>
      <c r="F16150" s="4" t="n">
        <v>9400</v>
      </c>
    </row>
    <row r="16151">
      <c r="A16151" s="3" t="inlineStr">
        <is>
          <t>2</t>
        </is>
      </c>
      <c r="B16151" s="3" t="inlineStr">
        <is>
          <t>Tukang pipa</t>
        </is>
      </c>
      <c r="C16151" s="3" t="inlineStr">
        <is>
          <t>OH</t>
        </is>
      </c>
      <c r="D16151" s="15" t="n">
        <v>0.157</v>
      </c>
      <c r="E16151" s="4" t="n">
        <v>145000</v>
      </c>
      <c r="F16151" s="4" t="n">
        <v>22765</v>
      </c>
    </row>
    <row r="16152">
      <c r="A16152" s="3" t="inlineStr">
        <is>
          <t>3</t>
        </is>
      </c>
      <c r="B16152" s="3" t="inlineStr">
        <is>
          <t>Kepala tukang</t>
        </is>
      </c>
      <c r="C16152" s="3" t="inlineStr">
        <is>
          <t>OH</t>
        </is>
      </c>
      <c r="D16152" s="15" t="n">
        <v>0.016</v>
      </c>
      <c r="E16152" s="4" t="n">
        <v>175000</v>
      </c>
      <c r="F16152" s="4" t="n">
        <v>2800</v>
      </c>
    </row>
    <row r="16153">
      <c r="A16153" s="3" t="inlineStr">
        <is>
          <t>4</t>
        </is>
      </c>
      <c r="B16153" s="3" t="inlineStr">
        <is>
          <t>Mandor</t>
        </is>
      </c>
      <c r="C16153" s="3" t="inlineStr">
        <is>
          <t>OH</t>
        </is>
      </c>
      <c r="D16153" s="15" t="n">
        <v>0.005</v>
      </c>
      <c r="E16153" s="4" t="n">
        <v>200000</v>
      </c>
      <c r="F16153" s="4" t="n">
        <v>1000</v>
      </c>
    </row>
    <row r="16154">
      <c r="A16154" s="3" t="inlineStr">
        <is>
          <t>1</t>
        </is>
      </c>
      <c r="B16154" s="3" t="inlineStr">
        <is>
          <t>"Vent Cap dia. 2"""</t>
        </is>
      </c>
      <c r="C16154" s="3" t="inlineStr">
        <is>
          <t>Bh</t>
        </is>
      </c>
      <c r="D16154" s="15" t="n">
        <v>1.1</v>
      </c>
      <c r="E16154" s="4" t="n">
        <v>45000</v>
      </c>
      <c r="F16154" s="4" t="n">
        <v>49500.00000000001</v>
      </c>
    </row>
    <row r="16155">
      <c r="D16155" s="2" t="inlineStr">
        <is>
          <t>SUBTOTAL UPAH</t>
        </is>
      </c>
      <c r="F16155" s="16" t="n">
        <v>35965</v>
      </c>
    </row>
    <row r="16156">
      <c r="D16156" s="2" t="inlineStr">
        <is>
          <t>SUBTOTAL BAHAN</t>
        </is>
      </c>
      <c r="F16156" s="16" t="n">
        <v>49500.00000000001</v>
      </c>
    </row>
    <row r="16157">
      <c r="D16157" s="2" t="inlineStr">
        <is>
          <t>SUBTOTAL ALAT</t>
        </is>
      </c>
      <c r="F16157" s="16" t="n">
        <v>0</v>
      </c>
    </row>
    <row r="16158">
      <c r="E16158" s="2" t="inlineStr">
        <is>
          <t>TOTAL HARGA SATUAN (Inc. Overhead)</t>
        </is>
      </c>
      <c r="F16158" s="17" t="n">
        <v>94011</v>
      </c>
    </row>
    <row r="16160">
      <c r="A16160" s="14" t="inlineStr">
        <is>
          <t>KODE: 6.5.15.2 - Pemasangan 1 buah Vent Cap, Dia 3" (80 mm)</t>
        </is>
      </c>
    </row>
    <row r="16161">
      <c r="A16161" s="10" t="inlineStr">
        <is>
          <t>No</t>
        </is>
      </c>
      <c r="B16161" s="10" t="inlineStr">
        <is>
          <t>Uraian Komponen</t>
        </is>
      </c>
      <c r="C16161" s="10" t="inlineStr">
        <is>
          <t>Satuan</t>
        </is>
      </c>
      <c r="D16161" s="10" t="inlineStr">
        <is>
          <t>Koef</t>
        </is>
      </c>
      <c r="E16161" s="10" t="inlineStr">
        <is>
          <t>Harga Satuan (Rp)</t>
        </is>
      </c>
      <c r="F16161" s="10" t="inlineStr">
        <is>
          <t>Jumlah Harga (Rp)</t>
        </is>
      </c>
    </row>
    <row r="16162">
      <c r="A16162" s="3" t="inlineStr">
        <is>
          <t>1</t>
        </is>
      </c>
      <c r="B16162" s="3" t="inlineStr">
        <is>
          <t>Pekerja</t>
        </is>
      </c>
      <c r="C16162" s="3" t="inlineStr">
        <is>
          <t>OH</t>
        </is>
      </c>
      <c r="D16162" s="15" t="n">
        <v>0.183</v>
      </c>
      <c r="E16162" s="4" t="n">
        <v>100000</v>
      </c>
      <c r="F16162" s="4" t="n">
        <v>18300</v>
      </c>
    </row>
    <row r="16163">
      <c r="A16163" s="3" t="inlineStr">
        <is>
          <t>2</t>
        </is>
      </c>
      <c r="B16163" s="3" t="inlineStr">
        <is>
          <t>Tukang pipa</t>
        </is>
      </c>
      <c r="C16163" s="3" t="inlineStr">
        <is>
          <t>OH</t>
        </is>
      </c>
      <c r="D16163" s="15" t="n">
        <v>0.306</v>
      </c>
      <c r="E16163" s="4" t="n">
        <v>145000</v>
      </c>
      <c r="F16163" s="4" t="n">
        <v>44370</v>
      </c>
    </row>
    <row r="16164">
      <c r="A16164" s="3" t="inlineStr">
        <is>
          <t>3</t>
        </is>
      </c>
      <c r="B16164" s="3" t="inlineStr">
        <is>
          <t>Kepala tukang</t>
        </is>
      </c>
      <c r="C16164" s="3" t="inlineStr">
        <is>
          <t>OH</t>
        </is>
      </c>
      <c r="D16164" s="15" t="n">
        <v>0.031</v>
      </c>
      <c r="E16164" s="4" t="n">
        <v>175000</v>
      </c>
      <c r="F16164" s="4" t="n">
        <v>5425</v>
      </c>
    </row>
    <row r="16165">
      <c r="A16165" s="3" t="inlineStr">
        <is>
          <t>4</t>
        </is>
      </c>
      <c r="B16165" s="3" t="inlineStr">
        <is>
          <t>Mandor</t>
        </is>
      </c>
      <c r="C16165" s="3" t="inlineStr">
        <is>
          <t>OH</t>
        </is>
      </c>
      <c r="D16165" s="15" t="n">
        <v>0.008999999999999999</v>
      </c>
      <c r="E16165" s="4" t="n">
        <v>200000</v>
      </c>
      <c r="F16165" s="4" t="n">
        <v>1800</v>
      </c>
    </row>
    <row r="16166">
      <c r="A16166" s="3" t="inlineStr">
        <is>
          <t>1</t>
        </is>
      </c>
      <c r="B16166" s="3" t="inlineStr">
        <is>
          <t>"Vent Cap dia. 3"""</t>
        </is>
      </c>
      <c r="C16166" s="3" t="inlineStr">
        <is>
          <t>Bh</t>
        </is>
      </c>
      <c r="D16166" s="15" t="n">
        <v>1.1</v>
      </c>
      <c r="E16166" s="4" t="n">
        <v>65000</v>
      </c>
      <c r="F16166" s="4" t="n">
        <v>71500</v>
      </c>
    </row>
    <row r="16167">
      <c r="D16167" s="2" t="inlineStr">
        <is>
          <t>SUBTOTAL UPAH</t>
        </is>
      </c>
      <c r="F16167" s="16" t="n">
        <v>69895</v>
      </c>
    </row>
    <row r="16168">
      <c r="D16168" s="2" t="inlineStr">
        <is>
          <t>SUBTOTAL BAHAN</t>
        </is>
      </c>
      <c r="F16168" s="16" t="n">
        <v>71500</v>
      </c>
    </row>
    <row r="16169">
      <c r="D16169" s="2" t="inlineStr">
        <is>
          <t>SUBTOTAL ALAT</t>
        </is>
      </c>
      <c r="F16169" s="16" t="n">
        <v>0</v>
      </c>
    </row>
    <row r="16170">
      <c r="E16170" s="2" t="inlineStr">
        <is>
          <t>TOTAL HARGA SATUAN (Inc. Overhead)</t>
        </is>
      </c>
      <c r="F16170" s="17" t="n">
        <v>155534</v>
      </c>
    </row>
    <row r="16172">
      <c r="A16172" s="14" t="inlineStr">
        <is>
          <t>KODE: 6.5.15.3 - Pemasangan 1 buah Vent Cap, Dia 4" (100 mm)</t>
        </is>
      </c>
    </row>
    <row r="16173">
      <c r="A16173" s="10" t="inlineStr">
        <is>
          <t>No</t>
        </is>
      </c>
      <c r="B16173" s="10" t="inlineStr">
        <is>
          <t>Uraian Komponen</t>
        </is>
      </c>
      <c r="C16173" s="10" t="inlineStr">
        <is>
          <t>Satuan</t>
        </is>
      </c>
      <c r="D16173" s="10" t="inlineStr">
        <is>
          <t>Koef</t>
        </is>
      </c>
      <c r="E16173" s="10" t="inlineStr">
        <is>
          <t>Harga Satuan (Rp)</t>
        </is>
      </c>
      <c r="F16173" s="10" t="inlineStr">
        <is>
          <t>Jumlah Harga (Rp)</t>
        </is>
      </c>
    </row>
    <row r="16174">
      <c r="A16174" s="3" t="inlineStr">
        <is>
          <t>1</t>
        </is>
      </c>
      <c r="B16174" s="3" t="inlineStr">
        <is>
          <t>Pekerja</t>
        </is>
      </c>
      <c r="C16174" s="3" t="inlineStr">
        <is>
          <t>OH</t>
        </is>
      </c>
      <c r="D16174" s="15" t="n">
        <v>0.244</v>
      </c>
      <c r="E16174" s="4" t="n">
        <v>100000</v>
      </c>
      <c r="F16174" s="4" t="n">
        <v>24400</v>
      </c>
    </row>
    <row r="16175">
      <c r="A16175" s="3" t="inlineStr">
        <is>
          <t>2</t>
        </is>
      </c>
      <c r="B16175" s="3" t="inlineStr">
        <is>
          <t>Tukang pipa</t>
        </is>
      </c>
      <c r="C16175" s="3" t="inlineStr">
        <is>
          <t>OH</t>
        </is>
      </c>
      <c r="D16175" s="15" t="n">
        <v>0.408</v>
      </c>
      <c r="E16175" s="4" t="n">
        <v>145000</v>
      </c>
      <c r="F16175" s="4" t="n">
        <v>59159.99999999999</v>
      </c>
    </row>
    <row r="16176">
      <c r="A16176" s="3" t="inlineStr">
        <is>
          <t>3</t>
        </is>
      </c>
      <c r="B16176" s="3" t="inlineStr">
        <is>
          <t>Kepala tukang</t>
        </is>
      </c>
      <c r="C16176" s="3" t="inlineStr">
        <is>
          <t>OH</t>
        </is>
      </c>
      <c r="D16176" s="15" t="n">
        <v>0.041</v>
      </c>
      <c r="E16176" s="4" t="n">
        <v>175000</v>
      </c>
      <c r="F16176" s="4" t="n">
        <v>7175</v>
      </c>
    </row>
    <row r="16177">
      <c r="A16177" s="3" t="inlineStr">
        <is>
          <t>4</t>
        </is>
      </c>
      <c r="B16177" s="3" t="inlineStr">
        <is>
          <t>Mandor</t>
        </is>
      </c>
      <c r="C16177" s="3" t="inlineStr">
        <is>
          <t>OH</t>
        </is>
      </c>
      <c r="D16177" s="15" t="n">
        <v>0.021</v>
      </c>
      <c r="E16177" s="4" t="n">
        <v>200000</v>
      </c>
      <c r="F16177" s="4" t="n">
        <v>4200</v>
      </c>
    </row>
    <row r="16178">
      <c r="A16178" s="3" t="inlineStr">
        <is>
          <t>1</t>
        </is>
      </c>
      <c r="B16178" s="3" t="inlineStr">
        <is>
          <t>"Vent Cap dia. 4"""</t>
        </is>
      </c>
      <c r="C16178" s="3" t="inlineStr">
        <is>
          <t>Bh</t>
        </is>
      </c>
      <c r="D16178" s="15" t="n">
        <v>1.1</v>
      </c>
      <c r="E16178" s="4" t="n">
        <v>80000</v>
      </c>
      <c r="F16178" s="4" t="n">
        <v>88000</v>
      </c>
    </row>
    <row r="16179">
      <c r="D16179" s="2" t="inlineStr">
        <is>
          <t>SUBTOTAL UPAH</t>
        </is>
      </c>
      <c r="F16179" s="16" t="n">
        <v>94935</v>
      </c>
    </row>
    <row r="16180">
      <c r="D16180" s="2" t="inlineStr">
        <is>
          <t>SUBTOTAL BAHAN</t>
        </is>
      </c>
      <c r="F16180" s="16" t="n">
        <v>88000</v>
      </c>
    </row>
    <row r="16181">
      <c r="D16181" s="2" t="inlineStr">
        <is>
          <t>SUBTOTAL ALAT</t>
        </is>
      </c>
      <c r="F16181" s="16" t="n">
        <v>0</v>
      </c>
    </row>
    <row r="16182">
      <c r="E16182" s="2" t="inlineStr">
        <is>
          <t>TOTAL HARGA SATUAN (Inc. Overhead)</t>
        </is>
      </c>
      <c r="F16182" s="17" t="n">
        <v>201228</v>
      </c>
    </row>
    <row r="16184">
      <c r="A16184" s="14" t="inlineStr">
        <is>
          <t>KODE: 6.5.16.1 - Pemasangan 1 buah PRV, Dia 2" (50 mm)</t>
        </is>
      </c>
    </row>
    <row r="16185">
      <c r="A16185" s="10" t="inlineStr">
        <is>
          <t>No</t>
        </is>
      </c>
      <c r="B16185" s="10" t="inlineStr">
        <is>
          <t>Uraian Komponen</t>
        </is>
      </c>
      <c r="C16185" s="10" t="inlineStr">
        <is>
          <t>Satuan</t>
        </is>
      </c>
      <c r="D16185" s="10" t="inlineStr">
        <is>
          <t>Koef</t>
        </is>
      </c>
      <c r="E16185" s="10" t="inlineStr">
        <is>
          <t>Harga Satuan (Rp)</t>
        </is>
      </c>
      <c r="F16185" s="10" t="inlineStr">
        <is>
          <t>Jumlah Harga (Rp)</t>
        </is>
      </c>
    </row>
    <row r="16186">
      <c r="A16186" s="3" t="inlineStr">
        <is>
          <t>1</t>
        </is>
      </c>
      <c r="B16186" s="3" t="inlineStr">
        <is>
          <t>Pekerja</t>
        </is>
      </c>
      <c r="C16186" s="3" t="inlineStr">
        <is>
          <t>OH</t>
        </is>
      </c>
      <c r="D16186" s="15" t="n">
        <v>0.521</v>
      </c>
      <c r="E16186" s="4" t="n">
        <v>100000</v>
      </c>
      <c r="F16186" s="4" t="n">
        <v>52100</v>
      </c>
    </row>
    <row r="16187">
      <c r="A16187" s="3" t="inlineStr">
        <is>
          <t>2</t>
        </is>
      </c>
      <c r="B16187" s="3" t="inlineStr">
        <is>
          <t>Tukang pipa</t>
        </is>
      </c>
      <c r="C16187" s="3" t="inlineStr">
        <is>
          <t>OH</t>
        </is>
      </c>
      <c r="D16187" s="15" t="n">
        <v>0.871</v>
      </c>
      <c r="E16187" s="4" t="n">
        <v>145000</v>
      </c>
      <c r="F16187" s="4" t="n">
        <v>126295</v>
      </c>
    </row>
    <row r="16188">
      <c r="A16188" s="3" t="inlineStr">
        <is>
          <t>3</t>
        </is>
      </c>
      <c r="B16188" s="3" t="inlineStr">
        <is>
          <t>Kepala tukang</t>
        </is>
      </c>
      <c r="C16188" s="3" t="inlineStr">
        <is>
          <t>OH</t>
        </is>
      </c>
      <c r="D16188" s="15" t="n">
        <v>0.08699999999999999</v>
      </c>
      <c r="E16188" s="4" t="n">
        <v>175000</v>
      </c>
      <c r="F16188" s="4" t="n">
        <v>15225</v>
      </c>
    </row>
    <row r="16189">
      <c r="A16189" s="3" t="inlineStr">
        <is>
          <t>4</t>
        </is>
      </c>
      <c r="B16189" s="3" t="inlineStr">
        <is>
          <t>Mandor</t>
        </is>
      </c>
      <c r="C16189" s="3" t="inlineStr">
        <is>
          <t>OH</t>
        </is>
      </c>
      <c r="D16189" s="15" t="n">
        <v>0.026</v>
      </c>
      <c r="E16189" s="4" t="n">
        <v>200000</v>
      </c>
      <c r="F16189" s="4" t="n">
        <v>5200</v>
      </c>
    </row>
    <row r="16190">
      <c r="A16190" s="3" t="inlineStr">
        <is>
          <t>1</t>
        </is>
      </c>
      <c r="B16190" s="3" t="inlineStr">
        <is>
          <t>"PRV Set dia. 2"""</t>
        </is>
      </c>
      <c r="C16190" s="3" t="inlineStr">
        <is>
          <t>Bh</t>
        </is>
      </c>
      <c r="D16190" s="15" t="n">
        <v>1.15</v>
      </c>
      <c r="E16190" s="4" t="n">
        <v>4900000</v>
      </c>
      <c r="F16190" s="4" t="n">
        <v>5635000</v>
      </c>
    </row>
    <row r="16191">
      <c r="D16191" s="2" t="inlineStr">
        <is>
          <t>SUBTOTAL UPAH</t>
        </is>
      </c>
      <c r="F16191" s="16" t="n">
        <v>198820</v>
      </c>
    </row>
    <row r="16192">
      <c r="D16192" s="2" t="inlineStr">
        <is>
          <t>SUBTOTAL BAHAN</t>
        </is>
      </c>
      <c r="F16192" s="16" t="n">
        <v>5635000</v>
      </c>
    </row>
    <row r="16193">
      <c r="D16193" s="2" t="inlineStr">
        <is>
          <t>SUBTOTAL ALAT</t>
        </is>
      </c>
      <c r="F16193" s="16" t="n">
        <v>0</v>
      </c>
    </row>
    <row r="16194">
      <c r="E16194" s="2" t="inlineStr">
        <is>
          <t>TOTAL HARGA SATUAN (Inc. Overhead)</t>
        </is>
      </c>
      <c r="F16194" s="17" t="n">
        <v>6417202</v>
      </c>
    </row>
    <row r="16196">
      <c r="A16196" s="14" t="inlineStr">
        <is>
          <t>KODE: 6.5.16.2 - Pemasangan 1 buah PRV, Dia 2-1/2" (65 mm)</t>
        </is>
      </c>
    </row>
    <row r="16197">
      <c r="A16197" s="10" t="inlineStr">
        <is>
          <t>No</t>
        </is>
      </c>
      <c r="B16197" s="10" t="inlineStr">
        <is>
          <t>Uraian Komponen</t>
        </is>
      </c>
      <c r="C16197" s="10" t="inlineStr">
        <is>
          <t>Satuan</t>
        </is>
      </c>
      <c r="D16197" s="10" t="inlineStr">
        <is>
          <t>Koef</t>
        </is>
      </c>
      <c r="E16197" s="10" t="inlineStr">
        <is>
          <t>Harga Satuan (Rp)</t>
        </is>
      </c>
      <c r="F16197" s="10" t="inlineStr">
        <is>
          <t>Jumlah Harga (Rp)</t>
        </is>
      </c>
    </row>
    <row r="16198">
      <c r="A16198" s="3" t="inlineStr">
        <is>
          <t>1</t>
        </is>
      </c>
      <c r="B16198" s="3" t="inlineStr">
        <is>
          <t>Pekerja</t>
        </is>
      </c>
      <c r="C16198" s="3" t="inlineStr">
        <is>
          <t>OH</t>
        </is>
      </c>
      <c r="D16198" s="15" t="n">
        <v>0.636</v>
      </c>
      <c r="E16198" s="4" t="n">
        <v>100000</v>
      </c>
      <c r="F16198" s="4" t="n">
        <v>63600</v>
      </c>
    </row>
    <row r="16199">
      <c r="A16199" s="3" t="inlineStr">
        <is>
          <t>2</t>
        </is>
      </c>
      <c r="B16199" s="3" t="inlineStr">
        <is>
          <t>Tukang pipa</t>
        </is>
      </c>
      <c r="C16199" s="3" t="inlineStr">
        <is>
          <t>OH</t>
        </is>
      </c>
      <c r="D16199" s="15" t="n">
        <v>1.062</v>
      </c>
      <c r="E16199" s="4" t="n">
        <v>145000</v>
      </c>
      <c r="F16199" s="4" t="n">
        <v>153990</v>
      </c>
    </row>
    <row r="16200">
      <c r="A16200" s="3" t="inlineStr">
        <is>
          <t>3</t>
        </is>
      </c>
      <c r="B16200" s="3" t="inlineStr">
        <is>
          <t>Kepala tukang</t>
        </is>
      </c>
      <c r="C16200" s="3" t="inlineStr">
        <is>
          <t>OH</t>
        </is>
      </c>
      <c r="D16200" s="15" t="n">
        <v>0.106</v>
      </c>
      <c r="E16200" s="4" t="n">
        <v>175000</v>
      </c>
      <c r="F16200" s="4" t="n">
        <v>18550</v>
      </c>
    </row>
    <row r="16201">
      <c r="A16201" s="3" t="inlineStr">
        <is>
          <t>4</t>
        </is>
      </c>
      <c r="B16201" s="3" t="inlineStr">
        <is>
          <t>Mandor</t>
        </is>
      </c>
      <c r="C16201" s="3" t="inlineStr">
        <is>
          <t>OH</t>
        </is>
      </c>
      <c r="D16201" s="15" t="n">
        <v>0.032</v>
      </c>
      <c r="E16201" s="4" t="n">
        <v>200000</v>
      </c>
      <c r="F16201" s="4" t="n">
        <v>6400</v>
      </c>
    </row>
    <row r="16202">
      <c r="A16202" s="3" t="inlineStr">
        <is>
          <t>1</t>
        </is>
      </c>
      <c r="B16202" s="3" t="inlineStr">
        <is>
          <t>"PRV Set dia. 2-1/2"""</t>
        </is>
      </c>
      <c r="C16202" s="3" t="inlineStr">
        <is>
          <t>Bh</t>
        </is>
      </c>
      <c r="D16202" s="15" t="n">
        <v>1.15</v>
      </c>
      <c r="E16202" s="4" t="n">
        <v>5350000</v>
      </c>
      <c r="F16202" s="4" t="n">
        <v>6152499.999999999</v>
      </c>
    </row>
    <row r="16203">
      <c r="D16203" s="2" t="inlineStr">
        <is>
          <t>SUBTOTAL UPAH</t>
        </is>
      </c>
      <c r="F16203" s="16" t="n">
        <v>242540</v>
      </c>
    </row>
    <row r="16204">
      <c r="D16204" s="2" t="inlineStr">
        <is>
          <t>SUBTOTAL BAHAN</t>
        </is>
      </c>
      <c r="F16204" s="16" t="n">
        <v>6152499.999999999</v>
      </c>
    </row>
    <row r="16205">
      <c r="D16205" s="2" t="inlineStr">
        <is>
          <t>SUBTOTAL ALAT</t>
        </is>
      </c>
      <c r="F16205" s="16" t="n">
        <v>0</v>
      </c>
    </row>
    <row r="16206">
      <c r="E16206" s="2" t="inlineStr">
        <is>
          <t>TOTAL HARGA SATUAN (Inc. Overhead)</t>
        </is>
      </c>
      <c r="F16206" s="17" t="n">
        <v>7034544</v>
      </c>
    </row>
    <row r="16208">
      <c r="A16208" s="14" t="inlineStr">
        <is>
          <t>KODE: 6.5.16.3 - Pemasangan 1 buah PRV Dia 3" (80 mm)</t>
        </is>
      </c>
    </row>
    <row r="16209">
      <c r="A16209" s="10" t="inlineStr">
        <is>
          <t>No</t>
        </is>
      </c>
      <c r="B16209" s="10" t="inlineStr">
        <is>
          <t>Uraian Komponen</t>
        </is>
      </c>
      <c r="C16209" s="10" t="inlineStr">
        <is>
          <t>Satuan</t>
        </is>
      </c>
      <c r="D16209" s="10" t="inlineStr">
        <is>
          <t>Koef</t>
        </is>
      </c>
      <c r="E16209" s="10" t="inlineStr">
        <is>
          <t>Harga Satuan (Rp)</t>
        </is>
      </c>
      <c r="F16209" s="10" t="inlineStr">
        <is>
          <t>Jumlah Harga (Rp)</t>
        </is>
      </c>
    </row>
    <row r="16210">
      <c r="A16210" s="3" t="inlineStr">
        <is>
          <t>1</t>
        </is>
      </c>
      <c r="B16210" s="3" t="inlineStr">
        <is>
          <t>Pekerja</t>
        </is>
      </c>
      <c r="C16210" s="3" t="inlineStr">
        <is>
          <t>OH</t>
        </is>
      </c>
      <c r="D16210" s="15" t="n">
        <v>0.764</v>
      </c>
      <c r="E16210" s="4" t="n">
        <v>100000</v>
      </c>
      <c r="F16210" s="4" t="n">
        <v>76400</v>
      </c>
    </row>
    <row r="16211">
      <c r="A16211" s="3" t="inlineStr">
        <is>
          <t>2</t>
        </is>
      </c>
      <c r="B16211" s="3" t="inlineStr">
        <is>
          <t>Tukang pipa</t>
        </is>
      </c>
      <c r="C16211" s="3" t="inlineStr">
        <is>
          <t>OH</t>
        </is>
      </c>
      <c r="D16211" s="15" t="n">
        <v>1.276</v>
      </c>
      <c r="E16211" s="4" t="n">
        <v>145000</v>
      </c>
      <c r="F16211" s="4" t="n">
        <v>185020</v>
      </c>
    </row>
    <row r="16212">
      <c r="A16212" s="3" t="inlineStr">
        <is>
          <t>3</t>
        </is>
      </c>
      <c r="B16212" s="3" t="inlineStr">
        <is>
          <t>Kepala tukang</t>
        </is>
      </c>
      <c r="C16212" s="3" t="inlineStr">
        <is>
          <t>OH</t>
        </is>
      </c>
      <c r="D16212" s="15" t="n">
        <v>0.128</v>
      </c>
      <c r="E16212" s="4" t="n">
        <v>175000</v>
      </c>
      <c r="F16212" s="4" t="n">
        <v>22400</v>
      </c>
    </row>
    <row r="16213">
      <c r="A16213" s="3" t="inlineStr">
        <is>
          <t>4</t>
        </is>
      </c>
      <c r="B16213" s="3" t="inlineStr">
        <is>
          <t>Mandor</t>
        </is>
      </c>
      <c r="C16213" s="3" t="inlineStr">
        <is>
          <t>OH</t>
        </is>
      </c>
      <c r="D16213" s="15" t="n">
        <v>0.038</v>
      </c>
      <c r="E16213" s="4" t="n">
        <v>200000</v>
      </c>
      <c r="F16213" s="4" t="n">
        <v>7600</v>
      </c>
    </row>
    <row r="16214">
      <c r="A16214" s="3" t="inlineStr">
        <is>
          <t>1</t>
        </is>
      </c>
      <c r="B16214" s="3" t="inlineStr">
        <is>
          <t>"PRV Set dia. 3"""</t>
        </is>
      </c>
      <c r="C16214" s="3" t="inlineStr">
        <is>
          <t>Bh</t>
        </is>
      </c>
      <c r="D16214" s="15" t="n">
        <v>1.3</v>
      </c>
      <c r="E16214" s="4" t="n">
        <v>7500000</v>
      </c>
      <c r="F16214" s="4" t="n">
        <v>9750000</v>
      </c>
    </row>
    <row r="16215">
      <c r="D16215" s="2" t="inlineStr">
        <is>
          <t>SUBTOTAL UPAH</t>
        </is>
      </c>
      <c r="F16215" s="16" t="n">
        <v>291420</v>
      </c>
    </row>
    <row r="16216">
      <c r="D16216" s="2" t="inlineStr">
        <is>
          <t>SUBTOTAL BAHAN</t>
        </is>
      </c>
      <c r="F16216" s="16" t="n">
        <v>9750000</v>
      </c>
    </row>
    <row r="16217">
      <c r="D16217" s="2" t="inlineStr">
        <is>
          <t>SUBTOTAL ALAT</t>
        </is>
      </c>
      <c r="F16217" s="16" t="n">
        <v>0</v>
      </c>
    </row>
    <row r="16218">
      <c r="E16218" s="2" t="inlineStr">
        <is>
          <t>TOTAL HARGA SATUAN (Inc. Overhead)</t>
        </is>
      </c>
      <c r="F16218" s="17" t="n">
        <v>11045562</v>
      </c>
    </row>
    <row r="16220">
      <c r="A16220" s="14" t="inlineStr">
        <is>
          <t>KODE: 6.5.16.4 - Pemasangan 1 buah PRV Dia 4" (100 mm)</t>
        </is>
      </c>
    </row>
    <row r="16221">
      <c r="A16221" s="10" t="inlineStr">
        <is>
          <t>No</t>
        </is>
      </c>
      <c r="B16221" s="10" t="inlineStr">
        <is>
          <t>Uraian Komponen</t>
        </is>
      </c>
      <c r="C16221" s="10" t="inlineStr">
        <is>
          <t>Satuan</t>
        </is>
      </c>
      <c r="D16221" s="10" t="inlineStr">
        <is>
          <t>Koef</t>
        </is>
      </c>
      <c r="E16221" s="10" t="inlineStr">
        <is>
          <t>Harga Satuan (Rp)</t>
        </is>
      </c>
      <c r="F16221" s="10" t="inlineStr">
        <is>
          <t>Jumlah Harga (Rp)</t>
        </is>
      </c>
    </row>
    <row r="16222">
      <c r="A16222" s="3" t="inlineStr">
        <is>
          <t>1</t>
        </is>
      </c>
      <c r="B16222" s="3" t="inlineStr">
        <is>
          <t>Pekerja</t>
        </is>
      </c>
      <c r="C16222" s="3" t="inlineStr">
        <is>
          <t>OH</t>
        </is>
      </c>
      <c r="D16222" s="15" t="n">
        <v>1.021</v>
      </c>
      <c r="E16222" s="4" t="n">
        <v>100000</v>
      </c>
      <c r="F16222" s="4" t="n">
        <v>102100</v>
      </c>
    </row>
    <row r="16223">
      <c r="A16223" s="3" t="inlineStr">
        <is>
          <t>2</t>
        </is>
      </c>
      <c r="B16223" s="3" t="inlineStr">
        <is>
          <t>Tukang pipa</t>
        </is>
      </c>
      <c r="C16223" s="3" t="inlineStr">
        <is>
          <t>OH</t>
        </is>
      </c>
      <c r="D16223" s="15" t="n">
        <v>1.706</v>
      </c>
      <c r="E16223" s="4" t="n">
        <v>145000</v>
      </c>
      <c r="F16223" s="4" t="n">
        <v>247370</v>
      </c>
    </row>
    <row r="16224">
      <c r="A16224" s="3" t="inlineStr">
        <is>
          <t>3</t>
        </is>
      </c>
      <c r="B16224" s="3" t="inlineStr">
        <is>
          <t>Kepala tukang</t>
        </is>
      </c>
      <c r="C16224" s="3" t="inlineStr">
        <is>
          <t>OH</t>
        </is>
      </c>
      <c r="D16224" s="15" t="n">
        <v>0.171</v>
      </c>
      <c r="E16224" s="4" t="n">
        <v>175000</v>
      </c>
      <c r="F16224" s="4" t="n">
        <v>29925</v>
      </c>
    </row>
    <row r="16225">
      <c r="A16225" s="3" t="inlineStr">
        <is>
          <t>4</t>
        </is>
      </c>
      <c r="B16225" s="3" t="inlineStr">
        <is>
          <t>Mandor</t>
        </is>
      </c>
      <c r="C16225" s="3" t="inlineStr">
        <is>
          <t>OH</t>
        </is>
      </c>
      <c r="D16225" s="15" t="n">
        <v>0.051</v>
      </c>
      <c r="E16225" s="4" t="n">
        <v>200000</v>
      </c>
      <c r="F16225" s="4" t="n">
        <v>10200</v>
      </c>
    </row>
    <row r="16226">
      <c r="A16226" s="3" t="inlineStr">
        <is>
          <t>1</t>
        </is>
      </c>
      <c r="B16226" s="3" t="inlineStr">
        <is>
          <t>"PRV set dia. 4"""</t>
        </is>
      </c>
      <c r="C16226" s="3" t="inlineStr">
        <is>
          <t>Bh</t>
        </is>
      </c>
      <c r="D16226" s="15" t="n">
        <v>1.3</v>
      </c>
      <c r="E16226" s="4" t="n">
        <v>8450000</v>
      </c>
      <c r="F16226" s="4" t="n">
        <v>10985000</v>
      </c>
    </row>
    <row r="16227">
      <c r="D16227" s="2" t="inlineStr">
        <is>
          <t>SUBTOTAL UPAH</t>
        </is>
      </c>
      <c r="F16227" s="16" t="n">
        <v>389595</v>
      </c>
    </row>
    <row r="16228">
      <c r="D16228" s="2" t="inlineStr">
        <is>
          <t>SUBTOTAL BAHAN</t>
        </is>
      </c>
      <c r="F16228" s="16" t="n">
        <v>10985000</v>
      </c>
    </row>
    <row r="16229">
      <c r="D16229" s="2" t="inlineStr">
        <is>
          <t>SUBTOTAL ALAT</t>
        </is>
      </c>
      <c r="F16229" s="16" t="n">
        <v>0</v>
      </c>
    </row>
    <row r="16230">
      <c r="E16230" s="2" t="inlineStr">
        <is>
          <t>TOTAL HARGA SATUAN (Inc. Overhead)</t>
        </is>
      </c>
      <c r="F16230" s="17" t="n">
        <v>12512054</v>
      </c>
    </row>
    <row r="16232">
      <c r="A16232" s="14" t="inlineStr">
        <is>
          <t>KODE: 6.5.16.5 - Pemasangan 1 buah PRV Dia 6" (150 mm)</t>
        </is>
      </c>
    </row>
    <row r="16233">
      <c r="A16233" s="10" t="inlineStr">
        <is>
          <t>No</t>
        </is>
      </c>
      <c r="B16233" s="10" t="inlineStr">
        <is>
          <t>Uraian Komponen</t>
        </is>
      </c>
      <c r="C16233" s="10" t="inlineStr">
        <is>
          <t>Satuan</t>
        </is>
      </c>
      <c r="D16233" s="10" t="inlineStr">
        <is>
          <t>Koef</t>
        </is>
      </c>
      <c r="E16233" s="10" t="inlineStr">
        <is>
          <t>Harga Satuan (Rp)</t>
        </is>
      </c>
      <c r="F16233" s="10" t="inlineStr">
        <is>
          <t>Jumlah Harga (Rp)</t>
        </is>
      </c>
    </row>
    <row r="16234">
      <c r="A16234" s="3" t="inlineStr">
        <is>
          <t>1</t>
        </is>
      </c>
      <c r="B16234" s="3" t="inlineStr">
        <is>
          <t>Pekerja</t>
        </is>
      </c>
      <c r="C16234" s="3" t="inlineStr">
        <is>
          <t>OH</t>
        </is>
      </c>
      <c r="D16234" s="15" t="n">
        <v>1.542</v>
      </c>
      <c r="E16234" s="4" t="n">
        <v>100000</v>
      </c>
      <c r="F16234" s="4" t="n">
        <v>154200</v>
      </c>
    </row>
    <row r="16235">
      <c r="A16235" s="3" t="inlineStr">
        <is>
          <t>2</t>
        </is>
      </c>
      <c r="B16235" s="3" t="inlineStr">
        <is>
          <t>Tukang pipa</t>
        </is>
      </c>
      <c r="C16235" s="3" t="inlineStr">
        <is>
          <t>OH</t>
        </is>
      </c>
      <c r="D16235" s="15" t="n">
        <v>2.575</v>
      </c>
      <c r="E16235" s="4" t="n">
        <v>145000</v>
      </c>
      <c r="F16235" s="4" t="n">
        <v>373375</v>
      </c>
    </row>
    <row r="16236">
      <c r="A16236" s="3" t="inlineStr">
        <is>
          <t>3</t>
        </is>
      </c>
      <c r="B16236" s="3" t="inlineStr">
        <is>
          <t>Kepala tukang</t>
        </is>
      </c>
      <c r="C16236" s="3" t="inlineStr">
        <is>
          <t>OH</t>
        </is>
      </c>
      <c r="D16236" s="15" t="n">
        <v>0.257</v>
      </c>
      <c r="E16236" s="4" t="n">
        <v>175000</v>
      </c>
      <c r="F16236" s="4" t="n">
        <v>44975</v>
      </c>
    </row>
    <row r="16237">
      <c r="A16237" s="3" t="inlineStr">
        <is>
          <t>4</t>
        </is>
      </c>
      <c r="B16237" s="3" t="inlineStr">
        <is>
          <t>Mandor</t>
        </is>
      </c>
      <c r="C16237" s="3" t="inlineStr">
        <is>
          <t>OH</t>
        </is>
      </c>
      <c r="D16237" s="15" t="n">
        <v>0.077</v>
      </c>
      <c r="E16237" s="4" t="n">
        <v>200000</v>
      </c>
      <c r="F16237" s="4" t="n">
        <v>15400</v>
      </c>
    </row>
    <row r="16238">
      <c r="A16238" s="3" t="inlineStr">
        <is>
          <t>1</t>
        </is>
      </c>
      <c r="B16238" s="3" t="inlineStr">
        <is>
          <t>"PRV Set dia. 6"""</t>
        </is>
      </c>
      <c r="C16238" s="3" t="inlineStr">
        <is>
          <t>Bh</t>
        </is>
      </c>
      <c r="D16238" s="15" t="n">
        <v>1.3</v>
      </c>
      <c r="E16238" s="4" t="n">
        <v>8930000</v>
      </c>
      <c r="F16238" s="4" t="n">
        <v>11609000</v>
      </c>
    </row>
    <row r="16239">
      <c r="D16239" s="2" t="inlineStr">
        <is>
          <t>SUBTOTAL UPAH</t>
        </is>
      </c>
      <c r="F16239" s="16" t="n">
        <v>587950</v>
      </c>
    </row>
    <row r="16240">
      <c r="D16240" s="2" t="inlineStr">
        <is>
          <t>SUBTOTAL BAHAN</t>
        </is>
      </c>
      <c r="F16240" s="16" t="n">
        <v>11609000</v>
      </c>
    </row>
    <row r="16241">
      <c r="D16241" s="2" t="inlineStr">
        <is>
          <t>SUBTOTAL ALAT</t>
        </is>
      </c>
      <c r="F16241" s="16" t="n">
        <v>0</v>
      </c>
    </row>
    <row r="16242">
      <c r="E16242" s="2" t="inlineStr">
        <is>
          <t>TOTAL HARGA SATUAN (Inc. Overhead)</t>
        </is>
      </c>
      <c r="F16242" s="17" t="n">
        <v>13416645</v>
      </c>
    </row>
    <row r="16244">
      <c r="A16244" s="14" t="inlineStr">
        <is>
          <t>KODE: 6.5.16.6 - Pemasangan 1 buah PRV Dia 8" (200 mm)</t>
        </is>
      </c>
    </row>
    <row r="16245">
      <c r="A16245" s="10" t="inlineStr">
        <is>
          <t>No</t>
        </is>
      </c>
      <c r="B16245" s="10" t="inlineStr">
        <is>
          <t>Uraian Komponen</t>
        </is>
      </c>
      <c r="C16245" s="10" t="inlineStr">
        <is>
          <t>Satuan</t>
        </is>
      </c>
      <c r="D16245" s="10" t="inlineStr">
        <is>
          <t>Koef</t>
        </is>
      </c>
      <c r="E16245" s="10" t="inlineStr">
        <is>
          <t>Harga Satuan (Rp)</t>
        </is>
      </c>
      <c r="F16245" s="10" t="inlineStr">
        <is>
          <t>Jumlah Harga (Rp)</t>
        </is>
      </c>
    </row>
    <row r="16246">
      <c r="A16246" s="3" t="inlineStr">
        <is>
          <t>1</t>
        </is>
      </c>
      <c r="B16246" s="3" t="inlineStr">
        <is>
          <t>Pekerja</t>
        </is>
      </c>
      <c r="C16246" s="3" t="inlineStr">
        <is>
          <t>OH</t>
        </is>
      </c>
      <c r="D16246" s="15" t="n">
        <v>2.031</v>
      </c>
      <c r="E16246" s="4" t="n">
        <v>100000</v>
      </c>
      <c r="F16246" s="4" t="n">
        <v>203100</v>
      </c>
    </row>
    <row r="16247">
      <c r="A16247" s="3" t="inlineStr">
        <is>
          <t>2</t>
        </is>
      </c>
      <c r="B16247" s="3" t="inlineStr">
        <is>
          <t>Tukang pipa</t>
        </is>
      </c>
      <c r="C16247" s="3" t="inlineStr">
        <is>
          <t>OH</t>
        </is>
      </c>
      <c r="D16247" s="15" t="n">
        <v>3.392</v>
      </c>
      <c r="E16247" s="4" t="n">
        <v>145000</v>
      </c>
      <c r="F16247" s="4" t="n">
        <v>491840</v>
      </c>
    </row>
    <row r="16248">
      <c r="A16248" s="3" t="inlineStr">
        <is>
          <t>3</t>
        </is>
      </c>
      <c r="B16248" s="3" t="inlineStr">
        <is>
          <t>Kepala tukang</t>
        </is>
      </c>
      <c r="C16248" s="3" t="inlineStr">
        <is>
          <t>OH</t>
        </is>
      </c>
      <c r="D16248" s="15" t="n">
        <v>0.339</v>
      </c>
      <c r="E16248" s="4" t="n">
        <v>175000</v>
      </c>
      <c r="F16248" s="4" t="n">
        <v>59325.00000000001</v>
      </c>
    </row>
    <row r="16249">
      <c r="A16249" s="3" t="inlineStr">
        <is>
          <t>4</t>
        </is>
      </c>
      <c r="B16249" s="3" t="inlineStr">
        <is>
          <t>Mandor</t>
        </is>
      </c>
      <c r="C16249" s="3" t="inlineStr">
        <is>
          <t>OH</t>
        </is>
      </c>
      <c r="D16249" s="15" t="n">
        <v>0.102</v>
      </c>
      <c r="E16249" s="4" t="n">
        <v>200000</v>
      </c>
      <c r="F16249" s="4" t="n">
        <v>20400</v>
      </c>
    </row>
    <row r="16250">
      <c r="A16250" s="3" t="inlineStr">
        <is>
          <t>1</t>
        </is>
      </c>
      <c r="B16250" s="3" t="inlineStr">
        <is>
          <t>"PRV Set dia. 8"""</t>
        </is>
      </c>
      <c r="C16250" s="3" t="inlineStr">
        <is>
          <t>Bh</t>
        </is>
      </c>
      <c r="D16250" s="15" t="n">
        <v>1.3</v>
      </c>
      <c r="E16250" s="4" t="n">
        <v>9430000</v>
      </c>
      <c r="F16250" s="4" t="n">
        <v>12259000</v>
      </c>
    </row>
    <row r="16251">
      <c r="D16251" s="2" t="inlineStr">
        <is>
          <t>SUBTOTAL UPAH</t>
        </is>
      </c>
      <c r="F16251" s="16" t="n">
        <v>774665</v>
      </c>
    </row>
    <row r="16252">
      <c r="D16252" s="2" t="inlineStr">
        <is>
          <t>SUBTOTAL BAHAN</t>
        </is>
      </c>
      <c r="F16252" s="16" t="n">
        <v>12259000</v>
      </c>
    </row>
    <row r="16253">
      <c r="D16253" s="2" t="inlineStr">
        <is>
          <t>SUBTOTAL ALAT</t>
        </is>
      </c>
      <c r="F16253" s="16" t="n">
        <v>0</v>
      </c>
    </row>
    <row r="16254">
      <c r="E16254" s="2" t="inlineStr">
        <is>
          <t>TOTAL HARGA SATUAN (Inc. Overhead)</t>
        </is>
      </c>
      <c r="F16254" s="17" t="n">
        <v>14337031</v>
      </c>
    </row>
    <row r="16256">
      <c r="A16256" s="14" t="inlineStr">
        <is>
          <t>KODE: 6.5.17.1 - Pemasangan 1 buah Automatic Air Vent, Dia. 1/2" (15 mm)</t>
        </is>
      </c>
    </row>
    <row r="16257">
      <c r="A16257" s="10" t="inlineStr">
        <is>
          <t>No</t>
        </is>
      </c>
      <c r="B16257" s="10" t="inlineStr">
        <is>
          <t>Uraian Komponen</t>
        </is>
      </c>
      <c r="C16257" s="10" t="inlineStr">
        <is>
          <t>Satuan</t>
        </is>
      </c>
      <c r="D16257" s="10" t="inlineStr">
        <is>
          <t>Koef</t>
        </is>
      </c>
      <c r="E16257" s="10" t="inlineStr">
        <is>
          <t>Harga Satuan (Rp)</t>
        </is>
      </c>
      <c r="F16257" s="10" t="inlineStr">
        <is>
          <t>Jumlah Harga (Rp)</t>
        </is>
      </c>
    </row>
    <row r="16258">
      <c r="A16258" s="3" t="inlineStr">
        <is>
          <t>1</t>
        </is>
      </c>
      <c r="B16258" s="3" t="inlineStr">
        <is>
          <t>Pekerja</t>
        </is>
      </c>
      <c r="C16258" s="3" t="inlineStr">
        <is>
          <t>OH</t>
        </is>
      </c>
      <c r="D16258" s="15" t="n">
        <v>0.024</v>
      </c>
      <c r="E16258" s="4" t="n">
        <v>100000</v>
      </c>
      <c r="F16258" s="4" t="n">
        <v>2400</v>
      </c>
    </row>
    <row r="16259">
      <c r="A16259" s="3" t="inlineStr">
        <is>
          <t>2</t>
        </is>
      </c>
      <c r="B16259" s="3" t="inlineStr">
        <is>
          <t>Tukang pipa</t>
        </is>
      </c>
      <c r="C16259" s="3" t="inlineStr">
        <is>
          <t>OH</t>
        </is>
      </c>
      <c r="D16259" s="15" t="n">
        <v>0.04</v>
      </c>
      <c r="E16259" s="4" t="n">
        <v>145000</v>
      </c>
      <c r="F16259" s="4" t="n">
        <v>5800</v>
      </c>
    </row>
    <row r="16260">
      <c r="A16260" s="3" t="inlineStr">
        <is>
          <t>3</t>
        </is>
      </c>
      <c r="B16260" s="3" t="inlineStr">
        <is>
          <t>Kepala tukang</t>
        </is>
      </c>
      <c r="C16260" s="3" t="inlineStr">
        <is>
          <t>OH</t>
        </is>
      </c>
      <c r="D16260" s="15" t="n">
        <v>0.004</v>
      </c>
      <c r="E16260" s="4" t="n">
        <v>175000</v>
      </c>
      <c r="F16260" s="4" t="n">
        <v>700</v>
      </c>
    </row>
    <row r="16261">
      <c r="A16261" s="3" t="inlineStr">
        <is>
          <t>4</t>
        </is>
      </c>
      <c r="B16261" s="3" t="inlineStr">
        <is>
          <t>Mandor</t>
        </is>
      </c>
      <c r="C16261" s="3" t="inlineStr">
        <is>
          <t>OH</t>
        </is>
      </c>
      <c r="D16261" s="15" t="n">
        <v>0.001</v>
      </c>
      <c r="E16261" s="4" t="n">
        <v>200000</v>
      </c>
      <c r="F16261" s="4" t="n">
        <v>200</v>
      </c>
    </row>
    <row r="16262">
      <c r="A16262" s="3" t="inlineStr">
        <is>
          <t>1</t>
        </is>
      </c>
      <c r="B16262" s="3" t="inlineStr">
        <is>
          <t>"AAV dia. 1/2"""</t>
        </is>
      </c>
      <c r="C16262" s="3" t="inlineStr">
        <is>
          <t>Bh</t>
        </is>
      </c>
      <c r="D16262" s="15" t="n">
        <v>1.15</v>
      </c>
      <c r="E16262" s="4" t="n">
        <v>250000</v>
      </c>
      <c r="F16262" s="4" t="n">
        <v>287500</v>
      </c>
    </row>
    <row r="16263">
      <c r="D16263" s="2" t="inlineStr">
        <is>
          <t>SUBTOTAL UPAH</t>
        </is>
      </c>
      <c r="F16263" s="16" t="n">
        <v>9100</v>
      </c>
    </row>
    <row r="16264">
      <c r="D16264" s="2" t="inlineStr">
        <is>
          <t>SUBTOTAL BAHAN</t>
        </is>
      </c>
      <c r="F16264" s="16" t="n">
        <v>287500</v>
      </c>
    </row>
    <row r="16265">
      <c r="D16265" s="2" t="inlineStr">
        <is>
          <t>SUBTOTAL ALAT</t>
        </is>
      </c>
      <c r="F16265" s="16" t="n">
        <v>0</v>
      </c>
    </row>
    <row r="16266">
      <c r="E16266" s="2" t="inlineStr">
        <is>
          <t>TOTAL HARGA SATUAN (Inc. Overhead)</t>
        </is>
      </c>
      <c r="F16266" s="17" t="n">
        <v>326260</v>
      </c>
    </row>
    <row r="16268">
      <c r="A16268" s="14" t="inlineStr">
        <is>
          <t>KODE: 6.5.17.2 - Pemasangan 1 buah Automatic Air Vent, Dia. 1" (25 mm)</t>
        </is>
      </c>
    </row>
    <row r="16269">
      <c r="A16269" s="10" t="inlineStr">
        <is>
          <t>No</t>
        </is>
      </c>
      <c r="B16269" s="10" t="inlineStr">
        <is>
          <t>Uraian Komponen</t>
        </is>
      </c>
      <c r="C16269" s="10" t="inlineStr">
        <is>
          <t>Satuan</t>
        </is>
      </c>
      <c r="D16269" s="10" t="inlineStr">
        <is>
          <t>Koef</t>
        </is>
      </c>
      <c r="E16269" s="10" t="inlineStr">
        <is>
          <t>Harga Satuan (Rp)</t>
        </is>
      </c>
      <c r="F16269" s="10" t="inlineStr">
        <is>
          <t>Jumlah Harga (Rp)</t>
        </is>
      </c>
    </row>
    <row r="16270">
      <c r="A16270" s="3" t="inlineStr">
        <is>
          <t>1</t>
        </is>
      </c>
      <c r="B16270" s="3" t="inlineStr">
        <is>
          <t>Pekerja</t>
        </is>
      </c>
      <c r="C16270" s="3" t="inlineStr">
        <is>
          <t>OH</t>
        </is>
      </c>
      <c r="D16270" s="15" t="n">
        <v>0.048</v>
      </c>
      <c r="E16270" s="4" t="n">
        <v>100000</v>
      </c>
      <c r="F16270" s="4" t="n">
        <v>4800</v>
      </c>
    </row>
    <row r="16271">
      <c r="A16271" s="3" t="inlineStr">
        <is>
          <t>2</t>
        </is>
      </c>
      <c r="B16271" s="3" t="inlineStr">
        <is>
          <t>Tukang pipa</t>
        </is>
      </c>
      <c r="C16271" s="3" t="inlineStr">
        <is>
          <t>OH</t>
        </is>
      </c>
      <c r="D16271" s="15" t="n">
        <v>0.08</v>
      </c>
      <c r="E16271" s="4" t="n">
        <v>145000</v>
      </c>
      <c r="F16271" s="4" t="n">
        <v>11600</v>
      </c>
    </row>
    <row r="16272">
      <c r="A16272" s="3" t="inlineStr">
        <is>
          <t>3</t>
        </is>
      </c>
      <c r="B16272" s="3" t="inlineStr">
        <is>
          <t>Kepala tukang</t>
        </is>
      </c>
      <c r="C16272" s="3" t="inlineStr">
        <is>
          <t>OH</t>
        </is>
      </c>
      <c r="D16272" s="15" t="n">
        <v>0.008</v>
      </c>
      <c r="E16272" s="4" t="n">
        <v>175000</v>
      </c>
      <c r="F16272" s="4" t="n">
        <v>1400</v>
      </c>
    </row>
    <row r="16273">
      <c r="A16273" s="3" t="inlineStr">
        <is>
          <t>4</t>
        </is>
      </c>
      <c r="B16273" s="3" t="inlineStr">
        <is>
          <t>Mandor</t>
        </is>
      </c>
      <c r="C16273" s="3" t="inlineStr">
        <is>
          <t>OH</t>
        </is>
      </c>
      <c r="D16273" s="15" t="n">
        <v>0.002</v>
      </c>
      <c r="E16273" s="4" t="n">
        <v>200000</v>
      </c>
      <c r="F16273" s="4" t="n">
        <v>400</v>
      </c>
    </row>
    <row r="16274">
      <c r="A16274" s="3" t="inlineStr">
        <is>
          <t>1</t>
        </is>
      </c>
      <c r="B16274" s="3" t="inlineStr">
        <is>
          <t>"AAV dia.1"""</t>
        </is>
      </c>
      <c r="C16274" s="3" t="inlineStr">
        <is>
          <t>Bh</t>
        </is>
      </c>
      <c r="D16274" s="15" t="n">
        <v>1.15</v>
      </c>
      <c r="E16274" s="4" t="n">
        <v>850000</v>
      </c>
      <c r="F16274" s="4" t="n">
        <v>977499.9999999999</v>
      </c>
    </row>
    <row r="16275">
      <c r="D16275" s="2" t="inlineStr">
        <is>
          <t>SUBTOTAL UPAH</t>
        </is>
      </c>
      <c r="F16275" s="16" t="n">
        <v>18200</v>
      </c>
    </row>
    <row r="16276">
      <c r="D16276" s="2" t="inlineStr">
        <is>
          <t>SUBTOTAL BAHAN</t>
        </is>
      </c>
      <c r="F16276" s="16" t="n">
        <v>977499.9999999999</v>
      </c>
    </row>
    <row r="16277">
      <c r="D16277" s="2" t="inlineStr">
        <is>
          <t>SUBTOTAL ALAT</t>
        </is>
      </c>
      <c r="F16277" s="16" t="n">
        <v>0</v>
      </c>
    </row>
    <row r="16278">
      <c r="E16278" s="2" t="inlineStr">
        <is>
          <t>TOTAL HARGA SATUAN (Inc. Overhead)</t>
        </is>
      </c>
      <c r="F16278" s="17" t="n">
        <v>1095270</v>
      </c>
    </row>
    <row r="16280">
      <c r="A16280" s="14" t="inlineStr">
        <is>
          <t>KODE: 6.5.17.3 - Pemasangan 1 buah Automatic Air Vent, Dia. 2" (50 mm)</t>
        </is>
      </c>
    </row>
    <row r="16281">
      <c r="A16281" s="10" t="inlineStr">
        <is>
          <t>No</t>
        </is>
      </c>
      <c r="B16281" s="10" t="inlineStr">
        <is>
          <t>Uraian Komponen</t>
        </is>
      </c>
      <c r="C16281" s="10" t="inlineStr">
        <is>
          <t>Satuan</t>
        </is>
      </c>
      <c r="D16281" s="10" t="inlineStr">
        <is>
          <t>Koef</t>
        </is>
      </c>
      <c r="E16281" s="10" t="inlineStr">
        <is>
          <t>Harga Satuan (Rp)</t>
        </is>
      </c>
      <c r="F16281" s="10" t="inlineStr">
        <is>
          <t>Jumlah Harga (Rp)</t>
        </is>
      </c>
    </row>
    <row r="16282">
      <c r="A16282" s="3" t="inlineStr">
        <is>
          <t>1</t>
        </is>
      </c>
      <c r="B16282" s="3" t="inlineStr">
        <is>
          <t>Pekerja</t>
        </is>
      </c>
      <c r="C16282" s="3" t="inlineStr">
        <is>
          <t>OH</t>
        </is>
      </c>
      <c r="D16282" s="15" t="n">
        <v>0.094</v>
      </c>
      <c r="E16282" s="4" t="n">
        <v>100000</v>
      </c>
      <c r="F16282" s="4" t="n">
        <v>9400</v>
      </c>
    </row>
    <row r="16283">
      <c r="A16283" s="3" t="inlineStr">
        <is>
          <t>2</t>
        </is>
      </c>
      <c r="B16283" s="3" t="inlineStr">
        <is>
          <t>Tukang pipa</t>
        </is>
      </c>
      <c r="C16283" s="3" t="inlineStr">
        <is>
          <t>OH</t>
        </is>
      </c>
      <c r="D16283" s="15" t="n">
        <v>0.157</v>
      </c>
      <c r="E16283" s="4" t="n">
        <v>145000</v>
      </c>
      <c r="F16283" s="4" t="n">
        <v>22765</v>
      </c>
    </row>
    <row r="16284">
      <c r="A16284" s="3" t="inlineStr">
        <is>
          <t>3</t>
        </is>
      </c>
      <c r="B16284" s="3" t="inlineStr">
        <is>
          <t>Kepala tukang</t>
        </is>
      </c>
      <c r="C16284" s="3" t="inlineStr">
        <is>
          <t>OH</t>
        </is>
      </c>
      <c r="D16284" s="15" t="n">
        <v>0.016</v>
      </c>
      <c r="E16284" s="4" t="n">
        <v>175000</v>
      </c>
      <c r="F16284" s="4" t="n">
        <v>2800</v>
      </c>
    </row>
    <row r="16285">
      <c r="A16285" s="3" t="inlineStr">
        <is>
          <t>4</t>
        </is>
      </c>
      <c r="B16285" s="3" t="inlineStr">
        <is>
          <t>Mandor</t>
        </is>
      </c>
      <c r="C16285" s="3" t="inlineStr">
        <is>
          <t>OH</t>
        </is>
      </c>
      <c r="D16285" s="15" t="n">
        <v>0.005</v>
      </c>
      <c r="E16285" s="4" t="n">
        <v>200000</v>
      </c>
      <c r="F16285" s="4" t="n">
        <v>1000</v>
      </c>
    </row>
    <row r="16286">
      <c r="A16286" s="3" t="inlineStr">
        <is>
          <t>1</t>
        </is>
      </c>
      <c r="B16286" s="3" t="inlineStr">
        <is>
          <t>"AAV dia. 2"""</t>
        </is>
      </c>
      <c r="C16286" s="3" t="inlineStr">
        <is>
          <t>Bh</t>
        </is>
      </c>
      <c r="D16286" s="15" t="n">
        <v>1.15</v>
      </c>
      <c r="E16286" s="4" t="n">
        <v>1050000</v>
      </c>
      <c r="F16286" s="4" t="n">
        <v>1207500</v>
      </c>
    </row>
    <row r="16287">
      <c r="D16287" s="2" t="inlineStr">
        <is>
          <t>SUBTOTAL UPAH</t>
        </is>
      </c>
      <c r="F16287" s="16" t="n">
        <v>35965</v>
      </c>
    </row>
    <row r="16288">
      <c r="D16288" s="2" t="inlineStr">
        <is>
          <t>SUBTOTAL BAHAN</t>
        </is>
      </c>
      <c r="F16288" s="16" t="n">
        <v>1207500</v>
      </c>
    </row>
    <row r="16289">
      <c r="D16289" s="2" t="inlineStr">
        <is>
          <t>SUBTOTAL ALAT</t>
        </is>
      </c>
      <c r="F16289" s="16" t="n">
        <v>0</v>
      </c>
    </row>
    <row r="16290">
      <c r="E16290" s="2" t="inlineStr">
        <is>
          <t>TOTAL HARGA SATUAN (Inc. Overhead)</t>
        </is>
      </c>
      <c r="F16290" s="17" t="n">
        <v>1367811</v>
      </c>
    </row>
    <row r="16292">
      <c r="A16292" s="14" t="inlineStr">
        <is>
          <t>KODE: 6.5.17.4 - Pemasangan 1 buah Automatic Air Vent, Dia. 3" (80 mm)</t>
        </is>
      </c>
    </row>
    <row r="16293">
      <c r="A16293" s="10" t="inlineStr">
        <is>
          <t>No</t>
        </is>
      </c>
      <c r="B16293" s="10" t="inlineStr">
        <is>
          <t>Uraian Komponen</t>
        </is>
      </c>
      <c r="C16293" s="10" t="inlineStr">
        <is>
          <t>Satuan</t>
        </is>
      </c>
      <c r="D16293" s="10" t="inlineStr">
        <is>
          <t>Koef</t>
        </is>
      </c>
      <c r="E16293" s="10" t="inlineStr">
        <is>
          <t>Harga Satuan (Rp)</t>
        </is>
      </c>
      <c r="F16293" s="10" t="inlineStr">
        <is>
          <t>Jumlah Harga (Rp)</t>
        </is>
      </c>
    </row>
    <row r="16294">
      <c r="A16294" s="3" t="inlineStr">
        <is>
          <t>1</t>
        </is>
      </c>
      <c r="B16294" s="3" t="inlineStr">
        <is>
          <t>Pekerja</t>
        </is>
      </c>
      <c r="C16294" s="3" t="inlineStr">
        <is>
          <t>OH</t>
        </is>
      </c>
      <c r="D16294" s="15" t="n">
        <v>0.183</v>
      </c>
      <c r="E16294" s="4" t="n">
        <v>100000</v>
      </c>
      <c r="F16294" s="4" t="n">
        <v>18300</v>
      </c>
    </row>
    <row r="16295">
      <c r="A16295" s="3" t="inlineStr">
        <is>
          <t>2</t>
        </is>
      </c>
      <c r="B16295" s="3" t="inlineStr">
        <is>
          <t>Tukang pipa</t>
        </is>
      </c>
      <c r="C16295" s="3" t="inlineStr">
        <is>
          <t>OH</t>
        </is>
      </c>
      <c r="D16295" s="15" t="n">
        <v>0.306</v>
      </c>
      <c r="E16295" s="4" t="n">
        <v>145000</v>
      </c>
      <c r="F16295" s="4" t="n">
        <v>44370</v>
      </c>
    </row>
    <row r="16296">
      <c r="A16296" s="3" t="inlineStr">
        <is>
          <t>3</t>
        </is>
      </c>
      <c r="B16296" s="3" t="inlineStr">
        <is>
          <t>Kepala tukang</t>
        </is>
      </c>
      <c r="C16296" s="3" t="inlineStr">
        <is>
          <t>OH</t>
        </is>
      </c>
      <c r="D16296" s="15" t="n">
        <v>0.031</v>
      </c>
      <c r="E16296" s="4" t="n">
        <v>175000</v>
      </c>
      <c r="F16296" s="4" t="n">
        <v>5425</v>
      </c>
    </row>
    <row r="16297">
      <c r="A16297" s="3" t="inlineStr">
        <is>
          <t>4</t>
        </is>
      </c>
      <c r="B16297" s="3" t="inlineStr">
        <is>
          <t>Mandor</t>
        </is>
      </c>
      <c r="C16297" s="3" t="inlineStr">
        <is>
          <t>OH</t>
        </is>
      </c>
      <c r="D16297" s="15" t="n">
        <v>0.008999999999999999</v>
      </c>
      <c r="E16297" s="4" t="n">
        <v>200000</v>
      </c>
      <c r="F16297" s="4" t="n">
        <v>1800</v>
      </c>
    </row>
    <row r="16298">
      <c r="A16298" s="3" t="inlineStr">
        <is>
          <t>1</t>
        </is>
      </c>
      <c r="B16298" s="3" t="inlineStr">
        <is>
          <t>"AAV dia. 3"""</t>
        </is>
      </c>
      <c r="C16298" s="3" t="inlineStr">
        <is>
          <t>Bh</t>
        </is>
      </c>
      <c r="D16298" s="15" t="n">
        <v>1.15</v>
      </c>
      <c r="E16298" s="4" t="n">
        <v>1230800</v>
      </c>
      <c r="F16298" s="4" t="n">
        <v>1415420</v>
      </c>
    </row>
    <row r="16299">
      <c r="D16299" s="2" t="inlineStr">
        <is>
          <t>SUBTOTAL UPAH</t>
        </is>
      </c>
      <c r="F16299" s="16" t="n">
        <v>69895</v>
      </c>
    </row>
    <row r="16300">
      <c r="D16300" s="2" t="inlineStr">
        <is>
          <t>SUBTOTAL BAHAN</t>
        </is>
      </c>
      <c r="F16300" s="16" t="n">
        <v>1415420</v>
      </c>
    </row>
    <row r="16301">
      <c r="D16301" s="2" t="inlineStr">
        <is>
          <t>SUBTOTAL ALAT</t>
        </is>
      </c>
      <c r="F16301" s="16" t="n">
        <v>0</v>
      </c>
    </row>
    <row r="16302">
      <c r="E16302" s="2" t="inlineStr">
        <is>
          <t>TOTAL HARGA SATUAN (Inc. Overhead)</t>
        </is>
      </c>
      <c r="F16302" s="17" t="n">
        <v>1633846</v>
      </c>
    </row>
    <row r="16304">
      <c r="A16304" s="14" t="inlineStr">
        <is>
          <t>KODE: 6.5.17.5 - Pemasangan 1 buah Automatic Air Vent, Dia. 4" (100 mm)</t>
        </is>
      </c>
    </row>
    <row r="16305">
      <c r="A16305" s="10" t="inlineStr">
        <is>
          <t>No</t>
        </is>
      </c>
      <c r="B16305" s="10" t="inlineStr">
        <is>
          <t>Uraian Komponen</t>
        </is>
      </c>
      <c r="C16305" s="10" t="inlineStr">
        <is>
          <t>Satuan</t>
        </is>
      </c>
      <c r="D16305" s="10" t="inlineStr">
        <is>
          <t>Koef</t>
        </is>
      </c>
      <c r="E16305" s="10" t="inlineStr">
        <is>
          <t>Harga Satuan (Rp)</t>
        </is>
      </c>
      <c r="F16305" s="10" t="inlineStr">
        <is>
          <t>Jumlah Harga (Rp)</t>
        </is>
      </c>
    </row>
    <row r="16306">
      <c r="A16306" s="3" t="inlineStr">
        <is>
          <t>1</t>
        </is>
      </c>
      <c r="B16306" s="3" t="inlineStr">
        <is>
          <t>Pekerja</t>
        </is>
      </c>
      <c r="C16306" s="3" t="inlineStr">
        <is>
          <t>OH</t>
        </is>
      </c>
      <c r="D16306" s="15" t="n">
        <v>0.244</v>
      </c>
      <c r="E16306" s="4" t="n">
        <v>100000</v>
      </c>
      <c r="F16306" s="4" t="n">
        <v>24400</v>
      </c>
    </row>
    <row r="16307">
      <c r="A16307" s="3" t="inlineStr">
        <is>
          <t>2</t>
        </is>
      </c>
      <c r="B16307" s="3" t="inlineStr">
        <is>
          <t>Tukang pipa</t>
        </is>
      </c>
      <c r="C16307" s="3" t="inlineStr">
        <is>
          <t>OH</t>
        </is>
      </c>
      <c r="D16307" s="15" t="n">
        <v>0.408</v>
      </c>
      <c r="E16307" s="4" t="n">
        <v>145000</v>
      </c>
      <c r="F16307" s="4" t="n">
        <v>59159.99999999999</v>
      </c>
    </row>
    <row r="16308">
      <c r="A16308" s="3" t="inlineStr">
        <is>
          <t>3</t>
        </is>
      </c>
      <c r="B16308" s="3" t="inlineStr">
        <is>
          <t>Kepala tukang</t>
        </is>
      </c>
      <c r="C16308" s="3" t="inlineStr">
        <is>
          <t>OH</t>
        </is>
      </c>
      <c r="D16308" s="15" t="n">
        <v>0.041</v>
      </c>
      <c r="E16308" s="4" t="n">
        <v>175000</v>
      </c>
      <c r="F16308" s="4" t="n">
        <v>7175</v>
      </c>
    </row>
    <row r="16309">
      <c r="A16309" s="3" t="inlineStr">
        <is>
          <t>4</t>
        </is>
      </c>
      <c r="B16309" s="3" t="inlineStr">
        <is>
          <t>Mandor</t>
        </is>
      </c>
      <c r="C16309" s="3" t="inlineStr">
        <is>
          <t>OH</t>
        </is>
      </c>
      <c r="D16309" s="15" t="n">
        <v>0.012</v>
      </c>
      <c r="E16309" s="4" t="n">
        <v>200000</v>
      </c>
      <c r="F16309" s="4" t="n">
        <v>2400</v>
      </c>
    </row>
    <row r="16310">
      <c r="A16310" s="3" t="inlineStr">
        <is>
          <t>1</t>
        </is>
      </c>
      <c r="B16310" s="3" t="inlineStr">
        <is>
          <t>"AAV dia. 4"""</t>
        </is>
      </c>
      <c r="C16310" s="3" t="inlineStr">
        <is>
          <t>Bh</t>
        </is>
      </c>
      <c r="D16310" s="15" t="n">
        <v>1.15</v>
      </c>
      <c r="E16310" s="4" t="n">
        <v>1432000</v>
      </c>
      <c r="F16310" s="4" t="n">
        <v>1646800</v>
      </c>
    </row>
    <row r="16311">
      <c r="D16311" s="2" t="inlineStr">
        <is>
          <t>SUBTOTAL UPAH</t>
        </is>
      </c>
      <c r="F16311" s="16" t="n">
        <v>93135</v>
      </c>
    </row>
    <row r="16312">
      <c r="D16312" s="2" t="inlineStr">
        <is>
          <t>SUBTOTAL BAHAN</t>
        </is>
      </c>
      <c r="F16312" s="16" t="n">
        <v>1646800</v>
      </c>
    </row>
    <row r="16313">
      <c r="D16313" s="2" t="inlineStr">
        <is>
          <t>SUBTOTAL ALAT</t>
        </is>
      </c>
      <c r="F16313" s="16" t="n">
        <v>0</v>
      </c>
    </row>
    <row r="16314">
      <c r="E16314" s="2" t="inlineStr">
        <is>
          <t>TOTAL HARGA SATUAN (Inc. Overhead)</t>
        </is>
      </c>
      <c r="F16314" s="17" t="n">
        <v>1913928</v>
      </c>
    </row>
    <row r="16316">
      <c r="A16316" s="14" t="inlineStr">
        <is>
          <t>KODE: 6.5.17.6 - Pemasangan 1 buah Automatic Air Vent, Dia. 6" (150 mm)</t>
        </is>
      </c>
    </row>
    <row r="16317">
      <c r="A16317" s="10" t="inlineStr">
        <is>
          <t>No</t>
        </is>
      </c>
      <c r="B16317" s="10" t="inlineStr">
        <is>
          <t>Uraian Komponen</t>
        </is>
      </c>
      <c r="C16317" s="10" t="inlineStr">
        <is>
          <t>Satuan</t>
        </is>
      </c>
      <c r="D16317" s="10" t="inlineStr">
        <is>
          <t>Koef</t>
        </is>
      </c>
      <c r="E16317" s="10" t="inlineStr">
        <is>
          <t>Harga Satuan (Rp)</t>
        </is>
      </c>
      <c r="F16317" s="10" t="inlineStr">
        <is>
          <t>Jumlah Harga (Rp)</t>
        </is>
      </c>
    </row>
    <row r="16318">
      <c r="A16318" s="3" t="inlineStr">
        <is>
          <t>1</t>
        </is>
      </c>
      <c r="B16318" s="3" t="inlineStr">
        <is>
          <t>Pekerja</t>
        </is>
      </c>
      <c r="C16318" s="3" t="inlineStr">
        <is>
          <t>OH</t>
        </is>
      </c>
      <c r="D16318" s="15" t="n">
        <v>0.365</v>
      </c>
      <c r="E16318" s="4" t="n">
        <v>100000</v>
      </c>
      <c r="F16318" s="4" t="n">
        <v>36500</v>
      </c>
    </row>
    <row r="16319">
      <c r="A16319" s="3" t="inlineStr">
        <is>
          <t>2</t>
        </is>
      </c>
      <c r="B16319" s="3" t="inlineStr">
        <is>
          <t>Tukang pipa</t>
        </is>
      </c>
      <c r="C16319" s="3" t="inlineStr">
        <is>
          <t>OH</t>
        </is>
      </c>
      <c r="D16319" s="15" t="n">
        <v>0.61</v>
      </c>
      <c r="E16319" s="4" t="n">
        <v>145000</v>
      </c>
      <c r="F16319" s="4" t="n">
        <v>88450</v>
      </c>
    </row>
    <row r="16320">
      <c r="A16320" s="3" t="inlineStr">
        <is>
          <t>3</t>
        </is>
      </c>
      <c r="B16320" s="3" t="inlineStr">
        <is>
          <t>Kepala tukang</t>
        </is>
      </c>
      <c r="C16320" s="3" t="inlineStr">
        <is>
          <t>OH</t>
        </is>
      </c>
      <c r="D16320" s="15" t="n">
        <v>0.061</v>
      </c>
      <c r="E16320" s="4" t="n">
        <v>175000</v>
      </c>
      <c r="F16320" s="4" t="n">
        <v>10675</v>
      </c>
    </row>
    <row r="16321">
      <c r="A16321" s="3" t="inlineStr">
        <is>
          <t>4</t>
        </is>
      </c>
      <c r="B16321" s="3" t="inlineStr">
        <is>
          <t>Mandor</t>
        </is>
      </c>
      <c r="C16321" s="3" t="inlineStr">
        <is>
          <t>OH</t>
        </is>
      </c>
      <c r="D16321" s="15" t="n">
        <v>0.018</v>
      </c>
      <c r="E16321" s="4" t="n">
        <v>200000</v>
      </c>
      <c r="F16321" s="4" t="n">
        <v>3600</v>
      </c>
    </row>
    <row r="16322">
      <c r="A16322" s="3" t="inlineStr">
        <is>
          <t>1</t>
        </is>
      </c>
      <c r="B16322" s="3" t="inlineStr">
        <is>
          <t>"AAV dia. 6"""</t>
        </is>
      </c>
      <c r="C16322" s="3" t="inlineStr">
        <is>
          <t>Bh</t>
        </is>
      </c>
      <c r="D16322" s="15" t="n">
        <v>1.15</v>
      </c>
      <c r="E16322" s="4" t="n">
        <v>1653000</v>
      </c>
      <c r="F16322" s="4" t="n">
        <v>1900950</v>
      </c>
    </row>
    <row r="16323">
      <c r="D16323" s="2" t="inlineStr">
        <is>
          <t>SUBTOTAL UPAH</t>
        </is>
      </c>
      <c r="F16323" s="16" t="n">
        <v>139225</v>
      </c>
    </row>
    <row r="16324">
      <c r="D16324" s="2" t="inlineStr">
        <is>
          <t>SUBTOTAL BAHAN</t>
        </is>
      </c>
      <c r="F16324" s="16" t="n">
        <v>1900950</v>
      </c>
    </row>
    <row r="16325">
      <c r="D16325" s="2" t="inlineStr">
        <is>
          <t>SUBTOTAL ALAT</t>
        </is>
      </c>
      <c r="F16325" s="16" t="n">
        <v>0</v>
      </c>
    </row>
    <row r="16326">
      <c r="E16326" s="2" t="inlineStr">
        <is>
          <t>TOTAL HARGA SATUAN (Inc. Overhead)</t>
        </is>
      </c>
      <c r="F16326" s="17" t="n">
        <v>2244192</v>
      </c>
    </row>
    <row r="16328">
      <c r="A16328" s="14" t="inlineStr">
        <is>
          <t>KODE: 6.5.18.1 - Pemasangan 1 buah Vent Out, Dia. 2" (50 mm)</t>
        </is>
      </c>
    </row>
    <row r="16329">
      <c r="A16329" s="10" t="inlineStr">
        <is>
          <t>No</t>
        </is>
      </c>
      <c r="B16329" s="10" t="inlineStr">
        <is>
          <t>Uraian Komponen</t>
        </is>
      </c>
      <c r="C16329" s="10" t="inlineStr">
        <is>
          <t>Satuan</t>
        </is>
      </c>
      <c r="D16329" s="10" t="inlineStr">
        <is>
          <t>Koef</t>
        </is>
      </c>
      <c r="E16329" s="10" t="inlineStr">
        <is>
          <t>Harga Satuan (Rp)</t>
        </is>
      </c>
      <c r="F16329" s="10" t="inlineStr">
        <is>
          <t>Jumlah Harga (Rp)</t>
        </is>
      </c>
    </row>
    <row r="16330">
      <c r="A16330" s="3" t="inlineStr">
        <is>
          <t>1</t>
        </is>
      </c>
      <c r="B16330" s="3" t="inlineStr">
        <is>
          <t>Pekerja</t>
        </is>
      </c>
      <c r="C16330" s="3" t="inlineStr">
        <is>
          <t>OH</t>
        </is>
      </c>
      <c r="D16330" s="15" t="n">
        <v>0.094</v>
      </c>
      <c r="E16330" s="4" t="n">
        <v>100000</v>
      </c>
      <c r="F16330" s="4" t="n">
        <v>9400</v>
      </c>
    </row>
    <row r="16331">
      <c r="A16331" s="3" t="inlineStr">
        <is>
          <t>2</t>
        </is>
      </c>
      <c r="B16331" s="3" t="inlineStr">
        <is>
          <t>Tukang pipa</t>
        </is>
      </c>
      <c r="C16331" s="3" t="inlineStr">
        <is>
          <t>OH</t>
        </is>
      </c>
      <c r="D16331" s="15" t="n">
        <v>0.157</v>
      </c>
      <c r="E16331" s="4" t="n">
        <v>145000</v>
      </c>
      <c r="F16331" s="4" t="n">
        <v>22765</v>
      </c>
    </row>
    <row r="16332">
      <c r="A16332" s="3" t="inlineStr">
        <is>
          <t>3</t>
        </is>
      </c>
      <c r="B16332" s="3" t="inlineStr">
        <is>
          <t>Kepala tukang</t>
        </is>
      </c>
      <c r="C16332" s="3" t="inlineStr">
        <is>
          <t>OH</t>
        </is>
      </c>
      <c r="D16332" s="15" t="n">
        <v>0.016</v>
      </c>
      <c r="E16332" s="4" t="n">
        <v>175000</v>
      </c>
      <c r="F16332" s="4" t="n">
        <v>2800</v>
      </c>
    </row>
    <row r="16333">
      <c r="A16333" s="3" t="inlineStr">
        <is>
          <t>4</t>
        </is>
      </c>
      <c r="B16333" s="3" t="inlineStr">
        <is>
          <t>Mandor</t>
        </is>
      </c>
      <c r="C16333" s="3" t="inlineStr">
        <is>
          <t>OH</t>
        </is>
      </c>
      <c r="D16333" s="15" t="n">
        <v>0.05</v>
      </c>
      <c r="E16333" s="4" t="n">
        <v>200000</v>
      </c>
      <c r="F16333" s="4" t="n">
        <v>10000</v>
      </c>
    </row>
    <row r="16334">
      <c r="A16334" s="3" t="inlineStr">
        <is>
          <t>1</t>
        </is>
      </c>
      <c r="B16334" s="3" t="inlineStr">
        <is>
          <t>"Vent Out dia. 2"""</t>
        </is>
      </c>
      <c r="C16334" s="3" t="inlineStr">
        <is>
          <t>Bh</t>
        </is>
      </c>
      <c r="D16334" s="15" t="n">
        <v>1.1</v>
      </c>
      <c r="E16334" s="4" t="n">
        <v>235000</v>
      </c>
      <c r="F16334" s="4" t="n">
        <v>258500</v>
      </c>
    </row>
    <row r="16335">
      <c r="D16335" s="2" t="inlineStr">
        <is>
          <t>SUBTOTAL UPAH</t>
        </is>
      </c>
      <c r="F16335" s="16" t="n">
        <v>44965</v>
      </c>
    </row>
    <row r="16336">
      <c r="D16336" s="2" t="inlineStr">
        <is>
          <t>SUBTOTAL BAHAN</t>
        </is>
      </c>
      <c r="F16336" s="16" t="n">
        <v>258500</v>
      </c>
    </row>
    <row r="16337">
      <c r="D16337" s="2" t="inlineStr">
        <is>
          <t>SUBTOTAL ALAT</t>
        </is>
      </c>
      <c r="F16337" s="16" t="n">
        <v>0</v>
      </c>
    </row>
    <row r="16338">
      <c r="E16338" s="2" t="inlineStr">
        <is>
          <t>TOTAL HARGA SATUAN (Inc. Overhead)</t>
        </is>
      </c>
      <c r="F16338" s="17" t="n">
        <v>333811</v>
      </c>
    </row>
    <row r="16340">
      <c r="A16340" s="14" t="inlineStr">
        <is>
          <t>KODE: 6.5.19.1 - Pemasangan 1 buah Vent OutWLC &amp; Pengkabelan</t>
        </is>
      </c>
    </row>
    <row r="16341">
      <c r="A16341" s="10" t="inlineStr">
        <is>
          <t>No</t>
        </is>
      </c>
      <c r="B16341" s="10" t="inlineStr">
        <is>
          <t>Uraian Komponen</t>
        </is>
      </c>
      <c r="C16341" s="10" t="inlineStr">
        <is>
          <t>Satuan</t>
        </is>
      </c>
      <c r="D16341" s="10" t="inlineStr">
        <is>
          <t>Koef</t>
        </is>
      </c>
      <c r="E16341" s="10" t="inlineStr">
        <is>
          <t>Harga Satuan (Rp)</t>
        </is>
      </c>
      <c r="F16341" s="10" t="inlineStr">
        <is>
          <t>Jumlah Harga (Rp)</t>
        </is>
      </c>
    </row>
    <row r="16342">
      <c r="A16342" s="3" t="inlineStr">
        <is>
          <t>1</t>
        </is>
      </c>
      <c r="B16342" s="3" t="inlineStr">
        <is>
          <t>Pekerja</t>
        </is>
      </c>
      <c r="C16342" s="3" t="inlineStr">
        <is>
          <t>OH</t>
        </is>
      </c>
      <c r="D16342" s="15" t="n">
        <v>0.192</v>
      </c>
      <c r="E16342" s="4" t="n">
        <v>100000</v>
      </c>
      <c r="F16342" s="4" t="n">
        <v>19200</v>
      </c>
    </row>
    <row r="16343">
      <c r="A16343" s="3" t="inlineStr">
        <is>
          <t>2</t>
        </is>
      </c>
      <c r="B16343" s="3" t="inlineStr">
        <is>
          <t>Tukang pipa</t>
        </is>
      </c>
      <c r="C16343" s="3" t="inlineStr">
        <is>
          <t>OH</t>
        </is>
      </c>
      <c r="D16343" s="15" t="n">
        <v>0.32</v>
      </c>
      <c r="E16343" s="4" t="n">
        <v>145000</v>
      </c>
      <c r="F16343" s="4" t="n">
        <v>46400</v>
      </c>
    </row>
    <row r="16344">
      <c r="A16344" s="3" t="inlineStr">
        <is>
          <t>3</t>
        </is>
      </c>
      <c r="B16344" s="3" t="inlineStr">
        <is>
          <t>Kepala tukang</t>
        </is>
      </c>
      <c r="C16344" s="3" t="inlineStr">
        <is>
          <t>OH</t>
        </is>
      </c>
      <c r="D16344" s="15" t="n">
        <v>0.032</v>
      </c>
      <c r="E16344" s="4" t="n">
        <v>175000</v>
      </c>
      <c r="F16344" s="4" t="n">
        <v>5600</v>
      </c>
    </row>
    <row r="16345">
      <c r="A16345" s="3" t="inlineStr">
        <is>
          <t>4</t>
        </is>
      </c>
      <c r="B16345" s="3" t="inlineStr">
        <is>
          <t>Mandor</t>
        </is>
      </c>
      <c r="C16345" s="3" t="inlineStr">
        <is>
          <t>OH</t>
        </is>
      </c>
      <c r="D16345" s="15" t="n">
        <v>0.01</v>
      </c>
      <c r="E16345" s="4" t="n">
        <v>200000</v>
      </c>
      <c r="F16345" s="4" t="n">
        <v>2000</v>
      </c>
    </row>
    <row r="16346">
      <c r="A16346" s="3" t="inlineStr">
        <is>
          <t>1</t>
        </is>
      </c>
      <c r="B16346" s="3" t="inlineStr">
        <is>
          <t>WLC dan Pengkabelan</t>
        </is>
      </c>
      <c r="C16346" s="3" t="inlineStr">
        <is>
          <t>unit</t>
        </is>
      </c>
      <c r="D16346" s="15" t="n">
        <v>1.05</v>
      </c>
      <c r="E16346" s="4" t="n">
        <v>81100</v>
      </c>
      <c r="F16346" s="4" t="n">
        <v>85155</v>
      </c>
    </row>
    <row r="16347">
      <c r="D16347" s="2" t="inlineStr">
        <is>
          <t>SUBTOTAL UPAH</t>
        </is>
      </c>
      <c r="F16347" s="16" t="n">
        <v>73200</v>
      </c>
    </row>
    <row r="16348">
      <c r="D16348" s="2" t="inlineStr">
        <is>
          <t>SUBTOTAL BAHAN</t>
        </is>
      </c>
      <c r="F16348" s="16" t="n">
        <v>85155</v>
      </c>
    </row>
    <row r="16349">
      <c r="D16349" s="2" t="inlineStr">
        <is>
          <t>SUBTOTAL ALAT</t>
        </is>
      </c>
      <c r="F16349" s="16" t="n">
        <v>0</v>
      </c>
    </row>
    <row r="16350">
      <c r="E16350" s="2" t="inlineStr">
        <is>
          <t>TOTAL HARGA SATUAN (Inc. Overhead)</t>
        </is>
      </c>
      <c r="F16350" s="17" t="n">
        <v>174190</v>
      </c>
    </row>
    <row r="16352">
      <c r="A16352" s="14" t="inlineStr">
        <is>
          <t>KODE: 6.5.20.1 - Pemasangan 1 buah Pressure Switch</t>
        </is>
      </c>
    </row>
    <row r="16353">
      <c r="A16353" s="10" t="inlineStr">
        <is>
          <t>No</t>
        </is>
      </c>
      <c r="B16353" s="10" t="inlineStr">
        <is>
          <t>Uraian Komponen</t>
        </is>
      </c>
      <c r="C16353" s="10" t="inlineStr">
        <is>
          <t>Satuan</t>
        </is>
      </c>
      <c r="D16353" s="10" t="inlineStr">
        <is>
          <t>Koef</t>
        </is>
      </c>
      <c r="E16353" s="10" t="inlineStr">
        <is>
          <t>Harga Satuan (Rp)</t>
        </is>
      </c>
      <c r="F16353" s="10" t="inlineStr">
        <is>
          <t>Jumlah Harga (Rp)</t>
        </is>
      </c>
    </row>
    <row r="16354">
      <c r="A16354" s="3" t="inlineStr">
        <is>
          <t>1</t>
        </is>
      </c>
      <c r="B16354" s="3" t="inlineStr">
        <is>
          <t>Pekerja</t>
        </is>
      </c>
      <c r="C16354" s="3" t="inlineStr">
        <is>
          <t>OH</t>
        </is>
      </c>
      <c r="D16354" s="15" t="n">
        <v>0.129</v>
      </c>
      <c r="E16354" s="4" t="n">
        <v>100000</v>
      </c>
      <c r="F16354" s="4" t="n">
        <v>12900</v>
      </c>
    </row>
    <row r="16355">
      <c r="A16355" s="3" t="inlineStr">
        <is>
          <t>2</t>
        </is>
      </c>
      <c r="B16355" s="3" t="inlineStr">
        <is>
          <t>Tukang pipa</t>
        </is>
      </c>
      <c r="C16355" s="3" t="inlineStr">
        <is>
          <t>OH</t>
        </is>
      </c>
      <c r="D16355" s="15" t="n">
        <v>0.215</v>
      </c>
      <c r="E16355" s="4" t="n">
        <v>145000</v>
      </c>
      <c r="F16355" s="4" t="n">
        <v>31175</v>
      </c>
    </row>
    <row r="16356">
      <c r="A16356" s="3" t="inlineStr">
        <is>
          <t>3</t>
        </is>
      </c>
      <c r="B16356" s="3" t="inlineStr">
        <is>
          <t>Kepala tukang</t>
        </is>
      </c>
      <c r="C16356" s="3" t="inlineStr">
        <is>
          <t>OH</t>
        </is>
      </c>
      <c r="D16356" s="15" t="n">
        <v>0.021</v>
      </c>
      <c r="E16356" s="4" t="n">
        <v>175000</v>
      </c>
      <c r="F16356" s="4" t="n">
        <v>3675</v>
      </c>
    </row>
    <row r="16357">
      <c r="A16357" s="3" t="inlineStr">
        <is>
          <t>4</t>
        </is>
      </c>
      <c r="B16357" s="3" t="inlineStr">
        <is>
          <t>Mandor</t>
        </is>
      </c>
      <c r="C16357" s="3" t="inlineStr">
        <is>
          <t>OH</t>
        </is>
      </c>
      <c r="D16357" s="15" t="n">
        <v>0.006</v>
      </c>
      <c r="E16357" s="4" t="n">
        <v>200000</v>
      </c>
      <c r="F16357" s="4" t="n">
        <v>1200</v>
      </c>
    </row>
    <row r="16358">
      <c r="A16358" s="3" t="inlineStr">
        <is>
          <t>1</t>
        </is>
      </c>
      <c r="B16358" s="3" t="inlineStr">
        <is>
          <t>Pressure Switch</t>
        </is>
      </c>
      <c r="C16358" s="3" t="inlineStr">
        <is>
          <t>unit</t>
        </is>
      </c>
      <c r="D16358" s="15" t="n">
        <v>1.05</v>
      </c>
      <c r="E16358" s="4" t="n">
        <v>220800</v>
      </c>
      <c r="F16358" s="4" t="n">
        <v>231840</v>
      </c>
    </row>
    <row r="16359">
      <c r="D16359" s="2" t="inlineStr">
        <is>
          <t>SUBTOTAL UPAH</t>
        </is>
      </c>
      <c r="F16359" s="16" t="n">
        <v>48950</v>
      </c>
    </row>
    <row r="16360">
      <c r="D16360" s="2" t="inlineStr">
        <is>
          <t>SUBTOTAL BAHAN</t>
        </is>
      </c>
      <c r="F16360" s="16" t="n">
        <v>231840</v>
      </c>
    </row>
    <row r="16361">
      <c r="D16361" s="2" t="inlineStr">
        <is>
          <t>SUBTOTAL ALAT</t>
        </is>
      </c>
      <c r="F16361" s="16" t="n">
        <v>0</v>
      </c>
    </row>
    <row r="16362">
      <c r="E16362" s="2" t="inlineStr">
        <is>
          <t>TOTAL HARGA SATUAN (Inc. Overhead)</t>
        </is>
      </c>
      <c r="F16362" s="17" t="n">
        <v>308869</v>
      </c>
    </row>
    <row r="16364">
      <c r="A16364" s="14" t="inlineStr">
        <is>
          <t>KODE: 6.5.21.1 - Pemasangan 1 m Header Pipa PVC AW, Dia. 4" ( 100 mm)</t>
        </is>
      </c>
    </row>
    <row r="16365">
      <c r="A16365" s="10" t="inlineStr">
        <is>
          <t>No</t>
        </is>
      </c>
      <c r="B16365" s="10" t="inlineStr">
        <is>
          <t>Uraian Komponen</t>
        </is>
      </c>
      <c r="C16365" s="10" t="inlineStr">
        <is>
          <t>Satuan</t>
        </is>
      </c>
      <c r="D16365" s="10" t="inlineStr">
        <is>
          <t>Koef</t>
        </is>
      </c>
      <c r="E16365" s="10" t="inlineStr">
        <is>
          <t>Harga Satuan (Rp)</t>
        </is>
      </c>
      <c r="F16365" s="10" t="inlineStr">
        <is>
          <t>Jumlah Harga (Rp)</t>
        </is>
      </c>
    </row>
    <row r="16366">
      <c r="A16366" s="3" t="inlineStr">
        <is>
          <t>1</t>
        </is>
      </c>
      <c r="B16366" s="3" t="inlineStr">
        <is>
          <t>Pekerja</t>
        </is>
      </c>
      <c r="C16366" s="3" t="inlineStr">
        <is>
          <t>OH</t>
        </is>
      </c>
      <c r="D16366" s="15" t="n">
        <v>0.244</v>
      </c>
      <c r="E16366" s="4" t="n">
        <v>100000</v>
      </c>
      <c r="F16366" s="4" t="n">
        <v>24400</v>
      </c>
    </row>
    <row r="16367">
      <c r="A16367" s="3" t="inlineStr">
        <is>
          <t>2</t>
        </is>
      </c>
      <c r="B16367" s="3" t="inlineStr">
        <is>
          <t>Tukang pipa</t>
        </is>
      </c>
      <c r="C16367" s="3" t="inlineStr">
        <is>
          <t>OH</t>
        </is>
      </c>
      <c r="D16367" s="15" t="n">
        <v>0.408</v>
      </c>
      <c r="E16367" s="4" t="n">
        <v>145000</v>
      </c>
      <c r="F16367" s="4" t="n">
        <v>59159.99999999999</v>
      </c>
    </row>
    <row r="16368">
      <c r="A16368" s="3" t="inlineStr">
        <is>
          <t>3</t>
        </is>
      </c>
      <c r="B16368" s="3" t="inlineStr">
        <is>
          <t>Kepala tukang</t>
        </is>
      </c>
      <c r="C16368" s="3" t="inlineStr">
        <is>
          <t>OH</t>
        </is>
      </c>
      <c r="D16368" s="15" t="n">
        <v>0.041</v>
      </c>
      <c r="E16368" s="4" t="n">
        <v>175000</v>
      </c>
      <c r="F16368" s="4" t="n">
        <v>7175</v>
      </c>
    </row>
    <row r="16369">
      <c r="A16369" s="3" t="inlineStr">
        <is>
          <t>4</t>
        </is>
      </c>
      <c r="B16369" s="3" t="inlineStr">
        <is>
          <t>Mandor</t>
        </is>
      </c>
      <c r="C16369" s="3" t="inlineStr">
        <is>
          <t>OH</t>
        </is>
      </c>
      <c r="D16369" s="15" t="n">
        <v>0.012</v>
      </c>
      <c r="E16369" s="4" t="n">
        <v>200000</v>
      </c>
      <c r="F16369" s="4" t="n">
        <v>2400</v>
      </c>
    </row>
    <row r="16370">
      <c r="A16370" s="3" t="inlineStr">
        <is>
          <t>1</t>
        </is>
      </c>
      <c r="B16370" s="3" t="inlineStr">
        <is>
          <t>"Header Pipa PVC AW Dia. 4"""</t>
        </is>
      </c>
      <c r="C16370" s="3" t="inlineStr">
        <is>
          <t>m'</t>
        </is>
      </c>
      <c r="D16370" s="15" t="n">
        <v>1.3</v>
      </c>
      <c r="E16370" s="4" t="n">
        <v>1325000</v>
      </c>
      <c r="F16370" s="4" t="n">
        <v>1722500</v>
      </c>
    </row>
    <row r="16371">
      <c r="D16371" s="2" t="inlineStr">
        <is>
          <t>SUBTOTAL UPAH</t>
        </is>
      </c>
      <c r="F16371" s="16" t="n">
        <v>93135</v>
      </c>
    </row>
    <row r="16372">
      <c r="D16372" s="2" t="inlineStr">
        <is>
          <t>SUBTOTAL BAHAN</t>
        </is>
      </c>
      <c r="F16372" s="16" t="n">
        <v>1722500</v>
      </c>
    </row>
    <row r="16373">
      <c r="D16373" s="2" t="inlineStr">
        <is>
          <t>SUBTOTAL ALAT</t>
        </is>
      </c>
      <c r="F16373" s="16" t="n">
        <v>0</v>
      </c>
    </row>
    <row r="16374">
      <c r="E16374" s="2" t="inlineStr">
        <is>
          <t>TOTAL HARGA SATUAN (Inc. Overhead)</t>
        </is>
      </c>
      <c r="F16374" s="17" t="n">
        <v>1997198</v>
      </c>
    </row>
    <row r="16376">
      <c r="A16376" s="14" t="inlineStr">
        <is>
          <t>KODE: 6.5.22.1 - Pemasangan 1 m Header Pipa Galvanis Medd Class, Dia. 4" ( 100 mm)</t>
        </is>
      </c>
    </row>
    <row r="16377">
      <c r="A16377" s="10" t="inlineStr">
        <is>
          <t>No</t>
        </is>
      </c>
      <c r="B16377" s="10" t="inlineStr">
        <is>
          <t>Uraian Komponen</t>
        </is>
      </c>
      <c r="C16377" s="10" t="inlineStr">
        <is>
          <t>Satuan</t>
        </is>
      </c>
      <c r="D16377" s="10" t="inlineStr">
        <is>
          <t>Koef</t>
        </is>
      </c>
      <c r="E16377" s="10" t="inlineStr">
        <is>
          <t>Harga Satuan (Rp)</t>
        </is>
      </c>
      <c r="F16377" s="10" t="inlineStr">
        <is>
          <t>Jumlah Harga (Rp)</t>
        </is>
      </c>
    </row>
    <row r="16378">
      <c r="A16378" s="3" t="inlineStr">
        <is>
          <t>1</t>
        </is>
      </c>
      <c r="B16378" s="3" t="inlineStr">
        <is>
          <t>Pekerja</t>
        </is>
      </c>
      <c r="C16378" s="3" t="inlineStr">
        <is>
          <t>OH</t>
        </is>
      </c>
      <c r="D16378" s="15" t="n">
        <v>0.317</v>
      </c>
      <c r="E16378" s="4" t="n">
        <v>100000</v>
      </c>
      <c r="F16378" s="4" t="n">
        <v>31700</v>
      </c>
    </row>
    <row r="16379">
      <c r="A16379" s="3" t="inlineStr">
        <is>
          <t>2</t>
        </is>
      </c>
      <c r="B16379" s="3" t="inlineStr">
        <is>
          <t>Tukang pipa</t>
        </is>
      </c>
      <c r="C16379" s="3" t="inlineStr">
        <is>
          <t>OH</t>
        </is>
      </c>
      <c r="D16379" s="15" t="n">
        <v>0.529</v>
      </c>
      <c r="E16379" s="4" t="n">
        <v>145000</v>
      </c>
      <c r="F16379" s="4" t="n">
        <v>76705</v>
      </c>
    </row>
    <row r="16380">
      <c r="A16380" s="3" t="inlineStr">
        <is>
          <t>3</t>
        </is>
      </c>
      <c r="B16380" s="3" t="inlineStr">
        <is>
          <t>Kepala tukang</t>
        </is>
      </c>
      <c r="C16380" s="3" t="inlineStr">
        <is>
          <t>OH</t>
        </is>
      </c>
      <c r="D16380" s="15" t="n">
        <v>0.053</v>
      </c>
      <c r="E16380" s="4" t="n">
        <v>175000</v>
      </c>
      <c r="F16380" s="4" t="n">
        <v>9275</v>
      </c>
    </row>
    <row r="16381">
      <c r="A16381" s="3" t="inlineStr">
        <is>
          <t>4</t>
        </is>
      </c>
      <c r="B16381" s="3" t="inlineStr">
        <is>
          <t>Mandor</t>
        </is>
      </c>
      <c r="C16381" s="3" t="inlineStr">
        <is>
          <t>OH</t>
        </is>
      </c>
      <c r="D16381" s="15" t="n">
        <v>0.018</v>
      </c>
      <c r="E16381" s="4" t="n">
        <v>200000</v>
      </c>
      <c r="F16381" s="4" t="n">
        <v>3600</v>
      </c>
    </row>
    <row r="16382">
      <c r="A16382" s="3" t="inlineStr">
        <is>
          <t>1</t>
        </is>
      </c>
      <c r="B16382" s="3" t="inlineStr">
        <is>
          <t>Header Pipa Galvanis MED CLASS DN 4” (100 mm)</t>
        </is>
      </c>
      <c r="C16382" s="3" t="inlineStr">
        <is>
          <t>m'</t>
        </is>
      </c>
      <c r="D16382" s="15" t="n">
        <v>2.5</v>
      </c>
      <c r="E16382" s="4" t="n">
        <v>300000</v>
      </c>
      <c r="F16382" s="4" t="n">
        <v>750000</v>
      </c>
    </row>
    <row r="16383">
      <c r="A16383" s="3" t="inlineStr">
        <is>
          <t>2</t>
        </is>
      </c>
      <c r="B16383" s="3" t="inlineStr">
        <is>
          <t>Flange pipa DN 100 mm</t>
        </is>
      </c>
      <c r="C16383" s="3" t="inlineStr">
        <is>
          <t>buah</t>
        </is>
      </c>
      <c r="D16383" s="15" t="n">
        <v>2</v>
      </c>
      <c r="E16383" s="4" t="n">
        <v>150000</v>
      </c>
      <c r="F16383" s="4" t="n">
        <v>300000</v>
      </c>
    </row>
    <row r="16384">
      <c r="A16384" s="3" t="inlineStr">
        <is>
          <t>3</t>
        </is>
      </c>
      <c r="B16384" s="3" t="inlineStr">
        <is>
          <t>Flange buta DN 100 mm</t>
        </is>
      </c>
      <c r="C16384" s="3" t="inlineStr">
        <is>
          <t>buah</t>
        </is>
      </c>
      <c r="D16384" s="15" t="n">
        <v>2</v>
      </c>
      <c r="E16384" s="4" t="n">
        <v>125000</v>
      </c>
      <c r="F16384" s="4" t="n">
        <v>250000</v>
      </c>
    </row>
    <row r="16385">
      <c r="A16385" s="3" t="inlineStr">
        <is>
          <t>4</t>
        </is>
      </c>
      <c r="B16385" s="3" t="inlineStr">
        <is>
          <t>Pipa percabangan 1 set</t>
        </is>
      </c>
      <c r="C16385" s="3" t="inlineStr">
        <is>
          <t>set</t>
        </is>
      </c>
      <c r="D16385" s="15" t="n">
        <v>2</v>
      </c>
      <c r="E16385" s="4" t="n">
        <v>100000</v>
      </c>
      <c r="F16385" s="4" t="n">
        <v>200000</v>
      </c>
    </row>
    <row r="16386">
      <c r="A16386" s="3" t="inlineStr">
        <is>
          <t>5</t>
        </is>
      </c>
      <c r="B16386" s="3" t="inlineStr">
        <is>
          <t>Mur baut M16</t>
        </is>
      </c>
      <c r="C16386" s="3" t="inlineStr">
        <is>
          <t>buah</t>
        </is>
      </c>
      <c r="D16386" s="15" t="n">
        <v>16</v>
      </c>
      <c r="E16386" s="4" t="n">
        <v>10000</v>
      </c>
      <c r="F16386" s="4" t="n">
        <v>160000</v>
      </c>
    </row>
    <row r="16387">
      <c r="D16387" s="2" t="inlineStr">
        <is>
          <t>SUBTOTAL UPAH</t>
        </is>
      </c>
      <c r="F16387" s="16" t="n">
        <v>121280</v>
      </c>
    </row>
    <row r="16388">
      <c r="D16388" s="2" t="inlineStr">
        <is>
          <t>SUBTOTAL BAHAN</t>
        </is>
      </c>
      <c r="F16388" s="16" t="n">
        <v>1660000</v>
      </c>
    </row>
    <row r="16389">
      <c r="D16389" s="2" t="inlineStr">
        <is>
          <t>SUBTOTAL ALAT</t>
        </is>
      </c>
      <c r="F16389" s="16" t="n">
        <v>0</v>
      </c>
    </row>
    <row r="16390">
      <c r="E16390" s="2" t="inlineStr">
        <is>
          <t>TOTAL HARGA SATUAN (Inc. Overhead)</t>
        </is>
      </c>
      <c r="F16390" s="17" t="n">
        <v>1959408</v>
      </c>
    </row>
    <row r="16392">
      <c r="A16392" s="14" t="inlineStr">
        <is>
          <t>KODE: 6.5.22.2 - Pemasangan 1 Unit Header Pipa Galvanis MED CLASS, DN 6" (150 mm)</t>
        </is>
      </c>
    </row>
    <row r="16393">
      <c r="A16393" s="10" t="inlineStr">
        <is>
          <t>No</t>
        </is>
      </c>
      <c r="B16393" s="10" t="inlineStr">
        <is>
          <t>Uraian Komponen</t>
        </is>
      </c>
      <c r="C16393" s="10" t="inlineStr">
        <is>
          <t>Satuan</t>
        </is>
      </c>
      <c r="D16393" s="10" t="inlineStr">
        <is>
          <t>Koef</t>
        </is>
      </c>
      <c r="E16393" s="10" t="inlineStr">
        <is>
          <t>Harga Satuan (Rp)</t>
        </is>
      </c>
      <c r="F16393" s="10" t="inlineStr">
        <is>
          <t>Jumlah Harga (Rp)</t>
        </is>
      </c>
    </row>
    <row r="16394">
      <c r="A16394" s="3" t="inlineStr">
        <is>
          <t>1</t>
        </is>
      </c>
      <c r="B16394" s="3" t="inlineStr">
        <is>
          <t>Pekerja</t>
        </is>
      </c>
      <c r="C16394" s="3" t="inlineStr">
        <is>
          <t>OH</t>
        </is>
      </c>
      <c r="D16394" s="15" t="n">
        <v>0.474</v>
      </c>
      <c r="E16394" s="4" t="n">
        <v>100000</v>
      </c>
      <c r="F16394" s="4" t="n">
        <v>47400</v>
      </c>
    </row>
    <row r="16395">
      <c r="A16395" s="3" t="inlineStr">
        <is>
          <t>2</t>
        </is>
      </c>
      <c r="B16395" s="3" t="inlineStr">
        <is>
          <t>Tukang pipa</t>
        </is>
      </c>
      <c r="C16395" s="3" t="inlineStr">
        <is>
          <t>OH</t>
        </is>
      </c>
      <c r="D16395" s="15" t="n">
        <v>0.791</v>
      </c>
      <c r="E16395" s="4" t="n">
        <v>145000</v>
      </c>
      <c r="F16395" s="4" t="n">
        <v>114695</v>
      </c>
    </row>
    <row r="16396">
      <c r="A16396" s="3" t="inlineStr">
        <is>
          <t>3</t>
        </is>
      </c>
      <c r="B16396" s="3" t="inlineStr">
        <is>
          <t>Kepala tukang</t>
        </is>
      </c>
      <c r="C16396" s="3" t="inlineStr">
        <is>
          <t>OH</t>
        </is>
      </c>
      <c r="D16396" s="15" t="n">
        <v>0.079</v>
      </c>
      <c r="E16396" s="4" t="n">
        <v>175000</v>
      </c>
      <c r="F16396" s="4" t="n">
        <v>13825</v>
      </c>
    </row>
    <row r="16397">
      <c r="A16397" s="3" t="inlineStr">
        <is>
          <t>4</t>
        </is>
      </c>
      <c r="B16397" s="3" t="inlineStr">
        <is>
          <t>Mandor</t>
        </is>
      </c>
      <c r="C16397" s="3" t="inlineStr">
        <is>
          <t>OH</t>
        </is>
      </c>
      <c r="D16397" s="15" t="n">
        <v>0.026</v>
      </c>
      <c r="E16397" s="4" t="n">
        <v>200000</v>
      </c>
      <c r="F16397" s="4" t="n">
        <v>5200</v>
      </c>
    </row>
    <row r="16398">
      <c r="A16398" s="3" t="inlineStr">
        <is>
          <t>1</t>
        </is>
      </c>
      <c r="B16398" s="3" t="inlineStr">
        <is>
          <t>Header Pipa Galvanis MED CLASS DN 6” (150 mm)</t>
        </is>
      </c>
      <c r="C16398" s="3" t="inlineStr">
        <is>
          <t>m'</t>
        </is>
      </c>
      <c r="D16398" s="15" t="n">
        <v>2.5</v>
      </c>
      <c r="E16398" s="4" t="n">
        <v>400000</v>
      </c>
      <c r="F16398" s="4" t="n">
        <v>1000000</v>
      </c>
    </row>
    <row r="16399">
      <c r="A16399" s="3" t="inlineStr">
        <is>
          <t>2</t>
        </is>
      </c>
      <c r="B16399" s="3" t="inlineStr">
        <is>
          <t>Flange pipa DN 150 mm</t>
        </is>
      </c>
      <c r="C16399" s="3" t="inlineStr">
        <is>
          <t>buah</t>
        </is>
      </c>
      <c r="D16399" s="15" t="n">
        <v>2</v>
      </c>
      <c r="E16399" s="4" t="n">
        <v>200000</v>
      </c>
      <c r="F16399" s="4" t="n">
        <v>400000</v>
      </c>
    </row>
    <row r="16400">
      <c r="A16400" s="3" t="inlineStr">
        <is>
          <t>3</t>
        </is>
      </c>
      <c r="B16400" s="3" t="inlineStr">
        <is>
          <t>Flange buta DN 150 mm</t>
        </is>
      </c>
      <c r="C16400" s="3" t="inlineStr">
        <is>
          <t>buah</t>
        </is>
      </c>
      <c r="D16400" s="15" t="n">
        <v>2</v>
      </c>
      <c r="E16400" s="4" t="n">
        <v>150000</v>
      </c>
      <c r="F16400" s="4" t="n">
        <v>300000</v>
      </c>
    </row>
    <row r="16401">
      <c r="A16401" s="3" t="inlineStr">
        <is>
          <t>4</t>
        </is>
      </c>
      <c r="B16401" s="3" t="inlineStr">
        <is>
          <t>Pipa percabangan 1 set</t>
        </is>
      </c>
      <c r="C16401" s="3" t="inlineStr">
        <is>
          <t>set</t>
        </is>
      </c>
      <c r="D16401" s="15" t="n">
        <v>2</v>
      </c>
      <c r="E16401" s="4" t="n">
        <v>100000</v>
      </c>
      <c r="F16401" s="4" t="n">
        <v>200000</v>
      </c>
    </row>
    <row r="16402">
      <c r="A16402" s="3" t="inlineStr">
        <is>
          <t>5</t>
        </is>
      </c>
      <c r="B16402" s="3" t="inlineStr">
        <is>
          <t>Mur baut M20</t>
        </is>
      </c>
      <c r="C16402" s="3" t="inlineStr">
        <is>
          <t>buah</t>
        </is>
      </c>
      <c r="D16402" s="15" t="n">
        <v>16</v>
      </c>
      <c r="E16402" s="4" t="n">
        <v>15000</v>
      </c>
      <c r="F16402" s="4" t="n">
        <v>240000</v>
      </c>
    </row>
    <row r="16403">
      <c r="D16403" s="2" t="inlineStr">
        <is>
          <t>SUBTOTAL UPAH</t>
        </is>
      </c>
      <c r="F16403" s="16" t="n">
        <v>181120</v>
      </c>
    </row>
    <row r="16404">
      <c r="D16404" s="2" t="inlineStr">
        <is>
          <t>SUBTOTAL BAHAN</t>
        </is>
      </c>
      <c r="F16404" s="16" t="n">
        <v>2140000</v>
      </c>
    </row>
    <row r="16405">
      <c r="D16405" s="2" t="inlineStr">
        <is>
          <t>SUBTOTAL ALAT</t>
        </is>
      </c>
      <c r="F16405" s="16" t="n">
        <v>0</v>
      </c>
    </row>
    <row r="16406">
      <c r="E16406" s="2" t="inlineStr">
        <is>
          <t>TOTAL HARGA SATUAN (Inc. Overhead)</t>
        </is>
      </c>
      <c r="F16406" s="17" t="n">
        <v>2553232</v>
      </c>
    </row>
    <row r="16408">
      <c r="A16408" s="14" t="inlineStr">
        <is>
          <t>KODE: 6.5.22.3 - Pemasangan 1 Unit Header Pipa Galvanis MED CLASS, DN 8" (200 mm)</t>
        </is>
      </c>
    </row>
    <row r="16409">
      <c r="A16409" s="10" t="inlineStr">
        <is>
          <t>No</t>
        </is>
      </c>
      <c r="B16409" s="10" t="inlineStr">
        <is>
          <t>Uraian Komponen</t>
        </is>
      </c>
      <c r="C16409" s="10" t="inlineStr">
        <is>
          <t>Satuan</t>
        </is>
      </c>
      <c r="D16409" s="10" t="inlineStr">
        <is>
          <t>Koef</t>
        </is>
      </c>
      <c r="E16409" s="10" t="inlineStr">
        <is>
          <t>Harga Satuan (Rp)</t>
        </is>
      </c>
      <c r="F16409" s="10" t="inlineStr">
        <is>
          <t>Jumlah Harga (Rp)</t>
        </is>
      </c>
    </row>
    <row r="16410">
      <c r="A16410" s="3" t="inlineStr">
        <is>
          <t>1</t>
        </is>
      </c>
      <c r="B16410" s="3" t="inlineStr">
        <is>
          <t>Pekerja</t>
        </is>
      </c>
      <c r="C16410" s="3" t="inlineStr">
        <is>
          <t>OH</t>
        </is>
      </c>
      <c r="D16410" s="15" t="n">
        <v>0.631</v>
      </c>
      <c r="E16410" s="4" t="n">
        <v>100000</v>
      </c>
      <c r="F16410" s="4" t="n">
        <v>63100</v>
      </c>
    </row>
    <row r="16411">
      <c r="A16411" s="3" t="inlineStr">
        <is>
          <t>2</t>
        </is>
      </c>
      <c r="B16411" s="3" t="inlineStr">
        <is>
          <t>Tukang pipa</t>
        </is>
      </c>
      <c r="C16411" s="3" t="inlineStr">
        <is>
          <t>OH</t>
        </is>
      </c>
      <c r="D16411" s="15" t="n">
        <v>1.054</v>
      </c>
      <c r="E16411" s="4" t="n">
        <v>145000</v>
      </c>
      <c r="F16411" s="4" t="n">
        <v>152830</v>
      </c>
    </row>
    <row r="16412">
      <c r="A16412" s="3" t="inlineStr">
        <is>
          <t>3</t>
        </is>
      </c>
      <c r="B16412" s="3" t="inlineStr">
        <is>
          <t>Kepala tukang</t>
        </is>
      </c>
      <c r="C16412" s="3" t="inlineStr">
        <is>
          <t>OH</t>
        </is>
      </c>
      <c r="D16412" s="15" t="n">
        <v>0.105</v>
      </c>
      <c r="E16412" s="4" t="n">
        <v>175000</v>
      </c>
      <c r="F16412" s="4" t="n">
        <v>18375</v>
      </c>
    </row>
    <row r="16413">
      <c r="A16413" s="3" t="inlineStr">
        <is>
          <t>4</t>
        </is>
      </c>
      <c r="B16413" s="3" t="inlineStr">
        <is>
          <t>Mandor</t>
        </is>
      </c>
      <c r="C16413" s="3" t="inlineStr">
        <is>
          <t>OH</t>
        </is>
      </c>
      <c r="D16413" s="15" t="n">
        <v>0.035</v>
      </c>
      <c r="E16413" s="4" t="n">
        <v>200000</v>
      </c>
      <c r="F16413" s="4" t="n">
        <v>7000.000000000001</v>
      </c>
    </row>
    <row r="16414">
      <c r="A16414" s="3" t="inlineStr">
        <is>
          <t>1</t>
        </is>
      </c>
      <c r="B16414" s="3" t="inlineStr">
        <is>
          <t>Header Pipa Galvanis MED CLASS DN 8” (200 mm)</t>
        </is>
      </c>
      <c r="C16414" s="3" t="inlineStr">
        <is>
          <t>m'</t>
        </is>
      </c>
      <c r="D16414" s="15" t="n">
        <v>2.5</v>
      </c>
      <c r="E16414" s="4" t="n">
        <v>600000</v>
      </c>
      <c r="F16414" s="4" t="n">
        <v>1500000</v>
      </c>
    </row>
    <row r="16415">
      <c r="A16415" s="3" t="inlineStr">
        <is>
          <t>2</t>
        </is>
      </c>
      <c r="B16415" s="3" t="inlineStr">
        <is>
          <t>Flange pipa DN 200 mm</t>
        </is>
      </c>
      <c r="C16415" s="3" t="inlineStr">
        <is>
          <t>buah</t>
        </is>
      </c>
      <c r="D16415" s="15" t="n">
        <v>2</v>
      </c>
      <c r="E16415" s="4" t="n">
        <v>300000</v>
      </c>
      <c r="F16415" s="4" t="n">
        <v>600000</v>
      </c>
    </row>
    <row r="16416">
      <c r="A16416" s="3" t="inlineStr">
        <is>
          <t>3</t>
        </is>
      </c>
      <c r="B16416" s="3" t="inlineStr">
        <is>
          <t>Flange buta DN 200 mm</t>
        </is>
      </c>
      <c r="C16416" s="3" t="inlineStr">
        <is>
          <t>buah</t>
        </is>
      </c>
      <c r="D16416" s="15" t="n">
        <v>2</v>
      </c>
      <c r="E16416" s="4" t="n">
        <v>250000</v>
      </c>
      <c r="F16416" s="4" t="n">
        <v>500000</v>
      </c>
    </row>
    <row r="16417">
      <c r="A16417" s="3" t="inlineStr">
        <is>
          <t>4</t>
        </is>
      </c>
      <c r="B16417" s="3" t="inlineStr">
        <is>
          <t>Pipa percabangan 1 set</t>
        </is>
      </c>
      <c r="C16417" s="3" t="inlineStr">
        <is>
          <t>set</t>
        </is>
      </c>
      <c r="D16417" s="15" t="n">
        <v>2</v>
      </c>
      <c r="E16417" s="4" t="n">
        <v>100000</v>
      </c>
      <c r="F16417" s="4" t="n">
        <v>200000</v>
      </c>
    </row>
    <row r="16418">
      <c r="A16418" s="3" t="inlineStr">
        <is>
          <t>5</t>
        </is>
      </c>
      <c r="B16418" s="3" t="inlineStr">
        <is>
          <t>Mur baut M20</t>
        </is>
      </c>
      <c r="C16418" s="3" t="inlineStr">
        <is>
          <t>buah</t>
        </is>
      </c>
      <c r="D16418" s="15" t="n">
        <v>24</v>
      </c>
      <c r="E16418" s="4" t="n">
        <v>15000</v>
      </c>
      <c r="F16418" s="4" t="n">
        <v>360000</v>
      </c>
    </row>
    <row r="16419">
      <c r="D16419" s="2" t="inlineStr">
        <is>
          <t>SUBTOTAL UPAH</t>
        </is>
      </c>
      <c r="F16419" s="16" t="n">
        <v>241305</v>
      </c>
    </row>
    <row r="16420">
      <c r="D16420" s="2" t="inlineStr">
        <is>
          <t>SUBTOTAL BAHAN</t>
        </is>
      </c>
      <c r="F16420" s="16" t="n">
        <v>3160000</v>
      </c>
    </row>
    <row r="16421">
      <c r="D16421" s="2" t="inlineStr">
        <is>
          <t>SUBTOTAL ALAT</t>
        </is>
      </c>
      <c r="F16421" s="16" t="n">
        <v>0</v>
      </c>
    </row>
    <row r="16422">
      <c r="E16422" s="2" t="inlineStr">
        <is>
          <t>TOTAL HARGA SATUAN (Inc. Overhead)</t>
        </is>
      </c>
      <c r="F16422" s="17" t="n">
        <v>3741435</v>
      </c>
    </row>
    <row r="16424">
      <c r="A16424" s="14" t="inlineStr">
        <is>
          <t>KODE: 6.5.22.4 - Pemasangan 1 Unit Header Pipa Galvanis MED CLASS, DN 10" (250 mm)</t>
        </is>
      </c>
    </row>
    <row r="16425">
      <c r="A16425" s="10" t="inlineStr">
        <is>
          <t>No</t>
        </is>
      </c>
      <c r="B16425" s="10" t="inlineStr">
        <is>
          <t>Uraian Komponen</t>
        </is>
      </c>
      <c r="C16425" s="10" t="inlineStr">
        <is>
          <t>Satuan</t>
        </is>
      </c>
      <c r="D16425" s="10" t="inlineStr">
        <is>
          <t>Koef</t>
        </is>
      </c>
      <c r="E16425" s="10" t="inlineStr">
        <is>
          <t>Harga Satuan (Rp)</t>
        </is>
      </c>
      <c r="F16425" s="10" t="inlineStr">
        <is>
          <t>Jumlah Harga (Rp)</t>
        </is>
      </c>
    </row>
    <row r="16426">
      <c r="A16426" s="3" t="inlineStr">
        <is>
          <t>1</t>
        </is>
      </c>
      <c r="B16426" s="3" t="inlineStr">
        <is>
          <t>Pekerja</t>
        </is>
      </c>
      <c r="C16426" s="3" t="inlineStr">
        <is>
          <t>OH</t>
        </is>
      </c>
      <c r="D16426" s="15" t="n">
        <v>0.79</v>
      </c>
      <c r="E16426" s="4" t="n">
        <v>100000</v>
      </c>
      <c r="F16426" s="4" t="n">
        <v>79000</v>
      </c>
    </row>
    <row r="16427">
      <c r="A16427" s="3" t="inlineStr">
        <is>
          <t>2</t>
        </is>
      </c>
      <c r="B16427" s="3" t="inlineStr">
        <is>
          <t>Tukang pipa</t>
        </is>
      </c>
      <c r="C16427" s="3" t="inlineStr">
        <is>
          <t>OH</t>
        </is>
      </c>
      <c r="D16427" s="15" t="n">
        <v>1.32</v>
      </c>
      <c r="E16427" s="4" t="n">
        <v>145000</v>
      </c>
      <c r="F16427" s="4" t="n">
        <v>191400</v>
      </c>
    </row>
    <row r="16428">
      <c r="A16428" s="3" t="inlineStr">
        <is>
          <t>3</t>
        </is>
      </c>
      <c r="B16428" s="3" t="inlineStr">
        <is>
          <t>Kepala tukang</t>
        </is>
      </c>
      <c r="C16428" s="3" t="inlineStr">
        <is>
          <t>OH</t>
        </is>
      </c>
      <c r="D16428" s="15" t="n">
        <v>0.132</v>
      </c>
      <c r="E16428" s="4" t="n">
        <v>175000</v>
      </c>
      <c r="F16428" s="4" t="n">
        <v>23100</v>
      </c>
    </row>
    <row r="16429">
      <c r="A16429" s="3" t="inlineStr">
        <is>
          <t>4</t>
        </is>
      </c>
      <c r="B16429" s="3" t="inlineStr">
        <is>
          <t>Mandor</t>
        </is>
      </c>
      <c r="C16429" s="3" t="inlineStr">
        <is>
          <t>OH</t>
        </is>
      </c>
      <c r="D16429" s="15" t="n">
        <v>0.044</v>
      </c>
      <c r="E16429" s="4" t="n">
        <v>200000</v>
      </c>
      <c r="F16429" s="4" t="n">
        <v>8800</v>
      </c>
    </row>
    <row r="16430">
      <c r="A16430" s="3" t="inlineStr">
        <is>
          <t>1</t>
        </is>
      </c>
      <c r="B16430" s="3" t="inlineStr">
        <is>
          <t>Header Pipa Galvanis MED CLASS DN 10” (250 mm)</t>
        </is>
      </c>
      <c r="C16430" s="3" t="inlineStr">
        <is>
          <t>m'</t>
        </is>
      </c>
      <c r="D16430" s="15" t="n">
        <v>2.5</v>
      </c>
      <c r="E16430" s="4" t="n">
        <v>800000</v>
      </c>
      <c r="F16430" s="4" t="n">
        <v>2000000</v>
      </c>
    </row>
    <row r="16431">
      <c r="A16431" s="3" t="inlineStr">
        <is>
          <t>2</t>
        </is>
      </c>
      <c r="B16431" s="3" t="inlineStr">
        <is>
          <t>Flange pipa DN 250 mm</t>
        </is>
      </c>
      <c r="C16431" s="3" t="inlineStr">
        <is>
          <t>buah</t>
        </is>
      </c>
      <c r="D16431" s="15" t="n">
        <v>2</v>
      </c>
      <c r="E16431" s="4" t="n">
        <v>350000</v>
      </c>
      <c r="F16431" s="4" t="n">
        <v>700000</v>
      </c>
    </row>
    <row r="16432">
      <c r="A16432" s="3" t="inlineStr">
        <is>
          <t>3</t>
        </is>
      </c>
      <c r="B16432" s="3" t="inlineStr">
        <is>
          <t>Flange buta DN 250 mm</t>
        </is>
      </c>
      <c r="C16432" s="3" t="inlineStr">
        <is>
          <t>buah</t>
        </is>
      </c>
      <c r="D16432" s="15" t="n">
        <v>2</v>
      </c>
      <c r="E16432" s="4" t="n">
        <v>300000</v>
      </c>
      <c r="F16432" s="4" t="n">
        <v>600000</v>
      </c>
    </row>
    <row r="16433">
      <c r="A16433" s="3" t="inlineStr">
        <is>
          <t>4</t>
        </is>
      </c>
      <c r="B16433" s="3" t="inlineStr">
        <is>
          <t>Pipa percabangan 1 set</t>
        </is>
      </c>
      <c r="C16433" s="3" t="inlineStr">
        <is>
          <t>set</t>
        </is>
      </c>
      <c r="D16433" s="15" t="n">
        <v>2</v>
      </c>
      <c r="E16433" s="4" t="n">
        <v>100000</v>
      </c>
      <c r="F16433" s="4" t="n">
        <v>200000</v>
      </c>
    </row>
    <row r="16434">
      <c r="A16434" s="3" t="inlineStr">
        <is>
          <t>5</t>
        </is>
      </c>
      <c r="B16434" s="3" t="inlineStr">
        <is>
          <t>Mur baut M22</t>
        </is>
      </c>
      <c r="C16434" s="3" t="inlineStr">
        <is>
          <t>buah</t>
        </is>
      </c>
      <c r="D16434" s="15" t="n">
        <v>24</v>
      </c>
      <c r="E16434" s="4" t="n">
        <v>20000</v>
      </c>
      <c r="F16434" s="4" t="n">
        <v>480000</v>
      </c>
    </row>
    <row r="16435">
      <c r="D16435" s="2" t="inlineStr">
        <is>
          <t>SUBTOTAL UPAH</t>
        </is>
      </c>
      <c r="F16435" s="16" t="n">
        <v>302300</v>
      </c>
    </row>
    <row r="16436">
      <c r="D16436" s="2" t="inlineStr">
        <is>
          <t>SUBTOTAL BAHAN</t>
        </is>
      </c>
      <c r="F16436" s="16" t="n">
        <v>3980000</v>
      </c>
    </row>
    <row r="16437">
      <c r="D16437" s="2" t="inlineStr">
        <is>
          <t>SUBTOTAL ALAT</t>
        </is>
      </c>
      <c r="F16437" s="16" t="n">
        <v>0</v>
      </c>
    </row>
    <row r="16438">
      <c r="E16438" s="2" t="inlineStr">
        <is>
          <t>TOTAL HARGA SATUAN (Inc. Overhead)</t>
        </is>
      </c>
      <c r="F16438" s="17" t="n">
        <v>4710530</v>
      </c>
    </row>
    <row r="16440">
      <c r="A16440" s="14" t="inlineStr">
        <is>
          <t>KODE: 6.5.23.1 - Pemasangan 1 m Header Pipa BS SCH 40, Dia. 8" ( 200 mm)</t>
        </is>
      </c>
    </row>
    <row r="16441">
      <c r="A16441" s="10" t="inlineStr">
        <is>
          <t>No</t>
        </is>
      </c>
      <c r="B16441" s="10" t="inlineStr">
        <is>
          <t>Uraian Komponen</t>
        </is>
      </c>
      <c r="C16441" s="10" t="inlineStr">
        <is>
          <t>Satuan</t>
        </is>
      </c>
      <c r="D16441" s="10" t="inlineStr">
        <is>
          <t>Koef</t>
        </is>
      </c>
      <c r="E16441" s="10" t="inlineStr">
        <is>
          <t>Harga Satuan (Rp)</t>
        </is>
      </c>
      <c r="F16441" s="10" t="inlineStr">
        <is>
          <t>Jumlah Harga (Rp)</t>
        </is>
      </c>
    </row>
    <row r="16442">
      <c r="A16442" s="3" t="inlineStr">
        <is>
          <t>1</t>
        </is>
      </c>
      <c r="B16442" s="3" t="inlineStr">
        <is>
          <t>Pekerja</t>
        </is>
      </c>
      <c r="C16442" s="3" t="inlineStr">
        <is>
          <t>OH</t>
        </is>
      </c>
      <c r="D16442" s="15" t="n">
        <v>1.096</v>
      </c>
      <c r="E16442" s="4" t="n">
        <v>100000</v>
      </c>
      <c r="F16442" s="4" t="n">
        <v>109600</v>
      </c>
    </row>
    <row r="16443">
      <c r="A16443" s="3" t="inlineStr">
        <is>
          <t>2</t>
        </is>
      </c>
      <c r="B16443" s="3" t="inlineStr">
        <is>
          <t>Tukang pipa</t>
        </is>
      </c>
      <c r="C16443" s="3" t="inlineStr">
        <is>
          <t>OH</t>
        </is>
      </c>
      <c r="D16443" s="15" t="n">
        <v>2.193</v>
      </c>
      <c r="E16443" s="4" t="n">
        <v>145000</v>
      </c>
      <c r="F16443" s="4" t="n">
        <v>317985</v>
      </c>
    </row>
    <row r="16444">
      <c r="A16444" s="3" t="inlineStr">
        <is>
          <t>3</t>
        </is>
      </c>
      <c r="B16444" s="3" t="inlineStr">
        <is>
          <t>Kepala tukang</t>
        </is>
      </c>
      <c r="C16444" s="3" t="inlineStr">
        <is>
          <t>OH</t>
        </is>
      </c>
      <c r="D16444" s="15" t="n">
        <v>0.219</v>
      </c>
      <c r="E16444" s="4" t="n">
        <v>175000</v>
      </c>
      <c r="F16444" s="4" t="n">
        <v>38325</v>
      </c>
    </row>
    <row r="16445">
      <c r="A16445" s="3" t="inlineStr">
        <is>
          <t>4</t>
        </is>
      </c>
      <c r="B16445" s="3" t="inlineStr">
        <is>
          <t>Mandor</t>
        </is>
      </c>
      <c r="C16445" s="3" t="inlineStr">
        <is>
          <t>OH</t>
        </is>
      </c>
      <c r="D16445" s="15" t="n">
        <v>0.066</v>
      </c>
      <c r="E16445" s="4" t="n">
        <v>200000</v>
      </c>
      <c r="F16445" s="4" t="n">
        <v>13200</v>
      </c>
    </row>
    <row r="16446">
      <c r="A16446" s="3" t="inlineStr">
        <is>
          <t>1</t>
        </is>
      </c>
      <c r="B16446" s="3" t="inlineStr">
        <is>
          <t>"Header Pipa BS SCH 40 Dia. 8"""</t>
        </is>
      </c>
      <c r="C16446" s="3" t="inlineStr">
        <is>
          <t>m'</t>
        </is>
      </c>
      <c r="D16446" s="15" t="n">
        <v>1.4</v>
      </c>
      <c r="E16446" s="4" t="n">
        <v>3500000</v>
      </c>
      <c r="F16446" s="4" t="n">
        <v>4900000</v>
      </c>
    </row>
    <row r="16447">
      <c r="D16447" s="2" t="inlineStr">
        <is>
          <t>SUBTOTAL UPAH</t>
        </is>
      </c>
      <c r="F16447" s="16" t="n">
        <v>479110</v>
      </c>
    </row>
    <row r="16448">
      <c r="D16448" s="2" t="inlineStr">
        <is>
          <t>SUBTOTAL BAHAN</t>
        </is>
      </c>
      <c r="F16448" s="16" t="n">
        <v>4900000</v>
      </c>
    </row>
    <row r="16449">
      <c r="D16449" s="2" t="inlineStr">
        <is>
          <t>SUBTOTAL ALAT</t>
        </is>
      </c>
      <c r="F16449" s="16" t="n">
        <v>0</v>
      </c>
    </row>
    <row r="16450">
      <c r="E16450" s="2" t="inlineStr">
        <is>
          <t>TOTAL HARGA SATUAN (Inc. Overhead)</t>
        </is>
      </c>
      <c r="F16450" s="17" t="n">
        <v>5917021</v>
      </c>
    </row>
    <row r="16452">
      <c r="A16452" s="14" t="inlineStr">
        <is>
          <t>KODE: 6.5.23.2 - Pemasangan 1 m Header Pipa BS SCH 40, Dia. 10" ( 250 mm)</t>
        </is>
      </c>
    </row>
    <row r="16453">
      <c r="A16453" s="10" t="inlineStr">
        <is>
          <t>No</t>
        </is>
      </c>
      <c r="B16453" s="10" t="inlineStr">
        <is>
          <t>Uraian Komponen</t>
        </is>
      </c>
      <c r="C16453" s="10" t="inlineStr">
        <is>
          <t>Satuan</t>
        </is>
      </c>
      <c r="D16453" s="10" t="inlineStr">
        <is>
          <t>Koef</t>
        </is>
      </c>
      <c r="E16453" s="10" t="inlineStr">
        <is>
          <t>Harga Satuan (Rp)</t>
        </is>
      </c>
      <c r="F16453" s="10" t="inlineStr">
        <is>
          <t>Jumlah Harga (Rp)</t>
        </is>
      </c>
    </row>
    <row r="16454">
      <c r="A16454" s="3" t="inlineStr">
        <is>
          <t>1</t>
        </is>
      </c>
      <c r="B16454" s="3" t="inlineStr">
        <is>
          <t>Pekerja</t>
        </is>
      </c>
      <c r="C16454" s="3" t="inlineStr">
        <is>
          <t>OH</t>
        </is>
      </c>
      <c r="D16454" s="15" t="n">
        <v>1.375</v>
      </c>
      <c r="E16454" s="4" t="n">
        <v>100000</v>
      </c>
      <c r="F16454" s="4" t="n">
        <v>137500</v>
      </c>
    </row>
    <row r="16455">
      <c r="A16455" s="3" t="inlineStr">
        <is>
          <t>2</t>
        </is>
      </c>
      <c r="B16455" s="3" t="inlineStr">
        <is>
          <t>Tukang pipa</t>
        </is>
      </c>
      <c r="C16455" s="3" t="inlineStr">
        <is>
          <t>OH</t>
        </is>
      </c>
      <c r="D16455" s="15" t="n">
        <v>2.75</v>
      </c>
      <c r="E16455" s="4" t="n">
        <v>145000</v>
      </c>
      <c r="F16455" s="4" t="n">
        <v>398750</v>
      </c>
    </row>
    <row r="16456">
      <c r="A16456" s="3" t="inlineStr">
        <is>
          <t>3</t>
        </is>
      </c>
      <c r="B16456" s="3" t="inlineStr">
        <is>
          <t>Kepala tukang</t>
        </is>
      </c>
      <c r="C16456" s="3" t="inlineStr">
        <is>
          <t>OH</t>
        </is>
      </c>
      <c r="D16456" s="15" t="n">
        <v>0.275</v>
      </c>
      <c r="E16456" s="4" t="n">
        <v>175000</v>
      </c>
      <c r="F16456" s="4" t="n">
        <v>48125.00000000001</v>
      </c>
    </row>
    <row r="16457">
      <c r="A16457" s="3" t="inlineStr">
        <is>
          <t>4</t>
        </is>
      </c>
      <c r="B16457" s="3" t="inlineStr">
        <is>
          <t>Mandor</t>
        </is>
      </c>
      <c r="C16457" s="3" t="inlineStr">
        <is>
          <t>OH</t>
        </is>
      </c>
      <c r="D16457" s="15" t="n">
        <v>0.083</v>
      </c>
      <c r="E16457" s="4" t="n">
        <v>200000</v>
      </c>
      <c r="F16457" s="4" t="n">
        <v>16600</v>
      </c>
    </row>
    <row r="16458">
      <c r="A16458" s="3" t="inlineStr">
        <is>
          <t>1</t>
        </is>
      </c>
      <c r="B16458" s="3" t="inlineStr">
        <is>
          <t>"Header Pipa BS SCH 40 Dia. 10"""</t>
        </is>
      </c>
      <c r="C16458" s="3" t="inlineStr">
        <is>
          <t>m'</t>
        </is>
      </c>
      <c r="D16458" s="15" t="n">
        <v>1.4</v>
      </c>
      <c r="E16458" s="4" t="n">
        <v>4600000</v>
      </c>
      <c r="F16458" s="4" t="n">
        <v>6440000</v>
      </c>
    </row>
    <row r="16459">
      <c r="D16459" s="2" t="inlineStr">
        <is>
          <t>SUBTOTAL UPAH</t>
        </is>
      </c>
      <c r="F16459" s="16" t="n">
        <v>600975</v>
      </c>
    </row>
    <row r="16460">
      <c r="D16460" s="2" t="inlineStr">
        <is>
          <t>SUBTOTAL BAHAN</t>
        </is>
      </c>
      <c r="F16460" s="16" t="n">
        <v>6440000</v>
      </c>
    </row>
    <row r="16461">
      <c r="D16461" s="2" t="inlineStr">
        <is>
          <t>SUBTOTAL ALAT</t>
        </is>
      </c>
      <c r="F16461" s="16" t="n">
        <v>0</v>
      </c>
    </row>
    <row r="16462">
      <c r="E16462" s="2" t="inlineStr">
        <is>
          <t>TOTAL HARGA SATUAN (Inc. Overhead)</t>
        </is>
      </c>
      <c r="F16462" s="17" t="n">
        <v>7745072</v>
      </c>
    </row>
    <row r="16464">
      <c r="A16464" s="14" t="inlineStr">
        <is>
          <t>KODE: 6.5.24.1 - Pemasangan 1 buah DOP PVC dia. 3" (80 mm)</t>
        </is>
      </c>
    </row>
    <row r="16465">
      <c r="A16465" s="10" t="inlineStr">
        <is>
          <t>No</t>
        </is>
      </c>
      <c r="B16465" s="10" t="inlineStr">
        <is>
          <t>Uraian Komponen</t>
        </is>
      </c>
      <c r="C16465" s="10" t="inlineStr">
        <is>
          <t>Satuan</t>
        </is>
      </c>
      <c r="D16465" s="10" t="inlineStr">
        <is>
          <t>Koef</t>
        </is>
      </c>
      <c r="E16465" s="10" t="inlineStr">
        <is>
          <t>Harga Satuan (Rp)</t>
        </is>
      </c>
      <c r="F16465" s="10" t="inlineStr">
        <is>
          <t>Jumlah Harga (Rp)</t>
        </is>
      </c>
    </row>
    <row r="16466">
      <c r="A16466" s="3" t="inlineStr">
        <is>
          <t>1</t>
        </is>
      </c>
      <c r="B16466" s="3" t="inlineStr">
        <is>
          <t>Pekerja</t>
        </is>
      </c>
      <c r="C16466" s="3" t="inlineStr">
        <is>
          <t>OH</t>
        </is>
      </c>
      <c r="D16466" s="15" t="n">
        <v>0.048</v>
      </c>
      <c r="E16466" s="4" t="n">
        <v>100000</v>
      </c>
      <c r="F16466" s="4" t="n">
        <v>4800</v>
      </c>
    </row>
    <row r="16467">
      <c r="A16467" s="3" t="inlineStr">
        <is>
          <t>2</t>
        </is>
      </c>
      <c r="B16467" s="3" t="inlineStr">
        <is>
          <t>Tukang pipa</t>
        </is>
      </c>
      <c r="C16467" s="3" t="inlineStr">
        <is>
          <t>OH</t>
        </is>
      </c>
      <c r="D16467" s="15" t="n">
        <v>0.08</v>
      </c>
      <c r="E16467" s="4" t="n">
        <v>145000</v>
      </c>
      <c r="F16467" s="4" t="n">
        <v>11600</v>
      </c>
    </row>
    <row r="16468">
      <c r="A16468" s="3" t="inlineStr">
        <is>
          <t>3</t>
        </is>
      </c>
      <c r="B16468" s="3" t="inlineStr">
        <is>
          <t>Kepala tukang</t>
        </is>
      </c>
      <c r="C16468" s="3" t="inlineStr">
        <is>
          <t>OH</t>
        </is>
      </c>
      <c r="D16468" s="15" t="n">
        <v>0.008</v>
      </c>
      <c r="E16468" s="4" t="n">
        <v>175000</v>
      </c>
      <c r="F16468" s="4" t="n">
        <v>1400</v>
      </c>
    </row>
    <row r="16469">
      <c r="A16469" s="3" t="inlineStr">
        <is>
          <t>4</t>
        </is>
      </c>
      <c r="B16469" s="3" t="inlineStr">
        <is>
          <t>Mandor</t>
        </is>
      </c>
      <c r="C16469" s="3" t="inlineStr">
        <is>
          <t>OH</t>
        </is>
      </c>
      <c r="D16469" s="15" t="n">
        <v>0.002</v>
      </c>
      <c r="E16469" s="4" t="n">
        <v>200000</v>
      </c>
      <c r="F16469" s="4" t="n">
        <v>400</v>
      </c>
    </row>
    <row r="16470">
      <c r="A16470" s="3" t="inlineStr">
        <is>
          <t>1</t>
        </is>
      </c>
      <c r="B16470" s="3" t="inlineStr">
        <is>
          <t>"Dop PVC dia. 3"""</t>
        </is>
      </c>
      <c r="C16470" s="3" t="inlineStr">
        <is>
          <t>buah</t>
        </is>
      </c>
      <c r="D16470" s="15" t="n">
        <v>1.1</v>
      </c>
      <c r="E16470" s="4" t="n">
        <v>9950</v>
      </c>
      <c r="F16470" s="4" t="n">
        <v>10945</v>
      </c>
    </row>
    <row r="16471">
      <c r="D16471" s="2" t="inlineStr">
        <is>
          <t>SUBTOTAL UPAH</t>
        </is>
      </c>
      <c r="F16471" s="16" t="n">
        <v>18200</v>
      </c>
    </row>
    <row r="16472">
      <c r="D16472" s="2" t="inlineStr">
        <is>
          <t>SUBTOTAL BAHAN</t>
        </is>
      </c>
      <c r="F16472" s="16" t="n">
        <v>10945</v>
      </c>
    </row>
    <row r="16473">
      <c r="D16473" s="2" t="inlineStr">
        <is>
          <t>SUBTOTAL ALAT</t>
        </is>
      </c>
      <c r="F16473" s="16" t="n">
        <v>0</v>
      </c>
    </row>
    <row r="16474">
      <c r="E16474" s="2" t="inlineStr">
        <is>
          <t>TOTAL HARGA SATUAN (Inc. Overhead)</t>
        </is>
      </c>
      <c r="F16474" s="17" t="n">
        <v>32059</v>
      </c>
    </row>
    <row r="16476">
      <c r="A16476" s="14" t="inlineStr">
        <is>
          <t>KODE: 6.5.24.2 - Pemasangan 1 buah DOP PVC dia. 4" (100 mm)</t>
        </is>
      </c>
    </row>
    <row r="16477">
      <c r="A16477" s="10" t="inlineStr">
        <is>
          <t>No</t>
        </is>
      </c>
      <c r="B16477" s="10" t="inlineStr">
        <is>
          <t>Uraian Komponen</t>
        </is>
      </c>
      <c r="C16477" s="10" t="inlineStr">
        <is>
          <t>Satuan</t>
        </is>
      </c>
      <c r="D16477" s="10" t="inlineStr">
        <is>
          <t>Koef</t>
        </is>
      </c>
      <c r="E16477" s="10" t="inlineStr">
        <is>
          <t>Harga Satuan (Rp)</t>
        </is>
      </c>
      <c r="F16477" s="10" t="inlineStr">
        <is>
          <t>Jumlah Harga (Rp)</t>
        </is>
      </c>
    </row>
    <row r="16478">
      <c r="A16478" s="3" t="inlineStr">
        <is>
          <t>1</t>
        </is>
      </c>
      <c r="B16478" s="3" t="inlineStr">
        <is>
          <t>Pekerja</t>
        </is>
      </c>
      <c r="C16478" s="3" t="inlineStr">
        <is>
          <t>OH</t>
        </is>
      </c>
      <c r="D16478" s="15" t="n">
        <v>0.062</v>
      </c>
      <c r="E16478" s="4" t="n">
        <v>100000</v>
      </c>
      <c r="F16478" s="4" t="n">
        <v>6200</v>
      </c>
    </row>
    <row r="16479">
      <c r="A16479" s="3" t="inlineStr">
        <is>
          <t>2</t>
        </is>
      </c>
      <c r="B16479" s="3" t="inlineStr">
        <is>
          <t>Tukang pipa</t>
        </is>
      </c>
      <c r="C16479" s="3" t="inlineStr">
        <is>
          <t>OH</t>
        </is>
      </c>
      <c r="D16479" s="15" t="n">
        <v>0.103</v>
      </c>
      <c r="E16479" s="4" t="n">
        <v>145000</v>
      </c>
      <c r="F16479" s="4" t="n">
        <v>14935</v>
      </c>
    </row>
    <row r="16480">
      <c r="A16480" s="3" t="inlineStr">
        <is>
          <t>3</t>
        </is>
      </c>
      <c r="B16480" s="3" t="inlineStr">
        <is>
          <t>Kepala tukang</t>
        </is>
      </c>
      <c r="C16480" s="3" t="inlineStr">
        <is>
          <t>OH</t>
        </is>
      </c>
      <c r="D16480" s="15" t="n">
        <v>0.01</v>
      </c>
      <c r="E16480" s="4" t="n">
        <v>175000</v>
      </c>
      <c r="F16480" s="4" t="n">
        <v>1750</v>
      </c>
    </row>
    <row r="16481">
      <c r="A16481" s="3" t="inlineStr">
        <is>
          <t>4</t>
        </is>
      </c>
      <c r="B16481" s="3" t="inlineStr">
        <is>
          <t>Mandor</t>
        </is>
      </c>
      <c r="C16481" s="3" t="inlineStr">
        <is>
          <t>OH</t>
        </is>
      </c>
      <c r="D16481" s="15" t="n">
        <v>0.003</v>
      </c>
      <c r="E16481" s="4" t="n">
        <v>200000</v>
      </c>
      <c r="F16481" s="4" t="n">
        <v>600</v>
      </c>
    </row>
    <row r="16482">
      <c r="A16482" s="3" t="inlineStr">
        <is>
          <t>1</t>
        </is>
      </c>
      <c r="B16482" s="3" t="inlineStr">
        <is>
          <t>"Dop PVC dia. 4"""</t>
        </is>
      </c>
      <c r="C16482" s="3" t="inlineStr">
        <is>
          <t>buah</t>
        </is>
      </c>
      <c r="D16482" s="15" t="n">
        <v>1.1</v>
      </c>
      <c r="E16482" s="4" t="n">
        <v>19500</v>
      </c>
      <c r="F16482" s="4" t="n">
        <v>21450</v>
      </c>
    </row>
    <row r="16483">
      <c r="D16483" s="2" t="inlineStr">
        <is>
          <t>SUBTOTAL UPAH</t>
        </is>
      </c>
      <c r="F16483" s="16" t="n">
        <v>23485</v>
      </c>
    </row>
    <row r="16484">
      <c r="D16484" s="2" t="inlineStr">
        <is>
          <t>SUBTOTAL BAHAN</t>
        </is>
      </c>
      <c r="F16484" s="16" t="n">
        <v>21450</v>
      </c>
    </row>
    <row r="16485">
      <c r="D16485" s="2" t="inlineStr">
        <is>
          <t>SUBTOTAL ALAT</t>
        </is>
      </c>
      <c r="F16485" s="16" t="n">
        <v>0</v>
      </c>
    </row>
    <row r="16486">
      <c r="E16486" s="2" t="inlineStr">
        <is>
          <t>TOTAL HARGA SATUAN (Inc. Overhead)</t>
        </is>
      </c>
      <c r="F16486" s="17" t="n">
        <v>49428</v>
      </c>
    </row>
    <row r="16488">
      <c r="A16488" s="14" t="inlineStr">
        <is>
          <t>KODE: 6.5.24.3 - Pemasangan 1 buah DOP PVC dia. 6" (150 mm)</t>
        </is>
      </c>
    </row>
    <row r="16489">
      <c r="A16489" s="10" t="inlineStr">
        <is>
          <t>No</t>
        </is>
      </c>
      <c r="B16489" s="10" t="inlineStr">
        <is>
          <t>Uraian Komponen</t>
        </is>
      </c>
      <c r="C16489" s="10" t="inlineStr">
        <is>
          <t>Satuan</t>
        </is>
      </c>
      <c r="D16489" s="10" t="inlineStr">
        <is>
          <t>Koef</t>
        </is>
      </c>
      <c r="E16489" s="10" t="inlineStr">
        <is>
          <t>Harga Satuan (Rp)</t>
        </is>
      </c>
      <c r="F16489" s="10" t="inlineStr">
        <is>
          <t>Jumlah Harga (Rp)</t>
        </is>
      </c>
    </row>
    <row r="16490">
      <c r="A16490" s="3" t="inlineStr">
        <is>
          <t>1</t>
        </is>
      </c>
      <c r="B16490" s="3" t="inlineStr">
        <is>
          <t>Pekerja</t>
        </is>
      </c>
      <c r="C16490" s="3" t="inlineStr">
        <is>
          <t>OH</t>
        </is>
      </c>
      <c r="D16490" s="15" t="n">
        <v>0.095</v>
      </c>
      <c r="E16490" s="4" t="n">
        <v>100000</v>
      </c>
      <c r="F16490" s="4" t="n">
        <v>9500</v>
      </c>
    </row>
    <row r="16491">
      <c r="A16491" s="3" t="inlineStr">
        <is>
          <t>2</t>
        </is>
      </c>
      <c r="B16491" s="3" t="inlineStr">
        <is>
          <t>Tukang pipa</t>
        </is>
      </c>
      <c r="C16491" s="3" t="inlineStr">
        <is>
          <t>OH</t>
        </is>
      </c>
      <c r="D16491" s="15" t="n">
        <v>0.159</v>
      </c>
      <c r="E16491" s="4" t="n">
        <v>145000</v>
      </c>
      <c r="F16491" s="4" t="n">
        <v>23055</v>
      </c>
    </row>
    <row r="16492">
      <c r="A16492" s="3" t="inlineStr">
        <is>
          <t>3</t>
        </is>
      </c>
      <c r="B16492" s="3" t="inlineStr">
        <is>
          <t>Kepala tukang</t>
        </is>
      </c>
      <c r="C16492" s="3" t="inlineStr">
        <is>
          <t>OH</t>
        </is>
      </c>
      <c r="D16492" s="15" t="n">
        <v>0.016</v>
      </c>
      <c r="E16492" s="4" t="n">
        <v>175000</v>
      </c>
      <c r="F16492" s="4" t="n">
        <v>2800</v>
      </c>
    </row>
    <row r="16493">
      <c r="A16493" s="3" t="inlineStr">
        <is>
          <t>4</t>
        </is>
      </c>
      <c r="B16493" s="3" t="inlineStr">
        <is>
          <t>Mandor</t>
        </is>
      </c>
      <c r="C16493" s="3" t="inlineStr">
        <is>
          <t>OH</t>
        </is>
      </c>
      <c r="D16493" s="15" t="n">
        <v>0.005</v>
      </c>
      <c r="E16493" s="4" t="n">
        <v>200000</v>
      </c>
      <c r="F16493" s="4" t="n">
        <v>1000</v>
      </c>
    </row>
    <row r="16494">
      <c r="A16494" s="3" t="inlineStr">
        <is>
          <t>1</t>
        </is>
      </c>
      <c r="B16494" s="3" t="inlineStr">
        <is>
          <t>"Dop PVC dia. 6"""</t>
        </is>
      </c>
      <c r="C16494" s="3" t="inlineStr">
        <is>
          <t>buah</t>
        </is>
      </c>
      <c r="D16494" s="15" t="n">
        <v>1.1</v>
      </c>
      <c r="E16494" s="4" t="n">
        <v>28000</v>
      </c>
      <c r="F16494" s="4" t="n">
        <v>30800</v>
      </c>
    </row>
    <row r="16495">
      <c r="D16495" s="2" t="inlineStr">
        <is>
          <t>SUBTOTAL UPAH</t>
        </is>
      </c>
      <c r="F16495" s="16" t="n">
        <v>36355</v>
      </c>
    </row>
    <row r="16496">
      <c r="D16496" s="2" t="inlineStr">
        <is>
          <t>SUBTOTAL BAHAN</t>
        </is>
      </c>
      <c r="F16496" s="16" t="n">
        <v>30800</v>
      </c>
    </row>
    <row r="16497">
      <c r="D16497" s="2" t="inlineStr">
        <is>
          <t>SUBTOTAL ALAT</t>
        </is>
      </c>
      <c r="F16497" s="16" t="n">
        <v>0</v>
      </c>
    </row>
    <row r="16498">
      <c r="E16498" s="2" t="inlineStr">
        <is>
          <t>TOTAL HARGA SATUAN (Inc. Overhead)</t>
        </is>
      </c>
      <c r="F16498" s="17" t="n">
        <v>73870</v>
      </c>
    </row>
    <row r="16500">
      <c r="A16500" s="14" t="inlineStr">
        <is>
          <t>KODE: 6.6.1.1 - Pembuatan 1 buah sumur Resapan Air Hujan diameter 80 cm, t=100 cm</t>
        </is>
      </c>
    </row>
    <row r="16501">
      <c r="A16501" s="10" t="inlineStr">
        <is>
          <t>No</t>
        </is>
      </c>
      <c r="B16501" s="10" t="inlineStr">
        <is>
          <t>Uraian Komponen</t>
        </is>
      </c>
      <c r="C16501" s="10" t="inlineStr">
        <is>
          <t>Satuan</t>
        </is>
      </c>
      <c r="D16501" s="10" t="inlineStr">
        <is>
          <t>Koef</t>
        </is>
      </c>
      <c r="E16501" s="10" t="inlineStr">
        <is>
          <t>Harga Satuan (Rp)</t>
        </is>
      </c>
      <c r="F16501" s="10" t="inlineStr">
        <is>
          <t>Jumlah Harga (Rp)</t>
        </is>
      </c>
    </row>
    <row r="16502">
      <c r="A16502" s="3" t="inlineStr">
        <is>
          <t>1</t>
        </is>
      </c>
      <c r="B16502" s="3" t="inlineStr">
        <is>
          <t>Pekerja</t>
        </is>
      </c>
      <c r="C16502" s="3" t="inlineStr">
        <is>
          <t>OH</t>
        </is>
      </c>
      <c r="D16502" s="15" t="n">
        <v>0.08599999999999999</v>
      </c>
      <c r="E16502" s="4" t="n">
        <v>100000</v>
      </c>
      <c r="F16502" s="4" t="n">
        <v>8600</v>
      </c>
    </row>
    <row r="16503">
      <c r="A16503" s="3" t="inlineStr">
        <is>
          <t>2</t>
        </is>
      </c>
      <c r="B16503" s="3" t="inlineStr">
        <is>
          <t>Tukang batu</t>
        </is>
      </c>
      <c r="C16503" s="3" t="inlineStr">
        <is>
          <t>OH</t>
        </is>
      </c>
      <c r="D16503" s="15" t="n">
        <v>0.143</v>
      </c>
      <c r="E16503" s="4" t="n">
        <v>145000</v>
      </c>
      <c r="F16503" s="4" t="n">
        <v>20735</v>
      </c>
    </row>
    <row r="16504">
      <c r="A16504" s="3" t="inlineStr">
        <is>
          <t>3</t>
        </is>
      </c>
      <c r="B16504" s="3" t="inlineStr">
        <is>
          <t>Kepala tukang</t>
        </is>
      </c>
      <c r="C16504" s="3" t="inlineStr">
        <is>
          <t>OH</t>
        </is>
      </c>
      <c r="D16504" s="15" t="n">
        <v>0.014</v>
      </c>
      <c r="E16504" s="4" t="n">
        <v>175000</v>
      </c>
      <c r="F16504" s="4" t="n">
        <v>2450</v>
      </c>
    </row>
    <row r="16505">
      <c r="A16505" s="3" t="inlineStr">
        <is>
          <t>4</t>
        </is>
      </c>
      <c r="B16505" s="3" t="inlineStr">
        <is>
          <t>Mandor</t>
        </is>
      </c>
      <c r="C16505" s="3" t="inlineStr">
        <is>
          <t>OH</t>
        </is>
      </c>
      <c r="D16505" s="15" t="n">
        <v>0.004</v>
      </c>
      <c r="E16505" s="4" t="n">
        <v>200000</v>
      </c>
      <c r="F16505" s="4" t="n">
        <v>800</v>
      </c>
    </row>
    <row r="16506">
      <c r="A16506" s="3" t="inlineStr">
        <is>
          <t>1</t>
        </is>
      </c>
      <c r="B16506" s="3" t="inlineStr">
        <is>
          <t>Galian tanah biasa</t>
        </is>
      </c>
      <c r="C16506" s="3" t="inlineStr">
        <is>
          <t>m3</t>
        </is>
      </c>
      <c r="D16506" s="15" t="n">
        <v>1.006</v>
      </c>
      <c r="E16506" s="4" t="n">
        <v>45000</v>
      </c>
      <c r="F16506" s="4" t="n">
        <v>45270</v>
      </c>
    </row>
    <row r="16507">
      <c r="A16507" s="3" t="inlineStr">
        <is>
          <t>2</t>
        </is>
      </c>
      <c r="B16507" s="3" t="inlineStr">
        <is>
          <t>Buis beton dia. 80 cm</t>
        </is>
      </c>
      <c r="C16507" s="3" t="inlineStr">
        <is>
          <t>buah</t>
        </is>
      </c>
      <c r="D16507" s="15" t="n">
        <v>1</v>
      </c>
      <c r="E16507" s="4" t="n">
        <v>255400</v>
      </c>
      <c r="F16507" s="4" t="n">
        <v>255400</v>
      </c>
    </row>
    <row r="16508">
      <c r="A16508" s="3" t="inlineStr">
        <is>
          <t>3</t>
        </is>
      </c>
      <c r="B16508" s="3" t="inlineStr">
        <is>
          <t>kerikil</t>
        </is>
      </c>
      <c r="C16508" s="3" t="inlineStr">
        <is>
          <t>m3</t>
        </is>
      </c>
      <c r="D16508" s="15" t="n">
        <v>0.05</v>
      </c>
      <c r="E16508" s="4" t="n">
        <v>210</v>
      </c>
      <c r="F16508" s="4" t="n">
        <v>10.5</v>
      </c>
    </row>
    <row r="16509">
      <c r="A16509" s="3" t="n">
        <v>4</v>
      </c>
      <c r="B16509" s="3" t="inlineStr">
        <is>
          <t>Tutup Beton Bertulang</t>
        </is>
      </c>
      <c r="C16509" s="3" t="n">
        <v>0</v>
      </c>
    </row>
    <row r="16510">
      <c r="A16510" s="3" t="inlineStr">
        <is>
          <t>5</t>
        </is>
      </c>
      <c r="B16510" s="3" t="inlineStr">
        <is>
          <t>Beton</t>
        </is>
      </c>
      <c r="C16510" s="3" t="inlineStr">
        <is>
          <t>m3</t>
        </is>
      </c>
      <c r="D16510" s="15" t="n">
        <v>0.05</v>
      </c>
      <c r="E16510" s="4" t="n">
        <v>825000</v>
      </c>
      <c r="F16510" s="4" t="n">
        <v>41250</v>
      </c>
    </row>
    <row r="16511">
      <c r="A16511" s="3" t="inlineStr">
        <is>
          <t>6</t>
        </is>
      </c>
      <c r="B16511" s="3" t="inlineStr">
        <is>
          <t>Tulangan</t>
        </is>
      </c>
      <c r="C16511" s="3" t="inlineStr">
        <is>
          <t>kg</t>
        </is>
      </c>
      <c r="D16511" s="15" t="n">
        <v>5.024</v>
      </c>
      <c r="E16511" s="4" t="n">
        <v>10300</v>
      </c>
      <c r="F16511" s="4" t="n">
        <v>51747.2</v>
      </c>
    </row>
    <row r="16512">
      <c r="A16512" s="3" t="inlineStr">
        <is>
          <t>7</t>
        </is>
      </c>
      <c r="B16512" s="3" t="inlineStr">
        <is>
          <t>Bekisting</t>
        </is>
      </c>
      <c r="C16512" s="3" t="inlineStr">
        <is>
          <t>m2</t>
        </is>
      </c>
      <c r="D16512" s="15" t="n">
        <v>0.502</v>
      </c>
      <c r="E16512" s="4" t="n">
        <v>37500</v>
      </c>
      <c r="F16512" s="4" t="n">
        <v>18825</v>
      </c>
    </row>
    <row r="16513">
      <c r="A16513" s="3" t="inlineStr">
        <is>
          <t>8</t>
        </is>
      </c>
      <c r="B16513" s="3" t="inlineStr">
        <is>
          <t>"Pipa PVC AW Ø 4"""</t>
        </is>
      </c>
      <c r="C16513" s="3" t="inlineStr">
        <is>
          <t>m'</t>
        </is>
      </c>
      <c r="D16513" s="15" t="n">
        <v>0.2</v>
      </c>
      <c r="E16513" s="4" t="n">
        <v>72375</v>
      </c>
      <c r="F16513" s="4" t="n">
        <v>14475</v>
      </c>
    </row>
    <row r="16514">
      <c r="D16514" s="2" t="inlineStr">
        <is>
          <t>SUBTOTAL UPAH</t>
        </is>
      </c>
      <c r="F16514" s="16" t="n">
        <v>32585</v>
      </c>
    </row>
    <row r="16515">
      <c r="D16515" s="2" t="inlineStr">
        <is>
          <t>SUBTOTAL BAHAN</t>
        </is>
      </c>
      <c r="F16515" s="16" t="n">
        <v>426977.7</v>
      </c>
    </row>
    <row r="16516">
      <c r="D16516" s="2" t="inlineStr">
        <is>
          <t>SUBTOTAL ALAT</t>
        </is>
      </c>
      <c r="F16516" s="16" t="n">
        <v>0</v>
      </c>
    </row>
    <row r="16517">
      <c r="E16517" s="2" t="inlineStr">
        <is>
          <t>TOTAL HARGA SATUAN (Inc. Overhead)</t>
        </is>
      </c>
      <c r="F16517" s="17" t="n">
        <v>505518</v>
      </c>
    </row>
    <row r="16519">
      <c r="A16519" s="14" t="inlineStr">
        <is>
          <t>KODE: 7.1.1.1 - Pemasangan 1 m2 Paving Block (Blok Beton) Natural Tebal 6 cm fc'20 Mpa dan Pengunci Uskup untuk Jalan Lingkungan (Jalan Lokal) Secara Manual</t>
        </is>
      </c>
    </row>
    <row r="16520">
      <c r="A16520" s="10" t="inlineStr">
        <is>
          <t>No</t>
        </is>
      </c>
      <c r="B16520" s="10" t="inlineStr">
        <is>
          <t>Uraian Komponen</t>
        </is>
      </c>
      <c r="C16520" s="10" t="inlineStr">
        <is>
          <t>Satuan</t>
        </is>
      </c>
      <c r="D16520" s="10" t="inlineStr">
        <is>
          <t>Koef</t>
        </is>
      </c>
      <c r="E16520" s="10" t="inlineStr">
        <is>
          <t>Harga Satuan (Rp)</t>
        </is>
      </c>
      <c r="F16520" s="10" t="inlineStr">
        <is>
          <t>Jumlah Harga (Rp)</t>
        </is>
      </c>
    </row>
    <row r="16521">
      <c r="A16521" s="3" t="inlineStr">
        <is>
          <t>1</t>
        </is>
      </c>
      <c r="B16521" s="3" t="inlineStr">
        <is>
          <t>Pekerja OH</t>
        </is>
      </c>
      <c r="C16521" s="3" t="inlineStr">
        <is>
          <t>0.2</t>
        </is>
      </c>
      <c r="D16521" s="15" t="n">
        <v>100000</v>
      </c>
      <c r="E16521" s="4" t="n">
        <v>20000</v>
      </c>
      <c r="F16521" s="4" t="n">
        <v>0.1</v>
      </c>
    </row>
    <row r="16522">
      <c r="A16522" s="3" t="inlineStr">
        <is>
          <t>2</t>
        </is>
      </c>
      <c r="B16522" s="3" t="inlineStr">
        <is>
          <t>Tukang batu</t>
        </is>
      </c>
      <c r="C16522" s="3" t="inlineStr">
        <is>
          <t>OH</t>
        </is>
      </c>
      <c r="D16522" s="15" t="n">
        <v>0.1</v>
      </c>
      <c r="E16522" s="4" t="n">
        <v>145000</v>
      </c>
      <c r="F16522" s="4" t="n">
        <v>14500</v>
      </c>
    </row>
    <row r="16523">
      <c r="A16523" s="3" t="inlineStr">
        <is>
          <t>3</t>
        </is>
      </c>
      <c r="B16523" s="3" t="inlineStr">
        <is>
          <t>Kepala tukang</t>
        </is>
      </c>
      <c r="C16523" s="3" t="inlineStr">
        <is>
          <t>OH</t>
        </is>
      </c>
      <c r="D16523" s="15" t="n">
        <v>0.01</v>
      </c>
      <c r="E16523" s="4" t="n">
        <v>175000</v>
      </c>
      <c r="F16523" s="4" t="n">
        <v>1750</v>
      </c>
    </row>
    <row r="16524">
      <c r="A16524" s="3" t="inlineStr">
        <is>
          <t>4</t>
        </is>
      </c>
      <c r="B16524" s="3" t="inlineStr">
        <is>
          <t>Mandor</t>
        </is>
      </c>
      <c r="C16524" s="3" t="inlineStr">
        <is>
          <t>OH</t>
        </is>
      </c>
      <c r="D16524" s="15" t="n">
        <v>0.003</v>
      </c>
      <c r="E16524" s="4" t="n">
        <v>200000</v>
      </c>
      <c r="F16524" s="4" t="n">
        <v>600</v>
      </c>
    </row>
    <row r="16525">
      <c r="A16525" s="3" t="inlineStr">
        <is>
          <t>1</t>
        </is>
      </c>
      <c r="B16525" s="3" t="inlineStr">
        <is>
          <t>Paving Block Tebal 6 cm fc 20 Mpa</t>
        </is>
      </c>
      <c r="C16525" s="3" t="inlineStr">
        <is>
          <t>m2</t>
        </is>
      </c>
      <c r="D16525" s="15" t="n">
        <v>1.05</v>
      </c>
      <c r="E16525" s="4" t="n">
        <v>70000</v>
      </c>
      <c r="F16525" s="4" t="n">
        <v>73500</v>
      </c>
    </row>
    <row r="16526">
      <c r="A16526" s="3" t="inlineStr">
        <is>
          <t>2</t>
        </is>
      </c>
      <c r="B16526" s="3" t="inlineStr">
        <is>
          <t>Pasir Filler</t>
        </is>
      </c>
      <c r="C16526" s="3" t="inlineStr">
        <is>
          <t>m3</t>
        </is>
      </c>
      <c r="D16526" s="15" t="n">
        <v>0.003</v>
      </c>
      <c r="E16526" s="4" t="n">
        <v>300000</v>
      </c>
      <c r="F16526" s="4" t="n">
        <v>900</v>
      </c>
    </row>
    <row r="16527">
      <c r="A16527" s="3" t="inlineStr">
        <is>
          <t>3</t>
        </is>
      </c>
      <c r="B16527" s="3" t="inlineStr">
        <is>
          <t>Pasir beton (quarry - lokasi pekerjaan)</t>
        </is>
      </c>
      <c r="C16527" s="3" t="inlineStr">
        <is>
          <t>m3</t>
        </is>
      </c>
      <c r="D16527" s="15" t="n">
        <v>0.06</v>
      </c>
      <c r="E16527" s="4" t="n">
        <v>370200</v>
      </c>
      <c r="F16527" s="4" t="n">
        <v>22212</v>
      </c>
    </row>
    <row r="16528">
      <c r="D16528" s="2" t="inlineStr">
        <is>
          <t>SUBTOTAL UPAH</t>
        </is>
      </c>
      <c r="F16528" s="16" t="n">
        <v>36850</v>
      </c>
    </row>
    <row r="16529">
      <c r="D16529" s="2" t="inlineStr">
        <is>
          <t>SUBTOTAL BAHAN</t>
        </is>
      </c>
      <c r="F16529" s="16" t="n">
        <v>96612</v>
      </c>
    </row>
    <row r="16530">
      <c r="D16530" s="2" t="inlineStr">
        <is>
          <t>SUBTOTAL ALAT</t>
        </is>
      </c>
      <c r="F16530" s="16" t="n">
        <v>0</v>
      </c>
    </row>
    <row r="16531">
      <c r="E16531" s="2" t="inlineStr">
        <is>
          <t>TOTAL HARGA SATUAN (Inc. Overhead)</t>
        </is>
      </c>
      <c r="F16531" s="17" t="n">
        <v>146808</v>
      </c>
    </row>
    <row r="16533">
      <c r="A16533" s="14" t="inlineStr">
        <is>
          <t>KODE: 7.1.1.2 - Pemasangan 1 m2 Paving Block (Blok Beton) Natural Tebal 6 cm fc'25 Mpa dan Pengunci Uskup untuk Jalan Lakses/Penghubug (Jalan Kolektor) Secara Manual</t>
        </is>
      </c>
    </row>
    <row r="16534">
      <c r="A16534" s="10" t="inlineStr">
        <is>
          <t>No</t>
        </is>
      </c>
      <c r="B16534" s="10" t="inlineStr">
        <is>
          <t>Uraian Komponen</t>
        </is>
      </c>
      <c r="C16534" s="10" t="inlineStr">
        <is>
          <t>Satuan</t>
        </is>
      </c>
      <c r="D16534" s="10" t="inlineStr">
        <is>
          <t>Koef</t>
        </is>
      </c>
      <c r="E16534" s="10" t="inlineStr">
        <is>
          <t>Harga Satuan (Rp)</t>
        </is>
      </c>
      <c r="F16534" s="10" t="inlineStr">
        <is>
          <t>Jumlah Harga (Rp)</t>
        </is>
      </c>
    </row>
    <row r="16535">
      <c r="A16535" s="3" t="inlineStr">
        <is>
          <t>1</t>
        </is>
      </c>
      <c r="B16535" s="3" t="inlineStr">
        <is>
          <t>Pekerja</t>
        </is>
      </c>
      <c r="C16535" s="3" t="inlineStr">
        <is>
          <t>OH</t>
        </is>
      </c>
      <c r="D16535" s="15" t="n">
        <v>0.2</v>
      </c>
      <c r="E16535" s="4" t="n">
        <v>100000</v>
      </c>
      <c r="F16535" s="4" t="n">
        <v>20000</v>
      </c>
    </row>
    <row r="16536">
      <c r="A16536" s="3" t="inlineStr">
        <is>
          <t>2</t>
        </is>
      </c>
      <c r="B16536" s="3" t="inlineStr">
        <is>
          <t>Tukang batu</t>
        </is>
      </c>
      <c r="C16536" s="3" t="inlineStr">
        <is>
          <t>OH</t>
        </is>
      </c>
      <c r="D16536" s="15" t="n">
        <v>0.1</v>
      </c>
      <c r="E16536" s="4" t="n">
        <v>145000</v>
      </c>
      <c r="F16536" s="4" t="n">
        <v>14500</v>
      </c>
    </row>
    <row r="16537">
      <c r="A16537" s="3" t="inlineStr">
        <is>
          <t>3</t>
        </is>
      </c>
      <c r="B16537" s="3" t="inlineStr">
        <is>
          <t>Kepala tukang</t>
        </is>
      </c>
      <c r="C16537" s="3" t="inlineStr">
        <is>
          <t>OH</t>
        </is>
      </c>
      <c r="D16537" s="15" t="n">
        <v>0.01</v>
      </c>
      <c r="E16537" s="4" t="n">
        <v>175000</v>
      </c>
      <c r="F16537" s="4" t="n">
        <v>1750</v>
      </c>
    </row>
    <row r="16538">
      <c r="A16538" s="3" t="inlineStr">
        <is>
          <t>4</t>
        </is>
      </c>
      <c r="B16538" s="3" t="inlineStr">
        <is>
          <t>Mandor</t>
        </is>
      </c>
      <c r="C16538" s="3" t="inlineStr">
        <is>
          <t>OH</t>
        </is>
      </c>
      <c r="D16538" s="15" t="n">
        <v>0.003</v>
      </c>
      <c r="E16538" s="4" t="n">
        <v>200000</v>
      </c>
      <c r="F16538" s="4" t="n">
        <v>600</v>
      </c>
    </row>
    <row r="16539">
      <c r="A16539" s="3" t="inlineStr">
        <is>
          <t>1</t>
        </is>
      </c>
      <c r="B16539" s="3" t="inlineStr">
        <is>
          <t>Paving Block Tebal 6 cm fc 25 Mpa</t>
        </is>
      </c>
      <c r="C16539" s="3" t="inlineStr">
        <is>
          <t>m2</t>
        </is>
      </c>
      <c r="D16539" s="15" t="n">
        <v>1.05</v>
      </c>
      <c r="E16539" s="4" t="n">
        <v>82000</v>
      </c>
      <c r="F16539" s="4" t="n">
        <v>86100</v>
      </c>
    </row>
    <row r="16540">
      <c r="A16540" s="3" t="inlineStr">
        <is>
          <t>2</t>
        </is>
      </c>
      <c r="B16540" s="3" t="inlineStr">
        <is>
          <t>Pasir Filler</t>
        </is>
      </c>
      <c r="C16540" s="3" t="inlineStr">
        <is>
          <t>m3</t>
        </is>
      </c>
      <c r="D16540" s="15" t="n">
        <v>0.003</v>
      </c>
      <c r="E16540" s="4" t="n">
        <v>300000</v>
      </c>
      <c r="F16540" s="4" t="n">
        <v>900</v>
      </c>
    </row>
    <row r="16541">
      <c r="A16541" s="3" t="inlineStr">
        <is>
          <t>3</t>
        </is>
      </c>
      <c r="B16541" s="3" t="inlineStr">
        <is>
          <t>Pasir beton (quarry - lokasi pekerjaan)</t>
        </is>
      </c>
      <c r="C16541" s="3" t="inlineStr">
        <is>
          <t>m3</t>
        </is>
      </c>
      <c r="D16541" s="15" t="n">
        <v>0.06</v>
      </c>
      <c r="E16541" s="4" t="n">
        <v>370200</v>
      </c>
      <c r="F16541" s="4" t="n">
        <v>22212</v>
      </c>
    </row>
    <row r="16542">
      <c r="D16542" s="2" t="inlineStr">
        <is>
          <t>SUBTOTAL UPAH</t>
        </is>
      </c>
      <c r="F16542" s="16" t="n">
        <v>36850</v>
      </c>
    </row>
    <row r="16543">
      <c r="D16543" s="2" t="inlineStr">
        <is>
          <t>SUBTOTAL BAHAN</t>
        </is>
      </c>
      <c r="F16543" s="16" t="n">
        <v>109212</v>
      </c>
    </row>
    <row r="16544">
      <c r="D16544" s="2" t="inlineStr">
        <is>
          <t>SUBTOTAL ALAT</t>
        </is>
      </c>
      <c r="F16544" s="16" t="n">
        <v>0</v>
      </c>
    </row>
    <row r="16545">
      <c r="E16545" s="2" t="inlineStr">
        <is>
          <t>TOTAL HARGA SATUAN (Inc. Overhead)</t>
        </is>
      </c>
      <c r="F16545" s="17" t="n">
        <v>160668</v>
      </c>
    </row>
    <row r="16547">
      <c r="A16547" s="14" t="inlineStr">
        <is>
          <t>KODE: 7.1.1.3 - Pemasangan 1 m2 Paving Block (Blok Beton) Natural Tebal 6 cm fc'20 Mpa dan Pengunci Uskup untuk Jalan Lingkungan (Jalan Lokal) Secara semi mekanis</t>
        </is>
      </c>
    </row>
    <row r="16548">
      <c r="A16548" s="10" t="inlineStr">
        <is>
          <t>No</t>
        </is>
      </c>
      <c r="B16548" s="10" t="inlineStr">
        <is>
          <t>Uraian Komponen</t>
        </is>
      </c>
      <c r="C16548" s="10" t="inlineStr">
        <is>
          <t>Satuan</t>
        </is>
      </c>
      <c r="D16548" s="10" t="inlineStr">
        <is>
          <t>Koef</t>
        </is>
      </c>
      <c r="E16548" s="10" t="inlineStr">
        <is>
          <t>Harga Satuan (Rp)</t>
        </is>
      </c>
      <c r="F16548" s="10" t="inlineStr">
        <is>
          <t>Jumlah Harga (Rp)</t>
        </is>
      </c>
    </row>
    <row r="16549">
      <c r="A16549" s="3" t="inlineStr">
        <is>
          <t>1</t>
        </is>
      </c>
      <c r="B16549" s="3" t="inlineStr">
        <is>
          <t>Pekerja</t>
        </is>
      </c>
      <c r="C16549" s="3" t="inlineStr">
        <is>
          <t>OH</t>
        </is>
      </c>
      <c r="D16549" s="15" t="n">
        <v>0.1</v>
      </c>
      <c r="E16549" s="4" t="n">
        <v>100000</v>
      </c>
      <c r="F16549" s="4" t="n">
        <v>10000</v>
      </c>
    </row>
    <row r="16550">
      <c r="A16550" s="3" t="inlineStr">
        <is>
          <t>2</t>
        </is>
      </c>
      <c r="B16550" s="3" t="inlineStr">
        <is>
          <t>Tukang batu</t>
        </is>
      </c>
      <c r="C16550" s="3" t="inlineStr">
        <is>
          <t>OH</t>
        </is>
      </c>
      <c r="D16550" s="15" t="n">
        <v>0.05</v>
      </c>
      <c r="E16550" s="4" t="n">
        <v>145000</v>
      </c>
      <c r="F16550" s="4" t="n">
        <v>7250</v>
      </c>
    </row>
    <row r="16551">
      <c r="A16551" s="3" t="inlineStr">
        <is>
          <t>3</t>
        </is>
      </c>
      <c r="B16551" s="3" t="inlineStr">
        <is>
          <t>Kepala tukang</t>
        </is>
      </c>
      <c r="C16551" s="3" t="inlineStr">
        <is>
          <t>OH</t>
        </is>
      </c>
      <c r="D16551" s="15" t="n">
        <v>0.005</v>
      </c>
      <c r="E16551" s="4" t="n">
        <v>175000</v>
      </c>
      <c r="F16551" s="4" t="n">
        <v>875</v>
      </c>
    </row>
    <row r="16552">
      <c r="A16552" s="3" t="inlineStr">
        <is>
          <t>4</t>
        </is>
      </c>
      <c r="B16552" s="3" t="inlineStr">
        <is>
          <t>Mandor</t>
        </is>
      </c>
      <c r="C16552" s="3" t="inlineStr">
        <is>
          <t>OH</t>
        </is>
      </c>
      <c r="D16552" s="15" t="n">
        <v>0.002</v>
      </c>
      <c r="E16552" s="4" t="n">
        <v>200000</v>
      </c>
      <c r="F16552" s="4" t="n">
        <v>400</v>
      </c>
    </row>
    <row r="16553">
      <c r="A16553" s="3" t="inlineStr">
        <is>
          <t>1</t>
        </is>
      </c>
      <c r="B16553" s="3" t="inlineStr">
        <is>
          <t>Paving Block Tebal 6 cm fc 20 Mpa</t>
        </is>
      </c>
      <c r="C16553" s="3" t="inlineStr">
        <is>
          <t>m2</t>
        </is>
      </c>
      <c r="D16553" s="15" t="n">
        <v>1.05</v>
      </c>
      <c r="E16553" s="4" t="n">
        <v>70000</v>
      </c>
      <c r="F16553" s="4" t="n">
        <v>73500</v>
      </c>
    </row>
    <row r="16554">
      <c r="A16554" s="3" t="inlineStr">
        <is>
          <t>2</t>
        </is>
      </c>
      <c r="B16554" s="3" t="inlineStr">
        <is>
          <t>Pasir Filler</t>
        </is>
      </c>
      <c r="C16554" s="3" t="inlineStr">
        <is>
          <t>m3</t>
        </is>
      </c>
      <c r="D16554" s="15" t="n">
        <v>0.003</v>
      </c>
      <c r="E16554" s="4" t="n">
        <v>300000</v>
      </c>
      <c r="F16554" s="4" t="n">
        <v>900</v>
      </c>
    </row>
    <row r="16555">
      <c r="A16555" s="3" t="inlineStr">
        <is>
          <t>3</t>
        </is>
      </c>
      <c r="B16555" s="3" t="inlineStr">
        <is>
          <t>Pasir beton (quarry - lokasi pekerjaan)</t>
        </is>
      </c>
      <c r="C16555" s="3" t="inlineStr">
        <is>
          <t>m3</t>
        </is>
      </c>
      <c r="D16555" s="15" t="n">
        <v>0.06</v>
      </c>
      <c r="E16555" s="4" t="n">
        <v>370200</v>
      </c>
      <c r="F16555" s="4" t="n">
        <v>22212</v>
      </c>
    </row>
    <row r="16556">
      <c r="A16556" s="3" t="inlineStr">
        <is>
          <t>1</t>
        </is>
      </c>
      <c r="B16556" s="3" t="inlineStr">
        <is>
          <t>Stamper Kodok 150 kg</t>
        </is>
      </c>
      <c r="C16556" s="3" t="inlineStr">
        <is>
          <t>hari</t>
        </is>
      </c>
      <c r="D16556" s="15" t="n">
        <v>0.01175</v>
      </c>
      <c r="E16556" s="4" t="n">
        <v>350000</v>
      </c>
      <c r="F16556" s="4" t="n">
        <v>4112.5</v>
      </c>
    </row>
    <row r="16557">
      <c r="D16557" s="2" t="inlineStr">
        <is>
          <t>SUBTOTAL UPAH</t>
        </is>
      </c>
      <c r="F16557" s="16" t="n">
        <v>18525</v>
      </c>
    </row>
    <row r="16558">
      <c r="D16558" s="2" t="inlineStr">
        <is>
          <t>SUBTOTAL BAHAN</t>
        </is>
      </c>
      <c r="F16558" s="16" t="n">
        <v>96612</v>
      </c>
    </row>
    <row r="16559">
      <c r="D16559" s="2" t="inlineStr">
        <is>
          <t>SUBTOTAL ALAT</t>
        </is>
      </c>
      <c r="F16559" s="16" t="n">
        <v>4112.5</v>
      </c>
    </row>
    <row r="16560">
      <c r="E16560" s="2" t="inlineStr">
        <is>
          <t>TOTAL HARGA SATUAN (Inc. Overhead)</t>
        </is>
      </c>
      <c r="F16560" s="17" t="n">
        <v>131174</v>
      </c>
    </row>
    <row r="16562">
      <c r="A16562" s="14" t="inlineStr">
        <is>
          <t>KODE: 7.1.1.4 - Pemasangan 1 m2 Paving Block (Blok Beton) Natural Tebal 6 cm fc'25 Mpa dan Pengunci Uskup untuk Jalan Lingkungan (Jalan Lokal) Secara semi mekanis</t>
        </is>
      </c>
    </row>
    <row r="16563">
      <c r="A16563" s="10" t="inlineStr">
        <is>
          <t>No</t>
        </is>
      </c>
      <c r="B16563" s="10" t="inlineStr">
        <is>
          <t>Uraian Komponen</t>
        </is>
      </c>
      <c r="C16563" s="10" t="inlineStr">
        <is>
          <t>Satuan</t>
        </is>
      </c>
      <c r="D16563" s="10" t="inlineStr">
        <is>
          <t>Koef</t>
        </is>
      </c>
      <c r="E16563" s="10" t="inlineStr">
        <is>
          <t>Harga Satuan (Rp)</t>
        </is>
      </c>
      <c r="F16563" s="10" t="inlineStr">
        <is>
          <t>Jumlah Harga (Rp)</t>
        </is>
      </c>
    </row>
    <row r="16564">
      <c r="A16564" s="3" t="inlineStr">
        <is>
          <t>1</t>
        </is>
      </c>
      <c r="B16564" s="3" t="inlineStr">
        <is>
          <t>Pekerja</t>
        </is>
      </c>
      <c r="C16564" s="3" t="inlineStr">
        <is>
          <t>OH</t>
        </is>
      </c>
      <c r="D16564" s="15" t="n">
        <v>0.1</v>
      </c>
      <c r="E16564" s="4" t="n">
        <v>100000</v>
      </c>
      <c r="F16564" s="4" t="n">
        <v>10000</v>
      </c>
    </row>
    <row r="16565">
      <c r="A16565" s="3" t="inlineStr">
        <is>
          <t>2</t>
        </is>
      </c>
      <c r="B16565" s="3" t="inlineStr">
        <is>
          <t>Tukang batu</t>
        </is>
      </c>
      <c r="C16565" s="3" t="inlineStr">
        <is>
          <t>OH</t>
        </is>
      </c>
      <c r="D16565" s="15" t="n">
        <v>0.05</v>
      </c>
      <c r="E16565" s="4" t="n">
        <v>145000</v>
      </c>
      <c r="F16565" s="4" t="n">
        <v>7250</v>
      </c>
    </row>
    <row r="16566">
      <c r="A16566" s="3" t="inlineStr">
        <is>
          <t>3</t>
        </is>
      </c>
      <c r="B16566" s="3" t="inlineStr">
        <is>
          <t>Kepala tukang</t>
        </is>
      </c>
      <c r="C16566" s="3" t="inlineStr">
        <is>
          <t>OH</t>
        </is>
      </c>
      <c r="D16566" s="15" t="n">
        <v>0.005</v>
      </c>
      <c r="E16566" s="4" t="n">
        <v>175000</v>
      </c>
      <c r="F16566" s="4" t="n">
        <v>875</v>
      </c>
    </row>
    <row r="16567">
      <c r="A16567" s="3" t="inlineStr">
        <is>
          <t>4</t>
        </is>
      </c>
      <c r="B16567" s="3" t="inlineStr">
        <is>
          <t>Mandor</t>
        </is>
      </c>
      <c r="C16567" s="3" t="inlineStr">
        <is>
          <t>OH</t>
        </is>
      </c>
      <c r="D16567" s="15" t="n">
        <v>0.002</v>
      </c>
      <c r="E16567" s="4" t="n">
        <v>200000</v>
      </c>
      <c r="F16567" s="4" t="n">
        <v>400</v>
      </c>
    </row>
    <row r="16568">
      <c r="A16568" s="3" t="inlineStr">
        <is>
          <t>1</t>
        </is>
      </c>
      <c r="B16568" s="3" t="inlineStr">
        <is>
          <t>Paving Block Tebal 6 cm fc 25 Mpa</t>
        </is>
      </c>
      <c r="C16568" s="3" t="inlineStr">
        <is>
          <t>m2</t>
        </is>
      </c>
      <c r="D16568" s="15" t="n">
        <v>1.05</v>
      </c>
      <c r="E16568" s="4" t="n">
        <v>82000</v>
      </c>
      <c r="F16568" s="4" t="n">
        <v>86100</v>
      </c>
    </row>
    <row r="16569">
      <c r="A16569" s="3" t="inlineStr">
        <is>
          <t>2</t>
        </is>
      </c>
      <c r="B16569" s="3" t="inlineStr">
        <is>
          <t>Pasir Filler</t>
        </is>
      </c>
      <c r="C16569" s="3" t="inlineStr">
        <is>
          <t>m3</t>
        </is>
      </c>
      <c r="D16569" s="15" t="n">
        <v>0.003</v>
      </c>
      <c r="E16569" s="4" t="n">
        <v>300000</v>
      </c>
      <c r="F16569" s="4" t="n">
        <v>900</v>
      </c>
    </row>
    <row r="16570">
      <c r="A16570" s="3" t="inlineStr">
        <is>
          <t>3</t>
        </is>
      </c>
      <c r="B16570" s="3" t="inlineStr">
        <is>
          <t>Pasir beton (quarry - lokasi pekerjaan)</t>
        </is>
      </c>
      <c r="C16570" s="3" t="inlineStr">
        <is>
          <t>m3</t>
        </is>
      </c>
      <c r="D16570" s="15" t="n">
        <v>0.06</v>
      </c>
      <c r="E16570" s="4" t="n">
        <v>370200</v>
      </c>
      <c r="F16570" s="4" t="n">
        <v>22212</v>
      </c>
    </row>
    <row r="16571">
      <c r="A16571" s="3" t="inlineStr">
        <is>
          <t>1</t>
        </is>
      </c>
      <c r="B16571" s="3" t="inlineStr">
        <is>
          <t>Stamper Kodok 150 kg</t>
        </is>
      </c>
      <c r="C16571" s="3" t="inlineStr">
        <is>
          <t>hari</t>
        </is>
      </c>
      <c r="D16571" s="15" t="n">
        <v>0.01175</v>
      </c>
      <c r="E16571" s="4" t="n">
        <v>350000</v>
      </c>
      <c r="F16571" s="4" t="n">
        <v>4112.5</v>
      </c>
    </row>
    <row r="16572">
      <c r="D16572" s="2" t="inlineStr">
        <is>
          <t>SUBTOTAL UPAH</t>
        </is>
      </c>
      <c r="F16572" s="16" t="n">
        <v>18525</v>
      </c>
    </row>
    <row r="16573">
      <c r="D16573" s="2" t="inlineStr">
        <is>
          <t>SUBTOTAL BAHAN</t>
        </is>
      </c>
      <c r="F16573" s="16" t="n">
        <v>109212</v>
      </c>
    </row>
    <row r="16574">
      <c r="D16574" s="2" t="inlineStr">
        <is>
          <t>SUBTOTAL ALAT</t>
        </is>
      </c>
      <c r="F16574" s="16" t="n">
        <v>4112.5</v>
      </c>
    </row>
    <row r="16575">
      <c r="E16575" s="2" t="inlineStr">
        <is>
          <t>TOTAL HARGA SATUAN (Inc. Overhead)</t>
        </is>
      </c>
      <c r="F16575" s="17" t="n">
        <v>145034</v>
      </c>
    </row>
    <row r="16577">
      <c r="A16577" s="14" t="inlineStr">
        <is>
          <t>KODE: 7.1.1.5 - Pemasangan 1 m2 Paving Block (Blok Beton) Natural Tebal 8 cm fc'20 Mpa dan Pengunci Topi Uskup untuk Jalan Lingkungan (Jalan Lokal) Secara manual</t>
        </is>
      </c>
    </row>
    <row r="16578">
      <c r="A16578" s="10" t="inlineStr">
        <is>
          <t>No</t>
        </is>
      </c>
      <c r="B16578" s="10" t="inlineStr">
        <is>
          <t>Uraian Komponen</t>
        </is>
      </c>
      <c r="C16578" s="10" t="inlineStr">
        <is>
          <t>Satuan</t>
        </is>
      </c>
      <c r="D16578" s="10" t="inlineStr">
        <is>
          <t>Koef</t>
        </is>
      </c>
      <c r="E16578" s="10" t="inlineStr">
        <is>
          <t>Harga Satuan (Rp)</t>
        </is>
      </c>
      <c r="F16578" s="10" t="inlineStr">
        <is>
          <t>Jumlah Harga (Rp)</t>
        </is>
      </c>
    </row>
    <row r="16579">
      <c r="A16579" s="3" t="inlineStr">
        <is>
          <t>1</t>
        </is>
      </c>
      <c r="B16579" s="3" t="inlineStr">
        <is>
          <t>Pekerja</t>
        </is>
      </c>
      <c r="C16579" s="3" t="inlineStr">
        <is>
          <t>OH</t>
        </is>
      </c>
      <c r="D16579" s="15" t="n">
        <v>0.2</v>
      </c>
      <c r="E16579" s="4" t="n">
        <v>100000</v>
      </c>
      <c r="F16579" s="4" t="n">
        <v>20000</v>
      </c>
    </row>
    <row r="16580">
      <c r="A16580" s="3" t="inlineStr">
        <is>
          <t>2</t>
        </is>
      </c>
      <c r="B16580" s="3" t="inlineStr">
        <is>
          <t>Tukang batu</t>
        </is>
      </c>
      <c r="C16580" s="3" t="inlineStr">
        <is>
          <t>OH</t>
        </is>
      </c>
      <c r="D16580" s="15" t="n">
        <v>0.1</v>
      </c>
      <c r="E16580" s="4" t="n">
        <v>145000</v>
      </c>
      <c r="F16580" s="4" t="n">
        <v>14500</v>
      </c>
    </row>
    <row r="16581">
      <c r="A16581" s="3" t="inlineStr">
        <is>
          <t>3</t>
        </is>
      </c>
      <c r="B16581" s="3" t="inlineStr">
        <is>
          <t>Kepala tukang</t>
        </is>
      </c>
      <c r="C16581" s="3" t="inlineStr">
        <is>
          <t>OH</t>
        </is>
      </c>
      <c r="D16581" s="15" t="n">
        <v>0.01</v>
      </c>
      <c r="E16581" s="4" t="n">
        <v>175000</v>
      </c>
      <c r="F16581" s="4" t="n">
        <v>1750</v>
      </c>
    </row>
    <row r="16582">
      <c r="A16582" s="3" t="inlineStr">
        <is>
          <t>4</t>
        </is>
      </c>
      <c r="B16582" s="3" t="inlineStr">
        <is>
          <t>Mandor</t>
        </is>
      </c>
      <c r="C16582" s="3" t="inlineStr">
        <is>
          <t>OH</t>
        </is>
      </c>
      <c r="D16582" s="15" t="n">
        <v>0.003</v>
      </c>
      <c r="E16582" s="4" t="n">
        <v>200000</v>
      </c>
      <c r="F16582" s="4" t="n">
        <v>600</v>
      </c>
    </row>
    <row r="16583">
      <c r="A16583" s="3" t="inlineStr">
        <is>
          <t>1</t>
        </is>
      </c>
      <c r="B16583" s="3" t="inlineStr">
        <is>
          <t>Paving Block Tebal 8 cm fc 20 Mpa</t>
        </is>
      </c>
      <c r="C16583" s="3" t="inlineStr">
        <is>
          <t>m2</t>
        </is>
      </c>
      <c r="D16583" s="15" t="n">
        <v>1.05</v>
      </c>
      <c r="E16583" s="4" t="n">
        <v>85000</v>
      </c>
      <c r="F16583" s="4" t="n">
        <v>89250</v>
      </c>
    </row>
    <row r="16584">
      <c r="A16584" s="3" t="inlineStr">
        <is>
          <t>2</t>
        </is>
      </c>
      <c r="B16584" s="3" t="inlineStr">
        <is>
          <t>Pasir Filler</t>
        </is>
      </c>
      <c r="C16584" s="3" t="inlineStr">
        <is>
          <t>m3</t>
        </is>
      </c>
      <c r="D16584" s="15" t="n">
        <v>0.004</v>
      </c>
      <c r="E16584" s="4" t="n">
        <v>300000</v>
      </c>
      <c r="F16584" s="4" t="n">
        <v>1200</v>
      </c>
    </row>
    <row r="16585">
      <c r="A16585" s="3" t="inlineStr">
        <is>
          <t>3</t>
        </is>
      </c>
      <c r="B16585" s="3" t="inlineStr">
        <is>
          <t>Pasir beton (quarry - lokasi pekerjaan)</t>
        </is>
      </c>
      <c r="C16585" s="3" t="inlineStr">
        <is>
          <t>m3</t>
        </is>
      </c>
      <c r="D16585" s="15" t="n">
        <v>0.096</v>
      </c>
      <c r="E16585" s="4" t="n">
        <v>370200</v>
      </c>
      <c r="F16585" s="4" t="n">
        <v>35539.2</v>
      </c>
    </row>
    <row r="16586">
      <c r="D16586" s="2" t="inlineStr">
        <is>
          <t>SUBTOTAL UPAH</t>
        </is>
      </c>
      <c r="F16586" s="16" t="n">
        <v>36850</v>
      </c>
    </row>
    <row r="16587">
      <c r="D16587" s="2" t="inlineStr">
        <is>
          <t>SUBTOTAL BAHAN</t>
        </is>
      </c>
      <c r="F16587" s="16" t="n">
        <v>125989.2</v>
      </c>
    </row>
    <row r="16588">
      <c r="D16588" s="2" t="inlineStr">
        <is>
          <t>SUBTOTAL ALAT</t>
        </is>
      </c>
      <c r="F16588" s="16" t="n">
        <v>0</v>
      </c>
    </row>
    <row r="16589">
      <c r="E16589" s="2" t="inlineStr">
        <is>
          <t>TOTAL HARGA SATUAN (Inc. Overhead)</t>
        </is>
      </c>
      <c r="F16589" s="17" t="n">
        <v>179123</v>
      </c>
    </row>
    <row r="16591">
      <c r="A16591" s="14" t="inlineStr">
        <is>
          <t>KODE: 7.1.1.6 - Pemasangan 1 m2 Paving Block (Blok Beton) Natural Tebal 8 cm fc'25 Mpa dan Pengunci Topi Uskup untuk Jalan akses/penghubung (Jalan kolektor) Secara manual</t>
        </is>
      </c>
    </row>
    <row r="16592">
      <c r="A16592" s="10" t="inlineStr">
        <is>
          <t>No</t>
        </is>
      </c>
      <c r="B16592" s="10" t="inlineStr">
        <is>
          <t>Uraian Komponen</t>
        </is>
      </c>
      <c r="C16592" s="10" t="inlineStr">
        <is>
          <t>Satuan</t>
        </is>
      </c>
      <c r="D16592" s="10" t="inlineStr">
        <is>
          <t>Koef</t>
        </is>
      </c>
      <c r="E16592" s="10" t="inlineStr">
        <is>
          <t>Harga Satuan (Rp)</t>
        </is>
      </c>
      <c r="F16592" s="10" t="inlineStr">
        <is>
          <t>Jumlah Harga (Rp)</t>
        </is>
      </c>
    </row>
    <row r="16593">
      <c r="A16593" s="3" t="inlineStr">
        <is>
          <t>1</t>
        </is>
      </c>
      <c r="B16593" s="3" t="inlineStr">
        <is>
          <t>Pekerja</t>
        </is>
      </c>
      <c r="C16593" s="3" t="inlineStr">
        <is>
          <t>OH</t>
        </is>
      </c>
      <c r="D16593" s="15" t="n">
        <v>0.2</v>
      </c>
      <c r="E16593" s="4" t="n">
        <v>100000</v>
      </c>
      <c r="F16593" s="4" t="n">
        <v>20000</v>
      </c>
    </row>
    <row r="16594">
      <c r="A16594" s="3" t="inlineStr">
        <is>
          <t>2</t>
        </is>
      </c>
      <c r="B16594" s="3" t="inlineStr">
        <is>
          <t>Tukang batu</t>
        </is>
      </c>
      <c r="C16594" s="3" t="inlineStr">
        <is>
          <t>OH</t>
        </is>
      </c>
      <c r="D16594" s="15" t="n">
        <v>0.1</v>
      </c>
      <c r="E16594" s="4" t="n">
        <v>145000</v>
      </c>
      <c r="F16594" s="4" t="n">
        <v>14500</v>
      </c>
    </row>
    <row r="16595">
      <c r="A16595" s="3" t="inlineStr">
        <is>
          <t>3</t>
        </is>
      </c>
      <c r="B16595" s="3" t="inlineStr">
        <is>
          <t>Kepala tukang</t>
        </is>
      </c>
      <c r="C16595" s="3" t="inlineStr">
        <is>
          <t>OH</t>
        </is>
      </c>
      <c r="D16595" s="15" t="n">
        <v>0.01</v>
      </c>
      <c r="E16595" s="4" t="n">
        <v>175000</v>
      </c>
      <c r="F16595" s="4" t="n">
        <v>1750</v>
      </c>
    </row>
    <row r="16596">
      <c r="A16596" s="3" t="inlineStr">
        <is>
          <t>4</t>
        </is>
      </c>
      <c r="B16596" s="3" t="inlineStr">
        <is>
          <t>Mandor</t>
        </is>
      </c>
      <c r="C16596" s="3" t="inlineStr">
        <is>
          <t>OH</t>
        </is>
      </c>
      <c r="D16596" s="15" t="n">
        <v>0.003</v>
      </c>
      <c r="E16596" s="4" t="n">
        <v>200000</v>
      </c>
      <c r="F16596" s="4" t="n">
        <v>600</v>
      </c>
    </row>
    <row r="16597">
      <c r="A16597" s="3" t="inlineStr">
        <is>
          <t>1</t>
        </is>
      </c>
      <c r="B16597" s="3" t="inlineStr">
        <is>
          <t>Paving Block Tebal 8 cm fc 25 Mpa</t>
        </is>
      </c>
      <c r="C16597" s="3" t="inlineStr">
        <is>
          <t>m2</t>
        </is>
      </c>
      <c r="D16597" s="15" t="n">
        <v>1.05</v>
      </c>
      <c r="E16597" s="4" t="n">
        <v>97000</v>
      </c>
      <c r="F16597" s="4" t="n">
        <v>101850</v>
      </c>
    </row>
    <row r="16598">
      <c r="A16598" s="3" t="inlineStr">
        <is>
          <t>2</t>
        </is>
      </c>
      <c r="B16598" s="3" t="inlineStr">
        <is>
          <t>Pasir Filler</t>
        </is>
      </c>
      <c r="C16598" s="3" t="inlineStr">
        <is>
          <t>m3</t>
        </is>
      </c>
      <c r="D16598" s="15" t="n">
        <v>0.004</v>
      </c>
      <c r="E16598" s="4" t="n">
        <v>300000</v>
      </c>
      <c r="F16598" s="4" t="n">
        <v>1200</v>
      </c>
    </row>
    <row r="16599">
      <c r="A16599" s="3" t="inlineStr">
        <is>
          <t>3</t>
        </is>
      </c>
      <c r="B16599" s="3" t="inlineStr">
        <is>
          <t>Pasir beton (quarry - lokasi pekerjaan)</t>
        </is>
      </c>
      <c r="C16599" s="3" t="inlineStr">
        <is>
          <t>m3</t>
        </is>
      </c>
      <c r="D16599" s="15" t="n">
        <v>0.096</v>
      </c>
      <c r="E16599" s="4" t="n">
        <v>370200</v>
      </c>
      <c r="F16599" s="4" t="n">
        <v>35539.2</v>
      </c>
    </row>
    <row r="16600">
      <c r="D16600" s="2" t="inlineStr">
        <is>
          <t>SUBTOTAL UPAH</t>
        </is>
      </c>
      <c r="F16600" s="16" t="n">
        <v>36850</v>
      </c>
    </row>
    <row r="16601">
      <c r="D16601" s="2" t="inlineStr">
        <is>
          <t>SUBTOTAL BAHAN</t>
        </is>
      </c>
      <c r="F16601" s="16" t="n">
        <v>138589.2</v>
      </c>
    </row>
    <row r="16602">
      <c r="D16602" s="2" t="inlineStr">
        <is>
          <t>SUBTOTAL ALAT</t>
        </is>
      </c>
      <c r="F16602" s="16" t="n">
        <v>0</v>
      </c>
    </row>
    <row r="16603">
      <c r="E16603" s="2" t="inlineStr">
        <is>
          <t>TOTAL HARGA SATUAN (Inc. Overhead)</t>
        </is>
      </c>
      <c r="F16603" s="17" t="n">
        <v>192983</v>
      </c>
    </row>
    <row r="16605">
      <c r="A16605" s="14" t="inlineStr">
        <is>
          <t>KODE: 7.1.1.7 - Pemasangan 1 m2 Paving Block (Blok Beton) Natural Tebal 8 cm fc'20 Mpa dan Pengunci Topi Uskup untuk Jalan Lingkungan (Jalan Lokal) Secara semi mekanis</t>
        </is>
      </c>
    </row>
    <row r="16606">
      <c r="A16606" s="10" t="inlineStr">
        <is>
          <t>No</t>
        </is>
      </c>
      <c r="B16606" s="10" t="inlineStr">
        <is>
          <t>Uraian Komponen</t>
        </is>
      </c>
      <c r="C16606" s="10" t="inlineStr">
        <is>
          <t>Satuan</t>
        </is>
      </c>
      <c r="D16606" s="10" t="inlineStr">
        <is>
          <t>Koef</t>
        </is>
      </c>
      <c r="E16606" s="10" t="inlineStr">
        <is>
          <t>Harga Satuan (Rp)</t>
        </is>
      </c>
      <c r="F16606" s="10" t="inlineStr">
        <is>
          <t>Jumlah Harga (Rp)</t>
        </is>
      </c>
    </row>
    <row r="16607">
      <c r="A16607" s="3" t="inlineStr">
        <is>
          <t>1</t>
        </is>
      </c>
      <c r="B16607" s="3" t="inlineStr">
        <is>
          <t>Pekerja</t>
        </is>
      </c>
      <c r="C16607" s="3" t="inlineStr">
        <is>
          <t>OH</t>
        </is>
      </c>
      <c r="D16607" s="15" t="n">
        <v>0.1</v>
      </c>
      <c r="E16607" s="4" t="n">
        <v>100000</v>
      </c>
      <c r="F16607" s="4" t="n">
        <v>10000</v>
      </c>
    </row>
    <row r="16608">
      <c r="A16608" s="3" t="inlineStr">
        <is>
          <t>2</t>
        </is>
      </c>
      <c r="B16608" s="3" t="inlineStr">
        <is>
          <t>Tukang batu</t>
        </is>
      </c>
      <c r="C16608" s="3" t="inlineStr">
        <is>
          <t>OH</t>
        </is>
      </c>
      <c r="D16608" s="15" t="n">
        <v>0.05</v>
      </c>
      <c r="E16608" s="4" t="n">
        <v>145000</v>
      </c>
      <c r="F16608" s="4" t="n">
        <v>7250</v>
      </c>
    </row>
    <row r="16609">
      <c r="A16609" s="3" t="inlineStr">
        <is>
          <t>3</t>
        </is>
      </c>
      <c r="B16609" s="3" t="inlineStr">
        <is>
          <t>Kepala tukang</t>
        </is>
      </c>
      <c r="C16609" s="3" t="inlineStr">
        <is>
          <t>OH</t>
        </is>
      </c>
      <c r="D16609" s="15" t="n">
        <v>0.005</v>
      </c>
      <c r="E16609" s="4" t="n">
        <v>175000</v>
      </c>
      <c r="F16609" s="4" t="n">
        <v>875</v>
      </c>
    </row>
    <row r="16610">
      <c r="A16610" s="3" t="inlineStr">
        <is>
          <t>4</t>
        </is>
      </c>
      <c r="B16610" s="3" t="inlineStr">
        <is>
          <t>Mandor</t>
        </is>
      </c>
      <c r="C16610" s="3" t="inlineStr">
        <is>
          <t>OH</t>
        </is>
      </c>
      <c r="D16610" s="15" t="n">
        <v>0.002</v>
      </c>
      <c r="E16610" s="4" t="n">
        <v>200000</v>
      </c>
      <c r="F16610" s="4" t="n">
        <v>400</v>
      </c>
    </row>
    <row r="16611">
      <c r="A16611" s="3" t="inlineStr">
        <is>
          <t>1</t>
        </is>
      </c>
      <c r="B16611" s="3" t="inlineStr">
        <is>
          <t>Paving Block Tebal 8 cm fc 20 Mpa</t>
        </is>
      </c>
      <c r="C16611" s="3" t="inlineStr">
        <is>
          <t>m2</t>
        </is>
      </c>
      <c r="D16611" s="15" t="n">
        <v>1.05</v>
      </c>
      <c r="E16611" s="4" t="n">
        <v>85000</v>
      </c>
      <c r="F16611" s="4" t="n">
        <v>89250</v>
      </c>
    </row>
    <row r="16612">
      <c r="A16612" s="3" t="inlineStr">
        <is>
          <t>2</t>
        </is>
      </c>
      <c r="B16612" s="3" t="inlineStr">
        <is>
          <t>Pasir Filler</t>
        </is>
      </c>
      <c r="C16612" s="3" t="inlineStr">
        <is>
          <t>m3</t>
        </is>
      </c>
      <c r="D16612" s="15" t="n">
        <v>0.04</v>
      </c>
      <c r="E16612" s="4" t="n">
        <v>300000</v>
      </c>
      <c r="F16612" s="4" t="n">
        <v>12000</v>
      </c>
    </row>
    <row r="16613">
      <c r="A16613" s="3" t="inlineStr">
        <is>
          <t>3</t>
        </is>
      </c>
      <c r="B16613" s="3" t="inlineStr">
        <is>
          <t>Pasir beton (quarry - lokasi pekerjaan)</t>
        </is>
      </c>
      <c r="C16613" s="3" t="inlineStr">
        <is>
          <t>m3</t>
        </is>
      </c>
      <c r="D16613" s="15" t="n">
        <v>0.096</v>
      </c>
      <c r="E16613" s="4" t="n">
        <v>370200</v>
      </c>
      <c r="F16613" s="4" t="n">
        <v>35539.2</v>
      </c>
    </row>
    <row r="16614">
      <c r="A16614" s="3" t="inlineStr">
        <is>
          <t>1</t>
        </is>
      </c>
      <c r="B16614" s="3" t="inlineStr">
        <is>
          <t>Stamper Kodok 150 kg</t>
        </is>
      </c>
      <c r="C16614" s="3" t="inlineStr">
        <is>
          <t>hari</t>
        </is>
      </c>
      <c r="D16614" s="15" t="n">
        <v>0.01286</v>
      </c>
      <c r="E16614" s="4" t="n">
        <v>350000</v>
      </c>
      <c r="F16614" s="4" t="n">
        <v>4501</v>
      </c>
    </row>
    <row r="16615">
      <c r="D16615" s="2" t="inlineStr">
        <is>
          <t>SUBTOTAL UPAH</t>
        </is>
      </c>
      <c r="F16615" s="16" t="n">
        <v>18525</v>
      </c>
    </row>
    <row r="16616">
      <c r="D16616" s="2" t="inlineStr">
        <is>
          <t>SUBTOTAL BAHAN</t>
        </is>
      </c>
      <c r="F16616" s="16" t="n">
        <v>136789.2</v>
      </c>
    </row>
    <row r="16617">
      <c r="D16617" s="2" t="inlineStr">
        <is>
          <t>SUBTOTAL ALAT</t>
        </is>
      </c>
      <c r="F16617" s="16" t="n">
        <v>4501</v>
      </c>
    </row>
    <row r="16618">
      <c r="E16618" s="2" t="inlineStr">
        <is>
          <t>TOTAL HARGA SATUAN (Inc. Overhead)</t>
        </is>
      </c>
      <c r="F16618" s="17" t="n">
        <v>175796</v>
      </c>
    </row>
    <row r="16620">
      <c r="A16620" s="14" t="inlineStr">
        <is>
          <t>KODE: 7.1.1.8 - Pemasangan 1 m2 Paving Block (Blok Beton) Natural Tebal 8 cm fc'25 Mpa dan Pengunci Topi Uskup untuk Jalan Akses/Penghubung  (Jalan Kolektor) Secara semi mekanis</t>
        </is>
      </c>
    </row>
    <row r="16621">
      <c r="A16621" s="10" t="inlineStr">
        <is>
          <t>No</t>
        </is>
      </c>
      <c r="B16621" s="10" t="inlineStr">
        <is>
          <t>Uraian Komponen</t>
        </is>
      </c>
      <c r="C16621" s="10" t="inlineStr">
        <is>
          <t>Satuan</t>
        </is>
      </c>
      <c r="D16621" s="10" t="inlineStr">
        <is>
          <t>Koef</t>
        </is>
      </c>
      <c r="E16621" s="10" t="inlineStr">
        <is>
          <t>Harga Satuan (Rp)</t>
        </is>
      </c>
      <c r="F16621" s="10" t="inlineStr">
        <is>
          <t>Jumlah Harga (Rp)</t>
        </is>
      </c>
    </row>
    <row r="16622">
      <c r="A16622" s="3" t="inlineStr">
        <is>
          <t>1</t>
        </is>
      </c>
      <c r="B16622" s="3" t="inlineStr">
        <is>
          <t>Pekerja</t>
        </is>
      </c>
      <c r="C16622" s="3" t="inlineStr">
        <is>
          <t>OH</t>
        </is>
      </c>
      <c r="D16622" s="15" t="n">
        <v>0.1</v>
      </c>
      <c r="E16622" s="4" t="n">
        <v>100000</v>
      </c>
      <c r="F16622" s="4" t="n">
        <v>10000</v>
      </c>
    </row>
    <row r="16623">
      <c r="A16623" s="3" t="inlineStr">
        <is>
          <t>2</t>
        </is>
      </c>
      <c r="B16623" s="3" t="inlineStr">
        <is>
          <t>Tukang batu</t>
        </is>
      </c>
      <c r="C16623" s="3" t="inlineStr">
        <is>
          <t>OH</t>
        </is>
      </c>
      <c r="D16623" s="15" t="n">
        <v>0.05</v>
      </c>
      <c r="E16623" s="4" t="n">
        <v>145000</v>
      </c>
      <c r="F16623" s="4" t="n">
        <v>7250</v>
      </c>
    </row>
    <row r="16624">
      <c r="A16624" s="3" t="inlineStr">
        <is>
          <t>3</t>
        </is>
      </c>
      <c r="B16624" s="3" t="inlineStr">
        <is>
          <t>Kepala tukang</t>
        </is>
      </c>
      <c r="C16624" s="3" t="inlineStr">
        <is>
          <t>OH</t>
        </is>
      </c>
      <c r="D16624" s="15" t="n">
        <v>0.005</v>
      </c>
      <c r="E16624" s="4" t="n">
        <v>175000</v>
      </c>
      <c r="F16624" s="4" t="n">
        <v>875</v>
      </c>
    </row>
    <row r="16625">
      <c r="A16625" s="3" t="inlineStr">
        <is>
          <t>4</t>
        </is>
      </c>
      <c r="B16625" s="3" t="inlineStr">
        <is>
          <t>Mandor</t>
        </is>
      </c>
      <c r="C16625" s="3" t="inlineStr">
        <is>
          <t>OH</t>
        </is>
      </c>
      <c r="D16625" s="15" t="n">
        <v>0.002</v>
      </c>
      <c r="E16625" s="4" t="n">
        <v>200000</v>
      </c>
      <c r="F16625" s="4" t="n">
        <v>400</v>
      </c>
    </row>
    <row r="16626">
      <c r="A16626" s="3" t="inlineStr">
        <is>
          <t>1</t>
        </is>
      </c>
      <c r="B16626" s="3" t="inlineStr">
        <is>
          <t>Paving Block Tebal 8 cm fc 25 Mpa</t>
        </is>
      </c>
      <c r="C16626" s="3" t="inlineStr">
        <is>
          <t>m2</t>
        </is>
      </c>
      <c r="D16626" s="15" t="n">
        <v>1.05</v>
      </c>
      <c r="E16626" s="4" t="n">
        <v>97000</v>
      </c>
      <c r="F16626" s="4" t="n">
        <v>101850</v>
      </c>
    </row>
    <row r="16627">
      <c r="A16627" s="3" t="inlineStr">
        <is>
          <t>2</t>
        </is>
      </c>
      <c r="B16627" s="3" t="inlineStr">
        <is>
          <t>Pasir Filler</t>
        </is>
      </c>
      <c r="C16627" s="3" t="inlineStr">
        <is>
          <t>m3</t>
        </is>
      </c>
      <c r="D16627" s="15" t="n">
        <v>0.004</v>
      </c>
      <c r="E16627" s="4" t="n">
        <v>300000</v>
      </c>
      <c r="F16627" s="4" t="n">
        <v>1200</v>
      </c>
    </row>
    <row r="16628">
      <c r="A16628" s="3" t="inlineStr">
        <is>
          <t>3</t>
        </is>
      </c>
      <c r="B16628" s="3" t="inlineStr">
        <is>
          <t>Pasir beton (quarry - lokasi pekerjaan)</t>
        </is>
      </c>
      <c r="C16628" s="3" t="inlineStr">
        <is>
          <t>m3</t>
        </is>
      </c>
      <c r="D16628" s="15" t="n">
        <v>0.096</v>
      </c>
      <c r="E16628" s="4" t="n">
        <v>370200</v>
      </c>
      <c r="F16628" s="4" t="n">
        <v>35539.2</v>
      </c>
    </row>
    <row r="16629">
      <c r="A16629" s="3" t="inlineStr">
        <is>
          <t>1</t>
        </is>
      </c>
      <c r="B16629" s="3" t="inlineStr">
        <is>
          <t>Stamper Kodok 150 kg</t>
        </is>
      </c>
      <c r="C16629" s="3" t="inlineStr">
        <is>
          <t>hari</t>
        </is>
      </c>
      <c r="D16629" s="15" t="n">
        <v>0.01286</v>
      </c>
      <c r="E16629" s="4" t="n">
        <v>350000</v>
      </c>
      <c r="F16629" s="4" t="n">
        <v>4501</v>
      </c>
    </row>
    <row r="16630">
      <c r="D16630" s="2" t="inlineStr">
        <is>
          <t>SUBTOTAL UPAH</t>
        </is>
      </c>
      <c r="F16630" s="16" t="n">
        <v>18525</v>
      </c>
    </row>
    <row r="16631">
      <c r="D16631" s="2" t="inlineStr">
        <is>
          <t>SUBTOTAL BAHAN</t>
        </is>
      </c>
      <c r="F16631" s="16" t="n">
        <v>138589.2</v>
      </c>
    </row>
    <row r="16632">
      <c r="D16632" s="2" t="inlineStr">
        <is>
          <t>SUBTOTAL ALAT</t>
        </is>
      </c>
      <c r="F16632" s="16" t="n">
        <v>4501</v>
      </c>
    </row>
    <row r="16633">
      <c r="E16633" s="2" t="inlineStr">
        <is>
          <t>TOTAL HARGA SATUAN (Inc. Overhead)</t>
        </is>
      </c>
      <c r="F16633" s="17" t="n">
        <v>177776</v>
      </c>
    </row>
    <row r="16635">
      <c r="A16635" s="14" t="inlineStr">
        <is>
          <t>KODE: 7.1.2.1 - Pemasangan 1 m' Kanstin, Tebal 10x20x40 cm dengan kupingan untuk jalan Lingkungan (Jalan Lokal)</t>
        </is>
      </c>
    </row>
    <row r="16636">
      <c r="A16636" s="10" t="inlineStr">
        <is>
          <t>No</t>
        </is>
      </c>
      <c r="B16636" s="10" t="inlineStr">
        <is>
          <t>Uraian Komponen</t>
        </is>
      </c>
      <c r="C16636" s="10" t="inlineStr">
        <is>
          <t>Satuan</t>
        </is>
      </c>
      <c r="D16636" s="10" t="inlineStr">
        <is>
          <t>Koef</t>
        </is>
      </c>
      <c r="E16636" s="10" t="inlineStr">
        <is>
          <t>Harga Satuan (Rp)</t>
        </is>
      </c>
      <c r="F16636" s="10" t="inlineStr">
        <is>
          <t>Jumlah Harga (Rp)</t>
        </is>
      </c>
    </row>
    <row r="16637">
      <c r="A16637" s="3" t="inlineStr">
        <is>
          <t>1</t>
        </is>
      </c>
      <c r="B16637" s="3" t="inlineStr">
        <is>
          <t>Pekerja</t>
        </is>
      </c>
      <c r="C16637" s="3" t="inlineStr">
        <is>
          <t>OH</t>
        </is>
      </c>
      <c r="D16637" s="15" t="n">
        <v>0.0333</v>
      </c>
      <c r="E16637" s="4" t="n">
        <v>100000</v>
      </c>
      <c r="F16637" s="4" t="n">
        <v>3330</v>
      </c>
    </row>
    <row r="16638">
      <c r="A16638" s="3" t="inlineStr">
        <is>
          <t>2</t>
        </is>
      </c>
      <c r="B16638" s="3" t="inlineStr">
        <is>
          <t>Tukang batu</t>
        </is>
      </c>
      <c r="C16638" s="3" t="inlineStr">
        <is>
          <t>OH</t>
        </is>
      </c>
      <c r="D16638" s="15" t="n">
        <v>0.0167</v>
      </c>
      <c r="E16638" s="4" t="n">
        <v>145000</v>
      </c>
      <c r="F16638" s="4" t="n">
        <v>2421.5</v>
      </c>
    </row>
    <row r="16639">
      <c r="A16639" s="3" t="inlineStr">
        <is>
          <t>4</t>
        </is>
      </c>
      <c r="B16639" s="3" t="inlineStr">
        <is>
          <t>Mandor</t>
        </is>
      </c>
      <c r="C16639" s="3" t="inlineStr">
        <is>
          <t>OH</t>
        </is>
      </c>
      <c r="D16639" s="15" t="n">
        <v>0.0017</v>
      </c>
      <c r="E16639" s="4" t="n">
        <v>200000</v>
      </c>
      <c r="F16639" s="4" t="n">
        <v>340</v>
      </c>
    </row>
    <row r="16640">
      <c r="A16640" s="3" t="inlineStr">
        <is>
          <t>1</t>
        </is>
      </c>
      <c r="B16640" s="3" t="inlineStr">
        <is>
          <t>Kanstin uk. 10x20x40</t>
        </is>
      </c>
      <c r="C16640" s="3" t="inlineStr">
        <is>
          <t>buah</t>
        </is>
      </c>
      <c r="D16640" s="15" t="n">
        <v>2.5</v>
      </c>
      <c r="E16640" s="4" t="n">
        <v>27383</v>
      </c>
      <c r="F16640" s="4" t="n">
        <v>68457.5</v>
      </c>
    </row>
    <row r="16641">
      <c r="A16641" s="3" t="inlineStr">
        <is>
          <t>2</t>
        </is>
      </c>
      <c r="B16641" s="3" t="inlineStr">
        <is>
          <t>Semen Portland (PC)</t>
        </is>
      </c>
      <c r="C16641" s="3" t="inlineStr">
        <is>
          <t>Kg</t>
        </is>
      </c>
      <c r="D16641" s="15" t="n">
        <v>1.2854</v>
      </c>
      <c r="E16641" s="4" t="n">
        <v>1300</v>
      </c>
      <c r="F16641" s="4" t="n">
        <v>1671.02</v>
      </c>
    </row>
    <row r="16642">
      <c r="A16642" s="3" t="inlineStr">
        <is>
          <t>3</t>
        </is>
      </c>
      <c r="B16642" s="3" t="inlineStr">
        <is>
          <t>Pasir Beton</t>
        </is>
      </c>
      <c r="C16642" s="3" t="inlineStr">
        <is>
          <t>kg</t>
        </is>
      </c>
      <c r="D16642" s="15" t="n">
        <v>7.2244</v>
      </c>
      <c r="E16642" s="4" t="n">
        <v>300</v>
      </c>
      <c r="F16642" s="4" t="n">
        <v>2167.32</v>
      </c>
    </row>
    <row r="16643">
      <c r="D16643" s="2" t="inlineStr">
        <is>
          <t>SUBTOTAL UPAH</t>
        </is>
      </c>
      <c r="F16643" s="16" t="n">
        <v>6091.5</v>
      </c>
    </row>
    <row r="16644">
      <c r="D16644" s="2" t="inlineStr">
        <is>
          <t>SUBTOTAL BAHAN</t>
        </is>
      </c>
      <c r="F16644" s="16" t="n">
        <v>72295.84000000001</v>
      </c>
    </row>
    <row r="16645">
      <c r="D16645" s="2" t="inlineStr">
        <is>
          <t>SUBTOTAL ALAT</t>
        </is>
      </c>
      <c r="F16645" s="16" t="n">
        <v>0</v>
      </c>
    </row>
    <row r="16646">
      <c r="E16646" s="2" t="inlineStr">
        <is>
          <t>TOTAL HARGA SATUAN (Inc. Overhead)</t>
        </is>
      </c>
      <c r="F16646" s="17" t="n">
        <v>86226</v>
      </c>
    </row>
    <row r="16648">
      <c r="A16648" s="14" t="inlineStr">
        <is>
          <t>KODE: 7.1.2.2 - Pemasangan 1 m' Kanstin, Tebal 15x40x460 cm dengan kupingan untuk jalan Akses/penghubung (Jalan Kolektor)</t>
        </is>
      </c>
    </row>
    <row r="16649">
      <c r="A16649" s="10" t="inlineStr">
        <is>
          <t>No</t>
        </is>
      </c>
      <c r="B16649" s="10" t="inlineStr">
        <is>
          <t>Uraian Komponen</t>
        </is>
      </c>
      <c r="C16649" s="10" t="inlineStr">
        <is>
          <t>Satuan</t>
        </is>
      </c>
      <c r="D16649" s="10" t="inlineStr">
        <is>
          <t>Koef</t>
        </is>
      </c>
      <c r="E16649" s="10" t="inlineStr">
        <is>
          <t>Harga Satuan (Rp)</t>
        </is>
      </c>
      <c r="F16649" s="10" t="inlineStr">
        <is>
          <t>Jumlah Harga (Rp)</t>
        </is>
      </c>
    </row>
    <row r="16650">
      <c r="A16650" s="3" t="inlineStr">
        <is>
          <t>1</t>
        </is>
      </c>
      <c r="B16650" s="3" t="inlineStr">
        <is>
          <t>Pekerja</t>
        </is>
      </c>
      <c r="C16650" s="3" t="inlineStr">
        <is>
          <t>OH</t>
        </is>
      </c>
      <c r="D16650" s="15" t="n">
        <v>0.0333</v>
      </c>
      <c r="E16650" s="4" t="n">
        <v>100000</v>
      </c>
      <c r="F16650" s="4" t="n">
        <v>3330</v>
      </c>
    </row>
    <row r="16651">
      <c r="A16651" s="3" t="inlineStr">
        <is>
          <t>2</t>
        </is>
      </c>
      <c r="B16651" s="3" t="inlineStr">
        <is>
          <t>Tukang batu</t>
        </is>
      </c>
      <c r="C16651" s="3" t="inlineStr">
        <is>
          <t>OH</t>
        </is>
      </c>
      <c r="D16651" s="15" t="n">
        <v>0.0167</v>
      </c>
      <c r="E16651" s="4" t="n">
        <v>145000</v>
      </c>
      <c r="F16651" s="4" t="n">
        <v>2421.5</v>
      </c>
    </row>
    <row r="16652">
      <c r="A16652" s="3" t="inlineStr">
        <is>
          <t>4</t>
        </is>
      </c>
      <c r="B16652" s="3" t="inlineStr">
        <is>
          <t>Mandor</t>
        </is>
      </c>
      <c r="C16652" s="3" t="inlineStr">
        <is>
          <t>OH</t>
        </is>
      </c>
      <c r="D16652" s="15" t="n">
        <v>0.0017</v>
      </c>
      <c r="E16652" s="4" t="n">
        <v>200000</v>
      </c>
      <c r="F16652" s="4" t="n">
        <v>340</v>
      </c>
    </row>
    <row r="16653">
      <c r="A16653" s="3" t="inlineStr">
        <is>
          <t>1</t>
        </is>
      </c>
      <c r="B16653" s="3" t="inlineStr">
        <is>
          <t>Kanstin uk. 15x40x60</t>
        </is>
      </c>
      <c r="C16653" s="3" t="inlineStr">
        <is>
          <t>buah</t>
        </is>
      </c>
      <c r="D16653" s="15" t="n">
        <v>1.6667</v>
      </c>
      <c r="E16653" s="4" t="n">
        <v>93000</v>
      </c>
      <c r="F16653" s="4" t="n">
        <v>155003.1</v>
      </c>
    </row>
    <row r="16654">
      <c r="A16654" s="3" t="inlineStr">
        <is>
          <t>2</t>
        </is>
      </c>
      <c r="B16654" s="3" t="inlineStr">
        <is>
          <t>Semen Portland (PC)</t>
        </is>
      </c>
      <c r="C16654" s="3" t="inlineStr">
        <is>
          <t>Kg</t>
        </is>
      </c>
      <c r="D16654" s="15" t="n">
        <v>1.9282</v>
      </c>
      <c r="E16654" s="4" t="n">
        <v>1300</v>
      </c>
      <c r="F16654" s="4" t="n">
        <v>2506.66</v>
      </c>
    </row>
    <row r="16655">
      <c r="A16655" s="3" t="inlineStr">
        <is>
          <t>3</t>
        </is>
      </c>
      <c r="B16655" s="3" t="inlineStr">
        <is>
          <t>Pasir Beton</t>
        </is>
      </c>
      <c r="C16655" s="3" t="inlineStr">
        <is>
          <t>kg</t>
        </is>
      </c>
      <c r="D16655" s="15" t="n">
        <v>10.8366</v>
      </c>
      <c r="E16655" s="4" t="n">
        <v>300</v>
      </c>
      <c r="F16655" s="4" t="n">
        <v>3250.98</v>
      </c>
    </row>
    <row r="16656">
      <c r="D16656" s="2" t="inlineStr">
        <is>
          <t>SUBTOTAL UPAH</t>
        </is>
      </c>
      <c r="F16656" s="16" t="n">
        <v>6091.5</v>
      </c>
    </row>
    <row r="16657">
      <c r="D16657" s="2" t="inlineStr">
        <is>
          <t>SUBTOTAL BAHAN</t>
        </is>
      </c>
      <c r="F16657" s="16" t="n">
        <v>160760.74</v>
      </c>
    </row>
    <row r="16658">
      <c r="D16658" s="2" t="inlineStr">
        <is>
          <t>SUBTOTAL ALAT</t>
        </is>
      </c>
      <c r="F16658" s="16" t="n">
        <v>0</v>
      </c>
    </row>
    <row r="16659">
      <c r="E16659" s="2" t="inlineStr">
        <is>
          <t>TOTAL HARGA SATUAN (Inc. Overhead)</t>
        </is>
      </c>
      <c r="F16659" s="17" t="n">
        <v>183537</v>
      </c>
    </row>
    <row r="16661">
      <c r="A16661" s="14" t="inlineStr">
        <is>
          <t>KODE: 7.1.2.3 - Pemasangan 1 m' Kanstin, Tebal 10x20x40 cm tanpa kupingan untuk jalan Lingkungan (Jalan Lokal)</t>
        </is>
      </c>
    </row>
    <row r="16662">
      <c r="A16662" s="10" t="inlineStr">
        <is>
          <t>No</t>
        </is>
      </c>
      <c r="B16662" s="10" t="inlineStr">
        <is>
          <t>Uraian Komponen</t>
        </is>
      </c>
      <c r="C16662" s="10" t="inlineStr">
        <is>
          <t>Satuan</t>
        </is>
      </c>
      <c r="D16662" s="10" t="inlineStr">
        <is>
          <t>Koef</t>
        </is>
      </c>
      <c r="E16662" s="10" t="inlineStr">
        <is>
          <t>Harga Satuan (Rp)</t>
        </is>
      </c>
      <c r="F16662" s="10" t="inlineStr">
        <is>
          <t>Jumlah Harga (Rp)</t>
        </is>
      </c>
    </row>
    <row r="16663">
      <c r="A16663" s="3" t="inlineStr">
        <is>
          <t>1</t>
        </is>
      </c>
      <c r="B16663" s="3" t="inlineStr">
        <is>
          <t>Pekerja</t>
        </is>
      </c>
      <c r="C16663" s="3" t="inlineStr">
        <is>
          <t>OH</t>
        </is>
      </c>
      <c r="D16663" s="15" t="n">
        <v>0.0333</v>
      </c>
      <c r="E16663" s="4" t="n">
        <v>100000</v>
      </c>
      <c r="F16663" s="4" t="n">
        <v>3330</v>
      </c>
    </row>
    <row r="16664">
      <c r="A16664" s="3" t="inlineStr">
        <is>
          <t>2</t>
        </is>
      </c>
      <c r="B16664" s="3" t="inlineStr">
        <is>
          <t>Tukang batu</t>
        </is>
      </c>
      <c r="C16664" s="3" t="inlineStr">
        <is>
          <t>OH</t>
        </is>
      </c>
      <c r="D16664" s="15" t="n">
        <v>0.0167</v>
      </c>
      <c r="E16664" s="4" t="n">
        <v>145000</v>
      </c>
      <c r="F16664" s="4" t="n">
        <v>2421.5</v>
      </c>
    </row>
    <row r="16665">
      <c r="A16665" s="3" t="inlineStr">
        <is>
          <t>4</t>
        </is>
      </c>
      <c r="B16665" s="3" t="inlineStr">
        <is>
          <t>Mandor</t>
        </is>
      </c>
      <c r="C16665" s="3" t="inlineStr">
        <is>
          <t>OH</t>
        </is>
      </c>
      <c r="D16665" s="15" t="n">
        <v>0.0017</v>
      </c>
      <c r="E16665" s="4" t="n">
        <v>200000</v>
      </c>
      <c r="F16665" s="4" t="n">
        <v>340</v>
      </c>
    </row>
    <row r="16666">
      <c r="A16666" s="3" t="inlineStr">
        <is>
          <t>1</t>
        </is>
      </c>
      <c r="B16666" s="3" t="inlineStr">
        <is>
          <t>Kanstin uk. 10x20x40</t>
        </is>
      </c>
      <c r="C16666" s="3" t="inlineStr">
        <is>
          <t>buah</t>
        </is>
      </c>
      <c r="D16666" s="15" t="n">
        <v>2.4</v>
      </c>
      <c r="E16666" s="4" t="n">
        <v>27383</v>
      </c>
      <c r="F16666" s="4" t="n">
        <v>65719.2</v>
      </c>
    </row>
    <row r="16667">
      <c r="A16667" s="3" t="inlineStr">
        <is>
          <t>2</t>
        </is>
      </c>
      <c r="B16667" s="3" t="inlineStr">
        <is>
          <t>Semen Portland (PC)</t>
        </is>
      </c>
      <c r="C16667" s="3" t="inlineStr">
        <is>
          <t>Kg</t>
        </is>
      </c>
      <c r="D16667" s="15" t="n">
        <v>1.6282</v>
      </c>
      <c r="E16667" s="4" t="n">
        <v>1300</v>
      </c>
      <c r="F16667" s="4" t="n">
        <v>2116.66</v>
      </c>
    </row>
    <row r="16668">
      <c r="A16668" s="3" t="inlineStr">
        <is>
          <t>3</t>
        </is>
      </c>
      <c r="B16668" s="3" t="inlineStr">
        <is>
          <t>Pasir Beton</t>
        </is>
      </c>
      <c r="C16668" s="3" t="inlineStr">
        <is>
          <t>kg</t>
        </is>
      </c>
      <c r="D16668" s="15" t="n">
        <v>9.1509</v>
      </c>
      <c r="E16668" s="4" t="n">
        <v>300</v>
      </c>
      <c r="F16668" s="4" t="n">
        <v>2745.27</v>
      </c>
    </row>
    <row r="16669">
      <c r="D16669" s="2" t="inlineStr">
        <is>
          <t>SUBTOTAL UPAH</t>
        </is>
      </c>
      <c r="F16669" s="16" t="n">
        <v>6091.5</v>
      </c>
    </row>
    <row r="16670">
      <c r="D16670" s="2" t="inlineStr">
        <is>
          <t>SUBTOTAL BAHAN</t>
        </is>
      </c>
      <c r="F16670" s="16" t="n">
        <v>70581.13</v>
      </c>
    </row>
    <row r="16671">
      <c r="D16671" s="2" t="inlineStr">
        <is>
          <t>SUBTOTAL ALAT</t>
        </is>
      </c>
      <c r="F16671" s="16" t="n">
        <v>0</v>
      </c>
    </row>
    <row r="16672">
      <c r="E16672" s="2" t="inlineStr">
        <is>
          <t>TOTAL HARGA SATUAN (Inc. Overhead)</t>
        </is>
      </c>
      <c r="F16672" s="17" t="n">
        <v>84339</v>
      </c>
    </row>
    <row r="16674">
      <c r="A16674" s="14" t="inlineStr">
        <is>
          <t>KODE: 7.1.2.4 - Pemasangan 1 m' Kanstin, Tebal 15x40x460 cm Tanpa kupingan untuk jalan Akses/penghubung (Jalan Kolektor)</t>
        </is>
      </c>
    </row>
    <row r="16675">
      <c r="A16675" s="10" t="inlineStr">
        <is>
          <t>No</t>
        </is>
      </c>
      <c r="B16675" s="10" t="inlineStr">
        <is>
          <t>Uraian Komponen</t>
        </is>
      </c>
      <c r="C16675" s="10" t="inlineStr">
        <is>
          <t>Satuan</t>
        </is>
      </c>
      <c r="D16675" s="10" t="inlineStr">
        <is>
          <t>Koef</t>
        </is>
      </c>
      <c r="E16675" s="10" t="inlineStr">
        <is>
          <t>Harga Satuan (Rp)</t>
        </is>
      </c>
      <c r="F16675" s="10" t="inlineStr">
        <is>
          <t>Jumlah Harga (Rp)</t>
        </is>
      </c>
    </row>
    <row r="16676">
      <c r="A16676" s="3" t="inlineStr">
        <is>
          <t>1</t>
        </is>
      </c>
      <c r="B16676" s="3" t="inlineStr">
        <is>
          <t>Pekerja</t>
        </is>
      </c>
      <c r="C16676" s="3" t="inlineStr">
        <is>
          <t>OH</t>
        </is>
      </c>
      <c r="D16676" s="15" t="n">
        <v>0.0333</v>
      </c>
      <c r="E16676" s="4" t="n">
        <v>100000</v>
      </c>
      <c r="F16676" s="4" t="n">
        <v>3330</v>
      </c>
    </row>
    <row r="16677">
      <c r="A16677" s="3" t="inlineStr">
        <is>
          <t>2</t>
        </is>
      </c>
      <c r="B16677" s="3" t="inlineStr">
        <is>
          <t>Tukang batu</t>
        </is>
      </c>
      <c r="C16677" s="3" t="inlineStr">
        <is>
          <t>OH</t>
        </is>
      </c>
      <c r="D16677" s="15" t="n">
        <v>0.0167</v>
      </c>
      <c r="E16677" s="4" t="n">
        <v>145000</v>
      </c>
      <c r="F16677" s="4" t="n">
        <v>2421.5</v>
      </c>
    </row>
    <row r="16678">
      <c r="A16678" s="3" t="inlineStr">
        <is>
          <t>4</t>
        </is>
      </c>
      <c r="B16678" s="3" t="inlineStr">
        <is>
          <t>Mandor</t>
        </is>
      </c>
      <c r="C16678" s="3" t="inlineStr">
        <is>
          <t>OH</t>
        </is>
      </c>
      <c r="D16678" s="15" t="n">
        <v>0.0017</v>
      </c>
      <c r="E16678" s="4" t="n">
        <v>200000</v>
      </c>
      <c r="F16678" s="4" t="n">
        <v>340</v>
      </c>
    </row>
    <row r="16679">
      <c r="A16679" s="3" t="inlineStr">
        <is>
          <t>1</t>
        </is>
      </c>
      <c r="B16679" s="3" t="inlineStr">
        <is>
          <t>Kanstin uk. 15x40x60</t>
        </is>
      </c>
      <c r="C16679" s="3" t="inlineStr">
        <is>
          <t>buah</t>
        </is>
      </c>
      <c r="D16679" s="15" t="n">
        <v>1.6333</v>
      </c>
      <c r="E16679" s="4" t="n">
        <v>93000</v>
      </c>
      <c r="F16679" s="4" t="n">
        <v>151896.9</v>
      </c>
    </row>
    <row r="16680">
      <c r="A16680" s="3" t="inlineStr">
        <is>
          <t>2</t>
        </is>
      </c>
      <c r="B16680" s="3" t="inlineStr">
        <is>
          <t>Semen Portland (PC)</t>
        </is>
      </c>
      <c r="C16680" s="3" t="inlineStr">
        <is>
          <t>Kg</t>
        </is>
      </c>
      <c r="D16680" s="15" t="n">
        <v>2.4423</v>
      </c>
      <c r="E16680" s="4" t="n">
        <v>1300</v>
      </c>
      <c r="F16680" s="4" t="n">
        <v>3174.99</v>
      </c>
    </row>
    <row r="16681">
      <c r="A16681" s="3" t="inlineStr">
        <is>
          <t>3</t>
        </is>
      </c>
      <c r="B16681" s="3" t="inlineStr">
        <is>
          <t>Pasir Beton</t>
        </is>
      </c>
      <c r="C16681" s="3" t="inlineStr">
        <is>
          <t>kg</t>
        </is>
      </c>
      <c r="D16681" s="15" t="n">
        <v>13.7264</v>
      </c>
      <c r="E16681" s="4" t="n">
        <v>300</v>
      </c>
      <c r="F16681" s="4" t="n">
        <v>4117.92</v>
      </c>
    </row>
    <row r="16682">
      <c r="D16682" s="2" t="inlineStr">
        <is>
          <t>SUBTOTAL UPAH</t>
        </is>
      </c>
      <c r="F16682" s="16" t="n">
        <v>6091.5</v>
      </c>
    </row>
    <row r="16683">
      <c r="D16683" s="2" t="inlineStr">
        <is>
          <t>SUBTOTAL BAHAN</t>
        </is>
      </c>
      <c r="F16683" s="16" t="n">
        <v>159189.81</v>
      </c>
    </row>
    <row r="16684">
      <c r="D16684" s="2" t="inlineStr">
        <is>
          <t>SUBTOTAL ALAT</t>
        </is>
      </c>
      <c r="F16684" s="16" t="n">
        <v>0</v>
      </c>
    </row>
    <row r="16685">
      <c r="E16685" s="2" t="inlineStr">
        <is>
          <t>TOTAL HARGA SATUAN (Inc. Overhead)</t>
        </is>
      </c>
      <c r="F16685" s="17" t="n">
        <v>181809</v>
      </c>
    </row>
    <row r="16687">
      <c r="A16687" s="14" t="inlineStr">
        <is>
          <t>KODE: 7.2.1.1 - 1 m3 Beton Kurus f'c 10 MPa secara Semi Mekanis</t>
        </is>
      </c>
    </row>
    <row r="16688">
      <c r="A16688" s="10" t="inlineStr">
        <is>
          <t>No</t>
        </is>
      </c>
      <c r="B16688" s="10" t="inlineStr">
        <is>
          <t>Uraian Komponen</t>
        </is>
      </c>
      <c r="C16688" s="10" t="inlineStr">
        <is>
          <t>Satuan</t>
        </is>
      </c>
      <c r="D16688" s="10" t="inlineStr">
        <is>
          <t>Koef</t>
        </is>
      </c>
      <c r="E16688" s="10" t="inlineStr">
        <is>
          <t>Harga Satuan (Rp)</t>
        </is>
      </c>
      <c r="F16688" s="10" t="inlineStr">
        <is>
          <t>Jumlah Harga (Rp)</t>
        </is>
      </c>
    </row>
    <row r="16689">
      <c r="A16689" s="3" t="inlineStr">
        <is>
          <t>1</t>
        </is>
      </c>
      <c r="B16689" s="3" t="inlineStr">
        <is>
          <t>Pekerja</t>
        </is>
      </c>
      <c r="C16689" s="3" t="inlineStr">
        <is>
          <t>OH</t>
        </is>
      </c>
      <c r="D16689" s="15" t="n">
        <v>1.1</v>
      </c>
      <c r="E16689" s="4" t="n">
        <v>100000</v>
      </c>
      <c r="F16689" s="4" t="n">
        <v>110000</v>
      </c>
    </row>
    <row r="16690">
      <c r="A16690" s="3" t="inlineStr">
        <is>
          <t>2</t>
        </is>
      </c>
      <c r="B16690" s="3" t="inlineStr">
        <is>
          <t>Tukang batu</t>
        </is>
      </c>
      <c r="C16690" s="3" t="inlineStr">
        <is>
          <t>OH</t>
        </is>
      </c>
      <c r="D16690" s="15" t="n">
        <v>0.275</v>
      </c>
      <c r="E16690" s="4" t="n">
        <v>145000</v>
      </c>
      <c r="F16690" s="4" t="n">
        <v>39875</v>
      </c>
    </row>
    <row r="16691">
      <c r="A16691" s="3" t="inlineStr">
        <is>
          <t>Kepala Tukang</t>
        </is>
      </c>
      <c r="B16691" s="3" t="inlineStr"/>
      <c r="C16691" s="3" t="inlineStr">
        <is>
          <t>OH</t>
        </is>
      </c>
      <c r="D16691" s="15" t="n">
        <v>0.0275</v>
      </c>
      <c r="E16691" s="4" t="n">
        <v>175000</v>
      </c>
      <c r="F16691" s="4" t="n">
        <v>4812.5</v>
      </c>
    </row>
    <row r="16692">
      <c r="A16692" s="3" t="inlineStr">
        <is>
          <t>4</t>
        </is>
      </c>
      <c r="B16692" s="3" t="inlineStr">
        <is>
          <t>Mandor</t>
        </is>
      </c>
      <c r="C16692" s="3" t="inlineStr">
        <is>
          <t>OH</t>
        </is>
      </c>
      <c r="D16692" s="15" t="n">
        <v>0.11</v>
      </c>
      <c r="E16692" s="4" t="n">
        <v>200000</v>
      </c>
      <c r="F16692" s="4" t="n">
        <v>22000</v>
      </c>
    </row>
    <row r="16693">
      <c r="A16693" s="3" t="inlineStr">
        <is>
          <t>1</t>
        </is>
      </c>
      <c r="B16693" s="3" t="inlineStr">
        <is>
          <t>Semen Portland (PC)</t>
        </is>
      </c>
      <c r="C16693" s="3" t="inlineStr">
        <is>
          <t>kg</t>
        </is>
      </c>
      <c r="D16693" s="15" t="n">
        <v>279</v>
      </c>
      <c r="E16693" s="4" t="n">
        <v>1300</v>
      </c>
      <c r="F16693" s="4" t="n">
        <v>362700</v>
      </c>
    </row>
    <row r="16694">
      <c r="A16694" s="3" t="inlineStr">
        <is>
          <t>2</t>
        </is>
      </c>
      <c r="B16694" s="3" t="inlineStr">
        <is>
          <t>Pasir Beton</t>
        </is>
      </c>
      <c r="C16694" s="3" t="inlineStr">
        <is>
          <t>Kg</t>
        </is>
      </c>
      <c r="D16694" s="15" t="n">
        <v>873</v>
      </c>
      <c r="E16694" s="4" t="n">
        <v>300</v>
      </c>
      <c r="F16694" s="4" t="n">
        <v>261900</v>
      </c>
    </row>
    <row r="16695">
      <c r="A16695" s="3" t="inlineStr">
        <is>
          <t>3</t>
        </is>
      </c>
      <c r="B16695" s="3" t="inlineStr">
        <is>
          <t>Agregar Kasar</t>
        </is>
      </c>
      <c r="C16695" s="3" t="inlineStr">
        <is>
          <t>kg</t>
        </is>
      </c>
      <c r="D16695" s="15" t="n">
        <v>909</v>
      </c>
      <c r="E16695" s="4" t="n">
        <v>226.4705882352941</v>
      </c>
      <c r="F16695" s="4" t="n">
        <v>205861.7647058823</v>
      </c>
    </row>
    <row r="16696">
      <c r="A16696" s="3" t="inlineStr">
        <is>
          <t>4</t>
        </is>
      </c>
      <c r="B16696" s="3" t="inlineStr">
        <is>
          <t>Air</t>
        </is>
      </c>
      <c r="C16696" s="3" t="inlineStr">
        <is>
          <t>liter</t>
        </is>
      </c>
      <c r="D16696" s="15" t="n">
        <v>195</v>
      </c>
      <c r="E16696" s="4" t="n">
        <v>200</v>
      </c>
      <c r="F16696" s="4" t="n">
        <v>39000</v>
      </c>
    </row>
    <row r="16697">
      <c r="A16697" s="3" t="inlineStr">
        <is>
          <t>5</t>
        </is>
      </c>
      <c r="B16697" s="3" t="inlineStr">
        <is>
          <t>Kaso 5/7 kayu kelas II</t>
        </is>
      </c>
      <c r="C16697" s="3" t="inlineStr">
        <is>
          <t>m3</t>
        </is>
      </c>
      <c r="D16697" s="15" t="n">
        <v>0.0177</v>
      </c>
      <c r="E16697" s="4" t="n">
        <v>10214200</v>
      </c>
      <c r="F16697" s="4" t="n">
        <v>180791.34</v>
      </c>
    </row>
    <row r="16698">
      <c r="A16698" s="3" t="inlineStr">
        <is>
          <t>6</t>
        </is>
      </c>
      <c r="B16698" s="3" t="inlineStr">
        <is>
          <t>Multiplek tebal 12 mm</t>
        </is>
      </c>
      <c r="C16698" s="3" t="inlineStr">
        <is>
          <t>lembar</t>
        </is>
      </c>
      <c r="D16698" s="15" t="n">
        <v>0.2546</v>
      </c>
      <c r="E16698" s="4" t="n">
        <v>152600</v>
      </c>
      <c r="F16698" s="4" t="n">
        <v>38851.96</v>
      </c>
    </row>
    <row r="16699">
      <c r="A16699" s="3" t="inlineStr">
        <is>
          <t>7</t>
        </is>
      </c>
      <c r="B16699" s="3" t="inlineStr">
        <is>
          <t>Paku 7 - 10 cm</t>
        </is>
      </c>
      <c r="C16699" s="3" t="inlineStr">
        <is>
          <t>kg</t>
        </is>
      </c>
      <c r="D16699" s="15" t="n">
        <v>0.1355</v>
      </c>
      <c r="E16699" s="4" t="n">
        <v>20000</v>
      </c>
      <c r="F16699" s="4" t="n">
        <v>2710</v>
      </c>
    </row>
    <row r="16700">
      <c r="A16700" s="3" t="inlineStr">
        <is>
          <t>1</t>
        </is>
      </c>
      <c r="B16700" s="3" t="inlineStr">
        <is>
          <t>Molen beton mixer 350 liter</t>
        </is>
      </c>
      <c r="C16700" s="3" t="inlineStr">
        <is>
          <t>hari</t>
        </is>
      </c>
      <c r="D16700" s="15" t="n">
        <v>0.1475</v>
      </c>
      <c r="E16700" s="4" t="n">
        <v>300000</v>
      </c>
      <c r="F16700" s="4" t="n">
        <v>44250</v>
      </c>
    </row>
    <row r="16701">
      <c r="A16701" s="3" t="inlineStr">
        <is>
          <t>2</t>
        </is>
      </c>
      <c r="B16701" s="3" t="inlineStr">
        <is>
          <t>Tandon Air kap. 2 m3</t>
        </is>
      </c>
      <c r="C16701" s="3" t="inlineStr">
        <is>
          <t>hari</t>
        </is>
      </c>
      <c r="D16701" s="15" t="n">
        <v>0.7554</v>
      </c>
      <c r="E16701" s="4" t="n">
        <v>25000</v>
      </c>
      <c r="F16701" s="4" t="n">
        <v>18885</v>
      </c>
    </row>
    <row r="16702">
      <c r="D16702" s="2" t="inlineStr">
        <is>
          <t>SUBTOTAL UPAH</t>
        </is>
      </c>
      <c r="F16702" s="16" t="n">
        <v>176687.5</v>
      </c>
    </row>
    <row r="16703">
      <c r="D16703" s="2" t="inlineStr">
        <is>
          <t>SUBTOTAL BAHAN</t>
        </is>
      </c>
      <c r="F16703" s="16" t="n">
        <v>1091815.064705882</v>
      </c>
    </row>
    <row r="16704">
      <c r="D16704" s="2" t="inlineStr">
        <is>
          <t>SUBTOTAL ALAT</t>
        </is>
      </c>
      <c r="F16704" s="16" t="n">
        <v>63135</v>
      </c>
    </row>
    <row r="16705">
      <c r="E16705" s="2" t="inlineStr">
        <is>
          <t>TOTAL HARGA SATUAN (Inc. Overhead)</t>
        </is>
      </c>
      <c r="F16705" s="17" t="n">
        <v>1464801</v>
      </c>
    </row>
    <row r="16707">
      <c r="A16707" s="14" t="inlineStr">
        <is>
          <t>KODE: 7.2.1.2 - 1 m3 Beton Kurus f'c 10 MPa menggunakan Ready Mixed</t>
        </is>
      </c>
    </row>
    <row r="16708">
      <c r="A16708" s="10" t="inlineStr">
        <is>
          <t>No</t>
        </is>
      </c>
      <c r="B16708" s="10" t="inlineStr">
        <is>
          <t>Uraian Komponen</t>
        </is>
      </c>
      <c r="C16708" s="10" t="inlineStr">
        <is>
          <t>Satuan</t>
        </is>
      </c>
      <c r="D16708" s="10" t="inlineStr">
        <is>
          <t>Koef</t>
        </is>
      </c>
      <c r="E16708" s="10" t="inlineStr">
        <is>
          <t>Harga Satuan (Rp)</t>
        </is>
      </c>
      <c r="F16708" s="10" t="inlineStr">
        <is>
          <t>Jumlah Harga (Rp)</t>
        </is>
      </c>
    </row>
    <row r="16709">
      <c r="A16709" s="3" t="inlineStr">
        <is>
          <t>1</t>
        </is>
      </c>
      <c r="B16709" s="3" t="inlineStr">
        <is>
          <t>Pekerja</t>
        </is>
      </c>
      <c r="C16709" s="3" t="inlineStr">
        <is>
          <t>OH</t>
        </is>
      </c>
      <c r="D16709" s="15" t="n">
        <v>0.44</v>
      </c>
      <c r="E16709" s="4" t="n">
        <v>100000</v>
      </c>
      <c r="F16709" s="4" t="n">
        <v>44000</v>
      </c>
    </row>
    <row r="16710">
      <c r="A16710" s="3" t="inlineStr">
        <is>
          <t>2</t>
        </is>
      </c>
      <c r="B16710" s="3" t="inlineStr">
        <is>
          <t>Tukang batu</t>
        </is>
      </c>
      <c r="C16710" s="3" t="inlineStr">
        <is>
          <t>OH</t>
        </is>
      </c>
      <c r="D16710" s="15" t="n">
        <v>0.11</v>
      </c>
      <c r="E16710" s="4" t="n">
        <v>145000</v>
      </c>
      <c r="F16710" s="4" t="n">
        <v>15950</v>
      </c>
    </row>
    <row r="16711">
      <c r="A16711" s="3" t="inlineStr">
        <is>
          <t>Kepala Tukang</t>
        </is>
      </c>
      <c r="B16711" s="3" t="inlineStr"/>
      <c r="C16711" s="3" t="inlineStr">
        <is>
          <t>OH</t>
        </is>
      </c>
      <c r="D16711" s="15" t="n">
        <v>0.011</v>
      </c>
      <c r="E16711" s="4" t="n">
        <v>175000</v>
      </c>
      <c r="F16711" s="4" t="n">
        <v>1925</v>
      </c>
    </row>
    <row r="16712">
      <c r="A16712" s="3" t="inlineStr">
        <is>
          <t>4</t>
        </is>
      </c>
      <c r="B16712" s="3" t="inlineStr">
        <is>
          <t>Mandor</t>
        </is>
      </c>
      <c r="C16712" s="3" t="inlineStr">
        <is>
          <t>OH</t>
        </is>
      </c>
      <c r="D16712" s="15" t="n">
        <v>0.044</v>
      </c>
      <c r="E16712" s="4" t="n">
        <v>200000</v>
      </c>
      <c r="F16712" s="4" t="n">
        <v>8800</v>
      </c>
    </row>
    <row r="16713">
      <c r="A16713" s="3" t="inlineStr">
        <is>
          <t>1</t>
        </is>
      </c>
      <c r="B16713" s="3" t="inlineStr">
        <is>
          <t>Beton Ready Mixed f'c 10 Mpa</t>
        </is>
      </c>
      <c r="C16713" s="3" t="inlineStr">
        <is>
          <t>m3</t>
        </is>
      </c>
      <c r="D16713" s="15" t="n">
        <v>1.02</v>
      </c>
      <c r="E16713" s="4" t="n">
        <v>805000</v>
      </c>
      <c r="F16713" s="4" t="n">
        <v>821100</v>
      </c>
    </row>
    <row r="16714">
      <c r="A16714" s="3" t="inlineStr">
        <is>
          <t>2</t>
        </is>
      </c>
      <c r="B16714" s="3" t="inlineStr">
        <is>
          <t>Kaso 5/7 kayu kelas II</t>
        </is>
      </c>
      <c r="C16714" s="3" t="inlineStr">
        <is>
          <t>m3</t>
        </is>
      </c>
      <c r="D16714" s="15" t="n">
        <v>0.0177</v>
      </c>
      <c r="E16714" s="4" t="n">
        <v>10214200</v>
      </c>
      <c r="F16714" s="4" t="n">
        <v>180791.34</v>
      </c>
    </row>
    <row r="16715">
      <c r="A16715" s="3" t="inlineStr">
        <is>
          <t>3</t>
        </is>
      </c>
      <c r="B16715" s="3" t="inlineStr">
        <is>
          <t>Multiplek tebal 12 mm</t>
        </is>
      </c>
      <c r="C16715" s="3" t="inlineStr">
        <is>
          <t>lembar</t>
        </is>
      </c>
      <c r="D16715" s="15" t="n">
        <v>0.2546</v>
      </c>
      <c r="E16715" s="4" t="n">
        <v>152600</v>
      </c>
      <c r="F16715" s="4" t="n">
        <v>38851.96</v>
      </c>
    </row>
    <row r="16716">
      <c r="A16716" s="3" t="inlineStr">
        <is>
          <t>4</t>
        </is>
      </c>
      <c r="B16716" s="3" t="inlineStr">
        <is>
          <t>Paku 7 - 10 cm</t>
        </is>
      </c>
      <c r="C16716" s="3" t="inlineStr">
        <is>
          <t>kg</t>
        </is>
      </c>
      <c r="D16716" s="15" t="n">
        <v>0.1355</v>
      </c>
      <c r="E16716" s="4" t="n">
        <v>20000</v>
      </c>
      <c r="F16716" s="4" t="n">
        <v>2710</v>
      </c>
    </row>
    <row r="16717">
      <c r="D16717" s="2" t="inlineStr">
        <is>
          <t>SUBTOTAL UPAH</t>
        </is>
      </c>
      <c r="F16717" s="16" t="n">
        <v>70675</v>
      </c>
    </row>
    <row r="16718">
      <c r="D16718" s="2" t="inlineStr">
        <is>
          <t>SUBTOTAL BAHAN</t>
        </is>
      </c>
      <c r="F16718" s="16" t="n">
        <v>1043453.3</v>
      </c>
    </row>
    <row r="16719">
      <c r="D16719" s="2" t="inlineStr">
        <is>
          <t>SUBTOTAL ALAT</t>
        </is>
      </c>
      <c r="F16719" s="16" t="n">
        <v>0</v>
      </c>
    </row>
    <row r="16720">
      <c r="E16720" s="2" t="inlineStr">
        <is>
          <t>TOTAL HARGA SATUAN (Inc. Overhead)</t>
        </is>
      </c>
      <c r="F16720" s="17" t="n">
        <v>1225541</v>
      </c>
    </row>
    <row r="16722">
      <c r="A16722" s="14" t="inlineStr">
        <is>
          <t>KODE: 7.2.2.1 - 1 m3Perkerasan Beton Sc 3,5 Mpa (Setara Fc 25 Mpa) untuk Jalan Lingkungan (Jalan Lokal) Semi Mekanis</t>
        </is>
      </c>
    </row>
    <row r="16723">
      <c r="A16723" s="10" t="inlineStr">
        <is>
          <t>No</t>
        </is>
      </c>
      <c r="B16723" s="10" t="inlineStr">
        <is>
          <t>Uraian Komponen</t>
        </is>
      </c>
      <c r="C16723" s="10" t="inlineStr">
        <is>
          <t>Satuan</t>
        </is>
      </c>
      <c r="D16723" s="10" t="inlineStr">
        <is>
          <t>Koef</t>
        </is>
      </c>
      <c r="E16723" s="10" t="inlineStr">
        <is>
          <t>Harga Satuan (Rp)</t>
        </is>
      </c>
      <c r="F16723" s="10" t="inlineStr">
        <is>
          <t>Jumlah Harga (Rp)</t>
        </is>
      </c>
    </row>
    <row r="16724">
      <c r="A16724" s="3" t="inlineStr">
        <is>
          <t>1</t>
        </is>
      </c>
      <c r="B16724" s="3" t="inlineStr">
        <is>
          <t>Pekerja</t>
        </is>
      </c>
      <c r="C16724" s="3" t="inlineStr">
        <is>
          <t>OH</t>
        </is>
      </c>
      <c r="D16724" s="15" t="n">
        <v>1.23</v>
      </c>
      <c r="E16724" s="4" t="n">
        <v>100000</v>
      </c>
      <c r="F16724" s="4" t="n">
        <v>123000</v>
      </c>
    </row>
    <row r="16725">
      <c r="A16725" s="3" t="inlineStr">
        <is>
          <t>2</t>
        </is>
      </c>
      <c r="B16725" s="3" t="inlineStr">
        <is>
          <t>Tukang batu</t>
        </is>
      </c>
      <c r="C16725" s="3" t="inlineStr">
        <is>
          <t>OH</t>
        </is>
      </c>
      <c r="D16725" s="15" t="n">
        <v>0.2875</v>
      </c>
      <c r="E16725" s="4" t="n">
        <v>145000</v>
      </c>
      <c r="F16725" s="4" t="n">
        <v>41687.5</v>
      </c>
    </row>
    <row r="16726">
      <c r="A16726" s="3" t="inlineStr">
        <is>
          <t>Kepala Tukang</t>
        </is>
      </c>
      <c r="B16726" s="3" t="inlineStr"/>
      <c r="C16726" s="3" t="inlineStr">
        <is>
          <t>OH</t>
        </is>
      </c>
      <c r="D16726" s="15" t="n">
        <v>0.0288</v>
      </c>
      <c r="E16726" s="4" t="n">
        <v>175000</v>
      </c>
      <c r="F16726" s="4" t="n">
        <v>5040</v>
      </c>
    </row>
    <row r="16727">
      <c r="A16727" s="3" t="inlineStr">
        <is>
          <t>4</t>
        </is>
      </c>
      <c r="B16727" s="3" t="inlineStr">
        <is>
          <t>Mandor</t>
        </is>
      </c>
      <c r="C16727" s="3" t="inlineStr">
        <is>
          <t>OH</t>
        </is>
      </c>
      <c r="D16727" s="15" t="n">
        <v>0.123</v>
      </c>
      <c r="E16727" s="4" t="n">
        <v>200000</v>
      </c>
      <c r="F16727" s="4" t="n">
        <v>24600</v>
      </c>
    </row>
    <row r="16728">
      <c r="A16728" s="3" t="inlineStr">
        <is>
          <t>1</t>
        </is>
      </c>
      <c r="B16728" s="3" t="inlineStr">
        <is>
          <t>Semen PortlanD (PC)</t>
        </is>
      </c>
      <c r="C16728" s="3" t="inlineStr">
        <is>
          <t>kg</t>
        </is>
      </c>
      <c r="D16728" s="15" t="n">
        <v>383</v>
      </c>
      <c r="E16728" s="4" t="n">
        <v>1300</v>
      </c>
      <c r="F16728" s="4" t="n">
        <v>497900</v>
      </c>
    </row>
    <row r="16729">
      <c r="A16729" s="3" t="inlineStr">
        <is>
          <t>2</t>
        </is>
      </c>
      <c r="B16729" s="3" t="inlineStr">
        <is>
          <t>Pasir Beton</t>
        </is>
      </c>
      <c r="C16729" s="3" t="inlineStr">
        <is>
          <t>Kg</t>
        </is>
      </c>
      <c r="D16729" s="15" t="n">
        <v>764</v>
      </c>
      <c r="E16729" s="4" t="n">
        <v>300</v>
      </c>
      <c r="F16729" s="4" t="n">
        <v>229200</v>
      </c>
    </row>
    <row r="16730">
      <c r="A16730" s="3" t="inlineStr">
        <is>
          <t>3</t>
        </is>
      </c>
      <c r="B16730" s="3" t="inlineStr">
        <is>
          <t>Agregar Kasar</t>
        </is>
      </c>
      <c r="C16730" s="3" t="inlineStr">
        <is>
          <t>kg</t>
        </is>
      </c>
      <c r="D16730" s="15" t="n">
        <v>934</v>
      </c>
      <c r="E16730" s="4" t="n">
        <v>226.4705882352941</v>
      </c>
      <c r="F16730" s="4" t="n">
        <v>211523.5294117647</v>
      </c>
    </row>
    <row r="16731">
      <c r="A16731" s="3" t="inlineStr">
        <is>
          <t>4</t>
        </is>
      </c>
      <c r="B16731" s="3" t="inlineStr">
        <is>
          <t>Air</t>
        </is>
      </c>
      <c r="C16731" s="3" t="inlineStr">
        <is>
          <t>liter</t>
        </is>
      </c>
      <c r="D16731" s="15" t="n">
        <v>195</v>
      </c>
      <c r="E16731" s="4" t="n">
        <v>200</v>
      </c>
      <c r="F16731" s="4" t="n">
        <v>39000</v>
      </c>
    </row>
    <row r="16732">
      <c r="A16732" s="3" t="inlineStr">
        <is>
          <t>5</t>
        </is>
      </c>
      <c r="B16732" s="3" t="inlineStr">
        <is>
          <t>Kaso 5/7 kayu kelas II</t>
        </is>
      </c>
      <c r="C16732" s="3" t="inlineStr">
        <is>
          <t>m3</t>
        </is>
      </c>
      <c r="D16732" s="15" t="n">
        <v>0.0324</v>
      </c>
      <c r="E16732" s="4" t="n">
        <v>10214200</v>
      </c>
      <c r="F16732" s="4" t="n">
        <v>330940.08</v>
      </c>
    </row>
    <row r="16733">
      <c r="A16733" s="3" t="inlineStr">
        <is>
          <t>6</t>
        </is>
      </c>
      <c r="B16733" s="3" t="inlineStr">
        <is>
          <t>Multiplek tebal 12 mm</t>
        </is>
      </c>
      <c r="C16733" s="3" t="inlineStr">
        <is>
          <t>lembar</t>
        </is>
      </c>
      <c r="D16733" s="15" t="n">
        <v>0.2546</v>
      </c>
      <c r="E16733" s="4" t="n">
        <v>152600</v>
      </c>
      <c r="F16733" s="4" t="n">
        <v>38851.96</v>
      </c>
    </row>
    <row r="16734">
      <c r="A16734" s="3" t="inlineStr">
        <is>
          <t>7</t>
        </is>
      </c>
      <c r="B16734" s="3" t="inlineStr">
        <is>
          <t>Paku 2 inch</t>
        </is>
      </c>
      <c r="C16734" s="3" t="inlineStr">
        <is>
          <t>kg</t>
        </is>
      </c>
      <c r="D16734" s="15" t="n">
        <v>0.1486</v>
      </c>
      <c r="E16734" s="4" t="n">
        <v>18000</v>
      </c>
      <c r="F16734" s="4" t="n">
        <v>2674.8</v>
      </c>
    </row>
    <row r="16735">
      <c r="A16735" s="3" t="inlineStr">
        <is>
          <t>8</t>
        </is>
      </c>
      <c r="B16735" s="3" t="inlineStr">
        <is>
          <t>Joint Sealant</t>
        </is>
      </c>
      <c r="C16735" s="3" t="inlineStr">
        <is>
          <t>kg</t>
        </is>
      </c>
      <c r="D16735" s="15" t="n">
        <v>0.625</v>
      </c>
      <c r="E16735" s="4" t="n">
        <v>22000</v>
      </c>
      <c r="F16735" s="4" t="n">
        <v>13750</v>
      </c>
    </row>
    <row r="16736">
      <c r="A16736" s="3" t="inlineStr">
        <is>
          <t>9</t>
        </is>
      </c>
      <c r="B16736" s="3" t="inlineStr">
        <is>
          <t>Curing Compound</t>
        </is>
      </c>
      <c r="C16736" s="3" t="inlineStr">
        <is>
          <t>liter</t>
        </is>
      </c>
      <c r="D16736" s="15" t="n">
        <v>1.3333</v>
      </c>
      <c r="E16736" s="4" t="n">
        <v>44100</v>
      </c>
      <c r="F16736" s="4" t="n">
        <v>58798.53</v>
      </c>
    </row>
    <row r="16737">
      <c r="A16737" s="3" t="inlineStr">
        <is>
          <t>10</t>
        </is>
      </c>
      <c r="B16737" s="3" t="inlineStr">
        <is>
          <t>Polytene 125 Mikron</t>
        </is>
      </c>
      <c r="C16737" s="3" t="inlineStr">
        <is>
          <t>kg</t>
        </is>
      </c>
      <c r="D16737" s="15" t="n">
        <v>0.5556</v>
      </c>
      <c r="E16737" s="4" t="n">
        <v>46000</v>
      </c>
      <c r="F16737" s="4" t="n">
        <v>25557.6</v>
      </c>
    </row>
    <row r="16738">
      <c r="A16738" s="3" t="inlineStr">
        <is>
          <t>11</t>
        </is>
      </c>
      <c r="B16738" s="3" t="inlineStr">
        <is>
          <t>Zat Aditif</t>
        </is>
      </c>
      <c r="C16738" s="3" t="inlineStr">
        <is>
          <t>kg</t>
        </is>
      </c>
      <c r="D16738" s="15" t="n">
        <v>1.2</v>
      </c>
      <c r="E16738" s="4" t="n">
        <v>25000</v>
      </c>
      <c r="F16738" s="4" t="n">
        <v>30000</v>
      </c>
    </row>
    <row r="16739">
      <c r="A16739" s="3" t="inlineStr">
        <is>
          <t>1</t>
        </is>
      </c>
      <c r="B16739" s="3" t="inlineStr">
        <is>
          <t>Molen beton mixer 350 liter</t>
        </is>
      </c>
      <c r="C16739" s="3" t="inlineStr">
        <is>
          <t>hari</t>
        </is>
      </c>
      <c r="D16739" s="15" t="n">
        <v>0.1475</v>
      </c>
      <c r="E16739" s="4" t="n">
        <v>300000</v>
      </c>
      <c r="F16739" s="4" t="n">
        <v>44250</v>
      </c>
    </row>
    <row r="16740">
      <c r="A16740" s="3" t="inlineStr">
        <is>
          <t>2</t>
        </is>
      </c>
      <c r="B16740" s="3" t="inlineStr">
        <is>
          <t>Tandon Air Kap. 2 m3</t>
        </is>
      </c>
      <c r="C16740" s="3" t="inlineStr">
        <is>
          <t>hari</t>
        </is>
      </c>
      <c r="D16740" s="15" t="n">
        <v>0.7568</v>
      </c>
      <c r="E16740" s="4" t="n">
        <v>25000</v>
      </c>
      <c r="F16740" s="4" t="n">
        <v>18920</v>
      </c>
    </row>
    <row r="16741">
      <c r="A16741" s="3" t="inlineStr">
        <is>
          <t>3</t>
        </is>
      </c>
      <c r="B16741" s="3" t="inlineStr">
        <is>
          <t>Concrete vibrator</t>
        </is>
      </c>
      <c r="C16741" s="3" t="inlineStr">
        <is>
          <t>hari</t>
        </is>
      </c>
      <c r="D16741" s="15" t="n">
        <v>0.0861</v>
      </c>
      <c r="E16741" s="4" t="n">
        <v>800000</v>
      </c>
      <c r="F16741" s="4" t="n">
        <v>68880</v>
      </c>
    </row>
    <row r="16742">
      <c r="A16742" s="3" t="inlineStr">
        <is>
          <t>4</t>
        </is>
      </c>
      <c r="B16742" s="3" t="inlineStr">
        <is>
          <t>Cutter baja beton</t>
        </is>
      </c>
      <c r="C16742" s="3" t="inlineStr">
        <is>
          <t>hari</t>
        </is>
      </c>
      <c r="D16742" s="15" t="n">
        <v>0.0068</v>
      </c>
      <c r="E16742" s="4" t="n">
        <v>800000</v>
      </c>
      <c r="F16742" s="4" t="n">
        <v>5440</v>
      </c>
    </row>
    <row r="16743">
      <c r="D16743" s="2" t="inlineStr">
        <is>
          <t>SUBTOTAL UPAH</t>
        </is>
      </c>
      <c r="F16743" s="16" t="n">
        <v>194327.5</v>
      </c>
    </row>
    <row r="16744">
      <c r="D16744" s="2" t="inlineStr">
        <is>
          <t>SUBTOTAL BAHAN</t>
        </is>
      </c>
      <c r="F16744" s="16" t="n">
        <v>1478196.499411765</v>
      </c>
    </row>
    <row r="16745">
      <c r="D16745" s="2" t="inlineStr">
        <is>
          <t>SUBTOTAL ALAT</t>
        </is>
      </c>
      <c r="F16745" s="16" t="n">
        <v>137490</v>
      </c>
    </row>
    <row r="16746">
      <c r="E16746" s="2" t="inlineStr">
        <is>
          <t>TOTAL HARGA SATUAN (Inc. Overhead)</t>
        </is>
      </c>
      <c r="F16746" s="17" t="n">
        <v>1991015</v>
      </c>
    </row>
    <row r="16748">
      <c r="A16748" s="14" t="inlineStr">
        <is>
          <t>KODE: 7.2.2.2 - 1 m3 Perkerasan Beton Sc 3,8 Mpa (Setara Fc 30 Mpa) untuk Jalan Akses/Penghubung (Jalan Kolektor) Semi Mekanis</t>
        </is>
      </c>
    </row>
    <row r="16749">
      <c r="A16749" s="10" t="inlineStr">
        <is>
          <t>No</t>
        </is>
      </c>
      <c r="B16749" s="10" t="inlineStr">
        <is>
          <t>Uraian Komponen</t>
        </is>
      </c>
      <c r="C16749" s="10" t="inlineStr">
        <is>
          <t>Satuan</t>
        </is>
      </c>
      <c r="D16749" s="10" t="inlineStr">
        <is>
          <t>Koef</t>
        </is>
      </c>
      <c r="E16749" s="10" t="inlineStr">
        <is>
          <t>Harga Satuan (Rp)</t>
        </is>
      </c>
      <c r="F16749" s="10" t="inlineStr">
        <is>
          <t>Jumlah Harga (Rp)</t>
        </is>
      </c>
    </row>
    <row r="16750">
      <c r="A16750" s="3" t="inlineStr">
        <is>
          <t>1</t>
        </is>
      </c>
      <c r="B16750" s="3" t="inlineStr">
        <is>
          <t>Pekerja</t>
        </is>
      </c>
      <c r="C16750" s="3" t="inlineStr">
        <is>
          <t>OH</t>
        </is>
      </c>
      <c r="D16750" s="15" t="n">
        <v>1.28</v>
      </c>
      <c r="E16750" s="4" t="n">
        <v>100000</v>
      </c>
      <c r="F16750" s="4" t="n">
        <v>128000</v>
      </c>
    </row>
    <row r="16751">
      <c r="A16751" s="3" t="inlineStr">
        <is>
          <t>2</t>
        </is>
      </c>
      <c r="B16751" s="3" t="inlineStr">
        <is>
          <t>Tukang batu</t>
        </is>
      </c>
      <c r="C16751" s="3" t="inlineStr">
        <is>
          <t>OH</t>
        </is>
      </c>
      <c r="D16751" s="15" t="n">
        <v>0.3</v>
      </c>
      <c r="E16751" s="4" t="n">
        <v>145000</v>
      </c>
      <c r="F16751" s="4" t="n">
        <v>43500</v>
      </c>
    </row>
    <row r="16752">
      <c r="A16752" s="3" t="inlineStr">
        <is>
          <t>Kepala Tukang</t>
        </is>
      </c>
      <c r="B16752" s="3" t="inlineStr"/>
      <c r="C16752" s="3" t="inlineStr">
        <is>
          <t>OH</t>
        </is>
      </c>
      <c r="D16752" s="15" t="n">
        <v>0.03</v>
      </c>
      <c r="E16752" s="4" t="n">
        <v>175000</v>
      </c>
      <c r="F16752" s="4" t="n">
        <v>5250</v>
      </c>
    </row>
    <row r="16753">
      <c r="A16753" s="3" t="inlineStr">
        <is>
          <t>4</t>
        </is>
      </c>
      <c r="B16753" s="3" t="inlineStr">
        <is>
          <t>Mandor</t>
        </is>
      </c>
      <c r="C16753" s="3" t="inlineStr">
        <is>
          <t>OH</t>
        </is>
      </c>
      <c r="D16753" s="15" t="n">
        <v>0.128</v>
      </c>
      <c r="E16753" s="4" t="n">
        <v>200000</v>
      </c>
      <c r="F16753" s="4" t="n">
        <v>25600</v>
      </c>
    </row>
    <row r="16754">
      <c r="A16754" s="3" t="inlineStr">
        <is>
          <t>1</t>
        </is>
      </c>
      <c r="B16754" s="3" t="inlineStr">
        <is>
          <t>Semen PortlanD (PC)</t>
        </is>
      </c>
      <c r="C16754" s="3" t="inlineStr">
        <is>
          <t>kg</t>
        </is>
      </c>
      <c r="D16754" s="15" t="n">
        <v>428</v>
      </c>
      <c r="E16754" s="4" t="n">
        <v>1300</v>
      </c>
      <c r="F16754" s="4" t="n">
        <v>556400</v>
      </c>
    </row>
    <row r="16755">
      <c r="A16755" s="3" t="inlineStr">
        <is>
          <t>2</t>
        </is>
      </c>
      <c r="B16755" s="3" t="inlineStr">
        <is>
          <t>Pasir Beton</t>
        </is>
      </c>
      <c r="C16755" s="3" t="inlineStr">
        <is>
          <t>Kg</t>
        </is>
      </c>
      <c r="D16755" s="15" t="n">
        <v>731</v>
      </c>
      <c r="E16755" s="4" t="n">
        <v>300</v>
      </c>
      <c r="F16755" s="4" t="n">
        <v>219300</v>
      </c>
    </row>
    <row r="16756">
      <c r="A16756" s="3" t="inlineStr">
        <is>
          <t>3</t>
        </is>
      </c>
      <c r="B16756" s="3" t="inlineStr">
        <is>
          <t>Agregar Kasar</t>
        </is>
      </c>
      <c r="C16756" s="3" t="inlineStr">
        <is>
          <t>kg</t>
        </is>
      </c>
      <c r="D16756" s="15" t="n">
        <v>930</v>
      </c>
      <c r="E16756" s="4" t="n">
        <v>226.4705882352941</v>
      </c>
      <c r="F16756" s="4" t="n">
        <v>210617.6470588235</v>
      </c>
    </row>
    <row r="16757">
      <c r="A16757" s="3" t="inlineStr">
        <is>
          <t>4</t>
        </is>
      </c>
      <c r="B16757" s="3" t="inlineStr">
        <is>
          <t>Air</t>
        </is>
      </c>
      <c r="C16757" s="3" t="inlineStr">
        <is>
          <t>liter</t>
        </is>
      </c>
      <c r="D16757" s="15" t="n">
        <v>195</v>
      </c>
      <c r="E16757" s="4" t="n">
        <v>200</v>
      </c>
      <c r="F16757" s="4" t="n">
        <v>39000</v>
      </c>
    </row>
    <row r="16758">
      <c r="A16758" s="3" t="inlineStr">
        <is>
          <t>5</t>
        </is>
      </c>
      <c r="B16758" s="3" t="inlineStr">
        <is>
          <t>Kaso 5/7 kayu kelas II</t>
        </is>
      </c>
      <c r="C16758" s="3" t="inlineStr">
        <is>
          <t>m3</t>
        </is>
      </c>
      <c r="D16758" s="15" t="n">
        <v>0.0252</v>
      </c>
      <c r="E16758" s="4" t="n">
        <v>10214200</v>
      </c>
      <c r="F16758" s="4" t="n">
        <v>257397.84</v>
      </c>
    </row>
    <row r="16759">
      <c r="A16759" s="3" t="inlineStr">
        <is>
          <t>6</t>
        </is>
      </c>
      <c r="B16759" s="3" t="inlineStr">
        <is>
          <t>Multiplek tebal 12 mm</t>
        </is>
      </c>
      <c r="C16759" s="3" t="inlineStr">
        <is>
          <t>lembar</t>
        </is>
      </c>
      <c r="D16759" s="15" t="n">
        <v>0.2546</v>
      </c>
      <c r="E16759" s="4" t="n">
        <v>152600</v>
      </c>
      <c r="F16759" s="4" t="n">
        <v>38851.96</v>
      </c>
    </row>
    <row r="16760">
      <c r="A16760" s="3" t="inlineStr">
        <is>
          <t>7</t>
        </is>
      </c>
      <c r="B16760" s="3" t="inlineStr">
        <is>
          <t>Paku 2 inch</t>
        </is>
      </c>
      <c r="C16760" s="3" t="inlineStr">
        <is>
          <t>kg</t>
        </is>
      </c>
      <c r="D16760" s="15" t="n">
        <v>0.1159</v>
      </c>
      <c r="E16760" s="4" t="n">
        <v>18000</v>
      </c>
      <c r="F16760" s="4" t="n">
        <v>2086.2</v>
      </c>
    </row>
    <row r="16761">
      <c r="A16761" s="3" t="inlineStr">
        <is>
          <t>8</t>
        </is>
      </c>
      <c r="B16761" s="3" t="inlineStr">
        <is>
          <t>Joint Sealant</t>
        </is>
      </c>
      <c r="C16761" s="3" t="inlineStr">
        <is>
          <t>kg</t>
        </is>
      </c>
      <c r="D16761" s="15" t="n">
        <v>0.625</v>
      </c>
      <c r="E16761" s="4" t="n">
        <v>22000</v>
      </c>
      <c r="F16761" s="4" t="n">
        <v>13750</v>
      </c>
    </row>
    <row r="16762">
      <c r="A16762" s="3" t="inlineStr">
        <is>
          <t>9</t>
        </is>
      </c>
      <c r="B16762" s="3" t="inlineStr">
        <is>
          <t>Curing Compound</t>
        </is>
      </c>
      <c r="C16762" s="3" t="inlineStr">
        <is>
          <t>liter</t>
        </is>
      </c>
      <c r="D16762" s="15" t="n">
        <v>1</v>
      </c>
      <c r="E16762" s="4" t="n">
        <v>44100</v>
      </c>
      <c r="F16762" s="4" t="n">
        <v>44100</v>
      </c>
    </row>
    <row r="16763">
      <c r="A16763" s="3" t="inlineStr">
        <is>
          <t>10</t>
        </is>
      </c>
      <c r="B16763" s="3" t="inlineStr">
        <is>
          <t>Polytene 125 Mikron</t>
        </is>
      </c>
      <c r="C16763" s="3" t="inlineStr">
        <is>
          <t>kg</t>
        </is>
      </c>
      <c r="D16763" s="15" t="n">
        <v>0.4167</v>
      </c>
      <c r="E16763" s="4" t="n">
        <v>46000</v>
      </c>
      <c r="F16763" s="4" t="n">
        <v>19168.2</v>
      </c>
    </row>
    <row r="16764">
      <c r="A16764" s="3" t="inlineStr">
        <is>
          <t>11</t>
        </is>
      </c>
      <c r="B16764" s="3" t="inlineStr">
        <is>
          <t>Dowel dia. 25 mm (BjTs)</t>
        </is>
      </c>
      <c r="C16764" s="3" t="inlineStr">
        <is>
          <t>kg</t>
        </is>
      </c>
      <c r="D16764" s="15" t="n">
        <v>38.7836</v>
      </c>
      <c r="E16764" s="4" t="n">
        <v>15367.96536796537</v>
      </c>
      <c r="F16764" s="4" t="n">
        <v>596025.0216450216</v>
      </c>
    </row>
    <row r="16765">
      <c r="A16765" s="3" t="inlineStr">
        <is>
          <t>12</t>
        </is>
      </c>
      <c r="B16765" s="3" t="inlineStr">
        <is>
          <t>Tie Bar Dia. 16 mm (BjTS)</t>
        </is>
      </c>
      <c r="C16765" s="3" t="inlineStr">
        <is>
          <t>kg</t>
        </is>
      </c>
      <c r="D16765" s="15" t="n">
        <v>6.629</v>
      </c>
      <c r="E16765" s="4" t="n">
        <v>17721.51898734177</v>
      </c>
      <c r="F16765" s="4" t="n">
        <v>117475.9493670886</v>
      </c>
    </row>
    <row r="16766">
      <c r="A16766" s="3" t="inlineStr">
        <is>
          <t>13</t>
        </is>
      </c>
      <c r="B16766" s="3" t="inlineStr">
        <is>
          <t>Zat Aditif</t>
        </is>
      </c>
      <c r="C16766" s="3" t="inlineStr">
        <is>
          <t>kg</t>
        </is>
      </c>
      <c r="D16766" s="15" t="n">
        <v>1.2</v>
      </c>
      <c r="E16766" s="4" t="n">
        <v>25000</v>
      </c>
      <c r="F16766" s="4" t="n">
        <v>30000</v>
      </c>
    </row>
    <row r="16767">
      <c r="A16767" s="3" t="inlineStr">
        <is>
          <t>1</t>
        </is>
      </c>
      <c r="B16767" s="3" t="inlineStr">
        <is>
          <t>Molen beton mixer 350 liter</t>
        </is>
      </c>
      <c r="C16767" s="3" t="inlineStr">
        <is>
          <t>hari</t>
        </is>
      </c>
      <c r="D16767" s="15" t="n">
        <v>0.1475</v>
      </c>
      <c r="E16767" s="4" t="n">
        <v>300000</v>
      </c>
      <c r="F16767" s="4" t="n">
        <v>44250</v>
      </c>
    </row>
    <row r="16768">
      <c r="A16768" s="3" t="inlineStr">
        <is>
          <t>2</t>
        </is>
      </c>
      <c r="B16768" s="3" t="inlineStr">
        <is>
          <t>Tandon Air Kap. 2 m3</t>
        </is>
      </c>
      <c r="C16768" s="3" t="inlineStr">
        <is>
          <t>hari</t>
        </is>
      </c>
      <c r="D16768" s="15" t="n">
        <v>0.9448</v>
      </c>
      <c r="E16768" s="4" t="n">
        <v>25000</v>
      </c>
      <c r="F16768" s="4" t="n">
        <v>23620</v>
      </c>
    </row>
    <row r="16769">
      <c r="A16769" s="3" t="inlineStr">
        <is>
          <t>3</t>
        </is>
      </c>
      <c r="B16769" s="3" t="inlineStr">
        <is>
          <t>Concrete vibrator</t>
        </is>
      </c>
      <c r="C16769" s="3" t="inlineStr">
        <is>
          <t>hari</t>
        </is>
      </c>
      <c r="D16769" s="15" t="n">
        <v>0.0861</v>
      </c>
      <c r="E16769" s="4" t="n">
        <v>800000</v>
      </c>
      <c r="F16769" s="4" t="n">
        <v>68880</v>
      </c>
    </row>
    <row r="16770">
      <c r="A16770" s="3" t="inlineStr">
        <is>
          <t>4</t>
        </is>
      </c>
      <c r="B16770" s="3" t="inlineStr">
        <is>
          <t>Cutter baja beton</t>
        </is>
      </c>
      <c r="C16770" s="3" t="inlineStr">
        <is>
          <t>hari</t>
        </is>
      </c>
      <c r="D16770" s="15" t="n">
        <v>0.0072</v>
      </c>
      <c r="E16770" s="4" t="n">
        <v>800000</v>
      </c>
      <c r="F16770" s="4" t="n">
        <v>5760</v>
      </c>
    </row>
    <row r="16771">
      <c r="D16771" s="2" t="inlineStr">
        <is>
          <t>SUBTOTAL UPAH</t>
        </is>
      </c>
      <c r="F16771" s="16" t="n">
        <v>202350</v>
      </c>
    </row>
    <row r="16772">
      <c r="D16772" s="2" t="inlineStr">
        <is>
          <t>SUBTOTAL BAHAN</t>
        </is>
      </c>
      <c r="F16772" s="16" t="n">
        <v>2144172.818070934</v>
      </c>
    </row>
    <row r="16773">
      <c r="D16773" s="2" t="inlineStr">
        <is>
          <t>SUBTOTAL ALAT</t>
        </is>
      </c>
      <c r="F16773" s="16" t="n">
        <v>142510</v>
      </c>
    </row>
    <row r="16774">
      <c r="E16774" s="2" t="inlineStr">
        <is>
          <t>TOTAL HARGA SATUAN (Inc. Overhead)</t>
        </is>
      </c>
      <c r="F16774" s="17" t="n">
        <v>2737936</v>
      </c>
    </row>
    <row r="16776">
      <c r="A16776" s="14" t="inlineStr">
        <is>
          <t>KODE: 7.2.2.3 - 1 m3 Perkerasan Beton Sc 3,5 Mpa (Setara Fc 25 Mpa) untuk Jalan Lingkungan (Jalan Lokal) Ready Mixed</t>
        </is>
      </c>
    </row>
    <row r="16777">
      <c r="A16777" s="10" t="inlineStr">
        <is>
          <t>No</t>
        </is>
      </c>
      <c r="B16777" s="10" t="inlineStr">
        <is>
          <t>Uraian Komponen</t>
        </is>
      </c>
      <c r="C16777" s="10" t="inlineStr">
        <is>
          <t>Satuan</t>
        </is>
      </c>
      <c r="D16777" s="10" t="inlineStr">
        <is>
          <t>Koef</t>
        </is>
      </c>
      <c r="E16777" s="10" t="inlineStr">
        <is>
          <t>Harga Satuan (Rp)</t>
        </is>
      </c>
      <c r="F16777" s="10" t="inlineStr">
        <is>
          <t>Jumlah Harga (Rp)</t>
        </is>
      </c>
    </row>
    <row r="16778">
      <c r="A16778" s="3" t="inlineStr">
        <is>
          <t>1</t>
        </is>
      </c>
      <c r="B16778" s="3" t="inlineStr">
        <is>
          <t>Pekerja</t>
        </is>
      </c>
      <c r="C16778" s="3" t="inlineStr">
        <is>
          <t>OH</t>
        </is>
      </c>
      <c r="D16778" s="15" t="n">
        <v>0.46</v>
      </c>
      <c r="E16778" s="4" t="n">
        <v>100000</v>
      </c>
      <c r="F16778" s="4" t="n">
        <v>46000</v>
      </c>
    </row>
    <row r="16779">
      <c r="A16779" s="3" t="inlineStr">
        <is>
          <t>2</t>
        </is>
      </c>
      <c r="B16779" s="3" t="inlineStr">
        <is>
          <t>Tukang batu</t>
        </is>
      </c>
      <c r="C16779" s="3" t="inlineStr">
        <is>
          <t>OH</t>
        </is>
      </c>
      <c r="D16779" s="15" t="n">
        <v>0.115</v>
      </c>
      <c r="E16779" s="4" t="n">
        <v>145000</v>
      </c>
      <c r="F16779" s="4" t="n">
        <v>16675</v>
      </c>
    </row>
    <row r="16780">
      <c r="A16780" s="3" t="inlineStr">
        <is>
          <t>3</t>
        </is>
      </c>
      <c r="B16780" s="3" t="inlineStr">
        <is>
          <t>Kepala Tukang</t>
        </is>
      </c>
      <c r="C16780" s="3" t="inlineStr">
        <is>
          <t>OH</t>
        </is>
      </c>
      <c r="D16780" s="15" t="n">
        <v>0.0115</v>
      </c>
      <c r="E16780" s="4" t="n">
        <v>175000</v>
      </c>
      <c r="F16780" s="4" t="n">
        <v>2012.5</v>
      </c>
    </row>
    <row r="16781">
      <c r="A16781" s="3" t="inlineStr">
        <is>
          <t>4</t>
        </is>
      </c>
      <c r="B16781" s="3" t="inlineStr">
        <is>
          <t>Mandor</t>
        </is>
      </c>
      <c r="C16781" s="3" t="inlineStr">
        <is>
          <t>OH</t>
        </is>
      </c>
      <c r="D16781" s="15" t="n">
        <v>0.046</v>
      </c>
      <c r="E16781" s="4" t="n">
        <v>200000</v>
      </c>
      <c r="F16781" s="4" t="n">
        <v>9200</v>
      </c>
    </row>
    <row r="16782">
      <c r="A16782" s="3" t="inlineStr">
        <is>
          <t>1</t>
        </is>
      </c>
      <c r="B16782" s="3" t="inlineStr">
        <is>
          <t>Adukan beton K-300 ready mix</t>
        </is>
      </c>
      <c r="C16782" s="3" t="inlineStr">
        <is>
          <t>m3</t>
        </is>
      </c>
      <c r="D16782" s="15" t="n">
        <v>1.02</v>
      </c>
      <c r="E16782" s="4" t="n">
        <v>961200</v>
      </c>
      <c r="F16782" s="4" t="n">
        <v>980424</v>
      </c>
    </row>
    <row r="16783">
      <c r="A16783" s="3" t="inlineStr">
        <is>
          <t>2</t>
        </is>
      </c>
      <c r="B16783" s="3" t="inlineStr">
        <is>
          <t>Kaso 5/7 kayu kelas II</t>
        </is>
      </c>
      <c r="C16783" s="3" t="inlineStr">
        <is>
          <t>m3</t>
        </is>
      </c>
      <c r="D16783" s="15" t="n">
        <v>0.0324</v>
      </c>
      <c r="E16783" s="4" t="n">
        <v>10214200</v>
      </c>
      <c r="F16783" s="4" t="n">
        <v>330940.08</v>
      </c>
    </row>
    <row r="16784">
      <c r="A16784" s="3" t="inlineStr">
        <is>
          <t>3</t>
        </is>
      </c>
      <c r="B16784" s="3" t="inlineStr">
        <is>
          <t>Multiplek tebal 12 mm</t>
        </is>
      </c>
      <c r="C16784" s="3" t="inlineStr">
        <is>
          <t>lembar</t>
        </is>
      </c>
      <c r="D16784" s="15" t="n">
        <v>0.2546</v>
      </c>
      <c r="E16784" s="4" t="n">
        <v>152600</v>
      </c>
      <c r="F16784" s="4" t="n">
        <v>38851.96</v>
      </c>
    </row>
    <row r="16785">
      <c r="A16785" s="3" t="inlineStr">
        <is>
          <t>4</t>
        </is>
      </c>
      <c r="B16785" s="3" t="inlineStr">
        <is>
          <t>Paku 2 inch</t>
        </is>
      </c>
      <c r="C16785" s="3" t="inlineStr">
        <is>
          <t>kg</t>
        </is>
      </c>
      <c r="D16785" s="15" t="n">
        <v>0.1486</v>
      </c>
      <c r="E16785" s="4" t="n">
        <v>18000</v>
      </c>
      <c r="F16785" s="4" t="n">
        <v>2674.8</v>
      </c>
    </row>
    <row r="16786">
      <c r="A16786" s="3" t="inlineStr">
        <is>
          <t>5</t>
        </is>
      </c>
      <c r="B16786" s="3" t="inlineStr">
        <is>
          <t>Joint Sealant</t>
        </is>
      </c>
      <c r="C16786" s="3" t="inlineStr">
        <is>
          <t>kg</t>
        </is>
      </c>
      <c r="D16786" s="15" t="n">
        <v>0.625</v>
      </c>
      <c r="E16786" s="4" t="n">
        <v>22000</v>
      </c>
      <c r="F16786" s="4" t="n">
        <v>13750</v>
      </c>
    </row>
    <row r="16787">
      <c r="A16787" s="3" t="inlineStr">
        <is>
          <t>6</t>
        </is>
      </c>
      <c r="B16787" s="3" t="inlineStr">
        <is>
          <t>Curing Compound</t>
        </is>
      </c>
      <c r="C16787" s="3" t="inlineStr">
        <is>
          <t>liter</t>
        </is>
      </c>
      <c r="D16787" s="15" t="n">
        <v>1.3333</v>
      </c>
      <c r="E16787" s="4" t="n">
        <v>44100</v>
      </c>
      <c r="F16787" s="4" t="n">
        <v>58798.53</v>
      </c>
    </row>
    <row r="16788">
      <c r="A16788" s="3" t="inlineStr">
        <is>
          <t>7</t>
        </is>
      </c>
      <c r="B16788" s="3" t="inlineStr">
        <is>
          <t>Polytene 125 Mikron</t>
        </is>
      </c>
      <c r="C16788" s="3" t="inlineStr">
        <is>
          <t>kg</t>
        </is>
      </c>
      <c r="D16788" s="15" t="n">
        <v>0.5556</v>
      </c>
      <c r="E16788" s="4" t="n">
        <v>46000</v>
      </c>
      <c r="F16788" s="4" t="n">
        <v>25557.6</v>
      </c>
    </row>
    <row r="16789">
      <c r="A16789" s="3" t="inlineStr">
        <is>
          <t>1</t>
        </is>
      </c>
      <c r="B16789" s="3" t="inlineStr">
        <is>
          <t>Concrete vibrator</t>
        </is>
      </c>
      <c r="C16789" s="3" t="inlineStr">
        <is>
          <t>hari</t>
        </is>
      </c>
      <c r="D16789" s="15" t="n">
        <v>0.0861</v>
      </c>
      <c r="E16789" s="4" t="n">
        <v>800000</v>
      </c>
      <c r="F16789" s="4" t="n">
        <v>68880</v>
      </c>
    </row>
    <row r="16790">
      <c r="A16790" s="3" t="inlineStr">
        <is>
          <t>2</t>
        </is>
      </c>
      <c r="B16790" s="3" t="inlineStr">
        <is>
          <t>Cutter baja beton</t>
        </is>
      </c>
      <c r="C16790" s="3" t="inlineStr">
        <is>
          <t>hari</t>
        </is>
      </c>
      <c r="D16790" s="15" t="n">
        <v>0.0068</v>
      </c>
      <c r="E16790" s="4" t="n">
        <v>800000</v>
      </c>
      <c r="F16790" s="4" t="n">
        <v>5440</v>
      </c>
    </row>
    <row r="16791">
      <c r="D16791" s="2" t="inlineStr">
        <is>
          <t>SUBTOTAL UPAH</t>
        </is>
      </c>
      <c r="F16791" s="16" t="n">
        <v>73887.5</v>
      </c>
    </row>
    <row r="16792">
      <c r="D16792" s="2" t="inlineStr">
        <is>
          <t>SUBTOTAL BAHAN</t>
        </is>
      </c>
      <c r="F16792" s="16" t="n">
        <v>1450996.97</v>
      </c>
    </row>
    <row r="16793">
      <c r="D16793" s="2" t="inlineStr">
        <is>
          <t>SUBTOTAL ALAT</t>
        </is>
      </c>
      <c r="F16793" s="16" t="n">
        <v>74320</v>
      </c>
    </row>
    <row r="16794">
      <c r="E16794" s="2" t="inlineStr">
        <is>
          <t>TOTAL HARGA SATUAN (Inc. Overhead)</t>
        </is>
      </c>
      <c r="F16794" s="17" t="n">
        <v>1759124</v>
      </c>
    </row>
    <row r="16796">
      <c r="A16796" s="14" t="inlineStr">
        <is>
          <t>KODE: 7.2.2.4 - 1 m3 Perkerasan Beton Sc 3,8 Mpa (Setara Fc 30 Mpa) untuk Jalan Akses/Penghubung (Jalan Jalan Kolektor) Ready Mixed</t>
        </is>
      </c>
    </row>
    <row r="16797">
      <c r="A16797" s="10" t="inlineStr">
        <is>
          <t>No</t>
        </is>
      </c>
      <c r="B16797" s="10" t="inlineStr">
        <is>
          <t>Uraian Komponen</t>
        </is>
      </c>
      <c r="C16797" s="10" t="inlineStr">
        <is>
          <t>Satuan</t>
        </is>
      </c>
      <c r="D16797" s="10" t="inlineStr">
        <is>
          <t>Koef</t>
        </is>
      </c>
      <c r="E16797" s="10" t="inlineStr">
        <is>
          <t>Harga Satuan (Rp)</t>
        </is>
      </c>
      <c r="F16797" s="10" t="inlineStr">
        <is>
          <t>Jumlah Harga (Rp)</t>
        </is>
      </c>
    </row>
    <row r="16798">
      <c r="A16798" s="3" t="inlineStr">
        <is>
          <t>1</t>
        </is>
      </c>
      <c r="B16798" s="3" t="inlineStr">
        <is>
          <t>Pekerja</t>
        </is>
      </c>
      <c r="C16798" s="3" t="inlineStr">
        <is>
          <t>OH</t>
        </is>
      </c>
      <c r="D16798" s="15" t="n">
        <v>0.48</v>
      </c>
      <c r="E16798" s="4" t="n">
        <v>100000</v>
      </c>
      <c r="F16798" s="4" t="n">
        <v>48000</v>
      </c>
    </row>
    <row r="16799">
      <c r="A16799" s="3" t="inlineStr">
        <is>
          <t>2</t>
        </is>
      </c>
      <c r="B16799" s="3" t="inlineStr">
        <is>
          <t>Tukang batu</t>
        </is>
      </c>
      <c r="C16799" s="3" t="inlineStr">
        <is>
          <t>OH</t>
        </is>
      </c>
      <c r="D16799" s="15" t="n">
        <v>0.12</v>
      </c>
      <c r="E16799" s="4" t="n">
        <v>145000</v>
      </c>
      <c r="F16799" s="4" t="n">
        <v>17400</v>
      </c>
    </row>
    <row r="16800">
      <c r="A16800" s="3" t="inlineStr">
        <is>
          <t>3</t>
        </is>
      </c>
      <c r="B16800" s="3" t="inlineStr">
        <is>
          <t>Kepala Tukang</t>
        </is>
      </c>
      <c r="C16800" s="3" t="inlineStr">
        <is>
          <t>OH</t>
        </is>
      </c>
      <c r="D16800" s="15" t="n">
        <v>0.012</v>
      </c>
      <c r="E16800" s="4" t="n">
        <v>175000</v>
      </c>
      <c r="F16800" s="4" t="n">
        <v>2100</v>
      </c>
    </row>
    <row r="16801">
      <c r="A16801" s="3" t="inlineStr">
        <is>
          <t>4</t>
        </is>
      </c>
      <c r="B16801" s="3" t="inlineStr">
        <is>
          <t>Mandor</t>
        </is>
      </c>
      <c r="C16801" s="3" t="inlineStr">
        <is>
          <t>OH</t>
        </is>
      </c>
      <c r="D16801" s="15" t="n">
        <v>0.048</v>
      </c>
      <c r="E16801" s="4" t="n">
        <v>200000</v>
      </c>
      <c r="F16801" s="4" t="n">
        <v>9600</v>
      </c>
    </row>
    <row r="16802">
      <c r="A16802" s="3" t="inlineStr">
        <is>
          <t>1</t>
        </is>
      </c>
      <c r="B16802" s="3" t="inlineStr">
        <is>
          <t>Adukan beton K-350 ready mix</t>
        </is>
      </c>
      <c r="C16802" s="3" t="inlineStr">
        <is>
          <t>m3</t>
        </is>
      </c>
      <c r="D16802" s="15" t="n">
        <v>1.02</v>
      </c>
      <c r="E16802" s="4" t="n">
        <v>1001900</v>
      </c>
      <c r="F16802" s="4" t="n">
        <v>1021938</v>
      </c>
    </row>
    <row r="16803">
      <c r="A16803" s="3" t="inlineStr">
        <is>
          <t>2</t>
        </is>
      </c>
      <c r="B16803" s="3" t="inlineStr">
        <is>
          <t>Kaso 5/7 kayu kelas II</t>
        </is>
      </c>
      <c r="C16803" s="3" t="inlineStr">
        <is>
          <t>m3</t>
        </is>
      </c>
      <c r="D16803" s="15" t="n">
        <v>0.0252</v>
      </c>
      <c r="E16803" s="4" t="n">
        <v>10214200</v>
      </c>
      <c r="F16803" s="4" t="n">
        <v>257397.84</v>
      </c>
    </row>
    <row r="16804">
      <c r="A16804" s="3" t="inlineStr">
        <is>
          <t>3</t>
        </is>
      </c>
      <c r="B16804" s="3" t="inlineStr">
        <is>
          <t>Multiplek tebal 12 mm</t>
        </is>
      </c>
      <c r="C16804" s="3" t="inlineStr">
        <is>
          <t>lembar</t>
        </is>
      </c>
      <c r="D16804" s="15" t="n">
        <v>0.2546</v>
      </c>
      <c r="E16804" s="4" t="n">
        <v>152600</v>
      </c>
      <c r="F16804" s="4" t="n">
        <v>38851.96</v>
      </c>
    </row>
    <row r="16805">
      <c r="A16805" s="3" t="inlineStr">
        <is>
          <t>4</t>
        </is>
      </c>
      <c r="B16805" s="3" t="inlineStr">
        <is>
          <t>Paku 2 inch</t>
        </is>
      </c>
      <c r="C16805" s="3" t="inlineStr">
        <is>
          <t>kg</t>
        </is>
      </c>
      <c r="D16805" s="15" t="n">
        <v>0.1159</v>
      </c>
      <c r="E16805" s="4" t="n">
        <v>18000</v>
      </c>
      <c r="F16805" s="4" t="n">
        <v>2086.2</v>
      </c>
    </row>
    <row r="16806">
      <c r="A16806" s="3" t="inlineStr">
        <is>
          <t>5</t>
        </is>
      </c>
      <c r="B16806" s="3" t="inlineStr">
        <is>
          <t>Joint Sealant</t>
        </is>
      </c>
      <c r="C16806" s="3" t="inlineStr">
        <is>
          <t>kg</t>
        </is>
      </c>
      <c r="D16806" s="15" t="n">
        <v>0.625</v>
      </c>
      <c r="E16806" s="4" t="n">
        <v>22000</v>
      </c>
      <c r="F16806" s="4" t="n">
        <v>13750</v>
      </c>
    </row>
    <row r="16807">
      <c r="A16807" s="3" t="inlineStr">
        <is>
          <t>6</t>
        </is>
      </c>
      <c r="B16807" s="3" t="inlineStr">
        <is>
          <t>Curing Compound</t>
        </is>
      </c>
      <c r="C16807" s="3" t="inlineStr">
        <is>
          <t>liter</t>
        </is>
      </c>
      <c r="D16807" s="15" t="n">
        <v>1</v>
      </c>
      <c r="E16807" s="4" t="n">
        <v>44100</v>
      </c>
      <c r="F16807" s="4" t="n">
        <v>44100</v>
      </c>
    </row>
    <row r="16808">
      <c r="A16808" s="3" t="inlineStr">
        <is>
          <t>7</t>
        </is>
      </c>
      <c r="B16808" s="3" t="inlineStr">
        <is>
          <t>Polytene 125 Mikron</t>
        </is>
      </c>
      <c r="C16808" s="3" t="inlineStr">
        <is>
          <t>kg</t>
        </is>
      </c>
      <c r="D16808" s="15" t="n">
        <v>0.4167</v>
      </c>
      <c r="E16808" s="4" t="n">
        <v>46000</v>
      </c>
      <c r="F16808" s="4" t="n">
        <v>19168.2</v>
      </c>
    </row>
    <row r="16809">
      <c r="A16809" s="3" t="inlineStr">
        <is>
          <t>Dowel Dia. 25 mm (BjTS)</t>
        </is>
      </c>
      <c r="B16809" s="3" t="inlineStr"/>
      <c r="C16809" s="3" t="inlineStr">
        <is>
          <t>kg</t>
        </is>
      </c>
      <c r="D16809" s="15" t="n">
        <v>38.7836</v>
      </c>
      <c r="E16809" s="4" t="n">
        <v>15367.96536796537</v>
      </c>
      <c r="F16809" s="4" t="n">
        <v>596025.0216450216</v>
      </c>
    </row>
    <row r="16810">
      <c r="A16810" s="3" t="inlineStr">
        <is>
          <t>Tie Bar dia. 16 mm (BjTS)</t>
        </is>
      </c>
      <c r="B16810" s="3" t="inlineStr"/>
      <c r="C16810" s="3" t="inlineStr">
        <is>
          <t>kg</t>
        </is>
      </c>
      <c r="D16810" s="15" t="n">
        <v>6.629</v>
      </c>
      <c r="E16810" s="4" t="n">
        <v>17721.51898734177</v>
      </c>
      <c r="F16810" s="4" t="n">
        <v>117475.9493670886</v>
      </c>
    </row>
    <row r="16811">
      <c r="A16811" s="3" t="inlineStr">
        <is>
          <t>1</t>
        </is>
      </c>
      <c r="B16811" s="3" t="inlineStr">
        <is>
          <t>Concrete vibrator</t>
        </is>
      </c>
      <c r="C16811" s="3" t="inlineStr">
        <is>
          <t>hari</t>
        </is>
      </c>
      <c r="D16811" s="15" t="n">
        <v>0.0861</v>
      </c>
      <c r="E16811" s="4" t="n">
        <v>800000</v>
      </c>
      <c r="F16811" s="4" t="n">
        <v>68880</v>
      </c>
    </row>
    <row r="16812">
      <c r="A16812" s="3" t="inlineStr">
        <is>
          <t>2</t>
        </is>
      </c>
      <c r="B16812" s="3" t="inlineStr">
        <is>
          <t>Cutter baja beton</t>
        </is>
      </c>
      <c r="C16812" s="3" t="inlineStr">
        <is>
          <t>hari</t>
        </is>
      </c>
      <c r="D16812" s="15" t="n">
        <v>0.0072</v>
      </c>
      <c r="E16812" s="4" t="n">
        <v>800000</v>
      </c>
      <c r="F16812" s="4" t="n">
        <v>5760</v>
      </c>
    </row>
    <row r="16813">
      <c r="D16813" s="2" t="inlineStr">
        <is>
          <t>SUBTOTAL UPAH</t>
        </is>
      </c>
      <c r="F16813" s="16" t="n">
        <v>77100</v>
      </c>
    </row>
    <row r="16814">
      <c r="D16814" s="2" t="inlineStr">
        <is>
          <t>SUBTOTAL BAHAN</t>
        </is>
      </c>
      <c r="F16814" s="16" t="n">
        <v>2110793.17101211</v>
      </c>
    </row>
    <row r="16815">
      <c r="D16815" s="2" t="inlineStr">
        <is>
          <t>SUBTOTAL ALAT</t>
        </is>
      </c>
      <c r="F16815" s="16" t="n">
        <v>74640</v>
      </c>
    </row>
    <row r="16816">
      <c r="E16816" s="2" t="inlineStr">
        <is>
          <t>TOTAL HARGA SATUAN (Inc. Overhead)</t>
        </is>
      </c>
      <c r="F16816" s="17" t="n">
        <v>2488786</v>
      </c>
    </row>
    <row r="16818">
      <c r="A16818" s="14" t="inlineStr">
        <is>
          <t>KODE: 8.1.1.1 - 1 m' Saluran U-Ditch 30x30x120 cm dengan lantai kerja fc 10 Mpa</t>
        </is>
      </c>
    </row>
    <row r="16819">
      <c r="A16819" s="10" t="inlineStr">
        <is>
          <t>No</t>
        </is>
      </c>
      <c r="B16819" s="10" t="inlineStr">
        <is>
          <t>Uraian Komponen</t>
        </is>
      </c>
      <c r="C16819" s="10" t="inlineStr">
        <is>
          <t>Satuan</t>
        </is>
      </c>
      <c r="D16819" s="10" t="inlineStr">
        <is>
          <t>Koef</t>
        </is>
      </c>
      <c r="E16819" s="10" t="inlineStr">
        <is>
          <t>Harga Satuan (Rp)</t>
        </is>
      </c>
      <c r="F16819" s="10" t="inlineStr">
        <is>
          <t>Jumlah Harga (Rp)</t>
        </is>
      </c>
    </row>
    <row r="16820">
      <c r="A16820" s="3" t="inlineStr">
        <is>
          <t>1</t>
        </is>
      </c>
      <c r="B16820" s="3" t="inlineStr">
        <is>
          <t>Pekerja OJ</t>
        </is>
      </c>
      <c r="C16820" s="3" t="inlineStr">
        <is>
          <t>0.0976</t>
        </is>
      </c>
      <c r="D16820" s="15" t="n">
        <v>100000</v>
      </c>
      <c r="E16820" s="4" t="n">
        <v>9760</v>
      </c>
      <c r="F16820" s="4" t="n">
        <v>0.1</v>
      </c>
    </row>
    <row r="16821">
      <c r="A16821" s="3" t="inlineStr">
        <is>
          <t>2</t>
        </is>
      </c>
      <c r="B16821" s="3" t="inlineStr">
        <is>
          <t>Tukang Batu</t>
        </is>
      </c>
      <c r="C16821" s="3" t="inlineStr">
        <is>
          <t>OJ</t>
        </is>
      </c>
      <c r="D16821" s="15" t="n">
        <v>0.09760000000000001</v>
      </c>
      <c r="E16821" s="4" t="n">
        <v>145000</v>
      </c>
      <c r="F16821" s="4" t="n">
        <v>14152</v>
      </c>
    </row>
    <row r="16822">
      <c r="A16822" s="3" t="inlineStr">
        <is>
          <t>3</t>
        </is>
      </c>
      <c r="B16822" s="3" t="inlineStr">
        <is>
          <t>Mandor</t>
        </is>
      </c>
      <c r="C16822" s="3" t="inlineStr">
        <is>
          <t>OJ</t>
        </is>
      </c>
      <c r="D16822" s="15" t="n">
        <v>0.0049</v>
      </c>
      <c r="E16822" s="4" t="n">
        <v>200000</v>
      </c>
      <c r="F16822" s="4" t="n">
        <v>980</v>
      </c>
    </row>
    <row r="16823">
      <c r="A16823" s="3" t="inlineStr">
        <is>
          <t>1</t>
        </is>
      </c>
      <c r="B16823" s="3" t="inlineStr">
        <is>
          <t>Lantai Kerja fc 10 Mpa</t>
        </is>
      </c>
      <c r="C16823" s="3" t="inlineStr">
        <is>
          <t>m3</t>
        </is>
      </c>
      <c r="D16823" s="15" t="n">
        <v>0.025</v>
      </c>
      <c r="E16823" s="4" t="n">
        <v>1236000</v>
      </c>
      <c r="F16823" s="4" t="n">
        <v>30900</v>
      </c>
    </row>
    <row r="16824">
      <c r="A16824" s="3" t="inlineStr">
        <is>
          <t>2</t>
        </is>
      </c>
      <c r="B16824" s="3" t="inlineStr">
        <is>
          <t>Urukan Pasir Uruk</t>
        </is>
      </c>
      <c r="C16824" s="3" t="inlineStr">
        <is>
          <t>m3</t>
        </is>
      </c>
      <c r="D16824" s="15" t="n">
        <v>0.05</v>
      </c>
      <c r="E16824" s="4" t="n">
        <v>488180</v>
      </c>
      <c r="F16824" s="4" t="n">
        <v>24409</v>
      </c>
    </row>
    <row r="16825">
      <c r="A16825" s="3" t="inlineStr">
        <is>
          <t>3</t>
        </is>
      </c>
      <c r="B16825" s="3" t="inlineStr">
        <is>
          <t>U-Ditch 30x30x120 cm</t>
        </is>
      </c>
      <c r="C16825" s="3" t="inlineStr">
        <is>
          <t>buah</t>
        </is>
      </c>
      <c r="D16825" s="15" t="n">
        <v>0.8333</v>
      </c>
      <c r="E16825" s="4" t="n">
        <v>220000</v>
      </c>
      <c r="F16825" s="4" t="n">
        <v>183326</v>
      </c>
    </row>
    <row r="16826">
      <c r="A16826" s="3" t="inlineStr">
        <is>
          <t>1</t>
        </is>
      </c>
      <c r="B16826" s="3" t="inlineStr">
        <is>
          <t>Sewa mobil crane</t>
        </is>
      </c>
      <c r="C16826" s="3" t="inlineStr">
        <is>
          <t>jam</t>
        </is>
      </c>
      <c r="D16826" s="15" t="n">
        <v>0.09760000000000001</v>
      </c>
      <c r="E16826" s="4" t="n">
        <v>1450000</v>
      </c>
      <c r="F16826" s="4" t="n">
        <v>141520</v>
      </c>
    </row>
    <row r="16827">
      <c r="D16827" s="2" t="inlineStr">
        <is>
          <t>SUBTOTAL UPAH</t>
        </is>
      </c>
      <c r="F16827" s="16" t="n">
        <v>24892</v>
      </c>
    </row>
    <row r="16828">
      <c r="D16828" s="2" t="inlineStr">
        <is>
          <t>SUBTOTAL BAHAN</t>
        </is>
      </c>
      <c r="F16828" s="16" t="n">
        <v>238635</v>
      </c>
    </row>
    <row r="16829">
      <c r="D16829" s="2" t="inlineStr">
        <is>
          <t>SUBTOTAL ALAT</t>
        </is>
      </c>
      <c r="F16829" s="16" t="n">
        <v>141520</v>
      </c>
    </row>
    <row r="16830">
      <c r="E16830" s="2" t="inlineStr">
        <is>
          <t>TOTAL HARGA SATUAN (Inc. Overhead)</t>
        </is>
      </c>
      <c r="F16830" s="17" t="n">
        <v>445551</v>
      </c>
    </row>
    <row r="16832">
      <c r="A16832" s="14" t="inlineStr">
        <is>
          <t>KODE: 8.1.1.2 - 1 m Saluran U-Ditch 30x40x120 cm dengan lantai kerja fc 10 Mpa</t>
        </is>
      </c>
    </row>
    <row r="16833">
      <c r="A16833" s="10" t="inlineStr">
        <is>
          <t>No</t>
        </is>
      </c>
      <c r="B16833" s="10" t="inlineStr">
        <is>
          <t>Uraian Komponen</t>
        </is>
      </c>
      <c r="C16833" s="10" t="inlineStr">
        <is>
          <t>Satuan</t>
        </is>
      </c>
      <c r="D16833" s="10" t="inlineStr">
        <is>
          <t>Koef</t>
        </is>
      </c>
      <c r="E16833" s="10" t="inlineStr">
        <is>
          <t>Harga Satuan (Rp)</t>
        </is>
      </c>
      <c r="F16833" s="10" t="inlineStr">
        <is>
          <t>Jumlah Harga (Rp)</t>
        </is>
      </c>
    </row>
    <row r="16834">
      <c r="A16834" s="3" t="inlineStr">
        <is>
          <t>1</t>
        </is>
      </c>
      <c r="B16834" s="3" t="inlineStr">
        <is>
          <t>Pekerja</t>
        </is>
      </c>
      <c r="C16834" s="3" t="inlineStr">
        <is>
          <t>OJ</t>
        </is>
      </c>
      <c r="D16834" s="15" t="n">
        <v>0.1131</v>
      </c>
      <c r="E16834" s="4" t="n">
        <v>100000</v>
      </c>
      <c r="F16834" s="4" t="n">
        <v>11310</v>
      </c>
    </row>
    <row r="16835">
      <c r="A16835" s="3" t="inlineStr">
        <is>
          <t>2</t>
        </is>
      </c>
      <c r="B16835" s="3" t="inlineStr">
        <is>
          <t>Tukang Batu</t>
        </is>
      </c>
      <c r="C16835" s="3" t="inlineStr">
        <is>
          <t>OJ</t>
        </is>
      </c>
      <c r="D16835" s="15" t="n">
        <v>0.1131</v>
      </c>
      <c r="E16835" s="4" t="n">
        <v>145000</v>
      </c>
      <c r="F16835" s="4" t="n">
        <v>16399.5</v>
      </c>
    </row>
    <row r="16836">
      <c r="A16836" s="3" t="inlineStr">
        <is>
          <t>3</t>
        </is>
      </c>
      <c r="B16836" s="3" t="inlineStr">
        <is>
          <t>Mandor</t>
        </is>
      </c>
      <c r="C16836" s="3" t="inlineStr">
        <is>
          <t>OJ</t>
        </is>
      </c>
      <c r="D16836" s="15" t="n">
        <v>0.0057</v>
      </c>
      <c r="E16836" s="4" t="n">
        <v>200000</v>
      </c>
      <c r="F16836" s="4" t="n">
        <v>1140</v>
      </c>
    </row>
    <row r="16837">
      <c r="A16837" s="3" t="inlineStr">
        <is>
          <t>1</t>
        </is>
      </c>
      <c r="B16837" s="3" t="inlineStr">
        <is>
          <t>Lantai Kerja fc 10 Mpa</t>
        </is>
      </c>
      <c r="C16837" s="3" t="inlineStr">
        <is>
          <t>m3</t>
        </is>
      </c>
      <c r="D16837" s="15" t="n">
        <v>0.025</v>
      </c>
      <c r="E16837" s="4" t="n">
        <v>1236000</v>
      </c>
      <c r="F16837" s="4" t="n">
        <v>30900</v>
      </c>
    </row>
    <row r="16838">
      <c r="A16838" s="3" t="inlineStr">
        <is>
          <t>2</t>
        </is>
      </c>
      <c r="B16838" s="3" t="inlineStr">
        <is>
          <t>Urukan Pasir Uruk</t>
        </is>
      </c>
      <c r="C16838" s="3" t="inlineStr">
        <is>
          <t>m3</t>
        </is>
      </c>
      <c r="D16838" s="15" t="n">
        <v>0.05</v>
      </c>
      <c r="E16838" s="4" t="n">
        <v>488180</v>
      </c>
      <c r="F16838" s="4" t="n">
        <v>24409</v>
      </c>
    </row>
    <row r="16839">
      <c r="A16839" s="3" t="inlineStr">
        <is>
          <t>3</t>
        </is>
      </c>
      <c r="B16839" s="3" t="inlineStr">
        <is>
          <t>U-Ditch 30x40x120 cm</t>
        </is>
      </c>
      <c r="C16839" s="3" t="inlineStr">
        <is>
          <t>buah</t>
        </is>
      </c>
      <c r="D16839" s="15" t="n">
        <v>0.8333</v>
      </c>
      <c r="E16839" s="4" t="n">
        <v>240000</v>
      </c>
      <c r="F16839" s="4" t="n">
        <v>199992</v>
      </c>
    </row>
    <row r="16840">
      <c r="A16840" s="3" t="inlineStr">
        <is>
          <t>1</t>
        </is>
      </c>
      <c r="B16840" s="3" t="inlineStr">
        <is>
          <t>Sewa mobil crane</t>
        </is>
      </c>
      <c r="C16840" s="3" t="inlineStr">
        <is>
          <t>jam</t>
        </is>
      </c>
      <c r="D16840" s="15" t="n">
        <v>0.1131</v>
      </c>
      <c r="E16840" s="4" t="n">
        <v>1450000</v>
      </c>
      <c r="F16840" s="4" t="n">
        <v>163995</v>
      </c>
    </row>
    <row r="16841">
      <c r="D16841" s="2" t="inlineStr">
        <is>
          <t>SUBTOTAL UPAH</t>
        </is>
      </c>
      <c r="F16841" s="16" t="n">
        <v>28849.5</v>
      </c>
    </row>
    <row r="16842">
      <c r="D16842" s="2" t="inlineStr">
        <is>
          <t>SUBTOTAL BAHAN</t>
        </is>
      </c>
      <c r="F16842" s="16" t="n">
        <v>255301</v>
      </c>
    </row>
    <row r="16843">
      <c r="D16843" s="2" t="inlineStr">
        <is>
          <t>SUBTOTAL ALAT</t>
        </is>
      </c>
      <c r="F16843" s="16" t="n">
        <v>163995</v>
      </c>
    </row>
    <row r="16844">
      <c r="E16844" s="2" t="inlineStr">
        <is>
          <t>TOTAL HARGA SATUAN (Inc. Overhead)</t>
        </is>
      </c>
      <c r="F16844" s="17" t="n">
        <v>492960</v>
      </c>
    </row>
    <row r="16846">
      <c r="A16846" s="14" t="inlineStr">
        <is>
          <t>KODE: 8.1.1.3 - 1 m Saluran U-Ditch 40x40x120 cm dengan lantai kerja fc 10 Mpa</t>
        </is>
      </c>
    </row>
    <row r="16847">
      <c r="A16847" s="10" t="inlineStr">
        <is>
          <t>No</t>
        </is>
      </c>
      <c r="B16847" s="10" t="inlineStr">
        <is>
          <t>Uraian Komponen</t>
        </is>
      </c>
      <c r="C16847" s="10" t="inlineStr">
        <is>
          <t>Satuan</t>
        </is>
      </c>
      <c r="D16847" s="10" t="inlineStr">
        <is>
          <t>Koef</t>
        </is>
      </c>
      <c r="E16847" s="10" t="inlineStr">
        <is>
          <t>Harga Satuan (Rp)</t>
        </is>
      </c>
      <c r="F16847" s="10" t="inlineStr">
        <is>
          <t>Jumlah Harga (Rp)</t>
        </is>
      </c>
    </row>
    <row r="16848">
      <c r="A16848" s="3" t="inlineStr">
        <is>
          <t>1</t>
        </is>
      </c>
      <c r="B16848" s="3" t="inlineStr">
        <is>
          <t>Pekerja</t>
        </is>
      </c>
      <c r="C16848" s="3" t="inlineStr">
        <is>
          <t>OJ</t>
        </is>
      </c>
      <c r="D16848" s="15" t="n">
        <v>0.1251</v>
      </c>
      <c r="E16848" s="4" t="n">
        <v>100000</v>
      </c>
      <c r="F16848" s="4" t="n">
        <v>12510</v>
      </c>
    </row>
    <row r="16849">
      <c r="A16849" s="3" t="inlineStr">
        <is>
          <t>2</t>
        </is>
      </c>
      <c r="B16849" s="3" t="inlineStr">
        <is>
          <t>Tukang Batu</t>
        </is>
      </c>
      <c r="C16849" s="3" t="inlineStr">
        <is>
          <t>OJ</t>
        </is>
      </c>
      <c r="D16849" s="15" t="n">
        <v>0.1251</v>
      </c>
      <c r="E16849" s="4" t="n">
        <v>145000</v>
      </c>
      <c r="F16849" s="4" t="n">
        <v>18139.5</v>
      </c>
    </row>
    <row r="16850">
      <c r="A16850" s="3" t="inlineStr">
        <is>
          <t>3</t>
        </is>
      </c>
      <c r="B16850" s="3" t="inlineStr">
        <is>
          <t>Mandor</t>
        </is>
      </c>
      <c r="C16850" s="3" t="inlineStr">
        <is>
          <t>OJ</t>
        </is>
      </c>
      <c r="D16850" s="15" t="n">
        <v>0.0063</v>
      </c>
      <c r="E16850" s="4" t="n">
        <v>200000</v>
      </c>
      <c r="F16850" s="4" t="n">
        <v>1260</v>
      </c>
    </row>
    <row r="16851">
      <c r="A16851" s="3" t="inlineStr">
        <is>
          <t>1</t>
        </is>
      </c>
      <c r="B16851" s="3" t="inlineStr">
        <is>
          <t>Lantai Kerja fc 10 Mpa</t>
        </is>
      </c>
      <c r="C16851" s="3" t="inlineStr">
        <is>
          <t>m3</t>
        </is>
      </c>
      <c r="D16851" s="15" t="n">
        <v>0.0325</v>
      </c>
      <c r="E16851" s="4" t="n">
        <v>1236000</v>
      </c>
      <c r="F16851" s="4" t="n">
        <v>40170</v>
      </c>
    </row>
    <row r="16852">
      <c r="A16852" s="3" t="inlineStr">
        <is>
          <t>2</t>
        </is>
      </c>
      <c r="B16852" s="3" t="inlineStr">
        <is>
          <t>Urukan Pasir Uruk</t>
        </is>
      </c>
      <c r="C16852" s="3" t="inlineStr">
        <is>
          <t>m3</t>
        </is>
      </c>
      <c r="D16852" s="15" t="n">
        <v>0.065</v>
      </c>
      <c r="E16852" s="4" t="n">
        <v>488180</v>
      </c>
      <c r="F16852" s="4" t="n">
        <v>31731.7</v>
      </c>
    </row>
    <row r="16853">
      <c r="A16853" s="3" t="inlineStr">
        <is>
          <t>3</t>
        </is>
      </c>
      <c r="B16853" s="3" t="inlineStr">
        <is>
          <t>U-Ditch 40x40x120 cm</t>
        </is>
      </c>
      <c r="C16853" s="3" t="inlineStr">
        <is>
          <t>buah</t>
        </is>
      </c>
      <c r="D16853" s="15" t="n">
        <v>0.8333</v>
      </c>
      <c r="E16853" s="4" t="n">
        <v>270000</v>
      </c>
      <c r="F16853" s="4" t="n">
        <v>224991</v>
      </c>
    </row>
    <row r="16854">
      <c r="A16854" s="3" t="inlineStr">
        <is>
          <t>1</t>
        </is>
      </c>
      <c r="B16854" s="3" t="inlineStr">
        <is>
          <t>Sewa mobil crane</t>
        </is>
      </c>
      <c r="C16854" s="3" t="inlineStr">
        <is>
          <t>jam</t>
        </is>
      </c>
      <c r="D16854" s="15" t="n">
        <v>0.1251</v>
      </c>
      <c r="E16854" s="4" t="n">
        <v>1450000</v>
      </c>
      <c r="F16854" s="4" t="n">
        <v>181395</v>
      </c>
    </row>
    <row r="16855">
      <c r="D16855" s="2" t="inlineStr">
        <is>
          <t>SUBTOTAL UPAH</t>
        </is>
      </c>
      <c r="F16855" s="16" t="n">
        <v>31909.5</v>
      </c>
    </row>
    <row r="16856">
      <c r="D16856" s="2" t="inlineStr">
        <is>
          <t>SUBTOTAL BAHAN</t>
        </is>
      </c>
      <c r="F16856" s="16" t="n">
        <v>296892.7</v>
      </c>
    </row>
    <row r="16857">
      <c r="D16857" s="2" t="inlineStr">
        <is>
          <t>SUBTOTAL ALAT</t>
        </is>
      </c>
      <c r="F16857" s="16" t="n">
        <v>181395</v>
      </c>
    </row>
    <row r="16858">
      <c r="E16858" s="2" t="inlineStr">
        <is>
          <t>TOTAL HARGA SATUAN (Inc. Overhead)</t>
        </is>
      </c>
      <c r="F16858" s="17" t="n">
        <v>561216</v>
      </c>
    </row>
    <row r="16860">
      <c r="A16860" s="14" t="inlineStr">
        <is>
          <t>KODE: 8.1.1.4 - 1 m Saluran U-Ditch 50x50x120 cm dengan lantai kerja fc 10 Mpa</t>
        </is>
      </c>
    </row>
    <row r="16861">
      <c r="A16861" s="10" t="inlineStr">
        <is>
          <t>No</t>
        </is>
      </c>
      <c r="B16861" s="10" t="inlineStr">
        <is>
          <t>Uraian Komponen</t>
        </is>
      </c>
      <c r="C16861" s="10" t="inlineStr">
        <is>
          <t>Satuan</t>
        </is>
      </c>
      <c r="D16861" s="10" t="inlineStr">
        <is>
          <t>Koef</t>
        </is>
      </c>
      <c r="E16861" s="10" t="inlineStr">
        <is>
          <t>Harga Satuan (Rp)</t>
        </is>
      </c>
      <c r="F16861" s="10" t="inlineStr">
        <is>
          <t>Jumlah Harga (Rp)</t>
        </is>
      </c>
    </row>
    <row r="16862">
      <c r="A16862" s="3" t="inlineStr">
        <is>
          <t>1</t>
        </is>
      </c>
      <c r="B16862" s="3" t="inlineStr">
        <is>
          <t>Pekerja</t>
        </is>
      </c>
      <c r="C16862" s="3" t="inlineStr">
        <is>
          <t>OJ</t>
        </is>
      </c>
      <c r="D16862" s="15" t="n">
        <v>0.1359</v>
      </c>
      <c r="E16862" s="4" t="n">
        <v>100000</v>
      </c>
      <c r="F16862" s="4" t="n">
        <v>13590</v>
      </c>
    </row>
    <row r="16863">
      <c r="A16863" s="3" t="inlineStr">
        <is>
          <t>2</t>
        </is>
      </c>
      <c r="B16863" s="3" t="inlineStr">
        <is>
          <t>Tukang Batu</t>
        </is>
      </c>
      <c r="C16863" s="3" t="inlineStr">
        <is>
          <t>OJ</t>
        </is>
      </c>
      <c r="D16863" s="15" t="n">
        <v>0.1359</v>
      </c>
      <c r="E16863" s="4" t="n">
        <v>145000</v>
      </c>
      <c r="F16863" s="4" t="n">
        <v>19705.5</v>
      </c>
    </row>
    <row r="16864">
      <c r="A16864" s="3" t="inlineStr">
        <is>
          <t>3</t>
        </is>
      </c>
      <c r="B16864" s="3" t="inlineStr">
        <is>
          <t>Mandor</t>
        </is>
      </c>
      <c r="C16864" s="3" t="inlineStr">
        <is>
          <t>OJ</t>
        </is>
      </c>
      <c r="D16864" s="15" t="n">
        <v>0.0068</v>
      </c>
      <c r="E16864" s="4" t="n">
        <v>200000</v>
      </c>
      <c r="F16864" s="4" t="n">
        <v>1360</v>
      </c>
    </row>
    <row r="16865">
      <c r="A16865" s="3" t="inlineStr">
        <is>
          <t>1</t>
        </is>
      </c>
      <c r="B16865" s="3" t="inlineStr">
        <is>
          <t>Lantai Kerja fc 10 Mpa</t>
        </is>
      </c>
      <c r="C16865" s="3" t="inlineStr">
        <is>
          <t>m3</t>
        </is>
      </c>
      <c r="D16865" s="15" t="n">
        <v>0.0325</v>
      </c>
      <c r="E16865" s="4" t="n">
        <v>1236000</v>
      </c>
      <c r="F16865" s="4" t="n">
        <v>40170</v>
      </c>
    </row>
    <row r="16866">
      <c r="A16866" s="3" t="inlineStr">
        <is>
          <t>2</t>
        </is>
      </c>
      <c r="B16866" s="3" t="inlineStr">
        <is>
          <t>Urukan Pasir Uruk</t>
        </is>
      </c>
      <c r="C16866" s="3" t="inlineStr">
        <is>
          <t>m3</t>
        </is>
      </c>
      <c r="D16866" s="15" t="n">
        <v>0.065</v>
      </c>
      <c r="E16866" s="4" t="n">
        <v>488180</v>
      </c>
      <c r="F16866" s="4" t="n">
        <v>31731.7</v>
      </c>
    </row>
    <row r="16867">
      <c r="A16867" s="3" t="inlineStr">
        <is>
          <t>3</t>
        </is>
      </c>
      <c r="B16867" s="3" t="inlineStr">
        <is>
          <t>U-Ditch 40x50x120 cm</t>
        </is>
      </c>
      <c r="C16867" s="3" t="inlineStr">
        <is>
          <t>buah</t>
        </is>
      </c>
      <c r="D16867" s="15" t="n">
        <v>0.8333</v>
      </c>
      <c r="E16867" s="4" t="n">
        <v>290000</v>
      </c>
      <c r="F16867" s="4" t="n">
        <v>241657</v>
      </c>
    </row>
    <row r="16868">
      <c r="A16868" s="3" t="inlineStr">
        <is>
          <t>1</t>
        </is>
      </c>
      <c r="B16868" s="3" t="inlineStr">
        <is>
          <t>Sewa mobil crane</t>
        </is>
      </c>
      <c r="C16868" s="3" t="inlineStr">
        <is>
          <t>jam</t>
        </is>
      </c>
      <c r="D16868" s="15" t="n">
        <v>0.1359</v>
      </c>
      <c r="E16868" s="4" t="n">
        <v>1450000</v>
      </c>
      <c r="F16868" s="4" t="n">
        <v>197055</v>
      </c>
    </row>
    <row r="16869">
      <c r="D16869" s="2" t="inlineStr">
        <is>
          <t>SUBTOTAL UPAH</t>
        </is>
      </c>
      <c r="F16869" s="16" t="n">
        <v>34655.5</v>
      </c>
    </row>
    <row r="16870">
      <c r="D16870" s="2" t="inlineStr">
        <is>
          <t>SUBTOTAL BAHAN</t>
        </is>
      </c>
      <c r="F16870" s="16" t="n">
        <v>313558.7</v>
      </c>
    </row>
    <row r="16871">
      <c r="D16871" s="2" t="inlineStr">
        <is>
          <t>SUBTOTAL ALAT</t>
        </is>
      </c>
      <c r="F16871" s="16" t="n">
        <v>197055</v>
      </c>
    </row>
    <row r="16872">
      <c r="E16872" s="2" t="inlineStr">
        <is>
          <t>TOTAL HARGA SATUAN (Inc. Overhead)</t>
        </is>
      </c>
      <c r="F16872" s="17" t="n">
        <v>599796</v>
      </c>
    </row>
    <row r="16874">
      <c r="A16874" s="14" t="inlineStr">
        <is>
          <t>KODE: 8.1.1.5 - 1 m Saluran U-Ditch 40x60x120 cm dengan lantai kerja fc 10 Mpa</t>
        </is>
      </c>
    </row>
    <row r="16875">
      <c r="A16875" s="10" t="inlineStr">
        <is>
          <t>No</t>
        </is>
      </c>
      <c r="B16875" s="10" t="inlineStr">
        <is>
          <t>Uraian Komponen</t>
        </is>
      </c>
      <c r="C16875" s="10" t="inlineStr">
        <is>
          <t>Satuan</t>
        </is>
      </c>
      <c r="D16875" s="10" t="inlineStr">
        <is>
          <t>Koef</t>
        </is>
      </c>
      <c r="E16875" s="10" t="inlineStr">
        <is>
          <t>Harga Satuan (Rp)</t>
        </is>
      </c>
      <c r="F16875" s="10" t="inlineStr">
        <is>
          <t>Jumlah Harga (Rp)</t>
        </is>
      </c>
    </row>
    <row r="16876">
      <c r="A16876" s="3" t="inlineStr">
        <is>
          <t>1</t>
        </is>
      </c>
      <c r="B16876" s="3" t="inlineStr">
        <is>
          <t>Pekerja</t>
        </is>
      </c>
      <c r="C16876" s="3" t="inlineStr">
        <is>
          <t>OJ</t>
        </is>
      </c>
      <c r="D16876" s="15" t="n">
        <v>0.1424</v>
      </c>
      <c r="E16876" s="4" t="n">
        <v>100000</v>
      </c>
      <c r="F16876" s="4" t="n">
        <v>14240</v>
      </c>
    </row>
    <row r="16877">
      <c r="A16877" s="3" t="inlineStr">
        <is>
          <t>2</t>
        </is>
      </c>
      <c r="B16877" s="3" t="inlineStr">
        <is>
          <t>Tukang Batu</t>
        </is>
      </c>
      <c r="C16877" s="3" t="inlineStr">
        <is>
          <t>OJ</t>
        </is>
      </c>
      <c r="D16877" s="15" t="n">
        <v>0.1424</v>
      </c>
      <c r="E16877" s="4" t="n">
        <v>145000</v>
      </c>
      <c r="F16877" s="4" t="n">
        <v>20648</v>
      </c>
    </row>
    <row r="16878">
      <c r="A16878" s="3" t="inlineStr">
        <is>
          <t>3</t>
        </is>
      </c>
      <c r="B16878" s="3" t="inlineStr">
        <is>
          <t>Mandor</t>
        </is>
      </c>
      <c r="C16878" s="3" t="inlineStr">
        <is>
          <t>OJ</t>
        </is>
      </c>
      <c r="D16878" s="15" t="n">
        <v>0.0071</v>
      </c>
      <c r="E16878" s="4" t="n">
        <v>200000</v>
      </c>
      <c r="F16878" s="4" t="n">
        <v>1420</v>
      </c>
    </row>
    <row r="16879">
      <c r="A16879" s="3" t="inlineStr">
        <is>
          <t>1</t>
        </is>
      </c>
      <c r="B16879" s="3" t="inlineStr">
        <is>
          <t>Lantai Kerja fc 10 Mpa</t>
        </is>
      </c>
      <c r="C16879" s="3" t="inlineStr">
        <is>
          <t>m3</t>
        </is>
      </c>
      <c r="D16879" s="15" t="n">
        <v>0.0325</v>
      </c>
      <c r="E16879" s="4" t="n">
        <v>1236000</v>
      </c>
      <c r="F16879" s="4" t="n">
        <v>40170</v>
      </c>
    </row>
    <row r="16880">
      <c r="A16880" s="3" t="inlineStr">
        <is>
          <t>2</t>
        </is>
      </c>
      <c r="B16880" s="3" t="inlineStr">
        <is>
          <t>Urukan Pasir Uruk</t>
        </is>
      </c>
      <c r="C16880" s="3" t="inlineStr">
        <is>
          <t>m3</t>
        </is>
      </c>
      <c r="D16880" s="15" t="n">
        <v>0.065</v>
      </c>
      <c r="E16880" s="4" t="n">
        <v>488180</v>
      </c>
      <c r="F16880" s="4" t="n">
        <v>31731.7</v>
      </c>
    </row>
    <row r="16881">
      <c r="A16881" s="3" t="inlineStr">
        <is>
          <t>3</t>
        </is>
      </c>
      <c r="B16881" s="3" t="inlineStr">
        <is>
          <t>U-Ditch 40x60x120 cm</t>
        </is>
      </c>
      <c r="C16881" s="3" t="inlineStr">
        <is>
          <t>buah</t>
        </is>
      </c>
      <c r="D16881" s="15" t="n">
        <v>0.8333</v>
      </c>
      <c r="E16881" s="4" t="n">
        <v>320000</v>
      </c>
      <c r="F16881" s="4" t="n">
        <v>266656</v>
      </c>
    </row>
    <row r="16882">
      <c r="A16882" s="3" t="inlineStr">
        <is>
          <t>1</t>
        </is>
      </c>
      <c r="B16882" s="3" t="inlineStr">
        <is>
          <t>Sewa mobil crane</t>
        </is>
      </c>
      <c r="C16882" s="3" t="inlineStr">
        <is>
          <t>jam</t>
        </is>
      </c>
      <c r="D16882" s="15" t="n">
        <v>0.1424</v>
      </c>
      <c r="E16882" s="4" t="n">
        <v>1450000</v>
      </c>
      <c r="F16882" s="4" t="n">
        <v>206480</v>
      </c>
    </row>
    <row r="16883">
      <c r="D16883" s="2" t="inlineStr">
        <is>
          <t>SUBTOTAL UPAH</t>
        </is>
      </c>
      <c r="F16883" s="16" t="n">
        <v>36308</v>
      </c>
    </row>
    <row r="16884">
      <c r="D16884" s="2" t="inlineStr">
        <is>
          <t>SUBTOTAL BAHAN</t>
        </is>
      </c>
      <c r="F16884" s="16" t="n">
        <v>338557.7</v>
      </c>
    </row>
    <row r="16885">
      <c r="D16885" s="2" t="inlineStr">
        <is>
          <t>SUBTOTAL ALAT</t>
        </is>
      </c>
      <c r="F16885" s="16" t="n">
        <v>206480</v>
      </c>
    </row>
    <row r="16886">
      <c r="E16886" s="2" t="inlineStr">
        <is>
          <t>TOTAL HARGA SATUAN (Inc. Overhead)</t>
        </is>
      </c>
      <c r="F16886" s="17" t="n">
        <v>639480</v>
      </c>
    </row>
    <row r="16888">
      <c r="A16888" s="14" t="inlineStr">
        <is>
          <t>KODE: 8.1.1.6 - 1 m Saluran U-Ditch 50x50x120 cm dengan lantai kerja fc 10 Mpa</t>
        </is>
      </c>
    </row>
    <row r="16889">
      <c r="A16889" s="10" t="inlineStr">
        <is>
          <t>No</t>
        </is>
      </c>
      <c r="B16889" s="10" t="inlineStr">
        <is>
          <t>Uraian Komponen</t>
        </is>
      </c>
      <c r="C16889" s="10" t="inlineStr">
        <is>
          <t>Satuan</t>
        </is>
      </c>
      <c r="D16889" s="10" t="inlineStr">
        <is>
          <t>Koef</t>
        </is>
      </c>
      <c r="E16889" s="10" t="inlineStr">
        <is>
          <t>Harga Satuan (Rp)</t>
        </is>
      </c>
      <c r="F16889" s="10" t="inlineStr">
        <is>
          <t>Jumlah Harga (Rp)</t>
        </is>
      </c>
    </row>
    <row r="16890">
      <c r="A16890" s="3" t="inlineStr">
        <is>
          <t>1</t>
        </is>
      </c>
      <c r="B16890" s="3" t="inlineStr">
        <is>
          <t>Pekerja</t>
        </is>
      </c>
      <c r="C16890" s="3" t="inlineStr">
        <is>
          <t>OJ</t>
        </is>
      </c>
      <c r="D16890" s="15" t="n">
        <v>0.1481</v>
      </c>
      <c r="E16890" s="4" t="n">
        <v>100000</v>
      </c>
      <c r="F16890" s="4" t="n">
        <v>14810</v>
      </c>
    </row>
    <row r="16891">
      <c r="A16891" s="3" t="inlineStr">
        <is>
          <t>2</t>
        </is>
      </c>
      <c r="B16891" s="3" t="inlineStr">
        <is>
          <t>Tukang Batu</t>
        </is>
      </c>
      <c r="C16891" s="3" t="inlineStr">
        <is>
          <t>OJ</t>
        </is>
      </c>
      <c r="D16891" s="15" t="n">
        <v>0.1481</v>
      </c>
      <c r="E16891" s="4" t="n">
        <v>145000</v>
      </c>
      <c r="F16891" s="4" t="n">
        <v>21474.5</v>
      </c>
    </row>
    <row r="16892">
      <c r="A16892" s="3" t="inlineStr">
        <is>
          <t>3</t>
        </is>
      </c>
      <c r="B16892" s="3" t="inlineStr">
        <is>
          <t>Mandor</t>
        </is>
      </c>
      <c r="C16892" s="3" t="inlineStr">
        <is>
          <t>OJ</t>
        </is>
      </c>
      <c r="D16892" s="15" t="n">
        <v>0.0074</v>
      </c>
      <c r="E16892" s="4" t="n">
        <v>200000</v>
      </c>
      <c r="F16892" s="4" t="n">
        <v>1480</v>
      </c>
    </row>
    <row r="16893">
      <c r="A16893" s="3" t="inlineStr">
        <is>
          <t>1</t>
        </is>
      </c>
      <c r="B16893" s="3" t="inlineStr">
        <is>
          <t>Lantai Kerja fc 10 Mpa</t>
        </is>
      </c>
      <c r="C16893" s="3" t="inlineStr">
        <is>
          <t>m3</t>
        </is>
      </c>
      <c r="D16893" s="15" t="n">
        <v>0.0395</v>
      </c>
      <c r="E16893" s="4" t="n">
        <v>1236000</v>
      </c>
      <c r="F16893" s="4" t="n">
        <v>48822</v>
      </c>
    </row>
    <row r="16894">
      <c r="A16894" s="3" t="inlineStr">
        <is>
          <t>2</t>
        </is>
      </c>
      <c r="B16894" s="3" t="inlineStr">
        <is>
          <t>Urukan Pasir Uruk</t>
        </is>
      </c>
      <c r="C16894" s="3" t="inlineStr">
        <is>
          <t>m3</t>
        </is>
      </c>
      <c r="D16894" s="15" t="n">
        <v>0.079</v>
      </c>
      <c r="E16894" s="4" t="n">
        <v>488180</v>
      </c>
      <c r="F16894" s="4" t="n">
        <v>38566.22</v>
      </c>
    </row>
    <row r="16895">
      <c r="A16895" s="3" t="inlineStr">
        <is>
          <t>3</t>
        </is>
      </c>
      <c r="B16895" s="3" t="inlineStr">
        <is>
          <t>U-Ditch 50x50x120 cm</t>
        </is>
      </c>
      <c r="C16895" s="3" t="inlineStr">
        <is>
          <t>buah</t>
        </is>
      </c>
      <c r="D16895" s="15" t="n">
        <v>0.8333</v>
      </c>
      <c r="E16895" s="4" t="n">
        <v>340000</v>
      </c>
      <c r="F16895" s="4" t="n">
        <v>283322</v>
      </c>
    </row>
    <row r="16896">
      <c r="A16896" s="3" t="inlineStr">
        <is>
          <t>1</t>
        </is>
      </c>
      <c r="B16896" s="3" t="inlineStr">
        <is>
          <t>Sewa mobil crane</t>
        </is>
      </c>
      <c r="C16896" s="3" t="inlineStr">
        <is>
          <t>jam</t>
        </is>
      </c>
      <c r="D16896" s="15" t="n">
        <v>0.1481</v>
      </c>
      <c r="E16896" s="4" t="n">
        <v>1450000</v>
      </c>
      <c r="F16896" s="4" t="n">
        <v>214745</v>
      </c>
    </row>
    <row r="16897">
      <c r="D16897" s="2" t="inlineStr">
        <is>
          <t>SUBTOTAL UPAH</t>
        </is>
      </c>
      <c r="F16897" s="16" t="n">
        <v>37764.5</v>
      </c>
    </row>
    <row r="16898">
      <c r="D16898" s="2" t="inlineStr">
        <is>
          <t>SUBTOTAL BAHAN</t>
        </is>
      </c>
      <c r="F16898" s="16" t="n">
        <v>370710.22</v>
      </c>
    </row>
    <row r="16899">
      <c r="D16899" s="2" t="inlineStr">
        <is>
          <t>SUBTOTAL ALAT</t>
        </is>
      </c>
      <c r="F16899" s="16" t="n">
        <v>214745</v>
      </c>
    </row>
    <row r="16900">
      <c r="E16900" s="2" t="inlineStr">
        <is>
          <t>TOTAL HARGA SATUAN (Inc. Overhead)</t>
        </is>
      </c>
      <c r="F16900" s="17" t="n">
        <v>599796</v>
      </c>
    </row>
    <row r="16902">
      <c r="A16902" s="14" t="inlineStr">
        <is>
          <t>KODE: 8.1.1.7 - 1 m Saluran U-Ditch 50x60x120 cm dengan lantai kerja fc 10 Mpa</t>
        </is>
      </c>
    </row>
    <row r="16903">
      <c r="A16903" s="10" t="inlineStr">
        <is>
          <t>No</t>
        </is>
      </c>
      <c r="B16903" s="10" t="inlineStr">
        <is>
          <t>Uraian Komponen</t>
        </is>
      </c>
      <c r="C16903" s="10" t="inlineStr">
        <is>
          <t>Satuan</t>
        </is>
      </c>
      <c r="D16903" s="10" t="inlineStr">
        <is>
          <t>Koef</t>
        </is>
      </c>
      <c r="E16903" s="10" t="inlineStr">
        <is>
          <t>Harga Satuan (Rp)</t>
        </is>
      </c>
      <c r="F16903" s="10" t="inlineStr">
        <is>
          <t>Jumlah Harga (Rp)</t>
        </is>
      </c>
    </row>
    <row r="16904">
      <c r="A16904" s="3" t="inlineStr">
        <is>
          <t>1</t>
        </is>
      </c>
      <c r="B16904" s="3" t="inlineStr">
        <is>
          <t>Pekerja</t>
        </is>
      </c>
      <c r="C16904" s="3" t="inlineStr">
        <is>
          <t>OJ</t>
        </is>
      </c>
      <c r="D16904" s="15" t="n">
        <v>0.1986</v>
      </c>
      <c r="E16904" s="4" t="n">
        <v>100000</v>
      </c>
      <c r="F16904" s="4" t="n">
        <v>19860</v>
      </c>
    </row>
    <row r="16905">
      <c r="A16905" s="3" t="inlineStr">
        <is>
          <t>2</t>
        </is>
      </c>
      <c r="B16905" s="3" t="inlineStr">
        <is>
          <t>Tukang Batu</t>
        </is>
      </c>
      <c r="C16905" s="3" t="inlineStr">
        <is>
          <t>OJ</t>
        </is>
      </c>
      <c r="D16905" s="15" t="n">
        <v>0.1986</v>
      </c>
      <c r="E16905" s="4" t="n">
        <v>145000</v>
      </c>
      <c r="F16905" s="4" t="n">
        <v>28797</v>
      </c>
    </row>
    <row r="16906">
      <c r="A16906" s="3" t="inlineStr">
        <is>
          <t>3</t>
        </is>
      </c>
      <c r="B16906" s="3" t="inlineStr">
        <is>
          <t>Mandor</t>
        </is>
      </c>
      <c r="C16906" s="3" t="inlineStr">
        <is>
          <t>OJ</t>
        </is>
      </c>
      <c r="D16906" s="15" t="n">
        <v>0.008999999999999999</v>
      </c>
      <c r="E16906" s="4" t="n">
        <v>200000</v>
      </c>
      <c r="F16906" s="4" t="n">
        <v>1800</v>
      </c>
    </row>
    <row r="16907">
      <c r="A16907" s="3" t="inlineStr">
        <is>
          <t>1</t>
        </is>
      </c>
      <c r="B16907" s="3" t="inlineStr">
        <is>
          <t>Lantai Kerja fc 10 Mpa</t>
        </is>
      </c>
      <c r="C16907" s="3" t="inlineStr">
        <is>
          <t>m3</t>
        </is>
      </c>
      <c r="D16907" s="15" t="n">
        <v>0.0395</v>
      </c>
      <c r="E16907" s="4" t="n">
        <v>1236000</v>
      </c>
      <c r="F16907" s="4" t="n">
        <v>48822</v>
      </c>
    </row>
    <row r="16908">
      <c r="A16908" s="3" t="inlineStr">
        <is>
          <t>2</t>
        </is>
      </c>
      <c r="B16908" s="3" t="inlineStr">
        <is>
          <t>Urukan Pasir Uruk</t>
        </is>
      </c>
      <c r="C16908" s="3" t="inlineStr">
        <is>
          <t>m3</t>
        </is>
      </c>
      <c r="D16908" s="15" t="n">
        <v>0.079</v>
      </c>
      <c r="E16908" s="4" t="n">
        <v>488180</v>
      </c>
      <c r="F16908" s="4" t="n">
        <v>38566.22</v>
      </c>
    </row>
    <row r="16909">
      <c r="A16909" s="3" t="inlineStr">
        <is>
          <t>3</t>
        </is>
      </c>
      <c r="B16909" s="3" t="inlineStr">
        <is>
          <t>U-Ditch 50x60x120 cm</t>
        </is>
      </c>
      <c r="C16909" s="3" t="inlineStr">
        <is>
          <t>buah</t>
        </is>
      </c>
      <c r="D16909" s="15" t="n">
        <v>0.8333</v>
      </c>
      <c r="E16909" s="4" t="n">
        <v>370000</v>
      </c>
      <c r="F16909" s="4" t="n">
        <v>308321</v>
      </c>
    </row>
    <row r="16910">
      <c r="A16910" s="3" t="inlineStr">
        <is>
          <t>1</t>
        </is>
      </c>
      <c r="B16910" s="3" t="inlineStr">
        <is>
          <t>Sewa mobil crane</t>
        </is>
      </c>
      <c r="C16910" s="3" t="inlineStr">
        <is>
          <t>jam</t>
        </is>
      </c>
      <c r="D16910" s="15" t="n">
        <v>0.1986</v>
      </c>
      <c r="E16910" s="4" t="n">
        <v>1450000</v>
      </c>
      <c r="F16910" s="4" t="n">
        <v>287970</v>
      </c>
    </row>
    <row r="16911">
      <c r="D16911" s="2" t="inlineStr">
        <is>
          <t>SUBTOTAL UPAH</t>
        </is>
      </c>
      <c r="F16911" s="16" t="n">
        <v>50457</v>
      </c>
    </row>
    <row r="16912">
      <c r="D16912" s="2" t="inlineStr">
        <is>
          <t>SUBTOTAL BAHAN</t>
        </is>
      </c>
      <c r="F16912" s="16" t="n">
        <v>395709.22</v>
      </c>
    </row>
    <row r="16913">
      <c r="D16913" s="2" t="inlineStr">
        <is>
          <t>SUBTOTAL ALAT</t>
        </is>
      </c>
      <c r="F16913" s="16" t="n">
        <v>287970</v>
      </c>
    </row>
    <row r="16914">
      <c r="E16914" s="2" t="inlineStr">
        <is>
          <t>TOTAL HARGA SATUAN (Inc. Overhead)</t>
        </is>
      </c>
      <c r="F16914" s="17" t="n">
        <v>807549</v>
      </c>
    </row>
    <row r="16916">
      <c r="A16916" s="14" t="inlineStr">
        <is>
          <t>KODE: 8.1.1.8 - 1 m Saluran U-Ditch 50x70x120 cm dengan lantai kerja fc 10 Mpa</t>
        </is>
      </c>
    </row>
    <row r="16917">
      <c r="A16917" s="10" t="inlineStr">
        <is>
          <t>No</t>
        </is>
      </c>
      <c r="B16917" s="10" t="inlineStr">
        <is>
          <t>Uraian Komponen</t>
        </is>
      </c>
      <c r="C16917" s="10" t="inlineStr">
        <is>
          <t>Satuan</t>
        </is>
      </c>
      <c r="D16917" s="10" t="inlineStr">
        <is>
          <t>Koef</t>
        </is>
      </c>
      <c r="E16917" s="10" t="inlineStr">
        <is>
          <t>Harga Satuan (Rp)</t>
        </is>
      </c>
      <c r="F16917" s="10" t="inlineStr">
        <is>
          <t>Jumlah Harga (Rp)</t>
        </is>
      </c>
    </row>
    <row r="16918">
      <c r="A16918" s="3" t="inlineStr">
        <is>
          <t>1</t>
        </is>
      </c>
      <c r="B16918" s="3" t="inlineStr">
        <is>
          <t>Pekerja</t>
        </is>
      </c>
      <c r="C16918" s="3" t="inlineStr">
        <is>
          <t>OJ</t>
        </is>
      </c>
      <c r="D16918" s="15" t="n">
        <v>0.2035</v>
      </c>
      <c r="E16918" s="4" t="n">
        <v>100000</v>
      </c>
      <c r="F16918" s="4" t="n">
        <v>20350</v>
      </c>
    </row>
    <row r="16919">
      <c r="A16919" s="3" t="inlineStr">
        <is>
          <t>2</t>
        </is>
      </c>
      <c r="B16919" s="3" t="inlineStr">
        <is>
          <t>Tukang Batu</t>
        </is>
      </c>
      <c r="C16919" s="3" t="inlineStr">
        <is>
          <t>OJ</t>
        </is>
      </c>
      <c r="D16919" s="15" t="n">
        <v>0.2035</v>
      </c>
      <c r="E16919" s="4" t="n">
        <v>145000</v>
      </c>
      <c r="F16919" s="4" t="n">
        <v>29507.5</v>
      </c>
    </row>
    <row r="16920">
      <c r="A16920" s="3" t="inlineStr">
        <is>
          <t>3</t>
        </is>
      </c>
      <c r="B16920" s="3" t="inlineStr">
        <is>
          <t>Mandor</t>
        </is>
      </c>
      <c r="C16920" s="3" t="inlineStr">
        <is>
          <t>OJ</t>
        </is>
      </c>
      <c r="D16920" s="15" t="n">
        <v>0.0102</v>
      </c>
      <c r="E16920" s="4" t="n">
        <v>200000</v>
      </c>
      <c r="F16920" s="4" t="n">
        <v>2040</v>
      </c>
    </row>
    <row r="16921">
      <c r="A16921" s="3" t="inlineStr">
        <is>
          <t>1</t>
        </is>
      </c>
      <c r="B16921" s="3" t="inlineStr">
        <is>
          <t>Lantai Kerja fc 10 Mpa</t>
        </is>
      </c>
      <c r="C16921" s="3" t="inlineStr">
        <is>
          <t>m3</t>
        </is>
      </c>
      <c r="D16921" s="15" t="n">
        <v>0.0395</v>
      </c>
      <c r="E16921" s="4" t="n">
        <v>1236000</v>
      </c>
      <c r="F16921" s="4" t="n">
        <v>48822</v>
      </c>
    </row>
    <row r="16922">
      <c r="A16922" s="3" t="inlineStr">
        <is>
          <t>2</t>
        </is>
      </c>
      <c r="B16922" s="3" t="inlineStr">
        <is>
          <t>Urukan Pasir Uruk</t>
        </is>
      </c>
      <c r="C16922" s="3" t="inlineStr">
        <is>
          <t>m3</t>
        </is>
      </c>
      <c r="D16922" s="15" t="n">
        <v>0.079</v>
      </c>
      <c r="E16922" s="4" t="n">
        <v>488180</v>
      </c>
      <c r="F16922" s="4" t="n">
        <v>38566.22</v>
      </c>
    </row>
    <row r="16923">
      <c r="A16923" s="3" t="inlineStr">
        <is>
          <t>3</t>
        </is>
      </c>
      <c r="B16923" s="3" t="inlineStr">
        <is>
          <t>U-Ditch 50x70x120 cm</t>
        </is>
      </c>
      <c r="C16923" s="3" t="inlineStr">
        <is>
          <t>buah</t>
        </is>
      </c>
      <c r="D16923" s="15" t="n">
        <v>0.8333</v>
      </c>
      <c r="E16923" s="4" t="n">
        <v>390000</v>
      </c>
      <c r="F16923" s="4" t="n">
        <v>324987</v>
      </c>
    </row>
    <row r="16924">
      <c r="A16924" s="3" t="inlineStr">
        <is>
          <t>1</t>
        </is>
      </c>
      <c r="B16924" s="3" t="inlineStr">
        <is>
          <t>Sewa mobil crane</t>
        </is>
      </c>
      <c r="C16924" s="3" t="inlineStr">
        <is>
          <t>jam</t>
        </is>
      </c>
      <c r="D16924" s="15" t="n">
        <v>0.2035</v>
      </c>
      <c r="E16924" s="4" t="n">
        <v>1450000</v>
      </c>
      <c r="F16924" s="4" t="n">
        <v>295075</v>
      </c>
    </row>
    <row r="16925">
      <c r="D16925" s="2" t="inlineStr">
        <is>
          <t>SUBTOTAL UPAH</t>
        </is>
      </c>
      <c r="F16925" s="16" t="n">
        <v>51897.5</v>
      </c>
    </row>
    <row r="16926">
      <c r="D16926" s="2" t="inlineStr">
        <is>
          <t>SUBTOTAL BAHAN</t>
        </is>
      </c>
      <c r="F16926" s="16" t="n">
        <v>412375.22</v>
      </c>
    </row>
    <row r="16927">
      <c r="D16927" s="2" t="inlineStr">
        <is>
          <t>SUBTOTAL ALAT</t>
        </is>
      </c>
      <c r="F16927" s="16" t="n">
        <v>295075</v>
      </c>
    </row>
    <row r="16928">
      <c r="E16928" s="2" t="inlineStr">
        <is>
          <t>TOTAL HARGA SATUAN (Inc. Overhead)</t>
        </is>
      </c>
      <c r="F16928" s="17" t="n">
        <v>835282</v>
      </c>
    </row>
    <row r="16930">
      <c r="A16930" s="14" t="inlineStr">
        <is>
          <t>KODE: 8.1.1.9 - 1 m Saluran U-Ditch 60x60x120 cm dengan lantai kerja fc 10 Mpa</t>
        </is>
      </c>
    </row>
    <row r="16931">
      <c r="A16931" s="10" t="inlineStr">
        <is>
          <t>No</t>
        </is>
      </c>
      <c r="B16931" s="10" t="inlineStr">
        <is>
          <t>Uraian Komponen</t>
        </is>
      </c>
      <c r="C16931" s="10" t="inlineStr">
        <is>
          <t>Satuan</t>
        </is>
      </c>
      <c r="D16931" s="10" t="inlineStr">
        <is>
          <t>Koef</t>
        </is>
      </c>
      <c r="E16931" s="10" t="inlineStr">
        <is>
          <t>Harga Satuan (Rp)</t>
        </is>
      </c>
      <c r="F16931" s="10" t="inlineStr">
        <is>
          <t>Jumlah Harga (Rp)</t>
        </is>
      </c>
    </row>
    <row r="16932">
      <c r="A16932" s="3" t="inlineStr">
        <is>
          <t>1</t>
        </is>
      </c>
      <c r="B16932" s="3" t="inlineStr">
        <is>
          <t>Pekerja</t>
        </is>
      </c>
      <c r="C16932" s="3" t="inlineStr">
        <is>
          <t>OJ</t>
        </is>
      </c>
      <c r="D16932" s="15" t="n">
        <v>0.2158</v>
      </c>
      <c r="E16932" s="4" t="n">
        <v>100000</v>
      </c>
      <c r="F16932" s="4" t="n">
        <v>21580</v>
      </c>
    </row>
    <row r="16933">
      <c r="A16933" s="3" t="inlineStr">
        <is>
          <t>2</t>
        </is>
      </c>
      <c r="B16933" s="3" t="inlineStr">
        <is>
          <t>Tukang Batu</t>
        </is>
      </c>
      <c r="C16933" s="3" t="inlineStr">
        <is>
          <t>OJ</t>
        </is>
      </c>
      <c r="D16933" s="15" t="n">
        <v>0.2158</v>
      </c>
      <c r="E16933" s="4" t="n">
        <v>145000</v>
      </c>
      <c r="F16933" s="4" t="n">
        <v>31291</v>
      </c>
    </row>
    <row r="16934">
      <c r="A16934" s="3" t="inlineStr">
        <is>
          <t>3</t>
        </is>
      </c>
      <c r="B16934" s="3" t="inlineStr">
        <is>
          <t>Mandor</t>
        </is>
      </c>
      <c r="C16934" s="3" t="inlineStr">
        <is>
          <t>OJ</t>
        </is>
      </c>
      <c r="D16934" s="15" t="n">
        <v>0.0108</v>
      </c>
      <c r="E16934" s="4" t="n">
        <v>200000</v>
      </c>
      <c r="F16934" s="4" t="n">
        <v>2160</v>
      </c>
    </row>
    <row r="16935">
      <c r="A16935" s="3" t="inlineStr">
        <is>
          <t>1</t>
        </is>
      </c>
      <c r="B16935" s="3" t="inlineStr">
        <is>
          <t>Lantai Kerja fc 10 Mpa</t>
        </is>
      </c>
      <c r="C16935" s="3" t="inlineStr">
        <is>
          <t>m3</t>
        </is>
      </c>
      <c r="D16935" s="15" t="n">
        <v>0.0445</v>
      </c>
      <c r="E16935" s="4" t="n">
        <v>1236000</v>
      </c>
      <c r="F16935" s="4" t="n">
        <v>55002</v>
      </c>
    </row>
    <row r="16936">
      <c r="A16936" s="3" t="inlineStr">
        <is>
          <t>2</t>
        </is>
      </c>
      <c r="B16936" s="3" t="inlineStr">
        <is>
          <t>Urukan Pasir Uruk</t>
        </is>
      </c>
      <c r="C16936" s="3" t="inlineStr">
        <is>
          <t>m3</t>
        </is>
      </c>
      <c r="D16936" s="15" t="n">
        <v>0.089</v>
      </c>
      <c r="E16936" s="4" t="n">
        <v>488180</v>
      </c>
      <c r="F16936" s="4" t="n">
        <v>43448.02</v>
      </c>
    </row>
    <row r="16937">
      <c r="A16937" s="3" t="inlineStr">
        <is>
          <t>3</t>
        </is>
      </c>
      <c r="B16937" s="3" t="inlineStr">
        <is>
          <t>U-Ditch 60x60x120 cm</t>
        </is>
      </c>
      <c r="C16937" s="3" t="inlineStr">
        <is>
          <t>buah</t>
        </is>
      </c>
      <c r="D16937" s="15" t="n">
        <v>0.8333</v>
      </c>
      <c r="E16937" s="4" t="n">
        <v>420000</v>
      </c>
      <c r="F16937" s="4" t="n">
        <v>349986</v>
      </c>
    </row>
    <row r="16938">
      <c r="A16938" s="3" t="inlineStr">
        <is>
          <t>1</t>
        </is>
      </c>
      <c r="B16938" s="3" t="inlineStr">
        <is>
          <t>Sewa mobil crane</t>
        </is>
      </c>
      <c r="C16938" s="3" t="inlineStr">
        <is>
          <t>jam</t>
        </is>
      </c>
      <c r="D16938" s="15" t="n">
        <v>0.2158</v>
      </c>
      <c r="E16938" s="4" t="n">
        <v>1450000</v>
      </c>
      <c r="F16938" s="4" t="n">
        <v>312910</v>
      </c>
    </row>
    <row r="16939">
      <c r="D16939" s="2" t="inlineStr">
        <is>
          <t>SUBTOTAL UPAH</t>
        </is>
      </c>
      <c r="F16939" s="16" t="n">
        <v>55031</v>
      </c>
    </row>
    <row r="16940">
      <c r="D16940" s="2" t="inlineStr">
        <is>
          <t>SUBTOTAL BAHAN</t>
        </is>
      </c>
      <c r="F16940" s="16" t="n">
        <v>448436.02</v>
      </c>
    </row>
    <row r="16941">
      <c r="D16941" s="2" t="inlineStr">
        <is>
          <t>SUBTOTAL ALAT</t>
        </is>
      </c>
      <c r="F16941" s="16" t="n">
        <v>312910</v>
      </c>
    </row>
    <row r="16942">
      <c r="E16942" s="2" t="inlineStr">
        <is>
          <t>TOTAL HARGA SATUAN (Inc. Overhead)</t>
        </is>
      </c>
      <c r="F16942" s="17" t="n">
        <v>898014</v>
      </c>
    </row>
    <row r="16944">
      <c r="A16944" s="14" t="inlineStr">
        <is>
          <t>KODE: 8.1.1.10 - 1 m Saluran U-Ditch 60x70x120 cm dengan lantai kerja fc 10 Mpa</t>
        </is>
      </c>
    </row>
    <row r="16945">
      <c r="A16945" s="10" t="inlineStr">
        <is>
          <t>No</t>
        </is>
      </c>
      <c r="B16945" s="10" t="inlineStr">
        <is>
          <t>Uraian Komponen</t>
        </is>
      </c>
      <c r="C16945" s="10" t="inlineStr">
        <is>
          <t>Satuan</t>
        </is>
      </c>
      <c r="D16945" s="10" t="inlineStr">
        <is>
          <t>Koef</t>
        </is>
      </c>
      <c r="E16945" s="10" t="inlineStr">
        <is>
          <t>Harga Satuan (Rp)</t>
        </is>
      </c>
      <c r="F16945" s="10" t="inlineStr">
        <is>
          <t>Jumlah Harga (Rp)</t>
        </is>
      </c>
    </row>
    <row r="16946">
      <c r="A16946" s="3" t="inlineStr">
        <is>
          <t>1</t>
        </is>
      </c>
      <c r="B16946" s="3" t="inlineStr">
        <is>
          <t>Pekerja</t>
        </is>
      </c>
      <c r="C16946" s="3" t="inlineStr">
        <is>
          <t>OJ</t>
        </is>
      </c>
      <c r="D16946" s="15" t="n">
        <v>0.216</v>
      </c>
      <c r="E16946" s="4" t="n">
        <v>100000</v>
      </c>
      <c r="F16946" s="4" t="n">
        <v>21600</v>
      </c>
    </row>
    <row r="16947">
      <c r="A16947" s="3" t="inlineStr">
        <is>
          <t>2</t>
        </is>
      </c>
      <c r="B16947" s="3" t="inlineStr">
        <is>
          <t>Tukang Batu</t>
        </is>
      </c>
      <c r="C16947" s="3" t="inlineStr">
        <is>
          <t>OJ</t>
        </is>
      </c>
      <c r="D16947" s="15" t="n">
        <v>0.216</v>
      </c>
      <c r="E16947" s="4" t="n">
        <v>145000</v>
      </c>
      <c r="F16947" s="4" t="n">
        <v>31320</v>
      </c>
    </row>
    <row r="16948">
      <c r="A16948" s="3" t="inlineStr">
        <is>
          <t>3</t>
        </is>
      </c>
      <c r="B16948" s="3" t="inlineStr">
        <is>
          <t>Mandor</t>
        </is>
      </c>
      <c r="C16948" s="3" t="inlineStr">
        <is>
          <t>OJ</t>
        </is>
      </c>
      <c r="D16948" s="15" t="n">
        <v>0.0108</v>
      </c>
      <c r="E16948" s="4" t="n">
        <v>200000</v>
      </c>
      <c r="F16948" s="4" t="n">
        <v>2160</v>
      </c>
    </row>
    <row r="16949">
      <c r="A16949" s="3" t="inlineStr">
        <is>
          <t>1</t>
        </is>
      </c>
      <c r="B16949" s="3" t="inlineStr">
        <is>
          <t>Lantai Kerja fc 10 Mpa</t>
        </is>
      </c>
      <c r="C16949" s="3" t="inlineStr">
        <is>
          <t>m3</t>
        </is>
      </c>
      <c r="D16949" s="15" t="n">
        <v>0.0445</v>
      </c>
      <c r="E16949" s="4" t="n">
        <v>1236000</v>
      </c>
      <c r="F16949" s="4" t="n">
        <v>55002</v>
      </c>
    </row>
    <row r="16950">
      <c r="A16950" s="3" t="inlineStr">
        <is>
          <t>2</t>
        </is>
      </c>
      <c r="B16950" s="3" t="inlineStr">
        <is>
          <t>Urukan Pasir Uruk</t>
        </is>
      </c>
      <c r="C16950" s="3" t="inlineStr">
        <is>
          <t>m3</t>
        </is>
      </c>
      <c r="D16950" s="15" t="n">
        <v>0.089</v>
      </c>
      <c r="E16950" s="4" t="n">
        <v>488180</v>
      </c>
      <c r="F16950" s="4" t="n">
        <v>43448.02</v>
      </c>
    </row>
    <row r="16951">
      <c r="A16951" s="3" t="inlineStr">
        <is>
          <t>3</t>
        </is>
      </c>
      <c r="B16951" s="3" t="inlineStr">
        <is>
          <t>U-Ditch 60x70x120 cm</t>
        </is>
      </c>
      <c r="C16951" s="3" t="inlineStr">
        <is>
          <t>buah</t>
        </is>
      </c>
      <c r="D16951" s="15" t="n">
        <v>0.8333</v>
      </c>
      <c r="E16951" s="4" t="n">
        <v>440000</v>
      </c>
      <c r="F16951" s="4" t="n">
        <v>366652</v>
      </c>
    </row>
    <row r="16952">
      <c r="A16952" s="3" t="inlineStr">
        <is>
          <t>1</t>
        </is>
      </c>
      <c r="B16952" s="3" t="inlineStr">
        <is>
          <t>Sewa mobil crane</t>
        </is>
      </c>
      <c r="C16952" s="3" t="inlineStr">
        <is>
          <t>jam</t>
        </is>
      </c>
      <c r="D16952" s="15" t="n">
        <v>0.216</v>
      </c>
      <c r="E16952" s="4" t="n">
        <v>1450000</v>
      </c>
      <c r="F16952" s="4" t="n">
        <v>313200</v>
      </c>
    </row>
    <row r="16953">
      <c r="D16953" s="2" t="inlineStr">
        <is>
          <t>SUBTOTAL UPAH</t>
        </is>
      </c>
      <c r="F16953" s="16" t="n">
        <v>55080</v>
      </c>
    </row>
    <row r="16954">
      <c r="D16954" s="2" t="inlineStr">
        <is>
          <t>SUBTOTAL BAHAN</t>
        </is>
      </c>
      <c r="F16954" s="16" t="n">
        <v>465102.02</v>
      </c>
    </row>
    <row r="16955">
      <c r="D16955" s="2" t="inlineStr">
        <is>
          <t>SUBTOTAL ALAT</t>
        </is>
      </c>
      <c r="F16955" s="16" t="n">
        <v>313200</v>
      </c>
    </row>
    <row r="16956">
      <c r="E16956" s="2" t="inlineStr">
        <is>
          <t>TOTAL HARGA SATUAN (Inc. Overhead)</t>
        </is>
      </c>
      <c r="F16956" s="17" t="n">
        <v>916720</v>
      </c>
    </row>
    <row r="16958">
      <c r="A16958" s="14" t="inlineStr">
        <is>
          <t>KODE: 8.1.1.11 - 1 m Saluran U-Ditch 60x80x120 cm dengan lantai kerja fc 10 Mpa</t>
        </is>
      </c>
    </row>
    <row r="16959">
      <c r="A16959" s="10" t="inlineStr">
        <is>
          <t>No</t>
        </is>
      </c>
      <c r="B16959" s="10" t="inlineStr">
        <is>
          <t>Uraian Komponen</t>
        </is>
      </c>
      <c r="C16959" s="10" t="inlineStr">
        <is>
          <t>Satuan</t>
        </is>
      </c>
      <c r="D16959" s="10" t="inlineStr">
        <is>
          <t>Koef</t>
        </is>
      </c>
      <c r="E16959" s="10" t="inlineStr">
        <is>
          <t>Harga Satuan (Rp)</t>
        </is>
      </c>
      <c r="F16959" s="10" t="inlineStr">
        <is>
          <t>Jumlah Harga (Rp)</t>
        </is>
      </c>
    </row>
    <row r="16960">
      <c r="A16960" s="3" t="inlineStr">
        <is>
          <t>1</t>
        </is>
      </c>
      <c r="B16960" s="3" t="inlineStr">
        <is>
          <t>Pekerja</t>
        </is>
      </c>
      <c r="C16960" s="3" t="inlineStr">
        <is>
          <t>OJ</t>
        </is>
      </c>
      <c r="D16960" s="15" t="n">
        <v>0.2184</v>
      </c>
      <c r="E16960" s="4" t="n">
        <v>100000</v>
      </c>
      <c r="F16960" s="4" t="n">
        <v>21840</v>
      </c>
    </row>
    <row r="16961">
      <c r="A16961" s="3" t="inlineStr">
        <is>
          <t>2</t>
        </is>
      </c>
      <c r="B16961" s="3" t="inlineStr">
        <is>
          <t>Tukang Batu</t>
        </is>
      </c>
      <c r="C16961" s="3" t="inlineStr">
        <is>
          <t>OJ</t>
        </is>
      </c>
      <c r="D16961" s="15" t="n">
        <v>0.2184</v>
      </c>
      <c r="E16961" s="4" t="n">
        <v>145000</v>
      </c>
      <c r="F16961" s="4" t="n">
        <v>31668</v>
      </c>
    </row>
    <row r="16962">
      <c r="A16962" s="3" t="inlineStr">
        <is>
          <t>3</t>
        </is>
      </c>
      <c r="B16962" s="3" t="inlineStr">
        <is>
          <t>Mandor</t>
        </is>
      </c>
      <c r="C16962" s="3" t="inlineStr">
        <is>
          <t>OJ</t>
        </is>
      </c>
      <c r="D16962" s="15" t="n">
        <v>0.0109</v>
      </c>
      <c r="E16962" s="4" t="n">
        <v>200000</v>
      </c>
      <c r="F16962" s="4" t="n">
        <v>2180</v>
      </c>
    </row>
    <row r="16963">
      <c r="A16963" s="3" t="inlineStr">
        <is>
          <t>1</t>
        </is>
      </c>
      <c r="B16963" s="3" t="inlineStr">
        <is>
          <t>Lantai Kerja fc 10 Mpa</t>
        </is>
      </c>
      <c r="C16963" s="3" t="inlineStr">
        <is>
          <t>m3</t>
        </is>
      </c>
      <c r="D16963" s="15" t="n">
        <v>0.0445</v>
      </c>
      <c r="E16963" s="4" t="n">
        <v>1236000</v>
      </c>
      <c r="F16963" s="4" t="n">
        <v>55002</v>
      </c>
    </row>
    <row r="16964">
      <c r="A16964" s="3" t="inlineStr">
        <is>
          <t>2</t>
        </is>
      </c>
      <c r="B16964" s="3" t="inlineStr">
        <is>
          <t>Urukan Pasir Uruk</t>
        </is>
      </c>
      <c r="C16964" s="3" t="inlineStr">
        <is>
          <t>m3</t>
        </is>
      </c>
      <c r="D16964" s="15" t="n">
        <v>0.089</v>
      </c>
      <c r="E16964" s="4" t="n">
        <v>488180</v>
      </c>
      <c r="F16964" s="4" t="n">
        <v>43448.02</v>
      </c>
    </row>
    <row r="16965">
      <c r="A16965" s="3" t="inlineStr">
        <is>
          <t>3</t>
        </is>
      </c>
      <c r="B16965" s="3" t="inlineStr">
        <is>
          <t>U-Ditch 60x80x120 cm</t>
        </is>
      </c>
      <c r="C16965" s="3" t="inlineStr">
        <is>
          <t>buah</t>
        </is>
      </c>
      <c r="D16965" s="15" t="n">
        <v>0.8333</v>
      </c>
      <c r="E16965" s="4" t="n">
        <v>470000</v>
      </c>
      <c r="F16965" s="4" t="n">
        <v>391651</v>
      </c>
    </row>
    <row r="16966">
      <c r="A16966" s="3" t="inlineStr">
        <is>
          <t>1</t>
        </is>
      </c>
      <c r="B16966" s="3" t="inlineStr">
        <is>
          <t>Sewa mobil crane</t>
        </is>
      </c>
      <c r="C16966" s="3" t="inlineStr">
        <is>
          <t>jam</t>
        </is>
      </c>
      <c r="D16966" s="15" t="n">
        <v>0.2184</v>
      </c>
      <c r="E16966" s="4" t="n">
        <v>1450000</v>
      </c>
      <c r="F16966" s="4" t="n">
        <v>316680</v>
      </c>
    </row>
    <row r="16967">
      <c r="D16967" s="2" t="inlineStr">
        <is>
          <t>SUBTOTAL UPAH</t>
        </is>
      </c>
      <c r="F16967" s="16" t="n">
        <v>55688</v>
      </c>
    </row>
    <row r="16968">
      <c r="D16968" s="2" t="inlineStr">
        <is>
          <t>SUBTOTAL BAHAN</t>
        </is>
      </c>
      <c r="F16968" s="16" t="n">
        <v>490101.02</v>
      </c>
    </row>
    <row r="16969">
      <c r="D16969" s="2" t="inlineStr">
        <is>
          <t>SUBTOTAL ALAT</t>
        </is>
      </c>
      <c r="F16969" s="16" t="n">
        <v>316680</v>
      </c>
    </row>
    <row r="16970">
      <c r="E16970" s="2" t="inlineStr">
        <is>
          <t>TOTAL HARGA SATUAN (Inc. Overhead)</t>
        </is>
      </c>
      <c r="F16970" s="17" t="n">
        <v>948715</v>
      </c>
    </row>
    <row r="16972">
      <c r="A16972" s="14" t="inlineStr">
        <is>
          <t>KODE: 8.1.1.12 - 1 m Saluran U-Ditch 80x60x120 cm dengan lantai kerja fc 10 Mpa</t>
        </is>
      </c>
    </row>
    <row r="16973">
      <c r="A16973" s="10" t="inlineStr">
        <is>
          <t>No</t>
        </is>
      </c>
      <c r="B16973" s="10" t="inlineStr">
        <is>
          <t>Uraian Komponen</t>
        </is>
      </c>
      <c r="C16973" s="10" t="inlineStr">
        <is>
          <t>Satuan</t>
        </is>
      </c>
      <c r="D16973" s="10" t="inlineStr">
        <is>
          <t>Koef</t>
        </is>
      </c>
      <c r="E16973" s="10" t="inlineStr">
        <is>
          <t>Harga Satuan (Rp)</t>
        </is>
      </c>
      <c r="F16973" s="10" t="inlineStr">
        <is>
          <t>Jumlah Harga (Rp)</t>
        </is>
      </c>
    </row>
    <row r="16974">
      <c r="A16974" s="3" t="inlineStr">
        <is>
          <t>1</t>
        </is>
      </c>
      <c r="B16974" s="3" t="inlineStr">
        <is>
          <t>Pekerja</t>
        </is>
      </c>
      <c r="C16974" s="3" t="inlineStr">
        <is>
          <t>OJ</t>
        </is>
      </c>
      <c r="D16974" s="15" t="n">
        <v>0.2202</v>
      </c>
      <c r="E16974" s="4" t="n">
        <v>100000</v>
      </c>
      <c r="F16974" s="4" t="n">
        <v>22020</v>
      </c>
    </row>
    <row r="16975">
      <c r="A16975" s="3" t="inlineStr">
        <is>
          <t>2</t>
        </is>
      </c>
      <c r="B16975" s="3" t="inlineStr">
        <is>
          <t>Tukang Batu</t>
        </is>
      </c>
      <c r="C16975" s="3" t="inlineStr">
        <is>
          <t>OJ</t>
        </is>
      </c>
      <c r="D16975" s="15" t="n">
        <v>0.2202</v>
      </c>
      <c r="E16975" s="4" t="n">
        <v>145000</v>
      </c>
      <c r="F16975" s="4" t="n">
        <v>31929</v>
      </c>
    </row>
    <row r="16976">
      <c r="A16976" s="3" t="inlineStr">
        <is>
          <t>3</t>
        </is>
      </c>
      <c r="B16976" s="3" t="inlineStr">
        <is>
          <t>Mandor</t>
        </is>
      </c>
      <c r="C16976" s="3" t="inlineStr">
        <is>
          <t>OJ</t>
        </is>
      </c>
      <c r="D16976" s="15" t="n">
        <v>0.011</v>
      </c>
      <c r="E16976" s="4" t="n">
        <v>200000</v>
      </c>
      <c r="F16976" s="4" t="n">
        <v>2200</v>
      </c>
    </row>
    <row r="16977">
      <c r="A16977" s="3" t="inlineStr">
        <is>
          <t>1</t>
        </is>
      </c>
      <c r="B16977" s="3" t="inlineStr">
        <is>
          <t>Lantai Kerja fc 10 Mpa</t>
        </is>
      </c>
      <c r="C16977" s="3" t="inlineStr">
        <is>
          <t>m3</t>
        </is>
      </c>
      <c r="D16977" s="15" t="n">
        <v>0.055</v>
      </c>
      <c r="E16977" s="4" t="n">
        <v>1236000</v>
      </c>
      <c r="F16977" s="4" t="n">
        <v>67980</v>
      </c>
    </row>
    <row r="16978">
      <c r="A16978" s="3" t="inlineStr">
        <is>
          <t>2</t>
        </is>
      </c>
      <c r="B16978" s="3" t="inlineStr">
        <is>
          <t>Urukan Pasir Uruk</t>
        </is>
      </c>
      <c r="C16978" s="3" t="inlineStr">
        <is>
          <t>m3</t>
        </is>
      </c>
      <c r="D16978" s="15" t="n">
        <v>0.11</v>
      </c>
      <c r="E16978" s="4" t="n">
        <v>488180</v>
      </c>
      <c r="F16978" s="4" t="n">
        <v>53699.8</v>
      </c>
    </row>
    <row r="16979">
      <c r="A16979" s="3" t="inlineStr">
        <is>
          <t>3</t>
        </is>
      </c>
      <c r="B16979" s="3" t="inlineStr">
        <is>
          <t>U-Ditch 80x60x120 cm</t>
        </is>
      </c>
      <c r="C16979" s="3" t="inlineStr">
        <is>
          <t>buah</t>
        </is>
      </c>
      <c r="D16979" s="15" t="n">
        <v>0.8333</v>
      </c>
      <c r="E16979" s="4" t="n">
        <v>490000</v>
      </c>
      <c r="F16979" s="4" t="n">
        <v>408317</v>
      </c>
    </row>
    <row r="16980">
      <c r="A16980" s="3" t="inlineStr">
        <is>
          <t>1</t>
        </is>
      </c>
      <c r="B16980" s="3" t="inlineStr">
        <is>
          <t>Sewa mobil crane</t>
        </is>
      </c>
      <c r="C16980" s="3" t="inlineStr">
        <is>
          <t>jam</t>
        </is>
      </c>
      <c r="D16980" s="15" t="n">
        <v>0.2202</v>
      </c>
      <c r="E16980" s="4" t="n">
        <v>1450000</v>
      </c>
      <c r="F16980" s="4" t="n">
        <v>319290</v>
      </c>
    </row>
    <row r="16981">
      <c r="D16981" s="2" t="inlineStr">
        <is>
          <t>SUBTOTAL UPAH</t>
        </is>
      </c>
      <c r="F16981" s="16" t="n">
        <v>56149</v>
      </c>
    </row>
    <row r="16982">
      <c r="D16982" s="2" t="inlineStr">
        <is>
          <t>SUBTOTAL BAHAN</t>
        </is>
      </c>
      <c r="F16982" s="16" t="n">
        <v>529996.8</v>
      </c>
    </row>
    <row r="16983">
      <c r="D16983" s="2" t="inlineStr">
        <is>
          <t>SUBTOTAL ALAT</t>
        </is>
      </c>
      <c r="F16983" s="16" t="n">
        <v>319290</v>
      </c>
    </row>
    <row r="16984">
      <c r="E16984" s="2" t="inlineStr">
        <is>
          <t>TOTAL HARGA SATUAN (Inc. Overhead)</t>
        </is>
      </c>
      <c r="F16984" s="17" t="n">
        <v>995979</v>
      </c>
    </row>
    <row r="16986">
      <c r="A16986" s="14" t="inlineStr">
        <is>
          <t>KODE: 8.1.1.13 - 1 m Saluran U-Ditch 80x80x120 cm dengan lantai kerja fc 10 Mpa</t>
        </is>
      </c>
    </row>
    <row r="16987">
      <c r="A16987" s="10" t="inlineStr">
        <is>
          <t>No</t>
        </is>
      </c>
      <c r="B16987" s="10" t="inlineStr">
        <is>
          <t>Uraian Komponen</t>
        </is>
      </c>
      <c r="C16987" s="10" t="inlineStr">
        <is>
          <t>Satuan</t>
        </is>
      </c>
      <c r="D16987" s="10" t="inlineStr">
        <is>
          <t>Koef</t>
        </is>
      </c>
      <c r="E16987" s="10" t="inlineStr">
        <is>
          <t>Harga Satuan (Rp)</t>
        </is>
      </c>
      <c r="F16987" s="10" t="inlineStr">
        <is>
          <t>Jumlah Harga (Rp)</t>
        </is>
      </c>
    </row>
    <row r="16988">
      <c r="A16988" s="3" t="inlineStr">
        <is>
          <t>1</t>
        </is>
      </c>
      <c r="B16988" s="3" t="inlineStr">
        <is>
          <t>Pekerja</t>
        </is>
      </c>
      <c r="C16988" s="3" t="inlineStr">
        <is>
          <t>OJ</t>
        </is>
      </c>
      <c r="D16988" s="15" t="n">
        <v>0.9045</v>
      </c>
      <c r="E16988" s="4" t="n">
        <v>100000</v>
      </c>
      <c r="F16988" s="4" t="n">
        <v>90450</v>
      </c>
    </row>
    <row r="16989">
      <c r="A16989" s="3" t="inlineStr">
        <is>
          <t>2</t>
        </is>
      </c>
      <c r="B16989" s="3" t="inlineStr">
        <is>
          <t>Tukang Batu</t>
        </is>
      </c>
      <c r="C16989" s="3" t="inlineStr">
        <is>
          <t>OJ</t>
        </is>
      </c>
      <c r="D16989" s="15" t="n">
        <v>0.2261</v>
      </c>
      <c r="E16989" s="4" t="n">
        <v>145000</v>
      </c>
      <c r="F16989" s="4" t="n">
        <v>32784.5</v>
      </c>
    </row>
    <row r="16990">
      <c r="A16990" s="3" t="inlineStr">
        <is>
          <t>3</t>
        </is>
      </c>
      <c r="B16990" s="3" t="inlineStr">
        <is>
          <t>Mandor</t>
        </is>
      </c>
      <c r="C16990" s="3" t="inlineStr">
        <is>
          <t>OJ</t>
        </is>
      </c>
      <c r="D16990" s="15" t="n">
        <v>0.0452</v>
      </c>
      <c r="E16990" s="4" t="n">
        <v>200000</v>
      </c>
      <c r="F16990" s="4" t="n">
        <v>9040</v>
      </c>
    </row>
    <row r="16991">
      <c r="A16991" s="3" t="inlineStr">
        <is>
          <t>1</t>
        </is>
      </c>
      <c r="B16991" s="3" t="inlineStr">
        <is>
          <t>Lantai Kerja fc 10 Mpa</t>
        </is>
      </c>
      <c r="C16991" s="3" t="inlineStr">
        <is>
          <t>m3</t>
        </is>
      </c>
      <c r="D16991" s="15" t="n">
        <v>0.0545</v>
      </c>
      <c r="E16991" s="4" t="n">
        <v>1236000</v>
      </c>
      <c r="F16991" s="4" t="n">
        <v>67362</v>
      </c>
    </row>
    <row r="16992">
      <c r="A16992" s="3" t="inlineStr">
        <is>
          <t>2</t>
        </is>
      </c>
      <c r="B16992" s="3" t="inlineStr">
        <is>
          <t>Urukan Pasir Uruk</t>
        </is>
      </c>
      <c r="C16992" s="3" t="inlineStr">
        <is>
          <t>m3</t>
        </is>
      </c>
      <c r="D16992" s="15" t="n">
        <v>0.109</v>
      </c>
      <c r="E16992" s="4" t="n">
        <v>488180</v>
      </c>
      <c r="F16992" s="4" t="n">
        <v>53211.62</v>
      </c>
    </row>
    <row r="16993">
      <c r="A16993" s="3" t="inlineStr">
        <is>
          <t>3</t>
        </is>
      </c>
      <c r="B16993" s="3" t="inlineStr">
        <is>
          <t>U-Ditch 80x80x120 cm</t>
        </is>
      </c>
      <c r="C16993" s="3" t="inlineStr">
        <is>
          <t>buah</t>
        </is>
      </c>
      <c r="D16993" s="15" t="n">
        <v>0.8333</v>
      </c>
      <c r="E16993" s="4" t="n">
        <v>520000</v>
      </c>
      <c r="F16993" s="4" t="n">
        <v>433316</v>
      </c>
    </row>
    <row r="16994">
      <c r="A16994" s="3" t="inlineStr">
        <is>
          <t>1</t>
        </is>
      </c>
      <c r="B16994" s="3" t="inlineStr">
        <is>
          <t>Sewa mobil crane</t>
        </is>
      </c>
      <c r="C16994" s="3" t="inlineStr">
        <is>
          <t>jam</t>
        </is>
      </c>
      <c r="D16994" s="15" t="n">
        <v>0.2261</v>
      </c>
      <c r="E16994" s="4" t="n">
        <v>1450000</v>
      </c>
      <c r="F16994" s="4" t="n">
        <v>327845</v>
      </c>
    </row>
    <row r="16995">
      <c r="D16995" s="2" t="inlineStr">
        <is>
          <t>SUBTOTAL UPAH</t>
        </is>
      </c>
      <c r="F16995" s="16" t="n">
        <v>132274.5</v>
      </c>
    </row>
    <row r="16996">
      <c r="D16996" s="2" t="inlineStr">
        <is>
          <t>SUBTOTAL BAHAN</t>
        </is>
      </c>
      <c r="F16996" s="16" t="n">
        <v>553889.62</v>
      </c>
    </row>
    <row r="16997">
      <c r="D16997" s="2" t="inlineStr">
        <is>
          <t>SUBTOTAL ALAT</t>
        </is>
      </c>
      <c r="F16997" s="16" t="n">
        <v>327845</v>
      </c>
    </row>
    <row r="16998">
      <c r="E16998" s="2" t="inlineStr">
        <is>
          <t>TOTAL HARGA SATUAN (Inc. Overhead)</t>
        </is>
      </c>
      <c r="F16998" s="17" t="n">
        <v>1115410</v>
      </c>
    </row>
    <row r="17000">
      <c r="A17000" s="14" t="inlineStr">
        <is>
          <t>KODE: 8.1.1.14 - 1 m Saluran U-Ditch 80x100x120 cm dengan lantai kerja fc 10 Mpa</t>
        </is>
      </c>
    </row>
    <row r="17001">
      <c r="A17001" s="10" t="inlineStr">
        <is>
          <t>No</t>
        </is>
      </c>
      <c r="B17001" s="10" t="inlineStr">
        <is>
          <t>Uraian Komponen</t>
        </is>
      </c>
      <c r="C17001" s="10" t="inlineStr">
        <is>
          <t>Satuan</t>
        </is>
      </c>
      <c r="D17001" s="10" t="inlineStr">
        <is>
          <t>Koef</t>
        </is>
      </c>
      <c r="E17001" s="10" t="inlineStr">
        <is>
          <t>Harga Satuan (Rp)</t>
        </is>
      </c>
      <c r="F17001" s="10" t="inlineStr">
        <is>
          <t>Jumlah Harga (Rp)</t>
        </is>
      </c>
    </row>
    <row r="17002">
      <c r="A17002" s="3" t="inlineStr">
        <is>
          <t>1</t>
        </is>
      </c>
      <c r="B17002" s="3" t="inlineStr">
        <is>
          <t>Pekerja</t>
        </is>
      </c>
      <c r="C17002" s="3" t="inlineStr">
        <is>
          <t>OJ</t>
        </is>
      </c>
      <c r="D17002" s="15" t="n">
        <v>0.9525</v>
      </c>
      <c r="E17002" s="4" t="n">
        <v>100000</v>
      </c>
      <c r="F17002" s="4" t="n">
        <v>95250</v>
      </c>
    </row>
    <row r="17003">
      <c r="A17003" s="3" t="inlineStr">
        <is>
          <t>2</t>
        </is>
      </c>
      <c r="B17003" s="3" t="inlineStr">
        <is>
          <t>Tukang Batu</t>
        </is>
      </c>
      <c r="C17003" s="3" t="inlineStr">
        <is>
          <t>OJ</t>
        </is>
      </c>
      <c r="D17003" s="15" t="n">
        <v>0.2381</v>
      </c>
      <c r="E17003" s="4" t="n">
        <v>145000</v>
      </c>
      <c r="F17003" s="4" t="n">
        <v>34524.5</v>
      </c>
    </row>
    <row r="17004">
      <c r="A17004" s="3" t="inlineStr">
        <is>
          <t>3</t>
        </is>
      </c>
      <c r="B17004" s="3" t="inlineStr">
        <is>
          <t>Mandor</t>
        </is>
      </c>
      <c r="C17004" s="3" t="inlineStr">
        <is>
          <t>OJ</t>
        </is>
      </c>
      <c r="D17004" s="15" t="n">
        <v>0.0476</v>
      </c>
      <c r="E17004" s="4" t="n">
        <v>200000</v>
      </c>
      <c r="F17004" s="4" t="n">
        <v>9520</v>
      </c>
    </row>
    <row r="17005">
      <c r="A17005" s="3" t="inlineStr">
        <is>
          <t>1</t>
        </is>
      </c>
      <c r="B17005" s="3" t="inlineStr">
        <is>
          <t>Lantai Kerja fc 10 Mpa</t>
        </is>
      </c>
      <c r="C17005" s="3" t="inlineStr">
        <is>
          <t>m3</t>
        </is>
      </c>
      <c r="D17005" s="15" t="n">
        <v>0.0545</v>
      </c>
      <c r="E17005" s="4" t="n">
        <v>1236000</v>
      </c>
      <c r="F17005" s="4" t="n">
        <v>67362</v>
      </c>
    </row>
    <row r="17006">
      <c r="A17006" s="3" t="inlineStr">
        <is>
          <t>2</t>
        </is>
      </c>
      <c r="B17006" s="3" t="inlineStr">
        <is>
          <t>Urukan Pasir Uruk</t>
        </is>
      </c>
      <c r="C17006" s="3" t="inlineStr">
        <is>
          <t>m3</t>
        </is>
      </c>
      <c r="D17006" s="15" t="n">
        <v>0.109</v>
      </c>
      <c r="E17006" s="4" t="n">
        <v>488180</v>
      </c>
      <c r="F17006" s="4" t="n">
        <v>53211.62</v>
      </c>
    </row>
    <row r="17007">
      <c r="A17007" s="3" t="inlineStr">
        <is>
          <t>3</t>
        </is>
      </c>
      <c r="B17007" s="3" t="inlineStr">
        <is>
          <t>U-Ditch 80x100x120 cm</t>
        </is>
      </c>
      <c r="C17007" s="3" t="inlineStr">
        <is>
          <t>buah</t>
        </is>
      </c>
      <c r="D17007" s="15" t="n">
        <v>0.8333</v>
      </c>
      <c r="E17007" s="4" t="n">
        <v>540000</v>
      </c>
      <c r="F17007" s="4" t="n">
        <v>449982</v>
      </c>
    </row>
    <row r="17008">
      <c r="A17008" s="3" t="inlineStr">
        <is>
          <t>1</t>
        </is>
      </c>
      <c r="B17008" s="3" t="inlineStr">
        <is>
          <t>Sewa mobil crane</t>
        </is>
      </c>
      <c r="C17008" s="3" t="inlineStr">
        <is>
          <t>jam</t>
        </is>
      </c>
      <c r="D17008" s="15" t="n">
        <v>0.2381</v>
      </c>
      <c r="E17008" s="4" t="n">
        <v>1450000</v>
      </c>
      <c r="F17008" s="4" t="n">
        <v>345245</v>
      </c>
    </row>
    <row r="17009">
      <c r="D17009" s="2" t="inlineStr">
        <is>
          <t>SUBTOTAL UPAH</t>
        </is>
      </c>
      <c r="F17009" s="16" t="n">
        <v>139294.5</v>
      </c>
    </row>
    <row r="17010">
      <c r="D17010" s="2" t="inlineStr">
        <is>
          <t>SUBTOTAL BAHAN</t>
        </is>
      </c>
      <c r="F17010" s="16" t="n">
        <v>570555.62</v>
      </c>
    </row>
    <row r="17011">
      <c r="D17011" s="2" t="inlineStr">
        <is>
          <t>SUBTOTAL ALAT</t>
        </is>
      </c>
      <c r="F17011" s="16" t="n">
        <v>345245</v>
      </c>
    </row>
    <row r="17012">
      <c r="E17012" s="2" t="inlineStr">
        <is>
          <t>TOTAL HARGA SATUAN (Inc. Overhead)</t>
        </is>
      </c>
      <c r="F17012" s="17" t="n">
        <v>1160604</v>
      </c>
    </row>
    <row r="17014">
      <c r="A17014" s="14" t="inlineStr">
        <is>
          <t>KODE: 8.1.1.15 - 1 m Saluran U-Ditch 100x100x120 cm dengan lantai kerja fc 10 Mpa</t>
        </is>
      </c>
    </row>
    <row r="17015">
      <c r="A17015" s="10" t="inlineStr">
        <is>
          <t>No</t>
        </is>
      </c>
      <c r="B17015" s="10" t="inlineStr">
        <is>
          <t>Uraian Komponen</t>
        </is>
      </c>
      <c r="C17015" s="10" t="inlineStr">
        <is>
          <t>Satuan</t>
        </is>
      </c>
      <c r="D17015" s="10" t="inlineStr">
        <is>
          <t>Koef</t>
        </is>
      </c>
      <c r="E17015" s="10" t="inlineStr">
        <is>
          <t>Harga Satuan (Rp)</t>
        </is>
      </c>
      <c r="F17015" s="10" t="inlineStr">
        <is>
          <t>Jumlah Harga (Rp)</t>
        </is>
      </c>
    </row>
    <row r="17016">
      <c r="A17016" s="3" t="inlineStr">
        <is>
          <t>1</t>
        </is>
      </c>
      <c r="B17016" s="3" t="inlineStr">
        <is>
          <t>Pekerja</t>
        </is>
      </c>
      <c r="C17016" s="3" t="inlineStr">
        <is>
          <t>OJ</t>
        </is>
      </c>
      <c r="D17016" s="15" t="n">
        <v>0.9651</v>
      </c>
      <c r="E17016" s="4" t="n">
        <v>100000</v>
      </c>
      <c r="F17016" s="4" t="n">
        <v>96510</v>
      </c>
    </row>
    <row r="17017">
      <c r="A17017" s="3" t="inlineStr">
        <is>
          <t>2</t>
        </is>
      </c>
      <c r="B17017" s="3" t="inlineStr">
        <is>
          <t>Tukang Batu</t>
        </is>
      </c>
      <c r="C17017" s="3" t="inlineStr">
        <is>
          <t>OJ</t>
        </is>
      </c>
      <c r="D17017" s="15" t="n">
        <v>0.2413</v>
      </c>
      <c r="E17017" s="4" t="n">
        <v>145000</v>
      </c>
      <c r="F17017" s="4" t="n">
        <v>34988.5</v>
      </c>
    </row>
    <row r="17018">
      <c r="A17018" s="3" t="inlineStr">
        <is>
          <t>3</t>
        </is>
      </c>
      <c r="B17018" s="3" t="inlineStr">
        <is>
          <t>Mandor</t>
        </is>
      </c>
      <c r="C17018" s="3" t="inlineStr">
        <is>
          <t>OJ</t>
        </is>
      </c>
      <c r="D17018" s="15" t="n">
        <v>0.0483</v>
      </c>
      <c r="E17018" s="4" t="n">
        <v>200000</v>
      </c>
      <c r="F17018" s="4" t="n">
        <v>9660</v>
      </c>
    </row>
    <row r="17019">
      <c r="A17019" s="3" t="inlineStr">
        <is>
          <t>1</t>
        </is>
      </c>
      <c r="B17019" s="3" t="inlineStr">
        <is>
          <t>Lantai Kerja fc 10 Mpa</t>
        </is>
      </c>
      <c r="C17019" s="3" t="inlineStr">
        <is>
          <t>m3</t>
        </is>
      </c>
      <c r="D17019" s="15" t="n">
        <v>0.0665</v>
      </c>
      <c r="E17019" s="4" t="n">
        <v>1236000</v>
      </c>
      <c r="F17019" s="4" t="n">
        <v>82194</v>
      </c>
    </row>
    <row r="17020">
      <c r="A17020" s="3" t="inlineStr">
        <is>
          <t>2</t>
        </is>
      </c>
      <c r="B17020" s="3" t="inlineStr">
        <is>
          <t>Urukan Pasir Uruk</t>
        </is>
      </c>
      <c r="C17020" s="3" t="inlineStr">
        <is>
          <t>m3</t>
        </is>
      </c>
      <c r="D17020" s="15" t="n">
        <v>0.133</v>
      </c>
      <c r="E17020" s="4" t="n">
        <v>488180</v>
      </c>
      <c r="F17020" s="4" t="n">
        <v>64927.94</v>
      </c>
    </row>
    <row r="17021">
      <c r="A17021" s="3" t="inlineStr">
        <is>
          <t>3</t>
        </is>
      </c>
      <c r="B17021" s="3" t="inlineStr">
        <is>
          <t>U-Ditch 100x100x120 cm</t>
        </is>
      </c>
      <c r="C17021" s="3" t="inlineStr">
        <is>
          <t>buah</t>
        </is>
      </c>
      <c r="D17021" s="15" t="n">
        <v>0.8333</v>
      </c>
      <c r="E17021" s="4" t="n">
        <v>570000</v>
      </c>
      <c r="F17021" s="4" t="n">
        <v>474981</v>
      </c>
    </row>
    <row r="17022">
      <c r="A17022" s="3" t="inlineStr">
        <is>
          <t>1</t>
        </is>
      </c>
      <c r="B17022" s="3" t="inlineStr">
        <is>
          <t>Sewa mobil crane</t>
        </is>
      </c>
      <c r="C17022" s="3" t="inlineStr">
        <is>
          <t>jam</t>
        </is>
      </c>
      <c r="D17022" s="15" t="n">
        <v>0.2413</v>
      </c>
      <c r="E17022" s="4" t="n">
        <v>1450000</v>
      </c>
      <c r="F17022" s="4" t="n">
        <v>349885</v>
      </c>
    </row>
    <row r="17023">
      <c r="D17023" s="2" t="inlineStr">
        <is>
          <t>SUBTOTAL UPAH</t>
        </is>
      </c>
      <c r="F17023" s="16" t="n">
        <v>141158.5</v>
      </c>
    </row>
    <row r="17024">
      <c r="D17024" s="2" t="inlineStr">
        <is>
          <t>SUBTOTAL BAHAN</t>
        </is>
      </c>
      <c r="F17024" s="16" t="n">
        <v>622102.9399999999</v>
      </c>
    </row>
    <row r="17025">
      <c r="D17025" s="2" t="inlineStr">
        <is>
          <t>SUBTOTAL ALAT</t>
        </is>
      </c>
      <c r="F17025" s="16" t="n">
        <v>349885</v>
      </c>
    </row>
    <row r="17026">
      <c r="E17026" s="2" t="inlineStr">
        <is>
          <t>TOTAL HARGA SATUAN (Inc. Overhead)</t>
        </is>
      </c>
      <c r="F17026" s="17" t="n">
        <v>1224461</v>
      </c>
    </row>
    <row r="17028">
      <c r="A17028" s="14" t="inlineStr">
        <is>
          <t>KODE: 8.1.1.16 - 1 m Saluran U-Ditch 100x120x120 cm dengan lantai kerja fc 10 Mpa</t>
        </is>
      </c>
    </row>
    <row r="17029">
      <c r="A17029" s="10" t="inlineStr">
        <is>
          <t>No</t>
        </is>
      </c>
      <c r="B17029" s="10" t="inlineStr">
        <is>
          <t>Uraian Komponen</t>
        </is>
      </c>
      <c r="C17029" s="10" t="inlineStr">
        <is>
          <t>Satuan</t>
        </is>
      </c>
      <c r="D17029" s="10" t="inlineStr">
        <is>
          <t>Koef</t>
        </is>
      </c>
      <c r="E17029" s="10" t="inlineStr">
        <is>
          <t>Harga Satuan (Rp)</t>
        </is>
      </c>
      <c r="F17029" s="10" t="inlineStr">
        <is>
          <t>Jumlah Harga (Rp)</t>
        </is>
      </c>
    </row>
    <row r="17030">
      <c r="A17030" s="3" t="inlineStr">
        <is>
          <t>1</t>
        </is>
      </c>
      <c r="B17030" s="3" t="inlineStr">
        <is>
          <t>Pekerja</t>
        </is>
      </c>
      <c r="C17030" s="3" t="inlineStr">
        <is>
          <t>OJ</t>
        </is>
      </c>
      <c r="D17030" s="15" t="n">
        <v>0.9841</v>
      </c>
      <c r="E17030" s="4" t="n">
        <v>100000</v>
      </c>
      <c r="F17030" s="4" t="n">
        <v>98410</v>
      </c>
    </row>
    <row r="17031">
      <c r="A17031" s="3" t="inlineStr">
        <is>
          <t>2</t>
        </is>
      </c>
      <c r="B17031" s="3" t="inlineStr">
        <is>
          <t>Tukang Batu</t>
        </is>
      </c>
      <c r="C17031" s="3" t="inlineStr">
        <is>
          <t>OJ</t>
        </is>
      </c>
      <c r="D17031" s="15" t="n">
        <v>0.246</v>
      </c>
      <c r="E17031" s="4" t="n">
        <v>145000</v>
      </c>
      <c r="F17031" s="4" t="n">
        <v>35670</v>
      </c>
    </row>
    <row r="17032">
      <c r="A17032" s="3" t="inlineStr">
        <is>
          <t>3</t>
        </is>
      </c>
      <c r="B17032" s="3" t="inlineStr">
        <is>
          <t>Mandor</t>
        </is>
      </c>
      <c r="C17032" s="3" t="inlineStr">
        <is>
          <t>OJ</t>
        </is>
      </c>
      <c r="D17032" s="15" t="n">
        <v>0.0492</v>
      </c>
      <c r="E17032" s="4" t="n">
        <v>200000</v>
      </c>
      <c r="F17032" s="4" t="n">
        <v>9840</v>
      </c>
    </row>
    <row r="17033">
      <c r="A17033" s="3" t="inlineStr">
        <is>
          <t>1</t>
        </is>
      </c>
      <c r="B17033" s="3" t="inlineStr">
        <is>
          <t>Lantai Kerja fc 10 Mpa</t>
        </is>
      </c>
      <c r="C17033" s="3" t="inlineStr">
        <is>
          <t>m3</t>
        </is>
      </c>
      <c r="D17033" s="15" t="n">
        <v>0.0665</v>
      </c>
      <c r="E17033" s="4" t="n">
        <v>1236000</v>
      </c>
      <c r="F17033" s="4" t="n">
        <v>82194</v>
      </c>
    </row>
    <row r="17034">
      <c r="A17034" s="3" t="inlineStr">
        <is>
          <t>2</t>
        </is>
      </c>
      <c r="B17034" s="3" t="inlineStr">
        <is>
          <t>Urukan Pasir Uruk</t>
        </is>
      </c>
      <c r="C17034" s="3" t="inlineStr">
        <is>
          <t>m3</t>
        </is>
      </c>
      <c r="D17034" s="15" t="n">
        <v>0.133</v>
      </c>
      <c r="E17034" s="4" t="n">
        <v>488180</v>
      </c>
      <c r="F17034" s="4" t="n">
        <v>64927.94</v>
      </c>
    </row>
    <row r="17035">
      <c r="A17035" s="3" t="inlineStr">
        <is>
          <t>3</t>
        </is>
      </c>
      <c r="B17035" s="3" t="inlineStr">
        <is>
          <t>U-Ditch 100x120x120 cm</t>
        </is>
      </c>
      <c r="C17035" s="3" t="inlineStr">
        <is>
          <t>buah</t>
        </is>
      </c>
      <c r="D17035" s="15" t="n">
        <v>0.8333</v>
      </c>
      <c r="E17035" s="4" t="n">
        <v>590000</v>
      </c>
      <c r="F17035" s="4" t="n">
        <v>491647</v>
      </c>
    </row>
    <row r="17036">
      <c r="A17036" s="3" t="inlineStr">
        <is>
          <t>1</t>
        </is>
      </c>
      <c r="B17036" s="3" t="inlineStr">
        <is>
          <t>Sewa mobil crane</t>
        </is>
      </c>
      <c r="C17036" s="3" t="inlineStr">
        <is>
          <t>jam</t>
        </is>
      </c>
      <c r="D17036" s="15" t="n">
        <v>0.246</v>
      </c>
      <c r="E17036" s="4" t="n">
        <v>1450000</v>
      </c>
      <c r="F17036" s="4" t="n">
        <v>356700</v>
      </c>
    </row>
    <row r="17037">
      <c r="D17037" s="2" t="inlineStr">
        <is>
          <t>SUBTOTAL UPAH</t>
        </is>
      </c>
      <c r="F17037" s="16" t="n">
        <v>143920</v>
      </c>
    </row>
    <row r="17038">
      <c r="D17038" s="2" t="inlineStr">
        <is>
          <t>SUBTOTAL BAHAN</t>
        </is>
      </c>
      <c r="F17038" s="16" t="n">
        <v>638768.9399999999</v>
      </c>
    </row>
    <row r="17039">
      <c r="D17039" s="2" t="inlineStr">
        <is>
          <t>SUBTOTAL ALAT</t>
        </is>
      </c>
      <c r="F17039" s="16" t="n">
        <v>356700</v>
      </c>
    </row>
    <row r="17040">
      <c r="E17040" s="2" t="inlineStr">
        <is>
          <t>TOTAL HARGA SATUAN (Inc. Overhead)</t>
        </is>
      </c>
      <c r="F17040" s="17" t="n">
        <v>1253327</v>
      </c>
    </row>
    <row r="17042">
      <c r="A17042" s="14" t="inlineStr">
        <is>
          <t>KODE: 8.1.1.17 - 1 m Saluran U-Ditch 120x120x120 cm dengan lantai kerja fc 10 Mpa</t>
        </is>
      </c>
    </row>
    <row r="17043">
      <c r="A17043" s="10" t="inlineStr">
        <is>
          <t>No</t>
        </is>
      </c>
      <c r="B17043" s="10" t="inlineStr">
        <is>
          <t>Uraian Komponen</t>
        </is>
      </c>
      <c r="C17043" s="10" t="inlineStr">
        <is>
          <t>Satuan</t>
        </is>
      </c>
      <c r="D17043" s="10" t="inlineStr">
        <is>
          <t>Koef</t>
        </is>
      </c>
      <c r="E17043" s="10" t="inlineStr">
        <is>
          <t>Harga Satuan (Rp)</t>
        </is>
      </c>
      <c r="F17043" s="10" t="inlineStr">
        <is>
          <t>Jumlah Harga (Rp)</t>
        </is>
      </c>
    </row>
    <row r="17044">
      <c r="A17044" s="3" t="inlineStr">
        <is>
          <t>1</t>
        </is>
      </c>
      <c r="B17044" s="3" t="inlineStr">
        <is>
          <t>Pekerja</t>
        </is>
      </c>
      <c r="C17044" s="3" t="inlineStr">
        <is>
          <t>OJ</t>
        </is>
      </c>
      <c r="D17044" s="15" t="n">
        <v>1.1034</v>
      </c>
      <c r="E17044" s="4" t="n">
        <v>100000</v>
      </c>
      <c r="F17044" s="4" t="n">
        <v>110340</v>
      </c>
    </row>
    <row r="17045">
      <c r="A17045" s="3" t="inlineStr">
        <is>
          <t>2</t>
        </is>
      </c>
      <c r="B17045" s="3" t="inlineStr">
        <is>
          <t>Tukang Batu</t>
        </is>
      </c>
      <c r="C17045" s="3" t="inlineStr">
        <is>
          <t>OJ</t>
        </is>
      </c>
      <c r="D17045" s="15" t="n">
        <v>0.2758</v>
      </c>
      <c r="E17045" s="4" t="n">
        <v>145000</v>
      </c>
      <c r="F17045" s="4" t="n">
        <v>39991</v>
      </c>
    </row>
    <row r="17046">
      <c r="A17046" s="3" t="inlineStr">
        <is>
          <t>3</t>
        </is>
      </c>
      <c r="B17046" s="3" t="inlineStr">
        <is>
          <t>Mandor</t>
        </is>
      </c>
      <c r="C17046" s="3" t="inlineStr">
        <is>
          <t>OJ</t>
        </is>
      </c>
      <c r="D17046" s="15" t="n">
        <v>0.0552</v>
      </c>
      <c r="E17046" s="4" t="n">
        <v>200000</v>
      </c>
      <c r="F17046" s="4" t="n">
        <v>11040</v>
      </c>
    </row>
    <row r="17047">
      <c r="A17047" s="3" t="inlineStr">
        <is>
          <t>1</t>
        </is>
      </c>
      <c r="B17047" s="3" t="inlineStr">
        <is>
          <t>Lantai Kerja fc 10 Mpa</t>
        </is>
      </c>
      <c r="C17047" s="3" t="inlineStr">
        <is>
          <t>m3</t>
        </is>
      </c>
      <c r="D17047" s="15" t="n">
        <v>0.077</v>
      </c>
      <c r="E17047" s="4" t="n">
        <v>1236000</v>
      </c>
      <c r="F17047" s="4" t="n">
        <v>95172</v>
      </c>
    </row>
    <row r="17048">
      <c r="A17048" s="3" t="inlineStr">
        <is>
          <t>2</t>
        </is>
      </c>
      <c r="B17048" s="3" t="inlineStr">
        <is>
          <t>Urukan Pasir Uruk</t>
        </is>
      </c>
      <c r="C17048" s="3" t="inlineStr">
        <is>
          <t>m3</t>
        </is>
      </c>
      <c r="D17048" s="15" t="n">
        <v>0.154</v>
      </c>
      <c r="E17048" s="4" t="n">
        <v>488180</v>
      </c>
      <c r="F17048" s="4" t="n">
        <v>75179.72</v>
      </c>
    </row>
    <row r="17049">
      <c r="A17049" s="3" t="inlineStr">
        <is>
          <t>3</t>
        </is>
      </c>
      <c r="B17049" s="3" t="inlineStr">
        <is>
          <t>U-Ditch 120x120x120 cm</t>
        </is>
      </c>
      <c r="C17049" s="3" t="inlineStr">
        <is>
          <t>buah</t>
        </is>
      </c>
      <c r="D17049" s="15" t="n">
        <v>0.8333</v>
      </c>
      <c r="E17049" s="4" t="n">
        <v>620000</v>
      </c>
      <c r="F17049" s="4" t="n">
        <v>516646</v>
      </c>
    </row>
    <row r="17050">
      <c r="A17050" s="3" t="inlineStr">
        <is>
          <t>1</t>
        </is>
      </c>
      <c r="B17050" s="3" t="inlineStr">
        <is>
          <t>Sewa mobil crane</t>
        </is>
      </c>
      <c r="C17050" s="3" t="inlineStr">
        <is>
          <t>jam</t>
        </is>
      </c>
      <c r="D17050" s="15" t="n">
        <v>0.2758</v>
      </c>
      <c r="E17050" s="4" t="n">
        <v>1450000</v>
      </c>
      <c r="F17050" s="4" t="n">
        <v>399910</v>
      </c>
    </row>
    <row r="17051">
      <c r="D17051" s="2" t="inlineStr">
        <is>
          <t>SUBTOTAL UPAH</t>
        </is>
      </c>
      <c r="F17051" s="16" t="n">
        <v>161371</v>
      </c>
    </row>
    <row r="17052">
      <c r="D17052" s="2" t="inlineStr">
        <is>
          <t>SUBTOTAL BAHAN</t>
        </is>
      </c>
      <c r="F17052" s="16" t="n">
        <v>686997.72</v>
      </c>
    </row>
    <row r="17053">
      <c r="D17053" s="2" t="inlineStr">
        <is>
          <t>SUBTOTAL ALAT</t>
        </is>
      </c>
      <c r="F17053" s="16" t="n">
        <v>399910</v>
      </c>
    </row>
    <row r="17054">
      <c r="E17054" s="2" t="inlineStr">
        <is>
          <t>TOTAL HARGA SATUAN (Inc. Overhead)</t>
        </is>
      </c>
      <c r="F17054" s="17" t="n">
        <v>1373106</v>
      </c>
    </row>
    <row r="17056">
      <c r="A17056" s="14" t="inlineStr">
        <is>
          <t>KODE: 8.1.1.18 - 1 m Saluran U-Ditch 120x140x120 cm dengan lantai kerja fc 10 Mpa</t>
        </is>
      </c>
    </row>
    <row r="17057">
      <c r="A17057" s="10" t="inlineStr">
        <is>
          <t>No</t>
        </is>
      </c>
      <c r="B17057" s="10" t="inlineStr">
        <is>
          <t>Uraian Komponen</t>
        </is>
      </c>
      <c r="C17057" s="10" t="inlineStr">
        <is>
          <t>Satuan</t>
        </is>
      </c>
      <c r="D17057" s="10" t="inlineStr">
        <is>
          <t>Koef</t>
        </is>
      </c>
      <c r="E17057" s="10" t="inlineStr">
        <is>
          <t>Harga Satuan (Rp)</t>
        </is>
      </c>
      <c r="F17057" s="10" t="inlineStr">
        <is>
          <t>Jumlah Harga (Rp)</t>
        </is>
      </c>
    </row>
    <row r="17058">
      <c r="A17058" s="3" t="inlineStr">
        <is>
          <t>1</t>
        </is>
      </c>
      <c r="B17058" s="3" t="inlineStr">
        <is>
          <t>Pekerja</t>
        </is>
      </c>
      <c r="C17058" s="3" t="inlineStr">
        <is>
          <t>OJ</t>
        </is>
      </c>
      <c r="D17058" s="15" t="n">
        <v>1.1259</v>
      </c>
      <c r="E17058" s="4" t="n">
        <v>100000</v>
      </c>
      <c r="F17058" s="4" t="n">
        <v>112590</v>
      </c>
    </row>
    <row r="17059">
      <c r="A17059" s="3" t="inlineStr">
        <is>
          <t>2</t>
        </is>
      </c>
      <c r="B17059" s="3" t="inlineStr">
        <is>
          <t>Tukang Batu</t>
        </is>
      </c>
      <c r="C17059" s="3" t="inlineStr">
        <is>
          <t>OJ</t>
        </is>
      </c>
      <c r="D17059" s="15" t="n">
        <v>0.2815</v>
      </c>
      <c r="E17059" s="4" t="n">
        <v>145000</v>
      </c>
      <c r="F17059" s="4" t="n">
        <v>40817.49999999999</v>
      </c>
    </row>
    <row r="17060">
      <c r="A17060" s="3" t="inlineStr">
        <is>
          <t>3</t>
        </is>
      </c>
      <c r="B17060" s="3" t="inlineStr">
        <is>
          <t>Mandor</t>
        </is>
      </c>
      <c r="C17060" s="3" t="inlineStr">
        <is>
          <t>OJ</t>
        </is>
      </c>
      <c r="D17060" s="15" t="n">
        <v>0.0563</v>
      </c>
      <c r="E17060" s="4" t="n">
        <v>200000</v>
      </c>
      <c r="F17060" s="4" t="n">
        <v>11260</v>
      </c>
    </row>
    <row r="17061">
      <c r="A17061" s="3" t="inlineStr">
        <is>
          <t>1</t>
        </is>
      </c>
      <c r="B17061" s="3" t="inlineStr">
        <is>
          <t>Lantai Kerja fc 10 Mpa</t>
        </is>
      </c>
      <c r="C17061" s="3" t="inlineStr">
        <is>
          <t>m3</t>
        </is>
      </c>
      <c r="D17061" s="15" t="n">
        <v>0.077</v>
      </c>
      <c r="E17061" s="4" t="n">
        <v>1236000</v>
      </c>
      <c r="F17061" s="4" t="n">
        <v>95172</v>
      </c>
    </row>
    <row r="17062">
      <c r="A17062" s="3" t="inlineStr">
        <is>
          <t>2</t>
        </is>
      </c>
      <c r="B17062" s="3" t="inlineStr">
        <is>
          <t>Urukan Pasir Uruk</t>
        </is>
      </c>
      <c r="C17062" s="3" t="inlineStr">
        <is>
          <t>m3</t>
        </is>
      </c>
      <c r="D17062" s="15" t="n">
        <v>0.154</v>
      </c>
      <c r="E17062" s="4" t="n">
        <v>488180</v>
      </c>
      <c r="F17062" s="4" t="n">
        <v>75179.72</v>
      </c>
    </row>
    <row r="17063">
      <c r="A17063" s="3" t="inlineStr">
        <is>
          <t>3</t>
        </is>
      </c>
      <c r="B17063" s="3" t="inlineStr">
        <is>
          <t>U-Ditch 120x140x120 cm</t>
        </is>
      </c>
      <c r="C17063" s="3" t="inlineStr">
        <is>
          <t>buah</t>
        </is>
      </c>
      <c r="D17063" s="15" t="n">
        <v>0.8333</v>
      </c>
      <c r="E17063" s="4" t="n">
        <v>640000</v>
      </c>
      <c r="F17063" s="4" t="n">
        <v>533312</v>
      </c>
    </row>
    <row r="17064">
      <c r="A17064" s="3" t="inlineStr">
        <is>
          <t>1</t>
        </is>
      </c>
      <c r="B17064" s="3" t="inlineStr">
        <is>
          <t>Sewa mobil crane</t>
        </is>
      </c>
      <c r="C17064" s="3" t="inlineStr">
        <is>
          <t>jam</t>
        </is>
      </c>
      <c r="D17064" s="15" t="n">
        <v>0.2815</v>
      </c>
      <c r="E17064" s="4" t="n">
        <v>1450000</v>
      </c>
      <c r="F17064" s="4" t="n">
        <v>408174.9999999999</v>
      </c>
    </row>
    <row r="17065">
      <c r="D17065" s="2" t="inlineStr">
        <is>
          <t>SUBTOTAL UPAH</t>
        </is>
      </c>
      <c r="F17065" s="16" t="n">
        <v>164667.5</v>
      </c>
    </row>
    <row r="17066">
      <c r="D17066" s="2" t="inlineStr">
        <is>
          <t>SUBTOTAL BAHAN</t>
        </is>
      </c>
      <c r="F17066" s="16" t="n">
        <v>703663.72</v>
      </c>
    </row>
    <row r="17067">
      <c r="D17067" s="2" t="inlineStr">
        <is>
          <t>SUBTOTAL ALAT</t>
        </is>
      </c>
      <c r="F17067" s="16" t="n">
        <v>408174.9999999999</v>
      </c>
    </row>
    <row r="17068">
      <c r="E17068" s="2" t="inlineStr">
        <is>
          <t>TOTAL HARGA SATUAN (Inc. Overhead)</t>
        </is>
      </c>
      <c r="F17068" s="17" t="n">
        <v>1404156</v>
      </c>
    </row>
    <row r="17070">
      <c r="A17070" s="14" t="inlineStr">
        <is>
          <t>KODE: 8.1.1.19 - 1 m Saluran U-Ditch 140x140x120 cm dengan lantai kerja fc 10 Mpa</t>
        </is>
      </c>
    </row>
    <row r="17071">
      <c r="A17071" s="10" t="inlineStr">
        <is>
          <t>No</t>
        </is>
      </c>
      <c r="B17071" s="10" t="inlineStr">
        <is>
          <t>Uraian Komponen</t>
        </is>
      </c>
      <c r="C17071" s="10" t="inlineStr">
        <is>
          <t>Satuan</t>
        </is>
      </c>
      <c r="D17071" s="10" t="inlineStr">
        <is>
          <t>Koef</t>
        </is>
      </c>
      <c r="E17071" s="10" t="inlineStr">
        <is>
          <t>Harga Satuan (Rp)</t>
        </is>
      </c>
      <c r="F17071" s="10" t="inlineStr">
        <is>
          <t>Jumlah Harga (Rp)</t>
        </is>
      </c>
    </row>
    <row r="17072">
      <c r="A17072" s="3" t="inlineStr">
        <is>
          <t>1</t>
        </is>
      </c>
      <c r="B17072" s="3" t="inlineStr">
        <is>
          <t>Pekerja</t>
        </is>
      </c>
      <c r="C17072" s="3" t="inlineStr">
        <is>
          <t>OJ</t>
        </is>
      </c>
      <c r="D17072" s="15" t="n">
        <v>1.2795</v>
      </c>
      <c r="E17072" s="4" t="n">
        <v>100000</v>
      </c>
      <c r="F17072" s="4" t="n">
        <v>127950</v>
      </c>
    </row>
    <row r="17073">
      <c r="A17073" s="3" t="inlineStr">
        <is>
          <t>2</t>
        </is>
      </c>
      <c r="B17073" s="3" t="inlineStr">
        <is>
          <t>Tukang Batu</t>
        </is>
      </c>
      <c r="C17073" s="3" t="inlineStr">
        <is>
          <t>OJ</t>
        </is>
      </c>
      <c r="D17073" s="15" t="n">
        <v>0.3199</v>
      </c>
      <c r="E17073" s="4" t="n">
        <v>145000</v>
      </c>
      <c r="F17073" s="4" t="n">
        <v>46385.5</v>
      </c>
    </row>
    <row r="17074">
      <c r="A17074" s="3" t="inlineStr">
        <is>
          <t>3</t>
        </is>
      </c>
      <c r="B17074" s="3" t="inlineStr">
        <is>
          <t>Mandor</t>
        </is>
      </c>
      <c r="C17074" s="3" t="inlineStr">
        <is>
          <t>OJ</t>
        </is>
      </c>
      <c r="D17074" s="15" t="n">
        <v>0.064</v>
      </c>
      <c r="E17074" s="4" t="n">
        <v>200000</v>
      </c>
      <c r="F17074" s="4" t="n">
        <v>12800</v>
      </c>
    </row>
    <row r="17075">
      <c r="A17075" s="3" t="inlineStr">
        <is>
          <t>1</t>
        </is>
      </c>
      <c r="B17075" s="3" t="inlineStr">
        <is>
          <t>Lantai Kerja fc 10 Mpa</t>
        </is>
      </c>
      <c r="C17075" s="3" t="inlineStr">
        <is>
          <t>m3</t>
        </is>
      </c>
      <c r="D17075" s="15" t="n">
        <v>0.0885</v>
      </c>
      <c r="E17075" s="4" t="n">
        <v>1236000</v>
      </c>
      <c r="F17075" s="4" t="n">
        <v>109386</v>
      </c>
    </row>
    <row r="17076">
      <c r="A17076" s="3" t="inlineStr">
        <is>
          <t>2</t>
        </is>
      </c>
      <c r="B17076" s="3" t="inlineStr">
        <is>
          <t>Urukan Pasir Uruk</t>
        </is>
      </c>
      <c r="C17076" s="3" t="inlineStr">
        <is>
          <t>m3</t>
        </is>
      </c>
      <c r="D17076" s="15" t="n">
        <v>0.1779</v>
      </c>
      <c r="E17076" s="4" t="n">
        <v>488180</v>
      </c>
      <c r="F17076" s="4" t="n">
        <v>86847.22199999999</v>
      </c>
    </row>
    <row r="17077">
      <c r="A17077" s="3" t="inlineStr">
        <is>
          <t>3</t>
        </is>
      </c>
      <c r="B17077" s="3" t="inlineStr">
        <is>
          <t>U-Ditch 140x140x120 cm</t>
        </is>
      </c>
      <c r="C17077" s="3" t="inlineStr">
        <is>
          <t>buah</t>
        </is>
      </c>
      <c r="D17077" s="15" t="n">
        <v>0.8333</v>
      </c>
      <c r="E17077" s="4" t="n">
        <v>670000</v>
      </c>
      <c r="F17077" s="4" t="n">
        <v>558311</v>
      </c>
    </row>
    <row r="17078">
      <c r="A17078" s="3" t="inlineStr">
        <is>
          <t>1</t>
        </is>
      </c>
      <c r="B17078" s="3" t="inlineStr">
        <is>
          <t>Sewa mobil crane</t>
        </is>
      </c>
      <c r="C17078" s="3" t="inlineStr">
        <is>
          <t>jam</t>
        </is>
      </c>
      <c r="D17078" s="15" t="n">
        <v>0.3199</v>
      </c>
      <c r="E17078" s="4" t="n">
        <v>1450000</v>
      </c>
      <c r="F17078" s="4" t="n">
        <v>463855</v>
      </c>
    </row>
    <row r="17079">
      <c r="D17079" s="2" t="inlineStr">
        <is>
          <t>SUBTOTAL UPAH</t>
        </is>
      </c>
      <c r="F17079" s="16" t="n">
        <v>187135.5</v>
      </c>
    </row>
    <row r="17080">
      <c r="D17080" s="2" t="inlineStr">
        <is>
          <t>SUBTOTAL BAHAN</t>
        </is>
      </c>
      <c r="F17080" s="16" t="n">
        <v>754544.2220000001</v>
      </c>
    </row>
    <row r="17081">
      <c r="D17081" s="2" t="inlineStr">
        <is>
          <t>SUBTOTAL ALAT</t>
        </is>
      </c>
      <c r="F17081" s="16" t="n">
        <v>463855</v>
      </c>
    </row>
    <row r="17082">
      <c r="E17082" s="2" t="inlineStr">
        <is>
          <t>TOTAL HARGA SATUAN (Inc. Overhead)</t>
        </is>
      </c>
      <c r="F17082" s="17" t="n">
        <v>1546088</v>
      </c>
    </row>
    <row r="17084">
      <c r="A17084" s="14" t="inlineStr">
        <is>
          <t>KODE: 8.1.1.20 - 1 m Saluran U-Ditch 150x100x120 cm dengan lantai kerja fc 10 Mpa</t>
        </is>
      </c>
    </row>
    <row r="17085">
      <c r="A17085" s="10" t="inlineStr">
        <is>
          <t>No</t>
        </is>
      </c>
      <c r="B17085" s="10" t="inlineStr">
        <is>
          <t>Uraian Komponen</t>
        </is>
      </c>
      <c r="C17085" s="10" t="inlineStr">
        <is>
          <t>Satuan</t>
        </is>
      </c>
      <c r="D17085" s="10" t="inlineStr">
        <is>
          <t>Koef</t>
        </is>
      </c>
      <c r="E17085" s="10" t="inlineStr">
        <is>
          <t>Harga Satuan (Rp)</t>
        </is>
      </c>
      <c r="F17085" s="10" t="inlineStr">
        <is>
          <t>Jumlah Harga (Rp)</t>
        </is>
      </c>
    </row>
    <row r="17086">
      <c r="A17086" s="3" t="inlineStr">
        <is>
          <t>1</t>
        </is>
      </c>
      <c r="B17086" s="3" t="inlineStr">
        <is>
          <t>Pekerja</t>
        </is>
      </c>
      <c r="C17086" s="3" t="inlineStr">
        <is>
          <t>OJ</t>
        </is>
      </c>
      <c r="D17086" s="15" t="n">
        <v>1.1408</v>
      </c>
      <c r="E17086" s="4" t="n">
        <v>100000</v>
      </c>
      <c r="F17086" s="4" t="n">
        <v>114080</v>
      </c>
    </row>
    <row r="17087">
      <c r="A17087" s="3" t="inlineStr">
        <is>
          <t>2</t>
        </is>
      </c>
      <c r="B17087" s="3" t="inlineStr">
        <is>
          <t>Tukang Batu</t>
        </is>
      </c>
      <c r="C17087" s="3" t="inlineStr">
        <is>
          <t>OJ</t>
        </is>
      </c>
      <c r="D17087" s="15" t="n">
        <v>0.2852</v>
      </c>
      <c r="E17087" s="4" t="n">
        <v>145000</v>
      </c>
      <c r="F17087" s="4" t="n">
        <v>41354</v>
      </c>
    </row>
    <row r="17088">
      <c r="A17088" s="3" t="inlineStr">
        <is>
          <t>3</t>
        </is>
      </c>
      <c r="B17088" s="3" t="inlineStr">
        <is>
          <t>Mandor</t>
        </is>
      </c>
      <c r="C17088" s="3" t="inlineStr">
        <is>
          <t>OJ</t>
        </is>
      </c>
      <c r="D17088" s="15" t="n">
        <v>0.057</v>
      </c>
      <c r="E17088" s="4" t="n">
        <v>200000</v>
      </c>
      <c r="F17088" s="4" t="n">
        <v>11400</v>
      </c>
    </row>
    <row r="17089">
      <c r="A17089" s="3" t="inlineStr">
        <is>
          <t>1</t>
        </is>
      </c>
      <c r="B17089" s="3" t="inlineStr">
        <is>
          <t>Lantai Kerja fc 10 Mpa</t>
        </is>
      </c>
      <c r="C17089" s="3" t="inlineStr">
        <is>
          <t>m3</t>
        </is>
      </c>
      <c r="D17089" s="15" t="n">
        <v>0.096</v>
      </c>
      <c r="E17089" s="4" t="n">
        <v>1236000</v>
      </c>
      <c r="F17089" s="4" t="n">
        <v>118656</v>
      </c>
    </row>
    <row r="17090">
      <c r="A17090" s="3" t="inlineStr">
        <is>
          <t>2</t>
        </is>
      </c>
      <c r="B17090" s="3" t="inlineStr">
        <is>
          <t>Urukan Pasir Uruk</t>
        </is>
      </c>
      <c r="C17090" s="3" t="inlineStr">
        <is>
          <t>m3</t>
        </is>
      </c>
      <c r="D17090" s="15" t="n">
        <v>0.192</v>
      </c>
      <c r="E17090" s="4" t="n">
        <v>488180</v>
      </c>
      <c r="F17090" s="4" t="n">
        <v>93730.56</v>
      </c>
    </row>
    <row r="17091">
      <c r="A17091" s="3" t="inlineStr">
        <is>
          <t>3</t>
        </is>
      </c>
      <c r="B17091" s="3" t="inlineStr">
        <is>
          <t>U-Ditch 150x100x120 cm</t>
        </is>
      </c>
      <c r="C17091" s="3" t="inlineStr">
        <is>
          <t>buah</t>
        </is>
      </c>
      <c r="D17091" s="15" t="n">
        <v>0.8333</v>
      </c>
      <c r="E17091" s="4" t="n">
        <v>680000</v>
      </c>
      <c r="F17091" s="4" t="n">
        <v>566644</v>
      </c>
    </row>
    <row r="17092">
      <c r="A17092" s="3" t="inlineStr">
        <is>
          <t>1</t>
        </is>
      </c>
      <c r="B17092" s="3" t="inlineStr">
        <is>
          <t>Sewa mobil crane</t>
        </is>
      </c>
      <c r="C17092" s="3" t="inlineStr">
        <is>
          <t>jam</t>
        </is>
      </c>
      <c r="D17092" s="15" t="n">
        <v>0.2852</v>
      </c>
      <c r="E17092" s="4" t="n">
        <v>1450000</v>
      </c>
      <c r="F17092" s="4" t="n">
        <v>413540</v>
      </c>
    </row>
    <row r="17093">
      <c r="D17093" s="2" t="inlineStr">
        <is>
          <t>SUBTOTAL UPAH</t>
        </is>
      </c>
      <c r="F17093" s="16" t="n">
        <v>166834</v>
      </c>
    </row>
    <row r="17094">
      <c r="D17094" s="2" t="inlineStr">
        <is>
          <t>SUBTOTAL BAHAN</t>
        </is>
      </c>
      <c r="F17094" s="16" t="n">
        <v>779030.5600000001</v>
      </c>
    </row>
    <row r="17095">
      <c r="D17095" s="2" t="inlineStr">
        <is>
          <t>SUBTOTAL ALAT</t>
        </is>
      </c>
      <c r="F17095" s="16" t="n">
        <v>413540</v>
      </c>
    </row>
    <row r="17096">
      <c r="E17096" s="2" t="inlineStr">
        <is>
          <t>TOTAL HARGA SATUAN (Inc. Overhead)</t>
        </is>
      </c>
      <c r="F17096" s="17" t="n">
        <v>1495345</v>
      </c>
    </row>
    <row r="17098">
      <c r="A17098" s="14" t="inlineStr">
        <is>
          <t>KODE: 8.1.1.21 - 1 m Saluran U-Ditch 150x150x120 cm dengan lantai kerja fc 10 Mpa</t>
        </is>
      </c>
    </row>
    <row r="17099">
      <c r="A17099" s="10" t="inlineStr">
        <is>
          <t>No</t>
        </is>
      </c>
      <c r="B17099" s="10" t="inlineStr">
        <is>
          <t>Uraian Komponen</t>
        </is>
      </c>
      <c r="C17099" s="10" t="inlineStr">
        <is>
          <t>Satuan</t>
        </is>
      </c>
      <c r="D17099" s="10" t="inlineStr">
        <is>
          <t>Koef</t>
        </is>
      </c>
      <c r="E17099" s="10" t="inlineStr">
        <is>
          <t>Harga Satuan (Rp)</t>
        </is>
      </c>
      <c r="F17099" s="10" t="inlineStr">
        <is>
          <t>Jumlah Harga (Rp)</t>
        </is>
      </c>
    </row>
    <row r="17100">
      <c r="A17100" s="3" t="inlineStr">
        <is>
          <t>1</t>
        </is>
      </c>
      <c r="B17100" s="3" t="inlineStr">
        <is>
          <t>Pekerja</t>
        </is>
      </c>
      <c r="C17100" s="3" t="inlineStr">
        <is>
          <t>OJ</t>
        </is>
      </c>
      <c r="D17100" s="15" t="n">
        <v>1.2919</v>
      </c>
      <c r="E17100" s="4" t="n">
        <v>100000</v>
      </c>
      <c r="F17100" s="4" t="n">
        <v>129190</v>
      </c>
    </row>
    <row r="17101">
      <c r="A17101" s="3" t="inlineStr">
        <is>
          <t>2</t>
        </is>
      </c>
      <c r="B17101" s="3" t="inlineStr">
        <is>
          <t>Tukang Batu</t>
        </is>
      </c>
      <c r="C17101" s="3" t="inlineStr">
        <is>
          <t>OJ</t>
        </is>
      </c>
      <c r="D17101" s="15" t="n">
        <v>0.323</v>
      </c>
      <c r="E17101" s="4" t="n">
        <v>145000</v>
      </c>
      <c r="F17101" s="4" t="n">
        <v>46835</v>
      </c>
    </row>
    <row r="17102">
      <c r="A17102" s="3" t="inlineStr">
        <is>
          <t>3</t>
        </is>
      </c>
      <c r="B17102" s="3" t="inlineStr">
        <is>
          <t>Mandor</t>
        </is>
      </c>
      <c r="C17102" s="3" t="inlineStr">
        <is>
          <t>OJ</t>
        </is>
      </c>
      <c r="D17102" s="15" t="n">
        <v>0.0646</v>
      </c>
      <c r="E17102" s="4" t="n">
        <v>200000</v>
      </c>
      <c r="F17102" s="4" t="n">
        <v>12920</v>
      </c>
    </row>
    <row r="17103">
      <c r="A17103" s="3" t="inlineStr">
        <is>
          <t>1</t>
        </is>
      </c>
      <c r="B17103" s="3" t="inlineStr">
        <is>
          <t>Lantai Kerja fc 10 Mpa</t>
        </is>
      </c>
      <c r="C17103" s="3" t="inlineStr">
        <is>
          <t>m3</t>
        </is>
      </c>
      <c r="D17103" s="15" t="n">
        <v>0.0955</v>
      </c>
      <c r="E17103" s="4" t="n">
        <v>1236000</v>
      </c>
      <c r="F17103" s="4" t="n">
        <v>118038</v>
      </c>
    </row>
    <row r="17104">
      <c r="A17104" s="3" t="inlineStr">
        <is>
          <t>2</t>
        </is>
      </c>
      <c r="B17104" s="3" t="inlineStr">
        <is>
          <t>Urukan Pasir Uruk</t>
        </is>
      </c>
      <c r="C17104" s="3" t="inlineStr">
        <is>
          <t>m3</t>
        </is>
      </c>
      <c r="D17104" s="15" t="n">
        <v>0.191</v>
      </c>
      <c r="E17104" s="4" t="n">
        <v>488180</v>
      </c>
      <c r="F17104" s="4" t="n">
        <v>93242.38</v>
      </c>
    </row>
    <row r="17105">
      <c r="A17105" s="3" t="inlineStr">
        <is>
          <t>3</t>
        </is>
      </c>
      <c r="B17105" s="3" t="inlineStr">
        <is>
          <t>U-Ditch 150x150x120 cm</t>
        </is>
      </c>
      <c r="C17105" s="3" t="inlineStr">
        <is>
          <t>buah</t>
        </is>
      </c>
      <c r="D17105" s="15" t="n">
        <v>0.8333</v>
      </c>
      <c r="E17105" s="4" t="n">
        <v>710000</v>
      </c>
      <c r="F17105" s="4" t="n">
        <v>591643</v>
      </c>
    </row>
    <row r="17106">
      <c r="A17106" s="3" t="inlineStr">
        <is>
          <t>1</t>
        </is>
      </c>
      <c r="B17106" s="3" t="inlineStr">
        <is>
          <t>Sewa mobil crane</t>
        </is>
      </c>
      <c r="C17106" s="3" t="inlineStr">
        <is>
          <t>jam</t>
        </is>
      </c>
      <c r="D17106" s="15" t="n">
        <v>0.323</v>
      </c>
      <c r="E17106" s="4" t="n">
        <v>1450000</v>
      </c>
      <c r="F17106" s="4" t="n">
        <v>468350</v>
      </c>
    </row>
    <row r="17107">
      <c r="D17107" s="2" t="inlineStr">
        <is>
          <t>SUBTOTAL UPAH</t>
        </is>
      </c>
      <c r="F17107" s="16" t="n">
        <v>188945</v>
      </c>
    </row>
    <row r="17108">
      <c r="D17108" s="2" t="inlineStr">
        <is>
          <t>SUBTOTAL BAHAN</t>
        </is>
      </c>
      <c r="F17108" s="16" t="n">
        <v>802923.38</v>
      </c>
    </row>
    <row r="17109">
      <c r="D17109" s="2" t="inlineStr">
        <is>
          <t>SUBTOTAL ALAT</t>
        </is>
      </c>
      <c r="F17109" s="16" t="n">
        <v>468350</v>
      </c>
    </row>
    <row r="17110">
      <c r="E17110" s="2" t="inlineStr">
        <is>
          <t>TOTAL HARGA SATUAN (Inc. Overhead)</t>
        </is>
      </c>
      <c r="F17110" s="17" t="n">
        <v>1606240</v>
      </c>
    </row>
    <row r="17112">
      <c r="A17112" s="14" t="inlineStr">
        <is>
          <t>KODE: 8.1.1.22 - 1 m Saluran U-Ditch 150x170x120 cm dengan lantai kerja fc 10 Mpa</t>
        </is>
      </c>
    </row>
    <row r="17113">
      <c r="A17113" s="10" t="inlineStr">
        <is>
          <t>No</t>
        </is>
      </c>
      <c r="B17113" s="10" t="inlineStr">
        <is>
          <t>Uraian Komponen</t>
        </is>
      </c>
      <c r="C17113" s="10" t="inlineStr">
        <is>
          <t>Satuan</t>
        </is>
      </c>
      <c r="D17113" s="10" t="inlineStr">
        <is>
          <t>Koef</t>
        </is>
      </c>
      <c r="E17113" s="10" t="inlineStr">
        <is>
          <t>Harga Satuan (Rp)</t>
        </is>
      </c>
      <c r="F17113" s="10" t="inlineStr">
        <is>
          <t>Jumlah Harga (Rp)</t>
        </is>
      </c>
    </row>
    <row r="17114">
      <c r="A17114" s="3" t="inlineStr">
        <is>
          <t>1</t>
        </is>
      </c>
      <c r="B17114" s="3" t="inlineStr">
        <is>
          <t>Pekerja</t>
        </is>
      </c>
      <c r="C17114" s="3" t="inlineStr">
        <is>
          <t>OJ</t>
        </is>
      </c>
      <c r="D17114" s="15" t="n">
        <v>1.2956</v>
      </c>
      <c r="E17114" s="4" t="n">
        <v>100000</v>
      </c>
      <c r="F17114" s="4" t="n">
        <v>129560</v>
      </c>
    </row>
    <row r="17115">
      <c r="A17115" s="3" t="inlineStr">
        <is>
          <t>2</t>
        </is>
      </c>
      <c r="B17115" s="3" t="inlineStr">
        <is>
          <t>Tukang Batu</t>
        </is>
      </c>
      <c r="C17115" s="3" t="inlineStr">
        <is>
          <t>OJ</t>
        </is>
      </c>
      <c r="D17115" s="15" t="n">
        <v>0.3239</v>
      </c>
      <c r="E17115" s="4" t="n">
        <v>145000</v>
      </c>
      <c r="F17115" s="4" t="n">
        <v>46965.5</v>
      </c>
    </row>
    <row r="17116">
      <c r="A17116" s="3" t="inlineStr">
        <is>
          <t>3</t>
        </is>
      </c>
      <c r="B17116" s="3" t="inlineStr">
        <is>
          <t>Mandor</t>
        </is>
      </c>
      <c r="C17116" s="3" t="inlineStr">
        <is>
          <t>OJ</t>
        </is>
      </c>
      <c r="D17116" s="15" t="n">
        <v>0.0648</v>
      </c>
      <c r="E17116" s="4" t="n">
        <v>200000</v>
      </c>
      <c r="F17116" s="4" t="n">
        <v>12960</v>
      </c>
    </row>
    <row r="17117">
      <c r="A17117" s="3" t="inlineStr">
        <is>
          <t>1</t>
        </is>
      </c>
      <c r="B17117" s="3" t="inlineStr">
        <is>
          <t>Lantai Kerja fc 10 Mpa</t>
        </is>
      </c>
      <c r="C17117" s="3" t="inlineStr">
        <is>
          <t>m3</t>
        </is>
      </c>
      <c r="D17117" s="15" t="n">
        <v>0.0955</v>
      </c>
      <c r="E17117" s="4" t="n">
        <v>1236000</v>
      </c>
      <c r="F17117" s="4" t="n">
        <v>118038</v>
      </c>
    </row>
    <row r="17118">
      <c r="A17118" s="3" t="inlineStr">
        <is>
          <t>2</t>
        </is>
      </c>
      <c r="B17118" s="3" t="inlineStr">
        <is>
          <t>Urukan Pasir Uruk</t>
        </is>
      </c>
      <c r="C17118" s="3" t="inlineStr">
        <is>
          <t>m3</t>
        </is>
      </c>
      <c r="D17118" s="15" t="n">
        <v>0.191</v>
      </c>
      <c r="E17118" s="4" t="n">
        <v>488180</v>
      </c>
      <c r="F17118" s="4" t="n">
        <v>93242.38</v>
      </c>
    </row>
    <row r="17119">
      <c r="A17119" s="3" t="inlineStr">
        <is>
          <t>3</t>
        </is>
      </c>
      <c r="B17119" s="3" t="inlineStr">
        <is>
          <t>U-Ditch 150x170x120 cm</t>
        </is>
      </c>
      <c r="C17119" s="3" t="inlineStr">
        <is>
          <t>buah</t>
        </is>
      </c>
      <c r="D17119" s="15" t="n">
        <v>0.8333</v>
      </c>
      <c r="E17119" s="4" t="n">
        <v>730000</v>
      </c>
      <c r="F17119" s="4" t="n">
        <v>608309</v>
      </c>
    </row>
    <row r="17120">
      <c r="A17120" s="3" t="inlineStr">
        <is>
          <t>1</t>
        </is>
      </c>
      <c r="B17120" s="3" t="inlineStr">
        <is>
          <t>Sewa mobil crane</t>
        </is>
      </c>
      <c r="C17120" s="3" t="inlineStr">
        <is>
          <t>jam</t>
        </is>
      </c>
      <c r="D17120" s="15" t="n">
        <v>0.3239</v>
      </c>
      <c r="E17120" s="4" t="n">
        <v>1450000</v>
      </c>
      <c r="F17120" s="4" t="n">
        <v>469655.0000000001</v>
      </c>
    </row>
    <row r="17121">
      <c r="D17121" s="2" t="inlineStr">
        <is>
          <t>SUBTOTAL UPAH</t>
        </is>
      </c>
      <c r="F17121" s="16" t="n">
        <v>189485.5</v>
      </c>
    </row>
    <row r="17122">
      <c r="D17122" s="2" t="inlineStr">
        <is>
          <t>SUBTOTAL BAHAN</t>
        </is>
      </c>
      <c r="F17122" s="16" t="n">
        <v>819589.38</v>
      </c>
    </row>
    <row r="17123">
      <c r="D17123" s="2" t="inlineStr">
        <is>
          <t>SUBTOTAL ALAT</t>
        </is>
      </c>
      <c r="F17123" s="16" t="n">
        <v>469655.0000000001</v>
      </c>
    </row>
    <row r="17124">
      <c r="E17124" s="2" t="inlineStr">
        <is>
          <t>TOTAL HARGA SATUAN (Inc. Overhead)</t>
        </is>
      </c>
      <c r="F17124" s="17" t="n">
        <v>1626602</v>
      </c>
    </row>
    <row r="17126">
      <c r="A17126" s="14" t="inlineStr">
        <is>
          <t>KODE: 8.1.1.23 - 1 m Saluran U-Ditch 160x160x120 cm dengan lantai kerja fc 10 Mpa</t>
        </is>
      </c>
    </row>
    <row r="17127">
      <c r="A17127" s="10" t="inlineStr">
        <is>
          <t>No</t>
        </is>
      </c>
      <c r="B17127" s="10" t="inlineStr">
        <is>
          <t>Uraian Komponen</t>
        </is>
      </c>
      <c r="C17127" s="10" t="inlineStr">
        <is>
          <t>Satuan</t>
        </is>
      </c>
      <c r="D17127" s="10" t="inlineStr">
        <is>
          <t>Koef</t>
        </is>
      </c>
      <c r="E17127" s="10" t="inlineStr">
        <is>
          <t>Harga Satuan (Rp)</t>
        </is>
      </c>
      <c r="F17127" s="10" t="inlineStr">
        <is>
          <t>Jumlah Harga (Rp)</t>
        </is>
      </c>
    </row>
    <row r="17128">
      <c r="A17128" s="3" t="inlineStr">
        <is>
          <t>1</t>
        </is>
      </c>
      <c r="B17128" s="3" t="inlineStr">
        <is>
          <t>Pekerja</t>
        </is>
      </c>
      <c r="C17128" s="3" t="inlineStr">
        <is>
          <t>OJ</t>
        </is>
      </c>
      <c r="D17128" s="15" t="n">
        <v>1.3267</v>
      </c>
      <c r="E17128" s="4" t="n">
        <v>100000</v>
      </c>
      <c r="F17128" s="4" t="n">
        <v>132670</v>
      </c>
    </row>
    <row r="17129">
      <c r="A17129" s="3" t="inlineStr">
        <is>
          <t>2</t>
        </is>
      </c>
      <c r="B17129" s="3" t="inlineStr">
        <is>
          <t>Tukang Batu</t>
        </is>
      </c>
      <c r="C17129" s="3" t="inlineStr">
        <is>
          <t>OJ</t>
        </is>
      </c>
      <c r="D17129" s="15" t="n">
        <v>0.3317</v>
      </c>
      <c r="E17129" s="4" t="n">
        <v>145000</v>
      </c>
      <c r="F17129" s="4" t="n">
        <v>48096.5</v>
      </c>
    </row>
    <row r="17130">
      <c r="A17130" s="3" t="inlineStr">
        <is>
          <t>3</t>
        </is>
      </c>
      <c r="B17130" s="3" t="inlineStr">
        <is>
          <t>Mandor</t>
        </is>
      </c>
      <c r="C17130" s="3" t="inlineStr">
        <is>
          <t>OJ</t>
        </is>
      </c>
      <c r="D17130" s="15" t="n">
        <v>0.0663</v>
      </c>
      <c r="E17130" s="4" t="n">
        <v>200000</v>
      </c>
      <c r="F17130" s="4" t="n">
        <v>13260</v>
      </c>
    </row>
    <row r="17131">
      <c r="A17131" s="3" t="inlineStr">
        <is>
          <t>1</t>
        </is>
      </c>
      <c r="B17131" s="3" t="inlineStr">
        <is>
          <t>Lantai Kerja fc 10 Mpa</t>
        </is>
      </c>
      <c r="C17131" s="3" t="inlineStr">
        <is>
          <t>m3</t>
        </is>
      </c>
      <c r="D17131" s="15" t="n">
        <v>0.09950000000000001</v>
      </c>
      <c r="E17131" s="4" t="n">
        <v>1236000</v>
      </c>
      <c r="F17131" s="4" t="n">
        <v>122982</v>
      </c>
    </row>
    <row r="17132">
      <c r="A17132" s="3" t="inlineStr">
        <is>
          <t>2</t>
        </is>
      </c>
      <c r="B17132" s="3" t="inlineStr">
        <is>
          <t>Urukan Pasir Uruk</t>
        </is>
      </c>
      <c r="C17132" s="3" t="inlineStr">
        <is>
          <t>m3</t>
        </is>
      </c>
      <c r="D17132" s="15" t="n">
        <v>0.199</v>
      </c>
      <c r="E17132" s="4" t="n">
        <v>488180</v>
      </c>
      <c r="F17132" s="4" t="n">
        <v>97147.82000000001</v>
      </c>
    </row>
    <row r="17133">
      <c r="A17133" s="3" t="inlineStr">
        <is>
          <t>3</t>
        </is>
      </c>
      <c r="B17133" s="3" t="inlineStr">
        <is>
          <t>U-Ditch 160x160x120 cm</t>
        </is>
      </c>
      <c r="C17133" s="3" t="inlineStr">
        <is>
          <t>buah</t>
        </is>
      </c>
      <c r="D17133" s="15" t="n">
        <v>0.8333</v>
      </c>
      <c r="E17133" s="4" t="n">
        <v>750000</v>
      </c>
      <c r="F17133" s="4" t="n">
        <v>624975</v>
      </c>
    </row>
    <row r="17134">
      <c r="A17134" s="3" t="inlineStr">
        <is>
          <t>1</t>
        </is>
      </c>
      <c r="B17134" s="3" t="inlineStr">
        <is>
          <t>Sewa mobil crane</t>
        </is>
      </c>
      <c r="C17134" s="3" t="inlineStr">
        <is>
          <t>jam</t>
        </is>
      </c>
      <c r="D17134" s="15" t="n">
        <v>0.3317</v>
      </c>
      <c r="E17134" s="4" t="n">
        <v>1450000</v>
      </c>
      <c r="F17134" s="4" t="n">
        <v>480965</v>
      </c>
    </row>
    <row r="17135">
      <c r="D17135" s="2" t="inlineStr">
        <is>
          <t>SUBTOTAL UPAH</t>
        </is>
      </c>
      <c r="F17135" s="16" t="n">
        <v>194026.5</v>
      </c>
    </row>
    <row r="17136">
      <c r="D17136" s="2" t="inlineStr">
        <is>
          <t>SUBTOTAL BAHAN</t>
        </is>
      </c>
      <c r="F17136" s="16" t="n">
        <v>845104.8200000001</v>
      </c>
    </row>
    <row r="17137">
      <c r="D17137" s="2" t="inlineStr">
        <is>
          <t>SUBTOTAL ALAT</t>
        </is>
      </c>
      <c r="F17137" s="16" t="n">
        <v>480965</v>
      </c>
    </row>
    <row r="17138">
      <c r="E17138" s="2" t="inlineStr">
        <is>
          <t>TOTAL HARGA SATUAN (Inc. Overhead)</t>
        </is>
      </c>
      <c r="F17138" s="17" t="n">
        <v>1672105</v>
      </c>
    </row>
    <row r="17140">
      <c r="A17140" s="14" t="inlineStr">
        <is>
          <t>KODE: 8.1.1.24 - 1 m Saluran U-Ditch 160x180x120 cm dengan lantai kerja fc 10 Mpa</t>
        </is>
      </c>
    </row>
    <row r="17141">
      <c r="A17141" s="10" t="inlineStr">
        <is>
          <t>No</t>
        </is>
      </c>
      <c r="B17141" s="10" t="inlineStr">
        <is>
          <t>Uraian Komponen</t>
        </is>
      </c>
      <c r="C17141" s="10" t="inlineStr">
        <is>
          <t>Satuan</t>
        </is>
      </c>
      <c r="D17141" s="10" t="inlineStr">
        <is>
          <t>Koef</t>
        </is>
      </c>
      <c r="E17141" s="10" t="inlineStr">
        <is>
          <t>Harga Satuan (Rp)</t>
        </is>
      </c>
      <c r="F17141" s="10" t="inlineStr">
        <is>
          <t>Jumlah Harga (Rp)</t>
        </is>
      </c>
    </row>
    <row r="17142">
      <c r="A17142" s="3" t="inlineStr">
        <is>
          <t>1</t>
        </is>
      </c>
      <c r="B17142" s="3" t="inlineStr">
        <is>
          <t>Pekerja</t>
        </is>
      </c>
      <c r="C17142" s="3" t="inlineStr">
        <is>
          <t>OJ</t>
        </is>
      </c>
      <c r="D17142" s="15" t="n">
        <v>1.3469</v>
      </c>
      <c r="E17142" s="4" t="n">
        <v>100000</v>
      </c>
      <c r="F17142" s="4" t="n">
        <v>134690</v>
      </c>
    </row>
    <row r="17143">
      <c r="A17143" s="3" t="inlineStr">
        <is>
          <t>2</t>
        </is>
      </c>
      <c r="B17143" s="3" t="inlineStr">
        <is>
          <t>Tukang Batu</t>
        </is>
      </c>
      <c r="C17143" s="3" t="inlineStr">
        <is>
          <t>OJ</t>
        </is>
      </c>
      <c r="D17143" s="15" t="n">
        <v>0.3367</v>
      </c>
      <c r="E17143" s="4" t="n">
        <v>145000</v>
      </c>
      <c r="F17143" s="4" t="n">
        <v>48821.5</v>
      </c>
    </row>
    <row r="17144">
      <c r="A17144" s="3" t="inlineStr">
        <is>
          <t>3</t>
        </is>
      </c>
      <c r="B17144" s="3" t="inlineStr">
        <is>
          <t>Mandor</t>
        </is>
      </c>
      <c r="C17144" s="3" t="inlineStr">
        <is>
          <t>OJ</t>
        </is>
      </c>
      <c r="D17144" s="15" t="n">
        <v>0.0673</v>
      </c>
      <c r="E17144" s="4" t="n">
        <v>200000</v>
      </c>
      <c r="F17144" s="4" t="n">
        <v>13460</v>
      </c>
    </row>
    <row r="17145">
      <c r="A17145" s="3" t="inlineStr">
        <is>
          <t>1</t>
        </is>
      </c>
      <c r="B17145" s="3" t="inlineStr">
        <is>
          <t>Lantai Kerja fc 10 Mpa</t>
        </is>
      </c>
      <c r="C17145" s="3" t="inlineStr">
        <is>
          <t>m3</t>
        </is>
      </c>
      <c r="D17145" s="15" t="n">
        <v>0.0985</v>
      </c>
      <c r="E17145" s="4" t="n">
        <v>1236000</v>
      </c>
      <c r="F17145" s="4" t="n">
        <v>121746</v>
      </c>
    </row>
    <row r="17146">
      <c r="A17146" s="3" t="inlineStr">
        <is>
          <t>2</t>
        </is>
      </c>
      <c r="B17146" s="3" t="inlineStr">
        <is>
          <t>Urukan Pasir Uruk</t>
        </is>
      </c>
      <c r="C17146" s="3" t="inlineStr">
        <is>
          <t>m3</t>
        </is>
      </c>
      <c r="D17146" s="15" t="n">
        <v>0.197</v>
      </c>
      <c r="E17146" s="4" t="n">
        <v>488180</v>
      </c>
      <c r="F17146" s="4" t="n">
        <v>96171.46000000001</v>
      </c>
    </row>
    <row r="17147">
      <c r="A17147" s="3" t="inlineStr">
        <is>
          <t>3</t>
        </is>
      </c>
      <c r="B17147" s="3" t="inlineStr">
        <is>
          <t>U-Ditch 160x180x120 cm</t>
        </is>
      </c>
      <c r="C17147" s="3" t="inlineStr">
        <is>
          <t>buah</t>
        </is>
      </c>
      <c r="D17147" s="15" t="n">
        <v>0.8333</v>
      </c>
      <c r="E17147" s="4" t="n">
        <v>780000</v>
      </c>
      <c r="F17147" s="4" t="n">
        <v>649974</v>
      </c>
    </row>
    <row r="17148">
      <c r="A17148" s="3" t="inlineStr">
        <is>
          <t>1</t>
        </is>
      </c>
      <c r="B17148" s="3" t="inlineStr">
        <is>
          <t>Sewa mobil crane</t>
        </is>
      </c>
      <c r="C17148" s="3" t="inlineStr">
        <is>
          <t>jam</t>
        </is>
      </c>
      <c r="D17148" s="15" t="n">
        <v>0.3367</v>
      </c>
      <c r="E17148" s="4" t="n">
        <v>1450000</v>
      </c>
      <c r="F17148" s="4" t="n">
        <v>488215</v>
      </c>
    </row>
    <row r="17149">
      <c r="D17149" s="2" t="inlineStr">
        <is>
          <t>SUBTOTAL UPAH</t>
        </is>
      </c>
      <c r="F17149" s="16" t="n">
        <v>196971.5</v>
      </c>
    </row>
    <row r="17150">
      <c r="D17150" s="2" t="inlineStr">
        <is>
          <t>SUBTOTAL BAHAN</t>
        </is>
      </c>
      <c r="F17150" s="16" t="n">
        <v>867891.46</v>
      </c>
    </row>
    <row r="17151">
      <c r="D17151" s="2" t="inlineStr">
        <is>
          <t>SUBTOTAL ALAT</t>
        </is>
      </c>
      <c r="F17151" s="16" t="n">
        <v>488215</v>
      </c>
    </row>
    <row r="17152">
      <c r="E17152" s="2" t="inlineStr">
        <is>
          <t>TOTAL HARGA SATUAN (Inc. Overhead)</t>
        </is>
      </c>
      <c r="F17152" s="17" t="n">
        <v>1708385</v>
      </c>
    </row>
    <row r="17154">
      <c r="A17154" s="14" t="inlineStr">
        <is>
          <t>KODE: 8.1.1.25 - 1 m Saluran U-Ditch 180x180x120 cm dengan lantai kerja fc 10 Mpa</t>
        </is>
      </c>
    </row>
    <row r="17155">
      <c r="A17155" s="10" t="inlineStr">
        <is>
          <t>No</t>
        </is>
      </c>
      <c r="B17155" s="10" t="inlineStr">
        <is>
          <t>Uraian Komponen</t>
        </is>
      </c>
      <c r="C17155" s="10" t="inlineStr">
        <is>
          <t>Satuan</t>
        </is>
      </c>
      <c r="D17155" s="10" t="inlineStr">
        <is>
          <t>Koef</t>
        </is>
      </c>
      <c r="E17155" s="10" t="inlineStr">
        <is>
          <t>Harga Satuan (Rp)</t>
        </is>
      </c>
      <c r="F17155" s="10" t="inlineStr">
        <is>
          <t>Jumlah Harga (Rp)</t>
        </is>
      </c>
    </row>
    <row r="17156">
      <c r="A17156" s="3" t="inlineStr">
        <is>
          <t>1</t>
        </is>
      </c>
      <c r="B17156" s="3" t="inlineStr">
        <is>
          <t>Pekerja</t>
        </is>
      </c>
      <c r="C17156" s="3" t="inlineStr">
        <is>
          <t>OJ</t>
        </is>
      </c>
      <c r="D17156" s="15" t="n">
        <v>1.3488</v>
      </c>
      <c r="E17156" s="4" t="n">
        <v>100000</v>
      </c>
      <c r="F17156" s="4" t="n">
        <v>134880</v>
      </c>
    </row>
    <row r="17157">
      <c r="A17157" s="3" t="inlineStr">
        <is>
          <t>2</t>
        </is>
      </c>
      <c r="B17157" s="3" t="inlineStr">
        <is>
          <t>Tukang Batu</t>
        </is>
      </c>
      <c r="C17157" s="3" t="inlineStr">
        <is>
          <t>OJ</t>
        </is>
      </c>
      <c r="D17157" s="15" t="n">
        <v>0.3372</v>
      </c>
      <c r="E17157" s="4" t="n">
        <v>145000</v>
      </c>
      <c r="F17157" s="4" t="n">
        <v>48894</v>
      </c>
    </row>
    <row r="17158">
      <c r="A17158" s="3" t="inlineStr">
        <is>
          <t>3</t>
        </is>
      </c>
      <c r="B17158" s="3" t="inlineStr">
        <is>
          <t>Mandor</t>
        </is>
      </c>
      <c r="C17158" s="3" t="inlineStr">
        <is>
          <t>OJ</t>
        </is>
      </c>
      <c r="D17158" s="15" t="n">
        <v>0.0674</v>
      </c>
      <c r="E17158" s="4" t="n">
        <v>200000</v>
      </c>
      <c r="F17158" s="4" t="n">
        <v>13480</v>
      </c>
    </row>
    <row r="17159">
      <c r="A17159" s="3" t="inlineStr">
        <is>
          <t>1</t>
        </is>
      </c>
      <c r="B17159" s="3" t="inlineStr">
        <is>
          <t>Lantai Kerja fc 10 Mpa</t>
        </is>
      </c>
      <c r="C17159" s="3" t="inlineStr">
        <is>
          <t>m3</t>
        </is>
      </c>
      <c r="D17159" s="15" t="n">
        <v>0.1125</v>
      </c>
      <c r="E17159" s="4" t="n">
        <v>1236000</v>
      </c>
      <c r="F17159" s="4" t="n">
        <v>139050</v>
      </c>
    </row>
    <row r="17160">
      <c r="A17160" s="3" t="inlineStr">
        <is>
          <t>2</t>
        </is>
      </c>
      <c r="B17160" s="3" t="inlineStr">
        <is>
          <t>Urukan Pasir Uruk</t>
        </is>
      </c>
      <c r="C17160" s="3" t="inlineStr">
        <is>
          <t>m3</t>
        </is>
      </c>
      <c r="D17160" s="15" t="n">
        <v>0.225</v>
      </c>
      <c r="E17160" s="4" t="n">
        <v>488180</v>
      </c>
      <c r="F17160" s="4" t="n">
        <v>109840.5</v>
      </c>
    </row>
    <row r="17161">
      <c r="A17161" s="3" t="inlineStr">
        <is>
          <t>3</t>
        </is>
      </c>
      <c r="B17161" s="3" t="inlineStr">
        <is>
          <t>U-Ditch 180x180x120 cm</t>
        </is>
      </c>
      <c r="C17161" s="3" t="inlineStr">
        <is>
          <t>buah</t>
        </is>
      </c>
      <c r="D17161" s="15" t="n">
        <v>0.8333</v>
      </c>
      <c r="E17161" s="4" t="n">
        <v>800000</v>
      </c>
      <c r="F17161" s="4" t="n">
        <v>666640</v>
      </c>
    </row>
    <row r="17162">
      <c r="A17162" s="3" t="inlineStr">
        <is>
          <t>1</t>
        </is>
      </c>
      <c r="B17162" s="3" t="inlineStr">
        <is>
          <t>Sewa mobil crane</t>
        </is>
      </c>
      <c r="C17162" s="3" t="inlineStr">
        <is>
          <t>jam</t>
        </is>
      </c>
      <c r="D17162" s="15" t="n">
        <v>0.3372</v>
      </c>
      <c r="E17162" s="4" t="n">
        <v>1450000</v>
      </c>
      <c r="F17162" s="4" t="n">
        <v>488940</v>
      </c>
    </row>
    <row r="17163">
      <c r="D17163" s="2" t="inlineStr">
        <is>
          <t>SUBTOTAL UPAH</t>
        </is>
      </c>
      <c r="F17163" s="16" t="n">
        <v>197254</v>
      </c>
    </row>
    <row r="17164">
      <c r="D17164" s="2" t="inlineStr">
        <is>
          <t>SUBTOTAL BAHAN</t>
        </is>
      </c>
      <c r="F17164" s="16" t="n">
        <v>915530.5</v>
      </c>
    </row>
    <row r="17165">
      <c r="D17165" s="2" t="inlineStr">
        <is>
          <t>SUBTOTAL ALAT</t>
        </is>
      </c>
      <c r="F17165" s="16" t="n">
        <v>488940</v>
      </c>
    </row>
    <row r="17166">
      <c r="E17166" s="2" t="inlineStr">
        <is>
          <t>TOTAL HARGA SATUAN (Inc. Overhead)</t>
        </is>
      </c>
      <c r="F17166" s="17" t="n">
        <v>1761896</v>
      </c>
    </row>
    <row r="17168">
      <c r="A17168" s="14" t="inlineStr">
        <is>
          <t>KODE: 8.1.1.26 - 1 m Saluran U-Ditch 180x200x120 cm dengan lantai kerja fc 10 Mpa</t>
        </is>
      </c>
    </row>
    <row r="17169">
      <c r="A17169" s="10" t="inlineStr">
        <is>
          <t>No</t>
        </is>
      </c>
      <c r="B17169" s="10" t="inlineStr">
        <is>
          <t>Uraian Komponen</t>
        </is>
      </c>
      <c r="C17169" s="10" t="inlineStr">
        <is>
          <t>Satuan</t>
        </is>
      </c>
      <c r="D17169" s="10" t="inlineStr">
        <is>
          <t>Koef</t>
        </is>
      </c>
      <c r="E17169" s="10" t="inlineStr">
        <is>
          <t>Harga Satuan (Rp)</t>
        </is>
      </c>
      <c r="F17169" s="10" t="inlineStr">
        <is>
          <t>Jumlah Harga (Rp)</t>
        </is>
      </c>
    </row>
    <row r="17170">
      <c r="A17170" s="3" t="inlineStr">
        <is>
          <t>1</t>
        </is>
      </c>
      <c r="B17170" s="3" t="inlineStr">
        <is>
          <t>Pekerja</t>
        </is>
      </c>
      <c r="C17170" s="3" t="inlineStr">
        <is>
          <t>OJ</t>
        </is>
      </c>
      <c r="D17170" s="15" t="n">
        <v>1.3649</v>
      </c>
      <c r="E17170" s="4" t="n">
        <v>100000</v>
      </c>
      <c r="F17170" s="4" t="n">
        <v>136490</v>
      </c>
    </row>
    <row r="17171">
      <c r="A17171" s="3" t="inlineStr">
        <is>
          <t>2</t>
        </is>
      </c>
      <c r="B17171" s="3" t="inlineStr">
        <is>
          <t>Tukang Batu</t>
        </is>
      </c>
      <c r="C17171" s="3" t="inlineStr">
        <is>
          <t>OJ</t>
        </is>
      </c>
      <c r="D17171" s="15" t="n">
        <v>0.3412</v>
      </c>
      <c r="E17171" s="4" t="n">
        <v>145000</v>
      </c>
      <c r="F17171" s="4" t="n">
        <v>49474</v>
      </c>
    </row>
    <row r="17172">
      <c r="A17172" s="3" t="inlineStr">
        <is>
          <t>3</t>
        </is>
      </c>
      <c r="B17172" s="3" t="inlineStr">
        <is>
          <t>Mandor</t>
        </is>
      </c>
      <c r="C17172" s="3" t="inlineStr">
        <is>
          <t>OJ</t>
        </is>
      </c>
      <c r="D17172" s="15" t="n">
        <v>0.0682</v>
      </c>
      <c r="E17172" s="4" t="n">
        <v>200000</v>
      </c>
      <c r="F17172" s="4" t="n">
        <v>13640</v>
      </c>
    </row>
    <row r="17173">
      <c r="A17173" s="3" t="inlineStr">
        <is>
          <t>1</t>
        </is>
      </c>
      <c r="B17173" s="3" t="inlineStr">
        <is>
          <t>Lantai Kerja fc 10 Mpa</t>
        </is>
      </c>
      <c r="C17173" s="3" t="inlineStr">
        <is>
          <t>m3</t>
        </is>
      </c>
      <c r="D17173" s="15" t="n">
        <v>0.1125</v>
      </c>
      <c r="E17173" s="4" t="n">
        <v>1236000</v>
      </c>
      <c r="F17173" s="4" t="n">
        <v>139050</v>
      </c>
    </row>
    <row r="17174">
      <c r="A17174" s="3" t="inlineStr">
        <is>
          <t>2</t>
        </is>
      </c>
      <c r="B17174" s="3" t="inlineStr">
        <is>
          <t>Urukan Pasir Uruk</t>
        </is>
      </c>
      <c r="C17174" s="3" t="inlineStr">
        <is>
          <t>m3</t>
        </is>
      </c>
      <c r="D17174" s="15" t="n">
        <v>0.225</v>
      </c>
      <c r="E17174" s="4" t="n">
        <v>488180</v>
      </c>
      <c r="F17174" s="4" t="n">
        <v>109840.5</v>
      </c>
    </row>
    <row r="17175">
      <c r="A17175" s="3" t="inlineStr">
        <is>
          <t>3</t>
        </is>
      </c>
      <c r="B17175" s="3" t="inlineStr">
        <is>
          <t>U-Ditch 180x200x120 cm</t>
        </is>
      </c>
      <c r="C17175" s="3" t="inlineStr">
        <is>
          <t>buah</t>
        </is>
      </c>
      <c r="D17175" s="15" t="n">
        <v>0.8333</v>
      </c>
      <c r="E17175" s="4" t="n">
        <v>830000</v>
      </c>
      <c r="F17175" s="4" t="n">
        <v>691639</v>
      </c>
    </row>
    <row r="17176">
      <c r="A17176" s="3" t="inlineStr">
        <is>
          <t>1</t>
        </is>
      </c>
      <c r="B17176" s="3" t="inlineStr">
        <is>
          <t>Sewa mobil crane</t>
        </is>
      </c>
      <c r="C17176" s="3" t="inlineStr">
        <is>
          <t>jam</t>
        </is>
      </c>
      <c r="D17176" s="15" t="n">
        <v>0.3412</v>
      </c>
      <c r="E17176" s="4" t="n">
        <v>1450000</v>
      </c>
      <c r="F17176" s="4" t="n">
        <v>494740</v>
      </c>
    </row>
    <row r="17177">
      <c r="D17177" s="2" t="inlineStr">
        <is>
          <t>SUBTOTAL UPAH</t>
        </is>
      </c>
      <c r="F17177" s="16" t="n">
        <v>199604</v>
      </c>
    </row>
    <row r="17178">
      <c r="D17178" s="2" t="inlineStr">
        <is>
          <t>SUBTOTAL BAHAN</t>
        </is>
      </c>
      <c r="F17178" s="16" t="n">
        <v>940529.5</v>
      </c>
    </row>
    <row r="17179">
      <c r="D17179" s="2" t="inlineStr">
        <is>
          <t>SUBTOTAL ALAT</t>
        </is>
      </c>
      <c r="F17179" s="16" t="n">
        <v>494740</v>
      </c>
    </row>
    <row r="17180">
      <c r="E17180" s="2" t="inlineStr">
        <is>
          <t>TOTAL HARGA SATUAN (Inc. Overhead)</t>
        </is>
      </c>
      <c r="F17180" s="17" t="n">
        <v>1798360</v>
      </c>
    </row>
    <row r="17182">
      <c r="A17182" s="14" t="inlineStr">
        <is>
          <t>KODE: 8.1.1.27 - 1 m Saluran U-Ditch 200x200x120 cm dengan lantai kerja fc 10 Mpa</t>
        </is>
      </c>
    </row>
    <row r="17183">
      <c r="A17183" s="10" t="inlineStr">
        <is>
          <t>No</t>
        </is>
      </c>
      <c r="B17183" s="10" t="inlineStr">
        <is>
          <t>Uraian Komponen</t>
        </is>
      </c>
      <c r="C17183" s="10" t="inlineStr">
        <is>
          <t>Satuan</t>
        </is>
      </c>
      <c r="D17183" s="10" t="inlineStr">
        <is>
          <t>Koef</t>
        </is>
      </c>
      <c r="E17183" s="10" t="inlineStr">
        <is>
          <t>Harga Satuan (Rp)</t>
        </is>
      </c>
      <c r="F17183" s="10" t="inlineStr">
        <is>
          <t>Jumlah Harga (Rp)</t>
        </is>
      </c>
    </row>
    <row r="17184">
      <c r="A17184" s="3" t="inlineStr">
        <is>
          <t>1</t>
        </is>
      </c>
      <c r="B17184" s="3" t="inlineStr">
        <is>
          <t>Pekerja</t>
        </is>
      </c>
      <c r="C17184" s="3" t="inlineStr">
        <is>
          <t>OJ</t>
        </is>
      </c>
      <c r="D17184" s="15" t="n">
        <v>1.3788</v>
      </c>
      <c r="E17184" s="4" t="n">
        <v>100000</v>
      </c>
      <c r="F17184" s="4" t="n">
        <v>137880</v>
      </c>
    </row>
    <row r="17185">
      <c r="A17185" s="3" t="inlineStr">
        <is>
          <t>2</t>
        </is>
      </c>
      <c r="B17185" s="3" t="inlineStr">
        <is>
          <t>Tukang Batu</t>
        </is>
      </c>
      <c r="C17185" s="3" t="inlineStr">
        <is>
          <t>OJ</t>
        </is>
      </c>
      <c r="D17185" s="15" t="n">
        <v>0.3447</v>
      </c>
      <c r="E17185" s="4" t="n">
        <v>145000</v>
      </c>
      <c r="F17185" s="4" t="n">
        <v>49981.5</v>
      </c>
    </row>
    <row r="17186">
      <c r="A17186" s="3" t="inlineStr">
        <is>
          <t>3</t>
        </is>
      </c>
      <c r="B17186" s="3" t="inlineStr">
        <is>
          <t>Mandor</t>
        </is>
      </c>
      <c r="C17186" s="3" t="inlineStr">
        <is>
          <t>OJ</t>
        </is>
      </c>
      <c r="D17186" s="15" t="n">
        <v>0.0689</v>
      </c>
      <c r="E17186" s="4" t="n">
        <v>200000</v>
      </c>
      <c r="F17186" s="4" t="n">
        <v>13780</v>
      </c>
    </row>
    <row r="17187">
      <c r="A17187" s="3" t="inlineStr">
        <is>
          <t>1</t>
        </is>
      </c>
      <c r="B17187" s="3" t="inlineStr">
        <is>
          <t>Lantai Kerja fc 10 Mpa</t>
        </is>
      </c>
      <c r="C17187" s="3" t="inlineStr">
        <is>
          <t>m3</t>
        </is>
      </c>
      <c r="D17187" s="15" t="n">
        <v>0.1725</v>
      </c>
      <c r="E17187" s="4" t="n">
        <v>1236000</v>
      </c>
      <c r="F17187" s="4" t="n">
        <v>213210</v>
      </c>
    </row>
    <row r="17188">
      <c r="A17188" s="3" t="inlineStr">
        <is>
          <t>2</t>
        </is>
      </c>
      <c r="B17188" s="3" t="inlineStr">
        <is>
          <t>Urukan Pasir Uruk</t>
        </is>
      </c>
      <c r="C17188" s="3" t="inlineStr">
        <is>
          <t>m3</t>
        </is>
      </c>
      <c r="D17188" s="15" t="n">
        <v>0.345</v>
      </c>
      <c r="E17188" s="4" t="n">
        <v>488180</v>
      </c>
      <c r="F17188" s="4" t="n">
        <v>168422.1</v>
      </c>
    </row>
    <row r="17189">
      <c r="A17189" s="3" t="inlineStr">
        <is>
          <t>3</t>
        </is>
      </c>
      <c r="B17189" s="3" t="inlineStr">
        <is>
          <t>U-Ditch 200x200x120 cm</t>
        </is>
      </c>
      <c r="C17189" s="3" t="inlineStr">
        <is>
          <t>buah</t>
        </is>
      </c>
      <c r="D17189" s="15" t="n">
        <v>0.8333</v>
      </c>
      <c r="E17189" s="4" t="n">
        <v>850000</v>
      </c>
      <c r="F17189" s="4" t="n">
        <v>708305</v>
      </c>
    </row>
    <row r="17190">
      <c r="A17190" s="3" t="inlineStr">
        <is>
          <t>1</t>
        </is>
      </c>
      <c r="B17190" s="3" t="inlineStr">
        <is>
          <t>Sewa mobil crane</t>
        </is>
      </c>
      <c r="C17190" s="3" t="inlineStr">
        <is>
          <t>jam</t>
        </is>
      </c>
      <c r="D17190" s="15" t="n">
        <v>0.3447</v>
      </c>
      <c r="E17190" s="4" t="n">
        <v>1450000</v>
      </c>
      <c r="F17190" s="4" t="n">
        <v>499815</v>
      </c>
    </row>
    <row r="17191">
      <c r="D17191" s="2" t="inlineStr">
        <is>
          <t>SUBTOTAL UPAH</t>
        </is>
      </c>
      <c r="F17191" s="16" t="n">
        <v>201641.5</v>
      </c>
    </row>
    <row r="17192">
      <c r="D17192" s="2" t="inlineStr">
        <is>
          <t>SUBTOTAL BAHAN</t>
        </is>
      </c>
      <c r="F17192" s="16" t="n">
        <v>1089937.1</v>
      </c>
    </row>
    <row r="17193">
      <c r="D17193" s="2" t="inlineStr">
        <is>
          <t>SUBTOTAL ALAT</t>
        </is>
      </c>
      <c r="F17193" s="16" t="n">
        <v>499815</v>
      </c>
    </row>
    <row r="17194">
      <c r="E17194" s="2" t="inlineStr">
        <is>
          <t>TOTAL HARGA SATUAN (Inc. Overhead)</t>
        </is>
      </c>
      <c r="F17194" s="17" t="n">
        <v>1970532</v>
      </c>
    </row>
    <row r="17196">
      <c r="A17196" s="14" t="inlineStr">
        <is>
          <t>KODE: 8.1.2.1 - 1 m Saluran U-Ditch 30x30x120 cm dengan lantai kerja fc 7,5 Mpa</t>
        </is>
      </c>
    </row>
    <row r="17197">
      <c r="A17197" s="10" t="inlineStr">
        <is>
          <t>No</t>
        </is>
      </c>
      <c r="B17197" s="10" t="inlineStr">
        <is>
          <t>Uraian Komponen</t>
        </is>
      </c>
      <c r="C17197" s="10" t="inlineStr">
        <is>
          <t>Satuan</t>
        </is>
      </c>
      <c r="D17197" s="10" t="inlineStr">
        <is>
          <t>Koef</t>
        </is>
      </c>
      <c r="E17197" s="10" t="inlineStr">
        <is>
          <t>Harga Satuan (Rp)</t>
        </is>
      </c>
      <c r="F17197" s="10" t="inlineStr">
        <is>
          <t>Jumlah Harga (Rp)</t>
        </is>
      </c>
    </row>
    <row r="17198">
      <c r="A17198" s="3" t="inlineStr">
        <is>
          <t>1</t>
        </is>
      </c>
      <c r="B17198" s="3" t="inlineStr">
        <is>
          <t>Pekerja</t>
        </is>
      </c>
      <c r="C17198" s="3" t="inlineStr">
        <is>
          <t>OJ</t>
        </is>
      </c>
      <c r="D17198" s="15" t="n">
        <v>0.09760000000000001</v>
      </c>
      <c r="E17198" s="4" t="n">
        <v>100000</v>
      </c>
      <c r="F17198" s="4" t="n">
        <v>9760</v>
      </c>
    </row>
    <row r="17199">
      <c r="A17199" s="3" t="inlineStr">
        <is>
          <t>2</t>
        </is>
      </c>
      <c r="B17199" s="3" t="inlineStr">
        <is>
          <t>Tukang Batu</t>
        </is>
      </c>
      <c r="C17199" s="3" t="inlineStr">
        <is>
          <t>OJ</t>
        </is>
      </c>
      <c r="D17199" s="15" t="n">
        <v>0.09760000000000001</v>
      </c>
      <c r="E17199" s="4" t="n">
        <v>145000</v>
      </c>
      <c r="F17199" s="4" t="n">
        <v>14152</v>
      </c>
    </row>
    <row r="17200">
      <c r="A17200" s="3" t="inlineStr">
        <is>
          <t>3</t>
        </is>
      </c>
      <c r="B17200" s="3" t="inlineStr">
        <is>
          <t>Mandor</t>
        </is>
      </c>
      <c r="C17200" s="3" t="inlineStr">
        <is>
          <t>OJ</t>
        </is>
      </c>
      <c r="D17200" s="15" t="n">
        <v>0.0049</v>
      </c>
      <c r="E17200" s="4" t="n">
        <v>200000</v>
      </c>
      <c r="F17200" s="4" t="n">
        <v>980</v>
      </c>
    </row>
    <row r="17201">
      <c r="A17201" s="3" t="inlineStr">
        <is>
          <t>1</t>
        </is>
      </c>
      <c r="B17201" s="3" t="inlineStr">
        <is>
          <t>"Lantai Kerja fc 7 5 Mpa"</t>
        </is>
      </c>
      <c r="C17201" s="3" t="inlineStr">
        <is>
          <t>m3</t>
        </is>
      </c>
      <c r="D17201" s="15" t="n">
        <v>0.025</v>
      </c>
      <c r="E17201" s="4" t="n">
        <v>928000</v>
      </c>
      <c r="F17201" s="4" t="n">
        <v>23200</v>
      </c>
    </row>
    <row r="17202">
      <c r="A17202" s="3" t="inlineStr">
        <is>
          <t>2</t>
        </is>
      </c>
      <c r="B17202" s="3" t="inlineStr">
        <is>
          <t>Urukan Pasir Uruk</t>
        </is>
      </c>
      <c r="C17202" s="3" t="inlineStr">
        <is>
          <t>m3</t>
        </is>
      </c>
      <c r="D17202" s="15" t="n">
        <v>0.05</v>
      </c>
      <c r="E17202" s="4" t="n">
        <v>488180</v>
      </c>
      <c r="F17202" s="4" t="n">
        <v>24409</v>
      </c>
    </row>
    <row r="17203">
      <c r="A17203" s="3" t="inlineStr">
        <is>
          <t>3</t>
        </is>
      </c>
      <c r="B17203" s="3" t="inlineStr">
        <is>
          <t>U-Ditch 30x30x120 cm</t>
        </is>
      </c>
      <c r="C17203" s="3" t="inlineStr">
        <is>
          <t>buah</t>
        </is>
      </c>
      <c r="D17203" s="15" t="n">
        <v>0.8333</v>
      </c>
      <c r="E17203" s="4" t="n">
        <v>220000</v>
      </c>
      <c r="F17203" s="4" t="n">
        <v>183326</v>
      </c>
    </row>
    <row r="17204">
      <c r="A17204" s="3" t="inlineStr">
        <is>
          <t>1</t>
        </is>
      </c>
      <c r="B17204" s="3" t="inlineStr">
        <is>
          <t>Sewa mobil crane</t>
        </is>
      </c>
      <c r="C17204" s="3" t="inlineStr">
        <is>
          <t>jam</t>
        </is>
      </c>
      <c r="D17204" s="15" t="n">
        <v>0.09760000000000001</v>
      </c>
      <c r="E17204" s="4" t="n">
        <v>1450000</v>
      </c>
      <c r="F17204" s="4" t="n">
        <v>141520</v>
      </c>
    </row>
    <row r="17205">
      <c r="D17205" s="2" t="inlineStr">
        <is>
          <t>SUBTOTAL UPAH</t>
        </is>
      </c>
      <c r="F17205" s="16" t="n">
        <v>24892</v>
      </c>
    </row>
    <row r="17206">
      <c r="D17206" s="2" t="inlineStr">
        <is>
          <t>SUBTOTAL BAHAN</t>
        </is>
      </c>
      <c r="F17206" s="16" t="n">
        <v>230935</v>
      </c>
    </row>
    <row r="17207">
      <c r="D17207" s="2" t="inlineStr">
        <is>
          <t>SUBTOTAL ALAT</t>
        </is>
      </c>
      <c r="F17207" s="16" t="n">
        <v>141520</v>
      </c>
    </row>
    <row r="17208">
      <c r="E17208" s="2" t="inlineStr">
        <is>
          <t>TOTAL HARGA SATUAN (Inc. Overhead)</t>
        </is>
      </c>
      <c r="F17208" s="17" t="n">
        <v>437081</v>
      </c>
    </row>
    <row r="17210">
      <c r="A17210" s="14" t="inlineStr">
        <is>
          <t>KODE: 8.1.2.2 - 1 m Saluran U-Ditch 30x40x120 cm dengan lantai kerja fc 7,5 Mpa</t>
        </is>
      </c>
    </row>
    <row r="17211">
      <c r="A17211" s="10" t="inlineStr">
        <is>
          <t>No</t>
        </is>
      </c>
      <c r="B17211" s="10" t="inlineStr">
        <is>
          <t>Uraian Komponen</t>
        </is>
      </c>
      <c r="C17211" s="10" t="inlineStr">
        <is>
          <t>Satuan</t>
        </is>
      </c>
      <c r="D17211" s="10" t="inlineStr">
        <is>
          <t>Koef</t>
        </is>
      </c>
      <c r="E17211" s="10" t="inlineStr">
        <is>
          <t>Harga Satuan (Rp)</t>
        </is>
      </c>
      <c r="F17211" s="10" t="inlineStr">
        <is>
          <t>Jumlah Harga (Rp)</t>
        </is>
      </c>
    </row>
    <row r="17212">
      <c r="A17212" s="3" t="inlineStr">
        <is>
          <t>1</t>
        </is>
      </c>
      <c r="B17212" s="3" t="inlineStr">
        <is>
          <t>Pekerja</t>
        </is>
      </c>
      <c r="C17212" s="3" t="inlineStr">
        <is>
          <t>OJ</t>
        </is>
      </c>
      <c r="D17212" s="15" t="n">
        <v>0.1131</v>
      </c>
      <c r="E17212" s="4" t="n">
        <v>100000</v>
      </c>
      <c r="F17212" s="4" t="n">
        <v>11310</v>
      </c>
    </row>
    <row r="17213">
      <c r="A17213" s="3" t="inlineStr">
        <is>
          <t>2</t>
        </is>
      </c>
      <c r="B17213" s="3" t="inlineStr">
        <is>
          <t>Tukang Batu</t>
        </is>
      </c>
      <c r="C17213" s="3" t="inlineStr">
        <is>
          <t>OJ</t>
        </is>
      </c>
      <c r="D17213" s="15" t="n">
        <v>0.1131</v>
      </c>
      <c r="E17213" s="4" t="n">
        <v>145000</v>
      </c>
      <c r="F17213" s="4" t="n">
        <v>16399.5</v>
      </c>
    </row>
    <row r="17214">
      <c r="A17214" s="3" t="inlineStr">
        <is>
          <t>3</t>
        </is>
      </c>
      <c r="B17214" s="3" t="inlineStr">
        <is>
          <t>Mandor</t>
        </is>
      </c>
      <c r="C17214" s="3" t="inlineStr">
        <is>
          <t>OJ</t>
        </is>
      </c>
      <c r="D17214" s="15" t="n">
        <v>0.0057</v>
      </c>
      <c r="E17214" s="4" t="n">
        <v>200000</v>
      </c>
      <c r="F17214" s="4" t="n">
        <v>1140</v>
      </c>
    </row>
    <row r="17215">
      <c r="A17215" s="3" t="inlineStr">
        <is>
          <t>1</t>
        </is>
      </c>
      <c r="B17215" s="3" t="inlineStr">
        <is>
          <t>"Lantai Kerja fc 7 5 Mpa"</t>
        </is>
      </c>
      <c r="C17215" s="3" t="inlineStr">
        <is>
          <t>m3</t>
        </is>
      </c>
      <c r="D17215" s="15" t="n">
        <v>0.025</v>
      </c>
      <c r="E17215" s="4" t="n">
        <v>928000</v>
      </c>
      <c r="F17215" s="4" t="n">
        <v>23200</v>
      </c>
    </row>
    <row r="17216">
      <c r="A17216" s="3" t="inlineStr">
        <is>
          <t>2</t>
        </is>
      </c>
      <c r="B17216" s="3" t="inlineStr">
        <is>
          <t>Urukan Pasir Uruk</t>
        </is>
      </c>
      <c r="C17216" s="3" t="inlineStr">
        <is>
          <t>m3</t>
        </is>
      </c>
      <c r="D17216" s="15" t="n">
        <v>0.05</v>
      </c>
      <c r="E17216" s="4" t="n">
        <v>488180</v>
      </c>
      <c r="F17216" s="4" t="n">
        <v>24409</v>
      </c>
    </row>
    <row r="17217">
      <c r="A17217" s="3" t="inlineStr">
        <is>
          <t>3</t>
        </is>
      </c>
      <c r="B17217" s="3" t="inlineStr">
        <is>
          <t>U-Ditch 30x40x120 cm</t>
        </is>
      </c>
      <c r="C17217" s="3" t="inlineStr">
        <is>
          <t>buah</t>
        </is>
      </c>
      <c r="D17217" s="15" t="n">
        <v>0.8333</v>
      </c>
      <c r="E17217" s="4" t="n">
        <v>240000</v>
      </c>
      <c r="F17217" s="4" t="n">
        <v>199992</v>
      </c>
    </row>
    <row r="17218">
      <c r="A17218" s="3" t="inlineStr">
        <is>
          <t>1</t>
        </is>
      </c>
      <c r="B17218" s="3" t="inlineStr">
        <is>
          <t>Sewa mobil crane</t>
        </is>
      </c>
      <c r="C17218" s="3" t="inlineStr">
        <is>
          <t>jam</t>
        </is>
      </c>
      <c r="D17218" s="15" t="n">
        <v>0.1131</v>
      </c>
      <c r="E17218" s="4" t="n">
        <v>1450000</v>
      </c>
      <c r="F17218" s="4" t="n">
        <v>163995</v>
      </c>
    </row>
    <row r="17219">
      <c r="D17219" s="2" t="inlineStr">
        <is>
          <t>SUBTOTAL UPAH</t>
        </is>
      </c>
      <c r="F17219" s="16" t="n">
        <v>28849.5</v>
      </c>
    </row>
    <row r="17220">
      <c r="D17220" s="2" t="inlineStr">
        <is>
          <t>SUBTOTAL BAHAN</t>
        </is>
      </c>
      <c r="F17220" s="16" t="n">
        <v>247601</v>
      </c>
    </row>
    <row r="17221">
      <c r="D17221" s="2" t="inlineStr">
        <is>
          <t>SUBTOTAL ALAT</t>
        </is>
      </c>
      <c r="F17221" s="16" t="n">
        <v>163995</v>
      </c>
    </row>
    <row r="17222">
      <c r="E17222" s="2" t="inlineStr">
        <is>
          <t>TOTAL HARGA SATUAN (Inc. Overhead)</t>
        </is>
      </c>
      <c r="F17222" s="17" t="n">
        <v>484490</v>
      </c>
    </row>
    <row r="17224">
      <c r="A17224" s="14" t="inlineStr">
        <is>
          <t>KODE: 8.1.2.3 - 1 m Saluran U-Ditch 40x40x120 cm dengan lantai kerja fc 7,5 Mpa</t>
        </is>
      </c>
    </row>
    <row r="17225">
      <c r="A17225" s="10" t="inlineStr">
        <is>
          <t>No</t>
        </is>
      </c>
      <c r="B17225" s="10" t="inlineStr">
        <is>
          <t>Uraian Komponen</t>
        </is>
      </c>
      <c r="C17225" s="10" t="inlineStr">
        <is>
          <t>Satuan</t>
        </is>
      </c>
      <c r="D17225" s="10" t="inlineStr">
        <is>
          <t>Koef</t>
        </is>
      </c>
      <c r="E17225" s="10" t="inlineStr">
        <is>
          <t>Harga Satuan (Rp)</t>
        </is>
      </c>
      <c r="F17225" s="10" t="inlineStr">
        <is>
          <t>Jumlah Harga (Rp)</t>
        </is>
      </c>
    </row>
    <row r="17226">
      <c r="A17226" s="3" t="inlineStr">
        <is>
          <t>1</t>
        </is>
      </c>
      <c r="B17226" s="3" t="inlineStr">
        <is>
          <t>Pekerja</t>
        </is>
      </c>
      <c r="C17226" s="3" t="inlineStr">
        <is>
          <t>OJ</t>
        </is>
      </c>
      <c r="D17226" s="15" t="n">
        <v>0.1251</v>
      </c>
      <c r="E17226" s="4" t="n">
        <v>100000</v>
      </c>
      <c r="F17226" s="4" t="n">
        <v>12510</v>
      </c>
    </row>
    <row r="17227">
      <c r="A17227" s="3" t="inlineStr">
        <is>
          <t>2</t>
        </is>
      </c>
      <c r="B17227" s="3" t="inlineStr">
        <is>
          <t>Tukang Batu</t>
        </is>
      </c>
      <c r="C17227" s="3" t="inlineStr">
        <is>
          <t>OJ</t>
        </is>
      </c>
      <c r="D17227" s="15" t="n">
        <v>0.1251</v>
      </c>
      <c r="E17227" s="4" t="n">
        <v>145000</v>
      </c>
      <c r="F17227" s="4" t="n">
        <v>18139.5</v>
      </c>
    </row>
    <row r="17228">
      <c r="A17228" s="3" t="inlineStr">
        <is>
          <t>3</t>
        </is>
      </c>
      <c r="B17228" s="3" t="inlineStr">
        <is>
          <t>Mandor</t>
        </is>
      </c>
      <c r="C17228" s="3" t="inlineStr">
        <is>
          <t>OJ</t>
        </is>
      </c>
      <c r="D17228" s="15" t="n">
        <v>0.0063</v>
      </c>
      <c r="E17228" s="4" t="n">
        <v>200000</v>
      </c>
      <c r="F17228" s="4" t="n">
        <v>1260</v>
      </c>
    </row>
    <row r="17229">
      <c r="A17229" s="3" t="inlineStr">
        <is>
          <t>1</t>
        </is>
      </c>
      <c r="B17229" s="3" t="inlineStr">
        <is>
          <t>"Lantai Kerja fc 7 5 Mpa"</t>
        </is>
      </c>
      <c r="C17229" s="3" t="inlineStr">
        <is>
          <t>m3</t>
        </is>
      </c>
      <c r="D17229" s="15" t="n">
        <v>0.0325</v>
      </c>
      <c r="E17229" s="4" t="n">
        <v>928000</v>
      </c>
      <c r="F17229" s="4" t="n">
        <v>30160</v>
      </c>
    </row>
    <row r="17230">
      <c r="A17230" s="3" t="inlineStr">
        <is>
          <t>2</t>
        </is>
      </c>
      <c r="B17230" s="3" t="inlineStr">
        <is>
          <t>Urukan Pasir Uruk</t>
        </is>
      </c>
      <c r="C17230" s="3" t="inlineStr">
        <is>
          <t>m3</t>
        </is>
      </c>
      <c r="D17230" s="15" t="n">
        <v>0.065</v>
      </c>
      <c r="E17230" s="4" t="n">
        <v>488180</v>
      </c>
      <c r="F17230" s="4" t="n">
        <v>31731.7</v>
      </c>
    </row>
    <row r="17231">
      <c r="A17231" s="3" t="inlineStr">
        <is>
          <t>3</t>
        </is>
      </c>
      <c r="B17231" s="3" t="inlineStr">
        <is>
          <t>U-Ditch 40x40x120 cm</t>
        </is>
      </c>
      <c r="C17231" s="3" t="inlineStr">
        <is>
          <t>buah</t>
        </is>
      </c>
      <c r="D17231" s="15" t="n">
        <v>0.8333</v>
      </c>
      <c r="E17231" s="4" t="n">
        <v>270000</v>
      </c>
      <c r="F17231" s="4" t="n">
        <v>224991</v>
      </c>
    </row>
    <row r="17232">
      <c r="A17232" s="3" t="inlineStr">
        <is>
          <t>1</t>
        </is>
      </c>
      <c r="B17232" s="3" t="inlineStr">
        <is>
          <t>Sewa mobil crane</t>
        </is>
      </c>
      <c r="C17232" s="3" t="inlineStr">
        <is>
          <t>jam</t>
        </is>
      </c>
      <c r="D17232" s="15" t="n">
        <v>0.1251</v>
      </c>
      <c r="E17232" s="4" t="n">
        <v>1450000</v>
      </c>
      <c r="F17232" s="4" t="n">
        <v>181395</v>
      </c>
    </row>
    <row r="17233">
      <c r="D17233" s="2" t="inlineStr">
        <is>
          <t>SUBTOTAL UPAH</t>
        </is>
      </c>
      <c r="F17233" s="16" t="n">
        <v>31909.5</v>
      </c>
    </row>
    <row r="17234">
      <c r="D17234" s="2" t="inlineStr">
        <is>
          <t>SUBTOTAL BAHAN</t>
        </is>
      </c>
      <c r="F17234" s="16" t="n">
        <v>286882.7</v>
      </c>
    </row>
    <row r="17235">
      <c r="D17235" s="2" t="inlineStr">
        <is>
          <t>SUBTOTAL ALAT</t>
        </is>
      </c>
      <c r="F17235" s="16" t="n">
        <v>181395</v>
      </c>
    </row>
    <row r="17236">
      <c r="E17236" s="2" t="inlineStr">
        <is>
          <t>TOTAL HARGA SATUAN (Inc. Overhead)</t>
        </is>
      </c>
      <c r="F17236" s="17" t="n">
        <v>550205</v>
      </c>
    </row>
    <row r="17238">
      <c r="A17238" s="14" t="inlineStr">
        <is>
          <t>KODE: 8.1.2.4 - 1 m Saluran U-Ditch 40x50x120 cm dengan lantai kerja fc 7,5 Mpa</t>
        </is>
      </c>
    </row>
    <row r="17239">
      <c r="A17239" s="10" t="inlineStr">
        <is>
          <t>No</t>
        </is>
      </c>
      <c r="B17239" s="10" t="inlineStr">
        <is>
          <t>Uraian Komponen</t>
        </is>
      </c>
      <c r="C17239" s="10" t="inlineStr">
        <is>
          <t>Satuan</t>
        </is>
      </c>
      <c r="D17239" s="10" t="inlineStr">
        <is>
          <t>Koef</t>
        </is>
      </c>
      <c r="E17239" s="10" t="inlineStr">
        <is>
          <t>Harga Satuan (Rp)</t>
        </is>
      </c>
      <c r="F17239" s="10" t="inlineStr">
        <is>
          <t>Jumlah Harga (Rp)</t>
        </is>
      </c>
    </row>
    <row r="17240">
      <c r="A17240" s="3" t="inlineStr">
        <is>
          <t>1</t>
        </is>
      </c>
      <c r="B17240" s="3" t="inlineStr">
        <is>
          <t>Pekerja</t>
        </is>
      </c>
      <c r="C17240" s="3" t="inlineStr">
        <is>
          <t>OJ</t>
        </is>
      </c>
      <c r="D17240" s="15" t="n">
        <v>0.1359</v>
      </c>
      <c r="E17240" s="4" t="n">
        <v>100000</v>
      </c>
      <c r="F17240" s="4" t="n">
        <v>13590</v>
      </c>
    </row>
    <row r="17241">
      <c r="A17241" s="3" t="inlineStr">
        <is>
          <t>2</t>
        </is>
      </c>
      <c r="B17241" s="3" t="inlineStr">
        <is>
          <t>Tukang Batu</t>
        </is>
      </c>
      <c r="C17241" s="3" t="inlineStr">
        <is>
          <t>OJ</t>
        </is>
      </c>
      <c r="D17241" s="15" t="n">
        <v>0.1359</v>
      </c>
      <c r="E17241" s="4" t="n">
        <v>145000</v>
      </c>
      <c r="F17241" s="4" t="n">
        <v>19705.5</v>
      </c>
    </row>
    <row r="17242">
      <c r="A17242" s="3" t="inlineStr">
        <is>
          <t>3</t>
        </is>
      </c>
      <c r="B17242" s="3" t="inlineStr">
        <is>
          <t>Mandor</t>
        </is>
      </c>
      <c r="C17242" s="3" t="inlineStr">
        <is>
          <t>OJ</t>
        </is>
      </c>
      <c r="D17242" s="15" t="n">
        <v>0.0068</v>
      </c>
      <c r="E17242" s="4" t="n">
        <v>200000</v>
      </c>
      <c r="F17242" s="4" t="n">
        <v>1360</v>
      </c>
    </row>
    <row r="17243">
      <c r="A17243" s="3" t="inlineStr">
        <is>
          <t>1</t>
        </is>
      </c>
      <c r="B17243" s="3" t="inlineStr">
        <is>
          <t>"Lantai Kerja fc 7 5 Mpa"</t>
        </is>
      </c>
      <c r="C17243" s="3" t="inlineStr">
        <is>
          <t>m3</t>
        </is>
      </c>
      <c r="D17243" s="15" t="n">
        <v>0.0325</v>
      </c>
      <c r="E17243" s="4" t="n">
        <v>928000</v>
      </c>
      <c r="F17243" s="4" t="n">
        <v>30160</v>
      </c>
    </row>
    <row r="17244">
      <c r="A17244" s="3" t="inlineStr">
        <is>
          <t>2</t>
        </is>
      </c>
      <c r="B17244" s="3" t="inlineStr">
        <is>
          <t>Urukan Pasir Uruk</t>
        </is>
      </c>
      <c r="C17244" s="3" t="inlineStr">
        <is>
          <t>m3</t>
        </is>
      </c>
      <c r="D17244" s="15" t="n">
        <v>0.065</v>
      </c>
      <c r="E17244" s="4" t="n">
        <v>488180</v>
      </c>
      <c r="F17244" s="4" t="n">
        <v>31731.7</v>
      </c>
    </row>
    <row r="17245">
      <c r="A17245" s="3" t="inlineStr">
        <is>
          <t>3</t>
        </is>
      </c>
      <c r="B17245" s="3" t="inlineStr">
        <is>
          <t>U-Ditch 40x50x120 cm</t>
        </is>
      </c>
      <c r="C17245" s="3" t="inlineStr">
        <is>
          <t>buah</t>
        </is>
      </c>
      <c r="D17245" s="15" t="n">
        <v>0.8333</v>
      </c>
      <c r="E17245" s="4" t="n">
        <v>290000</v>
      </c>
      <c r="F17245" s="4" t="n">
        <v>241657</v>
      </c>
    </row>
    <row r="17246">
      <c r="A17246" s="3" t="inlineStr">
        <is>
          <t>1</t>
        </is>
      </c>
      <c r="B17246" s="3" t="inlineStr">
        <is>
          <t>Sewa mobil crane</t>
        </is>
      </c>
      <c r="C17246" s="3" t="inlineStr">
        <is>
          <t>jam</t>
        </is>
      </c>
      <c r="D17246" s="15" t="n">
        <v>0.1359</v>
      </c>
      <c r="E17246" s="4" t="n">
        <v>1450000</v>
      </c>
      <c r="F17246" s="4" t="n">
        <v>197055</v>
      </c>
    </row>
    <row r="17247">
      <c r="D17247" s="2" t="inlineStr">
        <is>
          <t>SUBTOTAL UPAH</t>
        </is>
      </c>
      <c r="F17247" s="16" t="n">
        <v>34655.5</v>
      </c>
    </row>
    <row r="17248">
      <c r="D17248" s="2" t="inlineStr">
        <is>
          <t>SUBTOTAL BAHAN</t>
        </is>
      </c>
      <c r="F17248" s="16" t="n">
        <v>303548.7</v>
      </c>
    </row>
    <row r="17249">
      <c r="D17249" s="2" t="inlineStr">
        <is>
          <t>SUBTOTAL ALAT</t>
        </is>
      </c>
      <c r="F17249" s="16" t="n">
        <v>197055</v>
      </c>
    </row>
    <row r="17250">
      <c r="E17250" s="2" t="inlineStr">
        <is>
          <t>TOTAL HARGA SATUAN (Inc. Overhead)</t>
        </is>
      </c>
      <c r="F17250" s="17" t="n">
        <v>588785</v>
      </c>
    </row>
    <row r="17252">
      <c r="A17252" s="14" t="inlineStr">
        <is>
          <t>KODE: 8.1.2.5 - 1 m Saluran U-Ditch 40x60x120 cm dengan lantai kerja fc 7,5 Mpa</t>
        </is>
      </c>
    </row>
    <row r="17253">
      <c r="A17253" s="10" t="inlineStr">
        <is>
          <t>No</t>
        </is>
      </c>
      <c r="B17253" s="10" t="inlineStr">
        <is>
          <t>Uraian Komponen</t>
        </is>
      </c>
      <c r="C17253" s="10" t="inlineStr">
        <is>
          <t>Satuan</t>
        </is>
      </c>
      <c r="D17253" s="10" t="inlineStr">
        <is>
          <t>Koef</t>
        </is>
      </c>
      <c r="E17253" s="10" t="inlineStr">
        <is>
          <t>Harga Satuan (Rp)</t>
        </is>
      </c>
      <c r="F17253" s="10" t="inlineStr">
        <is>
          <t>Jumlah Harga (Rp)</t>
        </is>
      </c>
    </row>
    <row r="17254">
      <c r="A17254" s="3" t="inlineStr">
        <is>
          <t>1</t>
        </is>
      </c>
      <c r="B17254" s="3" t="inlineStr">
        <is>
          <t>Pekerja</t>
        </is>
      </c>
      <c r="C17254" s="3" t="inlineStr">
        <is>
          <t>OJ</t>
        </is>
      </c>
      <c r="D17254" s="15" t="n">
        <v>0.1424</v>
      </c>
      <c r="E17254" s="4" t="n">
        <v>100000</v>
      </c>
      <c r="F17254" s="4" t="n">
        <v>14240</v>
      </c>
    </row>
    <row r="17255">
      <c r="A17255" s="3" t="inlineStr">
        <is>
          <t>2</t>
        </is>
      </c>
      <c r="B17255" s="3" t="inlineStr">
        <is>
          <t>Tukang Batu</t>
        </is>
      </c>
      <c r="C17255" s="3" t="inlineStr">
        <is>
          <t>OJ</t>
        </is>
      </c>
      <c r="D17255" s="15" t="n">
        <v>0.1424</v>
      </c>
      <c r="E17255" s="4" t="n">
        <v>145000</v>
      </c>
      <c r="F17255" s="4" t="n">
        <v>20648</v>
      </c>
    </row>
    <row r="17256">
      <c r="A17256" s="3" t="inlineStr">
        <is>
          <t>3</t>
        </is>
      </c>
      <c r="B17256" s="3" t="inlineStr">
        <is>
          <t>Mandor</t>
        </is>
      </c>
      <c r="C17256" s="3" t="inlineStr">
        <is>
          <t>OJ</t>
        </is>
      </c>
      <c r="D17256" s="15" t="n">
        <v>0.0071</v>
      </c>
      <c r="E17256" s="4" t="n">
        <v>200000</v>
      </c>
      <c r="F17256" s="4" t="n">
        <v>1420</v>
      </c>
    </row>
    <row r="17257">
      <c r="A17257" s="3" t="inlineStr">
        <is>
          <t>1</t>
        </is>
      </c>
      <c r="B17257" s="3" t="inlineStr">
        <is>
          <t>"Lantai Kerja fc 7 5 Mpa"</t>
        </is>
      </c>
      <c r="C17257" s="3" t="inlineStr">
        <is>
          <t>m3</t>
        </is>
      </c>
      <c r="D17257" s="15" t="n">
        <v>0.0325</v>
      </c>
      <c r="E17257" s="4" t="n">
        <v>928000</v>
      </c>
      <c r="F17257" s="4" t="n">
        <v>30160</v>
      </c>
    </row>
    <row r="17258">
      <c r="A17258" s="3" t="inlineStr">
        <is>
          <t>2</t>
        </is>
      </c>
      <c r="B17258" s="3" t="inlineStr">
        <is>
          <t>Urukan Pasir Uruk</t>
        </is>
      </c>
      <c r="C17258" s="3" t="inlineStr">
        <is>
          <t>m3</t>
        </is>
      </c>
      <c r="D17258" s="15" t="n">
        <v>0.065</v>
      </c>
      <c r="E17258" s="4" t="n">
        <v>488180</v>
      </c>
      <c r="F17258" s="4" t="n">
        <v>31731.7</v>
      </c>
    </row>
    <row r="17259">
      <c r="A17259" s="3" t="inlineStr">
        <is>
          <t>3</t>
        </is>
      </c>
      <c r="B17259" s="3" t="inlineStr">
        <is>
          <t>U-Ditch 40x60x120 cm</t>
        </is>
      </c>
      <c r="C17259" s="3" t="inlineStr">
        <is>
          <t>buah</t>
        </is>
      </c>
      <c r="D17259" s="15" t="n">
        <v>0.8333</v>
      </c>
      <c r="E17259" s="4" t="n">
        <v>320000</v>
      </c>
      <c r="F17259" s="4" t="n">
        <v>266656</v>
      </c>
    </row>
    <row r="17260">
      <c r="A17260" s="3" t="inlineStr">
        <is>
          <t>1</t>
        </is>
      </c>
      <c r="B17260" s="3" t="inlineStr">
        <is>
          <t>Sewa mobil crane</t>
        </is>
      </c>
      <c r="C17260" s="3" t="inlineStr">
        <is>
          <t>jam</t>
        </is>
      </c>
      <c r="D17260" s="15" t="n">
        <v>0.1424</v>
      </c>
      <c r="E17260" s="4" t="n">
        <v>1450000</v>
      </c>
      <c r="F17260" s="4" t="n">
        <v>206480</v>
      </c>
    </row>
    <row r="17261">
      <c r="D17261" s="2" t="inlineStr">
        <is>
          <t>SUBTOTAL UPAH</t>
        </is>
      </c>
      <c r="F17261" s="16" t="n">
        <v>36308</v>
      </c>
    </row>
    <row r="17262">
      <c r="D17262" s="2" t="inlineStr">
        <is>
          <t>SUBTOTAL BAHAN</t>
        </is>
      </c>
      <c r="F17262" s="16" t="n">
        <v>328547.7</v>
      </c>
    </row>
    <row r="17263">
      <c r="D17263" s="2" t="inlineStr">
        <is>
          <t>SUBTOTAL ALAT</t>
        </is>
      </c>
      <c r="F17263" s="16" t="n">
        <v>206480</v>
      </c>
    </row>
    <row r="17264">
      <c r="E17264" s="2" t="inlineStr">
        <is>
          <t>TOTAL HARGA SATUAN (Inc. Overhead)</t>
        </is>
      </c>
      <c r="F17264" s="17" t="n">
        <v>628469</v>
      </c>
    </row>
    <row r="17266">
      <c r="A17266" s="14" t="inlineStr">
        <is>
          <t>KODE: 8.1.2.6 - 1 m Saluran U-Ditch 50x50x120 cm dengan lantai kerja fc 7,5 Mpa</t>
        </is>
      </c>
    </row>
    <row r="17267">
      <c r="A17267" s="10" t="inlineStr">
        <is>
          <t>No</t>
        </is>
      </c>
      <c r="B17267" s="10" t="inlineStr">
        <is>
          <t>Uraian Komponen</t>
        </is>
      </c>
      <c r="C17267" s="10" t="inlineStr">
        <is>
          <t>Satuan</t>
        </is>
      </c>
      <c r="D17267" s="10" t="inlineStr">
        <is>
          <t>Koef</t>
        </is>
      </c>
      <c r="E17267" s="10" t="inlineStr">
        <is>
          <t>Harga Satuan (Rp)</t>
        </is>
      </c>
      <c r="F17267" s="10" t="inlineStr">
        <is>
          <t>Jumlah Harga (Rp)</t>
        </is>
      </c>
    </row>
    <row r="17268">
      <c r="A17268" s="3" t="inlineStr">
        <is>
          <t>1</t>
        </is>
      </c>
      <c r="B17268" s="3" t="inlineStr">
        <is>
          <t>Pekerja</t>
        </is>
      </c>
      <c r="C17268" s="3" t="inlineStr">
        <is>
          <t>OJ</t>
        </is>
      </c>
      <c r="D17268" s="15" t="n">
        <v>0.1481</v>
      </c>
      <c r="E17268" s="4" t="n">
        <v>100000</v>
      </c>
      <c r="F17268" s="4" t="n">
        <v>14810</v>
      </c>
    </row>
    <row r="17269">
      <c r="A17269" s="3" t="inlineStr">
        <is>
          <t>2</t>
        </is>
      </c>
      <c r="B17269" s="3" t="inlineStr">
        <is>
          <t>Tukang Batu</t>
        </is>
      </c>
      <c r="C17269" s="3" t="inlineStr">
        <is>
          <t>OJ</t>
        </is>
      </c>
      <c r="D17269" s="15" t="n">
        <v>0.1481</v>
      </c>
      <c r="E17269" s="4" t="n">
        <v>145000</v>
      </c>
      <c r="F17269" s="4" t="n">
        <v>21474.5</v>
      </c>
    </row>
    <row r="17270">
      <c r="A17270" s="3" t="inlineStr">
        <is>
          <t>3</t>
        </is>
      </c>
      <c r="B17270" s="3" t="inlineStr">
        <is>
          <t>Mandor</t>
        </is>
      </c>
      <c r="C17270" s="3" t="inlineStr">
        <is>
          <t>OJ</t>
        </is>
      </c>
      <c r="D17270" s="15" t="n">
        <v>0.0074</v>
      </c>
      <c r="E17270" s="4" t="n">
        <v>200000</v>
      </c>
      <c r="F17270" s="4" t="n">
        <v>1480</v>
      </c>
    </row>
    <row r="17271">
      <c r="A17271" s="3" t="inlineStr">
        <is>
          <t>1</t>
        </is>
      </c>
      <c r="B17271" s="3" t="inlineStr">
        <is>
          <t>"Lantai Kerja fc 7 5 Mpa"</t>
        </is>
      </c>
      <c r="C17271" s="3" t="inlineStr">
        <is>
          <t>m3</t>
        </is>
      </c>
      <c r="D17271" s="15" t="n">
        <v>0.0395</v>
      </c>
      <c r="E17271" s="4" t="n">
        <v>928000</v>
      </c>
      <c r="F17271" s="4" t="n">
        <v>36656</v>
      </c>
    </row>
    <row r="17272">
      <c r="A17272" s="3" t="inlineStr">
        <is>
          <t>2</t>
        </is>
      </c>
      <c r="B17272" s="3" t="inlineStr">
        <is>
          <t>Urukan Pasir Uruk</t>
        </is>
      </c>
      <c r="C17272" s="3" t="inlineStr">
        <is>
          <t>m3</t>
        </is>
      </c>
      <c r="D17272" s="15" t="n">
        <v>0.079</v>
      </c>
      <c r="E17272" s="4" t="n">
        <v>488180</v>
      </c>
      <c r="F17272" s="4" t="n">
        <v>38566.22</v>
      </c>
    </row>
    <row r="17273">
      <c r="A17273" s="3" t="inlineStr">
        <is>
          <t>3</t>
        </is>
      </c>
      <c r="B17273" s="3" t="inlineStr">
        <is>
          <t>U-Ditch 50x50x120 cm</t>
        </is>
      </c>
      <c r="C17273" s="3" t="inlineStr">
        <is>
          <t>buah</t>
        </is>
      </c>
      <c r="D17273" s="15" t="n">
        <v>0.8333</v>
      </c>
      <c r="E17273" s="4" t="n">
        <v>340000</v>
      </c>
      <c r="F17273" s="4" t="n">
        <v>283322</v>
      </c>
    </row>
    <row r="17274">
      <c r="A17274" s="3" t="inlineStr">
        <is>
          <t>1</t>
        </is>
      </c>
      <c r="B17274" s="3" t="inlineStr">
        <is>
          <t>Sewa mobil crane</t>
        </is>
      </c>
      <c r="C17274" s="3" t="inlineStr">
        <is>
          <t>jam</t>
        </is>
      </c>
      <c r="D17274" s="15" t="n">
        <v>0.1481</v>
      </c>
      <c r="E17274" s="4" t="n">
        <v>1450000</v>
      </c>
      <c r="F17274" s="4" t="n">
        <v>214745</v>
      </c>
    </row>
    <row r="17275">
      <c r="D17275" s="2" t="inlineStr">
        <is>
          <t>SUBTOTAL UPAH</t>
        </is>
      </c>
      <c r="F17275" s="16" t="n">
        <v>37764.5</v>
      </c>
    </row>
    <row r="17276">
      <c r="D17276" s="2" t="inlineStr">
        <is>
          <t>SUBTOTAL BAHAN</t>
        </is>
      </c>
      <c r="F17276" s="16" t="n">
        <v>358544.22</v>
      </c>
    </row>
    <row r="17277">
      <c r="D17277" s="2" t="inlineStr">
        <is>
          <t>SUBTOTAL ALAT</t>
        </is>
      </c>
      <c r="F17277" s="16" t="n">
        <v>214745</v>
      </c>
    </row>
    <row r="17278">
      <c r="E17278" s="2" t="inlineStr">
        <is>
          <t>TOTAL HARGA SATUAN (Inc. Overhead)</t>
        </is>
      </c>
      <c r="F17278" s="17" t="n">
        <v>672159</v>
      </c>
    </row>
    <row r="17280">
      <c r="A17280" s="14" t="inlineStr">
        <is>
          <t>KODE: 8.1.2.7 - 1 m Saluran U-Ditch 50x60x120 cm dengan lantai kerja fc 7,5 Mpa</t>
        </is>
      </c>
    </row>
    <row r="17281">
      <c r="A17281" s="10" t="inlineStr">
        <is>
          <t>No</t>
        </is>
      </c>
      <c r="B17281" s="10" t="inlineStr">
        <is>
          <t>Uraian Komponen</t>
        </is>
      </c>
      <c r="C17281" s="10" t="inlineStr">
        <is>
          <t>Satuan</t>
        </is>
      </c>
      <c r="D17281" s="10" t="inlineStr">
        <is>
          <t>Koef</t>
        </is>
      </c>
      <c r="E17281" s="10" t="inlineStr">
        <is>
          <t>Harga Satuan (Rp)</t>
        </is>
      </c>
      <c r="F17281" s="10" t="inlineStr">
        <is>
          <t>Jumlah Harga (Rp)</t>
        </is>
      </c>
    </row>
    <row r="17282">
      <c r="A17282" s="3" t="inlineStr">
        <is>
          <t>1</t>
        </is>
      </c>
      <c r="B17282" s="3" t="inlineStr">
        <is>
          <t>Pekerja</t>
        </is>
      </c>
      <c r="C17282" s="3" t="inlineStr">
        <is>
          <t>OJ</t>
        </is>
      </c>
      <c r="D17282" s="15" t="n">
        <v>0.1986</v>
      </c>
      <c r="E17282" s="4" t="n">
        <v>100000</v>
      </c>
      <c r="F17282" s="4" t="n">
        <v>19860</v>
      </c>
    </row>
    <row r="17283">
      <c r="A17283" s="3" t="inlineStr">
        <is>
          <t>2</t>
        </is>
      </c>
      <c r="B17283" s="3" t="inlineStr">
        <is>
          <t>Tukang Batu</t>
        </is>
      </c>
      <c r="C17283" s="3" t="inlineStr">
        <is>
          <t>OJ</t>
        </is>
      </c>
      <c r="D17283" s="15" t="n">
        <v>0.1986</v>
      </c>
      <c r="E17283" s="4" t="n">
        <v>145000</v>
      </c>
      <c r="F17283" s="4" t="n">
        <v>28797</v>
      </c>
    </row>
    <row r="17284">
      <c r="A17284" s="3" t="inlineStr">
        <is>
          <t>3</t>
        </is>
      </c>
      <c r="B17284" s="3" t="inlineStr">
        <is>
          <t>Mandor</t>
        </is>
      </c>
      <c r="C17284" s="3" t="inlineStr">
        <is>
          <t>OJ</t>
        </is>
      </c>
      <c r="D17284" s="15" t="n">
        <v>0.009900000000000001</v>
      </c>
      <c r="E17284" s="4" t="n">
        <v>200000</v>
      </c>
      <c r="F17284" s="4" t="n">
        <v>1980</v>
      </c>
    </row>
    <row r="17285">
      <c r="A17285" s="3" t="inlineStr">
        <is>
          <t>1</t>
        </is>
      </c>
      <c r="B17285" s="3" t="inlineStr">
        <is>
          <t>"Lantai Kerja fc 7 5 Mpa"</t>
        </is>
      </c>
      <c r="C17285" s="3" t="inlineStr">
        <is>
          <t>m3</t>
        </is>
      </c>
      <c r="D17285" s="15" t="n">
        <v>0.0395</v>
      </c>
      <c r="E17285" s="4" t="n">
        <v>928000</v>
      </c>
      <c r="F17285" s="4" t="n">
        <v>36656</v>
      </c>
    </row>
    <row r="17286">
      <c r="A17286" s="3" t="inlineStr">
        <is>
          <t>2</t>
        </is>
      </c>
      <c r="B17286" s="3" t="inlineStr">
        <is>
          <t>Urukan Pasir Uruk</t>
        </is>
      </c>
      <c r="C17286" s="3" t="inlineStr">
        <is>
          <t>m3</t>
        </is>
      </c>
      <c r="D17286" s="15" t="n">
        <v>0.079</v>
      </c>
      <c r="E17286" s="4" t="n">
        <v>488180</v>
      </c>
      <c r="F17286" s="4" t="n">
        <v>38566.22</v>
      </c>
    </row>
    <row r="17287">
      <c r="A17287" s="3" t="inlineStr">
        <is>
          <t>3</t>
        </is>
      </c>
      <c r="B17287" s="3" t="inlineStr">
        <is>
          <t>U-Ditch 50x60x120 cm</t>
        </is>
      </c>
      <c r="C17287" s="3" t="inlineStr">
        <is>
          <t>buah</t>
        </is>
      </c>
      <c r="D17287" s="15" t="n">
        <v>0.8333</v>
      </c>
      <c r="E17287" s="4" t="n">
        <v>370000</v>
      </c>
      <c r="F17287" s="4" t="n">
        <v>308321</v>
      </c>
    </row>
    <row r="17288">
      <c r="A17288" s="3" t="inlineStr">
        <is>
          <t>1</t>
        </is>
      </c>
      <c r="B17288" s="3" t="inlineStr">
        <is>
          <t>Sewa mobil crane</t>
        </is>
      </c>
      <c r="C17288" s="3" t="inlineStr">
        <is>
          <t>jam</t>
        </is>
      </c>
      <c r="D17288" s="15" t="n">
        <v>0.1986</v>
      </c>
      <c r="E17288" s="4" t="n">
        <v>1450000</v>
      </c>
      <c r="F17288" s="4" t="n">
        <v>287970</v>
      </c>
    </row>
    <row r="17289">
      <c r="D17289" s="2" t="inlineStr">
        <is>
          <t>SUBTOTAL UPAH</t>
        </is>
      </c>
      <c r="F17289" s="16" t="n">
        <v>50637</v>
      </c>
    </row>
    <row r="17290">
      <c r="D17290" s="2" t="inlineStr">
        <is>
          <t>SUBTOTAL BAHAN</t>
        </is>
      </c>
      <c r="F17290" s="16" t="n">
        <v>383543.22</v>
      </c>
    </row>
    <row r="17291">
      <c r="D17291" s="2" t="inlineStr">
        <is>
          <t>SUBTOTAL ALAT</t>
        </is>
      </c>
      <c r="F17291" s="16" t="n">
        <v>287970</v>
      </c>
    </row>
    <row r="17292">
      <c r="E17292" s="2" t="inlineStr">
        <is>
          <t>TOTAL HARGA SATUAN (Inc. Overhead)</t>
        </is>
      </c>
      <c r="F17292" s="17" t="n">
        <v>794365</v>
      </c>
    </row>
    <row r="17294">
      <c r="A17294" s="14" t="inlineStr">
        <is>
          <t>KODE: 8.1.2.8 - 1 m Saluran U-Ditch 50x70x120 cm dengan lantai kerja fc 7,5 Mpa</t>
        </is>
      </c>
    </row>
    <row r="17295">
      <c r="A17295" s="10" t="inlineStr">
        <is>
          <t>No</t>
        </is>
      </c>
      <c r="B17295" s="10" t="inlineStr">
        <is>
          <t>Uraian Komponen</t>
        </is>
      </c>
      <c r="C17295" s="10" t="inlineStr">
        <is>
          <t>Satuan</t>
        </is>
      </c>
      <c r="D17295" s="10" t="inlineStr">
        <is>
          <t>Koef</t>
        </is>
      </c>
      <c r="E17295" s="10" t="inlineStr">
        <is>
          <t>Harga Satuan (Rp)</t>
        </is>
      </c>
      <c r="F17295" s="10" t="inlineStr">
        <is>
          <t>Jumlah Harga (Rp)</t>
        </is>
      </c>
    </row>
    <row r="17296">
      <c r="A17296" s="3" t="inlineStr">
        <is>
          <t>1</t>
        </is>
      </c>
      <c r="B17296" s="3" t="inlineStr">
        <is>
          <t>Pekerja</t>
        </is>
      </c>
      <c r="C17296" s="3" t="inlineStr">
        <is>
          <t>OJ</t>
        </is>
      </c>
      <c r="D17296" s="15" t="n">
        <v>0.2035</v>
      </c>
      <c r="E17296" s="4" t="n">
        <v>100000</v>
      </c>
      <c r="F17296" s="4" t="n">
        <v>20350</v>
      </c>
    </row>
    <row r="17297">
      <c r="A17297" s="3" t="inlineStr">
        <is>
          <t>2</t>
        </is>
      </c>
      <c r="B17297" s="3" t="inlineStr">
        <is>
          <t>Tukang Batu</t>
        </is>
      </c>
      <c r="C17297" s="3" t="inlineStr">
        <is>
          <t>OJ</t>
        </is>
      </c>
      <c r="D17297" s="15" t="n">
        <v>0.2035</v>
      </c>
      <c r="E17297" s="4" t="n">
        <v>145000</v>
      </c>
      <c r="F17297" s="4" t="n">
        <v>29507.5</v>
      </c>
    </row>
    <row r="17298">
      <c r="A17298" s="3" t="inlineStr">
        <is>
          <t>3</t>
        </is>
      </c>
      <c r="B17298" s="3" t="inlineStr">
        <is>
          <t>Mandor</t>
        </is>
      </c>
      <c r="C17298" s="3" t="inlineStr">
        <is>
          <t>OJ</t>
        </is>
      </c>
      <c r="D17298" s="15" t="n">
        <v>0.0102</v>
      </c>
      <c r="E17298" s="4" t="n">
        <v>200000</v>
      </c>
      <c r="F17298" s="4" t="n">
        <v>2040</v>
      </c>
    </row>
    <row r="17299">
      <c r="A17299" s="3" t="inlineStr">
        <is>
          <t>1</t>
        </is>
      </c>
      <c r="B17299" s="3" t="inlineStr">
        <is>
          <t>"Lantai Kerja fc 7 5 Mpa"</t>
        </is>
      </c>
      <c r="C17299" s="3" t="inlineStr">
        <is>
          <t>m3</t>
        </is>
      </c>
      <c r="D17299" s="15" t="n">
        <v>0.0395</v>
      </c>
      <c r="E17299" s="4" t="n">
        <v>928000</v>
      </c>
      <c r="F17299" s="4" t="n">
        <v>36656</v>
      </c>
    </row>
    <row r="17300">
      <c r="A17300" s="3" t="inlineStr">
        <is>
          <t>2</t>
        </is>
      </c>
      <c r="B17300" s="3" t="inlineStr">
        <is>
          <t>Urukan Pasir Uruk</t>
        </is>
      </c>
      <c r="C17300" s="3" t="inlineStr">
        <is>
          <t>m3</t>
        </is>
      </c>
      <c r="D17300" s="15" t="n">
        <v>0.079</v>
      </c>
      <c r="E17300" s="4" t="n">
        <v>488180</v>
      </c>
      <c r="F17300" s="4" t="n">
        <v>38566.22</v>
      </c>
    </row>
    <row r="17301">
      <c r="A17301" s="3" t="inlineStr">
        <is>
          <t>3</t>
        </is>
      </c>
      <c r="B17301" s="3" t="inlineStr">
        <is>
          <t>U-Ditch 50x70x120 cm</t>
        </is>
      </c>
      <c r="C17301" s="3" t="inlineStr">
        <is>
          <t>buah</t>
        </is>
      </c>
      <c r="D17301" s="15" t="n">
        <v>0.8333</v>
      </c>
      <c r="E17301" s="4" t="n">
        <v>390000</v>
      </c>
      <c r="F17301" s="4" t="n">
        <v>324987</v>
      </c>
    </row>
    <row r="17302">
      <c r="A17302" s="3" t="inlineStr">
        <is>
          <t>1</t>
        </is>
      </c>
      <c r="B17302" s="3" t="inlineStr">
        <is>
          <t>Sewa mobil crane</t>
        </is>
      </c>
      <c r="C17302" s="3" t="inlineStr">
        <is>
          <t>jam</t>
        </is>
      </c>
      <c r="D17302" s="15" t="n">
        <v>0.2035</v>
      </c>
      <c r="E17302" s="4" t="n">
        <v>1450000</v>
      </c>
      <c r="F17302" s="4" t="n">
        <v>295075</v>
      </c>
    </row>
    <row r="17303">
      <c r="D17303" s="2" t="inlineStr">
        <is>
          <t>SUBTOTAL UPAH</t>
        </is>
      </c>
      <c r="F17303" s="16" t="n">
        <v>51897.5</v>
      </c>
    </row>
    <row r="17304">
      <c r="D17304" s="2" t="inlineStr">
        <is>
          <t>SUBTOTAL BAHAN</t>
        </is>
      </c>
      <c r="F17304" s="16" t="n">
        <v>400209.22</v>
      </c>
    </row>
    <row r="17305">
      <c r="D17305" s="2" t="inlineStr">
        <is>
          <t>SUBTOTAL ALAT</t>
        </is>
      </c>
      <c r="F17305" s="16" t="n">
        <v>295075</v>
      </c>
    </row>
    <row r="17306">
      <c r="E17306" s="2" t="inlineStr">
        <is>
          <t>TOTAL HARGA SATUAN (Inc. Overhead)</t>
        </is>
      </c>
      <c r="F17306" s="17" t="n">
        <v>821899</v>
      </c>
    </row>
    <row r="17308">
      <c r="A17308" s="14" t="inlineStr">
        <is>
          <t>KODE: 8.1.2.9 - 1 m Saluran U-Ditch 60x60x120 cm dengan lantai kerja fc 7,5 Mpa</t>
        </is>
      </c>
    </row>
    <row r="17309">
      <c r="A17309" s="10" t="inlineStr">
        <is>
          <t>No</t>
        </is>
      </c>
      <c r="B17309" s="10" t="inlineStr">
        <is>
          <t>Uraian Komponen</t>
        </is>
      </c>
      <c r="C17309" s="10" t="inlineStr">
        <is>
          <t>Satuan</t>
        </is>
      </c>
      <c r="D17309" s="10" t="inlineStr">
        <is>
          <t>Koef</t>
        </is>
      </c>
      <c r="E17309" s="10" t="inlineStr">
        <is>
          <t>Harga Satuan (Rp)</t>
        </is>
      </c>
      <c r="F17309" s="10" t="inlineStr">
        <is>
          <t>Jumlah Harga (Rp)</t>
        </is>
      </c>
    </row>
    <row r="17310">
      <c r="A17310" s="3" t="inlineStr">
        <is>
          <t>1</t>
        </is>
      </c>
      <c r="B17310" s="3" t="inlineStr">
        <is>
          <t>Pekerja</t>
        </is>
      </c>
      <c r="C17310" s="3" t="inlineStr">
        <is>
          <t>OJ</t>
        </is>
      </c>
      <c r="D17310" s="15" t="n">
        <v>0.2158</v>
      </c>
      <c r="E17310" s="4" t="n">
        <v>100000</v>
      </c>
      <c r="F17310" s="4" t="n">
        <v>21580</v>
      </c>
    </row>
    <row r="17311">
      <c r="A17311" s="3" t="inlineStr">
        <is>
          <t>2</t>
        </is>
      </c>
      <c r="B17311" s="3" t="inlineStr">
        <is>
          <t>Tukang Batu</t>
        </is>
      </c>
      <c r="C17311" s="3" t="inlineStr">
        <is>
          <t>OJ</t>
        </is>
      </c>
      <c r="D17311" s="15" t="n">
        <v>0.2158</v>
      </c>
      <c r="E17311" s="4" t="n">
        <v>145000</v>
      </c>
      <c r="F17311" s="4" t="n">
        <v>31291</v>
      </c>
    </row>
    <row r="17312">
      <c r="A17312" s="3" t="inlineStr">
        <is>
          <t>3</t>
        </is>
      </c>
      <c r="B17312" s="3" t="inlineStr">
        <is>
          <t>Mandor</t>
        </is>
      </c>
      <c r="C17312" s="3" t="inlineStr">
        <is>
          <t>OJ</t>
        </is>
      </c>
      <c r="D17312" s="15" t="n">
        <v>0.0108</v>
      </c>
      <c r="E17312" s="4" t="n">
        <v>200000</v>
      </c>
      <c r="F17312" s="4" t="n">
        <v>2160</v>
      </c>
    </row>
    <row r="17313">
      <c r="A17313" s="3" t="inlineStr">
        <is>
          <t>1</t>
        </is>
      </c>
      <c r="B17313" s="3" t="inlineStr">
        <is>
          <t>"Lantai Kerja fc 7 5 Mpa"</t>
        </is>
      </c>
      <c r="C17313" s="3" t="inlineStr">
        <is>
          <t>m3</t>
        </is>
      </c>
      <c r="D17313" s="15" t="n">
        <v>0.0445</v>
      </c>
      <c r="E17313" s="4" t="n">
        <v>928000</v>
      </c>
      <c r="F17313" s="4" t="n">
        <v>41296</v>
      </c>
    </row>
    <row r="17314">
      <c r="A17314" s="3" t="inlineStr">
        <is>
          <t>2</t>
        </is>
      </c>
      <c r="B17314" s="3" t="inlineStr">
        <is>
          <t>Urukan Pasir Uruk</t>
        </is>
      </c>
      <c r="C17314" s="3" t="inlineStr">
        <is>
          <t>m3</t>
        </is>
      </c>
      <c r="D17314" s="15" t="n">
        <v>0.089</v>
      </c>
      <c r="E17314" s="4" t="n">
        <v>488180</v>
      </c>
      <c r="F17314" s="4" t="n">
        <v>43448.02</v>
      </c>
    </row>
    <row r="17315">
      <c r="A17315" s="3" t="inlineStr">
        <is>
          <t>3</t>
        </is>
      </c>
      <c r="B17315" s="3" t="inlineStr">
        <is>
          <t>U-Ditch 60x60x120 cm</t>
        </is>
      </c>
      <c r="C17315" s="3" t="inlineStr">
        <is>
          <t>buah</t>
        </is>
      </c>
      <c r="D17315" s="15" t="n">
        <v>0.8333</v>
      </c>
      <c r="E17315" s="4" t="n">
        <v>420000</v>
      </c>
      <c r="F17315" s="4" t="n">
        <v>349986</v>
      </c>
    </row>
    <row r="17316">
      <c r="A17316" s="3" t="inlineStr">
        <is>
          <t>1</t>
        </is>
      </c>
      <c r="B17316" s="3" t="inlineStr">
        <is>
          <t>Sewa mobil crane</t>
        </is>
      </c>
      <c r="C17316" s="3" t="inlineStr">
        <is>
          <t>jam</t>
        </is>
      </c>
      <c r="D17316" s="15" t="n">
        <v>0.2158</v>
      </c>
      <c r="E17316" s="4" t="n">
        <v>1450000</v>
      </c>
      <c r="F17316" s="4" t="n">
        <v>312910</v>
      </c>
    </row>
    <row r="17317">
      <c r="D17317" s="2" t="inlineStr">
        <is>
          <t>SUBTOTAL UPAH</t>
        </is>
      </c>
      <c r="F17317" s="16" t="n">
        <v>55031</v>
      </c>
    </row>
    <row r="17318">
      <c r="D17318" s="2" t="inlineStr">
        <is>
          <t>SUBTOTAL BAHAN</t>
        </is>
      </c>
      <c r="F17318" s="16" t="n">
        <v>434730.02</v>
      </c>
    </row>
    <row r="17319">
      <c r="D17319" s="2" t="inlineStr">
        <is>
          <t>SUBTOTAL ALAT</t>
        </is>
      </c>
      <c r="F17319" s="16" t="n">
        <v>312910</v>
      </c>
    </row>
    <row r="17320">
      <c r="E17320" s="2" t="inlineStr">
        <is>
          <t>TOTAL HARGA SATUAN (Inc. Overhead)</t>
        </is>
      </c>
      <c r="F17320" s="17" t="n">
        <v>882938</v>
      </c>
    </row>
    <row r="17322">
      <c r="A17322" s="14" t="inlineStr">
        <is>
          <t>KODE: 8.1.2.10 - 1 m Saluran U-Ditch 60x70x120 cm dengan lantai kerja fc 7,5 Mpa</t>
        </is>
      </c>
    </row>
    <row r="17323">
      <c r="A17323" s="10" t="inlineStr">
        <is>
          <t>No</t>
        </is>
      </c>
      <c r="B17323" s="10" t="inlineStr">
        <is>
          <t>Uraian Komponen</t>
        </is>
      </c>
      <c r="C17323" s="10" t="inlineStr">
        <is>
          <t>Satuan</t>
        </is>
      </c>
      <c r="D17323" s="10" t="inlineStr">
        <is>
          <t>Koef</t>
        </is>
      </c>
      <c r="E17323" s="10" t="inlineStr">
        <is>
          <t>Harga Satuan (Rp)</t>
        </is>
      </c>
      <c r="F17323" s="10" t="inlineStr">
        <is>
          <t>Jumlah Harga (Rp)</t>
        </is>
      </c>
    </row>
    <row r="17324">
      <c r="A17324" s="3" t="inlineStr">
        <is>
          <t>1</t>
        </is>
      </c>
      <c r="B17324" s="3" t="inlineStr">
        <is>
          <t>Pekerja</t>
        </is>
      </c>
      <c r="C17324" s="3" t="inlineStr">
        <is>
          <t>OJ</t>
        </is>
      </c>
      <c r="D17324" s="15" t="n">
        <v>0.216</v>
      </c>
      <c r="E17324" s="4" t="n">
        <v>100000</v>
      </c>
      <c r="F17324" s="4" t="n">
        <v>21600</v>
      </c>
    </row>
    <row r="17325">
      <c r="A17325" s="3" t="inlineStr">
        <is>
          <t>2</t>
        </is>
      </c>
      <c r="B17325" s="3" t="inlineStr">
        <is>
          <t>Tukang Batu</t>
        </is>
      </c>
      <c r="C17325" s="3" t="inlineStr">
        <is>
          <t>OJ</t>
        </is>
      </c>
      <c r="D17325" s="15" t="n">
        <v>0.216</v>
      </c>
      <c r="E17325" s="4" t="n">
        <v>145000</v>
      </c>
      <c r="F17325" s="4" t="n">
        <v>31320</v>
      </c>
    </row>
    <row r="17326">
      <c r="A17326" s="3" t="inlineStr">
        <is>
          <t>3</t>
        </is>
      </c>
      <c r="B17326" s="3" t="inlineStr">
        <is>
          <t>Mandor</t>
        </is>
      </c>
      <c r="C17326" s="3" t="inlineStr">
        <is>
          <t>OJ</t>
        </is>
      </c>
      <c r="D17326" s="15" t="n">
        <v>0.0108</v>
      </c>
      <c r="E17326" s="4" t="n">
        <v>200000</v>
      </c>
      <c r="F17326" s="4" t="n">
        <v>2160</v>
      </c>
    </row>
    <row r="17327">
      <c r="A17327" s="3" t="inlineStr">
        <is>
          <t>1</t>
        </is>
      </c>
      <c r="B17327" s="3" t="inlineStr">
        <is>
          <t>"Lantai Kerja fc 7 5 Mpa"</t>
        </is>
      </c>
      <c r="C17327" s="3" t="inlineStr">
        <is>
          <t>m3</t>
        </is>
      </c>
      <c r="D17327" s="15" t="n">
        <v>0.0445</v>
      </c>
      <c r="E17327" s="4" t="n">
        <v>928000</v>
      </c>
      <c r="F17327" s="4" t="n">
        <v>41296</v>
      </c>
    </row>
    <row r="17328">
      <c r="A17328" s="3" t="inlineStr">
        <is>
          <t>2</t>
        </is>
      </c>
      <c r="B17328" s="3" t="inlineStr">
        <is>
          <t>Urukan Pasir Uruk</t>
        </is>
      </c>
      <c r="C17328" s="3" t="inlineStr">
        <is>
          <t>m3</t>
        </is>
      </c>
      <c r="D17328" s="15" t="n">
        <v>0.089</v>
      </c>
      <c r="E17328" s="4" t="n">
        <v>488180</v>
      </c>
      <c r="F17328" s="4" t="n">
        <v>43448.02</v>
      </c>
    </row>
    <row r="17329">
      <c r="A17329" s="3" t="inlineStr">
        <is>
          <t>3</t>
        </is>
      </c>
      <c r="B17329" s="3" t="inlineStr">
        <is>
          <t>U-Ditch 60x70x120 cm</t>
        </is>
      </c>
      <c r="C17329" s="3" t="inlineStr">
        <is>
          <t>buah</t>
        </is>
      </c>
      <c r="D17329" s="15" t="n">
        <v>0.8333</v>
      </c>
      <c r="E17329" s="4" t="n">
        <v>440000</v>
      </c>
      <c r="F17329" s="4" t="n">
        <v>366652</v>
      </c>
    </row>
    <row r="17330">
      <c r="A17330" s="3" t="inlineStr">
        <is>
          <t>1</t>
        </is>
      </c>
      <c r="B17330" s="3" t="inlineStr">
        <is>
          <t>Sewa mobil crane</t>
        </is>
      </c>
      <c r="C17330" s="3" t="inlineStr">
        <is>
          <t>jam</t>
        </is>
      </c>
      <c r="D17330" s="15" t="n">
        <v>0.216</v>
      </c>
      <c r="E17330" s="4" t="n">
        <v>1450000</v>
      </c>
      <c r="F17330" s="4" t="n">
        <v>313200</v>
      </c>
    </row>
    <row r="17331">
      <c r="D17331" s="2" t="inlineStr">
        <is>
          <t>SUBTOTAL UPAH</t>
        </is>
      </c>
      <c r="F17331" s="16" t="n">
        <v>55080</v>
      </c>
    </row>
    <row r="17332">
      <c r="D17332" s="2" t="inlineStr">
        <is>
          <t>SUBTOTAL BAHAN</t>
        </is>
      </c>
      <c r="F17332" s="16" t="n">
        <v>451396.02</v>
      </c>
    </row>
    <row r="17333">
      <c r="D17333" s="2" t="inlineStr">
        <is>
          <t>SUBTOTAL ALAT</t>
        </is>
      </c>
      <c r="F17333" s="16" t="n">
        <v>313200</v>
      </c>
    </row>
    <row r="17334">
      <c r="E17334" s="2" t="inlineStr">
        <is>
          <t>TOTAL HARGA SATUAN (Inc. Overhead)</t>
        </is>
      </c>
      <c r="F17334" s="17" t="n">
        <v>901643</v>
      </c>
    </row>
    <row r="17336">
      <c r="A17336" s="14" t="inlineStr">
        <is>
          <t>KODE: 8.1.2.11 - 1 m Saluran U-Ditch 60x80x120 cm dengan lantai kerja fc 7,5 Mpa</t>
        </is>
      </c>
    </row>
    <row r="17337">
      <c r="A17337" s="10" t="inlineStr">
        <is>
          <t>No</t>
        </is>
      </c>
      <c r="B17337" s="10" t="inlineStr">
        <is>
          <t>Uraian Komponen</t>
        </is>
      </c>
      <c r="C17337" s="10" t="inlineStr">
        <is>
          <t>Satuan</t>
        </is>
      </c>
      <c r="D17337" s="10" t="inlineStr">
        <is>
          <t>Koef</t>
        </is>
      </c>
      <c r="E17337" s="10" t="inlineStr">
        <is>
          <t>Harga Satuan (Rp)</t>
        </is>
      </c>
      <c r="F17337" s="10" t="inlineStr">
        <is>
          <t>Jumlah Harga (Rp)</t>
        </is>
      </c>
    </row>
    <row r="17338">
      <c r="A17338" s="3" t="inlineStr">
        <is>
          <t>1</t>
        </is>
      </c>
      <c r="B17338" s="3" t="inlineStr">
        <is>
          <t>Pekerja</t>
        </is>
      </c>
      <c r="C17338" s="3" t="inlineStr">
        <is>
          <t>OJ</t>
        </is>
      </c>
      <c r="D17338" s="15" t="n">
        <v>0.2184</v>
      </c>
      <c r="E17338" s="4" t="n">
        <v>100000</v>
      </c>
      <c r="F17338" s="4" t="n">
        <v>21840</v>
      </c>
    </row>
    <row r="17339">
      <c r="A17339" s="3" t="inlineStr">
        <is>
          <t>2</t>
        </is>
      </c>
      <c r="B17339" s="3" t="inlineStr">
        <is>
          <t>Tukang Batu</t>
        </is>
      </c>
      <c r="C17339" s="3" t="inlineStr">
        <is>
          <t>OJ</t>
        </is>
      </c>
      <c r="D17339" s="15" t="n">
        <v>0.2184</v>
      </c>
      <c r="E17339" s="4" t="n">
        <v>145000</v>
      </c>
      <c r="F17339" s="4" t="n">
        <v>31668</v>
      </c>
    </row>
    <row r="17340">
      <c r="A17340" s="3" t="inlineStr">
        <is>
          <t>3</t>
        </is>
      </c>
      <c r="B17340" s="3" t="inlineStr">
        <is>
          <t>Mandor</t>
        </is>
      </c>
      <c r="C17340" s="3" t="inlineStr">
        <is>
          <t>OJ</t>
        </is>
      </c>
      <c r="D17340" s="15" t="n">
        <v>0.0109</v>
      </c>
      <c r="E17340" s="4" t="n">
        <v>200000</v>
      </c>
      <c r="F17340" s="4" t="n">
        <v>2180</v>
      </c>
    </row>
    <row r="17341">
      <c r="A17341" s="3" t="inlineStr">
        <is>
          <t>1</t>
        </is>
      </c>
      <c r="B17341" s="3" t="inlineStr">
        <is>
          <t>"Lantai Kerja fc 7 5 Mpa"</t>
        </is>
      </c>
      <c r="C17341" s="3" t="inlineStr">
        <is>
          <t>m3</t>
        </is>
      </c>
      <c r="D17341" s="15" t="n">
        <v>0.0445</v>
      </c>
      <c r="E17341" s="4" t="n">
        <v>928000</v>
      </c>
      <c r="F17341" s="4" t="n">
        <v>41296</v>
      </c>
    </row>
    <row r="17342">
      <c r="A17342" s="3" t="inlineStr">
        <is>
          <t>2</t>
        </is>
      </c>
      <c r="B17342" s="3" t="inlineStr">
        <is>
          <t>Urukan Pasir Uruk</t>
        </is>
      </c>
      <c r="C17342" s="3" t="inlineStr">
        <is>
          <t>m3</t>
        </is>
      </c>
      <c r="D17342" s="15" t="n">
        <v>0.089</v>
      </c>
      <c r="E17342" s="4" t="n">
        <v>488180</v>
      </c>
      <c r="F17342" s="4" t="n">
        <v>43448.02</v>
      </c>
    </row>
    <row r="17343">
      <c r="A17343" s="3" t="inlineStr">
        <is>
          <t>3</t>
        </is>
      </c>
      <c r="B17343" s="3" t="inlineStr">
        <is>
          <t>U-Ditch 60x80x120 cm</t>
        </is>
      </c>
      <c r="C17343" s="3" t="inlineStr">
        <is>
          <t>buah</t>
        </is>
      </c>
      <c r="D17343" s="15" t="n">
        <v>0.8333</v>
      </c>
      <c r="E17343" s="4" t="n">
        <v>470000</v>
      </c>
      <c r="F17343" s="4" t="n">
        <v>391651</v>
      </c>
    </row>
    <row r="17344">
      <c r="A17344" s="3" t="inlineStr">
        <is>
          <t>1</t>
        </is>
      </c>
      <c r="B17344" s="3" t="inlineStr">
        <is>
          <t>Sewa mobil crane</t>
        </is>
      </c>
      <c r="C17344" s="3" t="inlineStr">
        <is>
          <t>jam</t>
        </is>
      </c>
      <c r="D17344" s="15" t="n">
        <v>0.2184</v>
      </c>
      <c r="E17344" s="4" t="n">
        <v>1450000</v>
      </c>
      <c r="F17344" s="4" t="n">
        <v>316680</v>
      </c>
    </row>
    <row r="17345">
      <c r="D17345" s="2" t="inlineStr">
        <is>
          <t>SUBTOTAL UPAH</t>
        </is>
      </c>
      <c r="F17345" s="16" t="n">
        <v>55688</v>
      </c>
    </row>
    <row r="17346">
      <c r="D17346" s="2" t="inlineStr">
        <is>
          <t>SUBTOTAL BAHAN</t>
        </is>
      </c>
      <c r="F17346" s="16" t="n">
        <v>476395.02</v>
      </c>
    </row>
    <row r="17347">
      <c r="D17347" s="2" t="inlineStr">
        <is>
          <t>SUBTOTAL ALAT</t>
        </is>
      </c>
      <c r="F17347" s="16" t="n">
        <v>316680</v>
      </c>
    </row>
    <row r="17348">
      <c r="E17348" s="2" t="inlineStr">
        <is>
          <t>TOTAL HARGA SATUAN (Inc. Overhead)</t>
        </is>
      </c>
      <c r="F17348" s="17" t="n">
        <v>933639</v>
      </c>
    </row>
    <row r="17350">
      <c r="A17350" s="14" t="inlineStr">
        <is>
          <t>KODE: 8.1.2.12 - 1 m Saluran U-Ditch 80x60x120 cm dengan lantai kerja fc 7,5 Mpa</t>
        </is>
      </c>
    </row>
    <row r="17351">
      <c r="A17351" s="10" t="inlineStr">
        <is>
          <t>No</t>
        </is>
      </c>
      <c r="B17351" s="10" t="inlineStr">
        <is>
          <t>Uraian Komponen</t>
        </is>
      </c>
      <c r="C17351" s="10" t="inlineStr">
        <is>
          <t>Satuan</t>
        </is>
      </c>
      <c r="D17351" s="10" t="inlineStr">
        <is>
          <t>Koef</t>
        </is>
      </c>
      <c r="E17351" s="10" t="inlineStr">
        <is>
          <t>Harga Satuan (Rp)</t>
        </is>
      </c>
      <c r="F17351" s="10" t="inlineStr">
        <is>
          <t>Jumlah Harga (Rp)</t>
        </is>
      </c>
    </row>
    <row r="17352">
      <c r="A17352" s="3" t="inlineStr">
        <is>
          <t>1</t>
        </is>
      </c>
      <c r="B17352" s="3" t="inlineStr">
        <is>
          <t>Pekerja</t>
        </is>
      </c>
      <c r="C17352" s="3" t="inlineStr">
        <is>
          <t>OJ</t>
        </is>
      </c>
      <c r="D17352" s="15" t="n">
        <v>0.2202</v>
      </c>
      <c r="E17352" s="4" t="n">
        <v>100000</v>
      </c>
      <c r="F17352" s="4" t="n">
        <v>22020</v>
      </c>
    </row>
    <row r="17353">
      <c r="A17353" s="3" t="inlineStr">
        <is>
          <t>2</t>
        </is>
      </c>
      <c r="B17353" s="3" t="inlineStr">
        <is>
          <t>Tukang Batu</t>
        </is>
      </c>
      <c r="C17353" s="3" t="inlineStr">
        <is>
          <t>OJ</t>
        </is>
      </c>
      <c r="D17353" s="15" t="n">
        <v>0.2202</v>
      </c>
      <c r="E17353" s="4" t="n">
        <v>145000</v>
      </c>
      <c r="F17353" s="4" t="n">
        <v>31929</v>
      </c>
    </row>
    <row r="17354">
      <c r="A17354" s="3" t="inlineStr">
        <is>
          <t>3</t>
        </is>
      </c>
      <c r="B17354" s="3" t="inlineStr">
        <is>
          <t>Mandor</t>
        </is>
      </c>
      <c r="C17354" s="3" t="inlineStr">
        <is>
          <t>OJ</t>
        </is>
      </c>
      <c r="D17354" s="15" t="n">
        <v>0.011</v>
      </c>
      <c r="E17354" s="4" t="n">
        <v>200000</v>
      </c>
      <c r="F17354" s="4" t="n">
        <v>2200</v>
      </c>
    </row>
    <row r="17355">
      <c r="A17355" s="3" t="inlineStr">
        <is>
          <t>1</t>
        </is>
      </c>
      <c r="B17355" s="3" t="inlineStr">
        <is>
          <t>"Lantai Kerja fc 7 5 Mpa"</t>
        </is>
      </c>
      <c r="C17355" s="3" t="inlineStr">
        <is>
          <t>m3</t>
        </is>
      </c>
      <c r="D17355" s="15" t="n">
        <v>0.055</v>
      </c>
      <c r="E17355" s="4" t="n">
        <v>928000</v>
      </c>
      <c r="F17355" s="4" t="n">
        <v>51040</v>
      </c>
    </row>
    <row r="17356">
      <c r="A17356" s="3" t="inlineStr">
        <is>
          <t>2</t>
        </is>
      </c>
      <c r="B17356" s="3" t="inlineStr">
        <is>
          <t>Urukan Pasir Uruk</t>
        </is>
      </c>
      <c r="C17356" s="3" t="inlineStr">
        <is>
          <t>m3</t>
        </is>
      </c>
      <c r="D17356" s="15" t="n">
        <v>0.11</v>
      </c>
      <c r="E17356" s="4" t="n">
        <v>488180</v>
      </c>
      <c r="F17356" s="4" t="n">
        <v>53699.8</v>
      </c>
    </row>
    <row r="17357">
      <c r="A17357" s="3" t="inlineStr">
        <is>
          <t>3</t>
        </is>
      </c>
      <c r="B17357" s="3" t="inlineStr">
        <is>
          <t>U-Ditch 80x60x120 cm</t>
        </is>
      </c>
      <c r="C17357" s="3" t="inlineStr">
        <is>
          <t>buah</t>
        </is>
      </c>
      <c r="D17357" s="15" t="n">
        <v>0.8333</v>
      </c>
      <c r="E17357" s="4" t="n">
        <v>490000</v>
      </c>
      <c r="F17357" s="4" t="n">
        <v>408317</v>
      </c>
    </row>
    <row r="17358">
      <c r="A17358" s="3" t="inlineStr">
        <is>
          <t>1</t>
        </is>
      </c>
      <c r="B17358" s="3" t="inlineStr">
        <is>
          <t>Sewa mobil crane</t>
        </is>
      </c>
      <c r="C17358" s="3" t="inlineStr">
        <is>
          <t>jam</t>
        </is>
      </c>
      <c r="D17358" s="15" t="n">
        <v>0.2202</v>
      </c>
      <c r="E17358" s="4" t="n">
        <v>1450000</v>
      </c>
      <c r="F17358" s="4" t="n">
        <v>319290</v>
      </c>
    </row>
    <row r="17359">
      <c r="D17359" s="2" t="inlineStr">
        <is>
          <t>SUBTOTAL UPAH</t>
        </is>
      </c>
      <c r="F17359" s="16" t="n">
        <v>56149</v>
      </c>
    </row>
    <row r="17360">
      <c r="D17360" s="2" t="inlineStr">
        <is>
          <t>SUBTOTAL BAHAN</t>
        </is>
      </c>
      <c r="F17360" s="16" t="n">
        <v>513056.8</v>
      </c>
    </row>
    <row r="17361">
      <c r="D17361" s="2" t="inlineStr">
        <is>
          <t>SUBTOTAL ALAT</t>
        </is>
      </c>
      <c r="F17361" s="16" t="n">
        <v>319290</v>
      </c>
    </row>
    <row r="17362">
      <c r="E17362" s="2" t="inlineStr">
        <is>
          <t>TOTAL HARGA SATUAN (Inc. Overhead)</t>
        </is>
      </c>
      <c r="F17362" s="17" t="n">
        <v>977345</v>
      </c>
    </row>
    <row r="17364">
      <c r="A17364" s="14" t="inlineStr">
        <is>
          <t>KODE: 8.1.2.13 - 1 m Saluran U-Ditch 80x80x120 cm dengan lantai kerja fc 7,5 Mpa</t>
        </is>
      </c>
    </row>
    <row r="17365">
      <c r="A17365" s="10" t="inlineStr">
        <is>
          <t>No</t>
        </is>
      </c>
      <c r="B17365" s="10" t="inlineStr">
        <is>
          <t>Uraian Komponen</t>
        </is>
      </c>
      <c r="C17365" s="10" t="inlineStr">
        <is>
          <t>Satuan</t>
        </is>
      </c>
      <c r="D17365" s="10" t="inlineStr">
        <is>
          <t>Koef</t>
        </is>
      </c>
      <c r="E17365" s="10" t="inlineStr">
        <is>
          <t>Harga Satuan (Rp)</t>
        </is>
      </c>
      <c r="F17365" s="10" t="inlineStr">
        <is>
          <t>Jumlah Harga (Rp)</t>
        </is>
      </c>
    </row>
    <row r="17366">
      <c r="A17366" s="3" t="inlineStr">
        <is>
          <t>1</t>
        </is>
      </c>
      <c r="B17366" s="3" t="inlineStr">
        <is>
          <t>Pekerja</t>
        </is>
      </c>
      <c r="C17366" s="3" t="inlineStr">
        <is>
          <t>OJ</t>
        </is>
      </c>
      <c r="D17366" s="15" t="n">
        <v>0.9045</v>
      </c>
      <c r="E17366" s="4" t="n">
        <v>100000</v>
      </c>
      <c r="F17366" s="4" t="n">
        <v>90450</v>
      </c>
    </row>
    <row r="17367">
      <c r="A17367" s="3" t="inlineStr">
        <is>
          <t>2</t>
        </is>
      </c>
      <c r="B17367" s="3" t="inlineStr">
        <is>
          <t>Tukang Batu</t>
        </is>
      </c>
      <c r="C17367" s="3" t="inlineStr">
        <is>
          <t>OJ</t>
        </is>
      </c>
      <c r="D17367" s="15" t="n">
        <v>0.2261</v>
      </c>
      <c r="E17367" s="4" t="n">
        <v>145000</v>
      </c>
      <c r="F17367" s="4" t="n">
        <v>32784.5</v>
      </c>
    </row>
    <row r="17368">
      <c r="A17368" s="3" t="inlineStr">
        <is>
          <t>3</t>
        </is>
      </c>
      <c r="B17368" s="3" t="inlineStr">
        <is>
          <t>Mandor</t>
        </is>
      </c>
      <c r="C17368" s="3" t="inlineStr">
        <is>
          <t>OJ</t>
        </is>
      </c>
      <c r="D17368" s="15" t="n">
        <v>0.0452</v>
      </c>
      <c r="E17368" s="4" t="n">
        <v>200000</v>
      </c>
      <c r="F17368" s="4" t="n">
        <v>9040</v>
      </c>
    </row>
    <row r="17369">
      <c r="A17369" s="3" t="inlineStr">
        <is>
          <t>1</t>
        </is>
      </c>
      <c r="B17369" s="3" t="inlineStr">
        <is>
          <t>"Lantai Kerja fc 7 5 Mpa"</t>
        </is>
      </c>
      <c r="C17369" s="3" t="inlineStr">
        <is>
          <t>m3</t>
        </is>
      </c>
      <c r="D17369" s="15" t="n">
        <v>0.0545</v>
      </c>
      <c r="E17369" s="4" t="n">
        <v>928000</v>
      </c>
      <c r="F17369" s="4" t="n">
        <v>50576</v>
      </c>
    </row>
    <row r="17370">
      <c r="A17370" s="3" t="inlineStr">
        <is>
          <t>2</t>
        </is>
      </c>
      <c r="B17370" s="3" t="inlineStr">
        <is>
          <t>Urukan Pasir Uruk</t>
        </is>
      </c>
      <c r="C17370" s="3" t="inlineStr">
        <is>
          <t>m3</t>
        </is>
      </c>
      <c r="D17370" s="15" t="n">
        <v>0.109</v>
      </c>
      <c r="E17370" s="4" t="n">
        <v>488180</v>
      </c>
      <c r="F17370" s="4" t="n">
        <v>53211.62</v>
      </c>
    </row>
    <row r="17371">
      <c r="A17371" s="3" t="inlineStr">
        <is>
          <t>3</t>
        </is>
      </c>
      <c r="B17371" s="3" t="inlineStr">
        <is>
          <t>U-Ditch 80x80x120 cm</t>
        </is>
      </c>
      <c r="C17371" s="3" t="inlineStr">
        <is>
          <t>buah</t>
        </is>
      </c>
      <c r="D17371" s="15" t="n">
        <v>0.8333</v>
      </c>
      <c r="E17371" s="4" t="n">
        <v>520000</v>
      </c>
      <c r="F17371" s="4" t="n">
        <v>433316</v>
      </c>
    </row>
    <row r="17372">
      <c r="A17372" s="3" t="inlineStr">
        <is>
          <t>1</t>
        </is>
      </c>
      <c r="B17372" s="3" t="inlineStr">
        <is>
          <t>Sewa mobil crane</t>
        </is>
      </c>
      <c r="C17372" s="3" t="inlineStr">
        <is>
          <t>jam</t>
        </is>
      </c>
      <c r="D17372" s="15" t="n">
        <v>0.2261</v>
      </c>
      <c r="E17372" s="4" t="n">
        <v>1450000</v>
      </c>
      <c r="F17372" s="4" t="n">
        <v>327845</v>
      </c>
    </row>
    <row r="17373">
      <c r="D17373" s="2" t="inlineStr">
        <is>
          <t>SUBTOTAL UPAH</t>
        </is>
      </c>
      <c r="F17373" s="16" t="n">
        <v>132274.5</v>
      </c>
    </row>
    <row r="17374">
      <c r="D17374" s="2" t="inlineStr">
        <is>
          <t>SUBTOTAL BAHAN</t>
        </is>
      </c>
      <c r="F17374" s="16" t="n">
        <v>537103.62</v>
      </c>
    </row>
    <row r="17375">
      <c r="D17375" s="2" t="inlineStr">
        <is>
          <t>SUBTOTAL ALAT</t>
        </is>
      </c>
      <c r="F17375" s="16" t="n">
        <v>327845</v>
      </c>
    </row>
    <row r="17376">
      <c r="E17376" s="2" t="inlineStr">
        <is>
          <t>TOTAL HARGA SATUAN (Inc. Overhead)</t>
        </is>
      </c>
      <c r="F17376" s="17" t="n">
        <v>1096945</v>
      </c>
    </row>
    <row r="17378">
      <c r="A17378" s="14" t="inlineStr">
        <is>
          <t>KODE: 8.1.2.14 - 1 m Saluran U-Ditch 80x100x120 cm dengan lantai kerja fc 7,5 Mpa</t>
        </is>
      </c>
    </row>
    <row r="17379">
      <c r="A17379" s="10" t="inlineStr">
        <is>
          <t>No</t>
        </is>
      </c>
      <c r="B17379" s="10" t="inlineStr">
        <is>
          <t>Uraian Komponen</t>
        </is>
      </c>
      <c r="C17379" s="10" t="inlineStr">
        <is>
          <t>Satuan</t>
        </is>
      </c>
      <c r="D17379" s="10" t="inlineStr">
        <is>
          <t>Koef</t>
        </is>
      </c>
      <c r="E17379" s="10" t="inlineStr">
        <is>
          <t>Harga Satuan (Rp)</t>
        </is>
      </c>
      <c r="F17379" s="10" t="inlineStr">
        <is>
          <t>Jumlah Harga (Rp)</t>
        </is>
      </c>
    </row>
    <row r="17380">
      <c r="A17380" s="3" t="inlineStr">
        <is>
          <t>1</t>
        </is>
      </c>
      <c r="B17380" s="3" t="inlineStr">
        <is>
          <t>Pekerja</t>
        </is>
      </c>
      <c r="C17380" s="3" t="inlineStr">
        <is>
          <t>OJ</t>
        </is>
      </c>
      <c r="D17380" s="15" t="n">
        <v>0.9525</v>
      </c>
      <c r="E17380" s="4" t="n">
        <v>100000</v>
      </c>
      <c r="F17380" s="4" t="n">
        <v>95250</v>
      </c>
    </row>
    <row r="17381">
      <c r="A17381" s="3" t="inlineStr">
        <is>
          <t>2</t>
        </is>
      </c>
      <c r="B17381" s="3" t="inlineStr">
        <is>
          <t>Tukang Batu</t>
        </is>
      </c>
      <c r="C17381" s="3" t="inlineStr">
        <is>
          <t>OJ</t>
        </is>
      </c>
      <c r="D17381" s="15" t="n">
        <v>0.2381</v>
      </c>
      <c r="E17381" s="4" t="n">
        <v>145000</v>
      </c>
      <c r="F17381" s="4" t="n">
        <v>34524.5</v>
      </c>
    </row>
    <row r="17382">
      <c r="A17382" s="3" t="inlineStr">
        <is>
          <t>3</t>
        </is>
      </c>
      <c r="B17382" s="3" t="inlineStr">
        <is>
          <t>Mandor</t>
        </is>
      </c>
      <c r="C17382" s="3" t="inlineStr">
        <is>
          <t>OJ</t>
        </is>
      </c>
      <c r="D17382" s="15" t="n">
        <v>0.0476</v>
      </c>
      <c r="E17382" s="4" t="n">
        <v>200000</v>
      </c>
      <c r="F17382" s="4" t="n">
        <v>9520</v>
      </c>
    </row>
    <row r="17383">
      <c r="A17383" s="3" t="inlineStr">
        <is>
          <t>1</t>
        </is>
      </c>
      <c r="B17383" s="3" t="inlineStr">
        <is>
          <t>"Lantai Kerja fc 7 5 Mpa"</t>
        </is>
      </c>
      <c r="C17383" s="3" t="inlineStr">
        <is>
          <t>m3</t>
        </is>
      </c>
      <c r="D17383" s="15" t="n">
        <v>0.0545</v>
      </c>
      <c r="E17383" s="4" t="n">
        <v>928000</v>
      </c>
      <c r="F17383" s="4" t="n">
        <v>50576</v>
      </c>
    </row>
    <row r="17384">
      <c r="A17384" s="3" t="inlineStr">
        <is>
          <t>2</t>
        </is>
      </c>
      <c r="B17384" s="3" t="inlineStr">
        <is>
          <t>Urukan Pasir Uruk</t>
        </is>
      </c>
      <c r="C17384" s="3" t="inlineStr">
        <is>
          <t>m3</t>
        </is>
      </c>
      <c r="D17384" s="15" t="n">
        <v>0.109</v>
      </c>
      <c r="E17384" s="4" t="n">
        <v>488180</v>
      </c>
      <c r="F17384" s="4" t="n">
        <v>53211.62</v>
      </c>
    </row>
    <row r="17385">
      <c r="A17385" s="3" t="inlineStr">
        <is>
          <t>3</t>
        </is>
      </c>
      <c r="B17385" s="3" t="inlineStr">
        <is>
          <t>U-Ditch 80x100x120 cm</t>
        </is>
      </c>
      <c r="C17385" s="3" t="inlineStr">
        <is>
          <t>buah</t>
        </is>
      </c>
      <c r="D17385" s="15" t="n">
        <v>0.8333</v>
      </c>
      <c r="E17385" s="4" t="n">
        <v>540000</v>
      </c>
      <c r="F17385" s="4" t="n">
        <v>449982</v>
      </c>
    </row>
    <row r="17386">
      <c r="A17386" s="3" t="inlineStr">
        <is>
          <t>1</t>
        </is>
      </c>
      <c r="B17386" s="3" t="inlineStr">
        <is>
          <t>Sewa mobil crane</t>
        </is>
      </c>
      <c r="C17386" s="3" t="inlineStr">
        <is>
          <t>jam</t>
        </is>
      </c>
      <c r="D17386" s="15" t="n">
        <v>0.2381</v>
      </c>
      <c r="E17386" s="4" t="n">
        <v>1450000</v>
      </c>
      <c r="F17386" s="4" t="n">
        <v>345245</v>
      </c>
    </row>
    <row r="17387">
      <c r="D17387" s="2" t="inlineStr">
        <is>
          <t>SUBTOTAL UPAH</t>
        </is>
      </c>
      <c r="F17387" s="16" t="n">
        <v>139294.5</v>
      </c>
    </row>
    <row r="17388">
      <c r="D17388" s="2" t="inlineStr">
        <is>
          <t>SUBTOTAL BAHAN</t>
        </is>
      </c>
      <c r="F17388" s="16" t="n">
        <v>553769.62</v>
      </c>
    </row>
    <row r="17389">
      <c r="D17389" s="2" t="inlineStr">
        <is>
          <t>SUBTOTAL ALAT</t>
        </is>
      </c>
      <c r="F17389" s="16" t="n">
        <v>345245</v>
      </c>
    </row>
    <row r="17390">
      <c r="E17390" s="2" t="inlineStr">
        <is>
          <t>TOTAL HARGA SATUAN (Inc. Overhead)</t>
        </is>
      </c>
      <c r="F17390" s="17" t="n">
        <v>1142140</v>
      </c>
    </row>
    <row r="17392">
      <c r="A17392" s="14" t="inlineStr">
        <is>
          <t>KODE: 8.1.2.15 - 1 m Saluran U-Ditch 100x100x120 cm dengan lantai kerja fc 7,5 Mpa</t>
        </is>
      </c>
    </row>
    <row r="17393">
      <c r="A17393" s="10" t="inlineStr">
        <is>
          <t>No</t>
        </is>
      </c>
      <c r="B17393" s="10" t="inlineStr">
        <is>
          <t>Uraian Komponen</t>
        </is>
      </c>
      <c r="C17393" s="10" t="inlineStr">
        <is>
          <t>Satuan</t>
        </is>
      </c>
      <c r="D17393" s="10" t="inlineStr">
        <is>
          <t>Koef</t>
        </is>
      </c>
      <c r="E17393" s="10" t="inlineStr">
        <is>
          <t>Harga Satuan (Rp)</t>
        </is>
      </c>
      <c r="F17393" s="10" t="inlineStr">
        <is>
          <t>Jumlah Harga (Rp)</t>
        </is>
      </c>
    </row>
    <row r="17394">
      <c r="A17394" s="3" t="inlineStr">
        <is>
          <t>1</t>
        </is>
      </c>
      <c r="B17394" s="3" t="inlineStr">
        <is>
          <t>Pekerja</t>
        </is>
      </c>
      <c r="C17394" s="3" t="inlineStr">
        <is>
          <t>OJ</t>
        </is>
      </c>
      <c r="D17394" s="15" t="n">
        <v>0.9651</v>
      </c>
      <c r="E17394" s="4" t="n">
        <v>100000</v>
      </c>
      <c r="F17394" s="4" t="n">
        <v>96510</v>
      </c>
    </row>
    <row r="17395">
      <c r="A17395" s="3" t="inlineStr">
        <is>
          <t>2</t>
        </is>
      </c>
      <c r="B17395" s="3" t="inlineStr">
        <is>
          <t>Tukang Batu</t>
        </is>
      </c>
      <c r="C17395" s="3" t="inlineStr">
        <is>
          <t>OJ</t>
        </is>
      </c>
      <c r="D17395" s="15" t="n">
        <v>0.2413</v>
      </c>
      <c r="E17395" s="4" t="n">
        <v>145000</v>
      </c>
      <c r="F17395" s="4" t="n">
        <v>34988.5</v>
      </c>
    </row>
    <row r="17396">
      <c r="A17396" s="3" t="inlineStr">
        <is>
          <t>3</t>
        </is>
      </c>
      <c r="B17396" s="3" t="inlineStr">
        <is>
          <t>Mandor</t>
        </is>
      </c>
      <c r="C17396" s="3" t="inlineStr">
        <is>
          <t>OJ</t>
        </is>
      </c>
      <c r="D17396" s="15" t="n">
        <v>0.0483</v>
      </c>
      <c r="E17396" s="4" t="n">
        <v>200000</v>
      </c>
      <c r="F17396" s="4" t="n">
        <v>9660</v>
      </c>
    </row>
    <row r="17397">
      <c r="A17397" s="3" t="inlineStr">
        <is>
          <t>1</t>
        </is>
      </c>
      <c r="B17397" s="3" t="inlineStr">
        <is>
          <t>"Lantai Kerja fc 7 5 Mpa"</t>
        </is>
      </c>
      <c r="C17397" s="3" t="inlineStr">
        <is>
          <t>m3</t>
        </is>
      </c>
      <c r="D17397" s="15" t="n">
        <v>0.0665</v>
      </c>
      <c r="E17397" s="4" t="n">
        <v>928000</v>
      </c>
      <c r="F17397" s="4" t="n">
        <v>61712</v>
      </c>
    </row>
    <row r="17398">
      <c r="A17398" s="3" t="inlineStr">
        <is>
          <t>2</t>
        </is>
      </c>
      <c r="B17398" s="3" t="inlineStr">
        <is>
          <t>Urukan Pasir Uruk</t>
        </is>
      </c>
      <c r="C17398" s="3" t="inlineStr">
        <is>
          <t>m3</t>
        </is>
      </c>
      <c r="D17398" s="15" t="n">
        <v>0.133</v>
      </c>
      <c r="E17398" s="4" t="n">
        <v>488180</v>
      </c>
      <c r="F17398" s="4" t="n">
        <v>64927.94</v>
      </c>
    </row>
    <row r="17399">
      <c r="A17399" s="3" t="inlineStr">
        <is>
          <t>3</t>
        </is>
      </c>
      <c r="B17399" s="3" t="inlineStr">
        <is>
          <t>U-Ditch 100x100x120 cm</t>
        </is>
      </c>
      <c r="C17399" s="3" t="inlineStr">
        <is>
          <t>buah</t>
        </is>
      </c>
      <c r="D17399" s="15" t="n">
        <v>0.8333</v>
      </c>
      <c r="E17399" s="4" t="n">
        <v>570000</v>
      </c>
      <c r="F17399" s="4" t="n">
        <v>474981</v>
      </c>
    </row>
    <row r="17400">
      <c r="A17400" s="3" t="inlineStr">
        <is>
          <t>1</t>
        </is>
      </c>
      <c r="B17400" s="3" t="inlineStr">
        <is>
          <t>Sewa mobil crane</t>
        </is>
      </c>
      <c r="C17400" s="3" t="inlineStr">
        <is>
          <t>jam</t>
        </is>
      </c>
      <c r="D17400" s="15" t="n">
        <v>0.2413</v>
      </c>
      <c r="E17400" s="4" t="n">
        <v>1450000</v>
      </c>
      <c r="F17400" s="4" t="n">
        <v>349885</v>
      </c>
    </row>
    <row r="17401">
      <c r="D17401" s="2" t="inlineStr">
        <is>
          <t>SUBTOTAL UPAH</t>
        </is>
      </c>
      <c r="F17401" s="16" t="n">
        <v>141158.5</v>
      </c>
    </row>
    <row r="17402">
      <c r="D17402" s="2" t="inlineStr">
        <is>
          <t>SUBTOTAL BAHAN</t>
        </is>
      </c>
      <c r="F17402" s="16" t="n">
        <v>601620.9399999999</v>
      </c>
    </row>
    <row r="17403">
      <c r="D17403" s="2" t="inlineStr">
        <is>
          <t>SUBTOTAL ALAT</t>
        </is>
      </c>
      <c r="F17403" s="16" t="n">
        <v>349885</v>
      </c>
    </row>
    <row r="17404">
      <c r="E17404" s="2" t="inlineStr">
        <is>
          <t>TOTAL HARGA SATUAN (Inc. Overhead)</t>
        </is>
      </c>
      <c r="F17404" s="17" t="n">
        <v>1201930</v>
      </c>
    </row>
    <row r="17406">
      <c r="A17406" s="14" t="inlineStr">
        <is>
          <t>KODE: 8.1.2.16 - 1 m Saluran U-Ditch 100x120x120 cm dengan lantai kerja fc 7,5 Mpa</t>
        </is>
      </c>
    </row>
    <row r="17407">
      <c r="A17407" s="10" t="inlineStr">
        <is>
          <t>No</t>
        </is>
      </c>
      <c r="B17407" s="10" t="inlineStr">
        <is>
          <t>Uraian Komponen</t>
        </is>
      </c>
      <c r="C17407" s="10" t="inlineStr">
        <is>
          <t>Satuan</t>
        </is>
      </c>
      <c r="D17407" s="10" t="inlineStr">
        <is>
          <t>Koef</t>
        </is>
      </c>
      <c r="E17407" s="10" t="inlineStr">
        <is>
          <t>Harga Satuan (Rp)</t>
        </is>
      </c>
      <c r="F17407" s="10" t="inlineStr">
        <is>
          <t>Jumlah Harga (Rp)</t>
        </is>
      </c>
    </row>
    <row r="17408">
      <c r="A17408" s="3" t="inlineStr">
        <is>
          <t>1</t>
        </is>
      </c>
      <c r="B17408" s="3" t="inlineStr">
        <is>
          <t>Pekerja</t>
        </is>
      </c>
      <c r="C17408" s="3" t="inlineStr">
        <is>
          <t>OJ</t>
        </is>
      </c>
      <c r="D17408" s="15" t="n">
        <v>0.9841</v>
      </c>
      <c r="E17408" s="4" t="n">
        <v>100000</v>
      </c>
      <c r="F17408" s="4" t="n">
        <v>98410</v>
      </c>
    </row>
    <row r="17409">
      <c r="A17409" s="3" t="inlineStr">
        <is>
          <t>2</t>
        </is>
      </c>
      <c r="B17409" s="3" t="inlineStr">
        <is>
          <t>Tukang Batu</t>
        </is>
      </c>
      <c r="C17409" s="3" t="inlineStr">
        <is>
          <t>OJ</t>
        </is>
      </c>
      <c r="D17409" s="15" t="n">
        <v>0.246</v>
      </c>
      <c r="E17409" s="4" t="n">
        <v>145000</v>
      </c>
      <c r="F17409" s="4" t="n">
        <v>35670</v>
      </c>
    </row>
    <row r="17410">
      <c r="A17410" s="3" t="inlineStr">
        <is>
          <t>3</t>
        </is>
      </c>
      <c r="B17410" s="3" t="inlineStr">
        <is>
          <t>Mandor</t>
        </is>
      </c>
      <c r="C17410" s="3" t="inlineStr">
        <is>
          <t>OJ</t>
        </is>
      </c>
      <c r="D17410" s="15" t="n">
        <v>0.0492</v>
      </c>
      <c r="E17410" s="4" t="n">
        <v>200000</v>
      </c>
      <c r="F17410" s="4" t="n">
        <v>9840</v>
      </c>
    </row>
    <row r="17411">
      <c r="A17411" s="3" t="inlineStr">
        <is>
          <t>1</t>
        </is>
      </c>
      <c r="B17411" s="3" t="inlineStr">
        <is>
          <t>"Lantai Kerja fc 7 5 Mpa"</t>
        </is>
      </c>
      <c r="C17411" s="3" t="inlineStr">
        <is>
          <t>m3</t>
        </is>
      </c>
      <c r="D17411" s="15" t="n">
        <v>0.0665</v>
      </c>
      <c r="E17411" s="4" t="n">
        <v>928000</v>
      </c>
      <c r="F17411" s="4" t="n">
        <v>61712</v>
      </c>
    </row>
    <row r="17412">
      <c r="A17412" s="3" t="inlineStr">
        <is>
          <t>2</t>
        </is>
      </c>
      <c r="B17412" s="3" t="inlineStr">
        <is>
          <t>Urukan Pasir Uruk</t>
        </is>
      </c>
      <c r="C17412" s="3" t="inlineStr">
        <is>
          <t>m3</t>
        </is>
      </c>
      <c r="D17412" s="15" t="n">
        <v>0.133</v>
      </c>
      <c r="E17412" s="4" t="n">
        <v>488180</v>
      </c>
      <c r="F17412" s="4" t="n">
        <v>64927.94</v>
      </c>
    </row>
    <row r="17413">
      <c r="A17413" s="3" t="inlineStr">
        <is>
          <t>3</t>
        </is>
      </c>
      <c r="B17413" s="3" t="inlineStr">
        <is>
          <t>U-Ditch 100x120x120 cm</t>
        </is>
      </c>
      <c r="C17413" s="3" t="inlineStr">
        <is>
          <t>buah</t>
        </is>
      </c>
      <c r="D17413" s="15" t="n">
        <v>0.8333</v>
      </c>
      <c r="E17413" s="4" t="n">
        <v>590000</v>
      </c>
      <c r="F17413" s="4" t="n">
        <v>491647</v>
      </c>
    </row>
    <row r="17414">
      <c r="A17414" s="3" t="inlineStr">
        <is>
          <t>1</t>
        </is>
      </c>
      <c r="B17414" s="3" t="inlineStr">
        <is>
          <t>Sewa mobil crane</t>
        </is>
      </c>
      <c r="C17414" s="3" t="inlineStr">
        <is>
          <t>jam</t>
        </is>
      </c>
      <c r="D17414" s="15" t="n">
        <v>0.246</v>
      </c>
      <c r="E17414" s="4" t="n">
        <v>1450000</v>
      </c>
      <c r="F17414" s="4" t="n">
        <v>356700</v>
      </c>
    </row>
    <row r="17415">
      <c r="D17415" s="2" t="inlineStr">
        <is>
          <t>SUBTOTAL UPAH</t>
        </is>
      </c>
      <c r="F17415" s="16" t="n">
        <v>143920</v>
      </c>
    </row>
    <row r="17416">
      <c r="D17416" s="2" t="inlineStr">
        <is>
          <t>SUBTOTAL BAHAN</t>
        </is>
      </c>
      <c r="F17416" s="16" t="n">
        <v>618286.9399999999</v>
      </c>
    </row>
    <row r="17417">
      <c r="D17417" s="2" t="inlineStr">
        <is>
          <t>SUBTOTAL ALAT</t>
        </is>
      </c>
      <c r="F17417" s="16" t="n">
        <v>356700</v>
      </c>
    </row>
    <row r="17418">
      <c r="E17418" s="2" t="inlineStr">
        <is>
          <t>TOTAL HARGA SATUAN (Inc. Overhead)</t>
        </is>
      </c>
      <c r="F17418" s="17" t="n">
        <v>1230797</v>
      </c>
    </row>
    <row r="17420">
      <c r="A17420" s="14" t="inlineStr">
        <is>
          <t>KODE: 8.1.2.17 - 1 m Saluran U-Ditch 120x120x120 cm dengan lantai kerja fc 7,5 Mpa</t>
        </is>
      </c>
    </row>
    <row r="17421">
      <c r="A17421" s="10" t="inlineStr">
        <is>
          <t>No</t>
        </is>
      </c>
      <c r="B17421" s="10" t="inlineStr">
        <is>
          <t>Uraian Komponen</t>
        </is>
      </c>
      <c r="C17421" s="10" t="inlineStr">
        <is>
          <t>Satuan</t>
        </is>
      </c>
      <c r="D17421" s="10" t="inlineStr">
        <is>
          <t>Koef</t>
        </is>
      </c>
      <c r="E17421" s="10" t="inlineStr">
        <is>
          <t>Harga Satuan (Rp)</t>
        </is>
      </c>
      <c r="F17421" s="10" t="inlineStr">
        <is>
          <t>Jumlah Harga (Rp)</t>
        </is>
      </c>
    </row>
    <row r="17422">
      <c r="A17422" s="3" t="inlineStr">
        <is>
          <t>1</t>
        </is>
      </c>
      <c r="B17422" s="3" t="inlineStr">
        <is>
          <t>Pekerja</t>
        </is>
      </c>
      <c r="C17422" s="3" t="inlineStr">
        <is>
          <t>OJ</t>
        </is>
      </c>
      <c r="D17422" s="15" t="n">
        <v>1.1034</v>
      </c>
      <c r="E17422" s="4" t="n">
        <v>100000</v>
      </c>
      <c r="F17422" s="4" t="n">
        <v>110340</v>
      </c>
    </row>
    <row r="17423">
      <c r="A17423" s="3" t="inlineStr">
        <is>
          <t>2</t>
        </is>
      </c>
      <c r="B17423" s="3" t="inlineStr">
        <is>
          <t>Tukang Batu</t>
        </is>
      </c>
      <c r="C17423" s="3" t="inlineStr">
        <is>
          <t>OJ</t>
        </is>
      </c>
      <c r="D17423" s="15" t="n">
        <v>0.2758</v>
      </c>
      <c r="E17423" s="4" t="n">
        <v>145000</v>
      </c>
      <c r="F17423" s="4" t="n">
        <v>39991</v>
      </c>
    </row>
    <row r="17424">
      <c r="A17424" s="3" t="inlineStr">
        <is>
          <t>3</t>
        </is>
      </c>
      <c r="B17424" s="3" t="inlineStr">
        <is>
          <t>Mandor</t>
        </is>
      </c>
      <c r="C17424" s="3" t="inlineStr">
        <is>
          <t>OJ</t>
        </is>
      </c>
      <c r="D17424" s="15" t="n">
        <v>0.0552</v>
      </c>
      <c r="E17424" s="4" t="n">
        <v>200000</v>
      </c>
      <c r="F17424" s="4" t="n">
        <v>11040</v>
      </c>
    </row>
    <row r="17425">
      <c r="A17425" s="3" t="inlineStr">
        <is>
          <t>1</t>
        </is>
      </c>
      <c r="B17425" s="3" t="inlineStr">
        <is>
          <t>"Lantai Kerja fc 7 5 Mpa"</t>
        </is>
      </c>
      <c r="C17425" s="3" t="inlineStr">
        <is>
          <t>m3</t>
        </is>
      </c>
      <c r="D17425" s="15" t="n">
        <v>0.077</v>
      </c>
      <c r="E17425" s="4" t="n">
        <v>928000</v>
      </c>
      <c r="F17425" s="4" t="n">
        <v>71456</v>
      </c>
    </row>
    <row r="17426">
      <c r="A17426" s="3" t="inlineStr">
        <is>
          <t>2</t>
        </is>
      </c>
      <c r="B17426" s="3" t="inlineStr">
        <is>
          <t>Urukan Pasir Uruk</t>
        </is>
      </c>
      <c r="C17426" s="3" t="inlineStr">
        <is>
          <t>m3</t>
        </is>
      </c>
      <c r="D17426" s="15" t="n">
        <v>0.154</v>
      </c>
      <c r="E17426" s="4" t="n">
        <v>488180</v>
      </c>
      <c r="F17426" s="4" t="n">
        <v>75179.72</v>
      </c>
    </row>
    <row r="17427">
      <c r="A17427" s="3" t="inlineStr">
        <is>
          <t>3</t>
        </is>
      </c>
      <c r="B17427" s="3" t="inlineStr">
        <is>
          <t>U-Ditch 120x120x120 cm</t>
        </is>
      </c>
      <c r="C17427" s="3" t="inlineStr">
        <is>
          <t>buah</t>
        </is>
      </c>
      <c r="D17427" s="15" t="n">
        <v>0.8333</v>
      </c>
      <c r="E17427" s="4" t="n">
        <v>620000</v>
      </c>
      <c r="F17427" s="4" t="n">
        <v>516646</v>
      </c>
    </row>
    <row r="17428">
      <c r="A17428" s="3" t="inlineStr">
        <is>
          <t>1</t>
        </is>
      </c>
      <c r="B17428" s="3" t="inlineStr">
        <is>
          <t>Sewa mobil crane</t>
        </is>
      </c>
      <c r="C17428" s="3" t="inlineStr">
        <is>
          <t>jam</t>
        </is>
      </c>
      <c r="D17428" s="15" t="n">
        <v>0.2758</v>
      </c>
      <c r="E17428" s="4" t="n">
        <v>1450000</v>
      </c>
      <c r="F17428" s="4" t="n">
        <v>399910</v>
      </c>
    </row>
    <row r="17429">
      <c r="D17429" s="2" t="inlineStr">
        <is>
          <t>SUBTOTAL UPAH</t>
        </is>
      </c>
      <c r="F17429" s="16" t="n">
        <v>161371</v>
      </c>
    </row>
    <row r="17430">
      <c r="D17430" s="2" t="inlineStr">
        <is>
          <t>SUBTOTAL BAHAN</t>
        </is>
      </c>
      <c r="F17430" s="16" t="n">
        <v>663281.72</v>
      </c>
    </row>
    <row r="17431">
      <c r="D17431" s="2" t="inlineStr">
        <is>
          <t>SUBTOTAL ALAT</t>
        </is>
      </c>
      <c r="F17431" s="16" t="n">
        <v>399910</v>
      </c>
    </row>
    <row r="17432">
      <c r="E17432" s="2" t="inlineStr">
        <is>
          <t>TOTAL HARGA SATUAN (Inc. Overhead)</t>
        </is>
      </c>
      <c r="F17432" s="17" t="n">
        <v>1347018</v>
      </c>
    </row>
    <row r="17434">
      <c r="A17434" s="14" t="inlineStr">
        <is>
          <t>KODE: 8.1.2.18 - 1 m Saluran U-Ditch 120x140x120 cm dengan lantai kerja fc 7,5 Mpa</t>
        </is>
      </c>
    </row>
    <row r="17435">
      <c r="A17435" s="10" t="inlineStr">
        <is>
          <t>No</t>
        </is>
      </c>
      <c r="B17435" s="10" t="inlineStr">
        <is>
          <t>Uraian Komponen</t>
        </is>
      </c>
      <c r="C17435" s="10" t="inlineStr">
        <is>
          <t>Satuan</t>
        </is>
      </c>
      <c r="D17435" s="10" t="inlineStr">
        <is>
          <t>Koef</t>
        </is>
      </c>
      <c r="E17435" s="10" t="inlineStr">
        <is>
          <t>Harga Satuan (Rp)</t>
        </is>
      </c>
      <c r="F17435" s="10" t="inlineStr">
        <is>
          <t>Jumlah Harga (Rp)</t>
        </is>
      </c>
    </row>
    <row r="17436">
      <c r="A17436" s="3" t="inlineStr">
        <is>
          <t>1</t>
        </is>
      </c>
      <c r="B17436" s="3" t="inlineStr">
        <is>
          <t>Pekerja</t>
        </is>
      </c>
      <c r="C17436" s="3" t="inlineStr">
        <is>
          <t>OJ</t>
        </is>
      </c>
      <c r="D17436" s="15" t="n">
        <v>1.1259</v>
      </c>
      <c r="E17436" s="4" t="n">
        <v>100000</v>
      </c>
      <c r="F17436" s="4" t="n">
        <v>112590</v>
      </c>
    </row>
    <row r="17437">
      <c r="A17437" s="3" t="inlineStr">
        <is>
          <t>2</t>
        </is>
      </c>
      <c r="B17437" s="3" t="inlineStr">
        <is>
          <t>Tukang Batu</t>
        </is>
      </c>
      <c r="C17437" s="3" t="inlineStr">
        <is>
          <t>OJ</t>
        </is>
      </c>
      <c r="D17437" s="15" t="n">
        <v>0.2815</v>
      </c>
      <c r="E17437" s="4" t="n">
        <v>145000</v>
      </c>
      <c r="F17437" s="4" t="n">
        <v>40817.49999999999</v>
      </c>
    </row>
    <row r="17438">
      <c r="A17438" s="3" t="inlineStr">
        <is>
          <t>3</t>
        </is>
      </c>
      <c r="B17438" s="3" t="inlineStr">
        <is>
          <t>Mandor</t>
        </is>
      </c>
      <c r="C17438" s="3" t="inlineStr">
        <is>
          <t>OJ</t>
        </is>
      </c>
      <c r="D17438" s="15" t="n">
        <v>0.0563</v>
      </c>
      <c r="E17438" s="4" t="n">
        <v>200000</v>
      </c>
      <c r="F17438" s="4" t="n">
        <v>11260</v>
      </c>
    </row>
    <row r="17439">
      <c r="A17439" s="3" t="inlineStr">
        <is>
          <t>1</t>
        </is>
      </c>
      <c r="B17439" s="3" t="inlineStr">
        <is>
          <t>"Lantai Kerja fc 7 5 Mpa"</t>
        </is>
      </c>
      <c r="C17439" s="3" t="inlineStr">
        <is>
          <t>m3</t>
        </is>
      </c>
      <c r="D17439" s="15" t="n">
        <v>0.077</v>
      </c>
      <c r="E17439" s="4" t="n">
        <v>928000</v>
      </c>
      <c r="F17439" s="4" t="n">
        <v>71456</v>
      </c>
    </row>
    <row r="17440">
      <c r="A17440" s="3" t="inlineStr">
        <is>
          <t>2</t>
        </is>
      </c>
      <c r="B17440" s="3" t="inlineStr">
        <is>
          <t>Urukan Pasir Uruk</t>
        </is>
      </c>
      <c r="C17440" s="3" t="inlineStr">
        <is>
          <t>m3</t>
        </is>
      </c>
      <c r="D17440" s="15" t="n">
        <v>0.154</v>
      </c>
      <c r="E17440" s="4" t="n">
        <v>488180</v>
      </c>
      <c r="F17440" s="4" t="n">
        <v>75179.72</v>
      </c>
    </row>
    <row r="17441">
      <c r="A17441" s="3" t="inlineStr">
        <is>
          <t>3</t>
        </is>
      </c>
      <c r="B17441" s="3" t="inlineStr">
        <is>
          <t>U-Ditch 120x140x120 cm</t>
        </is>
      </c>
      <c r="C17441" s="3" t="inlineStr">
        <is>
          <t>buah</t>
        </is>
      </c>
      <c r="D17441" s="15" t="n">
        <v>0.8333</v>
      </c>
      <c r="E17441" s="4" t="n">
        <v>640000</v>
      </c>
      <c r="F17441" s="4" t="n">
        <v>533312</v>
      </c>
    </row>
    <row r="17442">
      <c r="A17442" s="3" t="inlineStr">
        <is>
          <t>1</t>
        </is>
      </c>
      <c r="B17442" s="3" t="inlineStr">
        <is>
          <t>Sewa mobil crane</t>
        </is>
      </c>
      <c r="C17442" s="3" t="inlineStr">
        <is>
          <t>jam</t>
        </is>
      </c>
      <c r="D17442" s="15" t="n">
        <v>0.2815</v>
      </c>
      <c r="E17442" s="4" t="n">
        <v>1450000</v>
      </c>
      <c r="F17442" s="4" t="n">
        <v>408174.9999999999</v>
      </c>
    </row>
    <row r="17443">
      <c r="D17443" s="2" t="inlineStr">
        <is>
          <t>SUBTOTAL UPAH</t>
        </is>
      </c>
      <c r="F17443" s="16" t="n">
        <v>164667.5</v>
      </c>
    </row>
    <row r="17444">
      <c r="D17444" s="2" t="inlineStr">
        <is>
          <t>SUBTOTAL BAHAN</t>
        </is>
      </c>
      <c r="F17444" s="16" t="n">
        <v>679947.72</v>
      </c>
    </row>
    <row r="17445">
      <c r="D17445" s="2" t="inlineStr">
        <is>
          <t>SUBTOTAL ALAT</t>
        </is>
      </c>
      <c r="F17445" s="16" t="n">
        <v>408174.9999999999</v>
      </c>
    </row>
    <row r="17446">
      <c r="E17446" s="2" t="inlineStr">
        <is>
          <t>TOTAL HARGA SATUAN (Inc. Overhead)</t>
        </is>
      </c>
      <c r="F17446" s="17" t="n">
        <v>1378069</v>
      </c>
    </row>
    <row r="17448">
      <c r="A17448" s="14" t="inlineStr">
        <is>
          <t>KODE: 8.1.2.19 - 1 m Saluran U-Ditch 140x140x120 cm dengan lantai kerja fc 7,5 Mpa</t>
        </is>
      </c>
    </row>
    <row r="17449">
      <c r="A17449" s="10" t="inlineStr">
        <is>
          <t>No</t>
        </is>
      </c>
      <c r="B17449" s="10" t="inlineStr">
        <is>
          <t>Uraian Komponen</t>
        </is>
      </c>
      <c r="C17449" s="10" t="inlineStr">
        <is>
          <t>Satuan</t>
        </is>
      </c>
      <c r="D17449" s="10" t="inlineStr">
        <is>
          <t>Koef</t>
        </is>
      </c>
      <c r="E17449" s="10" t="inlineStr">
        <is>
          <t>Harga Satuan (Rp)</t>
        </is>
      </c>
      <c r="F17449" s="10" t="inlineStr">
        <is>
          <t>Jumlah Harga (Rp)</t>
        </is>
      </c>
    </row>
    <row r="17450">
      <c r="A17450" s="3" t="inlineStr">
        <is>
          <t>1</t>
        </is>
      </c>
      <c r="B17450" s="3" t="inlineStr">
        <is>
          <t>Pekerja</t>
        </is>
      </c>
      <c r="C17450" s="3" t="inlineStr">
        <is>
          <t>OJ</t>
        </is>
      </c>
      <c r="D17450" s="15" t="n">
        <v>1.2795</v>
      </c>
      <c r="E17450" s="4" t="n">
        <v>100000</v>
      </c>
      <c r="F17450" s="4" t="n">
        <v>127950</v>
      </c>
    </row>
    <row r="17451">
      <c r="A17451" s="3" t="inlineStr">
        <is>
          <t>2</t>
        </is>
      </c>
      <c r="B17451" s="3" t="inlineStr">
        <is>
          <t>Tukang Batu</t>
        </is>
      </c>
      <c r="C17451" s="3" t="inlineStr">
        <is>
          <t>OJ</t>
        </is>
      </c>
      <c r="D17451" s="15" t="n">
        <v>0.3199</v>
      </c>
      <c r="E17451" s="4" t="n">
        <v>145000</v>
      </c>
      <c r="F17451" s="4" t="n">
        <v>46385.5</v>
      </c>
    </row>
    <row r="17452">
      <c r="A17452" s="3" t="inlineStr">
        <is>
          <t>3</t>
        </is>
      </c>
      <c r="B17452" s="3" t="inlineStr">
        <is>
          <t>Mandor</t>
        </is>
      </c>
      <c r="C17452" s="3" t="inlineStr">
        <is>
          <t>OJ</t>
        </is>
      </c>
      <c r="D17452" s="15" t="n">
        <v>0.064</v>
      </c>
      <c r="E17452" s="4" t="n">
        <v>200000</v>
      </c>
      <c r="F17452" s="4" t="n">
        <v>12800</v>
      </c>
    </row>
    <row r="17453">
      <c r="A17453" s="3" t="inlineStr">
        <is>
          <t>1</t>
        </is>
      </c>
      <c r="B17453" s="3" t="inlineStr">
        <is>
          <t>"Lantai Kerja fc 7 5 Mpa"</t>
        </is>
      </c>
      <c r="C17453" s="3" t="inlineStr">
        <is>
          <t>m3</t>
        </is>
      </c>
      <c r="D17453" s="15" t="n">
        <v>0.0885</v>
      </c>
      <c r="E17453" s="4" t="n">
        <v>928000</v>
      </c>
      <c r="F17453" s="4" t="n">
        <v>82128</v>
      </c>
    </row>
    <row r="17454">
      <c r="A17454" s="3" t="inlineStr">
        <is>
          <t>2</t>
        </is>
      </c>
      <c r="B17454" s="3" t="inlineStr">
        <is>
          <t>Urukan Pasir Uruk</t>
        </is>
      </c>
      <c r="C17454" s="3" t="inlineStr">
        <is>
          <t>m3</t>
        </is>
      </c>
      <c r="D17454" s="15" t="n">
        <v>0.177</v>
      </c>
      <c r="E17454" s="4" t="n">
        <v>488180</v>
      </c>
      <c r="F17454" s="4" t="n">
        <v>86407.86</v>
      </c>
    </row>
    <row r="17455">
      <c r="A17455" s="3" t="inlineStr">
        <is>
          <t>3</t>
        </is>
      </c>
      <c r="B17455" s="3" t="inlineStr">
        <is>
          <t>U-Ditch 140x140x120 cm</t>
        </is>
      </c>
      <c r="C17455" s="3" t="inlineStr">
        <is>
          <t>buah</t>
        </is>
      </c>
      <c r="D17455" s="15" t="n">
        <v>0.8333</v>
      </c>
      <c r="E17455" s="4" t="n">
        <v>670000</v>
      </c>
      <c r="F17455" s="4" t="n">
        <v>558311</v>
      </c>
    </row>
    <row r="17456">
      <c r="A17456" s="3" t="inlineStr">
        <is>
          <t>1</t>
        </is>
      </c>
      <c r="B17456" s="3" t="inlineStr">
        <is>
          <t>Sewa mobil crane</t>
        </is>
      </c>
      <c r="C17456" s="3" t="inlineStr">
        <is>
          <t>jam</t>
        </is>
      </c>
      <c r="D17456" s="15" t="n">
        <v>0.3199</v>
      </c>
      <c r="E17456" s="4" t="n">
        <v>1450000</v>
      </c>
      <c r="F17456" s="4" t="n">
        <v>463855</v>
      </c>
    </row>
    <row r="17457">
      <c r="D17457" s="2" t="inlineStr">
        <is>
          <t>SUBTOTAL UPAH</t>
        </is>
      </c>
      <c r="F17457" s="16" t="n">
        <v>187135.5</v>
      </c>
    </row>
    <row r="17458">
      <c r="D17458" s="2" t="inlineStr">
        <is>
          <t>SUBTOTAL BAHAN</t>
        </is>
      </c>
      <c r="F17458" s="16" t="n">
        <v>726846.86</v>
      </c>
    </row>
    <row r="17459">
      <c r="D17459" s="2" t="inlineStr">
        <is>
          <t>SUBTOTAL ALAT</t>
        </is>
      </c>
      <c r="F17459" s="16" t="n">
        <v>463855</v>
      </c>
    </row>
    <row r="17460">
      <c r="E17460" s="2" t="inlineStr">
        <is>
          <t>TOTAL HARGA SATUAN (Inc. Overhead)</t>
        </is>
      </c>
      <c r="F17460" s="17" t="n">
        <v>1515621</v>
      </c>
    </row>
    <row r="17462">
      <c r="A17462" s="14" t="inlineStr">
        <is>
          <t>KODE: 8.1.2.20 - 1 m Saluran U-Ditch 150x100x120 cm dengan lantai kerja fc 7,5 Mpa</t>
        </is>
      </c>
    </row>
    <row r="17463">
      <c r="A17463" s="10" t="inlineStr">
        <is>
          <t>No</t>
        </is>
      </c>
      <c r="B17463" s="10" t="inlineStr">
        <is>
          <t>Uraian Komponen</t>
        </is>
      </c>
      <c r="C17463" s="10" t="inlineStr">
        <is>
          <t>Satuan</t>
        </is>
      </c>
      <c r="D17463" s="10" t="inlineStr">
        <is>
          <t>Koef</t>
        </is>
      </c>
      <c r="E17463" s="10" t="inlineStr">
        <is>
          <t>Harga Satuan (Rp)</t>
        </is>
      </c>
      <c r="F17463" s="10" t="inlineStr">
        <is>
          <t>Jumlah Harga (Rp)</t>
        </is>
      </c>
    </row>
    <row r="17464">
      <c r="A17464" s="3" t="inlineStr">
        <is>
          <t>1</t>
        </is>
      </c>
      <c r="B17464" s="3" t="inlineStr">
        <is>
          <t>Pekerja</t>
        </is>
      </c>
      <c r="C17464" s="3" t="inlineStr">
        <is>
          <t>OJ</t>
        </is>
      </c>
      <c r="D17464" s="15" t="n">
        <v>1.1408</v>
      </c>
      <c r="E17464" s="4" t="n">
        <v>100000</v>
      </c>
      <c r="F17464" s="4" t="n">
        <v>114080</v>
      </c>
    </row>
    <row r="17465">
      <c r="A17465" s="3" t="inlineStr">
        <is>
          <t>2</t>
        </is>
      </c>
      <c r="B17465" s="3" t="inlineStr">
        <is>
          <t>Tukang Batu</t>
        </is>
      </c>
      <c r="C17465" s="3" t="inlineStr">
        <is>
          <t>OJ</t>
        </is>
      </c>
      <c r="D17465" s="15" t="n">
        <v>0.2852</v>
      </c>
      <c r="E17465" s="4" t="n">
        <v>145000</v>
      </c>
      <c r="F17465" s="4" t="n">
        <v>41354</v>
      </c>
    </row>
    <row r="17466">
      <c r="A17466" s="3" t="inlineStr">
        <is>
          <t>3</t>
        </is>
      </c>
      <c r="B17466" s="3" t="inlineStr">
        <is>
          <t>Mandor</t>
        </is>
      </c>
      <c r="C17466" s="3" t="inlineStr">
        <is>
          <t>OJ</t>
        </is>
      </c>
      <c r="D17466" s="15" t="n">
        <v>0.057</v>
      </c>
      <c r="E17466" s="4" t="n">
        <v>200000</v>
      </c>
      <c r="F17466" s="4" t="n">
        <v>11400</v>
      </c>
    </row>
    <row r="17467">
      <c r="A17467" s="3" t="inlineStr">
        <is>
          <t>1</t>
        </is>
      </c>
      <c r="B17467" s="3" t="inlineStr">
        <is>
          <t>"Lantai Kerja fc 7 5 Mpa"</t>
        </is>
      </c>
      <c r="C17467" s="3" t="inlineStr">
        <is>
          <t>m3</t>
        </is>
      </c>
      <c r="D17467" s="15" t="n">
        <v>0.096</v>
      </c>
      <c r="E17467" s="4" t="n">
        <v>928000</v>
      </c>
      <c r="F17467" s="4" t="n">
        <v>89088</v>
      </c>
    </row>
    <row r="17468">
      <c r="A17468" s="3" t="inlineStr">
        <is>
          <t>2</t>
        </is>
      </c>
      <c r="B17468" s="3" t="inlineStr">
        <is>
          <t>Urukan Pasir Uruk</t>
        </is>
      </c>
      <c r="C17468" s="3" t="inlineStr">
        <is>
          <t>m3</t>
        </is>
      </c>
      <c r="D17468" s="15" t="n">
        <v>0.192</v>
      </c>
      <c r="E17468" s="4" t="n">
        <v>488180</v>
      </c>
      <c r="F17468" s="4" t="n">
        <v>93730.56</v>
      </c>
    </row>
    <row r="17469">
      <c r="A17469" s="3" t="inlineStr">
        <is>
          <t>3</t>
        </is>
      </c>
      <c r="B17469" s="3" t="inlineStr">
        <is>
          <t>U-Ditch 150x100x120 cm</t>
        </is>
      </c>
      <c r="C17469" s="3" t="inlineStr">
        <is>
          <t>buah</t>
        </is>
      </c>
      <c r="D17469" s="15" t="n">
        <v>0.8333</v>
      </c>
      <c r="E17469" s="4" t="n">
        <v>680000</v>
      </c>
      <c r="F17469" s="4" t="n">
        <v>566644</v>
      </c>
    </row>
    <row r="17470">
      <c r="A17470" s="3" t="inlineStr">
        <is>
          <t>1</t>
        </is>
      </c>
      <c r="B17470" s="3" t="inlineStr">
        <is>
          <t>Sewa mobil crane</t>
        </is>
      </c>
      <c r="C17470" s="3" t="inlineStr">
        <is>
          <t>jam</t>
        </is>
      </c>
      <c r="D17470" s="15" t="n">
        <v>0.2852</v>
      </c>
      <c r="E17470" s="4" t="n">
        <v>1450000</v>
      </c>
      <c r="F17470" s="4" t="n">
        <v>413540</v>
      </c>
    </row>
    <row r="17471">
      <c r="D17471" s="2" t="inlineStr">
        <is>
          <t>SUBTOTAL UPAH</t>
        </is>
      </c>
      <c r="F17471" s="16" t="n">
        <v>166834</v>
      </c>
    </row>
    <row r="17472">
      <c r="D17472" s="2" t="inlineStr">
        <is>
          <t>SUBTOTAL BAHAN</t>
        </is>
      </c>
      <c r="F17472" s="16" t="n">
        <v>749462.5600000001</v>
      </c>
    </row>
    <row r="17473">
      <c r="D17473" s="2" t="inlineStr">
        <is>
          <t>SUBTOTAL ALAT</t>
        </is>
      </c>
      <c r="F17473" s="16" t="n">
        <v>413540</v>
      </c>
    </row>
    <row r="17474">
      <c r="E17474" s="2" t="inlineStr">
        <is>
          <t>TOTAL HARGA SATUAN (Inc. Overhead)</t>
        </is>
      </c>
      <c r="F17474" s="17" t="n">
        <v>1462820</v>
      </c>
    </row>
    <row r="17476">
      <c r="A17476" s="14" t="inlineStr">
        <is>
          <t>KODE: 8.1.2.21 - 1 m Saluran U-Ditch 150x150x120 cm dengan lantai kerja fc 7,5 Mpa</t>
        </is>
      </c>
    </row>
    <row r="17477">
      <c r="A17477" s="10" t="inlineStr">
        <is>
          <t>No</t>
        </is>
      </c>
      <c r="B17477" s="10" t="inlineStr">
        <is>
          <t>Uraian Komponen</t>
        </is>
      </c>
      <c r="C17477" s="10" t="inlineStr">
        <is>
          <t>Satuan</t>
        </is>
      </c>
      <c r="D17477" s="10" t="inlineStr">
        <is>
          <t>Koef</t>
        </is>
      </c>
      <c r="E17477" s="10" t="inlineStr">
        <is>
          <t>Harga Satuan (Rp)</t>
        </is>
      </c>
      <c r="F17477" s="10" t="inlineStr">
        <is>
          <t>Jumlah Harga (Rp)</t>
        </is>
      </c>
    </row>
    <row r="17478">
      <c r="A17478" s="3" t="inlineStr">
        <is>
          <t>1</t>
        </is>
      </c>
      <c r="B17478" s="3" t="inlineStr">
        <is>
          <t>Pekerja</t>
        </is>
      </c>
      <c r="C17478" s="3" t="inlineStr">
        <is>
          <t>OJ</t>
        </is>
      </c>
      <c r="D17478" s="15" t="n">
        <v>1.2919</v>
      </c>
      <c r="E17478" s="4" t="n">
        <v>100000</v>
      </c>
      <c r="F17478" s="4" t="n">
        <v>129190</v>
      </c>
    </row>
    <row r="17479">
      <c r="A17479" s="3" t="inlineStr">
        <is>
          <t>2</t>
        </is>
      </c>
      <c r="B17479" s="3" t="inlineStr">
        <is>
          <t>Tukang Batu</t>
        </is>
      </c>
      <c r="C17479" s="3" t="inlineStr">
        <is>
          <t>OJ</t>
        </is>
      </c>
      <c r="D17479" s="15" t="n">
        <v>0.323</v>
      </c>
      <c r="E17479" s="4" t="n">
        <v>145000</v>
      </c>
      <c r="F17479" s="4" t="n">
        <v>46835</v>
      </c>
    </row>
    <row r="17480">
      <c r="A17480" s="3" t="inlineStr">
        <is>
          <t>3</t>
        </is>
      </c>
      <c r="B17480" s="3" t="inlineStr">
        <is>
          <t>Mandor</t>
        </is>
      </c>
      <c r="C17480" s="3" t="inlineStr">
        <is>
          <t>OJ</t>
        </is>
      </c>
      <c r="D17480" s="15" t="n">
        <v>0.0646</v>
      </c>
      <c r="E17480" s="4" t="n">
        <v>200000</v>
      </c>
      <c r="F17480" s="4" t="n">
        <v>12920</v>
      </c>
    </row>
    <row r="17481">
      <c r="A17481" s="3" t="inlineStr">
        <is>
          <t>1</t>
        </is>
      </c>
      <c r="B17481" s="3" t="inlineStr">
        <is>
          <t>"Lantai Kerja fc 7 5 Mpa"</t>
        </is>
      </c>
      <c r="C17481" s="3" t="inlineStr">
        <is>
          <t>m3</t>
        </is>
      </c>
      <c r="D17481" s="15" t="n">
        <v>0.0955</v>
      </c>
      <c r="E17481" s="4" t="n">
        <v>928000</v>
      </c>
      <c r="F17481" s="4" t="n">
        <v>88624</v>
      </c>
    </row>
    <row r="17482">
      <c r="A17482" s="3" t="inlineStr">
        <is>
          <t>2</t>
        </is>
      </c>
      <c r="B17482" s="3" t="inlineStr">
        <is>
          <t>Urukan Pasir Uruk</t>
        </is>
      </c>
      <c r="C17482" s="3" t="inlineStr">
        <is>
          <t>m3</t>
        </is>
      </c>
      <c r="D17482" s="15" t="n">
        <v>0.191</v>
      </c>
      <c r="E17482" s="4" t="n">
        <v>488180</v>
      </c>
      <c r="F17482" s="4" t="n">
        <v>93242.38</v>
      </c>
    </row>
    <row r="17483">
      <c r="A17483" s="3" t="inlineStr">
        <is>
          <t>3</t>
        </is>
      </c>
      <c r="B17483" s="3" t="inlineStr">
        <is>
          <t>U-Ditch 150x150x120 cm</t>
        </is>
      </c>
      <c r="C17483" s="3" t="inlineStr">
        <is>
          <t>buah</t>
        </is>
      </c>
      <c r="D17483" s="15" t="n">
        <v>0.8333</v>
      </c>
      <c r="E17483" s="4" t="n">
        <v>710000</v>
      </c>
      <c r="F17483" s="4" t="n">
        <v>591643</v>
      </c>
    </row>
    <row r="17484">
      <c r="A17484" s="3" t="inlineStr">
        <is>
          <t>1</t>
        </is>
      </c>
      <c r="B17484" s="3" t="inlineStr">
        <is>
          <t>Sewa mobil crane</t>
        </is>
      </c>
      <c r="C17484" s="3" t="inlineStr">
        <is>
          <t>jam</t>
        </is>
      </c>
      <c r="D17484" s="15" t="n">
        <v>0.323</v>
      </c>
      <c r="E17484" s="4" t="n">
        <v>1450000</v>
      </c>
      <c r="F17484" s="4" t="n">
        <v>468350</v>
      </c>
    </row>
    <row r="17485">
      <c r="D17485" s="2" t="inlineStr">
        <is>
          <t>SUBTOTAL UPAH</t>
        </is>
      </c>
      <c r="F17485" s="16" t="n">
        <v>188945</v>
      </c>
    </row>
    <row r="17486">
      <c r="D17486" s="2" t="inlineStr">
        <is>
          <t>SUBTOTAL BAHAN</t>
        </is>
      </c>
      <c r="F17486" s="16" t="n">
        <v>773509.38</v>
      </c>
    </row>
    <row r="17487">
      <c r="D17487" s="2" t="inlineStr">
        <is>
          <t>SUBTOTAL ALAT</t>
        </is>
      </c>
      <c r="F17487" s="16" t="n">
        <v>468350</v>
      </c>
    </row>
    <row r="17488">
      <c r="E17488" s="2" t="inlineStr">
        <is>
          <t>TOTAL HARGA SATUAN (Inc. Overhead)</t>
        </is>
      </c>
      <c r="F17488" s="17" t="n">
        <v>1573884</v>
      </c>
    </row>
    <row r="17490">
      <c r="A17490" s="14" t="inlineStr">
        <is>
          <t>KODE: 8.1.2.22 - 1 m Saluran U-Ditch 150x170x120 cm dengan lantai kerja fc 7,5 Mpa</t>
        </is>
      </c>
    </row>
    <row r="17491">
      <c r="A17491" s="10" t="inlineStr">
        <is>
          <t>No</t>
        </is>
      </c>
      <c r="B17491" s="10" t="inlineStr">
        <is>
          <t>Uraian Komponen</t>
        </is>
      </c>
      <c r="C17491" s="10" t="inlineStr">
        <is>
          <t>Satuan</t>
        </is>
      </c>
      <c r="D17491" s="10" t="inlineStr">
        <is>
          <t>Koef</t>
        </is>
      </c>
      <c r="E17491" s="10" t="inlineStr">
        <is>
          <t>Harga Satuan (Rp)</t>
        </is>
      </c>
      <c r="F17491" s="10" t="inlineStr">
        <is>
          <t>Jumlah Harga (Rp)</t>
        </is>
      </c>
    </row>
    <row r="17492">
      <c r="A17492" s="3" t="inlineStr">
        <is>
          <t>1</t>
        </is>
      </c>
      <c r="B17492" s="3" t="inlineStr">
        <is>
          <t>Pekerja</t>
        </is>
      </c>
      <c r="C17492" s="3" t="inlineStr">
        <is>
          <t>OJ</t>
        </is>
      </c>
      <c r="D17492" s="15" t="n">
        <v>1.2956</v>
      </c>
      <c r="E17492" s="4" t="n">
        <v>100000</v>
      </c>
      <c r="F17492" s="4" t="n">
        <v>129560</v>
      </c>
    </row>
    <row r="17493">
      <c r="A17493" s="3" t="inlineStr">
        <is>
          <t>2</t>
        </is>
      </c>
      <c r="B17493" s="3" t="inlineStr">
        <is>
          <t>Tukang Batu</t>
        </is>
      </c>
      <c r="C17493" s="3" t="inlineStr">
        <is>
          <t>OJ</t>
        </is>
      </c>
      <c r="D17493" s="15" t="n">
        <v>0.3239</v>
      </c>
      <c r="E17493" s="4" t="n">
        <v>145000</v>
      </c>
      <c r="F17493" s="4" t="n">
        <v>46965.5</v>
      </c>
    </row>
    <row r="17494">
      <c r="A17494" s="3" t="inlineStr">
        <is>
          <t>3</t>
        </is>
      </c>
      <c r="B17494" s="3" t="inlineStr">
        <is>
          <t>Mandor</t>
        </is>
      </c>
      <c r="C17494" s="3" t="inlineStr">
        <is>
          <t>OJ</t>
        </is>
      </c>
      <c r="D17494" s="15" t="n">
        <v>0.0648</v>
      </c>
      <c r="E17494" s="4" t="n">
        <v>200000</v>
      </c>
      <c r="F17494" s="4" t="n">
        <v>12960</v>
      </c>
    </row>
    <row r="17495">
      <c r="A17495" s="3" t="inlineStr">
        <is>
          <t>1</t>
        </is>
      </c>
      <c r="B17495" s="3" t="inlineStr">
        <is>
          <t>"Lantai Kerja fc 7 5 Mpa"</t>
        </is>
      </c>
      <c r="C17495" s="3" t="inlineStr">
        <is>
          <t>m3</t>
        </is>
      </c>
      <c r="D17495" s="15" t="n">
        <v>0.0955</v>
      </c>
      <c r="E17495" s="4" t="n">
        <v>928000</v>
      </c>
      <c r="F17495" s="4" t="n">
        <v>88624</v>
      </c>
    </row>
    <row r="17496">
      <c r="A17496" s="3" t="inlineStr">
        <is>
          <t>2</t>
        </is>
      </c>
      <c r="B17496" s="3" t="inlineStr">
        <is>
          <t>Urukan Pasir Uruk</t>
        </is>
      </c>
      <c r="C17496" s="3" t="inlineStr">
        <is>
          <t>m3</t>
        </is>
      </c>
      <c r="D17496" s="15" t="n">
        <v>0.191</v>
      </c>
      <c r="E17496" s="4" t="n">
        <v>488180</v>
      </c>
      <c r="F17496" s="4" t="n">
        <v>93242.38</v>
      </c>
    </row>
    <row r="17497">
      <c r="A17497" s="3" t="inlineStr">
        <is>
          <t>3</t>
        </is>
      </c>
      <c r="B17497" s="3" t="inlineStr">
        <is>
          <t>U-Ditch 150x170x120 cm</t>
        </is>
      </c>
      <c r="C17497" s="3" t="inlineStr">
        <is>
          <t>buah</t>
        </is>
      </c>
      <c r="D17497" s="15" t="n">
        <v>0.8333</v>
      </c>
      <c r="E17497" s="4" t="n">
        <v>730000</v>
      </c>
      <c r="F17497" s="4" t="n">
        <v>608309</v>
      </c>
    </row>
    <row r="17498">
      <c r="A17498" s="3" t="inlineStr">
        <is>
          <t>1</t>
        </is>
      </c>
      <c r="B17498" s="3" t="inlineStr">
        <is>
          <t>Sewa mobil crane</t>
        </is>
      </c>
      <c r="C17498" s="3" t="inlineStr">
        <is>
          <t>jam</t>
        </is>
      </c>
      <c r="D17498" s="15" t="n">
        <v>0.3239</v>
      </c>
      <c r="E17498" s="4" t="n">
        <v>1450000</v>
      </c>
      <c r="F17498" s="4" t="n">
        <v>469655.0000000001</v>
      </c>
    </row>
    <row r="17499">
      <c r="D17499" s="2" t="inlineStr">
        <is>
          <t>SUBTOTAL UPAH</t>
        </is>
      </c>
      <c r="F17499" s="16" t="n">
        <v>189485.5</v>
      </c>
    </row>
    <row r="17500">
      <c r="D17500" s="2" t="inlineStr">
        <is>
          <t>SUBTOTAL BAHAN</t>
        </is>
      </c>
      <c r="F17500" s="16" t="n">
        <v>790175.38</v>
      </c>
    </row>
    <row r="17501">
      <c r="D17501" s="2" t="inlineStr">
        <is>
          <t>SUBTOTAL ALAT</t>
        </is>
      </c>
      <c r="F17501" s="16" t="n">
        <v>469655.0000000001</v>
      </c>
    </row>
    <row r="17502">
      <c r="E17502" s="2" t="inlineStr">
        <is>
          <t>TOTAL HARGA SATUAN (Inc. Overhead)</t>
        </is>
      </c>
      <c r="F17502" s="17" t="n">
        <v>1594247</v>
      </c>
    </row>
    <row r="17504">
      <c r="A17504" s="14" t="inlineStr">
        <is>
          <t>KODE: 8.1.2.23 - 1 m Saluran U-Ditch 160x160x120 cm dengan lantai kerja fc 7,5 Mpa</t>
        </is>
      </c>
    </row>
    <row r="17505">
      <c r="A17505" s="10" t="inlineStr">
        <is>
          <t>No</t>
        </is>
      </c>
      <c r="B17505" s="10" t="inlineStr">
        <is>
          <t>Uraian Komponen</t>
        </is>
      </c>
      <c r="C17505" s="10" t="inlineStr">
        <is>
          <t>Satuan</t>
        </is>
      </c>
      <c r="D17505" s="10" t="inlineStr">
        <is>
          <t>Koef</t>
        </is>
      </c>
      <c r="E17505" s="10" t="inlineStr">
        <is>
          <t>Harga Satuan (Rp)</t>
        </is>
      </c>
      <c r="F17505" s="10" t="inlineStr">
        <is>
          <t>Jumlah Harga (Rp)</t>
        </is>
      </c>
    </row>
    <row r="17506">
      <c r="A17506" s="3" t="inlineStr">
        <is>
          <t>1</t>
        </is>
      </c>
      <c r="B17506" s="3" t="inlineStr">
        <is>
          <t>Pekerja</t>
        </is>
      </c>
      <c r="C17506" s="3" t="inlineStr">
        <is>
          <t>OJ</t>
        </is>
      </c>
      <c r="D17506" s="15" t="n">
        <v>1.3267</v>
      </c>
      <c r="E17506" s="4" t="n">
        <v>100000</v>
      </c>
      <c r="F17506" s="4" t="n">
        <v>132670</v>
      </c>
    </row>
    <row r="17507">
      <c r="A17507" s="3" t="inlineStr">
        <is>
          <t>2</t>
        </is>
      </c>
      <c r="B17507" s="3" t="inlineStr">
        <is>
          <t>Tukang Batu</t>
        </is>
      </c>
      <c r="C17507" s="3" t="inlineStr">
        <is>
          <t>OJ</t>
        </is>
      </c>
      <c r="D17507" s="15" t="n">
        <v>0.3317</v>
      </c>
      <c r="E17507" s="4" t="n">
        <v>145000</v>
      </c>
      <c r="F17507" s="4" t="n">
        <v>48096.5</v>
      </c>
    </row>
    <row r="17508">
      <c r="A17508" s="3" t="inlineStr">
        <is>
          <t>3</t>
        </is>
      </c>
      <c r="B17508" s="3" t="inlineStr">
        <is>
          <t>Mandor</t>
        </is>
      </c>
      <c r="C17508" s="3" t="inlineStr">
        <is>
          <t>OJ</t>
        </is>
      </c>
      <c r="D17508" s="15" t="n">
        <v>0.0663</v>
      </c>
      <c r="E17508" s="4" t="n">
        <v>200000</v>
      </c>
      <c r="F17508" s="4" t="n">
        <v>13260</v>
      </c>
    </row>
    <row r="17509">
      <c r="A17509" s="3" t="inlineStr">
        <is>
          <t>1</t>
        </is>
      </c>
      <c r="B17509" s="3" t="inlineStr">
        <is>
          <t>"Lantai Kerja fc 7 5 Mpa"</t>
        </is>
      </c>
      <c r="C17509" s="3" t="inlineStr">
        <is>
          <t>m3</t>
        </is>
      </c>
      <c r="D17509" s="15" t="n">
        <v>0.09950000000000001</v>
      </c>
      <c r="E17509" s="4" t="n">
        <v>928000</v>
      </c>
      <c r="F17509" s="4" t="n">
        <v>92336</v>
      </c>
    </row>
    <row r="17510">
      <c r="A17510" s="3" t="inlineStr">
        <is>
          <t>2</t>
        </is>
      </c>
      <c r="B17510" s="3" t="inlineStr">
        <is>
          <t>Urukan Pasir Uruk</t>
        </is>
      </c>
      <c r="C17510" s="3" t="inlineStr">
        <is>
          <t>m3</t>
        </is>
      </c>
      <c r="D17510" s="15" t="n">
        <v>0.199</v>
      </c>
      <c r="E17510" s="4" t="n">
        <v>488180</v>
      </c>
      <c r="F17510" s="4" t="n">
        <v>97147.82000000001</v>
      </c>
    </row>
    <row r="17511">
      <c r="A17511" s="3" t="inlineStr">
        <is>
          <t>3</t>
        </is>
      </c>
      <c r="B17511" s="3" t="inlineStr">
        <is>
          <t>U-Ditch 160x160x120 cm</t>
        </is>
      </c>
      <c r="C17511" s="3" t="inlineStr">
        <is>
          <t>buah</t>
        </is>
      </c>
      <c r="D17511" s="15" t="n">
        <v>0.8333</v>
      </c>
      <c r="E17511" s="4" t="n">
        <v>750000</v>
      </c>
      <c r="F17511" s="4" t="n">
        <v>624975</v>
      </c>
    </row>
    <row r="17512">
      <c r="A17512" s="3" t="inlineStr">
        <is>
          <t>1</t>
        </is>
      </c>
      <c r="B17512" s="3" t="inlineStr">
        <is>
          <t>Sewa mobil crane</t>
        </is>
      </c>
      <c r="C17512" s="3" t="inlineStr">
        <is>
          <t>jam</t>
        </is>
      </c>
      <c r="D17512" s="15" t="n">
        <v>0.3317</v>
      </c>
      <c r="E17512" s="4" t="n">
        <v>1450000</v>
      </c>
      <c r="F17512" s="4" t="n">
        <v>480965</v>
      </c>
    </row>
    <row r="17513">
      <c r="D17513" s="2" t="inlineStr">
        <is>
          <t>SUBTOTAL UPAH</t>
        </is>
      </c>
      <c r="F17513" s="16" t="n">
        <v>194026.5</v>
      </c>
    </row>
    <row r="17514">
      <c r="D17514" s="2" t="inlineStr">
        <is>
          <t>SUBTOTAL BAHAN</t>
        </is>
      </c>
      <c r="F17514" s="16" t="n">
        <v>814458.8200000001</v>
      </c>
    </row>
    <row r="17515">
      <c r="D17515" s="2" t="inlineStr">
        <is>
          <t>SUBTOTAL ALAT</t>
        </is>
      </c>
      <c r="F17515" s="16" t="n">
        <v>480965</v>
      </c>
    </row>
    <row r="17516">
      <c r="E17516" s="2" t="inlineStr">
        <is>
          <t>TOTAL HARGA SATUAN (Inc. Overhead)</t>
        </is>
      </c>
      <c r="F17516" s="17" t="n">
        <v>1638395</v>
      </c>
    </row>
    <row r="17518">
      <c r="A17518" s="14" t="inlineStr">
        <is>
          <t>KODE: 8.1.2.24 - 1 m Saluran U-Ditch 160x180x120 cm dengan lantai kerja fc 7,5 Mpa</t>
        </is>
      </c>
    </row>
    <row r="17519">
      <c r="A17519" s="10" t="inlineStr">
        <is>
          <t>No</t>
        </is>
      </c>
      <c r="B17519" s="10" t="inlineStr">
        <is>
          <t>Uraian Komponen</t>
        </is>
      </c>
      <c r="C17519" s="10" t="inlineStr">
        <is>
          <t>Satuan</t>
        </is>
      </c>
      <c r="D17519" s="10" t="inlineStr">
        <is>
          <t>Koef</t>
        </is>
      </c>
      <c r="E17519" s="10" t="inlineStr">
        <is>
          <t>Harga Satuan (Rp)</t>
        </is>
      </c>
      <c r="F17519" s="10" t="inlineStr">
        <is>
          <t>Jumlah Harga (Rp)</t>
        </is>
      </c>
    </row>
    <row r="17520">
      <c r="A17520" s="3" t="inlineStr">
        <is>
          <t>1</t>
        </is>
      </c>
      <c r="B17520" s="3" t="inlineStr">
        <is>
          <t>Pekerja</t>
        </is>
      </c>
      <c r="C17520" s="3" t="inlineStr">
        <is>
          <t>OJ</t>
        </is>
      </c>
      <c r="D17520" s="15" t="n">
        <v>1.3469</v>
      </c>
      <c r="E17520" s="4" t="n">
        <v>100000</v>
      </c>
      <c r="F17520" s="4" t="n">
        <v>134690</v>
      </c>
    </row>
    <row r="17521">
      <c r="A17521" s="3" t="inlineStr">
        <is>
          <t>2</t>
        </is>
      </c>
      <c r="B17521" s="3" t="inlineStr">
        <is>
          <t>Tukang Batu</t>
        </is>
      </c>
      <c r="C17521" s="3" t="inlineStr">
        <is>
          <t>OJ</t>
        </is>
      </c>
      <c r="D17521" s="15" t="n">
        <v>0.3367</v>
      </c>
      <c r="E17521" s="4" t="n">
        <v>145000</v>
      </c>
      <c r="F17521" s="4" t="n">
        <v>48821.5</v>
      </c>
    </row>
    <row r="17522">
      <c r="A17522" s="3" t="inlineStr">
        <is>
          <t>3</t>
        </is>
      </c>
      <c r="B17522" s="3" t="inlineStr">
        <is>
          <t>Mandor</t>
        </is>
      </c>
      <c r="C17522" s="3" t="inlineStr">
        <is>
          <t>OJ</t>
        </is>
      </c>
      <c r="D17522" s="15" t="n">
        <v>0.0673</v>
      </c>
      <c r="E17522" s="4" t="n">
        <v>200000</v>
      </c>
      <c r="F17522" s="4" t="n">
        <v>13460</v>
      </c>
    </row>
    <row r="17523">
      <c r="A17523" s="3" t="inlineStr">
        <is>
          <t>1</t>
        </is>
      </c>
      <c r="B17523" s="3" t="inlineStr">
        <is>
          <t>"Lantai Kerja fc 7 5 Mpa"</t>
        </is>
      </c>
      <c r="C17523" s="3" t="inlineStr">
        <is>
          <t>m3</t>
        </is>
      </c>
      <c r="D17523" s="15" t="n">
        <v>0.0985</v>
      </c>
      <c r="E17523" s="4" t="n">
        <v>928000</v>
      </c>
      <c r="F17523" s="4" t="n">
        <v>91408</v>
      </c>
    </row>
    <row r="17524">
      <c r="A17524" s="3" t="inlineStr">
        <is>
          <t>2</t>
        </is>
      </c>
      <c r="B17524" s="3" t="inlineStr">
        <is>
          <t>Urukan Pasir Uruk</t>
        </is>
      </c>
      <c r="C17524" s="3" t="inlineStr">
        <is>
          <t>m3</t>
        </is>
      </c>
      <c r="D17524" s="15" t="n">
        <v>0.197</v>
      </c>
      <c r="E17524" s="4" t="n">
        <v>488180</v>
      </c>
      <c r="F17524" s="4" t="n">
        <v>96171.46000000001</v>
      </c>
    </row>
    <row r="17525">
      <c r="A17525" s="3" t="inlineStr">
        <is>
          <t>3</t>
        </is>
      </c>
      <c r="B17525" s="3" t="inlineStr">
        <is>
          <t>U-Ditch 160x180x120 cm</t>
        </is>
      </c>
      <c r="C17525" s="3" t="inlineStr">
        <is>
          <t>buah</t>
        </is>
      </c>
      <c r="D17525" s="15" t="n">
        <v>0.8333</v>
      </c>
      <c r="E17525" s="4" t="n">
        <v>780000</v>
      </c>
      <c r="F17525" s="4" t="n">
        <v>649974</v>
      </c>
    </row>
    <row r="17526">
      <c r="A17526" s="3" t="inlineStr">
        <is>
          <t>1</t>
        </is>
      </c>
      <c r="B17526" s="3" t="inlineStr">
        <is>
          <t>Sewa mobil crane</t>
        </is>
      </c>
      <c r="C17526" s="3" t="inlineStr">
        <is>
          <t>jam</t>
        </is>
      </c>
      <c r="D17526" s="15" t="n">
        <v>0.3367</v>
      </c>
      <c r="E17526" s="4" t="n">
        <v>1450000</v>
      </c>
      <c r="F17526" s="4" t="n">
        <v>488215</v>
      </c>
    </row>
    <row r="17527">
      <c r="D17527" s="2" t="inlineStr">
        <is>
          <t>SUBTOTAL UPAH</t>
        </is>
      </c>
      <c r="F17527" s="16" t="n">
        <v>196971.5</v>
      </c>
    </row>
    <row r="17528">
      <c r="D17528" s="2" t="inlineStr">
        <is>
          <t>SUBTOTAL BAHAN</t>
        </is>
      </c>
      <c r="F17528" s="16" t="n">
        <v>837553.46</v>
      </c>
    </row>
    <row r="17529">
      <c r="D17529" s="2" t="inlineStr">
        <is>
          <t>SUBTOTAL ALAT</t>
        </is>
      </c>
      <c r="F17529" s="16" t="n">
        <v>488215</v>
      </c>
    </row>
    <row r="17530">
      <c r="E17530" s="2" t="inlineStr">
        <is>
          <t>TOTAL HARGA SATUAN (Inc. Overhead)</t>
        </is>
      </c>
      <c r="F17530" s="17" t="n">
        <v>1675013</v>
      </c>
    </row>
    <row r="17532">
      <c r="A17532" s="14" t="inlineStr">
        <is>
          <t>KODE: 8.1.2.25 - 1 m Saluran U-Ditch 180x180x120 cm dengan lantai kerja fc 7,5 Mpa</t>
        </is>
      </c>
    </row>
    <row r="17533">
      <c r="A17533" s="10" t="inlineStr">
        <is>
          <t>No</t>
        </is>
      </c>
      <c r="B17533" s="10" t="inlineStr">
        <is>
          <t>Uraian Komponen</t>
        </is>
      </c>
      <c r="C17533" s="10" t="inlineStr">
        <is>
          <t>Satuan</t>
        </is>
      </c>
      <c r="D17533" s="10" t="inlineStr">
        <is>
          <t>Koef</t>
        </is>
      </c>
      <c r="E17533" s="10" t="inlineStr">
        <is>
          <t>Harga Satuan (Rp)</t>
        </is>
      </c>
      <c r="F17533" s="10" t="inlineStr">
        <is>
          <t>Jumlah Harga (Rp)</t>
        </is>
      </c>
    </row>
    <row r="17534">
      <c r="A17534" s="3" t="inlineStr">
        <is>
          <t>1</t>
        </is>
      </c>
      <c r="B17534" s="3" t="inlineStr">
        <is>
          <t>Pekerja</t>
        </is>
      </c>
      <c r="C17534" s="3" t="inlineStr">
        <is>
          <t>OJ</t>
        </is>
      </c>
      <c r="D17534" s="15" t="n">
        <v>1.3488</v>
      </c>
      <c r="E17534" s="4" t="n">
        <v>100000</v>
      </c>
      <c r="F17534" s="4" t="n">
        <v>134880</v>
      </c>
    </row>
    <row r="17535">
      <c r="A17535" s="3" t="inlineStr">
        <is>
          <t>2</t>
        </is>
      </c>
      <c r="B17535" s="3" t="inlineStr">
        <is>
          <t>Tukang Batu</t>
        </is>
      </c>
      <c r="C17535" s="3" t="inlineStr">
        <is>
          <t>OJ</t>
        </is>
      </c>
      <c r="D17535" s="15" t="n">
        <v>0.3372</v>
      </c>
      <c r="E17535" s="4" t="n">
        <v>145000</v>
      </c>
      <c r="F17535" s="4" t="n">
        <v>48894</v>
      </c>
    </row>
    <row r="17536">
      <c r="A17536" s="3" t="inlineStr">
        <is>
          <t>3</t>
        </is>
      </c>
      <c r="B17536" s="3" t="inlineStr">
        <is>
          <t>Mandor</t>
        </is>
      </c>
      <c r="C17536" s="3" t="inlineStr">
        <is>
          <t>OJ</t>
        </is>
      </c>
      <c r="D17536" s="15" t="n">
        <v>0.0674</v>
      </c>
      <c r="E17536" s="4" t="n">
        <v>200000</v>
      </c>
      <c r="F17536" s="4" t="n">
        <v>13480</v>
      </c>
    </row>
    <row r="17537">
      <c r="A17537" s="3" t="inlineStr">
        <is>
          <t>1</t>
        </is>
      </c>
      <c r="B17537" s="3" t="inlineStr">
        <is>
          <t>"Lantai Kerja fc 7 5 Mpa"</t>
        </is>
      </c>
      <c r="C17537" s="3" t="inlineStr">
        <is>
          <t>m3</t>
        </is>
      </c>
      <c r="D17537" s="15" t="n">
        <v>0.1125</v>
      </c>
      <c r="E17537" s="4" t="n">
        <v>928000</v>
      </c>
      <c r="F17537" s="4" t="n">
        <v>104400</v>
      </c>
    </row>
    <row r="17538">
      <c r="A17538" s="3" t="inlineStr">
        <is>
          <t>2</t>
        </is>
      </c>
      <c r="B17538" s="3" t="inlineStr">
        <is>
          <t>Urukan Pasir Uruk</t>
        </is>
      </c>
      <c r="C17538" s="3" t="inlineStr">
        <is>
          <t>m3</t>
        </is>
      </c>
      <c r="D17538" s="15" t="n">
        <v>0.225</v>
      </c>
      <c r="E17538" s="4" t="n">
        <v>488180</v>
      </c>
      <c r="F17538" s="4" t="n">
        <v>109840.5</v>
      </c>
    </row>
    <row r="17539">
      <c r="A17539" s="3" t="inlineStr">
        <is>
          <t>3</t>
        </is>
      </c>
      <c r="B17539" s="3" t="inlineStr">
        <is>
          <t>U-Ditch 180x180x120 cm</t>
        </is>
      </c>
      <c r="C17539" s="3" t="inlineStr">
        <is>
          <t>buah</t>
        </is>
      </c>
      <c r="D17539" s="15" t="n">
        <v>0.8333</v>
      </c>
      <c r="E17539" s="4" t="n">
        <v>800000</v>
      </c>
      <c r="F17539" s="4" t="n">
        <v>666640</v>
      </c>
    </row>
    <row r="17540">
      <c r="A17540" s="3" t="inlineStr">
        <is>
          <t>1</t>
        </is>
      </c>
      <c r="B17540" s="3" t="inlineStr">
        <is>
          <t>Sewa mobil crane</t>
        </is>
      </c>
      <c r="C17540" s="3" t="inlineStr">
        <is>
          <t>jam</t>
        </is>
      </c>
      <c r="D17540" s="15" t="n">
        <v>0.3372</v>
      </c>
      <c r="E17540" s="4" t="n">
        <v>1450000</v>
      </c>
      <c r="F17540" s="4" t="n">
        <v>488940</v>
      </c>
    </row>
    <row r="17541">
      <c r="D17541" s="2" t="inlineStr">
        <is>
          <t>SUBTOTAL UPAH</t>
        </is>
      </c>
      <c r="F17541" s="16" t="n">
        <v>197254</v>
      </c>
    </row>
    <row r="17542">
      <c r="D17542" s="2" t="inlineStr">
        <is>
          <t>SUBTOTAL BAHAN</t>
        </is>
      </c>
      <c r="F17542" s="16" t="n">
        <v>880880.5</v>
      </c>
    </row>
    <row r="17543">
      <c r="D17543" s="2" t="inlineStr">
        <is>
          <t>SUBTOTAL ALAT</t>
        </is>
      </c>
      <c r="F17543" s="16" t="n">
        <v>488940</v>
      </c>
    </row>
    <row r="17544">
      <c r="E17544" s="2" t="inlineStr">
        <is>
          <t>TOTAL HARGA SATUAN (Inc. Overhead)</t>
        </is>
      </c>
      <c r="F17544" s="17" t="n">
        <v>1723781</v>
      </c>
    </row>
    <row r="17546">
      <c r="A17546" s="14" t="inlineStr">
        <is>
          <t>KODE: 8.1.2.26 - 1 m Saluran U-Ditch 180x200x120 cm dengan lantai kerja fc 7,5 Mpa</t>
        </is>
      </c>
    </row>
    <row r="17547">
      <c r="A17547" s="10" t="inlineStr">
        <is>
          <t>No</t>
        </is>
      </c>
      <c r="B17547" s="10" t="inlineStr">
        <is>
          <t>Uraian Komponen</t>
        </is>
      </c>
      <c r="C17547" s="10" t="inlineStr">
        <is>
          <t>Satuan</t>
        </is>
      </c>
      <c r="D17547" s="10" t="inlineStr">
        <is>
          <t>Koef</t>
        </is>
      </c>
      <c r="E17547" s="10" t="inlineStr">
        <is>
          <t>Harga Satuan (Rp)</t>
        </is>
      </c>
      <c r="F17547" s="10" t="inlineStr">
        <is>
          <t>Jumlah Harga (Rp)</t>
        </is>
      </c>
    </row>
    <row r="17548">
      <c r="A17548" s="3" t="inlineStr">
        <is>
          <t>1</t>
        </is>
      </c>
      <c r="B17548" s="3" t="inlineStr">
        <is>
          <t>Pekerja</t>
        </is>
      </c>
      <c r="C17548" s="3" t="inlineStr">
        <is>
          <t>OJ</t>
        </is>
      </c>
      <c r="D17548" s="15" t="n">
        <v>1.3649</v>
      </c>
      <c r="E17548" s="4" t="n">
        <v>100000</v>
      </c>
      <c r="F17548" s="4" t="n">
        <v>136490</v>
      </c>
    </row>
    <row r="17549">
      <c r="A17549" s="3" t="inlineStr">
        <is>
          <t>2</t>
        </is>
      </c>
      <c r="B17549" s="3" t="inlineStr">
        <is>
          <t>Tukang Batu</t>
        </is>
      </c>
      <c r="C17549" s="3" t="inlineStr">
        <is>
          <t>OJ</t>
        </is>
      </c>
      <c r="D17549" s="15" t="n">
        <v>0.3412</v>
      </c>
      <c r="E17549" s="4" t="n">
        <v>145000</v>
      </c>
      <c r="F17549" s="4" t="n">
        <v>49474</v>
      </c>
    </row>
    <row r="17550">
      <c r="A17550" s="3" t="inlineStr">
        <is>
          <t>3</t>
        </is>
      </c>
      <c r="B17550" s="3" t="inlineStr">
        <is>
          <t>Mandor</t>
        </is>
      </c>
      <c r="C17550" s="3" t="inlineStr">
        <is>
          <t>OJ</t>
        </is>
      </c>
      <c r="D17550" s="15" t="n">
        <v>0.0682</v>
      </c>
      <c r="E17550" s="4" t="n">
        <v>200000</v>
      </c>
      <c r="F17550" s="4" t="n">
        <v>13640</v>
      </c>
    </row>
    <row r="17551">
      <c r="A17551" s="3" t="inlineStr">
        <is>
          <t>1</t>
        </is>
      </c>
      <c r="B17551" s="3" t="inlineStr">
        <is>
          <t>"Lantai Kerja fc 7 5 Mpa"</t>
        </is>
      </c>
      <c r="C17551" s="3" t="inlineStr">
        <is>
          <t>m3</t>
        </is>
      </c>
      <c r="D17551" s="15" t="n">
        <v>0.1125</v>
      </c>
      <c r="E17551" s="4" t="n">
        <v>928000</v>
      </c>
      <c r="F17551" s="4" t="n">
        <v>104400</v>
      </c>
    </row>
    <row r="17552">
      <c r="A17552" s="3" t="inlineStr">
        <is>
          <t>2</t>
        </is>
      </c>
      <c r="B17552" s="3" t="inlineStr">
        <is>
          <t>Urukan Pasir Uruk</t>
        </is>
      </c>
      <c r="C17552" s="3" t="inlineStr">
        <is>
          <t>m3</t>
        </is>
      </c>
      <c r="D17552" s="15" t="n">
        <v>0.225</v>
      </c>
      <c r="E17552" s="4" t="n">
        <v>488180</v>
      </c>
      <c r="F17552" s="4" t="n">
        <v>109840.5</v>
      </c>
    </row>
    <row r="17553">
      <c r="A17553" s="3" t="inlineStr">
        <is>
          <t>3</t>
        </is>
      </c>
      <c r="B17553" s="3" t="inlineStr">
        <is>
          <t>U-Ditch 180x200x120 cm</t>
        </is>
      </c>
      <c r="C17553" s="3" t="inlineStr">
        <is>
          <t>buah</t>
        </is>
      </c>
      <c r="D17553" s="15" t="n">
        <v>0.8333</v>
      </c>
      <c r="E17553" s="4" t="n">
        <v>830000</v>
      </c>
      <c r="F17553" s="4" t="n">
        <v>691639</v>
      </c>
    </row>
    <row r="17554">
      <c r="A17554" s="3" t="inlineStr">
        <is>
          <t>1</t>
        </is>
      </c>
      <c r="B17554" s="3" t="inlineStr">
        <is>
          <t>Sewa mobil crane</t>
        </is>
      </c>
      <c r="C17554" s="3" t="inlineStr">
        <is>
          <t>jam</t>
        </is>
      </c>
      <c r="D17554" s="15" t="n">
        <v>0.3412</v>
      </c>
      <c r="E17554" s="4" t="n">
        <v>1450000</v>
      </c>
      <c r="F17554" s="4" t="n">
        <v>494740</v>
      </c>
    </row>
    <row r="17555">
      <c r="D17555" s="2" t="inlineStr">
        <is>
          <t>SUBTOTAL UPAH</t>
        </is>
      </c>
      <c r="F17555" s="16" t="n">
        <v>199604</v>
      </c>
    </row>
    <row r="17556">
      <c r="D17556" s="2" t="inlineStr">
        <is>
          <t>SUBTOTAL BAHAN</t>
        </is>
      </c>
      <c r="F17556" s="16" t="n">
        <v>905879.5</v>
      </c>
    </row>
    <row r="17557">
      <c r="D17557" s="2" t="inlineStr">
        <is>
          <t>SUBTOTAL ALAT</t>
        </is>
      </c>
      <c r="F17557" s="16" t="n">
        <v>494740</v>
      </c>
    </row>
    <row r="17558">
      <c r="E17558" s="2" t="inlineStr">
        <is>
          <t>TOTAL HARGA SATUAN (Inc. Overhead)</t>
        </is>
      </c>
      <c r="F17558" s="17" t="n">
        <v>1760245</v>
      </c>
    </row>
    <row r="17560">
      <c r="A17560" s="14" t="inlineStr">
        <is>
          <t>KODE: 8.1.2.27 - 1 m Saluran U-Ditch 200x200x120 cm dengan lantai kerja fc 7,5 Mpa</t>
        </is>
      </c>
    </row>
    <row r="17561">
      <c r="A17561" s="10" t="inlineStr">
        <is>
          <t>No</t>
        </is>
      </c>
      <c r="B17561" s="10" t="inlineStr">
        <is>
          <t>Uraian Komponen</t>
        </is>
      </c>
      <c r="C17561" s="10" t="inlineStr">
        <is>
          <t>Satuan</t>
        </is>
      </c>
      <c r="D17561" s="10" t="inlineStr">
        <is>
          <t>Koef</t>
        </is>
      </c>
      <c r="E17561" s="10" t="inlineStr">
        <is>
          <t>Harga Satuan (Rp)</t>
        </is>
      </c>
      <c r="F17561" s="10" t="inlineStr">
        <is>
          <t>Jumlah Harga (Rp)</t>
        </is>
      </c>
    </row>
    <row r="17562">
      <c r="A17562" s="3" t="inlineStr">
        <is>
          <t>1</t>
        </is>
      </c>
      <c r="B17562" s="3" t="inlineStr">
        <is>
          <t>Pekerja</t>
        </is>
      </c>
      <c r="C17562" s="3" t="inlineStr">
        <is>
          <t>OJ</t>
        </is>
      </c>
      <c r="D17562" s="15" t="n">
        <v>1.3788</v>
      </c>
      <c r="E17562" s="4" t="n">
        <v>100000</v>
      </c>
      <c r="F17562" s="4" t="n">
        <v>137880</v>
      </c>
    </row>
    <row r="17563">
      <c r="A17563" s="3" t="inlineStr">
        <is>
          <t>2</t>
        </is>
      </c>
      <c r="B17563" s="3" t="inlineStr">
        <is>
          <t>Tukang Batu</t>
        </is>
      </c>
      <c r="C17563" s="3" t="inlineStr">
        <is>
          <t>OJ</t>
        </is>
      </c>
      <c r="D17563" s="15" t="n">
        <v>0.3447</v>
      </c>
      <c r="E17563" s="4" t="n">
        <v>145000</v>
      </c>
      <c r="F17563" s="4" t="n">
        <v>49981.5</v>
      </c>
    </row>
    <row r="17564">
      <c r="A17564" s="3" t="inlineStr">
        <is>
          <t>3</t>
        </is>
      </c>
      <c r="B17564" s="3" t="inlineStr">
        <is>
          <t>Mandor</t>
        </is>
      </c>
      <c r="C17564" s="3" t="inlineStr">
        <is>
          <t>OJ</t>
        </is>
      </c>
      <c r="D17564" s="15" t="n">
        <v>0.0689</v>
      </c>
      <c r="E17564" s="4" t="n">
        <v>200000</v>
      </c>
      <c r="F17564" s="4" t="n">
        <v>13780</v>
      </c>
    </row>
    <row r="17565">
      <c r="A17565" s="3" t="inlineStr">
        <is>
          <t>1</t>
        </is>
      </c>
      <c r="B17565" s="3" t="inlineStr">
        <is>
          <t>"Lantai Kerja fc 7 5 Mpa"</t>
        </is>
      </c>
      <c r="C17565" s="3" t="inlineStr">
        <is>
          <t>m3</t>
        </is>
      </c>
      <c r="D17565" s="15" t="n">
        <v>0.1725</v>
      </c>
      <c r="E17565" s="4" t="n">
        <v>928000</v>
      </c>
      <c r="F17565" s="4" t="n">
        <v>160080</v>
      </c>
    </row>
    <row r="17566">
      <c r="A17566" s="3" t="inlineStr">
        <is>
          <t>2</t>
        </is>
      </c>
      <c r="B17566" s="3" t="inlineStr">
        <is>
          <t>Urukan Pasir Uruk</t>
        </is>
      </c>
      <c r="C17566" s="3" t="inlineStr">
        <is>
          <t>m3</t>
        </is>
      </c>
      <c r="D17566" s="15" t="n">
        <v>0.345</v>
      </c>
      <c r="E17566" s="4" t="n">
        <v>488180</v>
      </c>
      <c r="F17566" s="4" t="n">
        <v>168422.1</v>
      </c>
    </row>
    <row r="17567">
      <c r="A17567" s="3" t="inlineStr">
        <is>
          <t>3</t>
        </is>
      </c>
      <c r="B17567" s="3" t="inlineStr">
        <is>
          <t>U-Ditch 200x200x120 cm</t>
        </is>
      </c>
      <c r="C17567" s="3" t="inlineStr">
        <is>
          <t>buah</t>
        </is>
      </c>
      <c r="D17567" s="15" t="n">
        <v>0.8333</v>
      </c>
      <c r="E17567" s="4" t="n">
        <v>850000</v>
      </c>
      <c r="F17567" s="4" t="n">
        <v>708305</v>
      </c>
    </row>
    <row r="17568">
      <c r="A17568" s="3" t="inlineStr">
        <is>
          <t>1</t>
        </is>
      </c>
      <c r="B17568" s="3" t="inlineStr">
        <is>
          <t>Sewa mobil crane</t>
        </is>
      </c>
      <c r="C17568" s="3" t="inlineStr">
        <is>
          <t>jam</t>
        </is>
      </c>
      <c r="D17568" s="15" t="n">
        <v>0.3447</v>
      </c>
      <c r="E17568" s="4" t="n">
        <v>1450000</v>
      </c>
      <c r="F17568" s="4" t="n">
        <v>499815</v>
      </c>
    </row>
    <row r="17569">
      <c r="D17569" s="2" t="inlineStr">
        <is>
          <t>SUBTOTAL UPAH</t>
        </is>
      </c>
      <c r="F17569" s="16" t="n">
        <v>201641.5</v>
      </c>
    </row>
    <row r="17570">
      <c r="D17570" s="2" t="inlineStr">
        <is>
          <t>SUBTOTAL BAHAN</t>
        </is>
      </c>
      <c r="F17570" s="16" t="n">
        <v>1036807.1</v>
      </c>
    </row>
    <row r="17571">
      <c r="D17571" s="2" t="inlineStr">
        <is>
          <t>SUBTOTAL ALAT</t>
        </is>
      </c>
      <c r="F17571" s="16" t="n">
        <v>499815</v>
      </c>
    </row>
    <row r="17572">
      <c r="E17572" s="2" t="inlineStr">
        <is>
          <t>TOTAL HARGA SATUAN (Inc. Overhead)</t>
        </is>
      </c>
      <c r="F17572" s="17" t="n">
        <v>1912089</v>
      </c>
    </row>
    <row r="17574">
      <c r="A17574" s="14" t="inlineStr">
        <is>
          <t>KODE: 8.1.3.1 - 1 m' Tutup U-Ditch 39x60x6 (Tipe LD) untuk 30x30x120 cm</t>
        </is>
      </c>
    </row>
    <row r="17575">
      <c r="A17575" s="10" t="inlineStr">
        <is>
          <t>No</t>
        </is>
      </c>
      <c r="B17575" s="10" t="inlineStr">
        <is>
          <t>Uraian Komponen</t>
        </is>
      </c>
      <c r="C17575" s="10" t="inlineStr">
        <is>
          <t>Satuan</t>
        </is>
      </c>
      <c r="D17575" s="10" t="inlineStr">
        <is>
          <t>Koef</t>
        </is>
      </c>
      <c r="E17575" s="10" t="inlineStr">
        <is>
          <t>Harga Satuan (Rp)</t>
        </is>
      </c>
      <c r="F17575" s="10" t="inlineStr">
        <is>
          <t>Jumlah Harga (Rp)</t>
        </is>
      </c>
    </row>
    <row r="17576">
      <c r="A17576" s="3" t="inlineStr">
        <is>
          <t>1</t>
        </is>
      </c>
      <c r="B17576" s="3" t="inlineStr">
        <is>
          <t>Pekerja</t>
        </is>
      </c>
      <c r="C17576" s="3" t="inlineStr">
        <is>
          <t>OJ</t>
        </is>
      </c>
      <c r="D17576" s="15" t="n">
        <v>0.0357</v>
      </c>
      <c r="E17576" s="4" t="n">
        <v>100000</v>
      </c>
      <c r="F17576" s="4" t="n">
        <v>3570</v>
      </c>
    </row>
    <row r="17577">
      <c r="A17577" s="3" t="inlineStr">
        <is>
          <t>2</t>
        </is>
      </c>
      <c r="B17577" s="3" t="inlineStr">
        <is>
          <t>Tukang Batu</t>
        </is>
      </c>
      <c r="C17577" s="3" t="inlineStr">
        <is>
          <t>OJ</t>
        </is>
      </c>
      <c r="D17577" s="15" t="n">
        <v>0.0357</v>
      </c>
      <c r="E17577" s="4" t="n">
        <v>145000</v>
      </c>
      <c r="F17577" s="4" t="n">
        <v>5176.5</v>
      </c>
    </row>
    <row r="17578">
      <c r="A17578" s="3" t="inlineStr">
        <is>
          <t>3</t>
        </is>
      </c>
      <c r="B17578" s="3" t="inlineStr">
        <is>
          <t>Mandor</t>
        </is>
      </c>
      <c r="C17578" s="3" t="inlineStr">
        <is>
          <t>OJ</t>
        </is>
      </c>
      <c r="D17578" s="15" t="n">
        <v>0.0018</v>
      </c>
      <c r="E17578" s="4" t="n">
        <v>200000</v>
      </c>
      <c r="F17578" s="4" t="n">
        <v>360</v>
      </c>
    </row>
    <row r="17579">
      <c r="A17579" s="3" t="inlineStr">
        <is>
          <t>1</t>
        </is>
      </c>
      <c r="B17579" s="3" t="inlineStr">
        <is>
          <t>Tutup U-Ditch 39x60x6 (tipe LD)</t>
        </is>
      </c>
      <c r="C17579" s="3" t="inlineStr">
        <is>
          <t>buah</t>
        </is>
      </c>
      <c r="D17579" s="15" t="n">
        <v>1.6667</v>
      </c>
      <c r="E17579" s="4" t="n">
        <v>70000</v>
      </c>
      <c r="F17579" s="4" t="n">
        <v>116669</v>
      </c>
    </row>
    <row r="17580">
      <c r="D17580" s="2" t="inlineStr">
        <is>
          <t>SUBTOTAL UPAH</t>
        </is>
      </c>
      <c r="F17580" s="16" t="n">
        <v>9106.5</v>
      </c>
    </row>
    <row r="17581">
      <c r="D17581" s="2" t="inlineStr">
        <is>
          <t>SUBTOTAL BAHAN</t>
        </is>
      </c>
      <c r="F17581" s="16" t="n">
        <v>116669</v>
      </c>
    </row>
    <row r="17582">
      <c r="D17582" s="2" t="inlineStr">
        <is>
          <t>SUBTOTAL ALAT</t>
        </is>
      </c>
      <c r="F17582" s="16" t="n">
        <v>0</v>
      </c>
    </row>
    <row r="17583">
      <c r="E17583" s="2" t="inlineStr">
        <is>
          <t>TOTAL HARGA SATUAN (Inc. Overhead)</t>
        </is>
      </c>
      <c r="F17583" s="17" t="n">
        <v>138353</v>
      </c>
    </row>
    <row r="17585">
      <c r="A17585" s="14" t="inlineStr">
        <is>
          <t>KODE: 8.1.3.2 - 1 m' Tutup U-Ditch 51x60x7 (Tipe LD) untuk 40x40x120 cm</t>
        </is>
      </c>
    </row>
    <row r="17586">
      <c r="A17586" s="10" t="inlineStr">
        <is>
          <t>No</t>
        </is>
      </c>
      <c r="B17586" s="10" t="inlineStr">
        <is>
          <t>Uraian Komponen</t>
        </is>
      </c>
      <c r="C17586" s="10" t="inlineStr">
        <is>
          <t>Satuan</t>
        </is>
      </c>
      <c r="D17586" s="10" t="inlineStr">
        <is>
          <t>Koef</t>
        </is>
      </c>
      <c r="E17586" s="10" t="inlineStr">
        <is>
          <t>Harga Satuan (Rp)</t>
        </is>
      </c>
      <c r="F17586" s="10" t="inlineStr">
        <is>
          <t>Jumlah Harga (Rp)</t>
        </is>
      </c>
    </row>
    <row r="17587">
      <c r="A17587" s="3" t="inlineStr">
        <is>
          <t>1</t>
        </is>
      </c>
      <c r="B17587" s="3" t="inlineStr">
        <is>
          <t>Pekerja</t>
        </is>
      </c>
      <c r="C17587" s="3" t="inlineStr">
        <is>
          <t>OJ</t>
        </is>
      </c>
      <c r="D17587" s="15" t="n">
        <v>0.0794</v>
      </c>
      <c r="E17587" s="4" t="n">
        <v>100000</v>
      </c>
      <c r="F17587" s="4" t="n">
        <v>7940</v>
      </c>
    </row>
    <row r="17588">
      <c r="A17588" s="3" t="inlineStr">
        <is>
          <t>2</t>
        </is>
      </c>
      <c r="B17588" s="3" t="inlineStr">
        <is>
          <t>Tukang Batu</t>
        </is>
      </c>
      <c r="C17588" s="3" t="inlineStr">
        <is>
          <t>OJ</t>
        </is>
      </c>
      <c r="D17588" s="15" t="n">
        <v>0.0397</v>
      </c>
      <c r="E17588" s="4" t="n">
        <v>145000</v>
      </c>
      <c r="F17588" s="4" t="n">
        <v>5756.5</v>
      </c>
    </row>
    <row r="17589">
      <c r="A17589" s="3" t="inlineStr">
        <is>
          <t>3</t>
        </is>
      </c>
      <c r="B17589" s="3" t="inlineStr">
        <is>
          <t>Mandor</t>
        </is>
      </c>
      <c r="C17589" s="3" t="inlineStr">
        <is>
          <t>OJ</t>
        </is>
      </c>
      <c r="D17589" s="15" t="n">
        <v>0.004</v>
      </c>
      <c r="E17589" s="4" t="n">
        <v>200000</v>
      </c>
      <c r="F17589" s="4" t="n">
        <v>800</v>
      </c>
    </row>
    <row r="17590">
      <c r="A17590" s="3" t="inlineStr">
        <is>
          <t>1</t>
        </is>
      </c>
      <c r="B17590" s="3" t="inlineStr">
        <is>
          <t>Tutup U-Ditch 51x60x7 (tipe LD)</t>
        </is>
      </c>
      <c r="C17590" s="3" t="inlineStr">
        <is>
          <t>buah</t>
        </is>
      </c>
      <c r="D17590" s="15" t="n">
        <v>1.6667</v>
      </c>
      <c r="E17590" s="4" t="n">
        <v>100000</v>
      </c>
      <c r="F17590" s="4" t="n">
        <v>166670</v>
      </c>
    </row>
    <row r="17591">
      <c r="D17591" s="2" t="inlineStr">
        <is>
          <t>SUBTOTAL UPAH</t>
        </is>
      </c>
      <c r="F17591" s="16" t="n">
        <v>14496.5</v>
      </c>
    </row>
    <row r="17592">
      <c r="D17592" s="2" t="inlineStr">
        <is>
          <t>SUBTOTAL BAHAN</t>
        </is>
      </c>
      <c r="F17592" s="16" t="n">
        <v>166670</v>
      </c>
    </row>
    <row r="17593">
      <c r="D17593" s="2" t="inlineStr">
        <is>
          <t>SUBTOTAL ALAT</t>
        </is>
      </c>
      <c r="F17593" s="16" t="n">
        <v>0</v>
      </c>
    </row>
    <row r="17594">
      <c r="E17594" s="2" t="inlineStr">
        <is>
          <t>TOTAL HARGA SATUAN (Inc. Overhead)</t>
        </is>
      </c>
      <c r="F17594" s="17" t="n">
        <v>199283</v>
      </c>
    </row>
    <row r="17596">
      <c r="A17596" s="14" t="inlineStr">
        <is>
          <t>KODE: 8.1.3.3 - 1 m' Tutup U-Ditch 62x60x7,5 (Tipe LD) untuk 50x50x120 cm</t>
        </is>
      </c>
    </row>
    <row r="17597">
      <c r="A17597" s="10" t="inlineStr">
        <is>
          <t>No</t>
        </is>
      </c>
      <c r="B17597" s="10" t="inlineStr">
        <is>
          <t>Uraian Komponen</t>
        </is>
      </c>
      <c r="C17597" s="10" t="inlineStr">
        <is>
          <t>Satuan</t>
        </is>
      </c>
      <c r="D17597" s="10" t="inlineStr">
        <is>
          <t>Koef</t>
        </is>
      </c>
      <c r="E17597" s="10" t="inlineStr">
        <is>
          <t>Harga Satuan (Rp)</t>
        </is>
      </c>
      <c r="F17597" s="10" t="inlineStr">
        <is>
          <t>Jumlah Harga (Rp)</t>
        </is>
      </c>
    </row>
    <row r="17598">
      <c r="A17598" s="3" t="inlineStr">
        <is>
          <t>1</t>
        </is>
      </c>
      <c r="B17598" s="3" t="inlineStr">
        <is>
          <t>Pekerja</t>
        </is>
      </c>
      <c r="C17598" s="3" t="inlineStr">
        <is>
          <t>OJ</t>
        </is>
      </c>
      <c r="D17598" s="15" t="n">
        <v>0.0873</v>
      </c>
      <c r="E17598" s="4" t="n">
        <v>100000</v>
      </c>
      <c r="F17598" s="4" t="n">
        <v>8730</v>
      </c>
    </row>
    <row r="17599">
      <c r="A17599" s="3" t="inlineStr">
        <is>
          <t>2</t>
        </is>
      </c>
      <c r="B17599" s="3" t="inlineStr">
        <is>
          <t>Tukang Batu</t>
        </is>
      </c>
      <c r="C17599" s="3" t="inlineStr">
        <is>
          <t>OJ</t>
        </is>
      </c>
      <c r="D17599" s="15" t="n">
        <v>0.0437</v>
      </c>
      <c r="E17599" s="4" t="n">
        <v>145000</v>
      </c>
      <c r="F17599" s="4" t="n">
        <v>6336.5</v>
      </c>
    </row>
    <row r="17600">
      <c r="A17600" s="3" t="inlineStr">
        <is>
          <t>3</t>
        </is>
      </c>
      <c r="B17600" s="3" t="inlineStr">
        <is>
          <t>Mandor</t>
        </is>
      </c>
      <c r="C17600" s="3" t="inlineStr">
        <is>
          <t>OJ</t>
        </is>
      </c>
      <c r="D17600" s="15" t="n">
        <v>0.0044</v>
      </c>
      <c r="E17600" s="4" t="n">
        <v>200000</v>
      </c>
      <c r="F17600" s="4" t="n">
        <v>880</v>
      </c>
    </row>
    <row r="17601">
      <c r="A17601" s="3" t="inlineStr">
        <is>
          <t>1</t>
        </is>
      </c>
      <c r="B17601" s="3" t="inlineStr">
        <is>
          <t>"Tutup U-Ditch 62x60x7 5 (tipe LD)"</t>
        </is>
      </c>
      <c r="C17601" s="3" t="inlineStr">
        <is>
          <t>buah</t>
        </is>
      </c>
      <c r="D17601" s="15" t="n">
        <v>1.6667</v>
      </c>
      <c r="E17601" s="4" t="n">
        <v>125000</v>
      </c>
      <c r="F17601" s="4" t="n">
        <v>208337.5</v>
      </c>
    </row>
    <row r="17602">
      <c r="D17602" s="2" t="inlineStr">
        <is>
          <t>SUBTOTAL UPAH</t>
        </is>
      </c>
      <c r="F17602" s="16" t="n">
        <v>15946.5</v>
      </c>
    </row>
    <row r="17603">
      <c r="D17603" s="2" t="inlineStr">
        <is>
          <t>SUBTOTAL BAHAN</t>
        </is>
      </c>
      <c r="F17603" s="16" t="n">
        <v>208337.5</v>
      </c>
    </row>
    <row r="17604">
      <c r="D17604" s="2" t="inlineStr">
        <is>
          <t>SUBTOTAL ALAT</t>
        </is>
      </c>
      <c r="F17604" s="16" t="n">
        <v>0</v>
      </c>
    </row>
    <row r="17605">
      <c r="E17605" s="2" t="inlineStr">
        <is>
          <t>TOTAL HARGA SATUAN (Inc. Overhead)</t>
        </is>
      </c>
      <c r="F17605" s="17" t="n">
        <v>246712</v>
      </c>
    </row>
    <row r="17607">
      <c r="A17607" s="14" t="inlineStr">
        <is>
          <t>KODE: 8.1.3.4 - 1 m' Tutup U-Ditch 73x60x8 (Tipe LD) untuk 60x60x120 cm</t>
        </is>
      </c>
    </row>
    <row r="17608">
      <c r="A17608" s="10" t="inlineStr">
        <is>
          <t>No</t>
        </is>
      </c>
      <c r="B17608" s="10" t="inlineStr">
        <is>
          <t>Uraian Komponen</t>
        </is>
      </c>
      <c r="C17608" s="10" t="inlineStr">
        <is>
          <t>Satuan</t>
        </is>
      </c>
      <c r="D17608" s="10" t="inlineStr">
        <is>
          <t>Koef</t>
        </is>
      </c>
      <c r="E17608" s="10" t="inlineStr">
        <is>
          <t>Harga Satuan (Rp)</t>
        </is>
      </c>
      <c r="F17608" s="10" t="inlineStr">
        <is>
          <t>Jumlah Harga (Rp)</t>
        </is>
      </c>
    </row>
    <row r="17609">
      <c r="A17609" s="3" t="inlineStr">
        <is>
          <t>1</t>
        </is>
      </c>
      <c r="B17609" s="3" t="inlineStr">
        <is>
          <t>Pekerja</t>
        </is>
      </c>
      <c r="C17609" s="3" t="inlineStr">
        <is>
          <t>OJ</t>
        </is>
      </c>
      <c r="D17609" s="15" t="n">
        <v>0.1032</v>
      </c>
      <c r="E17609" s="4" t="n">
        <v>100000</v>
      </c>
      <c r="F17609" s="4" t="n">
        <v>10320</v>
      </c>
    </row>
    <row r="17610">
      <c r="A17610" s="3" t="inlineStr">
        <is>
          <t>2</t>
        </is>
      </c>
      <c r="B17610" s="3" t="inlineStr">
        <is>
          <t>Tukang Batu</t>
        </is>
      </c>
      <c r="C17610" s="3" t="inlineStr">
        <is>
          <t>OJ</t>
        </is>
      </c>
      <c r="D17610" s="15" t="n">
        <v>0.0516</v>
      </c>
      <c r="E17610" s="4" t="n">
        <v>145000</v>
      </c>
      <c r="F17610" s="4" t="n">
        <v>7482</v>
      </c>
    </row>
    <row r="17611">
      <c r="A17611" s="3" t="inlineStr">
        <is>
          <t>3</t>
        </is>
      </c>
      <c r="B17611" s="3" t="inlineStr">
        <is>
          <t>Mandor</t>
        </is>
      </c>
      <c r="C17611" s="3" t="inlineStr">
        <is>
          <t>OJ</t>
        </is>
      </c>
      <c r="D17611" s="15" t="n">
        <v>0.0052</v>
      </c>
      <c r="E17611" s="4" t="n">
        <v>200000</v>
      </c>
      <c r="F17611" s="4" t="n">
        <v>1040</v>
      </c>
    </row>
    <row r="17612">
      <c r="A17612" s="3" t="inlineStr">
        <is>
          <t>1</t>
        </is>
      </c>
      <c r="B17612" s="3" t="inlineStr">
        <is>
          <t>"Tutup U-Ditch 73x60x7 8 (tipe LD)"</t>
        </is>
      </c>
      <c r="C17612" s="3" t="inlineStr">
        <is>
          <t>buah</t>
        </is>
      </c>
      <c r="D17612" s="15" t="n">
        <v>1.6667</v>
      </c>
      <c r="E17612" s="4" t="n">
        <v>165000</v>
      </c>
      <c r="F17612" s="4" t="n">
        <v>275005.5</v>
      </c>
    </row>
    <row r="17613">
      <c r="D17613" s="2" t="inlineStr">
        <is>
          <t>SUBTOTAL UPAH</t>
        </is>
      </c>
      <c r="F17613" s="16" t="n">
        <v>18842</v>
      </c>
    </row>
    <row r="17614">
      <c r="D17614" s="2" t="inlineStr">
        <is>
          <t>SUBTOTAL BAHAN</t>
        </is>
      </c>
      <c r="F17614" s="16" t="n">
        <v>275005.5</v>
      </c>
    </row>
    <row r="17615">
      <c r="D17615" s="2" t="inlineStr">
        <is>
          <t>SUBTOTAL ALAT</t>
        </is>
      </c>
      <c r="F17615" s="16" t="n">
        <v>0</v>
      </c>
    </row>
    <row r="17616">
      <c r="E17616" s="2" t="inlineStr">
        <is>
          <t>TOTAL HARGA SATUAN (Inc. Overhead)</t>
        </is>
      </c>
      <c r="F17616" s="17" t="n">
        <v>323232</v>
      </c>
    </row>
    <row r="17618">
      <c r="A17618" s="14" t="inlineStr">
        <is>
          <t>KODE: 8.1.3.5 - 1 m' Tutup U-Ditch 94x60x8 (Tipe LD) untuk 80x80x120 cm</t>
        </is>
      </c>
    </row>
    <row r="17619">
      <c r="A17619" s="10" t="inlineStr">
        <is>
          <t>No</t>
        </is>
      </c>
      <c r="B17619" s="10" t="inlineStr">
        <is>
          <t>Uraian Komponen</t>
        </is>
      </c>
      <c r="C17619" s="10" t="inlineStr">
        <is>
          <t>Satuan</t>
        </is>
      </c>
      <c r="D17619" s="10" t="inlineStr">
        <is>
          <t>Koef</t>
        </is>
      </c>
      <c r="E17619" s="10" t="inlineStr">
        <is>
          <t>Harga Satuan (Rp)</t>
        </is>
      </c>
      <c r="F17619" s="10" t="inlineStr">
        <is>
          <t>Jumlah Harga (Rp)</t>
        </is>
      </c>
    </row>
    <row r="17620">
      <c r="A17620" s="3" t="inlineStr">
        <is>
          <t>1</t>
        </is>
      </c>
      <c r="B17620" s="3" t="inlineStr">
        <is>
          <t>Pekerja</t>
        </is>
      </c>
      <c r="C17620" s="3" t="inlineStr">
        <is>
          <t>OJ</t>
        </is>
      </c>
      <c r="D17620" s="15" t="n">
        <v>0.0722</v>
      </c>
      <c r="E17620" s="4" t="n">
        <v>100000</v>
      </c>
      <c r="F17620" s="4" t="n">
        <v>7220</v>
      </c>
    </row>
    <row r="17621">
      <c r="A17621" s="3" t="inlineStr">
        <is>
          <t>2</t>
        </is>
      </c>
      <c r="B17621" s="3" t="inlineStr">
        <is>
          <t>Tukang Batu</t>
        </is>
      </c>
      <c r="C17621" s="3" t="inlineStr">
        <is>
          <t>OJ</t>
        </is>
      </c>
      <c r="D17621" s="15" t="n">
        <v>0.0722</v>
      </c>
      <c r="E17621" s="4" t="n">
        <v>145000</v>
      </c>
      <c r="F17621" s="4" t="n">
        <v>10469</v>
      </c>
    </row>
    <row r="17622">
      <c r="A17622" s="3" t="inlineStr">
        <is>
          <t>3</t>
        </is>
      </c>
      <c r="B17622" s="3" t="inlineStr">
        <is>
          <t>Mandor</t>
        </is>
      </c>
      <c r="C17622" s="3" t="inlineStr">
        <is>
          <t>OJ</t>
        </is>
      </c>
      <c r="D17622" s="15" t="n">
        <v>0.0036</v>
      </c>
      <c r="E17622" s="4" t="n">
        <v>200000</v>
      </c>
      <c r="F17622" s="4" t="n">
        <v>720</v>
      </c>
    </row>
    <row r="17623">
      <c r="A17623" s="3" t="inlineStr">
        <is>
          <t>1</t>
        </is>
      </c>
      <c r="B17623" s="3" t="inlineStr">
        <is>
          <t>Tutup U-Ditch 94x60x10 (tipe LD)</t>
        </is>
      </c>
      <c r="C17623" s="3" t="inlineStr">
        <is>
          <t>buah</t>
        </is>
      </c>
      <c r="D17623" s="15" t="n">
        <v>1.6667</v>
      </c>
      <c r="E17623" s="4" t="n">
        <v>195000</v>
      </c>
      <c r="F17623" s="4" t="n">
        <v>325006.5</v>
      </c>
    </row>
    <row r="17624">
      <c r="D17624" s="2" t="inlineStr">
        <is>
          <t>SUBTOTAL UPAH</t>
        </is>
      </c>
      <c r="F17624" s="16" t="n">
        <v>18409</v>
      </c>
    </row>
    <row r="17625">
      <c r="D17625" s="2" t="inlineStr">
        <is>
          <t>SUBTOTAL BAHAN</t>
        </is>
      </c>
      <c r="F17625" s="16" t="n">
        <v>325006.5</v>
      </c>
    </row>
    <row r="17626">
      <c r="D17626" s="2" t="inlineStr">
        <is>
          <t>SUBTOTAL ALAT</t>
        </is>
      </c>
      <c r="F17626" s="16" t="n">
        <v>0</v>
      </c>
    </row>
    <row r="17627">
      <c r="E17627" s="2" t="inlineStr">
        <is>
          <t>TOTAL HARGA SATUAN (Inc. Overhead)</t>
        </is>
      </c>
      <c r="F17627" s="17" t="n">
        <v>377757</v>
      </c>
    </row>
    <row r="17629">
      <c r="A17629" s="14" t="inlineStr">
        <is>
          <t>KODE: 8.1.3.6 - 1 m' Tutup U-Ditch 39x60x9 (Tipe HD) untuk 30x30x120 cm</t>
        </is>
      </c>
    </row>
    <row r="17630">
      <c r="A17630" s="10" t="inlineStr">
        <is>
          <t>No</t>
        </is>
      </c>
      <c r="B17630" s="10" t="inlineStr">
        <is>
          <t>Uraian Komponen</t>
        </is>
      </c>
      <c r="C17630" s="10" t="inlineStr">
        <is>
          <t>Satuan</t>
        </is>
      </c>
      <c r="D17630" s="10" t="inlineStr">
        <is>
          <t>Koef</t>
        </is>
      </c>
      <c r="E17630" s="10" t="inlineStr">
        <is>
          <t>Harga Satuan (Rp)</t>
        </is>
      </c>
      <c r="F17630" s="10" t="inlineStr">
        <is>
          <t>Jumlah Harga (Rp)</t>
        </is>
      </c>
    </row>
    <row r="17631">
      <c r="A17631" s="3" t="inlineStr">
        <is>
          <t>1</t>
        </is>
      </c>
      <c r="B17631" s="3" t="inlineStr">
        <is>
          <t>Pekerja</t>
        </is>
      </c>
      <c r="C17631" s="3" t="inlineStr">
        <is>
          <t>OJ</t>
        </is>
      </c>
      <c r="D17631" s="15" t="n">
        <v>0.07140000000000001</v>
      </c>
      <c r="E17631" s="4" t="n">
        <v>100000</v>
      </c>
      <c r="F17631" s="4" t="n">
        <v>7140.000000000001</v>
      </c>
    </row>
    <row r="17632">
      <c r="A17632" s="3" t="inlineStr">
        <is>
          <t>2</t>
        </is>
      </c>
      <c r="B17632" s="3" t="inlineStr">
        <is>
          <t>Tukang Batu</t>
        </is>
      </c>
      <c r="C17632" s="3" t="inlineStr">
        <is>
          <t>OJ</t>
        </is>
      </c>
      <c r="D17632" s="15" t="n">
        <v>0.0357</v>
      </c>
      <c r="E17632" s="4" t="n">
        <v>145000</v>
      </c>
      <c r="F17632" s="4" t="n">
        <v>5176.5</v>
      </c>
    </row>
    <row r="17633">
      <c r="A17633" s="3" t="inlineStr">
        <is>
          <t>3</t>
        </is>
      </c>
      <c r="B17633" s="3" t="inlineStr">
        <is>
          <t>Mandor</t>
        </is>
      </c>
      <c r="C17633" s="3" t="inlineStr">
        <is>
          <t>OJ</t>
        </is>
      </c>
      <c r="D17633" s="15" t="n">
        <v>0.0036</v>
      </c>
      <c r="E17633" s="4" t="n">
        <v>200000</v>
      </c>
      <c r="F17633" s="4" t="n">
        <v>720</v>
      </c>
    </row>
    <row r="17634">
      <c r="A17634" s="3" t="inlineStr">
        <is>
          <t>1</t>
        </is>
      </c>
      <c r="B17634" s="3" t="inlineStr">
        <is>
          <t>Tutup U-Ditch 39x60x9 (tipe HD)</t>
        </is>
      </c>
      <c r="C17634" s="3" t="inlineStr">
        <is>
          <t>buah</t>
        </is>
      </c>
      <c r="D17634" s="15" t="n">
        <v>1.6667</v>
      </c>
      <c r="E17634" s="4" t="n">
        <v>125000</v>
      </c>
      <c r="F17634" s="4" t="n">
        <v>208337.5</v>
      </c>
    </row>
    <row r="17635">
      <c r="D17635" s="2" t="inlineStr">
        <is>
          <t>SUBTOTAL UPAH</t>
        </is>
      </c>
      <c r="F17635" s="16" t="n">
        <v>13036.5</v>
      </c>
    </row>
    <row r="17636">
      <c r="D17636" s="2" t="inlineStr">
        <is>
          <t>SUBTOTAL BAHAN</t>
        </is>
      </c>
      <c r="F17636" s="16" t="n">
        <v>208337.5</v>
      </c>
    </row>
    <row r="17637">
      <c r="D17637" s="2" t="inlineStr">
        <is>
          <t>SUBTOTAL ALAT</t>
        </is>
      </c>
      <c r="F17637" s="16" t="n">
        <v>0</v>
      </c>
    </row>
    <row r="17638">
      <c r="E17638" s="2" t="inlineStr">
        <is>
          <t>TOTAL HARGA SATUAN (Inc. Overhead)</t>
        </is>
      </c>
      <c r="F17638" s="17" t="n">
        <v>243511</v>
      </c>
    </row>
    <row r="17640">
      <c r="A17640" s="14" t="inlineStr">
        <is>
          <t>KODE: 8.1.3.7 - 1 m' Tutup U-Ditch 51x60x10 (Tipe HD) untuk 40x40x120 cm</t>
        </is>
      </c>
    </row>
    <row r="17641">
      <c r="A17641" s="10" t="inlineStr">
        <is>
          <t>No</t>
        </is>
      </c>
      <c r="B17641" s="10" t="inlineStr">
        <is>
          <t>Uraian Komponen</t>
        </is>
      </c>
      <c r="C17641" s="10" t="inlineStr">
        <is>
          <t>Satuan</t>
        </is>
      </c>
      <c r="D17641" s="10" t="inlineStr">
        <is>
          <t>Koef</t>
        </is>
      </c>
      <c r="E17641" s="10" t="inlineStr">
        <is>
          <t>Harga Satuan (Rp)</t>
        </is>
      </c>
      <c r="F17641" s="10" t="inlineStr">
        <is>
          <t>Jumlah Harga (Rp)</t>
        </is>
      </c>
    </row>
    <row r="17642">
      <c r="A17642" s="3" t="inlineStr">
        <is>
          <t>1</t>
        </is>
      </c>
      <c r="B17642" s="3" t="inlineStr">
        <is>
          <t>Pekerja</t>
        </is>
      </c>
      <c r="C17642" s="3" t="inlineStr">
        <is>
          <t>OJ</t>
        </is>
      </c>
      <c r="D17642" s="15" t="n">
        <v>0.09520000000000001</v>
      </c>
      <c r="E17642" s="4" t="n">
        <v>100000</v>
      </c>
      <c r="F17642" s="4" t="n">
        <v>9520</v>
      </c>
    </row>
    <row r="17643">
      <c r="A17643" s="3" t="inlineStr">
        <is>
          <t>2</t>
        </is>
      </c>
      <c r="B17643" s="3" t="inlineStr">
        <is>
          <t>Tukang Batu</t>
        </is>
      </c>
      <c r="C17643" s="3" t="inlineStr">
        <is>
          <t>OJ</t>
        </is>
      </c>
      <c r="D17643" s="15" t="n">
        <v>0.0476</v>
      </c>
      <c r="E17643" s="4" t="n">
        <v>145000</v>
      </c>
      <c r="F17643" s="4" t="n">
        <v>6902.000000000001</v>
      </c>
    </row>
    <row r="17644">
      <c r="A17644" s="3" t="inlineStr">
        <is>
          <t>3</t>
        </is>
      </c>
      <c r="B17644" s="3" t="inlineStr">
        <is>
          <t>Mandor</t>
        </is>
      </c>
      <c r="C17644" s="3" t="inlineStr">
        <is>
          <t>OJ</t>
        </is>
      </c>
      <c r="D17644" s="15" t="n">
        <v>0.0048</v>
      </c>
      <c r="E17644" s="4" t="n">
        <v>200000</v>
      </c>
      <c r="F17644" s="4" t="n">
        <v>959.9999999999999</v>
      </c>
    </row>
    <row r="17645">
      <c r="A17645" s="3" t="inlineStr">
        <is>
          <t>1</t>
        </is>
      </c>
      <c r="B17645" s="3" t="inlineStr">
        <is>
          <t>Tutup U-Ditch 51x60x10 (tipe HD)</t>
        </is>
      </c>
      <c r="C17645" s="3" t="inlineStr">
        <is>
          <t>buah</t>
        </is>
      </c>
      <c r="D17645" s="15" t="n">
        <v>1.6667</v>
      </c>
      <c r="E17645" s="4" t="n">
        <v>176000</v>
      </c>
      <c r="F17645" s="4" t="n">
        <v>293339.2</v>
      </c>
    </row>
    <row r="17646">
      <c r="D17646" s="2" t="inlineStr">
        <is>
          <t>SUBTOTAL UPAH</t>
        </is>
      </c>
      <c r="F17646" s="16" t="n">
        <v>17382</v>
      </c>
    </row>
    <row r="17647">
      <c r="D17647" s="2" t="inlineStr">
        <is>
          <t>SUBTOTAL BAHAN</t>
        </is>
      </c>
      <c r="F17647" s="16" t="n">
        <v>293339.2</v>
      </c>
    </row>
    <row r="17648">
      <c r="D17648" s="2" t="inlineStr">
        <is>
          <t>SUBTOTAL ALAT</t>
        </is>
      </c>
      <c r="F17648" s="16" t="n">
        <v>0</v>
      </c>
    </row>
    <row r="17649">
      <c r="E17649" s="2" t="inlineStr">
        <is>
          <t>TOTAL HARGA SATUAN (Inc. Overhead)</t>
        </is>
      </c>
      <c r="F17649" s="17" t="n">
        <v>341793</v>
      </c>
    </row>
    <row r="17651">
      <c r="A17651" s="14" t="inlineStr">
        <is>
          <t>KODE: 8.1.3.8 - 1 m' Tutup U-Ditch 62x60x13 (Tipe HD) untuk 50x50x120 cm</t>
        </is>
      </c>
    </row>
    <row r="17652">
      <c r="A17652" s="10" t="inlineStr">
        <is>
          <t>No</t>
        </is>
      </c>
      <c r="B17652" s="10" t="inlineStr">
        <is>
          <t>Uraian Komponen</t>
        </is>
      </c>
      <c r="C17652" s="10" t="inlineStr">
        <is>
          <t>Satuan</t>
        </is>
      </c>
      <c r="D17652" s="10" t="inlineStr">
        <is>
          <t>Koef</t>
        </is>
      </c>
      <c r="E17652" s="10" t="inlineStr">
        <is>
          <t>Harga Satuan (Rp)</t>
        </is>
      </c>
      <c r="F17652" s="10" t="inlineStr">
        <is>
          <t>Jumlah Harga (Rp)</t>
        </is>
      </c>
    </row>
    <row r="17653">
      <c r="A17653" s="3" t="inlineStr">
        <is>
          <t>1</t>
        </is>
      </c>
      <c r="B17653" s="3" t="inlineStr">
        <is>
          <t>Pekerja</t>
        </is>
      </c>
      <c r="C17653" s="3" t="inlineStr">
        <is>
          <t>OJ</t>
        </is>
      </c>
      <c r="D17653" s="15" t="n">
        <v>0.0654</v>
      </c>
      <c r="E17653" s="4" t="n">
        <v>100000</v>
      </c>
      <c r="F17653" s="4" t="n">
        <v>6540</v>
      </c>
    </row>
    <row r="17654">
      <c r="A17654" s="3" t="inlineStr">
        <is>
          <t>2</t>
        </is>
      </c>
      <c r="B17654" s="3" t="inlineStr">
        <is>
          <t>Tukang Batu</t>
        </is>
      </c>
      <c r="C17654" s="3" t="inlineStr">
        <is>
          <t>OJ</t>
        </is>
      </c>
      <c r="D17654" s="15" t="n">
        <v>0.0654</v>
      </c>
      <c r="E17654" s="4" t="n">
        <v>145000</v>
      </c>
      <c r="F17654" s="4" t="n">
        <v>9483</v>
      </c>
    </row>
    <row r="17655">
      <c r="A17655" s="3" t="inlineStr">
        <is>
          <t>3</t>
        </is>
      </c>
      <c r="B17655" s="3" t="inlineStr">
        <is>
          <t>Mandor</t>
        </is>
      </c>
      <c r="C17655" s="3" t="inlineStr">
        <is>
          <t>OJ</t>
        </is>
      </c>
      <c r="D17655" s="15" t="n">
        <v>0.0033</v>
      </c>
      <c r="E17655" s="4" t="n">
        <v>200000</v>
      </c>
      <c r="F17655" s="4" t="n">
        <v>660</v>
      </c>
    </row>
    <row r="17656">
      <c r="A17656" s="3" t="inlineStr">
        <is>
          <t>1</t>
        </is>
      </c>
      <c r="B17656" s="3" t="inlineStr">
        <is>
          <t>Tutup U-Ditch 51x60x10 (tipe HD)</t>
        </is>
      </c>
      <c r="C17656" s="3" t="inlineStr">
        <is>
          <t>buah</t>
        </is>
      </c>
      <c r="D17656" s="15" t="n">
        <v>1.6667</v>
      </c>
      <c r="E17656" s="4" t="n">
        <v>176000</v>
      </c>
      <c r="F17656" s="4" t="n">
        <v>293339.2</v>
      </c>
    </row>
    <row r="17657">
      <c r="A17657" s="3" t="inlineStr">
        <is>
          <t>Excavator 95 HP</t>
        </is>
      </c>
      <c r="B17657" s="3" t="inlineStr"/>
      <c r="C17657" s="3" t="inlineStr">
        <is>
          <t>jam</t>
        </is>
      </c>
      <c r="D17657" s="15" t="n">
        <v>0.0654</v>
      </c>
      <c r="E17657" s="4" t="n">
        <v>480000</v>
      </c>
      <c r="F17657" s="4" t="n">
        <v>31392</v>
      </c>
    </row>
    <row r="17658">
      <c r="D17658" s="2" t="inlineStr">
        <is>
          <t>SUBTOTAL UPAH</t>
        </is>
      </c>
      <c r="F17658" s="16" t="n">
        <v>16683</v>
      </c>
    </row>
    <row r="17659">
      <c r="D17659" s="2" t="inlineStr">
        <is>
          <t>SUBTOTAL BAHAN</t>
        </is>
      </c>
      <c r="F17659" s="16" t="n">
        <v>293339.2</v>
      </c>
    </row>
    <row r="17660">
      <c r="D17660" s="2" t="inlineStr">
        <is>
          <t>SUBTOTAL ALAT</t>
        </is>
      </c>
      <c r="F17660" s="16" t="n">
        <v>31392</v>
      </c>
    </row>
    <row r="17661">
      <c r="E17661" s="2" t="inlineStr">
        <is>
          <t>TOTAL HARGA SATUAN (Inc. Overhead)</t>
        </is>
      </c>
      <c r="F17661" s="17" t="n">
        <v>375555</v>
      </c>
    </row>
    <row r="17663">
      <c r="A17663" s="14" t="inlineStr">
        <is>
          <t>KODE: 8.1.3.9 - 1 m' Tutup U-Ditch 73x60x14 (Tipe HD) untuk 60x60x120 cm</t>
        </is>
      </c>
    </row>
    <row r="17664">
      <c r="A17664" s="10" t="inlineStr">
        <is>
          <t>No</t>
        </is>
      </c>
      <c r="B17664" s="10" t="inlineStr">
        <is>
          <t>Uraian Komponen</t>
        </is>
      </c>
      <c r="C17664" s="10" t="inlineStr">
        <is>
          <t>Satuan</t>
        </is>
      </c>
      <c r="D17664" s="10" t="inlineStr">
        <is>
          <t>Koef</t>
        </is>
      </c>
      <c r="E17664" s="10" t="inlineStr">
        <is>
          <t>Harga Satuan (Rp)</t>
        </is>
      </c>
      <c r="F17664" s="10" t="inlineStr">
        <is>
          <t>Jumlah Harga (Rp)</t>
        </is>
      </c>
    </row>
    <row r="17665">
      <c r="A17665" s="3" t="inlineStr">
        <is>
          <t>1</t>
        </is>
      </c>
      <c r="B17665" s="3" t="inlineStr">
        <is>
          <t>Pekerja</t>
        </is>
      </c>
      <c r="C17665" s="3" t="inlineStr">
        <is>
          <t>OJ</t>
        </is>
      </c>
      <c r="D17665" s="15" t="n">
        <v>0.0732</v>
      </c>
      <c r="E17665" s="4" t="n">
        <v>100000</v>
      </c>
      <c r="F17665" s="4" t="n">
        <v>7320</v>
      </c>
    </row>
    <row r="17666">
      <c r="A17666" s="3" t="inlineStr">
        <is>
          <t>2</t>
        </is>
      </c>
      <c r="B17666" s="3" t="inlineStr">
        <is>
          <t>Tukang Batu</t>
        </is>
      </c>
      <c r="C17666" s="3" t="inlineStr">
        <is>
          <t>OJ</t>
        </is>
      </c>
      <c r="D17666" s="15" t="n">
        <v>0.0732</v>
      </c>
      <c r="E17666" s="4" t="n">
        <v>145000</v>
      </c>
      <c r="F17666" s="4" t="n">
        <v>10614</v>
      </c>
    </row>
    <row r="17667">
      <c r="A17667" s="3" t="inlineStr">
        <is>
          <t>3</t>
        </is>
      </c>
      <c r="B17667" s="3" t="inlineStr">
        <is>
          <t>Mandor</t>
        </is>
      </c>
      <c r="C17667" s="3" t="inlineStr">
        <is>
          <t>OJ</t>
        </is>
      </c>
      <c r="D17667" s="15" t="n">
        <v>0.0037</v>
      </c>
      <c r="E17667" s="4" t="n">
        <v>200000</v>
      </c>
      <c r="F17667" s="4" t="n">
        <v>740</v>
      </c>
    </row>
    <row r="17668">
      <c r="A17668" s="3" t="inlineStr">
        <is>
          <t>1</t>
        </is>
      </c>
      <c r="B17668" s="3" t="inlineStr">
        <is>
          <t>Tutup U-Ditch 73x60x14 (tipe HD)</t>
        </is>
      </c>
      <c r="C17668" s="3" t="inlineStr">
        <is>
          <t>buah</t>
        </is>
      </c>
      <c r="D17668" s="15" t="n">
        <v>1.6667</v>
      </c>
      <c r="E17668" s="4" t="n">
        <v>235000</v>
      </c>
      <c r="F17668" s="4" t="n">
        <v>391674.5</v>
      </c>
    </row>
    <row r="17669">
      <c r="A17669" s="3" t="inlineStr">
        <is>
          <t>Excavator 95 HP</t>
        </is>
      </c>
      <c r="B17669" s="3" t="inlineStr"/>
      <c r="C17669" s="3" t="inlineStr">
        <is>
          <t>jam</t>
        </is>
      </c>
      <c r="D17669" s="15" t="n">
        <v>0.0732</v>
      </c>
      <c r="E17669" s="4" t="n">
        <v>480000</v>
      </c>
      <c r="F17669" s="4" t="n">
        <v>35136</v>
      </c>
    </row>
    <row r="17670">
      <c r="D17670" s="2" t="inlineStr">
        <is>
          <t>SUBTOTAL UPAH</t>
        </is>
      </c>
      <c r="F17670" s="16" t="n">
        <v>18674</v>
      </c>
    </row>
    <row r="17671">
      <c r="D17671" s="2" t="inlineStr">
        <is>
          <t>SUBTOTAL BAHAN</t>
        </is>
      </c>
      <c r="F17671" s="16" t="n">
        <v>391674.5</v>
      </c>
    </row>
    <row r="17672">
      <c r="D17672" s="2" t="inlineStr">
        <is>
          <t>SUBTOTAL ALAT</t>
        </is>
      </c>
      <c r="F17672" s="16" t="n">
        <v>35136</v>
      </c>
    </row>
    <row r="17673">
      <c r="E17673" s="2" t="inlineStr">
        <is>
          <t>TOTAL HARGA SATUAN (Inc. Overhead)</t>
        </is>
      </c>
      <c r="F17673" s="17" t="n">
        <v>490032</v>
      </c>
    </row>
    <row r="17675">
      <c r="A17675" s="14" t="inlineStr">
        <is>
          <t>KODE: 8.1.3.10 - 1 m' Tutup U-Ditch 94x60x15 (Tipe HD) untuk 80x80x120 cm</t>
        </is>
      </c>
    </row>
    <row r="17676">
      <c r="A17676" s="10" t="inlineStr">
        <is>
          <t>No</t>
        </is>
      </c>
      <c r="B17676" s="10" t="inlineStr">
        <is>
          <t>Uraian Komponen</t>
        </is>
      </c>
      <c r="C17676" s="10" t="inlineStr">
        <is>
          <t>Satuan</t>
        </is>
      </c>
      <c r="D17676" s="10" t="inlineStr">
        <is>
          <t>Koef</t>
        </is>
      </c>
      <c r="E17676" s="10" t="inlineStr">
        <is>
          <t>Harga Satuan (Rp)</t>
        </is>
      </c>
      <c r="F17676" s="10" t="inlineStr">
        <is>
          <t>Jumlah Harga (Rp)</t>
        </is>
      </c>
    </row>
    <row r="17677">
      <c r="A17677" s="3" t="inlineStr">
        <is>
          <t>1</t>
        </is>
      </c>
      <c r="B17677" s="3" t="inlineStr">
        <is>
          <t>Pekerja</t>
        </is>
      </c>
      <c r="C17677" s="3" t="inlineStr">
        <is>
          <t>OJ</t>
        </is>
      </c>
      <c r="D17677" s="15" t="n">
        <v>0.0838</v>
      </c>
      <c r="E17677" s="4" t="n">
        <v>100000</v>
      </c>
      <c r="F17677" s="4" t="n">
        <v>8380</v>
      </c>
    </row>
    <row r="17678">
      <c r="A17678" s="3" t="inlineStr">
        <is>
          <t>2</t>
        </is>
      </c>
      <c r="B17678" s="3" t="inlineStr">
        <is>
          <t>Tukang Batu</t>
        </is>
      </c>
      <c r="C17678" s="3" t="inlineStr">
        <is>
          <t>OJ</t>
        </is>
      </c>
      <c r="D17678" s="15" t="n">
        <v>0.0838</v>
      </c>
      <c r="E17678" s="4" t="n">
        <v>145000</v>
      </c>
      <c r="F17678" s="4" t="n">
        <v>12151</v>
      </c>
    </row>
    <row r="17679">
      <c r="A17679" s="3" t="inlineStr">
        <is>
          <t>3</t>
        </is>
      </c>
      <c r="B17679" s="3" t="inlineStr">
        <is>
          <t>Mandor</t>
        </is>
      </c>
      <c r="C17679" s="3" t="inlineStr">
        <is>
          <t>OJ</t>
        </is>
      </c>
      <c r="D17679" s="15" t="n">
        <v>0.0042</v>
      </c>
      <c r="E17679" s="4" t="n">
        <v>200000</v>
      </c>
      <c r="F17679" s="4" t="n">
        <v>840</v>
      </c>
    </row>
    <row r="17680">
      <c r="A17680" s="3" t="inlineStr">
        <is>
          <t>1</t>
        </is>
      </c>
      <c r="B17680" s="3" t="inlineStr">
        <is>
          <t>Tutup U-Ditch 94x60x15 (tipe HD)</t>
        </is>
      </c>
      <c r="C17680" s="3" t="inlineStr">
        <is>
          <t>buah</t>
        </is>
      </c>
      <c r="D17680" s="15" t="n">
        <v>1.6667</v>
      </c>
      <c r="E17680" s="4" t="n">
        <v>375000</v>
      </c>
      <c r="F17680" s="4" t="n">
        <v>625012.5</v>
      </c>
    </row>
    <row r="17681">
      <c r="A17681" s="3" t="inlineStr">
        <is>
          <t>Excavator 95 HP</t>
        </is>
      </c>
      <c r="B17681" s="3" t="inlineStr"/>
      <c r="C17681" s="3" t="inlineStr">
        <is>
          <t>jam</t>
        </is>
      </c>
      <c r="D17681" s="15" t="n">
        <v>0.0838</v>
      </c>
      <c r="E17681" s="4" t="n">
        <v>480000</v>
      </c>
      <c r="F17681" s="4" t="n">
        <v>40224</v>
      </c>
    </row>
    <row r="17682">
      <c r="D17682" s="2" t="inlineStr">
        <is>
          <t>SUBTOTAL UPAH</t>
        </is>
      </c>
      <c r="F17682" s="16" t="n">
        <v>21371</v>
      </c>
    </row>
    <row r="17683">
      <c r="D17683" s="2" t="inlineStr">
        <is>
          <t>SUBTOTAL BAHAN</t>
        </is>
      </c>
      <c r="F17683" s="16" t="n">
        <v>625012.5</v>
      </c>
    </row>
    <row r="17684">
      <c r="D17684" s="2" t="inlineStr">
        <is>
          <t>SUBTOTAL ALAT</t>
        </is>
      </c>
      <c r="F17684" s="16" t="n">
        <v>40224</v>
      </c>
    </row>
    <row r="17685">
      <c r="E17685" s="2" t="inlineStr">
        <is>
          <t>TOTAL HARGA SATUAN (Inc. Overhead)</t>
        </is>
      </c>
      <c r="F17685" s="17" t="n">
        <v>755268</v>
      </c>
    </row>
    <row r="17687">
      <c r="A17687" s="14" t="inlineStr">
        <is>
          <t>KODE: 8.1.3.11 - 1 m' Grill Penutup Saluran, Besi Siku+Plat Strip</t>
        </is>
      </c>
    </row>
    <row r="17688">
      <c r="A17688" s="10" t="inlineStr">
        <is>
          <t>No</t>
        </is>
      </c>
      <c r="B17688" s="10" t="inlineStr">
        <is>
          <t>Uraian Komponen</t>
        </is>
      </c>
      <c r="C17688" s="10" t="inlineStr">
        <is>
          <t>Satuan</t>
        </is>
      </c>
      <c r="D17688" s="10" t="inlineStr">
        <is>
          <t>Koef</t>
        </is>
      </c>
      <c r="E17688" s="10" t="inlineStr">
        <is>
          <t>Harga Satuan (Rp)</t>
        </is>
      </c>
      <c r="F17688" s="10" t="inlineStr">
        <is>
          <t>Jumlah Harga (Rp)</t>
        </is>
      </c>
    </row>
    <row r="17689">
      <c r="A17689" s="3" t="inlineStr">
        <is>
          <t>1</t>
        </is>
      </c>
      <c r="B17689" s="3" t="inlineStr">
        <is>
          <t>Pekerja</t>
        </is>
      </c>
      <c r="C17689" s="3" t="inlineStr">
        <is>
          <t>OH</t>
        </is>
      </c>
      <c r="D17689" s="15" t="n">
        <v>0.339</v>
      </c>
      <c r="E17689" s="4" t="n">
        <v>100000</v>
      </c>
      <c r="F17689" s="4" t="n">
        <v>33900</v>
      </c>
    </row>
    <row r="17690">
      <c r="A17690" s="3" t="inlineStr">
        <is>
          <t>2</t>
        </is>
      </c>
      <c r="B17690" s="3" t="inlineStr">
        <is>
          <t>Tukang Batu</t>
        </is>
      </c>
      <c r="C17690" s="3" t="inlineStr">
        <is>
          <t>OH</t>
        </is>
      </c>
      <c r="D17690" s="15" t="n">
        <v>0.339</v>
      </c>
      <c r="E17690" s="4" t="n">
        <v>145000</v>
      </c>
      <c r="F17690" s="4" t="n">
        <v>49155</v>
      </c>
    </row>
    <row r="17691">
      <c r="A17691" s="3" t="inlineStr">
        <is>
          <t>3</t>
        </is>
      </c>
      <c r="B17691" s="3" t="inlineStr">
        <is>
          <t>Kepala Tukang</t>
        </is>
      </c>
      <c r="C17691" s="3" t="inlineStr">
        <is>
          <t>OH</t>
        </is>
      </c>
      <c r="D17691" s="15" t="n">
        <v>0.034</v>
      </c>
      <c r="E17691" s="4" t="n">
        <v>175000</v>
      </c>
      <c r="F17691" s="4" t="n">
        <v>5950</v>
      </c>
    </row>
    <row r="17692">
      <c r="A17692" s="3" t="inlineStr">
        <is>
          <t>4</t>
        </is>
      </c>
      <c r="B17692" s="3" t="inlineStr">
        <is>
          <t>Mandor</t>
        </is>
      </c>
      <c r="C17692" s="3" t="inlineStr">
        <is>
          <t>OH</t>
        </is>
      </c>
      <c r="D17692" s="15" t="n">
        <v>0.011</v>
      </c>
      <c r="E17692" s="4" t="n">
        <v>200000</v>
      </c>
      <c r="F17692" s="4" t="n">
        <v>2200</v>
      </c>
    </row>
    <row r="17693">
      <c r="A17693" s="3" t="inlineStr">
        <is>
          <t>1</t>
        </is>
      </c>
      <c r="B17693" s="3" t="inlineStr">
        <is>
          <t>Plat Strip 3/30 mm</t>
        </is>
      </c>
      <c r="C17693" s="3" t="inlineStr">
        <is>
          <t>m</t>
        </is>
      </c>
      <c r="D17693" s="15" t="n">
        <v>10</v>
      </c>
      <c r="E17693" s="4" t="n">
        <v>9900</v>
      </c>
      <c r="F17693" s="4" t="n">
        <v>99000</v>
      </c>
    </row>
    <row r="17694">
      <c r="A17694" s="3" t="inlineStr">
        <is>
          <t>2</t>
        </is>
      </c>
      <c r="B17694" s="3" t="inlineStr">
        <is>
          <t>Besi siku 40x40x4</t>
        </is>
      </c>
      <c r="C17694" s="3" t="inlineStr">
        <is>
          <t>m</t>
        </is>
      </c>
      <c r="D17694" s="15" t="n">
        <v>2.6</v>
      </c>
      <c r="E17694" s="4" t="n">
        <v>20825</v>
      </c>
      <c r="F17694" s="4" t="n">
        <v>54145</v>
      </c>
    </row>
    <row r="17695">
      <c r="D17695" s="2" t="inlineStr">
        <is>
          <t>SUBTOTAL UPAH</t>
        </is>
      </c>
      <c r="F17695" s="16" t="n">
        <v>91205</v>
      </c>
    </row>
    <row r="17696">
      <c r="D17696" s="2" t="inlineStr">
        <is>
          <t>SUBTOTAL BAHAN</t>
        </is>
      </c>
      <c r="F17696" s="16" t="n">
        <v>153145</v>
      </c>
    </row>
    <row r="17697">
      <c r="D17697" s="2" t="inlineStr">
        <is>
          <t>SUBTOTAL ALAT</t>
        </is>
      </c>
      <c r="F17697" s="16" t="n">
        <v>0</v>
      </c>
    </row>
    <row r="17698">
      <c r="E17698" s="2" t="inlineStr">
        <is>
          <t>TOTAL HARGA SATUAN (Inc. Overhead)</t>
        </is>
      </c>
      <c r="F17698" s="17" t="n">
        <v>268785</v>
      </c>
    </row>
    <row r="17700">
      <c r="A17700" s="14" t="inlineStr">
        <is>
          <t>KODE: 8.3.1.1 - 1 m' Box Culvert 40x40x100 dengan lantai kerja fc 10 Mpa</t>
        </is>
      </c>
    </row>
    <row r="17701">
      <c r="A17701" s="10" t="inlineStr">
        <is>
          <t>No</t>
        </is>
      </c>
      <c r="B17701" s="10" t="inlineStr">
        <is>
          <t>Uraian Komponen</t>
        </is>
      </c>
      <c r="C17701" s="10" t="inlineStr">
        <is>
          <t>Satuan</t>
        </is>
      </c>
      <c r="D17701" s="10" t="inlineStr">
        <is>
          <t>Koef</t>
        </is>
      </c>
      <c r="E17701" s="10" t="inlineStr">
        <is>
          <t>Harga Satuan (Rp)</t>
        </is>
      </c>
      <c r="F17701" s="10" t="inlineStr">
        <is>
          <t>Jumlah Harga (Rp)</t>
        </is>
      </c>
    </row>
    <row r="17702">
      <c r="A17702" s="3" t="inlineStr">
        <is>
          <t>1</t>
        </is>
      </c>
      <c r="B17702" s="3" t="inlineStr">
        <is>
          <t>Pekerja</t>
        </is>
      </c>
      <c r="C17702" s="3" t="inlineStr">
        <is>
          <t>OH</t>
        </is>
      </c>
      <c r="D17702" s="15" t="n">
        <v>0.2231</v>
      </c>
      <c r="E17702" s="4" t="n">
        <v>100000</v>
      </c>
      <c r="F17702" s="4" t="n">
        <v>22310</v>
      </c>
    </row>
    <row r="17703">
      <c r="A17703" s="3" t="inlineStr">
        <is>
          <t>2</t>
        </is>
      </c>
      <c r="B17703" s="3" t="inlineStr">
        <is>
          <t>Tukang Batu</t>
        </is>
      </c>
      <c r="C17703" s="3" t="inlineStr">
        <is>
          <t>OH</t>
        </is>
      </c>
      <c r="D17703" s="15" t="n">
        <v>0.2231</v>
      </c>
      <c r="E17703" s="4" t="n">
        <v>145000</v>
      </c>
      <c r="F17703" s="4" t="n">
        <v>32349.5</v>
      </c>
    </row>
    <row r="17704">
      <c r="A17704" s="3" t="inlineStr">
        <is>
          <t>3</t>
        </is>
      </c>
      <c r="B17704" s="3" t="inlineStr">
        <is>
          <t>Mandor</t>
        </is>
      </c>
      <c r="C17704" s="3" t="inlineStr">
        <is>
          <t>OH</t>
        </is>
      </c>
      <c r="D17704" s="15" t="n">
        <v>0.0112</v>
      </c>
      <c r="E17704" s="4" t="n">
        <v>200000</v>
      </c>
      <c r="F17704" s="4" t="n">
        <v>2240</v>
      </c>
    </row>
    <row r="17705">
      <c r="A17705" s="3" t="inlineStr">
        <is>
          <t>1</t>
        </is>
      </c>
      <c r="B17705" s="3" t="inlineStr">
        <is>
          <t>Lantai Kerja fc 10 Mpa</t>
        </is>
      </c>
      <c r="C17705" s="3" t="inlineStr">
        <is>
          <t>m3</t>
        </is>
      </c>
      <c r="D17705" s="15" t="n">
        <v>0.0365</v>
      </c>
      <c r="E17705" s="4" t="n">
        <v>1236000</v>
      </c>
      <c r="F17705" s="4" t="n">
        <v>45114</v>
      </c>
    </row>
    <row r="17706">
      <c r="A17706" s="3" t="inlineStr">
        <is>
          <t>2</t>
        </is>
      </c>
      <c r="B17706" s="3" t="inlineStr">
        <is>
          <t>Urukan Pasir Uruk</t>
        </is>
      </c>
      <c r="C17706" s="3" t="inlineStr">
        <is>
          <t>m3</t>
        </is>
      </c>
      <c r="D17706" s="15" t="n">
        <v>0.073</v>
      </c>
      <c r="E17706" s="4" t="n">
        <v>488180</v>
      </c>
      <c r="F17706" s="4" t="n">
        <v>35637.14</v>
      </c>
    </row>
    <row r="17707">
      <c r="A17707" s="3" t="inlineStr">
        <is>
          <t>4</t>
        </is>
      </c>
      <c r="B17707" s="3" t="inlineStr">
        <is>
          <t>Box Culvert 40x40x100 cm</t>
        </is>
      </c>
      <c r="C17707" s="3" t="inlineStr">
        <is>
          <t>buah</t>
        </is>
      </c>
      <c r="D17707" s="15" t="n">
        <v>1</v>
      </c>
      <c r="E17707" s="4" t="n">
        <v>855000</v>
      </c>
      <c r="F17707" s="4" t="n">
        <v>855000</v>
      </c>
    </row>
    <row r="17708">
      <c r="A17708" s="3" t="inlineStr">
        <is>
          <t>1</t>
        </is>
      </c>
      <c r="B17708" s="3" t="inlineStr">
        <is>
          <t>Sewa Mobil Crane</t>
        </is>
      </c>
      <c r="C17708" s="3" t="inlineStr">
        <is>
          <t>jam</t>
        </is>
      </c>
      <c r="D17708" s="15" t="n">
        <v>0.0781</v>
      </c>
      <c r="E17708" s="4" t="n">
        <v>1450000</v>
      </c>
      <c r="F17708" s="4" t="n">
        <v>113245</v>
      </c>
    </row>
    <row r="17709">
      <c r="D17709" s="2" t="inlineStr">
        <is>
          <t>SUBTOTAL UPAH</t>
        </is>
      </c>
      <c r="F17709" s="16" t="n">
        <v>56899.5</v>
      </c>
    </row>
    <row r="17710">
      <c r="D17710" s="2" t="inlineStr">
        <is>
          <t>SUBTOTAL BAHAN</t>
        </is>
      </c>
      <c r="F17710" s="16" t="n">
        <v>935751.14</v>
      </c>
    </row>
    <row r="17711">
      <c r="D17711" s="2" t="inlineStr">
        <is>
          <t>SUBTOTAL ALAT</t>
        </is>
      </c>
      <c r="F17711" s="16" t="n">
        <v>113245</v>
      </c>
    </row>
    <row r="17712">
      <c r="E17712" s="2" t="inlineStr">
        <is>
          <t>TOTAL HARGA SATUAN (Inc. Overhead)</t>
        </is>
      </c>
      <c r="F17712" s="17" t="n">
        <v>1216485</v>
      </c>
    </row>
    <row r="17714">
      <c r="A17714" s="14" t="inlineStr">
        <is>
          <t>KODE: 8.3.1.2 - 1 m' Box Culvert 50x50x100 dengan lantai kerja fc 10 Mpa</t>
        </is>
      </c>
    </row>
    <row r="17715">
      <c r="A17715" s="10" t="inlineStr">
        <is>
          <t>No</t>
        </is>
      </c>
      <c r="B17715" s="10" t="inlineStr">
        <is>
          <t>Uraian Komponen</t>
        </is>
      </c>
      <c r="C17715" s="10" t="inlineStr">
        <is>
          <t>Satuan</t>
        </is>
      </c>
      <c r="D17715" s="10" t="inlineStr">
        <is>
          <t>Koef</t>
        </is>
      </c>
      <c r="E17715" s="10" t="inlineStr">
        <is>
          <t>Harga Satuan (Rp)</t>
        </is>
      </c>
      <c r="F17715" s="10" t="inlineStr">
        <is>
          <t>Jumlah Harga (Rp)</t>
        </is>
      </c>
    </row>
    <row r="17716">
      <c r="A17716" s="3" t="inlineStr">
        <is>
          <t>1</t>
        </is>
      </c>
      <c r="B17716" s="3" t="inlineStr">
        <is>
          <t>Pekerja</t>
        </is>
      </c>
      <c r="C17716" s="3" t="inlineStr">
        <is>
          <t>OH</t>
        </is>
      </c>
      <c r="D17716" s="15" t="n">
        <v>0.2339</v>
      </c>
      <c r="E17716" s="4" t="n">
        <v>100000</v>
      </c>
      <c r="F17716" s="4" t="n">
        <v>23390</v>
      </c>
    </row>
    <row r="17717">
      <c r="A17717" s="3" t="inlineStr">
        <is>
          <t>2</t>
        </is>
      </c>
      <c r="B17717" s="3" t="inlineStr">
        <is>
          <t>Tukang Batu</t>
        </is>
      </c>
      <c r="C17717" s="3" t="inlineStr">
        <is>
          <t>OH</t>
        </is>
      </c>
      <c r="D17717" s="15" t="n">
        <v>0.2339</v>
      </c>
      <c r="E17717" s="4" t="n">
        <v>145000</v>
      </c>
      <c r="F17717" s="4" t="n">
        <v>33915.5</v>
      </c>
    </row>
    <row r="17718">
      <c r="A17718" s="3" t="inlineStr">
        <is>
          <t>3</t>
        </is>
      </c>
      <c r="B17718" s="3" t="inlineStr">
        <is>
          <t>Mandor</t>
        </is>
      </c>
      <c r="C17718" s="3" t="inlineStr">
        <is>
          <t>OH</t>
        </is>
      </c>
      <c r="D17718" s="15" t="n">
        <v>0.0117</v>
      </c>
      <c r="E17718" s="4" t="n">
        <v>200000</v>
      </c>
      <c r="F17718" s="4" t="n">
        <v>2340</v>
      </c>
    </row>
    <row r="17719">
      <c r="A17719" s="3" t="inlineStr">
        <is>
          <t>1</t>
        </is>
      </c>
      <c r="B17719" s="3" t="inlineStr">
        <is>
          <t>Lantai Kerja fc 10 Mpa</t>
        </is>
      </c>
      <c r="C17719" s="3" t="inlineStr">
        <is>
          <t>m3</t>
        </is>
      </c>
      <c r="D17719" s="15" t="n">
        <v>0.0425</v>
      </c>
      <c r="E17719" s="4" t="n">
        <v>1236000</v>
      </c>
      <c r="F17719" s="4" t="n">
        <v>52530.00000000001</v>
      </c>
    </row>
    <row r="17720">
      <c r="A17720" s="3" t="inlineStr">
        <is>
          <t>2</t>
        </is>
      </c>
      <c r="B17720" s="3" t="inlineStr">
        <is>
          <t>Urukan Pasir Uruk</t>
        </is>
      </c>
      <c r="C17720" s="3" t="inlineStr">
        <is>
          <t>m3</t>
        </is>
      </c>
      <c r="D17720" s="15" t="n">
        <v>0.08500000000000001</v>
      </c>
      <c r="E17720" s="4" t="n">
        <v>488180</v>
      </c>
      <c r="F17720" s="4" t="n">
        <v>41495.3</v>
      </c>
    </row>
    <row r="17721">
      <c r="A17721" s="3" t="inlineStr">
        <is>
          <t>4</t>
        </is>
      </c>
      <c r="B17721" s="3" t="inlineStr">
        <is>
          <t>Box Culvert 50x50x100 cm</t>
        </is>
      </c>
      <c r="C17721" s="3" t="inlineStr">
        <is>
          <t>buah</t>
        </is>
      </c>
      <c r="D17721" s="15" t="n">
        <v>1</v>
      </c>
      <c r="E17721" s="4" t="n">
        <v>1119000</v>
      </c>
      <c r="F17721" s="4" t="n">
        <v>1119000</v>
      </c>
    </row>
    <row r="17722">
      <c r="A17722" s="3" t="inlineStr">
        <is>
          <t>1</t>
        </is>
      </c>
      <c r="B17722" s="3" t="inlineStr">
        <is>
          <t>Sewa Mobil Crane</t>
        </is>
      </c>
      <c r="C17722" s="3" t="inlineStr">
        <is>
          <t>jam</t>
        </is>
      </c>
      <c r="D17722" s="15" t="n">
        <v>0.2339</v>
      </c>
      <c r="E17722" s="4" t="n">
        <v>1450000</v>
      </c>
      <c r="F17722" s="4" t="n">
        <v>339155</v>
      </c>
    </row>
    <row r="17723">
      <c r="D17723" s="2" t="inlineStr">
        <is>
          <t>SUBTOTAL UPAH</t>
        </is>
      </c>
      <c r="F17723" s="16" t="n">
        <v>59645.5</v>
      </c>
    </row>
    <row r="17724">
      <c r="D17724" s="2" t="inlineStr">
        <is>
          <t>SUBTOTAL BAHAN</t>
        </is>
      </c>
      <c r="F17724" s="16" t="n">
        <v>1213025.3</v>
      </c>
    </row>
    <row r="17725">
      <c r="D17725" s="2" t="inlineStr">
        <is>
          <t>SUBTOTAL ALAT</t>
        </is>
      </c>
      <c r="F17725" s="16" t="n">
        <v>339155</v>
      </c>
    </row>
    <row r="17726">
      <c r="E17726" s="2" t="inlineStr">
        <is>
          <t>TOTAL HARGA SATUAN (Inc. Overhead)</t>
        </is>
      </c>
      <c r="F17726" s="17" t="n">
        <v>1773008</v>
      </c>
    </row>
    <row r="17728">
      <c r="A17728" s="14" t="inlineStr">
        <is>
          <t>KODE: 8.3.1.3 - 1 m' Box Culvert 60x60x100 dengan lantai kerja fc 10 Mpa</t>
        </is>
      </c>
    </row>
    <row r="17729">
      <c r="A17729" s="10" t="inlineStr">
        <is>
          <t>No</t>
        </is>
      </c>
      <c r="B17729" s="10" t="inlineStr">
        <is>
          <t>Uraian Komponen</t>
        </is>
      </c>
      <c r="C17729" s="10" t="inlineStr">
        <is>
          <t>Satuan</t>
        </is>
      </c>
      <c r="D17729" s="10" t="inlineStr">
        <is>
          <t>Koef</t>
        </is>
      </c>
      <c r="E17729" s="10" t="inlineStr">
        <is>
          <t>Harga Satuan (Rp)</t>
        </is>
      </c>
      <c r="F17729" s="10" t="inlineStr">
        <is>
          <t>Jumlah Harga (Rp)</t>
        </is>
      </c>
    </row>
    <row r="17730">
      <c r="A17730" s="3" t="inlineStr">
        <is>
          <t>1</t>
        </is>
      </c>
      <c r="B17730" s="3" t="inlineStr">
        <is>
          <t>Pekerja</t>
        </is>
      </c>
      <c r="C17730" s="3" t="inlineStr">
        <is>
          <t>OH</t>
        </is>
      </c>
      <c r="D17730" s="15" t="n">
        <v>0.2524</v>
      </c>
      <c r="E17730" s="4" t="n">
        <v>100000</v>
      </c>
      <c r="F17730" s="4" t="n">
        <v>25240</v>
      </c>
    </row>
    <row r="17731">
      <c r="A17731" s="3" t="inlineStr">
        <is>
          <t>2</t>
        </is>
      </c>
      <c r="B17731" s="3" t="inlineStr">
        <is>
          <t>Tukang Batu</t>
        </is>
      </c>
      <c r="C17731" s="3" t="inlineStr">
        <is>
          <t>OH</t>
        </is>
      </c>
      <c r="D17731" s="15" t="n">
        <v>0.2524</v>
      </c>
      <c r="E17731" s="4" t="n">
        <v>145000</v>
      </c>
      <c r="F17731" s="4" t="n">
        <v>36598</v>
      </c>
    </row>
    <row r="17732">
      <c r="A17732" s="3" t="inlineStr">
        <is>
          <t>3</t>
        </is>
      </c>
      <c r="B17732" s="3" t="inlineStr">
        <is>
          <t>Mandor</t>
        </is>
      </c>
      <c r="C17732" s="3" t="inlineStr">
        <is>
          <t>OH</t>
        </is>
      </c>
      <c r="D17732" s="15" t="n">
        <v>0.0126</v>
      </c>
      <c r="E17732" s="4" t="n">
        <v>200000</v>
      </c>
      <c r="F17732" s="4" t="n">
        <v>2520</v>
      </c>
    </row>
    <row r="17733">
      <c r="A17733" s="3" t="inlineStr">
        <is>
          <t>1</t>
        </is>
      </c>
      <c r="B17733" s="3" t="inlineStr">
        <is>
          <t>Lantai Kerja fc 10 Mpa</t>
        </is>
      </c>
      <c r="C17733" s="3" t="inlineStr">
        <is>
          <t>m3</t>
        </is>
      </c>
      <c r="D17733" s="15" t="n">
        <v>0.0495</v>
      </c>
      <c r="E17733" s="4" t="n">
        <v>1236000</v>
      </c>
      <c r="F17733" s="4" t="n">
        <v>61182</v>
      </c>
    </row>
    <row r="17734">
      <c r="A17734" s="3" t="inlineStr">
        <is>
          <t>2</t>
        </is>
      </c>
      <c r="B17734" s="3" t="inlineStr">
        <is>
          <t>Urukan Pasir Uruk</t>
        </is>
      </c>
      <c r="C17734" s="3" t="inlineStr">
        <is>
          <t>m3</t>
        </is>
      </c>
      <c r="D17734" s="15" t="n">
        <v>0.099</v>
      </c>
      <c r="E17734" s="4" t="n">
        <v>488180</v>
      </c>
      <c r="F17734" s="4" t="n">
        <v>48329.82</v>
      </c>
    </row>
    <row r="17735">
      <c r="A17735" s="3" t="inlineStr">
        <is>
          <t>4</t>
        </is>
      </c>
      <c r="B17735" s="3" t="inlineStr">
        <is>
          <t>Box Culvert 60x60x100 cm</t>
        </is>
      </c>
      <c r="C17735" s="3" t="inlineStr">
        <is>
          <t>buah</t>
        </is>
      </c>
      <c r="D17735" s="15" t="n">
        <v>1</v>
      </c>
      <c r="E17735" s="4" t="n">
        <v>1504000</v>
      </c>
      <c r="F17735" s="4" t="n">
        <v>1504000</v>
      </c>
    </row>
    <row r="17736">
      <c r="A17736" s="3" t="inlineStr">
        <is>
          <t>1</t>
        </is>
      </c>
      <c r="B17736" s="3" t="inlineStr">
        <is>
          <t>Sewa Mobil Crane</t>
        </is>
      </c>
      <c r="C17736" s="3" t="inlineStr">
        <is>
          <t>jam</t>
        </is>
      </c>
      <c r="D17736" s="15" t="n">
        <v>0.2524</v>
      </c>
      <c r="E17736" s="4" t="n">
        <v>1450000</v>
      </c>
      <c r="F17736" s="4" t="n">
        <v>365980</v>
      </c>
    </row>
    <row r="17737">
      <c r="D17737" s="2" t="inlineStr">
        <is>
          <t>SUBTOTAL UPAH</t>
        </is>
      </c>
      <c r="F17737" s="16" t="n">
        <v>64358</v>
      </c>
    </row>
    <row r="17738">
      <c r="D17738" s="2" t="inlineStr">
        <is>
          <t>SUBTOTAL BAHAN</t>
        </is>
      </c>
      <c r="F17738" s="16" t="n">
        <v>1613511.82</v>
      </c>
    </row>
    <row r="17739">
      <c r="D17739" s="2" t="inlineStr">
        <is>
          <t>SUBTOTAL ALAT</t>
        </is>
      </c>
      <c r="F17739" s="16" t="n">
        <v>365980</v>
      </c>
    </row>
    <row r="17740">
      <c r="E17740" s="2" t="inlineStr">
        <is>
          <t>TOTAL HARGA SATUAN (Inc. Overhead)</t>
        </is>
      </c>
      <c r="F17740" s="17" t="n">
        <v>2248234</v>
      </c>
    </row>
    <row r="17742">
      <c r="A17742" s="14" t="inlineStr">
        <is>
          <t>KODE: 8.3.1.4 - 1 m' Box Culvert 80x80x100 dengan lantai kerja fc 10 Mpa</t>
        </is>
      </c>
    </row>
    <row r="17743">
      <c r="A17743" s="10" t="inlineStr">
        <is>
          <t>No</t>
        </is>
      </c>
      <c r="B17743" s="10" t="inlineStr">
        <is>
          <t>Uraian Komponen</t>
        </is>
      </c>
      <c r="C17743" s="10" t="inlineStr">
        <is>
          <t>Satuan</t>
        </is>
      </c>
      <c r="D17743" s="10" t="inlineStr">
        <is>
          <t>Koef</t>
        </is>
      </c>
      <c r="E17743" s="10" t="inlineStr">
        <is>
          <t>Harga Satuan (Rp)</t>
        </is>
      </c>
      <c r="F17743" s="10" t="inlineStr">
        <is>
          <t>Jumlah Harga (Rp)</t>
        </is>
      </c>
    </row>
    <row r="17744">
      <c r="A17744" s="3" t="inlineStr">
        <is>
          <t>1</t>
        </is>
      </c>
      <c r="B17744" s="3" t="inlineStr">
        <is>
          <t>Pekerja</t>
        </is>
      </c>
      <c r="C17744" s="3" t="inlineStr">
        <is>
          <t>OH</t>
        </is>
      </c>
      <c r="D17744" s="15" t="n">
        <v>0.6487000000000001</v>
      </c>
      <c r="E17744" s="4" t="n">
        <v>100000</v>
      </c>
      <c r="F17744" s="4" t="n">
        <v>64870.00000000001</v>
      </c>
    </row>
    <row r="17745">
      <c r="A17745" s="3" t="inlineStr">
        <is>
          <t>2</t>
        </is>
      </c>
      <c r="B17745" s="3" t="inlineStr">
        <is>
          <t>Tukang Batu</t>
        </is>
      </c>
      <c r="C17745" s="3" t="inlineStr">
        <is>
          <t>OH</t>
        </is>
      </c>
      <c r="D17745" s="15" t="n">
        <v>0.3244</v>
      </c>
      <c r="E17745" s="4" t="n">
        <v>145000</v>
      </c>
      <c r="F17745" s="4" t="n">
        <v>47038</v>
      </c>
    </row>
    <row r="17746">
      <c r="A17746" s="3" t="inlineStr">
        <is>
          <t>3</t>
        </is>
      </c>
      <c r="B17746" s="3" t="inlineStr">
        <is>
          <t>Mandor</t>
        </is>
      </c>
      <c r="C17746" s="3" t="inlineStr">
        <is>
          <t>OH</t>
        </is>
      </c>
      <c r="D17746" s="15" t="n">
        <v>0.0324</v>
      </c>
      <c r="E17746" s="4" t="n">
        <v>200000</v>
      </c>
      <c r="F17746" s="4" t="n">
        <v>6480</v>
      </c>
    </row>
    <row r="17747">
      <c r="A17747" s="3" t="inlineStr">
        <is>
          <t>1</t>
        </is>
      </c>
      <c r="B17747" s="3" t="inlineStr">
        <is>
          <t>Lantai Kerja fc 10 Mpa</t>
        </is>
      </c>
      <c r="C17747" s="3" t="inlineStr">
        <is>
          <t>m3</t>
        </is>
      </c>
      <c r="D17747" s="15" t="n">
        <v>0.0625</v>
      </c>
      <c r="E17747" s="4" t="n">
        <v>1236000</v>
      </c>
      <c r="F17747" s="4" t="n">
        <v>77250</v>
      </c>
    </row>
    <row r="17748">
      <c r="A17748" s="3" t="inlineStr">
        <is>
          <t>2</t>
        </is>
      </c>
      <c r="B17748" s="3" t="inlineStr">
        <is>
          <t>Urukan Pasir Uruk</t>
        </is>
      </c>
      <c r="C17748" s="3" t="inlineStr">
        <is>
          <t>m3</t>
        </is>
      </c>
      <c r="D17748" s="15" t="n">
        <v>0.125</v>
      </c>
      <c r="E17748" s="4" t="n">
        <v>488180</v>
      </c>
      <c r="F17748" s="4" t="n">
        <v>61022.5</v>
      </c>
    </row>
    <row r="17749">
      <c r="A17749" s="3" t="inlineStr">
        <is>
          <t>4</t>
        </is>
      </c>
      <c r="B17749" s="3" t="inlineStr">
        <is>
          <t>Box Culvert 80x80x100 cm</t>
        </is>
      </c>
      <c r="C17749" s="3" t="inlineStr">
        <is>
          <t>buah</t>
        </is>
      </c>
      <c r="D17749" s="15" t="n">
        <v>1</v>
      </c>
      <c r="E17749" s="4" t="n">
        <v>2560000</v>
      </c>
      <c r="F17749" s="4" t="n">
        <v>2560000</v>
      </c>
    </row>
    <row r="17750">
      <c r="A17750" s="3" t="inlineStr">
        <is>
          <t>1</t>
        </is>
      </c>
      <c r="B17750" s="3" t="inlineStr">
        <is>
          <t>Sewa Mobil Crane</t>
        </is>
      </c>
      <c r="C17750" s="3" t="inlineStr">
        <is>
          <t>jam</t>
        </is>
      </c>
      <c r="D17750" s="15" t="n">
        <v>0.3244</v>
      </c>
      <c r="E17750" s="4" t="n">
        <v>1450000</v>
      </c>
      <c r="F17750" s="4" t="n">
        <v>470380.0000000001</v>
      </c>
    </row>
    <row r="17751">
      <c r="D17751" s="2" t="inlineStr">
        <is>
          <t>SUBTOTAL UPAH</t>
        </is>
      </c>
      <c r="F17751" s="16" t="n">
        <v>118388</v>
      </c>
    </row>
    <row r="17752">
      <c r="D17752" s="2" t="inlineStr">
        <is>
          <t>SUBTOTAL BAHAN</t>
        </is>
      </c>
      <c r="F17752" s="16" t="n">
        <v>2698272.5</v>
      </c>
    </row>
    <row r="17753">
      <c r="D17753" s="2" t="inlineStr">
        <is>
          <t>SUBTOTAL ALAT</t>
        </is>
      </c>
      <c r="F17753" s="16" t="n">
        <v>470380.0000000001</v>
      </c>
    </row>
    <row r="17754">
      <c r="E17754" s="2" t="inlineStr">
        <is>
          <t>TOTAL HARGA SATUAN (Inc. Overhead)</t>
        </is>
      </c>
      <c r="F17754" s="17" t="n">
        <v>3615744</v>
      </c>
    </row>
    <row r="17756">
      <c r="A17756" s="14" t="inlineStr">
        <is>
          <t>KODE: 8.3.1.5 - 1 m' Box Culvert 100x100x100 dengan lantai kerja fc 10 Mpa</t>
        </is>
      </c>
    </row>
    <row r="17757">
      <c r="A17757" s="10" t="inlineStr">
        <is>
          <t>No</t>
        </is>
      </c>
      <c r="B17757" s="10" t="inlineStr">
        <is>
          <t>Uraian Komponen</t>
        </is>
      </c>
      <c r="C17757" s="10" t="inlineStr">
        <is>
          <t>Satuan</t>
        </is>
      </c>
      <c r="D17757" s="10" t="inlineStr">
        <is>
          <t>Koef</t>
        </is>
      </c>
      <c r="E17757" s="10" t="inlineStr">
        <is>
          <t>Harga Satuan (Rp)</t>
        </is>
      </c>
      <c r="F17757" s="10" t="inlineStr">
        <is>
          <t>Jumlah Harga (Rp)</t>
        </is>
      </c>
    </row>
    <row r="17758">
      <c r="A17758" s="3" t="inlineStr">
        <is>
          <t>1</t>
        </is>
      </c>
      <c r="B17758" s="3" t="inlineStr">
        <is>
          <t>Pekerja</t>
        </is>
      </c>
      <c r="C17758" s="3" t="inlineStr">
        <is>
          <t>OH</t>
        </is>
      </c>
      <c r="D17758" s="15" t="n">
        <v>0.92</v>
      </c>
      <c r="E17758" s="4" t="n">
        <v>100000</v>
      </c>
      <c r="F17758" s="4" t="n">
        <v>92000</v>
      </c>
    </row>
    <row r="17759">
      <c r="A17759" s="3" t="inlineStr">
        <is>
          <t>2</t>
        </is>
      </c>
      <c r="B17759" s="3" t="inlineStr">
        <is>
          <t>Tukang Batu</t>
        </is>
      </c>
      <c r="C17759" s="3" t="inlineStr">
        <is>
          <t>OH</t>
        </is>
      </c>
      <c r="D17759" s="15" t="n">
        <v>0.46</v>
      </c>
      <c r="E17759" s="4" t="n">
        <v>145000</v>
      </c>
      <c r="F17759" s="4" t="n">
        <v>66700</v>
      </c>
    </row>
    <row r="17760">
      <c r="A17760" s="3" t="inlineStr">
        <is>
          <t>3</t>
        </is>
      </c>
      <c r="B17760" s="3" t="inlineStr">
        <is>
          <t>Mandor</t>
        </is>
      </c>
      <c r="C17760" s="3" t="inlineStr">
        <is>
          <t>OH</t>
        </is>
      </c>
      <c r="D17760" s="15" t="n">
        <v>0.046</v>
      </c>
      <c r="E17760" s="4" t="n">
        <v>200000</v>
      </c>
      <c r="F17760" s="4" t="n">
        <v>9200</v>
      </c>
    </row>
    <row r="17761">
      <c r="A17761" s="3" t="inlineStr">
        <is>
          <t>1</t>
        </is>
      </c>
      <c r="B17761" s="3" t="inlineStr">
        <is>
          <t>Lantai Kerja fc 10 Mpa</t>
        </is>
      </c>
      <c r="C17761" s="3" t="inlineStr">
        <is>
          <t>m3</t>
        </is>
      </c>
      <c r="D17761" s="15" t="n">
        <v>0.0725</v>
      </c>
      <c r="E17761" s="4" t="n">
        <v>1236000</v>
      </c>
      <c r="F17761" s="4" t="n">
        <v>89610</v>
      </c>
    </row>
    <row r="17762">
      <c r="A17762" s="3" t="inlineStr">
        <is>
          <t>2</t>
        </is>
      </c>
      <c r="B17762" s="3" t="inlineStr">
        <is>
          <t>Urukan Pasir Uruk</t>
        </is>
      </c>
      <c r="C17762" s="3" t="inlineStr">
        <is>
          <t>m3</t>
        </is>
      </c>
      <c r="D17762" s="15" t="n">
        <v>0.145</v>
      </c>
      <c r="E17762" s="4" t="n">
        <v>488180</v>
      </c>
      <c r="F17762" s="4" t="n">
        <v>70786.09999999999</v>
      </c>
    </row>
    <row r="17763">
      <c r="A17763" s="3" t="inlineStr">
        <is>
          <t>4</t>
        </is>
      </c>
      <c r="B17763" s="3" t="inlineStr">
        <is>
          <t>Box Culvert 100x100x100 cm</t>
        </is>
      </c>
      <c r="C17763" s="3" t="inlineStr">
        <is>
          <t>buah</t>
        </is>
      </c>
      <c r="D17763" s="15" t="n">
        <v>1</v>
      </c>
      <c r="E17763" s="4" t="n">
        <v>3052000</v>
      </c>
      <c r="F17763" s="4" t="n">
        <v>3052000</v>
      </c>
    </row>
    <row r="17764">
      <c r="A17764" s="3" t="inlineStr">
        <is>
          <t>1</t>
        </is>
      </c>
      <c r="B17764" s="3" t="inlineStr">
        <is>
          <t>Sewa Mobil Crane</t>
        </is>
      </c>
      <c r="C17764" s="3" t="inlineStr">
        <is>
          <t>jam</t>
        </is>
      </c>
      <c r="D17764" s="15" t="n">
        <v>0.46</v>
      </c>
      <c r="E17764" s="4" t="n">
        <v>1450000</v>
      </c>
      <c r="F17764" s="4" t="n">
        <v>667000</v>
      </c>
    </row>
    <row r="17765">
      <c r="D17765" s="2" t="inlineStr">
        <is>
          <t>SUBTOTAL UPAH</t>
        </is>
      </c>
      <c r="F17765" s="16" t="n">
        <v>167900</v>
      </c>
    </row>
    <row r="17766">
      <c r="D17766" s="2" t="inlineStr">
        <is>
          <t>SUBTOTAL BAHAN</t>
        </is>
      </c>
      <c r="F17766" s="16" t="n">
        <v>3212396.1</v>
      </c>
    </row>
    <row r="17767">
      <c r="D17767" s="2" t="inlineStr">
        <is>
          <t>SUBTOTAL ALAT</t>
        </is>
      </c>
      <c r="F17767" s="16" t="n">
        <v>667000</v>
      </c>
    </row>
    <row r="17768">
      <c r="E17768" s="2" t="inlineStr">
        <is>
          <t>TOTAL HARGA SATUAN (Inc. Overhead)</t>
        </is>
      </c>
      <c r="F17768" s="17" t="n">
        <v>4452025</v>
      </c>
    </row>
    <row r="17770">
      <c r="A17770" s="14" t="inlineStr">
        <is>
          <t>KODE: 8.3.1.7 - 1 m' Box Culvert 200x200x100 dengan lantai kerja fc 10 Mpa</t>
        </is>
      </c>
    </row>
    <row r="17771">
      <c r="A17771" s="10" t="inlineStr">
        <is>
          <t>No</t>
        </is>
      </c>
      <c r="B17771" s="10" t="inlineStr">
        <is>
          <t>Uraian Komponen</t>
        </is>
      </c>
      <c r="C17771" s="10" t="inlineStr">
        <is>
          <t>Satuan</t>
        </is>
      </c>
      <c r="D17771" s="10" t="inlineStr">
        <is>
          <t>Koef</t>
        </is>
      </c>
      <c r="E17771" s="10" t="inlineStr">
        <is>
          <t>Harga Satuan (Rp)</t>
        </is>
      </c>
      <c r="F17771" s="10" t="inlineStr">
        <is>
          <t>Jumlah Harga (Rp)</t>
        </is>
      </c>
    </row>
    <row r="17772">
      <c r="A17772" s="3" t="inlineStr">
        <is>
          <t>1</t>
        </is>
      </c>
      <c r="B17772" s="3" t="inlineStr">
        <is>
          <t>Pekerja</t>
        </is>
      </c>
      <c r="C17772" s="3" t="inlineStr">
        <is>
          <t>OH</t>
        </is>
      </c>
      <c r="D17772" s="15" t="n">
        <v>2.4607</v>
      </c>
      <c r="E17772" s="4" t="n">
        <v>100000</v>
      </c>
      <c r="F17772" s="4" t="n">
        <v>246070</v>
      </c>
    </row>
    <row r="17773">
      <c r="A17773" s="3" t="inlineStr">
        <is>
          <t>2</t>
        </is>
      </c>
      <c r="B17773" s="3" t="inlineStr">
        <is>
          <t>Tukang Batu</t>
        </is>
      </c>
      <c r="C17773" s="3" t="inlineStr">
        <is>
          <t>OH</t>
        </is>
      </c>
      <c r="D17773" s="15" t="n">
        <v>0.6152</v>
      </c>
      <c r="E17773" s="4" t="n">
        <v>145000</v>
      </c>
      <c r="F17773" s="4" t="n">
        <v>89204</v>
      </c>
    </row>
    <row r="17774">
      <c r="A17774" s="3" t="inlineStr">
        <is>
          <t>3</t>
        </is>
      </c>
      <c r="B17774" s="3" t="inlineStr">
        <is>
          <t>Mandor</t>
        </is>
      </c>
      <c r="C17774" s="3" t="inlineStr">
        <is>
          <t>OH</t>
        </is>
      </c>
      <c r="D17774" s="15" t="n">
        <v>0.123</v>
      </c>
      <c r="E17774" s="4" t="n">
        <v>200000</v>
      </c>
      <c r="F17774" s="4" t="n">
        <v>24600</v>
      </c>
    </row>
    <row r="17775">
      <c r="A17775" s="3" t="inlineStr">
        <is>
          <t>1</t>
        </is>
      </c>
      <c r="B17775" s="3" t="inlineStr">
        <is>
          <t>Lantai Kerja fc 10 Mpa</t>
        </is>
      </c>
      <c r="C17775" s="3" t="inlineStr">
        <is>
          <t>m3</t>
        </is>
      </c>
      <c r="D17775" s="15" t="n">
        <v>0.1275</v>
      </c>
      <c r="E17775" s="4" t="n">
        <v>1236000</v>
      </c>
      <c r="F17775" s="4" t="n">
        <v>157590</v>
      </c>
    </row>
    <row r="17776">
      <c r="A17776" s="3" t="inlineStr">
        <is>
          <t>2</t>
        </is>
      </c>
      <c r="B17776" s="3" t="inlineStr">
        <is>
          <t>Urukan Pasir Uruk</t>
        </is>
      </c>
      <c r="C17776" s="3" t="inlineStr">
        <is>
          <t>m3</t>
        </is>
      </c>
      <c r="D17776" s="15" t="n">
        <v>0.255</v>
      </c>
      <c r="E17776" s="4" t="n">
        <v>488180</v>
      </c>
      <c r="F17776" s="4" t="n">
        <v>124485.9</v>
      </c>
    </row>
    <row r="17777">
      <c r="A17777" s="3" t="inlineStr">
        <is>
          <t>4</t>
        </is>
      </c>
      <c r="B17777" s="3" t="inlineStr">
        <is>
          <t>Box Culvert 200x200x100 cm</t>
        </is>
      </c>
      <c r="C17777" s="3" t="inlineStr">
        <is>
          <t>buah</t>
        </is>
      </c>
      <c r="D17777" s="15" t="n">
        <v>1</v>
      </c>
      <c r="E17777" s="4" t="n">
        <v>3930000</v>
      </c>
      <c r="F17777" s="4" t="n">
        <v>3930000</v>
      </c>
    </row>
    <row r="17778">
      <c r="A17778" s="3" t="inlineStr">
        <is>
          <t>1</t>
        </is>
      </c>
      <c r="B17778" s="3" t="inlineStr">
        <is>
          <t>Sewa Mobil Crane</t>
        </is>
      </c>
      <c r="C17778" s="3" t="inlineStr">
        <is>
          <t>jam</t>
        </is>
      </c>
      <c r="D17778" s="15" t="n">
        <v>0.6152</v>
      </c>
      <c r="E17778" s="4" t="n">
        <v>1450000</v>
      </c>
      <c r="F17778" s="4" t="n">
        <v>892040</v>
      </c>
    </row>
    <row r="17779">
      <c r="D17779" s="2" t="inlineStr">
        <is>
          <t>SUBTOTAL UPAH</t>
        </is>
      </c>
      <c r="F17779" s="16" t="n">
        <v>359874</v>
      </c>
    </row>
    <row r="17780">
      <c r="D17780" s="2" t="inlineStr">
        <is>
          <t>SUBTOTAL BAHAN</t>
        </is>
      </c>
      <c r="F17780" s="16" t="n">
        <v>4212075.9</v>
      </c>
    </row>
    <row r="17781">
      <c r="D17781" s="2" t="inlineStr">
        <is>
          <t>SUBTOTAL ALAT</t>
        </is>
      </c>
      <c r="F17781" s="16" t="n">
        <v>892040</v>
      </c>
    </row>
    <row r="17782">
      <c r="E17782" s="2" t="inlineStr">
        <is>
          <t>TOTAL HARGA SATUAN (Inc. Overhead)</t>
        </is>
      </c>
      <c r="F17782" s="17" t="n">
        <v>6010388</v>
      </c>
    </row>
    <row r="17784">
      <c r="A17784" s="14" t="inlineStr">
        <is>
          <t>KODE: 8.3.2.1 - 1 m' Box Culvert 40x40x100 dengan lantai kerja fc 7,5 Mpa</t>
        </is>
      </c>
    </row>
    <row r="17785">
      <c r="A17785" s="10" t="inlineStr">
        <is>
          <t>No</t>
        </is>
      </c>
      <c r="B17785" s="10" t="inlineStr">
        <is>
          <t>Uraian Komponen</t>
        </is>
      </c>
      <c r="C17785" s="10" t="inlineStr">
        <is>
          <t>Satuan</t>
        </is>
      </c>
      <c r="D17785" s="10" t="inlineStr">
        <is>
          <t>Koef</t>
        </is>
      </c>
      <c r="E17785" s="10" t="inlineStr">
        <is>
          <t>Harga Satuan (Rp)</t>
        </is>
      </c>
      <c r="F17785" s="10" t="inlineStr">
        <is>
          <t>Jumlah Harga (Rp)</t>
        </is>
      </c>
    </row>
    <row r="17786">
      <c r="A17786" s="3" t="inlineStr">
        <is>
          <t>1</t>
        </is>
      </c>
      <c r="B17786" s="3" t="inlineStr">
        <is>
          <t>Pekerja</t>
        </is>
      </c>
      <c r="C17786" s="3" t="inlineStr">
        <is>
          <t>OH</t>
        </is>
      </c>
      <c r="D17786" s="15" t="n">
        <v>0.2231</v>
      </c>
      <c r="E17786" s="4" t="n">
        <v>100000</v>
      </c>
      <c r="F17786" s="4" t="n">
        <v>22310</v>
      </c>
    </row>
    <row r="17787">
      <c r="A17787" s="3" t="inlineStr">
        <is>
          <t>2</t>
        </is>
      </c>
      <c r="B17787" s="3" t="inlineStr">
        <is>
          <t>Tukang Batu</t>
        </is>
      </c>
      <c r="C17787" s="3" t="inlineStr">
        <is>
          <t>OH</t>
        </is>
      </c>
      <c r="D17787" s="15" t="n">
        <v>0.2231</v>
      </c>
      <c r="E17787" s="4" t="n">
        <v>145000</v>
      </c>
      <c r="F17787" s="4" t="n">
        <v>32349.5</v>
      </c>
    </row>
    <row r="17788">
      <c r="A17788" s="3" t="inlineStr">
        <is>
          <t>3</t>
        </is>
      </c>
      <c r="B17788" s="3" t="inlineStr">
        <is>
          <t>Mandor</t>
        </is>
      </c>
      <c r="C17788" s="3" t="inlineStr">
        <is>
          <t>OH</t>
        </is>
      </c>
      <c r="D17788" s="15" t="n">
        <v>0.0112</v>
      </c>
      <c r="E17788" s="4" t="n">
        <v>200000</v>
      </c>
      <c r="F17788" s="4" t="n">
        <v>2240</v>
      </c>
    </row>
    <row r="17789">
      <c r="A17789" s="3" t="inlineStr">
        <is>
          <t>1</t>
        </is>
      </c>
      <c r="B17789" s="3" t="inlineStr">
        <is>
          <t>"Lantai Kerja fc 7 5 Mpa"</t>
        </is>
      </c>
      <c r="C17789" s="3" t="inlineStr">
        <is>
          <t>m3</t>
        </is>
      </c>
      <c r="D17789" s="15" t="n">
        <v>0.0365</v>
      </c>
      <c r="E17789" s="4" t="n">
        <v>928000</v>
      </c>
      <c r="F17789" s="4" t="n">
        <v>33872</v>
      </c>
    </row>
    <row r="17790">
      <c r="A17790" s="3" t="inlineStr">
        <is>
          <t>2</t>
        </is>
      </c>
      <c r="B17790" s="3" t="inlineStr">
        <is>
          <t>Urukan Pasir Uruk</t>
        </is>
      </c>
      <c r="C17790" s="3" t="inlineStr">
        <is>
          <t>m3</t>
        </is>
      </c>
      <c r="D17790" s="15" t="n">
        <v>0.073</v>
      </c>
      <c r="E17790" s="4" t="n">
        <v>488180</v>
      </c>
      <c r="F17790" s="4" t="n">
        <v>35637.14</v>
      </c>
    </row>
    <row r="17791">
      <c r="A17791" s="3" t="inlineStr">
        <is>
          <t>4</t>
        </is>
      </c>
      <c r="B17791" s="3" t="inlineStr">
        <is>
          <t>Box Culvert 40x40x100 cm</t>
        </is>
      </c>
      <c r="C17791" s="3" t="inlineStr">
        <is>
          <t>buah</t>
        </is>
      </c>
      <c r="D17791" s="15" t="n">
        <v>1</v>
      </c>
      <c r="E17791" s="4" t="n">
        <v>855000</v>
      </c>
      <c r="F17791" s="4" t="n">
        <v>855000</v>
      </c>
    </row>
    <row r="17792">
      <c r="A17792" s="3" t="inlineStr">
        <is>
          <t>1</t>
        </is>
      </c>
      <c r="B17792" s="3" t="inlineStr">
        <is>
          <t>Sewa Mobil Crane</t>
        </is>
      </c>
      <c r="C17792" s="3" t="inlineStr">
        <is>
          <t>jam</t>
        </is>
      </c>
      <c r="D17792" s="15" t="n">
        <v>0.2231</v>
      </c>
      <c r="E17792" s="4" t="n">
        <v>1450000</v>
      </c>
      <c r="F17792" s="4" t="n">
        <v>323495</v>
      </c>
    </row>
    <row r="17793">
      <c r="D17793" s="2" t="inlineStr">
        <is>
          <t>SUBTOTAL UPAH</t>
        </is>
      </c>
      <c r="F17793" s="16" t="n">
        <v>56899.5</v>
      </c>
    </row>
    <row r="17794">
      <c r="D17794" s="2" t="inlineStr">
        <is>
          <t>SUBTOTAL BAHAN</t>
        </is>
      </c>
      <c r="F17794" s="16" t="n">
        <v>924509.14</v>
      </c>
    </row>
    <row r="17795">
      <c r="D17795" s="2" t="inlineStr">
        <is>
          <t>SUBTOTAL ALAT</t>
        </is>
      </c>
      <c r="F17795" s="16" t="n">
        <v>323495</v>
      </c>
    </row>
    <row r="17796">
      <c r="E17796" s="2" t="inlineStr">
        <is>
          <t>TOTAL HARGA SATUAN (Inc. Overhead)</t>
        </is>
      </c>
      <c r="F17796" s="17" t="n">
        <v>1435394</v>
      </c>
    </row>
    <row r="17798">
      <c r="A17798" s="14" t="inlineStr">
        <is>
          <t>KODE: 8.3.2.2 - 1 m' Box Culvert 50x50x100 dengan lantai kerja fc 7,5 Mpa</t>
        </is>
      </c>
    </row>
    <row r="17799">
      <c r="A17799" s="10" t="inlineStr">
        <is>
          <t>No</t>
        </is>
      </c>
      <c r="B17799" s="10" t="inlineStr">
        <is>
          <t>Uraian Komponen</t>
        </is>
      </c>
      <c r="C17799" s="10" t="inlineStr">
        <is>
          <t>Satuan</t>
        </is>
      </c>
      <c r="D17799" s="10" t="inlineStr">
        <is>
          <t>Koef</t>
        </is>
      </c>
      <c r="E17799" s="10" t="inlineStr">
        <is>
          <t>Harga Satuan (Rp)</t>
        </is>
      </c>
      <c r="F17799" s="10" t="inlineStr">
        <is>
          <t>Jumlah Harga (Rp)</t>
        </is>
      </c>
    </row>
    <row r="17800">
      <c r="A17800" s="3" t="inlineStr">
        <is>
          <t>1</t>
        </is>
      </c>
      <c r="B17800" s="3" t="inlineStr">
        <is>
          <t>Pekerja</t>
        </is>
      </c>
      <c r="C17800" s="3" t="inlineStr">
        <is>
          <t>OH</t>
        </is>
      </c>
      <c r="D17800" s="15" t="n">
        <v>0.2339</v>
      </c>
      <c r="E17800" s="4" t="n">
        <v>100000</v>
      </c>
      <c r="F17800" s="4" t="n">
        <v>23390</v>
      </c>
    </row>
    <row r="17801">
      <c r="A17801" s="3" t="inlineStr">
        <is>
          <t>2</t>
        </is>
      </c>
      <c r="B17801" s="3" t="inlineStr">
        <is>
          <t>Tukang Batu</t>
        </is>
      </c>
      <c r="C17801" s="3" t="inlineStr">
        <is>
          <t>OH</t>
        </is>
      </c>
      <c r="D17801" s="15" t="n">
        <v>0.2339</v>
      </c>
      <c r="E17801" s="4" t="n">
        <v>145000</v>
      </c>
      <c r="F17801" s="4" t="n">
        <v>33915.5</v>
      </c>
    </row>
    <row r="17802">
      <c r="A17802" s="3" t="inlineStr">
        <is>
          <t>3</t>
        </is>
      </c>
      <c r="B17802" s="3" t="inlineStr">
        <is>
          <t>Mandor</t>
        </is>
      </c>
      <c r="C17802" s="3" t="inlineStr">
        <is>
          <t>OH</t>
        </is>
      </c>
      <c r="D17802" s="15" t="n">
        <v>0.0117</v>
      </c>
      <c r="E17802" s="4" t="n">
        <v>200000</v>
      </c>
      <c r="F17802" s="4" t="n">
        <v>2340</v>
      </c>
    </row>
    <row r="17803">
      <c r="A17803" s="3" t="inlineStr">
        <is>
          <t>1</t>
        </is>
      </c>
      <c r="B17803" s="3" t="inlineStr">
        <is>
          <t>"Lantai Kerja fc 7 5 Mpa"</t>
        </is>
      </c>
      <c r="C17803" s="3" t="inlineStr">
        <is>
          <t>m3</t>
        </is>
      </c>
      <c r="D17803" s="15" t="n">
        <v>0.0425</v>
      </c>
      <c r="E17803" s="4" t="n">
        <v>928000</v>
      </c>
      <c r="F17803" s="4" t="n">
        <v>39440</v>
      </c>
    </row>
    <row r="17804">
      <c r="A17804" s="3" t="inlineStr">
        <is>
          <t>2</t>
        </is>
      </c>
      <c r="B17804" s="3" t="inlineStr">
        <is>
          <t>Urukan Pasir Uruk</t>
        </is>
      </c>
      <c r="C17804" s="3" t="inlineStr">
        <is>
          <t>m3</t>
        </is>
      </c>
      <c r="D17804" s="15" t="n">
        <v>0.08500000000000001</v>
      </c>
      <c r="E17804" s="4" t="n">
        <v>488180</v>
      </c>
      <c r="F17804" s="4" t="n">
        <v>41495.3</v>
      </c>
    </row>
    <row r="17805">
      <c r="A17805" s="3" t="inlineStr">
        <is>
          <t>4</t>
        </is>
      </c>
      <c r="B17805" s="3" t="inlineStr">
        <is>
          <t>Box Culvert 50x50x100 cm</t>
        </is>
      </c>
      <c r="C17805" s="3" t="inlineStr">
        <is>
          <t>buah</t>
        </is>
      </c>
      <c r="D17805" s="15" t="n">
        <v>1</v>
      </c>
      <c r="E17805" s="4" t="n">
        <v>1119000</v>
      </c>
      <c r="F17805" s="4" t="n">
        <v>1119000</v>
      </c>
    </row>
    <row r="17806">
      <c r="A17806" s="3" t="inlineStr">
        <is>
          <t>1</t>
        </is>
      </c>
      <c r="B17806" s="3" t="inlineStr">
        <is>
          <t>Sewa Mobil Crane</t>
        </is>
      </c>
      <c r="C17806" s="3" t="inlineStr">
        <is>
          <t>jam</t>
        </is>
      </c>
      <c r="D17806" s="15" t="n">
        <v>0.2339</v>
      </c>
      <c r="E17806" s="4" t="n">
        <v>1450000</v>
      </c>
      <c r="F17806" s="4" t="n">
        <v>339155</v>
      </c>
    </row>
    <row r="17807">
      <c r="D17807" s="2" t="inlineStr">
        <is>
          <t>SUBTOTAL UPAH</t>
        </is>
      </c>
      <c r="F17807" s="16" t="n">
        <v>59645.5</v>
      </c>
    </row>
    <row r="17808">
      <c r="D17808" s="2" t="inlineStr">
        <is>
          <t>SUBTOTAL BAHAN</t>
        </is>
      </c>
      <c r="F17808" s="16" t="n">
        <v>1199935.3</v>
      </c>
    </row>
    <row r="17809">
      <c r="D17809" s="2" t="inlineStr">
        <is>
          <t>SUBTOTAL ALAT</t>
        </is>
      </c>
      <c r="F17809" s="16" t="n">
        <v>339155</v>
      </c>
    </row>
    <row r="17810">
      <c r="E17810" s="2" t="inlineStr">
        <is>
          <t>TOTAL HARGA SATUAN (Inc. Overhead)</t>
        </is>
      </c>
      <c r="F17810" s="17" t="n">
        <v>1758609</v>
      </c>
    </row>
    <row r="17812">
      <c r="A17812" s="14" t="inlineStr">
        <is>
          <t>KODE: 8.3.2.3 - 1 m' Box Culvert 60x60x100 dengan lantai kerja fc 7,5 Mpa</t>
        </is>
      </c>
    </row>
    <row r="17813">
      <c r="A17813" s="10" t="inlineStr">
        <is>
          <t>No</t>
        </is>
      </c>
      <c r="B17813" s="10" t="inlineStr">
        <is>
          <t>Uraian Komponen</t>
        </is>
      </c>
      <c r="C17813" s="10" t="inlineStr">
        <is>
          <t>Satuan</t>
        </is>
      </c>
      <c r="D17813" s="10" t="inlineStr">
        <is>
          <t>Koef</t>
        </is>
      </c>
      <c r="E17813" s="10" t="inlineStr">
        <is>
          <t>Harga Satuan (Rp)</t>
        </is>
      </c>
      <c r="F17813" s="10" t="inlineStr">
        <is>
          <t>Jumlah Harga (Rp)</t>
        </is>
      </c>
    </row>
    <row r="17814">
      <c r="A17814" s="3" t="inlineStr">
        <is>
          <t>1</t>
        </is>
      </c>
      <c r="B17814" s="3" t="inlineStr">
        <is>
          <t>Pekerja</t>
        </is>
      </c>
      <c r="C17814" s="3" t="inlineStr">
        <is>
          <t>OH</t>
        </is>
      </c>
      <c r="D17814" s="15" t="n">
        <v>0.2524</v>
      </c>
      <c r="E17814" s="4" t="n">
        <v>100000</v>
      </c>
      <c r="F17814" s="4" t="n">
        <v>25240</v>
      </c>
    </row>
    <row r="17815">
      <c r="A17815" s="3" t="inlineStr">
        <is>
          <t>2</t>
        </is>
      </c>
      <c r="B17815" s="3" t="inlineStr">
        <is>
          <t>Tukang Batu</t>
        </is>
      </c>
      <c r="C17815" s="3" t="inlineStr">
        <is>
          <t>OH</t>
        </is>
      </c>
      <c r="D17815" s="15" t="n">
        <v>0.2524</v>
      </c>
      <c r="E17815" s="4" t="n">
        <v>145000</v>
      </c>
      <c r="F17815" s="4" t="n">
        <v>36598</v>
      </c>
    </row>
    <row r="17816">
      <c r="A17816" s="3" t="inlineStr">
        <is>
          <t>3</t>
        </is>
      </c>
      <c r="B17816" s="3" t="inlineStr">
        <is>
          <t>Mandor</t>
        </is>
      </c>
      <c r="C17816" s="3" t="inlineStr">
        <is>
          <t>OH</t>
        </is>
      </c>
      <c r="D17816" s="15" t="n">
        <v>0.0126</v>
      </c>
      <c r="E17816" s="4" t="n">
        <v>200000</v>
      </c>
      <c r="F17816" s="4" t="n">
        <v>2520</v>
      </c>
    </row>
    <row r="17817">
      <c r="A17817" s="3" t="inlineStr">
        <is>
          <t>1</t>
        </is>
      </c>
      <c r="B17817" s="3" t="inlineStr">
        <is>
          <t>"Lantai Kerja fc 7 5 Mpa"</t>
        </is>
      </c>
      <c r="C17817" s="3" t="inlineStr">
        <is>
          <t>m3</t>
        </is>
      </c>
      <c r="D17817" s="15" t="n">
        <v>0.0495</v>
      </c>
      <c r="E17817" s="4" t="n">
        <v>928000</v>
      </c>
      <c r="F17817" s="4" t="n">
        <v>45936</v>
      </c>
    </row>
    <row r="17818">
      <c r="A17818" s="3" t="inlineStr">
        <is>
          <t>2</t>
        </is>
      </c>
      <c r="B17818" s="3" t="inlineStr">
        <is>
          <t>Urukan Pasir Uruk</t>
        </is>
      </c>
      <c r="C17818" s="3" t="inlineStr">
        <is>
          <t>m3</t>
        </is>
      </c>
      <c r="D17818" s="15" t="n">
        <v>0.099</v>
      </c>
      <c r="E17818" s="4" t="n">
        <v>488180</v>
      </c>
      <c r="F17818" s="4" t="n">
        <v>48329.82</v>
      </c>
    </row>
    <row r="17819">
      <c r="A17819" s="3" t="inlineStr">
        <is>
          <t>4</t>
        </is>
      </c>
      <c r="B17819" s="3" t="inlineStr">
        <is>
          <t>Box Culvert 50x50x100 cm</t>
        </is>
      </c>
      <c r="C17819" s="3" t="inlineStr">
        <is>
          <t>buah</t>
        </is>
      </c>
      <c r="D17819" s="15" t="n">
        <v>1</v>
      </c>
      <c r="E17819" s="4" t="n">
        <v>1119000</v>
      </c>
      <c r="F17819" s="4" t="n">
        <v>1119000</v>
      </c>
    </row>
    <row r="17820">
      <c r="A17820" s="3" t="inlineStr">
        <is>
          <t>1</t>
        </is>
      </c>
      <c r="B17820" s="3" t="inlineStr">
        <is>
          <t>Sewa Mobil Crane</t>
        </is>
      </c>
      <c r="C17820" s="3" t="inlineStr">
        <is>
          <t>jam</t>
        </is>
      </c>
      <c r="D17820" s="15" t="n">
        <v>0.2524</v>
      </c>
      <c r="E17820" s="4" t="n">
        <v>1450000</v>
      </c>
      <c r="F17820" s="4" t="n">
        <v>365980</v>
      </c>
    </row>
    <row r="17821">
      <c r="D17821" s="2" t="inlineStr">
        <is>
          <t>SUBTOTAL UPAH</t>
        </is>
      </c>
      <c r="F17821" s="16" t="n">
        <v>64358</v>
      </c>
    </row>
    <row r="17822">
      <c r="D17822" s="2" t="inlineStr">
        <is>
          <t>SUBTOTAL BAHAN</t>
        </is>
      </c>
      <c r="F17822" s="16" t="n">
        <v>1213265.82</v>
      </c>
    </row>
    <row r="17823">
      <c r="D17823" s="2" t="inlineStr">
        <is>
          <t>SUBTOTAL ALAT</t>
        </is>
      </c>
      <c r="F17823" s="16" t="n">
        <v>365980</v>
      </c>
    </row>
    <row r="17824">
      <c r="E17824" s="2" t="inlineStr">
        <is>
          <t>TOTAL HARGA SATUAN (Inc. Overhead)</t>
        </is>
      </c>
      <c r="F17824" s="17" t="n">
        <v>1807964</v>
      </c>
    </row>
    <row r="17826">
      <c r="A17826" s="14" t="inlineStr">
        <is>
          <t>KODE: 8.3.2.4 - 1 m' Box Culvert 80x80x100 dengan lantai kerja fc 7,5 Mpa</t>
        </is>
      </c>
    </row>
    <row r="17827">
      <c r="A17827" s="10" t="inlineStr">
        <is>
          <t>No</t>
        </is>
      </c>
      <c r="B17827" s="10" t="inlineStr">
        <is>
          <t>Uraian Komponen</t>
        </is>
      </c>
      <c r="C17827" s="10" t="inlineStr">
        <is>
          <t>Satuan</t>
        </is>
      </c>
      <c r="D17827" s="10" t="inlineStr">
        <is>
          <t>Koef</t>
        </is>
      </c>
      <c r="E17827" s="10" t="inlineStr">
        <is>
          <t>Harga Satuan (Rp)</t>
        </is>
      </c>
      <c r="F17827" s="10" t="inlineStr">
        <is>
          <t>Jumlah Harga (Rp)</t>
        </is>
      </c>
    </row>
    <row r="17828">
      <c r="A17828" s="3" t="inlineStr">
        <is>
          <t>1</t>
        </is>
      </c>
      <c r="B17828" s="3" t="inlineStr">
        <is>
          <t>Pekerja</t>
        </is>
      </c>
      <c r="C17828" s="3" t="inlineStr">
        <is>
          <t>OH</t>
        </is>
      </c>
      <c r="D17828" s="15" t="n">
        <v>0.6487000000000001</v>
      </c>
      <c r="E17828" s="4" t="n">
        <v>100000</v>
      </c>
      <c r="F17828" s="4" t="n">
        <v>64870.00000000001</v>
      </c>
    </row>
    <row r="17829">
      <c r="A17829" s="3" t="inlineStr">
        <is>
          <t>2</t>
        </is>
      </c>
      <c r="B17829" s="3" t="inlineStr">
        <is>
          <t>Tukang Batu</t>
        </is>
      </c>
      <c r="C17829" s="3" t="inlineStr">
        <is>
          <t>OH</t>
        </is>
      </c>
      <c r="D17829" s="15" t="n">
        <v>0.3244</v>
      </c>
      <c r="E17829" s="4" t="n">
        <v>145000</v>
      </c>
      <c r="F17829" s="4" t="n">
        <v>47038</v>
      </c>
    </row>
    <row r="17830">
      <c r="A17830" s="3" t="inlineStr">
        <is>
          <t>3</t>
        </is>
      </c>
      <c r="B17830" s="3" t="inlineStr">
        <is>
          <t>Mandor</t>
        </is>
      </c>
      <c r="C17830" s="3" t="inlineStr">
        <is>
          <t>OH</t>
        </is>
      </c>
      <c r="D17830" s="15" t="n">
        <v>0.0324</v>
      </c>
      <c r="E17830" s="4" t="n">
        <v>200000</v>
      </c>
      <c r="F17830" s="4" t="n">
        <v>6480</v>
      </c>
    </row>
    <row r="17831">
      <c r="A17831" s="3" t="inlineStr">
        <is>
          <t>1</t>
        </is>
      </c>
      <c r="B17831" s="3" t="inlineStr">
        <is>
          <t>"Lantai Kerja fc 7 5 Mpa"</t>
        </is>
      </c>
      <c r="C17831" s="3" t="inlineStr">
        <is>
          <t>m3</t>
        </is>
      </c>
      <c r="D17831" s="15" t="n">
        <v>0.0625</v>
      </c>
      <c r="E17831" s="4" t="n">
        <v>928000</v>
      </c>
      <c r="F17831" s="4" t="n">
        <v>58000</v>
      </c>
    </row>
    <row r="17832">
      <c r="A17832" s="3" t="inlineStr">
        <is>
          <t>2</t>
        </is>
      </c>
      <c r="B17832" s="3" t="inlineStr">
        <is>
          <t>Urukan Pasir Uruk</t>
        </is>
      </c>
      <c r="C17832" s="3" t="inlineStr">
        <is>
          <t>m3</t>
        </is>
      </c>
      <c r="D17832" s="15" t="n">
        <v>0.125</v>
      </c>
      <c r="E17832" s="4" t="n">
        <v>488180</v>
      </c>
      <c r="F17832" s="4" t="n">
        <v>61022.5</v>
      </c>
    </row>
    <row r="17833">
      <c r="A17833" s="3" t="inlineStr">
        <is>
          <t>4</t>
        </is>
      </c>
      <c r="B17833" s="3" t="inlineStr">
        <is>
          <t>Box Culvert 80x80x100 cm</t>
        </is>
      </c>
      <c r="C17833" s="3" t="inlineStr">
        <is>
          <t>buah</t>
        </is>
      </c>
      <c r="D17833" s="15" t="n">
        <v>1</v>
      </c>
      <c r="E17833" s="4" t="n">
        <v>2560000</v>
      </c>
      <c r="F17833" s="4" t="n">
        <v>2560000</v>
      </c>
    </row>
    <row r="17834">
      <c r="A17834" s="3" t="inlineStr">
        <is>
          <t>1</t>
        </is>
      </c>
      <c r="B17834" s="3" t="inlineStr">
        <is>
          <t>Sewa Mobil Crane</t>
        </is>
      </c>
      <c r="C17834" s="3" t="inlineStr">
        <is>
          <t>jam</t>
        </is>
      </c>
      <c r="D17834" s="15" t="n">
        <v>0.3244</v>
      </c>
      <c r="E17834" s="4" t="n">
        <v>1450000</v>
      </c>
      <c r="F17834" s="4" t="n">
        <v>470380.0000000001</v>
      </c>
    </row>
    <row r="17835">
      <c r="D17835" s="2" t="inlineStr">
        <is>
          <t>SUBTOTAL UPAH</t>
        </is>
      </c>
      <c r="F17835" s="16" t="n">
        <v>118388</v>
      </c>
    </row>
    <row r="17836">
      <c r="D17836" s="2" t="inlineStr">
        <is>
          <t>SUBTOTAL BAHAN</t>
        </is>
      </c>
      <c r="F17836" s="16" t="n">
        <v>2679022.5</v>
      </c>
    </row>
    <row r="17837">
      <c r="D17837" s="2" t="inlineStr">
        <is>
          <t>SUBTOTAL ALAT</t>
        </is>
      </c>
      <c r="F17837" s="16" t="n">
        <v>470380.0000000001</v>
      </c>
    </row>
    <row r="17838">
      <c r="E17838" s="2" t="inlineStr">
        <is>
          <t>TOTAL HARGA SATUAN (Inc. Overhead)</t>
        </is>
      </c>
      <c r="F17838" s="17" t="n">
        <v>3594569</v>
      </c>
    </row>
    <row r="17840">
      <c r="A17840" s="14" t="inlineStr">
        <is>
          <t>KODE: 8.3.2.5 - 1 m' Box Culvert 100x100x100 dengan lantai kerja fc 7,5 Mpa</t>
        </is>
      </c>
    </row>
    <row r="17841">
      <c r="A17841" s="10" t="inlineStr">
        <is>
          <t>No</t>
        </is>
      </c>
      <c r="B17841" s="10" t="inlineStr">
        <is>
          <t>Uraian Komponen</t>
        </is>
      </c>
      <c r="C17841" s="10" t="inlineStr">
        <is>
          <t>Satuan</t>
        </is>
      </c>
      <c r="D17841" s="10" t="inlineStr">
        <is>
          <t>Koef</t>
        </is>
      </c>
      <c r="E17841" s="10" t="inlineStr">
        <is>
          <t>Harga Satuan (Rp)</t>
        </is>
      </c>
      <c r="F17841" s="10" t="inlineStr">
        <is>
          <t>Jumlah Harga (Rp)</t>
        </is>
      </c>
    </row>
    <row r="17842">
      <c r="A17842" s="3" t="inlineStr">
        <is>
          <t>1</t>
        </is>
      </c>
      <c r="B17842" s="3" t="inlineStr">
        <is>
          <t>Pekerja</t>
        </is>
      </c>
      <c r="C17842" s="3" t="inlineStr">
        <is>
          <t>OH</t>
        </is>
      </c>
      <c r="D17842" s="15" t="n">
        <v>0.92</v>
      </c>
      <c r="E17842" s="4" t="n">
        <v>100000</v>
      </c>
      <c r="F17842" s="4" t="n">
        <v>92000</v>
      </c>
    </row>
    <row r="17843">
      <c r="A17843" s="3" t="inlineStr">
        <is>
          <t>2</t>
        </is>
      </c>
      <c r="B17843" s="3" t="inlineStr">
        <is>
          <t>Tukang Batu</t>
        </is>
      </c>
      <c r="C17843" s="3" t="inlineStr">
        <is>
          <t>OH</t>
        </is>
      </c>
      <c r="D17843" s="15" t="n">
        <v>0.46</v>
      </c>
      <c r="E17843" s="4" t="n">
        <v>145000</v>
      </c>
      <c r="F17843" s="4" t="n">
        <v>66700</v>
      </c>
    </row>
    <row r="17844">
      <c r="A17844" s="3" t="inlineStr">
        <is>
          <t>3</t>
        </is>
      </c>
      <c r="B17844" s="3" t="inlineStr">
        <is>
          <t>Mandor</t>
        </is>
      </c>
      <c r="C17844" s="3" t="inlineStr">
        <is>
          <t>OH</t>
        </is>
      </c>
      <c r="D17844" s="15" t="n">
        <v>0.046</v>
      </c>
      <c r="E17844" s="4" t="n">
        <v>200000</v>
      </c>
      <c r="F17844" s="4" t="n">
        <v>9200</v>
      </c>
    </row>
    <row r="17845">
      <c r="A17845" s="3" t="inlineStr">
        <is>
          <t>1</t>
        </is>
      </c>
      <c r="B17845" s="3" t="inlineStr">
        <is>
          <t>"Lantai Kerja fc 7 5 Mpa"</t>
        </is>
      </c>
      <c r="C17845" s="3" t="inlineStr">
        <is>
          <t>m3</t>
        </is>
      </c>
      <c r="D17845" s="15" t="n">
        <v>0.0725</v>
      </c>
      <c r="E17845" s="4" t="n">
        <v>928000</v>
      </c>
      <c r="F17845" s="4" t="n">
        <v>67280</v>
      </c>
    </row>
    <row r="17846">
      <c r="A17846" s="3" t="inlineStr">
        <is>
          <t>2</t>
        </is>
      </c>
      <c r="B17846" s="3" t="inlineStr">
        <is>
          <t>Urukan Pasir Uruk</t>
        </is>
      </c>
      <c r="C17846" s="3" t="inlineStr">
        <is>
          <t>m3</t>
        </is>
      </c>
      <c r="D17846" s="15" t="n">
        <v>0.145</v>
      </c>
      <c r="E17846" s="4" t="n">
        <v>488180</v>
      </c>
      <c r="F17846" s="4" t="n">
        <v>70786.09999999999</v>
      </c>
    </row>
    <row r="17847">
      <c r="A17847" s="3" t="inlineStr">
        <is>
          <t>4</t>
        </is>
      </c>
      <c r="B17847" s="3" t="inlineStr">
        <is>
          <t>Box Culvert 100x100x100 cm</t>
        </is>
      </c>
      <c r="C17847" s="3" t="inlineStr">
        <is>
          <t>buah</t>
        </is>
      </c>
      <c r="D17847" s="15" t="n">
        <v>1</v>
      </c>
      <c r="E17847" s="4" t="n">
        <v>3052000</v>
      </c>
      <c r="F17847" s="4" t="n">
        <v>3052000</v>
      </c>
    </row>
    <row r="17848">
      <c r="A17848" s="3" t="inlineStr">
        <is>
          <t>1</t>
        </is>
      </c>
      <c r="B17848" s="3" t="inlineStr">
        <is>
          <t>Sewa Mobil Crane</t>
        </is>
      </c>
      <c r="C17848" s="3" t="inlineStr">
        <is>
          <t>jam</t>
        </is>
      </c>
      <c r="D17848" s="15" t="n">
        <v>0.46</v>
      </c>
      <c r="E17848" s="4" t="n">
        <v>1450000</v>
      </c>
      <c r="F17848" s="4" t="n">
        <v>667000</v>
      </c>
    </row>
    <row r="17849">
      <c r="D17849" s="2" t="inlineStr">
        <is>
          <t>SUBTOTAL UPAH</t>
        </is>
      </c>
      <c r="F17849" s="16" t="n">
        <v>167900</v>
      </c>
    </row>
    <row r="17850">
      <c r="D17850" s="2" t="inlineStr">
        <is>
          <t>SUBTOTAL BAHAN</t>
        </is>
      </c>
      <c r="F17850" s="16" t="n">
        <v>3190066.1</v>
      </c>
    </row>
    <row r="17851">
      <c r="D17851" s="2" t="inlineStr">
        <is>
          <t>SUBTOTAL ALAT</t>
        </is>
      </c>
      <c r="F17851" s="16" t="n">
        <v>667000</v>
      </c>
    </row>
    <row r="17852">
      <c r="E17852" s="2" t="inlineStr">
        <is>
          <t>TOTAL HARGA SATUAN (Inc. Overhead)</t>
        </is>
      </c>
      <c r="F17852" s="17" t="n">
        <v>4427462</v>
      </c>
    </row>
    <row r="17854">
      <c r="A17854" s="14" t="inlineStr">
        <is>
          <t>KODE: 8.3.2.6 - 1 m' Box Culvert 150x150x100 dengan lantai kerja fc 7,5 Mpa</t>
        </is>
      </c>
    </row>
    <row r="17855">
      <c r="A17855" s="10" t="inlineStr">
        <is>
          <t>No</t>
        </is>
      </c>
      <c r="B17855" s="10" t="inlineStr">
        <is>
          <t>Uraian Komponen</t>
        </is>
      </c>
      <c r="C17855" s="10" t="inlineStr">
        <is>
          <t>Satuan</t>
        </is>
      </c>
      <c r="D17855" s="10" t="inlineStr">
        <is>
          <t>Koef</t>
        </is>
      </c>
      <c r="E17855" s="10" t="inlineStr">
        <is>
          <t>Harga Satuan (Rp)</t>
        </is>
      </c>
      <c r="F17855" s="10" t="inlineStr">
        <is>
          <t>Jumlah Harga (Rp)</t>
        </is>
      </c>
    </row>
    <row r="17856">
      <c r="A17856" s="3" t="inlineStr">
        <is>
          <t>1</t>
        </is>
      </c>
      <c r="B17856" s="3" t="inlineStr">
        <is>
          <t>Pekerja</t>
        </is>
      </c>
      <c r="C17856" s="3" t="inlineStr">
        <is>
          <t>OH</t>
        </is>
      </c>
      <c r="D17856" s="15" t="n">
        <v>1.0395</v>
      </c>
      <c r="E17856" s="4" t="n">
        <v>100000</v>
      </c>
      <c r="F17856" s="4" t="n">
        <v>103950</v>
      </c>
    </row>
    <row r="17857">
      <c r="A17857" s="3" t="inlineStr">
        <is>
          <t>2</t>
        </is>
      </c>
      <c r="B17857" s="3" t="inlineStr">
        <is>
          <t>Tukang Batu</t>
        </is>
      </c>
      <c r="C17857" s="3" t="inlineStr">
        <is>
          <t>OH</t>
        </is>
      </c>
      <c r="D17857" s="15" t="n">
        <v>0.5197000000000001</v>
      </c>
      <c r="E17857" s="4" t="n">
        <v>145000</v>
      </c>
      <c r="F17857" s="4" t="n">
        <v>75356.50000000001</v>
      </c>
    </row>
    <row r="17858">
      <c r="A17858" s="3" t="inlineStr">
        <is>
          <t>3</t>
        </is>
      </c>
      <c r="B17858" s="3" t="inlineStr">
        <is>
          <t>Mandor</t>
        </is>
      </c>
      <c r="C17858" s="3" t="inlineStr">
        <is>
          <t>OH</t>
        </is>
      </c>
      <c r="D17858" s="15" t="n">
        <v>0.052</v>
      </c>
      <c r="E17858" s="4" t="n">
        <v>200000</v>
      </c>
      <c r="F17858" s="4" t="n">
        <v>10400</v>
      </c>
    </row>
    <row r="17859">
      <c r="A17859" s="3" t="inlineStr">
        <is>
          <t>1</t>
        </is>
      </c>
      <c r="B17859" s="3" t="inlineStr">
        <is>
          <t>"Lantai Kerja fc 7 5 Mpa"</t>
        </is>
      </c>
      <c r="C17859" s="3" t="inlineStr">
        <is>
          <t>m3</t>
        </is>
      </c>
      <c r="D17859" s="15" t="n">
        <v>0.1005</v>
      </c>
      <c r="E17859" s="4" t="n">
        <v>928000</v>
      </c>
      <c r="F17859" s="4" t="n">
        <v>93264</v>
      </c>
    </row>
    <row r="17860">
      <c r="A17860" s="3" t="inlineStr">
        <is>
          <t>2</t>
        </is>
      </c>
      <c r="B17860" s="3" t="inlineStr">
        <is>
          <t>Urukan Pasir Uruk</t>
        </is>
      </c>
      <c r="C17860" s="3" t="inlineStr">
        <is>
          <t>m3</t>
        </is>
      </c>
      <c r="D17860" s="15" t="n">
        <v>0.201</v>
      </c>
      <c r="E17860" s="4" t="n">
        <v>488180</v>
      </c>
      <c r="F17860" s="4" t="n">
        <v>98124.18000000001</v>
      </c>
    </row>
    <row r="17861">
      <c r="A17861" s="3" t="inlineStr">
        <is>
          <t>4</t>
        </is>
      </c>
      <c r="B17861" s="3" t="inlineStr">
        <is>
          <t>Box Culvert 150x150x100 cm</t>
        </is>
      </c>
      <c r="C17861" s="3" t="inlineStr">
        <is>
          <t>buah</t>
        </is>
      </c>
      <c r="D17861" s="15" t="n">
        <v>1</v>
      </c>
      <c r="E17861" s="4" t="n">
        <v>3570000</v>
      </c>
      <c r="F17861" s="4" t="n">
        <v>3570000</v>
      </c>
    </row>
    <row r="17862">
      <c r="A17862" s="3" t="inlineStr">
        <is>
          <t>1</t>
        </is>
      </c>
      <c r="B17862" s="3" t="inlineStr">
        <is>
          <t>Sewa Mobil Crane</t>
        </is>
      </c>
      <c r="C17862" s="3" t="inlineStr">
        <is>
          <t>jam</t>
        </is>
      </c>
      <c r="D17862" s="15" t="n">
        <v>0.5197000000000001</v>
      </c>
      <c r="E17862" s="4" t="n">
        <v>1450000</v>
      </c>
      <c r="F17862" s="4" t="n">
        <v>753565.0000000001</v>
      </c>
    </row>
    <row r="17863">
      <c r="D17863" s="2" t="inlineStr">
        <is>
          <t>SUBTOTAL UPAH</t>
        </is>
      </c>
      <c r="F17863" s="16" t="n">
        <v>189706.5</v>
      </c>
    </row>
    <row r="17864">
      <c r="D17864" s="2" t="inlineStr">
        <is>
          <t>SUBTOTAL BAHAN</t>
        </is>
      </c>
      <c r="F17864" s="16" t="n">
        <v>3761388.18</v>
      </c>
    </row>
    <row r="17865">
      <c r="D17865" s="2" t="inlineStr">
        <is>
          <t>SUBTOTAL ALAT</t>
        </is>
      </c>
      <c r="F17865" s="16" t="n">
        <v>753565.0000000001</v>
      </c>
    </row>
    <row r="17866">
      <c r="E17866" s="2" t="inlineStr">
        <is>
          <t>TOTAL HARGA SATUAN (Inc. Overhead)</t>
        </is>
      </c>
      <c r="F17866" s="17" t="n">
        <v>5175125</v>
      </c>
    </row>
    <row r="17868">
      <c r="A17868" s="14" t="inlineStr">
        <is>
          <t>KODE: 8.3.2.7 - 1 m' Box Culvert 200x200x100 dengan lantai kerja fc 7,5 Mpa</t>
        </is>
      </c>
    </row>
    <row r="17869">
      <c r="A17869" s="10" t="inlineStr">
        <is>
          <t>No</t>
        </is>
      </c>
      <c r="B17869" s="10" t="inlineStr">
        <is>
          <t>Uraian Komponen</t>
        </is>
      </c>
      <c r="C17869" s="10" t="inlineStr">
        <is>
          <t>Satuan</t>
        </is>
      </c>
      <c r="D17869" s="10" t="inlineStr">
        <is>
          <t>Koef</t>
        </is>
      </c>
      <c r="E17869" s="10" t="inlineStr">
        <is>
          <t>Harga Satuan (Rp)</t>
        </is>
      </c>
      <c r="F17869" s="10" t="inlineStr">
        <is>
          <t>Jumlah Harga (Rp)</t>
        </is>
      </c>
    </row>
    <row r="17870">
      <c r="A17870" s="3" t="inlineStr">
        <is>
          <t>1</t>
        </is>
      </c>
      <c r="B17870" s="3" t="inlineStr">
        <is>
          <t>Pekerja</t>
        </is>
      </c>
      <c r="C17870" s="3" t="inlineStr">
        <is>
          <t>OH</t>
        </is>
      </c>
      <c r="D17870" s="15" t="n">
        <v>2.4607</v>
      </c>
      <c r="E17870" s="4" t="n">
        <v>100000</v>
      </c>
      <c r="F17870" s="4" t="n">
        <v>246070</v>
      </c>
    </row>
    <row r="17871">
      <c r="A17871" s="3" t="inlineStr">
        <is>
          <t>2</t>
        </is>
      </c>
      <c r="B17871" s="3" t="inlineStr">
        <is>
          <t>Tukang Batu</t>
        </is>
      </c>
      <c r="C17871" s="3" t="inlineStr">
        <is>
          <t>OH</t>
        </is>
      </c>
      <c r="D17871" s="15" t="n">
        <v>0.6152</v>
      </c>
      <c r="E17871" s="4" t="n">
        <v>145000</v>
      </c>
      <c r="F17871" s="4" t="n">
        <v>89204</v>
      </c>
    </row>
    <row r="17872">
      <c r="A17872" s="3" t="inlineStr">
        <is>
          <t>3</t>
        </is>
      </c>
      <c r="B17872" s="3" t="inlineStr">
        <is>
          <t>Mandor</t>
        </is>
      </c>
      <c r="C17872" s="3" t="inlineStr">
        <is>
          <t>OH</t>
        </is>
      </c>
      <c r="D17872" s="15" t="n">
        <v>0.123</v>
      </c>
      <c r="E17872" s="4" t="n">
        <v>200000</v>
      </c>
      <c r="F17872" s="4" t="n">
        <v>24600</v>
      </c>
    </row>
    <row r="17873">
      <c r="A17873" s="3" t="inlineStr">
        <is>
          <t>1</t>
        </is>
      </c>
      <c r="B17873" s="3" t="inlineStr">
        <is>
          <t>"Lantai Kerja fc 7 5 Mpa"</t>
        </is>
      </c>
      <c r="C17873" s="3" t="inlineStr">
        <is>
          <t>m3</t>
        </is>
      </c>
      <c r="D17873" s="15" t="n">
        <v>0.1275</v>
      </c>
      <c r="E17873" s="4" t="n">
        <v>928000</v>
      </c>
      <c r="F17873" s="4" t="n">
        <v>118320</v>
      </c>
    </row>
    <row r="17874">
      <c r="A17874" s="3" t="inlineStr">
        <is>
          <t>2</t>
        </is>
      </c>
      <c r="B17874" s="3" t="inlineStr">
        <is>
          <t>Urukan Pasir Uruk</t>
        </is>
      </c>
      <c r="C17874" s="3" t="inlineStr">
        <is>
          <t>m3</t>
        </is>
      </c>
      <c r="D17874" s="15" t="n">
        <v>0.255</v>
      </c>
      <c r="E17874" s="4" t="n">
        <v>488180</v>
      </c>
      <c r="F17874" s="4" t="n">
        <v>124485.9</v>
      </c>
    </row>
    <row r="17875">
      <c r="A17875" s="3" t="inlineStr">
        <is>
          <t>4</t>
        </is>
      </c>
      <c r="B17875" s="3" t="inlineStr">
        <is>
          <t>Box Culvert 200x200x100 cm</t>
        </is>
      </c>
      <c r="C17875" s="3" t="inlineStr">
        <is>
          <t>buah</t>
        </is>
      </c>
      <c r="D17875" s="15" t="n">
        <v>1</v>
      </c>
      <c r="E17875" s="4" t="n">
        <v>3930000</v>
      </c>
      <c r="F17875" s="4" t="n">
        <v>3930000</v>
      </c>
    </row>
    <row r="17876">
      <c r="A17876" s="3" t="inlineStr">
        <is>
          <t>1</t>
        </is>
      </c>
      <c r="B17876" s="3" t="inlineStr">
        <is>
          <t>Sewa Mobil Crane</t>
        </is>
      </c>
      <c r="C17876" s="3" t="inlineStr">
        <is>
          <t>jam</t>
        </is>
      </c>
      <c r="D17876" s="15" t="n">
        <v>0.6152</v>
      </c>
      <c r="E17876" s="4" t="n">
        <v>1450000</v>
      </c>
      <c r="F17876" s="4" t="n">
        <v>892040</v>
      </c>
    </row>
    <row r="17877">
      <c r="D17877" s="2" t="inlineStr">
        <is>
          <t>SUBTOTAL UPAH</t>
        </is>
      </c>
      <c r="F17877" s="16" t="n">
        <v>359874</v>
      </c>
    </row>
    <row r="17878">
      <c r="D17878" s="2" t="inlineStr">
        <is>
          <t>SUBTOTAL BAHAN</t>
        </is>
      </c>
      <c r="F17878" s="16" t="n">
        <v>4172805.9</v>
      </c>
    </row>
    <row r="17879">
      <c r="D17879" s="2" t="inlineStr">
        <is>
          <t>SUBTOTAL ALAT</t>
        </is>
      </c>
      <c r="F17879" s="16" t="n">
        <v>892040</v>
      </c>
    </row>
    <row r="17880">
      <c r="E17880" s="2" t="inlineStr">
        <is>
          <t>TOTAL HARGA SATUAN (Inc. Overhead)</t>
        </is>
      </c>
      <c r="F17880" s="17" t="n">
        <v>5967191</v>
      </c>
    </row>
    <row r="17882">
      <c r="A17882" s="14" t="inlineStr">
        <is>
          <t>KODE: 8.3.2.8 - 1 m' Box Culvert 300x300x100 dengan lantai kerja fc 7,5 Mpa</t>
        </is>
      </c>
    </row>
    <row r="17883">
      <c r="A17883" s="10" t="inlineStr">
        <is>
          <t>No</t>
        </is>
      </c>
      <c r="B17883" s="10" t="inlineStr">
        <is>
          <t>Uraian Komponen</t>
        </is>
      </c>
      <c r="C17883" s="10" t="inlineStr">
        <is>
          <t>Satuan</t>
        </is>
      </c>
      <c r="D17883" s="10" t="inlineStr">
        <is>
          <t>Koef</t>
        </is>
      </c>
      <c r="E17883" s="10" t="inlineStr">
        <is>
          <t>Harga Satuan (Rp)</t>
        </is>
      </c>
      <c r="F17883" s="10" t="inlineStr">
        <is>
          <t>Jumlah Harga (Rp)</t>
        </is>
      </c>
    </row>
    <row r="17884">
      <c r="A17884" s="3" t="inlineStr">
        <is>
          <t>1</t>
        </is>
      </c>
      <c r="B17884" s="3" t="inlineStr">
        <is>
          <t>Pekerja</t>
        </is>
      </c>
      <c r="C17884" s="3" t="inlineStr">
        <is>
          <t>OH</t>
        </is>
      </c>
      <c r="D17884" s="15" t="n">
        <v>3.6491</v>
      </c>
      <c r="E17884" s="4" t="n">
        <v>100000</v>
      </c>
      <c r="F17884" s="4" t="n">
        <v>364910</v>
      </c>
    </row>
    <row r="17885">
      <c r="A17885" s="3" t="inlineStr">
        <is>
          <t>2</t>
        </is>
      </c>
      <c r="B17885" s="3" t="inlineStr">
        <is>
          <t>Tukang Batu</t>
        </is>
      </c>
      <c r="C17885" s="3" t="inlineStr">
        <is>
          <t>OH</t>
        </is>
      </c>
      <c r="D17885" s="15" t="n">
        <v>0.9123</v>
      </c>
      <c r="E17885" s="4" t="n">
        <v>145000</v>
      </c>
      <c r="F17885" s="4" t="n">
        <v>132283.5</v>
      </c>
    </row>
    <row r="17886">
      <c r="A17886" s="3" t="inlineStr">
        <is>
          <t>3</t>
        </is>
      </c>
      <c r="B17886" s="3" t="inlineStr">
        <is>
          <t>Mandor</t>
        </is>
      </c>
      <c r="C17886" s="3" t="inlineStr">
        <is>
          <t>OH</t>
        </is>
      </c>
      <c r="D17886" s="15" t="n">
        <v>0.1825</v>
      </c>
      <c r="E17886" s="4" t="n">
        <v>200000</v>
      </c>
      <c r="F17886" s="4" t="n">
        <v>36500</v>
      </c>
    </row>
    <row r="17887">
      <c r="A17887" s="3" t="inlineStr">
        <is>
          <t>1</t>
        </is>
      </c>
      <c r="B17887" s="3" t="inlineStr">
        <is>
          <t>"Lantai Kerja fc 7 5 Mpa"</t>
        </is>
      </c>
      <c r="C17887" s="3" t="inlineStr">
        <is>
          <t>m3</t>
        </is>
      </c>
      <c r="D17887" s="15" t="n">
        <v>0.1875</v>
      </c>
      <c r="E17887" s="4" t="n">
        <v>928000</v>
      </c>
      <c r="F17887" s="4" t="n">
        <v>174000</v>
      </c>
    </row>
    <row r="17888">
      <c r="A17888" s="3" t="inlineStr">
        <is>
          <t>2</t>
        </is>
      </c>
      <c r="B17888" s="3" t="inlineStr">
        <is>
          <t>Urukan Pasir Uruk</t>
        </is>
      </c>
      <c r="C17888" s="3" t="inlineStr">
        <is>
          <t>m3</t>
        </is>
      </c>
      <c r="D17888" s="15" t="n">
        <v>0.375</v>
      </c>
      <c r="E17888" s="4" t="n">
        <v>488180</v>
      </c>
      <c r="F17888" s="4" t="n">
        <v>183067.5</v>
      </c>
    </row>
    <row r="17889">
      <c r="A17889" s="3" t="inlineStr">
        <is>
          <t>4</t>
        </is>
      </c>
      <c r="B17889" s="3" t="inlineStr">
        <is>
          <t>Box Culvert 300x300x100 cm</t>
        </is>
      </c>
      <c r="C17889" s="3" t="inlineStr">
        <is>
          <t>buah</t>
        </is>
      </c>
      <c r="D17889" s="15" t="n">
        <v>1</v>
      </c>
      <c r="E17889" s="4" t="n">
        <v>4110000</v>
      </c>
      <c r="F17889" s="4" t="n">
        <v>4110000</v>
      </c>
    </row>
    <row r="17890">
      <c r="A17890" s="3" t="inlineStr">
        <is>
          <t>1</t>
        </is>
      </c>
      <c r="B17890" s="3" t="inlineStr">
        <is>
          <t>Sewa Mobil Crane</t>
        </is>
      </c>
      <c r="C17890" s="3" t="inlineStr">
        <is>
          <t>jam</t>
        </is>
      </c>
      <c r="D17890" s="15" t="n">
        <v>0.9123</v>
      </c>
      <c r="E17890" s="4" t="n">
        <v>1450000</v>
      </c>
      <c r="F17890" s="4" t="n">
        <v>1322835</v>
      </c>
    </row>
    <row r="17891">
      <c r="D17891" s="2" t="inlineStr">
        <is>
          <t>SUBTOTAL UPAH</t>
        </is>
      </c>
      <c r="F17891" s="16" t="n">
        <v>533693.5</v>
      </c>
    </row>
    <row r="17892">
      <c r="D17892" s="2" t="inlineStr">
        <is>
          <t>SUBTOTAL BAHAN</t>
        </is>
      </c>
      <c r="F17892" s="16" t="n">
        <v>4467067.5</v>
      </c>
    </row>
    <row r="17893">
      <c r="D17893" s="2" t="inlineStr">
        <is>
          <t>SUBTOTAL ALAT</t>
        </is>
      </c>
      <c r="F17893" s="16" t="n">
        <v>1322835</v>
      </c>
    </row>
    <row r="17894">
      <c r="E17894" s="2" t="inlineStr">
        <is>
          <t>TOTAL HARGA SATUAN (Inc. Overhead)</t>
        </is>
      </c>
      <c r="F17894" s="17" t="n">
        <v>6955955</v>
      </c>
    </row>
    <row r="17896">
      <c r="A17896" s="14" t="inlineStr">
        <is>
          <t>KODE: 9.1.1.1 - Pemasangan 1 m Pipa PVC, DN. 2-1/2" (65 mm)</t>
        </is>
      </c>
    </row>
    <row r="17897">
      <c r="A17897" s="10" t="inlineStr">
        <is>
          <t>No</t>
        </is>
      </c>
      <c r="B17897" s="10" t="inlineStr">
        <is>
          <t>Uraian Komponen</t>
        </is>
      </c>
      <c r="C17897" s="10" t="inlineStr">
        <is>
          <t>Satuan</t>
        </is>
      </c>
      <c r="D17897" s="10" t="inlineStr">
        <is>
          <t>Koef</t>
        </is>
      </c>
      <c r="E17897" s="10" t="inlineStr">
        <is>
          <t>Harga Satuan (Rp)</t>
        </is>
      </c>
      <c r="F17897" s="10" t="inlineStr">
        <is>
          <t>Jumlah Harga (Rp)</t>
        </is>
      </c>
    </row>
    <row r="17898">
      <c r="A17898" s="3" t="inlineStr">
        <is>
          <t>1</t>
        </is>
      </c>
      <c r="B17898" s="3" t="inlineStr">
        <is>
          <t>Pekerja OH</t>
        </is>
      </c>
      <c r="C17898" s="3" t="inlineStr">
        <is>
          <t>0.081</t>
        </is>
      </c>
      <c r="D17898" s="15" t="n">
        <v>100000</v>
      </c>
      <c r="E17898" s="4" t="n">
        <v>8100</v>
      </c>
      <c r="F17898" s="4" t="n">
        <v>0.1</v>
      </c>
    </row>
    <row r="17899">
      <c r="A17899" s="3" t="inlineStr">
        <is>
          <t>2</t>
        </is>
      </c>
      <c r="B17899" s="3" t="inlineStr">
        <is>
          <t>Tukang pipa</t>
        </is>
      </c>
      <c r="C17899" s="3" t="inlineStr">
        <is>
          <t>OH</t>
        </is>
      </c>
      <c r="D17899" s="15" t="n">
        <v>0.041</v>
      </c>
      <c r="E17899" s="4" t="n">
        <v>145000</v>
      </c>
      <c r="F17899" s="4" t="n">
        <v>5945</v>
      </c>
    </row>
    <row r="17900">
      <c r="A17900" s="3" t="inlineStr">
        <is>
          <t>3</t>
        </is>
      </c>
      <c r="B17900" s="3" t="inlineStr">
        <is>
          <t>Mandor</t>
        </is>
      </c>
      <c r="C17900" s="3" t="inlineStr">
        <is>
          <t>OH</t>
        </is>
      </c>
      <c r="D17900" s="15" t="n">
        <v>0.008</v>
      </c>
      <c r="E17900" s="4" t="n">
        <v>200000</v>
      </c>
      <c r="F17900" s="4" t="n">
        <v>1600</v>
      </c>
    </row>
    <row r="17901">
      <c r="A17901" s="3" t="n">
        <v>1</v>
      </c>
      <c r="B17901" s="3" t="inlineStr">
        <is>
          <t>"Pipa PVC</t>
        </is>
      </c>
      <c r="C17901" s="3" t="inlineStr">
        <is>
          <t>DN. 2-1/2""</t>
        </is>
      </c>
    </row>
    <row r="17902">
      <c r="A17902" s="3" t="inlineStr">
        <is>
          <t>(65 mm)"</t>
        </is>
      </c>
      <c r="B17902" s="3" t="inlineStr"/>
      <c r="C17902" s="3" t="inlineStr">
        <is>
          <t>m</t>
        </is>
      </c>
      <c r="D17902" s="15" t="n">
        <v>1</v>
      </c>
      <c r="E17902" s="4" t="n">
        <v>15000</v>
      </c>
      <c r="F17902" s="4" t="n">
        <v>15000</v>
      </c>
    </row>
    <row r="17903">
      <c r="D17903" s="2" t="inlineStr">
        <is>
          <t>SUBTOTAL UPAH</t>
        </is>
      </c>
      <c r="F17903" s="16" t="n">
        <v>15645</v>
      </c>
    </row>
    <row r="17904">
      <c r="D17904" s="2" t="inlineStr">
        <is>
          <t>SUBTOTAL BAHAN</t>
        </is>
      </c>
      <c r="F17904" s="16" t="n">
        <v>15000</v>
      </c>
    </row>
    <row r="17905">
      <c r="D17905" s="2" t="inlineStr">
        <is>
          <t>SUBTOTAL ALAT</t>
        </is>
      </c>
      <c r="F17905" s="16" t="n">
        <v>0</v>
      </c>
    </row>
    <row r="17906">
      <c r="E17906" s="2" t="inlineStr">
        <is>
          <t>TOTAL HARGA SATUAN (Inc. Overhead)</t>
        </is>
      </c>
      <c r="F17906" s="17" t="n">
        <v>33709</v>
      </c>
    </row>
    <row r="17908">
      <c r="A17908" s="14" t="inlineStr">
        <is>
          <t>KODE: 9.1.1.2 - Pemasangan 1 m Pipa PVC, DN. 3" (80 mm)</t>
        </is>
      </c>
    </row>
    <row r="17909">
      <c r="A17909" s="10" t="inlineStr">
        <is>
          <t>No</t>
        </is>
      </c>
      <c r="B17909" s="10" t="inlineStr">
        <is>
          <t>Uraian Komponen</t>
        </is>
      </c>
      <c r="C17909" s="10" t="inlineStr">
        <is>
          <t>Satuan</t>
        </is>
      </c>
      <c r="D17909" s="10" t="inlineStr">
        <is>
          <t>Koef</t>
        </is>
      </c>
      <c r="E17909" s="10" t="inlineStr">
        <is>
          <t>Harga Satuan (Rp)</t>
        </is>
      </c>
      <c r="F17909" s="10" t="inlineStr">
        <is>
          <t>Jumlah Harga (Rp)</t>
        </is>
      </c>
    </row>
    <row r="17910">
      <c r="A17910" s="3" t="inlineStr">
        <is>
          <t>1</t>
        </is>
      </c>
      <c r="B17910" s="3" t="inlineStr">
        <is>
          <t>Pekerja</t>
        </is>
      </c>
      <c r="C17910" s="3" t="inlineStr">
        <is>
          <t>OH</t>
        </is>
      </c>
      <c r="D17910" s="15" t="n">
        <v>0.094</v>
      </c>
      <c r="E17910" s="4" t="n">
        <v>100000</v>
      </c>
      <c r="F17910" s="4" t="n">
        <v>9400</v>
      </c>
    </row>
    <row r="17911">
      <c r="A17911" s="3" t="inlineStr">
        <is>
          <t>2</t>
        </is>
      </c>
      <c r="B17911" s="3" t="inlineStr">
        <is>
          <t>Tukang pipa</t>
        </is>
      </c>
      <c r="C17911" s="3" t="inlineStr">
        <is>
          <t>OH</t>
        </is>
      </c>
      <c r="D17911" s="15" t="n">
        <v>0.047</v>
      </c>
      <c r="E17911" s="4" t="n">
        <v>145000</v>
      </c>
      <c r="F17911" s="4" t="n">
        <v>6815</v>
      </c>
    </row>
    <row r="17912">
      <c r="A17912" s="3" t="inlineStr">
        <is>
          <t>3</t>
        </is>
      </c>
      <c r="B17912" s="3" t="inlineStr">
        <is>
          <t>Mandor</t>
        </is>
      </c>
      <c r="C17912" s="3" t="inlineStr">
        <is>
          <t>OH</t>
        </is>
      </c>
      <c r="D17912" s="15" t="n">
        <v>0.008999999999999999</v>
      </c>
      <c r="E17912" s="4" t="n">
        <v>200000</v>
      </c>
      <c r="F17912" s="4" t="n">
        <v>1800</v>
      </c>
    </row>
    <row r="17913">
      <c r="A17913" s="3" t="n">
        <v>1</v>
      </c>
      <c r="B17913" s="3" t="inlineStr">
        <is>
          <t>"Pipa PVC</t>
        </is>
      </c>
      <c r="C17913" s="3" t="inlineStr">
        <is>
          <t>DN. 3"" (80</t>
        </is>
      </c>
    </row>
    <row r="17914">
      <c r="A17914" s="3" t="inlineStr">
        <is>
          <t>mm)"</t>
        </is>
      </c>
      <c r="B17914" s="3" t="inlineStr"/>
      <c r="C17914" s="3" t="inlineStr">
        <is>
          <t>m</t>
        </is>
      </c>
      <c r="D17914" s="15" t="n">
        <v>1</v>
      </c>
      <c r="E17914" s="4" t="n">
        <v>29000</v>
      </c>
      <c r="F17914" s="4" t="n">
        <v>29000</v>
      </c>
    </row>
    <row r="17915">
      <c r="D17915" s="2" t="inlineStr">
        <is>
          <t>SUBTOTAL UPAH</t>
        </is>
      </c>
      <c r="F17915" s="16" t="n">
        <v>18015</v>
      </c>
    </row>
    <row r="17916">
      <c r="D17916" s="2" t="inlineStr">
        <is>
          <t>SUBTOTAL BAHAN</t>
        </is>
      </c>
      <c r="F17916" s="16" t="n">
        <v>29000</v>
      </c>
    </row>
    <row r="17917">
      <c r="D17917" s="2" t="inlineStr">
        <is>
          <t>SUBTOTAL ALAT</t>
        </is>
      </c>
      <c r="F17917" s="16" t="n">
        <v>0</v>
      </c>
    </row>
    <row r="17918">
      <c r="E17918" s="2" t="inlineStr">
        <is>
          <t>TOTAL HARGA SATUAN (Inc. Overhead)</t>
        </is>
      </c>
      <c r="F17918" s="17" t="n">
        <v>51716</v>
      </c>
    </row>
    <row r="17920">
      <c r="A17920" s="14" t="inlineStr">
        <is>
          <t>KODE: 9.1.1.3 - Pemasangan 1 m Pipa PVC, DN. 4" (100 mm)</t>
        </is>
      </c>
    </row>
    <row r="17921">
      <c r="A17921" s="10" t="inlineStr">
        <is>
          <t>No</t>
        </is>
      </c>
      <c r="B17921" s="10" t="inlineStr">
        <is>
          <t>Uraian Komponen</t>
        </is>
      </c>
      <c r="C17921" s="10" t="inlineStr">
        <is>
          <t>Satuan</t>
        </is>
      </c>
      <c r="D17921" s="10" t="inlineStr">
        <is>
          <t>Koef</t>
        </is>
      </c>
      <c r="E17921" s="10" t="inlineStr">
        <is>
          <t>Harga Satuan (Rp)</t>
        </is>
      </c>
      <c r="F17921" s="10" t="inlineStr">
        <is>
          <t>Jumlah Harga (Rp)</t>
        </is>
      </c>
    </row>
    <row r="17922">
      <c r="A17922" s="3" t="inlineStr">
        <is>
          <t>1</t>
        </is>
      </c>
      <c r="B17922" s="3" t="inlineStr">
        <is>
          <t>Pekerja</t>
        </is>
      </c>
      <c r="C17922" s="3" t="inlineStr">
        <is>
          <t>OH</t>
        </is>
      </c>
      <c r="D17922" s="15" t="n">
        <v>0.105</v>
      </c>
      <c r="E17922" s="4" t="n">
        <v>100000</v>
      </c>
      <c r="F17922" s="4" t="n">
        <v>10500</v>
      </c>
    </row>
    <row r="17923">
      <c r="A17923" s="3" t="inlineStr">
        <is>
          <t>2</t>
        </is>
      </c>
      <c r="B17923" s="3" t="inlineStr">
        <is>
          <t>Tukang pipa</t>
        </is>
      </c>
      <c r="C17923" s="3" t="inlineStr">
        <is>
          <t>OH</t>
        </is>
      </c>
      <c r="D17923" s="15" t="n">
        <v>0.053</v>
      </c>
      <c r="E17923" s="4" t="n">
        <v>145000</v>
      </c>
      <c r="F17923" s="4" t="n">
        <v>7685</v>
      </c>
    </row>
    <row r="17924">
      <c r="A17924" s="3" t="inlineStr">
        <is>
          <t>3</t>
        </is>
      </c>
      <c r="B17924" s="3" t="inlineStr">
        <is>
          <t>Mandor</t>
        </is>
      </c>
      <c r="C17924" s="3" t="inlineStr">
        <is>
          <t>OH</t>
        </is>
      </c>
      <c r="D17924" s="15" t="n">
        <v>0.011</v>
      </c>
      <c r="E17924" s="4" t="n">
        <v>200000</v>
      </c>
      <c r="F17924" s="4" t="n">
        <v>2200</v>
      </c>
    </row>
    <row r="17925">
      <c r="A17925" s="3" t="n">
        <v>1</v>
      </c>
      <c r="B17925" s="3" t="inlineStr">
        <is>
          <t>"Pipa PVC</t>
        </is>
      </c>
      <c r="C17925" s="3" t="inlineStr">
        <is>
          <t>DN. 4"" (100</t>
        </is>
      </c>
    </row>
    <row r="17926">
      <c r="A17926" s="3" t="inlineStr">
        <is>
          <t>mm)"</t>
        </is>
      </c>
      <c r="B17926" s="3" t="inlineStr"/>
      <c r="C17926" s="3" t="inlineStr">
        <is>
          <t>m</t>
        </is>
      </c>
      <c r="D17926" s="15" t="n">
        <v>1</v>
      </c>
      <c r="E17926" s="4" t="n">
        <v>40000</v>
      </c>
      <c r="F17926" s="4" t="n">
        <v>40000</v>
      </c>
    </row>
    <row r="17927">
      <c r="D17927" s="2" t="inlineStr">
        <is>
          <t>SUBTOTAL UPAH</t>
        </is>
      </c>
      <c r="F17927" s="16" t="n">
        <v>20385</v>
      </c>
    </row>
    <row r="17928">
      <c r="D17928" s="2" t="inlineStr">
        <is>
          <t>SUBTOTAL BAHAN</t>
        </is>
      </c>
      <c r="F17928" s="16" t="n">
        <v>40000</v>
      </c>
    </row>
    <row r="17929">
      <c r="D17929" s="2" t="inlineStr">
        <is>
          <t>SUBTOTAL ALAT</t>
        </is>
      </c>
      <c r="F17929" s="16" t="n">
        <v>0</v>
      </c>
    </row>
    <row r="17930">
      <c r="E17930" s="2" t="inlineStr">
        <is>
          <t>TOTAL HARGA SATUAN (Inc. Overhead)</t>
        </is>
      </c>
      <c r="F17930" s="17" t="n">
        <v>66423</v>
      </c>
    </row>
    <row r="17932">
      <c r="A17932" s="14" t="inlineStr">
        <is>
          <t>KODE: 9.1.1.4 - Pemasangan 1 m Pipa PVC, DN. 6" (150 mm)</t>
        </is>
      </c>
    </row>
    <row r="17933">
      <c r="A17933" s="10" t="inlineStr">
        <is>
          <t>No</t>
        </is>
      </c>
      <c r="B17933" s="10" t="inlineStr">
        <is>
          <t>Uraian Komponen</t>
        </is>
      </c>
      <c r="C17933" s="10" t="inlineStr">
        <is>
          <t>Satuan</t>
        </is>
      </c>
      <c r="D17933" s="10" t="inlineStr">
        <is>
          <t>Koef</t>
        </is>
      </c>
      <c r="E17933" s="10" t="inlineStr">
        <is>
          <t>Harga Satuan (Rp)</t>
        </is>
      </c>
      <c r="F17933" s="10" t="inlineStr">
        <is>
          <t>Jumlah Harga (Rp)</t>
        </is>
      </c>
    </row>
    <row r="17934">
      <c r="A17934" s="3" t="inlineStr">
        <is>
          <t>1</t>
        </is>
      </c>
      <c r="B17934" s="3" t="inlineStr">
        <is>
          <t>Pekerja</t>
        </is>
      </c>
      <c r="C17934" s="3" t="inlineStr">
        <is>
          <t>OH</t>
        </is>
      </c>
      <c r="D17934" s="15" t="n">
        <v>0.118</v>
      </c>
      <c r="E17934" s="4" t="n">
        <v>100000</v>
      </c>
      <c r="F17934" s="4" t="n">
        <v>11800</v>
      </c>
    </row>
    <row r="17935">
      <c r="A17935" s="3" t="inlineStr">
        <is>
          <t>2</t>
        </is>
      </c>
      <c r="B17935" s="3" t="inlineStr">
        <is>
          <t>Tukang pipa</t>
        </is>
      </c>
      <c r="C17935" s="3" t="inlineStr">
        <is>
          <t>OH</t>
        </is>
      </c>
      <c r="D17935" s="15" t="n">
        <v>0.059</v>
      </c>
      <c r="E17935" s="4" t="n">
        <v>145000</v>
      </c>
      <c r="F17935" s="4" t="n">
        <v>8555</v>
      </c>
    </row>
    <row r="17936">
      <c r="A17936" s="3" t="inlineStr">
        <is>
          <t>3</t>
        </is>
      </c>
      <c r="B17936" s="3" t="inlineStr">
        <is>
          <t>Mandor</t>
        </is>
      </c>
      <c r="C17936" s="3" t="inlineStr">
        <is>
          <t>OH</t>
        </is>
      </c>
      <c r="D17936" s="15" t="n">
        <v>0.012</v>
      </c>
      <c r="E17936" s="4" t="n">
        <v>200000</v>
      </c>
      <c r="F17936" s="4" t="n">
        <v>2400</v>
      </c>
    </row>
    <row r="17937">
      <c r="A17937" s="3" t="n">
        <v>1</v>
      </c>
      <c r="B17937" s="3" t="inlineStr">
        <is>
          <t>"Pipa PVC</t>
        </is>
      </c>
      <c r="C17937" s="3" t="inlineStr">
        <is>
          <t>DN. 6"" (150</t>
        </is>
      </c>
    </row>
    <row r="17938">
      <c r="A17938" s="3" t="inlineStr">
        <is>
          <t>mm)"</t>
        </is>
      </c>
      <c r="B17938" s="3" t="inlineStr"/>
      <c r="C17938" s="3" t="inlineStr">
        <is>
          <t>m</t>
        </is>
      </c>
      <c r="D17938" s="15" t="n">
        <v>1</v>
      </c>
      <c r="E17938" s="4" t="n">
        <v>64000</v>
      </c>
      <c r="F17938" s="4" t="n">
        <v>64000</v>
      </c>
    </row>
    <row r="17939">
      <c r="D17939" s="2" t="inlineStr">
        <is>
          <t>SUBTOTAL UPAH</t>
        </is>
      </c>
      <c r="F17939" s="16" t="n">
        <v>22755</v>
      </c>
    </row>
    <row r="17940">
      <c r="D17940" s="2" t="inlineStr">
        <is>
          <t>SUBTOTAL BAHAN</t>
        </is>
      </c>
      <c r="F17940" s="16" t="n">
        <v>64000</v>
      </c>
    </row>
    <row r="17941">
      <c r="D17941" s="2" t="inlineStr">
        <is>
          <t>SUBTOTAL ALAT</t>
        </is>
      </c>
      <c r="F17941" s="16" t="n">
        <v>0</v>
      </c>
    </row>
    <row r="17942">
      <c r="E17942" s="2" t="inlineStr">
        <is>
          <t>TOTAL HARGA SATUAN (Inc. Overhead)</t>
        </is>
      </c>
      <c r="F17942" s="17" t="n">
        <v>95430</v>
      </c>
    </row>
    <row r="17944">
      <c r="A17944" s="14" t="inlineStr">
        <is>
          <t>KODE: 9.1.1.5 - Pemasangan 1 m Pipa PVC, DN. 8" (200 mm)</t>
        </is>
      </c>
    </row>
    <row r="17945">
      <c r="A17945" s="10" t="inlineStr">
        <is>
          <t>No</t>
        </is>
      </c>
      <c r="B17945" s="10" t="inlineStr">
        <is>
          <t>Uraian Komponen</t>
        </is>
      </c>
      <c r="C17945" s="10" t="inlineStr">
        <is>
          <t>Satuan</t>
        </is>
      </c>
      <c r="D17945" s="10" t="inlineStr">
        <is>
          <t>Koef</t>
        </is>
      </c>
      <c r="E17945" s="10" t="inlineStr">
        <is>
          <t>Harga Satuan (Rp)</t>
        </is>
      </c>
      <c r="F17945" s="10" t="inlineStr">
        <is>
          <t>Jumlah Harga (Rp)</t>
        </is>
      </c>
    </row>
    <row r="17946">
      <c r="A17946" s="3" t="inlineStr">
        <is>
          <t>1</t>
        </is>
      </c>
      <c r="B17946" s="3" t="inlineStr">
        <is>
          <t>Pekerja</t>
        </is>
      </c>
      <c r="C17946" s="3" t="inlineStr">
        <is>
          <t>OH</t>
        </is>
      </c>
      <c r="D17946" s="15" t="n">
        <v>0.189</v>
      </c>
      <c r="E17946" s="4" t="n">
        <v>100000</v>
      </c>
      <c r="F17946" s="4" t="n">
        <v>18900</v>
      </c>
    </row>
    <row r="17947">
      <c r="A17947" s="3" t="inlineStr">
        <is>
          <t>2</t>
        </is>
      </c>
      <c r="B17947" s="3" t="inlineStr">
        <is>
          <t>Tukang pipa</t>
        </is>
      </c>
      <c r="C17947" s="3" t="inlineStr">
        <is>
          <t>OH</t>
        </is>
      </c>
      <c r="D17947" s="15" t="n">
        <v>0.095</v>
      </c>
      <c r="E17947" s="4" t="n">
        <v>145000</v>
      </c>
      <c r="F17947" s="4" t="n">
        <v>13775</v>
      </c>
    </row>
    <row r="17948">
      <c r="A17948" s="3" t="inlineStr">
        <is>
          <t>3</t>
        </is>
      </c>
      <c r="B17948" s="3" t="inlineStr">
        <is>
          <t>Mandor</t>
        </is>
      </c>
      <c r="C17948" s="3" t="inlineStr">
        <is>
          <t>OH</t>
        </is>
      </c>
      <c r="D17948" s="15" t="n">
        <v>0.019</v>
      </c>
      <c r="E17948" s="4" t="n">
        <v>200000</v>
      </c>
      <c r="F17948" s="4" t="n">
        <v>3800</v>
      </c>
    </row>
    <row r="17949">
      <c r="A17949" s="3" t="n">
        <v>1</v>
      </c>
      <c r="B17949" s="3" t="inlineStr">
        <is>
          <t>"Pipa PVC</t>
        </is>
      </c>
      <c r="C17949" s="3" t="inlineStr">
        <is>
          <t>DN. 8"" (200</t>
        </is>
      </c>
    </row>
    <row r="17950">
      <c r="A17950" s="3" t="inlineStr">
        <is>
          <t>mm)"</t>
        </is>
      </c>
      <c r="B17950" s="3" t="inlineStr"/>
      <c r="C17950" s="3" t="inlineStr">
        <is>
          <t>m</t>
        </is>
      </c>
      <c r="D17950" s="15" t="n">
        <v>1</v>
      </c>
      <c r="E17950" s="4" t="n">
        <v>140000</v>
      </c>
      <c r="F17950" s="4" t="n">
        <v>140000</v>
      </c>
    </row>
    <row r="17951">
      <c r="D17951" s="2" t="inlineStr">
        <is>
          <t>SUBTOTAL UPAH</t>
        </is>
      </c>
      <c r="F17951" s="16" t="n">
        <v>36475</v>
      </c>
    </row>
    <row r="17952">
      <c r="D17952" s="2" t="inlineStr">
        <is>
          <t>SUBTOTAL BAHAN</t>
        </is>
      </c>
      <c r="F17952" s="16" t="n">
        <v>140000</v>
      </c>
    </row>
    <row r="17953">
      <c r="D17953" s="2" t="inlineStr">
        <is>
          <t>SUBTOTAL ALAT</t>
        </is>
      </c>
      <c r="F17953" s="16" t="n">
        <v>0</v>
      </c>
    </row>
    <row r="17954">
      <c r="E17954" s="2" t="inlineStr">
        <is>
          <t>TOTAL HARGA SATUAN (Inc. Overhead)</t>
        </is>
      </c>
      <c r="F17954" s="17" t="n">
        <v>194122</v>
      </c>
    </row>
    <row r="17956">
      <c r="A17956" s="14" t="inlineStr">
        <is>
          <t>KODE: 9.1.1.6 - Pemasangan 1 m Pipa PVC, DN. 10" (250 mm)</t>
        </is>
      </c>
    </row>
    <row r="17957">
      <c r="A17957" s="10" t="inlineStr">
        <is>
          <t>No</t>
        </is>
      </c>
      <c r="B17957" s="10" t="inlineStr">
        <is>
          <t>Uraian Komponen</t>
        </is>
      </c>
      <c r="C17957" s="10" t="inlineStr">
        <is>
          <t>Satuan</t>
        </is>
      </c>
      <c r="D17957" s="10" t="inlineStr">
        <is>
          <t>Koef</t>
        </is>
      </c>
      <c r="E17957" s="10" t="inlineStr">
        <is>
          <t>Harga Satuan (Rp)</t>
        </is>
      </c>
      <c r="F17957" s="10" t="inlineStr">
        <is>
          <t>Jumlah Harga (Rp)</t>
        </is>
      </c>
    </row>
    <row r="17958">
      <c r="A17958" s="3" t="inlineStr">
        <is>
          <t>1</t>
        </is>
      </c>
      <c r="B17958" s="3" t="inlineStr">
        <is>
          <t>Pekerja</t>
        </is>
      </c>
      <c r="C17958" s="3" t="inlineStr">
        <is>
          <t>OH</t>
        </is>
      </c>
      <c r="D17958" s="15" t="n">
        <v>0.256</v>
      </c>
      <c r="E17958" s="4" t="n">
        <v>100000</v>
      </c>
      <c r="F17958" s="4" t="n">
        <v>25600</v>
      </c>
    </row>
    <row r="17959">
      <c r="A17959" s="3" t="inlineStr">
        <is>
          <t>2</t>
        </is>
      </c>
      <c r="B17959" s="3" t="inlineStr">
        <is>
          <t>Tukang pipa</t>
        </is>
      </c>
      <c r="C17959" s="3" t="inlineStr">
        <is>
          <t>OH</t>
        </is>
      </c>
      <c r="D17959" s="15" t="n">
        <v>0.128</v>
      </c>
      <c r="E17959" s="4" t="n">
        <v>145000</v>
      </c>
      <c r="F17959" s="4" t="n">
        <v>18560</v>
      </c>
    </row>
    <row r="17960">
      <c r="A17960" s="3" t="inlineStr">
        <is>
          <t>3</t>
        </is>
      </c>
      <c r="B17960" s="3" t="inlineStr">
        <is>
          <t>Mandor</t>
        </is>
      </c>
      <c r="C17960" s="3" t="inlineStr">
        <is>
          <t>OH</t>
        </is>
      </c>
      <c r="D17960" s="15" t="n">
        <v>0.026</v>
      </c>
      <c r="E17960" s="4" t="n">
        <v>200000</v>
      </c>
      <c r="F17960" s="4" t="n">
        <v>5200</v>
      </c>
    </row>
    <row r="17961">
      <c r="A17961" s="3" t="n">
        <v>1</v>
      </c>
      <c r="B17961" s="3" t="inlineStr">
        <is>
          <t>"Pipa PVC</t>
        </is>
      </c>
      <c r="C17961" s="3" t="inlineStr">
        <is>
          <t>DN. 10""</t>
        </is>
      </c>
    </row>
    <row r="17962">
      <c r="A17962" s="3" t="inlineStr">
        <is>
          <t>(250 mm)"</t>
        </is>
      </c>
      <c r="B17962" s="3" t="inlineStr"/>
      <c r="C17962" s="3" t="inlineStr">
        <is>
          <t>m</t>
        </is>
      </c>
      <c r="D17962" s="15" t="n">
        <v>1</v>
      </c>
      <c r="E17962" s="4" t="n">
        <v>288000</v>
      </c>
      <c r="F17962" s="4" t="n">
        <v>288000</v>
      </c>
    </row>
    <row r="17963">
      <c r="A17963" s="3" t="inlineStr">
        <is>
          <t>1</t>
        </is>
      </c>
      <c r="B17963" s="3" t="inlineStr">
        <is>
          <t>Sewa Tripot</t>
        </is>
      </c>
      <c r="C17963" s="3" t="inlineStr">
        <is>
          <t>Hari</t>
        </is>
      </c>
      <c r="D17963" s="15" t="n">
        <v>0.034</v>
      </c>
      <c r="E17963" s="4" t="n">
        <v>108000</v>
      </c>
      <c r="F17963" s="4" t="n">
        <v>3672</v>
      </c>
    </row>
    <row r="17964">
      <c r="D17964" s="2" t="inlineStr">
        <is>
          <t>SUBTOTAL UPAH</t>
        </is>
      </c>
      <c r="F17964" s="16" t="n">
        <v>49360</v>
      </c>
    </row>
    <row r="17965">
      <c r="D17965" s="2" t="inlineStr">
        <is>
          <t>SUBTOTAL BAHAN</t>
        </is>
      </c>
      <c r="F17965" s="16" t="n">
        <v>288000</v>
      </c>
    </row>
    <row r="17966">
      <c r="D17966" s="2" t="inlineStr">
        <is>
          <t>SUBTOTAL ALAT</t>
        </is>
      </c>
      <c r="F17966" s="16" t="n">
        <v>3672</v>
      </c>
    </row>
    <row r="17967">
      <c r="E17967" s="2" t="inlineStr">
        <is>
          <t>TOTAL HARGA SATUAN (Inc. Overhead)</t>
        </is>
      </c>
      <c r="F17967" s="17" t="n">
        <v>375135</v>
      </c>
    </row>
    <row r="17969">
      <c r="A17969" s="14" t="inlineStr">
        <is>
          <t>KODE: 9.1.1.7 - Pemasangan 1 m Pipa PVC, DN. 12" (300 mm)</t>
        </is>
      </c>
    </row>
    <row r="17970">
      <c r="A17970" s="10" t="inlineStr">
        <is>
          <t>No</t>
        </is>
      </c>
      <c r="B17970" s="10" t="inlineStr">
        <is>
          <t>Uraian Komponen</t>
        </is>
      </c>
      <c r="C17970" s="10" t="inlineStr">
        <is>
          <t>Satuan</t>
        </is>
      </c>
      <c r="D17970" s="10" t="inlineStr">
        <is>
          <t>Koef</t>
        </is>
      </c>
      <c r="E17970" s="10" t="inlineStr">
        <is>
          <t>Harga Satuan (Rp)</t>
        </is>
      </c>
      <c r="F17970" s="10" t="inlineStr">
        <is>
          <t>Jumlah Harga (Rp)</t>
        </is>
      </c>
    </row>
    <row r="17971">
      <c r="A17971" s="3" t="inlineStr">
        <is>
          <t>1</t>
        </is>
      </c>
      <c r="B17971" s="3" t="inlineStr">
        <is>
          <t>Pekerja</t>
        </is>
      </c>
      <c r="C17971" s="3" t="inlineStr">
        <is>
          <t>OH</t>
        </is>
      </c>
      <c r="D17971" s="15" t="n">
        <v>0.294</v>
      </c>
      <c r="E17971" s="4" t="n">
        <v>100000</v>
      </c>
      <c r="F17971" s="4" t="n">
        <v>29400</v>
      </c>
    </row>
    <row r="17972">
      <c r="A17972" s="3" t="inlineStr">
        <is>
          <t>2</t>
        </is>
      </c>
      <c r="B17972" s="3" t="inlineStr">
        <is>
          <t>Tukang pipa</t>
        </is>
      </c>
      <c r="C17972" s="3" t="inlineStr">
        <is>
          <t>OH</t>
        </is>
      </c>
      <c r="D17972" s="15" t="n">
        <v>0.147</v>
      </c>
      <c r="E17972" s="4" t="n">
        <v>145000</v>
      </c>
      <c r="F17972" s="4" t="n">
        <v>21315</v>
      </c>
    </row>
    <row r="17973">
      <c r="A17973" s="3" t="inlineStr">
        <is>
          <t>3</t>
        </is>
      </c>
      <c r="B17973" s="3" t="inlineStr">
        <is>
          <t>Mandor</t>
        </is>
      </c>
      <c r="C17973" s="3" t="inlineStr">
        <is>
          <t>OH</t>
        </is>
      </c>
      <c r="D17973" s="15" t="n">
        <v>0.029</v>
      </c>
      <c r="E17973" s="4" t="n">
        <v>200000</v>
      </c>
      <c r="F17973" s="4" t="n">
        <v>5800</v>
      </c>
    </row>
    <row r="17974">
      <c r="A17974" s="3" t="n">
        <v>1</v>
      </c>
      <c r="B17974" s="3" t="inlineStr">
        <is>
          <t>"Pipa PVC</t>
        </is>
      </c>
      <c r="C17974" s="3" t="inlineStr">
        <is>
          <t>DN. 12""</t>
        </is>
      </c>
    </row>
    <row r="17975">
      <c r="A17975" s="3" t="inlineStr">
        <is>
          <t>(300 mm)"</t>
        </is>
      </c>
      <c r="B17975" s="3" t="inlineStr"/>
      <c r="C17975" s="3" t="inlineStr">
        <is>
          <t>m</t>
        </is>
      </c>
      <c r="D17975" s="15" t="n">
        <v>1</v>
      </c>
      <c r="E17975" s="4" t="n">
        <v>306000</v>
      </c>
      <c r="F17975" s="4" t="n">
        <v>306000</v>
      </c>
    </row>
    <row r="17976">
      <c r="A17976" s="3" t="inlineStr">
        <is>
          <t>1</t>
        </is>
      </c>
      <c r="B17976" s="3" t="inlineStr">
        <is>
          <t>Sewa Tripot</t>
        </is>
      </c>
      <c r="C17976" s="3" t="inlineStr">
        <is>
          <t>Hari</t>
        </is>
      </c>
      <c r="D17976" s="15" t="n">
        <v>0.04</v>
      </c>
      <c r="E17976" s="4" t="n">
        <v>108000</v>
      </c>
      <c r="F17976" s="4" t="n">
        <v>4320</v>
      </c>
    </row>
    <row r="17977">
      <c r="D17977" s="2" t="inlineStr">
        <is>
          <t>SUBTOTAL UPAH</t>
        </is>
      </c>
      <c r="F17977" s="16" t="n">
        <v>56515</v>
      </c>
    </row>
    <row r="17978">
      <c r="D17978" s="2" t="inlineStr">
        <is>
          <t>SUBTOTAL BAHAN</t>
        </is>
      </c>
      <c r="F17978" s="16" t="n">
        <v>306000</v>
      </c>
    </row>
    <row r="17979">
      <c r="D17979" s="2" t="inlineStr">
        <is>
          <t>SUBTOTAL ALAT</t>
        </is>
      </c>
      <c r="F17979" s="16" t="n">
        <v>4320</v>
      </c>
    </row>
    <row r="17980">
      <c r="E17980" s="2" t="inlineStr">
        <is>
          <t>TOTAL HARGA SATUAN (Inc. Overhead)</t>
        </is>
      </c>
      <c r="F17980" s="17" t="n">
        <v>403518</v>
      </c>
    </row>
    <row r="17982">
      <c r="A17982" s="14" t="inlineStr">
        <is>
          <t>KODE: 9.1.1.8 - Pemasangan 1 m Pipa PVC, DN. 16" (400 mm)</t>
        </is>
      </c>
    </row>
    <row r="17983">
      <c r="A17983" s="10" t="inlineStr">
        <is>
          <t>No</t>
        </is>
      </c>
      <c r="B17983" s="10" t="inlineStr">
        <is>
          <t>Uraian Komponen</t>
        </is>
      </c>
      <c r="C17983" s="10" t="inlineStr">
        <is>
          <t>Satuan</t>
        </is>
      </c>
      <c r="D17983" s="10" t="inlineStr">
        <is>
          <t>Koef</t>
        </is>
      </c>
      <c r="E17983" s="10" t="inlineStr">
        <is>
          <t>Harga Satuan (Rp)</t>
        </is>
      </c>
      <c r="F17983" s="10" t="inlineStr">
        <is>
          <t>Jumlah Harga (Rp)</t>
        </is>
      </c>
    </row>
    <row r="17984">
      <c r="A17984" s="3" t="inlineStr">
        <is>
          <t>1</t>
        </is>
      </c>
      <c r="B17984" s="3" t="inlineStr">
        <is>
          <t>Pekerja</t>
        </is>
      </c>
      <c r="C17984" s="3" t="inlineStr">
        <is>
          <t>OH</t>
        </is>
      </c>
      <c r="D17984" s="15" t="n">
        <v>0.544</v>
      </c>
      <c r="E17984" s="4" t="n">
        <v>100000</v>
      </c>
      <c r="F17984" s="4" t="n">
        <v>54400.00000000001</v>
      </c>
    </row>
    <row r="17985">
      <c r="A17985" s="3" t="inlineStr">
        <is>
          <t>2</t>
        </is>
      </c>
      <c r="B17985" s="3" t="inlineStr">
        <is>
          <t>Tukang pipa</t>
        </is>
      </c>
      <c r="C17985" s="3" t="inlineStr">
        <is>
          <t>OH</t>
        </is>
      </c>
      <c r="D17985" s="15" t="n">
        <v>0.0272</v>
      </c>
      <c r="E17985" s="4" t="n">
        <v>145000</v>
      </c>
      <c r="F17985" s="4" t="n">
        <v>3944</v>
      </c>
    </row>
    <row r="17986">
      <c r="A17986" s="3" t="inlineStr">
        <is>
          <t>3</t>
        </is>
      </c>
      <c r="B17986" s="3" t="inlineStr">
        <is>
          <t>Mandor</t>
        </is>
      </c>
      <c r="C17986" s="3" t="inlineStr">
        <is>
          <t>OH</t>
        </is>
      </c>
      <c r="D17986" s="15" t="n">
        <v>0.054</v>
      </c>
      <c r="E17986" s="4" t="n">
        <v>200000</v>
      </c>
      <c r="F17986" s="4" t="n">
        <v>10800</v>
      </c>
    </row>
    <row r="17987">
      <c r="A17987" s="3" t="n">
        <v>1</v>
      </c>
      <c r="B17987" s="3" t="inlineStr">
        <is>
          <t>"Pipa PVC</t>
        </is>
      </c>
      <c r="C17987" s="3" t="inlineStr">
        <is>
          <t>DN. 16""</t>
        </is>
      </c>
    </row>
    <row r="17988">
      <c r="A17988" s="3" t="inlineStr">
        <is>
          <t>(400 mm)"</t>
        </is>
      </c>
      <c r="B17988" s="3" t="inlineStr"/>
      <c r="C17988" s="3" t="inlineStr">
        <is>
          <t>m</t>
        </is>
      </c>
      <c r="D17988" s="15" t="n">
        <v>1</v>
      </c>
      <c r="E17988" s="4" t="n">
        <v>337000</v>
      </c>
      <c r="F17988" s="4" t="n">
        <v>337000</v>
      </c>
    </row>
    <row r="17989">
      <c r="A17989" s="3" t="inlineStr">
        <is>
          <t>1</t>
        </is>
      </c>
      <c r="B17989" s="3" t="inlineStr">
        <is>
          <t>Sewa Tripot</t>
        </is>
      </c>
      <c r="C17989" s="3" t="inlineStr">
        <is>
          <t>Hari</t>
        </is>
      </c>
      <c r="D17989" s="15" t="n">
        <v>0.08</v>
      </c>
      <c r="E17989" s="4" t="n">
        <v>108000</v>
      </c>
      <c r="F17989" s="4" t="n">
        <v>8640</v>
      </c>
    </row>
    <row r="17990">
      <c r="D17990" s="2" t="inlineStr">
        <is>
          <t>SUBTOTAL UPAH</t>
        </is>
      </c>
      <c r="F17990" s="16" t="n">
        <v>69144</v>
      </c>
    </row>
    <row r="17991">
      <c r="D17991" s="2" t="inlineStr">
        <is>
          <t>SUBTOTAL BAHAN</t>
        </is>
      </c>
      <c r="F17991" s="16" t="n">
        <v>337000</v>
      </c>
    </row>
    <row r="17992">
      <c r="D17992" s="2" t="inlineStr">
        <is>
          <t>SUBTOTAL ALAT</t>
        </is>
      </c>
      <c r="F17992" s="16" t="n">
        <v>8640</v>
      </c>
    </row>
    <row r="17993">
      <c r="E17993" s="2" t="inlineStr">
        <is>
          <t>TOTAL HARGA SATUAN (Inc. Overhead)</t>
        </is>
      </c>
      <c r="F17993" s="17" t="n">
        <v>456262</v>
      </c>
    </row>
    <row r="17995">
      <c r="A17995" s="14" t="inlineStr">
        <is>
          <t>KODE: 9.1.1.9 - Pemasangan 1 m Pipa PVC, DN. 18" (450 mm)</t>
        </is>
      </c>
    </row>
    <row r="17996">
      <c r="A17996" s="10" t="inlineStr">
        <is>
          <t>No</t>
        </is>
      </c>
      <c r="B17996" s="10" t="inlineStr">
        <is>
          <t>Uraian Komponen</t>
        </is>
      </c>
      <c r="C17996" s="10" t="inlineStr">
        <is>
          <t>Satuan</t>
        </is>
      </c>
      <c r="D17996" s="10" t="inlineStr">
        <is>
          <t>Koef</t>
        </is>
      </c>
      <c r="E17996" s="10" t="inlineStr">
        <is>
          <t>Harga Satuan (Rp)</t>
        </is>
      </c>
      <c r="F17996" s="10" t="inlineStr">
        <is>
          <t>Jumlah Harga (Rp)</t>
        </is>
      </c>
    </row>
    <row r="17997">
      <c r="A17997" s="3" t="inlineStr">
        <is>
          <t>1</t>
        </is>
      </c>
      <c r="B17997" s="3" t="inlineStr">
        <is>
          <t>Pekerja</t>
        </is>
      </c>
      <c r="C17997" s="3" t="inlineStr">
        <is>
          <t>OH</t>
        </is>
      </c>
      <c r="D17997" s="15" t="n">
        <v>0.669</v>
      </c>
      <c r="E17997" s="4" t="n">
        <v>100000</v>
      </c>
      <c r="F17997" s="4" t="n">
        <v>66900</v>
      </c>
    </row>
    <row r="17998">
      <c r="A17998" s="3" t="inlineStr">
        <is>
          <t>2</t>
        </is>
      </c>
      <c r="B17998" s="3" t="inlineStr">
        <is>
          <t>Tukang pipa</t>
        </is>
      </c>
      <c r="C17998" s="3" t="inlineStr">
        <is>
          <t>OH</t>
        </is>
      </c>
      <c r="D17998" s="15" t="n">
        <v>0.335</v>
      </c>
      <c r="E17998" s="4" t="n">
        <v>145000</v>
      </c>
      <c r="F17998" s="4" t="n">
        <v>48575</v>
      </c>
    </row>
    <row r="17999">
      <c r="A17999" s="3" t="inlineStr">
        <is>
          <t>3</t>
        </is>
      </c>
      <c r="B17999" s="3" t="inlineStr">
        <is>
          <t>Mandor</t>
        </is>
      </c>
      <c r="C17999" s="3" t="inlineStr">
        <is>
          <t>OH</t>
        </is>
      </c>
      <c r="D17999" s="15" t="n">
        <v>0.067</v>
      </c>
      <c r="E17999" s="4" t="n">
        <v>200000</v>
      </c>
      <c r="F17999" s="4" t="n">
        <v>13400</v>
      </c>
    </row>
    <row r="18000">
      <c r="A18000" s="3" t="n">
        <v>1</v>
      </c>
      <c r="B18000" s="3" t="inlineStr">
        <is>
          <t>"Pipa PVC</t>
        </is>
      </c>
      <c r="C18000" s="3" t="inlineStr">
        <is>
          <t>DN. 18""</t>
        </is>
      </c>
    </row>
    <row r="18001">
      <c r="A18001" s="3" t="inlineStr">
        <is>
          <t>(450 mm)"</t>
        </is>
      </c>
      <c r="B18001" s="3" t="inlineStr"/>
      <c r="C18001" s="3" t="inlineStr">
        <is>
          <t>m</t>
        </is>
      </c>
      <c r="D18001" s="15" t="n">
        <v>1</v>
      </c>
      <c r="E18001" s="4" t="n">
        <v>369000</v>
      </c>
      <c r="F18001" s="4" t="n">
        <v>369000</v>
      </c>
    </row>
    <row r="18002">
      <c r="A18002" s="3" t="inlineStr">
        <is>
          <t>1</t>
        </is>
      </c>
      <c r="B18002" s="3" t="inlineStr">
        <is>
          <t>Sewa Tripot</t>
        </is>
      </c>
      <c r="C18002" s="3" t="inlineStr">
        <is>
          <t>Hari</t>
        </is>
      </c>
      <c r="D18002" s="15" t="n">
        <v>0.1</v>
      </c>
      <c r="E18002" s="4" t="n">
        <v>108000</v>
      </c>
      <c r="F18002" s="4" t="n">
        <v>10800</v>
      </c>
    </row>
    <row r="18003">
      <c r="D18003" s="2" t="inlineStr">
        <is>
          <t>SUBTOTAL UPAH</t>
        </is>
      </c>
      <c r="F18003" s="16" t="n">
        <v>128875</v>
      </c>
    </row>
    <row r="18004">
      <c r="D18004" s="2" t="inlineStr">
        <is>
          <t>SUBTOTAL BAHAN</t>
        </is>
      </c>
      <c r="F18004" s="16" t="n">
        <v>369000</v>
      </c>
    </row>
    <row r="18005">
      <c r="D18005" s="2" t="inlineStr">
        <is>
          <t>SUBTOTAL ALAT</t>
        </is>
      </c>
      <c r="F18005" s="16" t="n">
        <v>10800</v>
      </c>
    </row>
    <row r="18006">
      <c r="E18006" s="2" t="inlineStr">
        <is>
          <t>TOTAL HARGA SATUAN (Inc. Overhead)</t>
        </is>
      </c>
      <c r="F18006" s="17" t="n">
        <v>559542</v>
      </c>
    </row>
    <row r="18008">
      <c r="A18008" s="14" t="inlineStr">
        <is>
          <t>KODE: 9.1.1.10 - Pemasangan 1 m Pipa PVC, DN. 20" (500 mm)</t>
        </is>
      </c>
    </row>
    <row r="18009">
      <c r="A18009" s="10" t="inlineStr">
        <is>
          <t>No</t>
        </is>
      </c>
      <c r="B18009" s="10" t="inlineStr">
        <is>
          <t>Uraian Komponen</t>
        </is>
      </c>
      <c r="C18009" s="10" t="inlineStr">
        <is>
          <t>Satuan</t>
        </is>
      </c>
      <c r="D18009" s="10" t="inlineStr">
        <is>
          <t>Koef</t>
        </is>
      </c>
      <c r="E18009" s="10" t="inlineStr">
        <is>
          <t>Harga Satuan (Rp)</t>
        </is>
      </c>
      <c r="F18009" s="10" t="inlineStr">
        <is>
          <t>Jumlah Harga (Rp)</t>
        </is>
      </c>
    </row>
    <row r="18010">
      <c r="A18010" s="3" t="inlineStr">
        <is>
          <t>1</t>
        </is>
      </c>
      <c r="B18010" s="3" t="inlineStr">
        <is>
          <t>Pekerja</t>
        </is>
      </c>
      <c r="C18010" s="3" t="inlineStr">
        <is>
          <t>OH</t>
        </is>
      </c>
      <c r="D18010" s="15" t="n">
        <v>0.8090000000000001</v>
      </c>
      <c r="E18010" s="4" t="n">
        <v>100000</v>
      </c>
      <c r="F18010" s="4" t="n">
        <v>80900</v>
      </c>
    </row>
    <row r="18011">
      <c r="A18011" s="3" t="inlineStr">
        <is>
          <t>2</t>
        </is>
      </c>
      <c r="B18011" s="3" t="inlineStr">
        <is>
          <t>Tukang pipa</t>
        </is>
      </c>
      <c r="C18011" s="3" t="inlineStr">
        <is>
          <t>OH</t>
        </is>
      </c>
      <c r="D18011" s="15" t="n">
        <v>0.405</v>
      </c>
      <c r="E18011" s="4" t="n">
        <v>145000</v>
      </c>
      <c r="F18011" s="4" t="n">
        <v>58725.00000000001</v>
      </c>
    </row>
    <row r="18012">
      <c r="A18012" s="3" t="inlineStr">
        <is>
          <t>3</t>
        </is>
      </c>
      <c r="B18012" s="3" t="inlineStr">
        <is>
          <t>Mandor</t>
        </is>
      </c>
      <c r="C18012" s="3" t="inlineStr">
        <is>
          <t>OH</t>
        </is>
      </c>
      <c r="D18012" s="15" t="n">
        <v>0.081</v>
      </c>
      <c r="E18012" s="4" t="n">
        <v>200000</v>
      </c>
      <c r="F18012" s="4" t="n">
        <v>16200</v>
      </c>
    </row>
    <row r="18013">
      <c r="A18013" s="3" t="n">
        <v>1</v>
      </c>
      <c r="B18013" s="3" t="inlineStr">
        <is>
          <t>"Pipa PVC</t>
        </is>
      </c>
      <c r="C18013" s="3" t="inlineStr">
        <is>
          <t>DN. 20""</t>
        </is>
      </c>
    </row>
    <row r="18014">
      <c r="A18014" s="3" t="inlineStr">
        <is>
          <t>(500 mm)"</t>
        </is>
      </c>
      <c r="B18014" s="3" t="inlineStr"/>
      <c r="C18014" s="3" t="inlineStr">
        <is>
          <t>m</t>
        </is>
      </c>
      <c r="D18014" s="15" t="n">
        <v>1</v>
      </c>
      <c r="E18014" s="4" t="n">
        <v>399000</v>
      </c>
      <c r="F18014" s="4" t="n">
        <v>399000</v>
      </c>
    </row>
    <row r="18015">
      <c r="A18015" s="3" t="inlineStr">
        <is>
          <t>1</t>
        </is>
      </c>
      <c r="B18015" s="3" t="inlineStr">
        <is>
          <t>Sewa Tripot</t>
        </is>
      </c>
      <c r="C18015" s="3" t="inlineStr">
        <is>
          <t>Hari</t>
        </is>
      </c>
      <c r="D18015" s="15" t="n">
        <v>0.122</v>
      </c>
      <c r="E18015" s="4" t="n">
        <v>108000</v>
      </c>
      <c r="F18015" s="4" t="n">
        <v>13176</v>
      </c>
    </row>
    <row r="18016">
      <c r="D18016" s="2" t="inlineStr">
        <is>
          <t>SUBTOTAL UPAH</t>
        </is>
      </c>
      <c r="F18016" s="16" t="n">
        <v>155825</v>
      </c>
    </row>
    <row r="18017">
      <c r="D18017" s="2" t="inlineStr">
        <is>
          <t>SUBTOTAL BAHAN</t>
        </is>
      </c>
      <c r="F18017" s="16" t="n">
        <v>399000</v>
      </c>
    </row>
    <row r="18018">
      <c r="D18018" s="2" t="inlineStr">
        <is>
          <t>SUBTOTAL ALAT</t>
        </is>
      </c>
      <c r="F18018" s="16" t="n">
        <v>13176</v>
      </c>
    </row>
    <row r="18019">
      <c r="E18019" s="2" t="inlineStr">
        <is>
          <t>TOTAL HARGA SATUAN (Inc. Overhead)</t>
        </is>
      </c>
      <c r="F18019" s="17" t="n">
        <v>624801</v>
      </c>
    </row>
    <row r="18021">
      <c r="A18021" s="14" t="inlineStr">
        <is>
          <t>KODE: 9.1.1.11 - Pemasangan 1 m Pipa PVC, DN. 24" (600 mm)</t>
        </is>
      </c>
    </row>
    <row r="18022">
      <c r="A18022" s="10" t="inlineStr">
        <is>
          <t>No</t>
        </is>
      </c>
      <c r="B18022" s="10" t="inlineStr">
        <is>
          <t>Uraian Komponen</t>
        </is>
      </c>
      <c r="C18022" s="10" t="inlineStr">
        <is>
          <t>Satuan</t>
        </is>
      </c>
      <c r="D18022" s="10" t="inlineStr">
        <is>
          <t>Koef</t>
        </is>
      </c>
      <c r="E18022" s="10" t="inlineStr">
        <is>
          <t>Harga Satuan (Rp)</t>
        </is>
      </c>
      <c r="F18022" s="10" t="inlineStr">
        <is>
          <t>Jumlah Harga (Rp)</t>
        </is>
      </c>
    </row>
    <row r="18023">
      <c r="A18023" s="3" t="inlineStr">
        <is>
          <t>1</t>
        </is>
      </c>
      <c r="B18023" s="3" t="inlineStr">
        <is>
          <t>Pekerja</t>
        </is>
      </c>
      <c r="C18023" s="3" t="inlineStr">
        <is>
          <t>OH</t>
        </is>
      </c>
      <c r="D18023" s="15" t="n">
        <v>0.957</v>
      </c>
      <c r="E18023" s="4" t="n">
        <v>100000</v>
      </c>
      <c r="F18023" s="4" t="n">
        <v>95700</v>
      </c>
    </row>
    <row r="18024">
      <c r="A18024" s="3" t="inlineStr">
        <is>
          <t>2</t>
        </is>
      </c>
      <c r="B18024" s="3" t="inlineStr">
        <is>
          <t>Tukang pipa</t>
        </is>
      </c>
      <c r="C18024" s="3" t="inlineStr">
        <is>
          <t>OH</t>
        </is>
      </c>
      <c r="D18024" s="15" t="n">
        <v>0.479</v>
      </c>
      <c r="E18024" s="4" t="n">
        <v>145000</v>
      </c>
      <c r="F18024" s="4" t="n">
        <v>69455</v>
      </c>
    </row>
    <row r="18025">
      <c r="A18025" s="3" t="inlineStr">
        <is>
          <t>3</t>
        </is>
      </c>
      <c r="B18025" s="3" t="inlineStr">
        <is>
          <t>Mandor</t>
        </is>
      </c>
      <c r="C18025" s="3" t="inlineStr">
        <is>
          <t>OH</t>
        </is>
      </c>
      <c r="D18025" s="15" t="n">
        <v>0.096</v>
      </c>
      <c r="E18025" s="4" t="n">
        <v>200000</v>
      </c>
      <c r="F18025" s="4" t="n">
        <v>19200</v>
      </c>
    </row>
    <row r="18026">
      <c r="A18026" s="3" t="n">
        <v>1</v>
      </c>
      <c r="B18026" s="3" t="inlineStr">
        <is>
          <t>"Pipa PVC</t>
        </is>
      </c>
      <c r="C18026" s="3" t="inlineStr">
        <is>
          <t>DN. 24""</t>
        </is>
      </c>
    </row>
    <row r="18027">
      <c r="A18027" s="3" t="inlineStr">
        <is>
          <t>(600 mm)"</t>
        </is>
      </c>
      <c r="B18027" s="3" t="inlineStr"/>
      <c r="C18027" s="3" t="inlineStr">
        <is>
          <t>m</t>
        </is>
      </c>
      <c r="D18027" s="15" t="n">
        <v>1</v>
      </c>
      <c r="E18027" s="4" t="n">
        <v>426000</v>
      </c>
      <c r="F18027" s="4" t="n">
        <v>426000</v>
      </c>
    </row>
    <row r="18028">
      <c r="A18028" s="3" t="inlineStr">
        <is>
          <t>1</t>
        </is>
      </c>
      <c r="B18028" s="3" t="inlineStr">
        <is>
          <t>Sewa Tripot</t>
        </is>
      </c>
      <c r="C18028" s="3" t="inlineStr">
        <is>
          <t>Hari</t>
        </is>
      </c>
      <c r="D18028" s="15" t="n">
        <v>0.145</v>
      </c>
      <c r="E18028" s="4" t="n">
        <v>108000</v>
      </c>
      <c r="F18028" s="4" t="n">
        <v>15660</v>
      </c>
    </row>
    <row r="18029">
      <c r="D18029" s="2" t="inlineStr">
        <is>
          <t>SUBTOTAL UPAH</t>
        </is>
      </c>
      <c r="F18029" s="16" t="n">
        <v>184355</v>
      </c>
    </row>
    <row r="18030">
      <c r="D18030" s="2" t="inlineStr">
        <is>
          <t>SUBTOTAL BAHAN</t>
        </is>
      </c>
      <c r="F18030" s="16" t="n">
        <v>426000</v>
      </c>
    </row>
    <row r="18031">
      <c r="D18031" s="2" t="inlineStr">
        <is>
          <t>SUBTOTAL ALAT</t>
        </is>
      </c>
      <c r="F18031" s="16" t="n">
        <v>15660</v>
      </c>
    </row>
    <row r="18032">
      <c r="E18032" s="2" t="inlineStr">
        <is>
          <t>TOTAL HARGA SATUAN (Inc. Overhead)</t>
        </is>
      </c>
      <c r="F18032" s="17" t="n">
        <v>688616</v>
      </c>
    </row>
    <row r="18034">
      <c r="A18034" s="14" t="inlineStr">
        <is>
          <t>KODE: 9.1.1.12 - Pemasangan 1 m Pipa PVC, DN. 32" (800 mm)</t>
        </is>
      </c>
    </row>
    <row r="18035">
      <c r="A18035" s="10" t="inlineStr">
        <is>
          <t>No</t>
        </is>
      </c>
      <c r="B18035" s="10" t="inlineStr">
        <is>
          <t>Uraian Komponen</t>
        </is>
      </c>
      <c r="C18035" s="10" t="inlineStr">
        <is>
          <t>Satuan</t>
        </is>
      </c>
      <c r="D18035" s="10" t="inlineStr">
        <is>
          <t>Koef</t>
        </is>
      </c>
      <c r="E18035" s="10" t="inlineStr">
        <is>
          <t>Harga Satuan (Rp)</t>
        </is>
      </c>
      <c r="F18035" s="10" t="inlineStr">
        <is>
          <t>Jumlah Harga (Rp)</t>
        </is>
      </c>
    </row>
    <row r="18036">
      <c r="A18036" s="3" t="inlineStr">
        <is>
          <t>1</t>
        </is>
      </c>
      <c r="B18036" s="3" t="inlineStr">
        <is>
          <t>Pekerja</t>
        </is>
      </c>
      <c r="C18036" s="3" t="inlineStr">
        <is>
          <t>OH</t>
        </is>
      </c>
      <c r="D18036" s="15" t="n">
        <v>1.618</v>
      </c>
      <c r="E18036" s="4" t="n">
        <v>100000</v>
      </c>
      <c r="F18036" s="4" t="n">
        <v>161800</v>
      </c>
    </row>
    <row r="18037">
      <c r="A18037" s="3" t="inlineStr">
        <is>
          <t>2</t>
        </is>
      </c>
      <c r="B18037" s="3" t="inlineStr">
        <is>
          <t>Tukang pipa</t>
        </is>
      </c>
      <c r="C18037" s="3" t="inlineStr">
        <is>
          <t>OH</t>
        </is>
      </c>
      <c r="D18037" s="15" t="n">
        <v>0.8090000000000001</v>
      </c>
      <c r="E18037" s="4" t="n">
        <v>145000</v>
      </c>
      <c r="F18037" s="4" t="n">
        <v>117305</v>
      </c>
    </row>
    <row r="18038">
      <c r="A18038" s="3" t="inlineStr">
        <is>
          <t>3</t>
        </is>
      </c>
      <c r="B18038" s="3" t="inlineStr">
        <is>
          <t>Mandor</t>
        </is>
      </c>
      <c r="C18038" s="3" t="inlineStr">
        <is>
          <t>OH</t>
        </is>
      </c>
      <c r="D18038" s="15" t="n">
        <v>0.162</v>
      </c>
      <c r="E18038" s="4" t="n">
        <v>200000</v>
      </c>
      <c r="F18038" s="4" t="n">
        <v>32400</v>
      </c>
    </row>
    <row r="18039">
      <c r="A18039" s="3" t="n">
        <v>1</v>
      </c>
      <c r="B18039" s="3" t="inlineStr">
        <is>
          <t>"Pipa PVC</t>
        </is>
      </c>
      <c r="C18039" s="3" t="inlineStr">
        <is>
          <t>DN. 32""</t>
        </is>
      </c>
    </row>
    <row r="18040">
      <c r="A18040" s="3" t="inlineStr">
        <is>
          <t>(800 mm"</t>
        </is>
      </c>
      <c r="B18040" s="3" t="inlineStr"/>
      <c r="C18040" s="3" t="inlineStr">
        <is>
          <t>m</t>
        </is>
      </c>
      <c r="D18040" s="15" t="n">
        <v>1</v>
      </c>
      <c r="E18040" s="4" t="n">
        <v>488000</v>
      </c>
      <c r="F18040" s="4" t="n">
        <v>488000</v>
      </c>
    </row>
    <row r="18041">
      <c r="A18041" s="3" t="inlineStr">
        <is>
          <t>1</t>
        </is>
      </c>
      <c r="B18041" s="3" t="inlineStr">
        <is>
          <t>Sewa Tripot</t>
        </is>
      </c>
      <c r="C18041" s="3" t="inlineStr">
        <is>
          <t>Hari</t>
        </is>
      </c>
      <c r="D18041" s="15" t="n">
        <v>0.25</v>
      </c>
      <c r="E18041" s="4" t="n">
        <v>108000</v>
      </c>
      <c r="F18041" s="4" t="n">
        <v>27000</v>
      </c>
    </row>
    <row r="18042">
      <c r="D18042" s="2" t="inlineStr">
        <is>
          <t>SUBTOTAL UPAH</t>
        </is>
      </c>
      <c r="F18042" s="16" t="n">
        <v>311505</v>
      </c>
    </row>
    <row r="18043">
      <c r="D18043" s="2" t="inlineStr">
        <is>
          <t>SUBTOTAL BAHAN</t>
        </is>
      </c>
      <c r="F18043" s="16" t="n">
        <v>488000</v>
      </c>
    </row>
    <row r="18044">
      <c r="D18044" s="2" t="inlineStr">
        <is>
          <t>SUBTOTAL ALAT</t>
        </is>
      </c>
      <c r="F18044" s="16" t="n">
        <v>27000</v>
      </c>
    </row>
    <row r="18045">
      <c r="E18045" s="2" t="inlineStr">
        <is>
          <t>TOTAL HARGA SATUAN (Inc. Overhead)</t>
        </is>
      </c>
      <c r="F18045" s="17" t="n">
        <v>909155</v>
      </c>
    </row>
    <row r="18047">
      <c r="A18047" s="14" t="inlineStr">
        <is>
          <t>KODE: 9.1.1.13 - Pemasangan 1 m Pipa PVC, DN. 36" (900 mm)</t>
        </is>
      </c>
    </row>
    <row r="18048">
      <c r="A18048" s="10" t="inlineStr">
        <is>
          <t>No</t>
        </is>
      </c>
      <c r="B18048" s="10" t="inlineStr">
        <is>
          <t>Uraian Komponen</t>
        </is>
      </c>
      <c r="C18048" s="10" t="inlineStr">
        <is>
          <t>Satuan</t>
        </is>
      </c>
      <c r="D18048" s="10" t="inlineStr">
        <is>
          <t>Koef</t>
        </is>
      </c>
      <c r="E18048" s="10" t="inlineStr">
        <is>
          <t>Harga Satuan (Rp)</t>
        </is>
      </c>
      <c r="F18048" s="10" t="inlineStr">
        <is>
          <t>Jumlah Harga (Rp)</t>
        </is>
      </c>
    </row>
    <row r="18049">
      <c r="A18049" s="3" t="inlineStr">
        <is>
          <t>1</t>
        </is>
      </c>
      <c r="B18049" s="3" t="inlineStr">
        <is>
          <t>Pekerja</t>
        </is>
      </c>
      <c r="C18049" s="3" t="inlineStr">
        <is>
          <t>OH</t>
        </is>
      </c>
      <c r="D18049" s="15" t="n">
        <v>1.691</v>
      </c>
      <c r="E18049" s="4" t="n">
        <v>100000</v>
      </c>
      <c r="F18049" s="4" t="n">
        <v>169100</v>
      </c>
    </row>
    <row r="18050">
      <c r="A18050" s="3" t="inlineStr">
        <is>
          <t>2</t>
        </is>
      </c>
      <c r="B18050" s="3" t="inlineStr">
        <is>
          <t>Tukang pipa</t>
        </is>
      </c>
      <c r="C18050" s="3" t="inlineStr">
        <is>
          <t>OH</t>
        </is>
      </c>
      <c r="D18050" s="15" t="n">
        <v>0.846</v>
      </c>
      <c r="E18050" s="4" t="n">
        <v>145000</v>
      </c>
      <c r="F18050" s="4" t="n">
        <v>122670</v>
      </c>
    </row>
    <row r="18051">
      <c r="A18051" s="3" t="inlineStr">
        <is>
          <t>3</t>
        </is>
      </c>
      <c r="B18051" s="3" t="inlineStr">
        <is>
          <t>Mandor</t>
        </is>
      </c>
      <c r="C18051" s="3" t="inlineStr">
        <is>
          <t>OH</t>
        </is>
      </c>
      <c r="D18051" s="15" t="n">
        <v>0.169</v>
      </c>
      <c r="E18051" s="4" t="n">
        <v>200000</v>
      </c>
      <c r="F18051" s="4" t="n">
        <v>33800</v>
      </c>
    </row>
    <row r="18052">
      <c r="A18052" s="3" t="n">
        <v>1</v>
      </c>
      <c r="B18052" s="3" t="inlineStr">
        <is>
          <t>"Pipa PVC</t>
        </is>
      </c>
      <c r="C18052" s="3" t="inlineStr">
        <is>
          <t>DN. 36""</t>
        </is>
      </c>
    </row>
    <row r="18053">
      <c r="A18053" s="3" t="inlineStr">
        <is>
          <t>(900 mm"</t>
        </is>
      </c>
      <c r="B18053" s="3" t="inlineStr"/>
      <c r="C18053" s="3" t="inlineStr">
        <is>
          <t>m</t>
        </is>
      </c>
      <c r="D18053" s="15" t="n">
        <v>1</v>
      </c>
      <c r="E18053" s="4" t="n">
        <v>516000</v>
      </c>
      <c r="F18053" s="4" t="n">
        <v>516000</v>
      </c>
    </row>
    <row r="18054">
      <c r="A18054" s="3" t="inlineStr">
        <is>
          <t>1</t>
        </is>
      </c>
      <c r="B18054" s="3" t="inlineStr">
        <is>
          <t>Sewa Tripot</t>
        </is>
      </c>
      <c r="C18054" s="3" t="inlineStr">
        <is>
          <t>Hari</t>
        </is>
      </c>
      <c r="D18054" s="15" t="n">
        <v>0.262</v>
      </c>
      <c r="E18054" s="4" t="n">
        <v>108000</v>
      </c>
      <c r="F18054" s="4" t="n">
        <v>28296</v>
      </c>
    </row>
    <row r="18055">
      <c r="D18055" s="2" t="inlineStr">
        <is>
          <t>SUBTOTAL UPAH</t>
        </is>
      </c>
      <c r="F18055" s="16" t="n">
        <v>325570</v>
      </c>
    </row>
    <row r="18056">
      <c r="D18056" s="2" t="inlineStr">
        <is>
          <t>SUBTOTAL BAHAN</t>
        </is>
      </c>
      <c r="F18056" s="16" t="n">
        <v>516000</v>
      </c>
    </row>
    <row r="18057">
      <c r="D18057" s="2" t="inlineStr">
        <is>
          <t>SUBTOTAL ALAT</t>
        </is>
      </c>
      <c r="F18057" s="16" t="n">
        <v>28296</v>
      </c>
    </row>
    <row r="18058">
      <c r="E18058" s="2" t="inlineStr">
        <is>
          <t>TOTAL HARGA SATUAN (Inc. Overhead)</t>
        </is>
      </c>
      <c r="F18058" s="17" t="n">
        <v>956852</v>
      </c>
    </row>
    <row r="18060">
      <c r="A18060" s="14" t="inlineStr">
        <is>
          <t>KODE: 9.1.1.14 - Pemasangan 1 m Pipa PVC, DN. 40" (1000 mm)</t>
        </is>
      </c>
    </row>
    <row r="18061">
      <c r="A18061" s="10" t="inlineStr">
        <is>
          <t>No</t>
        </is>
      </c>
      <c r="B18061" s="10" t="inlineStr">
        <is>
          <t>Uraian Komponen</t>
        </is>
      </c>
      <c r="C18061" s="10" t="inlineStr">
        <is>
          <t>Satuan</t>
        </is>
      </c>
      <c r="D18061" s="10" t="inlineStr">
        <is>
          <t>Koef</t>
        </is>
      </c>
      <c r="E18061" s="10" t="inlineStr">
        <is>
          <t>Harga Satuan (Rp)</t>
        </is>
      </c>
      <c r="F18061" s="10" t="inlineStr">
        <is>
          <t>Jumlah Harga (Rp)</t>
        </is>
      </c>
    </row>
    <row r="18062">
      <c r="A18062" s="3" t="inlineStr">
        <is>
          <t>1</t>
        </is>
      </c>
      <c r="B18062" s="3" t="inlineStr">
        <is>
          <t>Pekerja</t>
        </is>
      </c>
      <c r="C18062" s="3" t="inlineStr">
        <is>
          <t>OH</t>
        </is>
      </c>
      <c r="D18062" s="15" t="n">
        <v>1.895</v>
      </c>
      <c r="E18062" s="4" t="n">
        <v>100000</v>
      </c>
      <c r="F18062" s="4" t="n">
        <v>189500</v>
      </c>
    </row>
    <row r="18063">
      <c r="A18063" s="3" t="inlineStr">
        <is>
          <t>2</t>
        </is>
      </c>
      <c r="B18063" s="3" t="inlineStr">
        <is>
          <t>Tukang pipa</t>
        </is>
      </c>
      <c r="C18063" s="3" t="inlineStr">
        <is>
          <t>OH</t>
        </is>
      </c>
      <c r="D18063" s="15" t="n">
        <v>0.948</v>
      </c>
      <c r="E18063" s="4" t="n">
        <v>145000</v>
      </c>
      <c r="F18063" s="4" t="n">
        <v>137460</v>
      </c>
    </row>
    <row r="18064">
      <c r="A18064" s="3" t="inlineStr">
        <is>
          <t>3</t>
        </is>
      </c>
      <c r="B18064" s="3" t="inlineStr">
        <is>
          <t>Mandor</t>
        </is>
      </c>
      <c r="C18064" s="3" t="inlineStr">
        <is>
          <t>OH</t>
        </is>
      </c>
      <c r="D18064" s="15" t="n">
        <v>0.19</v>
      </c>
      <c r="E18064" s="4" t="n">
        <v>200000</v>
      </c>
      <c r="F18064" s="4" t="n">
        <v>38000</v>
      </c>
    </row>
    <row r="18065">
      <c r="A18065" s="3" t="n">
        <v>1</v>
      </c>
      <c r="B18065" s="3" t="inlineStr">
        <is>
          <t>"Pipa PVC</t>
        </is>
      </c>
      <c r="C18065" s="3" t="inlineStr">
        <is>
          <t>DN. 40""</t>
        </is>
      </c>
    </row>
    <row r="18066">
      <c r="A18066" s="3" t="inlineStr">
        <is>
          <t>(1000 mm)"</t>
        </is>
      </c>
      <c r="B18066" s="3" t="inlineStr"/>
      <c r="C18066" s="3" t="inlineStr">
        <is>
          <t>m</t>
        </is>
      </c>
      <c r="D18066" s="15" t="n">
        <v>1</v>
      </c>
      <c r="E18066" s="4" t="n">
        <v>548000</v>
      </c>
      <c r="F18066" s="4" t="n">
        <v>548000</v>
      </c>
    </row>
    <row r="18067">
      <c r="A18067" s="3" t="inlineStr">
        <is>
          <t>1</t>
        </is>
      </c>
      <c r="B18067" s="3" t="inlineStr">
        <is>
          <t>Sewa Tripot</t>
        </is>
      </c>
      <c r="C18067" s="3" t="inlineStr">
        <is>
          <t>Hari</t>
        </is>
      </c>
      <c r="D18067" s="15" t="n">
        <v>0.294</v>
      </c>
      <c r="E18067" s="4" t="n">
        <v>108000</v>
      </c>
      <c r="F18067" s="4" t="n">
        <v>31752</v>
      </c>
    </row>
    <row r="18068">
      <c r="D18068" s="2" t="inlineStr">
        <is>
          <t>SUBTOTAL UPAH</t>
        </is>
      </c>
      <c r="F18068" s="16" t="n">
        <v>364960</v>
      </c>
    </row>
    <row r="18069">
      <c r="D18069" s="2" t="inlineStr">
        <is>
          <t>SUBTOTAL BAHAN</t>
        </is>
      </c>
      <c r="F18069" s="16" t="n">
        <v>548000</v>
      </c>
    </row>
    <row r="18070">
      <c r="D18070" s="2" t="inlineStr">
        <is>
          <t>SUBTOTAL ALAT</t>
        </is>
      </c>
      <c r="F18070" s="16" t="n">
        <v>31752</v>
      </c>
    </row>
    <row r="18071">
      <c r="E18071" s="2" t="inlineStr">
        <is>
          <t>TOTAL HARGA SATUAN (Inc. Overhead)</t>
        </is>
      </c>
      <c r="F18071" s="17" t="n">
        <v>1039183</v>
      </c>
    </row>
    <row r="18073">
      <c r="A18073" s="14" t="inlineStr">
        <is>
          <t>KODE: 9.1.1.15 - Pemasangan 1 m Pipa PVC, DN. 44" (1100 mm)</t>
        </is>
      </c>
    </row>
    <row r="18074">
      <c r="A18074" s="10" t="inlineStr">
        <is>
          <t>No</t>
        </is>
      </c>
      <c r="B18074" s="10" t="inlineStr">
        <is>
          <t>Uraian Komponen</t>
        </is>
      </c>
      <c r="C18074" s="10" t="inlineStr">
        <is>
          <t>Satuan</t>
        </is>
      </c>
      <c r="D18074" s="10" t="inlineStr">
        <is>
          <t>Koef</t>
        </is>
      </c>
      <c r="E18074" s="10" t="inlineStr">
        <is>
          <t>Harga Satuan (Rp)</t>
        </is>
      </c>
      <c r="F18074" s="10" t="inlineStr">
        <is>
          <t>Jumlah Harga (Rp)</t>
        </is>
      </c>
    </row>
    <row r="18075">
      <c r="A18075" s="3" t="inlineStr">
        <is>
          <t>1</t>
        </is>
      </c>
      <c r="B18075" s="3" t="inlineStr">
        <is>
          <t>Pekerja</t>
        </is>
      </c>
      <c r="C18075" s="3" t="inlineStr">
        <is>
          <t>OH</t>
        </is>
      </c>
      <c r="D18075" s="15" t="n">
        <v>2.099</v>
      </c>
      <c r="E18075" s="4" t="n">
        <v>100000</v>
      </c>
      <c r="F18075" s="4" t="n">
        <v>209900</v>
      </c>
    </row>
    <row r="18076">
      <c r="A18076" s="3" t="inlineStr">
        <is>
          <t>2</t>
        </is>
      </c>
      <c r="B18076" s="3" t="inlineStr">
        <is>
          <t>Tukang pipa</t>
        </is>
      </c>
      <c r="C18076" s="3" t="inlineStr">
        <is>
          <t>OH</t>
        </is>
      </c>
      <c r="D18076" s="15" t="n">
        <v>1.05</v>
      </c>
      <c r="E18076" s="4" t="n">
        <v>145000</v>
      </c>
      <c r="F18076" s="4" t="n">
        <v>152250</v>
      </c>
    </row>
    <row r="18077">
      <c r="A18077" s="3" t="inlineStr">
        <is>
          <t>3</t>
        </is>
      </c>
      <c r="B18077" s="3" t="inlineStr">
        <is>
          <t>Mandor</t>
        </is>
      </c>
      <c r="C18077" s="3" t="inlineStr">
        <is>
          <t>OH</t>
        </is>
      </c>
      <c r="D18077" s="15" t="n">
        <v>0.21</v>
      </c>
      <c r="E18077" s="4" t="n">
        <v>200000</v>
      </c>
      <c r="F18077" s="4" t="n">
        <v>42000</v>
      </c>
    </row>
    <row r="18078">
      <c r="A18078" s="3" t="n">
        <v>1</v>
      </c>
      <c r="B18078" s="3" t="inlineStr">
        <is>
          <t>"Pipa PVC</t>
        </is>
      </c>
      <c r="C18078" s="3" t="inlineStr">
        <is>
          <t>DN. 44""</t>
        </is>
      </c>
    </row>
    <row r="18079">
      <c r="A18079" s="3" t="inlineStr">
        <is>
          <t>(1100 mm)"</t>
        </is>
      </c>
      <c r="B18079" s="3" t="inlineStr"/>
      <c r="C18079" s="3" t="inlineStr">
        <is>
          <t>m</t>
        </is>
      </c>
      <c r="D18079" s="15" t="n">
        <v>1</v>
      </c>
      <c r="E18079" s="4" t="n">
        <v>590000</v>
      </c>
      <c r="F18079" s="4" t="n">
        <v>590000</v>
      </c>
    </row>
    <row r="18080">
      <c r="A18080" s="3" t="inlineStr">
        <is>
          <t>1</t>
        </is>
      </c>
      <c r="B18080" s="3" t="inlineStr">
        <is>
          <t>Sewa Tripot</t>
        </is>
      </c>
      <c r="C18080" s="3" t="inlineStr">
        <is>
          <t>Hari</t>
        </is>
      </c>
      <c r="D18080" s="15" t="n">
        <v>0.327</v>
      </c>
      <c r="E18080" s="4" t="n">
        <v>108000</v>
      </c>
      <c r="F18080" s="4" t="n">
        <v>35316</v>
      </c>
    </row>
    <row r="18081">
      <c r="D18081" s="2" t="inlineStr">
        <is>
          <t>SUBTOTAL UPAH</t>
        </is>
      </c>
      <c r="F18081" s="16" t="n">
        <v>404150</v>
      </c>
    </row>
    <row r="18082">
      <c r="D18082" s="2" t="inlineStr">
        <is>
          <t>SUBTOTAL BAHAN</t>
        </is>
      </c>
      <c r="F18082" s="16" t="n">
        <v>590000</v>
      </c>
    </row>
    <row r="18083">
      <c r="D18083" s="2" t="inlineStr">
        <is>
          <t>SUBTOTAL ALAT</t>
        </is>
      </c>
      <c r="F18083" s="16" t="n">
        <v>35316</v>
      </c>
    </row>
    <row r="18084">
      <c r="E18084" s="2" t="inlineStr">
        <is>
          <t>TOTAL HARGA SATUAN (Inc. Overhead)</t>
        </is>
      </c>
      <c r="F18084" s="17" t="n">
        <v>1132412</v>
      </c>
    </row>
    <row r="18086">
      <c r="A18086" s="14" t="inlineStr">
        <is>
          <t>KODE: 9.1.1.16 - Pemasangan 1 m Pipa PVC, DN. 48" (1200 mm)</t>
        </is>
      </c>
    </row>
    <row r="18087">
      <c r="A18087" s="10" t="inlineStr">
        <is>
          <t>No</t>
        </is>
      </c>
      <c r="B18087" s="10" t="inlineStr">
        <is>
          <t>Uraian Komponen</t>
        </is>
      </c>
      <c r="C18087" s="10" t="inlineStr">
        <is>
          <t>Satuan</t>
        </is>
      </c>
      <c r="D18087" s="10" t="inlineStr">
        <is>
          <t>Koef</t>
        </is>
      </c>
      <c r="E18087" s="10" t="inlineStr">
        <is>
          <t>Harga Satuan (Rp)</t>
        </is>
      </c>
      <c r="F18087" s="10" t="inlineStr">
        <is>
          <t>Jumlah Harga (Rp)</t>
        </is>
      </c>
    </row>
    <row r="18088">
      <c r="A18088" s="3" t="inlineStr">
        <is>
          <t>1</t>
        </is>
      </c>
      <c r="B18088" s="3" t="inlineStr">
        <is>
          <t>Pekerja</t>
        </is>
      </c>
      <c r="C18088" s="3" t="inlineStr">
        <is>
          <t>OH</t>
        </is>
      </c>
      <c r="D18088" s="15" t="n">
        <v>2.303</v>
      </c>
      <c r="E18088" s="4" t="n">
        <v>100000</v>
      </c>
      <c r="F18088" s="4" t="n">
        <v>230300</v>
      </c>
    </row>
    <row r="18089">
      <c r="A18089" s="3" t="inlineStr">
        <is>
          <t>2</t>
        </is>
      </c>
      <c r="B18089" s="3" t="inlineStr">
        <is>
          <t>Tukang pipa</t>
        </is>
      </c>
      <c r="C18089" s="3" t="inlineStr">
        <is>
          <t>OH</t>
        </is>
      </c>
      <c r="D18089" s="15" t="n">
        <v>1.152</v>
      </c>
      <c r="E18089" s="4" t="n">
        <v>145000</v>
      </c>
      <c r="F18089" s="4" t="n">
        <v>167040</v>
      </c>
    </row>
    <row r="18090">
      <c r="A18090" s="3" t="inlineStr">
        <is>
          <t>3</t>
        </is>
      </c>
      <c r="B18090" s="3" t="inlineStr">
        <is>
          <t>Mandor</t>
        </is>
      </c>
      <c r="C18090" s="3" t="inlineStr">
        <is>
          <t>OH</t>
        </is>
      </c>
      <c r="D18090" s="15" t="n">
        <v>0.23</v>
      </c>
      <c r="E18090" s="4" t="n">
        <v>200000</v>
      </c>
      <c r="F18090" s="4" t="n">
        <v>46000</v>
      </c>
    </row>
    <row r="18091">
      <c r="A18091" s="3" t="n">
        <v>1</v>
      </c>
      <c r="B18091" s="3" t="inlineStr">
        <is>
          <t>"Pipa PVC</t>
        </is>
      </c>
      <c r="C18091" s="3" t="inlineStr">
        <is>
          <t>DN. 48""</t>
        </is>
      </c>
    </row>
    <row r="18092">
      <c r="A18092" s="3" t="inlineStr">
        <is>
          <t>(1200 mm)"</t>
        </is>
      </c>
      <c r="B18092" s="3" t="inlineStr"/>
      <c r="C18092" s="3" t="inlineStr">
        <is>
          <t>m</t>
        </is>
      </c>
      <c r="D18092" s="15" t="n">
        <v>1</v>
      </c>
      <c r="E18092" s="4" t="n">
        <v>618000</v>
      </c>
      <c r="F18092" s="4" t="n">
        <v>618000</v>
      </c>
    </row>
    <row r="18093">
      <c r="A18093" s="3" t="inlineStr">
        <is>
          <t>1</t>
        </is>
      </c>
      <c r="B18093" s="3" t="inlineStr">
        <is>
          <t>Sewa Tripot</t>
        </is>
      </c>
      <c r="C18093" s="3" t="inlineStr">
        <is>
          <t>Hari</t>
        </is>
      </c>
      <c r="D18093" s="15" t="n">
        <v>0.259</v>
      </c>
      <c r="E18093" s="4" t="n">
        <v>108000</v>
      </c>
      <c r="F18093" s="4" t="n">
        <v>27972</v>
      </c>
    </row>
    <row r="18094">
      <c r="D18094" s="2" t="inlineStr">
        <is>
          <t>SUBTOTAL UPAH</t>
        </is>
      </c>
      <c r="F18094" s="16" t="n">
        <v>443340</v>
      </c>
    </row>
    <row r="18095">
      <c r="D18095" s="2" t="inlineStr">
        <is>
          <t>SUBTOTAL BAHAN</t>
        </is>
      </c>
      <c r="F18095" s="16" t="n">
        <v>618000</v>
      </c>
    </row>
    <row r="18096">
      <c r="D18096" s="2" t="inlineStr">
        <is>
          <t>SUBTOTAL ALAT</t>
        </is>
      </c>
      <c r="F18096" s="16" t="n">
        <v>27972</v>
      </c>
    </row>
    <row r="18097">
      <c r="E18097" s="2" t="inlineStr">
        <is>
          <t>TOTAL HARGA SATUAN (Inc. Overhead)</t>
        </is>
      </c>
      <c r="F18097" s="17" t="n">
        <v>1198243</v>
      </c>
    </row>
    <row r="18099">
      <c r="A18099" s="14" t="inlineStr">
        <is>
          <t>KODE: 9.1.1.17 - Pemasangan 1 m Pipa PVC, DN. 1/2" (15 mm)</t>
        </is>
      </c>
    </row>
    <row r="18100">
      <c r="A18100" s="10" t="inlineStr">
        <is>
          <t>No</t>
        </is>
      </c>
      <c r="B18100" s="10" t="inlineStr">
        <is>
          <t>Uraian Komponen</t>
        </is>
      </c>
      <c r="C18100" s="10" t="inlineStr">
        <is>
          <t>Satuan</t>
        </is>
      </c>
      <c r="D18100" s="10" t="inlineStr">
        <is>
          <t>Koef</t>
        </is>
      </c>
      <c r="E18100" s="10" t="inlineStr">
        <is>
          <t>Harga Satuan (Rp)</t>
        </is>
      </c>
      <c r="F18100" s="10" t="inlineStr">
        <is>
          <t>Jumlah Harga (Rp)</t>
        </is>
      </c>
    </row>
    <row r="18101">
      <c r="A18101" s="3" t="inlineStr">
        <is>
          <t>1</t>
        </is>
      </c>
      <c r="B18101" s="3" t="inlineStr">
        <is>
          <t>Pekerja</t>
        </is>
      </c>
      <c r="C18101" s="3" t="inlineStr">
        <is>
          <t>OH</t>
        </is>
      </c>
      <c r="D18101" s="15" t="n">
        <v>0.052</v>
      </c>
      <c r="E18101" s="4" t="n">
        <v>100000</v>
      </c>
      <c r="F18101" s="4" t="n">
        <v>5200</v>
      </c>
    </row>
    <row r="18102">
      <c r="A18102" s="3" t="inlineStr">
        <is>
          <t>2</t>
        </is>
      </c>
      <c r="B18102" s="3" t="inlineStr">
        <is>
          <t>Tukang pipa</t>
        </is>
      </c>
      <c r="C18102" s="3" t="inlineStr">
        <is>
          <t>OH</t>
        </is>
      </c>
      <c r="D18102" s="15" t="n">
        <v>0.026</v>
      </c>
      <c r="E18102" s="4" t="n">
        <v>145000</v>
      </c>
      <c r="F18102" s="4" t="n">
        <v>3770</v>
      </c>
    </row>
    <row r="18103">
      <c r="A18103" s="3" t="inlineStr">
        <is>
          <t>3</t>
        </is>
      </c>
      <c r="B18103" s="3" t="inlineStr">
        <is>
          <t>Mandor</t>
        </is>
      </c>
      <c r="C18103" s="3" t="inlineStr">
        <is>
          <t>OH</t>
        </is>
      </c>
      <c r="D18103" s="15" t="n">
        <v>0.005</v>
      </c>
      <c r="E18103" s="4" t="n">
        <v>200000</v>
      </c>
      <c r="F18103" s="4" t="n">
        <v>1000</v>
      </c>
    </row>
    <row r="18104">
      <c r="A18104" s="3" t="n">
        <v>1</v>
      </c>
      <c r="B18104" s="3" t="inlineStr">
        <is>
          <t>"Pipa PVC</t>
        </is>
      </c>
      <c r="C18104" s="3" t="inlineStr">
        <is>
          <t>DN. 1/2""</t>
        </is>
      </c>
    </row>
    <row r="18105">
      <c r="A18105" s="3" t="inlineStr">
        <is>
          <t>(15 mm)"</t>
        </is>
      </c>
      <c r="B18105" s="3" t="inlineStr"/>
      <c r="C18105" s="3" t="inlineStr">
        <is>
          <t>m</t>
        </is>
      </c>
      <c r="D18105" s="15" t="n">
        <v>1</v>
      </c>
      <c r="E18105" s="4" t="n">
        <v>5300</v>
      </c>
      <c r="F18105" s="4" t="n">
        <v>5300</v>
      </c>
    </row>
    <row r="18106">
      <c r="D18106" s="2" t="inlineStr">
        <is>
          <t>SUBTOTAL UPAH</t>
        </is>
      </c>
      <c r="F18106" s="16" t="n">
        <v>9970</v>
      </c>
    </row>
    <row r="18107">
      <c r="D18107" s="2" t="inlineStr">
        <is>
          <t>SUBTOTAL BAHAN</t>
        </is>
      </c>
      <c r="F18107" s="16" t="n">
        <v>5300</v>
      </c>
    </row>
    <row r="18108">
      <c r="D18108" s="2" t="inlineStr">
        <is>
          <t>SUBTOTAL ALAT</t>
        </is>
      </c>
      <c r="F18108" s="16" t="n">
        <v>0</v>
      </c>
    </row>
    <row r="18109">
      <c r="E18109" s="2" t="inlineStr">
        <is>
          <t>TOTAL HARGA SATUAN (Inc. Overhead)</t>
        </is>
      </c>
      <c r="F18109" s="17" t="n">
        <v>16797</v>
      </c>
    </row>
    <row r="18111">
      <c r="A18111" s="14" t="inlineStr">
        <is>
          <t>KODE: 9.1.1.18 - Pemasangan 1 m Pipa PVC, DN. 3/4" (20 mm)</t>
        </is>
      </c>
    </row>
    <row r="18112">
      <c r="A18112" s="10" t="inlineStr">
        <is>
          <t>No</t>
        </is>
      </c>
      <c r="B18112" s="10" t="inlineStr">
        <is>
          <t>Uraian Komponen</t>
        </is>
      </c>
      <c r="C18112" s="10" t="inlineStr">
        <is>
          <t>Satuan</t>
        </is>
      </c>
      <c r="D18112" s="10" t="inlineStr">
        <is>
          <t>Koef</t>
        </is>
      </c>
      <c r="E18112" s="10" t="inlineStr">
        <is>
          <t>Harga Satuan (Rp)</t>
        </is>
      </c>
      <c r="F18112" s="10" t="inlineStr">
        <is>
          <t>Jumlah Harga (Rp)</t>
        </is>
      </c>
    </row>
    <row r="18113">
      <c r="A18113" s="3" t="inlineStr">
        <is>
          <t>1</t>
        </is>
      </c>
      <c r="B18113" s="3" t="inlineStr">
        <is>
          <t>Pekerja</t>
        </is>
      </c>
      <c r="C18113" s="3" t="inlineStr">
        <is>
          <t>OH</t>
        </is>
      </c>
      <c r="D18113" s="15" t="n">
        <v>0.052</v>
      </c>
      <c r="E18113" s="4" t="n">
        <v>100000</v>
      </c>
      <c r="F18113" s="4" t="n">
        <v>5200</v>
      </c>
    </row>
    <row r="18114">
      <c r="A18114" s="3" t="inlineStr">
        <is>
          <t>2</t>
        </is>
      </c>
      <c r="B18114" s="3" t="inlineStr">
        <is>
          <t>Tukang pipa</t>
        </is>
      </c>
      <c r="C18114" s="3" t="inlineStr">
        <is>
          <t>OH</t>
        </is>
      </c>
      <c r="D18114" s="15" t="n">
        <v>0.026</v>
      </c>
      <c r="E18114" s="4" t="n">
        <v>145000</v>
      </c>
      <c r="F18114" s="4" t="n">
        <v>3770</v>
      </c>
    </row>
    <row r="18115">
      <c r="A18115" s="3" t="inlineStr">
        <is>
          <t>3</t>
        </is>
      </c>
      <c r="B18115" s="3" t="inlineStr">
        <is>
          <t>Mandor</t>
        </is>
      </c>
      <c r="C18115" s="3" t="inlineStr">
        <is>
          <t>OH</t>
        </is>
      </c>
      <c r="D18115" s="15" t="n">
        <v>0.005</v>
      </c>
      <c r="E18115" s="4" t="n">
        <v>200000</v>
      </c>
      <c r="F18115" s="4" t="n">
        <v>1000</v>
      </c>
    </row>
    <row r="18116">
      <c r="A18116" s="3" t="n">
        <v>1</v>
      </c>
      <c r="B18116" s="3" t="inlineStr">
        <is>
          <t>"Pipa PVC</t>
        </is>
      </c>
      <c r="C18116" s="3" t="inlineStr">
        <is>
          <t>DN. 3/4""</t>
        </is>
      </c>
    </row>
    <row r="18117">
      <c r="A18117" s="3" t="inlineStr">
        <is>
          <t>(20 mm)"</t>
        </is>
      </c>
      <c r="B18117" s="3" t="inlineStr"/>
      <c r="C18117" s="3" t="inlineStr">
        <is>
          <t>m</t>
        </is>
      </c>
      <c r="D18117" s="15" t="n">
        <v>1</v>
      </c>
      <c r="E18117" s="4" t="n">
        <v>7600</v>
      </c>
      <c r="F18117" s="4" t="n">
        <v>7600</v>
      </c>
    </row>
    <row r="18118">
      <c r="D18118" s="2" t="inlineStr">
        <is>
          <t>SUBTOTAL UPAH</t>
        </is>
      </c>
      <c r="F18118" s="16" t="n">
        <v>9970</v>
      </c>
    </row>
    <row r="18119">
      <c r="D18119" s="2" t="inlineStr">
        <is>
          <t>SUBTOTAL BAHAN</t>
        </is>
      </c>
      <c r="F18119" s="16" t="n">
        <v>7600</v>
      </c>
    </row>
    <row r="18120">
      <c r="D18120" s="2" t="inlineStr">
        <is>
          <t>SUBTOTAL ALAT</t>
        </is>
      </c>
      <c r="F18120" s="16" t="n">
        <v>0</v>
      </c>
    </row>
    <row r="18121">
      <c r="E18121" s="2" t="inlineStr">
        <is>
          <t>TOTAL HARGA SATUAN (Inc. Overhead)</t>
        </is>
      </c>
      <c r="F18121" s="17" t="n">
        <v>19327</v>
      </c>
    </row>
    <row r="18123">
      <c r="A18123" s="14" t="inlineStr">
        <is>
          <t>KODE: 9.1.1.19 - Pemasangan 1 m Pipa PVC, DN. 1" (25 mm)</t>
        </is>
      </c>
    </row>
    <row r="18124">
      <c r="A18124" s="10" t="inlineStr">
        <is>
          <t>No</t>
        </is>
      </c>
      <c r="B18124" s="10" t="inlineStr">
        <is>
          <t>Uraian Komponen</t>
        </is>
      </c>
      <c r="C18124" s="10" t="inlineStr">
        <is>
          <t>Satuan</t>
        </is>
      </c>
      <c r="D18124" s="10" t="inlineStr">
        <is>
          <t>Koef</t>
        </is>
      </c>
      <c r="E18124" s="10" t="inlineStr">
        <is>
          <t>Harga Satuan (Rp)</t>
        </is>
      </c>
      <c r="F18124" s="10" t="inlineStr">
        <is>
          <t>Jumlah Harga (Rp)</t>
        </is>
      </c>
    </row>
    <row r="18125">
      <c r="A18125" s="3" t="inlineStr">
        <is>
          <t>1</t>
        </is>
      </c>
      <c r="B18125" s="3" t="inlineStr">
        <is>
          <t>Pekerja</t>
        </is>
      </c>
      <c r="C18125" s="3" t="inlineStr">
        <is>
          <t>OH</t>
        </is>
      </c>
      <c r="D18125" s="15" t="n">
        <v>0.065</v>
      </c>
      <c r="E18125" s="4" t="n">
        <v>100000</v>
      </c>
      <c r="F18125" s="4" t="n">
        <v>6500</v>
      </c>
    </row>
    <row r="18126">
      <c r="A18126" s="3" t="inlineStr">
        <is>
          <t>2</t>
        </is>
      </c>
      <c r="B18126" s="3" t="inlineStr">
        <is>
          <t>Tukang pipa</t>
        </is>
      </c>
      <c r="C18126" s="3" t="inlineStr">
        <is>
          <t>OH</t>
        </is>
      </c>
      <c r="D18126" s="15" t="n">
        <v>0.033</v>
      </c>
      <c r="E18126" s="4" t="n">
        <v>145000</v>
      </c>
      <c r="F18126" s="4" t="n">
        <v>4785</v>
      </c>
    </row>
    <row r="18127">
      <c r="A18127" s="3" t="inlineStr">
        <is>
          <t>3</t>
        </is>
      </c>
      <c r="B18127" s="3" t="inlineStr">
        <is>
          <t>Mandor</t>
        </is>
      </c>
      <c r="C18127" s="3" t="inlineStr">
        <is>
          <t>OH</t>
        </is>
      </c>
      <c r="D18127" s="15" t="n">
        <v>0.007</v>
      </c>
      <c r="E18127" s="4" t="n">
        <v>200000</v>
      </c>
      <c r="F18127" s="4" t="n">
        <v>1400</v>
      </c>
    </row>
    <row r="18128">
      <c r="A18128" s="3" t="inlineStr">
        <is>
          <t>1</t>
        </is>
      </c>
      <c r="B18128" s="3" t="inlineStr">
        <is>
          <t>"Pipa PVC DN. 1"" (25 mm)"</t>
        </is>
      </c>
      <c r="C18128" s="3" t="inlineStr">
        <is>
          <t>m</t>
        </is>
      </c>
      <c r="D18128" s="15" t="n">
        <v>1</v>
      </c>
      <c r="E18128" s="4" t="n">
        <v>8400</v>
      </c>
      <c r="F18128" s="4" t="n">
        <v>8400</v>
      </c>
    </row>
    <row r="18129">
      <c r="D18129" s="2" t="inlineStr">
        <is>
          <t>SUBTOTAL UPAH</t>
        </is>
      </c>
      <c r="F18129" s="16" t="n">
        <v>12685</v>
      </c>
    </row>
    <row r="18130">
      <c r="D18130" s="2" t="inlineStr">
        <is>
          <t>SUBTOTAL BAHAN</t>
        </is>
      </c>
      <c r="F18130" s="16" t="n">
        <v>8400</v>
      </c>
    </row>
    <row r="18131">
      <c r="D18131" s="2" t="inlineStr">
        <is>
          <t>SUBTOTAL ALAT</t>
        </is>
      </c>
      <c r="F18131" s="16" t="n">
        <v>0</v>
      </c>
    </row>
    <row r="18132">
      <c r="E18132" s="2" t="inlineStr">
        <is>
          <t>TOTAL HARGA SATUAN (Inc. Overhead)</t>
        </is>
      </c>
      <c r="F18132" s="17" t="n">
        <v>23193</v>
      </c>
    </row>
    <row r="18134">
      <c r="A18134" s="14" t="inlineStr">
        <is>
          <t>KODE: 9.1.1.20 - Pemasangan 1 m Pipa PVC, DN. 1-1/4" (32 mm)</t>
        </is>
      </c>
    </row>
    <row r="18135">
      <c r="A18135" s="10" t="inlineStr">
        <is>
          <t>No</t>
        </is>
      </c>
      <c r="B18135" s="10" t="inlineStr">
        <is>
          <t>Uraian Komponen</t>
        </is>
      </c>
      <c r="C18135" s="10" t="inlineStr">
        <is>
          <t>Satuan</t>
        </is>
      </c>
      <c r="D18135" s="10" t="inlineStr">
        <is>
          <t>Koef</t>
        </is>
      </c>
      <c r="E18135" s="10" t="inlineStr">
        <is>
          <t>Harga Satuan (Rp)</t>
        </is>
      </c>
      <c r="F18135" s="10" t="inlineStr">
        <is>
          <t>Jumlah Harga (Rp)</t>
        </is>
      </c>
    </row>
    <row r="18136">
      <c r="A18136" s="3" t="inlineStr">
        <is>
          <t>1</t>
        </is>
      </c>
      <c r="B18136" s="3" t="inlineStr">
        <is>
          <t>Pekerja</t>
        </is>
      </c>
      <c r="C18136" s="3" t="inlineStr">
        <is>
          <t>OH</t>
        </is>
      </c>
      <c r="D18136" s="15" t="n">
        <v>0.065</v>
      </c>
      <c r="E18136" s="4" t="n">
        <v>100000</v>
      </c>
      <c r="F18136" s="4" t="n">
        <v>6500</v>
      </c>
    </row>
    <row r="18137">
      <c r="A18137" s="3" t="inlineStr">
        <is>
          <t>2</t>
        </is>
      </c>
      <c r="B18137" s="3" t="inlineStr">
        <is>
          <t>Tukang pipa</t>
        </is>
      </c>
      <c r="C18137" s="3" t="inlineStr">
        <is>
          <t>OH</t>
        </is>
      </c>
      <c r="D18137" s="15" t="n">
        <v>0.033</v>
      </c>
      <c r="E18137" s="4" t="n">
        <v>145000</v>
      </c>
      <c r="F18137" s="4" t="n">
        <v>4785</v>
      </c>
    </row>
    <row r="18138">
      <c r="A18138" s="3" t="inlineStr">
        <is>
          <t>3</t>
        </is>
      </c>
      <c r="B18138" s="3" t="inlineStr">
        <is>
          <t>Mandor</t>
        </is>
      </c>
      <c r="C18138" s="3" t="inlineStr">
        <is>
          <t>OH</t>
        </is>
      </c>
      <c r="D18138" s="15" t="n">
        <v>0.007</v>
      </c>
      <c r="E18138" s="4" t="n">
        <v>200000</v>
      </c>
      <c r="F18138" s="4" t="n">
        <v>1400</v>
      </c>
    </row>
    <row r="18139">
      <c r="A18139" s="3" t="n">
        <v>1</v>
      </c>
      <c r="B18139" s="3" t="inlineStr">
        <is>
          <t>"Pipa PVC</t>
        </is>
      </c>
      <c r="C18139" s="3" t="inlineStr">
        <is>
          <t>DN. 1-1/4""</t>
        </is>
      </c>
    </row>
    <row r="18140">
      <c r="A18140" s="3" t="inlineStr">
        <is>
          <t>(32 mm"</t>
        </is>
      </c>
      <c r="B18140" s="3" t="inlineStr"/>
      <c r="C18140" s="3" t="inlineStr">
        <is>
          <t>m</t>
        </is>
      </c>
      <c r="D18140" s="15" t="n">
        <v>1</v>
      </c>
      <c r="E18140" s="4" t="n">
        <v>10000</v>
      </c>
      <c r="F18140" s="4" t="n">
        <v>10000</v>
      </c>
    </row>
    <row r="18141">
      <c r="D18141" s="2" t="inlineStr">
        <is>
          <t>SUBTOTAL UPAH</t>
        </is>
      </c>
      <c r="F18141" s="16" t="n">
        <v>12685</v>
      </c>
    </row>
    <row r="18142">
      <c r="D18142" s="2" t="inlineStr">
        <is>
          <t>SUBTOTAL BAHAN</t>
        </is>
      </c>
      <c r="F18142" s="16" t="n">
        <v>10000</v>
      </c>
    </row>
    <row r="18143">
      <c r="D18143" s="2" t="inlineStr">
        <is>
          <t>SUBTOTAL ALAT</t>
        </is>
      </c>
      <c r="F18143" s="16" t="n">
        <v>0</v>
      </c>
    </row>
    <row r="18144">
      <c r="E18144" s="2" t="inlineStr">
        <is>
          <t>TOTAL HARGA SATUAN (Inc. Overhead)</t>
        </is>
      </c>
      <c r="F18144" s="17" t="n">
        <v>24953</v>
      </c>
    </row>
    <row r="18146">
      <c r="A18146" s="14" t="inlineStr">
        <is>
          <t>KODE: 9.1.1.21 - Pemasangan 1 m Pipa PVC, DN. 1-1/2" (40 mm)</t>
        </is>
      </c>
    </row>
    <row r="18147">
      <c r="A18147" s="10" t="inlineStr">
        <is>
          <t>No</t>
        </is>
      </c>
      <c r="B18147" s="10" t="inlineStr">
        <is>
          <t>Uraian Komponen</t>
        </is>
      </c>
      <c r="C18147" s="10" t="inlineStr">
        <is>
          <t>Satuan</t>
        </is>
      </c>
      <c r="D18147" s="10" t="inlineStr">
        <is>
          <t>Koef</t>
        </is>
      </c>
      <c r="E18147" s="10" t="inlineStr">
        <is>
          <t>Harga Satuan (Rp)</t>
        </is>
      </c>
      <c r="F18147" s="10" t="inlineStr">
        <is>
          <t>Jumlah Harga (Rp)</t>
        </is>
      </c>
    </row>
    <row r="18148">
      <c r="A18148" s="3" t="inlineStr">
        <is>
          <t>1</t>
        </is>
      </c>
      <c r="B18148" s="3" t="inlineStr">
        <is>
          <t>Pekerja</t>
        </is>
      </c>
      <c r="C18148" s="3" t="inlineStr">
        <is>
          <t>OH</t>
        </is>
      </c>
      <c r="D18148" s="15" t="n">
        <v>0.065</v>
      </c>
      <c r="E18148" s="4" t="n">
        <v>100000</v>
      </c>
      <c r="F18148" s="4" t="n">
        <v>6500</v>
      </c>
    </row>
    <row r="18149">
      <c r="A18149" s="3" t="inlineStr">
        <is>
          <t>2</t>
        </is>
      </c>
      <c r="B18149" s="3" t="inlineStr">
        <is>
          <t>Tukang pipa</t>
        </is>
      </c>
      <c r="C18149" s="3" t="inlineStr">
        <is>
          <t>OH</t>
        </is>
      </c>
      <c r="D18149" s="15" t="n">
        <v>0.033</v>
      </c>
      <c r="E18149" s="4" t="n">
        <v>145000</v>
      </c>
      <c r="F18149" s="4" t="n">
        <v>4785</v>
      </c>
    </row>
    <row r="18150">
      <c r="A18150" s="3" t="inlineStr">
        <is>
          <t>3</t>
        </is>
      </c>
      <c r="B18150" s="3" t="inlineStr">
        <is>
          <t>Mandor</t>
        </is>
      </c>
      <c r="C18150" s="3" t="inlineStr">
        <is>
          <t>OH</t>
        </is>
      </c>
      <c r="D18150" s="15" t="n">
        <v>0.007</v>
      </c>
      <c r="E18150" s="4" t="n">
        <v>200000</v>
      </c>
      <c r="F18150" s="4" t="n">
        <v>1400</v>
      </c>
    </row>
    <row r="18151">
      <c r="A18151" s="3" t="n">
        <v>1</v>
      </c>
      <c r="B18151" s="3" t="inlineStr">
        <is>
          <t>"Pipa PVC</t>
        </is>
      </c>
      <c r="C18151" s="3" t="inlineStr">
        <is>
          <t>DN. 1-1/2""</t>
        </is>
      </c>
    </row>
    <row r="18152">
      <c r="A18152" s="3" t="inlineStr">
        <is>
          <t>(40 mm)"</t>
        </is>
      </c>
      <c r="B18152" s="3" t="inlineStr"/>
      <c r="C18152" s="3" t="inlineStr">
        <is>
          <t>m</t>
        </is>
      </c>
      <c r="D18152" s="15" t="n">
        <v>1</v>
      </c>
      <c r="E18152" s="4" t="n">
        <v>10600</v>
      </c>
      <c r="F18152" s="4" t="n">
        <v>10600</v>
      </c>
    </row>
    <row r="18153">
      <c r="D18153" s="2" t="inlineStr">
        <is>
          <t>SUBTOTAL UPAH</t>
        </is>
      </c>
      <c r="F18153" s="16" t="n">
        <v>12685</v>
      </c>
    </row>
    <row r="18154">
      <c r="D18154" s="2" t="inlineStr">
        <is>
          <t>SUBTOTAL BAHAN</t>
        </is>
      </c>
      <c r="F18154" s="16" t="n">
        <v>10600</v>
      </c>
    </row>
    <row r="18155">
      <c r="D18155" s="2" t="inlineStr">
        <is>
          <t>SUBTOTAL ALAT</t>
        </is>
      </c>
      <c r="F18155" s="16" t="n">
        <v>0</v>
      </c>
    </row>
    <row r="18156">
      <c r="E18156" s="2" t="inlineStr">
        <is>
          <t>TOTAL HARGA SATUAN (Inc. Overhead)</t>
        </is>
      </c>
      <c r="F18156" s="17" t="n">
        <v>25613</v>
      </c>
    </row>
    <row r="18158">
      <c r="A18158" s="14" t="inlineStr">
        <is>
          <t>KODE: 9.1.1.22 - Pemasangan 1 m Pipa PVC, DN. 2" (50 mm)</t>
        </is>
      </c>
    </row>
    <row r="18159">
      <c r="A18159" s="10" t="inlineStr">
        <is>
          <t>No</t>
        </is>
      </c>
      <c r="B18159" s="10" t="inlineStr">
        <is>
          <t>Uraian Komponen</t>
        </is>
      </c>
      <c r="C18159" s="10" t="inlineStr">
        <is>
          <t>Satuan</t>
        </is>
      </c>
      <c r="D18159" s="10" t="inlineStr">
        <is>
          <t>Koef</t>
        </is>
      </c>
      <c r="E18159" s="10" t="inlineStr">
        <is>
          <t>Harga Satuan (Rp)</t>
        </is>
      </c>
      <c r="F18159" s="10" t="inlineStr">
        <is>
          <t>Jumlah Harga (Rp)</t>
        </is>
      </c>
    </row>
    <row r="18160">
      <c r="A18160" s="3" t="inlineStr">
        <is>
          <t>1</t>
        </is>
      </c>
      <c r="B18160" s="3" t="inlineStr">
        <is>
          <t>Pekerja</t>
        </is>
      </c>
      <c r="C18160" s="3" t="inlineStr">
        <is>
          <t>OH</t>
        </is>
      </c>
      <c r="D18160" s="15" t="n">
        <v>0.081</v>
      </c>
      <c r="E18160" s="4" t="n">
        <v>100000</v>
      </c>
      <c r="F18160" s="4" t="n">
        <v>8100</v>
      </c>
    </row>
    <row r="18161">
      <c r="A18161" s="3" t="inlineStr">
        <is>
          <t>2</t>
        </is>
      </c>
      <c r="B18161" s="3" t="inlineStr">
        <is>
          <t>Tukang pipa</t>
        </is>
      </c>
      <c r="C18161" s="3" t="inlineStr">
        <is>
          <t>OH</t>
        </is>
      </c>
      <c r="D18161" s="15" t="n">
        <v>0.041</v>
      </c>
      <c r="E18161" s="4" t="n">
        <v>145000</v>
      </c>
      <c r="F18161" s="4" t="n">
        <v>5945</v>
      </c>
    </row>
    <row r="18162">
      <c r="A18162" s="3" t="inlineStr">
        <is>
          <t>3</t>
        </is>
      </c>
      <c r="B18162" s="3" t="inlineStr">
        <is>
          <t>Mandor</t>
        </is>
      </c>
      <c r="C18162" s="3" t="inlineStr">
        <is>
          <t>OH</t>
        </is>
      </c>
      <c r="D18162" s="15" t="n">
        <v>0.008</v>
      </c>
      <c r="E18162" s="4" t="n">
        <v>200000</v>
      </c>
      <c r="F18162" s="4" t="n">
        <v>1600</v>
      </c>
    </row>
    <row r="18163">
      <c r="A18163" s="3" t="inlineStr">
        <is>
          <t>1</t>
        </is>
      </c>
      <c r="B18163" s="3" t="inlineStr">
        <is>
          <t>"Pipa PVC DN. 2"" (50 mm)"</t>
        </is>
      </c>
      <c r="C18163" s="3" t="inlineStr">
        <is>
          <t>m</t>
        </is>
      </c>
      <c r="D18163" s="15" t="n">
        <v>1</v>
      </c>
      <c r="E18163" s="4" t="n">
        <v>13800</v>
      </c>
      <c r="F18163" s="4" t="n">
        <v>13800</v>
      </c>
    </row>
    <row r="18164">
      <c r="D18164" s="2" t="inlineStr">
        <is>
          <t>SUBTOTAL UPAH</t>
        </is>
      </c>
      <c r="F18164" s="16" t="n">
        <v>15645</v>
      </c>
    </row>
    <row r="18165">
      <c r="D18165" s="2" t="inlineStr">
        <is>
          <t>SUBTOTAL BAHAN</t>
        </is>
      </c>
      <c r="F18165" s="16" t="n">
        <v>13800</v>
      </c>
    </row>
    <row r="18166">
      <c r="D18166" s="2" t="inlineStr">
        <is>
          <t>SUBTOTAL ALAT</t>
        </is>
      </c>
      <c r="F18166" s="16" t="n">
        <v>0</v>
      </c>
    </row>
    <row r="18167">
      <c r="E18167" s="2" t="inlineStr">
        <is>
          <t>TOTAL HARGA SATUAN (Inc. Overhead)</t>
        </is>
      </c>
      <c r="F18167" s="17" t="n">
        <v>32389</v>
      </c>
    </row>
    <row r="18169">
      <c r="A18169" s="14" t="inlineStr">
        <is>
          <t>KODE: 9.1.2.1 - Pemotongan 1 Buah Pipa PVC, DN. 2-1/2" (65 mm)</t>
        </is>
      </c>
    </row>
    <row r="18170">
      <c r="A18170" s="10" t="inlineStr">
        <is>
          <t>No</t>
        </is>
      </c>
      <c r="B18170" s="10" t="inlineStr">
        <is>
          <t>Uraian Komponen</t>
        </is>
      </c>
      <c r="C18170" s="10" t="inlineStr">
        <is>
          <t>Satuan</t>
        </is>
      </c>
      <c r="D18170" s="10" t="inlineStr">
        <is>
          <t>Koef</t>
        </is>
      </c>
      <c r="E18170" s="10" t="inlineStr">
        <is>
          <t>Harga Satuan (Rp)</t>
        </is>
      </c>
      <c r="F18170" s="10" t="inlineStr">
        <is>
          <t>Jumlah Harga (Rp)</t>
        </is>
      </c>
    </row>
    <row r="18171">
      <c r="A18171" s="3" t="inlineStr">
        <is>
          <t>1</t>
        </is>
      </c>
      <c r="B18171" s="3" t="inlineStr">
        <is>
          <t>Pekerja</t>
        </is>
      </c>
      <c r="C18171" s="3" t="inlineStr">
        <is>
          <t>OH</t>
        </is>
      </c>
      <c r="D18171" s="15" t="n">
        <v>0.005</v>
      </c>
      <c r="E18171" s="4" t="n">
        <v>100000</v>
      </c>
      <c r="F18171" s="4" t="n">
        <v>500</v>
      </c>
    </row>
    <row r="18172">
      <c r="A18172" s="3" t="inlineStr">
        <is>
          <t>2</t>
        </is>
      </c>
      <c r="B18172" s="3" t="inlineStr">
        <is>
          <t>Tukang pipa</t>
        </is>
      </c>
      <c r="C18172" s="3" t="inlineStr">
        <is>
          <t>OH</t>
        </is>
      </c>
      <c r="D18172" s="15" t="n">
        <v>0.002</v>
      </c>
      <c r="E18172" s="4" t="n">
        <v>145000</v>
      </c>
      <c r="F18172" s="4" t="n">
        <v>290</v>
      </c>
    </row>
    <row r="18173">
      <c r="A18173" s="3" t="inlineStr">
        <is>
          <t>3</t>
        </is>
      </c>
      <c r="B18173" s="3" t="inlineStr">
        <is>
          <t>Mandor</t>
        </is>
      </c>
      <c r="C18173" s="3" t="inlineStr">
        <is>
          <t>OH</t>
        </is>
      </c>
      <c r="D18173" s="15" t="n">
        <v>0.0005</v>
      </c>
      <c r="E18173" s="4" t="n">
        <v>200000</v>
      </c>
      <c r="F18173" s="4" t="n">
        <v>100</v>
      </c>
    </row>
    <row r="18174">
      <c r="A18174" s="3" t="inlineStr">
        <is>
          <t>saw"</t>
        </is>
      </c>
      <c r="B18174" s="3" t="inlineStr"/>
      <c r="C18174" s="3" t="inlineStr">
        <is>
          <t>hari</t>
        </is>
      </c>
      <c r="D18174" s="15" t="n">
        <v>0.003</v>
      </c>
      <c r="E18174" s="4" t="n">
        <v>35000</v>
      </c>
      <c r="F18174" s="4" t="n">
        <v>105</v>
      </c>
    </row>
    <row r="18175">
      <c r="D18175" s="2" t="inlineStr">
        <is>
          <t>SUBTOTAL UPAH</t>
        </is>
      </c>
      <c r="F18175" s="16" t="n">
        <v>890</v>
      </c>
    </row>
    <row r="18176">
      <c r="D18176" s="2" t="inlineStr">
        <is>
          <t>SUBTOTAL BAHAN</t>
        </is>
      </c>
      <c r="F18176" s="16" t="n">
        <v>0</v>
      </c>
    </row>
    <row r="18177">
      <c r="D18177" s="2" t="inlineStr">
        <is>
          <t>SUBTOTAL ALAT</t>
        </is>
      </c>
      <c r="F18177" s="16" t="n">
        <v>105</v>
      </c>
    </row>
    <row r="18178">
      <c r="E18178" s="2" t="inlineStr">
        <is>
          <t>TOTAL HARGA SATUAN (Inc. Overhead)</t>
        </is>
      </c>
      <c r="F18178" s="17" t="n">
        <v>1094</v>
      </c>
    </row>
    <row r="18180">
      <c r="A18180" s="14" t="inlineStr">
        <is>
          <t>KODE: 9.1.2.2 - Pemotongan 1 Buah Pipa PVC, DN. 3" (80 mm)</t>
        </is>
      </c>
    </row>
    <row r="18181">
      <c r="A18181" s="10" t="inlineStr">
        <is>
          <t>No</t>
        </is>
      </c>
      <c r="B18181" s="10" t="inlineStr">
        <is>
          <t>Uraian Komponen</t>
        </is>
      </c>
      <c r="C18181" s="10" t="inlineStr">
        <is>
          <t>Satuan</t>
        </is>
      </c>
      <c r="D18181" s="10" t="inlineStr">
        <is>
          <t>Koef</t>
        </is>
      </c>
      <c r="E18181" s="10" t="inlineStr">
        <is>
          <t>Harga Satuan (Rp)</t>
        </is>
      </c>
      <c r="F18181" s="10" t="inlineStr">
        <is>
          <t>Jumlah Harga (Rp)</t>
        </is>
      </c>
    </row>
    <row r="18182">
      <c r="A18182" s="3" t="inlineStr">
        <is>
          <t>1</t>
        </is>
      </c>
      <c r="B18182" s="3" t="inlineStr">
        <is>
          <t>Pekerja</t>
        </is>
      </c>
      <c r="C18182" s="3" t="inlineStr">
        <is>
          <t>OH</t>
        </is>
      </c>
      <c r="D18182" s="15" t="n">
        <v>0.014</v>
      </c>
      <c r="E18182" s="4" t="n">
        <v>100000</v>
      </c>
      <c r="F18182" s="4" t="n">
        <v>1400</v>
      </c>
    </row>
    <row r="18183">
      <c r="A18183" s="3" t="inlineStr">
        <is>
          <t>2</t>
        </is>
      </c>
      <c r="B18183" s="3" t="inlineStr">
        <is>
          <t>Tukang pipa</t>
        </is>
      </c>
      <c r="C18183" s="3" t="inlineStr">
        <is>
          <t>OH</t>
        </is>
      </c>
      <c r="D18183" s="15" t="n">
        <v>0.007</v>
      </c>
      <c r="E18183" s="4" t="n">
        <v>145000</v>
      </c>
      <c r="F18183" s="4" t="n">
        <v>1015</v>
      </c>
    </row>
    <row r="18184">
      <c r="A18184" s="3" t="inlineStr">
        <is>
          <t>3</t>
        </is>
      </c>
      <c r="B18184" s="3" t="inlineStr">
        <is>
          <t>Mandor</t>
        </is>
      </c>
      <c r="C18184" s="3" t="inlineStr">
        <is>
          <t>OH</t>
        </is>
      </c>
      <c r="D18184" s="15" t="n">
        <v>0.001</v>
      </c>
      <c r="E18184" s="4" t="n">
        <v>200000</v>
      </c>
      <c r="F18184" s="4" t="n">
        <v>200</v>
      </c>
    </row>
    <row r="18185">
      <c r="A18185" s="3" t="inlineStr">
        <is>
          <t>saw"</t>
        </is>
      </c>
      <c r="B18185" s="3" t="inlineStr"/>
      <c r="C18185" s="3" t="inlineStr">
        <is>
          <t>hari</t>
        </is>
      </c>
      <c r="D18185" s="15" t="n">
        <v>0.003</v>
      </c>
      <c r="E18185" s="4" t="n">
        <v>35000</v>
      </c>
      <c r="F18185" s="4" t="n">
        <v>105</v>
      </c>
    </row>
    <row r="18186">
      <c r="D18186" s="2" t="inlineStr">
        <is>
          <t>SUBTOTAL UPAH</t>
        </is>
      </c>
      <c r="F18186" s="16" t="n">
        <v>2615</v>
      </c>
    </row>
    <row r="18187">
      <c r="D18187" s="2" t="inlineStr">
        <is>
          <t>SUBTOTAL BAHAN</t>
        </is>
      </c>
      <c r="F18187" s="16" t="n">
        <v>0</v>
      </c>
    </row>
    <row r="18188">
      <c r="D18188" s="2" t="inlineStr">
        <is>
          <t>SUBTOTAL ALAT</t>
        </is>
      </c>
      <c r="F18188" s="16" t="n">
        <v>105</v>
      </c>
    </row>
    <row r="18189">
      <c r="E18189" s="2" t="inlineStr">
        <is>
          <t>TOTAL HARGA SATUAN (Inc. Overhead)</t>
        </is>
      </c>
      <c r="F18189" s="17" t="n">
        <v>2992</v>
      </c>
    </row>
    <row r="18191">
      <c r="A18191" s="14" t="inlineStr">
        <is>
          <t>KODE: 9.1.2.3 - Pemotongan 1 Buah Pipa PVC, DN. 4" (100 mm)</t>
        </is>
      </c>
    </row>
    <row r="18192">
      <c r="A18192" s="10" t="inlineStr">
        <is>
          <t>No</t>
        </is>
      </c>
      <c r="B18192" s="10" t="inlineStr">
        <is>
          <t>Uraian Komponen</t>
        </is>
      </c>
      <c r="C18192" s="10" t="inlineStr">
        <is>
          <t>Satuan</t>
        </is>
      </c>
      <c r="D18192" s="10" t="inlineStr">
        <is>
          <t>Koef</t>
        </is>
      </c>
      <c r="E18192" s="10" t="inlineStr">
        <is>
          <t>Harga Satuan (Rp)</t>
        </is>
      </c>
      <c r="F18192" s="10" t="inlineStr">
        <is>
          <t>Jumlah Harga (Rp)</t>
        </is>
      </c>
    </row>
    <row r="18193">
      <c r="A18193" s="3" t="inlineStr">
        <is>
          <t>1</t>
        </is>
      </c>
      <c r="B18193" s="3" t="inlineStr">
        <is>
          <t>Pekerja</t>
        </is>
      </c>
      <c r="C18193" s="3" t="inlineStr">
        <is>
          <t>OH</t>
        </is>
      </c>
      <c r="D18193" s="15" t="n">
        <v>0.022</v>
      </c>
      <c r="E18193" s="4" t="n">
        <v>100000</v>
      </c>
      <c r="F18193" s="4" t="n">
        <v>2200</v>
      </c>
    </row>
    <row r="18194">
      <c r="A18194" s="3" t="inlineStr">
        <is>
          <t>2</t>
        </is>
      </c>
      <c r="B18194" s="3" t="inlineStr">
        <is>
          <t>Tukang pipa</t>
        </is>
      </c>
      <c r="C18194" s="3" t="inlineStr">
        <is>
          <t>OH</t>
        </is>
      </c>
      <c r="D18194" s="15" t="n">
        <v>0.011</v>
      </c>
      <c r="E18194" s="4" t="n">
        <v>145000</v>
      </c>
      <c r="F18194" s="4" t="n">
        <v>1595</v>
      </c>
    </row>
    <row r="18195">
      <c r="A18195" s="3" t="inlineStr">
        <is>
          <t>3</t>
        </is>
      </c>
      <c r="B18195" s="3" t="inlineStr">
        <is>
          <t>Mandor</t>
        </is>
      </c>
      <c r="C18195" s="3" t="inlineStr">
        <is>
          <t>OH</t>
        </is>
      </c>
      <c r="D18195" s="15" t="n">
        <v>0.002</v>
      </c>
      <c r="E18195" s="4" t="n">
        <v>200000</v>
      </c>
      <c r="F18195" s="4" t="n">
        <v>400</v>
      </c>
    </row>
    <row r="18196">
      <c r="A18196" s="3" t="inlineStr">
        <is>
          <t>saw"</t>
        </is>
      </c>
      <c r="B18196" s="3" t="inlineStr"/>
      <c r="C18196" s="3" t="inlineStr">
        <is>
          <t>hari</t>
        </is>
      </c>
      <c r="D18196" s="15" t="n">
        <v>0.003</v>
      </c>
      <c r="E18196" s="4" t="n">
        <v>35000</v>
      </c>
      <c r="F18196" s="4" t="n">
        <v>105</v>
      </c>
    </row>
    <row r="18197">
      <c r="D18197" s="2" t="inlineStr">
        <is>
          <t>SUBTOTAL UPAH</t>
        </is>
      </c>
      <c r="F18197" s="16" t="n">
        <v>4195</v>
      </c>
    </row>
    <row r="18198">
      <c r="D18198" s="2" t="inlineStr">
        <is>
          <t>SUBTOTAL BAHAN</t>
        </is>
      </c>
      <c r="F18198" s="16" t="n">
        <v>0</v>
      </c>
    </row>
    <row r="18199">
      <c r="D18199" s="2" t="inlineStr">
        <is>
          <t>SUBTOTAL ALAT</t>
        </is>
      </c>
      <c r="F18199" s="16" t="n">
        <v>105</v>
      </c>
    </row>
    <row r="18200">
      <c r="E18200" s="2" t="inlineStr">
        <is>
          <t>TOTAL HARGA SATUAN (Inc. Overhead)</t>
        </is>
      </c>
      <c r="F18200" s="17" t="n">
        <v>4730</v>
      </c>
    </row>
    <row r="18202">
      <c r="A18202" s="14" t="inlineStr">
        <is>
          <t>KODE: 9.1.2.4 - Pemotongan 1 Buah Pipa PVC, DN. 6" (150 mm)</t>
        </is>
      </c>
    </row>
    <row r="18203">
      <c r="A18203" s="10" t="inlineStr">
        <is>
          <t>No</t>
        </is>
      </c>
      <c r="B18203" s="10" t="inlineStr">
        <is>
          <t>Uraian Komponen</t>
        </is>
      </c>
      <c r="C18203" s="10" t="inlineStr">
        <is>
          <t>Satuan</t>
        </is>
      </c>
      <c r="D18203" s="10" t="inlineStr">
        <is>
          <t>Koef</t>
        </is>
      </c>
      <c r="E18203" s="10" t="inlineStr">
        <is>
          <t>Harga Satuan (Rp)</t>
        </is>
      </c>
      <c r="F18203" s="10" t="inlineStr">
        <is>
          <t>Jumlah Harga (Rp)</t>
        </is>
      </c>
    </row>
    <row r="18204">
      <c r="A18204" s="3" t="inlineStr">
        <is>
          <t>1</t>
        </is>
      </c>
      <c r="B18204" s="3" t="inlineStr">
        <is>
          <t>Pekerja</t>
        </is>
      </c>
      <c r="C18204" s="3" t="inlineStr">
        <is>
          <t>OH</t>
        </is>
      </c>
      <c r="D18204" s="15" t="n">
        <v>0.031</v>
      </c>
      <c r="E18204" s="4" t="n">
        <v>100000</v>
      </c>
      <c r="F18204" s="4" t="n">
        <v>3100</v>
      </c>
    </row>
    <row r="18205">
      <c r="A18205" s="3" t="inlineStr">
        <is>
          <t>2</t>
        </is>
      </c>
      <c r="B18205" s="3" t="inlineStr">
        <is>
          <t>Tukang pipa</t>
        </is>
      </c>
      <c r="C18205" s="3" t="inlineStr">
        <is>
          <t>OH</t>
        </is>
      </c>
      <c r="D18205" s="15" t="n">
        <v>0.015</v>
      </c>
      <c r="E18205" s="4" t="n">
        <v>145000</v>
      </c>
      <c r="F18205" s="4" t="n">
        <v>2175</v>
      </c>
    </row>
    <row r="18206">
      <c r="A18206" s="3" t="inlineStr">
        <is>
          <t>3</t>
        </is>
      </c>
      <c r="B18206" s="3" t="inlineStr">
        <is>
          <t>Mandor</t>
        </is>
      </c>
      <c r="C18206" s="3" t="inlineStr">
        <is>
          <t>OH</t>
        </is>
      </c>
      <c r="D18206" s="15" t="n">
        <v>0.003</v>
      </c>
      <c r="E18206" s="4" t="n">
        <v>200000</v>
      </c>
      <c r="F18206" s="4" t="n">
        <v>600</v>
      </c>
    </row>
    <row r="18207">
      <c r="A18207" s="3" t="inlineStr">
        <is>
          <t>saw"</t>
        </is>
      </c>
      <c r="B18207" s="3" t="inlineStr"/>
      <c r="C18207" s="3" t="inlineStr">
        <is>
          <t>hari</t>
        </is>
      </c>
      <c r="D18207" s="15" t="n">
        <v>0.003</v>
      </c>
      <c r="E18207" s="4" t="n">
        <v>35000</v>
      </c>
      <c r="F18207" s="4" t="n">
        <v>105</v>
      </c>
    </row>
    <row r="18208">
      <c r="D18208" s="2" t="inlineStr">
        <is>
          <t>SUBTOTAL UPAH</t>
        </is>
      </c>
      <c r="F18208" s="16" t="n">
        <v>5875</v>
      </c>
    </row>
    <row r="18209">
      <c r="D18209" s="2" t="inlineStr">
        <is>
          <t>SUBTOTAL BAHAN</t>
        </is>
      </c>
      <c r="F18209" s="16" t="n">
        <v>0</v>
      </c>
    </row>
    <row r="18210">
      <c r="D18210" s="2" t="inlineStr">
        <is>
          <t>SUBTOTAL ALAT</t>
        </is>
      </c>
      <c r="F18210" s="16" t="n">
        <v>105</v>
      </c>
    </row>
    <row r="18211">
      <c r="E18211" s="2" t="inlineStr">
        <is>
          <t>TOTAL HARGA SATUAN (Inc. Overhead)</t>
        </is>
      </c>
      <c r="F18211" s="17" t="n">
        <v>6578</v>
      </c>
    </row>
    <row r="18213">
      <c r="A18213" s="14" t="inlineStr">
        <is>
          <t>KODE: 9.1.2.5 - Pemotongan 1 Buah Pipa PVC, DN. 8" (200 mm)</t>
        </is>
      </c>
    </row>
    <row r="18214">
      <c r="A18214" s="10" t="inlineStr">
        <is>
          <t>No</t>
        </is>
      </c>
      <c r="B18214" s="10" t="inlineStr">
        <is>
          <t>Uraian Komponen</t>
        </is>
      </c>
      <c r="C18214" s="10" t="inlineStr">
        <is>
          <t>Satuan</t>
        </is>
      </c>
      <c r="D18214" s="10" t="inlineStr">
        <is>
          <t>Koef</t>
        </is>
      </c>
      <c r="E18214" s="10" t="inlineStr">
        <is>
          <t>Harga Satuan (Rp)</t>
        </is>
      </c>
      <c r="F18214" s="10" t="inlineStr">
        <is>
          <t>Jumlah Harga (Rp)</t>
        </is>
      </c>
    </row>
    <row r="18215">
      <c r="A18215" s="3" t="inlineStr">
        <is>
          <t>1</t>
        </is>
      </c>
      <c r="B18215" s="3" t="inlineStr">
        <is>
          <t>Pekerja</t>
        </is>
      </c>
      <c r="C18215" s="3" t="inlineStr">
        <is>
          <t>OH</t>
        </is>
      </c>
      <c r="D18215" s="15" t="n">
        <v>0.081</v>
      </c>
      <c r="E18215" s="4" t="n">
        <v>100000</v>
      </c>
      <c r="F18215" s="4" t="n">
        <v>8100</v>
      </c>
    </row>
    <row r="18216">
      <c r="A18216" s="3" t="inlineStr">
        <is>
          <t>2</t>
        </is>
      </c>
      <c r="B18216" s="3" t="inlineStr">
        <is>
          <t>Tukang pipa</t>
        </is>
      </c>
      <c r="C18216" s="3" t="inlineStr">
        <is>
          <t>OH</t>
        </is>
      </c>
      <c r="D18216" s="15" t="n">
        <v>0.04</v>
      </c>
      <c r="E18216" s="4" t="n">
        <v>145000</v>
      </c>
      <c r="F18216" s="4" t="n">
        <v>5800</v>
      </c>
    </row>
    <row r="18217">
      <c r="A18217" s="3" t="inlineStr">
        <is>
          <t>3</t>
        </is>
      </c>
      <c r="B18217" s="3" t="inlineStr">
        <is>
          <t>Mandor</t>
        </is>
      </c>
      <c r="C18217" s="3" t="inlineStr">
        <is>
          <t>OH</t>
        </is>
      </c>
      <c r="D18217" s="15" t="n">
        <v>0.008</v>
      </c>
      <c r="E18217" s="4" t="n">
        <v>200000</v>
      </c>
      <c r="F18217" s="4" t="n">
        <v>1600</v>
      </c>
    </row>
    <row r="18218">
      <c r="A18218" s="3" t="inlineStr">
        <is>
          <t>saw"</t>
        </is>
      </c>
      <c r="B18218" s="3" t="inlineStr"/>
      <c r="C18218" s="3" t="inlineStr">
        <is>
          <t>hari</t>
        </is>
      </c>
      <c r="D18218" s="15" t="n">
        <v>0.017</v>
      </c>
      <c r="E18218" s="4" t="n">
        <v>35000</v>
      </c>
      <c r="F18218" s="4" t="n">
        <v>595</v>
      </c>
    </row>
    <row r="18219">
      <c r="D18219" s="2" t="inlineStr">
        <is>
          <t>SUBTOTAL UPAH</t>
        </is>
      </c>
      <c r="F18219" s="16" t="n">
        <v>15500</v>
      </c>
    </row>
    <row r="18220">
      <c r="D18220" s="2" t="inlineStr">
        <is>
          <t>SUBTOTAL BAHAN</t>
        </is>
      </c>
      <c r="F18220" s="16" t="n">
        <v>0</v>
      </c>
    </row>
    <row r="18221">
      <c r="D18221" s="2" t="inlineStr">
        <is>
          <t>SUBTOTAL ALAT</t>
        </is>
      </c>
      <c r="F18221" s="16" t="n">
        <v>595</v>
      </c>
    </row>
    <row r="18222">
      <c r="E18222" s="2" t="inlineStr">
        <is>
          <t>TOTAL HARGA SATUAN (Inc. Overhead)</t>
        </is>
      </c>
      <c r="F18222" s="17" t="n">
        <v>17704</v>
      </c>
    </row>
    <row r="18224">
      <c r="A18224" s="14" t="inlineStr">
        <is>
          <t>KODE: 9.1.2.6 - Pemotongan 1 Buah Pipa PVC, DN. 10" (250 mm)</t>
        </is>
      </c>
    </row>
    <row r="18225">
      <c r="A18225" s="10" t="inlineStr">
        <is>
          <t>No</t>
        </is>
      </c>
      <c r="B18225" s="10" t="inlineStr">
        <is>
          <t>Uraian Komponen</t>
        </is>
      </c>
      <c r="C18225" s="10" t="inlineStr">
        <is>
          <t>Satuan</t>
        </is>
      </c>
      <c r="D18225" s="10" t="inlineStr">
        <is>
          <t>Koef</t>
        </is>
      </c>
      <c r="E18225" s="10" t="inlineStr">
        <is>
          <t>Harga Satuan (Rp)</t>
        </is>
      </c>
      <c r="F18225" s="10" t="inlineStr">
        <is>
          <t>Jumlah Harga (Rp)</t>
        </is>
      </c>
    </row>
    <row r="18226">
      <c r="A18226" s="3" t="inlineStr">
        <is>
          <t>1</t>
        </is>
      </c>
      <c r="B18226" s="3" t="inlineStr">
        <is>
          <t>Pekerja</t>
        </is>
      </c>
      <c r="C18226" s="3" t="inlineStr">
        <is>
          <t>OH</t>
        </is>
      </c>
      <c r="D18226" s="15" t="n">
        <v>0.128</v>
      </c>
      <c r="E18226" s="4" t="n">
        <v>100000</v>
      </c>
      <c r="F18226" s="4" t="n">
        <v>12800</v>
      </c>
    </row>
    <row r="18227">
      <c r="A18227" s="3" t="inlineStr">
        <is>
          <t>2</t>
        </is>
      </c>
      <c r="B18227" s="3" t="inlineStr">
        <is>
          <t>Tukang pipa</t>
        </is>
      </c>
      <c r="C18227" s="3" t="inlineStr">
        <is>
          <t>OH</t>
        </is>
      </c>
      <c r="D18227" s="15" t="n">
        <v>0.064</v>
      </c>
      <c r="E18227" s="4" t="n">
        <v>145000</v>
      </c>
      <c r="F18227" s="4" t="n">
        <v>9280</v>
      </c>
    </row>
    <row r="18228">
      <c r="A18228" s="3" t="inlineStr">
        <is>
          <t>3</t>
        </is>
      </c>
      <c r="B18228" s="3" t="inlineStr">
        <is>
          <t>Mandor</t>
        </is>
      </c>
      <c r="C18228" s="3" t="inlineStr">
        <is>
          <t>OH</t>
        </is>
      </c>
      <c r="D18228" s="15" t="n">
        <v>0.013</v>
      </c>
      <c r="E18228" s="4" t="n">
        <v>200000</v>
      </c>
      <c r="F18228" s="4" t="n">
        <v>2600</v>
      </c>
    </row>
    <row r="18229">
      <c r="A18229" s="3" t="inlineStr">
        <is>
          <t>saw"</t>
        </is>
      </c>
      <c r="B18229" s="3" t="inlineStr"/>
      <c r="C18229" s="3" t="inlineStr">
        <is>
          <t>hari</t>
        </is>
      </c>
      <c r="D18229" s="15" t="n">
        <v>0.03</v>
      </c>
      <c r="E18229" s="4" t="n">
        <v>35000</v>
      </c>
      <c r="F18229" s="4" t="n">
        <v>1050</v>
      </c>
    </row>
    <row r="18230">
      <c r="D18230" s="2" t="inlineStr">
        <is>
          <t>SUBTOTAL UPAH</t>
        </is>
      </c>
      <c r="F18230" s="16" t="n">
        <v>24680</v>
      </c>
    </row>
    <row r="18231">
      <c r="D18231" s="2" t="inlineStr">
        <is>
          <t>SUBTOTAL BAHAN</t>
        </is>
      </c>
      <c r="F18231" s="16" t="n">
        <v>0</v>
      </c>
    </row>
    <row r="18232">
      <c r="D18232" s="2" t="inlineStr">
        <is>
          <t>SUBTOTAL ALAT</t>
        </is>
      </c>
      <c r="F18232" s="16" t="n">
        <v>1050</v>
      </c>
    </row>
    <row r="18233">
      <c r="E18233" s="2" t="inlineStr">
        <is>
          <t>TOTAL HARGA SATUAN (Inc. Overhead)</t>
        </is>
      </c>
      <c r="F18233" s="17" t="n">
        <v>28303</v>
      </c>
    </row>
    <row r="18235">
      <c r="A18235" s="14" t="inlineStr">
        <is>
          <t>KODE: 9.1.2.7 - Pemotongan 1 Buah Pipa PVC, DN. 12" (300 mm)</t>
        </is>
      </c>
    </row>
    <row r="18236">
      <c r="A18236" s="10" t="inlineStr">
        <is>
          <t>No</t>
        </is>
      </c>
      <c r="B18236" s="10" t="inlineStr">
        <is>
          <t>Uraian Komponen</t>
        </is>
      </c>
      <c r="C18236" s="10" t="inlineStr">
        <is>
          <t>Satuan</t>
        </is>
      </c>
      <c r="D18236" s="10" t="inlineStr">
        <is>
          <t>Koef</t>
        </is>
      </c>
      <c r="E18236" s="10" t="inlineStr">
        <is>
          <t>Harga Satuan (Rp)</t>
        </is>
      </c>
      <c r="F18236" s="10" t="inlineStr">
        <is>
          <t>Jumlah Harga (Rp)</t>
        </is>
      </c>
    </row>
    <row r="18237">
      <c r="A18237" s="3" t="inlineStr">
        <is>
          <t>1</t>
        </is>
      </c>
      <c r="B18237" s="3" t="inlineStr">
        <is>
          <t>Pekerja</t>
        </is>
      </c>
      <c r="C18237" s="3" t="inlineStr">
        <is>
          <t>OH</t>
        </is>
      </c>
      <c r="D18237" s="15" t="n">
        <v>0.155</v>
      </c>
      <c r="E18237" s="4" t="n">
        <v>100000</v>
      </c>
      <c r="F18237" s="4" t="n">
        <v>15500</v>
      </c>
    </row>
    <row r="18238">
      <c r="A18238" s="3" t="inlineStr">
        <is>
          <t>2</t>
        </is>
      </c>
      <c r="B18238" s="3" t="inlineStr">
        <is>
          <t>Tukang pipa</t>
        </is>
      </c>
      <c r="C18238" s="3" t="inlineStr">
        <is>
          <t>OH</t>
        </is>
      </c>
      <c r="D18238" s="15" t="n">
        <v>0.077</v>
      </c>
      <c r="E18238" s="4" t="n">
        <v>145000</v>
      </c>
      <c r="F18238" s="4" t="n">
        <v>11165</v>
      </c>
    </row>
    <row r="18239">
      <c r="A18239" s="3" t="inlineStr">
        <is>
          <t>3</t>
        </is>
      </c>
      <c r="B18239" s="3" t="inlineStr">
        <is>
          <t>Mandor</t>
        </is>
      </c>
      <c r="C18239" s="3" t="inlineStr">
        <is>
          <t>OH</t>
        </is>
      </c>
      <c r="D18239" s="15" t="n">
        <v>0.015</v>
      </c>
      <c r="E18239" s="4" t="n">
        <v>200000</v>
      </c>
      <c r="F18239" s="4" t="n">
        <v>3000</v>
      </c>
    </row>
    <row r="18240">
      <c r="A18240" s="3" t="inlineStr">
        <is>
          <t>saw"</t>
        </is>
      </c>
      <c r="B18240" s="3" t="inlineStr"/>
      <c r="C18240" s="3" t="inlineStr">
        <is>
          <t>hari</t>
        </is>
      </c>
      <c r="D18240" s="15" t="n">
        <v>0.037</v>
      </c>
      <c r="E18240" s="4" t="n">
        <v>35000</v>
      </c>
      <c r="F18240" s="4" t="n">
        <v>1295</v>
      </c>
    </row>
    <row r="18241">
      <c r="D18241" s="2" t="inlineStr">
        <is>
          <t>SUBTOTAL UPAH</t>
        </is>
      </c>
      <c r="F18241" s="16" t="n">
        <v>29665</v>
      </c>
    </row>
    <row r="18242">
      <c r="D18242" s="2" t="inlineStr">
        <is>
          <t>SUBTOTAL BAHAN</t>
        </is>
      </c>
      <c r="F18242" s="16" t="n">
        <v>0</v>
      </c>
    </row>
    <row r="18243">
      <c r="D18243" s="2" t="inlineStr">
        <is>
          <t>SUBTOTAL ALAT</t>
        </is>
      </c>
      <c r="F18243" s="16" t="n">
        <v>1295</v>
      </c>
    </row>
    <row r="18244">
      <c r="E18244" s="2" t="inlineStr">
        <is>
          <t>TOTAL HARGA SATUAN (Inc. Overhead)</t>
        </is>
      </c>
      <c r="F18244" s="17" t="n">
        <v>34056</v>
      </c>
    </row>
    <row r="18246">
      <c r="A18246" s="14" t="inlineStr">
        <is>
          <t>KODE: 9.1.2.8 - Pemotongan 1 Buah Pipa PVC, DN. 16" (400 mm)</t>
        </is>
      </c>
    </row>
    <row r="18247">
      <c r="A18247" s="10" t="inlineStr">
        <is>
          <t>No</t>
        </is>
      </c>
      <c r="B18247" s="10" t="inlineStr">
        <is>
          <t>Uraian Komponen</t>
        </is>
      </c>
      <c r="C18247" s="10" t="inlineStr">
        <is>
          <t>Satuan</t>
        </is>
      </c>
      <c r="D18247" s="10" t="inlineStr">
        <is>
          <t>Koef</t>
        </is>
      </c>
      <c r="E18247" s="10" t="inlineStr">
        <is>
          <t>Harga Satuan (Rp)</t>
        </is>
      </c>
      <c r="F18247" s="10" t="inlineStr">
        <is>
          <t>Jumlah Harga (Rp)</t>
        </is>
      </c>
    </row>
    <row r="18248">
      <c r="A18248" s="3" t="inlineStr">
        <is>
          <t>1</t>
        </is>
      </c>
      <c r="B18248" s="3" t="inlineStr">
        <is>
          <t>Pekerja</t>
        </is>
      </c>
      <c r="C18248" s="3" t="inlineStr">
        <is>
          <t>OH</t>
        </is>
      </c>
      <c r="D18248" s="15" t="n">
        <v>0.331</v>
      </c>
      <c r="E18248" s="4" t="n">
        <v>100000</v>
      </c>
      <c r="F18248" s="4" t="n">
        <v>33100</v>
      </c>
    </row>
    <row r="18249">
      <c r="A18249" s="3" t="inlineStr">
        <is>
          <t>2</t>
        </is>
      </c>
      <c r="B18249" s="3" t="inlineStr">
        <is>
          <t>Tukang pipa</t>
        </is>
      </c>
      <c r="C18249" s="3" t="inlineStr">
        <is>
          <t>OH</t>
        </is>
      </c>
      <c r="D18249" s="15" t="n">
        <v>0.166</v>
      </c>
      <c r="E18249" s="4" t="n">
        <v>145000</v>
      </c>
      <c r="F18249" s="4" t="n">
        <v>24070</v>
      </c>
    </row>
    <row r="18250">
      <c r="A18250" s="3" t="inlineStr">
        <is>
          <t>3</t>
        </is>
      </c>
      <c r="B18250" s="3" t="inlineStr">
        <is>
          <t>Mandor</t>
        </is>
      </c>
      <c r="C18250" s="3" t="inlineStr">
        <is>
          <t>OH</t>
        </is>
      </c>
      <c r="D18250" s="15" t="n">
        <v>0.033</v>
      </c>
      <c r="E18250" s="4" t="n">
        <v>200000</v>
      </c>
      <c r="F18250" s="4" t="n">
        <v>6600</v>
      </c>
    </row>
    <row r="18251">
      <c r="A18251" s="3" t="inlineStr">
        <is>
          <t>saw"</t>
        </is>
      </c>
      <c r="B18251" s="3" t="inlineStr"/>
      <c r="C18251" s="3" t="inlineStr">
        <is>
          <t>hari</t>
        </is>
      </c>
      <c r="D18251" s="15" t="n">
        <v>0.048</v>
      </c>
      <c r="E18251" s="4" t="n">
        <v>35000</v>
      </c>
      <c r="F18251" s="4" t="n">
        <v>1680</v>
      </c>
    </row>
    <row r="18252">
      <c r="D18252" s="2" t="inlineStr">
        <is>
          <t>SUBTOTAL UPAH</t>
        </is>
      </c>
      <c r="F18252" s="16" t="n">
        <v>63770</v>
      </c>
    </row>
    <row r="18253">
      <c r="D18253" s="2" t="inlineStr">
        <is>
          <t>SUBTOTAL BAHAN</t>
        </is>
      </c>
      <c r="F18253" s="16" t="n">
        <v>0</v>
      </c>
    </row>
    <row r="18254">
      <c r="D18254" s="2" t="inlineStr">
        <is>
          <t>SUBTOTAL ALAT</t>
        </is>
      </c>
      <c r="F18254" s="16" t="n">
        <v>1680</v>
      </c>
    </row>
    <row r="18255">
      <c r="E18255" s="2" t="inlineStr">
        <is>
          <t>TOTAL HARGA SATUAN (Inc. Overhead)</t>
        </is>
      </c>
      <c r="F18255" s="17" t="n">
        <v>71995</v>
      </c>
    </row>
    <row r="18257">
      <c r="A18257" s="14" t="inlineStr">
        <is>
          <t>KODE: 9.1.2.9 - Pemotongan 1 Buah Pipa PVC, DN. 18" (450 mm)</t>
        </is>
      </c>
    </row>
    <row r="18258">
      <c r="A18258" s="10" t="inlineStr">
        <is>
          <t>No</t>
        </is>
      </c>
      <c r="B18258" s="10" t="inlineStr">
        <is>
          <t>Uraian Komponen</t>
        </is>
      </c>
      <c r="C18258" s="10" t="inlineStr">
        <is>
          <t>Satuan</t>
        </is>
      </c>
      <c r="D18258" s="10" t="inlineStr">
        <is>
          <t>Koef</t>
        </is>
      </c>
      <c r="E18258" s="10" t="inlineStr">
        <is>
          <t>Harga Satuan (Rp)</t>
        </is>
      </c>
      <c r="F18258" s="10" t="inlineStr">
        <is>
          <t>Jumlah Harga (Rp)</t>
        </is>
      </c>
    </row>
    <row r="18259">
      <c r="A18259" s="3" t="inlineStr">
        <is>
          <t>1</t>
        </is>
      </c>
      <c r="B18259" s="3" t="inlineStr">
        <is>
          <t>Pekerja</t>
        </is>
      </c>
      <c r="C18259" s="3" t="inlineStr">
        <is>
          <t>OH</t>
        </is>
      </c>
      <c r="D18259" s="15" t="n">
        <v>0.42</v>
      </c>
      <c r="E18259" s="4" t="n">
        <v>100000</v>
      </c>
      <c r="F18259" s="4" t="n">
        <v>42000</v>
      </c>
    </row>
    <row r="18260">
      <c r="A18260" s="3" t="inlineStr">
        <is>
          <t>2</t>
        </is>
      </c>
      <c r="B18260" s="3" t="inlineStr">
        <is>
          <t>Tukang pipa</t>
        </is>
      </c>
      <c r="C18260" s="3" t="inlineStr">
        <is>
          <t>OH</t>
        </is>
      </c>
      <c r="D18260" s="15" t="n">
        <v>0.21</v>
      </c>
      <c r="E18260" s="4" t="n">
        <v>145000</v>
      </c>
      <c r="F18260" s="4" t="n">
        <v>30450</v>
      </c>
    </row>
    <row r="18261">
      <c r="A18261" s="3" t="inlineStr">
        <is>
          <t>3</t>
        </is>
      </c>
      <c r="B18261" s="3" t="inlineStr">
        <is>
          <t>Mandor</t>
        </is>
      </c>
      <c r="C18261" s="3" t="inlineStr">
        <is>
          <t>OH</t>
        </is>
      </c>
      <c r="D18261" s="15" t="n">
        <v>0.042</v>
      </c>
      <c r="E18261" s="4" t="n">
        <v>200000</v>
      </c>
      <c r="F18261" s="4" t="n">
        <v>8400</v>
      </c>
    </row>
    <row r="18262">
      <c r="A18262" s="3" t="inlineStr">
        <is>
          <t>saw"</t>
        </is>
      </c>
      <c r="B18262" s="3" t="inlineStr"/>
      <c r="C18262" s="3" t="inlineStr">
        <is>
          <t>hari</t>
        </is>
      </c>
      <c r="D18262" s="15" t="n">
        <v>0.054</v>
      </c>
      <c r="E18262" s="4" t="n">
        <v>35000</v>
      </c>
      <c r="F18262" s="4" t="n">
        <v>1890</v>
      </c>
    </row>
    <row r="18263">
      <c r="D18263" s="2" t="inlineStr">
        <is>
          <t>SUBTOTAL UPAH</t>
        </is>
      </c>
      <c r="F18263" s="16" t="n">
        <v>80850</v>
      </c>
    </row>
    <row r="18264">
      <c r="D18264" s="2" t="inlineStr">
        <is>
          <t>SUBTOTAL BAHAN</t>
        </is>
      </c>
      <c r="F18264" s="16" t="n">
        <v>0</v>
      </c>
    </row>
    <row r="18265">
      <c r="D18265" s="2" t="inlineStr">
        <is>
          <t>SUBTOTAL ALAT</t>
        </is>
      </c>
      <c r="F18265" s="16" t="n">
        <v>1890</v>
      </c>
    </row>
    <row r="18266">
      <c r="E18266" s="2" t="inlineStr">
        <is>
          <t>TOTAL HARGA SATUAN (Inc. Overhead)</t>
        </is>
      </c>
      <c r="F18266" s="17" t="n">
        <v>91014</v>
      </c>
    </row>
    <row r="18268">
      <c r="A18268" s="14" t="inlineStr">
        <is>
          <t>KODE: 9.1.2.10 - Pemotongan 1 Buah Pipa PVC, DN. 20" (500 mm)</t>
        </is>
      </c>
    </row>
    <row r="18269">
      <c r="A18269" s="10" t="inlineStr">
        <is>
          <t>No</t>
        </is>
      </c>
      <c r="B18269" s="10" t="inlineStr">
        <is>
          <t>Uraian Komponen</t>
        </is>
      </c>
      <c r="C18269" s="10" t="inlineStr">
        <is>
          <t>Satuan</t>
        </is>
      </c>
      <c r="D18269" s="10" t="inlineStr">
        <is>
          <t>Koef</t>
        </is>
      </c>
      <c r="E18269" s="10" t="inlineStr">
        <is>
          <t>Harga Satuan (Rp)</t>
        </is>
      </c>
      <c r="F18269" s="10" t="inlineStr">
        <is>
          <t>Jumlah Harga (Rp)</t>
        </is>
      </c>
    </row>
    <row r="18270">
      <c r="A18270" s="3" t="inlineStr">
        <is>
          <t>1</t>
        </is>
      </c>
      <c r="B18270" s="3" t="inlineStr">
        <is>
          <t>Pekerja</t>
        </is>
      </c>
      <c r="C18270" s="3" t="inlineStr">
        <is>
          <t>OH</t>
        </is>
      </c>
      <c r="D18270" s="15" t="n">
        <v>0.518</v>
      </c>
      <c r="E18270" s="4" t="n">
        <v>100000</v>
      </c>
      <c r="F18270" s="4" t="n">
        <v>51800</v>
      </c>
    </row>
    <row r="18271">
      <c r="A18271" s="3" t="inlineStr">
        <is>
          <t>2</t>
        </is>
      </c>
      <c r="B18271" s="3" t="inlineStr">
        <is>
          <t>Tukang pipa</t>
        </is>
      </c>
      <c r="C18271" s="3" t="inlineStr">
        <is>
          <t>OH</t>
        </is>
      </c>
      <c r="D18271" s="15" t="n">
        <v>0.259</v>
      </c>
      <c r="E18271" s="4" t="n">
        <v>145000</v>
      </c>
      <c r="F18271" s="4" t="n">
        <v>37555</v>
      </c>
    </row>
    <row r="18272">
      <c r="A18272" s="3" t="inlineStr">
        <is>
          <t>3</t>
        </is>
      </c>
      <c r="B18272" s="3" t="inlineStr">
        <is>
          <t>Mandor</t>
        </is>
      </c>
      <c r="C18272" s="3" t="inlineStr">
        <is>
          <t>OH</t>
        </is>
      </c>
      <c r="D18272" s="15" t="n">
        <v>0.052</v>
      </c>
      <c r="E18272" s="4" t="n">
        <v>200000</v>
      </c>
      <c r="F18272" s="4" t="n">
        <v>10400</v>
      </c>
    </row>
    <row r="18273">
      <c r="A18273" s="3" t="inlineStr">
        <is>
          <t>saw"</t>
        </is>
      </c>
      <c r="B18273" s="3" t="inlineStr"/>
      <c r="C18273" s="3" t="inlineStr">
        <is>
          <t>hari</t>
        </is>
      </c>
      <c r="D18273" s="15" t="n">
        <v>0.06900000000000001</v>
      </c>
      <c r="E18273" s="4" t="n">
        <v>35000</v>
      </c>
      <c r="F18273" s="4" t="n">
        <v>2415</v>
      </c>
    </row>
    <row r="18274">
      <c r="D18274" s="2" t="inlineStr">
        <is>
          <t>SUBTOTAL UPAH</t>
        </is>
      </c>
      <c r="F18274" s="16" t="n">
        <v>99755</v>
      </c>
    </row>
    <row r="18275">
      <c r="D18275" s="2" t="inlineStr">
        <is>
          <t>SUBTOTAL BAHAN</t>
        </is>
      </c>
      <c r="F18275" s="16" t="n">
        <v>0</v>
      </c>
    </row>
    <row r="18276">
      <c r="D18276" s="2" t="inlineStr">
        <is>
          <t>SUBTOTAL ALAT</t>
        </is>
      </c>
      <c r="F18276" s="16" t="n">
        <v>2415</v>
      </c>
    </row>
    <row r="18277">
      <c r="E18277" s="2" t="inlineStr">
        <is>
          <t>TOTAL HARGA SATUAN (Inc. Overhead)</t>
        </is>
      </c>
      <c r="F18277" s="17" t="n">
        <v>112387</v>
      </c>
    </row>
    <row r="18279">
      <c r="A18279" s="14" t="inlineStr">
        <is>
          <t>KODE: 9.1.2.11 - Pemotongan 1 Buah Pipa PVC, DN. 24" (600 mm)</t>
        </is>
      </c>
    </row>
    <row r="18280">
      <c r="A18280" s="10" t="inlineStr">
        <is>
          <t>No</t>
        </is>
      </c>
      <c r="B18280" s="10" t="inlineStr">
        <is>
          <t>Uraian Komponen</t>
        </is>
      </c>
      <c r="C18280" s="10" t="inlineStr">
        <is>
          <t>Satuan</t>
        </is>
      </c>
      <c r="D18280" s="10" t="inlineStr">
        <is>
          <t>Koef</t>
        </is>
      </c>
      <c r="E18280" s="10" t="inlineStr">
        <is>
          <t>Harga Satuan (Rp)</t>
        </is>
      </c>
      <c r="F18280" s="10" t="inlineStr">
        <is>
          <t>Jumlah Harga (Rp)</t>
        </is>
      </c>
    </row>
    <row r="18281">
      <c r="A18281" s="3" t="inlineStr">
        <is>
          <t>1</t>
        </is>
      </c>
      <c r="B18281" s="3" t="inlineStr">
        <is>
          <t>Pekerja</t>
        </is>
      </c>
      <c r="C18281" s="3" t="inlineStr">
        <is>
          <t>OH</t>
        </is>
      </c>
      <c r="D18281" s="15" t="n">
        <v>0.623</v>
      </c>
      <c r="E18281" s="4" t="n">
        <v>100000</v>
      </c>
      <c r="F18281" s="4" t="n">
        <v>62300</v>
      </c>
    </row>
    <row r="18282">
      <c r="A18282" s="3" t="inlineStr">
        <is>
          <t>2</t>
        </is>
      </c>
      <c r="B18282" s="3" t="inlineStr">
        <is>
          <t>Tukang pipa</t>
        </is>
      </c>
      <c r="C18282" s="3" t="inlineStr">
        <is>
          <t>OH</t>
        </is>
      </c>
      <c r="D18282" s="15" t="n">
        <v>0.311</v>
      </c>
      <c r="E18282" s="4" t="n">
        <v>145000</v>
      </c>
      <c r="F18282" s="4" t="n">
        <v>45095</v>
      </c>
    </row>
    <row r="18283">
      <c r="A18283" s="3" t="inlineStr">
        <is>
          <t>3</t>
        </is>
      </c>
      <c r="B18283" s="3" t="inlineStr">
        <is>
          <t>Mandor</t>
        </is>
      </c>
      <c r="C18283" s="3" t="inlineStr">
        <is>
          <t>OH</t>
        </is>
      </c>
      <c r="D18283" s="15" t="n">
        <v>0.062</v>
      </c>
      <c r="E18283" s="4" t="n">
        <v>200000</v>
      </c>
      <c r="F18283" s="4" t="n">
        <v>12400</v>
      </c>
    </row>
    <row r="18284">
      <c r="A18284" s="3" t="inlineStr">
        <is>
          <t>saw"</t>
        </is>
      </c>
      <c r="B18284" s="3" t="inlineStr"/>
      <c r="C18284" s="3" t="inlineStr">
        <is>
          <t>hari</t>
        </is>
      </c>
      <c r="D18284" s="15" t="n">
        <v>0.08599999999999999</v>
      </c>
      <c r="E18284" s="4" t="n">
        <v>35000</v>
      </c>
      <c r="F18284" s="4" t="n">
        <v>3010</v>
      </c>
    </row>
    <row r="18285">
      <c r="D18285" s="2" t="inlineStr">
        <is>
          <t>SUBTOTAL UPAH</t>
        </is>
      </c>
      <c r="F18285" s="16" t="n">
        <v>119795</v>
      </c>
    </row>
    <row r="18286">
      <c r="D18286" s="2" t="inlineStr">
        <is>
          <t>SUBTOTAL BAHAN</t>
        </is>
      </c>
      <c r="F18286" s="16" t="n">
        <v>0</v>
      </c>
    </row>
    <row r="18287">
      <c r="D18287" s="2" t="inlineStr">
        <is>
          <t>SUBTOTAL ALAT</t>
        </is>
      </c>
      <c r="F18287" s="16" t="n">
        <v>3010</v>
      </c>
    </row>
    <row r="18288">
      <c r="E18288" s="2" t="inlineStr">
        <is>
          <t>TOTAL HARGA SATUAN (Inc. Overhead)</t>
        </is>
      </c>
      <c r="F18288" s="17" t="n">
        <v>135085</v>
      </c>
    </row>
    <row r="18290">
      <c r="A18290" s="14" t="inlineStr">
        <is>
          <t>KODE: 9.1.2.12 - Pemotongan 1 Buah Pipa PVC, DN. 32" (800 mm)</t>
        </is>
      </c>
    </row>
    <row r="18291">
      <c r="A18291" s="10" t="inlineStr">
        <is>
          <t>No</t>
        </is>
      </c>
      <c r="B18291" s="10" t="inlineStr">
        <is>
          <t>Uraian Komponen</t>
        </is>
      </c>
      <c r="C18291" s="10" t="inlineStr">
        <is>
          <t>Satuan</t>
        </is>
      </c>
      <c r="D18291" s="10" t="inlineStr">
        <is>
          <t>Koef</t>
        </is>
      </c>
      <c r="E18291" s="10" t="inlineStr">
        <is>
          <t>Harga Satuan (Rp)</t>
        </is>
      </c>
      <c r="F18291" s="10" t="inlineStr">
        <is>
          <t>Jumlah Harga (Rp)</t>
        </is>
      </c>
    </row>
    <row r="18292">
      <c r="A18292" s="3" t="inlineStr">
        <is>
          <t>1</t>
        </is>
      </c>
      <c r="B18292" s="3" t="inlineStr">
        <is>
          <t>Pekerja</t>
        </is>
      </c>
      <c r="C18292" s="3" t="inlineStr">
        <is>
          <t>OH</t>
        </is>
      </c>
      <c r="D18292" s="15" t="n">
        <v>1.089</v>
      </c>
      <c r="E18292" s="4" t="n">
        <v>100000</v>
      </c>
      <c r="F18292" s="4" t="n">
        <v>108900</v>
      </c>
    </row>
    <row r="18293">
      <c r="A18293" s="3" t="inlineStr">
        <is>
          <t>2</t>
        </is>
      </c>
      <c r="B18293" s="3" t="inlineStr">
        <is>
          <t>Tukang pipa</t>
        </is>
      </c>
      <c r="C18293" s="3" t="inlineStr">
        <is>
          <t>OH</t>
        </is>
      </c>
      <c r="D18293" s="15" t="n">
        <v>0.545</v>
      </c>
      <c r="E18293" s="4" t="n">
        <v>145000</v>
      </c>
      <c r="F18293" s="4" t="n">
        <v>79025</v>
      </c>
    </row>
    <row r="18294">
      <c r="A18294" s="3" t="inlineStr">
        <is>
          <t>3</t>
        </is>
      </c>
      <c r="B18294" s="3" t="inlineStr">
        <is>
          <t>Mandor</t>
        </is>
      </c>
      <c r="C18294" s="3" t="inlineStr">
        <is>
          <t>OH</t>
        </is>
      </c>
      <c r="D18294" s="15" t="n">
        <v>0.109</v>
      </c>
      <c r="E18294" s="4" t="n">
        <v>200000</v>
      </c>
      <c r="F18294" s="4" t="n">
        <v>21800</v>
      </c>
    </row>
    <row r="18295">
      <c r="A18295" s="3" t="inlineStr">
        <is>
          <t>saw"</t>
        </is>
      </c>
      <c r="B18295" s="3" t="inlineStr"/>
      <c r="C18295" s="3" t="inlineStr">
        <is>
          <t>hari</t>
        </is>
      </c>
      <c r="D18295" s="15" t="n">
        <v>0.16</v>
      </c>
      <c r="E18295" s="4" t="n">
        <v>35000</v>
      </c>
      <c r="F18295" s="4" t="n">
        <v>5600</v>
      </c>
    </row>
    <row r="18296">
      <c r="D18296" s="2" t="inlineStr">
        <is>
          <t>SUBTOTAL UPAH</t>
        </is>
      </c>
      <c r="F18296" s="16" t="n">
        <v>209725</v>
      </c>
    </row>
    <row r="18297">
      <c r="D18297" s="2" t="inlineStr">
        <is>
          <t>SUBTOTAL BAHAN</t>
        </is>
      </c>
      <c r="F18297" s="16" t="n">
        <v>0</v>
      </c>
    </row>
    <row r="18298">
      <c r="D18298" s="2" t="inlineStr">
        <is>
          <t>SUBTOTAL ALAT</t>
        </is>
      </c>
      <c r="F18298" s="16" t="n">
        <v>5600</v>
      </c>
    </row>
    <row r="18299">
      <c r="E18299" s="2" t="inlineStr">
        <is>
          <t>TOTAL HARGA SATUAN (Inc. Overhead)</t>
        </is>
      </c>
      <c r="F18299" s="17" t="n">
        <v>236857</v>
      </c>
    </row>
    <row r="18301">
      <c r="A18301" s="14" t="inlineStr">
        <is>
          <t>KODE: 9.1.2.13 - Pemotongan 1 Buah Pipa PVC, DN. 36" (900 mm)</t>
        </is>
      </c>
    </row>
    <row r="18302">
      <c r="A18302" s="10" t="inlineStr">
        <is>
          <t>No</t>
        </is>
      </c>
      <c r="B18302" s="10" t="inlineStr">
        <is>
          <t>Uraian Komponen</t>
        </is>
      </c>
      <c r="C18302" s="10" t="inlineStr">
        <is>
          <t>Satuan</t>
        </is>
      </c>
      <c r="D18302" s="10" t="inlineStr">
        <is>
          <t>Koef</t>
        </is>
      </c>
      <c r="E18302" s="10" t="inlineStr">
        <is>
          <t>Harga Satuan (Rp)</t>
        </is>
      </c>
      <c r="F18302" s="10" t="inlineStr">
        <is>
          <t>Jumlah Harga (Rp)</t>
        </is>
      </c>
    </row>
    <row r="18303">
      <c r="A18303" s="3" t="inlineStr">
        <is>
          <t>1</t>
        </is>
      </c>
      <c r="B18303" s="3" t="inlineStr">
        <is>
          <t>Pekerja</t>
        </is>
      </c>
      <c r="C18303" s="3" t="inlineStr">
        <is>
          <t>OH</t>
        </is>
      </c>
      <c r="D18303" s="15" t="n">
        <v>1.141</v>
      </c>
      <c r="E18303" s="4" t="n">
        <v>100000</v>
      </c>
      <c r="F18303" s="4" t="n">
        <v>114100</v>
      </c>
    </row>
    <row r="18304">
      <c r="A18304" s="3" t="inlineStr">
        <is>
          <t>2</t>
        </is>
      </c>
      <c r="B18304" s="3" t="inlineStr">
        <is>
          <t>Tukang pipa</t>
        </is>
      </c>
      <c r="C18304" s="3" t="inlineStr">
        <is>
          <t>OH</t>
        </is>
      </c>
      <c r="D18304" s="15" t="n">
        <v>0.571</v>
      </c>
      <c r="E18304" s="4" t="n">
        <v>145000</v>
      </c>
      <c r="F18304" s="4" t="n">
        <v>82795</v>
      </c>
    </row>
    <row r="18305">
      <c r="A18305" s="3" t="inlineStr">
        <is>
          <t>3</t>
        </is>
      </c>
      <c r="B18305" s="3" t="inlineStr">
        <is>
          <t>Mandor</t>
        </is>
      </c>
      <c r="C18305" s="3" t="inlineStr">
        <is>
          <t>OH</t>
        </is>
      </c>
      <c r="D18305" s="15" t="n">
        <v>0.114</v>
      </c>
      <c r="E18305" s="4" t="n">
        <v>200000</v>
      </c>
      <c r="F18305" s="4" t="n">
        <v>22800</v>
      </c>
    </row>
    <row r="18306">
      <c r="A18306" s="3" t="inlineStr">
        <is>
          <t>saw"</t>
        </is>
      </c>
      <c r="B18306" s="3" t="inlineStr"/>
      <c r="C18306" s="3" t="inlineStr">
        <is>
          <t>hari</t>
        </is>
      </c>
      <c r="D18306" s="15" t="n">
        <v>0.168</v>
      </c>
      <c r="E18306" s="4" t="n">
        <v>35000</v>
      </c>
      <c r="F18306" s="4" t="n">
        <v>5880</v>
      </c>
    </row>
    <row r="18307">
      <c r="D18307" s="2" t="inlineStr">
        <is>
          <t>SUBTOTAL UPAH</t>
        </is>
      </c>
      <c r="F18307" s="16" t="n">
        <v>219695</v>
      </c>
    </row>
    <row r="18308">
      <c r="D18308" s="2" t="inlineStr">
        <is>
          <t>SUBTOTAL BAHAN</t>
        </is>
      </c>
      <c r="F18308" s="16" t="n">
        <v>0</v>
      </c>
    </row>
    <row r="18309">
      <c r="D18309" s="2" t="inlineStr">
        <is>
          <t>SUBTOTAL ALAT</t>
        </is>
      </c>
      <c r="F18309" s="16" t="n">
        <v>5880</v>
      </c>
    </row>
    <row r="18310">
      <c r="E18310" s="2" t="inlineStr">
        <is>
          <t>TOTAL HARGA SATUAN (Inc. Overhead)</t>
        </is>
      </c>
      <c r="F18310" s="17" t="n">
        <v>248132</v>
      </c>
    </row>
    <row r="18312">
      <c r="A18312" s="14" t="inlineStr">
        <is>
          <t>KODE: 9.1.2.14 - Pemotongan 1 Buah Pipa PVC, DN. 40" (1000 mm)</t>
        </is>
      </c>
    </row>
    <row r="18313">
      <c r="A18313" s="10" t="inlineStr">
        <is>
          <t>No</t>
        </is>
      </c>
      <c r="B18313" s="10" t="inlineStr">
        <is>
          <t>Uraian Komponen</t>
        </is>
      </c>
      <c r="C18313" s="10" t="inlineStr">
        <is>
          <t>Satuan</t>
        </is>
      </c>
      <c r="D18313" s="10" t="inlineStr">
        <is>
          <t>Koef</t>
        </is>
      </c>
      <c r="E18313" s="10" t="inlineStr">
        <is>
          <t>Harga Satuan (Rp)</t>
        </is>
      </c>
      <c r="F18313" s="10" t="inlineStr">
        <is>
          <t>Jumlah Harga (Rp)</t>
        </is>
      </c>
    </row>
    <row r="18314">
      <c r="A18314" s="3" t="inlineStr">
        <is>
          <t>1</t>
        </is>
      </c>
      <c r="B18314" s="3" t="inlineStr">
        <is>
          <t>Pekerja</t>
        </is>
      </c>
      <c r="C18314" s="3" t="inlineStr">
        <is>
          <t>OH</t>
        </is>
      </c>
      <c r="D18314" s="15" t="n">
        <v>1.285</v>
      </c>
      <c r="E18314" s="4" t="n">
        <v>100000</v>
      </c>
      <c r="F18314" s="4" t="n">
        <v>128500</v>
      </c>
    </row>
    <row r="18315">
      <c r="A18315" s="3" t="inlineStr">
        <is>
          <t>2</t>
        </is>
      </c>
      <c r="B18315" s="3" t="inlineStr">
        <is>
          <t>Tukang pipa</t>
        </is>
      </c>
      <c r="C18315" s="3" t="inlineStr">
        <is>
          <t>OH</t>
        </is>
      </c>
      <c r="D18315" s="15" t="n">
        <v>0.643</v>
      </c>
      <c r="E18315" s="4" t="n">
        <v>145000</v>
      </c>
      <c r="F18315" s="4" t="n">
        <v>93235</v>
      </c>
    </row>
    <row r="18316">
      <c r="A18316" s="3" t="inlineStr">
        <is>
          <t>3</t>
        </is>
      </c>
      <c r="B18316" s="3" t="inlineStr">
        <is>
          <t>Mandor</t>
        </is>
      </c>
      <c r="C18316" s="3" t="inlineStr">
        <is>
          <t>OH</t>
        </is>
      </c>
      <c r="D18316" s="15" t="n">
        <v>0.129</v>
      </c>
      <c r="E18316" s="4" t="n">
        <v>200000</v>
      </c>
      <c r="F18316" s="4" t="n">
        <v>25800</v>
      </c>
    </row>
    <row r="18317">
      <c r="A18317" s="3" t="inlineStr">
        <is>
          <t>saw"</t>
        </is>
      </c>
      <c r="B18317" s="3" t="inlineStr"/>
      <c r="C18317" s="3" t="inlineStr">
        <is>
          <t>hari</t>
        </is>
      </c>
      <c r="D18317" s="15" t="n">
        <v>0.191</v>
      </c>
      <c r="E18317" s="4" t="n">
        <v>35000</v>
      </c>
      <c r="F18317" s="4" t="n">
        <v>6685</v>
      </c>
    </row>
    <row r="18318">
      <c r="D18318" s="2" t="inlineStr">
        <is>
          <t>SUBTOTAL UPAH</t>
        </is>
      </c>
      <c r="F18318" s="16" t="n">
        <v>247535</v>
      </c>
    </row>
    <row r="18319">
      <c r="D18319" s="2" t="inlineStr">
        <is>
          <t>SUBTOTAL BAHAN</t>
        </is>
      </c>
      <c r="F18319" s="16" t="n">
        <v>0</v>
      </c>
    </row>
    <row r="18320">
      <c r="D18320" s="2" t="inlineStr">
        <is>
          <t>SUBTOTAL ALAT</t>
        </is>
      </c>
      <c r="F18320" s="16" t="n">
        <v>6685</v>
      </c>
    </row>
    <row r="18321">
      <c r="E18321" s="2" t="inlineStr">
        <is>
          <t>TOTAL HARGA SATUAN (Inc. Overhead)</t>
        </is>
      </c>
      <c r="F18321" s="17" t="n">
        <v>279642</v>
      </c>
    </row>
    <row r="18323">
      <c r="A18323" s="14" t="inlineStr">
        <is>
          <t>KODE: 9.1.2.15 - Pemotongan 1 Buah Pipa PVC, DN. 44" (1100 mm)</t>
        </is>
      </c>
    </row>
    <row r="18324">
      <c r="A18324" s="10" t="inlineStr">
        <is>
          <t>No</t>
        </is>
      </c>
      <c r="B18324" s="10" t="inlineStr">
        <is>
          <t>Uraian Komponen</t>
        </is>
      </c>
      <c r="C18324" s="10" t="inlineStr">
        <is>
          <t>Satuan</t>
        </is>
      </c>
      <c r="D18324" s="10" t="inlineStr">
        <is>
          <t>Koef</t>
        </is>
      </c>
      <c r="E18324" s="10" t="inlineStr">
        <is>
          <t>Harga Satuan (Rp)</t>
        </is>
      </c>
      <c r="F18324" s="10" t="inlineStr">
        <is>
          <t>Jumlah Harga (Rp)</t>
        </is>
      </c>
    </row>
    <row r="18325">
      <c r="A18325" s="3" t="inlineStr">
        <is>
          <t>1</t>
        </is>
      </c>
      <c r="B18325" s="3" t="inlineStr">
        <is>
          <t>Pekerja</t>
        </is>
      </c>
      <c r="C18325" s="3" t="inlineStr">
        <is>
          <t>OH</t>
        </is>
      </c>
      <c r="D18325" s="15" t="n">
        <v>1.429</v>
      </c>
      <c r="E18325" s="4" t="n">
        <v>100000</v>
      </c>
      <c r="F18325" s="4" t="n">
        <v>142900</v>
      </c>
    </row>
    <row r="18326">
      <c r="A18326" s="3" t="inlineStr">
        <is>
          <t>2</t>
        </is>
      </c>
      <c r="B18326" s="3" t="inlineStr">
        <is>
          <t>Tukang pipa</t>
        </is>
      </c>
      <c r="C18326" s="3" t="inlineStr">
        <is>
          <t>OH</t>
        </is>
      </c>
      <c r="D18326" s="15" t="n">
        <v>0.715</v>
      </c>
      <c r="E18326" s="4" t="n">
        <v>145000</v>
      </c>
      <c r="F18326" s="4" t="n">
        <v>103675</v>
      </c>
    </row>
    <row r="18327">
      <c r="A18327" s="3" t="inlineStr">
        <is>
          <t>3</t>
        </is>
      </c>
      <c r="B18327" s="3" t="inlineStr">
        <is>
          <t>Mandor</t>
        </is>
      </c>
      <c r="C18327" s="3" t="inlineStr">
        <is>
          <t>OH</t>
        </is>
      </c>
      <c r="D18327" s="15" t="n">
        <v>0.143</v>
      </c>
      <c r="E18327" s="4" t="n">
        <v>200000</v>
      </c>
      <c r="F18327" s="4" t="n">
        <v>28600</v>
      </c>
    </row>
    <row r="18328">
      <c r="A18328" s="3" t="inlineStr">
        <is>
          <t>saw"</t>
        </is>
      </c>
      <c r="B18328" s="3" t="inlineStr"/>
      <c r="C18328" s="3" t="inlineStr">
        <is>
          <t>hari</t>
        </is>
      </c>
      <c r="D18328" s="15" t="n">
        <v>0.213</v>
      </c>
      <c r="E18328" s="4" t="n">
        <v>35000</v>
      </c>
      <c r="F18328" s="4" t="n">
        <v>7455</v>
      </c>
    </row>
    <row r="18329">
      <c r="D18329" s="2" t="inlineStr">
        <is>
          <t>SUBTOTAL UPAH</t>
        </is>
      </c>
      <c r="F18329" s="16" t="n">
        <v>275175</v>
      </c>
    </row>
    <row r="18330">
      <c r="D18330" s="2" t="inlineStr">
        <is>
          <t>SUBTOTAL BAHAN</t>
        </is>
      </c>
      <c r="F18330" s="16" t="n">
        <v>0</v>
      </c>
    </row>
    <row r="18331">
      <c r="D18331" s="2" t="inlineStr">
        <is>
          <t>SUBTOTAL ALAT</t>
        </is>
      </c>
      <c r="F18331" s="16" t="n">
        <v>7455</v>
      </c>
    </row>
    <row r="18332">
      <c r="E18332" s="2" t="inlineStr">
        <is>
          <t>TOTAL HARGA SATUAN (Inc. Overhead)</t>
        </is>
      </c>
      <c r="F18332" s="17" t="n">
        <v>310893</v>
      </c>
    </row>
    <row r="18334">
      <c r="A18334" s="14" t="inlineStr">
        <is>
          <t>KODE: 9.1.2.16 - Pemotongan 1 Buah Pipa PVC, DN. 48" (1200 mm)</t>
        </is>
      </c>
    </row>
    <row r="18335">
      <c r="A18335" s="10" t="inlineStr">
        <is>
          <t>No</t>
        </is>
      </c>
      <c r="B18335" s="10" t="inlineStr">
        <is>
          <t>Uraian Komponen</t>
        </is>
      </c>
      <c r="C18335" s="10" t="inlineStr">
        <is>
          <t>Satuan</t>
        </is>
      </c>
      <c r="D18335" s="10" t="inlineStr">
        <is>
          <t>Koef</t>
        </is>
      </c>
      <c r="E18335" s="10" t="inlineStr">
        <is>
          <t>Harga Satuan (Rp)</t>
        </is>
      </c>
      <c r="F18335" s="10" t="inlineStr">
        <is>
          <t>Jumlah Harga (Rp)</t>
        </is>
      </c>
    </row>
    <row r="18336">
      <c r="A18336" s="3" t="inlineStr">
        <is>
          <t>1</t>
        </is>
      </c>
      <c r="B18336" s="3" t="inlineStr">
        <is>
          <t>Pekerja</t>
        </is>
      </c>
      <c r="C18336" s="3" t="inlineStr">
        <is>
          <t>OH</t>
        </is>
      </c>
      <c r="D18336" s="15" t="n">
        <v>1.573</v>
      </c>
      <c r="E18336" s="4" t="n">
        <v>100000</v>
      </c>
      <c r="F18336" s="4" t="n">
        <v>157300</v>
      </c>
    </row>
    <row r="18337">
      <c r="A18337" s="3" t="inlineStr">
        <is>
          <t>2</t>
        </is>
      </c>
      <c r="B18337" s="3" t="inlineStr">
        <is>
          <t>Tukang pipa</t>
        </is>
      </c>
      <c r="C18337" s="3" t="inlineStr">
        <is>
          <t>OH</t>
        </is>
      </c>
      <c r="D18337" s="15" t="n">
        <v>0.787</v>
      </c>
      <c r="E18337" s="4" t="n">
        <v>145000</v>
      </c>
      <c r="F18337" s="4" t="n">
        <v>114115</v>
      </c>
    </row>
    <row r="18338">
      <c r="A18338" s="3" t="inlineStr">
        <is>
          <t>3</t>
        </is>
      </c>
      <c r="B18338" s="3" t="inlineStr">
        <is>
          <t>Mandor</t>
        </is>
      </c>
      <c r="C18338" s="3" t="inlineStr">
        <is>
          <t>OH</t>
        </is>
      </c>
      <c r="D18338" s="15" t="n">
        <v>0.157</v>
      </c>
      <c r="E18338" s="4" t="n">
        <v>200000</v>
      </c>
      <c r="F18338" s="4" t="n">
        <v>31400</v>
      </c>
    </row>
    <row r="18339">
      <c r="A18339" s="3" t="inlineStr">
        <is>
          <t>saw"</t>
        </is>
      </c>
      <c r="B18339" s="3" t="inlineStr"/>
      <c r="C18339" s="3" t="inlineStr">
        <is>
          <t>hari</t>
        </is>
      </c>
      <c r="D18339" s="15" t="n">
        <v>0.236</v>
      </c>
      <c r="E18339" s="4" t="n">
        <v>35000</v>
      </c>
      <c r="F18339" s="4" t="n">
        <v>8260</v>
      </c>
    </row>
    <row r="18340">
      <c r="D18340" s="2" t="inlineStr">
        <is>
          <t>SUBTOTAL UPAH</t>
        </is>
      </c>
      <c r="F18340" s="16" t="n">
        <v>302815</v>
      </c>
    </row>
    <row r="18341">
      <c r="D18341" s="2" t="inlineStr">
        <is>
          <t>SUBTOTAL BAHAN</t>
        </is>
      </c>
      <c r="F18341" s="16" t="n">
        <v>0</v>
      </c>
    </row>
    <row r="18342">
      <c r="D18342" s="2" t="inlineStr">
        <is>
          <t>SUBTOTAL ALAT</t>
        </is>
      </c>
      <c r="F18342" s="16" t="n">
        <v>8260</v>
      </c>
    </row>
    <row r="18343">
      <c r="E18343" s="2" t="inlineStr">
        <is>
          <t>TOTAL HARGA SATUAN (Inc. Overhead)</t>
        </is>
      </c>
      <c r="F18343" s="17" t="n">
        <v>342182</v>
      </c>
    </row>
    <row r="18345">
      <c r="A18345" s="14" t="inlineStr">
        <is>
          <t>KODE: 9.2.1.1 - Pemasangan 1 m Pipa Galvanis, DN. 2-1/2" (65 mm)</t>
        </is>
      </c>
    </row>
    <row r="18346">
      <c r="A18346" s="10" t="inlineStr">
        <is>
          <t>No</t>
        </is>
      </c>
      <c r="B18346" s="10" t="inlineStr">
        <is>
          <t>Uraian Komponen</t>
        </is>
      </c>
      <c r="C18346" s="10" t="inlineStr">
        <is>
          <t>Satuan</t>
        </is>
      </c>
      <c r="D18346" s="10" t="inlineStr">
        <is>
          <t>Koef</t>
        </is>
      </c>
      <c r="E18346" s="10" t="inlineStr">
        <is>
          <t>Harga Satuan (Rp)</t>
        </is>
      </c>
      <c r="F18346" s="10" t="inlineStr">
        <is>
          <t>Jumlah Harga (Rp)</t>
        </is>
      </c>
    </row>
    <row r="18347">
      <c r="A18347" s="3" t="inlineStr">
        <is>
          <t>1</t>
        </is>
      </c>
      <c r="B18347" s="3" t="inlineStr">
        <is>
          <t>Pekerja</t>
        </is>
      </c>
      <c r="C18347" s="3" t="inlineStr">
        <is>
          <t>OH</t>
        </is>
      </c>
      <c r="D18347" s="15" t="n">
        <v>0.345</v>
      </c>
      <c r="E18347" s="4" t="n">
        <v>100000</v>
      </c>
      <c r="F18347" s="4" t="n">
        <v>34500</v>
      </c>
    </row>
    <row r="18348">
      <c r="A18348" s="3" t="inlineStr">
        <is>
          <t>2</t>
        </is>
      </c>
      <c r="B18348" s="3" t="inlineStr">
        <is>
          <t>Tukang pipa</t>
        </is>
      </c>
      <c r="C18348" s="3" t="inlineStr">
        <is>
          <t>OH</t>
        </is>
      </c>
      <c r="D18348" s="15" t="n">
        <v>0.172</v>
      </c>
      <c r="E18348" s="4" t="n">
        <v>145000</v>
      </c>
      <c r="F18348" s="4" t="n">
        <v>24940</v>
      </c>
    </row>
    <row r="18349">
      <c r="A18349" s="3" t="inlineStr">
        <is>
          <t>3</t>
        </is>
      </c>
      <c r="B18349" s="3" t="inlineStr">
        <is>
          <t>Mandor</t>
        </is>
      </c>
      <c r="C18349" s="3" t="inlineStr">
        <is>
          <t>OH</t>
        </is>
      </c>
      <c r="D18349" s="15" t="n">
        <v>0.034</v>
      </c>
      <c r="E18349" s="4" t="n">
        <v>200000</v>
      </c>
      <c r="F18349" s="4" t="n">
        <v>6800.000000000001</v>
      </c>
    </row>
    <row r="18350">
      <c r="A18350" s="3" t="n">
        <v>1</v>
      </c>
      <c r="B18350" s="3" t="inlineStr">
        <is>
          <t>"Pipa Galvanis</t>
        </is>
      </c>
      <c r="C18350" s="3" t="inlineStr">
        <is>
          <t>DN. 2-</t>
        </is>
      </c>
    </row>
    <row r="18351">
      <c r="A18351" s="3" t="inlineStr">
        <is>
          <t>1/2"" (65 mm)"</t>
        </is>
      </c>
      <c r="B18351" s="3" t="inlineStr"/>
      <c r="C18351" s="3" t="inlineStr">
        <is>
          <t>m</t>
        </is>
      </c>
      <c r="D18351" s="15" t="n">
        <v>1</v>
      </c>
      <c r="E18351" s="4" t="n">
        <v>185000</v>
      </c>
      <c r="F18351" s="4" t="n">
        <v>185000</v>
      </c>
    </row>
    <row r="18352">
      <c r="A18352" s="3" t="inlineStr">
        <is>
          <t>1</t>
        </is>
      </c>
      <c r="B18352" s="3" t="inlineStr">
        <is>
          <t>Sewa Tripot</t>
        </is>
      </c>
      <c r="C18352" s="3" t="inlineStr">
        <is>
          <t>hari</t>
        </is>
      </c>
      <c r="D18352" s="15" t="n">
        <v>0.019</v>
      </c>
      <c r="E18352" s="4" t="n">
        <v>108000</v>
      </c>
      <c r="F18352" s="4" t="n">
        <v>2052</v>
      </c>
    </row>
    <row r="18353">
      <c r="D18353" s="2" t="inlineStr">
        <is>
          <t>SUBTOTAL UPAH</t>
        </is>
      </c>
      <c r="F18353" s="16" t="n">
        <v>66240</v>
      </c>
    </row>
    <row r="18354">
      <c r="D18354" s="2" t="inlineStr">
        <is>
          <t>SUBTOTAL BAHAN</t>
        </is>
      </c>
      <c r="F18354" s="16" t="n">
        <v>185000</v>
      </c>
    </row>
    <row r="18355">
      <c r="D18355" s="2" t="inlineStr">
        <is>
          <t>SUBTOTAL ALAT</t>
        </is>
      </c>
      <c r="F18355" s="16" t="n">
        <v>2052</v>
      </c>
    </row>
    <row r="18356">
      <c r="E18356" s="2" t="inlineStr">
        <is>
          <t>TOTAL HARGA SATUAN (Inc. Overhead)</t>
        </is>
      </c>
      <c r="F18356" s="17" t="n">
        <v>278621</v>
      </c>
    </row>
    <row r="18358">
      <c r="A18358" s="14" t="inlineStr">
        <is>
          <t>KODE: 9.2.1.2 - Pemasangan 1 m Pipa Galvanis, DN. 4" (100 mm)</t>
        </is>
      </c>
    </row>
    <row r="18359">
      <c r="A18359" s="10" t="inlineStr">
        <is>
          <t>No</t>
        </is>
      </c>
      <c r="B18359" s="10" t="inlineStr">
        <is>
          <t>Uraian Komponen</t>
        </is>
      </c>
      <c r="C18359" s="10" t="inlineStr">
        <is>
          <t>Satuan</t>
        </is>
      </c>
      <c r="D18359" s="10" t="inlineStr">
        <is>
          <t>Koef</t>
        </is>
      </c>
      <c r="E18359" s="10" t="inlineStr">
        <is>
          <t>Harga Satuan (Rp)</t>
        </is>
      </c>
      <c r="F18359" s="10" t="inlineStr">
        <is>
          <t>Jumlah Harga (Rp)</t>
        </is>
      </c>
    </row>
    <row r="18360">
      <c r="A18360" s="3" t="inlineStr">
        <is>
          <t>1</t>
        </is>
      </c>
      <c r="B18360" s="3" t="inlineStr">
        <is>
          <t>Pekerja</t>
        </is>
      </c>
      <c r="C18360" s="3" t="inlineStr">
        <is>
          <t>OH</t>
        </is>
      </c>
      <c r="D18360" s="15" t="n">
        <v>0.4</v>
      </c>
      <c r="E18360" s="4" t="n">
        <v>100000</v>
      </c>
      <c r="F18360" s="4" t="n">
        <v>40000</v>
      </c>
    </row>
    <row r="18361">
      <c r="A18361" s="3" t="inlineStr">
        <is>
          <t>2</t>
        </is>
      </c>
      <c r="B18361" s="3" t="inlineStr">
        <is>
          <t>Tukang pipa</t>
        </is>
      </c>
      <c r="C18361" s="3" t="inlineStr">
        <is>
          <t>OH</t>
        </is>
      </c>
      <c r="D18361" s="15" t="n">
        <v>0.2</v>
      </c>
      <c r="E18361" s="4" t="n">
        <v>145000</v>
      </c>
      <c r="F18361" s="4" t="n">
        <v>29000</v>
      </c>
    </row>
    <row r="18362">
      <c r="A18362" s="3" t="inlineStr">
        <is>
          <t>3</t>
        </is>
      </c>
      <c r="B18362" s="3" t="inlineStr">
        <is>
          <t>Mandor</t>
        </is>
      </c>
      <c r="C18362" s="3" t="inlineStr">
        <is>
          <t>OH</t>
        </is>
      </c>
      <c r="D18362" s="15" t="n">
        <v>0.04</v>
      </c>
      <c r="E18362" s="4" t="n">
        <v>200000</v>
      </c>
      <c r="F18362" s="4" t="n">
        <v>8000</v>
      </c>
    </row>
    <row r="18363">
      <c r="A18363" s="3" t="n">
        <v>1</v>
      </c>
      <c r="B18363" s="3" t="inlineStr">
        <is>
          <t>"Pipa Galvanis</t>
        </is>
      </c>
      <c r="C18363" s="3" t="inlineStr">
        <is>
          <t>DN. 4""</t>
        </is>
      </c>
    </row>
    <row r="18364">
      <c r="A18364" s="3" t="inlineStr">
        <is>
          <t>(100 mm)"</t>
        </is>
      </c>
      <c r="B18364" s="3" t="inlineStr"/>
      <c r="C18364" s="3" t="inlineStr">
        <is>
          <t>m</t>
        </is>
      </c>
      <c r="D18364" s="15" t="n">
        <v>1</v>
      </c>
      <c r="E18364" s="4" t="n">
        <v>310000</v>
      </c>
      <c r="F18364" s="4" t="n">
        <v>310000</v>
      </c>
    </row>
    <row r="18365">
      <c r="A18365" s="3" t="inlineStr">
        <is>
          <t>1</t>
        </is>
      </c>
      <c r="B18365" s="3" t="inlineStr">
        <is>
          <t>Sewa Tripot</t>
        </is>
      </c>
      <c r="C18365" s="3" t="inlineStr">
        <is>
          <t>hari</t>
        </is>
      </c>
      <c r="D18365" s="15" t="n">
        <v>0.019</v>
      </c>
      <c r="E18365" s="4" t="n">
        <v>108000</v>
      </c>
      <c r="F18365" s="4" t="n">
        <v>2052</v>
      </c>
    </row>
    <row r="18366">
      <c r="D18366" s="2" t="inlineStr">
        <is>
          <t>SUBTOTAL UPAH</t>
        </is>
      </c>
      <c r="F18366" s="16" t="n">
        <v>77000</v>
      </c>
    </row>
    <row r="18367">
      <c r="D18367" s="2" t="inlineStr">
        <is>
          <t>SUBTOTAL BAHAN</t>
        </is>
      </c>
      <c r="F18367" s="16" t="n">
        <v>310000</v>
      </c>
    </row>
    <row r="18368">
      <c r="D18368" s="2" t="inlineStr">
        <is>
          <t>SUBTOTAL ALAT</t>
        </is>
      </c>
      <c r="F18368" s="16" t="n">
        <v>2052</v>
      </c>
    </row>
    <row r="18369">
      <c r="E18369" s="2" t="inlineStr">
        <is>
          <t>TOTAL HARGA SATUAN (Inc. Overhead)</t>
        </is>
      </c>
      <c r="F18369" s="17" t="n">
        <v>427957</v>
      </c>
    </row>
    <row r="18371">
      <c r="A18371" s="14" t="inlineStr">
        <is>
          <t>KODE: 9.2.1.3 - Pemasangan 1 m Pipa Galvanis, DN. 5" (125 mm)</t>
        </is>
      </c>
    </row>
    <row r="18372">
      <c r="A18372" s="10" t="inlineStr">
        <is>
          <t>No</t>
        </is>
      </c>
      <c r="B18372" s="10" t="inlineStr">
        <is>
          <t>Uraian Komponen</t>
        </is>
      </c>
      <c r="C18372" s="10" t="inlineStr">
        <is>
          <t>Satuan</t>
        </is>
      </c>
      <c r="D18372" s="10" t="inlineStr">
        <is>
          <t>Koef</t>
        </is>
      </c>
      <c r="E18372" s="10" t="inlineStr">
        <is>
          <t>Harga Satuan (Rp)</t>
        </is>
      </c>
      <c r="F18372" s="10" t="inlineStr">
        <is>
          <t>Jumlah Harga (Rp)</t>
        </is>
      </c>
    </row>
    <row r="18373">
      <c r="A18373" s="3" t="inlineStr">
        <is>
          <t>1</t>
        </is>
      </c>
      <c r="B18373" s="3" t="inlineStr">
        <is>
          <t>Pekerja</t>
        </is>
      </c>
      <c r="C18373" s="3" t="inlineStr">
        <is>
          <t>OH</t>
        </is>
      </c>
      <c r="D18373" s="15" t="n">
        <v>0.448</v>
      </c>
      <c r="E18373" s="4" t="n">
        <v>100000</v>
      </c>
      <c r="F18373" s="4" t="n">
        <v>44800</v>
      </c>
    </row>
    <row r="18374">
      <c r="A18374" s="3" t="inlineStr">
        <is>
          <t>2</t>
        </is>
      </c>
      <c r="B18374" s="3" t="inlineStr">
        <is>
          <t>Tukang pipa</t>
        </is>
      </c>
      <c r="C18374" s="3" t="inlineStr">
        <is>
          <t>OH</t>
        </is>
      </c>
      <c r="D18374" s="15" t="n">
        <v>0.224</v>
      </c>
      <c r="E18374" s="4" t="n">
        <v>145000</v>
      </c>
      <c r="F18374" s="4" t="n">
        <v>32480</v>
      </c>
    </row>
    <row r="18375">
      <c r="A18375" s="3" t="inlineStr">
        <is>
          <t>3</t>
        </is>
      </c>
      <c r="B18375" s="3" t="inlineStr">
        <is>
          <t>Mandor</t>
        </is>
      </c>
      <c r="C18375" s="3" t="inlineStr">
        <is>
          <t>OH</t>
        </is>
      </c>
      <c r="D18375" s="15" t="n">
        <v>0.045</v>
      </c>
      <c r="E18375" s="4" t="n">
        <v>200000</v>
      </c>
      <c r="F18375" s="4" t="n">
        <v>9000</v>
      </c>
    </row>
    <row r="18376">
      <c r="A18376" s="3" t="n">
        <v>1</v>
      </c>
      <c r="B18376" s="3" t="inlineStr">
        <is>
          <t>"Pipa Galvanis</t>
        </is>
      </c>
      <c r="C18376" s="3" t="inlineStr">
        <is>
          <t>DN. 5""</t>
        </is>
      </c>
    </row>
    <row r="18377">
      <c r="A18377" s="3" t="inlineStr">
        <is>
          <t>(125 mm)"</t>
        </is>
      </c>
      <c r="B18377" s="3" t="inlineStr"/>
      <c r="C18377" s="3" t="inlineStr">
        <is>
          <t>m</t>
        </is>
      </c>
      <c r="D18377" s="15" t="n">
        <v>1</v>
      </c>
      <c r="E18377" s="4" t="n">
        <v>436000</v>
      </c>
      <c r="F18377" s="4" t="n">
        <v>436000</v>
      </c>
    </row>
    <row r="18378">
      <c r="A18378" s="3" t="inlineStr">
        <is>
          <t>1</t>
        </is>
      </c>
      <c r="B18378" s="3" t="inlineStr">
        <is>
          <t>Sewa Tripot</t>
        </is>
      </c>
      <c r="C18378" s="3" t="inlineStr">
        <is>
          <t>hari</t>
        </is>
      </c>
      <c r="D18378" s="15" t="n">
        <v>0.019</v>
      </c>
      <c r="E18378" s="4" t="n">
        <v>108000</v>
      </c>
      <c r="F18378" s="4" t="n">
        <v>2052</v>
      </c>
    </row>
    <row r="18379">
      <c r="D18379" s="2" t="inlineStr">
        <is>
          <t>SUBTOTAL UPAH</t>
        </is>
      </c>
      <c r="F18379" s="16" t="n">
        <v>86280</v>
      </c>
    </row>
    <row r="18380">
      <c r="D18380" s="2" t="inlineStr">
        <is>
          <t>SUBTOTAL BAHAN</t>
        </is>
      </c>
      <c r="F18380" s="16" t="n">
        <v>436000</v>
      </c>
    </row>
    <row r="18381">
      <c r="D18381" s="2" t="inlineStr">
        <is>
          <t>SUBTOTAL ALAT</t>
        </is>
      </c>
      <c r="F18381" s="16" t="n">
        <v>2052</v>
      </c>
    </row>
    <row r="18382">
      <c r="E18382" s="2" t="inlineStr">
        <is>
          <t>TOTAL HARGA SATUAN (Inc. Overhead)</t>
        </is>
      </c>
      <c r="F18382" s="17" t="n">
        <v>576765</v>
      </c>
    </row>
    <row r="18384">
      <c r="A18384" s="14" t="inlineStr">
        <is>
          <t>KODE: 9.2.1.4 - Pemasangan 1 m Pipa Galvanis, DN. 6" (150 mm)</t>
        </is>
      </c>
    </row>
    <row r="18385">
      <c r="A18385" s="10" t="inlineStr">
        <is>
          <t>No</t>
        </is>
      </c>
      <c r="B18385" s="10" t="inlineStr">
        <is>
          <t>Uraian Komponen</t>
        </is>
      </c>
      <c r="C18385" s="10" t="inlineStr">
        <is>
          <t>Satuan</t>
        </is>
      </c>
      <c r="D18385" s="10" t="inlineStr">
        <is>
          <t>Koef</t>
        </is>
      </c>
      <c r="E18385" s="10" t="inlineStr">
        <is>
          <t>Harga Satuan (Rp)</t>
        </is>
      </c>
      <c r="F18385" s="10" t="inlineStr">
        <is>
          <t>Jumlah Harga (Rp)</t>
        </is>
      </c>
    </row>
    <row r="18386">
      <c r="A18386" s="3" t="inlineStr">
        <is>
          <t>1</t>
        </is>
      </c>
      <c r="B18386" s="3" t="inlineStr">
        <is>
          <t>Pekerja</t>
        </is>
      </c>
      <c r="C18386" s="3" t="inlineStr">
        <is>
          <t>OH</t>
        </is>
      </c>
      <c r="D18386" s="15" t="n">
        <v>0.506</v>
      </c>
      <c r="E18386" s="4" t="n">
        <v>100000</v>
      </c>
      <c r="F18386" s="4" t="n">
        <v>50600</v>
      </c>
    </row>
    <row r="18387">
      <c r="A18387" s="3" t="inlineStr">
        <is>
          <t>2</t>
        </is>
      </c>
      <c r="B18387" s="3" t="inlineStr">
        <is>
          <t>Tukang pipa</t>
        </is>
      </c>
      <c r="C18387" s="3" t="inlineStr">
        <is>
          <t>OH</t>
        </is>
      </c>
      <c r="D18387" s="15" t="n">
        <v>0.253</v>
      </c>
      <c r="E18387" s="4" t="n">
        <v>145000</v>
      </c>
      <c r="F18387" s="4" t="n">
        <v>36685</v>
      </c>
    </row>
    <row r="18388">
      <c r="A18388" s="3" t="inlineStr">
        <is>
          <t>3</t>
        </is>
      </c>
      <c r="B18388" s="3" t="inlineStr">
        <is>
          <t>Mandor</t>
        </is>
      </c>
      <c r="C18388" s="3" t="inlineStr">
        <is>
          <t>OH</t>
        </is>
      </c>
      <c r="D18388" s="15" t="n">
        <v>0.051</v>
      </c>
      <c r="E18388" s="4" t="n">
        <v>200000</v>
      </c>
      <c r="F18388" s="4" t="n">
        <v>10200</v>
      </c>
    </row>
    <row r="18389">
      <c r="A18389" s="3" t="n">
        <v>1</v>
      </c>
      <c r="B18389" s="3" t="inlineStr">
        <is>
          <t>"Pipa Galvanis</t>
        </is>
      </c>
      <c r="C18389" s="3" t="inlineStr">
        <is>
          <t>DN. 6""</t>
        </is>
      </c>
    </row>
    <row r="18390">
      <c r="A18390" s="3" t="inlineStr">
        <is>
          <t>(150 mm)"</t>
        </is>
      </c>
      <c r="B18390" s="3" t="inlineStr"/>
      <c r="C18390" s="3" t="inlineStr">
        <is>
          <t>m</t>
        </is>
      </c>
      <c r="D18390" s="15" t="n">
        <v>1</v>
      </c>
      <c r="E18390" s="4" t="n">
        <v>396000</v>
      </c>
      <c r="F18390" s="4" t="n">
        <v>396000</v>
      </c>
    </row>
    <row r="18391">
      <c r="A18391" s="3" t="inlineStr">
        <is>
          <t>1</t>
        </is>
      </c>
      <c r="B18391" s="3" t="inlineStr">
        <is>
          <t>Sewa Tripot</t>
        </is>
      </c>
      <c r="C18391" s="3" t="inlineStr">
        <is>
          <t>hari</t>
        </is>
      </c>
      <c r="D18391" s="15" t="n">
        <v>0.019</v>
      </c>
      <c r="E18391" s="4" t="n">
        <v>108000</v>
      </c>
      <c r="F18391" s="4" t="n">
        <v>2052</v>
      </c>
    </row>
    <row r="18392">
      <c r="D18392" s="2" t="inlineStr">
        <is>
          <t>SUBTOTAL UPAH</t>
        </is>
      </c>
      <c r="F18392" s="16" t="n">
        <v>97485</v>
      </c>
    </row>
    <row r="18393">
      <c r="D18393" s="2" t="inlineStr">
        <is>
          <t>SUBTOTAL BAHAN</t>
        </is>
      </c>
      <c r="F18393" s="16" t="n">
        <v>396000</v>
      </c>
    </row>
    <row r="18394">
      <c r="D18394" s="2" t="inlineStr">
        <is>
          <t>SUBTOTAL ALAT</t>
        </is>
      </c>
      <c r="F18394" s="16" t="n">
        <v>2052</v>
      </c>
    </row>
    <row r="18395">
      <c r="E18395" s="2" t="inlineStr">
        <is>
          <t>TOTAL HARGA SATUAN (Inc. Overhead)</t>
        </is>
      </c>
      <c r="F18395" s="17" t="n">
        <v>545090</v>
      </c>
    </row>
    <row r="18397">
      <c r="A18397" s="14" t="inlineStr">
        <is>
          <t>KODE: 9.2.1.5 - Pemasangan 1 m Pipa Galvanis, DN. 8" (200 mm)</t>
        </is>
      </c>
    </row>
    <row r="18398">
      <c r="A18398" s="10" t="inlineStr">
        <is>
          <t>No</t>
        </is>
      </c>
      <c r="B18398" s="10" t="inlineStr">
        <is>
          <t>Uraian Komponen</t>
        </is>
      </c>
      <c r="C18398" s="10" t="inlineStr">
        <is>
          <t>Satuan</t>
        </is>
      </c>
      <c r="D18398" s="10" t="inlineStr">
        <is>
          <t>Koef</t>
        </is>
      </c>
      <c r="E18398" s="10" t="inlineStr">
        <is>
          <t>Harga Satuan (Rp)</t>
        </is>
      </c>
      <c r="F18398" s="10" t="inlineStr">
        <is>
          <t>Jumlah Harga (Rp)</t>
        </is>
      </c>
    </row>
    <row r="18399">
      <c r="A18399" s="3" t="inlineStr">
        <is>
          <t>1</t>
        </is>
      </c>
      <c r="B18399" s="3" t="inlineStr">
        <is>
          <t>Pekerja</t>
        </is>
      </c>
      <c r="C18399" s="3" t="inlineStr">
        <is>
          <t>OH</t>
        </is>
      </c>
      <c r="D18399" s="15" t="n">
        <v>0.796</v>
      </c>
      <c r="E18399" s="4" t="n">
        <v>100000</v>
      </c>
      <c r="F18399" s="4" t="n">
        <v>79600</v>
      </c>
    </row>
    <row r="18400">
      <c r="A18400" s="3" t="inlineStr">
        <is>
          <t>2</t>
        </is>
      </c>
      <c r="B18400" s="3" t="inlineStr">
        <is>
          <t>Tukang pipa</t>
        </is>
      </c>
      <c r="C18400" s="3" t="inlineStr">
        <is>
          <t>OH</t>
        </is>
      </c>
      <c r="D18400" s="15" t="n">
        <v>0.398</v>
      </c>
      <c r="E18400" s="4" t="n">
        <v>145000</v>
      </c>
      <c r="F18400" s="4" t="n">
        <v>57710</v>
      </c>
    </row>
    <row r="18401">
      <c r="A18401" s="3" t="inlineStr">
        <is>
          <t>3</t>
        </is>
      </c>
      <c r="B18401" s="3" t="inlineStr">
        <is>
          <t>Mandor</t>
        </is>
      </c>
      <c r="C18401" s="3" t="inlineStr">
        <is>
          <t>OH</t>
        </is>
      </c>
      <c r="D18401" s="15" t="n">
        <v>0.08</v>
      </c>
      <c r="E18401" s="4" t="n">
        <v>200000</v>
      </c>
      <c r="F18401" s="4" t="n">
        <v>16000</v>
      </c>
    </row>
    <row r="18402">
      <c r="A18402" s="3" t="n">
        <v>1</v>
      </c>
      <c r="B18402" s="3" t="inlineStr">
        <is>
          <t>"Pipa Galvanis</t>
        </is>
      </c>
      <c r="C18402" s="3" t="inlineStr">
        <is>
          <t>DN. 8""</t>
        </is>
      </c>
    </row>
    <row r="18403">
      <c r="A18403" s="3" t="inlineStr">
        <is>
          <t>(200 mm)"</t>
        </is>
      </c>
      <c r="B18403" s="3" t="inlineStr"/>
      <c r="C18403" s="3" t="inlineStr">
        <is>
          <t>m</t>
        </is>
      </c>
      <c r="D18403" s="15" t="n">
        <v>1</v>
      </c>
      <c r="E18403" s="4" t="n">
        <v>418000</v>
      </c>
      <c r="F18403" s="4" t="n">
        <v>418000</v>
      </c>
    </row>
    <row r="18404">
      <c r="A18404" s="3" t="inlineStr">
        <is>
          <t>1</t>
        </is>
      </c>
      <c r="B18404" s="3" t="inlineStr">
        <is>
          <t>Sewa Tripot</t>
        </is>
      </c>
      <c r="C18404" s="3" t="inlineStr">
        <is>
          <t>hari</t>
        </is>
      </c>
      <c r="D18404" s="15" t="n">
        <v>0.019</v>
      </c>
      <c r="E18404" s="4" t="n">
        <v>108000</v>
      </c>
      <c r="F18404" s="4" t="n">
        <v>2052</v>
      </c>
    </row>
    <row r="18405">
      <c r="D18405" s="2" t="inlineStr">
        <is>
          <t>SUBTOTAL UPAH</t>
        </is>
      </c>
      <c r="F18405" s="16" t="n">
        <v>153310</v>
      </c>
    </row>
    <row r="18406">
      <c r="D18406" s="2" t="inlineStr">
        <is>
          <t>SUBTOTAL BAHAN</t>
        </is>
      </c>
      <c r="F18406" s="16" t="n">
        <v>418000</v>
      </c>
    </row>
    <row r="18407">
      <c r="D18407" s="2" t="inlineStr">
        <is>
          <t>SUBTOTAL ALAT</t>
        </is>
      </c>
      <c r="F18407" s="16" t="n">
        <v>2052</v>
      </c>
    </row>
    <row r="18408">
      <c r="E18408" s="2" t="inlineStr">
        <is>
          <t>TOTAL HARGA SATUAN (Inc. Overhead)</t>
        </is>
      </c>
      <c r="F18408" s="17" t="n">
        <v>630698</v>
      </c>
    </row>
    <row r="18410">
      <c r="A18410" s="14" t="inlineStr">
        <is>
          <t>KODE: 9.2.1.6 - Pemasangan 1 m Pipa Galvanis, DN.10" (250 mm)</t>
        </is>
      </c>
    </row>
    <row r="18411">
      <c r="A18411" s="10" t="inlineStr">
        <is>
          <t>No</t>
        </is>
      </c>
      <c r="B18411" s="10" t="inlineStr">
        <is>
          <t>Uraian Komponen</t>
        </is>
      </c>
      <c r="C18411" s="10" t="inlineStr">
        <is>
          <t>Satuan</t>
        </is>
      </c>
      <c r="D18411" s="10" t="inlineStr">
        <is>
          <t>Koef</t>
        </is>
      </c>
      <c r="E18411" s="10" t="inlineStr">
        <is>
          <t>Harga Satuan (Rp)</t>
        </is>
      </c>
      <c r="F18411" s="10" t="inlineStr">
        <is>
          <t>Jumlah Harga (Rp)</t>
        </is>
      </c>
    </row>
    <row r="18412">
      <c r="A18412" s="3" t="inlineStr">
        <is>
          <t>1</t>
        </is>
      </c>
      <c r="B18412" s="3" t="inlineStr">
        <is>
          <t>Pekerja</t>
        </is>
      </c>
      <c r="C18412" s="3" t="inlineStr">
        <is>
          <t>OH</t>
        </is>
      </c>
      <c r="D18412" s="15" t="n">
        <v>0.949</v>
      </c>
      <c r="E18412" s="4" t="n">
        <v>100000</v>
      </c>
      <c r="F18412" s="4" t="n">
        <v>94900</v>
      </c>
    </row>
    <row r="18413">
      <c r="A18413" s="3" t="inlineStr">
        <is>
          <t>2</t>
        </is>
      </c>
      <c r="B18413" s="3" t="inlineStr">
        <is>
          <t>Tukang pipa</t>
        </is>
      </c>
      <c r="C18413" s="3" t="inlineStr">
        <is>
          <t>OH</t>
        </is>
      </c>
      <c r="D18413" s="15" t="n">
        <v>0.475</v>
      </c>
      <c r="E18413" s="4" t="n">
        <v>145000</v>
      </c>
      <c r="F18413" s="4" t="n">
        <v>68875</v>
      </c>
    </row>
    <row r="18414">
      <c r="A18414" s="3" t="inlineStr">
        <is>
          <t>3</t>
        </is>
      </c>
      <c r="B18414" s="3" t="inlineStr">
        <is>
          <t>Mandor</t>
        </is>
      </c>
      <c r="C18414" s="3" t="inlineStr">
        <is>
          <t>OH</t>
        </is>
      </c>
      <c r="D18414" s="15" t="n">
        <v>0.095</v>
      </c>
      <c r="E18414" s="4" t="n">
        <v>200000</v>
      </c>
      <c r="F18414" s="4" t="n">
        <v>19000</v>
      </c>
    </row>
    <row r="18415">
      <c r="A18415" s="3" t="inlineStr">
        <is>
          <t>DN.10"" (250 mm)"</t>
        </is>
      </c>
      <c r="B18415" s="3" t="inlineStr"/>
      <c r="C18415" s="3" t="inlineStr">
        <is>
          <t>m</t>
        </is>
      </c>
      <c r="D18415" s="15" t="n">
        <v>1</v>
      </c>
      <c r="E18415" s="4" t="n">
        <v>468000</v>
      </c>
      <c r="F18415" s="4" t="n">
        <v>468000</v>
      </c>
    </row>
    <row r="18416">
      <c r="A18416" s="3" t="inlineStr">
        <is>
          <t>1</t>
        </is>
      </c>
      <c r="B18416" s="3" t="inlineStr">
        <is>
          <t>Sewa Tripot</t>
        </is>
      </c>
      <c r="C18416" s="3" t="inlineStr">
        <is>
          <t>hari</t>
        </is>
      </c>
      <c r="D18416" s="15" t="n">
        <v>0.042</v>
      </c>
      <c r="E18416" s="4" t="n">
        <v>108000</v>
      </c>
      <c r="F18416" s="4" t="n">
        <v>4536</v>
      </c>
    </row>
    <row r="18417">
      <c r="D18417" s="2" t="inlineStr">
        <is>
          <t>SUBTOTAL UPAH</t>
        </is>
      </c>
      <c r="F18417" s="16" t="n">
        <v>182775</v>
      </c>
    </row>
    <row r="18418">
      <c r="D18418" s="2" t="inlineStr">
        <is>
          <t>SUBTOTAL BAHAN</t>
        </is>
      </c>
      <c r="F18418" s="16" t="n">
        <v>468000</v>
      </c>
    </row>
    <row r="18419">
      <c r="D18419" s="2" t="inlineStr">
        <is>
          <t>SUBTOTAL ALAT</t>
        </is>
      </c>
      <c r="F18419" s="16" t="n">
        <v>4536</v>
      </c>
    </row>
    <row r="18420">
      <c r="E18420" s="2" t="inlineStr">
        <is>
          <t>TOTAL HARGA SATUAN (Inc. Overhead)</t>
        </is>
      </c>
      <c r="F18420" s="17" t="n">
        <v>720842</v>
      </c>
    </row>
    <row r="18422">
      <c r="A18422" s="14" t="inlineStr">
        <is>
          <t>KODE: 9.2.1.7 - Pemasangan 1 m Pipa Galvanis, DN. 12" (300 mm)</t>
        </is>
      </c>
    </row>
    <row r="18423">
      <c r="A18423" s="10" t="inlineStr">
        <is>
          <t>No</t>
        </is>
      </c>
      <c r="B18423" s="10" t="inlineStr">
        <is>
          <t>Uraian Komponen</t>
        </is>
      </c>
      <c r="C18423" s="10" t="inlineStr">
        <is>
          <t>Satuan</t>
        </is>
      </c>
      <c r="D18423" s="10" t="inlineStr">
        <is>
          <t>Koef</t>
        </is>
      </c>
      <c r="E18423" s="10" t="inlineStr">
        <is>
          <t>Harga Satuan (Rp)</t>
        </is>
      </c>
      <c r="F18423" s="10" t="inlineStr">
        <is>
          <t>Jumlah Harga (Rp)</t>
        </is>
      </c>
    </row>
    <row r="18424">
      <c r="A18424" s="3" t="inlineStr">
        <is>
          <t>1</t>
        </is>
      </c>
      <c r="B18424" s="3" t="inlineStr">
        <is>
          <t>Pekerja</t>
        </is>
      </c>
      <c r="C18424" s="3" t="inlineStr">
        <is>
          <t>OH</t>
        </is>
      </c>
      <c r="D18424" s="15" t="n">
        <v>0.958</v>
      </c>
      <c r="E18424" s="4" t="n">
        <v>100000</v>
      </c>
      <c r="F18424" s="4" t="n">
        <v>95800</v>
      </c>
    </row>
    <row r="18425">
      <c r="A18425" s="3" t="inlineStr">
        <is>
          <t>2</t>
        </is>
      </c>
      <c r="B18425" s="3" t="inlineStr">
        <is>
          <t>Tukang pipa</t>
        </is>
      </c>
      <c r="C18425" s="3" t="inlineStr">
        <is>
          <t>OH</t>
        </is>
      </c>
      <c r="D18425" s="15" t="n">
        <v>0.479</v>
      </c>
      <c r="E18425" s="4" t="n">
        <v>145000</v>
      </c>
      <c r="F18425" s="4" t="n">
        <v>69455</v>
      </c>
    </row>
    <row r="18426">
      <c r="A18426" s="3" t="inlineStr">
        <is>
          <t>3</t>
        </is>
      </c>
      <c r="B18426" s="3" t="inlineStr">
        <is>
          <t>Mandor</t>
        </is>
      </c>
      <c r="C18426" s="3" t="inlineStr">
        <is>
          <t>OH</t>
        </is>
      </c>
      <c r="D18426" s="15" t="n">
        <v>0.096</v>
      </c>
      <c r="E18426" s="4" t="n">
        <v>200000</v>
      </c>
      <c r="F18426" s="4" t="n">
        <v>19200</v>
      </c>
    </row>
    <row r="18427">
      <c r="A18427" s="3" t="n">
        <v>1</v>
      </c>
      <c r="B18427" s="3" t="inlineStr">
        <is>
          <t>"Pipa Galvanis</t>
        </is>
      </c>
      <c r="C18427" s="3" t="inlineStr">
        <is>
          <t>DN. 12""</t>
        </is>
      </c>
    </row>
    <row r="18428">
      <c r="A18428" s="3" t="inlineStr">
        <is>
          <t>(300 mm"</t>
        </is>
      </c>
      <c r="B18428" s="3" t="inlineStr"/>
      <c r="C18428" s="3" t="inlineStr">
        <is>
          <t>m</t>
        </is>
      </c>
      <c r="D18428" s="15" t="n">
        <v>1</v>
      </c>
      <c r="E18428" s="4" t="n">
        <v>513000</v>
      </c>
      <c r="F18428" s="4" t="n">
        <v>513000</v>
      </c>
    </row>
    <row r="18429">
      <c r="A18429" s="3" t="inlineStr">
        <is>
          <t>1</t>
        </is>
      </c>
      <c r="B18429" s="3" t="inlineStr">
        <is>
          <t>Sewa Tripot</t>
        </is>
      </c>
      <c r="C18429" s="3" t="inlineStr">
        <is>
          <t>hari</t>
        </is>
      </c>
      <c r="D18429" s="15" t="n">
        <v>0.065</v>
      </c>
      <c r="E18429" s="4" t="n">
        <v>108000</v>
      </c>
      <c r="F18429" s="4" t="n">
        <v>7020</v>
      </c>
    </row>
    <row r="18430">
      <c r="D18430" s="2" t="inlineStr">
        <is>
          <t>SUBTOTAL UPAH</t>
        </is>
      </c>
      <c r="F18430" s="16" t="n">
        <v>184455</v>
      </c>
    </row>
    <row r="18431">
      <c r="D18431" s="2" t="inlineStr">
        <is>
          <t>SUBTOTAL BAHAN</t>
        </is>
      </c>
      <c r="F18431" s="16" t="n">
        <v>513000</v>
      </c>
    </row>
    <row r="18432">
      <c r="D18432" s="2" t="inlineStr">
        <is>
          <t>SUBTOTAL ALAT</t>
        </is>
      </c>
      <c r="F18432" s="16" t="n">
        <v>7020</v>
      </c>
    </row>
    <row r="18433">
      <c r="E18433" s="2" t="inlineStr">
        <is>
          <t>TOTAL HARGA SATUAN (Inc. Overhead)</t>
        </is>
      </c>
      <c r="F18433" s="17" t="n">
        <v>774922</v>
      </c>
    </row>
    <row r="18435">
      <c r="A18435" s="14" t="inlineStr">
        <is>
          <t>KODE: 9.2.1.8 - Pemasangan 1 m Pipa Galvanis, DN. 16" (400 mm)</t>
        </is>
      </c>
    </row>
    <row r="18436">
      <c r="A18436" s="10" t="inlineStr">
        <is>
          <t>No</t>
        </is>
      </c>
      <c r="B18436" s="10" t="inlineStr">
        <is>
          <t>Uraian Komponen</t>
        </is>
      </c>
      <c r="C18436" s="10" t="inlineStr">
        <is>
          <t>Satuan</t>
        </is>
      </c>
      <c r="D18436" s="10" t="inlineStr">
        <is>
          <t>Koef</t>
        </is>
      </c>
      <c r="E18436" s="10" t="inlineStr">
        <is>
          <t>Harga Satuan (Rp)</t>
        </is>
      </c>
      <c r="F18436" s="10" t="inlineStr">
        <is>
          <t>Jumlah Harga (Rp)</t>
        </is>
      </c>
    </row>
    <row r="18437">
      <c r="A18437" s="3" t="inlineStr">
        <is>
          <t>1</t>
        </is>
      </c>
      <c r="B18437" s="3" t="inlineStr">
        <is>
          <t>Pekerja</t>
        </is>
      </c>
      <c r="C18437" s="3" t="inlineStr">
        <is>
          <t>OH</t>
        </is>
      </c>
      <c r="D18437" s="15" t="n">
        <v>1.212</v>
      </c>
      <c r="E18437" s="4" t="n">
        <v>100000</v>
      </c>
      <c r="F18437" s="4" t="n">
        <v>121200</v>
      </c>
    </row>
    <row r="18438">
      <c r="A18438" s="3" t="inlineStr">
        <is>
          <t>2</t>
        </is>
      </c>
      <c r="B18438" s="3" t="inlineStr">
        <is>
          <t>Tukang pipa</t>
        </is>
      </c>
      <c r="C18438" s="3" t="inlineStr">
        <is>
          <t>OH</t>
        </is>
      </c>
      <c r="D18438" s="15" t="n">
        <v>0.606</v>
      </c>
      <c r="E18438" s="4" t="n">
        <v>145000</v>
      </c>
      <c r="F18438" s="4" t="n">
        <v>87870</v>
      </c>
    </row>
    <row r="18439">
      <c r="A18439" s="3" t="inlineStr">
        <is>
          <t>3</t>
        </is>
      </c>
      <c r="B18439" s="3" t="inlineStr">
        <is>
          <t>Mandor</t>
        </is>
      </c>
      <c r="C18439" s="3" t="inlineStr">
        <is>
          <t>OH</t>
        </is>
      </c>
      <c r="D18439" s="15" t="n">
        <v>0.121</v>
      </c>
      <c r="E18439" s="4" t="n">
        <v>200000</v>
      </c>
      <c r="F18439" s="4" t="n">
        <v>24200</v>
      </c>
    </row>
    <row r="18440">
      <c r="A18440" s="3" t="n">
        <v>1</v>
      </c>
      <c r="B18440" s="3" t="inlineStr">
        <is>
          <t>"Pipa Galvanis</t>
        </is>
      </c>
      <c r="C18440" s="3" t="inlineStr">
        <is>
          <t>DN. 16""</t>
        </is>
      </c>
    </row>
    <row r="18441">
      <c r="A18441" s="3" t="inlineStr">
        <is>
          <t>(400 mm)"</t>
        </is>
      </c>
      <c r="B18441" s="3" t="inlineStr"/>
      <c r="C18441" s="3" t="inlineStr">
        <is>
          <t>m</t>
        </is>
      </c>
      <c r="D18441" s="15" t="n">
        <v>1</v>
      </c>
      <c r="E18441" s="4" t="n">
        <v>594000</v>
      </c>
      <c r="F18441" s="4" t="n">
        <v>594000</v>
      </c>
    </row>
    <row r="18442">
      <c r="A18442" s="3" t="inlineStr">
        <is>
          <t>1</t>
        </is>
      </c>
      <c r="B18442" s="3" t="inlineStr">
        <is>
          <t>Sewa Tripot</t>
        </is>
      </c>
      <c r="C18442" s="3" t="inlineStr">
        <is>
          <t>hari</t>
        </is>
      </c>
      <c r="D18442" s="15" t="n">
        <v>0.152</v>
      </c>
      <c r="E18442" s="4" t="n">
        <v>108000</v>
      </c>
      <c r="F18442" s="4" t="n">
        <v>16416</v>
      </c>
    </row>
    <row r="18443">
      <c r="D18443" s="2" t="inlineStr">
        <is>
          <t>SUBTOTAL UPAH</t>
        </is>
      </c>
      <c r="F18443" s="16" t="n">
        <v>233270</v>
      </c>
    </row>
    <row r="18444">
      <c r="D18444" s="2" t="inlineStr">
        <is>
          <t>SUBTOTAL BAHAN</t>
        </is>
      </c>
      <c r="F18444" s="16" t="n">
        <v>594000</v>
      </c>
    </row>
    <row r="18445">
      <c r="D18445" s="2" t="inlineStr">
        <is>
          <t>SUBTOTAL ALAT</t>
        </is>
      </c>
      <c r="F18445" s="16" t="n">
        <v>16416</v>
      </c>
    </row>
    <row r="18446">
      <c r="E18446" s="2" t="inlineStr">
        <is>
          <t>TOTAL HARGA SATUAN (Inc. Overhead)</t>
        </is>
      </c>
      <c r="F18446" s="17" t="n">
        <v>928054</v>
      </c>
    </row>
    <row r="18448">
      <c r="A18448" s="14" t="inlineStr">
        <is>
          <t>KODE: 9.2.1.9 - Pemasangan 1 m Pipa Galvanis, DN. 18" (450 mm)</t>
        </is>
      </c>
    </row>
    <row r="18449">
      <c r="A18449" s="10" t="inlineStr">
        <is>
          <t>No</t>
        </is>
      </c>
      <c r="B18449" s="10" t="inlineStr">
        <is>
          <t>Uraian Komponen</t>
        </is>
      </c>
      <c r="C18449" s="10" t="inlineStr">
        <is>
          <t>Satuan</t>
        </is>
      </c>
      <c r="D18449" s="10" t="inlineStr">
        <is>
          <t>Koef</t>
        </is>
      </c>
      <c r="E18449" s="10" t="inlineStr">
        <is>
          <t>Harga Satuan (Rp)</t>
        </is>
      </c>
      <c r="F18449" s="10" t="inlineStr">
        <is>
          <t>Jumlah Harga (Rp)</t>
        </is>
      </c>
    </row>
    <row r="18450">
      <c r="A18450" s="3" t="inlineStr">
        <is>
          <t>1</t>
        </is>
      </c>
      <c r="B18450" s="3" t="inlineStr">
        <is>
          <t>Pekerja</t>
        </is>
      </c>
      <c r="C18450" s="3" t="inlineStr">
        <is>
          <t>OH</t>
        </is>
      </c>
      <c r="D18450" s="15" t="n">
        <v>1.353</v>
      </c>
      <c r="E18450" s="4" t="n">
        <v>100000</v>
      </c>
      <c r="F18450" s="4" t="n">
        <v>135300</v>
      </c>
    </row>
    <row r="18451">
      <c r="A18451" s="3" t="inlineStr">
        <is>
          <t>2</t>
        </is>
      </c>
      <c r="B18451" s="3" t="inlineStr">
        <is>
          <t>Tukang pipa</t>
        </is>
      </c>
      <c r="C18451" s="3" t="inlineStr">
        <is>
          <t>OH</t>
        </is>
      </c>
      <c r="D18451" s="15" t="n">
        <v>0.676</v>
      </c>
      <c r="E18451" s="4" t="n">
        <v>145000</v>
      </c>
      <c r="F18451" s="4" t="n">
        <v>98020</v>
      </c>
    </row>
    <row r="18452">
      <c r="A18452" s="3" t="inlineStr">
        <is>
          <t>3</t>
        </is>
      </c>
      <c r="B18452" s="3" t="inlineStr">
        <is>
          <t>Mandor</t>
        </is>
      </c>
      <c r="C18452" s="3" t="inlineStr">
        <is>
          <t>OH</t>
        </is>
      </c>
      <c r="D18452" s="15" t="n">
        <v>0.135</v>
      </c>
      <c r="E18452" s="4" t="n">
        <v>200000</v>
      </c>
      <c r="F18452" s="4" t="n">
        <v>27000</v>
      </c>
    </row>
    <row r="18453">
      <c r="A18453" s="3" t="n">
        <v>1</v>
      </c>
      <c r="B18453" s="3" t="inlineStr">
        <is>
          <t>"Pipa Galvanis</t>
        </is>
      </c>
      <c r="C18453" s="3" t="inlineStr">
        <is>
          <t>DN. 18""</t>
        </is>
      </c>
    </row>
    <row r="18454">
      <c r="A18454" s="3" t="inlineStr">
        <is>
          <t>(450 mm"</t>
        </is>
      </c>
      <c r="B18454" s="3" t="inlineStr"/>
      <c r="C18454" s="3" t="inlineStr">
        <is>
          <t>m</t>
        </is>
      </c>
      <c r="D18454" s="15" t="n">
        <v>1</v>
      </c>
      <c r="E18454" s="4" t="n">
        <v>61300</v>
      </c>
      <c r="F18454" s="4" t="n">
        <v>61300</v>
      </c>
    </row>
    <row r="18455">
      <c r="A18455" s="3" t="inlineStr">
        <is>
          <t>1</t>
        </is>
      </c>
      <c r="B18455" s="3" t="inlineStr">
        <is>
          <t>Sewa Tripot</t>
        </is>
      </c>
      <c r="C18455" s="3" t="inlineStr">
        <is>
          <t>hari</t>
        </is>
      </c>
      <c r="D18455" s="15" t="n">
        <v>0.2</v>
      </c>
      <c r="E18455" s="4" t="n">
        <v>108000</v>
      </c>
      <c r="F18455" s="4" t="n">
        <v>21600</v>
      </c>
    </row>
    <row r="18456">
      <c r="D18456" s="2" t="inlineStr">
        <is>
          <t>SUBTOTAL UPAH</t>
        </is>
      </c>
      <c r="F18456" s="16" t="n">
        <v>260320</v>
      </c>
    </row>
    <row r="18457">
      <c r="D18457" s="2" t="inlineStr">
        <is>
          <t>SUBTOTAL BAHAN</t>
        </is>
      </c>
      <c r="F18457" s="16" t="n">
        <v>61300</v>
      </c>
    </row>
    <row r="18458">
      <c r="D18458" s="2" t="inlineStr">
        <is>
          <t>SUBTOTAL ALAT</t>
        </is>
      </c>
      <c r="F18458" s="16" t="n">
        <v>21600</v>
      </c>
    </row>
    <row r="18459">
      <c r="E18459" s="2" t="inlineStr">
        <is>
          <t>TOTAL HARGA SATUAN (Inc. Overhead)</t>
        </is>
      </c>
      <c r="F18459" s="17" t="n">
        <v>377542</v>
      </c>
    </row>
    <row r="18461">
      <c r="A18461" s="14" t="inlineStr">
        <is>
          <t>KODE: 9.2.1.10 - Pemasangan 1 m Pipa Galvanis, DN. 20" (500 mm)</t>
        </is>
      </c>
    </row>
    <row r="18462">
      <c r="A18462" s="10" t="inlineStr">
        <is>
          <t>No</t>
        </is>
      </c>
      <c r="B18462" s="10" t="inlineStr">
        <is>
          <t>Uraian Komponen</t>
        </is>
      </c>
      <c r="C18462" s="10" t="inlineStr">
        <is>
          <t>Satuan</t>
        </is>
      </c>
      <c r="D18462" s="10" t="inlineStr">
        <is>
          <t>Koef</t>
        </is>
      </c>
      <c r="E18462" s="10" t="inlineStr">
        <is>
          <t>Harga Satuan (Rp)</t>
        </is>
      </c>
      <c r="F18462" s="10" t="inlineStr">
        <is>
          <t>Jumlah Harga (Rp)</t>
        </is>
      </c>
    </row>
    <row r="18463">
      <c r="A18463" s="3" t="inlineStr">
        <is>
          <t>1</t>
        </is>
      </c>
      <c r="B18463" s="3" t="inlineStr">
        <is>
          <t>Pekerja</t>
        </is>
      </c>
      <c r="C18463" s="3" t="inlineStr">
        <is>
          <t>OH</t>
        </is>
      </c>
      <c r="D18463" s="15" t="n">
        <v>1.469</v>
      </c>
      <c r="E18463" s="4" t="n">
        <v>100000</v>
      </c>
      <c r="F18463" s="4" t="n">
        <v>146900</v>
      </c>
    </row>
    <row r="18464">
      <c r="A18464" s="3" t="inlineStr">
        <is>
          <t>2</t>
        </is>
      </c>
      <c r="B18464" s="3" t="inlineStr">
        <is>
          <t>Tukang pipa</t>
        </is>
      </c>
      <c r="C18464" s="3" t="inlineStr">
        <is>
          <t>OH</t>
        </is>
      </c>
      <c r="D18464" s="15" t="n">
        <v>0.735</v>
      </c>
      <c r="E18464" s="4" t="n">
        <v>145000</v>
      </c>
      <c r="F18464" s="4" t="n">
        <v>106575</v>
      </c>
    </row>
    <row r="18465">
      <c r="A18465" s="3" t="inlineStr">
        <is>
          <t>3</t>
        </is>
      </c>
      <c r="B18465" s="3" t="inlineStr">
        <is>
          <t>Mandor</t>
        </is>
      </c>
      <c r="C18465" s="3" t="inlineStr">
        <is>
          <t>OH</t>
        </is>
      </c>
      <c r="D18465" s="15" t="n">
        <v>0.147</v>
      </c>
      <c r="E18465" s="4" t="n">
        <v>200000</v>
      </c>
      <c r="F18465" s="4" t="n">
        <v>29400</v>
      </c>
    </row>
    <row r="18466">
      <c r="A18466" s="3" t="n">
        <v>1</v>
      </c>
      <c r="B18466" s="3" t="inlineStr">
        <is>
          <t>"Pipa Galvanis</t>
        </is>
      </c>
      <c r="C18466" s="3" t="inlineStr">
        <is>
          <t>DN. 20""</t>
        </is>
      </c>
    </row>
    <row r="18467">
      <c r="A18467" s="3" t="inlineStr">
        <is>
          <t>(500 mm)"</t>
        </is>
      </c>
      <c r="B18467" s="3" t="inlineStr"/>
      <c r="C18467" s="3" t="inlineStr">
        <is>
          <t>m</t>
        </is>
      </c>
      <c r="D18467" s="15" t="n">
        <v>1</v>
      </c>
      <c r="E18467" s="4" t="n">
        <v>656000</v>
      </c>
      <c r="F18467" s="4" t="n">
        <v>656000</v>
      </c>
    </row>
    <row r="18468">
      <c r="A18468" s="3" t="inlineStr">
        <is>
          <t>1</t>
        </is>
      </c>
      <c r="B18468" s="3" t="inlineStr">
        <is>
          <t>Sewa Tripot</t>
        </is>
      </c>
      <c r="C18468" s="3" t="inlineStr">
        <is>
          <t>hari</t>
        </is>
      </c>
      <c r="D18468" s="15" t="n">
        <v>0.251</v>
      </c>
      <c r="E18468" s="4" t="n">
        <v>108000</v>
      </c>
      <c r="F18468" s="4" t="n">
        <v>27108</v>
      </c>
    </row>
    <row r="18469">
      <c r="D18469" s="2" t="inlineStr">
        <is>
          <t>SUBTOTAL UPAH</t>
        </is>
      </c>
      <c r="F18469" s="16" t="n">
        <v>282875</v>
      </c>
    </row>
    <row r="18470">
      <c r="D18470" s="2" t="inlineStr">
        <is>
          <t>SUBTOTAL BAHAN</t>
        </is>
      </c>
      <c r="F18470" s="16" t="n">
        <v>656000</v>
      </c>
    </row>
    <row r="18471">
      <c r="D18471" s="2" t="inlineStr">
        <is>
          <t>SUBTOTAL ALAT</t>
        </is>
      </c>
      <c r="F18471" s="16" t="n">
        <v>27108</v>
      </c>
    </row>
    <row r="18472">
      <c r="E18472" s="2" t="inlineStr">
        <is>
          <t>TOTAL HARGA SATUAN (Inc. Overhead)</t>
        </is>
      </c>
      <c r="F18472" s="17" t="n">
        <v>1062581</v>
      </c>
    </row>
    <row r="18474">
      <c r="A18474" s="14" t="inlineStr">
        <is>
          <t>KODE: 9.2.1.11 - Pemasangan 1 m Pipa Galvanis, DN. 24" (600 mm)</t>
        </is>
      </c>
    </row>
    <row r="18475">
      <c r="A18475" s="10" t="inlineStr">
        <is>
          <t>No</t>
        </is>
      </c>
      <c r="B18475" s="10" t="inlineStr">
        <is>
          <t>Uraian Komponen</t>
        </is>
      </c>
      <c r="C18475" s="10" t="inlineStr">
        <is>
          <t>Satuan</t>
        </is>
      </c>
      <c r="D18475" s="10" t="inlineStr">
        <is>
          <t>Koef</t>
        </is>
      </c>
      <c r="E18475" s="10" t="inlineStr">
        <is>
          <t>Harga Satuan (Rp)</t>
        </is>
      </c>
      <c r="F18475" s="10" t="inlineStr">
        <is>
          <t>Jumlah Harga (Rp)</t>
        </is>
      </c>
    </row>
    <row r="18476">
      <c r="A18476" s="3" t="inlineStr">
        <is>
          <t>1</t>
        </is>
      </c>
      <c r="B18476" s="3" t="inlineStr">
        <is>
          <t>Pekerja</t>
        </is>
      </c>
      <c r="C18476" s="3" t="inlineStr">
        <is>
          <t>OH</t>
        </is>
      </c>
      <c r="D18476" s="15" t="n">
        <v>1.327</v>
      </c>
      <c r="E18476" s="4" t="n">
        <v>100000</v>
      </c>
      <c r="F18476" s="4" t="n">
        <v>132700</v>
      </c>
    </row>
    <row r="18477">
      <c r="A18477" s="3" t="inlineStr">
        <is>
          <t>2</t>
        </is>
      </c>
      <c r="B18477" s="3" t="inlineStr">
        <is>
          <t>Tukang pipa</t>
        </is>
      </c>
      <c r="C18477" s="3" t="inlineStr">
        <is>
          <t>OH</t>
        </is>
      </c>
      <c r="D18477" s="15" t="n">
        <v>0.664</v>
      </c>
      <c r="E18477" s="4" t="n">
        <v>145000</v>
      </c>
      <c r="F18477" s="4" t="n">
        <v>96280</v>
      </c>
    </row>
    <row r="18478">
      <c r="A18478" s="3" t="inlineStr">
        <is>
          <t>3</t>
        </is>
      </c>
      <c r="B18478" s="3" t="inlineStr">
        <is>
          <t>Mandor</t>
        </is>
      </c>
      <c r="C18478" s="3" t="inlineStr">
        <is>
          <t>OH</t>
        </is>
      </c>
      <c r="D18478" s="15" t="n">
        <v>0.133</v>
      </c>
      <c r="E18478" s="4" t="n">
        <v>200000</v>
      </c>
      <c r="F18478" s="4" t="n">
        <v>26600</v>
      </c>
    </row>
    <row r="18479">
      <c r="A18479" s="3" t="inlineStr">
        <is>
          <t>1</t>
        </is>
      </c>
      <c r="B18479" s="3" t="inlineStr">
        <is>
          <t>"Pipa Galvanis DN. 24"" (600 mm)"</t>
        </is>
      </c>
      <c r="C18479" s="3" t="inlineStr">
        <is>
          <t>m</t>
        </is>
      </c>
      <c r="D18479" s="15" t="n">
        <v>1</v>
      </c>
      <c r="E18479" s="4" t="n">
        <v>698000</v>
      </c>
      <c r="F18479" s="4" t="n">
        <v>698000</v>
      </c>
    </row>
    <row r="18480">
      <c r="A18480" s="3" t="inlineStr">
        <is>
          <t>1</t>
        </is>
      </c>
      <c r="B18480" s="3" t="inlineStr">
        <is>
          <t>Sewa Tripot</t>
        </is>
      </c>
      <c r="C18480" s="3" t="inlineStr">
        <is>
          <t>hari</t>
        </is>
      </c>
      <c r="D18480" s="15" t="n">
        <v>0.307</v>
      </c>
      <c r="E18480" s="4" t="n">
        <v>108000</v>
      </c>
      <c r="F18480" s="4" t="n">
        <v>33156</v>
      </c>
    </row>
    <row r="18481">
      <c r="D18481" s="2" t="inlineStr">
        <is>
          <t>SUBTOTAL UPAH</t>
        </is>
      </c>
      <c r="F18481" s="16" t="n">
        <v>255580</v>
      </c>
    </row>
    <row r="18482">
      <c r="D18482" s="2" t="inlineStr">
        <is>
          <t>SUBTOTAL BAHAN</t>
        </is>
      </c>
      <c r="F18482" s="16" t="n">
        <v>698000</v>
      </c>
    </row>
    <row r="18483">
      <c r="D18483" s="2" t="inlineStr">
        <is>
          <t>SUBTOTAL ALAT</t>
        </is>
      </c>
      <c r="F18483" s="16" t="n">
        <v>33156</v>
      </c>
    </row>
    <row r="18484">
      <c r="E18484" s="2" t="inlineStr">
        <is>
          <t>TOTAL HARGA SATUAN (Inc. Overhead)</t>
        </is>
      </c>
      <c r="F18484" s="17" t="n">
        <v>1085409</v>
      </c>
    </row>
    <row r="18486">
      <c r="A18486" s="14" t="inlineStr">
        <is>
          <t>KODE: 9.2.1.12 - Pemasangan 1 m Pipa Galvanis, DN. 32" (800 mm)</t>
        </is>
      </c>
    </row>
    <row r="18487">
      <c r="A18487" s="10" t="inlineStr">
        <is>
          <t>No</t>
        </is>
      </c>
      <c r="B18487" s="10" t="inlineStr">
        <is>
          <t>Uraian Komponen</t>
        </is>
      </c>
      <c r="C18487" s="10" t="inlineStr">
        <is>
          <t>Satuan</t>
        </is>
      </c>
      <c r="D18487" s="10" t="inlineStr">
        <is>
          <t>Koef</t>
        </is>
      </c>
      <c r="E18487" s="10" t="inlineStr">
        <is>
          <t>Harga Satuan (Rp)</t>
        </is>
      </c>
      <c r="F18487" s="10" t="inlineStr">
        <is>
          <t>Jumlah Harga (Rp)</t>
        </is>
      </c>
    </row>
    <row r="18488">
      <c r="A18488" s="3" t="inlineStr">
        <is>
          <t>1</t>
        </is>
      </c>
      <c r="B18488" s="3" t="inlineStr">
        <is>
          <t>Pekerja</t>
        </is>
      </c>
      <c r="C18488" s="3" t="inlineStr">
        <is>
          <t>OH</t>
        </is>
      </c>
      <c r="D18488" s="15" t="n">
        <v>2.327</v>
      </c>
      <c r="E18488" s="4" t="n">
        <v>100000</v>
      </c>
      <c r="F18488" s="4" t="n">
        <v>232700</v>
      </c>
    </row>
    <row r="18489">
      <c r="A18489" s="3" t="inlineStr">
        <is>
          <t>2</t>
        </is>
      </c>
      <c r="B18489" s="3" t="inlineStr">
        <is>
          <t>Tukang pipa</t>
        </is>
      </c>
      <c r="C18489" s="3" t="inlineStr">
        <is>
          <t>OH</t>
        </is>
      </c>
      <c r="D18489" s="15" t="n">
        <v>1.163</v>
      </c>
      <c r="E18489" s="4" t="n">
        <v>145000</v>
      </c>
      <c r="F18489" s="4" t="n">
        <v>168635</v>
      </c>
    </row>
    <row r="18490">
      <c r="A18490" s="3" t="inlineStr">
        <is>
          <t>3</t>
        </is>
      </c>
      <c r="B18490" s="3" t="inlineStr">
        <is>
          <t>Mandor</t>
        </is>
      </c>
      <c r="C18490" s="3" t="inlineStr">
        <is>
          <t>OH</t>
        </is>
      </c>
      <c r="D18490" s="15" t="n">
        <v>0.233</v>
      </c>
      <c r="E18490" s="4" t="n">
        <v>200000</v>
      </c>
      <c r="F18490" s="4" t="n">
        <v>46600</v>
      </c>
    </row>
    <row r="18491">
      <c r="A18491" s="3" t="inlineStr">
        <is>
          <t>1</t>
        </is>
      </c>
      <c r="B18491" s="3" t="inlineStr">
        <is>
          <t>"Pipa Galvanis DN. 32"" (800 mm)"</t>
        </is>
      </c>
      <c r="C18491" s="3" t="inlineStr">
        <is>
          <t>m</t>
        </is>
      </c>
      <c r="D18491" s="15" t="n">
        <v>1</v>
      </c>
      <c r="E18491" s="4" t="n">
        <v>716000</v>
      </c>
      <c r="F18491" s="4" t="n">
        <v>716000</v>
      </c>
    </row>
    <row r="18492">
      <c r="A18492" s="3" t="inlineStr">
        <is>
          <t>1</t>
        </is>
      </c>
      <c r="B18492" s="3" t="inlineStr">
        <is>
          <t>Sewa Tripot</t>
        </is>
      </c>
      <c r="C18492" s="3" t="inlineStr">
        <is>
          <t>hari</t>
        </is>
      </c>
      <c r="D18492" s="15" t="n">
        <v>0.573</v>
      </c>
      <c r="E18492" s="4" t="n">
        <v>108000</v>
      </c>
      <c r="F18492" s="4" t="n">
        <v>61883.99999999999</v>
      </c>
    </row>
    <row r="18493">
      <c r="D18493" s="2" t="inlineStr">
        <is>
          <t>SUBTOTAL UPAH</t>
        </is>
      </c>
      <c r="F18493" s="16" t="n">
        <v>447935</v>
      </c>
    </row>
    <row r="18494">
      <c r="D18494" s="2" t="inlineStr">
        <is>
          <t>SUBTOTAL BAHAN</t>
        </is>
      </c>
      <c r="F18494" s="16" t="n">
        <v>716000</v>
      </c>
    </row>
    <row r="18495">
      <c r="D18495" s="2" t="inlineStr">
        <is>
          <t>SUBTOTAL ALAT</t>
        </is>
      </c>
      <c r="F18495" s="16" t="n">
        <v>61883.99999999999</v>
      </c>
    </row>
    <row r="18496">
      <c r="E18496" s="2" t="inlineStr">
        <is>
          <t>TOTAL HARGA SATUAN (Inc. Overhead)</t>
        </is>
      </c>
      <c r="F18496" s="17" t="n">
        <v>1348400</v>
      </c>
    </row>
    <row r="18498">
      <c r="A18498" s="14" t="inlineStr">
        <is>
          <t>KODE: 9.2.1.13 - Pemasangan 1 m Pipa Galvanis, DN. 36" (900 mm)</t>
        </is>
      </c>
    </row>
    <row r="18499">
      <c r="A18499" s="10" t="inlineStr">
        <is>
          <t>No</t>
        </is>
      </c>
      <c r="B18499" s="10" t="inlineStr">
        <is>
          <t>Uraian Komponen</t>
        </is>
      </c>
      <c r="C18499" s="10" t="inlineStr">
        <is>
          <t>Satuan</t>
        </is>
      </c>
      <c r="D18499" s="10" t="inlineStr">
        <is>
          <t>Koef</t>
        </is>
      </c>
      <c r="E18499" s="10" t="inlineStr">
        <is>
          <t>Harga Satuan (Rp)</t>
        </is>
      </c>
      <c r="F18499" s="10" t="inlineStr">
        <is>
          <t>Jumlah Harga (Rp)</t>
        </is>
      </c>
    </row>
    <row r="18500">
      <c r="A18500" s="3" t="inlineStr">
        <is>
          <t>1</t>
        </is>
      </c>
      <c r="B18500" s="3" t="inlineStr">
        <is>
          <t>Pekerja</t>
        </is>
      </c>
      <c r="C18500" s="3" t="inlineStr">
        <is>
          <t>OH</t>
        </is>
      </c>
      <c r="D18500" s="15" t="n">
        <v>2.623</v>
      </c>
      <c r="E18500" s="4" t="n">
        <v>100000</v>
      </c>
      <c r="F18500" s="4" t="n">
        <v>262300</v>
      </c>
    </row>
    <row r="18501">
      <c r="A18501" s="3" t="inlineStr">
        <is>
          <t>2</t>
        </is>
      </c>
      <c r="B18501" s="3" t="inlineStr">
        <is>
          <t>Tukang pipa</t>
        </is>
      </c>
      <c r="C18501" s="3" t="inlineStr">
        <is>
          <t>OH</t>
        </is>
      </c>
      <c r="D18501" s="15" t="n">
        <v>1.312</v>
      </c>
      <c r="E18501" s="4" t="n">
        <v>145000</v>
      </c>
      <c r="F18501" s="4" t="n">
        <v>190240</v>
      </c>
    </row>
    <row r="18502">
      <c r="A18502" s="3" t="inlineStr">
        <is>
          <t>3</t>
        </is>
      </c>
      <c r="B18502" s="3" t="inlineStr">
        <is>
          <t>Mandor</t>
        </is>
      </c>
      <c r="C18502" s="3" t="inlineStr">
        <is>
          <t>OH</t>
        </is>
      </c>
      <c r="D18502" s="15" t="n">
        <v>0.262</v>
      </c>
      <c r="E18502" s="4" t="n">
        <v>200000</v>
      </c>
      <c r="F18502" s="4" t="n">
        <v>52400</v>
      </c>
    </row>
    <row r="18503">
      <c r="A18503" s="3" t="inlineStr">
        <is>
          <t>1</t>
        </is>
      </c>
      <c r="B18503" s="3" t="inlineStr">
        <is>
          <t>"Pipa Galvanis DN. 36"" (900 mm)"</t>
        </is>
      </c>
      <c r="C18503" s="3" t="inlineStr">
        <is>
          <t>m</t>
        </is>
      </c>
      <c r="D18503" s="15" t="n">
        <v>1</v>
      </c>
      <c r="E18503" s="4" t="n">
        <v>757000</v>
      </c>
      <c r="F18503" s="4" t="n">
        <v>757000</v>
      </c>
    </row>
    <row r="18504">
      <c r="A18504" s="3" t="inlineStr">
        <is>
          <t>1</t>
        </is>
      </c>
      <c r="B18504" s="3" t="inlineStr">
        <is>
          <t>Sewa Tripot</t>
        </is>
      </c>
      <c r="C18504" s="3" t="inlineStr">
        <is>
          <t>hari</t>
        </is>
      </c>
      <c r="D18504" s="15" t="n">
        <v>0.883</v>
      </c>
      <c r="E18504" s="4" t="n">
        <v>108000</v>
      </c>
      <c r="F18504" s="4" t="n">
        <v>95364</v>
      </c>
    </row>
    <row r="18505">
      <c r="D18505" s="2" t="inlineStr">
        <is>
          <t>SUBTOTAL UPAH</t>
        </is>
      </c>
      <c r="F18505" s="16" t="n">
        <v>504940</v>
      </c>
    </row>
    <row r="18506">
      <c r="D18506" s="2" t="inlineStr">
        <is>
          <t>SUBTOTAL BAHAN</t>
        </is>
      </c>
      <c r="F18506" s="16" t="n">
        <v>757000</v>
      </c>
    </row>
    <row r="18507">
      <c r="D18507" s="2" t="inlineStr">
        <is>
          <t>SUBTOTAL ALAT</t>
        </is>
      </c>
      <c r="F18507" s="16" t="n">
        <v>95364</v>
      </c>
    </row>
    <row r="18508">
      <c r="E18508" s="2" t="inlineStr">
        <is>
          <t>TOTAL HARGA SATUAN (Inc. Overhead)</t>
        </is>
      </c>
      <c r="F18508" s="17" t="n">
        <v>1493034</v>
      </c>
    </row>
    <row r="18510">
      <c r="A18510" s="14" t="inlineStr">
        <is>
          <t>KODE: 9.2.1.14 - Pemasangan 1 m Pipa Galvanis, DN. 40" (1000 mm)</t>
        </is>
      </c>
    </row>
    <row r="18511">
      <c r="A18511" s="10" t="inlineStr">
        <is>
          <t>No</t>
        </is>
      </c>
      <c r="B18511" s="10" t="inlineStr">
        <is>
          <t>Uraian Komponen</t>
        </is>
      </c>
      <c r="C18511" s="10" t="inlineStr">
        <is>
          <t>Satuan</t>
        </is>
      </c>
      <c r="D18511" s="10" t="inlineStr">
        <is>
          <t>Koef</t>
        </is>
      </c>
      <c r="E18511" s="10" t="inlineStr">
        <is>
          <t>Harga Satuan (Rp)</t>
        </is>
      </c>
      <c r="F18511" s="10" t="inlineStr">
        <is>
          <t>Jumlah Harga (Rp)</t>
        </is>
      </c>
    </row>
    <row r="18512">
      <c r="A18512" s="3" t="inlineStr">
        <is>
          <t>1</t>
        </is>
      </c>
      <c r="B18512" s="3" t="inlineStr">
        <is>
          <t>Pekerja</t>
        </is>
      </c>
      <c r="C18512" s="3" t="inlineStr">
        <is>
          <t>OH</t>
        </is>
      </c>
      <c r="D18512" s="15" t="n">
        <v>2.911</v>
      </c>
      <c r="E18512" s="4" t="n">
        <v>100000</v>
      </c>
      <c r="F18512" s="4" t="n">
        <v>291100</v>
      </c>
    </row>
    <row r="18513">
      <c r="A18513" s="3" t="inlineStr">
        <is>
          <t>2</t>
        </is>
      </c>
      <c r="B18513" s="3" t="inlineStr">
        <is>
          <t>Tukang pipa</t>
        </is>
      </c>
      <c r="C18513" s="3" t="inlineStr">
        <is>
          <t>OH</t>
        </is>
      </c>
      <c r="D18513" s="15" t="n">
        <v>1.456</v>
      </c>
      <c r="E18513" s="4" t="n">
        <v>145000</v>
      </c>
      <c r="F18513" s="4" t="n">
        <v>211120</v>
      </c>
    </row>
    <row r="18514">
      <c r="A18514" s="3" t="inlineStr">
        <is>
          <t>3</t>
        </is>
      </c>
      <c r="B18514" s="3" t="inlineStr">
        <is>
          <t>Mandor</t>
        </is>
      </c>
      <c r="C18514" s="3" t="inlineStr">
        <is>
          <t>OH</t>
        </is>
      </c>
      <c r="D18514" s="15" t="n">
        <v>0.291</v>
      </c>
      <c r="E18514" s="4" t="n">
        <v>200000</v>
      </c>
      <c r="F18514" s="4" t="n">
        <v>58199.99999999999</v>
      </c>
    </row>
    <row r="18515">
      <c r="A18515" s="3" t="inlineStr">
        <is>
          <t>DN. 40"" (1000 mm)"</t>
        </is>
      </c>
      <c r="B18515" s="3" t="inlineStr"/>
      <c r="C18515" s="3" t="inlineStr">
        <is>
          <t>m</t>
        </is>
      </c>
      <c r="D18515" s="15" t="n">
        <v>1</v>
      </c>
      <c r="E18515" s="4" t="n">
        <v>780000</v>
      </c>
      <c r="F18515" s="4" t="n">
        <v>780000</v>
      </c>
    </row>
    <row r="18516">
      <c r="A18516" s="3" t="inlineStr">
        <is>
          <t>1</t>
        </is>
      </c>
      <c r="B18516" s="3" t="inlineStr">
        <is>
          <t>Sewa Tripot</t>
        </is>
      </c>
      <c r="C18516" s="3" t="inlineStr">
        <is>
          <t>hari</t>
        </is>
      </c>
      <c r="D18516" s="15" t="n">
        <v>1.093</v>
      </c>
      <c r="E18516" s="4" t="n">
        <v>108000</v>
      </c>
      <c r="F18516" s="4" t="n">
        <v>118044</v>
      </c>
    </row>
    <row r="18517">
      <c r="D18517" s="2" t="inlineStr">
        <is>
          <t>SUBTOTAL UPAH</t>
        </is>
      </c>
      <c r="F18517" s="16" t="n">
        <v>560420</v>
      </c>
    </row>
    <row r="18518">
      <c r="D18518" s="2" t="inlineStr">
        <is>
          <t>SUBTOTAL BAHAN</t>
        </is>
      </c>
      <c r="F18518" s="16" t="n">
        <v>780000</v>
      </c>
    </row>
    <row r="18519">
      <c r="D18519" s="2" t="inlineStr">
        <is>
          <t>SUBTOTAL ALAT</t>
        </is>
      </c>
      <c r="F18519" s="16" t="n">
        <v>118044</v>
      </c>
    </row>
    <row r="18520">
      <c r="E18520" s="2" t="inlineStr">
        <is>
          <t>TOTAL HARGA SATUAN (Inc. Overhead)</t>
        </is>
      </c>
      <c r="F18520" s="17" t="n">
        <v>1604310</v>
      </c>
    </row>
    <row r="18522">
      <c r="A18522" s="14" t="inlineStr">
        <is>
          <t>KODE: 9.2.1.15 - Pemasangan 1 m Pipa Galvanis, DN. 44" (1100 mm)</t>
        </is>
      </c>
    </row>
    <row r="18523">
      <c r="A18523" s="10" t="inlineStr">
        <is>
          <t>No</t>
        </is>
      </c>
      <c r="B18523" s="10" t="inlineStr">
        <is>
          <t>Uraian Komponen</t>
        </is>
      </c>
      <c r="C18523" s="10" t="inlineStr">
        <is>
          <t>Satuan</t>
        </is>
      </c>
      <c r="D18523" s="10" t="inlineStr">
        <is>
          <t>Koef</t>
        </is>
      </c>
      <c r="E18523" s="10" t="inlineStr">
        <is>
          <t>Harga Satuan (Rp)</t>
        </is>
      </c>
      <c r="F18523" s="10" t="inlineStr">
        <is>
          <t>Jumlah Harga (Rp)</t>
        </is>
      </c>
    </row>
    <row r="18524">
      <c r="A18524" s="3" t="inlineStr">
        <is>
          <t>1</t>
        </is>
      </c>
      <c r="B18524" s="3" t="inlineStr">
        <is>
          <t>Pekerja</t>
        </is>
      </c>
      <c r="C18524" s="3" t="inlineStr">
        <is>
          <t>OH</t>
        </is>
      </c>
      <c r="D18524" s="15" t="n">
        <v>3.2</v>
      </c>
      <c r="E18524" s="4" t="n">
        <v>100000</v>
      </c>
      <c r="F18524" s="4" t="n">
        <v>320000</v>
      </c>
    </row>
    <row r="18525">
      <c r="A18525" s="3" t="inlineStr">
        <is>
          <t>2</t>
        </is>
      </c>
      <c r="B18525" s="3" t="inlineStr">
        <is>
          <t>Tukang pipa</t>
        </is>
      </c>
      <c r="C18525" s="3" t="inlineStr">
        <is>
          <t>OH</t>
        </is>
      </c>
      <c r="D18525" s="15" t="n">
        <v>1.6</v>
      </c>
      <c r="E18525" s="4" t="n">
        <v>145000</v>
      </c>
      <c r="F18525" s="4" t="n">
        <v>232000</v>
      </c>
    </row>
    <row r="18526">
      <c r="A18526" s="3" t="inlineStr">
        <is>
          <t>3</t>
        </is>
      </c>
      <c r="B18526" s="3" t="inlineStr">
        <is>
          <t>Mandor</t>
        </is>
      </c>
      <c r="C18526" s="3" t="inlineStr">
        <is>
          <t>OH</t>
        </is>
      </c>
      <c r="D18526" s="15" t="n">
        <v>0.32</v>
      </c>
      <c r="E18526" s="4" t="n">
        <v>200000</v>
      </c>
      <c r="F18526" s="4" t="n">
        <v>64000</v>
      </c>
    </row>
    <row r="18527">
      <c r="A18527" s="3" t="inlineStr">
        <is>
          <t>DN. 44"" (1100 mm)"</t>
        </is>
      </c>
      <c r="B18527" s="3" t="inlineStr"/>
      <c r="C18527" s="3" t="inlineStr">
        <is>
          <t>m</t>
        </is>
      </c>
      <c r="D18527" s="15" t="n">
        <v>1</v>
      </c>
      <c r="E18527" s="4" t="n">
        <v>831000</v>
      </c>
      <c r="F18527" s="4" t="n">
        <v>831000</v>
      </c>
    </row>
    <row r="18528">
      <c r="A18528" s="3" t="inlineStr">
        <is>
          <t>1</t>
        </is>
      </c>
      <c r="B18528" s="3" t="inlineStr">
        <is>
          <t>Sewa Tripot</t>
        </is>
      </c>
      <c r="C18528" s="3" t="inlineStr">
        <is>
          <t>hari</t>
        </is>
      </c>
      <c r="D18528" s="15" t="n">
        <v>1.205</v>
      </c>
      <c r="E18528" s="4" t="n">
        <v>108000</v>
      </c>
      <c r="F18528" s="4" t="n">
        <v>130140</v>
      </c>
    </row>
    <row r="18529">
      <c r="D18529" s="2" t="inlineStr">
        <is>
          <t>SUBTOTAL UPAH</t>
        </is>
      </c>
      <c r="F18529" s="16" t="n">
        <v>616000</v>
      </c>
    </row>
    <row r="18530">
      <c r="D18530" s="2" t="inlineStr">
        <is>
          <t>SUBTOTAL BAHAN</t>
        </is>
      </c>
      <c r="F18530" s="16" t="n">
        <v>831000</v>
      </c>
    </row>
    <row r="18531">
      <c r="D18531" s="2" t="inlineStr">
        <is>
          <t>SUBTOTAL ALAT</t>
        </is>
      </c>
      <c r="F18531" s="16" t="n">
        <v>130140</v>
      </c>
    </row>
    <row r="18532">
      <c r="E18532" s="2" t="inlineStr">
        <is>
          <t>TOTAL HARGA SATUAN (Inc. Overhead)</t>
        </is>
      </c>
      <c r="F18532" s="17" t="n">
        <v>1734854</v>
      </c>
    </row>
    <row r="18534">
      <c r="A18534" s="14" t="inlineStr">
        <is>
          <t>KODE: 9.2.1.16 - Pemasangan 1 m Pipa Galvanis, DN. 48" (1200 mm)</t>
        </is>
      </c>
    </row>
    <row r="18535">
      <c r="A18535" s="10" t="inlineStr">
        <is>
          <t>No</t>
        </is>
      </c>
      <c r="B18535" s="10" t="inlineStr">
        <is>
          <t>Uraian Komponen</t>
        </is>
      </c>
      <c r="C18535" s="10" t="inlineStr">
        <is>
          <t>Satuan</t>
        </is>
      </c>
      <c r="D18535" s="10" t="inlineStr">
        <is>
          <t>Koef</t>
        </is>
      </c>
      <c r="E18535" s="10" t="inlineStr">
        <is>
          <t>Harga Satuan (Rp)</t>
        </is>
      </c>
      <c r="F18535" s="10" t="inlineStr">
        <is>
          <t>Jumlah Harga (Rp)</t>
        </is>
      </c>
    </row>
    <row r="18536">
      <c r="A18536" s="3" t="inlineStr">
        <is>
          <t>1</t>
        </is>
      </c>
      <c r="B18536" s="3" t="inlineStr">
        <is>
          <t>Pekerja</t>
        </is>
      </c>
      <c r="C18536" s="3" t="inlineStr">
        <is>
          <t>OH</t>
        </is>
      </c>
      <c r="D18536" s="15" t="n">
        <v>3.488</v>
      </c>
      <c r="E18536" s="4" t="n">
        <v>100000</v>
      </c>
      <c r="F18536" s="4" t="n">
        <v>348800</v>
      </c>
    </row>
    <row r="18537">
      <c r="A18537" s="3" t="inlineStr">
        <is>
          <t>2</t>
        </is>
      </c>
      <c r="B18537" s="3" t="inlineStr">
        <is>
          <t>Tukang pipa</t>
        </is>
      </c>
      <c r="C18537" s="3" t="inlineStr">
        <is>
          <t>OH</t>
        </is>
      </c>
      <c r="D18537" s="15" t="n">
        <v>1.744</v>
      </c>
      <c r="E18537" s="4" t="n">
        <v>145000</v>
      </c>
      <c r="F18537" s="4" t="n">
        <v>252880</v>
      </c>
    </row>
    <row r="18538">
      <c r="A18538" s="3" t="inlineStr">
        <is>
          <t>3</t>
        </is>
      </c>
      <c r="B18538" s="3" t="inlineStr">
        <is>
          <t>Mandor</t>
        </is>
      </c>
      <c r="C18538" s="3" t="inlineStr">
        <is>
          <t>OH</t>
        </is>
      </c>
      <c r="D18538" s="15" t="n">
        <v>0.349</v>
      </c>
      <c r="E18538" s="4" t="n">
        <v>200000</v>
      </c>
      <c r="F18538" s="4" t="n">
        <v>69800</v>
      </c>
    </row>
    <row r="18539">
      <c r="A18539" s="3" t="inlineStr">
        <is>
          <t>DN. 48"" (1200 mm"</t>
        </is>
      </c>
      <c r="B18539" s="3" t="inlineStr"/>
      <c r="C18539" s="3" t="inlineStr">
        <is>
          <t>m</t>
        </is>
      </c>
      <c r="D18539" s="15" t="n">
        <v>1</v>
      </c>
      <c r="E18539" s="4" t="n">
        <v>868000</v>
      </c>
      <c r="F18539" s="4" t="n">
        <v>868000</v>
      </c>
    </row>
    <row r="18540">
      <c r="A18540" s="3" t="inlineStr">
        <is>
          <t>1</t>
        </is>
      </c>
      <c r="B18540" s="3" t="inlineStr">
        <is>
          <t>Sewa Tripot</t>
        </is>
      </c>
      <c r="C18540" s="3" t="inlineStr">
        <is>
          <t>hari</t>
        </is>
      </c>
      <c r="D18540" s="15" t="n">
        <v>1.584</v>
      </c>
      <c r="E18540" s="4" t="n">
        <v>108000</v>
      </c>
      <c r="F18540" s="4" t="n">
        <v>171072</v>
      </c>
    </row>
    <row r="18541">
      <c r="D18541" s="2" t="inlineStr">
        <is>
          <t>SUBTOTAL UPAH</t>
        </is>
      </c>
      <c r="F18541" s="16" t="n">
        <v>671480</v>
      </c>
    </row>
    <row r="18542">
      <c r="D18542" s="2" t="inlineStr">
        <is>
          <t>SUBTOTAL BAHAN</t>
        </is>
      </c>
      <c r="F18542" s="16" t="n">
        <v>868000</v>
      </c>
    </row>
    <row r="18543">
      <c r="D18543" s="2" t="inlineStr">
        <is>
          <t>SUBTOTAL ALAT</t>
        </is>
      </c>
      <c r="F18543" s="16" t="n">
        <v>171072</v>
      </c>
    </row>
    <row r="18544">
      <c r="E18544" s="2" t="inlineStr">
        <is>
          <t>TOTAL HARGA SATUAN (Inc. Overhead)</t>
        </is>
      </c>
      <c r="F18544" s="17" t="n">
        <v>1881607</v>
      </c>
    </row>
    <row r="18546">
      <c r="A18546" s="14" t="inlineStr">
        <is>
          <t>KODE: 9.2.1.17 - Pemasangan 1 m Pipa Galvanis, DN. 1/2" (15 mm)</t>
        </is>
      </c>
    </row>
    <row r="18547">
      <c r="A18547" s="10" t="inlineStr">
        <is>
          <t>No</t>
        </is>
      </c>
      <c r="B18547" s="10" t="inlineStr">
        <is>
          <t>Uraian Komponen</t>
        </is>
      </c>
      <c r="C18547" s="10" t="inlineStr">
        <is>
          <t>Satuan</t>
        </is>
      </c>
      <c r="D18547" s="10" t="inlineStr">
        <is>
          <t>Koef</t>
        </is>
      </c>
      <c r="E18547" s="10" t="inlineStr">
        <is>
          <t>Harga Satuan (Rp)</t>
        </is>
      </c>
      <c r="F18547" s="10" t="inlineStr">
        <is>
          <t>Jumlah Harga (Rp)</t>
        </is>
      </c>
    </row>
    <row r="18548">
      <c r="A18548" s="3" t="inlineStr">
        <is>
          <t>1</t>
        </is>
      </c>
      <c r="B18548" s="3" t="inlineStr">
        <is>
          <t>Pekerja</t>
        </is>
      </c>
      <c r="C18548" s="3" t="inlineStr">
        <is>
          <t>OH</t>
        </is>
      </c>
      <c r="D18548" s="15" t="n">
        <v>0.22</v>
      </c>
      <c r="E18548" s="4" t="n">
        <v>100000</v>
      </c>
      <c r="F18548" s="4" t="n">
        <v>22000</v>
      </c>
    </row>
    <row r="18549">
      <c r="A18549" s="3" t="inlineStr">
        <is>
          <t>2</t>
        </is>
      </c>
      <c r="B18549" s="3" t="inlineStr">
        <is>
          <t>Tukang pipa</t>
        </is>
      </c>
      <c r="C18549" s="3" t="inlineStr">
        <is>
          <t>OH</t>
        </is>
      </c>
      <c r="D18549" s="15" t="n">
        <v>0.11</v>
      </c>
      <c r="E18549" s="4" t="n">
        <v>145000</v>
      </c>
      <c r="F18549" s="4" t="n">
        <v>15950</v>
      </c>
    </row>
    <row r="18550">
      <c r="A18550" s="3" t="inlineStr">
        <is>
          <t>3</t>
        </is>
      </c>
      <c r="B18550" s="3" t="inlineStr">
        <is>
          <t>Mandor</t>
        </is>
      </c>
      <c r="C18550" s="3" t="inlineStr">
        <is>
          <t>OH</t>
        </is>
      </c>
      <c r="D18550" s="15" t="n">
        <v>0.022</v>
      </c>
      <c r="E18550" s="4" t="n">
        <v>200000</v>
      </c>
      <c r="F18550" s="4" t="n">
        <v>4400</v>
      </c>
    </row>
    <row r="18551">
      <c r="A18551" s="3" t="inlineStr">
        <is>
          <t>DN. 1/2"" (15 mm)"</t>
        </is>
      </c>
      <c r="B18551" s="3" t="inlineStr"/>
      <c r="C18551" s="3" t="inlineStr">
        <is>
          <t>m</t>
        </is>
      </c>
      <c r="D18551" s="15" t="n">
        <v>1</v>
      </c>
      <c r="E18551" s="4" t="n">
        <v>52000</v>
      </c>
      <c r="F18551" s="4" t="n">
        <v>52000</v>
      </c>
    </row>
    <row r="18552">
      <c r="D18552" s="2" t="inlineStr">
        <is>
          <t>SUBTOTAL UPAH</t>
        </is>
      </c>
      <c r="F18552" s="16" t="n">
        <v>42350</v>
      </c>
    </row>
    <row r="18553">
      <c r="D18553" s="2" t="inlineStr">
        <is>
          <t>SUBTOTAL BAHAN</t>
        </is>
      </c>
      <c r="F18553" s="16" t="n">
        <v>52000</v>
      </c>
    </row>
    <row r="18554">
      <c r="D18554" s="2" t="inlineStr">
        <is>
          <t>SUBTOTAL ALAT</t>
        </is>
      </c>
      <c r="F18554" s="16" t="n">
        <v>0</v>
      </c>
    </row>
    <row r="18555">
      <c r="E18555" s="2" t="inlineStr">
        <is>
          <t>TOTAL HARGA SATUAN (Inc. Overhead)</t>
        </is>
      </c>
      <c r="F18555" s="17" t="n">
        <v>103785</v>
      </c>
    </row>
    <row r="18557">
      <c r="A18557" s="14" t="inlineStr">
        <is>
          <t>KODE: 9.2.1.18 - Pemasangan 1 m Pipa Galvanis, DN. 3/4" (20 mm)</t>
        </is>
      </c>
    </row>
    <row r="18558">
      <c r="A18558" s="10" t="inlineStr">
        <is>
          <t>No</t>
        </is>
      </c>
      <c r="B18558" s="10" t="inlineStr">
        <is>
          <t>Uraian Komponen</t>
        </is>
      </c>
      <c r="C18558" s="10" t="inlineStr">
        <is>
          <t>Satuan</t>
        </is>
      </c>
      <c r="D18558" s="10" t="inlineStr">
        <is>
          <t>Koef</t>
        </is>
      </c>
      <c r="E18558" s="10" t="inlineStr">
        <is>
          <t>Harga Satuan (Rp)</t>
        </is>
      </c>
      <c r="F18558" s="10" t="inlineStr">
        <is>
          <t>Jumlah Harga (Rp)</t>
        </is>
      </c>
    </row>
    <row r="18559">
      <c r="A18559" s="3" t="inlineStr">
        <is>
          <t>1</t>
        </is>
      </c>
      <c r="B18559" s="3" t="inlineStr">
        <is>
          <t>Pekerja</t>
        </is>
      </c>
      <c r="C18559" s="3" t="inlineStr">
        <is>
          <t>OH</t>
        </is>
      </c>
      <c r="D18559" s="15" t="n">
        <v>0.22</v>
      </c>
      <c r="E18559" s="4" t="n">
        <v>100000</v>
      </c>
      <c r="F18559" s="4" t="n">
        <v>22000</v>
      </c>
    </row>
    <row r="18560">
      <c r="A18560" s="3" t="inlineStr">
        <is>
          <t>2</t>
        </is>
      </c>
      <c r="B18560" s="3" t="inlineStr">
        <is>
          <t>Tukang pipa</t>
        </is>
      </c>
      <c r="C18560" s="3" t="inlineStr">
        <is>
          <t>OH</t>
        </is>
      </c>
      <c r="D18560" s="15" t="n">
        <v>0.11</v>
      </c>
      <c r="E18560" s="4" t="n">
        <v>145000</v>
      </c>
      <c r="F18560" s="4" t="n">
        <v>15950</v>
      </c>
    </row>
    <row r="18561">
      <c r="A18561" s="3" t="inlineStr">
        <is>
          <t>3</t>
        </is>
      </c>
      <c r="B18561" s="3" t="inlineStr">
        <is>
          <t>Mandor</t>
        </is>
      </c>
      <c r="C18561" s="3" t="inlineStr">
        <is>
          <t>OH</t>
        </is>
      </c>
      <c r="D18561" s="15" t="n">
        <v>0.022</v>
      </c>
      <c r="E18561" s="4" t="n">
        <v>200000</v>
      </c>
      <c r="F18561" s="4" t="n">
        <v>4400</v>
      </c>
    </row>
    <row r="18562">
      <c r="A18562" s="3" t="inlineStr">
        <is>
          <t>DN. 3/4"" (20 mm)"</t>
        </is>
      </c>
      <c r="B18562" s="3" t="inlineStr"/>
      <c r="C18562" s="3" t="inlineStr">
        <is>
          <t>m</t>
        </is>
      </c>
      <c r="D18562" s="15" t="n">
        <v>1</v>
      </c>
      <c r="E18562" s="4" t="n">
        <v>68000</v>
      </c>
      <c r="F18562" s="4" t="n">
        <v>68000</v>
      </c>
    </row>
    <row r="18563">
      <c r="D18563" s="2" t="inlineStr">
        <is>
          <t>SUBTOTAL UPAH</t>
        </is>
      </c>
      <c r="F18563" s="16" t="n">
        <v>42350</v>
      </c>
    </row>
    <row r="18564">
      <c r="D18564" s="2" t="inlineStr">
        <is>
          <t>SUBTOTAL BAHAN</t>
        </is>
      </c>
      <c r="F18564" s="16" t="n">
        <v>68000</v>
      </c>
    </row>
    <row r="18565">
      <c r="D18565" s="2" t="inlineStr">
        <is>
          <t>SUBTOTAL ALAT</t>
        </is>
      </c>
      <c r="F18565" s="16" t="n">
        <v>0</v>
      </c>
    </row>
    <row r="18566">
      <c r="E18566" s="2" t="inlineStr">
        <is>
          <t>TOTAL HARGA SATUAN (Inc. Overhead)</t>
        </is>
      </c>
      <c r="F18566" s="17" t="n">
        <v>121385</v>
      </c>
    </row>
    <row r="18568">
      <c r="A18568" s="14" t="inlineStr">
        <is>
          <t>KODE: 9.2.1.19 - Pemasangan 1 m Pipa Galvanis, DN. 1" (25 mm)</t>
        </is>
      </c>
    </row>
    <row r="18569">
      <c r="A18569" s="10" t="inlineStr">
        <is>
          <t>No</t>
        </is>
      </c>
      <c r="B18569" s="10" t="inlineStr">
        <is>
          <t>Uraian Komponen</t>
        </is>
      </c>
      <c r="C18569" s="10" t="inlineStr">
        <is>
          <t>Satuan</t>
        </is>
      </c>
      <c r="D18569" s="10" t="inlineStr">
        <is>
          <t>Koef</t>
        </is>
      </c>
      <c r="E18569" s="10" t="inlineStr">
        <is>
          <t>Harga Satuan (Rp)</t>
        </is>
      </c>
      <c r="F18569" s="10" t="inlineStr">
        <is>
          <t>Jumlah Harga (Rp)</t>
        </is>
      </c>
    </row>
    <row r="18570">
      <c r="A18570" s="3" t="inlineStr">
        <is>
          <t>1</t>
        </is>
      </c>
      <c r="B18570" s="3" t="inlineStr">
        <is>
          <t>Pekerja</t>
        </is>
      </c>
      <c r="C18570" s="3" t="inlineStr">
        <is>
          <t>OH</t>
        </is>
      </c>
      <c r="D18570" s="15" t="n">
        <v>0.275</v>
      </c>
      <c r="E18570" s="4" t="n">
        <v>100000</v>
      </c>
      <c r="F18570" s="4" t="n">
        <v>27500</v>
      </c>
    </row>
    <row r="18571">
      <c r="A18571" s="3" t="inlineStr">
        <is>
          <t>2</t>
        </is>
      </c>
      <c r="B18571" s="3" t="inlineStr">
        <is>
          <t>Tukang pipa</t>
        </is>
      </c>
      <c r="C18571" s="3" t="inlineStr">
        <is>
          <t>OH</t>
        </is>
      </c>
      <c r="D18571" s="15" t="n">
        <v>0.138</v>
      </c>
      <c r="E18571" s="4" t="n">
        <v>145000</v>
      </c>
      <c r="F18571" s="4" t="n">
        <v>20010</v>
      </c>
    </row>
    <row r="18572">
      <c r="A18572" s="3" t="inlineStr">
        <is>
          <t>3</t>
        </is>
      </c>
      <c r="B18572" s="3" t="inlineStr">
        <is>
          <t>Mandor</t>
        </is>
      </c>
      <c r="C18572" s="3" t="inlineStr">
        <is>
          <t>OH</t>
        </is>
      </c>
      <c r="D18572" s="15" t="n">
        <v>0.028</v>
      </c>
      <c r="E18572" s="4" t="n">
        <v>200000</v>
      </c>
      <c r="F18572" s="4" t="n">
        <v>5600</v>
      </c>
    </row>
    <row r="18573">
      <c r="A18573" s="3" t="n">
        <v>1</v>
      </c>
      <c r="B18573" s="3" t="inlineStr">
        <is>
          <t>"Pipa Galvanis</t>
        </is>
      </c>
      <c r="C18573" s="3" t="inlineStr">
        <is>
          <t>DN. 1""</t>
        </is>
      </c>
    </row>
    <row r="18574">
      <c r="A18574" s="3" t="inlineStr">
        <is>
          <t>(25 mm)"</t>
        </is>
      </c>
      <c r="B18574" s="3" t="inlineStr"/>
      <c r="C18574" s="3" t="inlineStr">
        <is>
          <t>m</t>
        </is>
      </c>
      <c r="D18574" s="15" t="n">
        <v>1</v>
      </c>
      <c r="E18574" s="4" t="n">
        <v>72000</v>
      </c>
      <c r="F18574" s="4" t="n">
        <v>72000</v>
      </c>
    </row>
    <row r="18575">
      <c r="D18575" s="2" t="inlineStr">
        <is>
          <t>SUBTOTAL UPAH</t>
        </is>
      </c>
      <c r="F18575" s="16" t="n">
        <v>53110</v>
      </c>
    </row>
    <row r="18576">
      <c r="D18576" s="2" t="inlineStr">
        <is>
          <t>SUBTOTAL BAHAN</t>
        </is>
      </c>
      <c r="F18576" s="16" t="n">
        <v>72000</v>
      </c>
    </row>
    <row r="18577">
      <c r="D18577" s="2" t="inlineStr">
        <is>
          <t>SUBTOTAL ALAT</t>
        </is>
      </c>
      <c r="F18577" s="16" t="n">
        <v>0</v>
      </c>
    </row>
    <row r="18578">
      <c r="E18578" s="2" t="inlineStr">
        <is>
          <t>TOTAL HARGA SATUAN (Inc. Overhead)</t>
        </is>
      </c>
      <c r="F18578" s="17" t="n">
        <v>137621</v>
      </c>
    </row>
    <row r="18580">
      <c r="A18580" s="14" t="inlineStr">
        <is>
          <t>KODE: 9.2.1.20 - Pemasangan 1 m Pipa Galvanis, DN. 1-1/4" (32 mm)</t>
        </is>
      </c>
    </row>
    <row r="18581">
      <c r="A18581" s="10" t="inlineStr">
        <is>
          <t>No</t>
        </is>
      </c>
      <c r="B18581" s="10" t="inlineStr">
        <is>
          <t>Uraian Komponen</t>
        </is>
      </c>
      <c r="C18581" s="10" t="inlineStr">
        <is>
          <t>Satuan</t>
        </is>
      </c>
      <c r="D18581" s="10" t="inlineStr">
        <is>
          <t>Koef</t>
        </is>
      </c>
      <c r="E18581" s="10" t="inlineStr">
        <is>
          <t>Harga Satuan (Rp)</t>
        </is>
      </c>
      <c r="F18581" s="10" t="inlineStr">
        <is>
          <t>Jumlah Harga (Rp)</t>
        </is>
      </c>
    </row>
    <row r="18582">
      <c r="A18582" s="3" t="inlineStr">
        <is>
          <t>1</t>
        </is>
      </c>
      <c r="B18582" s="3" t="inlineStr">
        <is>
          <t>Pekerja</t>
        </is>
      </c>
      <c r="C18582" s="3" t="inlineStr">
        <is>
          <t>OH</t>
        </is>
      </c>
      <c r="D18582" s="15" t="n">
        <v>0.275</v>
      </c>
      <c r="E18582" s="4" t="n">
        <v>100000</v>
      </c>
      <c r="F18582" s="4" t="n">
        <v>27500</v>
      </c>
    </row>
    <row r="18583">
      <c r="A18583" s="3" t="inlineStr">
        <is>
          <t>2</t>
        </is>
      </c>
      <c r="B18583" s="3" t="inlineStr">
        <is>
          <t>Tukang pipa</t>
        </is>
      </c>
      <c r="C18583" s="3" t="inlineStr">
        <is>
          <t>OH</t>
        </is>
      </c>
      <c r="D18583" s="15" t="n">
        <v>0.138</v>
      </c>
      <c r="E18583" s="4" t="n">
        <v>145000</v>
      </c>
      <c r="F18583" s="4" t="n">
        <v>20010</v>
      </c>
    </row>
    <row r="18584">
      <c r="A18584" s="3" t="inlineStr">
        <is>
          <t>3</t>
        </is>
      </c>
      <c r="B18584" s="3" t="inlineStr">
        <is>
          <t>Mandor</t>
        </is>
      </c>
      <c r="C18584" s="3" t="inlineStr">
        <is>
          <t>OH</t>
        </is>
      </c>
      <c r="D18584" s="15" t="n">
        <v>0.028</v>
      </c>
      <c r="E18584" s="4" t="n">
        <v>200000</v>
      </c>
      <c r="F18584" s="4" t="n">
        <v>5600</v>
      </c>
    </row>
    <row r="18585">
      <c r="A18585" s="3" t="inlineStr">
        <is>
          <t>DN. 1-1/4"" (32 mm)"</t>
        </is>
      </c>
      <c r="B18585" s="3" t="inlineStr"/>
      <c r="C18585" s="3" t="inlineStr">
        <is>
          <t>m</t>
        </is>
      </c>
      <c r="D18585" s="15" t="n">
        <v>1</v>
      </c>
      <c r="E18585" s="4" t="n">
        <v>80000</v>
      </c>
      <c r="F18585" s="4" t="n">
        <v>80000</v>
      </c>
    </row>
    <row r="18586">
      <c r="D18586" s="2" t="inlineStr">
        <is>
          <t>SUBTOTAL UPAH</t>
        </is>
      </c>
      <c r="F18586" s="16" t="n">
        <v>53110</v>
      </c>
    </row>
    <row r="18587">
      <c r="D18587" s="2" t="inlineStr">
        <is>
          <t>SUBTOTAL BAHAN</t>
        </is>
      </c>
      <c r="F18587" s="16" t="n">
        <v>80000</v>
      </c>
    </row>
    <row r="18588">
      <c r="D18588" s="2" t="inlineStr">
        <is>
          <t>SUBTOTAL ALAT</t>
        </is>
      </c>
      <c r="F18588" s="16" t="n">
        <v>0</v>
      </c>
    </row>
    <row r="18589">
      <c r="E18589" s="2" t="inlineStr">
        <is>
          <t>TOTAL HARGA SATUAN (Inc. Overhead)</t>
        </is>
      </c>
      <c r="F18589" s="17" t="n">
        <v>146421</v>
      </c>
    </row>
    <row r="18591">
      <c r="A18591" s="14" t="inlineStr">
        <is>
          <t>KODE: 9.2.1.21 - Pemasangan 1 m Pipa Galvanis, DN. 1-1/2" (40 mm)</t>
        </is>
      </c>
    </row>
    <row r="18592">
      <c r="A18592" s="10" t="inlineStr">
        <is>
          <t>No</t>
        </is>
      </c>
      <c r="B18592" s="10" t="inlineStr">
        <is>
          <t>Uraian Komponen</t>
        </is>
      </c>
      <c r="C18592" s="10" t="inlineStr">
        <is>
          <t>Satuan</t>
        </is>
      </c>
      <c r="D18592" s="10" t="inlineStr">
        <is>
          <t>Koef</t>
        </is>
      </c>
      <c r="E18592" s="10" t="inlineStr">
        <is>
          <t>Harga Satuan (Rp)</t>
        </is>
      </c>
      <c r="F18592" s="10" t="inlineStr">
        <is>
          <t>Jumlah Harga (Rp)</t>
        </is>
      </c>
    </row>
    <row r="18593">
      <c r="A18593" s="3" t="inlineStr">
        <is>
          <t>1</t>
        </is>
      </c>
      <c r="B18593" s="3" t="inlineStr">
        <is>
          <t>Pekerja</t>
        </is>
      </c>
      <c r="C18593" s="3" t="inlineStr">
        <is>
          <t>OH</t>
        </is>
      </c>
      <c r="D18593" s="15" t="n">
        <v>0.275</v>
      </c>
      <c r="E18593" s="4" t="n">
        <v>100000</v>
      </c>
      <c r="F18593" s="4" t="n">
        <v>27500</v>
      </c>
    </row>
    <row r="18594">
      <c r="A18594" s="3" t="inlineStr">
        <is>
          <t>2</t>
        </is>
      </c>
      <c r="B18594" s="3" t="inlineStr">
        <is>
          <t>Tukang pipa</t>
        </is>
      </c>
      <c r="C18594" s="3" t="inlineStr">
        <is>
          <t>OH</t>
        </is>
      </c>
      <c r="D18594" s="15" t="n">
        <v>0.138</v>
      </c>
      <c r="E18594" s="4" t="n">
        <v>145000</v>
      </c>
      <c r="F18594" s="4" t="n">
        <v>20010</v>
      </c>
    </row>
    <row r="18595">
      <c r="A18595" s="3" t="inlineStr">
        <is>
          <t>3</t>
        </is>
      </c>
      <c r="B18595" s="3" t="inlineStr">
        <is>
          <t>Mandor</t>
        </is>
      </c>
      <c r="C18595" s="3" t="inlineStr">
        <is>
          <t>OH</t>
        </is>
      </c>
      <c r="D18595" s="15" t="n">
        <v>0.028</v>
      </c>
      <c r="E18595" s="4" t="n">
        <v>200000</v>
      </c>
      <c r="F18595" s="4" t="n">
        <v>5600</v>
      </c>
    </row>
    <row r="18596">
      <c r="A18596" s="3" t="inlineStr">
        <is>
          <t>DN. 1-1/2"" (40 mm)"</t>
        </is>
      </c>
      <c r="B18596" s="3" t="inlineStr"/>
      <c r="C18596" s="3" t="inlineStr">
        <is>
          <t>m</t>
        </is>
      </c>
      <c r="D18596" s="15" t="n">
        <v>1</v>
      </c>
      <c r="E18596" s="4" t="n">
        <v>87000</v>
      </c>
      <c r="F18596" s="4" t="n">
        <v>87000</v>
      </c>
    </row>
    <row r="18597">
      <c r="D18597" s="2" t="inlineStr">
        <is>
          <t>SUBTOTAL UPAH</t>
        </is>
      </c>
      <c r="F18597" s="16" t="n">
        <v>53110</v>
      </c>
    </row>
    <row r="18598">
      <c r="D18598" s="2" t="inlineStr">
        <is>
          <t>SUBTOTAL BAHAN</t>
        </is>
      </c>
      <c r="F18598" s="16" t="n">
        <v>87000</v>
      </c>
    </row>
    <row r="18599">
      <c r="D18599" s="2" t="inlineStr">
        <is>
          <t>SUBTOTAL ALAT</t>
        </is>
      </c>
      <c r="F18599" s="16" t="n">
        <v>0</v>
      </c>
    </row>
    <row r="18600">
      <c r="E18600" s="2" t="inlineStr">
        <is>
          <t>TOTAL HARGA SATUAN (Inc. Overhead)</t>
        </is>
      </c>
      <c r="F18600" s="17" t="n">
        <v>154121</v>
      </c>
    </row>
    <row r="18602">
      <c r="A18602" s="14" t="inlineStr">
        <is>
          <t>KODE: 9.2.1.22 - Pemasangan 1 m Pipa Galvanis, DN. 2" (50 mm)</t>
        </is>
      </c>
    </row>
    <row r="18603">
      <c r="A18603" s="10" t="inlineStr">
        <is>
          <t>No</t>
        </is>
      </c>
      <c r="B18603" s="10" t="inlineStr">
        <is>
          <t>Uraian Komponen</t>
        </is>
      </c>
      <c r="C18603" s="10" t="inlineStr">
        <is>
          <t>Satuan</t>
        </is>
      </c>
      <c r="D18603" s="10" t="inlineStr">
        <is>
          <t>Koef</t>
        </is>
      </c>
      <c r="E18603" s="10" t="inlineStr">
        <is>
          <t>Harga Satuan (Rp)</t>
        </is>
      </c>
      <c r="F18603" s="10" t="inlineStr">
        <is>
          <t>Jumlah Harga (Rp)</t>
        </is>
      </c>
    </row>
    <row r="18604">
      <c r="A18604" s="3" t="inlineStr">
        <is>
          <t>1</t>
        </is>
      </c>
      <c r="B18604" s="3" t="inlineStr">
        <is>
          <t>Pekerja</t>
        </is>
      </c>
      <c r="C18604" s="3" t="inlineStr">
        <is>
          <t>OH</t>
        </is>
      </c>
      <c r="D18604" s="15" t="n">
        <v>0.345</v>
      </c>
      <c r="E18604" s="4" t="n">
        <v>100000</v>
      </c>
      <c r="F18604" s="4" t="n">
        <v>34500</v>
      </c>
    </row>
    <row r="18605">
      <c r="A18605" s="3" t="inlineStr">
        <is>
          <t>2</t>
        </is>
      </c>
      <c r="B18605" s="3" t="inlineStr">
        <is>
          <t>Tukang pipa</t>
        </is>
      </c>
      <c r="C18605" s="3" t="inlineStr">
        <is>
          <t>OH</t>
        </is>
      </c>
      <c r="D18605" s="15" t="n">
        <v>0.172</v>
      </c>
      <c r="E18605" s="4" t="n">
        <v>145000</v>
      </c>
      <c r="F18605" s="4" t="n">
        <v>24940</v>
      </c>
    </row>
    <row r="18606">
      <c r="A18606" s="3" t="inlineStr">
        <is>
          <t>3</t>
        </is>
      </c>
      <c r="B18606" s="3" t="inlineStr">
        <is>
          <t>Mandor</t>
        </is>
      </c>
      <c r="C18606" s="3" t="inlineStr">
        <is>
          <t>OH</t>
        </is>
      </c>
      <c r="D18606" s="15" t="n">
        <v>0.034</v>
      </c>
      <c r="E18606" s="4" t="n">
        <v>200000</v>
      </c>
      <c r="F18606" s="4" t="n">
        <v>6800.000000000001</v>
      </c>
    </row>
    <row r="18607">
      <c r="A18607" s="3" t="n">
        <v>1</v>
      </c>
      <c r="B18607" s="3" t="inlineStr">
        <is>
          <t>"Pipa Galvanis</t>
        </is>
      </c>
      <c r="C18607" s="3" t="inlineStr">
        <is>
          <t>DN. 2""</t>
        </is>
      </c>
    </row>
    <row r="18608">
      <c r="A18608" s="3" t="inlineStr">
        <is>
          <t>(50 mm"</t>
        </is>
      </c>
      <c r="B18608" s="3" t="inlineStr"/>
      <c r="C18608" s="3" t="inlineStr">
        <is>
          <t>m</t>
        </is>
      </c>
      <c r="D18608" s="15" t="n">
        <v>1</v>
      </c>
      <c r="E18608" s="4" t="n">
        <v>95000</v>
      </c>
      <c r="F18608" s="4" t="n">
        <v>95000</v>
      </c>
    </row>
    <row r="18609">
      <c r="D18609" s="2" t="inlineStr">
        <is>
          <t>SUBTOTAL UPAH</t>
        </is>
      </c>
      <c r="F18609" s="16" t="n">
        <v>66240</v>
      </c>
    </row>
    <row r="18610">
      <c r="D18610" s="2" t="inlineStr">
        <is>
          <t>SUBTOTAL BAHAN</t>
        </is>
      </c>
      <c r="F18610" s="16" t="n">
        <v>95000</v>
      </c>
    </row>
    <row r="18611">
      <c r="D18611" s="2" t="inlineStr">
        <is>
          <t>SUBTOTAL ALAT</t>
        </is>
      </c>
      <c r="F18611" s="16" t="n">
        <v>0</v>
      </c>
    </row>
    <row r="18612">
      <c r="E18612" s="2" t="inlineStr">
        <is>
          <t>TOTAL HARGA SATUAN (Inc. Overhead)</t>
        </is>
      </c>
      <c r="F18612" s="17" t="n">
        <v>177364</v>
      </c>
    </row>
    <row r="18614">
      <c r="A18614" s="14" t="inlineStr">
        <is>
          <t>KODE: 9.2.1.23 - Pemasangan 1 m Pipa Galvanis, DN. 25" (650 mm)</t>
        </is>
      </c>
    </row>
    <row r="18615">
      <c r="A18615" s="10" t="inlineStr">
        <is>
          <t>No</t>
        </is>
      </c>
      <c r="B18615" s="10" t="inlineStr">
        <is>
          <t>Uraian Komponen</t>
        </is>
      </c>
      <c r="C18615" s="10" t="inlineStr">
        <is>
          <t>Satuan</t>
        </is>
      </c>
      <c r="D18615" s="10" t="inlineStr">
        <is>
          <t>Koef</t>
        </is>
      </c>
      <c r="E18615" s="10" t="inlineStr">
        <is>
          <t>Harga Satuan (Rp)</t>
        </is>
      </c>
      <c r="F18615" s="10" t="inlineStr">
        <is>
          <t>Jumlah Harga (Rp)</t>
        </is>
      </c>
    </row>
    <row r="18616">
      <c r="A18616" s="3" t="inlineStr">
        <is>
          <t>1</t>
        </is>
      </c>
      <c r="B18616" s="3" t="inlineStr">
        <is>
          <t>Pekerja</t>
        </is>
      </c>
      <c r="C18616" s="3" t="inlineStr">
        <is>
          <t>OH</t>
        </is>
      </c>
      <c r="D18616" s="15" t="n">
        <v>1.429</v>
      </c>
      <c r="E18616" s="4" t="n">
        <v>100000</v>
      </c>
      <c r="F18616" s="4" t="n">
        <v>142900</v>
      </c>
    </row>
    <row r="18617">
      <c r="A18617" s="3" t="inlineStr">
        <is>
          <t>2</t>
        </is>
      </c>
      <c r="B18617" s="3" t="inlineStr">
        <is>
          <t>Tukang pipa</t>
        </is>
      </c>
      <c r="C18617" s="3" t="inlineStr">
        <is>
          <t>OH</t>
        </is>
      </c>
      <c r="D18617" s="15" t="n">
        <v>0.714</v>
      </c>
      <c r="E18617" s="4" t="n">
        <v>145000</v>
      </c>
      <c r="F18617" s="4" t="n">
        <v>103530</v>
      </c>
    </row>
    <row r="18618">
      <c r="A18618" s="3" t="inlineStr">
        <is>
          <t>3</t>
        </is>
      </c>
      <c r="B18618" s="3" t="inlineStr">
        <is>
          <t>Mandor</t>
        </is>
      </c>
      <c r="C18618" s="3" t="inlineStr">
        <is>
          <t>OH</t>
        </is>
      </c>
      <c r="D18618" s="15" t="n">
        <v>0.143</v>
      </c>
      <c r="E18618" s="4" t="n">
        <v>200000</v>
      </c>
      <c r="F18618" s="4" t="n">
        <v>28600</v>
      </c>
    </row>
    <row r="18619">
      <c r="A18619" s="3" t="inlineStr">
        <is>
          <t>1</t>
        </is>
      </c>
      <c r="B18619" s="3" t="inlineStr">
        <is>
          <t>"Pipa Galvanis DN. 25"" (650 mm)"</t>
        </is>
      </c>
      <c r="C18619" s="3" t="inlineStr">
        <is>
          <t>m</t>
        </is>
      </c>
      <c r="D18619" s="15" t="n">
        <v>1</v>
      </c>
      <c r="E18619" s="4" t="n">
        <v>700000</v>
      </c>
      <c r="F18619" s="4" t="n">
        <v>700000</v>
      </c>
    </row>
    <row r="18620">
      <c r="A18620" s="3" t="inlineStr">
        <is>
          <t>1</t>
        </is>
      </c>
      <c r="B18620" s="3" t="inlineStr">
        <is>
          <t>Sewa Tripot</t>
        </is>
      </c>
      <c r="C18620" s="3" t="inlineStr">
        <is>
          <t>hari</t>
        </is>
      </c>
      <c r="D18620" s="15" t="n">
        <v>0.44</v>
      </c>
      <c r="E18620" s="4" t="n">
        <v>108000</v>
      </c>
      <c r="F18620" s="4" t="n">
        <v>47520</v>
      </c>
    </row>
    <row r="18621">
      <c r="D18621" s="2" t="inlineStr">
        <is>
          <t>SUBTOTAL UPAH</t>
        </is>
      </c>
      <c r="F18621" s="16" t="n">
        <v>275030</v>
      </c>
    </row>
    <row r="18622">
      <c r="D18622" s="2" t="inlineStr">
        <is>
          <t>SUBTOTAL BAHAN</t>
        </is>
      </c>
      <c r="F18622" s="16" t="n">
        <v>700000</v>
      </c>
    </row>
    <row r="18623">
      <c r="D18623" s="2" t="inlineStr">
        <is>
          <t>SUBTOTAL ALAT</t>
        </is>
      </c>
      <c r="F18623" s="16" t="n">
        <v>47520</v>
      </c>
    </row>
    <row r="18624">
      <c r="E18624" s="2" t="inlineStr">
        <is>
          <t>TOTAL HARGA SATUAN (Inc. Overhead)</t>
        </is>
      </c>
      <c r="F18624" s="17" t="n">
        <v>1124805</v>
      </c>
    </row>
    <row r="18626">
      <c r="A18626" s="14" t="inlineStr">
        <is>
          <t>KODE: 9.2.1.24 - Pemasangan 1 m Pipa Galvanis, DN. 30" (700 mm)</t>
        </is>
      </c>
    </row>
    <row r="18627">
      <c r="A18627" s="10" t="inlineStr">
        <is>
          <t>No</t>
        </is>
      </c>
      <c r="B18627" s="10" t="inlineStr">
        <is>
          <t>Uraian Komponen</t>
        </is>
      </c>
      <c r="C18627" s="10" t="inlineStr">
        <is>
          <t>Satuan</t>
        </is>
      </c>
      <c r="D18627" s="10" t="inlineStr">
        <is>
          <t>Koef</t>
        </is>
      </c>
      <c r="E18627" s="10" t="inlineStr">
        <is>
          <t>Harga Satuan (Rp)</t>
        </is>
      </c>
      <c r="F18627" s="10" t="inlineStr">
        <is>
          <t>Jumlah Harga (Rp)</t>
        </is>
      </c>
    </row>
    <row r="18628">
      <c r="A18628" s="3" t="inlineStr">
        <is>
          <t>1</t>
        </is>
      </c>
      <c r="B18628" s="3" t="inlineStr">
        <is>
          <t>Pekerja</t>
        </is>
      </c>
      <c r="C18628" s="3" t="inlineStr">
        <is>
          <t>OH</t>
        </is>
      </c>
      <c r="D18628" s="15" t="n">
        <v>1.548</v>
      </c>
      <c r="E18628" s="4" t="n">
        <v>100000</v>
      </c>
      <c r="F18628" s="4" t="n">
        <v>154800</v>
      </c>
    </row>
    <row r="18629">
      <c r="A18629" s="3" t="inlineStr">
        <is>
          <t>2</t>
        </is>
      </c>
      <c r="B18629" s="3" t="inlineStr">
        <is>
          <t>Tukang pipa</t>
        </is>
      </c>
      <c r="C18629" s="3" t="inlineStr">
        <is>
          <t>OH</t>
        </is>
      </c>
      <c r="D18629" s="15" t="n">
        <v>0.774</v>
      </c>
      <c r="E18629" s="4" t="n">
        <v>145000</v>
      </c>
      <c r="F18629" s="4" t="n">
        <v>112230</v>
      </c>
    </row>
    <row r="18630">
      <c r="A18630" s="3" t="inlineStr">
        <is>
          <t>3</t>
        </is>
      </c>
      <c r="B18630" s="3" t="inlineStr">
        <is>
          <t>Mandor</t>
        </is>
      </c>
      <c r="C18630" s="3" t="inlineStr">
        <is>
          <t>OH</t>
        </is>
      </c>
      <c r="D18630" s="15" t="n">
        <v>0.155</v>
      </c>
      <c r="E18630" s="4" t="n">
        <v>200000</v>
      </c>
      <c r="F18630" s="4" t="n">
        <v>31000</v>
      </c>
    </row>
    <row r="18631">
      <c r="A18631" s="3" t="inlineStr">
        <is>
          <t>1</t>
        </is>
      </c>
      <c r="B18631" s="3" t="inlineStr">
        <is>
          <t>"Pipa Galvanis DN. 30"" (700 mm)"</t>
        </is>
      </c>
      <c r="C18631" s="3" t="inlineStr">
        <is>
          <t>m</t>
        </is>
      </c>
      <c r="D18631" s="15" t="n">
        <v>1</v>
      </c>
      <c r="E18631" s="4" t="n">
        <v>750000</v>
      </c>
      <c r="F18631" s="4" t="n">
        <v>750000</v>
      </c>
    </row>
    <row r="18632">
      <c r="A18632" s="3" t="inlineStr">
        <is>
          <t>1</t>
        </is>
      </c>
      <c r="B18632" s="3" t="inlineStr">
        <is>
          <t>Sewa Tripot</t>
        </is>
      </c>
      <c r="C18632" s="3" t="inlineStr">
        <is>
          <t>hari</t>
        </is>
      </c>
      <c r="D18632" s="15" t="n">
        <v>0.44</v>
      </c>
      <c r="E18632" s="4" t="n">
        <v>108000</v>
      </c>
      <c r="F18632" s="4" t="n">
        <v>47520</v>
      </c>
    </row>
    <row r="18633">
      <c r="D18633" s="2" t="inlineStr">
        <is>
          <t>SUBTOTAL UPAH</t>
        </is>
      </c>
      <c r="F18633" s="16" t="n">
        <v>298030</v>
      </c>
    </row>
    <row r="18634">
      <c r="D18634" s="2" t="inlineStr">
        <is>
          <t>SUBTOTAL BAHAN</t>
        </is>
      </c>
      <c r="F18634" s="16" t="n">
        <v>750000</v>
      </c>
    </row>
    <row r="18635">
      <c r="D18635" s="2" t="inlineStr">
        <is>
          <t>SUBTOTAL ALAT</t>
        </is>
      </c>
      <c r="F18635" s="16" t="n">
        <v>47520</v>
      </c>
    </row>
    <row r="18636">
      <c r="E18636" s="2" t="inlineStr">
        <is>
          <t>TOTAL HARGA SATUAN (Inc. Overhead)</t>
        </is>
      </c>
      <c r="F18636" s="17" t="n">
        <v>1205105</v>
      </c>
    </row>
    <row r="18638">
      <c r="A18638" s="14" t="inlineStr">
        <is>
          <t>KODE: 9.2.1.25 - Pemasangan 1 m Pipa Galvanis, DN. 40" (1050 mm)</t>
        </is>
      </c>
    </row>
    <row r="18639">
      <c r="A18639" s="10" t="inlineStr">
        <is>
          <t>No</t>
        </is>
      </c>
      <c r="B18639" s="10" t="inlineStr">
        <is>
          <t>Uraian Komponen</t>
        </is>
      </c>
      <c r="C18639" s="10" t="inlineStr">
        <is>
          <t>Satuan</t>
        </is>
      </c>
      <c r="D18639" s="10" t="inlineStr">
        <is>
          <t>Koef</t>
        </is>
      </c>
      <c r="E18639" s="10" t="inlineStr">
        <is>
          <t>Harga Satuan (Rp)</t>
        </is>
      </c>
      <c r="F18639" s="10" t="inlineStr">
        <is>
          <t>Jumlah Harga (Rp)</t>
        </is>
      </c>
    </row>
    <row r="18640">
      <c r="A18640" s="3" t="inlineStr">
        <is>
          <t>1</t>
        </is>
      </c>
      <c r="B18640" s="3" t="inlineStr">
        <is>
          <t>Pekerja</t>
        </is>
      </c>
      <c r="C18640" s="3" t="inlineStr">
        <is>
          <t>OH</t>
        </is>
      </c>
      <c r="D18640" s="15" t="n">
        <v>3.057</v>
      </c>
      <c r="E18640" s="4" t="n">
        <v>100000</v>
      </c>
      <c r="F18640" s="4" t="n">
        <v>305700</v>
      </c>
    </row>
    <row r="18641">
      <c r="A18641" s="3" t="inlineStr">
        <is>
          <t>2</t>
        </is>
      </c>
      <c r="B18641" s="3" t="inlineStr">
        <is>
          <t>Tukang pipa</t>
        </is>
      </c>
      <c r="C18641" s="3" t="inlineStr">
        <is>
          <t>OH</t>
        </is>
      </c>
      <c r="D18641" s="15" t="n">
        <v>1.529</v>
      </c>
      <c r="E18641" s="4" t="n">
        <v>145000</v>
      </c>
      <c r="F18641" s="4" t="n">
        <v>221705</v>
      </c>
    </row>
    <row r="18642">
      <c r="A18642" s="3" t="inlineStr">
        <is>
          <t>3</t>
        </is>
      </c>
      <c r="B18642" s="3" t="inlineStr">
        <is>
          <t>Mandor</t>
        </is>
      </c>
      <c r="C18642" s="3" t="inlineStr">
        <is>
          <t>OH</t>
        </is>
      </c>
      <c r="D18642" s="15" t="n">
        <v>0.306</v>
      </c>
      <c r="E18642" s="4" t="n">
        <v>200000</v>
      </c>
      <c r="F18642" s="4" t="n">
        <v>61200</v>
      </c>
    </row>
    <row r="18643">
      <c r="A18643" s="3" t="inlineStr">
        <is>
          <t>1</t>
        </is>
      </c>
      <c r="B18643" s="3" t="inlineStr">
        <is>
          <t>"Pipa Galvanis DN. 40"" (1050 mm)"</t>
        </is>
      </c>
      <c r="C18643" s="3" t="inlineStr">
        <is>
          <t>m</t>
        </is>
      </c>
      <c r="D18643" s="15" t="n">
        <v>1</v>
      </c>
      <c r="E18643" s="4" t="n">
        <v>800000</v>
      </c>
      <c r="F18643" s="4" t="n">
        <v>800000</v>
      </c>
    </row>
    <row r="18644">
      <c r="A18644" s="3" t="inlineStr">
        <is>
          <t>1</t>
        </is>
      </c>
      <c r="B18644" s="3" t="inlineStr">
        <is>
          <t>Sewa Tripot</t>
        </is>
      </c>
      <c r="C18644" s="3" t="inlineStr">
        <is>
          <t>hari</t>
        </is>
      </c>
      <c r="D18644" s="15" t="n">
        <v>1.205</v>
      </c>
      <c r="E18644" s="4" t="n">
        <v>108000</v>
      </c>
      <c r="F18644" s="4" t="n">
        <v>130140</v>
      </c>
    </row>
    <row r="18645">
      <c r="D18645" s="2" t="inlineStr">
        <is>
          <t>SUBTOTAL UPAH</t>
        </is>
      </c>
      <c r="F18645" s="16" t="n">
        <v>588605</v>
      </c>
    </row>
    <row r="18646">
      <c r="D18646" s="2" t="inlineStr">
        <is>
          <t>SUBTOTAL BAHAN</t>
        </is>
      </c>
      <c r="F18646" s="16" t="n">
        <v>800000</v>
      </c>
    </row>
    <row r="18647">
      <c r="D18647" s="2" t="inlineStr">
        <is>
          <t>SUBTOTAL ALAT</t>
        </is>
      </c>
      <c r="F18647" s="16" t="n">
        <v>130140</v>
      </c>
    </row>
    <row r="18648">
      <c r="E18648" s="2" t="inlineStr">
        <is>
          <t>TOTAL HARGA SATUAN (Inc. Overhead)</t>
        </is>
      </c>
      <c r="F18648" s="17" t="n">
        <v>1670619</v>
      </c>
    </row>
    <row r="18650">
      <c r="A18650" s="14" t="inlineStr">
        <is>
          <t>KODE: 9.2.1.26 - Pemasangan 1 m Pipa Galvanis, DN. 45" (1150 mm)</t>
        </is>
      </c>
    </row>
    <row r="18651">
      <c r="A18651" s="10" t="inlineStr">
        <is>
          <t>No</t>
        </is>
      </c>
      <c r="B18651" s="10" t="inlineStr">
        <is>
          <t>Uraian Komponen</t>
        </is>
      </c>
      <c r="C18651" s="10" t="inlineStr">
        <is>
          <t>Satuan</t>
        </is>
      </c>
      <c r="D18651" s="10" t="inlineStr">
        <is>
          <t>Koef</t>
        </is>
      </c>
      <c r="E18651" s="10" t="inlineStr">
        <is>
          <t>Harga Satuan (Rp)</t>
        </is>
      </c>
      <c r="F18651" s="10" t="inlineStr">
        <is>
          <t>Jumlah Harga (Rp)</t>
        </is>
      </c>
    </row>
    <row r="18652">
      <c r="A18652" s="3" t="inlineStr">
        <is>
          <t>1</t>
        </is>
      </c>
      <c r="B18652" s="3" t="inlineStr">
        <is>
          <t>Pekerja</t>
        </is>
      </c>
      <c r="C18652" s="3" t="inlineStr">
        <is>
          <t>OH</t>
        </is>
      </c>
      <c r="D18652" s="15" t="n">
        <v>3.345</v>
      </c>
      <c r="E18652" s="4" t="n">
        <v>100000</v>
      </c>
      <c r="F18652" s="4" t="n">
        <v>334500</v>
      </c>
    </row>
    <row r="18653">
      <c r="A18653" s="3" t="inlineStr">
        <is>
          <t>2</t>
        </is>
      </c>
      <c r="B18653" s="3" t="inlineStr">
        <is>
          <t>Tukang pipa</t>
        </is>
      </c>
      <c r="C18653" s="3" t="inlineStr">
        <is>
          <t>OH</t>
        </is>
      </c>
      <c r="D18653" s="15" t="n">
        <v>1.673</v>
      </c>
      <c r="E18653" s="4" t="n">
        <v>145000</v>
      </c>
      <c r="F18653" s="4" t="n">
        <v>242585</v>
      </c>
    </row>
    <row r="18654">
      <c r="A18654" s="3" t="inlineStr">
        <is>
          <t>3</t>
        </is>
      </c>
      <c r="B18654" s="3" t="inlineStr">
        <is>
          <t>Mandor</t>
        </is>
      </c>
      <c r="C18654" s="3" t="inlineStr">
        <is>
          <t>OH</t>
        </is>
      </c>
      <c r="D18654" s="15" t="n">
        <v>0.335</v>
      </c>
      <c r="E18654" s="4" t="n">
        <v>200000</v>
      </c>
      <c r="F18654" s="4" t="n">
        <v>67000</v>
      </c>
    </row>
    <row r="18655">
      <c r="A18655" s="3" t="inlineStr">
        <is>
          <t>1</t>
        </is>
      </c>
      <c r="B18655" s="3" t="inlineStr">
        <is>
          <t>"Pipa Galvanis DN. 45"" (1150 mm)"</t>
        </is>
      </c>
      <c r="C18655" s="3" t="inlineStr">
        <is>
          <t>m</t>
        </is>
      </c>
      <c r="D18655" s="15" t="n">
        <v>1</v>
      </c>
      <c r="E18655" s="4" t="n">
        <v>850000</v>
      </c>
      <c r="F18655" s="4" t="n">
        <v>850000</v>
      </c>
    </row>
    <row r="18656">
      <c r="A18656" s="3" t="inlineStr">
        <is>
          <t>1</t>
        </is>
      </c>
      <c r="B18656" s="3" t="inlineStr">
        <is>
          <t>Sewa Tripot</t>
        </is>
      </c>
      <c r="C18656" s="3" t="inlineStr">
        <is>
          <t>hari</t>
        </is>
      </c>
      <c r="D18656" s="15" t="n">
        <v>1.205</v>
      </c>
      <c r="E18656" s="4" t="n">
        <v>108000</v>
      </c>
      <c r="F18656" s="4" t="n">
        <v>130140</v>
      </c>
    </row>
    <row r="18657">
      <c r="D18657" s="2" t="inlineStr">
        <is>
          <t>SUBTOTAL UPAH</t>
        </is>
      </c>
      <c r="F18657" s="16" t="n">
        <v>644085</v>
      </c>
    </row>
    <row r="18658">
      <c r="D18658" s="2" t="inlineStr">
        <is>
          <t>SUBTOTAL BAHAN</t>
        </is>
      </c>
      <c r="F18658" s="16" t="n">
        <v>850000</v>
      </c>
    </row>
    <row r="18659">
      <c r="D18659" s="2" t="inlineStr">
        <is>
          <t>SUBTOTAL ALAT</t>
        </is>
      </c>
      <c r="F18659" s="16" t="n">
        <v>130140</v>
      </c>
    </row>
    <row r="18660">
      <c r="E18660" s="2" t="inlineStr">
        <is>
          <t>TOTAL HARGA SATUAN (Inc. Overhead)</t>
        </is>
      </c>
      <c r="F18660" s="17" t="n">
        <v>1786647</v>
      </c>
    </row>
    <row r="18662">
      <c r="A18662" s="14" t="inlineStr">
        <is>
          <t>KODE: 9.2.2.1 - Pemotongan 1 Buah Pipa Galvanis, DN. 2-1/2" (65 mm)</t>
        </is>
      </c>
    </row>
    <row r="18663">
      <c r="A18663" s="10" t="inlineStr">
        <is>
          <t>No</t>
        </is>
      </c>
      <c r="B18663" s="10" t="inlineStr">
        <is>
          <t>Uraian Komponen</t>
        </is>
      </c>
      <c r="C18663" s="10" t="inlineStr">
        <is>
          <t>Satuan</t>
        </is>
      </c>
      <c r="D18663" s="10" t="inlineStr">
        <is>
          <t>Koef</t>
        </is>
      </c>
      <c r="E18663" s="10" t="inlineStr">
        <is>
          <t>Harga Satuan (Rp)</t>
        </is>
      </c>
      <c r="F18663" s="10" t="inlineStr">
        <is>
          <t>Jumlah Harga (Rp)</t>
        </is>
      </c>
    </row>
    <row r="18664">
      <c r="A18664" s="3" t="inlineStr">
        <is>
          <t>1</t>
        </is>
      </c>
      <c r="B18664" s="3" t="inlineStr">
        <is>
          <t>Pekerja</t>
        </is>
      </c>
      <c r="C18664" s="3" t="inlineStr">
        <is>
          <t>OH</t>
        </is>
      </c>
      <c r="D18664" s="15" t="n">
        <v>0.019</v>
      </c>
      <c r="E18664" s="4" t="n">
        <v>100000</v>
      </c>
      <c r="F18664" s="4" t="n">
        <v>1900</v>
      </c>
    </row>
    <row r="18665">
      <c r="A18665" s="3" t="inlineStr">
        <is>
          <t>2</t>
        </is>
      </c>
      <c r="B18665" s="3" t="inlineStr">
        <is>
          <t>Tukang pipa</t>
        </is>
      </c>
      <c r="C18665" s="3" t="inlineStr">
        <is>
          <t>OH</t>
        </is>
      </c>
      <c r="D18665" s="15" t="n">
        <v>0.01</v>
      </c>
      <c r="E18665" s="4" t="n">
        <v>145000</v>
      </c>
      <c r="F18665" s="4" t="n">
        <v>1450</v>
      </c>
    </row>
    <row r="18666">
      <c r="A18666" s="3" t="inlineStr">
        <is>
          <t>3</t>
        </is>
      </c>
      <c r="B18666" s="3" t="inlineStr">
        <is>
          <t>Mandor</t>
        </is>
      </c>
      <c r="C18666" s="3" t="inlineStr">
        <is>
          <t>OH</t>
        </is>
      </c>
      <c r="D18666" s="15" t="n">
        <v>0.002</v>
      </c>
      <c r="E18666" s="4" t="n">
        <v>200000</v>
      </c>
      <c r="F18666" s="4" t="n">
        <v>400</v>
      </c>
    </row>
    <row r="18667">
      <c r="A18667" s="3" t="inlineStr">
        <is>
          <t>T2/mekanik / cilinder saw"</t>
        </is>
      </c>
      <c r="B18667" s="3" t="inlineStr"/>
      <c r="C18667" s="3" t="inlineStr">
        <is>
          <t>Hari</t>
        </is>
      </c>
      <c r="D18667" s="15" t="n">
        <v>0.004</v>
      </c>
      <c r="E18667" s="4" t="n">
        <v>75000</v>
      </c>
      <c r="F18667" s="4" t="n">
        <v>300</v>
      </c>
    </row>
    <row r="18668">
      <c r="D18668" s="2" t="inlineStr">
        <is>
          <t>SUBTOTAL UPAH</t>
        </is>
      </c>
      <c r="F18668" s="16" t="n">
        <v>3750</v>
      </c>
    </row>
    <row r="18669">
      <c r="D18669" s="2" t="inlineStr">
        <is>
          <t>SUBTOTAL BAHAN</t>
        </is>
      </c>
      <c r="F18669" s="16" t="n">
        <v>0</v>
      </c>
    </row>
    <row r="18670">
      <c r="D18670" s="2" t="inlineStr">
        <is>
          <t>SUBTOTAL ALAT</t>
        </is>
      </c>
      <c r="F18670" s="16" t="n">
        <v>300</v>
      </c>
    </row>
    <row r="18671">
      <c r="E18671" s="2" t="inlineStr">
        <is>
          <t>TOTAL HARGA SATUAN (Inc. Overhead)</t>
        </is>
      </c>
      <c r="F18671" s="17" t="n">
        <v>4455</v>
      </c>
    </row>
    <row r="18673">
      <c r="A18673" s="14" t="inlineStr">
        <is>
          <t>KODE: 9.2.2.2 - Pemotongan 1 Buah Pipa Galvanis, DN. 4" (100 mm)</t>
        </is>
      </c>
    </row>
    <row r="18674">
      <c r="A18674" s="10" t="inlineStr">
        <is>
          <t>No</t>
        </is>
      </c>
      <c r="B18674" s="10" t="inlineStr">
        <is>
          <t>Uraian Komponen</t>
        </is>
      </c>
      <c r="C18674" s="10" t="inlineStr">
        <is>
          <t>Satuan</t>
        </is>
      </c>
      <c r="D18674" s="10" t="inlineStr">
        <is>
          <t>Koef</t>
        </is>
      </c>
      <c r="E18674" s="10" t="inlineStr">
        <is>
          <t>Harga Satuan (Rp)</t>
        </is>
      </c>
      <c r="F18674" s="10" t="inlineStr">
        <is>
          <t>Jumlah Harga (Rp)</t>
        </is>
      </c>
    </row>
    <row r="18675">
      <c r="A18675" s="3" t="inlineStr">
        <is>
          <t>1</t>
        </is>
      </c>
      <c r="B18675" s="3" t="inlineStr">
        <is>
          <t>Pekerja</t>
        </is>
      </c>
      <c r="C18675" s="3" t="inlineStr">
        <is>
          <t>OH</t>
        </is>
      </c>
      <c r="D18675" s="15" t="n">
        <v>0.058</v>
      </c>
      <c r="E18675" s="4" t="n">
        <v>100000</v>
      </c>
      <c r="F18675" s="4" t="n">
        <v>5800</v>
      </c>
    </row>
    <row r="18676">
      <c r="A18676" s="3" t="inlineStr">
        <is>
          <t>2</t>
        </is>
      </c>
      <c r="B18676" s="3" t="inlineStr">
        <is>
          <t>Tukang pipa</t>
        </is>
      </c>
      <c r="C18676" s="3" t="inlineStr">
        <is>
          <t>OH</t>
        </is>
      </c>
      <c r="D18676" s="15" t="n">
        <v>0.029</v>
      </c>
      <c r="E18676" s="4" t="n">
        <v>145000</v>
      </c>
      <c r="F18676" s="4" t="n">
        <v>4205</v>
      </c>
    </row>
    <row r="18677">
      <c r="A18677" s="3" t="inlineStr">
        <is>
          <t>3</t>
        </is>
      </c>
      <c r="B18677" s="3" t="inlineStr">
        <is>
          <t>Mandor</t>
        </is>
      </c>
      <c r="C18677" s="3" t="inlineStr">
        <is>
          <t>OH</t>
        </is>
      </c>
      <c r="D18677" s="15" t="n">
        <v>0.006</v>
      </c>
      <c r="E18677" s="4" t="n">
        <v>200000</v>
      </c>
      <c r="F18677" s="4" t="n">
        <v>1200</v>
      </c>
    </row>
    <row r="18678">
      <c r="A18678" s="3" t="inlineStr">
        <is>
          <t>T2/mekanik / cilinder saw"</t>
        </is>
      </c>
      <c r="B18678" s="3" t="inlineStr"/>
      <c r="C18678" s="3" t="inlineStr">
        <is>
          <t>Hari</t>
        </is>
      </c>
      <c r="D18678" s="15" t="n">
        <v>0.005</v>
      </c>
      <c r="E18678" s="4" t="n">
        <v>75000</v>
      </c>
      <c r="F18678" s="4" t="n">
        <v>375</v>
      </c>
    </row>
    <row r="18679">
      <c r="D18679" s="2" t="inlineStr">
        <is>
          <t>SUBTOTAL UPAH</t>
        </is>
      </c>
      <c r="F18679" s="16" t="n">
        <v>11205</v>
      </c>
    </row>
    <row r="18680">
      <c r="D18680" s="2" t="inlineStr">
        <is>
          <t>SUBTOTAL BAHAN</t>
        </is>
      </c>
      <c r="F18680" s="16" t="n">
        <v>0</v>
      </c>
    </row>
    <row r="18681">
      <c r="D18681" s="2" t="inlineStr">
        <is>
          <t>SUBTOTAL ALAT</t>
        </is>
      </c>
      <c r="F18681" s="16" t="n">
        <v>375</v>
      </c>
    </row>
    <row r="18682">
      <c r="E18682" s="2" t="inlineStr">
        <is>
          <t>TOTAL HARGA SATUAN (Inc. Overhead)</t>
        </is>
      </c>
      <c r="F18682" s="17" t="n">
        <v>12738</v>
      </c>
    </row>
    <row r="18684">
      <c r="A18684" s="14" t="inlineStr">
        <is>
          <t>KODE: 9.2.2.3 - Pemotongan 1 Buah Pipa Galvanis, DN. 5" (125 mm)</t>
        </is>
      </c>
    </row>
    <row r="18685">
      <c r="A18685" s="10" t="inlineStr">
        <is>
          <t>No</t>
        </is>
      </c>
      <c r="B18685" s="10" t="inlineStr">
        <is>
          <t>Uraian Komponen</t>
        </is>
      </c>
      <c r="C18685" s="10" t="inlineStr">
        <is>
          <t>Satuan</t>
        </is>
      </c>
      <c r="D18685" s="10" t="inlineStr">
        <is>
          <t>Koef</t>
        </is>
      </c>
      <c r="E18685" s="10" t="inlineStr">
        <is>
          <t>Harga Satuan (Rp)</t>
        </is>
      </c>
      <c r="F18685" s="10" t="inlineStr">
        <is>
          <t>Jumlah Harga (Rp)</t>
        </is>
      </c>
    </row>
    <row r="18686">
      <c r="A18686" s="3" t="inlineStr">
        <is>
          <t>1</t>
        </is>
      </c>
      <c r="B18686" s="3" t="inlineStr">
        <is>
          <t>Pekerja</t>
        </is>
      </c>
      <c r="C18686" s="3" t="inlineStr">
        <is>
          <t>OH</t>
        </is>
      </c>
      <c r="D18686" s="15" t="n">
        <v>0.092</v>
      </c>
      <c r="E18686" s="4" t="n">
        <v>100000</v>
      </c>
      <c r="F18686" s="4" t="n">
        <v>9200</v>
      </c>
    </row>
    <row r="18687">
      <c r="A18687" s="3" t="inlineStr">
        <is>
          <t>2</t>
        </is>
      </c>
      <c r="B18687" s="3" t="inlineStr">
        <is>
          <t>Tukang pipa</t>
        </is>
      </c>
      <c r="C18687" s="3" t="inlineStr">
        <is>
          <t>OH</t>
        </is>
      </c>
      <c r="D18687" s="15" t="n">
        <v>0.046</v>
      </c>
      <c r="E18687" s="4" t="n">
        <v>145000</v>
      </c>
      <c r="F18687" s="4" t="n">
        <v>6670</v>
      </c>
    </row>
    <row r="18688">
      <c r="A18688" s="3" t="inlineStr">
        <is>
          <t>3</t>
        </is>
      </c>
      <c r="B18688" s="3" t="inlineStr">
        <is>
          <t>Mandor</t>
        </is>
      </c>
      <c r="C18688" s="3" t="inlineStr">
        <is>
          <t>OH</t>
        </is>
      </c>
      <c r="D18688" s="15" t="n">
        <v>0.008999999999999999</v>
      </c>
      <c r="E18688" s="4" t="n">
        <v>200000</v>
      </c>
      <c r="F18688" s="4" t="n">
        <v>1800</v>
      </c>
    </row>
    <row r="18689">
      <c r="A18689" s="3" t="inlineStr">
        <is>
          <t>T2/mekanik / cilinder saw"</t>
        </is>
      </c>
      <c r="B18689" s="3" t="inlineStr"/>
      <c r="C18689" s="3" t="inlineStr">
        <is>
          <t>Hari</t>
        </is>
      </c>
      <c r="D18689" s="15" t="n">
        <v>0.006</v>
      </c>
      <c r="E18689" s="4" t="n">
        <v>75000</v>
      </c>
      <c r="F18689" s="4" t="n">
        <v>450</v>
      </c>
    </row>
    <row r="18690">
      <c r="D18690" s="2" t="inlineStr">
        <is>
          <t>SUBTOTAL UPAH</t>
        </is>
      </c>
      <c r="F18690" s="16" t="n">
        <v>17670</v>
      </c>
    </row>
    <row r="18691">
      <c r="D18691" s="2" t="inlineStr">
        <is>
          <t>SUBTOTAL BAHAN</t>
        </is>
      </c>
      <c r="F18691" s="16" t="n">
        <v>0</v>
      </c>
    </row>
    <row r="18692">
      <c r="D18692" s="2" t="inlineStr">
        <is>
          <t>SUBTOTAL ALAT</t>
        </is>
      </c>
      <c r="F18692" s="16" t="n">
        <v>450</v>
      </c>
    </row>
    <row r="18693">
      <c r="E18693" s="2" t="inlineStr">
        <is>
          <t>TOTAL HARGA SATUAN (Inc. Overhead)</t>
        </is>
      </c>
      <c r="F18693" s="17" t="n">
        <v>19932</v>
      </c>
    </row>
    <row r="18695">
      <c r="A18695" s="14" t="inlineStr">
        <is>
          <t>KODE: 9.2.2.4 - Pemotongan 1 Buah Pipa Galvanis, DN. 6" (150 mm)</t>
        </is>
      </c>
    </row>
    <row r="18696">
      <c r="A18696" s="10" t="inlineStr">
        <is>
          <t>No</t>
        </is>
      </c>
      <c r="B18696" s="10" t="inlineStr">
        <is>
          <t>Uraian Komponen</t>
        </is>
      </c>
      <c r="C18696" s="10" t="inlineStr">
        <is>
          <t>Satuan</t>
        </is>
      </c>
      <c r="D18696" s="10" t="inlineStr">
        <is>
          <t>Koef</t>
        </is>
      </c>
      <c r="E18696" s="10" t="inlineStr">
        <is>
          <t>Harga Satuan (Rp)</t>
        </is>
      </c>
      <c r="F18696" s="10" t="inlineStr">
        <is>
          <t>Jumlah Harga (Rp)</t>
        </is>
      </c>
    </row>
    <row r="18697">
      <c r="A18697" s="3" t="inlineStr">
        <is>
          <t>1</t>
        </is>
      </c>
      <c r="B18697" s="3" t="inlineStr">
        <is>
          <t>Pekerja</t>
        </is>
      </c>
      <c r="C18697" s="3" t="inlineStr">
        <is>
          <t>OH</t>
        </is>
      </c>
      <c r="D18697" s="15" t="n">
        <v>0.131</v>
      </c>
      <c r="E18697" s="4" t="n">
        <v>100000</v>
      </c>
      <c r="F18697" s="4" t="n">
        <v>13100</v>
      </c>
    </row>
    <row r="18698">
      <c r="A18698" s="3" t="inlineStr">
        <is>
          <t>2</t>
        </is>
      </c>
      <c r="B18698" s="3" t="inlineStr">
        <is>
          <t>Tukang pipa</t>
        </is>
      </c>
      <c r="C18698" s="3" t="inlineStr">
        <is>
          <t>OH</t>
        </is>
      </c>
      <c r="D18698" s="15" t="n">
        <v>0.066</v>
      </c>
      <c r="E18698" s="4" t="n">
        <v>145000</v>
      </c>
      <c r="F18698" s="4" t="n">
        <v>9570</v>
      </c>
    </row>
    <row r="18699">
      <c r="A18699" s="3" t="inlineStr">
        <is>
          <t>3</t>
        </is>
      </c>
      <c r="B18699" s="3" t="inlineStr">
        <is>
          <t>Mandor</t>
        </is>
      </c>
      <c r="C18699" s="3" t="inlineStr">
        <is>
          <t>OH</t>
        </is>
      </c>
      <c r="D18699" s="15" t="n">
        <v>0.013</v>
      </c>
      <c r="E18699" s="4" t="n">
        <v>200000</v>
      </c>
      <c r="F18699" s="4" t="n">
        <v>2600</v>
      </c>
    </row>
    <row r="18700">
      <c r="A18700" s="3" t="inlineStr">
        <is>
          <t>T2/mekanik / cilinder saw"</t>
        </is>
      </c>
      <c r="B18700" s="3" t="inlineStr"/>
      <c r="C18700" s="3" t="inlineStr">
        <is>
          <t>Hari</t>
        </is>
      </c>
      <c r="D18700" s="15" t="n">
        <v>0.008999999999999999</v>
      </c>
      <c r="E18700" s="4" t="n">
        <v>75000</v>
      </c>
      <c r="F18700" s="4" t="n">
        <v>675</v>
      </c>
    </row>
    <row r="18701">
      <c r="D18701" s="2" t="inlineStr">
        <is>
          <t>SUBTOTAL UPAH</t>
        </is>
      </c>
      <c r="F18701" s="16" t="n">
        <v>25270</v>
      </c>
    </row>
    <row r="18702">
      <c r="D18702" s="2" t="inlineStr">
        <is>
          <t>SUBTOTAL BAHAN</t>
        </is>
      </c>
      <c r="F18702" s="16" t="n">
        <v>0</v>
      </c>
    </row>
    <row r="18703">
      <c r="D18703" s="2" t="inlineStr">
        <is>
          <t>SUBTOTAL ALAT</t>
        </is>
      </c>
      <c r="F18703" s="16" t="n">
        <v>675</v>
      </c>
    </row>
    <row r="18704">
      <c r="E18704" s="2" t="inlineStr">
        <is>
          <t>TOTAL HARGA SATUAN (Inc. Overhead)</t>
        </is>
      </c>
      <c r="F18704" s="17" t="n">
        <v>28539</v>
      </c>
    </row>
    <row r="18706">
      <c r="A18706" s="14" t="inlineStr">
        <is>
          <t>KODE: 9.2.2.5 - Pemotongan 1 Buah Pipa Galvanis, DN. 8" (200 mm)</t>
        </is>
      </c>
    </row>
    <row r="18707">
      <c r="A18707" s="10" t="inlineStr">
        <is>
          <t>No</t>
        </is>
      </c>
      <c r="B18707" s="10" t="inlineStr">
        <is>
          <t>Uraian Komponen</t>
        </is>
      </c>
      <c r="C18707" s="10" t="inlineStr">
        <is>
          <t>Satuan</t>
        </is>
      </c>
      <c r="D18707" s="10" t="inlineStr">
        <is>
          <t>Koef</t>
        </is>
      </c>
      <c r="E18707" s="10" t="inlineStr">
        <is>
          <t>Harga Satuan (Rp)</t>
        </is>
      </c>
      <c r="F18707" s="10" t="inlineStr">
        <is>
          <t>Jumlah Harga (Rp)</t>
        </is>
      </c>
    </row>
    <row r="18708">
      <c r="A18708" s="3" t="inlineStr">
        <is>
          <t>1</t>
        </is>
      </c>
      <c r="B18708" s="3" t="inlineStr">
        <is>
          <t>Pekerja</t>
        </is>
      </c>
      <c r="C18708" s="3" t="inlineStr">
        <is>
          <t>OH</t>
        </is>
      </c>
      <c r="D18708" s="15" t="n">
        <v>0.34</v>
      </c>
      <c r="E18708" s="4" t="n">
        <v>100000</v>
      </c>
      <c r="F18708" s="4" t="n">
        <v>34000</v>
      </c>
    </row>
    <row r="18709">
      <c r="A18709" s="3" t="inlineStr">
        <is>
          <t>2</t>
        </is>
      </c>
      <c r="B18709" s="3" t="inlineStr">
        <is>
          <t>Tukang pipa</t>
        </is>
      </c>
      <c r="C18709" s="3" t="inlineStr">
        <is>
          <t>OH</t>
        </is>
      </c>
      <c r="D18709" s="15" t="n">
        <v>0.17</v>
      </c>
      <c r="E18709" s="4" t="n">
        <v>145000</v>
      </c>
      <c r="F18709" s="4" t="n">
        <v>24650</v>
      </c>
    </row>
    <row r="18710">
      <c r="A18710" s="3" t="inlineStr">
        <is>
          <t>3</t>
        </is>
      </c>
      <c r="B18710" s="3" t="inlineStr">
        <is>
          <t>Mandor</t>
        </is>
      </c>
      <c r="C18710" s="3" t="inlineStr">
        <is>
          <t>OH</t>
        </is>
      </c>
      <c r="D18710" s="15" t="n">
        <v>0.034</v>
      </c>
      <c r="E18710" s="4" t="n">
        <v>200000</v>
      </c>
      <c r="F18710" s="4" t="n">
        <v>6800.000000000001</v>
      </c>
    </row>
    <row r="18711">
      <c r="A18711" s="3" t="inlineStr">
        <is>
          <t>T2/mekanik / cilinder saw"</t>
        </is>
      </c>
      <c r="B18711" s="3" t="inlineStr"/>
      <c r="C18711" s="3" t="inlineStr">
        <is>
          <t>Hari</t>
        </is>
      </c>
      <c r="D18711" s="15" t="n">
        <v>0.017</v>
      </c>
      <c r="E18711" s="4" t="n">
        <v>75000</v>
      </c>
      <c r="F18711" s="4" t="n">
        <v>1275</v>
      </c>
    </row>
    <row r="18712">
      <c r="D18712" s="2" t="inlineStr">
        <is>
          <t>SUBTOTAL UPAH</t>
        </is>
      </c>
      <c r="F18712" s="16" t="n">
        <v>65450</v>
      </c>
    </row>
    <row r="18713">
      <c r="D18713" s="2" t="inlineStr">
        <is>
          <t>SUBTOTAL BAHAN</t>
        </is>
      </c>
      <c r="F18713" s="16" t="n">
        <v>0</v>
      </c>
    </row>
    <row r="18714">
      <c r="D18714" s="2" t="inlineStr">
        <is>
          <t>SUBTOTAL ALAT</t>
        </is>
      </c>
      <c r="F18714" s="16" t="n">
        <v>1275</v>
      </c>
    </row>
    <row r="18715">
      <c r="E18715" s="2" t="inlineStr">
        <is>
          <t>TOTAL HARGA SATUAN (Inc. Overhead)</t>
        </is>
      </c>
      <c r="F18715" s="17" t="n">
        <v>73397</v>
      </c>
    </row>
    <row r="18717">
      <c r="A18717" s="14" t="inlineStr">
        <is>
          <t>KODE: 9.2.2.6 - Pemotongan 1 Buah Pipa Galvanis, DN.10" (250 mm)</t>
        </is>
      </c>
    </row>
    <row r="18718">
      <c r="A18718" s="10" t="inlineStr">
        <is>
          <t>No</t>
        </is>
      </c>
      <c r="B18718" s="10" t="inlineStr">
        <is>
          <t>Uraian Komponen</t>
        </is>
      </c>
      <c r="C18718" s="10" t="inlineStr">
        <is>
          <t>Satuan</t>
        </is>
      </c>
      <c r="D18718" s="10" t="inlineStr">
        <is>
          <t>Koef</t>
        </is>
      </c>
      <c r="E18718" s="10" t="inlineStr">
        <is>
          <t>Harga Satuan (Rp)</t>
        </is>
      </c>
      <c r="F18718" s="10" t="inlineStr">
        <is>
          <t>Jumlah Harga (Rp)</t>
        </is>
      </c>
    </row>
    <row r="18719">
      <c r="A18719" s="3" t="inlineStr">
        <is>
          <t>1</t>
        </is>
      </c>
      <c r="B18719" s="3" t="inlineStr">
        <is>
          <t>Pekerja</t>
        </is>
      </c>
      <c r="C18719" s="3" t="inlineStr">
        <is>
          <t>OH</t>
        </is>
      </c>
      <c r="D18719" s="15" t="n">
        <v>0.475</v>
      </c>
      <c r="E18719" s="4" t="n">
        <v>100000</v>
      </c>
      <c r="F18719" s="4" t="n">
        <v>47500</v>
      </c>
    </row>
    <row r="18720">
      <c r="A18720" s="3" t="inlineStr">
        <is>
          <t>2</t>
        </is>
      </c>
      <c r="B18720" s="3" t="inlineStr">
        <is>
          <t>Tukang pipa</t>
        </is>
      </c>
      <c r="C18720" s="3" t="inlineStr">
        <is>
          <t>OH</t>
        </is>
      </c>
      <c r="D18720" s="15" t="n">
        <v>0.237</v>
      </c>
      <c r="E18720" s="4" t="n">
        <v>145000</v>
      </c>
      <c r="F18720" s="4" t="n">
        <v>34365</v>
      </c>
    </row>
    <row r="18721">
      <c r="A18721" s="3" t="inlineStr">
        <is>
          <t>3</t>
        </is>
      </c>
      <c r="B18721" s="3" t="inlineStr">
        <is>
          <t>Mandor</t>
        </is>
      </c>
      <c r="C18721" s="3" t="inlineStr">
        <is>
          <t>OH</t>
        </is>
      </c>
      <c r="D18721" s="15" t="n">
        <v>0.047</v>
      </c>
      <c r="E18721" s="4" t="n">
        <v>200000</v>
      </c>
      <c r="F18721" s="4" t="n">
        <v>9400</v>
      </c>
    </row>
    <row r="18722">
      <c r="A18722" s="3" t="inlineStr">
        <is>
          <t>T2/mekanik / cilinder saw"</t>
        </is>
      </c>
      <c r="B18722" s="3" t="inlineStr"/>
      <c r="C18722" s="3" t="inlineStr">
        <is>
          <t>Hari</t>
        </is>
      </c>
      <c r="D18722" s="15" t="n">
        <v>0.023</v>
      </c>
      <c r="E18722" s="4" t="n">
        <v>75000</v>
      </c>
      <c r="F18722" s="4" t="n">
        <v>1725</v>
      </c>
    </row>
    <row r="18723">
      <c r="D18723" s="2" t="inlineStr">
        <is>
          <t>SUBTOTAL UPAH</t>
        </is>
      </c>
      <c r="F18723" s="16" t="n">
        <v>91265</v>
      </c>
    </row>
    <row r="18724">
      <c r="D18724" s="2" t="inlineStr">
        <is>
          <t>SUBTOTAL BAHAN</t>
        </is>
      </c>
      <c r="F18724" s="16" t="n">
        <v>0</v>
      </c>
    </row>
    <row r="18725">
      <c r="D18725" s="2" t="inlineStr">
        <is>
          <t>SUBTOTAL ALAT</t>
        </is>
      </c>
      <c r="F18725" s="16" t="n">
        <v>1725</v>
      </c>
    </row>
    <row r="18726">
      <c r="E18726" s="2" t="inlineStr">
        <is>
          <t>TOTAL HARGA SATUAN (Inc. Overhead)</t>
        </is>
      </c>
      <c r="F18726" s="17" t="n">
        <v>102289</v>
      </c>
    </row>
    <row r="18728">
      <c r="A18728" s="14" t="inlineStr">
        <is>
          <t>KODE: 9.2.2.7 - Pemotongan 1 Buah Pipa Galvanis, DN. 12" (300 mm)</t>
        </is>
      </c>
    </row>
    <row r="18729">
      <c r="A18729" s="10" t="inlineStr">
        <is>
          <t>No</t>
        </is>
      </c>
      <c r="B18729" s="10" t="inlineStr">
        <is>
          <t>Uraian Komponen</t>
        </is>
      </c>
      <c r="C18729" s="10" t="inlineStr">
        <is>
          <t>Satuan</t>
        </is>
      </c>
      <c r="D18729" s="10" t="inlineStr">
        <is>
          <t>Koef</t>
        </is>
      </c>
      <c r="E18729" s="10" t="inlineStr">
        <is>
          <t>Harga Satuan (Rp)</t>
        </is>
      </c>
      <c r="F18729" s="10" t="inlineStr">
        <is>
          <t>Jumlah Harga (Rp)</t>
        </is>
      </c>
    </row>
    <row r="18730">
      <c r="A18730" s="3" t="inlineStr">
        <is>
          <t>1</t>
        </is>
      </c>
      <c r="B18730" s="3" t="inlineStr">
        <is>
          <t>Pekerja</t>
        </is>
      </c>
      <c r="C18730" s="3" t="inlineStr">
        <is>
          <t>OH</t>
        </is>
      </c>
      <c r="D18730" s="15" t="n">
        <v>0.504</v>
      </c>
      <c r="E18730" s="4" t="n">
        <v>100000</v>
      </c>
      <c r="F18730" s="4" t="n">
        <v>50400</v>
      </c>
    </row>
    <row r="18731">
      <c r="A18731" s="3" t="inlineStr">
        <is>
          <t>2</t>
        </is>
      </c>
      <c r="B18731" s="3" t="inlineStr">
        <is>
          <t>Tukang pipa</t>
        </is>
      </c>
      <c r="C18731" s="3" t="inlineStr">
        <is>
          <t>OH</t>
        </is>
      </c>
      <c r="D18731" s="15" t="n">
        <v>0.252</v>
      </c>
      <c r="E18731" s="4" t="n">
        <v>145000</v>
      </c>
      <c r="F18731" s="4" t="n">
        <v>36540</v>
      </c>
    </row>
    <row r="18732">
      <c r="A18732" s="3" t="inlineStr">
        <is>
          <t>3</t>
        </is>
      </c>
      <c r="B18732" s="3" t="inlineStr">
        <is>
          <t>Mandor</t>
        </is>
      </c>
      <c r="C18732" s="3" t="inlineStr">
        <is>
          <t>OH</t>
        </is>
      </c>
      <c r="D18732" s="15" t="n">
        <v>0.05</v>
      </c>
      <c r="E18732" s="4" t="n">
        <v>200000</v>
      </c>
      <c r="F18732" s="4" t="n">
        <v>10000</v>
      </c>
    </row>
    <row r="18733">
      <c r="A18733" s="3" t="inlineStr">
        <is>
          <t>T2/mekanik / cilinder saw"</t>
        </is>
      </c>
      <c r="B18733" s="3" t="inlineStr"/>
      <c r="C18733" s="3" t="inlineStr">
        <is>
          <t>Hari</t>
        </is>
      </c>
      <c r="D18733" s="15" t="n">
        <v>0.03</v>
      </c>
      <c r="E18733" s="4" t="n">
        <v>75000</v>
      </c>
      <c r="F18733" s="4" t="n">
        <v>2250</v>
      </c>
    </row>
    <row r="18734">
      <c r="D18734" s="2" t="inlineStr">
        <is>
          <t>SUBTOTAL UPAH</t>
        </is>
      </c>
      <c r="F18734" s="16" t="n">
        <v>96940</v>
      </c>
    </row>
    <row r="18735">
      <c r="D18735" s="2" t="inlineStr">
        <is>
          <t>SUBTOTAL BAHAN</t>
        </is>
      </c>
      <c r="F18735" s="16" t="n">
        <v>0</v>
      </c>
    </row>
    <row r="18736">
      <c r="D18736" s="2" t="inlineStr">
        <is>
          <t>SUBTOTAL ALAT</t>
        </is>
      </c>
      <c r="F18736" s="16" t="n">
        <v>2250</v>
      </c>
    </row>
    <row r="18737">
      <c r="E18737" s="2" t="inlineStr">
        <is>
          <t>TOTAL HARGA SATUAN (Inc. Overhead)</t>
        </is>
      </c>
      <c r="F18737" s="17" t="n">
        <v>109109</v>
      </c>
    </row>
    <row r="18739">
      <c r="A18739" s="14" t="inlineStr">
        <is>
          <t>KODE: 9.2.2.8 - Pemotongan 1 Buah Pipa Galvanis, DN. 16" (400 mm)</t>
        </is>
      </c>
    </row>
    <row r="18740">
      <c r="A18740" s="10" t="inlineStr">
        <is>
          <t>No</t>
        </is>
      </c>
      <c r="B18740" s="10" t="inlineStr">
        <is>
          <t>Uraian Komponen</t>
        </is>
      </c>
      <c r="C18740" s="10" t="inlineStr">
        <is>
          <t>Satuan</t>
        </is>
      </c>
      <c r="D18740" s="10" t="inlineStr">
        <is>
          <t>Koef</t>
        </is>
      </c>
      <c r="E18740" s="10" t="inlineStr">
        <is>
          <t>Harga Satuan (Rp)</t>
        </is>
      </c>
      <c r="F18740" s="10" t="inlineStr">
        <is>
          <t>Jumlah Harga (Rp)</t>
        </is>
      </c>
    </row>
    <row r="18741">
      <c r="A18741" s="3" t="inlineStr">
        <is>
          <t>1</t>
        </is>
      </c>
      <c r="B18741" s="3" t="inlineStr">
        <is>
          <t>Pekerja</t>
        </is>
      </c>
      <c r="C18741" s="3" t="inlineStr">
        <is>
          <t>OH</t>
        </is>
      </c>
      <c r="D18741" s="15" t="n">
        <v>0.738</v>
      </c>
      <c r="E18741" s="4" t="n">
        <v>100000</v>
      </c>
      <c r="F18741" s="4" t="n">
        <v>73800</v>
      </c>
    </row>
    <row r="18742">
      <c r="A18742" s="3" t="inlineStr">
        <is>
          <t>2</t>
        </is>
      </c>
      <c r="B18742" s="3" t="inlineStr">
        <is>
          <t>Tukang pipa</t>
        </is>
      </c>
      <c r="C18742" s="3" t="inlineStr">
        <is>
          <t>OH</t>
        </is>
      </c>
      <c r="D18742" s="15" t="n">
        <v>0.369</v>
      </c>
      <c r="E18742" s="4" t="n">
        <v>145000</v>
      </c>
      <c r="F18742" s="4" t="n">
        <v>53505</v>
      </c>
    </row>
    <row r="18743">
      <c r="A18743" s="3" t="inlineStr">
        <is>
          <t>3</t>
        </is>
      </c>
      <c r="B18743" s="3" t="inlineStr">
        <is>
          <t>Mandor</t>
        </is>
      </c>
      <c r="C18743" s="3" t="inlineStr">
        <is>
          <t>OH</t>
        </is>
      </c>
      <c r="D18743" s="15" t="n">
        <v>0.074</v>
      </c>
      <c r="E18743" s="4" t="n">
        <v>200000</v>
      </c>
      <c r="F18743" s="4" t="n">
        <v>14800</v>
      </c>
    </row>
    <row r="18744">
      <c r="A18744" s="3" t="inlineStr">
        <is>
          <t>T2/mekanik / cilinder saw"</t>
        </is>
      </c>
      <c r="B18744" s="3" t="inlineStr"/>
      <c r="C18744" s="3" t="inlineStr">
        <is>
          <t>Hari</t>
        </is>
      </c>
      <c r="D18744" s="15" t="n">
        <v>0.055</v>
      </c>
      <c r="E18744" s="4" t="n">
        <v>75000</v>
      </c>
      <c r="F18744" s="4" t="n">
        <v>4125</v>
      </c>
    </row>
    <row r="18745">
      <c r="D18745" s="2" t="inlineStr">
        <is>
          <t>SUBTOTAL UPAH</t>
        </is>
      </c>
      <c r="F18745" s="16" t="n">
        <v>142105</v>
      </c>
    </row>
    <row r="18746">
      <c r="D18746" s="2" t="inlineStr">
        <is>
          <t>SUBTOTAL BAHAN</t>
        </is>
      </c>
      <c r="F18746" s="16" t="n">
        <v>0</v>
      </c>
    </row>
    <row r="18747">
      <c r="D18747" s="2" t="inlineStr">
        <is>
          <t>SUBTOTAL ALAT</t>
        </is>
      </c>
      <c r="F18747" s="16" t="n">
        <v>4125</v>
      </c>
    </row>
    <row r="18748">
      <c r="E18748" s="2" t="inlineStr">
        <is>
          <t>TOTAL HARGA SATUAN (Inc. Overhead)</t>
        </is>
      </c>
      <c r="F18748" s="17" t="n">
        <v>160853</v>
      </c>
    </row>
    <row r="18750">
      <c r="A18750" s="14" t="inlineStr">
        <is>
          <t>KODE: 9.2.2.9 - Pemotongan 1 Buah Pipa Galvanis, DN. 18" (450 mm)</t>
        </is>
      </c>
    </row>
    <row r="18751">
      <c r="A18751" s="10" t="inlineStr">
        <is>
          <t>No</t>
        </is>
      </c>
      <c r="B18751" s="10" t="inlineStr">
        <is>
          <t>Uraian Komponen</t>
        </is>
      </c>
      <c r="C18751" s="10" t="inlineStr">
        <is>
          <t>Satuan</t>
        </is>
      </c>
      <c r="D18751" s="10" t="inlineStr">
        <is>
          <t>Koef</t>
        </is>
      </c>
      <c r="E18751" s="10" t="inlineStr">
        <is>
          <t>Harga Satuan (Rp)</t>
        </is>
      </c>
      <c r="F18751" s="10" t="inlineStr">
        <is>
          <t>Jumlah Harga (Rp)</t>
        </is>
      </c>
    </row>
    <row r="18752">
      <c r="A18752" s="3" t="inlineStr">
        <is>
          <t>1</t>
        </is>
      </c>
      <c r="B18752" s="3" t="inlineStr">
        <is>
          <t>Pekerja</t>
        </is>
      </c>
      <c r="C18752" s="3" t="inlineStr">
        <is>
          <t>OH</t>
        </is>
      </c>
      <c r="D18752" s="15" t="n">
        <v>0.848</v>
      </c>
      <c r="E18752" s="4" t="n">
        <v>100000</v>
      </c>
      <c r="F18752" s="4" t="n">
        <v>84800</v>
      </c>
    </row>
    <row r="18753">
      <c r="A18753" s="3" t="inlineStr">
        <is>
          <t>2</t>
        </is>
      </c>
      <c r="B18753" s="3" t="inlineStr">
        <is>
          <t>Tukang pipa</t>
        </is>
      </c>
      <c r="C18753" s="3" t="inlineStr">
        <is>
          <t>OH</t>
        </is>
      </c>
      <c r="D18753" s="15" t="n">
        <v>0.424</v>
      </c>
      <c r="E18753" s="4" t="n">
        <v>145000</v>
      </c>
      <c r="F18753" s="4" t="n">
        <v>61480</v>
      </c>
    </row>
    <row r="18754">
      <c r="A18754" s="3" t="inlineStr">
        <is>
          <t>3</t>
        </is>
      </c>
      <c r="B18754" s="3" t="inlineStr">
        <is>
          <t>Mandor</t>
        </is>
      </c>
      <c r="C18754" s="3" t="inlineStr">
        <is>
          <t>OH</t>
        </is>
      </c>
      <c r="D18754" s="15" t="n">
        <v>0.08500000000000001</v>
      </c>
      <c r="E18754" s="4" t="n">
        <v>200000</v>
      </c>
      <c r="F18754" s="4" t="n">
        <v>17000</v>
      </c>
    </row>
    <row r="18755">
      <c r="A18755" s="3" t="inlineStr">
        <is>
          <t>T2/mekanik / cilinder saw"</t>
        </is>
      </c>
      <c r="B18755" s="3" t="inlineStr"/>
      <c r="C18755" s="3" t="inlineStr">
        <is>
          <t>Hari</t>
        </is>
      </c>
      <c r="D18755" s="15" t="n">
        <v>0.07000000000000001</v>
      </c>
      <c r="E18755" s="4" t="n">
        <v>75000</v>
      </c>
      <c r="F18755" s="4" t="n">
        <v>5250.000000000001</v>
      </c>
    </row>
    <row r="18756">
      <c r="D18756" s="2" t="inlineStr">
        <is>
          <t>SUBTOTAL UPAH</t>
        </is>
      </c>
      <c r="F18756" s="16" t="n">
        <v>163280</v>
      </c>
    </row>
    <row r="18757">
      <c r="D18757" s="2" t="inlineStr">
        <is>
          <t>SUBTOTAL BAHAN</t>
        </is>
      </c>
      <c r="F18757" s="16" t="n">
        <v>0</v>
      </c>
    </row>
    <row r="18758">
      <c r="D18758" s="2" t="inlineStr">
        <is>
          <t>SUBTOTAL ALAT</t>
        </is>
      </c>
      <c r="F18758" s="16" t="n">
        <v>5250.000000000001</v>
      </c>
    </row>
    <row r="18759">
      <c r="E18759" s="2" t="inlineStr">
        <is>
          <t>TOTAL HARGA SATUAN (Inc. Overhead)</t>
        </is>
      </c>
      <c r="F18759" s="17" t="n">
        <v>185383</v>
      </c>
    </row>
    <row r="18761">
      <c r="A18761" s="14" t="inlineStr">
        <is>
          <t>KODE: 9.2.2.10 - Pemotongan 1 Buah Pipa Galvanis, DN. 20" (500 mm)</t>
        </is>
      </c>
    </row>
    <row r="18762">
      <c r="A18762" s="10" t="inlineStr">
        <is>
          <t>No</t>
        </is>
      </c>
      <c r="B18762" s="10" t="inlineStr">
        <is>
          <t>Uraian Komponen</t>
        </is>
      </c>
      <c r="C18762" s="10" t="inlineStr">
        <is>
          <t>Satuan</t>
        </is>
      </c>
      <c r="D18762" s="10" t="inlineStr">
        <is>
          <t>Koef</t>
        </is>
      </c>
      <c r="E18762" s="10" t="inlineStr">
        <is>
          <t>Harga Satuan (Rp)</t>
        </is>
      </c>
      <c r="F18762" s="10" t="inlineStr">
        <is>
          <t>Jumlah Harga (Rp)</t>
        </is>
      </c>
    </row>
    <row r="18763">
      <c r="A18763" s="3" t="inlineStr">
        <is>
          <t>1</t>
        </is>
      </c>
      <c r="B18763" s="3" t="inlineStr">
        <is>
          <t>Pekerja</t>
        </is>
      </c>
      <c r="C18763" s="3" t="inlineStr">
        <is>
          <t>OH</t>
        </is>
      </c>
      <c r="D18763" s="15" t="n">
        <v>0.9409999999999999</v>
      </c>
      <c r="E18763" s="4" t="n">
        <v>100000</v>
      </c>
      <c r="F18763" s="4" t="n">
        <v>94100</v>
      </c>
    </row>
    <row r="18764">
      <c r="A18764" s="3" t="inlineStr">
        <is>
          <t>2</t>
        </is>
      </c>
      <c r="B18764" s="3" t="inlineStr">
        <is>
          <t>Tukang pipa</t>
        </is>
      </c>
      <c r="C18764" s="3" t="inlineStr">
        <is>
          <t>OH</t>
        </is>
      </c>
      <c r="D18764" s="15" t="n">
        <v>0.471</v>
      </c>
      <c r="E18764" s="4" t="n">
        <v>145000</v>
      </c>
      <c r="F18764" s="4" t="n">
        <v>68295</v>
      </c>
    </row>
    <row r="18765">
      <c r="A18765" s="3" t="inlineStr">
        <is>
          <t>3</t>
        </is>
      </c>
      <c r="B18765" s="3" t="inlineStr">
        <is>
          <t>Mandor</t>
        </is>
      </c>
      <c r="C18765" s="3" t="inlineStr">
        <is>
          <t>OH</t>
        </is>
      </c>
      <c r="D18765" s="15" t="n">
        <v>0.094</v>
      </c>
      <c r="E18765" s="4" t="n">
        <v>200000</v>
      </c>
      <c r="F18765" s="4" t="n">
        <v>18800</v>
      </c>
    </row>
    <row r="18766">
      <c r="A18766" s="3" t="inlineStr">
        <is>
          <t>T2/mekanik / cilinder saw"</t>
        </is>
      </c>
      <c r="B18766" s="3" t="inlineStr"/>
      <c r="C18766" s="3" t="inlineStr">
        <is>
          <t>Hari</t>
        </is>
      </c>
      <c r="D18766" s="15" t="n">
        <v>0.08500000000000001</v>
      </c>
      <c r="E18766" s="4" t="n">
        <v>75000</v>
      </c>
      <c r="F18766" s="4" t="n">
        <v>6375.000000000001</v>
      </c>
    </row>
    <row r="18767">
      <c r="D18767" s="2" t="inlineStr">
        <is>
          <t>SUBTOTAL UPAH</t>
        </is>
      </c>
      <c r="F18767" s="16" t="n">
        <v>181195</v>
      </c>
    </row>
    <row r="18768">
      <c r="D18768" s="2" t="inlineStr">
        <is>
          <t>SUBTOTAL BAHAN</t>
        </is>
      </c>
      <c r="F18768" s="16" t="n">
        <v>0</v>
      </c>
    </row>
    <row r="18769">
      <c r="D18769" s="2" t="inlineStr">
        <is>
          <t>SUBTOTAL ALAT</t>
        </is>
      </c>
      <c r="F18769" s="16" t="n">
        <v>6375.000000000001</v>
      </c>
    </row>
    <row r="18770">
      <c r="E18770" s="2" t="inlineStr">
        <is>
          <t>TOTAL HARGA SATUAN (Inc. Overhead)</t>
        </is>
      </c>
      <c r="F18770" s="17" t="n">
        <v>206327</v>
      </c>
    </row>
    <row r="18772">
      <c r="A18772" s="14" t="inlineStr">
        <is>
          <t>KODE: 9.2.2.11 - Pemotongan 1 Buah Pipa Galvanis, DN. 24" (600 mm)</t>
        </is>
      </c>
    </row>
    <row r="18773">
      <c r="A18773" s="10" t="inlineStr">
        <is>
          <t>No</t>
        </is>
      </c>
      <c r="B18773" s="10" t="inlineStr">
        <is>
          <t>Uraian Komponen</t>
        </is>
      </c>
      <c r="C18773" s="10" t="inlineStr">
        <is>
          <t>Satuan</t>
        </is>
      </c>
      <c r="D18773" s="10" t="inlineStr">
        <is>
          <t>Koef</t>
        </is>
      </c>
      <c r="E18773" s="10" t="inlineStr">
        <is>
          <t>Harga Satuan (Rp)</t>
        </is>
      </c>
      <c r="F18773" s="10" t="inlineStr">
        <is>
          <t>Jumlah Harga (Rp)</t>
        </is>
      </c>
    </row>
    <row r="18774">
      <c r="A18774" s="3" t="inlineStr">
        <is>
          <t>1</t>
        </is>
      </c>
      <c r="B18774" s="3" t="inlineStr">
        <is>
          <t>Pekerja</t>
        </is>
      </c>
      <c r="C18774" s="3" t="inlineStr">
        <is>
          <t>OH</t>
        </is>
      </c>
      <c r="D18774" s="15" t="n">
        <v>1.175</v>
      </c>
      <c r="E18774" s="4" t="n">
        <v>100000</v>
      </c>
      <c r="F18774" s="4" t="n">
        <v>117500</v>
      </c>
    </row>
    <row r="18775">
      <c r="A18775" s="3" t="inlineStr">
        <is>
          <t>2</t>
        </is>
      </c>
      <c r="B18775" s="3" t="inlineStr">
        <is>
          <t>Tukang pipa</t>
        </is>
      </c>
      <c r="C18775" s="3" t="inlineStr">
        <is>
          <t>OH</t>
        </is>
      </c>
      <c r="D18775" s="15" t="n">
        <v>0.587</v>
      </c>
      <c r="E18775" s="4" t="n">
        <v>145000</v>
      </c>
      <c r="F18775" s="4" t="n">
        <v>85115</v>
      </c>
    </row>
    <row r="18776">
      <c r="A18776" s="3" t="inlineStr">
        <is>
          <t>3</t>
        </is>
      </c>
      <c r="B18776" s="3" t="inlineStr">
        <is>
          <t>Mandor</t>
        </is>
      </c>
      <c r="C18776" s="3" t="inlineStr">
        <is>
          <t>OH</t>
        </is>
      </c>
      <c r="D18776" s="15" t="n">
        <v>0.118</v>
      </c>
      <c r="E18776" s="4" t="n">
        <v>200000</v>
      </c>
      <c r="F18776" s="4" t="n">
        <v>23600</v>
      </c>
    </row>
    <row r="18777">
      <c r="A18777" s="3" t="inlineStr">
        <is>
          <t>T2/mekanik / cilinder saw"</t>
        </is>
      </c>
      <c r="B18777" s="3" t="inlineStr"/>
      <c r="C18777" s="3" t="inlineStr">
        <is>
          <t>Hari</t>
        </is>
      </c>
      <c r="D18777" s="15" t="n">
        <v>0.101</v>
      </c>
      <c r="E18777" s="4" t="n">
        <v>75000</v>
      </c>
      <c r="F18777" s="4" t="n">
        <v>7575.000000000001</v>
      </c>
    </row>
    <row r="18778">
      <c r="D18778" s="2" t="inlineStr">
        <is>
          <t>SUBTOTAL UPAH</t>
        </is>
      </c>
      <c r="F18778" s="16" t="n">
        <v>226215</v>
      </c>
    </row>
    <row r="18779">
      <c r="D18779" s="2" t="inlineStr">
        <is>
          <t>SUBTOTAL BAHAN</t>
        </is>
      </c>
      <c r="F18779" s="16" t="n">
        <v>0</v>
      </c>
    </row>
    <row r="18780">
      <c r="D18780" s="2" t="inlineStr">
        <is>
          <t>SUBTOTAL ALAT</t>
        </is>
      </c>
      <c r="F18780" s="16" t="n">
        <v>7575.000000000001</v>
      </c>
    </row>
    <row r="18781">
      <c r="E18781" s="2" t="inlineStr">
        <is>
          <t>TOTAL HARGA SATUAN (Inc. Overhead)</t>
        </is>
      </c>
      <c r="F18781" s="17" t="n">
        <v>257169</v>
      </c>
    </row>
    <row r="18783">
      <c r="A18783" s="14" t="inlineStr">
        <is>
          <t>KODE: 9.2.2.12 - Pemotongan 1 Buah Pipa Galvanis, DN. 32" (800 mm)</t>
        </is>
      </c>
    </row>
    <row r="18784">
      <c r="A18784" s="10" t="inlineStr">
        <is>
          <t>No</t>
        </is>
      </c>
      <c r="B18784" s="10" t="inlineStr">
        <is>
          <t>Uraian Komponen</t>
        </is>
      </c>
      <c r="C18784" s="10" t="inlineStr">
        <is>
          <t>Satuan</t>
        </is>
      </c>
      <c r="D18784" s="10" t="inlineStr">
        <is>
          <t>Koef</t>
        </is>
      </c>
      <c r="E18784" s="10" t="inlineStr">
        <is>
          <t>Harga Satuan (Rp)</t>
        </is>
      </c>
      <c r="F18784" s="10" t="inlineStr">
        <is>
          <t>Jumlah Harga (Rp)</t>
        </is>
      </c>
    </row>
    <row r="18785">
      <c r="A18785" s="3" t="inlineStr">
        <is>
          <t>1</t>
        </is>
      </c>
      <c r="B18785" s="3" t="inlineStr">
        <is>
          <t>Pekerja</t>
        </is>
      </c>
      <c r="C18785" s="3" t="inlineStr">
        <is>
          <t>OH</t>
        </is>
      </c>
      <c r="D18785" s="15" t="n">
        <v>1.567</v>
      </c>
      <c r="E18785" s="4" t="n">
        <v>100000</v>
      </c>
      <c r="F18785" s="4" t="n">
        <v>156700</v>
      </c>
    </row>
    <row r="18786">
      <c r="A18786" s="3" t="inlineStr">
        <is>
          <t>2</t>
        </is>
      </c>
      <c r="B18786" s="3" t="inlineStr">
        <is>
          <t>Tukang pipa</t>
        </is>
      </c>
      <c r="C18786" s="3" t="inlineStr">
        <is>
          <t>OH</t>
        </is>
      </c>
      <c r="D18786" s="15" t="n">
        <v>0.783</v>
      </c>
      <c r="E18786" s="4" t="n">
        <v>145000</v>
      </c>
      <c r="F18786" s="4" t="n">
        <v>113535</v>
      </c>
    </row>
    <row r="18787">
      <c r="A18787" s="3" t="inlineStr">
        <is>
          <t>3</t>
        </is>
      </c>
      <c r="B18787" s="3" t="inlineStr">
        <is>
          <t>Mandor</t>
        </is>
      </c>
      <c r="C18787" s="3" t="inlineStr">
        <is>
          <t>OH</t>
        </is>
      </c>
      <c r="D18787" s="15" t="n">
        <v>0.157</v>
      </c>
      <c r="E18787" s="4" t="n">
        <v>200000</v>
      </c>
      <c r="F18787" s="4" t="n">
        <v>31400</v>
      </c>
    </row>
    <row r="18788">
      <c r="A18788" s="3" t="inlineStr">
        <is>
          <t>T2/mekanik / cilinder saw"</t>
        </is>
      </c>
      <c r="B18788" s="3" t="inlineStr"/>
      <c r="C18788" s="3" t="inlineStr">
        <is>
          <t>Hari</t>
        </is>
      </c>
      <c r="D18788" s="15" t="n">
        <v>0.179</v>
      </c>
      <c r="E18788" s="4" t="n">
        <v>75000</v>
      </c>
      <c r="F18788" s="4" t="n">
        <v>13425</v>
      </c>
    </row>
    <row r="18789">
      <c r="D18789" s="2" t="inlineStr">
        <is>
          <t>SUBTOTAL UPAH</t>
        </is>
      </c>
      <c r="F18789" s="16" t="n">
        <v>301635</v>
      </c>
    </row>
    <row r="18790">
      <c r="D18790" s="2" t="inlineStr">
        <is>
          <t>SUBTOTAL BAHAN</t>
        </is>
      </c>
      <c r="F18790" s="16" t="n">
        <v>0</v>
      </c>
    </row>
    <row r="18791">
      <c r="D18791" s="2" t="inlineStr">
        <is>
          <t>SUBTOTAL ALAT</t>
        </is>
      </c>
      <c r="F18791" s="16" t="n">
        <v>13425</v>
      </c>
    </row>
    <row r="18792">
      <c r="E18792" s="2" t="inlineStr">
        <is>
          <t>TOTAL HARGA SATUAN (Inc. Overhead)</t>
        </is>
      </c>
      <c r="F18792" s="17" t="n">
        <v>346566</v>
      </c>
    </row>
    <row r="18794">
      <c r="A18794" s="14" t="inlineStr">
        <is>
          <t>KODE: 9.2.2.13 - Pemotongan 1 Buah Pipa Galvanis, DN. 36" (900 mm)</t>
        </is>
      </c>
    </row>
    <row r="18795">
      <c r="A18795" s="10" t="inlineStr">
        <is>
          <t>No</t>
        </is>
      </c>
      <c r="B18795" s="10" t="inlineStr">
        <is>
          <t>Uraian Komponen</t>
        </is>
      </c>
      <c r="C18795" s="10" t="inlineStr">
        <is>
          <t>Satuan</t>
        </is>
      </c>
      <c r="D18795" s="10" t="inlineStr">
        <is>
          <t>Koef</t>
        </is>
      </c>
      <c r="E18795" s="10" t="inlineStr">
        <is>
          <t>Harga Satuan (Rp)</t>
        </is>
      </c>
      <c r="F18795" s="10" t="inlineStr">
        <is>
          <t>Jumlah Harga (Rp)</t>
        </is>
      </c>
    </row>
    <row r="18796">
      <c r="A18796" s="3" t="inlineStr">
        <is>
          <t>1</t>
        </is>
      </c>
      <c r="B18796" s="3" t="inlineStr">
        <is>
          <t>Pekerja</t>
        </is>
      </c>
      <c r="C18796" s="3" t="inlineStr">
        <is>
          <t>OH</t>
        </is>
      </c>
      <c r="D18796" s="15" t="n">
        <v>1.77</v>
      </c>
      <c r="E18796" s="4" t="n">
        <v>100000</v>
      </c>
      <c r="F18796" s="4" t="n">
        <v>177000</v>
      </c>
    </row>
    <row r="18797">
      <c r="A18797" s="3" t="inlineStr">
        <is>
          <t>2</t>
        </is>
      </c>
      <c r="B18797" s="3" t="inlineStr">
        <is>
          <t>Tukang pipa</t>
        </is>
      </c>
      <c r="C18797" s="3" t="inlineStr">
        <is>
          <t>OH</t>
        </is>
      </c>
      <c r="D18797" s="15" t="n">
        <v>0.885</v>
      </c>
      <c r="E18797" s="4" t="n">
        <v>145000</v>
      </c>
      <c r="F18797" s="4" t="n">
        <v>128325</v>
      </c>
    </row>
    <row r="18798">
      <c r="A18798" s="3" t="inlineStr">
        <is>
          <t>3</t>
        </is>
      </c>
      <c r="B18798" s="3" t="inlineStr">
        <is>
          <t>Mandor</t>
        </is>
      </c>
      <c r="C18798" s="3" t="inlineStr">
        <is>
          <t>OH</t>
        </is>
      </c>
      <c r="D18798" s="15" t="n">
        <v>0.177</v>
      </c>
      <c r="E18798" s="4" t="n">
        <v>200000</v>
      </c>
      <c r="F18798" s="4" t="n">
        <v>35400</v>
      </c>
    </row>
    <row r="18799">
      <c r="A18799" s="3" t="inlineStr">
        <is>
          <t>T2/mekanik / cilinder saw"</t>
        </is>
      </c>
      <c r="B18799" s="3" t="inlineStr"/>
      <c r="C18799" s="3" t="inlineStr">
        <is>
          <t>Hari</t>
        </is>
      </c>
      <c r="D18799" s="15" t="n">
        <v>0.27</v>
      </c>
      <c r="E18799" s="4" t="n">
        <v>75000</v>
      </c>
      <c r="F18799" s="4" t="n">
        <v>20250</v>
      </c>
    </row>
    <row r="18800">
      <c r="D18800" s="2" t="inlineStr">
        <is>
          <t>SUBTOTAL UPAH</t>
        </is>
      </c>
      <c r="F18800" s="16" t="n">
        <v>340725</v>
      </c>
    </row>
    <row r="18801">
      <c r="D18801" s="2" t="inlineStr">
        <is>
          <t>SUBTOTAL BAHAN</t>
        </is>
      </c>
      <c r="F18801" s="16" t="n">
        <v>0</v>
      </c>
    </row>
    <row r="18802">
      <c r="D18802" s="2" t="inlineStr">
        <is>
          <t>SUBTOTAL ALAT</t>
        </is>
      </c>
      <c r="F18802" s="16" t="n">
        <v>20250</v>
      </c>
    </row>
    <row r="18803">
      <c r="E18803" s="2" t="inlineStr">
        <is>
          <t>TOTAL HARGA SATUAN (Inc. Overhead)</t>
        </is>
      </c>
      <c r="F18803" s="17" t="n">
        <v>397072</v>
      </c>
    </row>
    <row r="18805">
      <c r="A18805" s="14" t="inlineStr">
        <is>
          <t>KODE: 9.2.2.14 - Pemotongan 1 Buah Pipa Galvanis, DN. 40" (1000 mm)</t>
        </is>
      </c>
    </row>
    <row r="18806">
      <c r="A18806" s="10" t="inlineStr">
        <is>
          <t>No</t>
        </is>
      </c>
      <c r="B18806" s="10" t="inlineStr">
        <is>
          <t>Uraian Komponen</t>
        </is>
      </c>
      <c r="C18806" s="10" t="inlineStr">
        <is>
          <t>Satuan</t>
        </is>
      </c>
      <c r="D18806" s="10" t="inlineStr">
        <is>
          <t>Koef</t>
        </is>
      </c>
      <c r="E18806" s="10" t="inlineStr">
        <is>
          <t>Harga Satuan (Rp)</t>
        </is>
      </c>
      <c r="F18806" s="10" t="inlineStr">
        <is>
          <t>Jumlah Harga (Rp)</t>
        </is>
      </c>
    </row>
    <row r="18807">
      <c r="A18807" s="3" t="inlineStr">
        <is>
          <t>1</t>
        </is>
      </c>
      <c r="B18807" s="3" t="inlineStr">
        <is>
          <t>Pekerja</t>
        </is>
      </c>
      <c r="C18807" s="3" t="inlineStr">
        <is>
          <t>OH</t>
        </is>
      </c>
      <c r="D18807" s="15" t="n">
        <v>1.974</v>
      </c>
      <c r="E18807" s="4" t="n">
        <v>100000</v>
      </c>
      <c r="F18807" s="4" t="n">
        <v>197400</v>
      </c>
    </row>
    <row r="18808">
      <c r="A18808" s="3" t="inlineStr">
        <is>
          <t>2</t>
        </is>
      </c>
      <c r="B18808" s="3" t="inlineStr">
        <is>
          <t>Tukang pipa</t>
        </is>
      </c>
      <c r="C18808" s="3" t="inlineStr">
        <is>
          <t>OH</t>
        </is>
      </c>
      <c r="D18808" s="15" t="n">
        <v>0.987</v>
      </c>
      <c r="E18808" s="4" t="n">
        <v>145000</v>
      </c>
      <c r="F18808" s="4" t="n">
        <v>143115</v>
      </c>
    </row>
    <row r="18809">
      <c r="A18809" s="3" t="inlineStr">
        <is>
          <t>3</t>
        </is>
      </c>
      <c r="B18809" s="3" t="inlineStr">
        <is>
          <t>Mandor</t>
        </is>
      </c>
      <c r="C18809" s="3" t="inlineStr">
        <is>
          <t>OH</t>
        </is>
      </c>
      <c r="D18809" s="15" t="n">
        <v>0.197</v>
      </c>
      <c r="E18809" s="4" t="n">
        <v>200000</v>
      </c>
      <c r="F18809" s="4" t="n">
        <v>39400</v>
      </c>
    </row>
    <row r="18810">
      <c r="A18810" s="3" t="inlineStr">
        <is>
          <t>T2/mekanik / cilinder saw"</t>
        </is>
      </c>
      <c r="B18810" s="3" t="inlineStr"/>
      <c r="C18810" s="3" t="inlineStr">
        <is>
          <t>Hari</t>
        </is>
      </c>
      <c r="D18810" s="15" t="n">
        <v>0.332</v>
      </c>
      <c r="E18810" s="4" t="n">
        <v>75000</v>
      </c>
      <c r="F18810" s="4" t="n">
        <v>24900</v>
      </c>
    </row>
    <row r="18811">
      <c r="D18811" s="2" t="inlineStr">
        <is>
          <t>SUBTOTAL UPAH</t>
        </is>
      </c>
      <c r="F18811" s="16" t="n">
        <v>379915</v>
      </c>
    </row>
    <row r="18812">
      <c r="D18812" s="2" t="inlineStr">
        <is>
          <t>SUBTOTAL BAHAN</t>
        </is>
      </c>
      <c r="F18812" s="16" t="n">
        <v>0</v>
      </c>
    </row>
    <row r="18813">
      <c r="D18813" s="2" t="inlineStr">
        <is>
          <t>SUBTOTAL ALAT</t>
        </is>
      </c>
      <c r="F18813" s="16" t="n">
        <v>24900</v>
      </c>
    </row>
    <row r="18814">
      <c r="E18814" s="2" t="inlineStr">
        <is>
          <t>TOTAL HARGA SATUAN (Inc. Overhead)</t>
        </is>
      </c>
      <c r="F18814" s="17" t="n">
        <v>445296</v>
      </c>
    </row>
    <row r="18816">
      <c r="A18816" s="14" t="inlineStr">
        <is>
          <t>KODE: 9.2.2.15 - Pemotongan 1 Buah Pipa Galvanis, DN. 44" (1100 mm)</t>
        </is>
      </c>
    </row>
    <row r="18817">
      <c r="A18817" s="10" t="inlineStr">
        <is>
          <t>No</t>
        </is>
      </c>
      <c r="B18817" s="10" t="inlineStr">
        <is>
          <t>Uraian Komponen</t>
        </is>
      </c>
      <c r="C18817" s="10" t="inlineStr">
        <is>
          <t>Satuan</t>
        </is>
      </c>
      <c r="D18817" s="10" t="inlineStr">
        <is>
          <t>Koef</t>
        </is>
      </c>
      <c r="E18817" s="10" t="inlineStr">
        <is>
          <t>Harga Satuan (Rp)</t>
        </is>
      </c>
      <c r="F18817" s="10" t="inlineStr">
        <is>
          <t>Jumlah Harga (Rp)</t>
        </is>
      </c>
    </row>
    <row r="18818">
      <c r="A18818" s="3" t="inlineStr">
        <is>
          <t>1</t>
        </is>
      </c>
      <c r="B18818" s="3" t="inlineStr">
        <is>
          <t>Pekerja</t>
        </is>
      </c>
      <c r="C18818" s="3" t="inlineStr">
        <is>
          <t>OH</t>
        </is>
      </c>
      <c r="D18818" s="15" t="n">
        <v>2.178</v>
      </c>
      <c r="E18818" s="4" t="n">
        <v>100000</v>
      </c>
      <c r="F18818" s="4" t="n">
        <v>217800</v>
      </c>
    </row>
    <row r="18819">
      <c r="A18819" s="3" t="inlineStr">
        <is>
          <t>2</t>
        </is>
      </c>
      <c r="B18819" s="3" t="inlineStr">
        <is>
          <t>Tukang pipa</t>
        </is>
      </c>
      <c r="C18819" s="3" t="inlineStr">
        <is>
          <t>OH</t>
        </is>
      </c>
      <c r="D18819" s="15" t="n">
        <v>1.089</v>
      </c>
      <c r="E18819" s="4" t="n">
        <v>145000</v>
      </c>
      <c r="F18819" s="4" t="n">
        <v>157905</v>
      </c>
    </row>
    <row r="18820">
      <c r="A18820" s="3" t="inlineStr">
        <is>
          <t>3</t>
        </is>
      </c>
      <c r="B18820" s="3" t="inlineStr">
        <is>
          <t>Mandor</t>
        </is>
      </c>
      <c r="C18820" s="3" t="inlineStr">
        <is>
          <t>OH</t>
        </is>
      </c>
      <c r="D18820" s="15" t="n">
        <v>0.218</v>
      </c>
      <c r="E18820" s="4" t="n">
        <v>200000</v>
      </c>
      <c r="F18820" s="4" t="n">
        <v>43600</v>
      </c>
    </row>
    <row r="18821">
      <c r="A18821" s="3" t="inlineStr">
        <is>
          <t>T2/mekanik / cilinder saw"</t>
        </is>
      </c>
      <c r="B18821" s="3" t="inlineStr"/>
      <c r="C18821" s="3" t="inlineStr">
        <is>
          <t>Hari</t>
        </is>
      </c>
      <c r="D18821" s="15" t="n">
        <v>0.365</v>
      </c>
      <c r="E18821" s="4" t="n">
        <v>75000</v>
      </c>
      <c r="F18821" s="4" t="n">
        <v>27375</v>
      </c>
    </row>
    <row r="18822">
      <c r="D18822" s="2" t="inlineStr">
        <is>
          <t>SUBTOTAL UPAH</t>
        </is>
      </c>
      <c r="F18822" s="16" t="n">
        <v>419305</v>
      </c>
    </row>
    <row r="18823">
      <c r="D18823" s="2" t="inlineStr">
        <is>
          <t>SUBTOTAL BAHAN</t>
        </is>
      </c>
      <c r="F18823" s="16" t="n">
        <v>0</v>
      </c>
    </row>
    <row r="18824">
      <c r="D18824" s="2" t="inlineStr">
        <is>
          <t>SUBTOTAL ALAT</t>
        </is>
      </c>
      <c r="F18824" s="16" t="n">
        <v>27375</v>
      </c>
    </row>
    <row r="18825">
      <c r="E18825" s="2" t="inlineStr">
        <is>
          <t>TOTAL HARGA SATUAN (Inc. Overhead)</t>
        </is>
      </c>
      <c r="F18825" s="17" t="n">
        <v>491348</v>
      </c>
    </row>
    <row r="18827">
      <c r="A18827" s="14" t="inlineStr">
        <is>
          <t>KODE: 9.2.2.16 - Pemotongan 1 Buah Pipa Galvanis, DN. 48" (1200 mm)</t>
        </is>
      </c>
    </row>
    <row r="18828">
      <c r="A18828" s="10" t="inlineStr">
        <is>
          <t>No</t>
        </is>
      </c>
      <c r="B18828" s="10" t="inlineStr">
        <is>
          <t>Uraian Komponen</t>
        </is>
      </c>
      <c r="C18828" s="10" t="inlineStr">
        <is>
          <t>Satuan</t>
        </is>
      </c>
      <c r="D18828" s="10" t="inlineStr">
        <is>
          <t>Koef</t>
        </is>
      </c>
      <c r="E18828" s="10" t="inlineStr">
        <is>
          <t>Harga Satuan (Rp)</t>
        </is>
      </c>
      <c r="F18828" s="10" t="inlineStr">
        <is>
          <t>Jumlah Harga (Rp)</t>
        </is>
      </c>
    </row>
    <row r="18829">
      <c r="A18829" s="3" t="inlineStr">
        <is>
          <t>1</t>
        </is>
      </c>
      <c r="B18829" s="3" t="inlineStr">
        <is>
          <t>Pekerja</t>
        </is>
      </c>
      <c r="C18829" s="3" t="inlineStr">
        <is>
          <t>OH</t>
        </is>
      </c>
      <c r="D18829" s="15" t="n">
        <v>2.382</v>
      </c>
      <c r="E18829" s="4" t="n">
        <v>100000</v>
      </c>
      <c r="F18829" s="4" t="n">
        <v>238200</v>
      </c>
    </row>
    <row r="18830">
      <c r="A18830" s="3" t="inlineStr">
        <is>
          <t>2</t>
        </is>
      </c>
      <c r="B18830" s="3" t="inlineStr">
        <is>
          <t>Tukang pipa</t>
        </is>
      </c>
      <c r="C18830" s="3" t="inlineStr">
        <is>
          <t>OH</t>
        </is>
      </c>
      <c r="D18830" s="15" t="n">
        <v>1.191</v>
      </c>
      <c r="E18830" s="4" t="n">
        <v>145000</v>
      </c>
      <c r="F18830" s="4" t="n">
        <v>172695</v>
      </c>
    </row>
    <row r="18831">
      <c r="A18831" s="3" t="inlineStr">
        <is>
          <t>3</t>
        </is>
      </c>
      <c r="B18831" s="3" t="inlineStr">
        <is>
          <t>Mandor</t>
        </is>
      </c>
      <c r="C18831" s="3" t="inlineStr">
        <is>
          <t>OH</t>
        </is>
      </c>
      <c r="D18831" s="15" t="n">
        <v>0.238</v>
      </c>
      <c r="E18831" s="4" t="n">
        <v>200000</v>
      </c>
      <c r="F18831" s="4" t="n">
        <v>47600</v>
      </c>
    </row>
    <row r="18832">
      <c r="A18832" s="3" t="inlineStr">
        <is>
          <t>T2/mekanik / cilinder saw"</t>
        </is>
      </c>
      <c r="B18832" s="3" t="inlineStr"/>
      <c r="C18832" s="3" t="inlineStr">
        <is>
          <t>Hari</t>
        </is>
      </c>
      <c r="D18832" s="15" t="n">
        <v>0.477</v>
      </c>
      <c r="E18832" s="4" t="n">
        <v>75000</v>
      </c>
      <c r="F18832" s="4" t="n">
        <v>35775</v>
      </c>
    </row>
    <row r="18833">
      <c r="D18833" s="2" t="inlineStr">
        <is>
          <t>SUBTOTAL UPAH</t>
        </is>
      </c>
      <c r="F18833" s="16" t="n">
        <v>458495</v>
      </c>
    </row>
    <row r="18834">
      <c r="D18834" s="2" t="inlineStr">
        <is>
          <t>SUBTOTAL BAHAN</t>
        </is>
      </c>
      <c r="F18834" s="16" t="n">
        <v>0</v>
      </c>
    </row>
    <row r="18835">
      <c r="D18835" s="2" t="inlineStr">
        <is>
          <t>SUBTOTAL ALAT</t>
        </is>
      </c>
      <c r="F18835" s="16" t="n">
        <v>35775</v>
      </c>
    </row>
    <row r="18836">
      <c r="E18836" s="2" t="inlineStr">
        <is>
          <t>TOTAL HARGA SATUAN (Inc. Overhead)</t>
        </is>
      </c>
      <c r="F18836" s="17" t="n">
        <v>543697</v>
      </c>
    </row>
    <row r="18838">
      <c r="A18838" s="14" t="inlineStr">
        <is>
          <t>KODE: 9.3.1.1 - Pemasangan 1 m Pipa HDPE, DN. 2-1/2" (65 mm)</t>
        </is>
      </c>
    </row>
    <row r="18839">
      <c r="A18839" s="10" t="inlineStr">
        <is>
          <t>No</t>
        </is>
      </c>
      <c r="B18839" s="10" t="inlineStr">
        <is>
          <t>Uraian Komponen</t>
        </is>
      </c>
      <c r="C18839" s="10" t="inlineStr">
        <is>
          <t>Satuan</t>
        </is>
      </c>
      <c r="D18839" s="10" t="inlineStr">
        <is>
          <t>Koef</t>
        </is>
      </c>
      <c r="E18839" s="10" t="inlineStr">
        <is>
          <t>Harga Satuan (Rp)</t>
        </is>
      </c>
      <c r="F18839" s="10" t="inlineStr">
        <is>
          <t>Jumlah Harga (Rp)</t>
        </is>
      </c>
    </row>
    <row r="18840">
      <c r="A18840" s="3" t="inlineStr">
        <is>
          <t>1</t>
        </is>
      </c>
      <c r="B18840" s="3" t="inlineStr">
        <is>
          <t>Pekerja</t>
        </is>
      </c>
      <c r="C18840" s="3" t="inlineStr">
        <is>
          <t>OH</t>
        </is>
      </c>
      <c r="D18840" s="15" t="n">
        <v>0.035</v>
      </c>
      <c r="E18840" s="4" t="n">
        <v>100000</v>
      </c>
      <c r="F18840" s="4" t="n">
        <v>3500</v>
      </c>
    </row>
    <row r="18841">
      <c r="A18841" s="3" t="inlineStr">
        <is>
          <t>2</t>
        </is>
      </c>
      <c r="B18841" s="3" t="inlineStr">
        <is>
          <t>Tukang pipa</t>
        </is>
      </c>
      <c r="C18841" s="3" t="inlineStr">
        <is>
          <t>OH</t>
        </is>
      </c>
      <c r="D18841" s="15" t="n">
        <v>0.017</v>
      </c>
      <c r="E18841" s="4" t="n">
        <v>145000</v>
      </c>
      <c r="F18841" s="4" t="n">
        <v>2465</v>
      </c>
    </row>
    <row r="18842">
      <c r="A18842" s="3" t="inlineStr">
        <is>
          <t>3</t>
        </is>
      </c>
      <c r="B18842" s="3" t="inlineStr">
        <is>
          <t>Mandor</t>
        </is>
      </c>
      <c r="C18842" s="3" t="inlineStr">
        <is>
          <t>OH</t>
        </is>
      </c>
      <c r="D18842" s="15" t="n">
        <v>0.003</v>
      </c>
      <c r="E18842" s="4" t="n">
        <v>200000</v>
      </c>
      <c r="F18842" s="4" t="n">
        <v>600</v>
      </c>
    </row>
    <row r="18843">
      <c r="A18843" s="3" t="inlineStr">
        <is>
          <t>(65 mm)"</t>
        </is>
      </c>
      <c r="B18843" s="3" t="inlineStr"/>
      <c r="C18843" s="3" t="inlineStr">
        <is>
          <t>m</t>
        </is>
      </c>
      <c r="D18843" s="15" t="n">
        <v>1</v>
      </c>
      <c r="E18843" s="4" t="n">
        <v>25000</v>
      </c>
      <c r="F18843" s="4" t="n">
        <v>25000</v>
      </c>
    </row>
    <row r="18844">
      <c r="A18844" s="3" t="inlineStr">
        <is>
          <t>1</t>
        </is>
      </c>
      <c r="B18844" s="3" t="inlineStr">
        <is>
          <t>Sewa Tripot</t>
        </is>
      </c>
      <c r="C18844" s="3" t="inlineStr">
        <is>
          <t>Hari</t>
        </is>
      </c>
      <c r="D18844" s="15" t="n">
        <v>0.019</v>
      </c>
      <c r="E18844" s="4" t="n">
        <v>108000</v>
      </c>
      <c r="F18844" s="4" t="n">
        <v>2052</v>
      </c>
    </row>
    <row r="18845">
      <c r="D18845" s="2" t="inlineStr">
        <is>
          <t>SUBTOTAL UPAH</t>
        </is>
      </c>
      <c r="F18845" s="16" t="n">
        <v>6565</v>
      </c>
    </row>
    <row r="18846">
      <c r="D18846" s="2" t="inlineStr">
        <is>
          <t>SUBTOTAL BAHAN</t>
        </is>
      </c>
      <c r="F18846" s="16" t="n">
        <v>25000</v>
      </c>
    </row>
    <row r="18847">
      <c r="D18847" s="2" t="inlineStr">
        <is>
          <t>SUBTOTAL ALAT</t>
        </is>
      </c>
      <c r="F18847" s="16" t="n">
        <v>2052</v>
      </c>
    </row>
    <row r="18848">
      <c r="E18848" s="2" t="inlineStr">
        <is>
          <t>TOTAL HARGA SATUAN (Inc. Overhead)</t>
        </is>
      </c>
      <c r="F18848" s="17" t="n">
        <v>36978</v>
      </c>
    </row>
    <row r="18850">
      <c r="A18850" s="14" t="inlineStr">
        <is>
          <t>KODE: 9.3.1.2 - Pemasangan 1 m Pipa HDPE, DN. 4" (100 mm)</t>
        </is>
      </c>
    </row>
    <row r="18851">
      <c r="A18851" s="10" t="inlineStr">
        <is>
          <t>No</t>
        </is>
      </c>
      <c r="B18851" s="10" t="inlineStr">
        <is>
          <t>Uraian Komponen</t>
        </is>
      </c>
      <c r="C18851" s="10" t="inlineStr">
        <is>
          <t>Satuan</t>
        </is>
      </c>
      <c r="D18851" s="10" t="inlineStr">
        <is>
          <t>Koef</t>
        </is>
      </c>
      <c r="E18851" s="10" t="inlineStr">
        <is>
          <t>Harga Satuan (Rp)</t>
        </is>
      </c>
      <c r="F18851" s="10" t="inlineStr">
        <is>
          <t>Jumlah Harga (Rp)</t>
        </is>
      </c>
    </row>
    <row r="18852">
      <c r="A18852" s="3" t="inlineStr">
        <is>
          <t>1</t>
        </is>
      </c>
      <c r="B18852" s="3" t="inlineStr">
        <is>
          <t>Pekerja</t>
        </is>
      </c>
      <c r="C18852" s="3" t="inlineStr">
        <is>
          <t>OH</t>
        </is>
      </c>
      <c r="D18852" s="15" t="n">
        <v>0.04</v>
      </c>
      <c r="E18852" s="4" t="n">
        <v>100000</v>
      </c>
      <c r="F18852" s="4" t="n">
        <v>4000</v>
      </c>
    </row>
    <row r="18853">
      <c r="A18853" s="3" t="inlineStr">
        <is>
          <t>2</t>
        </is>
      </c>
      <c r="B18853" s="3" t="inlineStr">
        <is>
          <t>Tukang pipa</t>
        </is>
      </c>
      <c r="C18853" s="3" t="inlineStr">
        <is>
          <t>OH</t>
        </is>
      </c>
      <c r="D18853" s="15" t="n">
        <v>0.02</v>
      </c>
      <c r="E18853" s="4" t="n">
        <v>145000</v>
      </c>
      <c r="F18853" s="4" t="n">
        <v>2900</v>
      </c>
    </row>
    <row r="18854">
      <c r="A18854" s="3" t="inlineStr">
        <is>
          <t>3</t>
        </is>
      </c>
      <c r="B18854" s="3" t="inlineStr">
        <is>
          <t>Mandor</t>
        </is>
      </c>
      <c r="C18854" s="3" t="inlineStr">
        <is>
          <t>OH</t>
        </is>
      </c>
      <c r="D18854" s="15" t="n">
        <v>0.004</v>
      </c>
      <c r="E18854" s="4" t="n">
        <v>200000</v>
      </c>
      <c r="F18854" s="4" t="n">
        <v>800</v>
      </c>
    </row>
    <row r="18855">
      <c r="A18855" s="3" t="inlineStr">
        <is>
          <t>(100 mm)"</t>
        </is>
      </c>
      <c r="B18855" s="3" t="inlineStr"/>
      <c r="C18855" s="3" t="inlineStr">
        <is>
          <t>m</t>
        </is>
      </c>
      <c r="D18855" s="15" t="n">
        <v>1</v>
      </c>
      <c r="E18855" s="4" t="n">
        <v>50000</v>
      </c>
      <c r="F18855" s="4" t="n">
        <v>50000</v>
      </c>
    </row>
    <row r="18856">
      <c r="A18856" s="3" t="inlineStr">
        <is>
          <t>1</t>
        </is>
      </c>
      <c r="B18856" s="3" t="inlineStr">
        <is>
          <t>Sewa Tripot</t>
        </is>
      </c>
      <c r="C18856" s="3" t="inlineStr">
        <is>
          <t>Hari</t>
        </is>
      </c>
      <c r="D18856" s="15" t="n">
        <v>0.019</v>
      </c>
      <c r="E18856" s="4" t="n">
        <v>108000</v>
      </c>
      <c r="F18856" s="4" t="n">
        <v>2052</v>
      </c>
    </row>
    <row r="18857">
      <c r="D18857" s="2" t="inlineStr">
        <is>
          <t>SUBTOTAL UPAH</t>
        </is>
      </c>
      <c r="F18857" s="16" t="n">
        <v>7700</v>
      </c>
    </row>
    <row r="18858">
      <c r="D18858" s="2" t="inlineStr">
        <is>
          <t>SUBTOTAL BAHAN</t>
        </is>
      </c>
      <c r="F18858" s="16" t="n">
        <v>50000</v>
      </c>
    </row>
    <row r="18859">
      <c r="D18859" s="2" t="inlineStr">
        <is>
          <t>SUBTOTAL ALAT</t>
        </is>
      </c>
      <c r="F18859" s="16" t="n">
        <v>2052</v>
      </c>
    </row>
    <row r="18860">
      <c r="E18860" s="2" t="inlineStr">
        <is>
          <t>TOTAL HARGA SATUAN (Inc. Overhead)</t>
        </is>
      </c>
      <c r="F18860" s="17" t="n">
        <v>65727</v>
      </c>
    </row>
    <row r="18862">
      <c r="A18862" s="14" t="inlineStr">
        <is>
          <t>KODE: 9.3.1.3 - Pemasangan 1 m Pipa HDPE, DN. 5" (125 mm)</t>
        </is>
      </c>
    </row>
    <row r="18863">
      <c r="A18863" s="10" t="inlineStr">
        <is>
          <t>No</t>
        </is>
      </c>
      <c r="B18863" s="10" t="inlineStr">
        <is>
          <t>Uraian Komponen</t>
        </is>
      </c>
      <c r="C18863" s="10" t="inlineStr">
        <is>
          <t>Satuan</t>
        </is>
      </c>
      <c r="D18863" s="10" t="inlineStr">
        <is>
          <t>Koef</t>
        </is>
      </c>
      <c r="E18863" s="10" t="inlineStr">
        <is>
          <t>Harga Satuan (Rp)</t>
        </is>
      </c>
      <c r="F18863" s="10" t="inlineStr">
        <is>
          <t>Jumlah Harga (Rp)</t>
        </is>
      </c>
    </row>
    <row r="18864">
      <c r="A18864" s="3" t="inlineStr">
        <is>
          <t>1</t>
        </is>
      </c>
      <c r="B18864" s="3" t="inlineStr">
        <is>
          <t>Pekerja</t>
        </is>
      </c>
      <c r="C18864" s="3" t="inlineStr">
        <is>
          <t>OH</t>
        </is>
      </c>
      <c r="D18864" s="15" t="n">
        <v>0.045</v>
      </c>
      <c r="E18864" s="4" t="n">
        <v>100000</v>
      </c>
      <c r="F18864" s="4" t="n">
        <v>4500</v>
      </c>
    </row>
    <row r="18865">
      <c r="A18865" s="3" t="inlineStr">
        <is>
          <t>2</t>
        </is>
      </c>
      <c r="B18865" s="3" t="inlineStr">
        <is>
          <t>Tukang pipa</t>
        </is>
      </c>
      <c r="C18865" s="3" t="inlineStr">
        <is>
          <t>OH</t>
        </is>
      </c>
      <c r="D18865" s="15" t="n">
        <v>0.023</v>
      </c>
      <c r="E18865" s="4" t="n">
        <v>145000</v>
      </c>
      <c r="F18865" s="4" t="n">
        <v>3335</v>
      </c>
    </row>
    <row r="18866">
      <c r="A18866" s="3" t="inlineStr">
        <is>
          <t>3</t>
        </is>
      </c>
      <c r="B18866" s="3" t="inlineStr">
        <is>
          <t>Mandor</t>
        </is>
      </c>
      <c r="C18866" s="3" t="inlineStr">
        <is>
          <t>OH</t>
        </is>
      </c>
      <c r="D18866" s="15" t="n">
        <v>0.005</v>
      </c>
      <c r="E18866" s="4" t="n">
        <v>200000</v>
      </c>
      <c r="F18866" s="4" t="n">
        <v>1000</v>
      </c>
    </row>
    <row r="18867">
      <c r="A18867" s="3" t="inlineStr">
        <is>
          <t>(125 mm)"</t>
        </is>
      </c>
      <c r="B18867" s="3" t="inlineStr"/>
      <c r="C18867" s="3" t="inlineStr">
        <is>
          <t>m</t>
        </is>
      </c>
      <c r="D18867" s="15" t="n">
        <v>1</v>
      </c>
      <c r="E18867" s="4" t="n">
        <v>58000</v>
      </c>
      <c r="F18867" s="4" t="n">
        <v>58000</v>
      </c>
    </row>
    <row r="18868">
      <c r="A18868" s="3" t="inlineStr">
        <is>
          <t>1</t>
        </is>
      </c>
      <c r="B18868" s="3" t="inlineStr">
        <is>
          <t>Sewa Tripot</t>
        </is>
      </c>
      <c r="C18868" s="3" t="inlineStr">
        <is>
          <t>Hari</t>
        </is>
      </c>
      <c r="D18868" s="15" t="n">
        <v>0.019</v>
      </c>
      <c r="E18868" s="4" t="n">
        <v>108000</v>
      </c>
      <c r="F18868" s="4" t="n">
        <v>2052</v>
      </c>
    </row>
    <row r="18869">
      <c r="D18869" s="2" t="inlineStr">
        <is>
          <t>SUBTOTAL UPAH</t>
        </is>
      </c>
      <c r="F18869" s="16" t="n">
        <v>8835</v>
      </c>
    </row>
    <row r="18870">
      <c r="D18870" s="2" t="inlineStr">
        <is>
          <t>SUBTOTAL BAHAN</t>
        </is>
      </c>
      <c r="F18870" s="16" t="n">
        <v>58000</v>
      </c>
    </row>
    <row r="18871">
      <c r="D18871" s="2" t="inlineStr">
        <is>
          <t>SUBTOTAL ALAT</t>
        </is>
      </c>
      <c r="F18871" s="16" t="n">
        <v>2052</v>
      </c>
    </row>
    <row r="18872">
      <c r="E18872" s="2" t="inlineStr">
        <is>
          <t>TOTAL HARGA SATUAN (Inc. Overhead)</t>
        </is>
      </c>
      <c r="F18872" s="17" t="n">
        <v>75775</v>
      </c>
    </row>
    <row r="18874">
      <c r="A18874" s="14" t="inlineStr">
        <is>
          <t>KODE: 9.3.1.4 - Pemasangan 1 m Pipa HDPE, DN. 6" (150 mm)</t>
        </is>
      </c>
    </row>
    <row r="18875">
      <c r="A18875" s="10" t="inlineStr">
        <is>
          <t>No</t>
        </is>
      </c>
      <c r="B18875" s="10" t="inlineStr">
        <is>
          <t>Uraian Komponen</t>
        </is>
      </c>
      <c r="C18875" s="10" t="inlineStr">
        <is>
          <t>Satuan</t>
        </is>
      </c>
      <c r="D18875" s="10" t="inlineStr">
        <is>
          <t>Koef</t>
        </is>
      </c>
      <c r="E18875" s="10" t="inlineStr">
        <is>
          <t>Harga Satuan (Rp)</t>
        </is>
      </c>
      <c r="F18875" s="10" t="inlineStr">
        <is>
          <t>Jumlah Harga (Rp)</t>
        </is>
      </c>
    </row>
    <row r="18876">
      <c r="A18876" s="3" t="inlineStr">
        <is>
          <t>1</t>
        </is>
      </c>
      <c r="B18876" s="3" t="inlineStr">
        <is>
          <t>Pekerja</t>
        </is>
      </c>
      <c r="C18876" s="3" t="inlineStr">
        <is>
          <t>OH</t>
        </is>
      </c>
      <c r="D18876" s="15" t="n">
        <v>0.062</v>
      </c>
      <c r="E18876" s="4" t="n">
        <v>100000</v>
      </c>
      <c r="F18876" s="4" t="n">
        <v>6200</v>
      </c>
    </row>
    <row r="18877">
      <c r="A18877" s="3" t="inlineStr">
        <is>
          <t>2</t>
        </is>
      </c>
      <c r="B18877" s="3" t="inlineStr">
        <is>
          <t>Tukang pipa</t>
        </is>
      </c>
      <c r="C18877" s="3" t="inlineStr">
        <is>
          <t>OH</t>
        </is>
      </c>
      <c r="D18877" s="15" t="n">
        <v>0.031</v>
      </c>
      <c r="E18877" s="4" t="n">
        <v>145000</v>
      </c>
      <c r="F18877" s="4" t="n">
        <v>4495</v>
      </c>
    </row>
    <row r="18878">
      <c r="A18878" s="3" t="inlineStr">
        <is>
          <t>3</t>
        </is>
      </c>
      <c r="B18878" s="3" t="inlineStr">
        <is>
          <t>Mandor</t>
        </is>
      </c>
      <c r="C18878" s="3" t="inlineStr">
        <is>
          <t>OH</t>
        </is>
      </c>
      <c r="D18878" s="15" t="n">
        <v>0.006</v>
      </c>
      <c r="E18878" s="4" t="n">
        <v>200000</v>
      </c>
      <c r="F18878" s="4" t="n">
        <v>1200</v>
      </c>
    </row>
    <row r="18879">
      <c r="A18879" s="3" t="inlineStr">
        <is>
          <t>(150 mm"</t>
        </is>
      </c>
      <c r="B18879" s="3" t="inlineStr"/>
      <c r="C18879" s="3" t="inlineStr">
        <is>
          <t>m</t>
        </is>
      </c>
      <c r="D18879" s="15" t="n">
        <v>1</v>
      </c>
      <c r="E18879" s="4" t="n">
        <v>64000</v>
      </c>
      <c r="F18879" s="4" t="n">
        <v>64000</v>
      </c>
    </row>
    <row r="18880">
      <c r="A18880" s="3" t="inlineStr">
        <is>
          <t>1</t>
        </is>
      </c>
      <c r="B18880" s="3" t="inlineStr">
        <is>
          <t>Sewa Tripot</t>
        </is>
      </c>
      <c r="C18880" s="3" t="inlineStr">
        <is>
          <t>Hari</t>
        </is>
      </c>
      <c r="D18880" s="15" t="n">
        <v>0.019</v>
      </c>
      <c r="E18880" s="4" t="n">
        <v>108000</v>
      </c>
      <c r="F18880" s="4" t="n">
        <v>2052</v>
      </c>
    </row>
    <row r="18881">
      <c r="D18881" s="2" t="inlineStr">
        <is>
          <t>SUBTOTAL UPAH</t>
        </is>
      </c>
      <c r="F18881" s="16" t="n">
        <v>11895</v>
      </c>
    </row>
    <row r="18882">
      <c r="D18882" s="2" t="inlineStr">
        <is>
          <t>SUBTOTAL BAHAN</t>
        </is>
      </c>
      <c r="F18882" s="16" t="n">
        <v>64000</v>
      </c>
    </row>
    <row r="18883">
      <c r="D18883" s="2" t="inlineStr">
        <is>
          <t>SUBTOTAL ALAT</t>
        </is>
      </c>
      <c r="F18883" s="16" t="n">
        <v>2052</v>
      </c>
    </row>
    <row r="18884">
      <c r="E18884" s="2" t="inlineStr">
        <is>
          <t>TOTAL HARGA SATUAN (Inc. Overhead)</t>
        </is>
      </c>
      <c r="F18884" s="17" t="n">
        <v>85741</v>
      </c>
    </row>
    <row r="18886">
      <c r="A18886" s="14" t="inlineStr">
        <is>
          <t>KODE: 9.3.1.5 - Pemasangan 1 m Pipa HDPE, DN. 8" (200 mm)</t>
        </is>
      </c>
    </row>
    <row r="18887">
      <c r="A18887" s="10" t="inlineStr">
        <is>
          <t>No</t>
        </is>
      </c>
      <c r="B18887" s="10" t="inlineStr">
        <is>
          <t>Uraian Komponen</t>
        </is>
      </c>
      <c r="C18887" s="10" t="inlineStr">
        <is>
          <t>Satuan</t>
        </is>
      </c>
      <c r="D18887" s="10" t="inlineStr">
        <is>
          <t>Koef</t>
        </is>
      </c>
      <c r="E18887" s="10" t="inlineStr">
        <is>
          <t>Harga Satuan (Rp)</t>
        </is>
      </c>
      <c r="F18887" s="10" t="inlineStr">
        <is>
          <t>Jumlah Harga (Rp)</t>
        </is>
      </c>
    </row>
    <row r="18888">
      <c r="A18888" s="3" t="inlineStr">
        <is>
          <t>1</t>
        </is>
      </c>
      <c r="B18888" s="3" t="inlineStr">
        <is>
          <t>Pekerja</t>
        </is>
      </c>
      <c r="C18888" s="3" t="inlineStr">
        <is>
          <t>OH</t>
        </is>
      </c>
      <c r="D18888" s="15" t="n">
        <v>0.102</v>
      </c>
      <c r="E18888" s="4" t="n">
        <v>100000</v>
      </c>
      <c r="F18888" s="4" t="n">
        <v>10200</v>
      </c>
    </row>
    <row r="18889">
      <c r="A18889" s="3" t="inlineStr">
        <is>
          <t>2</t>
        </is>
      </c>
      <c r="B18889" s="3" t="inlineStr">
        <is>
          <t>Tukang pipa</t>
        </is>
      </c>
      <c r="C18889" s="3" t="inlineStr">
        <is>
          <t>OH</t>
        </is>
      </c>
      <c r="D18889" s="15" t="n">
        <v>0.051</v>
      </c>
      <c r="E18889" s="4" t="n">
        <v>145000</v>
      </c>
      <c r="F18889" s="4" t="n">
        <v>7394.999999999999</v>
      </c>
    </row>
    <row r="18890">
      <c r="A18890" s="3" t="inlineStr">
        <is>
          <t>3</t>
        </is>
      </c>
      <c r="B18890" s="3" t="inlineStr">
        <is>
          <t>Mandor</t>
        </is>
      </c>
      <c r="C18890" s="3" t="inlineStr">
        <is>
          <t>OH</t>
        </is>
      </c>
      <c r="D18890" s="15" t="n">
        <v>0.01</v>
      </c>
      <c r="E18890" s="4" t="n">
        <v>200000</v>
      </c>
      <c r="F18890" s="4" t="n">
        <v>2000</v>
      </c>
    </row>
    <row r="18891">
      <c r="A18891" s="3" t="inlineStr">
        <is>
          <t>(200 mm)"</t>
        </is>
      </c>
      <c r="B18891" s="3" t="inlineStr"/>
      <c r="C18891" s="3" t="inlineStr">
        <is>
          <t>m</t>
        </is>
      </c>
      <c r="D18891" s="15" t="n">
        <v>1</v>
      </c>
      <c r="E18891" s="4" t="n">
        <v>75000</v>
      </c>
      <c r="F18891" s="4" t="n">
        <v>75000</v>
      </c>
    </row>
    <row r="18892">
      <c r="A18892" s="3" t="inlineStr">
        <is>
          <t>1</t>
        </is>
      </c>
      <c r="B18892" s="3" t="inlineStr">
        <is>
          <t>Sewa Tripot</t>
        </is>
      </c>
      <c r="C18892" s="3" t="inlineStr">
        <is>
          <t>Hari</t>
        </is>
      </c>
      <c r="D18892" s="15" t="n">
        <v>0.019</v>
      </c>
      <c r="E18892" s="4" t="n">
        <v>108000</v>
      </c>
      <c r="F18892" s="4" t="n">
        <v>2052</v>
      </c>
    </row>
    <row r="18893">
      <c r="D18893" s="2" t="inlineStr">
        <is>
          <t>SUBTOTAL UPAH</t>
        </is>
      </c>
      <c r="F18893" s="16" t="n">
        <v>19595</v>
      </c>
    </row>
    <row r="18894">
      <c r="D18894" s="2" t="inlineStr">
        <is>
          <t>SUBTOTAL BAHAN</t>
        </is>
      </c>
      <c r="F18894" s="16" t="n">
        <v>75000</v>
      </c>
    </row>
    <row r="18895">
      <c r="D18895" s="2" t="inlineStr">
        <is>
          <t>SUBTOTAL ALAT</t>
        </is>
      </c>
      <c r="F18895" s="16" t="n">
        <v>2052</v>
      </c>
    </row>
    <row r="18896">
      <c r="E18896" s="2" t="inlineStr">
        <is>
          <t>TOTAL HARGA SATUAN (Inc. Overhead)</t>
        </is>
      </c>
      <c r="F18896" s="17" t="n">
        <v>106311</v>
      </c>
    </row>
    <row r="18898">
      <c r="A18898" s="14" t="inlineStr">
        <is>
          <t>KODE: 9.3.1.6 - Pemasangan 1 m Pipa HDPE, DN.10" (250 mm)</t>
        </is>
      </c>
    </row>
    <row r="18899">
      <c r="A18899" s="10" t="inlineStr">
        <is>
          <t>No</t>
        </is>
      </c>
      <c r="B18899" s="10" t="inlineStr">
        <is>
          <t>Uraian Komponen</t>
        </is>
      </c>
      <c r="C18899" s="10" t="inlineStr">
        <is>
          <t>Satuan</t>
        </is>
      </c>
      <c r="D18899" s="10" t="inlineStr">
        <is>
          <t>Koef</t>
        </is>
      </c>
      <c r="E18899" s="10" t="inlineStr">
        <is>
          <t>Harga Satuan (Rp)</t>
        </is>
      </c>
      <c r="F18899" s="10" t="inlineStr">
        <is>
          <t>Jumlah Harga (Rp)</t>
        </is>
      </c>
    </row>
    <row r="18900">
      <c r="A18900" s="3" t="inlineStr">
        <is>
          <t>1</t>
        </is>
      </c>
      <c r="B18900" s="3" t="inlineStr">
        <is>
          <t>Pekerja</t>
        </is>
      </c>
      <c r="C18900" s="3" t="inlineStr">
        <is>
          <t>OH</t>
        </is>
      </c>
      <c r="D18900" s="15" t="n">
        <v>0.133</v>
      </c>
      <c r="E18900" s="4" t="n">
        <v>100000</v>
      </c>
      <c r="F18900" s="4" t="n">
        <v>13300</v>
      </c>
    </row>
    <row r="18901">
      <c r="A18901" s="3" t="inlineStr">
        <is>
          <t>2</t>
        </is>
      </c>
      <c r="B18901" s="3" t="inlineStr">
        <is>
          <t>Tukang pipa</t>
        </is>
      </c>
      <c r="C18901" s="3" t="inlineStr">
        <is>
          <t>OH</t>
        </is>
      </c>
      <c r="D18901" s="15" t="n">
        <v>0.067</v>
      </c>
      <c r="E18901" s="4" t="n">
        <v>145000</v>
      </c>
      <c r="F18901" s="4" t="n">
        <v>9715</v>
      </c>
    </row>
    <row r="18902">
      <c r="A18902" s="3" t="inlineStr">
        <is>
          <t>3</t>
        </is>
      </c>
      <c r="B18902" s="3" t="inlineStr">
        <is>
          <t>Mandor</t>
        </is>
      </c>
      <c r="C18902" s="3" t="inlineStr">
        <is>
          <t>OH</t>
        </is>
      </c>
      <c r="D18902" s="15" t="n">
        <v>0.013</v>
      </c>
      <c r="E18902" s="4" t="n">
        <v>200000</v>
      </c>
      <c r="F18902" s="4" t="n">
        <v>2600</v>
      </c>
    </row>
    <row r="18903">
      <c r="A18903" s="3" t="inlineStr">
        <is>
          <t>(250 mm)"</t>
        </is>
      </c>
      <c r="B18903" s="3" t="inlineStr"/>
      <c r="C18903" s="3" t="inlineStr">
        <is>
          <t>m</t>
        </is>
      </c>
      <c r="D18903" s="15" t="n">
        <v>1</v>
      </c>
      <c r="E18903" s="4" t="n">
        <v>82000</v>
      </c>
      <c r="F18903" s="4" t="n">
        <v>82000</v>
      </c>
    </row>
    <row r="18904">
      <c r="A18904" s="3" t="inlineStr">
        <is>
          <t>1</t>
        </is>
      </c>
      <c r="B18904" s="3" t="inlineStr">
        <is>
          <t>Sewa Tripot</t>
        </is>
      </c>
      <c r="C18904" s="3" t="inlineStr">
        <is>
          <t>Hari</t>
        </is>
      </c>
      <c r="D18904" s="15" t="n">
        <v>0.042</v>
      </c>
      <c r="E18904" s="4" t="n">
        <v>108000</v>
      </c>
      <c r="F18904" s="4" t="n">
        <v>4536</v>
      </c>
    </row>
    <row r="18905">
      <c r="D18905" s="2" t="inlineStr">
        <is>
          <t>SUBTOTAL UPAH</t>
        </is>
      </c>
      <c r="F18905" s="16" t="n">
        <v>25615</v>
      </c>
    </row>
    <row r="18906">
      <c r="D18906" s="2" t="inlineStr">
        <is>
          <t>SUBTOTAL BAHAN</t>
        </is>
      </c>
      <c r="F18906" s="16" t="n">
        <v>82000</v>
      </c>
    </row>
    <row r="18907">
      <c r="D18907" s="2" t="inlineStr">
        <is>
          <t>SUBTOTAL ALAT</t>
        </is>
      </c>
      <c r="F18907" s="16" t="n">
        <v>4536</v>
      </c>
    </row>
    <row r="18908">
      <c r="E18908" s="2" t="inlineStr">
        <is>
          <t>TOTAL HARGA SATUAN (Inc. Overhead)</t>
        </is>
      </c>
      <c r="F18908" s="17" t="n">
        <v>123366</v>
      </c>
    </row>
    <row r="18910">
      <c r="A18910" s="14" t="inlineStr">
        <is>
          <t>KODE: 9.3.1.7 - Pemasangan 1 m Pipa HDPE, DN. 12" (300 mm)</t>
        </is>
      </c>
    </row>
    <row r="18911">
      <c r="A18911" s="10" t="inlineStr">
        <is>
          <t>No</t>
        </is>
      </c>
      <c r="B18911" s="10" t="inlineStr">
        <is>
          <t>Uraian Komponen</t>
        </is>
      </c>
      <c r="C18911" s="10" t="inlineStr">
        <is>
          <t>Satuan</t>
        </is>
      </c>
      <c r="D18911" s="10" t="inlineStr">
        <is>
          <t>Koef</t>
        </is>
      </c>
      <c r="E18911" s="10" t="inlineStr">
        <is>
          <t>Harga Satuan (Rp)</t>
        </is>
      </c>
      <c r="F18911" s="10" t="inlineStr">
        <is>
          <t>Jumlah Harga (Rp)</t>
        </is>
      </c>
    </row>
    <row r="18912">
      <c r="A18912" s="3" t="inlineStr">
        <is>
          <t>1</t>
        </is>
      </c>
      <c r="B18912" s="3" t="inlineStr">
        <is>
          <t>Pekerja</t>
        </is>
      </c>
      <c r="C18912" s="3" t="inlineStr">
        <is>
          <t>OH</t>
        </is>
      </c>
      <c r="D18912" s="15" t="n">
        <v>0.17</v>
      </c>
      <c r="E18912" s="4" t="n">
        <v>100000</v>
      </c>
      <c r="F18912" s="4" t="n">
        <v>17000</v>
      </c>
    </row>
    <row r="18913">
      <c r="A18913" s="3" t="inlineStr">
        <is>
          <t>2</t>
        </is>
      </c>
      <c r="B18913" s="3" t="inlineStr">
        <is>
          <t>Tukang pipa</t>
        </is>
      </c>
      <c r="C18913" s="3" t="inlineStr">
        <is>
          <t>OH</t>
        </is>
      </c>
      <c r="D18913" s="15" t="n">
        <v>0.08500000000000001</v>
      </c>
      <c r="E18913" s="4" t="n">
        <v>145000</v>
      </c>
      <c r="F18913" s="4" t="n">
        <v>12325</v>
      </c>
    </row>
    <row r="18914">
      <c r="A18914" s="3" t="inlineStr">
        <is>
          <t>3</t>
        </is>
      </c>
      <c r="B18914" s="3" t="inlineStr">
        <is>
          <t>Mandor</t>
        </is>
      </c>
      <c r="C18914" s="3" t="inlineStr">
        <is>
          <t>OH</t>
        </is>
      </c>
      <c r="D18914" s="15" t="n">
        <v>0.017</v>
      </c>
      <c r="E18914" s="4" t="n">
        <v>200000</v>
      </c>
      <c r="F18914" s="4" t="n">
        <v>3400</v>
      </c>
    </row>
    <row r="18915">
      <c r="A18915" s="3" t="inlineStr">
        <is>
          <t>(300 mm"</t>
        </is>
      </c>
      <c r="B18915" s="3" t="inlineStr"/>
      <c r="C18915" s="3" t="inlineStr">
        <is>
          <t>m</t>
        </is>
      </c>
      <c r="D18915" s="15" t="n">
        <v>1</v>
      </c>
      <c r="E18915" s="4" t="n">
        <v>94000</v>
      </c>
      <c r="F18915" s="4" t="n">
        <v>94000</v>
      </c>
    </row>
    <row r="18916">
      <c r="A18916" s="3" t="inlineStr">
        <is>
          <t>1</t>
        </is>
      </c>
      <c r="B18916" s="3" t="inlineStr">
        <is>
          <t>Sewa Tripot</t>
        </is>
      </c>
      <c r="C18916" s="3" t="inlineStr">
        <is>
          <t>Hari</t>
        </is>
      </c>
      <c r="D18916" s="15" t="n">
        <v>0.065</v>
      </c>
      <c r="E18916" s="4" t="n">
        <v>108000</v>
      </c>
      <c r="F18916" s="4" t="n">
        <v>7020</v>
      </c>
    </row>
    <row r="18917">
      <c r="D18917" s="2" t="inlineStr">
        <is>
          <t>SUBTOTAL UPAH</t>
        </is>
      </c>
      <c r="F18917" s="16" t="n">
        <v>32725</v>
      </c>
    </row>
    <row r="18918">
      <c r="D18918" s="2" t="inlineStr">
        <is>
          <t>SUBTOTAL BAHAN</t>
        </is>
      </c>
      <c r="F18918" s="16" t="n">
        <v>94000</v>
      </c>
    </row>
    <row r="18919">
      <c r="D18919" s="2" t="inlineStr">
        <is>
          <t>SUBTOTAL ALAT</t>
        </is>
      </c>
      <c r="F18919" s="16" t="n">
        <v>7020</v>
      </c>
    </row>
    <row r="18920">
      <c r="E18920" s="2" t="inlineStr">
        <is>
          <t>TOTAL HARGA SATUAN (Inc. Overhead)</t>
        </is>
      </c>
      <c r="F18920" s="17" t="n">
        <v>147119</v>
      </c>
    </row>
    <row r="18922">
      <c r="A18922" s="14" t="inlineStr">
        <is>
          <t>KODE: 9.3.1.8 - Pemasangan 1 m Pipa HDPE, DN. 16" (400 mm)</t>
        </is>
      </c>
    </row>
    <row r="18923">
      <c r="A18923" s="10" t="inlineStr">
        <is>
          <t>No</t>
        </is>
      </c>
      <c r="B18923" s="10" t="inlineStr">
        <is>
          <t>Uraian Komponen</t>
        </is>
      </c>
      <c r="C18923" s="10" t="inlineStr">
        <is>
          <t>Satuan</t>
        </is>
      </c>
      <c r="D18923" s="10" t="inlineStr">
        <is>
          <t>Koef</t>
        </is>
      </c>
      <c r="E18923" s="10" t="inlineStr">
        <is>
          <t>Harga Satuan (Rp)</t>
        </is>
      </c>
      <c r="F18923" s="10" t="inlineStr">
        <is>
          <t>Jumlah Harga (Rp)</t>
        </is>
      </c>
    </row>
    <row r="18924">
      <c r="A18924" s="3" t="inlineStr">
        <is>
          <t>1</t>
        </is>
      </c>
      <c r="B18924" s="3" t="inlineStr">
        <is>
          <t>Pekerja</t>
        </is>
      </c>
      <c r="C18924" s="3" t="inlineStr">
        <is>
          <t>OH</t>
        </is>
      </c>
      <c r="D18924" s="15" t="n">
        <v>0.29</v>
      </c>
      <c r="E18924" s="4" t="n">
        <v>100000</v>
      </c>
      <c r="F18924" s="4" t="n">
        <v>29000</v>
      </c>
    </row>
    <row r="18925">
      <c r="A18925" s="3" t="inlineStr">
        <is>
          <t>2</t>
        </is>
      </c>
      <c r="B18925" s="3" t="inlineStr">
        <is>
          <t>Tukang pipa</t>
        </is>
      </c>
      <c r="C18925" s="3" t="inlineStr">
        <is>
          <t>OH</t>
        </is>
      </c>
      <c r="D18925" s="15" t="n">
        <v>0.145</v>
      </c>
      <c r="E18925" s="4" t="n">
        <v>145000</v>
      </c>
      <c r="F18925" s="4" t="n">
        <v>21025</v>
      </c>
    </row>
    <row r="18926">
      <c r="A18926" s="3" t="inlineStr">
        <is>
          <t>3</t>
        </is>
      </c>
      <c r="B18926" s="3" t="inlineStr">
        <is>
          <t>Mandor</t>
        </is>
      </c>
      <c r="C18926" s="3" t="inlineStr">
        <is>
          <t>OH</t>
        </is>
      </c>
      <c r="D18926" s="15" t="n">
        <v>0.029</v>
      </c>
      <c r="E18926" s="4" t="n">
        <v>200000</v>
      </c>
      <c r="F18926" s="4" t="n">
        <v>5800</v>
      </c>
    </row>
    <row r="18927">
      <c r="A18927" s="3" t="inlineStr">
        <is>
          <t>(400 mm)"</t>
        </is>
      </c>
      <c r="B18927" s="3" t="inlineStr"/>
      <c r="C18927" s="3" t="inlineStr">
        <is>
          <t>m</t>
        </is>
      </c>
      <c r="D18927" s="15" t="n">
        <v>1</v>
      </c>
      <c r="E18927" s="4" t="n">
        <v>102000</v>
      </c>
      <c r="F18927" s="4" t="n">
        <v>102000</v>
      </c>
    </row>
    <row r="18928">
      <c r="A18928" s="3" t="inlineStr">
        <is>
          <t>1</t>
        </is>
      </c>
      <c r="B18928" s="3" t="inlineStr">
        <is>
          <t>Sewa Tripot</t>
        </is>
      </c>
      <c r="C18928" s="3" t="inlineStr">
        <is>
          <t>Hari</t>
        </is>
      </c>
      <c r="D18928" s="15" t="n">
        <v>0.152</v>
      </c>
      <c r="E18928" s="4" t="n">
        <v>108000</v>
      </c>
      <c r="F18928" s="4" t="n">
        <v>16416</v>
      </c>
    </row>
    <row r="18929">
      <c r="D18929" s="2" t="inlineStr">
        <is>
          <t>SUBTOTAL UPAH</t>
        </is>
      </c>
      <c r="F18929" s="16" t="n">
        <v>55825</v>
      </c>
    </row>
    <row r="18930">
      <c r="D18930" s="2" t="inlineStr">
        <is>
          <t>SUBTOTAL BAHAN</t>
        </is>
      </c>
      <c r="F18930" s="16" t="n">
        <v>102000</v>
      </c>
    </row>
    <row r="18931">
      <c r="D18931" s="2" t="inlineStr">
        <is>
          <t>SUBTOTAL ALAT</t>
        </is>
      </c>
      <c r="F18931" s="16" t="n">
        <v>16416</v>
      </c>
    </row>
    <row r="18932">
      <c r="E18932" s="2" t="inlineStr">
        <is>
          <t>TOTAL HARGA SATUAN (Inc. Overhead)</t>
        </is>
      </c>
      <c r="F18932" s="17" t="n">
        <v>191665</v>
      </c>
    </row>
    <row r="18934">
      <c r="A18934" s="14" t="inlineStr">
        <is>
          <t>KODE: 9.3.1.9 - Pemasangan 1 m Pipa HDPE, DN. 18" (450 mm)</t>
        </is>
      </c>
    </row>
    <row r="18935">
      <c r="A18935" s="10" t="inlineStr">
        <is>
          <t>No</t>
        </is>
      </c>
      <c r="B18935" s="10" t="inlineStr">
        <is>
          <t>Uraian Komponen</t>
        </is>
      </c>
      <c r="C18935" s="10" t="inlineStr">
        <is>
          <t>Satuan</t>
        </is>
      </c>
      <c r="D18935" s="10" t="inlineStr">
        <is>
          <t>Koef</t>
        </is>
      </c>
      <c r="E18935" s="10" t="inlineStr">
        <is>
          <t>Harga Satuan (Rp)</t>
        </is>
      </c>
      <c r="F18935" s="10" t="inlineStr">
        <is>
          <t>Jumlah Harga (Rp)</t>
        </is>
      </c>
    </row>
    <row r="18936">
      <c r="A18936" s="3" t="inlineStr">
        <is>
          <t>1</t>
        </is>
      </c>
      <c r="B18936" s="3" t="inlineStr">
        <is>
          <t>Pekerja</t>
        </is>
      </c>
      <c r="C18936" s="3" t="inlineStr">
        <is>
          <t>OH</t>
        </is>
      </c>
      <c r="D18936" s="15" t="n">
        <v>0.359</v>
      </c>
      <c r="E18936" s="4" t="n">
        <v>100000</v>
      </c>
      <c r="F18936" s="4" t="n">
        <v>35900</v>
      </c>
    </row>
    <row r="18937">
      <c r="A18937" s="3" t="inlineStr">
        <is>
          <t>2</t>
        </is>
      </c>
      <c r="B18937" s="3" t="inlineStr">
        <is>
          <t>Tukang pipa</t>
        </is>
      </c>
      <c r="C18937" s="3" t="inlineStr">
        <is>
          <t>OH</t>
        </is>
      </c>
      <c r="D18937" s="15" t="n">
        <v>0.18</v>
      </c>
      <c r="E18937" s="4" t="n">
        <v>145000</v>
      </c>
      <c r="F18937" s="4" t="n">
        <v>26100</v>
      </c>
    </row>
    <row r="18938">
      <c r="A18938" s="3" t="inlineStr">
        <is>
          <t>3</t>
        </is>
      </c>
      <c r="B18938" s="3" t="inlineStr">
        <is>
          <t>Mandor</t>
        </is>
      </c>
      <c r="C18938" s="3" t="inlineStr">
        <is>
          <t>OH</t>
        </is>
      </c>
      <c r="D18938" s="15" t="n">
        <v>0.036</v>
      </c>
      <c r="E18938" s="4" t="n">
        <v>200000</v>
      </c>
      <c r="F18938" s="4" t="n">
        <v>7199.999999999999</v>
      </c>
    </row>
    <row r="18939">
      <c r="A18939" s="3" t="inlineStr">
        <is>
          <t>(450 mm)"</t>
        </is>
      </c>
      <c r="B18939" s="3" t="inlineStr"/>
      <c r="C18939" s="3" t="inlineStr">
        <is>
          <t>m</t>
        </is>
      </c>
      <c r="D18939" s="15" t="n">
        <v>1</v>
      </c>
      <c r="E18939" s="4" t="n">
        <v>124000</v>
      </c>
      <c r="F18939" s="4" t="n">
        <v>124000</v>
      </c>
    </row>
    <row r="18940">
      <c r="A18940" s="3" t="inlineStr">
        <is>
          <t>1</t>
        </is>
      </c>
      <c r="B18940" s="3" t="inlineStr">
        <is>
          <t>Sewa Tripot</t>
        </is>
      </c>
      <c r="C18940" s="3" t="inlineStr">
        <is>
          <t>Hari</t>
        </is>
      </c>
      <c r="D18940" s="15" t="n">
        <v>0.2</v>
      </c>
      <c r="E18940" s="4" t="n">
        <v>108000</v>
      </c>
      <c r="F18940" s="4" t="n">
        <v>21600</v>
      </c>
    </row>
    <row r="18941">
      <c r="D18941" s="2" t="inlineStr">
        <is>
          <t>SUBTOTAL UPAH</t>
        </is>
      </c>
      <c r="F18941" s="16" t="n">
        <v>69200</v>
      </c>
    </row>
    <row r="18942">
      <c r="D18942" s="2" t="inlineStr">
        <is>
          <t>SUBTOTAL BAHAN</t>
        </is>
      </c>
      <c r="F18942" s="16" t="n">
        <v>124000</v>
      </c>
    </row>
    <row r="18943">
      <c r="D18943" s="2" t="inlineStr">
        <is>
          <t>SUBTOTAL ALAT</t>
        </is>
      </c>
      <c r="F18943" s="16" t="n">
        <v>21600</v>
      </c>
    </row>
    <row r="18944">
      <c r="E18944" s="2" t="inlineStr">
        <is>
          <t>TOTAL HARGA SATUAN (Inc. Overhead)</t>
        </is>
      </c>
      <c r="F18944" s="17" t="n">
        <v>236280</v>
      </c>
    </row>
    <row r="18946">
      <c r="A18946" s="14" t="inlineStr">
        <is>
          <t>KODE: 9.3.1.10 - Pemasangan 1 m Pipa HDPE, DN. 20" (500 mm)</t>
        </is>
      </c>
    </row>
    <row r="18947">
      <c r="A18947" s="10" t="inlineStr">
        <is>
          <t>No</t>
        </is>
      </c>
      <c r="B18947" s="10" t="inlineStr">
        <is>
          <t>Uraian Komponen</t>
        </is>
      </c>
      <c r="C18947" s="10" t="inlineStr">
        <is>
          <t>Satuan</t>
        </is>
      </c>
      <c r="D18947" s="10" t="inlineStr">
        <is>
          <t>Koef</t>
        </is>
      </c>
      <c r="E18947" s="10" t="inlineStr">
        <is>
          <t>Harga Satuan (Rp)</t>
        </is>
      </c>
      <c r="F18947" s="10" t="inlineStr">
        <is>
          <t>Jumlah Harga (Rp)</t>
        </is>
      </c>
    </row>
    <row r="18948">
      <c r="A18948" s="3" t="inlineStr">
        <is>
          <t>1</t>
        </is>
      </c>
      <c r="B18948" s="3" t="inlineStr">
        <is>
          <t>Pekerja</t>
        </is>
      </c>
      <c r="C18948" s="3" t="inlineStr">
        <is>
          <t>OH</t>
        </is>
      </c>
      <c r="D18948" s="15" t="n">
        <v>0.433</v>
      </c>
      <c r="E18948" s="4" t="n">
        <v>100000</v>
      </c>
      <c r="F18948" s="4" t="n">
        <v>43300</v>
      </c>
    </row>
    <row r="18949">
      <c r="A18949" s="3" t="inlineStr">
        <is>
          <t>2</t>
        </is>
      </c>
      <c r="B18949" s="3" t="inlineStr">
        <is>
          <t>Tukang pipa</t>
        </is>
      </c>
      <c r="C18949" s="3" t="inlineStr">
        <is>
          <t>OH</t>
        </is>
      </c>
      <c r="D18949" s="15" t="n">
        <v>0.216</v>
      </c>
      <c r="E18949" s="4" t="n">
        <v>145000</v>
      </c>
      <c r="F18949" s="4" t="n">
        <v>31320</v>
      </c>
    </row>
    <row r="18950">
      <c r="A18950" s="3" t="inlineStr">
        <is>
          <t>3</t>
        </is>
      </c>
      <c r="B18950" s="3" t="inlineStr">
        <is>
          <t>Mandor</t>
        </is>
      </c>
      <c r="C18950" s="3" t="inlineStr">
        <is>
          <t>OH</t>
        </is>
      </c>
      <c r="D18950" s="15" t="n">
        <v>0.043</v>
      </c>
      <c r="E18950" s="4" t="n">
        <v>200000</v>
      </c>
      <c r="F18950" s="4" t="n">
        <v>8600</v>
      </c>
    </row>
    <row r="18951">
      <c r="A18951" s="3" t="inlineStr">
        <is>
          <t>(500 mm)"</t>
        </is>
      </c>
      <c r="B18951" s="3" t="inlineStr"/>
      <c r="C18951" s="3" t="inlineStr">
        <is>
          <t>m</t>
        </is>
      </c>
      <c r="D18951" s="15" t="n">
        <v>1</v>
      </c>
      <c r="E18951" s="4" t="n">
        <v>143000</v>
      </c>
      <c r="F18951" s="4" t="n">
        <v>143000</v>
      </c>
    </row>
    <row r="18952">
      <c r="A18952" s="3" t="inlineStr">
        <is>
          <t>1</t>
        </is>
      </c>
      <c r="B18952" s="3" t="inlineStr">
        <is>
          <t>Sewa Tripot</t>
        </is>
      </c>
      <c r="C18952" s="3" t="inlineStr">
        <is>
          <t>Hari</t>
        </is>
      </c>
      <c r="D18952" s="15" t="n">
        <v>0.251</v>
      </c>
      <c r="E18952" s="4" t="n">
        <v>108000</v>
      </c>
      <c r="F18952" s="4" t="n">
        <v>27108</v>
      </c>
    </row>
    <row r="18953">
      <c r="D18953" s="2" t="inlineStr">
        <is>
          <t>SUBTOTAL UPAH</t>
        </is>
      </c>
      <c r="F18953" s="16" t="n">
        <v>83220</v>
      </c>
    </row>
    <row r="18954">
      <c r="D18954" s="2" t="inlineStr">
        <is>
          <t>SUBTOTAL BAHAN</t>
        </is>
      </c>
      <c r="F18954" s="16" t="n">
        <v>143000</v>
      </c>
    </row>
    <row r="18955">
      <c r="D18955" s="2" t="inlineStr">
        <is>
          <t>SUBTOTAL ALAT</t>
        </is>
      </c>
      <c r="F18955" s="16" t="n">
        <v>27108</v>
      </c>
    </row>
    <row r="18956">
      <c r="E18956" s="2" t="inlineStr">
        <is>
          <t>TOTAL HARGA SATUAN (Inc. Overhead)</t>
        </is>
      </c>
      <c r="F18956" s="17" t="n">
        <v>278660</v>
      </c>
    </row>
    <row r="18958">
      <c r="A18958" s="14" t="inlineStr">
        <is>
          <t>KODE: 9.3.1.11 - Pemasangan 1 m Pipa HDPE, DN. 24" (600 mm)</t>
        </is>
      </c>
    </row>
    <row r="18959">
      <c r="A18959" s="10" t="inlineStr">
        <is>
          <t>No</t>
        </is>
      </c>
      <c r="B18959" s="10" t="inlineStr">
        <is>
          <t>Uraian Komponen</t>
        </is>
      </c>
      <c r="C18959" s="10" t="inlineStr">
        <is>
          <t>Satuan</t>
        </is>
      </c>
      <c r="D18959" s="10" t="inlineStr">
        <is>
          <t>Koef</t>
        </is>
      </c>
      <c r="E18959" s="10" t="inlineStr">
        <is>
          <t>Harga Satuan (Rp)</t>
        </is>
      </c>
      <c r="F18959" s="10" t="inlineStr">
        <is>
          <t>Jumlah Harga (Rp)</t>
        </is>
      </c>
    </row>
    <row r="18960">
      <c r="A18960" s="3" t="inlineStr">
        <is>
          <t>1</t>
        </is>
      </c>
      <c r="B18960" s="3" t="inlineStr">
        <is>
          <t>Pekerja</t>
        </is>
      </c>
      <c r="C18960" s="3" t="inlineStr">
        <is>
          <t>OH</t>
        </is>
      </c>
      <c r="D18960" s="15" t="n">
        <v>0.512</v>
      </c>
      <c r="E18960" s="4" t="n">
        <v>100000</v>
      </c>
      <c r="F18960" s="4" t="n">
        <v>51200</v>
      </c>
    </row>
    <row r="18961">
      <c r="A18961" s="3" t="inlineStr">
        <is>
          <t>2</t>
        </is>
      </c>
      <c r="B18961" s="3" t="inlineStr">
        <is>
          <t>Tukang pipa</t>
        </is>
      </c>
      <c r="C18961" s="3" t="inlineStr">
        <is>
          <t>OH</t>
        </is>
      </c>
      <c r="D18961" s="15" t="n">
        <v>0.256</v>
      </c>
      <c r="E18961" s="4" t="n">
        <v>145000</v>
      </c>
      <c r="F18961" s="4" t="n">
        <v>37120</v>
      </c>
    </row>
    <row r="18962">
      <c r="A18962" s="3" t="inlineStr">
        <is>
          <t>3</t>
        </is>
      </c>
      <c r="B18962" s="3" t="inlineStr">
        <is>
          <t>Mandor</t>
        </is>
      </c>
      <c r="C18962" s="3" t="inlineStr">
        <is>
          <t>OH</t>
        </is>
      </c>
      <c r="D18962" s="15" t="n">
        <v>0.051</v>
      </c>
      <c r="E18962" s="4" t="n">
        <v>200000</v>
      </c>
      <c r="F18962" s="4" t="n">
        <v>10200</v>
      </c>
    </row>
    <row r="18963">
      <c r="A18963" s="3" t="inlineStr">
        <is>
          <t>(600 mm"</t>
        </is>
      </c>
      <c r="B18963" s="3" t="inlineStr"/>
      <c r="C18963" s="3" t="inlineStr">
        <is>
          <t>m</t>
        </is>
      </c>
      <c r="D18963" s="15" t="n">
        <v>1</v>
      </c>
      <c r="E18963" s="4" t="n">
        <v>157000</v>
      </c>
      <c r="F18963" s="4" t="n">
        <v>157000</v>
      </c>
    </row>
    <row r="18964">
      <c r="A18964" s="3" t="inlineStr">
        <is>
          <t>1</t>
        </is>
      </c>
      <c r="B18964" s="3" t="inlineStr">
        <is>
          <t>Sewa Tripot</t>
        </is>
      </c>
      <c r="C18964" s="3" t="inlineStr">
        <is>
          <t>Hari</t>
        </is>
      </c>
      <c r="D18964" s="15" t="n">
        <v>0.307</v>
      </c>
      <c r="E18964" s="4" t="n">
        <v>108000</v>
      </c>
      <c r="F18964" s="4" t="n">
        <v>33156</v>
      </c>
    </row>
    <row r="18965">
      <c r="D18965" s="2" t="inlineStr">
        <is>
          <t>SUBTOTAL UPAH</t>
        </is>
      </c>
      <c r="F18965" s="16" t="n">
        <v>98520</v>
      </c>
    </row>
    <row r="18966">
      <c r="D18966" s="2" t="inlineStr">
        <is>
          <t>SUBTOTAL BAHAN</t>
        </is>
      </c>
      <c r="F18966" s="16" t="n">
        <v>157000</v>
      </c>
    </row>
    <row r="18967">
      <c r="D18967" s="2" t="inlineStr">
        <is>
          <t>SUBTOTAL ALAT</t>
        </is>
      </c>
      <c r="F18967" s="16" t="n">
        <v>33156</v>
      </c>
    </row>
    <row r="18968">
      <c r="E18968" s="2" t="inlineStr">
        <is>
          <t>TOTAL HARGA SATUAN (Inc. Overhead)</t>
        </is>
      </c>
      <c r="F18968" s="17" t="n">
        <v>317543</v>
      </c>
    </row>
    <row r="18970">
      <c r="A18970" s="14" t="inlineStr">
        <is>
          <t>KODE: 9.3.1.12 - Pemasangan 1 m Pipa HDPE, DN. 32" (800 mm)</t>
        </is>
      </c>
    </row>
    <row r="18971">
      <c r="A18971" s="10" t="inlineStr">
        <is>
          <t>No</t>
        </is>
      </c>
      <c r="B18971" s="10" t="inlineStr">
        <is>
          <t>Uraian Komponen</t>
        </is>
      </c>
      <c r="C18971" s="10" t="inlineStr">
        <is>
          <t>Satuan</t>
        </is>
      </c>
      <c r="D18971" s="10" t="inlineStr">
        <is>
          <t>Koef</t>
        </is>
      </c>
      <c r="E18971" s="10" t="inlineStr">
        <is>
          <t>Harga Satuan (Rp)</t>
        </is>
      </c>
      <c r="F18971" s="10" t="inlineStr">
        <is>
          <t>Jumlah Harga (Rp)</t>
        </is>
      </c>
    </row>
    <row r="18972">
      <c r="A18972" s="3" t="inlineStr">
        <is>
          <t>1</t>
        </is>
      </c>
      <c r="B18972" s="3" t="inlineStr">
        <is>
          <t>Pekerja</t>
        </is>
      </c>
      <c r="C18972" s="3" t="inlineStr">
        <is>
          <t>OH</t>
        </is>
      </c>
      <c r="D18972" s="15" t="n">
        <v>0.893</v>
      </c>
      <c r="E18972" s="4" t="n">
        <v>100000</v>
      </c>
      <c r="F18972" s="4" t="n">
        <v>89300</v>
      </c>
    </row>
    <row r="18973">
      <c r="A18973" s="3" t="inlineStr">
        <is>
          <t>2</t>
        </is>
      </c>
      <c r="B18973" s="3" t="inlineStr">
        <is>
          <t>Tukang pipa</t>
        </is>
      </c>
      <c r="C18973" s="3" t="inlineStr">
        <is>
          <t>OH</t>
        </is>
      </c>
      <c r="D18973" s="15" t="n">
        <v>0.446</v>
      </c>
      <c r="E18973" s="4" t="n">
        <v>145000</v>
      </c>
      <c r="F18973" s="4" t="n">
        <v>64670</v>
      </c>
    </row>
    <row r="18974">
      <c r="A18974" s="3" t="inlineStr">
        <is>
          <t>3</t>
        </is>
      </c>
      <c r="B18974" s="3" t="inlineStr">
        <is>
          <t>Mandor</t>
        </is>
      </c>
      <c r="C18974" s="3" t="inlineStr">
        <is>
          <t>OH</t>
        </is>
      </c>
      <c r="D18974" s="15" t="n">
        <v>0.089</v>
      </c>
      <c r="E18974" s="4" t="n">
        <v>200000</v>
      </c>
      <c r="F18974" s="4" t="n">
        <v>17800</v>
      </c>
    </row>
    <row r="18975">
      <c r="A18975" s="3" t="inlineStr">
        <is>
          <t>(800 mm)"</t>
        </is>
      </c>
      <c r="B18975" s="3" t="inlineStr"/>
      <c r="C18975" s="3" t="inlineStr">
        <is>
          <t>m</t>
        </is>
      </c>
      <c r="D18975" s="15" t="n">
        <v>1</v>
      </c>
      <c r="E18975" s="4" t="n">
        <v>165000</v>
      </c>
      <c r="F18975" s="4" t="n">
        <v>165000</v>
      </c>
    </row>
    <row r="18976">
      <c r="A18976" s="3" t="inlineStr">
        <is>
          <t>1</t>
        </is>
      </c>
      <c r="B18976" s="3" t="inlineStr">
        <is>
          <t>Sewa Tripot</t>
        </is>
      </c>
      <c r="C18976" s="3" t="inlineStr">
        <is>
          <t>Hari</t>
        </is>
      </c>
      <c r="D18976" s="15" t="n">
        <v>0.573</v>
      </c>
      <c r="E18976" s="4" t="n">
        <v>108000</v>
      </c>
      <c r="F18976" s="4" t="n">
        <v>61883.99999999999</v>
      </c>
    </row>
    <row r="18977">
      <c r="D18977" s="2" t="inlineStr">
        <is>
          <t>SUBTOTAL UPAH</t>
        </is>
      </c>
      <c r="F18977" s="16" t="n">
        <v>171770</v>
      </c>
    </row>
    <row r="18978">
      <c r="D18978" s="2" t="inlineStr">
        <is>
          <t>SUBTOTAL BAHAN</t>
        </is>
      </c>
      <c r="F18978" s="16" t="n">
        <v>165000</v>
      </c>
    </row>
    <row r="18979">
      <c r="D18979" s="2" t="inlineStr">
        <is>
          <t>SUBTOTAL ALAT</t>
        </is>
      </c>
      <c r="F18979" s="16" t="n">
        <v>61883.99999999999</v>
      </c>
    </row>
    <row r="18980">
      <c r="E18980" s="2" t="inlineStr">
        <is>
          <t>TOTAL HARGA SATUAN (Inc. Overhead)</t>
        </is>
      </c>
      <c r="F18980" s="17" t="n">
        <v>438519</v>
      </c>
    </row>
    <row r="18982">
      <c r="A18982" s="14" t="inlineStr">
        <is>
          <t>KODE: 9.3.1.13 - Pemasangan 1 m Pipa HDPE, DN. 36" (900 mm)</t>
        </is>
      </c>
    </row>
    <row r="18983">
      <c r="A18983" s="10" t="inlineStr">
        <is>
          <t>No</t>
        </is>
      </c>
      <c r="B18983" s="10" t="inlineStr">
        <is>
          <t>Uraian Komponen</t>
        </is>
      </c>
      <c r="C18983" s="10" t="inlineStr">
        <is>
          <t>Satuan</t>
        </is>
      </c>
      <c r="D18983" s="10" t="inlineStr">
        <is>
          <t>Koef</t>
        </is>
      </c>
      <c r="E18983" s="10" t="inlineStr">
        <is>
          <t>Harga Satuan (Rp)</t>
        </is>
      </c>
      <c r="F18983" s="10" t="inlineStr">
        <is>
          <t>Jumlah Harga (Rp)</t>
        </is>
      </c>
    </row>
    <row r="18984">
      <c r="A18984" s="3" t="inlineStr">
        <is>
          <t>1</t>
        </is>
      </c>
      <c r="B18984" s="3" t="inlineStr">
        <is>
          <t>Pekerja</t>
        </is>
      </c>
      <c r="C18984" s="3" t="inlineStr">
        <is>
          <t>OH</t>
        </is>
      </c>
      <c r="D18984" s="15" t="n">
        <v>1.353</v>
      </c>
      <c r="E18984" s="4" t="n">
        <v>100000</v>
      </c>
      <c r="F18984" s="4" t="n">
        <v>135300</v>
      </c>
    </row>
    <row r="18985">
      <c r="A18985" s="3" t="inlineStr">
        <is>
          <t>2</t>
        </is>
      </c>
      <c r="B18985" s="3" t="inlineStr">
        <is>
          <t>Tukang pipa</t>
        </is>
      </c>
      <c r="C18985" s="3" t="inlineStr">
        <is>
          <t>OH</t>
        </is>
      </c>
      <c r="D18985" s="15" t="n">
        <v>0.677</v>
      </c>
      <c r="E18985" s="4" t="n">
        <v>145000</v>
      </c>
      <c r="F18985" s="4" t="n">
        <v>98165</v>
      </c>
    </row>
    <row r="18986">
      <c r="A18986" s="3" t="inlineStr">
        <is>
          <t>3</t>
        </is>
      </c>
      <c r="B18986" s="3" t="inlineStr">
        <is>
          <t>Mandor</t>
        </is>
      </c>
      <c r="C18986" s="3" t="inlineStr">
        <is>
          <t>OH</t>
        </is>
      </c>
      <c r="D18986" s="15" t="n">
        <v>0.135</v>
      </c>
      <c r="E18986" s="4" t="n">
        <v>200000</v>
      </c>
      <c r="F18986" s="4" t="n">
        <v>27000</v>
      </c>
    </row>
    <row r="18987">
      <c r="A18987" s="3" t="inlineStr">
        <is>
          <t>(900 mm)"</t>
        </is>
      </c>
      <c r="B18987" s="3" t="inlineStr"/>
      <c r="C18987" s="3" t="inlineStr">
        <is>
          <t>m</t>
        </is>
      </c>
      <c r="D18987" s="15" t="n">
        <v>1</v>
      </c>
      <c r="E18987" s="4" t="n">
        <v>173000</v>
      </c>
      <c r="F18987" s="4" t="n">
        <v>173000</v>
      </c>
    </row>
    <row r="18988">
      <c r="A18988" s="3" t="inlineStr">
        <is>
          <t>1</t>
        </is>
      </c>
      <c r="B18988" s="3" t="inlineStr">
        <is>
          <t>Sewa Tripot</t>
        </is>
      </c>
      <c r="C18988" s="3" t="inlineStr">
        <is>
          <t>Hari</t>
        </is>
      </c>
      <c r="D18988" s="15" t="n">
        <v>0.833</v>
      </c>
      <c r="E18988" s="4" t="n">
        <v>108000</v>
      </c>
      <c r="F18988" s="4" t="n">
        <v>89964</v>
      </c>
    </row>
    <row r="18989">
      <c r="D18989" s="2" t="inlineStr">
        <is>
          <t>SUBTOTAL UPAH</t>
        </is>
      </c>
      <c r="F18989" s="16" t="n">
        <v>260465</v>
      </c>
    </row>
    <row r="18990">
      <c r="D18990" s="2" t="inlineStr">
        <is>
          <t>SUBTOTAL BAHAN</t>
        </is>
      </c>
      <c r="F18990" s="16" t="n">
        <v>173000</v>
      </c>
    </row>
    <row r="18991">
      <c r="D18991" s="2" t="inlineStr">
        <is>
          <t>SUBTOTAL ALAT</t>
        </is>
      </c>
      <c r="F18991" s="16" t="n">
        <v>89964</v>
      </c>
    </row>
    <row r="18992">
      <c r="E18992" s="2" t="inlineStr">
        <is>
          <t>TOTAL HARGA SATUAN (Inc. Overhead)</t>
        </is>
      </c>
      <c r="F18992" s="17" t="n">
        <v>575771</v>
      </c>
    </row>
    <row r="18994">
      <c r="A18994" s="14" t="inlineStr">
        <is>
          <t>KODE: 9.3.1.14 - Pemasangan 1 m Pipa HDPE, DN. 40" (1000 mm)</t>
        </is>
      </c>
    </row>
    <row r="18995">
      <c r="A18995" s="10" t="inlineStr">
        <is>
          <t>No</t>
        </is>
      </c>
      <c r="B18995" s="10" t="inlineStr">
        <is>
          <t>Uraian Komponen</t>
        </is>
      </c>
      <c r="C18995" s="10" t="inlineStr">
        <is>
          <t>Satuan</t>
        </is>
      </c>
      <c r="D18995" s="10" t="inlineStr">
        <is>
          <t>Koef</t>
        </is>
      </c>
      <c r="E18995" s="10" t="inlineStr">
        <is>
          <t>Harga Satuan (Rp)</t>
        </is>
      </c>
      <c r="F18995" s="10" t="inlineStr">
        <is>
          <t>Jumlah Harga (Rp)</t>
        </is>
      </c>
    </row>
    <row r="18996">
      <c r="A18996" s="3" t="inlineStr">
        <is>
          <t>1</t>
        </is>
      </c>
      <c r="B18996" s="3" t="inlineStr">
        <is>
          <t>Pekerja</t>
        </is>
      </c>
      <c r="C18996" s="3" t="inlineStr">
        <is>
          <t>OH</t>
        </is>
      </c>
      <c r="D18996" s="15" t="n">
        <v>1.659</v>
      </c>
      <c r="E18996" s="4" t="n">
        <v>100000</v>
      </c>
      <c r="F18996" s="4" t="n">
        <v>165900</v>
      </c>
    </row>
    <row r="18997">
      <c r="A18997" s="3" t="inlineStr">
        <is>
          <t>2</t>
        </is>
      </c>
      <c r="B18997" s="3" t="inlineStr">
        <is>
          <t>Tukang pipa</t>
        </is>
      </c>
      <c r="C18997" s="3" t="inlineStr">
        <is>
          <t>OH</t>
        </is>
      </c>
      <c r="D18997" s="15" t="n">
        <v>0.83</v>
      </c>
      <c r="E18997" s="4" t="n">
        <v>145000</v>
      </c>
      <c r="F18997" s="4" t="n">
        <v>120350</v>
      </c>
    </row>
    <row r="18998">
      <c r="A18998" s="3" t="inlineStr">
        <is>
          <t>3</t>
        </is>
      </c>
      <c r="B18998" s="3" t="inlineStr">
        <is>
          <t>Mandor</t>
        </is>
      </c>
      <c r="C18998" s="3" t="inlineStr">
        <is>
          <t>OH</t>
        </is>
      </c>
      <c r="D18998" s="15" t="n">
        <v>0.166</v>
      </c>
      <c r="E18998" s="4" t="n">
        <v>200000</v>
      </c>
      <c r="F18998" s="4" t="n">
        <v>33200</v>
      </c>
    </row>
    <row r="18999">
      <c r="A18999" s="3" t="inlineStr">
        <is>
          <t>(1000 mm)"</t>
        </is>
      </c>
      <c r="B18999" s="3" t="inlineStr"/>
      <c r="C18999" s="3" t="inlineStr">
        <is>
          <t>m</t>
        </is>
      </c>
      <c r="D18999" s="15" t="n">
        <v>1</v>
      </c>
      <c r="E18999" s="4" t="n">
        <v>187000</v>
      </c>
      <c r="F18999" s="4" t="n">
        <v>187000</v>
      </c>
    </row>
    <row r="19000">
      <c r="A19000" s="3" t="inlineStr">
        <is>
          <t>1</t>
        </is>
      </c>
      <c r="B19000" s="3" t="inlineStr">
        <is>
          <t>Sewa Tripot</t>
        </is>
      </c>
      <c r="C19000" s="3" t="inlineStr">
        <is>
          <t>Hari</t>
        </is>
      </c>
      <c r="D19000" s="15" t="n">
        <v>1.093</v>
      </c>
      <c r="E19000" s="4" t="n">
        <v>108000</v>
      </c>
      <c r="F19000" s="4" t="n">
        <v>118044</v>
      </c>
    </row>
    <row r="19001">
      <c r="D19001" s="2" t="inlineStr">
        <is>
          <t>SUBTOTAL UPAH</t>
        </is>
      </c>
      <c r="F19001" s="16" t="n">
        <v>319450</v>
      </c>
    </row>
    <row r="19002">
      <c r="D19002" s="2" t="inlineStr">
        <is>
          <t>SUBTOTAL BAHAN</t>
        </is>
      </c>
      <c r="F19002" s="16" t="n">
        <v>187000</v>
      </c>
    </row>
    <row r="19003">
      <c r="D19003" s="2" t="inlineStr">
        <is>
          <t>SUBTOTAL ALAT</t>
        </is>
      </c>
      <c r="F19003" s="16" t="n">
        <v>118044</v>
      </c>
    </row>
    <row r="19004">
      <c r="E19004" s="2" t="inlineStr">
        <is>
          <t>TOTAL HARGA SATUAN (Inc. Overhead)</t>
        </is>
      </c>
      <c r="F19004" s="17" t="n">
        <v>686943</v>
      </c>
    </row>
    <row r="19006">
      <c r="A19006" s="14" t="inlineStr">
        <is>
          <t>KODE: 9.3.1.15 - Pemasangan 1 m Pipa HDPE, DN. 44" (1100 mm)</t>
        </is>
      </c>
    </row>
    <row r="19007">
      <c r="A19007" s="10" t="inlineStr">
        <is>
          <t>No</t>
        </is>
      </c>
      <c r="B19007" s="10" t="inlineStr">
        <is>
          <t>Uraian Komponen</t>
        </is>
      </c>
      <c r="C19007" s="10" t="inlineStr">
        <is>
          <t>Satuan</t>
        </is>
      </c>
      <c r="D19007" s="10" t="inlineStr">
        <is>
          <t>Koef</t>
        </is>
      </c>
      <c r="E19007" s="10" t="inlineStr">
        <is>
          <t>Harga Satuan (Rp)</t>
        </is>
      </c>
      <c r="F19007" s="10" t="inlineStr">
        <is>
          <t>Jumlah Harga (Rp)</t>
        </is>
      </c>
    </row>
    <row r="19008">
      <c r="A19008" s="3" t="inlineStr">
        <is>
          <t>1</t>
        </is>
      </c>
      <c r="B19008" s="3" t="inlineStr">
        <is>
          <t>Pekerja</t>
        </is>
      </c>
      <c r="C19008" s="3" t="inlineStr">
        <is>
          <t>OH</t>
        </is>
      </c>
      <c r="D19008" s="15" t="n">
        <v>1.818</v>
      </c>
      <c r="E19008" s="4" t="n">
        <v>100000</v>
      </c>
      <c r="F19008" s="4" t="n">
        <v>181800</v>
      </c>
    </row>
    <row r="19009">
      <c r="A19009" s="3" t="inlineStr">
        <is>
          <t>2</t>
        </is>
      </c>
      <c r="B19009" s="3" t="inlineStr">
        <is>
          <t>Tukang pipa</t>
        </is>
      </c>
      <c r="C19009" s="3" t="inlineStr">
        <is>
          <t>OH</t>
        </is>
      </c>
      <c r="D19009" s="15" t="n">
        <v>0.909</v>
      </c>
      <c r="E19009" s="4" t="n">
        <v>145000</v>
      </c>
      <c r="F19009" s="4" t="n">
        <v>131805</v>
      </c>
    </row>
    <row r="19010">
      <c r="A19010" s="3" t="inlineStr">
        <is>
          <t>3</t>
        </is>
      </c>
      <c r="B19010" s="3" t="inlineStr">
        <is>
          <t>Mandor</t>
        </is>
      </c>
      <c r="C19010" s="3" t="inlineStr">
        <is>
          <t>OH</t>
        </is>
      </c>
      <c r="D19010" s="15" t="n">
        <v>0.182</v>
      </c>
      <c r="E19010" s="4" t="n">
        <v>200000</v>
      </c>
      <c r="F19010" s="4" t="n">
        <v>36400</v>
      </c>
    </row>
    <row r="19011">
      <c r="A19011" s="3" t="inlineStr">
        <is>
          <t>(1100 mm)"</t>
        </is>
      </c>
      <c r="B19011" s="3" t="inlineStr"/>
      <c r="C19011" s="3" t="inlineStr">
        <is>
          <t>m</t>
        </is>
      </c>
      <c r="D19011" s="15" t="n">
        <v>1</v>
      </c>
      <c r="E19011" s="4" t="n">
        <v>198000</v>
      </c>
      <c r="F19011" s="4" t="n">
        <v>198000</v>
      </c>
    </row>
    <row r="19012">
      <c r="A19012" s="3" t="inlineStr">
        <is>
          <t>1</t>
        </is>
      </c>
      <c r="B19012" s="3" t="inlineStr">
        <is>
          <t>Sewa Tripot</t>
        </is>
      </c>
      <c r="C19012" s="3" t="inlineStr">
        <is>
          <t>Hari</t>
        </is>
      </c>
      <c r="D19012" s="15" t="n">
        <v>1.205</v>
      </c>
      <c r="E19012" s="4" t="n">
        <v>108000</v>
      </c>
      <c r="F19012" s="4" t="n">
        <v>130140</v>
      </c>
    </row>
    <row r="19013">
      <c r="D19013" s="2" t="inlineStr">
        <is>
          <t>SUBTOTAL UPAH</t>
        </is>
      </c>
      <c r="F19013" s="16" t="n">
        <v>350005</v>
      </c>
    </row>
    <row r="19014">
      <c r="D19014" s="2" t="inlineStr">
        <is>
          <t>SUBTOTAL BAHAN</t>
        </is>
      </c>
      <c r="F19014" s="16" t="n">
        <v>198000</v>
      </c>
    </row>
    <row r="19015">
      <c r="D19015" s="2" t="inlineStr">
        <is>
          <t>SUBTOTAL ALAT</t>
        </is>
      </c>
      <c r="F19015" s="16" t="n">
        <v>130140</v>
      </c>
    </row>
    <row r="19016">
      <c r="E19016" s="2" t="inlineStr">
        <is>
          <t>TOTAL HARGA SATUAN (Inc. Overhead)</t>
        </is>
      </c>
      <c r="F19016" s="17" t="n">
        <v>745959</v>
      </c>
    </row>
    <row r="19018">
      <c r="A19018" s="14" t="inlineStr">
        <is>
          <t>KODE: 9.3.1.16 - Pemasangan 1 m Pipa HDPE, DN. 48" (1200 mm)</t>
        </is>
      </c>
    </row>
    <row r="19019">
      <c r="A19019" s="10" t="inlineStr">
        <is>
          <t>No</t>
        </is>
      </c>
      <c r="B19019" s="10" t="inlineStr">
        <is>
          <t>Uraian Komponen</t>
        </is>
      </c>
      <c r="C19019" s="10" t="inlineStr">
        <is>
          <t>Satuan</t>
        </is>
      </c>
      <c r="D19019" s="10" t="inlineStr">
        <is>
          <t>Koef</t>
        </is>
      </c>
      <c r="E19019" s="10" t="inlineStr">
        <is>
          <t>Harga Satuan (Rp)</t>
        </is>
      </c>
      <c r="F19019" s="10" t="inlineStr">
        <is>
          <t>Jumlah Harga (Rp)</t>
        </is>
      </c>
    </row>
    <row r="19020">
      <c r="A19020" s="3" t="inlineStr">
        <is>
          <t>1</t>
        </is>
      </c>
      <c r="B19020" s="3" t="inlineStr">
        <is>
          <t>Pekerja</t>
        </is>
      </c>
      <c r="C19020" s="3" t="inlineStr">
        <is>
          <t>OH</t>
        </is>
      </c>
      <c r="D19020" s="15" t="n">
        <v>2.37</v>
      </c>
      <c r="E19020" s="4" t="n">
        <v>100000</v>
      </c>
      <c r="F19020" s="4" t="n">
        <v>237000</v>
      </c>
    </row>
    <row r="19021">
      <c r="A19021" s="3" t="inlineStr">
        <is>
          <t>2</t>
        </is>
      </c>
      <c r="B19021" s="3" t="inlineStr"/>
      <c r="C19021" s="3" t="inlineStr">
        <is>
          <t>Tukang pipa</t>
        </is>
      </c>
      <c r="D19021" s="15" t="n">
        <v>1.185</v>
      </c>
      <c r="E19021" s="4" t="n">
        <v>145000</v>
      </c>
      <c r="F19021" s="4" t="n">
        <v>171825</v>
      </c>
    </row>
    <row r="19022">
      <c r="A19022" s="3" t="inlineStr">
        <is>
          <t>3</t>
        </is>
      </c>
      <c r="B19022" s="3" t="inlineStr">
        <is>
          <t>Mandor</t>
        </is>
      </c>
      <c r="C19022" s="3" t="inlineStr">
        <is>
          <t>OH</t>
        </is>
      </c>
      <c r="D19022" s="15" t="n">
        <v>0.237</v>
      </c>
      <c r="E19022" s="4" t="n">
        <v>200000</v>
      </c>
      <c r="F19022" s="4" t="n">
        <v>47400</v>
      </c>
    </row>
    <row r="19023">
      <c r="A19023" s="3" t="inlineStr">
        <is>
          <t>(1200 mm)"</t>
        </is>
      </c>
      <c r="B19023" s="3" t="inlineStr"/>
      <c r="C19023" s="3" t="inlineStr">
        <is>
          <t>m</t>
        </is>
      </c>
      <c r="D19023" s="15" t="n">
        <v>1</v>
      </c>
      <c r="E19023" s="4" t="n">
        <v>216000</v>
      </c>
      <c r="F19023" s="4" t="n">
        <v>216000</v>
      </c>
    </row>
    <row r="19024">
      <c r="A19024" s="3" t="inlineStr">
        <is>
          <t>1</t>
        </is>
      </c>
      <c r="B19024" s="3" t="inlineStr">
        <is>
          <t>Sewa Tripot</t>
        </is>
      </c>
      <c r="C19024" s="3" t="inlineStr">
        <is>
          <t>Hari</t>
        </is>
      </c>
      <c r="D19024" s="15" t="n">
        <v>1.584</v>
      </c>
      <c r="E19024" s="4" t="n">
        <v>108000</v>
      </c>
      <c r="F19024" s="4" t="n">
        <v>171072</v>
      </c>
    </row>
    <row r="19025">
      <c r="D19025" s="2" t="inlineStr">
        <is>
          <t>SUBTOTAL UPAH</t>
        </is>
      </c>
      <c r="F19025" s="16" t="n">
        <v>456225</v>
      </c>
    </row>
    <row r="19026">
      <c r="D19026" s="2" t="inlineStr">
        <is>
          <t>SUBTOTAL BAHAN</t>
        </is>
      </c>
      <c r="F19026" s="16" t="n">
        <v>216000</v>
      </c>
    </row>
    <row r="19027">
      <c r="D19027" s="2" t="inlineStr">
        <is>
          <t>SUBTOTAL ALAT</t>
        </is>
      </c>
      <c r="F19027" s="16" t="n">
        <v>171072</v>
      </c>
    </row>
    <row r="19028">
      <c r="E19028" s="2" t="inlineStr">
        <is>
          <t>TOTAL HARGA SATUAN (Inc. Overhead)</t>
        </is>
      </c>
      <c r="F19028" s="17" t="n">
        <v>927626</v>
      </c>
    </row>
    <row r="19030">
      <c r="A19030" s="14" t="inlineStr">
        <is>
          <t>KODE: 9.3.1.17 - Pemasangan 1 m Pipa HDPE, DN. 1/2" (15 mm)</t>
        </is>
      </c>
    </row>
    <row r="19031">
      <c r="A19031" s="10" t="inlineStr">
        <is>
          <t>No</t>
        </is>
      </c>
      <c r="B19031" s="10" t="inlineStr">
        <is>
          <t>Uraian Komponen</t>
        </is>
      </c>
      <c r="C19031" s="10" t="inlineStr">
        <is>
          <t>Satuan</t>
        </is>
      </c>
      <c r="D19031" s="10" t="inlineStr">
        <is>
          <t>Koef</t>
        </is>
      </c>
      <c r="E19031" s="10" t="inlineStr">
        <is>
          <t>Harga Satuan (Rp)</t>
        </is>
      </c>
      <c r="F19031" s="10" t="inlineStr">
        <is>
          <t>Jumlah Harga (Rp)</t>
        </is>
      </c>
    </row>
    <row r="19032">
      <c r="A19032" s="3" t="inlineStr">
        <is>
          <t>1</t>
        </is>
      </c>
      <c r="B19032" s="3" t="inlineStr">
        <is>
          <t>Pekerja</t>
        </is>
      </c>
      <c r="C19032" s="3" t="inlineStr">
        <is>
          <t>OH</t>
        </is>
      </c>
      <c r="D19032" s="15" t="n">
        <v>0.022</v>
      </c>
      <c r="E19032" s="4" t="n">
        <v>100000</v>
      </c>
      <c r="F19032" s="4" t="n">
        <v>2200</v>
      </c>
    </row>
    <row r="19033">
      <c r="A19033" s="3" t="inlineStr">
        <is>
          <t>2</t>
        </is>
      </c>
      <c r="B19033" s="3" t="inlineStr">
        <is>
          <t>Tukang pipa</t>
        </is>
      </c>
      <c r="C19033" s="3" t="inlineStr">
        <is>
          <t>OH</t>
        </is>
      </c>
      <c r="D19033" s="15" t="n">
        <v>0.011</v>
      </c>
      <c r="E19033" s="4" t="n">
        <v>145000</v>
      </c>
      <c r="F19033" s="4" t="n">
        <v>1595</v>
      </c>
    </row>
    <row r="19034">
      <c r="A19034" s="3" t="inlineStr">
        <is>
          <t>3</t>
        </is>
      </c>
      <c r="B19034" s="3" t="inlineStr">
        <is>
          <t>Mandor</t>
        </is>
      </c>
      <c r="C19034" s="3" t="inlineStr">
        <is>
          <t>OH</t>
        </is>
      </c>
      <c r="D19034" s="15" t="n">
        <v>0.002</v>
      </c>
      <c r="E19034" s="4" t="n">
        <v>200000</v>
      </c>
      <c r="F19034" s="4" t="n">
        <v>400</v>
      </c>
    </row>
    <row r="19035">
      <c r="A19035" s="3" t="inlineStr">
        <is>
          <t>(15 mm)"</t>
        </is>
      </c>
      <c r="B19035" s="3" t="inlineStr"/>
      <c r="C19035" s="3" t="inlineStr">
        <is>
          <t>m</t>
        </is>
      </c>
      <c r="D19035" s="15" t="n">
        <v>1</v>
      </c>
      <c r="E19035" s="4" t="n">
        <v>13000</v>
      </c>
      <c r="F19035" s="4" t="n">
        <v>13000</v>
      </c>
    </row>
    <row r="19036">
      <c r="D19036" s="2" t="inlineStr">
        <is>
          <t>SUBTOTAL UPAH</t>
        </is>
      </c>
      <c r="F19036" s="16" t="n">
        <v>4195</v>
      </c>
    </row>
    <row r="19037">
      <c r="D19037" s="2" t="inlineStr">
        <is>
          <t>SUBTOTAL BAHAN</t>
        </is>
      </c>
      <c r="F19037" s="16" t="n">
        <v>13000</v>
      </c>
    </row>
    <row r="19038">
      <c r="D19038" s="2" t="inlineStr">
        <is>
          <t>SUBTOTAL ALAT</t>
        </is>
      </c>
      <c r="F19038" s="16" t="n">
        <v>0</v>
      </c>
    </row>
    <row r="19039">
      <c r="E19039" s="2" t="inlineStr">
        <is>
          <t>TOTAL HARGA SATUAN (Inc. Overhead)</t>
        </is>
      </c>
      <c r="F19039" s="17" t="n">
        <v>18914</v>
      </c>
    </row>
    <row r="19041">
      <c r="A19041" s="14" t="inlineStr">
        <is>
          <t>KODE: 9.3.1.18 - Pemasangan 1 m Pipa HDPE, DN. 3/4" (20 mm)</t>
        </is>
      </c>
    </row>
    <row r="19042">
      <c r="A19042" s="10" t="inlineStr">
        <is>
          <t>No</t>
        </is>
      </c>
      <c r="B19042" s="10" t="inlineStr">
        <is>
          <t>Uraian Komponen</t>
        </is>
      </c>
      <c r="C19042" s="10" t="inlineStr">
        <is>
          <t>Satuan</t>
        </is>
      </c>
      <c r="D19042" s="10" t="inlineStr">
        <is>
          <t>Koef</t>
        </is>
      </c>
      <c r="E19042" s="10" t="inlineStr">
        <is>
          <t>Harga Satuan (Rp)</t>
        </is>
      </c>
      <c r="F19042" s="10" t="inlineStr">
        <is>
          <t>Jumlah Harga (Rp)</t>
        </is>
      </c>
    </row>
    <row r="19043">
      <c r="A19043" s="3" t="inlineStr">
        <is>
          <t>1</t>
        </is>
      </c>
      <c r="B19043" s="3" t="inlineStr">
        <is>
          <t>Pekerja</t>
        </is>
      </c>
      <c r="C19043" s="3" t="inlineStr">
        <is>
          <t>OH</t>
        </is>
      </c>
      <c r="D19043" s="15" t="n">
        <v>0.022</v>
      </c>
      <c r="E19043" s="4" t="n">
        <v>100000</v>
      </c>
      <c r="F19043" s="4" t="n">
        <v>2200</v>
      </c>
    </row>
    <row r="19044">
      <c r="A19044" s="3" t="inlineStr">
        <is>
          <t>2</t>
        </is>
      </c>
      <c r="B19044" s="3" t="inlineStr">
        <is>
          <t>Tukang pipa</t>
        </is>
      </c>
      <c r="C19044" s="3" t="inlineStr">
        <is>
          <t>OH</t>
        </is>
      </c>
      <c r="D19044" s="15" t="n">
        <v>0.011</v>
      </c>
      <c r="E19044" s="4" t="n">
        <v>145000</v>
      </c>
      <c r="F19044" s="4" t="n">
        <v>1595</v>
      </c>
    </row>
    <row r="19045">
      <c r="A19045" s="3" t="inlineStr">
        <is>
          <t>3</t>
        </is>
      </c>
      <c r="B19045" s="3" t="inlineStr">
        <is>
          <t>Mandor</t>
        </is>
      </c>
      <c r="C19045" s="3" t="inlineStr">
        <is>
          <t>OH</t>
        </is>
      </c>
      <c r="D19045" s="15" t="n">
        <v>0.002</v>
      </c>
      <c r="E19045" s="4" t="n">
        <v>200000</v>
      </c>
      <c r="F19045" s="4" t="n">
        <v>400</v>
      </c>
    </row>
    <row r="19046">
      <c r="A19046" s="3" t="inlineStr">
        <is>
          <t>(20 mm)"</t>
        </is>
      </c>
      <c r="B19046" s="3" t="inlineStr"/>
      <c r="C19046" s="3" t="inlineStr">
        <is>
          <t>m</t>
        </is>
      </c>
      <c r="D19046" s="15" t="n">
        <v>1</v>
      </c>
      <c r="E19046" s="4" t="n">
        <v>18000</v>
      </c>
      <c r="F19046" s="4" t="n">
        <v>18000</v>
      </c>
    </row>
    <row r="19047">
      <c r="D19047" s="2" t="inlineStr">
        <is>
          <t>SUBTOTAL UPAH</t>
        </is>
      </c>
      <c r="F19047" s="16" t="n">
        <v>4195</v>
      </c>
    </row>
    <row r="19048">
      <c r="D19048" s="2" t="inlineStr">
        <is>
          <t>SUBTOTAL BAHAN</t>
        </is>
      </c>
      <c r="F19048" s="16" t="n">
        <v>18000</v>
      </c>
    </row>
    <row r="19049">
      <c r="D19049" s="2" t="inlineStr">
        <is>
          <t>SUBTOTAL ALAT</t>
        </is>
      </c>
      <c r="F19049" s="16" t="n">
        <v>0</v>
      </c>
    </row>
    <row r="19050">
      <c r="E19050" s="2" t="inlineStr">
        <is>
          <t>TOTAL HARGA SATUAN (Inc. Overhead)</t>
        </is>
      </c>
      <c r="F19050" s="17" t="n">
        <v>24414</v>
      </c>
    </row>
    <row r="19052">
      <c r="A19052" s="14" t="inlineStr">
        <is>
          <t>KODE: 9.3.1.19 - Pemasangan 1 m Pipa HDPE, DN. 1" (25 mm)</t>
        </is>
      </c>
    </row>
    <row r="19053">
      <c r="A19053" s="10" t="inlineStr">
        <is>
          <t>No</t>
        </is>
      </c>
      <c r="B19053" s="10" t="inlineStr">
        <is>
          <t>Uraian Komponen</t>
        </is>
      </c>
      <c r="C19053" s="10" t="inlineStr">
        <is>
          <t>Satuan</t>
        </is>
      </c>
      <c r="D19053" s="10" t="inlineStr">
        <is>
          <t>Koef</t>
        </is>
      </c>
      <c r="E19053" s="10" t="inlineStr">
        <is>
          <t>Harga Satuan (Rp)</t>
        </is>
      </c>
      <c r="F19053" s="10" t="inlineStr">
        <is>
          <t>Jumlah Harga (Rp)</t>
        </is>
      </c>
    </row>
    <row r="19054">
      <c r="A19054" s="3" t="inlineStr">
        <is>
          <t>1</t>
        </is>
      </c>
      <c r="B19054" s="3" t="inlineStr">
        <is>
          <t>Pekerja</t>
        </is>
      </c>
      <c r="C19054" s="3" t="inlineStr">
        <is>
          <t>OH</t>
        </is>
      </c>
      <c r="D19054" s="15" t="n">
        <v>0.028</v>
      </c>
      <c r="E19054" s="4" t="n">
        <v>100000</v>
      </c>
      <c r="F19054" s="4" t="n">
        <v>2800</v>
      </c>
    </row>
    <row r="19055">
      <c r="A19055" s="3" t="inlineStr">
        <is>
          <t>2</t>
        </is>
      </c>
      <c r="B19055" s="3" t="inlineStr">
        <is>
          <t>Tukang pipa</t>
        </is>
      </c>
      <c r="C19055" s="3" t="inlineStr">
        <is>
          <t>OH</t>
        </is>
      </c>
      <c r="D19055" s="15" t="n">
        <v>0.014</v>
      </c>
      <c r="E19055" s="4" t="n">
        <v>145000</v>
      </c>
      <c r="F19055" s="4" t="n">
        <v>2030</v>
      </c>
    </row>
    <row r="19056">
      <c r="A19056" s="3" t="inlineStr">
        <is>
          <t>3</t>
        </is>
      </c>
      <c r="B19056" s="3" t="inlineStr">
        <is>
          <t>Mandor</t>
        </is>
      </c>
      <c r="C19056" s="3" t="inlineStr">
        <is>
          <t>OH</t>
        </is>
      </c>
      <c r="D19056" s="15" t="n">
        <v>0.003</v>
      </c>
      <c r="E19056" s="4" t="n">
        <v>200000</v>
      </c>
      <c r="F19056" s="4" t="n">
        <v>600</v>
      </c>
    </row>
    <row r="19057">
      <c r="A19057" s="3" t="inlineStr">
        <is>
          <t>(25 mm)"</t>
        </is>
      </c>
      <c r="B19057" s="3" t="inlineStr"/>
      <c r="C19057" s="3" t="inlineStr">
        <is>
          <t>m</t>
        </is>
      </c>
      <c r="D19057" s="15" t="n">
        <v>1</v>
      </c>
      <c r="E19057" s="4" t="n">
        <v>21000</v>
      </c>
      <c r="F19057" s="4" t="n">
        <v>21000</v>
      </c>
    </row>
    <row r="19058">
      <c r="D19058" s="2" t="inlineStr">
        <is>
          <t>SUBTOTAL UPAH</t>
        </is>
      </c>
      <c r="F19058" s="16" t="n">
        <v>5430</v>
      </c>
    </row>
    <row r="19059">
      <c r="D19059" s="2" t="inlineStr">
        <is>
          <t>SUBTOTAL BAHAN</t>
        </is>
      </c>
      <c r="F19059" s="16" t="n">
        <v>21000</v>
      </c>
    </row>
    <row r="19060">
      <c r="D19060" s="2" t="inlineStr">
        <is>
          <t>SUBTOTAL ALAT</t>
        </is>
      </c>
      <c r="F19060" s="16" t="n">
        <v>0</v>
      </c>
    </row>
    <row r="19061">
      <c r="E19061" s="2" t="inlineStr">
        <is>
          <t>TOTAL HARGA SATUAN (Inc. Overhead)</t>
        </is>
      </c>
      <c r="F19061" s="17" t="n">
        <v>29073</v>
      </c>
    </row>
    <row r="19063">
      <c r="A19063" s="14" t="inlineStr">
        <is>
          <t>KODE: 9.3.1.20 - Pemasangan 1 m Pipa HDPE, DN. 1-1/4" (32 mm)</t>
        </is>
      </c>
    </row>
    <row r="19064">
      <c r="A19064" s="10" t="inlineStr">
        <is>
          <t>No</t>
        </is>
      </c>
      <c r="B19064" s="10" t="inlineStr">
        <is>
          <t>Uraian Komponen</t>
        </is>
      </c>
      <c r="C19064" s="10" t="inlineStr">
        <is>
          <t>Satuan</t>
        </is>
      </c>
      <c r="D19064" s="10" t="inlineStr">
        <is>
          <t>Koef</t>
        </is>
      </c>
      <c r="E19064" s="10" t="inlineStr">
        <is>
          <t>Harga Satuan (Rp)</t>
        </is>
      </c>
      <c r="F19064" s="10" t="inlineStr">
        <is>
          <t>Jumlah Harga (Rp)</t>
        </is>
      </c>
    </row>
    <row r="19065">
      <c r="A19065" s="3" t="inlineStr">
        <is>
          <t>1</t>
        </is>
      </c>
      <c r="B19065" s="3" t="inlineStr">
        <is>
          <t>Pekerja</t>
        </is>
      </c>
      <c r="C19065" s="3" t="inlineStr">
        <is>
          <t>OH</t>
        </is>
      </c>
      <c r="D19065" s="15" t="n">
        <v>0.028</v>
      </c>
      <c r="E19065" s="4" t="n">
        <v>100000</v>
      </c>
      <c r="F19065" s="4" t="n">
        <v>2800</v>
      </c>
    </row>
    <row r="19066">
      <c r="A19066" s="3" t="inlineStr">
        <is>
          <t>2</t>
        </is>
      </c>
      <c r="B19066" s="3" t="inlineStr">
        <is>
          <t>Tukang pipa</t>
        </is>
      </c>
      <c r="C19066" s="3" t="inlineStr">
        <is>
          <t>OH</t>
        </is>
      </c>
      <c r="D19066" s="15" t="n">
        <v>0.014</v>
      </c>
      <c r="E19066" s="4" t="n">
        <v>145000</v>
      </c>
      <c r="F19066" s="4" t="n">
        <v>2030</v>
      </c>
    </row>
    <row r="19067">
      <c r="A19067" s="3" t="inlineStr">
        <is>
          <t>3</t>
        </is>
      </c>
      <c r="B19067" s="3" t="inlineStr">
        <is>
          <t>Mandor</t>
        </is>
      </c>
      <c r="C19067" s="3" t="inlineStr">
        <is>
          <t>OH</t>
        </is>
      </c>
      <c r="D19067" s="15" t="n">
        <v>0.003</v>
      </c>
      <c r="E19067" s="4" t="n">
        <v>200000</v>
      </c>
      <c r="F19067" s="4" t="n">
        <v>600</v>
      </c>
    </row>
    <row r="19068">
      <c r="A19068" s="3" t="inlineStr">
        <is>
          <t>DN. 1-1/4"" (32 mm)"</t>
        </is>
      </c>
      <c r="B19068" s="3" t="inlineStr"/>
      <c r="C19068" s="3" t="inlineStr">
        <is>
          <t>m</t>
        </is>
      </c>
      <c r="D19068" s="15" t="n">
        <v>1</v>
      </c>
      <c r="E19068" s="4" t="n">
        <v>22000</v>
      </c>
      <c r="F19068" s="4" t="n">
        <v>22000</v>
      </c>
    </row>
    <row r="19069">
      <c r="D19069" s="2" t="inlineStr">
        <is>
          <t>SUBTOTAL UPAH</t>
        </is>
      </c>
      <c r="F19069" s="16" t="n">
        <v>5430</v>
      </c>
    </row>
    <row r="19070">
      <c r="D19070" s="2" t="inlineStr">
        <is>
          <t>SUBTOTAL BAHAN</t>
        </is>
      </c>
      <c r="F19070" s="16" t="n">
        <v>22000</v>
      </c>
    </row>
    <row r="19071">
      <c r="D19071" s="2" t="inlineStr">
        <is>
          <t>SUBTOTAL ALAT</t>
        </is>
      </c>
      <c r="F19071" s="16" t="n">
        <v>0</v>
      </c>
    </row>
    <row r="19072">
      <c r="E19072" s="2" t="inlineStr">
        <is>
          <t>TOTAL HARGA SATUAN (Inc. Overhead)</t>
        </is>
      </c>
      <c r="F19072" s="17" t="n">
        <v>30173</v>
      </c>
    </row>
    <row r="19074">
      <c r="A19074" s="14" t="inlineStr">
        <is>
          <t>KODE: 9.3.1.21 - Pemasangan 1 m Pipa HDPE, DN. 1-1/2" (40 mm)</t>
        </is>
      </c>
    </row>
    <row r="19075">
      <c r="A19075" s="10" t="inlineStr">
        <is>
          <t>No</t>
        </is>
      </c>
      <c r="B19075" s="10" t="inlineStr">
        <is>
          <t>Uraian Komponen</t>
        </is>
      </c>
      <c r="C19075" s="10" t="inlineStr">
        <is>
          <t>Satuan</t>
        </is>
      </c>
      <c r="D19075" s="10" t="inlineStr">
        <is>
          <t>Koef</t>
        </is>
      </c>
      <c r="E19075" s="10" t="inlineStr">
        <is>
          <t>Harga Satuan (Rp)</t>
        </is>
      </c>
      <c r="F19075" s="10" t="inlineStr">
        <is>
          <t>Jumlah Harga (Rp)</t>
        </is>
      </c>
    </row>
    <row r="19076">
      <c r="A19076" s="3" t="inlineStr">
        <is>
          <t>1</t>
        </is>
      </c>
      <c r="B19076" s="3" t="inlineStr">
        <is>
          <t>Pekerja</t>
        </is>
      </c>
      <c r="C19076" s="3" t="inlineStr">
        <is>
          <t>OH</t>
        </is>
      </c>
      <c r="D19076" s="15" t="n">
        <v>0.028</v>
      </c>
      <c r="E19076" s="4" t="n">
        <v>100000</v>
      </c>
      <c r="F19076" s="4" t="n">
        <v>2800</v>
      </c>
    </row>
    <row r="19077">
      <c r="A19077" s="3" t="inlineStr">
        <is>
          <t>2</t>
        </is>
      </c>
      <c r="B19077" s="3" t="inlineStr">
        <is>
          <t>Tukang pipa</t>
        </is>
      </c>
      <c r="C19077" s="3" t="inlineStr">
        <is>
          <t>OH</t>
        </is>
      </c>
      <c r="D19077" s="15" t="n">
        <v>0.014</v>
      </c>
      <c r="E19077" s="4" t="n">
        <v>145000</v>
      </c>
      <c r="F19077" s="4" t="n">
        <v>2030</v>
      </c>
    </row>
    <row r="19078">
      <c r="A19078" s="3" t="inlineStr">
        <is>
          <t>3</t>
        </is>
      </c>
      <c r="B19078" s="3" t="inlineStr">
        <is>
          <t>Mandor</t>
        </is>
      </c>
      <c r="C19078" s="3" t="inlineStr">
        <is>
          <t>OH</t>
        </is>
      </c>
      <c r="D19078" s="15" t="n">
        <v>0.003</v>
      </c>
      <c r="E19078" s="4" t="n">
        <v>200000</v>
      </c>
      <c r="F19078" s="4" t="n">
        <v>600</v>
      </c>
    </row>
    <row r="19079">
      <c r="A19079" s="3" t="inlineStr">
        <is>
          <t>DN. 1-1/2"" (40 mm)"</t>
        </is>
      </c>
      <c r="B19079" s="3" t="inlineStr"/>
      <c r="C19079" s="3" t="inlineStr">
        <is>
          <t>m</t>
        </is>
      </c>
      <c r="D19079" s="15" t="n">
        <v>1</v>
      </c>
      <c r="E19079" s="4" t="n">
        <v>23000</v>
      </c>
      <c r="F19079" s="4" t="n">
        <v>23000</v>
      </c>
    </row>
    <row r="19080">
      <c r="D19080" s="2" t="inlineStr">
        <is>
          <t>SUBTOTAL UPAH</t>
        </is>
      </c>
      <c r="F19080" s="16" t="n">
        <v>5430</v>
      </c>
    </row>
    <row r="19081">
      <c r="D19081" s="2" t="inlineStr">
        <is>
          <t>SUBTOTAL BAHAN</t>
        </is>
      </c>
      <c r="F19081" s="16" t="n">
        <v>23000</v>
      </c>
    </row>
    <row r="19082">
      <c r="D19082" s="2" t="inlineStr">
        <is>
          <t>SUBTOTAL ALAT</t>
        </is>
      </c>
      <c r="F19082" s="16" t="n">
        <v>0</v>
      </c>
    </row>
    <row r="19083">
      <c r="E19083" s="2" t="inlineStr">
        <is>
          <t>TOTAL HARGA SATUAN (Inc. Overhead)</t>
        </is>
      </c>
      <c r="F19083" s="17" t="n">
        <v>31273</v>
      </c>
    </row>
    <row r="19085">
      <c r="A19085" s="14" t="inlineStr">
        <is>
          <t>KODE: 9.3.1.22 - Pemasangan 1 m Pipa HDPE, DN. 2" (50 mm)</t>
        </is>
      </c>
    </row>
    <row r="19086">
      <c r="A19086" s="10" t="inlineStr">
        <is>
          <t>No</t>
        </is>
      </c>
      <c r="B19086" s="10" t="inlineStr">
        <is>
          <t>Uraian Komponen</t>
        </is>
      </c>
      <c r="C19086" s="10" t="inlineStr">
        <is>
          <t>Satuan</t>
        </is>
      </c>
      <c r="D19086" s="10" t="inlineStr">
        <is>
          <t>Koef</t>
        </is>
      </c>
      <c r="E19086" s="10" t="inlineStr">
        <is>
          <t>Harga Satuan (Rp)</t>
        </is>
      </c>
      <c r="F19086" s="10" t="inlineStr">
        <is>
          <t>Jumlah Harga (Rp)</t>
        </is>
      </c>
    </row>
    <row r="19087">
      <c r="A19087" s="3" t="inlineStr">
        <is>
          <t>1</t>
        </is>
      </c>
      <c r="B19087" s="3" t="inlineStr">
        <is>
          <t>Pekerja</t>
        </is>
      </c>
      <c r="C19087" s="3" t="inlineStr">
        <is>
          <t>OH</t>
        </is>
      </c>
      <c r="D19087" s="15" t="n">
        <v>0.035</v>
      </c>
      <c r="E19087" s="4" t="n">
        <v>100000</v>
      </c>
      <c r="F19087" s="4" t="n">
        <v>3500</v>
      </c>
    </row>
    <row r="19088">
      <c r="A19088" s="3" t="inlineStr">
        <is>
          <t>2</t>
        </is>
      </c>
      <c r="B19088" s="3" t="inlineStr">
        <is>
          <t>Tukang pipa</t>
        </is>
      </c>
      <c r="C19088" s="3" t="inlineStr">
        <is>
          <t>OH</t>
        </is>
      </c>
      <c r="D19088" s="15" t="n">
        <v>0.017</v>
      </c>
      <c r="E19088" s="4" t="n">
        <v>145000</v>
      </c>
      <c r="F19088" s="4" t="n">
        <v>2465</v>
      </c>
    </row>
    <row r="19089">
      <c r="A19089" s="3" t="inlineStr">
        <is>
          <t>3</t>
        </is>
      </c>
      <c r="B19089" s="3" t="inlineStr">
        <is>
          <t>Mandor</t>
        </is>
      </c>
      <c r="C19089" s="3" t="inlineStr">
        <is>
          <t>OH</t>
        </is>
      </c>
      <c r="D19089" s="15" t="n">
        <v>0.003</v>
      </c>
      <c r="E19089" s="4" t="n">
        <v>200000</v>
      </c>
      <c r="F19089" s="4" t="n">
        <v>600</v>
      </c>
    </row>
    <row r="19090">
      <c r="A19090" s="3" t="inlineStr">
        <is>
          <t>(50 mm)"</t>
        </is>
      </c>
      <c r="B19090" s="3" t="inlineStr"/>
      <c r="C19090" s="3" t="inlineStr">
        <is>
          <t>m</t>
        </is>
      </c>
      <c r="D19090" s="15" t="n">
        <v>1</v>
      </c>
      <c r="E19090" s="4" t="n">
        <v>24000</v>
      </c>
      <c r="F19090" s="4" t="n">
        <v>24000</v>
      </c>
    </row>
    <row r="19091">
      <c r="D19091" s="2" t="inlineStr">
        <is>
          <t>SUBTOTAL UPAH</t>
        </is>
      </c>
      <c r="F19091" s="16" t="n">
        <v>6565</v>
      </c>
    </row>
    <row r="19092">
      <c r="D19092" s="2" t="inlineStr">
        <is>
          <t>SUBTOTAL BAHAN</t>
        </is>
      </c>
      <c r="F19092" s="16" t="n">
        <v>24000</v>
      </c>
    </row>
    <row r="19093">
      <c r="D19093" s="2" t="inlineStr">
        <is>
          <t>SUBTOTAL ALAT</t>
        </is>
      </c>
      <c r="F19093" s="16" t="n">
        <v>0</v>
      </c>
    </row>
    <row r="19094">
      <c r="E19094" s="2" t="inlineStr">
        <is>
          <t>TOTAL HARGA SATUAN (Inc. Overhead)</t>
        </is>
      </c>
      <c r="F19094" s="17" t="n">
        <v>33621</v>
      </c>
    </row>
    <row r="19096">
      <c r="A19096" s="14" t="inlineStr">
        <is>
          <t>KODE: 9.3.1.23 - Pemasangan 1 m Pipa HDPE, DN. 3" (75 mm)</t>
        </is>
      </c>
    </row>
    <row r="19097">
      <c r="A19097" s="10" t="inlineStr">
        <is>
          <t>No</t>
        </is>
      </c>
      <c r="B19097" s="10" t="inlineStr">
        <is>
          <t>Uraian Komponen</t>
        </is>
      </c>
      <c r="C19097" s="10" t="inlineStr">
        <is>
          <t>Satuan</t>
        </is>
      </c>
      <c r="D19097" s="10" t="inlineStr">
        <is>
          <t>Koef</t>
        </is>
      </c>
      <c r="E19097" s="10" t="inlineStr">
        <is>
          <t>Harga Satuan (Rp)</t>
        </is>
      </c>
      <c r="F19097" s="10" t="inlineStr">
        <is>
          <t>Jumlah Harga (Rp)</t>
        </is>
      </c>
    </row>
    <row r="19098">
      <c r="A19098" s="3" t="inlineStr">
        <is>
          <t>1</t>
        </is>
      </c>
      <c r="B19098" s="3" t="inlineStr">
        <is>
          <t>Pekerja</t>
        </is>
      </c>
      <c r="C19098" s="3" t="inlineStr">
        <is>
          <t>OH</t>
        </is>
      </c>
      <c r="D19098" s="15" t="n">
        <v>0.037</v>
      </c>
      <c r="E19098" s="4" t="n">
        <v>100000</v>
      </c>
      <c r="F19098" s="4" t="n">
        <v>3700</v>
      </c>
    </row>
    <row r="19099">
      <c r="A19099" s="3" t="inlineStr">
        <is>
          <t>2</t>
        </is>
      </c>
      <c r="B19099" s="3" t="inlineStr">
        <is>
          <t>Tukang pipa</t>
        </is>
      </c>
      <c r="C19099" s="3" t="inlineStr">
        <is>
          <t>OH</t>
        </is>
      </c>
      <c r="D19099" s="15" t="n">
        <v>0.018</v>
      </c>
      <c r="E19099" s="4" t="n">
        <v>145000</v>
      </c>
      <c r="F19099" s="4" t="n">
        <v>2610</v>
      </c>
    </row>
    <row r="19100">
      <c r="A19100" s="3" t="inlineStr">
        <is>
          <t>3</t>
        </is>
      </c>
      <c r="B19100" s="3" t="inlineStr">
        <is>
          <t>Mandor</t>
        </is>
      </c>
      <c r="C19100" s="3" t="inlineStr">
        <is>
          <t>OH</t>
        </is>
      </c>
      <c r="D19100" s="15" t="n">
        <v>0.004</v>
      </c>
      <c r="E19100" s="4" t="n">
        <v>200000</v>
      </c>
      <c r="F19100" s="4" t="n">
        <v>800</v>
      </c>
    </row>
    <row r="19101">
      <c r="A19101" s="3" t="inlineStr">
        <is>
          <t>"Pipa HDPE</t>
        </is>
      </c>
      <c r="B19101" s="3" t="inlineStr">
        <is>
          <t>DN. 3"" (75 mm)"</t>
        </is>
      </c>
      <c r="C19101" s="3" t="inlineStr">
        <is>
          <t>m</t>
        </is>
      </c>
      <c r="D19101" s="15" t="n">
        <v>1</v>
      </c>
      <c r="E19101" s="4" t="n">
        <v>30000</v>
      </c>
      <c r="F19101" s="4" t="n">
        <v>30000</v>
      </c>
    </row>
    <row r="19102">
      <c r="A19102" s="3" t="inlineStr">
        <is>
          <t>1</t>
        </is>
      </c>
      <c r="B19102" s="3" t="inlineStr">
        <is>
          <t>Sewa Tripot</t>
        </is>
      </c>
      <c r="C19102" s="3" t="inlineStr">
        <is>
          <t>Hari</t>
        </is>
      </c>
      <c r="D19102" s="15" t="n">
        <v>0.019</v>
      </c>
      <c r="E19102" s="4" t="n">
        <v>108000</v>
      </c>
      <c r="F19102" s="4" t="n">
        <v>2052</v>
      </c>
    </row>
    <row r="19103">
      <c r="D19103" s="2" t="inlineStr">
        <is>
          <t>SUBTOTAL UPAH</t>
        </is>
      </c>
      <c r="F19103" s="16" t="n">
        <v>7110</v>
      </c>
    </row>
    <row r="19104">
      <c r="D19104" s="2" t="inlineStr">
        <is>
          <t>SUBTOTAL BAHAN</t>
        </is>
      </c>
      <c r="F19104" s="16" t="n">
        <v>30000</v>
      </c>
    </row>
    <row r="19105">
      <c r="D19105" s="2" t="inlineStr">
        <is>
          <t>SUBTOTAL ALAT</t>
        </is>
      </c>
      <c r="F19105" s="16" t="n">
        <v>2052</v>
      </c>
    </row>
    <row r="19106">
      <c r="E19106" s="2" t="inlineStr">
        <is>
          <t>TOTAL HARGA SATUAN (Inc. Overhead)</t>
        </is>
      </c>
      <c r="F19106" s="17" t="n">
        <v>43078</v>
      </c>
    </row>
    <row r="19108">
      <c r="A19108" s="14" t="inlineStr">
        <is>
          <t>KODE: 9.3.1.24 - Pemasangan 1 m Pipa HDPE, DN. 3.5" (90 mm)</t>
        </is>
      </c>
    </row>
    <row r="19109">
      <c r="A19109" s="10" t="inlineStr">
        <is>
          <t>No</t>
        </is>
      </c>
      <c r="B19109" s="10" t="inlineStr">
        <is>
          <t>Uraian Komponen</t>
        </is>
      </c>
      <c r="C19109" s="10" t="inlineStr">
        <is>
          <t>Satuan</t>
        </is>
      </c>
      <c r="D19109" s="10" t="inlineStr">
        <is>
          <t>Koef</t>
        </is>
      </c>
      <c r="E19109" s="10" t="inlineStr">
        <is>
          <t>Harga Satuan (Rp)</t>
        </is>
      </c>
      <c r="F19109" s="10" t="inlineStr">
        <is>
          <t>Jumlah Harga (Rp)</t>
        </is>
      </c>
    </row>
    <row r="19110">
      <c r="A19110" s="3" t="inlineStr">
        <is>
          <t>1</t>
        </is>
      </c>
      <c r="B19110" s="3" t="inlineStr">
        <is>
          <t>Pekerja</t>
        </is>
      </c>
      <c r="C19110" s="3" t="inlineStr">
        <is>
          <t>OH</t>
        </is>
      </c>
      <c r="D19110" s="15" t="n">
        <v>0.039</v>
      </c>
      <c r="E19110" s="4" t="n">
        <v>100000</v>
      </c>
      <c r="F19110" s="4" t="n">
        <v>3900</v>
      </c>
    </row>
    <row r="19111">
      <c r="A19111" s="3" t="inlineStr">
        <is>
          <t>2</t>
        </is>
      </c>
      <c r="B19111" s="3" t="inlineStr">
        <is>
          <t>Tukang pipa</t>
        </is>
      </c>
      <c r="C19111" s="3" t="inlineStr">
        <is>
          <t>OH</t>
        </is>
      </c>
      <c r="D19111" s="15" t="n">
        <v>0.02</v>
      </c>
      <c r="E19111" s="4" t="n">
        <v>145000</v>
      </c>
      <c r="F19111" s="4" t="n">
        <v>2900</v>
      </c>
    </row>
    <row r="19112">
      <c r="A19112" s="3" t="inlineStr">
        <is>
          <t>3</t>
        </is>
      </c>
      <c r="B19112" s="3" t="inlineStr">
        <is>
          <t>Mandor</t>
        </is>
      </c>
      <c r="C19112" s="3" t="inlineStr">
        <is>
          <t>OH</t>
        </is>
      </c>
      <c r="D19112" s="15" t="n">
        <v>0.004</v>
      </c>
      <c r="E19112" s="4" t="n">
        <v>200000</v>
      </c>
      <c r="F19112" s="4" t="n">
        <v>800</v>
      </c>
    </row>
    <row r="19113">
      <c r="A19113" s="3" t="inlineStr">
        <is>
          <t>"Pipa HDPE</t>
        </is>
      </c>
      <c r="B19113" s="3" t="inlineStr">
        <is>
          <t>DN. 3.5"" (90 mm)"</t>
        </is>
      </c>
      <c r="C19113" s="3" t="inlineStr">
        <is>
          <t>m</t>
        </is>
      </c>
      <c r="D19113" s="15" t="n">
        <v>1</v>
      </c>
      <c r="E19113" s="4" t="n">
        <v>35000</v>
      </c>
      <c r="F19113" s="4" t="n">
        <v>35000</v>
      </c>
    </row>
    <row r="19114">
      <c r="A19114" s="3" t="inlineStr">
        <is>
          <t>1</t>
        </is>
      </c>
      <c r="B19114" s="3" t="inlineStr">
        <is>
          <t>Sewa Tripot</t>
        </is>
      </c>
      <c r="C19114" s="3" t="inlineStr">
        <is>
          <t>Hari</t>
        </is>
      </c>
      <c r="D19114" s="15" t="n">
        <v>0.019</v>
      </c>
      <c r="E19114" s="4" t="n">
        <v>108000</v>
      </c>
      <c r="F19114" s="4" t="n">
        <v>2052</v>
      </c>
    </row>
    <row r="19115">
      <c r="D19115" s="2" t="inlineStr">
        <is>
          <t>SUBTOTAL UPAH</t>
        </is>
      </c>
      <c r="F19115" s="16" t="n">
        <v>7600</v>
      </c>
    </row>
    <row r="19116">
      <c r="D19116" s="2" t="inlineStr">
        <is>
          <t>SUBTOTAL BAHAN</t>
        </is>
      </c>
      <c r="F19116" s="16" t="n">
        <v>35000</v>
      </c>
    </row>
    <row r="19117">
      <c r="D19117" s="2" t="inlineStr">
        <is>
          <t>SUBTOTAL ALAT</t>
        </is>
      </c>
      <c r="F19117" s="16" t="n">
        <v>2052</v>
      </c>
    </row>
    <row r="19118">
      <c r="E19118" s="2" t="inlineStr">
        <is>
          <t>TOTAL HARGA SATUAN (Inc. Overhead)</t>
        </is>
      </c>
      <c r="F19118" s="17" t="n">
        <v>49117</v>
      </c>
    </row>
    <row r="19120">
      <c r="A19120" s="14" t="inlineStr">
        <is>
          <t>KODE: 9.3.1.25 - Pemasangan 1 m Pipa HDPE, DN. 7" (180 mm)</t>
        </is>
      </c>
    </row>
    <row r="19121">
      <c r="A19121" s="10" t="inlineStr">
        <is>
          <t>No</t>
        </is>
      </c>
      <c r="B19121" s="10" t="inlineStr">
        <is>
          <t>Uraian Komponen</t>
        </is>
      </c>
      <c r="C19121" s="10" t="inlineStr">
        <is>
          <t>Satuan</t>
        </is>
      </c>
      <c r="D19121" s="10" t="inlineStr">
        <is>
          <t>Koef</t>
        </is>
      </c>
      <c r="E19121" s="10" t="inlineStr">
        <is>
          <t>Harga Satuan (Rp)</t>
        </is>
      </c>
      <c r="F19121" s="10" t="inlineStr">
        <is>
          <t>Jumlah Harga (Rp)</t>
        </is>
      </c>
    </row>
    <row r="19122">
      <c r="A19122" s="3" t="inlineStr">
        <is>
          <t>1</t>
        </is>
      </c>
      <c r="B19122" s="3" t="inlineStr">
        <is>
          <t>Pekerja</t>
        </is>
      </c>
      <c r="C19122" s="3" t="inlineStr">
        <is>
          <t>OH</t>
        </is>
      </c>
      <c r="D19122" s="15" t="n">
        <v>0.08500000000000001</v>
      </c>
      <c r="E19122" s="4" t="n">
        <v>100000</v>
      </c>
      <c r="F19122" s="4" t="n">
        <v>8500</v>
      </c>
    </row>
    <row r="19123">
      <c r="A19123" s="3" t="inlineStr">
        <is>
          <t>2</t>
        </is>
      </c>
      <c r="B19123" s="3" t="inlineStr">
        <is>
          <t>Tukang pipa</t>
        </is>
      </c>
      <c r="C19123" s="3" t="inlineStr">
        <is>
          <t>OH</t>
        </is>
      </c>
      <c r="D19123" s="15" t="n">
        <v>0.042</v>
      </c>
      <c r="E19123" s="4" t="n">
        <v>145000</v>
      </c>
      <c r="F19123" s="4" t="n">
        <v>6090</v>
      </c>
    </row>
    <row r="19124">
      <c r="A19124" s="3" t="inlineStr">
        <is>
          <t>3</t>
        </is>
      </c>
      <c r="B19124" s="3" t="inlineStr">
        <is>
          <t>Mandor</t>
        </is>
      </c>
      <c r="C19124" s="3" t="inlineStr">
        <is>
          <t>OH</t>
        </is>
      </c>
      <c r="D19124" s="15" t="n">
        <v>0.008</v>
      </c>
      <c r="E19124" s="4" t="n">
        <v>200000</v>
      </c>
      <c r="F19124" s="4" t="n">
        <v>1600</v>
      </c>
    </row>
    <row r="19125">
      <c r="A19125" s="3" t="inlineStr">
        <is>
          <t>"Pipa HDPE</t>
        </is>
      </c>
      <c r="B19125" s="3" t="inlineStr">
        <is>
          <t>DN. 7"" (180 mm)"</t>
        </is>
      </c>
      <c r="C19125" s="3" t="inlineStr">
        <is>
          <t>m</t>
        </is>
      </c>
      <c r="D19125" s="15" t="n">
        <v>1</v>
      </c>
      <c r="E19125" s="4" t="n">
        <v>50000</v>
      </c>
      <c r="F19125" s="4" t="n">
        <v>50000</v>
      </c>
    </row>
    <row r="19126">
      <c r="A19126" s="3" t="inlineStr">
        <is>
          <t>1</t>
        </is>
      </c>
      <c r="B19126" s="3" t="inlineStr">
        <is>
          <t>Sewa Tripot</t>
        </is>
      </c>
      <c r="C19126" s="3" t="inlineStr">
        <is>
          <t>Hari</t>
        </is>
      </c>
      <c r="D19126" s="15" t="n">
        <v>0.019</v>
      </c>
      <c r="E19126" s="4" t="n">
        <v>108000</v>
      </c>
      <c r="F19126" s="4" t="n">
        <v>2052</v>
      </c>
    </row>
    <row r="19127">
      <c r="D19127" s="2" t="inlineStr">
        <is>
          <t>SUBTOTAL UPAH</t>
        </is>
      </c>
      <c r="F19127" s="16" t="n">
        <v>16190</v>
      </c>
    </row>
    <row r="19128">
      <c r="D19128" s="2" t="inlineStr">
        <is>
          <t>SUBTOTAL BAHAN</t>
        </is>
      </c>
      <c r="F19128" s="16" t="n">
        <v>50000</v>
      </c>
    </row>
    <row r="19129">
      <c r="D19129" s="2" t="inlineStr">
        <is>
          <t>SUBTOTAL ALAT</t>
        </is>
      </c>
      <c r="F19129" s="16" t="n">
        <v>2052</v>
      </c>
    </row>
    <row r="19130">
      <c r="E19130" s="2" t="inlineStr">
        <is>
          <t>TOTAL HARGA SATUAN (Inc. Overhead)</t>
        </is>
      </c>
      <c r="F19130" s="17" t="n">
        <v>75066</v>
      </c>
    </row>
    <row r="19132">
      <c r="A19132" s="14" t="inlineStr">
        <is>
          <t>KODE: 9.3.1.26 - Pemasangan 1 m Pipa HDPE, DN. 9" (225 mm)</t>
        </is>
      </c>
    </row>
    <row r="19133">
      <c r="A19133" s="10" t="inlineStr">
        <is>
          <t>No</t>
        </is>
      </c>
      <c r="B19133" s="10" t="inlineStr">
        <is>
          <t>Uraian Komponen</t>
        </is>
      </c>
      <c r="C19133" s="10" t="inlineStr">
        <is>
          <t>Satuan</t>
        </is>
      </c>
      <c r="D19133" s="10" t="inlineStr">
        <is>
          <t>Koef</t>
        </is>
      </c>
      <c r="E19133" s="10" t="inlineStr">
        <is>
          <t>Harga Satuan (Rp)</t>
        </is>
      </c>
      <c r="F19133" s="10" t="inlineStr">
        <is>
          <t>Jumlah Harga (Rp)</t>
        </is>
      </c>
    </row>
    <row r="19134">
      <c r="A19134" s="3" t="inlineStr">
        <is>
          <t>1</t>
        </is>
      </c>
      <c r="B19134" s="3" t="inlineStr">
        <is>
          <t>Pekerja</t>
        </is>
      </c>
      <c r="C19134" s="3" t="inlineStr">
        <is>
          <t>OH</t>
        </is>
      </c>
      <c r="D19134" s="15" t="n">
        <v>0.107</v>
      </c>
      <c r="E19134" s="4" t="n">
        <v>100000</v>
      </c>
      <c r="F19134" s="4" t="n">
        <v>10700</v>
      </c>
    </row>
    <row r="19135">
      <c r="A19135" s="3" t="inlineStr">
        <is>
          <t>2</t>
        </is>
      </c>
      <c r="B19135" s="3" t="inlineStr">
        <is>
          <t>Tukang pipa</t>
        </is>
      </c>
      <c r="C19135" s="3" t="inlineStr">
        <is>
          <t>OH</t>
        </is>
      </c>
      <c r="D19135" s="15" t="n">
        <v>0.054</v>
      </c>
      <c r="E19135" s="4" t="n">
        <v>145000</v>
      </c>
      <c r="F19135" s="4" t="n">
        <v>7830</v>
      </c>
    </row>
    <row r="19136">
      <c r="A19136" s="3" t="inlineStr">
        <is>
          <t>3</t>
        </is>
      </c>
      <c r="B19136" s="3" t="inlineStr">
        <is>
          <t>Mandor</t>
        </is>
      </c>
      <c r="C19136" s="3" t="inlineStr">
        <is>
          <t>OH</t>
        </is>
      </c>
      <c r="D19136" s="15" t="n">
        <v>0.011</v>
      </c>
      <c r="E19136" s="4" t="n">
        <v>200000</v>
      </c>
      <c r="F19136" s="4" t="n">
        <v>2200</v>
      </c>
    </row>
    <row r="19137">
      <c r="A19137" s="3" t="inlineStr">
        <is>
          <t>"Pipa HDPE</t>
        </is>
      </c>
      <c r="B19137" s="3" t="inlineStr">
        <is>
          <t>DN. 9"" (225 mm)"</t>
        </is>
      </c>
      <c r="C19137" s="3" t="inlineStr">
        <is>
          <t>m</t>
        </is>
      </c>
      <c r="D19137" s="15" t="n">
        <v>1</v>
      </c>
      <c r="E19137" s="4" t="n">
        <v>80000</v>
      </c>
      <c r="F19137" s="4" t="n">
        <v>80000</v>
      </c>
    </row>
    <row r="19138">
      <c r="A19138" s="3" t="inlineStr">
        <is>
          <t>1</t>
        </is>
      </c>
      <c r="B19138" s="3" t="inlineStr">
        <is>
          <t>Sewa Tripot</t>
        </is>
      </c>
      <c r="C19138" s="3" t="inlineStr">
        <is>
          <t>Hari</t>
        </is>
      </c>
      <c r="D19138" s="15" t="n">
        <v>0.031</v>
      </c>
      <c r="E19138" s="4" t="n">
        <v>108000</v>
      </c>
      <c r="F19138" s="4" t="n">
        <v>3348</v>
      </c>
    </row>
    <row r="19139">
      <c r="D19139" s="2" t="inlineStr">
        <is>
          <t>SUBTOTAL UPAH</t>
        </is>
      </c>
      <c r="F19139" s="16" t="n">
        <v>20730</v>
      </c>
    </row>
    <row r="19140">
      <c r="D19140" s="2" t="inlineStr">
        <is>
          <t>SUBTOTAL BAHAN</t>
        </is>
      </c>
      <c r="F19140" s="16" t="n">
        <v>80000</v>
      </c>
    </row>
    <row r="19141">
      <c r="D19141" s="2" t="inlineStr">
        <is>
          <t>SUBTOTAL ALAT</t>
        </is>
      </c>
      <c r="F19141" s="16" t="n">
        <v>3348</v>
      </c>
    </row>
    <row r="19142">
      <c r="E19142" s="2" t="inlineStr">
        <is>
          <t>TOTAL HARGA SATUAN (Inc. Overhead)</t>
        </is>
      </c>
      <c r="F19142" s="17" t="n">
        <v>114485</v>
      </c>
    </row>
    <row r="19144">
      <c r="A19144" s="14" t="inlineStr">
        <is>
          <t>KODE: 9.3.1.27 - Pemasangan 1 m Pipa HDPE, DN. 14" (355 mm)</t>
        </is>
      </c>
    </row>
    <row r="19145">
      <c r="A19145" s="10" t="inlineStr">
        <is>
          <t>No</t>
        </is>
      </c>
      <c r="B19145" s="10" t="inlineStr">
        <is>
          <t>Uraian Komponen</t>
        </is>
      </c>
      <c r="C19145" s="10" t="inlineStr">
        <is>
          <t>Satuan</t>
        </is>
      </c>
      <c r="D19145" s="10" t="inlineStr">
        <is>
          <t>Koef</t>
        </is>
      </c>
      <c r="E19145" s="10" t="inlineStr">
        <is>
          <t>Harga Satuan (Rp)</t>
        </is>
      </c>
      <c r="F19145" s="10" t="inlineStr">
        <is>
          <t>Jumlah Harga (Rp)</t>
        </is>
      </c>
    </row>
    <row r="19146">
      <c r="A19146" s="3" t="inlineStr">
        <is>
          <t>1</t>
        </is>
      </c>
      <c r="B19146" s="3" t="inlineStr">
        <is>
          <t>Pekerja</t>
        </is>
      </c>
      <c r="C19146" s="3" t="inlineStr">
        <is>
          <t>OH</t>
        </is>
      </c>
      <c r="D19146" s="15" t="n">
        <v>0.202</v>
      </c>
      <c r="E19146" s="4" t="n">
        <v>100000</v>
      </c>
      <c r="F19146" s="4" t="n">
        <v>20200</v>
      </c>
    </row>
    <row r="19147">
      <c r="A19147" s="3" t="inlineStr">
        <is>
          <t>2</t>
        </is>
      </c>
      <c r="B19147" s="3" t="inlineStr">
        <is>
          <t>Tukang pipa</t>
        </is>
      </c>
      <c r="C19147" s="3" t="inlineStr">
        <is>
          <t>OH</t>
        </is>
      </c>
      <c r="D19147" s="15" t="n">
        <v>0.101</v>
      </c>
      <c r="E19147" s="4" t="n">
        <v>145000</v>
      </c>
      <c r="F19147" s="4" t="n">
        <v>14645</v>
      </c>
    </row>
    <row r="19148">
      <c r="A19148" s="3" t="inlineStr">
        <is>
          <t>3</t>
        </is>
      </c>
      <c r="B19148" s="3" t="inlineStr">
        <is>
          <t>Mandor</t>
        </is>
      </c>
      <c r="C19148" s="3" t="inlineStr">
        <is>
          <t>OH</t>
        </is>
      </c>
      <c r="D19148" s="15" t="n">
        <v>0.02</v>
      </c>
      <c r="E19148" s="4" t="n">
        <v>200000</v>
      </c>
      <c r="F19148" s="4" t="n">
        <v>4000</v>
      </c>
    </row>
    <row r="19149">
      <c r="A19149" s="3" t="inlineStr">
        <is>
          <t>"Pipa HDPE</t>
        </is>
      </c>
      <c r="B19149" s="3" t="inlineStr">
        <is>
          <t>DN. 14"" (355 mm)"</t>
        </is>
      </c>
      <c r="C19149" s="3" t="inlineStr">
        <is>
          <t>m</t>
        </is>
      </c>
      <c r="D19149" s="15" t="n">
        <v>1</v>
      </c>
      <c r="E19149" s="4" t="n">
        <v>90000</v>
      </c>
      <c r="F19149" s="4" t="n">
        <v>90000</v>
      </c>
    </row>
    <row r="19150">
      <c r="A19150" s="3" t="inlineStr">
        <is>
          <t>1</t>
        </is>
      </c>
      <c r="B19150" s="3" t="inlineStr">
        <is>
          <t>Sewa Tripot</t>
        </is>
      </c>
      <c r="C19150" s="3" t="inlineStr">
        <is>
          <t>Hari</t>
        </is>
      </c>
      <c r="D19150" s="15" t="n">
        <v>0.109</v>
      </c>
      <c r="E19150" s="4" t="n">
        <v>108000</v>
      </c>
      <c r="F19150" s="4" t="n">
        <v>11772</v>
      </c>
    </row>
    <row r="19151">
      <c r="D19151" s="2" t="inlineStr">
        <is>
          <t>SUBTOTAL UPAH</t>
        </is>
      </c>
      <c r="F19151" s="16" t="n">
        <v>38845</v>
      </c>
    </row>
    <row r="19152">
      <c r="D19152" s="2" t="inlineStr">
        <is>
          <t>SUBTOTAL BAHAN</t>
        </is>
      </c>
      <c r="F19152" s="16" t="n">
        <v>90000</v>
      </c>
    </row>
    <row r="19153">
      <c r="D19153" s="2" t="inlineStr">
        <is>
          <t>SUBTOTAL ALAT</t>
        </is>
      </c>
      <c r="F19153" s="16" t="n">
        <v>11772</v>
      </c>
    </row>
    <row r="19154">
      <c r="E19154" s="2" t="inlineStr">
        <is>
          <t>TOTAL HARGA SATUAN (Inc. Overhead)</t>
        </is>
      </c>
      <c r="F19154" s="17" t="n">
        <v>154678</v>
      </c>
    </row>
    <row r="19156">
      <c r="A19156" s="14" t="inlineStr">
        <is>
          <t>KODE: 9.3.1.28 - Pemasangan 1 m Pipa HDPE, DN. 22" (560 mm)</t>
        </is>
      </c>
    </row>
    <row r="19157">
      <c r="A19157" s="10" t="inlineStr">
        <is>
          <t>No</t>
        </is>
      </c>
      <c r="B19157" s="10" t="inlineStr">
        <is>
          <t>Uraian Komponen</t>
        </is>
      </c>
      <c r="C19157" s="10" t="inlineStr">
        <is>
          <t>Satuan</t>
        </is>
      </c>
      <c r="D19157" s="10" t="inlineStr">
        <is>
          <t>Koef</t>
        </is>
      </c>
      <c r="E19157" s="10" t="inlineStr">
        <is>
          <t>Harga Satuan (Rp)</t>
        </is>
      </c>
      <c r="F19157" s="10" t="inlineStr">
        <is>
          <t>Jumlah Harga (Rp)</t>
        </is>
      </c>
    </row>
    <row r="19158">
      <c r="A19158" s="3" t="inlineStr">
        <is>
          <t>1</t>
        </is>
      </c>
      <c r="B19158" s="3" t="inlineStr">
        <is>
          <t>Pekerja</t>
        </is>
      </c>
      <c r="C19158" s="3" t="inlineStr">
        <is>
          <t>OH</t>
        </is>
      </c>
      <c r="D19158" s="15" t="n">
        <v>0.474</v>
      </c>
      <c r="E19158" s="4" t="n">
        <v>100000</v>
      </c>
      <c r="F19158" s="4" t="n">
        <v>47400</v>
      </c>
    </row>
    <row r="19159">
      <c r="A19159" s="3" t="inlineStr">
        <is>
          <t>2</t>
        </is>
      </c>
      <c r="B19159" s="3" t="inlineStr">
        <is>
          <t>Tukang pipa</t>
        </is>
      </c>
      <c r="C19159" s="3" t="inlineStr">
        <is>
          <t>OH</t>
        </is>
      </c>
      <c r="D19159" s="15" t="n">
        <v>0.237</v>
      </c>
      <c r="E19159" s="4" t="n">
        <v>145000</v>
      </c>
      <c r="F19159" s="4" t="n">
        <v>34365</v>
      </c>
    </row>
    <row r="19160">
      <c r="A19160" s="3" t="inlineStr">
        <is>
          <t>3</t>
        </is>
      </c>
      <c r="B19160" s="3" t="inlineStr">
        <is>
          <t>Mandor</t>
        </is>
      </c>
      <c r="C19160" s="3" t="inlineStr">
        <is>
          <t>OH</t>
        </is>
      </c>
      <c r="D19160" s="15" t="n">
        <v>0.047</v>
      </c>
      <c r="E19160" s="4" t="n">
        <v>200000</v>
      </c>
      <c r="F19160" s="4" t="n">
        <v>9400</v>
      </c>
    </row>
    <row r="19161">
      <c r="A19161" s="3" t="inlineStr">
        <is>
          <t>"Pipa HDPE</t>
        </is>
      </c>
      <c r="B19161" s="3" t="inlineStr">
        <is>
          <t>DN. 22"" (560 mm)"</t>
        </is>
      </c>
      <c r="C19161" s="3" t="inlineStr">
        <is>
          <t>m</t>
        </is>
      </c>
      <c r="D19161" s="15" t="n">
        <v>1</v>
      </c>
      <c r="E19161" s="4" t="n">
        <v>150000</v>
      </c>
      <c r="F19161" s="4" t="n">
        <v>150000</v>
      </c>
    </row>
    <row r="19162">
      <c r="A19162" s="3" t="inlineStr">
        <is>
          <t>1</t>
        </is>
      </c>
      <c r="B19162" s="3" t="inlineStr">
        <is>
          <t>Sewa Tripot</t>
        </is>
      </c>
      <c r="C19162" s="3" t="inlineStr">
        <is>
          <t>Hari</t>
        </is>
      </c>
      <c r="D19162" s="15" t="n">
        <v>0.279</v>
      </c>
      <c r="E19162" s="4" t="n">
        <v>108000</v>
      </c>
      <c r="F19162" s="4" t="n">
        <v>30132</v>
      </c>
    </row>
    <row r="19163">
      <c r="D19163" s="2" t="inlineStr">
        <is>
          <t>SUBTOTAL UPAH</t>
        </is>
      </c>
      <c r="F19163" s="16" t="n">
        <v>91165</v>
      </c>
    </row>
    <row r="19164">
      <c r="D19164" s="2" t="inlineStr">
        <is>
          <t>SUBTOTAL BAHAN</t>
        </is>
      </c>
      <c r="F19164" s="16" t="n">
        <v>150000</v>
      </c>
    </row>
    <row r="19165">
      <c r="D19165" s="2" t="inlineStr">
        <is>
          <t>SUBTOTAL ALAT</t>
        </is>
      </c>
      <c r="F19165" s="16" t="n">
        <v>30132</v>
      </c>
    </row>
    <row r="19166">
      <c r="E19166" s="2" t="inlineStr">
        <is>
          <t>TOTAL HARGA SATUAN (Inc. Overhead)</t>
        </is>
      </c>
      <c r="F19166" s="17" t="n">
        <v>298426</v>
      </c>
    </row>
    <row r="19168">
      <c r="A19168" s="14" t="inlineStr">
        <is>
          <t>KODE: 9.3.1.29 - Pemasangan 1 m Pipa HDPE, DN. 28" (710 mm)</t>
        </is>
      </c>
    </row>
    <row r="19169">
      <c r="A19169" s="10" t="inlineStr">
        <is>
          <t>No</t>
        </is>
      </c>
      <c r="B19169" s="10" t="inlineStr">
        <is>
          <t>Uraian Komponen</t>
        </is>
      </c>
      <c r="C19169" s="10" t="inlineStr">
        <is>
          <t>Satuan</t>
        </is>
      </c>
      <c r="D19169" s="10" t="inlineStr">
        <is>
          <t>Koef</t>
        </is>
      </c>
      <c r="E19169" s="10" t="inlineStr">
        <is>
          <t>Harga Satuan (Rp)</t>
        </is>
      </c>
      <c r="F19169" s="10" t="inlineStr">
        <is>
          <t>Jumlah Harga (Rp)</t>
        </is>
      </c>
    </row>
    <row r="19170">
      <c r="A19170" s="3" t="inlineStr">
        <is>
          <t>1</t>
        </is>
      </c>
      <c r="B19170" s="3" t="inlineStr">
        <is>
          <t>Pekerja</t>
        </is>
      </c>
      <c r="C19170" s="3" t="inlineStr">
        <is>
          <t>OH</t>
        </is>
      </c>
      <c r="D19170" s="15" t="n">
        <v>0.705</v>
      </c>
      <c r="E19170" s="4" t="n">
        <v>100000</v>
      </c>
      <c r="F19170" s="4" t="n">
        <v>70500</v>
      </c>
    </row>
    <row r="19171">
      <c r="A19171" s="3" t="inlineStr">
        <is>
          <t>2</t>
        </is>
      </c>
      <c r="B19171" s="3" t="inlineStr">
        <is>
          <t>Tukang pipa</t>
        </is>
      </c>
      <c r="C19171" s="3" t="inlineStr">
        <is>
          <t>OH</t>
        </is>
      </c>
      <c r="D19171" s="15" t="n">
        <v>0.352</v>
      </c>
      <c r="E19171" s="4" t="n">
        <v>145000</v>
      </c>
      <c r="F19171" s="4" t="n">
        <v>51040</v>
      </c>
    </row>
    <row r="19172">
      <c r="A19172" s="3" t="inlineStr">
        <is>
          <t>3</t>
        </is>
      </c>
      <c r="B19172" s="3" t="inlineStr">
        <is>
          <t>Mandor</t>
        </is>
      </c>
      <c r="C19172" s="3" t="inlineStr">
        <is>
          <t>OH</t>
        </is>
      </c>
      <c r="D19172" s="15" t="n">
        <v>0.07000000000000001</v>
      </c>
      <c r="E19172" s="4" t="n">
        <v>200000</v>
      </c>
      <c r="F19172" s="4" t="n">
        <v>14000</v>
      </c>
    </row>
    <row r="19173">
      <c r="A19173" s="3" t="inlineStr">
        <is>
          <t>"Pipa HDPE</t>
        </is>
      </c>
      <c r="B19173" s="3" t="inlineStr">
        <is>
          <t>DN. 28"" (710 mm)"</t>
        </is>
      </c>
      <c r="C19173" s="3" t="inlineStr">
        <is>
          <t>m</t>
        </is>
      </c>
      <c r="D19173" s="15" t="n">
        <v>1</v>
      </c>
      <c r="E19173" s="4" t="n">
        <v>160000</v>
      </c>
      <c r="F19173" s="4" t="n">
        <v>160000</v>
      </c>
    </row>
    <row r="19174">
      <c r="A19174" s="3" t="inlineStr">
        <is>
          <t>1</t>
        </is>
      </c>
      <c r="B19174" s="3" t="inlineStr">
        <is>
          <t>Sewa Tripot</t>
        </is>
      </c>
      <c r="C19174" s="3" t="inlineStr">
        <is>
          <t>Hari</t>
        </is>
      </c>
      <c r="D19174" s="15" t="n">
        <v>0.44</v>
      </c>
      <c r="E19174" s="4" t="n">
        <v>108000</v>
      </c>
      <c r="F19174" s="4" t="n">
        <v>47520</v>
      </c>
    </row>
    <row r="19175">
      <c r="D19175" s="2" t="inlineStr">
        <is>
          <t>SUBTOTAL UPAH</t>
        </is>
      </c>
      <c r="F19175" s="16" t="n">
        <v>135540</v>
      </c>
    </row>
    <row r="19176">
      <c r="D19176" s="2" t="inlineStr">
        <is>
          <t>SUBTOTAL BAHAN</t>
        </is>
      </c>
      <c r="F19176" s="16" t="n">
        <v>160000</v>
      </c>
    </row>
    <row r="19177">
      <c r="D19177" s="2" t="inlineStr">
        <is>
          <t>SUBTOTAL ALAT</t>
        </is>
      </c>
      <c r="F19177" s="16" t="n">
        <v>47520</v>
      </c>
    </row>
    <row r="19178">
      <c r="E19178" s="2" t="inlineStr">
        <is>
          <t>TOTAL HARGA SATUAN (Inc. Overhead)</t>
        </is>
      </c>
      <c r="F19178" s="17" t="n">
        <v>377366</v>
      </c>
    </row>
    <row r="19180">
      <c r="A19180" s="14" t="inlineStr">
        <is>
          <t>KODE: 9.3.2.1 - Pemotongan 1 Buah Pipa HDPE, DN. 2-1/2" (65 mm)</t>
        </is>
      </c>
    </row>
    <row r="19181">
      <c r="A19181" s="10" t="inlineStr">
        <is>
          <t>No</t>
        </is>
      </c>
      <c r="B19181" s="10" t="inlineStr">
        <is>
          <t>Uraian Komponen</t>
        </is>
      </c>
      <c r="C19181" s="10" t="inlineStr">
        <is>
          <t>Satuan</t>
        </is>
      </c>
      <c r="D19181" s="10" t="inlineStr">
        <is>
          <t>Koef</t>
        </is>
      </c>
      <c r="E19181" s="10" t="inlineStr">
        <is>
          <t>Harga Satuan (Rp)</t>
        </is>
      </c>
      <c r="F19181" s="10" t="inlineStr">
        <is>
          <t>Jumlah Harga (Rp)</t>
        </is>
      </c>
    </row>
    <row r="19182">
      <c r="A19182" s="3" t="inlineStr">
        <is>
          <t>1</t>
        </is>
      </c>
      <c r="B19182" s="3" t="inlineStr">
        <is>
          <t>Pekerja</t>
        </is>
      </c>
      <c r="C19182" s="3" t="inlineStr">
        <is>
          <t>OH</t>
        </is>
      </c>
      <c r="D19182" s="15" t="n">
        <v>0.002</v>
      </c>
      <c r="E19182" s="4" t="n">
        <v>100000</v>
      </c>
      <c r="F19182" s="4" t="n">
        <v>200</v>
      </c>
    </row>
    <row r="19183">
      <c r="A19183" s="3" t="inlineStr">
        <is>
          <t>2</t>
        </is>
      </c>
      <c r="B19183" s="3" t="inlineStr">
        <is>
          <t>Tukang pipa</t>
        </is>
      </c>
      <c r="C19183" s="3" t="inlineStr">
        <is>
          <t>OH</t>
        </is>
      </c>
      <c r="D19183" s="15" t="n">
        <v>0.001</v>
      </c>
      <c r="E19183" s="4" t="n">
        <v>145000</v>
      </c>
      <c r="F19183" s="4" t="n">
        <v>145</v>
      </c>
    </row>
    <row r="19184">
      <c r="A19184" s="3" t="inlineStr">
        <is>
          <t>3</t>
        </is>
      </c>
      <c r="B19184" s="3" t="inlineStr">
        <is>
          <t>Mandor</t>
        </is>
      </c>
      <c r="C19184" s="3" t="inlineStr">
        <is>
          <t>OH</t>
        </is>
      </c>
      <c r="D19184" s="15" t="n">
        <v>0.0002</v>
      </c>
      <c r="E19184" s="4" t="n">
        <v>200000</v>
      </c>
      <c r="F19184" s="4" t="n">
        <v>40</v>
      </c>
    </row>
    <row r="19185">
      <c r="A19185" s="3" t="inlineStr">
        <is>
          <t>T2/mekanik / cilinder saw"</t>
        </is>
      </c>
      <c r="B19185" s="3" t="inlineStr"/>
      <c r="C19185" s="3" t="inlineStr">
        <is>
          <t>hari</t>
        </is>
      </c>
      <c r="D19185" s="15" t="n">
        <v>0.004</v>
      </c>
      <c r="E19185" s="4" t="n">
        <v>75000</v>
      </c>
      <c r="F19185" s="4" t="n">
        <v>300</v>
      </c>
    </row>
    <row r="19186">
      <c r="D19186" s="2" t="inlineStr">
        <is>
          <t>SUBTOTAL UPAH</t>
        </is>
      </c>
      <c r="F19186" s="16" t="n">
        <v>385</v>
      </c>
    </row>
    <row r="19187">
      <c r="D19187" s="2" t="inlineStr">
        <is>
          <t>SUBTOTAL BAHAN</t>
        </is>
      </c>
      <c r="F19187" s="16" t="n">
        <v>0</v>
      </c>
    </row>
    <row r="19188">
      <c r="D19188" s="2" t="inlineStr">
        <is>
          <t>SUBTOTAL ALAT</t>
        </is>
      </c>
      <c r="F19188" s="16" t="n">
        <v>300</v>
      </c>
    </row>
    <row r="19189">
      <c r="E19189" s="2" t="inlineStr">
        <is>
          <t>TOTAL HARGA SATUAN (Inc. Overhead)</t>
        </is>
      </c>
      <c r="F19189" s="17" t="n">
        <v>753</v>
      </c>
    </row>
    <row r="19191">
      <c r="A19191" s="14" t="inlineStr">
        <is>
          <t>KODE: 9.3.2.2 - Pemotongan 1 Buah Pipa HDPE, DN. 4" (100 mm)</t>
        </is>
      </c>
    </row>
    <row r="19192">
      <c r="A19192" s="10" t="inlineStr">
        <is>
          <t>No</t>
        </is>
      </c>
      <c r="B19192" s="10" t="inlineStr">
        <is>
          <t>Uraian Komponen</t>
        </is>
      </c>
      <c r="C19192" s="10" t="inlineStr">
        <is>
          <t>Satuan</t>
        </is>
      </c>
      <c r="D19192" s="10" t="inlineStr">
        <is>
          <t>Koef</t>
        </is>
      </c>
      <c r="E19192" s="10" t="inlineStr">
        <is>
          <t>Harga Satuan (Rp)</t>
        </is>
      </c>
      <c r="F19192" s="10" t="inlineStr">
        <is>
          <t>Jumlah Harga (Rp)</t>
        </is>
      </c>
    </row>
    <row r="19193">
      <c r="A19193" s="3" t="inlineStr">
        <is>
          <t>1</t>
        </is>
      </c>
      <c r="B19193" s="3" t="inlineStr">
        <is>
          <t>Pekerja</t>
        </is>
      </c>
      <c r="C19193" s="3" t="inlineStr">
        <is>
          <t>OH</t>
        </is>
      </c>
      <c r="D19193" s="15" t="n">
        <v>0.006</v>
      </c>
      <c r="E19193" s="4" t="n">
        <v>100000</v>
      </c>
      <c r="F19193" s="4" t="n">
        <v>600</v>
      </c>
    </row>
    <row r="19194">
      <c r="A19194" s="3" t="inlineStr">
        <is>
          <t>2</t>
        </is>
      </c>
      <c r="B19194" s="3" t="inlineStr">
        <is>
          <t>Tukang pipa</t>
        </is>
      </c>
      <c r="C19194" s="3" t="inlineStr">
        <is>
          <t>OH</t>
        </is>
      </c>
      <c r="D19194" s="15" t="n">
        <v>0.003</v>
      </c>
      <c r="E19194" s="4" t="n">
        <v>145000</v>
      </c>
      <c r="F19194" s="4" t="n">
        <v>435</v>
      </c>
    </row>
    <row r="19195">
      <c r="A19195" s="3" t="inlineStr">
        <is>
          <t>3</t>
        </is>
      </c>
      <c r="B19195" s="3" t="inlineStr">
        <is>
          <t>Mandor</t>
        </is>
      </c>
      <c r="C19195" s="3" t="inlineStr">
        <is>
          <t>OH</t>
        </is>
      </c>
      <c r="D19195" s="15" t="n">
        <v>0.001</v>
      </c>
      <c r="E19195" s="4" t="n">
        <v>200000</v>
      </c>
      <c r="F19195" s="4" t="n">
        <v>200</v>
      </c>
    </row>
    <row r="19196">
      <c r="A19196" s="3" t="inlineStr">
        <is>
          <t>T2/mekanik / cilinder saw"</t>
        </is>
      </c>
      <c r="B19196" s="3" t="inlineStr"/>
      <c r="C19196" s="3" t="inlineStr">
        <is>
          <t>hari</t>
        </is>
      </c>
      <c r="D19196" s="15" t="n">
        <v>0.005</v>
      </c>
      <c r="E19196" s="4" t="n">
        <v>75000</v>
      </c>
      <c r="F19196" s="4" t="n">
        <v>375</v>
      </c>
    </row>
    <row r="19197">
      <c r="D19197" s="2" t="inlineStr">
        <is>
          <t>SUBTOTAL UPAH</t>
        </is>
      </c>
      <c r="F19197" s="16" t="n">
        <v>1235</v>
      </c>
    </row>
    <row r="19198">
      <c r="D19198" s="2" t="inlineStr">
        <is>
          <t>SUBTOTAL BAHAN</t>
        </is>
      </c>
      <c r="F19198" s="16" t="n">
        <v>0</v>
      </c>
    </row>
    <row r="19199">
      <c r="D19199" s="2" t="inlineStr">
        <is>
          <t>SUBTOTAL ALAT</t>
        </is>
      </c>
      <c r="F19199" s="16" t="n">
        <v>375</v>
      </c>
    </row>
    <row r="19200">
      <c r="E19200" s="2" t="inlineStr">
        <is>
          <t>TOTAL HARGA SATUAN (Inc. Overhead)</t>
        </is>
      </c>
      <c r="F19200" s="17" t="n">
        <v>1771</v>
      </c>
    </row>
    <row r="19202">
      <c r="A19202" s="14" t="inlineStr">
        <is>
          <t>KODE: 9.3.2.3 - Pemotongan 1 Buah Pipa HDPE, DN. 5" (125 mm)</t>
        </is>
      </c>
    </row>
    <row r="19203">
      <c r="A19203" s="10" t="inlineStr">
        <is>
          <t>No</t>
        </is>
      </c>
      <c r="B19203" s="10" t="inlineStr">
        <is>
          <t>Uraian Komponen</t>
        </is>
      </c>
      <c r="C19203" s="10" t="inlineStr">
        <is>
          <t>Satuan</t>
        </is>
      </c>
      <c r="D19203" s="10" t="inlineStr">
        <is>
          <t>Koef</t>
        </is>
      </c>
      <c r="E19203" s="10" t="inlineStr">
        <is>
          <t>Harga Satuan (Rp)</t>
        </is>
      </c>
      <c r="F19203" s="10" t="inlineStr">
        <is>
          <t>Jumlah Harga (Rp)</t>
        </is>
      </c>
    </row>
    <row r="19204">
      <c r="A19204" s="3" t="inlineStr">
        <is>
          <t>1</t>
        </is>
      </c>
      <c r="B19204" s="3" t="inlineStr">
        <is>
          <t>Pekerja</t>
        </is>
      </c>
      <c r="C19204" s="3" t="inlineStr">
        <is>
          <t>OH</t>
        </is>
      </c>
      <c r="D19204" s="15" t="n">
        <v>0.008999999999999999</v>
      </c>
      <c r="E19204" s="4" t="n">
        <v>100000</v>
      </c>
      <c r="F19204" s="4" t="n">
        <v>899.9999999999999</v>
      </c>
    </row>
    <row r="19205">
      <c r="A19205" s="3" t="inlineStr">
        <is>
          <t>2</t>
        </is>
      </c>
      <c r="B19205" s="3" t="inlineStr">
        <is>
          <t>Tukang pipa</t>
        </is>
      </c>
      <c r="C19205" s="3" t="inlineStr">
        <is>
          <t>OH</t>
        </is>
      </c>
      <c r="D19205" s="15" t="n">
        <v>0.005</v>
      </c>
      <c r="E19205" s="4" t="n">
        <v>145000</v>
      </c>
      <c r="F19205" s="4" t="n">
        <v>725</v>
      </c>
    </row>
    <row r="19206">
      <c r="A19206" s="3" t="inlineStr">
        <is>
          <t>3</t>
        </is>
      </c>
      <c r="B19206" s="3" t="inlineStr">
        <is>
          <t>Mandor</t>
        </is>
      </c>
      <c r="C19206" s="3" t="inlineStr">
        <is>
          <t>OH</t>
        </is>
      </c>
      <c r="D19206" s="15" t="n">
        <v>0.001</v>
      </c>
      <c r="E19206" s="4" t="n">
        <v>200000</v>
      </c>
      <c r="F19206" s="4" t="n">
        <v>200</v>
      </c>
    </row>
    <row r="19207">
      <c r="A19207" s="3" t="inlineStr">
        <is>
          <t>T2/mekanik / cilinder saw"</t>
        </is>
      </c>
      <c r="B19207" s="3" t="inlineStr"/>
      <c r="C19207" s="3" t="inlineStr">
        <is>
          <t>hari</t>
        </is>
      </c>
      <c r="D19207" s="15" t="n">
        <v>0.006</v>
      </c>
      <c r="E19207" s="4" t="n">
        <v>75000</v>
      </c>
      <c r="F19207" s="4" t="n">
        <v>450</v>
      </c>
    </row>
    <row r="19208">
      <c r="D19208" s="2" t="inlineStr">
        <is>
          <t>SUBTOTAL UPAH</t>
        </is>
      </c>
      <c r="F19208" s="16" t="n">
        <v>1825</v>
      </c>
    </row>
    <row r="19209">
      <c r="D19209" s="2" t="inlineStr">
        <is>
          <t>SUBTOTAL BAHAN</t>
        </is>
      </c>
      <c r="F19209" s="16" t="n">
        <v>0</v>
      </c>
    </row>
    <row r="19210">
      <c r="D19210" s="2" t="inlineStr">
        <is>
          <t>SUBTOTAL ALAT</t>
        </is>
      </c>
      <c r="F19210" s="16" t="n">
        <v>450</v>
      </c>
    </row>
    <row r="19211">
      <c r="E19211" s="2" t="inlineStr">
        <is>
          <t>TOTAL HARGA SATUAN (Inc. Overhead)</t>
        </is>
      </c>
      <c r="F19211" s="17" t="n">
        <v>2502</v>
      </c>
    </row>
    <row r="19213">
      <c r="A19213" s="14" t="inlineStr">
        <is>
          <t>KODE: 9.3.2.4 - Pemotongan 1 Buah Pipa HDPE, DN. 6" (150 mm)</t>
        </is>
      </c>
    </row>
    <row r="19214">
      <c r="A19214" s="10" t="inlineStr">
        <is>
          <t>No</t>
        </is>
      </c>
      <c r="B19214" s="10" t="inlineStr">
        <is>
          <t>Uraian Komponen</t>
        </is>
      </c>
      <c r="C19214" s="10" t="inlineStr">
        <is>
          <t>Satuan</t>
        </is>
      </c>
      <c r="D19214" s="10" t="inlineStr">
        <is>
          <t>Koef</t>
        </is>
      </c>
      <c r="E19214" s="10" t="inlineStr">
        <is>
          <t>Harga Satuan (Rp)</t>
        </is>
      </c>
      <c r="F19214" s="10" t="inlineStr">
        <is>
          <t>Jumlah Harga (Rp)</t>
        </is>
      </c>
    </row>
    <row r="19215">
      <c r="A19215" s="3" t="inlineStr">
        <is>
          <t>1</t>
        </is>
      </c>
      <c r="B19215" s="3" t="inlineStr">
        <is>
          <t>Pekerja</t>
        </is>
      </c>
      <c r="C19215" s="3" t="inlineStr">
        <is>
          <t>OH</t>
        </is>
      </c>
      <c r="D19215" s="15" t="n">
        <v>0.016</v>
      </c>
      <c r="E19215" s="4" t="n">
        <v>100000</v>
      </c>
      <c r="F19215" s="4" t="n">
        <v>1600</v>
      </c>
    </row>
    <row r="19216">
      <c r="A19216" s="3" t="inlineStr">
        <is>
          <t>2</t>
        </is>
      </c>
      <c r="B19216" s="3" t="inlineStr">
        <is>
          <t>Tukang pipa</t>
        </is>
      </c>
      <c r="C19216" s="3" t="inlineStr">
        <is>
          <t>OH</t>
        </is>
      </c>
      <c r="D19216" s="15" t="n">
        <v>0.008</v>
      </c>
      <c r="E19216" s="4" t="n">
        <v>145000</v>
      </c>
      <c r="F19216" s="4" t="n">
        <v>1160</v>
      </c>
    </row>
    <row r="19217">
      <c r="A19217" s="3" t="inlineStr">
        <is>
          <t>3</t>
        </is>
      </c>
      <c r="B19217" s="3" t="inlineStr">
        <is>
          <t>Mandor</t>
        </is>
      </c>
      <c r="C19217" s="3" t="inlineStr">
        <is>
          <t>OH</t>
        </is>
      </c>
      <c r="D19217" s="15" t="n">
        <v>0.002</v>
      </c>
      <c r="E19217" s="4" t="n">
        <v>200000</v>
      </c>
      <c r="F19217" s="4" t="n">
        <v>400</v>
      </c>
    </row>
    <row r="19218">
      <c r="A19218" s="3" t="inlineStr">
        <is>
          <t>T2/mekanik / cilinder saw"</t>
        </is>
      </c>
      <c r="B19218" s="3" t="inlineStr"/>
      <c r="C19218" s="3" t="inlineStr">
        <is>
          <t>hari</t>
        </is>
      </c>
      <c r="D19218" s="15" t="n">
        <v>0.008999999999999999</v>
      </c>
      <c r="E19218" s="4" t="n">
        <v>75000</v>
      </c>
      <c r="F19218" s="4" t="n">
        <v>675</v>
      </c>
    </row>
    <row r="19219">
      <c r="D19219" s="2" t="inlineStr">
        <is>
          <t>SUBTOTAL UPAH</t>
        </is>
      </c>
      <c r="F19219" s="16" t="n">
        <v>3160</v>
      </c>
    </row>
    <row r="19220">
      <c r="D19220" s="2" t="inlineStr">
        <is>
          <t>SUBTOTAL BAHAN</t>
        </is>
      </c>
      <c r="F19220" s="16" t="n">
        <v>0</v>
      </c>
    </row>
    <row r="19221">
      <c r="D19221" s="2" t="inlineStr">
        <is>
          <t>SUBTOTAL ALAT</t>
        </is>
      </c>
      <c r="F19221" s="16" t="n">
        <v>675</v>
      </c>
    </row>
    <row r="19222">
      <c r="E19222" s="2" t="inlineStr">
        <is>
          <t>TOTAL HARGA SATUAN (Inc. Overhead)</t>
        </is>
      </c>
      <c r="F19222" s="17" t="n">
        <v>4218</v>
      </c>
    </row>
    <row r="19224">
      <c r="A19224" s="14" t="inlineStr">
        <is>
          <t>KODE: 9.3.2.5 - Pemotongan 1 Buah Pipa HDPE, DN. 8" (200 mm)</t>
        </is>
      </c>
    </row>
    <row r="19225">
      <c r="A19225" s="10" t="inlineStr">
        <is>
          <t>No</t>
        </is>
      </c>
      <c r="B19225" s="10" t="inlineStr">
        <is>
          <t>Uraian Komponen</t>
        </is>
      </c>
      <c r="C19225" s="10" t="inlineStr">
        <is>
          <t>Satuan</t>
        </is>
      </c>
      <c r="D19225" s="10" t="inlineStr">
        <is>
          <t>Koef</t>
        </is>
      </c>
      <c r="E19225" s="10" t="inlineStr">
        <is>
          <t>Harga Satuan (Rp)</t>
        </is>
      </c>
      <c r="F19225" s="10" t="inlineStr">
        <is>
          <t>Jumlah Harga (Rp)</t>
        </is>
      </c>
    </row>
    <row r="19226">
      <c r="A19226" s="3" t="inlineStr">
        <is>
          <t>1</t>
        </is>
      </c>
      <c r="B19226" s="3" t="inlineStr">
        <is>
          <t>Pekerja</t>
        </is>
      </c>
      <c r="C19226" s="3" t="inlineStr">
        <is>
          <t>OH</t>
        </is>
      </c>
      <c r="D19226" s="15" t="n">
        <v>0.044</v>
      </c>
      <c r="E19226" s="4" t="n">
        <v>100000</v>
      </c>
      <c r="F19226" s="4" t="n">
        <v>4400</v>
      </c>
    </row>
    <row r="19227">
      <c r="A19227" s="3" t="inlineStr">
        <is>
          <t>2</t>
        </is>
      </c>
      <c r="B19227" s="3" t="inlineStr">
        <is>
          <t>Tukang pipa</t>
        </is>
      </c>
      <c r="C19227" s="3" t="inlineStr">
        <is>
          <t>OH</t>
        </is>
      </c>
      <c r="D19227" s="15" t="n">
        <v>0.022</v>
      </c>
      <c r="E19227" s="4" t="n">
        <v>145000</v>
      </c>
      <c r="F19227" s="4" t="n">
        <v>3190</v>
      </c>
    </row>
    <row r="19228">
      <c r="A19228" s="3" t="inlineStr">
        <is>
          <t>3</t>
        </is>
      </c>
      <c r="B19228" s="3" t="inlineStr">
        <is>
          <t>Mandor</t>
        </is>
      </c>
      <c r="C19228" s="3" t="inlineStr">
        <is>
          <t>OH</t>
        </is>
      </c>
      <c r="D19228" s="15" t="n">
        <v>0.004</v>
      </c>
      <c r="E19228" s="4" t="n">
        <v>200000</v>
      </c>
      <c r="F19228" s="4" t="n">
        <v>800</v>
      </c>
    </row>
    <row r="19229">
      <c r="A19229" s="3" t="inlineStr">
        <is>
          <t>T2/mekanik / cilinder saw"</t>
        </is>
      </c>
      <c r="B19229" s="3" t="inlineStr"/>
      <c r="C19229" s="3" t="inlineStr">
        <is>
          <t>hari</t>
        </is>
      </c>
      <c r="D19229" s="15" t="n">
        <v>0.017</v>
      </c>
      <c r="E19229" s="4" t="n">
        <v>75000</v>
      </c>
      <c r="F19229" s="4" t="n">
        <v>1275</v>
      </c>
    </row>
    <row r="19230">
      <c r="D19230" s="2" t="inlineStr">
        <is>
          <t>SUBTOTAL UPAH</t>
        </is>
      </c>
      <c r="F19230" s="16" t="n">
        <v>8390</v>
      </c>
    </row>
    <row r="19231">
      <c r="D19231" s="2" t="inlineStr">
        <is>
          <t>SUBTOTAL BAHAN</t>
        </is>
      </c>
      <c r="F19231" s="16" t="n">
        <v>0</v>
      </c>
    </row>
    <row r="19232">
      <c r="D19232" s="2" t="inlineStr">
        <is>
          <t>SUBTOTAL ALAT</t>
        </is>
      </c>
      <c r="F19232" s="16" t="n">
        <v>1275</v>
      </c>
    </row>
    <row r="19233">
      <c r="E19233" s="2" t="inlineStr">
        <is>
          <t>TOTAL HARGA SATUAN (Inc. Overhead)</t>
        </is>
      </c>
      <c r="F19233" s="17" t="n">
        <v>10631</v>
      </c>
    </row>
    <row r="19235">
      <c r="A19235" s="14" t="inlineStr">
        <is>
          <t>KODE: 9.3.2.6 - Pemotongan 1 Buah Pipa HDPE, DN. 10" (250 mm)</t>
        </is>
      </c>
    </row>
    <row r="19236">
      <c r="A19236" s="10" t="inlineStr">
        <is>
          <t>No</t>
        </is>
      </c>
      <c r="B19236" s="10" t="inlineStr">
        <is>
          <t>Uraian Komponen</t>
        </is>
      </c>
      <c r="C19236" s="10" t="inlineStr">
        <is>
          <t>Satuan</t>
        </is>
      </c>
      <c r="D19236" s="10" t="inlineStr">
        <is>
          <t>Koef</t>
        </is>
      </c>
      <c r="E19236" s="10" t="inlineStr">
        <is>
          <t>Harga Satuan (Rp)</t>
        </is>
      </c>
      <c r="F19236" s="10" t="inlineStr">
        <is>
          <t>Jumlah Harga (Rp)</t>
        </is>
      </c>
    </row>
    <row r="19237">
      <c r="A19237" s="3" t="inlineStr">
        <is>
          <t>1</t>
        </is>
      </c>
      <c r="B19237" s="3" t="inlineStr">
        <is>
          <t>Pekerja</t>
        </is>
      </c>
      <c r="C19237" s="3" t="inlineStr">
        <is>
          <t>OH</t>
        </is>
      </c>
      <c r="D19237" s="15" t="n">
        <v>0.067</v>
      </c>
      <c r="E19237" s="4" t="n">
        <v>100000</v>
      </c>
      <c r="F19237" s="4" t="n">
        <v>6700</v>
      </c>
    </row>
    <row r="19238">
      <c r="A19238" s="3" t="inlineStr">
        <is>
          <t>2</t>
        </is>
      </c>
      <c r="B19238" s="3" t="inlineStr">
        <is>
          <t>Tukang pipa</t>
        </is>
      </c>
      <c r="C19238" s="3" t="inlineStr">
        <is>
          <t>OH</t>
        </is>
      </c>
      <c r="D19238" s="15" t="n">
        <v>0.033</v>
      </c>
      <c r="E19238" s="4" t="n">
        <v>145000</v>
      </c>
      <c r="F19238" s="4" t="n">
        <v>4785</v>
      </c>
    </row>
    <row r="19239">
      <c r="A19239" s="3" t="inlineStr">
        <is>
          <t>3</t>
        </is>
      </c>
      <c r="B19239" s="3" t="inlineStr">
        <is>
          <t>Mandor</t>
        </is>
      </c>
      <c r="C19239" s="3" t="inlineStr">
        <is>
          <t>OH</t>
        </is>
      </c>
      <c r="D19239" s="15" t="n">
        <v>0.007</v>
      </c>
      <c r="E19239" s="4" t="n">
        <v>200000</v>
      </c>
      <c r="F19239" s="4" t="n">
        <v>1400</v>
      </c>
    </row>
    <row r="19240">
      <c r="A19240" s="3" t="inlineStr">
        <is>
          <t>T2/mekanik / cilinder saw"</t>
        </is>
      </c>
      <c r="B19240" s="3" t="inlineStr"/>
      <c r="C19240" s="3" t="inlineStr">
        <is>
          <t>hari</t>
        </is>
      </c>
      <c r="D19240" s="15" t="n">
        <v>0.023</v>
      </c>
      <c r="E19240" s="4" t="n">
        <v>75000</v>
      </c>
      <c r="F19240" s="4" t="n">
        <v>1725</v>
      </c>
    </row>
    <row r="19241">
      <c r="D19241" s="2" t="inlineStr">
        <is>
          <t>SUBTOTAL UPAH</t>
        </is>
      </c>
      <c r="F19241" s="16" t="n">
        <v>12885</v>
      </c>
    </row>
    <row r="19242">
      <c r="D19242" s="2" t="inlineStr">
        <is>
          <t>SUBTOTAL BAHAN</t>
        </is>
      </c>
      <c r="F19242" s="16" t="n">
        <v>0</v>
      </c>
    </row>
    <row r="19243">
      <c r="D19243" s="2" t="inlineStr">
        <is>
          <t>SUBTOTAL ALAT</t>
        </is>
      </c>
      <c r="F19243" s="16" t="n">
        <v>1725</v>
      </c>
    </row>
    <row r="19244">
      <c r="E19244" s="2" t="inlineStr">
        <is>
          <t>TOTAL HARGA SATUAN (Inc. Overhead)</t>
        </is>
      </c>
      <c r="F19244" s="17" t="n">
        <v>16071</v>
      </c>
    </row>
    <row r="19246">
      <c r="A19246" s="14" t="inlineStr">
        <is>
          <t>KODE: 9.3.2.7 - Pemotongan 1 Buah Pipa HDPE, DN. 12" (300 mm)</t>
        </is>
      </c>
    </row>
    <row r="19247">
      <c r="A19247" s="10" t="inlineStr">
        <is>
          <t>No</t>
        </is>
      </c>
      <c r="B19247" s="10" t="inlineStr">
        <is>
          <t>Uraian Komponen</t>
        </is>
      </c>
      <c r="C19247" s="10" t="inlineStr">
        <is>
          <t>Satuan</t>
        </is>
      </c>
      <c r="D19247" s="10" t="inlineStr">
        <is>
          <t>Koef</t>
        </is>
      </c>
      <c r="E19247" s="10" t="inlineStr">
        <is>
          <t>Harga Satuan (Rp)</t>
        </is>
      </c>
      <c r="F19247" s="10" t="inlineStr">
        <is>
          <t>Jumlah Harga (Rp)</t>
        </is>
      </c>
    </row>
    <row r="19248">
      <c r="A19248" s="3" t="inlineStr">
        <is>
          <t>1</t>
        </is>
      </c>
      <c r="B19248" s="3" t="inlineStr">
        <is>
          <t>Pekerja</t>
        </is>
      </c>
      <c r="C19248" s="3" t="inlineStr">
        <is>
          <t>OH</t>
        </is>
      </c>
      <c r="D19248" s="15" t="n">
        <v>0.09</v>
      </c>
      <c r="E19248" s="4" t="n">
        <v>100000</v>
      </c>
      <c r="F19248" s="4" t="n">
        <v>9000</v>
      </c>
    </row>
    <row r="19249">
      <c r="A19249" s="3" t="inlineStr">
        <is>
          <t>2</t>
        </is>
      </c>
      <c r="B19249" s="3" t="inlineStr">
        <is>
          <t>Tukang pipa</t>
        </is>
      </c>
      <c r="C19249" s="3" t="inlineStr">
        <is>
          <t>OH</t>
        </is>
      </c>
      <c r="D19249" s="15" t="n">
        <v>0.045</v>
      </c>
      <c r="E19249" s="4" t="n">
        <v>145000</v>
      </c>
      <c r="F19249" s="4" t="n">
        <v>6525</v>
      </c>
    </row>
    <row r="19250">
      <c r="A19250" s="3" t="inlineStr">
        <is>
          <t>3</t>
        </is>
      </c>
      <c r="B19250" s="3" t="inlineStr">
        <is>
          <t>Mandor</t>
        </is>
      </c>
      <c r="C19250" s="3" t="inlineStr">
        <is>
          <t>OH</t>
        </is>
      </c>
      <c r="D19250" s="15" t="n">
        <v>0.008999999999999999</v>
      </c>
      <c r="E19250" s="4" t="n">
        <v>200000</v>
      </c>
      <c r="F19250" s="4" t="n">
        <v>1800</v>
      </c>
    </row>
    <row r="19251">
      <c r="A19251" s="3" t="inlineStr">
        <is>
          <t>T2/mekanik / cilinder saw"</t>
        </is>
      </c>
      <c r="B19251" s="3" t="inlineStr"/>
      <c r="C19251" s="3" t="inlineStr">
        <is>
          <t>hari</t>
        </is>
      </c>
      <c r="D19251" s="15" t="n">
        <v>0.03</v>
      </c>
      <c r="E19251" s="4" t="n">
        <v>75000</v>
      </c>
      <c r="F19251" s="4" t="n">
        <v>2250</v>
      </c>
    </row>
    <row r="19252">
      <c r="D19252" s="2" t="inlineStr">
        <is>
          <t>SUBTOTAL UPAH</t>
        </is>
      </c>
      <c r="F19252" s="16" t="n">
        <v>17325</v>
      </c>
    </row>
    <row r="19253">
      <c r="D19253" s="2" t="inlineStr">
        <is>
          <t>SUBTOTAL BAHAN</t>
        </is>
      </c>
      <c r="F19253" s="16" t="n">
        <v>0</v>
      </c>
    </row>
    <row r="19254">
      <c r="D19254" s="2" t="inlineStr">
        <is>
          <t>SUBTOTAL ALAT</t>
        </is>
      </c>
      <c r="F19254" s="16" t="n">
        <v>2250</v>
      </c>
    </row>
    <row r="19255">
      <c r="E19255" s="2" t="inlineStr">
        <is>
          <t>TOTAL HARGA SATUAN (Inc. Overhead)</t>
        </is>
      </c>
      <c r="F19255" s="17" t="n">
        <v>21532</v>
      </c>
    </row>
    <row r="19257">
      <c r="A19257" s="14" t="inlineStr">
        <is>
          <t>KODE: 9.3.2.8 - Pemotongan 1 Buah Pipa HDPE, DN. 16" (400 mm)</t>
        </is>
      </c>
    </row>
    <row r="19258">
      <c r="A19258" s="10" t="inlineStr">
        <is>
          <t>No</t>
        </is>
      </c>
      <c r="B19258" s="10" t="inlineStr">
        <is>
          <t>Uraian Komponen</t>
        </is>
      </c>
      <c r="C19258" s="10" t="inlineStr">
        <is>
          <t>Satuan</t>
        </is>
      </c>
      <c r="D19258" s="10" t="inlineStr">
        <is>
          <t>Koef</t>
        </is>
      </c>
      <c r="E19258" s="10" t="inlineStr">
        <is>
          <t>Harga Satuan (Rp)</t>
        </is>
      </c>
      <c r="F19258" s="10" t="inlineStr">
        <is>
          <t>Jumlah Harga (Rp)</t>
        </is>
      </c>
    </row>
    <row r="19259">
      <c r="A19259" s="3" t="inlineStr">
        <is>
          <t>1</t>
        </is>
      </c>
      <c r="B19259" s="3" t="inlineStr">
        <is>
          <t>Pekerja</t>
        </is>
      </c>
      <c r="C19259" s="3" t="inlineStr">
        <is>
          <t>OH</t>
        </is>
      </c>
      <c r="D19259" s="15" t="n">
        <v>0.177</v>
      </c>
      <c r="E19259" s="4" t="n">
        <v>100000</v>
      </c>
      <c r="F19259" s="4" t="n">
        <v>17700</v>
      </c>
    </row>
    <row r="19260">
      <c r="A19260" s="3" t="inlineStr">
        <is>
          <t>2</t>
        </is>
      </c>
      <c r="B19260" s="3" t="inlineStr">
        <is>
          <t>Tukang pipa</t>
        </is>
      </c>
      <c r="C19260" s="3" t="inlineStr">
        <is>
          <t>OH</t>
        </is>
      </c>
      <c r="D19260" s="15" t="n">
        <v>0.08799999999999999</v>
      </c>
      <c r="E19260" s="4" t="n">
        <v>145000</v>
      </c>
      <c r="F19260" s="4" t="n">
        <v>12760</v>
      </c>
    </row>
    <row r="19261">
      <c r="A19261" s="3" t="inlineStr">
        <is>
          <t>3</t>
        </is>
      </c>
      <c r="B19261" s="3" t="inlineStr">
        <is>
          <t>Mandor</t>
        </is>
      </c>
      <c r="C19261" s="3" t="inlineStr">
        <is>
          <t>OH</t>
        </is>
      </c>
      <c r="D19261" s="15" t="n">
        <v>0.018</v>
      </c>
      <c r="E19261" s="4" t="n">
        <v>200000</v>
      </c>
      <c r="F19261" s="4" t="n">
        <v>3600</v>
      </c>
    </row>
    <row r="19262">
      <c r="A19262" s="3" t="inlineStr">
        <is>
          <t>T2/mekanik / cilinder saw"</t>
        </is>
      </c>
      <c r="B19262" s="3" t="inlineStr"/>
      <c r="C19262" s="3" t="inlineStr">
        <is>
          <t>hari</t>
        </is>
      </c>
      <c r="D19262" s="15" t="n">
        <v>0.055</v>
      </c>
      <c r="E19262" s="4" t="n">
        <v>75000</v>
      </c>
      <c r="F19262" s="4" t="n">
        <v>4125</v>
      </c>
    </row>
    <row r="19263">
      <c r="D19263" s="2" t="inlineStr">
        <is>
          <t>SUBTOTAL UPAH</t>
        </is>
      </c>
      <c r="F19263" s="16" t="n">
        <v>34060</v>
      </c>
    </row>
    <row r="19264">
      <c r="D19264" s="2" t="inlineStr">
        <is>
          <t>SUBTOTAL BAHAN</t>
        </is>
      </c>
      <c r="F19264" s="16" t="n">
        <v>0</v>
      </c>
    </row>
    <row r="19265">
      <c r="D19265" s="2" t="inlineStr">
        <is>
          <t>SUBTOTAL ALAT</t>
        </is>
      </c>
      <c r="F19265" s="16" t="n">
        <v>4125</v>
      </c>
    </row>
    <row r="19266">
      <c r="E19266" s="2" t="inlineStr">
        <is>
          <t>TOTAL HARGA SATUAN (Inc. Overhead)</t>
        </is>
      </c>
      <c r="F19266" s="17" t="n">
        <v>42003</v>
      </c>
    </row>
    <row r="19268">
      <c r="A19268" s="14" t="inlineStr">
        <is>
          <t>KODE: 9.3.2.9 - Pemotongan 1 Buah Pipa HDPE, DN. 18" (450 mm)</t>
        </is>
      </c>
    </row>
    <row r="19269">
      <c r="A19269" s="10" t="inlineStr">
        <is>
          <t>No</t>
        </is>
      </c>
      <c r="B19269" s="10" t="inlineStr">
        <is>
          <t>Uraian Komponen</t>
        </is>
      </c>
      <c r="C19269" s="10" t="inlineStr">
        <is>
          <t>Satuan</t>
        </is>
      </c>
      <c r="D19269" s="10" t="inlineStr">
        <is>
          <t>Koef</t>
        </is>
      </c>
      <c r="E19269" s="10" t="inlineStr">
        <is>
          <t>Harga Satuan (Rp)</t>
        </is>
      </c>
      <c r="F19269" s="10" t="inlineStr">
        <is>
          <t>Jumlah Harga (Rp)</t>
        </is>
      </c>
    </row>
    <row r="19270">
      <c r="A19270" s="3" t="inlineStr">
        <is>
          <t>1</t>
        </is>
      </c>
      <c r="B19270" s="3" t="inlineStr">
        <is>
          <t>Pekerja</t>
        </is>
      </c>
      <c r="C19270" s="3" t="inlineStr">
        <is>
          <t>OH</t>
        </is>
      </c>
      <c r="D19270" s="15" t="n">
        <v>0.225</v>
      </c>
      <c r="E19270" s="4" t="n">
        <v>100000</v>
      </c>
      <c r="F19270" s="4" t="n">
        <v>22500</v>
      </c>
    </row>
    <row r="19271">
      <c r="A19271" s="3" t="inlineStr">
        <is>
          <t>2</t>
        </is>
      </c>
      <c r="B19271" s="3" t="inlineStr">
        <is>
          <t>Tukang pipa</t>
        </is>
      </c>
      <c r="C19271" s="3" t="inlineStr">
        <is>
          <t>OH</t>
        </is>
      </c>
      <c r="D19271" s="15" t="n">
        <v>0.113</v>
      </c>
      <c r="E19271" s="4" t="n">
        <v>145000</v>
      </c>
      <c r="F19271" s="4" t="n">
        <v>16385</v>
      </c>
    </row>
    <row r="19272">
      <c r="A19272" s="3" t="inlineStr">
        <is>
          <t>3</t>
        </is>
      </c>
      <c r="B19272" s="3" t="inlineStr">
        <is>
          <t>Mandor</t>
        </is>
      </c>
      <c r="C19272" s="3" t="inlineStr">
        <is>
          <t>OH</t>
        </is>
      </c>
      <c r="D19272" s="15" t="n">
        <v>0.023</v>
      </c>
      <c r="E19272" s="4" t="n">
        <v>200000</v>
      </c>
      <c r="F19272" s="4" t="n">
        <v>4600</v>
      </c>
    </row>
    <row r="19273">
      <c r="A19273" s="3" t="inlineStr">
        <is>
          <t>T2/mekanik / cilinder saw"</t>
        </is>
      </c>
      <c r="B19273" s="3" t="inlineStr"/>
      <c r="C19273" s="3" t="inlineStr">
        <is>
          <t>hari</t>
        </is>
      </c>
      <c r="D19273" s="15" t="n">
        <v>0.07000000000000001</v>
      </c>
      <c r="E19273" s="4" t="n">
        <v>75000</v>
      </c>
      <c r="F19273" s="4" t="n">
        <v>5250.000000000001</v>
      </c>
    </row>
    <row r="19274">
      <c r="D19274" s="2" t="inlineStr">
        <is>
          <t>SUBTOTAL UPAH</t>
        </is>
      </c>
      <c r="F19274" s="16" t="n">
        <v>43485</v>
      </c>
    </row>
    <row r="19275">
      <c r="D19275" s="2" t="inlineStr">
        <is>
          <t>SUBTOTAL BAHAN</t>
        </is>
      </c>
      <c r="F19275" s="16" t="n">
        <v>0</v>
      </c>
    </row>
    <row r="19276">
      <c r="D19276" s="2" t="inlineStr">
        <is>
          <t>SUBTOTAL ALAT</t>
        </is>
      </c>
      <c r="F19276" s="16" t="n">
        <v>5250.000000000001</v>
      </c>
    </row>
    <row r="19277">
      <c r="E19277" s="2" t="inlineStr">
        <is>
          <t>TOTAL HARGA SATUAN (Inc. Overhead)</t>
        </is>
      </c>
      <c r="F19277" s="17" t="n">
        <v>53608</v>
      </c>
    </row>
    <row r="19279">
      <c r="A19279" s="14" t="inlineStr">
        <is>
          <t>KODE: 9.3.2.10 - Pemotongan 1 Buah Pipa HDPE, DN. 20" (500 mm)</t>
        </is>
      </c>
    </row>
    <row r="19280">
      <c r="A19280" s="10" t="inlineStr">
        <is>
          <t>No</t>
        </is>
      </c>
      <c r="B19280" s="10" t="inlineStr">
        <is>
          <t>Uraian Komponen</t>
        </is>
      </c>
      <c r="C19280" s="10" t="inlineStr">
        <is>
          <t>Satuan</t>
        </is>
      </c>
      <c r="D19280" s="10" t="inlineStr">
        <is>
          <t>Koef</t>
        </is>
      </c>
      <c r="E19280" s="10" t="inlineStr">
        <is>
          <t>Harga Satuan (Rp)</t>
        </is>
      </c>
      <c r="F19280" s="10" t="inlineStr">
        <is>
          <t>Jumlah Harga (Rp)</t>
        </is>
      </c>
    </row>
    <row r="19281">
      <c r="A19281" s="3" t="inlineStr">
        <is>
          <t>1</t>
        </is>
      </c>
      <c r="B19281" s="3" t="inlineStr">
        <is>
          <t>Pekerja</t>
        </is>
      </c>
      <c r="C19281" s="3" t="inlineStr">
        <is>
          <t>OH</t>
        </is>
      </c>
      <c r="D19281" s="15" t="n">
        <v>0.277</v>
      </c>
      <c r="E19281" s="4" t="n">
        <v>100000</v>
      </c>
      <c r="F19281" s="4" t="n">
        <v>27700</v>
      </c>
    </row>
    <row r="19282">
      <c r="A19282" s="3" t="inlineStr">
        <is>
          <t>2</t>
        </is>
      </c>
      <c r="B19282" s="3" t="inlineStr">
        <is>
          <t>Tukang pipa</t>
        </is>
      </c>
      <c r="C19282" s="3" t="inlineStr">
        <is>
          <t>OH</t>
        </is>
      </c>
      <c r="D19282" s="15" t="n">
        <v>0.139</v>
      </c>
      <c r="E19282" s="4" t="n">
        <v>145000</v>
      </c>
      <c r="F19282" s="4" t="n">
        <v>20155</v>
      </c>
    </row>
    <row r="19283">
      <c r="A19283" s="3" t="inlineStr">
        <is>
          <t>3</t>
        </is>
      </c>
      <c r="B19283" s="3" t="inlineStr">
        <is>
          <t>Mandor</t>
        </is>
      </c>
      <c r="C19283" s="3" t="inlineStr">
        <is>
          <t>OH</t>
        </is>
      </c>
      <c r="D19283" s="15" t="n">
        <v>0.028</v>
      </c>
      <c r="E19283" s="4" t="n">
        <v>200000</v>
      </c>
      <c r="F19283" s="4" t="n">
        <v>5600</v>
      </c>
    </row>
    <row r="19284">
      <c r="A19284" s="3" t="inlineStr">
        <is>
          <t>T2/mekanik / cilinder saw"</t>
        </is>
      </c>
      <c r="B19284" s="3" t="inlineStr"/>
      <c r="C19284" s="3" t="inlineStr">
        <is>
          <t>hari</t>
        </is>
      </c>
      <c r="D19284" s="15" t="n">
        <v>0.08500000000000001</v>
      </c>
      <c r="E19284" s="4" t="n">
        <v>75000</v>
      </c>
      <c r="F19284" s="4" t="n">
        <v>6375.000000000001</v>
      </c>
    </row>
    <row r="19285">
      <c r="D19285" s="2" t="inlineStr">
        <is>
          <t>SUBTOTAL UPAH</t>
        </is>
      </c>
      <c r="F19285" s="16" t="n">
        <v>53455</v>
      </c>
    </row>
    <row r="19286">
      <c r="D19286" s="2" t="inlineStr">
        <is>
          <t>SUBTOTAL BAHAN</t>
        </is>
      </c>
      <c r="F19286" s="16" t="n">
        <v>0</v>
      </c>
    </row>
    <row r="19287">
      <c r="D19287" s="2" t="inlineStr">
        <is>
          <t>SUBTOTAL ALAT</t>
        </is>
      </c>
      <c r="F19287" s="16" t="n">
        <v>6375.000000000001</v>
      </c>
    </row>
    <row r="19288">
      <c r="E19288" s="2" t="inlineStr">
        <is>
          <t>TOTAL HARGA SATUAN (Inc. Overhead)</t>
        </is>
      </c>
      <c r="F19288" s="17" t="n">
        <v>65813</v>
      </c>
    </row>
    <row r="19290">
      <c r="A19290" s="14" t="inlineStr">
        <is>
          <t>KODE: 9.3.2.11 - Pemotongan 1 Buah Pipa HDPE, DN. 24" (600 mm)</t>
        </is>
      </c>
    </row>
    <row r="19291">
      <c r="A19291" s="10" t="inlineStr">
        <is>
          <t>No</t>
        </is>
      </c>
      <c r="B19291" s="10" t="inlineStr">
        <is>
          <t>Uraian Komponen</t>
        </is>
      </c>
      <c r="C19291" s="10" t="inlineStr">
        <is>
          <t>Satuan</t>
        </is>
      </c>
      <c r="D19291" s="10" t="inlineStr">
        <is>
          <t>Koef</t>
        </is>
      </c>
      <c r="E19291" s="10" t="inlineStr">
        <is>
          <t>Harga Satuan (Rp)</t>
        </is>
      </c>
      <c r="F19291" s="10" t="inlineStr">
        <is>
          <t>Jumlah Harga (Rp)</t>
        </is>
      </c>
    </row>
    <row r="19292">
      <c r="A19292" s="3" t="inlineStr">
        <is>
          <t>1</t>
        </is>
      </c>
      <c r="B19292" s="3" t="inlineStr">
        <is>
          <t>Pekerja</t>
        </is>
      </c>
      <c r="C19292" s="3" t="inlineStr">
        <is>
          <t>OH</t>
        </is>
      </c>
      <c r="D19292" s="15" t="n">
        <v>0.333</v>
      </c>
      <c r="E19292" s="4" t="n">
        <v>100000</v>
      </c>
      <c r="F19292" s="4" t="n">
        <v>33300</v>
      </c>
    </row>
    <row r="19293">
      <c r="A19293" s="3" t="inlineStr">
        <is>
          <t>2</t>
        </is>
      </c>
      <c r="B19293" s="3" t="inlineStr">
        <is>
          <t>Tukang pipa</t>
        </is>
      </c>
      <c r="C19293" s="3" t="inlineStr">
        <is>
          <t>OH</t>
        </is>
      </c>
      <c r="D19293" s="15" t="n">
        <v>0.167</v>
      </c>
      <c r="E19293" s="4" t="n">
        <v>145000</v>
      </c>
      <c r="F19293" s="4" t="n">
        <v>24215</v>
      </c>
    </row>
    <row r="19294">
      <c r="A19294" s="3" t="inlineStr">
        <is>
          <t>3</t>
        </is>
      </c>
      <c r="B19294" s="3" t="inlineStr">
        <is>
          <t>Mandor</t>
        </is>
      </c>
      <c r="C19294" s="3" t="inlineStr">
        <is>
          <t>OH</t>
        </is>
      </c>
      <c r="D19294" s="15" t="n">
        <v>0.033</v>
      </c>
      <c r="E19294" s="4" t="n">
        <v>200000</v>
      </c>
      <c r="F19294" s="4" t="n">
        <v>6600</v>
      </c>
    </row>
    <row r="19295">
      <c r="A19295" s="3" t="inlineStr">
        <is>
          <t>T2/mekanik / cilinder saw"</t>
        </is>
      </c>
      <c r="B19295" s="3" t="inlineStr"/>
      <c r="C19295" s="3" t="inlineStr">
        <is>
          <t>hari</t>
        </is>
      </c>
      <c r="D19295" s="15" t="n">
        <v>0.101</v>
      </c>
      <c r="E19295" s="4" t="n">
        <v>75000</v>
      </c>
      <c r="F19295" s="4" t="n">
        <v>7575.000000000001</v>
      </c>
    </row>
    <row r="19296">
      <c r="D19296" s="2" t="inlineStr">
        <is>
          <t>SUBTOTAL UPAH</t>
        </is>
      </c>
      <c r="F19296" s="16" t="n">
        <v>64115</v>
      </c>
    </row>
    <row r="19297">
      <c r="D19297" s="2" t="inlineStr">
        <is>
          <t>SUBTOTAL BAHAN</t>
        </is>
      </c>
      <c r="F19297" s="16" t="n">
        <v>0</v>
      </c>
    </row>
    <row r="19298">
      <c r="D19298" s="2" t="inlineStr">
        <is>
          <t>SUBTOTAL ALAT</t>
        </is>
      </c>
      <c r="F19298" s="16" t="n">
        <v>7575.000000000001</v>
      </c>
    </row>
    <row r="19299">
      <c r="E19299" s="2" t="inlineStr">
        <is>
          <t>TOTAL HARGA SATUAN (Inc. Overhead)</t>
        </is>
      </c>
      <c r="F19299" s="17" t="n">
        <v>78859</v>
      </c>
    </row>
    <row r="19301">
      <c r="A19301" s="14" t="inlineStr">
        <is>
          <t>KODE: 9.3.2.12 - Pemotongan 1 Buah Pipa HDPE, DN. 32" (800 mm)</t>
        </is>
      </c>
    </row>
    <row r="19302">
      <c r="A19302" s="10" t="inlineStr">
        <is>
          <t>No</t>
        </is>
      </c>
      <c r="B19302" s="10" t="inlineStr">
        <is>
          <t>Uraian Komponen</t>
        </is>
      </c>
      <c r="C19302" s="10" t="inlineStr">
        <is>
          <t>Satuan</t>
        </is>
      </c>
      <c r="D19302" s="10" t="inlineStr">
        <is>
          <t>Koef</t>
        </is>
      </c>
      <c r="E19302" s="10" t="inlineStr">
        <is>
          <t>Harga Satuan (Rp)</t>
        </is>
      </c>
      <c r="F19302" s="10" t="inlineStr">
        <is>
          <t>Jumlah Harga (Rp)</t>
        </is>
      </c>
    </row>
    <row r="19303">
      <c r="A19303" s="3" t="inlineStr">
        <is>
          <t>1</t>
        </is>
      </c>
      <c r="B19303" s="3" t="inlineStr">
        <is>
          <t>Pekerja</t>
        </is>
      </c>
      <c r="C19303" s="3" t="inlineStr">
        <is>
          <t>OH</t>
        </is>
      </c>
      <c r="D19303" s="15" t="n">
        <v>0.601</v>
      </c>
      <c r="E19303" s="4" t="n">
        <v>100000</v>
      </c>
      <c r="F19303" s="4" t="n">
        <v>60100</v>
      </c>
    </row>
    <row r="19304">
      <c r="A19304" s="3" t="inlineStr">
        <is>
          <t>2</t>
        </is>
      </c>
      <c r="B19304" s="3" t="inlineStr">
        <is>
          <t>Tukang pipa</t>
        </is>
      </c>
      <c r="C19304" s="3" t="inlineStr">
        <is>
          <t>OH</t>
        </is>
      </c>
      <c r="D19304" s="15" t="n">
        <v>0.301</v>
      </c>
      <c r="E19304" s="4" t="n">
        <v>145000</v>
      </c>
      <c r="F19304" s="4" t="n">
        <v>43645</v>
      </c>
    </row>
    <row r="19305">
      <c r="A19305" s="3" t="inlineStr">
        <is>
          <t>3</t>
        </is>
      </c>
      <c r="B19305" s="3" t="inlineStr">
        <is>
          <t>Mandor</t>
        </is>
      </c>
      <c r="C19305" s="3" t="inlineStr">
        <is>
          <t>OH</t>
        </is>
      </c>
      <c r="D19305" s="15" t="n">
        <v>0.06</v>
      </c>
      <c r="E19305" s="4" t="n">
        <v>200000</v>
      </c>
      <c r="F19305" s="4" t="n">
        <v>12000</v>
      </c>
    </row>
    <row r="19306">
      <c r="A19306" s="3" t="inlineStr">
        <is>
          <t>T2/mekanik / cilinder saw"</t>
        </is>
      </c>
      <c r="B19306" s="3" t="inlineStr"/>
      <c r="C19306" s="3" t="inlineStr">
        <is>
          <t>hari</t>
        </is>
      </c>
      <c r="D19306" s="15" t="n">
        <v>0.179</v>
      </c>
      <c r="E19306" s="4" t="n">
        <v>75000</v>
      </c>
      <c r="F19306" s="4" t="n">
        <v>13425</v>
      </c>
    </row>
    <row r="19307">
      <c r="D19307" s="2" t="inlineStr">
        <is>
          <t>SUBTOTAL UPAH</t>
        </is>
      </c>
      <c r="F19307" s="16" t="n">
        <v>115745</v>
      </c>
    </row>
    <row r="19308">
      <c r="D19308" s="2" t="inlineStr">
        <is>
          <t>SUBTOTAL BAHAN</t>
        </is>
      </c>
      <c r="F19308" s="16" t="n">
        <v>0</v>
      </c>
    </row>
    <row r="19309">
      <c r="D19309" s="2" t="inlineStr">
        <is>
          <t>SUBTOTAL ALAT</t>
        </is>
      </c>
      <c r="F19309" s="16" t="n">
        <v>13425</v>
      </c>
    </row>
    <row r="19310">
      <c r="E19310" s="2" t="inlineStr">
        <is>
          <t>TOTAL HARGA SATUAN (Inc. Overhead)</t>
        </is>
      </c>
      <c r="F19310" s="17" t="n">
        <v>142087</v>
      </c>
    </row>
    <row r="19312">
      <c r="A19312" s="14" t="inlineStr">
        <is>
          <t>KODE: 9.3.2.13 - Pemotongan 1 Buah Pipa HDPE, DN. 36" (900 mm)</t>
        </is>
      </c>
    </row>
    <row r="19313">
      <c r="A19313" s="10" t="inlineStr">
        <is>
          <t>No</t>
        </is>
      </c>
      <c r="B19313" s="10" t="inlineStr">
        <is>
          <t>Uraian Komponen</t>
        </is>
      </c>
      <c r="C19313" s="10" t="inlineStr">
        <is>
          <t>Satuan</t>
        </is>
      </c>
      <c r="D19313" s="10" t="inlineStr">
        <is>
          <t>Koef</t>
        </is>
      </c>
      <c r="E19313" s="10" t="inlineStr">
        <is>
          <t>Harga Satuan (Rp)</t>
        </is>
      </c>
      <c r="F19313" s="10" t="inlineStr">
        <is>
          <t>Jumlah Harga (Rp)</t>
        </is>
      </c>
    </row>
    <row r="19314">
      <c r="A19314" s="3" t="inlineStr">
        <is>
          <t>1</t>
        </is>
      </c>
      <c r="B19314" s="3" t="inlineStr">
        <is>
          <t>Pekerja</t>
        </is>
      </c>
      <c r="C19314" s="3" t="inlineStr">
        <is>
          <t>OH</t>
        </is>
      </c>
      <c r="D19314" s="15" t="n">
        <v>0.931</v>
      </c>
      <c r="E19314" s="4" t="n">
        <v>100000</v>
      </c>
      <c r="F19314" s="4" t="n">
        <v>93100</v>
      </c>
    </row>
    <row r="19315">
      <c r="A19315" s="3" t="inlineStr">
        <is>
          <t>2</t>
        </is>
      </c>
      <c r="B19315" s="3" t="inlineStr">
        <is>
          <t>Tukang pipa</t>
        </is>
      </c>
      <c r="C19315" s="3" t="inlineStr">
        <is>
          <t>OH</t>
        </is>
      </c>
      <c r="D19315" s="15" t="n">
        <v>0.456</v>
      </c>
      <c r="E19315" s="4" t="n">
        <v>145000</v>
      </c>
      <c r="F19315" s="4" t="n">
        <v>66120</v>
      </c>
    </row>
    <row r="19316">
      <c r="A19316" s="3" t="inlineStr">
        <is>
          <t>3</t>
        </is>
      </c>
      <c r="B19316" s="3" t="inlineStr">
        <is>
          <t>Mandor</t>
        </is>
      </c>
      <c r="C19316" s="3" t="inlineStr">
        <is>
          <t>OH</t>
        </is>
      </c>
      <c r="D19316" s="15" t="n">
        <v>0.091</v>
      </c>
      <c r="E19316" s="4" t="n">
        <v>200000</v>
      </c>
      <c r="F19316" s="4" t="n">
        <v>18200</v>
      </c>
    </row>
    <row r="19317">
      <c r="A19317" s="3" t="inlineStr">
        <is>
          <t>T2/mekanik / cilinder saw"</t>
        </is>
      </c>
      <c r="B19317" s="3" t="inlineStr"/>
      <c r="C19317" s="3" t="inlineStr">
        <is>
          <t>hari</t>
        </is>
      </c>
      <c r="D19317" s="15" t="n">
        <v>0.27</v>
      </c>
      <c r="E19317" s="4" t="n">
        <v>75000</v>
      </c>
      <c r="F19317" s="4" t="n">
        <v>20250</v>
      </c>
    </row>
    <row r="19318">
      <c r="D19318" s="2" t="inlineStr">
        <is>
          <t>SUBTOTAL UPAH</t>
        </is>
      </c>
      <c r="F19318" s="16" t="n">
        <v>177420</v>
      </c>
    </row>
    <row r="19319">
      <c r="D19319" s="2" t="inlineStr">
        <is>
          <t>SUBTOTAL BAHAN</t>
        </is>
      </c>
      <c r="F19319" s="16" t="n">
        <v>0</v>
      </c>
    </row>
    <row r="19320">
      <c r="D19320" s="2" t="inlineStr">
        <is>
          <t>SUBTOTAL ALAT</t>
        </is>
      </c>
      <c r="F19320" s="16" t="n">
        <v>20250</v>
      </c>
    </row>
    <row r="19321">
      <c r="E19321" s="2" t="inlineStr">
        <is>
          <t>TOTAL HARGA SATUAN (Inc. Overhead)</t>
        </is>
      </c>
      <c r="F19321" s="17" t="n">
        <v>217437</v>
      </c>
    </row>
    <row r="19323">
      <c r="A19323" s="14" t="inlineStr">
        <is>
          <t>KODE: 9.3.2.14 - Pemotongan 1 Buah Pipa HDPE, DN. 40" (1000 mm)</t>
        </is>
      </c>
    </row>
    <row r="19324">
      <c r="A19324" s="10" t="inlineStr">
        <is>
          <t>No</t>
        </is>
      </c>
      <c r="B19324" s="10" t="inlineStr">
        <is>
          <t>Uraian Komponen</t>
        </is>
      </c>
      <c r="C19324" s="10" t="inlineStr">
        <is>
          <t>Satuan</t>
        </is>
      </c>
      <c r="D19324" s="10" t="inlineStr">
        <is>
          <t>Koef</t>
        </is>
      </c>
      <c r="E19324" s="10" t="inlineStr">
        <is>
          <t>Harga Satuan (Rp)</t>
        </is>
      </c>
      <c r="F19324" s="10" t="inlineStr">
        <is>
          <t>Jumlah Harga (Rp)</t>
        </is>
      </c>
    </row>
    <row r="19325">
      <c r="A19325" s="3" t="inlineStr">
        <is>
          <t>1</t>
        </is>
      </c>
      <c r="B19325" s="3" t="inlineStr">
        <is>
          <t>Pekerja</t>
        </is>
      </c>
      <c r="C19325" s="3" t="inlineStr">
        <is>
          <t>OH</t>
        </is>
      </c>
      <c r="D19325" s="15" t="n">
        <v>1.125</v>
      </c>
      <c r="E19325" s="4" t="n">
        <v>100000</v>
      </c>
      <c r="F19325" s="4" t="n">
        <v>112500</v>
      </c>
    </row>
    <row r="19326">
      <c r="A19326" s="3" t="inlineStr">
        <is>
          <t>2</t>
        </is>
      </c>
      <c r="B19326" s="3" t="inlineStr">
        <is>
          <t>Tukang pipa</t>
        </is>
      </c>
      <c r="C19326" s="3" t="inlineStr">
        <is>
          <t>OH</t>
        </is>
      </c>
      <c r="D19326" s="15" t="n">
        <v>0.5620000000000001</v>
      </c>
      <c r="E19326" s="4" t="n">
        <v>145000</v>
      </c>
      <c r="F19326" s="4" t="n">
        <v>81490.00000000001</v>
      </c>
    </row>
    <row r="19327">
      <c r="A19327" s="3" t="inlineStr">
        <is>
          <t>3</t>
        </is>
      </c>
      <c r="B19327" s="3" t="inlineStr">
        <is>
          <t>Mandor</t>
        </is>
      </c>
      <c r="C19327" s="3" t="inlineStr">
        <is>
          <t>OH</t>
        </is>
      </c>
      <c r="D19327" s="15" t="n">
        <v>0.122</v>
      </c>
      <c r="E19327" s="4" t="n">
        <v>200000</v>
      </c>
      <c r="F19327" s="4" t="n">
        <v>24400</v>
      </c>
    </row>
    <row r="19328">
      <c r="A19328" s="3" t="inlineStr">
        <is>
          <t>T2/mekanik / cilinder saw"</t>
        </is>
      </c>
      <c r="B19328" s="3" t="inlineStr"/>
      <c r="C19328" s="3" t="inlineStr">
        <is>
          <t>hari</t>
        </is>
      </c>
      <c r="D19328" s="15" t="n">
        <v>0.332</v>
      </c>
      <c r="E19328" s="4" t="n">
        <v>75000</v>
      </c>
      <c r="F19328" s="4" t="n">
        <v>24900</v>
      </c>
    </row>
    <row r="19329">
      <c r="D19329" s="2" t="inlineStr">
        <is>
          <t>SUBTOTAL UPAH</t>
        </is>
      </c>
      <c r="F19329" s="16" t="n">
        <v>218390</v>
      </c>
    </row>
    <row r="19330">
      <c r="D19330" s="2" t="inlineStr">
        <is>
          <t>SUBTOTAL BAHAN</t>
        </is>
      </c>
      <c r="F19330" s="16" t="n">
        <v>0</v>
      </c>
    </row>
    <row r="19331">
      <c r="D19331" s="2" t="inlineStr">
        <is>
          <t>SUBTOTAL ALAT</t>
        </is>
      </c>
      <c r="F19331" s="16" t="n">
        <v>24900</v>
      </c>
    </row>
    <row r="19332">
      <c r="E19332" s="2" t="inlineStr">
        <is>
          <t>TOTAL HARGA SATUAN (Inc. Overhead)</t>
        </is>
      </c>
      <c r="F19332" s="17" t="n">
        <v>267619</v>
      </c>
    </row>
    <row r="19334">
      <c r="A19334" s="14" t="inlineStr">
        <is>
          <t>KODE: 9.3.2.15 - Pemotongan 1 Buah Pipa HDPE, DN. 44" (1100 mm)</t>
        </is>
      </c>
    </row>
    <row r="19335">
      <c r="A19335" s="10" t="inlineStr">
        <is>
          <t>No</t>
        </is>
      </c>
      <c r="B19335" s="10" t="inlineStr">
        <is>
          <t>Uraian Komponen</t>
        </is>
      </c>
      <c r="C19335" s="10" t="inlineStr">
        <is>
          <t>Satuan</t>
        </is>
      </c>
      <c r="D19335" s="10" t="inlineStr">
        <is>
          <t>Koef</t>
        </is>
      </c>
      <c r="E19335" s="10" t="inlineStr">
        <is>
          <t>Harga Satuan (Rp)</t>
        </is>
      </c>
      <c r="F19335" s="10" t="inlineStr">
        <is>
          <t>Jumlah Harga (Rp)</t>
        </is>
      </c>
    </row>
    <row r="19336">
      <c r="A19336" s="3" t="inlineStr">
        <is>
          <t>1</t>
        </is>
      </c>
      <c r="B19336" s="3" t="inlineStr">
        <is>
          <t>Pekerja</t>
        </is>
      </c>
      <c r="C19336" s="3" t="inlineStr">
        <is>
          <t>OH</t>
        </is>
      </c>
      <c r="D19336" s="15" t="n">
        <v>1.238</v>
      </c>
      <c r="E19336" s="4" t="n">
        <v>100000</v>
      </c>
      <c r="F19336" s="4" t="n">
        <v>123800</v>
      </c>
    </row>
    <row r="19337">
      <c r="A19337" s="3" t="inlineStr">
        <is>
          <t>2</t>
        </is>
      </c>
      <c r="B19337" s="3" t="inlineStr">
        <is>
          <t>Tukang pipa</t>
        </is>
      </c>
      <c r="C19337" s="3" t="inlineStr">
        <is>
          <t>OH</t>
        </is>
      </c>
      <c r="D19337" s="15" t="n">
        <v>0.619</v>
      </c>
      <c r="E19337" s="4" t="n">
        <v>145000</v>
      </c>
      <c r="F19337" s="4" t="n">
        <v>89755</v>
      </c>
    </row>
    <row r="19338">
      <c r="A19338" s="3" t="inlineStr">
        <is>
          <t>3</t>
        </is>
      </c>
      <c r="B19338" s="3" t="inlineStr">
        <is>
          <t>Mandor</t>
        </is>
      </c>
      <c r="C19338" s="3" t="inlineStr">
        <is>
          <t>OH</t>
        </is>
      </c>
      <c r="D19338" s="15" t="n">
        <v>0.124</v>
      </c>
      <c r="E19338" s="4" t="n">
        <v>200000</v>
      </c>
      <c r="F19338" s="4" t="n">
        <v>24800</v>
      </c>
    </row>
    <row r="19339">
      <c r="A19339" s="3" t="inlineStr">
        <is>
          <t>T2/mekanik / cilinder saw"</t>
        </is>
      </c>
      <c r="B19339" s="3" t="inlineStr"/>
      <c r="C19339" s="3" t="inlineStr">
        <is>
          <t>hari</t>
        </is>
      </c>
      <c r="D19339" s="15" t="n">
        <v>0.365</v>
      </c>
      <c r="E19339" s="4" t="n">
        <v>75000</v>
      </c>
      <c r="F19339" s="4" t="n">
        <v>27375</v>
      </c>
    </row>
    <row r="19340">
      <c r="D19340" s="2" t="inlineStr">
        <is>
          <t>SUBTOTAL UPAH</t>
        </is>
      </c>
      <c r="F19340" s="16" t="n">
        <v>238355</v>
      </c>
    </row>
    <row r="19341">
      <c r="D19341" s="2" t="inlineStr">
        <is>
          <t>SUBTOTAL BAHAN</t>
        </is>
      </c>
      <c r="F19341" s="16" t="n">
        <v>0</v>
      </c>
    </row>
    <row r="19342">
      <c r="D19342" s="2" t="inlineStr">
        <is>
          <t>SUBTOTAL ALAT</t>
        </is>
      </c>
      <c r="F19342" s="16" t="n">
        <v>27375</v>
      </c>
    </row>
    <row r="19343">
      <c r="E19343" s="2" t="inlineStr">
        <is>
          <t>TOTAL HARGA SATUAN (Inc. Overhead)</t>
        </is>
      </c>
      <c r="F19343" s="17" t="n">
        <v>292303</v>
      </c>
    </row>
    <row r="19345">
      <c r="A19345" s="14" t="inlineStr">
        <is>
          <t>KODE: 9.3.2.16 - Pemotongan 1 Buah Pipa HDPE, DN. 48" (1200 mm)</t>
        </is>
      </c>
    </row>
    <row r="19346">
      <c r="A19346" s="10" t="inlineStr">
        <is>
          <t>No</t>
        </is>
      </c>
      <c r="B19346" s="10" t="inlineStr">
        <is>
          <t>Uraian Komponen</t>
        </is>
      </c>
      <c r="C19346" s="10" t="inlineStr">
        <is>
          <t>Satuan</t>
        </is>
      </c>
      <c r="D19346" s="10" t="inlineStr">
        <is>
          <t>Koef</t>
        </is>
      </c>
      <c r="E19346" s="10" t="inlineStr">
        <is>
          <t>Harga Satuan (Rp)</t>
        </is>
      </c>
      <c r="F19346" s="10" t="inlineStr">
        <is>
          <t>Jumlah Harga (Rp)</t>
        </is>
      </c>
    </row>
    <row r="19347">
      <c r="A19347" s="3" t="inlineStr">
        <is>
          <t>1</t>
        </is>
      </c>
      <c r="B19347" s="3" t="inlineStr">
        <is>
          <t>Pekerja</t>
        </is>
      </c>
      <c r="C19347" s="3" t="inlineStr">
        <is>
          <t>OH</t>
        </is>
      </c>
      <c r="D19347" s="15" t="n">
        <v>1.619</v>
      </c>
      <c r="E19347" s="4" t="n">
        <v>100000</v>
      </c>
      <c r="F19347" s="4" t="n">
        <v>161900</v>
      </c>
    </row>
    <row r="19348">
      <c r="A19348" s="3" t="inlineStr">
        <is>
          <t>2</t>
        </is>
      </c>
      <c r="B19348" s="3" t="inlineStr">
        <is>
          <t>Tukang pipa</t>
        </is>
      </c>
      <c r="C19348" s="3" t="inlineStr">
        <is>
          <t>OH</t>
        </is>
      </c>
      <c r="D19348" s="15" t="n">
        <v>0.8090000000000001</v>
      </c>
      <c r="E19348" s="4" t="n">
        <v>145000</v>
      </c>
      <c r="F19348" s="4" t="n">
        <v>117305</v>
      </c>
    </row>
    <row r="19349">
      <c r="A19349" s="3" t="inlineStr">
        <is>
          <t>3</t>
        </is>
      </c>
      <c r="B19349" s="3" t="inlineStr">
        <is>
          <t>Mandor</t>
        </is>
      </c>
      <c r="C19349" s="3" t="inlineStr">
        <is>
          <t>OH</t>
        </is>
      </c>
      <c r="D19349" s="15" t="n">
        <v>0.162</v>
      </c>
      <c r="E19349" s="4" t="n">
        <v>200000</v>
      </c>
      <c r="F19349" s="4" t="n">
        <v>32400</v>
      </c>
    </row>
    <row r="19350">
      <c r="A19350" s="3" t="inlineStr">
        <is>
          <t>T2/mekanik / cilinder saw"</t>
        </is>
      </c>
      <c r="B19350" s="3" t="inlineStr"/>
      <c r="C19350" s="3" t="inlineStr">
        <is>
          <t>hari</t>
        </is>
      </c>
      <c r="D19350" s="15" t="n">
        <v>0.477</v>
      </c>
      <c r="E19350" s="4" t="n">
        <v>75000</v>
      </c>
      <c r="F19350" s="4" t="n">
        <v>35775</v>
      </c>
    </row>
    <row r="19351">
      <c r="D19351" s="2" t="inlineStr">
        <is>
          <t>SUBTOTAL UPAH</t>
        </is>
      </c>
      <c r="F19351" s="16" t="n">
        <v>311605</v>
      </c>
    </row>
    <row r="19352">
      <c r="D19352" s="2" t="inlineStr">
        <is>
          <t>SUBTOTAL BAHAN</t>
        </is>
      </c>
      <c r="F19352" s="16" t="n">
        <v>0</v>
      </c>
    </row>
    <row r="19353">
      <c r="D19353" s="2" t="inlineStr">
        <is>
          <t>SUBTOTAL ALAT</t>
        </is>
      </c>
      <c r="F19353" s="16" t="n">
        <v>35775</v>
      </c>
    </row>
    <row r="19354">
      <c r="E19354" s="2" t="inlineStr">
        <is>
          <t>TOTAL HARGA SATUAN (Inc. Overhead)</t>
        </is>
      </c>
      <c r="F19354" s="17" t="n">
        <v>382118</v>
      </c>
    </row>
    <row r="19356">
      <c r="A19356" s="14" t="inlineStr">
        <is>
          <t>KODE: 9.3.3.1 - Pengelasan 1 m Pipa HDPE, DN. 2.5” (63 mm)</t>
        </is>
      </c>
    </row>
    <row r="19357">
      <c r="A19357" s="10" t="inlineStr">
        <is>
          <t>No</t>
        </is>
      </c>
      <c r="B19357" s="10" t="inlineStr">
        <is>
          <t>Uraian Komponen</t>
        </is>
      </c>
      <c r="C19357" s="10" t="inlineStr">
        <is>
          <t>Satuan</t>
        </is>
      </c>
      <c r="D19357" s="10" t="inlineStr">
        <is>
          <t>Koef</t>
        </is>
      </c>
      <c r="E19357" s="10" t="inlineStr">
        <is>
          <t>Harga Satuan (Rp)</t>
        </is>
      </c>
      <c r="F19357" s="10" t="inlineStr">
        <is>
          <t>Jumlah Harga (Rp)</t>
        </is>
      </c>
    </row>
    <row r="19358">
      <c r="A19358" s="3" t="inlineStr">
        <is>
          <t>1</t>
        </is>
      </c>
      <c r="B19358" s="3" t="inlineStr">
        <is>
          <t>Pekerja</t>
        </is>
      </c>
      <c r="C19358" s="3" t="inlineStr">
        <is>
          <t>OH</t>
        </is>
      </c>
      <c r="D19358" s="15" t="n">
        <v>0.008</v>
      </c>
      <c r="E19358" s="4" t="n">
        <v>100000</v>
      </c>
      <c r="F19358" s="4" t="n">
        <v>800</v>
      </c>
    </row>
    <row r="19359">
      <c r="A19359" s="3" t="inlineStr">
        <is>
          <t>2</t>
        </is>
      </c>
      <c r="B19359" s="3" t="inlineStr">
        <is>
          <t>Tukang pipa</t>
        </is>
      </c>
      <c r="C19359" s="3" t="inlineStr">
        <is>
          <t>OH</t>
        </is>
      </c>
      <c r="D19359" s="15" t="n">
        <v>0.016</v>
      </c>
      <c r="E19359" s="4" t="n">
        <v>145000</v>
      </c>
      <c r="F19359" s="4" t="n">
        <v>2320</v>
      </c>
    </row>
    <row r="19360">
      <c r="A19360" s="3" t="inlineStr">
        <is>
          <t>3</t>
        </is>
      </c>
      <c r="B19360" s="3" t="inlineStr">
        <is>
          <t>Mandor</t>
        </is>
      </c>
      <c r="C19360" s="3" t="inlineStr">
        <is>
          <t>OH</t>
        </is>
      </c>
      <c r="D19360" s="15" t="n">
        <v>0.008</v>
      </c>
      <c r="E19360" s="4" t="n">
        <v>200000</v>
      </c>
      <c r="F19360" s="4" t="n">
        <v>1600</v>
      </c>
    </row>
    <row r="19361">
      <c r="A19361" s="3" t="inlineStr">
        <is>
          <t>Butt Fushion dan Genset</t>
        </is>
      </c>
      <c r="B19361" s="3" t="inlineStr"/>
      <c r="C19361" s="3" t="inlineStr">
        <is>
          <t>hari</t>
        </is>
      </c>
      <c r="D19361" s="15" t="n">
        <v>0.067</v>
      </c>
      <c r="E19361" s="4" t="n">
        <v>2500000</v>
      </c>
      <c r="F19361" s="4" t="n">
        <v>167500</v>
      </c>
    </row>
    <row r="19362">
      <c r="D19362" s="2" t="inlineStr">
        <is>
          <t>SUBTOTAL UPAH</t>
        </is>
      </c>
      <c r="F19362" s="16" t="n">
        <v>4720</v>
      </c>
    </row>
    <row r="19363">
      <c r="D19363" s="2" t="inlineStr">
        <is>
          <t>SUBTOTAL BAHAN</t>
        </is>
      </c>
      <c r="F19363" s="16" t="n">
        <v>0</v>
      </c>
    </row>
    <row r="19364">
      <c r="D19364" s="2" t="inlineStr">
        <is>
          <t>SUBTOTAL ALAT</t>
        </is>
      </c>
      <c r="F19364" s="16" t="n">
        <v>167500</v>
      </c>
    </row>
    <row r="19365">
      <c r="E19365" s="2" t="inlineStr">
        <is>
          <t>TOTAL HARGA SATUAN (Inc. Overhead)</t>
        </is>
      </c>
      <c r="F19365" s="17" t="n">
        <v>189442</v>
      </c>
    </row>
    <row r="19367">
      <c r="A19367" s="14" t="inlineStr">
        <is>
          <t>KODE: 9.3.3.2 - Pengelasan 1 m Pipa HDPE, DN. 3,5” (90 mm)</t>
        </is>
      </c>
    </row>
    <row r="19368">
      <c r="A19368" s="10" t="inlineStr">
        <is>
          <t>No</t>
        </is>
      </c>
      <c r="B19368" s="10" t="inlineStr">
        <is>
          <t>Uraian Komponen</t>
        </is>
      </c>
      <c r="C19368" s="10" t="inlineStr">
        <is>
          <t>Satuan</t>
        </is>
      </c>
      <c r="D19368" s="10" t="inlineStr">
        <is>
          <t>Koef</t>
        </is>
      </c>
      <c r="E19368" s="10" t="inlineStr">
        <is>
          <t>Harga Satuan (Rp)</t>
        </is>
      </c>
      <c r="F19368" s="10" t="inlineStr">
        <is>
          <t>Jumlah Harga (Rp)</t>
        </is>
      </c>
    </row>
    <row r="19369">
      <c r="A19369" s="3" t="inlineStr">
        <is>
          <t>1</t>
        </is>
      </c>
      <c r="B19369" s="3" t="inlineStr">
        <is>
          <t>Pekerja</t>
        </is>
      </c>
      <c r="C19369" s="3" t="inlineStr">
        <is>
          <t>OH</t>
        </is>
      </c>
      <c r="D19369" s="15" t="n">
        <v>0.008</v>
      </c>
      <c r="E19369" s="4" t="n">
        <v>100000</v>
      </c>
      <c r="F19369" s="4" t="n">
        <v>800</v>
      </c>
    </row>
    <row r="19370">
      <c r="A19370" s="3" t="inlineStr">
        <is>
          <t>2</t>
        </is>
      </c>
      <c r="B19370" s="3" t="inlineStr">
        <is>
          <t>Tukang pipa</t>
        </is>
      </c>
      <c r="C19370" s="3" t="inlineStr">
        <is>
          <t>OH</t>
        </is>
      </c>
      <c r="D19370" s="15" t="n">
        <v>0.016</v>
      </c>
      <c r="E19370" s="4" t="n">
        <v>145000</v>
      </c>
      <c r="F19370" s="4" t="n">
        <v>2320</v>
      </c>
    </row>
    <row r="19371">
      <c r="A19371" s="3" t="inlineStr">
        <is>
          <t>3</t>
        </is>
      </c>
      <c r="B19371" s="3" t="inlineStr">
        <is>
          <t>Mandor</t>
        </is>
      </c>
      <c r="C19371" s="3" t="inlineStr">
        <is>
          <t>OH</t>
        </is>
      </c>
      <c r="D19371" s="15" t="n">
        <v>0.008</v>
      </c>
      <c r="E19371" s="4" t="n">
        <v>200000</v>
      </c>
      <c r="F19371" s="4" t="n">
        <v>1600</v>
      </c>
    </row>
    <row r="19372">
      <c r="A19372" s="3" t="inlineStr">
        <is>
          <t>Butt Fushion dan Genset</t>
        </is>
      </c>
      <c r="B19372" s="3" t="inlineStr"/>
      <c r="C19372" s="3" t="inlineStr">
        <is>
          <t>hari</t>
        </is>
      </c>
      <c r="D19372" s="15" t="n">
        <v>0.067</v>
      </c>
      <c r="E19372" s="4" t="n">
        <v>2500000</v>
      </c>
      <c r="F19372" s="4" t="n">
        <v>167500</v>
      </c>
    </row>
    <row r="19373">
      <c r="D19373" s="2" t="inlineStr">
        <is>
          <t>SUBTOTAL UPAH</t>
        </is>
      </c>
      <c r="F19373" s="16" t="n">
        <v>4720</v>
      </c>
    </row>
    <row r="19374">
      <c r="D19374" s="2" t="inlineStr">
        <is>
          <t>SUBTOTAL BAHAN</t>
        </is>
      </c>
      <c r="F19374" s="16" t="n">
        <v>0</v>
      </c>
    </row>
    <row r="19375">
      <c r="D19375" s="2" t="inlineStr">
        <is>
          <t>SUBTOTAL ALAT</t>
        </is>
      </c>
      <c r="F19375" s="16" t="n">
        <v>167500</v>
      </c>
    </row>
    <row r="19376">
      <c r="E19376" s="2" t="inlineStr">
        <is>
          <t>TOTAL HARGA SATUAN (Inc. Overhead)</t>
        </is>
      </c>
      <c r="F19376" s="17" t="n">
        <v>189442</v>
      </c>
    </row>
    <row r="19378">
      <c r="A19378" s="14" t="inlineStr">
        <is>
          <t>KODE: 9.3.3.3 - Pengelasan 1 m Pipa HDPE, DN. 4” (110 mm)</t>
        </is>
      </c>
    </row>
    <row r="19379">
      <c r="A19379" s="10" t="inlineStr">
        <is>
          <t>No</t>
        </is>
      </c>
      <c r="B19379" s="10" t="inlineStr">
        <is>
          <t>Uraian Komponen</t>
        </is>
      </c>
      <c r="C19379" s="10" t="inlineStr">
        <is>
          <t>Satuan</t>
        </is>
      </c>
      <c r="D19379" s="10" t="inlineStr">
        <is>
          <t>Koef</t>
        </is>
      </c>
      <c r="E19379" s="10" t="inlineStr">
        <is>
          <t>Harga Satuan (Rp)</t>
        </is>
      </c>
      <c r="F19379" s="10" t="inlineStr">
        <is>
          <t>Jumlah Harga (Rp)</t>
        </is>
      </c>
    </row>
    <row r="19380">
      <c r="A19380" s="3" t="inlineStr">
        <is>
          <t>1</t>
        </is>
      </c>
      <c r="B19380" s="3" t="inlineStr">
        <is>
          <t>Pekerja</t>
        </is>
      </c>
      <c r="C19380" s="3" t="inlineStr">
        <is>
          <t>OH</t>
        </is>
      </c>
      <c r="D19380" s="15" t="n">
        <v>0.017</v>
      </c>
      <c r="E19380" s="4" t="n">
        <v>100000</v>
      </c>
      <c r="F19380" s="4" t="n">
        <v>1700</v>
      </c>
    </row>
    <row r="19381">
      <c r="A19381" s="3" t="inlineStr">
        <is>
          <t>2</t>
        </is>
      </c>
      <c r="B19381" s="3" t="inlineStr">
        <is>
          <t>Tukang pipa</t>
        </is>
      </c>
      <c r="C19381" s="3" t="inlineStr">
        <is>
          <t>OH</t>
        </is>
      </c>
      <c r="D19381" s="15" t="n">
        <v>0.034</v>
      </c>
      <c r="E19381" s="4" t="n">
        <v>145000</v>
      </c>
      <c r="F19381" s="4" t="n">
        <v>4930</v>
      </c>
    </row>
    <row r="19382">
      <c r="A19382" s="3" t="inlineStr">
        <is>
          <t>3</t>
        </is>
      </c>
      <c r="B19382" s="3" t="inlineStr">
        <is>
          <t>Mandor</t>
        </is>
      </c>
      <c r="C19382" s="3" t="inlineStr">
        <is>
          <t>OH</t>
        </is>
      </c>
      <c r="D19382" s="15" t="n">
        <v>0.017</v>
      </c>
      <c r="E19382" s="4" t="n">
        <v>200000</v>
      </c>
      <c r="F19382" s="4" t="n">
        <v>3400</v>
      </c>
    </row>
    <row r="19383">
      <c r="A19383" s="3" t="inlineStr">
        <is>
          <t>Butt Fushion dan Genset</t>
        </is>
      </c>
      <c r="B19383" s="3" t="inlineStr"/>
      <c r="C19383" s="3" t="inlineStr">
        <is>
          <t>hari</t>
        </is>
      </c>
      <c r="D19383" s="15" t="n">
        <v>0.137</v>
      </c>
      <c r="E19383" s="4" t="n">
        <v>2500000</v>
      </c>
      <c r="F19383" s="4" t="n">
        <v>342500</v>
      </c>
    </row>
    <row r="19384">
      <c r="D19384" s="2" t="inlineStr">
        <is>
          <t>SUBTOTAL UPAH</t>
        </is>
      </c>
      <c r="F19384" s="16" t="n">
        <v>10030</v>
      </c>
    </row>
    <row r="19385">
      <c r="D19385" s="2" t="inlineStr">
        <is>
          <t>SUBTOTAL BAHAN</t>
        </is>
      </c>
      <c r="F19385" s="16" t="n">
        <v>0</v>
      </c>
    </row>
    <row r="19386">
      <c r="D19386" s="2" t="inlineStr">
        <is>
          <t>SUBTOTAL ALAT</t>
        </is>
      </c>
      <c r="F19386" s="16" t="n">
        <v>342500</v>
      </c>
    </row>
    <row r="19387">
      <c r="E19387" s="2" t="inlineStr">
        <is>
          <t>TOTAL HARGA SATUAN (Inc. Overhead)</t>
        </is>
      </c>
      <c r="F19387" s="17" t="n">
        <v>387783</v>
      </c>
    </row>
    <row r="19389">
      <c r="A19389" s="14" t="inlineStr">
        <is>
          <t>KODE: 9.3.3.4 - Pengelasan 1 m Pipa HDPE, DN. 6” (160 mm)</t>
        </is>
      </c>
    </row>
    <row r="19390">
      <c r="A19390" s="10" t="inlineStr">
        <is>
          <t>No</t>
        </is>
      </c>
      <c r="B19390" s="10" t="inlineStr">
        <is>
          <t>Uraian Komponen</t>
        </is>
      </c>
      <c r="C19390" s="10" t="inlineStr">
        <is>
          <t>Satuan</t>
        </is>
      </c>
      <c r="D19390" s="10" t="inlineStr">
        <is>
          <t>Koef</t>
        </is>
      </c>
      <c r="E19390" s="10" t="inlineStr">
        <is>
          <t>Harga Satuan (Rp)</t>
        </is>
      </c>
      <c r="F19390" s="10" t="inlineStr">
        <is>
          <t>Jumlah Harga (Rp)</t>
        </is>
      </c>
    </row>
    <row r="19391">
      <c r="A19391" s="3" t="inlineStr">
        <is>
          <t>1</t>
        </is>
      </c>
      <c r="B19391" s="3" t="inlineStr">
        <is>
          <t>Pekerja</t>
        </is>
      </c>
      <c r="C19391" s="3" t="inlineStr">
        <is>
          <t>OH</t>
        </is>
      </c>
      <c r="D19391" s="15" t="n">
        <v>0.018</v>
      </c>
      <c r="E19391" s="4" t="n">
        <v>100000</v>
      </c>
      <c r="F19391" s="4" t="n">
        <v>1800</v>
      </c>
    </row>
    <row r="19392">
      <c r="A19392" s="3" t="inlineStr">
        <is>
          <t>2</t>
        </is>
      </c>
      <c r="B19392" s="3" t="inlineStr">
        <is>
          <t>Tukang pipa</t>
        </is>
      </c>
      <c r="C19392" s="3" t="inlineStr">
        <is>
          <t>OH</t>
        </is>
      </c>
      <c r="D19392" s="15" t="n">
        <v>0.035</v>
      </c>
      <c r="E19392" s="4" t="n">
        <v>145000</v>
      </c>
      <c r="F19392" s="4" t="n">
        <v>5075.000000000001</v>
      </c>
    </row>
    <row r="19393">
      <c r="A19393" s="3" t="inlineStr">
        <is>
          <t>3</t>
        </is>
      </c>
      <c r="B19393" s="3" t="inlineStr">
        <is>
          <t>Mandor</t>
        </is>
      </c>
      <c r="C19393" s="3" t="inlineStr">
        <is>
          <t>OH</t>
        </is>
      </c>
      <c r="D19393" s="15" t="n">
        <v>0.018</v>
      </c>
      <c r="E19393" s="4" t="n">
        <v>200000</v>
      </c>
      <c r="F19393" s="4" t="n">
        <v>3600</v>
      </c>
    </row>
    <row r="19394">
      <c r="A19394" s="3" t="inlineStr">
        <is>
          <t>Butt Fushion dan Genset</t>
        </is>
      </c>
      <c r="B19394" s="3" t="inlineStr"/>
      <c r="C19394" s="3" t="inlineStr">
        <is>
          <t>hari</t>
        </is>
      </c>
      <c r="D19394" s="15" t="n">
        <v>0.144</v>
      </c>
      <c r="E19394" s="4" t="n">
        <v>2500000</v>
      </c>
      <c r="F19394" s="4" t="n">
        <v>360000</v>
      </c>
    </row>
    <row r="19395">
      <c r="D19395" s="2" t="inlineStr">
        <is>
          <t>SUBTOTAL UPAH</t>
        </is>
      </c>
      <c r="F19395" s="16" t="n">
        <v>10475</v>
      </c>
    </row>
    <row r="19396">
      <c r="D19396" s="2" t="inlineStr">
        <is>
          <t>SUBTOTAL BAHAN</t>
        </is>
      </c>
      <c r="F19396" s="16" t="n">
        <v>0</v>
      </c>
    </row>
    <row r="19397">
      <c r="D19397" s="2" t="inlineStr">
        <is>
          <t>SUBTOTAL ALAT</t>
        </is>
      </c>
      <c r="F19397" s="16" t="n">
        <v>360000</v>
      </c>
    </row>
    <row r="19398">
      <c r="E19398" s="2" t="inlineStr">
        <is>
          <t>TOTAL HARGA SATUAN (Inc. Overhead)</t>
        </is>
      </c>
      <c r="F19398" s="17" t="n">
        <v>407522</v>
      </c>
    </row>
    <row r="19400">
      <c r="A19400" s="14" t="inlineStr">
        <is>
          <t>KODE: 9.3.3.5 - Pengelasan 1 m Pipa HDPE, DN. 8” (200 mm)</t>
        </is>
      </c>
    </row>
    <row r="19401">
      <c r="A19401" s="10" t="inlineStr">
        <is>
          <t>No</t>
        </is>
      </c>
      <c r="B19401" s="10" t="inlineStr">
        <is>
          <t>Uraian Komponen</t>
        </is>
      </c>
      <c r="C19401" s="10" t="inlineStr">
        <is>
          <t>Satuan</t>
        </is>
      </c>
      <c r="D19401" s="10" t="inlineStr">
        <is>
          <t>Koef</t>
        </is>
      </c>
      <c r="E19401" s="10" t="inlineStr">
        <is>
          <t>Harga Satuan (Rp)</t>
        </is>
      </c>
      <c r="F19401" s="10" t="inlineStr">
        <is>
          <t>Jumlah Harga (Rp)</t>
        </is>
      </c>
    </row>
    <row r="19402">
      <c r="A19402" s="3" t="inlineStr">
        <is>
          <t>1</t>
        </is>
      </c>
      <c r="B19402" s="3" t="inlineStr">
        <is>
          <t>Pekerja</t>
        </is>
      </c>
      <c r="C19402" s="3" t="inlineStr">
        <is>
          <t>OH</t>
        </is>
      </c>
      <c r="D19402" s="15" t="n">
        <v>0.022</v>
      </c>
      <c r="E19402" s="4" t="n">
        <v>100000</v>
      </c>
      <c r="F19402" s="4" t="n">
        <v>2200</v>
      </c>
    </row>
    <row r="19403">
      <c r="A19403" s="3" t="inlineStr">
        <is>
          <t>2</t>
        </is>
      </c>
      <c r="B19403" s="3" t="inlineStr">
        <is>
          <t>Tukang pipa</t>
        </is>
      </c>
      <c r="C19403" s="3" t="inlineStr">
        <is>
          <t>OH</t>
        </is>
      </c>
      <c r="D19403" s="15" t="n">
        <v>0.043</v>
      </c>
      <c r="E19403" s="4" t="n">
        <v>145000</v>
      </c>
      <c r="F19403" s="4" t="n">
        <v>6234.999999999999</v>
      </c>
    </row>
    <row r="19404">
      <c r="A19404" s="3" t="inlineStr">
        <is>
          <t>3</t>
        </is>
      </c>
      <c r="B19404" s="3" t="inlineStr">
        <is>
          <t>Mandor</t>
        </is>
      </c>
      <c r="C19404" s="3" t="inlineStr">
        <is>
          <t>OH</t>
        </is>
      </c>
      <c r="D19404" s="15" t="n">
        <v>0.022</v>
      </c>
      <c r="E19404" s="4" t="n">
        <v>200000</v>
      </c>
      <c r="F19404" s="4" t="n">
        <v>4400</v>
      </c>
    </row>
    <row r="19405">
      <c r="A19405" s="3" t="inlineStr">
        <is>
          <t>Butt Fushion dan Genset</t>
        </is>
      </c>
      <c r="B19405" s="3" t="inlineStr"/>
      <c r="C19405" s="3" t="inlineStr">
        <is>
          <t>hari</t>
        </is>
      </c>
      <c r="D19405" s="15" t="n">
        <v>0.176</v>
      </c>
      <c r="E19405" s="4" t="n">
        <v>2500000</v>
      </c>
      <c r="F19405" s="4" t="n">
        <v>440000</v>
      </c>
    </row>
    <row r="19406">
      <c r="D19406" s="2" t="inlineStr">
        <is>
          <t>SUBTOTAL UPAH</t>
        </is>
      </c>
      <c r="F19406" s="16" t="n">
        <v>12835</v>
      </c>
    </row>
    <row r="19407">
      <c r="D19407" s="2" t="inlineStr">
        <is>
          <t>SUBTOTAL BAHAN</t>
        </is>
      </c>
      <c r="F19407" s="16" t="n">
        <v>0</v>
      </c>
    </row>
    <row r="19408">
      <c r="D19408" s="2" t="inlineStr">
        <is>
          <t>SUBTOTAL ALAT</t>
        </is>
      </c>
      <c r="F19408" s="16" t="n">
        <v>440000</v>
      </c>
    </row>
    <row r="19409">
      <c r="E19409" s="2" t="inlineStr">
        <is>
          <t>TOTAL HARGA SATUAN (Inc. Overhead)</t>
        </is>
      </c>
      <c r="F19409" s="17" t="n">
        <v>498118</v>
      </c>
    </row>
    <row r="19411">
      <c r="A19411" s="14" t="inlineStr">
        <is>
          <t>KODE: 9.3.3.6 - Pengelasan 1 m Pipa HDPE, DN. 10” (250 mm)</t>
        </is>
      </c>
    </row>
    <row r="19412">
      <c r="A19412" s="10" t="inlineStr">
        <is>
          <t>No</t>
        </is>
      </c>
      <c r="B19412" s="10" t="inlineStr">
        <is>
          <t>Uraian Komponen</t>
        </is>
      </c>
      <c r="C19412" s="10" t="inlineStr">
        <is>
          <t>Satuan</t>
        </is>
      </c>
      <c r="D19412" s="10" t="inlineStr">
        <is>
          <t>Koef</t>
        </is>
      </c>
      <c r="E19412" s="10" t="inlineStr">
        <is>
          <t>Harga Satuan (Rp)</t>
        </is>
      </c>
      <c r="F19412" s="10" t="inlineStr">
        <is>
          <t>Jumlah Harga (Rp)</t>
        </is>
      </c>
    </row>
    <row r="19413">
      <c r="A19413" s="3" t="inlineStr">
        <is>
          <t>1</t>
        </is>
      </c>
      <c r="B19413" s="3" t="inlineStr">
        <is>
          <t>Pekerja</t>
        </is>
      </c>
      <c r="C19413" s="3" t="inlineStr">
        <is>
          <t>OH</t>
        </is>
      </c>
      <c r="D19413" s="15" t="n">
        <v>0.026</v>
      </c>
      <c r="E19413" s="4" t="n">
        <v>100000</v>
      </c>
      <c r="F19413" s="4" t="n">
        <v>2600</v>
      </c>
    </row>
    <row r="19414">
      <c r="A19414" s="3" t="inlineStr">
        <is>
          <t>2</t>
        </is>
      </c>
      <c r="B19414" s="3" t="inlineStr">
        <is>
          <t>Tukang pipa</t>
        </is>
      </c>
      <c r="C19414" s="3" t="inlineStr">
        <is>
          <t>OH</t>
        </is>
      </c>
      <c r="D19414" s="15" t="n">
        <v>0.052</v>
      </c>
      <c r="E19414" s="4" t="n">
        <v>145000</v>
      </c>
      <c r="F19414" s="4" t="n">
        <v>7540</v>
      </c>
    </row>
    <row r="19415">
      <c r="A19415" s="3" t="inlineStr">
        <is>
          <t>3</t>
        </is>
      </c>
      <c r="B19415" s="3" t="inlineStr">
        <is>
          <t>Mandor</t>
        </is>
      </c>
      <c r="C19415" s="3" t="inlineStr">
        <is>
          <t>OH</t>
        </is>
      </c>
      <c r="D19415" s="15" t="n">
        <v>0.026</v>
      </c>
      <c r="E19415" s="4" t="n">
        <v>200000</v>
      </c>
      <c r="F19415" s="4" t="n">
        <v>5200</v>
      </c>
    </row>
    <row r="19416">
      <c r="A19416" s="3" t="inlineStr">
        <is>
          <t>Butt Fushion dan Genset</t>
        </is>
      </c>
      <c r="B19416" s="3" t="inlineStr"/>
      <c r="C19416" s="3" t="inlineStr">
        <is>
          <t>hari</t>
        </is>
      </c>
      <c r="D19416" s="15" t="n">
        <v>0.214</v>
      </c>
      <c r="E19416" s="4" t="n">
        <v>2500000</v>
      </c>
      <c r="F19416" s="4" t="n">
        <v>535000</v>
      </c>
    </row>
    <row r="19417">
      <c r="D19417" s="2" t="inlineStr">
        <is>
          <t>SUBTOTAL UPAH</t>
        </is>
      </c>
      <c r="F19417" s="16" t="n">
        <v>15340</v>
      </c>
    </row>
    <row r="19418">
      <c r="D19418" s="2" t="inlineStr">
        <is>
          <t>SUBTOTAL BAHAN</t>
        </is>
      </c>
      <c r="F19418" s="16" t="n">
        <v>0</v>
      </c>
    </row>
    <row r="19419">
      <c r="D19419" s="2" t="inlineStr">
        <is>
          <t>SUBTOTAL ALAT</t>
        </is>
      </c>
      <c r="F19419" s="16" t="n">
        <v>535000</v>
      </c>
    </row>
    <row r="19420">
      <c r="E19420" s="2" t="inlineStr">
        <is>
          <t>TOTAL HARGA SATUAN (Inc. Overhead)</t>
        </is>
      </c>
      <c r="F19420" s="17" t="n">
        <v>605374</v>
      </c>
    </row>
    <row r="19422">
      <c r="A19422" s="14" t="inlineStr">
        <is>
          <t>KODE: 9.3.3.7 - Pengelasan 1 m Pipa HDPE, DN. 12” (315 mm)</t>
        </is>
      </c>
    </row>
    <row r="19423">
      <c r="A19423" s="10" t="inlineStr">
        <is>
          <t>No</t>
        </is>
      </c>
      <c r="B19423" s="10" t="inlineStr">
        <is>
          <t>Uraian Komponen</t>
        </is>
      </c>
      <c r="C19423" s="10" t="inlineStr">
        <is>
          <t>Satuan</t>
        </is>
      </c>
      <c r="D19423" s="10" t="inlineStr">
        <is>
          <t>Koef</t>
        </is>
      </c>
      <c r="E19423" s="10" t="inlineStr">
        <is>
          <t>Harga Satuan (Rp)</t>
        </is>
      </c>
      <c r="F19423" s="10" t="inlineStr">
        <is>
          <t>Jumlah Harga (Rp)</t>
        </is>
      </c>
    </row>
    <row r="19424">
      <c r="A19424" s="3" t="inlineStr">
        <is>
          <t>1</t>
        </is>
      </c>
      <c r="B19424" s="3" t="inlineStr">
        <is>
          <t>Pekerja</t>
        </is>
      </c>
      <c r="C19424" s="3" t="inlineStr">
        <is>
          <t>OH</t>
        </is>
      </c>
      <c r="D19424" s="15" t="n">
        <v>0.032</v>
      </c>
      <c r="E19424" s="4" t="n">
        <v>100000</v>
      </c>
      <c r="F19424" s="4" t="n">
        <v>3200</v>
      </c>
    </row>
    <row r="19425">
      <c r="A19425" s="3" t="inlineStr">
        <is>
          <t>2</t>
        </is>
      </c>
      <c r="B19425" s="3" t="inlineStr">
        <is>
          <t>Tukang pipa</t>
        </is>
      </c>
      <c r="C19425" s="3" t="inlineStr">
        <is>
          <t>OH</t>
        </is>
      </c>
      <c r="D19425" s="15" t="n">
        <v>0.065</v>
      </c>
      <c r="E19425" s="4" t="n">
        <v>145000</v>
      </c>
      <c r="F19425" s="4" t="n">
        <v>9425</v>
      </c>
    </row>
    <row r="19426">
      <c r="A19426" s="3" t="inlineStr">
        <is>
          <t>3</t>
        </is>
      </c>
      <c r="B19426" s="3" t="inlineStr">
        <is>
          <t>Mandor</t>
        </is>
      </c>
      <c r="C19426" s="3" t="inlineStr">
        <is>
          <t>OH</t>
        </is>
      </c>
      <c r="D19426" s="15" t="n">
        <v>0.032</v>
      </c>
      <c r="E19426" s="4" t="n">
        <v>200000</v>
      </c>
      <c r="F19426" s="4" t="n">
        <v>6400</v>
      </c>
    </row>
    <row r="19427">
      <c r="A19427" s="3" t="inlineStr">
        <is>
          <t>Butt Fushion dan Genset</t>
        </is>
      </c>
      <c r="B19427" s="3" t="inlineStr"/>
      <c r="C19427" s="3" t="inlineStr">
        <is>
          <t>hari</t>
        </is>
      </c>
      <c r="D19427" s="15" t="n">
        <v>0.264</v>
      </c>
      <c r="E19427" s="4" t="n">
        <v>2500000</v>
      </c>
      <c r="F19427" s="4" t="n">
        <v>660000</v>
      </c>
    </row>
    <row r="19428">
      <c r="D19428" s="2" t="inlineStr">
        <is>
          <t>SUBTOTAL UPAH</t>
        </is>
      </c>
      <c r="F19428" s="16" t="n">
        <v>19025</v>
      </c>
    </row>
    <row r="19429">
      <c r="D19429" s="2" t="inlineStr">
        <is>
          <t>SUBTOTAL BAHAN</t>
        </is>
      </c>
      <c r="F19429" s="16" t="n">
        <v>0</v>
      </c>
    </row>
    <row r="19430">
      <c r="D19430" s="2" t="inlineStr">
        <is>
          <t>SUBTOTAL ALAT</t>
        </is>
      </c>
      <c r="F19430" s="16" t="n">
        <v>660000</v>
      </c>
    </row>
    <row r="19431">
      <c r="E19431" s="2" t="inlineStr">
        <is>
          <t>TOTAL HARGA SATUAN (Inc. Overhead)</t>
        </is>
      </c>
      <c r="F19431" s="17" t="n">
        <v>746927</v>
      </c>
    </row>
    <row r="19433">
      <c r="A19433" s="14" t="inlineStr">
        <is>
          <t>KODE: 9.3.3.8 - Pengelasan 1 m Pipa HDPE, DN. 16” (400 mm)</t>
        </is>
      </c>
    </row>
    <row r="19434">
      <c r="A19434" s="10" t="inlineStr">
        <is>
          <t>No</t>
        </is>
      </c>
      <c r="B19434" s="10" t="inlineStr">
        <is>
          <t>Uraian Komponen</t>
        </is>
      </c>
      <c r="C19434" s="10" t="inlineStr">
        <is>
          <t>Satuan</t>
        </is>
      </c>
      <c r="D19434" s="10" t="inlineStr">
        <is>
          <t>Koef</t>
        </is>
      </c>
      <c r="E19434" s="10" t="inlineStr">
        <is>
          <t>Harga Satuan (Rp)</t>
        </is>
      </c>
      <c r="F19434" s="10" t="inlineStr">
        <is>
          <t>Jumlah Harga (Rp)</t>
        </is>
      </c>
    </row>
    <row r="19435">
      <c r="A19435" s="3" t="inlineStr">
        <is>
          <t>1</t>
        </is>
      </c>
      <c r="B19435" s="3" t="inlineStr">
        <is>
          <t>Pekerja</t>
        </is>
      </c>
      <c r="C19435" s="3" t="inlineStr">
        <is>
          <t>OH</t>
        </is>
      </c>
      <c r="D19435" s="15" t="n">
        <v>0.04</v>
      </c>
      <c r="E19435" s="4" t="n">
        <v>100000</v>
      </c>
      <c r="F19435" s="4" t="n">
        <v>4000</v>
      </c>
    </row>
    <row r="19436">
      <c r="A19436" s="3" t="inlineStr">
        <is>
          <t>2</t>
        </is>
      </c>
      <c r="B19436" s="3" t="inlineStr">
        <is>
          <t>Tukang pipa</t>
        </is>
      </c>
      <c r="C19436" s="3" t="inlineStr">
        <is>
          <t>OH</t>
        </is>
      </c>
      <c r="D19436" s="15" t="n">
        <v>0.08</v>
      </c>
      <c r="E19436" s="4" t="n">
        <v>145000</v>
      </c>
      <c r="F19436" s="4" t="n">
        <v>11600</v>
      </c>
    </row>
    <row r="19437">
      <c r="A19437" s="3" t="inlineStr">
        <is>
          <t>3</t>
        </is>
      </c>
      <c r="B19437" s="3" t="inlineStr">
        <is>
          <t>Mandor</t>
        </is>
      </c>
      <c r="C19437" s="3" t="inlineStr">
        <is>
          <t>OH</t>
        </is>
      </c>
      <c r="D19437" s="15" t="n">
        <v>0.04</v>
      </c>
      <c r="E19437" s="4" t="n">
        <v>200000</v>
      </c>
      <c r="F19437" s="4" t="n">
        <v>8000</v>
      </c>
    </row>
    <row r="19438">
      <c r="A19438" s="3" t="inlineStr">
        <is>
          <t>Butt Fushion dan Genset</t>
        </is>
      </c>
      <c r="B19438" s="3" t="inlineStr"/>
      <c r="C19438" s="3" t="inlineStr">
        <is>
          <t>hari</t>
        </is>
      </c>
      <c r="D19438" s="15" t="n">
        <v>0.328</v>
      </c>
      <c r="E19438" s="4" t="n">
        <v>2500000</v>
      </c>
      <c r="F19438" s="4" t="n">
        <v>820000</v>
      </c>
    </row>
    <row r="19439">
      <c r="D19439" s="2" t="inlineStr">
        <is>
          <t>SUBTOTAL UPAH</t>
        </is>
      </c>
      <c r="F19439" s="16" t="n">
        <v>23600</v>
      </c>
    </row>
    <row r="19440">
      <c r="D19440" s="2" t="inlineStr">
        <is>
          <t>SUBTOTAL BAHAN</t>
        </is>
      </c>
      <c r="F19440" s="16" t="n">
        <v>0</v>
      </c>
    </row>
    <row r="19441">
      <c r="D19441" s="2" t="inlineStr">
        <is>
          <t>SUBTOTAL ALAT</t>
        </is>
      </c>
      <c r="F19441" s="16" t="n">
        <v>820000</v>
      </c>
    </row>
    <row r="19442">
      <c r="E19442" s="2" t="inlineStr">
        <is>
          <t>TOTAL HARGA SATUAN (Inc. Overhead)</t>
        </is>
      </c>
      <c r="F19442" s="17" t="n">
        <v>927960</v>
      </c>
    </row>
    <row r="19444">
      <c r="A19444" s="14" t="inlineStr">
        <is>
          <t>KODE: 9.3.3.9 - Pengelasan 1 m Pipa HDPE, DN. 20” (500 mm)</t>
        </is>
      </c>
    </row>
    <row r="19445">
      <c r="A19445" s="10" t="inlineStr">
        <is>
          <t>No</t>
        </is>
      </c>
      <c r="B19445" s="10" t="inlineStr">
        <is>
          <t>Uraian Komponen</t>
        </is>
      </c>
      <c r="C19445" s="10" t="inlineStr">
        <is>
          <t>Satuan</t>
        </is>
      </c>
      <c r="D19445" s="10" t="inlineStr">
        <is>
          <t>Koef</t>
        </is>
      </c>
      <c r="E19445" s="10" t="inlineStr">
        <is>
          <t>Harga Satuan (Rp)</t>
        </is>
      </c>
      <c r="F19445" s="10" t="inlineStr">
        <is>
          <t>Jumlah Harga (Rp)</t>
        </is>
      </c>
    </row>
    <row r="19446">
      <c r="A19446" s="3" t="inlineStr">
        <is>
          <t>1</t>
        </is>
      </c>
      <c r="B19446" s="3" t="inlineStr">
        <is>
          <t>Pekerja</t>
        </is>
      </c>
      <c r="C19446" s="3" t="inlineStr">
        <is>
          <t>OH</t>
        </is>
      </c>
      <c r="D19446" s="15" t="n">
        <v>0.05</v>
      </c>
      <c r="E19446" s="4" t="n">
        <v>100000</v>
      </c>
      <c r="F19446" s="4" t="n">
        <v>5000</v>
      </c>
    </row>
    <row r="19447">
      <c r="A19447" s="3" t="inlineStr">
        <is>
          <t>2</t>
        </is>
      </c>
      <c r="B19447" s="3" t="inlineStr">
        <is>
          <t>Tukang pipa</t>
        </is>
      </c>
      <c r="C19447" s="3" t="inlineStr">
        <is>
          <t>OH</t>
        </is>
      </c>
      <c r="D19447" s="15" t="n">
        <v>0.1</v>
      </c>
      <c r="E19447" s="4" t="n">
        <v>145000</v>
      </c>
      <c r="F19447" s="4" t="n">
        <v>14500</v>
      </c>
    </row>
    <row r="19448">
      <c r="A19448" s="3" t="inlineStr">
        <is>
          <t>3</t>
        </is>
      </c>
      <c r="B19448" s="3" t="inlineStr">
        <is>
          <t>Mandor</t>
        </is>
      </c>
      <c r="C19448" s="3" t="inlineStr">
        <is>
          <t>OH</t>
        </is>
      </c>
      <c r="D19448" s="15" t="n">
        <v>0.05</v>
      </c>
      <c r="E19448" s="4" t="n">
        <v>200000</v>
      </c>
      <c r="F19448" s="4" t="n">
        <v>10000</v>
      </c>
    </row>
    <row r="19449">
      <c r="A19449" s="3" t="inlineStr">
        <is>
          <t>Butt Fushion dan Genset</t>
        </is>
      </c>
      <c r="B19449" s="3" t="inlineStr"/>
      <c r="C19449" s="3" t="inlineStr">
        <is>
          <t>hari</t>
        </is>
      </c>
      <c r="D19449" s="15" t="n">
        <v>0.406</v>
      </c>
      <c r="E19449" s="4" t="n">
        <v>2500000</v>
      </c>
      <c r="F19449" s="4" t="n">
        <v>1015000</v>
      </c>
    </row>
    <row r="19450">
      <c r="D19450" s="2" t="inlineStr">
        <is>
          <t>SUBTOTAL UPAH</t>
        </is>
      </c>
      <c r="F19450" s="16" t="n">
        <v>29500</v>
      </c>
    </row>
    <row r="19451">
      <c r="D19451" s="2" t="inlineStr">
        <is>
          <t>SUBTOTAL BAHAN</t>
        </is>
      </c>
      <c r="F19451" s="16" t="n">
        <v>0</v>
      </c>
    </row>
    <row r="19452">
      <c r="D19452" s="2" t="inlineStr">
        <is>
          <t>SUBTOTAL ALAT</t>
        </is>
      </c>
      <c r="F19452" s="16" t="n">
        <v>1015000</v>
      </c>
    </row>
    <row r="19453">
      <c r="E19453" s="2" t="inlineStr">
        <is>
          <t>TOTAL HARGA SATUAN (Inc. Overhead)</t>
        </is>
      </c>
      <c r="F19453" s="17" t="n">
        <v>1148950</v>
      </c>
    </row>
    <row r="19455">
      <c r="A19455" s="14" t="inlineStr">
        <is>
          <t>KODE: 9.3.3.10 - Pengelasan 1 m Pipa HDPE, DN. 24” (600 mm)</t>
        </is>
      </c>
    </row>
    <row r="19456">
      <c r="A19456" s="10" t="inlineStr">
        <is>
          <t>No</t>
        </is>
      </c>
      <c r="B19456" s="10" t="inlineStr">
        <is>
          <t>Uraian Komponen</t>
        </is>
      </c>
      <c r="C19456" s="10" t="inlineStr">
        <is>
          <t>Satuan</t>
        </is>
      </c>
      <c r="D19456" s="10" t="inlineStr">
        <is>
          <t>Koef</t>
        </is>
      </c>
      <c r="E19456" s="10" t="inlineStr">
        <is>
          <t>Harga Satuan (Rp)</t>
        </is>
      </c>
      <c r="F19456" s="10" t="inlineStr">
        <is>
          <t>Jumlah Harga (Rp)</t>
        </is>
      </c>
    </row>
    <row r="19457">
      <c r="A19457" s="3" t="inlineStr">
        <is>
          <t>1</t>
        </is>
      </c>
      <c r="B19457" s="3" t="inlineStr">
        <is>
          <t>Pekerja</t>
        </is>
      </c>
      <c r="C19457" s="3" t="inlineStr">
        <is>
          <t>OH</t>
        </is>
      </c>
      <c r="D19457" s="15" t="n">
        <v>0.062</v>
      </c>
      <c r="E19457" s="4" t="n">
        <v>100000</v>
      </c>
      <c r="F19457" s="4" t="n">
        <v>6200</v>
      </c>
    </row>
    <row r="19458">
      <c r="A19458" s="3" t="inlineStr">
        <is>
          <t>2</t>
        </is>
      </c>
      <c r="B19458" s="3" t="inlineStr">
        <is>
          <t>Tukang pipa</t>
        </is>
      </c>
      <c r="C19458" s="3" t="inlineStr">
        <is>
          <t>OH</t>
        </is>
      </c>
      <c r="D19458" s="15" t="n">
        <v>0.124</v>
      </c>
      <c r="E19458" s="4" t="n">
        <v>145000</v>
      </c>
      <c r="F19458" s="4" t="n">
        <v>17980</v>
      </c>
    </row>
    <row r="19459">
      <c r="A19459" s="3" t="inlineStr">
        <is>
          <t>3</t>
        </is>
      </c>
      <c r="B19459" s="3" t="inlineStr">
        <is>
          <t>Mandor</t>
        </is>
      </c>
      <c r="C19459" s="3" t="inlineStr">
        <is>
          <t>OH</t>
        </is>
      </c>
      <c r="D19459" s="15" t="n">
        <v>0.062</v>
      </c>
      <c r="E19459" s="4" t="n">
        <v>200000</v>
      </c>
      <c r="F19459" s="4" t="n">
        <v>12400</v>
      </c>
    </row>
    <row r="19460">
      <c r="A19460" s="3" t="inlineStr">
        <is>
          <t>Butt Fushion dan Genset</t>
        </is>
      </c>
      <c r="B19460" s="3" t="inlineStr"/>
      <c r="C19460" s="3" t="inlineStr">
        <is>
          <t>hari</t>
        </is>
      </c>
      <c r="D19460" s="15" t="n">
        <v>0.508</v>
      </c>
      <c r="E19460" s="4" t="n">
        <v>2500000</v>
      </c>
      <c r="F19460" s="4" t="n">
        <v>1270000</v>
      </c>
    </row>
    <row r="19461">
      <c r="D19461" s="2" t="inlineStr">
        <is>
          <t>SUBTOTAL UPAH</t>
        </is>
      </c>
      <c r="F19461" s="16" t="n">
        <v>36580</v>
      </c>
    </row>
    <row r="19462">
      <c r="D19462" s="2" t="inlineStr">
        <is>
          <t>SUBTOTAL BAHAN</t>
        </is>
      </c>
      <c r="F19462" s="16" t="n">
        <v>0</v>
      </c>
    </row>
    <row r="19463">
      <c r="D19463" s="2" t="inlineStr">
        <is>
          <t>SUBTOTAL ALAT</t>
        </is>
      </c>
      <c r="F19463" s="16" t="n">
        <v>1270000</v>
      </c>
    </row>
    <row r="19464">
      <c r="E19464" s="2" t="inlineStr">
        <is>
          <t>TOTAL HARGA SATUAN (Inc. Overhead)</t>
        </is>
      </c>
      <c r="F19464" s="17" t="n">
        <v>1437238</v>
      </c>
    </row>
    <row r="19466">
      <c r="A19466" s="14" t="inlineStr">
        <is>
          <t>KODE: 9.3.3.11 - Pengelasan 1 m Pipa HDPE, DN. 28” (700 mm)</t>
        </is>
      </c>
    </row>
    <row r="19467">
      <c r="A19467" s="10" t="inlineStr">
        <is>
          <t>No</t>
        </is>
      </c>
      <c r="B19467" s="10" t="inlineStr">
        <is>
          <t>Uraian Komponen</t>
        </is>
      </c>
      <c r="C19467" s="10" t="inlineStr">
        <is>
          <t>Satuan</t>
        </is>
      </c>
      <c r="D19467" s="10" t="inlineStr">
        <is>
          <t>Koef</t>
        </is>
      </c>
      <c r="E19467" s="10" t="inlineStr">
        <is>
          <t>Harga Satuan (Rp)</t>
        </is>
      </c>
      <c r="F19467" s="10" t="inlineStr">
        <is>
          <t>Jumlah Harga (Rp)</t>
        </is>
      </c>
    </row>
    <row r="19468">
      <c r="A19468" s="3" t="inlineStr">
        <is>
          <t>1</t>
        </is>
      </c>
      <c r="B19468" s="3" t="inlineStr">
        <is>
          <t>Pekerja</t>
        </is>
      </c>
      <c r="C19468" s="3" t="inlineStr">
        <is>
          <t>OH</t>
        </is>
      </c>
      <c r="D19468" s="15" t="n">
        <v>0.075</v>
      </c>
      <c r="E19468" s="4" t="n">
        <v>100000</v>
      </c>
      <c r="F19468" s="4" t="n">
        <v>7500</v>
      </c>
    </row>
    <row r="19469">
      <c r="A19469" s="3" t="inlineStr">
        <is>
          <t>2</t>
        </is>
      </c>
      <c r="B19469" s="3" t="inlineStr">
        <is>
          <t>Tukang pipa</t>
        </is>
      </c>
      <c r="C19469" s="3" t="inlineStr">
        <is>
          <t>OH</t>
        </is>
      </c>
      <c r="D19469" s="15" t="n">
        <v>0.15</v>
      </c>
      <c r="E19469" s="4" t="n">
        <v>145000</v>
      </c>
      <c r="F19469" s="4" t="n">
        <v>21750</v>
      </c>
    </row>
    <row r="19470">
      <c r="A19470" s="3" t="inlineStr">
        <is>
          <t>3</t>
        </is>
      </c>
      <c r="B19470" s="3" t="inlineStr">
        <is>
          <t>Mandor</t>
        </is>
      </c>
      <c r="C19470" s="3" t="inlineStr">
        <is>
          <t>OH</t>
        </is>
      </c>
      <c r="D19470" s="15" t="n">
        <v>0.075</v>
      </c>
      <c r="E19470" s="4" t="n">
        <v>200000</v>
      </c>
      <c r="F19470" s="4" t="n">
        <v>15000</v>
      </c>
    </row>
    <row r="19471">
      <c r="A19471" s="3" t="inlineStr">
        <is>
          <t>Butt Fushion dan Genset</t>
        </is>
      </c>
      <c r="B19471" s="3" t="inlineStr"/>
      <c r="C19471" s="3" t="inlineStr">
        <is>
          <t>hari</t>
        </is>
      </c>
      <c r="D19471" s="15" t="n">
        <v>0.614</v>
      </c>
      <c r="E19471" s="4" t="n">
        <v>2500000</v>
      </c>
      <c r="F19471" s="4" t="n">
        <v>1535000</v>
      </c>
    </row>
    <row r="19472">
      <c r="D19472" s="2" t="inlineStr">
        <is>
          <t>SUBTOTAL UPAH</t>
        </is>
      </c>
      <c r="F19472" s="16" t="n">
        <v>44250</v>
      </c>
    </row>
    <row r="19473">
      <c r="D19473" s="2" t="inlineStr">
        <is>
          <t>SUBTOTAL BAHAN</t>
        </is>
      </c>
      <c r="F19473" s="16" t="n">
        <v>0</v>
      </c>
    </row>
    <row r="19474">
      <c r="D19474" s="2" t="inlineStr">
        <is>
          <t>SUBTOTAL ALAT</t>
        </is>
      </c>
      <c r="F19474" s="16" t="n">
        <v>1535000</v>
      </c>
    </row>
    <row r="19475">
      <c r="E19475" s="2" t="inlineStr">
        <is>
          <t>TOTAL HARGA SATUAN (Inc. Overhead)</t>
        </is>
      </c>
      <c r="F19475" s="17" t="n">
        <v>1737175</v>
      </c>
    </row>
    <row r="19477">
      <c r="A19477" s="14" t="inlineStr">
        <is>
          <t>KODE: 9.3.3.12 - Pengelasan 1 m Pipa HDPE, DN. 30” (800 mm)</t>
        </is>
      </c>
    </row>
    <row r="19478">
      <c r="A19478" s="10" t="inlineStr">
        <is>
          <t>No</t>
        </is>
      </c>
      <c r="B19478" s="10" t="inlineStr">
        <is>
          <t>Uraian Komponen</t>
        </is>
      </c>
      <c r="C19478" s="10" t="inlineStr">
        <is>
          <t>Satuan</t>
        </is>
      </c>
      <c r="D19478" s="10" t="inlineStr">
        <is>
          <t>Koef</t>
        </is>
      </c>
      <c r="E19478" s="10" t="inlineStr">
        <is>
          <t>Harga Satuan (Rp)</t>
        </is>
      </c>
      <c r="F19478" s="10" t="inlineStr">
        <is>
          <t>Jumlah Harga (Rp)</t>
        </is>
      </c>
    </row>
    <row r="19479">
      <c r="A19479" s="3" t="inlineStr">
        <is>
          <t>1</t>
        </is>
      </c>
      <c r="B19479" s="3" t="inlineStr">
        <is>
          <t>Pekerja</t>
        </is>
      </c>
      <c r="C19479" s="3" t="inlineStr">
        <is>
          <t>OH</t>
        </is>
      </c>
      <c r="D19479" s="15" t="n">
        <v>0.08699999999999999</v>
      </c>
      <c r="E19479" s="4" t="n">
        <v>100000</v>
      </c>
      <c r="F19479" s="4" t="n">
        <v>8700</v>
      </c>
    </row>
    <row r="19480">
      <c r="A19480" s="3" t="inlineStr">
        <is>
          <t>2</t>
        </is>
      </c>
      <c r="B19480" s="3" t="inlineStr">
        <is>
          <t>Tukang pipa</t>
        </is>
      </c>
      <c r="C19480" s="3" t="inlineStr">
        <is>
          <t>OH</t>
        </is>
      </c>
      <c r="D19480" s="15" t="n">
        <v>0.174</v>
      </c>
      <c r="E19480" s="4" t="n">
        <v>145000</v>
      </c>
      <c r="F19480" s="4" t="n">
        <v>25230</v>
      </c>
    </row>
    <row r="19481">
      <c r="A19481" s="3" t="inlineStr">
        <is>
          <t>3</t>
        </is>
      </c>
      <c r="B19481" s="3" t="inlineStr">
        <is>
          <t>Mandor</t>
        </is>
      </c>
      <c r="C19481" s="3" t="inlineStr">
        <is>
          <t>OH</t>
        </is>
      </c>
      <c r="D19481" s="15" t="n">
        <v>0.08699999999999999</v>
      </c>
      <c r="E19481" s="4" t="n">
        <v>200000</v>
      </c>
      <c r="F19481" s="4" t="n">
        <v>17400</v>
      </c>
    </row>
    <row r="19482">
      <c r="A19482" s="3" t="inlineStr">
        <is>
          <t>Butt Fushion dan Genset</t>
        </is>
      </c>
      <c r="B19482" s="3" t="inlineStr"/>
      <c r="C19482" s="3" t="inlineStr">
        <is>
          <t>hari</t>
        </is>
      </c>
      <c r="D19482" s="15" t="n">
        <v>0.711</v>
      </c>
      <c r="E19482" s="4" t="n">
        <v>2500000</v>
      </c>
      <c r="F19482" s="4" t="n">
        <v>1777500</v>
      </c>
    </row>
    <row r="19483">
      <c r="D19483" s="2" t="inlineStr">
        <is>
          <t>SUBTOTAL UPAH</t>
        </is>
      </c>
      <c r="F19483" s="16" t="n">
        <v>51330</v>
      </c>
    </row>
    <row r="19484">
      <c r="D19484" s="2" t="inlineStr">
        <is>
          <t>SUBTOTAL BAHAN</t>
        </is>
      </c>
      <c r="F19484" s="16" t="n">
        <v>0</v>
      </c>
    </row>
    <row r="19485">
      <c r="D19485" s="2" t="inlineStr">
        <is>
          <t>SUBTOTAL ALAT</t>
        </is>
      </c>
      <c r="F19485" s="16" t="n">
        <v>1777500</v>
      </c>
    </row>
    <row r="19486">
      <c r="E19486" s="2" t="inlineStr">
        <is>
          <t>TOTAL HARGA SATUAN (Inc. Overhead)</t>
        </is>
      </c>
      <c r="F19486" s="17" t="n">
        <v>2011713</v>
      </c>
    </row>
    <row r="19488">
      <c r="A19488" s="14" t="inlineStr">
        <is>
          <t>KODE: 9.3.3.13 - Pengelasan 1 m Pipa HDPE, DN. 35” (900 mm)</t>
        </is>
      </c>
    </row>
    <row r="19489">
      <c r="A19489" s="10" t="inlineStr">
        <is>
          <t>No</t>
        </is>
      </c>
      <c r="B19489" s="10" t="inlineStr">
        <is>
          <t>Uraian Komponen</t>
        </is>
      </c>
      <c r="C19489" s="10" t="inlineStr">
        <is>
          <t>Satuan</t>
        </is>
      </c>
      <c r="D19489" s="10" t="inlineStr">
        <is>
          <t>Koef</t>
        </is>
      </c>
      <c r="E19489" s="10" t="inlineStr">
        <is>
          <t>Harga Satuan (Rp)</t>
        </is>
      </c>
      <c r="F19489" s="10" t="inlineStr">
        <is>
          <t>Jumlah Harga (Rp)</t>
        </is>
      </c>
    </row>
    <row r="19490">
      <c r="A19490" s="3" t="inlineStr">
        <is>
          <t>1</t>
        </is>
      </c>
      <c r="B19490" s="3" t="inlineStr">
        <is>
          <t>Pekerja</t>
        </is>
      </c>
      <c r="C19490" s="3" t="inlineStr">
        <is>
          <t>OH</t>
        </is>
      </c>
      <c r="D19490" s="15" t="n">
        <v>0.099</v>
      </c>
      <c r="E19490" s="4" t="n">
        <v>100000</v>
      </c>
      <c r="F19490" s="4" t="n">
        <v>9900</v>
      </c>
    </row>
    <row r="19491">
      <c r="A19491" s="3" t="inlineStr">
        <is>
          <t>2</t>
        </is>
      </c>
      <c r="B19491" s="3" t="inlineStr">
        <is>
          <t>Tukang pipa</t>
        </is>
      </c>
      <c r="C19491" s="3" t="inlineStr">
        <is>
          <t>OH</t>
        </is>
      </c>
      <c r="D19491" s="15" t="n">
        <v>0.198</v>
      </c>
      <c r="E19491" s="4" t="n">
        <v>145000</v>
      </c>
      <c r="F19491" s="4" t="n">
        <v>28710</v>
      </c>
    </row>
    <row r="19492">
      <c r="A19492" s="3" t="inlineStr">
        <is>
          <t>3</t>
        </is>
      </c>
      <c r="B19492" s="3" t="inlineStr">
        <is>
          <t>Mandor</t>
        </is>
      </c>
      <c r="C19492" s="3" t="inlineStr">
        <is>
          <t>OH</t>
        </is>
      </c>
      <c r="D19492" s="15" t="n">
        <v>0.099</v>
      </c>
      <c r="E19492" s="4" t="n">
        <v>200000</v>
      </c>
      <c r="F19492" s="4" t="n">
        <v>19800</v>
      </c>
    </row>
    <row r="19493">
      <c r="A19493" s="3" t="inlineStr">
        <is>
          <t>Butt Fushion dan Genset</t>
        </is>
      </c>
      <c r="B19493" s="3" t="inlineStr"/>
      <c r="C19493" s="3" t="inlineStr">
        <is>
          <t>hari</t>
        </is>
      </c>
      <c r="D19493" s="15" t="n">
        <v>0.8080000000000001</v>
      </c>
      <c r="E19493" s="4" t="n">
        <v>2500000</v>
      </c>
      <c r="F19493" s="4" t="n">
        <v>2020000</v>
      </c>
    </row>
    <row r="19494">
      <c r="D19494" s="2" t="inlineStr">
        <is>
          <t>SUBTOTAL UPAH</t>
        </is>
      </c>
      <c r="F19494" s="16" t="n">
        <v>58410</v>
      </c>
    </row>
    <row r="19495">
      <c r="D19495" s="2" t="inlineStr">
        <is>
          <t>SUBTOTAL BAHAN</t>
        </is>
      </c>
      <c r="F19495" s="16" t="n">
        <v>0</v>
      </c>
    </row>
    <row r="19496">
      <c r="D19496" s="2" t="inlineStr">
        <is>
          <t>SUBTOTAL ALAT</t>
        </is>
      </c>
      <c r="F19496" s="16" t="n">
        <v>2020000</v>
      </c>
    </row>
    <row r="19497">
      <c r="E19497" s="2" t="inlineStr">
        <is>
          <t>TOTAL HARGA SATUAN (Inc. Overhead)</t>
        </is>
      </c>
      <c r="F19497" s="17" t="n">
        <v>2286251</v>
      </c>
    </row>
    <row r="19499">
      <c r="A19499" s="14" t="inlineStr">
        <is>
          <t>KODE: 9.3.3.14 - Pengelasan 1 m Pipa HDPE, DN. 40” (1000 mm)</t>
        </is>
      </c>
    </row>
    <row r="19500">
      <c r="A19500" s="10" t="inlineStr">
        <is>
          <t>No</t>
        </is>
      </c>
      <c r="B19500" s="10" t="inlineStr">
        <is>
          <t>Uraian Komponen</t>
        </is>
      </c>
      <c r="C19500" s="10" t="inlineStr">
        <is>
          <t>Satuan</t>
        </is>
      </c>
      <c r="D19500" s="10" t="inlineStr">
        <is>
          <t>Koef</t>
        </is>
      </c>
      <c r="E19500" s="10" t="inlineStr">
        <is>
          <t>Harga Satuan (Rp)</t>
        </is>
      </c>
      <c r="F19500" s="10" t="inlineStr">
        <is>
          <t>Jumlah Harga (Rp)</t>
        </is>
      </c>
    </row>
    <row r="19501">
      <c r="A19501" s="3" t="inlineStr">
        <is>
          <t>1</t>
        </is>
      </c>
      <c r="B19501" s="3" t="inlineStr">
        <is>
          <t>Pekerja</t>
        </is>
      </c>
      <c r="C19501" s="3" t="inlineStr">
        <is>
          <t>OH</t>
        </is>
      </c>
      <c r="D19501" s="15" t="n">
        <v>0.111</v>
      </c>
      <c r="E19501" s="4" t="n">
        <v>100000</v>
      </c>
      <c r="F19501" s="4" t="n">
        <v>11100</v>
      </c>
    </row>
    <row r="19502">
      <c r="A19502" s="3" t="inlineStr">
        <is>
          <t>2</t>
        </is>
      </c>
      <c r="B19502" s="3" t="inlineStr">
        <is>
          <t>Tukang pipa</t>
        </is>
      </c>
      <c r="C19502" s="3" t="inlineStr">
        <is>
          <t>OH</t>
        </is>
      </c>
      <c r="D19502" s="15" t="n">
        <v>0.222</v>
      </c>
      <c r="E19502" s="4" t="n">
        <v>145000</v>
      </c>
      <c r="F19502" s="4" t="n">
        <v>32190</v>
      </c>
    </row>
    <row r="19503">
      <c r="A19503" s="3" t="inlineStr">
        <is>
          <t>3</t>
        </is>
      </c>
      <c r="B19503" s="3" t="inlineStr">
        <is>
          <t>Mandor</t>
        </is>
      </c>
      <c r="C19503" s="3" t="inlineStr">
        <is>
          <t>OH</t>
        </is>
      </c>
      <c r="D19503" s="15" t="n">
        <v>0.111</v>
      </c>
      <c r="E19503" s="4" t="n">
        <v>200000</v>
      </c>
      <c r="F19503" s="4" t="n">
        <v>22200</v>
      </c>
    </row>
    <row r="19504">
      <c r="A19504" s="3" t="inlineStr">
        <is>
          <t>Butt Fushion dan Genset</t>
        </is>
      </c>
      <c r="B19504" s="3" t="inlineStr"/>
      <c r="C19504" s="3" t="inlineStr">
        <is>
          <t>hari</t>
        </is>
      </c>
      <c r="D19504" s="15" t="n">
        <v>0.905</v>
      </c>
      <c r="E19504" s="4" t="n">
        <v>2500000</v>
      </c>
      <c r="F19504" s="4" t="n">
        <v>2262500</v>
      </c>
    </row>
    <row r="19505">
      <c r="D19505" s="2" t="inlineStr">
        <is>
          <t>SUBTOTAL UPAH</t>
        </is>
      </c>
      <c r="F19505" s="16" t="n">
        <v>65490</v>
      </c>
    </row>
    <row r="19506">
      <c r="D19506" s="2" t="inlineStr">
        <is>
          <t>SUBTOTAL BAHAN</t>
        </is>
      </c>
      <c r="F19506" s="16" t="n">
        <v>0</v>
      </c>
    </row>
    <row r="19507">
      <c r="D19507" s="2" t="inlineStr">
        <is>
          <t>SUBTOTAL ALAT</t>
        </is>
      </c>
      <c r="F19507" s="16" t="n">
        <v>2262500</v>
      </c>
    </row>
    <row r="19508">
      <c r="E19508" s="2" t="inlineStr">
        <is>
          <t>TOTAL HARGA SATUAN (Inc. Overhead)</t>
        </is>
      </c>
      <c r="F19508" s="17" t="n">
        <v>2560789</v>
      </c>
    </row>
    <row r="19510">
      <c r="A19510" s="14" t="inlineStr">
        <is>
          <t>KODE: 9.3.3.15 - Pengelasan 1 m Pipa HDPE, DN. 45” (1100 mm)</t>
        </is>
      </c>
    </row>
    <row r="19511">
      <c r="A19511" s="10" t="inlineStr">
        <is>
          <t>No</t>
        </is>
      </c>
      <c r="B19511" s="10" t="inlineStr">
        <is>
          <t>Uraian Komponen</t>
        </is>
      </c>
      <c r="C19511" s="10" t="inlineStr">
        <is>
          <t>Satuan</t>
        </is>
      </c>
      <c r="D19511" s="10" t="inlineStr">
        <is>
          <t>Koef</t>
        </is>
      </c>
      <c r="E19511" s="10" t="inlineStr">
        <is>
          <t>Harga Satuan (Rp)</t>
        </is>
      </c>
      <c r="F19511" s="10" t="inlineStr">
        <is>
          <t>Jumlah Harga (Rp)</t>
        </is>
      </c>
    </row>
    <row r="19512">
      <c r="A19512" s="3" t="inlineStr">
        <is>
          <t>1</t>
        </is>
      </c>
      <c r="B19512" s="3" t="inlineStr">
        <is>
          <t>Pekerja</t>
        </is>
      </c>
      <c r="C19512" s="3" t="inlineStr">
        <is>
          <t>OH</t>
        </is>
      </c>
      <c r="D19512" s="15" t="n">
        <v>0.123</v>
      </c>
      <c r="E19512" s="4" t="n">
        <v>100000</v>
      </c>
      <c r="F19512" s="4" t="n">
        <v>12300</v>
      </c>
    </row>
    <row r="19513">
      <c r="A19513" s="3" t="inlineStr">
        <is>
          <t>2</t>
        </is>
      </c>
      <c r="B19513" s="3" t="inlineStr">
        <is>
          <t>Tukang pipa</t>
        </is>
      </c>
      <c r="C19513" s="3" t="inlineStr">
        <is>
          <t>OH</t>
        </is>
      </c>
      <c r="D19513" s="15" t="n">
        <v>0.246</v>
      </c>
      <c r="E19513" s="4" t="n">
        <v>145000</v>
      </c>
      <c r="F19513" s="4" t="n">
        <v>35670</v>
      </c>
    </row>
    <row r="19514">
      <c r="A19514" s="3" t="inlineStr">
        <is>
          <t>3</t>
        </is>
      </c>
      <c r="B19514" s="3" t="inlineStr">
        <is>
          <t>Mandor</t>
        </is>
      </c>
      <c r="C19514" s="3" t="inlineStr">
        <is>
          <t>OH</t>
        </is>
      </c>
      <c r="D19514" s="15" t="n">
        <v>0.123</v>
      </c>
      <c r="E19514" s="4" t="n">
        <v>200000</v>
      </c>
      <c r="F19514" s="4" t="n">
        <v>24600</v>
      </c>
    </row>
    <row r="19515">
      <c r="A19515" s="3" t="inlineStr">
        <is>
          <t>Butt Fushion dan Genset</t>
        </is>
      </c>
      <c r="B19515" s="3" t="inlineStr"/>
      <c r="C19515" s="3" t="inlineStr">
        <is>
          <t>hari</t>
        </is>
      </c>
      <c r="D19515" s="15" t="n">
        <v>1.002</v>
      </c>
      <c r="E19515" s="4" t="n">
        <v>2500000</v>
      </c>
      <c r="F19515" s="4" t="n">
        <v>2505000</v>
      </c>
    </row>
    <row r="19516">
      <c r="D19516" s="2" t="inlineStr">
        <is>
          <t>SUBTOTAL UPAH</t>
        </is>
      </c>
      <c r="F19516" s="16" t="n">
        <v>72570</v>
      </c>
    </row>
    <row r="19517">
      <c r="D19517" s="2" t="inlineStr">
        <is>
          <t>SUBTOTAL BAHAN</t>
        </is>
      </c>
      <c r="F19517" s="16" t="n">
        <v>0</v>
      </c>
    </row>
    <row r="19518">
      <c r="D19518" s="2" t="inlineStr">
        <is>
          <t>SUBTOTAL ALAT</t>
        </is>
      </c>
      <c r="F19518" s="16" t="n">
        <v>2505000</v>
      </c>
    </row>
    <row r="19519">
      <c r="E19519" s="2" t="inlineStr">
        <is>
          <t>TOTAL HARGA SATUAN (Inc. Overhead)</t>
        </is>
      </c>
      <c r="F19519" s="17" t="n">
        <v>2835327</v>
      </c>
    </row>
    <row r="19521">
      <c r="A19521" s="14" t="inlineStr">
        <is>
          <t>KODE: 9.3.3.16 - Pengelasan 1 m Pipa HDPE, DN. 48” (1200 mm)</t>
        </is>
      </c>
    </row>
    <row r="19522">
      <c r="A19522" s="10" t="inlineStr">
        <is>
          <t>No</t>
        </is>
      </c>
      <c r="B19522" s="10" t="inlineStr">
        <is>
          <t>Uraian Komponen</t>
        </is>
      </c>
      <c r="C19522" s="10" t="inlineStr">
        <is>
          <t>Satuan</t>
        </is>
      </c>
      <c r="D19522" s="10" t="inlineStr">
        <is>
          <t>Koef</t>
        </is>
      </c>
      <c r="E19522" s="10" t="inlineStr">
        <is>
          <t>Harga Satuan (Rp)</t>
        </is>
      </c>
      <c r="F19522" s="10" t="inlineStr">
        <is>
          <t>Jumlah Harga (Rp)</t>
        </is>
      </c>
    </row>
    <row r="19523">
      <c r="A19523" s="3" t="inlineStr">
        <is>
          <t>1</t>
        </is>
      </c>
      <c r="B19523" s="3" t="inlineStr">
        <is>
          <t>Pekerja</t>
        </is>
      </c>
      <c r="C19523" s="3" t="inlineStr">
        <is>
          <t>OH</t>
        </is>
      </c>
      <c r="D19523" s="15" t="n">
        <v>0.135</v>
      </c>
      <c r="E19523" s="4" t="n">
        <v>100000</v>
      </c>
      <c r="F19523" s="4" t="n">
        <v>13500</v>
      </c>
    </row>
    <row r="19524">
      <c r="A19524" s="3" t="inlineStr">
        <is>
          <t>2</t>
        </is>
      </c>
      <c r="B19524" s="3" t="inlineStr">
        <is>
          <t>Tukang pipa</t>
        </is>
      </c>
      <c r="C19524" s="3" t="inlineStr">
        <is>
          <t>OH</t>
        </is>
      </c>
      <c r="D19524" s="15" t="n">
        <v>0.269</v>
      </c>
      <c r="E19524" s="4" t="n">
        <v>145000</v>
      </c>
      <c r="F19524" s="4" t="n">
        <v>39005</v>
      </c>
    </row>
    <row r="19525">
      <c r="A19525" s="3" t="inlineStr">
        <is>
          <t>3</t>
        </is>
      </c>
      <c r="B19525" s="3" t="inlineStr">
        <is>
          <t>Mandor</t>
        </is>
      </c>
      <c r="C19525" s="3" t="inlineStr">
        <is>
          <t>OH</t>
        </is>
      </c>
      <c r="D19525" s="15" t="n">
        <v>0.135</v>
      </c>
      <c r="E19525" s="4" t="n">
        <v>200000</v>
      </c>
      <c r="F19525" s="4" t="n">
        <v>27000</v>
      </c>
    </row>
    <row r="19526">
      <c r="A19526" s="3" t="inlineStr">
        <is>
          <t>Butt Fushion dan Genset</t>
        </is>
      </c>
      <c r="B19526" s="3" t="inlineStr"/>
      <c r="C19526" s="3" t="inlineStr">
        <is>
          <t>hari</t>
        </is>
      </c>
      <c r="D19526" s="15" t="n">
        <v>1.1</v>
      </c>
      <c r="E19526" s="4" t="n">
        <v>2500000</v>
      </c>
      <c r="F19526" s="4" t="n">
        <v>2750000</v>
      </c>
    </row>
    <row r="19527">
      <c r="D19527" s="2" t="inlineStr">
        <is>
          <t>SUBTOTAL UPAH</t>
        </is>
      </c>
      <c r="F19527" s="16" t="n">
        <v>79505</v>
      </c>
    </row>
    <row r="19528">
      <c r="D19528" s="2" t="inlineStr">
        <is>
          <t>SUBTOTAL BAHAN</t>
        </is>
      </c>
      <c r="F19528" s="16" t="n">
        <v>0</v>
      </c>
    </row>
    <row r="19529">
      <c r="D19529" s="2" t="inlineStr">
        <is>
          <t>SUBTOTAL ALAT</t>
        </is>
      </c>
      <c r="F19529" s="16" t="n">
        <v>2750000</v>
      </c>
    </row>
    <row r="19530">
      <c r="E19530" s="2" t="inlineStr">
        <is>
          <t>TOTAL HARGA SATUAN (Inc. Overhead)</t>
        </is>
      </c>
      <c r="F19530" s="17" t="n">
        <v>3112455</v>
      </c>
    </row>
    <row r="19532">
      <c r="A19532" s="14" t="inlineStr">
        <is>
          <t>KODE: 9.4.1.1 - Pemasangan 1 m Pipa DCI, DN. 4" (100 mm)</t>
        </is>
      </c>
    </row>
    <row r="19533">
      <c r="A19533" s="10" t="inlineStr">
        <is>
          <t>No</t>
        </is>
      </c>
      <c r="B19533" s="10" t="inlineStr">
        <is>
          <t>Uraian Komponen</t>
        </is>
      </c>
      <c r="C19533" s="10" t="inlineStr">
        <is>
          <t>Satuan</t>
        </is>
      </c>
      <c r="D19533" s="10" t="inlineStr">
        <is>
          <t>Koef</t>
        </is>
      </c>
      <c r="E19533" s="10" t="inlineStr">
        <is>
          <t>Harga Satuan (Rp)</t>
        </is>
      </c>
      <c r="F19533" s="10" t="inlineStr">
        <is>
          <t>Jumlah Harga (Rp)</t>
        </is>
      </c>
    </row>
    <row r="19534">
      <c r="A19534" s="3" t="inlineStr">
        <is>
          <t>1</t>
        </is>
      </c>
      <c r="B19534" s="3" t="inlineStr">
        <is>
          <t>Pekerja</t>
        </is>
      </c>
      <c r="C19534" s="3" t="inlineStr">
        <is>
          <t>OH</t>
        </is>
      </c>
      <c r="D19534" s="15" t="n">
        <v>0.489</v>
      </c>
      <c r="E19534" s="4" t="n">
        <v>100000</v>
      </c>
      <c r="F19534" s="4" t="n">
        <v>48900</v>
      </c>
    </row>
    <row r="19535">
      <c r="A19535" s="3" t="inlineStr">
        <is>
          <t>2</t>
        </is>
      </c>
      <c r="B19535" s="3" t="inlineStr">
        <is>
          <t>Tukang pipa</t>
        </is>
      </c>
      <c r="C19535" s="3" t="inlineStr">
        <is>
          <t>OH</t>
        </is>
      </c>
      <c r="D19535" s="15" t="n">
        <v>0.098</v>
      </c>
      <c r="E19535" s="4" t="n">
        <v>145000</v>
      </c>
      <c r="F19535" s="4" t="n">
        <v>14210</v>
      </c>
    </row>
    <row r="19536">
      <c r="A19536" s="3" t="inlineStr">
        <is>
          <t>3</t>
        </is>
      </c>
      <c r="B19536" s="3" t="inlineStr">
        <is>
          <t>Mandor</t>
        </is>
      </c>
      <c r="C19536" s="3" t="inlineStr">
        <is>
          <t>OH</t>
        </is>
      </c>
      <c r="D19536" s="15" t="n">
        <v>0.049</v>
      </c>
      <c r="E19536" s="4" t="n">
        <v>200000</v>
      </c>
      <c r="F19536" s="4" t="n">
        <v>9800</v>
      </c>
    </row>
    <row r="19537">
      <c r="A19537" s="3" t="n">
        <v>1</v>
      </c>
      <c r="B19537" s="3" t="inlineStr">
        <is>
          <t>"Pipa DCI</t>
        </is>
      </c>
      <c r="C19537" s="3" t="inlineStr">
        <is>
          <t>DN. 4""</t>
        </is>
      </c>
    </row>
    <row r="19538">
      <c r="A19538" s="3" t="inlineStr">
        <is>
          <t>(100 mm)"</t>
        </is>
      </c>
      <c r="B19538" s="3" t="inlineStr"/>
      <c r="C19538" s="3" t="inlineStr">
        <is>
          <t>m</t>
        </is>
      </c>
      <c r="D19538" s="15" t="n">
        <v>1</v>
      </c>
      <c r="E19538" s="4" t="n">
        <v>1083000</v>
      </c>
      <c r="F19538" s="4" t="n">
        <v>1083000</v>
      </c>
    </row>
    <row r="19539">
      <c r="A19539" s="3" t="inlineStr">
        <is>
          <t>Sewa Tripot</t>
        </is>
      </c>
      <c r="B19539" s="3" t="inlineStr"/>
      <c r="C19539" s="3" t="inlineStr">
        <is>
          <t>hari</t>
        </is>
      </c>
      <c r="D19539" s="15" t="n">
        <v>0.38</v>
      </c>
      <c r="E19539" s="4" t="n">
        <v>108000</v>
      </c>
      <c r="F19539" s="4" t="n">
        <v>41040</v>
      </c>
    </row>
    <row r="19540">
      <c r="D19540" s="2" t="inlineStr">
        <is>
          <t>SUBTOTAL UPAH</t>
        </is>
      </c>
      <c r="F19540" s="16" t="n">
        <v>72910</v>
      </c>
    </row>
    <row r="19541">
      <c r="D19541" s="2" t="inlineStr">
        <is>
          <t>SUBTOTAL BAHAN</t>
        </is>
      </c>
      <c r="F19541" s="16" t="n">
        <v>1083000</v>
      </c>
    </row>
    <row r="19542">
      <c r="D19542" s="2" t="inlineStr">
        <is>
          <t>SUBTOTAL ALAT</t>
        </is>
      </c>
      <c r="F19542" s="16" t="n">
        <v>41040</v>
      </c>
    </row>
    <row r="19543">
      <c r="E19543" s="2" t="inlineStr">
        <is>
          <t>TOTAL HARGA SATUAN (Inc. Overhead)</t>
        </is>
      </c>
      <c r="F19543" s="17" t="n">
        <v>1316645</v>
      </c>
    </row>
    <row r="19545">
      <c r="A19545" s="14" t="inlineStr">
        <is>
          <t>KODE: 9.4.1.2 - Pemasangan 1 m Pipa DCI, DN. 5" (125 mm)</t>
        </is>
      </c>
    </row>
    <row r="19546">
      <c r="A19546" s="10" t="inlineStr">
        <is>
          <t>No</t>
        </is>
      </c>
      <c r="B19546" s="10" t="inlineStr">
        <is>
          <t>Uraian Komponen</t>
        </is>
      </c>
      <c r="C19546" s="10" t="inlineStr">
        <is>
          <t>Satuan</t>
        </is>
      </c>
      <c r="D19546" s="10" t="inlineStr">
        <is>
          <t>Koef</t>
        </is>
      </c>
      <c r="E19546" s="10" t="inlineStr">
        <is>
          <t>Harga Satuan (Rp)</t>
        </is>
      </c>
      <c r="F19546" s="10" t="inlineStr">
        <is>
          <t>Jumlah Harga (Rp)</t>
        </is>
      </c>
    </row>
    <row r="19547">
      <c r="A19547" s="3" t="inlineStr">
        <is>
          <t>1</t>
        </is>
      </c>
      <c r="B19547" s="3" t="inlineStr">
        <is>
          <t>Pekerja</t>
        </is>
      </c>
      <c r="C19547" s="3" t="inlineStr">
        <is>
          <t>OH</t>
        </is>
      </c>
      <c r="D19547" s="15" t="n">
        <v>0.547</v>
      </c>
      <c r="E19547" s="4" t="n">
        <v>100000</v>
      </c>
      <c r="F19547" s="4" t="n">
        <v>54700.00000000001</v>
      </c>
    </row>
    <row r="19548">
      <c r="A19548" s="3" t="inlineStr">
        <is>
          <t>2</t>
        </is>
      </c>
      <c r="B19548" s="3" t="inlineStr">
        <is>
          <t>Tukang pipa</t>
        </is>
      </c>
      <c r="C19548" s="3" t="inlineStr">
        <is>
          <t>OH</t>
        </is>
      </c>
      <c r="D19548" s="15" t="n">
        <v>0.109</v>
      </c>
      <c r="E19548" s="4" t="n">
        <v>145000</v>
      </c>
      <c r="F19548" s="4" t="n">
        <v>15805</v>
      </c>
    </row>
    <row r="19549">
      <c r="A19549" s="3" t="inlineStr">
        <is>
          <t>3</t>
        </is>
      </c>
      <c r="B19549" s="3" t="inlineStr">
        <is>
          <t>Mandor</t>
        </is>
      </c>
      <c r="C19549" s="3" t="inlineStr">
        <is>
          <t>OH</t>
        </is>
      </c>
      <c r="D19549" s="15" t="n">
        <v>0.055</v>
      </c>
      <c r="E19549" s="4" t="n">
        <v>200000</v>
      </c>
      <c r="F19549" s="4" t="n">
        <v>11000</v>
      </c>
    </row>
    <row r="19550">
      <c r="A19550" s="3" t="n">
        <v>1</v>
      </c>
      <c r="B19550" s="3" t="inlineStr">
        <is>
          <t>"Pipa DCI</t>
        </is>
      </c>
      <c r="C19550" s="3" t="inlineStr">
        <is>
          <t>DN. 5""</t>
        </is>
      </c>
    </row>
    <row r="19551">
      <c r="A19551" s="3" t="inlineStr">
        <is>
          <t>(125 mm)"</t>
        </is>
      </c>
      <c r="B19551" s="3" t="inlineStr"/>
      <c r="C19551" s="3" t="inlineStr">
        <is>
          <t>m</t>
        </is>
      </c>
      <c r="D19551" s="15" t="n">
        <v>1</v>
      </c>
      <c r="E19551" s="4" t="n">
        <v>1100000</v>
      </c>
      <c r="F19551" s="4" t="n">
        <v>1100000</v>
      </c>
    </row>
    <row r="19552">
      <c r="A19552" s="3" t="inlineStr">
        <is>
          <t>Sewa Tripot</t>
        </is>
      </c>
      <c r="B19552" s="3" t="inlineStr"/>
      <c r="C19552" s="3" t="inlineStr">
        <is>
          <t>hari</t>
        </is>
      </c>
      <c r="D19552" s="15" t="n">
        <v>0.38</v>
      </c>
      <c r="E19552" s="4" t="n">
        <v>108000</v>
      </c>
      <c r="F19552" s="4" t="n">
        <v>41040</v>
      </c>
    </row>
    <row r="19553">
      <c r="D19553" s="2" t="inlineStr">
        <is>
          <t>SUBTOTAL UPAH</t>
        </is>
      </c>
      <c r="F19553" s="16" t="n">
        <v>81505</v>
      </c>
    </row>
    <row r="19554">
      <c r="D19554" s="2" t="inlineStr">
        <is>
          <t>SUBTOTAL BAHAN</t>
        </is>
      </c>
      <c r="F19554" s="16" t="n">
        <v>1100000</v>
      </c>
    </row>
    <row r="19555">
      <c r="D19555" s="2" t="inlineStr">
        <is>
          <t>SUBTOTAL ALAT</t>
        </is>
      </c>
      <c r="F19555" s="16" t="n">
        <v>41040</v>
      </c>
    </row>
    <row r="19556">
      <c r="E19556" s="2" t="inlineStr">
        <is>
          <t>TOTAL HARGA SATUAN (Inc. Overhead)</t>
        </is>
      </c>
      <c r="F19556" s="17" t="n">
        <v>1344799</v>
      </c>
    </row>
    <row r="19558">
      <c r="A19558" s="14" t="inlineStr">
        <is>
          <t>KODE: 9.4.1.3 - Pemasangan 1 m Pipa DCI, DN. 6" (150 mm)</t>
        </is>
      </c>
    </row>
    <row r="19559">
      <c r="A19559" s="10" t="inlineStr">
        <is>
          <t>No</t>
        </is>
      </c>
      <c r="B19559" s="10" t="inlineStr">
        <is>
          <t>Uraian Komponen</t>
        </is>
      </c>
      <c r="C19559" s="10" t="inlineStr">
        <is>
          <t>Satuan</t>
        </is>
      </c>
      <c r="D19559" s="10" t="inlineStr">
        <is>
          <t>Koef</t>
        </is>
      </c>
      <c r="E19559" s="10" t="inlineStr">
        <is>
          <t>Harga Satuan (Rp)</t>
        </is>
      </c>
      <c r="F19559" s="10" t="inlineStr">
        <is>
          <t>Jumlah Harga (Rp)</t>
        </is>
      </c>
    </row>
    <row r="19560">
      <c r="A19560" s="3" t="inlineStr">
        <is>
          <t>1</t>
        </is>
      </c>
      <c r="B19560" s="3" t="inlineStr">
        <is>
          <t>Pekerja</t>
        </is>
      </c>
      <c r="C19560" s="3" t="inlineStr">
        <is>
          <t>OH</t>
        </is>
      </c>
      <c r="D19560" s="15" t="n">
        <v>0.613</v>
      </c>
      <c r="E19560" s="4" t="n">
        <v>100000</v>
      </c>
      <c r="F19560" s="4" t="n">
        <v>61300</v>
      </c>
    </row>
    <row r="19561">
      <c r="A19561" s="3" t="inlineStr">
        <is>
          <t>2</t>
        </is>
      </c>
      <c r="B19561" s="3" t="inlineStr">
        <is>
          <t>Tukang pipa</t>
        </is>
      </c>
      <c r="C19561" s="3" t="inlineStr">
        <is>
          <t>OH</t>
        </is>
      </c>
      <c r="D19561" s="15" t="n">
        <v>0.123</v>
      </c>
      <c r="E19561" s="4" t="n">
        <v>145000</v>
      </c>
      <c r="F19561" s="4" t="n">
        <v>17835</v>
      </c>
    </row>
    <row r="19562">
      <c r="A19562" s="3" t="inlineStr">
        <is>
          <t>3</t>
        </is>
      </c>
      <c r="B19562" s="3" t="inlineStr">
        <is>
          <t>Mandor</t>
        </is>
      </c>
      <c r="C19562" s="3" t="inlineStr">
        <is>
          <t>OH</t>
        </is>
      </c>
      <c r="D19562" s="15" t="n">
        <v>0.061</v>
      </c>
      <c r="E19562" s="4" t="n">
        <v>200000</v>
      </c>
      <c r="F19562" s="4" t="n">
        <v>12200</v>
      </c>
    </row>
    <row r="19563">
      <c r="A19563" s="3" t="n">
        <v>1</v>
      </c>
      <c r="B19563" s="3" t="inlineStr">
        <is>
          <t>"Pipa DCI</t>
        </is>
      </c>
      <c r="C19563" s="3" t="inlineStr">
        <is>
          <t>DN. 6""</t>
        </is>
      </c>
    </row>
    <row r="19564">
      <c r="A19564" s="3" t="inlineStr">
        <is>
          <t>(150 mm)"</t>
        </is>
      </c>
      <c r="B19564" s="3" t="inlineStr"/>
      <c r="C19564" s="3" t="inlineStr">
        <is>
          <t>m</t>
        </is>
      </c>
      <c r="D19564" s="15" t="n">
        <v>1</v>
      </c>
      <c r="E19564" s="4" t="n">
        <v>1300000</v>
      </c>
      <c r="F19564" s="4" t="n">
        <v>1300000</v>
      </c>
    </row>
    <row r="19565">
      <c r="A19565" s="3" t="inlineStr">
        <is>
          <t>Sewa Tripot</t>
        </is>
      </c>
      <c r="B19565" s="3" t="inlineStr"/>
      <c r="C19565" s="3" t="inlineStr">
        <is>
          <t>hari</t>
        </is>
      </c>
      <c r="D19565" s="15" t="n">
        <v>0.38</v>
      </c>
      <c r="E19565" s="4" t="n">
        <v>108000</v>
      </c>
      <c r="F19565" s="4" t="n">
        <v>41040</v>
      </c>
    </row>
    <row r="19566">
      <c r="D19566" s="2" t="inlineStr">
        <is>
          <t>SUBTOTAL UPAH</t>
        </is>
      </c>
      <c r="F19566" s="16" t="n">
        <v>91335</v>
      </c>
    </row>
    <row r="19567">
      <c r="D19567" s="2" t="inlineStr">
        <is>
          <t>SUBTOTAL BAHAN</t>
        </is>
      </c>
      <c r="F19567" s="16" t="n">
        <v>1300000</v>
      </c>
    </row>
    <row r="19568">
      <c r="D19568" s="2" t="inlineStr">
        <is>
          <t>SUBTOTAL ALAT</t>
        </is>
      </c>
      <c r="F19568" s="16" t="n">
        <v>41040</v>
      </c>
    </row>
    <row r="19569">
      <c r="E19569" s="2" t="inlineStr">
        <is>
          <t>TOTAL HARGA SATUAN (Inc. Overhead)</t>
        </is>
      </c>
      <c r="F19569" s="17" t="n">
        <v>1575612</v>
      </c>
    </row>
    <row r="19571">
      <c r="A19571" s="14" t="inlineStr">
        <is>
          <t>KODE: 9.4.1.4 - Pemasangan 1 m Pipa DCI, DN. 8" (200 mm)</t>
        </is>
      </c>
    </row>
    <row r="19572">
      <c r="A19572" s="10" t="inlineStr">
        <is>
          <t>No</t>
        </is>
      </c>
      <c r="B19572" s="10" t="inlineStr">
        <is>
          <t>Uraian Komponen</t>
        </is>
      </c>
      <c r="C19572" s="10" t="inlineStr">
        <is>
          <t>Satuan</t>
        </is>
      </c>
      <c r="D19572" s="10" t="inlineStr">
        <is>
          <t>Koef</t>
        </is>
      </c>
      <c r="E19572" s="10" t="inlineStr">
        <is>
          <t>Harga Satuan (Rp)</t>
        </is>
      </c>
      <c r="F19572" s="10" t="inlineStr">
        <is>
          <t>Jumlah Harga (Rp)</t>
        </is>
      </c>
    </row>
    <row r="19573">
      <c r="A19573" s="3" t="inlineStr">
        <is>
          <t>1</t>
        </is>
      </c>
      <c r="B19573" s="3" t="inlineStr">
        <is>
          <t>Pekerja</t>
        </is>
      </c>
      <c r="C19573" s="3" t="inlineStr">
        <is>
          <t>OH</t>
        </is>
      </c>
      <c r="D19573" s="15" t="n">
        <v>0.855</v>
      </c>
      <c r="E19573" s="4" t="n">
        <v>100000</v>
      </c>
      <c r="F19573" s="4" t="n">
        <v>85500</v>
      </c>
    </row>
    <row r="19574">
      <c r="A19574" s="3" t="inlineStr">
        <is>
          <t>2</t>
        </is>
      </c>
      <c r="B19574" s="3" t="inlineStr">
        <is>
          <t>Tukang pipa</t>
        </is>
      </c>
      <c r="C19574" s="3" t="inlineStr">
        <is>
          <t>OH</t>
        </is>
      </c>
      <c r="D19574" s="15" t="n">
        <v>0.171</v>
      </c>
      <c r="E19574" s="4" t="n">
        <v>145000</v>
      </c>
      <c r="F19574" s="4" t="n">
        <v>24795</v>
      </c>
    </row>
    <row r="19575">
      <c r="A19575" s="3" t="inlineStr">
        <is>
          <t>3</t>
        </is>
      </c>
      <c r="B19575" s="3" t="inlineStr">
        <is>
          <t>Mandor</t>
        </is>
      </c>
      <c r="C19575" s="3" t="inlineStr">
        <is>
          <t>OH</t>
        </is>
      </c>
      <c r="D19575" s="15" t="n">
        <v>0.08500000000000001</v>
      </c>
      <c r="E19575" s="4" t="n">
        <v>200000</v>
      </c>
      <c r="F19575" s="4" t="n">
        <v>17000</v>
      </c>
    </row>
    <row r="19576">
      <c r="A19576" s="3" t="n">
        <v>1</v>
      </c>
      <c r="B19576" s="3" t="inlineStr">
        <is>
          <t>"Pipa DCI</t>
        </is>
      </c>
      <c r="C19576" s="3" t="inlineStr">
        <is>
          <t>DN. 8""</t>
        </is>
      </c>
    </row>
    <row r="19577">
      <c r="A19577" s="3" t="inlineStr">
        <is>
          <t>(200 mm)"</t>
        </is>
      </c>
      <c r="B19577" s="3" t="inlineStr"/>
      <c r="C19577" s="3" t="inlineStr">
        <is>
          <t>m</t>
        </is>
      </c>
      <c r="D19577" s="15" t="n">
        <v>1</v>
      </c>
      <c r="E19577" s="4" t="n">
        <v>1450000</v>
      </c>
      <c r="F19577" s="4" t="n">
        <v>1450000</v>
      </c>
    </row>
    <row r="19578">
      <c r="A19578" s="3" t="inlineStr">
        <is>
          <t>Sewa Tripot</t>
        </is>
      </c>
      <c r="B19578" s="3" t="inlineStr"/>
      <c r="C19578" s="3" t="inlineStr">
        <is>
          <t>hari</t>
        </is>
      </c>
      <c r="D19578" s="15" t="n">
        <v>0.38</v>
      </c>
      <c r="E19578" s="4" t="n">
        <v>108000</v>
      </c>
      <c r="F19578" s="4" t="n">
        <v>41040</v>
      </c>
    </row>
    <row r="19579">
      <c r="D19579" s="2" t="inlineStr">
        <is>
          <t>SUBTOTAL UPAH</t>
        </is>
      </c>
      <c r="F19579" s="16" t="n">
        <v>127295</v>
      </c>
    </row>
    <row r="19580">
      <c r="D19580" s="2" t="inlineStr">
        <is>
          <t>SUBTOTAL BAHAN</t>
        </is>
      </c>
      <c r="F19580" s="16" t="n">
        <v>1450000</v>
      </c>
    </row>
    <row r="19581">
      <c r="D19581" s="2" t="inlineStr">
        <is>
          <t>SUBTOTAL ALAT</t>
        </is>
      </c>
      <c r="F19581" s="16" t="n">
        <v>41040</v>
      </c>
    </row>
    <row r="19582">
      <c r="E19582" s="2" t="inlineStr">
        <is>
          <t>TOTAL HARGA SATUAN (Inc. Overhead)</t>
        </is>
      </c>
      <c r="F19582" s="17" t="n">
        <v>1780168</v>
      </c>
    </row>
    <row r="19584">
      <c r="A19584" s="14" t="inlineStr">
        <is>
          <t>KODE: 9.4.1.5 - Pemasangan 1 m Pipa DCI, DN. 10" (250 mm)</t>
        </is>
      </c>
    </row>
    <row r="19585">
      <c r="A19585" s="10" t="inlineStr">
        <is>
          <t>No</t>
        </is>
      </c>
      <c r="B19585" s="10" t="inlineStr">
        <is>
          <t>Uraian Komponen</t>
        </is>
      </c>
      <c r="C19585" s="10" t="inlineStr">
        <is>
          <t>Satuan</t>
        </is>
      </c>
      <c r="D19585" s="10" t="inlineStr">
        <is>
          <t>Koef</t>
        </is>
      </c>
      <c r="E19585" s="10" t="inlineStr">
        <is>
          <t>Harga Satuan (Rp)</t>
        </is>
      </c>
      <c r="F19585" s="10" t="inlineStr">
        <is>
          <t>Jumlah Harga (Rp)</t>
        </is>
      </c>
    </row>
    <row r="19586">
      <c r="A19586" s="3" t="inlineStr">
        <is>
          <t>1</t>
        </is>
      </c>
      <c r="B19586" s="3" t="inlineStr">
        <is>
          <t>Pekerja</t>
        </is>
      </c>
      <c r="C19586" s="3" t="inlineStr">
        <is>
          <t>OH</t>
        </is>
      </c>
      <c r="D19586" s="15" t="n">
        <v>0.951</v>
      </c>
      <c r="E19586" s="4" t="n">
        <v>100000</v>
      </c>
      <c r="F19586" s="4" t="n">
        <v>95100</v>
      </c>
    </row>
    <row r="19587">
      <c r="A19587" s="3" t="inlineStr">
        <is>
          <t>2</t>
        </is>
      </c>
      <c r="B19587" s="3" t="inlineStr">
        <is>
          <t>Tukang pipa</t>
        </is>
      </c>
      <c r="C19587" s="3" t="inlineStr">
        <is>
          <t>OH</t>
        </is>
      </c>
      <c r="D19587" s="15" t="n">
        <v>0.19</v>
      </c>
      <c r="E19587" s="4" t="n">
        <v>145000</v>
      </c>
      <c r="F19587" s="4" t="n">
        <v>27550</v>
      </c>
    </row>
    <row r="19588">
      <c r="A19588" s="3" t="inlineStr">
        <is>
          <t>3</t>
        </is>
      </c>
      <c r="B19588" s="3" t="inlineStr">
        <is>
          <t>Mandor</t>
        </is>
      </c>
      <c r="C19588" s="3" t="inlineStr">
        <is>
          <t>OH</t>
        </is>
      </c>
      <c r="D19588" s="15" t="n">
        <v>0.095</v>
      </c>
      <c r="E19588" s="4" t="n">
        <v>200000</v>
      </c>
      <c r="F19588" s="4" t="n">
        <v>19000</v>
      </c>
    </row>
    <row r="19589">
      <c r="A19589" s="3" t="n">
        <v>1</v>
      </c>
      <c r="B19589" s="3" t="inlineStr">
        <is>
          <t>"Pipa DCI</t>
        </is>
      </c>
      <c r="C19589" s="3" t="inlineStr">
        <is>
          <t>DN. 10""</t>
        </is>
      </c>
    </row>
    <row r="19590">
      <c r="A19590" s="3" t="inlineStr">
        <is>
          <t>(250 mm)"</t>
        </is>
      </c>
      <c r="B19590" s="3" t="inlineStr"/>
      <c r="C19590" s="3" t="inlineStr">
        <is>
          <t>m</t>
        </is>
      </c>
      <c r="D19590" s="15" t="n">
        <v>1</v>
      </c>
      <c r="E19590" s="4" t="n">
        <v>1570000</v>
      </c>
      <c r="F19590" s="4" t="n">
        <v>1570000</v>
      </c>
    </row>
    <row r="19591">
      <c r="A19591" s="3" t="inlineStr">
        <is>
          <t>Sewa Tripot</t>
        </is>
      </c>
      <c r="B19591" s="3" t="inlineStr"/>
      <c r="C19591" s="3" t="inlineStr">
        <is>
          <t>hari</t>
        </is>
      </c>
      <c r="D19591" s="15" t="n">
        <v>0.05</v>
      </c>
      <c r="E19591" s="4" t="n">
        <v>108000</v>
      </c>
      <c r="F19591" s="4" t="n">
        <v>5400</v>
      </c>
    </row>
    <row r="19592">
      <c r="D19592" s="2" t="inlineStr">
        <is>
          <t>SUBTOTAL UPAH</t>
        </is>
      </c>
      <c r="F19592" s="16" t="n">
        <v>141650</v>
      </c>
    </row>
    <row r="19593">
      <c r="D19593" s="2" t="inlineStr">
        <is>
          <t>SUBTOTAL BAHAN</t>
        </is>
      </c>
      <c r="F19593" s="16" t="n">
        <v>1570000</v>
      </c>
    </row>
    <row r="19594">
      <c r="D19594" s="2" t="inlineStr">
        <is>
          <t>SUBTOTAL ALAT</t>
        </is>
      </c>
      <c r="F19594" s="16" t="n">
        <v>5400</v>
      </c>
    </row>
    <row r="19595">
      <c r="E19595" s="2" t="inlineStr">
        <is>
          <t>TOTAL HARGA SATUAN (Inc. Overhead)</t>
        </is>
      </c>
      <c r="F19595" s="17" t="n">
        <v>1888755</v>
      </c>
    </row>
    <row r="19597">
      <c r="A19597" s="14" t="inlineStr">
        <is>
          <t>KODE: 9.4.1.6 - Pemasangan 1 m Pipa DCI, DN. 12" (300 mm)</t>
        </is>
      </c>
    </row>
    <row r="19598">
      <c r="A19598" s="10" t="inlineStr">
        <is>
          <t>No</t>
        </is>
      </c>
      <c r="B19598" s="10" t="inlineStr">
        <is>
          <t>Uraian Komponen</t>
        </is>
      </c>
      <c r="C19598" s="10" t="inlineStr">
        <is>
          <t>Satuan</t>
        </is>
      </c>
      <c r="D19598" s="10" t="inlineStr">
        <is>
          <t>Koef</t>
        </is>
      </c>
      <c r="E19598" s="10" t="inlineStr">
        <is>
          <t>Harga Satuan (Rp)</t>
        </is>
      </c>
      <c r="F19598" s="10" t="inlineStr">
        <is>
          <t>Jumlah Harga (Rp)</t>
        </is>
      </c>
    </row>
    <row r="19599">
      <c r="A19599" s="3" t="inlineStr">
        <is>
          <t>1</t>
        </is>
      </c>
      <c r="B19599" s="3" t="inlineStr">
        <is>
          <t>Pekerja</t>
        </is>
      </c>
      <c r="C19599" s="3" t="inlineStr">
        <is>
          <t>OH</t>
        </is>
      </c>
      <c r="D19599" s="15" t="n">
        <v>0.973</v>
      </c>
      <c r="E19599" s="4" t="n">
        <v>100000</v>
      </c>
      <c r="F19599" s="4" t="n">
        <v>97300</v>
      </c>
    </row>
    <row r="19600">
      <c r="A19600" s="3" t="inlineStr">
        <is>
          <t>2</t>
        </is>
      </c>
      <c r="B19600" s="3" t="inlineStr">
        <is>
          <t>Tukang pipa</t>
        </is>
      </c>
      <c r="C19600" s="3" t="inlineStr">
        <is>
          <t>OH</t>
        </is>
      </c>
      <c r="D19600" s="15" t="n">
        <v>0.195</v>
      </c>
      <c r="E19600" s="4" t="n">
        <v>145000</v>
      </c>
      <c r="F19600" s="4" t="n">
        <v>28275</v>
      </c>
    </row>
    <row r="19601">
      <c r="A19601" s="3" t="inlineStr">
        <is>
          <t>3</t>
        </is>
      </c>
      <c r="B19601" s="3" t="inlineStr">
        <is>
          <t>Mandor</t>
        </is>
      </c>
      <c r="C19601" s="3" t="inlineStr">
        <is>
          <t>OH</t>
        </is>
      </c>
      <c r="D19601" s="15" t="n">
        <v>0.097</v>
      </c>
      <c r="E19601" s="4" t="n">
        <v>200000</v>
      </c>
      <c r="F19601" s="4" t="n">
        <v>19400</v>
      </c>
    </row>
    <row r="19602">
      <c r="A19602" s="3" t="n">
        <v>1</v>
      </c>
      <c r="B19602" s="3" t="inlineStr">
        <is>
          <t>"Pipa DCI</t>
        </is>
      </c>
      <c r="C19602" s="3" t="inlineStr">
        <is>
          <t>DN. 12""</t>
        </is>
      </c>
    </row>
    <row r="19603">
      <c r="A19603" s="3" t="inlineStr">
        <is>
          <t>(300 mm)"</t>
        </is>
      </c>
      <c r="B19603" s="3" t="inlineStr"/>
      <c r="C19603" s="3" t="inlineStr">
        <is>
          <t>m</t>
        </is>
      </c>
      <c r="D19603" s="15" t="n">
        <v>1</v>
      </c>
      <c r="E19603" s="4" t="n">
        <v>1640000</v>
      </c>
      <c r="F19603" s="4" t="n">
        <v>1640000</v>
      </c>
    </row>
    <row r="19604">
      <c r="A19604" s="3" t="inlineStr">
        <is>
          <t>Sewa Tripot</t>
        </is>
      </c>
      <c r="B19604" s="3" t="inlineStr"/>
      <c r="C19604" s="3" t="inlineStr">
        <is>
          <t>hari</t>
        </is>
      </c>
      <c r="D19604" s="15" t="n">
        <v>0.07099999999999999</v>
      </c>
      <c r="E19604" s="4" t="n">
        <v>108000</v>
      </c>
      <c r="F19604" s="4" t="n">
        <v>7667.999999999999</v>
      </c>
    </row>
    <row r="19605">
      <c r="D19605" s="2" t="inlineStr">
        <is>
          <t>SUBTOTAL UPAH</t>
        </is>
      </c>
      <c r="F19605" s="16" t="n">
        <v>144975</v>
      </c>
    </row>
    <row r="19606">
      <c r="D19606" s="2" t="inlineStr">
        <is>
          <t>SUBTOTAL BAHAN</t>
        </is>
      </c>
      <c r="F19606" s="16" t="n">
        <v>1640000</v>
      </c>
    </row>
    <row r="19607">
      <c r="D19607" s="2" t="inlineStr">
        <is>
          <t>SUBTOTAL ALAT</t>
        </is>
      </c>
      <c r="F19607" s="16" t="n">
        <v>7667.999999999999</v>
      </c>
    </row>
    <row r="19608">
      <c r="E19608" s="2" t="inlineStr">
        <is>
          <t>TOTAL HARGA SATUAN (Inc. Overhead)</t>
        </is>
      </c>
      <c r="F19608" s="17" t="n">
        <v>1971907</v>
      </c>
    </row>
    <row r="19610">
      <c r="A19610" s="14" t="inlineStr">
        <is>
          <t>KODE: 9.4.1.7 - Pemasangan 1 m Pipa DCI, DN. 16" (400 mm)</t>
        </is>
      </c>
    </row>
    <row r="19611">
      <c r="A19611" s="10" t="inlineStr">
        <is>
          <t>No</t>
        </is>
      </c>
      <c r="B19611" s="10" t="inlineStr">
        <is>
          <t>Uraian Komponen</t>
        </is>
      </c>
      <c r="C19611" s="10" t="inlineStr">
        <is>
          <t>Satuan</t>
        </is>
      </c>
      <c r="D19611" s="10" t="inlineStr">
        <is>
          <t>Koef</t>
        </is>
      </c>
      <c r="E19611" s="10" t="inlineStr">
        <is>
          <t>Harga Satuan (Rp)</t>
        </is>
      </c>
      <c r="F19611" s="10" t="inlineStr">
        <is>
          <t>Jumlah Harga (Rp)</t>
        </is>
      </c>
    </row>
    <row r="19612">
      <c r="A19612" s="3" t="inlineStr">
        <is>
          <t>1</t>
        </is>
      </c>
      <c r="B19612" s="3" t="inlineStr">
        <is>
          <t>Pekerja</t>
        </is>
      </c>
      <c r="C19612" s="3" t="inlineStr">
        <is>
          <t>OH</t>
        </is>
      </c>
      <c r="D19612" s="15" t="n">
        <v>1.545</v>
      </c>
      <c r="E19612" s="4" t="n">
        <v>100000</v>
      </c>
      <c r="F19612" s="4" t="n">
        <v>154500</v>
      </c>
    </row>
    <row r="19613">
      <c r="A19613" s="3" t="inlineStr">
        <is>
          <t>2</t>
        </is>
      </c>
      <c r="B19613" s="3" t="inlineStr">
        <is>
          <t>Tukang pipa</t>
        </is>
      </c>
      <c r="C19613" s="3" t="inlineStr">
        <is>
          <t>OH</t>
        </is>
      </c>
      <c r="D19613" s="15" t="n">
        <v>0.309</v>
      </c>
      <c r="E19613" s="4" t="n">
        <v>145000</v>
      </c>
      <c r="F19613" s="4" t="n">
        <v>44805</v>
      </c>
    </row>
    <row r="19614">
      <c r="A19614" s="3" t="inlineStr">
        <is>
          <t>3</t>
        </is>
      </c>
      <c r="B19614" s="3" t="inlineStr">
        <is>
          <t>Mandor</t>
        </is>
      </c>
      <c r="C19614" s="3" t="inlineStr">
        <is>
          <t>OH</t>
        </is>
      </c>
      <c r="D19614" s="15" t="n">
        <v>0.154</v>
      </c>
      <c r="E19614" s="4" t="n">
        <v>200000</v>
      </c>
      <c r="F19614" s="4" t="n">
        <v>30800</v>
      </c>
    </row>
    <row r="19615">
      <c r="A19615" s="3" t="n">
        <v>1</v>
      </c>
      <c r="B19615" s="3" t="inlineStr">
        <is>
          <t>"Pipa DCI</t>
        </is>
      </c>
      <c r="C19615" s="3" t="inlineStr">
        <is>
          <t>DN. 16""</t>
        </is>
      </c>
    </row>
    <row r="19616">
      <c r="A19616" s="3" t="inlineStr">
        <is>
          <t>(400 mm)"</t>
        </is>
      </c>
      <c r="B19616" s="3" t="inlineStr"/>
      <c r="C19616" s="3" t="inlineStr">
        <is>
          <t>m</t>
        </is>
      </c>
      <c r="D19616" s="15" t="n">
        <v>1</v>
      </c>
      <c r="E19616" s="4" t="n">
        <v>1790000</v>
      </c>
      <c r="F19616" s="4" t="n">
        <v>1790000</v>
      </c>
    </row>
    <row r="19617">
      <c r="A19617" s="3" t="inlineStr">
        <is>
          <t>1</t>
        </is>
      </c>
      <c r="B19617" s="3" t="inlineStr">
        <is>
          <t>Excavator</t>
        </is>
      </c>
      <c r="C19617" s="3" t="inlineStr">
        <is>
          <t>hari</t>
        </is>
      </c>
      <c r="D19617" s="15" t="n">
        <v>0.023</v>
      </c>
      <c r="E19617" s="4" t="n">
        <v>5150000</v>
      </c>
      <c r="F19617" s="4" t="n">
        <v>118450</v>
      </c>
    </row>
    <row r="19618">
      <c r="A19618" s="3" t="inlineStr">
        <is>
          <t>2</t>
        </is>
      </c>
      <c r="B19618" s="3" t="inlineStr">
        <is>
          <t>Sewa Tripot</t>
        </is>
      </c>
      <c r="C19618" s="3" t="inlineStr">
        <is>
          <t>hari</t>
        </is>
      </c>
      <c r="D19618" s="15" t="n">
        <v>0.031</v>
      </c>
      <c r="E19618" s="4" t="n">
        <v>108000</v>
      </c>
      <c r="F19618" s="4" t="n">
        <v>3348</v>
      </c>
    </row>
    <row r="19619">
      <c r="D19619" s="2" t="inlineStr">
        <is>
          <t>SUBTOTAL UPAH</t>
        </is>
      </c>
      <c r="F19619" s="16" t="n">
        <v>230105</v>
      </c>
    </row>
    <row r="19620">
      <c r="D19620" s="2" t="inlineStr">
        <is>
          <t>SUBTOTAL BAHAN</t>
        </is>
      </c>
      <c r="F19620" s="16" t="n">
        <v>1790000</v>
      </c>
    </row>
    <row r="19621">
      <c r="D19621" s="2" t="inlineStr">
        <is>
          <t>SUBTOTAL ALAT</t>
        </is>
      </c>
      <c r="F19621" s="16" t="n">
        <v>121798</v>
      </c>
    </row>
    <row r="19622">
      <c r="E19622" s="2" t="inlineStr">
        <is>
          <t>TOTAL HARGA SATUAN (Inc. Overhead)</t>
        </is>
      </c>
      <c r="F19622" s="17" t="n">
        <v>2356093</v>
      </c>
    </row>
    <row r="19624">
      <c r="A19624" s="14" t="inlineStr">
        <is>
          <t>KODE: 9.4.1.8 - Pemasangan 1 m Pipa DCI, DN. 18" (450 mm)</t>
        </is>
      </c>
    </row>
    <row r="19625">
      <c r="A19625" s="10" t="inlineStr">
        <is>
          <t>No</t>
        </is>
      </c>
      <c r="B19625" s="10" t="inlineStr">
        <is>
          <t>Uraian Komponen</t>
        </is>
      </c>
      <c r="C19625" s="10" t="inlineStr">
        <is>
          <t>Satuan</t>
        </is>
      </c>
      <c r="D19625" s="10" t="inlineStr">
        <is>
          <t>Koef</t>
        </is>
      </c>
      <c r="E19625" s="10" t="inlineStr">
        <is>
          <t>Harga Satuan (Rp)</t>
        </is>
      </c>
      <c r="F19625" s="10" t="inlineStr">
        <is>
          <t>Jumlah Harga (Rp)</t>
        </is>
      </c>
    </row>
    <row r="19626">
      <c r="A19626" s="3" t="inlineStr">
        <is>
          <t>1</t>
        </is>
      </c>
      <c r="B19626" s="3" t="inlineStr">
        <is>
          <t>Pekerja</t>
        </is>
      </c>
      <c r="C19626" s="3" t="inlineStr">
        <is>
          <t>OH</t>
        </is>
      </c>
      <c r="D19626" s="15" t="n">
        <v>1.813</v>
      </c>
      <c r="E19626" s="4" t="n">
        <v>100000</v>
      </c>
      <c r="F19626" s="4" t="n">
        <v>181300</v>
      </c>
    </row>
    <row r="19627">
      <c r="A19627" s="3" t="inlineStr">
        <is>
          <t>2</t>
        </is>
      </c>
      <c r="B19627" s="3" t="inlineStr">
        <is>
          <t>Tukang pipa</t>
        </is>
      </c>
      <c r="C19627" s="3" t="inlineStr">
        <is>
          <t>OH</t>
        </is>
      </c>
      <c r="D19627" s="15" t="n">
        <v>0.363</v>
      </c>
      <c r="E19627" s="4" t="n">
        <v>145000</v>
      </c>
      <c r="F19627" s="4" t="n">
        <v>52635</v>
      </c>
    </row>
    <row r="19628">
      <c r="A19628" s="3" t="inlineStr">
        <is>
          <t>3</t>
        </is>
      </c>
      <c r="B19628" s="3" t="inlineStr">
        <is>
          <t>Mandor</t>
        </is>
      </c>
      <c r="C19628" s="3" t="inlineStr">
        <is>
          <t>OH</t>
        </is>
      </c>
      <c r="D19628" s="15" t="n">
        <v>0.181</v>
      </c>
      <c r="E19628" s="4" t="n">
        <v>200000</v>
      </c>
      <c r="F19628" s="4" t="n">
        <v>36200</v>
      </c>
    </row>
    <row r="19629">
      <c r="A19629" s="3" t="n">
        <v>1</v>
      </c>
      <c r="B19629" s="3" t="inlineStr">
        <is>
          <t>"Pipa DCI</t>
        </is>
      </c>
      <c r="C19629" s="3" t="inlineStr">
        <is>
          <t>DN. 18""</t>
        </is>
      </c>
    </row>
    <row r="19630">
      <c r="A19630" s="3" t="inlineStr">
        <is>
          <t>(450 mm)"</t>
        </is>
      </c>
      <c r="B19630" s="3" t="inlineStr"/>
      <c r="C19630" s="3" t="inlineStr">
        <is>
          <t>m</t>
        </is>
      </c>
      <c r="D19630" s="15" t="n">
        <v>1</v>
      </c>
      <c r="E19630" s="4" t="n">
        <v>1850000</v>
      </c>
      <c r="F19630" s="4" t="n">
        <v>1850000</v>
      </c>
    </row>
    <row r="19631">
      <c r="A19631" s="3" t="inlineStr">
        <is>
          <t>1</t>
        </is>
      </c>
      <c r="B19631" s="3" t="inlineStr">
        <is>
          <t>Excavator</t>
        </is>
      </c>
      <c r="C19631" s="3" t="inlineStr">
        <is>
          <t>hari</t>
        </is>
      </c>
      <c r="D19631" s="15" t="n">
        <v>0.029</v>
      </c>
      <c r="E19631" s="4" t="n">
        <v>5150000</v>
      </c>
      <c r="F19631" s="4" t="n">
        <v>149350</v>
      </c>
    </row>
    <row r="19632">
      <c r="A19632" s="3" t="inlineStr">
        <is>
          <t>2</t>
        </is>
      </c>
      <c r="B19632" s="3" t="inlineStr">
        <is>
          <t>Sewa Tripot</t>
        </is>
      </c>
      <c r="C19632" s="3" t="inlineStr">
        <is>
          <t>hari</t>
        </is>
      </c>
      <c r="D19632" s="15" t="n">
        <v>0.039</v>
      </c>
      <c r="E19632" s="4" t="n">
        <v>108000</v>
      </c>
      <c r="F19632" s="4" t="n">
        <v>4212</v>
      </c>
    </row>
    <row r="19633">
      <c r="D19633" s="2" t="inlineStr">
        <is>
          <t>SUBTOTAL UPAH</t>
        </is>
      </c>
      <c r="F19633" s="16" t="n">
        <v>270135</v>
      </c>
    </row>
    <row r="19634">
      <c r="D19634" s="2" t="inlineStr">
        <is>
          <t>SUBTOTAL BAHAN</t>
        </is>
      </c>
      <c r="F19634" s="16" t="n">
        <v>1850000</v>
      </c>
    </row>
    <row r="19635">
      <c r="D19635" s="2" t="inlineStr">
        <is>
          <t>SUBTOTAL ALAT</t>
        </is>
      </c>
      <c r="F19635" s="16" t="n">
        <v>153562</v>
      </c>
    </row>
    <row r="19636">
      <c r="E19636" s="2" t="inlineStr">
        <is>
          <t>TOTAL HARGA SATUAN (Inc. Overhead)</t>
        </is>
      </c>
      <c r="F19636" s="17" t="n">
        <v>2501066</v>
      </c>
    </row>
    <row r="19638">
      <c r="A19638" s="14" t="inlineStr">
        <is>
          <t>KODE: 9.4.1.9 - Pemasangan 1 m Pipa DCI, DN. 20" (500 mm)</t>
        </is>
      </c>
    </row>
    <row r="19639">
      <c r="A19639" s="10" t="inlineStr">
        <is>
          <t>No</t>
        </is>
      </c>
      <c r="B19639" s="10" t="inlineStr">
        <is>
          <t>Uraian Komponen</t>
        </is>
      </c>
      <c r="C19639" s="10" t="inlineStr">
        <is>
          <t>Satuan</t>
        </is>
      </c>
      <c r="D19639" s="10" t="inlineStr">
        <is>
          <t>Koef</t>
        </is>
      </c>
      <c r="E19639" s="10" t="inlineStr">
        <is>
          <t>Harga Satuan (Rp)</t>
        </is>
      </c>
      <c r="F19639" s="10" t="inlineStr">
        <is>
          <t>Jumlah Harga (Rp)</t>
        </is>
      </c>
    </row>
    <row r="19640">
      <c r="A19640" s="3" t="inlineStr">
        <is>
          <t>1</t>
        </is>
      </c>
      <c r="B19640" s="3" t="inlineStr">
        <is>
          <t>Pekerja</t>
        </is>
      </c>
      <c r="C19640" s="3" t="inlineStr">
        <is>
          <t>OH</t>
        </is>
      </c>
      <c r="D19640" s="15" t="n">
        <v>2.047</v>
      </c>
      <c r="E19640" s="4" t="n">
        <v>100000</v>
      </c>
      <c r="F19640" s="4" t="n">
        <v>204700</v>
      </c>
    </row>
    <row r="19641">
      <c r="A19641" s="3" t="inlineStr">
        <is>
          <t>2</t>
        </is>
      </c>
      <c r="B19641" s="3" t="inlineStr">
        <is>
          <t>Tukang pipa</t>
        </is>
      </c>
      <c r="C19641" s="3" t="inlineStr">
        <is>
          <t>OH</t>
        </is>
      </c>
      <c r="D19641" s="15" t="n">
        <v>0.409</v>
      </c>
      <c r="E19641" s="4" t="n">
        <v>145000</v>
      </c>
      <c r="F19641" s="4" t="n">
        <v>59304.99999999999</v>
      </c>
    </row>
    <row r="19642">
      <c r="A19642" s="3" t="inlineStr">
        <is>
          <t>3</t>
        </is>
      </c>
      <c r="B19642" s="3" t="inlineStr">
        <is>
          <t>Mandor</t>
        </is>
      </c>
      <c r="C19642" s="3" t="inlineStr">
        <is>
          <t>OH</t>
        </is>
      </c>
      <c r="D19642" s="15" t="n">
        <v>0.205</v>
      </c>
      <c r="E19642" s="4" t="n">
        <v>200000</v>
      </c>
      <c r="F19642" s="4" t="n">
        <v>41000</v>
      </c>
    </row>
    <row r="19643">
      <c r="A19643" s="3" t="n">
        <v>1</v>
      </c>
      <c r="B19643" s="3" t="inlineStr">
        <is>
          <t>"Pipa DCI</t>
        </is>
      </c>
      <c r="C19643" s="3" t="inlineStr">
        <is>
          <t>DN. 20""</t>
        </is>
      </c>
    </row>
    <row r="19644">
      <c r="A19644" s="3" t="inlineStr">
        <is>
          <t>(500 mm)"</t>
        </is>
      </c>
      <c r="B19644" s="3" t="inlineStr"/>
      <c r="C19644" s="3" t="inlineStr">
        <is>
          <t>m</t>
        </is>
      </c>
      <c r="D19644" s="15" t="n">
        <v>1</v>
      </c>
      <c r="E19644" s="4" t="n">
        <v>1960000</v>
      </c>
      <c r="F19644" s="4" t="n">
        <v>1960000</v>
      </c>
    </row>
    <row r="19645">
      <c r="A19645" s="3" t="inlineStr">
        <is>
          <t>1</t>
        </is>
      </c>
      <c r="B19645" s="3" t="inlineStr">
        <is>
          <t>Excavator</t>
        </is>
      </c>
      <c r="C19645" s="3" t="inlineStr">
        <is>
          <t>hari</t>
        </is>
      </c>
      <c r="D19645" s="15" t="n">
        <v>0.034</v>
      </c>
      <c r="E19645" s="4" t="n">
        <v>5150000</v>
      </c>
      <c r="F19645" s="4" t="n">
        <v>175100</v>
      </c>
    </row>
    <row r="19646">
      <c r="A19646" s="3" t="inlineStr">
        <is>
          <t>2</t>
        </is>
      </c>
      <c r="B19646" s="3" t="inlineStr">
        <is>
          <t>Sewa Tripot</t>
        </is>
      </c>
      <c r="C19646" s="3" t="inlineStr">
        <is>
          <t>hari</t>
        </is>
      </c>
      <c r="D19646" s="15" t="n">
        <v>0.045</v>
      </c>
      <c r="E19646" s="4" t="n">
        <v>108000</v>
      </c>
      <c r="F19646" s="4" t="n">
        <v>4860</v>
      </c>
    </row>
    <row r="19647">
      <c r="D19647" s="2" t="inlineStr">
        <is>
          <t>SUBTOTAL UPAH</t>
        </is>
      </c>
      <c r="F19647" s="16" t="n">
        <v>305005</v>
      </c>
    </row>
    <row r="19648">
      <c r="D19648" s="2" t="inlineStr">
        <is>
          <t>SUBTOTAL BAHAN</t>
        </is>
      </c>
      <c r="F19648" s="16" t="n">
        <v>1960000</v>
      </c>
    </row>
    <row r="19649">
      <c r="D19649" s="2" t="inlineStr">
        <is>
          <t>SUBTOTAL ALAT</t>
        </is>
      </c>
      <c r="F19649" s="16" t="n">
        <v>179960</v>
      </c>
    </row>
    <row r="19650">
      <c r="E19650" s="2" t="inlineStr">
        <is>
          <t>TOTAL HARGA SATUAN (Inc. Overhead)</t>
        </is>
      </c>
      <c r="F19650" s="17" t="n">
        <v>2689461</v>
      </c>
    </row>
    <row r="19652">
      <c r="A19652" s="14" t="inlineStr">
        <is>
          <t>KODE: 9.4.1.10 - Pemasangan 1 m Pipa DCI, DN. 24" (600 mm)</t>
        </is>
      </c>
    </row>
    <row r="19653">
      <c r="A19653" s="10" t="inlineStr">
        <is>
          <t>No</t>
        </is>
      </c>
      <c r="B19653" s="10" t="inlineStr">
        <is>
          <t>Uraian Komponen</t>
        </is>
      </c>
      <c r="C19653" s="10" t="inlineStr">
        <is>
          <t>Satuan</t>
        </is>
      </c>
      <c r="D19653" s="10" t="inlineStr">
        <is>
          <t>Koef</t>
        </is>
      </c>
      <c r="E19653" s="10" t="inlineStr">
        <is>
          <t>Harga Satuan (Rp)</t>
        </is>
      </c>
      <c r="F19653" s="10" t="inlineStr">
        <is>
          <t>Jumlah Harga (Rp)</t>
        </is>
      </c>
    </row>
    <row r="19654">
      <c r="A19654" s="3" t="inlineStr">
        <is>
          <t>1</t>
        </is>
      </c>
      <c r="B19654" s="3" t="inlineStr">
        <is>
          <t>Pekerja</t>
        </is>
      </c>
      <c r="C19654" s="3" t="inlineStr">
        <is>
          <t>OH</t>
        </is>
      </c>
      <c r="D19654" s="15" t="n">
        <v>2.894</v>
      </c>
      <c r="E19654" s="4" t="n">
        <v>100000</v>
      </c>
      <c r="F19654" s="4" t="n">
        <v>289400</v>
      </c>
    </row>
    <row r="19655">
      <c r="A19655" s="3" t="inlineStr">
        <is>
          <t>2</t>
        </is>
      </c>
      <c r="B19655" s="3" t="inlineStr">
        <is>
          <t>Tukang pipa</t>
        </is>
      </c>
      <c r="C19655" s="3" t="inlineStr">
        <is>
          <t>OH</t>
        </is>
      </c>
      <c r="D19655" s="15" t="n">
        <v>0.579</v>
      </c>
      <c r="E19655" s="4" t="n">
        <v>145000</v>
      </c>
      <c r="F19655" s="4" t="n">
        <v>83955</v>
      </c>
    </row>
    <row r="19656">
      <c r="A19656" s="3" t="inlineStr">
        <is>
          <t>3</t>
        </is>
      </c>
      <c r="B19656" s="3" t="inlineStr">
        <is>
          <t>Mandor</t>
        </is>
      </c>
      <c r="C19656" s="3" t="inlineStr">
        <is>
          <t>OH</t>
        </is>
      </c>
      <c r="D19656" s="15" t="n">
        <v>0.29</v>
      </c>
      <c r="E19656" s="4" t="n">
        <v>200000</v>
      </c>
      <c r="F19656" s="4" t="n">
        <v>57999.99999999999</v>
      </c>
    </row>
    <row r="19657">
      <c r="A19657" s="3" t="n">
        <v>1</v>
      </c>
      <c r="B19657" s="3" t="inlineStr">
        <is>
          <t>"Pipa DCI</t>
        </is>
      </c>
      <c r="C19657" s="3" t="inlineStr">
        <is>
          <t>DN. 24""</t>
        </is>
      </c>
    </row>
    <row r="19658">
      <c r="A19658" s="3" t="inlineStr">
        <is>
          <t>(600 mm)"</t>
        </is>
      </c>
      <c r="B19658" s="3" t="inlineStr"/>
      <c r="C19658" s="3" t="inlineStr">
        <is>
          <t>m</t>
        </is>
      </c>
      <c r="D19658" s="15" t="n">
        <v>1</v>
      </c>
      <c r="E19658" s="4" t="n">
        <v>2115000</v>
      </c>
      <c r="F19658" s="4" t="n">
        <v>2115000</v>
      </c>
    </row>
    <row r="19659">
      <c r="A19659" s="3" t="inlineStr">
        <is>
          <t>1</t>
        </is>
      </c>
      <c r="B19659" s="3" t="inlineStr">
        <is>
          <t>Excavator</t>
        </is>
      </c>
      <c r="C19659" s="3" t="inlineStr">
        <is>
          <t>hari</t>
        </is>
      </c>
      <c r="D19659" s="15" t="n">
        <v>0.058</v>
      </c>
      <c r="E19659" s="4" t="n">
        <v>5150000</v>
      </c>
      <c r="F19659" s="4" t="n">
        <v>298700</v>
      </c>
    </row>
    <row r="19660">
      <c r="A19660" s="3" t="inlineStr">
        <is>
          <t>2</t>
        </is>
      </c>
      <c r="B19660" s="3" t="inlineStr">
        <is>
          <t>Sewa Tripot</t>
        </is>
      </c>
      <c r="C19660" s="3" t="inlineStr">
        <is>
          <t>hari</t>
        </is>
      </c>
      <c r="D19660" s="15" t="n">
        <v>0.077</v>
      </c>
      <c r="E19660" s="4" t="n">
        <v>108000</v>
      </c>
      <c r="F19660" s="4" t="n">
        <v>8316</v>
      </c>
    </row>
    <row r="19661">
      <c r="D19661" s="2" t="inlineStr">
        <is>
          <t>SUBTOTAL UPAH</t>
        </is>
      </c>
      <c r="F19661" s="16" t="n">
        <v>431355</v>
      </c>
    </row>
    <row r="19662">
      <c r="D19662" s="2" t="inlineStr">
        <is>
          <t>SUBTOTAL BAHAN</t>
        </is>
      </c>
      <c r="F19662" s="16" t="n">
        <v>2115000</v>
      </c>
    </row>
    <row r="19663">
      <c r="D19663" s="2" t="inlineStr">
        <is>
          <t>SUBTOTAL ALAT</t>
        </is>
      </c>
      <c r="F19663" s="16" t="n">
        <v>307016</v>
      </c>
    </row>
    <row r="19664">
      <c r="E19664" s="2" t="inlineStr">
        <is>
          <t>TOTAL HARGA SATUAN (Inc. Overhead)</t>
        </is>
      </c>
      <c r="F19664" s="17" t="n">
        <v>3138708</v>
      </c>
    </row>
    <row r="19666">
      <c r="A19666" s="14" t="inlineStr">
        <is>
          <t>KODE: 9.4.1.11 - Pemasangan 1 m Pipa DCI, DN. 32" (800 mm)</t>
        </is>
      </c>
    </row>
    <row r="19667">
      <c r="A19667" s="10" t="inlineStr">
        <is>
          <t>No</t>
        </is>
      </c>
      <c r="B19667" s="10" t="inlineStr">
        <is>
          <t>Uraian Komponen</t>
        </is>
      </c>
      <c r="C19667" s="10" t="inlineStr">
        <is>
          <t>Satuan</t>
        </is>
      </c>
      <c r="D19667" s="10" t="inlineStr">
        <is>
          <t>Koef</t>
        </is>
      </c>
      <c r="E19667" s="10" t="inlineStr">
        <is>
          <t>Harga Satuan (Rp)</t>
        </is>
      </c>
      <c r="F19667" s="10" t="inlineStr">
        <is>
          <t>Jumlah Harga (Rp)</t>
        </is>
      </c>
    </row>
    <row r="19668">
      <c r="A19668" s="3" t="inlineStr">
        <is>
          <t>1</t>
        </is>
      </c>
      <c r="B19668" s="3" t="inlineStr">
        <is>
          <t>Pekerja</t>
        </is>
      </c>
      <c r="C19668" s="3" t="inlineStr">
        <is>
          <t>OH</t>
        </is>
      </c>
      <c r="D19668" s="15" t="n">
        <v>3.859</v>
      </c>
      <c r="E19668" s="4" t="n">
        <v>100000</v>
      </c>
      <c r="F19668" s="4" t="n">
        <v>385900</v>
      </c>
    </row>
    <row r="19669">
      <c r="A19669" s="3" t="inlineStr">
        <is>
          <t>2</t>
        </is>
      </c>
      <c r="B19669" s="3" t="inlineStr">
        <is>
          <t>Tukang pipa</t>
        </is>
      </c>
      <c r="C19669" s="3" t="inlineStr">
        <is>
          <t>OH</t>
        </is>
      </c>
      <c r="D19669" s="15" t="n">
        <v>0.772</v>
      </c>
      <c r="E19669" s="4" t="n">
        <v>145000</v>
      </c>
      <c r="F19669" s="4" t="n">
        <v>111940</v>
      </c>
    </row>
    <row r="19670">
      <c r="A19670" s="3" t="inlineStr">
        <is>
          <t>3</t>
        </is>
      </c>
      <c r="B19670" s="3" t="inlineStr">
        <is>
          <t>Mandor</t>
        </is>
      </c>
      <c r="C19670" s="3" t="inlineStr">
        <is>
          <t>OH</t>
        </is>
      </c>
      <c r="D19670" s="15" t="n">
        <v>0.386</v>
      </c>
      <c r="E19670" s="4" t="n">
        <v>200000</v>
      </c>
      <c r="F19670" s="4" t="n">
        <v>77200</v>
      </c>
    </row>
    <row r="19671">
      <c r="A19671" s="3" t="n">
        <v>1</v>
      </c>
      <c r="B19671" s="3" t="inlineStr">
        <is>
          <t>"Pipa DCI</t>
        </is>
      </c>
      <c r="C19671" s="3" t="inlineStr">
        <is>
          <t>DN. 32""</t>
        </is>
      </c>
    </row>
    <row r="19672">
      <c r="A19672" s="3" t="inlineStr">
        <is>
          <t>(800 mm)"</t>
        </is>
      </c>
      <c r="B19672" s="3" t="inlineStr"/>
      <c r="C19672" s="3" t="inlineStr">
        <is>
          <t>m</t>
        </is>
      </c>
      <c r="D19672" s="15" t="n">
        <v>1</v>
      </c>
      <c r="E19672" s="4" t="n">
        <v>2360000</v>
      </c>
      <c r="F19672" s="4" t="n">
        <v>2360000</v>
      </c>
    </row>
    <row r="19673">
      <c r="A19673" s="3" t="inlineStr">
        <is>
          <t>1</t>
        </is>
      </c>
      <c r="B19673" s="3" t="inlineStr">
        <is>
          <t>Excavator</t>
        </is>
      </c>
      <c r="C19673" s="3" t="inlineStr">
        <is>
          <t>hari</t>
        </is>
      </c>
      <c r="D19673" s="15" t="n">
        <v>0.08400000000000001</v>
      </c>
      <c r="E19673" s="4" t="n">
        <v>5150000</v>
      </c>
      <c r="F19673" s="4" t="n">
        <v>432600</v>
      </c>
    </row>
    <row r="19674">
      <c r="A19674" s="3" t="inlineStr">
        <is>
          <t>2</t>
        </is>
      </c>
      <c r="B19674" s="3" t="inlineStr">
        <is>
          <t>Sewa Tripot</t>
        </is>
      </c>
      <c r="C19674" s="3" t="inlineStr">
        <is>
          <t>hari</t>
        </is>
      </c>
      <c r="D19674" s="15" t="n">
        <v>0.225</v>
      </c>
      <c r="E19674" s="4" t="n">
        <v>108000</v>
      </c>
      <c r="F19674" s="4" t="n">
        <v>24300</v>
      </c>
    </row>
    <row r="19675">
      <c r="D19675" s="2" t="inlineStr">
        <is>
          <t>SUBTOTAL UPAH</t>
        </is>
      </c>
      <c r="F19675" s="16" t="n">
        <v>575040</v>
      </c>
    </row>
    <row r="19676">
      <c r="D19676" s="2" t="inlineStr">
        <is>
          <t>SUBTOTAL BAHAN</t>
        </is>
      </c>
      <c r="F19676" s="16" t="n">
        <v>2360000</v>
      </c>
    </row>
    <row r="19677">
      <c r="D19677" s="2" t="inlineStr">
        <is>
          <t>SUBTOTAL ALAT</t>
        </is>
      </c>
      <c r="F19677" s="16" t="n">
        <v>456900</v>
      </c>
    </row>
    <row r="19678">
      <c r="E19678" s="2" t="inlineStr">
        <is>
          <t>TOTAL HARGA SATUAN (Inc. Overhead)</t>
        </is>
      </c>
      <c r="F19678" s="17" t="n">
        <v>3731134</v>
      </c>
    </row>
    <row r="19680">
      <c r="A19680" s="14" t="inlineStr">
        <is>
          <t>KODE: 9.4.1.12 - Pemasangan 1 m Pipa DCI, DN. 36" (900 mm)</t>
        </is>
      </c>
    </row>
    <row r="19681">
      <c r="A19681" s="10" t="inlineStr">
        <is>
          <t>No</t>
        </is>
      </c>
      <c r="B19681" s="10" t="inlineStr">
        <is>
          <t>Uraian Komponen</t>
        </is>
      </c>
      <c r="C19681" s="10" t="inlineStr">
        <is>
          <t>Satuan</t>
        </is>
      </c>
      <c r="D19681" s="10" t="inlineStr">
        <is>
          <t>Koef</t>
        </is>
      </c>
      <c r="E19681" s="10" t="inlineStr">
        <is>
          <t>Harga Satuan (Rp)</t>
        </is>
      </c>
      <c r="F19681" s="10" t="inlineStr">
        <is>
          <t>Jumlah Harga (Rp)</t>
        </is>
      </c>
    </row>
    <row r="19682">
      <c r="A19682" s="3" t="inlineStr">
        <is>
          <t>1</t>
        </is>
      </c>
      <c r="B19682" s="3" t="inlineStr">
        <is>
          <t>Pekerja</t>
        </is>
      </c>
      <c r="C19682" s="3" t="inlineStr">
        <is>
          <t>OH</t>
        </is>
      </c>
      <c r="D19682" s="15" t="n">
        <v>4.995</v>
      </c>
      <c r="E19682" s="4" t="n">
        <v>100000</v>
      </c>
      <c r="F19682" s="4" t="n">
        <v>499500</v>
      </c>
    </row>
    <row r="19683">
      <c r="A19683" s="3" t="inlineStr">
        <is>
          <t>2</t>
        </is>
      </c>
      <c r="B19683" s="3" t="inlineStr">
        <is>
          <t>Tukang pipa</t>
        </is>
      </c>
      <c r="C19683" s="3" t="inlineStr">
        <is>
          <t>OH</t>
        </is>
      </c>
      <c r="D19683" s="15" t="n">
        <v>0.999</v>
      </c>
      <c r="E19683" s="4" t="n">
        <v>145000</v>
      </c>
      <c r="F19683" s="4" t="n">
        <v>144855</v>
      </c>
    </row>
    <row r="19684">
      <c r="A19684" s="3" t="inlineStr">
        <is>
          <t>3</t>
        </is>
      </c>
      <c r="B19684" s="3" t="inlineStr">
        <is>
          <t>Mandor</t>
        </is>
      </c>
      <c r="C19684" s="3" t="inlineStr">
        <is>
          <t>OH</t>
        </is>
      </c>
      <c r="D19684" s="15" t="n">
        <v>0.499</v>
      </c>
      <c r="E19684" s="4" t="n">
        <v>200000</v>
      </c>
      <c r="F19684" s="4" t="n">
        <v>99800</v>
      </c>
    </row>
    <row r="19685">
      <c r="A19685" s="3" t="n">
        <v>1</v>
      </c>
      <c r="B19685" s="3" t="inlineStr">
        <is>
          <t>"Pipa DCI</t>
        </is>
      </c>
      <c r="C19685" s="3" t="inlineStr">
        <is>
          <t>DN. 36""</t>
        </is>
      </c>
    </row>
    <row r="19686">
      <c r="A19686" s="3" t="inlineStr">
        <is>
          <t>(900 mm)"</t>
        </is>
      </c>
      <c r="B19686" s="3" t="inlineStr"/>
      <c r="C19686" s="3" t="inlineStr">
        <is>
          <t>m</t>
        </is>
      </c>
      <c r="D19686" s="15" t="n">
        <v>1</v>
      </c>
      <c r="E19686" s="4" t="n">
        <v>2440000</v>
      </c>
      <c r="F19686" s="4" t="n">
        <v>2440000</v>
      </c>
    </row>
    <row r="19687">
      <c r="A19687" s="3" t="inlineStr">
        <is>
          <t>1</t>
        </is>
      </c>
      <c r="B19687" s="3" t="inlineStr">
        <is>
          <t>Excavator</t>
        </is>
      </c>
      <c r="C19687" s="3" t="inlineStr">
        <is>
          <t>hari</t>
        </is>
      </c>
      <c r="D19687" s="15" t="n">
        <v>0.093</v>
      </c>
      <c r="E19687" s="4" t="n">
        <v>5150000</v>
      </c>
      <c r="F19687" s="4" t="n">
        <v>478950</v>
      </c>
    </row>
    <row r="19688">
      <c r="A19688" s="3" t="inlineStr">
        <is>
          <t>2</t>
        </is>
      </c>
      <c r="B19688" s="3" t="inlineStr">
        <is>
          <t>Sewa Tripot</t>
        </is>
      </c>
      <c r="C19688" s="3" t="inlineStr">
        <is>
          <t>hari</t>
        </is>
      </c>
      <c r="D19688" s="15" t="n">
        <v>0.248</v>
      </c>
      <c r="E19688" s="4" t="n">
        <v>108000</v>
      </c>
      <c r="F19688" s="4" t="n">
        <v>26784</v>
      </c>
    </row>
    <row r="19689">
      <c r="D19689" s="2" t="inlineStr">
        <is>
          <t>SUBTOTAL UPAH</t>
        </is>
      </c>
      <c r="F19689" s="16" t="n">
        <v>744155</v>
      </c>
    </row>
    <row r="19690">
      <c r="D19690" s="2" t="inlineStr">
        <is>
          <t>SUBTOTAL BAHAN</t>
        </is>
      </c>
      <c r="F19690" s="16" t="n">
        <v>2440000</v>
      </c>
    </row>
    <row r="19691">
      <c r="D19691" s="2" t="inlineStr">
        <is>
          <t>SUBTOTAL ALAT</t>
        </is>
      </c>
      <c r="F19691" s="16" t="n">
        <v>505734</v>
      </c>
    </row>
    <row r="19692">
      <c r="E19692" s="2" t="inlineStr">
        <is>
          <t>TOTAL HARGA SATUAN (Inc. Overhead)</t>
        </is>
      </c>
      <c r="F19692" s="17" t="n">
        <v>4058877</v>
      </c>
    </row>
    <row r="19694">
      <c r="A19694" s="14" t="inlineStr">
        <is>
          <t>KODE: 9.4.1.13 - Pemasangan 1 m Pipa DCI, DN. 40" (1000 mm)</t>
        </is>
      </c>
    </row>
    <row r="19695">
      <c r="A19695" s="10" t="inlineStr">
        <is>
          <t>No</t>
        </is>
      </c>
      <c r="B19695" s="10" t="inlineStr">
        <is>
          <t>Uraian Komponen</t>
        </is>
      </c>
      <c r="C19695" s="10" t="inlineStr">
        <is>
          <t>Satuan</t>
        </is>
      </c>
      <c r="D19695" s="10" t="inlineStr">
        <is>
          <t>Koef</t>
        </is>
      </c>
      <c r="E19695" s="10" t="inlineStr">
        <is>
          <t>Harga Satuan (Rp)</t>
        </is>
      </c>
      <c r="F19695" s="10" t="inlineStr">
        <is>
          <t>Jumlah Harga (Rp)</t>
        </is>
      </c>
    </row>
    <row r="19696">
      <c r="A19696" s="3" t="inlineStr">
        <is>
          <t>1</t>
        </is>
      </c>
      <c r="B19696" s="3" t="inlineStr">
        <is>
          <t>Pekerja</t>
        </is>
      </c>
      <c r="C19696" s="3" t="inlineStr">
        <is>
          <t>OH</t>
        </is>
      </c>
      <c r="D19696" s="15" t="n">
        <v>5.931</v>
      </c>
      <c r="E19696" s="4" t="n">
        <v>100000</v>
      </c>
      <c r="F19696" s="4" t="n">
        <v>593100</v>
      </c>
    </row>
    <row r="19697">
      <c r="A19697" s="3" t="inlineStr">
        <is>
          <t>2</t>
        </is>
      </c>
      <c r="B19697" s="3" t="inlineStr">
        <is>
          <t>Tukang pipa</t>
        </is>
      </c>
      <c r="C19697" s="3" t="inlineStr">
        <is>
          <t>OH</t>
        </is>
      </c>
      <c r="D19697" s="15" t="n">
        <v>1.186</v>
      </c>
      <c r="E19697" s="4" t="n">
        <v>145000</v>
      </c>
      <c r="F19697" s="4" t="n">
        <v>171970</v>
      </c>
    </row>
    <row r="19698">
      <c r="A19698" s="3" t="inlineStr">
        <is>
          <t>3</t>
        </is>
      </c>
      <c r="B19698" s="3" t="inlineStr">
        <is>
          <t>Mandor</t>
        </is>
      </c>
      <c r="C19698" s="3" t="inlineStr">
        <is>
          <t>OH</t>
        </is>
      </c>
      <c r="D19698" s="15" t="n">
        <v>0.6929999999999999</v>
      </c>
      <c r="E19698" s="4" t="n">
        <v>200000</v>
      </c>
      <c r="F19698" s="4" t="n">
        <v>138600</v>
      </c>
    </row>
    <row r="19699">
      <c r="A19699" s="3" t="n">
        <v>1</v>
      </c>
      <c r="B19699" s="3" t="inlineStr">
        <is>
          <t>"Pipa DCI</t>
        </is>
      </c>
      <c r="C19699" s="3" t="inlineStr">
        <is>
          <t>DN. 40""</t>
        </is>
      </c>
    </row>
    <row r="19700">
      <c r="A19700" s="3" t="inlineStr">
        <is>
          <t>(1000 mm)"</t>
        </is>
      </c>
      <c r="B19700" s="3" t="inlineStr"/>
      <c r="C19700" s="3" t="inlineStr">
        <is>
          <t>m</t>
        </is>
      </c>
      <c r="D19700" s="15" t="n">
        <v>1</v>
      </c>
      <c r="E19700" s="4" t="n">
        <v>2570000</v>
      </c>
      <c r="F19700" s="4" t="n">
        <v>2570000</v>
      </c>
    </row>
    <row r="19701">
      <c r="A19701" s="3" t="inlineStr">
        <is>
          <t>1</t>
        </is>
      </c>
      <c r="B19701" s="3" t="inlineStr">
        <is>
          <t>Excavator</t>
        </is>
      </c>
      <c r="C19701" s="3" t="inlineStr">
        <is>
          <t>hari</t>
        </is>
      </c>
      <c r="D19701" s="15" t="n">
        <v>0.112</v>
      </c>
      <c r="E19701" s="4" t="n">
        <v>5150000</v>
      </c>
      <c r="F19701" s="4" t="n">
        <v>576800</v>
      </c>
    </row>
    <row r="19702">
      <c r="A19702" s="3" t="inlineStr">
        <is>
          <t>2</t>
        </is>
      </c>
      <c r="B19702" s="3" t="inlineStr">
        <is>
          <t>Sewa Tripot</t>
        </is>
      </c>
      <c r="C19702" s="3" t="inlineStr">
        <is>
          <t>hari</t>
        </is>
      </c>
      <c r="D19702" s="15" t="n">
        <v>0.298</v>
      </c>
      <c r="E19702" s="4" t="n">
        <v>108000</v>
      </c>
      <c r="F19702" s="4" t="n">
        <v>32184</v>
      </c>
    </row>
    <row r="19703">
      <c r="D19703" s="2" t="inlineStr">
        <is>
          <t>SUBTOTAL UPAH</t>
        </is>
      </c>
      <c r="F19703" s="16" t="n">
        <v>903670</v>
      </c>
    </row>
    <row r="19704">
      <c r="D19704" s="2" t="inlineStr">
        <is>
          <t>SUBTOTAL BAHAN</t>
        </is>
      </c>
      <c r="F19704" s="16" t="n">
        <v>2570000</v>
      </c>
    </row>
    <row r="19705">
      <c r="D19705" s="2" t="inlineStr">
        <is>
          <t>SUBTOTAL ALAT</t>
        </is>
      </c>
      <c r="F19705" s="16" t="n">
        <v>608984</v>
      </c>
    </row>
    <row r="19706">
      <c r="E19706" s="2" t="inlineStr">
        <is>
          <t>TOTAL HARGA SATUAN (Inc. Overhead)</t>
        </is>
      </c>
      <c r="F19706" s="17" t="n">
        <v>4490919</v>
      </c>
    </row>
    <row r="19708">
      <c r="A19708" s="14" t="inlineStr">
        <is>
          <t>KODE: 9.4.1.14 - Pemasangan 1 m Pipa DCI, DN. 44" (1100 mm)</t>
        </is>
      </c>
    </row>
    <row r="19709">
      <c r="A19709" s="10" t="inlineStr">
        <is>
          <t>No</t>
        </is>
      </c>
      <c r="B19709" s="10" t="inlineStr">
        <is>
          <t>Uraian Komponen</t>
        </is>
      </c>
      <c r="C19709" s="10" t="inlineStr">
        <is>
          <t>Satuan</t>
        </is>
      </c>
      <c r="D19709" s="10" t="inlineStr">
        <is>
          <t>Koef</t>
        </is>
      </c>
      <c r="E19709" s="10" t="inlineStr">
        <is>
          <t>Harga Satuan (Rp)</t>
        </is>
      </c>
      <c r="F19709" s="10" t="inlineStr">
        <is>
          <t>Jumlah Harga (Rp)</t>
        </is>
      </c>
    </row>
    <row r="19710">
      <c r="A19710" s="3" t="inlineStr">
        <is>
          <t>1</t>
        </is>
      </c>
      <c r="B19710" s="3" t="inlineStr">
        <is>
          <t>Pekerja</t>
        </is>
      </c>
      <c r="C19710" s="3" t="inlineStr">
        <is>
          <t>OH</t>
        </is>
      </c>
      <c r="D19710" s="15" t="n">
        <v>6.949</v>
      </c>
      <c r="E19710" s="4" t="n">
        <v>100000</v>
      </c>
      <c r="F19710" s="4" t="n">
        <v>694900</v>
      </c>
    </row>
    <row r="19711">
      <c r="A19711" s="3" t="inlineStr">
        <is>
          <t>2</t>
        </is>
      </c>
      <c r="B19711" s="3" t="inlineStr">
        <is>
          <t>Tukang pipa</t>
        </is>
      </c>
      <c r="C19711" s="3" t="inlineStr">
        <is>
          <t>OH</t>
        </is>
      </c>
      <c r="D19711" s="15" t="n">
        <v>1.39</v>
      </c>
      <c r="E19711" s="4" t="n">
        <v>145000</v>
      </c>
      <c r="F19711" s="4" t="n">
        <v>201550</v>
      </c>
    </row>
    <row r="19712">
      <c r="A19712" s="3" t="inlineStr">
        <is>
          <t>3</t>
        </is>
      </c>
      <c r="B19712" s="3" t="inlineStr">
        <is>
          <t>Mandor</t>
        </is>
      </c>
      <c r="C19712" s="3" t="inlineStr">
        <is>
          <t>OH</t>
        </is>
      </c>
      <c r="D19712" s="15" t="n">
        <v>0.695</v>
      </c>
      <c r="E19712" s="4" t="n">
        <v>200000</v>
      </c>
      <c r="F19712" s="4" t="n">
        <v>139000</v>
      </c>
    </row>
    <row r="19713">
      <c r="A19713" s="3" t="n">
        <v>1</v>
      </c>
      <c r="B19713" s="3" t="inlineStr">
        <is>
          <t>"Pipa DCI</t>
        </is>
      </c>
      <c r="C19713" s="3" t="inlineStr">
        <is>
          <t>DN. 44""</t>
        </is>
      </c>
    </row>
    <row r="19714">
      <c r="A19714" s="3" t="inlineStr">
        <is>
          <t>(1100 mm)"</t>
        </is>
      </c>
      <c r="B19714" s="3" t="inlineStr"/>
      <c r="C19714" s="3" t="inlineStr">
        <is>
          <t>m</t>
        </is>
      </c>
      <c r="D19714" s="15" t="n">
        <v>1</v>
      </c>
      <c r="E19714" s="4" t="n">
        <v>2730000</v>
      </c>
      <c r="F19714" s="4" t="n">
        <v>2730000</v>
      </c>
    </row>
    <row r="19715">
      <c r="A19715" s="3" t="inlineStr">
        <is>
          <t>1</t>
        </is>
      </c>
      <c r="B19715" s="3" t="inlineStr">
        <is>
          <t>Excavator</t>
        </is>
      </c>
      <c r="C19715" s="3" t="inlineStr">
        <is>
          <t>hari</t>
        </is>
      </c>
      <c r="D19715" s="15" t="n">
        <v>0.152</v>
      </c>
      <c r="E19715" s="4" t="n">
        <v>5150000</v>
      </c>
      <c r="F19715" s="4" t="n">
        <v>782800</v>
      </c>
    </row>
    <row r="19716">
      <c r="A19716" s="3" t="inlineStr">
        <is>
          <t>2</t>
        </is>
      </c>
      <c r="B19716" s="3" t="inlineStr">
        <is>
          <t>Sewa Tripot</t>
        </is>
      </c>
      <c r="C19716" s="3" t="inlineStr">
        <is>
          <t>hari</t>
        </is>
      </c>
      <c r="D19716" s="15" t="n">
        <v>0.304</v>
      </c>
      <c r="E19716" s="4" t="n">
        <v>108000</v>
      </c>
      <c r="F19716" s="4" t="n">
        <v>32832</v>
      </c>
    </row>
    <row r="19717">
      <c r="D19717" s="2" t="inlineStr">
        <is>
          <t>SUBTOTAL UPAH</t>
        </is>
      </c>
      <c r="F19717" s="16" t="n">
        <v>1035450</v>
      </c>
    </row>
    <row r="19718">
      <c r="D19718" s="2" t="inlineStr">
        <is>
          <t>SUBTOTAL BAHAN</t>
        </is>
      </c>
      <c r="F19718" s="16" t="n">
        <v>2730000</v>
      </c>
    </row>
    <row r="19719">
      <c r="D19719" s="2" t="inlineStr">
        <is>
          <t>SUBTOTAL ALAT</t>
        </is>
      </c>
      <c r="F19719" s="16" t="n">
        <v>815632</v>
      </c>
    </row>
    <row r="19720">
      <c r="E19720" s="2" t="inlineStr">
        <is>
          <t>TOTAL HARGA SATUAN (Inc. Overhead)</t>
        </is>
      </c>
      <c r="F19720" s="17" t="n">
        <v>5039190</v>
      </c>
    </row>
    <row r="19722">
      <c r="A19722" s="14" t="inlineStr">
        <is>
          <t>KODE: 9.4.1.15 - Pemasangan 1 m Pipa DCI, DN. 48" (1200 mm)</t>
        </is>
      </c>
    </row>
    <row r="19723">
      <c r="A19723" s="10" t="inlineStr">
        <is>
          <t>No</t>
        </is>
      </c>
      <c r="B19723" s="10" t="inlineStr">
        <is>
          <t>Uraian Komponen</t>
        </is>
      </c>
      <c r="C19723" s="10" t="inlineStr">
        <is>
          <t>Satuan</t>
        </is>
      </c>
      <c r="D19723" s="10" t="inlineStr">
        <is>
          <t>Koef</t>
        </is>
      </c>
      <c r="E19723" s="10" t="inlineStr">
        <is>
          <t>Harga Satuan (Rp)</t>
        </is>
      </c>
      <c r="F19723" s="10" t="inlineStr">
        <is>
          <t>Jumlah Harga (Rp)</t>
        </is>
      </c>
    </row>
    <row r="19724">
      <c r="A19724" s="3" t="inlineStr">
        <is>
          <t>1</t>
        </is>
      </c>
      <c r="B19724" s="3" t="inlineStr">
        <is>
          <t>Pekerja</t>
        </is>
      </c>
      <c r="C19724" s="3" t="inlineStr">
        <is>
          <t>OH</t>
        </is>
      </c>
      <c r="D19724" s="15" t="n">
        <v>8.055999999999999</v>
      </c>
      <c r="E19724" s="4" t="n">
        <v>100000</v>
      </c>
      <c r="F19724" s="4" t="n">
        <v>805599.9999999999</v>
      </c>
    </row>
    <row r="19725">
      <c r="A19725" s="3" t="inlineStr">
        <is>
          <t>2</t>
        </is>
      </c>
      <c r="B19725" s="3" t="inlineStr">
        <is>
          <t>Tukang pipa</t>
        </is>
      </c>
      <c r="C19725" s="3" t="inlineStr">
        <is>
          <t>OH</t>
        </is>
      </c>
      <c r="D19725" s="15" t="n">
        <v>1.611</v>
      </c>
      <c r="E19725" s="4" t="n">
        <v>145000</v>
      </c>
      <c r="F19725" s="4" t="n">
        <v>233595</v>
      </c>
    </row>
    <row r="19726">
      <c r="A19726" s="3" t="inlineStr">
        <is>
          <t>3</t>
        </is>
      </c>
      <c r="B19726" s="3" t="inlineStr">
        <is>
          <t>Mandor</t>
        </is>
      </c>
      <c r="C19726" s="3" t="inlineStr">
        <is>
          <t>OH</t>
        </is>
      </c>
      <c r="D19726" s="15" t="n">
        <v>0.806</v>
      </c>
      <c r="E19726" s="4" t="n">
        <v>200000</v>
      </c>
      <c r="F19726" s="4" t="n">
        <v>161200</v>
      </c>
    </row>
    <row r="19727">
      <c r="A19727" s="3" t="n">
        <v>1</v>
      </c>
      <c r="B19727" s="3" t="inlineStr">
        <is>
          <t>"Pipa DCI</t>
        </is>
      </c>
      <c r="C19727" s="3" t="inlineStr">
        <is>
          <t>DN. 48""</t>
        </is>
      </c>
    </row>
    <row r="19728">
      <c r="A19728" s="3" t="inlineStr">
        <is>
          <t>(1200 mm)"</t>
        </is>
      </c>
      <c r="B19728" s="3" t="inlineStr"/>
      <c r="C19728" s="3" t="inlineStr">
        <is>
          <t>m</t>
        </is>
      </c>
      <c r="D19728" s="15" t="n">
        <v>1</v>
      </c>
      <c r="E19728" s="4" t="n">
        <v>236000</v>
      </c>
      <c r="F19728" s="4" t="n">
        <v>236000</v>
      </c>
    </row>
    <row r="19729">
      <c r="A19729" s="3" t="inlineStr">
        <is>
          <t>1</t>
        </is>
      </c>
      <c r="B19729" s="3" t="inlineStr">
        <is>
          <t>Excavator</t>
        </is>
      </c>
      <c r="C19729" s="3" t="inlineStr">
        <is>
          <t>hari</t>
        </is>
      </c>
      <c r="D19729" s="15" t="n">
        <v>0.18</v>
      </c>
      <c r="E19729" s="4" t="n">
        <v>5150000</v>
      </c>
      <c r="F19729" s="4" t="n">
        <v>927000</v>
      </c>
    </row>
    <row r="19730">
      <c r="A19730" s="3" t="inlineStr">
        <is>
          <t>2</t>
        </is>
      </c>
      <c r="B19730" s="3" t="inlineStr">
        <is>
          <t>Sewa Tripot</t>
        </is>
      </c>
      <c r="C19730" s="3" t="inlineStr">
        <is>
          <t>hari</t>
        </is>
      </c>
      <c r="D19730" s="15" t="n">
        <v>0.26</v>
      </c>
      <c r="E19730" s="4" t="n">
        <v>108000</v>
      </c>
      <c r="F19730" s="4" t="n">
        <v>28080</v>
      </c>
    </row>
    <row r="19731">
      <c r="D19731" s="2" t="inlineStr">
        <is>
          <t>SUBTOTAL UPAH</t>
        </is>
      </c>
      <c r="F19731" s="16" t="n">
        <v>1200395</v>
      </c>
    </row>
    <row r="19732">
      <c r="D19732" s="2" t="inlineStr">
        <is>
          <t>SUBTOTAL BAHAN</t>
        </is>
      </c>
      <c r="F19732" s="16" t="n">
        <v>236000</v>
      </c>
    </row>
    <row r="19733">
      <c r="D19733" s="2" t="inlineStr">
        <is>
          <t>SUBTOTAL ALAT</t>
        </is>
      </c>
      <c r="F19733" s="16" t="n">
        <v>955080</v>
      </c>
    </row>
    <row r="19734">
      <c r="E19734" s="2" t="inlineStr">
        <is>
          <t>TOTAL HARGA SATUAN (Inc. Overhead)</t>
        </is>
      </c>
      <c r="F19734" s="17" t="n">
        <v>2630622</v>
      </c>
    </row>
    <row r="19736">
      <c r="A19736" s="14" t="inlineStr">
        <is>
          <t>KODE: 9.4.2.1 - Pemotongan 1 Buah Pipa DCI, DN. 4" (100 mm)</t>
        </is>
      </c>
    </row>
    <row r="19737">
      <c r="A19737" s="10" t="inlineStr">
        <is>
          <t>No</t>
        </is>
      </c>
      <c r="B19737" s="10" t="inlineStr">
        <is>
          <t>Uraian Komponen</t>
        </is>
      </c>
      <c r="C19737" s="10" t="inlineStr">
        <is>
          <t>Satuan</t>
        </is>
      </c>
      <c r="D19737" s="10" t="inlineStr">
        <is>
          <t>Koef</t>
        </is>
      </c>
      <c r="E19737" s="10" t="inlineStr">
        <is>
          <t>Harga Satuan (Rp)</t>
        </is>
      </c>
      <c r="F19737" s="10" t="inlineStr">
        <is>
          <t>Jumlah Harga (Rp)</t>
        </is>
      </c>
    </row>
    <row r="19738">
      <c r="A19738" s="3" t="inlineStr">
        <is>
          <t>1</t>
        </is>
      </c>
      <c r="B19738" s="3" t="inlineStr">
        <is>
          <t>Pekerja</t>
        </is>
      </c>
      <c r="C19738" s="3" t="inlineStr">
        <is>
          <t>OH</t>
        </is>
      </c>
      <c r="D19738" s="15" t="n">
        <v>0.07099999999999999</v>
      </c>
      <c r="E19738" s="4" t="n">
        <v>100000</v>
      </c>
      <c r="F19738" s="4" t="n">
        <v>7099.999999999999</v>
      </c>
    </row>
    <row r="19739">
      <c r="A19739" s="3" t="inlineStr">
        <is>
          <t>2</t>
        </is>
      </c>
      <c r="B19739" s="3" t="inlineStr">
        <is>
          <t>Tukang pipa</t>
        </is>
      </c>
      <c r="C19739" s="3" t="inlineStr">
        <is>
          <t>OH</t>
        </is>
      </c>
      <c r="D19739" s="15" t="n">
        <v>0.014</v>
      </c>
      <c r="E19739" s="4" t="n">
        <v>145000</v>
      </c>
      <c r="F19739" s="4" t="n">
        <v>2030</v>
      </c>
    </row>
    <row r="19740">
      <c r="A19740" s="3" t="inlineStr">
        <is>
          <t>3</t>
        </is>
      </c>
      <c r="B19740" s="3" t="inlineStr">
        <is>
          <t>Mandor</t>
        </is>
      </c>
      <c r="C19740" s="3" t="inlineStr">
        <is>
          <t>OH</t>
        </is>
      </c>
      <c r="D19740" s="15" t="n">
        <v>0.007</v>
      </c>
      <c r="E19740" s="4" t="n">
        <v>200000</v>
      </c>
      <c r="F19740" s="4" t="n">
        <v>1400</v>
      </c>
    </row>
    <row r="19741">
      <c r="A19741" s="3" t="inlineStr">
        <is>
          <t>T2/mekanik / cilinder saw"</t>
        </is>
      </c>
      <c r="B19741" s="3" t="inlineStr"/>
      <c r="C19741" s="3" t="inlineStr">
        <is>
          <t>hari</t>
        </is>
      </c>
      <c r="D19741" s="15" t="n">
        <v>0.003</v>
      </c>
      <c r="E19741" s="4" t="n">
        <v>75000</v>
      </c>
      <c r="F19741" s="4" t="n">
        <v>225</v>
      </c>
    </row>
    <row r="19742">
      <c r="D19742" s="2" t="inlineStr">
        <is>
          <t>SUBTOTAL UPAH</t>
        </is>
      </c>
      <c r="F19742" s="16" t="n">
        <v>10530</v>
      </c>
    </row>
    <row r="19743">
      <c r="D19743" s="2" t="inlineStr">
        <is>
          <t>SUBTOTAL BAHAN</t>
        </is>
      </c>
      <c r="F19743" s="16" t="n">
        <v>0</v>
      </c>
    </row>
    <row r="19744">
      <c r="D19744" s="2" t="inlineStr">
        <is>
          <t>SUBTOTAL ALAT</t>
        </is>
      </c>
      <c r="F19744" s="16" t="n">
        <v>225</v>
      </c>
    </row>
    <row r="19745">
      <c r="E19745" s="2" t="inlineStr">
        <is>
          <t>TOTAL HARGA SATUAN (Inc. Overhead)</t>
        </is>
      </c>
      <c r="F19745" s="17" t="n">
        <v>11830</v>
      </c>
    </row>
    <row r="19747">
      <c r="A19747" s="14" t="inlineStr">
        <is>
          <t>KODE: 9.4.2.2 - Pemotongan 1 Buah Pipa DCI, DN. 5" (125 mm)</t>
        </is>
      </c>
    </row>
    <row r="19748">
      <c r="A19748" s="10" t="inlineStr">
        <is>
          <t>No</t>
        </is>
      </c>
      <c r="B19748" s="10" t="inlineStr">
        <is>
          <t>Uraian Komponen</t>
        </is>
      </c>
      <c r="C19748" s="10" t="inlineStr">
        <is>
          <t>Satuan</t>
        </is>
      </c>
      <c r="D19748" s="10" t="inlineStr">
        <is>
          <t>Koef</t>
        </is>
      </c>
      <c r="E19748" s="10" t="inlineStr">
        <is>
          <t>Harga Satuan (Rp)</t>
        </is>
      </c>
      <c r="F19748" s="10" t="inlineStr">
        <is>
          <t>Jumlah Harga (Rp)</t>
        </is>
      </c>
    </row>
    <row r="19749">
      <c r="A19749" s="3" t="inlineStr">
        <is>
          <t>1</t>
        </is>
      </c>
      <c r="B19749" s="3" t="inlineStr">
        <is>
          <t>Pekerja</t>
        </is>
      </c>
      <c r="C19749" s="3" t="inlineStr">
        <is>
          <t>OH</t>
        </is>
      </c>
      <c r="D19749" s="15" t="n">
        <v>0.112</v>
      </c>
      <c r="E19749" s="4" t="n">
        <v>100000</v>
      </c>
      <c r="F19749" s="4" t="n">
        <v>11200</v>
      </c>
    </row>
    <row r="19750">
      <c r="A19750" s="3" t="inlineStr">
        <is>
          <t>2</t>
        </is>
      </c>
      <c r="B19750" s="3" t="inlineStr">
        <is>
          <t>Tukang pipa</t>
        </is>
      </c>
      <c r="C19750" s="3" t="inlineStr">
        <is>
          <t>OH</t>
        </is>
      </c>
      <c r="D19750" s="15" t="n">
        <v>0.022</v>
      </c>
      <c r="E19750" s="4" t="n">
        <v>145000</v>
      </c>
      <c r="F19750" s="4" t="n">
        <v>3190</v>
      </c>
    </row>
    <row r="19751">
      <c r="A19751" s="3" t="inlineStr">
        <is>
          <t>3</t>
        </is>
      </c>
      <c r="B19751" s="3" t="inlineStr">
        <is>
          <t>Mandor</t>
        </is>
      </c>
      <c r="C19751" s="3" t="inlineStr">
        <is>
          <t>OH</t>
        </is>
      </c>
      <c r="D19751" s="15" t="n">
        <v>0.011</v>
      </c>
      <c r="E19751" s="4" t="n">
        <v>200000</v>
      </c>
      <c r="F19751" s="4" t="n">
        <v>2200</v>
      </c>
    </row>
    <row r="19752">
      <c r="A19752" s="3" t="inlineStr">
        <is>
          <t>T2/mekanik / cilinder saw"</t>
        </is>
      </c>
      <c r="B19752" s="3" t="inlineStr"/>
      <c r="C19752" s="3" t="inlineStr">
        <is>
          <t>hari</t>
        </is>
      </c>
      <c r="D19752" s="15" t="n">
        <v>0.01</v>
      </c>
      <c r="E19752" s="4" t="n">
        <v>75000</v>
      </c>
      <c r="F19752" s="4" t="n">
        <v>750</v>
      </c>
    </row>
    <row r="19753">
      <c r="D19753" s="2" t="inlineStr">
        <is>
          <t>SUBTOTAL UPAH</t>
        </is>
      </c>
      <c r="F19753" s="16" t="n">
        <v>16590</v>
      </c>
    </row>
    <row r="19754">
      <c r="D19754" s="2" t="inlineStr">
        <is>
          <t>SUBTOTAL BAHAN</t>
        </is>
      </c>
      <c r="F19754" s="16" t="n">
        <v>0</v>
      </c>
    </row>
    <row r="19755">
      <c r="D19755" s="2" t="inlineStr">
        <is>
          <t>SUBTOTAL ALAT</t>
        </is>
      </c>
      <c r="F19755" s="16" t="n">
        <v>750</v>
      </c>
    </row>
    <row r="19756">
      <c r="E19756" s="2" t="inlineStr">
        <is>
          <t>TOTAL HARGA SATUAN (Inc. Overhead)</t>
        </is>
      </c>
      <c r="F19756" s="17" t="n">
        <v>19074</v>
      </c>
    </row>
    <row r="19758">
      <c r="A19758" s="14" t="inlineStr">
        <is>
          <t>KODE: 9.4.2.3 - Pemotongan 1 Buah Pipa DCI, DN. 6" (150 mm)</t>
        </is>
      </c>
    </row>
    <row r="19759">
      <c r="A19759" s="10" t="inlineStr">
        <is>
          <t>No</t>
        </is>
      </c>
      <c r="B19759" s="10" t="inlineStr">
        <is>
          <t>Uraian Komponen</t>
        </is>
      </c>
      <c r="C19759" s="10" t="inlineStr">
        <is>
          <t>Satuan</t>
        </is>
      </c>
      <c r="D19759" s="10" t="inlineStr">
        <is>
          <t>Koef</t>
        </is>
      </c>
      <c r="E19759" s="10" t="inlineStr">
        <is>
          <t>Harga Satuan (Rp)</t>
        </is>
      </c>
      <c r="F19759" s="10" t="inlineStr">
        <is>
          <t>Jumlah Harga (Rp)</t>
        </is>
      </c>
    </row>
    <row r="19760">
      <c r="A19760" s="3" t="inlineStr">
        <is>
          <t>1</t>
        </is>
      </c>
      <c r="B19760" s="3" t="inlineStr">
        <is>
          <t>Pekerja</t>
        </is>
      </c>
      <c r="C19760" s="3" t="inlineStr">
        <is>
          <t>OH</t>
        </is>
      </c>
      <c r="D19760" s="15" t="n">
        <v>0.159</v>
      </c>
      <c r="E19760" s="4" t="n">
        <v>100000</v>
      </c>
      <c r="F19760" s="4" t="n">
        <v>15900</v>
      </c>
    </row>
    <row r="19761">
      <c r="A19761" s="3" t="inlineStr">
        <is>
          <t>2</t>
        </is>
      </c>
      <c r="B19761" s="3" t="inlineStr">
        <is>
          <t>Tukang pipa</t>
        </is>
      </c>
      <c r="C19761" s="3" t="inlineStr">
        <is>
          <t>OH</t>
        </is>
      </c>
      <c r="D19761" s="15" t="n">
        <v>0.032</v>
      </c>
      <c r="E19761" s="4" t="n">
        <v>145000</v>
      </c>
      <c r="F19761" s="4" t="n">
        <v>4640</v>
      </c>
    </row>
    <row r="19762">
      <c r="A19762" s="3" t="inlineStr">
        <is>
          <t>3</t>
        </is>
      </c>
      <c r="B19762" s="3" t="inlineStr">
        <is>
          <t>Mandor</t>
        </is>
      </c>
      <c r="C19762" s="3" t="inlineStr">
        <is>
          <t>OH</t>
        </is>
      </c>
      <c r="D19762" s="15" t="n">
        <v>0.016</v>
      </c>
      <c r="E19762" s="4" t="n">
        <v>200000</v>
      </c>
      <c r="F19762" s="4" t="n">
        <v>3200</v>
      </c>
    </row>
    <row r="19763">
      <c r="A19763" s="3" t="inlineStr">
        <is>
          <t>T2/mekanik / cilinder saw"</t>
        </is>
      </c>
      <c r="B19763" s="3" t="inlineStr"/>
      <c r="C19763" s="3" t="inlineStr">
        <is>
          <t>hari</t>
        </is>
      </c>
      <c r="D19763" s="15" t="n">
        <v>0.018</v>
      </c>
      <c r="E19763" s="4" t="n">
        <v>75000</v>
      </c>
      <c r="F19763" s="4" t="n">
        <v>1350</v>
      </c>
    </row>
    <row r="19764">
      <c r="D19764" s="2" t="inlineStr">
        <is>
          <t>SUBTOTAL UPAH</t>
        </is>
      </c>
      <c r="F19764" s="16" t="n">
        <v>23740</v>
      </c>
    </row>
    <row r="19765">
      <c r="D19765" s="2" t="inlineStr">
        <is>
          <t>SUBTOTAL BAHAN</t>
        </is>
      </c>
      <c r="F19765" s="16" t="n">
        <v>0</v>
      </c>
    </row>
    <row r="19766">
      <c r="D19766" s="2" t="inlineStr">
        <is>
          <t>SUBTOTAL ALAT</t>
        </is>
      </c>
      <c r="F19766" s="16" t="n">
        <v>1350</v>
      </c>
    </row>
    <row r="19767">
      <c r="E19767" s="2" t="inlineStr">
        <is>
          <t>TOTAL HARGA SATUAN (Inc. Overhead)</t>
        </is>
      </c>
      <c r="F19767" s="17" t="n">
        <v>27599</v>
      </c>
    </row>
    <row r="19769">
      <c r="A19769" s="14" t="inlineStr">
        <is>
          <t>KODE: 9.4.2.4 - Pemotongan 1 Buah Pipa DCI, DN. 8" (200 mm)</t>
        </is>
      </c>
    </row>
    <row r="19770">
      <c r="A19770" s="10" t="inlineStr">
        <is>
          <t>No</t>
        </is>
      </c>
      <c r="B19770" s="10" t="inlineStr">
        <is>
          <t>Uraian Komponen</t>
        </is>
      </c>
      <c r="C19770" s="10" t="inlineStr">
        <is>
          <t>Satuan</t>
        </is>
      </c>
      <c r="D19770" s="10" t="inlineStr">
        <is>
          <t>Koef</t>
        </is>
      </c>
      <c r="E19770" s="10" t="inlineStr">
        <is>
          <t>Harga Satuan (Rp)</t>
        </is>
      </c>
      <c r="F19770" s="10" t="inlineStr">
        <is>
          <t>Jumlah Harga (Rp)</t>
        </is>
      </c>
    </row>
    <row r="19771">
      <c r="A19771" s="3" t="inlineStr">
        <is>
          <t>1</t>
        </is>
      </c>
      <c r="B19771" s="3" t="inlineStr">
        <is>
          <t>Pekerja</t>
        </is>
      </c>
      <c r="C19771" s="3" t="inlineStr">
        <is>
          <t>OH</t>
        </is>
      </c>
      <c r="D19771" s="15" t="n">
        <v>0.366</v>
      </c>
      <c r="E19771" s="4" t="n">
        <v>100000</v>
      </c>
      <c r="F19771" s="4" t="n">
        <v>36600</v>
      </c>
    </row>
    <row r="19772">
      <c r="A19772" s="3" t="inlineStr">
        <is>
          <t>2</t>
        </is>
      </c>
      <c r="B19772" s="3" t="inlineStr">
        <is>
          <t>Tukang pipa</t>
        </is>
      </c>
      <c r="C19772" s="3" t="inlineStr">
        <is>
          <t>OH</t>
        </is>
      </c>
      <c r="D19772" s="15" t="n">
        <v>0.073</v>
      </c>
      <c r="E19772" s="4" t="n">
        <v>145000</v>
      </c>
      <c r="F19772" s="4" t="n">
        <v>10585</v>
      </c>
    </row>
    <row r="19773">
      <c r="A19773" s="3" t="inlineStr">
        <is>
          <t>3</t>
        </is>
      </c>
      <c r="B19773" s="3" t="inlineStr">
        <is>
          <t>Mandor</t>
        </is>
      </c>
      <c r="C19773" s="3" t="inlineStr">
        <is>
          <t>OH</t>
        </is>
      </c>
      <c r="D19773" s="15" t="n">
        <v>0.037</v>
      </c>
      <c r="E19773" s="4" t="n">
        <v>200000</v>
      </c>
      <c r="F19773" s="4" t="n">
        <v>7400</v>
      </c>
    </row>
    <row r="19774">
      <c r="A19774" s="3" t="inlineStr">
        <is>
          <t>T2/mekanik / cilinder saw"</t>
        </is>
      </c>
      <c r="B19774" s="3" t="inlineStr"/>
      <c r="C19774" s="3" t="inlineStr">
        <is>
          <t>hari</t>
        </is>
      </c>
      <c r="D19774" s="15" t="n">
        <v>0.054</v>
      </c>
      <c r="E19774" s="4" t="n">
        <v>75000</v>
      </c>
      <c r="F19774" s="4" t="n">
        <v>4050</v>
      </c>
    </row>
    <row r="19775">
      <c r="D19775" s="2" t="inlineStr">
        <is>
          <t>SUBTOTAL UPAH</t>
        </is>
      </c>
      <c r="F19775" s="16" t="n">
        <v>54585</v>
      </c>
    </row>
    <row r="19776">
      <c r="D19776" s="2" t="inlineStr">
        <is>
          <t>SUBTOTAL BAHAN</t>
        </is>
      </c>
      <c r="F19776" s="16" t="n">
        <v>0</v>
      </c>
    </row>
    <row r="19777">
      <c r="D19777" s="2" t="inlineStr">
        <is>
          <t>SUBTOTAL ALAT</t>
        </is>
      </c>
      <c r="F19777" s="16" t="n">
        <v>4050</v>
      </c>
    </row>
    <row r="19778">
      <c r="E19778" s="2" t="inlineStr">
        <is>
          <t>TOTAL HARGA SATUAN (Inc. Overhead)</t>
        </is>
      </c>
      <c r="F19778" s="17" t="n">
        <v>64498</v>
      </c>
    </row>
    <row r="19780">
      <c r="A19780" s="14" t="inlineStr">
        <is>
          <t>KODE: 9.4.2.5 - Pemotongan 1 Buah Pipa DCI, DN. 10" (250 mm)</t>
        </is>
      </c>
    </row>
    <row r="19781">
      <c r="A19781" s="10" t="inlineStr">
        <is>
          <t>No</t>
        </is>
      </c>
      <c r="B19781" s="10" t="inlineStr">
        <is>
          <t>Uraian Komponen</t>
        </is>
      </c>
      <c r="C19781" s="10" t="inlineStr">
        <is>
          <t>Satuan</t>
        </is>
      </c>
      <c r="D19781" s="10" t="inlineStr">
        <is>
          <t>Koef</t>
        </is>
      </c>
      <c r="E19781" s="10" t="inlineStr">
        <is>
          <t>Harga Satuan (Rp)</t>
        </is>
      </c>
      <c r="F19781" s="10" t="inlineStr">
        <is>
          <t>Jumlah Harga (Rp)</t>
        </is>
      </c>
    </row>
    <row r="19782">
      <c r="A19782" s="3" t="inlineStr">
        <is>
          <t>1</t>
        </is>
      </c>
      <c r="B19782" s="3" t="inlineStr">
        <is>
          <t>Pekerja</t>
        </is>
      </c>
      <c r="C19782" s="3" t="inlineStr">
        <is>
          <t>OH</t>
        </is>
      </c>
      <c r="D19782" s="15" t="n">
        <v>0.476</v>
      </c>
      <c r="E19782" s="4" t="n">
        <v>100000</v>
      </c>
      <c r="F19782" s="4" t="n">
        <v>47600</v>
      </c>
    </row>
    <row r="19783">
      <c r="A19783" s="3" t="inlineStr">
        <is>
          <t>2</t>
        </is>
      </c>
      <c r="B19783" s="3" t="inlineStr">
        <is>
          <t>Tukang pipa</t>
        </is>
      </c>
      <c r="C19783" s="3" t="inlineStr">
        <is>
          <t>OH</t>
        </is>
      </c>
      <c r="D19783" s="15" t="n">
        <v>0.095</v>
      </c>
      <c r="E19783" s="4" t="n">
        <v>145000</v>
      </c>
      <c r="F19783" s="4" t="n">
        <v>13775</v>
      </c>
    </row>
    <row r="19784">
      <c r="A19784" s="3" t="inlineStr">
        <is>
          <t>3</t>
        </is>
      </c>
      <c r="B19784" s="3" t="inlineStr">
        <is>
          <t>Mandor</t>
        </is>
      </c>
      <c r="C19784" s="3" t="inlineStr">
        <is>
          <t>OH</t>
        </is>
      </c>
      <c r="D19784" s="15" t="n">
        <v>0.048</v>
      </c>
      <c r="E19784" s="4" t="n">
        <v>200000</v>
      </c>
      <c r="F19784" s="4" t="n">
        <v>9600</v>
      </c>
    </row>
    <row r="19785">
      <c r="A19785" s="3" t="inlineStr">
        <is>
          <t>T2/mekanik / cilinder saw"</t>
        </is>
      </c>
      <c r="B19785" s="3" t="inlineStr"/>
      <c r="C19785" s="3" t="inlineStr">
        <is>
          <t>hari</t>
        </is>
      </c>
      <c r="D19785" s="15" t="n">
        <v>0.073</v>
      </c>
      <c r="E19785" s="4" t="n">
        <v>75000</v>
      </c>
      <c r="F19785" s="4" t="n">
        <v>5475</v>
      </c>
    </row>
    <row r="19786">
      <c r="D19786" s="2" t="inlineStr">
        <is>
          <t>SUBTOTAL UPAH</t>
        </is>
      </c>
      <c r="F19786" s="16" t="n">
        <v>70975</v>
      </c>
    </row>
    <row r="19787">
      <c r="D19787" s="2" t="inlineStr">
        <is>
          <t>SUBTOTAL BAHAN</t>
        </is>
      </c>
      <c r="F19787" s="16" t="n">
        <v>0</v>
      </c>
    </row>
    <row r="19788">
      <c r="D19788" s="2" t="inlineStr">
        <is>
          <t>SUBTOTAL ALAT</t>
        </is>
      </c>
      <c r="F19788" s="16" t="n">
        <v>5475</v>
      </c>
    </row>
    <row r="19789">
      <c r="E19789" s="2" t="inlineStr">
        <is>
          <t>TOTAL HARGA SATUAN (Inc. Overhead)</t>
        </is>
      </c>
      <c r="F19789" s="17" t="n">
        <v>84095</v>
      </c>
    </row>
    <row r="19791">
      <c r="A19791" s="14" t="inlineStr">
        <is>
          <t>KODE: 9.4.2.6 - Pemotongan 1 Buah Pipa DCI, DN. 12" (300 mm)</t>
        </is>
      </c>
    </row>
    <row r="19792">
      <c r="A19792" s="10" t="inlineStr">
        <is>
          <t>No</t>
        </is>
      </c>
      <c r="B19792" s="10" t="inlineStr">
        <is>
          <t>Uraian Komponen</t>
        </is>
      </c>
      <c r="C19792" s="10" t="inlineStr">
        <is>
          <t>Satuan</t>
        </is>
      </c>
      <c r="D19792" s="10" t="inlineStr">
        <is>
          <t>Koef</t>
        </is>
      </c>
      <c r="E19792" s="10" t="inlineStr">
        <is>
          <t>Harga Satuan (Rp)</t>
        </is>
      </c>
      <c r="F19792" s="10" t="inlineStr">
        <is>
          <t>Jumlah Harga (Rp)</t>
        </is>
      </c>
    </row>
    <row r="19793">
      <c r="A19793" s="3" t="inlineStr">
        <is>
          <t>1</t>
        </is>
      </c>
      <c r="B19793" s="3" t="inlineStr">
        <is>
          <t>Pekerja</t>
        </is>
      </c>
      <c r="C19793" s="3" t="inlineStr">
        <is>
          <t>OH</t>
        </is>
      </c>
      <c r="D19793" s="15" t="n">
        <v>0.512</v>
      </c>
      <c r="E19793" s="4" t="n">
        <v>100000</v>
      </c>
      <c r="F19793" s="4" t="n">
        <v>51200</v>
      </c>
    </row>
    <row r="19794">
      <c r="A19794" s="3" t="inlineStr">
        <is>
          <t>2</t>
        </is>
      </c>
      <c r="B19794" s="3" t="inlineStr">
        <is>
          <t>Tukang pipa</t>
        </is>
      </c>
      <c r="C19794" s="3" t="inlineStr">
        <is>
          <t>OH</t>
        </is>
      </c>
      <c r="D19794" s="15" t="n">
        <v>0.102</v>
      </c>
      <c r="E19794" s="4" t="n">
        <v>145000</v>
      </c>
      <c r="F19794" s="4" t="n">
        <v>14790</v>
      </c>
    </row>
    <row r="19795">
      <c r="A19795" s="3" t="inlineStr">
        <is>
          <t>3</t>
        </is>
      </c>
      <c r="B19795" s="3" t="inlineStr">
        <is>
          <t>Mandor</t>
        </is>
      </c>
      <c r="C19795" s="3" t="inlineStr">
        <is>
          <t>OH</t>
        </is>
      </c>
      <c r="D19795" s="15" t="n">
        <v>0.051</v>
      </c>
      <c r="E19795" s="4" t="n">
        <v>200000</v>
      </c>
      <c r="F19795" s="4" t="n">
        <v>10200</v>
      </c>
    </row>
    <row r="19796">
      <c r="A19796" s="3" t="inlineStr">
        <is>
          <t>T2/mekanik / cilinder saw"</t>
        </is>
      </c>
      <c r="B19796" s="3" t="inlineStr"/>
      <c r="C19796" s="3" t="inlineStr">
        <is>
          <t>hari</t>
        </is>
      </c>
      <c r="D19796" s="15" t="n">
        <v>0.079</v>
      </c>
      <c r="E19796" s="4" t="n">
        <v>75000</v>
      </c>
      <c r="F19796" s="4" t="n">
        <v>5925</v>
      </c>
    </row>
    <row r="19797">
      <c r="D19797" s="2" t="inlineStr">
        <is>
          <t>SUBTOTAL UPAH</t>
        </is>
      </c>
      <c r="F19797" s="16" t="n">
        <v>76190</v>
      </c>
    </row>
    <row r="19798">
      <c r="D19798" s="2" t="inlineStr">
        <is>
          <t>SUBTOTAL BAHAN</t>
        </is>
      </c>
      <c r="F19798" s="16" t="n">
        <v>0</v>
      </c>
    </row>
    <row r="19799">
      <c r="D19799" s="2" t="inlineStr">
        <is>
          <t>SUBTOTAL ALAT</t>
        </is>
      </c>
      <c r="F19799" s="16" t="n">
        <v>5925</v>
      </c>
    </row>
    <row r="19800">
      <c r="E19800" s="2" t="inlineStr">
        <is>
          <t>TOTAL HARGA SATUAN (Inc. Overhead)</t>
        </is>
      </c>
      <c r="F19800" s="17" t="n">
        <v>90326</v>
      </c>
    </row>
    <row r="19802">
      <c r="A19802" s="14" t="inlineStr">
        <is>
          <t>KODE: 9.4.2.7 - Pemotongan 1 Buah Pipa DCI, DN. 16" (400 mm)</t>
        </is>
      </c>
    </row>
    <row r="19803">
      <c r="A19803" s="10" t="inlineStr">
        <is>
          <t>No</t>
        </is>
      </c>
      <c r="B19803" s="10" t="inlineStr">
        <is>
          <t>Uraian Komponen</t>
        </is>
      </c>
      <c r="C19803" s="10" t="inlineStr">
        <is>
          <t>Satuan</t>
        </is>
      </c>
      <c r="D19803" s="10" t="inlineStr">
        <is>
          <t>Koef</t>
        </is>
      </c>
      <c r="E19803" s="10" t="inlineStr">
        <is>
          <t>Harga Satuan (Rp)</t>
        </is>
      </c>
      <c r="F19803" s="10" t="inlineStr">
        <is>
          <t>Jumlah Harga (Rp)</t>
        </is>
      </c>
    </row>
    <row r="19804">
      <c r="A19804" s="3" t="inlineStr">
        <is>
          <t>1</t>
        </is>
      </c>
      <c r="B19804" s="3" t="inlineStr">
        <is>
          <t>Pekerja</t>
        </is>
      </c>
      <c r="C19804" s="3" t="inlineStr">
        <is>
          <t>OH</t>
        </is>
      </c>
      <c r="D19804" s="15" t="n">
        <v>0.9409999999999999</v>
      </c>
      <c r="E19804" s="4" t="n">
        <v>100000</v>
      </c>
      <c r="F19804" s="4" t="n">
        <v>94100</v>
      </c>
    </row>
    <row r="19805">
      <c r="A19805" s="3" t="inlineStr">
        <is>
          <t>2</t>
        </is>
      </c>
      <c r="B19805" s="3" t="inlineStr">
        <is>
          <t>Tukang pipa</t>
        </is>
      </c>
      <c r="C19805" s="3" t="inlineStr">
        <is>
          <t>OH</t>
        </is>
      </c>
      <c r="D19805" s="15" t="n">
        <v>0.188</v>
      </c>
      <c r="E19805" s="4" t="n">
        <v>145000</v>
      </c>
      <c r="F19805" s="4" t="n">
        <v>27260</v>
      </c>
    </row>
    <row r="19806">
      <c r="A19806" s="3" t="inlineStr">
        <is>
          <t>3</t>
        </is>
      </c>
      <c r="B19806" s="3" t="inlineStr">
        <is>
          <t>Mandor</t>
        </is>
      </c>
      <c r="C19806" s="3" t="inlineStr">
        <is>
          <t>OH</t>
        </is>
      </c>
      <c r="D19806" s="15" t="n">
        <v>0.094</v>
      </c>
      <c r="E19806" s="4" t="n">
        <v>200000</v>
      </c>
      <c r="F19806" s="4" t="n">
        <v>18800</v>
      </c>
    </row>
    <row r="19807">
      <c r="A19807" s="3" t="inlineStr">
        <is>
          <t>T2/mekanik / cilinder saw"</t>
        </is>
      </c>
      <c r="B19807" s="3" t="inlineStr"/>
      <c r="C19807" s="3" t="inlineStr">
        <is>
          <t>hari</t>
        </is>
      </c>
      <c r="D19807" s="15" t="n">
        <v>0.158</v>
      </c>
      <c r="E19807" s="4" t="n">
        <v>75000</v>
      </c>
      <c r="F19807" s="4" t="n">
        <v>11850</v>
      </c>
    </row>
    <row r="19808">
      <c r="D19808" s="2" t="inlineStr">
        <is>
          <t>SUBTOTAL UPAH</t>
        </is>
      </c>
      <c r="F19808" s="16" t="n">
        <v>140160</v>
      </c>
    </row>
    <row r="19809">
      <c r="D19809" s="2" t="inlineStr">
        <is>
          <t>SUBTOTAL BAHAN</t>
        </is>
      </c>
      <c r="F19809" s="16" t="n">
        <v>0</v>
      </c>
    </row>
    <row r="19810">
      <c r="D19810" s="2" t="inlineStr">
        <is>
          <t>SUBTOTAL ALAT</t>
        </is>
      </c>
      <c r="F19810" s="16" t="n">
        <v>11850</v>
      </c>
    </row>
    <row r="19811">
      <c r="E19811" s="2" t="inlineStr">
        <is>
          <t>TOTAL HARGA SATUAN (Inc. Overhead)</t>
        </is>
      </c>
      <c r="F19811" s="17" t="n">
        <v>167211</v>
      </c>
    </row>
    <row r="19813">
      <c r="A19813" s="14" t="inlineStr">
        <is>
          <t>KODE: 9.4.2.8 - Pemotongan 1 Buah Pipa DCI, DN. 18" (450 mm)</t>
        </is>
      </c>
    </row>
    <row r="19814">
      <c r="A19814" s="10" t="inlineStr">
        <is>
          <t>No</t>
        </is>
      </c>
      <c r="B19814" s="10" t="inlineStr">
        <is>
          <t>Uraian Komponen</t>
        </is>
      </c>
      <c r="C19814" s="10" t="inlineStr">
        <is>
          <t>Satuan</t>
        </is>
      </c>
      <c r="D19814" s="10" t="inlineStr">
        <is>
          <t>Koef</t>
        </is>
      </c>
      <c r="E19814" s="10" t="inlineStr">
        <is>
          <t>Harga Satuan (Rp)</t>
        </is>
      </c>
      <c r="F19814" s="10" t="inlineStr">
        <is>
          <t>Jumlah Harga (Rp)</t>
        </is>
      </c>
    </row>
    <row r="19815">
      <c r="A19815" s="3" t="inlineStr">
        <is>
          <t>1</t>
        </is>
      </c>
      <c r="B19815" s="3" t="inlineStr">
        <is>
          <t>Pekerja</t>
        </is>
      </c>
      <c r="C19815" s="3" t="inlineStr">
        <is>
          <t>OH</t>
        </is>
      </c>
      <c r="D19815" s="15" t="n">
        <v>1.137</v>
      </c>
      <c r="E19815" s="4" t="n">
        <v>100000</v>
      </c>
      <c r="F19815" s="4" t="n">
        <v>113700</v>
      </c>
    </row>
    <row r="19816">
      <c r="A19816" s="3" t="inlineStr">
        <is>
          <t>2</t>
        </is>
      </c>
      <c r="B19816" s="3" t="inlineStr">
        <is>
          <t>Tukang pipa</t>
        </is>
      </c>
      <c r="C19816" s="3" t="inlineStr">
        <is>
          <t>OH</t>
        </is>
      </c>
      <c r="D19816" s="15" t="n">
        <v>0.227</v>
      </c>
      <c r="E19816" s="4" t="n">
        <v>145000</v>
      </c>
      <c r="F19816" s="4" t="n">
        <v>32915</v>
      </c>
    </row>
    <row r="19817">
      <c r="A19817" s="3" t="inlineStr">
        <is>
          <t>3</t>
        </is>
      </c>
      <c r="B19817" s="3" t="inlineStr">
        <is>
          <t>Mandor</t>
        </is>
      </c>
      <c r="C19817" s="3" t="inlineStr">
        <is>
          <t>OH</t>
        </is>
      </c>
      <c r="D19817" s="15" t="n">
        <v>0.114</v>
      </c>
      <c r="E19817" s="4" t="n">
        <v>200000</v>
      </c>
      <c r="F19817" s="4" t="n">
        <v>22800</v>
      </c>
    </row>
    <row r="19818">
      <c r="A19818" s="3" t="inlineStr">
        <is>
          <t>T2/mekanik / cilinder saw"</t>
        </is>
      </c>
      <c r="B19818" s="3" t="inlineStr"/>
      <c r="C19818" s="3" t="inlineStr">
        <is>
          <t>hari</t>
        </is>
      </c>
      <c r="D19818" s="15" t="n">
        <v>0.176</v>
      </c>
      <c r="E19818" s="4" t="n">
        <v>75000</v>
      </c>
      <c r="F19818" s="4" t="n">
        <v>13200</v>
      </c>
    </row>
    <row r="19819">
      <c r="D19819" s="2" t="inlineStr">
        <is>
          <t>SUBTOTAL UPAH</t>
        </is>
      </c>
      <c r="F19819" s="16" t="n">
        <v>169415</v>
      </c>
    </row>
    <row r="19820">
      <c r="D19820" s="2" t="inlineStr">
        <is>
          <t>SUBTOTAL BAHAN</t>
        </is>
      </c>
      <c r="F19820" s="16" t="n">
        <v>0</v>
      </c>
    </row>
    <row r="19821">
      <c r="D19821" s="2" t="inlineStr">
        <is>
          <t>SUBTOTAL ALAT</t>
        </is>
      </c>
      <c r="F19821" s="16" t="n">
        <v>13200</v>
      </c>
    </row>
    <row r="19822">
      <c r="E19822" s="2" t="inlineStr">
        <is>
          <t>TOTAL HARGA SATUAN (Inc. Overhead)</t>
        </is>
      </c>
      <c r="F19822" s="17" t="n">
        <v>200876</v>
      </c>
    </row>
    <row r="19824">
      <c r="A19824" s="14" t="inlineStr">
        <is>
          <t>KODE: 9.4.2.9 - Pemotongan 1 Buah Pipa DCI, DN. 20" (500 mm)</t>
        </is>
      </c>
    </row>
    <row r="19825">
      <c r="A19825" s="10" t="inlineStr">
        <is>
          <t>No</t>
        </is>
      </c>
      <c r="B19825" s="10" t="inlineStr">
        <is>
          <t>Uraian Komponen</t>
        </is>
      </c>
      <c r="C19825" s="10" t="inlineStr">
        <is>
          <t>Satuan</t>
        </is>
      </c>
      <c r="D19825" s="10" t="inlineStr">
        <is>
          <t>Koef</t>
        </is>
      </c>
      <c r="E19825" s="10" t="inlineStr">
        <is>
          <t>Harga Satuan (Rp)</t>
        </is>
      </c>
      <c r="F19825" s="10" t="inlineStr">
        <is>
          <t>Jumlah Harga (Rp)</t>
        </is>
      </c>
    </row>
    <row r="19826">
      <c r="A19826" s="3" t="inlineStr">
        <is>
          <t>1</t>
        </is>
      </c>
      <c r="B19826" s="3" t="inlineStr">
        <is>
          <t>Pekerja</t>
        </is>
      </c>
      <c r="C19826" s="3" t="inlineStr">
        <is>
          <t>OH</t>
        </is>
      </c>
      <c r="D19826" s="15" t="n">
        <v>1.312</v>
      </c>
      <c r="E19826" s="4" t="n">
        <v>100000</v>
      </c>
      <c r="F19826" s="4" t="n">
        <v>131200</v>
      </c>
    </row>
    <row r="19827">
      <c r="A19827" s="3" t="inlineStr">
        <is>
          <t>2</t>
        </is>
      </c>
      <c r="B19827" s="3" t="inlineStr">
        <is>
          <t>Tukang pipa</t>
        </is>
      </c>
      <c r="C19827" s="3" t="inlineStr">
        <is>
          <t>OH</t>
        </is>
      </c>
      <c r="D19827" s="15" t="n">
        <v>0.262</v>
      </c>
      <c r="E19827" s="4" t="n">
        <v>145000</v>
      </c>
      <c r="F19827" s="4" t="n">
        <v>37990</v>
      </c>
    </row>
    <row r="19828">
      <c r="A19828" s="3" t="inlineStr">
        <is>
          <t>3</t>
        </is>
      </c>
      <c r="B19828" s="3" t="inlineStr">
        <is>
          <t>Mandor</t>
        </is>
      </c>
      <c r="C19828" s="3" t="inlineStr">
        <is>
          <t>OH</t>
        </is>
      </c>
      <c r="D19828" s="15" t="n">
        <v>0.131</v>
      </c>
      <c r="E19828" s="4" t="n">
        <v>200000</v>
      </c>
      <c r="F19828" s="4" t="n">
        <v>26200</v>
      </c>
    </row>
    <row r="19829">
      <c r="A19829" s="3" t="inlineStr">
        <is>
          <t>T2/mekanik / cilinder saw"</t>
        </is>
      </c>
      <c r="B19829" s="3" t="inlineStr"/>
      <c r="C19829" s="3" t="inlineStr">
        <is>
          <t>hari</t>
        </is>
      </c>
      <c r="D19829" s="15" t="n">
        <v>0.192</v>
      </c>
      <c r="E19829" s="4" t="n">
        <v>75000</v>
      </c>
      <c r="F19829" s="4" t="n">
        <v>14400</v>
      </c>
    </row>
    <row r="19830">
      <c r="D19830" s="2" t="inlineStr">
        <is>
          <t>SUBTOTAL UPAH</t>
        </is>
      </c>
      <c r="F19830" s="16" t="n">
        <v>195390</v>
      </c>
    </row>
    <row r="19831">
      <c r="D19831" s="2" t="inlineStr">
        <is>
          <t>SUBTOTAL BAHAN</t>
        </is>
      </c>
      <c r="F19831" s="16" t="n">
        <v>0</v>
      </c>
    </row>
    <row r="19832">
      <c r="D19832" s="2" t="inlineStr">
        <is>
          <t>SUBTOTAL ALAT</t>
        </is>
      </c>
      <c r="F19832" s="16" t="n">
        <v>14400</v>
      </c>
    </row>
    <row r="19833">
      <c r="E19833" s="2" t="inlineStr">
        <is>
          <t>TOTAL HARGA SATUAN (Inc. Overhead)</t>
        </is>
      </c>
      <c r="F19833" s="17" t="n">
        <v>230769</v>
      </c>
    </row>
    <row r="19835">
      <c r="A19835" s="14" t="inlineStr">
        <is>
          <t>KODE: 9.4.2.10 - Pemotongan 1 Buah Pipa DCI, DN. 24" (600 mm)</t>
        </is>
      </c>
    </row>
    <row r="19836">
      <c r="A19836" s="10" t="inlineStr">
        <is>
          <t>No</t>
        </is>
      </c>
      <c r="B19836" s="10" t="inlineStr">
        <is>
          <t>Uraian Komponen</t>
        </is>
      </c>
      <c r="C19836" s="10" t="inlineStr">
        <is>
          <t>Satuan</t>
        </is>
      </c>
      <c r="D19836" s="10" t="inlineStr">
        <is>
          <t>Koef</t>
        </is>
      </c>
      <c r="E19836" s="10" t="inlineStr">
        <is>
          <t>Harga Satuan (Rp)</t>
        </is>
      </c>
      <c r="F19836" s="10" t="inlineStr">
        <is>
          <t>Jumlah Harga (Rp)</t>
        </is>
      </c>
    </row>
    <row r="19837">
      <c r="A19837" s="3" t="inlineStr">
        <is>
          <t>1</t>
        </is>
      </c>
      <c r="B19837" s="3" t="inlineStr">
        <is>
          <t>Pekerja</t>
        </is>
      </c>
      <c r="C19837" s="3" t="inlineStr">
        <is>
          <t>OH</t>
        </is>
      </c>
      <c r="D19837" s="15" t="n">
        <v>1.574</v>
      </c>
      <c r="E19837" s="4" t="n">
        <v>100000</v>
      </c>
      <c r="F19837" s="4" t="n">
        <v>157400</v>
      </c>
    </row>
    <row r="19838">
      <c r="A19838" s="3" t="inlineStr">
        <is>
          <t>2</t>
        </is>
      </c>
      <c r="B19838" s="3" t="inlineStr">
        <is>
          <t>Tukang pipa</t>
        </is>
      </c>
      <c r="C19838" s="3" t="inlineStr">
        <is>
          <t>OH</t>
        </is>
      </c>
      <c r="D19838" s="15" t="n">
        <v>0.314</v>
      </c>
      <c r="E19838" s="4" t="n">
        <v>145000</v>
      </c>
      <c r="F19838" s="4" t="n">
        <v>45530</v>
      </c>
    </row>
    <row r="19839">
      <c r="A19839" s="3" t="inlineStr">
        <is>
          <t>3</t>
        </is>
      </c>
      <c r="B19839" s="3" t="inlineStr">
        <is>
          <t>Mandor</t>
        </is>
      </c>
      <c r="C19839" s="3" t="inlineStr">
        <is>
          <t>OH</t>
        </is>
      </c>
      <c r="D19839" s="15" t="n">
        <v>0.157</v>
      </c>
      <c r="E19839" s="4" t="n">
        <v>200000</v>
      </c>
      <c r="F19839" s="4" t="n">
        <v>31400</v>
      </c>
    </row>
    <row r="19840">
      <c r="A19840" s="3" t="inlineStr">
        <is>
          <t>T2/mekanik / cilinder saw"</t>
        </is>
      </c>
      <c r="B19840" s="3" t="inlineStr"/>
      <c r="C19840" s="3" t="inlineStr">
        <is>
          <t>hari</t>
        </is>
      </c>
      <c r="D19840" s="15" t="n">
        <v>0.23</v>
      </c>
      <c r="E19840" s="4" t="n">
        <v>75000</v>
      </c>
      <c r="F19840" s="4" t="n">
        <v>17250</v>
      </c>
    </row>
    <row r="19841">
      <c r="D19841" s="2" t="inlineStr">
        <is>
          <t>SUBTOTAL UPAH</t>
        </is>
      </c>
      <c r="F19841" s="16" t="n">
        <v>234330</v>
      </c>
    </row>
    <row r="19842">
      <c r="D19842" s="2" t="inlineStr">
        <is>
          <t>SUBTOTAL BAHAN</t>
        </is>
      </c>
      <c r="F19842" s="16" t="n">
        <v>0</v>
      </c>
    </row>
    <row r="19843">
      <c r="D19843" s="2" t="inlineStr">
        <is>
          <t>SUBTOTAL ALAT</t>
        </is>
      </c>
      <c r="F19843" s="16" t="n">
        <v>17250</v>
      </c>
    </row>
    <row r="19844">
      <c r="E19844" s="2" t="inlineStr">
        <is>
          <t>TOTAL HARGA SATUAN (Inc. Overhead)</t>
        </is>
      </c>
      <c r="F19844" s="17" t="n">
        <v>276738</v>
      </c>
    </row>
    <row r="19846">
      <c r="A19846" s="14" t="inlineStr">
        <is>
          <t>KODE: 9.4.2.11 - Pemotongan 1 Buah Pipa DCI, DN. 32" (800 mm)</t>
        </is>
      </c>
    </row>
    <row r="19847">
      <c r="A19847" s="10" t="inlineStr">
        <is>
          <t>No</t>
        </is>
      </c>
      <c r="B19847" s="10" t="inlineStr">
        <is>
          <t>Uraian Komponen</t>
        </is>
      </c>
      <c r="C19847" s="10" t="inlineStr">
        <is>
          <t>Satuan</t>
        </is>
      </c>
      <c r="D19847" s="10" t="inlineStr">
        <is>
          <t>Koef</t>
        </is>
      </c>
      <c r="E19847" s="10" t="inlineStr">
        <is>
          <t>Harga Satuan (Rp)</t>
        </is>
      </c>
      <c r="F19847" s="10" t="inlineStr">
        <is>
          <t>Jumlah Harga (Rp)</t>
        </is>
      </c>
    </row>
    <row r="19848">
      <c r="A19848" s="3" t="inlineStr">
        <is>
          <t>1</t>
        </is>
      </c>
      <c r="B19848" s="3" t="inlineStr">
        <is>
          <t>Pekerja</t>
        </is>
      </c>
      <c r="C19848" s="3" t="inlineStr">
        <is>
          <t>OH</t>
        </is>
      </c>
      <c r="D19848" s="15" t="n">
        <v>2.598</v>
      </c>
      <c r="E19848" s="4" t="n">
        <v>100000</v>
      </c>
      <c r="F19848" s="4" t="n">
        <v>259800</v>
      </c>
    </row>
    <row r="19849">
      <c r="A19849" s="3" t="inlineStr">
        <is>
          <t>2</t>
        </is>
      </c>
      <c r="B19849" s="3" t="inlineStr">
        <is>
          <t>Tukang pipa</t>
        </is>
      </c>
      <c r="C19849" s="3" t="inlineStr">
        <is>
          <t>OH</t>
        </is>
      </c>
      <c r="D19849" s="15" t="n">
        <v>0.52</v>
      </c>
      <c r="E19849" s="4" t="n">
        <v>145000</v>
      </c>
      <c r="F19849" s="4" t="n">
        <v>75400</v>
      </c>
    </row>
    <row r="19850">
      <c r="A19850" s="3" t="inlineStr">
        <is>
          <t>3</t>
        </is>
      </c>
      <c r="B19850" s="3" t="inlineStr">
        <is>
          <t>Mandor</t>
        </is>
      </c>
      <c r="C19850" s="3" t="inlineStr">
        <is>
          <t>OH</t>
        </is>
      </c>
      <c r="D19850" s="15" t="n">
        <v>0.26</v>
      </c>
      <c r="E19850" s="4" t="n">
        <v>200000</v>
      </c>
      <c r="F19850" s="4" t="n">
        <v>52000</v>
      </c>
    </row>
    <row r="19851">
      <c r="A19851" s="3" t="inlineStr">
        <is>
          <t>T2/mekanik / cilinder saw"</t>
        </is>
      </c>
      <c r="B19851" s="3" t="inlineStr"/>
      <c r="C19851" s="3" t="inlineStr">
        <is>
          <t>hari</t>
        </is>
      </c>
      <c r="D19851" s="15" t="n">
        <v>0.31</v>
      </c>
      <c r="E19851" s="4" t="n">
        <v>75000</v>
      </c>
      <c r="F19851" s="4" t="n">
        <v>23250</v>
      </c>
    </row>
    <row r="19852">
      <c r="D19852" s="2" t="inlineStr">
        <is>
          <t>SUBTOTAL UPAH</t>
        </is>
      </c>
      <c r="F19852" s="16" t="n">
        <v>387200</v>
      </c>
    </row>
    <row r="19853">
      <c r="D19853" s="2" t="inlineStr">
        <is>
          <t>SUBTOTAL BAHAN</t>
        </is>
      </c>
      <c r="F19853" s="16" t="n">
        <v>0</v>
      </c>
    </row>
    <row r="19854">
      <c r="D19854" s="2" t="inlineStr">
        <is>
          <t>SUBTOTAL ALAT</t>
        </is>
      </c>
      <c r="F19854" s="16" t="n">
        <v>23250</v>
      </c>
    </row>
    <row r="19855">
      <c r="E19855" s="2" t="inlineStr">
        <is>
          <t>TOTAL HARGA SATUAN (Inc. Overhead)</t>
        </is>
      </c>
      <c r="F19855" s="17" t="n">
        <v>451495</v>
      </c>
    </row>
    <row r="19857">
      <c r="A19857" s="14" t="inlineStr">
        <is>
          <t>KODE: 9.4.2.12 - Pemotongan 1 Buah Pipa DCI, DN. 36" (900 mm)</t>
        </is>
      </c>
    </row>
    <row r="19858">
      <c r="A19858" s="10" t="inlineStr">
        <is>
          <t>No</t>
        </is>
      </c>
      <c r="B19858" s="10" t="inlineStr">
        <is>
          <t>Uraian Komponen</t>
        </is>
      </c>
      <c r="C19858" s="10" t="inlineStr">
        <is>
          <t>Satuan</t>
        </is>
      </c>
      <c r="D19858" s="10" t="inlineStr">
        <is>
          <t>Koef</t>
        </is>
      </c>
      <c r="E19858" s="10" t="inlineStr">
        <is>
          <t>Harga Satuan (Rp)</t>
        </is>
      </c>
      <c r="F19858" s="10" t="inlineStr">
        <is>
          <t>Jumlah Harga (Rp)</t>
        </is>
      </c>
    </row>
    <row r="19859">
      <c r="A19859" s="3" t="inlineStr">
        <is>
          <t>1</t>
        </is>
      </c>
      <c r="B19859" s="3" t="inlineStr">
        <is>
          <t>Pekerja</t>
        </is>
      </c>
      <c r="C19859" s="3" t="inlineStr">
        <is>
          <t>OH</t>
        </is>
      </c>
      <c r="D19859" s="15" t="n">
        <v>3.37</v>
      </c>
      <c r="E19859" s="4" t="n">
        <v>100000</v>
      </c>
      <c r="F19859" s="4" t="n">
        <v>337000</v>
      </c>
    </row>
    <row r="19860">
      <c r="A19860" s="3" t="inlineStr">
        <is>
          <t>2</t>
        </is>
      </c>
      <c r="B19860" s="3" t="inlineStr">
        <is>
          <t>Tukang pipa</t>
        </is>
      </c>
      <c r="C19860" s="3" t="inlineStr">
        <is>
          <t>OH</t>
        </is>
      </c>
      <c r="D19860" s="15" t="n">
        <v>0.674</v>
      </c>
      <c r="E19860" s="4" t="n">
        <v>145000</v>
      </c>
      <c r="F19860" s="4" t="n">
        <v>97730</v>
      </c>
    </row>
    <row r="19861">
      <c r="A19861" s="3" t="inlineStr">
        <is>
          <t>3</t>
        </is>
      </c>
      <c r="B19861" s="3" t="inlineStr">
        <is>
          <t>Mandor</t>
        </is>
      </c>
      <c r="C19861" s="3" t="inlineStr">
        <is>
          <t>OH</t>
        </is>
      </c>
      <c r="D19861" s="15" t="n">
        <v>0.337</v>
      </c>
      <c r="E19861" s="4" t="n">
        <v>200000</v>
      </c>
      <c r="F19861" s="4" t="n">
        <v>67400</v>
      </c>
    </row>
    <row r="19862">
      <c r="A19862" s="3" t="inlineStr">
        <is>
          <t>T2/mekanik / cilinder saw"</t>
        </is>
      </c>
      <c r="B19862" s="3" t="inlineStr"/>
      <c r="C19862" s="3" t="inlineStr">
        <is>
          <t>hari</t>
        </is>
      </c>
      <c r="D19862" s="15" t="n">
        <v>0.381</v>
      </c>
      <c r="E19862" s="4" t="n">
        <v>75000</v>
      </c>
      <c r="F19862" s="4" t="n">
        <v>28575</v>
      </c>
    </row>
    <row r="19863">
      <c r="D19863" s="2" t="inlineStr">
        <is>
          <t>SUBTOTAL UPAH</t>
        </is>
      </c>
      <c r="F19863" s="16" t="n">
        <v>502130</v>
      </c>
    </row>
    <row r="19864">
      <c r="D19864" s="2" t="inlineStr">
        <is>
          <t>SUBTOTAL BAHAN</t>
        </is>
      </c>
      <c r="F19864" s="16" t="n">
        <v>0</v>
      </c>
    </row>
    <row r="19865">
      <c r="D19865" s="2" t="inlineStr">
        <is>
          <t>SUBTOTAL ALAT</t>
        </is>
      </c>
      <c r="F19865" s="16" t="n">
        <v>28575</v>
      </c>
    </row>
    <row r="19866">
      <c r="E19866" s="2" t="inlineStr">
        <is>
          <t>TOTAL HARGA SATUAN (Inc. Overhead)</t>
        </is>
      </c>
      <c r="F19866" s="17" t="n">
        <v>583775</v>
      </c>
    </row>
    <row r="19868">
      <c r="A19868" s="14" t="inlineStr">
        <is>
          <t>KODE: 9.4.2.13 - Pemotongan 1 Buah Pipa DCI, DN. 40" (1000 mm)</t>
        </is>
      </c>
    </row>
    <row r="19869">
      <c r="A19869" s="10" t="inlineStr">
        <is>
          <t>No</t>
        </is>
      </c>
      <c r="B19869" s="10" t="inlineStr">
        <is>
          <t>Uraian Komponen</t>
        </is>
      </c>
      <c r="C19869" s="10" t="inlineStr">
        <is>
          <t>Satuan</t>
        </is>
      </c>
      <c r="D19869" s="10" t="inlineStr">
        <is>
          <t>Koef</t>
        </is>
      </c>
      <c r="E19869" s="10" t="inlineStr">
        <is>
          <t>Harga Satuan (Rp)</t>
        </is>
      </c>
      <c r="F19869" s="10" t="inlineStr">
        <is>
          <t>Jumlah Harga (Rp)</t>
        </is>
      </c>
    </row>
    <row r="19870">
      <c r="A19870" s="3" t="inlineStr">
        <is>
          <t>1</t>
        </is>
      </c>
      <c r="B19870" s="3" t="inlineStr">
        <is>
          <t>Pekerja</t>
        </is>
      </c>
      <c r="C19870" s="3" t="inlineStr">
        <is>
          <t>OH</t>
        </is>
      </c>
      <c r="D19870" s="15" t="n">
        <v>4.021</v>
      </c>
      <c r="E19870" s="4" t="n">
        <v>100000</v>
      </c>
      <c r="F19870" s="4" t="n">
        <v>402100</v>
      </c>
    </row>
    <row r="19871">
      <c r="A19871" s="3" t="inlineStr">
        <is>
          <t>2</t>
        </is>
      </c>
      <c r="B19871" s="3" t="inlineStr">
        <is>
          <t>Tukang pipa</t>
        </is>
      </c>
      <c r="C19871" s="3" t="inlineStr">
        <is>
          <t>OH</t>
        </is>
      </c>
      <c r="D19871" s="15" t="n">
        <v>0.804</v>
      </c>
      <c r="E19871" s="4" t="n">
        <v>145000</v>
      </c>
      <c r="F19871" s="4" t="n">
        <v>116580</v>
      </c>
    </row>
    <row r="19872">
      <c r="A19872" s="3" t="inlineStr">
        <is>
          <t>3</t>
        </is>
      </c>
      <c r="B19872" s="3" t="inlineStr">
        <is>
          <t>Mandor</t>
        </is>
      </c>
      <c r="C19872" s="3" t="inlineStr">
        <is>
          <t>OH</t>
        </is>
      </c>
      <c r="D19872" s="15" t="n">
        <v>0.402</v>
      </c>
      <c r="E19872" s="4" t="n">
        <v>200000</v>
      </c>
      <c r="F19872" s="4" t="n">
        <v>80400</v>
      </c>
    </row>
    <row r="19873">
      <c r="A19873" s="3" t="inlineStr">
        <is>
          <t>T2/mekanik / cilinder saw"</t>
        </is>
      </c>
      <c r="B19873" s="3" t="inlineStr"/>
      <c r="C19873" s="3" t="inlineStr">
        <is>
          <t>hari</t>
        </is>
      </c>
      <c r="D19873" s="15" t="n">
        <v>0.441</v>
      </c>
      <c r="E19873" s="4" t="n">
        <v>75000</v>
      </c>
      <c r="F19873" s="4" t="n">
        <v>33075</v>
      </c>
    </row>
    <row r="19874">
      <c r="D19874" s="2" t="inlineStr">
        <is>
          <t>SUBTOTAL UPAH</t>
        </is>
      </c>
      <c r="F19874" s="16" t="n">
        <v>599080</v>
      </c>
    </row>
    <row r="19875">
      <c r="D19875" s="2" t="inlineStr">
        <is>
          <t>SUBTOTAL BAHAN</t>
        </is>
      </c>
      <c r="F19875" s="16" t="n">
        <v>0</v>
      </c>
    </row>
    <row r="19876">
      <c r="D19876" s="2" t="inlineStr">
        <is>
          <t>SUBTOTAL ALAT</t>
        </is>
      </c>
      <c r="F19876" s="16" t="n">
        <v>33075</v>
      </c>
    </row>
    <row r="19877">
      <c r="E19877" s="2" t="inlineStr">
        <is>
          <t>TOTAL HARGA SATUAN (Inc. Overhead)</t>
        </is>
      </c>
      <c r="F19877" s="17" t="n">
        <v>695370</v>
      </c>
    </row>
    <row r="19879">
      <c r="A19879" s="14" t="inlineStr">
        <is>
          <t>KODE: 9.4.2.14 - Pemotongan 1 Buah Pipa DCI, DN. 44" (1100 mm)</t>
        </is>
      </c>
    </row>
    <row r="19880">
      <c r="A19880" s="10" t="inlineStr">
        <is>
          <t>No</t>
        </is>
      </c>
      <c r="B19880" s="10" t="inlineStr">
        <is>
          <t>Uraian Komponen</t>
        </is>
      </c>
      <c r="C19880" s="10" t="inlineStr">
        <is>
          <t>Satuan</t>
        </is>
      </c>
      <c r="D19880" s="10" t="inlineStr">
        <is>
          <t>Koef</t>
        </is>
      </c>
      <c r="E19880" s="10" t="inlineStr">
        <is>
          <t>Harga Satuan (Rp)</t>
        </is>
      </c>
      <c r="F19880" s="10" t="inlineStr">
        <is>
          <t>Jumlah Harga (Rp)</t>
        </is>
      </c>
    </row>
    <row r="19881">
      <c r="A19881" s="3" t="inlineStr">
        <is>
          <t>1</t>
        </is>
      </c>
      <c r="B19881" s="3" t="inlineStr">
        <is>
          <t>Pekerja</t>
        </is>
      </c>
      <c r="C19881" s="3" t="inlineStr">
        <is>
          <t>OH</t>
        </is>
      </c>
      <c r="D19881" s="15" t="n">
        <v>4.731</v>
      </c>
      <c r="E19881" s="4" t="n">
        <v>100000</v>
      </c>
      <c r="F19881" s="4" t="n">
        <v>473100</v>
      </c>
    </row>
    <row r="19882">
      <c r="A19882" s="3" t="inlineStr">
        <is>
          <t>2</t>
        </is>
      </c>
      <c r="B19882" s="3" t="inlineStr">
        <is>
          <t>Tukang pipa</t>
        </is>
      </c>
      <c r="C19882" s="3" t="inlineStr">
        <is>
          <t>OH</t>
        </is>
      </c>
      <c r="D19882" s="15" t="n">
        <v>0.946</v>
      </c>
      <c r="E19882" s="4" t="n">
        <v>145000</v>
      </c>
      <c r="F19882" s="4" t="n">
        <v>137170</v>
      </c>
    </row>
    <row r="19883">
      <c r="A19883" s="3" t="inlineStr">
        <is>
          <t>3</t>
        </is>
      </c>
      <c r="B19883" s="3" t="inlineStr">
        <is>
          <t>Mandor</t>
        </is>
      </c>
      <c r="C19883" s="3" t="inlineStr">
        <is>
          <t>OH</t>
        </is>
      </c>
      <c r="D19883" s="15" t="n">
        <v>0.473</v>
      </c>
      <c r="E19883" s="4" t="n">
        <v>200000</v>
      </c>
      <c r="F19883" s="4" t="n">
        <v>94600</v>
      </c>
    </row>
    <row r="19884">
      <c r="A19884" s="3" t="inlineStr">
        <is>
          <t>T2/mekanik / cilinder saw"</t>
        </is>
      </c>
      <c r="B19884" s="3" t="inlineStr"/>
      <c r="C19884" s="3" t="inlineStr">
        <is>
          <t>hari</t>
        </is>
      </c>
      <c r="D19884" s="15" t="n">
        <v>0.506</v>
      </c>
      <c r="E19884" s="4" t="n">
        <v>75000</v>
      </c>
      <c r="F19884" s="4" t="n">
        <v>37950</v>
      </c>
    </row>
    <row r="19885">
      <c r="D19885" s="2" t="inlineStr">
        <is>
          <t>SUBTOTAL UPAH</t>
        </is>
      </c>
      <c r="F19885" s="16" t="n">
        <v>704870</v>
      </c>
    </row>
    <row r="19886">
      <c r="D19886" s="2" t="inlineStr">
        <is>
          <t>SUBTOTAL BAHAN</t>
        </is>
      </c>
      <c r="F19886" s="16" t="n">
        <v>0</v>
      </c>
    </row>
    <row r="19887">
      <c r="D19887" s="2" t="inlineStr">
        <is>
          <t>SUBTOTAL ALAT</t>
        </is>
      </c>
      <c r="F19887" s="16" t="n">
        <v>37950</v>
      </c>
    </row>
    <row r="19888">
      <c r="E19888" s="2" t="inlineStr">
        <is>
          <t>TOTAL HARGA SATUAN (Inc. Overhead)</t>
        </is>
      </c>
      <c r="F19888" s="17" t="n">
        <v>817102</v>
      </c>
    </row>
    <row r="19890">
      <c r="A19890" s="14" t="inlineStr">
        <is>
          <t>KODE: 9.4.2.15 - Pemotongan 1 Buah Pipa DCI, DN. 48" (1200 mm)</t>
        </is>
      </c>
    </row>
    <row r="19891">
      <c r="A19891" s="10" t="inlineStr">
        <is>
          <t>No</t>
        </is>
      </c>
      <c r="B19891" s="10" t="inlineStr">
        <is>
          <t>Uraian Komponen</t>
        </is>
      </c>
      <c r="C19891" s="10" t="inlineStr">
        <is>
          <t>Satuan</t>
        </is>
      </c>
      <c r="D19891" s="10" t="inlineStr">
        <is>
          <t>Koef</t>
        </is>
      </c>
      <c r="E19891" s="10" t="inlineStr">
        <is>
          <t>Harga Satuan (Rp)</t>
        </is>
      </c>
      <c r="F19891" s="10" t="inlineStr">
        <is>
          <t>Jumlah Harga (Rp)</t>
        </is>
      </c>
    </row>
    <row r="19892">
      <c r="A19892" s="3" t="inlineStr">
        <is>
          <t>1</t>
        </is>
      </c>
      <c r="B19892" s="3" t="inlineStr">
        <is>
          <t>Pekerja</t>
        </is>
      </c>
      <c r="C19892" s="3" t="inlineStr">
        <is>
          <t>OH</t>
        </is>
      </c>
      <c r="D19892" s="15" t="n">
        <v>5.502</v>
      </c>
      <c r="E19892" s="4" t="n">
        <v>100000</v>
      </c>
      <c r="F19892" s="4" t="n">
        <v>550200</v>
      </c>
    </row>
    <row r="19893">
      <c r="A19893" s="3" t="inlineStr">
        <is>
          <t>2</t>
        </is>
      </c>
      <c r="B19893" s="3" t="inlineStr">
        <is>
          <t>Tukang pipa</t>
        </is>
      </c>
      <c r="C19893" s="3" t="inlineStr">
        <is>
          <t>OH</t>
        </is>
      </c>
      <c r="D19893" s="15" t="n">
        <v>1.1</v>
      </c>
      <c r="E19893" s="4" t="n">
        <v>145000</v>
      </c>
      <c r="F19893" s="4" t="n">
        <v>159500</v>
      </c>
    </row>
    <row r="19894">
      <c r="A19894" s="3" t="inlineStr">
        <is>
          <t>3</t>
        </is>
      </c>
      <c r="B19894" s="3" t="inlineStr">
        <is>
          <t>Mandor</t>
        </is>
      </c>
      <c r="C19894" s="3" t="inlineStr">
        <is>
          <t>OH</t>
        </is>
      </c>
      <c r="D19894" s="15" t="n">
        <v>0.55</v>
      </c>
      <c r="E19894" s="4" t="n">
        <v>200000</v>
      </c>
      <c r="F19894" s="4" t="n">
        <v>110000</v>
      </c>
    </row>
    <row r="19895">
      <c r="A19895" s="3" t="inlineStr">
        <is>
          <t>T2/mekanik / cilinder saw"</t>
        </is>
      </c>
      <c r="B19895" s="3" t="inlineStr"/>
      <c r="C19895" s="3" t="inlineStr">
        <is>
          <t>hari</t>
        </is>
      </c>
      <c r="D19895" s="15" t="n">
        <v>0.576</v>
      </c>
      <c r="E19895" s="4" t="n">
        <v>75000</v>
      </c>
      <c r="F19895" s="4" t="n">
        <v>43200</v>
      </c>
    </row>
    <row r="19896">
      <c r="D19896" s="2" t="inlineStr">
        <is>
          <t>SUBTOTAL UPAH</t>
        </is>
      </c>
      <c r="F19896" s="16" t="n">
        <v>819700</v>
      </c>
    </row>
    <row r="19897">
      <c r="D19897" s="2" t="inlineStr">
        <is>
          <t>SUBTOTAL BAHAN</t>
        </is>
      </c>
      <c r="F19897" s="16" t="n">
        <v>0</v>
      </c>
    </row>
    <row r="19898">
      <c r="D19898" s="2" t="inlineStr">
        <is>
          <t>SUBTOTAL ALAT</t>
        </is>
      </c>
      <c r="F19898" s="16" t="n">
        <v>43200</v>
      </c>
    </row>
    <row r="19899">
      <c r="E19899" s="2" t="inlineStr">
        <is>
          <t>TOTAL HARGA SATUAN (Inc. Overhead)</t>
        </is>
      </c>
      <c r="F19899" s="17" t="n">
        <v>949190</v>
      </c>
    </row>
    <row r="19901">
      <c r="A19901" s="14" t="inlineStr">
        <is>
          <t>KODE: 9.5.1.1 - Pemasangan 1 m Pipa Baja Karbon, DN. 2-1/2" (65 mm)</t>
        </is>
      </c>
    </row>
    <row r="19902">
      <c r="A19902" s="10" t="inlineStr">
        <is>
          <t>No</t>
        </is>
      </c>
      <c r="B19902" s="10" t="inlineStr">
        <is>
          <t>Uraian Komponen</t>
        </is>
      </c>
      <c r="C19902" s="10" t="inlineStr">
        <is>
          <t>Satuan</t>
        </is>
      </c>
      <c r="D19902" s="10" t="inlineStr">
        <is>
          <t>Koef</t>
        </is>
      </c>
      <c r="E19902" s="10" t="inlineStr">
        <is>
          <t>Harga Satuan (Rp)</t>
        </is>
      </c>
      <c r="F19902" s="10" t="inlineStr">
        <is>
          <t>Jumlah Harga (Rp)</t>
        </is>
      </c>
    </row>
    <row r="19903">
      <c r="A19903" s="3" t="inlineStr">
        <is>
          <t>1</t>
        </is>
      </c>
      <c r="B19903" s="3" t="inlineStr">
        <is>
          <t>Pekerja</t>
        </is>
      </c>
      <c r="C19903" s="3" t="inlineStr">
        <is>
          <t>OH</t>
        </is>
      </c>
      <c r="D19903" s="15" t="n">
        <v>0.499</v>
      </c>
      <c r="E19903" s="4" t="n">
        <v>100000</v>
      </c>
      <c r="F19903" s="4" t="n">
        <v>49900</v>
      </c>
    </row>
    <row r="19904">
      <c r="A19904" s="3" t="inlineStr">
        <is>
          <t>2</t>
        </is>
      </c>
      <c r="B19904" s="3" t="inlineStr">
        <is>
          <t>Tukang pipa</t>
        </is>
      </c>
      <c r="C19904" s="3" t="inlineStr">
        <is>
          <t>OH</t>
        </is>
      </c>
      <c r="D19904" s="15" t="n">
        <v>0.1</v>
      </c>
      <c r="E19904" s="4" t="n">
        <v>145000</v>
      </c>
      <c r="F19904" s="4" t="n">
        <v>14500</v>
      </c>
    </row>
    <row r="19905">
      <c r="A19905" s="3" t="inlineStr">
        <is>
          <t>3</t>
        </is>
      </c>
      <c r="B19905" s="3" t="inlineStr">
        <is>
          <t>Mandor</t>
        </is>
      </c>
      <c r="C19905" s="3" t="inlineStr">
        <is>
          <t>OH</t>
        </is>
      </c>
      <c r="D19905" s="15" t="n">
        <v>0.05</v>
      </c>
      <c r="E19905" s="4" t="n">
        <v>200000</v>
      </c>
      <c r="F19905" s="4" t="n">
        <v>10000</v>
      </c>
    </row>
    <row r="19906">
      <c r="A19906" s="3" t="n">
        <v>1</v>
      </c>
      <c r="B19906" s="3" t="inlineStr">
        <is>
          <t>"Pipa Baja Karbon</t>
        </is>
      </c>
      <c r="C19906" s="3" t="inlineStr">
        <is>
          <t>DN.</t>
        </is>
      </c>
    </row>
    <row r="19907">
      <c r="A19907" s="3" t="inlineStr">
        <is>
          <t>2-1/2"" (65 mm)"</t>
        </is>
      </c>
      <c r="B19907" s="3" t="inlineStr"/>
      <c r="C19907" s="3" t="inlineStr">
        <is>
          <t>m</t>
        </is>
      </c>
      <c r="D19907" s="15" t="n">
        <v>1</v>
      </c>
      <c r="E19907" s="4" t="n">
        <v>525000</v>
      </c>
      <c r="F19907" s="4" t="n">
        <v>525000</v>
      </c>
    </row>
    <row r="19908">
      <c r="A19908" s="3" t="inlineStr">
        <is>
          <t>1</t>
        </is>
      </c>
      <c r="B19908" s="3" t="inlineStr">
        <is>
          <t>Sewa Tripot</t>
        </is>
      </c>
      <c r="C19908" s="3" t="inlineStr">
        <is>
          <t>hari</t>
        </is>
      </c>
      <c r="D19908" s="15" t="n">
        <v>0.004</v>
      </c>
      <c r="E19908" s="4" t="n">
        <v>108000</v>
      </c>
      <c r="F19908" s="4" t="n">
        <v>432</v>
      </c>
    </row>
    <row r="19909">
      <c r="D19909" s="2" t="inlineStr">
        <is>
          <t>SUBTOTAL UPAH</t>
        </is>
      </c>
      <c r="F19909" s="16" t="n">
        <v>74400</v>
      </c>
    </row>
    <row r="19910">
      <c r="D19910" s="2" t="inlineStr">
        <is>
          <t>SUBTOTAL BAHAN</t>
        </is>
      </c>
      <c r="F19910" s="16" t="n">
        <v>525000</v>
      </c>
    </row>
    <row r="19911">
      <c r="D19911" s="2" t="inlineStr">
        <is>
          <t>SUBTOTAL ALAT</t>
        </is>
      </c>
      <c r="F19911" s="16" t="n">
        <v>432</v>
      </c>
    </row>
    <row r="19912">
      <c r="E19912" s="2" t="inlineStr">
        <is>
          <t>TOTAL HARGA SATUAN (Inc. Overhead)</t>
        </is>
      </c>
      <c r="F19912" s="17" t="n">
        <v>659815</v>
      </c>
    </row>
    <row r="19914">
      <c r="A19914" s="14" t="inlineStr">
        <is>
          <t>KODE: 9.5.1.2 - Pemasangan 1 m Pipa Baja Karbon, DN. 4" (100 mm)</t>
        </is>
      </c>
    </row>
    <row r="19915">
      <c r="A19915" s="10" t="inlineStr">
        <is>
          <t>No</t>
        </is>
      </c>
      <c r="B19915" s="10" t="inlineStr">
        <is>
          <t>Uraian Komponen</t>
        </is>
      </c>
      <c r="C19915" s="10" t="inlineStr">
        <is>
          <t>Satuan</t>
        </is>
      </c>
      <c r="D19915" s="10" t="inlineStr">
        <is>
          <t>Koef</t>
        </is>
      </c>
      <c r="E19915" s="10" t="inlineStr">
        <is>
          <t>Harga Satuan (Rp)</t>
        </is>
      </c>
      <c r="F19915" s="10" t="inlineStr">
        <is>
          <t>Jumlah Harga (Rp)</t>
        </is>
      </c>
    </row>
    <row r="19916">
      <c r="A19916" s="3" t="inlineStr">
        <is>
          <t>1</t>
        </is>
      </c>
      <c r="B19916" s="3" t="inlineStr">
        <is>
          <t>Pekerja</t>
        </is>
      </c>
      <c r="C19916" s="3" t="inlineStr">
        <is>
          <t>OH</t>
        </is>
      </c>
      <c r="D19916" s="15" t="n">
        <v>0.579</v>
      </c>
      <c r="E19916" s="4" t="n">
        <v>100000</v>
      </c>
      <c r="F19916" s="4" t="n">
        <v>57899.99999999999</v>
      </c>
    </row>
    <row r="19917">
      <c r="A19917" s="3" t="inlineStr">
        <is>
          <t>2</t>
        </is>
      </c>
      <c r="B19917" s="3" t="inlineStr">
        <is>
          <t>Tukang pipa</t>
        </is>
      </c>
      <c r="C19917" s="3" t="inlineStr">
        <is>
          <t>OH</t>
        </is>
      </c>
      <c r="D19917" s="15" t="n">
        <v>0.116</v>
      </c>
      <c r="E19917" s="4" t="n">
        <v>145000</v>
      </c>
      <c r="F19917" s="4" t="n">
        <v>16820</v>
      </c>
    </row>
    <row r="19918">
      <c r="A19918" s="3" t="inlineStr">
        <is>
          <t>3</t>
        </is>
      </c>
      <c r="B19918" s="3" t="inlineStr">
        <is>
          <t>Mandor</t>
        </is>
      </c>
      <c r="C19918" s="3" t="inlineStr">
        <is>
          <t>OH</t>
        </is>
      </c>
      <c r="D19918" s="15" t="n">
        <v>0.058</v>
      </c>
      <c r="E19918" s="4" t="n">
        <v>200000</v>
      </c>
      <c r="F19918" s="4" t="n">
        <v>11600</v>
      </c>
    </row>
    <row r="19919">
      <c r="A19919" s="3" t="n">
        <v>1</v>
      </c>
      <c r="B19919" s="3" t="inlineStr">
        <is>
          <t>"Pipa Baja Karbon</t>
        </is>
      </c>
      <c r="C19919" s="3" t="inlineStr">
        <is>
          <t>DN.</t>
        </is>
      </c>
    </row>
    <row r="19920">
      <c r="A19920" s="3" t="inlineStr">
        <is>
          <t>4"" (100 mm)"</t>
        </is>
      </c>
      <c r="B19920" s="3" t="inlineStr"/>
      <c r="C19920" s="3" t="inlineStr">
        <is>
          <t>m</t>
        </is>
      </c>
      <c r="D19920" s="15" t="n">
        <v>1</v>
      </c>
      <c r="E19920" s="4" t="n">
        <v>650000</v>
      </c>
      <c r="F19920" s="4" t="n">
        <v>650000</v>
      </c>
    </row>
    <row r="19921">
      <c r="A19921" s="3" t="inlineStr">
        <is>
          <t>1</t>
        </is>
      </c>
      <c r="B19921" s="3" t="inlineStr">
        <is>
          <t>Sewa Tripot</t>
        </is>
      </c>
      <c r="C19921" s="3" t="inlineStr">
        <is>
          <t>hari</t>
        </is>
      </c>
      <c r="D19921" s="15" t="n">
        <v>0.004</v>
      </c>
      <c r="E19921" s="4" t="n">
        <v>108000</v>
      </c>
      <c r="F19921" s="4" t="n">
        <v>432</v>
      </c>
    </row>
    <row r="19922">
      <c r="D19922" s="2" t="inlineStr">
        <is>
          <t>SUBTOTAL UPAH</t>
        </is>
      </c>
      <c r="F19922" s="16" t="n">
        <v>86320</v>
      </c>
    </row>
    <row r="19923">
      <c r="D19923" s="2" t="inlineStr">
        <is>
          <t>SUBTOTAL BAHAN</t>
        </is>
      </c>
      <c r="F19923" s="16" t="n">
        <v>650000</v>
      </c>
    </row>
    <row r="19924">
      <c r="D19924" s="2" t="inlineStr">
        <is>
          <t>SUBTOTAL ALAT</t>
        </is>
      </c>
      <c r="F19924" s="16" t="n">
        <v>432</v>
      </c>
    </row>
    <row r="19925">
      <c r="E19925" s="2" t="inlineStr">
        <is>
          <t>TOTAL HARGA SATUAN (Inc. Overhead)</t>
        </is>
      </c>
      <c r="F19925" s="17" t="n">
        <v>810427</v>
      </c>
    </row>
    <row r="19927">
      <c r="A19927" s="14" t="inlineStr">
        <is>
          <t>KODE: 9.5.1.3 - Pemasangan 1 m Pipa Baja Karbon, DN. 5" (125 mm)</t>
        </is>
      </c>
    </row>
    <row r="19928">
      <c r="A19928" s="10" t="inlineStr">
        <is>
          <t>No</t>
        </is>
      </c>
      <c r="B19928" s="10" t="inlineStr">
        <is>
          <t>Uraian Komponen</t>
        </is>
      </c>
      <c r="C19928" s="10" t="inlineStr">
        <is>
          <t>Satuan</t>
        </is>
      </c>
      <c r="D19928" s="10" t="inlineStr">
        <is>
          <t>Koef</t>
        </is>
      </c>
      <c r="E19928" s="10" t="inlineStr">
        <is>
          <t>Harga Satuan (Rp)</t>
        </is>
      </c>
      <c r="F19928" s="10" t="inlineStr">
        <is>
          <t>Jumlah Harga (Rp)</t>
        </is>
      </c>
    </row>
    <row r="19929">
      <c r="A19929" s="3" t="inlineStr">
        <is>
          <t>1</t>
        </is>
      </c>
      <c r="B19929" s="3" t="inlineStr">
        <is>
          <t>Pekerja</t>
        </is>
      </c>
      <c r="C19929" s="3" t="inlineStr">
        <is>
          <t>OH</t>
        </is>
      </c>
      <c r="D19929" s="15" t="n">
        <v>0.648</v>
      </c>
      <c r="E19929" s="4" t="n">
        <v>100000</v>
      </c>
      <c r="F19929" s="4" t="n">
        <v>64800</v>
      </c>
    </row>
    <row r="19930">
      <c r="A19930" s="3" t="inlineStr">
        <is>
          <t>2</t>
        </is>
      </c>
      <c r="B19930" s="3" t="inlineStr">
        <is>
          <t>Tukang pipa</t>
        </is>
      </c>
      <c r="C19930" s="3" t="inlineStr">
        <is>
          <t>OH</t>
        </is>
      </c>
      <c r="D19930" s="15" t="n">
        <v>0.13</v>
      </c>
      <c r="E19930" s="4" t="n">
        <v>145000</v>
      </c>
      <c r="F19930" s="4" t="n">
        <v>18850</v>
      </c>
    </row>
    <row r="19931">
      <c r="A19931" s="3" t="inlineStr">
        <is>
          <t>3</t>
        </is>
      </c>
      <c r="B19931" s="3" t="inlineStr">
        <is>
          <t>Mandor</t>
        </is>
      </c>
      <c r="C19931" s="3" t="inlineStr">
        <is>
          <t>OH</t>
        </is>
      </c>
      <c r="D19931" s="15" t="n">
        <v>0.065</v>
      </c>
      <c r="E19931" s="4" t="n">
        <v>200000</v>
      </c>
      <c r="F19931" s="4" t="n">
        <v>13000</v>
      </c>
    </row>
    <row r="19932">
      <c r="A19932" s="3" t="n">
        <v>1</v>
      </c>
      <c r="B19932" s="3" t="inlineStr">
        <is>
          <t>"Pipa Baja Karbon</t>
        </is>
      </c>
      <c r="C19932" s="3" t="inlineStr">
        <is>
          <t>DN.</t>
        </is>
      </c>
    </row>
    <row r="19933">
      <c r="A19933" s="3" t="inlineStr">
        <is>
          <t>5"" (125 mm)"</t>
        </is>
      </c>
      <c r="B19933" s="3" t="inlineStr"/>
      <c r="C19933" s="3" t="inlineStr">
        <is>
          <t>m</t>
        </is>
      </c>
      <c r="D19933" s="15" t="n">
        <v>1</v>
      </c>
      <c r="E19933" s="4" t="n">
        <v>770000</v>
      </c>
      <c r="F19933" s="4" t="n">
        <v>770000</v>
      </c>
    </row>
    <row r="19934">
      <c r="A19934" s="3" t="inlineStr">
        <is>
          <t>1</t>
        </is>
      </c>
      <c r="B19934" s="3" t="inlineStr">
        <is>
          <t>Sewa Tripot</t>
        </is>
      </c>
      <c r="C19934" s="3" t="inlineStr">
        <is>
          <t>hari</t>
        </is>
      </c>
      <c r="D19934" s="15" t="n">
        <v>0.004</v>
      </c>
      <c r="E19934" s="4" t="n">
        <v>108000</v>
      </c>
      <c r="F19934" s="4" t="n">
        <v>432</v>
      </c>
    </row>
    <row r="19935">
      <c r="D19935" s="2" t="inlineStr">
        <is>
          <t>SUBTOTAL UPAH</t>
        </is>
      </c>
      <c r="F19935" s="16" t="n">
        <v>96650</v>
      </c>
    </row>
    <row r="19936">
      <c r="D19936" s="2" t="inlineStr">
        <is>
          <t>SUBTOTAL BAHAN</t>
        </is>
      </c>
      <c r="F19936" s="16" t="n">
        <v>770000</v>
      </c>
    </row>
    <row r="19937">
      <c r="D19937" s="2" t="inlineStr">
        <is>
          <t>SUBTOTAL ALAT</t>
        </is>
      </c>
      <c r="F19937" s="16" t="n">
        <v>432</v>
      </c>
    </row>
    <row r="19938">
      <c r="E19938" s="2" t="inlineStr">
        <is>
          <t>TOTAL HARGA SATUAN (Inc. Overhead)</t>
        </is>
      </c>
      <c r="F19938" s="17" t="n">
        <v>953790</v>
      </c>
    </row>
    <row r="19940">
      <c r="A19940" s="14" t="inlineStr">
        <is>
          <t>KODE: 9.5.1.4 - Pemasangan 1 m Pipa Baja Karbon, DN. 6" (150 mm)</t>
        </is>
      </c>
    </row>
    <row r="19941">
      <c r="A19941" s="10" t="inlineStr">
        <is>
          <t>No</t>
        </is>
      </c>
      <c r="B19941" s="10" t="inlineStr">
        <is>
          <t>Uraian Komponen</t>
        </is>
      </c>
      <c r="C19941" s="10" t="inlineStr">
        <is>
          <t>Satuan</t>
        </is>
      </c>
      <c r="D19941" s="10" t="inlineStr">
        <is>
          <t>Koef</t>
        </is>
      </c>
      <c r="E19941" s="10" t="inlineStr">
        <is>
          <t>Harga Satuan (Rp)</t>
        </is>
      </c>
      <c r="F19941" s="10" t="inlineStr">
        <is>
          <t>Jumlah Harga (Rp)</t>
        </is>
      </c>
    </row>
    <row r="19942">
      <c r="A19942" s="3" t="inlineStr">
        <is>
          <t>1</t>
        </is>
      </c>
      <c r="B19942" s="3" t="inlineStr">
        <is>
          <t>Pekerja</t>
        </is>
      </c>
      <c r="C19942" s="3" t="inlineStr">
        <is>
          <t>OH</t>
        </is>
      </c>
      <c r="D19942" s="15" t="n">
        <v>0.708</v>
      </c>
      <c r="E19942" s="4" t="n">
        <v>100000</v>
      </c>
      <c r="F19942" s="4" t="n">
        <v>70800</v>
      </c>
    </row>
    <row r="19943">
      <c r="A19943" s="3" t="inlineStr">
        <is>
          <t>2</t>
        </is>
      </c>
      <c r="B19943" s="3" t="inlineStr">
        <is>
          <t>Tukang pipa</t>
        </is>
      </c>
      <c r="C19943" s="3" t="inlineStr">
        <is>
          <t>OH</t>
        </is>
      </c>
      <c r="D19943" s="15" t="n">
        <v>0.142</v>
      </c>
      <c r="E19943" s="4" t="n">
        <v>145000</v>
      </c>
      <c r="F19943" s="4" t="n">
        <v>20590</v>
      </c>
    </row>
    <row r="19944">
      <c r="A19944" s="3" t="inlineStr">
        <is>
          <t>3</t>
        </is>
      </c>
      <c r="B19944" s="3" t="inlineStr">
        <is>
          <t>Mandor</t>
        </is>
      </c>
      <c r="C19944" s="3" t="inlineStr">
        <is>
          <t>OH</t>
        </is>
      </c>
      <c r="D19944" s="15" t="n">
        <v>0.07099999999999999</v>
      </c>
      <c r="E19944" s="4" t="n">
        <v>200000</v>
      </c>
      <c r="F19944" s="4" t="n">
        <v>14200</v>
      </c>
    </row>
    <row r="19945">
      <c r="A19945" s="3" t="n">
        <v>1</v>
      </c>
      <c r="B19945" s="3" t="inlineStr">
        <is>
          <t>"Pipa Baja Karbon</t>
        </is>
      </c>
      <c r="C19945" s="3" t="inlineStr">
        <is>
          <t>DN.</t>
        </is>
      </c>
    </row>
    <row r="19946">
      <c r="A19946" s="3" t="inlineStr">
        <is>
          <t>6"" (150 mm)"</t>
        </is>
      </c>
      <c r="B19946" s="3" t="inlineStr"/>
      <c r="C19946" s="3" t="inlineStr">
        <is>
          <t>m</t>
        </is>
      </c>
      <c r="D19946" s="15" t="n">
        <v>1</v>
      </c>
      <c r="E19946" s="4" t="n">
        <v>815000</v>
      </c>
      <c r="F19946" s="4" t="n">
        <v>815000</v>
      </c>
    </row>
    <row r="19947">
      <c r="A19947" s="3" t="inlineStr">
        <is>
          <t>1</t>
        </is>
      </c>
      <c r="B19947" s="3" t="inlineStr">
        <is>
          <t>Sewa Tripot</t>
        </is>
      </c>
      <c r="C19947" s="3" t="inlineStr">
        <is>
          <t>hari</t>
        </is>
      </c>
      <c r="D19947" s="15" t="n">
        <v>0.004</v>
      </c>
      <c r="E19947" s="4" t="n">
        <v>108000</v>
      </c>
      <c r="F19947" s="4" t="n">
        <v>432</v>
      </c>
    </row>
    <row r="19948">
      <c r="D19948" s="2" t="inlineStr">
        <is>
          <t>SUBTOTAL UPAH</t>
        </is>
      </c>
      <c r="F19948" s="16" t="n">
        <v>105590</v>
      </c>
    </row>
    <row r="19949">
      <c r="D19949" s="2" t="inlineStr">
        <is>
          <t>SUBTOTAL BAHAN</t>
        </is>
      </c>
      <c r="F19949" s="16" t="n">
        <v>815000</v>
      </c>
    </row>
    <row r="19950">
      <c r="D19950" s="2" t="inlineStr">
        <is>
          <t>SUBTOTAL ALAT</t>
        </is>
      </c>
      <c r="F19950" s="16" t="n">
        <v>432</v>
      </c>
    </row>
    <row r="19951">
      <c r="E19951" s="2" t="inlineStr">
        <is>
          <t>TOTAL HARGA SATUAN (Inc. Overhead)</t>
        </is>
      </c>
      <c r="F19951" s="17" t="n">
        <v>1013124</v>
      </c>
    </row>
    <row r="19953">
      <c r="A19953" s="14" t="inlineStr">
        <is>
          <t>KODE: 9.5.1.5 - Pemasangan 1 m Pipa Baja Karbon, DN. 8" (200 mm)</t>
        </is>
      </c>
    </row>
    <row r="19954">
      <c r="A19954" s="10" t="inlineStr">
        <is>
          <t>No</t>
        </is>
      </c>
      <c r="B19954" s="10" t="inlineStr">
        <is>
          <t>Uraian Komponen</t>
        </is>
      </c>
      <c r="C19954" s="10" t="inlineStr">
        <is>
          <t>Satuan</t>
        </is>
      </c>
      <c r="D19954" s="10" t="inlineStr">
        <is>
          <t>Koef</t>
        </is>
      </c>
      <c r="E19954" s="10" t="inlineStr">
        <is>
          <t>Harga Satuan (Rp)</t>
        </is>
      </c>
      <c r="F19954" s="10" t="inlineStr">
        <is>
          <t>Jumlah Harga (Rp)</t>
        </is>
      </c>
    </row>
    <row r="19955">
      <c r="A19955" s="3" t="inlineStr">
        <is>
          <t>1</t>
        </is>
      </c>
      <c r="B19955" s="3" t="inlineStr">
        <is>
          <t>Pekerja</t>
        </is>
      </c>
      <c r="C19955" s="3" t="inlineStr">
        <is>
          <t>OH</t>
        </is>
      </c>
      <c r="D19955" s="15" t="n">
        <v>1.113</v>
      </c>
      <c r="E19955" s="4" t="n">
        <v>100000</v>
      </c>
      <c r="F19955" s="4" t="n">
        <v>111300</v>
      </c>
    </row>
    <row r="19956">
      <c r="A19956" s="3" t="inlineStr">
        <is>
          <t>2</t>
        </is>
      </c>
      <c r="B19956" s="3" t="inlineStr">
        <is>
          <t>Tukang pipa</t>
        </is>
      </c>
      <c r="C19956" s="3" t="inlineStr">
        <is>
          <t>OH</t>
        </is>
      </c>
      <c r="D19956" s="15" t="n">
        <v>0.223</v>
      </c>
      <c r="E19956" s="4" t="n">
        <v>145000</v>
      </c>
      <c r="F19956" s="4" t="n">
        <v>32335</v>
      </c>
    </row>
    <row r="19957">
      <c r="A19957" s="3" t="inlineStr">
        <is>
          <t>3</t>
        </is>
      </c>
      <c r="B19957" s="3" t="inlineStr">
        <is>
          <t>Mandor</t>
        </is>
      </c>
      <c r="C19957" s="3" t="inlineStr">
        <is>
          <t>OH</t>
        </is>
      </c>
      <c r="D19957" s="15" t="n">
        <v>0.111</v>
      </c>
      <c r="E19957" s="4" t="n">
        <v>200000</v>
      </c>
      <c r="F19957" s="4" t="n">
        <v>22200</v>
      </c>
    </row>
    <row r="19958">
      <c r="A19958" s="3" t="n">
        <v>1</v>
      </c>
      <c r="B19958" s="3" t="inlineStr">
        <is>
          <t>"Pipa Baja Karbon</t>
        </is>
      </c>
      <c r="C19958" s="3" t="inlineStr">
        <is>
          <t>DN.</t>
        </is>
      </c>
    </row>
    <row r="19959">
      <c r="A19959" s="3" t="inlineStr">
        <is>
          <t>8"" (200 mm)"</t>
        </is>
      </c>
      <c r="B19959" s="3" t="inlineStr"/>
      <c r="C19959" s="3" t="inlineStr">
        <is>
          <t>m</t>
        </is>
      </c>
      <c r="D19959" s="15" t="n">
        <v>1</v>
      </c>
      <c r="E19959" s="4" t="n">
        <v>895000</v>
      </c>
      <c r="F19959" s="4" t="n">
        <v>895000</v>
      </c>
    </row>
    <row r="19960">
      <c r="A19960" s="3" t="inlineStr">
        <is>
          <t>1</t>
        </is>
      </c>
      <c r="B19960" s="3" t="inlineStr">
        <is>
          <t>Sewa Tripot</t>
        </is>
      </c>
      <c r="C19960" s="3" t="inlineStr">
        <is>
          <t>hari</t>
        </is>
      </c>
      <c r="D19960" s="15" t="n">
        <v>0.004</v>
      </c>
      <c r="E19960" s="4" t="n">
        <v>108000</v>
      </c>
      <c r="F19960" s="4" t="n">
        <v>432</v>
      </c>
    </row>
    <row r="19961">
      <c r="D19961" s="2" t="inlineStr">
        <is>
          <t>SUBTOTAL UPAH</t>
        </is>
      </c>
      <c r="F19961" s="16" t="n">
        <v>165835</v>
      </c>
    </row>
    <row r="19962">
      <c r="D19962" s="2" t="inlineStr">
        <is>
          <t>SUBTOTAL BAHAN</t>
        </is>
      </c>
      <c r="F19962" s="16" t="n">
        <v>895000</v>
      </c>
    </row>
    <row r="19963">
      <c r="D19963" s="2" t="inlineStr">
        <is>
          <t>SUBTOTAL ALAT</t>
        </is>
      </c>
      <c r="F19963" s="16" t="n">
        <v>432</v>
      </c>
    </row>
    <row r="19964">
      <c r="E19964" s="2" t="inlineStr">
        <is>
          <t>TOTAL HARGA SATUAN (Inc. Overhead)</t>
        </is>
      </c>
      <c r="F19964" s="17" t="n">
        <v>1167393</v>
      </c>
    </row>
    <row r="19966">
      <c r="A19966" s="14" t="inlineStr">
        <is>
          <t>KODE: 9.5.1.6 - Pemasangan 1 m Pipa Baja Karbon, DN. 10" (250 mm)</t>
        </is>
      </c>
    </row>
    <row r="19967">
      <c r="A19967" s="10" t="inlineStr">
        <is>
          <t>No</t>
        </is>
      </c>
      <c r="B19967" s="10" t="inlineStr">
        <is>
          <t>Uraian Komponen</t>
        </is>
      </c>
      <c r="C19967" s="10" t="inlineStr">
        <is>
          <t>Satuan</t>
        </is>
      </c>
      <c r="D19967" s="10" t="inlineStr">
        <is>
          <t>Koef</t>
        </is>
      </c>
      <c r="E19967" s="10" t="inlineStr">
        <is>
          <t>Harga Satuan (Rp)</t>
        </is>
      </c>
      <c r="F19967" s="10" t="inlineStr">
        <is>
          <t>Jumlah Harga (Rp)</t>
        </is>
      </c>
    </row>
    <row r="19968">
      <c r="A19968" s="3" t="inlineStr">
        <is>
          <t>1</t>
        </is>
      </c>
      <c r="B19968" s="3" t="inlineStr">
        <is>
          <t>Pekerja</t>
        </is>
      </c>
      <c r="C19968" s="3" t="inlineStr">
        <is>
          <t>OH</t>
        </is>
      </c>
      <c r="D19968" s="15" t="n">
        <v>1.325</v>
      </c>
      <c r="E19968" s="4" t="n">
        <v>100000</v>
      </c>
      <c r="F19968" s="4" t="n">
        <v>132500</v>
      </c>
    </row>
    <row r="19969">
      <c r="A19969" s="3" t="inlineStr">
        <is>
          <t>2</t>
        </is>
      </c>
      <c r="B19969" s="3" t="inlineStr">
        <is>
          <t>Tukang pipa</t>
        </is>
      </c>
      <c r="C19969" s="3" t="inlineStr">
        <is>
          <t>OH</t>
        </is>
      </c>
      <c r="D19969" s="15" t="n">
        <v>0.265</v>
      </c>
      <c r="E19969" s="4" t="n">
        <v>145000</v>
      </c>
      <c r="F19969" s="4" t="n">
        <v>38425</v>
      </c>
    </row>
    <row r="19970">
      <c r="A19970" s="3" t="inlineStr">
        <is>
          <t>3</t>
        </is>
      </c>
      <c r="B19970" s="3" t="inlineStr">
        <is>
          <t>Mandor</t>
        </is>
      </c>
      <c r="C19970" s="3" t="inlineStr">
        <is>
          <t>OH</t>
        </is>
      </c>
      <c r="D19970" s="15" t="n">
        <v>0.133</v>
      </c>
      <c r="E19970" s="4" t="n">
        <v>200000</v>
      </c>
      <c r="F19970" s="4" t="n">
        <v>26600</v>
      </c>
    </row>
    <row r="19971">
      <c r="A19971" s="3" t="n">
        <v>1</v>
      </c>
      <c r="B19971" s="3" t="inlineStr">
        <is>
          <t>"Pipa Baja Karbon</t>
        </is>
      </c>
      <c r="C19971" s="3" t="inlineStr">
        <is>
          <t>DN.</t>
        </is>
      </c>
    </row>
    <row r="19972">
      <c r="A19972" s="3" t="inlineStr">
        <is>
          <t>10"" (250 mm)"</t>
        </is>
      </c>
      <c r="B19972" s="3" t="inlineStr"/>
      <c r="C19972" s="3" t="inlineStr">
        <is>
          <t>m</t>
        </is>
      </c>
      <c r="D19972" s="15" t="n">
        <v>1</v>
      </c>
      <c r="E19972" s="4" t="n">
        <v>945000</v>
      </c>
      <c r="F19972" s="4" t="n">
        <v>945000</v>
      </c>
    </row>
    <row r="19973">
      <c r="A19973" s="3" t="inlineStr">
        <is>
          <t>1</t>
        </is>
      </c>
      <c r="B19973" s="3" t="inlineStr">
        <is>
          <t>Sewa Tripot</t>
        </is>
      </c>
      <c r="C19973" s="3" t="inlineStr">
        <is>
          <t>hari</t>
        </is>
      </c>
      <c r="D19973" s="15" t="n">
        <v>0.004</v>
      </c>
      <c r="E19973" s="4" t="n">
        <v>108000</v>
      </c>
      <c r="F19973" s="4" t="n">
        <v>432</v>
      </c>
    </row>
    <row r="19974">
      <c r="D19974" s="2" t="inlineStr">
        <is>
          <t>SUBTOTAL UPAH</t>
        </is>
      </c>
      <c r="F19974" s="16" t="n">
        <v>197525</v>
      </c>
    </row>
    <row r="19975">
      <c r="D19975" s="2" t="inlineStr">
        <is>
          <t>SUBTOTAL BAHAN</t>
        </is>
      </c>
      <c r="F19975" s="16" t="n">
        <v>945000</v>
      </c>
    </row>
    <row r="19976">
      <c r="D19976" s="2" t="inlineStr">
        <is>
          <t>SUBTOTAL ALAT</t>
        </is>
      </c>
      <c r="F19976" s="16" t="n">
        <v>432</v>
      </c>
    </row>
    <row r="19977">
      <c r="E19977" s="2" t="inlineStr">
        <is>
          <t>TOTAL HARGA SATUAN (Inc. Overhead)</t>
        </is>
      </c>
      <c r="F19977" s="17" t="n">
        <v>1257252</v>
      </c>
    </row>
    <row r="19979">
      <c r="A19979" s="14" t="inlineStr">
        <is>
          <t>KODE: 9.5.1.7 - Pemasangan 1 m Pipa Baja Karbon, DN. 12" (300 mm)</t>
        </is>
      </c>
    </row>
    <row r="19980">
      <c r="A19980" s="10" t="inlineStr">
        <is>
          <t>No</t>
        </is>
      </c>
      <c r="B19980" s="10" t="inlineStr">
        <is>
          <t>Uraian Komponen</t>
        </is>
      </c>
      <c r="C19980" s="10" t="inlineStr">
        <is>
          <t>Satuan</t>
        </is>
      </c>
      <c r="D19980" s="10" t="inlineStr">
        <is>
          <t>Koef</t>
        </is>
      </c>
      <c r="E19980" s="10" t="inlineStr">
        <is>
          <t>Harga Satuan (Rp)</t>
        </is>
      </c>
      <c r="F19980" s="10" t="inlineStr">
        <is>
          <t>Jumlah Harga (Rp)</t>
        </is>
      </c>
    </row>
    <row r="19981">
      <c r="A19981" s="3" t="inlineStr">
        <is>
          <t>1</t>
        </is>
      </c>
      <c r="B19981" s="3" t="inlineStr">
        <is>
          <t>Pekerja</t>
        </is>
      </c>
      <c r="C19981" s="3" t="inlineStr">
        <is>
          <t>OH</t>
        </is>
      </c>
      <c r="D19981" s="15" t="n">
        <v>1.415</v>
      </c>
      <c r="E19981" s="4" t="n">
        <v>100000</v>
      </c>
      <c r="F19981" s="4" t="n">
        <v>141500</v>
      </c>
    </row>
    <row r="19982">
      <c r="A19982" s="3" t="inlineStr">
        <is>
          <t>2</t>
        </is>
      </c>
      <c r="B19982" s="3" t="inlineStr">
        <is>
          <t>Tukang pipa</t>
        </is>
      </c>
      <c r="C19982" s="3" t="inlineStr">
        <is>
          <t>OH</t>
        </is>
      </c>
      <c r="D19982" s="15" t="n">
        <v>0.283</v>
      </c>
      <c r="E19982" s="4" t="n">
        <v>145000</v>
      </c>
      <c r="F19982" s="4" t="n">
        <v>41034.99999999999</v>
      </c>
    </row>
    <row r="19983">
      <c r="A19983" s="3" t="inlineStr">
        <is>
          <t>3</t>
        </is>
      </c>
      <c r="B19983" s="3" t="inlineStr">
        <is>
          <t>Mandor</t>
        </is>
      </c>
      <c r="C19983" s="3" t="inlineStr">
        <is>
          <t>OH</t>
        </is>
      </c>
      <c r="D19983" s="15" t="n">
        <v>0.141</v>
      </c>
      <c r="E19983" s="4" t="n">
        <v>200000</v>
      </c>
      <c r="F19983" s="4" t="n">
        <v>28200</v>
      </c>
    </row>
    <row r="19984">
      <c r="A19984" s="3" t="n">
        <v>1</v>
      </c>
      <c r="B19984" s="3" t="inlineStr">
        <is>
          <t>"Pipa Baja Karbon</t>
        </is>
      </c>
      <c r="C19984" s="3" t="inlineStr">
        <is>
          <t>DN.</t>
        </is>
      </c>
    </row>
    <row r="19985">
      <c r="A19985" s="3" t="inlineStr">
        <is>
          <t>12"" (300 mm)"</t>
        </is>
      </c>
      <c r="B19985" s="3" t="inlineStr"/>
      <c r="C19985" s="3" t="inlineStr">
        <is>
          <t>m</t>
        </is>
      </c>
      <c r="D19985" s="15" t="n">
        <v>1</v>
      </c>
      <c r="E19985" s="4" t="n">
        <v>1055000</v>
      </c>
      <c r="F19985" s="4" t="n">
        <v>1055000</v>
      </c>
    </row>
    <row r="19986">
      <c r="A19986" s="3" t="inlineStr">
        <is>
          <t>1</t>
        </is>
      </c>
      <c r="B19986" s="3" t="inlineStr">
        <is>
          <t>Sewa Tripot</t>
        </is>
      </c>
      <c r="C19986" s="3" t="inlineStr">
        <is>
          <t>hari</t>
        </is>
      </c>
      <c r="D19986" s="15" t="n">
        <v>0.004</v>
      </c>
      <c r="E19986" s="4" t="n">
        <v>108000</v>
      </c>
      <c r="F19986" s="4" t="n">
        <v>432</v>
      </c>
    </row>
    <row r="19987">
      <c r="D19987" s="2" t="inlineStr">
        <is>
          <t>SUBTOTAL UPAH</t>
        </is>
      </c>
      <c r="F19987" s="16" t="n">
        <v>210735</v>
      </c>
    </row>
    <row r="19988">
      <c r="D19988" s="2" t="inlineStr">
        <is>
          <t>SUBTOTAL BAHAN</t>
        </is>
      </c>
      <c r="F19988" s="16" t="n">
        <v>1055000</v>
      </c>
    </row>
    <row r="19989">
      <c r="D19989" s="2" t="inlineStr">
        <is>
          <t>SUBTOTAL ALAT</t>
        </is>
      </c>
      <c r="F19989" s="16" t="n">
        <v>432</v>
      </c>
    </row>
    <row r="19990">
      <c r="E19990" s="2" t="inlineStr">
        <is>
          <t>TOTAL HARGA SATUAN (Inc. Overhead)</t>
        </is>
      </c>
      <c r="F19990" s="17" t="n">
        <v>1392783</v>
      </c>
    </row>
    <row r="19992">
      <c r="A19992" s="14" t="inlineStr">
        <is>
          <t>KODE: 9.5.1.8 - Pemasangan 1 m Pipa Baja Karbon, DN. 16" (400 mm)</t>
        </is>
      </c>
    </row>
    <row r="19993">
      <c r="A19993" s="10" t="inlineStr">
        <is>
          <t>No</t>
        </is>
      </c>
      <c r="B19993" s="10" t="inlineStr">
        <is>
          <t>Uraian Komponen</t>
        </is>
      </c>
      <c r="C19993" s="10" t="inlineStr">
        <is>
          <t>Satuan</t>
        </is>
      </c>
      <c r="D19993" s="10" t="inlineStr">
        <is>
          <t>Koef</t>
        </is>
      </c>
      <c r="E19993" s="10" t="inlineStr">
        <is>
          <t>Harga Satuan (Rp)</t>
        </is>
      </c>
      <c r="F19993" s="10" t="inlineStr">
        <is>
          <t>Jumlah Harga (Rp)</t>
        </is>
      </c>
    </row>
    <row r="19994">
      <c r="A19994" s="3" t="inlineStr">
        <is>
          <t>1</t>
        </is>
      </c>
      <c r="B19994" s="3" t="inlineStr">
        <is>
          <t>Pekerja</t>
        </is>
      </c>
      <c r="C19994" s="3" t="inlineStr">
        <is>
          <t>OH</t>
        </is>
      </c>
      <c r="D19994" s="15" t="n">
        <v>2.366</v>
      </c>
      <c r="E19994" s="4" t="n">
        <v>100000</v>
      </c>
      <c r="F19994" s="4" t="n">
        <v>236600</v>
      </c>
    </row>
    <row r="19995">
      <c r="A19995" s="3" t="inlineStr">
        <is>
          <t>2</t>
        </is>
      </c>
      <c r="B19995" s="3" t="inlineStr">
        <is>
          <t>Tukang pipa</t>
        </is>
      </c>
      <c r="C19995" s="3" t="inlineStr">
        <is>
          <t>OH</t>
        </is>
      </c>
      <c r="D19995" s="15" t="n">
        <v>0.473</v>
      </c>
      <c r="E19995" s="4" t="n">
        <v>145000</v>
      </c>
      <c r="F19995" s="4" t="n">
        <v>68585</v>
      </c>
    </row>
    <row r="19996">
      <c r="A19996" s="3" t="inlineStr">
        <is>
          <t>3</t>
        </is>
      </c>
      <c r="B19996" s="3" t="inlineStr">
        <is>
          <t>Mandor</t>
        </is>
      </c>
      <c r="C19996" s="3" t="inlineStr">
        <is>
          <t>OH</t>
        </is>
      </c>
      <c r="D19996" s="15" t="n">
        <v>0.237</v>
      </c>
      <c r="E19996" s="4" t="n">
        <v>200000</v>
      </c>
      <c r="F19996" s="4" t="n">
        <v>47400</v>
      </c>
    </row>
    <row r="19997">
      <c r="A19997" s="3" t="n">
        <v>1</v>
      </c>
      <c r="B19997" s="3" t="inlineStr">
        <is>
          <t>"Pipa Baja Karbon</t>
        </is>
      </c>
      <c r="C19997" s="3" t="inlineStr">
        <is>
          <t>DN. 16""</t>
        </is>
      </c>
    </row>
    <row r="19998">
      <c r="A19998" s="3" t="inlineStr">
        <is>
          <t>(400 mm)"</t>
        </is>
      </c>
      <c r="B19998" s="3" t="inlineStr"/>
      <c r="C19998" s="3" t="inlineStr">
        <is>
          <t>m</t>
        </is>
      </c>
      <c r="D19998" s="15" t="n">
        <v>1</v>
      </c>
      <c r="E19998" s="4" t="n">
        <v>2305000</v>
      </c>
      <c r="F19998" s="4" t="n">
        <v>2305000</v>
      </c>
    </row>
    <row r="19999">
      <c r="A19999" s="3" t="inlineStr">
        <is>
          <t>1</t>
        </is>
      </c>
      <c r="B19999" s="3" t="inlineStr">
        <is>
          <t>Excavator</t>
        </is>
      </c>
      <c r="C19999" s="3" t="inlineStr">
        <is>
          <t>hari</t>
        </is>
      </c>
      <c r="D19999" s="15" t="n">
        <v>0.027</v>
      </c>
      <c r="E19999" s="4" t="n">
        <v>5150000</v>
      </c>
      <c r="F19999" s="4" t="n">
        <v>139050</v>
      </c>
    </row>
    <row r="20000">
      <c r="A20000" s="3" t="inlineStr">
        <is>
          <t>1</t>
        </is>
      </c>
      <c r="B20000" s="3" t="inlineStr">
        <is>
          <t>Sewa Tripot</t>
        </is>
      </c>
      <c r="C20000" s="3" t="inlineStr">
        <is>
          <t>hari</t>
        </is>
      </c>
      <c r="D20000" s="15" t="n">
        <v>0.039</v>
      </c>
      <c r="E20000" s="4" t="n">
        <v>108000</v>
      </c>
      <c r="F20000" s="4" t="n">
        <v>4212</v>
      </c>
    </row>
    <row r="20001">
      <c r="D20001" s="2" t="inlineStr">
        <is>
          <t>SUBTOTAL UPAH</t>
        </is>
      </c>
      <c r="F20001" s="16" t="n">
        <v>352585</v>
      </c>
    </row>
    <row r="20002">
      <c r="D20002" s="2" t="inlineStr">
        <is>
          <t>SUBTOTAL BAHAN</t>
        </is>
      </c>
      <c r="F20002" s="16" t="n">
        <v>2305000</v>
      </c>
    </row>
    <row r="20003">
      <c r="D20003" s="2" t="inlineStr">
        <is>
          <t>SUBTOTAL ALAT</t>
        </is>
      </c>
      <c r="F20003" s="16" t="n">
        <v>143262</v>
      </c>
    </row>
    <row r="20004">
      <c r="E20004" s="2" t="inlineStr">
        <is>
          <t>TOTAL HARGA SATUAN (Inc. Overhead)</t>
        </is>
      </c>
      <c r="F20004" s="17" t="n">
        <v>3080931</v>
      </c>
    </row>
    <row r="20006">
      <c r="A20006" s="14" t="inlineStr">
        <is>
          <t>KODE: 9.5.1.9 - Pemasangan 1 m Pipa Baja Karbon, DN. 18" (450 mm)</t>
        </is>
      </c>
    </row>
    <row r="20007">
      <c r="A20007" s="10" t="inlineStr">
        <is>
          <t>No</t>
        </is>
      </c>
      <c r="B20007" s="10" t="inlineStr">
        <is>
          <t>Uraian Komponen</t>
        </is>
      </c>
      <c r="C20007" s="10" t="inlineStr">
        <is>
          <t>Satuan</t>
        </is>
      </c>
      <c r="D20007" s="10" t="inlineStr">
        <is>
          <t>Koef</t>
        </is>
      </c>
      <c r="E20007" s="10" t="inlineStr">
        <is>
          <t>Harga Satuan (Rp)</t>
        </is>
      </c>
      <c r="F20007" s="10" t="inlineStr">
        <is>
          <t>Jumlah Harga (Rp)</t>
        </is>
      </c>
    </row>
    <row r="20008">
      <c r="A20008" s="3" t="inlineStr">
        <is>
          <t>1</t>
        </is>
      </c>
      <c r="B20008" s="3" t="inlineStr">
        <is>
          <t>Pekerja</t>
        </is>
      </c>
      <c r="C20008" s="3" t="inlineStr">
        <is>
          <t>OH</t>
        </is>
      </c>
      <c r="D20008" s="15" t="n">
        <v>2.662</v>
      </c>
      <c r="E20008" s="4" t="n">
        <v>100000</v>
      </c>
      <c r="F20008" s="4" t="n">
        <v>266200</v>
      </c>
    </row>
    <row r="20009">
      <c r="A20009" s="3" t="inlineStr">
        <is>
          <t>2</t>
        </is>
      </c>
      <c r="B20009" s="3" t="inlineStr">
        <is>
          <t>Tukang pipa</t>
        </is>
      </c>
      <c r="C20009" s="3" t="inlineStr">
        <is>
          <t>OH</t>
        </is>
      </c>
      <c r="D20009" s="15" t="n">
        <v>0.532</v>
      </c>
      <c r="E20009" s="4" t="n">
        <v>145000</v>
      </c>
      <c r="F20009" s="4" t="n">
        <v>77140</v>
      </c>
    </row>
    <row r="20010">
      <c r="A20010" s="3" t="inlineStr">
        <is>
          <t>3</t>
        </is>
      </c>
      <c r="B20010" s="3" t="inlineStr">
        <is>
          <t>Mandor</t>
        </is>
      </c>
      <c r="C20010" s="3" t="inlineStr">
        <is>
          <t>OH</t>
        </is>
      </c>
      <c r="D20010" s="15" t="n">
        <v>0.267</v>
      </c>
      <c r="E20010" s="4" t="n">
        <v>200000</v>
      </c>
      <c r="F20010" s="4" t="n">
        <v>53400</v>
      </c>
    </row>
    <row r="20011">
      <c r="A20011" s="3" t="n">
        <v>1</v>
      </c>
      <c r="B20011" s="3" t="inlineStr">
        <is>
          <t>"Pipa Baja Karbon</t>
        </is>
      </c>
      <c r="C20011" s="3" t="inlineStr">
        <is>
          <t>DN. 18""</t>
        </is>
      </c>
    </row>
    <row r="20012">
      <c r="A20012" s="3" t="inlineStr">
        <is>
          <t>(450 mm"</t>
        </is>
      </c>
      <c r="B20012" s="3" t="inlineStr"/>
      <c r="C20012" s="3" t="inlineStr">
        <is>
          <t>m</t>
        </is>
      </c>
      <c r="D20012" s="15" t="n">
        <v>1</v>
      </c>
      <c r="E20012" s="4" t="n">
        <v>2455000</v>
      </c>
      <c r="F20012" s="4" t="n">
        <v>2455000</v>
      </c>
    </row>
    <row r="20013">
      <c r="A20013" s="3" t="inlineStr">
        <is>
          <t>1</t>
        </is>
      </c>
      <c r="B20013" s="3" t="inlineStr">
        <is>
          <t>Excavator</t>
        </is>
      </c>
      <c r="C20013" s="3" t="inlineStr">
        <is>
          <t>hari</t>
        </is>
      </c>
      <c r="D20013" s="15" t="n">
        <v>0.03</v>
      </c>
      <c r="E20013" s="4" t="n">
        <v>5150000</v>
      </c>
      <c r="F20013" s="4" t="n">
        <v>154500</v>
      </c>
    </row>
    <row r="20014">
      <c r="A20014" s="3" t="inlineStr">
        <is>
          <t>2</t>
        </is>
      </c>
      <c r="B20014" s="3" t="inlineStr">
        <is>
          <t>Sewa Tripot</t>
        </is>
      </c>
      <c r="C20014" s="3" t="inlineStr">
        <is>
          <t>hari</t>
        </is>
      </c>
      <c r="D20014" s="15" t="n">
        <v>0.044</v>
      </c>
      <c r="E20014" s="4" t="n">
        <v>108000</v>
      </c>
      <c r="F20014" s="4" t="n">
        <v>4752</v>
      </c>
    </row>
    <row r="20015">
      <c r="D20015" s="2" t="inlineStr">
        <is>
          <t>SUBTOTAL UPAH</t>
        </is>
      </c>
      <c r="F20015" s="16" t="n">
        <v>396740</v>
      </c>
    </row>
    <row r="20016">
      <c r="D20016" s="2" t="inlineStr">
        <is>
          <t>SUBTOTAL BAHAN</t>
        </is>
      </c>
      <c r="F20016" s="16" t="n">
        <v>2455000</v>
      </c>
    </row>
    <row r="20017">
      <c r="D20017" s="2" t="inlineStr">
        <is>
          <t>SUBTOTAL ALAT</t>
        </is>
      </c>
      <c r="F20017" s="16" t="n">
        <v>159252</v>
      </c>
    </row>
    <row r="20018">
      <c r="E20018" s="2" t="inlineStr">
        <is>
          <t>TOTAL HARGA SATUAN (Inc. Overhead)</t>
        </is>
      </c>
      <c r="F20018" s="17" t="n">
        <v>3312091</v>
      </c>
    </row>
    <row r="20020">
      <c r="A20020" s="14" t="inlineStr">
        <is>
          <t>KODE: 9.5.1.10 - Pemasangan 1 m Pipa Baja Karbon, DN. 20" (500 mm)</t>
        </is>
      </c>
    </row>
    <row r="20021">
      <c r="A20021" s="10" t="inlineStr">
        <is>
          <t>No</t>
        </is>
      </c>
      <c r="B20021" s="10" t="inlineStr">
        <is>
          <t>Uraian Komponen</t>
        </is>
      </c>
      <c r="C20021" s="10" t="inlineStr">
        <is>
          <t>Satuan</t>
        </is>
      </c>
      <c r="D20021" s="10" t="inlineStr">
        <is>
          <t>Koef</t>
        </is>
      </c>
      <c r="E20021" s="10" t="inlineStr">
        <is>
          <t>Harga Satuan (Rp)</t>
        </is>
      </c>
      <c r="F20021" s="10" t="inlineStr">
        <is>
          <t>Jumlah Harga (Rp)</t>
        </is>
      </c>
    </row>
    <row r="20022">
      <c r="A20022" s="3" t="inlineStr">
        <is>
          <t>1</t>
        </is>
      </c>
      <c r="B20022" s="3" t="inlineStr">
        <is>
          <t>Pekerja</t>
        </is>
      </c>
      <c r="C20022" s="3" t="inlineStr">
        <is>
          <t>OH</t>
        </is>
      </c>
      <c r="D20022" s="15" t="n">
        <v>2.958</v>
      </c>
      <c r="E20022" s="4" t="n">
        <v>100000</v>
      </c>
      <c r="F20022" s="4" t="n">
        <v>295800</v>
      </c>
    </row>
    <row r="20023">
      <c r="A20023" s="3" t="inlineStr">
        <is>
          <t>2</t>
        </is>
      </c>
      <c r="B20023" s="3" t="inlineStr">
        <is>
          <t>Tukang pipa</t>
        </is>
      </c>
      <c r="C20023" s="3" t="inlineStr">
        <is>
          <t>OH</t>
        </is>
      </c>
      <c r="D20023" s="15" t="n">
        <v>0.591</v>
      </c>
      <c r="E20023" s="4" t="n">
        <v>145000</v>
      </c>
      <c r="F20023" s="4" t="n">
        <v>85695</v>
      </c>
    </row>
    <row r="20024">
      <c r="A20024" s="3" t="inlineStr">
        <is>
          <t>3</t>
        </is>
      </c>
      <c r="B20024" s="3" t="inlineStr">
        <is>
          <t>Mandor</t>
        </is>
      </c>
      <c r="C20024" s="3" t="inlineStr">
        <is>
          <t>OH</t>
        </is>
      </c>
      <c r="D20024" s="15" t="n">
        <v>0.296</v>
      </c>
      <c r="E20024" s="4" t="n">
        <v>200000</v>
      </c>
      <c r="F20024" s="4" t="n">
        <v>59200</v>
      </c>
    </row>
    <row r="20025">
      <c r="A20025" s="3" t="n">
        <v>1</v>
      </c>
      <c r="B20025" s="3" t="inlineStr">
        <is>
          <t>"Pipa Baja Karbon</t>
        </is>
      </c>
      <c r="C20025" s="3" t="inlineStr">
        <is>
          <t>DN.</t>
        </is>
      </c>
    </row>
    <row r="20026">
      <c r="A20026" s="3" t="inlineStr">
        <is>
          <t>20"" (500 mm)"</t>
        </is>
      </c>
      <c r="B20026" s="3" t="inlineStr"/>
      <c r="C20026" s="3" t="inlineStr">
        <is>
          <t>m</t>
        </is>
      </c>
      <c r="D20026" s="15" t="n">
        <v>1</v>
      </c>
      <c r="E20026" s="4" t="n">
        <v>2565000</v>
      </c>
      <c r="F20026" s="4" t="n">
        <v>2565000</v>
      </c>
    </row>
    <row r="20027">
      <c r="A20027" s="3" t="inlineStr">
        <is>
          <t>1</t>
        </is>
      </c>
      <c r="B20027" s="3" t="inlineStr">
        <is>
          <t>Excavator</t>
        </is>
      </c>
      <c r="C20027" s="3" t="inlineStr">
        <is>
          <t>hari</t>
        </is>
      </c>
      <c r="D20027" s="15" t="n">
        <v>0.034</v>
      </c>
      <c r="E20027" s="4" t="n">
        <v>5150000</v>
      </c>
      <c r="F20027" s="4" t="n">
        <v>175100</v>
      </c>
    </row>
    <row r="20028">
      <c r="A20028" s="3" t="inlineStr">
        <is>
          <t>2</t>
        </is>
      </c>
      <c r="B20028" s="3" t="inlineStr">
        <is>
          <t>Sewa Tripot</t>
        </is>
      </c>
      <c r="C20028" s="3" t="inlineStr">
        <is>
          <t>hari</t>
        </is>
      </c>
      <c r="D20028" s="15" t="n">
        <v>0.049</v>
      </c>
      <c r="E20028" s="4" t="n">
        <v>108000</v>
      </c>
      <c r="F20028" s="4" t="n">
        <v>5292</v>
      </c>
    </row>
    <row r="20029">
      <c r="D20029" s="2" t="inlineStr">
        <is>
          <t>SUBTOTAL UPAH</t>
        </is>
      </c>
      <c r="F20029" s="16" t="n">
        <v>440695</v>
      </c>
    </row>
    <row r="20030">
      <c r="D20030" s="2" t="inlineStr">
        <is>
          <t>SUBTOTAL BAHAN</t>
        </is>
      </c>
      <c r="F20030" s="16" t="n">
        <v>2565000</v>
      </c>
    </row>
    <row r="20031">
      <c r="D20031" s="2" t="inlineStr">
        <is>
          <t>SUBTOTAL ALAT</t>
        </is>
      </c>
      <c r="F20031" s="16" t="n">
        <v>180392</v>
      </c>
    </row>
    <row r="20032">
      <c r="E20032" s="2" t="inlineStr">
        <is>
          <t>TOTAL HARGA SATUAN (Inc. Overhead)</t>
        </is>
      </c>
      <c r="F20032" s="17" t="n">
        <v>3504695</v>
      </c>
    </row>
    <row r="20034">
      <c r="A20034" s="14" t="inlineStr">
        <is>
          <t>KODE: 9.5.1.11 - Pemasangan 1 m Pipa Baja Karbon, DN. 24" (600 mm)</t>
        </is>
      </c>
    </row>
    <row r="20035">
      <c r="A20035" s="10" t="inlineStr">
        <is>
          <t>No</t>
        </is>
      </c>
      <c r="B20035" s="10" t="inlineStr">
        <is>
          <t>Uraian Komponen</t>
        </is>
      </c>
      <c r="C20035" s="10" t="inlineStr">
        <is>
          <t>Satuan</t>
        </is>
      </c>
      <c r="D20035" s="10" t="inlineStr">
        <is>
          <t>Koef</t>
        </is>
      </c>
      <c r="E20035" s="10" t="inlineStr">
        <is>
          <t>Harga Satuan (Rp)</t>
        </is>
      </c>
      <c r="F20035" s="10" t="inlineStr">
        <is>
          <t>Jumlah Harga (Rp)</t>
        </is>
      </c>
    </row>
    <row r="20036">
      <c r="A20036" s="3" t="inlineStr">
        <is>
          <t>1</t>
        </is>
      </c>
      <c r="B20036" s="3" t="inlineStr">
        <is>
          <t>Pekerja</t>
        </is>
      </c>
      <c r="C20036" s="3" t="inlineStr">
        <is>
          <t>OH</t>
        </is>
      </c>
      <c r="D20036" s="15" t="n">
        <v>3.549</v>
      </c>
      <c r="E20036" s="4" t="n">
        <v>100000</v>
      </c>
      <c r="F20036" s="4" t="n">
        <v>354900</v>
      </c>
    </row>
    <row r="20037">
      <c r="A20037" s="3" t="inlineStr">
        <is>
          <t>2</t>
        </is>
      </c>
      <c r="B20037" s="3" t="inlineStr">
        <is>
          <t>Tukang pipa</t>
        </is>
      </c>
      <c r="C20037" s="3" t="inlineStr">
        <is>
          <t>OH</t>
        </is>
      </c>
      <c r="D20037" s="15" t="n">
        <v>0.71</v>
      </c>
      <c r="E20037" s="4" t="n">
        <v>145000</v>
      </c>
      <c r="F20037" s="4" t="n">
        <v>102950</v>
      </c>
    </row>
    <row r="20038">
      <c r="A20038" s="3" t="inlineStr">
        <is>
          <t>3</t>
        </is>
      </c>
      <c r="B20038" s="3" t="inlineStr">
        <is>
          <t>Mandor</t>
        </is>
      </c>
      <c r="C20038" s="3" t="inlineStr">
        <is>
          <t>OH</t>
        </is>
      </c>
      <c r="D20038" s="15" t="n">
        <v>0.356</v>
      </c>
      <c r="E20038" s="4" t="n">
        <v>200000</v>
      </c>
      <c r="F20038" s="4" t="n">
        <v>71200</v>
      </c>
    </row>
    <row r="20039">
      <c r="A20039" s="3" t="n">
        <v>1</v>
      </c>
      <c r="B20039" s="3" t="inlineStr">
        <is>
          <t>"Pipa Baja Karbon</t>
        </is>
      </c>
      <c r="C20039" s="3" t="inlineStr">
        <is>
          <t>DN. 24""</t>
        </is>
      </c>
    </row>
    <row r="20040">
      <c r="A20040" s="3" t="inlineStr">
        <is>
          <t>(600 mm)"</t>
        </is>
      </c>
      <c r="B20040" s="3" t="inlineStr"/>
      <c r="C20040" s="3" t="inlineStr">
        <is>
          <t>m</t>
        </is>
      </c>
      <c r="D20040" s="15" t="n">
        <v>1</v>
      </c>
      <c r="E20040" s="4" t="n">
        <v>2655000</v>
      </c>
      <c r="F20040" s="4" t="n">
        <v>2655000</v>
      </c>
    </row>
    <row r="20041">
      <c r="A20041" s="3" t="inlineStr">
        <is>
          <t>1</t>
        </is>
      </c>
      <c r="B20041" s="3" t="inlineStr">
        <is>
          <t>Excavator</t>
        </is>
      </c>
      <c r="C20041" s="3" t="inlineStr">
        <is>
          <t>hari</t>
        </is>
      </c>
      <c r="D20041" s="15" t="n">
        <v>0.041</v>
      </c>
      <c r="E20041" s="4" t="n">
        <v>5150000</v>
      </c>
      <c r="F20041" s="4" t="n">
        <v>211150</v>
      </c>
    </row>
    <row r="20042">
      <c r="A20042" s="3" t="inlineStr">
        <is>
          <t>2</t>
        </is>
      </c>
      <c r="B20042" s="3" t="inlineStr">
        <is>
          <t>Sewa Tripot</t>
        </is>
      </c>
      <c r="C20042" s="3" t="inlineStr">
        <is>
          <t>hari</t>
        </is>
      </c>
      <c r="D20042" s="15" t="n">
        <v>0.059</v>
      </c>
      <c r="E20042" s="4" t="n">
        <v>108000</v>
      </c>
      <c r="F20042" s="4" t="n">
        <v>6372</v>
      </c>
    </row>
    <row r="20043">
      <c r="D20043" s="2" t="inlineStr">
        <is>
          <t>SUBTOTAL UPAH</t>
        </is>
      </c>
      <c r="F20043" s="16" t="n">
        <v>529050</v>
      </c>
    </row>
    <row r="20044">
      <c r="D20044" s="2" t="inlineStr">
        <is>
          <t>SUBTOTAL BAHAN</t>
        </is>
      </c>
      <c r="F20044" s="16" t="n">
        <v>2655000</v>
      </c>
    </row>
    <row r="20045">
      <c r="D20045" s="2" t="inlineStr">
        <is>
          <t>SUBTOTAL ALAT</t>
        </is>
      </c>
      <c r="F20045" s="16" t="n">
        <v>217522</v>
      </c>
    </row>
    <row r="20046">
      <c r="E20046" s="2" t="inlineStr">
        <is>
          <t>TOTAL HARGA SATUAN (Inc. Overhead)</t>
        </is>
      </c>
      <c r="F20046" s="17" t="n">
        <v>3741729</v>
      </c>
    </row>
    <row r="20048">
      <c r="A20048" s="14" t="inlineStr">
        <is>
          <t>KODE: 9.5.1.12 - Pemasangan 1 m Pipa Baja Karbon, DN. 32" (800 mm)</t>
        </is>
      </c>
    </row>
    <row r="20049">
      <c r="A20049" s="10" t="inlineStr">
        <is>
          <t>No</t>
        </is>
      </c>
      <c r="B20049" s="10" t="inlineStr">
        <is>
          <t>Uraian Komponen</t>
        </is>
      </c>
      <c r="C20049" s="10" t="inlineStr">
        <is>
          <t>Satuan</t>
        </is>
      </c>
      <c r="D20049" s="10" t="inlineStr">
        <is>
          <t>Koef</t>
        </is>
      </c>
      <c r="E20049" s="10" t="inlineStr">
        <is>
          <t>Harga Satuan (Rp)</t>
        </is>
      </c>
      <c r="F20049" s="10" t="inlineStr">
        <is>
          <t>Jumlah Harga (Rp)</t>
        </is>
      </c>
    </row>
    <row r="20050">
      <c r="A20050" s="3" t="inlineStr">
        <is>
          <t>1</t>
        </is>
      </c>
      <c r="B20050" s="3" t="inlineStr">
        <is>
          <t>Pekerja</t>
        </is>
      </c>
      <c r="C20050" s="3" t="inlineStr">
        <is>
          <t>OH</t>
        </is>
      </c>
      <c r="D20050" s="15" t="n">
        <v>3.897</v>
      </c>
      <c r="E20050" s="4" t="n">
        <v>100000</v>
      </c>
      <c r="F20050" s="4" t="n">
        <v>389700</v>
      </c>
    </row>
    <row r="20051">
      <c r="A20051" s="3" t="inlineStr">
        <is>
          <t>2</t>
        </is>
      </c>
      <c r="B20051" s="3" t="inlineStr">
        <is>
          <t>Tukang pipa</t>
        </is>
      </c>
      <c r="C20051" s="3" t="inlineStr">
        <is>
          <t>OH</t>
        </is>
      </c>
      <c r="D20051" s="15" t="n">
        <v>0.779</v>
      </c>
      <c r="E20051" s="4" t="n">
        <v>145000</v>
      </c>
      <c r="F20051" s="4" t="n">
        <v>112955</v>
      </c>
    </row>
    <row r="20052">
      <c r="A20052" s="3" t="inlineStr">
        <is>
          <t>3</t>
        </is>
      </c>
      <c r="B20052" s="3" t="inlineStr">
        <is>
          <t>Mandor</t>
        </is>
      </c>
      <c r="C20052" s="3" t="inlineStr">
        <is>
          <t>OH</t>
        </is>
      </c>
      <c r="D20052" s="15" t="n">
        <v>0.39</v>
      </c>
      <c r="E20052" s="4" t="n">
        <v>200000</v>
      </c>
      <c r="F20052" s="4" t="n">
        <v>78000</v>
      </c>
    </row>
    <row r="20053">
      <c r="A20053" s="3" t="n">
        <v>1</v>
      </c>
      <c r="B20053" s="3" t="inlineStr">
        <is>
          <t>"Pipa Baja Karbon</t>
        </is>
      </c>
      <c r="C20053" s="3" t="inlineStr">
        <is>
          <t>DN. 32""</t>
        </is>
      </c>
    </row>
    <row r="20054">
      <c r="A20054" s="3" t="inlineStr">
        <is>
          <t>(800 mm)"</t>
        </is>
      </c>
      <c r="B20054" s="3" t="inlineStr"/>
      <c r="C20054" s="3" t="inlineStr">
        <is>
          <t>m</t>
        </is>
      </c>
      <c r="D20054" s="15" t="n">
        <v>1</v>
      </c>
      <c r="E20054" s="4" t="n">
        <v>2795000</v>
      </c>
      <c r="F20054" s="4" t="n">
        <v>2795000</v>
      </c>
    </row>
    <row r="20055">
      <c r="A20055" s="3" t="inlineStr">
        <is>
          <t>1</t>
        </is>
      </c>
      <c r="B20055" s="3" t="inlineStr">
        <is>
          <t>Excavator</t>
        </is>
      </c>
      <c r="C20055" s="3" t="inlineStr">
        <is>
          <t>hari</t>
        </is>
      </c>
      <c r="D20055" s="15" t="n">
        <v>0.046</v>
      </c>
      <c r="E20055" s="4" t="n">
        <v>5150000</v>
      </c>
      <c r="F20055" s="4" t="n">
        <v>236900</v>
      </c>
    </row>
    <row r="20056">
      <c r="A20056" s="3" t="inlineStr">
        <is>
          <t>2</t>
        </is>
      </c>
      <c r="B20056" s="3" t="inlineStr">
        <is>
          <t>Sewa Tripot</t>
        </is>
      </c>
      <c r="C20056" s="3" t="inlineStr">
        <is>
          <t>hari</t>
        </is>
      </c>
      <c r="D20056" s="15" t="n">
        <v>0.098</v>
      </c>
      <c r="E20056" s="4" t="n">
        <v>108000</v>
      </c>
      <c r="F20056" s="4" t="n">
        <v>10584</v>
      </c>
    </row>
    <row r="20057">
      <c r="D20057" s="2" t="inlineStr">
        <is>
          <t>SUBTOTAL UPAH</t>
        </is>
      </c>
      <c r="F20057" s="16" t="n">
        <v>580655</v>
      </c>
    </row>
    <row r="20058">
      <c r="D20058" s="2" t="inlineStr">
        <is>
          <t>SUBTOTAL BAHAN</t>
        </is>
      </c>
      <c r="F20058" s="16" t="n">
        <v>2795000</v>
      </c>
    </row>
    <row r="20059">
      <c r="D20059" s="2" t="inlineStr">
        <is>
          <t>SUBTOTAL ALAT</t>
        </is>
      </c>
      <c r="F20059" s="16" t="n">
        <v>247484</v>
      </c>
    </row>
    <row r="20060">
      <c r="E20060" s="2" t="inlineStr">
        <is>
          <t>TOTAL HARGA SATUAN (Inc. Overhead)</t>
        </is>
      </c>
      <c r="F20060" s="17" t="n">
        <v>3985452</v>
      </c>
    </row>
    <row r="20062">
      <c r="A20062" s="14" t="inlineStr">
        <is>
          <t>KODE: 9.5.1.13 - Pemasangan 1 m Pipa Baja Karbon, DN. 36" (900 mm)</t>
        </is>
      </c>
    </row>
    <row r="20063">
      <c r="A20063" s="10" t="inlineStr">
        <is>
          <t>No</t>
        </is>
      </c>
      <c r="B20063" s="10" t="inlineStr">
        <is>
          <t>Uraian Komponen</t>
        </is>
      </c>
      <c r="C20063" s="10" t="inlineStr">
        <is>
          <t>Satuan</t>
        </is>
      </c>
      <c r="D20063" s="10" t="inlineStr">
        <is>
          <t>Koef</t>
        </is>
      </c>
      <c r="E20063" s="10" t="inlineStr">
        <is>
          <t>Harga Satuan (Rp)</t>
        </is>
      </c>
      <c r="F20063" s="10" t="inlineStr">
        <is>
          <t>Jumlah Harga (Rp)</t>
        </is>
      </c>
    </row>
    <row r="20064">
      <c r="A20064" s="3" t="inlineStr">
        <is>
          <t>1</t>
        </is>
      </c>
      <c r="B20064" s="3" t="inlineStr">
        <is>
          <t>Pekerja</t>
        </is>
      </c>
      <c r="C20064" s="3" t="inlineStr">
        <is>
          <t>OH</t>
        </is>
      </c>
      <c r="D20064" s="15" t="n">
        <v>4.403</v>
      </c>
      <c r="E20064" s="4" t="n">
        <v>100000</v>
      </c>
      <c r="F20064" s="4" t="n">
        <v>440299.9999999999</v>
      </c>
    </row>
    <row r="20065">
      <c r="A20065" s="3" t="inlineStr">
        <is>
          <t>2</t>
        </is>
      </c>
      <c r="B20065" s="3" t="inlineStr">
        <is>
          <t>Tukang pipa</t>
        </is>
      </c>
      <c r="C20065" s="3" t="inlineStr">
        <is>
          <t>OH</t>
        </is>
      </c>
      <c r="D20065" s="15" t="n">
        <v>0.081</v>
      </c>
      <c r="E20065" s="4" t="n">
        <v>145000</v>
      </c>
      <c r="F20065" s="4" t="n">
        <v>11745</v>
      </c>
    </row>
    <row r="20066">
      <c r="A20066" s="3" t="inlineStr">
        <is>
          <t>3</t>
        </is>
      </c>
      <c r="B20066" s="3" t="inlineStr">
        <is>
          <t>Mandor</t>
        </is>
      </c>
      <c r="C20066" s="3" t="inlineStr">
        <is>
          <t>OH</t>
        </is>
      </c>
      <c r="D20066" s="15" t="n">
        <v>0.44</v>
      </c>
      <c r="E20066" s="4" t="n">
        <v>200000</v>
      </c>
      <c r="F20066" s="4" t="n">
        <v>88000</v>
      </c>
    </row>
    <row r="20067">
      <c r="A20067" s="3" t="n">
        <v>1</v>
      </c>
      <c r="B20067" s="3" t="inlineStr">
        <is>
          <t>"Pipa Baja Karbon</t>
        </is>
      </c>
      <c r="C20067" s="3" t="inlineStr">
        <is>
          <t>DN. 36""</t>
        </is>
      </c>
    </row>
    <row r="20068">
      <c r="A20068" s="3" t="inlineStr">
        <is>
          <t>(900 mm)"</t>
        </is>
      </c>
      <c r="B20068" s="3" t="inlineStr"/>
      <c r="C20068" s="3" t="inlineStr">
        <is>
          <t>m</t>
        </is>
      </c>
      <c r="D20068" s="15" t="n">
        <v>1</v>
      </c>
      <c r="E20068" s="4" t="n">
        <v>2955000</v>
      </c>
      <c r="F20068" s="4" t="n">
        <v>2955000</v>
      </c>
    </row>
    <row r="20069">
      <c r="A20069" s="3" t="inlineStr">
        <is>
          <t>1</t>
        </is>
      </c>
      <c r="B20069" s="3" t="inlineStr">
        <is>
          <t>Excavator</t>
        </is>
      </c>
      <c r="C20069" s="3" t="inlineStr">
        <is>
          <t>hari</t>
        </is>
      </c>
      <c r="D20069" s="15" t="n">
        <v>0.052</v>
      </c>
      <c r="E20069" s="4" t="n">
        <v>5150000</v>
      </c>
      <c r="F20069" s="4" t="n">
        <v>267800</v>
      </c>
    </row>
    <row r="20070">
      <c r="A20070" s="3" t="inlineStr">
        <is>
          <t>2</t>
        </is>
      </c>
      <c r="B20070" s="3" t="inlineStr">
        <is>
          <t>Sewa Tripot</t>
        </is>
      </c>
      <c r="C20070" s="3" t="inlineStr">
        <is>
          <t>hari</t>
        </is>
      </c>
      <c r="D20070" s="15" t="n">
        <v>0.115</v>
      </c>
      <c r="E20070" s="4" t="n">
        <v>108000</v>
      </c>
      <c r="F20070" s="4" t="n">
        <v>12420</v>
      </c>
    </row>
    <row r="20071">
      <c r="D20071" s="2" t="inlineStr">
        <is>
          <t>SUBTOTAL UPAH</t>
        </is>
      </c>
      <c r="F20071" s="16" t="n">
        <v>540045</v>
      </c>
    </row>
    <row r="20072">
      <c r="D20072" s="2" t="inlineStr">
        <is>
          <t>SUBTOTAL BAHAN</t>
        </is>
      </c>
      <c r="F20072" s="16" t="n">
        <v>2955000</v>
      </c>
    </row>
    <row r="20073">
      <c r="D20073" s="2" t="inlineStr">
        <is>
          <t>SUBTOTAL ALAT</t>
        </is>
      </c>
      <c r="F20073" s="16" t="n">
        <v>280220</v>
      </c>
    </row>
    <row r="20074">
      <c r="E20074" s="2" t="inlineStr">
        <is>
          <t>TOTAL HARGA SATUAN (Inc. Overhead)</t>
        </is>
      </c>
      <c r="F20074" s="17" t="n">
        <v>4152791</v>
      </c>
    </row>
    <row r="20076">
      <c r="A20076" s="14" t="inlineStr">
        <is>
          <t>KODE: 9.5.1.14 - Pemasangan 1 m Pipa Baja Karbon, DN. 40" (1000 mm)</t>
        </is>
      </c>
    </row>
    <row r="20077">
      <c r="A20077" s="10" t="inlineStr">
        <is>
          <t>No</t>
        </is>
      </c>
      <c r="B20077" s="10" t="inlineStr">
        <is>
          <t>Uraian Komponen</t>
        </is>
      </c>
      <c r="C20077" s="10" t="inlineStr">
        <is>
          <t>Satuan</t>
        </is>
      </c>
      <c r="D20077" s="10" t="inlineStr">
        <is>
          <t>Koef</t>
        </is>
      </c>
      <c r="E20077" s="10" t="inlineStr">
        <is>
          <t>Harga Satuan (Rp)</t>
        </is>
      </c>
      <c r="F20077" s="10" t="inlineStr">
        <is>
          <t>Jumlah Harga (Rp)</t>
        </is>
      </c>
    </row>
    <row r="20078">
      <c r="A20078" s="3" t="inlineStr">
        <is>
          <t>1</t>
        </is>
      </c>
      <c r="B20078" s="3" t="inlineStr">
        <is>
          <t>Pekerja</t>
        </is>
      </c>
      <c r="C20078" s="3" t="inlineStr">
        <is>
          <t>OH</t>
        </is>
      </c>
      <c r="D20078" s="15" t="n">
        <v>4.895</v>
      </c>
      <c r="E20078" s="4" t="n">
        <v>100000</v>
      </c>
      <c r="F20078" s="4" t="n">
        <v>489499.9999999999</v>
      </c>
    </row>
    <row r="20079">
      <c r="A20079" s="3" t="inlineStr">
        <is>
          <t>2</t>
        </is>
      </c>
      <c r="B20079" s="3" t="inlineStr">
        <is>
          <t>Tukang pipa</t>
        </is>
      </c>
      <c r="C20079" s="3" t="inlineStr">
        <is>
          <t>OH</t>
        </is>
      </c>
      <c r="D20079" s="15" t="n">
        <v>0.979</v>
      </c>
      <c r="E20079" s="4" t="n">
        <v>145000</v>
      </c>
      <c r="F20079" s="4" t="n">
        <v>141955</v>
      </c>
    </row>
    <row r="20080">
      <c r="A20080" s="3" t="inlineStr">
        <is>
          <t>3</t>
        </is>
      </c>
      <c r="B20080" s="3" t="inlineStr">
        <is>
          <t>Mandor</t>
        </is>
      </c>
      <c r="C20080" s="3" t="inlineStr">
        <is>
          <t>OH</t>
        </is>
      </c>
      <c r="D20080" s="15" t="n">
        <v>0.489</v>
      </c>
      <c r="E20080" s="4" t="n">
        <v>200000</v>
      </c>
      <c r="F20080" s="4" t="n">
        <v>97800</v>
      </c>
    </row>
    <row r="20081">
      <c r="A20081" s="3" t="n">
        <v>1</v>
      </c>
      <c r="B20081" s="3" t="inlineStr">
        <is>
          <t>"Pipa Baja Karbon</t>
        </is>
      </c>
      <c r="C20081" s="3" t="inlineStr">
        <is>
          <t>DN. 40""</t>
        </is>
      </c>
    </row>
    <row r="20082">
      <c r="A20082" s="3" t="inlineStr">
        <is>
          <t>(1000 mm)"</t>
        </is>
      </c>
      <c r="B20082" s="3" t="inlineStr"/>
      <c r="C20082" s="3" t="inlineStr">
        <is>
          <t>m</t>
        </is>
      </c>
      <c r="D20082" s="15" t="n">
        <v>1</v>
      </c>
      <c r="E20082" s="4" t="n">
        <v>3115000</v>
      </c>
      <c r="F20082" s="4" t="n">
        <v>3115000</v>
      </c>
    </row>
    <row r="20083">
      <c r="A20083" s="3" t="inlineStr">
        <is>
          <t>1</t>
        </is>
      </c>
      <c r="B20083" s="3" t="inlineStr">
        <is>
          <t>Excavator</t>
        </is>
      </c>
      <c r="C20083" s="3" t="inlineStr">
        <is>
          <t>hari</t>
        </is>
      </c>
      <c r="D20083" s="15" t="n">
        <v>0.058</v>
      </c>
      <c r="E20083" s="4" t="n">
        <v>5150000</v>
      </c>
      <c r="F20083" s="4" t="n">
        <v>298700</v>
      </c>
    </row>
    <row r="20084">
      <c r="A20084" s="3" t="inlineStr">
        <is>
          <t>2</t>
        </is>
      </c>
      <c r="B20084" s="3" t="inlineStr">
        <is>
          <t>Sewa Tripot</t>
        </is>
      </c>
      <c r="C20084" s="3" t="inlineStr">
        <is>
          <t>hari</t>
        </is>
      </c>
      <c r="D20084" s="15" t="n">
        <v>0.133</v>
      </c>
      <c r="E20084" s="4" t="n">
        <v>108000</v>
      </c>
      <c r="F20084" s="4" t="n">
        <v>14364</v>
      </c>
    </row>
    <row r="20085">
      <c r="D20085" s="2" t="inlineStr">
        <is>
          <t>SUBTOTAL UPAH</t>
        </is>
      </c>
      <c r="F20085" s="16" t="n">
        <v>729255</v>
      </c>
    </row>
    <row r="20086">
      <c r="D20086" s="2" t="inlineStr">
        <is>
          <t>SUBTOTAL BAHAN</t>
        </is>
      </c>
      <c r="F20086" s="16" t="n">
        <v>3115000</v>
      </c>
    </row>
    <row r="20087">
      <c r="D20087" s="2" t="inlineStr">
        <is>
          <t>SUBTOTAL ALAT</t>
        </is>
      </c>
      <c r="F20087" s="16" t="n">
        <v>313064</v>
      </c>
    </row>
    <row r="20088">
      <c r="E20088" s="2" t="inlineStr">
        <is>
          <t>TOTAL HARGA SATUAN (Inc. Overhead)</t>
        </is>
      </c>
      <c r="F20088" s="17" t="n">
        <v>4573050</v>
      </c>
    </row>
    <row r="20090">
      <c r="A20090" s="14" t="inlineStr">
        <is>
          <t>KODE: 9.5.1.15 - Pemasangan 1 m Pipa Baja Karbon, DN. 44" (1100 mm)</t>
        </is>
      </c>
    </row>
    <row r="20091">
      <c r="A20091" s="10" t="inlineStr">
        <is>
          <t>No</t>
        </is>
      </c>
      <c r="B20091" s="10" t="inlineStr">
        <is>
          <t>Uraian Komponen</t>
        </is>
      </c>
      <c r="C20091" s="10" t="inlineStr">
        <is>
          <t>Satuan</t>
        </is>
      </c>
      <c r="D20091" s="10" t="inlineStr">
        <is>
          <t>Koef</t>
        </is>
      </c>
      <c r="E20091" s="10" t="inlineStr">
        <is>
          <t>Harga Satuan (Rp)</t>
        </is>
      </c>
      <c r="F20091" s="10" t="inlineStr">
        <is>
          <t>Jumlah Harga (Rp)</t>
        </is>
      </c>
    </row>
    <row r="20092">
      <c r="A20092" s="3" t="inlineStr">
        <is>
          <t>1</t>
        </is>
      </c>
      <c r="B20092" s="3" t="inlineStr">
        <is>
          <t>Pekerja</t>
        </is>
      </c>
      <c r="C20092" s="3" t="inlineStr">
        <is>
          <t>OH</t>
        </is>
      </c>
      <c r="D20092" s="15" t="n">
        <v>5.387</v>
      </c>
      <c r="E20092" s="4" t="n">
        <v>100000</v>
      </c>
      <c r="F20092" s="4" t="n">
        <v>538700</v>
      </c>
    </row>
    <row r="20093">
      <c r="A20093" s="3" t="inlineStr">
        <is>
          <t>2</t>
        </is>
      </c>
      <c r="B20093" s="3" t="inlineStr">
        <is>
          <t>Tukang pipa</t>
        </is>
      </c>
      <c r="C20093" s="3" t="inlineStr">
        <is>
          <t>OH</t>
        </is>
      </c>
      <c r="D20093" s="15" t="n">
        <v>1.077</v>
      </c>
      <c r="E20093" s="4" t="n">
        <v>145000</v>
      </c>
      <c r="F20093" s="4" t="n">
        <v>156165</v>
      </c>
    </row>
    <row r="20094">
      <c r="A20094" s="3" t="inlineStr">
        <is>
          <t>3</t>
        </is>
      </c>
      <c r="B20094" s="3" t="inlineStr">
        <is>
          <t>Mandor</t>
        </is>
      </c>
      <c r="C20094" s="3" t="inlineStr">
        <is>
          <t>OH</t>
        </is>
      </c>
      <c r="D20094" s="15" t="n">
        <v>0.539</v>
      </c>
      <c r="E20094" s="4" t="n">
        <v>200000</v>
      </c>
      <c r="F20094" s="4" t="n">
        <v>107800</v>
      </c>
    </row>
    <row r="20095">
      <c r="A20095" s="3" t="n">
        <v>1</v>
      </c>
      <c r="B20095" s="3" t="inlineStr">
        <is>
          <t>"Pipa Baja Karbon</t>
        </is>
      </c>
      <c r="C20095" s="3" t="inlineStr">
        <is>
          <t>DN. 44""</t>
        </is>
      </c>
    </row>
    <row r="20096">
      <c r="A20096" s="3" t="inlineStr">
        <is>
          <t>(1100 mm)"</t>
        </is>
      </c>
      <c r="B20096" s="3" t="inlineStr"/>
      <c r="C20096" s="3" t="inlineStr">
        <is>
          <t>m</t>
        </is>
      </c>
      <c r="D20096" s="15" t="n">
        <v>1</v>
      </c>
      <c r="E20096" s="4" t="n">
        <v>3235000</v>
      </c>
      <c r="F20096" s="4" t="n">
        <v>3235000</v>
      </c>
    </row>
    <row r="20097">
      <c r="A20097" s="3" t="inlineStr">
        <is>
          <t>1</t>
        </is>
      </c>
      <c r="B20097" s="3" t="inlineStr">
        <is>
          <t>Excavator</t>
        </is>
      </c>
      <c r="C20097" s="3" t="inlineStr">
        <is>
          <t>hari</t>
        </is>
      </c>
      <c r="D20097" s="15" t="n">
        <v>0.064</v>
      </c>
      <c r="E20097" s="4" t="n">
        <v>5150000</v>
      </c>
      <c r="F20097" s="4" t="n">
        <v>329600</v>
      </c>
    </row>
    <row r="20098">
      <c r="A20098" s="3" t="inlineStr">
        <is>
          <t>2</t>
        </is>
      </c>
      <c r="B20098" s="3" t="inlineStr">
        <is>
          <t>Sewa Tripot</t>
        </is>
      </c>
      <c r="C20098" s="3" t="inlineStr">
        <is>
          <t>hari</t>
        </is>
      </c>
      <c r="D20098" s="15" t="n">
        <v>0.15</v>
      </c>
      <c r="E20098" s="4" t="n">
        <v>108000</v>
      </c>
      <c r="F20098" s="4" t="n">
        <v>16200</v>
      </c>
    </row>
    <row r="20099">
      <c r="D20099" s="2" t="inlineStr">
        <is>
          <t>SUBTOTAL UPAH</t>
        </is>
      </c>
      <c r="F20099" s="16" t="n">
        <v>802665</v>
      </c>
    </row>
    <row r="20100">
      <c r="D20100" s="2" t="inlineStr">
        <is>
          <t>SUBTOTAL BAHAN</t>
        </is>
      </c>
      <c r="F20100" s="16" t="n">
        <v>3235000</v>
      </c>
    </row>
    <row r="20101">
      <c r="D20101" s="2" t="inlineStr">
        <is>
          <t>SUBTOTAL ALAT</t>
        </is>
      </c>
      <c r="F20101" s="16" t="n">
        <v>345800</v>
      </c>
    </row>
    <row r="20102">
      <c r="E20102" s="2" t="inlineStr">
        <is>
          <t>TOTAL HARGA SATUAN (Inc. Overhead)</t>
        </is>
      </c>
      <c r="F20102" s="17" t="n">
        <v>4821811</v>
      </c>
    </row>
    <row r="20104">
      <c r="A20104" s="14" t="inlineStr">
        <is>
          <t>KODE: 9.5.1.16 - Pemasangan 1 m Pipa Baja Karbon, DN. 48" (1200 mm)</t>
        </is>
      </c>
    </row>
    <row r="20105">
      <c r="A20105" s="10" t="inlineStr">
        <is>
          <t>No</t>
        </is>
      </c>
      <c r="B20105" s="10" t="inlineStr">
        <is>
          <t>Uraian Komponen</t>
        </is>
      </c>
      <c r="C20105" s="10" t="inlineStr">
        <is>
          <t>Satuan</t>
        </is>
      </c>
      <c r="D20105" s="10" t="inlineStr">
        <is>
          <t>Koef</t>
        </is>
      </c>
      <c r="E20105" s="10" t="inlineStr">
        <is>
          <t>Harga Satuan (Rp)</t>
        </is>
      </c>
      <c r="F20105" s="10" t="inlineStr">
        <is>
          <t>Jumlah Harga (Rp)</t>
        </is>
      </c>
    </row>
    <row r="20106">
      <c r="A20106" s="3" t="inlineStr">
        <is>
          <t>1</t>
        </is>
      </c>
      <c r="B20106" s="3" t="inlineStr">
        <is>
          <t>Pekerja</t>
        </is>
      </c>
      <c r="C20106" s="3" t="inlineStr">
        <is>
          <t>OH</t>
        </is>
      </c>
      <c r="D20106" s="15" t="n">
        <v>5.897</v>
      </c>
      <c r="E20106" s="4" t="n">
        <v>100000</v>
      </c>
      <c r="F20106" s="4" t="n">
        <v>589700</v>
      </c>
    </row>
    <row r="20107">
      <c r="A20107" s="3" t="inlineStr">
        <is>
          <t>2</t>
        </is>
      </c>
      <c r="B20107" s="3" t="inlineStr">
        <is>
          <t>Tukang pipa</t>
        </is>
      </c>
      <c r="C20107" s="3" t="inlineStr">
        <is>
          <t>OH</t>
        </is>
      </c>
      <c r="D20107" s="15" t="n">
        <v>1.176</v>
      </c>
      <c r="E20107" s="4" t="n">
        <v>145000</v>
      </c>
      <c r="F20107" s="4" t="n">
        <v>170520</v>
      </c>
    </row>
    <row r="20108">
      <c r="A20108" s="3" t="inlineStr">
        <is>
          <t>3</t>
        </is>
      </c>
      <c r="B20108" s="3" t="inlineStr">
        <is>
          <t>Mandor</t>
        </is>
      </c>
      <c r="C20108" s="3" t="inlineStr">
        <is>
          <t>OH</t>
        </is>
      </c>
      <c r="D20108" s="15" t="n">
        <v>0.588</v>
      </c>
      <c r="E20108" s="4" t="n">
        <v>200000</v>
      </c>
      <c r="F20108" s="4" t="n">
        <v>117600</v>
      </c>
    </row>
    <row r="20109">
      <c r="A20109" s="3" t="n">
        <v>1</v>
      </c>
      <c r="B20109" s="3" t="inlineStr">
        <is>
          <t>"Pipa Baja Karbon</t>
        </is>
      </c>
      <c r="C20109" s="3" t="inlineStr">
        <is>
          <t>DN. 48""</t>
        </is>
      </c>
    </row>
    <row r="20110">
      <c r="A20110" s="3" t="inlineStr">
        <is>
          <t>(1200 mm"</t>
        </is>
      </c>
      <c r="B20110" s="3" t="inlineStr"/>
      <c r="C20110" s="3" t="inlineStr">
        <is>
          <t>m</t>
        </is>
      </c>
      <c r="D20110" s="15" t="n">
        <v>1</v>
      </c>
      <c r="E20110" s="4" t="n">
        <v>3355000</v>
      </c>
      <c r="F20110" s="4" t="n">
        <v>3355000</v>
      </c>
    </row>
    <row r="20111">
      <c r="A20111" s="3" t="inlineStr">
        <is>
          <t>1</t>
        </is>
      </c>
      <c r="B20111" s="3" t="inlineStr">
        <is>
          <t>Excavator</t>
        </is>
      </c>
      <c r="C20111" s="3" t="inlineStr">
        <is>
          <t>hari</t>
        </is>
      </c>
      <c r="D20111" s="15" t="n">
        <v>0.07000000000000001</v>
      </c>
      <c r="E20111" s="4" t="n">
        <v>5150000</v>
      </c>
      <c r="F20111" s="4" t="n">
        <v>360500.0000000001</v>
      </c>
    </row>
    <row r="20112">
      <c r="A20112" s="3" t="inlineStr">
        <is>
          <t>2</t>
        </is>
      </c>
      <c r="B20112" s="3" t="inlineStr">
        <is>
          <t>Sewa Tripot</t>
        </is>
      </c>
      <c r="C20112" s="3" t="inlineStr">
        <is>
          <t>hari</t>
        </is>
      </c>
      <c r="D20112" s="15" t="n">
        <v>0.167</v>
      </c>
      <c r="E20112" s="4" t="n">
        <v>108000</v>
      </c>
      <c r="F20112" s="4" t="n">
        <v>18036</v>
      </c>
    </row>
    <row r="20113">
      <c r="D20113" s="2" t="inlineStr">
        <is>
          <t>SUBTOTAL UPAH</t>
        </is>
      </c>
      <c r="F20113" s="16" t="n">
        <v>877820</v>
      </c>
    </row>
    <row r="20114">
      <c r="D20114" s="2" t="inlineStr">
        <is>
          <t>SUBTOTAL BAHAN</t>
        </is>
      </c>
      <c r="F20114" s="16" t="n">
        <v>3355000</v>
      </c>
    </row>
    <row r="20115">
      <c r="D20115" s="2" t="inlineStr">
        <is>
          <t>SUBTOTAL ALAT</t>
        </is>
      </c>
      <c r="F20115" s="16" t="n">
        <v>378536.0000000001</v>
      </c>
    </row>
    <row r="20116">
      <c r="E20116" s="2" t="inlineStr">
        <is>
          <t>TOTAL HARGA SATUAN (Inc. Overhead)</t>
        </is>
      </c>
      <c r="F20116" s="17" t="n">
        <v>5072491</v>
      </c>
    </row>
    <row r="20118">
      <c r="A20118" s="14" t="inlineStr">
        <is>
          <t>KODE: 9.5.2.1 - Pemotongan 1 Buah Pipa Baja Karbon, DN. 2-1/2" (65 mm)</t>
        </is>
      </c>
    </row>
    <row r="20119">
      <c r="A20119" s="10" t="inlineStr">
        <is>
          <t>No</t>
        </is>
      </c>
      <c r="B20119" s="10" t="inlineStr">
        <is>
          <t>Uraian Komponen</t>
        </is>
      </c>
      <c r="C20119" s="10" t="inlineStr">
        <is>
          <t>Satuan</t>
        </is>
      </c>
      <c r="D20119" s="10" t="inlineStr">
        <is>
          <t>Koef</t>
        </is>
      </c>
      <c r="E20119" s="10" t="inlineStr">
        <is>
          <t>Harga Satuan (Rp)</t>
        </is>
      </c>
      <c r="F20119" s="10" t="inlineStr">
        <is>
          <t>Jumlah Harga (Rp)</t>
        </is>
      </c>
    </row>
    <row r="20120">
      <c r="A20120" s="3" t="inlineStr">
        <is>
          <t>1</t>
        </is>
      </c>
      <c r="B20120" s="3" t="inlineStr">
        <is>
          <t>Pekerja</t>
        </is>
      </c>
      <c r="C20120" s="3" t="inlineStr">
        <is>
          <t>OH</t>
        </is>
      </c>
      <c r="D20120" s="15" t="n">
        <v>0.028</v>
      </c>
      <c r="E20120" s="4" t="n">
        <v>100000</v>
      </c>
      <c r="F20120" s="4" t="n">
        <v>2800</v>
      </c>
    </row>
    <row r="20121">
      <c r="A20121" s="3" t="inlineStr">
        <is>
          <t>2</t>
        </is>
      </c>
      <c r="B20121" s="3" t="inlineStr">
        <is>
          <t>Tukang pipa</t>
        </is>
      </c>
      <c r="C20121" s="3" t="inlineStr">
        <is>
          <t>OH</t>
        </is>
      </c>
      <c r="D20121" s="15" t="n">
        <v>0.006</v>
      </c>
      <c r="E20121" s="4" t="n">
        <v>145000</v>
      </c>
      <c r="F20121" s="4" t="n">
        <v>870</v>
      </c>
    </row>
    <row r="20122">
      <c r="A20122" s="3" t="inlineStr">
        <is>
          <t>3</t>
        </is>
      </c>
      <c r="B20122" s="3" t="inlineStr">
        <is>
          <t>Mandor</t>
        </is>
      </c>
      <c r="C20122" s="3" t="inlineStr">
        <is>
          <t>OH</t>
        </is>
      </c>
      <c r="D20122" s="15" t="n">
        <v>0.003</v>
      </c>
      <c r="E20122" s="4" t="n">
        <v>200000</v>
      </c>
      <c r="F20122" s="4" t="n">
        <v>600</v>
      </c>
    </row>
    <row r="20123">
      <c r="A20123" s="3" t="inlineStr">
        <is>
          <t>T2/mekanik / cilinder saw"</t>
        </is>
      </c>
      <c r="B20123" s="3" t="inlineStr"/>
      <c r="C20123" s="3" t="inlineStr">
        <is>
          <t>hari</t>
        </is>
      </c>
      <c r="D20123" s="15" t="n">
        <v>0.167</v>
      </c>
      <c r="E20123" s="4" t="n">
        <v>75000</v>
      </c>
      <c r="F20123" s="4" t="n">
        <v>12525</v>
      </c>
    </row>
    <row r="20124">
      <c r="D20124" s="2" t="inlineStr">
        <is>
          <t>SUBTOTAL UPAH</t>
        </is>
      </c>
      <c r="F20124" s="16" t="n">
        <v>4270</v>
      </c>
    </row>
    <row r="20125">
      <c r="D20125" s="2" t="inlineStr">
        <is>
          <t>SUBTOTAL BAHAN</t>
        </is>
      </c>
      <c r="F20125" s="16" t="n">
        <v>0</v>
      </c>
    </row>
    <row r="20126">
      <c r="D20126" s="2" t="inlineStr">
        <is>
          <t>SUBTOTAL ALAT</t>
        </is>
      </c>
      <c r="F20126" s="16" t="n">
        <v>12525</v>
      </c>
    </row>
    <row r="20127">
      <c r="E20127" s="2" t="inlineStr">
        <is>
          <t>TOTAL HARGA SATUAN (Inc. Overhead)</t>
        </is>
      </c>
      <c r="F20127" s="17" t="n">
        <v>18474</v>
      </c>
    </row>
    <row r="20129">
      <c r="A20129" s="14" t="inlineStr">
        <is>
          <t>KODE: 9.5.2.2 - Pemotongan 1 Buah Pipa Baja Karbon, DN. 4" (100 mm)</t>
        </is>
      </c>
    </row>
    <row r="20130">
      <c r="A20130" s="10" t="inlineStr">
        <is>
          <t>No</t>
        </is>
      </c>
      <c r="B20130" s="10" t="inlineStr">
        <is>
          <t>Uraian Komponen</t>
        </is>
      </c>
      <c r="C20130" s="10" t="inlineStr">
        <is>
          <t>Satuan</t>
        </is>
      </c>
      <c r="D20130" s="10" t="inlineStr">
        <is>
          <t>Koef</t>
        </is>
      </c>
      <c r="E20130" s="10" t="inlineStr">
        <is>
          <t>Harga Satuan (Rp)</t>
        </is>
      </c>
      <c r="F20130" s="10" t="inlineStr">
        <is>
          <t>Jumlah Harga (Rp)</t>
        </is>
      </c>
    </row>
    <row r="20131">
      <c r="A20131" s="3" t="inlineStr">
        <is>
          <t>1</t>
        </is>
      </c>
      <c r="B20131" s="3" t="inlineStr">
        <is>
          <t>Pekerja</t>
        </is>
      </c>
      <c r="C20131" s="3" t="inlineStr">
        <is>
          <t>OH</t>
        </is>
      </c>
      <c r="D20131" s="15" t="n">
        <v>0.08500000000000001</v>
      </c>
      <c r="E20131" s="4" t="n">
        <v>100000</v>
      </c>
      <c r="F20131" s="4" t="n">
        <v>8500</v>
      </c>
    </row>
    <row r="20132">
      <c r="A20132" s="3" t="inlineStr">
        <is>
          <t>2</t>
        </is>
      </c>
      <c r="B20132" s="3" t="inlineStr">
        <is>
          <t>Tukang pipa</t>
        </is>
      </c>
      <c r="C20132" s="3" t="inlineStr">
        <is>
          <t>OH</t>
        </is>
      </c>
      <c r="D20132" s="15" t="n">
        <v>0.017</v>
      </c>
      <c r="E20132" s="4" t="n">
        <v>145000</v>
      </c>
      <c r="F20132" s="4" t="n">
        <v>2465</v>
      </c>
    </row>
    <row r="20133">
      <c r="A20133" s="3" t="inlineStr">
        <is>
          <t>3</t>
        </is>
      </c>
      <c r="B20133" s="3" t="inlineStr">
        <is>
          <t>Mandor</t>
        </is>
      </c>
      <c r="C20133" s="3" t="inlineStr">
        <is>
          <t>OH</t>
        </is>
      </c>
      <c r="D20133" s="15" t="n">
        <v>0.008</v>
      </c>
      <c r="E20133" s="4" t="n">
        <v>200000</v>
      </c>
      <c r="F20133" s="4" t="n">
        <v>1600</v>
      </c>
    </row>
    <row r="20134">
      <c r="A20134" s="3" t="inlineStr">
        <is>
          <t>T2/mekanik / cilinder saw"</t>
        </is>
      </c>
      <c r="B20134" s="3" t="inlineStr"/>
      <c r="C20134" s="3" t="inlineStr">
        <is>
          <t>hari</t>
        </is>
      </c>
      <c r="D20134" s="15" t="n">
        <v>0.04</v>
      </c>
      <c r="E20134" s="4" t="n">
        <v>75000</v>
      </c>
      <c r="F20134" s="4" t="n">
        <v>3000</v>
      </c>
    </row>
    <row r="20135">
      <c r="D20135" s="2" t="inlineStr">
        <is>
          <t>SUBTOTAL UPAH</t>
        </is>
      </c>
      <c r="F20135" s="16" t="n">
        <v>12565</v>
      </c>
    </row>
    <row r="20136">
      <c r="D20136" s="2" t="inlineStr">
        <is>
          <t>SUBTOTAL BAHAN</t>
        </is>
      </c>
      <c r="F20136" s="16" t="n">
        <v>0</v>
      </c>
    </row>
    <row r="20137">
      <c r="D20137" s="2" t="inlineStr">
        <is>
          <t>SUBTOTAL ALAT</t>
        </is>
      </c>
      <c r="F20137" s="16" t="n">
        <v>3000</v>
      </c>
    </row>
    <row r="20138">
      <c r="E20138" s="2" t="inlineStr">
        <is>
          <t>TOTAL HARGA SATUAN (Inc. Overhead)</t>
        </is>
      </c>
      <c r="F20138" s="17" t="n">
        <v>17121</v>
      </c>
    </row>
    <row r="20140">
      <c r="A20140" s="14" t="inlineStr">
        <is>
          <t>KODE: 9.5.2.3 - Pemotongan 1 Buah Pipa Baja Karbon, DN. 5" (125 mm)</t>
        </is>
      </c>
    </row>
    <row r="20141">
      <c r="A20141" s="10" t="inlineStr">
        <is>
          <t>No</t>
        </is>
      </c>
      <c r="B20141" s="10" t="inlineStr">
        <is>
          <t>Uraian Komponen</t>
        </is>
      </c>
      <c r="C20141" s="10" t="inlineStr">
        <is>
          <t>Satuan</t>
        </is>
      </c>
      <c r="D20141" s="10" t="inlineStr">
        <is>
          <t>Koef</t>
        </is>
      </c>
      <c r="E20141" s="10" t="inlineStr">
        <is>
          <t>Harga Satuan (Rp)</t>
        </is>
      </c>
      <c r="F20141" s="10" t="inlineStr">
        <is>
          <t>Jumlah Harga (Rp)</t>
        </is>
      </c>
    </row>
    <row r="20142">
      <c r="A20142" s="3" t="inlineStr">
        <is>
          <t>1</t>
        </is>
      </c>
      <c r="B20142" s="3" t="inlineStr">
        <is>
          <t>Pekerja</t>
        </is>
      </c>
      <c r="C20142" s="3" t="inlineStr">
        <is>
          <t>OH</t>
        </is>
      </c>
      <c r="D20142" s="15" t="n">
        <v>0.133</v>
      </c>
      <c r="E20142" s="4" t="n">
        <v>100000</v>
      </c>
      <c r="F20142" s="4" t="n">
        <v>13300</v>
      </c>
    </row>
    <row r="20143">
      <c r="A20143" s="3" t="inlineStr">
        <is>
          <t>2</t>
        </is>
      </c>
      <c r="B20143" s="3" t="inlineStr">
        <is>
          <t>Tukang pipa</t>
        </is>
      </c>
      <c r="C20143" s="3" t="inlineStr">
        <is>
          <t>OH</t>
        </is>
      </c>
      <c r="D20143" s="15" t="n">
        <v>0.027</v>
      </c>
      <c r="E20143" s="4" t="n">
        <v>145000</v>
      </c>
      <c r="F20143" s="4" t="n">
        <v>3915</v>
      </c>
    </row>
    <row r="20144">
      <c r="A20144" s="3" t="inlineStr">
        <is>
          <t>3</t>
        </is>
      </c>
      <c r="B20144" s="3" t="inlineStr">
        <is>
          <t>Mandor</t>
        </is>
      </c>
      <c r="C20144" s="3" t="inlineStr">
        <is>
          <t>OH</t>
        </is>
      </c>
      <c r="D20144" s="15" t="n">
        <v>0.013</v>
      </c>
      <c r="E20144" s="4" t="n">
        <v>200000</v>
      </c>
      <c r="F20144" s="4" t="n">
        <v>2600</v>
      </c>
    </row>
    <row r="20145">
      <c r="A20145" s="3" t="inlineStr">
        <is>
          <t>T2/mekanik / cilinder saw"</t>
        </is>
      </c>
      <c r="B20145" s="3" t="inlineStr"/>
      <c r="C20145" s="3" t="inlineStr">
        <is>
          <t>hari</t>
        </is>
      </c>
      <c r="D20145" s="15" t="n">
        <v>0.042</v>
      </c>
      <c r="E20145" s="4" t="n">
        <v>75000</v>
      </c>
      <c r="F20145" s="4" t="n">
        <v>3150</v>
      </c>
    </row>
    <row r="20146">
      <c r="D20146" s="2" t="inlineStr">
        <is>
          <t>SUBTOTAL UPAH</t>
        </is>
      </c>
      <c r="F20146" s="16" t="n">
        <v>19815</v>
      </c>
    </row>
    <row r="20147">
      <c r="D20147" s="2" t="inlineStr">
        <is>
          <t>SUBTOTAL BAHAN</t>
        </is>
      </c>
      <c r="F20147" s="16" t="n">
        <v>0</v>
      </c>
    </row>
    <row r="20148">
      <c r="D20148" s="2" t="inlineStr">
        <is>
          <t>SUBTOTAL ALAT</t>
        </is>
      </c>
      <c r="F20148" s="16" t="n">
        <v>3150</v>
      </c>
    </row>
    <row r="20149">
      <c r="E20149" s="2" t="inlineStr">
        <is>
          <t>TOTAL HARGA SATUAN (Inc. Overhead)</t>
        </is>
      </c>
      <c r="F20149" s="17" t="n">
        <v>25261</v>
      </c>
    </row>
    <row r="20151">
      <c r="A20151" s="14" t="inlineStr">
        <is>
          <t>KODE: 9.5.2.4 - Pemotongan 1 Buah Pipa Baja Karbon, DN. 6" (150 mm)</t>
        </is>
      </c>
    </row>
    <row r="20152">
      <c r="A20152" s="10" t="inlineStr">
        <is>
          <t>No</t>
        </is>
      </c>
      <c r="B20152" s="10" t="inlineStr">
        <is>
          <t>Uraian Komponen</t>
        </is>
      </c>
      <c r="C20152" s="10" t="inlineStr">
        <is>
          <t>Satuan</t>
        </is>
      </c>
      <c r="D20152" s="10" t="inlineStr">
        <is>
          <t>Koef</t>
        </is>
      </c>
      <c r="E20152" s="10" t="inlineStr">
        <is>
          <t>Harga Satuan (Rp)</t>
        </is>
      </c>
      <c r="F20152" s="10" t="inlineStr">
        <is>
          <t>Jumlah Harga (Rp)</t>
        </is>
      </c>
    </row>
    <row r="20153">
      <c r="A20153" s="3" t="inlineStr">
        <is>
          <t>1</t>
        </is>
      </c>
      <c r="B20153" s="3" t="inlineStr">
        <is>
          <t>Pekerja</t>
        </is>
      </c>
      <c r="C20153" s="3" t="inlineStr">
        <is>
          <t>OH</t>
        </is>
      </c>
      <c r="D20153" s="15" t="n">
        <v>0.184</v>
      </c>
      <c r="E20153" s="4" t="n">
        <v>100000</v>
      </c>
      <c r="F20153" s="4" t="n">
        <v>18400</v>
      </c>
    </row>
    <row r="20154">
      <c r="A20154" s="3" t="inlineStr">
        <is>
          <t>2</t>
        </is>
      </c>
      <c r="B20154" s="3" t="inlineStr">
        <is>
          <t>Tukang pipa</t>
        </is>
      </c>
      <c r="C20154" s="3" t="inlineStr">
        <is>
          <t>OH</t>
        </is>
      </c>
      <c r="D20154" s="15" t="n">
        <v>0.037</v>
      </c>
      <c r="E20154" s="4" t="n">
        <v>145000</v>
      </c>
      <c r="F20154" s="4" t="n">
        <v>5365</v>
      </c>
    </row>
    <row r="20155">
      <c r="A20155" s="3" t="inlineStr">
        <is>
          <t>3</t>
        </is>
      </c>
      <c r="B20155" s="3" t="inlineStr">
        <is>
          <t>Mandor</t>
        </is>
      </c>
      <c r="C20155" s="3" t="inlineStr">
        <is>
          <t>OH</t>
        </is>
      </c>
      <c r="D20155" s="15" t="n">
        <v>0.018</v>
      </c>
      <c r="E20155" s="4" t="n">
        <v>200000</v>
      </c>
      <c r="F20155" s="4" t="n">
        <v>3600</v>
      </c>
    </row>
    <row r="20156">
      <c r="A20156" s="3" t="inlineStr">
        <is>
          <t>T2/mekanik / cilinder saw"</t>
        </is>
      </c>
      <c r="B20156" s="3" t="inlineStr"/>
      <c r="C20156" s="3" t="inlineStr">
        <is>
          <t>hari</t>
        </is>
      </c>
      <c r="D20156" s="15" t="n">
        <v>0.045</v>
      </c>
      <c r="E20156" s="4" t="n">
        <v>75000</v>
      </c>
      <c r="F20156" s="4" t="n">
        <v>3375</v>
      </c>
    </row>
    <row r="20157">
      <c r="D20157" s="2" t="inlineStr">
        <is>
          <t>SUBTOTAL UPAH</t>
        </is>
      </c>
      <c r="F20157" s="16" t="n">
        <v>27365</v>
      </c>
    </row>
    <row r="20158">
      <c r="D20158" s="2" t="inlineStr">
        <is>
          <t>SUBTOTAL BAHAN</t>
        </is>
      </c>
      <c r="F20158" s="16" t="n">
        <v>0</v>
      </c>
    </row>
    <row r="20159">
      <c r="D20159" s="2" t="inlineStr">
        <is>
          <t>SUBTOTAL ALAT</t>
        </is>
      </c>
      <c r="F20159" s="16" t="n">
        <v>3375</v>
      </c>
    </row>
    <row r="20160">
      <c r="E20160" s="2" t="inlineStr">
        <is>
          <t>TOTAL HARGA SATUAN (Inc. Overhead)</t>
        </is>
      </c>
      <c r="F20160" s="17" t="n">
        <v>33814</v>
      </c>
    </row>
    <row r="20162">
      <c r="A20162" s="14" t="inlineStr">
        <is>
          <t>KODE: 9.5.2.5 - Pemotongan 1 Buah Pipa Baja Karbon, DN. 8" (200 mm)</t>
        </is>
      </c>
    </row>
    <row r="20163">
      <c r="A20163" s="10" t="inlineStr">
        <is>
          <t>No</t>
        </is>
      </c>
      <c r="B20163" s="10" t="inlineStr">
        <is>
          <t>Uraian Komponen</t>
        </is>
      </c>
      <c r="C20163" s="10" t="inlineStr">
        <is>
          <t>Satuan</t>
        </is>
      </c>
      <c r="D20163" s="10" t="inlineStr">
        <is>
          <t>Koef</t>
        </is>
      </c>
      <c r="E20163" s="10" t="inlineStr">
        <is>
          <t>Harga Satuan (Rp)</t>
        </is>
      </c>
      <c r="F20163" s="10" t="inlineStr">
        <is>
          <t>Jumlah Harga (Rp)</t>
        </is>
      </c>
    </row>
    <row r="20164">
      <c r="A20164" s="3" t="inlineStr">
        <is>
          <t>1</t>
        </is>
      </c>
      <c r="B20164" s="3" t="inlineStr">
        <is>
          <t>Pekerja</t>
        </is>
      </c>
      <c r="C20164" s="3" t="inlineStr">
        <is>
          <t>OH</t>
        </is>
      </c>
      <c r="D20164" s="15" t="n">
        <v>0.476</v>
      </c>
      <c r="E20164" s="4" t="n">
        <v>100000</v>
      </c>
      <c r="F20164" s="4" t="n">
        <v>47600</v>
      </c>
    </row>
    <row r="20165">
      <c r="A20165" s="3" t="inlineStr">
        <is>
          <t>2</t>
        </is>
      </c>
      <c r="B20165" s="3" t="inlineStr">
        <is>
          <t>Tukang pipa</t>
        </is>
      </c>
      <c r="C20165" s="3" t="inlineStr">
        <is>
          <t>OH</t>
        </is>
      </c>
      <c r="D20165" s="15" t="n">
        <v>0.095</v>
      </c>
      <c r="E20165" s="4" t="n">
        <v>145000</v>
      </c>
      <c r="F20165" s="4" t="n">
        <v>13775</v>
      </c>
    </row>
    <row r="20166">
      <c r="A20166" s="3" t="inlineStr">
        <is>
          <t>3</t>
        </is>
      </c>
      <c r="B20166" s="3" t="inlineStr">
        <is>
          <t>Mandor</t>
        </is>
      </c>
      <c r="C20166" s="3" t="inlineStr">
        <is>
          <t>OH</t>
        </is>
      </c>
      <c r="D20166" s="15" t="n">
        <v>0.048</v>
      </c>
      <c r="E20166" s="4" t="n">
        <v>200000</v>
      </c>
      <c r="F20166" s="4" t="n">
        <v>9600</v>
      </c>
    </row>
    <row r="20167">
      <c r="A20167" s="3" t="inlineStr">
        <is>
          <t>T2/mekanik / cilinder saw"</t>
        </is>
      </c>
      <c r="B20167" s="3" t="inlineStr"/>
      <c r="C20167" s="3" t="inlineStr">
        <is>
          <t>hari</t>
        </is>
      </c>
      <c r="D20167" s="15" t="n">
        <v>0.06</v>
      </c>
      <c r="E20167" s="4" t="n">
        <v>75000</v>
      </c>
      <c r="F20167" s="4" t="n">
        <v>4500</v>
      </c>
    </row>
    <row r="20168">
      <c r="D20168" s="2" t="inlineStr">
        <is>
          <t>SUBTOTAL UPAH</t>
        </is>
      </c>
      <c r="F20168" s="16" t="n">
        <v>70975</v>
      </c>
    </row>
    <row r="20169">
      <c r="D20169" s="2" t="inlineStr">
        <is>
          <t>SUBTOTAL BAHAN</t>
        </is>
      </c>
      <c r="F20169" s="16" t="n">
        <v>0</v>
      </c>
    </row>
    <row r="20170">
      <c r="D20170" s="2" t="inlineStr">
        <is>
          <t>SUBTOTAL ALAT</t>
        </is>
      </c>
      <c r="F20170" s="16" t="n">
        <v>4500</v>
      </c>
    </row>
    <row r="20171">
      <c r="E20171" s="2" t="inlineStr">
        <is>
          <t>TOTAL HARGA SATUAN (Inc. Overhead)</t>
        </is>
      </c>
      <c r="F20171" s="17" t="n">
        <v>83022</v>
      </c>
    </row>
    <row r="20173">
      <c r="A20173" s="14" t="inlineStr">
        <is>
          <t>KODE: 9.5.2.6 - Pemotongan 1 Buah Pipa Baja Karbon, DN. 10" (250 mm)</t>
        </is>
      </c>
    </row>
    <row r="20174">
      <c r="A20174" s="10" t="inlineStr">
        <is>
          <t>No</t>
        </is>
      </c>
      <c r="B20174" s="10" t="inlineStr">
        <is>
          <t>Uraian Komponen</t>
        </is>
      </c>
      <c r="C20174" s="10" t="inlineStr">
        <is>
          <t>Satuan</t>
        </is>
      </c>
      <c r="D20174" s="10" t="inlineStr">
        <is>
          <t>Koef</t>
        </is>
      </c>
      <c r="E20174" s="10" t="inlineStr">
        <is>
          <t>Harga Satuan (Rp)</t>
        </is>
      </c>
      <c r="F20174" s="10" t="inlineStr">
        <is>
          <t>Jumlah Harga (Rp)</t>
        </is>
      </c>
    </row>
    <row r="20175">
      <c r="A20175" s="3" t="inlineStr">
        <is>
          <t>1</t>
        </is>
      </c>
      <c r="B20175" s="3" t="inlineStr">
        <is>
          <t>Pekerja</t>
        </is>
      </c>
      <c r="C20175" s="3" t="inlineStr">
        <is>
          <t>OH</t>
        </is>
      </c>
      <c r="D20175" s="15" t="n">
        <v>0.663</v>
      </c>
      <c r="E20175" s="4" t="n">
        <v>100000</v>
      </c>
      <c r="F20175" s="4" t="n">
        <v>66300</v>
      </c>
    </row>
    <row r="20176">
      <c r="A20176" s="3" t="inlineStr">
        <is>
          <t>2</t>
        </is>
      </c>
      <c r="B20176" s="3" t="inlineStr">
        <is>
          <t>Tukang pipa</t>
        </is>
      </c>
      <c r="C20176" s="3" t="inlineStr">
        <is>
          <t>OH</t>
        </is>
      </c>
      <c r="D20176" s="15" t="n">
        <v>0.133</v>
      </c>
      <c r="E20176" s="4" t="n">
        <v>145000</v>
      </c>
      <c r="F20176" s="4" t="n">
        <v>19285</v>
      </c>
    </row>
    <row r="20177">
      <c r="A20177" s="3" t="inlineStr">
        <is>
          <t>3</t>
        </is>
      </c>
      <c r="B20177" s="3" t="inlineStr">
        <is>
          <t>Mandor</t>
        </is>
      </c>
      <c r="C20177" s="3" t="inlineStr">
        <is>
          <t>OH</t>
        </is>
      </c>
      <c r="D20177" s="15" t="n">
        <v>0.066</v>
      </c>
      <c r="E20177" s="4" t="n">
        <v>200000</v>
      </c>
      <c r="F20177" s="4" t="n">
        <v>13200</v>
      </c>
    </row>
    <row r="20178">
      <c r="A20178" s="3" t="inlineStr">
        <is>
          <t>T2/mekanik / cilinder saw"</t>
        </is>
      </c>
      <c r="B20178" s="3" t="inlineStr"/>
      <c r="C20178" s="3" t="inlineStr">
        <is>
          <t>hari</t>
        </is>
      </c>
      <c r="D20178" s="15" t="n">
        <v>0.068</v>
      </c>
      <c r="E20178" s="4" t="n">
        <v>75000</v>
      </c>
      <c r="F20178" s="4" t="n">
        <v>5100</v>
      </c>
    </row>
    <row r="20179">
      <c r="D20179" s="2" t="inlineStr">
        <is>
          <t>SUBTOTAL UPAH</t>
        </is>
      </c>
      <c r="F20179" s="16" t="n">
        <v>98785</v>
      </c>
    </row>
    <row r="20180">
      <c r="D20180" s="2" t="inlineStr">
        <is>
          <t>SUBTOTAL BAHAN</t>
        </is>
      </c>
      <c r="F20180" s="16" t="n">
        <v>0</v>
      </c>
    </row>
    <row r="20181">
      <c r="D20181" s="2" t="inlineStr">
        <is>
          <t>SUBTOTAL ALAT</t>
        </is>
      </c>
      <c r="F20181" s="16" t="n">
        <v>5100</v>
      </c>
    </row>
    <row r="20182">
      <c r="E20182" s="2" t="inlineStr">
        <is>
          <t>TOTAL HARGA SATUAN (Inc. Overhead)</t>
        </is>
      </c>
      <c r="F20182" s="17" t="n">
        <v>114273</v>
      </c>
    </row>
    <row r="20184">
      <c r="A20184" s="14" t="inlineStr">
        <is>
          <t>KODE: 9.5.2.7 - Pemotongan 1 Buah Pipa Baja Karbon, DN. 12" (300 mm)</t>
        </is>
      </c>
    </row>
    <row r="20185">
      <c r="A20185" s="10" t="inlineStr">
        <is>
          <t>No</t>
        </is>
      </c>
      <c r="B20185" s="10" t="inlineStr">
        <is>
          <t>Uraian Komponen</t>
        </is>
      </c>
      <c r="C20185" s="10" t="inlineStr">
        <is>
          <t>Satuan</t>
        </is>
      </c>
      <c r="D20185" s="10" t="inlineStr">
        <is>
          <t>Koef</t>
        </is>
      </c>
      <c r="E20185" s="10" t="inlineStr">
        <is>
          <t>Harga Satuan (Rp)</t>
        </is>
      </c>
      <c r="F20185" s="10" t="inlineStr">
        <is>
          <t>Jumlah Harga (Rp)</t>
        </is>
      </c>
    </row>
    <row r="20186">
      <c r="A20186" s="3" t="inlineStr">
        <is>
          <t>1</t>
        </is>
      </c>
      <c r="B20186" s="3" t="inlineStr">
        <is>
          <t>Pekerja</t>
        </is>
      </c>
      <c r="C20186" s="3" t="inlineStr">
        <is>
          <t>OH</t>
        </is>
      </c>
      <c r="D20186" s="15" t="n">
        <v>0.745</v>
      </c>
      <c r="E20186" s="4" t="n">
        <v>100000</v>
      </c>
      <c r="F20186" s="4" t="n">
        <v>74500</v>
      </c>
    </row>
    <row r="20187">
      <c r="A20187" s="3" t="inlineStr">
        <is>
          <t>2</t>
        </is>
      </c>
      <c r="B20187" s="3" t="inlineStr">
        <is>
          <t>Tukang pipa</t>
        </is>
      </c>
      <c r="C20187" s="3" t="inlineStr">
        <is>
          <t>OH</t>
        </is>
      </c>
      <c r="D20187" s="15" t="n">
        <v>0.149</v>
      </c>
      <c r="E20187" s="4" t="n">
        <v>145000</v>
      </c>
      <c r="F20187" s="4" t="n">
        <v>21605</v>
      </c>
    </row>
    <row r="20188">
      <c r="A20188" s="3" t="inlineStr">
        <is>
          <t>3</t>
        </is>
      </c>
      <c r="B20188" s="3" t="inlineStr">
        <is>
          <t>Mandor</t>
        </is>
      </c>
      <c r="C20188" s="3" t="inlineStr">
        <is>
          <t>OH</t>
        </is>
      </c>
      <c r="D20188" s="15" t="n">
        <v>0.074</v>
      </c>
      <c r="E20188" s="4" t="n">
        <v>200000</v>
      </c>
      <c r="F20188" s="4" t="n">
        <v>14800</v>
      </c>
    </row>
    <row r="20189">
      <c r="A20189" s="3" t="inlineStr">
        <is>
          <t>T2/mekanik / cilinder saw"</t>
        </is>
      </c>
      <c r="B20189" s="3" t="inlineStr"/>
      <c r="C20189" s="3" t="inlineStr">
        <is>
          <t>hari</t>
        </is>
      </c>
      <c r="D20189" s="15" t="n">
        <v>0.07199999999999999</v>
      </c>
      <c r="E20189" s="4" t="n">
        <v>75000</v>
      </c>
      <c r="F20189" s="4" t="n">
        <v>5400</v>
      </c>
    </row>
    <row r="20190">
      <c r="D20190" s="2" t="inlineStr">
        <is>
          <t>SUBTOTAL UPAH</t>
        </is>
      </c>
      <c r="F20190" s="16" t="n">
        <v>110905</v>
      </c>
    </row>
    <row r="20191">
      <c r="D20191" s="2" t="inlineStr">
        <is>
          <t>SUBTOTAL BAHAN</t>
        </is>
      </c>
      <c r="F20191" s="16" t="n">
        <v>0</v>
      </c>
    </row>
    <row r="20192">
      <c r="D20192" s="2" t="inlineStr">
        <is>
          <t>SUBTOTAL ALAT</t>
        </is>
      </c>
      <c r="F20192" s="16" t="n">
        <v>5400</v>
      </c>
    </row>
    <row r="20193">
      <c r="E20193" s="2" t="inlineStr">
        <is>
          <t>TOTAL HARGA SATUAN (Inc. Overhead)</t>
        </is>
      </c>
      <c r="F20193" s="17" t="n">
        <v>127935</v>
      </c>
    </row>
    <row r="20195">
      <c r="A20195" s="14" t="inlineStr">
        <is>
          <t>KODE: 9.5.2.8 - Pemotongan 1 Buah Pipa Baja Karbon, DN. 16" (400 mm)</t>
        </is>
      </c>
    </row>
    <row r="20196">
      <c r="A20196" s="10" t="inlineStr">
        <is>
          <t>No</t>
        </is>
      </c>
      <c r="B20196" s="10" t="inlineStr">
        <is>
          <t>Uraian Komponen</t>
        </is>
      </c>
      <c r="C20196" s="10" t="inlineStr">
        <is>
          <t>Satuan</t>
        </is>
      </c>
      <c r="D20196" s="10" t="inlineStr">
        <is>
          <t>Koef</t>
        </is>
      </c>
      <c r="E20196" s="10" t="inlineStr">
        <is>
          <t>Harga Satuan (Rp)</t>
        </is>
      </c>
      <c r="F20196" s="10" t="inlineStr">
        <is>
          <t>Jumlah Harga (Rp)</t>
        </is>
      </c>
    </row>
    <row r="20197">
      <c r="A20197" s="3" t="inlineStr">
        <is>
          <t>1</t>
        </is>
      </c>
      <c r="B20197" s="3" t="inlineStr">
        <is>
          <t>Pekerja</t>
        </is>
      </c>
      <c r="C20197" s="3" t="inlineStr">
        <is>
          <t>OH</t>
        </is>
      </c>
      <c r="D20197" s="15" t="n">
        <v>1.44</v>
      </c>
      <c r="E20197" s="4" t="n">
        <v>100000</v>
      </c>
      <c r="F20197" s="4" t="n">
        <v>144000</v>
      </c>
    </row>
    <row r="20198">
      <c r="A20198" s="3" t="inlineStr">
        <is>
          <t>2</t>
        </is>
      </c>
      <c r="B20198" s="3" t="inlineStr">
        <is>
          <t>Tukang pipa</t>
        </is>
      </c>
      <c r="C20198" s="3" t="inlineStr">
        <is>
          <t>OH</t>
        </is>
      </c>
      <c r="D20198" s="15" t="n">
        <v>0.288</v>
      </c>
      <c r="E20198" s="4" t="n">
        <v>145000</v>
      </c>
      <c r="F20198" s="4" t="n">
        <v>41760</v>
      </c>
    </row>
    <row r="20199">
      <c r="A20199" s="3" t="inlineStr">
        <is>
          <t>3</t>
        </is>
      </c>
      <c r="B20199" s="3" t="inlineStr">
        <is>
          <t>Mandor</t>
        </is>
      </c>
      <c r="C20199" s="3" t="inlineStr">
        <is>
          <t>OH</t>
        </is>
      </c>
      <c r="D20199" s="15" t="n">
        <v>0.144</v>
      </c>
      <c r="E20199" s="4" t="n">
        <v>200000</v>
      </c>
      <c r="F20199" s="4" t="n">
        <v>28800</v>
      </c>
    </row>
    <row r="20200">
      <c r="A20200" s="3" t="inlineStr">
        <is>
          <t>T2/mekanik / cilinder saw"</t>
        </is>
      </c>
      <c r="B20200" s="3" t="inlineStr"/>
      <c r="C20200" s="3" t="inlineStr">
        <is>
          <t>hari</t>
        </is>
      </c>
      <c r="D20200" s="15" t="n">
        <v>0.105</v>
      </c>
      <c r="E20200" s="4" t="n">
        <v>75000</v>
      </c>
      <c r="F20200" s="4" t="n">
        <v>7875</v>
      </c>
    </row>
    <row r="20201">
      <c r="D20201" s="2" t="inlineStr">
        <is>
          <t>SUBTOTAL UPAH</t>
        </is>
      </c>
      <c r="F20201" s="16" t="n">
        <v>214560</v>
      </c>
    </row>
    <row r="20202">
      <c r="D20202" s="2" t="inlineStr">
        <is>
          <t>SUBTOTAL BAHAN</t>
        </is>
      </c>
      <c r="F20202" s="16" t="n">
        <v>0</v>
      </c>
    </row>
    <row r="20203">
      <c r="D20203" s="2" t="inlineStr">
        <is>
          <t>SUBTOTAL ALAT</t>
        </is>
      </c>
      <c r="F20203" s="16" t="n">
        <v>7875</v>
      </c>
    </row>
    <row r="20204">
      <c r="E20204" s="2" t="inlineStr">
        <is>
          <t>TOTAL HARGA SATUAN (Inc. Overhead)</t>
        </is>
      </c>
      <c r="F20204" s="17" t="n">
        <v>244678</v>
      </c>
    </row>
    <row r="20206">
      <c r="A20206" s="14" t="inlineStr">
        <is>
          <t>KODE: 9.5.2.9 - Pemotongan 1 Buah Pipa Baja Karbon, DN. 18" (450 mm)</t>
        </is>
      </c>
    </row>
    <row r="20207">
      <c r="A20207" s="10" t="inlineStr">
        <is>
          <t>No</t>
        </is>
      </c>
      <c r="B20207" s="10" t="inlineStr">
        <is>
          <t>Uraian Komponen</t>
        </is>
      </c>
      <c r="C20207" s="10" t="inlineStr">
        <is>
          <t>Satuan</t>
        </is>
      </c>
      <c r="D20207" s="10" t="inlineStr">
        <is>
          <t>Koef</t>
        </is>
      </c>
      <c r="E20207" s="10" t="inlineStr">
        <is>
          <t>Harga Satuan (Rp)</t>
        </is>
      </c>
      <c r="F20207" s="10" t="inlineStr">
        <is>
          <t>Jumlah Harga (Rp)</t>
        </is>
      </c>
    </row>
    <row r="20208">
      <c r="A20208" s="3" t="inlineStr">
        <is>
          <t>1</t>
        </is>
      </c>
      <c r="B20208" s="3" t="inlineStr">
        <is>
          <t>Pekerja</t>
        </is>
      </c>
      <c r="C20208" s="3" t="inlineStr">
        <is>
          <t>OH</t>
        </is>
      </c>
      <c r="D20208" s="15" t="n">
        <v>1.499</v>
      </c>
      <c r="E20208" s="4" t="n">
        <v>100000</v>
      </c>
      <c r="F20208" s="4" t="n">
        <v>149900</v>
      </c>
    </row>
    <row r="20209">
      <c r="A20209" s="3" t="inlineStr">
        <is>
          <t>2</t>
        </is>
      </c>
      <c r="B20209" s="3" t="inlineStr">
        <is>
          <t>Tukang pipa</t>
        </is>
      </c>
      <c r="C20209" s="3" t="inlineStr">
        <is>
          <t>OH</t>
        </is>
      </c>
      <c r="D20209" s="15" t="n">
        <v>0.3</v>
      </c>
      <c r="E20209" s="4" t="n">
        <v>145000</v>
      </c>
      <c r="F20209" s="4" t="n">
        <v>43500</v>
      </c>
    </row>
    <row r="20210">
      <c r="A20210" s="3" t="inlineStr">
        <is>
          <t>3</t>
        </is>
      </c>
      <c r="B20210" s="3" t="inlineStr">
        <is>
          <t>Mandor</t>
        </is>
      </c>
      <c r="C20210" s="3" t="inlineStr">
        <is>
          <t>OH</t>
        </is>
      </c>
      <c r="D20210" s="15" t="n">
        <v>0.15</v>
      </c>
      <c r="E20210" s="4" t="n">
        <v>200000</v>
      </c>
      <c r="F20210" s="4" t="n">
        <v>30000</v>
      </c>
    </row>
    <row r="20211">
      <c r="A20211" s="3" t="inlineStr">
        <is>
          <t>T2/mekanik / cilinder saw"</t>
        </is>
      </c>
      <c r="B20211" s="3" t="inlineStr"/>
      <c r="C20211" s="3" t="inlineStr">
        <is>
          <t>hari</t>
        </is>
      </c>
      <c r="D20211" s="15" t="n">
        <v>0.106</v>
      </c>
      <c r="E20211" s="4" t="n">
        <v>75000</v>
      </c>
      <c r="F20211" s="4" t="n">
        <v>7950</v>
      </c>
    </row>
    <row r="20212">
      <c r="D20212" s="2" t="inlineStr">
        <is>
          <t>SUBTOTAL UPAH</t>
        </is>
      </c>
      <c r="F20212" s="16" t="n">
        <v>223400</v>
      </c>
    </row>
    <row r="20213">
      <c r="D20213" s="2" t="inlineStr">
        <is>
          <t>SUBTOTAL BAHAN</t>
        </is>
      </c>
      <c r="F20213" s="16" t="n">
        <v>0</v>
      </c>
    </row>
    <row r="20214">
      <c r="D20214" s="2" t="inlineStr">
        <is>
          <t>SUBTOTAL ALAT</t>
        </is>
      </c>
      <c r="F20214" s="16" t="n">
        <v>7950</v>
      </c>
    </row>
    <row r="20215">
      <c r="E20215" s="2" t="inlineStr">
        <is>
          <t>TOTAL HARGA SATUAN (Inc. Overhead)</t>
        </is>
      </c>
      <c r="F20215" s="17" t="n">
        <v>254485</v>
      </c>
    </row>
    <row r="20217">
      <c r="A20217" s="14" t="inlineStr">
        <is>
          <t>KODE: 9.5.2.10 - Pemotongan 1 Buah Pipa Baja Karbon, DN. 20" (500 mm)</t>
        </is>
      </c>
    </row>
    <row r="20218">
      <c r="A20218" s="10" t="inlineStr">
        <is>
          <t>No</t>
        </is>
      </c>
      <c r="B20218" s="10" t="inlineStr">
        <is>
          <t>Uraian Komponen</t>
        </is>
      </c>
      <c r="C20218" s="10" t="inlineStr">
        <is>
          <t>Satuan</t>
        </is>
      </c>
      <c r="D20218" s="10" t="inlineStr">
        <is>
          <t>Koef</t>
        </is>
      </c>
      <c r="E20218" s="10" t="inlineStr">
        <is>
          <t>Harga Satuan (Rp)</t>
        </is>
      </c>
      <c r="F20218" s="10" t="inlineStr">
        <is>
          <t>Jumlah Harga (Rp)</t>
        </is>
      </c>
    </row>
    <row r="20219">
      <c r="A20219" s="3" t="inlineStr">
        <is>
          <t>1</t>
        </is>
      </c>
      <c r="B20219" s="3" t="inlineStr">
        <is>
          <t>Pekerja</t>
        </is>
      </c>
      <c r="C20219" s="3" t="inlineStr">
        <is>
          <t>OH</t>
        </is>
      </c>
      <c r="D20219" s="15" t="n">
        <v>1.558</v>
      </c>
      <c r="E20219" s="4" t="n">
        <v>100000</v>
      </c>
      <c r="F20219" s="4" t="n">
        <v>155800</v>
      </c>
    </row>
    <row r="20220">
      <c r="A20220" s="3" t="inlineStr">
        <is>
          <t>2</t>
        </is>
      </c>
      <c r="B20220" s="3" t="inlineStr">
        <is>
          <t>Tukang pipa</t>
        </is>
      </c>
      <c r="C20220" s="3" t="inlineStr">
        <is>
          <t>OH</t>
        </is>
      </c>
      <c r="D20220" s="15" t="n">
        <v>0.312</v>
      </c>
      <c r="E20220" s="4" t="n">
        <v>145000</v>
      </c>
      <c r="F20220" s="4" t="n">
        <v>45240</v>
      </c>
    </row>
    <row r="20221">
      <c r="A20221" s="3" t="inlineStr">
        <is>
          <t>3</t>
        </is>
      </c>
      <c r="B20221" s="3" t="inlineStr">
        <is>
          <t>Mandor</t>
        </is>
      </c>
      <c r="C20221" s="3" t="inlineStr">
        <is>
          <t>OH</t>
        </is>
      </c>
      <c r="D20221" s="15" t="n">
        <v>0.156</v>
      </c>
      <c r="E20221" s="4" t="n">
        <v>200000</v>
      </c>
      <c r="F20221" s="4" t="n">
        <v>31200</v>
      </c>
    </row>
    <row r="20222">
      <c r="A20222" s="3" t="inlineStr">
        <is>
          <t>T2/mekanik / cilinder saw"</t>
        </is>
      </c>
      <c r="B20222" s="3" t="inlineStr"/>
      <c r="C20222" s="3" t="inlineStr">
        <is>
          <t>hari</t>
        </is>
      </c>
      <c r="D20222" s="15" t="n">
        <v>0.107</v>
      </c>
      <c r="E20222" s="4" t="n">
        <v>75000</v>
      </c>
      <c r="F20222" s="4" t="n">
        <v>8025</v>
      </c>
    </row>
    <row r="20223">
      <c r="D20223" s="2" t="inlineStr">
        <is>
          <t>SUBTOTAL UPAH</t>
        </is>
      </c>
      <c r="F20223" s="16" t="n">
        <v>232240</v>
      </c>
    </row>
    <row r="20224">
      <c r="D20224" s="2" t="inlineStr">
        <is>
          <t>SUBTOTAL BAHAN</t>
        </is>
      </c>
      <c r="F20224" s="16" t="n">
        <v>0</v>
      </c>
    </row>
    <row r="20225">
      <c r="D20225" s="2" t="inlineStr">
        <is>
          <t>SUBTOTAL ALAT</t>
        </is>
      </c>
      <c r="F20225" s="16" t="n">
        <v>8025</v>
      </c>
    </row>
    <row r="20226">
      <c r="E20226" s="2" t="inlineStr">
        <is>
          <t>TOTAL HARGA SATUAN (Inc. Overhead)</t>
        </is>
      </c>
      <c r="F20226" s="17" t="n">
        <v>264291</v>
      </c>
    </row>
    <row r="20228">
      <c r="A20228" s="14" t="inlineStr">
        <is>
          <t>KODE: 9.5.2.11 - Pemotongan 1 Buah Pipa Baja Karbon, DN. 24" (600 mm)</t>
        </is>
      </c>
    </row>
    <row r="20229">
      <c r="A20229" s="10" t="inlineStr">
        <is>
          <t>No</t>
        </is>
      </c>
      <c r="B20229" s="10" t="inlineStr">
        <is>
          <t>Uraian Komponen</t>
        </is>
      </c>
      <c r="C20229" s="10" t="inlineStr">
        <is>
          <t>Satuan</t>
        </is>
      </c>
      <c r="D20229" s="10" t="inlineStr">
        <is>
          <t>Koef</t>
        </is>
      </c>
      <c r="E20229" s="10" t="inlineStr">
        <is>
          <t>Harga Satuan (Rp)</t>
        </is>
      </c>
      <c r="F20229" s="10" t="inlineStr">
        <is>
          <t>Jumlah Harga (Rp)</t>
        </is>
      </c>
    </row>
    <row r="20230">
      <c r="A20230" s="3" t="inlineStr">
        <is>
          <t>1</t>
        </is>
      </c>
      <c r="B20230" s="3" t="inlineStr">
        <is>
          <t>Pekerja</t>
        </is>
      </c>
      <c r="C20230" s="3" t="inlineStr">
        <is>
          <t>OH</t>
        </is>
      </c>
      <c r="D20230" s="15" t="n">
        <v>1.968</v>
      </c>
      <c r="E20230" s="4" t="n">
        <v>100000</v>
      </c>
      <c r="F20230" s="4" t="n">
        <v>196800</v>
      </c>
    </row>
    <row r="20231">
      <c r="A20231" s="3" t="inlineStr">
        <is>
          <t>2</t>
        </is>
      </c>
      <c r="B20231" s="3" t="inlineStr">
        <is>
          <t>Tukang pipa</t>
        </is>
      </c>
      <c r="C20231" s="3" t="inlineStr">
        <is>
          <t>OH</t>
        </is>
      </c>
      <c r="D20231" s="15" t="n">
        <v>0.394</v>
      </c>
      <c r="E20231" s="4" t="n">
        <v>145000</v>
      </c>
      <c r="F20231" s="4" t="n">
        <v>57130</v>
      </c>
    </row>
    <row r="20232">
      <c r="A20232" s="3" t="inlineStr">
        <is>
          <t>3</t>
        </is>
      </c>
      <c r="B20232" s="3" t="inlineStr">
        <is>
          <t>Mandor</t>
        </is>
      </c>
      <c r="C20232" s="3" t="inlineStr">
        <is>
          <t>OH</t>
        </is>
      </c>
      <c r="D20232" s="15" t="n">
        <v>0.197</v>
      </c>
      <c r="E20232" s="4" t="n">
        <v>200000</v>
      </c>
      <c r="F20232" s="4" t="n">
        <v>39400</v>
      </c>
    </row>
    <row r="20233">
      <c r="A20233" s="3" t="inlineStr">
        <is>
          <t>T2/mekanik / cilinder saw"</t>
        </is>
      </c>
      <c r="B20233" s="3" t="inlineStr"/>
      <c r="C20233" s="3" t="inlineStr">
        <is>
          <t>hari</t>
        </is>
      </c>
      <c r="D20233" s="15" t="n">
        <v>0.125</v>
      </c>
      <c r="E20233" s="4" t="n">
        <v>75000</v>
      </c>
      <c r="F20233" s="4" t="n">
        <v>9375</v>
      </c>
    </row>
    <row r="20234">
      <c r="D20234" s="2" t="inlineStr">
        <is>
          <t>SUBTOTAL UPAH</t>
        </is>
      </c>
      <c r="F20234" s="16" t="n">
        <v>293330</v>
      </c>
    </row>
    <row r="20235">
      <c r="D20235" s="2" t="inlineStr">
        <is>
          <t>SUBTOTAL BAHAN</t>
        </is>
      </c>
      <c r="F20235" s="16" t="n">
        <v>0</v>
      </c>
    </row>
    <row r="20236">
      <c r="D20236" s="2" t="inlineStr">
        <is>
          <t>SUBTOTAL ALAT</t>
        </is>
      </c>
      <c r="F20236" s="16" t="n">
        <v>9375</v>
      </c>
    </row>
    <row r="20237">
      <c r="E20237" s="2" t="inlineStr">
        <is>
          <t>TOTAL HARGA SATUAN (Inc. Overhead)</t>
        </is>
      </c>
      <c r="F20237" s="17" t="n">
        <v>332975</v>
      </c>
    </row>
    <row r="20239">
      <c r="A20239" s="14" t="inlineStr">
        <is>
          <t>KODE: 9.5.2.12 - Pemotongan 1 Buah Pipa Baja Karbon, DN. 32" (800 mm)</t>
        </is>
      </c>
    </row>
    <row r="20240">
      <c r="A20240" s="10" t="inlineStr">
        <is>
          <t>No</t>
        </is>
      </c>
      <c r="B20240" s="10" t="inlineStr">
        <is>
          <t>Uraian Komponen</t>
        </is>
      </c>
      <c r="C20240" s="10" t="inlineStr">
        <is>
          <t>Satuan</t>
        </is>
      </c>
      <c r="D20240" s="10" t="inlineStr">
        <is>
          <t>Koef</t>
        </is>
      </c>
      <c r="E20240" s="10" t="inlineStr">
        <is>
          <t>Harga Satuan (Rp)</t>
        </is>
      </c>
      <c r="F20240" s="10" t="inlineStr">
        <is>
          <t>Jumlah Harga (Rp)</t>
        </is>
      </c>
    </row>
    <row r="20241">
      <c r="A20241" s="3" t="inlineStr">
        <is>
          <t>1</t>
        </is>
      </c>
      <c r="B20241" s="3" t="inlineStr">
        <is>
          <t>Pekerja</t>
        </is>
      </c>
      <c r="C20241" s="3" t="inlineStr">
        <is>
          <t>OH</t>
        </is>
      </c>
      <c r="D20241" s="15" t="n">
        <v>2.264</v>
      </c>
      <c r="E20241" s="4" t="n">
        <v>100000</v>
      </c>
      <c r="F20241" s="4" t="n">
        <v>226400</v>
      </c>
    </row>
    <row r="20242">
      <c r="A20242" s="3" t="inlineStr">
        <is>
          <t>2</t>
        </is>
      </c>
      <c r="B20242" s="3" t="inlineStr">
        <is>
          <t>Tukang pipa</t>
        </is>
      </c>
      <c r="C20242" s="3" t="inlineStr">
        <is>
          <t>OH</t>
        </is>
      </c>
      <c r="D20242" s="15" t="n">
        <v>0.525</v>
      </c>
      <c r="E20242" s="4" t="n">
        <v>145000</v>
      </c>
      <c r="F20242" s="4" t="n">
        <v>76125</v>
      </c>
    </row>
    <row r="20243">
      <c r="A20243" s="3" t="inlineStr">
        <is>
          <t>3</t>
        </is>
      </c>
      <c r="B20243" s="3" t="inlineStr">
        <is>
          <t>Mandor</t>
        </is>
      </c>
      <c r="C20243" s="3" t="inlineStr">
        <is>
          <t>OH</t>
        </is>
      </c>
      <c r="D20243" s="15" t="n">
        <v>0.262</v>
      </c>
      <c r="E20243" s="4" t="n">
        <v>200000</v>
      </c>
      <c r="F20243" s="4" t="n">
        <v>52400</v>
      </c>
    </row>
    <row r="20244">
      <c r="A20244" s="3" t="inlineStr">
        <is>
          <t>T2/mekanik / cilinder saw"</t>
        </is>
      </c>
      <c r="B20244" s="3" t="inlineStr"/>
      <c r="C20244" s="3" t="inlineStr">
        <is>
          <t>hari</t>
        </is>
      </c>
      <c r="D20244" s="15" t="n">
        <v>0.166</v>
      </c>
      <c r="E20244" s="4" t="n">
        <v>75000</v>
      </c>
      <c r="F20244" s="4" t="n">
        <v>12450</v>
      </c>
    </row>
    <row r="20245">
      <c r="D20245" s="2" t="inlineStr">
        <is>
          <t>SUBTOTAL UPAH</t>
        </is>
      </c>
      <c r="F20245" s="16" t="n">
        <v>354925</v>
      </c>
    </row>
    <row r="20246">
      <c r="D20246" s="2" t="inlineStr">
        <is>
          <t>SUBTOTAL BAHAN</t>
        </is>
      </c>
      <c r="F20246" s="16" t="n">
        <v>0</v>
      </c>
    </row>
    <row r="20247">
      <c r="D20247" s="2" t="inlineStr">
        <is>
          <t>SUBTOTAL ALAT</t>
        </is>
      </c>
      <c r="F20247" s="16" t="n">
        <v>12450</v>
      </c>
    </row>
    <row r="20248">
      <c r="E20248" s="2" t="inlineStr">
        <is>
          <t>TOTAL HARGA SATUAN (Inc. Overhead)</t>
        </is>
      </c>
      <c r="F20248" s="17" t="n">
        <v>404112</v>
      </c>
    </row>
    <row r="20250">
      <c r="A20250" s="14" t="inlineStr">
        <is>
          <t>KODE: 9.5.2.13 - Pemotongan 1 Buah Pipa Baja Karbon, DN. 36" (900 mm)</t>
        </is>
      </c>
    </row>
    <row r="20251">
      <c r="A20251" s="10" t="inlineStr">
        <is>
          <t>No</t>
        </is>
      </c>
      <c r="B20251" s="10" t="inlineStr">
        <is>
          <t>Uraian Komponen</t>
        </is>
      </c>
      <c r="C20251" s="10" t="inlineStr">
        <is>
          <t>Satuan</t>
        </is>
      </c>
      <c r="D20251" s="10" t="inlineStr">
        <is>
          <t>Koef</t>
        </is>
      </c>
      <c r="E20251" s="10" t="inlineStr">
        <is>
          <t>Harga Satuan (Rp)</t>
        </is>
      </c>
      <c r="F20251" s="10" t="inlineStr">
        <is>
          <t>Jumlah Harga (Rp)</t>
        </is>
      </c>
    </row>
    <row r="20252">
      <c r="A20252" s="3" t="inlineStr">
        <is>
          <t>1</t>
        </is>
      </c>
      <c r="B20252" s="3" t="inlineStr">
        <is>
          <t>Pekerja</t>
        </is>
      </c>
      <c r="C20252" s="3" t="inlineStr">
        <is>
          <t>OH</t>
        </is>
      </c>
      <c r="D20252" s="15" t="n">
        <v>2.971</v>
      </c>
      <c r="E20252" s="4" t="n">
        <v>100000</v>
      </c>
      <c r="F20252" s="4" t="n">
        <v>297100</v>
      </c>
    </row>
    <row r="20253">
      <c r="A20253" s="3" t="inlineStr">
        <is>
          <t>2</t>
        </is>
      </c>
      <c r="B20253" s="3" t="inlineStr">
        <is>
          <t>Tukang pipa</t>
        </is>
      </c>
      <c r="C20253" s="3" t="inlineStr">
        <is>
          <t>OH</t>
        </is>
      </c>
      <c r="D20253" s="15" t="n">
        <v>0.594</v>
      </c>
      <c r="E20253" s="4" t="n">
        <v>145000</v>
      </c>
      <c r="F20253" s="4" t="n">
        <v>86130</v>
      </c>
    </row>
    <row r="20254">
      <c r="A20254" s="3" t="inlineStr">
        <is>
          <t>3</t>
        </is>
      </c>
      <c r="B20254" s="3" t="inlineStr">
        <is>
          <t>Mandor</t>
        </is>
      </c>
      <c r="C20254" s="3" t="inlineStr">
        <is>
          <t>OH</t>
        </is>
      </c>
      <c r="D20254" s="15" t="n">
        <v>0.297</v>
      </c>
      <c r="E20254" s="4" t="n">
        <v>200000</v>
      </c>
      <c r="F20254" s="4" t="n">
        <v>59400</v>
      </c>
    </row>
    <row r="20255">
      <c r="A20255" s="3" t="inlineStr">
        <is>
          <t>T2/mekanik / cilinder saw"</t>
        </is>
      </c>
      <c r="B20255" s="3" t="inlineStr"/>
      <c r="C20255" s="3" t="inlineStr">
        <is>
          <t>hari</t>
        </is>
      </c>
      <c r="D20255" s="15" t="n">
        <v>0.183</v>
      </c>
      <c r="E20255" s="4" t="n">
        <v>75000</v>
      </c>
      <c r="F20255" s="4" t="n">
        <v>13725</v>
      </c>
    </row>
    <row r="20256">
      <c r="D20256" s="2" t="inlineStr">
        <is>
          <t>SUBTOTAL UPAH</t>
        </is>
      </c>
      <c r="F20256" s="16" t="n">
        <v>442630</v>
      </c>
    </row>
    <row r="20257">
      <c r="D20257" s="2" t="inlineStr">
        <is>
          <t>SUBTOTAL BAHAN</t>
        </is>
      </c>
      <c r="F20257" s="16" t="n">
        <v>0</v>
      </c>
    </row>
    <row r="20258">
      <c r="D20258" s="2" t="inlineStr">
        <is>
          <t>SUBTOTAL ALAT</t>
        </is>
      </c>
      <c r="F20258" s="16" t="n">
        <v>13725</v>
      </c>
    </row>
    <row r="20259">
      <c r="E20259" s="2" t="inlineStr">
        <is>
          <t>TOTAL HARGA SATUAN (Inc. Overhead)</t>
        </is>
      </c>
      <c r="F20259" s="17" t="n">
        <v>501990</v>
      </c>
    </row>
    <row r="20261">
      <c r="A20261" s="14" t="inlineStr">
        <is>
          <t>KODE: 9.5.2.14 - Pemotongan 1 Buah Pipa Baja Karbon, DN. 40" (1000 mm)</t>
        </is>
      </c>
    </row>
    <row r="20262">
      <c r="A20262" s="10" t="inlineStr">
        <is>
          <t>No</t>
        </is>
      </c>
      <c r="B20262" s="10" t="inlineStr">
        <is>
          <t>Uraian Komponen</t>
        </is>
      </c>
      <c r="C20262" s="10" t="inlineStr">
        <is>
          <t>Satuan</t>
        </is>
      </c>
      <c r="D20262" s="10" t="inlineStr">
        <is>
          <t>Koef</t>
        </is>
      </c>
      <c r="E20262" s="10" t="inlineStr">
        <is>
          <t>Harga Satuan (Rp)</t>
        </is>
      </c>
      <c r="F20262" s="10" t="inlineStr">
        <is>
          <t>Jumlah Harga (Rp)</t>
        </is>
      </c>
    </row>
    <row r="20263">
      <c r="A20263" s="3" t="inlineStr">
        <is>
          <t>1</t>
        </is>
      </c>
      <c r="B20263" s="3" t="inlineStr">
        <is>
          <t>Pekerja</t>
        </is>
      </c>
      <c r="C20263" s="3" t="inlineStr">
        <is>
          <t>OH</t>
        </is>
      </c>
      <c r="D20263" s="15" t="n">
        <v>3.319</v>
      </c>
      <c r="E20263" s="4" t="n">
        <v>100000</v>
      </c>
      <c r="F20263" s="4" t="n">
        <v>331900</v>
      </c>
    </row>
    <row r="20264">
      <c r="A20264" s="3" t="inlineStr">
        <is>
          <t>2</t>
        </is>
      </c>
      <c r="B20264" s="3" t="inlineStr">
        <is>
          <t>Tukang pipa</t>
        </is>
      </c>
      <c r="C20264" s="3" t="inlineStr">
        <is>
          <t>OH</t>
        </is>
      </c>
      <c r="D20264" s="15" t="n">
        <v>0.664</v>
      </c>
      <c r="E20264" s="4" t="n">
        <v>145000</v>
      </c>
      <c r="F20264" s="4" t="n">
        <v>96280</v>
      </c>
    </row>
    <row r="20265">
      <c r="A20265" s="3" t="inlineStr">
        <is>
          <t>3</t>
        </is>
      </c>
      <c r="B20265" s="3" t="inlineStr">
        <is>
          <t>Mandor</t>
        </is>
      </c>
      <c r="C20265" s="3" t="inlineStr">
        <is>
          <t>OH</t>
        </is>
      </c>
      <c r="D20265" s="15" t="n">
        <v>0.332</v>
      </c>
      <c r="E20265" s="4" t="n">
        <v>200000</v>
      </c>
      <c r="F20265" s="4" t="n">
        <v>66400</v>
      </c>
    </row>
    <row r="20266">
      <c r="A20266" s="3" t="inlineStr">
        <is>
          <t>T2/mekanik / cilinder saw"</t>
        </is>
      </c>
      <c r="B20266" s="3" t="inlineStr"/>
      <c r="C20266" s="3" t="inlineStr">
        <is>
          <t>hari</t>
        </is>
      </c>
      <c r="D20266" s="15" t="n">
        <v>0.201</v>
      </c>
      <c r="E20266" s="4" t="n">
        <v>75000</v>
      </c>
      <c r="F20266" s="4" t="n">
        <v>15075</v>
      </c>
    </row>
    <row r="20267">
      <c r="D20267" s="2" t="inlineStr">
        <is>
          <t>SUBTOTAL UPAH</t>
        </is>
      </c>
      <c r="F20267" s="16" t="n">
        <v>494580</v>
      </c>
    </row>
    <row r="20268">
      <c r="D20268" s="2" t="inlineStr">
        <is>
          <t>SUBTOTAL BAHAN</t>
        </is>
      </c>
      <c r="F20268" s="16" t="n">
        <v>0</v>
      </c>
    </row>
    <row r="20269">
      <c r="D20269" s="2" t="inlineStr">
        <is>
          <t>SUBTOTAL ALAT</t>
        </is>
      </c>
      <c r="F20269" s="16" t="n">
        <v>15075</v>
      </c>
    </row>
    <row r="20270">
      <c r="E20270" s="2" t="inlineStr">
        <is>
          <t>TOTAL HARGA SATUAN (Inc. Overhead)</t>
        </is>
      </c>
      <c r="F20270" s="17" t="n">
        <v>560620</v>
      </c>
    </row>
    <row r="20272">
      <c r="A20272" s="14" t="inlineStr">
        <is>
          <t>KODE: 9.5.2.15 - Pemotongan 1 Buah Pipa Baja Karbon, DN. 44" (1100 mm)</t>
        </is>
      </c>
    </row>
    <row r="20273">
      <c r="A20273" s="10" t="inlineStr">
        <is>
          <t>No</t>
        </is>
      </c>
      <c r="B20273" s="10" t="inlineStr">
        <is>
          <t>Uraian Komponen</t>
        </is>
      </c>
      <c r="C20273" s="10" t="inlineStr">
        <is>
          <t>Satuan</t>
        </is>
      </c>
      <c r="D20273" s="10" t="inlineStr">
        <is>
          <t>Koef</t>
        </is>
      </c>
      <c r="E20273" s="10" t="inlineStr">
        <is>
          <t>Harga Satuan (Rp)</t>
        </is>
      </c>
      <c r="F20273" s="10" t="inlineStr">
        <is>
          <t>Jumlah Harga (Rp)</t>
        </is>
      </c>
    </row>
    <row r="20274">
      <c r="A20274" s="3" t="inlineStr">
        <is>
          <t>1</t>
        </is>
      </c>
      <c r="B20274" s="3" t="inlineStr">
        <is>
          <t>Pekerja</t>
        </is>
      </c>
      <c r="C20274" s="3" t="inlineStr">
        <is>
          <t>OH</t>
        </is>
      </c>
      <c r="D20274" s="15" t="n">
        <v>3.667</v>
      </c>
      <c r="E20274" s="4" t="n">
        <v>100000</v>
      </c>
      <c r="F20274" s="4" t="n">
        <v>366700</v>
      </c>
    </row>
    <row r="20275">
      <c r="A20275" s="3" t="inlineStr">
        <is>
          <t>2</t>
        </is>
      </c>
      <c r="B20275" s="3" t="inlineStr">
        <is>
          <t>Tukang pipa</t>
        </is>
      </c>
      <c r="C20275" s="3" t="inlineStr">
        <is>
          <t>OH</t>
        </is>
      </c>
      <c r="D20275" s="15" t="n">
        <v>0.733</v>
      </c>
      <c r="E20275" s="4" t="n">
        <v>145000</v>
      </c>
      <c r="F20275" s="4" t="n">
        <v>106285</v>
      </c>
    </row>
    <row r="20276">
      <c r="A20276" s="3" t="inlineStr">
        <is>
          <t>3</t>
        </is>
      </c>
      <c r="B20276" s="3" t="inlineStr">
        <is>
          <t>Mandor</t>
        </is>
      </c>
      <c r="C20276" s="3" t="inlineStr">
        <is>
          <t>OH</t>
        </is>
      </c>
      <c r="D20276" s="15" t="n">
        <v>0.367</v>
      </c>
      <c r="E20276" s="4" t="n">
        <v>200000</v>
      </c>
      <c r="F20276" s="4" t="n">
        <v>73400</v>
      </c>
    </row>
    <row r="20277">
      <c r="A20277" s="3" t="inlineStr">
        <is>
          <t>T2/mekanik / cilinder saw"</t>
        </is>
      </c>
      <c r="B20277" s="3" t="inlineStr"/>
      <c r="C20277" s="3" t="inlineStr">
        <is>
          <t>hari</t>
        </is>
      </c>
      <c r="D20277" s="15" t="n">
        <v>0.218</v>
      </c>
      <c r="E20277" s="4" t="n">
        <v>75000</v>
      </c>
      <c r="F20277" s="4" t="n">
        <v>16350</v>
      </c>
    </row>
    <row r="20278">
      <c r="D20278" s="2" t="inlineStr">
        <is>
          <t>SUBTOTAL UPAH</t>
        </is>
      </c>
      <c r="F20278" s="16" t="n">
        <v>546385</v>
      </c>
    </row>
    <row r="20279">
      <c r="D20279" s="2" t="inlineStr">
        <is>
          <t>SUBTOTAL BAHAN</t>
        </is>
      </c>
      <c r="F20279" s="16" t="n">
        <v>0</v>
      </c>
    </row>
    <row r="20280">
      <c r="D20280" s="2" t="inlineStr">
        <is>
          <t>SUBTOTAL ALAT</t>
        </is>
      </c>
      <c r="F20280" s="16" t="n">
        <v>16350</v>
      </c>
    </row>
    <row r="20281">
      <c r="E20281" s="2" t="inlineStr">
        <is>
          <t>TOTAL HARGA SATUAN (Inc. Overhead)</t>
        </is>
      </c>
      <c r="F20281" s="17" t="n">
        <v>619008</v>
      </c>
    </row>
    <row r="20283">
      <c r="A20283" s="14" t="inlineStr">
        <is>
          <t>KODE: 9.5.2.16 - Pemotongan 1 Buah Pipa Baja Karbon, DN. 48" (1200 mm)</t>
        </is>
      </c>
    </row>
    <row r="20284">
      <c r="A20284" s="10" t="inlineStr">
        <is>
          <t>No</t>
        </is>
      </c>
      <c r="B20284" s="10" t="inlineStr">
        <is>
          <t>Uraian Komponen</t>
        </is>
      </c>
      <c r="C20284" s="10" t="inlineStr">
        <is>
          <t>Satuan</t>
        </is>
      </c>
      <c r="D20284" s="10" t="inlineStr">
        <is>
          <t>Koef</t>
        </is>
      </c>
      <c r="E20284" s="10" t="inlineStr">
        <is>
          <t>Harga Satuan (Rp)</t>
        </is>
      </c>
      <c r="F20284" s="10" t="inlineStr">
        <is>
          <t>Jumlah Harga (Rp)</t>
        </is>
      </c>
    </row>
    <row r="20285">
      <c r="A20285" s="3" t="inlineStr">
        <is>
          <t>1</t>
        </is>
      </c>
      <c r="B20285" s="3" t="inlineStr">
        <is>
          <t>Pekerja</t>
        </is>
      </c>
      <c r="C20285" s="3" t="inlineStr">
        <is>
          <t>OH</t>
        </is>
      </c>
      <c r="D20285" s="15" t="n">
        <v>4.015</v>
      </c>
      <c r="E20285" s="4" t="n">
        <v>100000</v>
      </c>
      <c r="F20285" s="4" t="n">
        <v>401499.9999999999</v>
      </c>
    </row>
    <row r="20286">
      <c r="A20286" s="3" t="inlineStr">
        <is>
          <t>2</t>
        </is>
      </c>
      <c r="B20286" s="3" t="inlineStr">
        <is>
          <t>Tukang pipa</t>
        </is>
      </c>
      <c r="C20286" s="3" t="inlineStr">
        <is>
          <t>OH</t>
        </is>
      </c>
      <c r="D20286" s="15" t="n">
        <v>0.803</v>
      </c>
      <c r="E20286" s="4" t="n">
        <v>145000</v>
      </c>
      <c r="F20286" s="4" t="n">
        <v>116435</v>
      </c>
    </row>
    <row r="20287">
      <c r="A20287" s="3" t="inlineStr">
        <is>
          <t>3</t>
        </is>
      </c>
      <c r="B20287" s="3" t="inlineStr">
        <is>
          <t>Mandor</t>
        </is>
      </c>
      <c r="C20287" s="3" t="inlineStr">
        <is>
          <t>OH</t>
        </is>
      </c>
      <c r="D20287" s="15" t="n">
        <v>0.402</v>
      </c>
      <c r="E20287" s="4" t="n">
        <v>200000</v>
      </c>
      <c r="F20287" s="4" t="n">
        <v>80400</v>
      </c>
    </row>
    <row r="20288">
      <c r="A20288" s="3" t="inlineStr">
        <is>
          <t>T2/mekanik / cilinder saw"</t>
        </is>
      </c>
      <c r="B20288" s="3" t="inlineStr"/>
      <c r="C20288" s="3" t="inlineStr">
        <is>
          <t>hari</t>
        </is>
      </c>
      <c r="D20288" s="15" t="n">
        <v>0.236</v>
      </c>
      <c r="E20288" s="4" t="n">
        <v>75000</v>
      </c>
      <c r="F20288" s="4" t="n">
        <v>17700</v>
      </c>
    </row>
    <row r="20289">
      <c r="D20289" s="2" t="inlineStr">
        <is>
          <t>SUBTOTAL UPAH</t>
        </is>
      </c>
      <c r="F20289" s="16" t="n">
        <v>598335</v>
      </c>
    </row>
    <row r="20290">
      <c r="D20290" s="2" t="inlineStr">
        <is>
          <t>SUBTOTAL BAHAN</t>
        </is>
      </c>
      <c r="F20290" s="16" t="n">
        <v>0</v>
      </c>
    </row>
    <row r="20291">
      <c r="D20291" s="2" t="inlineStr">
        <is>
          <t>SUBTOTAL ALAT</t>
        </is>
      </c>
      <c r="F20291" s="16" t="n">
        <v>17700</v>
      </c>
    </row>
    <row r="20292">
      <c r="E20292" s="2" t="inlineStr">
        <is>
          <t>TOTAL HARGA SATUAN (Inc. Overhead)</t>
        </is>
      </c>
      <c r="F20292" s="17" t="n">
        <v>677638</v>
      </c>
    </row>
    <row r="20294">
      <c r="A20294" s="14" t="inlineStr">
        <is>
          <t>KODE: 9.6.1.1 - Pemasangan 1 m Pipa Beton, DN. 8" (200 mm)</t>
        </is>
      </c>
    </row>
    <row r="20295">
      <c r="A20295" s="10" t="inlineStr">
        <is>
          <t>No</t>
        </is>
      </c>
      <c r="B20295" s="10" t="inlineStr">
        <is>
          <t>Uraian Komponen</t>
        </is>
      </c>
      <c r="C20295" s="10" t="inlineStr">
        <is>
          <t>Satuan</t>
        </is>
      </c>
      <c r="D20295" s="10" t="inlineStr">
        <is>
          <t>Koef</t>
        </is>
      </c>
      <c r="E20295" s="10" t="inlineStr">
        <is>
          <t>Harga Satuan (Rp)</t>
        </is>
      </c>
      <c r="F20295" s="10" t="inlineStr">
        <is>
          <t>Jumlah Harga (Rp)</t>
        </is>
      </c>
    </row>
    <row r="20296">
      <c r="A20296" s="3" t="inlineStr">
        <is>
          <t>1</t>
        </is>
      </c>
      <c r="B20296" s="3" t="inlineStr">
        <is>
          <t>Pekerja</t>
        </is>
      </c>
      <c r="C20296" s="3" t="inlineStr">
        <is>
          <t>OH</t>
        </is>
      </c>
      <c r="D20296" s="15" t="n">
        <v>0.079</v>
      </c>
      <c r="E20296" s="4" t="n">
        <v>100000</v>
      </c>
      <c r="F20296" s="4" t="n">
        <v>7900</v>
      </c>
    </row>
    <row r="20297">
      <c r="A20297" s="3" t="inlineStr">
        <is>
          <t>2</t>
        </is>
      </c>
      <c r="B20297" s="3" t="inlineStr">
        <is>
          <t>Tukang batu</t>
        </is>
      </c>
      <c r="C20297" s="3" t="inlineStr">
        <is>
          <t>OH</t>
        </is>
      </c>
      <c r="D20297" s="15" t="n">
        <v>0.039</v>
      </c>
      <c r="E20297" s="4" t="n">
        <v>145000</v>
      </c>
      <c r="F20297" s="4" t="n">
        <v>5655</v>
      </c>
    </row>
    <row r="20298">
      <c r="A20298" s="3" t="inlineStr">
        <is>
          <t>3</t>
        </is>
      </c>
      <c r="B20298" s="3" t="inlineStr">
        <is>
          <t>Kepala tukang</t>
        </is>
      </c>
      <c r="C20298" s="3" t="inlineStr">
        <is>
          <t>OH</t>
        </is>
      </c>
      <c r="D20298" s="15" t="n">
        <v>0.004</v>
      </c>
      <c r="E20298" s="4" t="n">
        <v>175000</v>
      </c>
      <c r="F20298" s="4" t="n">
        <v>700</v>
      </c>
    </row>
    <row r="20299">
      <c r="A20299" s="3" t="inlineStr">
        <is>
          <t>4</t>
        </is>
      </c>
      <c r="B20299" s="3" t="inlineStr">
        <is>
          <t>Mandor</t>
        </is>
      </c>
      <c r="C20299" s="3" t="inlineStr">
        <is>
          <t>OH</t>
        </is>
      </c>
      <c r="D20299" s="15" t="n">
        <v>0.004</v>
      </c>
      <c r="E20299" s="4" t="n">
        <v>200000</v>
      </c>
      <c r="F20299" s="4" t="n">
        <v>800</v>
      </c>
    </row>
    <row r="20300">
      <c r="A20300" s="3" t="inlineStr">
        <is>
          <t>1</t>
        </is>
      </c>
      <c r="B20300" s="3" t="inlineStr">
        <is>
          <t>"Pipa Beton DN. 8"" (200 mm)"</t>
        </is>
      </c>
      <c r="C20300" s="3" t="inlineStr">
        <is>
          <t>m'</t>
        </is>
      </c>
      <c r="D20300" s="15" t="n">
        <v>1</v>
      </c>
      <c r="E20300" s="4" t="n">
        <v>236000</v>
      </c>
      <c r="F20300" s="4" t="n">
        <v>236000</v>
      </c>
    </row>
    <row r="20301">
      <c r="A20301" s="3" t="inlineStr">
        <is>
          <t>2</t>
        </is>
      </c>
      <c r="B20301" s="3" t="inlineStr">
        <is>
          <t>Semen Portland (PC)</t>
        </is>
      </c>
      <c r="C20301" s="3" t="inlineStr">
        <is>
          <t>kg</t>
        </is>
      </c>
      <c r="D20301" s="15" t="n">
        <v>2.7</v>
      </c>
      <c r="E20301" s="4" t="n">
        <v>1300</v>
      </c>
      <c r="F20301" s="4" t="n">
        <v>3510</v>
      </c>
    </row>
    <row r="20302">
      <c r="A20302" s="3" t="inlineStr">
        <is>
          <t>3</t>
        </is>
      </c>
      <c r="B20302" s="3" t="inlineStr">
        <is>
          <t>Pasir pasang (quarry - lokasi pekerjaan)</t>
        </is>
      </c>
      <c r="C20302" s="3" t="inlineStr">
        <is>
          <t>m3</t>
        </is>
      </c>
      <c r="D20302" s="15" t="n">
        <v>0.016</v>
      </c>
      <c r="E20302" s="4" t="n">
        <v>275000</v>
      </c>
      <c r="F20302" s="4" t="n">
        <v>4400</v>
      </c>
    </row>
    <row r="20303">
      <c r="A20303" s="3" t="inlineStr">
        <is>
          <t>4</t>
        </is>
      </c>
      <c r="B20303" s="3" t="inlineStr">
        <is>
          <t>Pasir urug (quarry - lokasi pekerjaan)</t>
        </is>
      </c>
      <c r="C20303" s="3" t="inlineStr">
        <is>
          <t>m3</t>
        </is>
      </c>
      <c r="D20303" s="15" t="n">
        <v>0.018</v>
      </c>
      <c r="E20303" s="4" t="n">
        <v>254700</v>
      </c>
      <c r="F20303" s="4" t="n">
        <v>4584.599999999999</v>
      </c>
    </row>
    <row r="20304">
      <c r="D20304" s="2" t="inlineStr">
        <is>
          <t>SUBTOTAL UPAH</t>
        </is>
      </c>
      <c r="F20304" s="16" t="n">
        <v>15055</v>
      </c>
    </row>
    <row r="20305">
      <c r="D20305" s="2" t="inlineStr">
        <is>
          <t>SUBTOTAL BAHAN</t>
        </is>
      </c>
      <c r="F20305" s="16" t="n">
        <v>248494.6</v>
      </c>
    </row>
    <row r="20306">
      <c r="D20306" s="2" t="inlineStr">
        <is>
          <t>SUBTOTAL ALAT</t>
        </is>
      </c>
      <c r="F20306" s="16" t="n">
        <v>0</v>
      </c>
    </row>
    <row r="20307">
      <c r="E20307" s="2" t="inlineStr">
        <is>
          <t>TOTAL HARGA SATUAN (Inc. Overhead)</t>
        </is>
      </c>
      <c r="F20307" s="17" t="n">
        <v>289904</v>
      </c>
    </row>
    <row r="20309">
      <c r="A20309" s="14" t="inlineStr">
        <is>
          <t>KODE: 9.6.1.2 - Pemasangan 1 m Pipa Beton, DN. 12" (300 mm)</t>
        </is>
      </c>
    </row>
    <row r="20310">
      <c r="A20310" s="10" t="inlineStr">
        <is>
          <t>No</t>
        </is>
      </c>
      <c r="B20310" s="10" t="inlineStr">
        <is>
          <t>Uraian Komponen</t>
        </is>
      </c>
      <c r="C20310" s="10" t="inlineStr">
        <is>
          <t>Satuan</t>
        </is>
      </c>
      <c r="D20310" s="10" t="inlineStr">
        <is>
          <t>Koef</t>
        </is>
      </c>
      <c r="E20310" s="10" t="inlineStr">
        <is>
          <t>Harga Satuan (Rp)</t>
        </is>
      </c>
      <c r="F20310" s="10" t="inlineStr">
        <is>
          <t>Jumlah Harga (Rp)</t>
        </is>
      </c>
    </row>
    <row r="20311">
      <c r="A20311" s="3" t="inlineStr">
        <is>
          <t>1</t>
        </is>
      </c>
      <c r="B20311" s="3" t="inlineStr">
        <is>
          <t>Pekerja</t>
        </is>
      </c>
      <c r="C20311" s="3" t="inlineStr">
        <is>
          <t>OH</t>
        </is>
      </c>
      <c r="D20311" s="15" t="n">
        <v>0.079</v>
      </c>
      <c r="E20311" s="4" t="n">
        <v>100000</v>
      </c>
      <c r="F20311" s="4" t="n">
        <v>7900</v>
      </c>
    </row>
    <row r="20312">
      <c r="A20312" s="3" t="inlineStr">
        <is>
          <t>2</t>
        </is>
      </c>
      <c r="B20312" s="3" t="inlineStr">
        <is>
          <t>Tukang batu</t>
        </is>
      </c>
      <c r="C20312" s="3" t="inlineStr">
        <is>
          <t>OH</t>
        </is>
      </c>
      <c r="D20312" s="15" t="n">
        <v>0.039</v>
      </c>
      <c r="E20312" s="4" t="n">
        <v>145000</v>
      </c>
      <c r="F20312" s="4" t="n">
        <v>5655</v>
      </c>
    </row>
    <row r="20313">
      <c r="A20313" s="3" t="inlineStr">
        <is>
          <t>3</t>
        </is>
      </c>
      <c r="B20313" s="3" t="inlineStr">
        <is>
          <t>Kepala tukang</t>
        </is>
      </c>
      <c r="C20313" s="3" t="inlineStr">
        <is>
          <t>OH</t>
        </is>
      </c>
      <c r="D20313" s="15" t="n">
        <v>0.004</v>
      </c>
      <c r="E20313" s="4" t="n">
        <v>175000</v>
      </c>
      <c r="F20313" s="4" t="n">
        <v>700</v>
      </c>
    </row>
    <row r="20314">
      <c r="A20314" s="3" t="inlineStr">
        <is>
          <t>4</t>
        </is>
      </c>
      <c r="B20314" s="3" t="inlineStr">
        <is>
          <t>Mandor</t>
        </is>
      </c>
      <c r="C20314" s="3" t="inlineStr">
        <is>
          <t>OH</t>
        </is>
      </c>
      <c r="D20314" s="15" t="n">
        <v>0.004</v>
      </c>
      <c r="E20314" s="4" t="n">
        <v>200000</v>
      </c>
      <c r="F20314" s="4" t="n">
        <v>800</v>
      </c>
    </row>
    <row r="20315">
      <c r="A20315" s="3" t="inlineStr">
        <is>
          <t>1</t>
        </is>
      </c>
      <c r="B20315" s="3" t="inlineStr">
        <is>
          <t>"Pipa Beton DN. 12"" (300 mm)"</t>
        </is>
      </c>
      <c r="C20315" s="3" t="inlineStr">
        <is>
          <t>m'</t>
        </is>
      </c>
      <c r="D20315" s="15" t="n">
        <v>1</v>
      </c>
      <c r="E20315" s="4" t="n">
        <v>265000</v>
      </c>
      <c r="F20315" s="4" t="n">
        <v>265000</v>
      </c>
    </row>
    <row r="20316">
      <c r="A20316" s="3" t="inlineStr">
        <is>
          <t>2</t>
        </is>
      </c>
      <c r="B20316" s="3" t="inlineStr">
        <is>
          <t>Semen Portland (PC)</t>
        </is>
      </c>
      <c r="C20316" s="3" t="inlineStr">
        <is>
          <t>kg</t>
        </is>
      </c>
      <c r="D20316" s="15" t="n">
        <v>3.38</v>
      </c>
      <c r="E20316" s="4" t="n">
        <v>1300</v>
      </c>
      <c r="F20316" s="4" t="n">
        <v>4394</v>
      </c>
    </row>
    <row r="20317">
      <c r="A20317" s="3" t="inlineStr">
        <is>
          <t>3</t>
        </is>
      </c>
      <c r="B20317" s="3" t="inlineStr">
        <is>
          <t>Pasir pasang (quarry - lokasi pekerjaan)</t>
        </is>
      </c>
      <c r="C20317" s="3" t="inlineStr">
        <is>
          <t>m3</t>
        </is>
      </c>
      <c r="D20317" s="15" t="n">
        <v>0.02</v>
      </c>
      <c r="E20317" s="4" t="n">
        <v>275000</v>
      </c>
      <c r="F20317" s="4" t="n">
        <v>5500</v>
      </c>
    </row>
    <row r="20318">
      <c r="A20318" s="3" t="inlineStr">
        <is>
          <t>4</t>
        </is>
      </c>
      <c r="B20318" s="3" t="inlineStr">
        <is>
          <t>Pasir urug (quarry - lokasi pekerjaan)</t>
        </is>
      </c>
      <c r="C20318" s="3" t="inlineStr">
        <is>
          <t>m3</t>
        </is>
      </c>
      <c r="D20318" s="15" t="n">
        <v>0.023</v>
      </c>
      <c r="E20318" s="4" t="n">
        <v>254700</v>
      </c>
      <c r="F20318" s="4" t="n">
        <v>5858.099999999999</v>
      </c>
    </row>
    <row r="20319">
      <c r="D20319" s="2" t="inlineStr">
        <is>
          <t>SUBTOTAL UPAH</t>
        </is>
      </c>
      <c r="F20319" s="16" t="n">
        <v>15055</v>
      </c>
    </row>
    <row r="20320">
      <c r="D20320" s="2" t="inlineStr">
        <is>
          <t>SUBTOTAL BAHAN</t>
        </is>
      </c>
      <c r="F20320" s="16" t="n">
        <v>280752.1</v>
      </c>
    </row>
    <row r="20321">
      <c r="D20321" s="2" t="inlineStr">
        <is>
          <t>SUBTOTAL ALAT</t>
        </is>
      </c>
      <c r="F20321" s="16" t="n">
        <v>0</v>
      </c>
    </row>
    <row r="20322">
      <c r="E20322" s="2" t="inlineStr">
        <is>
          <t>TOTAL HARGA SATUAN (Inc. Overhead)</t>
        </is>
      </c>
      <c r="F20322" s="17" t="n">
        <v>325387</v>
      </c>
    </row>
    <row r="20324">
      <c r="A20324" s="14" t="inlineStr">
        <is>
          <t>KODE: 9.6.1.3 - Pemasangan 1 m Pipa Beton, DN. 16" (400 mm)</t>
        </is>
      </c>
    </row>
    <row r="20325">
      <c r="A20325" s="10" t="inlineStr">
        <is>
          <t>No</t>
        </is>
      </c>
      <c r="B20325" s="10" t="inlineStr">
        <is>
          <t>Uraian Komponen</t>
        </is>
      </c>
      <c r="C20325" s="10" t="inlineStr">
        <is>
          <t>Satuan</t>
        </is>
      </c>
      <c r="D20325" s="10" t="inlineStr">
        <is>
          <t>Koef</t>
        </is>
      </c>
      <c r="E20325" s="10" t="inlineStr">
        <is>
          <t>Harga Satuan (Rp)</t>
        </is>
      </c>
      <c r="F20325" s="10" t="inlineStr">
        <is>
          <t>Jumlah Harga (Rp)</t>
        </is>
      </c>
    </row>
    <row r="20326">
      <c r="A20326" s="3" t="inlineStr">
        <is>
          <t>1</t>
        </is>
      </c>
      <c r="B20326" s="3" t="inlineStr">
        <is>
          <t>Pekerja</t>
        </is>
      </c>
      <c r="C20326" s="3" t="inlineStr">
        <is>
          <t>OH</t>
        </is>
      </c>
      <c r="D20326" s="15" t="n">
        <v>0.11</v>
      </c>
      <c r="E20326" s="4" t="n">
        <v>100000</v>
      </c>
      <c r="F20326" s="4" t="n">
        <v>11000</v>
      </c>
    </row>
    <row r="20327">
      <c r="A20327" s="3" t="inlineStr">
        <is>
          <t>2</t>
        </is>
      </c>
      <c r="B20327" s="3" t="inlineStr">
        <is>
          <t>Tukang batu</t>
        </is>
      </c>
      <c r="C20327" s="3" t="inlineStr">
        <is>
          <t>OH</t>
        </is>
      </c>
      <c r="D20327" s="15" t="n">
        <v>0.055</v>
      </c>
      <c r="E20327" s="4" t="n">
        <v>145000</v>
      </c>
      <c r="F20327" s="4" t="n">
        <v>7975</v>
      </c>
    </row>
    <row r="20328">
      <c r="A20328" s="3" t="inlineStr">
        <is>
          <t>3</t>
        </is>
      </c>
      <c r="B20328" s="3" t="inlineStr">
        <is>
          <t>Kepala tukang</t>
        </is>
      </c>
      <c r="C20328" s="3" t="inlineStr">
        <is>
          <t>OH</t>
        </is>
      </c>
      <c r="D20328" s="15" t="n">
        <v>0.006</v>
      </c>
      <c r="E20328" s="4" t="n">
        <v>175000</v>
      </c>
      <c r="F20328" s="4" t="n">
        <v>1050</v>
      </c>
    </row>
    <row r="20329">
      <c r="A20329" s="3" t="inlineStr">
        <is>
          <t>4</t>
        </is>
      </c>
      <c r="B20329" s="3" t="inlineStr">
        <is>
          <t>Mandor</t>
        </is>
      </c>
      <c r="C20329" s="3" t="inlineStr">
        <is>
          <t>OH</t>
        </is>
      </c>
      <c r="D20329" s="15" t="n">
        <v>0.006</v>
      </c>
      <c r="E20329" s="4" t="n">
        <v>200000</v>
      </c>
      <c r="F20329" s="4" t="n">
        <v>1200</v>
      </c>
    </row>
    <row r="20330">
      <c r="A20330" s="3" t="inlineStr">
        <is>
          <t>1</t>
        </is>
      </c>
      <c r="B20330" s="3" t="inlineStr">
        <is>
          <t>"Pipa Beton DN. 16"" (400 mm)"</t>
        </is>
      </c>
      <c r="C20330" s="3" t="inlineStr">
        <is>
          <t>m'</t>
        </is>
      </c>
      <c r="D20330" s="15" t="n">
        <v>1</v>
      </c>
      <c r="E20330" s="4" t="n">
        <v>286000</v>
      </c>
      <c r="F20330" s="4" t="n">
        <v>286000</v>
      </c>
    </row>
    <row r="20331">
      <c r="A20331" s="3" t="inlineStr">
        <is>
          <t>2</t>
        </is>
      </c>
      <c r="B20331" s="3" t="inlineStr">
        <is>
          <t>Semen Portland (PC)</t>
        </is>
      </c>
      <c r="C20331" s="3" t="inlineStr">
        <is>
          <t>kg</t>
        </is>
      </c>
      <c r="D20331" s="15" t="n">
        <v>4.22</v>
      </c>
      <c r="E20331" s="4" t="n">
        <v>1300</v>
      </c>
      <c r="F20331" s="4" t="n">
        <v>5486</v>
      </c>
    </row>
    <row r="20332">
      <c r="A20332" s="3" t="inlineStr">
        <is>
          <t>3</t>
        </is>
      </c>
      <c r="B20332" s="3" t="inlineStr">
        <is>
          <t>Pasir pasang (quarry - lokasi pekerjaan)</t>
        </is>
      </c>
      <c r="C20332" s="3" t="inlineStr">
        <is>
          <t>m3</t>
        </is>
      </c>
      <c r="D20332" s="15" t="n">
        <v>0.025</v>
      </c>
      <c r="E20332" s="4" t="n">
        <v>275000</v>
      </c>
      <c r="F20332" s="4" t="n">
        <v>6875</v>
      </c>
    </row>
    <row r="20333">
      <c r="A20333" s="3" t="inlineStr">
        <is>
          <t>4</t>
        </is>
      </c>
      <c r="B20333" s="3" t="inlineStr">
        <is>
          <t>Pasir urug (quarry - lokasi pekerjaan)</t>
        </is>
      </c>
      <c r="C20333" s="3" t="inlineStr">
        <is>
          <t>m3</t>
        </is>
      </c>
      <c r="D20333" s="15" t="n">
        <v>0.028</v>
      </c>
      <c r="E20333" s="4" t="n">
        <v>254700</v>
      </c>
      <c r="F20333" s="4" t="n">
        <v>7131.6</v>
      </c>
    </row>
    <row r="20334">
      <c r="D20334" s="2" t="inlineStr">
        <is>
          <t>SUBTOTAL UPAH</t>
        </is>
      </c>
      <c r="F20334" s="16" t="n">
        <v>21225</v>
      </c>
    </row>
    <row r="20335">
      <c r="D20335" s="2" t="inlineStr">
        <is>
          <t>SUBTOTAL BAHAN</t>
        </is>
      </c>
      <c r="F20335" s="16" t="n">
        <v>305492.6</v>
      </c>
    </row>
    <row r="20336">
      <c r="D20336" s="2" t="inlineStr">
        <is>
          <t>SUBTOTAL ALAT</t>
        </is>
      </c>
      <c r="F20336" s="16" t="n">
        <v>0</v>
      </c>
    </row>
    <row r="20337">
      <c r="E20337" s="2" t="inlineStr">
        <is>
          <t>TOTAL HARGA SATUAN (Inc. Overhead)</t>
        </is>
      </c>
      <c r="F20337" s="17" t="n">
        <v>359389</v>
      </c>
    </row>
    <row r="20339">
      <c r="A20339" s="14" t="inlineStr">
        <is>
          <t>KODE: 9.6.1.4 - Pemasangan 1 m Pipa Beton, DN. 20" (500 mm)</t>
        </is>
      </c>
    </row>
    <row r="20340">
      <c r="A20340" s="10" t="inlineStr">
        <is>
          <t>No</t>
        </is>
      </c>
      <c r="B20340" s="10" t="inlineStr">
        <is>
          <t>Uraian Komponen</t>
        </is>
      </c>
      <c r="C20340" s="10" t="inlineStr">
        <is>
          <t>Satuan</t>
        </is>
      </c>
      <c r="D20340" s="10" t="inlineStr">
        <is>
          <t>Koef</t>
        </is>
      </c>
      <c r="E20340" s="10" t="inlineStr">
        <is>
          <t>Harga Satuan (Rp)</t>
        </is>
      </c>
      <c r="F20340" s="10" t="inlineStr">
        <is>
          <t>Jumlah Harga (Rp)</t>
        </is>
      </c>
    </row>
    <row r="20341">
      <c r="A20341" s="3" t="inlineStr">
        <is>
          <t>1</t>
        </is>
      </c>
      <c r="B20341" s="3" t="inlineStr">
        <is>
          <t>Pekerja</t>
        </is>
      </c>
      <c r="C20341" s="3" t="inlineStr">
        <is>
          <t>OH</t>
        </is>
      </c>
      <c r="D20341" s="15" t="n">
        <v>0.11</v>
      </c>
      <c r="E20341" s="4" t="n">
        <v>100000</v>
      </c>
      <c r="F20341" s="4" t="n">
        <v>11000</v>
      </c>
    </row>
    <row r="20342">
      <c r="A20342" s="3" t="inlineStr">
        <is>
          <t>2</t>
        </is>
      </c>
      <c r="B20342" s="3" t="inlineStr">
        <is>
          <t>Tukang batu</t>
        </is>
      </c>
      <c r="C20342" s="3" t="inlineStr">
        <is>
          <t>OH</t>
        </is>
      </c>
      <c r="D20342" s="15" t="n">
        <v>0.055</v>
      </c>
      <c r="E20342" s="4" t="n">
        <v>145000</v>
      </c>
      <c r="F20342" s="4" t="n">
        <v>7975</v>
      </c>
    </row>
    <row r="20343">
      <c r="A20343" s="3" t="inlineStr">
        <is>
          <t>3</t>
        </is>
      </c>
      <c r="B20343" s="3" t="inlineStr">
        <is>
          <t>Kepala tukang</t>
        </is>
      </c>
      <c r="C20343" s="3" t="inlineStr">
        <is>
          <t>OH</t>
        </is>
      </c>
      <c r="D20343" s="15" t="n">
        <v>0.006</v>
      </c>
      <c r="E20343" s="4" t="n">
        <v>175000</v>
      </c>
      <c r="F20343" s="4" t="n">
        <v>1050</v>
      </c>
    </row>
    <row r="20344">
      <c r="A20344" s="3" t="inlineStr">
        <is>
          <t>4</t>
        </is>
      </c>
      <c r="B20344" s="3" t="inlineStr">
        <is>
          <t>Mandor</t>
        </is>
      </c>
      <c r="C20344" s="3" t="inlineStr">
        <is>
          <t>OH</t>
        </is>
      </c>
      <c r="D20344" s="15" t="n">
        <v>0.006</v>
      </c>
      <c r="E20344" s="4" t="n">
        <v>200000</v>
      </c>
      <c r="F20344" s="4" t="n">
        <v>1200</v>
      </c>
    </row>
    <row r="20345">
      <c r="A20345" s="3" t="inlineStr">
        <is>
          <t>1</t>
        </is>
      </c>
      <c r="B20345" s="3" t="inlineStr">
        <is>
          <t>"Pipa Beton DN. 20"" (500 mm)"</t>
        </is>
      </c>
      <c r="C20345" s="3" t="inlineStr">
        <is>
          <t>m'</t>
        </is>
      </c>
      <c r="D20345" s="15" t="n">
        <v>1</v>
      </c>
      <c r="E20345" s="4" t="n">
        <v>300000</v>
      </c>
      <c r="F20345" s="4" t="n">
        <v>300000</v>
      </c>
    </row>
    <row r="20346">
      <c r="A20346" s="3" t="inlineStr">
        <is>
          <t>2</t>
        </is>
      </c>
      <c r="B20346" s="3" t="inlineStr">
        <is>
          <t>Semen Portland (PC)</t>
        </is>
      </c>
      <c r="C20346" s="3" t="inlineStr">
        <is>
          <t>kg</t>
        </is>
      </c>
      <c r="D20346" s="15" t="n">
        <v>5.27</v>
      </c>
      <c r="E20346" s="4" t="n">
        <v>1300</v>
      </c>
      <c r="F20346" s="4" t="n">
        <v>6850.999999999999</v>
      </c>
    </row>
    <row r="20347">
      <c r="A20347" s="3" t="inlineStr">
        <is>
          <t>3</t>
        </is>
      </c>
      <c r="B20347" s="3" t="inlineStr">
        <is>
          <t>Pasir pasang (quarry - lokasi pekerjaan)</t>
        </is>
      </c>
      <c r="C20347" s="3" t="inlineStr">
        <is>
          <t>m3</t>
        </is>
      </c>
      <c r="D20347" s="15" t="n">
        <v>0.031</v>
      </c>
      <c r="E20347" s="4" t="n">
        <v>275000</v>
      </c>
      <c r="F20347" s="4" t="n">
        <v>8525</v>
      </c>
    </row>
    <row r="20348">
      <c r="A20348" s="3" t="inlineStr">
        <is>
          <t>4</t>
        </is>
      </c>
      <c r="B20348" s="3" t="inlineStr">
        <is>
          <t>Pasir urug (quarry - lokasi pekerjaan)</t>
        </is>
      </c>
      <c r="C20348" s="3" t="inlineStr">
        <is>
          <t>m3</t>
        </is>
      </c>
      <c r="D20348" s="15" t="n">
        <v>0.035</v>
      </c>
      <c r="E20348" s="4" t="n">
        <v>254700</v>
      </c>
      <c r="F20348" s="4" t="n">
        <v>8914.5</v>
      </c>
    </row>
    <row r="20349">
      <c r="D20349" s="2" t="inlineStr">
        <is>
          <t>SUBTOTAL UPAH</t>
        </is>
      </c>
      <c r="F20349" s="16" t="n">
        <v>21225</v>
      </c>
    </row>
    <row r="20350">
      <c r="D20350" s="2" t="inlineStr">
        <is>
          <t>SUBTOTAL BAHAN</t>
        </is>
      </c>
      <c r="F20350" s="16" t="n">
        <v>324290.5</v>
      </c>
    </row>
    <row r="20351">
      <c r="D20351" s="2" t="inlineStr">
        <is>
          <t>SUBTOTAL ALAT</t>
        </is>
      </c>
      <c r="F20351" s="16" t="n">
        <v>0</v>
      </c>
    </row>
    <row r="20352">
      <c r="E20352" s="2" t="inlineStr">
        <is>
          <t>TOTAL HARGA SATUAN (Inc. Overhead)</t>
        </is>
      </c>
      <c r="F20352" s="17" t="n">
        <v>380067</v>
      </c>
    </row>
    <row r="20354">
      <c r="A20354" s="14" t="inlineStr">
        <is>
          <t>KODE: 9.6.1.5 - Pemasangan 1 m Pipa Beton, DN. 24" (600 mm)</t>
        </is>
      </c>
    </row>
    <row r="20355">
      <c r="A20355" s="10" t="inlineStr">
        <is>
          <t>No</t>
        </is>
      </c>
      <c r="B20355" s="10" t="inlineStr">
        <is>
          <t>Uraian Komponen</t>
        </is>
      </c>
      <c r="C20355" s="10" t="inlineStr">
        <is>
          <t>Satuan</t>
        </is>
      </c>
      <c r="D20355" s="10" t="inlineStr">
        <is>
          <t>Koef</t>
        </is>
      </c>
      <c r="E20355" s="10" t="inlineStr">
        <is>
          <t>Harga Satuan (Rp)</t>
        </is>
      </c>
      <c r="F20355" s="10" t="inlineStr">
        <is>
          <t>Jumlah Harga (Rp)</t>
        </is>
      </c>
    </row>
    <row r="20356">
      <c r="A20356" s="3" t="inlineStr">
        <is>
          <t>1</t>
        </is>
      </c>
      <c r="B20356" s="3" t="inlineStr">
        <is>
          <t>Pekerja</t>
        </is>
      </c>
      <c r="C20356" s="3" t="inlineStr">
        <is>
          <t>OH</t>
        </is>
      </c>
      <c r="D20356" s="15" t="n">
        <v>0.189</v>
      </c>
      <c r="E20356" s="4" t="n">
        <v>100000</v>
      </c>
      <c r="F20356" s="4" t="n">
        <v>18900</v>
      </c>
    </row>
    <row r="20357">
      <c r="A20357" s="3" t="inlineStr">
        <is>
          <t>2</t>
        </is>
      </c>
      <c r="B20357" s="3" t="inlineStr">
        <is>
          <t>Tukang batu</t>
        </is>
      </c>
      <c r="C20357" s="3" t="inlineStr">
        <is>
          <t>OH</t>
        </is>
      </c>
      <c r="D20357" s="15" t="n">
        <v>0.094</v>
      </c>
      <c r="E20357" s="4" t="n">
        <v>145000</v>
      </c>
      <c r="F20357" s="4" t="n">
        <v>13630</v>
      </c>
    </row>
    <row r="20358">
      <c r="A20358" s="3" t="inlineStr">
        <is>
          <t>3</t>
        </is>
      </c>
      <c r="B20358" s="3" t="inlineStr">
        <is>
          <t>Kepala tukang</t>
        </is>
      </c>
      <c r="C20358" s="3" t="inlineStr">
        <is>
          <t>OH</t>
        </is>
      </c>
      <c r="D20358" s="15" t="n">
        <v>0.008999999999999999</v>
      </c>
      <c r="E20358" s="4" t="n">
        <v>175000</v>
      </c>
      <c r="F20358" s="4" t="n">
        <v>1575</v>
      </c>
    </row>
    <row r="20359">
      <c r="A20359" s="3" t="inlineStr">
        <is>
          <t>4</t>
        </is>
      </c>
      <c r="B20359" s="3" t="inlineStr">
        <is>
          <t>Mandor</t>
        </is>
      </c>
      <c r="C20359" s="3" t="inlineStr">
        <is>
          <t>OH</t>
        </is>
      </c>
      <c r="D20359" s="15" t="n">
        <v>0.008999999999999999</v>
      </c>
      <c r="E20359" s="4" t="n">
        <v>200000</v>
      </c>
      <c r="F20359" s="4" t="n">
        <v>1800</v>
      </c>
    </row>
    <row r="20360">
      <c r="A20360" s="3" t="inlineStr">
        <is>
          <t>1</t>
        </is>
      </c>
      <c r="B20360" s="3" t="inlineStr">
        <is>
          <t>"Pipa Beton DN. 24"" (600 mm)"</t>
        </is>
      </c>
      <c r="C20360" s="3" t="inlineStr">
        <is>
          <t>m'</t>
        </is>
      </c>
      <c r="D20360" s="15" t="n">
        <v>1</v>
      </c>
      <c r="E20360" s="4" t="n">
        <v>351000</v>
      </c>
      <c r="F20360" s="4" t="n">
        <v>351000</v>
      </c>
    </row>
    <row r="20361">
      <c r="A20361" s="3" t="inlineStr">
        <is>
          <t>2</t>
        </is>
      </c>
      <c r="B20361" s="3" t="inlineStr">
        <is>
          <t>Semen Portland (PC)</t>
        </is>
      </c>
      <c r="C20361" s="3" t="inlineStr">
        <is>
          <t>kg</t>
        </is>
      </c>
      <c r="D20361" s="15" t="n">
        <v>6.59</v>
      </c>
      <c r="E20361" s="4" t="n">
        <v>1300</v>
      </c>
      <c r="F20361" s="4" t="n">
        <v>8567</v>
      </c>
    </row>
    <row r="20362">
      <c r="A20362" s="3" t="inlineStr">
        <is>
          <t>3</t>
        </is>
      </c>
      <c r="B20362" s="3" t="inlineStr">
        <is>
          <t>Pasir pasang (quarry - lokasi pekerjaan)</t>
        </is>
      </c>
      <c r="C20362" s="3" t="inlineStr">
        <is>
          <t>m3</t>
        </is>
      </c>
      <c r="D20362" s="15" t="n">
        <v>0.039</v>
      </c>
      <c r="E20362" s="4" t="n">
        <v>275000</v>
      </c>
      <c r="F20362" s="4" t="n">
        <v>10725</v>
      </c>
    </row>
    <row r="20363">
      <c r="A20363" s="3" t="inlineStr">
        <is>
          <t>4</t>
        </is>
      </c>
      <c r="B20363" s="3" t="inlineStr">
        <is>
          <t>Pasir urug (quarry - lokasi pekerjaan)</t>
        </is>
      </c>
      <c r="C20363" s="3" t="inlineStr">
        <is>
          <t>m3</t>
        </is>
      </c>
      <c r="D20363" s="15" t="n">
        <v>0.044</v>
      </c>
      <c r="E20363" s="4" t="n">
        <v>254700</v>
      </c>
      <c r="F20363" s="4" t="n">
        <v>11206.8</v>
      </c>
    </row>
    <row r="20364">
      <c r="D20364" s="2" t="inlineStr">
        <is>
          <t>SUBTOTAL UPAH</t>
        </is>
      </c>
      <c r="F20364" s="16" t="n">
        <v>35905</v>
      </c>
    </row>
    <row r="20365">
      <c r="D20365" s="2" t="inlineStr">
        <is>
          <t>SUBTOTAL BAHAN</t>
        </is>
      </c>
      <c r="F20365" s="16" t="n">
        <v>381498.8</v>
      </c>
    </row>
    <row r="20366">
      <c r="D20366" s="2" t="inlineStr">
        <is>
          <t>SUBTOTAL ALAT</t>
        </is>
      </c>
      <c r="F20366" s="16" t="n">
        <v>0</v>
      </c>
    </row>
    <row r="20367">
      <c r="E20367" s="2" t="inlineStr">
        <is>
          <t>TOTAL HARGA SATUAN (Inc. Overhead)</t>
        </is>
      </c>
      <c r="F20367" s="17" t="n">
        <v>459144</v>
      </c>
    </row>
    <row r="20369">
      <c r="A20369" s="14" t="inlineStr">
        <is>
          <t>KODE: 9.6.1.6 - Pemasangan 1 m Pipa Beton, DN. 28" (700 mm)</t>
        </is>
      </c>
    </row>
    <row r="20370">
      <c r="A20370" s="10" t="inlineStr">
        <is>
          <t>No</t>
        </is>
      </c>
      <c r="B20370" s="10" t="inlineStr">
        <is>
          <t>Uraian Komponen</t>
        </is>
      </c>
      <c r="C20370" s="10" t="inlineStr">
        <is>
          <t>Satuan</t>
        </is>
      </c>
      <c r="D20370" s="10" t="inlineStr">
        <is>
          <t>Koef</t>
        </is>
      </c>
      <c r="E20370" s="10" t="inlineStr">
        <is>
          <t>Harga Satuan (Rp)</t>
        </is>
      </c>
      <c r="F20370" s="10" t="inlineStr">
        <is>
          <t>Jumlah Harga (Rp)</t>
        </is>
      </c>
    </row>
    <row r="20371">
      <c r="A20371" s="3" t="inlineStr">
        <is>
          <t>1</t>
        </is>
      </c>
      <c r="B20371" s="3" t="inlineStr">
        <is>
          <t>Pekerja</t>
        </is>
      </c>
      <c r="C20371" s="3" t="inlineStr">
        <is>
          <t>OH</t>
        </is>
      </c>
      <c r="D20371" s="15" t="n">
        <v>0.189</v>
      </c>
      <c r="E20371" s="4" t="n">
        <v>100000</v>
      </c>
      <c r="F20371" s="4" t="n">
        <v>18900</v>
      </c>
    </row>
    <row r="20372">
      <c r="A20372" s="3" t="inlineStr">
        <is>
          <t>2</t>
        </is>
      </c>
      <c r="B20372" s="3" t="inlineStr">
        <is>
          <t>Tukang batu</t>
        </is>
      </c>
      <c r="C20372" s="3" t="inlineStr">
        <is>
          <t>OH</t>
        </is>
      </c>
      <c r="D20372" s="15" t="n">
        <v>0.094</v>
      </c>
      <c r="E20372" s="4" t="n">
        <v>145000</v>
      </c>
      <c r="F20372" s="4" t="n">
        <v>13630</v>
      </c>
    </row>
    <row r="20373">
      <c r="A20373" s="3" t="inlineStr">
        <is>
          <t>3</t>
        </is>
      </c>
      <c r="B20373" s="3" t="inlineStr">
        <is>
          <t>Kepala tukang</t>
        </is>
      </c>
      <c r="C20373" s="3" t="inlineStr">
        <is>
          <t>OH</t>
        </is>
      </c>
      <c r="D20373" s="15" t="n">
        <v>0.008999999999999999</v>
      </c>
      <c r="E20373" s="4" t="n">
        <v>175000</v>
      </c>
      <c r="F20373" s="4" t="n">
        <v>1575</v>
      </c>
    </row>
    <row r="20374">
      <c r="A20374" s="3" t="inlineStr">
        <is>
          <t>4</t>
        </is>
      </c>
      <c r="B20374" s="3" t="inlineStr">
        <is>
          <t>Mandor</t>
        </is>
      </c>
      <c r="C20374" s="3" t="inlineStr">
        <is>
          <t>OH</t>
        </is>
      </c>
      <c r="D20374" s="15" t="n">
        <v>0.008999999999999999</v>
      </c>
      <c r="E20374" s="4" t="n">
        <v>200000</v>
      </c>
      <c r="F20374" s="4" t="n">
        <v>1800</v>
      </c>
    </row>
    <row r="20375">
      <c r="A20375" s="3" t="inlineStr">
        <is>
          <t>1</t>
        </is>
      </c>
      <c r="B20375" s="3" t="inlineStr">
        <is>
          <t>"Pipa Beton DN. 28"" (700 mm)"</t>
        </is>
      </c>
      <c r="C20375" s="3" t="inlineStr">
        <is>
          <t>m'</t>
        </is>
      </c>
      <c r="D20375" s="15" t="n">
        <v>1</v>
      </c>
      <c r="E20375" s="4" t="n">
        <v>411000</v>
      </c>
      <c r="F20375" s="4" t="n">
        <v>411000</v>
      </c>
    </row>
    <row r="20376">
      <c r="A20376" s="3" t="inlineStr">
        <is>
          <t>2</t>
        </is>
      </c>
      <c r="B20376" s="3" t="inlineStr">
        <is>
          <t>Semen Portland (PC)</t>
        </is>
      </c>
      <c r="C20376" s="3" t="inlineStr">
        <is>
          <t>kg</t>
        </is>
      </c>
      <c r="D20376" s="15" t="n">
        <v>8.24</v>
      </c>
      <c r="E20376" s="4" t="n">
        <v>1300</v>
      </c>
      <c r="F20376" s="4" t="n">
        <v>10712</v>
      </c>
    </row>
    <row r="20377">
      <c r="A20377" s="3" t="inlineStr">
        <is>
          <t>3</t>
        </is>
      </c>
      <c r="B20377" s="3" t="inlineStr">
        <is>
          <t>Pasir pasang (quarry - lokasi pekerjaan)</t>
        </is>
      </c>
      <c r="C20377" s="3" t="inlineStr">
        <is>
          <t>m3</t>
        </is>
      </c>
      <c r="D20377" s="15" t="n">
        <v>0.049</v>
      </c>
      <c r="E20377" s="4" t="n">
        <v>275000</v>
      </c>
      <c r="F20377" s="4" t="n">
        <v>13475</v>
      </c>
    </row>
    <row r="20378">
      <c r="A20378" s="3" t="inlineStr">
        <is>
          <t>4</t>
        </is>
      </c>
      <c r="B20378" s="3" t="inlineStr">
        <is>
          <t>Pasir urug (quarry - lokasi pekerjaan)</t>
        </is>
      </c>
      <c r="C20378" s="3" t="inlineStr">
        <is>
          <t>m3</t>
        </is>
      </c>
      <c r="D20378" s="15" t="n">
        <v>0.055</v>
      </c>
      <c r="E20378" s="4" t="n">
        <v>254700</v>
      </c>
      <c r="F20378" s="4" t="n">
        <v>14008.5</v>
      </c>
    </row>
    <row r="20379">
      <c r="D20379" s="2" t="inlineStr">
        <is>
          <t>SUBTOTAL UPAH</t>
        </is>
      </c>
      <c r="F20379" s="16" t="n">
        <v>35905</v>
      </c>
    </row>
    <row r="20380">
      <c r="D20380" s="2" t="inlineStr">
        <is>
          <t>SUBTOTAL BAHAN</t>
        </is>
      </c>
      <c r="F20380" s="16" t="n">
        <v>449195.5</v>
      </c>
    </row>
    <row r="20381">
      <c r="D20381" s="2" t="inlineStr">
        <is>
          <t>SUBTOTAL ALAT</t>
        </is>
      </c>
      <c r="F20381" s="16" t="n">
        <v>0</v>
      </c>
    </row>
    <row r="20382">
      <c r="E20382" s="2" t="inlineStr">
        <is>
          <t>TOTAL HARGA SATUAN (Inc. Overhead)</t>
        </is>
      </c>
      <c r="F20382" s="17" t="n">
        <v>533610</v>
      </c>
    </row>
    <row r="20384">
      <c r="A20384" s="14" t="inlineStr">
        <is>
          <t>KODE: 9.6.1.7 - Pemasangan 1 m Pipa Beton, DN. 32" (800 mm)</t>
        </is>
      </c>
    </row>
    <row r="20385">
      <c r="A20385" s="10" t="inlineStr">
        <is>
          <t>No</t>
        </is>
      </c>
      <c r="B20385" s="10" t="inlineStr">
        <is>
          <t>Uraian Komponen</t>
        </is>
      </c>
      <c r="C20385" s="10" t="inlineStr">
        <is>
          <t>Satuan</t>
        </is>
      </c>
      <c r="D20385" s="10" t="inlineStr">
        <is>
          <t>Koef</t>
        </is>
      </c>
      <c r="E20385" s="10" t="inlineStr">
        <is>
          <t>Harga Satuan (Rp)</t>
        </is>
      </c>
      <c r="F20385" s="10" t="inlineStr">
        <is>
          <t>Jumlah Harga (Rp)</t>
        </is>
      </c>
    </row>
    <row r="20386">
      <c r="A20386" s="3" t="inlineStr">
        <is>
          <t>1</t>
        </is>
      </c>
      <c r="B20386" s="3" t="inlineStr">
        <is>
          <t>Pekerja</t>
        </is>
      </c>
      <c r="C20386" s="3" t="inlineStr">
        <is>
          <t>OH</t>
        </is>
      </c>
      <c r="D20386" s="15" t="n">
        <v>0.377</v>
      </c>
      <c r="E20386" s="4" t="n">
        <v>100000</v>
      </c>
      <c r="F20386" s="4" t="n">
        <v>37700</v>
      </c>
    </row>
    <row r="20387">
      <c r="A20387" s="3" t="inlineStr">
        <is>
          <t>2</t>
        </is>
      </c>
      <c r="B20387" s="3" t="inlineStr">
        <is>
          <t>Tukang batu</t>
        </is>
      </c>
      <c r="C20387" s="3" t="inlineStr">
        <is>
          <t>OH</t>
        </is>
      </c>
      <c r="D20387" s="15" t="n">
        <v>0.189</v>
      </c>
      <c r="E20387" s="4" t="n">
        <v>145000</v>
      </c>
      <c r="F20387" s="4" t="n">
        <v>27405</v>
      </c>
    </row>
    <row r="20388">
      <c r="A20388" s="3" t="inlineStr">
        <is>
          <t>3</t>
        </is>
      </c>
      <c r="B20388" s="3" t="inlineStr">
        <is>
          <t>Kepala tukang</t>
        </is>
      </c>
      <c r="C20388" s="3" t="inlineStr">
        <is>
          <t>OH</t>
        </is>
      </c>
      <c r="D20388" s="15" t="n">
        <v>0.019</v>
      </c>
      <c r="E20388" s="4" t="n">
        <v>175000</v>
      </c>
      <c r="F20388" s="4" t="n">
        <v>3325</v>
      </c>
    </row>
    <row r="20389">
      <c r="A20389" s="3" t="inlineStr">
        <is>
          <t>4</t>
        </is>
      </c>
      <c r="B20389" s="3" t="inlineStr">
        <is>
          <t>Mandor</t>
        </is>
      </c>
      <c r="C20389" s="3" t="inlineStr">
        <is>
          <t>OH</t>
        </is>
      </c>
      <c r="D20389" s="15" t="n">
        <v>0.019</v>
      </c>
      <c r="E20389" s="4" t="n">
        <v>200000</v>
      </c>
      <c r="F20389" s="4" t="n">
        <v>3800</v>
      </c>
    </row>
    <row r="20390">
      <c r="A20390" s="3" t="inlineStr">
        <is>
          <t>1</t>
        </is>
      </c>
      <c r="B20390" s="3" t="inlineStr">
        <is>
          <t>"Pipa Beton DN. 32"" (800 mm)"</t>
        </is>
      </c>
      <c r="C20390" s="3" t="inlineStr">
        <is>
          <t>m'</t>
        </is>
      </c>
      <c r="D20390" s="15" t="n">
        <v>1</v>
      </c>
      <c r="E20390" s="4" t="n">
        <v>491000</v>
      </c>
      <c r="F20390" s="4" t="n">
        <v>491000</v>
      </c>
    </row>
    <row r="20391">
      <c r="A20391" s="3" t="inlineStr">
        <is>
          <t>2</t>
        </is>
      </c>
      <c r="B20391" s="3" t="inlineStr">
        <is>
          <t>Semen Portland (PC)</t>
        </is>
      </c>
      <c r="C20391" s="3" t="inlineStr">
        <is>
          <t>kg</t>
        </is>
      </c>
      <c r="D20391" s="15" t="n">
        <v>10.3</v>
      </c>
      <c r="E20391" s="4" t="n">
        <v>1300</v>
      </c>
      <c r="F20391" s="4" t="n">
        <v>13390</v>
      </c>
    </row>
    <row r="20392">
      <c r="A20392" s="3" t="inlineStr">
        <is>
          <t>3</t>
        </is>
      </c>
      <c r="B20392" s="3" t="inlineStr">
        <is>
          <t>Pasir pasang (quarry - lokasi pekerjaan)</t>
        </is>
      </c>
      <c r="C20392" s="3" t="inlineStr">
        <is>
          <t>m3</t>
        </is>
      </c>
      <c r="D20392" s="15" t="n">
        <v>0.061</v>
      </c>
      <c r="E20392" s="4" t="n">
        <v>275000</v>
      </c>
      <c r="F20392" s="4" t="n">
        <v>16775</v>
      </c>
    </row>
    <row r="20393">
      <c r="A20393" s="3" t="inlineStr">
        <is>
          <t>4</t>
        </is>
      </c>
      <c r="B20393" s="3" t="inlineStr">
        <is>
          <t>Pasir urug (quarry - lokasi pekerjaan)</t>
        </is>
      </c>
      <c r="C20393" s="3" t="inlineStr">
        <is>
          <t>m3</t>
        </is>
      </c>
      <c r="D20393" s="15" t="n">
        <v>0.06900000000000001</v>
      </c>
      <c r="E20393" s="4" t="n">
        <v>254700</v>
      </c>
      <c r="F20393" s="4" t="n">
        <v>17574.3</v>
      </c>
    </row>
    <row r="20394">
      <c r="D20394" s="2" t="inlineStr">
        <is>
          <t>SUBTOTAL UPAH</t>
        </is>
      </c>
      <c r="F20394" s="16" t="n">
        <v>72230</v>
      </c>
    </row>
    <row r="20395">
      <c r="D20395" s="2" t="inlineStr">
        <is>
          <t>SUBTOTAL BAHAN</t>
        </is>
      </c>
      <c r="F20395" s="16" t="n">
        <v>538739.3</v>
      </c>
    </row>
    <row r="20396">
      <c r="D20396" s="2" t="inlineStr">
        <is>
          <t>SUBTOTAL ALAT</t>
        </is>
      </c>
      <c r="F20396" s="16" t="n">
        <v>0</v>
      </c>
    </row>
    <row r="20397">
      <c r="E20397" s="2" t="inlineStr">
        <is>
          <t>TOTAL HARGA SATUAN (Inc. Overhead)</t>
        </is>
      </c>
      <c r="F20397" s="17" t="n">
        <v>672066</v>
      </c>
    </row>
    <row r="20399">
      <c r="A20399" s="14" t="inlineStr">
        <is>
          <t>KODE: 9.6.1.8 - Pemasangan 1 m Pipa Beton, DN. 40" (1000 mm)</t>
        </is>
      </c>
    </row>
    <row r="20400">
      <c r="A20400" s="10" t="inlineStr">
        <is>
          <t>No</t>
        </is>
      </c>
      <c r="B20400" s="10" t="inlineStr">
        <is>
          <t>Uraian Komponen</t>
        </is>
      </c>
      <c r="C20400" s="10" t="inlineStr">
        <is>
          <t>Satuan</t>
        </is>
      </c>
      <c r="D20400" s="10" t="inlineStr">
        <is>
          <t>Koef</t>
        </is>
      </c>
      <c r="E20400" s="10" t="inlineStr">
        <is>
          <t>Harga Satuan (Rp)</t>
        </is>
      </c>
      <c r="F20400" s="10" t="inlineStr">
        <is>
          <t>Jumlah Harga (Rp)</t>
        </is>
      </c>
    </row>
    <row r="20401">
      <c r="A20401" s="3" t="inlineStr">
        <is>
          <t>1</t>
        </is>
      </c>
      <c r="B20401" s="3" t="inlineStr">
        <is>
          <t>Pekerja</t>
        </is>
      </c>
      <c r="C20401" s="3" t="inlineStr">
        <is>
          <t>OH</t>
        </is>
      </c>
      <c r="D20401" s="15" t="n">
        <v>0.377</v>
      </c>
      <c r="E20401" s="4" t="n">
        <v>100000</v>
      </c>
      <c r="F20401" s="4" t="n">
        <v>37700</v>
      </c>
    </row>
    <row r="20402">
      <c r="A20402" s="3" t="inlineStr">
        <is>
          <t>2</t>
        </is>
      </c>
      <c r="B20402" s="3" t="inlineStr">
        <is>
          <t>Tukang batu</t>
        </is>
      </c>
      <c r="C20402" s="3" t="inlineStr">
        <is>
          <t>OH</t>
        </is>
      </c>
      <c r="D20402" s="15" t="n">
        <v>0.189</v>
      </c>
      <c r="E20402" s="4" t="n">
        <v>145000</v>
      </c>
      <c r="F20402" s="4" t="n">
        <v>27405</v>
      </c>
    </row>
    <row r="20403">
      <c r="A20403" s="3" t="inlineStr">
        <is>
          <t>3</t>
        </is>
      </c>
      <c r="B20403" s="3" t="inlineStr">
        <is>
          <t>Kepala tukang</t>
        </is>
      </c>
      <c r="C20403" s="3" t="inlineStr">
        <is>
          <t>OH</t>
        </is>
      </c>
      <c r="D20403" s="15" t="n">
        <v>0.019</v>
      </c>
      <c r="E20403" s="4" t="n">
        <v>175000</v>
      </c>
      <c r="F20403" s="4" t="n">
        <v>3325</v>
      </c>
    </row>
    <row r="20404">
      <c r="A20404" s="3" t="inlineStr">
        <is>
          <t>4</t>
        </is>
      </c>
      <c r="B20404" s="3" t="inlineStr">
        <is>
          <t>Mandor</t>
        </is>
      </c>
      <c r="C20404" s="3" t="inlineStr">
        <is>
          <t>OH</t>
        </is>
      </c>
      <c r="D20404" s="15" t="n">
        <v>0.019</v>
      </c>
      <c r="E20404" s="4" t="n">
        <v>200000</v>
      </c>
      <c r="F20404" s="4" t="n">
        <v>3800</v>
      </c>
    </row>
    <row r="20405">
      <c r="A20405" s="3" t="inlineStr">
        <is>
          <t>1</t>
        </is>
      </c>
      <c r="B20405" s="3" t="inlineStr">
        <is>
          <t>"Pipa Beton DN. 40"" (1000 mm)"</t>
        </is>
      </c>
      <c r="C20405" s="3" t="inlineStr">
        <is>
          <t>m'</t>
        </is>
      </c>
      <c r="D20405" s="15" t="n">
        <v>1</v>
      </c>
      <c r="E20405" s="4" t="n">
        <v>571000</v>
      </c>
      <c r="F20405" s="4" t="n">
        <v>571000</v>
      </c>
    </row>
    <row r="20406">
      <c r="A20406" s="3" t="inlineStr">
        <is>
          <t>2</t>
        </is>
      </c>
      <c r="B20406" s="3" t="inlineStr">
        <is>
          <t>Semen Portland (PC)</t>
        </is>
      </c>
      <c r="C20406" s="3" t="inlineStr">
        <is>
          <t>kg</t>
        </is>
      </c>
      <c r="D20406" s="15" t="n">
        <v>10.3</v>
      </c>
      <c r="E20406" s="4" t="n">
        <v>1300</v>
      </c>
      <c r="F20406" s="4" t="n">
        <v>13390</v>
      </c>
    </row>
    <row r="20407">
      <c r="A20407" s="3" t="inlineStr">
        <is>
          <t>3</t>
        </is>
      </c>
      <c r="B20407" s="3" t="inlineStr">
        <is>
          <t>Pasir pasang (quarry - lokasi pekerjaan)</t>
        </is>
      </c>
      <c r="C20407" s="3" t="inlineStr">
        <is>
          <t>m3</t>
        </is>
      </c>
      <c r="D20407" s="15" t="n">
        <v>0.061</v>
      </c>
      <c r="E20407" s="4" t="n">
        <v>275000</v>
      </c>
      <c r="F20407" s="4" t="n">
        <v>16775</v>
      </c>
    </row>
    <row r="20408">
      <c r="A20408" s="3" t="inlineStr">
        <is>
          <t>4</t>
        </is>
      </c>
      <c r="B20408" s="3" t="inlineStr">
        <is>
          <t>Pasir urug (quarry - lokasi pekerjaan)</t>
        </is>
      </c>
      <c r="C20408" s="3" t="inlineStr">
        <is>
          <t>m3</t>
        </is>
      </c>
      <c r="D20408" s="15" t="n">
        <v>0.06900000000000001</v>
      </c>
      <c r="E20408" s="4" t="n">
        <v>254700</v>
      </c>
      <c r="F20408" s="4" t="n">
        <v>17574.3</v>
      </c>
    </row>
    <row r="20409">
      <c r="D20409" s="2" t="inlineStr">
        <is>
          <t>SUBTOTAL UPAH</t>
        </is>
      </c>
      <c r="F20409" s="16" t="n">
        <v>72230</v>
      </c>
    </row>
    <row r="20410">
      <c r="D20410" s="2" t="inlineStr">
        <is>
          <t>SUBTOTAL BAHAN</t>
        </is>
      </c>
      <c r="F20410" s="16" t="n">
        <v>618739.3</v>
      </c>
    </row>
    <row r="20411">
      <c r="D20411" s="2" t="inlineStr">
        <is>
          <t>SUBTOTAL ALAT</t>
        </is>
      </c>
      <c r="F20411" s="16" t="n">
        <v>0</v>
      </c>
    </row>
    <row r="20412">
      <c r="E20412" s="2" t="inlineStr">
        <is>
          <t>TOTAL HARGA SATUAN (Inc. Overhead)</t>
        </is>
      </c>
      <c r="F20412" s="17" t="n">
        <v>760066</v>
      </c>
    </row>
    <row r="20414">
      <c r="A20414" s="14" t="inlineStr">
        <is>
          <t>KODE: 9.6.1.9 - Pemasangan 1 m Pipa Beton, DN. 48" (1200 mm)</t>
        </is>
      </c>
    </row>
    <row r="20415">
      <c r="A20415" s="10" t="inlineStr">
        <is>
          <t>No</t>
        </is>
      </c>
      <c r="B20415" s="10" t="inlineStr">
        <is>
          <t>Uraian Komponen</t>
        </is>
      </c>
      <c r="C20415" s="10" t="inlineStr">
        <is>
          <t>Satuan</t>
        </is>
      </c>
      <c r="D20415" s="10" t="inlineStr">
        <is>
          <t>Koef</t>
        </is>
      </c>
      <c r="E20415" s="10" t="inlineStr">
        <is>
          <t>Harga Satuan (Rp)</t>
        </is>
      </c>
      <c r="F20415" s="10" t="inlineStr">
        <is>
          <t>Jumlah Harga (Rp)</t>
        </is>
      </c>
    </row>
    <row r="20416">
      <c r="A20416" s="3" t="inlineStr">
        <is>
          <t>1</t>
        </is>
      </c>
      <c r="B20416" s="3" t="inlineStr">
        <is>
          <t>Pekerja</t>
        </is>
      </c>
      <c r="C20416" s="3" t="inlineStr">
        <is>
          <t>OH</t>
        </is>
      </c>
      <c r="D20416" s="15" t="n">
        <v>0.472</v>
      </c>
      <c r="E20416" s="4" t="n">
        <v>100000</v>
      </c>
      <c r="F20416" s="4" t="n">
        <v>47200</v>
      </c>
    </row>
    <row r="20417">
      <c r="A20417" s="3" t="inlineStr">
        <is>
          <t>2</t>
        </is>
      </c>
      <c r="B20417" s="3" t="inlineStr">
        <is>
          <t>Tukang batu</t>
        </is>
      </c>
      <c r="C20417" s="3" t="inlineStr">
        <is>
          <t>OH</t>
        </is>
      </c>
      <c r="D20417" s="15" t="n">
        <v>0.236</v>
      </c>
      <c r="E20417" s="4" t="n">
        <v>145000</v>
      </c>
      <c r="F20417" s="4" t="n">
        <v>34220</v>
      </c>
    </row>
    <row r="20418">
      <c r="A20418" s="3" t="inlineStr">
        <is>
          <t>3</t>
        </is>
      </c>
      <c r="B20418" s="3" t="inlineStr">
        <is>
          <t>Kepala tukang</t>
        </is>
      </c>
      <c r="C20418" s="3" t="inlineStr">
        <is>
          <t>OH</t>
        </is>
      </c>
      <c r="D20418" s="15" t="n">
        <v>0.024</v>
      </c>
      <c r="E20418" s="4" t="n">
        <v>175000</v>
      </c>
      <c r="F20418" s="4" t="n">
        <v>4200</v>
      </c>
    </row>
    <row r="20419">
      <c r="A20419" s="3" t="inlineStr">
        <is>
          <t>4</t>
        </is>
      </c>
      <c r="B20419" s="3" t="inlineStr">
        <is>
          <t>Mandor</t>
        </is>
      </c>
      <c r="C20419" s="3" t="inlineStr">
        <is>
          <t>OH</t>
        </is>
      </c>
      <c r="D20419" s="15" t="n">
        <v>0.024</v>
      </c>
      <c r="E20419" s="4" t="n">
        <v>200000</v>
      </c>
      <c r="F20419" s="4" t="n">
        <v>4800</v>
      </c>
    </row>
    <row r="20420">
      <c r="A20420" s="3" t="inlineStr">
        <is>
          <t>1</t>
        </is>
      </c>
      <c r="B20420" s="3" t="inlineStr">
        <is>
          <t>"Pipa Beton DN. 48"" (1200 mm)"</t>
        </is>
      </c>
      <c r="C20420" s="3" t="inlineStr">
        <is>
          <t>m'</t>
        </is>
      </c>
      <c r="D20420" s="15" t="n">
        <v>1</v>
      </c>
      <c r="E20420" s="4" t="n">
        <v>641000</v>
      </c>
      <c r="F20420" s="4" t="n">
        <v>641000</v>
      </c>
    </row>
    <row r="20421">
      <c r="A20421" s="3" t="inlineStr">
        <is>
          <t>2</t>
        </is>
      </c>
      <c r="B20421" s="3" t="inlineStr">
        <is>
          <t>Semen Portland (PC)</t>
        </is>
      </c>
      <c r="C20421" s="3" t="inlineStr">
        <is>
          <t>kg</t>
        </is>
      </c>
      <c r="D20421" s="15" t="n">
        <v>11.33</v>
      </c>
      <c r="E20421" s="4" t="n">
        <v>1300</v>
      </c>
      <c r="F20421" s="4" t="n">
        <v>14729</v>
      </c>
    </row>
    <row r="20422">
      <c r="A20422" s="3" t="inlineStr">
        <is>
          <t>3</t>
        </is>
      </c>
      <c r="B20422" s="3" t="inlineStr">
        <is>
          <t>Pasir pasang (quarry - lokasi pekerjaan)</t>
        </is>
      </c>
      <c r="C20422" s="3" t="inlineStr">
        <is>
          <t>m3</t>
        </is>
      </c>
      <c r="D20422" s="15" t="n">
        <v>0.07000000000000001</v>
      </c>
      <c r="E20422" s="4" t="n">
        <v>275000</v>
      </c>
      <c r="F20422" s="4" t="n">
        <v>19250</v>
      </c>
    </row>
    <row r="20423">
      <c r="A20423" s="3" t="inlineStr">
        <is>
          <t>4</t>
        </is>
      </c>
      <c r="B20423" s="3" t="inlineStr">
        <is>
          <t>Pasir urug (quarry - lokasi pekerjaan)</t>
        </is>
      </c>
      <c r="C20423" s="3" t="inlineStr">
        <is>
          <t>m3</t>
        </is>
      </c>
      <c r="D20423" s="15" t="n">
        <v>0.08</v>
      </c>
      <c r="E20423" s="4" t="n">
        <v>254700</v>
      </c>
      <c r="F20423" s="4" t="n">
        <v>20376</v>
      </c>
    </row>
    <row r="20424">
      <c r="D20424" s="2" t="inlineStr">
        <is>
          <t>SUBTOTAL UPAH</t>
        </is>
      </c>
      <c r="F20424" s="16" t="n">
        <v>90420</v>
      </c>
    </row>
    <row r="20425">
      <c r="D20425" s="2" t="inlineStr">
        <is>
          <t>SUBTOTAL BAHAN</t>
        </is>
      </c>
      <c r="F20425" s="16" t="n">
        <v>695355</v>
      </c>
    </row>
    <row r="20426">
      <c r="D20426" s="2" t="inlineStr">
        <is>
          <t>SUBTOTAL ALAT</t>
        </is>
      </c>
      <c r="F20426" s="16" t="n">
        <v>0</v>
      </c>
    </row>
    <row r="20427">
      <c r="E20427" s="2" t="inlineStr">
        <is>
          <t>TOTAL HARGA SATUAN (Inc. Overhead)</t>
        </is>
      </c>
      <c r="F20427" s="17" t="n">
        <v>864352</v>
      </c>
    </row>
    <row r="20429">
      <c r="A20429" s="14" t="inlineStr">
        <is>
          <t>KODE: 9.7.1.1 - Penyambungan 1 buah Pipa Baru ke Pipa Yang Ada, DN. 3" (80 mm)</t>
        </is>
      </c>
    </row>
    <row r="20430">
      <c r="A20430" s="10" t="inlineStr">
        <is>
          <t>No</t>
        </is>
      </c>
      <c r="B20430" s="10" t="inlineStr">
        <is>
          <t>Uraian Komponen</t>
        </is>
      </c>
      <c r="C20430" s="10" t="inlineStr">
        <is>
          <t>Satuan</t>
        </is>
      </c>
      <c r="D20430" s="10" t="inlineStr">
        <is>
          <t>Koef</t>
        </is>
      </c>
      <c r="E20430" s="10" t="inlineStr">
        <is>
          <t>Harga Satuan (Rp)</t>
        </is>
      </c>
      <c r="F20430" s="10" t="inlineStr">
        <is>
          <t>Jumlah Harga (Rp)</t>
        </is>
      </c>
    </row>
    <row r="20431">
      <c r="A20431" s="3" t="inlineStr">
        <is>
          <t>1</t>
        </is>
      </c>
      <c r="B20431" s="3" t="inlineStr">
        <is>
          <t>Pekerja</t>
        </is>
      </c>
      <c r="C20431" s="3" t="inlineStr">
        <is>
          <t>OH</t>
        </is>
      </c>
      <c r="D20431" s="15" t="n">
        <v>1.466</v>
      </c>
      <c r="E20431" s="4" t="n">
        <v>100000</v>
      </c>
      <c r="F20431" s="4" t="n">
        <v>146600</v>
      </c>
    </row>
    <row r="20432">
      <c r="A20432" s="3" t="inlineStr">
        <is>
          <t>2</t>
        </is>
      </c>
      <c r="B20432" s="3" t="inlineStr">
        <is>
          <t>Tukang pipa</t>
        </is>
      </c>
      <c r="C20432" s="3" t="inlineStr">
        <is>
          <t>OH</t>
        </is>
      </c>
      <c r="D20432" s="15" t="n">
        <v>0.733</v>
      </c>
      <c r="E20432" s="4" t="n">
        <v>145000</v>
      </c>
      <c r="F20432" s="4" t="n">
        <v>106285</v>
      </c>
    </row>
    <row r="20433">
      <c r="A20433" s="3" t="inlineStr">
        <is>
          <t>4</t>
        </is>
      </c>
      <c r="B20433" s="3" t="inlineStr">
        <is>
          <t>Mandor</t>
        </is>
      </c>
      <c r="C20433" s="3" t="inlineStr">
        <is>
          <t>OH</t>
        </is>
      </c>
      <c r="D20433" s="15" t="n">
        <v>0.147</v>
      </c>
      <c r="E20433" s="4" t="n">
        <v>200000</v>
      </c>
      <c r="F20433" s="4" t="n">
        <v>29400</v>
      </c>
    </row>
    <row r="20434">
      <c r="A20434" s="3" t="inlineStr">
        <is>
          <t>T2/mekanik / cilinder saw"</t>
        </is>
      </c>
      <c r="B20434" s="3" t="inlineStr"/>
      <c r="C20434" s="3" t="inlineStr">
        <is>
          <t>hari</t>
        </is>
      </c>
      <c r="D20434" s="15" t="n">
        <v>0.606</v>
      </c>
      <c r="E20434" s="4" t="n">
        <v>75000</v>
      </c>
      <c r="F20434" s="4" t="n">
        <v>45450</v>
      </c>
    </row>
    <row r="20435">
      <c r="A20435" s="3" t="inlineStr">
        <is>
          <t>2</t>
        </is>
      </c>
      <c r="B20435" s="3" t="inlineStr">
        <is>
          <t>Sewa Genset</t>
        </is>
      </c>
      <c r="C20435" s="3" t="inlineStr">
        <is>
          <t>hari</t>
        </is>
      </c>
      <c r="D20435" s="15" t="n">
        <v>0.075</v>
      </c>
      <c r="E20435" s="4" t="n">
        <v>150000</v>
      </c>
      <c r="F20435" s="4" t="n">
        <v>11250</v>
      </c>
    </row>
    <row r="20436">
      <c r="A20436" s="3" t="inlineStr">
        <is>
          <t>3</t>
        </is>
      </c>
      <c r="B20436" s="3" t="inlineStr">
        <is>
          <t>Pompa Sedot</t>
        </is>
      </c>
      <c r="C20436" s="3" t="inlineStr">
        <is>
          <t>hari</t>
        </is>
      </c>
      <c r="D20436" s="15" t="n">
        <v>0.968</v>
      </c>
      <c r="E20436" s="4" t="n">
        <v>280000</v>
      </c>
      <c r="F20436" s="4" t="n">
        <v>271040</v>
      </c>
    </row>
    <row r="20437">
      <c r="A20437" s="3" t="inlineStr">
        <is>
          <t>4</t>
        </is>
      </c>
      <c r="B20437" s="3" t="inlineStr">
        <is>
          <t>Sewa Tripot</t>
        </is>
      </c>
      <c r="C20437" s="3" t="inlineStr">
        <is>
          <t>hari</t>
        </is>
      </c>
      <c r="D20437" s="15" t="n">
        <v>0.865</v>
      </c>
      <c r="E20437" s="4" t="n">
        <v>108000</v>
      </c>
      <c r="F20437" s="4" t="n">
        <v>93420</v>
      </c>
    </row>
    <row r="20438">
      <c r="D20438" s="2" t="inlineStr">
        <is>
          <t>SUBTOTAL UPAH</t>
        </is>
      </c>
      <c r="F20438" s="16" t="n">
        <v>282285</v>
      </c>
    </row>
    <row r="20439">
      <c r="D20439" s="2" t="inlineStr">
        <is>
          <t>SUBTOTAL BAHAN</t>
        </is>
      </c>
      <c r="F20439" s="16" t="n">
        <v>0</v>
      </c>
    </row>
    <row r="20440">
      <c r="D20440" s="2" t="inlineStr">
        <is>
          <t>SUBTOTAL ALAT</t>
        </is>
      </c>
      <c r="F20440" s="16" t="n">
        <v>421160</v>
      </c>
    </row>
    <row r="20441">
      <c r="E20441" s="2" t="inlineStr">
        <is>
          <t>TOTAL HARGA SATUAN (Inc. Overhead)</t>
        </is>
      </c>
      <c r="F20441" s="17" t="n">
        <v>773789</v>
      </c>
    </row>
    <row r="20443">
      <c r="A20443" s="14" t="inlineStr">
        <is>
          <t>KODE: 9.7.1.2 - Penyambungan 1 buah Pipa Baru ke Pipa Yang Ada, DN. 4" (100 mm)</t>
        </is>
      </c>
    </row>
    <row r="20444">
      <c r="A20444" s="10" t="inlineStr">
        <is>
          <t>No</t>
        </is>
      </c>
      <c r="B20444" s="10" t="inlineStr">
        <is>
          <t>Uraian Komponen</t>
        </is>
      </c>
      <c r="C20444" s="10" t="inlineStr">
        <is>
          <t>Satuan</t>
        </is>
      </c>
      <c r="D20444" s="10" t="inlineStr">
        <is>
          <t>Koef</t>
        </is>
      </c>
      <c r="E20444" s="10" t="inlineStr">
        <is>
          <t>Harga Satuan (Rp)</t>
        </is>
      </c>
      <c r="F20444" s="10" t="inlineStr">
        <is>
          <t>Jumlah Harga (Rp)</t>
        </is>
      </c>
    </row>
    <row r="20445">
      <c r="A20445" s="3" t="inlineStr">
        <is>
          <t>1</t>
        </is>
      </c>
      <c r="B20445" s="3" t="inlineStr">
        <is>
          <t>Pekerja</t>
        </is>
      </c>
      <c r="C20445" s="3" t="inlineStr">
        <is>
          <t>OH</t>
        </is>
      </c>
      <c r="D20445" s="15" t="n">
        <v>1.646</v>
      </c>
      <c r="E20445" s="4" t="n">
        <v>100000</v>
      </c>
      <c r="F20445" s="4" t="n">
        <v>164600</v>
      </c>
    </row>
    <row r="20446">
      <c r="A20446" s="3" t="inlineStr">
        <is>
          <t>2</t>
        </is>
      </c>
      <c r="B20446" s="3" t="inlineStr">
        <is>
          <t>Tukang pipa</t>
        </is>
      </c>
      <c r="C20446" s="3" t="inlineStr">
        <is>
          <t>OH</t>
        </is>
      </c>
      <c r="D20446" s="15" t="n">
        <v>0.823</v>
      </c>
      <c r="E20446" s="4" t="n">
        <v>145000</v>
      </c>
      <c r="F20446" s="4" t="n">
        <v>119335</v>
      </c>
    </row>
    <row r="20447">
      <c r="A20447" s="3" t="inlineStr">
        <is>
          <t>4</t>
        </is>
      </c>
      <c r="B20447" s="3" t="inlineStr">
        <is>
          <t>Mandor</t>
        </is>
      </c>
      <c r="C20447" s="3" t="inlineStr">
        <is>
          <t>OH</t>
        </is>
      </c>
      <c r="D20447" s="15" t="n">
        <v>0.165</v>
      </c>
      <c r="E20447" s="4" t="n">
        <v>200000</v>
      </c>
      <c r="F20447" s="4" t="n">
        <v>33000</v>
      </c>
    </row>
    <row r="20448">
      <c r="A20448" s="3" t="inlineStr">
        <is>
          <t>T2/mekanik / cilinder saw"</t>
        </is>
      </c>
      <c r="B20448" s="3" t="inlineStr"/>
      <c r="C20448" s="3" t="inlineStr">
        <is>
          <t>hari</t>
        </is>
      </c>
      <c r="D20448" s="15" t="n">
        <v>0.65</v>
      </c>
      <c r="E20448" s="4" t="n">
        <v>75000</v>
      </c>
      <c r="F20448" s="4" t="n">
        <v>48750</v>
      </c>
    </row>
    <row r="20449">
      <c r="A20449" s="3" t="inlineStr">
        <is>
          <t>2</t>
        </is>
      </c>
      <c r="B20449" s="3" t="inlineStr">
        <is>
          <t>Sewa Genset</t>
        </is>
      </c>
      <c r="C20449" s="3" t="inlineStr">
        <is>
          <t>hari</t>
        </is>
      </c>
      <c r="D20449" s="15" t="n">
        <v>0.159</v>
      </c>
      <c r="E20449" s="4" t="n">
        <v>150000</v>
      </c>
      <c r="F20449" s="4" t="n">
        <v>23850</v>
      </c>
    </row>
    <row r="20450">
      <c r="A20450" s="3" t="inlineStr">
        <is>
          <t>3</t>
        </is>
      </c>
      <c r="B20450" s="3" t="inlineStr">
        <is>
          <t>Pompa Sedot</t>
        </is>
      </c>
      <c r="C20450" s="3" t="inlineStr">
        <is>
          <t>hari</t>
        </is>
      </c>
      <c r="D20450" s="15" t="n">
        <v>1.078</v>
      </c>
      <c r="E20450" s="4" t="n">
        <v>280000</v>
      </c>
      <c r="F20450" s="4" t="n">
        <v>301840</v>
      </c>
    </row>
    <row r="20451">
      <c r="A20451" s="3" t="inlineStr">
        <is>
          <t>4</t>
        </is>
      </c>
      <c r="B20451" s="3" t="inlineStr">
        <is>
          <t>Sewa Tripot</t>
        </is>
      </c>
      <c r="C20451" s="3" t="inlineStr">
        <is>
          <t>hari</t>
        </is>
      </c>
      <c r="D20451" s="15" t="n">
        <v>0.911</v>
      </c>
      <c r="E20451" s="4" t="n">
        <v>108000</v>
      </c>
      <c r="F20451" s="4" t="n">
        <v>98388</v>
      </c>
    </row>
    <row r="20452">
      <c r="D20452" s="2" t="inlineStr">
        <is>
          <t>SUBTOTAL UPAH</t>
        </is>
      </c>
      <c r="F20452" s="16" t="n">
        <v>316935</v>
      </c>
    </row>
    <row r="20453">
      <c r="D20453" s="2" t="inlineStr">
        <is>
          <t>SUBTOTAL BAHAN</t>
        </is>
      </c>
      <c r="F20453" s="16" t="n">
        <v>0</v>
      </c>
    </row>
    <row r="20454">
      <c r="D20454" s="2" t="inlineStr">
        <is>
          <t>SUBTOTAL ALAT</t>
        </is>
      </c>
      <c r="F20454" s="16" t="n">
        <v>472828</v>
      </c>
    </row>
    <row r="20455">
      <c r="E20455" s="2" t="inlineStr">
        <is>
          <t>TOTAL HARGA SATUAN (Inc. Overhead)</t>
        </is>
      </c>
      <c r="F20455" s="17" t="n">
        <v>868739</v>
      </c>
    </row>
    <row r="20457">
      <c r="A20457" s="14" t="inlineStr">
        <is>
          <t>KODE: 9.7.1.3 - Penyambungan 1 buah Pipa Baru ke Pipa Yang Ada, DN. 6" (150 mm)</t>
        </is>
      </c>
    </row>
    <row r="20458">
      <c r="A20458" s="10" t="inlineStr">
        <is>
          <t>No</t>
        </is>
      </c>
      <c r="B20458" s="10" t="inlineStr">
        <is>
          <t>Uraian Komponen</t>
        </is>
      </c>
      <c r="C20458" s="10" t="inlineStr">
        <is>
          <t>Satuan</t>
        </is>
      </c>
      <c r="D20458" s="10" t="inlineStr">
        <is>
          <t>Koef</t>
        </is>
      </c>
      <c r="E20458" s="10" t="inlineStr">
        <is>
          <t>Harga Satuan (Rp)</t>
        </is>
      </c>
      <c r="F20458" s="10" t="inlineStr">
        <is>
          <t>Jumlah Harga (Rp)</t>
        </is>
      </c>
    </row>
    <row r="20459">
      <c r="A20459" s="3" t="inlineStr">
        <is>
          <t>1</t>
        </is>
      </c>
      <c r="B20459" s="3" t="inlineStr">
        <is>
          <t>Pekerja</t>
        </is>
      </c>
      <c r="C20459" s="3" t="inlineStr">
        <is>
          <t>OH</t>
        </is>
      </c>
      <c r="D20459" s="15" t="n">
        <v>2.096</v>
      </c>
      <c r="E20459" s="4" t="n">
        <v>100000</v>
      </c>
      <c r="F20459" s="4" t="n">
        <v>209600</v>
      </c>
    </row>
    <row r="20460">
      <c r="A20460" s="3" t="inlineStr">
        <is>
          <t>2</t>
        </is>
      </c>
      <c r="B20460" s="3" t="inlineStr">
        <is>
          <t>Tukang pipa</t>
        </is>
      </c>
      <c r="C20460" s="3" t="inlineStr">
        <is>
          <t>OH</t>
        </is>
      </c>
      <c r="D20460" s="15" t="n">
        <v>1.048</v>
      </c>
      <c r="E20460" s="4" t="n">
        <v>145000</v>
      </c>
      <c r="F20460" s="4" t="n">
        <v>151960</v>
      </c>
    </row>
    <row r="20461">
      <c r="A20461" s="3" t="inlineStr">
        <is>
          <t>4</t>
        </is>
      </c>
      <c r="B20461" s="3" t="inlineStr">
        <is>
          <t>Mandor</t>
        </is>
      </c>
      <c r="C20461" s="3" t="inlineStr">
        <is>
          <t>OH</t>
        </is>
      </c>
      <c r="D20461" s="15" t="n">
        <v>0.21</v>
      </c>
      <c r="E20461" s="4" t="n">
        <v>200000</v>
      </c>
      <c r="F20461" s="4" t="n">
        <v>42000</v>
      </c>
    </row>
    <row r="20462">
      <c r="A20462" s="3" t="inlineStr">
        <is>
          <t>T2/mekanik / cilinder saw"</t>
        </is>
      </c>
      <c r="B20462" s="3" t="inlineStr"/>
      <c r="C20462" s="3" t="inlineStr">
        <is>
          <t>hari</t>
        </is>
      </c>
      <c r="D20462" s="15" t="n">
        <v>0.76</v>
      </c>
      <c r="E20462" s="4" t="n">
        <v>75000</v>
      </c>
      <c r="F20462" s="4" t="n">
        <v>57000</v>
      </c>
    </row>
    <row r="20463">
      <c r="A20463" s="3" t="inlineStr">
        <is>
          <t>2</t>
        </is>
      </c>
      <c r="B20463" s="3" t="inlineStr">
        <is>
          <t>Sewa Genset</t>
        </is>
      </c>
      <c r="C20463" s="3" t="inlineStr">
        <is>
          <t>hari</t>
        </is>
      </c>
      <c r="D20463" s="15" t="n">
        <v>0.369</v>
      </c>
      <c r="E20463" s="4" t="n">
        <v>150000</v>
      </c>
      <c r="F20463" s="4" t="n">
        <v>55350</v>
      </c>
    </row>
    <row r="20464">
      <c r="A20464" s="3" t="inlineStr">
        <is>
          <t>3</t>
        </is>
      </c>
      <c r="B20464" s="3" t="inlineStr">
        <is>
          <t>Pompa Sedot</t>
        </is>
      </c>
      <c r="C20464" s="3" t="inlineStr">
        <is>
          <t>hari</t>
        </is>
      </c>
      <c r="D20464" s="15" t="n">
        <v>1.353</v>
      </c>
      <c r="E20464" s="4" t="n">
        <v>280000</v>
      </c>
      <c r="F20464" s="4" t="n">
        <v>378840</v>
      </c>
    </row>
    <row r="20465">
      <c r="A20465" s="3" t="inlineStr">
        <is>
          <t>4</t>
        </is>
      </c>
      <c r="B20465" s="3" t="inlineStr">
        <is>
          <t>Sewa Tripot</t>
        </is>
      </c>
      <c r="C20465" s="3" t="inlineStr">
        <is>
          <t>hari</t>
        </is>
      </c>
      <c r="D20465" s="15" t="n">
        <v>1.026</v>
      </c>
      <c r="E20465" s="4" t="n">
        <v>108000</v>
      </c>
      <c r="F20465" s="4" t="n">
        <v>110808</v>
      </c>
    </row>
    <row r="20466">
      <c r="D20466" s="2" t="inlineStr">
        <is>
          <t>SUBTOTAL UPAH</t>
        </is>
      </c>
      <c r="F20466" s="16" t="n">
        <v>403560</v>
      </c>
    </row>
    <row r="20467">
      <c r="D20467" s="2" t="inlineStr">
        <is>
          <t>SUBTOTAL BAHAN</t>
        </is>
      </c>
      <c r="F20467" s="16" t="n">
        <v>0</v>
      </c>
    </row>
    <row r="20468">
      <c r="D20468" s="2" t="inlineStr">
        <is>
          <t>SUBTOTAL ALAT</t>
        </is>
      </c>
      <c r="F20468" s="16" t="n">
        <v>601998</v>
      </c>
    </row>
    <row r="20469">
      <c r="E20469" s="2" t="inlineStr">
        <is>
          <t>TOTAL HARGA SATUAN (Inc. Overhead)</t>
        </is>
      </c>
      <c r="F20469" s="17" t="n">
        <v>1106113</v>
      </c>
    </row>
    <row r="20471">
      <c r="A20471" s="14" t="inlineStr">
        <is>
          <t>KODE: 9.7.1.4 - Penyambungan 1 buah Pipa Baru ke Pipa Yang Ada, DN. 8" (200 mm)</t>
        </is>
      </c>
    </row>
    <row r="20472">
      <c r="A20472" s="10" t="inlineStr">
        <is>
          <t>No</t>
        </is>
      </c>
      <c r="B20472" s="10" t="inlineStr">
        <is>
          <t>Uraian Komponen</t>
        </is>
      </c>
      <c r="C20472" s="10" t="inlineStr">
        <is>
          <t>Satuan</t>
        </is>
      </c>
      <c r="D20472" s="10" t="inlineStr">
        <is>
          <t>Koef</t>
        </is>
      </c>
      <c r="E20472" s="10" t="inlineStr">
        <is>
          <t>Harga Satuan (Rp)</t>
        </is>
      </c>
      <c r="F20472" s="10" t="inlineStr">
        <is>
          <t>Jumlah Harga (Rp)</t>
        </is>
      </c>
    </row>
    <row r="20473">
      <c r="A20473" s="3" t="inlineStr">
        <is>
          <t>1</t>
        </is>
      </c>
      <c r="B20473" s="3" t="inlineStr">
        <is>
          <t>Pekerja</t>
        </is>
      </c>
      <c r="C20473" s="3" t="inlineStr">
        <is>
          <t>OH</t>
        </is>
      </c>
      <c r="D20473" s="15" t="n">
        <v>2.546</v>
      </c>
      <c r="E20473" s="4" t="n">
        <v>100000</v>
      </c>
      <c r="F20473" s="4" t="n">
        <v>254600</v>
      </c>
    </row>
    <row r="20474">
      <c r="A20474" s="3" t="inlineStr">
        <is>
          <t>2</t>
        </is>
      </c>
      <c r="B20474" s="3" t="inlineStr">
        <is>
          <t>Tukang pipa</t>
        </is>
      </c>
      <c r="C20474" s="3" t="inlineStr">
        <is>
          <t>OH</t>
        </is>
      </c>
      <c r="D20474" s="15" t="n">
        <v>1.273</v>
      </c>
      <c r="E20474" s="4" t="n">
        <v>145000</v>
      </c>
      <c r="F20474" s="4" t="n">
        <v>184585</v>
      </c>
    </row>
    <row r="20475">
      <c r="A20475" s="3" t="inlineStr">
        <is>
          <t>4</t>
        </is>
      </c>
      <c r="B20475" s="3" t="inlineStr">
        <is>
          <t>Mandor</t>
        </is>
      </c>
      <c r="C20475" s="3" t="inlineStr">
        <is>
          <t>OH</t>
        </is>
      </c>
      <c r="D20475" s="15" t="n">
        <v>0.255</v>
      </c>
      <c r="E20475" s="4" t="n">
        <v>200000</v>
      </c>
      <c r="F20475" s="4" t="n">
        <v>51000</v>
      </c>
    </row>
    <row r="20476">
      <c r="A20476" s="3" t="inlineStr">
        <is>
          <t>T2/mekanik / cilinder saw"</t>
        </is>
      </c>
      <c r="B20476" s="3" t="inlineStr"/>
      <c r="C20476" s="3" t="inlineStr">
        <is>
          <t>hari</t>
        </is>
      </c>
      <c r="D20476" s="15" t="n">
        <v>0.87</v>
      </c>
      <c r="E20476" s="4" t="n">
        <v>75000</v>
      </c>
      <c r="F20476" s="4" t="n">
        <v>65250</v>
      </c>
    </row>
    <row r="20477">
      <c r="A20477" s="3" t="inlineStr">
        <is>
          <t>2</t>
        </is>
      </c>
      <c r="B20477" s="3" t="inlineStr">
        <is>
          <t>Sewa Genset</t>
        </is>
      </c>
      <c r="C20477" s="3" t="inlineStr">
        <is>
          <t>hari</t>
        </is>
      </c>
      <c r="D20477" s="15" t="n">
        <v>0.579</v>
      </c>
      <c r="E20477" s="4" t="n">
        <v>150000</v>
      </c>
      <c r="F20477" s="4" t="n">
        <v>86850</v>
      </c>
    </row>
    <row r="20478">
      <c r="A20478" s="3" t="inlineStr">
        <is>
          <t>3</t>
        </is>
      </c>
      <c r="B20478" s="3" t="inlineStr">
        <is>
          <t>Pompa Sedot</t>
        </is>
      </c>
      <c r="C20478" s="3" t="inlineStr">
        <is>
          <t>hari</t>
        </is>
      </c>
      <c r="D20478" s="15" t="n">
        <v>1.628</v>
      </c>
      <c r="E20478" s="4" t="n">
        <v>280000</v>
      </c>
      <c r="F20478" s="4" t="n">
        <v>455839.9999999999</v>
      </c>
    </row>
    <row r="20479">
      <c r="A20479" s="3" t="inlineStr">
        <is>
          <t>4</t>
        </is>
      </c>
      <c r="B20479" s="3" t="inlineStr">
        <is>
          <t>Sewa Tripot</t>
        </is>
      </c>
      <c r="C20479" s="3" t="inlineStr">
        <is>
          <t>hari</t>
        </is>
      </c>
      <c r="D20479" s="15" t="n">
        <v>1.141</v>
      </c>
      <c r="E20479" s="4" t="n">
        <v>108000</v>
      </c>
      <c r="F20479" s="4" t="n">
        <v>123228</v>
      </c>
    </row>
    <row r="20480">
      <c r="D20480" s="2" t="inlineStr">
        <is>
          <t>SUBTOTAL UPAH</t>
        </is>
      </c>
      <c r="F20480" s="16" t="n">
        <v>490185</v>
      </c>
    </row>
    <row r="20481">
      <c r="D20481" s="2" t="inlineStr">
        <is>
          <t>SUBTOTAL BAHAN</t>
        </is>
      </c>
      <c r="F20481" s="16" t="n">
        <v>0</v>
      </c>
    </row>
    <row r="20482">
      <c r="D20482" s="2" t="inlineStr">
        <is>
          <t>SUBTOTAL ALAT</t>
        </is>
      </c>
      <c r="F20482" s="16" t="n">
        <v>731168</v>
      </c>
    </row>
    <row r="20483">
      <c r="E20483" s="2" t="inlineStr">
        <is>
          <t>TOTAL HARGA SATUAN (Inc. Overhead)</t>
        </is>
      </c>
      <c r="F20483" s="17" t="n">
        <v>1343488</v>
      </c>
    </row>
    <row r="20485">
      <c r="A20485" s="14" t="inlineStr">
        <is>
          <t>KODE: 9.7.1.5 - Penyambungan 1 buah Pipa Baru ke Pipa Yang Ada, DN. 10" (250 mm)</t>
        </is>
      </c>
    </row>
    <row r="20486">
      <c r="A20486" s="10" t="inlineStr">
        <is>
          <t>No</t>
        </is>
      </c>
      <c r="B20486" s="10" t="inlineStr">
        <is>
          <t>Uraian Komponen</t>
        </is>
      </c>
      <c r="C20486" s="10" t="inlineStr">
        <is>
          <t>Satuan</t>
        </is>
      </c>
      <c r="D20486" s="10" t="inlineStr">
        <is>
          <t>Koef</t>
        </is>
      </c>
      <c r="E20486" s="10" t="inlineStr">
        <is>
          <t>Harga Satuan (Rp)</t>
        </is>
      </c>
      <c r="F20486" s="10" t="inlineStr">
        <is>
          <t>Jumlah Harga (Rp)</t>
        </is>
      </c>
    </row>
    <row r="20487">
      <c r="A20487" s="3" t="inlineStr">
        <is>
          <t>1</t>
        </is>
      </c>
      <c r="B20487" s="3" t="inlineStr">
        <is>
          <t>Pekerja</t>
        </is>
      </c>
      <c r="C20487" s="3" t="inlineStr">
        <is>
          <t>OH</t>
        </is>
      </c>
      <c r="D20487" s="15" t="n">
        <v>2.996</v>
      </c>
      <c r="E20487" s="4" t="n">
        <v>100000</v>
      </c>
      <c r="F20487" s="4" t="n">
        <v>299600</v>
      </c>
    </row>
    <row r="20488">
      <c r="A20488" s="3" t="inlineStr">
        <is>
          <t>2</t>
        </is>
      </c>
      <c r="B20488" s="3" t="inlineStr">
        <is>
          <t>Tukang pipa</t>
        </is>
      </c>
      <c r="C20488" s="3" t="inlineStr">
        <is>
          <t>OH</t>
        </is>
      </c>
      <c r="D20488" s="15" t="n">
        <v>1.498</v>
      </c>
      <c r="E20488" s="4" t="n">
        <v>145000</v>
      </c>
      <c r="F20488" s="4" t="n">
        <v>217210</v>
      </c>
    </row>
    <row r="20489">
      <c r="A20489" s="3" t="inlineStr">
        <is>
          <t>4</t>
        </is>
      </c>
      <c r="B20489" s="3" t="inlineStr">
        <is>
          <t>Mandor</t>
        </is>
      </c>
      <c r="C20489" s="3" t="inlineStr">
        <is>
          <t>OH</t>
        </is>
      </c>
      <c r="D20489" s="15" t="n">
        <v>0.3</v>
      </c>
      <c r="E20489" s="4" t="n">
        <v>200000</v>
      </c>
      <c r="F20489" s="4" t="n">
        <v>60000</v>
      </c>
    </row>
    <row r="20490">
      <c r="A20490" s="3" t="inlineStr">
        <is>
          <t>T2/mekanik / cilinder saw"</t>
        </is>
      </c>
      <c r="B20490" s="3" t="inlineStr"/>
      <c r="C20490" s="3" t="inlineStr">
        <is>
          <t>hari</t>
        </is>
      </c>
      <c r="D20490" s="15" t="n">
        <v>0.98</v>
      </c>
      <c r="E20490" s="4" t="n">
        <v>75000</v>
      </c>
      <c r="F20490" s="4" t="n">
        <v>73500</v>
      </c>
    </row>
    <row r="20491">
      <c r="A20491" s="3" t="inlineStr">
        <is>
          <t>2</t>
        </is>
      </c>
      <c r="B20491" s="3" t="inlineStr">
        <is>
          <t>Sewa Genset</t>
        </is>
      </c>
      <c r="C20491" s="3" t="inlineStr">
        <is>
          <t>hari</t>
        </is>
      </c>
      <c r="D20491" s="15" t="n">
        <v>0.789</v>
      </c>
      <c r="E20491" s="4" t="n">
        <v>150000</v>
      </c>
      <c r="F20491" s="4" t="n">
        <v>118350</v>
      </c>
    </row>
    <row r="20492">
      <c r="A20492" s="3" t="inlineStr">
        <is>
          <t>3</t>
        </is>
      </c>
      <c r="B20492" s="3" t="inlineStr">
        <is>
          <t>Pompa Sedot</t>
        </is>
      </c>
      <c r="C20492" s="3" t="inlineStr">
        <is>
          <t>hari</t>
        </is>
      </c>
      <c r="D20492" s="15" t="n">
        <v>1.903</v>
      </c>
      <c r="E20492" s="4" t="n">
        <v>280000</v>
      </c>
      <c r="F20492" s="4" t="n">
        <v>532840</v>
      </c>
    </row>
    <row r="20493">
      <c r="A20493" s="3" t="inlineStr">
        <is>
          <t>4</t>
        </is>
      </c>
      <c r="B20493" s="3" t="inlineStr">
        <is>
          <t>Sewa Tripot</t>
        </is>
      </c>
      <c r="C20493" s="3" t="inlineStr">
        <is>
          <t>hari</t>
        </is>
      </c>
      <c r="D20493" s="15" t="n">
        <v>1.256</v>
      </c>
      <c r="E20493" s="4" t="n">
        <v>108000</v>
      </c>
      <c r="F20493" s="4" t="n">
        <v>135648</v>
      </c>
    </row>
    <row r="20494">
      <c r="D20494" s="2" t="inlineStr">
        <is>
          <t>SUBTOTAL UPAH</t>
        </is>
      </c>
      <c r="F20494" s="16" t="n">
        <v>576810</v>
      </c>
    </row>
    <row r="20495">
      <c r="D20495" s="2" t="inlineStr">
        <is>
          <t>SUBTOTAL BAHAN</t>
        </is>
      </c>
      <c r="F20495" s="16" t="n">
        <v>0</v>
      </c>
    </row>
    <row r="20496">
      <c r="D20496" s="2" t="inlineStr">
        <is>
          <t>SUBTOTAL ALAT</t>
        </is>
      </c>
      <c r="F20496" s="16" t="n">
        <v>860338</v>
      </c>
    </row>
    <row r="20497">
      <c r="E20497" s="2" t="inlineStr">
        <is>
          <t>TOTAL HARGA SATUAN (Inc. Overhead)</t>
        </is>
      </c>
      <c r="F20497" s="17" t="n">
        <v>1580862</v>
      </c>
    </row>
    <row r="20499">
      <c r="A20499" s="14" t="inlineStr">
        <is>
          <t>KODE: 9.7.1.6 - Penyambungan 1 buah Pipa Baru ke Pipa Yang Ada, DN. 12" (300 mm)</t>
        </is>
      </c>
    </row>
    <row r="20500">
      <c r="A20500" s="10" t="inlineStr">
        <is>
          <t>No</t>
        </is>
      </c>
      <c r="B20500" s="10" t="inlineStr">
        <is>
          <t>Uraian Komponen</t>
        </is>
      </c>
      <c r="C20500" s="10" t="inlineStr">
        <is>
          <t>Satuan</t>
        </is>
      </c>
      <c r="D20500" s="10" t="inlineStr">
        <is>
          <t>Koef</t>
        </is>
      </c>
      <c r="E20500" s="10" t="inlineStr">
        <is>
          <t>Harga Satuan (Rp)</t>
        </is>
      </c>
      <c r="F20500" s="10" t="inlineStr">
        <is>
          <t>Jumlah Harga (Rp)</t>
        </is>
      </c>
    </row>
    <row r="20501">
      <c r="A20501" s="3" t="inlineStr">
        <is>
          <t>1</t>
        </is>
      </c>
      <c r="B20501" s="3" t="inlineStr">
        <is>
          <t>Pekerja</t>
        </is>
      </c>
      <c r="C20501" s="3" t="inlineStr">
        <is>
          <t>OH</t>
        </is>
      </c>
      <c r="D20501" s="15" t="n">
        <v>3.446</v>
      </c>
      <c r="E20501" s="4" t="n">
        <v>100000</v>
      </c>
      <c r="F20501" s="4" t="n">
        <v>344600</v>
      </c>
    </row>
    <row r="20502">
      <c r="A20502" s="3" t="inlineStr">
        <is>
          <t>2</t>
        </is>
      </c>
      <c r="B20502" s="3" t="inlineStr">
        <is>
          <t>Tukang pipa</t>
        </is>
      </c>
      <c r="C20502" s="3" t="inlineStr">
        <is>
          <t>OH</t>
        </is>
      </c>
      <c r="D20502" s="15" t="n">
        <v>1.723</v>
      </c>
      <c r="E20502" s="4" t="n">
        <v>145000</v>
      </c>
      <c r="F20502" s="4" t="n">
        <v>249835</v>
      </c>
    </row>
    <row r="20503">
      <c r="A20503" s="3" t="inlineStr">
        <is>
          <t>4</t>
        </is>
      </c>
      <c r="B20503" s="3" t="inlineStr">
        <is>
          <t>Mandor</t>
        </is>
      </c>
      <c r="C20503" s="3" t="inlineStr">
        <is>
          <t>OH</t>
        </is>
      </c>
      <c r="D20503" s="15" t="n">
        <v>0.345</v>
      </c>
      <c r="E20503" s="4" t="n">
        <v>200000</v>
      </c>
      <c r="F20503" s="4" t="n">
        <v>69000</v>
      </c>
    </row>
    <row r="20504">
      <c r="A20504" s="3" t="inlineStr">
        <is>
          <t>T2/mekanik / cilinder saw"</t>
        </is>
      </c>
      <c r="B20504" s="3" t="inlineStr"/>
      <c r="C20504" s="3" t="inlineStr">
        <is>
          <t>hari</t>
        </is>
      </c>
      <c r="D20504" s="15" t="n">
        <v>1.09</v>
      </c>
      <c r="E20504" s="4" t="n">
        <v>75000</v>
      </c>
      <c r="F20504" s="4" t="n">
        <v>81750</v>
      </c>
    </row>
    <row r="20505">
      <c r="A20505" s="3" t="inlineStr">
        <is>
          <t>2</t>
        </is>
      </c>
      <c r="B20505" s="3" t="inlineStr">
        <is>
          <t>Sewa Genset</t>
        </is>
      </c>
      <c r="C20505" s="3" t="inlineStr">
        <is>
          <t>hari</t>
        </is>
      </c>
      <c r="D20505" s="15" t="n">
        <v>0.999</v>
      </c>
      <c r="E20505" s="4" t="n">
        <v>150000</v>
      </c>
      <c r="F20505" s="4" t="n">
        <v>149850</v>
      </c>
    </row>
    <row r="20506">
      <c r="A20506" s="3" t="inlineStr">
        <is>
          <t>3</t>
        </is>
      </c>
      <c r="B20506" s="3" t="inlineStr">
        <is>
          <t>Pompa Sedot</t>
        </is>
      </c>
      <c r="C20506" s="3" t="inlineStr">
        <is>
          <t>hari</t>
        </is>
      </c>
      <c r="D20506" s="15" t="n">
        <v>2.178</v>
      </c>
      <c r="E20506" s="4" t="n">
        <v>280000</v>
      </c>
      <c r="F20506" s="4" t="n">
        <v>609840</v>
      </c>
    </row>
    <row r="20507">
      <c r="A20507" s="3" t="inlineStr">
        <is>
          <t>4</t>
        </is>
      </c>
      <c r="B20507" s="3" t="inlineStr">
        <is>
          <t>Sewa Tripot</t>
        </is>
      </c>
      <c r="C20507" s="3" t="inlineStr">
        <is>
          <t>hari</t>
        </is>
      </c>
      <c r="D20507" s="15" t="n">
        <v>1.371</v>
      </c>
      <c r="E20507" s="4" t="n">
        <v>108000</v>
      </c>
      <c r="F20507" s="4" t="n">
        <v>148068</v>
      </c>
    </row>
    <row r="20508">
      <c r="D20508" s="2" t="inlineStr">
        <is>
          <t>SUBTOTAL UPAH</t>
        </is>
      </c>
      <c r="F20508" s="16" t="n">
        <v>663435</v>
      </c>
    </row>
    <row r="20509">
      <c r="D20509" s="2" t="inlineStr">
        <is>
          <t>SUBTOTAL BAHAN</t>
        </is>
      </c>
      <c r="F20509" s="16" t="n">
        <v>0</v>
      </c>
    </row>
    <row r="20510">
      <c r="D20510" s="2" t="inlineStr">
        <is>
          <t>SUBTOTAL ALAT</t>
        </is>
      </c>
      <c r="F20510" s="16" t="n">
        <v>989508</v>
      </c>
    </row>
    <row r="20511">
      <c r="E20511" s="2" t="inlineStr">
        <is>
          <t>TOTAL HARGA SATUAN (Inc. Overhead)</t>
        </is>
      </c>
      <c r="F20511" s="17" t="n">
        <v>1818237</v>
      </c>
    </row>
    <row r="20513">
      <c r="A20513" s="14" t="inlineStr">
        <is>
          <t>KODE: 9.7.1.7 - Penyambungan 1 buah Pipa Baru ke Pipa Yang Ada, DN. 16" (400 mm)</t>
        </is>
      </c>
    </row>
    <row r="20514">
      <c r="A20514" s="10" t="inlineStr">
        <is>
          <t>No</t>
        </is>
      </c>
      <c r="B20514" s="10" t="inlineStr">
        <is>
          <t>Uraian Komponen</t>
        </is>
      </c>
      <c r="C20514" s="10" t="inlineStr">
        <is>
          <t>Satuan</t>
        </is>
      </c>
      <c r="D20514" s="10" t="inlineStr">
        <is>
          <t>Koef</t>
        </is>
      </c>
      <c r="E20514" s="10" t="inlineStr">
        <is>
          <t>Harga Satuan (Rp)</t>
        </is>
      </c>
      <c r="F20514" s="10" t="inlineStr">
        <is>
          <t>Jumlah Harga (Rp)</t>
        </is>
      </c>
    </row>
    <row r="20515">
      <c r="A20515" s="3" t="inlineStr">
        <is>
          <t>1</t>
        </is>
      </c>
      <c r="B20515" s="3" t="inlineStr">
        <is>
          <t>Pekerja</t>
        </is>
      </c>
      <c r="C20515" s="3" t="inlineStr">
        <is>
          <t>OH</t>
        </is>
      </c>
      <c r="D20515" s="15" t="n">
        <v>4.346</v>
      </c>
      <c r="E20515" s="4" t="n">
        <v>100000</v>
      </c>
      <c r="F20515" s="4" t="n">
        <v>434600</v>
      </c>
    </row>
    <row r="20516">
      <c r="A20516" s="3" t="inlineStr">
        <is>
          <t>2</t>
        </is>
      </c>
      <c r="B20516" s="3" t="inlineStr">
        <is>
          <t>Tukang pipa</t>
        </is>
      </c>
      <c r="C20516" s="3" t="inlineStr">
        <is>
          <t>OH</t>
        </is>
      </c>
      <c r="D20516" s="15" t="n">
        <v>2.173</v>
      </c>
      <c r="E20516" s="4" t="n">
        <v>145000</v>
      </c>
      <c r="F20516" s="4" t="n">
        <v>315085</v>
      </c>
    </row>
    <row r="20517">
      <c r="A20517" s="3" t="inlineStr">
        <is>
          <t>4</t>
        </is>
      </c>
      <c r="B20517" s="3" t="inlineStr">
        <is>
          <t>Mandor</t>
        </is>
      </c>
      <c r="C20517" s="3" t="inlineStr">
        <is>
          <t>OH</t>
        </is>
      </c>
      <c r="D20517" s="15" t="n">
        <v>0.435</v>
      </c>
      <c r="E20517" s="4" t="n">
        <v>200000</v>
      </c>
      <c r="F20517" s="4" t="n">
        <v>87000</v>
      </c>
    </row>
    <row r="20518">
      <c r="A20518" s="3" t="inlineStr">
        <is>
          <t>T2/mekanik / cilinder saw"</t>
        </is>
      </c>
      <c r="B20518" s="3" t="inlineStr"/>
      <c r="C20518" s="3" t="inlineStr">
        <is>
          <t>hari</t>
        </is>
      </c>
      <c r="D20518" s="15" t="n">
        <v>1.31</v>
      </c>
      <c r="E20518" s="4" t="n">
        <v>75000</v>
      </c>
      <c r="F20518" s="4" t="n">
        <v>98250</v>
      </c>
    </row>
    <row r="20519">
      <c r="A20519" s="3" t="inlineStr">
        <is>
          <t>2</t>
        </is>
      </c>
      <c r="B20519" s="3" t="inlineStr">
        <is>
          <t>Sewa Genset</t>
        </is>
      </c>
      <c r="C20519" s="3" t="inlineStr">
        <is>
          <t>hari</t>
        </is>
      </c>
      <c r="D20519" s="15" t="n">
        <v>1.419</v>
      </c>
      <c r="E20519" s="4" t="n">
        <v>150000</v>
      </c>
      <c r="F20519" s="4" t="n">
        <v>212850</v>
      </c>
    </row>
    <row r="20520">
      <c r="A20520" s="3" t="inlineStr">
        <is>
          <t>3</t>
        </is>
      </c>
      <c r="B20520" s="3" t="inlineStr">
        <is>
          <t>Pompa Sedot</t>
        </is>
      </c>
      <c r="C20520" s="3" t="inlineStr">
        <is>
          <t>hari</t>
        </is>
      </c>
      <c r="D20520" s="15" t="n">
        <v>2.728</v>
      </c>
      <c r="E20520" s="4" t="n">
        <v>280000</v>
      </c>
      <c r="F20520" s="4" t="n">
        <v>763840</v>
      </c>
    </row>
    <row r="20521">
      <c r="A20521" s="3" t="inlineStr">
        <is>
          <t>4</t>
        </is>
      </c>
      <c r="B20521" s="3" t="inlineStr">
        <is>
          <t>Sewa Tripot</t>
        </is>
      </c>
      <c r="C20521" s="3" t="inlineStr">
        <is>
          <t>hari</t>
        </is>
      </c>
      <c r="D20521" s="15" t="n">
        <v>1.601</v>
      </c>
      <c r="E20521" s="4" t="n">
        <v>108000</v>
      </c>
      <c r="F20521" s="4" t="n">
        <v>172908</v>
      </c>
    </row>
    <row r="20522">
      <c r="D20522" s="2" t="inlineStr">
        <is>
          <t>SUBTOTAL UPAH</t>
        </is>
      </c>
      <c r="F20522" s="16" t="n">
        <v>836685</v>
      </c>
    </row>
    <row r="20523">
      <c r="D20523" s="2" t="inlineStr">
        <is>
          <t>SUBTOTAL BAHAN</t>
        </is>
      </c>
      <c r="F20523" s="16" t="n">
        <v>0</v>
      </c>
    </row>
    <row r="20524">
      <c r="D20524" s="2" t="inlineStr">
        <is>
          <t>SUBTOTAL ALAT</t>
        </is>
      </c>
      <c r="F20524" s="16" t="n">
        <v>1247848</v>
      </c>
    </row>
    <row r="20525">
      <c r="E20525" s="2" t="inlineStr">
        <is>
          <t>TOTAL HARGA SATUAN (Inc. Overhead)</t>
        </is>
      </c>
      <c r="F20525" s="17" t="n">
        <v>2292986</v>
      </c>
    </row>
    <row r="20527">
      <c r="A20527" s="14" t="inlineStr">
        <is>
          <t>KODE: 9.7.1.8 - Penyambungan 1 buah Pipa Baru ke Pipa Yang Ada, DN. 18" (450 mm)</t>
        </is>
      </c>
    </row>
    <row r="20528">
      <c r="A20528" s="10" t="inlineStr">
        <is>
          <t>No</t>
        </is>
      </c>
      <c r="B20528" s="10" t="inlineStr">
        <is>
          <t>Uraian Komponen</t>
        </is>
      </c>
      <c r="C20528" s="10" t="inlineStr">
        <is>
          <t>Satuan</t>
        </is>
      </c>
      <c r="D20528" s="10" t="inlineStr">
        <is>
          <t>Koef</t>
        </is>
      </c>
      <c r="E20528" s="10" t="inlineStr">
        <is>
          <t>Harga Satuan (Rp)</t>
        </is>
      </c>
      <c r="F20528" s="10" t="inlineStr">
        <is>
          <t>Jumlah Harga (Rp)</t>
        </is>
      </c>
    </row>
    <row r="20529">
      <c r="A20529" s="3" t="inlineStr">
        <is>
          <t>1</t>
        </is>
      </c>
      <c r="B20529" s="3" t="inlineStr">
        <is>
          <t>Pekerja</t>
        </is>
      </c>
      <c r="C20529" s="3" t="inlineStr">
        <is>
          <t>OH</t>
        </is>
      </c>
      <c r="D20529" s="15" t="n">
        <v>4.796</v>
      </c>
      <c r="E20529" s="4" t="n">
        <v>100000</v>
      </c>
      <c r="F20529" s="4" t="n">
        <v>479600</v>
      </c>
    </row>
    <row r="20530">
      <c r="A20530" s="3" t="inlineStr">
        <is>
          <t>2</t>
        </is>
      </c>
      <c r="B20530" s="3" t="inlineStr">
        <is>
          <t>Tukang pipa</t>
        </is>
      </c>
      <c r="C20530" s="3" t="inlineStr">
        <is>
          <t>OH</t>
        </is>
      </c>
      <c r="D20530" s="15" t="n">
        <v>2.398</v>
      </c>
      <c r="E20530" s="4" t="n">
        <v>145000</v>
      </c>
      <c r="F20530" s="4" t="n">
        <v>347710</v>
      </c>
    </row>
    <row r="20531">
      <c r="A20531" s="3" t="inlineStr">
        <is>
          <t>4</t>
        </is>
      </c>
      <c r="B20531" s="3" t="inlineStr">
        <is>
          <t>Mandor</t>
        </is>
      </c>
      <c r="C20531" s="3" t="inlineStr">
        <is>
          <t>OH</t>
        </is>
      </c>
      <c r="D20531" s="15" t="n">
        <v>0.48</v>
      </c>
      <c r="E20531" s="4" t="n">
        <v>200000</v>
      </c>
      <c r="F20531" s="4" t="n">
        <v>96000</v>
      </c>
    </row>
    <row r="20532">
      <c r="A20532" s="3" t="inlineStr">
        <is>
          <t>T2/mekanik / cilinder saw"</t>
        </is>
      </c>
      <c r="B20532" s="3" t="inlineStr"/>
      <c r="C20532" s="3" t="inlineStr">
        <is>
          <t>hari</t>
        </is>
      </c>
      <c r="D20532" s="15" t="n">
        <v>1.42</v>
      </c>
      <c r="E20532" s="4" t="n">
        <v>75000</v>
      </c>
      <c r="F20532" s="4" t="n">
        <v>106500</v>
      </c>
    </row>
    <row r="20533">
      <c r="A20533" s="3" t="inlineStr">
        <is>
          <t>2</t>
        </is>
      </c>
      <c r="B20533" s="3" t="inlineStr">
        <is>
          <t>Sewa Genset</t>
        </is>
      </c>
      <c r="C20533" s="3" t="inlineStr">
        <is>
          <t>hari</t>
        </is>
      </c>
      <c r="D20533" s="15" t="n">
        <v>1.629</v>
      </c>
      <c r="E20533" s="4" t="n">
        <v>150000</v>
      </c>
      <c r="F20533" s="4" t="n">
        <v>244350</v>
      </c>
    </row>
    <row r="20534">
      <c r="A20534" s="3" t="inlineStr">
        <is>
          <t>3</t>
        </is>
      </c>
      <c r="B20534" s="3" t="inlineStr">
        <is>
          <t>Pompa Sedot</t>
        </is>
      </c>
      <c r="C20534" s="3" t="inlineStr">
        <is>
          <t>hari</t>
        </is>
      </c>
      <c r="D20534" s="15" t="n">
        <v>3.003</v>
      </c>
      <c r="E20534" s="4" t="n">
        <v>280000</v>
      </c>
      <c r="F20534" s="4" t="n">
        <v>840840</v>
      </c>
    </row>
    <row r="20535">
      <c r="A20535" s="3" t="inlineStr">
        <is>
          <t>4</t>
        </is>
      </c>
      <c r="B20535" s="3" t="inlineStr">
        <is>
          <t>Sewa Tripot</t>
        </is>
      </c>
      <c r="C20535" s="3" t="inlineStr">
        <is>
          <t>hari</t>
        </is>
      </c>
      <c r="D20535" s="15" t="n">
        <v>1.716</v>
      </c>
      <c r="E20535" s="4" t="n">
        <v>108000</v>
      </c>
      <c r="F20535" s="4" t="n">
        <v>185328</v>
      </c>
    </row>
    <row r="20536">
      <c r="D20536" s="2" t="inlineStr">
        <is>
          <t>SUBTOTAL UPAH</t>
        </is>
      </c>
      <c r="F20536" s="16" t="n">
        <v>923310</v>
      </c>
    </row>
    <row r="20537">
      <c r="D20537" s="2" t="inlineStr">
        <is>
          <t>SUBTOTAL BAHAN</t>
        </is>
      </c>
      <c r="F20537" s="16" t="n">
        <v>0</v>
      </c>
    </row>
    <row r="20538">
      <c r="D20538" s="2" t="inlineStr">
        <is>
          <t>SUBTOTAL ALAT</t>
        </is>
      </c>
      <c r="F20538" s="16" t="n">
        <v>1377018</v>
      </c>
    </row>
    <row r="20539">
      <c r="E20539" s="2" t="inlineStr">
        <is>
          <t>TOTAL HARGA SATUAN (Inc. Overhead)</t>
        </is>
      </c>
      <c r="F20539" s="17" t="n">
        <v>2530360</v>
      </c>
    </row>
    <row r="20541">
      <c r="A20541" s="14" t="inlineStr">
        <is>
          <t>KODE: 9.7.1.9 - Penyambungan 1 buah Pipa Baru ke Pipa Yang Ada, DN. 20" (500 mm)</t>
        </is>
      </c>
    </row>
    <row r="20542">
      <c r="A20542" s="10" t="inlineStr">
        <is>
          <t>No</t>
        </is>
      </c>
      <c r="B20542" s="10" t="inlineStr">
        <is>
          <t>Uraian Komponen</t>
        </is>
      </c>
      <c r="C20542" s="10" t="inlineStr">
        <is>
          <t>Satuan</t>
        </is>
      </c>
      <c r="D20542" s="10" t="inlineStr">
        <is>
          <t>Koef</t>
        </is>
      </c>
      <c r="E20542" s="10" t="inlineStr">
        <is>
          <t>Harga Satuan (Rp)</t>
        </is>
      </c>
      <c r="F20542" s="10" t="inlineStr">
        <is>
          <t>Jumlah Harga (Rp)</t>
        </is>
      </c>
    </row>
    <row r="20543">
      <c r="A20543" s="3" t="inlineStr">
        <is>
          <t>1</t>
        </is>
      </c>
      <c r="B20543" s="3" t="inlineStr">
        <is>
          <t>Pekerja</t>
        </is>
      </c>
      <c r="C20543" s="3" t="inlineStr">
        <is>
          <t>OH</t>
        </is>
      </c>
      <c r="D20543" s="15" t="n">
        <v>5.246</v>
      </c>
      <c r="E20543" s="4" t="n">
        <v>100000</v>
      </c>
      <c r="F20543" s="4" t="n">
        <v>524600</v>
      </c>
    </row>
    <row r="20544">
      <c r="A20544" s="3" t="inlineStr">
        <is>
          <t>2</t>
        </is>
      </c>
      <c r="B20544" s="3" t="inlineStr">
        <is>
          <t>Tukang pipa</t>
        </is>
      </c>
      <c r="C20544" s="3" t="inlineStr">
        <is>
          <t>OH</t>
        </is>
      </c>
      <c r="D20544" s="15" t="n">
        <v>2.623</v>
      </c>
      <c r="E20544" s="4" t="n">
        <v>145000</v>
      </c>
      <c r="F20544" s="4" t="n">
        <v>380335.0000000001</v>
      </c>
    </row>
    <row r="20545">
      <c r="A20545" s="3" t="inlineStr">
        <is>
          <t>4</t>
        </is>
      </c>
      <c r="B20545" s="3" t="inlineStr">
        <is>
          <t>Mandor</t>
        </is>
      </c>
      <c r="C20545" s="3" t="inlineStr">
        <is>
          <t>OH</t>
        </is>
      </c>
      <c r="D20545" s="15" t="n">
        <v>0.525</v>
      </c>
      <c r="E20545" s="4" t="n">
        <v>200000</v>
      </c>
      <c r="F20545" s="4" t="n">
        <v>105000</v>
      </c>
    </row>
    <row r="20546">
      <c r="A20546" s="3" t="inlineStr">
        <is>
          <t>T2/mekanik / cilinder saw"</t>
        </is>
      </c>
      <c r="B20546" s="3" t="inlineStr"/>
      <c r="C20546" s="3" t="inlineStr">
        <is>
          <t>hari</t>
        </is>
      </c>
      <c r="D20546" s="15" t="n">
        <v>1.53</v>
      </c>
      <c r="E20546" s="4" t="n">
        <v>75000</v>
      </c>
      <c r="F20546" s="4" t="n">
        <v>114750</v>
      </c>
    </row>
    <row r="20547">
      <c r="A20547" s="3" t="inlineStr">
        <is>
          <t>2</t>
        </is>
      </c>
      <c r="B20547" s="3" t="inlineStr">
        <is>
          <t>Sewa Genset</t>
        </is>
      </c>
      <c r="C20547" s="3" t="inlineStr">
        <is>
          <t>hari</t>
        </is>
      </c>
      <c r="D20547" s="15" t="n">
        <v>1.839</v>
      </c>
      <c r="E20547" s="4" t="n">
        <v>150000</v>
      </c>
      <c r="F20547" s="4" t="n">
        <v>275850</v>
      </c>
    </row>
    <row r="20548">
      <c r="A20548" s="3" t="inlineStr">
        <is>
          <t>3</t>
        </is>
      </c>
      <c r="B20548" s="3" t="inlineStr">
        <is>
          <t>Pompa Sedot</t>
        </is>
      </c>
      <c r="C20548" s="3" t="inlineStr">
        <is>
          <t>hari</t>
        </is>
      </c>
      <c r="D20548" s="15" t="n">
        <v>3.278</v>
      </c>
      <c r="E20548" s="4" t="n">
        <v>280000</v>
      </c>
      <c r="F20548" s="4" t="n">
        <v>917840</v>
      </c>
    </row>
    <row r="20549">
      <c r="A20549" s="3" t="inlineStr">
        <is>
          <t>4</t>
        </is>
      </c>
      <c r="B20549" s="3" t="inlineStr">
        <is>
          <t>Sewa Tripot</t>
        </is>
      </c>
      <c r="C20549" s="3" t="inlineStr">
        <is>
          <t>hari</t>
        </is>
      </c>
      <c r="D20549" s="15" t="n">
        <v>1.831</v>
      </c>
      <c r="E20549" s="4" t="n">
        <v>108000</v>
      </c>
      <c r="F20549" s="4" t="n">
        <v>197748</v>
      </c>
    </row>
    <row r="20550">
      <c r="D20550" s="2" t="inlineStr">
        <is>
          <t>SUBTOTAL UPAH</t>
        </is>
      </c>
      <c r="F20550" s="16" t="n">
        <v>1009935</v>
      </c>
    </row>
    <row r="20551">
      <c r="D20551" s="2" t="inlineStr">
        <is>
          <t>SUBTOTAL BAHAN</t>
        </is>
      </c>
      <c r="F20551" s="16" t="n">
        <v>0</v>
      </c>
    </row>
    <row r="20552">
      <c r="D20552" s="2" t="inlineStr">
        <is>
          <t>SUBTOTAL ALAT</t>
        </is>
      </c>
      <c r="F20552" s="16" t="n">
        <v>1506188</v>
      </c>
    </row>
    <row r="20553">
      <c r="E20553" s="2" t="inlineStr">
        <is>
          <t>TOTAL HARGA SATUAN (Inc. Overhead)</t>
        </is>
      </c>
      <c r="F20553" s="17" t="n">
        <v>2767735</v>
      </c>
    </row>
    <row r="20555">
      <c r="A20555" s="14" t="inlineStr">
        <is>
          <t>KODE: 9.7.1.10 - Penyambungan 1 buah Pipa Baru ke Pipa Yang Ada, DN. 24" (600 mm)</t>
        </is>
      </c>
    </row>
    <row r="20556">
      <c r="A20556" s="10" t="inlineStr">
        <is>
          <t>No</t>
        </is>
      </c>
      <c r="B20556" s="10" t="inlineStr">
        <is>
          <t>Uraian Komponen</t>
        </is>
      </c>
      <c r="C20556" s="10" t="inlineStr">
        <is>
          <t>Satuan</t>
        </is>
      </c>
      <c r="D20556" s="10" t="inlineStr">
        <is>
          <t>Koef</t>
        </is>
      </c>
      <c r="E20556" s="10" t="inlineStr">
        <is>
          <t>Harga Satuan (Rp)</t>
        </is>
      </c>
      <c r="F20556" s="10" t="inlineStr">
        <is>
          <t>Jumlah Harga (Rp)</t>
        </is>
      </c>
    </row>
    <row r="20557">
      <c r="A20557" s="3" t="inlineStr">
        <is>
          <t>1</t>
        </is>
      </c>
      <c r="B20557" s="3" t="inlineStr">
        <is>
          <t>Pekerja</t>
        </is>
      </c>
      <c r="C20557" s="3" t="inlineStr">
        <is>
          <t>OH</t>
        </is>
      </c>
      <c r="D20557" s="15" t="n">
        <v>6.146</v>
      </c>
      <c r="E20557" s="4" t="n">
        <v>100000</v>
      </c>
      <c r="F20557" s="4" t="n">
        <v>614600</v>
      </c>
    </row>
    <row r="20558">
      <c r="A20558" s="3" t="inlineStr">
        <is>
          <t>2</t>
        </is>
      </c>
      <c r="B20558" s="3" t="inlineStr">
        <is>
          <t>Tukang pipa</t>
        </is>
      </c>
      <c r="C20558" s="3" t="inlineStr">
        <is>
          <t>OH</t>
        </is>
      </c>
      <c r="D20558" s="15" t="n">
        <v>3.073</v>
      </c>
      <c r="E20558" s="4" t="n">
        <v>145000</v>
      </c>
      <c r="F20558" s="4" t="n">
        <v>445585</v>
      </c>
    </row>
    <row r="20559">
      <c r="A20559" s="3" t="inlineStr">
        <is>
          <t>4</t>
        </is>
      </c>
      <c r="B20559" s="3" t="inlineStr">
        <is>
          <t>Mandor</t>
        </is>
      </c>
      <c r="C20559" s="3" t="inlineStr">
        <is>
          <t>OH</t>
        </is>
      </c>
      <c r="D20559" s="15" t="n">
        <v>0.615</v>
      </c>
      <c r="E20559" s="4" t="n">
        <v>200000</v>
      </c>
      <c r="F20559" s="4" t="n">
        <v>123000</v>
      </c>
    </row>
    <row r="20560">
      <c r="A20560" s="3" t="inlineStr">
        <is>
          <t>T2/mekanik / cilinder saw"</t>
        </is>
      </c>
      <c r="B20560" s="3" t="inlineStr"/>
      <c r="C20560" s="3" t="inlineStr">
        <is>
          <t>hari</t>
        </is>
      </c>
      <c r="D20560" s="15" t="n">
        <v>1.75</v>
      </c>
      <c r="E20560" s="4" t="n">
        <v>75000</v>
      </c>
      <c r="F20560" s="4" t="n">
        <v>131250</v>
      </c>
    </row>
    <row r="20561">
      <c r="A20561" s="3" t="inlineStr">
        <is>
          <t>2</t>
        </is>
      </c>
      <c r="B20561" s="3" t="inlineStr">
        <is>
          <t>Sewa Genset</t>
        </is>
      </c>
      <c r="C20561" s="3" t="inlineStr">
        <is>
          <t>hari</t>
        </is>
      </c>
      <c r="D20561" s="15" t="n">
        <v>2.259</v>
      </c>
      <c r="E20561" s="4" t="n">
        <v>150000</v>
      </c>
      <c r="F20561" s="4" t="n">
        <v>338850</v>
      </c>
    </row>
    <row r="20562">
      <c r="A20562" s="3" t="inlineStr">
        <is>
          <t>3</t>
        </is>
      </c>
      <c r="B20562" s="3" t="inlineStr">
        <is>
          <t>Pompa Sedot</t>
        </is>
      </c>
      <c r="C20562" s="3" t="inlineStr">
        <is>
          <t>hari</t>
        </is>
      </c>
      <c r="D20562" s="15" t="n">
        <v>3.828</v>
      </c>
      <c r="E20562" s="4" t="n">
        <v>280000</v>
      </c>
      <c r="F20562" s="4" t="n">
        <v>1071840</v>
      </c>
    </row>
    <row r="20563">
      <c r="A20563" s="3" t="inlineStr">
        <is>
          <t>4</t>
        </is>
      </c>
      <c r="B20563" s="3" t="inlineStr">
        <is>
          <t>Sewa Tripot</t>
        </is>
      </c>
      <c r="C20563" s="3" t="inlineStr">
        <is>
          <t>hari</t>
        </is>
      </c>
      <c r="D20563" s="15" t="n">
        <v>2.061</v>
      </c>
      <c r="E20563" s="4" t="n">
        <v>108000</v>
      </c>
      <c r="F20563" s="4" t="n">
        <v>222588</v>
      </c>
    </row>
    <row r="20564">
      <c r="D20564" s="2" t="inlineStr">
        <is>
          <t>SUBTOTAL UPAH</t>
        </is>
      </c>
      <c r="F20564" s="16" t="n">
        <v>1183185</v>
      </c>
    </row>
    <row r="20565">
      <c r="D20565" s="2" t="inlineStr">
        <is>
          <t>SUBTOTAL BAHAN</t>
        </is>
      </c>
      <c r="F20565" s="16" t="n">
        <v>0</v>
      </c>
    </row>
    <row r="20566">
      <c r="D20566" s="2" t="inlineStr">
        <is>
          <t>SUBTOTAL ALAT</t>
        </is>
      </c>
      <c r="F20566" s="16" t="n">
        <v>1764528</v>
      </c>
    </row>
    <row r="20567">
      <c r="E20567" s="2" t="inlineStr">
        <is>
          <t>TOTAL HARGA SATUAN (Inc. Overhead)</t>
        </is>
      </c>
      <c r="F20567" s="17" t="n">
        <v>3242484</v>
      </c>
    </row>
    <row r="20569">
      <c r="A20569" s="14" t="inlineStr">
        <is>
          <t>KODE: 9.7.1.11 - Penyambungan 1 buah Pipa Baru ke Pipa Yang Ada, DN. 28" (700 mm)</t>
        </is>
      </c>
    </row>
    <row r="20570">
      <c r="A20570" s="10" t="inlineStr">
        <is>
          <t>No</t>
        </is>
      </c>
      <c r="B20570" s="10" t="inlineStr">
        <is>
          <t>Uraian Komponen</t>
        </is>
      </c>
      <c r="C20570" s="10" t="inlineStr">
        <is>
          <t>Satuan</t>
        </is>
      </c>
      <c r="D20570" s="10" t="inlineStr">
        <is>
          <t>Koef</t>
        </is>
      </c>
      <c r="E20570" s="10" t="inlineStr">
        <is>
          <t>Harga Satuan (Rp)</t>
        </is>
      </c>
      <c r="F20570" s="10" t="inlineStr">
        <is>
          <t>Jumlah Harga (Rp)</t>
        </is>
      </c>
    </row>
    <row r="20571">
      <c r="A20571" s="3" t="inlineStr">
        <is>
          <t>1</t>
        </is>
      </c>
      <c r="B20571" s="3" t="inlineStr">
        <is>
          <t>Pekerja</t>
        </is>
      </c>
      <c r="C20571" s="3" t="inlineStr">
        <is>
          <t>OH</t>
        </is>
      </c>
      <c r="D20571" s="15" t="n">
        <v>7.046</v>
      </c>
      <c r="E20571" s="4" t="n">
        <v>100000</v>
      </c>
      <c r="F20571" s="4" t="n">
        <v>704600</v>
      </c>
    </row>
    <row r="20572">
      <c r="A20572" s="3" t="inlineStr">
        <is>
          <t>2</t>
        </is>
      </c>
      <c r="B20572" s="3" t="inlineStr">
        <is>
          <t>Tukang pipa</t>
        </is>
      </c>
      <c r="C20572" s="3" t="inlineStr">
        <is>
          <t>OH</t>
        </is>
      </c>
      <c r="D20572" s="15" t="n">
        <v>3.523</v>
      </c>
      <c r="E20572" s="4" t="n">
        <v>145000</v>
      </c>
      <c r="F20572" s="4" t="n">
        <v>510835</v>
      </c>
    </row>
    <row r="20573">
      <c r="A20573" s="3" t="inlineStr">
        <is>
          <t>4</t>
        </is>
      </c>
      <c r="B20573" s="3" t="inlineStr">
        <is>
          <t>Mandor</t>
        </is>
      </c>
      <c r="C20573" s="3" t="inlineStr">
        <is>
          <t>OH</t>
        </is>
      </c>
      <c r="D20573" s="15" t="n">
        <v>0.705</v>
      </c>
      <c r="E20573" s="4" t="n">
        <v>200000</v>
      </c>
      <c r="F20573" s="4" t="n">
        <v>141000</v>
      </c>
    </row>
    <row r="20574">
      <c r="A20574" s="3" t="inlineStr">
        <is>
          <t>T2/mekanik / cilinder saw"</t>
        </is>
      </c>
      <c r="B20574" s="3" t="inlineStr"/>
      <c r="C20574" s="3" t="inlineStr">
        <is>
          <t>hari</t>
        </is>
      </c>
      <c r="D20574" s="15" t="n">
        <v>1.97</v>
      </c>
      <c r="E20574" s="4" t="n">
        <v>75000</v>
      </c>
      <c r="F20574" s="4" t="n">
        <v>147750</v>
      </c>
    </row>
    <row r="20575">
      <c r="A20575" s="3" t="inlineStr">
        <is>
          <t>2</t>
        </is>
      </c>
      <c r="B20575" s="3" t="inlineStr">
        <is>
          <t>Sewa Genset</t>
        </is>
      </c>
      <c r="C20575" s="3" t="inlineStr">
        <is>
          <t>hari</t>
        </is>
      </c>
      <c r="D20575" s="15" t="n">
        <v>2.679</v>
      </c>
      <c r="E20575" s="4" t="n">
        <v>150000</v>
      </c>
      <c r="F20575" s="4" t="n">
        <v>401850</v>
      </c>
    </row>
    <row r="20576">
      <c r="A20576" s="3" t="inlineStr">
        <is>
          <t>3</t>
        </is>
      </c>
      <c r="B20576" s="3" t="inlineStr">
        <is>
          <t>Pompa Sedot</t>
        </is>
      </c>
      <c r="C20576" s="3" t="inlineStr">
        <is>
          <t>hari</t>
        </is>
      </c>
      <c r="D20576" s="15" t="n">
        <v>4.378</v>
      </c>
      <c r="E20576" s="4" t="n">
        <v>280000</v>
      </c>
      <c r="F20576" s="4" t="n">
        <v>1225840</v>
      </c>
    </row>
    <row r="20577">
      <c r="A20577" s="3" t="inlineStr">
        <is>
          <t>4</t>
        </is>
      </c>
      <c r="B20577" s="3" t="inlineStr">
        <is>
          <t>Sewa Tripot</t>
        </is>
      </c>
      <c r="C20577" s="3" t="inlineStr">
        <is>
          <t>hari</t>
        </is>
      </c>
      <c r="D20577" s="15" t="n">
        <v>2.291</v>
      </c>
      <c r="E20577" s="4" t="n">
        <v>108000</v>
      </c>
      <c r="F20577" s="4" t="n">
        <v>247428</v>
      </c>
    </row>
    <row r="20578">
      <c r="D20578" s="2" t="inlineStr">
        <is>
          <t>SUBTOTAL UPAH</t>
        </is>
      </c>
      <c r="F20578" s="16" t="n">
        <v>1356435</v>
      </c>
    </row>
    <row r="20579">
      <c r="D20579" s="2" t="inlineStr">
        <is>
          <t>SUBTOTAL BAHAN</t>
        </is>
      </c>
      <c r="F20579" s="16" t="n">
        <v>0</v>
      </c>
    </row>
    <row r="20580">
      <c r="D20580" s="2" t="inlineStr">
        <is>
          <t>SUBTOTAL ALAT</t>
        </is>
      </c>
      <c r="F20580" s="16" t="n">
        <v>2022868</v>
      </c>
    </row>
    <row r="20581">
      <c r="E20581" s="2" t="inlineStr">
        <is>
          <t>TOTAL HARGA SATUAN (Inc. Overhead)</t>
        </is>
      </c>
      <c r="F20581" s="17" t="n">
        <v>3717233</v>
      </c>
    </row>
    <row r="20583">
      <c r="A20583" s="14" t="inlineStr">
        <is>
          <t>KODE: 9.7.1.12 - Penyambungan 1 buah Pipa Baru ke Pipa Yang Ada, DN. 32" (800 mm)</t>
        </is>
      </c>
    </row>
    <row r="20584">
      <c r="A20584" s="10" t="inlineStr">
        <is>
          <t>No</t>
        </is>
      </c>
      <c r="B20584" s="10" t="inlineStr">
        <is>
          <t>Uraian Komponen</t>
        </is>
      </c>
      <c r="C20584" s="10" t="inlineStr">
        <is>
          <t>Satuan</t>
        </is>
      </c>
      <c r="D20584" s="10" t="inlineStr">
        <is>
          <t>Koef</t>
        </is>
      </c>
      <c r="E20584" s="10" t="inlineStr">
        <is>
          <t>Harga Satuan (Rp)</t>
        </is>
      </c>
      <c r="F20584" s="10" t="inlineStr">
        <is>
          <t>Jumlah Harga (Rp)</t>
        </is>
      </c>
    </row>
    <row r="20585">
      <c r="A20585" s="3" t="inlineStr">
        <is>
          <t>1</t>
        </is>
      </c>
      <c r="B20585" s="3" t="inlineStr">
        <is>
          <t>Pekerja</t>
        </is>
      </c>
      <c r="C20585" s="3" t="inlineStr">
        <is>
          <t>OH</t>
        </is>
      </c>
      <c r="D20585" s="15" t="n">
        <v>7.946</v>
      </c>
      <c r="E20585" s="4" t="n">
        <v>100000</v>
      </c>
      <c r="F20585" s="4" t="n">
        <v>794600</v>
      </c>
    </row>
    <row r="20586">
      <c r="A20586" s="3" t="inlineStr">
        <is>
          <t>2</t>
        </is>
      </c>
      <c r="B20586" s="3" t="inlineStr">
        <is>
          <t>Tukang pipa</t>
        </is>
      </c>
      <c r="C20586" s="3" t="inlineStr">
        <is>
          <t>OH</t>
        </is>
      </c>
      <c r="D20586" s="15" t="n">
        <v>3.973</v>
      </c>
      <c r="E20586" s="4" t="n">
        <v>145000</v>
      </c>
      <c r="F20586" s="4" t="n">
        <v>576085</v>
      </c>
    </row>
    <row r="20587">
      <c r="A20587" s="3" t="inlineStr">
        <is>
          <t>4</t>
        </is>
      </c>
      <c r="B20587" s="3" t="inlineStr">
        <is>
          <t>Mandor</t>
        </is>
      </c>
      <c r="C20587" s="3" t="inlineStr">
        <is>
          <t>OH</t>
        </is>
      </c>
      <c r="D20587" s="15" t="n">
        <v>0.795</v>
      </c>
      <c r="E20587" s="4" t="n">
        <v>200000</v>
      </c>
      <c r="F20587" s="4" t="n">
        <v>159000</v>
      </c>
    </row>
    <row r="20588">
      <c r="A20588" s="3" t="inlineStr">
        <is>
          <t>T2/mekanik / cilinder saw"</t>
        </is>
      </c>
      <c r="B20588" s="3" t="inlineStr"/>
      <c r="C20588" s="3" t="inlineStr">
        <is>
          <t>hari</t>
        </is>
      </c>
      <c r="D20588" s="15" t="n">
        <v>2.19</v>
      </c>
      <c r="E20588" s="4" t="n">
        <v>75000</v>
      </c>
      <c r="F20588" s="4" t="n">
        <v>164250</v>
      </c>
    </row>
    <row r="20589">
      <c r="A20589" s="3" t="inlineStr">
        <is>
          <t>2</t>
        </is>
      </c>
      <c r="B20589" s="3" t="inlineStr">
        <is>
          <t>Sewa Genset</t>
        </is>
      </c>
      <c r="C20589" s="3" t="inlineStr">
        <is>
          <t>hari</t>
        </is>
      </c>
      <c r="D20589" s="15" t="n">
        <v>3.099</v>
      </c>
      <c r="E20589" s="4" t="n">
        <v>150000</v>
      </c>
      <c r="F20589" s="4" t="n">
        <v>464850.0000000001</v>
      </c>
    </row>
    <row r="20590">
      <c r="A20590" s="3" t="inlineStr">
        <is>
          <t>3</t>
        </is>
      </c>
      <c r="B20590" s="3" t="inlineStr">
        <is>
          <t>Pompa Sedot</t>
        </is>
      </c>
      <c r="C20590" s="3" t="inlineStr">
        <is>
          <t>hari</t>
        </is>
      </c>
      <c r="D20590" s="15" t="n">
        <v>4.928</v>
      </c>
      <c r="E20590" s="4" t="n">
        <v>280000</v>
      </c>
      <c r="F20590" s="4" t="n">
        <v>1379840</v>
      </c>
    </row>
    <row r="20591">
      <c r="A20591" s="3" t="inlineStr">
        <is>
          <t>4</t>
        </is>
      </c>
      <c r="B20591" s="3" t="inlineStr">
        <is>
          <t>Sewa Tripot</t>
        </is>
      </c>
      <c r="C20591" s="3" t="inlineStr">
        <is>
          <t>hari</t>
        </is>
      </c>
      <c r="D20591" s="15" t="n">
        <v>2.521</v>
      </c>
      <c r="E20591" s="4" t="n">
        <v>108000</v>
      </c>
      <c r="F20591" s="4" t="n">
        <v>272268</v>
      </c>
    </row>
    <row r="20592">
      <c r="D20592" s="2" t="inlineStr">
        <is>
          <t>SUBTOTAL UPAH</t>
        </is>
      </c>
      <c r="F20592" s="16" t="n">
        <v>1529685</v>
      </c>
    </row>
    <row r="20593">
      <c r="D20593" s="2" t="inlineStr">
        <is>
          <t>SUBTOTAL BAHAN</t>
        </is>
      </c>
      <c r="F20593" s="16" t="n">
        <v>0</v>
      </c>
    </row>
    <row r="20594">
      <c r="D20594" s="2" t="inlineStr">
        <is>
          <t>SUBTOTAL ALAT</t>
        </is>
      </c>
      <c r="F20594" s="16" t="n">
        <v>2281208</v>
      </c>
    </row>
    <row r="20595">
      <c r="E20595" s="2" t="inlineStr">
        <is>
          <t>TOTAL HARGA SATUAN (Inc. Overhead)</t>
        </is>
      </c>
      <c r="F20595" s="17" t="n">
        <v>4191982</v>
      </c>
    </row>
    <row r="20597">
      <c r="A20597" s="14" t="inlineStr">
        <is>
          <t>KODE: 9.7.1.13 - Penyambungan 1 buah Pipa Baru ke Pipa Yang Ada, DN. 1/2" (15 mm)</t>
        </is>
      </c>
    </row>
    <row r="20598">
      <c r="A20598" s="10" t="inlineStr">
        <is>
          <t>No</t>
        </is>
      </c>
      <c r="B20598" s="10" t="inlineStr">
        <is>
          <t>Uraian Komponen</t>
        </is>
      </c>
      <c r="C20598" s="10" t="inlineStr">
        <is>
          <t>Satuan</t>
        </is>
      </c>
      <c r="D20598" s="10" t="inlineStr">
        <is>
          <t>Koef</t>
        </is>
      </c>
      <c r="E20598" s="10" t="inlineStr">
        <is>
          <t>Harga Satuan (Rp)</t>
        </is>
      </c>
      <c r="F20598" s="10" t="inlineStr">
        <is>
          <t>Jumlah Harga (Rp)</t>
        </is>
      </c>
    </row>
    <row r="20599">
      <c r="A20599" s="3" t="inlineStr">
        <is>
          <t>1</t>
        </is>
      </c>
      <c r="B20599" s="3" t="inlineStr">
        <is>
          <t>Pekerja</t>
        </is>
      </c>
      <c r="C20599" s="3" t="inlineStr">
        <is>
          <t>OH</t>
        </is>
      </c>
      <c r="D20599" s="15" t="n">
        <v>0.384</v>
      </c>
      <c r="E20599" s="4" t="n">
        <v>100000</v>
      </c>
      <c r="F20599" s="4" t="n">
        <v>38400</v>
      </c>
    </row>
    <row r="20600">
      <c r="A20600" s="3" t="inlineStr">
        <is>
          <t>2</t>
        </is>
      </c>
      <c r="B20600" s="3" t="inlineStr">
        <is>
          <t>Tukang pipa</t>
        </is>
      </c>
      <c r="C20600" s="3" t="inlineStr">
        <is>
          <t>OH</t>
        </is>
      </c>
      <c r="D20600" s="15" t="n">
        <v>0.192</v>
      </c>
      <c r="E20600" s="4" t="n">
        <v>145000</v>
      </c>
      <c r="F20600" s="4" t="n">
        <v>27840</v>
      </c>
    </row>
    <row r="20601">
      <c r="A20601" s="3" t="inlineStr">
        <is>
          <t>4</t>
        </is>
      </c>
      <c r="B20601" s="3" t="inlineStr">
        <is>
          <t>Mandor</t>
        </is>
      </c>
      <c r="C20601" s="3" t="inlineStr">
        <is>
          <t>OH</t>
        </is>
      </c>
      <c r="D20601" s="15" t="n">
        <v>0.038</v>
      </c>
      <c r="E20601" s="4" t="n">
        <v>200000</v>
      </c>
      <c r="F20601" s="4" t="n">
        <v>7600</v>
      </c>
    </row>
    <row r="20602">
      <c r="A20602" s="3" t="inlineStr">
        <is>
          <t>1</t>
        </is>
      </c>
      <c r="B20602" s="3" t="inlineStr">
        <is>
          <t>Pompa Sedot</t>
        </is>
      </c>
      <c r="C20602" s="3" t="inlineStr">
        <is>
          <t>hari</t>
        </is>
      </c>
      <c r="D20602" s="15" t="n">
        <v>0.254</v>
      </c>
      <c r="E20602" s="4" t="n">
        <v>280000</v>
      </c>
      <c r="F20602" s="4" t="n">
        <v>71120</v>
      </c>
    </row>
    <row r="20603">
      <c r="D20603" s="2" t="inlineStr">
        <is>
          <t>SUBTOTAL UPAH</t>
        </is>
      </c>
      <c r="F20603" s="16" t="n">
        <v>73840</v>
      </c>
    </row>
    <row r="20604">
      <c r="D20604" s="2" t="inlineStr">
        <is>
          <t>SUBTOTAL BAHAN</t>
        </is>
      </c>
      <c r="F20604" s="16" t="n">
        <v>0</v>
      </c>
    </row>
    <row r="20605">
      <c r="D20605" s="2" t="inlineStr">
        <is>
          <t>SUBTOTAL ALAT</t>
        </is>
      </c>
      <c r="F20605" s="16" t="n">
        <v>71120</v>
      </c>
    </row>
    <row r="20606">
      <c r="E20606" s="2" t="inlineStr">
        <is>
          <t>TOTAL HARGA SATUAN (Inc. Overhead)</t>
        </is>
      </c>
      <c r="F20606" s="17" t="n">
        <v>159456</v>
      </c>
    </row>
    <row r="20608">
      <c r="A20608" s="14" t="inlineStr">
        <is>
          <t>KODE: 9.7.1.14 - Penyambungan 1 buah Pipa Baru ke Pipa Yang Ada, DN. 3/4" (20 mm)</t>
        </is>
      </c>
    </row>
    <row r="20609">
      <c r="A20609" s="10" t="inlineStr">
        <is>
          <t>No</t>
        </is>
      </c>
      <c r="B20609" s="10" t="inlineStr">
        <is>
          <t>Uraian Komponen</t>
        </is>
      </c>
      <c r="C20609" s="10" t="inlineStr">
        <is>
          <t>Satuan</t>
        </is>
      </c>
      <c r="D20609" s="10" t="inlineStr">
        <is>
          <t>Koef</t>
        </is>
      </c>
      <c r="E20609" s="10" t="inlineStr">
        <is>
          <t>Harga Satuan (Rp)</t>
        </is>
      </c>
      <c r="F20609" s="10" t="inlineStr">
        <is>
          <t>Jumlah Harga (Rp)</t>
        </is>
      </c>
    </row>
    <row r="20610">
      <c r="A20610" s="3" t="inlineStr">
        <is>
          <t>1</t>
        </is>
      </c>
      <c r="B20610" s="3" t="inlineStr">
        <is>
          <t>Pekerja</t>
        </is>
      </c>
      <c r="C20610" s="3" t="inlineStr">
        <is>
          <t>OH</t>
        </is>
      </c>
      <c r="D20610" s="15" t="n">
        <v>0.48</v>
      </c>
      <c r="E20610" s="4" t="n">
        <v>100000</v>
      </c>
      <c r="F20610" s="4" t="n">
        <v>48000</v>
      </c>
    </row>
    <row r="20611">
      <c r="A20611" s="3" t="inlineStr">
        <is>
          <t>2</t>
        </is>
      </c>
      <c r="B20611" s="3" t="inlineStr">
        <is>
          <t>Tukang pipa</t>
        </is>
      </c>
      <c r="C20611" s="3" t="inlineStr">
        <is>
          <t>OH</t>
        </is>
      </c>
      <c r="D20611" s="15" t="n">
        <v>0.24</v>
      </c>
      <c r="E20611" s="4" t="n">
        <v>145000</v>
      </c>
      <c r="F20611" s="4" t="n">
        <v>34800</v>
      </c>
    </row>
    <row r="20612">
      <c r="A20612" s="3" t="inlineStr">
        <is>
          <t>4</t>
        </is>
      </c>
      <c r="B20612" s="3" t="inlineStr">
        <is>
          <t>Mandor</t>
        </is>
      </c>
      <c r="C20612" s="3" t="inlineStr">
        <is>
          <t>OH</t>
        </is>
      </c>
      <c r="D20612" s="15" t="n">
        <v>0.048</v>
      </c>
      <c r="E20612" s="4" t="n">
        <v>200000</v>
      </c>
      <c r="F20612" s="4" t="n">
        <v>9600</v>
      </c>
    </row>
    <row r="20613">
      <c r="A20613" s="3" t="inlineStr">
        <is>
          <t>1</t>
        </is>
      </c>
      <c r="B20613" s="3" t="inlineStr">
        <is>
          <t>Pompa Sedot</t>
        </is>
      </c>
      <c r="C20613" s="3" t="inlineStr">
        <is>
          <t>hari</t>
        </is>
      </c>
      <c r="D20613" s="15" t="n">
        <v>0.317</v>
      </c>
      <c r="E20613" s="4" t="n">
        <v>280000</v>
      </c>
      <c r="F20613" s="4" t="n">
        <v>88760</v>
      </c>
    </row>
    <row r="20614">
      <c r="D20614" s="2" t="inlineStr">
        <is>
          <t>SUBTOTAL UPAH</t>
        </is>
      </c>
      <c r="F20614" s="16" t="n">
        <v>92400</v>
      </c>
    </row>
    <row r="20615">
      <c r="D20615" s="2" t="inlineStr">
        <is>
          <t>SUBTOTAL BAHAN</t>
        </is>
      </c>
      <c r="F20615" s="16" t="n">
        <v>0</v>
      </c>
    </row>
    <row r="20616">
      <c r="D20616" s="2" t="inlineStr">
        <is>
          <t>SUBTOTAL ALAT</t>
        </is>
      </c>
      <c r="F20616" s="16" t="n">
        <v>88760</v>
      </c>
    </row>
    <row r="20617">
      <c r="E20617" s="2" t="inlineStr">
        <is>
          <t>TOTAL HARGA SATUAN (Inc. Overhead)</t>
        </is>
      </c>
      <c r="F20617" s="17" t="n">
        <v>199276</v>
      </c>
    </row>
    <row r="20619">
      <c r="A20619" s="14" t="inlineStr">
        <is>
          <t>KODE: 9.7.1.15 - Penyambungan 1 buah Pipa Baru ke Pipa Yang Ada, DN. 1" (25 mm)</t>
        </is>
      </c>
    </row>
    <row r="20620">
      <c r="A20620" s="10" t="inlineStr">
        <is>
          <t>No</t>
        </is>
      </c>
      <c r="B20620" s="10" t="inlineStr">
        <is>
          <t>Uraian Komponen</t>
        </is>
      </c>
      <c r="C20620" s="10" t="inlineStr">
        <is>
          <t>Satuan</t>
        </is>
      </c>
      <c r="D20620" s="10" t="inlineStr">
        <is>
          <t>Koef</t>
        </is>
      </c>
      <c r="E20620" s="10" t="inlineStr">
        <is>
          <t>Harga Satuan (Rp)</t>
        </is>
      </c>
      <c r="F20620" s="10" t="inlineStr">
        <is>
          <t>Jumlah Harga (Rp)</t>
        </is>
      </c>
    </row>
    <row r="20621">
      <c r="A20621" s="3" t="inlineStr">
        <is>
          <t>1</t>
        </is>
      </c>
      <c r="B20621" s="3" t="inlineStr">
        <is>
          <t>Pekerja</t>
        </is>
      </c>
      <c r="C20621" s="3" t="inlineStr">
        <is>
          <t>OH</t>
        </is>
      </c>
      <c r="D20621" s="15" t="n">
        <v>0.601</v>
      </c>
      <c r="E20621" s="4" t="n">
        <v>100000</v>
      </c>
      <c r="F20621" s="4" t="n">
        <v>60100</v>
      </c>
    </row>
    <row r="20622">
      <c r="A20622" s="3" t="inlineStr">
        <is>
          <t>2</t>
        </is>
      </c>
      <c r="B20622" s="3" t="inlineStr">
        <is>
          <t>Tukang pipa</t>
        </is>
      </c>
      <c r="C20622" s="3" t="inlineStr">
        <is>
          <t>OH</t>
        </is>
      </c>
      <c r="D20622" s="15" t="n">
        <v>0.3</v>
      </c>
      <c r="E20622" s="4" t="n">
        <v>145000</v>
      </c>
      <c r="F20622" s="4" t="n">
        <v>43500</v>
      </c>
    </row>
    <row r="20623">
      <c r="A20623" s="3" t="inlineStr">
        <is>
          <t>4</t>
        </is>
      </c>
      <c r="B20623" s="3" t="inlineStr">
        <is>
          <t>Mandor</t>
        </is>
      </c>
      <c r="C20623" s="3" t="inlineStr">
        <is>
          <t>OH</t>
        </is>
      </c>
      <c r="D20623" s="15" t="n">
        <v>0.06</v>
      </c>
      <c r="E20623" s="4" t="n">
        <v>200000</v>
      </c>
      <c r="F20623" s="4" t="n">
        <v>12000</v>
      </c>
    </row>
    <row r="20624">
      <c r="A20624" s="3" t="inlineStr">
        <is>
          <t>1</t>
        </is>
      </c>
      <c r="B20624" s="3" t="inlineStr">
        <is>
          <t>Pompa Sedot</t>
        </is>
      </c>
      <c r="C20624" s="3" t="inlineStr">
        <is>
          <t>hari</t>
        </is>
      </c>
      <c r="D20624" s="15" t="n">
        <v>0.396</v>
      </c>
      <c r="E20624" s="4" t="n">
        <v>280000</v>
      </c>
      <c r="F20624" s="4" t="n">
        <v>110880</v>
      </c>
    </row>
    <row r="20625">
      <c r="D20625" s="2" t="inlineStr">
        <is>
          <t>SUBTOTAL UPAH</t>
        </is>
      </c>
      <c r="F20625" s="16" t="n">
        <v>115600</v>
      </c>
    </row>
    <row r="20626">
      <c r="D20626" s="2" t="inlineStr">
        <is>
          <t>SUBTOTAL BAHAN</t>
        </is>
      </c>
      <c r="F20626" s="16" t="n">
        <v>0</v>
      </c>
    </row>
    <row r="20627">
      <c r="D20627" s="2" t="inlineStr">
        <is>
          <t>SUBTOTAL ALAT</t>
        </is>
      </c>
      <c r="F20627" s="16" t="n">
        <v>110880</v>
      </c>
    </row>
    <row r="20628">
      <c r="E20628" s="2" t="inlineStr">
        <is>
          <t>TOTAL HARGA SATUAN (Inc. Overhead)</t>
        </is>
      </c>
      <c r="F20628" s="17" t="n">
        <v>249128</v>
      </c>
    </row>
    <row r="20630">
      <c r="A20630" s="14" t="inlineStr">
        <is>
          <t>KODE: 9.7.1.16 - Penyambungan 1 buah Pipa Baru ke Pipa Yang Ada, DN. 1-1/4" (32 mm)</t>
        </is>
      </c>
    </row>
    <row r="20631">
      <c r="A20631" s="10" t="inlineStr">
        <is>
          <t>No</t>
        </is>
      </c>
      <c r="B20631" s="10" t="inlineStr">
        <is>
          <t>Uraian Komponen</t>
        </is>
      </c>
      <c r="C20631" s="10" t="inlineStr">
        <is>
          <t>Satuan</t>
        </is>
      </c>
      <c r="D20631" s="10" t="inlineStr">
        <is>
          <t>Koef</t>
        </is>
      </c>
      <c r="E20631" s="10" t="inlineStr">
        <is>
          <t>Harga Satuan (Rp)</t>
        </is>
      </c>
      <c r="F20631" s="10" t="inlineStr">
        <is>
          <t>Jumlah Harga (Rp)</t>
        </is>
      </c>
    </row>
    <row r="20632">
      <c r="A20632" s="3" t="inlineStr">
        <is>
          <t>1</t>
        </is>
      </c>
      <c r="B20632" s="3" t="inlineStr">
        <is>
          <t>Pekerja</t>
        </is>
      </c>
      <c r="C20632" s="3" t="inlineStr">
        <is>
          <t>OH</t>
        </is>
      </c>
      <c r="D20632" s="15" t="n">
        <v>0.751</v>
      </c>
      <c r="E20632" s="4" t="n">
        <v>100000</v>
      </c>
      <c r="F20632" s="4" t="n">
        <v>75100</v>
      </c>
    </row>
    <row r="20633">
      <c r="A20633" s="3" t="inlineStr">
        <is>
          <t>2</t>
        </is>
      </c>
      <c r="B20633" s="3" t="inlineStr">
        <is>
          <t>Tukang pipa</t>
        </is>
      </c>
      <c r="C20633" s="3" t="inlineStr">
        <is>
          <t>OH</t>
        </is>
      </c>
      <c r="D20633" s="15" t="n">
        <v>0.375</v>
      </c>
      <c r="E20633" s="4" t="n">
        <v>145000</v>
      </c>
      <c r="F20633" s="4" t="n">
        <v>54375</v>
      </c>
    </row>
    <row r="20634">
      <c r="A20634" s="3" t="inlineStr">
        <is>
          <t>4</t>
        </is>
      </c>
      <c r="B20634" s="3" t="inlineStr">
        <is>
          <t>Mandor</t>
        </is>
      </c>
      <c r="C20634" s="3" t="inlineStr">
        <is>
          <t>OH</t>
        </is>
      </c>
      <c r="D20634" s="15" t="n">
        <v>0.075</v>
      </c>
      <c r="E20634" s="4" t="n">
        <v>200000</v>
      </c>
      <c r="F20634" s="4" t="n">
        <v>15000</v>
      </c>
    </row>
    <row r="20635">
      <c r="A20635" s="3" t="inlineStr">
        <is>
          <t>1</t>
        </is>
      </c>
      <c r="B20635" s="3" t="inlineStr">
        <is>
          <t>Pompa Sedot</t>
        </is>
      </c>
      <c r="C20635" s="3" t="inlineStr">
        <is>
          <t>hari</t>
        </is>
      </c>
      <c r="D20635" s="15" t="n">
        <v>0.496</v>
      </c>
      <c r="E20635" s="4" t="n">
        <v>280000</v>
      </c>
      <c r="F20635" s="4" t="n">
        <v>138880</v>
      </c>
    </row>
    <row r="20636">
      <c r="D20636" s="2" t="inlineStr">
        <is>
          <t>SUBTOTAL UPAH</t>
        </is>
      </c>
      <c r="F20636" s="16" t="n">
        <v>144475</v>
      </c>
    </row>
    <row r="20637">
      <c r="D20637" s="2" t="inlineStr">
        <is>
          <t>SUBTOTAL BAHAN</t>
        </is>
      </c>
      <c r="F20637" s="16" t="n">
        <v>0</v>
      </c>
    </row>
    <row r="20638">
      <c r="D20638" s="2" t="inlineStr">
        <is>
          <t>SUBTOTAL ALAT</t>
        </is>
      </c>
      <c r="F20638" s="16" t="n">
        <v>138880</v>
      </c>
    </row>
    <row r="20639">
      <c r="E20639" s="2" t="inlineStr">
        <is>
          <t>TOTAL HARGA SATUAN (Inc. Overhead)</t>
        </is>
      </c>
      <c r="F20639" s="17" t="n">
        <v>311690</v>
      </c>
    </row>
    <row r="20641">
      <c r="A20641" s="14" t="inlineStr">
        <is>
          <t>KODE: 9.7.1.17 - Penyambungan 1 buah Pipa Baru ke Pipa Yang Ada, DN. 1-1/2" (40 mm)</t>
        </is>
      </c>
    </row>
    <row r="20642">
      <c r="A20642" s="10" t="inlineStr">
        <is>
          <t>No</t>
        </is>
      </c>
      <c r="B20642" s="10" t="inlineStr">
        <is>
          <t>Uraian Komponen</t>
        </is>
      </c>
      <c r="C20642" s="10" t="inlineStr">
        <is>
          <t>Satuan</t>
        </is>
      </c>
      <c r="D20642" s="10" t="inlineStr">
        <is>
          <t>Koef</t>
        </is>
      </c>
      <c r="E20642" s="10" t="inlineStr">
        <is>
          <t>Harga Satuan (Rp)</t>
        </is>
      </c>
      <c r="F20642" s="10" t="inlineStr">
        <is>
          <t>Jumlah Harga (Rp)</t>
        </is>
      </c>
    </row>
    <row r="20643">
      <c r="A20643" s="3" t="inlineStr">
        <is>
          <t>1</t>
        </is>
      </c>
      <c r="B20643" s="3" t="inlineStr">
        <is>
          <t>Pekerja</t>
        </is>
      </c>
      <c r="C20643" s="3" t="inlineStr">
        <is>
          <t>OH</t>
        </is>
      </c>
      <c r="D20643" s="15" t="n">
        <v>0.751</v>
      </c>
      <c r="E20643" s="4" t="n">
        <v>100000</v>
      </c>
      <c r="F20643" s="4" t="n">
        <v>75100</v>
      </c>
    </row>
    <row r="20644">
      <c r="A20644" s="3" t="inlineStr">
        <is>
          <t>2</t>
        </is>
      </c>
      <c r="B20644" s="3" t="inlineStr">
        <is>
          <t>Tukang pipa</t>
        </is>
      </c>
      <c r="C20644" s="3" t="inlineStr">
        <is>
          <t>OH</t>
        </is>
      </c>
      <c r="D20644" s="15" t="n">
        <v>0.375</v>
      </c>
      <c r="E20644" s="4" t="n">
        <v>145000</v>
      </c>
      <c r="F20644" s="4" t="n">
        <v>54375</v>
      </c>
    </row>
    <row r="20645">
      <c r="A20645" s="3" t="inlineStr">
        <is>
          <t>4</t>
        </is>
      </c>
      <c r="B20645" s="3" t="inlineStr">
        <is>
          <t>Mandor</t>
        </is>
      </c>
      <c r="C20645" s="3" t="inlineStr">
        <is>
          <t>OH</t>
        </is>
      </c>
      <c r="D20645" s="15" t="n">
        <v>0.075</v>
      </c>
      <c r="E20645" s="4" t="n">
        <v>200000</v>
      </c>
      <c r="F20645" s="4" t="n">
        <v>15000</v>
      </c>
    </row>
    <row r="20646">
      <c r="A20646" s="3" t="inlineStr">
        <is>
          <t>1</t>
        </is>
      </c>
      <c r="B20646" s="3" t="inlineStr">
        <is>
          <t>Pompa Sedot</t>
        </is>
      </c>
      <c r="C20646" s="3" t="inlineStr">
        <is>
          <t>hari</t>
        </is>
      </c>
      <c r="D20646" s="15" t="n">
        <v>0.496</v>
      </c>
      <c r="E20646" s="4" t="n">
        <v>280000</v>
      </c>
      <c r="F20646" s="4" t="n">
        <v>138880</v>
      </c>
    </row>
    <row r="20647">
      <c r="D20647" s="2" t="inlineStr">
        <is>
          <t>SUBTOTAL UPAH</t>
        </is>
      </c>
      <c r="F20647" s="16" t="n">
        <v>144475</v>
      </c>
    </row>
    <row r="20648">
      <c r="D20648" s="2" t="inlineStr">
        <is>
          <t>SUBTOTAL BAHAN</t>
        </is>
      </c>
      <c r="F20648" s="16" t="n">
        <v>0</v>
      </c>
    </row>
    <row r="20649">
      <c r="D20649" s="2" t="inlineStr">
        <is>
          <t>SUBTOTAL ALAT</t>
        </is>
      </c>
      <c r="F20649" s="16" t="n">
        <v>138880</v>
      </c>
    </row>
    <row r="20650">
      <c r="E20650" s="2" t="inlineStr">
        <is>
          <t>TOTAL HARGA SATUAN (Inc. Overhead)</t>
        </is>
      </c>
      <c r="F20650" s="17" t="n">
        <v>311690</v>
      </c>
    </row>
    <row r="20652">
      <c r="A20652" s="14" t="inlineStr">
        <is>
          <t>KODE: 9.7.1.18 - Penyambungan 1 buah Pipa Baru ke Pipa Yang Ada, DN. 2" (50 mm)</t>
        </is>
      </c>
    </row>
    <row r="20653">
      <c r="A20653" s="10" t="inlineStr">
        <is>
          <t>No</t>
        </is>
      </c>
      <c r="B20653" s="10" t="inlineStr">
        <is>
          <t>Uraian Komponen</t>
        </is>
      </c>
      <c r="C20653" s="10" t="inlineStr">
        <is>
          <t>Satuan</t>
        </is>
      </c>
      <c r="D20653" s="10" t="inlineStr">
        <is>
          <t>Koef</t>
        </is>
      </c>
      <c r="E20653" s="10" t="inlineStr">
        <is>
          <t>Harga Satuan (Rp)</t>
        </is>
      </c>
      <c r="F20653" s="10" t="inlineStr">
        <is>
          <t>Jumlah Harga (Rp)</t>
        </is>
      </c>
    </row>
    <row r="20654">
      <c r="A20654" s="3" t="inlineStr">
        <is>
          <t>1</t>
        </is>
      </c>
      <c r="B20654" s="3" t="inlineStr">
        <is>
          <t>Pekerja</t>
        </is>
      </c>
      <c r="C20654" s="3" t="inlineStr">
        <is>
          <t>OH</t>
        </is>
      </c>
      <c r="D20654" s="15" t="n">
        <v>0.9379999999999999</v>
      </c>
      <c r="E20654" s="4" t="n">
        <v>100000</v>
      </c>
      <c r="F20654" s="4" t="n">
        <v>93800</v>
      </c>
    </row>
    <row r="20655">
      <c r="A20655" s="3" t="inlineStr">
        <is>
          <t>2</t>
        </is>
      </c>
      <c r="B20655" s="3" t="inlineStr">
        <is>
          <t>Tukang pipa</t>
        </is>
      </c>
      <c r="C20655" s="3" t="inlineStr">
        <is>
          <t>OH</t>
        </is>
      </c>
      <c r="D20655" s="15" t="n">
        <v>0.469</v>
      </c>
      <c r="E20655" s="4" t="n">
        <v>145000</v>
      </c>
      <c r="F20655" s="4" t="n">
        <v>68005</v>
      </c>
    </row>
    <row r="20656">
      <c r="A20656" s="3" t="inlineStr">
        <is>
          <t>4</t>
        </is>
      </c>
      <c r="B20656" s="3" t="inlineStr">
        <is>
          <t>Mandor</t>
        </is>
      </c>
      <c r="C20656" s="3" t="inlineStr">
        <is>
          <t>OH</t>
        </is>
      </c>
      <c r="D20656" s="15" t="n">
        <v>0.094</v>
      </c>
      <c r="E20656" s="4" t="n">
        <v>200000</v>
      </c>
      <c r="F20656" s="4" t="n">
        <v>18800</v>
      </c>
    </row>
    <row r="20657">
      <c r="A20657" s="3" t="inlineStr">
        <is>
          <t>1</t>
        </is>
      </c>
      <c r="B20657" s="3" t="inlineStr">
        <is>
          <t>Pompa Sedot</t>
        </is>
      </c>
      <c r="C20657" s="3" t="inlineStr">
        <is>
          <t>hari</t>
        </is>
      </c>
      <c r="D20657" s="15" t="n">
        <v>0.62</v>
      </c>
      <c r="E20657" s="4" t="n">
        <v>280000</v>
      </c>
      <c r="F20657" s="4" t="n">
        <v>173600</v>
      </c>
    </row>
    <row r="20658">
      <c r="D20658" s="2" t="inlineStr">
        <is>
          <t>SUBTOTAL UPAH</t>
        </is>
      </c>
      <c r="F20658" s="16" t="n">
        <v>180605</v>
      </c>
    </row>
    <row r="20659">
      <c r="D20659" s="2" t="inlineStr">
        <is>
          <t>SUBTOTAL BAHAN</t>
        </is>
      </c>
      <c r="F20659" s="16" t="n">
        <v>0</v>
      </c>
    </row>
    <row r="20660">
      <c r="D20660" s="2" t="inlineStr">
        <is>
          <t>SUBTOTAL ALAT</t>
        </is>
      </c>
      <c r="F20660" s="16" t="n">
        <v>173600</v>
      </c>
    </row>
    <row r="20661">
      <c r="E20661" s="2" t="inlineStr">
        <is>
          <t>TOTAL HARGA SATUAN (Inc. Overhead)</t>
        </is>
      </c>
      <c r="F20661" s="17" t="n">
        <v>389625</v>
      </c>
    </row>
    <row r="20663">
      <c r="A20663" s="14" t="inlineStr">
        <is>
          <t>KODE: 9.7.1.19 - Penyambungan 1 buah Pipa Baru ke Pipa Yang Ada, DN. 2-1/2" (65 mm)</t>
        </is>
      </c>
    </row>
    <row r="20664">
      <c r="A20664" s="10" t="inlineStr">
        <is>
          <t>No</t>
        </is>
      </c>
      <c r="B20664" s="10" t="inlineStr">
        <is>
          <t>Uraian Komponen</t>
        </is>
      </c>
      <c r="C20664" s="10" t="inlineStr">
        <is>
          <t>Satuan</t>
        </is>
      </c>
      <c r="D20664" s="10" t="inlineStr">
        <is>
          <t>Koef</t>
        </is>
      </c>
      <c r="E20664" s="10" t="inlineStr">
        <is>
          <t>Harga Satuan (Rp)</t>
        </is>
      </c>
      <c r="F20664" s="10" t="inlineStr">
        <is>
          <t>Jumlah Harga (Rp)</t>
        </is>
      </c>
    </row>
    <row r="20665">
      <c r="A20665" s="3" t="inlineStr">
        <is>
          <t>1</t>
        </is>
      </c>
      <c r="B20665" s="3" t="inlineStr">
        <is>
          <t>Pekerja</t>
        </is>
      </c>
      <c r="C20665" s="3" t="inlineStr">
        <is>
          <t>OH</t>
        </is>
      </c>
      <c r="D20665" s="15" t="n">
        <v>1.173</v>
      </c>
      <c r="E20665" s="4" t="n">
        <v>100000</v>
      </c>
      <c r="F20665" s="4" t="n">
        <v>117300</v>
      </c>
    </row>
    <row r="20666">
      <c r="A20666" s="3" t="inlineStr">
        <is>
          <t>2</t>
        </is>
      </c>
      <c r="B20666" s="3" t="inlineStr">
        <is>
          <t>Tukang pipa</t>
        </is>
      </c>
      <c r="C20666" s="3" t="inlineStr">
        <is>
          <t>OH</t>
        </is>
      </c>
      <c r="D20666" s="15" t="n">
        <v>0.587</v>
      </c>
      <c r="E20666" s="4" t="n">
        <v>145000</v>
      </c>
      <c r="F20666" s="4" t="n">
        <v>85115</v>
      </c>
    </row>
    <row r="20667">
      <c r="A20667" s="3" t="inlineStr">
        <is>
          <t>4</t>
        </is>
      </c>
      <c r="B20667" s="3" t="inlineStr">
        <is>
          <t>Mandor</t>
        </is>
      </c>
      <c r="C20667" s="3" t="inlineStr">
        <is>
          <t>OH</t>
        </is>
      </c>
      <c r="D20667" s="15" t="n">
        <v>0.117</v>
      </c>
      <c r="E20667" s="4" t="n">
        <v>200000</v>
      </c>
      <c r="F20667" s="4" t="n">
        <v>23400</v>
      </c>
    </row>
    <row r="20668">
      <c r="A20668" s="3" t="inlineStr">
        <is>
          <t>1</t>
        </is>
      </c>
      <c r="B20668" s="3" t="inlineStr">
        <is>
          <t>Pompa Sedot</t>
        </is>
      </c>
      <c r="C20668" s="3" t="inlineStr">
        <is>
          <t>hari</t>
        </is>
      </c>
      <c r="D20668" s="15" t="n">
        <v>0.774</v>
      </c>
      <c r="E20668" s="4" t="n">
        <v>280000</v>
      </c>
      <c r="F20668" s="4" t="n">
        <v>216720</v>
      </c>
    </row>
    <row r="20669">
      <c r="D20669" s="2" t="inlineStr">
        <is>
          <t>SUBTOTAL UPAH</t>
        </is>
      </c>
      <c r="F20669" s="16" t="n">
        <v>225815</v>
      </c>
    </row>
    <row r="20670">
      <c r="D20670" s="2" t="inlineStr">
        <is>
          <t>SUBTOTAL BAHAN</t>
        </is>
      </c>
      <c r="F20670" s="16" t="n">
        <v>0</v>
      </c>
    </row>
    <row r="20671">
      <c r="D20671" s="2" t="inlineStr">
        <is>
          <t>SUBTOTAL ALAT</t>
        </is>
      </c>
      <c r="F20671" s="16" t="n">
        <v>216720</v>
      </c>
    </row>
    <row r="20672">
      <c r="E20672" s="2" t="inlineStr">
        <is>
          <t>TOTAL HARGA SATUAN (Inc. Overhead)</t>
        </is>
      </c>
      <c r="F20672" s="17" t="n">
        <v>486788</v>
      </c>
    </row>
    <row r="20674">
      <c r="A20674" s="14" t="inlineStr">
        <is>
          <t>KODE: 9.7.2.1 - Pemasangan 1 Buah Valve Ø 6" (150 mm)</t>
        </is>
      </c>
    </row>
    <row r="20675">
      <c r="A20675" s="10" t="inlineStr">
        <is>
          <t>No</t>
        </is>
      </c>
      <c r="B20675" s="10" t="inlineStr">
        <is>
          <t>Uraian Komponen</t>
        </is>
      </c>
      <c r="C20675" s="10" t="inlineStr">
        <is>
          <t>Satuan</t>
        </is>
      </c>
      <c r="D20675" s="10" t="inlineStr">
        <is>
          <t>Koef</t>
        </is>
      </c>
      <c r="E20675" s="10" t="inlineStr">
        <is>
          <t>Harga Satuan (Rp)</t>
        </is>
      </c>
      <c r="F20675" s="10" t="inlineStr">
        <is>
          <t>Jumlah Harga (Rp)</t>
        </is>
      </c>
    </row>
    <row r="20676">
      <c r="A20676" s="3" t="inlineStr">
        <is>
          <t>1</t>
        </is>
      </c>
      <c r="B20676" s="3" t="inlineStr">
        <is>
          <t>Pekerja</t>
        </is>
      </c>
      <c r="C20676" s="3" t="inlineStr">
        <is>
          <t>OH</t>
        </is>
      </c>
      <c r="D20676" s="15" t="n">
        <v>1.429</v>
      </c>
      <c r="E20676" s="4" t="n">
        <v>100000</v>
      </c>
      <c r="F20676" s="4" t="n">
        <v>142900</v>
      </c>
    </row>
    <row r="20677">
      <c r="A20677" s="3" t="inlineStr">
        <is>
          <t>2</t>
        </is>
      </c>
      <c r="B20677" s="3" t="inlineStr">
        <is>
          <t>Tukang pipa</t>
        </is>
      </c>
      <c r="C20677" s="3" t="inlineStr">
        <is>
          <t>OH</t>
        </is>
      </c>
      <c r="D20677" s="15" t="n">
        <v>0.715</v>
      </c>
      <c r="E20677" s="4" t="n">
        <v>145000</v>
      </c>
      <c r="F20677" s="4" t="n">
        <v>103675</v>
      </c>
    </row>
    <row r="20678">
      <c r="A20678" s="3" t="inlineStr">
        <is>
          <t>4</t>
        </is>
      </c>
      <c r="B20678" s="3" t="inlineStr">
        <is>
          <t>Mandor</t>
        </is>
      </c>
      <c r="C20678" s="3" t="inlineStr">
        <is>
          <t>OH</t>
        </is>
      </c>
      <c r="D20678" s="15" t="n">
        <v>0.143</v>
      </c>
      <c r="E20678" s="4" t="n">
        <v>200000</v>
      </c>
      <c r="F20678" s="4" t="n">
        <v>28600</v>
      </c>
    </row>
    <row r="20679">
      <c r="A20679" s="3" t="inlineStr">
        <is>
          <t>1</t>
        </is>
      </c>
      <c r="B20679" s="3" t="inlineStr">
        <is>
          <t>"Valve Ø 6"" (150 mm)"</t>
        </is>
      </c>
      <c r="C20679" s="3" t="inlineStr">
        <is>
          <t>buah</t>
        </is>
      </c>
      <c r="D20679" s="15" t="n">
        <v>1</v>
      </c>
      <c r="E20679" s="4" t="n">
        <v>225000</v>
      </c>
      <c r="F20679" s="4" t="n">
        <v>225000</v>
      </c>
    </row>
    <row r="20680">
      <c r="A20680" s="3" t="inlineStr">
        <is>
          <t>1</t>
        </is>
      </c>
      <c r="B20680" s="3" t="inlineStr">
        <is>
          <t>Sewa Tripot</t>
        </is>
      </c>
      <c r="C20680" s="3" t="inlineStr">
        <is>
          <t>hari</t>
        </is>
      </c>
      <c r="D20680" s="15" t="n">
        <v>0.1</v>
      </c>
      <c r="E20680" s="4" t="n">
        <v>108000</v>
      </c>
      <c r="F20680" s="4" t="n">
        <v>10800</v>
      </c>
    </row>
    <row r="20681">
      <c r="D20681" s="2" t="inlineStr">
        <is>
          <t>SUBTOTAL UPAH</t>
        </is>
      </c>
      <c r="F20681" s="16" t="n">
        <v>275175</v>
      </c>
    </row>
    <row r="20682">
      <c r="D20682" s="2" t="inlineStr">
        <is>
          <t>SUBTOTAL BAHAN</t>
        </is>
      </c>
      <c r="F20682" s="16" t="n">
        <v>225000</v>
      </c>
    </row>
    <row r="20683">
      <c r="D20683" s="2" t="inlineStr">
        <is>
          <t>SUBTOTAL ALAT</t>
        </is>
      </c>
      <c r="F20683" s="16" t="n">
        <v>10800</v>
      </c>
    </row>
    <row r="20684">
      <c r="E20684" s="2" t="inlineStr">
        <is>
          <t>TOTAL HARGA SATUAN (Inc. Overhead)</t>
        </is>
      </c>
      <c r="F20684" s="17" t="n">
        <v>562072</v>
      </c>
    </row>
    <row r="20686">
      <c r="A20686" s="14" t="inlineStr">
        <is>
          <t>KODE: 9.7.2.2 - Pemasangan 1 Buah Valve Ø 8" (200 mm)</t>
        </is>
      </c>
    </row>
    <row r="20687">
      <c r="A20687" s="10" t="inlineStr">
        <is>
          <t>No</t>
        </is>
      </c>
      <c r="B20687" s="10" t="inlineStr">
        <is>
          <t>Uraian Komponen</t>
        </is>
      </c>
      <c r="C20687" s="10" t="inlineStr">
        <is>
          <t>Satuan</t>
        </is>
      </c>
      <c r="D20687" s="10" t="inlineStr">
        <is>
          <t>Koef</t>
        </is>
      </c>
      <c r="E20687" s="10" t="inlineStr">
        <is>
          <t>Harga Satuan (Rp)</t>
        </is>
      </c>
      <c r="F20687" s="10" t="inlineStr">
        <is>
          <t>Jumlah Harga (Rp)</t>
        </is>
      </c>
    </row>
    <row r="20688">
      <c r="A20688" s="3" t="inlineStr">
        <is>
          <t>1</t>
        </is>
      </c>
      <c r="B20688" s="3" t="inlineStr">
        <is>
          <t>Pekerja</t>
        </is>
      </c>
      <c r="C20688" s="3" t="inlineStr">
        <is>
          <t>OH</t>
        </is>
      </c>
      <c r="D20688" s="15" t="n">
        <v>1.714</v>
      </c>
      <c r="E20688" s="4" t="n">
        <v>100000</v>
      </c>
      <c r="F20688" s="4" t="n">
        <v>171400</v>
      </c>
    </row>
    <row r="20689">
      <c r="A20689" s="3" t="inlineStr">
        <is>
          <t>2</t>
        </is>
      </c>
      <c r="B20689" s="3" t="inlineStr">
        <is>
          <t>Tukang pipa</t>
        </is>
      </c>
      <c r="C20689" s="3" t="inlineStr">
        <is>
          <t>OH</t>
        </is>
      </c>
      <c r="D20689" s="15" t="n">
        <v>0.857</v>
      </c>
      <c r="E20689" s="4" t="n">
        <v>145000</v>
      </c>
      <c r="F20689" s="4" t="n">
        <v>124265</v>
      </c>
    </row>
    <row r="20690">
      <c r="A20690" s="3" t="inlineStr">
        <is>
          <t>4</t>
        </is>
      </c>
      <c r="B20690" s="3" t="inlineStr">
        <is>
          <t>Mandor</t>
        </is>
      </c>
      <c r="C20690" s="3" t="inlineStr">
        <is>
          <t>OH</t>
        </is>
      </c>
      <c r="D20690" s="15" t="n">
        <v>0.171</v>
      </c>
      <c r="E20690" s="4" t="n">
        <v>200000</v>
      </c>
      <c r="F20690" s="4" t="n">
        <v>34200</v>
      </c>
    </row>
    <row r="20691">
      <c r="A20691" s="3" t="inlineStr">
        <is>
          <t>1</t>
        </is>
      </c>
      <c r="B20691" s="3" t="inlineStr">
        <is>
          <t>"Valve Ø 8"" (200 mm)"</t>
        </is>
      </c>
      <c r="C20691" s="3" t="inlineStr">
        <is>
          <t>buah</t>
        </is>
      </c>
      <c r="D20691" s="15" t="n">
        <v>1</v>
      </c>
      <c r="E20691" s="4" t="n">
        <v>290000</v>
      </c>
      <c r="F20691" s="4" t="n">
        <v>290000</v>
      </c>
    </row>
    <row r="20692">
      <c r="A20692" s="3" t="inlineStr">
        <is>
          <t>1</t>
        </is>
      </c>
      <c r="B20692" s="3" t="inlineStr">
        <is>
          <t>Sewa Tripot</t>
        </is>
      </c>
      <c r="C20692" s="3" t="inlineStr">
        <is>
          <t>hari</t>
        </is>
      </c>
      <c r="D20692" s="15" t="n">
        <v>0.3</v>
      </c>
      <c r="E20692" s="4" t="n">
        <v>108000</v>
      </c>
      <c r="F20692" s="4" t="n">
        <v>32400</v>
      </c>
    </row>
    <row r="20693">
      <c r="D20693" s="2" t="inlineStr">
        <is>
          <t>SUBTOTAL UPAH</t>
        </is>
      </c>
      <c r="F20693" s="16" t="n">
        <v>329865</v>
      </c>
    </row>
    <row r="20694">
      <c r="D20694" s="2" t="inlineStr">
        <is>
          <t>SUBTOTAL BAHAN</t>
        </is>
      </c>
      <c r="F20694" s="16" t="n">
        <v>290000</v>
      </c>
    </row>
    <row r="20695">
      <c r="D20695" s="2" t="inlineStr">
        <is>
          <t>SUBTOTAL ALAT</t>
        </is>
      </c>
      <c r="F20695" s="16" t="n">
        <v>32400</v>
      </c>
    </row>
    <row r="20696">
      <c r="E20696" s="2" t="inlineStr">
        <is>
          <t>TOTAL HARGA SATUAN (Inc. Overhead)</t>
        </is>
      </c>
      <c r="F20696" s="17" t="n">
        <v>717491</v>
      </c>
    </row>
    <row r="20698">
      <c r="A20698" s="14" t="inlineStr">
        <is>
          <t>KODE: 9.7.2.3 - Pemasangan 1 Buah Valve Ø 10" (250 mm)</t>
        </is>
      </c>
    </row>
    <row r="20699">
      <c r="A20699" s="10" t="inlineStr">
        <is>
          <t>No</t>
        </is>
      </c>
      <c r="B20699" s="10" t="inlineStr">
        <is>
          <t>Uraian Komponen</t>
        </is>
      </c>
      <c r="C20699" s="10" t="inlineStr">
        <is>
          <t>Satuan</t>
        </is>
      </c>
      <c r="D20699" s="10" t="inlineStr">
        <is>
          <t>Koef</t>
        </is>
      </c>
      <c r="E20699" s="10" t="inlineStr">
        <is>
          <t>Harga Satuan (Rp)</t>
        </is>
      </c>
      <c r="F20699" s="10" t="inlineStr">
        <is>
          <t>Jumlah Harga (Rp)</t>
        </is>
      </c>
    </row>
    <row r="20700">
      <c r="A20700" s="3" t="inlineStr">
        <is>
          <t>1</t>
        </is>
      </c>
      <c r="B20700" s="3" t="inlineStr">
        <is>
          <t>Pekerja</t>
        </is>
      </c>
      <c r="C20700" s="3" t="inlineStr">
        <is>
          <t>OH</t>
        </is>
      </c>
      <c r="D20700" s="15" t="n">
        <v>1.857</v>
      </c>
      <c r="E20700" s="4" t="n">
        <v>100000</v>
      </c>
      <c r="F20700" s="4" t="n">
        <v>185700</v>
      </c>
    </row>
    <row r="20701">
      <c r="A20701" s="3" t="inlineStr">
        <is>
          <t>2</t>
        </is>
      </c>
      <c r="B20701" s="3" t="inlineStr">
        <is>
          <t>Tukang pipa</t>
        </is>
      </c>
      <c r="C20701" s="3" t="inlineStr">
        <is>
          <t>OH</t>
        </is>
      </c>
      <c r="D20701" s="15" t="n">
        <v>0.929</v>
      </c>
      <c r="E20701" s="4" t="n">
        <v>145000</v>
      </c>
      <c r="F20701" s="4" t="n">
        <v>134705</v>
      </c>
    </row>
    <row r="20702">
      <c r="A20702" s="3" t="inlineStr">
        <is>
          <t>4</t>
        </is>
      </c>
      <c r="B20702" s="3" t="inlineStr">
        <is>
          <t>Mandor</t>
        </is>
      </c>
      <c r="C20702" s="3" t="inlineStr">
        <is>
          <t>OH</t>
        </is>
      </c>
      <c r="D20702" s="15" t="n">
        <v>0.186</v>
      </c>
      <c r="E20702" s="4" t="n">
        <v>200000</v>
      </c>
      <c r="F20702" s="4" t="n">
        <v>37200</v>
      </c>
    </row>
    <row r="20703">
      <c r="A20703" s="3" t="inlineStr">
        <is>
          <t>1</t>
        </is>
      </c>
      <c r="B20703" s="3" t="inlineStr">
        <is>
          <t>"Valve Ø 10"" (250 mm)"</t>
        </is>
      </c>
      <c r="C20703" s="3" t="inlineStr">
        <is>
          <t>buah</t>
        </is>
      </c>
      <c r="D20703" s="15" t="n">
        <v>1</v>
      </c>
      <c r="E20703" s="4" t="n">
        <v>350000</v>
      </c>
      <c r="F20703" s="4" t="n">
        <v>350000</v>
      </c>
    </row>
    <row r="20704">
      <c r="A20704" s="3" t="inlineStr">
        <is>
          <t>1</t>
        </is>
      </c>
      <c r="B20704" s="3" t="inlineStr">
        <is>
          <t>Sewa Tripot</t>
        </is>
      </c>
      <c r="C20704" s="3" t="inlineStr">
        <is>
          <t>hari</t>
        </is>
      </c>
      <c r="D20704" s="15" t="n">
        <v>0.4</v>
      </c>
      <c r="E20704" s="4" t="n">
        <v>108000</v>
      </c>
      <c r="F20704" s="4" t="n">
        <v>43200</v>
      </c>
    </row>
    <row r="20705">
      <c r="D20705" s="2" t="inlineStr">
        <is>
          <t>SUBTOTAL UPAH</t>
        </is>
      </c>
      <c r="F20705" s="16" t="n">
        <v>357605</v>
      </c>
    </row>
    <row r="20706">
      <c r="D20706" s="2" t="inlineStr">
        <is>
          <t>SUBTOTAL BAHAN</t>
        </is>
      </c>
      <c r="F20706" s="16" t="n">
        <v>350000</v>
      </c>
    </row>
    <row r="20707">
      <c r="D20707" s="2" t="inlineStr">
        <is>
          <t>SUBTOTAL ALAT</t>
        </is>
      </c>
      <c r="F20707" s="16" t="n">
        <v>43200</v>
      </c>
    </row>
    <row r="20708">
      <c r="E20708" s="2" t="inlineStr">
        <is>
          <t>TOTAL HARGA SATUAN (Inc. Overhead)</t>
        </is>
      </c>
      <c r="F20708" s="17" t="n">
        <v>825885</v>
      </c>
    </row>
    <row r="20710">
      <c r="A20710" s="14" t="inlineStr">
        <is>
          <t>KODE: 9.7.2.4 - Pemasangan 1 Buah Valve Ø 12" (300 mm)</t>
        </is>
      </c>
    </row>
    <row r="20711">
      <c r="A20711" s="10" t="inlineStr">
        <is>
          <t>No</t>
        </is>
      </c>
      <c r="B20711" s="10" t="inlineStr">
        <is>
          <t>Uraian Komponen</t>
        </is>
      </c>
      <c r="C20711" s="10" t="inlineStr">
        <is>
          <t>Satuan</t>
        </is>
      </c>
      <c r="D20711" s="10" t="inlineStr">
        <is>
          <t>Koef</t>
        </is>
      </c>
      <c r="E20711" s="10" t="inlineStr">
        <is>
          <t>Harga Satuan (Rp)</t>
        </is>
      </c>
      <c r="F20711" s="10" t="inlineStr">
        <is>
          <t>Jumlah Harga (Rp)</t>
        </is>
      </c>
    </row>
    <row r="20712">
      <c r="A20712" s="3" t="inlineStr">
        <is>
          <t>1</t>
        </is>
      </c>
      <c r="B20712" s="3" t="inlineStr">
        <is>
          <t>Pekerja</t>
        </is>
      </c>
      <c r="C20712" s="3" t="inlineStr">
        <is>
          <t>OH</t>
        </is>
      </c>
      <c r="D20712" s="15" t="n">
        <v>2</v>
      </c>
      <c r="E20712" s="4" t="n">
        <v>100000</v>
      </c>
      <c r="F20712" s="4" t="n">
        <v>200000</v>
      </c>
    </row>
    <row r="20713">
      <c r="A20713" s="3" t="inlineStr">
        <is>
          <t>2</t>
        </is>
      </c>
      <c r="B20713" s="3" t="inlineStr">
        <is>
          <t>Tukang pipa</t>
        </is>
      </c>
      <c r="C20713" s="3" t="inlineStr">
        <is>
          <t>OH</t>
        </is>
      </c>
      <c r="D20713" s="15" t="n">
        <v>1</v>
      </c>
      <c r="E20713" s="4" t="n">
        <v>145000</v>
      </c>
      <c r="F20713" s="4" t="n">
        <v>145000</v>
      </c>
    </row>
    <row r="20714">
      <c r="A20714" s="3" t="inlineStr">
        <is>
          <t>4</t>
        </is>
      </c>
      <c r="B20714" s="3" t="inlineStr">
        <is>
          <t>Mandor</t>
        </is>
      </c>
      <c r="C20714" s="3" t="inlineStr">
        <is>
          <t>OH</t>
        </is>
      </c>
      <c r="D20714" s="15" t="n">
        <v>0.2</v>
      </c>
      <c r="E20714" s="4" t="n">
        <v>200000</v>
      </c>
      <c r="F20714" s="4" t="n">
        <v>40000</v>
      </c>
    </row>
    <row r="20715">
      <c r="A20715" s="3" t="inlineStr">
        <is>
          <t>1</t>
        </is>
      </c>
      <c r="B20715" s="3" t="inlineStr">
        <is>
          <t>"Valve Ø 12"" (300 mm)"</t>
        </is>
      </c>
      <c r="C20715" s="3" t="inlineStr">
        <is>
          <t>buah</t>
        </is>
      </c>
      <c r="D20715" s="15" t="n">
        <v>1</v>
      </c>
      <c r="E20715" s="4" t="n">
        <v>410000</v>
      </c>
      <c r="F20715" s="4" t="n">
        <v>410000</v>
      </c>
    </row>
    <row r="20716">
      <c r="A20716" s="3" t="inlineStr">
        <is>
          <t>1</t>
        </is>
      </c>
      <c r="B20716" s="3" t="inlineStr">
        <is>
          <t>Sewa Tripot</t>
        </is>
      </c>
      <c r="C20716" s="3" t="inlineStr">
        <is>
          <t>hari</t>
        </is>
      </c>
      <c r="D20716" s="15" t="n">
        <v>0.5</v>
      </c>
      <c r="E20716" s="4" t="n">
        <v>108000</v>
      </c>
      <c r="F20716" s="4" t="n">
        <v>54000</v>
      </c>
    </row>
    <row r="20717">
      <c r="D20717" s="2" t="inlineStr">
        <is>
          <t>SUBTOTAL UPAH</t>
        </is>
      </c>
      <c r="F20717" s="16" t="n">
        <v>385000</v>
      </c>
    </row>
    <row r="20718">
      <c r="D20718" s="2" t="inlineStr">
        <is>
          <t>SUBTOTAL BAHAN</t>
        </is>
      </c>
      <c r="F20718" s="16" t="n">
        <v>410000</v>
      </c>
    </row>
    <row r="20719">
      <c r="D20719" s="2" t="inlineStr">
        <is>
          <t>SUBTOTAL ALAT</t>
        </is>
      </c>
      <c r="F20719" s="16" t="n">
        <v>54000</v>
      </c>
    </row>
    <row r="20720">
      <c r="E20720" s="2" t="inlineStr">
        <is>
          <t>TOTAL HARGA SATUAN (Inc. Overhead)</t>
        </is>
      </c>
      <c r="F20720" s="17" t="n">
        <v>933900</v>
      </c>
    </row>
    <row r="20722">
      <c r="A20722" s="14" t="inlineStr">
        <is>
          <t>KODE: 9.7.2.5 - Pemasangan 1 Buah Valve Ø 16" (400 mm)</t>
        </is>
      </c>
    </row>
    <row r="20723">
      <c r="A20723" s="10" t="inlineStr">
        <is>
          <t>No</t>
        </is>
      </c>
      <c r="B20723" s="10" t="inlineStr">
        <is>
          <t>Uraian Komponen</t>
        </is>
      </c>
      <c r="C20723" s="10" t="inlineStr">
        <is>
          <t>Satuan</t>
        </is>
      </c>
      <c r="D20723" s="10" t="inlineStr">
        <is>
          <t>Koef</t>
        </is>
      </c>
      <c r="E20723" s="10" t="inlineStr">
        <is>
          <t>Harga Satuan (Rp)</t>
        </is>
      </c>
      <c r="F20723" s="10" t="inlineStr">
        <is>
          <t>Jumlah Harga (Rp)</t>
        </is>
      </c>
    </row>
    <row r="20724">
      <c r="A20724" s="3" t="inlineStr">
        <is>
          <t>1</t>
        </is>
      </c>
      <c r="B20724" s="3" t="inlineStr">
        <is>
          <t>Pekerja</t>
        </is>
      </c>
      <c r="C20724" s="3" t="inlineStr">
        <is>
          <t>OH</t>
        </is>
      </c>
      <c r="D20724" s="15" t="n">
        <v>3.429</v>
      </c>
      <c r="E20724" s="4" t="n">
        <v>100000</v>
      </c>
      <c r="F20724" s="4" t="n">
        <v>342900</v>
      </c>
    </row>
    <row r="20725">
      <c r="A20725" s="3" t="inlineStr">
        <is>
          <t>2</t>
        </is>
      </c>
      <c r="B20725" s="3" t="inlineStr">
        <is>
          <t>Tukang pipa</t>
        </is>
      </c>
      <c r="C20725" s="3" t="inlineStr">
        <is>
          <t>OH</t>
        </is>
      </c>
      <c r="D20725" s="15" t="n">
        <v>1.715</v>
      </c>
      <c r="E20725" s="4" t="n">
        <v>145000</v>
      </c>
      <c r="F20725" s="4" t="n">
        <v>248675</v>
      </c>
    </row>
    <row r="20726">
      <c r="A20726" s="3" t="inlineStr">
        <is>
          <t>4</t>
        </is>
      </c>
      <c r="B20726" s="3" t="inlineStr">
        <is>
          <t>Mandor</t>
        </is>
      </c>
      <c r="C20726" s="3" t="inlineStr">
        <is>
          <t>OH</t>
        </is>
      </c>
      <c r="D20726" s="15" t="n">
        <v>0.343</v>
      </c>
      <c r="E20726" s="4" t="n">
        <v>200000</v>
      </c>
      <c r="F20726" s="4" t="n">
        <v>68600</v>
      </c>
    </row>
    <row r="20727">
      <c r="A20727" s="3" t="inlineStr">
        <is>
          <t>1</t>
        </is>
      </c>
      <c r="B20727" s="3" t="inlineStr">
        <is>
          <t>"Valve Ø 16"" (400 mm)"</t>
        </is>
      </c>
      <c r="C20727" s="3" t="inlineStr">
        <is>
          <t>buah</t>
        </is>
      </c>
      <c r="D20727" s="15" t="n">
        <v>1</v>
      </c>
      <c r="E20727" s="4" t="n">
        <v>490000</v>
      </c>
      <c r="F20727" s="4" t="n">
        <v>490000</v>
      </c>
    </row>
    <row r="20728">
      <c r="A20728" s="3" t="inlineStr">
        <is>
          <t>1</t>
        </is>
      </c>
      <c r="B20728" s="3" t="inlineStr">
        <is>
          <t>Sewa Tripot</t>
        </is>
      </c>
      <c r="C20728" s="3" t="inlineStr">
        <is>
          <t>hari</t>
        </is>
      </c>
      <c r="D20728" s="15" t="n">
        <v>1</v>
      </c>
      <c r="E20728" s="4" t="n">
        <v>108000</v>
      </c>
      <c r="F20728" s="4" t="n">
        <v>108000</v>
      </c>
    </row>
    <row r="20729">
      <c r="D20729" s="2" t="inlineStr">
        <is>
          <t>SUBTOTAL UPAH</t>
        </is>
      </c>
      <c r="F20729" s="16" t="n">
        <v>660175</v>
      </c>
    </row>
    <row r="20730">
      <c r="D20730" s="2" t="inlineStr">
        <is>
          <t>SUBTOTAL BAHAN</t>
        </is>
      </c>
      <c r="F20730" s="16" t="n">
        <v>490000</v>
      </c>
    </row>
    <row r="20731">
      <c r="D20731" s="2" t="inlineStr">
        <is>
          <t>SUBTOTAL ALAT</t>
        </is>
      </c>
      <c r="F20731" s="16" t="n">
        <v>108000</v>
      </c>
    </row>
    <row r="20732">
      <c r="E20732" s="2" t="inlineStr">
        <is>
          <t>TOTAL HARGA SATUAN (Inc. Overhead)</t>
        </is>
      </c>
      <c r="F20732" s="17" t="n">
        <v>1383992</v>
      </c>
    </row>
    <row r="20734">
      <c r="A20734" s="14" t="inlineStr">
        <is>
          <t>KODE: 9.7.2.6 - Pemasangan 1 Buah Valve Ø 18" (450 mm)</t>
        </is>
      </c>
    </row>
    <row r="20735">
      <c r="A20735" s="10" t="inlineStr">
        <is>
          <t>No</t>
        </is>
      </c>
      <c r="B20735" s="10" t="inlineStr">
        <is>
          <t>Uraian Komponen</t>
        </is>
      </c>
      <c r="C20735" s="10" t="inlineStr">
        <is>
          <t>Satuan</t>
        </is>
      </c>
      <c r="D20735" s="10" t="inlineStr">
        <is>
          <t>Koef</t>
        </is>
      </c>
      <c r="E20735" s="10" t="inlineStr">
        <is>
          <t>Harga Satuan (Rp)</t>
        </is>
      </c>
      <c r="F20735" s="10" t="inlineStr">
        <is>
          <t>Jumlah Harga (Rp)</t>
        </is>
      </c>
    </row>
    <row r="20736">
      <c r="A20736" s="3" t="inlineStr">
        <is>
          <t>1</t>
        </is>
      </c>
      <c r="B20736" s="3" t="inlineStr">
        <is>
          <t>Pekerja</t>
        </is>
      </c>
      <c r="C20736" s="3" t="inlineStr">
        <is>
          <t>OH</t>
        </is>
      </c>
      <c r="D20736" s="15" t="n">
        <v>3.715</v>
      </c>
      <c r="E20736" s="4" t="n">
        <v>100000</v>
      </c>
      <c r="F20736" s="4" t="n">
        <v>371500</v>
      </c>
    </row>
    <row r="20737">
      <c r="A20737" s="3" t="inlineStr">
        <is>
          <t>2</t>
        </is>
      </c>
      <c r="B20737" s="3" t="inlineStr">
        <is>
          <t>Tukang pipa</t>
        </is>
      </c>
      <c r="C20737" s="3" t="inlineStr">
        <is>
          <t>OH</t>
        </is>
      </c>
      <c r="D20737" s="15" t="n">
        <v>1.858</v>
      </c>
      <c r="E20737" s="4" t="n">
        <v>145000</v>
      </c>
      <c r="F20737" s="4" t="n">
        <v>269410</v>
      </c>
    </row>
    <row r="20738">
      <c r="A20738" s="3" t="inlineStr">
        <is>
          <t>4</t>
        </is>
      </c>
      <c r="B20738" s="3" t="inlineStr">
        <is>
          <t>Mandor</t>
        </is>
      </c>
      <c r="C20738" s="3" t="inlineStr">
        <is>
          <t>OH</t>
        </is>
      </c>
      <c r="D20738" s="15" t="n">
        <v>0.372</v>
      </c>
      <c r="E20738" s="4" t="n">
        <v>200000</v>
      </c>
      <c r="F20738" s="4" t="n">
        <v>74400</v>
      </c>
    </row>
    <row r="20739">
      <c r="A20739" s="3" t="inlineStr">
        <is>
          <t>1</t>
        </is>
      </c>
      <c r="B20739" s="3" t="inlineStr">
        <is>
          <t>"Valve Ø 18"" (450 mm)"</t>
        </is>
      </c>
      <c r="C20739" s="3" t="inlineStr">
        <is>
          <t>buah</t>
        </is>
      </c>
      <c r="D20739" s="15" t="n">
        <v>1</v>
      </c>
      <c r="E20739" s="4" t="n">
        <v>530000</v>
      </c>
      <c r="F20739" s="4" t="n">
        <v>530000</v>
      </c>
    </row>
    <row r="20740">
      <c r="A20740" s="3" t="inlineStr">
        <is>
          <t>1</t>
        </is>
      </c>
      <c r="B20740" s="3" t="inlineStr">
        <is>
          <t>Sewa Tripot</t>
        </is>
      </c>
      <c r="C20740" s="3" t="inlineStr">
        <is>
          <t>hari</t>
        </is>
      </c>
      <c r="D20740" s="15" t="n">
        <v>1</v>
      </c>
      <c r="E20740" s="4" t="n">
        <v>108000</v>
      </c>
      <c r="F20740" s="4" t="n">
        <v>108000</v>
      </c>
    </row>
    <row r="20741">
      <c r="D20741" s="2" t="inlineStr">
        <is>
          <t>SUBTOTAL UPAH</t>
        </is>
      </c>
      <c r="F20741" s="16" t="n">
        <v>715310</v>
      </c>
    </row>
    <row r="20742">
      <c r="D20742" s="2" t="inlineStr">
        <is>
          <t>SUBTOTAL BAHAN</t>
        </is>
      </c>
      <c r="F20742" s="16" t="n">
        <v>530000</v>
      </c>
    </row>
    <row r="20743">
      <c r="D20743" s="2" t="inlineStr">
        <is>
          <t>SUBTOTAL ALAT</t>
        </is>
      </c>
      <c r="F20743" s="16" t="n">
        <v>108000</v>
      </c>
    </row>
    <row r="20744">
      <c r="E20744" s="2" t="inlineStr">
        <is>
          <t>TOTAL HARGA SATUAN (Inc. Overhead)</t>
        </is>
      </c>
      <c r="F20744" s="17" t="n">
        <v>1488641</v>
      </c>
    </row>
    <row r="20746">
      <c r="A20746" s="14" t="inlineStr">
        <is>
          <t>KODE: 9.7.2.7 - Pemasangan 1 Buah Valve Ø 20" (500 mm)</t>
        </is>
      </c>
    </row>
    <row r="20747">
      <c r="A20747" s="10" t="inlineStr">
        <is>
          <t>No</t>
        </is>
      </c>
      <c r="B20747" s="10" t="inlineStr">
        <is>
          <t>Uraian Komponen</t>
        </is>
      </c>
      <c r="C20747" s="10" t="inlineStr">
        <is>
          <t>Satuan</t>
        </is>
      </c>
      <c r="D20747" s="10" t="inlineStr">
        <is>
          <t>Koef</t>
        </is>
      </c>
      <c r="E20747" s="10" t="inlineStr">
        <is>
          <t>Harga Satuan (Rp)</t>
        </is>
      </c>
      <c r="F20747" s="10" t="inlineStr">
        <is>
          <t>Jumlah Harga (Rp)</t>
        </is>
      </c>
    </row>
    <row r="20748">
      <c r="A20748" s="3" t="inlineStr">
        <is>
          <t>1</t>
        </is>
      </c>
      <c r="B20748" s="3" t="inlineStr">
        <is>
          <t>Pekerja</t>
        </is>
      </c>
      <c r="C20748" s="3" t="inlineStr">
        <is>
          <t>OH</t>
        </is>
      </c>
      <c r="D20748" s="15" t="n">
        <v>4</v>
      </c>
      <c r="E20748" s="4" t="n">
        <v>100000</v>
      </c>
      <c r="F20748" s="4" t="n">
        <v>400000</v>
      </c>
    </row>
    <row r="20749">
      <c r="A20749" s="3" t="inlineStr">
        <is>
          <t>2</t>
        </is>
      </c>
      <c r="B20749" s="3" t="inlineStr">
        <is>
          <t>Tukang pipa</t>
        </is>
      </c>
      <c r="C20749" s="3" t="inlineStr">
        <is>
          <t>OH</t>
        </is>
      </c>
      <c r="D20749" s="15" t="n">
        <v>2</v>
      </c>
      <c r="E20749" s="4" t="n">
        <v>145000</v>
      </c>
      <c r="F20749" s="4" t="n">
        <v>290000</v>
      </c>
    </row>
    <row r="20750">
      <c r="A20750" s="3" t="inlineStr">
        <is>
          <t>4</t>
        </is>
      </c>
      <c r="B20750" s="3" t="inlineStr">
        <is>
          <t>Mandor</t>
        </is>
      </c>
      <c r="C20750" s="3" t="inlineStr">
        <is>
          <t>OH</t>
        </is>
      </c>
      <c r="D20750" s="15" t="n">
        <v>0.4</v>
      </c>
      <c r="E20750" s="4" t="n">
        <v>200000</v>
      </c>
      <c r="F20750" s="4" t="n">
        <v>80000</v>
      </c>
    </row>
    <row r="20751">
      <c r="A20751" s="3" t="inlineStr">
        <is>
          <t>1</t>
        </is>
      </c>
      <c r="B20751" s="3" t="inlineStr">
        <is>
          <t>"Valve Ø 20"" (500 mm)"</t>
        </is>
      </c>
      <c r="C20751" s="3" t="inlineStr">
        <is>
          <t>buah</t>
        </is>
      </c>
      <c r="D20751" s="15" t="n">
        <v>1</v>
      </c>
      <c r="E20751" s="4" t="n">
        <v>590000</v>
      </c>
      <c r="F20751" s="4" t="n">
        <v>590000</v>
      </c>
    </row>
    <row r="20752">
      <c r="A20752" s="3" t="inlineStr">
        <is>
          <t>1</t>
        </is>
      </c>
      <c r="B20752" s="3" t="inlineStr">
        <is>
          <t>Sewa Tripot</t>
        </is>
      </c>
      <c r="C20752" s="3" t="inlineStr">
        <is>
          <t>hari</t>
        </is>
      </c>
      <c r="D20752" s="15" t="n">
        <v>1</v>
      </c>
      <c r="E20752" s="4" t="n">
        <v>108000</v>
      </c>
      <c r="F20752" s="4" t="n">
        <v>108000</v>
      </c>
    </row>
    <row r="20753">
      <c r="D20753" s="2" t="inlineStr">
        <is>
          <t>SUBTOTAL UPAH</t>
        </is>
      </c>
      <c r="F20753" s="16" t="n">
        <v>770000</v>
      </c>
    </row>
    <row r="20754">
      <c r="D20754" s="2" t="inlineStr">
        <is>
          <t>SUBTOTAL BAHAN</t>
        </is>
      </c>
      <c r="F20754" s="16" t="n">
        <v>590000</v>
      </c>
    </row>
    <row r="20755">
      <c r="D20755" s="2" t="inlineStr">
        <is>
          <t>SUBTOTAL ALAT</t>
        </is>
      </c>
      <c r="F20755" s="16" t="n">
        <v>108000</v>
      </c>
    </row>
    <row r="20756">
      <c r="E20756" s="2" t="inlineStr">
        <is>
          <t>TOTAL HARGA SATUAN (Inc. Overhead)</t>
        </is>
      </c>
      <c r="F20756" s="17" t="n">
        <v>1614800</v>
      </c>
    </row>
    <row r="20758">
      <c r="A20758" s="14" t="inlineStr">
        <is>
          <t>KODE: 9.7.2.8 - Pemasangan 1 Buah Valve Ø 24" (600 mm)</t>
        </is>
      </c>
    </row>
    <row r="20759">
      <c r="A20759" s="10" t="inlineStr">
        <is>
          <t>No</t>
        </is>
      </c>
      <c r="B20759" s="10" t="inlineStr">
        <is>
          <t>Uraian Komponen</t>
        </is>
      </c>
      <c r="C20759" s="10" t="inlineStr">
        <is>
          <t>Satuan</t>
        </is>
      </c>
      <c r="D20759" s="10" t="inlineStr">
        <is>
          <t>Koef</t>
        </is>
      </c>
      <c r="E20759" s="10" t="inlineStr">
        <is>
          <t>Harga Satuan (Rp)</t>
        </is>
      </c>
      <c r="F20759" s="10" t="inlineStr">
        <is>
          <t>Jumlah Harga (Rp)</t>
        </is>
      </c>
    </row>
    <row r="20760">
      <c r="A20760" s="3" t="inlineStr">
        <is>
          <t>1</t>
        </is>
      </c>
      <c r="B20760" s="3" t="inlineStr">
        <is>
          <t>Pekerja</t>
        </is>
      </c>
      <c r="C20760" s="3" t="inlineStr">
        <is>
          <t>OH</t>
        </is>
      </c>
      <c r="D20760" s="15" t="n">
        <v>1.421</v>
      </c>
      <c r="E20760" s="4" t="n">
        <v>100000</v>
      </c>
      <c r="F20760" s="4" t="n">
        <v>142100</v>
      </c>
    </row>
    <row r="20761">
      <c r="A20761" s="3" t="inlineStr">
        <is>
          <t>2</t>
        </is>
      </c>
      <c r="B20761" s="3" t="inlineStr">
        <is>
          <t>Tukang pipa</t>
        </is>
      </c>
      <c r="C20761" s="3" t="inlineStr">
        <is>
          <t>OH</t>
        </is>
      </c>
      <c r="D20761" s="15" t="n">
        <v>0.711</v>
      </c>
      <c r="E20761" s="4" t="n">
        <v>145000</v>
      </c>
      <c r="F20761" s="4" t="n">
        <v>103095</v>
      </c>
    </row>
    <row r="20762">
      <c r="A20762" s="3" t="inlineStr">
        <is>
          <t>4</t>
        </is>
      </c>
      <c r="B20762" s="3" t="inlineStr">
        <is>
          <t>Mandor</t>
        </is>
      </c>
      <c r="C20762" s="3" t="inlineStr">
        <is>
          <t>OH</t>
        </is>
      </c>
      <c r="D20762" s="15" t="n">
        <v>0.142</v>
      </c>
      <c r="E20762" s="4" t="n">
        <v>200000</v>
      </c>
      <c r="F20762" s="4" t="n">
        <v>28400</v>
      </c>
    </row>
    <row r="20763">
      <c r="A20763" s="3" t="inlineStr">
        <is>
          <t>1</t>
        </is>
      </c>
      <c r="B20763" s="3" t="inlineStr">
        <is>
          <t>"Valve Ø 24"" (600 mm)"</t>
        </is>
      </c>
      <c r="C20763" s="3" t="inlineStr">
        <is>
          <t>buah</t>
        </is>
      </c>
      <c r="D20763" s="15" t="n">
        <v>1</v>
      </c>
      <c r="E20763" s="4" t="n">
        <v>670000</v>
      </c>
      <c r="F20763" s="4" t="n">
        <v>670000</v>
      </c>
    </row>
    <row r="20764">
      <c r="A20764" s="3" t="inlineStr">
        <is>
          <t>1</t>
        </is>
      </c>
      <c r="B20764" s="3" t="inlineStr">
        <is>
          <t>Sewa Tripot</t>
        </is>
      </c>
      <c r="C20764" s="3" t="inlineStr">
        <is>
          <t>hari</t>
        </is>
      </c>
      <c r="D20764" s="15" t="n">
        <v>0.3</v>
      </c>
      <c r="E20764" s="4" t="n">
        <v>108000</v>
      </c>
      <c r="F20764" s="4" t="n">
        <v>32400</v>
      </c>
    </row>
    <row r="20765">
      <c r="A20765" s="3" t="inlineStr">
        <is>
          <t>1</t>
        </is>
      </c>
      <c r="B20765" s="3" t="inlineStr">
        <is>
          <t>Sewa mobil crane</t>
        </is>
      </c>
      <c r="C20765" s="3" t="inlineStr">
        <is>
          <t>hari</t>
        </is>
      </c>
      <c r="D20765" s="15" t="n">
        <v>0.3</v>
      </c>
      <c r="E20765" s="4" t="n">
        <v>1450000</v>
      </c>
      <c r="F20765" s="4" t="n">
        <v>435000</v>
      </c>
    </row>
    <row r="20766">
      <c r="D20766" s="2" t="inlineStr">
        <is>
          <t>SUBTOTAL UPAH</t>
        </is>
      </c>
      <c r="F20766" s="16" t="n">
        <v>273595</v>
      </c>
    </row>
    <row r="20767">
      <c r="D20767" s="2" t="inlineStr">
        <is>
          <t>SUBTOTAL BAHAN</t>
        </is>
      </c>
      <c r="F20767" s="16" t="n">
        <v>670000</v>
      </c>
    </row>
    <row r="20768">
      <c r="D20768" s="2" t="inlineStr">
        <is>
          <t>SUBTOTAL ALAT</t>
        </is>
      </c>
      <c r="F20768" s="16" t="n">
        <v>467400</v>
      </c>
    </row>
    <row r="20769">
      <c r="E20769" s="2" t="inlineStr">
        <is>
          <t>TOTAL HARGA SATUAN (Inc. Overhead)</t>
        </is>
      </c>
      <c r="F20769" s="17" t="n">
        <v>1552094</v>
      </c>
    </row>
    <row r="20771">
      <c r="A20771" s="14" t="inlineStr">
        <is>
          <t>KODE: 9.7.2.9 - Pemasangan 1 Buah Valve Ø 28" (700 mm)</t>
        </is>
      </c>
    </row>
    <row r="20772">
      <c r="A20772" s="10" t="inlineStr">
        <is>
          <t>No</t>
        </is>
      </c>
      <c r="B20772" s="10" t="inlineStr">
        <is>
          <t>Uraian Komponen</t>
        </is>
      </c>
      <c r="C20772" s="10" t="inlineStr">
        <is>
          <t>Satuan</t>
        </is>
      </c>
      <c r="D20772" s="10" t="inlineStr">
        <is>
          <t>Koef</t>
        </is>
      </c>
      <c r="E20772" s="10" t="inlineStr">
        <is>
          <t>Harga Satuan (Rp)</t>
        </is>
      </c>
      <c r="F20772" s="10" t="inlineStr">
        <is>
          <t>Jumlah Harga (Rp)</t>
        </is>
      </c>
    </row>
    <row r="20773">
      <c r="A20773" s="3" t="inlineStr">
        <is>
          <t>1</t>
        </is>
      </c>
      <c r="B20773" s="3" t="inlineStr">
        <is>
          <t>Pekerja</t>
        </is>
      </c>
      <c r="C20773" s="3" t="inlineStr">
        <is>
          <t>OH</t>
        </is>
      </c>
      <c r="D20773" s="15" t="n">
        <v>1.604</v>
      </c>
      <c r="E20773" s="4" t="n">
        <v>100000</v>
      </c>
      <c r="F20773" s="4" t="n">
        <v>160400</v>
      </c>
    </row>
    <row r="20774">
      <c r="A20774" s="3" t="inlineStr">
        <is>
          <t>2</t>
        </is>
      </c>
      <c r="B20774" s="3" t="inlineStr">
        <is>
          <t>Tukang pipa</t>
        </is>
      </c>
      <c r="C20774" s="3" t="inlineStr">
        <is>
          <t>OH</t>
        </is>
      </c>
      <c r="D20774" s="15" t="n">
        <v>0.802</v>
      </c>
      <c r="E20774" s="4" t="n">
        <v>145000</v>
      </c>
      <c r="F20774" s="4" t="n">
        <v>116290</v>
      </c>
    </row>
    <row r="20775">
      <c r="A20775" s="3" t="inlineStr">
        <is>
          <t>4</t>
        </is>
      </c>
      <c r="B20775" s="3" t="inlineStr">
        <is>
          <t>Mandor</t>
        </is>
      </c>
      <c r="C20775" s="3" t="inlineStr">
        <is>
          <t>OH</t>
        </is>
      </c>
      <c r="D20775" s="15" t="n">
        <v>0.161</v>
      </c>
      <c r="E20775" s="4" t="n">
        <v>200000</v>
      </c>
      <c r="F20775" s="4" t="n">
        <v>32200</v>
      </c>
    </row>
    <row r="20776">
      <c r="A20776" s="3" t="inlineStr">
        <is>
          <t>1</t>
        </is>
      </c>
      <c r="B20776" s="3" t="inlineStr">
        <is>
          <t>"Valve Ø 28"" (700 mm)"</t>
        </is>
      </c>
      <c r="C20776" s="3" t="inlineStr">
        <is>
          <t>buah</t>
        </is>
      </c>
      <c r="D20776" s="15" t="n">
        <v>1</v>
      </c>
      <c r="E20776" s="4" t="n">
        <v>750000</v>
      </c>
      <c r="F20776" s="4" t="n">
        <v>750000</v>
      </c>
    </row>
    <row r="20777">
      <c r="A20777" s="3" t="inlineStr">
        <is>
          <t>1</t>
        </is>
      </c>
      <c r="B20777" s="3" t="inlineStr">
        <is>
          <t>Sewa Tripot</t>
        </is>
      </c>
      <c r="C20777" s="3" t="inlineStr">
        <is>
          <t>hari</t>
        </is>
      </c>
      <c r="D20777" s="15" t="n">
        <v>0.5</v>
      </c>
      <c r="E20777" s="4" t="n">
        <v>108000</v>
      </c>
      <c r="F20777" s="4" t="n">
        <v>54000</v>
      </c>
    </row>
    <row r="20778">
      <c r="A20778" s="3" t="inlineStr">
        <is>
          <t>1</t>
        </is>
      </c>
      <c r="B20778" s="3" t="inlineStr">
        <is>
          <t>Sewa mobil crane</t>
        </is>
      </c>
      <c r="C20778" s="3" t="inlineStr">
        <is>
          <t>hari</t>
        </is>
      </c>
      <c r="D20778" s="15" t="n">
        <v>0.5</v>
      </c>
      <c r="E20778" s="4" t="n">
        <v>1450000</v>
      </c>
      <c r="F20778" s="4" t="n">
        <v>725000</v>
      </c>
    </row>
    <row r="20779">
      <c r="D20779" s="2" t="inlineStr">
        <is>
          <t>SUBTOTAL UPAH</t>
        </is>
      </c>
      <c r="F20779" s="16" t="n">
        <v>308890</v>
      </c>
    </row>
    <row r="20780">
      <c r="D20780" s="2" t="inlineStr">
        <is>
          <t>SUBTOTAL BAHAN</t>
        </is>
      </c>
      <c r="F20780" s="16" t="n">
        <v>750000</v>
      </c>
    </row>
    <row r="20781">
      <c r="D20781" s="2" t="inlineStr">
        <is>
          <t>SUBTOTAL ALAT</t>
        </is>
      </c>
      <c r="F20781" s="16" t="n">
        <v>779000</v>
      </c>
    </row>
    <row r="20782">
      <c r="E20782" s="2" t="inlineStr">
        <is>
          <t>TOTAL HARGA SATUAN (Inc. Overhead)</t>
        </is>
      </c>
      <c r="F20782" s="17" t="n">
        <v>2021679</v>
      </c>
    </row>
    <row r="20784">
      <c r="A20784" s="14" t="inlineStr">
        <is>
          <t>KODE: 9.7.2.10 - Pemasangan 1 Buah Valve Ø 32" (800 mm)</t>
        </is>
      </c>
    </row>
    <row r="20785">
      <c r="A20785" s="10" t="inlineStr">
        <is>
          <t>No</t>
        </is>
      </c>
      <c r="B20785" s="10" t="inlineStr">
        <is>
          <t>Uraian Komponen</t>
        </is>
      </c>
      <c r="C20785" s="10" t="inlineStr">
        <is>
          <t>Satuan</t>
        </is>
      </c>
      <c r="D20785" s="10" t="inlineStr">
        <is>
          <t>Koef</t>
        </is>
      </c>
      <c r="E20785" s="10" t="inlineStr">
        <is>
          <t>Harga Satuan (Rp)</t>
        </is>
      </c>
      <c r="F20785" s="10" t="inlineStr">
        <is>
          <t>Jumlah Harga (Rp)</t>
        </is>
      </c>
    </row>
    <row r="20786">
      <c r="A20786" s="3" t="inlineStr">
        <is>
          <t>1</t>
        </is>
      </c>
      <c r="B20786" s="3" t="inlineStr">
        <is>
          <t>Pekerja</t>
        </is>
      </c>
      <c r="C20786" s="3" t="inlineStr">
        <is>
          <t>OH</t>
        </is>
      </c>
      <c r="D20786" s="15" t="n">
        <v>1.786</v>
      </c>
      <c r="E20786" s="4" t="n">
        <v>100000</v>
      </c>
      <c r="F20786" s="4" t="n">
        <v>178600</v>
      </c>
    </row>
    <row r="20787">
      <c r="A20787" s="3" t="inlineStr">
        <is>
          <t>2</t>
        </is>
      </c>
      <c r="B20787" s="3" t="inlineStr">
        <is>
          <t>Tukang pipa</t>
        </is>
      </c>
      <c r="C20787" s="3" t="inlineStr">
        <is>
          <t>OH</t>
        </is>
      </c>
      <c r="D20787" s="15" t="n">
        <v>0.893</v>
      </c>
      <c r="E20787" s="4" t="n">
        <v>145000</v>
      </c>
      <c r="F20787" s="4" t="n">
        <v>129485</v>
      </c>
    </row>
    <row r="20788">
      <c r="A20788" s="3" t="inlineStr">
        <is>
          <t>4</t>
        </is>
      </c>
      <c r="B20788" s="3" t="inlineStr">
        <is>
          <t>Mandor</t>
        </is>
      </c>
      <c r="C20788" s="3" t="inlineStr">
        <is>
          <t>OH</t>
        </is>
      </c>
      <c r="D20788" s="15" t="n">
        <v>0.179</v>
      </c>
      <c r="E20788" s="4" t="n">
        <v>200000</v>
      </c>
      <c r="F20788" s="4" t="n">
        <v>35800</v>
      </c>
    </row>
    <row r="20789">
      <c r="A20789" s="3" t="inlineStr">
        <is>
          <t>1</t>
        </is>
      </c>
      <c r="B20789" s="3" t="inlineStr">
        <is>
          <t>"Valve Ø 32"" (800 mm)"</t>
        </is>
      </c>
      <c r="C20789" s="3" t="inlineStr">
        <is>
          <t>buah</t>
        </is>
      </c>
      <c r="D20789" s="15" t="n">
        <v>1</v>
      </c>
      <c r="E20789" s="4" t="n">
        <v>810000</v>
      </c>
      <c r="F20789" s="4" t="n">
        <v>810000</v>
      </c>
    </row>
    <row r="20790">
      <c r="A20790" s="3" t="inlineStr">
        <is>
          <t>1</t>
        </is>
      </c>
      <c r="B20790" s="3" t="inlineStr">
        <is>
          <t>Sewa Tripot</t>
        </is>
      </c>
      <c r="C20790" s="3" t="inlineStr">
        <is>
          <t>hari</t>
        </is>
      </c>
      <c r="D20790" s="15" t="n">
        <v>0.5</v>
      </c>
      <c r="E20790" s="4" t="n">
        <v>108000</v>
      </c>
      <c r="F20790" s="4" t="n">
        <v>54000</v>
      </c>
    </row>
    <row r="20791">
      <c r="A20791" s="3" t="inlineStr">
        <is>
          <t>1</t>
        </is>
      </c>
      <c r="B20791" s="3" t="inlineStr">
        <is>
          <t>Sewa mobil crane</t>
        </is>
      </c>
      <c r="C20791" s="3" t="inlineStr">
        <is>
          <t>hari</t>
        </is>
      </c>
      <c r="D20791" s="15" t="n">
        <v>0.5</v>
      </c>
      <c r="E20791" s="4" t="n">
        <v>1450000</v>
      </c>
      <c r="F20791" s="4" t="n">
        <v>725000</v>
      </c>
    </row>
    <row r="20792">
      <c r="D20792" s="2" t="inlineStr">
        <is>
          <t>SUBTOTAL UPAH</t>
        </is>
      </c>
      <c r="F20792" s="16" t="n">
        <v>343885</v>
      </c>
    </row>
    <row r="20793">
      <c r="D20793" s="2" t="inlineStr">
        <is>
          <t>SUBTOTAL BAHAN</t>
        </is>
      </c>
      <c r="F20793" s="16" t="n">
        <v>810000</v>
      </c>
    </row>
    <row r="20794">
      <c r="D20794" s="2" t="inlineStr">
        <is>
          <t>SUBTOTAL ALAT</t>
        </is>
      </c>
      <c r="F20794" s="16" t="n">
        <v>779000</v>
      </c>
    </row>
    <row r="20795">
      <c r="E20795" s="2" t="inlineStr">
        <is>
          <t>TOTAL HARGA SATUAN (Inc. Overhead)</t>
        </is>
      </c>
      <c r="F20795" s="17" t="n">
        <v>2126173</v>
      </c>
    </row>
    <row r="20797">
      <c r="A20797" s="14" t="inlineStr">
        <is>
          <t>KODE: 9.7.2.11 - Pemasangan 1 Buah Valve Ø 36" (900 mm)</t>
        </is>
      </c>
    </row>
    <row r="20798">
      <c r="A20798" s="10" t="inlineStr">
        <is>
          <t>No</t>
        </is>
      </c>
      <c r="B20798" s="10" t="inlineStr">
        <is>
          <t>Uraian Komponen</t>
        </is>
      </c>
      <c r="C20798" s="10" t="inlineStr">
        <is>
          <t>Satuan</t>
        </is>
      </c>
      <c r="D20798" s="10" t="inlineStr">
        <is>
          <t>Koef</t>
        </is>
      </c>
      <c r="E20798" s="10" t="inlineStr">
        <is>
          <t>Harga Satuan (Rp)</t>
        </is>
      </c>
      <c r="F20798" s="10" t="inlineStr">
        <is>
          <t>Jumlah Harga (Rp)</t>
        </is>
      </c>
    </row>
    <row r="20799">
      <c r="A20799" s="3" t="inlineStr">
        <is>
          <t>1</t>
        </is>
      </c>
      <c r="B20799" s="3" t="inlineStr">
        <is>
          <t>Pekerja</t>
        </is>
      </c>
      <c r="C20799" s="3" t="inlineStr">
        <is>
          <t>OH</t>
        </is>
      </c>
      <c r="D20799" s="15" t="n">
        <v>2.179</v>
      </c>
      <c r="E20799" s="4" t="n">
        <v>100000</v>
      </c>
      <c r="F20799" s="4" t="n">
        <v>217900</v>
      </c>
    </row>
    <row r="20800">
      <c r="A20800" s="3" t="inlineStr">
        <is>
          <t>2</t>
        </is>
      </c>
      <c r="B20800" s="3" t="inlineStr">
        <is>
          <t>Tukang pipa</t>
        </is>
      </c>
      <c r="C20800" s="3" t="inlineStr">
        <is>
          <t>OH</t>
        </is>
      </c>
      <c r="D20800" s="15" t="n">
        <v>1.09</v>
      </c>
      <c r="E20800" s="4" t="n">
        <v>145000</v>
      </c>
      <c r="F20800" s="4" t="n">
        <v>158050</v>
      </c>
    </row>
    <row r="20801">
      <c r="A20801" s="3" t="inlineStr">
        <is>
          <t>4</t>
        </is>
      </c>
      <c r="B20801" s="3" t="inlineStr">
        <is>
          <t>Mandor</t>
        </is>
      </c>
      <c r="C20801" s="3" t="inlineStr">
        <is>
          <t>OH</t>
        </is>
      </c>
      <c r="D20801" s="15" t="n">
        <v>0.218</v>
      </c>
      <c r="E20801" s="4" t="n">
        <v>200000</v>
      </c>
      <c r="F20801" s="4" t="n">
        <v>43600</v>
      </c>
    </row>
    <row r="20802">
      <c r="A20802" s="3" t="inlineStr">
        <is>
          <t>1</t>
        </is>
      </c>
      <c r="B20802" s="3" t="inlineStr">
        <is>
          <t>"Valve Ø 36"" (900 mm)"</t>
        </is>
      </c>
      <c r="C20802" s="3" t="inlineStr">
        <is>
          <t>buah</t>
        </is>
      </c>
      <c r="D20802" s="15" t="n">
        <v>1</v>
      </c>
      <c r="E20802" s="4" t="n">
        <v>890000</v>
      </c>
      <c r="F20802" s="4" t="n">
        <v>890000</v>
      </c>
    </row>
    <row r="20803">
      <c r="A20803" s="3" t="inlineStr">
        <is>
          <t>1</t>
        </is>
      </c>
      <c r="B20803" s="3" t="inlineStr">
        <is>
          <t>Sewa Tripot</t>
        </is>
      </c>
      <c r="C20803" s="3" t="inlineStr">
        <is>
          <t>hari</t>
        </is>
      </c>
      <c r="D20803" s="15" t="n">
        <v>0.75</v>
      </c>
      <c r="E20803" s="4" t="n">
        <v>108000</v>
      </c>
      <c r="F20803" s="4" t="n">
        <v>81000</v>
      </c>
    </row>
    <row r="20804">
      <c r="A20804" s="3" t="inlineStr">
        <is>
          <t>1</t>
        </is>
      </c>
      <c r="B20804" s="3" t="inlineStr">
        <is>
          <t>Sewa mobil crane</t>
        </is>
      </c>
      <c r="C20804" s="3" t="inlineStr">
        <is>
          <t>hari</t>
        </is>
      </c>
      <c r="D20804" s="15" t="n">
        <v>0.75</v>
      </c>
      <c r="E20804" s="4" t="n">
        <v>1450000</v>
      </c>
      <c r="F20804" s="4" t="n">
        <v>1087500</v>
      </c>
    </row>
    <row r="20805">
      <c r="D20805" s="2" t="inlineStr">
        <is>
          <t>SUBTOTAL UPAH</t>
        </is>
      </c>
      <c r="F20805" s="16" t="n">
        <v>419550</v>
      </c>
    </row>
    <row r="20806">
      <c r="D20806" s="2" t="inlineStr">
        <is>
          <t>SUBTOTAL BAHAN</t>
        </is>
      </c>
      <c r="F20806" s="16" t="n">
        <v>890000</v>
      </c>
    </row>
    <row r="20807">
      <c r="D20807" s="2" t="inlineStr">
        <is>
          <t>SUBTOTAL ALAT</t>
        </is>
      </c>
      <c r="F20807" s="16" t="n">
        <v>1168500</v>
      </c>
    </row>
    <row r="20808">
      <c r="E20808" s="2" t="inlineStr">
        <is>
          <t>TOTAL HARGA SATUAN (Inc. Overhead)</t>
        </is>
      </c>
      <c r="F20808" s="17" t="n">
        <v>2725855</v>
      </c>
    </row>
    <row r="20810">
      <c r="A20810" s="14" t="inlineStr">
        <is>
          <t>KODE: 9.7.2.12 - Pemasangan 1 Buah Valve Ø 40" (1000 mm)</t>
        </is>
      </c>
    </row>
    <row r="20811">
      <c r="A20811" s="10" t="inlineStr">
        <is>
          <t>No</t>
        </is>
      </c>
      <c r="B20811" s="10" t="inlineStr">
        <is>
          <t>Uraian Komponen</t>
        </is>
      </c>
      <c r="C20811" s="10" t="inlineStr">
        <is>
          <t>Satuan</t>
        </is>
      </c>
      <c r="D20811" s="10" t="inlineStr">
        <is>
          <t>Koef</t>
        </is>
      </c>
      <c r="E20811" s="10" t="inlineStr">
        <is>
          <t>Harga Satuan (Rp)</t>
        </is>
      </c>
      <c r="F20811" s="10" t="inlineStr">
        <is>
          <t>Jumlah Harga (Rp)</t>
        </is>
      </c>
    </row>
    <row r="20812">
      <c r="A20812" s="3" t="inlineStr">
        <is>
          <t>1</t>
        </is>
      </c>
      <c r="B20812" s="3" t="inlineStr">
        <is>
          <t>Pekerja</t>
        </is>
      </c>
      <c r="C20812" s="3" t="inlineStr">
        <is>
          <t>OH</t>
        </is>
      </c>
      <c r="D20812" s="15" t="n">
        <v>2.571</v>
      </c>
      <c r="E20812" s="4" t="n">
        <v>100000</v>
      </c>
      <c r="F20812" s="4" t="n">
        <v>257100</v>
      </c>
    </row>
    <row r="20813">
      <c r="A20813" s="3" t="inlineStr">
        <is>
          <t>2</t>
        </is>
      </c>
      <c r="B20813" s="3" t="inlineStr">
        <is>
          <t>Tukang pipa</t>
        </is>
      </c>
      <c r="C20813" s="3" t="inlineStr">
        <is>
          <t>OH</t>
        </is>
      </c>
      <c r="D20813" s="15" t="n">
        <v>1.286</v>
      </c>
      <c r="E20813" s="4" t="n">
        <v>145000</v>
      </c>
      <c r="F20813" s="4" t="n">
        <v>186470</v>
      </c>
    </row>
    <row r="20814">
      <c r="A20814" s="3" t="inlineStr">
        <is>
          <t>4</t>
        </is>
      </c>
      <c r="B20814" s="3" t="inlineStr">
        <is>
          <t>Mandor</t>
        </is>
      </c>
      <c r="C20814" s="3" t="inlineStr">
        <is>
          <t>OH</t>
        </is>
      </c>
      <c r="D20814" s="15" t="n">
        <v>0.257</v>
      </c>
      <c r="E20814" s="4" t="n">
        <v>200000</v>
      </c>
      <c r="F20814" s="4" t="n">
        <v>51400</v>
      </c>
    </row>
    <row r="20815">
      <c r="A20815" s="3" t="inlineStr">
        <is>
          <t>1</t>
        </is>
      </c>
      <c r="B20815" s="3" t="inlineStr">
        <is>
          <t>"Valve Ø 40"" (1000 mm)"</t>
        </is>
      </c>
      <c r="C20815" s="3" t="inlineStr">
        <is>
          <t>buah</t>
        </is>
      </c>
      <c r="D20815" s="15" t="n">
        <v>1</v>
      </c>
      <c r="E20815" s="4" t="n">
        <v>950000</v>
      </c>
      <c r="F20815" s="4" t="n">
        <v>950000</v>
      </c>
    </row>
    <row r="20816">
      <c r="A20816" s="3" t="inlineStr">
        <is>
          <t>1</t>
        </is>
      </c>
      <c r="B20816" s="3" t="inlineStr">
        <is>
          <t>Sewa Tripot</t>
        </is>
      </c>
      <c r="C20816" s="3" t="inlineStr">
        <is>
          <t>hari</t>
        </is>
      </c>
      <c r="D20816" s="15" t="n">
        <v>1</v>
      </c>
      <c r="E20816" s="4" t="n">
        <v>108000</v>
      </c>
      <c r="F20816" s="4" t="n">
        <v>108000</v>
      </c>
    </row>
    <row r="20817">
      <c r="A20817" s="3" t="inlineStr">
        <is>
          <t>1</t>
        </is>
      </c>
      <c r="B20817" s="3" t="inlineStr">
        <is>
          <t>Sewa mobil crane</t>
        </is>
      </c>
      <c r="C20817" s="3" t="inlineStr">
        <is>
          <t>hari</t>
        </is>
      </c>
      <c r="D20817" s="15" t="n">
        <v>1</v>
      </c>
      <c r="E20817" s="4" t="n">
        <v>1450000</v>
      </c>
      <c r="F20817" s="4" t="n">
        <v>1450000</v>
      </c>
    </row>
    <row r="20818">
      <c r="D20818" s="2" t="inlineStr">
        <is>
          <t>SUBTOTAL UPAH</t>
        </is>
      </c>
      <c r="F20818" s="16" t="n">
        <v>494970</v>
      </c>
    </row>
    <row r="20819">
      <c r="D20819" s="2" t="inlineStr">
        <is>
          <t>SUBTOTAL BAHAN</t>
        </is>
      </c>
      <c r="F20819" s="16" t="n">
        <v>950000</v>
      </c>
    </row>
    <row r="20820">
      <c r="D20820" s="2" t="inlineStr">
        <is>
          <t>SUBTOTAL ALAT</t>
        </is>
      </c>
      <c r="F20820" s="16" t="n">
        <v>1558000</v>
      </c>
    </row>
    <row r="20821">
      <c r="E20821" s="2" t="inlineStr">
        <is>
          <t>TOTAL HARGA SATUAN (Inc. Overhead)</t>
        </is>
      </c>
      <c r="F20821" s="17" t="n">
        <v>3303267</v>
      </c>
    </row>
    <row r="20823">
      <c r="A20823" s="14" t="inlineStr">
        <is>
          <t>KODE: 9.7.2.13 - Pemasangan 1 Buah Valve Ø 44" (1100 mm)</t>
        </is>
      </c>
    </row>
    <row r="20824">
      <c r="A20824" s="10" t="inlineStr">
        <is>
          <t>No</t>
        </is>
      </c>
      <c r="B20824" s="10" t="inlineStr">
        <is>
          <t>Uraian Komponen</t>
        </is>
      </c>
      <c r="C20824" s="10" t="inlineStr">
        <is>
          <t>Satuan</t>
        </is>
      </c>
      <c r="D20824" s="10" t="inlineStr">
        <is>
          <t>Koef</t>
        </is>
      </c>
      <c r="E20824" s="10" t="inlineStr">
        <is>
          <t>Harga Satuan (Rp)</t>
        </is>
      </c>
      <c r="F20824" s="10" t="inlineStr">
        <is>
          <t>Jumlah Harga (Rp)</t>
        </is>
      </c>
    </row>
    <row r="20825">
      <c r="A20825" s="3" t="inlineStr">
        <is>
          <t>1</t>
        </is>
      </c>
      <c r="B20825" s="3" t="inlineStr">
        <is>
          <t>Pekerja</t>
        </is>
      </c>
      <c r="C20825" s="3" t="inlineStr">
        <is>
          <t>OH</t>
        </is>
      </c>
      <c r="D20825" s="15" t="n">
        <v>3</v>
      </c>
      <c r="E20825" s="4" t="n">
        <v>100000</v>
      </c>
      <c r="F20825" s="4" t="n">
        <v>300000</v>
      </c>
    </row>
    <row r="20826">
      <c r="A20826" s="3" t="inlineStr">
        <is>
          <t>2</t>
        </is>
      </c>
      <c r="B20826" s="3" t="inlineStr">
        <is>
          <t>Tukang pipa</t>
        </is>
      </c>
      <c r="C20826" s="3" t="inlineStr">
        <is>
          <t>OH</t>
        </is>
      </c>
      <c r="D20826" s="15" t="n">
        <v>1.5</v>
      </c>
      <c r="E20826" s="4" t="n">
        <v>145000</v>
      </c>
      <c r="F20826" s="4" t="n">
        <v>217500</v>
      </c>
    </row>
    <row r="20827">
      <c r="A20827" s="3" t="inlineStr">
        <is>
          <t>4</t>
        </is>
      </c>
      <c r="B20827" s="3" t="inlineStr">
        <is>
          <t>Mandor</t>
        </is>
      </c>
      <c r="C20827" s="3" t="inlineStr">
        <is>
          <t>OH</t>
        </is>
      </c>
      <c r="D20827" s="15" t="n">
        <v>0.3</v>
      </c>
      <c r="E20827" s="4" t="n">
        <v>200000</v>
      </c>
      <c r="F20827" s="4" t="n">
        <v>60000</v>
      </c>
    </row>
    <row r="20828">
      <c r="A20828" s="3" t="inlineStr">
        <is>
          <t>1</t>
        </is>
      </c>
      <c r="B20828" s="3" t="inlineStr">
        <is>
          <t>"Valve Ø 44"" (1100 mm)"</t>
        </is>
      </c>
      <c r="C20828" s="3" t="inlineStr">
        <is>
          <t>buah</t>
        </is>
      </c>
      <c r="D20828" s="15" t="n">
        <v>1</v>
      </c>
      <c r="E20828" s="4" t="n">
        <v>1050000</v>
      </c>
      <c r="F20828" s="4" t="n">
        <v>1050000</v>
      </c>
    </row>
    <row r="20829">
      <c r="A20829" s="3" t="inlineStr">
        <is>
          <t>1</t>
        </is>
      </c>
      <c r="B20829" s="3" t="inlineStr">
        <is>
          <t>Sewa Tripot</t>
        </is>
      </c>
      <c r="C20829" s="3" t="inlineStr">
        <is>
          <t>hari</t>
        </is>
      </c>
      <c r="D20829" s="15" t="n">
        <v>1</v>
      </c>
      <c r="E20829" s="4" t="n">
        <v>108000</v>
      </c>
      <c r="F20829" s="4" t="n">
        <v>108000</v>
      </c>
    </row>
    <row r="20830">
      <c r="A20830" s="3" t="inlineStr">
        <is>
          <t>1</t>
        </is>
      </c>
      <c r="B20830" s="3" t="inlineStr">
        <is>
          <t>Sewa mobil crane</t>
        </is>
      </c>
      <c r="C20830" s="3" t="inlineStr">
        <is>
          <t>hari</t>
        </is>
      </c>
      <c r="D20830" s="15" t="n">
        <v>1</v>
      </c>
      <c r="E20830" s="4" t="n">
        <v>1450000</v>
      </c>
      <c r="F20830" s="4" t="n">
        <v>1450000</v>
      </c>
    </row>
    <row r="20831">
      <c r="D20831" s="2" t="inlineStr">
        <is>
          <t>SUBTOTAL UPAH</t>
        </is>
      </c>
      <c r="F20831" s="16" t="n">
        <v>577500</v>
      </c>
    </row>
    <row r="20832">
      <c r="D20832" s="2" t="inlineStr">
        <is>
          <t>SUBTOTAL BAHAN</t>
        </is>
      </c>
      <c r="F20832" s="16" t="n">
        <v>1050000</v>
      </c>
    </row>
    <row r="20833">
      <c r="D20833" s="2" t="inlineStr">
        <is>
          <t>SUBTOTAL ALAT</t>
        </is>
      </c>
      <c r="F20833" s="16" t="n">
        <v>1558000</v>
      </c>
    </row>
    <row r="20834">
      <c r="E20834" s="2" t="inlineStr">
        <is>
          <t>TOTAL HARGA SATUAN (Inc. Overhead)</t>
        </is>
      </c>
      <c r="F20834" s="17" t="n">
        <v>3504050</v>
      </c>
    </row>
    <row r="20836">
      <c r="A20836" s="14" t="inlineStr">
        <is>
          <t>KODE: 9.7.2.14 - Pemasangan 1 Buah Valve Ø 48" (1200 mm)</t>
        </is>
      </c>
    </row>
    <row r="20837">
      <c r="A20837" s="10" t="inlineStr">
        <is>
          <t>No</t>
        </is>
      </c>
      <c r="B20837" s="10" t="inlineStr">
        <is>
          <t>Uraian Komponen</t>
        </is>
      </c>
      <c r="C20837" s="10" t="inlineStr">
        <is>
          <t>Satuan</t>
        </is>
      </c>
      <c r="D20837" s="10" t="inlineStr">
        <is>
          <t>Koef</t>
        </is>
      </c>
      <c r="E20837" s="10" t="inlineStr">
        <is>
          <t>Harga Satuan (Rp)</t>
        </is>
      </c>
      <c r="F20837" s="10" t="inlineStr">
        <is>
          <t>Jumlah Harga (Rp)</t>
        </is>
      </c>
    </row>
    <row r="20838">
      <c r="A20838" s="3" t="inlineStr">
        <is>
          <t>1</t>
        </is>
      </c>
      <c r="B20838" s="3" t="inlineStr">
        <is>
          <t>Pekerja</t>
        </is>
      </c>
      <c r="C20838" s="3" t="inlineStr">
        <is>
          <t>OH</t>
        </is>
      </c>
      <c r="D20838" s="15" t="n">
        <v>3.273</v>
      </c>
      <c r="E20838" s="4" t="n">
        <v>100000</v>
      </c>
      <c r="F20838" s="4" t="n">
        <v>327300</v>
      </c>
    </row>
    <row r="20839">
      <c r="A20839" s="3" t="inlineStr">
        <is>
          <t>2</t>
        </is>
      </c>
      <c r="B20839" s="3" t="inlineStr">
        <is>
          <t>Tukang pipa</t>
        </is>
      </c>
      <c r="C20839" s="3" t="inlineStr">
        <is>
          <t>OH</t>
        </is>
      </c>
      <c r="D20839" s="15" t="n">
        <v>1.636</v>
      </c>
      <c r="E20839" s="4" t="n">
        <v>145000</v>
      </c>
      <c r="F20839" s="4" t="n">
        <v>237220</v>
      </c>
    </row>
    <row r="20840">
      <c r="A20840" s="3" t="inlineStr">
        <is>
          <t>4</t>
        </is>
      </c>
      <c r="B20840" s="3" t="inlineStr">
        <is>
          <t>Mandor</t>
        </is>
      </c>
      <c r="C20840" s="3" t="inlineStr">
        <is>
          <t>OH</t>
        </is>
      </c>
      <c r="D20840" s="15" t="n">
        <v>0.327</v>
      </c>
      <c r="E20840" s="4" t="n">
        <v>200000</v>
      </c>
      <c r="F20840" s="4" t="n">
        <v>65400</v>
      </c>
    </row>
    <row r="20841">
      <c r="A20841" s="3" t="inlineStr">
        <is>
          <t>1</t>
        </is>
      </c>
      <c r="B20841" s="3" t="inlineStr">
        <is>
          <t>"Valve Ø 48"" (1200 mm)"</t>
        </is>
      </c>
      <c r="C20841" s="3" t="inlineStr">
        <is>
          <t>buah</t>
        </is>
      </c>
      <c r="D20841" s="15" t="n">
        <v>1</v>
      </c>
      <c r="E20841" s="4" t="n">
        <v>1119000</v>
      </c>
      <c r="F20841" s="4" t="n">
        <v>1119000</v>
      </c>
    </row>
    <row r="20842">
      <c r="A20842" s="3" t="inlineStr">
        <is>
          <t>1</t>
        </is>
      </c>
      <c r="B20842" s="3" t="inlineStr">
        <is>
          <t>Sewa Tripot</t>
        </is>
      </c>
      <c r="C20842" s="3" t="inlineStr">
        <is>
          <t>hari</t>
        </is>
      </c>
      <c r="D20842" s="15" t="n">
        <v>1</v>
      </c>
      <c r="E20842" s="4" t="n">
        <v>108000</v>
      </c>
      <c r="F20842" s="4" t="n">
        <v>108000</v>
      </c>
    </row>
    <row r="20843">
      <c r="A20843" s="3" t="inlineStr">
        <is>
          <t>1</t>
        </is>
      </c>
      <c r="B20843" s="3" t="inlineStr">
        <is>
          <t>Sewa mobil crane</t>
        </is>
      </c>
      <c r="C20843" s="3" t="inlineStr">
        <is>
          <t>hari</t>
        </is>
      </c>
      <c r="D20843" s="15" t="n">
        <v>1</v>
      </c>
      <c r="E20843" s="4" t="n">
        <v>1450000</v>
      </c>
      <c r="F20843" s="4" t="n">
        <v>1450000</v>
      </c>
    </row>
    <row r="20844">
      <c r="D20844" s="2" t="inlineStr">
        <is>
          <t>SUBTOTAL UPAH</t>
        </is>
      </c>
      <c r="F20844" s="16" t="n">
        <v>629920</v>
      </c>
    </row>
    <row r="20845">
      <c r="D20845" s="2" t="inlineStr">
        <is>
          <t>SUBTOTAL BAHAN</t>
        </is>
      </c>
      <c r="F20845" s="16" t="n">
        <v>1119000</v>
      </c>
    </row>
    <row r="20846">
      <c r="D20846" s="2" t="inlineStr">
        <is>
          <t>SUBTOTAL ALAT</t>
        </is>
      </c>
      <c r="F20846" s="16" t="n">
        <v>1558000</v>
      </c>
    </row>
    <row r="20847">
      <c r="E20847" s="2" t="inlineStr">
        <is>
          <t>TOTAL HARGA SATUAN (Inc. Overhead)</t>
        </is>
      </c>
      <c r="F20847" s="17" t="n">
        <v>3637612</v>
      </c>
    </row>
    <row r="20849">
      <c r="A20849" s="14" t="inlineStr">
        <is>
          <t>KODE: 9.7.2.15 - Pemasangan 1 Buah Valve Ø 1/2" (15 mm)</t>
        </is>
      </c>
    </row>
    <row r="20850">
      <c r="A20850" s="10" t="inlineStr">
        <is>
          <t>No</t>
        </is>
      </c>
      <c r="B20850" s="10" t="inlineStr">
        <is>
          <t>Uraian Komponen</t>
        </is>
      </c>
      <c r="C20850" s="10" t="inlineStr">
        <is>
          <t>Satuan</t>
        </is>
      </c>
      <c r="D20850" s="10" t="inlineStr">
        <is>
          <t>Koef</t>
        </is>
      </c>
      <c r="E20850" s="10" t="inlineStr">
        <is>
          <t>Harga Satuan (Rp)</t>
        </is>
      </c>
      <c r="F20850" s="10" t="inlineStr">
        <is>
          <t>Jumlah Harga (Rp)</t>
        </is>
      </c>
    </row>
    <row r="20851">
      <c r="A20851" s="3" t="inlineStr">
        <is>
          <t>1</t>
        </is>
      </c>
      <c r="B20851" s="3" t="inlineStr">
        <is>
          <t>Pekerja</t>
        </is>
      </c>
      <c r="C20851" s="3" t="inlineStr">
        <is>
          <t>OH</t>
        </is>
      </c>
      <c r="D20851" s="15" t="n">
        <v>0.08599999999999999</v>
      </c>
      <c r="E20851" s="4" t="n">
        <v>100000</v>
      </c>
      <c r="F20851" s="4" t="n">
        <v>8600</v>
      </c>
    </row>
    <row r="20852">
      <c r="A20852" s="3" t="inlineStr">
        <is>
          <t>2</t>
        </is>
      </c>
      <c r="B20852" s="3" t="inlineStr">
        <is>
          <t>Tukang pipa</t>
        </is>
      </c>
      <c r="C20852" s="3" t="inlineStr">
        <is>
          <t>OH</t>
        </is>
      </c>
      <c r="D20852" s="15" t="n">
        <v>0.043</v>
      </c>
      <c r="E20852" s="4" t="n">
        <v>145000</v>
      </c>
      <c r="F20852" s="4" t="n">
        <v>6234.999999999999</v>
      </c>
    </row>
    <row r="20853">
      <c r="A20853" s="3" t="inlineStr">
        <is>
          <t>4</t>
        </is>
      </c>
      <c r="B20853" s="3" t="inlineStr">
        <is>
          <t>Mandor</t>
        </is>
      </c>
      <c r="C20853" s="3" t="inlineStr">
        <is>
          <t>OH</t>
        </is>
      </c>
      <c r="D20853" s="15" t="n">
        <v>0.008999999999999999</v>
      </c>
      <c r="E20853" s="4" t="n">
        <v>200000</v>
      </c>
      <c r="F20853" s="4" t="n">
        <v>1800</v>
      </c>
    </row>
    <row r="20854">
      <c r="A20854" s="3" t="inlineStr">
        <is>
          <t>1</t>
        </is>
      </c>
      <c r="B20854" s="3" t="inlineStr">
        <is>
          <t>"Valve Ø 1/2"" (15 mm)"</t>
        </is>
      </c>
      <c r="C20854" s="3" t="inlineStr">
        <is>
          <t>buah</t>
        </is>
      </c>
      <c r="D20854" s="15" t="n">
        <v>1</v>
      </c>
      <c r="E20854" s="4" t="n">
        <v>95000</v>
      </c>
      <c r="F20854" s="4" t="n">
        <v>95000</v>
      </c>
    </row>
    <row r="20855">
      <c r="D20855" s="2" t="inlineStr">
        <is>
          <t>SUBTOTAL UPAH</t>
        </is>
      </c>
      <c r="F20855" s="16" t="n">
        <v>16635</v>
      </c>
    </row>
    <row r="20856">
      <c r="D20856" s="2" t="inlineStr">
        <is>
          <t>SUBTOTAL BAHAN</t>
        </is>
      </c>
      <c r="F20856" s="16" t="n">
        <v>95000</v>
      </c>
    </row>
    <row r="20857">
      <c r="D20857" s="2" t="inlineStr">
        <is>
          <t>SUBTOTAL ALAT</t>
        </is>
      </c>
      <c r="F20857" s="16" t="n">
        <v>0</v>
      </c>
    </row>
    <row r="20858">
      <c r="E20858" s="2" t="inlineStr">
        <is>
          <t>TOTAL HARGA SATUAN (Inc. Overhead)</t>
        </is>
      </c>
      <c r="F20858" s="17" t="n">
        <v>122798</v>
      </c>
    </row>
    <row r="20860">
      <c r="A20860" s="14" t="inlineStr">
        <is>
          <t>KODE: 9.7.2.16 - Pemasangan 1 Buah Valve Ø 3/4" (20 mm)</t>
        </is>
      </c>
    </row>
    <row r="20861">
      <c r="A20861" s="10" t="inlineStr">
        <is>
          <t>No</t>
        </is>
      </c>
      <c r="B20861" s="10" t="inlineStr">
        <is>
          <t>Uraian Komponen</t>
        </is>
      </c>
      <c r="C20861" s="10" t="inlineStr">
        <is>
          <t>Satuan</t>
        </is>
      </c>
      <c r="D20861" s="10" t="inlineStr">
        <is>
          <t>Koef</t>
        </is>
      </c>
      <c r="E20861" s="10" t="inlineStr">
        <is>
          <t>Harga Satuan (Rp)</t>
        </is>
      </c>
      <c r="F20861" s="10" t="inlineStr">
        <is>
          <t>Jumlah Harga (Rp)</t>
        </is>
      </c>
    </row>
    <row r="20862">
      <c r="A20862" s="3" t="inlineStr">
        <is>
          <t>1</t>
        </is>
      </c>
      <c r="B20862" s="3" t="inlineStr">
        <is>
          <t>Pekerja</t>
        </is>
      </c>
      <c r="C20862" s="3" t="inlineStr">
        <is>
          <t>OH</t>
        </is>
      </c>
      <c r="D20862" s="15" t="n">
        <v>0.108</v>
      </c>
      <c r="E20862" s="4" t="n">
        <v>100000</v>
      </c>
      <c r="F20862" s="4" t="n">
        <v>10800</v>
      </c>
    </row>
    <row r="20863">
      <c r="A20863" s="3" t="inlineStr">
        <is>
          <t>2</t>
        </is>
      </c>
      <c r="B20863" s="3" t="inlineStr">
        <is>
          <t>Tukang pipa</t>
        </is>
      </c>
      <c r="C20863" s="3" t="inlineStr">
        <is>
          <t>OH</t>
        </is>
      </c>
      <c r="D20863" s="15" t="n">
        <v>0.054</v>
      </c>
      <c r="E20863" s="4" t="n">
        <v>145000</v>
      </c>
      <c r="F20863" s="4" t="n">
        <v>7830</v>
      </c>
    </row>
    <row r="20864">
      <c r="A20864" s="3" t="inlineStr">
        <is>
          <t>4</t>
        </is>
      </c>
      <c r="B20864" s="3" t="inlineStr">
        <is>
          <t>Mandor</t>
        </is>
      </c>
      <c r="C20864" s="3" t="inlineStr">
        <is>
          <t>OH</t>
        </is>
      </c>
      <c r="D20864" s="15" t="n">
        <v>0.011</v>
      </c>
      <c r="E20864" s="4" t="n">
        <v>200000</v>
      </c>
      <c r="F20864" s="4" t="n">
        <v>2200</v>
      </c>
    </row>
    <row r="20865">
      <c r="A20865" s="3" t="inlineStr">
        <is>
          <t>1</t>
        </is>
      </c>
      <c r="B20865" s="3" t="inlineStr">
        <is>
          <t>"Valve Ø 3/4"" (20 mm)"</t>
        </is>
      </c>
      <c r="C20865" s="3" t="inlineStr">
        <is>
          <t>buah</t>
        </is>
      </c>
      <c r="D20865" s="15" t="n">
        <v>1</v>
      </c>
      <c r="E20865" s="4" t="n">
        <v>105000</v>
      </c>
      <c r="F20865" s="4" t="n">
        <v>105000</v>
      </c>
    </row>
    <row r="20866">
      <c r="D20866" s="2" t="inlineStr">
        <is>
          <t>SUBTOTAL UPAH</t>
        </is>
      </c>
      <c r="F20866" s="16" t="n">
        <v>20830</v>
      </c>
    </row>
    <row r="20867">
      <c r="D20867" s="2" t="inlineStr">
        <is>
          <t>SUBTOTAL BAHAN</t>
        </is>
      </c>
      <c r="F20867" s="16" t="n">
        <v>105000</v>
      </c>
    </row>
    <row r="20868">
      <c r="D20868" s="2" t="inlineStr">
        <is>
          <t>SUBTOTAL ALAT</t>
        </is>
      </c>
      <c r="F20868" s="16" t="n">
        <v>0</v>
      </c>
    </row>
    <row r="20869">
      <c r="E20869" s="2" t="inlineStr">
        <is>
          <t>TOTAL HARGA SATUAN (Inc. Overhead)</t>
        </is>
      </c>
      <c r="F20869" s="17" t="n">
        <v>138413</v>
      </c>
    </row>
    <row r="20871">
      <c r="A20871" s="14" t="inlineStr">
        <is>
          <t>KODE: 9.7.2.17 - Pemasangan 1 Buah Valve Ø 1" (25 mm)</t>
        </is>
      </c>
    </row>
    <row r="20872">
      <c r="A20872" s="10" t="inlineStr">
        <is>
          <t>No</t>
        </is>
      </c>
      <c r="B20872" s="10" t="inlineStr">
        <is>
          <t>Uraian Komponen</t>
        </is>
      </c>
      <c r="C20872" s="10" t="inlineStr">
        <is>
          <t>Satuan</t>
        </is>
      </c>
      <c r="D20872" s="10" t="inlineStr">
        <is>
          <t>Koef</t>
        </is>
      </c>
      <c r="E20872" s="10" t="inlineStr">
        <is>
          <t>Harga Satuan (Rp)</t>
        </is>
      </c>
      <c r="F20872" s="10" t="inlineStr">
        <is>
          <t>Jumlah Harga (Rp)</t>
        </is>
      </c>
    </row>
    <row r="20873">
      <c r="A20873" s="3" t="inlineStr">
        <is>
          <t>1</t>
        </is>
      </c>
      <c r="B20873" s="3" t="inlineStr">
        <is>
          <t>Pekerja</t>
        </is>
      </c>
      <c r="C20873" s="3" t="inlineStr">
        <is>
          <t>OH</t>
        </is>
      </c>
      <c r="D20873" s="15" t="n">
        <v>0.135</v>
      </c>
      <c r="E20873" s="4" t="n">
        <v>100000</v>
      </c>
      <c r="F20873" s="4" t="n">
        <v>13500</v>
      </c>
    </row>
    <row r="20874">
      <c r="A20874" s="3" t="inlineStr">
        <is>
          <t>2</t>
        </is>
      </c>
      <c r="B20874" s="3" t="inlineStr">
        <is>
          <t>Tukang pipa</t>
        </is>
      </c>
      <c r="C20874" s="3" t="inlineStr">
        <is>
          <t>OH</t>
        </is>
      </c>
      <c r="D20874" s="15" t="n">
        <v>0.067</v>
      </c>
      <c r="E20874" s="4" t="n">
        <v>145000</v>
      </c>
      <c r="F20874" s="4" t="n">
        <v>9715</v>
      </c>
    </row>
    <row r="20875">
      <c r="A20875" s="3" t="inlineStr">
        <is>
          <t>4</t>
        </is>
      </c>
      <c r="B20875" s="3" t="inlineStr">
        <is>
          <t>Mandor</t>
        </is>
      </c>
      <c r="C20875" s="3" t="inlineStr">
        <is>
          <t>OH</t>
        </is>
      </c>
      <c r="D20875" s="15" t="n">
        <v>0.013</v>
      </c>
      <c r="E20875" s="4" t="n">
        <v>200000</v>
      </c>
      <c r="F20875" s="4" t="n">
        <v>2600</v>
      </c>
    </row>
    <row r="20876">
      <c r="A20876" s="3" t="inlineStr">
        <is>
          <t>1</t>
        </is>
      </c>
      <c r="B20876" s="3" t="inlineStr">
        <is>
          <t>"Valve Ø 1"" (25 mm)"</t>
        </is>
      </c>
      <c r="C20876" s="3" t="inlineStr">
        <is>
          <t>buah</t>
        </is>
      </c>
      <c r="D20876" s="15" t="n">
        <v>1</v>
      </c>
      <c r="E20876" s="4" t="n">
        <v>115000</v>
      </c>
      <c r="F20876" s="4" t="n">
        <v>115000</v>
      </c>
    </row>
    <row r="20877">
      <c r="D20877" s="2" t="inlineStr">
        <is>
          <t>SUBTOTAL UPAH</t>
        </is>
      </c>
      <c r="F20877" s="16" t="n">
        <v>25815</v>
      </c>
    </row>
    <row r="20878">
      <c r="D20878" s="2" t="inlineStr">
        <is>
          <t>SUBTOTAL BAHAN</t>
        </is>
      </c>
      <c r="F20878" s="16" t="n">
        <v>115000</v>
      </c>
    </row>
    <row r="20879">
      <c r="D20879" s="2" t="inlineStr">
        <is>
          <t>SUBTOTAL ALAT</t>
        </is>
      </c>
      <c r="F20879" s="16" t="n">
        <v>0</v>
      </c>
    </row>
    <row r="20880">
      <c r="E20880" s="2" t="inlineStr">
        <is>
          <t>TOTAL HARGA SATUAN (Inc. Overhead)</t>
        </is>
      </c>
      <c r="F20880" s="17" t="n">
        <v>154896</v>
      </c>
    </row>
    <row r="20882">
      <c r="A20882" s="14" t="inlineStr">
        <is>
          <t>KODE: 9.7.2.18 - Pemasangan 1 Buah Valve Ø 1-1/4" (32 mm)</t>
        </is>
      </c>
    </row>
    <row r="20883">
      <c r="A20883" s="10" t="inlineStr">
        <is>
          <t>No</t>
        </is>
      </c>
      <c r="B20883" s="10" t="inlineStr">
        <is>
          <t>Uraian Komponen</t>
        </is>
      </c>
      <c r="C20883" s="10" t="inlineStr">
        <is>
          <t>Satuan</t>
        </is>
      </c>
      <c r="D20883" s="10" t="inlineStr">
        <is>
          <t>Koef</t>
        </is>
      </c>
      <c r="E20883" s="10" t="inlineStr">
        <is>
          <t>Harga Satuan (Rp)</t>
        </is>
      </c>
      <c r="F20883" s="10" t="inlineStr">
        <is>
          <t>Jumlah Harga (Rp)</t>
        </is>
      </c>
    </row>
    <row r="20884">
      <c r="A20884" s="3" t="inlineStr">
        <is>
          <t>1</t>
        </is>
      </c>
      <c r="B20884" s="3" t="inlineStr">
        <is>
          <t>Pekerja</t>
        </is>
      </c>
      <c r="C20884" s="3" t="inlineStr">
        <is>
          <t>OH</t>
        </is>
      </c>
      <c r="D20884" s="15" t="n">
        <v>0.169</v>
      </c>
      <c r="E20884" s="4" t="n">
        <v>100000</v>
      </c>
      <c r="F20884" s="4" t="n">
        <v>16900</v>
      </c>
    </row>
    <row r="20885">
      <c r="A20885" s="3" t="inlineStr">
        <is>
          <t>2</t>
        </is>
      </c>
      <c r="B20885" s="3" t="inlineStr">
        <is>
          <t>Tukang pipa</t>
        </is>
      </c>
      <c r="C20885" s="3" t="inlineStr">
        <is>
          <t>OH</t>
        </is>
      </c>
      <c r="D20885" s="15" t="n">
        <v>0.08400000000000001</v>
      </c>
      <c r="E20885" s="4" t="n">
        <v>145000</v>
      </c>
      <c r="F20885" s="4" t="n">
        <v>12180</v>
      </c>
    </row>
    <row r="20886">
      <c r="A20886" s="3" t="inlineStr">
        <is>
          <t>4</t>
        </is>
      </c>
      <c r="B20886" s="3" t="inlineStr">
        <is>
          <t>Mandor</t>
        </is>
      </c>
      <c r="C20886" s="3" t="inlineStr">
        <is>
          <t>OH</t>
        </is>
      </c>
      <c r="D20886" s="15" t="n">
        <v>0.017</v>
      </c>
      <c r="E20886" s="4" t="n">
        <v>200000</v>
      </c>
      <c r="F20886" s="4" t="n">
        <v>3400</v>
      </c>
    </row>
    <row r="20887">
      <c r="A20887" s="3" t="inlineStr">
        <is>
          <t>1</t>
        </is>
      </c>
      <c r="B20887" s="3" t="inlineStr">
        <is>
          <t>"Valve Ø 1-1/4"" (32 mm)"</t>
        </is>
      </c>
      <c r="C20887" s="3" t="inlineStr">
        <is>
          <t>buah</t>
        </is>
      </c>
      <c r="D20887" s="15" t="n">
        <v>1</v>
      </c>
      <c r="E20887" s="4" t="n">
        <v>129000</v>
      </c>
      <c r="F20887" s="4" t="n">
        <v>129000</v>
      </c>
    </row>
    <row r="20888">
      <c r="D20888" s="2" t="inlineStr">
        <is>
          <t>SUBTOTAL UPAH</t>
        </is>
      </c>
      <c r="F20888" s="16" t="n">
        <v>32480</v>
      </c>
    </row>
    <row r="20889">
      <c r="D20889" s="2" t="inlineStr">
        <is>
          <t>SUBTOTAL BAHAN</t>
        </is>
      </c>
      <c r="F20889" s="16" t="n">
        <v>129000</v>
      </c>
    </row>
    <row r="20890">
      <c r="D20890" s="2" t="inlineStr">
        <is>
          <t>SUBTOTAL ALAT</t>
        </is>
      </c>
      <c r="F20890" s="16" t="n">
        <v>0</v>
      </c>
    </row>
    <row r="20891">
      <c r="E20891" s="2" t="inlineStr">
        <is>
          <t>TOTAL HARGA SATUAN (Inc. Overhead)</t>
        </is>
      </c>
      <c r="F20891" s="17" t="n">
        <v>177628</v>
      </c>
    </row>
    <row r="20893">
      <c r="A20893" s="14" t="inlineStr">
        <is>
          <t>KODE: 9.7.2.19 - Pemasangan 1 Buah Valve Ø 1-1/2" (40 mm)</t>
        </is>
      </c>
    </row>
    <row r="20894">
      <c r="A20894" s="10" t="inlineStr">
        <is>
          <t>No</t>
        </is>
      </c>
      <c r="B20894" s="10" t="inlineStr">
        <is>
          <t>Uraian Komponen</t>
        </is>
      </c>
      <c r="C20894" s="10" t="inlineStr">
        <is>
          <t>Satuan</t>
        </is>
      </c>
      <c r="D20894" s="10" t="inlineStr">
        <is>
          <t>Koef</t>
        </is>
      </c>
      <c r="E20894" s="10" t="inlineStr">
        <is>
          <t>Harga Satuan (Rp)</t>
        </is>
      </c>
      <c r="F20894" s="10" t="inlineStr">
        <is>
          <t>Jumlah Harga (Rp)</t>
        </is>
      </c>
    </row>
    <row r="20895">
      <c r="A20895" s="3" t="inlineStr">
        <is>
          <t>1</t>
        </is>
      </c>
      <c r="B20895" s="3" t="inlineStr">
        <is>
          <t>Pekerja</t>
        </is>
      </c>
      <c r="C20895" s="3" t="inlineStr">
        <is>
          <t>OH</t>
        </is>
      </c>
      <c r="D20895" s="15" t="n">
        <v>0.211</v>
      </c>
      <c r="E20895" s="4" t="n">
        <v>100000</v>
      </c>
      <c r="F20895" s="4" t="n">
        <v>21100</v>
      </c>
    </row>
    <row r="20896">
      <c r="A20896" s="3" t="inlineStr">
        <is>
          <t>2</t>
        </is>
      </c>
      <c r="B20896" s="3" t="inlineStr">
        <is>
          <t>Tukang pipa</t>
        </is>
      </c>
      <c r="C20896" s="3" t="inlineStr">
        <is>
          <t>OH</t>
        </is>
      </c>
      <c r="D20896" s="15" t="n">
        <v>0.105</v>
      </c>
      <c r="E20896" s="4" t="n">
        <v>145000</v>
      </c>
      <c r="F20896" s="4" t="n">
        <v>15225</v>
      </c>
    </row>
    <row r="20897">
      <c r="A20897" s="3" t="inlineStr">
        <is>
          <t>4</t>
        </is>
      </c>
      <c r="B20897" s="3" t="inlineStr">
        <is>
          <t>Mandor</t>
        </is>
      </c>
      <c r="C20897" s="3" t="inlineStr">
        <is>
          <t>OH</t>
        </is>
      </c>
      <c r="D20897" s="15" t="n">
        <v>0.021</v>
      </c>
      <c r="E20897" s="4" t="n">
        <v>200000</v>
      </c>
      <c r="F20897" s="4" t="n">
        <v>4200</v>
      </c>
    </row>
    <row r="20898">
      <c r="A20898" s="3" t="inlineStr">
        <is>
          <t>1</t>
        </is>
      </c>
      <c r="B20898" s="3" t="inlineStr">
        <is>
          <t>"Valve Ø 1-1/2"" (40 mm)"</t>
        </is>
      </c>
      <c r="C20898" s="3" t="inlineStr">
        <is>
          <t>buah</t>
        </is>
      </c>
      <c r="D20898" s="15" t="n">
        <v>1</v>
      </c>
      <c r="E20898" s="4" t="n">
        <v>135000</v>
      </c>
      <c r="F20898" s="4" t="n">
        <v>135000</v>
      </c>
    </row>
    <row r="20899">
      <c r="D20899" s="2" t="inlineStr">
        <is>
          <t>SUBTOTAL UPAH</t>
        </is>
      </c>
      <c r="F20899" s="16" t="n">
        <v>40525</v>
      </c>
    </row>
    <row r="20900">
      <c r="D20900" s="2" t="inlineStr">
        <is>
          <t>SUBTOTAL BAHAN</t>
        </is>
      </c>
      <c r="F20900" s="16" t="n">
        <v>135000</v>
      </c>
    </row>
    <row r="20901">
      <c r="D20901" s="2" t="inlineStr">
        <is>
          <t>SUBTOTAL ALAT</t>
        </is>
      </c>
      <c r="F20901" s="16" t="n">
        <v>0</v>
      </c>
    </row>
    <row r="20902">
      <c r="E20902" s="2" t="inlineStr">
        <is>
          <t>TOTAL HARGA SATUAN (Inc. Overhead)</t>
        </is>
      </c>
      <c r="F20902" s="17" t="n">
        <v>193077</v>
      </c>
    </row>
    <row r="20904">
      <c r="A20904" s="14" t="inlineStr">
        <is>
          <t>KODE: 9.7.2.20 - Pemasangan 1 Buah Valve Ø 2" (50 mm)</t>
        </is>
      </c>
    </row>
    <row r="20905">
      <c r="A20905" s="10" t="inlineStr">
        <is>
          <t>No</t>
        </is>
      </c>
      <c r="B20905" s="10" t="inlineStr">
        <is>
          <t>Uraian Komponen</t>
        </is>
      </c>
      <c r="C20905" s="10" t="inlineStr">
        <is>
          <t>Satuan</t>
        </is>
      </c>
      <c r="D20905" s="10" t="inlineStr">
        <is>
          <t>Koef</t>
        </is>
      </c>
      <c r="E20905" s="10" t="inlineStr">
        <is>
          <t>Harga Satuan (Rp)</t>
        </is>
      </c>
      <c r="F20905" s="10" t="inlineStr">
        <is>
          <t>Jumlah Harga (Rp)</t>
        </is>
      </c>
    </row>
    <row r="20906">
      <c r="A20906" s="3" t="inlineStr">
        <is>
          <t>1</t>
        </is>
      </c>
      <c r="B20906" s="3" t="inlineStr">
        <is>
          <t>Pekerja</t>
        </is>
      </c>
      <c r="C20906" s="3" t="inlineStr">
        <is>
          <t>OH</t>
        </is>
      </c>
      <c r="D20906" s="15" t="n">
        <v>0.263</v>
      </c>
      <c r="E20906" s="4" t="n">
        <v>100000</v>
      </c>
      <c r="F20906" s="4" t="n">
        <v>26300</v>
      </c>
    </row>
    <row r="20907">
      <c r="A20907" s="3" t="inlineStr">
        <is>
          <t>2</t>
        </is>
      </c>
      <c r="B20907" s="3" t="inlineStr">
        <is>
          <t>Tukang pipa</t>
        </is>
      </c>
      <c r="C20907" s="3" t="inlineStr">
        <is>
          <t>OH</t>
        </is>
      </c>
      <c r="D20907" s="15" t="n">
        <v>0.132</v>
      </c>
      <c r="E20907" s="4" t="n">
        <v>145000</v>
      </c>
      <c r="F20907" s="4" t="n">
        <v>19140</v>
      </c>
    </row>
    <row r="20908">
      <c r="A20908" s="3" t="inlineStr">
        <is>
          <t>4</t>
        </is>
      </c>
      <c r="B20908" s="3" t="inlineStr">
        <is>
          <t>Mandor</t>
        </is>
      </c>
      <c r="C20908" s="3" t="inlineStr">
        <is>
          <t>OH</t>
        </is>
      </c>
      <c r="D20908" s="15" t="n">
        <v>0.026</v>
      </c>
      <c r="E20908" s="4" t="n">
        <v>200000</v>
      </c>
      <c r="F20908" s="4" t="n">
        <v>5200</v>
      </c>
    </row>
    <row r="20909">
      <c r="A20909" s="3" t="inlineStr">
        <is>
          <t>1</t>
        </is>
      </c>
      <c r="B20909" s="3" t="inlineStr">
        <is>
          <t>"Valve Ø 2"" (50 mm)"</t>
        </is>
      </c>
      <c r="C20909" s="3" t="inlineStr">
        <is>
          <t>buah</t>
        </is>
      </c>
      <c r="D20909" s="15" t="n">
        <v>1</v>
      </c>
      <c r="E20909" s="4" t="n">
        <v>150000</v>
      </c>
      <c r="F20909" s="4" t="n">
        <v>150000</v>
      </c>
    </row>
    <row r="20910">
      <c r="D20910" s="2" t="inlineStr">
        <is>
          <t>SUBTOTAL UPAH</t>
        </is>
      </c>
      <c r="F20910" s="16" t="n">
        <v>50640</v>
      </c>
    </row>
    <row r="20911">
      <c r="D20911" s="2" t="inlineStr">
        <is>
          <t>SUBTOTAL BAHAN</t>
        </is>
      </c>
      <c r="F20911" s="16" t="n">
        <v>150000</v>
      </c>
    </row>
    <row r="20912">
      <c r="D20912" s="2" t="inlineStr">
        <is>
          <t>SUBTOTAL ALAT</t>
        </is>
      </c>
      <c r="F20912" s="16" t="n">
        <v>0</v>
      </c>
    </row>
    <row r="20913">
      <c r="E20913" s="2" t="inlineStr">
        <is>
          <t>TOTAL HARGA SATUAN (Inc. Overhead)</t>
        </is>
      </c>
      <c r="F20913" s="17" t="n">
        <v>220704</v>
      </c>
    </row>
    <row r="20915">
      <c r="A20915" s="14" t="inlineStr">
        <is>
          <t>KODE: 9.7.2.21 - Pemasangan 1 Buah Valve Ø 2-1/2" (65 mm)</t>
        </is>
      </c>
    </row>
    <row r="20916">
      <c r="A20916" s="10" t="inlineStr">
        <is>
          <t>No</t>
        </is>
      </c>
      <c r="B20916" s="10" t="inlineStr">
        <is>
          <t>Uraian Komponen</t>
        </is>
      </c>
      <c r="C20916" s="10" t="inlineStr">
        <is>
          <t>Satuan</t>
        </is>
      </c>
      <c r="D20916" s="10" t="inlineStr">
        <is>
          <t>Koef</t>
        </is>
      </c>
      <c r="E20916" s="10" t="inlineStr">
        <is>
          <t>Harga Satuan (Rp)</t>
        </is>
      </c>
      <c r="F20916" s="10" t="inlineStr">
        <is>
          <t>Jumlah Harga (Rp)</t>
        </is>
      </c>
    </row>
    <row r="20917">
      <c r="A20917" s="3" t="inlineStr">
        <is>
          <t>1</t>
        </is>
      </c>
      <c r="B20917" s="3" t="inlineStr">
        <is>
          <t>Pekerja</t>
        </is>
      </c>
      <c r="C20917" s="3" t="inlineStr">
        <is>
          <t>OH</t>
        </is>
      </c>
      <c r="D20917" s="15" t="n">
        <v>0.329</v>
      </c>
      <c r="E20917" s="4" t="n">
        <v>100000</v>
      </c>
      <c r="F20917" s="4" t="n">
        <v>32900</v>
      </c>
    </row>
    <row r="20918">
      <c r="A20918" s="3" t="inlineStr">
        <is>
          <t>2</t>
        </is>
      </c>
      <c r="B20918" s="3" t="inlineStr">
        <is>
          <t>Tukang pipa</t>
        </is>
      </c>
      <c r="C20918" s="3" t="inlineStr">
        <is>
          <t>OH</t>
        </is>
      </c>
      <c r="D20918" s="15" t="n">
        <v>0.165</v>
      </c>
      <c r="E20918" s="4" t="n">
        <v>145000</v>
      </c>
      <c r="F20918" s="4" t="n">
        <v>23925</v>
      </c>
    </row>
    <row r="20919">
      <c r="A20919" s="3" t="inlineStr">
        <is>
          <t>4</t>
        </is>
      </c>
      <c r="B20919" s="3" t="inlineStr">
        <is>
          <t>Mandor</t>
        </is>
      </c>
      <c r="C20919" s="3" t="inlineStr">
        <is>
          <t>OH</t>
        </is>
      </c>
      <c r="D20919" s="15" t="n">
        <v>0.033</v>
      </c>
      <c r="E20919" s="4" t="n">
        <v>200000</v>
      </c>
      <c r="F20919" s="4" t="n">
        <v>6600</v>
      </c>
    </row>
    <row r="20920">
      <c r="A20920" s="3" t="inlineStr">
        <is>
          <t>1</t>
        </is>
      </c>
      <c r="B20920" s="3" t="inlineStr">
        <is>
          <t>"Valve Ø 2-1/2"" (65 mm)"</t>
        </is>
      </c>
      <c r="C20920" s="3" t="inlineStr">
        <is>
          <t>buah</t>
        </is>
      </c>
      <c r="D20920" s="15" t="n">
        <v>1</v>
      </c>
      <c r="E20920" s="4" t="n">
        <v>170000</v>
      </c>
      <c r="F20920" s="4" t="n">
        <v>170000</v>
      </c>
    </row>
    <row r="20921">
      <c r="D20921" s="2" t="inlineStr">
        <is>
          <t>SUBTOTAL UPAH</t>
        </is>
      </c>
      <c r="F20921" s="16" t="n">
        <v>63425</v>
      </c>
    </row>
    <row r="20922">
      <c r="D20922" s="2" t="inlineStr">
        <is>
          <t>SUBTOTAL BAHAN</t>
        </is>
      </c>
      <c r="F20922" s="16" t="n">
        <v>170000</v>
      </c>
    </row>
    <row r="20923">
      <c r="D20923" s="2" t="inlineStr">
        <is>
          <t>SUBTOTAL ALAT</t>
        </is>
      </c>
      <c r="F20923" s="16" t="n">
        <v>0</v>
      </c>
    </row>
    <row r="20924">
      <c r="E20924" s="2" t="inlineStr">
        <is>
          <t>TOTAL HARGA SATUAN (Inc. Overhead)</t>
        </is>
      </c>
      <c r="F20924" s="17" t="n">
        <v>256767</v>
      </c>
    </row>
    <row r="20926">
      <c r="A20926" s="14" t="inlineStr">
        <is>
          <t>KODE: 9.7.2.22 - Pemasangan 1 Buah Valve Ø 3" (80 mm)</t>
        </is>
      </c>
    </row>
    <row r="20927">
      <c r="A20927" s="10" t="inlineStr">
        <is>
          <t>No</t>
        </is>
      </c>
      <c r="B20927" s="10" t="inlineStr">
        <is>
          <t>Uraian Komponen</t>
        </is>
      </c>
      <c r="C20927" s="10" t="inlineStr">
        <is>
          <t>Satuan</t>
        </is>
      </c>
      <c r="D20927" s="10" t="inlineStr">
        <is>
          <t>Koef</t>
        </is>
      </c>
      <c r="E20927" s="10" t="inlineStr">
        <is>
          <t>Harga Satuan (Rp)</t>
        </is>
      </c>
      <c r="F20927" s="10" t="inlineStr">
        <is>
          <t>Jumlah Harga (Rp)</t>
        </is>
      </c>
    </row>
    <row r="20928">
      <c r="A20928" s="3" t="inlineStr">
        <is>
          <t>1</t>
        </is>
      </c>
      <c r="B20928" s="3" t="inlineStr">
        <is>
          <t>Pekerja</t>
        </is>
      </c>
      <c r="C20928" s="3" t="inlineStr">
        <is>
          <t>OH</t>
        </is>
      </c>
      <c r="D20928" s="15" t="n">
        <v>0.412</v>
      </c>
      <c r="E20928" s="4" t="n">
        <v>100000</v>
      </c>
      <c r="F20928" s="4" t="n">
        <v>41200</v>
      </c>
    </row>
    <row r="20929">
      <c r="A20929" s="3" t="inlineStr">
        <is>
          <t>2</t>
        </is>
      </c>
      <c r="B20929" s="3" t="inlineStr">
        <is>
          <t>Tukang pipa</t>
        </is>
      </c>
      <c r="C20929" s="3" t="inlineStr">
        <is>
          <t>OH</t>
        </is>
      </c>
      <c r="D20929" s="15" t="n">
        <v>0.206</v>
      </c>
      <c r="E20929" s="4" t="n">
        <v>145000</v>
      </c>
      <c r="F20929" s="4" t="n">
        <v>29870</v>
      </c>
    </row>
    <row r="20930">
      <c r="A20930" s="3" t="inlineStr">
        <is>
          <t>4</t>
        </is>
      </c>
      <c r="B20930" s="3" t="inlineStr">
        <is>
          <t>Mandor</t>
        </is>
      </c>
      <c r="C20930" s="3" t="inlineStr">
        <is>
          <t>OH</t>
        </is>
      </c>
      <c r="D20930" s="15" t="n">
        <v>0.041</v>
      </c>
      <c r="E20930" s="4" t="n">
        <v>200000</v>
      </c>
      <c r="F20930" s="4" t="n">
        <v>8200</v>
      </c>
    </row>
    <row r="20931">
      <c r="A20931" s="3" t="inlineStr">
        <is>
          <t>1</t>
        </is>
      </c>
      <c r="B20931" s="3" t="inlineStr">
        <is>
          <t>"Valve Ø 3"" (80 mm)"</t>
        </is>
      </c>
      <c r="C20931" s="3" t="inlineStr">
        <is>
          <t>buah</t>
        </is>
      </c>
      <c r="D20931" s="15" t="n">
        <v>1</v>
      </c>
      <c r="E20931" s="4" t="n">
        <v>192000</v>
      </c>
      <c r="F20931" s="4" t="n">
        <v>192000</v>
      </c>
    </row>
    <row r="20932">
      <c r="D20932" s="2" t="inlineStr">
        <is>
          <t>SUBTOTAL UPAH</t>
        </is>
      </c>
      <c r="F20932" s="16" t="n">
        <v>79270</v>
      </c>
    </row>
    <row r="20933">
      <c r="D20933" s="2" t="inlineStr">
        <is>
          <t>SUBTOTAL BAHAN</t>
        </is>
      </c>
      <c r="F20933" s="16" t="n">
        <v>192000</v>
      </c>
    </row>
    <row r="20934">
      <c r="D20934" s="2" t="inlineStr">
        <is>
          <t>SUBTOTAL ALAT</t>
        </is>
      </c>
      <c r="F20934" s="16" t="n">
        <v>0</v>
      </c>
    </row>
    <row r="20935">
      <c r="E20935" s="2" t="inlineStr">
        <is>
          <t>TOTAL HARGA SATUAN (Inc. Overhead)</t>
        </is>
      </c>
      <c r="F20935" s="17" t="n">
        <v>298397</v>
      </c>
    </row>
    <row r="20937">
      <c r="A20937" s="14" t="inlineStr">
        <is>
          <t>KODE: 9.7.2.23 - Pemasangan 1 Buah Valve Ø 4" (100 mm)</t>
        </is>
      </c>
    </row>
    <row r="20938">
      <c r="A20938" s="10" t="inlineStr">
        <is>
          <t>No</t>
        </is>
      </c>
      <c r="B20938" s="10" t="inlineStr">
        <is>
          <t>Uraian Komponen</t>
        </is>
      </c>
      <c r="C20938" s="10" t="inlineStr">
        <is>
          <t>Satuan</t>
        </is>
      </c>
      <c r="D20938" s="10" t="inlineStr">
        <is>
          <t>Koef</t>
        </is>
      </c>
      <c r="E20938" s="10" t="inlineStr">
        <is>
          <t>Harga Satuan (Rp)</t>
        </is>
      </c>
      <c r="F20938" s="10" t="inlineStr">
        <is>
          <t>Jumlah Harga (Rp)</t>
        </is>
      </c>
    </row>
    <row r="20939">
      <c r="A20939" s="3" t="inlineStr">
        <is>
          <t>1</t>
        </is>
      </c>
      <c r="B20939" s="3" t="inlineStr">
        <is>
          <t>Pekerja</t>
        </is>
      </c>
      <c r="C20939" s="3" t="inlineStr">
        <is>
          <t>OH</t>
        </is>
      </c>
      <c r="D20939" s="15" t="n">
        <v>0.515</v>
      </c>
      <c r="E20939" s="4" t="n">
        <v>100000</v>
      </c>
      <c r="F20939" s="4" t="n">
        <v>51500</v>
      </c>
    </row>
    <row r="20940">
      <c r="A20940" s="3" t="inlineStr">
        <is>
          <t>2</t>
        </is>
      </c>
      <c r="B20940" s="3" t="inlineStr">
        <is>
          <t>Tukang pipa</t>
        </is>
      </c>
      <c r="C20940" s="3" t="inlineStr">
        <is>
          <t>OH</t>
        </is>
      </c>
      <c r="D20940" s="15" t="n">
        <v>0.257</v>
      </c>
      <c r="E20940" s="4" t="n">
        <v>145000</v>
      </c>
      <c r="F20940" s="4" t="n">
        <v>37265</v>
      </c>
    </row>
    <row r="20941">
      <c r="A20941" s="3" t="inlineStr">
        <is>
          <t>4</t>
        </is>
      </c>
      <c r="B20941" s="3" t="inlineStr">
        <is>
          <t>Mandor</t>
        </is>
      </c>
      <c r="C20941" s="3" t="inlineStr">
        <is>
          <t>OH</t>
        </is>
      </c>
      <c r="D20941" s="15" t="n">
        <v>0.051</v>
      </c>
      <c r="E20941" s="4" t="n">
        <v>200000</v>
      </c>
      <c r="F20941" s="4" t="n">
        <v>10200</v>
      </c>
    </row>
    <row r="20942">
      <c r="A20942" s="3" t="inlineStr">
        <is>
          <t>1</t>
        </is>
      </c>
      <c r="B20942" s="3" t="inlineStr">
        <is>
          <t>"Valve Ø 4"" (100 mm)"</t>
        </is>
      </c>
      <c r="C20942" s="3" t="inlineStr">
        <is>
          <t>buah</t>
        </is>
      </c>
      <c r="D20942" s="15" t="n">
        <v>1</v>
      </c>
      <c r="E20942" s="4" t="n">
        <v>205000</v>
      </c>
      <c r="F20942" s="4" t="n">
        <v>205000</v>
      </c>
    </row>
    <row r="20943">
      <c r="D20943" s="2" t="inlineStr">
        <is>
          <t>SUBTOTAL UPAH</t>
        </is>
      </c>
      <c r="F20943" s="16" t="n">
        <v>98965</v>
      </c>
    </row>
    <row r="20944">
      <c r="D20944" s="2" t="inlineStr">
        <is>
          <t>SUBTOTAL BAHAN</t>
        </is>
      </c>
      <c r="F20944" s="16" t="n">
        <v>205000</v>
      </c>
    </row>
    <row r="20945">
      <c r="D20945" s="2" t="inlineStr">
        <is>
          <t>SUBTOTAL ALAT</t>
        </is>
      </c>
      <c r="F20945" s="16" t="n">
        <v>0</v>
      </c>
    </row>
    <row r="20946">
      <c r="E20946" s="2" t="inlineStr">
        <is>
          <t>TOTAL HARGA SATUAN (Inc. Overhead)</t>
        </is>
      </c>
      <c r="F20946" s="17" t="n">
        <v>334361</v>
      </c>
    </row>
    <row r="20948">
      <c r="A20948" s="14" t="inlineStr">
        <is>
          <t>KODE: 9.7.2.24 - Pemasangan 1 Buah Valve Ø 5" (125 mm)</t>
        </is>
      </c>
    </row>
    <row r="20949">
      <c r="A20949" s="10" t="inlineStr">
        <is>
          <t>No</t>
        </is>
      </c>
      <c r="B20949" s="10" t="inlineStr">
        <is>
          <t>Uraian Komponen</t>
        </is>
      </c>
      <c r="C20949" s="10" t="inlineStr">
        <is>
          <t>Satuan</t>
        </is>
      </c>
      <c r="D20949" s="10" t="inlineStr">
        <is>
          <t>Koef</t>
        </is>
      </c>
      <c r="E20949" s="10" t="inlineStr">
        <is>
          <t>Harga Satuan (Rp)</t>
        </is>
      </c>
      <c r="F20949" s="10" t="inlineStr">
        <is>
          <t>Jumlah Harga (Rp)</t>
        </is>
      </c>
    </row>
    <row r="20950">
      <c r="A20950" s="3" t="inlineStr">
        <is>
          <t>1</t>
        </is>
      </c>
      <c r="B20950" s="3" t="inlineStr">
        <is>
          <t>Pekerja</t>
        </is>
      </c>
      <c r="C20950" s="3" t="inlineStr">
        <is>
          <t>OH</t>
        </is>
      </c>
      <c r="D20950" s="15" t="n">
        <v>0.858</v>
      </c>
      <c r="E20950" s="4" t="n">
        <v>100000</v>
      </c>
      <c r="F20950" s="4" t="n">
        <v>85800</v>
      </c>
    </row>
    <row r="20951">
      <c r="A20951" s="3" t="inlineStr">
        <is>
          <t>2</t>
        </is>
      </c>
      <c r="B20951" s="3" t="inlineStr">
        <is>
          <t>Tukang pipa</t>
        </is>
      </c>
      <c r="C20951" s="3" t="inlineStr">
        <is>
          <t>OH</t>
        </is>
      </c>
      <c r="D20951" s="15" t="n">
        <v>0.429</v>
      </c>
      <c r="E20951" s="4" t="n">
        <v>145000</v>
      </c>
      <c r="F20951" s="4" t="n">
        <v>62205</v>
      </c>
    </row>
    <row r="20952">
      <c r="A20952" s="3" t="inlineStr">
        <is>
          <t>4</t>
        </is>
      </c>
      <c r="B20952" s="3" t="inlineStr">
        <is>
          <t>Mandor</t>
        </is>
      </c>
      <c r="C20952" s="3" t="inlineStr">
        <is>
          <t>OH</t>
        </is>
      </c>
      <c r="D20952" s="15" t="n">
        <v>0.051</v>
      </c>
      <c r="E20952" s="4" t="n">
        <v>200000</v>
      </c>
      <c r="F20952" s="4" t="n">
        <v>10200</v>
      </c>
    </row>
    <row r="20953">
      <c r="A20953" s="3" t="inlineStr">
        <is>
          <t>1</t>
        </is>
      </c>
      <c r="B20953" s="3" t="inlineStr">
        <is>
          <t>"Valve Ø 5"" (125 mm)"</t>
        </is>
      </c>
      <c r="C20953" s="3" t="inlineStr">
        <is>
          <t>buah</t>
        </is>
      </c>
      <c r="D20953" s="15" t="n">
        <v>1</v>
      </c>
      <c r="E20953" s="4" t="n">
        <v>215000</v>
      </c>
      <c r="F20953" s="4" t="n">
        <v>215000</v>
      </c>
    </row>
    <row r="20954">
      <c r="D20954" s="2" t="inlineStr">
        <is>
          <t>SUBTOTAL UPAH</t>
        </is>
      </c>
      <c r="F20954" s="16" t="n">
        <v>158205</v>
      </c>
    </row>
    <row r="20955">
      <c r="D20955" s="2" t="inlineStr">
        <is>
          <t>SUBTOTAL BAHAN</t>
        </is>
      </c>
      <c r="F20955" s="16" t="n">
        <v>215000</v>
      </c>
    </row>
    <row r="20956">
      <c r="D20956" s="2" t="inlineStr">
        <is>
          <t>SUBTOTAL ALAT</t>
        </is>
      </c>
      <c r="F20956" s="16" t="n">
        <v>0</v>
      </c>
    </row>
    <row r="20957">
      <c r="E20957" s="2" t="inlineStr">
        <is>
          <t>TOTAL HARGA SATUAN (Inc. Overhead)</t>
        </is>
      </c>
      <c r="F20957" s="17" t="n">
        <v>410525</v>
      </c>
    </row>
    <row r="20959">
      <c r="A20959" s="14" t="inlineStr">
        <is>
          <t>KODE: 9.7.3.1 - Pemasangan 1 Buah Tee Ø 6" (150 mm)</t>
        </is>
      </c>
    </row>
    <row r="20960">
      <c r="A20960" s="10" t="inlineStr">
        <is>
          <t>No</t>
        </is>
      </c>
      <c r="B20960" s="10" t="inlineStr">
        <is>
          <t>Uraian Komponen</t>
        </is>
      </c>
      <c r="C20960" s="10" t="inlineStr">
        <is>
          <t>Satuan</t>
        </is>
      </c>
      <c r="D20960" s="10" t="inlineStr">
        <is>
          <t>Koef</t>
        </is>
      </c>
      <c r="E20960" s="10" t="inlineStr">
        <is>
          <t>Harga Satuan (Rp)</t>
        </is>
      </c>
      <c r="F20960" s="10" t="inlineStr">
        <is>
          <t>Jumlah Harga (Rp)</t>
        </is>
      </c>
    </row>
    <row r="20961">
      <c r="A20961" s="3" t="inlineStr">
        <is>
          <t>1</t>
        </is>
      </c>
      <c r="B20961" s="3" t="inlineStr">
        <is>
          <t>Pekerja</t>
        </is>
      </c>
      <c r="C20961" s="3" t="inlineStr">
        <is>
          <t>OH</t>
        </is>
      </c>
      <c r="D20961" s="15" t="n">
        <v>0.106</v>
      </c>
      <c r="E20961" s="4" t="n">
        <v>100000</v>
      </c>
      <c r="F20961" s="4" t="n">
        <v>10600</v>
      </c>
    </row>
    <row r="20962">
      <c r="A20962" s="3" t="inlineStr">
        <is>
          <t>2</t>
        </is>
      </c>
      <c r="B20962" s="3" t="inlineStr">
        <is>
          <t>Tukang pipa</t>
        </is>
      </c>
      <c r="C20962" s="3" t="inlineStr">
        <is>
          <t>OH</t>
        </is>
      </c>
      <c r="D20962" s="15" t="n">
        <v>0.053</v>
      </c>
      <c r="E20962" s="4" t="n">
        <v>145000</v>
      </c>
      <c r="F20962" s="4" t="n">
        <v>7685</v>
      </c>
    </row>
    <row r="20963">
      <c r="A20963" s="3" t="inlineStr">
        <is>
          <t>4</t>
        </is>
      </c>
      <c r="B20963" s="3" t="inlineStr">
        <is>
          <t>Mandor</t>
        </is>
      </c>
      <c r="C20963" s="3" t="inlineStr">
        <is>
          <t>OH</t>
        </is>
      </c>
      <c r="D20963" s="15" t="n">
        <v>0.011</v>
      </c>
      <c r="E20963" s="4" t="n">
        <v>200000</v>
      </c>
      <c r="F20963" s="4" t="n">
        <v>2200</v>
      </c>
    </row>
    <row r="20964">
      <c r="A20964" s="3" t="inlineStr">
        <is>
          <t>1</t>
        </is>
      </c>
      <c r="B20964" s="3" t="inlineStr">
        <is>
          <t>"Tee Ø 6"" (150 mm)"</t>
        </is>
      </c>
      <c r="C20964" s="3" t="inlineStr">
        <is>
          <t>buah</t>
        </is>
      </c>
      <c r="D20964" s="15" t="n">
        <v>1</v>
      </c>
      <c r="E20964" s="4" t="n">
        <v>65000</v>
      </c>
      <c r="F20964" s="4" t="n">
        <v>65000</v>
      </c>
    </row>
    <row r="20965">
      <c r="A20965" s="3" t="inlineStr">
        <is>
          <t>1</t>
        </is>
      </c>
      <c r="B20965" s="3" t="inlineStr">
        <is>
          <t>Sewa Tripot</t>
        </is>
      </c>
      <c r="C20965" s="3" t="inlineStr">
        <is>
          <t>hari</t>
        </is>
      </c>
      <c r="D20965" s="15" t="n">
        <v>0.028</v>
      </c>
      <c r="E20965" s="4" t="n">
        <v>108000</v>
      </c>
      <c r="F20965" s="4" t="n">
        <v>3024</v>
      </c>
    </row>
    <row r="20966">
      <c r="D20966" s="2" t="inlineStr">
        <is>
          <t>SUBTOTAL UPAH</t>
        </is>
      </c>
      <c r="F20966" s="16" t="n">
        <v>20485</v>
      </c>
    </row>
    <row r="20967">
      <c r="D20967" s="2" t="inlineStr">
        <is>
          <t>SUBTOTAL BAHAN</t>
        </is>
      </c>
      <c r="F20967" s="16" t="n">
        <v>65000</v>
      </c>
    </row>
    <row r="20968">
      <c r="D20968" s="2" t="inlineStr">
        <is>
          <t>SUBTOTAL ALAT</t>
        </is>
      </c>
      <c r="F20968" s="16" t="n">
        <v>3024</v>
      </c>
    </row>
    <row r="20969">
      <c r="E20969" s="2" t="inlineStr">
        <is>
          <t>TOTAL HARGA SATUAN (Inc. Overhead)</t>
        </is>
      </c>
      <c r="F20969" s="17" t="n">
        <v>97359</v>
      </c>
    </row>
    <row r="20971">
      <c r="A20971" s="14" t="inlineStr">
        <is>
          <t>KODE: 9.7.3.2 - Pemasangan 1 Buah Tee Ø 8" (200 mm)</t>
        </is>
      </c>
    </row>
    <row r="20972">
      <c r="A20972" s="10" t="inlineStr">
        <is>
          <t>No</t>
        </is>
      </c>
      <c r="B20972" s="10" t="inlineStr">
        <is>
          <t>Uraian Komponen</t>
        </is>
      </c>
      <c r="C20972" s="10" t="inlineStr">
        <is>
          <t>Satuan</t>
        </is>
      </c>
      <c r="D20972" s="10" t="inlineStr">
        <is>
          <t>Koef</t>
        </is>
      </c>
      <c r="E20972" s="10" t="inlineStr">
        <is>
          <t>Harga Satuan (Rp)</t>
        </is>
      </c>
      <c r="F20972" s="10" t="inlineStr">
        <is>
          <t>Jumlah Harga (Rp)</t>
        </is>
      </c>
    </row>
    <row r="20973">
      <c r="A20973" s="3" t="inlineStr">
        <is>
          <t>1</t>
        </is>
      </c>
      <c r="B20973" s="3" t="inlineStr">
        <is>
          <t>Pekerja</t>
        </is>
      </c>
      <c r="C20973" s="3" t="inlineStr">
        <is>
          <t>OH</t>
        </is>
      </c>
      <c r="D20973" s="15" t="n">
        <v>0.216</v>
      </c>
      <c r="E20973" s="4" t="n">
        <v>100000</v>
      </c>
      <c r="F20973" s="4" t="n">
        <v>21600</v>
      </c>
    </row>
    <row r="20974">
      <c r="A20974" s="3" t="inlineStr">
        <is>
          <t>2</t>
        </is>
      </c>
      <c r="B20974" s="3" t="inlineStr">
        <is>
          <t>Tukang pipa</t>
        </is>
      </c>
      <c r="C20974" s="3" t="inlineStr">
        <is>
          <t>OH</t>
        </is>
      </c>
      <c r="D20974" s="15" t="n">
        <v>0.108</v>
      </c>
      <c r="E20974" s="4" t="n">
        <v>145000</v>
      </c>
      <c r="F20974" s="4" t="n">
        <v>15660</v>
      </c>
    </row>
    <row r="20975">
      <c r="A20975" s="3" t="inlineStr">
        <is>
          <t>4</t>
        </is>
      </c>
      <c r="B20975" s="3" t="inlineStr">
        <is>
          <t>Mandor</t>
        </is>
      </c>
      <c r="C20975" s="3" t="inlineStr">
        <is>
          <t>OH</t>
        </is>
      </c>
      <c r="D20975" s="15" t="n">
        <v>0.022</v>
      </c>
      <c r="E20975" s="4" t="n">
        <v>200000</v>
      </c>
      <c r="F20975" s="4" t="n">
        <v>4400</v>
      </c>
    </row>
    <row r="20976">
      <c r="A20976" s="3" t="inlineStr">
        <is>
          <t>1</t>
        </is>
      </c>
      <c r="B20976" s="3" t="inlineStr">
        <is>
          <t>"Tee Ø 8"" (200 mm)"</t>
        </is>
      </c>
      <c r="C20976" s="3" t="inlineStr">
        <is>
          <t>buah</t>
        </is>
      </c>
      <c r="D20976" s="15" t="n">
        <v>1</v>
      </c>
      <c r="E20976" s="4" t="n">
        <v>138000</v>
      </c>
      <c r="F20976" s="4" t="n">
        <v>138000</v>
      </c>
    </row>
    <row r="20977">
      <c r="A20977" s="3" t="inlineStr">
        <is>
          <t>1</t>
        </is>
      </c>
      <c r="B20977" s="3" t="inlineStr">
        <is>
          <t>Sewa Tripot</t>
        </is>
      </c>
      <c r="C20977" s="3" t="inlineStr">
        <is>
          <t>hari</t>
        </is>
      </c>
      <c r="D20977" s="15" t="n">
        <v>0.029</v>
      </c>
      <c r="E20977" s="4" t="n">
        <v>108000</v>
      </c>
      <c r="F20977" s="4" t="n">
        <v>3132</v>
      </c>
    </row>
    <row r="20978">
      <c r="D20978" s="2" t="inlineStr">
        <is>
          <t>SUBTOTAL UPAH</t>
        </is>
      </c>
      <c r="F20978" s="16" t="n">
        <v>41660</v>
      </c>
    </row>
    <row r="20979">
      <c r="D20979" s="2" t="inlineStr">
        <is>
          <t>SUBTOTAL BAHAN</t>
        </is>
      </c>
      <c r="F20979" s="16" t="n">
        <v>138000</v>
      </c>
    </row>
    <row r="20980">
      <c r="D20980" s="2" t="inlineStr">
        <is>
          <t>SUBTOTAL ALAT</t>
        </is>
      </c>
      <c r="F20980" s="16" t="n">
        <v>3132</v>
      </c>
    </row>
    <row r="20981">
      <c r="E20981" s="2" t="inlineStr">
        <is>
          <t>TOTAL HARGA SATUAN (Inc. Overhead)</t>
        </is>
      </c>
      <c r="F20981" s="17" t="n">
        <v>201071</v>
      </c>
    </row>
    <row r="20983">
      <c r="A20983" s="14" t="inlineStr">
        <is>
          <t>KODE: 9.7.3.3 - Pemasangan 1 Buah Tee Ø 10" (250 mm)</t>
        </is>
      </c>
    </row>
    <row r="20984">
      <c r="A20984" s="10" t="inlineStr">
        <is>
          <t>No</t>
        </is>
      </c>
      <c r="B20984" s="10" t="inlineStr">
        <is>
          <t>Uraian Komponen</t>
        </is>
      </c>
      <c r="C20984" s="10" t="inlineStr">
        <is>
          <t>Satuan</t>
        </is>
      </c>
      <c r="D20984" s="10" t="inlineStr">
        <is>
          <t>Koef</t>
        </is>
      </c>
      <c r="E20984" s="10" t="inlineStr">
        <is>
          <t>Harga Satuan (Rp)</t>
        </is>
      </c>
      <c r="F20984" s="10" t="inlineStr">
        <is>
          <t>Jumlah Harga (Rp)</t>
        </is>
      </c>
    </row>
    <row r="20985">
      <c r="A20985" s="3" t="inlineStr">
        <is>
          <t>1</t>
        </is>
      </c>
      <c r="B20985" s="3" t="inlineStr">
        <is>
          <t>Pekerja</t>
        </is>
      </c>
      <c r="C20985" s="3" t="inlineStr">
        <is>
          <t>OH</t>
        </is>
      </c>
      <c r="D20985" s="15" t="n">
        <v>0.326</v>
      </c>
      <c r="E20985" s="4" t="n">
        <v>100000</v>
      </c>
      <c r="F20985" s="4" t="n">
        <v>32600</v>
      </c>
    </row>
    <row r="20986">
      <c r="A20986" s="3" t="inlineStr">
        <is>
          <t>2</t>
        </is>
      </c>
      <c r="B20986" s="3" t="inlineStr">
        <is>
          <t>Tukang pipa</t>
        </is>
      </c>
      <c r="C20986" s="3" t="inlineStr">
        <is>
          <t>OH</t>
        </is>
      </c>
      <c r="D20986" s="15" t="n">
        <v>0.163</v>
      </c>
      <c r="E20986" s="4" t="n">
        <v>145000</v>
      </c>
      <c r="F20986" s="4" t="n">
        <v>23635</v>
      </c>
    </row>
    <row r="20987">
      <c r="A20987" s="3" t="inlineStr">
        <is>
          <t>4</t>
        </is>
      </c>
      <c r="B20987" s="3" t="inlineStr">
        <is>
          <t>Mandor</t>
        </is>
      </c>
      <c r="C20987" s="3" t="inlineStr">
        <is>
          <t>OH</t>
        </is>
      </c>
      <c r="D20987" s="15" t="n">
        <v>0.033</v>
      </c>
      <c r="E20987" s="4" t="n">
        <v>200000</v>
      </c>
      <c r="F20987" s="4" t="n">
        <v>6600</v>
      </c>
    </row>
    <row r="20988">
      <c r="A20988" s="3" t="inlineStr">
        <is>
          <t>1</t>
        </is>
      </c>
      <c r="B20988" s="3" t="inlineStr">
        <is>
          <t>"Tee Ø 10"" (250 mm)"</t>
        </is>
      </c>
      <c r="C20988" s="3" t="inlineStr">
        <is>
          <t>buah</t>
        </is>
      </c>
      <c r="D20988" s="15" t="n">
        <v>1</v>
      </c>
      <c r="E20988" s="4" t="n">
        <v>215000</v>
      </c>
      <c r="F20988" s="4" t="n">
        <v>215000</v>
      </c>
    </row>
    <row r="20989">
      <c r="A20989" s="3" t="inlineStr">
        <is>
          <t>1</t>
        </is>
      </c>
      <c r="B20989" s="3" t="inlineStr">
        <is>
          <t>Sewa Tripot</t>
        </is>
      </c>
      <c r="C20989" s="3" t="inlineStr">
        <is>
          <t>hari</t>
        </is>
      </c>
      <c r="D20989" s="15" t="n">
        <v>0.039</v>
      </c>
      <c r="E20989" s="4" t="n">
        <v>108000</v>
      </c>
      <c r="F20989" s="4" t="n">
        <v>4212</v>
      </c>
    </row>
    <row r="20990">
      <c r="D20990" s="2" t="inlineStr">
        <is>
          <t>SUBTOTAL UPAH</t>
        </is>
      </c>
      <c r="F20990" s="16" t="n">
        <v>62835</v>
      </c>
    </row>
    <row r="20991">
      <c r="D20991" s="2" t="inlineStr">
        <is>
          <t>SUBTOTAL BAHAN</t>
        </is>
      </c>
      <c r="F20991" s="16" t="n">
        <v>215000</v>
      </c>
    </row>
    <row r="20992">
      <c r="D20992" s="2" t="inlineStr">
        <is>
          <t>SUBTOTAL ALAT</t>
        </is>
      </c>
      <c r="F20992" s="16" t="n">
        <v>4212</v>
      </c>
    </row>
    <row r="20993">
      <c r="E20993" s="2" t="inlineStr">
        <is>
          <t>TOTAL HARGA SATUAN (Inc. Overhead)</t>
        </is>
      </c>
      <c r="F20993" s="17" t="n">
        <v>310251</v>
      </c>
    </row>
    <row r="20995">
      <c r="A20995" s="14" t="inlineStr">
        <is>
          <t>KODE: 9.7.3.4 - Pemasangan 1 Buah Tee Ø 18" (450 mm)</t>
        </is>
      </c>
    </row>
    <row r="20996">
      <c r="A20996" s="10" t="inlineStr">
        <is>
          <t>No</t>
        </is>
      </c>
      <c r="B20996" s="10" t="inlineStr">
        <is>
          <t>Uraian Komponen</t>
        </is>
      </c>
      <c r="C20996" s="10" t="inlineStr">
        <is>
          <t>Satuan</t>
        </is>
      </c>
      <c r="D20996" s="10" t="inlineStr">
        <is>
          <t>Koef</t>
        </is>
      </c>
      <c r="E20996" s="10" t="inlineStr">
        <is>
          <t>Harga Satuan (Rp)</t>
        </is>
      </c>
      <c r="F20996" s="10" t="inlineStr">
        <is>
          <t>Jumlah Harga (Rp)</t>
        </is>
      </c>
    </row>
    <row r="20997">
      <c r="A20997" s="3" t="inlineStr">
        <is>
          <t>1</t>
        </is>
      </c>
      <c r="B20997" s="3" t="inlineStr">
        <is>
          <t>Pekerja</t>
        </is>
      </c>
      <c r="C20997" s="3" t="inlineStr">
        <is>
          <t>OH</t>
        </is>
      </c>
      <c r="D20997" s="15" t="n">
        <v>0.766</v>
      </c>
      <c r="E20997" s="4" t="n">
        <v>100000</v>
      </c>
      <c r="F20997" s="4" t="n">
        <v>76600</v>
      </c>
    </row>
    <row r="20998">
      <c r="A20998" s="3" t="inlineStr">
        <is>
          <t>2</t>
        </is>
      </c>
      <c r="B20998" s="3" t="inlineStr">
        <is>
          <t>Tukang pipa</t>
        </is>
      </c>
      <c r="C20998" s="3" t="inlineStr">
        <is>
          <t>OH</t>
        </is>
      </c>
      <c r="D20998" s="15" t="n">
        <v>0.383</v>
      </c>
      <c r="E20998" s="4" t="n">
        <v>145000</v>
      </c>
      <c r="F20998" s="4" t="n">
        <v>55535</v>
      </c>
    </row>
    <row r="20999">
      <c r="A20999" s="3" t="inlineStr">
        <is>
          <t>4</t>
        </is>
      </c>
      <c r="B20999" s="3" t="inlineStr">
        <is>
          <t>Mandor</t>
        </is>
      </c>
      <c r="C20999" s="3" t="inlineStr">
        <is>
          <t>OH</t>
        </is>
      </c>
      <c r="D20999" s="15" t="n">
        <v>0.077</v>
      </c>
      <c r="E20999" s="4" t="n">
        <v>200000</v>
      </c>
      <c r="F20999" s="4" t="n">
        <v>15400</v>
      </c>
    </row>
    <row r="21000">
      <c r="A21000" s="3" t="inlineStr">
        <is>
          <t>1</t>
        </is>
      </c>
      <c r="B21000" s="3" t="inlineStr">
        <is>
          <t>"Tee Ø 18"" (450 mm)"</t>
        </is>
      </c>
      <c r="C21000" s="3" t="inlineStr">
        <is>
          <t>buah</t>
        </is>
      </c>
      <c r="D21000" s="15" t="n">
        <v>1</v>
      </c>
      <c r="E21000" s="4" t="n">
        <v>285000</v>
      </c>
      <c r="F21000" s="4" t="n">
        <v>285000</v>
      </c>
    </row>
    <row r="21001">
      <c r="A21001" s="3" t="inlineStr">
        <is>
          <t>1</t>
        </is>
      </c>
      <c r="B21001" s="3" t="inlineStr">
        <is>
          <t>Sewa Tripot</t>
        </is>
      </c>
      <c r="C21001" s="3" t="inlineStr">
        <is>
          <t>hari</t>
        </is>
      </c>
      <c r="D21001" s="15" t="n">
        <v>0.5</v>
      </c>
      <c r="E21001" s="4" t="n">
        <v>108000</v>
      </c>
      <c r="F21001" s="4" t="n">
        <v>54000</v>
      </c>
    </row>
    <row r="21002">
      <c r="D21002" s="2" t="inlineStr">
        <is>
          <t>SUBTOTAL UPAH</t>
        </is>
      </c>
      <c r="F21002" s="16" t="n">
        <v>147535</v>
      </c>
    </row>
    <row r="21003">
      <c r="D21003" s="2" t="inlineStr">
        <is>
          <t>SUBTOTAL BAHAN</t>
        </is>
      </c>
      <c r="F21003" s="16" t="n">
        <v>285000</v>
      </c>
    </row>
    <row r="21004">
      <c r="D21004" s="2" t="inlineStr">
        <is>
          <t>SUBTOTAL ALAT</t>
        </is>
      </c>
      <c r="F21004" s="16" t="n">
        <v>54000</v>
      </c>
    </row>
    <row r="21005">
      <c r="E21005" s="2" t="inlineStr">
        <is>
          <t>TOTAL HARGA SATUAN (Inc. Overhead)</t>
        </is>
      </c>
      <c r="F21005" s="17" t="n">
        <v>535188</v>
      </c>
    </row>
    <row r="21007">
      <c r="A21007" s="14" t="inlineStr">
        <is>
          <t>KODE: 9.7.3.5 - Pemasangan 1 Buah Tee Ø 20" (500 mm)</t>
        </is>
      </c>
    </row>
    <row r="21008">
      <c r="A21008" s="10" t="inlineStr">
        <is>
          <t>No</t>
        </is>
      </c>
      <c r="B21008" s="10" t="inlineStr">
        <is>
          <t>Uraian Komponen</t>
        </is>
      </c>
      <c r="C21008" s="10" t="inlineStr">
        <is>
          <t>Satuan</t>
        </is>
      </c>
      <c r="D21008" s="10" t="inlineStr">
        <is>
          <t>Koef</t>
        </is>
      </c>
      <c r="E21008" s="10" t="inlineStr">
        <is>
          <t>Harga Satuan (Rp)</t>
        </is>
      </c>
      <c r="F21008" s="10" t="inlineStr">
        <is>
          <t>Jumlah Harga (Rp)</t>
        </is>
      </c>
    </row>
    <row r="21009">
      <c r="A21009" s="3" t="inlineStr">
        <is>
          <t>1</t>
        </is>
      </c>
      <c r="B21009" s="3" t="inlineStr">
        <is>
          <t>Pekerja</t>
        </is>
      </c>
      <c r="C21009" s="3" t="inlineStr">
        <is>
          <t>OH</t>
        </is>
      </c>
      <c r="D21009" s="15" t="n">
        <v>0.876</v>
      </c>
      <c r="E21009" s="4" t="n">
        <v>100000</v>
      </c>
      <c r="F21009" s="4" t="n">
        <v>87600</v>
      </c>
    </row>
    <row r="21010">
      <c r="A21010" s="3" t="inlineStr">
        <is>
          <t>2</t>
        </is>
      </c>
      <c r="B21010" s="3" t="inlineStr">
        <is>
          <t>Tukang pipa</t>
        </is>
      </c>
      <c r="C21010" s="3" t="inlineStr">
        <is>
          <t>OH</t>
        </is>
      </c>
      <c r="D21010" s="15" t="n">
        <v>0.438</v>
      </c>
      <c r="E21010" s="4" t="n">
        <v>145000</v>
      </c>
      <c r="F21010" s="4" t="n">
        <v>63510</v>
      </c>
    </row>
    <row r="21011">
      <c r="A21011" s="3" t="inlineStr">
        <is>
          <t>4</t>
        </is>
      </c>
      <c r="B21011" s="3" t="inlineStr">
        <is>
          <t>Mandor</t>
        </is>
      </c>
      <c r="C21011" s="3" t="inlineStr">
        <is>
          <t>OH</t>
        </is>
      </c>
      <c r="D21011" s="15" t="n">
        <v>0.08799999999999999</v>
      </c>
      <c r="E21011" s="4" t="n">
        <v>200000</v>
      </c>
      <c r="F21011" s="4" t="n">
        <v>17600</v>
      </c>
    </row>
    <row r="21012">
      <c r="A21012" s="3" t="inlineStr">
        <is>
          <t>1</t>
        </is>
      </c>
      <c r="B21012" s="3" t="inlineStr">
        <is>
          <t>"Tee Ø 20"" (500 mm)"</t>
        </is>
      </c>
      <c r="C21012" s="3" t="inlineStr">
        <is>
          <t>buah</t>
        </is>
      </c>
      <c r="D21012" s="15" t="n">
        <v>1</v>
      </c>
      <c r="E21012" s="4" t="n">
        <v>350000</v>
      </c>
      <c r="F21012" s="4" t="n">
        <v>350000</v>
      </c>
    </row>
    <row r="21013">
      <c r="A21013" s="3" t="inlineStr">
        <is>
          <t>1</t>
        </is>
      </c>
      <c r="B21013" s="3" t="inlineStr">
        <is>
          <t>Sewa Tripot</t>
        </is>
      </c>
      <c r="C21013" s="3" t="inlineStr">
        <is>
          <t>hari</t>
        </is>
      </c>
      <c r="D21013" s="15" t="n">
        <v>0.6</v>
      </c>
      <c r="E21013" s="4" t="n">
        <v>108000</v>
      </c>
      <c r="F21013" s="4" t="n">
        <v>64800</v>
      </c>
    </row>
    <row r="21014">
      <c r="D21014" s="2" t="inlineStr">
        <is>
          <t>SUBTOTAL UPAH</t>
        </is>
      </c>
      <c r="F21014" s="16" t="n">
        <v>168710</v>
      </c>
    </row>
    <row r="21015">
      <c r="D21015" s="2" t="inlineStr">
        <is>
          <t>SUBTOTAL BAHAN</t>
        </is>
      </c>
      <c r="F21015" s="16" t="n">
        <v>350000</v>
      </c>
    </row>
    <row r="21016">
      <c r="D21016" s="2" t="inlineStr">
        <is>
          <t>SUBTOTAL ALAT</t>
        </is>
      </c>
      <c r="F21016" s="16" t="n">
        <v>64800</v>
      </c>
    </row>
    <row r="21017">
      <c r="E21017" s="2" t="inlineStr">
        <is>
          <t>TOTAL HARGA SATUAN (Inc. Overhead)</t>
        </is>
      </c>
      <c r="F21017" s="17" t="n">
        <v>641861</v>
      </c>
    </row>
    <row r="21019">
      <c r="A21019" s="14" t="inlineStr">
        <is>
          <t>KODE: 9.7.3.6 - Pemasangan 1 Buah Tee Ø 24" (600 mm)</t>
        </is>
      </c>
    </row>
    <row r="21020">
      <c r="A21020" s="10" t="inlineStr">
        <is>
          <t>No</t>
        </is>
      </c>
      <c r="B21020" s="10" t="inlineStr">
        <is>
          <t>Uraian Komponen</t>
        </is>
      </c>
      <c r="C21020" s="10" t="inlineStr">
        <is>
          <t>Satuan</t>
        </is>
      </c>
      <c r="D21020" s="10" t="inlineStr">
        <is>
          <t>Koef</t>
        </is>
      </c>
      <c r="E21020" s="10" t="inlineStr">
        <is>
          <t>Harga Satuan (Rp)</t>
        </is>
      </c>
      <c r="F21020" s="10" t="inlineStr">
        <is>
          <t>Jumlah Harga (Rp)</t>
        </is>
      </c>
    </row>
    <row r="21021">
      <c r="A21021" s="3" t="inlineStr">
        <is>
          <t>1</t>
        </is>
      </c>
      <c r="B21021" s="3" t="inlineStr">
        <is>
          <t>Pekerja</t>
        </is>
      </c>
      <c r="C21021" s="3" t="inlineStr">
        <is>
          <t>OH</t>
        </is>
      </c>
      <c r="D21021" s="15" t="n">
        <v>1.096</v>
      </c>
      <c r="E21021" s="4" t="n">
        <v>100000</v>
      </c>
      <c r="F21021" s="4" t="n">
        <v>109600</v>
      </c>
    </row>
    <row r="21022">
      <c r="A21022" s="3" t="inlineStr">
        <is>
          <t>2</t>
        </is>
      </c>
      <c r="B21022" s="3" t="inlineStr">
        <is>
          <t>Tukang pipa</t>
        </is>
      </c>
      <c r="C21022" s="3" t="inlineStr">
        <is>
          <t>OH</t>
        </is>
      </c>
      <c r="D21022" s="15" t="n">
        <v>0.548</v>
      </c>
      <c r="E21022" s="4" t="n">
        <v>145000</v>
      </c>
      <c r="F21022" s="4" t="n">
        <v>79460</v>
      </c>
    </row>
    <row r="21023">
      <c r="A21023" s="3" t="inlineStr">
        <is>
          <t>4</t>
        </is>
      </c>
      <c r="B21023" s="3" t="inlineStr">
        <is>
          <t>Mandor</t>
        </is>
      </c>
      <c r="C21023" s="3" t="inlineStr">
        <is>
          <t>OH</t>
        </is>
      </c>
      <c r="D21023" s="15" t="n">
        <v>0.11</v>
      </c>
      <c r="E21023" s="4" t="n">
        <v>200000</v>
      </c>
      <c r="F21023" s="4" t="n">
        <v>22000</v>
      </c>
    </row>
    <row r="21024">
      <c r="A21024" s="3" t="inlineStr">
        <is>
          <t>1</t>
        </is>
      </c>
      <c r="B21024" s="3" t="inlineStr">
        <is>
          <t>"Tee Ø 24"" (600 mm)"</t>
        </is>
      </c>
      <c r="C21024" s="3" t="inlineStr">
        <is>
          <t>buah</t>
        </is>
      </c>
      <c r="D21024" s="15" t="n">
        <v>1</v>
      </c>
      <c r="E21024" s="4" t="n">
        <v>435000</v>
      </c>
      <c r="F21024" s="4" t="n">
        <v>435000</v>
      </c>
    </row>
    <row r="21025">
      <c r="A21025" s="3" t="inlineStr">
        <is>
          <t>1</t>
        </is>
      </c>
      <c r="B21025" s="3" t="inlineStr">
        <is>
          <t>Sewa Tripot</t>
        </is>
      </c>
      <c r="C21025" s="3" t="inlineStr">
        <is>
          <t>hari</t>
        </is>
      </c>
      <c r="D21025" s="15" t="n">
        <v>0.193</v>
      </c>
      <c r="E21025" s="4" t="n">
        <v>108000</v>
      </c>
      <c r="F21025" s="4" t="n">
        <v>20844</v>
      </c>
    </row>
    <row r="21026">
      <c r="A21026" s="3" t="inlineStr">
        <is>
          <t>2</t>
        </is>
      </c>
      <c r="B21026" s="3" t="inlineStr">
        <is>
          <t>Sewa Mobil Crane</t>
        </is>
      </c>
      <c r="C21026" s="3" t="inlineStr">
        <is>
          <t>hari</t>
        </is>
      </c>
      <c r="D21026" s="15" t="n">
        <v>0.096</v>
      </c>
      <c r="E21026" s="4" t="n">
        <v>1450000</v>
      </c>
      <c r="F21026" s="4" t="n">
        <v>139200</v>
      </c>
    </row>
    <row r="21027">
      <c r="D21027" s="2" t="inlineStr">
        <is>
          <t>SUBTOTAL UPAH</t>
        </is>
      </c>
      <c r="F21027" s="16" t="n">
        <v>211060</v>
      </c>
    </row>
    <row r="21028">
      <c r="D21028" s="2" t="inlineStr">
        <is>
          <t>SUBTOTAL BAHAN</t>
        </is>
      </c>
      <c r="F21028" s="16" t="n">
        <v>435000</v>
      </c>
    </row>
    <row r="21029">
      <c r="D21029" s="2" t="inlineStr">
        <is>
          <t>SUBTOTAL ALAT</t>
        </is>
      </c>
      <c r="F21029" s="16" t="n">
        <v>160044</v>
      </c>
    </row>
    <row r="21030">
      <c r="E21030" s="2" t="inlineStr">
        <is>
          <t>TOTAL HARGA SATUAN (Inc. Overhead)</t>
        </is>
      </c>
      <c r="F21030" s="17" t="n">
        <v>886714</v>
      </c>
    </row>
    <row r="21032">
      <c r="A21032" s="14" t="inlineStr">
        <is>
          <t>KODE: 9.7.3.7 - Pemasangan 1 Buah Tee Ø 28" (700 mm)</t>
        </is>
      </c>
    </row>
    <row r="21033">
      <c r="A21033" s="10" t="inlineStr">
        <is>
          <t>No</t>
        </is>
      </c>
      <c r="B21033" s="10" t="inlineStr">
        <is>
          <t>Uraian Komponen</t>
        </is>
      </c>
      <c r="C21033" s="10" t="inlineStr">
        <is>
          <t>Satuan</t>
        </is>
      </c>
      <c r="D21033" s="10" t="inlineStr">
        <is>
          <t>Koef</t>
        </is>
      </c>
      <c r="E21033" s="10" t="inlineStr">
        <is>
          <t>Harga Satuan (Rp)</t>
        </is>
      </c>
      <c r="F21033" s="10" t="inlineStr">
        <is>
          <t>Jumlah Harga (Rp)</t>
        </is>
      </c>
    </row>
    <row r="21034">
      <c r="A21034" s="3" t="inlineStr">
        <is>
          <t>1</t>
        </is>
      </c>
      <c r="B21034" s="3" t="inlineStr">
        <is>
          <t>Pekerja</t>
        </is>
      </c>
      <c r="C21034" s="3" t="inlineStr">
        <is>
          <t>OH</t>
        </is>
      </c>
      <c r="D21034" s="15" t="n">
        <v>1.316</v>
      </c>
      <c r="E21034" s="4" t="n">
        <v>100000</v>
      </c>
      <c r="F21034" s="4" t="n">
        <v>131600</v>
      </c>
    </row>
    <row r="21035">
      <c r="A21035" s="3" t="inlineStr">
        <is>
          <t>2</t>
        </is>
      </c>
      <c r="B21035" s="3" t="inlineStr">
        <is>
          <t>Tukang pipa</t>
        </is>
      </c>
      <c r="C21035" s="3" t="inlineStr">
        <is>
          <t>OH</t>
        </is>
      </c>
      <c r="D21035" s="15" t="n">
        <v>0.658</v>
      </c>
      <c r="E21035" s="4" t="n">
        <v>145000</v>
      </c>
      <c r="F21035" s="4" t="n">
        <v>95410</v>
      </c>
    </row>
    <row r="21036">
      <c r="A21036" s="3" t="inlineStr">
        <is>
          <t>4</t>
        </is>
      </c>
      <c r="B21036" s="3" t="inlineStr">
        <is>
          <t>Mandor</t>
        </is>
      </c>
      <c r="C21036" s="3" t="inlineStr">
        <is>
          <t>OH</t>
        </is>
      </c>
      <c r="D21036" s="15" t="n">
        <v>0.132</v>
      </c>
      <c r="E21036" s="4" t="n">
        <v>200000</v>
      </c>
      <c r="F21036" s="4" t="n">
        <v>26400</v>
      </c>
    </row>
    <row r="21037">
      <c r="A21037" s="3" t="inlineStr">
        <is>
          <t>1</t>
        </is>
      </c>
      <c r="B21037" s="3" t="inlineStr">
        <is>
          <t>"Tee Ø 28"" (700 mm)"</t>
        </is>
      </c>
      <c r="C21037" s="3" t="inlineStr">
        <is>
          <t>buah</t>
        </is>
      </c>
      <c r="D21037" s="15" t="n">
        <v>1</v>
      </c>
      <c r="E21037" s="4" t="n">
        <v>510000</v>
      </c>
      <c r="F21037" s="4" t="n">
        <v>510000</v>
      </c>
    </row>
    <row r="21038">
      <c r="A21038" s="3" t="inlineStr">
        <is>
          <t>1</t>
        </is>
      </c>
      <c r="B21038" s="3" t="inlineStr">
        <is>
          <t>Sewa Tripot</t>
        </is>
      </c>
      <c r="C21038" s="3" t="inlineStr">
        <is>
          <t>hari</t>
        </is>
      </c>
      <c r="D21038" s="15" t="n">
        <v>0.225</v>
      </c>
      <c r="E21038" s="4" t="n">
        <v>108000</v>
      </c>
      <c r="F21038" s="4" t="n">
        <v>24300</v>
      </c>
    </row>
    <row r="21039">
      <c r="A21039" s="3" t="inlineStr">
        <is>
          <t>2</t>
        </is>
      </c>
      <c r="B21039" s="3" t="inlineStr">
        <is>
          <t>Sewa Mobil Crane</t>
        </is>
      </c>
      <c r="C21039" s="3" t="inlineStr">
        <is>
          <t>hari</t>
        </is>
      </c>
      <c r="D21039" s="15" t="n">
        <v>0.113</v>
      </c>
      <c r="E21039" s="4" t="n">
        <v>1450000</v>
      </c>
      <c r="F21039" s="4" t="n">
        <v>163850</v>
      </c>
    </row>
    <row r="21040">
      <c r="D21040" s="2" t="inlineStr">
        <is>
          <t>SUBTOTAL UPAH</t>
        </is>
      </c>
      <c r="F21040" s="16" t="n">
        <v>253410</v>
      </c>
    </row>
    <row r="21041">
      <c r="D21041" s="2" t="inlineStr">
        <is>
          <t>SUBTOTAL BAHAN</t>
        </is>
      </c>
      <c r="F21041" s="16" t="n">
        <v>510000</v>
      </c>
    </row>
    <row r="21042">
      <c r="D21042" s="2" t="inlineStr">
        <is>
          <t>SUBTOTAL ALAT</t>
        </is>
      </c>
      <c r="F21042" s="16" t="n">
        <v>188150</v>
      </c>
    </row>
    <row r="21043">
      <c r="E21043" s="2" t="inlineStr">
        <is>
          <t>TOTAL HARGA SATUAN (Inc. Overhead)</t>
        </is>
      </c>
      <c r="F21043" s="17" t="n">
        <v>1046716</v>
      </c>
    </row>
    <row r="21045">
      <c r="A21045" s="14" t="inlineStr">
        <is>
          <t>KODE: 9.7.3.8 - Pemasangan 1 Buah Tee Ø 32" (800 mm)</t>
        </is>
      </c>
    </row>
    <row r="21046">
      <c r="A21046" s="10" t="inlineStr">
        <is>
          <t>No</t>
        </is>
      </c>
      <c r="B21046" s="10" t="inlineStr">
        <is>
          <t>Uraian Komponen</t>
        </is>
      </c>
      <c r="C21046" s="10" t="inlineStr">
        <is>
          <t>Satuan</t>
        </is>
      </c>
      <c r="D21046" s="10" t="inlineStr">
        <is>
          <t>Koef</t>
        </is>
      </c>
      <c r="E21046" s="10" t="inlineStr">
        <is>
          <t>Harga Satuan (Rp)</t>
        </is>
      </c>
      <c r="F21046" s="10" t="inlineStr">
        <is>
          <t>Jumlah Harga (Rp)</t>
        </is>
      </c>
    </row>
    <row r="21047">
      <c r="A21047" s="3" t="inlineStr">
        <is>
          <t>1</t>
        </is>
      </c>
      <c r="B21047" s="3" t="inlineStr">
        <is>
          <t>Pekerja</t>
        </is>
      </c>
      <c r="C21047" s="3" t="inlineStr">
        <is>
          <t>OH</t>
        </is>
      </c>
      <c r="D21047" s="15" t="n">
        <v>1.536</v>
      </c>
      <c r="E21047" s="4" t="n">
        <v>100000</v>
      </c>
      <c r="F21047" s="4" t="n">
        <v>153600</v>
      </c>
    </row>
    <row r="21048">
      <c r="A21048" s="3" t="inlineStr">
        <is>
          <t>2</t>
        </is>
      </c>
      <c r="B21048" s="3" t="inlineStr">
        <is>
          <t>Tukang pipa</t>
        </is>
      </c>
      <c r="C21048" s="3" t="inlineStr">
        <is>
          <t>OH</t>
        </is>
      </c>
      <c r="D21048" s="15" t="n">
        <v>0.768</v>
      </c>
      <c r="E21048" s="4" t="n">
        <v>145000</v>
      </c>
      <c r="F21048" s="4" t="n">
        <v>111360</v>
      </c>
    </row>
    <row r="21049">
      <c r="A21049" s="3" t="inlineStr">
        <is>
          <t>4</t>
        </is>
      </c>
      <c r="B21049" s="3" t="inlineStr">
        <is>
          <t>Mandor</t>
        </is>
      </c>
      <c r="C21049" s="3" t="inlineStr">
        <is>
          <t>OH</t>
        </is>
      </c>
      <c r="D21049" s="15" t="n">
        <v>0.154</v>
      </c>
      <c r="E21049" s="4" t="n">
        <v>200000</v>
      </c>
      <c r="F21049" s="4" t="n">
        <v>30800</v>
      </c>
    </row>
    <row r="21050">
      <c r="A21050" s="3" t="inlineStr">
        <is>
          <t>1</t>
        </is>
      </c>
      <c r="B21050" s="3" t="inlineStr">
        <is>
          <t>"Tee Ø 32"" (800 mm)"</t>
        </is>
      </c>
      <c r="C21050" s="3" t="inlineStr">
        <is>
          <t>buah</t>
        </is>
      </c>
      <c r="D21050" s="15" t="n">
        <v>1</v>
      </c>
      <c r="E21050" s="4" t="n">
        <v>599000</v>
      </c>
      <c r="F21050" s="4" t="n">
        <v>599000</v>
      </c>
    </row>
    <row r="21051">
      <c r="A21051" s="3" t="inlineStr">
        <is>
          <t>1</t>
        </is>
      </c>
      <c r="B21051" s="3" t="inlineStr">
        <is>
          <t>Sewa Tripot</t>
        </is>
      </c>
      <c r="C21051" s="3" t="inlineStr">
        <is>
          <t>hari</t>
        </is>
      </c>
      <c r="D21051" s="15" t="n">
        <v>0.257</v>
      </c>
      <c r="E21051" s="4" t="n">
        <v>108000</v>
      </c>
      <c r="F21051" s="4" t="n">
        <v>27756</v>
      </c>
    </row>
    <row r="21052">
      <c r="A21052" s="3" t="inlineStr">
        <is>
          <t>2</t>
        </is>
      </c>
      <c r="B21052" s="3" t="inlineStr">
        <is>
          <t>Sewa Mobil Crane</t>
        </is>
      </c>
      <c r="C21052" s="3" t="inlineStr">
        <is>
          <t>hari</t>
        </is>
      </c>
      <c r="D21052" s="15" t="n">
        <v>0.129</v>
      </c>
      <c r="E21052" s="4" t="n">
        <v>1450000</v>
      </c>
      <c r="F21052" s="4" t="n">
        <v>187050</v>
      </c>
    </row>
    <row r="21053">
      <c r="D21053" s="2" t="inlineStr">
        <is>
          <t>SUBTOTAL UPAH</t>
        </is>
      </c>
      <c r="F21053" s="16" t="n">
        <v>295760</v>
      </c>
    </row>
    <row r="21054">
      <c r="D21054" s="2" t="inlineStr">
        <is>
          <t>SUBTOTAL BAHAN</t>
        </is>
      </c>
      <c r="F21054" s="16" t="n">
        <v>599000</v>
      </c>
    </row>
    <row r="21055">
      <c r="D21055" s="2" t="inlineStr">
        <is>
          <t>SUBTOTAL ALAT</t>
        </is>
      </c>
      <c r="F21055" s="16" t="n">
        <v>214806</v>
      </c>
    </row>
    <row r="21056">
      <c r="E21056" s="2" t="inlineStr">
        <is>
          <t>TOTAL HARGA SATUAN (Inc. Overhead)</t>
        </is>
      </c>
      <c r="F21056" s="17" t="n">
        <v>1220522</v>
      </c>
    </row>
    <row r="21058">
      <c r="A21058" s="14" t="inlineStr">
        <is>
          <t>KODE: 9.7.3.9 - Pemasangan 1 Buah Tee Ø 36" (900 mm)</t>
        </is>
      </c>
    </row>
    <row r="21059">
      <c r="A21059" s="10" t="inlineStr">
        <is>
          <t>No</t>
        </is>
      </c>
      <c r="B21059" s="10" t="inlineStr">
        <is>
          <t>Uraian Komponen</t>
        </is>
      </c>
      <c r="C21059" s="10" t="inlineStr">
        <is>
          <t>Satuan</t>
        </is>
      </c>
      <c r="D21059" s="10" t="inlineStr">
        <is>
          <t>Koef</t>
        </is>
      </c>
      <c r="E21059" s="10" t="inlineStr">
        <is>
          <t>Harga Satuan (Rp)</t>
        </is>
      </c>
      <c r="F21059" s="10" t="inlineStr">
        <is>
          <t>Jumlah Harga (Rp)</t>
        </is>
      </c>
    </row>
    <row r="21060">
      <c r="A21060" s="3" t="inlineStr">
        <is>
          <t>1</t>
        </is>
      </c>
      <c r="B21060" s="3" t="inlineStr">
        <is>
          <t>Pekerja</t>
        </is>
      </c>
      <c r="C21060" s="3" t="inlineStr">
        <is>
          <t>OH</t>
        </is>
      </c>
      <c r="D21060" s="15" t="n">
        <v>1.756</v>
      </c>
      <c r="E21060" s="4" t="n">
        <v>100000</v>
      </c>
      <c r="F21060" s="4" t="n">
        <v>175600</v>
      </c>
    </row>
    <row r="21061">
      <c r="A21061" s="3" t="inlineStr">
        <is>
          <t>2</t>
        </is>
      </c>
      <c r="B21061" s="3" t="inlineStr">
        <is>
          <t>Tukang pipa</t>
        </is>
      </c>
      <c r="C21061" s="3" t="inlineStr">
        <is>
          <t>OH</t>
        </is>
      </c>
      <c r="D21061" s="15" t="n">
        <v>0.878</v>
      </c>
      <c r="E21061" s="4" t="n">
        <v>145000</v>
      </c>
      <c r="F21061" s="4" t="n">
        <v>127310</v>
      </c>
    </row>
    <row r="21062">
      <c r="A21062" s="3" t="inlineStr">
        <is>
          <t>4</t>
        </is>
      </c>
      <c r="B21062" s="3" t="inlineStr">
        <is>
          <t>Mandor</t>
        </is>
      </c>
      <c r="C21062" s="3" t="inlineStr">
        <is>
          <t>OH</t>
        </is>
      </c>
      <c r="D21062" s="15" t="n">
        <v>0.176</v>
      </c>
      <c r="E21062" s="4" t="n">
        <v>200000</v>
      </c>
      <c r="F21062" s="4" t="n">
        <v>35200</v>
      </c>
    </row>
    <row r="21063">
      <c r="A21063" s="3" t="inlineStr">
        <is>
          <t>1</t>
        </is>
      </c>
      <c r="B21063" s="3" t="inlineStr">
        <is>
          <t>"Tee Ø 36"" (900 mm)"</t>
        </is>
      </c>
      <c r="C21063" s="3" t="inlineStr">
        <is>
          <t>buah</t>
        </is>
      </c>
      <c r="D21063" s="15" t="n">
        <v>1</v>
      </c>
      <c r="E21063" s="4" t="n">
        <v>670000</v>
      </c>
      <c r="F21063" s="4" t="n">
        <v>670000</v>
      </c>
    </row>
    <row r="21064">
      <c r="A21064" s="3" t="inlineStr">
        <is>
          <t>1</t>
        </is>
      </c>
      <c r="B21064" s="3" t="inlineStr">
        <is>
          <t>Sewa Tripot</t>
        </is>
      </c>
      <c r="C21064" s="3" t="inlineStr">
        <is>
          <t>hari</t>
        </is>
      </c>
      <c r="D21064" s="15" t="n">
        <v>0.321</v>
      </c>
      <c r="E21064" s="4" t="n">
        <v>108000</v>
      </c>
      <c r="F21064" s="4" t="n">
        <v>34668</v>
      </c>
    </row>
    <row r="21065">
      <c r="A21065" s="3" t="inlineStr">
        <is>
          <t>2</t>
        </is>
      </c>
      <c r="B21065" s="3" t="inlineStr">
        <is>
          <t>Sewa Mobil Crane</t>
        </is>
      </c>
      <c r="C21065" s="3" t="inlineStr">
        <is>
          <t>hari</t>
        </is>
      </c>
      <c r="D21065" s="15" t="n">
        <v>0.161</v>
      </c>
      <c r="E21065" s="4" t="n">
        <v>1450000</v>
      </c>
      <c r="F21065" s="4" t="n">
        <v>233450</v>
      </c>
    </row>
    <row r="21066">
      <c r="D21066" s="2" t="inlineStr">
        <is>
          <t>SUBTOTAL UPAH</t>
        </is>
      </c>
      <c r="F21066" s="16" t="n">
        <v>338110</v>
      </c>
    </row>
    <row r="21067">
      <c r="D21067" s="2" t="inlineStr">
        <is>
          <t>SUBTOTAL BAHAN</t>
        </is>
      </c>
      <c r="F21067" s="16" t="n">
        <v>670000</v>
      </c>
    </row>
    <row r="21068">
      <c r="D21068" s="2" t="inlineStr">
        <is>
          <t>SUBTOTAL ALAT</t>
        </is>
      </c>
      <c r="F21068" s="16" t="n">
        <v>268118</v>
      </c>
    </row>
    <row r="21069">
      <c r="E21069" s="2" t="inlineStr">
        <is>
          <t>TOTAL HARGA SATUAN (Inc. Overhead)</t>
        </is>
      </c>
      <c r="F21069" s="17" t="n">
        <v>1403850</v>
      </c>
    </row>
    <row r="21071">
      <c r="A21071" s="14" t="inlineStr">
        <is>
          <t>KODE: 9.7.3.10 - Pemasangan 1 Buah Tee Ø 40" (1000 mm)</t>
        </is>
      </c>
    </row>
    <row r="21072">
      <c r="A21072" s="10" t="inlineStr">
        <is>
          <t>No</t>
        </is>
      </c>
      <c r="B21072" s="10" t="inlineStr">
        <is>
          <t>Uraian Komponen</t>
        </is>
      </c>
      <c r="C21072" s="10" t="inlineStr">
        <is>
          <t>Satuan</t>
        </is>
      </c>
      <c r="D21072" s="10" t="inlineStr">
        <is>
          <t>Koef</t>
        </is>
      </c>
      <c r="E21072" s="10" t="inlineStr">
        <is>
          <t>Harga Satuan (Rp)</t>
        </is>
      </c>
      <c r="F21072" s="10" t="inlineStr">
        <is>
          <t>Jumlah Harga (Rp)</t>
        </is>
      </c>
    </row>
    <row r="21073">
      <c r="A21073" s="3" t="inlineStr">
        <is>
          <t>1</t>
        </is>
      </c>
      <c r="B21073" s="3" t="inlineStr">
        <is>
          <t>Pekerja</t>
        </is>
      </c>
      <c r="C21073" s="3" t="inlineStr">
        <is>
          <t>OH</t>
        </is>
      </c>
      <c r="D21073" s="15" t="n">
        <v>1.976</v>
      </c>
      <c r="E21073" s="4" t="n">
        <v>100000</v>
      </c>
      <c r="F21073" s="4" t="n">
        <v>197600</v>
      </c>
    </row>
    <row r="21074">
      <c r="A21074" s="3" t="inlineStr">
        <is>
          <t>2</t>
        </is>
      </c>
      <c r="B21074" s="3" t="inlineStr">
        <is>
          <t>Tukang pipa</t>
        </is>
      </c>
      <c r="C21074" s="3" t="inlineStr">
        <is>
          <t>OH</t>
        </is>
      </c>
      <c r="D21074" s="15" t="n">
        <v>0.988</v>
      </c>
      <c r="E21074" s="4" t="n">
        <v>145000</v>
      </c>
      <c r="F21074" s="4" t="n">
        <v>143260</v>
      </c>
    </row>
    <row r="21075">
      <c r="A21075" s="3" t="inlineStr">
        <is>
          <t>4</t>
        </is>
      </c>
      <c r="B21075" s="3" t="inlineStr">
        <is>
          <t>Mandor</t>
        </is>
      </c>
      <c r="C21075" s="3" t="inlineStr">
        <is>
          <t>OH</t>
        </is>
      </c>
      <c r="D21075" s="15" t="n">
        <v>0.198</v>
      </c>
      <c r="E21075" s="4" t="n">
        <v>200000</v>
      </c>
      <c r="F21075" s="4" t="n">
        <v>39600</v>
      </c>
    </row>
    <row r="21076">
      <c r="A21076" s="3" t="inlineStr">
        <is>
          <t>1</t>
        </is>
      </c>
      <c r="B21076" s="3" t="inlineStr">
        <is>
          <t>"Tee Ø 40"" (1000 mm)"</t>
        </is>
      </c>
      <c r="C21076" s="3" t="inlineStr">
        <is>
          <t>buah</t>
        </is>
      </c>
      <c r="D21076" s="15" t="n">
        <v>1</v>
      </c>
      <c r="E21076" s="4" t="n">
        <v>750000</v>
      </c>
      <c r="F21076" s="4" t="n">
        <v>750000</v>
      </c>
    </row>
    <row r="21077">
      <c r="A21077" s="3" t="inlineStr">
        <is>
          <t>1</t>
        </is>
      </c>
      <c r="B21077" s="3" t="inlineStr">
        <is>
          <t>Sewa Tripot</t>
        </is>
      </c>
      <c r="C21077" s="3" t="inlineStr">
        <is>
          <t>hari</t>
        </is>
      </c>
      <c r="D21077" s="15" t="n">
        <v>0.366</v>
      </c>
      <c r="E21077" s="4" t="n">
        <v>108000</v>
      </c>
      <c r="F21077" s="4" t="n">
        <v>39528</v>
      </c>
    </row>
    <row r="21078">
      <c r="A21078" s="3" t="inlineStr">
        <is>
          <t>2</t>
        </is>
      </c>
      <c r="B21078" s="3" t="inlineStr">
        <is>
          <t>Sewa Mobil Crane</t>
        </is>
      </c>
      <c r="C21078" s="3" t="inlineStr">
        <is>
          <t>hari</t>
        </is>
      </c>
      <c r="D21078" s="15" t="n">
        <v>0.183</v>
      </c>
      <c r="E21078" s="4" t="n">
        <v>1450000</v>
      </c>
      <c r="F21078" s="4" t="n">
        <v>265350</v>
      </c>
    </row>
    <row r="21079">
      <c r="D21079" s="2" t="inlineStr">
        <is>
          <t>SUBTOTAL UPAH</t>
        </is>
      </c>
      <c r="F21079" s="16" t="n">
        <v>380460</v>
      </c>
    </row>
    <row r="21080">
      <c r="D21080" s="2" t="inlineStr">
        <is>
          <t>SUBTOTAL BAHAN</t>
        </is>
      </c>
      <c r="F21080" s="16" t="n">
        <v>750000</v>
      </c>
    </row>
    <row r="21081">
      <c r="D21081" s="2" t="inlineStr">
        <is>
          <t>SUBTOTAL ALAT</t>
        </is>
      </c>
      <c r="F21081" s="16" t="n">
        <v>304878</v>
      </c>
    </row>
    <row r="21082">
      <c r="E21082" s="2" t="inlineStr">
        <is>
          <t>TOTAL HARGA SATUAN (Inc. Overhead)</t>
        </is>
      </c>
      <c r="F21082" s="17" t="n">
        <v>1578871</v>
      </c>
    </row>
    <row r="21084">
      <c r="A21084" s="14" t="inlineStr">
        <is>
          <t>KODE: 9.7.3.11 - Pemasangan 1 Buah Tee Ø 44" (1100 mm)</t>
        </is>
      </c>
    </row>
    <row r="21085">
      <c r="A21085" s="10" t="inlineStr">
        <is>
          <t>No</t>
        </is>
      </c>
      <c r="B21085" s="10" t="inlineStr">
        <is>
          <t>Uraian Komponen</t>
        </is>
      </c>
      <c r="C21085" s="10" t="inlineStr">
        <is>
          <t>Satuan</t>
        </is>
      </c>
      <c r="D21085" s="10" t="inlineStr">
        <is>
          <t>Koef</t>
        </is>
      </c>
      <c r="E21085" s="10" t="inlineStr">
        <is>
          <t>Harga Satuan (Rp)</t>
        </is>
      </c>
      <c r="F21085" s="10" t="inlineStr">
        <is>
          <t>Jumlah Harga (Rp)</t>
        </is>
      </c>
    </row>
    <row r="21086">
      <c r="A21086" s="3" t="inlineStr">
        <is>
          <t>1</t>
        </is>
      </c>
      <c r="B21086" s="3" t="inlineStr">
        <is>
          <t>Pekerja</t>
        </is>
      </c>
      <c r="C21086" s="3" t="inlineStr">
        <is>
          <t>OH</t>
        </is>
      </c>
      <c r="D21086" s="15" t="n">
        <v>2.196</v>
      </c>
      <c r="E21086" s="4" t="n">
        <v>100000</v>
      </c>
      <c r="F21086" s="4" t="n">
        <v>219600</v>
      </c>
    </row>
    <row r="21087">
      <c r="A21087" s="3" t="inlineStr">
        <is>
          <t>2</t>
        </is>
      </c>
      <c r="B21087" s="3" t="inlineStr">
        <is>
          <t>Tukang pipa</t>
        </is>
      </c>
      <c r="C21087" s="3" t="inlineStr">
        <is>
          <t>OH</t>
        </is>
      </c>
      <c r="D21087" s="15" t="n">
        <v>1.098</v>
      </c>
      <c r="E21087" s="4" t="n">
        <v>145000</v>
      </c>
      <c r="F21087" s="4" t="n">
        <v>159210</v>
      </c>
    </row>
    <row r="21088">
      <c r="A21088" s="3" t="inlineStr">
        <is>
          <t>4</t>
        </is>
      </c>
      <c r="B21088" s="3" t="inlineStr">
        <is>
          <t>Mandor</t>
        </is>
      </c>
      <c r="C21088" s="3" t="inlineStr">
        <is>
          <t>OH</t>
        </is>
      </c>
      <c r="D21088" s="15" t="n">
        <v>0.22</v>
      </c>
      <c r="E21088" s="4" t="n">
        <v>200000</v>
      </c>
      <c r="F21088" s="4" t="n">
        <v>44000</v>
      </c>
    </row>
    <row r="21089">
      <c r="A21089" s="3" t="inlineStr">
        <is>
          <t>1</t>
        </is>
      </c>
      <c r="B21089" s="3" t="inlineStr">
        <is>
          <t>"Tee Ø 44"" (1100 mm)"</t>
        </is>
      </c>
      <c r="C21089" s="3" t="inlineStr">
        <is>
          <t>buah</t>
        </is>
      </c>
      <c r="D21089" s="15" t="n">
        <v>1</v>
      </c>
      <c r="E21089" s="4" t="n">
        <v>830000</v>
      </c>
      <c r="F21089" s="4" t="n">
        <v>830000</v>
      </c>
    </row>
    <row r="21090">
      <c r="A21090" s="3" t="inlineStr">
        <is>
          <t>1</t>
        </is>
      </c>
      <c r="B21090" s="3" t="inlineStr">
        <is>
          <t>Sewa Tripot</t>
        </is>
      </c>
      <c r="C21090" s="3" t="inlineStr">
        <is>
          <t>hari</t>
        </is>
      </c>
      <c r="D21090" s="15" t="n">
        <v>0.386</v>
      </c>
      <c r="E21090" s="4" t="n">
        <v>108000</v>
      </c>
      <c r="F21090" s="4" t="n">
        <v>41688</v>
      </c>
    </row>
    <row r="21091">
      <c r="A21091" s="3" t="inlineStr">
        <is>
          <t>2</t>
        </is>
      </c>
      <c r="B21091" s="3" t="inlineStr">
        <is>
          <t>Sewa Mobil Crane</t>
        </is>
      </c>
      <c r="C21091" s="3" t="inlineStr">
        <is>
          <t>hari</t>
        </is>
      </c>
      <c r="D21091" s="15" t="n">
        <v>0.193</v>
      </c>
      <c r="E21091" s="4" t="n">
        <v>1450000</v>
      </c>
      <c r="F21091" s="4" t="n">
        <v>279850</v>
      </c>
    </row>
    <row r="21092">
      <c r="D21092" s="2" t="inlineStr">
        <is>
          <t>SUBTOTAL UPAH</t>
        </is>
      </c>
      <c r="F21092" s="16" t="n">
        <v>422810</v>
      </c>
    </row>
    <row r="21093">
      <c r="D21093" s="2" t="inlineStr">
        <is>
          <t>SUBTOTAL BAHAN</t>
        </is>
      </c>
      <c r="F21093" s="16" t="n">
        <v>830000</v>
      </c>
    </row>
    <row r="21094">
      <c r="D21094" s="2" t="inlineStr">
        <is>
          <t>SUBTOTAL ALAT</t>
        </is>
      </c>
      <c r="F21094" s="16" t="n">
        <v>321538</v>
      </c>
    </row>
    <row r="21095">
      <c r="E21095" s="2" t="inlineStr">
        <is>
          <t>TOTAL HARGA SATUAN (Inc. Overhead)</t>
        </is>
      </c>
      <c r="F21095" s="17" t="n">
        <v>1731782</v>
      </c>
    </row>
    <row r="21097">
      <c r="A21097" s="14" t="inlineStr">
        <is>
          <t>KODE: 9.7.3.12 - Pemasangan 1 Buah Tee Ø 48" (1200 mm)</t>
        </is>
      </c>
    </row>
    <row r="21098">
      <c r="A21098" s="10" t="inlineStr">
        <is>
          <t>No</t>
        </is>
      </c>
      <c r="B21098" s="10" t="inlineStr">
        <is>
          <t>Uraian Komponen</t>
        </is>
      </c>
      <c r="C21098" s="10" t="inlineStr">
        <is>
          <t>Satuan</t>
        </is>
      </c>
      <c r="D21098" s="10" t="inlineStr">
        <is>
          <t>Koef</t>
        </is>
      </c>
      <c r="E21098" s="10" t="inlineStr">
        <is>
          <t>Harga Satuan (Rp)</t>
        </is>
      </c>
      <c r="F21098" s="10" t="inlineStr">
        <is>
          <t>Jumlah Harga (Rp)</t>
        </is>
      </c>
    </row>
    <row r="21099">
      <c r="A21099" s="3" t="inlineStr">
        <is>
          <t>1</t>
        </is>
      </c>
      <c r="B21099" s="3" t="inlineStr">
        <is>
          <t>Pekerja</t>
        </is>
      </c>
      <c r="C21099" s="3" t="inlineStr">
        <is>
          <t>OH</t>
        </is>
      </c>
      <c r="D21099" s="15" t="n">
        <v>2.416</v>
      </c>
      <c r="E21099" s="4" t="n">
        <v>100000</v>
      </c>
      <c r="F21099" s="4" t="n">
        <v>241600</v>
      </c>
    </row>
    <row r="21100">
      <c r="A21100" s="3" t="inlineStr">
        <is>
          <t>2</t>
        </is>
      </c>
      <c r="B21100" s="3" t="inlineStr">
        <is>
          <t>Tukang pipa</t>
        </is>
      </c>
      <c r="C21100" s="3" t="inlineStr">
        <is>
          <t>OH</t>
        </is>
      </c>
      <c r="D21100" s="15" t="n">
        <v>1.208</v>
      </c>
      <c r="E21100" s="4" t="n">
        <v>145000</v>
      </c>
      <c r="F21100" s="4" t="n">
        <v>175160</v>
      </c>
    </row>
    <row r="21101">
      <c r="A21101" s="3" t="inlineStr">
        <is>
          <t>4</t>
        </is>
      </c>
      <c r="B21101" s="3" t="inlineStr">
        <is>
          <t>Mandor</t>
        </is>
      </c>
      <c r="C21101" s="3" t="inlineStr">
        <is>
          <t>OH</t>
        </is>
      </c>
      <c r="D21101" s="15" t="n">
        <v>0.242</v>
      </c>
      <c r="E21101" s="4" t="n">
        <v>200000</v>
      </c>
      <c r="F21101" s="4" t="n">
        <v>48400</v>
      </c>
    </row>
    <row r="21102">
      <c r="A21102" s="3" t="inlineStr">
        <is>
          <t>1</t>
        </is>
      </c>
      <c r="B21102" s="3" t="inlineStr">
        <is>
          <t>"Tee Ø 48"" (1200 mm)"</t>
        </is>
      </c>
      <c r="C21102" s="3" t="inlineStr">
        <is>
          <t>buah</t>
        </is>
      </c>
      <c r="D21102" s="15" t="n">
        <v>1</v>
      </c>
      <c r="E21102" s="4" t="n">
        <v>950000</v>
      </c>
      <c r="F21102" s="4" t="n">
        <v>950000</v>
      </c>
    </row>
    <row r="21103">
      <c r="A21103" s="3" t="inlineStr">
        <is>
          <t>1</t>
        </is>
      </c>
      <c r="B21103" s="3" t="inlineStr">
        <is>
          <t>Sewa Tripot</t>
        </is>
      </c>
      <c r="C21103" s="3" t="inlineStr">
        <is>
          <t>hari</t>
        </is>
      </c>
      <c r="D21103" s="15" t="n">
        <v>0.45</v>
      </c>
      <c r="E21103" s="4" t="n">
        <v>108000</v>
      </c>
      <c r="F21103" s="4" t="n">
        <v>48600</v>
      </c>
    </row>
    <row r="21104">
      <c r="A21104" s="3" t="inlineStr">
        <is>
          <t>2</t>
        </is>
      </c>
      <c r="B21104" s="3" t="inlineStr">
        <is>
          <t>Sewa Mobil Crane</t>
        </is>
      </c>
      <c r="C21104" s="3" t="inlineStr">
        <is>
          <t>hari</t>
        </is>
      </c>
      <c r="D21104" s="15" t="n">
        <v>0.225</v>
      </c>
      <c r="E21104" s="4" t="n">
        <v>1450000</v>
      </c>
      <c r="F21104" s="4" t="n">
        <v>326250</v>
      </c>
    </row>
    <row r="21105">
      <c r="D21105" s="2" t="inlineStr">
        <is>
          <t>SUBTOTAL UPAH</t>
        </is>
      </c>
      <c r="F21105" s="16" t="n">
        <v>465160</v>
      </c>
    </row>
    <row r="21106">
      <c r="D21106" s="2" t="inlineStr">
        <is>
          <t>SUBTOTAL BAHAN</t>
        </is>
      </c>
      <c r="F21106" s="16" t="n">
        <v>950000</v>
      </c>
    </row>
    <row r="21107">
      <c r="D21107" s="2" t="inlineStr">
        <is>
          <t>SUBTOTAL ALAT</t>
        </is>
      </c>
      <c r="F21107" s="16" t="n">
        <v>374850</v>
      </c>
    </row>
    <row r="21108">
      <c r="E21108" s="2" t="inlineStr">
        <is>
          <t>TOTAL HARGA SATUAN (Inc. Overhead)</t>
        </is>
      </c>
      <c r="F21108" s="17" t="n">
        <v>1969011</v>
      </c>
    </row>
    <row r="21110">
      <c r="A21110" s="14" t="inlineStr">
        <is>
          <t>KODE: 9.7.3.13 - Pemasangan 1 Buah Tee Ø 1/2" (15 mm)</t>
        </is>
      </c>
    </row>
    <row r="21111">
      <c r="A21111" s="10" t="inlineStr">
        <is>
          <t>No</t>
        </is>
      </c>
      <c r="B21111" s="10" t="inlineStr">
        <is>
          <t>Uraian Komponen</t>
        </is>
      </c>
      <c r="C21111" s="10" t="inlineStr">
        <is>
          <t>Satuan</t>
        </is>
      </c>
      <c r="D21111" s="10" t="inlineStr">
        <is>
          <t>Koef</t>
        </is>
      </c>
      <c r="E21111" s="10" t="inlineStr">
        <is>
          <t>Harga Satuan (Rp)</t>
        </is>
      </c>
      <c r="F21111" s="10" t="inlineStr">
        <is>
          <t>Jumlah Harga (Rp)</t>
        </is>
      </c>
    </row>
    <row r="21112">
      <c r="A21112" s="3" t="inlineStr">
        <is>
          <t>1</t>
        </is>
      </c>
      <c r="B21112" s="3" t="inlineStr">
        <is>
          <t>Pekerja</t>
        </is>
      </c>
      <c r="C21112" s="3" t="inlineStr">
        <is>
          <t>OH</t>
        </is>
      </c>
      <c r="D21112" s="15" t="n">
        <v>0.02</v>
      </c>
      <c r="E21112" s="4" t="n">
        <v>100000</v>
      </c>
      <c r="F21112" s="4" t="n">
        <v>2000</v>
      </c>
    </row>
    <row r="21113">
      <c r="A21113" s="3" t="inlineStr">
        <is>
          <t>2</t>
        </is>
      </c>
      <c r="B21113" s="3" t="inlineStr">
        <is>
          <t>Tukang pipa</t>
        </is>
      </c>
      <c r="C21113" s="3" t="inlineStr">
        <is>
          <t>OH</t>
        </is>
      </c>
      <c r="D21113" s="15" t="n">
        <v>0.01</v>
      </c>
      <c r="E21113" s="4" t="n">
        <v>145000</v>
      </c>
      <c r="F21113" s="4" t="n">
        <v>1450</v>
      </c>
    </row>
    <row r="21114">
      <c r="A21114" s="3" t="inlineStr">
        <is>
          <t>4</t>
        </is>
      </c>
      <c r="B21114" s="3" t="inlineStr">
        <is>
          <t>Mandor</t>
        </is>
      </c>
      <c r="C21114" s="3" t="inlineStr">
        <is>
          <t>OH</t>
        </is>
      </c>
      <c r="D21114" s="15" t="n">
        <v>0.002</v>
      </c>
      <c r="E21114" s="4" t="n">
        <v>200000</v>
      </c>
      <c r="F21114" s="4" t="n">
        <v>400</v>
      </c>
    </row>
    <row r="21115">
      <c r="A21115" s="3" t="inlineStr">
        <is>
          <t>1</t>
        </is>
      </c>
      <c r="B21115" s="3" t="inlineStr">
        <is>
          <t>"Tee Ø 1/2"" (15 mm)"</t>
        </is>
      </c>
      <c r="C21115" s="3" t="inlineStr">
        <is>
          <t>buah</t>
        </is>
      </c>
      <c r="D21115" s="15" t="n">
        <v>1</v>
      </c>
      <c r="E21115" s="4" t="n">
        <v>20000</v>
      </c>
      <c r="F21115" s="4" t="n">
        <v>20000</v>
      </c>
    </row>
    <row r="21116">
      <c r="D21116" s="2" t="inlineStr">
        <is>
          <t>SUBTOTAL UPAH</t>
        </is>
      </c>
      <c r="F21116" s="16" t="n">
        <v>3850</v>
      </c>
    </row>
    <row r="21117">
      <c r="D21117" s="2" t="inlineStr">
        <is>
          <t>SUBTOTAL BAHAN</t>
        </is>
      </c>
      <c r="F21117" s="16" t="n">
        <v>20000</v>
      </c>
    </row>
    <row r="21118">
      <c r="D21118" s="2" t="inlineStr">
        <is>
          <t>SUBTOTAL ALAT</t>
        </is>
      </c>
      <c r="F21118" s="16" t="n">
        <v>0</v>
      </c>
    </row>
    <row r="21119">
      <c r="E21119" s="2" t="inlineStr">
        <is>
          <t>TOTAL HARGA SATUAN (Inc. Overhead)</t>
        </is>
      </c>
      <c r="F21119" s="17" t="n">
        <v>26235</v>
      </c>
    </row>
    <row r="21121">
      <c r="A21121" s="14" t="inlineStr">
        <is>
          <t>KODE: 9.7.3.14 - Pemasangan 1 Buah Tee Ø 3/4" (20 mm)</t>
        </is>
      </c>
    </row>
    <row r="21122">
      <c r="A21122" s="10" t="inlineStr">
        <is>
          <t>No</t>
        </is>
      </c>
      <c r="B21122" s="10" t="inlineStr">
        <is>
          <t>Uraian Komponen</t>
        </is>
      </c>
      <c r="C21122" s="10" t="inlineStr">
        <is>
          <t>Satuan</t>
        </is>
      </c>
      <c r="D21122" s="10" t="inlineStr">
        <is>
          <t>Koef</t>
        </is>
      </c>
      <c r="E21122" s="10" t="inlineStr">
        <is>
          <t>Harga Satuan (Rp)</t>
        </is>
      </c>
      <c r="F21122" s="10" t="inlineStr">
        <is>
          <t>Jumlah Harga (Rp)</t>
        </is>
      </c>
    </row>
    <row r="21123">
      <c r="A21123" s="3" t="inlineStr">
        <is>
          <t>1</t>
        </is>
      </c>
      <c r="B21123" s="3" t="inlineStr">
        <is>
          <t>Pekerja</t>
        </is>
      </c>
      <c r="C21123" s="3" t="inlineStr">
        <is>
          <t>OH</t>
        </is>
      </c>
      <c r="D21123" s="15" t="n">
        <v>0.02</v>
      </c>
      <c r="E21123" s="4" t="n">
        <v>100000</v>
      </c>
      <c r="F21123" s="4" t="n">
        <v>2000</v>
      </c>
    </row>
    <row r="21124">
      <c r="A21124" s="3" t="inlineStr">
        <is>
          <t>2</t>
        </is>
      </c>
      <c r="B21124" s="3" t="inlineStr">
        <is>
          <t>Tukang pipa</t>
        </is>
      </c>
      <c r="C21124" s="3" t="inlineStr">
        <is>
          <t>OH</t>
        </is>
      </c>
      <c r="D21124" s="15" t="n">
        <v>0.01</v>
      </c>
      <c r="E21124" s="4" t="n">
        <v>145000</v>
      </c>
      <c r="F21124" s="4" t="n">
        <v>1450</v>
      </c>
    </row>
    <row r="21125">
      <c r="A21125" s="3" t="inlineStr">
        <is>
          <t>4</t>
        </is>
      </c>
      <c r="B21125" s="3" t="inlineStr">
        <is>
          <t>Mandor</t>
        </is>
      </c>
      <c r="C21125" s="3" t="inlineStr">
        <is>
          <t>OH</t>
        </is>
      </c>
      <c r="D21125" s="15" t="n">
        <v>0.002</v>
      </c>
      <c r="E21125" s="4" t="n">
        <v>200000</v>
      </c>
      <c r="F21125" s="4" t="n">
        <v>400</v>
      </c>
    </row>
    <row r="21126">
      <c r="A21126" s="3" t="inlineStr">
        <is>
          <t>1</t>
        </is>
      </c>
      <c r="B21126" s="3" t="inlineStr">
        <is>
          <t>"Tee Ø 3/4"" (20 mm)"</t>
        </is>
      </c>
      <c r="C21126" s="3" t="inlineStr">
        <is>
          <t>buah</t>
        </is>
      </c>
      <c r="D21126" s="15" t="n">
        <v>1</v>
      </c>
      <c r="E21126" s="4" t="n">
        <v>27000</v>
      </c>
      <c r="F21126" s="4" t="n">
        <v>27000</v>
      </c>
    </row>
    <row r="21127">
      <c r="D21127" s="2" t="inlineStr">
        <is>
          <t>SUBTOTAL UPAH</t>
        </is>
      </c>
      <c r="F21127" s="16" t="n">
        <v>3850</v>
      </c>
    </row>
    <row r="21128">
      <c r="D21128" s="2" t="inlineStr">
        <is>
          <t>SUBTOTAL BAHAN</t>
        </is>
      </c>
      <c r="F21128" s="16" t="n">
        <v>27000</v>
      </c>
    </row>
    <row r="21129">
      <c r="D21129" s="2" t="inlineStr">
        <is>
          <t>SUBTOTAL ALAT</t>
        </is>
      </c>
      <c r="F21129" s="16" t="n">
        <v>0</v>
      </c>
    </row>
    <row r="21130">
      <c r="E21130" s="2" t="inlineStr">
        <is>
          <t>TOTAL HARGA SATUAN (Inc. Overhead)</t>
        </is>
      </c>
      <c r="F21130" s="17" t="n">
        <v>33935</v>
      </c>
    </row>
    <row r="21132">
      <c r="A21132" s="14" t="inlineStr">
        <is>
          <t>KODE: 9.7.3.15 - Pemasangan 1 Buah Tee Ø 1" (25 mm)</t>
        </is>
      </c>
    </row>
    <row r="21133">
      <c r="A21133" s="10" t="inlineStr">
        <is>
          <t>No</t>
        </is>
      </c>
      <c r="B21133" s="10" t="inlineStr">
        <is>
          <t>Uraian Komponen</t>
        </is>
      </c>
      <c r="C21133" s="10" t="inlineStr">
        <is>
          <t>Satuan</t>
        </is>
      </c>
      <c r="D21133" s="10" t="inlineStr">
        <is>
          <t>Koef</t>
        </is>
      </c>
      <c r="E21133" s="10" t="inlineStr">
        <is>
          <t>Harga Satuan (Rp)</t>
        </is>
      </c>
      <c r="F21133" s="10" t="inlineStr">
        <is>
          <t>Jumlah Harga (Rp)</t>
        </is>
      </c>
    </row>
    <row r="21134">
      <c r="A21134" s="3" t="inlineStr">
        <is>
          <t>1</t>
        </is>
      </c>
      <c r="B21134" s="3" t="inlineStr">
        <is>
          <t>Pekerja</t>
        </is>
      </c>
      <c r="C21134" s="3" t="inlineStr">
        <is>
          <t>OH</t>
        </is>
      </c>
      <c r="D21134" s="15" t="n">
        <v>0.025</v>
      </c>
      <c r="E21134" s="4" t="n">
        <v>100000</v>
      </c>
      <c r="F21134" s="4" t="n">
        <v>2500</v>
      </c>
    </row>
    <row r="21135">
      <c r="A21135" s="3" t="inlineStr">
        <is>
          <t>2</t>
        </is>
      </c>
      <c r="B21135" s="3" t="inlineStr">
        <is>
          <t>Tukang pipa</t>
        </is>
      </c>
      <c r="C21135" s="3" t="inlineStr">
        <is>
          <t>OH</t>
        </is>
      </c>
      <c r="D21135" s="15" t="n">
        <v>0.013</v>
      </c>
      <c r="E21135" s="4" t="n">
        <v>145000</v>
      </c>
      <c r="F21135" s="4" t="n">
        <v>1885</v>
      </c>
    </row>
    <row r="21136">
      <c r="A21136" s="3" t="inlineStr">
        <is>
          <t>4</t>
        </is>
      </c>
      <c r="B21136" s="3" t="inlineStr">
        <is>
          <t>Mandor</t>
        </is>
      </c>
      <c r="C21136" s="3" t="inlineStr">
        <is>
          <t>OH</t>
        </is>
      </c>
      <c r="D21136" s="15" t="n">
        <v>0.003</v>
      </c>
      <c r="E21136" s="4" t="n">
        <v>200000</v>
      </c>
      <c r="F21136" s="4" t="n">
        <v>600</v>
      </c>
    </row>
    <row r="21137">
      <c r="A21137" s="3" t="inlineStr">
        <is>
          <t>1</t>
        </is>
      </c>
      <c r="B21137" s="3" t="inlineStr">
        <is>
          <t>"Tee Ø 1"" (25 mm)"</t>
        </is>
      </c>
      <c r="C21137" s="3" t="inlineStr">
        <is>
          <t>buah</t>
        </is>
      </c>
      <c r="D21137" s="15" t="n">
        <v>1</v>
      </c>
      <c r="E21137" s="4" t="n">
        <v>30000</v>
      </c>
      <c r="F21137" s="4" t="n">
        <v>30000</v>
      </c>
    </row>
    <row r="21138">
      <c r="D21138" s="2" t="inlineStr">
        <is>
          <t>SUBTOTAL UPAH</t>
        </is>
      </c>
      <c r="F21138" s="16" t="n">
        <v>4985</v>
      </c>
    </row>
    <row r="21139">
      <c r="D21139" s="2" t="inlineStr">
        <is>
          <t>SUBTOTAL BAHAN</t>
        </is>
      </c>
      <c r="F21139" s="16" t="n">
        <v>30000</v>
      </c>
    </row>
    <row r="21140">
      <c r="D21140" s="2" t="inlineStr">
        <is>
          <t>SUBTOTAL ALAT</t>
        </is>
      </c>
      <c r="F21140" s="16" t="n">
        <v>0</v>
      </c>
    </row>
    <row r="21141">
      <c r="E21141" s="2" t="inlineStr">
        <is>
          <t>TOTAL HARGA SATUAN (Inc. Overhead)</t>
        </is>
      </c>
      <c r="F21141" s="17" t="n">
        <v>38483</v>
      </c>
    </row>
    <row r="21143">
      <c r="A21143" s="14" t="inlineStr">
        <is>
          <t>KODE: 9.7.3.16 - Pemasangan 1 Buah Tee Ø 1-1/4" (32 mm)</t>
        </is>
      </c>
    </row>
    <row r="21144">
      <c r="A21144" s="10" t="inlineStr">
        <is>
          <t>No</t>
        </is>
      </c>
      <c r="B21144" s="10" t="inlineStr">
        <is>
          <t>Uraian Komponen</t>
        </is>
      </c>
      <c r="C21144" s="10" t="inlineStr">
        <is>
          <t>Satuan</t>
        </is>
      </c>
      <c r="D21144" s="10" t="inlineStr">
        <is>
          <t>Koef</t>
        </is>
      </c>
      <c r="E21144" s="10" t="inlineStr">
        <is>
          <t>Harga Satuan (Rp)</t>
        </is>
      </c>
      <c r="F21144" s="10" t="inlineStr">
        <is>
          <t>Jumlah Harga (Rp)</t>
        </is>
      </c>
    </row>
    <row r="21145">
      <c r="A21145" s="3" t="inlineStr">
        <is>
          <t>1</t>
        </is>
      </c>
      <c r="B21145" s="3" t="inlineStr">
        <is>
          <t>Pekerja</t>
        </is>
      </c>
      <c r="C21145" s="3" t="inlineStr">
        <is>
          <t>OH</t>
        </is>
      </c>
      <c r="D21145" s="15" t="n">
        <v>0.028</v>
      </c>
      <c r="E21145" s="4" t="n">
        <v>100000</v>
      </c>
      <c r="F21145" s="4" t="n">
        <v>2800</v>
      </c>
    </row>
    <row r="21146">
      <c r="A21146" s="3" t="inlineStr">
        <is>
          <t>2</t>
        </is>
      </c>
      <c r="B21146" s="3" t="inlineStr">
        <is>
          <t>Tukang pipa</t>
        </is>
      </c>
      <c r="C21146" s="3" t="inlineStr">
        <is>
          <t>OH</t>
        </is>
      </c>
      <c r="D21146" s="15" t="n">
        <v>0.014</v>
      </c>
      <c r="E21146" s="4" t="n">
        <v>145000</v>
      </c>
      <c r="F21146" s="4" t="n">
        <v>2030</v>
      </c>
    </row>
    <row r="21147">
      <c r="A21147" s="3" t="inlineStr">
        <is>
          <t>4</t>
        </is>
      </c>
      <c r="B21147" s="3" t="inlineStr">
        <is>
          <t>Mandor</t>
        </is>
      </c>
      <c r="C21147" s="3" t="inlineStr">
        <is>
          <t>OH</t>
        </is>
      </c>
      <c r="D21147" s="15" t="n">
        <v>0.003</v>
      </c>
      <c r="E21147" s="4" t="n">
        <v>200000</v>
      </c>
      <c r="F21147" s="4" t="n">
        <v>600</v>
      </c>
    </row>
    <row r="21148">
      <c r="A21148" s="3" t="inlineStr">
        <is>
          <t>1</t>
        </is>
      </c>
      <c r="B21148" s="3" t="inlineStr">
        <is>
          <t>"Tee Ø 1-1/4"" (32 mm)"</t>
        </is>
      </c>
      <c r="C21148" s="3" t="inlineStr">
        <is>
          <t>buah</t>
        </is>
      </c>
      <c r="D21148" s="15" t="n">
        <v>1</v>
      </c>
      <c r="E21148" s="4" t="n">
        <v>32000</v>
      </c>
      <c r="F21148" s="4" t="n">
        <v>32000</v>
      </c>
    </row>
    <row r="21149">
      <c r="D21149" s="2" t="inlineStr">
        <is>
          <t>SUBTOTAL UPAH</t>
        </is>
      </c>
      <c r="F21149" s="16" t="n">
        <v>5430</v>
      </c>
    </row>
    <row r="21150">
      <c r="D21150" s="2" t="inlineStr">
        <is>
          <t>SUBTOTAL BAHAN</t>
        </is>
      </c>
      <c r="F21150" s="16" t="n">
        <v>32000</v>
      </c>
    </row>
    <row r="21151">
      <c r="D21151" s="2" t="inlineStr">
        <is>
          <t>SUBTOTAL ALAT</t>
        </is>
      </c>
      <c r="F21151" s="16" t="n">
        <v>0</v>
      </c>
    </row>
    <row r="21152">
      <c r="E21152" s="2" t="inlineStr">
        <is>
          <t>TOTAL HARGA SATUAN (Inc. Overhead)</t>
        </is>
      </c>
      <c r="F21152" s="17" t="n">
        <v>41173</v>
      </c>
    </row>
    <row r="21154">
      <c r="A21154" s="14" t="inlineStr">
        <is>
          <t>KODE: 9.7.3.17 - Pemasangan 1 Buah Tee Ø 1-1/2" (40 mm)</t>
        </is>
      </c>
    </row>
    <row r="21155">
      <c r="A21155" s="10" t="inlineStr">
        <is>
          <t>No</t>
        </is>
      </c>
      <c r="B21155" s="10" t="inlineStr">
        <is>
          <t>Uraian Komponen</t>
        </is>
      </c>
      <c r="C21155" s="10" t="inlineStr">
        <is>
          <t>Satuan</t>
        </is>
      </c>
      <c r="D21155" s="10" t="inlineStr">
        <is>
          <t>Koef</t>
        </is>
      </c>
      <c r="E21155" s="10" t="inlineStr">
        <is>
          <t>Harga Satuan (Rp)</t>
        </is>
      </c>
      <c r="F21155" s="10" t="inlineStr">
        <is>
          <t>Jumlah Harga (Rp)</t>
        </is>
      </c>
    </row>
    <row r="21156">
      <c r="A21156" s="3" t="inlineStr">
        <is>
          <t>1</t>
        </is>
      </c>
      <c r="B21156" s="3" t="inlineStr">
        <is>
          <t>Pekerja</t>
        </is>
      </c>
      <c r="C21156" s="3" t="inlineStr">
        <is>
          <t>OH</t>
        </is>
      </c>
      <c r="D21156" s="15" t="n">
        <v>0.031</v>
      </c>
      <c r="E21156" s="4" t="n">
        <v>100000</v>
      </c>
      <c r="F21156" s="4" t="n">
        <v>3100</v>
      </c>
    </row>
    <row r="21157">
      <c r="A21157" s="3" t="inlineStr">
        <is>
          <t>2</t>
        </is>
      </c>
      <c r="B21157" s="3" t="inlineStr">
        <is>
          <t>Tukang pipa</t>
        </is>
      </c>
      <c r="C21157" s="3" t="inlineStr">
        <is>
          <t>OH</t>
        </is>
      </c>
      <c r="D21157" s="15" t="n">
        <v>0.016</v>
      </c>
      <c r="E21157" s="4" t="n">
        <v>145000</v>
      </c>
      <c r="F21157" s="4" t="n">
        <v>2320</v>
      </c>
    </row>
    <row r="21158">
      <c r="A21158" s="3" t="inlineStr">
        <is>
          <t>4</t>
        </is>
      </c>
      <c r="B21158" s="3" t="inlineStr">
        <is>
          <t>Mandor</t>
        </is>
      </c>
      <c r="C21158" s="3" t="inlineStr">
        <is>
          <t>OH</t>
        </is>
      </c>
      <c r="D21158" s="15" t="n">
        <v>0.003</v>
      </c>
      <c r="E21158" s="4" t="n">
        <v>200000</v>
      </c>
      <c r="F21158" s="4" t="n">
        <v>600</v>
      </c>
    </row>
    <row r="21159">
      <c r="A21159" s="3" t="inlineStr">
        <is>
          <t>1</t>
        </is>
      </c>
      <c r="B21159" s="3" t="inlineStr">
        <is>
          <t>"Tee Ø 1-1/2"" (40 mm)"</t>
        </is>
      </c>
      <c r="C21159" s="3" t="inlineStr">
        <is>
          <t>buah</t>
        </is>
      </c>
      <c r="D21159" s="15" t="n">
        <v>1</v>
      </c>
      <c r="E21159" s="4" t="n">
        <v>39000</v>
      </c>
      <c r="F21159" s="4" t="n">
        <v>39000</v>
      </c>
    </row>
    <row r="21160">
      <c r="D21160" s="2" t="inlineStr">
        <is>
          <t>SUBTOTAL UPAH</t>
        </is>
      </c>
      <c r="F21160" s="16" t="n">
        <v>6020</v>
      </c>
    </row>
    <row r="21161">
      <c r="D21161" s="2" t="inlineStr">
        <is>
          <t>SUBTOTAL BAHAN</t>
        </is>
      </c>
      <c r="F21161" s="16" t="n">
        <v>39000</v>
      </c>
    </row>
    <row r="21162">
      <c r="D21162" s="2" t="inlineStr">
        <is>
          <t>SUBTOTAL ALAT</t>
        </is>
      </c>
      <c r="F21162" s="16" t="n">
        <v>0</v>
      </c>
    </row>
    <row r="21163">
      <c r="E21163" s="2" t="inlineStr">
        <is>
          <t>TOTAL HARGA SATUAN (Inc. Overhead)</t>
        </is>
      </c>
      <c r="F21163" s="17" t="n">
        <v>49522</v>
      </c>
    </row>
    <row r="21165">
      <c r="A21165" s="14" t="inlineStr">
        <is>
          <t>KODE: 9.7.3.18 - Pemasangan 1 Buah Tee Ø 2" (50 mm)</t>
        </is>
      </c>
    </row>
    <row r="21166">
      <c r="A21166" s="10" t="inlineStr">
        <is>
          <t>No</t>
        </is>
      </c>
      <c r="B21166" s="10" t="inlineStr">
        <is>
          <t>Uraian Komponen</t>
        </is>
      </c>
      <c r="C21166" s="10" t="inlineStr">
        <is>
          <t>Satuan</t>
        </is>
      </c>
      <c r="D21166" s="10" t="inlineStr">
        <is>
          <t>Koef</t>
        </is>
      </c>
      <c r="E21166" s="10" t="inlineStr">
        <is>
          <t>Harga Satuan (Rp)</t>
        </is>
      </c>
      <c r="F21166" s="10" t="inlineStr">
        <is>
          <t>Jumlah Harga (Rp)</t>
        </is>
      </c>
    </row>
    <row r="21167">
      <c r="A21167" s="3" t="inlineStr">
        <is>
          <t>1</t>
        </is>
      </c>
      <c r="B21167" s="3" t="inlineStr">
        <is>
          <t>Pekerja</t>
        </is>
      </c>
      <c r="C21167" s="3" t="inlineStr">
        <is>
          <t>OH</t>
        </is>
      </c>
      <c r="D21167" s="15" t="n">
        <v>0.035</v>
      </c>
      <c r="E21167" s="4" t="n">
        <v>100000</v>
      </c>
      <c r="F21167" s="4" t="n">
        <v>3500</v>
      </c>
    </row>
    <row r="21168">
      <c r="A21168" s="3" t="inlineStr">
        <is>
          <t>2</t>
        </is>
      </c>
      <c r="B21168" s="3" t="inlineStr">
        <is>
          <t>Tukang pipa</t>
        </is>
      </c>
      <c r="C21168" s="3" t="inlineStr">
        <is>
          <t>OH</t>
        </is>
      </c>
      <c r="D21168" s="15" t="n">
        <v>0.017</v>
      </c>
      <c r="E21168" s="4" t="n">
        <v>145000</v>
      </c>
      <c r="F21168" s="4" t="n">
        <v>2465</v>
      </c>
    </row>
    <row r="21169">
      <c r="A21169" s="3" t="inlineStr">
        <is>
          <t>4</t>
        </is>
      </c>
      <c r="B21169" s="3" t="inlineStr">
        <is>
          <t>Mandor</t>
        </is>
      </c>
      <c r="C21169" s="3" t="inlineStr">
        <is>
          <t>OH</t>
        </is>
      </c>
      <c r="D21169" s="15" t="n">
        <v>0.003</v>
      </c>
      <c r="E21169" s="4" t="n">
        <v>200000</v>
      </c>
      <c r="F21169" s="4" t="n">
        <v>600</v>
      </c>
    </row>
    <row r="21170">
      <c r="A21170" s="3" t="inlineStr">
        <is>
          <t>1</t>
        </is>
      </c>
      <c r="B21170" s="3" t="inlineStr">
        <is>
          <t>"Tee Ø 2"" (50 mm)"</t>
        </is>
      </c>
      <c r="C21170" s="3" t="inlineStr">
        <is>
          <t>buah</t>
        </is>
      </c>
      <c r="D21170" s="15" t="n">
        <v>1</v>
      </c>
      <c r="E21170" s="4" t="n">
        <v>42000</v>
      </c>
      <c r="F21170" s="4" t="n">
        <v>42000</v>
      </c>
    </row>
    <row r="21171">
      <c r="D21171" s="2" t="inlineStr">
        <is>
          <t>SUBTOTAL UPAH</t>
        </is>
      </c>
      <c r="F21171" s="16" t="n">
        <v>6565</v>
      </c>
    </row>
    <row r="21172">
      <c r="D21172" s="2" t="inlineStr">
        <is>
          <t>SUBTOTAL BAHAN</t>
        </is>
      </c>
      <c r="F21172" s="16" t="n">
        <v>42000</v>
      </c>
    </row>
    <row r="21173">
      <c r="D21173" s="2" t="inlineStr">
        <is>
          <t>SUBTOTAL ALAT</t>
        </is>
      </c>
      <c r="F21173" s="16" t="n">
        <v>0</v>
      </c>
    </row>
    <row r="21174">
      <c r="E21174" s="2" t="inlineStr">
        <is>
          <t>TOTAL HARGA SATUAN (Inc. Overhead)</t>
        </is>
      </c>
      <c r="F21174" s="17" t="n">
        <v>53421</v>
      </c>
    </row>
    <row r="21176">
      <c r="A21176" s="14" t="inlineStr">
        <is>
          <t>KODE: 9.7.3.19 - Pemasangan 1 Buah Tee Ø 2-1/2" (65 mm)</t>
        </is>
      </c>
    </row>
    <row r="21177">
      <c r="A21177" s="10" t="inlineStr">
        <is>
          <t>No</t>
        </is>
      </c>
      <c r="B21177" s="10" t="inlineStr">
        <is>
          <t>Uraian Komponen</t>
        </is>
      </c>
      <c r="C21177" s="10" t="inlineStr">
        <is>
          <t>Satuan</t>
        </is>
      </c>
      <c r="D21177" s="10" t="inlineStr">
        <is>
          <t>Koef</t>
        </is>
      </c>
      <c r="E21177" s="10" t="inlineStr">
        <is>
          <t>Harga Satuan (Rp)</t>
        </is>
      </c>
      <c r="F21177" s="10" t="inlineStr">
        <is>
          <t>Jumlah Harga (Rp)</t>
        </is>
      </c>
    </row>
    <row r="21178">
      <c r="A21178" s="3" t="inlineStr">
        <is>
          <t>1</t>
        </is>
      </c>
      <c r="B21178" s="3" t="inlineStr">
        <is>
          <t>Pekerja</t>
        </is>
      </c>
      <c r="C21178" s="3" t="inlineStr">
        <is>
          <t>OH</t>
        </is>
      </c>
      <c r="D21178" s="15" t="n">
        <v>0.044</v>
      </c>
      <c r="E21178" s="4" t="n">
        <v>100000</v>
      </c>
      <c r="F21178" s="4" t="n">
        <v>4400</v>
      </c>
    </row>
    <row r="21179">
      <c r="A21179" s="3" t="inlineStr">
        <is>
          <t>2</t>
        </is>
      </c>
      <c r="B21179" s="3" t="inlineStr">
        <is>
          <t>Tukang pipa</t>
        </is>
      </c>
      <c r="C21179" s="3" t="inlineStr">
        <is>
          <t>OH</t>
        </is>
      </c>
      <c r="D21179" s="15" t="n">
        <v>0.022</v>
      </c>
      <c r="E21179" s="4" t="n">
        <v>145000</v>
      </c>
      <c r="F21179" s="4" t="n">
        <v>3190</v>
      </c>
    </row>
    <row r="21180">
      <c r="A21180" s="3" t="inlineStr">
        <is>
          <t>4</t>
        </is>
      </c>
      <c r="B21180" s="3" t="inlineStr">
        <is>
          <t>Mandor</t>
        </is>
      </c>
      <c r="C21180" s="3" t="inlineStr">
        <is>
          <t>OH</t>
        </is>
      </c>
      <c r="D21180" s="15" t="n">
        <v>0.004</v>
      </c>
      <c r="E21180" s="4" t="n">
        <v>200000</v>
      </c>
      <c r="F21180" s="4" t="n">
        <v>800</v>
      </c>
    </row>
    <row r="21181">
      <c r="A21181" s="3" t="inlineStr">
        <is>
          <t>1</t>
        </is>
      </c>
      <c r="B21181" s="3" t="inlineStr">
        <is>
          <t>"Tee Ø 2-1/2"" (65 mm)"</t>
        </is>
      </c>
      <c r="C21181" s="3" t="inlineStr">
        <is>
          <t>buah</t>
        </is>
      </c>
      <c r="D21181" s="15" t="n">
        <v>1</v>
      </c>
      <c r="E21181" s="4" t="n">
        <v>48000</v>
      </c>
      <c r="F21181" s="4" t="n">
        <v>48000</v>
      </c>
    </row>
    <row r="21182">
      <c r="D21182" s="2" t="inlineStr">
        <is>
          <t>SUBTOTAL UPAH</t>
        </is>
      </c>
      <c r="F21182" s="16" t="n">
        <v>8390</v>
      </c>
    </row>
    <row r="21183">
      <c r="D21183" s="2" t="inlineStr">
        <is>
          <t>SUBTOTAL BAHAN</t>
        </is>
      </c>
      <c r="F21183" s="16" t="n">
        <v>48000</v>
      </c>
    </row>
    <row r="21184">
      <c r="D21184" s="2" t="inlineStr">
        <is>
          <t>SUBTOTAL ALAT</t>
        </is>
      </c>
      <c r="F21184" s="16" t="n">
        <v>0</v>
      </c>
    </row>
    <row r="21185">
      <c r="E21185" s="2" t="inlineStr">
        <is>
          <t>TOTAL HARGA SATUAN (Inc. Overhead)</t>
        </is>
      </c>
      <c r="F21185" s="17" t="n">
        <v>62029</v>
      </c>
    </row>
    <row r="21187">
      <c r="A21187" s="14" t="inlineStr">
        <is>
          <t>KODE: 9.7.3.20 - Pemasangan 1 Buah Tee Ø 3" (80 mm)</t>
        </is>
      </c>
    </row>
    <row r="21188">
      <c r="A21188" s="10" t="inlineStr">
        <is>
          <t>No</t>
        </is>
      </c>
      <c r="B21188" s="10" t="inlineStr">
        <is>
          <t>Uraian Komponen</t>
        </is>
      </c>
      <c r="C21188" s="10" t="inlineStr">
        <is>
          <t>Satuan</t>
        </is>
      </c>
      <c r="D21188" s="10" t="inlineStr">
        <is>
          <t>Koef</t>
        </is>
      </c>
      <c r="E21188" s="10" t="inlineStr">
        <is>
          <t>Harga Satuan (Rp)</t>
        </is>
      </c>
      <c r="F21188" s="10" t="inlineStr">
        <is>
          <t>Jumlah Harga (Rp)</t>
        </is>
      </c>
    </row>
    <row r="21189">
      <c r="A21189" s="3" t="inlineStr">
        <is>
          <t>1</t>
        </is>
      </c>
      <c r="B21189" s="3" t="inlineStr">
        <is>
          <t>Pekerja</t>
        </is>
      </c>
      <c r="C21189" s="3" t="inlineStr">
        <is>
          <t>OH</t>
        </is>
      </c>
      <c r="D21189" s="15" t="n">
        <v>0.054</v>
      </c>
      <c r="E21189" s="4" t="n">
        <v>100000</v>
      </c>
      <c r="F21189" s="4" t="n">
        <v>5400</v>
      </c>
    </row>
    <row r="21190">
      <c r="A21190" s="3" t="inlineStr">
        <is>
          <t>2</t>
        </is>
      </c>
      <c r="B21190" s="3" t="inlineStr">
        <is>
          <t>Tukang pipa</t>
        </is>
      </c>
      <c r="C21190" s="3" t="inlineStr">
        <is>
          <t>OH</t>
        </is>
      </c>
      <c r="D21190" s="15" t="n">
        <v>0.027</v>
      </c>
      <c r="E21190" s="4" t="n">
        <v>145000</v>
      </c>
      <c r="F21190" s="4" t="n">
        <v>3915</v>
      </c>
    </row>
    <row r="21191">
      <c r="A21191" s="3" t="inlineStr">
        <is>
          <t>4</t>
        </is>
      </c>
      <c r="B21191" s="3" t="inlineStr">
        <is>
          <t>Mandor</t>
        </is>
      </c>
      <c r="C21191" s="3" t="inlineStr">
        <is>
          <t>OH</t>
        </is>
      </c>
      <c r="D21191" s="15" t="n">
        <v>0.005</v>
      </c>
      <c r="E21191" s="4" t="n">
        <v>200000</v>
      </c>
      <c r="F21191" s="4" t="n">
        <v>1000</v>
      </c>
    </row>
    <row r="21192">
      <c r="A21192" s="3" t="inlineStr">
        <is>
          <t>1</t>
        </is>
      </c>
      <c r="B21192" s="3" t="inlineStr">
        <is>
          <t>"Tee Ø 3"" (80 mm)"</t>
        </is>
      </c>
      <c r="C21192" s="3" t="inlineStr">
        <is>
          <t>buah</t>
        </is>
      </c>
      <c r="D21192" s="15" t="n">
        <v>1</v>
      </c>
      <c r="E21192" s="4" t="n">
        <v>59000</v>
      </c>
      <c r="F21192" s="4" t="n">
        <v>59000</v>
      </c>
    </row>
    <row r="21193">
      <c r="D21193" s="2" t="inlineStr">
        <is>
          <t>SUBTOTAL UPAH</t>
        </is>
      </c>
      <c r="F21193" s="16" t="n">
        <v>10315</v>
      </c>
    </row>
    <row r="21194">
      <c r="D21194" s="2" t="inlineStr">
        <is>
          <t>SUBTOTAL BAHAN</t>
        </is>
      </c>
      <c r="F21194" s="16" t="n">
        <v>59000</v>
      </c>
    </row>
    <row r="21195">
      <c r="D21195" s="2" t="inlineStr">
        <is>
          <t>SUBTOTAL ALAT</t>
        </is>
      </c>
      <c r="F21195" s="16" t="n">
        <v>0</v>
      </c>
    </row>
    <row r="21196">
      <c r="E21196" s="2" t="inlineStr">
        <is>
          <t>TOTAL HARGA SATUAN (Inc. Overhead)</t>
        </is>
      </c>
      <c r="F21196" s="17" t="n">
        <v>76246</v>
      </c>
    </row>
    <row r="21198">
      <c r="A21198" s="14" t="inlineStr">
        <is>
          <t>KODE: 9.7.3.21 - Pemasangan 1 Buah Tee Ø 4" (100 mm)</t>
        </is>
      </c>
    </row>
    <row r="21199">
      <c r="A21199" s="10" t="inlineStr">
        <is>
          <t>No</t>
        </is>
      </c>
      <c r="B21199" s="10" t="inlineStr">
        <is>
          <t>Uraian Komponen</t>
        </is>
      </c>
      <c r="C21199" s="10" t="inlineStr">
        <is>
          <t>Satuan</t>
        </is>
      </c>
      <c r="D21199" s="10" t="inlineStr">
        <is>
          <t>Koef</t>
        </is>
      </c>
      <c r="E21199" s="10" t="inlineStr">
        <is>
          <t>Harga Satuan (Rp)</t>
        </is>
      </c>
      <c r="F21199" s="10" t="inlineStr">
        <is>
          <t>Jumlah Harga (Rp)</t>
        </is>
      </c>
    </row>
    <row r="21200">
      <c r="A21200" s="3" t="inlineStr">
        <is>
          <t>1</t>
        </is>
      </c>
      <c r="B21200" s="3" t="inlineStr">
        <is>
          <t>Pekerja</t>
        </is>
      </c>
      <c r="C21200" s="3" t="inlineStr">
        <is>
          <t>OH</t>
        </is>
      </c>
      <c r="D21200" s="15" t="n">
        <v>0.068</v>
      </c>
      <c r="E21200" s="4" t="n">
        <v>100000</v>
      </c>
      <c r="F21200" s="4" t="n">
        <v>6800.000000000001</v>
      </c>
    </row>
    <row r="21201">
      <c r="A21201" s="3" t="inlineStr">
        <is>
          <t>2</t>
        </is>
      </c>
      <c r="B21201" s="3" t="inlineStr">
        <is>
          <t>Tukang pipa</t>
        </is>
      </c>
      <c r="C21201" s="3" t="inlineStr">
        <is>
          <t>OH</t>
        </is>
      </c>
      <c r="D21201" s="15" t="n">
        <v>0.034</v>
      </c>
      <c r="E21201" s="4" t="n">
        <v>145000</v>
      </c>
      <c r="F21201" s="4" t="n">
        <v>4930</v>
      </c>
    </row>
    <row r="21202">
      <c r="A21202" s="3" t="inlineStr">
        <is>
          <t>4</t>
        </is>
      </c>
      <c r="B21202" s="3" t="inlineStr">
        <is>
          <t>Mandor</t>
        </is>
      </c>
      <c r="C21202" s="3" t="inlineStr">
        <is>
          <t>OH</t>
        </is>
      </c>
      <c r="D21202" s="15" t="n">
        <v>0.007</v>
      </c>
      <c r="E21202" s="4" t="n">
        <v>200000</v>
      </c>
      <c r="F21202" s="4" t="n">
        <v>1400</v>
      </c>
    </row>
    <row r="21203">
      <c r="A21203" s="3" t="inlineStr">
        <is>
          <t>1</t>
        </is>
      </c>
      <c r="B21203" s="3" t="inlineStr">
        <is>
          <t>"Tee Ø 4"" (100 mm)"</t>
        </is>
      </c>
      <c r="C21203" s="3" t="inlineStr">
        <is>
          <t>buah</t>
        </is>
      </c>
      <c r="D21203" s="15" t="n">
        <v>1</v>
      </c>
      <c r="E21203" s="4" t="n">
        <v>62000</v>
      </c>
      <c r="F21203" s="4" t="n">
        <v>62000</v>
      </c>
    </row>
    <row r="21204">
      <c r="D21204" s="2" t="inlineStr">
        <is>
          <t>SUBTOTAL UPAH</t>
        </is>
      </c>
      <c r="F21204" s="16" t="n">
        <v>13130</v>
      </c>
    </row>
    <row r="21205">
      <c r="D21205" s="2" t="inlineStr">
        <is>
          <t>SUBTOTAL BAHAN</t>
        </is>
      </c>
      <c r="F21205" s="16" t="n">
        <v>62000</v>
      </c>
    </row>
    <row r="21206">
      <c r="D21206" s="2" t="inlineStr">
        <is>
          <t>SUBTOTAL ALAT</t>
        </is>
      </c>
      <c r="F21206" s="16" t="n">
        <v>0</v>
      </c>
    </row>
    <row r="21207">
      <c r="E21207" s="2" t="inlineStr">
        <is>
          <t>TOTAL HARGA SATUAN (Inc. Overhead)</t>
        </is>
      </c>
      <c r="F21207" s="17" t="n">
        <v>82643</v>
      </c>
    </row>
    <row r="21209">
      <c r="A21209" s="14" t="inlineStr">
        <is>
          <t>KODE: 9.7.3.22 - Pemasangan 1 Buah Tee Ø 5" (125 mm)</t>
        </is>
      </c>
    </row>
    <row r="21210">
      <c r="A21210" s="10" t="inlineStr">
        <is>
          <t>No</t>
        </is>
      </c>
      <c r="B21210" s="10" t="inlineStr">
        <is>
          <t>Uraian Komponen</t>
        </is>
      </c>
      <c r="C21210" s="10" t="inlineStr">
        <is>
          <t>Satuan</t>
        </is>
      </c>
      <c r="D21210" s="10" t="inlineStr">
        <is>
          <t>Koef</t>
        </is>
      </c>
      <c r="E21210" s="10" t="inlineStr">
        <is>
          <t>Harga Satuan (Rp)</t>
        </is>
      </c>
      <c r="F21210" s="10" t="inlineStr">
        <is>
          <t>Jumlah Harga (Rp)</t>
        </is>
      </c>
    </row>
    <row r="21211">
      <c r="A21211" s="3" t="inlineStr">
        <is>
          <t>1</t>
        </is>
      </c>
      <c r="B21211" s="3" t="inlineStr">
        <is>
          <t>Pekerja</t>
        </is>
      </c>
      <c r="C21211" s="3" t="inlineStr">
        <is>
          <t>OH</t>
        </is>
      </c>
      <c r="D21211" s="15" t="n">
        <v>0.08500000000000001</v>
      </c>
      <c r="E21211" s="4" t="n">
        <v>100000</v>
      </c>
      <c r="F21211" s="4" t="n">
        <v>8500</v>
      </c>
    </row>
    <row r="21212">
      <c r="A21212" s="3" t="inlineStr">
        <is>
          <t>2</t>
        </is>
      </c>
      <c r="B21212" s="3" t="inlineStr">
        <is>
          <t>Tukang pipa</t>
        </is>
      </c>
      <c r="C21212" s="3" t="inlineStr">
        <is>
          <t>OH</t>
        </is>
      </c>
      <c r="D21212" s="15" t="n">
        <v>0.043</v>
      </c>
      <c r="E21212" s="4" t="n">
        <v>145000</v>
      </c>
      <c r="F21212" s="4" t="n">
        <v>6234.999999999999</v>
      </c>
    </row>
    <row r="21213">
      <c r="A21213" s="3" t="inlineStr">
        <is>
          <t>4</t>
        </is>
      </c>
      <c r="B21213" s="3" t="inlineStr">
        <is>
          <t>Mandor</t>
        </is>
      </c>
      <c r="C21213" s="3" t="inlineStr">
        <is>
          <t>OH</t>
        </is>
      </c>
      <c r="D21213" s="15" t="n">
        <v>0.008999999999999999</v>
      </c>
      <c r="E21213" s="4" t="n">
        <v>200000</v>
      </c>
      <c r="F21213" s="4" t="n">
        <v>1800</v>
      </c>
    </row>
    <row r="21214">
      <c r="A21214" s="3" t="inlineStr">
        <is>
          <t>1</t>
        </is>
      </c>
      <c r="B21214" s="3" t="inlineStr">
        <is>
          <t>"Tee Ø 5"" (125 mm)"</t>
        </is>
      </c>
      <c r="C21214" s="3" t="inlineStr">
        <is>
          <t>buah</t>
        </is>
      </c>
      <c r="D21214" s="15" t="n">
        <v>1</v>
      </c>
      <c r="E21214" s="4" t="n">
        <v>55000</v>
      </c>
      <c r="F21214" s="4" t="n">
        <v>55000</v>
      </c>
    </row>
    <row r="21215">
      <c r="D21215" s="2" t="inlineStr">
        <is>
          <t>SUBTOTAL UPAH</t>
        </is>
      </c>
      <c r="F21215" s="16" t="n">
        <v>16535</v>
      </c>
    </row>
    <row r="21216">
      <c r="D21216" s="2" t="inlineStr">
        <is>
          <t>SUBTOTAL BAHAN</t>
        </is>
      </c>
      <c r="F21216" s="16" t="n">
        <v>55000</v>
      </c>
    </row>
    <row r="21217">
      <c r="D21217" s="2" t="inlineStr">
        <is>
          <t>SUBTOTAL ALAT</t>
        </is>
      </c>
      <c r="F21217" s="16" t="n">
        <v>0</v>
      </c>
    </row>
    <row r="21218">
      <c r="E21218" s="2" t="inlineStr">
        <is>
          <t>TOTAL HARGA SATUAN (Inc. Overhead)</t>
        </is>
      </c>
      <c r="F21218" s="17" t="n">
        <v>78688</v>
      </c>
    </row>
    <row r="21220">
      <c r="A21220" s="14" t="inlineStr">
        <is>
          <t>KODE: 9.7.3.23 - Pemasangan 1 Buah Tee Ø 12" (300 mm)</t>
        </is>
      </c>
    </row>
    <row r="21221">
      <c r="A21221" s="10" t="inlineStr">
        <is>
          <t>No</t>
        </is>
      </c>
      <c r="B21221" s="10" t="inlineStr">
        <is>
          <t>Uraian Komponen</t>
        </is>
      </c>
      <c r="C21221" s="10" t="inlineStr">
        <is>
          <t>Satuan</t>
        </is>
      </c>
      <c r="D21221" s="10" t="inlineStr">
        <is>
          <t>Koef</t>
        </is>
      </c>
      <c r="E21221" s="10" t="inlineStr">
        <is>
          <t>Harga Satuan (Rp)</t>
        </is>
      </c>
      <c r="F21221" s="10" t="inlineStr">
        <is>
          <t>Jumlah Harga (Rp)</t>
        </is>
      </c>
    </row>
    <row r="21222">
      <c r="A21222" s="3" t="inlineStr">
        <is>
          <t>1</t>
        </is>
      </c>
      <c r="B21222" s="3" t="inlineStr">
        <is>
          <t>Pekerja</t>
        </is>
      </c>
      <c r="C21222" s="3" t="inlineStr">
        <is>
          <t>OH</t>
        </is>
      </c>
      <c r="D21222" s="15" t="n">
        <v>0.436</v>
      </c>
      <c r="E21222" s="4" t="n">
        <v>100000</v>
      </c>
      <c r="F21222" s="4" t="n">
        <v>43600</v>
      </c>
    </row>
    <row r="21223">
      <c r="A21223" s="3" t="inlineStr">
        <is>
          <t>2</t>
        </is>
      </c>
      <c r="B21223" s="3" t="inlineStr">
        <is>
          <t>Tukang pipa</t>
        </is>
      </c>
      <c r="C21223" s="3" t="inlineStr">
        <is>
          <t>OH</t>
        </is>
      </c>
      <c r="D21223" s="15" t="n">
        <v>0.218</v>
      </c>
      <c r="E21223" s="4" t="n">
        <v>145000</v>
      </c>
      <c r="F21223" s="4" t="n">
        <v>31610</v>
      </c>
    </row>
    <row r="21224">
      <c r="A21224" s="3" t="inlineStr">
        <is>
          <t>4</t>
        </is>
      </c>
      <c r="B21224" s="3" t="inlineStr">
        <is>
          <t>Mandor</t>
        </is>
      </c>
      <c r="C21224" s="3" t="inlineStr">
        <is>
          <t>OH</t>
        </is>
      </c>
      <c r="D21224" s="15" t="n">
        <v>0.044</v>
      </c>
      <c r="E21224" s="4" t="n">
        <v>200000</v>
      </c>
      <c r="F21224" s="4" t="n">
        <v>8800</v>
      </c>
    </row>
    <row r="21225">
      <c r="A21225" s="3" t="inlineStr">
        <is>
          <t>1</t>
        </is>
      </c>
      <c r="B21225" s="3" t="inlineStr">
        <is>
          <t>"Tee Ø 12"" (300 mm)"</t>
        </is>
      </c>
      <c r="C21225" s="3" t="inlineStr">
        <is>
          <t>buah</t>
        </is>
      </c>
      <c r="D21225" s="15" t="n">
        <v>1</v>
      </c>
      <c r="E21225" s="4" t="n">
        <v>235000</v>
      </c>
      <c r="F21225" s="4" t="n">
        <v>235000</v>
      </c>
    </row>
    <row r="21226">
      <c r="D21226" s="2" t="inlineStr">
        <is>
          <t>SUBTOTAL UPAH</t>
        </is>
      </c>
      <c r="F21226" s="16" t="n">
        <v>84010</v>
      </c>
    </row>
    <row r="21227">
      <c r="D21227" s="2" t="inlineStr">
        <is>
          <t>SUBTOTAL BAHAN</t>
        </is>
      </c>
      <c r="F21227" s="16" t="n">
        <v>235000</v>
      </c>
    </row>
    <row r="21228">
      <c r="D21228" s="2" t="inlineStr">
        <is>
          <t>SUBTOTAL ALAT</t>
        </is>
      </c>
      <c r="F21228" s="16" t="n">
        <v>0</v>
      </c>
    </row>
    <row r="21229">
      <c r="E21229" s="2" t="inlineStr">
        <is>
          <t>TOTAL HARGA SATUAN (Inc. Overhead)</t>
        </is>
      </c>
      <c r="F21229" s="17" t="n">
        <v>350911</v>
      </c>
    </row>
    <row r="21231">
      <c r="A21231" s="14" t="inlineStr">
        <is>
          <t>KODE: 9.7.3.24 - Pemasangan 1 Buah Tee Ø 16" (400 mm)</t>
        </is>
      </c>
    </row>
    <row r="21232">
      <c r="A21232" s="10" t="inlineStr">
        <is>
          <t>No</t>
        </is>
      </c>
      <c r="B21232" s="10" t="inlineStr">
        <is>
          <t>Uraian Komponen</t>
        </is>
      </c>
      <c r="C21232" s="10" t="inlineStr">
        <is>
          <t>Satuan</t>
        </is>
      </c>
      <c r="D21232" s="10" t="inlineStr">
        <is>
          <t>Koef</t>
        </is>
      </c>
      <c r="E21232" s="10" t="inlineStr">
        <is>
          <t>Harga Satuan (Rp)</t>
        </is>
      </c>
      <c r="F21232" s="10" t="inlineStr">
        <is>
          <t>Jumlah Harga (Rp)</t>
        </is>
      </c>
    </row>
    <row r="21233">
      <c r="A21233" s="3" t="inlineStr">
        <is>
          <t>1</t>
        </is>
      </c>
      <c r="B21233" s="3" t="inlineStr">
        <is>
          <t>Pekerja</t>
        </is>
      </c>
      <c r="C21233" s="3" t="inlineStr">
        <is>
          <t>OH</t>
        </is>
      </c>
      <c r="D21233" s="15" t="n">
        <v>0.656</v>
      </c>
      <c r="E21233" s="4" t="n">
        <v>100000</v>
      </c>
      <c r="F21233" s="4" t="n">
        <v>65600</v>
      </c>
    </row>
    <row r="21234">
      <c r="A21234" s="3" t="inlineStr">
        <is>
          <t>2</t>
        </is>
      </c>
      <c r="B21234" s="3" t="inlineStr">
        <is>
          <t>Tukang pipa</t>
        </is>
      </c>
      <c r="C21234" s="3" t="inlineStr">
        <is>
          <t>OH</t>
        </is>
      </c>
      <c r="D21234" s="15" t="n">
        <v>0.328</v>
      </c>
      <c r="E21234" s="4" t="n">
        <v>145000</v>
      </c>
      <c r="F21234" s="4" t="n">
        <v>47560</v>
      </c>
    </row>
    <row r="21235">
      <c r="A21235" s="3" t="inlineStr">
        <is>
          <t>4</t>
        </is>
      </c>
      <c r="B21235" s="3" t="inlineStr">
        <is>
          <t>Mandor</t>
        </is>
      </c>
      <c r="C21235" s="3" t="inlineStr">
        <is>
          <t>OH</t>
        </is>
      </c>
      <c r="D21235" s="15" t="n">
        <v>0.066</v>
      </c>
      <c r="E21235" s="4" t="n">
        <v>200000</v>
      </c>
      <c r="F21235" s="4" t="n">
        <v>13200</v>
      </c>
    </row>
    <row r="21236">
      <c r="A21236" s="3" t="inlineStr">
        <is>
          <t>1</t>
        </is>
      </c>
      <c r="B21236" s="3" t="inlineStr">
        <is>
          <t>"Tee Ø 16"" (400 mm)"</t>
        </is>
      </c>
      <c r="C21236" s="3" t="inlineStr">
        <is>
          <t>buah</t>
        </is>
      </c>
      <c r="D21236" s="15" t="n">
        <v>1</v>
      </c>
      <c r="E21236" s="4" t="n">
        <v>255000</v>
      </c>
      <c r="F21236" s="4" t="n">
        <v>255000</v>
      </c>
    </row>
    <row r="21237">
      <c r="D21237" s="2" t="inlineStr">
        <is>
          <t>SUBTOTAL UPAH</t>
        </is>
      </c>
      <c r="F21237" s="16" t="n">
        <v>126360</v>
      </c>
    </row>
    <row r="21238">
      <c r="D21238" s="2" t="inlineStr">
        <is>
          <t>SUBTOTAL BAHAN</t>
        </is>
      </c>
      <c r="F21238" s="16" t="n">
        <v>255000</v>
      </c>
    </row>
    <row r="21239">
      <c r="D21239" s="2" t="inlineStr">
        <is>
          <t>SUBTOTAL ALAT</t>
        </is>
      </c>
      <c r="F21239" s="16" t="n">
        <v>0</v>
      </c>
    </row>
    <row r="21240">
      <c r="E21240" s="2" t="inlineStr">
        <is>
          <t>TOTAL HARGA SATUAN (Inc. Overhead)</t>
        </is>
      </c>
      <c r="F21240" s="17" t="n">
        <v>419496</v>
      </c>
    </row>
    <row r="21242">
      <c r="A21242" s="14" t="inlineStr">
        <is>
          <t>KODE: 10.1.1 - Pembuatan 1 buah cetakan Panel P1 RISHA (Asumsi 400 Kali Pakai )</t>
        </is>
      </c>
    </row>
    <row r="21243">
      <c r="A21243" s="10" t="inlineStr">
        <is>
          <t>No</t>
        </is>
      </c>
      <c r="B21243" s="10" t="inlineStr">
        <is>
          <t>Uraian Komponen</t>
        </is>
      </c>
      <c r="C21243" s="10" t="inlineStr">
        <is>
          <t>Satuan</t>
        </is>
      </c>
      <c r="D21243" s="10" t="inlineStr">
        <is>
          <t>Koef</t>
        </is>
      </c>
      <c r="E21243" s="10" t="inlineStr">
        <is>
          <t>Harga Satuan (Rp)</t>
        </is>
      </c>
      <c r="F21243" s="10" t="inlineStr">
        <is>
          <t>Jumlah Harga (Rp)</t>
        </is>
      </c>
    </row>
    <row r="21244">
      <c r="A21244" s="3" t="inlineStr">
        <is>
          <t>1</t>
        </is>
      </c>
      <c r="B21244" s="3" t="inlineStr">
        <is>
          <t>Pekerja OH</t>
        </is>
      </c>
      <c r="C21244" s="3" t="inlineStr">
        <is>
          <t>3.0959</t>
        </is>
      </c>
      <c r="D21244" s="15" t="n">
        <v>100000</v>
      </c>
      <c r="E21244" s="4" t="n">
        <v>309590</v>
      </c>
      <c r="F21244" s="4" t="n">
        <v>0.1</v>
      </c>
    </row>
    <row r="21245">
      <c r="A21245" s="3" t="inlineStr">
        <is>
          <t>2</t>
        </is>
      </c>
      <c r="B21245" s="3" t="inlineStr">
        <is>
          <t>Tukang Besi</t>
        </is>
      </c>
      <c r="C21245" s="3" t="inlineStr">
        <is>
          <t>OH</t>
        </is>
      </c>
      <c r="D21245" s="15" t="n">
        <v>1.5479</v>
      </c>
      <c r="E21245" s="4" t="n">
        <v>145000</v>
      </c>
      <c r="F21245" s="4" t="n">
        <v>224445.5</v>
      </c>
    </row>
    <row r="21246">
      <c r="A21246" s="3" t="inlineStr">
        <is>
          <t>3</t>
        </is>
      </c>
      <c r="B21246" s="3" t="inlineStr">
        <is>
          <t>Kepala Tukang</t>
        </is>
      </c>
      <c r="C21246" s="3" t="inlineStr">
        <is>
          <t>OH</t>
        </is>
      </c>
      <c r="D21246" s="15" t="n">
        <v>0.1548</v>
      </c>
      <c r="E21246" s="4" t="n">
        <v>175000</v>
      </c>
      <c r="F21246" s="4" t="n">
        <v>27090</v>
      </c>
    </row>
    <row r="21247">
      <c r="A21247" s="3" t="inlineStr">
        <is>
          <t>4</t>
        </is>
      </c>
      <c r="B21247" s="3" t="inlineStr">
        <is>
          <t>Mandor</t>
        </is>
      </c>
      <c r="C21247" s="3" t="inlineStr">
        <is>
          <t>OH</t>
        </is>
      </c>
      <c r="D21247" s="15" t="n">
        <v>0.0516</v>
      </c>
      <c r="E21247" s="4" t="n">
        <v>200000</v>
      </c>
      <c r="F21247" s="4" t="n">
        <v>10320</v>
      </c>
    </row>
    <row r="21248">
      <c r="A21248" s="3" t="inlineStr">
        <is>
          <t>1</t>
        </is>
      </c>
      <c r="B21248" s="3" t="inlineStr">
        <is>
          <t>Baja Profil</t>
        </is>
      </c>
      <c r="C21248" s="3" t="inlineStr">
        <is>
          <t>kg</t>
        </is>
      </c>
      <c r="D21248" s="15" t="n">
        <v>51.598</v>
      </c>
      <c r="E21248" s="4" t="n">
        <v>16480</v>
      </c>
      <c r="F21248" s="4" t="n">
        <v>850335.04</v>
      </c>
    </row>
    <row r="21249">
      <c r="A21249" s="3" t="inlineStr">
        <is>
          <t>1</t>
        </is>
      </c>
      <c r="B21249" s="3" t="inlineStr">
        <is>
          <t>Kawat las</t>
        </is>
      </c>
      <c r="C21249" s="3" t="inlineStr">
        <is>
          <t>kg</t>
        </is>
      </c>
      <c r="D21249" s="15" t="n">
        <v>0.053</v>
      </c>
      <c r="E21249" s="4" t="n">
        <v>45550</v>
      </c>
      <c r="F21249" s="4" t="n">
        <v>2414.15</v>
      </c>
    </row>
    <row r="21250">
      <c r="A21250" s="3" t="inlineStr">
        <is>
          <t>1</t>
        </is>
      </c>
      <c r="B21250" s="3" t="inlineStr">
        <is>
          <t>Alat las listrik</t>
        </is>
      </c>
      <c r="C21250" s="3" t="inlineStr">
        <is>
          <t>Jam</t>
        </is>
      </c>
      <c r="D21250" s="15" t="n">
        <v>0.0333</v>
      </c>
      <c r="E21250" s="4" t="n">
        <v>3125</v>
      </c>
      <c r="F21250" s="4" t="n">
        <v>104.0625</v>
      </c>
    </row>
    <row r="21251">
      <c r="D21251" s="2" t="inlineStr">
        <is>
          <t>SUBTOTAL UPAH</t>
        </is>
      </c>
      <c r="F21251" s="16" t="n">
        <v>571445.5</v>
      </c>
    </row>
    <row r="21252">
      <c r="D21252" s="2" t="inlineStr">
        <is>
          <t>SUBTOTAL BAHAN</t>
        </is>
      </c>
      <c r="F21252" s="16" t="n">
        <v>852749.1900000001</v>
      </c>
    </row>
    <row r="21253">
      <c r="D21253" s="2" t="inlineStr">
        <is>
          <t>SUBTOTAL ALAT</t>
        </is>
      </c>
      <c r="F21253" s="16" t="n">
        <v>104.0625</v>
      </c>
    </row>
    <row r="21254">
      <c r="E21254" s="2" t="inlineStr">
        <is>
          <t>TOTAL HARGA SATUAN (Inc. Overhead)</t>
        </is>
      </c>
      <c r="F21254" s="17" t="n">
        <v>1566728</v>
      </c>
    </row>
    <row r="21256">
      <c r="A21256" s="14" t="inlineStr">
        <is>
          <t>KODE: 10.1.2 - Pembuatan 1 buah cetakan Panel P2 RISHA (Asumsi 400 Kali Pakai )</t>
        </is>
      </c>
    </row>
    <row r="21257">
      <c r="A21257" s="10" t="inlineStr">
        <is>
          <t>No</t>
        </is>
      </c>
      <c r="B21257" s="10" t="inlineStr">
        <is>
          <t>Uraian Komponen</t>
        </is>
      </c>
      <c r="C21257" s="10" t="inlineStr">
        <is>
          <t>Satuan</t>
        </is>
      </c>
      <c r="D21257" s="10" t="inlineStr">
        <is>
          <t>Koef</t>
        </is>
      </c>
      <c r="E21257" s="10" t="inlineStr">
        <is>
          <t>Harga Satuan (Rp)</t>
        </is>
      </c>
      <c r="F21257" s="10" t="inlineStr">
        <is>
          <t>Jumlah Harga (Rp)</t>
        </is>
      </c>
    </row>
    <row r="21258">
      <c r="A21258" s="3" t="inlineStr">
        <is>
          <t>1</t>
        </is>
      </c>
      <c r="B21258" s="3" t="inlineStr">
        <is>
          <t>Pekerja</t>
        </is>
      </c>
      <c r="C21258" s="3" t="inlineStr">
        <is>
          <t>OH</t>
        </is>
      </c>
      <c r="D21258" s="15" t="n">
        <v>2.7275</v>
      </c>
      <c r="E21258" s="4" t="n">
        <v>100000</v>
      </c>
      <c r="F21258" s="4" t="n">
        <v>272750</v>
      </c>
    </row>
    <row r="21259">
      <c r="A21259" s="3" t="inlineStr">
        <is>
          <t>2</t>
        </is>
      </c>
      <c r="B21259" s="3" t="inlineStr">
        <is>
          <t>Tukang las</t>
        </is>
      </c>
      <c r="C21259" s="3" t="inlineStr">
        <is>
          <t>OH</t>
        </is>
      </c>
      <c r="D21259" s="15" t="n">
        <v>1.3637</v>
      </c>
      <c r="E21259" s="4" t="n">
        <v>145000</v>
      </c>
      <c r="F21259" s="4" t="n">
        <v>197736.5</v>
      </c>
    </row>
    <row r="21260">
      <c r="A21260" s="3" t="inlineStr">
        <is>
          <t>3</t>
        </is>
      </c>
      <c r="B21260" s="3" t="inlineStr">
        <is>
          <t>Kepala Tukang</t>
        </is>
      </c>
      <c r="C21260" s="3" t="inlineStr">
        <is>
          <t>OH</t>
        </is>
      </c>
      <c r="D21260" s="15" t="n">
        <v>0.1364</v>
      </c>
      <c r="E21260" s="4" t="n">
        <v>175000</v>
      </c>
      <c r="F21260" s="4" t="n">
        <v>23870</v>
      </c>
    </row>
    <row r="21261">
      <c r="A21261" s="3" t="inlineStr">
        <is>
          <t>4</t>
        </is>
      </c>
      <c r="B21261" s="3" t="inlineStr">
        <is>
          <t>Mandor</t>
        </is>
      </c>
      <c r="C21261" s="3" t="inlineStr">
        <is>
          <t>OH</t>
        </is>
      </c>
      <c r="D21261" s="15" t="n">
        <v>0.0455</v>
      </c>
      <c r="E21261" s="4" t="n">
        <v>200000</v>
      </c>
      <c r="F21261" s="4" t="n">
        <v>9100</v>
      </c>
    </row>
    <row r="21262">
      <c r="A21262" s="3" t="inlineStr">
        <is>
          <t>1</t>
        </is>
      </c>
      <c r="B21262" s="3" t="inlineStr">
        <is>
          <t>Baja Profil</t>
        </is>
      </c>
      <c r="C21262" s="3" t="inlineStr">
        <is>
          <t>kg</t>
        </is>
      </c>
      <c r="D21262" s="15" t="n">
        <v>45.458</v>
      </c>
      <c r="E21262" s="4" t="n">
        <v>16480</v>
      </c>
      <c r="F21262" s="4" t="n">
        <v>749147.84</v>
      </c>
    </row>
    <row r="21263">
      <c r="A21263" s="3" t="inlineStr">
        <is>
          <t>1</t>
        </is>
      </c>
      <c r="B21263" s="3" t="inlineStr">
        <is>
          <t>Kawat las</t>
        </is>
      </c>
      <c r="C21263" s="3" t="inlineStr">
        <is>
          <t>kg</t>
        </is>
      </c>
      <c r="D21263" s="15" t="n">
        <v>0.053</v>
      </c>
      <c r="E21263" s="4" t="n">
        <v>45550</v>
      </c>
      <c r="F21263" s="4" t="n">
        <v>2414.15</v>
      </c>
    </row>
    <row r="21264">
      <c r="A21264" s="3" t="inlineStr">
        <is>
          <t>1</t>
        </is>
      </c>
      <c r="B21264" s="3" t="inlineStr">
        <is>
          <t>Alat las listrik</t>
        </is>
      </c>
      <c r="C21264" s="3" t="inlineStr">
        <is>
          <t>Jam</t>
        </is>
      </c>
      <c r="D21264" s="15" t="n">
        <v>0.0333</v>
      </c>
      <c r="E21264" s="4" t="n">
        <v>3125</v>
      </c>
      <c r="F21264" s="4" t="n">
        <v>104.0625</v>
      </c>
    </row>
    <row r="21265">
      <c r="D21265" s="2" t="inlineStr">
        <is>
          <t>SUBTOTAL UPAH</t>
        </is>
      </c>
      <c r="F21265" s="16" t="n">
        <v>503456.5</v>
      </c>
    </row>
    <row r="21266">
      <c r="D21266" s="2" t="inlineStr">
        <is>
          <t>SUBTOTAL BAHAN</t>
        </is>
      </c>
      <c r="F21266" s="16" t="n">
        <v>751561.99</v>
      </c>
    </row>
    <row r="21267">
      <c r="D21267" s="2" t="inlineStr">
        <is>
          <t>SUBTOTAL ALAT</t>
        </is>
      </c>
      <c r="F21267" s="16" t="n">
        <v>104.0625</v>
      </c>
    </row>
    <row r="21268">
      <c r="E21268" s="2" t="inlineStr">
        <is>
          <t>TOTAL HARGA SATUAN (Inc. Overhead)</t>
        </is>
      </c>
      <c r="F21268" s="17" t="n">
        <v>1380634</v>
      </c>
    </row>
    <row r="21270">
      <c r="A21270" s="14" t="inlineStr">
        <is>
          <t>KODE: 10.1.3 - Pembuatan 1 buah cetakan Panel P3 RISHA (Asumsi 400 Kali Pakai )</t>
        </is>
      </c>
    </row>
    <row r="21271">
      <c r="A21271" s="10" t="inlineStr">
        <is>
          <t>No</t>
        </is>
      </c>
      <c r="B21271" s="10" t="inlineStr">
        <is>
          <t>Uraian Komponen</t>
        </is>
      </c>
      <c r="C21271" s="10" t="inlineStr">
        <is>
          <t>Satuan</t>
        </is>
      </c>
      <c r="D21271" s="10" t="inlineStr">
        <is>
          <t>Koef</t>
        </is>
      </c>
      <c r="E21271" s="10" t="inlineStr">
        <is>
          <t>Harga Satuan (Rp)</t>
        </is>
      </c>
      <c r="F21271" s="10" t="inlineStr">
        <is>
          <t>Jumlah Harga (Rp)</t>
        </is>
      </c>
    </row>
    <row r="21272">
      <c r="A21272" s="3" t="inlineStr">
        <is>
          <t>1</t>
        </is>
      </c>
      <c r="B21272" s="3" t="inlineStr">
        <is>
          <t>Pekerja</t>
        </is>
      </c>
      <c r="C21272" s="3" t="inlineStr">
        <is>
          <t>OH</t>
        </is>
      </c>
      <c r="D21272" s="15" t="n">
        <v>1.4959</v>
      </c>
      <c r="E21272" s="4" t="n">
        <v>100000</v>
      </c>
      <c r="F21272" s="4" t="n">
        <v>149590</v>
      </c>
    </row>
    <row r="21273">
      <c r="A21273" s="3" t="inlineStr">
        <is>
          <t>2</t>
        </is>
      </c>
      <c r="B21273" s="3" t="inlineStr">
        <is>
          <t>Tukang las</t>
        </is>
      </c>
      <c r="C21273" s="3" t="inlineStr">
        <is>
          <t>OH</t>
        </is>
      </c>
      <c r="D21273" s="15" t="n">
        <v>0.7479</v>
      </c>
      <c r="E21273" s="4" t="n">
        <v>145000</v>
      </c>
      <c r="F21273" s="4" t="n">
        <v>108445.5</v>
      </c>
    </row>
    <row r="21274">
      <c r="A21274" s="3" t="inlineStr">
        <is>
          <t>3</t>
        </is>
      </c>
      <c r="B21274" s="3" t="inlineStr">
        <is>
          <t>Kepala Tukang</t>
        </is>
      </c>
      <c r="C21274" s="3" t="inlineStr">
        <is>
          <t>OH</t>
        </is>
      </c>
      <c r="D21274" s="15" t="n">
        <v>0.07480000000000001</v>
      </c>
      <c r="E21274" s="4" t="n">
        <v>175000</v>
      </c>
      <c r="F21274" s="4" t="n">
        <v>13090</v>
      </c>
    </row>
    <row r="21275">
      <c r="A21275" s="3" t="inlineStr">
        <is>
          <t>4</t>
        </is>
      </c>
      <c r="B21275" s="3" t="inlineStr">
        <is>
          <t>Mandor</t>
        </is>
      </c>
      <c r="C21275" s="3" t="inlineStr">
        <is>
          <t>OH</t>
        </is>
      </c>
      <c r="D21275" s="15" t="n">
        <v>0.0249</v>
      </c>
      <c r="E21275" s="4" t="n">
        <v>200000</v>
      </c>
      <c r="F21275" s="4" t="n">
        <v>4980</v>
      </c>
    </row>
    <row r="21276">
      <c r="A21276" s="3" t="inlineStr">
        <is>
          <t>1</t>
        </is>
      </c>
      <c r="B21276" s="3" t="inlineStr">
        <is>
          <t>Baja Profil</t>
        </is>
      </c>
      <c r="C21276" s="3" t="inlineStr">
        <is>
          <t>kg</t>
        </is>
      </c>
      <c r="D21276" s="15" t="n">
        <v>24.931</v>
      </c>
      <c r="E21276" s="4" t="n">
        <v>16480</v>
      </c>
      <c r="F21276" s="4" t="n">
        <v>410862.88</v>
      </c>
    </row>
    <row r="21277">
      <c r="A21277" s="3" t="inlineStr">
        <is>
          <t>1</t>
        </is>
      </c>
      <c r="B21277" s="3" t="inlineStr">
        <is>
          <t>Kawat las</t>
        </is>
      </c>
      <c r="C21277" s="3" t="inlineStr">
        <is>
          <t>kg</t>
        </is>
      </c>
      <c r="D21277" s="15" t="n">
        <v>0.053</v>
      </c>
      <c r="E21277" s="4" t="n">
        <v>45550</v>
      </c>
      <c r="F21277" s="4" t="n">
        <v>2414.15</v>
      </c>
    </row>
    <row r="21278">
      <c r="A21278" s="3" t="inlineStr">
        <is>
          <t>1</t>
        </is>
      </c>
      <c r="B21278" s="3" t="inlineStr">
        <is>
          <t>Alat las listrik</t>
        </is>
      </c>
      <c r="C21278" s="3" t="inlineStr">
        <is>
          <t>Jam</t>
        </is>
      </c>
      <c r="D21278" s="15" t="n">
        <v>0.0333</v>
      </c>
      <c r="E21278" s="4" t="n">
        <v>3125</v>
      </c>
      <c r="F21278" s="4" t="n">
        <v>104.0625</v>
      </c>
    </row>
    <row r="21279">
      <c r="D21279" s="2" t="inlineStr">
        <is>
          <t>SUBTOTAL UPAH</t>
        </is>
      </c>
      <c r="F21279" s="16" t="n">
        <v>276105.5</v>
      </c>
    </row>
    <row r="21280">
      <c r="D21280" s="2" t="inlineStr">
        <is>
          <t>SUBTOTAL BAHAN</t>
        </is>
      </c>
      <c r="F21280" s="16" t="n">
        <v>413277.03</v>
      </c>
    </row>
    <row r="21281">
      <c r="D21281" s="2" t="inlineStr">
        <is>
          <t>SUBTOTAL ALAT</t>
        </is>
      </c>
      <c r="F21281" s="16" t="n">
        <v>104.0625</v>
      </c>
    </row>
    <row r="21282">
      <c r="E21282" s="2" t="inlineStr">
        <is>
          <t>TOTAL HARGA SATUAN (Inc. Overhead)</t>
        </is>
      </c>
      <c r="F21282" s="17" t="n">
        <v>758435</v>
      </c>
    </row>
    <row r="21284">
      <c r="A21284" s="14" t="inlineStr">
        <is>
          <t>KODE: 10.1.4 - Pasangan dan Membuka Cetakan 1 buah Komponen P1 RISHA</t>
        </is>
      </c>
    </row>
    <row r="21285">
      <c r="A21285" s="10" t="inlineStr">
        <is>
          <t>No</t>
        </is>
      </c>
      <c r="B21285" s="10" t="inlineStr">
        <is>
          <t>Uraian Komponen</t>
        </is>
      </c>
      <c r="C21285" s="10" t="inlineStr">
        <is>
          <t>Satuan</t>
        </is>
      </c>
      <c r="D21285" s="10" t="inlineStr">
        <is>
          <t>Koef</t>
        </is>
      </c>
      <c r="E21285" s="10" t="inlineStr">
        <is>
          <t>Harga Satuan (Rp)</t>
        </is>
      </c>
      <c r="F21285" s="10" t="inlineStr">
        <is>
          <t>Jumlah Harga (Rp)</t>
        </is>
      </c>
    </row>
    <row r="21286">
      <c r="A21286" s="3" t="inlineStr">
        <is>
          <t>1</t>
        </is>
      </c>
      <c r="B21286" s="3" t="inlineStr">
        <is>
          <t>Pekerja</t>
        </is>
      </c>
      <c r="C21286" s="3" t="inlineStr">
        <is>
          <t>OH</t>
        </is>
      </c>
      <c r="D21286" s="15" t="n">
        <v>0.07099999999999999</v>
      </c>
      <c r="E21286" s="4" t="n">
        <v>100000</v>
      </c>
      <c r="F21286" s="4" t="n">
        <v>7099.999999999999</v>
      </c>
    </row>
    <row r="21287">
      <c r="A21287" s="3" t="inlineStr">
        <is>
          <t>2</t>
        </is>
      </c>
      <c r="B21287" s="3" t="inlineStr">
        <is>
          <t>Tukang besi</t>
        </is>
      </c>
      <c r="C21287" s="3" t="inlineStr">
        <is>
          <t>OH</t>
        </is>
      </c>
      <c r="D21287" s="15" t="n">
        <v>0.024</v>
      </c>
      <c r="E21287" s="4" t="n">
        <v>145000</v>
      </c>
      <c r="F21287" s="4" t="n">
        <v>3480</v>
      </c>
    </row>
    <row r="21288">
      <c r="A21288" s="3" t="inlineStr">
        <is>
          <t>3</t>
        </is>
      </c>
      <c r="B21288" s="3" t="inlineStr">
        <is>
          <t>Mandor</t>
        </is>
      </c>
      <c r="C21288" s="3" t="inlineStr">
        <is>
          <t>OH</t>
        </is>
      </c>
      <c r="D21288" s="15" t="n">
        <v>0.005</v>
      </c>
      <c r="E21288" s="4" t="n">
        <v>200000</v>
      </c>
      <c r="F21288" s="4" t="n">
        <v>1000</v>
      </c>
    </row>
    <row r="21289">
      <c r="A21289" s="3" t="inlineStr">
        <is>
          <t>1</t>
        </is>
      </c>
      <c r="B21289" s="3" t="inlineStr">
        <is>
          <t>Minyak bekisting</t>
        </is>
      </c>
      <c r="C21289" s="3" t="inlineStr">
        <is>
          <t>liter</t>
        </is>
      </c>
      <c r="D21289" s="15" t="n">
        <v>0.07199999999999999</v>
      </c>
      <c r="E21289" s="4" t="n">
        <v>16800</v>
      </c>
      <c r="F21289" s="4" t="n">
        <v>1209.6</v>
      </c>
    </row>
    <row r="21290">
      <c r="D21290" s="2" t="inlineStr">
        <is>
          <t>SUBTOTAL UPAH</t>
        </is>
      </c>
      <c r="F21290" s="16" t="n">
        <v>11580</v>
      </c>
    </row>
    <row r="21291">
      <c r="D21291" s="2" t="inlineStr">
        <is>
          <t>SUBTOTAL BAHAN</t>
        </is>
      </c>
      <c r="F21291" s="16" t="n">
        <v>1209.6</v>
      </c>
    </row>
    <row r="21292">
      <c r="D21292" s="2" t="inlineStr">
        <is>
          <t>SUBTOTAL ALAT</t>
        </is>
      </c>
      <c r="F21292" s="16" t="n">
        <v>0</v>
      </c>
    </row>
    <row r="21293">
      <c r="E21293" s="2" t="inlineStr">
        <is>
          <t>TOTAL HARGA SATUAN (Inc. Overhead)</t>
        </is>
      </c>
      <c r="F21293" s="17" t="n">
        <v>14068</v>
      </c>
    </row>
    <row r="21295">
      <c r="A21295" s="14" t="inlineStr">
        <is>
          <t>KODE: 10.1.5 - Pasangan dan Membuka Cetakan 1 buah Komponen P2 RISHA</t>
        </is>
      </c>
    </row>
    <row r="21296">
      <c r="A21296" s="10" t="inlineStr">
        <is>
          <t>No</t>
        </is>
      </c>
      <c r="B21296" s="10" t="inlineStr">
        <is>
          <t>Uraian Komponen</t>
        </is>
      </c>
      <c r="C21296" s="10" t="inlineStr">
        <is>
          <t>Satuan</t>
        </is>
      </c>
      <c r="D21296" s="10" t="inlineStr">
        <is>
          <t>Koef</t>
        </is>
      </c>
      <c r="E21296" s="10" t="inlineStr">
        <is>
          <t>Harga Satuan (Rp)</t>
        </is>
      </c>
      <c r="F21296" s="10" t="inlineStr">
        <is>
          <t>Jumlah Harga (Rp)</t>
        </is>
      </c>
    </row>
    <row r="21297">
      <c r="A21297" s="3" t="inlineStr">
        <is>
          <t>1</t>
        </is>
      </c>
      <c r="B21297" s="3" t="inlineStr">
        <is>
          <t>Pekerja</t>
        </is>
      </c>
      <c r="C21297" s="3" t="inlineStr">
        <is>
          <t>OH</t>
        </is>
      </c>
      <c r="D21297" s="15" t="n">
        <v>0.07099999999999999</v>
      </c>
      <c r="E21297" s="4" t="n">
        <v>100000</v>
      </c>
      <c r="F21297" s="4" t="n">
        <v>7099.999999999999</v>
      </c>
    </row>
    <row r="21298">
      <c r="A21298" s="3" t="inlineStr">
        <is>
          <t>2</t>
        </is>
      </c>
      <c r="B21298" s="3" t="inlineStr">
        <is>
          <t>Tukang besi</t>
        </is>
      </c>
      <c r="C21298" s="3" t="inlineStr">
        <is>
          <t>OH</t>
        </is>
      </c>
      <c r="D21298" s="15" t="n">
        <v>0.024</v>
      </c>
      <c r="E21298" s="4" t="n">
        <v>145000</v>
      </c>
      <c r="F21298" s="4" t="n">
        <v>3480</v>
      </c>
    </row>
    <row r="21299">
      <c r="A21299" s="3" t="inlineStr">
        <is>
          <t>3</t>
        </is>
      </c>
      <c r="B21299" s="3" t="inlineStr">
        <is>
          <t>Mandor</t>
        </is>
      </c>
      <c r="C21299" s="3" t="inlineStr">
        <is>
          <t>OH</t>
        </is>
      </c>
      <c r="D21299" s="15" t="n">
        <v>0.005</v>
      </c>
      <c r="E21299" s="4" t="n">
        <v>200000</v>
      </c>
      <c r="F21299" s="4" t="n">
        <v>1000</v>
      </c>
    </row>
    <row r="21300">
      <c r="A21300" s="3" t="inlineStr">
        <is>
          <t>1</t>
        </is>
      </c>
      <c r="B21300" s="3" t="inlineStr">
        <is>
          <t>Minyak bekisting</t>
        </is>
      </c>
      <c r="C21300" s="3" t="inlineStr">
        <is>
          <t>liter</t>
        </is>
      </c>
      <c r="D21300" s="15" t="n">
        <v>0.048</v>
      </c>
      <c r="E21300" s="4" t="n">
        <v>16800</v>
      </c>
      <c r="F21300" s="4" t="n">
        <v>806.4</v>
      </c>
    </row>
    <row r="21301">
      <c r="D21301" s="2" t="inlineStr">
        <is>
          <t>SUBTOTAL UPAH</t>
        </is>
      </c>
      <c r="F21301" s="16" t="n">
        <v>11580</v>
      </c>
    </row>
    <row r="21302">
      <c r="D21302" s="2" t="inlineStr">
        <is>
          <t>SUBTOTAL BAHAN</t>
        </is>
      </c>
      <c r="F21302" s="16" t="n">
        <v>806.4</v>
      </c>
    </row>
    <row r="21303">
      <c r="D21303" s="2" t="inlineStr">
        <is>
          <t>SUBTOTAL ALAT</t>
        </is>
      </c>
      <c r="F21303" s="16" t="n">
        <v>0</v>
      </c>
    </row>
    <row r="21304">
      <c r="E21304" s="2" t="inlineStr">
        <is>
          <t>TOTAL HARGA SATUAN (Inc. Overhead)</t>
        </is>
      </c>
      <c r="F21304" s="17" t="n">
        <v>13625</v>
      </c>
    </row>
    <row r="21306">
      <c r="A21306" s="14" t="inlineStr">
        <is>
          <t>KODE: 10.1.6 - Pasangan dan Membuka Cetakan 1 buah Komponen P3 RISHA</t>
        </is>
      </c>
    </row>
    <row r="21307">
      <c r="A21307" s="10" t="inlineStr">
        <is>
          <t>No</t>
        </is>
      </c>
      <c r="B21307" s="10" t="inlineStr">
        <is>
          <t>Uraian Komponen</t>
        </is>
      </c>
      <c r="C21307" s="10" t="inlineStr">
        <is>
          <t>Satuan</t>
        </is>
      </c>
      <c r="D21307" s="10" t="inlineStr">
        <is>
          <t>Koef</t>
        </is>
      </c>
      <c r="E21307" s="10" t="inlineStr">
        <is>
          <t>Harga Satuan (Rp)</t>
        </is>
      </c>
      <c r="F21307" s="10" t="inlineStr">
        <is>
          <t>Jumlah Harga (Rp)</t>
        </is>
      </c>
    </row>
    <row r="21308">
      <c r="A21308" s="3" t="inlineStr">
        <is>
          <t>1</t>
        </is>
      </c>
      <c r="B21308" s="3" t="inlineStr">
        <is>
          <t>Pekerja</t>
        </is>
      </c>
      <c r="C21308" s="3" t="inlineStr">
        <is>
          <t>OH</t>
        </is>
      </c>
      <c r="D21308" s="15" t="n">
        <v>0.07099999999999999</v>
      </c>
      <c r="E21308" s="4" t="n">
        <v>100000</v>
      </c>
      <c r="F21308" s="4" t="n">
        <v>7099.999999999999</v>
      </c>
    </row>
    <row r="21309">
      <c r="A21309" s="3" t="inlineStr">
        <is>
          <t>2</t>
        </is>
      </c>
      <c r="B21309" s="3" t="inlineStr">
        <is>
          <t>Tukang besi</t>
        </is>
      </c>
      <c r="C21309" s="3" t="inlineStr">
        <is>
          <t>OH</t>
        </is>
      </c>
      <c r="D21309" s="15" t="n">
        <v>0.024</v>
      </c>
      <c r="E21309" s="4" t="n">
        <v>145000</v>
      </c>
      <c r="F21309" s="4" t="n">
        <v>3480</v>
      </c>
    </row>
    <row r="21310">
      <c r="A21310" s="3" t="inlineStr">
        <is>
          <t>3</t>
        </is>
      </c>
      <c r="B21310" s="3" t="inlineStr">
        <is>
          <t>Mandor</t>
        </is>
      </c>
      <c r="C21310" s="3" t="inlineStr">
        <is>
          <t>OH</t>
        </is>
      </c>
      <c r="D21310" s="15" t="n">
        <v>0.005</v>
      </c>
      <c r="E21310" s="4" t="n">
        <v>200000</v>
      </c>
      <c r="F21310" s="4" t="n">
        <v>1000</v>
      </c>
    </row>
    <row r="21311">
      <c r="A21311" s="3" t="inlineStr">
        <is>
          <t>1</t>
        </is>
      </c>
      <c r="B21311" s="3" t="inlineStr">
        <is>
          <t>Minyak bekisting</t>
        </is>
      </c>
      <c r="C21311" s="3" t="inlineStr">
        <is>
          <t>liter</t>
        </is>
      </c>
      <c r="D21311" s="15" t="n">
        <v>0.03</v>
      </c>
      <c r="E21311" s="4" t="n">
        <v>16800</v>
      </c>
      <c r="F21311" s="4" t="n">
        <v>504</v>
      </c>
    </row>
    <row r="21312">
      <c r="D21312" s="2" t="inlineStr">
        <is>
          <t>SUBTOTAL UPAH</t>
        </is>
      </c>
      <c r="F21312" s="16" t="n">
        <v>11580</v>
      </c>
    </row>
    <row r="21313">
      <c r="D21313" s="2" t="inlineStr">
        <is>
          <t>SUBTOTAL BAHAN</t>
        </is>
      </c>
      <c r="F21313" s="16" t="n">
        <v>504</v>
      </c>
    </row>
    <row r="21314">
      <c r="D21314" s="2" t="inlineStr">
        <is>
          <t>SUBTOTAL ALAT</t>
        </is>
      </c>
      <c r="F21314" s="16" t="n">
        <v>0</v>
      </c>
    </row>
    <row r="21315">
      <c r="E21315" s="2" t="inlineStr">
        <is>
          <t>TOTAL HARGA SATUAN (Inc. Overhead)</t>
        </is>
      </c>
      <c r="F21315" s="17" t="n">
        <v>13292</v>
      </c>
    </row>
    <row r="21317">
      <c r="A21317" s="14" t="inlineStr">
        <is>
          <t>KODE: 10.1.7 - Produksi 1 buah Panel P1</t>
        </is>
      </c>
    </row>
    <row r="21318">
      <c r="A21318" s="10" t="inlineStr">
        <is>
          <t>No</t>
        </is>
      </c>
      <c r="B21318" s="10" t="inlineStr">
        <is>
          <t>Uraian Komponen</t>
        </is>
      </c>
      <c r="C21318" s="10" t="inlineStr">
        <is>
          <t>Satuan</t>
        </is>
      </c>
      <c r="D21318" s="10" t="inlineStr">
        <is>
          <t>Koef</t>
        </is>
      </c>
      <c r="E21318" s="10" t="inlineStr">
        <is>
          <t>Harga Satuan (Rp)</t>
        </is>
      </c>
      <c r="F21318" s="10" t="inlineStr">
        <is>
          <t>Jumlah Harga (Rp)</t>
        </is>
      </c>
    </row>
    <row r="21319">
      <c r="A21319" s="3" t="inlineStr">
        <is>
          <t>1</t>
        </is>
      </c>
      <c r="B21319" s="3" t="inlineStr">
        <is>
          <t>"1 kg Penulangan Slab untuk BjTP atau BjTS diameter &lt; 12 mm cara Manual "</t>
        </is>
      </c>
      <c r="C21319" s="3" t="inlineStr">
        <is>
          <t>kg</t>
        </is>
      </c>
      <c r="D21319" s="15" t="n">
        <v>6.0755</v>
      </c>
      <c r="E21319" s="4" t="n">
        <v>18473.95</v>
      </c>
      <c r="F21319" s="4" t="n">
        <v>112238.483225</v>
      </c>
    </row>
    <row r="21320">
      <c r="A21320" s="3" t="inlineStr">
        <is>
          <t>2</t>
        </is>
      </c>
      <c r="B21320" s="3" t="inlineStr">
        <is>
          <t>1 kg Penulangan Wiremesh M6-M10 untuk slab atau dinding atau Ferrocement secara manual</t>
        </is>
      </c>
      <c r="C21320" s="3" t="inlineStr">
        <is>
          <t>m2</t>
        </is>
      </c>
      <c r="D21320" s="15" t="n">
        <v>0.2464</v>
      </c>
      <c r="E21320" s="4" t="n">
        <v>13807.959</v>
      </c>
      <c r="F21320" s="4" t="n">
        <v>3402.2810976</v>
      </c>
    </row>
    <row r="21321">
      <c r="A21321" s="3" t="inlineStr">
        <is>
          <t>3</t>
        </is>
      </c>
      <c r="B21321" s="3" t="inlineStr">
        <is>
          <t>Pembuatan 1 buah Cetakan Panel P1 RISHA (Asumsi 400 kali pakai)</t>
        </is>
      </c>
      <c r="C21321" s="3" t="inlineStr">
        <is>
          <t>buah</t>
        </is>
      </c>
      <c r="D21321" s="15" t="n">
        <v>0.0025</v>
      </c>
      <c r="E21321" s="4" t="n">
        <v>1566728.62775</v>
      </c>
      <c r="F21321" s="4" t="n">
        <v>3916.821569375</v>
      </c>
    </row>
    <row r="21322">
      <c r="A21322" s="3" t="inlineStr">
        <is>
          <t>4</t>
        </is>
      </c>
      <c r="B21322" s="3" t="inlineStr">
        <is>
          <t>Pemasangan dan membuat cetakan 1 buah komponen P1 RISHA</t>
        </is>
      </c>
      <c r="C21322" s="3" t="inlineStr">
        <is>
          <t>unit</t>
        </is>
      </c>
      <c r="D21322" s="15" t="n">
        <v>1</v>
      </c>
      <c r="E21322" s="4" t="n">
        <v>14068.56</v>
      </c>
      <c r="F21322" s="4" t="n">
        <v>14068.56</v>
      </c>
    </row>
    <row r="21323">
      <c r="A21323" s="3" t="inlineStr">
        <is>
          <t>5</t>
        </is>
      </c>
      <c r="B21323" s="3" t="inlineStr">
        <is>
          <t>"1 m3 beton mutu sedang fc 25 Mpa Slum (100 ±  25) mm agregat maks 19 mm secara mekanis "</t>
        </is>
      </c>
      <c r="C21323" s="3" t="inlineStr">
        <is>
          <t>m3</t>
        </is>
      </c>
      <c r="D21323" s="15" t="n">
        <v>0.0204</v>
      </c>
      <c r="E21323" s="4" t="n">
        <v>1382685.292592593</v>
      </c>
      <c r="F21323" s="4" t="n">
        <v>28206.77996888889</v>
      </c>
    </row>
    <row r="21324">
      <c r="A21324" s="3" t="inlineStr">
        <is>
          <t>6</t>
        </is>
      </c>
      <c r="B21324" s="3" t="inlineStr">
        <is>
          <t>Penulangan/Menebar Beton 1 m3 untuk Kolom Beton Pracetak</t>
        </is>
      </c>
      <c r="C21324" s="3" t="inlineStr">
        <is>
          <t>m3</t>
        </is>
      </c>
      <c r="D21324" s="15" t="n">
        <v>0.0204</v>
      </c>
      <c r="E21324" s="4" t="n">
        <v>68915</v>
      </c>
      <c r="F21324" s="4" t="n">
        <v>1405.866</v>
      </c>
    </row>
    <row r="21325">
      <c r="D21325" s="2" t="inlineStr">
        <is>
          <t>SUBTOTAL UPAH</t>
        </is>
      </c>
      <c r="F21325" s="16" t="n">
        <v>0</v>
      </c>
    </row>
    <row r="21326">
      <c r="D21326" s="2" t="inlineStr">
        <is>
          <t>SUBTOTAL BAHAN</t>
        </is>
      </c>
      <c r="F21326" s="16" t="n">
        <v>163238.7918608639</v>
      </c>
    </row>
    <row r="21327">
      <c r="D21327" s="2" t="inlineStr">
        <is>
          <t>SUBTOTAL ALAT</t>
        </is>
      </c>
      <c r="F21327" s="16" t="n">
        <v>0</v>
      </c>
    </row>
    <row r="21328">
      <c r="E21328" s="2" t="inlineStr">
        <is>
          <t>TOTAL HARGA SATUAN (Inc. Overhead)</t>
        </is>
      </c>
      <c r="F21328" s="17" t="n">
        <v>179562</v>
      </c>
    </row>
    <row r="21330">
      <c r="A21330" s="14" t="inlineStr">
        <is>
          <t>KODE: 10.1.8 - Produksi 1 buah Panel P2</t>
        </is>
      </c>
    </row>
    <row r="21331">
      <c r="A21331" s="10" t="inlineStr">
        <is>
          <t>No</t>
        </is>
      </c>
      <c r="B21331" s="10" t="inlineStr">
        <is>
          <t>Uraian Komponen</t>
        </is>
      </c>
      <c r="C21331" s="10" t="inlineStr">
        <is>
          <t>Satuan</t>
        </is>
      </c>
      <c r="D21331" s="10" t="inlineStr">
        <is>
          <t>Koef</t>
        </is>
      </c>
      <c r="E21331" s="10" t="inlineStr">
        <is>
          <t>Harga Satuan (Rp)</t>
        </is>
      </c>
      <c r="F21331" s="10" t="inlineStr">
        <is>
          <t>Jumlah Harga (Rp)</t>
        </is>
      </c>
    </row>
    <row r="21332">
      <c r="A21332" s="3" t="inlineStr">
        <is>
          <t>1</t>
        </is>
      </c>
      <c r="B21332" s="3" t="inlineStr">
        <is>
          <t>"1 kg Penulangan Slab untuk BjTP atau BjTS diameter &lt; 12 mm cara Manual "</t>
        </is>
      </c>
      <c r="C21332" s="3" t="inlineStr">
        <is>
          <t>kg</t>
        </is>
      </c>
      <c r="D21332" s="15" t="n">
        <v>5.5027</v>
      </c>
      <c r="E21332" s="4" t="n">
        <v>18473.95</v>
      </c>
      <c r="F21332" s="4" t="n">
        <v>101656.604665</v>
      </c>
    </row>
    <row r="21333">
      <c r="A21333" s="3" t="inlineStr">
        <is>
          <t>2</t>
        </is>
      </c>
      <c r="B21333" s="3" t="inlineStr">
        <is>
          <t>1 kg Penulangan Wiremesh M6-M10 untuk slab atau dinding atau Ferrocement secara manual</t>
        </is>
      </c>
      <c r="C21333" s="3" t="inlineStr">
        <is>
          <t>m2</t>
        </is>
      </c>
      <c r="D21333" s="15" t="n">
        <v>0.1344</v>
      </c>
      <c r="E21333" s="4" t="n">
        <v>13807.959</v>
      </c>
      <c r="F21333" s="4" t="n">
        <v>1855.7896896</v>
      </c>
    </row>
    <row r="21334">
      <c r="A21334" s="3" t="inlineStr">
        <is>
          <t>3</t>
        </is>
      </c>
      <c r="B21334" s="3" t="inlineStr">
        <is>
          <t>Pembuatan 1 buah Cetakan Panel P2 RISHA (Asumsi 400 kali pakai)</t>
        </is>
      </c>
      <c r="C21334" s="3" t="inlineStr">
        <is>
          <t>buah</t>
        </is>
      </c>
      <c r="D21334" s="15" t="n">
        <v>0.0025</v>
      </c>
      <c r="E21334" s="4" t="n">
        <v>1380634.80775</v>
      </c>
      <c r="F21334" s="4" t="n">
        <v>3451.587019375</v>
      </c>
    </row>
    <row r="21335">
      <c r="A21335" s="3" t="inlineStr">
        <is>
          <t>4</t>
        </is>
      </c>
      <c r="B21335" s="3" t="inlineStr">
        <is>
          <t>Pemasangan dan membuat cetakan 1 buah komponen P1 RISHA</t>
        </is>
      </c>
      <c r="C21335" s="3" t="inlineStr">
        <is>
          <t>unit</t>
        </is>
      </c>
      <c r="D21335" s="15" t="n">
        <v>1</v>
      </c>
      <c r="E21335" s="4" t="n">
        <v>13625.04</v>
      </c>
      <c r="F21335" s="4" t="n">
        <v>13625.04</v>
      </c>
    </row>
    <row r="21336">
      <c r="A21336" s="3" t="inlineStr">
        <is>
          <t>5</t>
        </is>
      </c>
      <c r="B21336" s="3" t="inlineStr">
        <is>
          <t>"1 m3 beton mutu sedang fc 25 Mpa Slum (100 ±  25) mm agregat maks 19 mm secara mekanis "</t>
        </is>
      </c>
      <c r="C21336" s="3" t="inlineStr">
        <is>
          <t>m3</t>
        </is>
      </c>
      <c r="D21336" s="15" t="n">
        <v>0.0145</v>
      </c>
      <c r="E21336" s="4" t="n">
        <v>1382685.292592593</v>
      </c>
      <c r="F21336" s="4" t="n">
        <v>20048.93674259259</v>
      </c>
    </row>
    <row r="21337">
      <c r="A21337" s="3" t="inlineStr">
        <is>
          <t>6</t>
        </is>
      </c>
      <c r="B21337" s="3" t="inlineStr">
        <is>
          <t>Penulangan/Menebar Beton 1 m3 untuk Kolom Beton Pracetak</t>
        </is>
      </c>
      <c r="C21337" s="3" t="inlineStr">
        <is>
          <t>m3</t>
        </is>
      </c>
      <c r="D21337" s="15" t="n">
        <v>0.0145</v>
      </c>
      <c r="E21337" s="4" t="n">
        <v>68915</v>
      </c>
      <c r="F21337" s="4" t="n">
        <v>999.2675</v>
      </c>
    </row>
    <row r="21338">
      <c r="D21338" s="2" t="inlineStr">
        <is>
          <t>SUBTOTAL UPAH</t>
        </is>
      </c>
      <c r="F21338" s="16" t="n">
        <v>0</v>
      </c>
    </row>
    <row r="21339">
      <c r="D21339" s="2" t="inlineStr">
        <is>
          <t>SUBTOTAL BAHAN</t>
        </is>
      </c>
      <c r="F21339" s="16" t="n">
        <v>141637.2256165676</v>
      </c>
    </row>
    <row r="21340">
      <c r="D21340" s="2" t="inlineStr">
        <is>
          <t>SUBTOTAL ALAT</t>
        </is>
      </c>
      <c r="F21340" s="16" t="n">
        <v>0</v>
      </c>
    </row>
    <row r="21341">
      <c r="E21341" s="2" t="inlineStr">
        <is>
          <t>TOTAL HARGA SATUAN (Inc. Overhead)</t>
        </is>
      </c>
      <c r="F21341" s="17" t="n">
        <v>155800</v>
      </c>
    </row>
    <row r="21343">
      <c r="A21343" s="14" t="inlineStr">
        <is>
          <t>KODE: 10.1.9 - Produksi 1 buah Panel P3</t>
        </is>
      </c>
    </row>
    <row r="21344">
      <c r="A21344" s="10" t="inlineStr">
        <is>
          <t>No</t>
        </is>
      </c>
      <c r="B21344" s="10" t="inlineStr">
        <is>
          <t>Uraian Komponen</t>
        </is>
      </c>
      <c r="C21344" s="10" t="inlineStr">
        <is>
          <t>Satuan</t>
        </is>
      </c>
      <c r="D21344" s="10" t="inlineStr">
        <is>
          <t>Koef</t>
        </is>
      </c>
      <c r="E21344" s="10" t="inlineStr">
        <is>
          <t>Harga Satuan (Rp)</t>
        </is>
      </c>
      <c r="F21344" s="10" t="inlineStr">
        <is>
          <t>Jumlah Harga (Rp)</t>
        </is>
      </c>
    </row>
    <row r="21345">
      <c r="A21345" s="3" t="inlineStr">
        <is>
          <t>1</t>
        </is>
      </c>
      <c r="B21345" s="3" t="inlineStr">
        <is>
          <t>"1 kg Penulangan Slab untuk BjTP atau BjTS diameter &lt; 12 mm cara Manual "</t>
        </is>
      </c>
      <c r="C21345" s="3" t="inlineStr">
        <is>
          <t>kg</t>
        </is>
      </c>
      <c r="D21345" s="15" t="n">
        <v>4.2973</v>
      </c>
      <c r="E21345" s="4" t="n">
        <v>18473.95</v>
      </c>
      <c r="F21345" s="4" t="n">
        <v>79388.105335</v>
      </c>
    </row>
    <row r="21346">
      <c r="A21346" s="3" t="inlineStr">
        <is>
          <t>2</t>
        </is>
      </c>
      <c r="B21346" s="3" t="inlineStr">
        <is>
          <t>Pembuatan 1 buah Cetakan Panel P3 RISHA (Asumsi 400 kali pakai)</t>
        </is>
      </c>
      <c r="C21346" s="3" t="inlineStr">
        <is>
          <t>buah</t>
        </is>
      </c>
      <c r="D21346" s="15" t="n">
        <v>0.0025</v>
      </c>
      <c r="E21346" s="4" t="n">
        <v>758435.2517500001</v>
      </c>
      <c r="F21346" s="4" t="n">
        <v>1896.088129375</v>
      </c>
    </row>
    <row r="21347">
      <c r="A21347" s="3" t="inlineStr">
        <is>
          <t>3</t>
        </is>
      </c>
      <c r="B21347" s="3" t="inlineStr">
        <is>
          <t>Pemasangan dan membuat cetakan 1 buah komponen P3 RISHA</t>
        </is>
      </c>
      <c r="C21347" s="3" t="inlineStr">
        <is>
          <t>unit</t>
        </is>
      </c>
      <c r="D21347" s="15" t="n">
        <v>1</v>
      </c>
      <c r="E21347" s="4" t="n">
        <v>13292.4</v>
      </c>
      <c r="F21347" s="4" t="n">
        <v>13292.4</v>
      </c>
    </row>
    <row r="21348">
      <c r="A21348" s="3" t="inlineStr">
        <is>
          <t>4</t>
        </is>
      </c>
      <c r="B21348" s="3" t="inlineStr">
        <is>
          <t>"1 m3 beton mutu sedang fc 25 Mpa Slum (100 ±  25) mm agregat maks 19 mm secara mekanis "</t>
        </is>
      </c>
      <c r="C21348" s="3" t="inlineStr">
        <is>
          <t>m3</t>
        </is>
      </c>
      <c r="D21348" s="15" t="n">
        <v>0.011</v>
      </c>
      <c r="E21348" s="4" t="n">
        <v>1382685.292592593</v>
      </c>
      <c r="F21348" s="4" t="n">
        <v>15209.53821851852</v>
      </c>
    </row>
    <row r="21349">
      <c r="A21349" s="3" t="inlineStr">
        <is>
          <t>5</t>
        </is>
      </c>
      <c r="B21349" s="3" t="inlineStr">
        <is>
          <t>Penulangan/Menebar Beton 1 m3 untuk Kolom Beton Pracetak</t>
        </is>
      </c>
      <c r="C21349" s="3" t="inlineStr">
        <is>
          <t>m3</t>
        </is>
      </c>
      <c r="D21349" s="15" t="n">
        <v>0.011</v>
      </c>
      <c r="E21349" s="4" t="n">
        <v>68915</v>
      </c>
      <c r="F21349" s="4" t="n">
        <v>758.0649999999999</v>
      </c>
    </row>
    <row r="21350">
      <c r="D21350" s="2" t="inlineStr">
        <is>
          <t>SUBTOTAL UPAH</t>
        </is>
      </c>
      <c r="F21350" s="16" t="n">
        <v>0</v>
      </c>
    </row>
    <row r="21351">
      <c r="D21351" s="2" t="inlineStr">
        <is>
          <t>SUBTOTAL BAHAN</t>
        </is>
      </c>
      <c r="F21351" s="16" t="n">
        <v>110544.1966828935</v>
      </c>
    </row>
    <row r="21352">
      <c r="D21352" s="2" t="inlineStr">
        <is>
          <t>SUBTOTAL ALAT</t>
        </is>
      </c>
      <c r="F21352" s="16" t="n">
        <v>0</v>
      </c>
    </row>
    <row r="21353">
      <c r="E21353" s="2" t="inlineStr">
        <is>
          <t>TOTAL HARGA SATUAN (Inc. Overhead)</t>
        </is>
      </c>
      <c r="F21353" s="17" t="n">
        <v>121598</v>
      </c>
    </row>
    <row r="21355">
      <c r="A21355" s="14" t="inlineStr">
        <is>
          <t>KODE: 10.2.1 - Pengepakan 1 set Panel dan Aksesoris RISHA T-36</t>
        </is>
      </c>
    </row>
    <row r="21356">
      <c r="A21356" s="10" t="inlineStr">
        <is>
          <t>No</t>
        </is>
      </c>
      <c r="B21356" s="10" t="inlineStr">
        <is>
          <t>Uraian Komponen</t>
        </is>
      </c>
      <c r="C21356" s="10" t="inlineStr">
        <is>
          <t>Satuan</t>
        </is>
      </c>
      <c r="D21356" s="10" t="inlineStr">
        <is>
          <t>Koef</t>
        </is>
      </c>
      <c r="E21356" s="10" t="inlineStr">
        <is>
          <t>Harga Satuan (Rp)</t>
        </is>
      </c>
      <c r="F21356" s="10" t="inlineStr">
        <is>
          <t>Jumlah Harga (Rp)</t>
        </is>
      </c>
    </row>
    <row r="21357">
      <c r="A21357" s="3" t="inlineStr">
        <is>
          <t>1</t>
        </is>
      </c>
      <c r="B21357" s="3" t="inlineStr">
        <is>
          <t>Pekerja</t>
        </is>
      </c>
      <c r="C21357" s="3" t="inlineStr">
        <is>
          <t>OH</t>
        </is>
      </c>
      <c r="D21357" s="15" t="n">
        <v>1.257</v>
      </c>
      <c r="E21357" s="4" t="n">
        <v>100000</v>
      </c>
      <c r="F21357" s="4" t="n">
        <v>125700</v>
      </c>
    </row>
    <row r="21358">
      <c r="A21358" s="3" t="inlineStr">
        <is>
          <t>2</t>
        </is>
      </c>
      <c r="B21358" s="3" t="inlineStr">
        <is>
          <t>Mandor</t>
        </is>
      </c>
      <c r="C21358" s="3" t="inlineStr">
        <is>
          <t>OH</t>
        </is>
      </c>
      <c r="D21358" s="15" t="n">
        <v>0.063</v>
      </c>
      <c r="E21358" s="4" t="n">
        <v>200000</v>
      </c>
      <c r="F21358" s="4" t="n">
        <v>12600</v>
      </c>
    </row>
    <row r="21359">
      <c r="A21359" s="3" t="inlineStr">
        <is>
          <t>1</t>
        </is>
      </c>
      <c r="B21359" s="3" t="inlineStr">
        <is>
          <t>Stepping Band Lebar 15 mm</t>
        </is>
      </c>
      <c r="C21359" s="3" t="inlineStr">
        <is>
          <t>m</t>
        </is>
      </c>
      <c r="D21359" s="15" t="n">
        <v>57.6</v>
      </c>
      <c r="E21359" s="4" t="n">
        <v>8570</v>
      </c>
      <c r="F21359" s="4" t="n">
        <v>493632</v>
      </c>
    </row>
    <row r="21360">
      <c r="A21360" s="3" t="inlineStr">
        <is>
          <t>2</t>
        </is>
      </c>
      <c r="B21360" s="3" t="inlineStr">
        <is>
          <t>Palet Kayu uk. 120x120x10 cm</t>
        </is>
      </c>
      <c r="C21360" s="3" t="inlineStr">
        <is>
          <t>buah</t>
        </is>
      </c>
      <c r="D21360" s="15" t="n">
        <v>3</v>
      </c>
      <c r="E21360" s="4" t="n">
        <v>123000</v>
      </c>
      <c r="F21360" s="4" t="n">
        <v>369000</v>
      </c>
    </row>
    <row r="21361">
      <c r="A21361" s="3" t="inlineStr">
        <is>
          <t>3</t>
        </is>
      </c>
      <c r="B21361" s="3" t="inlineStr">
        <is>
          <t>Kayu kaso 5/7 kelas III</t>
        </is>
      </c>
      <c r="C21361" s="3" t="inlineStr">
        <is>
          <t>m3</t>
        </is>
      </c>
      <c r="D21361" s="15" t="n">
        <v>0.0063</v>
      </c>
      <c r="E21361" s="4" t="n">
        <v>3500000</v>
      </c>
      <c r="F21361" s="4" t="n">
        <v>22050</v>
      </c>
    </row>
    <row r="21362">
      <c r="A21362" s="3" t="inlineStr">
        <is>
          <t>4</t>
        </is>
      </c>
      <c r="B21362" s="3" t="inlineStr">
        <is>
          <t>Kayu papan kelas III</t>
        </is>
      </c>
      <c r="C21362" s="3" t="inlineStr">
        <is>
          <t>m3</t>
        </is>
      </c>
      <c r="D21362" s="15" t="n">
        <v>0.0204</v>
      </c>
      <c r="E21362" s="4" t="n">
        <v>8000000</v>
      </c>
      <c r="F21362" s="4" t="n">
        <v>163200</v>
      </c>
    </row>
    <row r="21363">
      <c r="A21363" s="3" t="inlineStr">
        <is>
          <t>5</t>
        </is>
      </c>
      <c r="B21363" s="3" t="inlineStr">
        <is>
          <t>Paku 2 inch</t>
        </is>
      </c>
      <c r="C21363" s="3" t="inlineStr">
        <is>
          <t>kg</t>
        </is>
      </c>
      <c r="D21363" s="15" t="n">
        <v>0.5</v>
      </c>
      <c r="E21363" s="4" t="n">
        <v>18000</v>
      </c>
      <c r="F21363" s="4" t="n">
        <v>9000</v>
      </c>
    </row>
    <row r="21364">
      <c r="D21364" s="2" t="inlineStr">
        <is>
          <t>SUBTOTAL UPAH</t>
        </is>
      </c>
      <c r="F21364" s="16" t="n">
        <v>138300</v>
      </c>
    </row>
    <row r="21365">
      <c r="D21365" s="2" t="inlineStr">
        <is>
          <t>SUBTOTAL BAHAN</t>
        </is>
      </c>
      <c r="F21365" s="16" t="n">
        <v>1056882</v>
      </c>
    </row>
    <row r="21366">
      <c r="D21366" s="2" t="inlineStr">
        <is>
          <t>SUBTOTAL ALAT</t>
        </is>
      </c>
      <c r="F21366" s="16" t="n">
        <v>0</v>
      </c>
    </row>
    <row r="21367">
      <c r="E21367" s="2" t="inlineStr">
        <is>
          <t>TOTAL HARGA SATUAN (Inc. Overhead)</t>
        </is>
      </c>
      <c r="F21367" s="17" t="n">
        <v>1314700</v>
      </c>
    </row>
    <row r="21369">
      <c r="A21369" s="14" t="inlineStr">
        <is>
          <t>KODE: 10.2.2 - Pengiriman 1 set Panel dan Aksesoris RISHA T-36</t>
        </is>
      </c>
    </row>
    <row r="21370">
      <c r="A21370" s="10" t="inlineStr">
        <is>
          <t>No</t>
        </is>
      </c>
      <c r="B21370" s="10" t="inlineStr">
        <is>
          <t>Uraian Komponen</t>
        </is>
      </c>
      <c r="C21370" s="10" t="inlineStr">
        <is>
          <t>Satuan</t>
        </is>
      </c>
      <c r="D21370" s="10" t="inlineStr">
        <is>
          <t>Koef</t>
        </is>
      </c>
      <c r="E21370" s="10" t="inlineStr">
        <is>
          <t>Harga Satuan (Rp)</t>
        </is>
      </c>
      <c r="F21370" s="10" t="inlineStr">
        <is>
          <t>Jumlah Harga (Rp)</t>
        </is>
      </c>
    </row>
    <row r="21371">
      <c r="A21371" s="3" t="inlineStr">
        <is>
          <t>1</t>
        </is>
      </c>
      <c r="B21371" s="3" t="inlineStr">
        <is>
          <t>Panel P1</t>
        </is>
      </c>
      <c r="C21371" s="3" t="inlineStr">
        <is>
          <t>buah</t>
        </is>
      </c>
      <c r="D21371" s="15" t="n">
        <v>78</v>
      </c>
      <c r="E21371" s="4" t="n">
        <v>179562</v>
      </c>
      <c r="F21371" s="4" t="n">
        <v>14005836</v>
      </c>
    </row>
    <row r="21372">
      <c r="A21372" s="3" t="inlineStr">
        <is>
          <t>2</t>
        </is>
      </c>
      <c r="B21372" s="3" t="inlineStr">
        <is>
          <t>Panel P2</t>
        </is>
      </c>
      <c r="C21372" s="3" t="inlineStr">
        <is>
          <t>buah</t>
        </is>
      </c>
      <c r="D21372" s="15" t="n">
        <v>30</v>
      </c>
      <c r="E21372" s="4" t="n">
        <v>155800</v>
      </c>
      <c r="F21372" s="4" t="n">
        <v>4674000</v>
      </c>
    </row>
    <row r="21373">
      <c r="A21373" s="3" t="inlineStr">
        <is>
          <t>3</t>
        </is>
      </c>
      <c r="B21373" s="3" t="inlineStr">
        <is>
          <t>Panel P3</t>
        </is>
      </c>
      <c r="C21373" s="3" t="inlineStr">
        <is>
          <t>buah</t>
        </is>
      </c>
      <c r="D21373" s="15" t="n">
        <v>30</v>
      </c>
      <c r="E21373" s="4" t="n">
        <v>121598</v>
      </c>
      <c r="F21373" s="4" t="n">
        <v>3647940</v>
      </c>
    </row>
    <row r="21374">
      <c r="D21374" s="2" t="inlineStr">
        <is>
          <t>SUBTOTAL UPAH</t>
        </is>
      </c>
      <c r="F21374" s="16" t="n">
        <v>0</v>
      </c>
    </row>
    <row r="21375">
      <c r="D21375" s="2" t="inlineStr">
        <is>
          <t>SUBTOTAL BAHAN</t>
        </is>
      </c>
      <c r="F21375" s="16" t="n">
        <v>22327776</v>
      </c>
    </row>
    <row r="21376">
      <c r="D21376" s="2" t="inlineStr">
        <is>
          <t>SUBTOTAL ALAT</t>
        </is>
      </c>
      <c r="F21376" s="16" t="n">
        <v>0</v>
      </c>
    </row>
    <row r="21377">
      <c r="E21377" s="2" t="inlineStr">
        <is>
          <t>TOTAL HARGA SATUAN (Inc. Overhead)</t>
        </is>
      </c>
      <c r="F21377" s="17" t="n">
        <v>24560553</v>
      </c>
    </row>
    <row r="21379">
      <c r="A21379" s="14" t="inlineStr">
        <is>
          <t>KODE: 10.3.1 - Pekerjaan Perakitan Panel dan Alat Sambung Modul T36 RISHA</t>
        </is>
      </c>
    </row>
    <row r="21380">
      <c r="A21380" s="10" t="inlineStr">
        <is>
          <t>No</t>
        </is>
      </c>
      <c r="B21380" s="10" t="inlineStr">
        <is>
          <t>Uraian Komponen</t>
        </is>
      </c>
      <c r="C21380" s="10" t="inlineStr">
        <is>
          <t>Satuan</t>
        </is>
      </c>
      <c r="D21380" s="10" t="inlineStr">
        <is>
          <t>Koef</t>
        </is>
      </c>
      <c r="E21380" s="10" t="inlineStr">
        <is>
          <t>Harga Satuan (Rp)</t>
        </is>
      </c>
      <c r="F21380" s="10" t="inlineStr">
        <is>
          <t>Jumlah Harga (Rp)</t>
        </is>
      </c>
    </row>
    <row r="21381">
      <c r="A21381" s="3" t="inlineStr">
        <is>
          <t>1</t>
        </is>
      </c>
      <c r="B21381" s="3" t="inlineStr">
        <is>
          <t>Pekerja</t>
        </is>
      </c>
      <c r="C21381" s="3" t="inlineStr">
        <is>
          <t>OH</t>
        </is>
      </c>
      <c r="D21381" s="15" t="n">
        <v>8</v>
      </c>
      <c r="E21381" s="4" t="n">
        <v>100000</v>
      </c>
      <c r="F21381" s="4" t="n">
        <v>800000</v>
      </c>
    </row>
    <row r="21382">
      <c r="A21382" s="3" t="inlineStr">
        <is>
          <t>2</t>
        </is>
      </c>
      <c r="B21382" s="3" t="inlineStr">
        <is>
          <t>Tukang batu</t>
        </is>
      </c>
      <c r="C21382" s="3" t="inlineStr">
        <is>
          <t>OH</t>
        </is>
      </c>
      <c r="D21382" s="15" t="n">
        <v>2</v>
      </c>
      <c r="E21382" s="4" t="n">
        <v>145000</v>
      </c>
      <c r="F21382" s="4" t="n">
        <v>290000</v>
      </c>
    </row>
    <row r="21383">
      <c r="A21383" s="3" t="inlineStr">
        <is>
          <t>3</t>
        </is>
      </c>
      <c r="B21383" s="3" t="inlineStr">
        <is>
          <t>Kepala tukang</t>
        </is>
      </c>
      <c r="C21383" s="3" t="inlineStr">
        <is>
          <t>OH</t>
        </is>
      </c>
      <c r="D21383" s="15" t="n">
        <v>0.2</v>
      </c>
      <c r="E21383" s="4" t="n">
        <v>175000</v>
      </c>
      <c r="F21383" s="4" t="n">
        <v>35000</v>
      </c>
    </row>
    <row r="21384">
      <c r="A21384" s="3" t="inlineStr">
        <is>
          <t>4</t>
        </is>
      </c>
      <c r="B21384" s="3" t="inlineStr">
        <is>
          <t>Mandor</t>
        </is>
      </c>
      <c r="C21384" s="3" t="inlineStr">
        <is>
          <t>OH</t>
        </is>
      </c>
      <c r="D21384" s="15" t="n">
        <v>0.04</v>
      </c>
      <c r="E21384" s="4" t="n">
        <v>200000</v>
      </c>
      <c r="F21384" s="4" t="n">
        <v>8000</v>
      </c>
    </row>
    <row r="21385">
      <c r="A21385" s="3" t="inlineStr">
        <is>
          <t>1</t>
        </is>
      </c>
      <c r="B21385" s="3" t="inlineStr">
        <is>
          <t>"Baut dan Mur f12 L=4"" "</t>
        </is>
      </c>
      <c r="C21385" s="3" t="inlineStr">
        <is>
          <t>buah</t>
        </is>
      </c>
      <c r="D21385" s="15" t="n">
        <v>104</v>
      </c>
      <c r="E21385" s="4" t="n">
        <v>20000</v>
      </c>
      <c r="F21385" s="4" t="n">
        <v>2080000</v>
      </c>
    </row>
    <row r="21386">
      <c r="A21386" s="3" t="inlineStr">
        <is>
          <t>2</t>
        </is>
      </c>
      <c r="B21386" s="3" t="inlineStr">
        <is>
          <t>"Baut dan Mur f12 L=6"""</t>
        </is>
      </c>
      <c r="C21386" s="3" t="inlineStr">
        <is>
          <t>buah</t>
        </is>
      </c>
      <c r="D21386" s="15" t="n">
        <v>133</v>
      </c>
      <c r="E21386" s="4" t="n">
        <v>22000</v>
      </c>
      <c r="F21386" s="4" t="n">
        <v>2926000</v>
      </c>
    </row>
    <row r="21387">
      <c r="A21387" s="3" t="inlineStr">
        <is>
          <t>3</t>
        </is>
      </c>
      <c r="B21387" s="3" t="inlineStr">
        <is>
          <t>"Baut dan Mur f12 L=7"""</t>
        </is>
      </c>
      <c r="C21387" s="3" t="inlineStr">
        <is>
          <t>buah</t>
        </is>
      </c>
      <c r="D21387" s="15" t="n">
        <v>156</v>
      </c>
      <c r="E21387" s="4" t="n">
        <v>23000</v>
      </c>
      <c r="F21387" s="4" t="n">
        <v>3588000</v>
      </c>
    </row>
    <row r="21388">
      <c r="A21388" s="3" t="inlineStr">
        <is>
          <t>4</t>
        </is>
      </c>
      <c r="B21388" s="3" t="inlineStr">
        <is>
          <t>Ring Plat</t>
        </is>
      </c>
      <c r="C21388" s="3" t="inlineStr">
        <is>
          <t>buah</t>
        </is>
      </c>
      <c r="D21388" s="15" t="n">
        <v>786</v>
      </c>
      <c r="E21388" s="4" t="n">
        <v>2500</v>
      </c>
      <c r="F21388" s="4" t="n">
        <v>1965000</v>
      </c>
    </row>
    <row r="21389">
      <c r="A21389" s="3" t="inlineStr">
        <is>
          <t>1</t>
        </is>
      </c>
      <c r="B21389" s="3" t="inlineStr">
        <is>
          <t>"Pelat Strip t=2 6 mm L=12 cm"</t>
        </is>
      </c>
      <c r="C21389" s="3" t="inlineStr">
        <is>
          <t>buah</t>
        </is>
      </c>
      <c r="D21389" s="15" t="n">
        <v>80</v>
      </c>
      <c r="E21389" s="4" t="n">
        <v>21000</v>
      </c>
      <c r="F21389" s="4" t="n">
        <v>1680000</v>
      </c>
    </row>
    <row r="21390">
      <c r="A21390" s="3" t="inlineStr">
        <is>
          <t>"Pelat Strip t=2</t>
        </is>
      </c>
      <c r="B21390" s="3" t="inlineStr">
        <is>
          <t>6 mm L=14 cm"</t>
        </is>
      </c>
      <c r="C21390" s="3" t="inlineStr">
        <is>
          <t>buah</t>
        </is>
      </c>
      <c r="D21390" s="15" t="n">
        <v>24</v>
      </c>
      <c r="E21390" s="4" t="n">
        <v>29000</v>
      </c>
      <c r="F21390" s="4" t="n">
        <v>696000</v>
      </c>
    </row>
    <row r="21391">
      <c r="A21391" s="3" t="inlineStr">
        <is>
          <t>"Pelat Strip t=2</t>
        </is>
      </c>
      <c r="B21391" s="3" t="inlineStr">
        <is>
          <t>6 mm L=17 cm"</t>
        </is>
      </c>
      <c r="C21391" s="3" t="inlineStr">
        <is>
          <t>buah</t>
        </is>
      </c>
      <c r="D21391" s="15" t="n">
        <v>174</v>
      </c>
      <c r="E21391" s="4" t="n">
        <v>39000</v>
      </c>
      <c r="F21391" s="4" t="n">
        <v>6786000</v>
      </c>
    </row>
    <row r="21392">
      <c r="A21392" s="3" t="inlineStr">
        <is>
          <t>"Pelat Strip t=2</t>
        </is>
      </c>
      <c r="B21392" s="3" t="inlineStr">
        <is>
          <t>6 mm L=34 cm"</t>
        </is>
      </c>
      <c r="C21392" s="3" t="inlineStr">
        <is>
          <t>buah</t>
        </is>
      </c>
      <c r="D21392" s="15" t="n">
        <v>12</v>
      </c>
      <c r="E21392" s="4" t="n">
        <v>58000</v>
      </c>
      <c r="F21392" s="4" t="n">
        <v>696000</v>
      </c>
    </row>
    <row r="21393">
      <c r="A21393" s="3" t="inlineStr">
        <is>
          <t>1</t>
        </is>
      </c>
      <c r="B21393" s="3" t="inlineStr">
        <is>
          <t>Angkur Baja Full Drat ASTM 307 dia. 10 mm Panjang 35 cm</t>
        </is>
      </c>
      <c r="C21393" s="3" t="inlineStr">
        <is>
          <t>buah</t>
        </is>
      </c>
      <c r="D21393" s="15" t="n">
        <v>30</v>
      </c>
      <c r="E21393" s="4" t="n">
        <v>9200</v>
      </c>
      <c r="F21393" s="4" t="n">
        <v>276000</v>
      </c>
    </row>
    <row r="21394">
      <c r="A21394" s="3" t="inlineStr">
        <is>
          <t>2</t>
        </is>
      </c>
      <c r="B21394" s="3" t="inlineStr">
        <is>
          <t>Angkur Baja Full Drat ASTM 307 dia 10 mm Panjang 65 cm</t>
        </is>
      </c>
      <c r="C21394" s="3" t="inlineStr">
        <is>
          <t>buah</t>
        </is>
      </c>
      <c r="D21394" s="15" t="n">
        <v>15</v>
      </c>
      <c r="E21394" s="4" t="n">
        <v>18000</v>
      </c>
      <c r="F21394" s="4" t="n">
        <v>270000</v>
      </c>
    </row>
    <row r="21395">
      <c r="D21395" s="2" t="inlineStr">
        <is>
          <t>SUBTOTAL UPAH</t>
        </is>
      </c>
      <c r="F21395" s="16" t="n">
        <v>1133000</v>
      </c>
    </row>
    <row r="21396">
      <c r="D21396" s="2" t="inlineStr">
        <is>
          <t>SUBTOTAL BAHAN</t>
        </is>
      </c>
      <c r="F21396" s="16" t="n">
        <v>20963000</v>
      </c>
    </row>
    <row r="21397">
      <c r="D21397" s="2" t="inlineStr">
        <is>
          <t>SUBTOTAL ALAT</t>
        </is>
      </c>
      <c r="F21397" s="16" t="n">
        <v>0</v>
      </c>
    </row>
    <row r="21398">
      <c r="E21398" s="2" t="inlineStr">
        <is>
          <t>TOTAL HARGA SATUAN (Inc. Overhead)</t>
        </is>
      </c>
      <c r="F21398" s="17" t="n">
        <v>1965000</v>
      </c>
    </row>
    <row r="21400">
      <c r="A21400" s="14" t="inlineStr">
        <is>
          <t>KODE: 10.3.2 - Pekerjaan Perakitan Panel Modul T36 RISHA</t>
        </is>
      </c>
    </row>
    <row r="21401">
      <c r="A21401" s="10" t="inlineStr">
        <is>
          <t>No</t>
        </is>
      </c>
      <c r="B21401" s="10" t="inlineStr">
        <is>
          <t>Uraian Komponen</t>
        </is>
      </c>
      <c r="C21401" s="10" t="inlineStr">
        <is>
          <t>Satuan</t>
        </is>
      </c>
      <c r="D21401" s="10" t="inlineStr">
        <is>
          <t>Koef</t>
        </is>
      </c>
      <c r="E21401" s="10" t="inlineStr">
        <is>
          <t>Harga Satuan (Rp)</t>
        </is>
      </c>
      <c r="F21401" s="10" t="inlineStr">
        <is>
          <t>Jumlah Harga (Rp)</t>
        </is>
      </c>
    </row>
    <row r="21402">
      <c r="A21402" s="3" t="inlineStr">
        <is>
          <t>1</t>
        </is>
      </c>
      <c r="B21402" s="3" t="inlineStr">
        <is>
          <t>Pekerja</t>
        </is>
      </c>
      <c r="C21402" s="3" t="inlineStr">
        <is>
          <t>OH</t>
        </is>
      </c>
      <c r="D21402" s="15" t="n">
        <v>8</v>
      </c>
      <c r="E21402" s="4" t="n">
        <v>100000</v>
      </c>
      <c r="F21402" s="4" t="n">
        <v>800000</v>
      </c>
    </row>
    <row r="21403">
      <c r="A21403" s="3" t="inlineStr">
        <is>
          <t>2</t>
        </is>
      </c>
      <c r="B21403" s="3" t="inlineStr">
        <is>
          <t>Tukang batu</t>
        </is>
      </c>
      <c r="C21403" s="3" t="inlineStr">
        <is>
          <t>OH</t>
        </is>
      </c>
      <c r="D21403" s="15" t="n">
        <v>2</v>
      </c>
      <c r="E21403" s="4" t="n">
        <v>145000</v>
      </c>
      <c r="F21403" s="4" t="n">
        <v>290000</v>
      </c>
    </row>
    <row r="21404">
      <c r="A21404" s="3" t="inlineStr">
        <is>
          <t>3</t>
        </is>
      </c>
      <c r="B21404" s="3" t="inlineStr">
        <is>
          <t>Kepala tukang</t>
        </is>
      </c>
      <c r="C21404" s="3" t="inlineStr">
        <is>
          <t>OH</t>
        </is>
      </c>
      <c r="D21404" s="15" t="n">
        <v>0.2</v>
      </c>
      <c r="E21404" s="4" t="n">
        <v>175000</v>
      </c>
      <c r="F21404" s="4" t="n">
        <v>35000</v>
      </c>
    </row>
    <row r="21405">
      <c r="A21405" s="3" t="inlineStr">
        <is>
          <t>4</t>
        </is>
      </c>
      <c r="B21405" s="3" t="inlineStr">
        <is>
          <t>Mandor</t>
        </is>
      </c>
      <c r="C21405" s="3" t="inlineStr">
        <is>
          <t>OH</t>
        </is>
      </c>
      <c r="D21405" s="15" t="n">
        <v>0.4</v>
      </c>
      <c r="E21405" s="4" t="n">
        <v>200000</v>
      </c>
      <c r="F21405" s="4" t="n">
        <v>80000</v>
      </c>
    </row>
    <row r="21406">
      <c r="D21406" s="2" t="inlineStr">
        <is>
          <t>SUBTOTAL UPAH</t>
        </is>
      </c>
      <c r="F21406" s="16" t="n">
        <v>1205000</v>
      </c>
    </row>
    <row r="21407">
      <c r="D21407" s="2" t="inlineStr">
        <is>
          <t>SUBTOTAL BAHAN</t>
        </is>
      </c>
      <c r="F21407" s="16" t="n">
        <v>0</v>
      </c>
    </row>
    <row r="21408">
      <c r="D21408" s="2" t="inlineStr">
        <is>
          <t>SUBTOTAL ALAT</t>
        </is>
      </c>
      <c r="F21408" s="16" t="n">
        <v>0</v>
      </c>
    </row>
    <row r="21409">
      <c r="E21409" s="2" t="inlineStr">
        <is>
          <t>TOTAL HARGA SATUAN (Inc. Overhead)</t>
        </is>
      </c>
      <c r="F21409" s="17" t="n">
        <v>1325500</v>
      </c>
    </row>
  </sheetData>
  <mergeCells count="1656">
    <mergeCell ref="A4493:F4493"/>
    <mergeCell ref="A4188:F4188"/>
    <mergeCell ref="A17196:F17196"/>
    <mergeCell ref="A9162:F9162"/>
    <mergeCell ref="A9496:F9496"/>
    <mergeCell ref="A6948:F6948"/>
    <mergeCell ref="A20369:F20369"/>
    <mergeCell ref="A11906:F11906"/>
    <mergeCell ref="A7248:F7248"/>
    <mergeCell ref="A12967:F12967"/>
    <mergeCell ref="A15848:F15848"/>
    <mergeCell ref="A1658:F1658"/>
    <mergeCell ref="A20823:F20823"/>
    <mergeCell ref="A16605:F16605"/>
    <mergeCell ref="A16577:F16577"/>
    <mergeCell ref="A9393:F9393"/>
    <mergeCell ref="A10881:F10881"/>
    <mergeCell ref="A13447:F13447"/>
    <mergeCell ref="A9544:F9544"/>
    <mergeCell ref="A11208:F11208"/>
    <mergeCell ref="A10149:F10149"/>
    <mergeCell ref="A13747:F13747"/>
    <mergeCell ref="A13783:F13783"/>
    <mergeCell ref="A19510:F19510"/>
    <mergeCell ref="A206:F206"/>
    <mergeCell ref="A4565:F4565"/>
    <mergeCell ref="A2449:F2449"/>
    <mergeCell ref="A14047:F14047"/>
    <mergeCell ref="A15992:F15992"/>
    <mergeCell ref="A14083:F14083"/>
    <mergeCell ref="A20239:F20239"/>
    <mergeCell ref="A18750:F18750"/>
    <mergeCell ref="A14833:F14833"/>
    <mergeCell ref="A11349:F11349"/>
    <mergeCell ref="A6558:F6558"/>
    <mergeCell ref="A9562:F9562"/>
    <mergeCell ref="A18323:F18323"/>
    <mergeCell ref="A11566:F11566"/>
    <mergeCell ref="A14107:F14107"/>
    <mergeCell ref="A20893:F20893"/>
    <mergeCell ref="A15193:F15193"/>
    <mergeCell ref="A217:F217"/>
    <mergeCell ref="A19652:F19652"/>
    <mergeCell ref="A17280:F17280"/>
    <mergeCell ref="A19108:F19108"/>
    <mergeCell ref="A15493:F15493"/>
    <mergeCell ref="A1155:F1155"/>
    <mergeCell ref="A16220:F16220"/>
    <mergeCell ref="A20250:F20250"/>
    <mergeCell ref="A7032:F7032"/>
    <mergeCell ref="A6277:F6277"/>
    <mergeCell ref="A20619:F20619"/>
    <mergeCell ref="A9763:F9763"/>
    <mergeCell ref="A19279:F19279"/>
    <mergeCell ref="A8093:F8093"/>
    <mergeCell ref="A8731:F8731"/>
    <mergeCell ref="A7332:F7332"/>
    <mergeCell ref="A9915:F9915"/>
    <mergeCell ref="A11579:F11579"/>
    <mergeCell ref="A15932:F15932"/>
    <mergeCell ref="A12306:F12306"/>
    <mergeCell ref="A10221:F10221"/>
    <mergeCell ref="A4517:F4517"/>
    <mergeCell ref="A20608:F20608"/>
    <mergeCell ref="A1333:F1333"/>
    <mergeCell ref="A4083:F4083"/>
    <mergeCell ref="A20034:F20034"/>
    <mergeCell ref="A18816:F18816"/>
    <mergeCell ref="A20937:F20937"/>
    <mergeCell ref="A10389:F10389"/>
    <mergeCell ref="A9634:F9634"/>
    <mergeCell ref="A17336:F17336"/>
    <mergeCell ref="A21154:F21154"/>
    <mergeCell ref="A4812:F4812"/>
    <mergeCell ref="A11930:F11930"/>
    <mergeCell ref="A15205:F15205"/>
    <mergeCell ref="A298:F298"/>
    <mergeCell ref="A17448:F17448"/>
    <mergeCell ref="A20849:F20849"/>
    <mergeCell ref="A10689:F10689"/>
    <mergeCell ref="A8141:F8141"/>
    <mergeCell ref="A12991:F12991"/>
    <mergeCell ref="A11714:F11714"/>
    <mergeCell ref="A1359:F1359"/>
    <mergeCell ref="A14473:F14473"/>
    <mergeCell ref="A10989:F10989"/>
    <mergeCell ref="A1684:F1684"/>
    <mergeCell ref="A4688:F4688"/>
    <mergeCell ref="A8899:F8899"/>
    <mergeCell ref="A2140:F2140"/>
    <mergeCell ref="A16620:F16620"/>
    <mergeCell ref="A4227:F4227"/>
    <mergeCell ref="A7404:F7404"/>
    <mergeCell ref="A14317:F14317"/>
    <mergeCell ref="A13135:F13135"/>
    <mergeCell ref="A18862:F18862"/>
    <mergeCell ref="A12618:F12618"/>
    <mergeCell ref="A16648:F16648"/>
    <mergeCell ref="A6100:F6100"/>
    <mergeCell ref="A2887:F2887"/>
    <mergeCell ref="A19345:F19345"/>
    <mergeCell ref="A19521:F19521"/>
    <mergeCell ref="A1398:F1398"/>
    <mergeCell ref="A9586:F9586"/>
    <mergeCell ref="A9246:F9246"/>
    <mergeCell ref="A9700:F9700"/>
    <mergeCell ref="A18461:F18461"/>
    <mergeCell ref="A3187:F3187"/>
    <mergeCell ref="A10305:F10305"/>
    <mergeCell ref="A14245:F14245"/>
    <mergeCell ref="A18034:F18034"/>
    <mergeCell ref="A20915:F20915"/>
    <mergeCell ref="A18761:F18761"/>
    <mergeCell ref="A13063:F13063"/>
    <mergeCell ref="A14545:F14545"/>
    <mergeCell ref="A15001:F15001"/>
    <mergeCell ref="A17462:F17462"/>
    <mergeCell ref="A12086:F12086"/>
    <mergeCell ref="A12462:F12462"/>
    <mergeCell ref="A14845:F14845"/>
    <mergeCell ref="A7056:F7056"/>
    <mergeCell ref="A15301:F15301"/>
    <mergeCell ref="A18060:F18060"/>
    <mergeCell ref="A18358:F18358"/>
    <mergeCell ref="A7145:F7145"/>
    <mergeCell ref="A8081:F8081"/>
    <mergeCell ref="A8117:F8117"/>
    <mergeCell ref="A8239:F8239"/>
    <mergeCell ref="A7356:F7356"/>
    <mergeCell ref="A5271:F5271"/>
    <mergeCell ref="A6296:F6296"/>
    <mergeCell ref="A13531:F13531"/>
    <mergeCell ref="A2812:F2812"/>
    <mergeCell ref="A8539:F8539"/>
    <mergeCell ref="A6630:F6630"/>
    <mergeCell ref="A15361:F15361"/>
    <mergeCell ref="A8875:F8875"/>
    <mergeCell ref="A11283:F11283"/>
    <mergeCell ref="A9198:F9198"/>
    <mergeCell ref="A13111:F13111"/>
    <mergeCell ref="A20959:F20959"/>
    <mergeCell ref="A18202:F18202"/>
    <mergeCell ref="A6314:F6314"/>
    <mergeCell ref="A3172:F3172"/>
    <mergeCell ref="A19901:F19901"/>
    <mergeCell ref="A10713:F10713"/>
    <mergeCell ref="A17687:F17687"/>
    <mergeCell ref="A8165:F8165"/>
    <mergeCell ref="A11738:F11738"/>
    <mergeCell ref="A11774:F11774"/>
    <mergeCell ref="A6467:F6467"/>
    <mergeCell ref="A11013:F11013"/>
    <mergeCell ref="A11311:F11311"/>
    <mergeCell ref="A12799:F12799"/>
    <mergeCell ref="A19156:F19156"/>
    <mergeCell ref="A12074:F12074"/>
    <mergeCell ref="A308:F308"/>
    <mergeCell ref="A20674:F20674"/>
    <mergeCell ref="A6185:F6185"/>
    <mergeCell ref="A14185:F14185"/>
    <mergeCell ref="A6912:F6912"/>
    <mergeCell ref="A16944:F16944"/>
    <mergeCell ref="A19914:F19914"/>
    <mergeCell ref="A7212:F7212"/>
    <mergeCell ref="A10269:F10269"/>
    <mergeCell ref="A364:F364"/>
    <mergeCell ref="A6996:F6996"/>
    <mergeCell ref="A13615:F13615"/>
    <mergeCell ref="A16488:F16488"/>
    <mergeCell ref="A4268:F4268"/>
    <mergeCell ref="A17084:F17084"/>
    <mergeCell ref="A16052:F16052"/>
    <mergeCell ref="A18268:F18268"/>
    <mergeCell ref="A12426:F12426"/>
    <mergeCell ref="A7896:F7896"/>
    <mergeCell ref="A2782:F2782"/>
    <mergeCell ref="A20272:F20272"/>
    <mergeCell ref="A18602:F18602"/>
    <mergeCell ref="A18783:F18783"/>
    <mergeCell ref="A2185:F2185"/>
    <mergeCell ref="A20904:F20904"/>
    <mergeCell ref="A5058:F5058"/>
    <mergeCell ref="A10785:F10785"/>
    <mergeCell ref="A12138:F12138"/>
    <mergeCell ref="A12871:F12871"/>
    <mergeCell ref="A4736:F4736"/>
    <mergeCell ref="A17112:F17112"/>
    <mergeCell ref="A9598:F9598"/>
    <mergeCell ref="A13951:F13951"/>
    <mergeCell ref="A7169:F7169"/>
    <mergeCell ref="A20283:F20283"/>
    <mergeCell ref="A16088:F16088"/>
    <mergeCell ref="A19680:F19680"/>
    <mergeCell ref="A16500:F16500"/>
    <mergeCell ref="A20020:F20020"/>
    <mergeCell ref="A6443:F6443"/>
    <mergeCell ref="A18498:F18498"/>
    <mergeCell ref="A20443:F20443"/>
    <mergeCell ref="A3895:F3895"/>
    <mergeCell ref="A7950:F7950"/>
    <mergeCell ref="A13555:F13555"/>
    <mergeCell ref="A19411:F19411"/>
    <mergeCell ref="A7498:F7498"/>
    <mergeCell ref="A10064:F10064"/>
    <mergeCell ref="A13855:F13855"/>
    <mergeCell ref="A421:F421"/>
    <mergeCell ref="A1909:F1909"/>
    <mergeCell ref="A7549:F7549"/>
    <mergeCell ref="A19610:F19610"/>
    <mergeCell ref="A20162:F20162"/>
    <mergeCell ref="A16424:F16424"/>
    <mergeCell ref="A4335:F4335"/>
    <mergeCell ref="A7849:F7849"/>
    <mergeCell ref="A5397:F5397"/>
    <mergeCell ref="A18213:F18213"/>
    <mergeCell ref="A7088:F7088"/>
    <mergeCell ref="A9337:F9337"/>
    <mergeCell ref="A12210:F12210"/>
    <mergeCell ref="A20971:F20971"/>
    <mergeCell ref="A14155:F14155"/>
    <mergeCell ref="A12510:F12510"/>
    <mergeCell ref="A10425:F10425"/>
    <mergeCell ref="A5019:F5019"/>
    <mergeCell ref="A3322:F3322"/>
    <mergeCell ref="A21110:F21110"/>
    <mergeCell ref="A19323:F19323"/>
    <mergeCell ref="A3751:F3751"/>
    <mergeCell ref="A14209:F14209"/>
    <mergeCell ref="A10725:F10725"/>
    <mergeCell ref="A16452:F16452"/>
    <mergeCell ref="A2560:F2560"/>
    <mergeCell ref="A3968:F3968"/>
    <mergeCell ref="A14023:F14023"/>
    <mergeCell ref="A3532:F3532"/>
    <mergeCell ref="A14509:F14509"/>
    <mergeCell ref="A7997:F7997"/>
    <mergeCell ref="A4724:F4724"/>
    <mergeCell ref="A12895:F12895"/>
    <mergeCell ref="A15409:F15409"/>
    <mergeCell ref="A379:F379"/>
    <mergeCell ref="A13195:F13195"/>
    <mergeCell ref="A18922:F18922"/>
    <mergeCell ref="A14677:F14677"/>
    <mergeCell ref="A18626:F18626"/>
    <mergeCell ref="A13495:F13495"/>
    <mergeCell ref="A2947:F2947"/>
    <mergeCell ref="A6222:F6222"/>
    <mergeCell ref="A5619:F5619"/>
    <mergeCell ref="A5795:F5795"/>
    <mergeCell ref="A6433:F6433"/>
    <mergeCell ref="A3981:F3981"/>
    <mergeCell ref="A20414:F20414"/>
    <mergeCell ref="A3247:F3247"/>
    <mergeCell ref="A7792:F7792"/>
    <mergeCell ref="A12282:F12282"/>
    <mergeCell ref="A3547:F3547"/>
    <mergeCell ref="A13039:F13039"/>
    <mergeCell ref="A13975:F13975"/>
    <mergeCell ref="A12582:F12582"/>
    <mergeCell ref="A17882:F17882"/>
    <mergeCell ref="A1922:F1922"/>
    <mergeCell ref="A3692:F3692"/>
    <mergeCell ref="A13339:F13339"/>
    <mergeCell ref="A14281:F14281"/>
    <mergeCell ref="A17490:F17490"/>
    <mergeCell ref="A4359:F4359"/>
    <mergeCell ref="A6873:F6873"/>
    <mergeCell ref="A18334:F18334"/>
    <mergeCell ref="A18638:F18638"/>
    <mergeCell ref="A89:F89"/>
    <mergeCell ref="A2932:F2932"/>
    <mergeCell ref="A13363:F13363"/>
    <mergeCell ref="A15481:F15481"/>
    <mergeCell ref="A14449:F14449"/>
    <mergeCell ref="A13663:F13663"/>
    <mergeCell ref="A2694:F2694"/>
    <mergeCell ref="A7121:F7121"/>
    <mergeCell ref="A14749:F14749"/>
    <mergeCell ref="A18235:F18235"/>
    <mergeCell ref="A1935:F1935"/>
    <mergeCell ref="A19085:F19085"/>
    <mergeCell ref="A15049:F15049"/>
    <mergeCell ref="A8021:F8021"/>
    <mergeCell ref="A19120:F19120"/>
    <mergeCell ref="A5106:F5106"/>
    <mergeCell ref="A10833:F10833"/>
    <mergeCell ref="A15812:F15812"/>
    <mergeCell ref="A4372:F4372"/>
    <mergeCell ref="A6594:F6594"/>
    <mergeCell ref="A11894:F11894"/>
    <mergeCell ref="A10101:F10101"/>
    <mergeCell ref="A8287:F8287"/>
    <mergeCell ref="A15836:F15836"/>
    <mergeCell ref="A7561:F7561"/>
    <mergeCell ref="A464:F464"/>
    <mergeCell ref="A2155:F2155"/>
    <mergeCell ref="A2286:F2286"/>
    <mergeCell ref="A16136:F16136"/>
    <mergeCell ref="A4529:F4529"/>
    <mergeCell ref="A2620:F2620"/>
    <mergeCell ref="A19466:F19466"/>
    <mergeCell ref="A1104:F1104"/>
    <mergeCell ref="A2709:F2709"/>
    <mergeCell ref="A19736:F19736"/>
    <mergeCell ref="A17651:F17651"/>
    <mergeCell ref="A799:F799"/>
    <mergeCell ref="A21165:F21165"/>
    <mergeCell ref="A17224:F17224"/>
    <mergeCell ref="A9951:F9951"/>
    <mergeCell ref="A18706:F18706"/>
    <mergeCell ref="A20710:F20710"/>
    <mergeCell ref="A13735:F13735"/>
    <mergeCell ref="A11942:F11942"/>
    <mergeCell ref="A11223:F11223"/>
    <mergeCell ref="A9824:F9824"/>
    <mergeCell ref="A14821:F14821"/>
    <mergeCell ref="A14035:F14035"/>
    <mergeCell ref="A3487:F3487"/>
    <mergeCell ref="A13003:F13003"/>
    <mergeCell ref="A519:F519"/>
    <mergeCell ref="A15121:F15121"/>
    <mergeCell ref="A17364:F17364"/>
    <mergeCell ref="A2000:F2000"/>
    <mergeCell ref="A17252:F17252"/>
    <mergeCell ref="A1275:F1275"/>
    <mergeCell ref="A19063:F19063"/>
    <mergeCell ref="A10173:F10173"/>
    <mergeCell ref="A9114:F9114"/>
    <mergeCell ref="A11363:F11363"/>
    <mergeCell ref="A20118:F20118"/>
    <mergeCell ref="A9877:F9877"/>
    <mergeCell ref="A10473:F10473"/>
    <mergeCell ref="A2902:F2902"/>
    <mergeCell ref="A17995:F17995"/>
    <mergeCell ref="A3202:F3202"/>
    <mergeCell ref="A20151:F20151"/>
    <mergeCell ref="A6259:F6259"/>
    <mergeCell ref="A4174:F4174"/>
    <mergeCell ref="A12174:F12174"/>
    <mergeCell ref="A16533:F16533"/>
    <mergeCell ref="A2992:F2992"/>
    <mergeCell ref="A9903:F9903"/>
    <mergeCell ref="A3442:F3442"/>
    <mergeCell ref="A4772:F4772"/>
    <mergeCell ref="A20048:F20048"/>
    <mergeCell ref="A12014:F12014"/>
    <mergeCell ref="A14773:F14773"/>
    <mergeCell ref="A13075:F13075"/>
    <mergeCell ref="A1619:F1619"/>
    <mergeCell ref="A15073:F15073"/>
    <mergeCell ref="A17322:F17322"/>
    <mergeCell ref="A14593:F14593"/>
    <mergeCell ref="A15529:F15529"/>
    <mergeCell ref="A13375:F13375"/>
    <mergeCell ref="A20195:F20195"/>
    <mergeCell ref="A4948:F4948"/>
    <mergeCell ref="A21379:F21379"/>
    <mergeCell ref="A16292:F16292"/>
    <mergeCell ref="A14893:F14893"/>
    <mergeCell ref="A14461:F14461"/>
    <mergeCell ref="A3127:F3127"/>
    <mergeCell ref="A7673:F7673"/>
    <mergeCell ref="A1212:F1212"/>
    <mergeCell ref="A7831:F7831"/>
    <mergeCell ref="A9484:F9484"/>
    <mergeCell ref="A8129:F8129"/>
    <mergeCell ref="A7368:F7368"/>
    <mergeCell ref="A9520:F9520"/>
    <mergeCell ref="A11605:F11605"/>
    <mergeCell ref="A10545:F10545"/>
    <mergeCell ref="A12666:F12666"/>
    <mergeCell ref="A1541:F1541"/>
    <mergeCell ref="A6642:F6642"/>
    <mergeCell ref="A2084:F2084"/>
    <mergeCell ref="A10845:F10845"/>
    <mergeCell ref="A15373:F15373"/>
    <mergeCell ref="A17756:F17756"/>
    <mergeCell ref="A19191:F19191"/>
    <mergeCell ref="A20217:F20217"/>
    <mergeCell ref="A18728:F18728"/>
    <mergeCell ref="A1238:F1238"/>
    <mergeCell ref="A7296:F7296"/>
    <mergeCell ref="A18850:F18850"/>
    <mergeCell ref="A6326:F6326"/>
    <mergeCell ref="A19791:F19791"/>
    <mergeCell ref="A1385:F1385"/>
    <mergeCell ref="A4541:F4541"/>
    <mergeCell ref="A8359:F8359"/>
    <mergeCell ref="A12414:F12414"/>
    <mergeCell ref="A9841:F9841"/>
    <mergeCell ref="A16661:F16661"/>
    <mergeCell ref="A15145:F15145"/>
    <mergeCell ref="A659:F659"/>
    <mergeCell ref="A19202:F19202"/>
    <mergeCell ref="A15691:F15691"/>
    <mergeCell ref="A12714:F12714"/>
    <mergeCell ref="A3838:F3838"/>
    <mergeCell ref="A15445:F15445"/>
    <mergeCell ref="A14413:F14413"/>
    <mergeCell ref="A3796:F3796"/>
    <mergeCell ref="A10197:F10197"/>
    <mergeCell ref="A5952:F5952"/>
    <mergeCell ref="A9472:F9472"/>
    <mergeCell ref="A14533:F14533"/>
    <mergeCell ref="A10497:F10497"/>
    <mergeCell ref="A8045:F8045"/>
    <mergeCell ref="A8203:F8203"/>
    <mergeCell ref="A10953:F10953"/>
    <mergeCell ref="A4440:F4440"/>
    <mergeCell ref="A2797:F2797"/>
    <mergeCell ref="A2042:F2042"/>
    <mergeCell ref="A15613:F15613"/>
    <mergeCell ref="A18073:F18073"/>
    <mergeCell ref="A16376:F16376"/>
    <mergeCell ref="A338:F338"/>
    <mergeCell ref="A854:F854"/>
    <mergeCell ref="A16674:F16674"/>
    <mergeCell ref="A16796:F16796"/>
    <mergeCell ref="A17014:F17014"/>
    <mergeCell ref="A3097:F3097"/>
    <mergeCell ref="A1012:F1012"/>
    <mergeCell ref="A16972:F16972"/>
    <mergeCell ref="A18371:F18371"/>
    <mergeCell ref="A555:F555"/>
    <mergeCell ref="A7458:F7458"/>
    <mergeCell ref="A21045:F21045"/>
    <mergeCell ref="A21343:F21343"/>
    <mergeCell ref="A18673:F18673"/>
    <mergeCell ref="A17098:F17098"/>
    <mergeCell ref="A6726:F6726"/>
    <mergeCell ref="A19400:F19400"/>
    <mergeCell ref="A19558:F19558"/>
    <mergeCell ref="A9186:F9186"/>
    <mergeCell ref="A14581:F14581"/>
    <mergeCell ref="A14617:F14617"/>
    <mergeCell ref="A1023:F1023"/>
    <mergeCell ref="A11702:F11702"/>
    <mergeCell ref="A122:F122"/>
    <mergeCell ref="A14881:F14881"/>
    <mergeCell ref="A18086:F18086"/>
    <mergeCell ref="A2722:F2722"/>
    <mergeCell ref="A1752:F1752"/>
    <mergeCell ref="A18246:F18246"/>
    <mergeCell ref="A3022:F3022"/>
    <mergeCell ref="A17028:F17028"/>
    <mergeCell ref="A8443:F8443"/>
    <mergeCell ref="A11001:F11001"/>
    <mergeCell ref="A12654:F12654"/>
    <mergeCell ref="A10569:F10569"/>
    <mergeCell ref="A11630:F11630"/>
    <mergeCell ref="A10353:F10353"/>
    <mergeCell ref="A10869:F10869"/>
    <mergeCell ref="A13867:F13867"/>
    <mergeCell ref="A12474:F12474"/>
    <mergeCell ref="A14953:F14953"/>
    <mergeCell ref="A16748:F16748"/>
    <mergeCell ref="A17168:F17168"/>
    <mergeCell ref="A19927:F19927"/>
    <mergeCell ref="A5737:F5737"/>
    <mergeCell ref="A15253:F15253"/>
    <mergeCell ref="A6035:F6035"/>
    <mergeCell ref="A17056:F17056"/>
    <mergeCell ref="A3925:F3925"/>
    <mergeCell ref="A18739:F18739"/>
    <mergeCell ref="A2737:F2737"/>
    <mergeCell ref="A12098:F12098"/>
    <mergeCell ref="A6984:F6984"/>
    <mergeCell ref="A8491:F8491"/>
    <mergeCell ref="A20527:F20527"/>
    <mergeCell ref="A12738:F12738"/>
    <mergeCell ref="A18886:F18886"/>
    <mergeCell ref="A4283:F4283"/>
    <mergeCell ref="A18158:F18158"/>
    <mergeCell ref="A14989:F14989"/>
    <mergeCell ref="A10437:F10437"/>
    <mergeCell ref="A6824:F6824"/>
    <mergeCell ref="A16340:F16340"/>
    <mergeCell ref="A678:F678"/>
    <mergeCell ref="A19213:F19213"/>
    <mergeCell ref="A19940:F19940"/>
    <mergeCell ref="A5033:F5033"/>
    <mergeCell ref="A9270:F9270"/>
    <mergeCell ref="A13183:F13183"/>
    <mergeCell ref="A12126:F12126"/>
    <mergeCell ref="A13639:F13639"/>
    <mergeCell ref="A20309:F20309"/>
    <mergeCell ref="A6392:F6392"/>
    <mergeCell ref="A7485:F7485"/>
    <mergeCell ref="A13483:F13483"/>
    <mergeCell ref="A10341:F10341"/>
    <mergeCell ref="A13939:F13939"/>
    <mergeCell ref="A17728:F17728"/>
    <mergeCell ref="A15421:F15421"/>
    <mergeCell ref="A3996:F3996"/>
    <mergeCell ref="A17154:F17154"/>
    <mergeCell ref="A15457:F15457"/>
    <mergeCell ref="A1125:F1125"/>
    <mergeCell ref="A3262:F3262"/>
    <mergeCell ref="A10209:F10209"/>
    <mergeCell ref="A19966:F19966"/>
    <mergeCell ref="A13207:F13207"/>
    <mergeCell ref="A7780:F7780"/>
    <mergeCell ref="A18486:F18486"/>
    <mergeCell ref="A7938:F7938"/>
    <mergeCell ref="A15325:F15325"/>
    <mergeCell ref="A3562:F3562"/>
    <mergeCell ref="A4454:F4454"/>
    <mergeCell ref="A6750:F6750"/>
    <mergeCell ref="A10377:F10377"/>
    <mergeCell ref="A9622:F9622"/>
    <mergeCell ref="A11419:F11419"/>
    <mergeCell ref="A10677:F10677"/>
    <mergeCell ref="A17812:F17812"/>
    <mergeCell ref="A15956:F15956"/>
    <mergeCell ref="A12594:F12594"/>
    <mergeCell ref="A17140:F17140"/>
    <mergeCell ref="A3292:F3292"/>
    <mergeCell ref="A3590:F3590"/>
    <mergeCell ref="A744:F744"/>
    <mergeCell ref="A7224:F7224"/>
    <mergeCell ref="A18568:F18568"/>
    <mergeCell ref="A1034:F1034"/>
    <mergeCell ref="A4676:F4676"/>
    <mergeCell ref="A20354:F20354"/>
    <mergeCell ref="A1805:F1805"/>
    <mergeCell ref="A8923:F8923"/>
    <mergeCell ref="A7109:F7109"/>
    <mergeCell ref="A7524:F7524"/>
    <mergeCell ref="A17798:F17798"/>
    <mergeCell ref="A4976:F4976"/>
    <mergeCell ref="A5868:F5868"/>
    <mergeCell ref="A7741:F7741"/>
    <mergeCell ref="A6166:F6166"/>
    <mergeCell ref="A8251:F8251"/>
    <mergeCell ref="A12498:F12498"/>
    <mergeCell ref="A10413:F10413"/>
    <mergeCell ref="A14011:F14011"/>
    <mergeCell ref="A12823:F12823"/>
    <mergeCell ref="A15704:F15704"/>
    <mergeCell ref="A1489:F1489"/>
    <mergeCell ref="A13279:F13279"/>
    <mergeCell ref="A14305:F14305"/>
    <mergeCell ref="A17070:F17070"/>
    <mergeCell ref="A18123:F18123"/>
    <mergeCell ref="A13123:F13123"/>
    <mergeCell ref="A2575:F2575"/>
    <mergeCell ref="A13579:F13579"/>
    <mergeCell ref="A20399:F20399"/>
    <mergeCell ref="A9065:F9065"/>
    <mergeCell ref="A17826:F17826"/>
    <mergeCell ref="A3217:F3217"/>
    <mergeCell ref="A1818:F1818"/>
    <mergeCell ref="A14365:F14365"/>
    <mergeCell ref="A12246:F12246"/>
    <mergeCell ref="A14665:F14665"/>
    <mergeCell ref="A10749:F10749"/>
    <mergeCell ref="A7878:F7878"/>
    <mergeCell ref="A12546:F12546"/>
    <mergeCell ref="A19455:F19455"/>
    <mergeCell ref="A11049:F11049"/>
    <mergeCell ref="A1114:F1114"/>
    <mergeCell ref="A19666:F19666"/>
    <mergeCell ref="A6545:F6545"/>
    <mergeCell ref="A1450:F1450"/>
    <mergeCell ref="A7133:F7133"/>
    <mergeCell ref="A10653:F10653"/>
    <mergeCell ref="A9078:F9078"/>
    <mergeCell ref="A8323:F8323"/>
    <mergeCell ref="A105:F105"/>
    <mergeCell ref="A6536:F6536"/>
    <mergeCell ref="A6837:F6837"/>
    <mergeCell ref="A10016:F10016"/>
    <mergeCell ref="A11540:F11540"/>
    <mergeCell ref="A16208:F16208"/>
    <mergeCell ref="A13231:F13231"/>
    <mergeCell ref="A407:F407"/>
    <mergeCell ref="A827:F827"/>
    <mergeCell ref="A4347:F4347"/>
    <mergeCell ref="A2650:F2650"/>
    <mergeCell ref="A16408:F16408"/>
    <mergeCell ref="A20140:F20140"/>
    <mergeCell ref="A6861:F6861"/>
    <mergeCell ref="A19835:F19835"/>
    <mergeCell ref="A13651:F13651"/>
    <mergeCell ref="A5837:F5837"/>
    <mergeCell ref="A11433:F11433"/>
    <mergeCell ref="A14437:F14437"/>
    <mergeCell ref="A4649:F4649"/>
    <mergeCell ref="A9010:F9010"/>
    <mergeCell ref="A14737:F14737"/>
    <mergeCell ref="A10701:F10701"/>
    <mergeCell ref="A11253:F11253"/>
    <mergeCell ref="A20652:F20652"/>
    <mergeCell ref="A11762:F11762"/>
    <mergeCell ref="A15037:F15037"/>
    <mergeCell ref="A11553:F11553"/>
    <mergeCell ref="A15764:F15764"/>
    <mergeCell ref="A4700:F4700"/>
    <mergeCell ref="A3307:F3307"/>
    <mergeCell ref="A2546:F2546"/>
    <mergeCell ref="A12062:F12062"/>
    <mergeCell ref="A3736:F3736"/>
    <mergeCell ref="A21097:F21097"/>
    <mergeCell ref="A8275:F8275"/>
    <mergeCell ref="A7960:F7960"/>
    <mergeCell ref="A19006:F19006"/>
    <mergeCell ref="A11148:F11148"/>
    <mergeCell ref="A6061:F6061"/>
    <mergeCell ref="A6361:F6361"/>
    <mergeCell ref="A1198:F1198"/>
    <mergeCell ref="A11447:F11447"/>
    <mergeCell ref="A17210:F17210"/>
    <mergeCell ref="A1961:F1961"/>
    <mergeCell ref="A929:F929"/>
    <mergeCell ref="A13603:F13603"/>
    <mergeCell ref="A472:F472"/>
    <mergeCell ref="A11178:F11178"/>
    <mergeCell ref="A6506:F6506"/>
    <mergeCell ref="A19444:F19444"/>
    <mergeCell ref="A13903:F13903"/>
    <mergeCell ref="A772:F772"/>
    <mergeCell ref="A5440:F5440"/>
    <mergeCell ref="A19780:F19780"/>
    <mergeCell ref="A6203:F6203"/>
    <mergeCell ref="A1987:F1987"/>
    <mergeCell ref="A10257:F10257"/>
    <mergeCell ref="A11834:F11834"/>
    <mergeCell ref="A15109:F15109"/>
    <mergeCell ref="A16591:F16591"/>
    <mergeCell ref="A17982:F17982"/>
    <mergeCell ref="A14377:F14377"/>
    <mergeCell ref="A20104:F20104"/>
    <mergeCell ref="A18290:F18290"/>
    <mergeCell ref="A7157:F7157"/>
    <mergeCell ref="A9102:F9102"/>
    <mergeCell ref="A16076:F16076"/>
    <mergeCell ref="A18021:F18021"/>
    <mergeCell ref="A6127:F6127"/>
    <mergeCell ref="A10461:F10461"/>
    <mergeCell ref="A19378:F19378"/>
    <mergeCell ref="A11678:F11678"/>
    <mergeCell ref="A15788:F15788"/>
    <mergeCell ref="A1185:F1185"/>
    <mergeCell ref="A2369:F2369"/>
    <mergeCell ref="A11978:F11978"/>
    <mergeCell ref="A880:F880"/>
    <mergeCell ref="A4760:F4760"/>
    <mergeCell ref="A8815:F8815"/>
    <mergeCell ref="A20457:F20457"/>
    <mergeCell ref="A15920:F15920"/>
    <mergeCell ref="A9787:F9787"/>
    <mergeCell ref="A7973:F7973"/>
    <mergeCell ref="A7755:F7755"/>
    <mergeCell ref="A2326:F2326"/>
    <mergeCell ref="A21220:F21220"/>
    <mergeCell ref="A4053:F4053"/>
    <mergeCell ref="A12002:F12002"/>
    <mergeCell ref="A21176:F21176"/>
    <mergeCell ref="A19389:F19389"/>
    <mergeCell ref="A12330:F12330"/>
    <mergeCell ref="A3412:F3412"/>
    <mergeCell ref="A268:F268"/>
    <mergeCell ref="A10088:F10088"/>
    <mergeCell ref="A14143:F14143"/>
    <mergeCell ref="A16902:F16902"/>
    <mergeCell ref="A17629:F17629"/>
    <mergeCell ref="A139:F139"/>
    <mergeCell ref="A12955:F12955"/>
    <mergeCell ref="A17420:F17420"/>
    <mergeCell ref="A4386:F4386"/>
    <mergeCell ref="A7686:F7686"/>
    <mergeCell ref="A19722:F19722"/>
    <mergeCell ref="A9174:F9174"/>
    <mergeCell ref="A21231:F21231"/>
    <mergeCell ref="A6960:F6960"/>
    <mergeCell ref="A4800:F4800"/>
    <mergeCell ref="A7985:F7985"/>
    <mergeCell ref="A7260:F7260"/>
    <mergeCell ref="A2827:F2827"/>
    <mergeCell ref="A4712:F4712"/>
    <mergeCell ref="A15860:F15860"/>
    <mergeCell ref="A19890:F19890"/>
    <mergeCell ref="A17640:F17640"/>
    <mergeCell ref="A2014:F2014"/>
    <mergeCell ref="A16160:F16160"/>
    <mergeCell ref="A19802:F19802"/>
    <mergeCell ref="A3642:F3642"/>
    <mergeCell ref="A17350:F17350"/>
    <mergeCell ref="A8887:F8887"/>
    <mergeCell ref="A19041:F19041"/>
    <mergeCell ref="A4826:F4826"/>
    <mergeCell ref="A18534:F18534"/>
    <mergeCell ref="A1671:F1671"/>
    <mergeCell ref="A20836:F20836"/>
    <mergeCell ref="A2436:F2436"/>
    <mergeCell ref="A3766:F3766"/>
    <mergeCell ref="A16916:F16916"/>
    <mergeCell ref="A4398:F4398"/>
    <mergeCell ref="A19132:F19132"/>
    <mergeCell ref="A12402:F12402"/>
    <mergeCell ref="A8455:F8455"/>
    <mergeCell ref="A7700:F7700"/>
    <mergeCell ref="A10161:F10161"/>
    <mergeCell ref="A4854:F4854"/>
    <mergeCell ref="A10581:F10581"/>
    <mergeCell ref="A12702:F12702"/>
    <mergeCell ref="A10617:F10617"/>
    <mergeCell ref="A20860:F20860"/>
    <mergeCell ref="A3397:F3397"/>
    <mergeCell ref="A11642:F11642"/>
    <mergeCell ref="A14401:F14401"/>
    <mergeCell ref="A10917:F10917"/>
    <mergeCell ref="A2752:F2752"/>
    <mergeCell ref="A965:F965"/>
    <mergeCell ref="A14701:F14701"/>
    <mergeCell ref="A15157:F15157"/>
    <mergeCell ref="A3052:F3052"/>
    <mergeCell ref="A16028:F16028"/>
    <mergeCell ref="A5214:F5214"/>
    <mergeCell ref="A3517:F3517"/>
    <mergeCell ref="A6240:F6240"/>
    <mergeCell ref="A18301:F18301"/>
    <mergeCell ref="A21007:F21007"/>
    <mergeCell ref="A10629:F10629"/>
    <mergeCell ref="A15601:F15601"/>
    <mergeCell ref="A16328:F16328"/>
    <mergeCell ref="A13351:F13351"/>
    <mergeCell ref="A11268:F11268"/>
    <mergeCell ref="A3112:F3112"/>
    <mergeCell ref="A2384:F2384"/>
    <mergeCell ref="A19545:F19545"/>
    <mergeCell ref="A21198:F21198"/>
    <mergeCell ref="A868:F868"/>
    <mergeCell ref="A591:F591"/>
    <mergeCell ref="A17714:F17714"/>
    <mergeCell ref="A3866:F3866"/>
    <mergeCell ref="A1712:F1712"/>
    <mergeCell ref="A4295:F4295"/>
    <mergeCell ref="A6714:F6714"/>
    <mergeCell ref="A19747:F19747"/>
    <mergeCell ref="A4893:F4893"/>
    <mergeCell ref="A9799:F9799"/>
    <mergeCell ref="A619:F619"/>
    <mergeCell ref="A17742:F17742"/>
    <mergeCell ref="A2397:F2397"/>
    <mergeCell ref="A4613:F4613"/>
    <mergeCell ref="A21071:F21071"/>
    <mergeCell ref="A12342:F12342"/>
    <mergeCell ref="A21369:F21369"/>
    <mergeCell ref="A278:F278"/>
    <mergeCell ref="A6005:F6005"/>
    <mergeCell ref="A4096:F4096"/>
    <mergeCell ref="A3037:F3037"/>
    <mergeCell ref="A19584:F19584"/>
    <mergeCell ref="A6762:F6762"/>
    <mergeCell ref="A14641:F14641"/>
    <mergeCell ref="A8153:F8153"/>
    <mergeCell ref="A11726:F11726"/>
    <mergeCell ref="A9939:F9939"/>
    <mergeCell ref="A13459:F13459"/>
    <mergeCell ref="A14485:F14485"/>
    <mergeCell ref="A7068:F7068"/>
    <mergeCell ref="A14941:F14941"/>
    <mergeCell ref="A13723:F13723"/>
    <mergeCell ref="A13759:F13759"/>
    <mergeCell ref="A15241:F15241"/>
    <mergeCell ref="A9812:F9812"/>
    <mergeCell ref="A7727:F7727"/>
    <mergeCell ref="A15968:F15968"/>
    <mergeCell ref="A19488:F19488"/>
    <mergeCell ref="A11025:F11025"/>
    <mergeCell ref="A1697:F1697"/>
    <mergeCell ref="A3940:F3940"/>
    <mergeCell ref="A6690:F6690"/>
    <mergeCell ref="A4993:F4993"/>
    <mergeCell ref="A20513:F20513"/>
    <mergeCell ref="A18422:F18422"/>
    <mergeCell ref="A8479:F8479"/>
    <mergeCell ref="A21295:F21295"/>
    <mergeCell ref="A4240:F4240"/>
    <mergeCell ref="A8935:F8935"/>
    <mergeCell ref="A6020:F6020"/>
    <mergeCell ref="A20569:F20569"/>
    <mergeCell ref="A16958:F16958"/>
    <mergeCell ref="A5351:F5351"/>
    <mergeCell ref="A8653:F8653"/>
    <mergeCell ref="A12835:F12835"/>
    <mergeCell ref="A19953:F19953"/>
    <mergeCell ref="A13807:F13807"/>
    <mergeCell ref="A4589:F4589"/>
    <mergeCell ref="A7008:F7008"/>
    <mergeCell ref="A18898:F18898"/>
    <mergeCell ref="A5650:F5650"/>
    <mergeCell ref="A13927:F13927"/>
    <mergeCell ref="A20597:F20597"/>
    <mergeCell ref="A7597:F7597"/>
    <mergeCell ref="A9138:F9138"/>
    <mergeCell ref="A15740:F15740"/>
    <mergeCell ref="A248:F248"/>
    <mergeCell ref="A15313:F15313"/>
    <mergeCell ref="A16040:F16040"/>
    <mergeCell ref="A6738:F6738"/>
    <mergeCell ref="A3577:F3577"/>
    <mergeCell ref="A4907:F4907"/>
    <mergeCell ref="A1738:F1738"/>
    <mergeCell ref="A1765:F1765"/>
    <mergeCell ref="A10365:F10365"/>
    <mergeCell ref="A9306:F9306"/>
    <mergeCell ref="A8551:F8551"/>
    <mergeCell ref="A19257:F19257"/>
    <mergeCell ref="A16280:F16280"/>
    <mergeCell ref="A18794:F18794"/>
    <mergeCell ref="A17126:F17126"/>
    <mergeCell ref="A10665:F10665"/>
    <mergeCell ref="A8851:F8851"/>
    <mergeCell ref="A546:F546"/>
    <mergeCell ref="A1062:F1062"/>
    <mergeCell ref="A15639:F15639"/>
    <mergeCell ref="A17182:F17182"/>
    <mergeCell ref="A4664:F4664"/>
    <mergeCell ref="A12366:F12366"/>
    <mergeCell ref="A4201:F4201"/>
    <mergeCell ref="A3142:F3142"/>
    <mergeCell ref="A2423:F2423"/>
    <mergeCell ref="A18970:F18970"/>
    <mergeCell ref="A19268:F19268"/>
    <mergeCell ref="A1048:F1048"/>
    <mergeCell ref="A7661:F7661"/>
    <mergeCell ref="A11750:F11750"/>
    <mergeCell ref="A9963:F9963"/>
    <mergeCell ref="A11323:F11323"/>
    <mergeCell ref="A10052:F10052"/>
    <mergeCell ref="A14965:F14965"/>
    <mergeCell ref="A12811:F12811"/>
    <mergeCell ref="A318:F318"/>
    <mergeCell ref="A12050:F12050"/>
    <mergeCell ref="A13267:F13267"/>
    <mergeCell ref="A14293:F14293"/>
    <mergeCell ref="A15265:F15265"/>
    <mergeCell ref="A3616:F3616"/>
    <mergeCell ref="A13567:F13567"/>
    <mergeCell ref="A2258:F2258"/>
    <mergeCell ref="A7863:F7863"/>
    <mergeCell ref="A15565:F15565"/>
    <mergeCell ref="A20810:F20810"/>
    <mergeCell ref="A16440:F16440"/>
    <mergeCell ref="A1076:F1076"/>
    <mergeCell ref="A649:F649"/>
    <mergeCell ref="A5317:F5317"/>
    <mergeCell ref="A9676:F9676"/>
    <mergeCell ref="A17378:F17378"/>
    <mergeCell ref="A19499:F19499"/>
    <mergeCell ref="A10281:F10281"/>
    <mergeCell ref="A4135:F4135"/>
    <mergeCell ref="A10737:F10737"/>
    <mergeCell ref="A20384:F20384"/>
    <mergeCell ref="A11377:F11377"/>
    <mergeCell ref="A11037:F11037"/>
    <mergeCell ref="A62:F62"/>
    <mergeCell ref="A12438:F12438"/>
    <mergeCell ref="A3337:F3337"/>
    <mergeCell ref="A18279:F18279"/>
    <mergeCell ref="A1842:F1842"/>
    <mergeCell ref="A18580:F18580"/>
    <mergeCell ref="A19334:F19334"/>
    <mergeCell ref="A17854:F17854"/>
    <mergeCell ref="A11088:F11088"/>
    <mergeCell ref="A10004:F10004"/>
    <mergeCell ref="A8972:F8972"/>
    <mergeCell ref="A2490:F2490"/>
    <mergeCell ref="A12150:F12150"/>
    <mergeCell ref="A12606:F12606"/>
    <mergeCell ref="A15337:F15337"/>
    <mergeCell ref="A3232:F3232"/>
    <mergeCell ref="A5692:F5692"/>
    <mergeCell ref="A1140:F1140"/>
    <mergeCell ref="A11846:F11846"/>
    <mergeCell ref="A16392:F16392"/>
    <mergeCell ref="A14605:F14605"/>
    <mergeCell ref="A9417:F9417"/>
    <mergeCell ref="A11690:F11690"/>
    <mergeCell ref="A5172:F5172"/>
    <mergeCell ref="A12907:F12907"/>
    <mergeCell ref="A19992:F19992"/>
    <mergeCell ref="A1476:F1476"/>
    <mergeCell ref="A14905:F14905"/>
    <mergeCell ref="A18180:F18180"/>
    <mergeCell ref="A21209:F21209"/>
    <mergeCell ref="A20746:F20746"/>
    <mergeCell ref="A10076:F10076"/>
    <mergeCell ref="A4962:F4962"/>
    <mergeCell ref="A11118:F11118"/>
    <mergeCell ref="A11103:F11103"/>
    <mergeCell ref="A17504:F17504"/>
    <mergeCell ref="A1502:F1502"/>
    <mergeCell ref="A6618:F6618"/>
    <mergeCell ref="A18994:F18994"/>
    <mergeCell ref="A6074:F6074"/>
    <mergeCell ref="A444:F444"/>
    <mergeCell ref="A2590:F2590"/>
    <mergeCell ref="A11592:F11592"/>
    <mergeCell ref="A8617:F8617"/>
    <mergeCell ref="A9222:F9222"/>
    <mergeCell ref="A4:F4"/>
    <mergeCell ref="A17944:F17944"/>
    <mergeCell ref="A454:F454"/>
    <mergeCell ref="A11798:F11798"/>
    <mergeCell ref="A13699:F13699"/>
    <mergeCell ref="A16464:F16464"/>
    <mergeCell ref="A16124:F16124"/>
    <mergeCell ref="A5130:F5130"/>
    <mergeCell ref="A1515:F1515"/>
    <mergeCell ref="A12859:F12859"/>
    <mergeCell ref="A14977:F14977"/>
    <mergeCell ref="A17518:F17518"/>
    <mergeCell ref="A19979:F19979"/>
    <mergeCell ref="A10761:F10761"/>
    <mergeCell ref="A6087:F6087"/>
    <mergeCell ref="A11822:F11822"/>
    <mergeCell ref="A2300:F2300"/>
    <mergeCell ref="A11061:F11061"/>
    <mergeCell ref="A12114:F12114"/>
    <mergeCell ref="A14059:F14059"/>
    <mergeCell ref="A8215:F8215"/>
    <mergeCell ref="A13627:F13627"/>
    <mergeCell ref="A9357:F9357"/>
    <mergeCell ref="A7272:F7272"/>
    <mergeCell ref="A10329:F10329"/>
    <mergeCell ref="A5141:F5141"/>
    <mergeCell ref="A11475:F11475"/>
    <mergeCell ref="A15872:F15872"/>
    <mergeCell ref="A20722:F20722"/>
    <mergeCell ref="A17238:F17238"/>
    <mergeCell ref="A16635:F16635"/>
    <mergeCell ref="A1411:F1411"/>
    <mergeCell ref="A16172:F16172"/>
    <mergeCell ref="A19235:F19235"/>
    <mergeCell ref="A18474:F18474"/>
    <mergeCell ref="A8689:F8689"/>
    <mergeCell ref="A9715:F9715"/>
    <mergeCell ref="A11501:F11501"/>
    <mergeCell ref="A15776:F15776"/>
    <mergeCell ref="A2313:F2313"/>
    <mergeCell ref="A5826:F5826"/>
    <mergeCell ref="A528:F528"/>
    <mergeCell ref="A12931:F12931"/>
    <mergeCell ref="A4468:F4468"/>
    <mergeCell ref="A20261:F20261"/>
    <mergeCell ref="A18650:F18650"/>
    <mergeCell ref="A18047:F18047"/>
    <mergeCell ref="A5225:F5225"/>
    <mergeCell ref="A18345:F18345"/>
    <mergeCell ref="A19290:F19290"/>
    <mergeCell ref="A13831:F13831"/>
    <mergeCell ref="A2098:F2098"/>
    <mergeCell ref="A6886:F6886"/>
    <mergeCell ref="A19074:F19074"/>
    <mergeCell ref="A12186:F12186"/>
    <mergeCell ref="A7512:F7512"/>
    <mergeCell ref="A14131:F14131"/>
    <mergeCell ref="A11461:F11461"/>
    <mergeCell ref="A913:F913"/>
    <mergeCell ref="A9429:F9429"/>
    <mergeCell ref="A3427:F3427"/>
    <mergeCell ref="A12943:F12943"/>
    <mergeCell ref="A12486:F12486"/>
    <mergeCell ref="A10401:F10401"/>
    <mergeCell ref="A4786:F4786"/>
    <mergeCell ref="A15517:F15517"/>
    <mergeCell ref="A16244:F16244"/>
    <mergeCell ref="A4481:F4481"/>
    <mergeCell ref="A19758:F19758"/>
    <mergeCell ref="A20062:F20062"/>
    <mergeCell ref="A20948:F20948"/>
    <mergeCell ref="A19301:F19301"/>
    <mergeCell ref="A20485:F20485"/>
    <mergeCell ref="A6487:F6487"/>
    <mergeCell ref="A8755:F8755"/>
    <mergeCell ref="A6899:F6899"/>
    <mergeCell ref="A897:F897"/>
    <mergeCell ref="A15385:F15385"/>
    <mergeCell ref="A10245:F10245"/>
    <mergeCell ref="A11298:F11298"/>
    <mergeCell ref="A16148:F16148"/>
    <mergeCell ref="A4839:F4839"/>
    <mergeCell ref="A12270:F12270"/>
    <mergeCell ref="A165:F165"/>
    <mergeCell ref="A14653:F14653"/>
    <mergeCell ref="A600:F600"/>
    <mergeCell ref="A4412:F4412"/>
    <mergeCell ref="A19477:F19477"/>
    <mergeCell ref="A17663:F17663"/>
    <mergeCell ref="A1226:F1226"/>
    <mergeCell ref="A3352:F3352"/>
    <mergeCell ref="A14785:F14785"/>
    <mergeCell ref="A20206:F20206"/>
    <mergeCell ref="A7713:F7713"/>
    <mergeCell ref="A18717:F18717"/>
    <mergeCell ref="A11954:F11954"/>
    <mergeCell ref="A9381:F9381"/>
    <mergeCell ref="A954:F954"/>
    <mergeCell ref="A4110:F4110"/>
    <mergeCell ref="A13015:F13015"/>
    <mergeCell ref="A15896:F15896"/>
    <mergeCell ref="A13471:F13471"/>
    <mergeCell ref="A14497:F14497"/>
    <mergeCell ref="A17560:F17560"/>
    <mergeCell ref="A15469:F15469"/>
    <mergeCell ref="A499:F499"/>
    <mergeCell ref="A13315:F13315"/>
    <mergeCell ref="A2767:F2767"/>
    <mergeCell ref="A16196:F16196"/>
    <mergeCell ref="A20555:F20555"/>
    <mergeCell ref="A13771:F13771"/>
    <mergeCell ref="A19769:F19769"/>
    <mergeCell ref="A6849:F6849"/>
    <mergeCell ref="A3067:F3067"/>
    <mergeCell ref="A2339:F2339"/>
    <mergeCell ref="A14071:F14071"/>
    <mergeCell ref="A5608:F5608"/>
    <mergeCell ref="A8069:F8069"/>
    <mergeCell ref="A7910:F7910"/>
    <mergeCell ref="A4426:F4426"/>
    <mergeCell ref="A3367:F3367"/>
    <mergeCell ref="A20129:F20129"/>
    <mergeCell ref="A1580:F1580"/>
    <mergeCell ref="A10941:F10941"/>
    <mergeCell ref="A639:F639"/>
    <mergeCell ref="A2664:F2664"/>
    <mergeCell ref="A14725:F14725"/>
    <mergeCell ref="A20583:F20583"/>
    <mergeCell ref="A1725:F1725"/>
    <mergeCell ref="A8395:F8395"/>
    <mergeCell ref="A12642:F12642"/>
    <mergeCell ref="A15025:F15025"/>
    <mergeCell ref="A6422:F6422"/>
    <mergeCell ref="A19096:F19096"/>
    <mergeCell ref="A238:F238"/>
    <mergeCell ref="A1606:F1606"/>
    <mergeCell ref="A8515:F8515"/>
    <mergeCell ref="A7020:F7020"/>
    <mergeCell ref="A14269:F14269"/>
    <mergeCell ref="A8263:F8263"/>
    <mergeCell ref="A9453:F9453"/>
    <mergeCell ref="A9751:F9751"/>
    <mergeCell ref="A13087:F13087"/>
    <mergeCell ref="A13423:F13423"/>
    <mergeCell ref="A14569:F14569"/>
    <mergeCell ref="A258:F258"/>
    <mergeCell ref="A15541:F15541"/>
    <mergeCell ref="A19571:F19571"/>
    <mergeCell ref="A20630:F20630"/>
    <mergeCell ref="A5994:F5994"/>
    <mergeCell ref="A17784:F17784"/>
    <mergeCell ref="A16268:F16268"/>
    <mergeCell ref="A4505:F4505"/>
    <mergeCell ref="A14869:F14869"/>
    <mergeCell ref="A564:F564"/>
    <mergeCell ref="A21270:F21270"/>
    <mergeCell ref="A5566:F5566"/>
    <mergeCell ref="A1346:F1346"/>
    <mergeCell ref="A8779:F8779"/>
    <mergeCell ref="A7380:F7380"/>
    <mergeCell ref="A9927:F9927"/>
    <mergeCell ref="A18384:F18384"/>
    <mergeCell ref="A3781:F3781"/>
    <mergeCell ref="A10893:F10893"/>
    <mergeCell ref="A8563:F8563"/>
    <mergeCell ref="A6654:F6654"/>
    <mergeCell ref="A21256:F21256"/>
    <mergeCell ref="A15229:F15229"/>
    <mergeCell ref="A14170:F14170"/>
    <mergeCell ref="A11193:F11193"/>
    <mergeCell ref="A8863:F8863"/>
    <mergeCell ref="A12979:F12979"/>
    <mergeCell ref="A18224:F18224"/>
    <mergeCell ref="A1250:F1250"/>
    <mergeCell ref="A1554:F1554"/>
    <mergeCell ref="A20983:F20983"/>
    <mergeCell ref="A20228:F20228"/>
    <mergeCell ref="A15097:F15097"/>
    <mergeCell ref="A17042:F17042"/>
    <mergeCell ref="A18008:F18008"/>
    <mergeCell ref="A8467:F8467"/>
    <mergeCell ref="A6382:F6382"/>
    <mergeCell ref="A15678:F15678"/>
    <mergeCell ref="A18312:F18312"/>
    <mergeCell ref="A6338:F6338"/>
    <mergeCell ref="A8581:F8581"/>
    <mergeCell ref="A9090:F9090"/>
    <mergeCell ref="A8335:F8335"/>
    <mergeCell ref="A4553:F4553"/>
    <mergeCell ref="A21284:F21284"/>
    <mergeCell ref="A7392:F7392"/>
    <mergeCell ref="A9853:F9853"/>
    <mergeCell ref="A9975:F9975"/>
    <mergeCell ref="A14521:F14521"/>
    <mergeCell ref="A10449:F10449"/>
    <mergeCell ref="A8635:F8635"/>
    <mergeCell ref="A11335:F11335"/>
    <mergeCell ref="A4880:F4880"/>
    <mergeCell ref="A13795:F13795"/>
    <mergeCell ref="A19180:F19180"/>
    <mergeCell ref="A4577:F4577"/>
    <mergeCell ref="A15277:F15277"/>
    <mergeCell ref="A17700:F17700"/>
    <mergeCell ref="A3852:F3852"/>
    <mergeCell ref="A20698:F20698"/>
    <mergeCell ref="A7425:F7425"/>
    <mergeCell ref="A14095:F14095"/>
    <mergeCell ref="A18448:F18448"/>
    <mergeCell ref="A19638:F19638"/>
    <mergeCell ref="A2962:F2962"/>
    <mergeCell ref="A17266:F17266"/>
    <mergeCell ref="A15181:F15181"/>
    <mergeCell ref="A4748:F4748"/>
    <mergeCell ref="A8803:F8803"/>
    <mergeCell ref="A15908:F15908"/>
    <mergeCell ref="A10965:F10965"/>
    <mergeCell ref="A9688:F9688"/>
    <mergeCell ref="A11990:F11990"/>
    <mergeCell ref="A10293:F10293"/>
    <mergeCell ref="A12026:F12026"/>
    <mergeCell ref="A15626:F15626"/>
    <mergeCell ref="A18805:F18805"/>
    <mergeCell ref="A17406:F17406"/>
    <mergeCell ref="A20926:F20926"/>
    <mergeCell ref="A7471:F7471"/>
    <mergeCell ref="A12450:F12450"/>
    <mergeCell ref="A21355:F21355"/>
    <mergeCell ref="A17294:F17294"/>
    <mergeCell ref="A4023:F4023"/>
    <mergeCell ref="A18169:F18169"/>
    <mergeCell ref="A1317:F1317"/>
    <mergeCell ref="A4321:F4321"/>
    <mergeCell ref="A7044:F7044"/>
    <mergeCell ref="A8839:F8839"/>
    <mergeCell ref="A19868:F19868"/>
    <mergeCell ref="A8105:F8105"/>
    <mergeCell ref="A11405:F11405"/>
    <mergeCell ref="A5259:F5259"/>
    <mergeCell ref="A15652:F15652"/>
    <mergeCell ref="A12162:F12162"/>
    <mergeCell ref="A13411:F13411"/>
    <mergeCell ref="A16707:F16707"/>
    <mergeCell ref="A730:F730"/>
    <mergeCell ref="A17434:F17434"/>
    <mergeCell ref="A15349:F15349"/>
    <mergeCell ref="A11133:F11133"/>
    <mergeCell ref="A1791:F1791"/>
    <mergeCell ref="A20641:F20641"/>
    <mergeCell ref="A2518:F2518"/>
    <mergeCell ref="A18827:F18827"/>
    <mergeCell ref="A17770:F17770"/>
    <mergeCell ref="A18522:F18522"/>
    <mergeCell ref="A1974:F1974"/>
    <mergeCell ref="A13435:F13435"/>
    <mergeCell ref="A5577:F5577"/>
    <mergeCell ref="A13879:F13879"/>
    <mergeCell ref="A12390:F12390"/>
    <mergeCell ref="A758:F758"/>
    <mergeCell ref="A18546:F18546"/>
    <mergeCell ref="A12690:F12690"/>
    <mergeCell ref="A10605:F10605"/>
    <mergeCell ref="A5119:F5119"/>
    <mergeCell ref="A9664:F9664"/>
    <mergeCell ref="A10905:F10905"/>
    <mergeCell ref="A288:F288"/>
    <mergeCell ref="A8177:F8177"/>
    <mergeCell ref="A12234:F12234"/>
    <mergeCell ref="A12847:F12847"/>
    <mergeCell ref="A20995:F20995"/>
    <mergeCell ref="A15589:F15589"/>
    <mergeCell ref="A2170:F2170"/>
    <mergeCell ref="A16316:F16316"/>
    <mergeCell ref="A9234:F9234"/>
    <mergeCell ref="A12534:F12534"/>
    <mergeCell ref="A13147:F13147"/>
    <mergeCell ref="A16352:F16352"/>
    <mergeCell ref="A690:F690"/>
    <mergeCell ref="A17840:F17840"/>
    <mergeCell ref="A3502:F3502"/>
    <mergeCell ref="A14233:F14233"/>
    <mergeCell ref="A16476:F16476"/>
    <mergeCell ref="A20294:F20294"/>
    <mergeCell ref="A6402:F6402"/>
    <mergeCell ref="A8347:F8347"/>
    <mergeCell ref="A18772:F18772"/>
    <mergeCell ref="A12558:F12558"/>
    <mergeCell ref="A16776:F16776"/>
    <mergeCell ref="A10317:F10317"/>
    <mergeCell ref="A6702:F6702"/>
    <mergeCell ref="A5046:F5046"/>
    <mergeCell ref="A10773:F10773"/>
    <mergeCell ref="A9890:F9890"/>
    <mergeCell ref="A12919:F12919"/>
    <mergeCell ref="A15433:F15433"/>
    <mergeCell ref="A11073:F11073"/>
    <mergeCell ref="A13219:F13219"/>
    <mergeCell ref="A18191:F18191"/>
    <mergeCell ref="A12762:F12762"/>
    <mergeCell ref="A2917:F2917"/>
    <mergeCell ref="A703:F703"/>
    <mergeCell ref="A13519:F13519"/>
    <mergeCell ref="A19246:F19246"/>
    <mergeCell ref="A1001:F1001"/>
    <mergeCell ref="A20734:F20734"/>
    <mergeCell ref="A5783:F5783"/>
    <mergeCell ref="A4601:F4601"/>
    <mergeCell ref="A7816:F7816"/>
    <mergeCell ref="A13543:F13543"/>
    <mergeCell ref="A9727:F9727"/>
    <mergeCell ref="A13843:F13843"/>
    <mergeCell ref="A20663:F20663"/>
    <mergeCell ref="A14929:F14929"/>
    <mergeCell ref="A16874:F16874"/>
    <mergeCell ref="A2244:F2244"/>
    <mergeCell ref="A16846:F16846"/>
    <mergeCell ref="A15665:F15665"/>
    <mergeCell ref="A17908:F17908"/>
    <mergeCell ref="A8419:F8419"/>
    <mergeCell ref="A328:F328"/>
    <mergeCell ref="A3603:F3603"/>
    <mergeCell ref="A19694:F19694"/>
    <mergeCell ref="A2842:F2842"/>
    <mergeCell ref="A18662:F18662"/>
    <mergeCell ref="A6774:F6774"/>
    <mergeCell ref="A8719:F8719"/>
    <mergeCell ref="A13387:F13387"/>
    <mergeCell ref="A19144:F19144"/>
    <mergeCell ref="A17932:F17932"/>
    <mergeCell ref="A13687:F13687"/>
    <mergeCell ref="A12198:F12198"/>
    <mergeCell ref="A13291:F13291"/>
    <mergeCell ref="A1528:F1528"/>
    <mergeCell ref="A19018:F19018"/>
    <mergeCell ref="A17532:F17532"/>
    <mergeCell ref="A4253:F4253"/>
    <mergeCell ref="A13591:F13591"/>
    <mergeCell ref="A2126:F2126"/>
    <mergeCell ref="A18557:F18557"/>
    <mergeCell ref="A3954:F3954"/>
    <mergeCell ref="A1830:F1830"/>
    <mergeCell ref="A10857:F10857"/>
    <mergeCell ref="A43:F43"/>
    <mergeCell ref="A13159:F13159"/>
    <mergeCell ref="A12258:F12258"/>
    <mergeCell ref="A21019:F21019"/>
    <mergeCell ref="A11918:F11918"/>
    <mergeCell ref="A11163:F11163"/>
    <mergeCell ref="A21317:F21317"/>
    <mergeCell ref="A20076:F20076"/>
    <mergeCell ref="A8767:F8767"/>
    <mergeCell ref="A1854:F1854"/>
    <mergeCell ref="A13915:F13915"/>
    <mergeCell ref="A15397:F15397"/>
    <mergeCell ref="A7585:F7585"/>
    <mergeCell ref="A488:F488"/>
    <mergeCell ref="A1424:F1424"/>
    <mergeCell ref="A6972:F6972"/>
    <mergeCell ref="A6515:F6515"/>
    <mergeCell ref="A18614:F18614"/>
    <mergeCell ref="A17675:F17675"/>
    <mergeCell ref="A8671:F8671"/>
    <mergeCell ref="A17546:F17546"/>
    <mergeCell ref="A21032:F21032"/>
    <mergeCell ref="A21330:F21330"/>
    <mergeCell ref="A6114:F6114"/>
    <mergeCell ref="A13243:F13243"/>
    <mergeCell ref="A814:F814"/>
    <mergeCell ref="A3082:F3082"/>
    <mergeCell ref="A13027:F13027"/>
    <mergeCell ref="A16818:F16818"/>
    <mergeCell ref="A12570:F12570"/>
    <mergeCell ref="A13999:F13999"/>
    <mergeCell ref="A16519:F16519"/>
    <mergeCell ref="A1437:F1437"/>
    <mergeCell ref="A3382:F3382"/>
    <mergeCell ref="A13327:F13327"/>
    <mergeCell ref="A4625:F4625"/>
    <mergeCell ref="A6570:F6570"/>
    <mergeCell ref="A2200:F2200"/>
    <mergeCell ref="A17574:F17574"/>
    <mergeCell ref="A11870:F11870"/>
    <mergeCell ref="A1895:F1895"/>
    <mergeCell ref="A1170:F1170"/>
    <mergeCell ref="A18958:F18958"/>
    <mergeCell ref="A16687:F16687"/>
    <mergeCell ref="A15505:F15505"/>
    <mergeCell ref="A4038:F4038"/>
    <mergeCell ref="A20173:F20173"/>
    <mergeCell ref="A20471:F20471"/>
    <mergeCell ref="A18684:F18684"/>
    <mergeCell ref="A16232:F16232"/>
    <mergeCell ref="A13255:F13255"/>
    <mergeCell ref="A15716:F15716"/>
    <mergeCell ref="A20771:F20771"/>
    <mergeCell ref="A435:F435"/>
    <mergeCell ref="A16016:F16016"/>
    <mergeCell ref="A1948:F1948"/>
    <mergeCell ref="A6798:F6798"/>
    <mergeCell ref="A8743:F8743"/>
    <mergeCell ref="A4069:F4069"/>
    <mergeCell ref="A7344:F7344"/>
    <mergeCell ref="A17618:F17618"/>
    <mergeCell ref="A9646:F9646"/>
    <mergeCell ref="A5094:F5094"/>
    <mergeCell ref="A15800:F15800"/>
    <mergeCell ref="A6582:F6582"/>
    <mergeCell ref="A13711:F13711"/>
    <mergeCell ref="A16888:F16888"/>
    <mergeCell ref="A14797:F14797"/>
    <mergeCell ref="A582:F582"/>
    <mergeCell ref="A18099:F18099"/>
    <mergeCell ref="A8311:F8311"/>
    <mergeCell ref="A13099:F13099"/>
    <mergeCell ref="A15553:F15553"/>
    <mergeCell ref="A13399:F13399"/>
    <mergeCell ref="A19433:F19433"/>
    <mergeCell ref="A20090:F20090"/>
    <mergeCell ref="A6811:F6811"/>
    <mergeCell ref="A18910:F18910"/>
    <mergeCell ref="A21132:F21132"/>
    <mergeCell ref="A5910:F5910"/>
    <mergeCell ref="A19030:F19030"/>
    <mergeCell ref="A510:F510"/>
    <mergeCell ref="A11514:F11514"/>
    <mergeCell ref="A5482:F5482"/>
    <mergeCell ref="A10028:F10028"/>
    <mergeCell ref="A13303:F13303"/>
    <mergeCell ref="A6666:F6666"/>
    <mergeCell ref="A14389:F14389"/>
    <mergeCell ref="A1567:F1567"/>
    <mergeCell ref="A4867:F4867"/>
    <mergeCell ref="A3810:F3810"/>
    <mergeCell ref="A16930:F16930"/>
    <mergeCell ref="A1262:F1262"/>
    <mergeCell ref="A17868:F17868"/>
    <mergeCell ref="A9405:F9405"/>
    <mergeCell ref="A7320:F7320"/>
    <mergeCell ref="A19813:F19813"/>
    <mergeCell ref="A21143:F21143"/>
    <mergeCell ref="A19052:F19052"/>
    <mergeCell ref="A5921:F5921"/>
    <mergeCell ref="A19356:F19356"/>
    <mergeCell ref="A10929:F10929"/>
    <mergeCell ref="A3680:F3680"/>
    <mergeCell ref="A6140:F6140"/>
    <mergeCell ref="A7193:F7193"/>
    <mergeCell ref="A8383:F8383"/>
    <mergeCell ref="A13051:F13051"/>
    <mergeCell ref="A7622:F7622"/>
    <mergeCell ref="A2679:F2679"/>
    <mergeCell ref="A9865:F9865"/>
    <mergeCell ref="A2977:F2977"/>
    <mergeCell ref="A12630:F12630"/>
    <mergeCell ref="A15013:F15013"/>
    <mergeCell ref="A5070:F5070"/>
    <mergeCell ref="A3277:F3277"/>
    <mergeCell ref="A19708:F19708"/>
    <mergeCell ref="A1463:F1463"/>
    <mergeCell ref="A20006:F20006"/>
    <mergeCell ref="A19532:F19532"/>
    <mergeCell ref="A3706:F3706"/>
    <mergeCell ref="A19824:F19824"/>
    <mergeCell ref="A18982:F18982"/>
    <mergeCell ref="A10521:F10521"/>
    <mergeCell ref="A10977:F10977"/>
    <mergeCell ref="A3880:F3880"/>
    <mergeCell ref="A14857:F14857"/>
    <mergeCell ref="A10821:F10821"/>
    <mergeCell ref="A9034:F9034"/>
    <mergeCell ref="A12038:F12038"/>
    <mergeCell ref="A11882:F11882"/>
    <mergeCell ref="A1632:F1632"/>
    <mergeCell ref="A573:F573"/>
    <mergeCell ref="A20184:F20184"/>
    <mergeCell ref="A18397:F18397"/>
    <mergeCell ref="A5879:F5879"/>
    <mergeCell ref="A18695:F18695"/>
    <mergeCell ref="A15824:F15824"/>
    <mergeCell ref="A19879:F19879"/>
    <mergeCell ref="A6606:F6606"/>
    <mergeCell ref="A19422:F19422"/>
    <mergeCell ref="A6477:F6477"/>
    <mergeCell ref="A9052:F9052"/>
    <mergeCell ref="A9210:F9210"/>
    <mergeCell ref="A9508:F9508"/>
    <mergeCell ref="A11810:F11810"/>
    <mergeCell ref="A20324:F20324"/>
    <mergeCell ref="A20541:F20541"/>
    <mergeCell ref="A14353:F14353"/>
    <mergeCell ref="A6678:F6678"/>
    <mergeCell ref="A6349:F6349"/>
    <mergeCell ref="A18410:F18410"/>
    <mergeCell ref="A14809:F14809"/>
    <mergeCell ref="A18111:F18111"/>
    <mergeCell ref="A18838:F18838"/>
    <mergeCell ref="A19168:F19168"/>
    <mergeCell ref="A348:F348"/>
    <mergeCell ref="A11654:F11654"/>
    <mergeCell ref="A13891:F13891"/>
    <mergeCell ref="A977:F977"/>
    <mergeCell ref="A5007:F5007"/>
    <mergeCell ref="A14197:F14197"/>
    <mergeCell ref="A14713:F14713"/>
    <mergeCell ref="A15169:F15169"/>
    <mergeCell ref="A8791:F8791"/>
    <mergeCell ref="A19224:F19224"/>
    <mergeCell ref="A5524:F5524"/>
    <mergeCell ref="A4160:F4160"/>
    <mergeCell ref="A8190:F8190"/>
    <mergeCell ref="A13819:F13819"/>
    <mergeCell ref="A2462:F2462"/>
    <mergeCell ref="A9574:F9574"/>
    <mergeCell ref="A8033:F8033"/>
    <mergeCell ref="A11238:F11238"/>
    <mergeCell ref="A1303:F1303"/>
    <mergeCell ref="A14119:F14119"/>
    <mergeCell ref="A16064:F16064"/>
    <mergeCell ref="A5963:F5963"/>
    <mergeCell ref="A229:F229"/>
    <mergeCell ref="A16364:F16364"/>
    <mergeCell ref="A4933:F4933"/>
    <mergeCell ref="A9150:F9150"/>
    <mergeCell ref="A17607:F17607"/>
    <mergeCell ref="A17308:F17308"/>
    <mergeCell ref="A6936:F6936"/>
    <mergeCell ref="A7446:F7446"/>
    <mergeCell ref="A5363:F5363"/>
    <mergeCell ref="A5661:F5661"/>
    <mergeCell ref="A9610:F9610"/>
    <mergeCell ref="A13963:F13963"/>
    <mergeCell ref="A16722:F16722"/>
    <mergeCell ref="A17476:F17476"/>
    <mergeCell ref="A12318:F12318"/>
    <mergeCell ref="A10233:F10233"/>
    <mergeCell ref="A12354:F12354"/>
    <mergeCell ref="A3472:F3472"/>
    <mergeCell ref="A18510:F18510"/>
    <mergeCell ref="A10533:F10533"/>
    <mergeCell ref="A12378:F12378"/>
    <mergeCell ref="A9532:F9532"/>
    <mergeCell ref="A6048:F6048"/>
    <mergeCell ref="A8431:F8431"/>
    <mergeCell ref="A10137:F10137"/>
    <mergeCell ref="A12678:F12678"/>
    <mergeCell ref="A10593:F10593"/>
    <mergeCell ref="A2857:F2857"/>
    <mergeCell ref="A11618:F11618"/>
    <mergeCell ref="A18134:F18134"/>
    <mergeCell ref="A187:F187"/>
    <mergeCell ref="A15980:F15980"/>
    <mergeCell ref="A3157:F3157"/>
    <mergeCell ref="A19624:F19624"/>
    <mergeCell ref="A6372:F6372"/>
    <mergeCell ref="A943:F943"/>
    <mergeCell ref="A3457:F3457"/>
    <mergeCell ref="A1372:F1372"/>
    <mergeCell ref="A5305:F5305"/>
    <mergeCell ref="A8947:F8947"/>
    <mergeCell ref="A21306:F21306"/>
    <mergeCell ref="A11488:F11488"/>
    <mergeCell ref="A18435:F18435"/>
    <mergeCell ref="A15577:F15577"/>
    <mergeCell ref="A8057:F8057"/>
    <mergeCell ref="A6786:F6786"/>
    <mergeCell ref="A12522:F12522"/>
    <mergeCell ref="A2272:F2272"/>
    <mergeCell ref="A14221:F14221"/>
    <mergeCell ref="A786:F786"/>
    <mergeCell ref="A1090:F1090"/>
    <mergeCell ref="A4147:F4147"/>
    <mergeCell ref="A2056:F2056"/>
    <mergeCell ref="A2354:F2354"/>
    <mergeCell ref="A17392:F17392"/>
    <mergeCell ref="A24:F24"/>
    <mergeCell ref="A2028:F2028"/>
    <mergeCell ref="A18874:F18874"/>
    <mergeCell ref="A629:F629"/>
    <mergeCell ref="A2872:F2872"/>
    <mergeCell ref="A19846:F19846"/>
    <mergeCell ref="A2476:F2476"/>
    <mergeCell ref="A11391:F11391"/>
    <mergeCell ref="A8960:F8960"/>
    <mergeCell ref="A9258:F9258"/>
    <mergeCell ref="A8503:F8503"/>
    <mergeCell ref="A13171:F13171"/>
    <mergeCell ref="A6412:F6412"/>
    <mergeCell ref="A18934:F18934"/>
    <mergeCell ref="A12750:F12750"/>
    <mergeCell ref="A14689:F14689"/>
    <mergeCell ref="A14257:F14257"/>
    <mergeCell ref="A716:F716"/>
    <mergeCell ref="A9987:F9987"/>
    <mergeCell ref="A13507:F13507"/>
    <mergeCell ref="A989:F989"/>
    <mergeCell ref="A9775:F9775"/>
    <mergeCell ref="A14557:F14557"/>
    <mergeCell ref="A19857:F19857"/>
    <mergeCell ref="A2504:F2504"/>
    <mergeCell ref="A16986:F16986"/>
    <mergeCell ref="A7768:F7768"/>
    <mergeCell ref="A4309:F4309"/>
    <mergeCell ref="A7804:F7804"/>
    <mergeCell ref="A10641:F10641"/>
    <mergeCell ref="A2070:F2070"/>
    <mergeCell ref="A9319:F9319"/>
    <mergeCell ref="A14917:F14917"/>
    <mergeCell ref="A15217:F15217"/>
    <mergeCell ref="A15944:F15944"/>
    <mergeCell ref="A5703:F5703"/>
    <mergeCell ref="A21400:F21400"/>
    <mergeCell ref="A3910:F3910"/>
    <mergeCell ref="A4214:F4214"/>
    <mergeCell ref="A6153:F6153"/>
    <mergeCell ref="A8911:F8911"/>
    <mergeCell ref="A14761:F14761"/>
    <mergeCell ref="A16004:F16004"/>
    <mergeCell ref="A11786:F11786"/>
    <mergeCell ref="A15061:F15061"/>
    <mergeCell ref="A16304:F16304"/>
    <mergeCell ref="A3629:F3629"/>
    <mergeCell ref="A15728:F15728"/>
    <mergeCell ref="A14329:F14329"/>
    <mergeCell ref="A20686:F20686"/>
    <mergeCell ref="A10113:F10113"/>
    <mergeCell ref="A21121:F21121"/>
    <mergeCell ref="A8299:F8299"/>
    <mergeCell ref="A18146:F18146"/>
    <mergeCell ref="A7573:F7573"/>
    <mergeCell ref="A1869:F1869"/>
    <mergeCell ref="A15289:F15289"/>
    <mergeCell ref="A77:F77"/>
    <mergeCell ref="A8227:F8227"/>
    <mergeCell ref="A18591:F18591"/>
    <mergeCell ref="A9282:F9282"/>
    <mergeCell ref="A8527:F8527"/>
    <mergeCell ref="A7924:F7924"/>
    <mergeCell ref="A6525:F6525"/>
    <mergeCell ref="A5493:F5493"/>
    <mergeCell ref="A8827:F8827"/>
    <mergeCell ref="A10797:F10797"/>
    <mergeCell ref="A11527:F11527"/>
    <mergeCell ref="A8985:F8985"/>
    <mergeCell ref="A13987:F13987"/>
    <mergeCell ref="A1882:F1882"/>
    <mergeCell ref="A11858:F11858"/>
    <mergeCell ref="A17585:F17585"/>
    <mergeCell ref="A15133:F15133"/>
    <mergeCell ref="A393:F393"/>
    <mergeCell ref="A10040:F10040"/>
    <mergeCell ref="A16860:F16860"/>
    <mergeCell ref="A12883:F12883"/>
    <mergeCell ref="A16832:F16832"/>
    <mergeCell ref="A4010:F4010"/>
    <mergeCell ref="A5183:F5183"/>
    <mergeCell ref="A19367:F19367"/>
    <mergeCell ref="A2215:F2215"/>
    <mergeCell ref="A20758:F20758"/>
    <mergeCell ref="A7181:F7181"/>
    <mergeCell ref="A10185:F10185"/>
    <mergeCell ref="A9126:F9126"/>
    <mergeCell ref="A18946:F18946"/>
    <mergeCell ref="A20339:F20339"/>
    <mergeCell ref="A16100:F16100"/>
    <mergeCell ref="A21058:F21058"/>
    <mergeCell ref="A6455:F6455"/>
    <mergeCell ref="A10485:F10485"/>
    <mergeCell ref="A4637:F4637"/>
    <mergeCell ref="A17000:F17000"/>
    <mergeCell ref="A840:F840"/>
    <mergeCell ref="A3721:F3721"/>
    <mergeCell ref="A8998:F8998"/>
    <mergeCell ref="A20784:F20784"/>
    <mergeCell ref="A1778:F1778"/>
    <mergeCell ref="A12782:F12782"/>
    <mergeCell ref="A2112:F2112"/>
    <mergeCell ref="A537:F537"/>
    <mergeCell ref="A16112:F16112"/>
    <mergeCell ref="A21084:F21084"/>
    <mergeCell ref="A7236:F7236"/>
    <mergeCell ref="A14629:F14629"/>
    <mergeCell ref="A16547:F16547"/>
    <mergeCell ref="A21242:F21242"/>
    <mergeCell ref="A5082:F5082"/>
    <mergeCell ref="A8599:F8599"/>
    <mergeCell ref="A7536:F7536"/>
    <mergeCell ref="A5451:F5451"/>
    <mergeCell ref="A19597:F19597"/>
    <mergeCell ref="A5749:F5749"/>
    <mergeCell ref="A5409:F5409"/>
    <mergeCell ref="A17956:F17956"/>
    <mergeCell ref="A6924:F6924"/>
    <mergeCell ref="A15085:F15085"/>
    <mergeCell ref="A3007:F3007"/>
    <mergeCell ref="A2410:F2410"/>
    <mergeCell ref="A12222:F12222"/>
    <mergeCell ref="A20499:F20499"/>
    <mergeCell ref="A20797:F20797"/>
    <mergeCell ref="A3655:F3655"/>
    <mergeCell ref="A18257:F18257"/>
    <mergeCell ref="A10557:F10557"/>
    <mergeCell ref="A6496:F6496"/>
    <mergeCell ref="A19312:F19312"/>
    <mergeCell ref="A8009:F8009"/>
    <mergeCell ref="A9369:F9369"/>
    <mergeCell ref="A7284:F7284"/>
    <mergeCell ref="A14341:F14341"/>
    <mergeCell ref="A17969:F17969"/>
    <mergeCell ref="A15884:F15884"/>
    <mergeCell ref="A2605:F2605"/>
    <mergeCell ref="A20429:F20429"/>
    <mergeCell ref="A609:F609"/>
    <mergeCell ref="A10125:F10125"/>
    <mergeCell ref="A4123:F4123"/>
    <mergeCell ref="A16184:F16184"/>
    <mergeCell ref="A7308:F7308"/>
    <mergeCell ref="A3824:F3824"/>
    <mergeCell ref="A480:F480"/>
    <mergeCell ref="A3668:F3668"/>
    <mergeCell ref="A15752:F15752"/>
    <mergeCell ref="A2635:F2635"/>
    <mergeCell ref="A8371:F8371"/>
    <mergeCell ref="A21187:F21187"/>
    <mergeCell ref="A7635:F7635"/>
    <mergeCell ref="A7610:F7610"/>
    <mergeCell ref="A20882:F20882"/>
    <mergeCell ref="A12726:F12726"/>
    <mergeCell ref="A1593:F1593"/>
    <mergeCell ref="A11666:F11666"/>
    <mergeCell ref="A14425:F14425"/>
    <mergeCell ref="A2230:F2230"/>
    <mergeCell ref="A9294:F9294"/>
    <mergeCell ref="A12294:F12294"/>
    <mergeCell ref="A5535:F5535"/>
    <mergeCell ref="A17596:F17596"/>
    <mergeCell ref="A11966:F11966"/>
    <mergeCell ref="A20871:F20871"/>
    <mergeCell ref="A10509:F10509"/>
    <mergeCell ref="A1289:F1289"/>
    <mergeCell ref="A17896:F17896"/>
    <mergeCell ref="A8407:F8407"/>
    <mergeCell ref="A2532:F2532"/>
    <mergeCell ref="A9441:F9441"/>
    <mergeCell ref="A10809:F10809"/>
    <mergeCell ref="A9739:F9739"/>
    <mergeCell ref="A9022:F9022"/>
    <mergeCell ref="A8707:F8707"/>
    <mergeCell ref="A7648:F7648"/>
    <mergeCell ref="A17920:F17920"/>
    <mergeCell ref="A1645:F1645"/>
    <mergeCell ref="A4920:F4920"/>
    <mergeCell ref="A13675:F13675"/>
    <mergeCell ref="A16562:F16562"/>
    <mergeCell ref="A16256:F1625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9" t="inlineStr">
        <is>
          <t>DATABASE HARGA SEWA ALAT (STANDAR CIPTA KARYA)</t>
        </is>
      </c>
    </row>
    <row r="2">
      <c r="A2" t="inlineStr">
        <is>
          <t>Daftar ini memuat seluruh alat berat &amp; sewa mesin yang diekstrak dari Database Cipta Karya</t>
        </is>
      </c>
    </row>
    <row r="4">
      <c r="A4" s="10" t="inlineStr">
        <is>
          <t>No</t>
        </is>
      </c>
      <c r="B4" s="10" t="inlineStr">
        <is>
          <t>Uraian Alat</t>
        </is>
      </c>
      <c r="C4" s="10" t="inlineStr">
        <is>
          <t>Satuan</t>
        </is>
      </c>
      <c r="D4" s="10" t="inlineStr">
        <is>
          <t>Harga Sewa Cipta Karya (Rp)</t>
        </is>
      </c>
    </row>
    <row r="5">
      <c r="A5" s="3" t="n">
        <v>1</v>
      </c>
      <c r="B5" s="3" t="inlineStr">
        <is>
          <t>Sewa Tripot</t>
        </is>
      </c>
      <c r="C5" s="3" t="inlineStr">
        <is>
          <t xml:space="preserve">hari </t>
        </is>
      </c>
      <c r="D5" s="4" t="n">
        <v>108000</v>
      </c>
    </row>
    <row r="6">
      <c r="A6" s="3" t="n">
        <v>2</v>
      </c>
      <c r="B6" s="3" t="inlineStr">
        <is>
          <t>Gergaji Pipa</t>
        </is>
      </c>
      <c r="C6" s="3" t="inlineStr">
        <is>
          <t xml:space="preserve">hari </t>
        </is>
      </c>
      <c r="D6" s="4" t="n">
        <v>32500</v>
      </c>
    </row>
    <row r="7">
      <c r="A7" s="3" t="n">
        <v>3</v>
      </c>
      <c r="B7" s="3" t="inlineStr">
        <is>
          <t>Peralatan potong pipa
T1/manual (gergaji) /
saw</t>
        </is>
      </c>
      <c r="C7" s="3" t="inlineStr">
        <is>
          <t xml:space="preserve">hari </t>
        </is>
      </c>
      <c r="D7" s="4" t="n">
        <v>35000</v>
      </c>
    </row>
    <row r="8">
      <c r="A8" s="3" t="n">
        <v>4</v>
      </c>
      <c r="B8" s="3" t="inlineStr">
        <is>
          <t>Cilinder Saw</t>
        </is>
      </c>
      <c r="C8" s="3" t="inlineStr">
        <is>
          <t xml:space="preserve">hari </t>
        </is>
      </c>
      <c r="D8" s="4" t="n">
        <v>75000</v>
      </c>
    </row>
    <row r="9">
      <c r="A9" s="3" t="n">
        <v>5</v>
      </c>
      <c r="B9" s="3" t="inlineStr">
        <is>
          <t>Peralatan potong pipa
T2/mekanik / cilinder saw</t>
        </is>
      </c>
      <c r="C9" s="3" t="inlineStr">
        <is>
          <t xml:space="preserve">hari </t>
        </is>
      </c>
      <c r="D9" s="4" t="n">
        <v>75000</v>
      </c>
    </row>
    <row r="10">
      <c r="A10" s="3" t="n">
        <v>6</v>
      </c>
      <c r="B10" s="3" t="inlineStr">
        <is>
          <t>Butt Fushion dan Genset</t>
        </is>
      </c>
      <c r="C10" s="3" t="inlineStr">
        <is>
          <t xml:space="preserve">hari </t>
        </is>
      </c>
      <c r="D10" s="4" t="n">
        <v>2500000</v>
      </c>
    </row>
    <row r="11">
      <c r="A11" s="3" t="n">
        <v>7</v>
      </c>
      <c r="B11" s="3" t="inlineStr">
        <is>
          <t xml:space="preserve">Compressor </t>
        </is>
      </c>
      <c r="C11" s="3" t="inlineStr">
        <is>
          <t xml:space="preserve">jam </t>
        </is>
      </c>
      <c r="D11" s="4" t="n">
        <v>92500</v>
      </c>
    </row>
    <row r="12">
      <c r="A12" s="3" t="n">
        <v>8</v>
      </c>
      <c r="B12" s="3" t="inlineStr">
        <is>
          <t>Asphalt Distributor</t>
        </is>
      </c>
      <c r="C12" s="3" t="inlineStr">
        <is>
          <t>jam</t>
        </is>
      </c>
      <c r="D12" s="4" t="n">
        <v>307300</v>
      </c>
    </row>
    <row r="13">
      <c r="A13" s="3" t="n">
        <v>9</v>
      </c>
      <c r="B13" s="3" t="inlineStr">
        <is>
          <t>Asphalt  finisher</t>
        </is>
      </c>
      <c r="C13" s="3" t="inlineStr">
        <is>
          <t>jam</t>
        </is>
      </c>
      <c r="D13" s="4" t="n">
        <v>602500</v>
      </c>
    </row>
    <row r="14">
      <c r="A14" s="3" t="n">
        <v>10</v>
      </c>
      <c r="B14" s="3" t="inlineStr">
        <is>
          <t>Asphalt  liquid mixer 1000 ℓ</t>
        </is>
      </c>
      <c r="C14" s="3" t="inlineStr">
        <is>
          <t>jam</t>
        </is>
      </c>
      <c r="D14" s="4" t="n">
        <v>61100</v>
      </c>
    </row>
    <row r="15">
      <c r="A15" s="3" t="n">
        <v>11</v>
      </c>
      <c r="B15" s="3" t="inlineStr">
        <is>
          <t>Asphalt  mixing plant</t>
        </is>
      </c>
      <c r="C15" s="3" t="inlineStr">
        <is>
          <t>jam</t>
        </is>
      </c>
      <c r="D15" s="4" t="n">
        <v>6253800</v>
      </c>
    </row>
    <row r="16">
      <c r="A16" s="3" t="n">
        <v>12</v>
      </c>
      <c r="B16" s="3" t="inlineStr">
        <is>
          <t>Asphalt  sprayer 850 ℓ</t>
        </is>
      </c>
      <c r="C16" s="3" t="inlineStr">
        <is>
          <t>jam</t>
        </is>
      </c>
      <c r="D16" s="4" t="n">
        <v>74900</v>
      </c>
    </row>
    <row r="17">
      <c r="A17" s="3" t="n">
        <v>13</v>
      </c>
      <c r="B17" s="3" t="inlineStr">
        <is>
          <t>Bender baja beton</t>
        </is>
      </c>
      <c r="C17" s="3" t="inlineStr">
        <is>
          <t>hari</t>
        </is>
      </c>
      <c r="D17" s="4" t="n">
        <v>850000</v>
      </c>
    </row>
    <row r="18">
      <c r="A18" s="3" t="n">
        <v>14</v>
      </c>
      <c r="B18" s="3" t="inlineStr">
        <is>
          <t>Blending equipment</t>
        </is>
      </c>
      <c r="C18" s="3" t="inlineStr">
        <is>
          <t>jam</t>
        </is>
      </c>
      <c r="D18" s="4" t="n">
        <v>235000</v>
      </c>
    </row>
    <row r="19">
      <c r="A19" s="3" t="n">
        <v>15</v>
      </c>
      <c r="B19" s="3" t="inlineStr">
        <is>
          <t>Bore pile machine</t>
        </is>
      </c>
      <c r="C19" s="3" t="inlineStr">
        <is>
          <t>jam</t>
        </is>
      </c>
      <c r="D19" s="4" t="n">
        <v>476900</v>
      </c>
    </row>
    <row r="20">
      <c r="A20" s="3" t="n">
        <v>16</v>
      </c>
      <c r="B20" s="3" t="inlineStr">
        <is>
          <t>Bulldozer 100-150 HP</t>
        </is>
      </c>
      <c r="C20" s="3" t="inlineStr">
        <is>
          <t>jam</t>
        </is>
      </c>
      <c r="D20" s="4" t="n">
        <v>912500</v>
      </c>
    </row>
    <row r="21">
      <c r="A21" s="3" t="n">
        <v>17</v>
      </c>
      <c r="B21" s="3" t="inlineStr">
        <is>
          <t>Chain saw</t>
        </is>
      </c>
      <c r="C21" s="3" t="inlineStr">
        <is>
          <t>jam</t>
        </is>
      </c>
      <c r="D21" s="4" t="n">
        <v>60200</v>
      </c>
    </row>
    <row r="22">
      <c r="A22" s="3" t="n">
        <v>18</v>
      </c>
      <c r="B22" s="3" t="inlineStr">
        <is>
          <t>Chainsaw 20”; 5,5HP</t>
        </is>
      </c>
      <c r="C22" s="3" t="inlineStr">
        <is>
          <t>hari</t>
        </is>
      </c>
      <c r="D22" s="4" t="n">
        <v>300000</v>
      </c>
    </row>
    <row r="23">
      <c r="A23" s="3" t="n">
        <v>19</v>
      </c>
      <c r="B23" s="3" t="inlineStr">
        <is>
          <t>Chainsaw 30”; 7,5HP</t>
        </is>
      </c>
      <c r="C23" s="3" t="inlineStr">
        <is>
          <t>hari</t>
        </is>
      </c>
      <c r="D23" s="4" t="n">
        <v>300000</v>
      </c>
    </row>
    <row r="24">
      <c r="A24" s="3" t="n">
        <v>20</v>
      </c>
      <c r="B24" s="3" t="inlineStr">
        <is>
          <t>Cold milling machine</t>
        </is>
      </c>
      <c r="C24" s="3" t="inlineStr">
        <is>
          <t>jam</t>
        </is>
      </c>
      <c r="D24" s="4" t="n">
        <v>648500</v>
      </c>
    </row>
    <row r="25">
      <c r="A25" s="3" t="n">
        <v>21</v>
      </c>
      <c r="B25" s="3" t="inlineStr">
        <is>
          <t>Colt T-120 (D); R-Blk. 4; 12 m3</t>
        </is>
      </c>
      <c r="C25" s="3" t="inlineStr">
        <is>
          <t>jam</t>
        </is>
      </c>
      <c r="D25" s="4" t="n">
        <v>314110.76</v>
      </c>
    </row>
    <row r="26">
      <c r="A26" s="3" t="n">
        <v>22</v>
      </c>
      <c r="B26" s="3" t="inlineStr">
        <is>
          <t>Compressor 4000-6500 ℓ\m</t>
        </is>
      </c>
      <c r="C26" s="3" t="inlineStr">
        <is>
          <t>jam</t>
        </is>
      </c>
      <c r="D26" s="4" t="n">
        <v>185500</v>
      </c>
    </row>
    <row r="27">
      <c r="A27" s="3" t="n">
        <v>23</v>
      </c>
      <c r="B27" s="3" t="inlineStr">
        <is>
          <t>Concrete mixer 350 ℓ</t>
        </is>
      </c>
      <c r="C27" s="3" t="inlineStr">
        <is>
          <t>jam</t>
        </is>
      </c>
      <c r="D27" s="4" t="n">
        <v>94600</v>
      </c>
    </row>
    <row r="28">
      <c r="A28" s="3" t="n">
        <v>24</v>
      </c>
      <c r="B28" s="3" t="inlineStr">
        <is>
          <t>Concrete mixer 500 ℓ</t>
        </is>
      </c>
      <c r="C28" s="3" t="inlineStr">
        <is>
          <t>jam</t>
        </is>
      </c>
      <c r="D28" s="4" t="n">
        <v>103400</v>
      </c>
    </row>
    <row r="29">
      <c r="A29" s="3" t="n">
        <v>25</v>
      </c>
      <c r="B29" s="3" t="inlineStr">
        <is>
          <t>Concrete mixer truck 5 m³</t>
        </is>
      </c>
      <c r="C29" s="3" t="inlineStr">
        <is>
          <t>jam</t>
        </is>
      </c>
      <c r="D29" s="4" t="n">
        <v>576100</v>
      </c>
    </row>
    <row r="30">
      <c r="A30" s="3" t="n">
        <v>26</v>
      </c>
      <c r="B30" s="3" t="inlineStr">
        <is>
          <t>Concrete pan mixer</t>
        </is>
      </c>
      <c r="C30" s="3" t="inlineStr">
        <is>
          <t>jam</t>
        </is>
      </c>
      <c r="D30" s="4" t="n">
        <v>800700</v>
      </c>
    </row>
    <row r="31">
      <c r="A31" s="3" t="n">
        <v>27</v>
      </c>
      <c r="B31" s="3" t="inlineStr">
        <is>
          <t>Concrete pump</t>
        </is>
      </c>
      <c r="C31" s="3" t="inlineStr">
        <is>
          <t>jam</t>
        </is>
      </c>
      <c r="D31" s="4" t="n">
        <v>296800</v>
      </c>
    </row>
    <row r="32">
      <c r="A32" s="3" t="n">
        <v>28</v>
      </c>
      <c r="B32" s="3" t="inlineStr">
        <is>
          <t>Concrete slip form paver</t>
        </is>
      </c>
      <c r="C32" s="3" t="inlineStr">
        <is>
          <t>jam</t>
        </is>
      </c>
      <c r="D32" s="4" t="n">
        <v>582400</v>
      </c>
    </row>
    <row r="33">
      <c r="A33" s="3" t="n">
        <v>29</v>
      </c>
      <c r="B33" s="3" t="inlineStr">
        <is>
          <t>Concrete vibrator</t>
        </is>
      </c>
      <c r="C33" s="3" t="inlineStr">
        <is>
          <t>hari</t>
        </is>
      </c>
      <c r="D33" s="4" t="n">
        <v>800000</v>
      </c>
    </row>
    <row r="34">
      <c r="A34" s="3" t="n">
        <v>30</v>
      </c>
      <c r="B34" s="3" t="inlineStr">
        <is>
          <t>Crane on track 35 ton</t>
        </is>
      </c>
      <c r="C34" s="3" t="inlineStr">
        <is>
          <t>jam</t>
        </is>
      </c>
      <c r="D34" s="4" t="n">
        <v>440800</v>
      </c>
    </row>
    <row r="35">
      <c r="A35" s="3" t="n">
        <v>31</v>
      </c>
      <c r="B35" s="3" t="inlineStr">
        <is>
          <t>Crane Truck 3 ton; Winch 5 Ton</t>
        </is>
      </c>
      <c r="C35" s="3" t="inlineStr">
        <is>
          <t>jam</t>
        </is>
      </c>
      <c r="D35" s="4" t="n">
        <v>430662.86</v>
      </c>
    </row>
    <row r="36">
      <c r="A36" s="3" t="n">
        <v>32</v>
      </c>
      <c r="B36" s="3" t="inlineStr">
        <is>
          <t>Crane on wheel 10-15 ton</t>
        </is>
      </c>
      <c r="C36" s="3" t="inlineStr">
        <is>
          <t>jam</t>
        </is>
      </c>
      <c r="D36" s="4" t="n">
        <v>359800</v>
      </c>
    </row>
    <row r="37">
      <c r="A37" s="3" t="n">
        <v>33</v>
      </c>
      <c r="B37" s="3" t="inlineStr">
        <is>
          <t>Cutter baja beton</t>
        </is>
      </c>
      <c r="C37" s="3" t="inlineStr">
        <is>
          <t>hari</t>
        </is>
      </c>
      <c r="D37" s="4" t="n">
        <v>800000</v>
      </c>
    </row>
    <row r="38">
      <c r="A38" s="3" t="n">
        <v>34</v>
      </c>
      <c r="B38" s="3" t="inlineStr">
        <is>
          <t>Cutting machine</t>
        </is>
      </c>
      <c r="C38" s="3" t="inlineStr">
        <is>
          <t>jam</t>
        </is>
      </c>
      <c r="D38" s="4" t="n">
        <v>55100</v>
      </c>
    </row>
    <row r="39">
      <c r="A39" s="3" t="n">
        <v>35</v>
      </c>
      <c r="B39" s="3" t="inlineStr">
        <is>
          <t>Depresiasi alat  compressor</t>
        </is>
      </c>
      <c r="C39" s="3" t="inlineStr">
        <is>
          <t>hari</t>
        </is>
      </c>
      <c r="D39" s="4" t="n">
        <v>425000</v>
      </c>
    </row>
    <row r="40">
      <c r="A40" s="3" t="n">
        <v>36</v>
      </c>
      <c r="B40" s="3" t="inlineStr">
        <is>
          <t>Depresiasi mesin pompa uji</t>
        </is>
      </c>
      <c r="C40" s="3" t="inlineStr">
        <is>
          <t>hari</t>
        </is>
      </c>
      <c r="D40" s="4" t="n">
        <v>42000</v>
      </c>
    </row>
    <row r="41">
      <c r="A41" s="3" t="n">
        <v>37</v>
      </c>
      <c r="B41" s="3" t="inlineStr">
        <is>
          <t>Depresiasi peralatan pemboran</t>
        </is>
      </c>
      <c r="C41" s="3" t="inlineStr">
        <is>
          <t>hari</t>
        </is>
      </c>
      <c r="D41" s="4" t="n">
        <v>265000</v>
      </c>
    </row>
    <row r="42">
      <c r="A42" s="3" t="n">
        <v>38</v>
      </c>
      <c r="B42" s="3" t="inlineStr">
        <is>
          <t>Dump truck 1</t>
        </is>
      </c>
      <c r="C42" s="3" t="inlineStr">
        <is>
          <t>jam</t>
        </is>
      </c>
      <c r="D42" s="4" t="n">
        <v>556100</v>
      </c>
    </row>
    <row r="43">
      <c r="A43" s="3" t="n">
        <v>39</v>
      </c>
      <c r="B43" s="3" t="inlineStr">
        <is>
          <t>Dump truck 2</t>
        </is>
      </c>
      <c r="C43" s="3" t="inlineStr">
        <is>
          <t>jam</t>
        </is>
      </c>
      <c r="D43" s="4" t="n">
        <v>556100</v>
      </c>
    </row>
    <row r="44">
      <c r="A44" s="3" t="n">
        <v>40</v>
      </c>
      <c r="B44" s="3" t="inlineStr">
        <is>
          <t>Dump truck 3</t>
        </is>
      </c>
      <c r="C44" s="3" t="inlineStr">
        <is>
          <t>jam</t>
        </is>
      </c>
      <c r="D44" s="4" t="n">
        <v>556100</v>
      </c>
    </row>
    <row r="45">
      <c r="A45" s="3" t="n">
        <v>41</v>
      </c>
      <c r="B45" s="3" t="inlineStr">
        <is>
          <t>Dump truck 20 ton</t>
        </is>
      </c>
      <c r="C45" s="3" t="inlineStr">
        <is>
          <t>jam</t>
        </is>
      </c>
      <c r="D45" s="4" t="n">
        <v>556100</v>
      </c>
    </row>
    <row r="46">
      <c r="A46" s="3" t="n">
        <v>42</v>
      </c>
      <c r="B46" s="3" t="inlineStr">
        <is>
          <t>Dump truck 3,5 ton</t>
        </is>
      </c>
      <c r="C46" s="3" t="inlineStr">
        <is>
          <t>jam</t>
        </is>
      </c>
      <c r="D46" s="4" t="n">
        <v>304800</v>
      </c>
    </row>
    <row r="47">
      <c r="A47" s="3" t="n">
        <v>43</v>
      </c>
      <c r="B47" s="3" t="inlineStr">
        <is>
          <t>Dump truck 40 ton</t>
        </is>
      </c>
      <c r="C47" s="3" t="inlineStr">
        <is>
          <t>jam</t>
        </is>
      </c>
      <c r="D47" s="4" t="n">
        <v>676500</v>
      </c>
    </row>
    <row r="48">
      <c r="A48" s="3" t="n">
        <v>44</v>
      </c>
      <c r="B48" s="3" t="inlineStr">
        <is>
          <t>Dump truck 7,5 ton</t>
        </is>
      </c>
      <c r="C48" s="3" t="inlineStr">
        <is>
          <t>jam</t>
        </is>
      </c>
      <c r="D48" s="4" t="n">
        <v>344400</v>
      </c>
    </row>
    <row r="49">
      <c r="A49" s="3" t="n">
        <v>45</v>
      </c>
      <c r="B49" s="3" t="inlineStr">
        <is>
          <t>Pick up L300</t>
        </is>
      </c>
      <c r="C49" s="3" t="inlineStr">
        <is>
          <t>jam</t>
        </is>
      </c>
      <c r="D49" s="4" t="n">
        <v>268539.71</v>
      </c>
    </row>
    <row r="50">
      <c r="A50" s="3" t="n">
        <v>46</v>
      </c>
      <c r="B50" s="3" t="inlineStr">
        <is>
          <t>Fuso (D); R-Blk. 8; 35 m3</t>
        </is>
      </c>
      <c r="C50" s="3" t="inlineStr">
        <is>
          <t>jam</t>
        </is>
      </c>
      <c r="D50" s="4" t="n">
        <v>418543.76</v>
      </c>
    </row>
    <row r="51">
      <c r="A51" s="3" t="n">
        <v>47</v>
      </c>
      <c r="B51" s="3" t="inlineStr">
        <is>
          <t>Flat deck truck 7 ton</t>
        </is>
      </c>
      <c r="C51" s="3" t="inlineStr">
        <is>
          <t xml:space="preserve">hari </t>
        </is>
      </c>
      <c r="D51" s="4" t="n">
        <v>2700000</v>
      </c>
    </row>
    <row r="52">
      <c r="A52" s="3" t="n">
        <v>48</v>
      </c>
      <c r="B52" s="3" t="inlineStr">
        <is>
          <t xml:space="preserve">Hoist 1 ton </t>
        </is>
      </c>
      <c r="C52" s="3" t="inlineStr">
        <is>
          <t xml:space="preserve">hari </t>
        </is>
      </c>
      <c r="D52" s="4" t="n">
        <v>180000</v>
      </c>
    </row>
    <row r="53">
      <c r="A53" s="3" t="n">
        <v>49</v>
      </c>
      <c r="B53" s="3" t="inlineStr">
        <is>
          <t>Excavator 95 HP</t>
        </is>
      </c>
      <c r="C53" s="3" t="inlineStr">
        <is>
          <t>jam</t>
        </is>
      </c>
      <c r="D53" s="4" t="n">
        <v>480000</v>
      </c>
    </row>
    <row r="54">
      <c r="A54" s="3" t="n">
        <v>50</v>
      </c>
      <c r="B54" s="3" t="inlineStr">
        <is>
          <t xml:space="preserve">Excavator </t>
        </is>
      </c>
      <c r="C54" s="3" t="inlineStr">
        <is>
          <t xml:space="preserve">Hari </t>
        </is>
      </c>
      <c r="D54" s="4" t="n">
        <v>5150000</v>
      </c>
    </row>
    <row r="55">
      <c r="A55" s="3" t="n">
        <v>51</v>
      </c>
      <c r="B55" s="3" t="inlineStr">
        <is>
          <t>Excavator 80-140 HP</t>
        </is>
      </c>
      <c r="C55" s="3" t="inlineStr">
        <is>
          <t>jam</t>
        </is>
      </c>
      <c r="D55" s="4" t="n">
        <v>668200</v>
      </c>
    </row>
    <row r="56">
      <c r="A56" s="3" t="n">
        <v>52</v>
      </c>
      <c r="B56" s="3" t="inlineStr">
        <is>
          <t>Flat  bed truck 3-4 m³</t>
        </is>
      </c>
      <c r="C56" s="3" t="inlineStr">
        <is>
          <t>jam</t>
        </is>
      </c>
      <c r="D56" s="4" t="n">
        <v>465100</v>
      </c>
    </row>
    <row r="57">
      <c r="A57" s="3" t="n">
        <v>53</v>
      </c>
      <c r="B57" s="3" t="inlineStr">
        <is>
          <t>Generator set  135 KVA</t>
        </is>
      </c>
      <c r="C57" s="3" t="inlineStr">
        <is>
          <t>jam</t>
        </is>
      </c>
      <c r="D57" s="4" t="n">
        <v>410200</v>
      </c>
    </row>
    <row r="58">
      <c r="A58" s="3" t="n">
        <v>54</v>
      </c>
      <c r="B58" s="3" t="inlineStr">
        <is>
          <t>Jack hammer</t>
        </is>
      </c>
      <c r="C58" s="3" t="inlineStr">
        <is>
          <t>hari</t>
        </is>
      </c>
      <c r="D58" s="4" t="n">
        <v>350000</v>
      </c>
    </row>
    <row r="59">
      <c r="A59" s="3" t="n">
        <v>55</v>
      </c>
      <c r="B59" s="3" t="inlineStr">
        <is>
          <t>Jack hammer (5 kW) + Genset (12 HP)</t>
        </is>
      </c>
      <c r="C59" s="3" t="inlineStr">
        <is>
          <t>hari</t>
        </is>
      </c>
      <c r="D59" s="4" t="n">
        <v>350000</v>
      </c>
    </row>
    <row r="60">
      <c r="A60" s="3" t="n">
        <v>56</v>
      </c>
      <c r="B60" s="3" t="inlineStr">
        <is>
          <t>Jack hammer + genset</t>
        </is>
      </c>
      <c r="C60" s="3" t="inlineStr">
        <is>
          <t>hari</t>
        </is>
      </c>
      <c r="D60" s="4" t="n">
        <v>2300000</v>
      </c>
    </row>
    <row r="61">
      <c r="A61" s="3" t="n">
        <v>57</v>
      </c>
      <c r="B61" s="3" t="inlineStr">
        <is>
          <t xml:space="preserve">Sewa Genset </t>
        </is>
      </c>
      <c r="C61" s="3" t="inlineStr">
        <is>
          <t xml:space="preserve">hari </t>
        </is>
      </c>
      <c r="D61" s="4" t="n">
        <v>150000</v>
      </c>
    </row>
    <row r="62">
      <c r="A62" s="3" t="n">
        <v>58</v>
      </c>
      <c r="B62" s="3" t="inlineStr">
        <is>
          <t>Mata bor auger 20 cm</t>
        </is>
      </c>
      <c r="C62" s="3" t="inlineStr">
        <is>
          <t>hari</t>
        </is>
      </c>
      <c r="D62" s="4" t="n">
        <v>100000</v>
      </c>
    </row>
    <row r="63">
      <c r="A63" s="3" t="n">
        <v>59</v>
      </c>
      <c r="B63" s="3" t="inlineStr">
        <is>
          <t>Mata bor auger 30 cm</t>
        </is>
      </c>
      <c r="C63" s="3" t="inlineStr">
        <is>
          <t>hari</t>
        </is>
      </c>
      <c r="D63" s="4" t="n">
        <v>170000</v>
      </c>
    </row>
    <row r="64">
      <c r="A64" s="3" t="n">
        <v>60</v>
      </c>
      <c r="B64" s="3" t="inlineStr">
        <is>
          <t>Mata bor auger 40 cm</t>
        </is>
      </c>
      <c r="C64" s="3" t="inlineStr">
        <is>
          <t>hari</t>
        </is>
      </c>
      <c r="D64" s="4" t="n">
        <v>250000</v>
      </c>
    </row>
    <row r="65">
      <c r="A65" s="3" t="n">
        <v>61</v>
      </c>
      <c r="B65" s="3" t="inlineStr">
        <is>
          <t>Mata bor auger 50 cm</t>
        </is>
      </c>
      <c r="C65" s="3" t="inlineStr">
        <is>
          <t>hari</t>
        </is>
      </c>
      <c r="D65" s="4" t="n">
        <v>340000</v>
      </c>
    </row>
    <row r="66">
      <c r="A66" s="3" t="n">
        <v>62</v>
      </c>
      <c r="B66" s="3" t="inlineStr">
        <is>
          <t>Mesin gilas  2 roda 6 - 10 ton</t>
        </is>
      </c>
      <c r="C66" s="3" t="inlineStr">
        <is>
          <t>jam</t>
        </is>
      </c>
      <c r="D66" s="4" t="n">
        <v>325000</v>
      </c>
    </row>
    <row r="67">
      <c r="A67" s="3" t="n">
        <v>63</v>
      </c>
      <c r="B67" s="3" t="inlineStr">
        <is>
          <t>Mesin gilas  3 roda 6 - 10 ton</t>
        </is>
      </c>
      <c r="C67" s="3" t="inlineStr">
        <is>
          <t>jam</t>
        </is>
      </c>
      <c r="D67" s="4" t="n">
        <v>350000</v>
      </c>
    </row>
    <row r="68">
      <c r="A68" s="3" t="n">
        <v>64</v>
      </c>
      <c r="B68" s="3" t="inlineStr">
        <is>
          <t>Mesin gilas  roda karet  8 - 10 ton</t>
        </is>
      </c>
      <c r="C68" s="3" t="inlineStr">
        <is>
          <t>jam</t>
        </is>
      </c>
      <c r="D68" s="4" t="n">
        <v>415000</v>
      </c>
    </row>
    <row r="69">
      <c r="A69" s="3" t="n">
        <v>65</v>
      </c>
      <c r="B69" s="3" t="inlineStr">
        <is>
          <t>Mesin poles</t>
        </is>
      </c>
      <c r="C69" s="3" t="inlineStr">
        <is>
          <t>hari</t>
        </is>
      </c>
      <c r="D69" s="4" t="n">
        <v>150000</v>
      </c>
    </row>
    <row r="70">
      <c r="A70" s="3" t="n">
        <v>66</v>
      </c>
      <c r="B70" s="3" t="inlineStr">
        <is>
          <t>Mesin trowel</t>
        </is>
      </c>
      <c r="C70" s="3" t="inlineStr">
        <is>
          <t>jam</t>
        </is>
      </c>
      <c r="D70" s="4" t="n">
        <v>45000</v>
      </c>
    </row>
    <row r="71">
      <c r="A71" s="3" t="n">
        <v>67</v>
      </c>
      <c r="B71" s="3" t="inlineStr">
        <is>
          <t>Mesin Gendong</t>
        </is>
      </c>
      <c r="C71" s="3" t="inlineStr">
        <is>
          <t xml:space="preserve">Jam </t>
        </is>
      </c>
      <c r="D71" s="4" t="n">
        <v>150000</v>
      </c>
    </row>
    <row r="72">
      <c r="A72" s="3" t="n">
        <v>68</v>
      </c>
      <c r="B72" s="3" t="inlineStr">
        <is>
          <t>Motor grader &gt;100 HP</t>
        </is>
      </c>
      <c r="C72" s="3" t="inlineStr">
        <is>
          <t>jam</t>
        </is>
      </c>
      <c r="D72" s="4" t="n">
        <v>548600</v>
      </c>
    </row>
    <row r="73">
      <c r="A73" s="3" t="n">
        <v>69</v>
      </c>
      <c r="B73" s="3" t="inlineStr">
        <is>
          <t>Pedestrian Roller</t>
        </is>
      </c>
      <c r="C73" s="3" t="inlineStr">
        <is>
          <t>jam</t>
        </is>
      </c>
      <c r="D73" s="4" t="n">
        <v>99800</v>
      </c>
    </row>
    <row r="74">
      <c r="A74" s="3" t="n">
        <v>70</v>
      </c>
      <c r="B74" s="3" t="inlineStr">
        <is>
          <t>Pile driver +  hammer 2,5 ton</t>
        </is>
      </c>
      <c r="C74" s="3" t="inlineStr">
        <is>
          <t>jam</t>
        </is>
      </c>
      <c r="D74" s="4" t="n">
        <v>153400</v>
      </c>
    </row>
    <row r="75">
      <c r="A75" s="3" t="n">
        <v>71</v>
      </c>
      <c r="B75" s="3" t="inlineStr">
        <is>
          <t>Pneumatic  tire roller 8-10 ton</t>
        </is>
      </c>
      <c r="C75" s="3" t="inlineStr">
        <is>
          <t>jam</t>
        </is>
      </c>
      <c r="D75" s="4" t="n">
        <v>491000</v>
      </c>
    </row>
    <row r="76">
      <c r="A76" s="3" t="n">
        <v>72</v>
      </c>
      <c r="B76" s="3" t="inlineStr">
        <is>
          <t>Pompa beton ∅ 2,5", 75KW; 120 bar, T= 50 m'/H=80 m’</t>
        </is>
      </c>
      <c r="C76" s="3" t="inlineStr">
        <is>
          <t>hari</t>
        </is>
      </c>
      <c r="D76" s="4" t="n">
        <v>6600000</v>
      </c>
    </row>
    <row r="77">
      <c r="A77" s="3" t="n">
        <v>73</v>
      </c>
      <c r="B77" s="3" t="inlineStr">
        <is>
          <t>Pompa beton ∅ 2,5",20 KW; 20 bar, T = 18 m'</t>
        </is>
      </c>
      <c r="C77" s="3" t="inlineStr">
        <is>
          <t>hari</t>
        </is>
      </c>
      <c r="D77" s="4" t="n">
        <v>6300000</v>
      </c>
    </row>
    <row r="78">
      <c r="A78" s="3" t="n">
        <v>74</v>
      </c>
      <c r="B78" s="3" t="inlineStr">
        <is>
          <t>Pompa beton ∅ 3",140KW; 180 bar, T = 75 m' / H=150 m'</t>
        </is>
      </c>
      <c r="C78" s="3" t="inlineStr">
        <is>
          <t>hari</t>
        </is>
      </c>
      <c r="D78" s="4" t="n">
        <v>8000000</v>
      </c>
    </row>
    <row r="79">
      <c r="A79" s="3" t="n">
        <v>75</v>
      </c>
      <c r="B79" s="3" t="inlineStr">
        <is>
          <t>Pompa beton φ 1,5";5 KW; 8 bar; T = 5 m'</t>
        </is>
      </c>
      <c r="C79" s="3" t="inlineStr">
        <is>
          <t>hari</t>
        </is>
      </c>
      <c r="D79" s="4" t="n">
        <v>6000000</v>
      </c>
    </row>
    <row r="80">
      <c r="A80" s="3" t="n">
        <v>76</v>
      </c>
      <c r="B80" s="3" t="inlineStr">
        <is>
          <t>Road Marking Machine</t>
        </is>
      </c>
      <c r="C80" s="3" t="inlineStr">
        <is>
          <t>jam</t>
        </is>
      </c>
      <c r="D80" s="4" t="n">
        <v>491000</v>
      </c>
    </row>
    <row r="81">
      <c r="A81" s="3" t="n">
        <v>77</v>
      </c>
      <c r="B81" s="3" t="inlineStr">
        <is>
          <t>Sewa alat cutting machine</t>
        </is>
      </c>
      <c r="C81" s="3" t="inlineStr">
        <is>
          <t>hari</t>
        </is>
      </c>
      <c r="D81" s="4" t="n">
        <v>25000</v>
      </c>
    </row>
    <row r="82">
      <c r="A82" s="3" t="n">
        <v>78</v>
      </c>
      <c r="B82" s="3" t="inlineStr">
        <is>
          <t>Sewa alat las</t>
        </is>
      </c>
      <c r="C82" s="3" t="inlineStr">
        <is>
          <t>hari</t>
        </is>
      </c>
      <c r="D82" s="4" t="n">
        <v>25000</v>
      </c>
    </row>
    <row r="83">
      <c r="A83" s="3" t="n">
        <v>79</v>
      </c>
      <c r="B83" s="3" t="inlineStr">
        <is>
          <t xml:space="preserve">Alat las listrik </t>
        </is>
      </c>
      <c r="C83" s="3" t="inlineStr">
        <is>
          <t xml:space="preserve">jam </t>
        </is>
      </c>
      <c r="D83" s="4" t="n">
        <v>3125</v>
      </c>
    </row>
    <row r="84">
      <c r="A84" s="3" t="n">
        <v>80</v>
      </c>
      <c r="B84" s="3" t="inlineStr">
        <is>
          <t>Alat las listrik 150 A</t>
        </is>
      </c>
      <c r="C84" s="3" t="inlineStr">
        <is>
          <t xml:space="preserve">jam </t>
        </is>
      </c>
      <c r="D84" s="4" t="n">
        <v>3125</v>
      </c>
    </row>
    <row r="85">
      <c r="A85" s="3" t="n">
        <v>81</v>
      </c>
      <c r="B85" s="3" t="inlineStr">
        <is>
          <t>Alat las listrik 250 A</t>
        </is>
      </c>
      <c r="C85" s="3" t="inlineStr">
        <is>
          <t xml:space="preserve">jam </t>
        </is>
      </c>
      <c r="D85" s="4" t="n">
        <v>3125</v>
      </c>
    </row>
    <row r="86">
      <c r="A86" s="3" t="n">
        <v>82</v>
      </c>
      <c r="B86" s="3" t="inlineStr">
        <is>
          <t>Alat las listrik 350 A</t>
        </is>
      </c>
      <c r="C86" s="3" t="inlineStr">
        <is>
          <t xml:space="preserve">jam </t>
        </is>
      </c>
      <c r="D86" s="4" t="n">
        <v>3125</v>
      </c>
    </row>
    <row r="87">
      <c r="A87" s="3" t="n">
        <v>83</v>
      </c>
      <c r="B87" s="3" t="inlineStr">
        <is>
          <t>Alat las listrik 500 A</t>
        </is>
      </c>
      <c r="C87" s="3" t="inlineStr">
        <is>
          <t xml:space="preserve">jam </t>
        </is>
      </c>
      <c r="D87" s="4" t="n">
        <v>3125</v>
      </c>
    </row>
    <row r="88">
      <c r="A88" s="3" t="n">
        <v>84</v>
      </c>
      <c r="B88" s="3" t="inlineStr">
        <is>
          <t>Mesin Las Gotextile</t>
        </is>
      </c>
      <c r="C88" s="3" t="inlineStr">
        <is>
          <t xml:space="preserve">hari </t>
        </is>
      </c>
      <c r="D88" s="4" t="n">
        <v>25000</v>
      </c>
    </row>
    <row r="89">
      <c r="A89" s="3" t="n">
        <v>85</v>
      </c>
      <c r="B89" s="3" t="inlineStr">
        <is>
          <t xml:space="preserve">Kunci Momen </t>
        </is>
      </c>
      <c r="C89" s="3" t="inlineStr">
        <is>
          <t>hari</t>
        </is>
      </c>
      <c r="D89" s="4" t="n">
        <v>20000</v>
      </c>
    </row>
    <row r="90">
      <c r="A90" s="3" t="n">
        <v>86</v>
      </c>
      <c r="B90" s="3" t="inlineStr">
        <is>
          <t>Sewa bor horisontal</t>
        </is>
      </c>
      <c r="C90" s="3" t="inlineStr">
        <is>
          <t>hari</t>
        </is>
      </c>
      <c r="D90" s="4" t="n">
        <v>150000</v>
      </c>
    </row>
    <row r="91">
      <c r="A91" s="3" t="n">
        <v>87</v>
      </c>
      <c r="B91" s="3" t="inlineStr">
        <is>
          <t>Sewa Scaffolding</t>
        </is>
      </c>
      <c r="C91" s="3" t="inlineStr">
        <is>
          <t>hari</t>
        </is>
      </c>
      <c r="D91" s="4" t="n">
        <v>586.6666666666665</v>
      </c>
    </row>
    <row r="92">
      <c r="A92" s="3" t="n">
        <v>88</v>
      </c>
      <c r="B92" s="3" t="inlineStr">
        <is>
          <t xml:space="preserve">Sewa Gondola </t>
        </is>
      </c>
      <c r="C92" s="3" t="inlineStr">
        <is>
          <t>hari</t>
        </is>
      </c>
      <c r="D92" s="4" t="n">
        <v>322000</v>
      </c>
    </row>
    <row r="93">
      <c r="A93" s="3" t="n">
        <v>89</v>
      </c>
      <c r="B93" s="3" t="inlineStr">
        <is>
          <t>Sewa Pipe Support</t>
        </is>
      </c>
      <c r="C93" s="3" t="inlineStr">
        <is>
          <t xml:space="preserve">hari </t>
        </is>
      </c>
      <c r="D93" s="4" t="n">
        <v>850</v>
      </c>
    </row>
    <row r="94">
      <c r="A94" s="3" t="n">
        <v>90</v>
      </c>
      <c r="B94" s="3" t="inlineStr">
        <is>
          <t>Stamper</t>
        </is>
      </c>
      <c r="C94" s="3" t="inlineStr">
        <is>
          <t>jam</t>
        </is>
      </c>
      <c r="D94" s="4" t="n">
        <v>35000</v>
      </c>
    </row>
    <row r="95">
      <c r="A95" s="3" t="n">
        <v>91</v>
      </c>
      <c r="B95" s="3" t="inlineStr">
        <is>
          <t xml:space="preserve">Sprayer Gendong </t>
        </is>
      </c>
      <c r="C95" s="3" t="inlineStr">
        <is>
          <t xml:space="preserve">Hari </t>
        </is>
      </c>
      <c r="D95" s="4" t="n">
        <v>350000</v>
      </c>
    </row>
    <row r="96">
      <c r="A96" s="3" t="n">
        <v>92</v>
      </c>
      <c r="B96" s="3" t="inlineStr">
        <is>
          <t xml:space="preserve">Stamper Kodok 150 kg </t>
        </is>
      </c>
      <c r="C96" s="3" t="inlineStr">
        <is>
          <t xml:space="preserve">Hari </t>
        </is>
      </c>
      <c r="D96" s="4" t="n">
        <v>350000</v>
      </c>
    </row>
    <row r="97">
      <c r="A97" s="3" t="n">
        <v>93</v>
      </c>
      <c r="B97" s="3" t="inlineStr">
        <is>
          <t xml:space="preserve">Stamper Kuda </t>
        </is>
      </c>
      <c r="C97" s="3" t="inlineStr">
        <is>
          <t xml:space="preserve">hari </t>
        </is>
      </c>
      <c r="D97" s="4" t="n">
        <v>290000</v>
      </c>
    </row>
    <row r="98">
      <c r="A98" s="3" t="n">
        <v>94</v>
      </c>
      <c r="B98" s="3" t="inlineStr">
        <is>
          <t xml:space="preserve">Stamper D-Drum </t>
        </is>
      </c>
      <c r="C98" s="3" t="inlineStr">
        <is>
          <t xml:space="preserve">hari </t>
        </is>
      </c>
      <c r="D98" s="4" t="n">
        <v>310000</v>
      </c>
    </row>
    <row r="99">
      <c r="A99" s="3" t="n">
        <v>95</v>
      </c>
      <c r="B99" s="3" t="inlineStr">
        <is>
          <t>Stamper Smooth_Drum</t>
        </is>
      </c>
      <c r="C99" s="3" t="inlineStr">
        <is>
          <t xml:space="preserve">hari </t>
        </is>
      </c>
      <c r="D99" s="4" t="n">
        <v>350000</v>
      </c>
    </row>
    <row r="100">
      <c r="A100" s="3" t="n">
        <v>96</v>
      </c>
      <c r="B100" s="3" t="inlineStr">
        <is>
          <t>Stang bor, batang bor dia. 1-1/4"</t>
        </is>
      </c>
      <c r="C100" s="3" t="inlineStr">
        <is>
          <t>hari</t>
        </is>
      </c>
      <c r="D100" s="4" t="n">
        <v>95000</v>
      </c>
    </row>
    <row r="101">
      <c r="A101" s="3" t="n">
        <v>97</v>
      </c>
      <c r="B101" s="3" t="inlineStr">
        <is>
          <t>Stone crusher</t>
        </is>
      </c>
      <c r="C101" s="3" t="inlineStr">
        <is>
          <t>jam</t>
        </is>
      </c>
      <c r="D101" s="4" t="n">
        <v>799500</v>
      </c>
    </row>
    <row r="102">
      <c r="A102" s="3" t="n">
        <v>98</v>
      </c>
      <c r="B102" s="3" t="inlineStr">
        <is>
          <t>Tandem roller 6-8 ton</t>
        </is>
      </c>
      <c r="C102" s="3" t="inlineStr">
        <is>
          <t>jam</t>
        </is>
      </c>
      <c r="D102" s="4" t="n">
        <v>469500</v>
      </c>
    </row>
    <row r="103">
      <c r="A103" s="3" t="n">
        <v>99</v>
      </c>
      <c r="B103" s="3" t="inlineStr">
        <is>
          <t>Theodolit</t>
        </is>
      </c>
      <c r="C103" s="3" t="inlineStr">
        <is>
          <t>hari</t>
        </is>
      </c>
      <c r="D103" s="4" t="n">
        <v>150000</v>
      </c>
    </row>
    <row r="104">
      <c r="A104" s="3" t="n">
        <v>100</v>
      </c>
      <c r="B104" s="3" t="inlineStr">
        <is>
          <t>Three wheel roller</t>
        </is>
      </c>
      <c r="C104" s="3" t="inlineStr">
        <is>
          <t>jam</t>
        </is>
      </c>
      <c r="D104" s="4" t="n">
        <v>262300</v>
      </c>
    </row>
    <row r="105">
      <c r="A105" s="3" t="n">
        <v>101</v>
      </c>
      <c r="B105" s="3" t="inlineStr">
        <is>
          <t xml:space="preserve">P. Tyre Roller </t>
        </is>
      </c>
      <c r="C105" s="3" t="inlineStr">
        <is>
          <t xml:space="preserve">jam </t>
        </is>
      </c>
      <c r="D105" s="4" t="n">
        <v>275000</v>
      </c>
    </row>
    <row r="106">
      <c r="A106" s="3" t="n">
        <v>102</v>
      </c>
      <c r="B106" s="3" t="inlineStr">
        <is>
          <t>Tower crane arm 30 m</t>
        </is>
      </c>
      <c r="C106" s="3" t="inlineStr">
        <is>
          <t>hari</t>
        </is>
      </c>
      <c r="D106" s="4" t="n">
        <v>3442900</v>
      </c>
    </row>
    <row r="107">
      <c r="A107" s="3" t="n">
        <v>103</v>
      </c>
      <c r="B107" s="3" t="inlineStr">
        <is>
          <t xml:space="preserve">Crane </t>
        </is>
      </c>
      <c r="C107" s="3" t="inlineStr">
        <is>
          <t xml:space="preserve">hari </t>
        </is>
      </c>
      <c r="D107" s="4" t="n">
        <v>3442900</v>
      </c>
    </row>
    <row r="108">
      <c r="A108" s="3" t="n">
        <v>104</v>
      </c>
      <c r="B108" s="3" t="inlineStr">
        <is>
          <t xml:space="preserve">Crane </t>
        </is>
      </c>
      <c r="C108" s="3" t="inlineStr">
        <is>
          <t xml:space="preserve">jam </t>
        </is>
      </c>
      <c r="D108" s="4" t="n">
        <v>430000</v>
      </c>
    </row>
    <row r="109">
      <c r="A109" s="3" t="n">
        <v>105</v>
      </c>
      <c r="B109" s="3" t="inlineStr">
        <is>
          <t xml:space="preserve">Sewa Crane kapasitas 1 ton </t>
        </is>
      </c>
      <c r="C109" s="3" t="inlineStr">
        <is>
          <t xml:space="preserve">jam </t>
        </is>
      </c>
      <c r="D109" s="4" t="n">
        <v>430000</v>
      </c>
    </row>
    <row r="110">
      <c r="A110" s="3" t="n">
        <v>106</v>
      </c>
      <c r="B110" s="3" t="inlineStr">
        <is>
          <t>Vibratory plate tamper</t>
        </is>
      </c>
      <c r="C110" s="3" t="inlineStr">
        <is>
          <t>jam</t>
        </is>
      </c>
      <c r="D110" s="4" t="n">
        <v>58800</v>
      </c>
    </row>
    <row r="111">
      <c r="A111" s="3" t="n">
        <v>107</v>
      </c>
      <c r="B111" s="3" t="inlineStr">
        <is>
          <t>Vibratory roller 1 ton</t>
        </is>
      </c>
      <c r="C111" s="3" t="inlineStr">
        <is>
          <t>jam</t>
        </is>
      </c>
      <c r="D111" s="4" t="n">
        <v>95000</v>
      </c>
    </row>
    <row r="112">
      <c r="A112" s="3" t="n">
        <v>108</v>
      </c>
      <c r="B112" s="3" t="inlineStr">
        <is>
          <t>Vibratory roller 5-8 ton</t>
        </is>
      </c>
      <c r="C112" s="3" t="inlineStr">
        <is>
          <t>jam</t>
        </is>
      </c>
      <c r="D112" s="4" t="n">
        <v>392200</v>
      </c>
    </row>
    <row r="113">
      <c r="A113" s="3" t="n">
        <v>109</v>
      </c>
      <c r="B113" s="3" t="inlineStr">
        <is>
          <t>Water pump 70-100 mm</t>
        </is>
      </c>
      <c r="C113" s="3" t="inlineStr">
        <is>
          <t>jam</t>
        </is>
      </c>
      <c r="D113" s="4" t="n">
        <v>71700</v>
      </c>
    </row>
    <row r="114">
      <c r="A114" s="3" t="n">
        <v>110</v>
      </c>
      <c r="B114" s="3" t="inlineStr">
        <is>
          <t>Water tanker truck 3000-4000 ℓ</t>
        </is>
      </c>
      <c r="C114" s="3" t="inlineStr">
        <is>
          <t>jam</t>
        </is>
      </c>
      <c r="D114" s="4" t="n">
        <v>255200</v>
      </c>
    </row>
    <row r="115">
      <c r="A115" s="3" t="n">
        <v>111</v>
      </c>
      <c r="B115" s="3" t="inlineStr">
        <is>
          <t xml:space="preserve">Water Truck </t>
        </is>
      </c>
      <c r="C115" s="3" t="inlineStr">
        <is>
          <t xml:space="preserve">hari </t>
        </is>
      </c>
      <c r="D115" s="4" t="n">
        <v>1550000</v>
      </c>
    </row>
    <row r="116">
      <c r="A116" s="3" t="n">
        <v>112</v>
      </c>
      <c r="B116" s="3" t="inlineStr">
        <is>
          <t>Waterpass</t>
        </is>
      </c>
      <c r="C116" s="3" t="inlineStr">
        <is>
          <t>hari</t>
        </is>
      </c>
      <c r="D116" s="4" t="n">
        <v>75000</v>
      </c>
    </row>
    <row r="117">
      <c r="A117" s="3" t="n">
        <v>113</v>
      </c>
      <c r="B117" s="3" t="inlineStr">
        <is>
          <t>Wheel loader</t>
        </is>
      </c>
      <c r="C117" s="3" t="inlineStr">
        <is>
          <t>jam</t>
        </is>
      </c>
      <c r="D117" s="4" t="n">
        <v>472400</v>
      </c>
    </row>
    <row r="118">
      <c r="A118" s="3" t="n">
        <v>114</v>
      </c>
      <c r="B118" s="3" t="inlineStr">
        <is>
          <t xml:space="preserve">AMP </t>
        </is>
      </c>
      <c r="C118" s="3" t="inlineStr">
        <is>
          <t xml:space="preserve">Jam </t>
        </is>
      </c>
      <c r="D118" s="4" t="n">
        <v>3981125</v>
      </c>
    </row>
    <row r="119">
      <c r="A119" s="3" t="n">
        <v>115</v>
      </c>
      <c r="B119" s="3" t="inlineStr">
        <is>
          <t xml:space="preserve">Asphalt Finisher </t>
        </is>
      </c>
      <c r="C119" s="3" t="inlineStr">
        <is>
          <t xml:space="preserve">Jam </t>
        </is>
      </c>
      <c r="D119" s="4" t="n">
        <v>450000</v>
      </c>
    </row>
    <row r="120">
      <c r="A120" s="3" t="n">
        <v>116</v>
      </c>
      <c r="B120" s="3" t="inlineStr">
        <is>
          <t>Wheel loader 1,0-1,6 m³</t>
        </is>
      </c>
      <c r="C120" s="3" t="inlineStr">
        <is>
          <t>jam</t>
        </is>
      </c>
      <c r="D120" s="4" t="n">
        <v>472400</v>
      </c>
    </row>
    <row r="121">
      <c r="A121" s="3" t="n">
        <v>117</v>
      </c>
      <c r="B121" s="3" t="inlineStr">
        <is>
          <t>Alat  pancang Hammer 0.5 ton</t>
        </is>
      </c>
      <c r="C121" s="3" t="inlineStr">
        <is>
          <t>hari</t>
        </is>
      </c>
      <c r="D121" s="4" t="n">
        <v>350000</v>
      </c>
    </row>
    <row r="122">
      <c r="A122" s="3" t="n">
        <v>118</v>
      </c>
      <c r="B122" s="3" t="inlineStr">
        <is>
          <t>Alat Pancang Mini Pile</t>
        </is>
      </c>
      <c r="C122" s="3" t="inlineStr">
        <is>
          <t xml:space="preserve">hari </t>
        </is>
      </c>
      <c r="D122" s="4" t="n">
        <v>250000</v>
      </c>
    </row>
    <row r="123">
      <c r="A123" s="3" t="n">
        <v>119</v>
      </c>
      <c r="B123" s="3" t="inlineStr">
        <is>
          <t>Alat pancang Hidraulik Pile Driver</t>
        </is>
      </c>
      <c r="C123" s="3" t="inlineStr">
        <is>
          <t xml:space="preserve">hari </t>
        </is>
      </c>
      <c r="D123" s="4" t="n">
        <v>487000</v>
      </c>
    </row>
    <row r="124">
      <c r="A124" s="3" t="n">
        <v>120</v>
      </c>
      <c r="B124" s="3" t="inlineStr">
        <is>
          <t>Alat  penyambung tiang pancang dolken</t>
        </is>
      </c>
      <c r="C124" s="3" t="inlineStr">
        <is>
          <t>hari</t>
        </is>
      </c>
      <c r="D124" s="4" t="n">
        <v>350000</v>
      </c>
    </row>
    <row r="125">
      <c r="A125" s="3" t="n">
        <v>121</v>
      </c>
      <c r="B125" s="3" t="inlineStr">
        <is>
          <t>Crawler Crane 10 Ton + Ladder 14 ton</t>
        </is>
      </c>
      <c r="C125" s="3" t="inlineStr">
        <is>
          <t xml:space="preserve">jam </t>
        </is>
      </c>
      <c r="D125" s="4" t="n">
        <v>500000</v>
      </c>
    </row>
    <row r="126">
      <c r="A126" s="3" t="n">
        <v>122</v>
      </c>
      <c r="B126" s="3" t="inlineStr">
        <is>
          <t>Crawler Crane 20 Ton + Ladder 14 ton</t>
        </is>
      </c>
      <c r="C126" s="3" t="inlineStr">
        <is>
          <t xml:space="preserve">jam </t>
        </is>
      </c>
      <c r="D126" s="4" t="n">
        <v>550000</v>
      </c>
    </row>
    <row r="127">
      <c r="A127" s="3" t="n">
        <v>123</v>
      </c>
      <c r="B127" s="3" t="inlineStr">
        <is>
          <t>Driver Hammer</t>
        </is>
      </c>
      <c r="C127" s="3" t="inlineStr">
        <is>
          <t xml:space="preserve">jam </t>
        </is>
      </c>
      <c r="D127" s="4" t="n">
        <v>50000</v>
      </c>
    </row>
    <row r="128">
      <c r="A128" s="3" t="n">
        <v>124</v>
      </c>
      <c r="B128" s="3" t="inlineStr">
        <is>
          <t>Driver Hammer 2 ton</t>
        </is>
      </c>
      <c r="C128" s="3" t="inlineStr">
        <is>
          <t xml:space="preserve">jam </t>
        </is>
      </c>
      <c r="D128" s="4" t="n">
        <v>50000</v>
      </c>
    </row>
    <row r="129">
      <c r="A129" s="3" t="n">
        <v>125</v>
      </c>
      <c r="B129" s="3" t="inlineStr">
        <is>
          <t>Mesin bor (jam)</t>
        </is>
      </c>
      <c r="C129" s="3" t="inlineStr">
        <is>
          <t>jam</t>
        </is>
      </c>
      <c r="D129" s="4" t="n">
        <v>85000</v>
      </c>
    </row>
    <row r="130">
      <c r="A130" s="3" t="n">
        <v>126</v>
      </c>
      <c r="B130" s="3" t="inlineStr">
        <is>
          <t>Molen beton mixer 350 liter</t>
        </is>
      </c>
      <c r="C130" s="3" t="inlineStr">
        <is>
          <t>hari</t>
        </is>
      </c>
      <c r="D130" s="4" t="n">
        <v>300000</v>
      </c>
    </row>
    <row r="131">
      <c r="A131" s="3" t="n">
        <v>127</v>
      </c>
      <c r="B131" s="3" t="inlineStr">
        <is>
          <t>Mesin Molen 1m3</t>
        </is>
      </c>
      <c r="C131" s="3" t="inlineStr">
        <is>
          <t xml:space="preserve">hari </t>
        </is>
      </c>
      <c r="D131" s="4" t="n">
        <v>300000</v>
      </c>
    </row>
    <row r="132">
      <c r="A132" s="3" t="n">
        <v>128</v>
      </c>
      <c r="B132" s="3" t="inlineStr">
        <is>
          <t>Pompa Air,   diesel 10 KW</t>
        </is>
      </c>
      <c r="C132" s="3" t="inlineStr">
        <is>
          <t>hari</t>
        </is>
      </c>
      <c r="D132" s="4" t="n">
        <v>500000</v>
      </c>
    </row>
    <row r="133">
      <c r="A133" s="3" t="n">
        <v>129</v>
      </c>
      <c r="B133" s="3" t="inlineStr">
        <is>
          <t>Pompa Air,   diesel 20 KW</t>
        </is>
      </c>
      <c r="C133" s="3" t="inlineStr">
        <is>
          <t>hari</t>
        </is>
      </c>
      <c r="D133" s="4" t="n">
        <v>1000000</v>
      </c>
    </row>
    <row r="134">
      <c r="A134" s="3" t="n">
        <v>130</v>
      </c>
      <c r="B134" s="3" t="inlineStr">
        <is>
          <t>Pompa Air,   diesel 5 KW</t>
        </is>
      </c>
      <c r="C134" s="3" t="inlineStr">
        <is>
          <t>hari</t>
        </is>
      </c>
      <c r="D134" s="4" t="n">
        <v>250000</v>
      </c>
    </row>
    <row r="135">
      <c r="A135" s="3" t="n">
        <v>131</v>
      </c>
      <c r="B135" s="3" t="inlineStr">
        <is>
          <t>Pompa Sedot</t>
        </is>
      </c>
      <c r="C135" s="3" t="inlineStr">
        <is>
          <t>hari</t>
        </is>
      </c>
      <c r="D135" s="4" t="n">
        <v>280000</v>
      </c>
    </row>
    <row r="136">
      <c r="A136" s="3" t="n">
        <v>132</v>
      </c>
      <c r="B136" s="3" t="inlineStr">
        <is>
          <t xml:space="preserve">Pompa Sedot Pasir </t>
        </is>
      </c>
      <c r="C136" s="3" t="inlineStr">
        <is>
          <t xml:space="preserve">hari </t>
        </is>
      </c>
      <c r="D136" s="4" t="n">
        <v>280000</v>
      </c>
    </row>
    <row r="137">
      <c r="A137" s="3" t="n">
        <v>133</v>
      </c>
      <c r="B137" s="3" t="inlineStr">
        <is>
          <t xml:space="preserve">Pompa Lumpur </t>
        </is>
      </c>
      <c r="C137" s="3" t="inlineStr">
        <is>
          <t xml:space="preserve">hari </t>
        </is>
      </c>
      <c r="D137" s="4" t="n">
        <v>260000</v>
      </c>
    </row>
    <row r="138">
      <c r="A138" s="3" t="n">
        <v>134</v>
      </c>
      <c r="B138" s="3" t="inlineStr">
        <is>
          <t xml:space="preserve">Mobil Sedot Lumpur </t>
        </is>
      </c>
      <c r="C138" s="3" t="inlineStr">
        <is>
          <t>Jam</t>
        </is>
      </c>
      <c r="D138" s="4" t="n">
        <v>67500</v>
      </c>
    </row>
    <row r="139">
      <c r="A139" s="3" t="n">
        <v>135</v>
      </c>
      <c r="B139" s="3" t="inlineStr">
        <is>
          <t xml:space="preserve">Boom Lift </t>
        </is>
      </c>
      <c r="C139" s="3" t="inlineStr">
        <is>
          <t>hari</t>
        </is>
      </c>
      <c r="D139" s="4" t="n">
        <v>3300000</v>
      </c>
    </row>
    <row r="140">
      <c r="A140" s="3" t="n">
        <v>136</v>
      </c>
      <c r="B140" s="3" t="inlineStr">
        <is>
          <t>Pressure grout machine 30 KW; 60 -75 bar (D)</t>
        </is>
      </c>
      <c r="C140" s="3" t="inlineStr">
        <is>
          <t>jam</t>
        </is>
      </c>
      <c r="D140" s="4" t="n">
        <v>42000</v>
      </c>
    </row>
    <row r="141">
      <c r="A141" s="3" t="n">
        <v>137</v>
      </c>
      <c r="B141" s="3" t="inlineStr">
        <is>
          <t>Sewa alat  cutting machine</t>
        </is>
      </c>
      <c r="C141" s="3" t="inlineStr">
        <is>
          <t>hari</t>
        </is>
      </c>
      <c r="D141" s="4" t="n">
        <v>44000</v>
      </c>
    </row>
    <row r="142">
      <c r="A142" s="3" t="n">
        <v>138</v>
      </c>
      <c r="B142" s="3" t="inlineStr">
        <is>
          <t>Sewa bekisting</t>
        </is>
      </c>
      <c r="C142" s="3" t="inlineStr">
        <is>
          <t>hari</t>
        </is>
      </c>
      <c r="D142" s="4" t="n">
        <v>7500</v>
      </c>
    </row>
    <row r="143">
      <c r="A143" s="3" t="n">
        <v>139</v>
      </c>
      <c r="B143" s="3" t="inlineStr">
        <is>
          <t>Sewa bekisting rigid</t>
        </is>
      </c>
      <c r="C143" s="3" t="inlineStr">
        <is>
          <t>hari</t>
        </is>
      </c>
      <c r="D143" s="4" t="n">
        <v>7500</v>
      </c>
    </row>
    <row r="144">
      <c r="A144" s="3" t="n">
        <v>140</v>
      </c>
      <c r="B144" s="3" t="inlineStr">
        <is>
          <t>Sewa bor horisontal</t>
        </is>
      </c>
      <c r="C144" s="3" t="inlineStr">
        <is>
          <t>hari</t>
        </is>
      </c>
      <c r="D144" s="4" t="n">
        <v>150000</v>
      </c>
    </row>
    <row r="145">
      <c r="A145" s="3" t="n">
        <v>141</v>
      </c>
      <c r="B145" s="3" t="inlineStr">
        <is>
          <t>Sewa mobil crane</t>
        </is>
      </c>
      <c r="C145" s="3" t="inlineStr">
        <is>
          <t>hari</t>
        </is>
      </c>
      <c r="D145" s="4" t="n">
        <v>1450000</v>
      </c>
    </row>
    <row r="146">
      <c r="A146" s="3" t="n">
        <v>142</v>
      </c>
      <c r="B146" s="3" t="inlineStr">
        <is>
          <t>Sewa mobil crane kapasitas  15 Ton</t>
        </is>
      </c>
      <c r="C146" s="3" t="inlineStr">
        <is>
          <t>hari</t>
        </is>
      </c>
      <c r="D146" s="4" t="n">
        <v>3400000</v>
      </c>
    </row>
    <row r="147">
      <c r="A147" s="3" t="n">
        <v>143</v>
      </c>
      <c r="B147" s="3" t="inlineStr">
        <is>
          <t>Sewa mobil crane kapasitas  25 Ton</t>
        </is>
      </c>
      <c r="C147" s="3" t="inlineStr">
        <is>
          <t>hari</t>
        </is>
      </c>
      <c r="D147" s="4" t="n">
        <v>6250000</v>
      </c>
    </row>
    <row r="148">
      <c r="A148" s="3" t="n">
        <v>144</v>
      </c>
      <c r="B148" s="3" t="inlineStr">
        <is>
          <t>Sewa mobil crane kapasitas  5 Ton</t>
        </is>
      </c>
      <c r="C148" s="3" t="inlineStr">
        <is>
          <t>hari</t>
        </is>
      </c>
      <c r="D148" s="4" t="n">
        <v>1450000</v>
      </c>
    </row>
    <row r="149">
      <c r="A149" s="3" t="n">
        <v>145</v>
      </c>
      <c r="B149" s="3" t="inlineStr">
        <is>
          <t>Sewa tangga 7 meter</t>
        </is>
      </c>
      <c r="C149" s="3" t="inlineStr">
        <is>
          <t>hari</t>
        </is>
      </c>
      <c r="D149" s="4" t="n">
        <v>50000</v>
      </c>
    </row>
    <row r="150">
      <c r="A150" s="3" t="n">
        <v>146</v>
      </c>
      <c r="B150" s="3" t="inlineStr">
        <is>
          <t xml:space="preserve">Tandon Air kap. 2 m3 </t>
        </is>
      </c>
      <c r="C150" s="3" t="inlineStr">
        <is>
          <t xml:space="preserve">hari </t>
        </is>
      </c>
      <c r="D150" s="4" t="n">
        <v>25000</v>
      </c>
    </row>
    <row r="151">
      <c r="A151" s="3" t="n">
        <v>147</v>
      </c>
      <c r="B151" s="3" t="inlineStr">
        <is>
          <t>Tripod tinggi 5 m</t>
        </is>
      </c>
      <c r="C151" s="3" t="inlineStr">
        <is>
          <t>hari</t>
        </is>
      </c>
      <c r="D151" s="4" t="n">
        <v>250000</v>
      </c>
    </row>
    <row r="152">
      <c r="A152" s="3" t="n">
        <v>148</v>
      </c>
      <c r="B152" s="3" t="inlineStr">
        <is>
          <t>Truck Crane 5 ton</t>
        </is>
      </c>
      <c r="C152" s="3" t="inlineStr">
        <is>
          <t>jam</t>
        </is>
      </c>
      <c r="D152" s="4" t="n">
        <v>525000</v>
      </c>
    </row>
    <row r="155">
      <c r="A155" s="14" t="inlineStr">
        <is>
          <t>KALKULATOR PENYUSUTAN &amp; BIAYA OPERASI ALAT BARU</t>
        </is>
      </c>
    </row>
    <row r="156">
      <c r="A156" s="10" t="inlineStr">
        <is>
          <t>No</t>
        </is>
      </c>
      <c r="B156" s="10" t="inlineStr">
        <is>
          <t>Nama Alat</t>
        </is>
      </c>
      <c r="C156" s="10" t="inlineStr">
        <is>
          <t>Harga Pokok (Rp)</t>
        </is>
      </c>
      <c r="D156" s="10" t="inlineStr">
        <is>
          <t>Jam/Thn</t>
        </is>
      </c>
      <c r="E156" s="10" t="inlineStr">
        <is>
          <t>BBM (L/Jam)</t>
        </is>
      </c>
      <c r="F156" s="10" t="inlineStr">
        <is>
          <t>Penyusutan/Jam</t>
        </is>
      </c>
      <c r="G156" s="10" t="inlineStr">
        <is>
          <t>Opr/Jam</t>
        </is>
      </c>
      <c r="H156" s="10" t="inlineStr">
        <is>
          <t>Total Sewa/Jam</t>
        </is>
      </c>
    </row>
    <row r="157">
      <c r="A157" s="3" t="n">
        <v>1</v>
      </c>
      <c r="B157" s="3" t="inlineStr">
        <is>
          <t>Excavator Custom</t>
        </is>
      </c>
      <c r="C157" s="5" t="n">
        <v>1200000000</v>
      </c>
      <c r="D157" s="11" t="n">
        <v>2000</v>
      </c>
      <c r="E157" s="11" t="n">
        <v>15</v>
      </c>
      <c r="F157" s="4">
        <f>((C157-0.1*C157)*0.15)/D157</f>
        <v/>
      </c>
      <c r="G157" s="4">
        <f>(E157*12000)+((0.125*C157)/D157)</f>
        <v/>
      </c>
      <c r="H157" s="18">
        <f>F157+G157</f>
        <v/>
      </c>
    </row>
  </sheetData>
  <mergeCells count="1">
    <mergeCell ref="A155:H1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9" t="inlineStr">
        <is>
          <t>ANALISA KESELAMATAN KONSTRUKSI (SMKK)</t>
        </is>
      </c>
    </row>
    <row r="2">
      <c r="A2" s="10" t="inlineStr">
        <is>
          <t>No</t>
        </is>
      </c>
      <c r="B2" s="10" t="inlineStr">
        <is>
          <t>Rincian Item K3</t>
        </is>
      </c>
      <c r="C2" s="10" t="inlineStr">
        <is>
          <t>Satuan</t>
        </is>
      </c>
      <c r="D2" s="10" t="inlineStr">
        <is>
          <t>Kuantitas</t>
        </is>
      </c>
      <c r="E2" s="10" t="inlineStr">
        <is>
          <t>Harga Satuan (Rp)</t>
        </is>
      </c>
      <c r="F2" s="10" t="inlineStr">
        <is>
          <t>Total (Rp)</t>
        </is>
      </c>
    </row>
    <row r="3">
      <c r="A3" s="3" t="n">
        <v/>
      </c>
      <c r="B3" s="3" t="inlineStr">
        <is>
          <t>A.</t>
        </is>
      </c>
      <c r="C3" s="3" t="inlineStr">
        <is>
          <t>Sub total Penyiapan Dokumen penerapan SMKK</t>
        </is>
      </c>
      <c r="D3" s="3" t="n">
        <v/>
      </c>
      <c r="E3" s="4" t="n">
        <v/>
      </c>
      <c r="F3" s="4" t="n">
        <v/>
      </c>
    </row>
    <row r="4">
      <c r="A4" s="3" t="inlineStr">
        <is>
          <t>2</t>
        </is>
      </c>
      <c r="B4" s="3" t="inlineStr">
        <is>
          <t>Sosialisasi, Promosi dan Pelatihan</t>
        </is>
      </c>
      <c r="C4" s="3" t="n">
        <v/>
      </c>
      <c r="D4" s="3" t="n">
        <v/>
      </c>
      <c r="E4" s="4" t="n">
        <v/>
      </c>
      <c r="F4" s="4" t="n">
        <v/>
      </c>
    </row>
    <row r="5">
      <c r="A5" s="3" t="n">
        <v/>
      </c>
      <c r="B5" s="3" t="inlineStr">
        <is>
          <t>a</t>
        </is>
      </c>
      <c r="C5" s="3" t="inlineStr">
        <is>
          <t>Induksi Keselamatan Konstruksi (Safety Induction)</t>
        </is>
      </c>
      <c r="D5" s="3" t="inlineStr">
        <is>
          <t>Kegiatan</t>
        </is>
      </c>
      <c r="E5" s="4" t="n">
        <v/>
      </c>
      <c r="F5" s="4" t="n">
        <v/>
      </c>
    </row>
    <row r="6">
      <c r="A6" s="3" t="n">
        <v/>
      </c>
      <c r="B6" s="3" t="inlineStr">
        <is>
          <t>b</t>
        </is>
      </c>
      <c r="C6" s="3" t="inlineStr">
        <is>
          <t>Pengarahan Keselamatan Konstruksi (Safety Briefing) (khusus untuk pekerja)</t>
        </is>
      </c>
      <c r="D6" s="3" t="inlineStr">
        <is>
          <t>Kegiatan</t>
        </is>
      </c>
      <c r="E6" s="4" t="n">
        <v/>
      </c>
      <c r="F6" s="4" t="n">
        <v/>
      </c>
    </row>
    <row r="7">
      <c r="A7" s="3" t="n">
        <v/>
      </c>
      <c r="B7" s="3" t="inlineStr">
        <is>
          <t>c</t>
        </is>
      </c>
      <c r="C7" s="3" t="inlineStr">
        <is>
          <t>Pertemuan keselamatan (Safety Talk) (khusus untuk pekerja)</t>
        </is>
      </c>
      <c r="D7" s="3" t="inlineStr">
        <is>
          <t>Kegiatan</t>
        </is>
      </c>
      <c r="E7" s="4" t="n">
        <v/>
      </c>
      <c r="F7" s="4" t="n">
        <v/>
      </c>
    </row>
    <row r="8">
      <c r="A8" s="3" t="n">
        <v/>
      </c>
      <c r="B8" s="3" t="inlineStr">
        <is>
          <t>d</t>
        </is>
      </c>
      <c r="C8" s="3" t="inlineStr">
        <is>
          <t>Tool Box Meeting</t>
        </is>
      </c>
      <c r="D8" s="3" t="n">
        <v/>
      </c>
      <c r="E8" s="4" t="n">
        <v/>
      </c>
      <c r="F8" s="4" t="n">
        <v/>
      </c>
    </row>
    <row r="9">
      <c r="A9" s="3" t="n">
        <v/>
      </c>
      <c r="B9" s="3" t="inlineStr">
        <is>
          <t>e</t>
        </is>
      </c>
      <c r="C9" s="3" t="inlineStr">
        <is>
          <t>Rapat keselamatan konstruksi (Construction Safety Meeting)</t>
        </is>
      </c>
      <c r="D9" s="3" t="inlineStr">
        <is>
          <t>Kegiatan</t>
        </is>
      </c>
      <c r="E9" s="4" t="n">
        <v/>
      </c>
      <c r="F9" s="4" t="n">
        <v/>
      </c>
    </row>
    <row r="10">
      <c r="A10" s="3" t="n">
        <v/>
      </c>
      <c r="B10" s="3" t="inlineStr">
        <is>
          <t>f</t>
        </is>
      </c>
      <c r="C10" s="3" t="inlineStr">
        <is>
          <t>Pelatihan kepedulian/ kesadaran (awareness) Keselamatan Konstruksi, antara lain:</t>
        </is>
      </c>
      <c r="D10" s="3" t="n">
        <v/>
      </c>
      <c r="E10" s="4" t="n">
        <v/>
      </c>
      <c r="F10" s="4" t="n">
        <v/>
      </c>
    </row>
    <row r="11">
      <c r="A11" s="3" t="n">
        <v/>
      </c>
      <c r="B11" s="3" t="inlineStr">
        <is>
          <t>g</t>
        </is>
      </c>
      <c r="C11" s="3" t="inlineStr">
        <is>
          <t>Sosialisasi/penyuluhan HIV/AIDS/pencegahan penyakit menular</t>
        </is>
      </c>
      <c r="D11" s="3" t="inlineStr">
        <is>
          <t>Kegiatan</t>
        </is>
      </c>
      <c r="E11" s="4" t="n">
        <v/>
      </c>
      <c r="F11" s="4" t="n">
        <v/>
      </c>
    </row>
    <row r="12">
      <c r="A12" s="3" t="n">
        <v/>
      </c>
      <c r="B12" s="3" t="inlineStr">
        <is>
          <t>h</t>
        </is>
      </c>
      <c r="C12" s="3" t="inlineStr">
        <is>
          <t>Simulasi Keselamatan Konstruksi (tanggap darurat)</t>
        </is>
      </c>
      <c r="D12" s="3" t="inlineStr">
        <is>
          <t>Kegiatan</t>
        </is>
      </c>
      <c r="E12" s="4" t="n">
        <v/>
      </c>
      <c r="F12" s="4" t="n">
        <v/>
      </c>
    </row>
    <row r="13">
      <c r="A13" s="3" t="n">
        <v/>
      </c>
      <c r="B13" s="3" t="inlineStr">
        <is>
          <t>i</t>
        </is>
      </c>
      <c r="C13" s="3" t="inlineStr">
        <is>
          <t>Spanduk (banner)</t>
        </is>
      </c>
      <c r="D13" s="3" t="inlineStr">
        <is>
          <t>Lembar</t>
        </is>
      </c>
      <c r="E13" s="4" t="n">
        <v/>
      </c>
      <c r="F13" s="4" t="n">
        <v/>
      </c>
    </row>
    <row r="14">
      <c r="A14" s="3" t="n">
        <v/>
      </c>
      <c r="B14" s="3" t="inlineStr">
        <is>
          <t>j</t>
        </is>
      </c>
      <c r="C14" s="3" t="inlineStr">
        <is>
          <t>Poster/leaflet</t>
        </is>
      </c>
      <c r="D14" s="3" t="inlineStr">
        <is>
          <t>Lembar</t>
        </is>
      </c>
      <c r="E14" s="4" t="n">
        <v/>
      </c>
      <c r="F14" s="4" t="n">
        <v/>
      </c>
    </row>
    <row r="15">
      <c r="A15" s="3" t="n">
        <v/>
      </c>
      <c r="B15" s="3" t="inlineStr">
        <is>
          <t>k</t>
        </is>
      </c>
      <c r="C15" s="3" t="inlineStr">
        <is>
          <t>Papan Informasi Keselamatan konstruksi</t>
        </is>
      </c>
      <c r="D15" s="3" t="inlineStr">
        <is>
          <t>Bh</t>
        </is>
      </c>
      <c r="E15" s="4" t="n">
        <v/>
      </c>
      <c r="F15" s="4" t="n">
        <v/>
      </c>
    </row>
    <row r="16">
      <c r="A16" s="3" t="n">
        <v/>
      </c>
      <c r="B16" s="3" t="inlineStr">
        <is>
          <t>B</t>
        </is>
      </c>
      <c r="C16" s="3" t="inlineStr">
        <is>
          <t>Subtotal Sosialisasi, Promosi dan Pelatihan</t>
        </is>
      </c>
      <c r="D16" s="3" t="n">
        <v/>
      </c>
      <c r="E16" s="4" t="n">
        <v/>
      </c>
      <c r="F16" s="4" t="n">
        <v/>
      </c>
    </row>
    <row r="17">
      <c r="A17" s="3" t="inlineStr">
        <is>
          <t>3</t>
        </is>
      </c>
      <c r="B17" s="3" t="inlineStr">
        <is>
          <t>Alat Pelindung Kerja dan Alat Pelindung Diri</t>
        </is>
      </c>
      <c r="C17" s="3" t="n">
        <v/>
      </c>
      <c r="D17" s="3" t="n">
        <v/>
      </c>
      <c r="E17" s="4" t="n">
        <v/>
      </c>
      <c r="F17" s="4" t="n">
        <v/>
      </c>
    </row>
    <row r="18">
      <c r="A18" s="3" t="n">
        <v/>
      </c>
      <c r="B18" s="3" t="inlineStr">
        <is>
          <t>a</t>
        </is>
      </c>
      <c r="C18" s="3" t="inlineStr">
        <is>
          <t>APK, antara lain :</t>
        </is>
      </c>
      <c r="D18" s="3" t="n">
        <v/>
      </c>
      <c r="E18" s="4" t="n">
        <v/>
      </c>
      <c r="F18" s="4" t="n">
        <v/>
      </c>
    </row>
    <row r="19">
      <c r="A19" s="3" t="n">
        <v/>
      </c>
      <c r="B19" s="3" t="inlineStr">
        <is>
          <t>1)</t>
        </is>
      </c>
      <c r="C19" s="3" t="inlineStr">
        <is>
          <t>1) Jaring pengaman (safety net)</t>
        </is>
      </c>
      <c r="D19" s="3" t="inlineStr">
        <is>
          <t>m2</t>
        </is>
      </c>
      <c r="E19" s="4" t="n">
        <v/>
      </c>
      <c r="F19" s="4" t="n">
        <v/>
      </c>
    </row>
    <row r="20">
      <c r="A20" s="3" t="n">
        <v/>
      </c>
      <c r="B20" s="3" t="inlineStr">
        <is>
          <t>b</t>
        </is>
      </c>
      <c r="C20" s="3" t="inlineStr">
        <is>
          <t>APD, antara lain :</t>
        </is>
      </c>
      <c r="D20" s="3" t="n">
        <v/>
      </c>
      <c r="E20" s="4" t="n">
        <v/>
      </c>
      <c r="F20" s="4" t="n">
        <v/>
      </c>
    </row>
    <row r="21">
      <c r="A21" s="3" t="n">
        <v/>
      </c>
      <c r="B21" s="3" t="inlineStr">
        <is>
          <t>C</t>
        </is>
      </c>
      <c r="C21" s="3" t="inlineStr">
        <is>
          <t>Subtotal Alat Pelindung Kerja dan Alat Pelindung Diri</t>
        </is>
      </c>
      <c r="D21" s="3" t="n">
        <v/>
      </c>
      <c r="E21" s="4" t="n">
        <v/>
      </c>
      <c r="F21" s="4" t="n">
        <v/>
      </c>
    </row>
    <row r="22">
      <c r="A22" s="3" t="inlineStr">
        <is>
          <t>4</t>
        </is>
      </c>
      <c r="B22" s="3" t="inlineStr">
        <is>
          <t>Asuransi:</t>
        </is>
      </c>
      <c r="C22" s="3" t="n">
        <v/>
      </c>
      <c r="D22" s="3" t="n">
        <v/>
      </c>
      <c r="E22" s="4" t="n">
        <v/>
      </c>
      <c r="F22" s="4" t="n">
        <v/>
      </c>
    </row>
    <row r="23">
      <c r="A23" s="3" t="n">
        <v/>
      </c>
      <c r="B23" s="3" t="inlineStr">
        <is>
          <t>a</t>
        </is>
      </c>
      <c r="C23" s="3" t="inlineStr">
        <is>
          <t>Asuransi (Construction All Risk/CAR)</t>
        </is>
      </c>
      <c r="D23" s="3" t="inlineStr">
        <is>
          <t>Ls</t>
        </is>
      </c>
      <c r="E23" s="4" t="n">
        <v/>
      </c>
      <c r="F23" s="4" t="n">
        <v/>
      </c>
    </row>
    <row r="24">
      <c r="A24" s="3" t="n">
        <v/>
      </c>
      <c r="B24" s="3" t="inlineStr">
        <is>
          <t>D</t>
        </is>
      </c>
      <c r="C24" s="3" t="inlineStr">
        <is>
          <t>Subtotal Asuransi</t>
        </is>
      </c>
      <c r="D24" s="3" t="n">
        <v/>
      </c>
      <c r="E24" s="4" t="n">
        <v/>
      </c>
      <c r="F24" s="4" t="n">
        <v/>
      </c>
    </row>
    <row r="25">
      <c r="A25" s="3" t="inlineStr">
        <is>
          <t>5</t>
        </is>
      </c>
      <c r="B25" s="3" t="inlineStr">
        <is>
          <t>Personel Keselamatan Konstruksi:</t>
        </is>
      </c>
      <c r="C25" s="3" t="n">
        <v/>
      </c>
      <c r="D25" s="3" t="n">
        <v/>
      </c>
      <c r="E25" s="4" t="n">
        <v/>
      </c>
      <c r="F25" s="4" t="n">
        <v/>
      </c>
    </row>
    <row r="26">
      <c r="A26" s="3" t="n">
        <v/>
      </c>
      <c r="B26" s="3" t="inlineStr">
        <is>
          <t>a</t>
        </is>
      </c>
      <c r="C26" s="3" t="inlineStr">
        <is>
          <t>Ahli K3 Konstruksi atau Ahli Keselamatan Konstruksi</t>
        </is>
      </c>
      <c r="D26" s="3" t="inlineStr">
        <is>
          <t>Org/Bln</t>
        </is>
      </c>
      <c r="E26" s="4" t="n">
        <v/>
      </c>
      <c r="F26" s="4" t="n">
        <v/>
      </c>
    </row>
    <row r="27">
      <c r="A27" s="3" t="n">
        <v/>
      </c>
      <c r="B27" s="3" t="inlineStr">
        <is>
          <t>b</t>
        </is>
      </c>
      <c r="C27" s="3" t="inlineStr">
        <is>
          <t>Petugas Keselamatan Konstruksi atau Petugas K3 Konstruksi</t>
        </is>
      </c>
      <c r="D27" s="3" t="inlineStr">
        <is>
          <t>Org/Bln</t>
        </is>
      </c>
      <c r="E27" s="4" t="n">
        <v/>
      </c>
      <c r="F27" s="4" t="n">
        <v/>
      </c>
    </row>
    <row r="28">
      <c r="A28" s="3" t="n">
        <v/>
      </c>
      <c r="B28" s="3" t="inlineStr">
        <is>
          <t>c</t>
        </is>
      </c>
      <c r="C28" s="3" t="inlineStr">
        <is>
          <t>Petugas tanggap darurat</t>
        </is>
      </c>
      <c r="D28" s="3" t="inlineStr">
        <is>
          <t>Org/Bln</t>
        </is>
      </c>
      <c r="E28" s="4" t="n">
        <v/>
      </c>
      <c r="F28" s="4" t="n">
        <v/>
      </c>
    </row>
    <row r="29">
      <c r="A29" s="3" t="n">
        <v/>
      </c>
      <c r="B29" s="3" t="inlineStr">
        <is>
          <t>d</t>
        </is>
      </c>
      <c r="C29" s="3" t="inlineStr">
        <is>
          <t>Petugas pemadam kebakaran</t>
        </is>
      </c>
      <c r="D29" s="3" t="inlineStr">
        <is>
          <t>Org/Bln</t>
        </is>
      </c>
      <c r="E29" s="4" t="n">
        <v/>
      </c>
      <c r="F29" s="4" t="n">
        <v/>
      </c>
    </row>
    <row r="30">
      <c r="A30" s="3" t="n">
        <v/>
      </c>
      <c r="B30" s="3" t="inlineStr">
        <is>
          <t>e</t>
        </is>
      </c>
      <c r="C30" s="3" t="inlineStr">
        <is>
          <t>Petugas P3K</t>
        </is>
      </c>
      <c r="D30" s="3" t="inlineStr">
        <is>
          <t>Org/Bln</t>
        </is>
      </c>
      <c r="E30" s="4" t="n">
        <v/>
      </c>
      <c r="F30" s="4" t="n">
        <v/>
      </c>
    </row>
    <row r="31">
      <c r="A31" s="3" t="n">
        <v/>
      </c>
      <c r="B31" s="3" t="inlineStr">
        <is>
          <t>f</t>
        </is>
      </c>
      <c r="C31" s="3" t="inlineStr">
        <is>
          <t>Petugas pengatur lalu lintas/flagman</t>
        </is>
      </c>
      <c r="D31" s="3" t="inlineStr">
        <is>
          <t>Org/Bln</t>
        </is>
      </c>
      <c r="E31" s="4" t="n">
        <v/>
      </c>
      <c r="F31" s="4" t="n">
        <v/>
      </c>
    </row>
    <row r="32">
      <c r="A32" s="3" t="n">
        <v/>
      </c>
      <c r="B32" s="3" t="inlineStr">
        <is>
          <t>g</t>
        </is>
      </c>
      <c r="C32" s="3" t="inlineStr">
        <is>
          <t>Tenaga medis dan/atau kesehatan (Dokter)</t>
        </is>
      </c>
      <c r="D32" s="3" t="inlineStr">
        <is>
          <t>Org/Bln</t>
        </is>
      </c>
      <c r="E32" s="4" t="n">
        <v/>
      </c>
      <c r="F32" s="4" t="n">
        <v/>
      </c>
    </row>
    <row r="33">
      <c r="A33" s="3" t="n">
        <v/>
      </c>
      <c r="B33" s="3" t="inlineStr">
        <is>
          <t>h</t>
        </is>
      </c>
      <c r="C33" s="3" t="inlineStr">
        <is>
          <t>Petugas paramedis</t>
        </is>
      </c>
      <c r="D33" s="3" t="inlineStr">
        <is>
          <t>Org/Bln</t>
        </is>
      </c>
      <c r="E33" s="4" t="n">
        <v/>
      </c>
      <c r="F33" s="4" t="n">
        <v/>
      </c>
    </row>
    <row r="34">
      <c r="A34" s="3" t="n">
        <v/>
      </c>
      <c r="B34" s="3" t="inlineStr">
        <is>
          <t>i</t>
        </is>
      </c>
      <c r="C34" s="3" t="inlineStr">
        <is>
          <t>Petugas pengelolaan lingkungan/petugas pengelola limbah B3</t>
        </is>
      </c>
      <c r="D34" s="3" t="inlineStr">
        <is>
          <t>Org/Bln</t>
        </is>
      </c>
      <c r="E34" s="4" t="n">
        <v/>
      </c>
      <c r="F34" s="4" t="n">
        <v/>
      </c>
    </row>
    <row r="35">
      <c r="A35" s="3" t="n">
        <v/>
      </c>
      <c r="B35" s="3" t="inlineStr">
        <is>
          <t>j</t>
        </is>
      </c>
      <c r="C35" s="3" t="inlineStr">
        <is>
          <t>Petugas pengelolaan lingkungan/petugas pengelola limbah B3</t>
        </is>
      </c>
      <c r="D35" s="3" t="inlineStr">
        <is>
          <t>Org/Bln</t>
        </is>
      </c>
      <c r="E35" s="4" t="n">
        <v/>
      </c>
      <c r="F35" s="4" t="n">
        <v/>
      </c>
    </row>
    <row r="36">
      <c r="A36" s="3" t="n">
        <v/>
      </c>
      <c r="B36" s="3" t="inlineStr">
        <is>
          <t>E</t>
        </is>
      </c>
      <c r="C36" s="3" t="inlineStr">
        <is>
          <t>Subtotal Personel Keselamatan Konstruksi</t>
        </is>
      </c>
      <c r="D36" s="3" t="n">
        <v/>
      </c>
      <c r="E36" s="4" t="n">
        <v/>
      </c>
      <c r="F36" s="4" t="n">
        <v/>
      </c>
    </row>
    <row r="37">
      <c r="A37" s="3" t="inlineStr">
        <is>
          <t>6</t>
        </is>
      </c>
      <c r="B37" s="3" t="inlineStr">
        <is>
          <t>Fasilitas Sarana, Prasarana, dan Alat Kesehatan:</t>
        </is>
      </c>
      <c r="C37" s="3" t="n">
        <v/>
      </c>
      <c r="D37" s="3" t="n">
        <v/>
      </c>
      <c r="E37" s="4" t="n">
        <v/>
      </c>
      <c r="F37" s="4" t="n">
        <v/>
      </c>
    </row>
    <row r="38">
      <c r="A38" s="3" t="n">
        <v/>
      </c>
      <c r="B38" s="3" t="inlineStr">
        <is>
          <t>a</t>
        </is>
      </c>
      <c r="C38" s="3" t="inlineStr">
        <is>
          <t>Peralatan P3K (Kotak P3K, Alat pengukur suhu badan, tandu, obat luka, dll)</t>
        </is>
      </c>
      <c r="D38" s="3" t="inlineStr">
        <is>
          <t>Set</t>
        </is>
      </c>
      <c r="E38" s="4" t="n">
        <v/>
      </c>
      <c r="F38" s="4" t="n">
        <v/>
      </c>
    </row>
    <row r="39">
      <c r="A39" s="3" t="n">
        <v/>
      </c>
      <c r="B39" s="3" t="inlineStr">
        <is>
          <t>b</t>
        </is>
      </c>
      <c r="C39" s="3" t="inlineStr">
        <is>
          <t>Ruang P3K/Klinik</t>
        </is>
      </c>
      <c r="D39" s="3" t="inlineStr">
        <is>
          <t>Unit</t>
        </is>
      </c>
      <c r="E39" s="4" t="n">
        <v/>
      </c>
      <c r="F39" s="4" t="n">
        <v/>
      </c>
    </row>
    <row r="40">
      <c r="A40" s="3" t="n">
        <v/>
      </c>
      <c r="B40" s="3" t="inlineStr">
        <is>
          <t>c</t>
        </is>
      </c>
      <c r="C40" s="3" t="inlineStr">
        <is>
          <t>Peralatan Pengasapan (Obat dan mesin fogging)</t>
        </is>
      </c>
      <c r="D40" s="3" t="inlineStr">
        <is>
          <t>Unit</t>
        </is>
      </c>
      <c r="E40" s="4" t="n">
        <v/>
      </c>
      <c r="F40" s="4" t="n">
        <v/>
      </c>
    </row>
    <row r="41">
      <c r="A41" s="3" t="n">
        <v/>
      </c>
      <c r="B41" s="3" t="inlineStr">
        <is>
          <t>d</t>
        </is>
      </c>
      <c r="C41" s="3" t="inlineStr">
        <is>
          <t>Protokol kesehatan wabah menular</t>
        </is>
      </c>
      <c r="D41" s="3" t="inlineStr">
        <is>
          <t>Ls</t>
        </is>
      </c>
      <c r="E41" s="4" t="n">
        <v/>
      </c>
      <c r="F41" s="4" t="n">
        <v/>
      </c>
    </row>
    <row r="42">
      <c r="A42" s="3" t="n">
        <v/>
      </c>
      <c r="B42" s="3" t="inlineStr">
        <is>
          <t>e</t>
        </is>
      </c>
      <c r="C42" s="3" t="inlineStr">
        <is>
          <t>Pemeriksaan psikotropika atau HIV</t>
        </is>
      </c>
      <c r="D42" s="3" t="inlineStr">
        <is>
          <t>Org</t>
        </is>
      </c>
      <c r="E42" s="4" t="n">
        <v/>
      </c>
      <c r="F42" s="4" t="n">
        <v/>
      </c>
    </row>
    <row r="43">
      <c r="A43" s="3" t="n">
        <v/>
      </c>
      <c r="B43" s="3" t="inlineStr">
        <is>
          <t>f</t>
        </is>
      </c>
      <c r="C43" s="3" t="inlineStr">
        <is>
          <t>Ambulans (sewa)</t>
        </is>
      </c>
      <c r="D43" s="3" t="inlineStr">
        <is>
          <t>Unit</t>
        </is>
      </c>
      <c r="E43" s="4" t="n">
        <v/>
      </c>
      <c r="F43" s="4" t="n">
        <v/>
      </c>
    </row>
    <row r="44">
      <c r="A44" s="3" t="n">
        <v/>
      </c>
      <c r="B44" s="3" t="inlineStr">
        <is>
          <t>g</t>
        </is>
      </c>
      <c r="C44" s="3" t="inlineStr">
        <is>
          <t>Tempat cuci tangan (wastafel)</t>
        </is>
      </c>
      <c r="D44" s="3" t="inlineStr">
        <is>
          <t>Unit</t>
        </is>
      </c>
      <c r="E44" s="4" t="n">
        <v/>
      </c>
      <c r="F44" s="4" t="n">
        <v/>
      </c>
    </row>
    <row r="45">
      <c r="A45" s="3" t="n">
        <v/>
      </c>
      <c r="B45" s="3" t="inlineStr">
        <is>
          <t>F</t>
        </is>
      </c>
      <c r="C45" s="3" t="inlineStr">
        <is>
          <t>Subtotal Fasilitas, Sarana dan Prasarana Kesehatan</t>
        </is>
      </c>
      <c r="D45" s="3" t="n">
        <v/>
      </c>
      <c r="E45" s="4" t="n">
        <v/>
      </c>
      <c r="F45" s="4" t="n">
        <v/>
      </c>
    </row>
    <row r="46">
      <c r="A46" s="3" t="inlineStr">
        <is>
          <t>7</t>
        </is>
      </c>
      <c r="B46" s="3" t="inlineStr">
        <is>
          <t>Fasilitas Sarana, Prasarana, dan Alat Kesehatan:</t>
        </is>
      </c>
      <c r="C46" s="3" t="n">
        <v/>
      </c>
      <c r="D46" s="3" t="n">
        <v/>
      </c>
      <c r="E46" s="4" t="n">
        <v/>
      </c>
      <c r="F46" s="4" t="n">
        <v/>
      </c>
    </row>
    <row r="47">
      <c r="A47" s="3" t="n">
        <v/>
      </c>
      <c r="B47" s="3" t="inlineStr">
        <is>
          <t>a</t>
        </is>
      </c>
      <c r="C47" s="3" t="inlineStr">
        <is>
          <t>Rambu petunjuk</t>
        </is>
      </c>
      <c r="D47" s="3" t="inlineStr">
        <is>
          <t>Bh</t>
        </is>
      </c>
      <c r="E47" s="4" t="n">
        <v/>
      </c>
      <c r="F47" s="4" t="n">
        <v/>
      </c>
    </row>
    <row r="48">
      <c r="A48" s="3" t="n">
        <v/>
      </c>
      <c r="B48" s="3" t="inlineStr">
        <is>
          <t>b</t>
        </is>
      </c>
      <c r="C48" s="3" t="inlineStr">
        <is>
          <t>Rambu larangan</t>
        </is>
      </c>
      <c r="D48" s="3" t="inlineStr">
        <is>
          <t>Bh</t>
        </is>
      </c>
      <c r="E48" s="4" t="n">
        <v/>
      </c>
      <c r="F48" s="4" t="n">
        <v/>
      </c>
    </row>
    <row r="49">
      <c r="A49" s="3" t="n">
        <v/>
      </c>
      <c r="B49" s="3" t="inlineStr">
        <is>
          <t>c</t>
        </is>
      </c>
      <c r="C49" s="3" t="inlineStr">
        <is>
          <t>Rambu peringatan</t>
        </is>
      </c>
      <c r="D49" s="3" t="inlineStr">
        <is>
          <t>Bh</t>
        </is>
      </c>
      <c r="E49" s="4" t="n">
        <v/>
      </c>
      <c r="F49" s="4" t="n">
        <v/>
      </c>
    </row>
    <row r="50">
      <c r="A50" s="3" t="n">
        <v/>
      </c>
      <c r="B50" s="3" t="inlineStr">
        <is>
          <t>d</t>
        </is>
      </c>
      <c r="C50" s="3" t="inlineStr">
        <is>
          <t>Rambu kewajiban</t>
        </is>
      </c>
      <c r="D50" s="3" t="inlineStr">
        <is>
          <t>Bh</t>
        </is>
      </c>
      <c r="E50" s="4" t="n">
        <v/>
      </c>
      <c r="F50" s="4" t="n">
        <v/>
      </c>
    </row>
    <row r="51">
      <c r="A51" s="3" t="n">
        <v/>
      </c>
      <c r="B51" s="3" t="inlineStr">
        <is>
          <t>e</t>
        </is>
      </c>
      <c r="C51" s="3" t="inlineStr">
        <is>
          <t>Rambu informasi</t>
        </is>
      </c>
      <c r="D51" s="3" t="inlineStr">
        <is>
          <t>Bh</t>
        </is>
      </c>
      <c r="E51" s="4" t="n">
        <v/>
      </c>
      <c r="F51" s="4" t="n">
        <v/>
      </c>
    </row>
    <row r="52">
      <c r="A52" s="3" t="n">
        <v/>
      </c>
      <c r="B52" s="3" t="inlineStr">
        <is>
          <t>f</t>
        </is>
      </c>
      <c r="C52" s="3" t="inlineStr">
        <is>
          <t>Rambu pekerjaan sementara</t>
        </is>
      </c>
      <c r="D52" s="3" t="inlineStr">
        <is>
          <t>Unit</t>
        </is>
      </c>
      <c r="E52" s="4" t="n">
        <v/>
      </c>
      <c r="F52" s="4" t="n">
        <v/>
      </c>
    </row>
    <row r="53">
      <c r="A53" s="3" t="n">
        <v/>
      </c>
      <c r="B53" s="3" t="inlineStr">
        <is>
          <t>g</t>
        </is>
      </c>
      <c r="C53" s="3" t="inlineStr">
        <is>
          <t>Jalur Evakuasi (Petunjuk escape route)</t>
        </is>
      </c>
      <c r="D53" s="3" t="inlineStr">
        <is>
          <t>Unit</t>
        </is>
      </c>
      <c r="E53" s="4" t="n">
        <v/>
      </c>
      <c r="F53" s="4" t="n">
        <v/>
      </c>
    </row>
    <row r="54">
      <c r="A54" s="3" t="n">
        <v/>
      </c>
      <c r="B54" s="3" t="inlineStr">
        <is>
          <t>h</t>
        </is>
      </c>
      <c r="C54" s="3" t="inlineStr">
        <is>
          <t>Kerucut lalu lintas (traffic cone)</t>
        </is>
      </c>
      <c r="D54" s="3" t="inlineStr">
        <is>
          <t>Unit</t>
        </is>
      </c>
      <c r="E54" s="4" t="n">
        <v/>
      </c>
      <c r="F54" s="4" t="n">
        <v/>
      </c>
    </row>
    <row r="55">
      <c r="A55" s="3" t="n">
        <v/>
      </c>
      <c r="B55" s="3" t="inlineStr">
        <is>
          <t>i</t>
        </is>
      </c>
      <c r="C55" s="3" t="inlineStr">
        <is>
          <t>Lampu putar (rotary lamp)</t>
        </is>
      </c>
      <c r="D55" s="3" t="inlineStr">
        <is>
          <t>Unit</t>
        </is>
      </c>
      <c r="E55" s="4" t="n">
        <v/>
      </c>
      <c r="F55" s="4" t="n">
        <v/>
      </c>
    </row>
    <row r="56">
      <c r="A56" s="3" t="n">
        <v/>
      </c>
      <c r="B56" s="3" t="inlineStr">
        <is>
          <t>j</t>
        </is>
      </c>
      <c r="C56" s="3" t="inlineStr">
        <is>
          <t>Lampu selang (Panjang 100 m)</t>
        </is>
      </c>
      <c r="D56" s="3" t="inlineStr">
        <is>
          <t>Roll</t>
        </is>
      </c>
      <c r="E56" s="4" t="n">
        <v/>
      </c>
      <c r="F56" s="4" t="n">
        <v/>
      </c>
    </row>
    <row r="57">
      <c r="A57" s="3" t="n">
        <v/>
      </c>
      <c r="B57" s="3" t="inlineStr">
        <is>
          <t>k</t>
        </is>
      </c>
      <c r="C57" s="3" t="inlineStr">
        <is>
          <t>Pembatas Jalan (water barrier)</t>
        </is>
      </c>
      <c r="D57" s="3" t="inlineStr">
        <is>
          <t>Unit</t>
        </is>
      </c>
      <c r="E57" s="4" t="n">
        <v/>
      </c>
      <c r="F57" s="4" t="n">
        <v/>
      </c>
    </row>
    <row r="58">
      <c r="A58" s="3" t="n">
        <v/>
      </c>
      <c r="B58" s="3" t="inlineStr">
        <is>
          <t>l</t>
        </is>
      </c>
      <c r="C58" s="3" t="inlineStr">
        <is>
          <t>Beton pembatas jalan (concrete barrier)</t>
        </is>
      </c>
      <c r="D58" s="3" t="inlineStr">
        <is>
          <t>m</t>
        </is>
      </c>
      <c r="E58" s="4" t="n">
        <v/>
      </c>
      <c r="F58" s="4" t="n">
        <v/>
      </c>
    </row>
    <row r="59">
      <c r="A59" s="3" t="n">
        <v/>
      </c>
      <c r="B59" s="3" t="inlineStr">
        <is>
          <t>m</t>
        </is>
      </c>
      <c r="C59" s="3" t="inlineStr">
        <is>
          <t>Lampu/alat penerangan sementara</t>
        </is>
      </c>
      <c r="D59" s="3" t="inlineStr">
        <is>
          <t>Unit</t>
        </is>
      </c>
      <c r="E59" s="4" t="n">
        <v/>
      </c>
      <c r="F59" s="4" t="n">
        <v/>
      </c>
    </row>
    <row r="60">
      <c r="A60" s="3" t="n">
        <v/>
      </c>
      <c r="B60" s="3" t="inlineStr">
        <is>
          <t>n</t>
        </is>
      </c>
      <c r="C60" s="3" t="inlineStr">
        <is>
          <t>Rambu/alat pemberi isyarat lalu lintas sementara</t>
        </is>
      </c>
      <c r="D60" s="3" t="inlineStr">
        <is>
          <t>Unit</t>
        </is>
      </c>
      <c r="E60" s="4" t="n">
        <v/>
      </c>
      <c r="F60" s="4" t="n">
        <v/>
      </c>
    </row>
    <row r="61">
      <c r="A61" s="3" t="n">
        <v/>
      </c>
      <c r="B61" s="3" t="inlineStr">
        <is>
          <t>o</t>
        </is>
      </c>
      <c r="C61" s="3" t="inlineStr">
        <is>
          <t>Marka jalan sementara</t>
        </is>
      </c>
      <c r="D61" s="3" t="inlineStr">
        <is>
          <t>Unit</t>
        </is>
      </c>
      <c r="E61" s="4" t="n">
        <v/>
      </c>
      <c r="F61" s="4" t="n">
        <v/>
      </c>
    </row>
    <row r="62">
      <c r="A62" s="3" t="n">
        <v/>
      </c>
      <c r="B62" s="3" t="inlineStr">
        <is>
          <t>p</t>
        </is>
      </c>
      <c r="C62" s="3" t="inlineStr">
        <is>
          <t>Alat pengendali pemakaian jalan sementara antara lain:</t>
        </is>
      </c>
      <c r="D62" s="3" t="inlineStr">
        <is>
          <t>Unit</t>
        </is>
      </c>
      <c r="E62" s="4" t="n">
        <v/>
      </c>
      <c r="F62" s="4" t="n">
        <v/>
      </c>
    </row>
    <row r="63">
      <c r="A63" s="3" t="n">
        <v/>
      </c>
      <c r="B63" s="3" t="inlineStr">
        <is>
          <t>q</t>
        </is>
      </c>
      <c r="C63" s="3" t="inlineStr">
        <is>
          <t>Alat pengamanan pemakai jalan sementara, antara lain: tongkat pengatur lalu lintas (warning lights stick), penghalang lalu lintas, cermin tikungan, patok pengarah/delineator, pulau-pulau lalu lintas sementara, pita pengaduh/rumble strip</t>
        </is>
      </c>
      <c r="D63" s="3" t="inlineStr">
        <is>
          <t>Unit</t>
        </is>
      </c>
      <c r="E63" s="4" t="n">
        <v/>
      </c>
      <c r="F63" s="4" t="n">
        <v/>
      </c>
    </row>
    <row r="64">
      <c r="A64" s="3" t="n">
        <v/>
      </c>
      <c r="B64" s="3" t="inlineStr">
        <is>
          <t>r</t>
        </is>
      </c>
      <c r="C64" s="3" t="inlineStr">
        <is>
          <t>Lampu darurat (emergency lamp)</t>
        </is>
      </c>
      <c r="D64" s="3" t="inlineStr">
        <is>
          <t>Unit</t>
        </is>
      </c>
      <c r="E64" s="4" t="n">
        <v/>
      </c>
      <c r="F64" s="4" t="n">
        <v/>
      </c>
    </row>
    <row r="65">
      <c r="A65" s="3" t="n">
        <v/>
      </c>
      <c r="B65" s="3" t="inlineStr">
        <is>
          <t>G</t>
        </is>
      </c>
      <c r="C65" s="3" t="inlineStr">
        <is>
          <t>Subtotal Rambu-rambu yang Diperlukan</t>
        </is>
      </c>
      <c r="D65" s="3" t="n">
        <v/>
      </c>
      <c r="E65" s="4" t="n">
        <v/>
      </c>
      <c r="F65" s="4" t="n">
        <v/>
      </c>
    </row>
    <row r="66">
      <c r="A66" s="3" t="inlineStr">
        <is>
          <t>8</t>
        </is>
      </c>
      <c r="B66" s="3" t="inlineStr">
        <is>
          <t>Konsultasi dengan Ahli terkait Keselamatan Konstruksi:</t>
        </is>
      </c>
      <c r="C66" s="3" t="n">
        <v/>
      </c>
      <c r="D66" s="3" t="n">
        <v/>
      </c>
      <c r="E66" s="4" t="n">
        <v/>
      </c>
      <c r="F66" s="4" t="n">
        <v/>
      </c>
    </row>
    <row r="67">
      <c r="A67" s="3" t="n">
        <v/>
      </c>
      <c r="B67" s="3" t="inlineStr">
        <is>
          <t>a</t>
        </is>
      </c>
      <c r="C67" s="3" t="inlineStr">
        <is>
          <t>Ahli Lingkungan</t>
        </is>
      </c>
      <c r="D67" s="3" t="inlineStr">
        <is>
          <t>OJ/OK</t>
        </is>
      </c>
      <c r="E67" s="4" t="n">
        <v/>
      </c>
      <c r="F67" s="4" t="n">
        <v/>
      </c>
    </row>
    <row r="68">
      <c r="A68" s="3" t="n">
        <v/>
      </c>
      <c r="B68" s="3" t="inlineStr">
        <is>
          <t>b</t>
        </is>
      </c>
      <c r="C68" s="3" t="inlineStr">
        <is>
          <t>Ahli Teknik Jembatan</t>
        </is>
      </c>
      <c r="D68" s="3" t="inlineStr">
        <is>
          <t>OJ/OK</t>
        </is>
      </c>
      <c r="E68" s="4" t="n">
        <v/>
      </c>
      <c r="F68" s="4" t="n">
        <v/>
      </c>
    </row>
    <row r="69">
      <c r="A69" s="3" t="n">
        <v/>
      </c>
      <c r="B69" s="3" t="inlineStr">
        <is>
          <t>c</t>
        </is>
      </c>
      <c r="C69" s="3" t="inlineStr">
        <is>
          <t>Ahli Teknik Bangunan Gedung</t>
        </is>
      </c>
      <c r="D69" s="3" t="inlineStr">
        <is>
          <t>OJ/OK</t>
        </is>
      </c>
      <c r="E69" s="4" t="n">
        <v/>
      </c>
      <c r="F69" s="4" t="n">
        <v/>
      </c>
    </row>
    <row r="70">
      <c r="A70" s="3" t="n">
        <v/>
      </c>
      <c r="B70" s="3" t="inlineStr">
        <is>
          <t>d</t>
        </is>
      </c>
      <c r="C70" s="3" t="inlineStr">
        <is>
          <t>Ahli Perencana Struktur</t>
        </is>
      </c>
      <c r="D70" s="3" t="inlineStr">
        <is>
          <t>OJ/OK</t>
        </is>
      </c>
      <c r="E70" s="4" t="n">
        <v/>
      </c>
      <c r="F70" s="4" t="n">
        <v/>
      </c>
    </row>
    <row r="71">
      <c r="A71" s="3" t="n">
        <v/>
      </c>
      <c r="B71" s="3" t="inlineStr">
        <is>
          <t>e</t>
        </is>
      </c>
      <c r="C71" s="3" t="inlineStr">
        <is>
          <t>Ahli Perencana Pondasi</t>
        </is>
      </c>
      <c r="D71" s="3" t="inlineStr">
        <is>
          <t>OJ/OK</t>
        </is>
      </c>
      <c r="E71" s="4" t="n">
        <v/>
      </c>
      <c r="F71" s="4" t="n">
        <v/>
      </c>
    </row>
    <row r="72">
      <c r="A72" s="3" t="n">
        <v/>
      </c>
      <c r="B72" s="3" t="inlineStr">
        <is>
          <t>f</t>
        </is>
      </c>
      <c r="C72" s="3" t="inlineStr">
        <is>
          <t>Ahli Teknik Bendungan Besar</t>
        </is>
      </c>
      <c r="D72" s="3" t="inlineStr">
        <is>
          <t>OJ/OK</t>
        </is>
      </c>
      <c r="E72" s="4" t="n">
        <v/>
      </c>
      <c r="F72" s="4" t="n">
        <v/>
      </c>
    </row>
    <row r="73">
      <c r="A73" s="3" t="n">
        <v/>
      </c>
      <c r="B73" s="3" t="inlineStr">
        <is>
          <t>g</t>
        </is>
      </c>
      <c r="C73" s="3" t="inlineStr">
        <is>
          <t>Ahli gempa</t>
        </is>
      </c>
      <c r="D73" s="3" t="inlineStr">
        <is>
          <t>OJ/OK</t>
        </is>
      </c>
      <c r="E73" s="4" t="n">
        <v/>
      </c>
      <c r="F73" s="4" t="n">
        <v/>
      </c>
    </row>
    <row r="74">
      <c r="A74" s="3" t="n">
        <v/>
      </c>
      <c r="B74" s="3" t="inlineStr">
        <is>
          <t>h</t>
        </is>
      </c>
      <c r="C74" s="3" t="inlineStr">
        <is>
          <t>Ahli Teknik Likuifaksi</t>
        </is>
      </c>
      <c r="D74" s="3" t="inlineStr">
        <is>
          <t>OJ/OK</t>
        </is>
      </c>
      <c r="E74" s="4" t="n">
        <v/>
      </c>
      <c r="F74" s="4" t="n">
        <v/>
      </c>
    </row>
    <row r="75">
      <c r="A75" s="3" t="n">
        <v/>
      </c>
      <c r="B75" s="3" t="inlineStr">
        <is>
          <t>i</t>
        </is>
      </c>
      <c r="C75" s="3" t="inlineStr">
        <is>
          <t>Ahli Teknik Landasan Terbang</t>
        </is>
      </c>
      <c r="D75" s="3" t="inlineStr">
        <is>
          <t>OJ/OK</t>
        </is>
      </c>
      <c r="E75" s="4" t="n">
        <v/>
      </c>
      <c r="F75" s="4" t="n">
        <v/>
      </c>
    </row>
    <row r="76">
      <c r="A76" s="3" t="n">
        <v/>
      </c>
      <c r="B76" s="3" t="inlineStr">
        <is>
          <t>j</t>
        </is>
      </c>
      <c r="C76" s="3" t="inlineStr">
        <is>
          <t>Ahli mekanikal</t>
        </is>
      </c>
      <c r="D76" s="3" t="inlineStr">
        <is>
          <t>OJ/OK</t>
        </is>
      </c>
      <c r="E76" s="4" t="n">
        <v/>
      </c>
      <c r="F76" s="4" t="n">
        <v/>
      </c>
    </row>
    <row r="77">
      <c r="A77" s="3" t="n">
        <v/>
      </c>
      <c r="B77" s="3" t="inlineStr">
        <is>
          <t>k</t>
        </is>
      </c>
      <c r="C77" s="3" t="inlineStr">
        <is>
          <t>Ahli pertambangan</t>
        </is>
      </c>
      <c r="D77" s="3" t="inlineStr">
        <is>
          <t>OJ/OK</t>
        </is>
      </c>
      <c r="E77" s="4" t="n">
        <v/>
      </c>
      <c r="F77" s="4" t="n">
        <v/>
      </c>
    </row>
    <row r="78">
      <c r="A78" s="3" t="n">
        <v/>
      </c>
      <c r="B78" s="3" t="inlineStr">
        <is>
          <t>l</t>
        </is>
      </c>
      <c r="C78" s="3" t="inlineStr">
        <is>
          <t>Ahli peledakan</t>
        </is>
      </c>
      <c r="D78" s="3" t="inlineStr">
        <is>
          <t>OJ/OK</t>
        </is>
      </c>
      <c r="E78" s="4" t="n">
        <v/>
      </c>
      <c r="F78" s="4" t="n">
        <v/>
      </c>
    </row>
    <row r="79">
      <c r="A79" s="3" t="n">
        <v/>
      </c>
      <c r="B79" s="3" t="inlineStr">
        <is>
          <t>m</t>
        </is>
      </c>
      <c r="C79" s="3" t="inlineStr">
        <is>
          <t>Ahli elektrikal</t>
        </is>
      </c>
      <c r="D79" s="3" t="inlineStr">
        <is>
          <t>OJ/OK</t>
        </is>
      </c>
      <c r="E79" s="4" t="n">
        <v/>
      </c>
      <c r="F79" s="4" t="n">
        <v/>
      </c>
    </row>
    <row r="80">
      <c r="A80" s="3" t="n">
        <v/>
      </c>
      <c r="B80" s="3" t="inlineStr">
        <is>
          <t>n</t>
        </is>
      </c>
      <c r="C80" s="3" t="inlineStr">
        <is>
          <t>Ahli perminyakan dan gas</t>
        </is>
      </c>
      <c r="D80" s="3" t="inlineStr">
        <is>
          <t>OJ/OK</t>
        </is>
      </c>
      <c r="E80" s="4" t="n">
        <v/>
      </c>
      <c r="F80" s="4" t="n">
        <v/>
      </c>
    </row>
    <row r="81">
      <c r="A81" s="3" t="n">
        <v/>
      </c>
      <c r="B81" s="3" t="inlineStr">
        <is>
          <t>o</t>
        </is>
      </c>
      <c r="C81" s="3" t="inlineStr">
        <is>
          <t>Ahli manajemen pelaksanaan</t>
        </is>
      </c>
      <c r="D81" s="3" t="inlineStr">
        <is>
          <t>OJ/OK</t>
        </is>
      </c>
      <c r="E81" s="4" t="n">
        <v/>
      </c>
      <c r="F81" s="4" t="n">
        <v/>
      </c>
    </row>
    <row r="82">
      <c r="A82" s="3" t="n">
        <v/>
      </c>
      <c r="B82" s="3" t="inlineStr">
        <is>
          <t>p</t>
        </is>
      </c>
      <c r="C82" s="3" t="inlineStr">
        <is>
          <t>Ahli Teknik Proteksi Kebakaran</t>
        </is>
      </c>
      <c r="D82" s="3" t="inlineStr">
        <is>
          <t>OJ/OK</t>
        </is>
      </c>
      <c r="E82" s="4" t="n">
        <v/>
      </c>
      <c r="F82" s="4" t="n">
        <v/>
      </c>
    </row>
    <row r="83">
      <c r="A83" s="3" t="n">
        <v/>
      </c>
      <c r="B83" s="3" t="inlineStr">
        <is>
          <t>q</t>
        </is>
      </c>
      <c r="C83" s="3" t="inlineStr">
        <is>
          <t>Ahli K3 Pesawat Angkat Angkut</t>
        </is>
      </c>
      <c r="D83" s="3" t="inlineStr">
        <is>
          <t>OJ/OK</t>
        </is>
      </c>
      <c r="E83" s="4" t="n">
        <v/>
      </c>
      <c r="F83" s="4" t="n">
        <v/>
      </c>
    </row>
    <row r="84">
      <c r="A84" s="3" t="n">
        <v/>
      </c>
      <c r="B84" s="3" t="inlineStr">
        <is>
          <t>r</t>
        </is>
      </c>
      <c r="C84" s="3" t="inlineStr">
        <is>
          <t>dll</t>
        </is>
      </c>
      <c r="D84" s="3" t="inlineStr">
        <is>
          <t>OJ/OK</t>
        </is>
      </c>
      <c r="E84" s="4" t="n">
        <v/>
      </c>
      <c r="F84" s="4" t="n">
        <v/>
      </c>
    </row>
    <row r="85">
      <c r="A85" s="3" t="n">
        <v/>
      </c>
      <c r="B85" s="3" t="inlineStr">
        <is>
          <t>H</t>
        </is>
      </c>
      <c r="C85" s="3" t="inlineStr">
        <is>
          <t>Subtotal Konsultasi dengan Ahli terkait Keselamatan Konstruksi</t>
        </is>
      </c>
      <c r="D85" s="3" t="n">
        <v/>
      </c>
      <c r="E85" s="4" t="n">
        <v/>
      </c>
      <c r="F85" s="4" t="n">
        <v/>
      </c>
    </row>
    <row r="86">
      <c r="A86" s="3" t="inlineStr">
        <is>
          <t>9</t>
        </is>
      </c>
      <c r="B86" s="3" t="inlineStr">
        <is>
          <t>Kegiatan dan peralatan terkait Pengendalian Risiko Keselamatan Konstruksi:</t>
        </is>
      </c>
      <c r="C86" s="3" t="n">
        <v/>
      </c>
      <c r="D86" s="3" t="n">
        <v/>
      </c>
      <c r="E86" s="4" t="n">
        <v/>
      </c>
      <c r="F86" s="4" t="n">
        <v/>
      </c>
    </row>
    <row r="87">
      <c r="A87" s="3" t="n">
        <v/>
      </c>
      <c r="B87" s="3" t="inlineStr">
        <is>
          <t>a</t>
        </is>
      </c>
      <c r="C87" s="3" t="inlineStr">
        <is>
          <t>Manajemen Mutu</t>
        </is>
      </c>
      <c r="D87" s="3" t="inlineStr">
        <is>
          <t>Ls</t>
        </is>
      </c>
      <c r="E87" s="4" t="n">
        <v/>
      </c>
      <c r="F87" s="4" t="n">
        <v/>
      </c>
    </row>
    <row r="88">
      <c r="A88" s="3" t="n">
        <v/>
      </c>
      <c r="B88" s="3" t="inlineStr">
        <is>
          <t>b</t>
        </is>
      </c>
      <c r="C88" s="3" t="inlineStr">
        <is>
          <t>Testing and commissioning</t>
        </is>
      </c>
      <c r="D88" s="3" t="inlineStr">
        <is>
          <t>Ls</t>
        </is>
      </c>
      <c r="E88" s="4" t="n">
        <v/>
      </c>
      <c r="F88" s="4" t="n">
        <v/>
      </c>
    </row>
    <row r="89">
      <c r="A89" s="3" t="n">
        <v/>
      </c>
      <c r="B89" s="3" t="inlineStr">
        <is>
          <t>c</t>
        </is>
      </c>
      <c r="C89" s="3" t="inlineStr">
        <is>
          <t>Alat Pemadam Api Ringan (APAR) (untuk kelas kebakaran a, b, c, dan d)</t>
        </is>
      </c>
      <c r="D89" s="3" t="inlineStr">
        <is>
          <t>Unit</t>
        </is>
      </c>
      <c r="E89" s="4" t="n">
        <v/>
      </c>
      <c r="F89" s="4" t="n">
        <v/>
      </c>
    </row>
    <row r="90">
      <c r="A90" s="3" t="n">
        <v/>
      </c>
      <c r="B90" s="3" t="inlineStr">
        <is>
          <t>d</t>
        </is>
      </c>
      <c r="C90" s="3" t="inlineStr">
        <is>
          <t>Penangkal petir</t>
        </is>
      </c>
      <c r="D90" s="3" t="inlineStr">
        <is>
          <t>Unit</t>
        </is>
      </c>
      <c r="E90" s="4" t="n">
        <v/>
      </c>
      <c r="F90" s="4" t="n">
        <v/>
      </c>
    </row>
    <row r="91">
      <c r="A91" s="3" t="n">
        <v/>
      </c>
      <c r="B91" s="3" t="inlineStr">
        <is>
          <t>e</t>
        </is>
      </c>
      <c r="C91" s="3" t="inlineStr">
        <is>
          <t>Anemometer dan windsock</t>
        </is>
      </c>
      <c r="D91" s="3" t="inlineStr">
        <is>
          <t>Unit</t>
        </is>
      </c>
      <c r="E91" s="4" t="n">
        <v/>
      </c>
      <c r="F91" s="4" t="n">
        <v/>
      </c>
    </row>
    <row r="92">
      <c r="A92" s="3" t="n">
        <v/>
      </c>
      <c r="B92" s="3" t="inlineStr">
        <is>
          <t>f</t>
        </is>
      </c>
      <c r="C92" s="3" t="inlineStr">
        <is>
          <t>Bendera K3</t>
        </is>
      </c>
      <c r="D92" s="3" t="inlineStr">
        <is>
          <t>Bh</t>
        </is>
      </c>
      <c r="E92" s="4" t="n">
        <v/>
      </c>
      <c r="F92" s="4" t="n">
        <v/>
      </c>
    </row>
    <row r="93">
      <c r="A93" s="3" t="n">
        <v/>
      </c>
      <c r="B93" s="3" t="inlineStr">
        <is>
          <t>g</t>
        </is>
      </c>
      <c r="C93" s="3" t="inlineStr">
        <is>
          <t>Pembuatan Kartu Identitas Pekerja (KIP)</t>
        </is>
      </c>
      <c r="D93" s="3" t="inlineStr">
        <is>
          <t>Bh</t>
        </is>
      </c>
      <c r="E93" s="4" t="n">
        <v/>
      </c>
      <c r="F93" s="4" t="n">
        <v/>
      </c>
    </row>
    <row r="94">
      <c r="A94" s="3" t="n">
        <v/>
      </c>
      <c r="B94" s="3" t="inlineStr">
        <is>
          <t>h</t>
        </is>
      </c>
      <c r="C94" s="3" t="inlineStr">
        <is>
          <t>Audit Internal</t>
        </is>
      </c>
      <c r="D94" s="3" t="inlineStr">
        <is>
          <t>Kegiatan</t>
        </is>
      </c>
      <c r="E94" s="4" t="n">
        <v/>
      </c>
      <c r="F94" s="4" t="n">
        <v/>
      </c>
    </row>
    <row r="95">
      <c r="A95" s="3" t="n">
        <v/>
      </c>
      <c r="B95" s="3" t="inlineStr">
        <is>
          <t>i</t>
        </is>
      </c>
      <c r="C95" s="3" t="inlineStr">
        <is>
          <t>Patroli Keselamatan Konstruksi</t>
        </is>
      </c>
      <c r="D95" s="3" t="inlineStr">
        <is>
          <t>Kegiatan</t>
        </is>
      </c>
      <c r="E95" s="4" t="n">
        <v/>
      </c>
      <c r="F95" s="4" t="n">
        <v/>
      </c>
    </row>
    <row r="96">
      <c r="A96" s="3" t="n">
        <v/>
      </c>
      <c r="B96" s="3" t="inlineStr">
        <is>
          <t>j</t>
        </is>
      </c>
      <c r="C96" s="3" t="inlineStr">
        <is>
          <t>Pengujian lingkungan*</t>
        </is>
      </c>
      <c r="D96" s="3" t="inlineStr">
        <is>
          <t>Set</t>
        </is>
      </c>
      <c r="E96" s="4" t="n">
        <v/>
      </c>
      <c r="F96" s="4" t="n">
        <v/>
      </c>
    </row>
    <row r="97">
      <c r="A97" s="3" t="n">
        <v/>
      </c>
      <c r="B97" s="3" t="inlineStr">
        <is>
          <t>k</t>
        </is>
      </c>
      <c r="C97" s="3" t="inlineStr">
        <is>
          <t>Closed-circuit Television (CCTV)</t>
        </is>
      </c>
      <c r="D97" s="3" t="inlineStr">
        <is>
          <t>Unit</t>
        </is>
      </c>
      <c r="E97" s="4" t="n">
        <v/>
      </c>
      <c r="F97" s="4" t="n">
        <v/>
      </c>
    </row>
    <row r="98">
      <c r="A98" s="3" t="n">
        <v/>
      </c>
      <c r="B98" s="3" t="inlineStr">
        <is>
          <t>l</t>
        </is>
      </c>
      <c r="C98" s="3" t="inlineStr">
        <is>
          <t>washing bay</t>
        </is>
      </c>
      <c r="D98" s="3" t="inlineStr">
        <is>
          <t>Unit</t>
        </is>
      </c>
      <c r="E98" s="4" t="n">
        <v/>
      </c>
      <c r="F98" s="4" t="n">
        <v/>
      </c>
    </row>
    <row r="99">
      <c r="A99" s="3" t="n">
        <v/>
      </c>
      <c r="B99" s="3" t="inlineStr">
        <is>
          <t>I</t>
        </is>
      </c>
      <c r="C99" s="3" t="inlineStr">
        <is>
          <t>Subtotal Kegiatan dan peralatan terkait dengan Pengendalian Risiko Keselamatan Konstruksi:</t>
        </is>
      </c>
      <c r="D99" s="3" t="n">
        <v/>
      </c>
      <c r="E99" s="4" t="n">
        <v/>
      </c>
      <c r="F99" s="4" t="n">
        <v/>
      </c>
    </row>
    <row r="100">
      <c r="E100" s="2" t="inlineStr">
        <is>
          <t>TOTAL BIAYA SMKK</t>
        </is>
      </c>
      <c r="F100" s="19">
        <f>SUM(F3:F99)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35" customWidth="1" min="3" max="3"/>
  </cols>
  <sheetData>
    <row r="1">
      <c r="A1" s="9" t="inlineStr">
        <is>
          <t>DATABASE UPAH PEKERJA (SE BINKON 182/2025)</t>
        </is>
      </c>
    </row>
    <row r="2">
      <c r="A2" s="10" t="inlineStr">
        <is>
          <t>No</t>
        </is>
      </c>
      <c r="B2" s="10" t="inlineStr">
        <is>
          <t>Kode</t>
        </is>
      </c>
      <c r="C2" s="10" t="inlineStr">
        <is>
          <t>Jenis Pekerja</t>
        </is>
      </c>
      <c r="D2" s="10" t="inlineStr">
        <is>
          <t>Satuan</t>
        </is>
      </c>
      <c r="E2" s="10" t="inlineStr">
        <is>
          <t>Harga Upah (Rp)</t>
        </is>
      </c>
    </row>
    <row r="3">
      <c r="A3" s="3" t="inlineStr">
        <is>
          <t>1</t>
        </is>
      </c>
      <c r="B3" s="3" t="inlineStr">
        <is>
          <t>L.01</t>
        </is>
      </c>
      <c r="C3" s="3" t="inlineStr">
        <is>
          <t>Pekerja</t>
        </is>
      </c>
      <c r="D3" s="3" t="inlineStr">
        <is>
          <t>OH</t>
        </is>
      </c>
      <c r="E3" s="4" t="n">
        <v>100000</v>
      </c>
    </row>
    <row r="4">
      <c r="A4" s="3" t="inlineStr">
        <is>
          <t>2</t>
        </is>
      </c>
      <c r="B4" s="3" t="inlineStr">
        <is>
          <t>L.02</t>
        </is>
      </c>
      <c r="C4" s="3" t="inlineStr">
        <is>
          <t>Tukang batu</t>
        </is>
      </c>
      <c r="D4" s="3" t="inlineStr">
        <is>
          <t>OH</t>
        </is>
      </c>
      <c r="E4" s="4" t="n">
        <v>145000</v>
      </c>
    </row>
    <row r="5">
      <c r="A5" s="3" t="inlineStr">
        <is>
          <t>3</t>
        </is>
      </c>
      <c r="B5" s="3" t="inlineStr">
        <is>
          <t>L.02</t>
        </is>
      </c>
      <c r="C5" s="3" t="inlineStr">
        <is>
          <t>Tukang kayu</t>
        </is>
      </c>
      <c r="D5" s="3" t="inlineStr">
        <is>
          <t>OH</t>
        </is>
      </c>
      <c r="E5" s="4" t="n">
        <v>145000</v>
      </c>
    </row>
    <row r="6">
      <c r="A6" s="3" t="inlineStr">
        <is>
          <t>4</t>
        </is>
      </c>
      <c r="B6" s="3" t="inlineStr">
        <is>
          <t>L.02</t>
        </is>
      </c>
      <c r="C6" s="3" t="inlineStr">
        <is>
          <t>Tukang besi</t>
        </is>
      </c>
      <c r="D6" s="3" t="inlineStr">
        <is>
          <t>OH</t>
        </is>
      </c>
      <c r="E6" s="4" t="n">
        <v>145000</v>
      </c>
    </row>
    <row r="7">
      <c r="A7" s="3" t="inlineStr">
        <is>
          <t>5</t>
        </is>
      </c>
      <c r="B7" s="3" t="inlineStr">
        <is>
          <t>L.02</t>
        </is>
      </c>
      <c r="C7" s="3" t="inlineStr">
        <is>
          <t>Tukang cat</t>
        </is>
      </c>
      <c r="D7" s="3" t="inlineStr">
        <is>
          <t>OH</t>
        </is>
      </c>
      <c r="E7" s="4" t="n">
        <v>145000</v>
      </c>
    </row>
    <row r="8">
      <c r="A8" s="3" t="n">
        <v/>
      </c>
      <c r="B8" s="3" t="inlineStr">
        <is>
          <t>L.02</t>
        </is>
      </c>
      <c r="C8" s="3" t="inlineStr">
        <is>
          <t>Tukang pelitur</t>
        </is>
      </c>
      <c r="D8" s="3" t="inlineStr">
        <is>
          <t>OH</t>
        </is>
      </c>
      <c r="E8" s="4" t="n">
        <v>145000</v>
      </c>
    </row>
    <row r="9">
      <c r="A9" s="3" t="inlineStr">
        <is>
          <t>6</t>
        </is>
      </c>
      <c r="B9" s="3" t="inlineStr">
        <is>
          <t>L.02</t>
        </is>
      </c>
      <c r="C9" s="3" t="inlineStr">
        <is>
          <t>Tukang pipa</t>
        </is>
      </c>
      <c r="D9" s="3" t="inlineStr">
        <is>
          <t>OH</t>
        </is>
      </c>
      <c r="E9" s="4" t="n">
        <v>145000</v>
      </c>
    </row>
    <row r="10">
      <c r="A10" s="3" t="inlineStr">
        <is>
          <t>7</t>
        </is>
      </c>
      <c r="B10" s="3" t="inlineStr">
        <is>
          <t>L.02</t>
        </is>
      </c>
      <c r="C10" s="3" t="inlineStr">
        <is>
          <t>Tukang penganyam bronjong</t>
        </is>
      </c>
      <c r="D10" s="3" t="inlineStr">
        <is>
          <t>OH</t>
        </is>
      </c>
      <c r="E10" s="4" t="n">
        <v>145000</v>
      </c>
    </row>
    <row r="11">
      <c r="A11" s="3" t="inlineStr">
        <is>
          <t>8</t>
        </is>
      </c>
      <c r="B11" s="3" t="inlineStr">
        <is>
          <t>L.02</t>
        </is>
      </c>
      <c r="C11" s="3" t="inlineStr">
        <is>
          <t>Tukang tebas</t>
        </is>
      </c>
      <c r="D11" s="3" t="inlineStr">
        <is>
          <t>OH</t>
        </is>
      </c>
      <c r="E11" s="4" t="n">
        <v>145000</v>
      </c>
    </row>
    <row r="12">
      <c r="A12" s="3" t="inlineStr">
        <is>
          <t>9</t>
        </is>
      </c>
      <c r="B12" s="3" t="inlineStr">
        <is>
          <t>L.02</t>
        </is>
      </c>
      <c r="C12" s="3" t="inlineStr">
        <is>
          <t>Tukang las</t>
        </is>
      </c>
      <c r="D12" s="3" t="inlineStr">
        <is>
          <t>OH</t>
        </is>
      </c>
      <c r="E12" s="4" t="n">
        <v>145000</v>
      </c>
    </row>
    <row r="13">
      <c r="A13" s="3" t="inlineStr">
        <is>
          <t>10</t>
        </is>
      </c>
      <c r="B13" s="3" t="inlineStr">
        <is>
          <t>L.02</t>
        </is>
      </c>
      <c r="C13" s="3" t="inlineStr">
        <is>
          <t>Tukang las geotextile</t>
        </is>
      </c>
      <c r="D13" s="3" t="inlineStr">
        <is>
          <t>OH</t>
        </is>
      </c>
      <c r="E13" s="4" t="n">
        <v>145000</v>
      </c>
    </row>
    <row r="14">
      <c r="A14" s="3" t="inlineStr">
        <is>
          <t>11</t>
        </is>
      </c>
      <c r="B14" s="3" t="inlineStr">
        <is>
          <t>L.02</t>
        </is>
      </c>
      <c r="C14" s="3" t="inlineStr">
        <is>
          <t>Tukang listrik</t>
        </is>
      </c>
      <c r="D14" s="3" t="inlineStr">
        <is>
          <t>OH</t>
        </is>
      </c>
      <c r="E14" s="4" t="n">
        <v>145000</v>
      </c>
    </row>
    <row r="15">
      <c r="A15" s="3" t="inlineStr">
        <is>
          <t>12</t>
        </is>
      </c>
      <c r="B15" s="3" t="inlineStr">
        <is>
          <t>L.02</t>
        </is>
      </c>
      <c r="C15" s="3" t="inlineStr">
        <is>
          <t>Tukang alumunium</t>
        </is>
      </c>
      <c r="D15" s="3" t="inlineStr">
        <is>
          <t>OH</t>
        </is>
      </c>
      <c r="E15" s="4" t="n">
        <v>145000</v>
      </c>
    </row>
    <row r="16">
      <c r="A16" s="3" t="inlineStr">
        <is>
          <t>13</t>
        </is>
      </c>
      <c r="B16" s="3" t="inlineStr">
        <is>
          <t>L.02</t>
        </is>
      </c>
      <c r="C16" s="3" t="inlineStr">
        <is>
          <t>Tukang kaca</t>
        </is>
      </c>
      <c r="D16" s="3" t="inlineStr">
        <is>
          <t>OH</t>
        </is>
      </c>
      <c r="E16" s="4" t="n">
        <v/>
      </c>
    </row>
    <row r="17">
      <c r="A17" s="3" t="inlineStr">
        <is>
          <t>14</t>
        </is>
      </c>
      <c r="B17" s="3" t="inlineStr">
        <is>
          <t>L.02</t>
        </is>
      </c>
      <c r="C17" s="3" t="inlineStr">
        <is>
          <t>Tukang erection</t>
        </is>
      </c>
      <c r="D17" s="3" t="inlineStr">
        <is>
          <t>OH</t>
        </is>
      </c>
      <c r="E17" s="4" t="n">
        <v>145000</v>
      </c>
    </row>
    <row r="18">
      <c r="A18" s="3" t="inlineStr">
        <is>
          <t>15</t>
        </is>
      </c>
      <c r="B18" s="3" t="inlineStr">
        <is>
          <t>L.02</t>
        </is>
      </c>
      <c r="C18" s="3" t="inlineStr">
        <is>
          <t>Tukang tanam</t>
        </is>
      </c>
      <c r="D18" s="3" t="inlineStr">
        <is>
          <t>OH</t>
        </is>
      </c>
      <c r="E18" s="4" t="n">
        <v>145000</v>
      </c>
    </row>
    <row r="19">
      <c r="A19" s="3" t="n">
        <v/>
      </c>
      <c r="B19" s="3" t="n">
        <v/>
      </c>
      <c r="C19" s="3" t="inlineStr">
        <is>
          <t xml:space="preserve">Tukang Tanam </t>
        </is>
      </c>
      <c r="D19" s="3" t="inlineStr">
        <is>
          <t xml:space="preserve">OH </t>
        </is>
      </c>
      <c r="E19" s="4" t="n">
        <v>181250</v>
      </c>
    </row>
    <row r="20">
      <c r="A20" s="3" t="n">
        <v/>
      </c>
      <c r="B20" s="3" t="n">
        <v/>
      </c>
      <c r="C20" s="3" t="inlineStr">
        <is>
          <t xml:space="preserve">Kepala Tukang Tanam </t>
        </is>
      </c>
      <c r="D20" s="3" t="inlineStr">
        <is>
          <t xml:space="preserve">OH </t>
        </is>
      </c>
      <c r="E20" s="4" t="n">
        <v>218750</v>
      </c>
    </row>
    <row r="21">
      <c r="A21" s="3" t="n">
        <v/>
      </c>
      <c r="B21" s="3" t="n">
        <v/>
      </c>
      <c r="C21" s="3" t="inlineStr">
        <is>
          <t>Tukang pemelihara taman</t>
        </is>
      </c>
      <c r="D21" s="3" t="inlineStr">
        <is>
          <t xml:space="preserve">OH </t>
        </is>
      </c>
      <c r="E21" s="4" t="n">
        <v>145000</v>
      </c>
    </row>
    <row r="22">
      <c r="A22" s="3" t="n">
        <v/>
      </c>
      <c r="B22" s="3" t="n">
        <v/>
      </c>
      <c r="C22" s="3" t="inlineStr">
        <is>
          <t>Tukang pemelihara taman (115% Pekerja)</t>
        </is>
      </c>
      <c r="D22" s="3" t="inlineStr">
        <is>
          <t xml:space="preserve">OH </t>
        </is>
      </c>
      <c r="E22" s="4" t="n">
        <v>115000</v>
      </c>
    </row>
    <row r="23">
      <c r="A23" s="3" t="inlineStr">
        <is>
          <t>10</t>
        </is>
      </c>
      <c r="B23" s="3" t="n">
        <v/>
      </c>
      <c r="C23" s="3" t="inlineStr">
        <is>
          <t>Tukang gali</t>
        </is>
      </c>
      <c r="D23" s="3" t="inlineStr">
        <is>
          <t>OH</t>
        </is>
      </c>
      <c r="E23" s="4" t="n">
        <v>120000</v>
      </c>
    </row>
    <row r="24">
      <c r="A24" s="3" t="inlineStr">
        <is>
          <t>11</t>
        </is>
      </c>
      <c r="B24" s="3" t="n">
        <v/>
      </c>
      <c r="C24" s="3" t="inlineStr">
        <is>
          <t>Tukang aspal</t>
        </is>
      </c>
      <c r="D24" s="3" t="inlineStr">
        <is>
          <t>OH</t>
        </is>
      </c>
      <c r="E24" s="4" t="n">
        <v>120000</v>
      </c>
    </row>
    <row r="25">
      <c r="A25" s="3" t="inlineStr">
        <is>
          <t>13</t>
        </is>
      </c>
      <c r="B25" s="3" t="inlineStr">
        <is>
          <t>L.03</t>
        </is>
      </c>
      <c r="C25" s="3" t="inlineStr">
        <is>
          <t>Kepala tukang</t>
        </is>
      </c>
      <c r="D25" s="3" t="inlineStr">
        <is>
          <t>OH</t>
        </is>
      </c>
      <c r="E25" s="4" t="n">
        <v>175000</v>
      </c>
    </row>
    <row r="26">
      <c r="A26" s="3" t="inlineStr">
        <is>
          <t>14</t>
        </is>
      </c>
      <c r="B26" s="3" t="inlineStr">
        <is>
          <t>L.04</t>
        </is>
      </c>
      <c r="C26" s="3" t="inlineStr">
        <is>
          <t>Mandor</t>
        </is>
      </c>
      <c r="D26" s="3" t="inlineStr">
        <is>
          <t>OH</t>
        </is>
      </c>
      <c r="E26" s="4" t="n">
        <v>200000</v>
      </c>
    </row>
    <row r="27">
      <c r="A27" s="3" t="inlineStr">
        <is>
          <t>21</t>
        </is>
      </c>
      <c r="B27" s="3" t="inlineStr">
        <is>
          <t>L.05</t>
        </is>
      </c>
      <c r="C27" s="3" t="inlineStr">
        <is>
          <t>Juru ukur</t>
        </is>
      </c>
      <c r="D27" s="3" t="inlineStr">
        <is>
          <t>OH</t>
        </is>
      </c>
      <c r="E27" s="4" t="n">
        <v>175000</v>
      </c>
    </row>
    <row r="28">
      <c r="A28" s="3" t="inlineStr">
        <is>
          <t>28</t>
        </is>
      </c>
      <c r="B28" s="3" t="inlineStr">
        <is>
          <t>L.06</t>
        </is>
      </c>
      <c r="C28" s="3" t="inlineStr">
        <is>
          <t>Pembantu juru ukur</t>
        </is>
      </c>
      <c r="D28" s="3" t="inlineStr">
        <is>
          <t>OH</t>
        </is>
      </c>
      <c r="E28" s="4" t="n">
        <v>150000</v>
      </c>
    </row>
    <row r="29">
      <c r="A29" s="3" t="inlineStr">
        <is>
          <t>24</t>
        </is>
      </c>
      <c r="B29" s="3" t="inlineStr">
        <is>
          <t>L.07</t>
        </is>
      </c>
      <c r="C29" s="3" t="inlineStr">
        <is>
          <t>Mekanik alat berat</t>
        </is>
      </c>
      <c r="D29" s="3" t="inlineStr">
        <is>
          <t>OH</t>
        </is>
      </c>
      <c r="E29" s="4" t="n">
        <v>220000</v>
      </c>
    </row>
    <row r="30">
      <c r="A30" s="3" t="inlineStr">
        <is>
          <t>25</t>
        </is>
      </c>
      <c r="B30" s="3" t="inlineStr">
        <is>
          <t>L.08</t>
        </is>
      </c>
      <c r="C30" s="3" t="inlineStr">
        <is>
          <t>Operator alat berat</t>
        </is>
      </c>
      <c r="D30" s="3" t="inlineStr">
        <is>
          <t>OH</t>
        </is>
      </c>
      <c r="E30" s="4" t="n">
        <v>250000</v>
      </c>
    </row>
    <row r="31">
      <c r="A31" s="3" t="inlineStr">
        <is>
          <t>30</t>
        </is>
      </c>
      <c r="B31" s="3" t="inlineStr">
        <is>
          <t>L.09</t>
        </is>
      </c>
      <c r="C31" s="3" t="inlineStr">
        <is>
          <t>Pembantu operator alat berat</t>
        </is>
      </c>
      <c r="D31" s="3" t="inlineStr">
        <is>
          <t>OH</t>
        </is>
      </c>
      <c r="E31" s="4" t="n">
        <v>130000</v>
      </c>
    </row>
    <row r="32">
      <c r="A32" s="3" t="inlineStr">
        <is>
          <t>31</t>
        </is>
      </c>
      <c r="B32" s="3" t="inlineStr">
        <is>
          <t>L.10</t>
        </is>
      </c>
      <c r="C32" s="3" t="inlineStr">
        <is>
          <t>Sopir</t>
        </is>
      </c>
      <c r="D32" s="3" t="inlineStr">
        <is>
          <t>OH</t>
        </is>
      </c>
      <c r="E32" s="4" t="n">
        <v>200000</v>
      </c>
    </row>
    <row r="33">
      <c r="A33" s="3" t="inlineStr">
        <is>
          <t>22</t>
        </is>
      </c>
      <c r="B33" s="3" t="inlineStr">
        <is>
          <t>L.11</t>
        </is>
      </c>
      <c r="C33" s="3" t="inlineStr">
        <is>
          <t>Kenek</t>
        </is>
      </c>
      <c r="D33" s="3" t="inlineStr">
        <is>
          <t>OH</t>
        </is>
      </c>
      <c r="E33" s="4" t="n">
        <v>135000</v>
      </c>
    </row>
    <row r="34">
      <c r="A34" s="3" t="inlineStr">
        <is>
          <t>15</t>
        </is>
      </c>
      <c r="B34" s="3" t="n">
        <v/>
      </c>
      <c r="C34" s="3" t="inlineStr">
        <is>
          <t>Administrasi bor</t>
        </is>
      </c>
      <c r="D34" s="3" t="inlineStr">
        <is>
          <t>OH</t>
        </is>
      </c>
      <c r="E34" s="4" t="n">
        <v>110000</v>
      </c>
    </row>
    <row r="35">
      <c r="A35" s="3" t="inlineStr">
        <is>
          <t>16</t>
        </is>
      </c>
      <c r="B35" s="3" t="n">
        <v/>
      </c>
      <c r="C35" s="3" t="inlineStr">
        <is>
          <t>Ahli geologist</t>
        </is>
      </c>
      <c r="D35" s="3" t="inlineStr">
        <is>
          <t>OH</t>
        </is>
      </c>
      <c r="E35" s="4" t="n">
        <v>400000</v>
      </c>
    </row>
    <row r="36">
      <c r="A36" s="3" t="inlineStr">
        <is>
          <t>17</t>
        </is>
      </c>
      <c r="B36" s="3" t="n">
        <v/>
      </c>
      <c r="C36" s="3" t="inlineStr">
        <is>
          <t>Ahli topografi</t>
        </is>
      </c>
      <c r="D36" s="3" t="inlineStr">
        <is>
          <t>OH</t>
        </is>
      </c>
      <c r="E36" s="4" t="n">
        <v>400000</v>
      </c>
    </row>
    <row r="37">
      <c r="A37" s="3" t="inlineStr">
        <is>
          <t>18</t>
        </is>
      </c>
      <c r="B37" s="3" t="n">
        <v/>
      </c>
      <c r="C37" s="3" t="inlineStr">
        <is>
          <t>Crew driller</t>
        </is>
      </c>
      <c r="D37" s="3" t="inlineStr">
        <is>
          <t>OH</t>
        </is>
      </c>
      <c r="E37" s="4" t="n">
        <v>125000</v>
      </c>
    </row>
    <row r="38">
      <c r="A38" s="3" t="inlineStr">
        <is>
          <t>19</t>
        </is>
      </c>
      <c r="B38" s="3" t="n">
        <v/>
      </c>
      <c r="C38" s="3" t="inlineStr">
        <is>
          <t>Driller</t>
        </is>
      </c>
      <c r="D38" s="3" t="inlineStr">
        <is>
          <t>OH</t>
        </is>
      </c>
      <c r="E38" s="4" t="n">
        <v>140000</v>
      </c>
    </row>
    <row r="39">
      <c r="A39" s="3" t="inlineStr">
        <is>
          <t>20</t>
        </is>
      </c>
      <c r="B39" s="3" t="n">
        <v/>
      </c>
      <c r="C39" s="3" t="inlineStr">
        <is>
          <t>Juru gambar</t>
        </is>
      </c>
      <c r="D39" s="3" t="inlineStr">
        <is>
          <t>OH</t>
        </is>
      </c>
      <c r="E39" s="4" t="n">
        <v>150000</v>
      </c>
    </row>
    <row r="40">
      <c r="A40" s="3" t="inlineStr">
        <is>
          <t>23</t>
        </is>
      </c>
      <c r="B40" s="3" t="n">
        <v/>
      </c>
      <c r="C40" s="3" t="inlineStr">
        <is>
          <t>Koordinator driller</t>
        </is>
      </c>
      <c r="D40" s="3" t="inlineStr">
        <is>
          <t>OH</t>
        </is>
      </c>
      <c r="E40" s="4" t="n">
        <v>155000</v>
      </c>
    </row>
    <row r="41">
      <c r="A41" s="3" t="inlineStr">
        <is>
          <t>26</t>
        </is>
      </c>
      <c r="B41" s="3" t="n">
        <v/>
      </c>
      <c r="C41" s="3" t="inlineStr">
        <is>
          <t>Operator pompa</t>
        </is>
      </c>
      <c r="D41" s="3" t="inlineStr">
        <is>
          <t>OH</t>
        </is>
      </c>
      <c r="E41" s="4" t="n">
        <v>130000</v>
      </c>
    </row>
    <row r="42">
      <c r="A42" s="3" t="inlineStr">
        <is>
          <t>27</t>
        </is>
      </c>
      <c r="B42" s="3" t="n">
        <v/>
      </c>
      <c r="C42" s="3" t="inlineStr">
        <is>
          <t>Pembantu driller</t>
        </is>
      </c>
      <c r="D42" s="3" t="inlineStr">
        <is>
          <t>OH</t>
        </is>
      </c>
      <c r="E42" s="4" t="n">
        <v>130000</v>
      </c>
    </row>
    <row r="43">
      <c r="A43" s="3" t="inlineStr">
        <is>
          <t>29</t>
        </is>
      </c>
      <c r="B43" s="3" t="n">
        <v/>
      </c>
      <c r="C43" s="3" t="inlineStr">
        <is>
          <t>Pembantu mekanik alat berat</t>
        </is>
      </c>
      <c r="D43" s="3" t="inlineStr">
        <is>
          <t>OH</t>
        </is>
      </c>
      <c r="E43" s="4" t="n">
        <v>130000</v>
      </c>
    </row>
    <row r="44">
      <c r="A44" s="3" t="inlineStr">
        <is>
          <t>32</t>
        </is>
      </c>
      <c r="B44" s="3" t="n">
        <v/>
      </c>
      <c r="C44" s="3" t="inlineStr">
        <is>
          <t>Supir kendaraan &lt;  2 ton (termasuk sedan)</t>
        </is>
      </c>
      <c r="D44" s="3" t="inlineStr">
        <is>
          <t>OH</t>
        </is>
      </c>
      <c r="E44" s="4" t="n">
        <v>160000</v>
      </c>
    </row>
    <row r="45">
      <c r="A45" s="3" t="n">
        <v/>
      </c>
      <c r="B45" s="3" t="inlineStr">
        <is>
          <t>L.14.b</t>
        </is>
      </c>
      <c r="C45" s="3" t="inlineStr">
        <is>
          <t xml:space="preserve">Tenaga Terampil Operator </t>
        </is>
      </c>
      <c r="D45" s="3" t="inlineStr">
        <is>
          <t xml:space="preserve">OH </t>
        </is>
      </c>
      <c r="E45" s="4" t="n">
        <v>145000</v>
      </c>
    </row>
    <row r="46">
      <c r="A46" s="3" t="n">
        <v/>
      </c>
      <c r="B46" s="3" t="n">
        <v/>
      </c>
      <c r="C46" s="3" t="inlineStr">
        <is>
          <t xml:space="preserve">Tenaga Ahli Muda </t>
        </is>
      </c>
      <c r="D46" s="3" t="inlineStr">
        <is>
          <t xml:space="preserve">OH </t>
        </is>
      </c>
      <c r="E46" s="4" t="n">
        <v>145000</v>
      </c>
    </row>
    <row r="47">
      <c r="A47" s="3" t="n">
        <v/>
      </c>
      <c r="B47" s="3" t="n">
        <v/>
      </c>
      <c r="C47" s="3" t="inlineStr">
        <is>
          <t>Sewa Tripot</t>
        </is>
      </c>
      <c r="D47" s="3" t="inlineStr">
        <is>
          <t xml:space="preserve">hari </t>
        </is>
      </c>
      <c r="E47" s="4" t="n">
        <v>108000</v>
      </c>
    </row>
    <row r="48">
      <c r="A48" s="3" t="n">
        <v/>
      </c>
      <c r="B48" s="3" t="n">
        <v/>
      </c>
      <c r="C48" s="3" t="inlineStr">
        <is>
          <t>Gergaji Pipa</t>
        </is>
      </c>
      <c r="D48" s="3" t="inlineStr">
        <is>
          <t xml:space="preserve">hari </t>
        </is>
      </c>
      <c r="E48" s="4" t="n">
        <v>32500</v>
      </c>
    </row>
    <row r="49">
      <c r="A49" s="3" t="n">
        <v/>
      </c>
      <c r="B49" s="3" t="n">
        <v/>
      </c>
      <c r="C49" s="3" t="inlineStr">
        <is>
          <t>Peralatan potong pipa
T1/manual (gergaji) /
saw</t>
        </is>
      </c>
      <c r="D49" s="3" t="inlineStr">
        <is>
          <t xml:space="preserve">hari </t>
        </is>
      </c>
      <c r="E49" s="4" t="n">
        <v>35000</v>
      </c>
    </row>
    <row r="50">
      <c r="A50" s="3" t="n">
        <v/>
      </c>
      <c r="B50" s="3" t="n">
        <v/>
      </c>
      <c r="C50" s="3" t="inlineStr">
        <is>
          <t>Cilinder Saw</t>
        </is>
      </c>
      <c r="D50" s="3" t="inlineStr">
        <is>
          <t xml:space="preserve">hari </t>
        </is>
      </c>
      <c r="E50" s="4" t="n">
        <v>75000</v>
      </c>
    </row>
    <row r="51">
      <c r="A51" s="3" t="n">
        <v/>
      </c>
      <c r="B51" s="3" t="n">
        <v/>
      </c>
      <c r="C51" s="3" t="inlineStr">
        <is>
          <t>Peralatan potong pipa
T2/mekanik / cilinder saw</t>
        </is>
      </c>
      <c r="D51" s="3" t="inlineStr">
        <is>
          <t xml:space="preserve">hari </t>
        </is>
      </c>
      <c r="E51" s="4" t="n">
        <v>75000</v>
      </c>
    </row>
    <row r="52">
      <c r="A52" s="3" t="n">
        <v/>
      </c>
      <c r="B52" s="3" t="n">
        <v/>
      </c>
      <c r="C52" s="3" t="inlineStr">
        <is>
          <t>Butt Fushion dan Genset</t>
        </is>
      </c>
      <c r="D52" s="3" t="inlineStr">
        <is>
          <t xml:space="preserve">hari </t>
        </is>
      </c>
      <c r="E52" s="4" t="n">
        <v>2500000</v>
      </c>
    </row>
    <row r="53">
      <c r="A53" s="3" t="n">
        <v/>
      </c>
      <c r="B53" s="3" t="n">
        <v/>
      </c>
      <c r="C53" s="3" t="inlineStr">
        <is>
          <t xml:space="preserve">Pohon Pucuk Merah di Polybag 20 Liter </t>
        </is>
      </c>
      <c r="D53" s="3" t="inlineStr">
        <is>
          <t xml:space="preserve">Pohon </t>
        </is>
      </c>
      <c r="E53" s="4" t="n">
        <v>350000</v>
      </c>
    </row>
    <row r="54">
      <c r="A54" s="3" t="n">
        <v/>
      </c>
      <c r="B54" s="3" t="n">
        <v/>
      </c>
      <c r="C54" s="3" t="inlineStr">
        <is>
          <t xml:space="preserve">Pohon Pucuk Merah di Polybag 25 Liter </t>
        </is>
      </c>
      <c r="D54" s="3" t="inlineStr">
        <is>
          <t xml:space="preserve">Pohon </t>
        </is>
      </c>
      <c r="E54" s="4" t="n">
        <v>400000</v>
      </c>
    </row>
    <row r="55">
      <c r="A55" s="3" t="n">
        <v/>
      </c>
      <c r="B55" s="3" t="n">
        <v/>
      </c>
      <c r="C55" s="3" t="inlineStr">
        <is>
          <t xml:space="preserve">Pohon Bunga Kupu-kupu di Polybag 50 Liter </t>
        </is>
      </c>
      <c r="D55" s="3" t="inlineStr">
        <is>
          <t xml:space="preserve">Pohon </t>
        </is>
      </c>
      <c r="E55" s="4" t="n">
        <v>500000</v>
      </c>
    </row>
    <row r="56">
      <c r="A56" s="3" t="n">
        <v/>
      </c>
      <c r="B56" s="3" t="n">
        <v/>
      </c>
      <c r="C56" s="3" t="inlineStr">
        <is>
          <t xml:space="preserve">Pohon Bunga Kupu-kupu di Polybag 75 Liter </t>
        </is>
      </c>
      <c r="D56" s="3" t="inlineStr">
        <is>
          <t xml:space="preserve">Pohon </t>
        </is>
      </c>
      <c r="E56" s="4" t="n">
        <v>530000</v>
      </c>
    </row>
    <row r="57">
      <c r="A57" s="3" t="n">
        <v/>
      </c>
      <c r="B57" s="3" t="n">
        <v/>
      </c>
      <c r="C57" s="3" t="inlineStr">
        <is>
          <t>Pohon Mahoni di Polybag 100 Liter</t>
        </is>
      </c>
      <c r="D57" s="3" t="inlineStr">
        <is>
          <t xml:space="preserve">Pohon </t>
        </is>
      </c>
      <c r="E57" s="4" t="n">
        <v>400000</v>
      </c>
    </row>
    <row r="58">
      <c r="A58" s="3" t="n">
        <v/>
      </c>
      <c r="B58" s="3" t="n">
        <v/>
      </c>
      <c r="C58" s="3" t="inlineStr">
        <is>
          <t>Pohon Mahoni di Polybag 150 Liter</t>
        </is>
      </c>
      <c r="D58" s="3" t="inlineStr">
        <is>
          <t xml:space="preserve">Pohon </t>
        </is>
      </c>
      <c r="E58" s="4" t="n">
        <v>425000</v>
      </c>
    </row>
    <row r="59">
      <c r="A59" s="3" t="n">
        <v/>
      </c>
      <c r="B59" s="3" t="n">
        <v/>
      </c>
      <c r="C59" s="3" t="inlineStr">
        <is>
          <t>Pohon Beringin di Polybag 200 Liter</t>
        </is>
      </c>
      <c r="D59" s="3" t="inlineStr">
        <is>
          <t xml:space="preserve">Pohon </t>
        </is>
      </c>
      <c r="E59" s="4" t="n">
        <v>550000</v>
      </c>
    </row>
    <row r="60">
      <c r="A60" s="3" t="n">
        <v/>
      </c>
      <c r="B60" s="3" t="n">
        <v/>
      </c>
      <c r="C60" s="3" t="inlineStr">
        <is>
          <t>Pohon Beringin di Polybag 250 Liter</t>
        </is>
      </c>
      <c r="D60" s="3" t="inlineStr">
        <is>
          <t xml:space="preserve">Pohon </t>
        </is>
      </c>
      <c r="E60" s="4" t="n">
        <v>590000</v>
      </c>
    </row>
    <row r="61">
      <c r="A61" s="3" t="inlineStr">
        <is>
          <t>7</t>
        </is>
      </c>
      <c r="B61" s="3" t="n">
        <v/>
      </c>
      <c r="C61" s="3" t="inlineStr">
        <is>
          <t>Bender baja beton</t>
        </is>
      </c>
      <c r="D61" s="3" t="inlineStr">
        <is>
          <t>hari</t>
        </is>
      </c>
      <c r="E61" s="4" t="n">
        <v>850000</v>
      </c>
    </row>
    <row r="62">
      <c r="A62" s="3" t="inlineStr">
        <is>
          <t>12</t>
        </is>
      </c>
      <c r="B62" s="3" t="n">
        <v/>
      </c>
      <c r="C62" s="3" t="inlineStr">
        <is>
          <t>Chainsaw 20”; 5,5HP</t>
        </is>
      </c>
      <c r="D62" s="3" t="inlineStr">
        <is>
          <t>hari</t>
        </is>
      </c>
      <c r="E62" s="4" t="n">
        <v>300000</v>
      </c>
    </row>
    <row r="63">
      <c r="A63" s="3" t="inlineStr">
        <is>
          <t>12</t>
        </is>
      </c>
      <c r="B63" s="3" t="n">
        <v/>
      </c>
      <c r="C63" s="3" t="inlineStr">
        <is>
          <t>Chainsaw 30”; 7,5HP</t>
        </is>
      </c>
      <c r="D63" s="3" t="inlineStr">
        <is>
          <t>hari</t>
        </is>
      </c>
      <c r="E63" s="4" t="n">
        <v>300000</v>
      </c>
    </row>
    <row r="64">
      <c r="A64" s="3" t="inlineStr">
        <is>
          <t>22</t>
        </is>
      </c>
      <c r="B64" s="3" t="n">
        <v/>
      </c>
      <c r="C64" s="3" t="inlineStr">
        <is>
          <t>Concrete vibrator</t>
        </is>
      </c>
      <c r="D64" s="3" t="inlineStr">
        <is>
          <t>hari</t>
        </is>
      </c>
      <c r="E64" s="4" t="n">
        <v>800000</v>
      </c>
    </row>
    <row r="65">
      <c r="A65" s="3" t="inlineStr">
        <is>
          <t>25</t>
        </is>
      </c>
      <c r="B65" s="3" t="n">
        <v/>
      </c>
      <c r="C65" s="3" t="inlineStr">
        <is>
          <t>Cutter baja beton</t>
        </is>
      </c>
      <c r="D65" s="3" t="inlineStr">
        <is>
          <t>hari</t>
        </is>
      </c>
      <c r="E65" s="4" t="n">
        <v>800000</v>
      </c>
    </row>
    <row r="66">
      <c r="A66" s="3" t="inlineStr">
        <is>
          <t>27</t>
        </is>
      </c>
      <c r="B66" s="3" t="n">
        <v/>
      </c>
      <c r="C66" s="3" t="inlineStr">
        <is>
          <t>Depresiasi alat  compressor</t>
        </is>
      </c>
      <c r="D66" s="3" t="inlineStr">
        <is>
          <t>hari</t>
        </is>
      </c>
      <c r="E66" s="4" t="n">
        <v>425000</v>
      </c>
    </row>
    <row r="67">
      <c r="A67" s="3" t="inlineStr">
        <is>
          <t>28</t>
        </is>
      </c>
      <c r="B67" s="3" t="n">
        <v/>
      </c>
      <c r="C67" s="3" t="inlineStr">
        <is>
          <t>Depresiasi mesin pompa uji</t>
        </is>
      </c>
      <c r="D67" s="3" t="inlineStr">
        <is>
          <t>hari</t>
        </is>
      </c>
      <c r="E67" s="4" t="n">
        <v>42000</v>
      </c>
    </row>
    <row r="68">
      <c r="A68" s="3" t="inlineStr">
        <is>
          <t>29</t>
        </is>
      </c>
      <c r="B68" s="3" t="n">
        <v/>
      </c>
      <c r="C68" s="3" t="inlineStr">
        <is>
          <t>Depresiasi peralatan pemboran</t>
        </is>
      </c>
      <c r="D68" s="3" t="inlineStr">
        <is>
          <t>hari</t>
        </is>
      </c>
      <c r="E68" s="4" t="n">
        <v>265000</v>
      </c>
    </row>
    <row r="69">
      <c r="A69" s="3" t="n">
        <v/>
      </c>
      <c r="B69" s="3" t="n">
        <v/>
      </c>
      <c r="C69" s="3" t="inlineStr">
        <is>
          <t>Flat deck truck 7 ton</t>
        </is>
      </c>
      <c r="D69" s="3" t="inlineStr">
        <is>
          <t xml:space="preserve">hari </t>
        </is>
      </c>
      <c r="E69" s="4" t="n">
        <v>2700000</v>
      </c>
    </row>
    <row r="70">
      <c r="A70" s="3" t="n">
        <v/>
      </c>
      <c r="B70" s="3" t="n">
        <v/>
      </c>
      <c r="C70" s="3" t="inlineStr">
        <is>
          <t xml:space="preserve">Hoist 1 ton </t>
        </is>
      </c>
      <c r="D70" s="3" t="inlineStr">
        <is>
          <t xml:space="preserve">hari </t>
        </is>
      </c>
      <c r="E70" s="4" t="n">
        <v>180000</v>
      </c>
    </row>
    <row r="71">
      <c r="A71" s="3" t="n">
        <v/>
      </c>
      <c r="B71" s="3" t="n">
        <v/>
      </c>
      <c r="C71" s="3" t="inlineStr">
        <is>
          <t xml:space="preserve">Excavator </t>
        </is>
      </c>
      <c r="D71" s="3" t="inlineStr">
        <is>
          <t xml:space="preserve">Hari </t>
        </is>
      </c>
      <c r="E71" s="4" t="n">
        <v>5150000</v>
      </c>
    </row>
    <row r="72">
      <c r="A72" s="3" t="inlineStr">
        <is>
          <t>37</t>
        </is>
      </c>
      <c r="B72" s="3" t="n">
        <v/>
      </c>
      <c r="C72" s="3" t="inlineStr">
        <is>
          <t>Jack hammer</t>
        </is>
      </c>
      <c r="D72" s="3" t="inlineStr">
        <is>
          <t>hari</t>
        </is>
      </c>
      <c r="E72" s="4" t="n">
        <v>350000</v>
      </c>
    </row>
    <row r="73">
      <c r="A73" s="3" t="n">
        <v/>
      </c>
      <c r="B73" s="3" t="n">
        <v/>
      </c>
      <c r="C73" s="3" t="inlineStr">
        <is>
          <t>Jack hammer (5 kW) + Genset (12 HP)</t>
        </is>
      </c>
      <c r="D73" s="3" t="inlineStr">
        <is>
          <t>hari</t>
        </is>
      </c>
      <c r="E73" s="4" t="n">
        <v>350000</v>
      </c>
    </row>
    <row r="74">
      <c r="A74" s="3" t="inlineStr">
        <is>
          <t>38</t>
        </is>
      </c>
      <c r="B74" s="3" t="n">
        <v/>
      </c>
      <c r="C74" s="3" t="inlineStr">
        <is>
          <t>Jack hammer + genset</t>
        </is>
      </c>
      <c r="D74" s="3" t="inlineStr">
        <is>
          <t>hari</t>
        </is>
      </c>
      <c r="E74" s="4" t="n">
        <v>2300000</v>
      </c>
    </row>
    <row r="75">
      <c r="A75" s="3" t="n">
        <v/>
      </c>
      <c r="B75" s="3" t="n">
        <v/>
      </c>
      <c r="C75" s="3" t="inlineStr">
        <is>
          <t xml:space="preserve">Sewa Genset </t>
        </is>
      </c>
      <c r="D75" s="3" t="inlineStr">
        <is>
          <t xml:space="preserve">hari </t>
        </is>
      </c>
      <c r="E75" s="4" t="n">
        <v>150000</v>
      </c>
    </row>
    <row r="76">
      <c r="A76" s="3" t="inlineStr">
        <is>
          <t>40</t>
        </is>
      </c>
      <c r="B76" s="3" t="n">
        <v/>
      </c>
      <c r="C76" s="3" t="inlineStr">
        <is>
          <t>Mata bor auger 20 cm</t>
        </is>
      </c>
      <c r="D76" s="3" t="inlineStr">
        <is>
          <t>hari</t>
        </is>
      </c>
      <c r="E76" s="4" t="n">
        <v>100000</v>
      </c>
    </row>
    <row r="77">
      <c r="A77" s="3" t="inlineStr">
        <is>
          <t>41</t>
        </is>
      </c>
      <c r="B77" s="3" t="n">
        <v/>
      </c>
      <c r="C77" s="3" t="inlineStr">
        <is>
          <t>Mata bor auger 30 cm</t>
        </is>
      </c>
      <c r="D77" s="3" t="inlineStr">
        <is>
          <t>hari</t>
        </is>
      </c>
      <c r="E77" s="4" t="n">
        <v>170000</v>
      </c>
    </row>
    <row r="78">
      <c r="A78" s="3" t="inlineStr">
        <is>
          <t>42</t>
        </is>
      </c>
      <c r="B78" s="3" t="n">
        <v/>
      </c>
      <c r="C78" s="3" t="inlineStr">
        <is>
          <t>Mata bor auger 40 cm</t>
        </is>
      </c>
      <c r="D78" s="3" t="inlineStr">
        <is>
          <t>hari</t>
        </is>
      </c>
      <c r="E78" s="4" t="n">
        <v>250000</v>
      </c>
    </row>
    <row r="79">
      <c r="A79" s="3" t="inlineStr">
        <is>
          <t>43</t>
        </is>
      </c>
      <c r="B79" s="3" t="n">
        <v/>
      </c>
      <c r="C79" s="3" t="inlineStr">
        <is>
          <t>Mata bor auger 50 cm</t>
        </is>
      </c>
      <c r="D79" s="3" t="inlineStr">
        <is>
          <t>hari</t>
        </is>
      </c>
      <c r="E79" s="4" t="n">
        <v>340000</v>
      </c>
    </row>
    <row r="80">
      <c r="A80" s="3" t="inlineStr">
        <is>
          <t>49</t>
        </is>
      </c>
      <c r="B80" s="3" t="n">
        <v/>
      </c>
      <c r="C80" s="3" t="inlineStr">
        <is>
          <t>Mesin poles</t>
        </is>
      </c>
      <c r="D80" s="3" t="inlineStr">
        <is>
          <t>hari</t>
        </is>
      </c>
      <c r="E80" s="4" t="n">
        <v>150000</v>
      </c>
    </row>
    <row r="81">
      <c r="A81" s="3" t="inlineStr">
        <is>
          <t>55</t>
        </is>
      </c>
      <c r="B81" s="3" t="n">
        <v/>
      </c>
      <c r="C81" s="3" t="inlineStr">
        <is>
          <t>Pompa beton ∅ 2,5", 75KW; 120 bar, T= 50 m'/H=80 m’</t>
        </is>
      </c>
      <c r="D81" s="3" t="inlineStr">
        <is>
          <t>hari</t>
        </is>
      </c>
      <c r="E81" s="4" t="n">
        <v>6600000</v>
      </c>
    </row>
    <row r="82">
      <c r="A82" s="3" t="inlineStr">
        <is>
          <t>56</t>
        </is>
      </c>
      <c r="B82" s="3" t="n">
        <v/>
      </c>
      <c r="C82" s="3" t="inlineStr">
        <is>
          <t>Pompa beton ∅ 2,5",20 KW; 20 bar, T = 18 m'</t>
        </is>
      </c>
      <c r="D82" s="3" t="inlineStr">
        <is>
          <t>hari</t>
        </is>
      </c>
      <c r="E82" s="4" t="n">
        <v>6300000</v>
      </c>
    </row>
    <row r="83">
      <c r="A83" s="3" t="inlineStr">
        <is>
          <t>57</t>
        </is>
      </c>
      <c r="B83" s="3" t="n">
        <v/>
      </c>
      <c r="C83" s="3" t="inlineStr">
        <is>
          <t>Pompa beton ∅ 3",140KW; 180 bar, T = 75 m' / H=150 m'</t>
        </is>
      </c>
      <c r="D83" s="3" t="inlineStr">
        <is>
          <t>hari</t>
        </is>
      </c>
      <c r="E83" s="4" t="n">
        <v>8000000</v>
      </c>
    </row>
    <row r="84">
      <c r="A84" s="3" t="inlineStr">
        <is>
          <t>58</t>
        </is>
      </c>
      <c r="B84" s="3" t="n">
        <v/>
      </c>
      <c r="C84" s="3" t="inlineStr">
        <is>
          <t>Pompa beton φ 1,5";5 KW; 8 bar; T = 5 m'</t>
        </is>
      </c>
      <c r="D84" s="3" t="inlineStr">
        <is>
          <t>hari</t>
        </is>
      </c>
      <c r="E84" s="4" t="n">
        <v>6000000</v>
      </c>
    </row>
    <row r="85">
      <c r="A85" s="3" t="inlineStr">
        <is>
          <t>62</t>
        </is>
      </c>
      <c r="B85" s="3" t="n">
        <v/>
      </c>
      <c r="C85" s="3" t="inlineStr">
        <is>
          <t>Sewa alat cutting machine</t>
        </is>
      </c>
      <c r="D85" s="3" t="inlineStr">
        <is>
          <t>hari</t>
        </is>
      </c>
      <c r="E85" s="4" t="n">
        <v>25000</v>
      </c>
    </row>
    <row r="86">
      <c r="A86" s="3" t="inlineStr">
        <is>
          <t>63</t>
        </is>
      </c>
      <c r="B86" s="3" t="n">
        <v/>
      </c>
      <c r="C86" s="3" t="inlineStr">
        <is>
          <t>Sewa alat las</t>
        </is>
      </c>
      <c r="D86" s="3" t="inlineStr">
        <is>
          <t>hari</t>
        </is>
      </c>
      <c r="E86" s="4" t="n">
        <v>25000</v>
      </c>
    </row>
    <row r="87">
      <c r="A87" s="3" t="n">
        <v/>
      </c>
      <c r="B87" s="3" t="n">
        <v/>
      </c>
      <c r="C87" s="3" t="inlineStr">
        <is>
          <t>Mesin Las Gotextile</t>
        </is>
      </c>
      <c r="D87" s="3" t="inlineStr">
        <is>
          <t xml:space="preserve">hari </t>
        </is>
      </c>
      <c r="E87" s="4" t="n">
        <v>25000</v>
      </c>
    </row>
    <row r="88">
      <c r="A88" s="3" t="n">
        <v/>
      </c>
      <c r="B88" s="3" t="n">
        <v/>
      </c>
      <c r="C88" s="3" t="inlineStr">
        <is>
          <t xml:space="preserve">Kunci Momen </t>
        </is>
      </c>
      <c r="D88" s="3" t="inlineStr">
        <is>
          <t>hari</t>
        </is>
      </c>
      <c r="E88" s="4" t="n">
        <v>20000</v>
      </c>
    </row>
    <row r="89">
      <c r="A89" s="3" t="inlineStr">
        <is>
          <t>64</t>
        </is>
      </c>
      <c r="B89" s="3" t="n">
        <v/>
      </c>
      <c r="C89" s="3" t="inlineStr">
        <is>
          <t>Sewa bor horisontal</t>
        </is>
      </c>
      <c r="D89" s="3" t="inlineStr">
        <is>
          <t>hari</t>
        </is>
      </c>
      <c r="E89" s="4" t="n">
        <v>150000</v>
      </c>
    </row>
    <row r="90">
      <c r="A90" s="3" t="n">
        <v/>
      </c>
      <c r="B90" s="3" t="n">
        <v/>
      </c>
      <c r="C90" s="3" t="inlineStr">
        <is>
          <t>Sewa Scaffolding</t>
        </is>
      </c>
      <c r="D90" s="3" t="inlineStr">
        <is>
          <t>hari</t>
        </is>
      </c>
      <c r="E90" s="4" t="n">
        <v>586.6666666666665</v>
      </c>
    </row>
    <row r="91">
      <c r="A91" s="3" t="n">
        <v/>
      </c>
      <c r="B91" s="3" t="n">
        <v/>
      </c>
      <c r="C91" s="3" t="inlineStr">
        <is>
          <t xml:space="preserve">Sewa Gondola </t>
        </is>
      </c>
      <c r="D91" s="3" t="inlineStr">
        <is>
          <t>hari</t>
        </is>
      </c>
      <c r="E91" s="4" t="n">
        <v>322000</v>
      </c>
    </row>
    <row r="92">
      <c r="A92" s="3" t="n">
        <v/>
      </c>
      <c r="B92" s="3" t="n">
        <v/>
      </c>
      <c r="C92" s="3" t="inlineStr">
        <is>
          <t>Sewa Pipe Support</t>
        </is>
      </c>
      <c r="D92" s="3" t="inlineStr">
        <is>
          <t xml:space="preserve">hari </t>
        </is>
      </c>
      <c r="E92" s="4" t="n">
        <v>850</v>
      </c>
    </row>
    <row r="93">
      <c r="A93" s="3" t="n">
        <v/>
      </c>
      <c r="B93" s="3" t="n">
        <v/>
      </c>
      <c r="C93" s="3" t="inlineStr">
        <is>
          <t xml:space="preserve">Sprayer Gendong </t>
        </is>
      </c>
      <c r="D93" s="3" t="inlineStr">
        <is>
          <t xml:space="preserve">Hari </t>
        </is>
      </c>
      <c r="E93" s="4" t="n">
        <v>350000</v>
      </c>
    </row>
    <row r="94">
      <c r="A94" s="3" t="n">
        <v/>
      </c>
      <c r="B94" s="3" t="n">
        <v/>
      </c>
      <c r="C94" s="3" t="inlineStr">
        <is>
          <t xml:space="preserve">Stamper Kodok 150 kg </t>
        </is>
      </c>
      <c r="D94" s="3" t="inlineStr">
        <is>
          <t xml:space="preserve">Hari </t>
        </is>
      </c>
      <c r="E94" s="4" t="n">
        <v>350000</v>
      </c>
    </row>
    <row r="95">
      <c r="A95" s="3" t="n">
        <v/>
      </c>
      <c r="B95" s="3" t="n">
        <v/>
      </c>
      <c r="C95" s="3" t="inlineStr">
        <is>
          <t xml:space="preserve">Stamper Kuda </t>
        </is>
      </c>
      <c r="D95" s="3" t="inlineStr">
        <is>
          <t xml:space="preserve">hari </t>
        </is>
      </c>
      <c r="E95" s="4" t="n">
        <v>290000</v>
      </c>
    </row>
    <row r="96">
      <c r="A96" s="3" t="n">
        <v/>
      </c>
      <c r="B96" s="3" t="n">
        <v/>
      </c>
      <c r="C96" s="3" t="inlineStr">
        <is>
          <t xml:space="preserve">Stamper D-Drum </t>
        </is>
      </c>
      <c r="D96" s="3" t="inlineStr">
        <is>
          <t xml:space="preserve">hari </t>
        </is>
      </c>
      <c r="E96" s="4" t="n">
        <v>310000</v>
      </c>
    </row>
    <row r="97">
      <c r="A97" s="3" t="n">
        <v/>
      </c>
      <c r="B97" s="3" t="n">
        <v/>
      </c>
      <c r="C97" s="3" t="inlineStr">
        <is>
          <t>Stamper Smooth_Drum</t>
        </is>
      </c>
      <c r="D97" s="3" t="inlineStr">
        <is>
          <t xml:space="preserve">hari </t>
        </is>
      </c>
      <c r="E97" s="4" t="n">
        <v>350000</v>
      </c>
    </row>
    <row r="98">
      <c r="A98" s="3" t="inlineStr">
        <is>
          <t>67</t>
        </is>
      </c>
      <c r="B98" s="3" t="n">
        <v/>
      </c>
      <c r="C98" s="3" t="inlineStr">
        <is>
          <t>Stang bor, batang bor dia. 1-1/4"</t>
        </is>
      </c>
      <c r="D98" s="3" t="inlineStr">
        <is>
          <t>hari</t>
        </is>
      </c>
      <c r="E98" s="4" t="n">
        <v>95000</v>
      </c>
    </row>
    <row r="99">
      <c r="A99" s="3" t="inlineStr">
        <is>
          <t>70</t>
        </is>
      </c>
      <c r="B99" s="3" t="n">
        <v/>
      </c>
      <c r="C99" s="3" t="inlineStr">
        <is>
          <t>Theodolit</t>
        </is>
      </c>
      <c r="D99" s="3" t="inlineStr">
        <is>
          <t>hari</t>
        </is>
      </c>
      <c r="E99" s="4" t="n">
        <v>150000</v>
      </c>
    </row>
    <row r="100">
      <c r="A100" s="3" t="inlineStr">
        <is>
          <t>72</t>
        </is>
      </c>
      <c r="B100" s="3" t="n">
        <v/>
      </c>
      <c r="C100" s="3" t="inlineStr">
        <is>
          <t>Tower crane arm 30 m</t>
        </is>
      </c>
      <c r="D100" s="3" t="inlineStr">
        <is>
          <t>hari</t>
        </is>
      </c>
      <c r="E100" s="4" t="n">
        <v>3442900</v>
      </c>
    </row>
    <row r="101">
      <c r="A101" s="3" t="n">
        <v/>
      </c>
      <c r="B101" s="3" t="n">
        <v/>
      </c>
      <c r="C101" s="3" t="inlineStr">
        <is>
          <t xml:space="preserve">Crane </t>
        </is>
      </c>
      <c r="D101" s="3" t="inlineStr">
        <is>
          <t xml:space="preserve">hari </t>
        </is>
      </c>
      <c r="E101" s="4" t="n">
        <v>3442900</v>
      </c>
    </row>
    <row r="102">
      <c r="A102" s="3" t="n">
        <v/>
      </c>
      <c r="B102" s="3" t="n">
        <v/>
      </c>
      <c r="C102" s="3" t="inlineStr">
        <is>
          <t xml:space="preserve">Water Truck </t>
        </is>
      </c>
      <c r="D102" s="3" t="inlineStr">
        <is>
          <t xml:space="preserve">hari </t>
        </is>
      </c>
      <c r="E102" s="4" t="n">
        <v>1550000</v>
      </c>
    </row>
    <row r="103">
      <c r="A103" s="3" t="inlineStr">
        <is>
          <t>79</t>
        </is>
      </c>
      <c r="B103" s="3" t="n">
        <v/>
      </c>
      <c r="C103" s="3" t="inlineStr">
        <is>
          <t>Waterpass</t>
        </is>
      </c>
      <c r="D103" s="3" t="inlineStr">
        <is>
          <t>hari</t>
        </is>
      </c>
      <c r="E103" s="4" t="n">
        <v>75000</v>
      </c>
    </row>
    <row r="104">
      <c r="A104" s="3" t="inlineStr">
        <is>
          <t>81</t>
        </is>
      </c>
      <c r="B104" s="3" t="n">
        <v/>
      </c>
      <c r="C104" s="3" t="inlineStr">
        <is>
          <t>Alat  pancang Hammer 0.5 ton</t>
        </is>
      </c>
      <c r="D104" s="3" t="inlineStr">
        <is>
          <t>hari</t>
        </is>
      </c>
      <c r="E104" s="4" t="n">
        <v>350000</v>
      </c>
    </row>
    <row r="105">
      <c r="A105" s="3" t="n">
        <v/>
      </c>
      <c r="B105" s="3" t="n">
        <v/>
      </c>
      <c r="C105" s="3" t="inlineStr">
        <is>
          <t>Alat Pancang Mini Pile</t>
        </is>
      </c>
      <c r="D105" s="3" t="inlineStr">
        <is>
          <t xml:space="preserve">hari </t>
        </is>
      </c>
      <c r="E105" s="4" t="n">
        <v>250000</v>
      </c>
    </row>
    <row r="106">
      <c r="A106" s="3" t="n">
        <v/>
      </c>
      <c r="B106" s="3" t="n">
        <v/>
      </c>
      <c r="C106" s="3" t="inlineStr">
        <is>
          <t>Alat pancang Hidraulik Pile Driver</t>
        </is>
      </c>
      <c r="D106" s="3" t="inlineStr">
        <is>
          <t xml:space="preserve">hari </t>
        </is>
      </c>
      <c r="E106" s="4" t="n">
        <v>487000</v>
      </c>
    </row>
    <row r="107">
      <c r="A107" s="3" t="inlineStr">
        <is>
          <t>82</t>
        </is>
      </c>
      <c r="B107" s="3" t="n">
        <v/>
      </c>
      <c r="C107" s="3" t="inlineStr">
        <is>
          <t>Alat  penyambung tiang pancang dolken</t>
        </is>
      </c>
      <c r="D107" s="3" t="inlineStr">
        <is>
          <t>hari</t>
        </is>
      </c>
      <c r="E107" s="4" t="n">
        <v>350000</v>
      </c>
    </row>
    <row r="108">
      <c r="A108" s="3" t="inlineStr">
        <is>
          <t>91</t>
        </is>
      </c>
      <c r="B108" s="3" t="n">
        <v/>
      </c>
      <c r="C108" s="3" t="inlineStr">
        <is>
          <t>Molen beton mixer 350 liter</t>
        </is>
      </c>
      <c r="D108" s="3" t="inlineStr">
        <is>
          <t>hari</t>
        </is>
      </c>
      <c r="E108" s="4" t="n">
        <v>300000</v>
      </c>
    </row>
    <row r="109">
      <c r="A109" s="3" t="n">
        <v/>
      </c>
      <c r="B109" s="3" t="n">
        <v/>
      </c>
      <c r="C109" s="3" t="inlineStr">
        <is>
          <t>Mesin Molen 1m3</t>
        </is>
      </c>
      <c r="D109" s="3" t="inlineStr">
        <is>
          <t xml:space="preserve">hari </t>
        </is>
      </c>
      <c r="E109" s="4" t="n">
        <v>300000</v>
      </c>
    </row>
    <row r="110">
      <c r="A110" s="3" t="inlineStr">
        <is>
          <t>96</t>
        </is>
      </c>
      <c r="B110" s="3" t="n">
        <v/>
      </c>
      <c r="C110" s="3" t="inlineStr">
        <is>
          <t>Pompa Air,   diesel 10 KW</t>
        </is>
      </c>
      <c r="D110" s="3" t="inlineStr">
        <is>
          <t>hari</t>
        </is>
      </c>
      <c r="E110" s="4" t="n">
        <v>500000</v>
      </c>
    </row>
    <row r="111">
      <c r="A111" s="3" t="inlineStr">
        <is>
          <t>97</t>
        </is>
      </c>
      <c r="B111" s="3" t="n">
        <v/>
      </c>
      <c r="C111" s="3" t="inlineStr">
        <is>
          <t>Pompa Air,   diesel 20 KW</t>
        </is>
      </c>
      <c r="D111" s="3" t="inlineStr">
        <is>
          <t>hari</t>
        </is>
      </c>
      <c r="E111" s="4" t="n">
        <v>1000000</v>
      </c>
    </row>
    <row r="112">
      <c r="A112" s="3" t="inlineStr">
        <is>
          <t>98</t>
        </is>
      </c>
      <c r="B112" s="3" t="n">
        <v/>
      </c>
      <c r="C112" s="3" t="inlineStr">
        <is>
          <t>Pompa Air,   diesel 5 KW</t>
        </is>
      </c>
      <c r="D112" s="3" t="inlineStr">
        <is>
          <t>hari</t>
        </is>
      </c>
      <c r="E112" s="4" t="n">
        <v>250000</v>
      </c>
    </row>
    <row r="113">
      <c r="A113" s="3" t="n">
        <v/>
      </c>
      <c r="B113" s="3" t="n">
        <v/>
      </c>
      <c r="C113" s="3" t="inlineStr">
        <is>
          <t>Pompa Sedot</t>
        </is>
      </c>
      <c r="D113" s="3" t="inlineStr">
        <is>
          <t>hari</t>
        </is>
      </c>
      <c r="E113" s="4" t="n">
        <v>280000</v>
      </c>
    </row>
    <row r="114">
      <c r="A114" s="3" t="n">
        <v/>
      </c>
      <c r="B114" s="3" t="n">
        <v/>
      </c>
      <c r="C114" s="3" t="inlineStr">
        <is>
          <t xml:space="preserve">Pompa Sedot Pasir </t>
        </is>
      </c>
      <c r="D114" s="3" t="inlineStr">
        <is>
          <t xml:space="preserve">hari </t>
        </is>
      </c>
      <c r="E114" s="4" t="n">
        <v>280000</v>
      </c>
    </row>
    <row r="115">
      <c r="A115" s="3" t="n">
        <v/>
      </c>
      <c r="B115" s="3" t="n">
        <v/>
      </c>
      <c r="C115" s="3" t="inlineStr">
        <is>
          <t xml:space="preserve">Pompa Lumpur </t>
        </is>
      </c>
      <c r="D115" s="3" t="inlineStr">
        <is>
          <t xml:space="preserve">hari </t>
        </is>
      </c>
      <c r="E115" s="4" t="n">
        <v>260000</v>
      </c>
    </row>
    <row r="116">
      <c r="A116" s="3" t="n">
        <v/>
      </c>
      <c r="B116" s="3" t="n">
        <v/>
      </c>
      <c r="C116" s="3" t="inlineStr">
        <is>
          <t xml:space="preserve">Boom Lift </t>
        </is>
      </c>
      <c r="D116" s="3" t="inlineStr">
        <is>
          <t>hari</t>
        </is>
      </c>
      <c r="E116" s="4" t="n">
        <v>3300000</v>
      </c>
    </row>
    <row r="117">
      <c r="A117" s="3" t="inlineStr">
        <is>
          <t>101</t>
        </is>
      </c>
      <c r="B117" s="3" t="n">
        <v/>
      </c>
      <c r="C117" s="3" t="inlineStr">
        <is>
          <t>Sewa alat  cutting machine</t>
        </is>
      </c>
      <c r="D117" s="3" t="inlineStr">
        <is>
          <t>hari</t>
        </is>
      </c>
      <c r="E117" s="4" t="n">
        <v>44000</v>
      </c>
    </row>
    <row r="118">
      <c r="A118" s="3" t="inlineStr">
        <is>
          <t>102</t>
        </is>
      </c>
      <c r="B118" s="3" t="n">
        <v/>
      </c>
      <c r="C118" s="3" t="inlineStr">
        <is>
          <t>Sewa bekisting</t>
        </is>
      </c>
      <c r="D118" s="3" t="inlineStr">
        <is>
          <t>hari</t>
        </is>
      </c>
      <c r="E118" s="4" t="n">
        <v>7500</v>
      </c>
    </row>
    <row r="119">
      <c r="A119" s="3" t="inlineStr">
        <is>
          <t>103</t>
        </is>
      </c>
      <c r="B119" s="3" t="n">
        <v/>
      </c>
      <c r="C119" s="3" t="inlineStr">
        <is>
          <t>Sewa bekisting rigid</t>
        </is>
      </c>
      <c r="D119" s="3" t="inlineStr">
        <is>
          <t>hari</t>
        </is>
      </c>
      <c r="E119" s="4" t="n">
        <v>7500</v>
      </c>
    </row>
    <row r="120">
      <c r="A120" s="3" t="inlineStr">
        <is>
          <t>104</t>
        </is>
      </c>
      <c r="B120" s="3" t="n">
        <v/>
      </c>
      <c r="C120" s="3" t="inlineStr">
        <is>
          <t>Sewa bor horisontal</t>
        </is>
      </c>
      <c r="D120" s="3" t="inlineStr">
        <is>
          <t>hari</t>
        </is>
      </c>
      <c r="E120" s="4" t="n">
        <v>150000</v>
      </c>
    </row>
    <row r="121">
      <c r="A121" s="3" t="inlineStr">
        <is>
          <t>105</t>
        </is>
      </c>
      <c r="B121" s="3" t="n">
        <v/>
      </c>
      <c r="C121" s="3" t="inlineStr">
        <is>
          <t>Sewa mobil crane</t>
        </is>
      </c>
      <c r="D121" s="3" t="inlineStr">
        <is>
          <t>hari</t>
        </is>
      </c>
      <c r="E121" s="4" t="n">
        <v>1450000</v>
      </c>
    </row>
    <row r="122">
      <c r="A122" s="3" t="inlineStr">
        <is>
          <t>106</t>
        </is>
      </c>
      <c r="B122" s="3" t="n">
        <v/>
      </c>
      <c r="C122" s="3" t="inlineStr">
        <is>
          <t>Sewa mobil crane kapasitas  15 Ton</t>
        </is>
      </c>
      <c r="D122" s="3" t="inlineStr">
        <is>
          <t>hari</t>
        </is>
      </c>
      <c r="E122" s="4" t="n">
        <v>3400000</v>
      </c>
    </row>
    <row r="123">
      <c r="A123" s="3" t="inlineStr">
        <is>
          <t>107</t>
        </is>
      </c>
      <c r="B123" s="3" t="n">
        <v/>
      </c>
      <c r="C123" s="3" t="inlineStr">
        <is>
          <t>Sewa mobil crane kapasitas  25 Ton</t>
        </is>
      </c>
      <c r="D123" s="3" t="inlineStr">
        <is>
          <t>hari</t>
        </is>
      </c>
      <c r="E123" s="4" t="n">
        <v>6250000</v>
      </c>
    </row>
    <row r="124">
      <c r="A124" s="3" t="inlineStr">
        <is>
          <t>108</t>
        </is>
      </c>
      <c r="B124" s="3" t="n">
        <v/>
      </c>
      <c r="C124" s="3" t="inlineStr">
        <is>
          <t>Sewa mobil crane kapasitas  5 Ton</t>
        </is>
      </c>
      <c r="D124" s="3" t="inlineStr">
        <is>
          <t>hari</t>
        </is>
      </c>
      <c r="E124" s="4" t="n">
        <v>1450000</v>
      </c>
    </row>
    <row r="125">
      <c r="A125" s="3" t="inlineStr">
        <is>
          <t>110</t>
        </is>
      </c>
      <c r="B125" s="3" t="n">
        <v/>
      </c>
      <c r="C125" s="3" t="inlineStr">
        <is>
          <t>Sewa tangga 7 meter</t>
        </is>
      </c>
      <c r="D125" s="3" t="inlineStr">
        <is>
          <t>hari</t>
        </is>
      </c>
      <c r="E125" s="4" t="n">
        <v>50000</v>
      </c>
    </row>
    <row r="126">
      <c r="A126" s="3" t="n">
        <v/>
      </c>
      <c r="B126" s="3" t="n">
        <v/>
      </c>
      <c r="C126" s="3" t="inlineStr">
        <is>
          <t xml:space="preserve">Tandon Air kap. 2 m3 </t>
        </is>
      </c>
      <c r="D126" s="3" t="inlineStr">
        <is>
          <t xml:space="preserve">hari </t>
        </is>
      </c>
      <c r="E126" s="4" t="n">
        <v>25000</v>
      </c>
    </row>
    <row r="127">
      <c r="A127" s="3" t="inlineStr">
        <is>
          <t>112</t>
        </is>
      </c>
      <c r="B127" s="3" t="n">
        <v/>
      </c>
      <c r="C127" s="3" t="inlineStr">
        <is>
          <t>Tripod tinggi 5 m</t>
        </is>
      </c>
      <c r="D127" s="3" t="inlineStr">
        <is>
          <t>hari</t>
        </is>
      </c>
      <c r="E127" s="4" t="n">
        <v>250000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56"/>
  <sheetViews>
    <sheetView workbookViewId="0">
      <selection activeCell="A1" sqref="A1"/>
    </sheetView>
  </sheetViews>
  <sheetFormatPr baseColWidth="8" defaultRowHeight="15"/>
  <cols>
    <col width="45" customWidth="1" min="3" max="3"/>
  </cols>
  <sheetData>
    <row r="1">
      <c r="A1" s="9" t="inlineStr">
        <is>
          <t>DATABASE BAHAN MATERIAL (SE BINKON 182/2025)</t>
        </is>
      </c>
    </row>
    <row r="2">
      <c r="A2" s="10" t="inlineStr">
        <is>
          <t>No</t>
        </is>
      </c>
      <c r="B2" s="10" t="inlineStr">
        <is>
          <t>Kode</t>
        </is>
      </c>
      <c r="C2" s="10" t="inlineStr">
        <is>
          <t>Nama Material</t>
        </is>
      </c>
      <c r="D2" s="10" t="inlineStr">
        <is>
          <t>Satuan</t>
        </is>
      </c>
      <c r="E2" s="10" t="inlineStr">
        <is>
          <t>Harga Material (Rp)</t>
        </is>
      </c>
    </row>
    <row r="3">
      <c r="A3" s="3" t="inlineStr">
        <is>
          <t>NO</t>
        </is>
      </c>
      <c r="B3" s="3" t="inlineStr">
        <is>
          <t>Kode</t>
        </is>
      </c>
      <c r="C3" s="3" t="inlineStr">
        <is>
          <t>UPAH - MATERIAL - ALAT</t>
        </is>
      </c>
      <c r="D3" s="3" t="inlineStr">
        <is>
          <t>SATUAN</t>
        </is>
      </c>
      <c r="E3" s="4" t="n">
        <v/>
      </c>
    </row>
    <row r="4">
      <c r="A4" s="3" t="inlineStr">
        <is>
          <t>1</t>
        </is>
      </c>
      <c r="B4" s="3" t="n">
        <v/>
      </c>
      <c r="C4" s="3" t="inlineStr">
        <is>
          <t>2</t>
        </is>
      </c>
      <c r="D4" s="3" t="inlineStr">
        <is>
          <t>3</t>
        </is>
      </c>
      <c r="E4" s="4" t="n">
        <v>4</v>
      </c>
    </row>
    <row r="5">
      <c r="A5" s="3" t="inlineStr">
        <is>
          <t>I.</t>
        </is>
      </c>
      <c r="B5" s="3" t="n">
        <v/>
      </c>
      <c r="C5" s="3" t="inlineStr">
        <is>
          <t>UPAH</t>
        </is>
      </c>
      <c r="D5" s="3" t="n">
        <v/>
      </c>
      <c r="E5" s="4" t="n">
        <v/>
      </c>
    </row>
    <row r="6">
      <c r="A6" s="3" t="inlineStr">
        <is>
          <t>II.</t>
        </is>
      </c>
      <c r="B6" s="3" t="n">
        <v/>
      </c>
      <c r="C6" s="3" t="inlineStr">
        <is>
          <t>MATERIAL</t>
        </is>
      </c>
      <c r="D6" s="3" t="n">
        <v/>
      </c>
      <c r="E6" s="4" t="n">
        <v/>
      </c>
    </row>
    <row r="7">
      <c r="A7" s="3" t="n">
        <v/>
      </c>
      <c r="B7" s="3" t="n">
        <v/>
      </c>
      <c r="C7" s="3" t="inlineStr">
        <is>
          <t>MATERIAL  TANAH DAN  BATUAN</t>
        </is>
      </c>
      <c r="D7" s="3" t="n">
        <v/>
      </c>
      <c r="E7" s="4" t="n">
        <v/>
      </c>
    </row>
    <row r="8">
      <c r="A8" s="3" t="inlineStr">
        <is>
          <t>1</t>
        </is>
      </c>
      <c r="B8" s="3" t="n">
        <v/>
      </c>
      <c r="C8" s="3" t="inlineStr">
        <is>
          <t>Agregat kasar</t>
        </is>
      </c>
      <c r="D8" s="3" t="inlineStr">
        <is>
          <t>m3</t>
        </is>
      </c>
      <c r="E8" s="4" t="n">
        <v>385000</v>
      </c>
    </row>
    <row r="9">
      <c r="A9" s="3" t="n">
        <v/>
      </c>
      <c r="B9" s="3" t="n">
        <v/>
      </c>
      <c r="C9" s="3" t="inlineStr">
        <is>
          <t xml:space="preserve">Agregar Kasar </t>
        </is>
      </c>
      <c r="D9" s="3" t="inlineStr">
        <is>
          <t xml:space="preserve">kg </t>
        </is>
      </c>
      <c r="E9" s="4" t="n">
        <v>226.4705882352941</v>
      </c>
    </row>
    <row r="10">
      <c r="A10" s="3" t="n">
        <v/>
      </c>
      <c r="B10" s="3" t="n">
        <v/>
      </c>
      <c r="C10" s="3" t="inlineStr">
        <is>
          <t>Agg Pokok</t>
        </is>
      </c>
      <c r="D10" s="3" t="inlineStr">
        <is>
          <t>m3</t>
        </is>
      </c>
      <c r="E10" s="4" t="n">
        <v>350000</v>
      </c>
    </row>
    <row r="11">
      <c r="A11" s="3" t="n">
        <v/>
      </c>
      <c r="B11" s="3" t="n">
        <v/>
      </c>
      <c r="C11" s="3" t="inlineStr">
        <is>
          <t>Agg Pengunci</t>
        </is>
      </c>
      <c r="D11" s="3" t="inlineStr">
        <is>
          <t>m3</t>
        </is>
      </c>
      <c r="E11" s="4" t="n">
        <v>360000</v>
      </c>
    </row>
    <row r="12">
      <c r="A12" s="3" t="n">
        <v/>
      </c>
      <c r="B12" s="3" t="n">
        <v/>
      </c>
      <c r="C12" s="3" t="inlineStr">
        <is>
          <t>Agg Penutup</t>
        </is>
      </c>
      <c r="D12" s="3" t="inlineStr">
        <is>
          <t>m3</t>
        </is>
      </c>
      <c r="E12" s="4" t="n">
        <v>370000</v>
      </c>
    </row>
    <row r="13">
      <c r="A13" s="3" t="inlineStr">
        <is>
          <t>2</t>
        </is>
      </c>
      <c r="B13" s="3" t="n">
        <v/>
      </c>
      <c r="C13" s="3" t="inlineStr">
        <is>
          <t>Bata merah</t>
        </is>
      </c>
      <c r="D13" s="3" t="inlineStr">
        <is>
          <t>buah</t>
        </is>
      </c>
      <c r="E13" s="4" t="n">
        <v>700</v>
      </c>
    </row>
    <row r="14">
      <c r="A14" s="3" t="inlineStr">
        <is>
          <t>3</t>
        </is>
      </c>
      <c r="B14" s="3" t="n">
        <v/>
      </c>
      <c r="C14" s="3" t="inlineStr">
        <is>
          <t>Bata merah 5 x  11 x  22 cm (per m3)</t>
        </is>
      </c>
      <c r="D14" s="3" t="inlineStr">
        <is>
          <t>m3</t>
        </is>
      </c>
      <c r="E14" s="4" t="n">
        <v>590000</v>
      </c>
    </row>
    <row r="15">
      <c r="A15" s="3" t="inlineStr">
        <is>
          <t>4</t>
        </is>
      </c>
      <c r="B15" s="3" t="n">
        <v/>
      </c>
      <c r="C15" s="3" t="inlineStr">
        <is>
          <t>Bata ringan</t>
        </is>
      </c>
      <c r="D15" s="3" t="inlineStr">
        <is>
          <t>m3</t>
        </is>
      </c>
      <c r="E15" s="4" t="n">
        <v>703500</v>
      </c>
    </row>
    <row r="16">
      <c r="A16" s="3" t="inlineStr">
        <is>
          <t>5</t>
        </is>
      </c>
      <c r="B16" s="3" t="n">
        <v/>
      </c>
      <c r="C16" s="3" t="inlineStr">
        <is>
          <t>Bata ringan t=10 cm</t>
        </is>
      </c>
      <c r="D16" s="3" t="inlineStr">
        <is>
          <t>m3</t>
        </is>
      </c>
      <c r="E16" s="4" t="n">
        <v>685800</v>
      </c>
    </row>
    <row r="17">
      <c r="A17" s="3" t="inlineStr">
        <is>
          <t>6</t>
        </is>
      </c>
      <c r="B17" s="3" t="n">
        <v/>
      </c>
      <c r="C17" s="3" t="inlineStr">
        <is>
          <t>Bata ringan tebal 10 cm</t>
        </is>
      </c>
      <c r="D17" s="3" t="inlineStr">
        <is>
          <t>buah</t>
        </is>
      </c>
      <c r="E17" s="4" t="n">
        <v>11000</v>
      </c>
    </row>
    <row r="18">
      <c r="A18" s="3" t="inlineStr">
        <is>
          <t>7</t>
        </is>
      </c>
      <c r="B18" s="3" t="n">
        <v/>
      </c>
      <c r="C18" s="3" t="inlineStr">
        <is>
          <t>Bata ringan tebal 20 cm</t>
        </is>
      </c>
      <c r="D18" s="3" t="inlineStr">
        <is>
          <t>buah</t>
        </is>
      </c>
      <c r="E18" s="4" t="n">
        <v>20000</v>
      </c>
    </row>
    <row r="19">
      <c r="A19" s="3" t="inlineStr">
        <is>
          <t>8</t>
        </is>
      </c>
      <c r="B19" s="3" t="n">
        <v/>
      </c>
      <c r="C19" s="3" t="inlineStr">
        <is>
          <t>Bata ringan tebal 7,5 cm</t>
        </is>
      </c>
      <c r="D19" s="3" t="inlineStr">
        <is>
          <t>buah</t>
        </is>
      </c>
      <c r="E19" s="4" t="n">
        <v>8500</v>
      </c>
    </row>
    <row r="20">
      <c r="A20" s="3" t="inlineStr">
        <is>
          <t>9</t>
        </is>
      </c>
      <c r="B20" s="3" t="n">
        <v/>
      </c>
      <c r="C20" s="3" t="inlineStr">
        <is>
          <t>Bata rooster</t>
        </is>
      </c>
      <c r="D20" s="3" t="inlineStr">
        <is>
          <t>buah</t>
        </is>
      </c>
      <c r="E20" s="4" t="n">
        <v>15000</v>
      </c>
    </row>
    <row r="21">
      <c r="A21" s="3" t="n">
        <v/>
      </c>
      <c r="B21" s="3" t="n">
        <v/>
      </c>
      <c r="C21" s="3" t="inlineStr">
        <is>
          <t xml:space="preserve">Bata Berongga Uk. 12x11x24 </t>
        </is>
      </c>
      <c r="D21" s="3" t="inlineStr">
        <is>
          <t xml:space="preserve">buah </t>
        </is>
      </c>
      <c r="E21" s="4" t="n">
        <v>15000</v>
      </c>
    </row>
    <row r="22">
      <c r="A22" s="3" t="inlineStr">
        <is>
          <t>10</t>
        </is>
      </c>
      <c r="B22" s="3" t="n">
        <v/>
      </c>
      <c r="C22" s="3" t="inlineStr">
        <is>
          <t>Batu alam andesit  bakar</t>
        </is>
      </c>
      <c r="D22" s="3" t="inlineStr">
        <is>
          <t>m²</t>
        </is>
      </c>
      <c r="E22" s="4" t="n">
        <v>179300</v>
      </c>
    </row>
    <row r="23">
      <c r="A23" s="3" t="inlineStr">
        <is>
          <t>11</t>
        </is>
      </c>
      <c r="B23" s="3" t="n">
        <v/>
      </c>
      <c r="C23" s="3" t="inlineStr">
        <is>
          <t>Batu alam andesit  non bakar</t>
        </is>
      </c>
      <c r="D23" s="3" t="inlineStr">
        <is>
          <t>m²</t>
        </is>
      </c>
      <c r="E23" s="4" t="n">
        <v>177500</v>
      </c>
    </row>
    <row r="24">
      <c r="A24" s="3" t="inlineStr">
        <is>
          <t>12</t>
        </is>
      </c>
      <c r="B24" s="3" t="n">
        <v/>
      </c>
      <c r="C24" s="3" t="inlineStr">
        <is>
          <t>Batu belah (base camp - lokasi pekerjaan)</t>
        </is>
      </c>
      <c r="D24" s="3" t="inlineStr">
        <is>
          <t>m3</t>
        </is>
      </c>
      <c r="E24" s="4" t="n">
        <v>339861</v>
      </c>
    </row>
    <row r="25">
      <c r="A25" s="3" t="inlineStr">
        <is>
          <t>13</t>
        </is>
      </c>
      <c r="B25" s="3" t="n">
        <v/>
      </c>
      <c r="C25" s="3" t="inlineStr">
        <is>
          <t>Batu belah (quarry - base camp)</t>
        </is>
      </c>
      <c r="D25" s="3" t="inlineStr">
        <is>
          <t>m3</t>
        </is>
      </c>
      <c r="E25" s="4" t="n">
        <v>235000</v>
      </c>
    </row>
    <row r="26">
      <c r="A26" s="3" t="inlineStr">
        <is>
          <t>14</t>
        </is>
      </c>
      <c r="B26" s="3" t="n">
        <v/>
      </c>
      <c r="C26" s="3" t="inlineStr">
        <is>
          <t>Batu belah (quarry - lokasi pekerjaan)</t>
        </is>
      </c>
      <c r="D26" s="3" t="inlineStr">
        <is>
          <t>m3</t>
        </is>
      </c>
      <c r="E26" s="4" t="n">
        <v>286500</v>
      </c>
    </row>
    <row r="27">
      <c r="A27" s="3" t="n">
        <v/>
      </c>
      <c r="B27" s="3" t="n">
        <v/>
      </c>
      <c r="C27" s="3" t="inlineStr">
        <is>
          <t>Pasangan batu ukuran 20/50 t=40cm</t>
        </is>
      </c>
      <c r="D27" s="3" t="inlineStr">
        <is>
          <t>m3</t>
        </is>
      </c>
      <c r="E27" s="4" t="n">
        <v>286500</v>
      </c>
    </row>
    <row r="28">
      <c r="A28" s="3" t="n">
        <v/>
      </c>
      <c r="B28" s="3" t="n">
        <v/>
      </c>
      <c r="C28" s="3" t="inlineStr">
        <is>
          <t>Fondasi pasangan batu</t>
        </is>
      </c>
      <c r="D28" s="3" t="inlineStr">
        <is>
          <t>m3</t>
        </is>
      </c>
      <c r="E28" s="4" t="n">
        <v>286500</v>
      </c>
    </row>
    <row r="29">
      <c r="A29" s="3" t="inlineStr">
        <is>
          <t>15</t>
        </is>
      </c>
      <c r="B29" s="3" t="n">
        <v/>
      </c>
      <c r="C29" s="3" t="inlineStr">
        <is>
          <t>Batu belah (quarry)</t>
        </is>
      </c>
      <c r="D29" s="3" t="inlineStr">
        <is>
          <t>m3</t>
        </is>
      </c>
      <c r="E29" s="4" t="n">
        <v>127500</v>
      </c>
    </row>
    <row r="30">
      <c r="A30" s="3" t="inlineStr">
        <is>
          <t>16</t>
        </is>
      </c>
      <c r="B30" s="3" t="n">
        <v/>
      </c>
      <c r="C30" s="3" t="inlineStr">
        <is>
          <t>Batu candi</t>
        </is>
      </c>
      <c r="D30" s="3" t="inlineStr">
        <is>
          <t>m²</t>
        </is>
      </c>
      <c r="E30" s="4" t="n">
        <v>152000</v>
      </c>
    </row>
    <row r="31">
      <c r="A31" s="3" t="inlineStr">
        <is>
          <t>17</t>
        </is>
      </c>
      <c r="B31" s="3" t="n">
        <v/>
      </c>
      <c r="C31" s="3" t="inlineStr">
        <is>
          <t>Batu kali (quarry - base camp)</t>
        </is>
      </c>
      <c r="D31" s="3" t="inlineStr">
        <is>
          <t>m3</t>
        </is>
      </c>
      <c r="E31" s="4" t="n">
        <v>187400</v>
      </c>
    </row>
    <row r="32">
      <c r="A32" s="3" t="inlineStr">
        <is>
          <t>18</t>
        </is>
      </c>
      <c r="B32" s="3" t="n">
        <v/>
      </c>
      <c r="C32" s="3" t="inlineStr">
        <is>
          <t>Batu kali (quarry)</t>
        </is>
      </c>
      <c r="D32" s="3" t="inlineStr">
        <is>
          <t>m3</t>
        </is>
      </c>
      <c r="E32" s="4" t="n">
        <v>142500</v>
      </c>
    </row>
    <row r="33">
      <c r="A33" s="3" t="inlineStr">
        <is>
          <t>19</t>
        </is>
      </c>
      <c r="B33" s="3" t="n">
        <v/>
      </c>
      <c r="C33" s="3" t="inlineStr">
        <is>
          <t>Batu Muka ukuran 12x18 cm</t>
        </is>
      </c>
      <c r="D33" s="3" t="inlineStr">
        <is>
          <t>m2</t>
        </is>
      </c>
      <c r="E33" s="4" t="n">
        <v>97500</v>
      </c>
    </row>
    <row r="34">
      <c r="A34" s="3" t="n">
        <v/>
      </c>
      <c r="B34" s="3" t="n">
        <v/>
      </c>
      <c r="C34" s="3" t="inlineStr">
        <is>
          <t xml:space="preserve">Batu </t>
        </is>
      </c>
      <c r="D34" s="3" t="inlineStr">
        <is>
          <t>m3</t>
        </is>
      </c>
      <c r="E34" s="4" t="n">
        <v>97500</v>
      </c>
    </row>
    <row r="35">
      <c r="A35" s="3" t="inlineStr">
        <is>
          <t>20</t>
        </is>
      </c>
      <c r="B35" s="3" t="n">
        <v/>
      </c>
      <c r="C35" s="3" t="inlineStr">
        <is>
          <t>Batu paras</t>
        </is>
      </c>
      <c r="D35" s="3" t="inlineStr">
        <is>
          <t>m3</t>
        </is>
      </c>
      <c r="E35" s="4" t="n">
        <v>125000</v>
      </c>
    </row>
    <row r="36">
      <c r="A36" s="3" t="inlineStr">
        <is>
          <t>21</t>
        </is>
      </c>
      <c r="B36" s="3" t="n">
        <v/>
      </c>
      <c r="C36" s="3" t="inlineStr">
        <is>
          <t>Batu pecah</t>
        </is>
      </c>
      <c r="D36" s="3" t="inlineStr">
        <is>
          <t>kg</t>
        </is>
      </c>
      <c r="E36" s="4" t="n">
        <v>210</v>
      </c>
    </row>
    <row r="37">
      <c r="A37" s="3" t="inlineStr">
        <is>
          <t>22</t>
        </is>
      </c>
      <c r="B37" s="3" t="n">
        <v/>
      </c>
      <c r="C37" s="3" t="inlineStr">
        <is>
          <t>Batu pecah 3/5</t>
        </is>
      </c>
      <c r="D37" s="3" t="inlineStr">
        <is>
          <t>m3</t>
        </is>
      </c>
      <c r="E37" s="4" t="n">
        <v>363800</v>
      </c>
    </row>
    <row r="38">
      <c r="A38" s="3" t="inlineStr">
        <is>
          <t>23</t>
        </is>
      </c>
      <c r="B38" s="3" t="n">
        <v/>
      </c>
      <c r="C38" s="3" t="inlineStr">
        <is>
          <t>Batu pecah 5/7</t>
        </is>
      </c>
      <c r="D38" s="3" t="inlineStr">
        <is>
          <t>m3</t>
        </is>
      </c>
      <c r="E38" s="4" t="n">
        <v>351800</v>
      </c>
    </row>
    <row r="39">
      <c r="A39" s="3" t="inlineStr">
        <is>
          <t>24</t>
        </is>
      </c>
      <c r="B39" s="3" t="n">
        <v/>
      </c>
      <c r="C39" s="3" t="inlineStr">
        <is>
          <t>Batu putih</t>
        </is>
      </c>
      <c r="D39" s="3" t="inlineStr">
        <is>
          <t>m²</t>
        </is>
      </c>
      <c r="E39" s="4" t="n">
        <v>123000</v>
      </c>
    </row>
    <row r="40">
      <c r="A40" s="3" t="inlineStr">
        <is>
          <t>25</t>
        </is>
      </c>
      <c r="B40" s="3" t="n">
        <v/>
      </c>
      <c r="C40" s="3" t="inlineStr">
        <is>
          <t>Batu putih breksi</t>
        </is>
      </c>
      <c r="D40" s="3" t="inlineStr">
        <is>
          <t>m²</t>
        </is>
      </c>
      <c r="E40" s="4" t="n">
        <v>117700</v>
      </c>
    </row>
    <row r="41">
      <c r="A41" s="3" t="inlineStr">
        <is>
          <t>26</t>
        </is>
      </c>
      <c r="B41" s="3" t="n">
        <v/>
      </c>
      <c r="C41" s="3" t="inlineStr">
        <is>
          <t>Batu sikat</t>
        </is>
      </c>
      <c r="D41" s="3" t="inlineStr">
        <is>
          <t>kg</t>
        </is>
      </c>
      <c r="E41" s="4" t="n">
        <v>6000</v>
      </c>
    </row>
    <row r="42">
      <c r="A42" s="3" t="inlineStr">
        <is>
          <t>27</t>
        </is>
      </c>
      <c r="B42" s="3" t="n">
        <v/>
      </c>
      <c r="C42" s="3" t="inlineStr">
        <is>
          <t>Batu split 1/2</t>
        </is>
      </c>
      <c r="D42" s="3" t="inlineStr">
        <is>
          <t>m3</t>
        </is>
      </c>
      <c r="E42" s="4" t="n">
        <v>370200</v>
      </c>
    </row>
    <row r="43">
      <c r="A43" s="3" t="inlineStr">
        <is>
          <t>28</t>
        </is>
      </c>
      <c r="B43" s="3" t="n">
        <v/>
      </c>
      <c r="C43" s="3" t="inlineStr">
        <is>
          <t>Batu split 2/3</t>
        </is>
      </c>
      <c r="D43" s="3" t="inlineStr">
        <is>
          <t>m3</t>
        </is>
      </c>
      <c r="E43" s="4" t="n">
        <v>352300</v>
      </c>
    </row>
    <row r="44">
      <c r="A44" s="3" t="n">
        <v/>
      </c>
      <c r="B44" s="3" t="n">
        <v/>
      </c>
      <c r="C44" s="3" t="inlineStr">
        <is>
          <t>Koral Beton</t>
        </is>
      </c>
      <c r="D44" s="3" t="inlineStr">
        <is>
          <t>m3</t>
        </is>
      </c>
      <c r="E44" s="4" t="n">
        <v>352300</v>
      </c>
    </row>
    <row r="45">
      <c r="A45" s="3" t="inlineStr">
        <is>
          <t>29</t>
        </is>
      </c>
      <c r="B45" s="3" t="n">
        <v/>
      </c>
      <c r="C45" s="3" t="inlineStr">
        <is>
          <t>Batu tempel hitam</t>
        </is>
      </c>
      <c r="D45" s="3" t="inlineStr">
        <is>
          <t>m3</t>
        </is>
      </c>
      <c r="E45" s="4" t="n">
        <v>121600</v>
      </c>
    </row>
    <row r="46">
      <c r="A46" s="3" t="inlineStr">
        <is>
          <t>30</t>
        </is>
      </c>
      <c r="B46" s="3" t="n">
        <v/>
      </c>
      <c r="C46" s="3" t="inlineStr">
        <is>
          <t>Fly ash</t>
        </is>
      </c>
      <c r="D46" s="3" t="inlineStr">
        <is>
          <t>kg</t>
        </is>
      </c>
      <c r="E46" s="4" t="n">
        <v>600</v>
      </c>
    </row>
    <row r="47">
      <c r="A47" s="3" t="inlineStr">
        <is>
          <t>31</t>
        </is>
      </c>
      <c r="B47" s="3" t="n">
        <v/>
      </c>
      <c r="C47" s="3" t="inlineStr">
        <is>
          <t>HB-10</t>
        </is>
      </c>
      <c r="D47" s="3" t="inlineStr">
        <is>
          <t>buah</t>
        </is>
      </c>
      <c r="E47" s="4" t="n">
        <v>12000</v>
      </c>
    </row>
    <row r="48">
      <c r="A48" s="3" t="inlineStr">
        <is>
          <t>32</t>
        </is>
      </c>
      <c r="B48" s="3" t="n">
        <v/>
      </c>
      <c r="C48" s="3" t="inlineStr">
        <is>
          <t>HB-15</t>
        </is>
      </c>
      <c r="D48" s="3" t="inlineStr">
        <is>
          <t>buah</t>
        </is>
      </c>
      <c r="E48" s="4" t="n">
        <v>12000</v>
      </c>
    </row>
    <row r="49">
      <c r="A49" s="3" t="inlineStr">
        <is>
          <t>33</t>
        </is>
      </c>
      <c r="B49" s="3" t="n">
        <v/>
      </c>
      <c r="C49" s="3" t="inlineStr">
        <is>
          <t>HB-20</t>
        </is>
      </c>
      <c r="D49" s="3" t="inlineStr">
        <is>
          <t>buah</t>
        </is>
      </c>
      <c r="E49" s="4" t="n">
        <v>13000</v>
      </c>
    </row>
    <row r="50">
      <c r="A50" s="3" t="n">
        <v/>
      </c>
      <c r="B50" s="3" t="n">
        <v/>
      </c>
      <c r="C50" s="3" t="inlineStr">
        <is>
          <t>Kerikil</t>
        </is>
      </c>
      <c r="D50" s="3" t="inlineStr">
        <is>
          <t>kg</t>
        </is>
      </c>
      <c r="E50" s="4" t="n">
        <v>210</v>
      </c>
    </row>
    <row r="51">
      <c r="A51" s="3" t="n">
        <v/>
      </c>
      <c r="B51" s="3" t="n">
        <v/>
      </c>
      <c r="C51" s="3" t="inlineStr">
        <is>
          <t xml:space="preserve">Kerikil </t>
        </is>
      </c>
      <c r="D51" s="3" t="inlineStr">
        <is>
          <t>m3</t>
        </is>
      </c>
      <c r="E51" s="4" t="n">
        <v>352300</v>
      </c>
    </row>
    <row r="52">
      <c r="A52" s="3" t="inlineStr">
        <is>
          <t>34</t>
        </is>
      </c>
      <c r="B52" s="3" t="n">
        <v/>
      </c>
      <c r="C52" s="3" t="inlineStr">
        <is>
          <t>Koral bulat</t>
        </is>
      </c>
      <c r="D52" s="3" t="inlineStr">
        <is>
          <t>m3</t>
        </is>
      </c>
      <c r="E52" s="4" t="n">
        <v>225000</v>
      </c>
    </row>
    <row r="53">
      <c r="A53" s="3" t="inlineStr">
        <is>
          <t>35</t>
        </is>
      </c>
      <c r="B53" s="3" t="n">
        <v/>
      </c>
      <c r="C53" s="3" t="inlineStr">
        <is>
          <t>Pasir Beton</t>
        </is>
      </c>
      <c r="D53" s="3" t="inlineStr">
        <is>
          <t>kg</t>
        </is>
      </c>
      <c r="E53" s="4" t="n">
        <v>300</v>
      </c>
    </row>
    <row r="54">
      <c r="A54" s="3" t="n">
        <v/>
      </c>
      <c r="B54" s="3" t="n">
        <v/>
      </c>
      <c r="C54" s="3" t="inlineStr">
        <is>
          <t>Pasir Beton</t>
        </is>
      </c>
      <c r="D54" s="3" t="inlineStr">
        <is>
          <t>m3</t>
        </is>
      </c>
      <c r="E54" s="4" t="n">
        <v>370200</v>
      </c>
    </row>
    <row r="55">
      <c r="A55" s="3" t="inlineStr">
        <is>
          <t>36</t>
        </is>
      </c>
      <c r="B55" s="3" t="n">
        <v/>
      </c>
      <c r="C55" s="3" t="inlineStr">
        <is>
          <t>Pasir beton (Base camp - lokasi pekerjaan)</t>
        </is>
      </c>
      <c r="D55" s="3" t="inlineStr">
        <is>
          <t>m3</t>
        </is>
      </c>
      <c r="E55" s="4" t="n">
        <v>422600</v>
      </c>
    </row>
    <row r="56">
      <c r="A56" s="3" t="inlineStr">
        <is>
          <t>37</t>
        </is>
      </c>
      <c r="B56" s="3" t="n">
        <v/>
      </c>
      <c r="C56" s="3" t="inlineStr">
        <is>
          <t>Pasir beton (quarry - Base camp)</t>
        </is>
      </c>
      <c r="D56" s="3" t="inlineStr">
        <is>
          <t>m3</t>
        </is>
      </c>
      <c r="E56" s="4" t="n">
        <v>325200</v>
      </c>
    </row>
    <row r="57">
      <c r="A57" s="3" t="inlineStr">
        <is>
          <t>38</t>
        </is>
      </c>
      <c r="B57" s="3" t="n">
        <v/>
      </c>
      <c r="C57" s="3" t="inlineStr">
        <is>
          <t>Pasir beton (quarry - lokasi pekerjaan)</t>
        </is>
      </c>
      <c r="D57" s="3" t="inlineStr">
        <is>
          <t>m3</t>
        </is>
      </c>
      <c r="E57" s="4" t="n">
        <v>370200</v>
      </c>
    </row>
    <row r="58">
      <c r="A58" s="3" t="inlineStr">
        <is>
          <t>39</t>
        </is>
      </c>
      <c r="B58" s="3" t="n">
        <v/>
      </c>
      <c r="C58" s="3" t="inlineStr">
        <is>
          <t>Pasir beton (quarry)</t>
        </is>
      </c>
      <c r="D58" s="3" t="inlineStr">
        <is>
          <t>m3</t>
        </is>
      </c>
      <c r="E58" s="4" t="n">
        <v>170000</v>
      </c>
    </row>
    <row r="59">
      <c r="A59" s="3" t="n">
        <v/>
      </c>
      <c r="B59" s="3" t="n">
        <v/>
      </c>
      <c r="C59" s="3" t="inlineStr">
        <is>
          <t>Pasir pasang</t>
        </is>
      </c>
      <c r="D59" s="3" t="inlineStr">
        <is>
          <t>m3</t>
        </is>
      </c>
      <c r="E59" s="4" t="n">
        <v>200000</v>
      </c>
    </row>
    <row r="60">
      <c r="A60" s="3" t="inlineStr">
        <is>
          <t>40</t>
        </is>
      </c>
      <c r="B60" s="3" t="n">
        <v/>
      </c>
      <c r="C60" s="3" t="inlineStr">
        <is>
          <t>Pasir pasang (quarry - base camp)</t>
        </is>
      </c>
      <c r="D60" s="3" t="inlineStr">
        <is>
          <t>m3</t>
        </is>
      </c>
      <c r="E60" s="4" t="n">
        <v>200000</v>
      </c>
    </row>
    <row r="61">
      <c r="A61" s="3" t="inlineStr">
        <is>
          <t>41</t>
        </is>
      </c>
      <c r="B61" s="3" t="n">
        <v/>
      </c>
      <c r="C61" s="3" t="inlineStr">
        <is>
          <t>Pasir pasang (quarry - lokasi pekerjaan)</t>
        </is>
      </c>
      <c r="D61" s="3" t="inlineStr">
        <is>
          <t>m3</t>
        </is>
      </c>
      <c r="E61" s="4" t="n">
        <v>275000</v>
      </c>
    </row>
    <row r="62">
      <c r="A62" s="3" t="inlineStr">
        <is>
          <t>42</t>
        </is>
      </c>
      <c r="B62" s="3" t="n">
        <v/>
      </c>
      <c r="C62" s="3" t="inlineStr">
        <is>
          <t>Pasir pasang (quarry)</t>
        </is>
      </c>
      <c r="D62" s="3" t="inlineStr">
        <is>
          <t>m3</t>
        </is>
      </c>
      <c r="E62" s="4" t="n">
        <v>150000</v>
      </c>
    </row>
    <row r="63">
      <c r="A63" s="3" t="inlineStr">
        <is>
          <t>43</t>
        </is>
      </c>
      <c r="B63" s="3" t="n">
        <v/>
      </c>
      <c r="C63" s="3" t="inlineStr">
        <is>
          <t>Pasir urug (quarry - base camp)</t>
        </is>
      </c>
      <c r="D63" s="3" t="inlineStr">
        <is>
          <t>m3</t>
        </is>
      </c>
      <c r="E63" s="4" t="n">
        <v>165500</v>
      </c>
    </row>
    <row r="64">
      <c r="A64" s="3" t="inlineStr">
        <is>
          <t>44</t>
        </is>
      </c>
      <c r="B64" s="3" t="n">
        <v/>
      </c>
      <c r="C64" s="3" t="inlineStr">
        <is>
          <t>Pasir urug (quarry - lokasi pekerjaan)</t>
        </is>
      </c>
      <c r="D64" s="3" t="inlineStr">
        <is>
          <t>m3</t>
        </is>
      </c>
      <c r="E64" s="4" t="n">
        <v>254700</v>
      </c>
    </row>
    <row r="65">
      <c r="A65" s="3" t="inlineStr">
        <is>
          <t>45</t>
        </is>
      </c>
      <c r="B65" s="3" t="n">
        <v/>
      </c>
      <c r="C65" s="3" t="inlineStr">
        <is>
          <t>Pasir Urug (quarry)</t>
        </is>
      </c>
      <c r="D65" s="3" t="inlineStr">
        <is>
          <t>m3</t>
        </is>
      </c>
      <c r="E65" s="4" t="n">
        <v>120000</v>
      </c>
    </row>
    <row r="66">
      <c r="A66" s="3" t="n">
        <v/>
      </c>
      <c r="B66" s="3" t="n">
        <v/>
      </c>
      <c r="C66" s="3" t="inlineStr">
        <is>
          <t>Urukan Pasir Uruk</t>
        </is>
      </c>
      <c r="D66" s="3" t="inlineStr">
        <is>
          <t>m3</t>
        </is>
      </c>
      <c r="E66" s="4" t="n">
        <v>488180</v>
      </c>
    </row>
    <row r="67">
      <c r="A67" s="3" t="inlineStr">
        <is>
          <t>46</t>
        </is>
      </c>
      <c r="B67" s="3" t="n">
        <v/>
      </c>
      <c r="C67" s="3" t="inlineStr">
        <is>
          <t>Serbuk batu granit</t>
        </is>
      </c>
      <c r="D67" s="3" t="inlineStr">
        <is>
          <t>kg</t>
        </is>
      </c>
      <c r="E67" s="4" t="n">
        <v>12000</v>
      </c>
    </row>
    <row r="68">
      <c r="A68" s="3" t="inlineStr">
        <is>
          <t>47</t>
        </is>
      </c>
      <c r="B68" s="3" t="n">
        <v/>
      </c>
      <c r="C68" s="3" t="inlineStr">
        <is>
          <t>Serbuk batu traso</t>
        </is>
      </c>
      <c r="D68" s="3" t="inlineStr">
        <is>
          <t>kg</t>
        </is>
      </c>
      <c r="E68" s="4" t="n">
        <v>13000</v>
      </c>
    </row>
    <row r="69">
      <c r="A69" s="3" t="inlineStr">
        <is>
          <t>48</t>
        </is>
      </c>
      <c r="B69" s="3" t="n">
        <v/>
      </c>
      <c r="C69" s="3" t="inlineStr">
        <is>
          <t>Sirtu (base camp - lokasi pekerjaan)</t>
        </is>
      </c>
      <c r="D69" s="3" t="inlineStr">
        <is>
          <t>m3</t>
        </is>
      </c>
      <c r="E69" s="4" t="n">
        <v>288700</v>
      </c>
    </row>
    <row r="70">
      <c r="A70" s="3" t="inlineStr">
        <is>
          <t>49</t>
        </is>
      </c>
      <c r="B70" s="3" t="n">
        <v/>
      </c>
      <c r="C70" s="3" t="inlineStr">
        <is>
          <t>Sirtu (quarry - base camp)</t>
        </is>
      </c>
      <c r="D70" s="3" t="inlineStr">
        <is>
          <t>m3</t>
        </is>
      </c>
      <c r="E70" s="4" t="n">
        <v>184400</v>
      </c>
    </row>
    <row r="71">
      <c r="A71" s="3" t="inlineStr">
        <is>
          <t>50</t>
        </is>
      </c>
      <c r="B71" s="3" t="n">
        <v/>
      </c>
      <c r="C71" s="3" t="inlineStr">
        <is>
          <t>Sirtu (quarry - lokasi pekerjaan)</t>
        </is>
      </c>
      <c r="D71" s="3" t="inlineStr">
        <is>
          <t>m3</t>
        </is>
      </c>
      <c r="E71" s="4" t="n">
        <v>261800</v>
      </c>
    </row>
    <row r="72">
      <c r="A72" s="3" t="inlineStr">
        <is>
          <t>51</t>
        </is>
      </c>
      <c r="B72" s="3" t="n">
        <v/>
      </c>
      <c r="C72" s="3" t="inlineStr">
        <is>
          <t>Sirtu (quarry)</t>
        </is>
      </c>
      <c r="D72" s="3" t="inlineStr">
        <is>
          <t>m3</t>
        </is>
      </c>
      <c r="E72" s="4" t="n">
        <v>120000</v>
      </c>
    </row>
    <row r="73">
      <c r="A73" s="3" t="inlineStr">
        <is>
          <t>52</t>
        </is>
      </c>
      <c r="B73" s="3" t="n">
        <v/>
      </c>
      <c r="C73" s="3" t="inlineStr">
        <is>
          <t>Tanah biasa (quarry - lokasi pekerjaan)</t>
        </is>
      </c>
      <c r="D73" s="3" t="inlineStr">
        <is>
          <t>m3</t>
        </is>
      </c>
      <c r="E73" s="4" t="n">
        <v>146900</v>
      </c>
    </row>
    <row r="74">
      <c r="A74" s="3" t="inlineStr">
        <is>
          <t>53</t>
        </is>
      </c>
      <c r="B74" s="3" t="n">
        <v/>
      </c>
      <c r="C74" s="3" t="inlineStr">
        <is>
          <t>Tanah biasa (quarry)</t>
        </is>
      </c>
      <c r="D74" s="3" t="inlineStr">
        <is>
          <t>m3</t>
        </is>
      </c>
      <c r="E74" s="4" t="n">
        <v>44000</v>
      </c>
    </row>
    <row r="75">
      <c r="A75" s="3" t="inlineStr">
        <is>
          <t>54</t>
        </is>
      </c>
      <c r="B75" s="3" t="n">
        <v/>
      </c>
      <c r="C75" s="3" t="inlineStr">
        <is>
          <t>Tanah liat  (quarry)</t>
        </is>
      </c>
      <c r="D75" s="3" t="inlineStr">
        <is>
          <t>m3</t>
        </is>
      </c>
      <c r="E75" s="4" t="n">
        <v>64500</v>
      </c>
    </row>
    <row r="76">
      <c r="A76" s="3" t="inlineStr">
        <is>
          <t>55</t>
        </is>
      </c>
      <c r="B76" s="3" t="n">
        <v/>
      </c>
      <c r="C76" s="3" t="inlineStr">
        <is>
          <t>Tanah liat (quarry-lokasi pekerjaan)</t>
        </is>
      </c>
      <c r="D76" s="3" t="inlineStr">
        <is>
          <t>m3</t>
        </is>
      </c>
      <c r="E76" s="4" t="n">
        <v>160000</v>
      </c>
    </row>
    <row r="77">
      <c r="A77" s="3" t="inlineStr">
        <is>
          <t>56</t>
        </is>
      </c>
      <c r="B77" s="3" t="n">
        <v/>
      </c>
      <c r="C77" s="3" t="inlineStr">
        <is>
          <t>Tanah padas  (quarry - lokasi pekerjaan)</t>
        </is>
      </c>
      <c r="D77" s="3" t="inlineStr">
        <is>
          <t>m3</t>
        </is>
      </c>
      <c r="E77" s="4" t="n">
        <v>163600</v>
      </c>
    </row>
    <row r="78">
      <c r="A78" s="3" t="inlineStr">
        <is>
          <t>57</t>
        </is>
      </c>
      <c r="B78" s="3" t="n">
        <v/>
      </c>
      <c r="C78" s="3" t="inlineStr">
        <is>
          <t>Tanah padas  (quarry)</t>
        </is>
      </c>
      <c r="D78" s="3" t="inlineStr">
        <is>
          <t>m3</t>
        </is>
      </c>
      <c r="E78" s="4" t="n">
        <v>47500</v>
      </c>
    </row>
    <row r="79">
      <c r="A79" s="3" t="inlineStr">
        <is>
          <t>58</t>
        </is>
      </c>
      <c r="B79" s="3" t="n">
        <v/>
      </c>
      <c r="C79" s="3" t="inlineStr">
        <is>
          <t>Tanah Pilihan (quarry - lokasi pekerjaan)</t>
        </is>
      </c>
      <c r="D79" s="3" t="inlineStr">
        <is>
          <t>m3</t>
        </is>
      </c>
      <c r="E79" s="4" t="n">
        <v>146900</v>
      </c>
    </row>
    <row r="80">
      <c r="A80" s="3" t="inlineStr">
        <is>
          <t>59</t>
        </is>
      </c>
      <c r="B80" s="3" t="n">
        <v/>
      </c>
      <c r="C80" s="3" t="inlineStr">
        <is>
          <t>Tanah Pilihan (quarry)</t>
        </is>
      </c>
      <c r="D80" s="3" t="inlineStr">
        <is>
          <t>m3</t>
        </is>
      </c>
      <c r="E80" s="4" t="n">
        <v>48000</v>
      </c>
    </row>
    <row r="81">
      <c r="A81" s="3" t="n">
        <v/>
      </c>
      <c r="B81" s="3" t="n">
        <v/>
      </c>
      <c r="C81" s="3" t="inlineStr">
        <is>
          <t>Tanah Subur</t>
        </is>
      </c>
      <c r="D81" s="3" t="inlineStr">
        <is>
          <t>m3</t>
        </is>
      </c>
      <c r="E81" s="4" t="n">
        <v>165000</v>
      </c>
    </row>
    <row r="82">
      <c r="A82" s="3" t="n">
        <v/>
      </c>
      <c r="B82" s="3" t="n">
        <v/>
      </c>
      <c r="C82" s="3" t="inlineStr">
        <is>
          <t>MATERIAL KAYU DAN BAMBU</t>
        </is>
      </c>
      <c r="D82" s="3" t="n">
        <v/>
      </c>
      <c r="E82" s="4" t="n">
        <v/>
      </c>
    </row>
    <row r="83">
      <c r="A83" s="3" t="inlineStr">
        <is>
          <t>1</t>
        </is>
      </c>
      <c r="B83" s="3" t="n">
        <v/>
      </c>
      <c r="C83" s="3" t="inlineStr">
        <is>
          <t>Bambu cerucuk Ø 10 cm panjang 600 cm</t>
        </is>
      </c>
      <c r="D83" s="3" t="inlineStr">
        <is>
          <t>batang</t>
        </is>
      </c>
      <c r="E83" s="4" t="n">
        <v>17800</v>
      </c>
    </row>
    <row r="84">
      <c r="A84" s="3" t="inlineStr">
        <is>
          <t>2</t>
        </is>
      </c>
      <c r="B84" s="3" t="n">
        <v/>
      </c>
      <c r="C84" s="3" t="inlineStr">
        <is>
          <t>Bambu cerucuk Ø 15 cm panjang 600 cm</t>
        </is>
      </c>
      <c r="D84" s="3" t="inlineStr">
        <is>
          <t>batang</t>
        </is>
      </c>
      <c r="E84" s="4" t="n">
        <v>22600</v>
      </c>
    </row>
    <row r="85">
      <c r="A85" s="3" t="inlineStr">
        <is>
          <t>3</t>
        </is>
      </c>
      <c r="B85" s="3" t="n">
        <v/>
      </c>
      <c r="C85" s="3" t="inlineStr">
        <is>
          <t>Bambu Ø 10 cm panjang 600 cm</t>
        </is>
      </c>
      <c r="D85" s="3" t="inlineStr">
        <is>
          <t>batang</t>
        </is>
      </c>
      <c r="E85" s="4" t="n">
        <v>14800</v>
      </c>
    </row>
    <row r="86">
      <c r="A86" s="3" t="inlineStr">
        <is>
          <t>4</t>
        </is>
      </c>
      <c r="B86" s="3" t="n">
        <v/>
      </c>
      <c r="C86" s="3" t="inlineStr">
        <is>
          <t>Bambu Ø 6 - 8 cm, pjg 6m</t>
        </is>
      </c>
      <c r="D86" s="3" t="inlineStr">
        <is>
          <t>batang</t>
        </is>
      </c>
      <c r="E86" s="4" t="n">
        <v>12900</v>
      </c>
    </row>
    <row r="87">
      <c r="A87" s="3" t="n">
        <v/>
      </c>
      <c r="B87" s="3" t="n">
        <v/>
      </c>
      <c r="C87" s="3" t="inlineStr">
        <is>
          <t>Bambu panjang 4,5 m</t>
        </is>
      </c>
      <c r="D87" s="3" t="inlineStr">
        <is>
          <t>batang</t>
        </is>
      </c>
      <c r="E87" s="4" t="n">
        <v>14500</v>
      </c>
    </row>
    <row r="88">
      <c r="A88" s="3" t="n">
        <v/>
      </c>
      <c r="B88" s="3" t="n">
        <v/>
      </c>
      <c r="C88" s="3" t="inlineStr">
        <is>
          <t>bambu panjang 2 meter</t>
        </is>
      </c>
      <c r="D88" s="3" t="inlineStr">
        <is>
          <t>batang</t>
        </is>
      </c>
      <c r="E88" s="4" t="n">
        <v>7000</v>
      </c>
    </row>
    <row r="89">
      <c r="A89" s="3" t="n">
        <v/>
      </c>
      <c r="B89" s="3" t="n">
        <v/>
      </c>
      <c r="C89" s="3" t="inlineStr">
        <is>
          <t xml:space="preserve">Anyaman Bambu </t>
        </is>
      </c>
      <c r="D89" s="3" t="inlineStr">
        <is>
          <t xml:space="preserve">lembar </t>
        </is>
      </c>
      <c r="E89" s="4" t="n">
        <v>50000</v>
      </c>
    </row>
    <row r="90">
      <c r="A90" s="3" t="inlineStr">
        <is>
          <t>5</t>
        </is>
      </c>
      <c r="B90" s="3" t="n">
        <v/>
      </c>
      <c r="C90" s="3" t="inlineStr">
        <is>
          <t>Bilik bambu</t>
        </is>
      </c>
      <c r="D90" s="3" t="inlineStr">
        <is>
          <t>m2</t>
        </is>
      </c>
      <c r="E90" s="4" t="n">
        <v>21000</v>
      </c>
    </row>
    <row r="91">
      <c r="A91" s="3" t="inlineStr">
        <is>
          <t>6</t>
        </is>
      </c>
      <c r="B91" s="3" t="n">
        <v/>
      </c>
      <c r="C91" s="3" t="inlineStr">
        <is>
          <t>Blockboard tebal 18 mm</t>
        </is>
      </c>
      <c r="D91" s="3" t="inlineStr">
        <is>
          <t>m2</t>
        </is>
      </c>
      <c r="E91" s="4" t="n">
        <v>410600</v>
      </c>
    </row>
    <row r="92">
      <c r="A92" s="3" t="inlineStr">
        <is>
          <t>7</t>
        </is>
      </c>
      <c r="B92" s="3" t="n">
        <v/>
      </c>
      <c r="C92" s="3" t="inlineStr">
        <is>
          <t>Dolken kayu φ 8-10 panjang 400 cm</t>
        </is>
      </c>
      <c r="D92" s="3" t="inlineStr">
        <is>
          <t>m'</t>
        </is>
      </c>
      <c r="E92" s="4" t="n">
        <v>5000</v>
      </c>
    </row>
    <row r="93">
      <c r="A93" s="3" t="inlineStr">
        <is>
          <t>8</t>
        </is>
      </c>
      <c r="B93" s="3" t="n">
        <v/>
      </c>
      <c r="C93" s="3" t="inlineStr">
        <is>
          <t>Dolken kayu φ 8-10 panjang 400 cm</t>
        </is>
      </c>
      <c r="D93" s="3" t="inlineStr">
        <is>
          <t>batang</t>
        </is>
      </c>
      <c r="E93" s="4" t="n">
        <v>20000</v>
      </c>
    </row>
    <row r="94">
      <c r="A94" s="3" t="n">
        <v/>
      </c>
      <c r="B94" s="3" t="n">
        <v/>
      </c>
      <c r="C94" s="3" t="inlineStr">
        <is>
          <t>Kayu</t>
        </is>
      </c>
      <c r="D94" s="3" t="inlineStr">
        <is>
          <t>m3</t>
        </is>
      </c>
      <c r="E94" s="4" t="n">
        <v>11950000</v>
      </c>
    </row>
    <row r="95">
      <c r="A95" s="3" t="n">
        <v/>
      </c>
      <c r="B95" s="3" t="n">
        <v/>
      </c>
      <c r="C95" s="3" t="inlineStr">
        <is>
          <t>Kayu Balok Borneo</t>
        </is>
      </c>
      <c r="D95" s="3" t="inlineStr">
        <is>
          <t>M3</t>
        </is>
      </c>
      <c r="E95" s="4" t="n">
        <v>2700000</v>
      </c>
    </row>
    <row r="96">
      <c r="A96" s="3" t="inlineStr">
        <is>
          <t>9</t>
        </is>
      </c>
      <c r="B96" s="3" t="n">
        <v/>
      </c>
      <c r="C96" s="3" t="inlineStr">
        <is>
          <t>Kayu balok 6/12 kelas I</t>
        </is>
      </c>
      <c r="D96" s="3" t="inlineStr">
        <is>
          <t>m3</t>
        </is>
      </c>
      <c r="E96" s="4" t="n">
        <v>25000000</v>
      </c>
    </row>
    <row r="97">
      <c r="A97" s="3" t="inlineStr">
        <is>
          <t>10</t>
        </is>
      </c>
      <c r="B97" s="3" t="n">
        <v/>
      </c>
      <c r="C97" s="3" t="inlineStr">
        <is>
          <t>Kayu balok 6/12 kelas II</t>
        </is>
      </c>
      <c r="D97" s="3" t="inlineStr">
        <is>
          <t>m3</t>
        </is>
      </c>
      <c r="E97" s="4" t="n">
        <v>11950000</v>
      </c>
    </row>
    <row r="98">
      <c r="A98" s="3" t="n">
        <v/>
      </c>
      <c r="B98" s="3" t="n">
        <v/>
      </c>
      <c r="C98" s="3" t="inlineStr">
        <is>
          <t xml:space="preserve">Kayu balok kelas II </t>
        </is>
      </c>
      <c r="D98" s="3" t="inlineStr">
        <is>
          <t>M3</t>
        </is>
      </c>
      <c r="E98" s="4" t="n">
        <v>20000000</v>
      </c>
    </row>
    <row r="99">
      <c r="A99" s="3" t="inlineStr">
        <is>
          <t>11</t>
        </is>
      </c>
      <c r="B99" s="3" t="n">
        <v/>
      </c>
      <c r="C99" s="3" t="inlineStr">
        <is>
          <t>Kayu balok 6/15 kelas I</t>
        </is>
      </c>
      <c r="D99" s="3" t="inlineStr">
        <is>
          <t>m3</t>
        </is>
      </c>
      <c r="E99" s="4" t="n">
        <v>25000000</v>
      </c>
    </row>
    <row r="100">
      <c r="A100" s="3" t="inlineStr">
        <is>
          <t>12</t>
        </is>
      </c>
      <c r="B100" s="3" t="n">
        <v/>
      </c>
      <c r="C100" s="3" t="inlineStr">
        <is>
          <t>Kayu balok 6/15 kelas II</t>
        </is>
      </c>
      <c r="D100" s="3" t="inlineStr">
        <is>
          <t>m3</t>
        </is>
      </c>
      <c r="E100" s="4" t="n">
        <v>11950000</v>
      </c>
    </row>
    <row r="101">
      <c r="A101" s="3" t="inlineStr">
        <is>
          <t>13</t>
        </is>
      </c>
      <c r="B101" s="3" t="n">
        <v/>
      </c>
      <c r="C101" s="3" t="inlineStr">
        <is>
          <t>Kayu balok 6/15 kelas II (batang)</t>
        </is>
      </c>
      <c r="D101" s="3" t="inlineStr">
        <is>
          <t>batang</t>
        </is>
      </c>
      <c r="E101" s="4" t="n">
        <v>414000</v>
      </c>
    </row>
    <row r="102">
      <c r="A102" s="3" t="n">
        <v/>
      </c>
      <c r="B102" s="3" t="n">
        <v/>
      </c>
      <c r="C102" s="3" t="inlineStr">
        <is>
          <t>Tiang kayu 8/12 kelas II tinggi 4m</t>
        </is>
      </c>
      <c r="D102" s="3" t="inlineStr">
        <is>
          <t>m3</t>
        </is>
      </c>
      <c r="E102" s="4" t="n">
        <v>11950000</v>
      </c>
    </row>
    <row r="103">
      <c r="A103" s="3" t="n">
        <v/>
      </c>
      <c r="B103" s="3" t="n">
        <v/>
      </c>
      <c r="C103" s="3" t="inlineStr">
        <is>
          <t>Tiang kayu 5/7 kelas II tinggi 3m</t>
        </is>
      </c>
      <c r="D103" s="3" t="inlineStr">
        <is>
          <t>m3</t>
        </is>
      </c>
      <c r="E103" s="4" t="n">
        <v>11950000</v>
      </c>
    </row>
    <row r="104">
      <c r="A104" s="3" t="n">
        <v/>
      </c>
      <c r="B104" s="3" t="n">
        <v/>
      </c>
      <c r="C104" s="3" t="inlineStr">
        <is>
          <t>Kaso 5/7</t>
        </is>
      </c>
      <c r="D104" s="3" t="inlineStr">
        <is>
          <t>m3</t>
        </is>
      </c>
      <c r="E104" s="4" t="n">
        <v>10214200</v>
      </c>
    </row>
    <row r="105">
      <c r="A105" s="3" t="inlineStr">
        <is>
          <t>14</t>
        </is>
      </c>
      <c r="B105" s="3" t="n">
        <v/>
      </c>
      <c r="C105" s="3" t="inlineStr">
        <is>
          <t>Kaso 5/7 kayu kelas II</t>
        </is>
      </c>
      <c r="D105" s="3" t="inlineStr">
        <is>
          <t>m3</t>
        </is>
      </c>
      <c r="E105" s="4" t="n">
        <v>10214200</v>
      </c>
    </row>
    <row r="106">
      <c r="A106" s="3" t="inlineStr">
        <is>
          <t>15</t>
        </is>
      </c>
      <c r="B106" s="3" t="n">
        <v/>
      </c>
      <c r="C106" s="3" t="inlineStr">
        <is>
          <t>Kayu kaso 5/7 kelas III</t>
        </is>
      </c>
      <c r="D106" s="3" t="inlineStr">
        <is>
          <t>m3</t>
        </is>
      </c>
      <c r="E106" s="4" t="n">
        <v>3500000</v>
      </c>
    </row>
    <row r="107">
      <c r="A107" s="3" t="inlineStr">
        <is>
          <t>16</t>
        </is>
      </c>
      <c r="B107" s="3" t="n">
        <v/>
      </c>
      <c r="C107" s="3" t="inlineStr">
        <is>
          <t>Kayu Meranti (papan)</t>
        </is>
      </c>
      <c r="D107" s="3" t="inlineStr">
        <is>
          <t>m³</t>
        </is>
      </c>
      <c r="E107" s="4" t="n">
        <v>6966600</v>
      </c>
    </row>
    <row r="108">
      <c r="A108" s="3" t="inlineStr">
        <is>
          <t>17</t>
        </is>
      </c>
      <c r="B108" s="3" t="n">
        <v/>
      </c>
      <c r="C108" s="3" t="inlineStr">
        <is>
          <t>Papan Kayu ukuran 2/20 cm</t>
        </is>
      </c>
      <c r="D108" s="3" t="inlineStr">
        <is>
          <t>m3</t>
        </is>
      </c>
      <c r="E108" s="4" t="n">
        <v>2500000</v>
      </c>
    </row>
    <row r="109">
      <c r="A109" s="3" t="n">
        <v/>
      </c>
      <c r="B109" s="3" t="n">
        <v/>
      </c>
      <c r="C109" s="3" t="inlineStr">
        <is>
          <t xml:space="preserve">Papan Cor </t>
        </is>
      </c>
      <c r="D109" s="3" t="inlineStr">
        <is>
          <t>m3</t>
        </is>
      </c>
      <c r="E109" s="4" t="n">
        <v>2500000</v>
      </c>
    </row>
    <row r="110">
      <c r="A110" s="3" t="inlineStr">
        <is>
          <t>18</t>
        </is>
      </c>
      <c r="B110" s="3" t="n">
        <v/>
      </c>
      <c r="C110" s="3" t="inlineStr">
        <is>
          <t>Kayu papan 3/20 cm</t>
        </is>
      </c>
      <c r="D110" s="3" t="inlineStr">
        <is>
          <t>m3</t>
        </is>
      </c>
      <c r="E110" s="4" t="n">
        <v>2825000</v>
      </c>
    </row>
    <row r="111">
      <c r="A111" s="3" t="inlineStr">
        <is>
          <t>19</t>
        </is>
      </c>
      <c r="B111" s="3" t="n">
        <v/>
      </c>
      <c r="C111" s="3" t="inlineStr">
        <is>
          <t>Kayu papan kelas I</t>
        </is>
      </c>
      <c r="D111" s="3" t="inlineStr">
        <is>
          <t>m3</t>
        </is>
      </c>
      <c r="E111" s="4" t="n">
        <v>26000000</v>
      </c>
    </row>
    <row r="112">
      <c r="A112" s="3" t="inlineStr">
        <is>
          <t>20</t>
        </is>
      </c>
      <c r="B112" s="3" t="n">
        <v/>
      </c>
      <c r="C112" s="3" t="inlineStr">
        <is>
          <t>Kayu papan kelas II</t>
        </is>
      </c>
      <c r="D112" s="3" t="inlineStr">
        <is>
          <t>m3</t>
        </is>
      </c>
      <c r="E112" s="4" t="n">
        <v>14000000</v>
      </c>
    </row>
    <row r="113">
      <c r="A113" s="3" t="inlineStr">
        <is>
          <t>21</t>
        </is>
      </c>
      <c r="B113" s="3" t="n">
        <v/>
      </c>
      <c r="C113" s="3" t="inlineStr">
        <is>
          <t>Kayu papan kelas III</t>
        </is>
      </c>
      <c r="D113" s="3" t="inlineStr">
        <is>
          <t>m3</t>
        </is>
      </c>
      <c r="E113" s="4" t="n">
        <v>8000000</v>
      </c>
    </row>
    <row r="114">
      <c r="A114" s="3" t="n">
        <v/>
      </c>
      <c r="B114" s="3" t="n">
        <v/>
      </c>
      <c r="C114" s="3" t="inlineStr">
        <is>
          <t>Kayu Papan tebal 9 mm</t>
        </is>
      </c>
      <c r="D114" s="3" t="inlineStr">
        <is>
          <t>M3</t>
        </is>
      </c>
      <c r="E114" s="4" t="n">
        <v>4750000</v>
      </c>
    </row>
    <row r="115">
      <c r="A115" s="3" t="inlineStr">
        <is>
          <t>22</t>
        </is>
      </c>
      <c r="B115" s="3" t="n">
        <v/>
      </c>
      <c r="C115" s="3" t="inlineStr">
        <is>
          <t>Kayu papan kelas III (m2)</t>
        </is>
      </c>
      <c r="D115" s="3" t="inlineStr">
        <is>
          <t>m2</t>
        </is>
      </c>
      <c r="E115" s="4" t="n">
        <v>160000</v>
      </c>
    </row>
    <row r="116">
      <c r="A116" s="3" t="inlineStr">
        <is>
          <t>23</t>
        </is>
      </c>
      <c r="B116" s="3" t="n">
        <v/>
      </c>
      <c r="C116" s="3" t="inlineStr">
        <is>
          <t>Kayu sengon (balok)</t>
        </is>
      </c>
      <c r="D116" s="3" t="inlineStr">
        <is>
          <t>m3</t>
        </is>
      </c>
      <c r="E116" s="4" t="n">
        <v>4000000</v>
      </c>
    </row>
    <row r="117">
      <c r="A117" s="3" t="inlineStr">
        <is>
          <t>24</t>
        </is>
      </c>
      <c r="B117" s="3" t="n">
        <v/>
      </c>
      <c r="C117" s="3" t="inlineStr">
        <is>
          <t>Kayu Sengon (papan)</t>
        </is>
      </c>
      <c r="D117" s="3" t="inlineStr">
        <is>
          <t>m³</t>
        </is>
      </c>
      <c r="E117" s="4" t="n">
        <v>3573600</v>
      </c>
    </row>
    <row r="118">
      <c r="A118" s="3" t="inlineStr">
        <is>
          <t>25</t>
        </is>
      </c>
      <c r="B118" s="3" t="n">
        <v/>
      </c>
      <c r="C118" s="3" t="inlineStr">
        <is>
          <t>List kayu 2x4 cm</t>
        </is>
      </c>
      <c r="D118" s="3" t="inlineStr">
        <is>
          <t>m3</t>
        </is>
      </c>
      <c r="E118" s="4" t="n">
        <v>6000000</v>
      </c>
    </row>
    <row r="119">
      <c r="A119" s="3" t="inlineStr">
        <is>
          <t>26</t>
        </is>
      </c>
      <c r="B119" s="3" t="n">
        <v/>
      </c>
      <c r="C119" s="3" t="inlineStr">
        <is>
          <t>List kayu profil</t>
        </is>
      </c>
      <c r="D119" s="3" t="inlineStr">
        <is>
          <t>m'</t>
        </is>
      </c>
      <c r="E119" s="4" t="n">
        <v>5000</v>
      </c>
    </row>
    <row r="120">
      <c r="A120" s="3" t="inlineStr">
        <is>
          <t>27</t>
        </is>
      </c>
      <c r="B120" s="3" t="n">
        <v/>
      </c>
      <c r="C120" s="3" t="inlineStr">
        <is>
          <t>List kayu profil kelas II</t>
        </is>
      </c>
      <c r="D120" s="3" t="inlineStr">
        <is>
          <t>M</t>
        </is>
      </c>
      <c r="E120" s="4" t="n">
        <v>5500</v>
      </c>
    </row>
    <row r="121">
      <c r="A121" s="3" t="inlineStr">
        <is>
          <t>27</t>
        </is>
      </c>
      <c r="B121" s="3" t="n">
        <v/>
      </c>
      <c r="C121" s="3" t="inlineStr">
        <is>
          <t>Multiplek tebal 4 mm</t>
        </is>
      </c>
      <c r="D121" s="3" t="inlineStr">
        <is>
          <t>lembar</t>
        </is>
      </c>
      <c r="E121" s="4" t="n">
        <v>116700</v>
      </c>
    </row>
    <row r="122">
      <c r="A122" s="3" t="inlineStr">
        <is>
          <t>27</t>
        </is>
      </c>
      <c r="B122" s="3" t="n">
        <v/>
      </c>
      <c r="C122" s="3" t="inlineStr">
        <is>
          <t>Multiplek tebal 9 mm</t>
        </is>
      </c>
      <c r="D122" s="3" t="inlineStr">
        <is>
          <t>lembar</t>
        </is>
      </c>
      <c r="E122" s="4" t="n">
        <v>116700</v>
      </c>
    </row>
    <row r="123">
      <c r="A123" s="3" t="inlineStr">
        <is>
          <t>28</t>
        </is>
      </c>
      <c r="B123" s="3" t="n">
        <v/>
      </c>
      <c r="C123" s="3" t="inlineStr">
        <is>
          <t>Multiplek tebal 12 mm</t>
        </is>
      </c>
      <c r="D123" s="3" t="inlineStr">
        <is>
          <t>lembar</t>
        </is>
      </c>
      <c r="E123" s="4" t="n">
        <v>152600</v>
      </c>
    </row>
    <row r="124">
      <c r="A124" s="3" t="inlineStr">
        <is>
          <t>29</t>
        </is>
      </c>
      <c r="B124" s="3" t="n">
        <v/>
      </c>
      <c r="C124" s="3" t="inlineStr">
        <is>
          <t>Multiplek tebal 18 mm</t>
        </is>
      </c>
      <c r="D124" s="3" t="inlineStr">
        <is>
          <t>lembar</t>
        </is>
      </c>
      <c r="E124" s="4" t="n">
        <v>226600</v>
      </c>
    </row>
    <row r="125">
      <c r="A125" s="3" t="inlineStr">
        <is>
          <t>30</t>
        </is>
      </c>
      <c r="B125" s="3" t="n">
        <v/>
      </c>
      <c r="C125" s="3" t="inlineStr">
        <is>
          <t>Perancah kayu</t>
        </is>
      </c>
      <c r="D125" s="3" t="inlineStr">
        <is>
          <t>m3</t>
        </is>
      </c>
      <c r="E125" s="4" t="n">
        <v>2500000</v>
      </c>
    </row>
    <row r="126">
      <c r="A126" s="3" t="inlineStr">
        <is>
          <t>31</t>
        </is>
      </c>
      <c r="B126" s="3" t="n">
        <v/>
      </c>
      <c r="C126" s="3" t="inlineStr">
        <is>
          <t>Phenol film 12mm</t>
        </is>
      </c>
      <c r="D126" s="3" t="inlineStr">
        <is>
          <t>lembar</t>
        </is>
      </c>
      <c r="E126" s="4" t="n">
        <v>230000</v>
      </c>
    </row>
    <row r="127">
      <c r="A127" s="3" t="n">
        <v/>
      </c>
      <c r="B127" s="3" t="n">
        <v/>
      </c>
      <c r="C127" s="3" t="inlineStr">
        <is>
          <t>Pintu Double teakwood rangka kayu</t>
        </is>
      </c>
      <c r="D127" s="3" t="inlineStr">
        <is>
          <t>m2</t>
        </is>
      </c>
      <c r="E127" s="4" t="n">
        <v>150000</v>
      </c>
    </row>
    <row r="128">
      <c r="A128" s="3" t="inlineStr">
        <is>
          <t>32</t>
        </is>
      </c>
      <c r="B128" s="3" t="n">
        <v/>
      </c>
      <c r="C128" s="3" t="inlineStr">
        <is>
          <t>Pintu panel kayu lapis timbal uk. 1x2 m</t>
        </is>
      </c>
      <c r="D128" s="3" t="inlineStr">
        <is>
          <t>unit</t>
        </is>
      </c>
      <c r="E128" s="4" t="n">
        <v>10000000</v>
      </c>
    </row>
    <row r="129">
      <c r="A129" s="3" t="inlineStr">
        <is>
          <t>33</t>
        </is>
      </c>
      <c r="B129" s="3" t="n">
        <v/>
      </c>
      <c r="C129" s="3" t="inlineStr">
        <is>
          <t>Plywood 12 mm</t>
        </is>
      </c>
      <c r="D129" s="3" t="inlineStr">
        <is>
          <t>lembar</t>
        </is>
      </c>
      <c r="E129" s="4" t="n">
        <v>167300</v>
      </c>
    </row>
    <row r="130">
      <c r="A130" s="3" t="inlineStr">
        <is>
          <t>34</t>
        </is>
      </c>
      <c r="B130" s="3" t="n">
        <v/>
      </c>
      <c r="C130" s="3" t="inlineStr">
        <is>
          <t>Plywood 4 mm m3</t>
        </is>
      </c>
      <c r="D130" s="3" t="inlineStr">
        <is>
          <t>m3</t>
        </is>
      </c>
      <c r="E130" s="4" t="n">
        <v>6298700</v>
      </c>
    </row>
    <row r="131">
      <c r="A131" s="3" t="n">
        <v/>
      </c>
      <c r="B131" s="3" t="n">
        <v/>
      </c>
      <c r="C131" s="3" t="inlineStr">
        <is>
          <t>Plywood 3 mm</t>
        </is>
      </c>
      <c r="D131" s="3" t="inlineStr">
        <is>
          <t>lembar</t>
        </is>
      </c>
      <c r="E131" s="4" t="n">
        <v>62500</v>
      </c>
    </row>
    <row r="132">
      <c r="A132" s="3" t="inlineStr">
        <is>
          <t>35</t>
        </is>
      </c>
      <c r="B132" s="3" t="n">
        <v/>
      </c>
      <c r="C132" s="3" t="inlineStr">
        <is>
          <t>Plywood 4 mm</t>
        </is>
      </c>
      <c r="D132" s="3" t="inlineStr">
        <is>
          <t>lembar</t>
        </is>
      </c>
      <c r="E132" s="4" t="n">
        <v>75000</v>
      </c>
    </row>
    <row r="133">
      <c r="A133" s="3" t="inlineStr">
        <is>
          <t>36</t>
        </is>
      </c>
      <c r="B133" s="3" t="n">
        <v/>
      </c>
      <c r="C133" s="3" t="inlineStr">
        <is>
          <t>Plywood 6 mm</t>
        </is>
      </c>
      <c r="D133" s="3" t="inlineStr">
        <is>
          <t>lembar</t>
        </is>
      </c>
      <c r="E133" s="4" t="n">
        <v>84200</v>
      </c>
    </row>
    <row r="134">
      <c r="A134" s="3" t="inlineStr">
        <is>
          <t>37</t>
        </is>
      </c>
      <c r="B134" s="3" t="n">
        <v/>
      </c>
      <c r="C134" s="3" t="inlineStr">
        <is>
          <t>Plywood 9 mm (120x240)</t>
        </is>
      </c>
      <c r="D134" s="3" t="inlineStr">
        <is>
          <t>lembar</t>
        </is>
      </c>
      <c r="E134" s="4" t="n">
        <v>127000</v>
      </c>
    </row>
    <row r="135">
      <c r="A135" s="3" t="inlineStr">
        <is>
          <t>38</t>
        </is>
      </c>
      <c r="B135" s="3" t="n">
        <v/>
      </c>
      <c r="C135" s="3" t="inlineStr">
        <is>
          <t>Reng 2x3 cm</t>
        </is>
      </c>
      <c r="D135" s="3" t="inlineStr">
        <is>
          <t>m3</t>
        </is>
      </c>
      <c r="E135" s="4" t="n">
        <v>8750000</v>
      </c>
    </row>
    <row r="136">
      <c r="A136" s="3" t="inlineStr">
        <is>
          <t>39</t>
        </is>
      </c>
      <c r="B136" s="3" t="n">
        <v/>
      </c>
      <c r="C136" s="3" t="inlineStr">
        <is>
          <t>Reng 3x4 cm</t>
        </is>
      </c>
      <c r="D136" s="3" t="inlineStr">
        <is>
          <t>m3</t>
        </is>
      </c>
      <c r="E136" s="4" t="n">
        <v>9302000</v>
      </c>
    </row>
    <row r="137">
      <c r="A137" s="3" t="inlineStr">
        <is>
          <t>40</t>
        </is>
      </c>
      <c r="B137" s="3" t="n">
        <v/>
      </c>
      <c r="C137" s="3" t="inlineStr">
        <is>
          <t>Teakwood 4 mm (120x240)</t>
        </is>
      </c>
      <c r="D137" s="3" t="inlineStr">
        <is>
          <t>lembar</t>
        </is>
      </c>
      <c r="E137" s="4" t="n">
        <v>76300</v>
      </c>
    </row>
    <row r="138">
      <c r="A138" s="3" t="inlineStr">
        <is>
          <t>41</t>
        </is>
      </c>
      <c r="B138" s="3" t="n">
        <v/>
      </c>
      <c r="C138" s="3" t="inlineStr">
        <is>
          <t>Teakwood 4 mm (90x210)</t>
        </is>
      </c>
      <c r="D138" s="3" t="inlineStr">
        <is>
          <t>lembar</t>
        </is>
      </c>
      <c r="E138" s="4" t="n">
        <v>65600</v>
      </c>
    </row>
    <row r="139">
      <c r="A139" s="3" t="inlineStr">
        <is>
          <t>42</t>
        </is>
      </c>
      <c r="B139" s="3" t="n">
        <v/>
      </c>
      <c r="C139" s="3" t="inlineStr">
        <is>
          <t>Teakwood 9 mm (90x210)</t>
        </is>
      </c>
      <c r="D139" s="3" t="inlineStr">
        <is>
          <t>lembar</t>
        </is>
      </c>
      <c r="E139" s="4" t="n">
        <v>114000</v>
      </c>
    </row>
    <row r="140">
      <c r="A140" s="3" t="inlineStr">
        <is>
          <t>43</t>
        </is>
      </c>
      <c r="B140" s="3" t="n">
        <v/>
      </c>
      <c r="C140" s="3" t="inlineStr">
        <is>
          <t>Tripleks  t=9mm</t>
        </is>
      </c>
      <c r="D140" s="3" t="inlineStr">
        <is>
          <t>lembar</t>
        </is>
      </c>
      <c r="E140" s="4" t="n">
        <v>101200</v>
      </c>
    </row>
    <row r="141">
      <c r="A141" s="3" t="inlineStr">
        <is>
          <t>44</t>
        </is>
      </c>
      <c r="B141" s="3" t="n">
        <v/>
      </c>
      <c r="C141" s="3" t="inlineStr">
        <is>
          <t>Veeneer tebal 2 mm</t>
        </is>
      </c>
      <c r="D141" s="3" t="inlineStr">
        <is>
          <t>m2</t>
        </is>
      </c>
      <c r="E141" s="4" t="n">
        <v>150000</v>
      </c>
    </row>
    <row r="142">
      <c r="A142" s="3" t="n">
        <v/>
      </c>
      <c r="B142" s="3" t="n">
        <v/>
      </c>
      <c r="C142" s="3" t="inlineStr">
        <is>
          <t>MATERIAL PIPA PVC DAN HDPE</t>
        </is>
      </c>
      <c r="D142" s="3" t="n">
        <v/>
      </c>
      <c r="E142" s="4" t="n">
        <v/>
      </c>
    </row>
    <row r="143">
      <c r="A143" s="3" t="inlineStr">
        <is>
          <t>1</t>
        </is>
      </c>
      <c r="B143" s="3" t="n">
        <v/>
      </c>
      <c r="C143" s="3" t="inlineStr">
        <is>
          <t>Assesoris  PVC</t>
        </is>
      </c>
      <c r="D143" s="3" t="inlineStr">
        <is>
          <t>m'</t>
        </is>
      </c>
      <c r="E143" s="4" t="n">
        <v>5700</v>
      </c>
    </row>
    <row r="144">
      <c r="A144" s="3" t="inlineStr">
        <is>
          <t>2</t>
        </is>
      </c>
      <c r="B144" s="3" t="n">
        <v/>
      </c>
      <c r="C144" s="3" t="inlineStr">
        <is>
          <t>Pipa HDPE 40/33 mm</t>
        </is>
      </c>
      <c r="D144" s="3" t="inlineStr">
        <is>
          <t>m'</t>
        </is>
      </c>
      <c r="E144" s="4" t="n">
        <v>13300</v>
      </c>
    </row>
    <row r="145">
      <c r="A145" s="3" t="inlineStr">
        <is>
          <t>3</t>
        </is>
      </c>
      <c r="B145" s="3" t="n">
        <v/>
      </c>
      <c r="C145" s="3" t="inlineStr">
        <is>
          <t>Pipa PVC  tipe D Ø 2"</t>
        </is>
      </c>
      <c r="D145" s="3" t="inlineStr">
        <is>
          <t>m'</t>
        </is>
      </c>
      <c r="E145" s="4" t="n">
        <v>23500</v>
      </c>
    </row>
    <row r="146">
      <c r="A146" s="3" t="inlineStr">
        <is>
          <t>4</t>
        </is>
      </c>
      <c r="B146" s="3" t="n">
        <v/>
      </c>
      <c r="C146" s="3" t="inlineStr">
        <is>
          <t>Pipa PVC AW Ø 1"</t>
        </is>
      </c>
      <c r="D146" s="3" t="inlineStr">
        <is>
          <t>m'</t>
        </is>
      </c>
      <c r="E146" s="4" t="n">
        <v>11250</v>
      </c>
    </row>
    <row r="147">
      <c r="A147" s="3" t="n">
        <v/>
      </c>
      <c r="B147" s="3" t="n">
        <v/>
      </c>
      <c r="C147" s="3" t="inlineStr">
        <is>
          <t>PIPA PVC AW ; DN. 1"
(25 mm) dan
aksesoris</t>
        </is>
      </c>
      <c r="D147" s="3" t="inlineStr">
        <is>
          <t>m'</t>
        </is>
      </c>
      <c r="E147" s="4" t="n">
        <v>11500</v>
      </c>
    </row>
    <row r="148">
      <c r="A148" s="3" t="n">
        <v/>
      </c>
      <c r="B148" s="3" t="n">
        <v/>
      </c>
      <c r="C148" s="3" t="inlineStr">
        <is>
          <t>Pipa PVC AW ; DN. 1"
(25 mm) + fitting &amp;
aksesoris</t>
        </is>
      </c>
      <c r="D148" s="3" t="inlineStr">
        <is>
          <t>m'</t>
        </is>
      </c>
      <c r="E148" s="4" t="n">
        <v>11700</v>
      </c>
    </row>
    <row r="149">
      <c r="A149" s="3" t="inlineStr">
        <is>
          <t>5</t>
        </is>
      </c>
      <c r="B149" s="3" t="n">
        <v/>
      </c>
      <c r="C149" s="3" t="inlineStr">
        <is>
          <t>Pipa PVC AW Ø 1/2"</t>
        </is>
      </c>
      <c r="D149" s="3" t="inlineStr">
        <is>
          <t>batang</t>
        </is>
      </c>
      <c r="E149" s="4" t="n">
        <v>27500</v>
      </c>
    </row>
    <row r="150">
      <c r="A150" s="3" t="inlineStr">
        <is>
          <t>6</t>
        </is>
      </c>
      <c r="B150" s="3" t="n">
        <v/>
      </c>
      <c r="C150" s="3" t="inlineStr">
        <is>
          <t>Pipa PVC AW Ø 1/2" (m)</t>
        </is>
      </c>
      <c r="D150" s="3" t="inlineStr">
        <is>
          <t>m'</t>
        </is>
      </c>
      <c r="E150" s="4" t="n">
        <v>6875</v>
      </c>
    </row>
    <row r="151">
      <c r="A151" s="3" t="n">
        <v/>
      </c>
      <c r="B151" s="3" t="n">
        <v/>
      </c>
      <c r="C151" s="3" t="inlineStr">
        <is>
          <t>PIPA PVC AW ; DN.
1/2" (15 mm) dan
aksesoris</t>
        </is>
      </c>
      <c r="D151" s="3" t="inlineStr">
        <is>
          <t>m'</t>
        </is>
      </c>
      <c r="E151" s="4" t="n">
        <v>6900</v>
      </c>
    </row>
    <row r="152">
      <c r="A152" s="3" t="n">
        <v/>
      </c>
      <c r="B152" s="3" t="n">
        <v/>
      </c>
      <c r="C152" s="3" t="inlineStr">
        <is>
          <t>Pipa PVC AW ; DN.
1/2" (15 mm) +
fitting &amp; aksesoris</t>
        </is>
      </c>
      <c r="D152" s="3" t="inlineStr">
        <is>
          <t>m'</t>
        </is>
      </c>
      <c r="E152" s="4" t="n">
        <v>7100</v>
      </c>
    </row>
    <row r="153">
      <c r="A153" s="3" t="inlineStr">
        <is>
          <t>7</t>
        </is>
      </c>
      <c r="B153" s="3" t="n">
        <v/>
      </c>
      <c r="C153" s="3" t="inlineStr">
        <is>
          <t>Pipa PVC AW Ø 10"</t>
        </is>
      </c>
      <c r="D153" s="3" t="inlineStr">
        <is>
          <t>m'</t>
        </is>
      </c>
      <c r="E153" s="4" t="n">
        <v>150000</v>
      </c>
    </row>
    <row r="154">
      <c r="A154" s="3" t="inlineStr">
        <is>
          <t>8</t>
        </is>
      </c>
      <c r="B154" s="3" t="n">
        <v/>
      </c>
      <c r="C154" s="3" t="inlineStr">
        <is>
          <t>Pipa PVC AW Ø 1-1/2"</t>
        </is>
      </c>
      <c r="D154" s="3" t="inlineStr">
        <is>
          <t>m'</t>
        </is>
      </c>
      <c r="E154" s="4" t="n">
        <v>20000</v>
      </c>
    </row>
    <row r="155">
      <c r="A155" s="3" t="n">
        <v/>
      </c>
      <c r="B155" s="3" t="n">
        <v/>
      </c>
      <c r="C155" s="3" t="inlineStr">
        <is>
          <t>PIPA PVC AW ; DN. 1-
1/2" (40 mm) dan
aksesoris</t>
        </is>
      </c>
      <c r="D155" s="3" t="inlineStr">
        <is>
          <t>m'</t>
        </is>
      </c>
      <c r="E155" s="4" t="n">
        <v>20500</v>
      </c>
    </row>
    <row r="156">
      <c r="A156" s="3" t="n">
        <v/>
      </c>
      <c r="B156" s="3" t="n">
        <v/>
      </c>
      <c r="C156" s="3" t="inlineStr">
        <is>
          <t>Pipa PVC AW ; DN. 1-
1/2" (40 mm) +
fitting &amp; aksesoris</t>
        </is>
      </c>
      <c r="D156" s="3" t="inlineStr">
        <is>
          <t>m'</t>
        </is>
      </c>
      <c r="E156" s="4" t="n">
        <v>22000</v>
      </c>
    </row>
    <row r="157">
      <c r="A157" s="3" t="inlineStr">
        <is>
          <t>9</t>
        </is>
      </c>
      <c r="B157" s="3" t="n">
        <v/>
      </c>
      <c r="C157" s="3" t="inlineStr">
        <is>
          <t>Pipa PVC AW Ø 1-1/4"</t>
        </is>
      </c>
      <c r="D157" s="3" t="inlineStr">
        <is>
          <t>m'</t>
        </is>
      </c>
      <c r="E157" s="4" t="n">
        <v>18500</v>
      </c>
    </row>
    <row r="158">
      <c r="A158" s="3" t="n">
        <v/>
      </c>
      <c r="B158" s="3" t="n">
        <v/>
      </c>
      <c r="C158" s="3" t="inlineStr">
        <is>
          <t>PIPA PVC AW ; DN. 1-
1/4" (32 mm) dan
aksesoris</t>
        </is>
      </c>
      <c r="D158" s="3" t="inlineStr">
        <is>
          <t>m'</t>
        </is>
      </c>
      <c r="E158" s="4" t="n">
        <v>18900</v>
      </c>
    </row>
    <row r="159">
      <c r="A159" s="3" t="n">
        <v/>
      </c>
      <c r="B159" s="3" t="n">
        <v/>
      </c>
      <c r="C159" s="3" t="inlineStr">
        <is>
          <t>Pipa PVC AW ; DN. 1-
1/4" (32 mm) +
fitting &amp; aksesoris</t>
        </is>
      </c>
      <c r="D159" s="3" t="inlineStr">
        <is>
          <t>m'</t>
        </is>
      </c>
      <c r="E159" s="4" t="n">
        <v>19000</v>
      </c>
    </row>
    <row r="160">
      <c r="A160" s="3" t="inlineStr">
        <is>
          <t>10</t>
        </is>
      </c>
      <c r="B160" s="3" t="n">
        <v/>
      </c>
      <c r="C160" s="3" t="inlineStr">
        <is>
          <t>Pipa PVC AW Ø 12"</t>
        </is>
      </c>
      <c r="D160" s="3" t="inlineStr">
        <is>
          <t>m'</t>
        </is>
      </c>
      <c r="E160" s="4" t="n">
        <v>177500</v>
      </c>
    </row>
    <row r="161">
      <c r="A161" s="3" t="n">
        <v/>
      </c>
      <c r="B161" s="3" t="n">
        <v/>
      </c>
      <c r="C161" s="3" t="inlineStr">
        <is>
          <t>Pipa PVC AW ; DN. 12" (300 mm) + fitting &amp; aksesoris</t>
        </is>
      </c>
      <c r="D161" s="3" t="inlineStr">
        <is>
          <t>m'</t>
        </is>
      </c>
      <c r="E161" s="4" t="n">
        <v>179000</v>
      </c>
    </row>
    <row r="162">
      <c r="A162" s="3" t="inlineStr">
        <is>
          <t>11</t>
        </is>
      </c>
      <c r="B162" s="3" t="n">
        <v/>
      </c>
      <c r="C162" s="3" t="inlineStr">
        <is>
          <t>Pipa PVC AW Ø 14"</t>
        </is>
      </c>
      <c r="D162" s="3" t="inlineStr">
        <is>
          <t>m'</t>
        </is>
      </c>
      <c r="E162" s="4" t="n">
        <v>200000</v>
      </c>
    </row>
    <row r="163">
      <c r="A163" s="3" t="n">
        <v/>
      </c>
      <c r="B163" s="3" t="n">
        <v/>
      </c>
      <c r="C163" s="3" t="inlineStr">
        <is>
          <t>Pipa PVC AW ; DN. 14" (350 mm) + fitting &amp; aksesoris</t>
        </is>
      </c>
      <c r="D163" s="3" t="inlineStr">
        <is>
          <t>m'</t>
        </is>
      </c>
      <c r="E163" s="4" t="n">
        <v>201000</v>
      </c>
    </row>
    <row r="164">
      <c r="A164" s="3" t="inlineStr">
        <is>
          <t>12</t>
        </is>
      </c>
      <c r="B164" s="3" t="n">
        <v/>
      </c>
      <c r="C164" s="3" t="inlineStr">
        <is>
          <t>Pipa PVC AW Ø 16"</t>
        </is>
      </c>
      <c r="D164" s="3" t="inlineStr">
        <is>
          <t>m'</t>
        </is>
      </c>
      <c r="E164" s="4" t="n">
        <v>233750</v>
      </c>
    </row>
    <row r="165">
      <c r="A165" s="3" t="n">
        <v/>
      </c>
      <c r="B165" s="3" t="n">
        <v/>
      </c>
      <c r="C165" s="3" t="inlineStr">
        <is>
          <t>Pipa PVC AW ; DN. 16" (400 mm) + fitting &amp; aksesoris</t>
        </is>
      </c>
      <c r="D165" s="3" t="inlineStr">
        <is>
          <t>m'</t>
        </is>
      </c>
      <c r="E165" s="4" t="n">
        <v>234000</v>
      </c>
    </row>
    <row r="166">
      <c r="A166" s="3" t="inlineStr">
        <is>
          <t>13</t>
        </is>
      </c>
      <c r="B166" s="3" t="n">
        <v/>
      </c>
      <c r="C166" s="3" t="inlineStr">
        <is>
          <t>Pipa PVC AW Ø 2"</t>
        </is>
      </c>
      <c r="D166" s="3" t="inlineStr">
        <is>
          <t>m'</t>
        </is>
      </c>
      <c r="E166" s="4" t="n">
        <v>26000</v>
      </c>
    </row>
    <row r="167">
      <c r="A167" s="3" t="n">
        <v/>
      </c>
      <c r="B167" s="3" t="n">
        <v/>
      </c>
      <c r="C167" s="3" t="inlineStr">
        <is>
          <t>PIPA PVC AW ; DN. 2"
(50 mm) dan
aksesoris</t>
        </is>
      </c>
      <c r="D167" s="3" t="inlineStr">
        <is>
          <t>m'</t>
        </is>
      </c>
      <c r="E167" s="4" t="n">
        <v>26500</v>
      </c>
    </row>
    <row r="168">
      <c r="A168" s="3" t="n">
        <v/>
      </c>
      <c r="B168" s="3" t="n">
        <v/>
      </c>
      <c r="C168" s="3" t="inlineStr">
        <is>
          <t>Pipa PVC AW ; DN. 2" (50 mm) + fitting &amp; aksesoris</t>
        </is>
      </c>
      <c r="D168" s="3" t="inlineStr">
        <is>
          <t>m'</t>
        </is>
      </c>
      <c r="E168" s="4" t="n">
        <v>28000</v>
      </c>
    </row>
    <row r="169">
      <c r="A169" s="3" t="inlineStr">
        <is>
          <t>14</t>
        </is>
      </c>
      <c r="B169" s="3" t="n">
        <v/>
      </c>
      <c r="C169" s="3" t="inlineStr">
        <is>
          <t>Pipa PVC AW Ø 2-1/2"</t>
        </is>
      </c>
      <c r="D169" s="3" t="inlineStr">
        <is>
          <t>m'</t>
        </is>
      </c>
      <c r="E169" s="4" t="n">
        <v>33625</v>
      </c>
    </row>
    <row r="170">
      <c r="A170" s="3" t="n">
        <v/>
      </c>
      <c r="B170" s="3" t="n">
        <v/>
      </c>
      <c r="C170" s="3" t="inlineStr">
        <is>
          <t>PIPA PVC AW ; DN. 2-
1/2" (65 mm) dan
aksesoris</t>
        </is>
      </c>
      <c r="D170" s="3" t="inlineStr">
        <is>
          <t>m'</t>
        </is>
      </c>
      <c r="E170" s="4" t="n">
        <v>33900</v>
      </c>
    </row>
    <row r="171">
      <c r="A171" s="3" t="n">
        <v/>
      </c>
      <c r="B171" s="3" t="n">
        <v/>
      </c>
      <c r="C171" s="3" t="inlineStr">
        <is>
          <t>Pipa PVC AW ; DN. 2-1/2" (65 mm) + fitting &amp; aksesoris</t>
        </is>
      </c>
      <c r="D171" s="3" t="inlineStr">
        <is>
          <t>m'</t>
        </is>
      </c>
      <c r="E171" s="4" t="n">
        <v>40000</v>
      </c>
    </row>
    <row r="172">
      <c r="A172" s="3" t="inlineStr">
        <is>
          <t>15</t>
        </is>
      </c>
      <c r="B172" s="3" t="n">
        <v/>
      </c>
      <c r="C172" s="3" t="inlineStr">
        <is>
          <t>Pipa PVC AW Ø 3"</t>
        </is>
      </c>
      <c r="D172" s="3" t="inlineStr">
        <is>
          <t>m'</t>
        </is>
      </c>
      <c r="E172" s="4" t="n">
        <v>51075</v>
      </c>
    </row>
    <row r="173">
      <c r="A173" s="3" t="n">
        <v/>
      </c>
      <c r="B173" s="3" t="n">
        <v/>
      </c>
      <c r="C173" s="3" t="inlineStr">
        <is>
          <t>PIPA PVC AW ; DN. 3"
(80 mm) dan
aksesoris</t>
        </is>
      </c>
      <c r="D173" s="3" t="inlineStr">
        <is>
          <t>m'</t>
        </is>
      </c>
      <c r="E173" s="4" t="n">
        <v>51500</v>
      </c>
    </row>
    <row r="174">
      <c r="A174" s="3" t="n">
        <v/>
      </c>
      <c r="B174" s="3" t="n">
        <v/>
      </c>
      <c r="C174" s="3" t="inlineStr">
        <is>
          <t>Pipa PVC AW ; DN. 3"
(80 mm) + fitting &amp;
aksesoris</t>
        </is>
      </c>
      <c r="D174" s="3" t="inlineStr">
        <is>
          <t>m'</t>
        </is>
      </c>
      <c r="E174" s="4" t="n">
        <v>53000</v>
      </c>
    </row>
    <row r="175">
      <c r="A175" s="3" t="inlineStr">
        <is>
          <t>16</t>
        </is>
      </c>
      <c r="B175" s="3" t="n">
        <v/>
      </c>
      <c r="C175" s="3" t="inlineStr">
        <is>
          <t>Pipa PVC AW Ø 3/4"</t>
        </is>
      </c>
      <c r="D175" s="3" t="inlineStr">
        <is>
          <t>batang</t>
        </is>
      </c>
      <c r="E175" s="4" t="n">
        <v>35000</v>
      </c>
    </row>
    <row r="176">
      <c r="A176" s="3" t="inlineStr">
        <is>
          <t>17</t>
        </is>
      </c>
      <c r="B176" s="3" t="n">
        <v/>
      </c>
      <c r="C176" s="3" t="inlineStr">
        <is>
          <t>Pipa PVC AW Ø 3/4" (m)</t>
        </is>
      </c>
      <c r="D176" s="3" t="inlineStr">
        <is>
          <t>m'</t>
        </is>
      </c>
      <c r="E176" s="4" t="n">
        <v>8750</v>
      </c>
    </row>
    <row r="177">
      <c r="A177" s="3" t="n">
        <v/>
      </c>
      <c r="B177" s="3" t="n">
        <v/>
      </c>
      <c r="C177" s="3" t="inlineStr">
        <is>
          <t>PIPA PVC AW ; DN.
3/4" (20 mm) dan
aksesoris</t>
        </is>
      </c>
      <c r="D177" s="3" t="inlineStr">
        <is>
          <t>m'</t>
        </is>
      </c>
      <c r="E177" s="4" t="n">
        <v>8900</v>
      </c>
    </row>
    <row r="178">
      <c r="A178" s="3" t="n">
        <v/>
      </c>
      <c r="B178" s="3" t="n">
        <v/>
      </c>
      <c r="C178" s="3" t="inlineStr">
        <is>
          <t>Pipa PVC AW ; DN.
3/4" (20 mm) +
fitting &amp; aksesoris</t>
        </is>
      </c>
      <c r="D178" s="3" t="inlineStr">
        <is>
          <t>m'</t>
        </is>
      </c>
      <c r="E178" s="4" t="n">
        <v>9300</v>
      </c>
    </row>
    <row r="179">
      <c r="A179" s="3" t="inlineStr">
        <is>
          <t>18</t>
        </is>
      </c>
      <c r="B179" s="3" t="n">
        <v/>
      </c>
      <c r="C179" s="3" t="inlineStr">
        <is>
          <t>Pipa PVC AW Ø 4"</t>
        </is>
      </c>
      <c r="D179" s="3" t="inlineStr">
        <is>
          <t>m'</t>
        </is>
      </c>
      <c r="E179" s="4" t="n">
        <v>72375</v>
      </c>
    </row>
    <row r="180">
      <c r="A180" s="3" t="n">
        <v/>
      </c>
      <c r="B180" s="3" t="n">
        <v/>
      </c>
      <c r="C180" s="3" t="inlineStr">
        <is>
          <t>PIPA PVC AW ; DN. 4"
(100 mm) dan
aksesoris</t>
        </is>
      </c>
      <c r="D180" s="3" t="inlineStr">
        <is>
          <t>m'</t>
        </is>
      </c>
      <c r="E180" s="4" t="n">
        <v>72700</v>
      </c>
    </row>
    <row r="181">
      <c r="A181" s="3" t="n">
        <v/>
      </c>
      <c r="B181" s="3" t="n">
        <v/>
      </c>
      <c r="C181" s="3" t="inlineStr">
        <is>
          <t>Pipa PVC AW ; DN. 4"
(100 mm) + fitting &amp;
aksesoris</t>
        </is>
      </c>
      <c r="D181" s="3" t="inlineStr">
        <is>
          <t>m'</t>
        </is>
      </c>
      <c r="E181" s="4" t="n">
        <v>74000</v>
      </c>
    </row>
    <row r="182">
      <c r="A182" s="3" t="inlineStr">
        <is>
          <t>19</t>
        </is>
      </c>
      <c r="B182" s="3" t="n">
        <v/>
      </c>
      <c r="C182" s="3" t="inlineStr">
        <is>
          <t>Pipa PVC AW Ø 5"</t>
        </is>
      </c>
      <c r="D182" s="3" t="inlineStr">
        <is>
          <t>m'</t>
        </is>
      </c>
      <c r="E182" s="4" t="n">
        <v>100000</v>
      </c>
    </row>
    <row r="183">
      <c r="A183" s="3" t="n">
        <v/>
      </c>
      <c r="B183" s="3" t="n">
        <v/>
      </c>
      <c r="C183" s="3" t="inlineStr">
        <is>
          <t>Pipa PVC AW ; DN. 5"
(125 mm) + fitting &amp;
aksesoris</t>
        </is>
      </c>
      <c r="D183" s="3" t="inlineStr">
        <is>
          <t>m'</t>
        </is>
      </c>
      <c r="E183" s="4" t="n">
        <v>101000</v>
      </c>
    </row>
    <row r="184">
      <c r="A184" s="3" t="inlineStr">
        <is>
          <t>20</t>
        </is>
      </c>
      <c r="B184" s="3" t="n">
        <v/>
      </c>
      <c r="C184" s="3" t="inlineStr">
        <is>
          <t>Pipa PVC AW Ø 6"</t>
        </is>
      </c>
      <c r="D184" s="3" t="inlineStr">
        <is>
          <t>m'</t>
        </is>
      </c>
      <c r="E184" s="4" t="n">
        <v>107500</v>
      </c>
    </row>
    <row r="185">
      <c r="A185" s="3" t="n">
        <v/>
      </c>
      <c r="B185" s="3" t="n">
        <v/>
      </c>
      <c r="C185" s="3" t="inlineStr">
        <is>
          <t>Pemasangan 1 m pipa PVC AW, DN. 6" (150 mm)</t>
        </is>
      </c>
      <c r="D185" s="3" t="inlineStr">
        <is>
          <t>m'</t>
        </is>
      </c>
      <c r="E185" s="4" t="n">
        <v>108000</v>
      </c>
    </row>
    <row r="186">
      <c r="A186" s="3" t="inlineStr">
        <is>
          <t>21</t>
        </is>
      </c>
      <c r="B186" s="3" t="n">
        <v/>
      </c>
      <c r="C186" s="3" t="inlineStr">
        <is>
          <t>Pipa PVC AW Ø 8"</t>
        </is>
      </c>
      <c r="D186" s="3" t="inlineStr">
        <is>
          <t>m'</t>
        </is>
      </c>
      <c r="E186" s="4" t="n">
        <v>132500</v>
      </c>
    </row>
    <row r="187">
      <c r="A187" s="3" t="n">
        <v/>
      </c>
      <c r="B187" s="3" t="n">
        <v/>
      </c>
      <c r="C187" s="3" t="inlineStr">
        <is>
          <t>Pipa PVC AW ; DN. 8"
(200 mm) + fitting &amp;
aksesoris</t>
        </is>
      </c>
      <c r="D187" s="3" t="inlineStr">
        <is>
          <t>m'</t>
        </is>
      </c>
      <c r="E187" s="4" t="n">
        <v>133000</v>
      </c>
    </row>
    <row r="188">
      <c r="A188" s="3" t="inlineStr">
        <is>
          <t>22</t>
        </is>
      </c>
      <c r="B188" s="3" t="n">
        <v/>
      </c>
      <c r="C188" s="3" t="inlineStr">
        <is>
          <t>Pipa PVC D Ø 10"</t>
        </is>
      </c>
      <c r="D188" s="3" t="inlineStr">
        <is>
          <t>m'</t>
        </is>
      </c>
      <c r="E188" s="4" t="n">
        <v>232900</v>
      </c>
    </row>
    <row r="189">
      <c r="A189" s="3" t="n">
        <v/>
      </c>
      <c r="B189" s="3" t="n">
        <v/>
      </c>
      <c r="C189" s="3" t="inlineStr">
        <is>
          <t>Pipa PVC D ; DN.
10" (250 mm) +
fitting &amp; aksesoris</t>
        </is>
      </c>
      <c r="D189" s="3" t="inlineStr">
        <is>
          <t>m'</t>
        </is>
      </c>
      <c r="E189" s="4" t="n">
        <v>233000</v>
      </c>
    </row>
    <row r="190">
      <c r="A190" s="3" t="n">
        <v/>
      </c>
      <c r="B190" s="3" t="n">
        <v/>
      </c>
      <c r="C190" s="3" t="inlineStr">
        <is>
          <t>Pipa PVC AW ; DN.
10" (250 mm) +
fitting &amp; aksesoris</t>
        </is>
      </c>
      <c r="D190" s="3" t="inlineStr">
        <is>
          <t>m'</t>
        </is>
      </c>
      <c r="E190" s="4" t="n">
        <v>232000</v>
      </c>
    </row>
    <row r="191">
      <c r="A191" s="3" t="inlineStr">
        <is>
          <t>23</t>
        </is>
      </c>
      <c r="B191" s="3" t="n">
        <v/>
      </c>
      <c r="C191" s="3" t="inlineStr">
        <is>
          <t>Pipa PVC D Ø 1-1/2"</t>
        </is>
      </c>
      <c r="D191" s="3" t="inlineStr">
        <is>
          <t>m'</t>
        </is>
      </c>
      <c r="E191" s="4" t="n">
        <v>11175</v>
      </c>
    </row>
    <row r="192">
      <c r="A192" s="3" t="n">
        <v/>
      </c>
      <c r="B192" s="3" t="n">
        <v/>
      </c>
      <c r="C192" s="3" t="inlineStr">
        <is>
          <t>Pipa PVC D ; DN. 1-1/2" (40 mm) + fitting &amp; aksesoris</t>
        </is>
      </c>
      <c r="D192" s="3" t="inlineStr">
        <is>
          <t>m'</t>
        </is>
      </c>
      <c r="E192" s="4" t="n">
        <v>12000</v>
      </c>
    </row>
    <row r="193">
      <c r="A193" s="3" t="inlineStr">
        <is>
          <t>24</t>
        </is>
      </c>
      <c r="B193" s="3" t="n">
        <v/>
      </c>
      <c r="C193" s="3" t="inlineStr">
        <is>
          <t>Pipa PVC D Ø 1-1/4"</t>
        </is>
      </c>
      <c r="D193" s="3" t="inlineStr">
        <is>
          <t>m'</t>
        </is>
      </c>
      <c r="E193" s="4" t="n">
        <v>10000</v>
      </c>
    </row>
    <row r="194">
      <c r="A194" s="3" t="n">
        <v/>
      </c>
      <c r="B194" s="3" t="n">
        <v/>
      </c>
      <c r="C194" s="3" t="inlineStr">
        <is>
          <t>Pipa PVC D ; DN. 1-1/4" (32 mm) + fitting &amp; aksesoris</t>
        </is>
      </c>
      <c r="D194" s="3" t="inlineStr">
        <is>
          <t>m'</t>
        </is>
      </c>
      <c r="E194" s="4" t="n">
        <v>11000</v>
      </c>
    </row>
    <row r="195">
      <c r="A195" s="3" t="inlineStr">
        <is>
          <t>25</t>
        </is>
      </c>
      <c r="B195" s="3" t="n">
        <v/>
      </c>
      <c r="C195" s="3" t="inlineStr">
        <is>
          <t>Pipa PVC D Ø 12"</t>
        </is>
      </c>
      <c r="D195" s="3" t="inlineStr">
        <is>
          <t>m'</t>
        </is>
      </c>
      <c r="E195" s="4" t="n">
        <v>319750</v>
      </c>
    </row>
    <row r="196">
      <c r="A196" s="3" t="n">
        <v/>
      </c>
      <c r="B196" s="3" t="n">
        <v/>
      </c>
      <c r="C196" s="3" t="inlineStr">
        <is>
          <t>Pipa PVC D ; DN.
12" (300 mm) +
fitting &amp; aksesoris</t>
        </is>
      </c>
      <c r="D196" s="3" t="inlineStr">
        <is>
          <t>m'</t>
        </is>
      </c>
      <c r="E196" s="4" t="n">
        <v>320000</v>
      </c>
    </row>
    <row r="197">
      <c r="A197" s="3" t="inlineStr">
        <is>
          <t>26</t>
        </is>
      </c>
      <c r="B197" s="3" t="n">
        <v/>
      </c>
      <c r="C197" s="3" t="inlineStr">
        <is>
          <t>Pipa PVC D Ø 14"</t>
        </is>
      </c>
      <c r="D197" s="3" t="inlineStr">
        <is>
          <t>m'</t>
        </is>
      </c>
      <c r="E197" s="4" t="n">
        <v>325000</v>
      </c>
    </row>
    <row r="198">
      <c r="A198" s="3" t="n">
        <v/>
      </c>
      <c r="B198" s="3" t="n">
        <v/>
      </c>
      <c r="C198" s="3" t="inlineStr">
        <is>
          <t>Pipa PVC D ; DN.
14" (350 mm) +
fitting &amp; aksesoris</t>
        </is>
      </c>
      <c r="D198" s="3" t="inlineStr">
        <is>
          <t>m'</t>
        </is>
      </c>
      <c r="E198" s="4" t="n">
        <v>323000</v>
      </c>
    </row>
    <row r="199">
      <c r="A199" s="3" t="inlineStr">
        <is>
          <t>27</t>
        </is>
      </c>
      <c r="B199" s="3" t="n">
        <v/>
      </c>
      <c r="C199" s="3" t="inlineStr">
        <is>
          <t>Pipa PVC D Ø 16"</t>
        </is>
      </c>
      <c r="D199" s="3" t="inlineStr">
        <is>
          <t>m'</t>
        </is>
      </c>
      <c r="E199" s="4" t="n">
        <v>362500</v>
      </c>
    </row>
    <row r="200">
      <c r="A200" s="3" t="n">
        <v/>
      </c>
      <c r="B200" s="3" t="n">
        <v/>
      </c>
      <c r="C200" s="3" t="inlineStr">
        <is>
          <t>Pipa PVC D ; DN.
16" (400 mm) +
fitting &amp; aksesoris</t>
        </is>
      </c>
      <c r="D200" s="3" t="inlineStr">
        <is>
          <t>m'</t>
        </is>
      </c>
      <c r="E200" s="4" t="n">
        <v>363000</v>
      </c>
    </row>
    <row r="201">
      <c r="A201" s="3" t="inlineStr">
        <is>
          <t>28</t>
        </is>
      </c>
      <c r="B201" s="3" t="n">
        <v/>
      </c>
      <c r="C201" s="3" t="inlineStr">
        <is>
          <t>Pipa PVC D Ø 2"</t>
        </is>
      </c>
      <c r="D201" s="3" t="inlineStr">
        <is>
          <t>m'</t>
        </is>
      </c>
      <c r="E201" s="4" t="n">
        <v>14750</v>
      </c>
    </row>
    <row r="202">
      <c r="A202" s="3" t="n">
        <v/>
      </c>
      <c r="B202" s="3" t="n">
        <v/>
      </c>
      <c r="C202" s="3" t="inlineStr">
        <is>
          <t>Pipa PVC D ; DN. 2" (50 mm) + fitting &amp; aksesoris</t>
        </is>
      </c>
      <c r="D202" s="3" t="inlineStr">
        <is>
          <t>m'</t>
        </is>
      </c>
      <c r="E202" s="4" t="n">
        <v>15000</v>
      </c>
    </row>
    <row r="203">
      <c r="A203" s="3" t="inlineStr">
        <is>
          <t>29</t>
        </is>
      </c>
      <c r="B203" s="3" t="n">
        <v/>
      </c>
      <c r="C203" s="3" t="inlineStr">
        <is>
          <t>Pipa PVC D Ø 2-1/2"</t>
        </is>
      </c>
      <c r="D203" s="3" t="inlineStr">
        <is>
          <t>m'</t>
        </is>
      </c>
      <c r="E203" s="4" t="n">
        <v>20625</v>
      </c>
    </row>
    <row r="204">
      <c r="A204" s="3" t="n">
        <v/>
      </c>
      <c r="B204" s="3" t="n">
        <v/>
      </c>
      <c r="C204" s="3" t="inlineStr">
        <is>
          <t>Pipa PVC D ; DN.
2-1/2" (65 mm) +
fitting &amp; aksesoris</t>
        </is>
      </c>
      <c r="D204" s="3" t="inlineStr">
        <is>
          <t>m'</t>
        </is>
      </c>
      <c r="E204" s="4" t="n">
        <v>21000</v>
      </c>
    </row>
    <row r="205">
      <c r="A205" s="3" t="inlineStr">
        <is>
          <t>30</t>
        </is>
      </c>
      <c r="B205" s="3" t="n">
        <v/>
      </c>
      <c r="C205" s="3" t="inlineStr">
        <is>
          <t>Pipa PVC D Ø 3"</t>
        </is>
      </c>
      <c r="D205" s="3" t="inlineStr">
        <is>
          <t>m'</t>
        </is>
      </c>
      <c r="E205" s="4" t="n">
        <v>28600</v>
      </c>
    </row>
    <row r="206">
      <c r="A206" s="3" t="n">
        <v/>
      </c>
      <c r="B206" s="3" t="n">
        <v/>
      </c>
      <c r="C206" s="3" t="inlineStr">
        <is>
          <t>Pipa PVC D ; DN.
3" (80 mm) + fitting &amp;
aksesoris</t>
        </is>
      </c>
      <c r="D206" s="3" t="inlineStr">
        <is>
          <t>m'</t>
        </is>
      </c>
      <c r="E206" s="4" t="n">
        <v>29000</v>
      </c>
    </row>
    <row r="207">
      <c r="A207" s="3" t="inlineStr">
        <is>
          <t>31</t>
        </is>
      </c>
      <c r="B207" s="3" t="n">
        <v/>
      </c>
      <c r="C207" s="3" t="inlineStr">
        <is>
          <t>Pipa PVC D Ø 4"</t>
        </is>
      </c>
      <c r="D207" s="3" t="inlineStr">
        <is>
          <t>m'</t>
        </is>
      </c>
      <c r="E207" s="4" t="n">
        <v>39575</v>
      </c>
    </row>
    <row r="208">
      <c r="A208" s="3" t="n">
        <v/>
      </c>
      <c r="B208" s="3" t="n">
        <v/>
      </c>
      <c r="C208" s="3" t="inlineStr">
        <is>
          <t>Pipa PVC D ; DN. 4" (100 mm) + fitting &amp; aksesoris</t>
        </is>
      </c>
      <c r="D208" s="3" t="inlineStr">
        <is>
          <t>m'</t>
        </is>
      </c>
      <c r="E208" s="4" t="n">
        <v>40000</v>
      </c>
    </row>
    <row r="209">
      <c r="A209" s="3" t="inlineStr">
        <is>
          <t>32</t>
        </is>
      </c>
      <c r="B209" s="3" t="n">
        <v/>
      </c>
      <c r="C209" s="3" t="inlineStr">
        <is>
          <t>Pipa PVC D Ø 5"</t>
        </is>
      </c>
      <c r="D209" s="3" t="inlineStr">
        <is>
          <t>m'</t>
        </is>
      </c>
      <c r="E209" s="4" t="n">
        <v>63200</v>
      </c>
    </row>
    <row r="210">
      <c r="A210" s="3" t="n">
        <v/>
      </c>
      <c r="B210" s="3" t="n">
        <v/>
      </c>
      <c r="C210" s="3" t="inlineStr">
        <is>
          <t>Pipa PVC D ; DN. 5" (125 mm) + fitting &amp; aksesoris</t>
        </is>
      </c>
      <c r="D210" s="3" t="inlineStr">
        <is>
          <t>m'</t>
        </is>
      </c>
      <c r="E210" s="4" t="n">
        <v>64000</v>
      </c>
    </row>
    <row r="211">
      <c r="A211" s="3" t="inlineStr">
        <is>
          <t>33</t>
        </is>
      </c>
      <c r="B211" s="3" t="n">
        <v/>
      </c>
      <c r="C211" s="3" t="inlineStr">
        <is>
          <t>Pipa PVC D Ø 6"</t>
        </is>
      </c>
      <c r="D211" s="3" t="inlineStr">
        <is>
          <t>m'</t>
        </is>
      </c>
      <c r="E211" s="4" t="n">
        <v>79775</v>
      </c>
    </row>
    <row r="212">
      <c r="A212" s="3" t="n">
        <v/>
      </c>
      <c r="B212" s="3" t="n">
        <v/>
      </c>
      <c r="C212" s="3" t="inlineStr">
        <is>
          <t>Pipa PVC D ; DN. 6" (150 mm) + fitting &amp; aksesoris</t>
        </is>
      </c>
      <c r="D212" s="3" t="inlineStr">
        <is>
          <t>m'</t>
        </is>
      </c>
      <c r="E212" s="4" t="n">
        <v>80000</v>
      </c>
    </row>
    <row r="213">
      <c r="A213" s="3" t="inlineStr">
        <is>
          <t>34</t>
        </is>
      </c>
      <c r="B213" s="3" t="n">
        <v/>
      </c>
      <c r="C213" s="3" t="inlineStr">
        <is>
          <t>Pipa PVC D Ø 8"</t>
        </is>
      </c>
      <c r="D213" s="3" t="inlineStr">
        <is>
          <t>m'</t>
        </is>
      </c>
      <c r="E213" s="4" t="n">
        <v>139575</v>
      </c>
    </row>
    <row r="214">
      <c r="A214" s="3" t="n">
        <v/>
      </c>
      <c r="B214" s="3" t="n">
        <v/>
      </c>
      <c r="C214" s="3" t="inlineStr">
        <is>
          <t>Pipa PVC D ; DN. 8" (200 mm) + fitting &amp; aksesoris</t>
        </is>
      </c>
      <c r="D214" s="3" t="inlineStr">
        <is>
          <t>m'</t>
        </is>
      </c>
      <c r="E214" s="4" t="n">
        <v>140000</v>
      </c>
    </row>
    <row r="215">
      <c r="A215" s="3" t="n">
        <v/>
      </c>
      <c r="B215" s="3" t="n">
        <v/>
      </c>
      <c r="C215" s="3" t="inlineStr">
        <is>
          <t>Pipa PVC dia. 1"</t>
        </is>
      </c>
      <c r="D215" s="3" t="inlineStr">
        <is>
          <t>m'</t>
        </is>
      </c>
      <c r="E215" s="4" t="n">
        <v>11250</v>
      </c>
    </row>
    <row r="216">
      <c r="A216" s="3" t="n">
        <v/>
      </c>
      <c r="B216" s="3" t="n">
        <v/>
      </c>
      <c r="C216" s="3" t="inlineStr">
        <is>
          <t>Pipa PVC dia. 2"</t>
        </is>
      </c>
      <c r="D216" s="3" t="inlineStr">
        <is>
          <t>m'</t>
        </is>
      </c>
      <c r="E216" s="4" t="n">
        <v>26000</v>
      </c>
    </row>
    <row r="217">
      <c r="A217" s="3" t="n">
        <v/>
      </c>
      <c r="B217" s="3" t="n">
        <v/>
      </c>
      <c r="C217" s="3" t="inlineStr">
        <is>
          <t>Pipa Tembaga B280 1/4"</t>
        </is>
      </c>
      <c r="D217" s="3" t="inlineStr">
        <is>
          <t>m'</t>
        </is>
      </c>
      <c r="E217" s="4" t="n">
        <v>34300</v>
      </c>
    </row>
    <row r="218">
      <c r="A218" s="3" t="n">
        <v/>
      </c>
      <c r="B218" s="3" t="n">
        <v/>
      </c>
      <c r="C218" s="3" t="inlineStr">
        <is>
          <t xml:space="preserve">Duct Tape </t>
        </is>
      </c>
      <c r="D218" s="3" t="inlineStr">
        <is>
          <t xml:space="preserve">gulung </t>
        </is>
      </c>
      <c r="E218" s="4" t="n">
        <v>9050</v>
      </c>
    </row>
    <row r="219">
      <c r="A219" s="3" t="n">
        <v/>
      </c>
      <c r="B219" s="3" t="n">
        <v/>
      </c>
      <c r="C219" s="3" t="inlineStr">
        <is>
          <t>Pipa Tembaga B280 3/8"</t>
        </is>
      </c>
      <c r="D219" s="3" t="inlineStr">
        <is>
          <t>m'</t>
        </is>
      </c>
      <c r="E219" s="4" t="n">
        <v>45300</v>
      </c>
    </row>
    <row r="220">
      <c r="A220" s="3" t="n">
        <v/>
      </c>
      <c r="B220" s="3" t="n">
        <v/>
      </c>
      <c r="C220" s="3" t="inlineStr">
        <is>
          <t>Pipa Tembaga B280 1/2"</t>
        </is>
      </c>
      <c r="D220" s="3" t="inlineStr">
        <is>
          <t>m'</t>
        </is>
      </c>
      <c r="E220" s="4" t="n">
        <v>46400</v>
      </c>
    </row>
    <row r="221">
      <c r="A221" s="3" t="n">
        <v/>
      </c>
      <c r="B221" s="3" t="n">
        <v/>
      </c>
      <c r="C221" s="3" t="inlineStr">
        <is>
          <t>Pipa Tembaga B280 5/8"</t>
        </is>
      </c>
      <c r="D221" s="3" t="inlineStr">
        <is>
          <t>m'</t>
        </is>
      </c>
      <c r="E221" s="4" t="n">
        <v>101600</v>
      </c>
    </row>
    <row r="222">
      <c r="A222" s="3" t="n">
        <v/>
      </c>
      <c r="B222" s="3" t="n">
        <v/>
      </c>
      <c r="C222" s="3" t="inlineStr">
        <is>
          <t>Pipa Tembaga B280 3/4"</t>
        </is>
      </c>
      <c r="D222" s="3" t="inlineStr">
        <is>
          <t>m'</t>
        </is>
      </c>
      <c r="E222" s="4" t="n">
        <v>122700</v>
      </c>
    </row>
    <row r="223">
      <c r="A223" s="3" t="n">
        <v/>
      </c>
      <c r="B223" s="3" t="n">
        <v/>
      </c>
      <c r="C223" s="3" t="inlineStr">
        <is>
          <t>Pipa Tembaga B280 7/8"</t>
        </is>
      </c>
      <c r="D223" s="3" t="inlineStr">
        <is>
          <t>m'</t>
        </is>
      </c>
      <c r="E223" s="4" t="n">
        <v>351600</v>
      </c>
    </row>
    <row r="224">
      <c r="A224" s="3" t="n">
        <v/>
      </c>
      <c r="B224" s="3" t="n">
        <v/>
      </c>
      <c r="C224" s="3" t="inlineStr">
        <is>
          <t>Pipa Tembaga B280 1"</t>
        </is>
      </c>
      <c r="D224" s="3" t="inlineStr">
        <is>
          <t>m'</t>
        </is>
      </c>
      <c r="E224" s="4" t="n">
        <v>370000</v>
      </c>
    </row>
    <row r="225">
      <c r="A225" s="3" t="n">
        <v/>
      </c>
      <c r="B225" s="3" t="n">
        <v/>
      </c>
      <c r="C225" s="3" t="inlineStr">
        <is>
          <t>Pipa Tembaga B280 1-1/8"</t>
        </is>
      </c>
      <c r="D225" s="3" t="inlineStr">
        <is>
          <t>m'</t>
        </is>
      </c>
      <c r="E225" s="4" t="n">
        <v>375000</v>
      </c>
    </row>
    <row r="226">
      <c r="A226" s="3" t="n">
        <v/>
      </c>
      <c r="B226" s="3" t="n">
        <v/>
      </c>
      <c r="C226" s="3" t="inlineStr">
        <is>
          <t>Pipa Tembaga B280 1-3/8"</t>
        </is>
      </c>
      <c r="D226" s="3" t="inlineStr">
        <is>
          <t>m'</t>
        </is>
      </c>
      <c r="E226" s="4" t="n">
        <v>380000</v>
      </c>
    </row>
    <row r="227">
      <c r="A227" s="3" t="n">
        <v/>
      </c>
      <c r="B227" s="3" t="n">
        <v/>
      </c>
      <c r="C227" s="3" t="inlineStr">
        <is>
          <t>Pipa Tembaga B280 1-5/8"</t>
        </is>
      </c>
      <c r="D227" s="3" t="inlineStr">
        <is>
          <t>m'</t>
        </is>
      </c>
      <c r="E227" s="4" t="n">
        <v>290000</v>
      </c>
    </row>
    <row r="228">
      <c r="A228" s="3" t="n">
        <v/>
      </c>
      <c r="B228" s="3" t="n">
        <v/>
      </c>
      <c r="C228" s="3" t="inlineStr">
        <is>
          <t>Pipa Tembaga B280 Dia. 1/4" + 3/8"</t>
        </is>
      </c>
      <c r="D228" s="3" t="inlineStr">
        <is>
          <t>m'</t>
        </is>
      </c>
      <c r="E228" s="4" t="n">
        <v>70000</v>
      </c>
    </row>
    <row r="229">
      <c r="A229" s="3" t="n">
        <v/>
      </c>
      <c r="B229" s="3" t="n">
        <v/>
      </c>
      <c r="C229" s="3" t="inlineStr">
        <is>
          <t>Pipa Tembaga B280 Dia. 1/4" + 1/2"</t>
        </is>
      </c>
      <c r="D229" s="3" t="inlineStr">
        <is>
          <t>m'</t>
        </is>
      </c>
      <c r="E229" s="4" t="n">
        <v>90000</v>
      </c>
    </row>
    <row r="230">
      <c r="A230" s="3" t="n">
        <v/>
      </c>
      <c r="B230" s="3" t="n">
        <v/>
      </c>
      <c r="C230" s="3" t="inlineStr">
        <is>
          <t>Pipa Tembaga B280 Dia. 1/4" + 5/8"</t>
        </is>
      </c>
      <c r="D230" s="3" t="inlineStr">
        <is>
          <t>m'</t>
        </is>
      </c>
      <c r="E230" s="4" t="n">
        <v>130000</v>
      </c>
    </row>
    <row r="231">
      <c r="A231" s="3" t="n">
        <v/>
      </c>
      <c r="B231" s="3" t="n">
        <v/>
      </c>
      <c r="C231" s="3" t="inlineStr">
        <is>
          <t>Box Diffuser 250 x 250 mm</t>
        </is>
      </c>
      <c r="D231" s="3" t="inlineStr">
        <is>
          <t>unit</t>
        </is>
      </c>
      <c r="E231" s="4" t="n">
        <v>350000</v>
      </c>
    </row>
    <row r="232">
      <c r="A232" s="3" t="n">
        <v/>
      </c>
      <c r="B232" s="3" t="n">
        <v/>
      </c>
      <c r="C232" s="3" t="inlineStr">
        <is>
          <t>Box Diffuser 350 x 350 mm</t>
        </is>
      </c>
      <c r="D232" s="3" t="inlineStr">
        <is>
          <t>unit</t>
        </is>
      </c>
      <c r="E232" s="4" t="n">
        <v>450000</v>
      </c>
    </row>
    <row r="233">
      <c r="A233" s="3" t="n">
        <v/>
      </c>
      <c r="B233" s="3" t="n">
        <v/>
      </c>
      <c r="C233" s="3" t="inlineStr">
        <is>
          <t>PRV SET dia. 50 mm dan aksesoris</t>
        </is>
      </c>
      <c r="D233" s="3" t="inlineStr">
        <is>
          <t xml:space="preserve">unit </t>
        </is>
      </c>
      <c r="E233" s="4" t="n">
        <v>6131000</v>
      </c>
    </row>
    <row r="234">
      <c r="A234" s="3" t="n">
        <v/>
      </c>
      <c r="B234" s="3" t="n">
        <v/>
      </c>
      <c r="C234" s="3" t="inlineStr">
        <is>
          <t>PRV SET dia. 65 mm dan aksesoris</t>
        </is>
      </c>
      <c r="D234" s="3" t="inlineStr">
        <is>
          <t xml:space="preserve">unit </t>
        </is>
      </c>
      <c r="E234" s="4" t="n">
        <v>8397000</v>
      </c>
    </row>
    <row r="235">
      <c r="A235" s="3" t="n">
        <v/>
      </c>
      <c r="B235" s="3" t="n">
        <v/>
      </c>
      <c r="C235" s="3" t="inlineStr">
        <is>
          <t>PRV SET dia. 80 mm dan aksesoris</t>
        </is>
      </c>
      <c r="D235" s="3" t="inlineStr">
        <is>
          <t xml:space="preserve">unit </t>
        </is>
      </c>
      <c r="E235" s="4" t="n">
        <v>8550000</v>
      </c>
    </row>
    <row r="236">
      <c r="A236" s="3" t="n">
        <v/>
      </c>
      <c r="B236" s="3" t="n">
        <v/>
      </c>
      <c r="C236" s="3" t="inlineStr">
        <is>
          <t>PRV SET dia. 100 mm dan aksesoris</t>
        </is>
      </c>
      <c r="D236" s="3" t="inlineStr">
        <is>
          <t xml:space="preserve">unit </t>
        </is>
      </c>
      <c r="E236" s="4" t="n">
        <v>14250000</v>
      </c>
    </row>
    <row r="237">
      <c r="A237" s="3" t="n">
        <v/>
      </c>
      <c r="B237" s="3" t="n">
        <v/>
      </c>
      <c r="C237" s="3" t="inlineStr">
        <is>
          <t>PRV SET dia. 150 mm dan aksesoris</t>
        </is>
      </c>
      <c r="D237" s="3" t="inlineStr">
        <is>
          <t xml:space="preserve">unit </t>
        </is>
      </c>
      <c r="E237" s="4" t="n">
        <v>14500000</v>
      </c>
    </row>
    <row r="238">
      <c r="A238" s="3" t="n">
        <v/>
      </c>
      <c r="B238" s="3" t="n">
        <v/>
      </c>
      <c r="C238" s="3" t="inlineStr">
        <is>
          <t>PRV SET dia. 200 mm dan aksesoris</t>
        </is>
      </c>
      <c r="D238" s="3" t="inlineStr">
        <is>
          <t xml:space="preserve">unit </t>
        </is>
      </c>
      <c r="E238" s="4" t="n">
        <v>15500000</v>
      </c>
    </row>
    <row r="239">
      <c r="A239" s="3" t="n">
        <v/>
      </c>
      <c r="B239" s="3" t="n">
        <v/>
      </c>
      <c r="C239" s="3" t="inlineStr">
        <is>
          <t>MCV Set dia. 80 mm</t>
        </is>
      </c>
      <c r="D239" s="3" t="inlineStr">
        <is>
          <t xml:space="preserve">unit </t>
        </is>
      </c>
      <c r="E239" s="4" t="n">
        <v>20500000</v>
      </c>
    </row>
    <row r="240">
      <c r="A240" s="3" t="n">
        <v/>
      </c>
      <c r="B240" s="3" t="n">
        <v/>
      </c>
      <c r="C240" s="3" t="inlineStr">
        <is>
          <t>MCV Set dia. 100 mm</t>
        </is>
      </c>
      <c r="D240" s="3" t="inlineStr">
        <is>
          <t xml:space="preserve">unit </t>
        </is>
      </c>
      <c r="E240" s="4" t="n">
        <v>20900000</v>
      </c>
    </row>
    <row r="241">
      <c r="A241" s="3" t="n">
        <v/>
      </c>
      <c r="B241" s="3" t="n">
        <v/>
      </c>
      <c r="C241" s="3" t="inlineStr">
        <is>
          <t>MCV Set dia. 150 mm</t>
        </is>
      </c>
      <c r="D241" s="3" t="inlineStr">
        <is>
          <t xml:space="preserve">unit </t>
        </is>
      </c>
      <c r="E241" s="4" t="n">
        <v>30300000</v>
      </c>
    </row>
    <row r="242">
      <c r="A242" s="3" t="n">
        <v/>
      </c>
      <c r="B242" s="3" t="n">
        <v/>
      </c>
      <c r="C242" s="3" t="inlineStr">
        <is>
          <t>BCV Set dia. 50 mm</t>
        </is>
      </c>
      <c r="D242" s="3" t="inlineStr">
        <is>
          <t xml:space="preserve">set </t>
        </is>
      </c>
      <c r="E242" s="4" t="n">
        <v>1700000</v>
      </c>
    </row>
    <row r="243">
      <c r="A243" s="3" t="n">
        <v/>
      </c>
      <c r="B243" s="3" t="n">
        <v/>
      </c>
      <c r="C243" s="3" t="inlineStr">
        <is>
          <t>Flow Switch dia. 50 mm</t>
        </is>
      </c>
      <c r="D243" s="3" t="inlineStr">
        <is>
          <t xml:space="preserve">buah </t>
        </is>
      </c>
      <c r="E243" s="4" t="n">
        <v>83000</v>
      </c>
    </row>
    <row r="244">
      <c r="A244" s="3" t="n">
        <v/>
      </c>
      <c r="B244" s="3" t="n">
        <v/>
      </c>
      <c r="C244" s="3" t="inlineStr">
        <is>
          <t xml:space="preserve">Sigh Glass </t>
        </is>
      </c>
      <c r="D244" s="3" t="inlineStr">
        <is>
          <t xml:space="preserve">buah </t>
        </is>
      </c>
      <c r="E244" s="4" t="n">
        <v>85000</v>
      </c>
    </row>
    <row r="245">
      <c r="A245" s="3" t="n">
        <v/>
      </c>
      <c r="B245" s="3" t="n">
        <v/>
      </c>
      <c r="C245" s="3" t="inlineStr">
        <is>
          <t xml:space="preserve">Flow Switch </t>
        </is>
      </c>
      <c r="D245" s="3" t="inlineStr">
        <is>
          <t xml:space="preserve">buah </t>
        </is>
      </c>
      <c r="E245" s="4" t="n">
        <v>104000</v>
      </c>
    </row>
    <row r="246">
      <c r="A246" s="3" t="n">
        <v/>
      </c>
      <c r="B246" s="3" t="n">
        <v/>
      </c>
      <c r="C246" s="3" t="inlineStr">
        <is>
          <t xml:space="preserve">Test Drain Valve </t>
        </is>
      </c>
      <c r="D246" s="3" t="inlineStr">
        <is>
          <t xml:space="preserve">buah </t>
        </is>
      </c>
      <c r="E246" s="4" t="n">
        <v>750000</v>
      </c>
    </row>
    <row r="247">
      <c r="A247" s="3" t="n">
        <v/>
      </c>
      <c r="B247" s="3" t="n">
        <v/>
      </c>
      <c r="C247" s="3" t="inlineStr">
        <is>
          <t xml:space="preserve">Coupling 1 set </t>
        </is>
      </c>
      <c r="D247" s="3" t="inlineStr">
        <is>
          <t xml:space="preserve">set </t>
        </is>
      </c>
      <c r="E247" s="4" t="n">
        <v>115000</v>
      </c>
    </row>
    <row r="248">
      <c r="A248" s="3" t="n">
        <v/>
      </c>
      <c r="B248" s="3" t="n">
        <v/>
      </c>
      <c r="C248" s="3" t="inlineStr">
        <is>
          <t xml:space="preserve">Temper Switch </t>
        </is>
      </c>
      <c r="D248" s="3" t="inlineStr">
        <is>
          <t xml:space="preserve">buah </t>
        </is>
      </c>
      <c r="E248" s="4" t="n">
        <v>700000</v>
      </c>
    </row>
    <row r="249">
      <c r="A249" s="3" t="n">
        <v/>
      </c>
      <c r="B249" s="3" t="n">
        <v/>
      </c>
      <c r="C249" s="3" t="inlineStr">
        <is>
          <t>BCV Set dia. 65 mm</t>
        </is>
      </c>
      <c r="D249" s="3" t="inlineStr">
        <is>
          <t xml:space="preserve">set </t>
        </is>
      </c>
      <c r="E249" s="4" t="n">
        <v>1900000</v>
      </c>
    </row>
    <row r="250">
      <c r="A250" s="3" t="n">
        <v/>
      </c>
      <c r="B250" s="3" t="n">
        <v/>
      </c>
      <c r="C250" s="3" t="inlineStr">
        <is>
          <t>BCV Set dia. 80 mm</t>
        </is>
      </c>
      <c r="D250" s="3" t="inlineStr">
        <is>
          <t xml:space="preserve">set </t>
        </is>
      </c>
      <c r="E250" s="4" t="n">
        <v>2100000</v>
      </c>
    </row>
    <row r="251">
      <c r="A251" s="3" t="n">
        <v/>
      </c>
      <c r="B251" s="3" t="n">
        <v/>
      </c>
      <c r="C251" s="3" t="inlineStr">
        <is>
          <t>BCV Set dia. 100 mm</t>
        </is>
      </c>
      <c r="D251" s="3" t="inlineStr">
        <is>
          <t xml:space="preserve">set </t>
        </is>
      </c>
      <c r="E251" s="4" t="n">
        <v>2400000</v>
      </c>
    </row>
    <row r="252">
      <c r="A252" s="3" t="n">
        <v/>
      </c>
      <c r="B252" s="3" t="n">
        <v/>
      </c>
      <c r="C252" s="3" t="inlineStr">
        <is>
          <t>BCV Set dia. 150 mm</t>
        </is>
      </c>
      <c r="D252" s="3" t="inlineStr">
        <is>
          <t xml:space="preserve">set </t>
        </is>
      </c>
      <c r="E252" s="4" t="n">
        <v>2600000</v>
      </c>
    </row>
    <row r="253">
      <c r="A253" s="3" t="n">
        <v/>
      </c>
      <c r="B253" s="3" t="n">
        <v/>
      </c>
      <c r="C253" s="3" t="inlineStr">
        <is>
          <t>Automatic Air Vent  dia. 50 mm</t>
        </is>
      </c>
      <c r="D253" s="3" t="inlineStr">
        <is>
          <t xml:space="preserve">unit </t>
        </is>
      </c>
      <c r="E253" s="4" t="n">
        <v>635000</v>
      </c>
    </row>
    <row r="254">
      <c r="A254" s="3" t="n">
        <v/>
      </c>
      <c r="B254" s="3" t="n">
        <v/>
      </c>
      <c r="C254" s="3" t="inlineStr">
        <is>
          <t>Automatic Air Vent  dia. 80 mm</t>
        </is>
      </c>
      <c r="D254" s="3" t="inlineStr">
        <is>
          <t>unit</t>
        </is>
      </c>
      <c r="E254" s="4" t="n">
        <v>766500</v>
      </c>
    </row>
    <row r="255">
      <c r="A255" s="3" t="n">
        <v/>
      </c>
      <c r="B255" s="3" t="n">
        <v/>
      </c>
      <c r="C255" s="3" t="inlineStr">
        <is>
          <t>Automatic Air Vent  dia. 100 mm</t>
        </is>
      </c>
      <c r="D255" s="3" t="inlineStr">
        <is>
          <t xml:space="preserve">unit </t>
        </is>
      </c>
      <c r="E255" s="4" t="n">
        <v>980000</v>
      </c>
    </row>
    <row r="256">
      <c r="A256" s="3" t="n">
        <v/>
      </c>
      <c r="B256" s="3" t="n">
        <v/>
      </c>
      <c r="C256" s="3" t="inlineStr">
        <is>
          <t>Automatic Air Vent  dia. 150 mm</t>
        </is>
      </c>
      <c r="D256" s="3" t="inlineStr">
        <is>
          <t>unit</t>
        </is>
      </c>
      <c r="E256" s="4" t="n">
        <v>1150000</v>
      </c>
    </row>
    <row r="257">
      <c r="A257" s="3" t="n">
        <v/>
      </c>
      <c r="B257" s="3" t="n">
        <v/>
      </c>
      <c r="C257" s="3" t="inlineStr">
        <is>
          <t>Flow Meter Analog dia. 100 mm</t>
        </is>
      </c>
      <c r="D257" s="3" t="inlineStr">
        <is>
          <t xml:space="preserve">unit </t>
        </is>
      </c>
      <c r="E257" s="4" t="n">
        <v>1300000</v>
      </c>
    </row>
    <row r="258">
      <c r="A258" s="3" t="n">
        <v/>
      </c>
      <c r="B258" s="3" t="n">
        <v/>
      </c>
      <c r="C258" s="3" t="inlineStr">
        <is>
          <t>Flow Meter Analog dia. 200 mm</t>
        </is>
      </c>
      <c r="D258" s="3" t="inlineStr">
        <is>
          <t xml:space="preserve">unit </t>
        </is>
      </c>
      <c r="E258" s="4" t="n">
        <v>1500000</v>
      </c>
    </row>
    <row r="259">
      <c r="A259" s="3" t="n">
        <v/>
      </c>
      <c r="B259" s="3" t="n">
        <v/>
      </c>
      <c r="C259" s="3" t="inlineStr">
        <is>
          <t>Flow Meter Analog 10 K, Dia 1" (25 mm)</t>
        </is>
      </c>
      <c r="D259" s="3" t="inlineStr">
        <is>
          <t xml:space="preserve">unit </t>
        </is>
      </c>
      <c r="E259" s="4" t="n">
        <v>650000</v>
      </c>
    </row>
    <row r="260">
      <c r="A260" s="3" t="n">
        <v/>
      </c>
      <c r="B260" s="3" t="n">
        <v/>
      </c>
      <c r="C260" s="3" t="inlineStr">
        <is>
          <t>water meter, DN 2-1/2" (65 mm)</t>
        </is>
      </c>
      <c r="D260" s="3" t="inlineStr">
        <is>
          <t xml:space="preserve">unit </t>
        </is>
      </c>
      <c r="E260" s="4" t="n">
        <v>750000</v>
      </c>
    </row>
    <row r="261">
      <c r="A261" s="3" t="n">
        <v/>
      </c>
      <c r="B261" s="3" t="n">
        <v/>
      </c>
      <c r="C261" s="3" t="inlineStr">
        <is>
          <t>Landing Velve 2,5"</t>
        </is>
      </c>
      <c r="D261" s="3" t="inlineStr">
        <is>
          <t xml:space="preserve">unit </t>
        </is>
      </c>
      <c r="E261" s="4" t="n">
        <v>1259000</v>
      </c>
    </row>
    <row r="262">
      <c r="A262" s="3" t="n">
        <v/>
      </c>
      <c r="B262" s="3" t="n">
        <v/>
      </c>
      <c r="C262" s="3" t="inlineStr">
        <is>
          <t>Orifice Plate dia. 25 mm</t>
        </is>
      </c>
      <c r="D262" s="3" t="inlineStr">
        <is>
          <t xml:space="preserve">unit </t>
        </is>
      </c>
      <c r="E262" s="4" t="n">
        <v>1500000</v>
      </c>
    </row>
    <row r="263">
      <c r="A263" s="3" t="n">
        <v/>
      </c>
      <c r="B263" s="3" t="n">
        <v/>
      </c>
      <c r="C263" s="3" t="inlineStr">
        <is>
          <t xml:space="preserve">Sprinkler Head Pendant dan Aksesoris </t>
        </is>
      </c>
      <c r="D263" s="3" t="inlineStr">
        <is>
          <t xml:space="preserve">unit </t>
        </is>
      </c>
      <c r="E263" s="4" t="n">
        <v>85000</v>
      </c>
    </row>
    <row r="264">
      <c r="A264" s="3" t="n">
        <v/>
      </c>
      <c r="B264" s="3" t="n">
        <v/>
      </c>
      <c r="C264" s="3" t="inlineStr">
        <is>
          <t xml:space="preserve">Sprinkler Head Upright dan Aksesoris </t>
        </is>
      </c>
      <c r="D264" s="3" t="inlineStr">
        <is>
          <t xml:space="preserve">unit </t>
        </is>
      </c>
      <c r="E264" s="4" t="n">
        <v>82900</v>
      </c>
    </row>
    <row r="265">
      <c r="A265" s="3" t="n">
        <v/>
      </c>
      <c r="B265" s="3" t="n">
        <v/>
      </c>
      <c r="C265" s="3" t="inlineStr">
        <is>
          <t>Sprinkler Thermatic C02 3,5 Kg</t>
        </is>
      </c>
      <c r="D265" s="3" t="inlineStr">
        <is>
          <t xml:space="preserve">unit </t>
        </is>
      </c>
      <c r="E265" s="4" t="n">
        <v>2000000</v>
      </c>
    </row>
    <row r="266">
      <c r="A266" s="3" t="n">
        <v/>
      </c>
      <c r="B266" s="3" t="n">
        <v/>
      </c>
      <c r="C266" s="3" t="inlineStr">
        <is>
          <t xml:space="preserve">Hydrant Pillar dan Aksesoris </t>
        </is>
      </c>
      <c r="D266" s="3" t="inlineStr">
        <is>
          <t xml:space="preserve">unit </t>
        </is>
      </c>
      <c r="E266" s="4" t="n">
        <v>3750000</v>
      </c>
    </row>
    <row r="267">
      <c r="A267" s="3" t="n">
        <v/>
      </c>
      <c r="B267" s="3" t="n">
        <v/>
      </c>
      <c r="C267" s="3" t="inlineStr">
        <is>
          <t xml:space="preserve">Indoor Hydrant Box dan Aksesoris </t>
        </is>
      </c>
      <c r="D267" s="3" t="inlineStr">
        <is>
          <t xml:space="preserve">unit </t>
        </is>
      </c>
      <c r="E267" s="4" t="n">
        <v>1200000</v>
      </c>
    </row>
    <row r="268">
      <c r="A268" s="3" t="n">
        <v/>
      </c>
      <c r="B268" s="3" t="n">
        <v/>
      </c>
      <c r="C268" s="3" t="inlineStr">
        <is>
          <t xml:space="preserve">Outdoor Hydrant Box dan Aksesoris </t>
        </is>
      </c>
      <c r="D268" s="3" t="inlineStr">
        <is>
          <t xml:space="preserve">unit </t>
        </is>
      </c>
      <c r="E268" s="4" t="n">
        <v>1700000</v>
      </c>
    </row>
    <row r="269">
      <c r="A269" s="3" t="n">
        <v/>
      </c>
      <c r="B269" s="3" t="n">
        <v/>
      </c>
      <c r="C269" s="3" t="inlineStr">
        <is>
          <t xml:space="preserve">Siamesse Connection dan Aksesoris </t>
        </is>
      </c>
      <c r="D269" s="3" t="inlineStr">
        <is>
          <t xml:space="preserve">unit </t>
        </is>
      </c>
      <c r="E269" s="4" t="n">
        <v>2200000</v>
      </c>
    </row>
    <row r="270">
      <c r="A270" s="3" t="n">
        <v/>
      </c>
      <c r="B270" s="3" t="n">
        <v/>
      </c>
      <c r="C270" s="3" t="inlineStr">
        <is>
          <t xml:space="preserve">Fire Extinguisher 3 kg  dan Aksesoris </t>
        </is>
      </c>
      <c r="D270" s="3" t="inlineStr">
        <is>
          <t xml:space="preserve">Unit </t>
        </is>
      </c>
      <c r="E270" s="4" t="n">
        <v>171500</v>
      </c>
    </row>
    <row r="271">
      <c r="A271" s="3" t="n">
        <v/>
      </c>
      <c r="B271" s="3" t="n">
        <v/>
      </c>
      <c r="C271" s="3" t="inlineStr">
        <is>
          <t xml:space="preserve">Fire Extinguisher 5 kg  dan Aksesoris </t>
        </is>
      </c>
      <c r="D271" s="3" t="inlineStr">
        <is>
          <t>unit</t>
        </is>
      </c>
      <c r="E271" s="4" t="n">
        <v>227900</v>
      </c>
    </row>
    <row r="272">
      <c r="A272" s="3" t="n">
        <v/>
      </c>
      <c r="B272" s="3" t="n">
        <v/>
      </c>
      <c r="C272" s="3" t="inlineStr">
        <is>
          <t xml:space="preserve">Fire Extinguisher 6 kg  dan Aksesoris </t>
        </is>
      </c>
      <c r="D272" s="3" t="inlineStr">
        <is>
          <t>unit</t>
        </is>
      </c>
      <c r="E272" s="4" t="n">
        <v>350000</v>
      </c>
    </row>
    <row r="273">
      <c r="A273" s="3" t="n">
        <v/>
      </c>
      <c r="B273" s="3" t="n">
        <v/>
      </c>
      <c r="C273" s="3" t="inlineStr">
        <is>
          <t xml:space="preserve">Fire Extinguisher 25 kg  dan Aksesoris </t>
        </is>
      </c>
      <c r="D273" s="3" t="inlineStr">
        <is>
          <t xml:space="preserve">unit </t>
        </is>
      </c>
      <c r="E273" s="4" t="n">
        <v>1900000</v>
      </c>
    </row>
    <row r="274">
      <c r="A274" s="3" t="n">
        <v/>
      </c>
      <c r="B274" s="3" t="n">
        <v/>
      </c>
      <c r="C274" s="3" t="inlineStr">
        <is>
          <t xml:space="preserve">Jockey Fire Pump Vertical Multi Stage 25 USGPM </t>
        </is>
      </c>
      <c r="D274" s="3" t="inlineStr">
        <is>
          <t xml:space="preserve">unit </t>
        </is>
      </c>
      <c r="E274" s="4" t="n">
        <v>7400000</v>
      </c>
    </row>
    <row r="275">
      <c r="A275" s="3" t="n">
        <v/>
      </c>
      <c r="B275" s="3" t="n">
        <v/>
      </c>
      <c r="C275" s="3" t="inlineStr">
        <is>
          <t xml:space="preserve">Main Fire Pump Centrifugal  End Suction 1.000 USGPM </t>
        </is>
      </c>
      <c r="D275" s="3" t="inlineStr">
        <is>
          <t xml:space="preserve">unit </t>
        </is>
      </c>
      <c r="E275" s="4" t="n">
        <v>10000000</v>
      </c>
    </row>
    <row r="276">
      <c r="A276" s="3" t="n">
        <v/>
      </c>
      <c r="B276" s="3" t="n">
        <v/>
      </c>
      <c r="C276" s="3" t="inlineStr">
        <is>
          <t xml:space="preserve">Diesel Fire Pump Centrifugal End Suction dan Aksesoris </t>
        </is>
      </c>
      <c r="D276" s="3" t="inlineStr">
        <is>
          <t xml:space="preserve">unit </t>
        </is>
      </c>
      <c r="E276" s="4" t="n">
        <v>12000000</v>
      </c>
    </row>
    <row r="277">
      <c r="A277" s="3" t="n">
        <v/>
      </c>
      <c r="B277" s="3" t="n">
        <v/>
      </c>
      <c r="C277" s="3" t="inlineStr">
        <is>
          <t xml:space="preserve">Main Fire Pump Centrifugal End Suction dan Aksesoris </t>
        </is>
      </c>
      <c r="D277" s="3" t="inlineStr">
        <is>
          <t xml:space="preserve">Unit </t>
        </is>
      </c>
      <c r="E277" s="4" t="n">
        <v>14000000</v>
      </c>
    </row>
    <row r="278">
      <c r="A278" s="3" t="n">
        <v/>
      </c>
      <c r="B278" s="3" t="n">
        <v/>
      </c>
      <c r="C278" s="3" t="inlineStr">
        <is>
          <t>Diesel Fire Pump Centrifugal End Suction dan Aksesoris</t>
        </is>
      </c>
      <c r="D278" s="3" t="inlineStr">
        <is>
          <t xml:space="preserve">unit </t>
        </is>
      </c>
      <c r="E278" s="4" t="n">
        <v>12000000</v>
      </c>
    </row>
    <row r="279">
      <c r="A279" s="3" t="n">
        <v/>
      </c>
      <c r="B279" s="3" t="n">
        <v/>
      </c>
      <c r="C279" s="3" t="inlineStr">
        <is>
          <t>Fire Stop Mortar</t>
        </is>
      </c>
      <c r="D279" s="3" t="inlineStr">
        <is>
          <t>kg</t>
        </is>
      </c>
      <c r="E279" s="4" t="n">
        <v>110000</v>
      </c>
    </row>
    <row r="280">
      <c r="A280" s="3" t="n">
        <v/>
      </c>
      <c r="B280" s="3" t="n">
        <v/>
      </c>
      <c r="C280" s="3" t="inlineStr">
        <is>
          <t>Rockwool Density 80kg/m3 t-40</t>
        </is>
      </c>
      <c r="D280" s="3" t="inlineStr">
        <is>
          <t>m2</t>
        </is>
      </c>
      <c r="E280" s="4" t="n">
        <v>125000</v>
      </c>
    </row>
    <row r="281">
      <c r="A281" s="3" t="n">
        <v/>
      </c>
      <c r="B281" s="3" t="n">
        <v/>
      </c>
      <c r="C281" s="3" t="inlineStr">
        <is>
          <t>Pelat Besi</t>
        </is>
      </c>
      <c r="D281" s="3" t="inlineStr">
        <is>
          <t>m2</t>
        </is>
      </c>
      <c r="E281" s="4" t="n">
        <v>20000</v>
      </c>
    </row>
    <row r="282">
      <c r="A282" s="3" t="n">
        <v/>
      </c>
      <c r="B282" s="3" t="n">
        <v/>
      </c>
      <c r="C282" s="3" t="inlineStr">
        <is>
          <t>Hollow 50 x 50mm</t>
        </is>
      </c>
      <c r="D282" s="3" t="inlineStr">
        <is>
          <t>m</t>
        </is>
      </c>
      <c r="E282" s="4" t="n">
        <v>50000</v>
      </c>
    </row>
    <row r="283">
      <c r="A283" s="3" t="n">
        <v/>
      </c>
      <c r="B283" s="3" t="n">
        <v/>
      </c>
      <c r="C283" s="3" t="inlineStr">
        <is>
          <t>Suppport dan aksesoris</t>
        </is>
      </c>
      <c r="D283" s="3" t="inlineStr">
        <is>
          <t>set</t>
        </is>
      </c>
      <c r="E283" s="4" t="n">
        <v>15000</v>
      </c>
    </row>
    <row r="284">
      <c r="A284" s="3" t="n">
        <v/>
      </c>
      <c r="B284" s="3" t="n">
        <v/>
      </c>
      <c r="C284" s="3" t="inlineStr">
        <is>
          <t>Pipa PVC dia. 63 mm</t>
        </is>
      </c>
      <c r="D284" s="3" t="inlineStr">
        <is>
          <t>m'</t>
        </is>
      </c>
      <c r="E284" s="4" t="n">
        <v>14750</v>
      </c>
    </row>
    <row r="285">
      <c r="A285" s="3" t="n">
        <v/>
      </c>
      <c r="B285" s="3" t="n">
        <v/>
      </c>
      <c r="C285" s="3" t="inlineStr">
        <is>
          <t>Pipa PVC, DN. 2-1/2"
(65 mm)</t>
        </is>
      </c>
      <c r="D285" s="3" t="inlineStr">
        <is>
          <t>m'</t>
        </is>
      </c>
      <c r="E285" s="4" t="n">
        <v>15000</v>
      </c>
    </row>
    <row r="286">
      <c r="A286" s="3" t="n">
        <v/>
      </c>
      <c r="B286" s="3" t="n">
        <v/>
      </c>
      <c r="C286" s="3" t="inlineStr">
        <is>
          <t>Pipa PVC dia. 90 mm</t>
        </is>
      </c>
      <c r="D286" s="3" t="inlineStr">
        <is>
          <t>m'</t>
        </is>
      </c>
      <c r="E286" s="4" t="n">
        <v>28600</v>
      </c>
    </row>
    <row r="287">
      <c r="A287" s="3" t="n">
        <v/>
      </c>
      <c r="B287" s="3" t="n">
        <v/>
      </c>
      <c r="C287" s="3" t="inlineStr">
        <is>
          <t>Pipa PVC, DN. 3" (80
mm)</t>
        </is>
      </c>
      <c r="D287" s="3" t="inlineStr">
        <is>
          <t>m'</t>
        </is>
      </c>
      <c r="E287" s="4" t="n">
        <v>29000</v>
      </c>
    </row>
    <row r="288">
      <c r="A288" s="3" t="n">
        <v/>
      </c>
      <c r="B288" s="3" t="n">
        <v/>
      </c>
      <c r="C288" s="3" t="inlineStr">
        <is>
          <t>Pipa PVC dia. 110 mm</t>
        </is>
      </c>
      <c r="D288" s="3" t="inlineStr">
        <is>
          <t>m'</t>
        </is>
      </c>
      <c r="E288" s="4" t="n">
        <v>39575</v>
      </c>
    </row>
    <row r="289">
      <c r="A289" s="3" t="n">
        <v/>
      </c>
      <c r="B289" s="3" t="n">
        <v/>
      </c>
      <c r="C289" s="3" t="inlineStr">
        <is>
          <t>Pipa PVC, DN. 4" (100
mm)</t>
        </is>
      </c>
      <c r="D289" s="3" t="inlineStr">
        <is>
          <t>m'</t>
        </is>
      </c>
      <c r="E289" s="4" t="n">
        <v>40000</v>
      </c>
    </row>
    <row r="290">
      <c r="A290" s="3" t="n">
        <v/>
      </c>
      <c r="B290" s="3" t="n">
        <v/>
      </c>
      <c r="C290" s="3" t="inlineStr">
        <is>
          <t>Pipa PVC dia. 150 mm</t>
        </is>
      </c>
      <c r="D290" s="3" t="inlineStr">
        <is>
          <t>m'</t>
        </is>
      </c>
      <c r="E290" s="4" t="n">
        <v>63200</v>
      </c>
    </row>
    <row r="291">
      <c r="A291" s="3" t="n">
        <v/>
      </c>
      <c r="B291" s="3" t="n">
        <v/>
      </c>
      <c r="C291" s="3" t="inlineStr">
        <is>
          <t>Pipa PVC, DN. 6" (150
mm)</t>
        </is>
      </c>
      <c r="D291" s="3" t="inlineStr">
        <is>
          <t>m'</t>
        </is>
      </c>
      <c r="E291" s="4" t="n">
        <v>64000</v>
      </c>
    </row>
    <row r="292">
      <c r="A292" s="3" t="n">
        <v/>
      </c>
      <c r="B292" s="3" t="n">
        <v/>
      </c>
      <c r="C292" s="3" t="inlineStr">
        <is>
          <t>Pipa PVC dia. 200 mm</t>
        </is>
      </c>
      <c r="D292" s="3" t="inlineStr">
        <is>
          <t>m'</t>
        </is>
      </c>
      <c r="E292" s="4" t="n">
        <v>139575</v>
      </c>
    </row>
    <row r="293">
      <c r="A293" s="3" t="n">
        <v/>
      </c>
      <c r="B293" s="3" t="n">
        <v/>
      </c>
      <c r="C293" s="3" t="inlineStr">
        <is>
          <t>Pipa PVC, DN. 8" (200
mm)</t>
        </is>
      </c>
      <c r="D293" s="3" t="inlineStr">
        <is>
          <t>m'</t>
        </is>
      </c>
      <c r="E293" s="4" t="n">
        <v>140000</v>
      </c>
    </row>
    <row r="294">
      <c r="A294" s="3" t="n">
        <v/>
      </c>
      <c r="B294" s="3" t="n">
        <v/>
      </c>
      <c r="C294" s="3" t="inlineStr">
        <is>
          <t>Pipa PVC dia. 250 mm</t>
        </is>
      </c>
      <c r="D294" s="3" t="inlineStr">
        <is>
          <t>m'</t>
        </is>
      </c>
      <c r="E294" s="4" t="n">
        <v>287500</v>
      </c>
    </row>
    <row r="295">
      <c r="A295" s="3" t="n">
        <v/>
      </c>
      <c r="B295" s="3" t="n">
        <v/>
      </c>
      <c r="C295" s="3" t="inlineStr">
        <is>
          <t>Pipa PVC, DN. 10"
(250 mm)</t>
        </is>
      </c>
      <c r="D295" s="3" t="inlineStr">
        <is>
          <t>m'</t>
        </is>
      </c>
      <c r="E295" s="4" t="n">
        <v>288000</v>
      </c>
    </row>
    <row r="296">
      <c r="A296" s="3" t="n">
        <v/>
      </c>
      <c r="B296" s="3" t="n">
        <v/>
      </c>
      <c r="C296" s="3" t="inlineStr">
        <is>
          <t>Pipa PVC dia. 300 mm</t>
        </is>
      </c>
      <c r="D296" s="3" t="inlineStr">
        <is>
          <t>m'</t>
        </is>
      </c>
      <c r="E296" s="4" t="n">
        <v>305000</v>
      </c>
    </row>
    <row r="297">
      <c r="A297" s="3" t="n">
        <v/>
      </c>
      <c r="B297" s="3" t="n">
        <v/>
      </c>
      <c r="C297" s="3" t="inlineStr">
        <is>
          <t>Pipa PVC, DN. 12"
(300 mm)</t>
        </is>
      </c>
      <c r="D297" s="3" t="inlineStr">
        <is>
          <t>m'</t>
        </is>
      </c>
      <c r="E297" s="4" t="n">
        <v>306000</v>
      </c>
    </row>
    <row r="298">
      <c r="A298" s="3" t="n">
        <v/>
      </c>
      <c r="B298" s="3" t="n">
        <v/>
      </c>
      <c r="C298" s="3" t="inlineStr">
        <is>
          <t>Pipa PVC dia. 400 mm</t>
        </is>
      </c>
      <c r="D298" s="3" t="inlineStr">
        <is>
          <t>m'</t>
        </is>
      </c>
      <c r="E298" s="4" t="n">
        <v>336700</v>
      </c>
    </row>
    <row r="299">
      <c r="A299" s="3" t="n">
        <v/>
      </c>
      <c r="B299" s="3" t="n">
        <v/>
      </c>
      <c r="C299" s="3" t="inlineStr">
        <is>
          <t>Pipa PVC, DN. 16"
(400 mm)</t>
        </is>
      </c>
      <c r="D299" s="3" t="inlineStr">
        <is>
          <t>m'</t>
        </is>
      </c>
      <c r="E299" s="4" t="n">
        <v>337000</v>
      </c>
    </row>
    <row r="300">
      <c r="A300" s="3" t="n">
        <v/>
      </c>
      <c r="B300" s="3" t="n">
        <v/>
      </c>
      <c r="C300" s="3" t="inlineStr">
        <is>
          <t>Pipa PVC dia. 450 mm</t>
        </is>
      </c>
      <c r="D300" s="3" t="inlineStr">
        <is>
          <t>m'</t>
        </is>
      </c>
      <c r="E300" s="4" t="n">
        <v>368000</v>
      </c>
    </row>
    <row r="301">
      <c r="A301" s="3" t="n">
        <v/>
      </c>
      <c r="B301" s="3" t="n">
        <v/>
      </c>
      <c r="C301" s="3" t="inlineStr">
        <is>
          <t>Pipa PVC, DN. 18"
(450 mm)</t>
        </is>
      </c>
      <c r="D301" s="3" t="inlineStr">
        <is>
          <t>m'</t>
        </is>
      </c>
      <c r="E301" s="4" t="n">
        <v>369000</v>
      </c>
    </row>
    <row r="302">
      <c r="A302" s="3" t="n">
        <v/>
      </c>
      <c r="B302" s="3" t="n">
        <v/>
      </c>
      <c r="C302" s="3" t="inlineStr">
        <is>
          <t>Pipa PVC dia. 500 mm</t>
        </is>
      </c>
      <c r="D302" s="3" t="inlineStr">
        <is>
          <t>m'</t>
        </is>
      </c>
      <c r="E302" s="4" t="n">
        <v>398500</v>
      </c>
    </row>
    <row r="303">
      <c r="A303" s="3" t="n">
        <v/>
      </c>
      <c r="B303" s="3" t="n">
        <v/>
      </c>
      <c r="C303" s="3" t="inlineStr">
        <is>
          <t>Pipa PVC, DN. 20"
(500 mm)</t>
        </is>
      </c>
      <c r="D303" s="3" t="inlineStr">
        <is>
          <t>m'</t>
        </is>
      </c>
      <c r="E303" s="4" t="n">
        <v>399000</v>
      </c>
    </row>
    <row r="304">
      <c r="A304" s="3" t="n">
        <v/>
      </c>
      <c r="B304" s="3" t="n">
        <v/>
      </c>
      <c r="C304" s="3" t="inlineStr">
        <is>
          <t>Pipa PVC dia. 600 mm</t>
        </is>
      </c>
      <c r="D304" s="3" t="inlineStr">
        <is>
          <t>m'</t>
        </is>
      </c>
      <c r="E304" s="4" t="n">
        <v>425000</v>
      </c>
    </row>
    <row r="305">
      <c r="A305" s="3" t="n">
        <v/>
      </c>
      <c r="B305" s="3" t="n">
        <v/>
      </c>
      <c r="C305" s="3" t="inlineStr">
        <is>
          <t>Pipa PVC, DN. 24"
(600 mm)</t>
        </is>
      </c>
      <c r="D305" s="3" t="inlineStr">
        <is>
          <t>m'</t>
        </is>
      </c>
      <c r="E305" s="4" t="n">
        <v>426000</v>
      </c>
    </row>
    <row r="306">
      <c r="A306" s="3" t="n">
        <v/>
      </c>
      <c r="B306" s="3" t="n">
        <v/>
      </c>
      <c r="C306" s="3" t="inlineStr">
        <is>
          <t>Pipa PVC dia. 800 mm</t>
        </is>
      </c>
      <c r="D306" s="3" t="inlineStr">
        <is>
          <t>m'</t>
        </is>
      </c>
      <c r="E306" s="4" t="n">
        <v>487000</v>
      </c>
    </row>
    <row r="307">
      <c r="A307" s="3" t="n">
        <v/>
      </c>
      <c r="B307" s="3" t="n">
        <v/>
      </c>
      <c r="C307" s="3" t="inlineStr">
        <is>
          <t>Pipa PVC, DN. 32"
(800 mm</t>
        </is>
      </c>
      <c r="D307" s="3" t="inlineStr">
        <is>
          <t>m'</t>
        </is>
      </c>
      <c r="E307" s="4" t="n">
        <v>488000</v>
      </c>
    </row>
    <row r="308">
      <c r="A308" s="3" t="n">
        <v/>
      </c>
      <c r="B308" s="3" t="n">
        <v/>
      </c>
      <c r="C308" s="3" t="inlineStr">
        <is>
          <t>Pipa PVC dia. 900 mm</t>
        </is>
      </c>
      <c r="D308" s="3" t="inlineStr">
        <is>
          <t>m'</t>
        </is>
      </c>
      <c r="E308" s="4" t="n">
        <v>515000</v>
      </c>
    </row>
    <row r="309">
      <c r="A309" s="3" t="n">
        <v/>
      </c>
      <c r="B309" s="3" t="n">
        <v/>
      </c>
      <c r="C309" s="3" t="inlineStr">
        <is>
          <t>Pipa PVC, DN. 36"
(900 mm</t>
        </is>
      </c>
      <c r="D309" s="3" t="inlineStr">
        <is>
          <t>m'</t>
        </is>
      </c>
      <c r="E309" s="4" t="n">
        <v>516000</v>
      </c>
    </row>
    <row r="310">
      <c r="A310" s="3" t="n">
        <v/>
      </c>
      <c r="B310" s="3" t="n">
        <v/>
      </c>
      <c r="C310" s="3" t="inlineStr">
        <is>
          <t>Pipa PVC dia. 1000 mm</t>
        </is>
      </c>
      <c r="D310" s="3" t="inlineStr">
        <is>
          <t>m'</t>
        </is>
      </c>
      <c r="E310" s="4" t="n">
        <v>547000</v>
      </c>
    </row>
    <row r="311">
      <c r="A311" s="3" t="n">
        <v/>
      </c>
      <c r="B311" s="3" t="n">
        <v/>
      </c>
      <c r="C311" s="3" t="inlineStr">
        <is>
          <t>Pipa PVC, DN. 40"
(1000 mm)</t>
        </is>
      </c>
      <c r="D311" s="3" t="inlineStr">
        <is>
          <t>m'</t>
        </is>
      </c>
      <c r="E311" s="4" t="n">
        <v>548000</v>
      </c>
    </row>
    <row r="312">
      <c r="A312" s="3" t="n">
        <v/>
      </c>
      <c r="B312" s="3" t="n">
        <v/>
      </c>
      <c r="C312" s="3" t="inlineStr">
        <is>
          <t>Pipa PVC dia. 1100 mm</t>
        </is>
      </c>
      <c r="D312" s="3" t="inlineStr">
        <is>
          <t>m'</t>
        </is>
      </c>
      <c r="E312" s="4" t="n">
        <v>589000</v>
      </c>
    </row>
    <row r="313">
      <c r="A313" s="3" t="n">
        <v/>
      </c>
      <c r="B313" s="3" t="n">
        <v/>
      </c>
      <c r="C313" s="3" t="inlineStr">
        <is>
          <t>Pipa PVC, DN. 44"
(1100 mm)</t>
        </is>
      </c>
      <c r="D313" s="3" t="inlineStr">
        <is>
          <t>m'</t>
        </is>
      </c>
      <c r="E313" s="4" t="n">
        <v>590000</v>
      </c>
    </row>
    <row r="314">
      <c r="A314" s="3" t="n">
        <v/>
      </c>
      <c r="B314" s="3" t="n">
        <v/>
      </c>
      <c r="C314" s="3" t="inlineStr">
        <is>
          <t>Pipa PVC dia. 1200 mm</t>
        </is>
      </c>
      <c r="D314" s="3" t="inlineStr">
        <is>
          <t>m'</t>
        </is>
      </c>
      <c r="E314" s="4" t="n">
        <v>617000</v>
      </c>
    </row>
    <row r="315">
      <c r="A315" s="3" t="n">
        <v/>
      </c>
      <c r="B315" s="3" t="n">
        <v/>
      </c>
      <c r="C315" s="3" t="inlineStr">
        <is>
          <t>Pipa PVC, DN. 48"
(1200 mm)</t>
        </is>
      </c>
      <c r="D315" s="3" t="inlineStr">
        <is>
          <t>m'</t>
        </is>
      </c>
      <c r="E315" s="4" t="n">
        <v>618000</v>
      </c>
    </row>
    <row r="316">
      <c r="A316" s="3" t="n">
        <v/>
      </c>
      <c r="B316" s="3" t="n">
        <v/>
      </c>
      <c r="C316" s="3" t="inlineStr">
        <is>
          <t>Pipa PVC dia. 15 mm</t>
        </is>
      </c>
      <c r="D316" s="3" t="inlineStr">
        <is>
          <t>m'</t>
        </is>
      </c>
      <c r="E316" s="4" t="n">
        <v>5200</v>
      </c>
    </row>
    <row r="317">
      <c r="A317" s="3" t="n">
        <v/>
      </c>
      <c r="B317" s="3" t="n">
        <v/>
      </c>
      <c r="C317" s="3" t="inlineStr">
        <is>
          <t>Pipa PVC, DN. 1/2"
(15 mm)</t>
        </is>
      </c>
      <c r="D317" s="3" t="inlineStr">
        <is>
          <t>m'</t>
        </is>
      </c>
      <c r="E317" s="4" t="n">
        <v>5300</v>
      </c>
    </row>
    <row r="318">
      <c r="A318" s="3" t="n">
        <v/>
      </c>
      <c r="B318" s="3" t="n">
        <v/>
      </c>
      <c r="C318" s="3" t="inlineStr">
        <is>
          <t>Pipa PVC dia. 20 mm</t>
        </is>
      </c>
      <c r="D318" s="3" t="inlineStr">
        <is>
          <t>m'</t>
        </is>
      </c>
      <c r="E318" s="4" t="n">
        <v>7500</v>
      </c>
    </row>
    <row r="319">
      <c r="A319" s="3" t="n">
        <v/>
      </c>
      <c r="B319" s="3" t="n">
        <v/>
      </c>
      <c r="C319" s="3" t="inlineStr">
        <is>
          <t>Pipa PVC, DN. 3/4"
(20 mm)</t>
        </is>
      </c>
      <c r="D319" s="3" t="inlineStr">
        <is>
          <t>m'</t>
        </is>
      </c>
      <c r="E319" s="4" t="n">
        <v>7600</v>
      </c>
    </row>
    <row r="320">
      <c r="A320" s="3" t="n">
        <v/>
      </c>
      <c r="B320" s="3" t="n">
        <v/>
      </c>
      <c r="C320" s="3" t="inlineStr">
        <is>
          <t>Pipa PVC dia. 25 mm</t>
        </is>
      </c>
      <c r="D320" s="3" t="inlineStr">
        <is>
          <t>m'</t>
        </is>
      </c>
      <c r="E320" s="4" t="n">
        <v>8300</v>
      </c>
    </row>
    <row r="321">
      <c r="A321" s="3" t="n">
        <v/>
      </c>
      <c r="B321" s="3" t="n">
        <v/>
      </c>
      <c r="C321" s="3" t="inlineStr">
        <is>
          <t>Pipa PVC, DN. 1" (25 mm)</t>
        </is>
      </c>
      <c r="D321" s="3" t="inlineStr">
        <is>
          <t>m'</t>
        </is>
      </c>
      <c r="E321" s="4" t="n">
        <v>8400</v>
      </c>
    </row>
    <row r="322">
      <c r="A322" s="3" t="n">
        <v/>
      </c>
      <c r="B322" s="3" t="n">
        <v/>
      </c>
      <c r="C322" s="3" t="inlineStr">
        <is>
          <t>Pipa PVC dia. 32 mm</t>
        </is>
      </c>
      <c r="D322" s="3" t="inlineStr">
        <is>
          <t>m'</t>
        </is>
      </c>
      <c r="E322" s="4" t="n">
        <v>9700</v>
      </c>
    </row>
    <row r="323">
      <c r="A323" s="3" t="n">
        <v/>
      </c>
      <c r="B323" s="3" t="n">
        <v/>
      </c>
      <c r="C323" s="3" t="inlineStr">
        <is>
          <t>Pipa PVC, DN. 1-1/4"
(32 mm</t>
        </is>
      </c>
      <c r="D323" s="3" t="inlineStr">
        <is>
          <t>m'</t>
        </is>
      </c>
      <c r="E323" s="4" t="n">
        <v>10000</v>
      </c>
    </row>
    <row r="324">
      <c r="A324" s="3" t="n">
        <v/>
      </c>
      <c r="B324" s="3" t="n">
        <v/>
      </c>
      <c r="C324" s="3" t="inlineStr">
        <is>
          <t>Pipa PVC dia. 40 mm</t>
        </is>
      </c>
      <c r="D324" s="3" t="inlineStr">
        <is>
          <t>m'</t>
        </is>
      </c>
      <c r="E324" s="4" t="n">
        <v>10500</v>
      </c>
    </row>
    <row r="325">
      <c r="A325" s="3" t="n">
        <v/>
      </c>
      <c r="B325" s="3" t="n">
        <v/>
      </c>
      <c r="C325" s="3" t="inlineStr">
        <is>
          <t>Pipa PVC, DN. 1-1/2"
(40 mm)</t>
        </is>
      </c>
      <c r="D325" s="3" t="inlineStr">
        <is>
          <t>m'</t>
        </is>
      </c>
      <c r="E325" s="4" t="n">
        <v>10600</v>
      </c>
    </row>
    <row r="326">
      <c r="A326" s="3" t="n">
        <v/>
      </c>
      <c r="B326" s="3" t="n">
        <v/>
      </c>
      <c r="C326" s="3" t="inlineStr">
        <is>
          <t>Pipa PVC dia. 50 mm</t>
        </is>
      </c>
      <c r="D326" s="3" t="inlineStr">
        <is>
          <t>m'</t>
        </is>
      </c>
      <c r="E326" s="4" t="n">
        <v>13700</v>
      </c>
    </row>
    <row r="327">
      <c r="A327" s="3" t="n">
        <v/>
      </c>
      <c r="B327" s="3" t="n">
        <v/>
      </c>
      <c r="C327" s="3" t="inlineStr">
        <is>
          <t>Pipa PVC, DN. 2" (50 mm)</t>
        </is>
      </c>
      <c r="D327" s="3" t="inlineStr">
        <is>
          <t>m'</t>
        </is>
      </c>
      <c r="E327" s="4" t="n">
        <v>13800</v>
      </c>
    </row>
    <row r="328">
      <c r="A328" s="3" t="n">
        <v/>
      </c>
      <c r="B328" s="3" t="n">
        <v/>
      </c>
      <c r="C328" s="3" t="inlineStr">
        <is>
          <t>Pipa Galvanis dia. 63 mm</t>
        </is>
      </c>
      <c r="D328" s="3" t="inlineStr">
        <is>
          <t>m'</t>
        </is>
      </c>
      <c r="E328" s="4" t="n">
        <v>183333.3333333333</v>
      </c>
    </row>
    <row r="329">
      <c r="A329" s="3" t="n">
        <v/>
      </c>
      <c r="B329" s="3" t="n">
        <v/>
      </c>
      <c r="C329" s="3" t="inlineStr">
        <is>
          <t>Pipa Galvanis, DN. 2-
1/2" (65 mm)</t>
        </is>
      </c>
      <c r="D329" s="3" t="inlineStr">
        <is>
          <t>m'</t>
        </is>
      </c>
      <c r="E329" s="4" t="n">
        <v>185000</v>
      </c>
    </row>
    <row r="330">
      <c r="A330" s="3" t="n">
        <v/>
      </c>
      <c r="B330" s="3" t="n">
        <v/>
      </c>
      <c r="C330" s="3" t="inlineStr">
        <is>
          <t>Pipa Galvanis dia. 100 mm</t>
        </is>
      </c>
      <c r="D330" s="3" t="inlineStr">
        <is>
          <t>m'</t>
        </is>
      </c>
      <c r="E330" s="4" t="n">
        <v>309000</v>
      </c>
    </row>
    <row r="331">
      <c r="A331" s="3" t="n">
        <v/>
      </c>
      <c r="B331" s="3" t="n">
        <v/>
      </c>
      <c r="C331" s="3" t="inlineStr">
        <is>
          <t>Pipa Galvanis, DN. 4"
(100 mm)</t>
        </is>
      </c>
      <c r="D331" s="3" t="inlineStr">
        <is>
          <t>m'</t>
        </is>
      </c>
      <c r="E331" s="4" t="n">
        <v>310000</v>
      </c>
    </row>
    <row r="332">
      <c r="A332" s="3" t="n">
        <v/>
      </c>
      <c r="B332" s="3" t="n">
        <v/>
      </c>
      <c r="C332" s="3" t="inlineStr">
        <is>
          <t>Pipa Galvanis dia. 125 mm</t>
        </is>
      </c>
      <c r="D332" s="3" t="inlineStr">
        <is>
          <t>m'</t>
        </is>
      </c>
      <c r="E332" s="4" t="n">
        <v>435000</v>
      </c>
    </row>
    <row r="333">
      <c r="A333" s="3" t="n">
        <v/>
      </c>
      <c r="B333" s="3" t="n">
        <v/>
      </c>
      <c r="C333" s="3" t="inlineStr">
        <is>
          <t>Pipa Galvanis, DN. 5"
(125 mm)</t>
        </is>
      </c>
      <c r="D333" s="3" t="inlineStr">
        <is>
          <t>m'</t>
        </is>
      </c>
      <c r="E333" s="4" t="n">
        <v>436000</v>
      </c>
    </row>
    <row r="334">
      <c r="A334" s="3" t="n">
        <v/>
      </c>
      <c r="B334" s="3" t="n">
        <v/>
      </c>
      <c r="C334" s="3" t="inlineStr">
        <is>
          <t>Pipa Galvanis dia. 150 mm</t>
        </is>
      </c>
      <c r="D334" s="3" t="inlineStr">
        <is>
          <t>m'</t>
        </is>
      </c>
      <c r="E334" s="4" t="n">
        <v>395000</v>
      </c>
    </row>
    <row r="335">
      <c r="A335" s="3" t="n">
        <v/>
      </c>
      <c r="B335" s="3" t="n">
        <v/>
      </c>
      <c r="C335" s="3" t="inlineStr">
        <is>
          <t>Pipa Galvanis, DN. 6"
(150 mm)</t>
        </is>
      </c>
      <c r="D335" s="3" t="inlineStr">
        <is>
          <t>m'</t>
        </is>
      </c>
      <c r="E335" s="4" t="n">
        <v>396000</v>
      </c>
    </row>
    <row r="336">
      <c r="A336" s="3" t="n">
        <v/>
      </c>
      <c r="B336" s="3" t="n">
        <v/>
      </c>
      <c r="C336" s="3" t="inlineStr">
        <is>
          <t>Pipa Galvanis dia. 200 mm</t>
        </is>
      </c>
      <c r="D336" s="3" t="inlineStr">
        <is>
          <t>m'</t>
        </is>
      </c>
      <c r="E336" s="4" t="n">
        <v>417000</v>
      </c>
    </row>
    <row r="337">
      <c r="A337" s="3" t="n">
        <v/>
      </c>
      <c r="B337" s="3" t="n">
        <v/>
      </c>
      <c r="C337" s="3" t="inlineStr">
        <is>
          <t>Pipa Galvanis, DN. 8"
(200 mm)</t>
        </is>
      </c>
      <c r="D337" s="3" t="inlineStr">
        <is>
          <t>m'</t>
        </is>
      </c>
      <c r="E337" s="4" t="n">
        <v>418000</v>
      </c>
    </row>
    <row r="338">
      <c r="A338" s="3" t="n">
        <v/>
      </c>
      <c r="B338" s="3" t="n">
        <v/>
      </c>
      <c r="C338" s="3" t="inlineStr">
        <is>
          <t>Pipa Galvanis dia. 250 mm</t>
        </is>
      </c>
      <c r="D338" s="3" t="inlineStr">
        <is>
          <t>m'</t>
        </is>
      </c>
      <c r="E338" s="4" t="n">
        <v>467000</v>
      </c>
    </row>
    <row r="339">
      <c r="A339" s="3" t="n">
        <v/>
      </c>
      <c r="B339" s="3" t="n">
        <v/>
      </c>
      <c r="C339" s="3" t="inlineStr">
        <is>
          <t>Pipa Galvanis,
DN.10" (250 mm)</t>
        </is>
      </c>
      <c r="D339" s="3" t="inlineStr">
        <is>
          <t>m'</t>
        </is>
      </c>
      <c r="E339" s="4" t="n">
        <v>468000</v>
      </c>
    </row>
    <row r="340">
      <c r="A340" s="3" t="n">
        <v/>
      </c>
      <c r="B340" s="3" t="n">
        <v/>
      </c>
      <c r="C340" s="3" t="inlineStr">
        <is>
          <t>Pipa Galvanis dia. 300 mm</t>
        </is>
      </c>
      <c r="D340" s="3" t="inlineStr">
        <is>
          <t>m'</t>
        </is>
      </c>
      <c r="E340" s="4" t="n">
        <v>512000</v>
      </c>
    </row>
    <row r="341">
      <c r="A341" s="3" t="n">
        <v/>
      </c>
      <c r="B341" s="3" t="n">
        <v/>
      </c>
      <c r="C341" s="3" t="inlineStr">
        <is>
          <t>Pipa Galvanis, DN. 12"
(300 mm</t>
        </is>
      </c>
      <c r="D341" s="3" t="inlineStr">
        <is>
          <t>m'</t>
        </is>
      </c>
      <c r="E341" s="4" t="n">
        <v>513000</v>
      </c>
    </row>
    <row r="342">
      <c r="A342" s="3" t="n">
        <v/>
      </c>
      <c r="B342" s="3" t="n">
        <v/>
      </c>
      <c r="C342" s="3" t="inlineStr">
        <is>
          <t>Pipa Galvanis dia. 400 mm</t>
        </is>
      </c>
      <c r="D342" s="3" t="inlineStr">
        <is>
          <t>m'</t>
        </is>
      </c>
      <c r="E342" s="4" t="n">
        <v>593000</v>
      </c>
    </row>
    <row r="343">
      <c r="A343" s="3" t="n">
        <v/>
      </c>
      <c r="B343" s="3" t="n">
        <v/>
      </c>
      <c r="C343" s="3" t="inlineStr">
        <is>
          <t>Pipa Galvanis, DN. 16"
(400 mm)</t>
        </is>
      </c>
      <c r="D343" s="3" t="inlineStr">
        <is>
          <t>m'</t>
        </is>
      </c>
      <c r="E343" s="4" t="n">
        <v>594000</v>
      </c>
    </row>
    <row r="344">
      <c r="A344" s="3" t="n">
        <v/>
      </c>
      <c r="B344" s="3" t="n">
        <v/>
      </c>
      <c r="C344" s="3" t="inlineStr">
        <is>
          <t>Pipa Galvanis dia. 450 mm</t>
        </is>
      </c>
      <c r="D344" s="3" t="inlineStr">
        <is>
          <t>m'</t>
        </is>
      </c>
      <c r="E344" s="4" t="n">
        <v>612000</v>
      </c>
    </row>
    <row r="345">
      <c r="A345" s="3" t="n">
        <v/>
      </c>
      <c r="B345" s="3" t="n">
        <v/>
      </c>
      <c r="C345" s="3" t="inlineStr">
        <is>
          <t>Pipa Galvanis, DN. 18"
(450 mm</t>
        </is>
      </c>
      <c r="D345" s="3" t="inlineStr">
        <is>
          <t>m'</t>
        </is>
      </c>
      <c r="E345" s="4" t="n">
        <v>61300</v>
      </c>
    </row>
    <row r="346">
      <c r="A346" s="3" t="n">
        <v/>
      </c>
      <c r="B346" s="3" t="n">
        <v/>
      </c>
      <c r="C346" s="3" t="inlineStr">
        <is>
          <t>Pipa Galvanis dia. 500 mm</t>
        </is>
      </c>
      <c r="D346" s="3" t="inlineStr">
        <is>
          <t>m'</t>
        </is>
      </c>
      <c r="E346" s="4" t="n">
        <v>655000</v>
      </c>
    </row>
    <row r="347">
      <c r="A347" s="3" t="n">
        <v/>
      </c>
      <c r="B347" s="3" t="n">
        <v/>
      </c>
      <c r="C347" s="3" t="inlineStr">
        <is>
          <t>Pipa Galvanis, DN. 20"
(500 mm)</t>
        </is>
      </c>
      <c r="D347" s="3" t="inlineStr">
        <is>
          <t>m'</t>
        </is>
      </c>
      <c r="E347" s="4" t="n">
        <v>656000</v>
      </c>
    </row>
    <row r="348">
      <c r="A348" s="3" t="n">
        <v/>
      </c>
      <c r="B348" s="3" t="n">
        <v/>
      </c>
      <c r="C348" s="3" t="inlineStr">
        <is>
          <t>Pipa Galvanis dia. 600 mm</t>
        </is>
      </c>
      <c r="D348" s="3" t="inlineStr">
        <is>
          <t>m'</t>
        </is>
      </c>
      <c r="E348" s="4" t="n">
        <v>697000</v>
      </c>
    </row>
    <row r="349">
      <c r="A349" s="3" t="n">
        <v/>
      </c>
      <c r="B349" s="3" t="n">
        <v/>
      </c>
      <c r="C349" s="3" t="inlineStr">
        <is>
          <t>Pipa Galvanis, DN. 24" (600 mm)</t>
        </is>
      </c>
      <c r="D349" s="3" t="inlineStr">
        <is>
          <t>m'</t>
        </is>
      </c>
      <c r="E349" s="4" t="n">
        <v>698000</v>
      </c>
    </row>
    <row r="350">
      <c r="A350" s="3" t="n">
        <v/>
      </c>
      <c r="B350" s="3" t="n">
        <v/>
      </c>
      <c r="C350" s="3" t="inlineStr">
        <is>
          <t>Pipa Galvanis dia. 800 mm</t>
        </is>
      </c>
      <c r="D350" s="3" t="inlineStr">
        <is>
          <t>m'</t>
        </is>
      </c>
      <c r="E350" s="4" t="n">
        <v>715000</v>
      </c>
    </row>
    <row r="351">
      <c r="A351" s="3" t="n">
        <v/>
      </c>
      <c r="B351" s="3" t="n">
        <v/>
      </c>
      <c r="C351" s="3" t="inlineStr">
        <is>
          <t>Pipa Galvanis, DN. 32" (800 mm)</t>
        </is>
      </c>
      <c r="D351" s="3" t="inlineStr">
        <is>
          <t>m'</t>
        </is>
      </c>
      <c r="E351" s="4" t="n">
        <v>716000</v>
      </c>
    </row>
    <row r="352">
      <c r="A352" s="3" t="n">
        <v/>
      </c>
      <c r="B352" s="3" t="n">
        <v/>
      </c>
      <c r="C352" s="3" t="inlineStr">
        <is>
          <t>Pipa Galvanis dia. 900 mm</t>
        </is>
      </c>
      <c r="D352" s="3" t="inlineStr">
        <is>
          <t>m'</t>
        </is>
      </c>
      <c r="E352" s="4" t="n">
        <v>756000</v>
      </c>
    </row>
    <row r="353">
      <c r="A353" s="3" t="n">
        <v/>
      </c>
      <c r="B353" s="3" t="n">
        <v/>
      </c>
      <c r="C353" s="3" t="inlineStr">
        <is>
          <t>Pipa Galvanis, DN. 36" (900 mm)</t>
        </is>
      </c>
      <c r="D353" s="3" t="inlineStr">
        <is>
          <t>m'</t>
        </is>
      </c>
      <c r="E353" s="4" t="n">
        <v>757000</v>
      </c>
    </row>
    <row r="354">
      <c r="A354" s="3" t="n">
        <v/>
      </c>
      <c r="B354" s="3" t="n">
        <v/>
      </c>
      <c r="C354" s="3" t="inlineStr">
        <is>
          <t>Pipa Galvanis dia. 1000 mm</t>
        </is>
      </c>
      <c r="D354" s="3" t="inlineStr">
        <is>
          <t>m'</t>
        </is>
      </c>
      <c r="E354" s="4" t="n">
        <v>799000</v>
      </c>
    </row>
    <row r="355">
      <c r="A355" s="3" t="n">
        <v/>
      </c>
      <c r="B355" s="3" t="n">
        <v/>
      </c>
      <c r="C355" s="3" t="inlineStr">
        <is>
          <t>Pipa Galvanis,
DN. 40" (1000 mm)</t>
        </is>
      </c>
      <c r="D355" s="3" t="inlineStr">
        <is>
          <t>m'</t>
        </is>
      </c>
      <c r="E355" s="4" t="n">
        <v>780000</v>
      </c>
    </row>
    <row r="356">
      <c r="A356" s="3" t="n">
        <v/>
      </c>
      <c r="B356" s="3" t="n">
        <v/>
      </c>
      <c r="C356" s="3" t="inlineStr">
        <is>
          <t>Pipa Galvanis dia. 1100 mm</t>
        </is>
      </c>
      <c r="D356" s="3" t="inlineStr">
        <is>
          <t>m'</t>
        </is>
      </c>
      <c r="E356" s="4" t="n">
        <v>830000</v>
      </c>
    </row>
    <row r="357">
      <c r="A357" s="3" t="n">
        <v/>
      </c>
      <c r="B357" s="3" t="n">
        <v/>
      </c>
      <c r="C357" s="3" t="inlineStr">
        <is>
          <t>Pipa Galvanis,
DN. 44" (1100 mm)</t>
        </is>
      </c>
      <c r="D357" s="3" t="inlineStr">
        <is>
          <t>m'</t>
        </is>
      </c>
      <c r="E357" s="4" t="n">
        <v>831000</v>
      </c>
    </row>
    <row r="358">
      <c r="A358" s="3" t="n">
        <v/>
      </c>
      <c r="B358" s="3" t="n">
        <v/>
      </c>
      <c r="C358" s="3" t="inlineStr">
        <is>
          <t>Pipa Galvanis dia. 1200 mm</t>
        </is>
      </c>
      <c r="D358" s="3" t="inlineStr">
        <is>
          <t>m'</t>
        </is>
      </c>
      <c r="E358" s="4" t="n">
        <v>867000</v>
      </c>
    </row>
    <row r="359">
      <c r="A359" s="3" t="n">
        <v/>
      </c>
      <c r="B359" s="3" t="n">
        <v/>
      </c>
      <c r="C359" s="3" t="inlineStr">
        <is>
          <t>Pipa Galvanis,
DN. 48" (1200 mm</t>
        </is>
      </c>
      <c r="D359" s="3" t="inlineStr">
        <is>
          <t>m'</t>
        </is>
      </c>
      <c r="E359" s="4" t="n">
        <v>868000</v>
      </c>
    </row>
    <row r="360">
      <c r="A360" s="3" t="n">
        <v/>
      </c>
      <c r="B360" s="3" t="n">
        <v/>
      </c>
      <c r="C360" s="3" t="inlineStr">
        <is>
          <t>Pipa Galvanis dia. 15 mm</t>
        </is>
      </c>
      <c r="D360" s="3" t="inlineStr">
        <is>
          <t>m'</t>
        </is>
      </c>
      <c r="E360" s="4" t="n">
        <v>51000</v>
      </c>
    </row>
    <row r="361">
      <c r="A361" s="3" t="n">
        <v/>
      </c>
      <c r="B361" s="3" t="n">
        <v/>
      </c>
      <c r="C361" s="3" t="inlineStr">
        <is>
          <t>Pipa Galvanis,
DN. 1/2" (15 mm)</t>
        </is>
      </c>
      <c r="D361" s="3" t="inlineStr">
        <is>
          <t>m'</t>
        </is>
      </c>
      <c r="E361" s="4" t="n">
        <v>52000</v>
      </c>
    </row>
    <row r="362">
      <c r="A362" s="3" t="n">
        <v/>
      </c>
      <c r="B362" s="3" t="n">
        <v/>
      </c>
      <c r="C362" s="3" t="inlineStr">
        <is>
          <t>Pipa Galvanis dia. 20 mm</t>
        </is>
      </c>
      <c r="D362" s="3" t="inlineStr">
        <is>
          <t>m'</t>
        </is>
      </c>
      <c r="E362" s="4" t="n">
        <v>67000</v>
      </c>
    </row>
    <row r="363">
      <c r="A363" s="3" t="n">
        <v/>
      </c>
      <c r="B363" s="3" t="n">
        <v/>
      </c>
      <c r="C363" s="3" t="inlineStr">
        <is>
          <t>Pipa Galvanis,
DN. 3/4" (20 mm)</t>
        </is>
      </c>
      <c r="D363" s="3" t="inlineStr">
        <is>
          <t>m'</t>
        </is>
      </c>
      <c r="E363" s="4" t="n">
        <v>68000</v>
      </c>
    </row>
    <row r="364">
      <c r="A364" s="3" t="n">
        <v/>
      </c>
      <c r="B364" s="3" t="n">
        <v/>
      </c>
      <c r="C364" s="3" t="inlineStr">
        <is>
          <t>Pipa Galvanis dia. 25 mm</t>
        </is>
      </c>
      <c r="D364" s="3" t="inlineStr">
        <is>
          <t>m'</t>
        </is>
      </c>
      <c r="E364" s="4" t="n">
        <v>71000</v>
      </c>
    </row>
    <row r="365">
      <c r="A365" s="3" t="n">
        <v/>
      </c>
      <c r="B365" s="3" t="n">
        <v/>
      </c>
      <c r="C365" s="3" t="inlineStr">
        <is>
          <t>Pipa Galvanis, DN. 1"
(25 mm)</t>
        </is>
      </c>
      <c r="D365" s="3" t="inlineStr">
        <is>
          <t>m'</t>
        </is>
      </c>
      <c r="E365" s="4" t="n">
        <v>72000</v>
      </c>
    </row>
    <row r="366">
      <c r="A366" s="3" t="n">
        <v/>
      </c>
      <c r="B366" s="3" t="n">
        <v/>
      </c>
      <c r="C366" s="3" t="inlineStr">
        <is>
          <t>Pipa Galvanis dia. 32 mm</t>
        </is>
      </c>
      <c r="D366" s="3" t="inlineStr">
        <is>
          <t>m'</t>
        </is>
      </c>
      <c r="E366" s="4" t="n">
        <v>79000</v>
      </c>
    </row>
    <row r="367">
      <c r="A367" s="3" t="n">
        <v/>
      </c>
      <c r="B367" s="3" t="n">
        <v/>
      </c>
      <c r="C367" s="3" t="inlineStr">
        <is>
          <t>Pipa Galvanis,
DN. 1-1/4" (32 mm)</t>
        </is>
      </c>
      <c r="D367" s="3" t="inlineStr">
        <is>
          <t>m'</t>
        </is>
      </c>
      <c r="E367" s="4" t="n">
        <v>80000</v>
      </c>
    </row>
    <row r="368">
      <c r="A368" s="3" t="n">
        <v/>
      </c>
      <c r="B368" s="3" t="n">
        <v/>
      </c>
      <c r="C368" s="3" t="inlineStr">
        <is>
          <t>Pipa Galvanis dia. 40 mm</t>
        </is>
      </c>
      <c r="D368" s="3" t="inlineStr">
        <is>
          <t>m'</t>
        </is>
      </c>
      <c r="E368" s="4" t="n">
        <v>86000</v>
      </c>
    </row>
    <row r="369">
      <c r="A369" s="3" t="n">
        <v/>
      </c>
      <c r="B369" s="3" t="n">
        <v/>
      </c>
      <c r="C369" s="3" t="inlineStr">
        <is>
          <t>Pipa Galvanis,
DN. 1-1/2" (40 mm)</t>
        </is>
      </c>
      <c r="D369" s="3" t="inlineStr">
        <is>
          <t>m'</t>
        </is>
      </c>
      <c r="E369" s="4" t="n">
        <v>87000</v>
      </c>
    </row>
    <row r="370">
      <c r="A370" s="3" t="n">
        <v/>
      </c>
      <c r="B370" s="3" t="n">
        <v/>
      </c>
      <c r="C370" s="3" t="inlineStr">
        <is>
          <t>Pipa Galvanis dia. 50 mm</t>
        </is>
      </c>
      <c r="D370" s="3" t="inlineStr">
        <is>
          <t>m'</t>
        </is>
      </c>
      <c r="E370" s="4" t="n">
        <v>94000</v>
      </c>
    </row>
    <row r="371">
      <c r="A371" s="3" t="n">
        <v/>
      </c>
      <c r="B371" s="3" t="n">
        <v/>
      </c>
      <c r="C371" s="3" t="inlineStr">
        <is>
          <t>Pipa Galvanis, DN. 2"
(50 mm</t>
        </is>
      </c>
      <c r="D371" s="3" t="inlineStr">
        <is>
          <t>m'</t>
        </is>
      </c>
      <c r="E371" s="4" t="n">
        <v>95000</v>
      </c>
    </row>
    <row r="372">
      <c r="A372" s="3" t="n">
        <v/>
      </c>
      <c r="B372" s="3" t="n">
        <v/>
      </c>
      <c r="C372" s="3" t="inlineStr">
        <is>
          <t>Pipa Galvanis, DN. 25" (650 mm)</t>
        </is>
      </c>
      <c r="D372" s="3" t="inlineStr">
        <is>
          <t>m'</t>
        </is>
      </c>
      <c r="E372" s="4" t="n">
        <v>700000</v>
      </c>
    </row>
    <row r="373">
      <c r="A373" s="3" t="n">
        <v/>
      </c>
      <c r="B373" s="3" t="n">
        <v/>
      </c>
      <c r="C373" s="3" t="inlineStr">
        <is>
          <t>Pipa Galvanis, DN. 30" (700 mm)</t>
        </is>
      </c>
      <c r="D373" s="3" t="inlineStr">
        <is>
          <t>m'</t>
        </is>
      </c>
      <c r="E373" s="4" t="n">
        <v>750000</v>
      </c>
    </row>
    <row r="374">
      <c r="A374" s="3" t="n">
        <v/>
      </c>
      <c r="B374" s="3" t="n">
        <v/>
      </c>
      <c r="C374" s="3" t="inlineStr">
        <is>
          <t>Pipa Galvanis, DN. 40" (1050 mm)</t>
        </is>
      </c>
      <c r="D374" s="3" t="inlineStr">
        <is>
          <t>m'</t>
        </is>
      </c>
      <c r="E374" s="4" t="n">
        <v>800000</v>
      </c>
    </row>
    <row r="375">
      <c r="A375" s="3" t="n">
        <v/>
      </c>
      <c r="B375" s="3" t="n">
        <v/>
      </c>
      <c r="C375" s="3" t="inlineStr">
        <is>
          <t>Pipa Galvanis, DN. 45" (1150 mm)</t>
        </is>
      </c>
      <c r="D375" s="3" t="inlineStr">
        <is>
          <t>m'</t>
        </is>
      </c>
      <c r="E375" s="4" t="n">
        <v>850000</v>
      </c>
    </row>
    <row r="376">
      <c r="A376" s="3" t="n">
        <v/>
      </c>
      <c r="B376" s="3" t="n">
        <v/>
      </c>
      <c r="C376" s="3" t="inlineStr">
        <is>
          <t>Pipa HDPE dia. 63 mm</t>
        </is>
      </c>
      <c r="D376" s="3" t="inlineStr">
        <is>
          <t>m'</t>
        </is>
      </c>
      <c r="E376" s="4" t="n">
        <v>24700</v>
      </c>
    </row>
    <row r="377">
      <c r="A377" s="3" t="n">
        <v/>
      </c>
      <c r="B377" s="3" t="n">
        <v/>
      </c>
      <c r="C377" s="3" t="inlineStr">
        <is>
          <t>Pipa HDPE, DN. 2-1/2"
(65 mm)</t>
        </is>
      </c>
      <c r="D377" s="3" t="inlineStr">
        <is>
          <t>m'</t>
        </is>
      </c>
      <c r="E377" s="4" t="n">
        <v>25000</v>
      </c>
    </row>
    <row r="378">
      <c r="A378" s="3" t="n">
        <v/>
      </c>
      <c r="B378" s="3" t="n">
        <v/>
      </c>
      <c r="C378" s="3" t="inlineStr">
        <is>
          <t>Pipa HDPE dia. 100 mm</t>
        </is>
      </c>
      <c r="D378" s="3" t="inlineStr">
        <is>
          <t>m'</t>
        </is>
      </c>
      <c r="E378" s="4" t="n">
        <v>49000</v>
      </c>
    </row>
    <row r="379">
      <c r="A379" s="3" t="n">
        <v/>
      </c>
      <c r="B379" s="3" t="n">
        <v/>
      </c>
      <c r="C379" s="3" t="inlineStr">
        <is>
          <t>Pipa HDPE, DN. 4"
(100 mm)</t>
        </is>
      </c>
      <c r="D379" s="3" t="inlineStr">
        <is>
          <t>m'</t>
        </is>
      </c>
      <c r="E379" s="4" t="n">
        <v>50000</v>
      </c>
    </row>
    <row r="380">
      <c r="A380" s="3" t="n">
        <v/>
      </c>
      <c r="B380" s="3" t="n">
        <v/>
      </c>
      <c r="C380" s="3" t="inlineStr">
        <is>
          <t>Pipa HDPE dia. 125 mm</t>
        </is>
      </c>
      <c r="D380" s="3" t="inlineStr">
        <is>
          <t>m'</t>
        </is>
      </c>
      <c r="E380" s="4" t="n">
        <v>57000</v>
      </c>
    </row>
    <row r="381">
      <c r="A381" s="3" t="n">
        <v/>
      </c>
      <c r="B381" s="3" t="n">
        <v/>
      </c>
      <c r="C381" s="3" t="inlineStr">
        <is>
          <t>Pipa HDPE, DN. 5"
(125 mm)</t>
        </is>
      </c>
      <c r="D381" s="3" t="inlineStr">
        <is>
          <t>m'</t>
        </is>
      </c>
      <c r="E381" s="4" t="n">
        <v>58000</v>
      </c>
    </row>
    <row r="382">
      <c r="A382" s="3" t="n">
        <v/>
      </c>
      <c r="B382" s="3" t="n">
        <v/>
      </c>
      <c r="C382" s="3" t="inlineStr">
        <is>
          <t>Pipa HDPE dia. 150 mm</t>
        </is>
      </c>
      <c r="D382" s="3" t="inlineStr">
        <is>
          <t>m'</t>
        </is>
      </c>
      <c r="E382" s="4" t="n">
        <v>63000</v>
      </c>
    </row>
    <row r="383">
      <c r="A383" s="3" t="n">
        <v/>
      </c>
      <c r="B383" s="3" t="n">
        <v/>
      </c>
      <c r="C383" s="3" t="inlineStr">
        <is>
          <t>Pipa HDPE, DN. 6"
(150 mm</t>
        </is>
      </c>
      <c r="D383" s="3" t="inlineStr">
        <is>
          <t>m'</t>
        </is>
      </c>
      <c r="E383" s="4" t="n">
        <v>64000</v>
      </c>
    </row>
    <row r="384">
      <c r="A384" s="3" t="n">
        <v/>
      </c>
      <c r="B384" s="3" t="n">
        <v/>
      </c>
      <c r="C384" s="3" t="inlineStr">
        <is>
          <t>Pipa HDPE dia. 200 mm</t>
        </is>
      </c>
      <c r="D384" s="3" t="inlineStr">
        <is>
          <t>m'</t>
        </is>
      </c>
      <c r="E384" s="4" t="n">
        <v>74000</v>
      </c>
    </row>
    <row r="385">
      <c r="A385" s="3" t="n">
        <v/>
      </c>
      <c r="B385" s="3" t="n">
        <v/>
      </c>
      <c r="C385" s="3" t="inlineStr">
        <is>
          <t>Pipa HDPE, DN. 8"
(200 mm)</t>
        </is>
      </c>
      <c r="D385" s="3" t="inlineStr">
        <is>
          <t>m'</t>
        </is>
      </c>
      <c r="E385" s="4" t="n">
        <v>75000</v>
      </c>
    </row>
    <row r="386">
      <c r="A386" s="3" t="n">
        <v/>
      </c>
      <c r="B386" s="3" t="n">
        <v/>
      </c>
      <c r="C386" s="3" t="inlineStr">
        <is>
          <t>Pipa HDPE dia. 250 mm</t>
        </is>
      </c>
      <c r="D386" s="3" t="inlineStr">
        <is>
          <t>m'</t>
        </is>
      </c>
      <c r="E386" s="4" t="n">
        <v>81000</v>
      </c>
    </row>
    <row r="387">
      <c r="A387" s="3" t="n">
        <v/>
      </c>
      <c r="B387" s="3" t="n">
        <v/>
      </c>
      <c r="C387" s="3" t="inlineStr">
        <is>
          <t>Pipa HDPE, DN.10"
(250 mm)</t>
        </is>
      </c>
      <c r="D387" s="3" t="inlineStr">
        <is>
          <t>m'</t>
        </is>
      </c>
      <c r="E387" s="4" t="n">
        <v>82000</v>
      </c>
    </row>
    <row r="388">
      <c r="A388" s="3" t="n">
        <v/>
      </c>
      <c r="B388" s="3" t="n">
        <v/>
      </c>
      <c r="C388" s="3" t="inlineStr">
        <is>
          <t>Pipa HDPE dia. 300 mm</t>
        </is>
      </c>
      <c r="D388" s="3" t="inlineStr">
        <is>
          <t>m'</t>
        </is>
      </c>
      <c r="E388" s="4" t="n">
        <v>93000</v>
      </c>
    </row>
    <row r="389">
      <c r="A389" s="3" t="n">
        <v/>
      </c>
      <c r="B389" s="3" t="n">
        <v/>
      </c>
      <c r="C389" s="3" t="inlineStr">
        <is>
          <t>Pipa HDPE, DN. 12"
(300 mm</t>
        </is>
      </c>
      <c r="D389" s="3" t="inlineStr">
        <is>
          <t>m'</t>
        </is>
      </c>
      <c r="E389" s="4" t="n">
        <v>94000</v>
      </c>
    </row>
    <row r="390">
      <c r="A390" s="3" t="n">
        <v/>
      </c>
      <c r="B390" s="3" t="n">
        <v/>
      </c>
      <c r="C390" s="3" t="inlineStr">
        <is>
          <t>Pipa HDPE dia. 400 mm</t>
        </is>
      </c>
      <c r="D390" s="3" t="inlineStr">
        <is>
          <t>m'</t>
        </is>
      </c>
      <c r="E390" s="4" t="n">
        <v>101000</v>
      </c>
    </row>
    <row r="391">
      <c r="A391" s="3" t="n">
        <v/>
      </c>
      <c r="B391" s="3" t="n">
        <v/>
      </c>
      <c r="C391" s="3" t="inlineStr">
        <is>
          <t>Pipa HDPE, DN. 16"
(400 mm)</t>
        </is>
      </c>
      <c r="D391" s="3" t="inlineStr">
        <is>
          <t>m'</t>
        </is>
      </c>
      <c r="E391" s="4" t="n">
        <v>102000</v>
      </c>
    </row>
    <row r="392">
      <c r="A392" s="3" t="n">
        <v/>
      </c>
      <c r="B392" s="3" t="n">
        <v/>
      </c>
      <c r="C392" s="3" t="inlineStr">
        <is>
          <t>Pipa HDPE dia. 450 mm</t>
        </is>
      </c>
      <c r="D392" s="3" t="inlineStr">
        <is>
          <t>m'</t>
        </is>
      </c>
      <c r="E392" s="4" t="n">
        <v>123000</v>
      </c>
    </row>
    <row r="393">
      <c r="A393" s="3" t="n">
        <v/>
      </c>
      <c r="B393" s="3" t="n">
        <v/>
      </c>
      <c r="C393" s="3" t="inlineStr">
        <is>
          <t>Pipa HDPE, DN. 18"
(450 mm)</t>
        </is>
      </c>
      <c r="D393" s="3" t="inlineStr">
        <is>
          <t>m'</t>
        </is>
      </c>
      <c r="E393" s="4" t="n">
        <v>124000</v>
      </c>
    </row>
    <row r="394">
      <c r="A394" s="3" t="n">
        <v/>
      </c>
      <c r="B394" s="3" t="n">
        <v/>
      </c>
      <c r="C394" s="3" t="inlineStr">
        <is>
          <t>Pipa HDPE dia. 500 mm</t>
        </is>
      </c>
      <c r="D394" s="3" t="inlineStr">
        <is>
          <t>m'</t>
        </is>
      </c>
      <c r="E394" s="4" t="n">
        <v>142000</v>
      </c>
    </row>
    <row r="395">
      <c r="A395" s="3" t="n">
        <v/>
      </c>
      <c r="B395" s="3" t="n">
        <v/>
      </c>
      <c r="C395" s="3" t="inlineStr">
        <is>
          <t>Pipa HDPE, DN. 20"
(500 mm)</t>
        </is>
      </c>
      <c r="D395" s="3" t="inlineStr">
        <is>
          <t>m'</t>
        </is>
      </c>
      <c r="E395" s="4" t="n">
        <v>143000</v>
      </c>
    </row>
    <row r="396">
      <c r="A396" s="3" t="n">
        <v/>
      </c>
      <c r="B396" s="3" t="n">
        <v/>
      </c>
      <c r="C396" s="3" t="inlineStr">
        <is>
          <t>Pipa HDPE dia. 600 mm</t>
        </is>
      </c>
      <c r="D396" s="3" t="inlineStr">
        <is>
          <t>m'</t>
        </is>
      </c>
      <c r="E396" s="4" t="n">
        <v>156000</v>
      </c>
    </row>
    <row r="397">
      <c r="A397" s="3" t="n">
        <v/>
      </c>
      <c r="B397" s="3" t="n">
        <v/>
      </c>
      <c r="C397" s="3" t="inlineStr">
        <is>
          <t>Pipa HDPE, DN. 24"
(600 mm</t>
        </is>
      </c>
      <c r="D397" s="3" t="inlineStr">
        <is>
          <t>m'</t>
        </is>
      </c>
      <c r="E397" s="4" t="n">
        <v>157000</v>
      </c>
    </row>
    <row r="398">
      <c r="A398" s="3" t="n">
        <v/>
      </c>
      <c r="B398" s="3" t="n">
        <v/>
      </c>
      <c r="C398" s="3" t="inlineStr">
        <is>
          <t>Pipa HDPE dia. 800 mm</t>
        </is>
      </c>
      <c r="D398" s="3" t="inlineStr">
        <is>
          <t>m'</t>
        </is>
      </c>
      <c r="E398" s="4" t="n">
        <v>164000</v>
      </c>
    </row>
    <row r="399">
      <c r="A399" s="3" t="n">
        <v/>
      </c>
      <c r="B399" s="3" t="n">
        <v/>
      </c>
      <c r="C399" s="3" t="inlineStr">
        <is>
          <t>Pipa HDPE, DN. 32"
(800 mm)</t>
        </is>
      </c>
      <c r="D399" s="3" t="inlineStr">
        <is>
          <t>m'</t>
        </is>
      </c>
      <c r="E399" s="4" t="n">
        <v>165000</v>
      </c>
    </row>
    <row r="400">
      <c r="A400" s="3" t="n">
        <v/>
      </c>
      <c r="B400" s="3" t="n">
        <v/>
      </c>
      <c r="C400" s="3" t="inlineStr">
        <is>
          <t>Pipa HDPE dia. 900 mm</t>
        </is>
      </c>
      <c r="D400" s="3" t="inlineStr">
        <is>
          <t>m'</t>
        </is>
      </c>
      <c r="E400" s="4" t="n">
        <v>172000</v>
      </c>
    </row>
    <row r="401">
      <c r="A401" s="3" t="n">
        <v/>
      </c>
      <c r="B401" s="3" t="n">
        <v/>
      </c>
      <c r="C401" s="3" t="inlineStr">
        <is>
          <t>Pipa HDPE, DN. 36"
(900 mm)</t>
        </is>
      </c>
      <c r="D401" s="3" t="inlineStr">
        <is>
          <t>m'</t>
        </is>
      </c>
      <c r="E401" s="4" t="n">
        <v>173000</v>
      </c>
    </row>
    <row r="402">
      <c r="A402" s="3" t="n">
        <v/>
      </c>
      <c r="B402" s="3" t="n">
        <v/>
      </c>
      <c r="C402" s="3" t="inlineStr">
        <is>
          <t>Pipa HDPE dia. 1000 mm</t>
        </is>
      </c>
      <c r="D402" s="3" t="inlineStr">
        <is>
          <t>m'</t>
        </is>
      </c>
      <c r="E402" s="4" t="n">
        <v>186000</v>
      </c>
    </row>
    <row r="403">
      <c r="A403" s="3" t="n">
        <v/>
      </c>
      <c r="B403" s="3" t="n">
        <v/>
      </c>
      <c r="C403" s="3" t="inlineStr">
        <is>
          <t>Pipa HDPE, DN. 40"
(1000 mm)</t>
        </is>
      </c>
      <c r="D403" s="3" t="inlineStr">
        <is>
          <t>m'</t>
        </is>
      </c>
      <c r="E403" s="4" t="n">
        <v>187000</v>
      </c>
    </row>
    <row r="404">
      <c r="A404" s="3" t="n">
        <v/>
      </c>
      <c r="B404" s="3" t="n">
        <v/>
      </c>
      <c r="C404" s="3" t="inlineStr">
        <is>
          <t>Pipa HDPE dia. 1100 mm</t>
        </is>
      </c>
      <c r="D404" s="3" t="inlineStr">
        <is>
          <t>m'</t>
        </is>
      </c>
      <c r="E404" s="4" t="n">
        <v>197000</v>
      </c>
    </row>
    <row r="405">
      <c r="A405" s="3" t="n">
        <v/>
      </c>
      <c r="B405" s="3" t="n">
        <v/>
      </c>
      <c r="C405" s="3" t="inlineStr">
        <is>
          <t>Pipa HDPE, DN. 44"
(1100 mm)</t>
        </is>
      </c>
      <c r="D405" s="3" t="inlineStr">
        <is>
          <t>m'</t>
        </is>
      </c>
      <c r="E405" s="4" t="n">
        <v>198000</v>
      </c>
    </row>
    <row r="406">
      <c r="A406" s="3" t="n">
        <v/>
      </c>
      <c r="B406" s="3" t="n">
        <v/>
      </c>
      <c r="C406" s="3" t="inlineStr">
        <is>
          <t>Pipa HDPE dia. 1200 mm</t>
        </is>
      </c>
      <c r="D406" s="3" t="inlineStr">
        <is>
          <t>m'</t>
        </is>
      </c>
      <c r="E406" s="4" t="n">
        <v>215000</v>
      </c>
    </row>
    <row r="407">
      <c r="A407" s="3" t="n">
        <v/>
      </c>
      <c r="B407" s="3" t="n">
        <v/>
      </c>
      <c r="C407" s="3" t="inlineStr">
        <is>
          <t>Pipa HDPE, DN. 48"
(1200 mm)</t>
        </is>
      </c>
      <c r="D407" s="3" t="inlineStr">
        <is>
          <t>m'</t>
        </is>
      </c>
      <c r="E407" s="4" t="n">
        <v>216000</v>
      </c>
    </row>
    <row r="408">
      <c r="A408" s="3" t="n">
        <v/>
      </c>
      <c r="B408" s="3" t="n">
        <v/>
      </c>
      <c r="C408" s="3" t="inlineStr">
        <is>
          <t>Pipa HDPE dia. 15 mm</t>
        </is>
      </c>
      <c r="D408" s="3" t="inlineStr">
        <is>
          <t>m'</t>
        </is>
      </c>
      <c r="E408" s="4" t="n">
        <v>12500</v>
      </c>
    </row>
    <row r="409">
      <c r="A409" s="3" t="n">
        <v/>
      </c>
      <c r="B409" s="3" t="n">
        <v/>
      </c>
      <c r="C409" s="3" t="inlineStr">
        <is>
          <t>Pipa HDPE, DN. 1/2"
(15 mm)</t>
        </is>
      </c>
      <c r="D409" s="3" t="inlineStr">
        <is>
          <t>m'</t>
        </is>
      </c>
      <c r="E409" s="4" t="n">
        <v>13000</v>
      </c>
    </row>
    <row r="410">
      <c r="A410" s="3" t="n">
        <v/>
      </c>
      <c r="B410" s="3" t="n">
        <v/>
      </c>
      <c r="C410" s="3" t="inlineStr">
        <is>
          <t>Pipa HDPE dia. 20 mm</t>
        </is>
      </c>
      <c r="D410" s="3" t="inlineStr">
        <is>
          <t>m'</t>
        </is>
      </c>
      <c r="E410" s="4" t="n">
        <v>17900</v>
      </c>
    </row>
    <row r="411">
      <c r="A411" s="3" t="n">
        <v/>
      </c>
      <c r="B411" s="3" t="n">
        <v/>
      </c>
      <c r="C411" s="3" t="inlineStr">
        <is>
          <t>Pipa HDPE, DN. 3/4"
(20 mm)</t>
        </is>
      </c>
      <c r="D411" s="3" t="inlineStr">
        <is>
          <t>m'</t>
        </is>
      </c>
      <c r="E411" s="4" t="n">
        <v>18000</v>
      </c>
    </row>
    <row r="412">
      <c r="A412" s="3" t="n">
        <v/>
      </c>
      <c r="B412" s="3" t="n">
        <v/>
      </c>
      <c r="C412" s="3" t="inlineStr">
        <is>
          <t>Pipa HDPE dia. 25 mm</t>
        </is>
      </c>
      <c r="D412" s="3" t="inlineStr">
        <is>
          <t>m'</t>
        </is>
      </c>
      <c r="E412" s="4" t="n">
        <v>20700</v>
      </c>
    </row>
    <row r="413">
      <c r="A413" s="3" t="n">
        <v/>
      </c>
      <c r="B413" s="3" t="n">
        <v/>
      </c>
      <c r="C413" s="3" t="inlineStr">
        <is>
          <t>Pipa HDPE, DN. 1"
(25 mm)</t>
        </is>
      </c>
      <c r="D413" s="3" t="inlineStr">
        <is>
          <t>m'</t>
        </is>
      </c>
      <c r="E413" s="4" t="n">
        <v>21000</v>
      </c>
    </row>
    <row r="414">
      <c r="A414" s="3" t="n">
        <v/>
      </c>
      <c r="B414" s="3" t="n">
        <v/>
      </c>
      <c r="C414" s="3" t="inlineStr">
        <is>
          <t>Pipa HDPE dia. 32 mm</t>
        </is>
      </c>
      <c r="D414" s="3" t="inlineStr">
        <is>
          <t>m'</t>
        </is>
      </c>
      <c r="E414" s="4" t="n">
        <v>21300</v>
      </c>
    </row>
    <row r="415">
      <c r="A415" s="3" t="n">
        <v/>
      </c>
      <c r="B415" s="3" t="n">
        <v/>
      </c>
      <c r="C415" s="3" t="inlineStr">
        <is>
          <t>Pipa HDPE,
DN. 1-1/4" (32 mm)</t>
        </is>
      </c>
      <c r="D415" s="3" t="inlineStr">
        <is>
          <t>m'</t>
        </is>
      </c>
      <c r="E415" s="4" t="n">
        <v>22000</v>
      </c>
    </row>
    <row r="416">
      <c r="A416" s="3" t="n">
        <v/>
      </c>
      <c r="B416" s="3" t="n">
        <v/>
      </c>
      <c r="C416" s="3" t="inlineStr">
        <is>
          <t>Pipa HDPE dia. 40 mm</t>
        </is>
      </c>
      <c r="D416" s="3" t="inlineStr">
        <is>
          <t>m'</t>
        </is>
      </c>
      <c r="E416" s="4" t="n">
        <v>22500</v>
      </c>
    </row>
    <row r="417">
      <c r="A417" s="3" t="n">
        <v/>
      </c>
      <c r="B417" s="3" t="n">
        <v/>
      </c>
      <c r="C417" s="3" t="inlineStr">
        <is>
          <t>Pipa HDPE,
DN. 1-1/2" (40 mm)</t>
        </is>
      </c>
      <c r="D417" s="3" t="inlineStr">
        <is>
          <t>m'</t>
        </is>
      </c>
      <c r="E417" s="4" t="n">
        <v>23000</v>
      </c>
    </row>
    <row r="418">
      <c r="A418" s="3" t="n">
        <v/>
      </c>
      <c r="B418" s="3" t="n">
        <v/>
      </c>
      <c r="C418" s="3" t="inlineStr">
        <is>
          <t>Pipa HDPE dia. 50 mm</t>
        </is>
      </c>
      <c r="D418" s="3" t="inlineStr">
        <is>
          <t>m'</t>
        </is>
      </c>
      <c r="E418" s="4" t="n">
        <v>23100</v>
      </c>
    </row>
    <row r="419">
      <c r="A419" s="3" t="n">
        <v/>
      </c>
      <c r="B419" s="3" t="n">
        <v/>
      </c>
      <c r="C419" s="3" t="inlineStr">
        <is>
          <t>Pipa HDPE, DN. 2"
(50 mm)</t>
        </is>
      </c>
      <c r="D419" s="3" t="inlineStr">
        <is>
          <t>m'</t>
        </is>
      </c>
      <c r="E419" s="4" t="n">
        <v>24000</v>
      </c>
    </row>
    <row r="420">
      <c r="A420" s="3" t="n">
        <v/>
      </c>
      <c r="B420" s="3" t="n">
        <v/>
      </c>
      <c r="C420" s="3" t="inlineStr">
        <is>
          <t>Pipa Baja dia. 63 mm</t>
        </is>
      </c>
      <c r="D420" s="3" t="inlineStr">
        <is>
          <t>m'</t>
        </is>
      </c>
      <c r="E420" s="4" t="n">
        <v>520000</v>
      </c>
    </row>
    <row r="421">
      <c r="A421" s="3" t="n">
        <v/>
      </c>
      <c r="B421" s="3" t="n">
        <v/>
      </c>
      <c r="C421" s="3" t="inlineStr">
        <is>
          <t>Pipa HDPE, DN. 3" (75 mm)</t>
        </is>
      </c>
      <c r="D421" s="3" t="inlineStr">
        <is>
          <t>m'</t>
        </is>
      </c>
      <c r="E421" s="4" t="n">
        <v>30000</v>
      </c>
    </row>
    <row r="422">
      <c r="A422" s="3" t="n">
        <v/>
      </c>
      <c r="B422" s="3" t="n">
        <v/>
      </c>
      <c r="C422" s="3" t="inlineStr">
        <is>
          <t>Pipa HDPE, DN. 3.5" (90 mm)</t>
        </is>
      </c>
      <c r="D422" s="3" t="inlineStr">
        <is>
          <t>m'</t>
        </is>
      </c>
      <c r="E422" s="4" t="n">
        <v>35000</v>
      </c>
    </row>
    <row r="423">
      <c r="A423" s="3" t="n">
        <v/>
      </c>
      <c r="B423" s="3" t="n">
        <v/>
      </c>
      <c r="C423" s="3" t="inlineStr">
        <is>
          <t>Pipa HDPE, DN. 7" (180 mm)</t>
        </is>
      </c>
      <c r="D423" s="3" t="inlineStr">
        <is>
          <t>m'</t>
        </is>
      </c>
      <c r="E423" s="4" t="n">
        <v>50000</v>
      </c>
    </row>
    <row r="424">
      <c r="A424" s="3" t="n">
        <v/>
      </c>
      <c r="B424" s="3" t="n">
        <v/>
      </c>
      <c r="C424" s="3" t="inlineStr">
        <is>
          <t>Pipa HDPE, DN. 9" (225 mm)</t>
        </is>
      </c>
      <c r="D424" s="3" t="inlineStr">
        <is>
          <t>m'</t>
        </is>
      </c>
      <c r="E424" s="4" t="n">
        <v>80000</v>
      </c>
    </row>
    <row r="425">
      <c r="A425" s="3" t="n">
        <v/>
      </c>
      <c r="B425" s="3" t="n">
        <v/>
      </c>
      <c r="C425" s="3" t="inlineStr">
        <is>
          <t>Pipa HDPE, DN. 14" (355 mm)</t>
        </is>
      </c>
      <c r="D425" s="3" t="inlineStr">
        <is>
          <t>m'</t>
        </is>
      </c>
      <c r="E425" s="4" t="n">
        <v>90000</v>
      </c>
    </row>
    <row r="426">
      <c r="A426" s="3" t="n">
        <v/>
      </c>
      <c r="B426" s="3" t="n">
        <v/>
      </c>
      <c r="C426" s="3" t="inlineStr">
        <is>
          <t>Pipa HDPE, DN. 22" (560 mm)</t>
        </is>
      </c>
      <c r="D426" s="3" t="inlineStr">
        <is>
          <t>m'</t>
        </is>
      </c>
      <c r="E426" s="4" t="n">
        <v>150000</v>
      </c>
    </row>
    <row r="427">
      <c r="A427" s="3" t="n">
        <v/>
      </c>
      <c r="B427" s="3" t="n">
        <v/>
      </c>
      <c r="C427" s="3" t="inlineStr">
        <is>
          <t>Pipa HDPE, DN. 28" (710 mm)</t>
        </is>
      </c>
      <c r="D427" s="3" t="inlineStr">
        <is>
          <t>m'</t>
        </is>
      </c>
      <c r="E427" s="4" t="n">
        <v>160000</v>
      </c>
    </row>
    <row r="428">
      <c r="A428" s="3" t="n">
        <v/>
      </c>
      <c r="B428" s="3" t="n">
        <v/>
      </c>
      <c r="C428" s="3" t="inlineStr">
        <is>
          <t>Pipa Baja Karbon, DN.
2-1/2" (65 mm)</t>
        </is>
      </c>
      <c r="D428" s="3" t="inlineStr">
        <is>
          <t>m'</t>
        </is>
      </c>
      <c r="E428" s="4" t="n">
        <v>525000</v>
      </c>
    </row>
    <row r="429">
      <c r="A429" s="3" t="n">
        <v/>
      </c>
      <c r="B429" s="3" t="n">
        <v/>
      </c>
      <c r="C429" s="3" t="inlineStr">
        <is>
          <t>Pipa Baja dia. 100 mm</t>
        </is>
      </c>
      <c r="D429" s="3" t="inlineStr">
        <is>
          <t>m'</t>
        </is>
      </c>
      <c r="E429" s="4" t="n">
        <v>645000</v>
      </c>
    </row>
    <row r="430">
      <c r="A430" s="3" t="n">
        <v/>
      </c>
      <c r="B430" s="3" t="n">
        <v/>
      </c>
      <c r="C430" s="3" t="inlineStr">
        <is>
          <t>Pipa Baja Karbon, DN.
4" (100 mm)</t>
        </is>
      </c>
      <c r="D430" s="3" t="inlineStr">
        <is>
          <t>m'</t>
        </is>
      </c>
      <c r="E430" s="4" t="n">
        <v>650000</v>
      </c>
    </row>
    <row r="431">
      <c r="A431" s="3" t="n">
        <v/>
      </c>
      <c r="B431" s="3" t="n">
        <v/>
      </c>
      <c r="C431" s="3" t="inlineStr">
        <is>
          <t>Pipa Baja dia. 125 mm</t>
        </is>
      </c>
      <c r="D431" s="3" t="inlineStr">
        <is>
          <t>m'</t>
        </is>
      </c>
      <c r="E431" s="4" t="n">
        <v>766000</v>
      </c>
    </row>
    <row r="432">
      <c r="A432" s="3" t="n">
        <v/>
      </c>
      <c r="B432" s="3" t="n">
        <v/>
      </c>
      <c r="C432" s="3" t="inlineStr">
        <is>
          <t>Pipa Baja Karbon, DN.
5" (125 mm)</t>
        </is>
      </c>
      <c r="D432" s="3" t="inlineStr">
        <is>
          <t>m'</t>
        </is>
      </c>
      <c r="E432" s="4" t="n">
        <v>770000</v>
      </c>
    </row>
    <row r="433">
      <c r="A433" s="3" t="n">
        <v/>
      </c>
      <c r="B433" s="3" t="n">
        <v/>
      </c>
      <c r="C433" s="3" t="inlineStr">
        <is>
          <t>Pipa Baja dia. 150 mm</t>
        </is>
      </c>
      <c r="D433" s="3" t="inlineStr">
        <is>
          <t>m'</t>
        </is>
      </c>
      <c r="E433" s="4" t="n">
        <v>810000</v>
      </c>
    </row>
    <row r="434">
      <c r="A434" s="3" t="n">
        <v/>
      </c>
      <c r="B434" s="3" t="n">
        <v/>
      </c>
      <c r="C434" s="3" t="inlineStr">
        <is>
          <t>Pipa Baja Karbon, DN.
6" (150 mm)</t>
        </is>
      </c>
      <c r="D434" s="3" t="inlineStr">
        <is>
          <t>m'</t>
        </is>
      </c>
      <c r="E434" s="4" t="n">
        <v>815000</v>
      </c>
    </row>
    <row r="435">
      <c r="A435" s="3" t="n">
        <v/>
      </c>
      <c r="B435" s="3" t="n">
        <v/>
      </c>
      <c r="C435" s="3" t="inlineStr">
        <is>
          <t>Pipa Baja dia. 200 mm</t>
        </is>
      </c>
      <c r="D435" s="3" t="inlineStr">
        <is>
          <t>m'</t>
        </is>
      </c>
      <c r="E435" s="4" t="n">
        <v>890000</v>
      </c>
    </row>
    <row r="436">
      <c r="A436" s="3" t="n">
        <v/>
      </c>
      <c r="B436" s="3" t="n">
        <v/>
      </c>
      <c r="C436" s="3" t="inlineStr">
        <is>
          <t>Pipa Baja Karbon, DN.
8" (200 mm)</t>
        </is>
      </c>
      <c r="D436" s="3" t="inlineStr">
        <is>
          <t>m'</t>
        </is>
      </c>
      <c r="E436" s="4" t="n">
        <v>895000</v>
      </c>
    </row>
    <row r="437">
      <c r="A437" s="3" t="n">
        <v/>
      </c>
      <c r="B437" s="3" t="n">
        <v/>
      </c>
      <c r="C437" s="3" t="inlineStr">
        <is>
          <t>Pipa Baja dia. 250 mm</t>
        </is>
      </c>
      <c r="D437" s="3" t="inlineStr">
        <is>
          <t>m'</t>
        </is>
      </c>
      <c r="E437" s="4" t="n">
        <v>940000</v>
      </c>
    </row>
    <row r="438">
      <c r="A438" s="3" t="n">
        <v/>
      </c>
      <c r="B438" s="3" t="n">
        <v/>
      </c>
      <c r="C438" s="3" t="inlineStr">
        <is>
          <t>Pipa Baja Karbon, DN.
10" (250 mm)</t>
        </is>
      </c>
      <c r="D438" s="3" t="inlineStr">
        <is>
          <t>m'</t>
        </is>
      </c>
      <c r="E438" s="4" t="n">
        <v>945000</v>
      </c>
    </row>
    <row r="439">
      <c r="A439" s="3" t="n">
        <v/>
      </c>
      <c r="B439" s="3" t="n">
        <v/>
      </c>
      <c r="C439" s="3" t="inlineStr">
        <is>
          <t>Pipa Baja dia. 300 mm</t>
        </is>
      </c>
      <c r="D439" s="3" t="inlineStr">
        <is>
          <t>m'</t>
        </is>
      </c>
      <c r="E439" s="4" t="n">
        <v>1050000</v>
      </c>
    </row>
    <row r="440">
      <c r="A440" s="3" t="n">
        <v/>
      </c>
      <c r="B440" s="3" t="n">
        <v/>
      </c>
      <c r="C440" s="3" t="inlineStr">
        <is>
          <t>Pipa Baja Karbon, DN.
12" (300 mm)</t>
        </is>
      </c>
      <c r="D440" s="3" t="inlineStr">
        <is>
          <t>m'</t>
        </is>
      </c>
      <c r="E440" s="4" t="n">
        <v>1055000</v>
      </c>
    </row>
    <row r="441">
      <c r="A441" s="3" t="n">
        <v/>
      </c>
      <c r="B441" s="3" t="n">
        <v/>
      </c>
      <c r="C441" s="3" t="inlineStr">
        <is>
          <t>Pipa Baja dia. 400 mm</t>
        </is>
      </c>
      <c r="D441" s="3" t="inlineStr">
        <is>
          <t>m'</t>
        </is>
      </c>
      <c r="E441" s="4" t="n">
        <v>2300000</v>
      </c>
    </row>
    <row r="442">
      <c r="A442" s="3" t="n">
        <v/>
      </c>
      <c r="B442" s="3" t="n">
        <v/>
      </c>
      <c r="C442" s="3" t="inlineStr">
        <is>
          <t>Pipa Baja Karbon, DN. 16"
(400 mm)</t>
        </is>
      </c>
      <c r="D442" s="3" t="inlineStr">
        <is>
          <t>m'</t>
        </is>
      </c>
      <c r="E442" s="4" t="n">
        <v>2305000</v>
      </c>
    </row>
    <row r="443">
      <c r="A443" s="3" t="n">
        <v/>
      </c>
      <c r="B443" s="3" t="n">
        <v/>
      </c>
      <c r="C443" s="3" t="inlineStr">
        <is>
          <t>Pipa Baja dia. 450 mm</t>
        </is>
      </c>
      <c r="D443" s="3" t="inlineStr">
        <is>
          <t>m'</t>
        </is>
      </c>
      <c r="E443" s="4" t="n">
        <v>2450000</v>
      </c>
    </row>
    <row r="444">
      <c r="A444" s="3" t="n">
        <v/>
      </c>
      <c r="B444" s="3" t="n">
        <v/>
      </c>
      <c r="C444" s="3" t="inlineStr">
        <is>
          <t>Pipa Baja Karbon, DN. 18"
(450 mm</t>
        </is>
      </c>
      <c r="D444" s="3" t="inlineStr">
        <is>
          <t>m'</t>
        </is>
      </c>
      <c r="E444" s="4" t="n">
        <v>2455000</v>
      </c>
    </row>
    <row r="445">
      <c r="A445" s="3" t="n">
        <v/>
      </c>
      <c r="B445" s="3" t="n">
        <v/>
      </c>
      <c r="C445" s="3" t="inlineStr">
        <is>
          <t>Pipa Baja dia. 500 mm</t>
        </is>
      </c>
      <c r="D445" s="3" t="inlineStr">
        <is>
          <t>m'</t>
        </is>
      </c>
      <c r="E445" s="4" t="n">
        <v>2560000</v>
      </c>
    </row>
    <row r="446">
      <c r="A446" s="3" t="n">
        <v/>
      </c>
      <c r="B446" s="3" t="n">
        <v/>
      </c>
      <c r="C446" s="3" t="inlineStr">
        <is>
          <t>Pipa Baja Karbon, DN.
20" (500 mm)</t>
        </is>
      </c>
      <c r="D446" s="3" t="inlineStr">
        <is>
          <t>m'</t>
        </is>
      </c>
      <c r="E446" s="4" t="n">
        <v>2565000</v>
      </c>
    </row>
    <row r="447">
      <c r="A447" s="3" t="n">
        <v/>
      </c>
      <c r="B447" s="3" t="n">
        <v/>
      </c>
      <c r="C447" s="3" t="inlineStr">
        <is>
          <t>Pipa Baja dia. 600 mm</t>
        </is>
      </c>
      <c r="D447" s="3" t="inlineStr">
        <is>
          <t>m'</t>
        </is>
      </c>
      <c r="E447" s="4" t="n">
        <v>2650000</v>
      </c>
    </row>
    <row r="448">
      <c r="A448" s="3" t="n">
        <v/>
      </c>
      <c r="B448" s="3" t="n">
        <v/>
      </c>
      <c r="C448" s="3" t="inlineStr">
        <is>
          <t>Pipa Baja Karbon, DN. 24"
(600 mm)</t>
        </is>
      </c>
      <c r="D448" s="3" t="inlineStr">
        <is>
          <t>m'</t>
        </is>
      </c>
      <c r="E448" s="4" t="n">
        <v>2655000</v>
      </c>
    </row>
    <row r="449">
      <c r="A449" s="3" t="n">
        <v/>
      </c>
      <c r="B449" s="3" t="n">
        <v/>
      </c>
      <c r="C449" s="3" t="inlineStr">
        <is>
          <t>Pipa Baja dia. 800 mm</t>
        </is>
      </c>
      <c r="D449" s="3" t="inlineStr">
        <is>
          <t>m'</t>
        </is>
      </c>
      <c r="E449" s="4" t="n">
        <v>2790000</v>
      </c>
    </row>
    <row r="450">
      <c r="A450" s="3" t="n">
        <v/>
      </c>
      <c r="B450" s="3" t="n">
        <v/>
      </c>
      <c r="C450" s="3" t="inlineStr">
        <is>
          <t>Pipa Baja Karbon, DN. 32"
(800 mm)</t>
        </is>
      </c>
      <c r="D450" s="3" t="inlineStr">
        <is>
          <t>m'</t>
        </is>
      </c>
      <c r="E450" s="4" t="n">
        <v>2795000</v>
      </c>
    </row>
    <row r="451">
      <c r="A451" s="3" t="n">
        <v/>
      </c>
      <c r="B451" s="3" t="n">
        <v/>
      </c>
      <c r="C451" s="3" t="inlineStr">
        <is>
          <t>Pipa Baja dia. 900 mm</t>
        </is>
      </c>
      <c r="D451" s="3" t="inlineStr">
        <is>
          <t>m'</t>
        </is>
      </c>
      <c r="E451" s="4" t="n">
        <v>2950000</v>
      </c>
    </row>
    <row r="452">
      <c r="A452" s="3" t="n">
        <v/>
      </c>
      <c r="B452" s="3" t="n">
        <v/>
      </c>
      <c r="C452" s="3" t="inlineStr">
        <is>
          <t>Pipa Baja Karbon, DN. 36"
(900 mm)</t>
        </is>
      </c>
      <c r="D452" s="3" t="inlineStr">
        <is>
          <t>m'</t>
        </is>
      </c>
      <c r="E452" s="4" t="n">
        <v>2955000</v>
      </c>
    </row>
    <row r="453">
      <c r="A453" s="3" t="n">
        <v/>
      </c>
      <c r="B453" s="3" t="n">
        <v/>
      </c>
      <c r="C453" s="3" t="inlineStr">
        <is>
          <t>Pipa Baja dia. 1000 mm</t>
        </is>
      </c>
      <c r="D453" s="3" t="inlineStr">
        <is>
          <t>m'</t>
        </is>
      </c>
      <c r="E453" s="4" t="n">
        <v>3110000</v>
      </c>
    </row>
    <row r="454">
      <c r="A454" s="3" t="n">
        <v/>
      </c>
      <c r="B454" s="3" t="n">
        <v/>
      </c>
      <c r="C454" s="3" t="inlineStr">
        <is>
          <t>Pipa Baja Karbon, DN. 40"
(1000 mm)</t>
        </is>
      </c>
      <c r="D454" s="3" t="inlineStr">
        <is>
          <t>m'</t>
        </is>
      </c>
      <c r="E454" s="4" t="n">
        <v>3115000</v>
      </c>
    </row>
    <row r="455">
      <c r="A455" s="3" t="n">
        <v/>
      </c>
      <c r="B455" s="3" t="n">
        <v/>
      </c>
      <c r="C455" s="3" t="inlineStr">
        <is>
          <t>Pipa Baja dia. 1100 mm</t>
        </is>
      </c>
      <c r="D455" s="3" t="inlineStr">
        <is>
          <t>m'</t>
        </is>
      </c>
      <c r="E455" s="4" t="n">
        <v>3230000</v>
      </c>
    </row>
    <row r="456">
      <c r="A456" s="3" t="n">
        <v/>
      </c>
      <c r="B456" s="3" t="n">
        <v/>
      </c>
      <c r="C456" s="3" t="inlineStr">
        <is>
          <t>Pipa Baja Karbon, DN. 44"
(1100 mm)</t>
        </is>
      </c>
      <c r="D456" s="3" t="inlineStr">
        <is>
          <t>m'</t>
        </is>
      </c>
      <c r="E456" s="4" t="n">
        <v>3235000</v>
      </c>
    </row>
    <row r="457">
      <c r="A457" s="3" t="n">
        <v/>
      </c>
      <c r="B457" s="3" t="n">
        <v/>
      </c>
      <c r="C457" s="3" t="inlineStr">
        <is>
          <t>Pipa Baja dia. 1200 mm</t>
        </is>
      </c>
      <c r="D457" s="3" t="inlineStr">
        <is>
          <t>m'</t>
        </is>
      </c>
      <c r="E457" s="4" t="n">
        <v>3350000</v>
      </c>
    </row>
    <row r="458">
      <c r="A458" s="3" t="n">
        <v/>
      </c>
      <c r="B458" s="3" t="n">
        <v/>
      </c>
      <c r="C458" s="3" t="inlineStr">
        <is>
          <t>Pipa Baja Karbon, DN. 48"
(1200 mm</t>
        </is>
      </c>
      <c r="D458" s="3" t="inlineStr">
        <is>
          <t>m'</t>
        </is>
      </c>
      <c r="E458" s="4" t="n">
        <v>3355000</v>
      </c>
    </row>
    <row r="459">
      <c r="A459" s="3" t="inlineStr">
        <is>
          <t>35</t>
        </is>
      </c>
      <c r="B459" s="3" t="n">
        <v/>
      </c>
      <c r="C459" s="3" t="inlineStr">
        <is>
          <t>PVC  Ø 1 1/4"  s  10 tekanan nominal 10 bar (1,0 mpa) 4m</t>
        </is>
      </c>
      <c r="D459" s="3" t="inlineStr">
        <is>
          <t>batang</t>
        </is>
      </c>
      <c r="E459" s="4" t="n">
        <v>79700</v>
      </c>
    </row>
    <row r="460">
      <c r="A460" s="3" t="inlineStr">
        <is>
          <t>36</t>
        </is>
      </c>
      <c r="B460" s="3" t="n">
        <v/>
      </c>
      <c r="C460" s="3" t="inlineStr">
        <is>
          <t>PVC  Ø 1 1/5"  s  10 tekanan nominal 10 bar (1,0 mpa) 6m</t>
        </is>
      </c>
      <c r="D460" s="3" t="inlineStr">
        <is>
          <t>batang</t>
        </is>
      </c>
      <c r="E460" s="4" t="n">
        <v>145400</v>
      </c>
    </row>
    <row r="461">
      <c r="A461" s="3" t="inlineStr">
        <is>
          <t>37</t>
        </is>
      </c>
      <c r="B461" s="3" t="n">
        <v/>
      </c>
      <c r="C461" s="3" t="inlineStr">
        <is>
          <t>PVC  Ø 1"  s  10 tekanan nominal 10 bar (1,0 mpa) 4m</t>
        </is>
      </c>
      <c r="D461" s="3" t="inlineStr">
        <is>
          <t>batang</t>
        </is>
      </c>
      <c r="E461" s="4" t="n">
        <v>51600</v>
      </c>
    </row>
    <row r="462">
      <c r="A462" s="3" t="inlineStr">
        <is>
          <t>38</t>
        </is>
      </c>
      <c r="B462" s="3" t="n">
        <v/>
      </c>
      <c r="C462" s="3" t="inlineStr">
        <is>
          <t>PVC  Ø 1/2"  s  10 tekanan nominal 10 bar (1,0 mpa) 4m</t>
        </is>
      </c>
      <c r="D462" s="3" t="inlineStr">
        <is>
          <t>batang</t>
        </is>
      </c>
      <c r="E462" s="4" t="n">
        <v>30700</v>
      </c>
    </row>
    <row r="463">
      <c r="A463" s="3" t="inlineStr">
        <is>
          <t>39</t>
        </is>
      </c>
      <c r="B463" s="3" t="n">
        <v/>
      </c>
      <c r="C463" s="3" t="inlineStr">
        <is>
          <t>PVC  Ø 2"  s  12,5 tekanan nominal 10 bar (1,0 mpa) 6m</t>
        </is>
      </c>
      <c r="D463" s="3" t="inlineStr">
        <is>
          <t>batang</t>
        </is>
      </c>
      <c r="E463" s="4" t="n">
        <v>214900</v>
      </c>
    </row>
    <row r="464">
      <c r="A464" s="3" t="inlineStr">
        <is>
          <t>40</t>
        </is>
      </c>
      <c r="B464" s="3" t="n">
        <v/>
      </c>
      <c r="C464" s="3" t="inlineStr">
        <is>
          <t>PVC  Ø 3"  s  12,5 tekanan nominal 10 bar (1,0 mpa) 6m</t>
        </is>
      </c>
      <c r="D464" s="3" t="inlineStr">
        <is>
          <t>batang</t>
        </is>
      </c>
      <c r="E464" s="4" t="n">
        <v>423300</v>
      </c>
    </row>
    <row r="465">
      <c r="A465" s="3" t="inlineStr">
        <is>
          <t>41</t>
        </is>
      </c>
      <c r="B465" s="3" t="n">
        <v/>
      </c>
      <c r="C465" s="3" t="inlineStr">
        <is>
          <t>PVC  Ø 3/4"  s  10 tekanan nominal 10 bar (1,0 mpa) 4m</t>
        </is>
      </c>
      <c r="D465" s="3" t="inlineStr">
        <is>
          <t>batang</t>
        </is>
      </c>
      <c r="E465" s="4" t="n">
        <v>33400</v>
      </c>
    </row>
    <row r="466">
      <c r="A466" s="3" t="inlineStr">
        <is>
          <t>42</t>
        </is>
      </c>
      <c r="B466" s="3" t="n">
        <v/>
      </c>
      <c r="C466" s="3" t="inlineStr">
        <is>
          <t>PVC  Ø 4"  s  12,5 tekanan nominal 10 bar (1,0 mpa) 6m</t>
        </is>
      </c>
      <c r="D466" s="3" t="inlineStr">
        <is>
          <t>batang</t>
        </is>
      </c>
      <c r="E466" s="4" t="n">
        <v>641300</v>
      </c>
    </row>
    <row r="467">
      <c r="A467" s="3" t="inlineStr">
        <is>
          <t>43</t>
        </is>
      </c>
      <c r="B467" s="3" t="n">
        <v/>
      </c>
      <c r="C467" s="3" t="inlineStr">
        <is>
          <t>PVC  Ø 6"  s  12,5 tekanan nominal 10 bar (1,0 mpa) 6m</t>
        </is>
      </c>
      <c r="D467" s="3" t="inlineStr">
        <is>
          <t>batang</t>
        </is>
      </c>
      <c r="E467" s="4" t="n">
        <v>1823000</v>
      </c>
    </row>
    <row r="468">
      <c r="A468" s="3" t="inlineStr">
        <is>
          <t>44</t>
        </is>
      </c>
      <c r="B468" s="3" t="n">
        <v/>
      </c>
      <c r="C468" s="3" t="inlineStr">
        <is>
          <t>PVC  Ø 8"  s  12,5 tekanan nominal 10 bar (1,0 mpa) 6m</t>
        </is>
      </c>
      <c r="D468" s="3" t="inlineStr">
        <is>
          <t>batang</t>
        </is>
      </c>
      <c r="E468" s="4" t="n">
        <v>2043200</v>
      </c>
    </row>
    <row r="469">
      <c r="A469" s="3" t="n">
        <v/>
      </c>
      <c r="B469" s="3" t="n">
        <v/>
      </c>
      <c r="C469" s="3" t="inlineStr">
        <is>
          <t>MATERIAL PIPA GALVANIS</t>
        </is>
      </c>
      <c r="D469" s="3" t="n">
        <v/>
      </c>
      <c r="E469" s="4" t="n">
        <v/>
      </c>
    </row>
    <row r="470">
      <c r="A470" s="3" t="inlineStr">
        <is>
          <t>1</t>
        </is>
      </c>
      <c r="B470" s="3" t="n">
        <v/>
      </c>
      <c r="C470" s="3" t="inlineStr">
        <is>
          <t>Assesoris  galvanis</t>
        </is>
      </c>
      <c r="D470" s="3" t="inlineStr">
        <is>
          <t>m'</t>
        </is>
      </c>
      <c r="E470" s="4" t="n">
        <v>5500</v>
      </c>
    </row>
    <row r="471">
      <c r="A471" s="3" t="inlineStr">
        <is>
          <t>2</t>
        </is>
      </c>
      <c r="B471" s="3" t="n">
        <v/>
      </c>
      <c r="C471" s="3" t="inlineStr">
        <is>
          <t>Pipa  galvanis medium B Ø  1  1/2" panjang  6  m</t>
        </is>
      </c>
      <c r="D471" s="3" t="inlineStr">
        <is>
          <t>batang</t>
        </is>
      </c>
      <c r="E471" s="4" t="n">
        <v>405700</v>
      </c>
    </row>
    <row r="472">
      <c r="A472" s="3" t="inlineStr">
        <is>
          <t>3</t>
        </is>
      </c>
      <c r="B472" s="3" t="n">
        <v/>
      </c>
      <c r="C472" s="3" t="inlineStr">
        <is>
          <t>Pipa  galvanis medium B Ø  1" panjang  6  m</t>
        </is>
      </c>
      <c r="D472" s="3" t="inlineStr">
        <is>
          <t>batang</t>
        </is>
      </c>
      <c r="E472" s="4" t="n">
        <v>263000</v>
      </c>
    </row>
    <row r="473">
      <c r="A473" s="3" t="inlineStr">
        <is>
          <t>4</t>
        </is>
      </c>
      <c r="B473" s="3" t="n">
        <v/>
      </c>
      <c r="C473" s="3" t="inlineStr">
        <is>
          <t>Pipa  galvanis medium B Ø  1/2" panjang  6  m</t>
        </is>
      </c>
      <c r="D473" s="3" t="inlineStr">
        <is>
          <t>m'</t>
        </is>
      </c>
      <c r="E473" s="4" t="n">
        <v>24400</v>
      </c>
    </row>
    <row r="474">
      <c r="A474" s="3" t="inlineStr">
        <is>
          <t>5</t>
        </is>
      </c>
      <c r="B474" s="3" t="n">
        <v/>
      </c>
      <c r="C474" s="3" t="inlineStr">
        <is>
          <t>Pipa  galvanis medium B Ø  2  1/2" panjang  6  m</t>
        </is>
      </c>
      <c r="D474" s="3" t="inlineStr">
        <is>
          <t>batang</t>
        </is>
      </c>
      <c r="E474" s="4" t="n">
        <v>550000</v>
      </c>
    </row>
    <row r="475">
      <c r="A475" s="3" t="inlineStr">
        <is>
          <t>6</t>
        </is>
      </c>
      <c r="B475" s="3" t="n">
        <v/>
      </c>
      <c r="C475" s="3" t="inlineStr">
        <is>
          <t>Pipa  galvanis medium B Ø  3" panjang  6  m</t>
        </is>
      </c>
      <c r="D475" s="3" t="inlineStr">
        <is>
          <t>batang</t>
        </is>
      </c>
      <c r="E475" s="4" t="n">
        <v>1035100</v>
      </c>
    </row>
    <row r="476">
      <c r="A476" s="3" t="inlineStr">
        <is>
          <t>7</t>
        </is>
      </c>
      <c r="B476" s="3" t="n">
        <v/>
      </c>
      <c r="C476" s="3" t="inlineStr">
        <is>
          <t>Pipa  galvanis medium B Ø  3/4" panjang  6  m</t>
        </is>
      </c>
      <c r="D476" s="3" t="inlineStr">
        <is>
          <t>batang</t>
        </is>
      </c>
      <c r="E476" s="4" t="n">
        <v>181200</v>
      </c>
    </row>
    <row r="477">
      <c r="A477" s="3" t="inlineStr">
        <is>
          <t>8</t>
        </is>
      </c>
      <c r="B477" s="3" t="n">
        <v/>
      </c>
      <c r="C477" s="3" t="inlineStr">
        <is>
          <t>Pipa  galvanis medium B Ø  4" panjang  6  m</t>
        </is>
      </c>
      <c r="D477" s="3" t="inlineStr">
        <is>
          <t>batang</t>
        </is>
      </c>
      <c r="E477" s="4" t="n">
        <v>1475300</v>
      </c>
    </row>
    <row r="478">
      <c r="A478" s="3" t="inlineStr">
        <is>
          <t>9</t>
        </is>
      </c>
      <c r="B478" s="3" t="n">
        <v/>
      </c>
      <c r="C478" s="3" t="inlineStr">
        <is>
          <t>Pipa besi stainless  steel Ø1"  t=1.5 mm</t>
        </is>
      </c>
      <c r="D478" s="3" t="inlineStr">
        <is>
          <t>m'</t>
        </is>
      </c>
      <c r="E478" s="4" t="n">
        <v>44800</v>
      </c>
    </row>
    <row r="479">
      <c r="A479" s="3" t="inlineStr">
        <is>
          <t>10</t>
        </is>
      </c>
      <c r="B479" s="3" t="n">
        <v/>
      </c>
      <c r="C479" s="3" t="inlineStr">
        <is>
          <t>Pipa besi stainless  steel Ø2"  t=1.5 mm</t>
        </is>
      </c>
      <c r="D479" s="3" t="inlineStr">
        <is>
          <t>m'</t>
        </is>
      </c>
      <c r="E479" s="4" t="n">
        <v>92400</v>
      </c>
    </row>
    <row r="480">
      <c r="A480" s="3" t="inlineStr">
        <is>
          <t>11</t>
        </is>
      </c>
      <c r="B480" s="3" t="n">
        <v/>
      </c>
      <c r="C480" s="3" t="inlineStr">
        <is>
          <t>Pipa galvanis  medium A Ø 1 1/2"  panjang 6 m</t>
        </is>
      </c>
      <c r="D480" s="3" t="inlineStr">
        <is>
          <t>batang</t>
        </is>
      </c>
      <c r="E480" s="4" t="n">
        <v>461800</v>
      </c>
    </row>
    <row r="481">
      <c r="A481" s="3" t="inlineStr">
        <is>
          <t>12</t>
        </is>
      </c>
      <c r="B481" s="3" t="n">
        <v/>
      </c>
      <c r="C481" s="3" t="inlineStr">
        <is>
          <t>Pipa galvanis  medium A Ø 1"  panjang 6 m</t>
        </is>
      </c>
      <c r="D481" s="3" t="inlineStr">
        <is>
          <t>batang</t>
        </is>
      </c>
      <c r="E481" s="4" t="n">
        <v>266100</v>
      </c>
    </row>
    <row r="482">
      <c r="A482" s="3" t="inlineStr">
        <is>
          <t>13</t>
        </is>
      </c>
      <c r="B482" s="3" t="n">
        <v/>
      </c>
      <c r="C482" s="3" t="inlineStr">
        <is>
          <t>Pipa galvanis  medium A Ø 1/2"  panjang 6 m</t>
        </is>
      </c>
      <c r="D482" s="3" t="inlineStr">
        <is>
          <t>batang</t>
        </is>
      </c>
      <c r="E482" s="4" t="n">
        <v>132500</v>
      </c>
    </row>
    <row r="483">
      <c r="A483" s="3" t="inlineStr">
        <is>
          <t>14</t>
        </is>
      </c>
      <c r="B483" s="3" t="n">
        <v/>
      </c>
      <c r="C483" s="3" t="inlineStr">
        <is>
          <t>Pipa galvanis  medium A Ø 2"  panjang 6 m</t>
        </is>
      </c>
      <c r="D483" s="3" t="inlineStr">
        <is>
          <t>batang</t>
        </is>
      </c>
      <c r="E483" s="4" t="n">
        <v>528600</v>
      </c>
    </row>
    <row r="484">
      <c r="A484" s="3" t="inlineStr">
        <is>
          <t>15</t>
        </is>
      </c>
      <c r="B484" s="3" t="n">
        <v/>
      </c>
      <c r="C484" s="3" t="inlineStr">
        <is>
          <t>Pipa galvanis  medium A Ø 3"  panjang 6 m</t>
        </is>
      </c>
      <c r="D484" s="3" t="inlineStr">
        <is>
          <t>batang</t>
        </is>
      </c>
      <c r="E484" s="4" t="n">
        <v>1021000</v>
      </c>
    </row>
    <row r="485">
      <c r="A485" s="3" t="inlineStr">
        <is>
          <t>16</t>
        </is>
      </c>
      <c r="B485" s="3" t="n">
        <v/>
      </c>
      <c r="C485" s="3" t="inlineStr">
        <is>
          <t>Pipa galvanis  medium A Ø 3/4"  panjang 6 m</t>
        </is>
      </c>
      <c r="D485" s="3" t="inlineStr">
        <is>
          <t>batang</t>
        </is>
      </c>
      <c r="E485" s="4" t="n">
        <v>177900</v>
      </c>
    </row>
    <row r="486">
      <c r="A486" s="3" t="inlineStr">
        <is>
          <t>17</t>
        </is>
      </c>
      <c r="B486" s="3" t="n">
        <v/>
      </c>
      <c r="C486" s="3" t="inlineStr">
        <is>
          <t>Pipa galvanis  medium A Ø 4"  panjang 6 m</t>
        </is>
      </c>
      <c r="D486" s="3" t="inlineStr">
        <is>
          <t>batang</t>
        </is>
      </c>
      <c r="E486" s="4" t="n">
        <v>1487200</v>
      </c>
    </row>
    <row r="487">
      <c r="A487" s="3" t="inlineStr">
        <is>
          <t>18</t>
        </is>
      </c>
      <c r="B487" s="3" t="n">
        <v/>
      </c>
      <c r="C487" s="3" t="inlineStr">
        <is>
          <t>Pipa galvanis  medium A Ø 5"  panjang 6 m</t>
        </is>
      </c>
      <c r="D487" s="3" t="inlineStr">
        <is>
          <t>batang</t>
        </is>
      </c>
      <c r="E487" s="4" t="n">
        <v>1981200</v>
      </c>
    </row>
    <row r="488">
      <c r="A488" s="3" t="inlineStr">
        <is>
          <t>19</t>
        </is>
      </c>
      <c r="B488" s="3" t="n">
        <v/>
      </c>
      <c r="C488" s="3" t="inlineStr">
        <is>
          <t>Pipa galvanis  medium A Ø 6"  panjang 6 m</t>
        </is>
      </c>
      <c r="D488" s="3" t="inlineStr">
        <is>
          <t>batang</t>
        </is>
      </c>
      <c r="E488" s="4" t="n">
        <v>1558300</v>
      </c>
    </row>
    <row r="489">
      <c r="A489" s="3" t="inlineStr">
        <is>
          <t>20</t>
        </is>
      </c>
      <c r="B489" s="3" t="n">
        <v/>
      </c>
      <c r="C489" s="3" t="inlineStr">
        <is>
          <t>Pipa galvanis  medium A Ø 8"  panjang 6 m</t>
        </is>
      </c>
      <c r="D489" s="3" t="inlineStr">
        <is>
          <t>batang</t>
        </is>
      </c>
      <c r="E489" s="4" t="n">
        <v>2267400</v>
      </c>
    </row>
    <row r="490">
      <c r="A490" s="3" t="inlineStr">
        <is>
          <t>21</t>
        </is>
      </c>
      <c r="B490" s="3" t="n">
        <v/>
      </c>
      <c r="C490" s="3" t="inlineStr">
        <is>
          <t>Pipa galvanis  medium B  Ø 2"  panjang 6 m</t>
        </is>
      </c>
      <c r="D490" s="3" t="inlineStr">
        <is>
          <t>batang</t>
        </is>
      </c>
      <c r="E490" s="4" t="n">
        <v>598800</v>
      </c>
    </row>
    <row r="491">
      <c r="A491" s="3" t="inlineStr">
        <is>
          <t>22</t>
        </is>
      </c>
      <c r="B491" s="3" t="n">
        <v/>
      </c>
      <c r="C491" s="3" t="inlineStr">
        <is>
          <t>Pipa galvanis  medium B  Ø 5"  panjang 6 m</t>
        </is>
      </c>
      <c r="D491" s="3" t="inlineStr">
        <is>
          <t>batang</t>
        </is>
      </c>
      <c r="E491" s="4" t="n">
        <v>2031000</v>
      </c>
    </row>
    <row r="492">
      <c r="A492" s="3" t="inlineStr">
        <is>
          <t>23</t>
        </is>
      </c>
      <c r="B492" s="3" t="n">
        <v/>
      </c>
      <c r="C492" s="3" t="inlineStr">
        <is>
          <t>Pipa galvanis  medium B  Ø 6"  panjang 6 m</t>
        </is>
      </c>
      <c r="D492" s="3" t="inlineStr">
        <is>
          <t>batang</t>
        </is>
      </c>
      <c r="E492" s="4" t="n">
        <v>2451200</v>
      </c>
    </row>
    <row r="493">
      <c r="A493" s="3" t="inlineStr">
        <is>
          <t>24</t>
        </is>
      </c>
      <c r="B493" s="3" t="n">
        <v/>
      </c>
      <c r="C493" s="3" t="inlineStr">
        <is>
          <t>Pipa galvanis  medium B  Ø 8"  panjang 6 m</t>
        </is>
      </c>
      <c r="D493" s="3" t="inlineStr">
        <is>
          <t>batang</t>
        </is>
      </c>
      <c r="E493" s="4" t="n">
        <v>3466200</v>
      </c>
    </row>
    <row r="494">
      <c r="A494" s="3" t="n">
        <v/>
      </c>
      <c r="B494" s="3" t="n">
        <v/>
      </c>
      <c r="C494" s="3" t="inlineStr">
        <is>
          <t xml:space="preserve">Pipa galvanis  medium Class  Ø 1 1/2" +Aksesoris </t>
        </is>
      </c>
      <c r="D494" s="3" t="inlineStr">
        <is>
          <t>m'</t>
        </is>
      </c>
      <c r="E494" s="4" t="n">
        <v>82466.66666666667</v>
      </c>
    </row>
    <row r="495">
      <c r="A495" s="3" t="n">
        <v/>
      </c>
      <c r="B495" s="3" t="n">
        <v/>
      </c>
      <c r="C495" s="3" t="inlineStr">
        <is>
          <t>Pipa galvanis MED CLASS ; DN. 1-1/2" (40 mm) + fitting &amp; aksesoris</t>
        </is>
      </c>
      <c r="D495" s="3" t="inlineStr">
        <is>
          <t>m'</t>
        </is>
      </c>
      <c r="E495" s="4" t="n">
        <v>82500</v>
      </c>
    </row>
    <row r="496">
      <c r="A496" s="3" t="n">
        <v/>
      </c>
      <c r="B496" s="3" t="n">
        <v/>
      </c>
      <c r="C496" s="3" t="inlineStr">
        <is>
          <t xml:space="preserve">Pipa galvanis  medium Class  Ø 1 1/4" +Aksesoris </t>
        </is>
      </c>
      <c r="D496" s="3" t="inlineStr">
        <is>
          <t>m'</t>
        </is>
      </c>
      <c r="E496" s="4" t="n">
        <v>80633.33333333331</v>
      </c>
    </row>
    <row r="497">
      <c r="A497" s="3" t="n">
        <v/>
      </c>
      <c r="B497" s="3" t="n">
        <v/>
      </c>
      <c r="C497" s="3" t="inlineStr">
        <is>
          <t>Pipa galvanis MED
CLASS ; DN. 1-1/4"
(32 mm) + fitting &amp;
aksesoris</t>
        </is>
      </c>
      <c r="D497" s="3" t="inlineStr">
        <is>
          <t>m'</t>
        </is>
      </c>
      <c r="E497" s="4" t="n">
        <v>81000</v>
      </c>
    </row>
    <row r="498">
      <c r="A498" s="3" t="n">
        <v/>
      </c>
      <c r="B498" s="3" t="n">
        <v/>
      </c>
      <c r="C498" s="3" t="inlineStr">
        <is>
          <t>Pipa galvanis  medium Class Ø 1" + Aksesoris</t>
        </is>
      </c>
      <c r="D498" s="3" t="inlineStr">
        <is>
          <t>m'</t>
        </is>
      </c>
      <c r="E498" s="4" t="n">
        <v>49850</v>
      </c>
    </row>
    <row r="499">
      <c r="A499" s="3" t="n">
        <v/>
      </c>
      <c r="B499" s="3" t="n">
        <v/>
      </c>
      <c r="C499" s="3" t="inlineStr">
        <is>
          <t>Pipa galvanis MED
CLASS ; DN. 1" (25
mm) + fitting &amp;
aksesoris</t>
        </is>
      </c>
      <c r="D499" s="3" t="inlineStr">
        <is>
          <t>m'</t>
        </is>
      </c>
      <c r="E499" s="4" t="n">
        <v>50000</v>
      </c>
    </row>
    <row r="500">
      <c r="A500" s="3" t="n">
        <v/>
      </c>
      <c r="B500" s="3" t="n">
        <v/>
      </c>
      <c r="C500" s="3" t="inlineStr">
        <is>
          <t>Pipa galvanis  medium Class Ø 1/2" + Aksesoris</t>
        </is>
      </c>
      <c r="D500" s="3" t="inlineStr">
        <is>
          <t>m'</t>
        </is>
      </c>
      <c r="E500" s="4" t="n">
        <v>27583.33333333333</v>
      </c>
    </row>
    <row r="501">
      <c r="A501" s="3" t="n">
        <v/>
      </c>
      <c r="B501" s="3" t="n">
        <v/>
      </c>
      <c r="C501" s="3" t="inlineStr">
        <is>
          <t>Pipa galvanis MED CLASS ; DN. 1/2" (15 mm) + fitting &amp; aksesoris</t>
        </is>
      </c>
      <c r="D501" s="3" t="inlineStr">
        <is>
          <t>m'</t>
        </is>
      </c>
      <c r="E501" s="4" t="n">
        <v>28000</v>
      </c>
    </row>
    <row r="502">
      <c r="A502" s="3" t="n">
        <v/>
      </c>
      <c r="B502" s="3" t="n">
        <v/>
      </c>
      <c r="C502" s="3" t="inlineStr">
        <is>
          <t xml:space="preserve">Pipa galvanis  medium Class Ø 2" +Aksesoris </t>
        </is>
      </c>
      <c r="D502" s="3" t="inlineStr">
        <is>
          <t>m'</t>
        </is>
      </c>
      <c r="E502" s="4" t="n">
        <v>93600</v>
      </c>
    </row>
    <row r="503">
      <c r="A503" s="3" t="n">
        <v/>
      </c>
      <c r="B503" s="3" t="n">
        <v/>
      </c>
      <c r="C503" s="3" t="inlineStr">
        <is>
          <t>Pipa galvanis MED CLASS ; DN. 2" (50 mm) + fitting &amp; aksesoris</t>
        </is>
      </c>
      <c r="D503" s="3" t="inlineStr">
        <is>
          <t>m'</t>
        </is>
      </c>
      <c r="E503" s="4" t="n">
        <v>94000</v>
      </c>
    </row>
    <row r="504">
      <c r="A504" s="3" t="n">
        <v/>
      </c>
      <c r="B504" s="3" t="n">
        <v/>
      </c>
      <c r="C504" s="3" t="inlineStr">
        <is>
          <t xml:space="preserve">Pipa galvanis  medium Class Ø 2-1/2" +Aksesoris </t>
        </is>
      </c>
      <c r="D504" s="3" t="inlineStr">
        <is>
          <t>m'</t>
        </is>
      </c>
      <c r="E504" s="4" t="n">
        <v>94666.66666666669</v>
      </c>
    </row>
    <row r="505">
      <c r="A505" s="3" t="n">
        <v/>
      </c>
      <c r="B505" s="3" t="n">
        <v/>
      </c>
      <c r="C505" s="3" t="inlineStr">
        <is>
          <t>Pipa galvanis MED CLASS ; DN. 2-1/2" (65 mm) + fitting &amp; aksesoris</t>
        </is>
      </c>
      <c r="D505" s="3" t="inlineStr">
        <is>
          <t>m'</t>
        </is>
      </c>
      <c r="E505" s="4" t="n">
        <v>95000</v>
      </c>
    </row>
    <row r="506">
      <c r="A506" s="3" t="n">
        <v/>
      </c>
      <c r="B506" s="3" t="n">
        <v/>
      </c>
      <c r="C506" s="3" t="inlineStr">
        <is>
          <t xml:space="preserve">Pipa galvanis  medium Class Ø 3" +Aksesoris </t>
        </is>
      </c>
      <c r="D506" s="3" t="inlineStr">
        <is>
          <t>m'</t>
        </is>
      </c>
      <c r="E506" s="4" t="n">
        <v>175666.6666666667</v>
      </c>
    </row>
    <row r="507">
      <c r="A507" s="3" t="n">
        <v/>
      </c>
      <c r="B507" s="3" t="n">
        <v/>
      </c>
      <c r="C507" s="3" t="inlineStr">
        <is>
          <t>Pipa galvanis MED CLASS ; DN. 3" (80 mm) + fitting &amp; aksesoris</t>
        </is>
      </c>
      <c r="D507" s="3" t="inlineStr">
        <is>
          <t>m'</t>
        </is>
      </c>
      <c r="E507" s="4" t="n">
        <v>176000</v>
      </c>
    </row>
    <row r="508">
      <c r="A508" s="3" t="n">
        <v/>
      </c>
      <c r="B508" s="3" t="n">
        <v/>
      </c>
      <c r="C508" s="3" t="inlineStr">
        <is>
          <t xml:space="preserve">Pipa galvanis  medium Class Ø 3/4" + Aksesoris </t>
        </is>
      </c>
      <c r="D508" s="3" t="inlineStr">
        <is>
          <t>m'</t>
        </is>
      </c>
      <c r="E508" s="4" t="n">
        <v>35150</v>
      </c>
    </row>
    <row r="509">
      <c r="A509" s="3" t="n">
        <v/>
      </c>
      <c r="B509" s="3" t="n">
        <v/>
      </c>
      <c r="C509" s="3" t="inlineStr">
        <is>
          <t>Pipa galvanis MED CLASS ; DN. 3/4" (20 mm) + fitting &amp; aksesoris</t>
        </is>
      </c>
      <c r="D509" s="3" t="inlineStr">
        <is>
          <t>m'</t>
        </is>
      </c>
      <c r="E509" s="4" t="n">
        <v>36000</v>
      </c>
    </row>
    <row r="510">
      <c r="A510" s="3" t="n">
        <v/>
      </c>
      <c r="B510" s="3" t="n">
        <v/>
      </c>
      <c r="C510" s="3" t="inlineStr">
        <is>
          <t xml:space="preserve">Pipa galvanis  medium Class Ø 4" +Aksesoris </t>
        </is>
      </c>
      <c r="D510" s="3" t="inlineStr">
        <is>
          <t>m'</t>
        </is>
      </c>
      <c r="E510" s="4" t="n">
        <v>253366.6666666666</v>
      </c>
    </row>
    <row r="511">
      <c r="A511" s="3" t="n">
        <v/>
      </c>
      <c r="B511" s="3" t="n">
        <v/>
      </c>
      <c r="C511" s="3" t="inlineStr">
        <is>
          <t>Pipa galvanis MED CLASS ; DN. 4" (100 mm) + fitting &amp; aksesoris</t>
        </is>
      </c>
      <c r="D511" s="3" t="inlineStr">
        <is>
          <t>m'</t>
        </is>
      </c>
      <c r="E511" s="4" t="n">
        <v>253500</v>
      </c>
    </row>
    <row r="512">
      <c r="A512" s="3" t="n">
        <v/>
      </c>
      <c r="B512" s="3" t="n">
        <v/>
      </c>
      <c r="C512" s="3" t="inlineStr">
        <is>
          <t xml:space="preserve">Pipa galvanis  medium Class Ø 5" +Aksesoris </t>
        </is>
      </c>
      <c r="D512" s="3" t="inlineStr">
        <is>
          <t>m'</t>
        </is>
      </c>
      <c r="E512" s="4" t="n">
        <v>335700</v>
      </c>
    </row>
    <row r="513">
      <c r="A513" s="3" t="n">
        <v/>
      </c>
      <c r="B513" s="3" t="n">
        <v/>
      </c>
      <c r="C513" s="3" t="inlineStr">
        <is>
          <t>Pipa galvanis MED CLASS ; DN. 5" (125 mm) + fitting &amp; aksesoris</t>
        </is>
      </c>
      <c r="D513" s="3" t="inlineStr">
        <is>
          <t>m'</t>
        </is>
      </c>
      <c r="E513" s="4" t="n">
        <v>336000</v>
      </c>
    </row>
    <row r="514">
      <c r="A514" s="3" t="n">
        <v/>
      </c>
      <c r="B514" s="3" t="n">
        <v/>
      </c>
      <c r="C514" s="3" t="inlineStr">
        <is>
          <t xml:space="preserve">Pipa galvanis  medium Class Ø 6" + Aksesoris </t>
        </is>
      </c>
      <c r="D514" s="3" t="inlineStr">
        <is>
          <t>m'</t>
        </is>
      </c>
      <c r="E514" s="4" t="n">
        <v>265216.6666666666</v>
      </c>
    </row>
    <row r="515">
      <c r="A515" s="3" t="n">
        <v/>
      </c>
      <c r="B515" s="3" t="n">
        <v/>
      </c>
      <c r="C515" s="3" t="inlineStr">
        <is>
          <t>Pipa galvanis MED CLASS ; DN. 6" (150 mm) + fitting &amp; aksesoris</t>
        </is>
      </c>
      <c r="D515" s="3" t="inlineStr">
        <is>
          <t>m'</t>
        </is>
      </c>
      <c r="E515" s="4" t="n">
        <v>266000</v>
      </c>
    </row>
    <row r="516">
      <c r="A516" s="3" t="n">
        <v/>
      </c>
      <c r="B516" s="3" t="n">
        <v/>
      </c>
      <c r="C516" s="3" t="inlineStr">
        <is>
          <t xml:space="preserve">Pipa galvanis  medium Class Ø 8" + Aksesois </t>
        </is>
      </c>
      <c r="D516" s="3" t="inlineStr">
        <is>
          <t>m'</t>
        </is>
      </c>
      <c r="E516" s="4" t="n">
        <v>383400</v>
      </c>
    </row>
    <row r="517">
      <c r="A517" s="3" t="n">
        <v/>
      </c>
      <c r="B517" s="3" t="n">
        <v/>
      </c>
      <c r="C517" s="3" t="inlineStr">
        <is>
          <t>Pipa galvanis MED CLASS ; DN. 8" (200 mm) + fitting &amp; aksesoris</t>
        </is>
      </c>
      <c r="D517" s="3" t="inlineStr">
        <is>
          <t>m'</t>
        </is>
      </c>
      <c r="E517" s="4" t="n">
        <v>384000</v>
      </c>
    </row>
    <row r="518">
      <c r="A518" s="3" t="n">
        <v/>
      </c>
      <c r="B518" s="3" t="n">
        <v/>
      </c>
      <c r="C518" s="3" t="inlineStr">
        <is>
          <t xml:space="preserve">Pipa galvanis  medium Class Ø 10" + Aksesois </t>
        </is>
      </c>
      <c r="D518" s="3" t="inlineStr">
        <is>
          <t>m'</t>
        </is>
      </c>
      <c r="E518" s="4" t="n">
        <v>390500</v>
      </c>
    </row>
    <row r="519">
      <c r="A519" s="3" t="n">
        <v/>
      </c>
      <c r="B519" s="3" t="n">
        <v/>
      </c>
      <c r="C519" s="3" t="inlineStr">
        <is>
          <t>Pipa galvanis MED CLASS ; DN. 10" (250 mm) + fitting &amp; aksesoris</t>
        </is>
      </c>
      <c r="D519" s="3" t="inlineStr">
        <is>
          <t>m'</t>
        </is>
      </c>
      <c r="E519" s="4" t="n">
        <v>391000</v>
      </c>
    </row>
    <row r="520">
      <c r="A520" s="3" t="n">
        <v/>
      </c>
      <c r="B520" s="3" t="n">
        <v/>
      </c>
      <c r="C520" s="3" t="inlineStr">
        <is>
          <t xml:space="preserve">Pipa galvanis  medium Class Ø 12" + Aksesois </t>
        </is>
      </c>
      <c r="D520" s="3" t="inlineStr">
        <is>
          <t>m'</t>
        </is>
      </c>
      <c r="E520" s="4" t="n">
        <v>399500</v>
      </c>
    </row>
    <row r="521">
      <c r="A521" s="3" t="n">
        <v/>
      </c>
      <c r="B521" s="3" t="n">
        <v/>
      </c>
      <c r="C521" s="3" t="inlineStr">
        <is>
          <t>Pipa galvanis MED CLASS ; DN. 12" (300 mm) + fitting &amp; aksesoris</t>
        </is>
      </c>
      <c r="D521" s="3" t="inlineStr">
        <is>
          <t>m'</t>
        </is>
      </c>
      <c r="E521" s="4" t="n">
        <v>340000</v>
      </c>
    </row>
    <row r="522">
      <c r="A522" s="3" t="n">
        <v/>
      </c>
      <c r="B522" s="3" t="n">
        <v/>
      </c>
      <c r="C522" s="3" t="inlineStr">
        <is>
          <t xml:space="preserve">Pipa galvanis  medium Class Ø 14" + Aksesois </t>
        </is>
      </c>
      <c r="D522" s="3" t="inlineStr">
        <is>
          <t>m'</t>
        </is>
      </c>
      <c r="E522" s="4" t="n">
        <v>410500</v>
      </c>
    </row>
    <row r="523">
      <c r="A523" s="3" t="n">
        <v/>
      </c>
      <c r="B523" s="3" t="n">
        <v/>
      </c>
      <c r="C523" s="3" t="inlineStr">
        <is>
          <t>Pipa galvanis MED CLASS ; DN. 14" (350 mm) + fitting &amp; aksesoris</t>
        </is>
      </c>
      <c r="D523" s="3" t="inlineStr">
        <is>
          <t>m'</t>
        </is>
      </c>
      <c r="E523" s="4" t="n">
        <v>411000</v>
      </c>
    </row>
    <row r="524">
      <c r="A524" s="3" t="n">
        <v/>
      </c>
      <c r="B524" s="3" t="n">
        <v/>
      </c>
      <c r="C524" s="3" t="inlineStr">
        <is>
          <t xml:space="preserve">Pipa galvanis  medium Class Ø 16" + Aksesois </t>
        </is>
      </c>
      <c r="D524" s="3" t="inlineStr">
        <is>
          <t>m'</t>
        </is>
      </c>
      <c r="E524" s="4" t="n">
        <v>417500</v>
      </c>
    </row>
    <row r="525">
      <c r="A525" s="3" t="n">
        <v/>
      </c>
      <c r="B525" s="3" t="n">
        <v/>
      </c>
      <c r="C525" s="3" t="inlineStr">
        <is>
          <t>Pipa galvanis MED CLASS ; DN. 16" (400 mm) + fitting &amp; aksesoris</t>
        </is>
      </c>
      <c r="D525" s="3" t="inlineStr">
        <is>
          <t>m'</t>
        </is>
      </c>
      <c r="E525" s="4" t="n">
        <v>418000</v>
      </c>
    </row>
    <row r="526">
      <c r="A526" s="3" t="n">
        <v/>
      </c>
      <c r="B526" s="3" t="n">
        <v/>
      </c>
      <c r="C526" s="3" t="inlineStr">
        <is>
          <t xml:space="preserve">Pipa galvanis SCH 40 Ø 1/2" + Aksesois </t>
        </is>
      </c>
      <c r="D526" s="3" t="inlineStr">
        <is>
          <t>m'</t>
        </is>
      </c>
      <c r="E526" s="4" t="n">
        <v>39666.66666666666</v>
      </c>
    </row>
    <row r="527">
      <c r="A527" s="3" t="n">
        <v/>
      </c>
      <c r="B527" s="3" t="n">
        <v/>
      </c>
      <c r="C527" s="3" t="inlineStr">
        <is>
          <t>Pipa galvanis SCH 40 ; DN. 1/2" (15 mm) + fitting &amp; aksesoris</t>
        </is>
      </c>
      <c r="D527" s="3" t="inlineStr">
        <is>
          <t>m'</t>
        </is>
      </c>
      <c r="E527" s="4" t="n">
        <v>40000</v>
      </c>
    </row>
    <row r="528">
      <c r="A528" s="3" t="n">
        <v/>
      </c>
      <c r="B528" s="3" t="n">
        <v/>
      </c>
      <c r="C528" s="3" t="inlineStr">
        <is>
          <t xml:space="preserve">Pipa galvanis SCH 40 Ø 3/4" + Aksesois </t>
        </is>
      </c>
      <c r="D528" s="3" t="inlineStr">
        <is>
          <t>m'</t>
        </is>
      </c>
      <c r="E528" s="4" t="n">
        <v>47666.66666666666</v>
      </c>
    </row>
    <row r="529">
      <c r="A529" s="3" t="n">
        <v/>
      </c>
      <c r="B529" s="3" t="n">
        <v/>
      </c>
      <c r="C529" s="3" t="inlineStr">
        <is>
          <t>Pipa galvanis SCH 40 ; DN. 3/4" (20 mm) + fitting &amp; aksesoris</t>
        </is>
      </c>
      <c r="D529" s="3" t="inlineStr">
        <is>
          <t>m'</t>
        </is>
      </c>
      <c r="E529" s="4" t="n">
        <v>48000</v>
      </c>
    </row>
    <row r="530">
      <c r="A530" s="3" t="n">
        <v/>
      </c>
      <c r="B530" s="3" t="n">
        <v/>
      </c>
      <c r="C530" s="3" t="inlineStr">
        <is>
          <t xml:space="preserve">Pipa galvanis SCH 40 Ø 1" + Aksesois </t>
        </is>
      </c>
      <c r="D530" s="3" t="inlineStr">
        <is>
          <t>m'</t>
        </is>
      </c>
      <c r="E530" s="4" t="n">
        <v>66333.33333333334</v>
      </c>
    </row>
    <row r="531">
      <c r="A531" s="3" t="n">
        <v/>
      </c>
      <c r="B531" s="3" t="n">
        <v/>
      </c>
      <c r="C531" s="3" t="inlineStr">
        <is>
          <t>Pipa galvanis SCH 40 ; DN. 1" (25 mm) + fitting &amp; aksesoris</t>
        </is>
      </c>
      <c r="D531" s="3" t="inlineStr">
        <is>
          <t>m'</t>
        </is>
      </c>
      <c r="E531" s="4" t="n">
        <v>66500</v>
      </c>
    </row>
    <row r="532">
      <c r="A532" s="3" t="n">
        <v/>
      </c>
      <c r="B532" s="3" t="n">
        <v/>
      </c>
      <c r="C532" s="3" t="inlineStr">
        <is>
          <t xml:space="preserve">Pipa galvanis SCH 40 Ø 1-1/4" + Aksesois </t>
        </is>
      </c>
      <c r="D532" s="3" t="inlineStr">
        <is>
          <t>m'</t>
        </is>
      </c>
      <c r="E532" s="4" t="n">
        <v>88000</v>
      </c>
    </row>
    <row r="533">
      <c r="A533" s="3" t="n">
        <v/>
      </c>
      <c r="B533" s="3" t="n">
        <v/>
      </c>
      <c r="C533" s="3" t="inlineStr">
        <is>
          <t>Pipa galvanis SCH 40 ; DN. 1-1/4" (32 mm) + fitting &amp; aksesoris</t>
        </is>
      </c>
      <c r="D533" s="3" t="inlineStr">
        <is>
          <t>m'</t>
        </is>
      </c>
      <c r="E533" s="4" t="n">
        <v>88500</v>
      </c>
    </row>
    <row r="534">
      <c r="A534" s="3" t="n">
        <v/>
      </c>
      <c r="B534" s="3" t="n">
        <v/>
      </c>
      <c r="C534" s="3" t="inlineStr">
        <is>
          <t xml:space="preserve">Pipa galvanis SCH 40 Ø 1-1/2" + Aksesois </t>
        </is>
      </c>
      <c r="D534" s="3" t="inlineStr">
        <is>
          <t>m'</t>
        </is>
      </c>
      <c r="E534" s="4" t="n">
        <v>102500</v>
      </c>
    </row>
    <row r="535">
      <c r="A535" s="3" t="n">
        <v/>
      </c>
      <c r="B535" s="3" t="n">
        <v/>
      </c>
      <c r="C535" s="3" t="inlineStr">
        <is>
          <t>Pipa galvanis SCH 40 ; DN. 1-1/2" (40 mm) + fitting &amp; aksesoris</t>
        </is>
      </c>
      <c r="D535" s="3" t="inlineStr">
        <is>
          <t>m'</t>
        </is>
      </c>
      <c r="E535" s="4" t="n">
        <v>103000</v>
      </c>
    </row>
    <row r="536">
      <c r="A536" s="3" t="n">
        <v/>
      </c>
      <c r="B536" s="3" t="n">
        <v/>
      </c>
      <c r="C536" s="3" t="inlineStr">
        <is>
          <t xml:space="preserve">Pipa galvanis SCH 40 Ø 2" + Aksesois </t>
        </is>
      </c>
      <c r="D536" s="3" t="inlineStr">
        <is>
          <t>m'</t>
        </is>
      </c>
      <c r="E536" s="4" t="n">
        <v>188833.3333333333</v>
      </c>
    </row>
    <row r="537">
      <c r="A537" s="3" t="n">
        <v/>
      </c>
      <c r="B537" s="3" t="n">
        <v/>
      </c>
      <c r="C537" s="3" t="inlineStr">
        <is>
          <t>Pipa galvanis SCH 40 ; DN. 2" (50 mm) + fitting &amp; aksesoris</t>
        </is>
      </c>
      <c r="D537" s="3" t="inlineStr">
        <is>
          <t>m'</t>
        </is>
      </c>
      <c r="E537" s="4" t="n">
        <v>189000</v>
      </c>
    </row>
    <row r="538">
      <c r="A538" s="3" t="n">
        <v/>
      </c>
      <c r="B538" s="3" t="n">
        <v/>
      </c>
      <c r="C538" s="3" t="inlineStr">
        <is>
          <t xml:space="preserve">Pipa galvanis SCH 40 Ø 2-1/2" + Aksesois </t>
        </is>
      </c>
      <c r="D538" s="3" t="inlineStr">
        <is>
          <t>m'</t>
        </is>
      </c>
      <c r="E538" s="4" t="n">
        <v>205500</v>
      </c>
    </row>
    <row r="539">
      <c r="A539" s="3" t="n">
        <v/>
      </c>
      <c r="B539" s="3" t="n">
        <v/>
      </c>
      <c r="C539" s="3" t="inlineStr">
        <is>
          <t>Pipa galvanis SCH 40 ; DN. 2-1/2" (65 mm) + fitting &amp; aksesoris</t>
        </is>
      </c>
      <c r="D539" s="3" t="inlineStr">
        <is>
          <t>m'</t>
        </is>
      </c>
      <c r="E539" s="4" t="n">
        <v>206000</v>
      </c>
    </row>
    <row r="540">
      <c r="A540" s="3" t="n">
        <v/>
      </c>
      <c r="B540" s="3" t="n">
        <v/>
      </c>
      <c r="C540" s="3" t="inlineStr">
        <is>
          <t xml:space="preserve">Pipa galvanis SCH 40 Ø 3" + Aksesois </t>
        </is>
      </c>
      <c r="D540" s="3" t="inlineStr">
        <is>
          <t>m'</t>
        </is>
      </c>
      <c r="E540" s="4" t="n">
        <v>359666.6666666667</v>
      </c>
    </row>
    <row r="541">
      <c r="A541" s="3" t="n">
        <v/>
      </c>
      <c r="B541" s="3" t="n">
        <v/>
      </c>
      <c r="C541" s="3" t="inlineStr">
        <is>
          <t>Pipa galvanis SCH 40 ; DN. 3" (80 mm) + fitting &amp; aksesoris</t>
        </is>
      </c>
      <c r="D541" s="3" t="inlineStr">
        <is>
          <t>m'</t>
        </is>
      </c>
      <c r="E541" s="4" t="n">
        <v>360000</v>
      </c>
    </row>
    <row r="542">
      <c r="A542" s="3" t="n">
        <v/>
      </c>
      <c r="B542" s="3" t="n">
        <v/>
      </c>
      <c r="C542" s="3" t="inlineStr">
        <is>
          <t xml:space="preserve">Pipa galvanis SCH 40 Ø 4" + Aksesois </t>
        </is>
      </c>
      <c r="D542" s="3" t="inlineStr">
        <is>
          <t>m'</t>
        </is>
      </c>
      <c r="E542" s="4" t="n">
        <v>380500</v>
      </c>
    </row>
    <row r="543">
      <c r="A543" s="3" t="n">
        <v/>
      </c>
      <c r="B543" s="3" t="n">
        <v/>
      </c>
      <c r="C543" s="3" t="inlineStr">
        <is>
          <t>Pipa galvanis SCH 40 ; DN. 4" (100 mm) + fitting &amp; aksesoris</t>
        </is>
      </c>
      <c r="D543" s="3" t="inlineStr">
        <is>
          <t>m'</t>
        </is>
      </c>
      <c r="E543" s="4" t="n">
        <v>381000</v>
      </c>
    </row>
    <row r="544">
      <c r="A544" s="3" t="n">
        <v/>
      </c>
      <c r="B544" s="3" t="n">
        <v/>
      </c>
      <c r="C544" s="3" t="inlineStr">
        <is>
          <t xml:space="preserve">Pipa galvanis SCH 40 Ø 5" + Aksesois </t>
        </is>
      </c>
      <c r="D544" s="3" t="inlineStr">
        <is>
          <t>m'</t>
        </is>
      </c>
      <c r="E544" s="4" t="n">
        <v>505500</v>
      </c>
    </row>
    <row r="545">
      <c r="A545" s="3" t="n">
        <v/>
      </c>
      <c r="B545" s="3" t="n">
        <v/>
      </c>
      <c r="C545" s="3" t="inlineStr">
        <is>
          <t>Pipa galvanis SCH 40 ; DN. 5" (125 mm) + fitting &amp; aksesoris</t>
        </is>
      </c>
      <c r="D545" s="3" t="inlineStr">
        <is>
          <t>m'</t>
        </is>
      </c>
      <c r="E545" s="4" t="n">
        <v>502000</v>
      </c>
    </row>
    <row r="546">
      <c r="A546" s="3" t="n">
        <v/>
      </c>
      <c r="B546" s="3" t="n">
        <v/>
      </c>
      <c r="C546" s="3" t="inlineStr">
        <is>
          <t xml:space="preserve">Pipa galvanis SCH 40 Ø 6" + Aksesois </t>
        </is>
      </c>
      <c r="D546" s="3" t="inlineStr">
        <is>
          <t>m'</t>
        </is>
      </c>
      <c r="E546" s="4" t="n">
        <v>635500</v>
      </c>
    </row>
    <row r="547">
      <c r="A547" s="3" t="n">
        <v/>
      </c>
      <c r="B547" s="3" t="n">
        <v/>
      </c>
      <c r="C547" s="3" t="inlineStr">
        <is>
          <t>Pipa galvanis SCH 40 ; DN. 6" (150 mm) + fitting &amp; aksesoris</t>
        </is>
      </c>
      <c r="D547" s="3" t="inlineStr">
        <is>
          <t>m'</t>
        </is>
      </c>
      <c r="E547" s="4" t="n">
        <v>636000</v>
      </c>
    </row>
    <row r="548">
      <c r="A548" s="3" t="n">
        <v/>
      </c>
      <c r="B548" s="3" t="n">
        <v/>
      </c>
      <c r="C548" s="3" t="inlineStr">
        <is>
          <t xml:space="preserve">Pipa galvanis SCH 40 Ø 8" + Aksesois </t>
        </is>
      </c>
      <c r="D548" s="3" t="inlineStr">
        <is>
          <t>m'</t>
        </is>
      </c>
      <c r="E548" s="4" t="n">
        <v>987166.6666666665</v>
      </c>
    </row>
    <row r="549">
      <c r="A549" s="3" t="n">
        <v/>
      </c>
      <c r="B549" s="3" t="n">
        <v/>
      </c>
      <c r="C549" s="3" t="inlineStr">
        <is>
          <t>Pipa galvanis SCH 40 ; DN. 8" (200 mm) + fitting &amp; aksesoris</t>
        </is>
      </c>
      <c r="D549" s="3" t="inlineStr">
        <is>
          <t>m'</t>
        </is>
      </c>
      <c r="E549" s="4" t="n">
        <v>987500</v>
      </c>
    </row>
    <row r="550">
      <c r="A550" s="3" t="n">
        <v/>
      </c>
      <c r="B550" s="3" t="n">
        <v/>
      </c>
      <c r="C550" s="3" t="inlineStr">
        <is>
          <t xml:space="preserve">Pipa galvanis SCH 40 Ø 10" + Aksesois </t>
        </is>
      </c>
      <c r="D550" s="3" t="inlineStr">
        <is>
          <t>m'</t>
        </is>
      </c>
      <c r="E550" s="4" t="n">
        <v>1322166.666666667</v>
      </c>
    </row>
    <row r="551">
      <c r="A551" s="3" t="n">
        <v/>
      </c>
      <c r="B551" s="3" t="n">
        <v/>
      </c>
      <c r="C551" s="3" t="inlineStr">
        <is>
          <t>Pipa galvanis SCH 40 ; DN. 10" (250 mm) + fitting &amp; aksesoris</t>
        </is>
      </c>
      <c r="D551" s="3" t="inlineStr">
        <is>
          <t>m'</t>
        </is>
      </c>
      <c r="E551" s="4" t="n">
        <v>1322500</v>
      </c>
    </row>
    <row r="552">
      <c r="A552" s="3" t="n">
        <v/>
      </c>
      <c r="B552" s="3" t="n">
        <v/>
      </c>
      <c r="C552" s="3" t="inlineStr">
        <is>
          <t xml:space="preserve">Pipa galvanis SCH 40 Ø 12" + Aksesois </t>
        </is>
      </c>
      <c r="D552" s="3" t="inlineStr">
        <is>
          <t>m'</t>
        </is>
      </c>
      <c r="E552" s="4" t="n">
        <v>1405500</v>
      </c>
    </row>
    <row r="553">
      <c r="A553" s="3" t="n">
        <v/>
      </c>
      <c r="B553" s="3" t="n">
        <v/>
      </c>
      <c r="C553" s="3" t="inlineStr">
        <is>
          <t>Pipa galvanis SCH 40 ; DN. 12" (300 mm) + fitting &amp; aksesoris</t>
        </is>
      </c>
      <c r="D553" s="3" t="inlineStr">
        <is>
          <t>m'</t>
        </is>
      </c>
      <c r="E553" s="4" t="n">
        <v>1406000</v>
      </c>
    </row>
    <row r="554">
      <c r="A554" s="3" t="n">
        <v/>
      </c>
      <c r="B554" s="3" t="n">
        <v/>
      </c>
      <c r="C554" s="3" t="inlineStr">
        <is>
          <t xml:space="preserve">Pipa galvanis SCH 40 Ø 14" + Aksesois </t>
        </is>
      </c>
      <c r="D554" s="3" t="inlineStr">
        <is>
          <t>m'</t>
        </is>
      </c>
      <c r="E554" s="4" t="n">
        <v>1463833.333333333</v>
      </c>
    </row>
    <row r="555">
      <c r="A555" s="3" t="n">
        <v/>
      </c>
      <c r="B555" s="3" t="n">
        <v/>
      </c>
      <c r="C555" s="3" t="inlineStr">
        <is>
          <t>Pipa galvanis SCH 40 ; DN. 14" (350 mm) + fitting &amp; aksesoris</t>
        </is>
      </c>
      <c r="D555" s="3" t="inlineStr">
        <is>
          <t>m'</t>
        </is>
      </c>
      <c r="E555" s="4" t="n">
        <v>1464000</v>
      </c>
    </row>
    <row r="556">
      <c r="A556" s="3" t="n">
        <v/>
      </c>
      <c r="B556" s="3" t="n">
        <v/>
      </c>
      <c r="C556" s="3" t="inlineStr">
        <is>
          <t xml:space="preserve">Pipa galvanis SCH 40 Ø 16" + Aksesois </t>
        </is>
      </c>
      <c r="D556" s="3" t="inlineStr">
        <is>
          <t>m'</t>
        </is>
      </c>
      <c r="E556" s="4" t="n">
        <v>1501666.666666667</v>
      </c>
    </row>
    <row r="557">
      <c r="A557" s="3" t="n">
        <v/>
      </c>
      <c r="B557" s="3" t="n">
        <v/>
      </c>
      <c r="C557" s="3" t="inlineStr">
        <is>
          <t>Pipa galvanis SCH 40 ; DN. 16" (400 mm) + fitting &amp; aksesoris</t>
        </is>
      </c>
      <c r="D557" s="3" t="inlineStr">
        <is>
          <t>m'</t>
        </is>
      </c>
      <c r="E557" s="4" t="n">
        <v>1502000</v>
      </c>
    </row>
    <row r="558">
      <c r="A558" s="3" t="n">
        <v/>
      </c>
      <c r="B558" s="3" t="n">
        <v/>
      </c>
      <c r="C558" s="3" t="inlineStr">
        <is>
          <t xml:space="preserve">Pipa PPR PN 10 Ø 1/2" + Aksesois </t>
        </is>
      </c>
      <c r="D558" s="3" t="inlineStr">
        <is>
          <t>m'</t>
        </is>
      </c>
      <c r="E558" s="4" t="n">
        <v>16050</v>
      </c>
    </row>
    <row r="559">
      <c r="A559" s="3" t="n">
        <v/>
      </c>
      <c r="B559" s="3" t="n">
        <v/>
      </c>
      <c r="C559" s="3" t="inlineStr">
        <is>
          <t>Pipa PPR PN 10 ; DN. 1/2" (15 mm) + fitting &amp; aksesoris</t>
        </is>
      </c>
      <c r="D559" s="3" t="inlineStr">
        <is>
          <t>m'</t>
        </is>
      </c>
      <c r="E559" s="4" t="n">
        <v>16100</v>
      </c>
    </row>
    <row r="560">
      <c r="A560" s="3" t="n">
        <v/>
      </c>
      <c r="B560" s="3" t="n">
        <v/>
      </c>
      <c r="C560" s="3" t="inlineStr">
        <is>
          <t xml:space="preserve">Pipa PPR PN 10 Ø 3/4" + Aksesois </t>
        </is>
      </c>
      <c r="D560" s="3" t="inlineStr">
        <is>
          <t>m'</t>
        </is>
      </c>
      <c r="E560" s="4" t="n">
        <v>19475</v>
      </c>
    </row>
    <row r="561">
      <c r="A561" s="3" t="n">
        <v/>
      </c>
      <c r="B561" s="3" t="n">
        <v/>
      </c>
      <c r="C561" s="3" t="inlineStr">
        <is>
          <t>Pipa PPR PN 10 ; DN. 3/4" (20 mm) + fitting &amp; aksesoris</t>
        </is>
      </c>
      <c r="D561" s="3" t="inlineStr">
        <is>
          <t>m'</t>
        </is>
      </c>
      <c r="E561" s="4" t="n">
        <v>19700</v>
      </c>
    </row>
    <row r="562">
      <c r="A562" s="3" t="n">
        <v/>
      </c>
      <c r="B562" s="3" t="n">
        <v/>
      </c>
      <c r="C562" s="3" t="inlineStr">
        <is>
          <t xml:space="preserve">Pipa PPR PN 10 Ø 1" + Aksesois </t>
        </is>
      </c>
      <c r="D562" s="3" t="inlineStr">
        <is>
          <t>m'</t>
        </is>
      </c>
      <c r="E562" s="4" t="n">
        <v>28275</v>
      </c>
    </row>
    <row r="563">
      <c r="A563" s="3" t="n">
        <v/>
      </c>
      <c r="B563" s="3" t="n">
        <v/>
      </c>
      <c r="C563" s="3" t="inlineStr">
        <is>
          <t>Pipa PPR PN 10 ; DN. 1" (25 mm) + fitting &amp; aksesoris</t>
        </is>
      </c>
      <c r="D563" s="3" t="inlineStr">
        <is>
          <t>m'</t>
        </is>
      </c>
      <c r="E563" s="4" t="n">
        <v>28500</v>
      </c>
    </row>
    <row r="564">
      <c r="A564" s="3" t="n">
        <v/>
      </c>
      <c r="B564" s="3" t="n">
        <v/>
      </c>
      <c r="C564" s="3" t="inlineStr">
        <is>
          <t xml:space="preserve">Pipa PPR PN 10 Ø 1-1/4" + Aksesois </t>
        </is>
      </c>
      <c r="D564" s="3" t="inlineStr">
        <is>
          <t>m'</t>
        </is>
      </c>
      <c r="E564" s="4" t="n">
        <v>41875</v>
      </c>
    </row>
    <row r="565">
      <c r="A565" s="3" t="n">
        <v/>
      </c>
      <c r="B565" s="3" t="n">
        <v/>
      </c>
      <c r="C565" s="3" t="inlineStr">
        <is>
          <t>Pipa PPR PN 10 ; DN. 1-1/4" (32 mm) + fitting &amp; aksesoris</t>
        </is>
      </c>
      <c r="D565" s="3" t="inlineStr">
        <is>
          <t>m'</t>
        </is>
      </c>
      <c r="E565" s="4" t="n">
        <v>42000</v>
      </c>
    </row>
    <row r="566">
      <c r="A566" s="3" t="n">
        <v/>
      </c>
      <c r="B566" s="3" t="n">
        <v/>
      </c>
      <c r="C566" s="3" t="inlineStr">
        <is>
          <t xml:space="preserve">Pipa PPR PN 10 Ø 1-1/2" + Aksesois </t>
        </is>
      </c>
      <c r="D566" s="3" t="inlineStr">
        <is>
          <t>m'</t>
        </is>
      </c>
      <c r="E566" s="4" t="n">
        <v>62175</v>
      </c>
    </row>
    <row r="567">
      <c r="A567" s="3" t="n">
        <v/>
      </c>
      <c r="B567" s="3" t="n">
        <v/>
      </c>
      <c r="C567" s="3" t="inlineStr">
        <is>
          <t>Pipa PPR PN 10 ; DN. 1-1/2" (40 mm) + fitting &amp; aksesoris</t>
        </is>
      </c>
      <c r="D567" s="3" t="inlineStr">
        <is>
          <t>m'</t>
        </is>
      </c>
      <c r="E567" s="4" t="n">
        <v>62500</v>
      </c>
    </row>
    <row r="568">
      <c r="A568" s="3" t="n">
        <v/>
      </c>
      <c r="B568" s="3" t="n">
        <v/>
      </c>
      <c r="C568" s="3" t="inlineStr">
        <is>
          <t xml:space="preserve">Pipa PPR PN 10 Ø 2" + Aksesois </t>
        </is>
      </c>
      <c r="D568" s="3" t="inlineStr">
        <is>
          <t>m'</t>
        </is>
      </c>
      <c r="E568" s="4" t="n">
        <v>95500</v>
      </c>
    </row>
    <row r="569">
      <c r="A569" s="3" t="n">
        <v/>
      </c>
      <c r="B569" s="3" t="n">
        <v/>
      </c>
      <c r="C569" s="3" t="inlineStr">
        <is>
          <t>Pipa PPR PN 10 ; DN. 2" (50 mm) + fitting &amp; aksesoris</t>
        </is>
      </c>
      <c r="D569" s="3" t="inlineStr">
        <is>
          <t>m'</t>
        </is>
      </c>
      <c r="E569" s="4" t="n">
        <v>96000</v>
      </c>
    </row>
    <row r="570">
      <c r="A570" s="3" t="n">
        <v/>
      </c>
      <c r="B570" s="3" t="n">
        <v/>
      </c>
      <c r="C570" s="3" t="inlineStr">
        <is>
          <t xml:space="preserve">Pipa PPR PN 10 Ø 2-1/2" + Aksesois </t>
        </is>
      </c>
      <c r="D570" s="3" t="inlineStr">
        <is>
          <t>m'</t>
        </is>
      </c>
      <c r="E570" s="4" t="n">
        <v>131625</v>
      </c>
    </row>
    <row r="571">
      <c r="A571" s="3" t="n">
        <v/>
      </c>
      <c r="B571" s="3" t="n">
        <v/>
      </c>
      <c r="C571" s="3" t="inlineStr">
        <is>
          <t>Pipa PPR PN 10 ; DN. 2-1/2" (65 mm) + fitting &amp; aksesoris</t>
        </is>
      </c>
      <c r="D571" s="3" t="inlineStr">
        <is>
          <t>m'</t>
        </is>
      </c>
      <c r="E571" s="4" t="n">
        <v>132000</v>
      </c>
    </row>
    <row r="572">
      <c r="A572" s="3" t="n">
        <v/>
      </c>
      <c r="B572" s="3" t="n">
        <v/>
      </c>
      <c r="C572" s="3" t="inlineStr">
        <is>
          <t xml:space="preserve">Pipa PPR PN 10 Ø 3" + Aksesois </t>
        </is>
      </c>
      <c r="D572" s="3" t="inlineStr">
        <is>
          <t>m'</t>
        </is>
      </c>
      <c r="E572" s="4" t="n">
        <v>183275</v>
      </c>
    </row>
    <row r="573">
      <c r="A573" s="3" t="n">
        <v/>
      </c>
      <c r="B573" s="3" t="n">
        <v/>
      </c>
      <c r="C573" s="3" t="inlineStr">
        <is>
          <t>Pipa PPR PN 10 ; DN. 3" (80 mm) + fitting &amp; aksesoris</t>
        </is>
      </c>
      <c r="D573" s="3" t="inlineStr">
        <is>
          <t>m'</t>
        </is>
      </c>
      <c r="E573" s="4" t="n">
        <v>183500</v>
      </c>
    </row>
    <row r="574">
      <c r="A574" s="3" t="n">
        <v/>
      </c>
      <c r="B574" s="3" t="n">
        <v/>
      </c>
      <c r="C574" s="3" t="inlineStr">
        <is>
          <t xml:space="preserve">Pipa PPR PN 10 Ø 4" + Aksesois </t>
        </is>
      </c>
      <c r="D574" s="3" t="inlineStr">
        <is>
          <t>m'</t>
        </is>
      </c>
      <c r="E574" s="4" t="n">
        <v>276425</v>
      </c>
    </row>
    <row r="575">
      <c r="A575" s="3" t="n">
        <v/>
      </c>
      <c r="B575" s="3" t="n">
        <v/>
      </c>
      <c r="C575" s="3" t="inlineStr">
        <is>
          <t>Pipa PPR PN 10 ; DN. 4" (100 mm) + fitting &amp; aksesoris</t>
        </is>
      </c>
      <c r="D575" s="3" t="inlineStr">
        <is>
          <t>m'</t>
        </is>
      </c>
      <c r="E575" s="4" t="n">
        <v>276600</v>
      </c>
    </row>
    <row r="576">
      <c r="A576" s="3" t="n">
        <v/>
      </c>
      <c r="B576" s="3" t="n">
        <v/>
      </c>
      <c r="C576" s="3" t="inlineStr">
        <is>
          <t xml:space="preserve">Pipa PPR PN 10 Ø 6" + Aksesois </t>
        </is>
      </c>
      <c r="D576" s="3" t="inlineStr">
        <is>
          <t>m'</t>
        </is>
      </c>
      <c r="E576" s="4" t="n">
        <v>930025</v>
      </c>
    </row>
    <row r="577">
      <c r="A577" s="3" t="n">
        <v/>
      </c>
      <c r="B577" s="3" t="n">
        <v/>
      </c>
      <c r="C577" s="3" t="inlineStr">
        <is>
          <t>Pipa PPR PN 10 ; DN. 6" (150 mm) + fitting &amp; aksesoris</t>
        </is>
      </c>
      <c r="D577" s="3" t="inlineStr">
        <is>
          <t>m'</t>
        </is>
      </c>
      <c r="E577" s="4" t="n">
        <v>930500</v>
      </c>
    </row>
    <row r="578">
      <c r="A578" s="3" t="n">
        <v/>
      </c>
      <c r="B578" s="3" t="n">
        <v/>
      </c>
      <c r="C578" s="3" t="inlineStr">
        <is>
          <t xml:space="preserve">Pipa PPR PN 20 Ø 1/2" + Aksesois </t>
        </is>
      </c>
      <c r="D578" s="3" t="inlineStr">
        <is>
          <t>m'</t>
        </is>
      </c>
      <c r="E578" s="4" t="n">
        <v>20325</v>
      </c>
    </row>
    <row r="579">
      <c r="A579" s="3" t="n">
        <v/>
      </c>
      <c r="B579" s="3" t="n">
        <v/>
      </c>
      <c r="C579" s="3" t="inlineStr">
        <is>
          <t>Pipa PPR PN 20 ; DN. 1/2" (15 mm) + fitting &amp; aksesoris</t>
        </is>
      </c>
      <c r="D579" s="3" t="inlineStr">
        <is>
          <t>m'</t>
        </is>
      </c>
      <c r="E579" s="4" t="n">
        <v>931000</v>
      </c>
    </row>
    <row r="580">
      <c r="A580" s="3" t="n">
        <v/>
      </c>
      <c r="B580" s="3" t="n">
        <v/>
      </c>
      <c r="C580" s="3" t="inlineStr">
        <is>
          <t xml:space="preserve">Pipa PPR PN 20 Ø 3/4" + Aksesois </t>
        </is>
      </c>
      <c r="D580" s="3" t="inlineStr">
        <is>
          <t>m'</t>
        </is>
      </c>
      <c r="E580" s="4" t="n">
        <v>28525</v>
      </c>
    </row>
    <row r="581">
      <c r="A581" s="3" t="n">
        <v/>
      </c>
      <c r="B581" s="3" t="n">
        <v/>
      </c>
      <c r="C581" s="3" t="inlineStr">
        <is>
          <t>Pipa PPR PN 20 ; DN. 3/4" (20 mm) + fitting &amp; aksesoris</t>
        </is>
      </c>
      <c r="D581" s="3" t="inlineStr">
        <is>
          <t>m'</t>
        </is>
      </c>
      <c r="E581" s="4" t="n">
        <v>29000</v>
      </c>
    </row>
    <row r="582">
      <c r="A582" s="3" t="n">
        <v/>
      </c>
      <c r="B582" s="3" t="n">
        <v/>
      </c>
      <c r="C582" s="3" t="inlineStr">
        <is>
          <t xml:space="preserve">Pipa PPR PN 20 Ø 1" + Aksesois </t>
        </is>
      </c>
      <c r="D582" s="3" t="inlineStr">
        <is>
          <t>m'</t>
        </is>
      </c>
      <c r="E582" s="4" t="n">
        <v>43675</v>
      </c>
    </row>
    <row r="583">
      <c r="A583" s="3" t="n">
        <v/>
      </c>
      <c r="B583" s="3" t="n">
        <v/>
      </c>
      <c r="C583" s="3" t="inlineStr">
        <is>
          <t>Pipa PPR PN 20 ; DN. 1" (25 mm) + fitting &amp; aksesoris</t>
        </is>
      </c>
      <c r="D583" s="3" t="inlineStr">
        <is>
          <t>m'</t>
        </is>
      </c>
      <c r="E583" s="4" t="n">
        <v>44000</v>
      </c>
    </row>
    <row r="584">
      <c r="A584" s="3" t="n">
        <v/>
      </c>
      <c r="B584" s="3" t="n">
        <v/>
      </c>
      <c r="C584" s="3" t="inlineStr">
        <is>
          <t xml:space="preserve">Pipa PPR PN 20 Ø 1-1/4" + Aksesois </t>
        </is>
      </c>
      <c r="D584" s="3" t="inlineStr">
        <is>
          <t>m'</t>
        </is>
      </c>
      <c r="E584" s="4" t="n">
        <v>64625</v>
      </c>
    </row>
    <row r="585">
      <c r="A585" s="3" t="n">
        <v/>
      </c>
      <c r="B585" s="3" t="n">
        <v/>
      </c>
      <c r="C585" s="3" t="inlineStr">
        <is>
          <t>Pipa PPR PN 20 ; DN. 1-1/4" (32 mm) + fitting &amp; aksesoris</t>
        </is>
      </c>
      <c r="D585" s="3" t="inlineStr">
        <is>
          <t>m'</t>
        </is>
      </c>
      <c r="E585" s="4" t="n">
        <v>65000</v>
      </c>
    </row>
    <row r="586">
      <c r="A586" s="3" t="n">
        <v/>
      </c>
      <c r="B586" s="3" t="n">
        <v/>
      </c>
      <c r="C586" s="3" t="inlineStr">
        <is>
          <t xml:space="preserve">Pipa PPR PN 20 Ø 1-1/2" + Aksesois </t>
        </is>
      </c>
      <c r="D586" s="3" t="inlineStr">
        <is>
          <t>m'</t>
        </is>
      </c>
      <c r="E586" s="4" t="n">
        <v>98175</v>
      </c>
    </row>
    <row r="587">
      <c r="A587" s="3" t="n">
        <v/>
      </c>
      <c r="B587" s="3" t="n">
        <v/>
      </c>
      <c r="C587" s="3" t="inlineStr">
        <is>
          <t>Pipa PPR PN 20 ; DN. 1-1/2" (40 mm) + fitting &amp; aksesoris</t>
        </is>
      </c>
      <c r="D587" s="3" t="inlineStr">
        <is>
          <t>m'</t>
        </is>
      </c>
      <c r="E587" s="4" t="n">
        <v>98500</v>
      </c>
    </row>
    <row r="588">
      <c r="A588" s="3" t="n">
        <v/>
      </c>
      <c r="B588" s="3" t="n">
        <v/>
      </c>
      <c r="C588" s="3" t="inlineStr">
        <is>
          <t xml:space="preserve">Pipa PPR PN 20 Ø 2" + Aksesois </t>
        </is>
      </c>
      <c r="D588" s="3" t="inlineStr">
        <is>
          <t>m'</t>
        </is>
      </c>
      <c r="E588" s="4" t="n">
        <v>152625</v>
      </c>
    </row>
    <row r="589">
      <c r="A589" s="3" t="n">
        <v/>
      </c>
      <c r="B589" s="3" t="n">
        <v/>
      </c>
      <c r="C589" s="3" t="inlineStr">
        <is>
          <t>Pipa PPR PN 20 ; DN. 2" (50 mm) + fitting &amp; aksesoris</t>
        </is>
      </c>
      <c r="D589" s="3" t="inlineStr">
        <is>
          <t>m'</t>
        </is>
      </c>
      <c r="E589" s="4" t="n">
        <v>153000</v>
      </c>
    </row>
    <row r="590">
      <c r="A590" s="3" t="n">
        <v/>
      </c>
      <c r="B590" s="3" t="n">
        <v/>
      </c>
      <c r="C590" s="3" t="inlineStr">
        <is>
          <t xml:space="preserve">Pipa PPR PN 20 Ø 2-1/2" + Aksesois </t>
        </is>
      </c>
      <c r="D590" s="3" t="inlineStr">
        <is>
          <t>m'</t>
        </is>
      </c>
      <c r="E590" s="4" t="n">
        <v>214000</v>
      </c>
    </row>
    <row r="591">
      <c r="A591" s="3" t="n">
        <v/>
      </c>
      <c r="B591" s="3" t="n">
        <v/>
      </c>
      <c r="C591" s="3" t="inlineStr">
        <is>
          <t>Pipa PPR PN 20 ; DN. 2-1/2" (65 mm) + fitting &amp; aksesoris</t>
        </is>
      </c>
      <c r="D591" s="3" t="inlineStr">
        <is>
          <t>m'</t>
        </is>
      </c>
      <c r="E591" s="4" t="n">
        <v>214500</v>
      </c>
    </row>
    <row r="592">
      <c r="A592" s="3" t="n">
        <v/>
      </c>
      <c r="B592" s="3" t="n">
        <v/>
      </c>
      <c r="C592" s="3" t="inlineStr">
        <is>
          <t xml:space="preserve">Pipa PPR PN 20 Ø 3" + Aksesois </t>
        </is>
      </c>
      <c r="D592" s="3" t="inlineStr">
        <is>
          <t>m'</t>
        </is>
      </c>
      <c r="E592" s="4" t="n">
        <v>305375</v>
      </c>
    </row>
    <row r="593">
      <c r="A593" s="3" t="n">
        <v/>
      </c>
      <c r="B593" s="3" t="n">
        <v/>
      </c>
      <c r="C593" s="3" t="inlineStr">
        <is>
          <t>Pipa PPR PN 20 ; DN. 3" (80 mm) + fitting &amp; aksesoris</t>
        </is>
      </c>
      <c r="D593" s="3" t="inlineStr">
        <is>
          <t>m'</t>
        </is>
      </c>
      <c r="E593" s="4" t="n">
        <v>305500</v>
      </c>
    </row>
    <row r="594">
      <c r="A594" s="3" t="n">
        <v/>
      </c>
      <c r="B594" s="3" t="n">
        <v/>
      </c>
      <c r="C594" s="3" t="inlineStr">
        <is>
          <t xml:space="preserve">Pipa PPR PN 20 Ø 4" + Aksesois </t>
        </is>
      </c>
      <c r="D594" s="3" t="inlineStr">
        <is>
          <t>m'</t>
        </is>
      </c>
      <c r="E594" s="4" t="n">
        <v>453900</v>
      </c>
    </row>
    <row r="595">
      <c r="A595" s="3" t="n">
        <v/>
      </c>
      <c r="B595" s="3" t="n">
        <v/>
      </c>
      <c r="C595" s="3" t="inlineStr">
        <is>
          <t>Pipa PPR PN 20 ; DN. 4" (100 mm) + fitting &amp; aksesoris</t>
        </is>
      </c>
      <c r="D595" s="3" t="inlineStr">
        <is>
          <t>m'</t>
        </is>
      </c>
      <c r="E595" s="4" t="n">
        <v>454000</v>
      </c>
    </row>
    <row r="596">
      <c r="A596" s="3" t="n">
        <v/>
      </c>
      <c r="B596" s="3" t="n">
        <v/>
      </c>
      <c r="C596" s="3" t="inlineStr">
        <is>
          <t xml:space="preserve">Pipa PPR PN 20 Ø 6" + Aksesois </t>
        </is>
      </c>
      <c r="D596" s="3" t="inlineStr">
        <is>
          <t>m'</t>
        </is>
      </c>
      <c r="E596" s="4" t="n">
        <v>1534825</v>
      </c>
    </row>
    <row r="597">
      <c r="A597" s="3" t="n">
        <v/>
      </c>
      <c r="B597" s="3" t="n">
        <v/>
      </c>
      <c r="C597" s="3" t="inlineStr">
        <is>
          <t>Pipa PPR PN 20 ; DN. 6" (150 mm) + fitting &amp; akseso</t>
        </is>
      </c>
      <c r="D597" s="3" t="inlineStr">
        <is>
          <t>m'</t>
        </is>
      </c>
      <c r="E597" s="4" t="n">
        <v>1535000</v>
      </c>
    </row>
    <row r="598">
      <c r="A598" s="3" t="n">
        <v/>
      </c>
      <c r="B598" s="3" t="n">
        <v/>
      </c>
      <c r="C598" s="3" t="inlineStr">
        <is>
          <t xml:space="preserve">Pipa BS Ø 1/2" + Aksesois </t>
        </is>
      </c>
      <c r="D598" s="3" t="inlineStr">
        <is>
          <t>m'</t>
        </is>
      </c>
      <c r="E598" s="4" t="n">
        <v>30000</v>
      </c>
    </row>
    <row r="599">
      <c r="A599" s="3" t="n">
        <v/>
      </c>
      <c r="B599" s="3" t="n">
        <v/>
      </c>
      <c r="C599" s="3" t="inlineStr">
        <is>
          <t>Pipa BS MED CLASS ; DN. 1/2" (15 mm) + fitting &amp; aksesoris</t>
        </is>
      </c>
      <c r="D599" s="3" t="inlineStr">
        <is>
          <t>m'</t>
        </is>
      </c>
      <c r="E599" s="4" t="n">
        <v>30500</v>
      </c>
    </row>
    <row r="600">
      <c r="A600" s="3" t="n">
        <v/>
      </c>
      <c r="B600" s="3" t="n">
        <v/>
      </c>
      <c r="C600" s="3" t="inlineStr">
        <is>
          <t xml:space="preserve">Pipa BS Ø 3/4" + Aksesois </t>
        </is>
      </c>
      <c r="D600" s="3" t="inlineStr">
        <is>
          <t>m'</t>
        </is>
      </c>
      <c r="E600" s="4" t="n">
        <v>37000</v>
      </c>
    </row>
    <row r="601">
      <c r="A601" s="3" t="n">
        <v/>
      </c>
      <c r="B601" s="3" t="n">
        <v/>
      </c>
      <c r="C601" s="3" t="inlineStr">
        <is>
          <t>Pipa BS MED CLASS ; DN. 3/4" (20 mm) + fitting &amp; aksesoris</t>
        </is>
      </c>
      <c r="D601" s="3" t="inlineStr">
        <is>
          <t>m'</t>
        </is>
      </c>
      <c r="E601" s="4" t="n">
        <v>37500</v>
      </c>
    </row>
    <row r="602">
      <c r="A602" s="3" t="n">
        <v/>
      </c>
      <c r="B602" s="3" t="n">
        <v/>
      </c>
      <c r="C602" s="3" t="inlineStr">
        <is>
          <t xml:space="preserve">Pipa BS Ø 1" + Aksesois </t>
        </is>
      </c>
      <c r="D602" s="3" t="inlineStr">
        <is>
          <t>m'</t>
        </is>
      </c>
      <c r="E602" s="4" t="n">
        <v>52500</v>
      </c>
    </row>
    <row r="603">
      <c r="A603" s="3" t="n">
        <v/>
      </c>
      <c r="B603" s="3" t="n">
        <v/>
      </c>
      <c r="C603" s="3" t="inlineStr">
        <is>
          <t>Pipa BS MED CLASS ; DN. 1" (25 mm) + fitting &amp; aksesoris</t>
        </is>
      </c>
      <c r="D603" s="3" t="inlineStr">
        <is>
          <t>m'</t>
        </is>
      </c>
      <c r="E603" s="4" t="n">
        <v>53000</v>
      </c>
    </row>
    <row r="604">
      <c r="A604" s="3" t="n">
        <v/>
      </c>
      <c r="B604" s="3" t="n">
        <v/>
      </c>
      <c r="C604" s="3" t="inlineStr">
        <is>
          <t xml:space="preserve">Pipa BS Ø 1-1/4" + Aksesois </t>
        </is>
      </c>
      <c r="D604" s="3" t="inlineStr">
        <is>
          <t>m'</t>
        </is>
      </c>
      <c r="E604" s="4" t="n">
        <v>67500</v>
      </c>
    </row>
    <row r="605">
      <c r="A605" s="3" t="n">
        <v/>
      </c>
      <c r="B605" s="3" t="n">
        <v/>
      </c>
      <c r="C605" s="3" t="inlineStr">
        <is>
          <t>Pipa BS MED CLASS DN. 1-1/4" (32 mm) + fitting &amp; aksesoris</t>
        </is>
      </c>
      <c r="D605" s="3" t="inlineStr">
        <is>
          <t>m'</t>
        </is>
      </c>
      <c r="E605" s="4" t="n">
        <v>68000</v>
      </c>
    </row>
    <row r="606">
      <c r="A606" s="3" t="n">
        <v/>
      </c>
      <c r="B606" s="3" t="inlineStr">
        <is>
          <t xml:space="preserve"> </t>
        </is>
      </c>
      <c r="C606" s="3" t="inlineStr">
        <is>
          <t xml:space="preserve">Pipa BS Ø 1-1/2" + Aksesois </t>
        </is>
      </c>
      <c r="D606" s="3" t="inlineStr">
        <is>
          <t>m'</t>
        </is>
      </c>
      <c r="E606" s="4" t="n">
        <v>76666.66666666667</v>
      </c>
    </row>
    <row r="607">
      <c r="A607" s="3" t="n">
        <v/>
      </c>
      <c r="B607" s="3" t="n">
        <v/>
      </c>
      <c r="C607" s="3" t="inlineStr">
        <is>
          <t>Pipa BS MED CLASS DN. 1-1/2" (40 mm) + fitting &amp; aksesoris</t>
        </is>
      </c>
      <c r="D607" s="3" t="inlineStr">
        <is>
          <t>m'</t>
        </is>
      </c>
      <c r="E607" s="4" t="n">
        <v>77000</v>
      </c>
    </row>
    <row r="608">
      <c r="A608" s="3" t="n">
        <v/>
      </c>
      <c r="B608" s="3" t="n">
        <v/>
      </c>
      <c r="C608" s="3" t="inlineStr">
        <is>
          <t xml:space="preserve">Pipa BS Ø 2" + Aksesois </t>
        </is>
      </c>
      <c r="D608" s="3" t="inlineStr">
        <is>
          <t>m'</t>
        </is>
      </c>
      <c r="E608" s="4" t="n">
        <v>102666.6666666667</v>
      </c>
    </row>
    <row r="609">
      <c r="A609" s="3" t="n">
        <v/>
      </c>
      <c r="B609" s="3" t="n">
        <v/>
      </c>
      <c r="C609" s="3" t="inlineStr">
        <is>
          <t>Pipa BS MED CLASS ; DN. 2" (50 mm) + fitting &amp; aksesoris</t>
        </is>
      </c>
      <c r="D609" s="3" t="inlineStr">
        <is>
          <t>m'</t>
        </is>
      </c>
      <c r="E609" s="4" t="n">
        <v>103000</v>
      </c>
    </row>
    <row r="610">
      <c r="A610" s="3" t="n">
        <v/>
      </c>
      <c r="B610" s="3" t="n">
        <v/>
      </c>
      <c r="C610" s="3" t="inlineStr">
        <is>
          <t xml:space="preserve">Pipa BS Ø 2-1/2" + Aksesois </t>
        </is>
      </c>
      <c r="D610" s="3" t="inlineStr">
        <is>
          <t>m'</t>
        </is>
      </c>
      <c r="E610" s="4" t="n">
        <v>129333.3333333333</v>
      </c>
    </row>
    <row r="611">
      <c r="A611" s="3" t="n">
        <v/>
      </c>
      <c r="B611" s="3" t="n">
        <v/>
      </c>
      <c r="C611" s="3" t="inlineStr">
        <is>
          <t>Pipa BS MED CLASS DN. 2-1/2" (65 mm) + fitting &amp; aksesoris</t>
        </is>
      </c>
      <c r="D611" s="3" t="inlineStr">
        <is>
          <t>m'</t>
        </is>
      </c>
      <c r="E611" s="4" t="n">
        <v>130000</v>
      </c>
    </row>
    <row r="612">
      <c r="A612" s="3" t="n">
        <v/>
      </c>
      <c r="B612" s="3" t="n">
        <v/>
      </c>
      <c r="C612" s="3" t="inlineStr">
        <is>
          <t xml:space="preserve">Pipa BS  Ø 3" + Aksesois </t>
        </is>
      </c>
      <c r="D612" s="3" t="inlineStr">
        <is>
          <t>m'</t>
        </is>
      </c>
      <c r="E612" s="4" t="n">
        <v>165500</v>
      </c>
    </row>
    <row r="613">
      <c r="A613" s="3" t="n">
        <v/>
      </c>
      <c r="B613" s="3" t="n">
        <v/>
      </c>
      <c r="C613" s="3" t="inlineStr">
        <is>
          <t>Pipa BS MED CLASS ; DN. 3" (80 mm) + fitting &amp; aksesoris</t>
        </is>
      </c>
      <c r="D613" s="3" t="inlineStr">
        <is>
          <t>m'</t>
        </is>
      </c>
      <c r="E613" s="4" t="n">
        <v>166000</v>
      </c>
    </row>
    <row r="614">
      <c r="A614" s="3" t="n">
        <v/>
      </c>
      <c r="B614" s="3" t="n">
        <v/>
      </c>
      <c r="C614" s="3" t="inlineStr">
        <is>
          <t xml:space="preserve">Pipa BS Ø 4" + Aksesois </t>
        </is>
      </c>
      <c r="D614" s="3" t="inlineStr">
        <is>
          <t>m'</t>
        </is>
      </c>
      <c r="E614" s="4" t="n">
        <v>237166.6666666666</v>
      </c>
    </row>
    <row r="615">
      <c r="A615" s="3" t="n">
        <v/>
      </c>
      <c r="B615" s="3" t="n">
        <v/>
      </c>
      <c r="C615" s="3" t="inlineStr">
        <is>
          <t>Pipa BS MED CLASS ; DN. 4" (100 mm) + fitting &amp; aksesoris</t>
        </is>
      </c>
      <c r="D615" s="3" t="inlineStr">
        <is>
          <t>m'</t>
        </is>
      </c>
      <c r="E615" s="4" t="n">
        <v>237500</v>
      </c>
    </row>
    <row r="616">
      <c r="A616" s="3" t="n">
        <v/>
      </c>
      <c r="B616" s="3" t="n">
        <v/>
      </c>
      <c r="C616" s="3" t="inlineStr">
        <is>
          <t xml:space="preserve">Pipa BS Ø 5" + Aksesois </t>
        </is>
      </c>
      <c r="D616" s="3" t="inlineStr">
        <is>
          <t>m'</t>
        </is>
      </c>
      <c r="E616" s="4" t="n">
        <v>317166.6666666667</v>
      </c>
    </row>
    <row r="617">
      <c r="A617" s="3" t="n">
        <v/>
      </c>
      <c r="B617" s="3" t="n">
        <v/>
      </c>
      <c r="C617" s="3" t="inlineStr">
        <is>
          <t>Pipa BS MED CLASS ; DN. 5" (125 mm) + fitting &amp; aksesoris</t>
        </is>
      </c>
      <c r="D617" s="3" t="inlineStr">
        <is>
          <t>m'</t>
        </is>
      </c>
      <c r="E617" s="4" t="n">
        <v>317500</v>
      </c>
    </row>
    <row r="618">
      <c r="A618" s="3" t="n">
        <v/>
      </c>
      <c r="B618" s="3" t="n">
        <v/>
      </c>
      <c r="C618" s="3" t="inlineStr">
        <is>
          <t xml:space="preserve">Pipa BS Ø 6" + Aksesois </t>
        </is>
      </c>
      <c r="D618" s="3" t="inlineStr">
        <is>
          <t>m'</t>
        </is>
      </c>
      <c r="E618" s="4" t="n">
        <v>376500</v>
      </c>
    </row>
    <row r="619">
      <c r="A619" s="3" t="n">
        <v/>
      </c>
      <c r="B619" s="3" t="n">
        <v/>
      </c>
      <c r="C619" s="3" t="inlineStr">
        <is>
          <t>Pipa BS MED CLASS ; DN. 6" (150 mm) + fitting &amp; aksesoris</t>
        </is>
      </c>
      <c r="D619" s="3" t="inlineStr">
        <is>
          <t>m'</t>
        </is>
      </c>
      <c r="E619" s="4" t="n">
        <v>377000</v>
      </c>
    </row>
    <row r="620">
      <c r="A620" s="3" t="n">
        <v/>
      </c>
      <c r="B620" s="3" t="n">
        <v/>
      </c>
      <c r="C620" s="3" t="inlineStr">
        <is>
          <t xml:space="preserve">Pipa BS Ø 8" + Aksesois </t>
        </is>
      </c>
      <c r="D620" s="3" t="inlineStr">
        <is>
          <t>m'</t>
        </is>
      </c>
      <c r="E620" s="4" t="n">
        <v>663000</v>
      </c>
    </row>
    <row r="621">
      <c r="A621" s="3" t="n">
        <v/>
      </c>
      <c r="B621" s="3" t="n">
        <v/>
      </c>
      <c r="C621" s="3" t="inlineStr">
        <is>
          <t>Pipa BS MED CLASS ; DN. 8" (200 mm) + fitting &amp; aksesoris</t>
        </is>
      </c>
      <c r="D621" s="3" t="inlineStr">
        <is>
          <t>m'</t>
        </is>
      </c>
      <c r="E621" s="4" t="n">
        <v>663500</v>
      </c>
    </row>
    <row r="622">
      <c r="A622" s="3" t="n">
        <v/>
      </c>
      <c r="B622" s="3" t="n">
        <v/>
      </c>
      <c r="C622" s="3" t="inlineStr">
        <is>
          <t>Pipa BS MED CLASS ; DN. 10" (250 mm) + fitting &amp; aksesoris</t>
        </is>
      </c>
      <c r="D622" s="3" t="inlineStr">
        <is>
          <t>m'</t>
        </is>
      </c>
      <c r="E622" s="4" t="n">
        <v>756000</v>
      </c>
    </row>
    <row r="623">
      <c r="A623" s="3" t="n">
        <v/>
      </c>
      <c r="B623" s="3" t="n">
        <v/>
      </c>
      <c r="C623" s="3" t="inlineStr">
        <is>
          <t xml:space="preserve">Pipa BS Ø 10" + Aksesois </t>
        </is>
      </c>
      <c r="D623" s="3" t="inlineStr">
        <is>
          <t>m'</t>
        </is>
      </c>
      <c r="E623" s="4" t="n">
        <v>755916.6666666665</v>
      </c>
    </row>
    <row r="624">
      <c r="A624" s="3" t="n">
        <v/>
      </c>
      <c r="B624" s="3" t="n">
        <v/>
      </c>
      <c r="C624" s="3" t="inlineStr">
        <is>
          <t>Pipa BS MED CLASS ; DN. 12" (300 mm) + fitting &amp; aksesoris</t>
        </is>
      </c>
      <c r="D624" s="3" t="inlineStr">
        <is>
          <t>m'</t>
        </is>
      </c>
      <c r="E624" s="4" t="n">
        <v>883000</v>
      </c>
    </row>
    <row r="625">
      <c r="A625" s="3" t="n">
        <v/>
      </c>
      <c r="B625" s="3" t="n">
        <v/>
      </c>
      <c r="C625" s="3" t="inlineStr">
        <is>
          <t xml:space="preserve">Pipa BS Ø 12" + Aksesois </t>
        </is>
      </c>
      <c r="D625" s="3" t="inlineStr">
        <is>
          <t>m'</t>
        </is>
      </c>
      <c r="E625" s="4" t="n">
        <v>882666.6666666665</v>
      </c>
    </row>
    <row r="626">
      <c r="A626" s="3" t="n">
        <v/>
      </c>
      <c r="B626" s="3" t="n">
        <v/>
      </c>
      <c r="C626" s="3" t="inlineStr">
        <is>
          <t>Pipa BS MED CLASS ; DN. 14" (350 mm) + fitting &amp; aksesoris</t>
        </is>
      </c>
      <c r="D626" s="3" t="inlineStr">
        <is>
          <t>m'</t>
        </is>
      </c>
      <c r="E626" s="4" t="n">
        <v>1086000</v>
      </c>
    </row>
    <row r="627">
      <c r="A627" s="3" t="n">
        <v/>
      </c>
      <c r="B627" s="3" t="n">
        <v/>
      </c>
      <c r="C627" s="3" t="inlineStr">
        <is>
          <t xml:space="preserve">Pipa BS Ø 14" + Aksesois </t>
        </is>
      </c>
      <c r="D627" s="3" t="inlineStr">
        <is>
          <t>m'</t>
        </is>
      </c>
      <c r="E627" s="4" t="n">
        <v>1085500</v>
      </c>
    </row>
    <row r="628">
      <c r="A628" s="3" t="n">
        <v/>
      </c>
      <c r="B628" s="3" t="n">
        <v/>
      </c>
      <c r="C628" s="3" t="inlineStr">
        <is>
          <t>Pipa BS MED CLASS ; DN. 16" (400 mm) + fitting &amp; aksesoris</t>
        </is>
      </c>
      <c r="D628" s="3" t="inlineStr">
        <is>
          <t>m'</t>
        </is>
      </c>
      <c r="E628" s="4" t="n">
        <v>1241000</v>
      </c>
    </row>
    <row r="629">
      <c r="A629" s="3" t="n">
        <v/>
      </c>
      <c r="B629" s="3" t="n">
        <v/>
      </c>
      <c r="C629" s="3" t="inlineStr">
        <is>
          <t xml:space="preserve">Pipa BS Ø 16" + Aksesois </t>
        </is>
      </c>
      <c r="D629" s="3" t="inlineStr">
        <is>
          <t>m'</t>
        </is>
      </c>
      <c r="E629" s="4" t="n">
        <v>1240500</v>
      </c>
    </row>
    <row r="630">
      <c r="A630" s="3" t="n">
        <v/>
      </c>
      <c r="B630" s="3" t="n">
        <v/>
      </c>
      <c r="C630" s="3" t="inlineStr">
        <is>
          <t>Pipa BS SCH 40 ; DN. 1/2" (15 mm) + fitting &amp; aksesoris</t>
        </is>
      </c>
      <c r="D630" s="3" t="inlineStr">
        <is>
          <t>m'</t>
        </is>
      </c>
      <c r="E630" s="4" t="n">
        <v>250000</v>
      </c>
    </row>
    <row r="631">
      <c r="A631" s="3" t="n">
        <v/>
      </c>
      <c r="B631" s="3" t="n">
        <v/>
      </c>
      <c r="C631" s="3" t="inlineStr">
        <is>
          <t>Pipa BS SCH 40 ; DN. 3/4" (20 mm) + fitting &amp; aksesoris</t>
        </is>
      </c>
      <c r="D631" s="3" t="inlineStr">
        <is>
          <t>m'</t>
        </is>
      </c>
      <c r="E631" s="4" t="n">
        <v>260000</v>
      </c>
    </row>
    <row r="632">
      <c r="A632" s="3" t="n">
        <v/>
      </c>
      <c r="B632" s="3" t="n">
        <v/>
      </c>
      <c r="C632" s="3" t="inlineStr">
        <is>
          <t>Pipa BS SCH 40 ; DN. 1-1/4" (32 mm) + fitting &amp; aksesoris</t>
        </is>
      </c>
      <c r="D632" s="3" t="inlineStr">
        <is>
          <t>m'</t>
        </is>
      </c>
      <c r="E632" s="4" t="n">
        <v>270000</v>
      </c>
    </row>
    <row r="633">
      <c r="A633" s="3" t="n">
        <v/>
      </c>
      <c r="B633" s="3" t="n">
        <v/>
      </c>
      <c r="C633" s="3" t="inlineStr">
        <is>
          <t>Pipa BS SCH 40 ; DN. 1-1/2" (40 mm) + fitting &amp; aksesoris</t>
        </is>
      </c>
      <c r="D633" s="3" t="inlineStr">
        <is>
          <t>m'</t>
        </is>
      </c>
      <c r="E633" s="4" t="n">
        <v>280000</v>
      </c>
    </row>
    <row r="634">
      <c r="A634" s="3" t="n">
        <v/>
      </c>
      <c r="B634" s="3" t="n">
        <v/>
      </c>
      <c r="C634" s="3" t="inlineStr">
        <is>
          <t>Pipa BS SCH 40 ; DN. 2" (50 mm) + fitting &amp; aksesoris</t>
        </is>
      </c>
      <c r="D634" s="3" t="inlineStr">
        <is>
          <t>m'</t>
        </is>
      </c>
      <c r="E634" s="4" t="n">
        <v>290000</v>
      </c>
    </row>
    <row r="635">
      <c r="A635" s="3" t="n">
        <v/>
      </c>
      <c r="B635" s="3" t="n">
        <v/>
      </c>
      <c r="C635" s="3" t="inlineStr">
        <is>
          <t>Pipa BS SCH 40 ; DN. 2-1/2" (65 mm) + fitting &amp; aksesoris</t>
        </is>
      </c>
      <c r="D635" s="3" t="inlineStr">
        <is>
          <t>m'</t>
        </is>
      </c>
      <c r="E635" s="4" t="n">
        <v>300000</v>
      </c>
    </row>
    <row r="636">
      <c r="A636" s="3" t="n">
        <v/>
      </c>
      <c r="B636" s="3" t="n">
        <v/>
      </c>
      <c r="C636" s="3" t="inlineStr">
        <is>
          <t>Pipa BS SCH 40 ; DN. 3" (80 mm) + fitting &amp; aksesoris</t>
        </is>
      </c>
      <c r="D636" s="3" t="inlineStr">
        <is>
          <t>m'</t>
        </is>
      </c>
      <c r="E636" s="4" t="n">
        <v>310000</v>
      </c>
    </row>
    <row r="637">
      <c r="A637" s="3" t="n">
        <v/>
      </c>
      <c r="B637" s="3" t="n">
        <v/>
      </c>
      <c r="C637" s="3" t="inlineStr">
        <is>
          <t>Pipa BS SCH 40 ; DN. 4" (100 mm) + fitting &amp; aksesoris</t>
        </is>
      </c>
      <c r="D637" s="3" t="inlineStr">
        <is>
          <t>m'</t>
        </is>
      </c>
      <c r="E637" s="4" t="n">
        <v>320000</v>
      </c>
    </row>
    <row r="638">
      <c r="A638" s="3" t="n">
        <v/>
      </c>
      <c r="B638" s="3" t="n">
        <v/>
      </c>
      <c r="C638" s="3" t="inlineStr">
        <is>
          <t>Pipa BS SCH 40 ; DN. 5" (125 mm) + fitting &amp; aksesoris</t>
        </is>
      </c>
      <c r="D638" s="3" t="inlineStr">
        <is>
          <t>m'</t>
        </is>
      </c>
      <c r="E638" s="4" t="n">
        <v>330000</v>
      </c>
    </row>
    <row r="639">
      <c r="A639" s="3" t="n">
        <v/>
      </c>
      <c r="B639" s="3" t="n">
        <v/>
      </c>
      <c r="C639" s="3" t="inlineStr">
        <is>
          <t>Pipa BS SCH 40 ; DN. 6" (150 mm) + fitting &amp; aksesoris</t>
        </is>
      </c>
      <c r="D639" s="3" t="inlineStr">
        <is>
          <t>m'</t>
        </is>
      </c>
      <c r="E639" s="4" t="n">
        <v>340000</v>
      </c>
    </row>
    <row r="640">
      <c r="A640" s="3" t="n">
        <v/>
      </c>
      <c r="B640" s="3" t="n">
        <v/>
      </c>
      <c r="C640" s="3" t="inlineStr">
        <is>
          <t>Pipa BS SCH 40 ; DN. 8" (200 mm) + fitting &amp; aksesoris</t>
        </is>
      </c>
      <c r="D640" s="3" t="inlineStr">
        <is>
          <t>m'</t>
        </is>
      </c>
      <c r="E640" s="4" t="n">
        <v>350000</v>
      </c>
    </row>
    <row r="641">
      <c r="A641" s="3" t="n">
        <v/>
      </c>
      <c r="B641" s="3" t="n">
        <v/>
      </c>
      <c r="C641" s="3" t="inlineStr">
        <is>
          <t>Pipa BS SCH 40 ; DN. 10" (250 mm) + fitting &amp; aksesoris</t>
        </is>
      </c>
      <c r="D641" s="3" t="inlineStr">
        <is>
          <t>m'</t>
        </is>
      </c>
      <c r="E641" s="4" t="n">
        <v>360000</v>
      </c>
    </row>
    <row r="642">
      <c r="A642" s="3" t="n">
        <v/>
      </c>
      <c r="B642" s="3" t="n">
        <v/>
      </c>
      <c r="C642" s="3" t="inlineStr">
        <is>
          <t>Pipa BS SCH 40 ; DN. 12" (300 mm) + fitting &amp; aksesoris</t>
        </is>
      </c>
      <c r="D642" s="3" t="inlineStr">
        <is>
          <t>m'</t>
        </is>
      </c>
      <c r="E642" s="4" t="n">
        <v>370000</v>
      </c>
    </row>
    <row r="643">
      <c r="A643" s="3" t="n">
        <v/>
      </c>
      <c r="B643" s="3" t="n">
        <v/>
      </c>
      <c r="C643" s="3" t="inlineStr">
        <is>
          <t>Pipa BS SCH 40 ; DN. 14" (350 mm) + fitting &amp; aksesoris</t>
        </is>
      </c>
      <c r="D643" s="3" t="inlineStr">
        <is>
          <t>m'</t>
        </is>
      </c>
      <c r="E643" s="4" t="n">
        <v>380000</v>
      </c>
    </row>
    <row r="644">
      <c r="A644" s="3" t="n">
        <v/>
      </c>
      <c r="B644" s="3" t="n">
        <v/>
      </c>
      <c r="C644" s="3" t="inlineStr">
        <is>
          <t>Pipa BS SCH 40 ; DN. 16" (400 mm) + fitting &amp; aksesoris</t>
        </is>
      </c>
      <c r="D644" s="3" t="inlineStr">
        <is>
          <t>m'</t>
        </is>
      </c>
      <c r="E644" s="4" t="n">
        <v>390000</v>
      </c>
    </row>
    <row r="645">
      <c r="A645" s="3" t="n">
        <v/>
      </c>
      <c r="B645" s="3" t="n">
        <v/>
      </c>
      <c r="C645" s="3" t="inlineStr">
        <is>
          <t>Pipa Tanah, DN. 6" (150 mm</t>
        </is>
      </c>
      <c r="D645" s="3" t="inlineStr">
        <is>
          <t>m'</t>
        </is>
      </c>
      <c r="E645" s="4" t="n">
        <v>187500</v>
      </c>
    </row>
    <row r="646">
      <c r="A646" s="3" t="n">
        <v/>
      </c>
      <c r="B646" s="3" t="n">
        <v/>
      </c>
      <c r="C646" s="3" t="inlineStr">
        <is>
          <t>Pipa Tanah, DN. 8" (200 mm)</t>
        </is>
      </c>
      <c r="D646" s="3" t="inlineStr">
        <is>
          <t>m'</t>
        </is>
      </c>
      <c r="E646" s="4" t="n">
        <v>205000</v>
      </c>
    </row>
    <row r="647">
      <c r="A647" s="3" t="n">
        <v/>
      </c>
      <c r="B647" s="3" t="n">
        <v/>
      </c>
      <c r="C647" s="3" t="inlineStr">
        <is>
          <t>Gate Valve dia. 1/2"</t>
        </is>
      </c>
      <c r="D647" s="3" t="inlineStr">
        <is>
          <t xml:space="preserve">unit </t>
        </is>
      </c>
      <c r="E647" s="4" t="n">
        <v>1500000</v>
      </c>
    </row>
    <row r="648">
      <c r="A648" s="3" t="n">
        <v/>
      </c>
      <c r="B648" s="3" t="n">
        <v/>
      </c>
      <c r="C648" s="3" t="inlineStr">
        <is>
          <t>Gate Valve dia. 3/4"</t>
        </is>
      </c>
      <c r="D648" s="3" t="inlineStr">
        <is>
          <t xml:space="preserve">unit </t>
        </is>
      </c>
      <c r="E648" s="4" t="n">
        <v>1700000</v>
      </c>
    </row>
    <row r="649">
      <c r="A649" s="3" t="n">
        <v/>
      </c>
      <c r="B649" s="3" t="n">
        <v/>
      </c>
      <c r="C649" s="3" t="inlineStr">
        <is>
          <t>Gate Valve dia. 1"</t>
        </is>
      </c>
      <c r="D649" s="3" t="inlineStr">
        <is>
          <t xml:space="preserve">unit </t>
        </is>
      </c>
      <c r="E649" s="4" t="n">
        <v>1900000</v>
      </c>
    </row>
    <row r="650">
      <c r="A650" s="3" t="n">
        <v/>
      </c>
      <c r="B650" s="3" t="n">
        <v/>
      </c>
      <c r="C650" s="3" t="inlineStr">
        <is>
          <t>Gate Valve dia. 1-1/4"</t>
        </is>
      </c>
      <c r="D650" s="3" t="inlineStr">
        <is>
          <t xml:space="preserve">unit </t>
        </is>
      </c>
      <c r="E650" s="4" t="n">
        <v>2050000</v>
      </c>
    </row>
    <row r="651">
      <c r="A651" s="3" t="n">
        <v/>
      </c>
      <c r="B651" s="3" t="n">
        <v/>
      </c>
      <c r="C651" s="3" t="inlineStr">
        <is>
          <t>Gate Valve dia. 1-1/2"</t>
        </is>
      </c>
      <c r="D651" s="3" t="inlineStr">
        <is>
          <t xml:space="preserve">unit </t>
        </is>
      </c>
      <c r="E651" s="4" t="n">
        <v>2125000</v>
      </c>
    </row>
    <row r="652">
      <c r="A652" s="3" t="n">
        <v/>
      </c>
      <c r="B652" s="3" t="n">
        <v/>
      </c>
      <c r="C652" s="3" t="inlineStr">
        <is>
          <t>Gate Valve dia.2"</t>
        </is>
      </c>
      <c r="D652" s="3" t="inlineStr">
        <is>
          <t xml:space="preserve">unit </t>
        </is>
      </c>
      <c r="E652" s="4" t="n">
        <v>2315000</v>
      </c>
    </row>
    <row r="653">
      <c r="A653" s="3" t="n">
        <v/>
      </c>
      <c r="B653" s="3" t="n">
        <v/>
      </c>
      <c r="C653" s="3" t="inlineStr">
        <is>
          <t>Gate Valve dia.2-1/2"</t>
        </is>
      </c>
      <c r="D653" s="3" t="inlineStr">
        <is>
          <t xml:space="preserve">unit </t>
        </is>
      </c>
      <c r="E653" s="4" t="n">
        <v>2475000</v>
      </c>
    </row>
    <row r="654">
      <c r="A654" s="3" t="n">
        <v/>
      </c>
      <c r="B654" s="3" t="n">
        <v/>
      </c>
      <c r="C654" s="3" t="inlineStr">
        <is>
          <t>Gate Valve dia.3"</t>
        </is>
      </c>
      <c r="D654" s="3" t="inlineStr">
        <is>
          <t xml:space="preserve">unit </t>
        </is>
      </c>
      <c r="E654" s="4" t="n">
        <v>2750000</v>
      </c>
    </row>
    <row r="655">
      <c r="A655" s="3" t="n">
        <v/>
      </c>
      <c r="B655" s="3" t="n">
        <v/>
      </c>
      <c r="C655" s="3" t="inlineStr">
        <is>
          <t>Gate Valve dia.4"</t>
        </is>
      </c>
      <c r="D655" s="3" t="inlineStr">
        <is>
          <t xml:space="preserve">unit </t>
        </is>
      </c>
      <c r="E655" s="4" t="n">
        <v>2995000</v>
      </c>
    </row>
    <row r="656">
      <c r="A656" s="3" t="n">
        <v/>
      </c>
      <c r="B656" s="3" t="n">
        <v/>
      </c>
      <c r="C656" s="3" t="inlineStr">
        <is>
          <t>Gate Valve dia.5"</t>
        </is>
      </c>
      <c r="D656" s="3" t="inlineStr">
        <is>
          <t xml:space="preserve">unit </t>
        </is>
      </c>
      <c r="E656" s="4" t="n">
        <v>3250000</v>
      </c>
    </row>
    <row r="657">
      <c r="A657" s="3" t="n">
        <v/>
      </c>
      <c r="B657" s="3" t="n">
        <v/>
      </c>
      <c r="C657" s="3" t="inlineStr">
        <is>
          <t>Gate Valve dia.6"</t>
        </is>
      </c>
      <c r="D657" s="3" t="inlineStr">
        <is>
          <t xml:space="preserve">unit </t>
        </is>
      </c>
      <c r="E657" s="4" t="n">
        <v>3570000</v>
      </c>
    </row>
    <row r="658">
      <c r="A658" s="3" t="n">
        <v/>
      </c>
      <c r="B658" s="3" t="n">
        <v/>
      </c>
      <c r="C658" s="3" t="inlineStr">
        <is>
          <t>Gate Valve dia.8"</t>
        </is>
      </c>
      <c r="D658" s="3" t="inlineStr">
        <is>
          <t xml:space="preserve">unit </t>
        </is>
      </c>
      <c r="E658" s="4" t="n">
        <v>3950000</v>
      </c>
    </row>
    <row r="659">
      <c r="A659" s="3" t="n">
        <v/>
      </c>
      <c r="B659" s="3" t="n">
        <v/>
      </c>
      <c r="C659" s="3" t="inlineStr">
        <is>
          <t>Gate Valve dia.10"</t>
        </is>
      </c>
      <c r="D659" s="3" t="inlineStr">
        <is>
          <t xml:space="preserve">unit </t>
        </is>
      </c>
      <c r="E659" s="4" t="n">
        <v>4210000</v>
      </c>
    </row>
    <row r="660">
      <c r="A660" s="3" t="n">
        <v/>
      </c>
      <c r="B660" s="3" t="n">
        <v/>
      </c>
      <c r="C660" s="3" t="inlineStr">
        <is>
          <t>Gate Valve dia.12"</t>
        </is>
      </c>
      <c r="D660" s="3" t="inlineStr">
        <is>
          <t xml:space="preserve">unit </t>
        </is>
      </c>
      <c r="E660" s="4" t="n">
        <v>4520000</v>
      </c>
    </row>
    <row r="661">
      <c r="A661" s="3" t="n">
        <v/>
      </c>
      <c r="B661" s="3" t="n">
        <v/>
      </c>
      <c r="C661" s="3" t="inlineStr">
        <is>
          <t>Gate Valve dia.6"</t>
        </is>
      </c>
      <c r="D661" s="3" t="inlineStr">
        <is>
          <t xml:space="preserve">unit </t>
        </is>
      </c>
      <c r="E661" s="4" t="n">
        <v>5750000</v>
      </c>
    </row>
    <row r="662">
      <c r="A662" s="3" t="n">
        <v/>
      </c>
      <c r="B662" s="3" t="n">
        <v/>
      </c>
      <c r="C662" s="3" t="inlineStr">
        <is>
          <t>Ball Velve dia. 1/2"</t>
        </is>
      </c>
      <c r="D662" s="3" t="inlineStr">
        <is>
          <t xml:space="preserve">unit </t>
        </is>
      </c>
      <c r="E662" s="4" t="n">
        <v>25000</v>
      </c>
    </row>
    <row r="663">
      <c r="A663" s="3" t="n">
        <v/>
      </c>
      <c r="B663" s="3" t="n">
        <v/>
      </c>
      <c r="C663" s="3" t="inlineStr">
        <is>
          <t>Ball Velve dia. 3/4"</t>
        </is>
      </c>
      <c r="D663" s="3" t="inlineStr">
        <is>
          <t xml:space="preserve">unit </t>
        </is>
      </c>
      <c r="E663" s="4" t="n">
        <v>36750</v>
      </c>
    </row>
    <row r="664">
      <c r="A664" s="3" t="n">
        <v/>
      </c>
      <c r="B664" s="3" t="n">
        <v/>
      </c>
      <c r="C664" s="3" t="inlineStr">
        <is>
          <t>Ball Velve dia. 1"</t>
        </is>
      </c>
      <c r="D664" s="3" t="inlineStr">
        <is>
          <t xml:space="preserve">unit </t>
        </is>
      </c>
      <c r="E664" s="4" t="n">
        <v>46100</v>
      </c>
    </row>
    <row r="665">
      <c r="A665" s="3" t="n">
        <v/>
      </c>
      <c r="B665" s="3" t="n">
        <v/>
      </c>
      <c r="C665" s="3" t="inlineStr">
        <is>
          <t>Ball Velve dia. 1-1/4"</t>
        </is>
      </c>
      <c r="D665" s="3" t="inlineStr">
        <is>
          <t xml:space="preserve">unit </t>
        </is>
      </c>
      <c r="E665" s="4" t="n">
        <v>68000</v>
      </c>
    </row>
    <row r="666">
      <c r="A666" s="3" t="n">
        <v/>
      </c>
      <c r="B666" s="3" t="n">
        <v/>
      </c>
      <c r="C666" s="3" t="inlineStr">
        <is>
          <t>Ball Velve dia. 1-1/2"</t>
        </is>
      </c>
      <c r="D666" s="3" t="inlineStr">
        <is>
          <t xml:space="preserve">unit </t>
        </is>
      </c>
      <c r="E666" s="4" t="n">
        <v>79000</v>
      </c>
    </row>
    <row r="667">
      <c r="A667" s="3" t="n">
        <v/>
      </c>
      <c r="B667" s="3" t="n">
        <v/>
      </c>
      <c r="C667" s="3" t="inlineStr">
        <is>
          <t>Ball Velve dia. 2"</t>
        </is>
      </c>
      <c r="D667" s="3" t="inlineStr">
        <is>
          <t xml:space="preserve">unit </t>
        </is>
      </c>
      <c r="E667" s="4" t="n">
        <v>118000</v>
      </c>
    </row>
    <row r="668">
      <c r="A668" s="3" t="n">
        <v/>
      </c>
      <c r="B668" s="3" t="n">
        <v/>
      </c>
      <c r="C668" s="3" t="inlineStr">
        <is>
          <t>Ball Velve dia. 2-1/2"</t>
        </is>
      </c>
      <c r="D668" s="3" t="inlineStr">
        <is>
          <t xml:space="preserve">unit </t>
        </is>
      </c>
      <c r="E668" s="4" t="n">
        <v>145000</v>
      </c>
    </row>
    <row r="669">
      <c r="A669" s="3" t="n">
        <v/>
      </c>
      <c r="B669" s="3" t="n">
        <v/>
      </c>
      <c r="C669" s="3" t="inlineStr">
        <is>
          <t>Ball Velve dia. 3"</t>
        </is>
      </c>
      <c r="D669" s="3" t="inlineStr">
        <is>
          <t xml:space="preserve">unit </t>
        </is>
      </c>
      <c r="E669" s="4" t="n">
        <v>215000</v>
      </c>
    </row>
    <row r="670">
      <c r="A670" s="3" t="n">
        <v/>
      </c>
      <c r="B670" s="3" t="n">
        <v/>
      </c>
      <c r="C670" s="3" t="inlineStr">
        <is>
          <t>Ball Velve dia. 4"</t>
        </is>
      </c>
      <c r="D670" s="3" t="inlineStr">
        <is>
          <t xml:space="preserve">unit </t>
        </is>
      </c>
      <c r="E670" s="4" t="n">
        <v>233300</v>
      </c>
    </row>
    <row r="671">
      <c r="A671" s="3" t="n">
        <v/>
      </c>
      <c r="B671" s="3" t="n">
        <v/>
      </c>
      <c r="C671" s="3" t="inlineStr">
        <is>
          <t>Check Velve dia. 1/2"</t>
        </is>
      </c>
      <c r="D671" s="3" t="inlineStr">
        <is>
          <t xml:space="preserve">unit </t>
        </is>
      </c>
      <c r="E671" s="4" t="n">
        <v>39000</v>
      </c>
    </row>
    <row r="672">
      <c r="A672" s="3" t="n">
        <v/>
      </c>
      <c r="B672" s="3" t="n">
        <v/>
      </c>
      <c r="C672" s="3" t="inlineStr">
        <is>
          <t>Check Velve dia. 3/4"</t>
        </is>
      </c>
      <c r="D672" s="3" t="inlineStr">
        <is>
          <t xml:space="preserve">unit </t>
        </is>
      </c>
      <c r="E672" s="4" t="n">
        <v>59000</v>
      </c>
    </row>
    <row r="673">
      <c r="A673" s="3" t="n">
        <v/>
      </c>
      <c r="B673" s="3" t="n">
        <v/>
      </c>
      <c r="C673" s="3" t="inlineStr">
        <is>
          <t>Check Velve dia. 1"</t>
        </is>
      </c>
      <c r="D673" s="3" t="inlineStr">
        <is>
          <t xml:space="preserve">unit </t>
        </is>
      </c>
      <c r="E673" s="4" t="n">
        <v>88350</v>
      </c>
    </row>
    <row r="674">
      <c r="A674" s="3" t="n">
        <v/>
      </c>
      <c r="B674" s="3" t="n">
        <v/>
      </c>
      <c r="C674" s="3" t="inlineStr">
        <is>
          <t>Check Velve dia. 1-1/4"</t>
        </is>
      </c>
      <c r="D674" s="3" t="inlineStr">
        <is>
          <t xml:space="preserve">unit </t>
        </is>
      </c>
      <c r="E674" s="4" t="n">
        <v>110960</v>
      </c>
    </row>
    <row r="675">
      <c r="A675" s="3" t="n">
        <v/>
      </c>
      <c r="B675" s="3" t="n">
        <v/>
      </c>
      <c r="C675" s="3" t="inlineStr">
        <is>
          <t>Check Velve dia. 1-1/2"</t>
        </is>
      </c>
      <c r="D675" s="3" t="inlineStr">
        <is>
          <t xml:space="preserve">unit </t>
        </is>
      </c>
      <c r="E675" s="4" t="n">
        <v>148960</v>
      </c>
    </row>
    <row r="676">
      <c r="A676" s="3" t="n">
        <v/>
      </c>
      <c r="B676" s="3" t="n">
        <v/>
      </c>
      <c r="C676" s="3" t="inlineStr">
        <is>
          <t>Check Velve dia. 2"</t>
        </is>
      </c>
      <c r="D676" s="3" t="inlineStr">
        <is>
          <t xml:space="preserve">unit </t>
        </is>
      </c>
      <c r="E676" s="4" t="n">
        <v>215460</v>
      </c>
    </row>
    <row r="677">
      <c r="A677" s="3" t="n">
        <v/>
      </c>
      <c r="B677" s="3" t="n">
        <v/>
      </c>
      <c r="C677" s="3" t="inlineStr">
        <is>
          <t>Check Velve dia. 2-1/2"</t>
        </is>
      </c>
      <c r="D677" s="3" t="inlineStr">
        <is>
          <t xml:space="preserve">unit </t>
        </is>
      </c>
      <c r="E677" s="4" t="n">
        <v>265000</v>
      </c>
    </row>
    <row r="678">
      <c r="A678" s="3" t="n">
        <v/>
      </c>
      <c r="B678" s="3" t="n">
        <v/>
      </c>
      <c r="C678" s="3" t="inlineStr">
        <is>
          <t>Check Velve dia. 3"</t>
        </is>
      </c>
      <c r="D678" s="3" t="inlineStr">
        <is>
          <t xml:space="preserve">unit </t>
        </is>
      </c>
      <c r="E678" s="4" t="n">
        <v>587000</v>
      </c>
    </row>
    <row r="679">
      <c r="A679" s="3" t="n">
        <v/>
      </c>
      <c r="B679" s="3" t="n">
        <v/>
      </c>
      <c r="C679" s="3" t="inlineStr">
        <is>
          <t>Check Velve dia. 4"</t>
        </is>
      </c>
      <c r="D679" s="3" t="inlineStr">
        <is>
          <t xml:space="preserve">unit </t>
        </is>
      </c>
      <c r="E679" s="4" t="n">
        <v>1440000</v>
      </c>
    </row>
    <row r="680">
      <c r="A680" s="3" t="n">
        <v/>
      </c>
      <c r="B680" s="3" t="n">
        <v/>
      </c>
      <c r="C680" s="3" t="inlineStr">
        <is>
          <t>Check Velve dia. 5"</t>
        </is>
      </c>
      <c r="D680" s="3" t="inlineStr">
        <is>
          <t xml:space="preserve">unit </t>
        </is>
      </c>
      <c r="E680" s="4" t="n">
        <v>2750000</v>
      </c>
    </row>
    <row r="681">
      <c r="A681" s="3" t="n">
        <v/>
      </c>
      <c r="B681" s="3" t="n">
        <v/>
      </c>
      <c r="C681" s="3" t="inlineStr">
        <is>
          <t>Check Velve dia. 6"</t>
        </is>
      </c>
      <c r="D681" s="3" t="inlineStr">
        <is>
          <t xml:space="preserve">unit </t>
        </is>
      </c>
      <c r="E681" s="4" t="n">
        <v>3050000</v>
      </c>
    </row>
    <row r="682">
      <c r="A682" s="3" t="n">
        <v/>
      </c>
      <c r="B682" s="3" t="n">
        <v/>
      </c>
      <c r="C682" s="3" t="inlineStr">
        <is>
          <t>Check Velve dia. 8"</t>
        </is>
      </c>
      <c r="D682" s="3" t="inlineStr">
        <is>
          <t xml:space="preserve">unit </t>
        </is>
      </c>
      <c r="E682" s="4" t="n">
        <v>3470000</v>
      </c>
    </row>
    <row r="683">
      <c r="A683" s="3" t="n">
        <v/>
      </c>
      <c r="B683" s="3" t="n">
        <v/>
      </c>
      <c r="C683" s="3" t="inlineStr">
        <is>
          <t>Check Velve dia. 10"</t>
        </is>
      </c>
      <c r="D683" s="3" t="inlineStr">
        <is>
          <t xml:space="preserve">unit </t>
        </is>
      </c>
      <c r="E683" s="4" t="n">
        <v>3680000</v>
      </c>
    </row>
    <row r="684">
      <c r="A684" s="3" t="n">
        <v/>
      </c>
      <c r="B684" s="3" t="n">
        <v/>
      </c>
      <c r="C684" s="3" t="inlineStr">
        <is>
          <t>Check Velve dia. 12"</t>
        </is>
      </c>
      <c r="D684" s="3" t="inlineStr">
        <is>
          <t xml:space="preserve">unit </t>
        </is>
      </c>
      <c r="E684" s="4" t="n">
        <v>3970000</v>
      </c>
    </row>
    <row r="685">
      <c r="A685" s="3" t="n">
        <v/>
      </c>
      <c r="B685" s="3" t="n">
        <v/>
      </c>
      <c r="C685" s="3" t="inlineStr">
        <is>
          <t>Strainer dia. 1/2"</t>
        </is>
      </c>
      <c r="D685" s="3" t="inlineStr">
        <is>
          <t xml:space="preserve">unit </t>
        </is>
      </c>
      <c r="E685" s="4" t="n">
        <v>36000</v>
      </c>
    </row>
    <row r="686">
      <c r="A686" s="3" t="n">
        <v/>
      </c>
      <c r="B686" s="3" t="n">
        <v/>
      </c>
      <c r="C686" s="3" t="inlineStr">
        <is>
          <t>Strainer dia. 3/4"</t>
        </is>
      </c>
      <c r="D686" s="3" t="inlineStr">
        <is>
          <t xml:space="preserve">unit </t>
        </is>
      </c>
      <c r="E686" s="4" t="n">
        <v>47000</v>
      </c>
    </row>
    <row r="687">
      <c r="A687" s="3" t="n">
        <v/>
      </c>
      <c r="B687" s="3" t="n">
        <v/>
      </c>
      <c r="C687" s="3" t="inlineStr">
        <is>
          <t>Strainer dia. 1"</t>
        </is>
      </c>
      <c r="D687" s="3" t="inlineStr">
        <is>
          <t xml:space="preserve">unit </t>
        </is>
      </c>
      <c r="E687" s="4" t="n">
        <v>59000</v>
      </c>
    </row>
    <row r="688">
      <c r="A688" s="3" t="n">
        <v/>
      </c>
      <c r="B688" s="3" t="n">
        <v/>
      </c>
      <c r="C688" s="3" t="inlineStr">
        <is>
          <t>Strainer dia. 1-1/4"</t>
        </is>
      </c>
      <c r="D688" s="3" t="inlineStr">
        <is>
          <t xml:space="preserve">unit </t>
        </is>
      </c>
      <c r="E688" s="4" t="n">
        <v>95600</v>
      </c>
    </row>
    <row r="689">
      <c r="A689" s="3" t="n">
        <v/>
      </c>
      <c r="B689" s="3" t="n">
        <v/>
      </c>
      <c r="C689" s="3" t="inlineStr">
        <is>
          <t>Strainer dia. 1-1/2"</t>
        </is>
      </c>
      <c r="D689" s="3" t="inlineStr">
        <is>
          <t xml:space="preserve">unit </t>
        </is>
      </c>
      <c r="E689" s="4" t="n">
        <v>143000</v>
      </c>
    </row>
    <row r="690">
      <c r="A690" s="3" t="n">
        <v/>
      </c>
      <c r="B690" s="3" t="n">
        <v/>
      </c>
      <c r="C690" s="3" t="inlineStr">
        <is>
          <t>Strainer dia. 2"</t>
        </is>
      </c>
      <c r="D690" s="3" t="inlineStr">
        <is>
          <t xml:space="preserve">unit </t>
        </is>
      </c>
      <c r="E690" s="4" t="n">
        <v>303600</v>
      </c>
    </row>
    <row r="691">
      <c r="A691" s="3" t="n">
        <v/>
      </c>
      <c r="B691" s="3" t="n">
        <v/>
      </c>
      <c r="C691" s="3" t="inlineStr">
        <is>
          <t>Strainer dia. 2-1/2"</t>
        </is>
      </c>
      <c r="D691" s="3" t="inlineStr">
        <is>
          <t xml:space="preserve">unit </t>
        </is>
      </c>
      <c r="E691" s="4" t="n">
        <v>415600</v>
      </c>
    </row>
    <row r="692">
      <c r="A692" s="3" t="n">
        <v/>
      </c>
      <c r="B692" s="3" t="n">
        <v/>
      </c>
      <c r="C692" s="3" t="inlineStr">
        <is>
          <t>Strainer dia. 3"</t>
        </is>
      </c>
      <c r="D692" s="3" t="inlineStr">
        <is>
          <t xml:space="preserve">unit </t>
        </is>
      </c>
      <c r="E692" s="4" t="n">
        <v>552000</v>
      </c>
    </row>
    <row r="693">
      <c r="A693" s="3" t="n">
        <v/>
      </c>
      <c r="B693" s="3" t="n">
        <v/>
      </c>
      <c r="C693" s="3" t="inlineStr">
        <is>
          <t>Strainer dia. 4"</t>
        </is>
      </c>
      <c r="D693" s="3" t="inlineStr">
        <is>
          <t xml:space="preserve">unit </t>
        </is>
      </c>
      <c r="E693" s="4" t="n">
        <v>809600</v>
      </c>
    </row>
    <row r="694">
      <c r="A694" s="3" t="n">
        <v/>
      </c>
      <c r="B694" s="3" t="n">
        <v/>
      </c>
      <c r="C694" s="3" t="inlineStr">
        <is>
          <t>Strainer dia. 5"</t>
        </is>
      </c>
      <c r="D694" s="3" t="inlineStr">
        <is>
          <t xml:space="preserve">unit </t>
        </is>
      </c>
      <c r="E694" s="4" t="n">
        <v>873000</v>
      </c>
    </row>
    <row r="695">
      <c r="A695" s="3" t="n">
        <v/>
      </c>
      <c r="B695" s="3" t="n">
        <v/>
      </c>
      <c r="C695" s="3" t="inlineStr">
        <is>
          <t>Strainer dia. 6"</t>
        </is>
      </c>
      <c r="D695" s="3" t="inlineStr">
        <is>
          <t xml:space="preserve">unit </t>
        </is>
      </c>
      <c r="E695" s="4" t="n">
        <v>970500</v>
      </c>
    </row>
    <row r="696">
      <c r="A696" s="3" t="n">
        <v/>
      </c>
      <c r="B696" s="3" t="n">
        <v/>
      </c>
      <c r="C696" s="3" t="inlineStr">
        <is>
          <t>Strainer dia. 8"</t>
        </is>
      </c>
      <c r="D696" s="3" t="inlineStr">
        <is>
          <t xml:space="preserve">unit </t>
        </is>
      </c>
      <c r="E696" s="4" t="n">
        <v>1260000</v>
      </c>
    </row>
    <row r="697">
      <c r="A697" s="3" t="n">
        <v/>
      </c>
      <c r="B697" s="3" t="n">
        <v/>
      </c>
      <c r="C697" s="3" t="inlineStr">
        <is>
          <t>Strainer dia. 10"</t>
        </is>
      </c>
      <c r="D697" s="3" t="inlineStr">
        <is>
          <t xml:space="preserve">unit </t>
        </is>
      </c>
      <c r="E697" s="4" t="n">
        <v>1540000</v>
      </c>
    </row>
    <row r="698">
      <c r="A698" s="3" t="n">
        <v/>
      </c>
      <c r="B698" s="3" t="n">
        <v/>
      </c>
      <c r="C698" s="3" t="inlineStr">
        <is>
          <t>Strainer dia. 12"</t>
        </is>
      </c>
      <c r="D698" s="3" t="inlineStr">
        <is>
          <t xml:space="preserve">unit </t>
        </is>
      </c>
      <c r="E698" s="4" t="n">
        <v>1670000</v>
      </c>
    </row>
    <row r="699">
      <c r="A699" s="3" t="n">
        <v/>
      </c>
      <c r="B699" s="3" t="n">
        <v/>
      </c>
      <c r="C699" s="3" t="inlineStr">
        <is>
          <t>Strainer dia. 14"</t>
        </is>
      </c>
      <c r="D699" s="3" t="inlineStr">
        <is>
          <t xml:space="preserve">unit </t>
        </is>
      </c>
      <c r="E699" s="4" t="n">
        <v>1820000</v>
      </c>
    </row>
    <row r="700">
      <c r="A700" s="3" t="n">
        <v/>
      </c>
      <c r="B700" s="3" t="n">
        <v/>
      </c>
      <c r="C700" s="3" t="inlineStr">
        <is>
          <t>Floater Velve dia. 1/2"</t>
        </is>
      </c>
      <c r="D700" s="3" t="inlineStr">
        <is>
          <t xml:space="preserve">unit </t>
        </is>
      </c>
      <c r="E700" s="4" t="n">
        <v>221000</v>
      </c>
    </row>
    <row r="701">
      <c r="A701" s="3" t="n">
        <v/>
      </c>
      <c r="B701" s="3" t="n">
        <v/>
      </c>
      <c r="C701" s="3" t="inlineStr">
        <is>
          <t>Floater Velve dia. 3/4"</t>
        </is>
      </c>
      <c r="D701" s="3" t="inlineStr">
        <is>
          <t xml:space="preserve">unit </t>
        </is>
      </c>
      <c r="E701" s="4" t="n">
        <v>250000</v>
      </c>
    </row>
    <row r="702">
      <c r="A702" s="3" t="n">
        <v/>
      </c>
      <c r="B702" s="3" t="n">
        <v/>
      </c>
      <c r="C702" s="3" t="inlineStr">
        <is>
          <t>Floater Velve dia. 1"</t>
        </is>
      </c>
      <c r="D702" s="3" t="inlineStr">
        <is>
          <t xml:space="preserve">unit </t>
        </is>
      </c>
      <c r="E702" s="4" t="n">
        <v>375000</v>
      </c>
    </row>
    <row r="703">
      <c r="A703" s="3" t="n">
        <v/>
      </c>
      <c r="B703" s="3" t="n">
        <v/>
      </c>
      <c r="C703" s="3" t="inlineStr">
        <is>
          <t>Floater Velve dia. 1-1/4"</t>
        </is>
      </c>
      <c r="D703" s="3" t="inlineStr">
        <is>
          <t xml:space="preserve">unit </t>
        </is>
      </c>
      <c r="E703" s="4" t="n">
        <v>485000</v>
      </c>
    </row>
    <row r="704">
      <c r="A704" s="3" t="n">
        <v/>
      </c>
      <c r="B704" s="3" t="n">
        <v/>
      </c>
      <c r="C704" s="3" t="inlineStr">
        <is>
          <t>Floater Velve dia. 1-1/2"</t>
        </is>
      </c>
      <c r="D704" s="3" t="inlineStr">
        <is>
          <t xml:space="preserve">unit </t>
        </is>
      </c>
      <c r="E704" s="4" t="n">
        <v>630000</v>
      </c>
    </row>
    <row r="705">
      <c r="A705" s="3" t="n">
        <v/>
      </c>
      <c r="B705" s="3" t="n">
        <v/>
      </c>
      <c r="C705" s="3" t="inlineStr">
        <is>
          <t>Floater Velve dia. 2"</t>
        </is>
      </c>
      <c r="D705" s="3" t="inlineStr">
        <is>
          <t xml:space="preserve">unit </t>
        </is>
      </c>
      <c r="E705" s="4" t="n">
        <v>870000</v>
      </c>
    </row>
    <row r="706">
      <c r="A706" s="3" t="n">
        <v/>
      </c>
      <c r="B706" s="3" t="n">
        <v/>
      </c>
      <c r="C706" s="3" t="inlineStr">
        <is>
          <t>Floater Velve dia. 2-1/2"</t>
        </is>
      </c>
      <c r="D706" s="3" t="inlineStr">
        <is>
          <t xml:space="preserve">unit </t>
        </is>
      </c>
      <c r="E706" s="4" t="n">
        <v>980000</v>
      </c>
    </row>
    <row r="707">
      <c r="A707" s="3" t="n">
        <v/>
      </c>
      <c r="B707" s="3" t="n">
        <v/>
      </c>
      <c r="C707" s="3" t="inlineStr">
        <is>
          <t>Floater Velve dia. 3"</t>
        </is>
      </c>
      <c r="D707" s="3" t="inlineStr">
        <is>
          <t xml:space="preserve">unit </t>
        </is>
      </c>
      <c r="E707" s="4" t="n">
        <v>1170000</v>
      </c>
    </row>
    <row r="708">
      <c r="A708" s="3" t="n">
        <v/>
      </c>
      <c r="B708" s="3" t="n">
        <v/>
      </c>
      <c r="C708" s="3" t="inlineStr">
        <is>
          <t>Floater Velve dia. 4"</t>
        </is>
      </c>
      <c r="D708" s="3" t="inlineStr">
        <is>
          <t xml:space="preserve">unit </t>
        </is>
      </c>
      <c r="E708" s="4" t="n">
        <v>1370000</v>
      </c>
    </row>
    <row r="709">
      <c r="A709" s="3" t="n">
        <v/>
      </c>
      <c r="B709" s="3" t="n">
        <v/>
      </c>
      <c r="C709" s="3" t="inlineStr">
        <is>
          <t>Floater Velve dia. 5"</t>
        </is>
      </c>
      <c r="D709" s="3" t="inlineStr">
        <is>
          <t xml:space="preserve">unit </t>
        </is>
      </c>
      <c r="E709" s="4" t="n">
        <v>1520000</v>
      </c>
    </row>
    <row r="710">
      <c r="A710" s="3" t="n">
        <v/>
      </c>
      <c r="B710" s="3" t="n">
        <v/>
      </c>
      <c r="C710" s="3" t="inlineStr">
        <is>
          <t>Floater Velve dia. 6"</t>
        </is>
      </c>
      <c r="D710" s="3" t="inlineStr">
        <is>
          <t xml:space="preserve">unit </t>
        </is>
      </c>
      <c r="E710" s="4" t="n">
        <v>1740000</v>
      </c>
    </row>
    <row r="711">
      <c r="A711" s="3" t="n">
        <v/>
      </c>
      <c r="B711" s="3" t="n">
        <v/>
      </c>
      <c r="C711" s="3" t="inlineStr">
        <is>
          <t>Floater Velve dia. 8"</t>
        </is>
      </c>
      <c r="D711" s="3" t="inlineStr">
        <is>
          <t xml:space="preserve">unit </t>
        </is>
      </c>
      <c r="E711" s="4" t="n">
        <v>1960000</v>
      </c>
    </row>
    <row r="712">
      <c r="A712" s="3" t="n">
        <v/>
      </c>
      <c r="B712" s="3" t="n">
        <v/>
      </c>
      <c r="C712" s="3" t="inlineStr">
        <is>
          <t>Floater Velve dia. 10"</t>
        </is>
      </c>
      <c r="D712" s="3" t="inlineStr">
        <is>
          <t xml:space="preserve">unit </t>
        </is>
      </c>
      <c r="E712" s="4" t="n">
        <v>2130000</v>
      </c>
    </row>
    <row r="713">
      <c r="A713" s="3" t="n">
        <v/>
      </c>
      <c r="B713" s="3" t="n">
        <v/>
      </c>
      <c r="C713" s="3" t="inlineStr">
        <is>
          <t>Floater Velve dia. 12"</t>
        </is>
      </c>
      <c r="D713" s="3" t="inlineStr">
        <is>
          <t xml:space="preserve">unit </t>
        </is>
      </c>
      <c r="E713" s="4" t="n">
        <v>2480000</v>
      </c>
    </row>
    <row r="714">
      <c r="A714" s="3" t="n">
        <v/>
      </c>
      <c r="B714" s="3" t="n">
        <v/>
      </c>
      <c r="C714" s="3" t="inlineStr">
        <is>
          <t>Foot Velve dia. 1/2"</t>
        </is>
      </c>
      <c r="D714" s="3" t="inlineStr">
        <is>
          <t xml:space="preserve">unit </t>
        </is>
      </c>
      <c r="E714" s="4" t="n">
        <v>21450</v>
      </c>
    </row>
    <row r="715">
      <c r="A715" s="3" t="n">
        <v/>
      </c>
      <c r="B715" s="3" t="n">
        <v/>
      </c>
      <c r="C715" s="3" t="inlineStr">
        <is>
          <t>Foot Velve dia. 3/4"</t>
        </is>
      </c>
      <c r="D715" s="3" t="inlineStr">
        <is>
          <t xml:space="preserve">unit </t>
        </is>
      </c>
      <c r="E715" s="4" t="n">
        <v>69400</v>
      </c>
    </row>
    <row r="716">
      <c r="A716" s="3" t="n">
        <v/>
      </c>
      <c r="B716" s="3" t="n">
        <v/>
      </c>
      <c r="C716" s="3" t="inlineStr">
        <is>
          <t>Foot Velve dia. 1"</t>
        </is>
      </c>
      <c r="D716" s="3" t="inlineStr">
        <is>
          <t xml:space="preserve">unit </t>
        </is>
      </c>
      <c r="E716" s="4" t="n">
        <v>83800</v>
      </c>
    </row>
    <row r="717">
      <c r="A717" s="3" t="n">
        <v/>
      </c>
      <c r="B717" s="3" t="n">
        <v/>
      </c>
      <c r="C717" s="3" t="inlineStr">
        <is>
          <t>Foot Velve dia. 1-1/4"</t>
        </is>
      </c>
      <c r="D717" s="3" t="inlineStr">
        <is>
          <t xml:space="preserve">unit </t>
        </is>
      </c>
      <c r="E717" s="4" t="n">
        <v>134600</v>
      </c>
    </row>
    <row r="718">
      <c r="A718" s="3" t="n">
        <v/>
      </c>
      <c r="B718" s="3" t="n">
        <v/>
      </c>
      <c r="C718" s="3" t="inlineStr">
        <is>
          <t>Foot Velve dia. 1-1/2"</t>
        </is>
      </c>
      <c r="D718" s="3" t="inlineStr">
        <is>
          <t xml:space="preserve">unit </t>
        </is>
      </c>
      <c r="E718" s="4" t="n">
        <v>202000</v>
      </c>
    </row>
    <row r="719">
      <c r="A719" s="3" t="n">
        <v/>
      </c>
      <c r="B719" s="3" t="n">
        <v/>
      </c>
      <c r="C719" s="3" t="inlineStr">
        <is>
          <t>Foot Velve dia. 2"</t>
        </is>
      </c>
      <c r="D719" s="3" t="inlineStr">
        <is>
          <t xml:space="preserve">unit </t>
        </is>
      </c>
      <c r="E719" s="4" t="n">
        <v>331300</v>
      </c>
    </row>
    <row r="720">
      <c r="A720" s="3" t="n">
        <v/>
      </c>
      <c r="B720" s="3" t="n">
        <v/>
      </c>
      <c r="C720" s="3" t="inlineStr">
        <is>
          <t>Foot Velve dia. 2-1/2"</t>
        </is>
      </c>
      <c r="D720" s="3" t="inlineStr">
        <is>
          <t xml:space="preserve">unit </t>
        </is>
      </c>
      <c r="E720" s="4" t="n">
        <v>348000</v>
      </c>
    </row>
    <row r="721">
      <c r="A721" s="3" t="n">
        <v/>
      </c>
      <c r="B721" s="3" t="n">
        <v/>
      </c>
      <c r="C721" s="3" t="inlineStr">
        <is>
          <t>Foot Velve dia. 3"</t>
        </is>
      </c>
      <c r="D721" s="3" t="inlineStr">
        <is>
          <t xml:space="preserve">unit </t>
        </is>
      </c>
      <c r="E721" s="4" t="n">
        <v>609000</v>
      </c>
    </row>
    <row r="722">
      <c r="A722" s="3" t="n">
        <v/>
      </c>
      <c r="B722" s="3" t="n">
        <v/>
      </c>
      <c r="C722" s="3" t="inlineStr">
        <is>
          <t>Foot Velve dia. 4"</t>
        </is>
      </c>
      <c r="D722" s="3" t="inlineStr">
        <is>
          <t xml:space="preserve">unit </t>
        </is>
      </c>
      <c r="E722" s="4" t="n">
        <v>870000</v>
      </c>
    </row>
    <row r="723">
      <c r="A723" s="3" t="n">
        <v/>
      </c>
      <c r="B723" s="3" t="n">
        <v/>
      </c>
      <c r="C723" s="3" t="inlineStr">
        <is>
          <t>Foot Velve dia. 5"</t>
        </is>
      </c>
      <c r="D723" s="3" t="inlineStr">
        <is>
          <t xml:space="preserve">unit </t>
        </is>
      </c>
      <c r="E723" s="4" t="n">
        <v>920500</v>
      </c>
    </row>
    <row r="724">
      <c r="A724" s="3" t="n">
        <v/>
      </c>
      <c r="B724" s="3" t="n">
        <v/>
      </c>
      <c r="C724" s="3" t="inlineStr">
        <is>
          <t>Foot Velve dia. 6"</t>
        </is>
      </c>
      <c r="D724" s="3" t="inlineStr">
        <is>
          <t xml:space="preserve">unit </t>
        </is>
      </c>
      <c r="E724" s="4" t="n">
        <v>1055000</v>
      </c>
    </row>
    <row r="725">
      <c r="A725" s="3" t="n">
        <v/>
      </c>
      <c r="B725" s="3" t="n">
        <v/>
      </c>
      <c r="C725" s="3" t="inlineStr">
        <is>
          <t>Foot Velve dia. 8"</t>
        </is>
      </c>
      <c r="D725" s="3" t="inlineStr">
        <is>
          <t xml:space="preserve">unit </t>
        </is>
      </c>
      <c r="E725" s="4" t="n">
        <v>1315000</v>
      </c>
    </row>
    <row r="726">
      <c r="A726" s="3" t="n">
        <v/>
      </c>
      <c r="B726" s="3" t="n">
        <v/>
      </c>
      <c r="C726" s="3" t="inlineStr">
        <is>
          <t>Foot Velve dia. 10"</t>
        </is>
      </c>
      <c r="D726" s="3" t="inlineStr">
        <is>
          <t xml:space="preserve">unit </t>
        </is>
      </c>
      <c r="E726" s="4" t="n">
        <v>1525000</v>
      </c>
    </row>
    <row r="727">
      <c r="A727" s="3" t="n">
        <v/>
      </c>
      <c r="B727" s="3" t="n">
        <v/>
      </c>
      <c r="C727" s="3" t="inlineStr">
        <is>
          <t>Foot Velve dia. 12"</t>
        </is>
      </c>
      <c r="D727" s="3" t="inlineStr">
        <is>
          <t xml:space="preserve">unit </t>
        </is>
      </c>
      <c r="E727" s="4" t="n">
        <v>1740000</v>
      </c>
    </row>
    <row r="728">
      <c r="A728" s="3" t="n">
        <v/>
      </c>
      <c r="B728" s="3" t="n">
        <v/>
      </c>
      <c r="C728" s="3" t="inlineStr">
        <is>
          <t>Foot Velve dia. 14"</t>
        </is>
      </c>
      <c r="D728" s="3" t="inlineStr">
        <is>
          <t xml:space="preserve">unit </t>
        </is>
      </c>
      <c r="E728" s="4" t="n">
        <v>1980000</v>
      </c>
    </row>
    <row r="729">
      <c r="A729" s="3" t="n">
        <v/>
      </c>
      <c r="B729" s="3" t="n">
        <v/>
      </c>
      <c r="C729" s="3" t="inlineStr">
        <is>
          <t>Flexible Joint dia. 1/2"</t>
        </is>
      </c>
      <c r="D729" s="3" t="inlineStr">
        <is>
          <t xml:space="preserve">unit </t>
        </is>
      </c>
      <c r="E729" s="4" t="n">
        <v>33600</v>
      </c>
    </row>
    <row r="730">
      <c r="A730" s="3" t="n">
        <v/>
      </c>
      <c r="B730" s="3" t="n">
        <v/>
      </c>
      <c r="C730" s="3" t="inlineStr">
        <is>
          <t>Flexible Joint dia. 3/4"</t>
        </is>
      </c>
      <c r="D730" s="3" t="inlineStr">
        <is>
          <t xml:space="preserve">unit </t>
        </is>
      </c>
      <c r="E730" s="4" t="n">
        <v>46500</v>
      </c>
    </row>
    <row r="731">
      <c r="A731" s="3" t="n">
        <v/>
      </c>
      <c r="B731" s="3" t="n">
        <v/>
      </c>
      <c r="C731" s="3" t="inlineStr">
        <is>
          <t>Flexible Joint dia. 1"</t>
        </is>
      </c>
      <c r="D731" s="3" t="inlineStr">
        <is>
          <t xml:space="preserve">unit </t>
        </is>
      </c>
      <c r="E731" s="4" t="n">
        <v>87500</v>
      </c>
    </row>
    <row r="732">
      <c r="A732" s="3" t="n">
        <v/>
      </c>
      <c r="B732" s="3" t="n">
        <v/>
      </c>
      <c r="C732" s="3" t="inlineStr">
        <is>
          <t>Flexible Joint dia. 1-1/4"</t>
        </is>
      </c>
      <c r="D732" s="3" t="inlineStr">
        <is>
          <t xml:space="preserve">unit </t>
        </is>
      </c>
      <c r="E732" s="4" t="n">
        <v>97800</v>
      </c>
    </row>
    <row r="733">
      <c r="A733" s="3" t="n">
        <v/>
      </c>
      <c r="B733" s="3" t="n">
        <v/>
      </c>
      <c r="C733" s="3" t="inlineStr">
        <is>
          <t>Flexible Joint dia. 1-1/2"</t>
        </is>
      </c>
      <c r="D733" s="3" t="inlineStr">
        <is>
          <t xml:space="preserve">unit </t>
        </is>
      </c>
      <c r="E733" s="4" t="n">
        <v>105700</v>
      </c>
    </row>
    <row r="734">
      <c r="A734" s="3" t="n">
        <v/>
      </c>
      <c r="B734" s="3" t="n">
        <v/>
      </c>
      <c r="C734" s="3" t="inlineStr">
        <is>
          <t>Flexible Joint dia. 2"</t>
        </is>
      </c>
      <c r="D734" s="3" t="inlineStr">
        <is>
          <t xml:space="preserve">unit </t>
        </is>
      </c>
      <c r="E734" s="4" t="n">
        <v>136500</v>
      </c>
    </row>
    <row r="735">
      <c r="A735" s="3" t="n">
        <v/>
      </c>
      <c r="B735" s="3" t="n">
        <v/>
      </c>
      <c r="C735" s="3" t="inlineStr">
        <is>
          <t>Flexible Joint dia. 2-1/2"</t>
        </is>
      </c>
      <c r="D735" s="3" t="inlineStr">
        <is>
          <t xml:space="preserve">unit </t>
        </is>
      </c>
      <c r="E735" s="4" t="n">
        <v>157900</v>
      </c>
    </row>
    <row r="736">
      <c r="A736" s="3" t="n">
        <v/>
      </c>
      <c r="B736" s="3" t="n">
        <v/>
      </c>
      <c r="C736" s="3" t="inlineStr">
        <is>
          <t>Flexible Joint dia. 3"</t>
        </is>
      </c>
      <c r="D736" s="3" t="inlineStr">
        <is>
          <t xml:space="preserve">unit </t>
        </is>
      </c>
      <c r="E736" s="4" t="n">
        <v>165400</v>
      </c>
    </row>
    <row r="737">
      <c r="A737" s="3" t="n">
        <v/>
      </c>
      <c r="B737" s="3" t="n">
        <v/>
      </c>
      <c r="C737" s="3" t="inlineStr">
        <is>
          <t>Flexible Joint dia. 4"</t>
        </is>
      </c>
      <c r="D737" s="3" t="inlineStr">
        <is>
          <t xml:space="preserve">unit </t>
        </is>
      </c>
      <c r="E737" s="4" t="n">
        <v>360000</v>
      </c>
    </row>
    <row r="738">
      <c r="A738" s="3" t="n">
        <v/>
      </c>
      <c r="B738" s="3" t="n">
        <v/>
      </c>
      <c r="C738" s="3" t="inlineStr">
        <is>
          <t>Flexible Joint dia. 5"</t>
        </is>
      </c>
      <c r="D738" s="3" t="inlineStr">
        <is>
          <t xml:space="preserve">unit </t>
        </is>
      </c>
      <c r="E738" s="4" t="n">
        <v>740900</v>
      </c>
    </row>
    <row r="739">
      <c r="A739" s="3" t="n">
        <v/>
      </c>
      <c r="B739" s="3" t="n">
        <v/>
      </c>
      <c r="C739" s="3" t="inlineStr">
        <is>
          <t>Flexible Joint dia. 6"</t>
        </is>
      </c>
      <c r="D739" s="3" t="inlineStr">
        <is>
          <t xml:space="preserve">unit </t>
        </is>
      </c>
      <c r="E739" s="4" t="n">
        <v>937500</v>
      </c>
    </row>
    <row r="740">
      <c r="A740" s="3" t="n">
        <v/>
      </c>
      <c r="B740" s="3" t="n">
        <v/>
      </c>
      <c r="C740" s="3" t="inlineStr">
        <is>
          <t>Flexible Joint dia. 8"</t>
        </is>
      </c>
      <c r="D740" s="3" t="inlineStr">
        <is>
          <t xml:space="preserve">unit </t>
        </is>
      </c>
      <c r="E740" s="4" t="n">
        <v>1050900</v>
      </c>
    </row>
    <row r="741">
      <c r="A741" s="3" t="n">
        <v/>
      </c>
      <c r="B741" s="3" t="n">
        <v/>
      </c>
      <c r="C741" s="3" t="inlineStr">
        <is>
          <t>Flexible Joint dia. 10"</t>
        </is>
      </c>
      <c r="D741" s="3" t="inlineStr">
        <is>
          <t xml:space="preserve">unit </t>
        </is>
      </c>
      <c r="E741" s="4" t="n">
        <v>1345000</v>
      </c>
    </row>
    <row r="742">
      <c r="A742" s="3" t="n">
        <v/>
      </c>
      <c r="B742" s="3" t="n">
        <v/>
      </c>
      <c r="C742" s="3" t="inlineStr">
        <is>
          <t>Flexible Joint dia. 12"</t>
        </is>
      </c>
      <c r="D742" s="3" t="inlineStr">
        <is>
          <t xml:space="preserve">unit </t>
        </is>
      </c>
      <c r="E742" s="4" t="n">
        <v>1678000</v>
      </c>
    </row>
    <row r="743">
      <c r="A743" s="3" t="n">
        <v/>
      </c>
      <c r="B743" s="3" t="n">
        <v/>
      </c>
      <c r="C743" s="3" t="inlineStr">
        <is>
          <t>Flexible Joint dia. 14"</t>
        </is>
      </c>
      <c r="D743" s="3" t="inlineStr">
        <is>
          <t xml:space="preserve">unit </t>
        </is>
      </c>
      <c r="E743" s="4" t="n">
        <v>1945000</v>
      </c>
    </row>
    <row r="744">
      <c r="A744" s="3" t="n">
        <v/>
      </c>
      <c r="B744" s="3" t="n">
        <v/>
      </c>
      <c r="C744" s="3" t="inlineStr">
        <is>
          <t>Butterfly Velve dia. 2"</t>
        </is>
      </c>
      <c r="D744" s="3" t="inlineStr">
        <is>
          <t xml:space="preserve">unit </t>
        </is>
      </c>
      <c r="E744" s="4" t="n">
        <v>136100</v>
      </c>
    </row>
    <row r="745">
      <c r="A745" s="3" t="n">
        <v/>
      </c>
      <c r="B745" s="3" t="n">
        <v/>
      </c>
      <c r="C745" s="3" t="inlineStr">
        <is>
          <t>Butterfly Velve dia. 2-1/2"</t>
        </is>
      </c>
      <c r="D745" s="3" t="inlineStr">
        <is>
          <t xml:space="preserve">unit </t>
        </is>
      </c>
      <c r="E745" s="4" t="n">
        <v>170700</v>
      </c>
    </row>
    <row r="746">
      <c r="A746" s="3" t="n">
        <v/>
      </c>
      <c r="B746" s="3" t="n">
        <v/>
      </c>
      <c r="C746" s="3" t="inlineStr">
        <is>
          <t>Butterfly Velve dia. 3"</t>
        </is>
      </c>
      <c r="D746" s="3" t="inlineStr">
        <is>
          <t xml:space="preserve">unit </t>
        </is>
      </c>
      <c r="E746" s="4" t="n">
        <v>276400</v>
      </c>
    </row>
    <row r="747">
      <c r="A747" s="3" t="n">
        <v/>
      </c>
      <c r="B747" s="3" t="n">
        <v/>
      </c>
      <c r="C747" s="3" t="inlineStr">
        <is>
          <t>Butterfly Velve dia. 4"</t>
        </is>
      </c>
      <c r="D747" s="3" t="inlineStr">
        <is>
          <t xml:space="preserve">unit </t>
        </is>
      </c>
      <c r="E747" s="4" t="n">
        <v>303600</v>
      </c>
    </row>
    <row r="748">
      <c r="A748" s="3" t="n">
        <v/>
      </c>
      <c r="B748" s="3" t="n">
        <v/>
      </c>
      <c r="C748" s="3" t="inlineStr">
        <is>
          <t>Butterfly Velve dia. 5"</t>
        </is>
      </c>
      <c r="D748" s="3" t="inlineStr">
        <is>
          <t xml:space="preserve">unit </t>
        </is>
      </c>
      <c r="E748" s="4" t="n">
        <v>515200</v>
      </c>
    </row>
    <row r="749">
      <c r="A749" s="3" t="n">
        <v/>
      </c>
      <c r="B749" s="3" t="n">
        <v/>
      </c>
      <c r="C749" s="3" t="inlineStr">
        <is>
          <t>Butterfly Velve dia. 6"</t>
        </is>
      </c>
      <c r="D749" s="3" t="inlineStr">
        <is>
          <t xml:space="preserve">unit </t>
        </is>
      </c>
      <c r="E749" s="4" t="n">
        <v>829300</v>
      </c>
    </row>
    <row r="750">
      <c r="A750" s="3" t="n">
        <v/>
      </c>
      <c r="B750" s="3" t="n">
        <v/>
      </c>
      <c r="C750" s="3" t="inlineStr">
        <is>
          <t>Butterfly Velve dia. 8"</t>
        </is>
      </c>
      <c r="D750" s="3" t="inlineStr">
        <is>
          <t xml:space="preserve">unit </t>
        </is>
      </c>
      <c r="E750" s="4" t="n">
        <v>1364500</v>
      </c>
    </row>
    <row r="751">
      <c r="A751" s="3" t="n">
        <v/>
      </c>
      <c r="B751" s="3" t="n">
        <v/>
      </c>
      <c r="C751" s="3" t="inlineStr">
        <is>
          <t>Butterfly Velve dia. 10"</t>
        </is>
      </c>
      <c r="D751" s="3" t="inlineStr">
        <is>
          <t xml:space="preserve">unit </t>
        </is>
      </c>
      <c r="E751" s="4" t="n">
        <v>1808900</v>
      </c>
    </row>
    <row r="752">
      <c r="A752" s="3" t="n">
        <v/>
      </c>
      <c r="B752" s="3" t="n">
        <v/>
      </c>
      <c r="C752" s="3" t="inlineStr">
        <is>
          <t>Butterfly Velve dia. 12"</t>
        </is>
      </c>
      <c r="D752" s="3" t="inlineStr">
        <is>
          <t xml:space="preserve">unit </t>
        </is>
      </c>
      <c r="E752" s="4" t="n">
        <v>2170800</v>
      </c>
    </row>
    <row r="753">
      <c r="A753" s="3" t="n">
        <v/>
      </c>
      <c r="B753" s="3" t="n">
        <v/>
      </c>
      <c r="C753" s="3" t="inlineStr">
        <is>
          <t>Globe Velve dia. 1/2"</t>
        </is>
      </c>
      <c r="D753" s="3" t="inlineStr">
        <is>
          <t xml:space="preserve">unit </t>
        </is>
      </c>
      <c r="E753" s="4" t="n">
        <v>104500</v>
      </c>
    </row>
    <row r="754">
      <c r="A754" s="3" t="n">
        <v/>
      </c>
      <c r="B754" s="3" t="n">
        <v/>
      </c>
      <c r="C754" s="3" t="inlineStr">
        <is>
          <t>Globe Velve dia. 3/4"</t>
        </is>
      </c>
      <c r="D754" s="3" t="inlineStr">
        <is>
          <t xml:space="preserve">unit </t>
        </is>
      </c>
      <c r="E754" s="4" t="n">
        <v>118000</v>
      </c>
    </row>
    <row r="755">
      <c r="A755" s="3" t="n">
        <v/>
      </c>
      <c r="B755" s="3" t="n">
        <v/>
      </c>
      <c r="C755" s="3" t="inlineStr">
        <is>
          <t>Globe Velve dia. 1"</t>
        </is>
      </c>
      <c r="D755" s="3" t="inlineStr">
        <is>
          <t xml:space="preserve">unit </t>
        </is>
      </c>
      <c r="E755" s="4" t="n">
        <v>140500</v>
      </c>
    </row>
    <row r="756">
      <c r="A756" s="3" t="n">
        <v/>
      </c>
      <c r="B756" s="3" t="n">
        <v/>
      </c>
      <c r="C756" s="3" t="inlineStr">
        <is>
          <t>Globe Velve dia. 1-1/4"</t>
        </is>
      </c>
      <c r="D756" s="3" t="inlineStr">
        <is>
          <t xml:space="preserve">unit </t>
        </is>
      </c>
      <c r="E756" s="4" t="n">
        <v>189900</v>
      </c>
    </row>
    <row r="757">
      <c r="A757" s="3" t="n">
        <v/>
      </c>
      <c r="B757" s="3" t="n">
        <v/>
      </c>
      <c r="C757" s="3" t="inlineStr">
        <is>
          <t>Globe Velve dia. 1-1/2"</t>
        </is>
      </c>
      <c r="D757" s="3" t="inlineStr">
        <is>
          <t xml:space="preserve">unit </t>
        </is>
      </c>
      <c r="E757" s="4" t="n">
        <v>252900</v>
      </c>
    </row>
    <row r="758">
      <c r="A758" s="3" t="n">
        <v/>
      </c>
      <c r="B758" s="3" t="n">
        <v/>
      </c>
      <c r="C758" s="3" t="inlineStr">
        <is>
          <t>Globe Velve dia. 2"</t>
        </is>
      </c>
      <c r="D758" s="3" t="inlineStr">
        <is>
          <t xml:space="preserve">unit </t>
        </is>
      </c>
      <c r="E758" s="4" t="n">
        <v>966300</v>
      </c>
    </row>
    <row r="759">
      <c r="A759" s="3" t="n">
        <v/>
      </c>
      <c r="B759" s="3" t="n">
        <v/>
      </c>
      <c r="C759" s="3" t="inlineStr">
        <is>
          <t>Globe Velve dia. 2-1/2"</t>
        </is>
      </c>
      <c r="D759" s="3" t="inlineStr">
        <is>
          <t xml:space="preserve">unit </t>
        </is>
      </c>
      <c r="E759" s="4" t="n">
        <v>1214300</v>
      </c>
    </row>
    <row r="760">
      <c r="A760" s="3" t="n">
        <v/>
      </c>
      <c r="B760" s="3" t="n">
        <v/>
      </c>
      <c r="C760" s="3" t="inlineStr">
        <is>
          <t>Globe Velve dia. 3"</t>
        </is>
      </c>
      <c r="D760" s="3" t="inlineStr">
        <is>
          <t xml:space="preserve">unit </t>
        </is>
      </c>
      <c r="E760" s="4" t="n">
        <v>1573100</v>
      </c>
    </row>
    <row r="761">
      <c r="A761" s="3" t="n">
        <v/>
      </c>
      <c r="B761" s="3" t="n">
        <v/>
      </c>
      <c r="C761" s="3" t="inlineStr">
        <is>
          <t>Globe Velve dia. 4"</t>
        </is>
      </c>
      <c r="D761" s="3" t="inlineStr">
        <is>
          <t xml:space="preserve">unit </t>
        </is>
      </c>
      <c r="E761" s="4" t="n">
        <v>2121400</v>
      </c>
    </row>
    <row r="762">
      <c r="A762" s="3" t="n">
        <v/>
      </c>
      <c r="B762" s="3" t="n">
        <v/>
      </c>
      <c r="C762" s="3" t="inlineStr">
        <is>
          <t>Globe Velve dia. 5"</t>
        </is>
      </c>
      <c r="D762" s="3" t="inlineStr">
        <is>
          <t xml:space="preserve">unit </t>
        </is>
      </c>
      <c r="E762" s="4" t="n">
        <v>3890000</v>
      </c>
    </row>
    <row r="763">
      <c r="A763" s="3" t="n">
        <v/>
      </c>
      <c r="B763" s="3" t="n">
        <v/>
      </c>
      <c r="C763" s="3" t="inlineStr">
        <is>
          <t>Globe Velve dia. 6"</t>
        </is>
      </c>
      <c r="D763" s="3" t="inlineStr">
        <is>
          <t xml:space="preserve">unit </t>
        </is>
      </c>
      <c r="E763" s="4" t="n">
        <v>4996000</v>
      </c>
    </row>
    <row r="764">
      <c r="A764" s="3" t="n">
        <v/>
      </c>
      <c r="B764" s="3" t="n">
        <v/>
      </c>
      <c r="C764" s="3" t="inlineStr">
        <is>
          <t>Globe Velve dia. 8"</t>
        </is>
      </c>
      <c r="D764" s="3" t="inlineStr">
        <is>
          <t xml:space="preserve">unit </t>
        </is>
      </c>
      <c r="E764" s="4" t="n">
        <v>5740000</v>
      </c>
    </row>
    <row r="765">
      <c r="A765" s="3" t="n">
        <v/>
      </c>
      <c r="B765" s="3" t="n">
        <v/>
      </c>
      <c r="C765" s="3" t="inlineStr">
        <is>
          <t>Pressure Gauge dia. 1/2"</t>
        </is>
      </c>
      <c r="D765" s="3" t="inlineStr">
        <is>
          <t xml:space="preserve">unit </t>
        </is>
      </c>
      <c r="E765" s="4" t="n">
        <v>58000</v>
      </c>
    </row>
    <row r="766">
      <c r="A766" s="3" t="n">
        <v/>
      </c>
      <c r="B766" s="3" t="n">
        <v/>
      </c>
      <c r="C766" s="3" t="inlineStr">
        <is>
          <t>Pressure Gauge dia. 1"</t>
        </is>
      </c>
      <c r="D766" s="3" t="inlineStr">
        <is>
          <t xml:space="preserve">unit </t>
        </is>
      </c>
      <c r="E766" s="4" t="n">
        <v>79800</v>
      </c>
    </row>
    <row r="767">
      <c r="A767" s="3" t="n">
        <v/>
      </c>
      <c r="B767" s="3" t="n">
        <v/>
      </c>
      <c r="C767" s="3" t="inlineStr">
        <is>
          <t>Pressure Gauge dia. 2"</t>
        </is>
      </c>
      <c r="D767" s="3" t="inlineStr">
        <is>
          <t xml:space="preserve">unit </t>
        </is>
      </c>
      <c r="E767" s="4" t="n">
        <v>123000</v>
      </c>
    </row>
    <row r="768">
      <c r="A768" s="3" t="n">
        <v/>
      </c>
      <c r="B768" s="3" t="n">
        <v/>
      </c>
      <c r="C768" s="3" t="inlineStr">
        <is>
          <t>Pressure Gauge dia. 2-1/2"</t>
        </is>
      </c>
      <c r="D768" s="3" t="inlineStr">
        <is>
          <t xml:space="preserve">unit </t>
        </is>
      </c>
      <c r="E768" s="4" t="n">
        <v>132700</v>
      </c>
    </row>
    <row r="769">
      <c r="A769" s="3" t="n">
        <v/>
      </c>
      <c r="B769" s="3" t="n">
        <v/>
      </c>
      <c r="C769" s="3" t="inlineStr">
        <is>
          <t>Pressure Gauge dia. 3"</t>
        </is>
      </c>
      <c r="D769" s="3" t="inlineStr">
        <is>
          <t xml:space="preserve">unit </t>
        </is>
      </c>
      <c r="E769" s="4" t="n">
        <v>165400</v>
      </c>
    </row>
    <row r="770">
      <c r="A770" s="3" t="n">
        <v/>
      </c>
      <c r="B770" s="3" t="n">
        <v/>
      </c>
      <c r="C770" s="3" t="inlineStr">
        <is>
          <t>Pressure Gauge dia. 4"</t>
        </is>
      </c>
      <c r="D770" s="3" t="inlineStr">
        <is>
          <t xml:space="preserve">unit </t>
        </is>
      </c>
      <c r="E770" s="4" t="n">
        <v>218500</v>
      </c>
    </row>
    <row r="771">
      <c r="A771" s="3" t="n">
        <v/>
      </c>
      <c r="B771" s="3" t="n">
        <v/>
      </c>
      <c r="C771" s="3" t="inlineStr">
        <is>
          <t>Water Meter dia. 1/2"</t>
        </is>
      </c>
      <c r="D771" s="3" t="inlineStr">
        <is>
          <t xml:space="preserve">Bh </t>
        </is>
      </c>
      <c r="E771" s="4" t="n">
        <v>270750</v>
      </c>
    </row>
    <row r="772">
      <c r="A772" s="3" t="n">
        <v/>
      </c>
      <c r="B772" s="3" t="n">
        <v/>
      </c>
      <c r="C772" s="3" t="inlineStr">
        <is>
          <t>Water Meter dia. 3/4"</t>
        </is>
      </c>
      <c r="D772" s="3" t="inlineStr">
        <is>
          <t xml:space="preserve">Bh </t>
        </is>
      </c>
      <c r="E772" s="4" t="n">
        <v>655914</v>
      </c>
    </row>
    <row r="773">
      <c r="A773" s="3" t="n">
        <v/>
      </c>
      <c r="B773" s="3" t="n">
        <v/>
      </c>
      <c r="C773" s="3" t="inlineStr">
        <is>
          <t>Water Meter dia. 1"</t>
        </is>
      </c>
      <c r="D773" s="3" t="inlineStr">
        <is>
          <t xml:space="preserve">Bh </t>
        </is>
      </c>
      <c r="E773" s="4" t="n">
        <v>1416800</v>
      </c>
    </row>
    <row r="774">
      <c r="A774" s="3" t="n">
        <v/>
      </c>
      <c r="B774" s="3" t="n">
        <v/>
      </c>
      <c r="C774" s="3" t="inlineStr">
        <is>
          <t>Water Meter dia. 1-1/2"</t>
        </is>
      </c>
      <c r="D774" s="3" t="inlineStr">
        <is>
          <t xml:space="preserve">Bh </t>
        </is>
      </c>
      <c r="E774" s="4" t="n">
        <v>1740600</v>
      </c>
    </row>
    <row r="775">
      <c r="A775" s="3" t="n">
        <v/>
      </c>
      <c r="B775" s="3" t="n">
        <v/>
      </c>
      <c r="C775" s="3" t="inlineStr">
        <is>
          <t>Water Meter dia. 2"</t>
        </is>
      </c>
      <c r="D775" s="3" t="inlineStr">
        <is>
          <t xml:space="preserve">Bh </t>
        </is>
      </c>
      <c r="E775" s="4" t="n">
        <v>2392000</v>
      </c>
    </row>
    <row r="776">
      <c r="A776" s="3" t="n">
        <v/>
      </c>
      <c r="B776" s="3" t="n">
        <v/>
      </c>
      <c r="C776" s="3" t="inlineStr">
        <is>
          <t>Water Meter dia. 3"</t>
        </is>
      </c>
      <c r="D776" s="3" t="inlineStr">
        <is>
          <t xml:space="preserve">Bh </t>
        </is>
      </c>
      <c r="E776" s="4" t="n">
        <v>2700000</v>
      </c>
    </row>
    <row r="777">
      <c r="A777" s="3" t="n">
        <v/>
      </c>
      <c r="B777" s="3" t="n">
        <v/>
      </c>
      <c r="C777" s="3" t="inlineStr">
        <is>
          <t>Water Meter dia. 4"</t>
        </is>
      </c>
      <c r="D777" s="3" t="inlineStr">
        <is>
          <t xml:space="preserve">Bh </t>
        </is>
      </c>
      <c r="E777" s="4" t="n">
        <v>2980000</v>
      </c>
    </row>
    <row r="778">
      <c r="A778" s="3" t="n">
        <v/>
      </c>
      <c r="B778" s="3" t="n">
        <v/>
      </c>
      <c r="C778" s="3" t="inlineStr">
        <is>
          <t>Water Meter dia. 6"</t>
        </is>
      </c>
      <c r="D778" s="3" t="inlineStr">
        <is>
          <t xml:space="preserve">Bh </t>
        </is>
      </c>
      <c r="E778" s="4" t="n">
        <v>3540900</v>
      </c>
    </row>
    <row r="779">
      <c r="A779" s="3" t="n">
        <v/>
      </c>
      <c r="B779" s="3" t="n">
        <v/>
      </c>
      <c r="C779" s="3" t="inlineStr">
        <is>
          <t>Water Meter dia. 8"</t>
        </is>
      </c>
      <c r="D779" s="3" t="inlineStr">
        <is>
          <t xml:space="preserve">Bh </t>
        </is>
      </c>
      <c r="E779" s="4" t="n">
        <v>3947000</v>
      </c>
    </row>
    <row r="780">
      <c r="A780" s="3" t="n">
        <v/>
      </c>
      <c r="B780" s="3" t="n">
        <v/>
      </c>
      <c r="C780" s="3" t="inlineStr">
        <is>
          <t>Water Meter dia. 10"</t>
        </is>
      </c>
      <c r="D780" s="3" t="inlineStr">
        <is>
          <t xml:space="preserve">Bh </t>
        </is>
      </c>
      <c r="E780" s="4" t="n">
        <v>4230900</v>
      </c>
    </row>
    <row r="781">
      <c r="A781" s="3" t="n">
        <v/>
      </c>
      <c r="B781" s="3" t="n">
        <v/>
      </c>
      <c r="C781" s="3" t="inlineStr">
        <is>
          <t>Water Meter dia. 12"</t>
        </is>
      </c>
      <c r="D781" s="3" t="inlineStr">
        <is>
          <t xml:space="preserve">Bh </t>
        </is>
      </c>
      <c r="E781" s="4" t="n">
        <v>4560000</v>
      </c>
    </row>
    <row r="782">
      <c r="A782" s="3" t="n">
        <v/>
      </c>
      <c r="B782" s="3" t="n">
        <v/>
      </c>
      <c r="C782" s="3" t="inlineStr">
        <is>
          <t>Water Meter dia. 16"</t>
        </is>
      </c>
      <c r="D782" s="3" t="inlineStr">
        <is>
          <t xml:space="preserve">Bh </t>
        </is>
      </c>
      <c r="E782" s="4" t="n">
        <v>4760900</v>
      </c>
    </row>
    <row r="783">
      <c r="A783" s="3" t="n">
        <v/>
      </c>
      <c r="B783" s="3" t="n">
        <v/>
      </c>
      <c r="C783" s="3" t="inlineStr">
        <is>
          <t>Flow Meter Analog dia.4"</t>
        </is>
      </c>
      <c r="D783" s="3" t="inlineStr">
        <is>
          <t xml:space="preserve">bh </t>
        </is>
      </c>
      <c r="E783" s="4" t="n">
        <v>2449000</v>
      </c>
    </row>
    <row r="784">
      <c r="A784" s="3" t="n">
        <v/>
      </c>
      <c r="B784" s="3" t="n">
        <v/>
      </c>
      <c r="C784" s="3" t="inlineStr">
        <is>
          <t>Clean Out dia. 2"</t>
        </is>
      </c>
      <c r="D784" s="3" t="inlineStr">
        <is>
          <t xml:space="preserve">bh </t>
        </is>
      </c>
      <c r="E784" s="4" t="n">
        <v>47500</v>
      </c>
    </row>
    <row r="785">
      <c r="A785" s="3" t="n">
        <v/>
      </c>
      <c r="B785" s="3" t="n">
        <v/>
      </c>
      <c r="C785" s="3" t="inlineStr">
        <is>
          <t>Clean Out dia. 2-1/2"</t>
        </is>
      </c>
      <c r="D785" s="3" t="inlineStr">
        <is>
          <t xml:space="preserve">bh </t>
        </is>
      </c>
      <c r="E785" s="4" t="n">
        <v>56700</v>
      </c>
    </row>
    <row r="786">
      <c r="A786" s="3" t="n">
        <v/>
      </c>
      <c r="B786" s="3" t="n">
        <v/>
      </c>
      <c r="C786" s="3" t="inlineStr">
        <is>
          <t>Clean Out dia. 3"</t>
        </is>
      </c>
      <c r="D786" s="3" t="inlineStr">
        <is>
          <t xml:space="preserve">bh </t>
        </is>
      </c>
      <c r="E786" s="4" t="n">
        <v>65000</v>
      </c>
    </row>
    <row r="787">
      <c r="A787" s="3" t="n">
        <v/>
      </c>
      <c r="B787" s="3" t="n">
        <v/>
      </c>
      <c r="C787" s="3" t="inlineStr">
        <is>
          <t>Clean Out dia. 4"</t>
        </is>
      </c>
      <c r="D787" s="3" t="inlineStr">
        <is>
          <t xml:space="preserve">bh </t>
        </is>
      </c>
      <c r="E787" s="4" t="n">
        <v>72500</v>
      </c>
    </row>
    <row r="788">
      <c r="A788" s="3" t="n">
        <v/>
      </c>
      <c r="B788" s="3" t="n">
        <v/>
      </c>
      <c r="C788" s="3" t="inlineStr">
        <is>
          <t>Clean Out dia. 5"</t>
        </is>
      </c>
      <c r="D788" s="3" t="inlineStr">
        <is>
          <t xml:space="preserve">bh </t>
        </is>
      </c>
      <c r="E788" s="4" t="n">
        <v>178900</v>
      </c>
    </row>
    <row r="789">
      <c r="A789" s="3" t="n">
        <v/>
      </c>
      <c r="B789" s="3" t="n">
        <v/>
      </c>
      <c r="C789" s="3" t="inlineStr">
        <is>
          <t>Clean Out dia. 6"</t>
        </is>
      </c>
      <c r="D789" s="3" t="inlineStr">
        <is>
          <t xml:space="preserve">bh </t>
        </is>
      </c>
      <c r="E789" s="4" t="n">
        <v>230880</v>
      </c>
    </row>
    <row r="790">
      <c r="A790" s="3" t="n">
        <v/>
      </c>
      <c r="B790" s="3" t="n">
        <v/>
      </c>
      <c r="C790" s="3" t="inlineStr">
        <is>
          <t>Clean Out dia. 8"</t>
        </is>
      </c>
      <c r="D790" s="3" t="inlineStr">
        <is>
          <t xml:space="preserve">bh </t>
        </is>
      </c>
      <c r="E790" s="4" t="n">
        <v>370000</v>
      </c>
    </row>
    <row r="791">
      <c r="A791" s="3" t="n">
        <v/>
      </c>
      <c r="B791" s="3" t="n">
        <v/>
      </c>
      <c r="C791" s="3" t="inlineStr">
        <is>
          <t>Roof Drain dia. 2"</t>
        </is>
      </c>
      <c r="D791" s="3" t="inlineStr">
        <is>
          <t xml:space="preserve">Bh </t>
        </is>
      </c>
      <c r="E791" s="4" t="n">
        <v>29800</v>
      </c>
    </row>
    <row r="792">
      <c r="A792" s="3" t="n">
        <v/>
      </c>
      <c r="B792" s="3" t="n">
        <v/>
      </c>
      <c r="C792" s="3" t="inlineStr">
        <is>
          <t>Roof Drain dia. 2-1/2"</t>
        </is>
      </c>
      <c r="D792" s="3" t="inlineStr">
        <is>
          <t xml:space="preserve">Bh </t>
        </is>
      </c>
      <c r="E792" s="4" t="n">
        <v>33925</v>
      </c>
    </row>
    <row r="793">
      <c r="A793" s="3" t="n">
        <v/>
      </c>
      <c r="B793" s="3" t="n">
        <v/>
      </c>
      <c r="C793" s="3" t="inlineStr">
        <is>
          <t>Roof Drain dia. 3"</t>
        </is>
      </c>
      <c r="D793" s="3" t="inlineStr">
        <is>
          <t xml:space="preserve">Bh </t>
        </is>
      </c>
      <c r="E793" s="4" t="n">
        <v>37375</v>
      </c>
    </row>
    <row r="794">
      <c r="A794" s="3" t="n">
        <v/>
      </c>
      <c r="B794" s="3" t="n">
        <v/>
      </c>
      <c r="C794" s="3" t="inlineStr">
        <is>
          <t>Roof Drain dia. 4"</t>
        </is>
      </c>
      <c r="D794" s="3" t="inlineStr">
        <is>
          <t xml:space="preserve">Bh </t>
        </is>
      </c>
      <c r="E794" s="4" t="n">
        <v>40250</v>
      </c>
    </row>
    <row r="795">
      <c r="A795" s="3" t="n">
        <v/>
      </c>
      <c r="B795" s="3" t="n">
        <v/>
      </c>
      <c r="C795" s="3" t="inlineStr">
        <is>
          <t>Roof Drain dia. 5"</t>
        </is>
      </c>
      <c r="D795" s="3" t="inlineStr">
        <is>
          <t xml:space="preserve">Bh </t>
        </is>
      </c>
      <c r="E795" s="4" t="n">
        <v>51700</v>
      </c>
    </row>
    <row r="796">
      <c r="A796" s="3" t="n">
        <v/>
      </c>
      <c r="B796" s="3" t="n">
        <v/>
      </c>
      <c r="C796" s="3" t="inlineStr">
        <is>
          <t>Roof Drain dia. 6"</t>
        </is>
      </c>
      <c r="D796" s="3" t="inlineStr">
        <is>
          <t xml:space="preserve">Bh </t>
        </is>
      </c>
      <c r="E796" s="4" t="n">
        <v>61100</v>
      </c>
    </row>
    <row r="797">
      <c r="A797" s="3" t="n">
        <v/>
      </c>
      <c r="B797" s="3" t="n">
        <v/>
      </c>
      <c r="C797" s="3" t="inlineStr">
        <is>
          <t>Roof Drain dia. 8"</t>
        </is>
      </c>
      <c r="D797" s="3" t="inlineStr">
        <is>
          <t xml:space="preserve">Bh </t>
        </is>
      </c>
      <c r="E797" s="4" t="n">
        <v>90250</v>
      </c>
    </row>
    <row r="798">
      <c r="A798" s="3" t="n">
        <v/>
      </c>
      <c r="B798" s="3" t="n">
        <v/>
      </c>
      <c r="C798" s="3" t="inlineStr">
        <is>
          <t>Roof Drain dia. 10"</t>
        </is>
      </c>
      <c r="D798" s="3" t="inlineStr">
        <is>
          <t xml:space="preserve">Bh </t>
        </is>
      </c>
      <c r="E798" s="4" t="n">
        <v>142500</v>
      </c>
    </row>
    <row r="799">
      <c r="A799" s="3" t="n">
        <v/>
      </c>
      <c r="B799" s="3" t="n">
        <v/>
      </c>
      <c r="C799" s="3" t="inlineStr">
        <is>
          <t>Roof Drain dia. 12"</t>
        </is>
      </c>
      <c r="D799" s="3" t="inlineStr">
        <is>
          <t xml:space="preserve">Bh </t>
        </is>
      </c>
      <c r="E799" s="4" t="n">
        <v>167500</v>
      </c>
    </row>
    <row r="800">
      <c r="A800" s="3" t="n">
        <v/>
      </c>
      <c r="B800" s="3" t="n">
        <v/>
      </c>
      <c r="C800" s="3" t="inlineStr">
        <is>
          <t>Floor Clean Out dia. 2"</t>
        </is>
      </c>
      <c r="D800" s="3" t="inlineStr">
        <is>
          <t xml:space="preserve">Bh </t>
        </is>
      </c>
      <c r="E800" s="4" t="n">
        <v>136800</v>
      </c>
    </row>
    <row r="801">
      <c r="A801" s="3" t="n">
        <v/>
      </c>
      <c r="B801" s="3" t="n">
        <v/>
      </c>
      <c r="C801" s="3" t="inlineStr">
        <is>
          <t>Floor Clean Out dia. 2-1/2"</t>
        </is>
      </c>
      <c r="D801" s="3" t="inlineStr">
        <is>
          <t xml:space="preserve">Bh </t>
        </is>
      </c>
      <c r="E801" s="4" t="n">
        <v>163100</v>
      </c>
    </row>
    <row r="802">
      <c r="A802" s="3" t="n">
        <v/>
      </c>
      <c r="B802" s="3" t="n">
        <v/>
      </c>
      <c r="C802" s="3" t="inlineStr">
        <is>
          <t>Floor Clean Out dia. 3"</t>
        </is>
      </c>
      <c r="D802" s="3" t="inlineStr">
        <is>
          <t xml:space="preserve">Bh </t>
        </is>
      </c>
      <c r="E802" s="4" t="n">
        <v>199500</v>
      </c>
    </row>
    <row r="803">
      <c r="A803" s="3" t="n">
        <v/>
      </c>
      <c r="B803" s="3" t="n">
        <v/>
      </c>
      <c r="C803" s="3" t="inlineStr">
        <is>
          <t>Floor Clean Out dia. 4"</t>
        </is>
      </c>
      <c r="D803" s="3" t="inlineStr">
        <is>
          <t xml:space="preserve">Bh </t>
        </is>
      </c>
      <c r="E803" s="4" t="n">
        <v>300300</v>
      </c>
    </row>
    <row r="804">
      <c r="A804" s="3" t="n">
        <v/>
      </c>
      <c r="B804" s="3" t="n">
        <v/>
      </c>
      <c r="C804" s="3" t="inlineStr">
        <is>
          <t>Floor Clean Out dia. 6"</t>
        </is>
      </c>
      <c r="D804" s="3" t="inlineStr">
        <is>
          <t xml:space="preserve">Bh </t>
        </is>
      </c>
      <c r="E804" s="4" t="n">
        <v>415500</v>
      </c>
    </row>
    <row r="805">
      <c r="A805" s="3" t="n">
        <v/>
      </c>
      <c r="B805" s="3" t="n">
        <v/>
      </c>
      <c r="C805" s="3" t="inlineStr">
        <is>
          <t>Floor Clean Out dia. 8"</t>
        </is>
      </c>
      <c r="D805" s="3" t="inlineStr">
        <is>
          <t xml:space="preserve">Bh </t>
        </is>
      </c>
      <c r="E805" s="4" t="n">
        <v>507600</v>
      </c>
    </row>
    <row r="806">
      <c r="A806" s="3" t="n">
        <v/>
      </c>
      <c r="B806" s="3" t="n">
        <v/>
      </c>
      <c r="C806" s="3" t="inlineStr">
        <is>
          <t>Vent Cap dia. 2"</t>
        </is>
      </c>
      <c r="D806" s="3" t="inlineStr">
        <is>
          <t xml:space="preserve">Bh </t>
        </is>
      </c>
      <c r="E806" s="4" t="n">
        <v>45000</v>
      </c>
    </row>
    <row r="807">
      <c r="A807" s="3" t="n">
        <v/>
      </c>
      <c r="B807" s="3" t="n">
        <v/>
      </c>
      <c r="C807" s="3" t="inlineStr">
        <is>
          <t>Vent Cap dia. 3"</t>
        </is>
      </c>
      <c r="D807" s="3" t="inlineStr">
        <is>
          <t xml:space="preserve">Bh </t>
        </is>
      </c>
      <c r="E807" s="4" t="n">
        <v>65000</v>
      </c>
    </row>
    <row r="808">
      <c r="A808" s="3" t="n">
        <v/>
      </c>
      <c r="B808" s="3" t="n">
        <v/>
      </c>
      <c r="C808" s="3" t="inlineStr">
        <is>
          <t>Vent Cap dia. 4"</t>
        </is>
      </c>
      <c r="D808" s="3" t="inlineStr">
        <is>
          <t xml:space="preserve">Bh </t>
        </is>
      </c>
      <c r="E808" s="4" t="n">
        <v>80000</v>
      </c>
    </row>
    <row r="809">
      <c r="A809" s="3" t="n">
        <v/>
      </c>
      <c r="B809" s="3" t="n">
        <v/>
      </c>
      <c r="C809" s="3" t="inlineStr">
        <is>
          <t>PRV set dia. 2"</t>
        </is>
      </c>
      <c r="D809" s="3" t="inlineStr">
        <is>
          <t xml:space="preserve">Bh </t>
        </is>
      </c>
      <c r="E809" s="4" t="n">
        <v>4900000</v>
      </c>
    </row>
    <row r="810">
      <c r="A810" s="3" t="n">
        <v/>
      </c>
      <c r="B810" s="3" t="n">
        <v/>
      </c>
      <c r="C810" s="3" t="inlineStr">
        <is>
          <t>PRV set dia. 2-1/2"</t>
        </is>
      </c>
      <c r="D810" s="3" t="inlineStr">
        <is>
          <t xml:space="preserve">Bh </t>
        </is>
      </c>
      <c r="E810" s="4" t="n">
        <v>5350000</v>
      </c>
    </row>
    <row r="811">
      <c r="A811" s="3" t="n">
        <v/>
      </c>
      <c r="B811" s="3" t="n">
        <v/>
      </c>
      <c r="C811" s="3" t="inlineStr">
        <is>
          <t>PRV Set dia. 3"</t>
        </is>
      </c>
      <c r="D811" s="3" t="inlineStr">
        <is>
          <t xml:space="preserve">Bh </t>
        </is>
      </c>
      <c r="E811" s="4" t="n">
        <v>7500000</v>
      </c>
    </row>
    <row r="812">
      <c r="A812" s="3" t="n">
        <v/>
      </c>
      <c r="B812" s="3" t="n">
        <v/>
      </c>
      <c r="C812" s="3" t="inlineStr">
        <is>
          <t>PRV set dia. 4"</t>
        </is>
      </c>
      <c r="D812" s="3" t="inlineStr">
        <is>
          <t xml:space="preserve">Bh </t>
        </is>
      </c>
      <c r="E812" s="4" t="n">
        <v>8450000</v>
      </c>
    </row>
    <row r="813">
      <c r="A813" s="3" t="n">
        <v/>
      </c>
      <c r="B813" s="3" t="n">
        <v/>
      </c>
      <c r="C813" s="3" t="inlineStr">
        <is>
          <t>PRV set dia. 6"</t>
        </is>
      </c>
      <c r="D813" s="3" t="inlineStr">
        <is>
          <t xml:space="preserve">Bh </t>
        </is>
      </c>
      <c r="E813" s="4" t="n">
        <v>8930000</v>
      </c>
    </row>
    <row r="814">
      <c r="A814" s="3" t="n">
        <v/>
      </c>
      <c r="B814" s="3" t="n">
        <v/>
      </c>
      <c r="C814" s="3" t="inlineStr">
        <is>
          <t>PRV set dia. 8"</t>
        </is>
      </c>
      <c r="D814" s="3" t="inlineStr">
        <is>
          <t xml:space="preserve">Bh </t>
        </is>
      </c>
      <c r="E814" s="4" t="n">
        <v>9430000</v>
      </c>
    </row>
    <row r="815">
      <c r="A815" s="3" t="n">
        <v/>
      </c>
      <c r="B815" s="3" t="n">
        <v/>
      </c>
      <c r="C815" s="3" t="inlineStr">
        <is>
          <t>AAV dia. 1/2"</t>
        </is>
      </c>
      <c r="D815" s="3" t="inlineStr">
        <is>
          <t xml:space="preserve">unit </t>
        </is>
      </c>
      <c r="E815" s="4" t="n">
        <v>250000</v>
      </c>
    </row>
    <row r="816">
      <c r="A816" s="3" t="n">
        <v/>
      </c>
      <c r="B816" s="3" t="n">
        <v/>
      </c>
      <c r="C816" s="3" t="inlineStr">
        <is>
          <t>AAV dia.1"</t>
        </is>
      </c>
      <c r="D816" s="3" t="inlineStr">
        <is>
          <t xml:space="preserve">unit </t>
        </is>
      </c>
      <c r="E816" s="4" t="n">
        <v>850000</v>
      </c>
    </row>
    <row r="817">
      <c r="A817" s="3" t="n">
        <v/>
      </c>
      <c r="B817" s="3" t="n">
        <v/>
      </c>
      <c r="C817" s="3" t="inlineStr">
        <is>
          <t>AAV dia. 2"</t>
        </is>
      </c>
      <c r="D817" s="3" t="inlineStr">
        <is>
          <t xml:space="preserve">unit </t>
        </is>
      </c>
      <c r="E817" s="4" t="n">
        <v>1050000</v>
      </c>
    </row>
    <row r="818">
      <c r="A818" s="3" t="n">
        <v/>
      </c>
      <c r="B818" s="3" t="n">
        <v/>
      </c>
      <c r="C818" s="3" t="inlineStr">
        <is>
          <t>AAV dia. 3"</t>
        </is>
      </c>
      <c r="D818" s="3" t="inlineStr">
        <is>
          <t xml:space="preserve">unit </t>
        </is>
      </c>
      <c r="E818" s="4" t="n">
        <v>1230800</v>
      </c>
    </row>
    <row r="819">
      <c r="A819" s="3" t="n">
        <v/>
      </c>
      <c r="B819" s="3" t="n">
        <v/>
      </c>
      <c r="C819" s="3" t="inlineStr">
        <is>
          <t>AAV dia. 4"</t>
        </is>
      </c>
      <c r="D819" s="3" t="inlineStr">
        <is>
          <t xml:space="preserve">unit </t>
        </is>
      </c>
      <c r="E819" s="4" t="n">
        <v>1432000</v>
      </c>
    </row>
    <row r="820">
      <c r="A820" s="3" t="n">
        <v/>
      </c>
      <c r="B820" s="3" t="n">
        <v/>
      </c>
      <c r="C820" s="3" t="inlineStr">
        <is>
          <t>AAV dia. 6"</t>
        </is>
      </c>
      <c r="D820" s="3" t="inlineStr">
        <is>
          <t xml:space="preserve">unit </t>
        </is>
      </c>
      <c r="E820" s="4" t="n">
        <v>1653000</v>
      </c>
    </row>
    <row r="821">
      <c r="A821" s="3" t="n">
        <v/>
      </c>
      <c r="B821" s="3" t="n">
        <v/>
      </c>
      <c r="C821" s="3" t="inlineStr">
        <is>
          <t>Vent Out dia. 2"</t>
        </is>
      </c>
      <c r="D821" s="3" t="inlineStr">
        <is>
          <t xml:space="preserve">unit </t>
        </is>
      </c>
      <c r="E821" s="4" t="n">
        <v>235000</v>
      </c>
    </row>
    <row r="822">
      <c r="A822" s="3" t="n">
        <v/>
      </c>
      <c r="B822" s="3" t="n">
        <v/>
      </c>
      <c r="C822" s="3" t="inlineStr">
        <is>
          <t xml:space="preserve">WLC dan Pengkabelan </t>
        </is>
      </c>
      <c r="D822" s="3" t="inlineStr">
        <is>
          <t xml:space="preserve">unit </t>
        </is>
      </c>
      <c r="E822" s="4" t="n">
        <v>81100</v>
      </c>
    </row>
    <row r="823">
      <c r="A823" s="3" t="n">
        <v/>
      </c>
      <c r="B823" s="3" t="n">
        <v/>
      </c>
      <c r="C823" s="3" t="inlineStr">
        <is>
          <t xml:space="preserve">Pressure Switch </t>
        </is>
      </c>
      <c r="D823" s="3" t="inlineStr">
        <is>
          <t xml:space="preserve">unit </t>
        </is>
      </c>
      <c r="E823" s="4" t="n">
        <v>220800</v>
      </c>
    </row>
    <row r="824">
      <c r="A824" s="3" t="n">
        <v/>
      </c>
      <c r="B824" s="3" t="n">
        <v/>
      </c>
      <c r="C824" s="3" t="inlineStr">
        <is>
          <t>Header Pipa PVC AW Dia. 4"</t>
        </is>
      </c>
      <c r="D824" s="3" t="inlineStr">
        <is>
          <t>m'</t>
        </is>
      </c>
      <c r="E824" s="4" t="n">
        <v>1325000</v>
      </c>
    </row>
    <row r="825">
      <c r="A825" s="3" t="n">
        <v/>
      </c>
      <c r="B825" s="3" t="n">
        <v/>
      </c>
      <c r="C825" s="3" t="inlineStr">
        <is>
          <t>Header Pipa Galvanis MED CLASS DN 4” (100 mm)</t>
        </is>
      </c>
      <c r="D825" s="3" t="inlineStr">
        <is>
          <t>m'</t>
        </is>
      </c>
      <c r="E825" s="4" t="n">
        <v>300000</v>
      </c>
    </row>
    <row r="826">
      <c r="A826" s="3" t="n">
        <v/>
      </c>
      <c r="B826" s="3" t="n">
        <v/>
      </c>
      <c r="C826" s="3" t="inlineStr">
        <is>
          <t>Header Pipa Galvanis MED CLASS DN 6” (150 mm)</t>
        </is>
      </c>
      <c r="D826" s="3" t="inlineStr">
        <is>
          <t>m'</t>
        </is>
      </c>
      <c r="E826" s="4" t="n">
        <v>400000</v>
      </c>
    </row>
    <row r="827">
      <c r="A827" s="3" t="n">
        <v/>
      </c>
      <c r="B827" s="3" t="n">
        <v/>
      </c>
      <c r="C827" s="3" t="inlineStr">
        <is>
          <t>Header Pipa Galvanis MED CLASS DN 8” (200 mm)</t>
        </is>
      </c>
      <c r="D827" s="3" t="inlineStr">
        <is>
          <t>m'</t>
        </is>
      </c>
      <c r="E827" s="4" t="n">
        <v>600000</v>
      </c>
    </row>
    <row r="828">
      <c r="A828" s="3" t="n">
        <v/>
      </c>
      <c r="B828" s="3" t="n">
        <v/>
      </c>
      <c r="C828" s="3" t="inlineStr">
        <is>
          <t>Header Pipa Galvanis MED CLASS DN 10” (250 mm)</t>
        </is>
      </c>
      <c r="D828" s="3" t="inlineStr">
        <is>
          <t>m'</t>
        </is>
      </c>
      <c r="E828" s="4" t="n">
        <v>800000</v>
      </c>
    </row>
    <row r="829">
      <c r="A829" s="3" t="n">
        <v/>
      </c>
      <c r="B829" s="3" t="n">
        <v/>
      </c>
      <c r="C829" s="3" t="inlineStr">
        <is>
          <t>Header Pipa BS SCH 40 Dia. 8"</t>
        </is>
      </c>
      <c r="D829" s="3" t="inlineStr">
        <is>
          <t>m'</t>
        </is>
      </c>
      <c r="E829" s="4" t="n">
        <v>3500000</v>
      </c>
    </row>
    <row r="830">
      <c r="A830" s="3" t="n">
        <v/>
      </c>
      <c r="B830" s="3" t="n">
        <v/>
      </c>
      <c r="C830" s="3" t="inlineStr">
        <is>
          <t>Header Pipa BS SCH 40 Dia. 10"</t>
        </is>
      </c>
      <c r="D830" s="3" t="inlineStr">
        <is>
          <t>m'</t>
        </is>
      </c>
      <c r="E830" s="4" t="n">
        <v>4600000</v>
      </c>
    </row>
    <row r="831">
      <c r="A831" s="3" t="n">
        <v/>
      </c>
      <c r="B831" s="3" t="n">
        <v/>
      </c>
      <c r="C831" s="3" t="inlineStr">
        <is>
          <t>Flange pipa DN 100 mm</t>
        </is>
      </c>
      <c r="D831" s="3" t="inlineStr">
        <is>
          <t>buah</t>
        </is>
      </c>
      <c r="E831" s="4" t="n">
        <v>150000</v>
      </c>
    </row>
    <row r="832">
      <c r="A832" s="3" t="n">
        <v/>
      </c>
      <c r="B832" s="3" t="n">
        <v/>
      </c>
      <c r="C832" s="3" t="inlineStr">
        <is>
          <t>Flange pipa DN 150 mm</t>
        </is>
      </c>
      <c r="D832" s="3" t="inlineStr">
        <is>
          <t>buah</t>
        </is>
      </c>
      <c r="E832" s="4" t="n">
        <v>200000</v>
      </c>
    </row>
    <row r="833">
      <c r="A833" s="3" t="n">
        <v/>
      </c>
      <c r="B833" s="3" t="n">
        <v/>
      </c>
      <c r="C833" s="3" t="inlineStr">
        <is>
          <t>Flange pipa DN 200 mm</t>
        </is>
      </c>
      <c r="D833" s="3" t="inlineStr">
        <is>
          <t>buah</t>
        </is>
      </c>
      <c r="E833" s="4" t="n">
        <v>300000</v>
      </c>
    </row>
    <row r="834">
      <c r="A834" s="3" t="n">
        <v/>
      </c>
      <c r="B834" s="3" t="n">
        <v/>
      </c>
      <c r="C834" s="3" t="inlineStr">
        <is>
          <t>Flange pipa DN 250 mm</t>
        </is>
      </c>
      <c r="D834" s="3" t="inlineStr">
        <is>
          <t>buah</t>
        </is>
      </c>
      <c r="E834" s="4" t="n">
        <v>350000</v>
      </c>
    </row>
    <row r="835">
      <c r="A835" s="3" t="n">
        <v/>
      </c>
      <c r="B835" s="3" t="n">
        <v/>
      </c>
      <c r="C835" s="3" t="inlineStr">
        <is>
          <t>Flange buta DN 100 mm</t>
        </is>
      </c>
      <c r="D835" s="3" t="inlineStr">
        <is>
          <t>buah</t>
        </is>
      </c>
      <c r="E835" s="4" t="n">
        <v>125000</v>
      </c>
    </row>
    <row r="836">
      <c r="A836" s="3" t="n">
        <v/>
      </c>
      <c r="B836" s="3" t="n">
        <v/>
      </c>
      <c r="C836" s="3" t="inlineStr">
        <is>
          <t>Flange buta DN 150 mm</t>
        </is>
      </c>
      <c r="D836" s="3" t="inlineStr">
        <is>
          <t>buah</t>
        </is>
      </c>
      <c r="E836" s="4" t="n">
        <v>150000</v>
      </c>
    </row>
    <row r="837">
      <c r="A837" s="3" t="n">
        <v/>
      </c>
      <c r="B837" s="3" t="n">
        <v/>
      </c>
      <c r="C837" s="3" t="inlineStr">
        <is>
          <t>Flange buta DN 200 mm</t>
        </is>
      </c>
      <c r="D837" s="3" t="inlineStr">
        <is>
          <t>buah</t>
        </is>
      </c>
      <c r="E837" s="4" t="n">
        <v>250000</v>
      </c>
    </row>
    <row r="838">
      <c r="A838" s="3" t="n">
        <v/>
      </c>
      <c r="B838" s="3" t="n">
        <v/>
      </c>
      <c r="C838" s="3" t="inlineStr">
        <is>
          <t>Flange buta DN 250 mm</t>
        </is>
      </c>
      <c r="D838" s="3" t="inlineStr">
        <is>
          <t>buah</t>
        </is>
      </c>
      <c r="E838" s="4" t="n">
        <v>300000</v>
      </c>
    </row>
    <row r="839">
      <c r="A839" s="3" t="n">
        <v/>
      </c>
      <c r="B839" s="3" t="n">
        <v/>
      </c>
      <c r="C839" s="3" t="inlineStr">
        <is>
          <t>Pipa percabangan 1 set</t>
        </is>
      </c>
      <c r="D839" s="3" t="inlineStr">
        <is>
          <t>set</t>
        </is>
      </c>
      <c r="E839" s="4" t="n">
        <v>100000</v>
      </c>
    </row>
    <row r="840">
      <c r="A840" s="3" t="n">
        <v/>
      </c>
      <c r="B840" s="3" t="n">
        <v/>
      </c>
      <c r="C840" s="3" t="inlineStr">
        <is>
          <t>Mur Baut M16</t>
        </is>
      </c>
      <c r="D840" s="3" t="inlineStr">
        <is>
          <t>buah</t>
        </is>
      </c>
      <c r="E840" s="4" t="n">
        <v>10000</v>
      </c>
    </row>
    <row r="841">
      <c r="A841" s="3" t="n">
        <v/>
      </c>
      <c r="B841" s="3" t="n">
        <v/>
      </c>
      <c r="C841" s="3" t="inlineStr">
        <is>
          <t>Mur Baut M20</t>
        </is>
      </c>
      <c r="D841" s="3" t="inlineStr">
        <is>
          <t>buah</t>
        </is>
      </c>
      <c r="E841" s="4" t="n">
        <v>15000</v>
      </c>
    </row>
    <row r="842">
      <c r="A842" s="3" t="n">
        <v/>
      </c>
      <c r="B842" s="3" t="n">
        <v/>
      </c>
      <c r="C842" s="3" t="inlineStr">
        <is>
          <t>Mur Baut M22</t>
        </is>
      </c>
      <c r="D842" s="3" t="inlineStr">
        <is>
          <t>buah</t>
        </is>
      </c>
      <c r="E842" s="4" t="n">
        <v>20000</v>
      </c>
    </row>
    <row r="843">
      <c r="A843" s="3" t="n">
        <v/>
      </c>
      <c r="B843" s="3" t="n">
        <v/>
      </c>
      <c r="C843" s="3" t="inlineStr">
        <is>
          <t>Dop PVC dia. 3"</t>
        </is>
      </c>
      <c r="D843" s="3" t="inlineStr">
        <is>
          <t xml:space="preserve">Bh </t>
        </is>
      </c>
      <c r="E843" s="4" t="n">
        <v>9950</v>
      </c>
    </row>
    <row r="844">
      <c r="A844" s="3" t="n">
        <v/>
      </c>
      <c r="B844" s="3" t="n">
        <v/>
      </c>
      <c r="C844" s="3" t="inlineStr">
        <is>
          <t>Dop PVC dia. 4"</t>
        </is>
      </c>
      <c r="D844" s="3" t="inlineStr">
        <is>
          <t xml:space="preserve">Bh </t>
        </is>
      </c>
      <c r="E844" s="4" t="n">
        <v>19500</v>
      </c>
    </row>
    <row r="845">
      <c r="A845" s="3" t="n">
        <v/>
      </c>
      <c r="B845" s="3" t="n">
        <v/>
      </c>
      <c r="C845" s="3" t="inlineStr">
        <is>
          <t>Dop PVC dia. 6"</t>
        </is>
      </c>
      <c r="D845" s="3" t="inlineStr">
        <is>
          <t xml:space="preserve">Bh </t>
        </is>
      </c>
      <c r="E845" s="4" t="n">
        <v>28000</v>
      </c>
    </row>
    <row r="846">
      <c r="A846" s="3" t="n">
        <v/>
      </c>
      <c r="B846" s="3" t="n">
        <v/>
      </c>
      <c r="C846" s="3" t="inlineStr">
        <is>
          <t>Pipa DCI dia. 100 mm</t>
        </is>
      </c>
      <c r="D846" s="3" t="inlineStr">
        <is>
          <t>m'</t>
        </is>
      </c>
      <c r="E846" s="4" t="n">
        <v>1083333.333333333</v>
      </c>
    </row>
    <row r="847">
      <c r="A847" s="3" t="n">
        <v/>
      </c>
      <c r="B847" s="3" t="n">
        <v/>
      </c>
      <c r="C847" s="3" t="inlineStr">
        <is>
          <t>Pipa DCI, DN. 4"
(100 mm)</t>
        </is>
      </c>
      <c r="D847" s="3" t="inlineStr">
        <is>
          <t>m'</t>
        </is>
      </c>
      <c r="E847" s="4" t="n">
        <v>1083000</v>
      </c>
    </row>
    <row r="848">
      <c r="A848" s="3" t="n">
        <v/>
      </c>
      <c r="B848" s="3" t="n">
        <v/>
      </c>
      <c r="C848" s="3" t="inlineStr">
        <is>
          <t>Pipa DCI dia. 125 mm</t>
        </is>
      </c>
      <c r="D848" s="3" t="inlineStr">
        <is>
          <t>m'</t>
        </is>
      </c>
      <c r="E848" s="4" t="n">
        <v>1100000</v>
      </c>
    </row>
    <row r="849">
      <c r="A849" s="3" t="n">
        <v/>
      </c>
      <c r="B849" s="3" t="n">
        <v/>
      </c>
      <c r="C849" s="3" t="inlineStr">
        <is>
          <t>Pipa DCI, DN. 5"
(125 mm)</t>
        </is>
      </c>
      <c r="D849" s="3" t="inlineStr">
        <is>
          <t>m'</t>
        </is>
      </c>
      <c r="E849" s="4" t="n">
        <v>1100000</v>
      </c>
    </row>
    <row r="850">
      <c r="A850" s="3" t="n">
        <v/>
      </c>
      <c r="B850" s="3" t="n">
        <v/>
      </c>
      <c r="C850" s="3" t="inlineStr">
        <is>
          <t>Pipa DCI dia. 150 mm</t>
        </is>
      </c>
      <c r="D850" s="3" t="inlineStr">
        <is>
          <t>m'</t>
        </is>
      </c>
      <c r="E850" s="4" t="n">
        <v>1300000</v>
      </c>
    </row>
    <row r="851">
      <c r="A851" s="3" t="n">
        <v/>
      </c>
      <c r="B851" s="3" t="n">
        <v/>
      </c>
      <c r="C851" s="3" t="inlineStr">
        <is>
          <t>Pipa DCI, DN. 6"
(150 mm)</t>
        </is>
      </c>
      <c r="D851" s="3" t="inlineStr">
        <is>
          <t>m'</t>
        </is>
      </c>
      <c r="E851" s="4" t="n">
        <v>1300000</v>
      </c>
    </row>
    <row r="852">
      <c r="A852" s="3" t="n">
        <v/>
      </c>
      <c r="B852" s="3" t="n">
        <v/>
      </c>
      <c r="C852" s="3" t="inlineStr">
        <is>
          <t>Pipa DCI dia. 200 mm</t>
        </is>
      </c>
      <c r="D852" s="3" t="inlineStr">
        <is>
          <t>m'</t>
        </is>
      </c>
      <c r="E852" s="4" t="n">
        <v>1450000</v>
      </c>
    </row>
    <row r="853">
      <c r="A853" s="3" t="n">
        <v/>
      </c>
      <c r="B853" s="3" t="n">
        <v/>
      </c>
      <c r="C853" s="3" t="inlineStr">
        <is>
          <t>Pipa DCI, DN. 8"
(200 mm)</t>
        </is>
      </c>
      <c r="D853" s="3" t="inlineStr">
        <is>
          <t>m'</t>
        </is>
      </c>
      <c r="E853" s="4" t="n">
        <v>1450000</v>
      </c>
    </row>
    <row r="854">
      <c r="A854" s="3" t="n">
        <v/>
      </c>
      <c r="B854" s="3" t="n">
        <v/>
      </c>
      <c r="C854" s="3" t="inlineStr">
        <is>
          <t>Pipa DCI dia. 250 mm</t>
        </is>
      </c>
      <c r="D854" s="3" t="inlineStr">
        <is>
          <t>m'</t>
        </is>
      </c>
      <c r="E854" s="4" t="n">
        <v>1570000</v>
      </c>
    </row>
    <row r="855">
      <c r="A855" s="3" t="n">
        <v/>
      </c>
      <c r="B855" s="3" t="n">
        <v/>
      </c>
      <c r="C855" s="3" t="inlineStr">
        <is>
          <t>Pipa DCI, DN. 10"
(250 mm)</t>
        </is>
      </c>
      <c r="D855" s="3" t="inlineStr">
        <is>
          <t>m'</t>
        </is>
      </c>
      <c r="E855" s="4" t="n">
        <v>1570000</v>
      </c>
    </row>
    <row r="856">
      <c r="A856" s="3" t="n">
        <v/>
      </c>
      <c r="B856" s="3" t="n">
        <v/>
      </c>
      <c r="C856" s="3" t="inlineStr">
        <is>
          <t>Pipa DCI dia. 300 mm</t>
        </is>
      </c>
      <c r="D856" s="3" t="inlineStr">
        <is>
          <t>m'</t>
        </is>
      </c>
      <c r="E856" s="4" t="n">
        <v>1630000</v>
      </c>
    </row>
    <row r="857">
      <c r="A857" s="3" t="n">
        <v/>
      </c>
      <c r="B857" s="3" t="n">
        <v/>
      </c>
      <c r="C857" s="3" t="inlineStr">
        <is>
          <t>Pipa DCI, DN. 12"
(300 mm)</t>
        </is>
      </c>
      <c r="D857" s="3" t="inlineStr">
        <is>
          <t>m'</t>
        </is>
      </c>
      <c r="E857" s="4" t="n">
        <v>1640000</v>
      </c>
    </row>
    <row r="858">
      <c r="A858" s="3" t="n">
        <v/>
      </c>
      <c r="B858" s="3" t="n">
        <v/>
      </c>
      <c r="C858" s="3" t="inlineStr">
        <is>
          <t>Pipa DCI dia. 400 mm</t>
        </is>
      </c>
      <c r="D858" s="3" t="inlineStr">
        <is>
          <t>m'</t>
        </is>
      </c>
      <c r="E858" s="4" t="n">
        <v>1780000</v>
      </c>
    </row>
    <row r="859">
      <c r="A859" s="3" t="n">
        <v/>
      </c>
      <c r="B859" s="3" t="n">
        <v/>
      </c>
      <c r="C859" s="3" t="inlineStr">
        <is>
          <t>Pipa DCI, DN. 16"
(400 mm)</t>
        </is>
      </c>
      <c r="D859" s="3" t="inlineStr">
        <is>
          <t>m'</t>
        </is>
      </c>
      <c r="E859" s="4" t="n">
        <v>1790000</v>
      </c>
    </row>
    <row r="860">
      <c r="A860" s="3" t="n">
        <v/>
      </c>
      <c r="B860" s="3" t="n">
        <v/>
      </c>
      <c r="C860" s="3" t="inlineStr">
        <is>
          <t>Pipa DCI dia. 450 mm</t>
        </is>
      </c>
      <c r="D860" s="3" t="inlineStr">
        <is>
          <t>m'</t>
        </is>
      </c>
      <c r="E860" s="4" t="n">
        <v>1840000</v>
      </c>
    </row>
    <row r="861">
      <c r="A861" s="3" t="n">
        <v/>
      </c>
      <c r="B861" s="3" t="n">
        <v/>
      </c>
      <c r="C861" s="3" t="inlineStr">
        <is>
          <t>Pipa DCI, DN. 18"
(450 mm)</t>
        </is>
      </c>
      <c r="D861" s="3" t="inlineStr">
        <is>
          <t>m'</t>
        </is>
      </c>
      <c r="E861" s="4" t="n">
        <v>1850000</v>
      </c>
    </row>
    <row r="862">
      <c r="A862" s="3" t="n">
        <v/>
      </c>
      <c r="B862" s="3" t="n">
        <v/>
      </c>
      <c r="C862" s="3" t="inlineStr">
        <is>
          <t>Pipa DCI dia. 500 mm</t>
        </is>
      </c>
      <c r="D862" s="3" t="inlineStr">
        <is>
          <t>m'</t>
        </is>
      </c>
      <c r="E862" s="4" t="n">
        <v>1950000</v>
      </c>
    </row>
    <row r="863">
      <c r="A863" s="3" t="n">
        <v/>
      </c>
      <c r="B863" s="3" t="n">
        <v/>
      </c>
      <c r="C863" s="3" t="inlineStr">
        <is>
          <t>Pipa DCI, DN. 20"
(500 mm)</t>
        </is>
      </c>
      <c r="D863" s="3" t="inlineStr">
        <is>
          <t>m'</t>
        </is>
      </c>
      <c r="E863" s="4" t="n">
        <v>1960000</v>
      </c>
    </row>
    <row r="864">
      <c r="A864" s="3" t="n">
        <v/>
      </c>
      <c r="B864" s="3" t="n">
        <v/>
      </c>
      <c r="C864" s="3" t="inlineStr">
        <is>
          <t>Pipa DCI dia. 600 mm</t>
        </is>
      </c>
      <c r="D864" s="3" t="inlineStr">
        <is>
          <t>m'</t>
        </is>
      </c>
      <c r="E864" s="4" t="n">
        <v>2100000</v>
      </c>
    </row>
    <row r="865">
      <c r="A865" s="3" t="n">
        <v/>
      </c>
      <c r="B865" s="3" t="n">
        <v/>
      </c>
      <c r="C865" s="3" t="inlineStr">
        <is>
          <t>Pipa DCI, DN. 24"
(600 mm)</t>
        </is>
      </c>
      <c r="D865" s="3" t="inlineStr">
        <is>
          <t>m'</t>
        </is>
      </c>
      <c r="E865" s="4" t="n">
        <v>2115000</v>
      </c>
    </row>
    <row r="866">
      <c r="A866" s="3" t="n">
        <v/>
      </c>
      <c r="B866" s="3" t="n">
        <v/>
      </c>
      <c r="C866" s="3" t="inlineStr">
        <is>
          <t>Pipa DCI dia. 800 mm</t>
        </is>
      </c>
      <c r="D866" s="3" t="inlineStr">
        <is>
          <t>m'</t>
        </is>
      </c>
      <c r="E866" s="4" t="n">
        <v>2350000</v>
      </c>
    </row>
    <row r="867">
      <c r="A867" s="3" t="n">
        <v/>
      </c>
      <c r="B867" s="3" t="n">
        <v/>
      </c>
      <c r="C867" s="3" t="inlineStr">
        <is>
          <t>Pipa DCI, DN. 32"
(800 mm)</t>
        </is>
      </c>
      <c r="D867" s="3" t="inlineStr">
        <is>
          <t>m'</t>
        </is>
      </c>
      <c r="E867" s="4" t="n">
        <v>2360000</v>
      </c>
    </row>
    <row r="868">
      <c r="A868" s="3" t="n">
        <v/>
      </c>
      <c r="B868" s="3" t="n">
        <v/>
      </c>
      <c r="C868" s="3" t="inlineStr">
        <is>
          <t>Pipa DCI dia. 900 mm</t>
        </is>
      </c>
      <c r="D868" s="3" t="inlineStr">
        <is>
          <t>m'</t>
        </is>
      </c>
      <c r="E868" s="4" t="n">
        <v>2430000</v>
      </c>
    </row>
    <row r="869">
      <c r="A869" s="3" t="n">
        <v/>
      </c>
      <c r="B869" s="3" t="n">
        <v/>
      </c>
      <c r="C869" s="3" t="inlineStr">
        <is>
          <t>Pipa DCI, DN. 36"
(900 mm)</t>
        </is>
      </c>
      <c r="D869" s="3" t="inlineStr">
        <is>
          <t>m'</t>
        </is>
      </c>
      <c r="E869" s="4" t="n">
        <v>2440000</v>
      </c>
    </row>
    <row r="870">
      <c r="A870" s="3" t="n">
        <v/>
      </c>
      <c r="B870" s="3" t="n">
        <v/>
      </c>
      <c r="C870" s="3" t="inlineStr">
        <is>
          <t>Pipa DCI dia. 1000 mm</t>
        </is>
      </c>
      <c r="D870" s="3" t="inlineStr">
        <is>
          <t>m'</t>
        </is>
      </c>
      <c r="E870" s="4" t="n">
        <v>2560000</v>
      </c>
    </row>
    <row r="871">
      <c r="A871" s="3" t="n">
        <v/>
      </c>
      <c r="B871" s="3" t="n">
        <v/>
      </c>
      <c r="C871" s="3" t="inlineStr">
        <is>
          <t>Pipa DCI, DN. 40"
(1000 mm)</t>
        </is>
      </c>
      <c r="D871" s="3" t="inlineStr">
        <is>
          <t>m'</t>
        </is>
      </c>
      <c r="E871" s="4" t="n">
        <v>2570000</v>
      </c>
    </row>
    <row r="872">
      <c r="A872" s="3" t="n">
        <v/>
      </c>
      <c r="B872" s="3" t="n">
        <v/>
      </c>
      <c r="C872" s="3" t="inlineStr">
        <is>
          <t>Pipa DCI dia. 1100 mm</t>
        </is>
      </c>
      <c r="D872" s="3" t="inlineStr">
        <is>
          <t>m'</t>
        </is>
      </c>
      <c r="E872" s="4" t="n">
        <v>2720000</v>
      </c>
    </row>
    <row r="873">
      <c r="A873" s="3" t="n">
        <v/>
      </c>
      <c r="B873" s="3" t="n">
        <v/>
      </c>
      <c r="C873" s="3" t="inlineStr">
        <is>
          <t>Pipa DCI, DN. 44"
(1100 mm)</t>
        </is>
      </c>
      <c r="D873" s="3" t="inlineStr">
        <is>
          <t>m'</t>
        </is>
      </c>
      <c r="E873" s="4" t="n">
        <v>2730000</v>
      </c>
    </row>
    <row r="874">
      <c r="A874" s="3" t="n">
        <v/>
      </c>
      <c r="B874" s="3" t="n">
        <v/>
      </c>
      <c r="C874" s="3" t="inlineStr">
        <is>
          <t>Pipa DCI, DN. 48"
(1200 mm)</t>
        </is>
      </c>
      <c r="D874" s="3" t="inlineStr">
        <is>
          <t>m'</t>
        </is>
      </c>
      <c r="E874" s="4" t="n">
        <v>236000</v>
      </c>
    </row>
    <row r="875">
      <c r="A875" s="3" t="n">
        <v/>
      </c>
      <c r="B875" s="3" t="n">
        <v/>
      </c>
      <c r="C875" s="3" t="inlineStr">
        <is>
          <t>Pipa Beton dia. 200 mm</t>
        </is>
      </c>
      <c r="D875" s="3" t="inlineStr">
        <is>
          <t>m'</t>
        </is>
      </c>
      <c r="E875" s="4" t="n">
        <v>235000</v>
      </c>
    </row>
    <row r="876">
      <c r="A876" s="3" t="n">
        <v/>
      </c>
      <c r="B876" s="3" t="n">
        <v/>
      </c>
      <c r="C876" s="3" t="inlineStr">
        <is>
          <t>Pipa Beton, DN. 8" (200 mm)</t>
        </is>
      </c>
      <c r="D876" s="3" t="inlineStr">
        <is>
          <t>m'</t>
        </is>
      </c>
      <c r="E876" s="4" t="n">
        <v>236000</v>
      </c>
    </row>
    <row r="877">
      <c r="A877" s="3" t="n">
        <v/>
      </c>
      <c r="B877" s="3" t="n">
        <v/>
      </c>
      <c r="C877" s="3" t="inlineStr">
        <is>
          <t>Pipa Beton dia. 300 mm</t>
        </is>
      </c>
      <c r="D877" s="3" t="inlineStr">
        <is>
          <t>m'</t>
        </is>
      </c>
      <c r="E877" s="4" t="n">
        <v>264000</v>
      </c>
    </row>
    <row r="878">
      <c r="A878" s="3" t="n">
        <v/>
      </c>
      <c r="B878" s="3" t="n">
        <v/>
      </c>
      <c r="C878" s="3" t="inlineStr">
        <is>
          <t>Pipa Beton, DN. 12" (300 mm)</t>
        </is>
      </c>
      <c r="D878" s="3" t="inlineStr">
        <is>
          <t>m'</t>
        </is>
      </c>
      <c r="E878" s="4" t="n">
        <v>265000</v>
      </c>
    </row>
    <row r="879">
      <c r="A879" s="3" t="n">
        <v/>
      </c>
      <c r="B879" s="3" t="n">
        <v/>
      </c>
      <c r="C879" s="3" t="inlineStr">
        <is>
          <t>Pipa Beton dia. 400 mm</t>
        </is>
      </c>
      <c r="D879" s="3" t="inlineStr">
        <is>
          <t>m'</t>
        </is>
      </c>
      <c r="E879" s="4" t="n">
        <v>285000</v>
      </c>
    </row>
    <row r="880">
      <c r="A880" s="3" t="n">
        <v/>
      </c>
      <c r="B880" s="3" t="n">
        <v/>
      </c>
      <c r="C880" s="3" t="inlineStr">
        <is>
          <t>Pipa Beton, DN. 16" (400 mm)</t>
        </is>
      </c>
      <c r="D880" s="3" t="inlineStr">
        <is>
          <t>m'</t>
        </is>
      </c>
      <c r="E880" s="4" t="n">
        <v>286000</v>
      </c>
    </row>
    <row r="881">
      <c r="A881" s="3" t="n">
        <v/>
      </c>
      <c r="B881" s="3" t="n">
        <v/>
      </c>
      <c r="C881" s="3" t="inlineStr">
        <is>
          <t>Pipa Beton dia. 500 mm</t>
        </is>
      </c>
      <c r="D881" s="3" t="inlineStr">
        <is>
          <t>m'</t>
        </is>
      </c>
      <c r="E881" s="4" t="n">
        <v>299000</v>
      </c>
    </row>
    <row r="882">
      <c r="A882" s="3" t="n">
        <v/>
      </c>
      <c r="B882" s="3" t="n">
        <v/>
      </c>
      <c r="C882" s="3" t="inlineStr">
        <is>
          <t>Pipa Beton, DN. 20" (500 mm)</t>
        </is>
      </c>
      <c r="D882" s="3" t="inlineStr">
        <is>
          <t>m'</t>
        </is>
      </c>
      <c r="E882" s="4" t="n">
        <v>300000</v>
      </c>
    </row>
    <row r="883">
      <c r="A883" s="3" t="n">
        <v/>
      </c>
      <c r="B883" s="3" t="n">
        <v/>
      </c>
      <c r="C883" s="3" t="inlineStr">
        <is>
          <t>Pipa Beton dia. 600 mm</t>
        </is>
      </c>
      <c r="D883" s="3" t="inlineStr">
        <is>
          <t>m'</t>
        </is>
      </c>
      <c r="E883" s="4" t="n">
        <v>350000</v>
      </c>
    </row>
    <row r="884">
      <c r="A884" s="3" t="n">
        <v/>
      </c>
      <c r="B884" s="3" t="n">
        <v/>
      </c>
      <c r="C884" s="3" t="inlineStr">
        <is>
          <t>Pipa Beton, DN. 24" (600 mm)</t>
        </is>
      </c>
      <c r="D884" s="3" t="inlineStr">
        <is>
          <t>m'</t>
        </is>
      </c>
      <c r="E884" s="4" t="n">
        <v>351000</v>
      </c>
    </row>
    <row r="885">
      <c r="A885" s="3" t="n">
        <v/>
      </c>
      <c r="B885" s="3" t="n">
        <v/>
      </c>
      <c r="C885" s="3" t="inlineStr">
        <is>
          <t>Pipa Beton dia. 700 mm</t>
        </is>
      </c>
      <c r="D885" s="3" t="inlineStr">
        <is>
          <t>m'</t>
        </is>
      </c>
      <c r="E885" s="4" t="n">
        <v>410000</v>
      </c>
    </row>
    <row r="886">
      <c r="A886" s="3" t="n">
        <v/>
      </c>
      <c r="B886" s="3" t="n">
        <v/>
      </c>
      <c r="C886" s="3" t="inlineStr">
        <is>
          <t>Pipa Beton, DN. 28" (700 mm)</t>
        </is>
      </c>
      <c r="D886" s="3" t="inlineStr">
        <is>
          <t>m'</t>
        </is>
      </c>
      <c r="E886" s="4" t="n">
        <v>411000</v>
      </c>
    </row>
    <row r="887">
      <c r="A887" s="3" t="n">
        <v/>
      </c>
      <c r="B887" s="3" t="n">
        <v/>
      </c>
      <c r="C887" s="3" t="inlineStr">
        <is>
          <t>Pipa Beton dia. 800 mm</t>
        </is>
      </c>
      <c r="D887" s="3" t="inlineStr">
        <is>
          <t>m'</t>
        </is>
      </c>
      <c r="E887" s="4" t="n">
        <v>490000</v>
      </c>
    </row>
    <row r="888">
      <c r="A888" s="3" t="n">
        <v/>
      </c>
      <c r="B888" s="3" t="n">
        <v/>
      </c>
      <c r="C888" s="3" t="inlineStr">
        <is>
          <t>Pipa Beton, DN. 32" (800 mm)</t>
        </is>
      </c>
      <c r="D888" s="3" t="inlineStr">
        <is>
          <t>m'</t>
        </is>
      </c>
      <c r="E888" s="4" t="n">
        <v>491000</v>
      </c>
    </row>
    <row r="889">
      <c r="A889" s="3" t="n">
        <v/>
      </c>
      <c r="B889" s="3" t="n">
        <v/>
      </c>
      <c r="C889" s="3" t="inlineStr">
        <is>
          <t>Pipa Beton dia. 1000 mm</t>
        </is>
      </c>
      <c r="D889" s="3" t="inlineStr">
        <is>
          <t>m'</t>
        </is>
      </c>
      <c r="E889" s="4" t="n">
        <v>570000</v>
      </c>
    </row>
    <row r="890">
      <c r="A890" s="3" t="n">
        <v/>
      </c>
      <c r="B890" s="3" t="n">
        <v/>
      </c>
      <c r="C890" s="3" t="inlineStr">
        <is>
          <t>Pipa Beton, DN. 40" (1000 mm)</t>
        </is>
      </c>
      <c r="D890" s="3" t="inlineStr">
        <is>
          <t>m'</t>
        </is>
      </c>
      <c r="E890" s="4" t="n">
        <v>571000</v>
      </c>
    </row>
    <row r="891">
      <c r="A891" s="3" t="n">
        <v/>
      </c>
      <c r="B891" s="3" t="n">
        <v/>
      </c>
      <c r="C891" s="3" t="inlineStr">
        <is>
          <t>Pipa Beton dia. 1200 mm</t>
        </is>
      </c>
      <c r="D891" s="3" t="inlineStr">
        <is>
          <t>m'</t>
        </is>
      </c>
      <c r="E891" s="4" t="n">
        <v>640000</v>
      </c>
    </row>
    <row r="892">
      <c r="A892" s="3" t="n">
        <v/>
      </c>
      <c r="B892" s="3" t="n">
        <v/>
      </c>
      <c r="C892" s="3" t="inlineStr">
        <is>
          <t>Pipa Beton, DN. 48" (1200 mm)</t>
        </is>
      </c>
      <c r="D892" s="3" t="inlineStr">
        <is>
          <t>m'</t>
        </is>
      </c>
      <c r="E892" s="4" t="n">
        <v>641000</v>
      </c>
    </row>
    <row r="893">
      <c r="A893" s="3" t="n">
        <v/>
      </c>
      <c r="B893" s="3" t="n">
        <v/>
      </c>
      <c r="C893" s="3" t="inlineStr">
        <is>
          <t>Valve Ø 6" (150 mm)</t>
        </is>
      </c>
      <c r="D893" s="3" t="inlineStr">
        <is>
          <t>buah</t>
        </is>
      </c>
      <c r="E893" s="4" t="n">
        <v>225000</v>
      </c>
    </row>
    <row r="894">
      <c r="A894" s="3" t="n">
        <v/>
      </c>
      <c r="B894" s="3" t="n">
        <v/>
      </c>
      <c r="C894" s="3" t="inlineStr">
        <is>
          <t>Valve Ø 8" (200 mm)</t>
        </is>
      </c>
      <c r="D894" s="3" t="inlineStr">
        <is>
          <t>buah</t>
        </is>
      </c>
      <c r="E894" s="4" t="n">
        <v>290000</v>
      </c>
    </row>
    <row r="895">
      <c r="A895" s="3" t="n">
        <v/>
      </c>
      <c r="B895" s="3" t="n">
        <v/>
      </c>
      <c r="C895" s="3" t="inlineStr">
        <is>
          <t>Valve Ø 10" (250 mm)</t>
        </is>
      </c>
      <c r="D895" s="3" t="inlineStr">
        <is>
          <t>buah</t>
        </is>
      </c>
      <c r="E895" s="4" t="n">
        <v>350000</v>
      </c>
    </row>
    <row r="896">
      <c r="A896" s="3" t="n">
        <v/>
      </c>
      <c r="B896" s="3" t="n">
        <v/>
      </c>
      <c r="C896" s="3" t="inlineStr">
        <is>
          <t>Valve Ø 12" (300 mm)</t>
        </is>
      </c>
      <c r="D896" s="3" t="inlineStr">
        <is>
          <t>buah</t>
        </is>
      </c>
      <c r="E896" s="4" t="n">
        <v>410000</v>
      </c>
    </row>
    <row r="897">
      <c r="A897" s="3" t="n">
        <v/>
      </c>
      <c r="B897" s="3" t="n">
        <v/>
      </c>
      <c r="C897" s="3" t="inlineStr">
        <is>
          <t>Valve Ø 16" (400 mm)</t>
        </is>
      </c>
      <c r="D897" s="3" t="inlineStr">
        <is>
          <t>buah</t>
        </is>
      </c>
      <c r="E897" s="4" t="n">
        <v>490000</v>
      </c>
    </row>
    <row r="898">
      <c r="A898" s="3" t="n">
        <v/>
      </c>
      <c r="B898" s="3" t="n">
        <v/>
      </c>
      <c r="C898" s="3" t="inlineStr">
        <is>
          <t>Valve Ø 18" (450 mm)</t>
        </is>
      </c>
      <c r="D898" s="3" t="inlineStr">
        <is>
          <t>buah</t>
        </is>
      </c>
      <c r="E898" s="4" t="n">
        <v>530000</v>
      </c>
    </row>
    <row r="899">
      <c r="A899" s="3" t="n">
        <v/>
      </c>
      <c r="B899" s="3" t="n">
        <v/>
      </c>
      <c r="C899" s="3" t="inlineStr">
        <is>
          <t>Valve Ø 20" (500 mm)</t>
        </is>
      </c>
      <c r="D899" s="3" t="inlineStr">
        <is>
          <t>buah</t>
        </is>
      </c>
      <c r="E899" s="4" t="n">
        <v>590000</v>
      </c>
    </row>
    <row r="900">
      <c r="A900" s="3" t="n">
        <v/>
      </c>
      <c r="B900" s="3" t="n">
        <v/>
      </c>
      <c r="C900" s="3" t="inlineStr">
        <is>
          <t>Valve Ø 24" (600 mm)</t>
        </is>
      </c>
      <c r="D900" s="3" t="inlineStr">
        <is>
          <t>buah</t>
        </is>
      </c>
      <c r="E900" s="4" t="n">
        <v>670000</v>
      </c>
    </row>
    <row r="901">
      <c r="A901" s="3" t="n">
        <v/>
      </c>
      <c r="B901" s="3" t="n">
        <v/>
      </c>
      <c r="C901" s="3" t="inlineStr">
        <is>
          <t>Valve Ø 28" (700 mm)</t>
        </is>
      </c>
      <c r="D901" s="3" t="inlineStr">
        <is>
          <t>buah</t>
        </is>
      </c>
      <c r="E901" s="4" t="n">
        <v>750000</v>
      </c>
    </row>
    <row r="902">
      <c r="A902" s="3" t="n">
        <v/>
      </c>
      <c r="B902" s="3" t="n">
        <v/>
      </c>
      <c r="C902" s="3" t="inlineStr">
        <is>
          <t>Valve Ø 32" (800 mm)</t>
        </is>
      </c>
      <c r="D902" s="3" t="inlineStr">
        <is>
          <t>buah</t>
        </is>
      </c>
      <c r="E902" s="4" t="n">
        <v>810000</v>
      </c>
    </row>
    <row r="903">
      <c r="A903" s="3" t="n">
        <v/>
      </c>
      <c r="B903" s="3" t="n">
        <v/>
      </c>
      <c r="C903" s="3" t="inlineStr">
        <is>
          <t>Valve Ø 36" (900 mm)</t>
        </is>
      </c>
      <c r="D903" s="3" t="inlineStr">
        <is>
          <t>buah</t>
        </is>
      </c>
      <c r="E903" s="4" t="n">
        <v>890000</v>
      </c>
    </row>
    <row r="904">
      <c r="A904" s="3" t="n">
        <v/>
      </c>
      <c r="B904" s="3" t="n">
        <v/>
      </c>
      <c r="C904" s="3" t="inlineStr">
        <is>
          <t>Valve Ø 40" (1000 mm)</t>
        </is>
      </c>
      <c r="D904" s="3" t="inlineStr">
        <is>
          <t>buah</t>
        </is>
      </c>
      <c r="E904" s="4" t="n">
        <v>950000</v>
      </c>
    </row>
    <row r="905">
      <c r="A905" s="3" t="n">
        <v/>
      </c>
      <c r="B905" s="3" t="n">
        <v/>
      </c>
      <c r="C905" s="3" t="inlineStr">
        <is>
          <t>Valve Ø 44" (1100 mm)</t>
        </is>
      </c>
      <c r="D905" s="3" t="inlineStr">
        <is>
          <t>buah</t>
        </is>
      </c>
      <c r="E905" s="4" t="n">
        <v>1050000</v>
      </c>
    </row>
    <row r="906">
      <c r="A906" s="3" t="n">
        <v/>
      </c>
      <c r="B906" s="3" t="n">
        <v/>
      </c>
      <c r="C906" s="3" t="inlineStr">
        <is>
          <t>Valve Ø 48" (1200 mm)</t>
        </is>
      </c>
      <c r="D906" s="3" t="inlineStr">
        <is>
          <t>buah</t>
        </is>
      </c>
      <c r="E906" s="4" t="n">
        <v>1119000</v>
      </c>
    </row>
    <row r="907">
      <c r="A907" s="3" t="n">
        <v/>
      </c>
      <c r="B907" s="3" t="n">
        <v/>
      </c>
      <c r="C907" s="3" t="inlineStr">
        <is>
          <t>Valve Ø 1/2" (15 mm)</t>
        </is>
      </c>
      <c r="D907" s="3" t="inlineStr">
        <is>
          <t>buah</t>
        </is>
      </c>
      <c r="E907" s="4" t="n">
        <v>95000</v>
      </c>
    </row>
    <row r="908">
      <c r="A908" s="3" t="n">
        <v/>
      </c>
      <c r="B908" s="3" t="n">
        <v/>
      </c>
      <c r="C908" s="3" t="inlineStr">
        <is>
          <t>Valve Ø 3/4" (20 mm)</t>
        </is>
      </c>
      <c r="D908" s="3" t="inlineStr">
        <is>
          <t>buah</t>
        </is>
      </c>
      <c r="E908" s="4" t="n">
        <v>105000</v>
      </c>
    </row>
    <row r="909">
      <c r="A909" s="3" t="n">
        <v/>
      </c>
      <c r="B909" s="3" t="n">
        <v/>
      </c>
      <c r="C909" s="3" t="inlineStr">
        <is>
          <t>Valve Ø 1" (25 mm)</t>
        </is>
      </c>
      <c r="D909" s="3" t="inlineStr">
        <is>
          <t>buah</t>
        </is>
      </c>
      <c r="E909" s="4" t="n">
        <v>115000</v>
      </c>
    </row>
    <row r="910">
      <c r="A910" s="3" t="n">
        <v/>
      </c>
      <c r="B910" s="3" t="n">
        <v/>
      </c>
      <c r="C910" s="3" t="inlineStr">
        <is>
          <t>Valve Ø 1-1/4" (32 mm)</t>
        </is>
      </c>
      <c r="D910" s="3" t="inlineStr">
        <is>
          <t>buah</t>
        </is>
      </c>
      <c r="E910" s="4" t="n">
        <v>129000</v>
      </c>
    </row>
    <row r="911">
      <c r="A911" s="3" t="n">
        <v/>
      </c>
      <c r="B911" s="3" t="n">
        <v/>
      </c>
      <c r="C911" s="3" t="inlineStr">
        <is>
          <t>Valve Ø 1-1/2" (40 mm)</t>
        </is>
      </c>
      <c r="D911" s="3" t="inlineStr">
        <is>
          <t>buah</t>
        </is>
      </c>
      <c r="E911" s="4" t="n">
        <v>135000</v>
      </c>
    </row>
    <row r="912">
      <c r="A912" s="3" t="n">
        <v/>
      </c>
      <c r="B912" s="3" t="n">
        <v/>
      </c>
      <c r="C912" s="3" t="inlineStr">
        <is>
          <t>Valve Ø 2" (50 mm)</t>
        </is>
      </c>
      <c r="D912" s="3" t="inlineStr">
        <is>
          <t>buah</t>
        </is>
      </c>
      <c r="E912" s="4" t="n">
        <v>150000</v>
      </c>
    </row>
    <row r="913">
      <c r="A913" s="3" t="n">
        <v/>
      </c>
      <c r="B913" s="3" t="n">
        <v/>
      </c>
      <c r="C913" s="3" t="inlineStr">
        <is>
          <t>Valve Ø 2-1/2" (65 mm)</t>
        </is>
      </c>
      <c r="D913" s="3" t="inlineStr">
        <is>
          <t>buah</t>
        </is>
      </c>
      <c r="E913" s="4" t="n">
        <v>170000</v>
      </c>
    </row>
    <row r="914">
      <c r="A914" s="3" t="n">
        <v/>
      </c>
      <c r="B914" s="3" t="n">
        <v/>
      </c>
      <c r="C914" s="3" t="inlineStr">
        <is>
          <t>Valve Ø 3" (80 mm)</t>
        </is>
      </c>
      <c r="D914" s="3" t="inlineStr">
        <is>
          <t>buah</t>
        </is>
      </c>
      <c r="E914" s="4" t="n">
        <v>192000</v>
      </c>
    </row>
    <row r="915">
      <c r="A915" s="3" t="n">
        <v/>
      </c>
      <c r="B915" s="3" t="n">
        <v/>
      </c>
      <c r="C915" s="3" t="inlineStr">
        <is>
          <t>Valve Ø 4" (100 mm)</t>
        </is>
      </c>
      <c r="D915" s="3" t="inlineStr">
        <is>
          <t>buah</t>
        </is>
      </c>
      <c r="E915" s="4" t="n">
        <v>205000</v>
      </c>
    </row>
    <row r="916">
      <c r="A916" s="3" t="n">
        <v/>
      </c>
      <c r="B916" s="3" t="n">
        <v/>
      </c>
      <c r="C916" s="3" t="inlineStr">
        <is>
          <t>Valve Ø 5" (125 mm)</t>
        </is>
      </c>
      <c r="D916" s="3" t="inlineStr">
        <is>
          <t>buah</t>
        </is>
      </c>
      <c r="E916" s="4" t="n">
        <v>215000</v>
      </c>
    </row>
    <row r="917">
      <c r="A917" s="3" t="n">
        <v/>
      </c>
      <c r="B917" s="3" t="n">
        <v/>
      </c>
      <c r="C917" s="3" t="inlineStr">
        <is>
          <t>Tee Ø 6" (150 mm)</t>
        </is>
      </c>
      <c r="D917" s="3" t="inlineStr">
        <is>
          <t>buah</t>
        </is>
      </c>
      <c r="E917" s="4" t="n">
        <v>65000</v>
      </c>
    </row>
    <row r="918">
      <c r="A918" s="3" t="n">
        <v/>
      </c>
      <c r="B918" s="3" t="n">
        <v/>
      </c>
      <c r="C918" s="3" t="inlineStr">
        <is>
          <t>Tee Ø 8" (200 mm)</t>
        </is>
      </c>
      <c r="D918" s="3" t="inlineStr">
        <is>
          <t>buah</t>
        </is>
      </c>
      <c r="E918" s="4" t="n">
        <v>138000</v>
      </c>
    </row>
    <row r="919">
      <c r="A919" s="3" t="n">
        <v/>
      </c>
      <c r="B919" s="3" t="n">
        <v/>
      </c>
      <c r="C919" s="3" t="inlineStr">
        <is>
          <t>Tee Ø 10" (250 mm)</t>
        </is>
      </c>
      <c r="D919" s="3" t="inlineStr">
        <is>
          <t>buah</t>
        </is>
      </c>
      <c r="E919" s="4" t="n">
        <v>215000</v>
      </c>
    </row>
    <row r="920">
      <c r="A920" s="3" t="n">
        <v/>
      </c>
      <c r="B920" s="3" t="n">
        <v/>
      </c>
      <c r="C920" s="3" t="inlineStr">
        <is>
          <t>Tee Ø 18" (450 mm)</t>
        </is>
      </c>
      <c r="D920" s="3" t="inlineStr">
        <is>
          <t>buah</t>
        </is>
      </c>
      <c r="E920" s="4" t="n">
        <v>285000</v>
      </c>
    </row>
    <row r="921">
      <c r="A921" s="3" t="n">
        <v/>
      </c>
      <c r="B921" s="3" t="n">
        <v/>
      </c>
      <c r="C921" s="3" t="inlineStr">
        <is>
          <t>Tee Ø 20" (500 mm)</t>
        </is>
      </c>
      <c r="D921" s="3" t="inlineStr">
        <is>
          <t>buah</t>
        </is>
      </c>
      <c r="E921" s="4" t="n">
        <v>350000</v>
      </c>
    </row>
    <row r="922">
      <c r="A922" s="3" t="n">
        <v/>
      </c>
      <c r="B922" s="3" t="n">
        <v/>
      </c>
      <c r="C922" s="3" t="inlineStr">
        <is>
          <t>Tee Ø 24" (600 mm)</t>
        </is>
      </c>
      <c r="D922" s="3" t="inlineStr">
        <is>
          <t>buah</t>
        </is>
      </c>
      <c r="E922" s="4" t="n">
        <v>435000</v>
      </c>
    </row>
    <row r="923">
      <c r="A923" s="3" t="n">
        <v/>
      </c>
      <c r="B923" s="3" t="n">
        <v/>
      </c>
      <c r="C923" s="3" t="inlineStr">
        <is>
          <t>Tee Ø 28" (700 mm)</t>
        </is>
      </c>
      <c r="D923" s="3" t="inlineStr">
        <is>
          <t>buah</t>
        </is>
      </c>
      <c r="E923" s="4" t="n">
        <v>510000</v>
      </c>
    </row>
    <row r="924">
      <c r="A924" s="3" t="n">
        <v/>
      </c>
      <c r="B924" s="3" t="n">
        <v/>
      </c>
      <c r="C924" s="3" t="inlineStr">
        <is>
          <t>Tee Ø 32" (800 mm)</t>
        </is>
      </c>
      <c r="D924" s="3" t="inlineStr">
        <is>
          <t>buah</t>
        </is>
      </c>
      <c r="E924" s="4" t="n">
        <v>599000</v>
      </c>
    </row>
    <row r="925">
      <c r="A925" s="3" t="n">
        <v/>
      </c>
      <c r="B925" s="3" t="n">
        <v/>
      </c>
      <c r="C925" s="3" t="inlineStr">
        <is>
          <t>Tee Ø 36" (900 mm)</t>
        </is>
      </c>
      <c r="D925" s="3" t="inlineStr">
        <is>
          <t>buah</t>
        </is>
      </c>
      <c r="E925" s="4" t="n">
        <v>670000</v>
      </c>
    </row>
    <row r="926">
      <c r="A926" s="3" t="n">
        <v/>
      </c>
      <c r="B926" s="3" t="n">
        <v/>
      </c>
      <c r="C926" s="3" t="inlineStr">
        <is>
          <t>Tee Ø 40" (1000 mm)</t>
        </is>
      </c>
      <c r="D926" s="3" t="inlineStr">
        <is>
          <t>buah</t>
        </is>
      </c>
      <c r="E926" s="4" t="n">
        <v>750000</v>
      </c>
    </row>
    <row r="927">
      <c r="A927" s="3" t="n">
        <v/>
      </c>
      <c r="B927" s="3" t="n">
        <v/>
      </c>
      <c r="C927" s="3" t="inlineStr">
        <is>
          <t>Tee Ø 44" (1100 mm)</t>
        </is>
      </c>
      <c r="D927" s="3" t="inlineStr">
        <is>
          <t>buah</t>
        </is>
      </c>
      <c r="E927" s="4" t="n">
        <v>830000</v>
      </c>
    </row>
    <row r="928">
      <c r="A928" s="3" t="n">
        <v/>
      </c>
      <c r="B928" s="3" t="n">
        <v/>
      </c>
      <c r="C928" s="3" t="inlineStr">
        <is>
          <t>Tee Ø 48" (1200 mm)</t>
        </is>
      </c>
      <c r="D928" s="3" t="inlineStr">
        <is>
          <t>buah</t>
        </is>
      </c>
      <c r="E928" s="4" t="n">
        <v>950000</v>
      </c>
    </row>
    <row r="929">
      <c r="A929" s="3" t="n">
        <v/>
      </c>
      <c r="B929" s="3" t="n">
        <v/>
      </c>
      <c r="C929" s="3" t="inlineStr">
        <is>
          <t>Tee Ø 1/2" (15 mm)</t>
        </is>
      </c>
      <c r="D929" s="3" t="inlineStr">
        <is>
          <t>buah</t>
        </is>
      </c>
      <c r="E929" s="4" t="n">
        <v>20000</v>
      </c>
    </row>
    <row r="930">
      <c r="A930" s="3" t="n">
        <v/>
      </c>
      <c r="B930" s="3" t="n">
        <v/>
      </c>
      <c r="C930" s="3" t="inlineStr">
        <is>
          <t>Tee Ø 3/4" (20 mm)</t>
        </is>
      </c>
      <c r="D930" s="3" t="inlineStr">
        <is>
          <t>buah</t>
        </is>
      </c>
      <c r="E930" s="4" t="n">
        <v>27000</v>
      </c>
    </row>
    <row r="931">
      <c r="A931" s="3" t="n">
        <v/>
      </c>
      <c r="B931" s="3" t="n">
        <v/>
      </c>
      <c r="C931" s="3" t="inlineStr">
        <is>
          <t>Tee Ø 1" (25 mm)</t>
        </is>
      </c>
      <c r="D931" s="3" t="inlineStr">
        <is>
          <t xml:space="preserve">buah </t>
        </is>
      </c>
      <c r="E931" s="4" t="n">
        <v>30000</v>
      </c>
    </row>
    <row r="932">
      <c r="A932" s="3" t="n">
        <v/>
      </c>
      <c r="B932" s="3" t="n">
        <v/>
      </c>
      <c r="C932" s="3" t="inlineStr">
        <is>
          <t>Tee Ø 1-1/4" (32 mm)</t>
        </is>
      </c>
      <c r="D932" s="3" t="inlineStr">
        <is>
          <t>buah</t>
        </is>
      </c>
      <c r="E932" s="4" t="n">
        <v>32000</v>
      </c>
    </row>
    <row r="933">
      <c r="A933" s="3" t="n">
        <v/>
      </c>
      <c r="B933" s="3" t="n">
        <v/>
      </c>
      <c r="C933" s="3" t="inlineStr">
        <is>
          <t>Tee Ø 1-1/2" (40 mm)</t>
        </is>
      </c>
      <c r="D933" s="3" t="inlineStr">
        <is>
          <t>buah</t>
        </is>
      </c>
      <c r="E933" s="4" t="n">
        <v>39000</v>
      </c>
    </row>
    <row r="934">
      <c r="A934" s="3" t="n">
        <v/>
      </c>
      <c r="B934" s="3" t="n">
        <v/>
      </c>
      <c r="C934" s="3" t="inlineStr">
        <is>
          <t>Tee Ø 2" (50 mm)</t>
        </is>
      </c>
      <c r="D934" s="3" t="inlineStr">
        <is>
          <t>buah</t>
        </is>
      </c>
      <c r="E934" s="4" t="n">
        <v>42000</v>
      </c>
    </row>
    <row r="935">
      <c r="A935" s="3" t="n">
        <v/>
      </c>
      <c r="B935" s="3" t="n">
        <v/>
      </c>
      <c r="C935" s="3" t="inlineStr">
        <is>
          <t>Tee Ø 2-1/2" (65 mm)</t>
        </is>
      </c>
      <c r="D935" s="3" t="inlineStr">
        <is>
          <t>buah</t>
        </is>
      </c>
      <c r="E935" s="4" t="n">
        <v>48000</v>
      </c>
    </row>
    <row r="936">
      <c r="A936" s="3" t="n">
        <v/>
      </c>
      <c r="B936" s="3" t="n">
        <v/>
      </c>
      <c r="C936" s="3" t="inlineStr">
        <is>
          <t>Tee Ø 5" (125 mm)</t>
        </is>
      </c>
      <c r="D936" s="3" t="inlineStr">
        <is>
          <t>buah</t>
        </is>
      </c>
      <c r="E936" s="4" t="n">
        <v>55000</v>
      </c>
    </row>
    <row r="937">
      <c r="A937" s="3" t="n">
        <v/>
      </c>
      <c r="B937" s="3" t="n">
        <v/>
      </c>
      <c r="C937" s="3" t="inlineStr">
        <is>
          <t>Tee Ø 3" (80 mm)</t>
        </is>
      </c>
      <c r="D937" s="3" t="inlineStr">
        <is>
          <t>buah</t>
        </is>
      </c>
      <c r="E937" s="4" t="n">
        <v>59000</v>
      </c>
    </row>
    <row r="938">
      <c r="A938" s="3" t="n">
        <v/>
      </c>
      <c r="B938" s="3" t="n">
        <v/>
      </c>
      <c r="C938" s="3" t="inlineStr">
        <is>
          <t>Tee Ø 4" (100 mm)</t>
        </is>
      </c>
      <c r="D938" s="3" t="inlineStr">
        <is>
          <t>buah</t>
        </is>
      </c>
      <c r="E938" s="4" t="n">
        <v>62000</v>
      </c>
    </row>
    <row r="939">
      <c r="A939" s="3" t="n">
        <v/>
      </c>
      <c r="B939" s="3" t="n">
        <v/>
      </c>
      <c r="C939" s="3" t="inlineStr">
        <is>
          <t>Tee Ø 12" (300 mm)</t>
        </is>
      </c>
      <c r="D939" s="3" t="inlineStr">
        <is>
          <t>buah</t>
        </is>
      </c>
      <c r="E939" s="4" t="n">
        <v>235000</v>
      </c>
    </row>
    <row r="940">
      <c r="A940" s="3" t="n">
        <v/>
      </c>
      <c r="B940" s="3" t="n">
        <v/>
      </c>
      <c r="C940" s="3" t="inlineStr">
        <is>
          <t>Tee Ø 16" (400 mm)</t>
        </is>
      </c>
      <c r="D940" s="3" t="inlineStr">
        <is>
          <t>buah</t>
        </is>
      </c>
      <c r="E940" s="4" t="n">
        <v>255000</v>
      </c>
    </row>
    <row r="941">
      <c r="A941" s="3" t="n">
        <v/>
      </c>
      <c r="B941" s="3" t="n">
        <v/>
      </c>
      <c r="C941" s="3" t="inlineStr">
        <is>
          <t>MATERIAL BESI DAN BAJA</t>
        </is>
      </c>
      <c r="D941" s="3" t="n">
        <v/>
      </c>
      <c r="E941" s="4" t="n">
        <v/>
      </c>
    </row>
    <row r="942">
      <c r="A942" s="3" t="inlineStr">
        <is>
          <t>1</t>
        </is>
      </c>
      <c r="B942" s="3" t="n">
        <v/>
      </c>
      <c r="C942" s="3" t="inlineStr">
        <is>
          <t>Baja (ulir) U-39</t>
        </is>
      </c>
      <c r="D942" s="3" t="inlineStr">
        <is>
          <t>kg</t>
        </is>
      </c>
      <c r="E942" s="4" t="n">
        <v>14600</v>
      </c>
    </row>
    <row r="943">
      <c r="A943" s="3" t="inlineStr">
        <is>
          <t>2</t>
        </is>
      </c>
      <c r="B943" s="3" t="n">
        <v/>
      </c>
      <c r="C943" s="3" t="inlineStr">
        <is>
          <t>Baja (ulir) U-48</t>
        </is>
      </c>
      <c r="D943" s="3" t="inlineStr">
        <is>
          <t>kg</t>
        </is>
      </c>
      <c r="E943" s="4" t="n">
        <v>14600</v>
      </c>
    </row>
    <row r="944">
      <c r="A944" s="3" t="inlineStr">
        <is>
          <t>3</t>
        </is>
      </c>
      <c r="B944" s="3" t="n">
        <v/>
      </c>
      <c r="C944" s="3" t="inlineStr">
        <is>
          <t>Baja Tahan Karat  ( Stainless  Steel )</t>
        </is>
      </c>
      <c r="D944" s="3" t="inlineStr">
        <is>
          <t>kg</t>
        </is>
      </c>
      <c r="E944" s="4" t="n">
        <v>80340</v>
      </c>
    </row>
    <row r="945">
      <c r="A945" s="3" t="n">
        <v/>
      </c>
      <c r="B945" s="3" t="n">
        <v/>
      </c>
      <c r="C945" s="3" t="inlineStr">
        <is>
          <t>Baja L 40.40.4</t>
        </is>
      </c>
      <c r="D945" s="3" t="inlineStr">
        <is>
          <t>kg</t>
        </is>
      </c>
      <c r="E945" s="4" t="n">
        <v>14840</v>
      </c>
    </row>
    <row r="946">
      <c r="A946" s="3" t="n">
        <v/>
      </c>
      <c r="B946" s="3" t="n">
        <v/>
      </c>
      <c r="C946" s="3" t="inlineStr">
        <is>
          <t>Frame besi L.30.30.3</t>
        </is>
      </c>
      <c r="D946" s="3" t="inlineStr">
        <is>
          <t>kg</t>
        </is>
      </c>
      <c r="E946" s="4" t="n">
        <v>14840</v>
      </c>
    </row>
    <row r="947">
      <c r="A947" s="3" t="n">
        <v/>
      </c>
      <c r="B947" s="3" t="n">
        <v/>
      </c>
      <c r="C947" s="3" t="inlineStr">
        <is>
          <t>Frame Allum L.10.1</t>
        </is>
      </c>
      <c r="D947" s="3" t="inlineStr">
        <is>
          <t>kg</t>
        </is>
      </c>
      <c r="E947" s="4" t="n">
        <v>25000</v>
      </c>
    </row>
    <row r="948">
      <c r="A948" s="3" t="inlineStr">
        <is>
          <t>4</t>
        </is>
      </c>
      <c r="B948" s="3" t="n">
        <v/>
      </c>
      <c r="C948" s="3" t="inlineStr">
        <is>
          <t>Besi angkur diameter 8</t>
        </is>
      </c>
      <c r="D948" s="3" t="inlineStr">
        <is>
          <t>kg</t>
        </is>
      </c>
      <c r="E948" s="4" t="n">
        <v>35000</v>
      </c>
    </row>
    <row r="949">
      <c r="A949" s="3" t="inlineStr">
        <is>
          <t>5</t>
        </is>
      </c>
      <c r="B949" s="3" t="n">
        <v/>
      </c>
      <c r="C949" s="3" t="inlineStr">
        <is>
          <t>Besi angkur/mur/baut</t>
        </is>
      </c>
      <c r="D949" s="3" t="inlineStr">
        <is>
          <t>kg</t>
        </is>
      </c>
      <c r="E949" s="4" t="n">
        <v>16660</v>
      </c>
    </row>
    <row r="950">
      <c r="A950" s="3" t="n">
        <v/>
      </c>
      <c r="B950" s="3" t="n">
        <v/>
      </c>
      <c r="C950" s="3" t="inlineStr">
        <is>
          <t xml:space="preserve">Baut </t>
        </is>
      </c>
      <c r="D950" s="3" t="inlineStr">
        <is>
          <t xml:space="preserve">kg </t>
        </is>
      </c>
      <c r="E950" s="4" t="n">
        <v>17000</v>
      </c>
    </row>
    <row r="951">
      <c r="A951" s="3" t="inlineStr">
        <is>
          <t>6</t>
        </is>
      </c>
      <c r="B951" s="3" t="n">
        <v/>
      </c>
      <c r="C951" s="3" t="inlineStr">
        <is>
          <t>Besi hollow  38.38.2</t>
        </is>
      </c>
      <c r="D951" s="3" t="inlineStr">
        <is>
          <t>kg</t>
        </is>
      </c>
      <c r="E951" s="4" t="n">
        <v>13700</v>
      </c>
    </row>
    <row r="952">
      <c r="A952" s="3" t="inlineStr">
        <is>
          <t>7</t>
        </is>
      </c>
      <c r="B952" s="3" t="n">
        <v/>
      </c>
      <c r="C952" s="3" t="inlineStr">
        <is>
          <t>Besi hollow  50.50.3</t>
        </is>
      </c>
      <c r="D952" s="3" t="inlineStr">
        <is>
          <t>kg</t>
        </is>
      </c>
      <c r="E952" s="4" t="n">
        <v>13800</v>
      </c>
    </row>
    <row r="953">
      <c r="A953" s="3" t="inlineStr">
        <is>
          <t>8</t>
        </is>
      </c>
      <c r="B953" s="3" t="n">
        <v/>
      </c>
      <c r="C953" s="3" t="inlineStr">
        <is>
          <t>Besi hollow galvanis 40.40</t>
        </is>
      </c>
      <c r="D953" s="3" t="inlineStr">
        <is>
          <t>m'</t>
        </is>
      </c>
      <c r="E953" s="4" t="n">
        <v>6250</v>
      </c>
    </row>
    <row r="954">
      <c r="A954" s="3" t="inlineStr">
        <is>
          <t>9</t>
        </is>
      </c>
      <c r="B954" s="3" t="n">
        <v/>
      </c>
      <c r="C954" s="3" t="inlineStr">
        <is>
          <t>Besi lis  kaca (1 x  1) cm</t>
        </is>
      </c>
      <c r="D954" s="3" t="inlineStr">
        <is>
          <t>m'</t>
        </is>
      </c>
      <c r="E954" s="4" t="n">
        <v>10500</v>
      </c>
    </row>
    <row r="955">
      <c r="A955" s="3" t="inlineStr">
        <is>
          <t>10</t>
        </is>
      </c>
      <c r="B955" s="3" t="n">
        <v/>
      </c>
      <c r="C955" s="3" t="inlineStr">
        <is>
          <t>Besi plat baja tebal 2 mm</t>
        </is>
      </c>
      <c r="D955" s="3" t="inlineStr">
        <is>
          <t>kg</t>
        </is>
      </c>
      <c r="E955" s="4" t="n">
        <v>25000</v>
      </c>
    </row>
    <row r="956">
      <c r="A956" s="3" t="inlineStr">
        <is>
          <t>11</t>
        </is>
      </c>
      <c r="B956" s="3" t="n">
        <v/>
      </c>
      <c r="C956" s="3" t="inlineStr">
        <is>
          <t>Besi profil</t>
        </is>
      </c>
      <c r="D956" s="3" t="inlineStr">
        <is>
          <t>kg</t>
        </is>
      </c>
      <c r="E956" s="4" t="n">
        <v>14840</v>
      </c>
    </row>
    <row r="957">
      <c r="A957" s="3" t="inlineStr">
        <is>
          <t>12</t>
        </is>
      </c>
      <c r="B957" s="3" t="n">
        <v/>
      </c>
      <c r="C957" s="3" t="inlineStr">
        <is>
          <t>Besi siku</t>
        </is>
      </c>
      <c r="D957" s="3" t="inlineStr">
        <is>
          <t>kg</t>
        </is>
      </c>
      <c r="E957" s="4" t="n">
        <v>14700</v>
      </c>
    </row>
    <row r="958">
      <c r="A958" s="3" t="inlineStr">
        <is>
          <t>13</t>
        </is>
      </c>
      <c r="B958" s="3" t="n">
        <v/>
      </c>
      <c r="C958" s="3" t="inlineStr">
        <is>
          <t>Besi siku 30x30x3 mm</t>
        </is>
      </c>
      <c r="D958" s="3" t="inlineStr">
        <is>
          <t>kg</t>
        </is>
      </c>
      <c r="E958" s="4" t="n">
        <v>13000</v>
      </c>
    </row>
    <row r="959">
      <c r="A959" s="3" t="inlineStr">
        <is>
          <t>14</t>
        </is>
      </c>
      <c r="B959" s="3" t="n">
        <v/>
      </c>
      <c r="C959" s="3" t="inlineStr">
        <is>
          <t>Besi siku 40x40x4 mm</t>
        </is>
      </c>
      <c r="D959" s="3" t="inlineStr">
        <is>
          <t>kg</t>
        </is>
      </c>
      <c r="E959" s="4" t="n">
        <v>15667</v>
      </c>
    </row>
    <row r="960">
      <c r="A960" s="3" t="n">
        <v/>
      </c>
      <c r="B960" s="3" t="n">
        <v/>
      </c>
      <c r="C960" s="3" t="inlineStr">
        <is>
          <t xml:space="preserve">Baja Profil Siku </t>
        </is>
      </c>
      <c r="D960" s="3" t="inlineStr">
        <is>
          <t>kg</t>
        </is>
      </c>
      <c r="E960" s="4" t="n">
        <v>15500</v>
      </c>
    </row>
    <row r="961">
      <c r="A961" s="3" t="inlineStr">
        <is>
          <t>14</t>
        </is>
      </c>
      <c r="B961" s="3" t="n">
        <v/>
      </c>
      <c r="C961" s="3" t="inlineStr">
        <is>
          <t>Besi siku 40x40x4</t>
        </is>
      </c>
      <c r="D961" s="3" t="inlineStr">
        <is>
          <t>m'</t>
        </is>
      </c>
      <c r="E961" s="4" t="n">
        <v>20825</v>
      </c>
    </row>
    <row r="962">
      <c r="A962" s="3" t="n">
        <v/>
      </c>
      <c r="B962" s="3" t="n">
        <v/>
      </c>
      <c r="C962" s="3" t="inlineStr">
        <is>
          <t>Besi siku 20x20 tebal 2 mm</t>
        </is>
      </c>
      <c r="D962" s="3" t="inlineStr">
        <is>
          <t>m</t>
        </is>
      </c>
      <c r="E962" s="4" t="n">
        <v>19500</v>
      </c>
    </row>
    <row r="963">
      <c r="A963" s="3" t="n">
        <v/>
      </c>
      <c r="B963" s="3" t="n">
        <v/>
      </c>
      <c r="C963" s="3" t="inlineStr">
        <is>
          <t>Besi strip</t>
        </is>
      </c>
      <c r="D963" s="3" t="inlineStr">
        <is>
          <t>kg</t>
        </is>
      </c>
      <c r="E963" s="4" t="n">
        <v>7500</v>
      </c>
    </row>
    <row r="964">
      <c r="A964" s="3" t="n">
        <v/>
      </c>
      <c r="B964" s="3" t="n">
        <v/>
      </c>
      <c r="C964" s="3" t="inlineStr">
        <is>
          <t xml:space="preserve">Teralis Besi Strip lengkap dengan accessories </t>
        </is>
      </c>
      <c r="D964" s="3" t="inlineStr">
        <is>
          <t>M2</t>
        </is>
      </c>
      <c r="E964" s="4" t="n">
        <v>150000</v>
      </c>
    </row>
    <row r="965">
      <c r="A965" s="3" t="n">
        <v/>
      </c>
      <c r="B965" s="3" t="n">
        <v/>
      </c>
      <c r="C965" s="3" t="inlineStr">
        <is>
          <t>Pelat Strip t=2,6 mm, L=12 cm</t>
        </is>
      </c>
      <c r="D965" s="3" t="inlineStr">
        <is>
          <t>buah</t>
        </is>
      </c>
      <c r="E965" s="4" t="n">
        <v>21000</v>
      </c>
    </row>
    <row r="966">
      <c r="A966" s="3" t="n">
        <v/>
      </c>
      <c r="B966" s="3" t="n">
        <v/>
      </c>
      <c r="C966" s="3" t="inlineStr">
        <is>
          <t>Pelat Strip t=2,6 mm, L=14 cm</t>
        </is>
      </c>
      <c r="D966" s="3" t="inlineStr">
        <is>
          <t>buah</t>
        </is>
      </c>
      <c r="E966" s="4" t="n">
        <v>29000</v>
      </c>
    </row>
    <row r="967">
      <c r="A967" s="3" t="n">
        <v/>
      </c>
      <c r="B967" s="3" t="n">
        <v/>
      </c>
      <c r="C967" s="3" t="inlineStr">
        <is>
          <t>Pelat Strip t=2,6 mm, L=17 cm</t>
        </is>
      </c>
      <c r="D967" s="3" t="inlineStr">
        <is>
          <t xml:space="preserve">buah </t>
        </is>
      </c>
      <c r="E967" s="4" t="n">
        <v>39000</v>
      </c>
    </row>
    <row r="968">
      <c r="A968" s="3" t="n">
        <v/>
      </c>
      <c r="B968" s="3" t="n">
        <v/>
      </c>
      <c r="C968" s="3" t="inlineStr">
        <is>
          <t>Pelat Strip t=2,6 mm, L=34 cm</t>
        </is>
      </c>
      <c r="D968" s="3" t="inlineStr">
        <is>
          <t>buah</t>
        </is>
      </c>
      <c r="E968" s="4" t="n">
        <v>58000</v>
      </c>
    </row>
    <row r="969">
      <c r="A969" s="3" t="n">
        <v/>
      </c>
      <c r="B969" s="3" t="n">
        <v/>
      </c>
      <c r="C969" s="3" t="inlineStr">
        <is>
          <t xml:space="preserve">Angkur Baja Full Drat ASTM 307 dia. 10 mm Panjang 35 cm </t>
        </is>
      </c>
      <c r="D969" s="3" t="inlineStr">
        <is>
          <t>buah</t>
        </is>
      </c>
      <c r="E969" s="4" t="n">
        <v>9200</v>
      </c>
    </row>
    <row r="970">
      <c r="A970" s="3" t="n">
        <v/>
      </c>
      <c r="B970" s="3" t="n">
        <v/>
      </c>
      <c r="C970" s="3" t="inlineStr">
        <is>
          <t xml:space="preserve">Angkur Baja Full Drat ASTM 307 dia 10 mm Panjang 65 cm </t>
        </is>
      </c>
      <c r="D970" s="3" t="inlineStr">
        <is>
          <t>buah</t>
        </is>
      </c>
      <c r="E970" s="4" t="n">
        <v>18000</v>
      </c>
    </row>
    <row r="971">
      <c r="A971" s="3" t="inlineStr">
        <is>
          <t>15</t>
        </is>
      </c>
      <c r="B971" s="3" t="n">
        <v/>
      </c>
      <c r="C971" s="3" t="inlineStr">
        <is>
          <t>Besi strip (0,2x2) cm</t>
        </is>
      </c>
      <c r="D971" s="3" t="inlineStr">
        <is>
          <t>m'</t>
        </is>
      </c>
      <c r="E971" s="4" t="n">
        <v>5000</v>
      </c>
    </row>
    <row r="972">
      <c r="A972" s="3" t="inlineStr">
        <is>
          <t>16</t>
        </is>
      </c>
      <c r="B972" s="3" t="n">
        <v/>
      </c>
      <c r="C972" s="3" t="inlineStr">
        <is>
          <t>Besi strip (0,2x2) cm</t>
        </is>
      </c>
      <c r="D972" s="3" t="inlineStr">
        <is>
          <t>kg</t>
        </is>
      </c>
      <c r="E972" s="4" t="n">
        <v>15000</v>
      </c>
    </row>
    <row r="973">
      <c r="A973" s="3" t="inlineStr">
        <is>
          <t>17</t>
        </is>
      </c>
      <c r="B973" s="3" t="n">
        <v/>
      </c>
      <c r="C973" s="3" t="inlineStr">
        <is>
          <t>Besi strip (20x3) mm</t>
        </is>
      </c>
      <c r="D973" s="3" t="inlineStr">
        <is>
          <t>kg</t>
        </is>
      </c>
      <c r="E973" s="4" t="n">
        <v>17250</v>
      </c>
    </row>
    <row r="974">
      <c r="A974" s="3" t="n">
        <v/>
      </c>
      <c r="B974" s="3" t="n">
        <v/>
      </c>
      <c r="C974" s="3" t="inlineStr">
        <is>
          <t>Plat Strip 3/30 mm</t>
        </is>
      </c>
      <c r="D974" s="3" t="inlineStr">
        <is>
          <t>m'</t>
        </is>
      </c>
      <c r="E974" s="4" t="n">
        <v>9900</v>
      </c>
    </row>
    <row r="975">
      <c r="A975" s="3" t="inlineStr">
        <is>
          <t>18</t>
        </is>
      </c>
      <c r="B975" s="3" t="n">
        <v/>
      </c>
      <c r="C975" s="3" t="inlineStr">
        <is>
          <t>Besi strip tebal 5 mm</t>
        </is>
      </c>
      <c r="D975" s="3" t="inlineStr">
        <is>
          <t>kg</t>
        </is>
      </c>
      <c r="E975" s="4" t="n">
        <v>7500</v>
      </c>
    </row>
    <row r="976">
      <c r="A976" s="3" t="inlineStr">
        <is>
          <t>19</t>
        </is>
      </c>
      <c r="B976" s="3" t="n">
        <v/>
      </c>
      <c r="C976" s="3" t="inlineStr">
        <is>
          <t>BjTP</t>
        </is>
      </c>
      <c r="D976" s="3" t="inlineStr">
        <is>
          <t>kg</t>
        </is>
      </c>
      <c r="E976" s="4" t="n">
        <v>14250</v>
      </c>
    </row>
    <row r="977">
      <c r="A977" s="3" t="n">
        <v/>
      </c>
      <c r="B977" s="3" t="n">
        <v/>
      </c>
      <c r="C977" s="3" t="inlineStr">
        <is>
          <t>Baja Tulangan Polos (BjTP) diameter &lt; 12 mm</t>
        </is>
      </c>
      <c r="D977" s="3" t="inlineStr">
        <is>
          <t xml:space="preserve">kg </t>
        </is>
      </c>
      <c r="E977" s="4" t="n">
        <v>14250</v>
      </c>
    </row>
    <row r="978">
      <c r="A978" s="3" t="n">
        <v/>
      </c>
      <c r="B978" s="3" t="n">
        <v/>
      </c>
      <c r="C978" s="3" t="inlineStr">
        <is>
          <t>Baja Tulangan Polos (BjTP) diameter &gt;12 mm</t>
        </is>
      </c>
      <c r="D978" s="3" t="inlineStr">
        <is>
          <t xml:space="preserve">kg </t>
        </is>
      </c>
      <c r="E978" s="4" t="n">
        <v>16000</v>
      </c>
    </row>
    <row r="979">
      <c r="A979" s="3" t="inlineStr">
        <is>
          <t>20</t>
        </is>
      </c>
      <c r="B979" s="3" t="n">
        <v/>
      </c>
      <c r="C979" s="3" t="inlineStr">
        <is>
          <t>BjTS</t>
        </is>
      </c>
      <c r="D979" s="3" t="inlineStr">
        <is>
          <t>kg</t>
        </is>
      </c>
      <c r="E979" s="4" t="n">
        <v>14500</v>
      </c>
    </row>
    <row r="980">
      <c r="A980" s="3" t="n">
        <v/>
      </c>
      <c r="B980" s="3" t="n">
        <v/>
      </c>
      <c r="C980" s="3" t="inlineStr">
        <is>
          <t>Baja Tulangan Sirip (BjTS) diameter &lt; 12 mm</t>
        </is>
      </c>
      <c r="D980" s="3" t="inlineStr">
        <is>
          <t xml:space="preserve">kg </t>
        </is>
      </c>
      <c r="E980" s="4" t="n">
        <v>14500</v>
      </c>
    </row>
    <row r="981">
      <c r="A981" s="3" t="n">
        <v/>
      </c>
      <c r="B981" s="3" t="n">
        <v/>
      </c>
      <c r="C981" s="3" t="inlineStr">
        <is>
          <t>Baja Tulangan Sirip (BjTS) diameter &gt;12 mm</t>
        </is>
      </c>
      <c r="D981" s="3" t="inlineStr">
        <is>
          <t xml:space="preserve">kg </t>
        </is>
      </c>
      <c r="E981" s="4" t="n">
        <v>16500</v>
      </c>
    </row>
    <row r="982">
      <c r="A982" s="3" t="inlineStr">
        <is>
          <t>21</t>
        </is>
      </c>
      <c r="B982" s="3" t="n">
        <v/>
      </c>
      <c r="C982" s="3" t="inlineStr">
        <is>
          <t>Bronjong kawat  pabrikan Uk.2x1x0,5 ø  3mm mesh 8x10</t>
        </is>
      </c>
      <c r="D982" s="3" t="inlineStr">
        <is>
          <t>Unit</t>
        </is>
      </c>
      <c r="E982" s="4" t="n">
        <v>460000</v>
      </c>
    </row>
    <row r="983">
      <c r="A983" s="3" t="inlineStr">
        <is>
          <t>22</t>
        </is>
      </c>
      <c r="B983" s="3" t="n">
        <v/>
      </c>
      <c r="C983" s="3" t="inlineStr">
        <is>
          <t>Bronjong kawat  pabrikan Uk.3x1,5x0,5 ø  3mm mesh 8x10</t>
        </is>
      </c>
      <c r="D983" s="3" t="inlineStr">
        <is>
          <t>Unit</t>
        </is>
      </c>
      <c r="E983" s="4" t="n">
        <v>891000</v>
      </c>
    </row>
    <row r="984">
      <c r="A984" s="3" t="inlineStr">
        <is>
          <t>23</t>
        </is>
      </c>
      <c r="B984" s="3" t="n">
        <v/>
      </c>
      <c r="C984" s="3" t="inlineStr">
        <is>
          <t>Bronjong kawat  pabrikan Uk.3x1x0,5 ø  3mm mesh 8x10</t>
        </is>
      </c>
      <c r="D984" s="3" t="inlineStr">
        <is>
          <t>Unit</t>
        </is>
      </c>
      <c r="E984" s="4" t="n">
        <v>656000</v>
      </c>
    </row>
    <row r="985">
      <c r="A985" s="3" t="inlineStr">
        <is>
          <t>24</t>
        </is>
      </c>
      <c r="B985" s="3" t="n">
        <v/>
      </c>
      <c r="C985" s="3" t="inlineStr">
        <is>
          <t>Bronjong kawat  pabrikan Uk.4x1x0,5 ø  3mm mesh 8x10</t>
        </is>
      </c>
      <c r="D985" s="3" t="inlineStr">
        <is>
          <t>Unit</t>
        </is>
      </c>
      <c r="E985" s="4" t="n">
        <v>805000</v>
      </c>
    </row>
    <row r="986">
      <c r="A986" s="3" t="inlineStr">
        <is>
          <t>25</t>
        </is>
      </c>
      <c r="B986" s="3" t="n">
        <v/>
      </c>
      <c r="C986" s="3" t="inlineStr">
        <is>
          <t>Dinabolt dia. 12mm (10-15 cm)</t>
        </is>
      </c>
      <c r="D986" s="3" t="inlineStr">
        <is>
          <t>buah</t>
        </is>
      </c>
      <c r="E986" s="4" t="n">
        <v>4550</v>
      </c>
    </row>
    <row r="987">
      <c r="A987" s="3" t="n">
        <v/>
      </c>
      <c r="B987" s="3" t="n">
        <v/>
      </c>
      <c r="C987" s="3" t="inlineStr">
        <is>
          <t>Dynabolt M12</t>
        </is>
      </c>
      <c r="D987" s="3" t="inlineStr">
        <is>
          <t xml:space="preserve">buah </t>
        </is>
      </c>
      <c r="E987" s="4" t="n">
        <v>30500</v>
      </c>
    </row>
    <row r="988">
      <c r="A988" s="3" t="inlineStr">
        <is>
          <t>26</t>
        </is>
      </c>
      <c r="B988" s="3" t="n">
        <v/>
      </c>
      <c r="C988" s="3" t="inlineStr">
        <is>
          <t>Jaring Kawat Baja dilas</t>
        </is>
      </c>
      <c r="D988" s="3" t="inlineStr">
        <is>
          <t>kg</t>
        </is>
      </c>
      <c r="E988" s="4" t="n">
        <v>15150</v>
      </c>
    </row>
    <row r="989">
      <c r="A989" s="3" t="inlineStr">
        <is>
          <t>27</t>
        </is>
      </c>
      <c r="B989" s="3" t="n">
        <v/>
      </c>
      <c r="C989" s="3" t="inlineStr">
        <is>
          <t>Kawat  bronjong</t>
        </is>
      </c>
      <c r="D989" s="3" t="inlineStr">
        <is>
          <t>kg</t>
        </is>
      </c>
      <c r="E989" s="4" t="n">
        <v>15680</v>
      </c>
    </row>
    <row r="990">
      <c r="A990" s="3" t="inlineStr">
        <is>
          <t>28</t>
        </is>
      </c>
      <c r="B990" s="3" t="n">
        <v/>
      </c>
      <c r="C990" s="3" t="inlineStr">
        <is>
          <t>Kawat  duri</t>
        </is>
      </c>
      <c r="D990" s="3" t="inlineStr">
        <is>
          <t>roll</t>
        </is>
      </c>
      <c r="E990" s="4" t="n">
        <v>116750</v>
      </c>
    </row>
    <row r="991">
      <c r="A991" s="3" t="inlineStr">
        <is>
          <t>29</t>
        </is>
      </c>
      <c r="B991" s="3" t="n">
        <v/>
      </c>
      <c r="C991" s="3" t="inlineStr">
        <is>
          <t>Kawat  galvanis  Ø 3 mm</t>
        </is>
      </c>
      <c r="D991" s="3" t="inlineStr">
        <is>
          <t>kg</t>
        </is>
      </c>
      <c r="E991" s="4" t="n">
        <v>26020</v>
      </c>
    </row>
    <row r="992">
      <c r="A992" s="3" t="inlineStr">
        <is>
          <t>30</t>
        </is>
      </c>
      <c r="B992" s="3" t="n">
        <v/>
      </c>
      <c r="C992" s="3" t="inlineStr">
        <is>
          <t>Kawat  galvanis  Ø 4 mm</t>
        </is>
      </c>
      <c r="D992" s="3" t="inlineStr">
        <is>
          <t>kg</t>
        </is>
      </c>
      <c r="E992" s="4" t="n">
        <v>25400</v>
      </c>
    </row>
    <row r="993">
      <c r="A993" s="3" t="inlineStr">
        <is>
          <t>31</t>
        </is>
      </c>
      <c r="B993" s="3" t="n">
        <v/>
      </c>
      <c r="C993" s="3" t="inlineStr">
        <is>
          <t>Kawat  galvanis  Ø 5 mm</t>
        </is>
      </c>
      <c r="D993" s="3" t="inlineStr">
        <is>
          <t>kg</t>
        </is>
      </c>
      <c r="E993" s="4" t="n">
        <v>22800</v>
      </c>
    </row>
    <row r="994">
      <c r="A994" s="3" t="inlineStr">
        <is>
          <t>32</t>
        </is>
      </c>
      <c r="B994" s="3" t="n">
        <v/>
      </c>
      <c r="C994" s="3" t="inlineStr">
        <is>
          <t>Kawat  harmonika 12 x  24 mm</t>
        </is>
      </c>
      <c r="D994" s="3" t="inlineStr">
        <is>
          <t>m2</t>
        </is>
      </c>
      <c r="E994" s="4" t="n">
        <v>28450</v>
      </c>
    </row>
    <row r="995">
      <c r="A995" s="3" t="inlineStr">
        <is>
          <t>33</t>
        </is>
      </c>
      <c r="B995" s="3" t="n">
        <v/>
      </c>
      <c r="C995" s="3" t="inlineStr">
        <is>
          <t>Kawat  harmonika 14 x  30 mm</t>
        </is>
      </c>
      <c r="D995" s="3" t="inlineStr">
        <is>
          <t>m2</t>
        </is>
      </c>
      <c r="E995" s="4" t="n">
        <v>28470</v>
      </c>
    </row>
    <row r="996">
      <c r="A996" s="3" t="inlineStr">
        <is>
          <t>34</t>
        </is>
      </c>
      <c r="B996" s="3" t="n">
        <v/>
      </c>
      <c r="C996" s="3" t="inlineStr">
        <is>
          <t>Kawat  harmonika 14 x  35 mm</t>
        </is>
      </c>
      <c r="D996" s="3" t="inlineStr">
        <is>
          <t>m2</t>
        </is>
      </c>
      <c r="E996" s="4" t="n">
        <v>27900</v>
      </c>
    </row>
    <row r="997">
      <c r="A997" s="3" t="inlineStr">
        <is>
          <t>35</t>
        </is>
      </c>
      <c r="B997" s="3" t="n">
        <v/>
      </c>
      <c r="C997" s="3" t="inlineStr">
        <is>
          <t>Kawat  kasa</t>
        </is>
      </c>
      <c r="D997" s="3" t="inlineStr">
        <is>
          <t>m2</t>
        </is>
      </c>
      <c r="E997" s="4" t="n">
        <v>26900</v>
      </c>
    </row>
    <row r="998">
      <c r="A998" s="3" t="inlineStr">
        <is>
          <t>36</t>
        </is>
      </c>
      <c r="B998" s="3" t="n">
        <v/>
      </c>
      <c r="C998" s="3" t="inlineStr">
        <is>
          <t>Kawat beton</t>
        </is>
      </c>
      <c r="D998" s="3" t="inlineStr">
        <is>
          <t>kg</t>
        </is>
      </c>
      <c r="E998" s="4" t="n">
        <v>18800</v>
      </c>
    </row>
    <row r="999">
      <c r="A999" s="3" t="n">
        <v/>
      </c>
      <c r="B999" s="3" t="n">
        <v/>
      </c>
      <c r="C999" s="3" t="inlineStr">
        <is>
          <t>Kawat bendrat</t>
        </is>
      </c>
      <c r="D999" s="3" t="inlineStr">
        <is>
          <t xml:space="preserve">kg </t>
        </is>
      </c>
      <c r="E999" s="4" t="n">
        <v>18800</v>
      </c>
    </row>
    <row r="1000">
      <c r="A1000" s="3" t="inlineStr">
        <is>
          <t>37</t>
        </is>
      </c>
      <c r="B1000" s="3" t="n">
        <v/>
      </c>
      <c r="C1000" s="3" t="inlineStr">
        <is>
          <t>Kawat duri</t>
        </is>
      </c>
      <c r="D1000" s="3" t="inlineStr">
        <is>
          <t>m'</t>
        </is>
      </c>
      <c r="E1000" s="4" t="n">
        <v>1750</v>
      </c>
    </row>
    <row r="1001">
      <c r="A1001" s="3" t="n">
        <v/>
      </c>
      <c r="B1001" s="3" t="n">
        <v/>
      </c>
      <c r="C1001" s="3" t="inlineStr">
        <is>
          <t>Kawat seng 3mm</t>
        </is>
      </c>
      <c r="D1001" s="3" t="inlineStr">
        <is>
          <t>kg</t>
        </is>
      </c>
      <c r="E1001" s="4" t="n">
        <v>18800</v>
      </c>
    </row>
    <row r="1002">
      <c r="A1002" s="3" t="inlineStr">
        <is>
          <t>38</t>
        </is>
      </c>
      <c r="B1002" s="3" t="n">
        <v/>
      </c>
      <c r="C1002" s="3" t="inlineStr">
        <is>
          <t>Kawat harmonika</t>
        </is>
      </c>
      <c r="D1002" s="3" t="inlineStr">
        <is>
          <t>m2</t>
        </is>
      </c>
      <c r="E1002" s="4" t="n">
        <v>34620</v>
      </c>
    </row>
    <row r="1003">
      <c r="A1003" s="3" t="inlineStr">
        <is>
          <t>39</t>
        </is>
      </c>
      <c r="B1003" s="3" t="n">
        <v/>
      </c>
      <c r="C1003" s="3" t="inlineStr">
        <is>
          <t>Kawat jaring panjang 240 cm</t>
        </is>
      </c>
      <c r="D1003" s="3" t="inlineStr">
        <is>
          <t>lembar</t>
        </is>
      </c>
      <c r="E1003" s="4" t="n">
        <v>300000</v>
      </c>
    </row>
    <row r="1004">
      <c r="A1004" s="3" t="inlineStr">
        <is>
          <t>40</t>
        </is>
      </c>
      <c r="B1004" s="3" t="n">
        <v/>
      </c>
      <c r="C1004" s="3" t="inlineStr">
        <is>
          <t>Kawat las</t>
        </is>
      </c>
      <c r="D1004" s="3" t="inlineStr">
        <is>
          <t>kg</t>
        </is>
      </c>
      <c r="E1004" s="4" t="n">
        <v>45550</v>
      </c>
    </row>
    <row r="1005">
      <c r="A1005" s="3" t="inlineStr">
        <is>
          <t>41</t>
        </is>
      </c>
      <c r="B1005" s="3" t="n">
        <v/>
      </c>
      <c r="C1005" s="3" t="inlineStr">
        <is>
          <t>Kawat nyamuk</t>
        </is>
      </c>
      <c r="D1005" s="3" t="inlineStr">
        <is>
          <t>m3</t>
        </is>
      </c>
      <c r="E1005" s="4" t="n">
        <v>20190</v>
      </c>
    </row>
    <row r="1006">
      <c r="A1006" s="3" t="inlineStr">
        <is>
          <t>42</t>
        </is>
      </c>
      <c r="B1006" s="3" t="n">
        <v/>
      </c>
      <c r="C1006" s="3" t="inlineStr">
        <is>
          <t>Kawat nyamuk nylon</t>
        </is>
      </c>
      <c r="D1006" s="3" t="inlineStr">
        <is>
          <t>m2</t>
        </is>
      </c>
      <c r="E1006" s="4" t="n">
        <v>18000</v>
      </c>
    </row>
    <row r="1007">
      <c r="A1007" s="3" t="inlineStr">
        <is>
          <t>43</t>
        </is>
      </c>
      <c r="B1007" s="3" t="n">
        <v/>
      </c>
      <c r="C1007" s="3" t="inlineStr">
        <is>
          <t>Kawat Ø 4 mm</t>
        </is>
      </c>
      <c r="D1007" s="3" t="inlineStr">
        <is>
          <t>kg</t>
        </is>
      </c>
      <c r="E1007" s="4" t="n">
        <v>35000</v>
      </c>
    </row>
    <row r="1008">
      <c r="A1008" s="3" t="inlineStr">
        <is>
          <t>44</t>
        </is>
      </c>
      <c r="B1008" s="3" t="n">
        <v/>
      </c>
      <c r="C1008" s="3" t="inlineStr">
        <is>
          <t>Lapisan hot  deep galvanis</t>
        </is>
      </c>
      <c r="D1008" s="3" t="inlineStr">
        <is>
          <t>kg</t>
        </is>
      </c>
      <c r="E1008" s="4" t="n">
        <v>8400</v>
      </c>
    </row>
    <row r="1009">
      <c r="A1009" s="3" t="n">
        <v/>
      </c>
      <c r="B1009" s="3" t="n">
        <v/>
      </c>
      <c r="C1009" s="3" t="inlineStr">
        <is>
          <t>Paku</t>
        </is>
      </c>
      <c r="D1009" s="3" t="inlineStr">
        <is>
          <t>kg</t>
        </is>
      </c>
      <c r="E1009" s="4" t="n">
        <v>20000</v>
      </c>
    </row>
    <row r="1010">
      <c r="A1010" s="3" t="inlineStr">
        <is>
          <t>45</t>
        </is>
      </c>
      <c r="B1010" s="3" t="n">
        <v/>
      </c>
      <c r="C1010" s="3" t="inlineStr">
        <is>
          <t>Paku 1 inch</t>
        </is>
      </c>
      <c r="D1010" s="3" t="inlineStr">
        <is>
          <t>kg</t>
        </is>
      </c>
      <c r="E1010" s="4" t="n">
        <v>15000</v>
      </c>
    </row>
    <row r="1011">
      <c r="A1011" s="3" t="inlineStr">
        <is>
          <t>46</t>
        </is>
      </c>
      <c r="B1011" s="3" t="n">
        <v/>
      </c>
      <c r="C1011" s="3" t="inlineStr">
        <is>
          <t>Paku 12 cm</t>
        </is>
      </c>
      <c r="D1011" s="3" t="inlineStr">
        <is>
          <t>buah</t>
        </is>
      </c>
      <c r="E1011" s="4" t="n">
        <v>1500</v>
      </c>
    </row>
    <row r="1012">
      <c r="A1012" s="3" t="inlineStr">
        <is>
          <t>47</t>
        </is>
      </c>
      <c r="B1012" s="3" t="n">
        <v/>
      </c>
      <c r="C1012" s="3" t="inlineStr">
        <is>
          <t>Paku 2 inch</t>
        </is>
      </c>
      <c r="D1012" s="3" t="inlineStr">
        <is>
          <t>kg</t>
        </is>
      </c>
      <c r="E1012" s="4" t="n">
        <v>18000</v>
      </c>
    </row>
    <row r="1013">
      <c r="A1013" s="3" t="inlineStr">
        <is>
          <t>48</t>
        </is>
      </c>
      <c r="B1013" s="3" t="n">
        <v/>
      </c>
      <c r="C1013" s="3" t="inlineStr">
        <is>
          <t>Paku 4 inch</t>
        </is>
      </c>
      <c r="D1013" s="3" t="inlineStr">
        <is>
          <t>kg</t>
        </is>
      </c>
      <c r="E1013" s="4" t="n">
        <v>19000</v>
      </c>
    </row>
    <row r="1014">
      <c r="A1014" s="3" t="inlineStr">
        <is>
          <t>49</t>
        </is>
      </c>
      <c r="B1014" s="3" t="n">
        <v/>
      </c>
      <c r="C1014" s="3" t="inlineStr">
        <is>
          <t>Paku biasa 5 inchi</t>
        </is>
      </c>
      <c r="D1014" s="3" t="inlineStr">
        <is>
          <t>kg</t>
        </is>
      </c>
      <c r="E1014" s="4" t="n">
        <v>20000</v>
      </c>
    </row>
    <row r="1015">
      <c r="A1015" s="3" t="n">
        <v/>
      </c>
      <c r="B1015" s="3" t="n">
        <v/>
      </c>
      <c r="C1015" s="3" t="inlineStr">
        <is>
          <t xml:space="preserve">Paku 5 dan 10 cm </t>
        </is>
      </c>
      <c r="D1015" s="3" t="inlineStr">
        <is>
          <t xml:space="preserve">kg </t>
        </is>
      </c>
      <c r="E1015" s="4" t="n">
        <v>20000</v>
      </c>
    </row>
    <row r="1016">
      <c r="A1016" s="3" t="n">
        <v/>
      </c>
      <c r="B1016" s="3" t="n">
        <v/>
      </c>
      <c r="C1016" s="3" t="inlineStr">
        <is>
          <t>Paku 5 dan 7 cm</t>
        </is>
      </c>
      <c r="D1016" s="3" t="inlineStr">
        <is>
          <t>kg</t>
        </is>
      </c>
      <c r="E1016" s="4" t="n">
        <v>20000</v>
      </c>
    </row>
    <row r="1017">
      <c r="A1017" s="3" t="n">
        <v/>
      </c>
      <c r="B1017" s="3" t="n">
        <v/>
      </c>
      <c r="C1017" s="3" t="inlineStr">
        <is>
          <t xml:space="preserve">Paku 7 - 10 cm </t>
        </is>
      </c>
      <c r="D1017" s="3" t="inlineStr">
        <is>
          <t>kg</t>
        </is>
      </c>
      <c r="E1017" s="4" t="n">
        <v>20000</v>
      </c>
    </row>
    <row r="1018">
      <c r="A1018" s="3" t="n">
        <v/>
      </c>
      <c r="B1018" s="3" t="n">
        <v/>
      </c>
      <c r="C1018" s="3" t="inlineStr">
        <is>
          <t xml:space="preserve">Paku 3 cm </t>
        </is>
      </c>
      <c r="D1018" s="3" t="inlineStr">
        <is>
          <t>kg</t>
        </is>
      </c>
      <c r="E1018" s="4" t="n">
        <v>15000</v>
      </c>
    </row>
    <row r="1019">
      <c r="A1019" s="3" t="n">
        <v/>
      </c>
      <c r="B1019" s="3" t="n">
        <v/>
      </c>
      <c r="C1019" s="3" t="inlineStr">
        <is>
          <t xml:space="preserve">Paku Tripleks </t>
        </is>
      </c>
      <c r="D1019" s="3" t="inlineStr">
        <is>
          <t>kg</t>
        </is>
      </c>
      <c r="E1019" s="4" t="n">
        <v>17500</v>
      </c>
    </row>
    <row r="1020">
      <c r="A1020" s="3" t="inlineStr">
        <is>
          <t>50</t>
        </is>
      </c>
      <c r="B1020" s="3" t="n">
        <v/>
      </c>
      <c r="C1020" s="3" t="inlineStr">
        <is>
          <t>Paku beton</t>
        </is>
      </c>
      <c r="D1020" s="3" t="inlineStr">
        <is>
          <t>kg</t>
        </is>
      </c>
      <c r="E1020" s="4" t="n">
        <v>39450</v>
      </c>
    </row>
    <row r="1021">
      <c r="A1021" s="3" t="n">
        <v/>
      </c>
      <c r="B1021" s="3" t="n">
        <v/>
      </c>
      <c r="C1021" s="3" t="inlineStr">
        <is>
          <t>Paku Beton 5 cm</t>
        </is>
      </c>
      <c r="D1021" s="3" t="inlineStr">
        <is>
          <t>buah</t>
        </is>
      </c>
      <c r="E1021" s="4" t="n">
        <v>200</v>
      </c>
    </row>
    <row r="1022">
      <c r="A1022" s="3" t="inlineStr">
        <is>
          <t>51</t>
        </is>
      </c>
      <c r="B1022" s="3" t="n">
        <v/>
      </c>
      <c r="C1022" s="3" t="inlineStr">
        <is>
          <t>Paku hak panj 15cm</t>
        </is>
      </c>
      <c r="D1022" s="3" t="inlineStr">
        <is>
          <t>kg</t>
        </is>
      </c>
      <c r="E1022" s="4" t="n">
        <v>22070</v>
      </c>
    </row>
    <row r="1023">
      <c r="A1023" s="3" t="inlineStr">
        <is>
          <t>52</t>
        </is>
      </c>
      <c r="B1023" s="3" t="n">
        <v/>
      </c>
      <c r="C1023" s="3" t="inlineStr">
        <is>
          <t>Paku pancing 6x23</t>
        </is>
      </c>
      <c r="D1023" s="3" t="inlineStr">
        <is>
          <t>kg</t>
        </is>
      </c>
      <c r="E1023" s="4" t="n">
        <v>19460</v>
      </c>
    </row>
    <row r="1024">
      <c r="A1024" s="3" t="inlineStr">
        <is>
          <t>53</t>
        </is>
      </c>
      <c r="B1024" s="3" t="n">
        <v/>
      </c>
      <c r="C1024" s="3" t="inlineStr">
        <is>
          <t>Paku payung</t>
        </is>
      </c>
      <c r="D1024" s="3" t="inlineStr">
        <is>
          <t>kg</t>
        </is>
      </c>
      <c r="E1024" s="4" t="n">
        <v>35590</v>
      </c>
    </row>
    <row r="1025">
      <c r="A1025" s="3" t="inlineStr">
        <is>
          <t>54</t>
        </is>
      </c>
      <c r="B1025" s="3" t="n">
        <v/>
      </c>
      <c r="C1025" s="3" t="inlineStr">
        <is>
          <t>Paku rivet</t>
        </is>
      </c>
      <c r="D1025" s="3" t="inlineStr">
        <is>
          <t>buah</t>
        </is>
      </c>
      <c r="E1025" s="4" t="n">
        <v>200</v>
      </c>
    </row>
    <row r="1026">
      <c r="A1026" s="3" t="inlineStr">
        <is>
          <t>55</t>
        </is>
      </c>
      <c r="B1026" s="3" t="n">
        <v/>
      </c>
      <c r="C1026" s="3" t="inlineStr">
        <is>
          <t>Paku sekrup</t>
        </is>
      </c>
      <c r="D1026" s="3" t="inlineStr">
        <is>
          <t>kg</t>
        </is>
      </c>
      <c r="E1026" s="4" t="n">
        <v>30090</v>
      </c>
    </row>
    <row r="1027">
      <c r="A1027" s="3" t="inlineStr">
        <is>
          <t>56</t>
        </is>
      </c>
      <c r="B1027" s="3" t="n">
        <v/>
      </c>
      <c r="C1027" s="3" t="inlineStr">
        <is>
          <t>Paku sekrup (buah)</t>
        </is>
      </c>
      <c r="D1027" s="3" t="inlineStr">
        <is>
          <t>buah</t>
        </is>
      </c>
      <c r="E1027" s="4" t="n">
        <v>1600</v>
      </c>
    </row>
    <row r="1028">
      <c r="A1028" s="3" t="n">
        <v/>
      </c>
      <c r="B1028" s="3" t="n">
        <v/>
      </c>
      <c r="C1028" s="3" t="inlineStr">
        <is>
          <t>Paku Sekrup 1-2 cm</t>
        </is>
      </c>
      <c r="D1028" s="3" t="inlineStr">
        <is>
          <t>buah</t>
        </is>
      </c>
      <c r="E1028" s="4" t="n">
        <v>1600</v>
      </c>
    </row>
    <row r="1029">
      <c r="A1029" s="3" t="n">
        <v/>
      </c>
      <c r="B1029" s="3" t="n">
        <v/>
      </c>
      <c r="C1029" s="3" t="inlineStr">
        <is>
          <t>Paku Fishes/kotak</t>
        </is>
      </c>
      <c r="D1029" s="3" t="inlineStr">
        <is>
          <t>kotak</t>
        </is>
      </c>
      <c r="E1029" s="4" t="n">
        <v>29000</v>
      </c>
    </row>
    <row r="1030">
      <c r="A1030" s="3" t="n">
        <v/>
      </c>
      <c r="B1030" s="3" t="n">
        <v/>
      </c>
      <c r="C1030" s="3" t="inlineStr">
        <is>
          <t xml:space="preserve">Paku Fishes </t>
        </is>
      </c>
      <c r="D1030" s="3" t="inlineStr">
        <is>
          <t xml:space="preserve">buah </t>
        </is>
      </c>
      <c r="E1030" s="4" t="n">
        <v>580</v>
      </c>
    </row>
    <row r="1031">
      <c r="A1031" s="3" t="inlineStr">
        <is>
          <t>57</t>
        </is>
      </c>
      <c r="B1031" s="3" t="n">
        <v/>
      </c>
      <c r="C1031" s="3" t="inlineStr">
        <is>
          <t>Pintu tahan api</t>
        </is>
      </c>
      <c r="D1031" s="3" t="inlineStr">
        <is>
          <t>unit</t>
        </is>
      </c>
      <c r="E1031" s="4" t="n">
        <v>8000000</v>
      </c>
    </row>
    <row r="1032">
      <c r="A1032" s="3" t="inlineStr">
        <is>
          <t>58</t>
        </is>
      </c>
      <c r="B1032" s="3" t="n">
        <v/>
      </c>
      <c r="C1032" s="3" t="inlineStr">
        <is>
          <t>Pipa baja dia. 30 cm</t>
        </is>
      </c>
      <c r="D1032" s="3" t="inlineStr">
        <is>
          <t>m'</t>
        </is>
      </c>
      <c r="E1032" s="4" t="n">
        <v>1680000</v>
      </c>
    </row>
    <row r="1033">
      <c r="A1033" s="3" t="inlineStr">
        <is>
          <t>59</t>
        </is>
      </c>
      <c r="B1033" s="3" t="n">
        <v/>
      </c>
      <c r="C1033" s="3" t="inlineStr">
        <is>
          <t>Pipa baja dia. 40 cm</t>
        </is>
      </c>
      <c r="D1033" s="3" t="inlineStr">
        <is>
          <t>m'</t>
        </is>
      </c>
      <c r="E1033" s="4" t="n">
        <v>2240000</v>
      </c>
    </row>
    <row r="1034">
      <c r="A1034" s="3" t="inlineStr">
        <is>
          <t>60</t>
        </is>
      </c>
      <c r="B1034" s="3" t="n">
        <v/>
      </c>
      <c r="C1034" s="3" t="inlineStr">
        <is>
          <t>Pipa baja dia. 50 cm</t>
        </is>
      </c>
      <c r="D1034" s="3" t="inlineStr">
        <is>
          <t>m'</t>
        </is>
      </c>
      <c r="E1034" s="4" t="n">
        <v>2800000</v>
      </c>
    </row>
    <row r="1035">
      <c r="A1035" s="3" t="inlineStr">
        <is>
          <t>61</t>
        </is>
      </c>
      <c r="B1035" s="3" t="n">
        <v/>
      </c>
      <c r="C1035" s="3" t="inlineStr">
        <is>
          <t>Pipa besi hitam 1 inch</t>
        </is>
      </c>
      <c r="D1035" s="3" t="inlineStr">
        <is>
          <t>m'</t>
        </is>
      </c>
      <c r="E1035" s="4" t="n">
        <v>15500</v>
      </c>
    </row>
    <row r="1036">
      <c r="A1036" s="3" t="inlineStr">
        <is>
          <t>62</t>
        </is>
      </c>
      <c r="B1036" s="3" t="n">
        <v/>
      </c>
      <c r="C1036" s="3" t="inlineStr">
        <is>
          <t>Pipa besi hitam 1,5 inch</t>
        </is>
      </c>
      <c r="D1036" s="3" t="inlineStr">
        <is>
          <t>m'</t>
        </is>
      </c>
      <c r="E1036" s="4" t="n">
        <v>22000</v>
      </c>
    </row>
    <row r="1037">
      <c r="A1037" s="3" t="inlineStr">
        <is>
          <t>63</t>
        </is>
      </c>
      <c r="B1037" s="3" t="n">
        <v/>
      </c>
      <c r="C1037" s="3" t="inlineStr">
        <is>
          <t>Pipa besi hitam 2 inch</t>
        </is>
      </c>
      <c r="D1037" s="3" t="inlineStr">
        <is>
          <t>m'</t>
        </is>
      </c>
      <c r="E1037" s="4" t="n">
        <v>31000</v>
      </c>
    </row>
    <row r="1038">
      <c r="A1038" s="3" t="inlineStr">
        <is>
          <t>64</t>
        </is>
      </c>
      <c r="B1038" s="3" t="n">
        <v/>
      </c>
      <c r="C1038" s="3" t="inlineStr">
        <is>
          <t>Pipa besi hitam 3 inch</t>
        </is>
      </c>
      <c r="D1038" s="3" t="inlineStr">
        <is>
          <t>m'</t>
        </is>
      </c>
      <c r="E1038" s="4" t="n">
        <v>42000</v>
      </c>
    </row>
    <row r="1039">
      <c r="A1039" s="3" t="inlineStr">
        <is>
          <t>65</t>
        </is>
      </c>
      <c r="B1039" s="3" t="n">
        <v/>
      </c>
      <c r="C1039" s="3" t="inlineStr">
        <is>
          <t>Saringan pasir</t>
        </is>
      </c>
      <c r="D1039" s="3" t="inlineStr">
        <is>
          <t>m'</t>
        </is>
      </c>
      <c r="E1039" s="4" t="n">
        <v>16650</v>
      </c>
    </row>
    <row r="1040">
      <c r="A1040" s="3" t="inlineStr">
        <is>
          <t>66</t>
        </is>
      </c>
      <c r="B1040" s="3" t="n">
        <v/>
      </c>
      <c r="C1040" s="3" t="inlineStr">
        <is>
          <t>Sekrup kait</t>
        </is>
      </c>
      <c r="D1040" s="3" t="inlineStr">
        <is>
          <t>buah</t>
        </is>
      </c>
      <c r="E1040" s="4" t="n">
        <v>700</v>
      </c>
    </row>
    <row r="1041">
      <c r="A1041" s="3" t="inlineStr">
        <is>
          <t>67</t>
        </is>
      </c>
      <c r="B1041" s="3" t="n">
        <v/>
      </c>
      <c r="C1041" s="3" t="inlineStr">
        <is>
          <t>Wiremesh M10</t>
        </is>
      </c>
      <c r="D1041" s="3" t="inlineStr">
        <is>
          <t>kg</t>
        </is>
      </c>
      <c r="E1041" s="4" t="n">
        <v>12430</v>
      </c>
    </row>
    <row r="1042">
      <c r="A1042" s="3" t="inlineStr">
        <is>
          <t>68</t>
        </is>
      </c>
      <c r="B1042" s="3" t="n">
        <v/>
      </c>
      <c r="C1042" s="3" t="inlineStr">
        <is>
          <t>Wiremesh M12</t>
        </is>
      </c>
      <c r="D1042" s="3" t="inlineStr">
        <is>
          <t>kg</t>
        </is>
      </c>
      <c r="E1042" s="4" t="n">
        <v>12660</v>
      </c>
    </row>
    <row r="1043">
      <c r="A1043" s="3" t="inlineStr">
        <is>
          <t>69</t>
        </is>
      </c>
      <c r="B1043" s="3" t="n">
        <v/>
      </c>
      <c r="C1043" s="3" t="inlineStr">
        <is>
          <t>Wiremesh M6</t>
        </is>
      </c>
      <c r="D1043" s="3" t="inlineStr">
        <is>
          <t>kg</t>
        </is>
      </c>
      <c r="E1043" s="4" t="n">
        <v>11522</v>
      </c>
    </row>
    <row r="1044">
      <c r="A1044" s="3" t="inlineStr">
        <is>
          <t>70</t>
        </is>
      </c>
      <c r="B1044" s="3" t="n">
        <v/>
      </c>
      <c r="C1044" s="3" t="inlineStr">
        <is>
          <t>Wiremesh M7</t>
        </is>
      </c>
      <c r="D1044" s="3" t="inlineStr">
        <is>
          <t>kg</t>
        </is>
      </c>
      <c r="E1044" s="4" t="n">
        <v>11816</v>
      </c>
    </row>
    <row r="1045">
      <c r="A1045" s="3" t="inlineStr">
        <is>
          <t>71</t>
        </is>
      </c>
      <c r="B1045" s="3" t="n">
        <v/>
      </c>
      <c r="C1045" s="3" t="inlineStr">
        <is>
          <t>Wiremesh M8</t>
        </is>
      </c>
      <c r="D1045" s="3" t="inlineStr">
        <is>
          <t>kg</t>
        </is>
      </c>
      <c r="E1045" s="4" t="n">
        <v>12049</v>
      </c>
    </row>
    <row r="1046">
      <c r="A1046" s="3" t="inlineStr">
        <is>
          <t>72</t>
        </is>
      </c>
      <c r="B1046" s="3" t="n">
        <v/>
      </c>
      <c r="C1046" s="3" t="inlineStr">
        <is>
          <t>Wiremesh M9</t>
        </is>
      </c>
      <c r="D1046" s="3" t="inlineStr">
        <is>
          <t>kg</t>
        </is>
      </c>
      <c r="E1046" s="4" t="n">
        <v>12276</v>
      </c>
    </row>
    <row r="1047">
      <c r="A1047" s="3" t="n">
        <v/>
      </c>
      <c r="B1047" s="3" t="n">
        <v/>
      </c>
      <c r="C1047" s="3" t="inlineStr">
        <is>
          <t>MATERIAL PENUTUP ATAP</t>
        </is>
      </c>
      <c r="D1047" s="3" t="n">
        <v/>
      </c>
      <c r="E1047" s="4" t="n">
        <v/>
      </c>
    </row>
    <row r="1048">
      <c r="A1048" s="3" t="inlineStr">
        <is>
          <t>1</t>
        </is>
      </c>
      <c r="B1048" s="3" t="n">
        <v/>
      </c>
      <c r="C1048" s="3" t="inlineStr">
        <is>
          <t>Aluminium gelombang 95x180 cm</t>
        </is>
      </c>
      <c r="D1048" s="3" t="inlineStr">
        <is>
          <t>lembar</t>
        </is>
      </c>
      <c r="E1048" s="4" t="n">
        <v>180400</v>
      </c>
    </row>
    <row r="1049">
      <c r="A1049" s="3" t="inlineStr">
        <is>
          <t>2</t>
        </is>
      </c>
      <c r="B1049" s="3" t="n">
        <v/>
      </c>
      <c r="C1049" s="3" t="inlineStr">
        <is>
          <t>Asbes  gelombang kecil 4mm (150x105)</t>
        </is>
      </c>
      <c r="D1049" s="3" t="inlineStr">
        <is>
          <t>lembar</t>
        </is>
      </c>
      <c r="E1049" s="4" t="n">
        <v>47800</v>
      </c>
    </row>
    <row r="1050">
      <c r="A1050" s="3" t="inlineStr">
        <is>
          <t>3</t>
        </is>
      </c>
      <c r="B1050" s="3" t="n">
        <v/>
      </c>
      <c r="C1050" s="3" t="inlineStr">
        <is>
          <t>Asbes  gelombang kecil 4mm (180x105)</t>
        </is>
      </c>
      <c r="D1050" s="3" t="inlineStr">
        <is>
          <t>lembar</t>
        </is>
      </c>
      <c r="E1050" s="4" t="n">
        <v>57300</v>
      </c>
    </row>
    <row r="1051">
      <c r="A1051" s="3" t="inlineStr">
        <is>
          <t>4</t>
        </is>
      </c>
      <c r="B1051" s="3" t="n">
        <v/>
      </c>
      <c r="C1051" s="3" t="inlineStr">
        <is>
          <t>Asbes  gelombang kecil 4mm (210x105)</t>
        </is>
      </c>
      <c r="D1051" s="3" t="inlineStr">
        <is>
          <t>lembar</t>
        </is>
      </c>
      <c r="E1051" s="4" t="n">
        <v>65300</v>
      </c>
    </row>
    <row r="1052">
      <c r="A1052" s="3" t="inlineStr">
        <is>
          <t>5</t>
        </is>
      </c>
      <c r="B1052" s="3" t="n">
        <v/>
      </c>
      <c r="C1052" s="3" t="inlineStr">
        <is>
          <t>Asbes  gelombang kecil 4mm (240x105)</t>
        </is>
      </c>
      <c r="D1052" s="3" t="inlineStr">
        <is>
          <t>lembar</t>
        </is>
      </c>
      <c r="E1052" s="4" t="n">
        <v>75500</v>
      </c>
    </row>
    <row r="1053">
      <c r="A1053" s="3" t="inlineStr">
        <is>
          <t>6</t>
        </is>
      </c>
      <c r="B1053" s="3" t="n">
        <v/>
      </c>
      <c r="C1053" s="3" t="inlineStr">
        <is>
          <t>Asbes gelombang besar 5 mm, 150x105 cm</t>
        </is>
      </c>
      <c r="D1053" s="3" t="inlineStr">
        <is>
          <t>lembar</t>
        </is>
      </c>
      <c r="E1053" s="4" t="n">
        <v>120000</v>
      </c>
    </row>
    <row r="1054">
      <c r="A1054" s="3" t="inlineStr">
        <is>
          <t>7</t>
        </is>
      </c>
      <c r="B1054" s="3" t="n">
        <v/>
      </c>
      <c r="C1054" s="3" t="inlineStr">
        <is>
          <t>Asbes gelombang besar 5 mm, 180x92 cm</t>
        </is>
      </c>
      <c r="D1054" s="3" t="inlineStr">
        <is>
          <t>lembar</t>
        </is>
      </c>
      <c r="E1054" s="4" t="n">
        <v>85500</v>
      </c>
    </row>
    <row r="1055">
      <c r="A1055" s="3" t="inlineStr">
        <is>
          <t>8</t>
        </is>
      </c>
      <c r="B1055" s="3" t="n">
        <v/>
      </c>
      <c r="C1055" s="3" t="inlineStr">
        <is>
          <t>Asbes gelombang besar 5 mm, 200x92 cm</t>
        </is>
      </c>
      <c r="D1055" s="3" t="inlineStr">
        <is>
          <t>lembar</t>
        </is>
      </c>
      <c r="E1055" s="4" t="n">
        <v>94000</v>
      </c>
    </row>
    <row r="1056">
      <c r="A1056" s="3" t="inlineStr">
        <is>
          <t>9</t>
        </is>
      </c>
      <c r="B1056" s="3" t="n">
        <v/>
      </c>
      <c r="C1056" s="3" t="inlineStr">
        <is>
          <t>Asbes gelombang besar 5 mm, 210x105 cm</t>
        </is>
      </c>
      <c r="D1056" s="3" t="inlineStr">
        <is>
          <t>lembar</t>
        </is>
      </c>
      <c r="E1056" s="4" t="n">
        <v>125000</v>
      </c>
    </row>
    <row r="1057">
      <c r="A1057" s="3" t="inlineStr">
        <is>
          <t>10</t>
        </is>
      </c>
      <c r="B1057" s="3" t="n">
        <v/>
      </c>
      <c r="C1057" s="3" t="inlineStr">
        <is>
          <t>Asbes gelombang besar 5 mm, 225x92 cm</t>
        </is>
      </c>
      <c r="D1057" s="3" t="inlineStr">
        <is>
          <t>lembar</t>
        </is>
      </c>
      <c r="E1057" s="4" t="n">
        <v>104900</v>
      </c>
    </row>
    <row r="1058">
      <c r="A1058" s="3" t="inlineStr">
        <is>
          <t>11</t>
        </is>
      </c>
      <c r="B1058" s="3" t="n">
        <v/>
      </c>
      <c r="C1058" s="3" t="inlineStr">
        <is>
          <t>Asbes gelombang besar 5 mm, 240x105 cm</t>
        </is>
      </c>
      <c r="D1058" s="3" t="inlineStr">
        <is>
          <t>lembar</t>
        </is>
      </c>
      <c r="E1058" s="4" t="n">
        <v>130000</v>
      </c>
    </row>
    <row r="1059">
      <c r="A1059" s="3" t="inlineStr">
        <is>
          <t>12</t>
        </is>
      </c>
      <c r="B1059" s="3" t="n">
        <v/>
      </c>
      <c r="C1059" s="3" t="inlineStr">
        <is>
          <t>Asbes gelombang besar 5 mm, 250x92 cm</t>
        </is>
      </c>
      <c r="D1059" s="3" t="inlineStr">
        <is>
          <t>lembar</t>
        </is>
      </c>
      <c r="E1059" s="4" t="n">
        <v>113400</v>
      </c>
    </row>
    <row r="1060">
      <c r="A1060" s="3" t="inlineStr">
        <is>
          <t>13</t>
        </is>
      </c>
      <c r="B1060" s="3" t="n">
        <v/>
      </c>
      <c r="C1060" s="3" t="inlineStr">
        <is>
          <t>Asbes gelombang besar 5 mm, 300x105 cm</t>
        </is>
      </c>
      <c r="D1060" s="3" t="inlineStr">
        <is>
          <t>lembar</t>
        </is>
      </c>
      <c r="E1060" s="4" t="n">
        <v>135000</v>
      </c>
    </row>
    <row r="1061">
      <c r="A1061" s="3" t="inlineStr">
        <is>
          <t>14</t>
        </is>
      </c>
      <c r="B1061" s="3" t="n">
        <v/>
      </c>
      <c r="C1061" s="3" t="inlineStr">
        <is>
          <t>Asbes gelombang besar 6 mm, 180x108 cm</t>
        </is>
      </c>
      <c r="D1061" s="3" t="inlineStr">
        <is>
          <t>lembar</t>
        </is>
      </c>
      <c r="E1061" s="4" t="n">
        <v>93000</v>
      </c>
    </row>
    <row r="1062">
      <c r="A1062" s="3" t="inlineStr">
        <is>
          <t>15</t>
        </is>
      </c>
      <c r="B1062" s="3" t="n">
        <v/>
      </c>
      <c r="C1062" s="3" t="inlineStr">
        <is>
          <t>Asbes gelombang besar 6 mm, 210x108 cm</t>
        </is>
      </c>
      <c r="D1062" s="3" t="inlineStr">
        <is>
          <t>lembar</t>
        </is>
      </c>
      <c r="E1062" s="4" t="n">
        <v>92900</v>
      </c>
    </row>
    <row r="1063">
      <c r="A1063" s="3" t="inlineStr">
        <is>
          <t>16</t>
        </is>
      </c>
      <c r="B1063" s="3" t="n">
        <v/>
      </c>
      <c r="C1063" s="3" t="inlineStr">
        <is>
          <t>Asbes gelombang besar 6 mm, 240x108 cm</t>
        </is>
      </c>
      <c r="D1063" s="3" t="inlineStr">
        <is>
          <t>lembar</t>
        </is>
      </c>
      <c r="E1063" s="4" t="n">
        <v>99600</v>
      </c>
    </row>
    <row r="1064">
      <c r="A1064" s="3" t="inlineStr">
        <is>
          <t>17</t>
        </is>
      </c>
      <c r="B1064" s="3" t="n">
        <v/>
      </c>
      <c r="C1064" s="3" t="inlineStr">
        <is>
          <t>Asbes gelombang besar 6 mm, 270x108 cm</t>
        </is>
      </c>
      <c r="D1064" s="3" t="inlineStr">
        <is>
          <t>lembar</t>
        </is>
      </c>
      <c r="E1064" s="4" t="n">
        <v>113400</v>
      </c>
    </row>
    <row r="1065">
      <c r="A1065" s="3" t="inlineStr">
        <is>
          <t>18</t>
        </is>
      </c>
      <c r="B1065" s="3" t="n">
        <v/>
      </c>
      <c r="C1065" s="3" t="inlineStr">
        <is>
          <t>Asbes gelombang besar 6 mm, 300x108 cm</t>
        </is>
      </c>
      <c r="D1065" s="3" t="inlineStr">
        <is>
          <t>lembar</t>
        </is>
      </c>
      <c r="E1065" s="4" t="n">
        <v>131000</v>
      </c>
    </row>
    <row r="1066">
      <c r="A1066" s="3" t="inlineStr">
        <is>
          <t>19</t>
        </is>
      </c>
      <c r="B1066" s="3" t="n">
        <v/>
      </c>
      <c r="C1066" s="3" t="inlineStr">
        <is>
          <t>Asbes gelombang kecil 4 mm, 270x105 cm</t>
        </is>
      </c>
      <c r="D1066" s="3" t="inlineStr">
        <is>
          <t>lembar</t>
        </is>
      </c>
      <c r="E1066" s="4" t="n">
        <v>88400</v>
      </c>
    </row>
    <row r="1067">
      <c r="A1067" s="3" t="inlineStr">
        <is>
          <t>20</t>
        </is>
      </c>
      <c r="B1067" s="3" t="n">
        <v/>
      </c>
      <c r="C1067" s="3" t="inlineStr">
        <is>
          <t>Asbes gelombang kecil 4 mm, 300x105 cm</t>
        </is>
      </c>
      <c r="D1067" s="3" t="inlineStr">
        <is>
          <t>lembar</t>
        </is>
      </c>
      <c r="E1067" s="4" t="n">
        <v>100500</v>
      </c>
    </row>
    <row r="1068">
      <c r="A1068" s="3" t="inlineStr">
        <is>
          <t>21</t>
        </is>
      </c>
      <c r="B1068" s="3" t="n">
        <v/>
      </c>
      <c r="C1068" s="3" t="inlineStr">
        <is>
          <t>Atap metal berpasir</t>
        </is>
      </c>
      <c r="D1068" s="3" t="inlineStr">
        <is>
          <t>m2</t>
        </is>
      </c>
      <c r="E1068" s="4" t="n">
        <v>112500</v>
      </c>
    </row>
    <row r="1069">
      <c r="A1069" s="3" t="n">
        <v/>
      </c>
      <c r="B1069" s="3" t="n">
        <v/>
      </c>
      <c r="C1069" s="3" t="inlineStr">
        <is>
          <t>Atap metal lembaran</t>
        </is>
      </c>
      <c r="D1069" s="3" t="inlineStr">
        <is>
          <t>m2</t>
        </is>
      </c>
      <c r="E1069" s="4" t="n">
        <v>112500</v>
      </c>
    </row>
    <row r="1070">
      <c r="A1070" s="3" t="inlineStr">
        <is>
          <t>22</t>
        </is>
      </c>
      <c r="B1070" s="3" t="n">
        <v/>
      </c>
      <c r="C1070" s="3" t="inlineStr">
        <is>
          <t>Atap metal menerus</t>
        </is>
      </c>
      <c r="D1070" s="3" t="inlineStr">
        <is>
          <t>m2</t>
        </is>
      </c>
      <c r="E1070" s="4" t="n">
        <v>80000</v>
      </c>
    </row>
    <row r="1071">
      <c r="A1071" s="3" t="inlineStr">
        <is>
          <t>23</t>
        </is>
      </c>
      <c r="B1071" s="3" t="n">
        <v/>
      </c>
      <c r="C1071" s="3" t="inlineStr">
        <is>
          <t>Atap Rumbia /  Atap Saung 150cmx50cm</t>
        </is>
      </c>
      <c r="D1071" s="3" t="inlineStr">
        <is>
          <t>buah</t>
        </is>
      </c>
      <c r="E1071" s="4" t="n">
        <v>20000</v>
      </c>
    </row>
    <row r="1072">
      <c r="A1072" s="3" t="inlineStr">
        <is>
          <t>24</t>
        </is>
      </c>
      <c r="B1072" s="3" t="n">
        <v/>
      </c>
      <c r="C1072" s="3" t="inlineStr">
        <is>
          <t>Atap UPVC uk. 86x119 cm</t>
        </is>
      </c>
      <c r="D1072" s="3" t="inlineStr">
        <is>
          <t>m2</t>
        </is>
      </c>
      <c r="E1072" s="4" t="n">
        <v>200000</v>
      </c>
    </row>
    <row r="1073">
      <c r="A1073" s="3" t="inlineStr">
        <is>
          <t>25</t>
        </is>
      </c>
      <c r="B1073" s="3" t="n">
        <v/>
      </c>
      <c r="C1073" s="3" t="inlineStr">
        <is>
          <t>Bitumen tekstur genting</t>
        </is>
      </c>
      <c r="D1073" s="3" t="inlineStr">
        <is>
          <t>lembar</t>
        </is>
      </c>
      <c r="E1073" s="4" t="n">
        <v>62700</v>
      </c>
    </row>
    <row r="1074">
      <c r="A1074" s="3" t="inlineStr">
        <is>
          <t>26</t>
        </is>
      </c>
      <c r="B1074" s="3" t="n">
        <v/>
      </c>
      <c r="C1074" s="3" t="inlineStr">
        <is>
          <t>Bubung genteng kodok</t>
        </is>
      </c>
      <c r="D1074" s="3" t="inlineStr">
        <is>
          <t>buah</t>
        </is>
      </c>
      <c r="E1074" s="4" t="n">
        <v>8600</v>
      </c>
    </row>
    <row r="1075">
      <c r="A1075" s="3" t="inlineStr">
        <is>
          <t>27</t>
        </is>
      </c>
      <c r="B1075" s="3" t="n">
        <v/>
      </c>
      <c r="C1075" s="3" t="inlineStr">
        <is>
          <t>Bubung genteng palentong</t>
        </is>
      </c>
      <c r="D1075" s="3" t="inlineStr">
        <is>
          <t>buah</t>
        </is>
      </c>
      <c r="E1075" s="4" t="n">
        <v>10700</v>
      </c>
    </row>
    <row r="1076">
      <c r="A1076" s="3" t="inlineStr">
        <is>
          <t>28</t>
        </is>
      </c>
      <c r="B1076" s="3" t="n">
        <v/>
      </c>
      <c r="C1076" s="3" t="inlineStr">
        <is>
          <t>Bubungan asbes  besar</t>
        </is>
      </c>
      <c r="D1076" s="3" t="inlineStr">
        <is>
          <t>buah</t>
        </is>
      </c>
      <c r="E1076" s="4" t="n">
        <v>30700</v>
      </c>
    </row>
    <row r="1077">
      <c r="A1077" s="3" t="inlineStr">
        <is>
          <t>29</t>
        </is>
      </c>
      <c r="B1077" s="3" t="n">
        <v/>
      </c>
      <c r="C1077" s="3" t="inlineStr">
        <is>
          <t>Bubungan asbes  kecil</t>
        </is>
      </c>
      <c r="D1077" s="3" t="inlineStr">
        <is>
          <t>buah</t>
        </is>
      </c>
      <c r="E1077" s="4" t="n">
        <v>48100</v>
      </c>
    </row>
    <row r="1078">
      <c r="A1078" s="3" t="inlineStr">
        <is>
          <t>30</t>
        </is>
      </c>
      <c r="B1078" s="3" t="n">
        <v/>
      </c>
      <c r="C1078" s="3" t="inlineStr">
        <is>
          <t>Bubungan beton press</t>
        </is>
      </c>
      <c r="D1078" s="3" t="inlineStr">
        <is>
          <t>buah</t>
        </is>
      </c>
      <c r="E1078" s="4" t="n">
        <v>5300</v>
      </c>
    </row>
    <row r="1079">
      <c r="A1079" s="3" t="inlineStr">
        <is>
          <t>31</t>
        </is>
      </c>
      <c r="B1079" s="3" t="n">
        <v/>
      </c>
      <c r="C1079" s="3" t="inlineStr">
        <is>
          <t>Fibre glass  (jabes) 180x105 cm</t>
        </is>
      </c>
      <c r="D1079" s="3" t="inlineStr">
        <is>
          <t>lembar</t>
        </is>
      </c>
      <c r="E1079" s="4" t="n">
        <v>78500</v>
      </c>
    </row>
    <row r="1080">
      <c r="A1080" s="3" t="inlineStr">
        <is>
          <t>32</t>
        </is>
      </c>
      <c r="B1080" s="3" t="n">
        <v/>
      </c>
      <c r="C1080" s="3" t="inlineStr">
        <is>
          <t>Fibre glass  (jabes) 200x92 cm</t>
        </is>
      </c>
      <c r="D1080" s="3" t="inlineStr">
        <is>
          <t>lembar</t>
        </is>
      </c>
      <c r="E1080" s="4" t="n">
        <v>68500</v>
      </c>
    </row>
    <row r="1081">
      <c r="A1081" s="3" t="inlineStr">
        <is>
          <t>33</t>
        </is>
      </c>
      <c r="B1081" s="3" t="n">
        <v/>
      </c>
      <c r="C1081" s="3" t="inlineStr">
        <is>
          <t>Fibre glass  (jabes) 210x105 cm</t>
        </is>
      </c>
      <c r="D1081" s="3" t="inlineStr">
        <is>
          <t>buah</t>
        </is>
      </c>
      <c r="E1081" s="4" t="n">
        <v>89700</v>
      </c>
    </row>
    <row r="1082">
      <c r="A1082" s="3" t="inlineStr">
        <is>
          <t>34</t>
        </is>
      </c>
      <c r="B1082" s="3" t="n">
        <v/>
      </c>
      <c r="C1082" s="3" t="inlineStr">
        <is>
          <t>Fibre glass  (jabes) 250x105 cm</t>
        </is>
      </c>
      <c r="D1082" s="3" t="inlineStr">
        <is>
          <t>buah</t>
        </is>
      </c>
      <c r="E1082" s="4" t="n">
        <v>122300</v>
      </c>
    </row>
    <row r="1083">
      <c r="A1083" s="3" t="inlineStr">
        <is>
          <t>35</t>
        </is>
      </c>
      <c r="B1083" s="3" t="n">
        <v/>
      </c>
      <c r="C1083" s="3" t="inlineStr">
        <is>
          <t>Fibre glass  (jabes) 250x92 cm</t>
        </is>
      </c>
      <c r="D1083" s="3" t="inlineStr">
        <is>
          <t>buah</t>
        </is>
      </c>
      <c r="E1083" s="4" t="n">
        <v>162500</v>
      </c>
    </row>
    <row r="1084">
      <c r="A1084" s="3" t="inlineStr">
        <is>
          <t>36</t>
        </is>
      </c>
      <c r="B1084" s="3" t="n">
        <v/>
      </c>
      <c r="C1084" s="3" t="inlineStr">
        <is>
          <t>Fibreglass 180x90 cm</t>
        </is>
      </c>
      <c r="D1084" s="3" t="inlineStr">
        <is>
          <t>lembar</t>
        </is>
      </c>
      <c r="E1084" s="4" t="n">
        <v>59600</v>
      </c>
    </row>
    <row r="1085">
      <c r="A1085" s="3" t="inlineStr">
        <is>
          <t>37</t>
        </is>
      </c>
      <c r="B1085" s="3" t="n">
        <v/>
      </c>
      <c r="C1085" s="3" t="inlineStr">
        <is>
          <t>Frame 'S' 85.50 tinggi profil 85 dan tebal 0,75  mm</t>
        </is>
      </c>
      <c r="D1085" s="3" t="inlineStr">
        <is>
          <t>batang</t>
        </is>
      </c>
      <c r="E1085" s="4" t="n">
        <v>145000</v>
      </c>
    </row>
    <row r="1086">
      <c r="A1086" s="3" t="inlineStr">
        <is>
          <t>38</t>
        </is>
      </c>
      <c r="B1086" s="3" t="n">
        <v/>
      </c>
      <c r="C1086" s="3" t="inlineStr">
        <is>
          <t>Galvalum Gelombang Lapis  Pasir</t>
        </is>
      </c>
      <c r="D1086" s="3" t="inlineStr">
        <is>
          <t>lembar</t>
        </is>
      </c>
      <c r="E1086" s="4" t="n">
        <v>61200</v>
      </c>
    </row>
    <row r="1087">
      <c r="A1087" s="3" t="inlineStr">
        <is>
          <t>39</t>
        </is>
      </c>
      <c r="B1087" s="3" t="n">
        <v/>
      </c>
      <c r="C1087" s="3" t="inlineStr">
        <is>
          <t>Genteng aspal 80x100 cm</t>
        </is>
      </c>
      <c r="D1087" s="3" t="inlineStr">
        <is>
          <t>buah</t>
        </is>
      </c>
      <c r="E1087" s="4" t="n">
        <v>149700</v>
      </c>
    </row>
    <row r="1088">
      <c r="A1088" s="3" t="inlineStr">
        <is>
          <t>40</t>
        </is>
      </c>
      <c r="B1088" s="3" t="n">
        <v/>
      </c>
      <c r="C1088" s="3" t="inlineStr">
        <is>
          <t>Genteng beton</t>
        </is>
      </c>
      <c r="D1088" s="3" t="inlineStr">
        <is>
          <t>buah</t>
        </is>
      </c>
      <c r="E1088" s="4" t="n">
        <v>6800</v>
      </c>
    </row>
    <row r="1089">
      <c r="A1089" s="3" t="inlineStr">
        <is>
          <t>41</t>
        </is>
      </c>
      <c r="B1089" s="3" t="n">
        <v/>
      </c>
      <c r="C1089" s="3" t="inlineStr">
        <is>
          <t>Genteng decra bond</t>
        </is>
      </c>
      <c r="D1089" s="3" t="inlineStr">
        <is>
          <t>buah</t>
        </is>
      </c>
      <c r="E1089" s="4" t="n">
        <v>9800</v>
      </c>
    </row>
    <row r="1090">
      <c r="A1090" s="3" t="inlineStr">
        <is>
          <t>42</t>
        </is>
      </c>
      <c r="B1090" s="3" t="n">
        <v/>
      </c>
      <c r="C1090" s="3" t="inlineStr">
        <is>
          <t>Genteng kodok</t>
        </is>
      </c>
      <c r="D1090" s="3" t="inlineStr">
        <is>
          <t>buah</t>
        </is>
      </c>
      <c r="E1090" s="4" t="n">
        <v>3400</v>
      </c>
    </row>
    <row r="1091">
      <c r="A1091" s="3" t="inlineStr">
        <is>
          <t>43</t>
        </is>
      </c>
      <c r="B1091" s="3" t="n">
        <v/>
      </c>
      <c r="C1091" s="3" t="inlineStr">
        <is>
          <t>Genteng kodok glazuur</t>
        </is>
      </c>
      <c r="D1091" s="3" t="inlineStr">
        <is>
          <t>buah</t>
        </is>
      </c>
      <c r="E1091" s="4" t="n">
        <v>5800</v>
      </c>
    </row>
    <row r="1092">
      <c r="A1092" s="3" t="inlineStr">
        <is>
          <t>44</t>
        </is>
      </c>
      <c r="B1092" s="3" t="n">
        <v/>
      </c>
      <c r="C1092" s="3" t="inlineStr">
        <is>
          <t>Genteng metal</t>
        </is>
      </c>
      <c r="D1092" s="3" t="inlineStr">
        <is>
          <t>lembar</t>
        </is>
      </c>
      <c r="E1092" s="4" t="n">
        <v>50700</v>
      </c>
    </row>
    <row r="1093">
      <c r="A1093" s="3" t="inlineStr">
        <is>
          <t>45</t>
        </is>
      </c>
      <c r="B1093" s="3" t="n">
        <v/>
      </c>
      <c r="C1093" s="3" t="inlineStr">
        <is>
          <t>Genteng metal berpasir</t>
        </is>
      </c>
      <c r="D1093" s="3" t="inlineStr">
        <is>
          <t>lembar</t>
        </is>
      </c>
      <c r="E1093" s="4" t="n">
        <v>30500</v>
      </c>
    </row>
    <row r="1094">
      <c r="A1094" s="3" t="inlineStr">
        <is>
          <t>46</t>
        </is>
      </c>
      <c r="B1094" s="3" t="n">
        <v/>
      </c>
      <c r="C1094" s="3" t="inlineStr">
        <is>
          <t>Genteng palentong</t>
        </is>
      </c>
      <c r="D1094" s="3" t="inlineStr">
        <is>
          <t>buah</t>
        </is>
      </c>
      <c r="E1094" s="4" t="n">
        <v>2800</v>
      </c>
    </row>
    <row r="1095">
      <c r="A1095" s="3" t="inlineStr">
        <is>
          <t>47</t>
        </is>
      </c>
      <c r="B1095" s="3" t="n">
        <v/>
      </c>
      <c r="C1095" s="3" t="inlineStr">
        <is>
          <t>Genteng palentong super</t>
        </is>
      </c>
      <c r="D1095" s="3" t="inlineStr">
        <is>
          <t>buah</t>
        </is>
      </c>
      <c r="E1095" s="4" t="n">
        <v>5300</v>
      </c>
    </row>
    <row r="1096">
      <c r="A1096" s="3" t="inlineStr">
        <is>
          <t>48</t>
        </is>
      </c>
      <c r="B1096" s="3" t="n">
        <v/>
      </c>
      <c r="C1096" s="3" t="inlineStr">
        <is>
          <t>Listplang papan kalsiboard</t>
        </is>
      </c>
      <c r="D1096" s="3" t="inlineStr">
        <is>
          <t>buah</t>
        </is>
      </c>
      <c r="E1096" s="4" t="n">
        <v>56200</v>
      </c>
    </row>
    <row r="1097">
      <c r="A1097" s="3" t="inlineStr">
        <is>
          <t>49</t>
        </is>
      </c>
      <c r="B1097" s="3" t="n">
        <v/>
      </c>
      <c r="C1097" s="3" t="inlineStr">
        <is>
          <t>Listplang tekstur kayu</t>
        </is>
      </c>
      <c r="D1097" s="3" t="inlineStr">
        <is>
          <t>buah</t>
        </is>
      </c>
      <c r="E1097" s="4" t="n">
        <v>54500</v>
      </c>
    </row>
    <row r="1098">
      <c r="A1098" s="3" t="inlineStr">
        <is>
          <t>50</t>
        </is>
      </c>
      <c r="B1098" s="3" t="n">
        <v/>
      </c>
      <c r="C1098" s="3" t="inlineStr">
        <is>
          <t>Nok genteng aspal</t>
        </is>
      </c>
      <c r="D1098" s="3" t="inlineStr">
        <is>
          <t>buah</t>
        </is>
      </c>
      <c r="E1098" s="4" t="n">
        <v>95000</v>
      </c>
    </row>
    <row r="1099">
      <c r="A1099" s="3" t="inlineStr">
        <is>
          <t>51</t>
        </is>
      </c>
      <c r="B1099" s="3" t="n">
        <v/>
      </c>
      <c r="C1099" s="3" t="inlineStr">
        <is>
          <t>Nok genteng beton</t>
        </is>
      </c>
      <c r="D1099" s="3" t="inlineStr">
        <is>
          <t>buah</t>
        </is>
      </c>
      <c r="E1099" s="4" t="n">
        <v>9600</v>
      </c>
    </row>
    <row r="1100">
      <c r="A1100" s="3" t="inlineStr">
        <is>
          <t>52</t>
        </is>
      </c>
      <c r="B1100" s="3" t="n">
        <v/>
      </c>
      <c r="C1100" s="3" t="inlineStr">
        <is>
          <t>Nok genteng metal</t>
        </is>
      </c>
      <c r="D1100" s="3" t="inlineStr">
        <is>
          <t>buah</t>
        </is>
      </c>
      <c r="E1100" s="4" t="n">
        <v>25600</v>
      </c>
    </row>
    <row r="1101">
      <c r="A1101" s="3" t="inlineStr">
        <is>
          <t>53</t>
        </is>
      </c>
      <c r="B1101" s="3" t="n">
        <v/>
      </c>
      <c r="C1101" s="3" t="inlineStr">
        <is>
          <t>Nok paten 105 cm</t>
        </is>
      </c>
      <c r="D1101" s="3" t="inlineStr">
        <is>
          <t>lembar</t>
        </is>
      </c>
      <c r="E1101" s="4" t="n">
        <v>70000</v>
      </c>
    </row>
    <row r="1102">
      <c r="A1102" s="3" t="inlineStr">
        <is>
          <t>54</t>
        </is>
      </c>
      <c r="B1102" s="3" t="n">
        <v/>
      </c>
      <c r="C1102" s="3" t="inlineStr">
        <is>
          <t>Nok paten 108 cm</t>
        </is>
      </c>
      <c r="D1102" s="3" t="inlineStr">
        <is>
          <t>lembar</t>
        </is>
      </c>
      <c r="E1102" s="4" t="n">
        <v>75000</v>
      </c>
    </row>
    <row r="1103">
      <c r="A1103" s="3" t="inlineStr">
        <is>
          <t>55</t>
        </is>
      </c>
      <c r="B1103" s="3" t="n">
        <v/>
      </c>
      <c r="C1103" s="3" t="inlineStr">
        <is>
          <t>Nok paten 92 cm</t>
        </is>
      </c>
      <c r="D1103" s="3" t="inlineStr">
        <is>
          <t>lembar</t>
        </is>
      </c>
      <c r="E1103" s="4" t="n">
        <v>65000</v>
      </c>
    </row>
    <row r="1104">
      <c r="A1104" s="3" t="inlineStr">
        <is>
          <t>56</t>
        </is>
      </c>
      <c r="B1104" s="3" t="n">
        <v/>
      </c>
      <c r="C1104" s="3" t="inlineStr">
        <is>
          <t>Nok setel rata 105 cm</t>
        </is>
      </c>
      <c r="D1104" s="3" t="inlineStr">
        <is>
          <t>lembar</t>
        </is>
      </c>
      <c r="E1104" s="4" t="n">
        <v>75000</v>
      </c>
    </row>
    <row r="1105">
      <c r="A1105" s="3" t="inlineStr">
        <is>
          <t>57</t>
        </is>
      </c>
      <c r="B1105" s="3" t="n">
        <v/>
      </c>
      <c r="C1105" s="3" t="inlineStr">
        <is>
          <t>Nok setel rata 108 cm</t>
        </is>
      </c>
      <c r="D1105" s="3" t="inlineStr">
        <is>
          <t>lembar</t>
        </is>
      </c>
      <c r="E1105" s="4" t="n">
        <v>80000</v>
      </c>
    </row>
    <row r="1106">
      <c r="A1106" s="3" t="inlineStr">
        <is>
          <t>58</t>
        </is>
      </c>
      <c r="B1106" s="3" t="n">
        <v/>
      </c>
      <c r="C1106" s="3" t="inlineStr">
        <is>
          <t>Nok setel rata 92 cm</t>
        </is>
      </c>
      <c r="D1106" s="3" t="inlineStr">
        <is>
          <t>lembar</t>
        </is>
      </c>
      <c r="E1106" s="4" t="n">
        <v>70000</v>
      </c>
    </row>
    <row r="1107">
      <c r="A1107" s="3" t="inlineStr">
        <is>
          <t>59</t>
        </is>
      </c>
      <c r="B1107" s="3" t="n">
        <v/>
      </c>
      <c r="C1107" s="3" t="inlineStr">
        <is>
          <t>Nok standar</t>
        </is>
      </c>
      <c r="D1107" s="3" t="inlineStr">
        <is>
          <t>lembar</t>
        </is>
      </c>
      <c r="E1107" s="4" t="n">
        <v>67000</v>
      </c>
    </row>
    <row r="1108">
      <c r="A1108" s="3" t="inlineStr">
        <is>
          <t>60</t>
        </is>
      </c>
      <c r="B1108" s="3" t="n">
        <v/>
      </c>
      <c r="C1108" s="3" t="inlineStr">
        <is>
          <t>Nok stel gelombang 105 cm</t>
        </is>
      </c>
      <c r="D1108" s="3" t="inlineStr">
        <is>
          <t>lembar</t>
        </is>
      </c>
      <c r="E1108" s="4" t="n">
        <v>70000</v>
      </c>
    </row>
    <row r="1109">
      <c r="A1109" s="3" t="inlineStr">
        <is>
          <t>61</t>
        </is>
      </c>
      <c r="B1109" s="3" t="n">
        <v/>
      </c>
      <c r="C1109" s="3" t="inlineStr">
        <is>
          <t>Nok stel gelombang 108 cm</t>
        </is>
      </c>
      <c r="D1109" s="3" t="inlineStr">
        <is>
          <t>lembar</t>
        </is>
      </c>
      <c r="E1109" s="4" t="n">
        <v>80000</v>
      </c>
    </row>
    <row r="1110">
      <c r="A1110" s="3" t="inlineStr">
        <is>
          <t>62</t>
        </is>
      </c>
      <c r="B1110" s="3" t="n">
        <v/>
      </c>
      <c r="C1110" s="3" t="inlineStr">
        <is>
          <t>Nok stel gelombang 92 cm</t>
        </is>
      </c>
      <c r="D1110" s="3" t="inlineStr">
        <is>
          <t>lembar</t>
        </is>
      </c>
      <c r="E1110" s="4" t="n">
        <v>60000</v>
      </c>
    </row>
    <row r="1111">
      <c r="A1111" s="3" t="inlineStr">
        <is>
          <t>63</t>
        </is>
      </c>
      <c r="B1111" s="3" t="n">
        <v/>
      </c>
      <c r="C1111" s="3" t="inlineStr">
        <is>
          <t>Reng  batten  0,5</t>
        </is>
      </c>
      <c r="D1111" s="3" t="inlineStr">
        <is>
          <t>batang</t>
        </is>
      </c>
      <c r="E1111" s="4" t="n">
        <v>35000</v>
      </c>
    </row>
    <row r="1112">
      <c r="A1112" s="3" t="inlineStr">
        <is>
          <t>64</t>
        </is>
      </c>
      <c r="B1112" s="3" t="n">
        <v/>
      </c>
      <c r="C1112" s="3" t="inlineStr">
        <is>
          <t>Roof light fiberglass</t>
        </is>
      </c>
      <c r="D1112" s="3" t="inlineStr">
        <is>
          <t>lembar</t>
        </is>
      </c>
      <c r="E1112" s="4" t="n">
        <v>116300</v>
      </c>
    </row>
    <row r="1113">
      <c r="A1113" s="3" t="n">
        <v/>
      </c>
      <c r="B1113" s="3" t="n">
        <v/>
      </c>
      <c r="C1113" s="3" t="inlineStr">
        <is>
          <t>Seng gelombang</t>
        </is>
      </c>
      <c r="D1113" s="3" t="inlineStr">
        <is>
          <t>lembar</t>
        </is>
      </c>
      <c r="E1113" s="4" t="n">
        <v>85000</v>
      </c>
    </row>
    <row r="1114">
      <c r="A1114" s="3" t="inlineStr">
        <is>
          <t>65</t>
        </is>
      </c>
      <c r="B1114" s="3" t="n">
        <v/>
      </c>
      <c r="C1114" s="3" t="inlineStr">
        <is>
          <t>Seng gelombang 3x6 inch</t>
        </is>
      </c>
      <c r="D1114" s="3" t="inlineStr">
        <is>
          <t>lembar</t>
        </is>
      </c>
      <c r="E1114" s="4" t="n">
        <v>83100</v>
      </c>
    </row>
    <row r="1115">
      <c r="A1115" s="3" t="n">
        <v/>
      </c>
      <c r="B1115" s="3" t="n">
        <v/>
      </c>
      <c r="C1115" s="3" t="inlineStr">
        <is>
          <t>Seng Gelombang 105 cm x 180 cm</t>
        </is>
      </c>
      <c r="D1115" s="3" t="inlineStr">
        <is>
          <t xml:space="preserve">Lembar </t>
        </is>
      </c>
      <c r="E1115" s="4" t="n">
        <v>85000</v>
      </c>
    </row>
    <row r="1116">
      <c r="A1116" s="3" t="inlineStr">
        <is>
          <t>66</t>
        </is>
      </c>
      <c r="B1116" s="3" t="n">
        <v/>
      </c>
      <c r="C1116" s="3" t="inlineStr">
        <is>
          <t>Seng gelombang bjls  0.18 panjang 180 cm</t>
        </is>
      </c>
      <c r="D1116" s="3" t="inlineStr">
        <is>
          <t>lembar</t>
        </is>
      </c>
      <c r="E1116" s="4" t="n">
        <v>55200</v>
      </c>
    </row>
    <row r="1117">
      <c r="A1117" s="3" t="inlineStr">
        <is>
          <t>67</t>
        </is>
      </c>
      <c r="B1117" s="3" t="n">
        <v/>
      </c>
      <c r="C1117" s="3" t="inlineStr">
        <is>
          <t>Seng gelombang bjls  0.20 panjang 180 cm</t>
        </is>
      </c>
      <c r="D1117" s="3" t="inlineStr">
        <is>
          <t>lembar</t>
        </is>
      </c>
      <c r="E1117" s="4" t="n">
        <v>63900</v>
      </c>
    </row>
    <row r="1118">
      <c r="A1118" s="3" t="inlineStr">
        <is>
          <t>68</t>
        </is>
      </c>
      <c r="B1118" s="3" t="n">
        <v/>
      </c>
      <c r="C1118" s="3" t="inlineStr">
        <is>
          <t>Seng gelombang bjls  30 panjang 180 cm</t>
        </is>
      </c>
      <c r="D1118" s="3" t="inlineStr">
        <is>
          <t>lembar</t>
        </is>
      </c>
      <c r="E1118" s="4" t="n">
        <v>73300</v>
      </c>
    </row>
    <row r="1119">
      <c r="A1119" s="3" t="inlineStr">
        <is>
          <t>69</t>
        </is>
      </c>
      <c r="B1119" s="3" t="n">
        <v/>
      </c>
      <c r="C1119" s="3" t="inlineStr">
        <is>
          <t>Seng gelombang bjls  0.40 panjang 180 cm</t>
        </is>
      </c>
      <c r="D1119" s="3" t="inlineStr">
        <is>
          <t>lembar</t>
        </is>
      </c>
      <c r="E1119" s="4" t="n">
        <v>73000</v>
      </c>
    </row>
    <row r="1120">
      <c r="A1120" s="3" t="inlineStr">
        <is>
          <t>70</t>
        </is>
      </c>
      <c r="B1120" s="3" t="n">
        <v/>
      </c>
      <c r="C1120" s="3" t="inlineStr">
        <is>
          <t>Seng gelombang bjls  28</t>
        </is>
      </c>
      <c r="D1120" s="3" t="inlineStr">
        <is>
          <t>lembar</t>
        </is>
      </c>
      <c r="E1120" s="4" t="n">
        <v>85500</v>
      </c>
    </row>
    <row r="1121">
      <c r="A1121" s="3" t="inlineStr">
        <is>
          <t>71</t>
        </is>
      </c>
      <c r="B1121" s="3" t="n">
        <v/>
      </c>
      <c r="C1121" s="3" t="inlineStr">
        <is>
          <t>Seng gelombang bljs 30</t>
        </is>
      </c>
      <c r="D1121" s="3" t="inlineStr">
        <is>
          <t>lembar</t>
        </is>
      </c>
      <c r="E1121" s="4" t="n">
        <v>79000</v>
      </c>
    </row>
    <row r="1122">
      <c r="A1122" s="3" t="inlineStr">
        <is>
          <t>72</t>
        </is>
      </c>
      <c r="B1122" s="3" t="n">
        <v/>
      </c>
      <c r="C1122" s="3" t="inlineStr">
        <is>
          <t>Seng gelombang panjang 200 cm</t>
        </is>
      </c>
      <c r="D1122" s="3" t="inlineStr">
        <is>
          <t>lembar</t>
        </is>
      </c>
      <c r="E1122" s="4" t="n">
        <v>85000</v>
      </c>
    </row>
    <row r="1123">
      <c r="A1123" s="3" t="inlineStr">
        <is>
          <t>73</t>
        </is>
      </c>
      <c r="B1123" s="3" t="n">
        <v/>
      </c>
      <c r="C1123" s="3" t="inlineStr">
        <is>
          <t>Seng plat  BJLS 0.18 lebar 55 cm</t>
        </is>
      </c>
      <c r="D1123" s="3" t="inlineStr">
        <is>
          <t>m'</t>
        </is>
      </c>
      <c r="E1123" s="4" t="n">
        <v>24800</v>
      </c>
    </row>
    <row r="1124">
      <c r="A1124" s="3" t="inlineStr">
        <is>
          <t>74</t>
        </is>
      </c>
      <c r="B1124" s="3" t="n">
        <v/>
      </c>
      <c r="C1124" s="3" t="inlineStr">
        <is>
          <t>Seng plat  BJLS 0.20 lebar 55 cm</t>
        </is>
      </c>
      <c r="D1124" s="3" t="inlineStr">
        <is>
          <t>m'</t>
        </is>
      </c>
      <c r="E1124" s="4" t="n">
        <v>28100</v>
      </c>
    </row>
    <row r="1125">
      <c r="A1125" s="3" t="inlineStr">
        <is>
          <t>75</t>
        </is>
      </c>
      <c r="B1125" s="3" t="n">
        <v/>
      </c>
      <c r="C1125" s="3" t="inlineStr">
        <is>
          <t>Seng plat  BJLS 0.28 lebar 55 cm</t>
        </is>
      </c>
      <c r="D1125" s="3" t="inlineStr">
        <is>
          <t>m'</t>
        </is>
      </c>
      <c r="E1125" s="4" t="n">
        <v>30400</v>
      </c>
    </row>
    <row r="1126">
      <c r="A1126" s="3" t="inlineStr">
        <is>
          <t>76</t>
        </is>
      </c>
      <c r="B1126" s="3" t="n">
        <v/>
      </c>
      <c r="C1126" s="3" t="inlineStr">
        <is>
          <t>Seng plat  BJLS 0.30 lebar 55 cm</t>
        </is>
      </c>
      <c r="D1126" s="3" t="inlineStr">
        <is>
          <t>m'</t>
        </is>
      </c>
      <c r="E1126" s="4" t="n">
        <v>34600</v>
      </c>
    </row>
    <row r="1127">
      <c r="A1127" s="3" t="inlineStr">
        <is>
          <t>77</t>
        </is>
      </c>
      <c r="B1127" s="3" t="n">
        <v/>
      </c>
      <c r="C1127" s="3" t="inlineStr">
        <is>
          <t>Seng plat 3x6 inch</t>
        </is>
      </c>
      <c r="D1127" s="3" t="inlineStr">
        <is>
          <t>lembar</t>
        </is>
      </c>
      <c r="E1127" s="4" t="n">
        <v>66900</v>
      </c>
    </row>
    <row r="1128">
      <c r="A1128" s="3" t="inlineStr">
        <is>
          <t>78</t>
        </is>
      </c>
      <c r="B1128" s="3" t="n">
        <v/>
      </c>
      <c r="C1128" s="3" t="inlineStr">
        <is>
          <t>Seng plat 3x6 inch bjls 28</t>
        </is>
      </c>
      <c r="D1128" s="3" t="inlineStr">
        <is>
          <t>lembar</t>
        </is>
      </c>
      <c r="E1128" s="4" t="n">
        <v>72200</v>
      </c>
    </row>
    <row r="1129">
      <c r="A1129" s="3" t="n">
        <v/>
      </c>
      <c r="B1129" s="3" t="n">
        <v/>
      </c>
      <c r="C1129" s="3" t="inlineStr">
        <is>
          <t>Seng pelat</t>
        </is>
      </c>
      <c r="D1129" s="3" t="inlineStr">
        <is>
          <t>lembar</t>
        </is>
      </c>
      <c r="E1129" s="4" t="n">
        <v>72200</v>
      </c>
    </row>
    <row r="1130">
      <c r="A1130" s="3" t="n">
        <v/>
      </c>
      <c r="B1130" s="3" t="n">
        <v/>
      </c>
      <c r="C1130" s="3" t="inlineStr">
        <is>
          <t>Seng Pelat  90x180 cm bjls 28</t>
        </is>
      </c>
      <c r="D1130" s="3" t="inlineStr">
        <is>
          <t xml:space="preserve">lembar </t>
        </is>
      </c>
      <c r="E1130" s="4" t="n">
        <v>72200</v>
      </c>
    </row>
    <row r="1131">
      <c r="A1131" s="3" t="inlineStr">
        <is>
          <t>79</t>
        </is>
      </c>
      <c r="B1131" s="3" t="n">
        <v/>
      </c>
      <c r="C1131" s="3" t="inlineStr">
        <is>
          <t>Seng plat bjls 28</t>
        </is>
      </c>
      <c r="D1131" s="3" t="inlineStr">
        <is>
          <t>m'</t>
        </is>
      </c>
      <c r="E1131" s="4" t="n">
        <v>70200</v>
      </c>
    </row>
    <row r="1132">
      <c r="A1132" s="3" t="inlineStr">
        <is>
          <t>80</t>
        </is>
      </c>
      <c r="B1132" s="3" t="n">
        <v/>
      </c>
      <c r="C1132" s="3" t="inlineStr">
        <is>
          <t>Seng plat bjls 30</t>
        </is>
      </c>
      <c r="D1132" s="3" t="inlineStr">
        <is>
          <t>m'</t>
        </is>
      </c>
      <c r="E1132" s="4" t="n">
        <v>74400</v>
      </c>
    </row>
    <row r="1133">
      <c r="A1133" s="3" t="inlineStr">
        <is>
          <t>81</t>
        </is>
      </c>
      <c r="B1133" s="3" t="n">
        <v/>
      </c>
      <c r="C1133" s="3" t="inlineStr">
        <is>
          <t>Seng plat bjls 30</t>
        </is>
      </c>
      <c r="D1133" s="3" t="inlineStr">
        <is>
          <t>lembar</t>
        </is>
      </c>
      <c r="E1133" s="4" t="n">
        <v>35000</v>
      </c>
    </row>
    <row r="1134">
      <c r="A1134" s="3" t="inlineStr">
        <is>
          <t>82</t>
        </is>
      </c>
      <c r="B1134" s="3" t="n">
        <v/>
      </c>
      <c r="C1134" s="3" t="inlineStr">
        <is>
          <t>Sirap (100 lbr)</t>
        </is>
      </c>
      <c r="D1134" s="3" t="inlineStr">
        <is>
          <t>pak</t>
        </is>
      </c>
      <c r="E1134" s="4" t="n">
        <v>200000</v>
      </c>
    </row>
    <row r="1135">
      <c r="A1135" s="3" t="inlineStr">
        <is>
          <t>83</t>
        </is>
      </c>
      <c r="B1135" s="3" t="n">
        <v/>
      </c>
      <c r="C1135" s="3" t="inlineStr">
        <is>
          <t>Sirap kayu</t>
        </is>
      </c>
      <c r="D1135" s="3" t="inlineStr">
        <is>
          <t>buah</t>
        </is>
      </c>
      <c r="E1135" s="4" t="n">
        <v>5000</v>
      </c>
    </row>
    <row r="1136">
      <c r="A1136" s="3" t="inlineStr">
        <is>
          <t>84</t>
        </is>
      </c>
      <c r="B1136" s="3" t="n">
        <v/>
      </c>
      <c r="C1136" s="3" t="inlineStr">
        <is>
          <t>Wab  capsule 62.27  tinggi 62  mm dan  tebal 0,4mm</t>
        </is>
      </c>
      <c r="D1136" s="3" t="inlineStr">
        <is>
          <t>batang</t>
        </is>
      </c>
      <c r="E1136" s="4" t="n">
        <v>55000</v>
      </c>
    </row>
    <row r="1137">
      <c r="A1137" s="3" t="n">
        <v/>
      </c>
      <c r="B1137" s="3" t="n">
        <v/>
      </c>
      <c r="C1137" s="3" t="inlineStr">
        <is>
          <t>MATERIAL PLAFON</t>
        </is>
      </c>
      <c r="D1137" s="3" t="n">
        <v/>
      </c>
      <c r="E1137" s="4" t="n">
        <v/>
      </c>
    </row>
    <row r="1138">
      <c r="A1138" s="3" t="inlineStr">
        <is>
          <t>1</t>
        </is>
      </c>
      <c r="B1138" s="3" t="n">
        <v/>
      </c>
      <c r="C1138" s="3" t="inlineStr">
        <is>
          <t>Asbes 1,00  x 1,00  m</t>
        </is>
      </c>
      <c r="D1138" s="3" t="inlineStr">
        <is>
          <t>lembar</t>
        </is>
      </c>
      <c r="E1138" s="4" t="n">
        <v>17400</v>
      </c>
    </row>
    <row r="1139">
      <c r="A1139" s="3" t="inlineStr">
        <is>
          <t>2</t>
        </is>
      </c>
      <c r="B1139" s="3" t="n">
        <v/>
      </c>
      <c r="C1139" s="3" t="inlineStr">
        <is>
          <t>Compon Flafond</t>
        </is>
      </c>
      <c r="D1139" s="3" t="inlineStr">
        <is>
          <t>kg</t>
        </is>
      </c>
      <c r="E1139" s="4" t="n">
        <v>5000</v>
      </c>
    </row>
    <row r="1140">
      <c r="A1140" s="3" t="inlineStr">
        <is>
          <t>3</t>
        </is>
      </c>
      <c r="B1140" s="3" t="n">
        <v/>
      </c>
      <c r="C1140" s="3" t="inlineStr">
        <is>
          <t>cross tee</t>
        </is>
      </c>
      <c r="D1140" s="3" t="inlineStr">
        <is>
          <t>batang</t>
        </is>
      </c>
      <c r="E1140" s="4" t="n">
        <v>18000</v>
      </c>
    </row>
    <row r="1141">
      <c r="A1141" s="3" t="n">
        <v/>
      </c>
      <c r="B1141" s="3" t="n">
        <v/>
      </c>
      <c r="C1141" s="3" t="inlineStr">
        <is>
          <t>GRC Pelat t=4 mm uk 122x244 cm</t>
        </is>
      </c>
      <c r="D1141" s="3" t="inlineStr">
        <is>
          <t>lembar</t>
        </is>
      </c>
      <c r="E1141" s="4" t="n">
        <v>200000</v>
      </c>
    </row>
    <row r="1142">
      <c r="A1142" s="3" t="inlineStr">
        <is>
          <t>4</t>
        </is>
      </c>
      <c r="B1142" s="3" t="n">
        <v/>
      </c>
      <c r="C1142" s="3" t="inlineStr">
        <is>
          <t>GRCboard (120 cm x  240 cm x  5 mm)</t>
        </is>
      </c>
      <c r="D1142" s="3" t="inlineStr">
        <is>
          <t>m2</t>
        </is>
      </c>
      <c r="E1142" s="4" t="n">
        <v>80800</v>
      </c>
    </row>
    <row r="1143">
      <c r="A1143" s="3" t="inlineStr">
        <is>
          <t>5</t>
        </is>
      </c>
      <c r="B1143" s="3" t="n">
        <v/>
      </c>
      <c r="C1143" s="3" t="inlineStr">
        <is>
          <t>GRCboard (120 cm x  240 cm x  6 mm)</t>
        </is>
      </c>
      <c r="D1143" s="3" t="inlineStr">
        <is>
          <t>m2</t>
        </is>
      </c>
      <c r="E1143" s="4" t="n">
        <v>99300</v>
      </c>
    </row>
    <row r="1144">
      <c r="A1144" s="3" t="inlineStr">
        <is>
          <t>6</t>
        </is>
      </c>
      <c r="B1144" s="3" t="n">
        <v/>
      </c>
      <c r="C1144" s="3" t="inlineStr">
        <is>
          <t>Gypsum Board (120 cm x  240 cm x  12 mm)</t>
        </is>
      </c>
      <c r="D1144" s="3" t="inlineStr">
        <is>
          <t>lembar</t>
        </is>
      </c>
      <c r="E1144" s="4" t="n">
        <v>93000</v>
      </c>
    </row>
    <row r="1145">
      <c r="A1145" s="3" t="n">
        <v/>
      </c>
      <c r="B1145" s="3" t="n">
        <v/>
      </c>
      <c r="C1145" s="3" t="inlineStr">
        <is>
          <t>Gypsum Board (122 cm x  244 cm x  12 mm)</t>
        </is>
      </c>
      <c r="D1145" s="3" t="inlineStr">
        <is>
          <t xml:space="preserve">Lembar </t>
        </is>
      </c>
      <c r="E1145" s="4" t="n">
        <v>96000</v>
      </c>
    </row>
    <row r="1146">
      <c r="A1146" s="3" t="inlineStr">
        <is>
          <t>7</t>
        </is>
      </c>
      <c r="B1146" s="3" t="n">
        <v/>
      </c>
      <c r="C1146" s="3" t="inlineStr">
        <is>
          <t>Gypsum board (120 cm x 240 cm x 9 mm)</t>
        </is>
      </c>
      <c r="D1146" s="3" t="inlineStr">
        <is>
          <t>lembar</t>
        </is>
      </c>
      <c r="E1146" s="4" t="n">
        <v>70000</v>
      </c>
    </row>
    <row r="1147">
      <c r="A1147" s="3" t="n">
        <v/>
      </c>
      <c r="B1147" s="3" t="n">
        <v/>
      </c>
      <c r="C1147" s="3" t="inlineStr">
        <is>
          <t>Rockwool tebal 50 mm</t>
        </is>
      </c>
      <c r="D1147" s="3" t="inlineStr">
        <is>
          <t>m2</t>
        </is>
      </c>
      <c r="E1147" s="4" t="n">
        <v>290000</v>
      </c>
    </row>
    <row r="1148">
      <c r="A1148" s="3" t="inlineStr">
        <is>
          <t>8</t>
        </is>
      </c>
      <c r="B1148" s="3" t="n">
        <v/>
      </c>
      <c r="C1148" s="3" t="inlineStr">
        <is>
          <t>Lambersening plafon ˂3</t>
        </is>
      </c>
      <c r="D1148" s="3" t="inlineStr">
        <is>
          <t>m2</t>
        </is>
      </c>
      <c r="E1148" s="4" t="n">
        <v>180000</v>
      </c>
    </row>
    <row r="1149">
      <c r="A1149" s="3" t="inlineStr">
        <is>
          <t>9</t>
        </is>
      </c>
      <c r="B1149" s="3" t="n">
        <v/>
      </c>
      <c r="C1149" s="3" t="inlineStr">
        <is>
          <t>Lambersening plafon ˃3</t>
        </is>
      </c>
      <c r="D1149" s="3" t="inlineStr">
        <is>
          <t>m2</t>
        </is>
      </c>
      <c r="E1149" s="4" t="n">
        <v>200000</v>
      </c>
    </row>
    <row r="1150">
      <c r="A1150" s="3" t="inlineStr">
        <is>
          <t>10</t>
        </is>
      </c>
      <c r="B1150" s="3" t="n">
        <v/>
      </c>
      <c r="C1150" s="3" t="inlineStr">
        <is>
          <t>List gypsum profil</t>
        </is>
      </c>
      <c r="D1150" s="3" t="inlineStr">
        <is>
          <t>m'</t>
        </is>
      </c>
      <c r="E1150" s="4" t="n">
        <v>15800</v>
      </c>
    </row>
    <row r="1151">
      <c r="A1151" s="3" t="inlineStr">
        <is>
          <t>11</t>
        </is>
      </c>
      <c r="B1151" s="3" t="n">
        <v/>
      </c>
      <c r="C1151" s="3" t="inlineStr">
        <is>
          <t>Listplank GRC lebar 20 cm</t>
        </is>
      </c>
      <c r="D1151" s="3" t="inlineStr">
        <is>
          <t>m'</t>
        </is>
      </c>
      <c r="E1151" s="4" t="n">
        <v>21000</v>
      </c>
    </row>
    <row r="1152">
      <c r="A1152" s="3" t="inlineStr">
        <is>
          <t>12</t>
        </is>
      </c>
      <c r="B1152" s="3" t="n">
        <v/>
      </c>
      <c r="C1152" s="3" t="inlineStr">
        <is>
          <t>Listplank GRC lebar 30 cm</t>
        </is>
      </c>
      <c r="D1152" s="3" t="inlineStr">
        <is>
          <t>m'</t>
        </is>
      </c>
      <c r="E1152" s="4" t="n">
        <v>23000</v>
      </c>
    </row>
    <row r="1153">
      <c r="A1153" s="3" t="inlineStr">
        <is>
          <t>13</t>
        </is>
      </c>
      <c r="B1153" s="3" t="n">
        <v/>
      </c>
      <c r="C1153" s="3" t="inlineStr">
        <is>
          <t>Main tee</t>
        </is>
      </c>
      <c r="D1153" s="3" t="inlineStr">
        <is>
          <t>batang</t>
        </is>
      </c>
      <c r="E1153" s="4" t="n">
        <v>34000</v>
      </c>
    </row>
    <row r="1154">
      <c r="A1154" s="3" t="inlineStr">
        <is>
          <t>14</t>
        </is>
      </c>
      <c r="B1154" s="3" t="n">
        <v/>
      </c>
      <c r="C1154" s="3" t="inlineStr">
        <is>
          <t>Papan semen</t>
        </is>
      </c>
      <c r="D1154" s="3" t="inlineStr">
        <is>
          <t>m2</t>
        </is>
      </c>
      <c r="E1154" s="4" t="n">
        <v>45000</v>
      </c>
    </row>
    <row r="1155">
      <c r="A1155" s="3" t="n">
        <v/>
      </c>
      <c r="B1155" s="3" t="n">
        <v/>
      </c>
      <c r="C1155" s="3" t="inlineStr">
        <is>
          <t>Asbes gelombang</t>
        </is>
      </c>
      <c r="D1155" s="3" t="inlineStr">
        <is>
          <t>lembar</t>
        </is>
      </c>
      <c r="E1155" s="4" t="n">
        <v>62400</v>
      </c>
    </row>
    <row r="1156">
      <c r="A1156" s="3" t="inlineStr">
        <is>
          <t>15</t>
        </is>
      </c>
      <c r="B1156" s="3" t="n">
        <v/>
      </c>
      <c r="C1156" s="3" t="inlineStr">
        <is>
          <t>Pelat  asbes  tebal 3,5 mm</t>
        </is>
      </c>
      <c r="D1156" s="3" t="inlineStr">
        <is>
          <t>lembar</t>
        </is>
      </c>
      <c r="E1156" s="4" t="n">
        <v>62400</v>
      </c>
    </row>
    <row r="1157">
      <c r="A1157" s="3" t="inlineStr">
        <is>
          <t>16</t>
        </is>
      </c>
      <c r="B1157" s="3" t="n">
        <v/>
      </c>
      <c r="C1157" s="3" t="inlineStr">
        <is>
          <t>Pelat  asbes  tebal 4 mm</t>
        </is>
      </c>
      <c r="D1157" s="3" t="inlineStr">
        <is>
          <t>lembar</t>
        </is>
      </c>
      <c r="E1157" s="4" t="n">
        <v>69800</v>
      </c>
    </row>
    <row r="1158">
      <c r="A1158" s="3" t="inlineStr">
        <is>
          <t>17</t>
        </is>
      </c>
      <c r="B1158" s="3" t="n">
        <v/>
      </c>
      <c r="C1158" s="3" t="inlineStr">
        <is>
          <t>Plafon akustik 30x30 cm</t>
        </is>
      </c>
      <c r="D1158" s="3" t="inlineStr">
        <is>
          <t>lembar</t>
        </is>
      </c>
      <c r="E1158" s="4" t="n">
        <v>6200</v>
      </c>
    </row>
    <row r="1159">
      <c r="A1159" s="3" t="inlineStr">
        <is>
          <t>18</t>
        </is>
      </c>
      <c r="B1159" s="3" t="n">
        <v/>
      </c>
      <c r="C1159" s="3" t="inlineStr">
        <is>
          <t>Plafon akustik 30x60 cm</t>
        </is>
      </c>
      <c r="D1159" s="3" t="inlineStr">
        <is>
          <t>lembar</t>
        </is>
      </c>
      <c r="E1159" s="4" t="n">
        <v>13900</v>
      </c>
    </row>
    <row r="1160">
      <c r="A1160" s="3" t="inlineStr">
        <is>
          <t>19</t>
        </is>
      </c>
      <c r="B1160" s="3" t="n">
        <v/>
      </c>
      <c r="C1160" s="3" t="inlineStr">
        <is>
          <t>Plafon akustik 60x120 cm</t>
        </is>
      </c>
      <c r="D1160" s="3" t="inlineStr">
        <is>
          <t>lembar</t>
        </is>
      </c>
      <c r="E1160" s="4" t="n">
        <v>24000</v>
      </c>
    </row>
    <row r="1161">
      <c r="A1161" s="3" t="n">
        <v/>
      </c>
      <c r="B1161" s="3" t="n">
        <v/>
      </c>
      <c r="C1161" s="3" t="inlineStr">
        <is>
          <t>MATERIAL PENUTUP LANTAI DAN DINDING</t>
        </is>
      </c>
      <c r="D1161" s="3" t="n">
        <v/>
      </c>
      <c r="E1161" s="4" t="n">
        <v/>
      </c>
    </row>
    <row r="1162">
      <c r="A1162" s="3" t="inlineStr">
        <is>
          <t>1</t>
        </is>
      </c>
      <c r="B1162" s="3" t="n">
        <v/>
      </c>
      <c r="C1162" s="3" t="inlineStr">
        <is>
          <t>Bata Ekspose Tempel warna natural 8x24x2 cm</t>
        </is>
      </c>
      <c r="D1162" s="3" t="inlineStr">
        <is>
          <t>m'</t>
        </is>
      </c>
      <c r="E1162" s="4" t="n">
        <v>125000</v>
      </c>
    </row>
    <row r="1163">
      <c r="A1163" s="3" t="inlineStr">
        <is>
          <t>2</t>
        </is>
      </c>
      <c r="B1163" s="3" t="n">
        <v/>
      </c>
      <c r="C1163" s="3" t="inlineStr">
        <is>
          <t>Bata tempel</t>
        </is>
      </c>
      <c r="D1163" s="3" t="inlineStr">
        <is>
          <t>buah</t>
        </is>
      </c>
      <c r="E1163" s="4" t="n">
        <v>2500</v>
      </c>
    </row>
    <row r="1164">
      <c r="A1164" s="3" t="inlineStr">
        <is>
          <t>3</t>
        </is>
      </c>
      <c r="B1164" s="3" t="n">
        <v/>
      </c>
      <c r="C1164" s="3" t="inlineStr">
        <is>
          <t>Batako 20x40x10 cm</t>
        </is>
      </c>
      <c r="D1164" s="3" t="inlineStr">
        <is>
          <t>buah</t>
        </is>
      </c>
      <c r="E1164" s="4" t="n">
        <v>3000</v>
      </c>
    </row>
    <row r="1165">
      <c r="A1165" s="3" t="inlineStr">
        <is>
          <t>4</t>
        </is>
      </c>
      <c r="B1165" s="3" t="n">
        <v/>
      </c>
      <c r="C1165" s="3" t="inlineStr">
        <is>
          <t>Batu andesit  30x30 t=3cm</t>
        </is>
      </c>
      <c r="D1165" s="3" t="inlineStr">
        <is>
          <t>m2</t>
        </is>
      </c>
      <c r="E1165" s="4" t="n">
        <v>165000</v>
      </c>
    </row>
    <row r="1166">
      <c r="A1166" s="3" t="inlineStr">
        <is>
          <t>5</t>
        </is>
      </c>
      <c r="B1166" s="3" t="n">
        <v/>
      </c>
      <c r="C1166" s="3" t="inlineStr">
        <is>
          <t>Batu andesit  30x30 t=5cm</t>
        </is>
      </c>
      <c r="D1166" s="3" t="inlineStr">
        <is>
          <t>m2</t>
        </is>
      </c>
      <c r="E1166" s="4" t="n">
        <v>265000</v>
      </c>
    </row>
    <row r="1167">
      <c r="A1167" s="3" t="inlineStr">
        <is>
          <t>6</t>
        </is>
      </c>
      <c r="B1167" s="3" t="n">
        <v/>
      </c>
      <c r="C1167" s="3" t="inlineStr">
        <is>
          <t>Batu paras</t>
        </is>
      </c>
      <c r="D1167" s="3" t="inlineStr">
        <is>
          <t>m2</t>
        </is>
      </c>
      <c r="E1167" s="4" t="n">
        <v>125000</v>
      </c>
    </row>
    <row r="1168">
      <c r="A1168" s="3" t="inlineStr">
        <is>
          <t>7</t>
        </is>
      </c>
      <c r="B1168" s="3" t="n">
        <v/>
      </c>
      <c r="C1168" s="3" t="inlineStr">
        <is>
          <t>Batu paros</t>
        </is>
      </c>
      <c r="D1168" s="3" t="inlineStr">
        <is>
          <t>m2</t>
        </is>
      </c>
      <c r="E1168" s="4" t="n">
        <v>131600</v>
      </c>
    </row>
    <row r="1169">
      <c r="A1169" s="3" t="inlineStr">
        <is>
          <t>8</t>
        </is>
      </c>
      <c r="B1169" s="3" t="n">
        <v/>
      </c>
      <c r="C1169" s="3" t="inlineStr">
        <is>
          <t>Batu tempel hitam</t>
        </is>
      </c>
      <c r="D1169" s="3" t="inlineStr">
        <is>
          <t>m2</t>
        </is>
      </c>
      <c r="E1169" s="4" t="n">
        <v>121600</v>
      </c>
    </row>
    <row r="1170">
      <c r="A1170" s="3" t="inlineStr">
        <is>
          <t>9</t>
        </is>
      </c>
      <c r="B1170" s="3" t="n">
        <v/>
      </c>
      <c r="C1170" s="3" t="inlineStr">
        <is>
          <t>Floor hardener</t>
        </is>
      </c>
      <c r="D1170" s="3" t="inlineStr">
        <is>
          <t>kg</t>
        </is>
      </c>
      <c r="E1170" s="4" t="n">
        <v>5000</v>
      </c>
    </row>
    <row r="1171">
      <c r="A1171" s="3" t="inlineStr">
        <is>
          <t>10</t>
        </is>
      </c>
      <c r="B1171" s="3" t="n">
        <v/>
      </c>
      <c r="C1171" s="3" t="inlineStr">
        <is>
          <t>Flooring Kayu Kruing   1,5x13,5x60 cm</t>
        </is>
      </c>
      <c r="D1171" s="3" t="inlineStr">
        <is>
          <t>m2</t>
        </is>
      </c>
      <c r="E1171" s="4" t="n">
        <v>195000</v>
      </c>
    </row>
    <row r="1172">
      <c r="A1172" s="3" t="inlineStr">
        <is>
          <t>11</t>
        </is>
      </c>
      <c r="B1172" s="3" t="n">
        <v/>
      </c>
      <c r="C1172" s="3" t="inlineStr">
        <is>
          <t>Flooring Kayu Merbau 1,5x9x30cm</t>
        </is>
      </c>
      <c r="D1172" s="3" t="inlineStr">
        <is>
          <t>m2</t>
        </is>
      </c>
      <c r="E1172" s="4" t="n">
        <v>420000</v>
      </c>
    </row>
    <row r="1173">
      <c r="A1173" s="3" t="inlineStr">
        <is>
          <t>12</t>
        </is>
      </c>
      <c r="B1173" s="3" t="n">
        <v/>
      </c>
      <c r="C1173" s="3" t="inlineStr">
        <is>
          <t>Flooring Kayu Sonokeling Grade B  1,5x9x30cm</t>
        </is>
      </c>
      <c r="D1173" s="3" t="inlineStr">
        <is>
          <t>m2</t>
        </is>
      </c>
      <c r="E1173" s="4" t="n">
        <v>420000</v>
      </c>
    </row>
    <row r="1174">
      <c r="A1174" s="3" t="inlineStr">
        <is>
          <t>13</t>
        </is>
      </c>
      <c r="B1174" s="3" t="n">
        <v/>
      </c>
      <c r="C1174" s="3" t="inlineStr">
        <is>
          <t>Granit  bakar 10x10, t=2cm</t>
        </is>
      </c>
      <c r="D1174" s="3" t="inlineStr">
        <is>
          <t>m2</t>
        </is>
      </c>
      <c r="E1174" s="4" t="n">
        <v>275000</v>
      </c>
    </row>
    <row r="1175">
      <c r="A1175" s="3" t="inlineStr">
        <is>
          <t>14</t>
        </is>
      </c>
      <c r="B1175" s="3" t="n">
        <v/>
      </c>
      <c r="C1175" s="3" t="inlineStr">
        <is>
          <t>Granit  bakar 30x30, t=2cm</t>
        </is>
      </c>
      <c r="D1175" s="3" t="inlineStr">
        <is>
          <t>m2</t>
        </is>
      </c>
      <c r="E1175" s="4" t="n">
        <v>315000</v>
      </c>
    </row>
    <row r="1176">
      <c r="A1176" s="3" t="inlineStr">
        <is>
          <t>15</t>
        </is>
      </c>
      <c r="B1176" s="3" t="n">
        <v/>
      </c>
      <c r="C1176" s="3" t="inlineStr">
        <is>
          <t>Granit  tile unpolish /  anti skid</t>
        </is>
      </c>
      <c r="D1176" s="3" t="inlineStr">
        <is>
          <t>m2</t>
        </is>
      </c>
      <c r="E1176" s="4" t="n">
        <v>220100</v>
      </c>
    </row>
    <row r="1177">
      <c r="A1177" s="3" t="inlineStr">
        <is>
          <t>16</t>
        </is>
      </c>
      <c r="B1177" s="3" t="n">
        <v/>
      </c>
      <c r="C1177" s="3" t="inlineStr">
        <is>
          <t>Granit tile 30x30 cm (double loading)</t>
        </is>
      </c>
      <c r="D1177" s="3" t="inlineStr">
        <is>
          <t>buah</t>
        </is>
      </c>
      <c r="E1177" s="4" t="n">
        <v>27700</v>
      </c>
    </row>
    <row r="1178">
      <c r="A1178" s="3" t="inlineStr">
        <is>
          <t>17</t>
        </is>
      </c>
      <c r="B1178" s="3" t="n">
        <v/>
      </c>
      <c r="C1178" s="3" t="inlineStr">
        <is>
          <t>Granit tile 40x40 cm (double loading)</t>
        </is>
      </c>
      <c r="D1178" s="3" t="inlineStr">
        <is>
          <t>buah</t>
        </is>
      </c>
      <c r="E1178" s="4" t="n">
        <v>39200</v>
      </c>
    </row>
    <row r="1179">
      <c r="A1179" s="3" t="inlineStr">
        <is>
          <t>18</t>
        </is>
      </c>
      <c r="B1179" s="3" t="n">
        <v/>
      </c>
      <c r="C1179" s="3" t="inlineStr">
        <is>
          <t>Granit tile 60x60 cm (double loading)</t>
        </is>
      </c>
      <c r="D1179" s="3" t="inlineStr">
        <is>
          <t>buah</t>
        </is>
      </c>
      <c r="E1179" s="4" t="n">
        <v>92800</v>
      </c>
    </row>
    <row r="1180">
      <c r="A1180" s="3" t="inlineStr">
        <is>
          <t>19</t>
        </is>
      </c>
      <c r="B1180" s="3" t="n">
        <v/>
      </c>
      <c r="C1180" s="3" t="inlineStr">
        <is>
          <t>Granito  30 x  30 cm</t>
        </is>
      </c>
      <c r="D1180" s="3" t="inlineStr">
        <is>
          <t>m2</t>
        </is>
      </c>
      <c r="E1180" s="4" t="n">
        <v>326400</v>
      </c>
    </row>
    <row r="1181">
      <c r="A1181" s="3" t="inlineStr">
        <is>
          <t>20</t>
        </is>
      </c>
      <c r="B1181" s="3" t="n">
        <v/>
      </c>
      <c r="C1181" s="3" t="inlineStr">
        <is>
          <t>Granito  40 x  40 cm</t>
        </is>
      </c>
      <c r="D1181" s="3" t="inlineStr">
        <is>
          <t>m2</t>
        </is>
      </c>
      <c r="E1181" s="4" t="n">
        <v>242500</v>
      </c>
    </row>
    <row r="1182">
      <c r="A1182" s="3" t="inlineStr">
        <is>
          <t>21</t>
        </is>
      </c>
      <c r="B1182" s="3" t="n">
        <v/>
      </c>
      <c r="C1182" s="3" t="inlineStr">
        <is>
          <t>Guiding Block Warna t  =  6 cm</t>
        </is>
      </c>
      <c r="D1182" s="3" t="inlineStr">
        <is>
          <t>m2</t>
        </is>
      </c>
      <c r="E1182" s="4" t="n">
        <v>330600</v>
      </c>
    </row>
    <row r="1183">
      <c r="A1183" s="3" t="inlineStr">
        <is>
          <t>22</t>
        </is>
      </c>
      <c r="B1183" s="3" t="n">
        <v/>
      </c>
      <c r="C1183" s="3" t="inlineStr">
        <is>
          <t>Homogenous tile 30x30 cm</t>
        </is>
      </c>
      <c r="D1183" s="3" t="inlineStr">
        <is>
          <t>buah</t>
        </is>
      </c>
      <c r="E1183" s="4" t="n">
        <v>20000</v>
      </c>
    </row>
    <row r="1184">
      <c r="A1184" s="3" t="inlineStr">
        <is>
          <t>23</t>
        </is>
      </c>
      <c r="B1184" s="3" t="n">
        <v/>
      </c>
      <c r="C1184" s="3" t="inlineStr">
        <is>
          <t>Homogenous tile 40x40 cm</t>
        </is>
      </c>
      <c r="D1184" s="3" t="inlineStr">
        <is>
          <t>buah</t>
        </is>
      </c>
      <c r="E1184" s="4" t="n">
        <v>30000</v>
      </c>
    </row>
    <row r="1185">
      <c r="A1185" s="3" t="inlineStr">
        <is>
          <t>24</t>
        </is>
      </c>
      <c r="B1185" s="3" t="n">
        <v/>
      </c>
      <c r="C1185" s="3" t="inlineStr">
        <is>
          <t>Homogenous tile 60x60 cm</t>
        </is>
      </c>
      <c r="D1185" s="3" t="inlineStr">
        <is>
          <t>buah</t>
        </is>
      </c>
      <c r="E1185" s="4" t="n">
        <v>50000</v>
      </c>
    </row>
    <row r="1186">
      <c r="A1186" s="3" t="inlineStr">
        <is>
          <t>22</t>
        </is>
      </c>
      <c r="B1186" s="3" t="n">
        <v/>
      </c>
      <c r="C1186" s="3" t="inlineStr">
        <is>
          <t>Homogenous tile unpolish 30x30 cm</t>
        </is>
      </c>
      <c r="D1186" s="3" t="inlineStr">
        <is>
          <t>buah</t>
        </is>
      </c>
      <c r="E1186" s="4" t="n">
        <v>27000</v>
      </c>
    </row>
    <row r="1187">
      <c r="A1187" s="3" t="inlineStr">
        <is>
          <t>23</t>
        </is>
      </c>
      <c r="B1187" s="3" t="n">
        <v/>
      </c>
      <c r="C1187" s="3" t="inlineStr">
        <is>
          <t>Homogenous tile unpolish 40x40 cm</t>
        </is>
      </c>
      <c r="D1187" s="3" t="inlineStr">
        <is>
          <t>buah</t>
        </is>
      </c>
      <c r="E1187" s="4" t="n">
        <v>39000</v>
      </c>
    </row>
    <row r="1188">
      <c r="A1188" s="3" t="inlineStr">
        <is>
          <t>24</t>
        </is>
      </c>
      <c r="B1188" s="3" t="n">
        <v/>
      </c>
      <c r="C1188" s="3" t="inlineStr">
        <is>
          <t>Homogenous tile unpolish 60x60 cm</t>
        </is>
      </c>
      <c r="D1188" s="3" t="inlineStr">
        <is>
          <t>buah</t>
        </is>
      </c>
      <c r="E1188" s="4" t="n">
        <v>56000</v>
      </c>
    </row>
    <row r="1189">
      <c r="A1189" s="3" t="inlineStr">
        <is>
          <t>25</t>
        </is>
      </c>
      <c r="B1189" s="3" t="n">
        <v/>
      </c>
      <c r="C1189" s="3" t="inlineStr">
        <is>
          <t>Homogenous tile dinding 30x30 cm</t>
        </is>
      </c>
      <c r="D1189" s="3" t="inlineStr">
        <is>
          <t>buah</t>
        </is>
      </c>
      <c r="E1189" s="4" t="n">
        <v>22000</v>
      </c>
    </row>
    <row r="1190">
      <c r="A1190" s="3" t="inlineStr">
        <is>
          <t>26</t>
        </is>
      </c>
      <c r="B1190" s="3" t="n">
        <v/>
      </c>
      <c r="C1190" s="3" t="inlineStr">
        <is>
          <t>Homogenous tile dinding 40x40 cm</t>
        </is>
      </c>
      <c r="D1190" s="3" t="inlineStr">
        <is>
          <t>buah</t>
        </is>
      </c>
      <c r="E1190" s="4" t="n">
        <v>30000</v>
      </c>
    </row>
    <row r="1191">
      <c r="A1191" s="3" t="inlineStr">
        <is>
          <t>27</t>
        </is>
      </c>
      <c r="B1191" s="3" t="n">
        <v/>
      </c>
      <c r="C1191" s="3" t="inlineStr">
        <is>
          <t>Homogenous tile dinding 60x60 cm</t>
        </is>
      </c>
      <c r="D1191" s="3" t="inlineStr">
        <is>
          <t>buah</t>
        </is>
      </c>
      <c r="E1191" s="4" t="n">
        <v>35000</v>
      </c>
    </row>
    <row r="1192">
      <c r="A1192" s="3" t="inlineStr">
        <is>
          <t>28</t>
        </is>
      </c>
      <c r="B1192" s="3" t="n">
        <v/>
      </c>
      <c r="C1192" s="3" t="inlineStr">
        <is>
          <t>Karpet</t>
        </is>
      </c>
      <c r="D1192" s="3" t="inlineStr">
        <is>
          <t>m2</t>
        </is>
      </c>
      <c r="E1192" s="4" t="n">
        <v>45000</v>
      </c>
    </row>
    <row r="1193">
      <c r="A1193" s="3" t="inlineStr">
        <is>
          <t>29</t>
        </is>
      </c>
      <c r="B1193" s="3" t="n">
        <v/>
      </c>
      <c r="C1193" s="3" t="inlineStr">
        <is>
          <t>Keramik  20  x 25  cm</t>
        </is>
      </c>
      <c r="D1193" s="3" t="inlineStr">
        <is>
          <t>buah</t>
        </is>
      </c>
      <c r="E1193" s="4" t="n">
        <v>2400</v>
      </c>
    </row>
    <row r="1194">
      <c r="A1194" s="3" t="inlineStr">
        <is>
          <t>30</t>
        </is>
      </c>
      <c r="B1194" s="3" t="n">
        <v/>
      </c>
      <c r="C1194" s="3" t="inlineStr">
        <is>
          <t>Keramik 10 x  20 cm</t>
        </is>
      </c>
      <c r="D1194" s="3" t="inlineStr">
        <is>
          <t>buah</t>
        </is>
      </c>
      <c r="E1194" s="4" t="n">
        <v>2300</v>
      </c>
    </row>
    <row r="1195">
      <c r="A1195" s="3" t="inlineStr">
        <is>
          <t>31</t>
        </is>
      </c>
      <c r="B1195" s="3" t="n">
        <v/>
      </c>
      <c r="C1195" s="3" t="inlineStr">
        <is>
          <t>Keramik Lantai uk. 20 x 20 cm, Polished</t>
        </is>
      </c>
      <c r="D1195" s="3" t="inlineStr">
        <is>
          <t>buah</t>
        </is>
      </c>
      <c r="E1195" s="4" t="n">
        <v>2200</v>
      </c>
    </row>
    <row r="1196">
      <c r="A1196" s="3" t="n">
        <v/>
      </c>
      <c r="B1196" s="3" t="n">
        <v/>
      </c>
      <c r="C1196" s="3" t="inlineStr">
        <is>
          <t>Keramik Lantai uk. 25 x 25 cm, Polished</t>
        </is>
      </c>
      <c r="D1196" s="3" t="inlineStr">
        <is>
          <t>buah</t>
        </is>
      </c>
      <c r="E1196" s="4" t="n">
        <v>2800</v>
      </c>
    </row>
    <row r="1197">
      <c r="A1197" s="3" t="n">
        <v/>
      </c>
      <c r="B1197" s="3" t="n">
        <v/>
      </c>
      <c r="C1197" s="3" t="inlineStr">
        <is>
          <t>Keramik Lantai uk. 25 x 40 cm, Polished</t>
        </is>
      </c>
      <c r="D1197" s="3" t="inlineStr">
        <is>
          <t>buah</t>
        </is>
      </c>
      <c r="E1197" s="4" t="n">
        <v>3500</v>
      </c>
    </row>
    <row r="1198">
      <c r="A1198" s="3" t="inlineStr">
        <is>
          <t>33</t>
        </is>
      </c>
      <c r="B1198" s="3" t="n">
        <v/>
      </c>
      <c r="C1198" s="3" t="inlineStr">
        <is>
          <t>Keramik Lantai uk. 30 x 30 cm, Polished</t>
        </is>
      </c>
      <c r="D1198" s="3" t="inlineStr">
        <is>
          <t>buah</t>
        </is>
      </c>
      <c r="E1198" s="4" t="n">
        <v>4000</v>
      </c>
    </row>
    <row r="1199">
      <c r="A1199" s="3" t="n">
        <v/>
      </c>
      <c r="B1199" s="3" t="n">
        <v/>
      </c>
      <c r="C1199" s="3" t="inlineStr">
        <is>
          <t>Keramik Lantai uk. 30 x 60 cm, Polished</t>
        </is>
      </c>
      <c r="D1199" s="3" t="inlineStr">
        <is>
          <t>buah</t>
        </is>
      </c>
      <c r="E1199" s="4" t="n">
        <v>9000</v>
      </c>
    </row>
    <row r="1200">
      <c r="A1200" s="3" t="inlineStr">
        <is>
          <t>34</t>
        </is>
      </c>
      <c r="B1200" s="3" t="n">
        <v/>
      </c>
      <c r="C1200" s="3" t="inlineStr">
        <is>
          <t>Keramik Lantai uk. 40 x 40 cm, Polished</t>
        </is>
      </c>
      <c r="D1200" s="3" t="inlineStr">
        <is>
          <t>buah</t>
        </is>
      </c>
      <c r="E1200" s="4" t="n">
        <v>8100</v>
      </c>
    </row>
    <row r="1201">
      <c r="A1201" s="3" t="inlineStr">
        <is>
          <t>31</t>
        </is>
      </c>
      <c r="B1201" s="3" t="n">
        <v/>
      </c>
      <c r="C1201" s="3" t="inlineStr">
        <is>
          <t>Keramik Lantai uk. 20 x 20 cm, Unpolished</t>
        </is>
      </c>
      <c r="D1201" s="3" t="inlineStr">
        <is>
          <t>buah</t>
        </is>
      </c>
      <c r="E1201" s="4" t="n">
        <v>2000</v>
      </c>
    </row>
    <row r="1202">
      <c r="A1202" s="3" t="inlineStr">
        <is>
          <t>31</t>
        </is>
      </c>
      <c r="B1202" s="3" t="n">
        <v/>
      </c>
      <c r="C1202" s="3" t="inlineStr">
        <is>
          <t>Keramik Lantai uk. 25 x 25 cm, Unpolished</t>
        </is>
      </c>
      <c r="D1202" s="3" t="inlineStr">
        <is>
          <t>buah</t>
        </is>
      </c>
      <c r="E1202" s="4" t="n">
        <v>2500</v>
      </c>
    </row>
    <row r="1203">
      <c r="A1203" s="3" t="n">
        <v/>
      </c>
      <c r="B1203" s="3" t="n">
        <v/>
      </c>
      <c r="C1203" s="3" t="inlineStr">
        <is>
          <t>Keramik Lantai uk. 25 x 40 cm, Unpolished</t>
        </is>
      </c>
      <c r="D1203" s="3" t="inlineStr">
        <is>
          <t>buah</t>
        </is>
      </c>
      <c r="E1203" s="4" t="n">
        <v>3200</v>
      </c>
    </row>
    <row r="1204">
      <c r="A1204" s="3" t="n">
        <v/>
      </c>
      <c r="B1204" s="3" t="n">
        <v/>
      </c>
      <c r="C1204" s="3" t="inlineStr">
        <is>
          <t>Keramik Lantai uk. 30 x 30 cm, Unpolished</t>
        </is>
      </c>
      <c r="D1204" s="3" t="inlineStr">
        <is>
          <t>buah</t>
        </is>
      </c>
      <c r="E1204" s="4" t="n">
        <v>3800</v>
      </c>
    </row>
    <row r="1205">
      <c r="A1205" s="3" t="n">
        <v/>
      </c>
      <c r="B1205" s="3" t="n">
        <v/>
      </c>
      <c r="C1205" s="3" t="inlineStr">
        <is>
          <t>Keramik Lantai uk. 30 x 60 cm, Unpolished</t>
        </is>
      </c>
      <c r="D1205" s="3" t="inlineStr">
        <is>
          <t>buah</t>
        </is>
      </c>
      <c r="E1205" s="4" t="n">
        <v>8500</v>
      </c>
    </row>
    <row r="1206">
      <c r="A1206" s="3" t="n">
        <v/>
      </c>
      <c r="B1206" s="3" t="n">
        <v/>
      </c>
      <c r="C1206" s="3" t="inlineStr">
        <is>
          <t>Keramik Lantai uk. 40 x 40 cm, Unpolished</t>
        </is>
      </c>
      <c r="D1206" s="3" t="inlineStr">
        <is>
          <t>buah</t>
        </is>
      </c>
      <c r="E1206" s="4" t="n">
        <v>7600</v>
      </c>
    </row>
    <row r="1207">
      <c r="A1207" s="3" t="n">
        <v/>
      </c>
      <c r="B1207" s="3" t="n">
        <v/>
      </c>
      <c r="C1207" s="3" t="inlineStr">
        <is>
          <t>Keramik Lantai Variasi uk. 30 x 30 cm, Unpolished</t>
        </is>
      </c>
      <c r="D1207" s="3" t="inlineStr">
        <is>
          <t>buah</t>
        </is>
      </c>
      <c r="E1207" s="4" t="n">
        <v>3700</v>
      </c>
    </row>
    <row r="1208">
      <c r="A1208" s="3" t="n">
        <v/>
      </c>
      <c r="B1208" s="3" t="n">
        <v/>
      </c>
      <c r="C1208" s="3" t="inlineStr">
        <is>
          <t>Keramik Lantai Variasi uk. 40 x 40 cm, Unpolished</t>
        </is>
      </c>
      <c r="D1208" s="3" t="inlineStr">
        <is>
          <t>buah</t>
        </is>
      </c>
      <c r="E1208" s="4" t="n">
        <v>7600</v>
      </c>
    </row>
    <row r="1209">
      <c r="A1209" s="3" t="inlineStr">
        <is>
          <t>35</t>
        </is>
      </c>
      <c r="B1209" s="3" t="n">
        <v/>
      </c>
      <c r="C1209" s="3" t="inlineStr">
        <is>
          <t>Keramik 60x60 cm</t>
        </is>
      </c>
      <c r="D1209" s="3" t="inlineStr">
        <is>
          <t>buah</t>
        </is>
      </c>
      <c r="E1209" s="4" t="n">
        <v>12000</v>
      </c>
    </row>
    <row r="1210">
      <c r="A1210" s="3" t="inlineStr">
        <is>
          <t>33</t>
        </is>
      </c>
      <c r="B1210" s="3" t="n">
        <v/>
      </c>
      <c r="C1210" s="3" t="inlineStr">
        <is>
          <t>Keramik Lantai Variasi uk. 30 x 30 cm, Polished</t>
        </is>
      </c>
      <c r="D1210" s="3" t="inlineStr">
        <is>
          <t>buah</t>
        </is>
      </c>
      <c r="E1210" s="4" t="n">
        <v>4000</v>
      </c>
    </row>
    <row r="1211">
      <c r="A1211" s="3" t="inlineStr">
        <is>
          <t>34</t>
        </is>
      </c>
      <c r="B1211" s="3" t="n">
        <v/>
      </c>
      <c r="C1211" s="3" t="inlineStr">
        <is>
          <t>Keramik Lantai Variasi uk. 40 x 40 cm, Polished</t>
        </is>
      </c>
      <c r="D1211" s="3" t="inlineStr">
        <is>
          <t>buah</t>
        </is>
      </c>
      <c r="E1211" s="4" t="n">
        <v>8100</v>
      </c>
    </row>
    <row r="1212">
      <c r="A1212" s="3" t="inlineStr">
        <is>
          <t>35</t>
        </is>
      </c>
      <c r="B1212" s="3" t="n">
        <v/>
      </c>
      <c r="C1212" s="3" t="inlineStr">
        <is>
          <t>KeramikVariasi  60x60 cm</t>
        </is>
      </c>
      <c r="D1212" s="3" t="inlineStr">
        <is>
          <t>buah</t>
        </is>
      </c>
      <c r="E1212" s="4" t="n">
        <v>12000</v>
      </c>
    </row>
    <row r="1213">
      <c r="A1213" s="3" t="n">
        <v/>
      </c>
      <c r="B1213" s="3" t="n">
        <v/>
      </c>
      <c r="C1213" s="3" t="inlineStr">
        <is>
          <t>Step Nosing Keramik 10x60 cm</t>
        </is>
      </c>
      <c r="D1213" s="3" t="inlineStr">
        <is>
          <t xml:space="preserve">buah </t>
        </is>
      </c>
      <c r="E1213" s="4" t="n">
        <v>28000</v>
      </c>
    </row>
    <row r="1214">
      <c r="A1214" s="3" t="n">
        <v/>
      </c>
      <c r="B1214" s="3" t="n">
        <v/>
      </c>
      <c r="C1214" s="3" t="inlineStr">
        <is>
          <t xml:space="preserve">Keramik Tactile 30x30 cm </t>
        </is>
      </c>
      <c r="D1214" s="3" t="inlineStr">
        <is>
          <t xml:space="preserve">buah </t>
        </is>
      </c>
      <c r="E1214" s="4" t="n">
        <v>37000</v>
      </c>
    </row>
    <row r="1215">
      <c r="A1215" s="3" t="n">
        <v/>
      </c>
      <c r="B1215" s="3" t="n">
        <v/>
      </c>
      <c r="C1215" s="3" t="inlineStr">
        <is>
          <t>Keramik Tactile 40x40 cm</t>
        </is>
      </c>
      <c r="D1215" s="3" t="inlineStr">
        <is>
          <t xml:space="preserve">buah </t>
        </is>
      </c>
      <c r="E1215" s="4" t="n">
        <v>39500</v>
      </c>
    </row>
    <row r="1216">
      <c r="A1216" s="3" t="inlineStr">
        <is>
          <t>36</t>
        </is>
      </c>
      <c r="B1216" s="3" t="n">
        <v/>
      </c>
      <c r="C1216" s="3" t="inlineStr">
        <is>
          <t>Keramik artistik 10x10 cm</t>
        </is>
      </c>
      <c r="D1216" s="3" t="inlineStr">
        <is>
          <t>buah</t>
        </is>
      </c>
      <c r="E1216" s="4" t="n">
        <v>1500</v>
      </c>
    </row>
    <row r="1217">
      <c r="A1217" s="3" t="inlineStr">
        <is>
          <t>37</t>
        </is>
      </c>
      <c r="B1217" s="3" t="n">
        <v/>
      </c>
      <c r="C1217" s="3" t="inlineStr">
        <is>
          <t>Keramik artistik 20x20 cm</t>
        </is>
      </c>
      <c r="D1217" s="3" t="inlineStr">
        <is>
          <t>buah</t>
        </is>
      </c>
      <c r="E1217" s="4" t="n">
        <v>2000</v>
      </c>
    </row>
    <row r="1218">
      <c r="A1218" s="3" t="inlineStr">
        <is>
          <t>38</t>
        </is>
      </c>
      <c r="B1218" s="3" t="n">
        <v/>
      </c>
      <c r="C1218" s="3" t="inlineStr">
        <is>
          <t>Keramik artistik 30x30 cm</t>
        </is>
      </c>
      <c r="D1218" s="3" t="inlineStr">
        <is>
          <t>buah</t>
        </is>
      </c>
      <c r="E1218" s="4" t="n">
        <v>3000</v>
      </c>
    </row>
    <row r="1219">
      <c r="A1219" s="3" t="inlineStr">
        <is>
          <t>39</t>
        </is>
      </c>
      <c r="B1219" s="3" t="n">
        <v/>
      </c>
      <c r="C1219" s="3" t="inlineStr">
        <is>
          <t>Keramik artistik 40x40 cm</t>
        </is>
      </c>
      <c r="D1219" s="3" t="inlineStr">
        <is>
          <t>buah</t>
        </is>
      </c>
      <c r="E1219" s="4" t="n">
        <v>4000</v>
      </c>
    </row>
    <row r="1220">
      <c r="A1220" s="3" t="inlineStr">
        <is>
          <t>40</t>
        </is>
      </c>
      <c r="B1220" s="3" t="n">
        <v/>
      </c>
      <c r="C1220" s="3" t="inlineStr">
        <is>
          <t>Keramik artistik 8x8 cm</t>
        </is>
      </c>
      <c r="D1220" s="3" t="inlineStr">
        <is>
          <t>buah</t>
        </is>
      </c>
      <c r="E1220" s="4" t="n">
        <v>1000</v>
      </c>
    </row>
    <row r="1221">
      <c r="A1221" s="3" t="inlineStr">
        <is>
          <t>41</t>
        </is>
      </c>
      <c r="B1221" s="3" t="n">
        <v/>
      </c>
      <c r="C1221" s="3" t="inlineStr">
        <is>
          <t>Keramik cuting 50x50</t>
        </is>
      </c>
      <c r="D1221" s="3" t="inlineStr">
        <is>
          <t>buah</t>
        </is>
      </c>
      <c r="E1221" s="4" t="n">
        <v>27500</v>
      </c>
    </row>
    <row r="1222">
      <c r="A1222" s="3" t="inlineStr">
        <is>
          <t>42</t>
        </is>
      </c>
      <c r="B1222" s="3" t="n">
        <v/>
      </c>
      <c r="C1222" s="3" t="inlineStr">
        <is>
          <t>Keramik dinding 10x20 cm</t>
        </is>
      </c>
      <c r="D1222" s="3" t="inlineStr">
        <is>
          <t>buah</t>
        </is>
      </c>
      <c r="E1222" s="4" t="n">
        <v>2000</v>
      </c>
    </row>
    <row r="1223">
      <c r="A1223" s="3" t="inlineStr">
        <is>
          <t>43</t>
        </is>
      </c>
      <c r="B1223" s="3" t="n">
        <v/>
      </c>
      <c r="C1223" s="3" t="inlineStr">
        <is>
          <t>Keramik dinding 20x20 cm</t>
        </is>
      </c>
      <c r="D1223" s="3" t="inlineStr">
        <is>
          <t>buah</t>
        </is>
      </c>
      <c r="E1223" s="4" t="n">
        <v>3000</v>
      </c>
    </row>
    <row r="1224">
      <c r="A1224" s="3" t="inlineStr">
        <is>
          <t>44</t>
        </is>
      </c>
      <c r="B1224" s="3" t="n">
        <v/>
      </c>
      <c r="C1224" s="3" t="inlineStr">
        <is>
          <t>Keramik dinding artistik 10x20 cm</t>
        </is>
      </c>
      <c r="D1224" s="3" t="inlineStr">
        <is>
          <t>buah</t>
        </is>
      </c>
      <c r="E1224" s="4" t="n">
        <v>2500</v>
      </c>
    </row>
    <row r="1225">
      <c r="A1225" s="3" t="inlineStr">
        <is>
          <t>45</t>
        </is>
      </c>
      <c r="B1225" s="3" t="n">
        <v/>
      </c>
      <c r="C1225" s="3" t="inlineStr">
        <is>
          <t>Keramik dinding artistik 5x20 cm</t>
        </is>
      </c>
      <c r="D1225" s="3" t="inlineStr">
        <is>
          <t>buah</t>
        </is>
      </c>
      <c r="E1225" s="4" t="n">
        <v>2000</v>
      </c>
    </row>
    <row r="1226">
      <c r="A1226" s="3" t="inlineStr">
        <is>
          <t>46</t>
        </is>
      </c>
      <c r="B1226" s="3" t="n">
        <v/>
      </c>
      <c r="C1226" s="3" t="inlineStr">
        <is>
          <t>Lamparquet  Kayu Merbau 1x6x20cm</t>
        </is>
      </c>
      <c r="D1226" s="3" t="inlineStr">
        <is>
          <t>m2</t>
        </is>
      </c>
      <c r="E1226" s="4" t="n">
        <v>190000</v>
      </c>
    </row>
    <row r="1227">
      <c r="A1227" s="3" t="inlineStr">
        <is>
          <t>47</t>
        </is>
      </c>
      <c r="B1227" s="3" t="n">
        <v/>
      </c>
      <c r="C1227" s="3" t="inlineStr">
        <is>
          <t>Lamparquet  Kayu Merbau 1x9x20cm</t>
        </is>
      </c>
      <c r="D1227" s="3" t="inlineStr">
        <is>
          <t>m2</t>
        </is>
      </c>
      <c r="E1227" s="4" t="n">
        <v>200000</v>
      </c>
    </row>
    <row r="1228">
      <c r="A1228" s="3" t="inlineStr">
        <is>
          <t>48</t>
        </is>
      </c>
      <c r="B1228" s="3" t="n">
        <v/>
      </c>
      <c r="C1228" s="3" t="inlineStr">
        <is>
          <t>Lantai engineering wood</t>
        </is>
      </c>
      <c r="D1228" s="3" t="inlineStr">
        <is>
          <t>m2</t>
        </is>
      </c>
      <c r="E1228" s="4" t="n">
        <v>200000</v>
      </c>
    </row>
    <row r="1229">
      <c r="A1229" s="3" t="inlineStr">
        <is>
          <t>49</t>
        </is>
      </c>
      <c r="B1229" s="3" t="n">
        <v/>
      </c>
      <c r="C1229" s="3" t="inlineStr">
        <is>
          <t>Lantai Parket  Jati grade A   1,2x5x17 cm</t>
        </is>
      </c>
      <c r="D1229" s="3" t="inlineStr">
        <is>
          <t>m2</t>
        </is>
      </c>
      <c r="E1229" s="4" t="n">
        <v>175000</v>
      </c>
    </row>
    <row r="1230">
      <c r="A1230" s="3" t="inlineStr">
        <is>
          <t>50</t>
        </is>
      </c>
      <c r="B1230" s="3" t="n">
        <v/>
      </c>
      <c r="C1230" s="3" t="inlineStr">
        <is>
          <t>Lantai Parket  Jati grade A   1,2x5x20cm</t>
        </is>
      </c>
      <c r="D1230" s="3" t="inlineStr">
        <is>
          <t>m2</t>
        </is>
      </c>
      <c r="E1230" s="4" t="n">
        <v>222000</v>
      </c>
    </row>
    <row r="1231">
      <c r="A1231" s="3" t="inlineStr">
        <is>
          <t>51</t>
        </is>
      </c>
      <c r="B1231" s="3" t="n">
        <v/>
      </c>
      <c r="C1231" s="3" t="inlineStr">
        <is>
          <t>Lantai Parket  Jati grade A   1,2x5x25 cm</t>
        </is>
      </c>
      <c r="D1231" s="3" t="inlineStr">
        <is>
          <t>m2</t>
        </is>
      </c>
      <c r="E1231" s="4" t="n">
        <v>250000</v>
      </c>
    </row>
    <row r="1232">
      <c r="A1232" s="3" t="inlineStr">
        <is>
          <t>52</t>
        </is>
      </c>
      <c r="B1232" s="3" t="n">
        <v/>
      </c>
      <c r="C1232" s="3" t="inlineStr">
        <is>
          <t>Lantai Parket  Jati grade A   1,2x5x30 cm</t>
        </is>
      </c>
      <c r="D1232" s="3" t="inlineStr">
        <is>
          <t>m2</t>
        </is>
      </c>
      <c r="E1232" s="4" t="n">
        <v>280000</v>
      </c>
    </row>
    <row r="1233">
      <c r="A1233" s="3" t="inlineStr">
        <is>
          <t>53</t>
        </is>
      </c>
      <c r="B1233" s="3" t="n">
        <v/>
      </c>
      <c r="C1233" s="3" t="inlineStr">
        <is>
          <t>Lantai Parket  Jati grade B   1,2x5x17 cm</t>
        </is>
      </c>
      <c r="D1233" s="3" t="inlineStr">
        <is>
          <t>m2</t>
        </is>
      </c>
      <c r="E1233" s="4" t="n">
        <v>160000</v>
      </c>
    </row>
    <row r="1234">
      <c r="A1234" s="3" t="inlineStr">
        <is>
          <t>54</t>
        </is>
      </c>
      <c r="B1234" s="3" t="n">
        <v/>
      </c>
      <c r="C1234" s="3" t="inlineStr">
        <is>
          <t>Lantai Parket  Jati grade B   1,2x5x20cm</t>
        </is>
      </c>
      <c r="D1234" s="3" t="inlineStr">
        <is>
          <t>m2</t>
        </is>
      </c>
      <c r="E1234" s="4" t="n">
        <v>195000</v>
      </c>
    </row>
    <row r="1235">
      <c r="A1235" s="3" t="inlineStr">
        <is>
          <t>55</t>
        </is>
      </c>
      <c r="B1235" s="3" t="n">
        <v/>
      </c>
      <c r="C1235" s="3" t="inlineStr">
        <is>
          <t>Lantai Parket  Jati grade B   1,2x5x25 cm</t>
        </is>
      </c>
      <c r="D1235" s="3" t="inlineStr">
        <is>
          <t>m2</t>
        </is>
      </c>
      <c r="E1235" s="4" t="n">
        <v>210000</v>
      </c>
    </row>
    <row r="1236">
      <c r="A1236" s="3" t="inlineStr">
        <is>
          <t>56</t>
        </is>
      </c>
      <c r="B1236" s="3" t="n">
        <v/>
      </c>
      <c r="C1236" s="3" t="inlineStr">
        <is>
          <t>Lantai Parket  Jati grade B   1,2x5x30 cm</t>
        </is>
      </c>
      <c r="D1236" s="3" t="inlineStr">
        <is>
          <t>m2</t>
        </is>
      </c>
      <c r="E1236" s="4" t="n">
        <v>250000</v>
      </c>
    </row>
    <row r="1237">
      <c r="A1237" s="3" t="inlineStr">
        <is>
          <t>57</t>
        </is>
      </c>
      <c r="B1237" s="3" t="n">
        <v/>
      </c>
      <c r="C1237" s="3" t="inlineStr">
        <is>
          <t>Lantai Parket  Jati grade C   1,2x5x20cm</t>
        </is>
      </c>
      <c r="D1237" s="3" t="inlineStr">
        <is>
          <t>m2</t>
        </is>
      </c>
      <c r="E1237" s="4" t="n">
        <v>140000</v>
      </c>
    </row>
    <row r="1238">
      <c r="A1238" s="3" t="inlineStr">
        <is>
          <t>58</t>
        </is>
      </c>
      <c r="B1238" s="3" t="n">
        <v/>
      </c>
      <c r="C1238" s="3" t="inlineStr">
        <is>
          <t>Lantai Parket  Jati grade C   1,2x5x25 cm</t>
        </is>
      </c>
      <c r="D1238" s="3" t="inlineStr">
        <is>
          <t>m2</t>
        </is>
      </c>
      <c r="E1238" s="4" t="n">
        <v>150000</v>
      </c>
    </row>
    <row r="1239">
      <c r="A1239" s="3" t="inlineStr">
        <is>
          <t>59</t>
        </is>
      </c>
      <c r="B1239" s="3" t="n">
        <v/>
      </c>
      <c r="C1239" s="3" t="inlineStr">
        <is>
          <t>Lantai Parket  Jati grade C   1,2x5x30 cm</t>
        </is>
      </c>
      <c r="D1239" s="3" t="inlineStr">
        <is>
          <t>m2</t>
        </is>
      </c>
      <c r="E1239" s="4" t="n">
        <v>160000</v>
      </c>
    </row>
    <row r="1240">
      <c r="A1240" s="3" t="inlineStr">
        <is>
          <t>60</t>
        </is>
      </c>
      <c r="B1240" s="3" t="n">
        <v/>
      </c>
      <c r="C1240" s="3" t="inlineStr">
        <is>
          <t>Lem</t>
        </is>
      </c>
      <c r="D1240" s="3" t="inlineStr">
        <is>
          <t>kg</t>
        </is>
      </c>
      <c r="E1240" s="4" t="n">
        <v>60000</v>
      </c>
    </row>
    <row r="1241">
      <c r="A1241" s="3" t="inlineStr">
        <is>
          <t>61</t>
        </is>
      </c>
      <c r="B1241" s="3" t="n">
        <v/>
      </c>
      <c r="C1241" s="3" t="inlineStr">
        <is>
          <t>Marmer</t>
        </is>
      </c>
      <c r="D1241" s="3" t="inlineStr">
        <is>
          <t>buah</t>
        </is>
      </c>
      <c r="E1241" s="4" t="n">
        <v>800000</v>
      </c>
    </row>
    <row r="1242">
      <c r="A1242" s="3" t="inlineStr">
        <is>
          <t>62</t>
        </is>
      </c>
      <c r="B1242" s="3" t="n">
        <v/>
      </c>
      <c r="C1242" s="3" t="inlineStr">
        <is>
          <t>Marmer</t>
        </is>
      </c>
      <c r="D1242" s="3" t="inlineStr">
        <is>
          <t>m2</t>
        </is>
      </c>
      <c r="E1242" s="4" t="n">
        <v>492600</v>
      </c>
    </row>
    <row r="1243">
      <c r="A1243" s="3" t="n">
        <v/>
      </c>
      <c r="B1243" s="3" t="n">
        <v/>
      </c>
      <c r="C1243" s="3" t="inlineStr">
        <is>
          <t>Marmer Graphir 10x10 cm</t>
        </is>
      </c>
      <c r="D1243" s="3" t="inlineStr">
        <is>
          <t>buah</t>
        </is>
      </c>
      <c r="E1243" s="4" t="n">
        <v>20000</v>
      </c>
    </row>
    <row r="1244">
      <c r="A1244" s="3" t="n">
        <v/>
      </c>
      <c r="B1244" s="3" t="n">
        <v/>
      </c>
      <c r="C1244" s="3" t="inlineStr">
        <is>
          <t>Marmer Graphir 12x12 cm</t>
        </is>
      </c>
      <c r="D1244" s="3" t="inlineStr">
        <is>
          <t>buah</t>
        </is>
      </c>
      <c r="E1244" s="4" t="n">
        <v>25000</v>
      </c>
    </row>
    <row r="1245">
      <c r="A1245" s="3" t="n">
        <v/>
      </c>
      <c r="B1245" s="3" t="n">
        <v/>
      </c>
      <c r="C1245" s="3" t="inlineStr">
        <is>
          <t>Pen Kuningan titik acuan</t>
        </is>
      </c>
      <c r="D1245" s="3" t="inlineStr">
        <is>
          <t xml:space="preserve">buah </t>
        </is>
      </c>
      <c r="E1245" s="4" t="n">
        <v>27000</v>
      </c>
    </row>
    <row r="1246">
      <c r="A1246" s="3" t="inlineStr">
        <is>
          <t>63</t>
        </is>
      </c>
      <c r="B1246" s="3" t="n">
        <v/>
      </c>
      <c r="C1246" s="3" t="inlineStr">
        <is>
          <t>Mozaik porselen 10 x  20 cm</t>
        </is>
      </c>
      <c r="D1246" s="3" t="inlineStr">
        <is>
          <t>m2</t>
        </is>
      </c>
      <c r="E1246" s="4" t="n">
        <v>73400</v>
      </c>
    </row>
    <row r="1247">
      <c r="A1247" s="3" t="inlineStr">
        <is>
          <t>64</t>
        </is>
      </c>
      <c r="B1247" s="3" t="n">
        <v/>
      </c>
      <c r="C1247" s="3" t="inlineStr">
        <is>
          <t>Mozaik porselen 15 x  15 cm</t>
        </is>
      </c>
      <c r="D1247" s="3" t="inlineStr">
        <is>
          <t>m2</t>
        </is>
      </c>
      <c r="E1247" s="4" t="n">
        <v>74400</v>
      </c>
    </row>
    <row r="1248">
      <c r="A1248" s="3" t="inlineStr">
        <is>
          <t>65</t>
        </is>
      </c>
      <c r="B1248" s="3" t="n">
        <v/>
      </c>
      <c r="C1248" s="3" t="inlineStr">
        <is>
          <t>Mozaik porselen 20 x  20 cm</t>
        </is>
      </c>
      <c r="D1248" s="3" t="inlineStr">
        <is>
          <t>m2</t>
        </is>
      </c>
      <c r="E1248" s="4" t="n">
        <v>75400</v>
      </c>
    </row>
    <row r="1249">
      <c r="A1249" s="3" t="inlineStr">
        <is>
          <t>66</t>
        </is>
      </c>
      <c r="B1249" s="3" t="n">
        <v/>
      </c>
      <c r="C1249" s="3" t="inlineStr">
        <is>
          <t>Mozaik porselen 20 x  25 cm</t>
        </is>
      </c>
      <c r="D1249" s="3" t="inlineStr">
        <is>
          <t>m2</t>
        </is>
      </c>
      <c r="E1249" s="4" t="n">
        <v>75400</v>
      </c>
    </row>
    <row r="1250">
      <c r="A1250" s="3" t="inlineStr">
        <is>
          <t>67</t>
        </is>
      </c>
      <c r="B1250" s="3" t="n">
        <v/>
      </c>
      <c r="C1250" s="3" t="inlineStr">
        <is>
          <t>Parquet kayu solid</t>
        </is>
      </c>
      <c r="D1250" s="3" t="inlineStr">
        <is>
          <t>m2</t>
        </is>
      </c>
      <c r="E1250" s="4" t="n">
        <v>306600</v>
      </c>
    </row>
    <row r="1251">
      <c r="A1251" s="3" t="inlineStr">
        <is>
          <t>68</t>
        </is>
      </c>
      <c r="B1251" s="3" t="n">
        <v/>
      </c>
      <c r="C1251" s="3" t="inlineStr">
        <is>
          <t>Plint  Kayu 10 cm</t>
        </is>
      </c>
      <c r="D1251" s="3" t="inlineStr">
        <is>
          <t>buah</t>
        </is>
      </c>
      <c r="E1251" s="4" t="n">
        <v>85000</v>
      </c>
    </row>
    <row r="1252">
      <c r="A1252" s="3" t="inlineStr">
        <is>
          <t>69</t>
        </is>
      </c>
      <c r="B1252" s="3" t="n">
        <v/>
      </c>
      <c r="C1252" s="3" t="inlineStr">
        <is>
          <t>Plint  keramik 10 x  20 cm</t>
        </is>
      </c>
      <c r="D1252" s="3" t="inlineStr">
        <is>
          <t>buah</t>
        </is>
      </c>
      <c r="E1252" s="4" t="n">
        <v>8200</v>
      </c>
    </row>
    <row r="1253">
      <c r="A1253" s="3" t="inlineStr">
        <is>
          <t>70</t>
        </is>
      </c>
      <c r="B1253" s="3" t="n">
        <v/>
      </c>
      <c r="C1253" s="3" t="inlineStr">
        <is>
          <t>Plint  keramik 5 x  20 cm</t>
        </is>
      </c>
      <c r="D1253" s="3" t="inlineStr">
        <is>
          <t>buah</t>
        </is>
      </c>
      <c r="E1253" s="4" t="n">
        <v>3400</v>
      </c>
    </row>
    <row r="1254">
      <c r="A1254" s="3" t="inlineStr">
        <is>
          <t>71</t>
        </is>
      </c>
      <c r="B1254" s="3" t="n">
        <v/>
      </c>
      <c r="C1254" s="3" t="inlineStr">
        <is>
          <t>Plint granit 10 cm x 40 cm</t>
        </is>
      </c>
      <c r="D1254" s="3" t="inlineStr">
        <is>
          <t>buah</t>
        </is>
      </c>
      <c r="E1254" s="4" t="n">
        <v>24000</v>
      </c>
    </row>
    <row r="1255">
      <c r="A1255" s="3" t="inlineStr">
        <is>
          <t>72</t>
        </is>
      </c>
      <c r="B1255" s="3" t="n">
        <v/>
      </c>
      <c r="C1255" s="3" t="inlineStr">
        <is>
          <t>Plint granit 10cm x 30cm</t>
        </is>
      </c>
      <c r="D1255" s="3" t="inlineStr">
        <is>
          <t>buah</t>
        </is>
      </c>
      <c r="E1255" s="4" t="n">
        <v>22600</v>
      </c>
    </row>
    <row r="1256">
      <c r="A1256" s="3" t="inlineStr">
        <is>
          <t>73</t>
        </is>
      </c>
      <c r="B1256" s="3" t="n">
        <v/>
      </c>
      <c r="C1256" s="3" t="inlineStr">
        <is>
          <t>Plint homogenous tile uk. 10-15x30 cm</t>
        </is>
      </c>
      <c r="D1256" s="3" t="inlineStr">
        <is>
          <t>buah</t>
        </is>
      </c>
      <c r="E1256" s="4" t="n">
        <v>5000</v>
      </c>
    </row>
    <row r="1257">
      <c r="A1257" s="3" t="inlineStr">
        <is>
          <t>74</t>
        </is>
      </c>
      <c r="B1257" s="3" t="n">
        <v/>
      </c>
      <c r="C1257" s="3" t="inlineStr">
        <is>
          <t>Plint homogenous tile uk. 10-15x40 cm</t>
        </is>
      </c>
      <c r="D1257" s="3" t="inlineStr">
        <is>
          <t>buah</t>
        </is>
      </c>
      <c r="E1257" s="4" t="n">
        <v>7000</v>
      </c>
    </row>
    <row r="1258">
      <c r="A1258" s="3" t="inlineStr">
        <is>
          <t>75</t>
        </is>
      </c>
      <c r="B1258" s="3" t="n">
        <v/>
      </c>
      <c r="C1258" s="3" t="inlineStr">
        <is>
          <t>Plint homogenous tile uk. 10-15x60 cm</t>
        </is>
      </c>
      <c r="D1258" s="3" t="inlineStr">
        <is>
          <t>buah</t>
        </is>
      </c>
      <c r="E1258" s="4" t="n">
        <v>10000</v>
      </c>
    </row>
    <row r="1259">
      <c r="A1259" s="3" t="n">
        <v/>
      </c>
      <c r="B1259" s="3" t="n">
        <v/>
      </c>
      <c r="C1259" s="3" t="inlineStr">
        <is>
          <t>Plint homogenous tile unpolish uk. 10-15x30 cm</t>
        </is>
      </c>
      <c r="D1259" s="3" t="inlineStr">
        <is>
          <t>buah</t>
        </is>
      </c>
      <c r="E1259" s="4" t="n">
        <v>7000</v>
      </c>
    </row>
    <row r="1260">
      <c r="A1260" s="3" t="n">
        <v/>
      </c>
      <c r="B1260" s="3" t="n">
        <v/>
      </c>
      <c r="C1260" s="3" t="inlineStr">
        <is>
          <t>Plint homogenous tile unpolish uk. 10-15x40 cm</t>
        </is>
      </c>
      <c r="D1260" s="3" t="inlineStr">
        <is>
          <t>buah</t>
        </is>
      </c>
      <c r="E1260" s="4" t="n">
        <v>9000</v>
      </c>
    </row>
    <row r="1261">
      <c r="A1261" s="3" t="n">
        <v/>
      </c>
      <c r="B1261" s="3" t="n">
        <v/>
      </c>
      <c r="C1261" s="3" t="inlineStr">
        <is>
          <t>Plint homogenous tile unpolish uk. 10-15x60 cm</t>
        </is>
      </c>
      <c r="D1261" s="3" t="inlineStr">
        <is>
          <t>buah</t>
        </is>
      </c>
      <c r="E1261" s="4" t="n">
        <v>13000</v>
      </c>
    </row>
    <row r="1262">
      <c r="A1262" s="3" t="inlineStr">
        <is>
          <t>76</t>
        </is>
      </c>
      <c r="B1262" s="3" t="n">
        <v/>
      </c>
      <c r="C1262" s="3" t="inlineStr">
        <is>
          <t>Plint internal cove uk. 5x5x20 cm</t>
        </is>
      </c>
      <c r="D1262" s="3" t="inlineStr">
        <is>
          <t>buah</t>
        </is>
      </c>
      <c r="E1262" s="4" t="n">
        <v>5000</v>
      </c>
    </row>
    <row r="1263">
      <c r="A1263" s="3" t="inlineStr">
        <is>
          <t>77</t>
        </is>
      </c>
      <c r="B1263" s="3" t="n">
        <v/>
      </c>
      <c r="C1263" s="3" t="inlineStr">
        <is>
          <t>Plint keramik  10  x 30  cm</t>
        </is>
      </c>
      <c r="D1263" s="3" t="inlineStr">
        <is>
          <t>buah</t>
        </is>
      </c>
      <c r="E1263" s="4" t="n">
        <v>15300</v>
      </c>
    </row>
    <row r="1264">
      <c r="A1264" s="3" t="inlineStr">
        <is>
          <t>78</t>
        </is>
      </c>
      <c r="B1264" s="3" t="n">
        <v/>
      </c>
      <c r="C1264" s="3" t="inlineStr">
        <is>
          <t>Plint keramik uk. 10-15x20 cm</t>
        </is>
      </c>
      <c r="D1264" s="3" t="inlineStr">
        <is>
          <t>buah</t>
        </is>
      </c>
      <c r="E1264" s="4" t="n">
        <v>2000</v>
      </c>
    </row>
    <row r="1265">
      <c r="A1265" s="3" t="inlineStr">
        <is>
          <t>79</t>
        </is>
      </c>
      <c r="B1265" s="3" t="n">
        <v/>
      </c>
      <c r="C1265" s="3" t="inlineStr">
        <is>
          <t>Plint keramik uk. 10-15x30 cm</t>
        </is>
      </c>
      <c r="D1265" s="3" t="inlineStr">
        <is>
          <t>buah</t>
        </is>
      </c>
      <c r="E1265" s="4" t="n">
        <v>3000</v>
      </c>
    </row>
    <row r="1266">
      <c r="A1266" s="3" t="inlineStr">
        <is>
          <t>80</t>
        </is>
      </c>
      <c r="B1266" s="3" t="n">
        <v/>
      </c>
      <c r="C1266" s="3" t="inlineStr">
        <is>
          <t>Plint keramik uk. 10-15x40 cm</t>
        </is>
      </c>
      <c r="D1266" s="3" t="inlineStr">
        <is>
          <t>buah</t>
        </is>
      </c>
      <c r="E1266" s="4" t="n">
        <v>4000</v>
      </c>
    </row>
    <row r="1267">
      <c r="A1267" s="3" t="inlineStr">
        <is>
          <t>81</t>
        </is>
      </c>
      <c r="B1267" s="3" t="n">
        <v/>
      </c>
      <c r="C1267" s="3" t="inlineStr">
        <is>
          <t>Plint keramik uk. 10-15x60 cm</t>
        </is>
      </c>
      <c r="D1267" s="3" t="inlineStr">
        <is>
          <t>buah</t>
        </is>
      </c>
      <c r="E1267" s="4" t="n">
        <v>5000</v>
      </c>
    </row>
    <row r="1268">
      <c r="A1268" s="3" t="inlineStr">
        <is>
          <t>82</t>
        </is>
      </c>
      <c r="B1268" s="3" t="n">
        <v/>
      </c>
      <c r="C1268" s="3" t="inlineStr">
        <is>
          <t>Plint teralux kerang uk. 10-15x30 cm</t>
        </is>
      </c>
      <c r="D1268" s="3" t="inlineStr">
        <is>
          <t>buah</t>
        </is>
      </c>
      <c r="E1268" s="4" t="n">
        <v>2000</v>
      </c>
    </row>
    <row r="1269">
      <c r="A1269" s="3" t="inlineStr">
        <is>
          <t>83</t>
        </is>
      </c>
      <c r="B1269" s="3" t="n">
        <v/>
      </c>
      <c r="C1269" s="3" t="inlineStr">
        <is>
          <t>Plint teralux kerang uk. 10-15x40 cm</t>
        </is>
      </c>
      <c r="D1269" s="3" t="inlineStr">
        <is>
          <t>buah</t>
        </is>
      </c>
      <c r="E1269" s="4" t="n">
        <v>3000</v>
      </c>
    </row>
    <row r="1270">
      <c r="A1270" s="3" t="inlineStr">
        <is>
          <t>84</t>
        </is>
      </c>
      <c r="B1270" s="3" t="n">
        <v/>
      </c>
      <c r="C1270" s="3" t="inlineStr">
        <is>
          <t>Plint teralux kerang uk. 10-15x60 cm</t>
        </is>
      </c>
      <c r="D1270" s="3" t="inlineStr">
        <is>
          <t>buah</t>
        </is>
      </c>
      <c r="E1270" s="4" t="n">
        <v>4000</v>
      </c>
    </row>
    <row r="1271">
      <c r="A1271" s="3" t="inlineStr">
        <is>
          <t>85</t>
        </is>
      </c>
      <c r="B1271" s="3" t="n">
        <v/>
      </c>
      <c r="C1271" s="3" t="inlineStr">
        <is>
          <t>Plint teralux marmer uk. 10-15x30 cm</t>
        </is>
      </c>
      <c r="D1271" s="3" t="inlineStr">
        <is>
          <t>buah</t>
        </is>
      </c>
      <c r="E1271" s="4" t="n">
        <v>2500</v>
      </c>
    </row>
    <row r="1272">
      <c r="A1272" s="3" t="inlineStr">
        <is>
          <t>86</t>
        </is>
      </c>
      <c r="B1272" s="3" t="n">
        <v/>
      </c>
      <c r="C1272" s="3" t="inlineStr">
        <is>
          <t>Plint teralux marmer uk. 10-15x40 cm</t>
        </is>
      </c>
      <c r="D1272" s="3" t="inlineStr">
        <is>
          <t>buah</t>
        </is>
      </c>
      <c r="E1272" s="4" t="n">
        <v>3000</v>
      </c>
    </row>
    <row r="1273">
      <c r="A1273" s="3" t="inlineStr">
        <is>
          <t>87</t>
        </is>
      </c>
      <c r="B1273" s="3" t="n">
        <v/>
      </c>
      <c r="C1273" s="3" t="inlineStr">
        <is>
          <t>Plint teralux marmer uk. 10-15x60 cm</t>
        </is>
      </c>
      <c r="D1273" s="3" t="inlineStr">
        <is>
          <t>buah</t>
        </is>
      </c>
      <c r="E1273" s="4" t="n">
        <v>4000</v>
      </c>
    </row>
    <row r="1274">
      <c r="A1274" s="3" t="inlineStr">
        <is>
          <t>88</t>
        </is>
      </c>
      <c r="B1274" s="3" t="n">
        <v/>
      </c>
      <c r="C1274" s="3" t="inlineStr">
        <is>
          <t>Plint ubin granit uk. 10-15x30 cm</t>
        </is>
      </c>
      <c r="D1274" s="3" t="inlineStr">
        <is>
          <t>buah</t>
        </is>
      </c>
      <c r="E1274" s="4" t="n">
        <v>6000</v>
      </c>
    </row>
    <row r="1275">
      <c r="A1275" s="3" t="inlineStr">
        <is>
          <t>89</t>
        </is>
      </c>
      <c r="B1275" s="3" t="n">
        <v/>
      </c>
      <c r="C1275" s="3" t="inlineStr">
        <is>
          <t>Plint ubin granit uk. 10-15x40 cm</t>
        </is>
      </c>
      <c r="D1275" s="3" t="inlineStr">
        <is>
          <t>buah</t>
        </is>
      </c>
      <c r="E1275" s="4" t="n">
        <v>8000</v>
      </c>
    </row>
    <row r="1276">
      <c r="A1276" s="3" t="inlineStr">
        <is>
          <t>90</t>
        </is>
      </c>
      <c r="B1276" s="3" t="n">
        <v/>
      </c>
      <c r="C1276" s="3" t="inlineStr">
        <is>
          <t>Plint ubin granit uk. 10-15x60 cm</t>
        </is>
      </c>
      <c r="D1276" s="3" t="inlineStr">
        <is>
          <t>buah</t>
        </is>
      </c>
      <c r="E1276" s="4" t="n">
        <v>10000</v>
      </c>
    </row>
    <row r="1277">
      <c r="A1277" s="3" t="inlineStr">
        <is>
          <t>91</t>
        </is>
      </c>
      <c r="B1277" s="3" t="n">
        <v/>
      </c>
      <c r="C1277" s="3" t="inlineStr">
        <is>
          <t>Plint ubin PC abu-abu uk. 10-15x20 cm</t>
        </is>
      </c>
      <c r="D1277" s="3" t="inlineStr">
        <is>
          <t>buah</t>
        </is>
      </c>
      <c r="E1277" s="4" t="n">
        <v>1000</v>
      </c>
    </row>
    <row r="1278">
      <c r="A1278" s="3" t="inlineStr">
        <is>
          <t>92</t>
        </is>
      </c>
      <c r="B1278" s="3" t="n">
        <v/>
      </c>
      <c r="C1278" s="3" t="inlineStr">
        <is>
          <t>Plint ubin PC abu-abu uk. 10-15x30 cm</t>
        </is>
      </c>
      <c r="D1278" s="3" t="inlineStr">
        <is>
          <t>buah</t>
        </is>
      </c>
      <c r="E1278" s="4" t="n">
        <v>1500</v>
      </c>
    </row>
    <row r="1279">
      <c r="A1279" s="3" t="inlineStr">
        <is>
          <t>93</t>
        </is>
      </c>
      <c r="B1279" s="3" t="n">
        <v/>
      </c>
      <c r="C1279" s="3" t="inlineStr">
        <is>
          <t>Plint ubin PC abu-abu uk. 10-15x40 cm</t>
        </is>
      </c>
      <c r="D1279" s="3" t="inlineStr">
        <is>
          <t>buah</t>
        </is>
      </c>
      <c r="E1279" s="4" t="n">
        <v>2000</v>
      </c>
    </row>
    <row r="1280">
      <c r="A1280" s="3" t="inlineStr">
        <is>
          <t>94</t>
        </is>
      </c>
      <c r="B1280" s="3" t="n">
        <v/>
      </c>
      <c r="C1280" s="3" t="inlineStr">
        <is>
          <t>Plint ubin PC abu-abu uk. 10-15x60 cm</t>
        </is>
      </c>
      <c r="D1280" s="3" t="inlineStr">
        <is>
          <t>buah</t>
        </is>
      </c>
      <c r="E1280" s="4" t="n">
        <v>2500</v>
      </c>
    </row>
    <row r="1281">
      <c r="A1281" s="3" t="inlineStr">
        <is>
          <t>95</t>
        </is>
      </c>
      <c r="B1281" s="3" t="n">
        <v/>
      </c>
      <c r="C1281" s="3" t="inlineStr">
        <is>
          <t>Plint ubin teraso uk. 10-15x30 cm</t>
        </is>
      </c>
      <c r="D1281" s="3" t="inlineStr">
        <is>
          <t>buah</t>
        </is>
      </c>
      <c r="E1281" s="4" t="n">
        <v>4000</v>
      </c>
    </row>
    <row r="1282">
      <c r="A1282" s="3" t="inlineStr">
        <is>
          <t>96</t>
        </is>
      </c>
      <c r="B1282" s="3" t="n">
        <v/>
      </c>
      <c r="C1282" s="3" t="inlineStr">
        <is>
          <t>Plint ubin teraso uk. 10-15x40 cm</t>
        </is>
      </c>
      <c r="D1282" s="3" t="inlineStr">
        <is>
          <t>buah</t>
        </is>
      </c>
      <c r="E1282" s="4" t="n">
        <v>6000</v>
      </c>
    </row>
    <row r="1283">
      <c r="A1283" s="3" t="inlineStr">
        <is>
          <t>97</t>
        </is>
      </c>
      <c r="B1283" s="3" t="n">
        <v/>
      </c>
      <c r="C1283" s="3" t="inlineStr">
        <is>
          <t>Plint ubin warna uk. 10-15x20 cm</t>
        </is>
      </c>
      <c r="D1283" s="3" t="inlineStr">
        <is>
          <t>buah</t>
        </is>
      </c>
      <c r="E1283" s="4" t="n">
        <v>1500</v>
      </c>
    </row>
    <row r="1284">
      <c r="A1284" s="3" t="inlineStr">
        <is>
          <t>98</t>
        </is>
      </c>
      <c r="B1284" s="3" t="n">
        <v/>
      </c>
      <c r="C1284" s="3" t="inlineStr">
        <is>
          <t>Plint ubin warna uk. 10-15x30 cm</t>
        </is>
      </c>
      <c r="D1284" s="3" t="inlineStr">
        <is>
          <t>buah</t>
        </is>
      </c>
      <c r="E1284" s="4" t="n">
        <v>2000</v>
      </c>
    </row>
    <row r="1285">
      <c r="A1285" s="3" t="inlineStr">
        <is>
          <t>99</t>
        </is>
      </c>
      <c r="B1285" s="3" t="n">
        <v/>
      </c>
      <c r="C1285" s="3" t="inlineStr">
        <is>
          <t>Plint ubin warna uk. 10-15x40 cm</t>
        </is>
      </c>
      <c r="D1285" s="3" t="inlineStr">
        <is>
          <t>buah</t>
        </is>
      </c>
      <c r="E1285" s="4" t="n">
        <v>3000</v>
      </c>
    </row>
    <row r="1286">
      <c r="A1286" s="3" t="inlineStr">
        <is>
          <t>100</t>
        </is>
      </c>
      <c r="B1286" s="3" t="n">
        <v/>
      </c>
      <c r="C1286" s="3" t="inlineStr">
        <is>
          <t>Plint ubin warna uk. 10-15x60 cm</t>
        </is>
      </c>
      <c r="D1286" s="3" t="inlineStr">
        <is>
          <t>buah</t>
        </is>
      </c>
      <c r="E1286" s="4" t="n">
        <v>4500</v>
      </c>
    </row>
    <row r="1287">
      <c r="A1287" s="3" t="inlineStr">
        <is>
          <t>101</t>
        </is>
      </c>
      <c r="B1287" s="3" t="n">
        <v/>
      </c>
      <c r="C1287" s="3" t="inlineStr">
        <is>
          <t>Porselen 10x20 cm</t>
        </is>
      </c>
      <c r="D1287" s="3" t="inlineStr">
        <is>
          <t>buah</t>
        </is>
      </c>
      <c r="E1287" s="4" t="n">
        <v>2000</v>
      </c>
    </row>
    <row r="1288">
      <c r="A1288" s="3" t="inlineStr">
        <is>
          <t>102</t>
        </is>
      </c>
      <c r="B1288" s="3" t="n">
        <v/>
      </c>
      <c r="C1288" s="3" t="inlineStr">
        <is>
          <t>Porselen 11x11 cm</t>
        </is>
      </c>
      <c r="D1288" s="3" t="inlineStr">
        <is>
          <t>buah</t>
        </is>
      </c>
      <c r="E1288" s="4" t="n">
        <v>1000</v>
      </c>
    </row>
    <row r="1289">
      <c r="A1289" s="3" t="inlineStr">
        <is>
          <t>103</t>
        </is>
      </c>
      <c r="B1289" s="3" t="n">
        <v/>
      </c>
      <c r="C1289" s="3" t="inlineStr">
        <is>
          <t>Porselen 11x11 cm (dus)</t>
        </is>
      </c>
      <c r="D1289" s="3" t="inlineStr">
        <is>
          <t>dus</t>
        </is>
      </c>
      <c r="E1289" s="4" t="n">
        <v>83000</v>
      </c>
    </row>
    <row r="1290">
      <c r="A1290" s="3" t="inlineStr">
        <is>
          <t>104</t>
        </is>
      </c>
      <c r="B1290" s="3" t="n">
        <v/>
      </c>
      <c r="C1290" s="3" t="inlineStr">
        <is>
          <t>Porselen 20x20 cm</t>
        </is>
      </c>
      <c r="D1290" s="3" t="inlineStr">
        <is>
          <t>buah</t>
        </is>
      </c>
      <c r="E1290" s="4" t="n">
        <v>4000</v>
      </c>
    </row>
    <row r="1291">
      <c r="A1291" s="3" t="inlineStr">
        <is>
          <t>105</t>
        </is>
      </c>
      <c r="B1291" s="3" t="n">
        <v/>
      </c>
      <c r="C1291" s="3" t="inlineStr">
        <is>
          <t>Tangga Papan</t>
        </is>
      </c>
      <c r="D1291" s="3" t="inlineStr">
        <is>
          <t>m2</t>
        </is>
      </c>
      <c r="E1291" s="4" t="n">
        <v>160000</v>
      </c>
    </row>
    <row r="1292">
      <c r="A1292" s="3" t="inlineStr">
        <is>
          <t>106</t>
        </is>
      </c>
      <c r="B1292" s="3" t="n">
        <v/>
      </c>
      <c r="C1292" s="3" t="inlineStr">
        <is>
          <t>Tangga Parquet  /  Flooring</t>
        </is>
      </c>
      <c r="D1292" s="3" t="inlineStr">
        <is>
          <t>m2</t>
        </is>
      </c>
      <c r="E1292" s="4" t="n">
        <v>180000</v>
      </c>
    </row>
    <row r="1293">
      <c r="A1293" s="3" t="inlineStr">
        <is>
          <t>107</t>
        </is>
      </c>
      <c r="B1293" s="3" t="n">
        <v/>
      </c>
      <c r="C1293" s="3" t="inlineStr">
        <is>
          <t>Tegel plint, PC  abu-abu 15 x  20 cm</t>
        </is>
      </c>
      <c r="D1293" s="3" t="inlineStr">
        <is>
          <t>buah</t>
        </is>
      </c>
      <c r="E1293" s="4" t="n">
        <v>6100</v>
      </c>
    </row>
    <row r="1294">
      <c r="A1294" s="3" t="inlineStr">
        <is>
          <t>108</t>
        </is>
      </c>
      <c r="B1294" s="3" t="n">
        <v/>
      </c>
      <c r="C1294" s="3" t="inlineStr">
        <is>
          <t>Tegel plint, PC  warna 10 x  20 cm</t>
        </is>
      </c>
      <c r="D1294" s="3" t="inlineStr">
        <is>
          <t>buah</t>
        </is>
      </c>
      <c r="E1294" s="4" t="n">
        <v>5300</v>
      </c>
    </row>
    <row r="1295">
      <c r="A1295" s="3" t="inlineStr">
        <is>
          <t>109</t>
        </is>
      </c>
      <c r="B1295" s="3" t="n">
        <v/>
      </c>
      <c r="C1295" s="3" t="inlineStr">
        <is>
          <t>Teraso cor</t>
        </is>
      </c>
      <c r="D1295" s="3" t="inlineStr">
        <is>
          <t>m3</t>
        </is>
      </c>
      <c r="E1295" s="4" t="n">
        <v>3500000</v>
      </c>
    </row>
    <row r="1296">
      <c r="A1296" s="3" t="inlineStr">
        <is>
          <t>110</t>
        </is>
      </c>
      <c r="B1296" s="3" t="n">
        <v/>
      </c>
      <c r="C1296" s="3" t="inlineStr">
        <is>
          <t>Ubin granit 30x30 cm</t>
        </is>
      </c>
      <c r="D1296" s="3" t="inlineStr">
        <is>
          <t>buah</t>
        </is>
      </c>
      <c r="E1296" s="4" t="n">
        <v>14200</v>
      </c>
    </row>
    <row r="1297">
      <c r="A1297" s="3" t="inlineStr">
        <is>
          <t>111</t>
        </is>
      </c>
      <c r="B1297" s="3" t="n">
        <v/>
      </c>
      <c r="C1297" s="3" t="inlineStr">
        <is>
          <t>Ubin granit 40x40 cm</t>
        </is>
      </c>
      <c r="D1297" s="3" t="inlineStr">
        <is>
          <t>buah</t>
        </is>
      </c>
      <c r="E1297" s="4" t="n">
        <v>20000</v>
      </c>
    </row>
    <row r="1298">
      <c r="A1298" s="3" t="inlineStr">
        <is>
          <t>112</t>
        </is>
      </c>
      <c r="B1298" s="3" t="n">
        <v/>
      </c>
      <c r="C1298" s="3" t="inlineStr">
        <is>
          <t>Ubin granit 60x60 cm</t>
        </is>
      </c>
      <c r="D1298" s="3" t="inlineStr">
        <is>
          <t>buah</t>
        </is>
      </c>
      <c r="E1298" s="4" t="n">
        <v>30000</v>
      </c>
    </row>
    <row r="1299">
      <c r="A1299" s="3" t="inlineStr">
        <is>
          <t>113</t>
        </is>
      </c>
      <c r="B1299" s="3" t="n">
        <v/>
      </c>
      <c r="C1299" s="3" t="inlineStr">
        <is>
          <t>Ubin PC abu-abu 20x20 cm</t>
        </is>
      </c>
      <c r="D1299" s="3" t="inlineStr">
        <is>
          <t>buah</t>
        </is>
      </c>
      <c r="E1299" s="4" t="n">
        <v>2000</v>
      </c>
    </row>
    <row r="1300">
      <c r="A1300" s="3" t="inlineStr">
        <is>
          <t>114</t>
        </is>
      </c>
      <c r="B1300" s="3" t="n">
        <v/>
      </c>
      <c r="C1300" s="3" t="inlineStr">
        <is>
          <t>Ubin PC abu-abu 30x30 cm</t>
        </is>
      </c>
      <c r="D1300" s="3" t="inlineStr">
        <is>
          <t>buah</t>
        </is>
      </c>
      <c r="E1300" s="4" t="n">
        <v>3400</v>
      </c>
    </row>
    <row r="1301">
      <c r="A1301" s="3" t="inlineStr">
        <is>
          <t>115</t>
        </is>
      </c>
      <c r="B1301" s="3" t="n">
        <v/>
      </c>
      <c r="C1301" s="3" t="inlineStr">
        <is>
          <t>Ubin PC abu-abu 40x40 cm</t>
        </is>
      </c>
      <c r="D1301" s="3" t="inlineStr">
        <is>
          <t>buah</t>
        </is>
      </c>
      <c r="E1301" s="4" t="n">
        <v>4600</v>
      </c>
    </row>
    <row r="1302">
      <c r="A1302" s="3" t="inlineStr">
        <is>
          <t>116</t>
        </is>
      </c>
      <c r="B1302" s="3" t="n">
        <v/>
      </c>
      <c r="C1302" s="3" t="inlineStr">
        <is>
          <t>Ubin PC abu-abu 60x60 cm</t>
        </is>
      </c>
      <c r="D1302" s="3" t="inlineStr">
        <is>
          <t>buah</t>
        </is>
      </c>
      <c r="E1302" s="4" t="n">
        <v>6000</v>
      </c>
    </row>
    <row r="1303">
      <c r="A1303" s="3" t="inlineStr">
        <is>
          <t>117</t>
        </is>
      </c>
      <c r="B1303" s="3" t="n">
        <v/>
      </c>
      <c r="C1303" s="3" t="inlineStr">
        <is>
          <t>Ubin porselen lokal 11 x  11 putih</t>
        </is>
      </c>
      <c r="D1303" s="3" t="inlineStr">
        <is>
          <t>dos</t>
        </is>
      </c>
      <c r="E1303" s="4" t="n">
        <v>43800</v>
      </c>
    </row>
    <row r="1304">
      <c r="A1304" s="3" t="inlineStr">
        <is>
          <t>118</t>
        </is>
      </c>
      <c r="B1304" s="3" t="n">
        <v/>
      </c>
      <c r="C1304" s="3" t="inlineStr">
        <is>
          <t>Ubin porselen lokal 11 x  11 warna</t>
        </is>
      </c>
      <c r="D1304" s="3" t="inlineStr">
        <is>
          <t>dos</t>
        </is>
      </c>
      <c r="E1304" s="4" t="n">
        <v>46900</v>
      </c>
    </row>
    <row r="1305">
      <c r="A1305" s="3" t="inlineStr">
        <is>
          <t>119</t>
        </is>
      </c>
      <c r="B1305" s="3" t="n">
        <v/>
      </c>
      <c r="C1305" s="3" t="inlineStr">
        <is>
          <t>Ubin porselen lokal 15 x  15 putih</t>
        </is>
      </c>
      <c r="D1305" s="3" t="inlineStr">
        <is>
          <t>dos</t>
        </is>
      </c>
      <c r="E1305" s="4" t="n">
        <v>48400</v>
      </c>
    </row>
    <row r="1306">
      <c r="A1306" s="3" t="inlineStr">
        <is>
          <t>120</t>
        </is>
      </c>
      <c r="B1306" s="3" t="n">
        <v/>
      </c>
      <c r="C1306" s="3" t="inlineStr">
        <is>
          <t>Ubin porselen lokal 15 x  15 warna</t>
        </is>
      </c>
      <c r="D1306" s="3" t="inlineStr">
        <is>
          <t>dos</t>
        </is>
      </c>
      <c r="E1306" s="4" t="n">
        <v>49900</v>
      </c>
    </row>
    <row r="1307">
      <c r="A1307" s="3" t="inlineStr">
        <is>
          <t>121</t>
        </is>
      </c>
      <c r="B1307" s="3" t="n">
        <v/>
      </c>
      <c r="C1307" s="3" t="inlineStr">
        <is>
          <t>Ubin teralux marmer 30x30 cm</t>
        </is>
      </c>
      <c r="D1307" s="3" t="inlineStr">
        <is>
          <t>buah</t>
        </is>
      </c>
      <c r="E1307" s="4" t="n">
        <v>45000</v>
      </c>
    </row>
    <row r="1308">
      <c r="A1308" s="3" t="inlineStr">
        <is>
          <t>122</t>
        </is>
      </c>
      <c r="B1308" s="3" t="n">
        <v/>
      </c>
      <c r="C1308" s="3" t="inlineStr">
        <is>
          <t>Ubin teralux marmer 40x40 cm</t>
        </is>
      </c>
      <c r="D1308" s="3" t="inlineStr">
        <is>
          <t>buah</t>
        </is>
      </c>
      <c r="E1308" s="4" t="n">
        <v>60000</v>
      </c>
    </row>
    <row r="1309">
      <c r="A1309" s="3" t="inlineStr">
        <is>
          <t>123</t>
        </is>
      </c>
      <c r="B1309" s="3" t="n">
        <v/>
      </c>
      <c r="C1309" s="3" t="inlineStr">
        <is>
          <t>Ubin teralux marmer 60x60 cm</t>
        </is>
      </c>
      <c r="D1309" s="3" t="inlineStr">
        <is>
          <t>buah</t>
        </is>
      </c>
      <c r="E1309" s="4" t="n">
        <v>70000</v>
      </c>
    </row>
    <row r="1310">
      <c r="A1310" s="3" t="inlineStr">
        <is>
          <t>124</t>
        </is>
      </c>
      <c r="B1310" s="3" t="n">
        <v/>
      </c>
      <c r="C1310" s="3" t="inlineStr">
        <is>
          <t>Ubin teraso 30x30 cm</t>
        </is>
      </c>
      <c r="D1310" s="3" t="inlineStr">
        <is>
          <t>buah</t>
        </is>
      </c>
      <c r="E1310" s="4" t="n">
        <v>24000</v>
      </c>
    </row>
    <row r="1311">
      <c r="A1311" s="3" t="inlineStr">
        <is>
          <t>125</t>
        </is>
      </c>
      <c r="B1311" s="3" t="n">
        <v/>
      </c>
      <c r="C1311" s="3" t="inlineStr">
        <is>
          <t>Ubin teraso 40x40 cm</t>
        </is>
      </c>
      <c r="D1311" s="3" t="inlineStr">
        <is>
          <t>buah</t>
        </is>
      </c>
      <c r="E1311" s="4" t="n">
        <v>30000</v>
      </c>
    </row>
    <row r="1312">
      <c r="A1312" s="3" t="inlineStr">
        <is>
          <t>126</t>
        </is>
      </c>
      <c r="B1312" s="3" t="n">
        <v/>
      </c>
      <c r="C1312" s="3" t="inlineStr">
        <is>
          <t>Ubin warna 20x20 cm</t>
        </is>
      </c>
      <c r="D1312" s="3" t="inlineStr">
        <is>
          <t>buah</t>
        </is>
      </c>
      <c r="E1312" s="4" t="n">
        <v>2000</v>
      </c>
    </row>
    <row r="1313">
      <c r="A1313" s="3" t="inlineStr">
        <is>
          <t>127</t>
        </is>
      </c>
      <c r="B1313" s="3" t="n">
        <v/>
      </c>
      <c r="C1313" s="3" t="inlineStr">
        <is>
          <t>Ubin warna 30x30 cm</t>
        </is>
      </c>
      <c r="D1313" s="3" t="inlineStr">
        <is>
          <t>buah</t>
        </is>
      </c>
      <c r="E1313" s="4" t="n">
        <v>4500</v>
      </c>
    </row>
    <row r="1314">
      <c r="A1314" s="3" t="inlineStr">
        <is>
          <t>128</t>
        </is>
      </c>
      <c r="B1314" s="3" t="n">
        <v/>
      </c>
      <c r="C1314" s="3" t="inlineStr">
        <is>
          <t>Ubin warna 40x40 cm</t>
        </is>
      </c>
      <c r="D1314" s="3" t="inlineStr">
        <is>
          <t>buah</t>
        </is>
      </c>
      <c r="E1314" s="4" t="n">
        <v>6000</v>
      </c>
    </row>
    <row r="1315">
      <c r="A1315" s="3" t="inlineStr">
        <is>
          <t>129</t>
        </is>
      </c>
      <c r="B1315" s="3" t="n">
        <v/>
      </c>
      <c r="C1315" s="3" t="inlineStr">
        <is>
          <t>Ubin warna 60x60 cm</t>
        </is>
      </c>
      <c r="D1315" s="3" t="inlineStr">
        <is>
          <t>buah</t>
        </is>
      </c>
      <c r="E1315" s="4" t="n">
        <v>8000</v>
      </c>
    </row>
    <row r="1316">
      <c r="A1316" s="3" t="inlineStr">
        <is>
          <t>130</t>
        </is>
      </c>
      <c r="B1316" s="3" t="n">
        <v/>
      </c>
      <c r="C1316" s="3" t="inlineStr">
        <is>
          <t>Underlayer karpet</t>
        </is>
      </c>
      <c r="D1316" s="3" t="inlineStr">
        <is>
          <t>m2</t>
        </is>
      </c>
      <c r="E1316" s="4" t="n">
        <v>10000</v>
      </c>
    </row>
    <row r="1317">
      <c r="A1317" s="3" t="inlineStr">
        <is>
          <t>131</t>
        </is>
      </c>
      <c r="B1317" s="3" t="n">
        <v/>
      </c>
      <c r="C1317" s="3" t="inlineStr">
        <is>
          <t>UPVC decking</t>
        </is>
      </c>
      <c r="D1317" s="3" t="inlineStr">
        <is>
          <t>m2</t>
        </is>
      </c>
      <c r="E1317" s="4" t="n">
        <v>500000</v>
      </c>
    </row>
    <row r="1318">
      <c r="A1318" s="3" t="inlineStr">
        <is>
          <t>132</t>
        </is>
      </c>
      <c r="B1318" s="3" t="n">
        <v/>
      </c>
      <c r="C1318" s="3" t="inlineStr">
        <is>
          <t>Vinyl</t>
        </is>
      </c>
      <c r="D1318" s="3" t="inlineStr">
        <is>
          <t>buah</t>
        </is>
      </c>
      <c r="E1318" s="4" t="n">
        <v>7000</v>
      </c>
    </row>
    <row r="1319">
      <c r="A1319" s="3" t="n">
        <v/>
      </c>
      <c r="B1319" s="3" t="n">
        <v/>
      </c>
      <c r="C1319" s="3" t="inlineStr">
        <is>
          <t>MATERIAL BETON DAN ADUKAN PASANGAN</t>
        </is>
      </c>
      <c r="D1319" s="3" t="n">
        <v/>
      </c>
      <c r="E1319" s="4" t="n">
        <v/>
      </c>
    </row>
    <row r="1320">
      <c r="A1320" s="3" t="inlineStr">
        <is>
          <t>1</t>
        </is>
      </c>
      <c r="B1320" s="3" t="n">
        <v/>
      </c>
      <c r="C1320" s="3" t="inlineStr">
        <is>
          <t>Additive</t>
        </is>
      </c>
      <c r="D1320" s="3" t="inlineStr">
        <is>
          <t>liter</t>
        </is>
      </c>
      <c r="E1320" s="4" t="n">
        <v>51600</v>
      </c>
    </row>
    <row r="1321">
      <c r="A1321" s="3" t="n">
        <v/>
      </c>
      <c r="B1321" s="3" t="n">
        <v/>
      </c>
      <c r="C1321" s="3" t="inlineStr">
        <is>
          <t xml:space="preserve">Zat Aditif </t>
        </is>
      </c>
      <c r="D1321" s="3" t="inlineStr">
        <is>
          <t xml:space="preserve">kg </t>
        </is>
      </c>
      <c r="E1321" s="4" t="n">
        <v>25000</v>
      </c>
    </row>
    <row r="1322">
      <c r="A1322" s="3" t="n">
        <v/>
      </c>
      <c r="B1322" s="3" t="n">
        <v/>
      </c>
      <c r="C1322" s="3" t="inlineStr">
        <is>
          <t>Floor lantai (Beton lantai kerja)</t>
        </is>
      </c>
      <c r="D1322" s="3" t="inlineStr">
        <is>
          <t>m3</t>
        </is>
      </c>
      <c r="E1322" s="4" t="n">
        <v>805600</v>
      </c>
    </row>
    <row r="1323">
      <c r="A1323" s="3" t="n">
        <v/>
      </c>
      <c r="B1323" s="3" t="n">
        <v/>
      </c>
      <c r="C1323" s="3" t="inlineStr">
        <is>
          <t>Lantai Kerja</t>
        </is>
      </c>
      <c r="D1323" s="3" t="inlineStr">
        <is>
          <t>m3</t>
        </is>
      </c>
      <c r="E1323" s="4" t="n">
        <v>805000</v>
      </c>
    </row>
    <row r="1324">
      <c r="A1324" s="3" t="inlineStr">
        <is>
          <t>2</t>
        </is>
      </c>
      <c r="B1324" s="3" t="n">
        <v/>
      </c>
      <c r="C1324" s="3" t="inlineStr">
        <is>
          <t>Adukan beton berpori (Aggregat  10/20mm) ready mix</t>
        </is>
      </c>
      <c r="D1324" s="3" t="inlineStr">
        <is>
          <t>m3</t>
        </is>
      </c>
      <c r="E1324" s="4" t="n">
        <v>2250000</v>
      </c>
    </row>
    <row r="1325">
      <c r="A1325" s="3" t="inlineStr">
        <is>
          <t>3</t>
        </is>
      </c>
      <c r="B1325" s="3" t="n">
        <v/>
      </c>
      <c r="C1325" s="3" t="inlineStr">
        <is>
          <t>Adukan beton K-100 ready mix</t>
        </is>
      </c>
      <c r="D1325" s="3" t="inlineStr">
        <is>
          <t>m3</t>
        </is>
      </c>
      <c r="E1325" s="4" t="n">
        <v>788100</v>
      </c>
    </row>
    <row r="1326">
      <c r="A1326" s="3" t="inlineStr">
        <is>
          <t>4</t>
        </is>
      </c>
      <c r="B1326" s="3" t="n">
        <v/>
      </c>
      <c r="C1326" s="3" t="inlineStr">
        <is>
          <t>Adukan beton K-125 ready mix</t>
        </is>
      </c>
      <c r="D1326" s="3" t="inlineStr">
        <is>
          <t>m3</t>
        </is>
      </c>
      <c r="E1326" s="4" t="n">
        <v>805600</v>
      </c>
    </row>
    <row r="1327">
      <c r="A1327" s="3" t="inlineStr">
        <is>
          <t>5</t>
        </is>
      </c>
      <c r="B1327" s="3" t="n">
        <v/>
      </c>
      <c r="C1327" s="3" t="inlineStr">
        <is>
          <t>Adukan beton K-175 ready mix</t>
        </is>
      </c>
      <c r="D1327" s="3" t="inlineStr">
        <is>
          <t>m3</t>
        </is>
      </c>
      <c r="E1327" s="4" t="n">
        <v>848100</v>
      </c>
    </row>
    <row r="1328">
      <c r="A1328" s="3" t="inlineStr">
        <is>
          <t>6</t>
        </is>
      </c>
      <c r="B1328" s="3" t="n">
        <v/>
      </c>
      <c r="C1328" s="3" t="inlineStr">
        <is>
          <t>Adukan beton K-200 ready mix</t>
        </is>
      </c>
      <c r="D1328" s="3" t="inlineStr">
        <is>
          <t>m3</t>
        </is>
      </c>
      <c r="E1328" s="4" t="n">
        <v>869200</v>
      </c>
    </row>
    <row r="1329">
      <c r="A1329" s="3" t="inlineStr">
        <is>
          <t>7</t>
        </is>
      </c>
      <c r="B1329" s="3" t="n">
        <v/>
      </c>
      <c r="C1329" s="3" t="inlineStr">
        <is>
          <t>Adukan beton K-225 ready mix</t>
        </is>
      </c>
      <c r="D1329" s="3" t="inlineStr">
        <is>
          <t>m3</t>
        </is>
      </c>
      <c r="E1329" s="4" t="n">
        <v>887700</v>
      </c>
    </row>
    <row r="1330">
      <c r="A1330" s="3" t="inlineStr">
        <is>
          <t>8</t>
        </is>
      </c>
      <c r="B1330" s="3" t="n">
        <v/>
      </c>
      <c r="C1330" s="3" t="inlineStr">
        <is>
          <t>Adukan beton K-250 ready mix</t>
        </is>
      </c>
      <c r="D1330" s="3" t="inlineStr">
        <is>
          <t>m3</t>
        </is>
      </c>
      <c r="E1330" s="4" t="n">
        <v>911300</v>
      </c>
    </row>
    <row r="1331">
      <c r="A1331" s="3" t="inlineStr">
        <is>
          <t>9</t>
        </is>
      </c>
      <c r="B1331" s="3" t="n">
        <v/>
      </c>
      <c r="C1331" s="3" t="inlineStr">
        <is>
          <t>Adukan beton K-275 ready mix</t>
        </is>
      </c>
      <c r="D1331" s="3" t="inlineStr">
        <is>
          <t>m3</t>
        </is>
      </c>
      <c r="E1331" s="4" t="n">
        <v>937100</v>
      </c>
    </row>
    <row r="1332">
      <c r="A1332" s="3" t="inlineStr">
        <is>
          <t>10</t>
        </is>
      </c>
      <c r="B1332" s="3" t="n">
        <v/>
      </c>
      <c r="C1332" s="3" t="inlineStr">
        <is>
          <t>Adukan beton K-300 ready mix</t>
        </is>
      </c>
      <c r="D1332" s="3" t="inlineStr">
        <is>
          <t>m3</t>
        </is>
      </c>
      <c r="E1332" s="4" t="n">
        <v>961200</v>
      </c>
    </row>
    <row r="1333">
      <c r="A1333" s="3" t="inlineStr">
        <is>
          <t>11</t>
        </is>
      </c>
      <c r="B1333" s="3" t="n">
        <v/>
      </c>
      <c r="C1333" s="3" t="inlineStr">
        <is>
          <t>Adukan beton K-350 ready mix</t>
        </is>
      </c>
      <c r="D1333" s="3" t="inlineStr">
        <is>
          <t>m3</t>
        </is>
      </c>
      <c r="E1333" s="4" t="n">
        <v>1001900</v>
      </c>
    </row>
    <row r="1334">
      <c r="A1334" s="3" t="inlineStr">
        <is>
          <t>12</t>
        </is>
      </c>
      <c r="B1334" s="3" t="n">
        <v/>
      </c>
      <c r="C1334" s="3" t="inlineStr">
        <is>
          <t>Adukan beton K-400 ready mix</t>
        </is>
      </c>
      <c r="D1334" s="3" t="inlineStr">
        <is>
          <t>m3</t>
        </is>
      </c>
      <c r="E1334" s="4" t="n">
        <v>1066100</v>
      </c>
    </row>
    <row r="1335">
      <c r="A1335" s="3" t="inlineStr">
        <is>
          <t>13</t>
        </is>
      </c>
      <c r="B1335" s="3" t="n">
        <v/>
      </c>
      <c r="C1335" s="3" t="inlineStr">
        <is>
          <t>Adukan beton K-500 ready mix</t>
        </is>
      </c>
      <c r="D1335" s="3" t="inlineStr">
        <is>
          <t>m3</t>
        </is>
      </c>
      <c r="E1335" s="4" t="n">
        <v>1152800</v>
      </c>
    </row>
    <row r="1336">
      <c r="A1336" s="3" t="n">
        <v/>
      </c>
      <c r="B1336" s="3" t="n">
        <v/>
      </c>
      <c r="C1336" s="3" t="inlineStr">
        <is>
          <t>Beton Ready Mixed f'c 10 MPa</t>
        </is>
      </c>
      <c r="D1336" s="3" t="inlineStr">
        <is>
          <t>m3</t>
        </is>
      </c>
      <c r="E1336" s="4" t="n">
        <v>805000</v>
      </c>
    </row>
    <row r="1337">
      <c r="A1337" s="3" t="n">
        <v/>
      </c>
      <c r="B1337" s="3" t="n">
        <v/>
      </c>
      <c r="C1337" s="3" t="inlineStr">
        <is>
          <t>Beton fc' 15 Mpa</t>
        </is>
      </c>
      <c r="D1337" s="3" t="inlineStr">
        <is>
          <t>m3</t>
        </is>
      </c>
      <c r="E1337" s="4" t="n">
        <v>848100</v>
      </c>
    </row>
    <row r="1338">
      <c r="A1338" s="3" t="inlineStr">
        <is>
          <t>14</t>
        </is>
      </c>
      <c r="B1338" s="3" t="n">
        <v/>
      </c>
      <c r="C1338" s="3" t="inlineStr">
        <is>
          <t>Compound gypsum</t>
        </is>
      </c>
      <c r="D1338" s="3" t="inlineStr">
        <is>
          <t>kg</t>
        </is>
      </c>
      <c r="E1338" s="4" t="n">
        <v>3500</v>
      </c>
    </row>
    <row r="1339">
      <c r="A1339" s="3" t="inlineStr">
        <is>
          <t>15</t>
        </is>
      </c>
      <c r="B1339" s="3" t="n">
        <v/>
      </c>
      <c r="C1339" s="3" t="inlineStr">
        <is>
          <t>Compound hardboard</t>
        </is>
      </c>
      <c r="D1339" s="3" t="inlineStr">
        <is>
          <t>kg</t>
        </is>
      </c>
      <c r="E1339" s="4" t="n">
        <v>3700</v>
      </c>
    </row>
    <row r="1340">
      <c r="A1340" s="3" t="inlineStr">
        <is>
          <t>16</t>
        </is>
      </c>
      <c r="B1340" s="3" t="n">
        <v/>
      </c>
      <c r="C1340" s="3" t="inlineStr">
        <is>
          <t>Curing compound</t>
        </is>
      </c>
      <c r="D1340" s="3" t="inlineStr">
        <is>
          <t>liter</t>
        </is>
      </c>
      <c r="E1340" s="4" t="n">
        <v>44100</v>
      </c>
    </row>
    <row r="1341">
      <c r="A1341" s="3" t="inlineStr">
        <is>
          <t>17</t>
        </is>
      </c>
      <c r="B1341" s="3" t="n">
        <v/>
      </c>
      <c r="C1341" s="3" t="inlineStr">
        <is>
          <t>Flexible waterproofing</t>
        </is>
      </c>
      <c r="D1341" s="3" t="inlineStr">
        <is>
          <t>kg</t>
        </is>
      </c>
      <c r="E1341" s="4" t="n">
        <v>52400</v>
      </c>
    </row>
    <row r="1342">
      <c r="A1342" s="3" t="n">
        <v/>
      </c>
      <c r="B1342" s="3" t="n">
        <v/>
      </c>
      <c r="C1342" s="3" t="inlineStr">
        <is>
          <t xml:space="preserve">Membran Bakar </t>
        </is>
      </c>
      <c r="D1342" s="3" t="inlineStr">
        <is>
          <t>m2</t>
        </is>
      </c>
      <c r="E1342" s="4" t="n">
        <v>150000</v>
      </c>
    </row>
    <row r="1343">
      <c r="A1343" s="3" t="n">
        <v/>
      </c>
      <c r="B1343" s="3" t="n">
        <v/>
      </c>
      <c r="C1343" s="3" t="inlineStr">
        <is>
          <t xml:space="preserve">Cairan Primer </t>
        </is>
      </c>
      <c r="D1343" s="3" t="inlineStr">
        <is>
          <t xml:space="preserve">kg </t>
        </is>
      </c>
      <c r="E1343" s="4" t="n">
        <v>57500</v>
      </c>
    </row>
    <row r="1344">
      <c r="A1344" s="3" t="inlineStr">
        <is>
          <t>18</t>
        </is>
      </c>
      <c r="B1344" s="3" t="n">
        <v/>
      </c>
      <c r="C1344" s="3" t="inlineStr">
        <is>
          <t>Formtie/penjaga jarak bekesting/spacer</t>
        </is>
      </c>
      <c r="D1344" s="3" t="inlineStr">
        <is>
          <t>buah</t>
        </is>
      </c>
      <c r="E1344" s="4" t="n">
        <v>7000</v>
      </c>
    </row>
    <row r="1345">
      <c r="A1345" s="3" t="inlineStr">
        <is>
          <t>19</t>
        </is>
      </c>
      <c r="B1345" s="3" t="n">
        <v/>
      </c>
      <c r="C1345" s="3" t="inlineStr">
        <is>
          <t>Kassa</t>
        </is>
      </c>
      <c r="D1345" s="3" t="inlineStr">
        <is>
          <t>m'</t>
        </is>
      </c>
      <c r="E1345" s="4" t="n">
        <v>8100</v>
      </c>
    </row>
    <row r="1346">
      <c r="A1346" s="3" t="inlineStr">
        <is>
          <t>20</t>
        </is>
      </c>
      <c r="B1346" s="3" t="n">
        <v/>
      </c>
      <c r="C1346" s="3" t="inlineStr">
        <is>
          <t>Kolom beton pracetak</t>
        </is>
      </c>
      <c r="D1346" s="3" t="inlineStr">
        <is>
          <t>batang</t>
        </is>
      </c>
      <c r="E1346" s="4" t="n">
        <v>282000</v>
      </c>
    </row>
    <row r="1347">
      <c r="A1347" s="3" t="inlineStr">
        <is>
          <t>21</t>
        </is>
      </c>
      <c r="B1347" s="3" t="n">
        <v/>
      </c>
      <c r="C1347" s="3" t="inlineStr">
        <is>
          <t>Panel beton pracetak</t>
        </is>
      </c>
      <c r="D1347" s="3" t="inlineStr">
        <is>
          <t>lembar</t>
        </is>
      </c>
      <c r="E1347" s="4" t="n">
        <v>125000</v>
      </c>
    </row>
    <row r="1348">
      <c r="A1348" s="3" t="inlineStr">
        <is>
          <t>22</t>
        </is>
      </c>
      <c r="B1348" s="3" t="n">
        <v/>
      </c>
      <c r="C1348" s="3" t="inlineStr">
        <is>
          <t>Paper tape hardboard</t>
        </is>
      </c>
      <c r="D1348" s="3" t="inlineStr">
        <is>
          <t>m'</t>
        </is>
      </c>
      <c r="E1348" s="4" t="n">
        <v>4800</v>
      </c>
    </row>
    <row r="1349">
      <c r="A1349" s="3" t="inlineStr">
        <is>
          <t>23</t>
        </is>
      </c>
      <c r="B1349" s="3" t="n">
        <v/>
      </c>
      <c r="C1349" s="3" t="inlineStr">
        <is>
          <t>Pengisi khusus  rongga nat</t>
        </is>
      </c>
      <c r="D1349" s="3" t="inlineStr">
        <is>
          <t>kg</t>
        </is>
      </c>
      <c r="E1349" s="4" t="n">
        <v>15500</v>
      </c>
    </row>
    <row r="1350">
      <c r="A1350" s="3" t="inlineStr">
        <is>
          <t>24</t>
        </is>
      </c>
      <c r="B1350" s="3" t="n">
        <v/>
      </c>
      <c r="C1350" s="3" t="inlineStr">
        <is>
          <t>Perekat  khusus  penutup dinding</t>
        </is>
      </c>
      <c r="D1350" s="3" t="inlineStr">
        <is>
          <t>kg</t>
        </is>
      </c>
      <c r="E1350" s="4" t="n">
        <v>21100</v>
      </c>
    </row>
    <row r="1351">
      <c r="A1351" s="3" t="inlineStr">
        <is>
          <t>25</t>
        </is>
      </c>
      <c r="B1351" s="3" t="n">
        <v/>
      </c>
      <c r="C1351" s="3" t="inlineStr">
        <is>
          <t>Perekat  khusus  penutup lantai</t>
        </is>
      </c>
      <c r="D1351" s="3" t="inlineStr">
        <is>
          <t>kg</t>
        </is>
      </c>
      <c r="E1351" s="4" t="n">
        <v>17200</v>
      </c>
    </row>
    <row r="1352">
      <c r="A1352" s="3" t="inlineStr">
        <is>
          <t>26</t>
        </is>
      </c>
      <c r="B1352" s="3" t="n">
        <v/>
      </c>
      <c r="C1352" s="3" t="inlineStr">
        <is>
          <t>Semen 40 Kg</t>
        </is>
      </c>
      <c r="D1352" s="3" t="inlineStr">
        <is>
          <t>zak</t>
        </is>
      </c>
      <c r="E1352" s="4" t="n">
        <v>46600</v>
      </c>
    </row>
    <row r="1353">
      <c r="A1353" s="3" t="inlineStr">
        <is>
          <t>27</t>
        </is>
      </c>
      <c r="B1353" s="3" t="n">
        <v/>
      </c>
      <c r="C1353" s="3" t="inlineStr">
        <is>
          <t>Semen 50 Kg</t>
        </is>
      </c>
      <c r="D1353" s="3" t="inlineStr">
        <is>
          <t>zak</t>
        </is>
      </c>
      <c r="E1353" s="4" t="n">
        <v>58200</v>
      </c>
    </row>
    <row r="1354">
      <c r="A1354" s="3" t="inlineStr">
        <is>
          <t>28</t>
        </is>
      </c>
      <c r="B1354" s="3" t="n">
        <v/>
      </c>
      <c r="C1354" s="3" t="inlineStr">
        <is>
          <t>Semen grout</t>
        </is>
      </c>
      <c r="D1354" s="3" t="inlineStr">
        <is>
          <t>kg</t>
        </is>
      </c>
      <c r="E1354" s="4" t="n">
        <v>6000</v>
      </c>
    </row>
    <row r="1355">
      <c r="A1355" s="3" t="inlineStr">
        <is>
          <t>29</t>
        </is>
      </c>
      <c r="B1355" s="3" t="n">
        <v/>
      </c>
      <c r="C1355" s="3" t="inlineStr">
        <is>
          <t>Semen merah</t>
        </is>
      </c>
      <c r="D1355" s="3" t="inlineStr">
        <is>
          <t>kg</t>
        </is>
      </c>
      <c r="E1355" s="4" t="n">
        <v>15800</v>
      </c>
    </row>
    <row r="1356">
      <c r="A1356" s="3" t="inlineStr">
        <is>
          <t>30</t>
        </is>
      </c>
      <c r="B1356" s="3" t="n">
        <v/>
      </c>
      <c r="C1356" s="3" t="inlineStr">
        <is>
          <t>Semen Merk II 40 Kg</t>
        </is>
      </c>
      <c r="D1356" s="3" t="inlineStr">
        <is>
          <t>zak</t>
        </is>
      </c>
      <c r="E1356" s="4" t="n">
        <v>46500</v>
      </c>
    </row>
    <row r="1357">
      <c r="A1357" s="3" t="inlineStr">
        <is>
          <t>31</t>
        </is>
      </c>
      <c r="B1357" s="3" t="n">
        <v/>
      </c>
      <c r="C1357" s="3" t="inlineStr">
        <is>
          <t>Semen Merk II 50 Kg</t>
        </is>
      </c>
      <c r="D1357" s="3" t="inlineStr">
        <is>
          <t>zak</t>
        </is>
      </c>
      <c r="E1357" s="4" t="n">
        <v>57600</v>
      </c>
    </row>
    <row r="1358">
      <c r="A1358" s="3" t="inlineStr">
        <is>
          <t>32</t>
        </is>
      </c>
      <c r="B1358" s="3" t="n">
        <v/>
      </c>
      <c r="C1358" s="3" t="inlineStr">
        <is>
          <t>Semen nat</t>
        </is>
      </c>
      <c r="D1358" s="3" t="inlineStr">
        <is>
          <t>kg</t>
        </is>
      </c>
      <c r="E1358" s="4" t="n">
        <v>16100</v>
      </c>
    </row>
    <row r="1359">
      <c r="A1359" s="3" t="inlineStr">
        <is>
          <t>33</t>
        </is>
      </c>
      <c r="B1359" s="3" t="n">
        <v/>
      </c>
      <c r="C1359" s="3" t="inlineStr">
        <is>
          <t>Semen Portland (PC)</t>
        </is>
      </c>
      <c r="D1359" s="3" t="inlineStr">
        <is>
          <t>kg</t>
        </is>
      </c>
      <c r="E1359" s="4" t="n">
        <v>1300</v>
      </c>
    </row>
    <row r="1360">
      <c r="A1360" s="3" t="inlineStr">
        <is>
          <t>34</t>
        </is>
      </c>
      <c r="B1360" s="3" t="n">
        <v/>
      </c>
      <c r="C1360" s="3" t="inlineStr">
        <is>
          <t>Semen putih 40 Kg</t>
        </is>
      </c>
      <c r="D1360" s="3" t="inlineStr">
        <is>
          <t>zak</t>
        </is>
      </c>
      <c r="E1360" s="4" t="n">
        <v>89700</v>
      </c>
    </row>
    <row r="1361">
      <c r="A1361" s="3" t="inlineStr">
        <is>
          <t>35</t>
        </is>
      </c>
      <c r="B1361" s="3" t="n">
        <v/>
      </c>
      <c r="C1361" s="3" t="inlineStr">
        <is>
          <t>Semen putih 50 Kg</t>
        </is>
      </c>
      <c r="D1361" s="3" t="inlineStr">
        <is>
          <t>zak</t>
        </is>
      </c>
      <c r="E1361" s="4" t="n">
        <v>97700</v>
      </c>
    </row>
    <row r="1362">
      <c r="A1362" s="3" t="inlineStr">
        <is>
          <t>36</t>
        </is>
      </c>
      <c r="B1362" s="3" t="n">
        <v/>
      </c>
      <c r="C1362" s="3" t="inlineStr">
        <is>
          <t>Semen warna</t>
        </is>
      </c>
      <c r="D1362" s="3" t="inlineStr">
        <is>
          <t>kg</t>
        </is>
      </c>
      <c r="E1362" s="4" t="n">
        <v>7800</v>
      </c>
    </row>
    <row r="1363">
      <c r="A1363" s="3" t="inlineStr">
        <is>
          <t>37</t>
        </is>
      </c>
      <c r="B1363" s="3" t="n">
        <v/>
      </c>
      <c r="C1363" s="3" t="inlineStr">
        <is>
          <t>Waterproofing</t>
        </is>
      </c>
      <c r="D1363" s="3" t="inlineStr">
        <is>
          <t>kg</t>
        </is>
      </c>
      <c r="E1363" s="4" t="n">
        <v>61200</v>
      </c>
    </row>
    <row r="1364">
      <c r="A1364" s="3" t="n">
        <v/>
      </c>
      <c r="B1364" s="3" t="n">
        <v/>
      </c>
      <c r="C1364" s="3" t="inlineStr">
        <is>
          <t>Waterproofing Cristalin</t>
        </is>
      </c>
      <c r="D1364" s="3" t="inlineStr">
        <is>
          <t>kg</t>
        </is>
      </c>
      <c r="E1364" s="4" t="n">
        <v>62000</v>
      </c>
    </row>
    <row r="1365">
      <c r="A1365" s="3" t="n">
        <v/>
      </c>
      <c r="B1365" s="3" t="n">
        <v/>
      </c>
      <c r="C1365" s="3" t="inlineStr">
        <is>
          <t>Waterproofing Semen Base</t>
        </is>
      </c>
      <c r="D1365" s="3" t="inlineStr">
        <is>
          <t>kg</t>
        </is>
      </c>
      <c r="E1365" s="4" t="n">
        <v>74500</v>
      </c>
    </row>
    <row r="1366">
      <c r="A1366" s="3" t="n">
        <v/>
      </c>
      <c r="B1366" s="3" t="n">
        <v/>
      </c>
      <c r="C1366" s="3" t="inlineStr">
        <is>
          <t>Waterproofing Acrylic Base</t>
        </is>
      </c>
      <c r="D1366" s="3" t="inlineStr">
        <is>
          <t>kg</t>
        </is>
      </c>
      <c r="E1366" s="4" t="n">
        <v>64000</v>
      </c>
    </row>
    <row r="1367">
      <c r="A1367" s="3" t="n">
        <v/>
      </c>
      <c r="B1367" s="3" t="n">
        <v/>
      </c>
      <c r="C1367" s="3" t="inlineStr">
        <is>
          <t>Joint Sealant</t>
        </is>
      </c>
      <c r="D1367" s="3" t="inlineStr">
        <is>
          <t>kg</t>
        </is>
      </c>
      <c r="E1367" s="4" t="n">
        <v>22000</v>
      </c>
    </row>
    <row r="1368">
      <c r="A1368" s="3" t="n">
        <v/>
      </c>
      <c r="B1368" s="3" t="n">
        <v/>
      </c>
      <c r="C1368" s="3" t="inlineStr">
        <is>
          <t>Polytene 125 Mikron</t>
        </is>
      </c>
      <c r="D1368" s="3" t="inlineStr">
        <is>
          <t xml:space="preserve">kg </t>
        </is>
      </c>
      <c r="E1368" s="4" t="n">
        <v>46000</v>
      </c>
    </row>
    <row r="1369">
      <c r="A1369" s="3" t="n">
        <v/>
      </c>
      <c r="B1369" s="3" t="n">
        <v/>
      </c>
      <c r="C1369" s="3" t="inlineStr">
        <is>
          <t>Dowel dia. 25 mm (BjTs)</t>
        </is>
      </c>
      <c r="D1369" s="3" t="inlineStr">
        <is>
          <t>Kg</t>
        </is>
      </c>
      <c r="E1369" s="4" t="n">
        <v>15367.96536796537</v>
      </c>
    </row>
    <row r="1370">
      <c r="A1370" s="3" t="n">
        <v/>
      </c>
      <c r="B1370" s="3" t="n">
        <v/>
      </c>
      <c r="C1370" s="3" t="inlineStr">
        <is>
          <t>Tie Bar Dia. 16 mm (BjTS)</t>
        </is>
      </c>
      <c r="D1370" s="3" t="inlineStr">
        <is>
          <t xml:space="preserve">Kg </t>
        </is>
      </c>
      <c r="E1370" s="4" t="n">
        <v>17721.51898734177</v>
      </c>
    </row>
    <row r="1371">
      <c r="A1371" s="3" t="n">
        <v/>
      </c>
      <c r="B1371" s="3" t="n">
        <v/>
      </c>
      <c r="C1371" s="3" t="inlineStr">
        <is>
          <t>Lolos screen 2 ukuran 9,5-19,0</t>
        </is>
      </c>
      <c r="D1371" s="3" t="inlineStr">
        <is>
          <t>m3</t>
        </is>
      </c>
      <c r="E1371" s="4" t="n">
        <v>1970000</v>
      </c>
    </row>
    <row r="1372">
      <c r="A1372" s="3" t="n">
        <v/>
      </c>
      <c r="B1372" s="3" t="n">
        <v/>
      </c>
      <c r="C1372" s="3" t="inlineStr">
        <is>
          <t>Lolos screen 2 ukuran 0-5</t>
        </is>
      </c>
      <c r="D1372" s="3" t="inlineStr">
        <is>
          <t>m3</t>
        </is>
      </c>
      <c r="E1372" s="4" t="n">
        <v>1799000</v>
      </c>
    </row>
    <row r="1373">
      <c r="A1373" s="3" t="n">
        <v/>
      </c>
      <c r="B1373" s="3" t="n">
        <v/>
      </c>
      <c r="C1373" s="3" t="inlineStr">
        <is>
          <t>Lantai Kerja fc 10 Mpa</t>
        </is>
      </c>
      <c r="D1373" s="3" t="inlineStr">
        <is>
          <t>m3</t>
        </is>
      </c>
      <c r="E1373" s="4" t="n">
        <v>1236000</v>
      </c>
    </row>
    <row r="1374">
      <c r="A1374" s="3" t="n">
        <v/>
      </c>
      <c r="B1374" s="3" t="n">
        <v/>
      </c>
      <c r="C1374" s="3" t="inlineStr">
        <is>
          <t>Lantai Kerja fc 7,5 Mpa</t>
        </is>
      </c>
      <c r="D1374" s="3" t="inlineStr">
        <is>
          <t>m3</t>
        </is>
      </c>
      <c r="E1374" s="4" t="n">
        <v>928000</v>
      </c>
    </row>
    <row r="1375">
      <c r="A1375" s="3" t="n">
        <v/>
      </c>
      <c r="B1375" s="3" t="n">
        <v/>
      </c>
      <c r="C1375" s="3" t="inlineStr">
        <is>
          <t xml:space="preserve">U-Ditch 30x30x120 cm </t>
        </is>
      </c>
      <c r="D1375" s="3" t="inlineStr">
        <is>
          <t>Buah</t>
        </is>
      </c>
      <c r="E1375" s="4" t="n">
        <v>220000</v>
      </c>
    </row>
    <row r="1376">
      <c r="A1376" s="3" t="n">
        <v/>
      </c>
      <c r="B1376" s="3" t="n">
        <v/>
      </c>
      <c r="C1376" s="3" t="inlineStr">
        <is>
          <t xml:space="preserve">U-Ditch 30x40x120 cm </t>
        </is>
      </c>
      <c r="D1376" s="3" t="inlineStr">
        <is>
          <t>Buah</t>
        </is>
      </c>
      <c r="E1376" s="4" t="n">
        <v>240000</v>
      </c>
    </row>
    <row r="1377">
      <c r="A1377" s="3" t="n">
        <v/>
      </c>
      <c r="B1377" s="3" t="n">
        <v/>
      </c>
      <c r="C1377" s="3" t="inlineStr">
        <is>
          <t xml:space="preserve">U-Ditch 40x40x120 cm </t>
        </is>
      </c>
      <c r="D1377" s="3" t="inlineStr">
        <is>
          <t>Buah</t>
        </is>
      </c>
      <c r="E1377" s="4" t="n">
        <v>270000</v>
      </c>
    </row>
    <row r="1378">
      <c r="A1378" s="3" t="n">
        <v/>
      </c>
      <c r="B1378" s="3" t="n">
        <v/>
      </c>
      <c r="C1378" s="3" t="inlineStr">
        <is>
          <t xml:space="preserve">U-Ditch 40x50x120 cm </t>
        </is>
      </c>
      <c r="D1378" s="3" t="inlineStr">
        <is>
          <t>Buah</t>
        </is>
      </c>
      <c r="E1378" s="4" t="n">
        <v>290000</v>
      </c>
    </row>
    <row r="1379">
      <c r="A1379" s="3" t="n">
        <v/>
      </c>
      <c r="B1379" s="3" t="n">
        <v/>
      </c>
      <c r="C1379" s="3" t="inlineStr">
        <is>
          <t xml:space="preserve">U-Ditch 40x60x120 cm </t>
        </is>
      </c>
      <c r="D1379" s="3" t="inlineStr">
        <is>
          <t>Buah</t>
        </is>
      </c>
      <c r="E1379" s="4" t="n">
        <v>320000</v>
      </c>
    </row>
    <row r="1380">
      <c r="A1380" s="3" t="n">
        <v/>
      </c>
      <c r="B1380" s="3" t="n">
        <v/>
      </c>
      <c r="C1380" s="3" t="inlineStr">
        <is>
          <t xml:space="preserve">U-Ditch 50x50x120 cm </t>
        </is>
      </c>
      <c r="D1380" s="3" t="inlineStr">
        <is>
          <t>Buah</t>
        </is>
      </c>
      <c r="E1380" s="4" t="n">
        <v>340000</v>
      </c>
    </row>
    <row r="1381">
      <c r="A1381" s="3" t="n">
        <v/>
      </c>
      <c r="B1381" s="3" t="n">
        <v/>
      </c>
      <c r="C1381" s="3" t="inlineStr">
        <is>
          <t xml:space="preserve">U-Ditch 50x60x120 cm </t>
        </is>
      </c>
      <c r="D1381" s="3" t="inlineStr">
        <is>
          <t>Buah</t>
        </is>
      </c>
      <c r="E1381" s="4" t="n">
        <v>370000</v>
      </c>
    </row>
    <row r="1382">
      <c r="A1382" s="3" t="n">
        <v/>
      </c>
      <c r="B1382" s="3" t="n">
        <v/>
      </c>
      <c r="C1382" s="3" t="inlineStr">
        <is>
          <t xml:space="preserve">U-Ditch 50x70x120 cm </t>
        </is>
      </c>
      <c r="D1382" s="3" t="inlineStr">
        <is>
          <t>Buah</t>
        </is>
      </c>
      <c r="E1382" s="4" t="n">
        <v>390000</v>
      </c>
    </row>
    <row r="1383">
      <c r="A1383" s="3" t="n">
        <v/>
      </c>
      <c r="B1383" s="3" t="n">
        <v/>
      </c>
      <c r="C1383" s="3" t="inlineStr">
        <is>
          <t xml:space="preserve">U-Ditch 60x60x120 cm </t>
        </is>
      </c>
      <c r="D1383" s="3" t="inlineStr">
        <is>
          <t>Buah</t>
        </is>
      </c>
      <c r="E1383" s="4" t="n">
        <v>420000</v>
      </c>
    </row>
    <row r="1384">
      <c r="A1384" s="3" t="n">
        <v/>
      </c>
      <c r="B1384" s="3" t="n">
        <v/>
      </c>
      <c r="C1384" s="3" t="inlineStr">
        <is>
          <t xml:space="preserve">U-Ditch 60x70x120 cm </t>
        </is>
      </c>
      <c r="D1384" s="3" t="inlineStr">
        <is>
          <t>Buah</t>
        </is>
      </c>
      <c r="E1384" s="4" t="n">
        <v>440000</v>
      </c>
    </row>
    <row r="1385">
      <c r="A1385" s="3" t="n">
        <v/>
      </c>
      <c r="B1385" s="3" t="n">
        <v/>
      </c>
      <c r="C1385" s="3" t="inlineStr">
        <is>
          <t xml:space="preserve">U-Ditch 60x80x120 cm </t>
        </is>
      </c>
      <c r="D1385" s="3" t="inlineStr">
        <is>
          <t>Buah</t>
        </is>
      </c>
      <c r="E1385" s="4" t="n">
        <v>470000</v>
      </c>
    </row>
    <row r="1386">
      <c r="A1386" s="3" t="n">
        <v/>
      </c>
      <c r="B1386" s="3" t="n">
        <v/>
      </c>
      <c r="C1386" s="3" t="inlineStr">
        <is>
          <t xml:space="preserve">U-Ditch 80x60x120 cm </t>
        </is>
      </c>
      <c r="D1386" s="3" t="inlineStr">
        <is>
          <t>Buah</t>
        </is>
      </c>
      <c r="E1386" s="4" t="n">
        <v>490000</v>
      </c>
    </row>
    <row r="1387">
      <c r="A1387" s="3" t="n">
        <v/>
      </c>
      <c r="B1387" s="3" t="n">
        <v/>
      </c>
      <c r="C1387" s="3" t="inlineStr">
        <is>
          <t xml:space="preserve">U-Ditch 80x80x120 cm </t>
        </is>
      </c>
      <c r="D1387" s="3" t="inlineStr">
        <is>
          <t>Buah</t>
        </is>
      </c>
      <c r="E1387" s="4" t="n">
        <v>520000</v>
      </c>
    </row>
    <row r="1388">
      <c r="A1388" s="3" t="n">
        <v/>
      </c>
      <c r="B1388" s="3" t="n">
        <v/>
      </c>
      <c r="C1388" s="3" t="inlineStr">
        <is>
          <t xml:space="preserve">U-Ditch 80x100x120 cm </t>
        </is>
      </c>
      <c r="D1388" s="3" t="inlineStr">
        <is>
          <t>Buah</t>
        </is>
      </c>
      <c r="E1388" s="4" t="n">
        <v>540000</v>
      </c>
    </row>
    <row r="1389">
      <c r="A1389" s="3" t="n">
        <v/>
      </c>
      <c r="B1389" s="3" t="n">
        <v/>
      </c>
      <c r="C1389" s="3" t="inlineStr">
        <is>
          <t xml:space="preserve">U-Ditch 100x100x120 cm </t>
        </is>
      </c>
      <c r="D1389" s="3" t="inlineStr">
        <is>
          <t>Buah</t>
        </is>
      </c>
      <c r="E1389" s="4" t="n">
        <v>570000</v>
      </c>
    </row>
    <row r="1390">
      <c r="A1390" s="3" t="n">
        <v/>
      </c>
      <c r="B1390" s="3" t="n">
        <v/>
      </c>
      <c r="C1390" s="3" t="inlineStr">
        <is>
          <t xml:space="preserve">U-Ditch 100x120x120 cm </t>
        </is>
      </c>
      <c r="D1390" s="3" t="inlineStr">
        <is>
          <t>Buah</t>
        </is>
      </c>
      <c r="E1390" s="4" t="n">
        <v>590000</v>
      </c>
    </row>
    <row r="1391">
      <c r="A1391" s="3" t="n">
        <v/>
      </c>
      <c r="B1391" s="3" t="n">
        <v/>
      </c>
      <c r="C1391" s="3" t="inlineStr">
        <is>
          <t xml:space="preserve">U-Ditch 120x120x120 cm </t>
        </is>
      </c>
      <c r="D1391" s="3" t="inlineStr">
        <is>
          <t>Buah</t>
        </is>
      </c>
      <c r="E1391" s="4" t="n">
        <v>620000</v>
      </c>
    </row>
    <row r="1392">
      <c r="A1392" s="3" t="n">
        <v/>
      </c>
      <c r="B1392" s="3" t="n">
        <v/>
      </c>
      <c r="C1392" s="3" t="inlineStr">
        <is>
          <t xml:space="preserve">U-Ditch 120x140x120 cm </t>
        </is>
      </c>
      <c r="D1392" s="3" t="inlineStr">
        <is>
          <t>Buah</t>
        </is>
      </c>
      <c r="E1392" s="4" t="n">
        <v>640000</v>
      </c>
    </row>
    <row r="1393">
      <c r="A1393" s="3" t="n">
        <v/>
      </c>
      <c r="B1393" s="3" t="n">
        <v/>
      </c>
      <c r="C1393" s="3" t="inlineStr">
        <is>
          <t xml:space="preserve">U-Ditch 140x140x120 cm </t>
        </is>
      </c>
      <c r="D1393" s="3" t="inlineStr">
        <is>
          <t>Buah</t>
        </is>
      </c>
      <c r="E1393" s="4" t="n">
        <v>670000</v>
      </c>
    </row>
    <row r="1394">
      <c r="A1394" s="3" t="n">
        <v/>
      </c>
      <c r="B1394" s="3" t="n">
        <v/>
      </c>
      <c r="C1394" s="3" t="inlineStr">
        <is>
          <t xml:space="preserve">U-Ditch 150x100x120 cm </t>
        </is>
      </c>
      <c r="D1394" s="3" t="inlineStr">
        <is>
          <t>Buah</t>
        </is>
      </c>
      <c r="E1394" s="4" t="n">
        <v>680000</v>
      </c>
    </row>
    <row r="1395">
      <c r="A1395" s="3" t="n">
        <v/>
      </c>
      <c r="B1395" s="3" t="n">
        <v/>
      </c>
      <c r="C1395" s="3" t="inlineStr">
        <is>
          <t xml:space="preserve">U-Ditch 150x150x120 cm </t>
        </is>
      </c>
      <c r="D1395" s="3" t="inlineStr">
        <is>
          <t>Buah</t>
        </is>
      </c>
      <c r="E1395" s="4" t="n">
        <v>710000</v>
      </c>
    </row>
    <row r="1396">
      <c r="A1396" s="3" t="n">
        <v/>
      </c>
      <c r="B1396" s="3" t="n">
        <v/>
      </c>
      <c r="C1396" s="3" t="inlineStr">
        <is>
          <t xml:space="preserve">U-Ditch 150x170x120 cm </t>
        </is>
      </c>
      <c r="D1396" s="3" t="inlineStr">
        <is>
          <t>Buah</t>
        </is>
      </c>
      <c r="E1396" s="4" t="n">
        <v>730000</v>
      </c>
    </row>
    <row r="1397">
      <c r="A1397" s="3" t="n">
        <v/>
      </c>
      <c r="B1397" s="3" t="n">
        <v/>
      </c>
      <c r="C1397" s="3" t="inlineStr">
        <is>
          <t xml:space="preserve">U-Ditch 160x160x120 cm </t>
        </is>
      </c>
      <c r="D1397" s="3" t="inlineStr">
        <is>
          <t>Buah</t>
        </is>
      </c>
      <c r="E1397" s="4" t="n">
        <v>750000</v>
      </c>
    </row>
    <row r="1398">
      <c r="A1398" s="3" t="n">
        <v/>
      </c>
      <c r="B1398" s="3" t="n">
        <v/>
      </c>
      <c r="C1398" s="3" t="inlineStr">
        <is>
          <t xml:space="preserve">U-Ditch 160x180x120 cm </t>
        </is>
      </c>
      <c r="D1398" s="3" t="inlineStr">
        <is>
          <t>Buah</t>
        </is>
      </c>
      <c r="E1398" s="4" t="n">
        <v>780000</v>
      </c>
    </row>
    <row r="1399">
      <c r="A1399" s="3" t="n">
        <v/>
      </c>
      <c r="B1399" s="3" t="n">
        <v/>
      </c>
      <c r="C1399" s="3" t="inlineStr">
        <is>
          <t xml:space="preserve">U-Ditch 180x180x120 cm </t>
        </is>
      </c>
      <c r="D1399" s="3" t="inlineStr">
        <is>
          <t>Buah</t>
        </is>
      </c>
      <c r="E1399" s="4" t="n">
        <v>800000</v>
      </c>
    </row>
    <row r="1400">
      <c r="A1400" s="3" t="n">
        <v/>
      </c>
      <c r="B1400" s="3" t="n">
        <v/>
      </c>
      <c r="C1400" s="3" t="inlineStr">
        <is>
          <t xml:space="preserve">U-Ditch 180x200x120 cm </t>
        </is>
      </c>
      <c r="D1400" s="3" t="inlineStr">
        <is>
          <t>Buah</t>
        </is>
      </c>
      <c r="E1400" s="4" t="n">
        <v>830000</v>
      </c>
    </row>
    <row r="1401">
      <c r="A1401" s="3" t="n">
        <v/>
      </c>
      <c r="B1401" s="3" t="n">
        <v/>
      </c>
      <c r="C1401" s="3" t="inlineStr">
        <is>
          <t xml:space="preserve">U-Ditch 200x200x120 cm </t>
        </is>
      </c>
      <c r="D1401" s="3" t="inlineStr">
        <is>
          <t>Buah</t>
        </is>
      </c>
      <c r="E1401" s="4" t="n">
        <v>850000</v>
      </c>
    </row>
    <row r="1402">
      <c r="A1402" s="3" t="n">
        <v/>
      </c>
      <c r="B1402" s="3" t="n">
        <v/>
      </c>
      <c r="C1402" s="3" t="inlineStr">
        <is>
          <t>Tutup U-Ditch 39x60x6 (tipe LD)</t>
        </is>
      </c>
      <c r="D1402" s="3" t="inlineStr">
        <is>
          <t xml:space="preserve">buah </t>
        </is>
      </c>
      <c r="E1402" s="4" t="n">
        <v>70000</v>
      </c>
    </row>
    <row r="1403">
      <c r="A1403" s="3" t="n">
        <v/>
      </c>
      <c r="B1403" s="3" t="n">
        <v/>
      </c>
      <c r="C1403" s="3" t="inlineStr">
        <is>
          <t>Tutup U-Ditch 51x60x7 (tipe LD)</t>
        </is>
      </c>
      <c r="D1403" s="3" t="inlineStr">
        <is>
          <t xml:space="preserve">buah </t>
        </is>
      </c>
      <c r="E1403" s="4" t="n">
        <v>100000</v>
      </c>
    </row>
    <row r="1404">
      <c r="A1404" s="3" t="n">
        <v/>
      </c>
      <c r="B1404" s="3" t="n">
        <v/>
      </c>
      <c r="C1404" s="3" t="inlineStr">
        <is>
          <t>Tutup U-Ditch 62x60x7,5 (tipe LD)</t>
        </is>
      </c>
      <c r="D1404" s="3" t="inlineStr">
        <is>
          <t xml:space="preserve">buah </t>
        </is>
      </c>
      <c r="E1404" s="4" t="n">
        <v>125000</v>
      </c>
    </row>
    <row r="1405">
      <c r="A1405" s="3" t="n">
        <v/>
      </c>
      <c r="B1405" s="3" t="n">
        <v/>
      </c>
      <c r="C1405" s="3" t="inlineStr">
        <is>
          <t>Tutup U-Ditch 73x60x7,8 (tipe LD)</t>
        </is>
      </c>
      <c r="D1405" s="3" t="inlineStr">
        <is>
          <t>buah</t>
        </is>
      </c>
      <c r="E1405" s="4" t="n">
        <v>165000</v>
      </c>
    </row>
    <row r="1406">
      <c r="A1406" s="3" t="n">
        <v/>
      </c>
      <c r="B1406" s="3" t="n">
        <v/>
      </c>
      <c r="C1406" s="3" t="inlineStr">
        <is>
          <t>Tutup U-Ditch 94x60x10 (tipe LD)</t>
        </is>
      </c>
      <c r="D1406" s="3" t="inlineStr">
        <is>
          <t xml:space="preserve">buah </t>
        </is>
      </c>
      <c r="E1406" s="4" t="n">
        <v>195000</v>
      </c>
    </row>
    <row r="1407">
      <c r="A1407" s="3" t="n">
        <v/>
      </c>
      <c r="B1407" s="3" t="n">
        <v/>
      </c>
      <c r="C1407" s="3" t="inlineStr">
        <is>
          <t>Tutup U-Ditch 39x60x9 (tipe HD)</t>
        </is>
      </c>
      <c r="D1407" s="3" t="inlineStr">
        <is>
          <t xml:space="preserve">buah </t>
        </is>
      </c>
      <c r="E1407" s="4" t="n">
        <v>125000</v>
      </c>
    </row>
    <row r="1408">
      <c r="A1408" s="3" t="n">
        <v/>
      </c>
      <c r="B1408" s="3" t="n">
        <v/>
      </c>
      <c r="C1408" s="3" t="inlineStr">
        <is>
          <t>Tutup U-Ditch 51x60x10 (tipe HD)</t>
        </is>
      </c>
      <c r="D1408" s="3" t="inlineStr">
        <is>
          <t xml:space="preserve">buah </t>
        </is>
      </c>
      <c r="E1408" s="4" t="n">
        <v>176000</v>
      </c>
    </row>
    <row r="1409">
      <c r="A1409" s="3" t="n">
        <v/>
      </c>
      <c r="B1409" s="3" t="n">
        <v/>
      </c>
      <c r="C1409" s="3" t="inlineStr">
        <is>
          <t>Tutup U-Ditch 73x60x14 (tipe HD)</t>
        </is>
      </c>
      <c r="D1409" s="3" t="inlineStr">
        <is>
          <t xml:space="preserve">buah </t>
        </is>
      </c>
      <c r="E1409" s="4" t="n">
        <v>235000</v>
      </c>
    </row>
    <row r="1410">
      <c r="A1410" s="3" t="n">
        <v/>
      </c>
      <c r="B1410" s="3" t="n">
        <v/>
      </c>
      <c r="C1410" s="3" t="inlineStr">
        <is>
          <t>Tutup U-Ditch 94x60x15 (tipe HD)</t>
        </is>
      </c>
      <c r="D1410" s="3" t="inlineStr">
        <is>
          <t xml:space="preserve">Buah </t>
        </is>
      </c>
      <c r="E1410" s="4" t="n">
        <v>375000</v>
      </c>
    </row>
    <row r="1411">
      <c r="A1411" s="3" t="n">
        <v/>
      </c>
      <c r="B1411" s="3" t="n">
        <v/>
      </c>
      <c r="C1411" s="3" t="inlineStr">
        <is>
          <t>MATERIAL CAT</t>
        </is>
      </c>
      <c r="D1411" s="3" t="n">
        <v/>
      </c>
      <c r="E1411" s="4" t="n">
        <v/>
      </c>
    </row>
    <row r="1412">
      <c r="A1412" s="3" t="inlineStr">
        <is>
          <t>1</t>
        </is>
      </c>
      <c r="B1412" s="3" t="n">
        <v/>
      </c>
      <c r="C1412" s="3" t="inlineStr">
        <is>
          <t>Cat  anti karat</t>
        </is>
      </c>
      <c r="D1412" s="3" t="inlineStr">
        <is>
          <t>kg</t>
        </is>
      </c>
      <c r="E1412" s="4" t="n">
        <v>58200</v>
      </c>
    </row>
    <row r="1413">
      <c r="A1413" s="3" t="inlineStr">
        <is>
          <t>2</t>
        </is>
      </c>
      <c r="B1413" s="3" t="n">
        <v/>
      </c>
      <c r="C1413" s="3" t="inlineStr">
        <is>
          <t>Cat  besi</t>
        </is>
      </c>
      <c r="D1413" s="3" t="inlineStr">
        <is>
          <t>kg</t>
        </is>
      </c>
      <c r="E1413" s="4" t="n">
        <v>62800</v>
      </c>
    </row>
    <row r="1414">
      <c r="A1414" s="3" t="inlineStr">
        <is>
          <t>3</t>
        </is>
      </c>
      <c r="B1414" s="3" t="n">
        <v/>
      </c>
      <c r="C1414" s="3" t="inlineStr">
        <is>
          <t>Cat  coating</t>
        </is>
      </c>
      <c r="D1414" s="3" t="inlineStr">
        <is>
          <t>liter</t>
        </is>
      </c>
      <c r="E1414" s="4" t="n">
        <v>75700</v>
      </c>
    </row>
    <row r="1415">
      <c r="A1415" s="3" t="inlineStr">
        <is>
          <t>4</t>
        </is>
      </c>
      <c r="B1415" s="3" t="n">
        <v/>
      </c>
      <c r="C1415" s="3" t="inlineStr">
        <is>
          <t>Cat  genteng</t>
        </is>
      </c>
      <c r="D1415" s="3" t="inlineStr">
        <is>
          <t>kg</t>
        </is>
      </c>
      <c r="E1415" s="4" t="n">
        <v>52800</v>
      </c>
    </row>
    <row r="1416">
      <c r="A1416" s="3" t="inlineStr">
        <is>
          <t>5</t>
        </is>
      </c>
      <c r="B1416" s="3" t="n">
        <v/>
      </c>
      <c r="C1416" s="3" t="inlineStr">
        <is>
          <t>Cat  tembok per 20 kg</t>
        </is>
      </c>
      <c r="D1416" s="3" t="inlineStr">
        <is>
          <t>kg</t>
        </is>
      </c>
      <c r="E1416" s="4" t="n">
        <v>528800</v>
      </c>
    </row>
    <row r="1417">
      <c r="A1417" s="3" t="inlineStr">
        <is>
          <t>6</t>
        </is>
      </c>
      <c r="B1417" s="3" t="n">
        <v/>
      </c>
      <c r="C1417" s="3" t="inlineStr">
        <is>
          <t>Cat antara (cat besi)</t>
        </is>
      </c>
      <c r="D1417" s="3" t="inlineStr">
        <is>
          <t>kg</t>
        </is>
      </c>
      <c r="E1417" s="4" t="n">
        <v>49700</v>
      </c>
    </row>
    <row r="1418">
      <c r="A1418" s="3" t="inlineStr">
        <is>
          <t>7</t>
        </is>
      </c>
      <c r="B1418" s="3" t="n">
        <v/>
      </c>
      <c r="C1418" s="3" t="inlineStr">
        <is>
          <t>Cat dasar (cat besi)</t>
        </is>
      </c>
      <c r="D1418" s="3" t="inlineStr">
        <is>
          <t>kg</t>
        </is>
      </c>
      <c r="E1418" s="4" t="n">
        <v>52300</v>
      </c>
    </row>
    <row r="1419">
      <c r="A1419" s="3" t="inlineStr">
        <is>
          <t>8</t>
        </is>
      </c>
      <c r="B1419" s="3" t="n">
        <v/>
      </c>
      <c r="C1419" s="3" t="inlineStr">
        <is>
          <t>Cat dasar (cat kayu)</t>
        </is>
      </c>
      <c r="D1419" s="3" t="inlineStr">
        <is>
          <t>kg</t>
        </is>
      </c>
      <c r="E1419" s="4" t="n">
        <v>38200</v>
      </c>
    </row>
    <row r="1420">
      <c r="A1420" s="3" t="n">
        <v/>
      </c>
      <c r="B1420" s="3" t="n">
        <v/>
      </c>
      <c r="C1420" s="3" t="inlineStr">
        <is>
          <t>Cat kayu</t>
        </is>
      </c>
      <c r="D1420" s="3" t="inlineStr">
        <is>
          <t>kg</t>
        </is>
      </c>
      <c r="E1420" s="4" t="n">
        <v>50000</v>
      </c>
    </row>
    <row r="1421">
      <c r="A1421" s="3" t="inlineStr">
        <is>
          <t>9</t>
        </is>
      </c>
      <c r="B1421" s="3" t="n">
        <v/>
      </c>
      <c r="C1421" s="3" t="inlineStr">
        <is>
          <t>Cat dasar (cat tembok eksterior)</t>
        </is>
      </c>
      <c r="D1421" s="3" t="inlineStr">
        <is>
          <t>kg</t>
        </is>
      </c>
      <c r="E1421" s="4" t="n">
        <v>128500</v>
      </c>
    </row>
    <row r="1422">
      <c r="A1422" s="3" t="inlineStr">
        <is>
          <t>10</t>
        </is>
      </c>
      <c r="B1422" s="3" t="n">
        <v/>
      </c>
      <c r="C1422" s="3" t="inlineStr">
        <is>
          <t>Cat dasar (cat tembok interior)</t>
        </is>
      </c>
      <c r="D1422" s="3" t="inlineStr">
        <is>
          <t>kg</t>
        </is>
      </c>
      <c r="E1422" s="4" t="n">
        <v>119100</v>
      </c>
    </row>
    <row r="1423">
      <c r="A1423" s="3" t="n">
        <v/>
      </c>
      <c r="B1423" s="3" t="n">
        <v/>
      </c>
      <c r="C1423" s="3" t="inlineStr">
        <is>
          <t>Cat Dasar Plafond</t>
        </is>
      </c>
      <c r="D1423" s="3" t="inlineStr">
        <is>
          <t xml:space="preserve">Kg </t>
        </is>
      </c>
      <c r="E1423" s="4" t="n">
        <v>128500</v>
      </c>
    </row>
    <row r="1424">
      <c r="A1424" s="3" t="n">
        <v/>
      </c>
      <c r="B1424" s="3" t="n">
        <v/>
      </c>
      <c r="C1424" s="3" t="inlineStr">
        <is>
          <t>Cat Plafond Eksterior</t>
        </is>
      </c>
      <c r="D1424" s="3" t="inlineStr">
        <is>
          <t>kg</t>
        </is>
      </c>
      <c r="E1424" s="4" t="n">
        <v>119100</v>
      </c>
    </row>
    <row r="1425">
      <c r="A1425" s="3" t="inlineStr">
        <is>
          <t>11</t>
        </is>
      </c>
      <c r="B1425" s="3" t="n">
        <v/>
      </c>
      <c r="C1425" s="3" t="inlineStr">
        <is>
          <t>Cat epoxy</t>
        </is>
      </c>
      <c r="D1425" s="3" t="inlineStr">
        <is>
          <t>kg</t>
        </is>
      </c>
      <c r="E1425" s="4" t="n">
        <v>30000</v>
      </c>
    </row>
    <row r="1426">
      <c r="A1426" s="3" t="inlineStr">
        <is>
          <t>12</t>
        </is>
      </c>
      <c r="B1426" s="3" t="n">
        <v/>
      </c>
      <c r="C1426" s="3" t="inlineStr">
        <is>
          <t>Cat kedap  air  ( water  base)</t>
        </is>
      </c>
      <c r="D1426" s="3" t="inlineStr">
        <is>
          <t>kg</t>
        </is>
      </c>
      <c r="E1426" s="4" t="n">
        <v>53300</v>
      </c>
    </row>
    <row r="1427">
      <c r="A1427" s="3" t="inlineStr">
        <is>
          <t>13</t>
        </is>
      </c>
      <c r="B1427" s="3" t="n">
        <v/>
      </c>
      <c r="C1427" s="3" t="inlineStr">
        <is>
          <t>Cat penutup (cat besi)</t>
        </is>
      </c>
      <c r="D1427" s="3" t="inlineStr">
        <is>
          <t>kg</t>
        </is>
      </c>
      <c r="E1427" s="4" t="n">
        <v>54700</v>
      </c>
    </row>
    <row r="1428">
      <c r="A1428" s="3" t="inlineStr">
        <is>
          <t>14</t>
        </is>
      </c>
      <c r="B1428" s="3" t="n">
        <v/>
      </c>
      <c r="C1428" s="3" t="inlineStr">
        <is>
          <t>Cat penutup (cat kayu)</t>
        </is>
      </c>
      <c r="D1428" s="3" t="inlineStr">
        <is>
          <t>kg</t>
        </is>
      </c>
      <c r="E1428" s="4" t="n">
        <v>58500</v>
      </c>
    </row>
    <row r="1429">
      <c r="A1429" s="3" t="inlineStr">
        <is>
          <t>15</t>
        </is>
      </c>
      <c r="B1429" s="3" t="n">
        <v/>
      </c>
      <c r="C1429" s="3" t="inlineStr">
        <is>
          <t>Cat penutup (cat tembok eksterior)</t>
        </is>
      </c>
      <c r="D1429" s="3" t="inlineStr">
        <is>
          <t>kg</t>
        </is>
      </c>
      <c r="E1429" s="4" t="n">
        <v>136600</v>
      </c>
    </row>
    <row r="1430">
      <c r="A1430" s="3" t="inlineStr">
        <is>
          <t>16</t>
        </is>
      </c>
      <c r="B1430" s="3" t="n">
        <v/>
      </c>
      <c r="C1430" s="3" t="inlineStr">
        <is>
          <t>Cat penutup (cat tembok interior)</t>
        </is>
      </c>
      <c r="D1430" s="3" t="inlineStr">
        <is>
          <t>kg</t>
        </is>
      </c>
      <c r="E1430" s="4" t="n">
        <v>130500</v>
      </c>
    </row>
    <row r="1431">
      <c r="A1431" s="3" t="n">
        <v/>
      </c>
      <c r="B1431" s="3" t="n">
        <v/>
      </c>
      <c r="C1431" s="3" t="inlineStr">
        <is>
          <t>Cat dinding</t>
        </is>
      </c>
      <c r="D1431" s="3" t="inlineStr">
        <is>
          <t>m2</t>
        </is>
      </c>
      <c r="E1431" s="4" t="n">
        <v>25000</v>
      </c>
    </row>
    <row r="1432">
      <c r="A1432" s="3" t="inlineStr">
        <is>
          <t>17</t>
        </is>
      </c>
      <c r="B1432" s="3" t="n">
        <v/>
      </c>
      <c r="C1432" s="3" t="inlineStr">
        <is>
          <t>Cat zyncromate</t>
        </is>
      </c>
      <c r="D1432" s="3" t="inlineStr">
        <is>
          <t>kg</t>
        </is>
      </c>
      <c r="E1432" s="4" t="n">
        <v>26000</v>
      </c>
    </row>
    <row r="1433">
      <c r="A1433" s="3" t="n">
        <v/>
      </c>
      <c r="B1433" s="3" t="n">
        <v/>
      </c>
      <c r="C1433" s="3" t="inlineStr">
        <is>
          <t xml:space="preserve">Cat Thermoplast </t>
        </is>
      </c>
      <c r="D1433" s="3" t="inlineStr">
        <is>
          <t xml:space="preserve">kg </t>
        </is>
      </c>
      <c r="E1433" s="4" t="n">
        <v>29120</v>
      </c>
    </row>
    <row r="1434">
      <c r="A1434" s="3" t="n">
        <v/>
      </c>
      <c r="B1434" s="3" t="n">
        <v/>
      </c>
      <c r="C1434" s="3" t="inlineStr">
        <is>
          <t xml:space="preserve">Glass Beads </t>
        </is>
      </c>
      <c r="D1434" s="3" t="inlineStr">
        <is>
          <t>kg</t>
        </is>
      </c>
      <c r="E1434" s="4" t="n">
        <v>18000</v>
      </c>
    </row>
    <row r="1435">
      <c r="A1435" s="3" t="n">
        <v/>
      </c>
      <c r="B1435" s="3" t="n">
        <v/>
      </c>
      <c r="C1435" s="3" t="inlineStr">
        <is>
          <t xml:space="preserve">Compressor </t>
        </is>
      </c>
      <c r="D1435" s="3" t="inlineStr">
        <is>
          <t xml:space="preserve">jam </t>
        </is>
      </c>
      <c r="E1435" s="4" t="n">
        <v>92500</v>
      </c>
    </row>
    <row r="1436">
      <c r="A1436" s="3" t="n">
        <v/>
      </c>
      <c r="B1436" s="3" t="n">
        <v/>
      </c>
      <c r="C1436" s="3" t="inlineStr">
        <is>
          <t xml:space="preserve">Logo PU Akrilik 40x40 cm </t>
        </is>
      </c>
      <c r="D1436" s="3" t="inlineStr">
        <is>
          <t xml:space="preserve">buah </t>
        </is>
      </c>
      <c r="E1436" s="4" t="n">
        <v>400000</v>
      </c>
    </row>
    <row r="1437">
      <c r="A1437" s="3" t="n">
        <v/>
      </c>
      <c r="B1437" s="3" t="n">
        <v/>
      </c>
      <c r="C1437" s="3" t="inlineStr">
        <is>
          <t xml:space="preserve">Logo PU Plat Baja 80x80 cm </t>
        </is>
      </c>
      <c r="D1437" s="3" t="inlineStr">
        <is>
          <t xml:space="preserve">buah </t>
        </is>
      </c>
      <c r="E1437" s="4" t="n">
        <v>450000</v>
      </c>
    </row>
    <row r="1438">
      <c r="A1438" s="3" t="n">
        <v/>
      </c>
      <c r="B1438" s="3" t="n">
        <v/>
      </c>
      <c r="C1438" s="3" t="inlineStr">
        <is>
          <t>Nomor Rumah Akrilik 15x30 cm</t>
        </is>
      </c>
      <c r="D1438" s="3" t="inlineStr">
        <is>
          <t xml:space="preserve">buah </t>
        </is>
      </c>
      <c r="E1438" s="4" t="n">
        <v>55000</v>
      </c>
    </row>
    <row r="1439">
      <c r="A1439" s="3" t="n">
        <v/>
      </c>
      <c r="B1439" s="3" t="n">
        <v/>
      </c>
      <c r="C1439" s="3" t="inlineStr">
        <is>
          <t xml:space="preserve">Bak Cuci Piring </t>
        </is>
      </c>
      <c r="D1439" s="3" t="inlineStr">
        <is>
          <t xml:space="preserve">unit </t>
        </is>
      </c>
      <c r="E1439" s="4" t="n">
        <v>436500</v>
      </c>
    </row>
    <row r="1440">
      <c r="A1440" s="3" t="n">
        <v/>
      </c>
      <c r="B1440" s="3" t="n">
        <v/>
      </c>
      <c r="C1440" s="3" t="inlineStr">
        <is>
          <t>Shower Set</t>
        </is>
      </c>
      <c r="D1440" s="3" t="inlineStr">
        <is>
          <t>unit</t>
        </is>
      </c>
      <c r="E1440" s="4" t="n">
        <v>666000</v>
      </c>
    </row>
    <row r="1441">
      <c r="A1441" s="3" t="inlineStr">
        <is>
          <t>18</t>
        </is>
      </c>
      <c r="B1441" s="3" t="n">
        <v/>
      </c>
      <c r="C1441" s="3" t="inlineStr">
        <is>
          <t>Dempul</t>
        </is>
      </c>
      <c r="D1441" s="3" t="inlineStr">
        <is>
          <t>kg</t>
        </is>
      </c>
      <c r="E1441" s="4" t="n">
        <v>33500</v>
      </c>
    </row>
    <row r="1442">
      <c r="A1442" s="3" t="inlineStr">
        <is>
          <t>19</t>
        </is>
      </c>
      <c r="B1442" s="3" t="n">
        <v/>
      </c>
      <c r="C1442" s="3" t="inlineStr">
        <is>
          <t>Dempul jadi</t>
        </is>
      </c>
      <c r="D1442" s="3" t="inlineStr">
        <is>
          <t>kg</t>
        </is>
      </c>
      <c r="E1442" s="4" t="n">
        <v>35500</v>
      </c>
    </row>
    <row r="1443">
      <c r="A1443" s="3" t="inlineStr">
        <is>
          <t>20</t>
        </is>
      </c>
      <c r="B1443" s="3" t="n">
        <v/>
      </c>
      <c r="C1443" s="3" t="inlineStr">
        <is>
          <t>Kuas  1"</t>
        </is>
      </c>
      <c r="D1443" s="3" t="inlineStr">
        <is>
          <t>buah</t>
        </is>
      </c>
      <c r="E1443" s="4" t="n">
        <v>7100</v>
      </c>
    </row>
    <row r="1444">
      <c r="A1444" s="3" t="inlineStr">
        <is>
          <t>21</t>
        </is>
      </c>
      <c r="B1444" s="3" t="n">
        <v/>
      </c>
      <c r="C1444" s="3" t="inlineStr">
        <is>
          <t>Kuas  2"</t>
        </is>
      </c>
      <c r="D1444" s="3" t="inlineStr">
        <is>
          <t>buah</t>
        </is>
      </c>
      <c r="E1444" s="4" t="n">
        <v>9800</v>
      </c>
    </row>
    <row r="1445">
      <c r="A1445" s="3" t="inlineStr">
        <is>
          <t>22</t>
        </is>
      </c>
      <c r="B1445" s="3" t="n">
        <v/>
      </c>
      <c r="C1445" s="3" t="inlineStr">
        <is>
          <t>Kuas  4"</t>
        </is>
      </c>
      <c r="D1445" s="3" t="inlineStr">
        <is>
          <t>buah</t>
        </is>
      </c>
      <c r="E1445" s="4" t="n">
        <v>14100</v>
      </c>
    </row>
    <row r="1446">
      <c r="A1446" s="3" t="inlineStr">
        <is>
          <t>23</t>
        </is>
      </c>
      <c r="B1446" s="3" t="n">
        <v/>
      </c>
      <c r="C1446" s="3" t="inlineStr">
        <is>
          <t>Kuas 3 inch</t>
        </is>
      </c>
      <c r="D1446" s="3" t="inlineStr">
        <is>
          <t>buah</t>
        </is>
      </c>
      <c r="E1446" s="4" t="n">
        <v>10400</v>
      </c>
    </row>
    <row r="1447">
      <c r="A1447" s="3" t="inlineStr">
        <is>
          <t>24</t>
        </is>
      </c>
      <c r="B1447" s="3" t="n">
        <v/>
      </c>
      <c r="C1447" s="3" t="inlineStr">
        <is>
          <t>Melamic</t>
        </is>
      </c>
      <c r="D1447" s="3" t="inlineStr">
        <is>
          <t>kg</t>
        </is>
      </c>
      <c r="E1447" s="4" t="n">
        <v>60000</v>
      </c>
    </row>
    <row r="1448">
      <c r="A1448" s="3" t="inlineStr">
        <is>
          <t>25</t>
        </is>
      </c>
      <c r="B1448" s="3" t="n">
        <v/>
      </c>
      <c r="C1448" s="3" t="inlineStr">
        <is>
          <t>Meni besi</t>
        </is>
      </c>
      <c r="D1448" s="3" t="inlineStr">
        <is>
          <t>kg</t>
        </is>
      </c>
      <c r="E1448" s="4" t="n">
        <v>39700</v>
      </c>
    </row>
    <row r="1449">
      <c r="A1449" s="3" t="inlineStr">
        <is>
          <t>26</t>
        </is>
      </c>
      <c r="B1449" s="3" t="n">
        <v/>
      </c>
      <c r="C1449" s="3" t="inlineStr">
        <is>
          <t>Meni kayu</t>
        </is>
      </c>
      <c r="D1449" s="3" t="inlineStr">
        <is>
          <t>kg</t>
        </is>
      </c>
      <c r="E1449" s="4" t="n">
        <v>34500</v>
      </c>
    </row>
    <row r="1450">
      <c r="A1450" s="3" t="inlineStr">
        <is>
          <t>27</t>
        </is>
      </c>
      <c r="B1450" s="3" t="n">
        <v/>
      </c>
      <c r="C1450" s="3" t="inlineStr">
        <is>
          <t>Pelitur</t>
        </is>
      </c>
      <c r="D1450" s="3" t="inlineStr">
        <is>
          <t>liter</t>
        </is>
      </c>
      <c r="E1450" s="4" t="n">
        <v>73700</v>
      </c>
    </row>
    <row r="1451">
      <c r="A1451" s="3" t="inlineStr">
        <is>
          <t>28</t>
        </is>
      </c>
      <c r="B1451" s="3" t="n">
        <v/>
      </c>
      <c r="C1451" s="3" t="inlineStr">
        <is>
          <t>Pelitur jadi</t>
        </is>
      </c>
      <c r="D1451" s="3" t="inlineStr">
        <is>
          <t>liter</t>
        </is>
      </c>
      <c r="E1451" s="4" t="n">
        <v>66200</v>
      </c>
    </row>
    <row r="1452">
      <c r="A1452" s="3" t="inlineStr">
        <is>
          <t>29</t>
        </is>
      </c>
      <c r="B1452" s="3" t="n">
        <v/>
      </c>
      <c r="C1452" s="3" t="inlineStr">
        <is>
          <t>Pengencer cat kayu/besi</t>
        </is>
      </c>
      <c r="D1452" s="3" t="inlineStr">
        <is>
          <t>liter</t>
        </is>
      </c>
      <c r="E1452" s="4" t="n">
        <v>20000</v>
      </c>
    </row>
    <row r="1453">
      <c r="A1453" s="3" t="inlineStr">
        <is>
          <t>30</t>
        </is>
      </c>
      <c r="B1453" s="3" t="n">
        <v/>
      </c>
      <c r="C1453" s="3" t="inlineStr">
        <is>
          <t>Pengencer cat kayu/besi</t>
        </is>
      </c>
      <c r="D1453" s="3" t="inlineStr">
        <is>
          <t>kg</t>
        </is>
      </c>
      <c r="E1453" s="4" t="n">
        <v>17400</v>
      </c>
    </row>
    <row r="1454">
      <c r="A1454" s="3" t="inlineStr">
        <is>
          <t>31</t>
        </is>
      </c>
      <c r="B1454" s="3" t="n">
        <v/>
      </c>
      <c r="C1454" s="3" t="inlineStr">
        <is>
          <t>Pewarna Beton</t>
        </is>
      </c>
      <c r="D1454" s="3" t="inlineStr">
        <is>
          <t>kg</t>
        </is>
      </c>
      <c r="E1454" s="4" t="n">
        <v>75000</v>
      </c>
    </row>
    <row r="1455">
      <c r="A1455" s="3" t="inlineStr">
        <is>
          <t>32</t>
        </is>
      </c>
      <c r="B1455" s="3" t="n">
        <v/>
      </c>
      <c r="C1455" s="3" t="inlineStr">
        <is>
          <t>Plamir kayu</t>
        </is>
      </c>
      <c r="D1455" s="3" t="inlineStr">
        <is>
          <t>kg</t>
        </is>
      </c>
      <c r="E1455" s="4" t="n">
        <v>30100</v>
      </c>
    </row>
    <row r="1456">
      <c r="A1456" s="3" t="inlineStr">
        <is>
          <t>33</t>
        </is>
      </c>
      <c r="B1456" s="3" t="n">
        <v/>
      </c>
      <c r="C1456" s="3" t="inlineStr">
        <is>
          <t>Plamir tembok</t>
        </is>
      </c>
      <c r="D1456" s="3" t="inlineStr">
        <is>
          <t>kg</t>
        </is>
      </c>
      <c r="E1456" s="4" t="n">
        <v>26500</v>
      </c>
    </row>
    <row r="1457">
      <c r="A1457" s="3" t="inlineStr">
        <is>
          <t>34</t>
        </is>
      </c>
      <c r="B1457" s="3" t="n">
        <v/>
      </c>
      <c r="C1457" s="3" t="inlineStr">
        <is>
          <t>Sanding</t>
        </is>
      </c>
      <c r="D1457" s="3" t="inlineStr">
        <is>
          <t>kg</t>
        </is>
      </c>
      <c r="E1457" s="4" t="n">
        <v>90000</v>
      </c>
    </row>
    <row r="1458">
      <c r="A1458" s="3" t="inlineStr">
        <is>
          <t>35</t>
        </is>
      </c>
      <c r="B1458" s="3" t="n">
        <v/>
      </c>
      <c r="C1458" s="3" t="inlineStr">
        <is>
          <t>Vernis</t>
        </is>
      </c>
      <c r="D1458" s="3" t="inlineStr">
        <is>
          <t>liter</t>
        </is>
      </c>
      <c r="E1458" s="4" t="n">
        <v>44500</v>
      </c>
    </row>
    <row r="1459">
      <c r="A1459" s="3" t="inlineStr">
        <is>
          <t>36</t>
        </is>
      </c>
      <c r="B1459" s="3" t="n">
        <v/>
      </c>
      <c r="C1459" s="3" t="inlineStr">
        <is>
          <t>Wood filler</t>
        </is>
      </c>
      <c r="D1459" s="3" t="inlineStr">
        <is>
          <t>kg</t>
        </is>
      </c>
      <c r="E1459" s="4" t="n">
        <v>53000</v>
      </c>
    </row>
    <row r="1460">
      <c r="A1460" s="3" t="inlineStr">
        <is>
          <t>37</t>
        </is>
      </c>
      <c r="B1460" s="3" t="n">
        <v/>
      </c>
      <c r="C1460" s="3" t="inlineStr">
        <is>
          <t>Woodstain</t>
        </is>
      </c>
      <c r="D1460" s="3" t="inlineStr">
        <is>
          <t>kg</t>
        </is>
      </c>
      <c r="E1460" s="4" t="n">
        <v>87000</v>
      </c>
    </row>
    <row r="1461">
      <c r="A1461" s="3" t="n">
        <v/>
      </c>
      <c r="B1461" s="3" t="n">
        <v/>
      </c>
      <c r="C1461" s="3" t="inlineStr">
        <is>
          <t>MATERIAL KUNCI DAN ENGSEL</t>
        </is>
      </c>
      <c r="D1461" s="3" t="n">
        <v/>
      </c>
      <c r="E1461" s="4" t="n">
        <v/>
      </c>
    </row>
    <row r="1462">
      <c r="A1462" s="3" t="inlineStr">
        <is>
          <t>1</t>
        </is>
      </c>
      <c r="B1462" s="3" t="n">
        <v/>
      </c>
      <c r="C1462" s="3" t="inlineStr">
        <is>
          <t>1 set  kunci pintu (kw  1)</t>
        </is>
      </c>
      <c r="D1462" s="3" t="inlineStr">
        <is>
          <t>buah</t>
        </is>
      </c>
      <c r="E1462" s="4" t="n">
        <v>180900</v>
      </c>
    </row>
    <row r="1463">
      <c r="A1463" s="3" t="inlineStr">
        <is>
          <t>2</t>
        </is>
      </c>
      <c r="B1463" s="3" t="n">
        <v/>
      </c>
      <c r="C1463" s="3" t="inlineStr">
        <is>
          <t>1 set  kunci pintu (kw  2)</t>
        </is>
      </c>
      <c r="D1463" s="3" t="inlineStr">
        <is>
          <t>buah</t>
        </is>
      </c>
      <c r="E1463" s="4" t="n">
        <v>117900</v>
      </c>
    </row>
    <row r="1464">
      <c r="A1464" s="3" t="inlineStr">
        <is>
          <t>3</t>
        </is>
      </c>
      <c r="B1464" s="3" t="n">
        <v/>
      </c>
      <c r="C1464" s="3" t="inlineStr">
        <is>
          <t>1 set handle+kunci</t>
        </is>
      </c>
      <c r="D1464" s="3" t="inlineStr">
        <is>
          <t>buah</t>
        </is>
      </c>
      <c r="E1464" s="4" t="n">
        <v>279000</v>
      </c>
    </row>
    <row r="1465">
      <c r="A1465" s="3" t="inlineStr">
        <is>
          <t>4</t>
        </is>
      </c>
      <c r="B1465" s="3" t="n">
        <v/>
      </c>
      <c r="C1465" s="3" t="inlineStr">
        <is>
          <t>Door closer</t>
        </is>
      </c>
      <c r="D1465" s="3" t="inlineStr">
        <is>
          <t>buah</t>
        </is>
      </c>
      <c r="E1465" s="4" t="n">
        <v>167500</v>
      </c>
    </row>
    <row r="1466">
      <c r="A1466" s="3" t="inlineStr">
        <is>
          <t>5</t>
        </is>
      </c>
      <c r="B1466" s="3" t="n">
        <v/>
      </c>
      <c r="C1466" s="3" t="inlineStr">
        <is>
          <t>Door holder</t>
        </is>
      </c>
      <c r="D1466" s="3" t="inlineStr">
        <is>
          <t>buah</t>
        </is>
      </c>
      <c r="E1466" s="4" t="n">
        <v>81000</v>
      </c>
    </row>
    <row r="1467">
      <c r="A1467" s="3" t="inlineStr">
        <is>
          <t>6</t>
        </is>
      </c>
      <c r="B1467" s="3" t="n">
        <v/>
      </c>
      <c r="C1467" s="3" t="inlineStr">
        <is>
          <t>Door stop</t>
        </is>
      </c>
      <c r="D1467" s="3" t="inlineStr">
        <is>
          <t>buah</t>
        </is>
      </c>
      <c r="E1467" s="4" t="n">
        <v>58500</v>
      </c>
    </row>
    <row r="1468">
      <c r="A1468" s="3" t="inlineStr">
        <is>
          <t>7</t>
        </is>
      </c>
      <c r="B1468" s="3" t="n">
        <v/>
      </c>
      <c r="C1468" s="3" t="inlineStr">
        <is>
          <t>Engsel angin</t>
        </is>
      </c>
      <c r="D1468" s="3" t="inlineStr">
        <is>
          <t>buah</t>
        </is>
      </c>
      <c r="E1468" s="4" t="n">
        <v>27400</v>
      </c>
    </row>
    <row r="1469">
      <c r="A1469" s="3" t="inlineStr">
        <is>
          <t>8</t>
        </is>
      </c>
      <c r="B1469" s="3" t="n">
        <v/>
      </c>
      <c r="C1469" s="3" t="inlineStr">
        <is>
          <t>Engsel jendela</t>
        </is>
      </c>
      <c r="D1469" s="3" t="inlineStr">
        <is>
          <t>buah</t>
        </is>
      </c>
      <c r="E1469" s="4" t="n">
        <v>18900</v>
      </c>
    </row>
    <row r="1470">
      <c r="A1470" s="3" t="inlineStr">
        <is>
          <t>9</t>
        </is>
      </c>
      <c r="B1470" s="3" t="n">
        <v/>
      </c>
      <c r="C1470" s="3" t="inlineStr">
        <is>
          <t>Engsel kupu-kupu</t>
        </is>
      </c>
      <c r="D1470" s="3" t="inlineStr">
        <is>
          <t>buah</t>
        </is>
      </c>
      <c r="E1470" s="4" t="n">
        <v>41700</v>
      </c>
    </row>
    <row r="1471">
      <c r="A1471" s="3" t="inlineStr">
        <is>
          <t>10</t>
        </is>
      </c>
      <c r="B1471" s="3" t="n">
        <v/>
      </c>
      <c r="C1471" s="3" t="inlineStr">
        <is>
          <t>Engsel lengan jendela</t>
        </is>
      </c>
      <c r="D1471" s="3" t="inlineStr">
        <is>
          <t>buah</t>
        </is>
      </c>
      <c r="E1471" s="4" t="n">
        <v>26500</v>
      </c>
    </row>
    <row r="1472">
      <c r="A1472" s="3" t="inlineStr">
        <is>
          <t>11</t>
        </is>
      </c>
      <c r="B1472" s="3" t="n">
        <v/>
      </c>
      <c r="C1472" s="3" t="inlineStr">
        <is>
          <t>Engsel pintu (kw 1)</t>
        </is>
      </c>
      <c r="D1472" s="3" t="inlineStr">
        <is>
          <t>buah</t>
        </is>
      </c>
      <c r="E1472" s="4" t="n">
        <v>31500</v>
      </c>
    </row>
    <row r="1473">
      <c r="A1473" s="3" t="inlineStr">
        <is>
          <t>12</t>
        </is>
      </c>
      <c r="B1473" s="3" t="n">
        <v/>
      </c>
      <c r="C1473" s="3" t="inlineStr">
        <is>
          <t>Engsel pintu (kw 2)</t>
        </is>
      </c>
      <c r="D1473" s="3" t="inlineStr">
        <is>
          <t>buah</t>
        </is>
      </c>
      <c r="E1473" s="4" t="n">
        <v>23700</v>
      </c>
    </row>
    <row r="1474">
      <c r="A1474" s="3" t="inlineStr">
        <is>
          <t>13</t>
        </is>
      </c>
      <c r="B1474" s="3" t="n">
        <v/>
      </c>
      <c r="C1474" s="3" t="inlineStr">
        <is>
          <t>Floor hinge</t>
        </is>
      </c>
      <c r="D1474" s="3" t="inlineStr">
        <is>
          <t>buah</t>
        </is>
      </c>
      <c r="E1474" s="4" t="n">
        <v>500000</v>
      </c>
    </row>
    <row r="1475">
      <c r="A1475" s="3" t="inlineStr">
        <is>
          <t>14</t>
        </is>
      </c>
      <c r="B1475" s="3" t="n">
        <v/>
      </c>
      <c r="C1475" s="3" t="inlineStr">
        <is>
          <t>Gerendel Biasa</t>
        </is>
      </c>
      <c r="D1475" s="3" t="inlineStr">
        <is>
          <t>buah</t>
        </is>
      </c>
      <c r="E1475" s="4" t="n">
        <v>32600</v>
      </c>
    </row>
    <row r="1476">
      <c r="A1476" s="3" t="inlineStr">
        <is>
          <t>15</t>
        </is>
      </c>
      <c r="B1476" s="3" t="n">
        <v/>
      </c>
      <c r="C1476" s="3" t="inlineStr">
        <is>
          <t>Grendel</t>
        </is>
      </c>
      <c r="D1476" s="3" t="inlineStr">
        <is>
          <t>buah</t>
        </is>
      </c>
      <c r="E1476" s="4" t="n">
        <v>15000</v>
      </c>
    </row>
    <row r="1477">
      <c r="A1477" s="3" t="inlineStr">
        <is>
          <t>16</t>
        </is>
      </c>
      <c r="B1477" s="3" t="n">
        <v/>
      </c>
      <c r="C1477" s="3" t="inlineStr">
        <is>
          <t>Grendel tanam</t>
        </is>
      </c>
      <c r="D1477" s="3" t="inlineStr">
        <is>
          <t>buah</t>
        </is>
      </c>
      <c r="E1477" s="4" t="n">
        <v>150000</v>
      </c>
    </row>
    <row r="1478">
      <c r="A1478" s="3" t="inlineStr">
        <is>
          <t>17</t>
        </is>
      </c>
      <c r="B1478" s="3" t="n">
        <v/>
      </c>
      <c r="C1478" s="3" t="inlineStr">
        <is>
          <t>Handle pintu (kw  1)</t>
        </is>
      </c>
      <c r="D1478" s="3" t="inlineStr">
        <is>
          <t>buah</t>
        </is>
      </c>
      <c r="E1478" s="4" t="n">
        <v>140800</v>
      </c>
    </row>
    <row r="1479">
      <c r="A1479" s="3" t="n">
        <v/>
      </c>
      <c r="B1479" s="3" t="n">
        <v/>
      </c>
      <c r="C1479" s="3" t="inlineStr">
        <is>
          <t xml:space="preserve">Hendle Jendela </t>
        </is>
      </c>
      <c r="D1479" s="3" t="inlineStr">
        <is>
          <t xml:space="preserve">buah </t>
        </is>
      </c>
      <c r="E1479" s="4" t="n">
        <v>58500</v>
      </c>
    </row>
    <row r="1480">
      <c r="A1480" s="3" t="inlineStr">
        <is>
          <t>18</t>
        </is>
      </c>
      <c r="B1480" s="3" t="n">
        <v/>
      </c>
      <c r="C1480" s="3" t="inlineStr">
        <is>
          <t>Kait angin</t>
        </is>
      </c>
      <c r="D1480" s="3" t="inlineStr">
        <is>
          <t>buah</t>
        </is>
      </c>
      <c r="E1480" s="4" t="n">
        <v>12000</v>
      </c>
    </row>
    <row r="1481">
      <c r="A1481" s="3" t="inlineStr">
        <is>
          <t>19</t>
        </is>
      </c>
      <c r="B1481" s="3" t="n">
        <v/>
      </c>
      <c r="C1481" s="3" t="inlineStr">
        <is>
          <t>Kunci lemari</t>
        </is>
      </c>
      <c r="D1481" s="3" t="inlineStr">
        <is>
          <t>buah</t>
        </is>
      </c>
      <c r="E1481" s="4" t="n">
        <v>14100</v>
      </c>
    </row>
    <row r="1482">
      <c r="A1482" s="3" t="inlineStr">
        <is>
          <t>20</t>
        </is>
      </c>
      <c r="B1482" s="3" t="n">
        <v/>
      </c>
      <c r="C1482" s="3" t="inlineStr">
        <is>
          <t>Kunci silinder</t>
        </is>
      </c>
      <c r="D1482" s="3" t="inlineStr">
        <is>
          <t>buah</t>
        </is>
      </c>
      <c r="E1482" s="4" t="n">
        <v>70000</v>
      </c>
    </row>
    <row r="1483">
      <c r="A1483" s="3" t="inlineStr">
        <is>
          <t>21</t>
        </is>
      </c>
      <c r="B1483" s="3" t="n">
        <v/>
      </c>
      <c r="C1483" s="3" t="inlineStr">
        <is>
          <t>Kunci slot</t>
        </is>
      </c>
      <c r="D1483" s="3" t="inlineStr">
        <is>
          <t>buah</t>
        </is>
      </c>
      <c r="E1483" s="4" t="n">
        <v>101300</v>
      </c>
    </row>
    <row r="1484">
      <c r="A1484" s="3" t="inlineStr">
        <is>
          <t>23</t>
        </is>
      </c>
      <c r="B1484" s="3" t="n">
        <v/>
      </c>
      <c r="C1484" s="3" t="inlineStr">
        <is>
          <t>Kunci tanam</t>
        </is>
      </c>
      <c r="D1484" s="3" t="inlineStr">
        <is>
          <t>buah</t>
        </is>
      </c>
      <c r="E1484" s="4" t="n">
        <v>65800</v>
      </c>
    </row>
    <row r="1485">
      <c r="A1485" s="3" t="inlineStr">
        <is>
          <t>22</t>
        </is>
      </c>
      <c r="B1485" s="3" t="n">
        <v/>
      </c>
      <c r="C1485" s="3" t="inlineStr">
        <is>
          <t>Kunci tanam antik</t>
        </is>
      </c>
      <c r="D1485" s="3" t="inlineStr">
        <is>
          <t>buah</t>
        </is>
      </c>
      <c r="E1485" s="4" t="n">
        <v>144300</v>
      </c>
    </row>
    <row r="1486">
      <c r="A1486" s="3" t="inlineStr">
        <is>
          <t>23</t>
        </is>
      </c>
      <c r="B1486" s="3" t="n">
        <v/>
      </c>
      <c r="C1486" s="3" t="inlineStr">
        <is>
          <t>Kunci tanam biasa</t>
        </is>
      </c>
      <c r="D1486" s="3" t="inlineStr">
        <is>
          <t>buah</t>
        </is>
      </c>
      <c r="E1486" s="4" t="n">
        <v>65800</v>
      </c>
    </row>
    <row r="1487">
      <c r="A1487" s="3" t="inlineStr">
        <is>
          <t>24</t>
        </is>
      </c>
      <c r="B1487" s="3" t="n">
        <v/>
      </c>
      <c r="C1487" s="3" t="inlineStr">
        <is>
          <t>Kunci Tanam ex  lokal 2x  slag</t>
        </is>
      </c>
      <c r="D1487" s="3" t="inlineStr">
        <is>
          <t>buah</t>
        </is>
      </c>
      <c r="E1487" s="4" t="n">
        <v>75000</v>
      </c>
    </row>
    <row r="1488">
      <c r="A1488" s="3" t="inlineStr">
        <is>
          <t>25</t>
        </is>
      </c>
      <c r="B1488" s="3" t="n">
        <v/>
      </c>
      <c r="C1488" s="3" t="inlineStr">
        <is>
          <t>Kunci tanam kamar mandi</t>
        </is>
      </c>
      <c r="D1488" s="3" t="inlineStr">
        <is>
          <t>buah</t>
        </is>
      </c>
      <c r="E1488" s="4" t="n">
        <v>46900</v>
      </c>
    </row>
    <row r="1489">
      <c r="A1489" s="3" t="inlineStr">
        <is>
          <t>26</t>
        </is>
      </c>
      <c r="B1489" s="3" t="n">
        <v/>
      </c>
      <c r="C1489" s="3" t="inlineStr">
        <is>
          <t>Pull handle (kw  1)</t>
        </is>
      </c>
      <c r="D1489" s="3" t="inlineStr">
        <is>
          <t>buah</t>
        </is>
      </c>
      <c r="E1489" s="4" t="n">
        <v>290800</v>
      </c>
    </row>
    <row r="1490">
      <c r="A1490" s="3" t="inlineStr">
        <is>
          <t>27</t>
        </is>
      </c>
      <c r="B1490" s="3" t="n">
        <v/>
      </c>
      <c r="C1490" s="3" t="inlineStr">
        <is>
          <t>Pull handle stainless  jumbo  (kw  1)</t>
        </is>
      </c>
      <c r="D1490" s="3" t="inlineStr">
        <is>
          <t>buah</t>
        </is>
      </c>
      <c r="E1490" s="4" t="n">
        <v>435200</v>
      </c>
    </row>
    <row r="1491">
      <c r="A1491" s="3" t="inlineStr">
        <is>
          <t>28</t>
        </is>
      </c>
      <c r="B1491" s="3" t="n">
        <v/>
      </c>
      <c r="C1491" s="3" t="inlineStr">
        <is>
          <t>Rel pintu dorong</t>
        </is>
      </c>
      <c r="D1491" s="3" t="inlineStr">
        <is>
          <t>set</t>
        </is>
      </c>
      <c r="E1491" s="4" t="n">
        <v>243100</v>
      </c>
    </row>
    <row r="1492">
      <c r="A1492" s="3" t="inlineStr">
        <is>
          <t>29</t>
        </is>
      </c>
      <c r="B1492" s="3" t="n">
        <v/>
      </c>
      <c r="C1492" s="3" t="inlineStr">
        <is>
          <t>Spring knip</t>
        </is>
      </c>
      <c r="D1492" s="3" t="inlineStr">
        <is>
          <t>buah</t>
        </is>
      </c>
      <c r="E1492" s="4" t="n">
        <v>21600</v>
      </c>
    </row>
    <row r="1493">
      <c r="A1493" s="3" t="inlineStr">
        <is>
          <t>30</t>
        </is>
      </c>
      <c r="B1493" s="3" t="n">
        <v/>
      </c>
      <c r="C1493" s="3" t="inlineStr">
        <is>
          <t>Tarikan Pintu Stainless</t>
        </is>
      </c>
      <c r="D1493" s="3" t="inlineStr">
        <is>
          <t>buah</t>
        </is>
      </c>
      <c r="E1493" s="4" t="n">
        <v>60000</v>
      </c>
    </row>
    <row r="1494">
      <c r="A1494" s="3" t="inlineStr">
        <is>
          <t>31</t>
        </is>
      </c>
      <c r="B1494" s="3" t="n">
        <v/>
      </c>
      <c r="C1494" s="3" t="inlineStr">
        <is>
          <t>Venetions blinds dan vertical blinds</t>
        </is>
      </c>
      <c r="D1494" s="3" t="inlineStr">
        <is>
          <t>m2</t>
        </is>
      </c>
      <c r="E1494" s="4" t="n">
        <v>140000</v>
      </c>
    </row>
    <row r="1495">
      <c r="A1495" s="3" t="n">
        <v/>
      </c>
      <c r="B1495" s="3" t="n">
        <v/>
      </c>
      <c r="C1495" s="3" t="inlineStr">
        <is>
          <t>MATERIAL KACA</t>
        </is>
      </c>
      <c r="D1495" s="3" t="n">
        <v/>
      </c>
      <c r="E1495" s="4" t="n">
        <v/>
      </c>
    </row>
    <row r="1496">
      <c r="A1496" s="3" t="inlineStr">
        <is>
          <t>1</t>
        </is>
      </c>
      <c r="B1496" s="3" t="n">
        <v/>
      </c>
      <c r="C1496" s="3" t="inlineStr">
        <is>
          <t>Glass block 20x20 cm</t>
        </is>
      </c>
      <c r="D1496" s="3" t="inlineStr">
        <is>
          <t>buah</t>
        </is>
      </c>
      <c r="E1496" s="4" t="n">
        <v>2500</v>
      </c>
    </row>
    <row r="1497">
      <c r="A1497" s="3" t="n">
        <v/>
      </c>
      <c r="B1497" s="3" t="n">
        <v/>
      </c>
      <c r="C1497" s="3" t="inlineStr">
        <is>
          <t>Frame besi kaca nako</t>
        </is>
      </c>
      <c r="D1497" s="3" t="inlineStr">
        <is>
          <t>daun</t>
        </is>
      </c>
      <c r="E1497" s="4" t="n">
        <v>400000</v>
      </c>
    </row>
    <row r="1498">
      <c r="A1498" s="3" t="inlineStr">
        <is>
          <t>2</t>
        </is>
      </c>
      <c r="B1498" s="3" t="n">
        <v/>
      </c>
      <c r="C1498" s="3" t="inlineStr">
        <is>
          <t>Jendela nako</t>
        </is>
      </c>
      <c r="D1498" s="3" t="inlineStr">
        <is>
          <t>buah</t>
        </is>
      </c>
      <c r="E1498" s="4" t="n">
        <v>400000</v>
      </c>
    </row>
    <row r="1499">
      <c r="A1499" s="3" t="n">
        <v/>
      </c>
      <c r="B1499" s="3" t="n">
        <v/>
      </c>
      <c r="C1499" s="3" t="inlineStr">
        <is>
          <t xml:space="preserve">Jendela Kaca Upvc 2 daun </t>
        </is>
      </c>
      <c r="D1499" s="3" t="inlineStr">
        <is>
          <t xml:space="preserve">buah </t>
        </is>
      </c>
      <c r="E1499" s="4" t="n">
        <v>2000000</v>
      </c>
    </row>
    <row r="1500">
      <c r="A1500" s="3" t="n">
        <v/>
      </c>
      <c r="B1500" s="3" t="n">
        <v/>
      </c>
      <c r="C1500" s="3" t="inlineStr">
        <is>
          <t xml:space="preserve">Jendela Ornamen GRC </t>
        </is>
      </c>
      <c r="D1500" s="3" t="inlineStr">
        <is>
          <t xml:space="preserve">buah </t>
        </is>
      </c>
      <c r="E1500" s="4" t="n">
        <v>596000</v>
      </c>
    </row>
    <row r="1501">
      <c r="A1501" s="3" t="inlineStr">
        <is>
          <t>3</t>
        </is>
      </c>
      <c r="B1501" s="3" t="n">
        <v/>
      </c>
      <c r="C1501" s="3" t="inlineStr">
        <is>
          <t>Jendela Nako Rangka Aluminium (rangka+kaca 5 mm)</t>
        </is>
      </c>
      <c r="D1501" s="3" t="inlineStr">
        <is>
          <t>m2</t>
        </is>
      </c>
      <c r="E1501" s="4" t="n">
        <v>242000</v>
      </c>
    </row>
    <row r="1502">
      <c r="A1502" s="3" t="inlineStr">
        <is>
          <t>4</t>
        </is>
      </c>
      <c r="B1502" s="3" t="n">
        <v/>
      </c>
      <c r="C1502" s="3" t="inlineStr">
        <is>
          <t>Kaca buram 12mm</t>
        </is>
      </c>
      <c r="D1502" s="3" t="inlineStr">
        <is>
          <t>m2</t>
        </is>
      </c>
      <c r="E1502" s="4" t="n">
        <v>317000</v>
      </c>
    </row>
    <row r="1503">
      <c r="A1503" s="3" t="inlineStr">
        <is>
          <t>5</t>
        </is>
      </c>
      <c r="B1503" s="3" t="n">
        <v/>
      </c>
      <c r="C1503" s="3" t="inlineStr">
        <is>
          <t>Kaca cermin 5 mm</t>
        </is>
      </c>
      <c r="D1503" s="3" t="inlineStr">
        <is>
          <t>m2</t>
        </is>
      </c>
      <c r="E1503" s="4" t="n">
        <v>221400</v>
      </c>
    </row>
    <row r="1504">
      <c r="A1504" s="3" t="inlineStr">
        <is>
          <t>6</t>
        </is>
      </c>
      <c r="B1504" s="3" t="n">
        <v/>
      </c>
      <c r="C1504" s="3" t="inlineStr">
        <is>
          <t>Kaca cermin 6mm</t>
        </is>
      </c>
      <c r="D1504" s="3" t="inlineStr">
        <is>
          <t>m2</t>
        </is>
      </c>
      <c r="E1504" s="4" t="n">
        <v>270900</v>
      </c>
    </row>
    <row r="1505">
      <c r="A1505" s="3" t="inlineStr">
        <is>
          <t>7</t>
        </is>
      </c>
      <c r="B1505" s="3" t="n">
        <v/>
      </c>
      <c r="C1505" s="3" t="inlineStr">
        <is>
          <t>Kaca cermin 8 mm</t>
        </is>
      </c>
      <c r="D1505" s="3" t="inlineStr">
        <is>
          <t>m2</t>
        </is>
      </c>
      <c r="E1505" s="4" t="n">
        <v>796100</v>
      </c>
    </row>
    <row r="1506">
      <c r="A1506" s="3" t="inlineStr">
        <is>
          <t>8</t>
        </is>
      </c>
      <c r="B1506" s="3" t="n">
        <v/>
      </c>
      <c r="C1506" s="3" t="inlineStr">
        <is>
          <t>Kaca es  kabur 3 mm</t>
        </is>
      </c>
      <c r="D1506" s="3" t="inlineStr">
        <is>
          <t>m2</t>
        </is>
      </c>
      <c r="E1506" s="4" t="n">
        <v>85000</v>
      </c>
    </row>
    <row r="1507">
      <c r="A1507" s="3" t="inlineStr">
        <is>
          <t>9</t>
        </is>
      </c>
      <c r="B1507" s="3" t="n">
        <v/>
      </c>
      <c r="C1507" s="3" t="inlineStr">
        <is>
          <t>Kaca es  kabur 5 mm</t>
        </is>
      </c>
      <c r="D1507" s="3" t="inlineStr">
        <is>
          <t>m2</t>
        </is>
      </c>
      <c r="E1507" s="4" t="n">
        <v>95000</v>
      </c>
    </row>
    <row r="1508">
      <c r="A1508" s="3" t="inlineStr">
        <is>
          <t>10</t>
        </is>
      </c>
      <c r="B1508" s="3" t="n">
        <v/>
      </c>
      <c r="C1508" s="3" t="inlineStr">
        <is>
          <t>Kaca gravire 5mm</t>
        </is>
      </c>
      <c r="D1508" s="3" t="inlineStr">
        <is>
          <t>m2</t>
        </is>
      </c>
      <c r="E1508" s="4" t="n">
        <v>794400</v>
      </c>
    </row>
    <row r="1509">
      <c r="A1509" s="3" t="inlineStr">
        <is>
          <t>11</t>
        </is>
      </c>
      <c r="B1509" s="3" t="n">
        <v/>
      </c>
      <c r="C1509" s="3" t="inlineStr">
        <is>
          <t>Kaca gravire putih 5mm</t>
        </is>
      </c>
      <c r="D1509" s="3" t="inlineStr">
        <is>
          <t>m2</t>
        </is>
      </c>
      <c r="E1509" s="4" t="n">
        <v>750000</v>
      </c>
    </row>
    <row r="1510">
      <c r="A1510" s="3" t="inlineStr">
        <is>
          <t>12</t>
        </is>
      </c>
      <c r="B1510" s="3" t="n">
        <v/>
      </c>
      <c r="C1510" s="3" t="inlineStr">
        <is>
          <t>Kaca laminated 12 mm</t>
        </is>
      </c>
      <c r="D1510" s="3" t="inlineStr">
        <is>
          <t>m2</t>
        </is>
      </c>
      <c r="E1510" s="4" t="n">
        <v>900000</v>
      </c>
    </row>
    <row r="1511">
      <c r="A1511" s="3" t="inlineStr">
        <is>
          <t>13</t>
        </is>
      </c>
      <c r="B1511" s="3" t="n">
        <v/>
      </c>
      <c r="C1511" s="3" t="inlineStr">
        <is>
          <t>Kaca laminated 8 mm</t>
        </is>
      </c>
      <c r="D1511" s="3" t="inlineStr">
        <is>
          <t>m2</t>
        </is>
      </c>
      <c r="E1511" s="4" t="n">
        <v>700000</v>
      </c>
    </row>
    <row r="1512">
      <c r="A1512" s="3" t="inlineStr">
        <is>
          <t>14</t>
        </is>
      </c>
      <c r="B1512" s="3" t="n">
        <v/>
      </c>
      <c r="C1512" s="3" t="inlineStr">
        <is>
          <t>Kaca lukis  alur 5mm</t>
        </is>
      </c>
      <c r="D1512" s="3" t="inlineStr">
        <is>
          <t>m2</t>
        </is>
      </c>
      <c r="E1512" s="4" t="n">
        <v>688700</v>
      </c>
    </row>
    <row r="1513">
      <c r="A1513" s="3" t="inlineStr">
        <is>
          <t>15</t>
        </is>
      </c>
      <c r="B1513" s="3" t="n">
        <v/>
      </c>
      <c r="C1513" s="3" t="inlineStr">
        <is>
          <t>Kaca patri 5 mm</t>
        </is>
      </c>
      <c r="D1513" s="3" t="inlineStr">
        <is>
          <t>m2</t>
        </is>
      </c>
      <c r="E1513" s="4" t="n">
        <v>1516300</v>
      </c>
    </row>
    <row r="1514">
      <c r="A1514" s="3" t="inlineStr">
        <is>
          <t>16</t>
        </is>
      </c>
      <c r="B1514" s="3" t="n">
        <v/>
      </c>
      <c r="C1514" s="3" t="inlineStr">
        <is>
          <t>Kaca polos</t>
        </is>
      </c>
      <c r="D1514" s="3" t="inlineStr">
        <is>
          <t>m2</t>
        </is>
      </c>
      <c r="E1514" s="4" t="n">
        <v>120000</v>
      </c>
    </row>
    <row r="1515">
      <c r="A1515" s="3" t="inlineStr">
        <is>
          <t>16</t>
        </is>
      </c>
      <c r="B1515" s="3" t="n">
        <v/>
      </c>
      <c r="C1515" s="3" t="inlineStr">
        <is>
          <t>Kaca polos 3 mm</t>
        </is>
      </c>
      <c r="D1515" s="3" t="inlineStr">
        <is>
          <t>m2</t>
        </is>
      </c>
      <c r="E1515" s="4" t="n">
        <v>120000</v>
      </c>
    </row>
    <row r="1516">
      <c r="A1516" s="3" t="inlineStr">
        <is>
          <t>17</t>
        </is>
      </c>
      <c r="B1516" s="3" t="n">
        <v/>
      </c>
      <c r="C1516" s="3" t="inlineStr">
        <is>
          <t>Kaca polos 5 mm</t>
        </is>
      </c>
      <c r="D1516" s="3" t="inlineStr">
        <is>
          <t>m2</t>
        </is>
      </c>
      <c r="E1516" s="4" t="n">
        <v>198000</v>
      </c>
    </row>
    <row r="1517">
      <c r="A1517" s="3" t="inlineStr">
        <is>
          <t>18</t>
        </is>
      </c>
      <c r="B1517" s="3" t="n">
        <v/>
      </c>
      <c r="C1517" s="3" t="inlineStr">
        <is>
          <t>Kaca polos 6 mm</t>
        </is>
      </c>
      <c r="D1517" s="3" t="inlineStr">
        <is>
          <t>m2</t>
        </is>
      </c>
      <c r="E1517" s="4" t="n">
        <v>237000</v>
      </c>
    </row>
    <row r="1518">
      <c r="A1518" s="3" t="inlineStr">
        <is>
          <t>19</t>
        </is>
      </c>
      <c r="B1518" s="3" t="n">
        <v/>
      </c>
      <c r="C1518" s="3" t="inlineStr">
        <is>
          <t>Kaca polos 8 mm</t>
        </is>
      </c>
      <c r="D1518" s="3" t="inlineStr">
        <is>
          <t>m2</t>
        </is>
      </c>
      <c r="E1518" s="4" t="n">
        <v>226400</v>
      </c>
    </row>
    <row r="1519">
      <c r="A1519" s="3" t="inlineStr">
        <is>
          <t>20</t>
        </is>
      </c>
      <c r="B1519" s="3" t="n">
        <v/>
      </c>
      <c r="C1519" s="3" t="inlineStr">
        <is>
          <t>Kaca tanpa tripel 5mm</t>
        </is>
      </c>
      <c r="D1519" s="3" t="inlineStr">
        <is>
          <t>m2</t>
        </is>
      </c>
      <c r="E1519" s="4" t="n">
        <v>3447000</v>
      </c>
    </row>
    <row r="1520">
      <c r="A1520" s="3" t="inlineStr">
        <is>
          <t>21</t>
        </is>
      </c>
      <c r="B1520" s="3" t="n">
        <v/>
      </c>
      <c r="C1520" s="3" t="inlineStr">
        <is>
          <t>Kaca tempered 12 mm</t>
        </is>
      </c>
      <c r="D1520" s="3" t="inlineStr">
        <is>
          <t>m2</t>
        </is>
      </c>
      <c r="E1520" s="4" t="n">
        <v>600000</v>
      </c>
    </row>
    <row r="1521">
      <c r="A1521" s="3" t="inlineStr">
        <is>
          <t>22</t>
        </is>
      </c>
      <c r="B1521" s="3" t="n">
        <v/>
      </c>
      <c r="C1521" s="3" t="inlineStr">
        <is>
          <t>Kaca triple 5mm</t>
        </is>
      </c>
      <c r="D1521" s="3" t="inlineStr">
        <is>
          <t>m2</t>
        </is>
      </c>
      <c r="E1521" s="4" t="n">
        <v>3179400</v>
      </c>
    </row>
    <row r="1522">
      <c r="A1522" s="3" t="inlineStr">
        <is>
          <t>23</t>
        </is>
      </c>
      <c r="B1522" s="3" t="n">
        <v/>
      </c>
      <c r="C1522" s="3" t="inlineStr">
        <is>
          <t>Kaca triple platinum 5mm</t>
        </is>
      </c>
      <c r="D1522" s="3" t="inlineStr">
        <is>
          <t>m2</t>
        </is>
      </c>
      <c r="E1522" s="4" t="n">
        <v>3702800</v>
      </c>
    </row>
    <row r="1523">
      <c r="A1523" s="3" t="inlineStr">
        <is>
          <t>24</t>
        </is>
      </c>
      <c r="B1523" s="3" t="n">
        <v/>
      </c>
      <c r="C1523" s="3" t="inlineStr">
        <is>
          <t>Kaca wireglass 5 mm</t>
        </is>
      </c>
      <c r="D1523" s="3" t="inlineStr">
        <is>
          <t>m2</t>
        </is>
      </c>
      <c r="E1523" s="4" t="n">
        <v>144800</v>
      </c>
    </row>
    <row r="1524">
      <c r="A1524" s="3" t="inlineStr">
        <is>
          <t>25</t>
        </is>
      </c>
      <c r="B1524" s="3" t="n">
        <v/>
      </c>
      <c r="C1524" s="3" t="inlineStr">
        <is>
          <t>Profil kaca</t>
        </is>
      </c>
      <c r="D1524" s="3" t="inlineStr">
        <is>
          <t>m¹</t>
        </is>
      </c>
      <c r="E1524" s="4" t="n">
        <v>14500</v>
      </c>
    </row>
    <row r="1525">
      <c r="A1525" s="3" t="inlineStr">
        <is>
          <t>16</t>
        </is>
      </c>
      <c r="B1525" s="3" t="n">
        <v/>
      </c>
      <c r="C1525" s="3" t="inlineStr">
        <is>
          <t>Profil kaca tebal 6 mm</t>
        </is>
      </c>
      <c r="D1525" s="3" t="inlineStr">
        <is>
          <t>m2</t>
        </is>
      </c>
      <c r="E1525" s="4" t="n">
        <v>15000</v>
      </c>
    </row>
    <row r="1526">
      <c r="A1526" s="3" t="inlineStr">
        <is>
          <t>26</t>
        </is>
      </c>
      <c r="B1526" s="3" t="n">
        <v/>
      </c>
      <c r="C1526" s="3" t="inlineStr">
        <is>
          <t>Ray Band 3mm</t>
        </is>
      </c>
      <c r="D1526" s="3" t="inlineStr">
        <is>
          <t>m2</t>
        </is>
      </c>
      <c r="E1526" s="4" t="n">
        <v>85100</v>
      </c>
    </row>
    <row r="1527">
      <c r="A1527" s="3" t="inlineStr">
        <is>
          <t>27</t>
        </is>
      </c>
      <c r="B1527" s="3" t="n">
        <v/>
      </c>
      <c r="C1527" s="3" t="inlineStr">
        <is>
          <t>Ray Band 5mm</t>
        </is>
      </c>
      <c r="D1527" s="3" t="inlineStr">
        <is>
          <t>m2</t>
        </is>
      </c>
      <c r="E1527" s="4" t="n">
        <v>112400</v>
      </c>
    </row>
    <row r="1528">
      <c r="A1528" s="3" t="n">
        <v/>
      </c>
      <c r="B1528" s="3" t="n">
        <v/>
      </c>
      <c r="C1528" s="3" t="inlineStr">
        <is>
          <t>MATERIAL SANITAIR</t>
        </is>
      </c>
      <c r="D1528" s="3" t="n">
        <v/>
      </c>
      <c r="E1528" s="4" t="n">
        <v/>
      </c>
    </row>
    <row r="1529">
      <c r="A1529" s="3" t="inlineStr">
        <is>
          <t>1</t>
        </is>
      </c>
      <c r="B1529" s="3" t="n">
        <v/>
      </c>
      <c r="C1529" s="3" t="inlineStr">
        <is>
          <t>Bak  reservoir  fibreglass (kapasitas 1050  liter)</t>
        </is>
      </c>
      <c r="D1529" s="3" t="inlineStr">
        <is>
          <t>buah</t>
        </is>
      </c>
      <c r="E1529" s="4" t="n">
        <v>1793400</v>
      </c>
    </row>
    <row r="1530">
      <c r="A1530" s="3" t="inlineStr">
        <is>
          <t>2</t>
        </is>
      </c>
      <c r="B1530" s="3" t="n">
        <v/>
      </c>
      <c r="C1530" s="3" t="inlineStr">
        <is>
          <t>Bak  reservoir  fibreglass (kapasitas 1200  liter)</t>
        </is>
      </c>
      <c r="D1530" s="3" t="inlineStr">
        <is>
          <t>buah</t>
        </is>
      </c>
      <c r="E1530" s="4" t="n">
        <v>1448700</v>
      </c>
    </row>
    <row r="1531">
      <c r="A1531" s="3" t="inlineStr">
        <is>
          <t>3</t>
        </is>
      </c>
      <c r="B1531" s="3" t="n">
        <v/>
      </c>
      <c r="C1531" s="3" t="inlineStr">
        <is>
          <t>Bak  reservoir  fibreglass (kapasitas 1550  liter)</t>
        </is>
      </c>
      <c r="D1531" s="3" t="inlineStr">
        <is>
          <t>buah</t>
        </is>
      </c>
      <c r="E1531" s="4" t="n">
        <v>2125600</v>
      </c>
    </row>
    <row r="1532">
      <c r="A1532" s="3" t="inlineStr">
        <is>
          <t>4</t>
        </is>
      </c>
      <c r="B1532" s="3" t="n">
        <v/>
      </c>
      <c r="C1532" s="3" t="inlineStr">
        <is>
          <t>Bak  reservoir  fibreglass (kapasitas 2000  liter)</t>
        </is>
      </c>
      <c r="D1532" s="3" t="inlineStr">
        <is>
          <t>buah</t>
        </is>
      </c>
      <c r="E1532" s="4" t="n">
        <v>2778200</v>
      </c>
    </row>
    <row r="1533">
      <c r="A1533" s="3" t="inlineStr">
        <is>
          <t>5</t>
        </is>
      </c>
      <c r="B1533" s="3" t="n">
        <v/>
      </c>
      <c r="C1533" s="3" t="inlineStr">
        <is>
          <t>Bak  reservoir  fibreglass (kapasitas 650  liter)</t>
        </is>
      </c>
      <c r="D1533" s="3" t="inlineStr">
        <is>
          <t>buah</t>
        </is>
      </c>
      <c r="E1533" s="4" t="n">
        <v>868300</v>
      </c>
    </row>
    <row r="1534">
      <c r="A1534" s="3" t="inlineStr">
        <is>
          <t>6</t>
        </is>
      </c>
      <c r="B1534" s="3" t="n">
        <v/>
      </c>
      <c r="C1534" s="3" t="inlineStr">
        <is>
          <t>Bak cuci stainlesteel</t>
        </is>
      </c>
      <c r="D1534" s="3" t="inlineStr">
        <is>
          <t>buah</t>
        </is>
      </c>
      <c r="E1534" s="4" t="n">
        <v>230600</v>
      </c>
    </row>
    <row r="1535">
      <c r="A1535" s="3" t="inlineStr">
        <is>
          <t>7</t>
        </is>
      </c>
      <c r="B1535" s="3" t="n">
        <v/>
      </c>
      <c r="C1535" s="3" t="inlineStr">
        <is>
          <t>Bak cuci teraso</t>
        </is>
      </c>
      <c r="D1535" s="3" t="inlineStr">
        <is>
          <t>buah</t>
        </is>
      </c>
      <c r="E1535" s="4" t="n">
        <v>600000</v>
      </c>
    </row>
    <row r="1536">
      <c r="A1536" s="3" t="inlineStr">
        <is>
          <t>8</t>
        </is>
      </c>
      <c r="B1536" s="3" t="n">
        <v/>
      </c>
      <c r="C1536" s="3" t="inlineStr">
        <is>
          <t>Bak fiberglass 1 m3</t>
        </is>
      </c>
      <c r="D1536" s="3" t="inlineStr">
        <is>
          <t>buah</t>
        </is>
      </c>
      <c r="E1536" s="4" t="n">
        <v>400000</v>
      </c>
    </row>
    <row r="1537">
      <c r="A1537" s="3" t="inlineStr">
        <is>
          <t>9</t>
        </is>
      </c>
      <c r="B1537" s="3" t="n">
        <v/>
      </c>
      <c r="C1537" s="3" t="inlineStr">
        <is>
          <t>Bak fiberglass 70x70x66 cm</t>
        </is>
      </c>
      <c r="D1537" s="3" t="inlineStr">
        <is>
          <t>buah</t>
        </is>
      </c>
      <c r="E1537" s="4" t="n">
        <v>328400</v>
      </c>
    </row>
    <row r="1538">
      <c r="A1538" s="3" t="inlineStr">
        <is>
          <t>10</t>
        </is>
      </c>
      <c r="B1538" s="3" t="n">
        <v/>
      </c>
      <c r="C1538" s="3" t="inlineStr">
        <is>
          <t>Bak teraso</t>
        </is>
      </c>
      <c r="D1538" s="3" t="inlineStr">
        <is>
          <t>buah</t>
        </is>
      </c>
      <c r="E1538" s="4" t="n">
        <v>450000</v>
      </c>
    </row>
    <row r="1539">
      <c r="A1539" s="3" t="inlineStr">
        <is>
          <t>11</t>
        </is>
      </c>
      <c r="B1539" s="3" t="n">
        <v/>
      </c>
      <c r="C1539" s="3" t="inlineStr">
        <is>
          <t>Bathup</t>
        </is>
      </c>
      <c r="D1539" s="3" t="inlineStr">
        <is>
          <t>unit</t>
        </is>
      </c>
      <c r="E1539" s="4" t="n">
        <v>2500000</v>
      </c>
    </row>
    <row r="1540">
      <c r="A1540" s="3" t="inlineStr">
        <is>
          <t>12</t>
        </is>
      </c>
      <c r="B1540" s="3" t="n">
        <v/>
      </c>
      <c r="C1540" s="3" t="inlineStr">
        <is>
          <t>Carbon filter kap. 0,1 m3/hari</t>
        </is>
      </c>
      <c r="D1540" s="3" t="inlineStr">
        <is>
          <t>unit</t>
        </is>
      </c>
      <c r="E1540" s="4" t="n">
        <v>650000</v>
      </c>
    </row>
    <row r="1541">
      <c r="A1541" s="3" t="inlineStr">
        <is>
          <t>13</t>
        </is>
      </c>
      <c r="B1541" s="3" t="n">
        <v/>
      </c>
      <c r="C1541" s="3" t="inlineStr">
        <is>
          <t>Carbon filter kap. 0,6 m3/hari</t>
        </is>
      </c>
      <c r="D1541" s="3" t="inlineStr">
        <is>
          <t>unit</t>
        </is>
      </c>
      <c r="E1541" s="4" t="n">
        <v>3000000</v>
      </c>
    </row>
    <row r="1542">
      <c r="A1542" s="3" t="inlineStr">
        <is>
          <t>14</t>
        </is>
      </c>
      <c r="B1542" s="3" t="n">
        <v/>
      </c>
      <c r="C1542" s="3" t="inlineStr">
        <is>
          <t>Clean out</t>
        </is>
      </c>
      <c r="D1542" s="3" t="inlineStr">
        <is>
          <t>buah</t>
        </is>
      </c>
      <c r="E1542" s="4" t="n">
        <v>70000</v>
      </c>
    </row>
    <row r="1543">
      <c r="A1543" s="3" t="inlineStr">
        <is>
          <t>15</t>
        </is>
      </c>
      <c r="B1543" s="3" t="n">
        <v/>
      </c>
      <c r="C1543" s="3" t="inlineStr">
        <is>
          <t>Flexible hose</t>
        </is>
      </c>
      <c r="D1543" s="3" t="inlineStr">
        <is>
          <t>m'</t>
        </is>
      </c>
      <c r="E1543" s="4" t="n">
        <v>55000</v>
      </c>
    </row>
    <row r="1544">
      <c r="A1544" s="3" t="inlineStr">
        <is>
          <t>16</t>
        </is>
      </c>
      <c r="B1544" s="3" t="n">
        <v/>
      </c>
      <c r="C1544" s="3" t="inlineStr">
        <is>
          <t>Flexible hose</t>
        </is>
      </c>
      <c r="D1544" s="3" t="inlineStr">
        <is>
          <t>buah</t>
        </is>
      </c>
      <c r="E1544" s="4" t="n">
        <v>50000</v>
      </c>
    </row>
    <row r="1545">
      <c r="A1545" s="3" t="inlineStr">
        <is>
          <t>17</t>
        </is>
      </c>
      <c r="B1545" s="3" t="n">
        <v/>
      </c>
      <c r="C1545" s="3" t="inlineStr">
        <is>
          <t>Floor drain stainles steel</t>
        </is>
      </c>
      <c r="D1545" s="3" t="inlineStr">
        <is>
          <t>buah</t>
        </is>
      </c>
      <c r="E1545" s="4" t="n">
        <v>44700</v>
      </c>
    </row>
    <row r="1546">
      <c r="A1546" s="3" t="inlineStr">
        <is>
          <t>18</t>
        </is>
      </c>
      <c r="B1546" s="3" t="n">
        <v/>
      </c>
      <c r="C1546" s="3" t="inlineStr">
        <is>
          <t>Grab bar</t>
        </is>
      </c>
      <c r="D1546" s="3" t="inlineStr">
        <is>
          <t>buah</t>
        </is>
      </c>
      <c r="E1546" s="4" t="n">
        <v>120000</v>
      </c>
    </row>
    <row r="1547">
      <c r="A1547" s="3" t="inlineStr">
        <is>
          <t>19</t>
        </is>
      </c>
      <c r="B1547" s="3" t="n">
        <v/>
      </c>
      <c r="C1547" s="3" t="inlineStr">
        <is>
          <t>Grease trap central fiberglass, kap. 5 m3</t>
        </is>
      </c>
      <c r="D1547" s="3" t="inlineStr">
        <is>
          <t>unit</t>
        </is>
      </c>
      <c r="E1547" s="4" t="n">
        <v>20000000</v>
      </c>
    </row>
    <row r="1548">
      <c r="A1548" s="3" t="inlineStr">
        <is>
          <t>20</t>
        </is>
      </c>
      <c r="B1548" s="3" t="n">
        <v/>
      </c>
      <c r="C1548" s="3" t="inlineStr">
        <is>
          <t>Grease trap portable fiberglass, kap. 30 Liter</t>
        </is>
      </c>
      <c r="D1548" s="3" t="inlineStr">
        <is>
          <t>unit</t>
        </is>
      </c>
      <c r="E1548" s="4" t="n">
        <v>1000000</v>
      </c>
    </row>
    <row r="1549">
      <c r="A1549" s="3" t="inlineStr">
        <is>
          <t>21</t>
        </is>
      </c>
      <c r="B1549" s="3" t="n">
        <v/>
      </c>
      <c r="C1549" s="3" t="inlineStr">
        <is>
          <t>Grease trap portable stainless, kap. 30 Liter</t>
        </is>
      </c>
      <c r="D1549" s="3" t="inlineStr">
        <is>
          <t>unit</t>
        </is>
      </c>
      <c r="E1549" s="4" t="n">
        <v>1500000</v>
      </c>
    </row>
    <row r="1550">
      <c r="A1550" s="3" t="inlineStr">
        <is>
          <t>22</t>
        </is>
      </c>
      <c r="B1550" s="3" t="n">
        <v/>
      </c>
      <c r="C1550" s="3" t="inlineStr">
        <is>
          <t>Jet washer</t>
        </is>
      </c>
      <c r="D1550" s="3" t="inlineStr">
        <is>
          <t>buah</t>
        </is>
      </c>
      <c r="E1550" s="4" t="n">
        <v>100000</v>
      </c>
    </row>
    <row r="1551">
      <c r="A1551" s="3" t="inlineStr">
        <is>
          <t>23</t>
        </is>
      </c>
      <c r="B1551" s="3" t="n">
        <v/>
      </c>
      <c r="C1551" s="3" t="inlineStr">
        <is>
          <t>Kloset duduk/monoblok</t>
        </is>
      </c>
      <c r="D1551" s="3" t="inlineStr">
        <is>
          <t>buah</t>
        </is>
      </c>
      <c r="E1551" s="4" t="n">
        <v>1490000</v>
      </c>
    </row>
    <row r="1552">
      <c r="A1552" s="3" t="inlineStr">
        <is>
          <t>24</t>
        </is>
      </c>
      <c r="B1552" s="3" t="n">
        <v/>
      </c>
      <c r="C1552" s="3" t="inlineStr">
        <is>
          <t>Kloset jongkok</t>
        </is>
      </c>
      <c r="D1552" s="3" t="inlineStr">
        <is>
          <t>buah</t>
        </is>
      </c>
      <c r="E1552" s="4" t="n">
        <v>250000</v>
      </c>
    </row>
    <row r="1553">
      <c r="A1553" s="3" t="inlineStr">
        <is>
          <t>25</t>
        </is>
      </c>
      <c r="B1553" s="3" t="n">
        <v/>
      </c>
      <c r="C1553" s="3" t="inlineStr">
        <is>
          <t>Komunal 10</t>
        </is>
      </c>
      <c r="D1553" s="3" t="inlineStr">
        <is>
          <t>unit</t>
        </is>
      </c>
      <c r="E1553" s="4" t="n">
        <v>30000000</v>
      </c>
    </row>
    <row r="1554">
      <c r="A1554" s="3" t="inlineStr">
        <is>
          <t>26</t>
        </is>
      </c>
      <c r="B1554" s="3" t="n">
        <v/>
      </c>
      <c r="C1554" s="3" t="inlineStr">
        <is>
          <t>Komunal 100</t>
        </is>
      </c>
      <c r="D1554" s="3" t="inlineStr">
        <is>
          <t>unit</t>
        </is>
      </c>
      <c r="E1554" s="4" t="n">
        <v>310000000</v>
      </c>
    </row>
    <row r="1555">
      <c r="A1555" s="3" t="inlineStr">
        <is>
          <t>27</t>
        </is>
      </c>
      <c r="B1555" s="3" t="n">
        <v/>
      </c>
      <c r="C1555" s="3" t="inlineStr">
        <is>
          <t>Komunal 125</t>
        </is>
      </c>
      <c r="D1555" s="3" t="inlineStr">
        <is>
          <t>unit</t>
        </is>
      </c>
      <c r="E1555" s="4" t="n">
        <v>390000000</v>
      </c>
    </row>
    <row r="1556">
      <c r="A1556" s="3" t="inlineStr">
        <is>
          <t>28</t>
        </is>
      </c>
      <c r="B1556" s="3" t="n">
        <v/>
      </c>
      <c r="C1556" s="3" t="inlineStr">
        <is>
          <t>Komunal 150</t>
        </is>
      </c>
      <c r="D1556" s="3" t="inlineStr">
        <is>
          <t>unit</t>
        </is>
      </c>
      <c r="E1556" s="4" t="n">
        <v>465000000</v>
      </c>
    </row>
    <row r="1557">
      <c r="A1557" s="3" t="inlineStr">
        <is>
          <t>29</t>
        </is>
      </c>
      <c r="B1557" s="3" t="n">
        <v/>
      </c>
      <c r="C1557" s="3" t="inlineStr">
        <is>
          <t>Komunal 25</t>
        </is>
      </c>
      <c r="D1557" s="3" t="inlineStr">
        <is>
          <t>unit</t>
        </is>
      </c>
      <c r="E1557" s="4" t="n">
        <v>70000000</v>
      </c>
    </row>
    <row r="1558">
      <c r="A1558" s="3" t="inlineStr">
        <is>
          <t>30</t>
        </is>
      </c>
      <c r="B1558" s="3" t="n">
        <v/>
      </c>
      <c r="C1558" s="3" t="inlineStr">
        <is>
          <t>Komunal 50</t>
        </is>
      </c>
      <c r="D1558" s="3" t="inlineStr">
        <is>
          <t>unit</t>
        </is>
      </c>
      <c r="E1558" s="4" t="n">
        <v>135000000</v>
      </c>
    </row>
    <row r="1559">
      <c r="A1559" s="3" t="inlineStr">
        <is>
          <t>31</t>
        </is>
      </c>
      <c r="B1559" s="3" t="n">
        <v/>
      </c>
      <c r="C1559" s="3" t="inlineStr">
        <is>
          <t>Komunal 75</t>
        </is>
      </c>
      <c r="D1559" s="3" t="inlineStr">
        <is>
          <t>unit</t>
        </is>
      </c>
      <c r="E1559" s="4" t="n">
        <v>245000000</v>
      </c>
    </row>
    <row r="1560">
      <c r="A1560" s="3" t="inlineStr">
        <is>
          <t>32</t>
        </is>
      </c>
      <c r="B1560" s="3" t="n">
        <v/>
      </c>
      <c r="C1560" s="3" t="inlineStr">
        <is>
          <t>Kran air</t>
        </is>
      </c>
      <c r="D1560" s="3" t="inlineStr">
        <is>
          <t>buah</t>
        </is>
      </c>
      <c r="E1560" s="4" t="n">
        <v>41700</v>
      </c>
    </row>
    <row r="1561">
      <c r="A1561" s="3" t="inlineStr">
        <is>
          <t>33</t>
        </is>
      </c>
      <c r="B1561" s="3" t="n">
        <v/>
      </c>
      <c r="C1561" s="3" t="inlineStr">
        <is>
          <t>Partisi urinoir</t>
        </is>
      </c>
      <c r="D1561" s="3" t="inlineStr">
        <is>
          <t>buah</t>
        </is>
      </c>
      <c r="E1561" s="4" t="n">
        <v>700000</v>
      </c>
    </row>
    <row r="1562">
      <c r="A1562" s="3" t="inlineStr">
        <is>
          <t>34</t>
        </is>
      </c>
      <c r="B1562" s="3" t="n">
        <v/>
      </c>
      <c r="C1562" s="3" t="inlineStr">
        <is>
          <t>Pintu kubikel</t>
        </is>
      </c>
      <c r="D1562" s="3" t="inlineStr">
        <is>
          <t>set</t>
        </is>
      </c>
      <c r="E1562" s="4" t="n">
        <v>1000000</v>
      </c>
    </row>
    <row r="1563">
      <c r="A1563" s="3" t="inlineStr">
        <is>
          <t>35</t>
        </is>
      </c>
      <c r="B1563" s="3" t="n">
        <v/>
      </c>
      <c r="C1563" s="3" t="inlineStr">
        <is>
          <t>Pompa booster 150 lpm (vertical in line-packaged)</t>
        </is>
      </c>
      <c r="D1563" s="3" t="inlineStr">
        <is>
          <t>unit</t>
        </is>
      </c>
      <c r="E1563" s="4" t="n">
        <v>1200000</v>
      </c>
    </row>
    <row r="1564">
      <c r="A1564" s="3" t="inlineStr">
        <is>
          <t>36</t>
        </is>
      </c>
      <c r="B1564" s="3" t="n">
        <v/>
      </c>
      <c r="C1564" s="3" t="inlineStr">
        <is>
          <t>Pompa booster 450 lpm (centrifugal end suction)</t>
        </is>
      </c>
      <c r="D1564" s="3" t="inlineStr">
        <is>
          <t>unit</t>
        </is>
      </c>
      <c r="E1564" s="4" t="n">
        <v>2970000</v>
      </c>
    </row>
    <row r="1565">
      <c r="A1565" s="3" t="inlineStr">
        <is>
          <t>37</t>
        </is>
      </c>
      <c r="B1565" s="3" t="n">
        <v/>
      </c>
      <c r="C1565" s="3" t="inlineStr">
        <is>
          <t>Pompa jet 100 lpm</t>
        </is>
      </c>
      <c r="D1565" s="3" t="inlineStr">
        <is>
          <t>unit</t>
        </is>
      </c>
      <c r="E1565" s="4" t="n">
        <v>2000000</v>
      </c>
    </row>
    <row r="1566">
      <c r="A1566" s="3" t="inlineStr">
        <is>
          <t>38</t>
        </is>
      </c>
      <c r="B1566" s="3" t="n">
        <v/>
      </c>
      <c r="C1566" s="3" t="inlineStr">
        <is>
          <t>Pompa jet 27 lpm</t>
        </is>
      </c>
      <c r="D1566" s="3" t="inlineStr">
        <is>
          <t>unit</t>
        </is>
      </c>
      <c r="E1566" s="4" t="n">
        <v>900000</v>
      </c>
    </row>
    <row r="1567">
      <c r="A1567" s="3" t="inlineStr">
        <is>
          <t>39</t>
        </is>
      </c>
      <c r="B1567" s="3" t="n">
        <v/>
      </c>
      <c r="C1567" s="3" t="inlineStr">
        <is>
          <t>Pompa jet 34 lpm</t>
        </is>
      </c>
      <c r="D1567" s="3" t="inlineStr">
        <is>
          <t>unit</t>
        </is>
      </c>
      <c r="E1567" s="4" t="n">
        <v>1200000</v>
      </c>
    </row>
    <row r="1568">
      <c r="A1568" s="3" t="inlineStr">
        <is>
          <t>40</t>
        </is>
      </c>
      <c r="B1568" s="3" t="n">
        <v/>
      </c>
      <c r="C1568" s="3" t="inlineStr">
        <is>
          <t>Pompa lift 250 lpm</t>
        </is>
      </c>
      <c r="D1568" s="3" t="inlineStr">
        <is>
          <t>unit</t>
        </is>
      </c>
      <c r="E1568" s="4" t="n">
        <v>3500000</v>
      </c>
    </row>
    <row r="1569">
      <c r="A1569" s="3" t="inlineStr">
        <is>
          <t>41</t>
        </is>
      </c>
      <c r="B1569" s="3" t="n">
        <v/>
      </c>
      <c r="C1569" s="3" t="inlineStr">
        <is>
          <t>Pompa lift 80 lpm</t>
        </is>
      </c>
      <c r="D1569" s="3" t="inlineStr">
        <is>
          <t>unit</t>
        </is>
      </c>
      <c r="E1569" s="4" t="n">
        <v>1000000</v>
      </c>
    </row>
    <row r="1570">
      <c r="A1570" s="3" t="n">
        <v/>
      </c>
      <c r="B1570" s="3" t="n">
        <v/>
      </c>
      <c r="C1570" s="3" t="inlineStr">
        <is>
          <t>Pompa Transfer 50 lpm (Centrifugal End Suction)</t>
        </is>
      </c>
      <c r="D1570" s="3" t="inlineStr">
        <is>
          <t>unit</t>
        </is>
      </c>
      <c r="E1570" s="4" t="n">
        <v>750000</v>
      </c>
    </row>
    <row r="1571">
      <c r="A1571" s="3" t="inlineStr">
        <is>
          <t>42</t>
        </is>
      </c>
      <c r="B1571" s="3" t="n">
        <v/>
      </c>
      <c r="C1571" s="3" t="inlineStr">
        <is>
          <t>Pompa transfer 150 lpm (centrifugal end suction)</t>
        </is>
      </c>
      <c r="D1571" s="3" t="inlineStr">
        <is>
          <t>unit</t>
        </is>
      </c>
      <c r="E1571" s="4" t="n">
        <v>1000000</v>
      </c>
    </row>
    <row r="1572">
      <c r="A1572" s="3" t="n">
        <v/>
      </c>
      <c r="B1572" s="3" t="n">
        <v/>
      </c>
      <c r="C1572" s="3" t="inlineStr">
        <is>
          <t>Pompa Transfer 500 lpm (Centrifugal End Suction)</t>
        </is>
      </c>
      <c r="D1572" s="3" t="inlineStr">
        <is>
          <t>unit</t>
        </is>
      </c>
      <c r="E1572" s="4" t="n">
        <v>5000000</v>
      </c>
    </row>
    <row r="1573">
      <c r="A1573" s="3" t="inlineStr">
        <is>
          <t>43</t>
        </is>
      </c>
      <c r="B1573" s="3" t="n">
        <v/>
      </c>
      <c r="C1573" s="3" t="inlineStr">
        <is>
          <t>Pressure tank 1.000 liter</t>
        </is>
      </c>
      <c r="D1573" s="3" t="inlineStr">
        <is>
          <t>unit</t>
        </is>
      </c>
      <c r="E1573" s="4" t="n">
        <v>17000000</v>
      </c>
    </row>
    <row r="1574">
      <c r="A1574" s="3" t="inlineStr">
        <is>
          <t>44</t>
        </is>
      </c>
      <c r="B1574" s="3" t="n">
        <v/>
      </c>
      <c r="C1574" s="3" t="inlineStr">
        <is>
          <t>Priming tank fiber 1.000 liter</t>
        </is>
      </c>
      <c r="D1574" s="3" t="inlineStr">
        <is>
          <t>unit</t>
        </is>
      </c>
      <c r="E1574" s="4" t="n">
        <v>2850000</v>
      </c>
    </row>
    <row r="1575">
      <c r="A1575" s="3" t="inlineStr">
        <is>
          <t>45</t>
        </is>
      </c>
      <c r="B1575" s="3" t="n">
        <v/>
      </c>
      <c r="C1575" s="3" t="inlineStr">
        <is>
          <t>Priming tank fiber 2.000 liter</t>
        </is>
      </c>
      <c r="D1575" s="3" t="inlineStr">
        <is>
          <t>unit</t>
        </is>
      </c>
      <c r="E1575" s="4" t="n">
        <v>4000000</v>
      </c>
    </row>
    <row r="1576">
      <c r="A1576" s="3" t="inlineStr">
        <is>
          <t>46</t>
        </is>
      </c>
      <c r="B1576" s="3" t="n">
        <v/>
      </c>
      <c r="C1576" s="3" t="inlineStr">
        <is>
          <t>Priming tank fiber 500 liter</t>
        </is>
      </c>
      <c r="D1576" s="3" t="inlineStr">
        <is>
          <t>unit</t>
        </is>
      </c>
      <c r="E1576" s="4" t="n">
        <v>1300000</v>
      </c>
    </row>
    <row r="1577">
      <c r="A1577" s="3" t="inlineStr">
        <is>
          <t>47</t>
        </is>
      </c>
      <c r="B1577" s="3" t="n">
        <v/>
      </c>
      <c r="C1577" s="3" t="inlineStr">
        <is>
          <t>Priming tank fiber 800 liter</t>
        </is>
      </c>
      <c r="D1577" s="3" t="inlineStr">
        <is>
          <t>unit</t>
        </is>
      </c>
      <c r="E1577" s="4" t="n">
        <v>2080000</v>
      </c>
    </row>
    <row r="1578">
      <c r="A1578" s="3" t="inlineStr">
        <is>
          <t>48</t>
        </is>
      </c>
      <c r="B1578" s="3" t="n">
        <v/>
      </c>
      <c r="C1578" s="3" t="inlineStr">
        <is>
          <t>Robe hook</t>
        </is>
      </c>
      <c r="D1578" s="3" t="inlineStr">
        <is>
          <t>buah</t>
        </is>
      </c>
      <c r="E1578" s="4" t="n">
        <v>70000</v>
      </c>
    </row>
    <row r="1579">
      <c r="A1579" s="3" t="inlineStr">
        <is>
          <t>49</t>
        </is>
      </c>
      <c r="B1579" s="3" t="n">
        <v/>
      </c>
      <c r="C1579" s="3" t="inlineStr">
        <is>
          <t>Roof tank fiberglass kap. 12 m3</t>
        </is>
      </c>
      <c r="D1579" s="3" t="inlineStr">
        <is>
          <t>unit</t>
        </is>
      </c>
      <c r="E1579" s="4" t="n">
        <v>36000000</v>
      </c>
    </row>
    <row r="1580">
      <c r="A1580" s="3" t="inlineStr">
        <is>
          <t>50</t>
        </is>
      </c>
      <c r="B1580" s="3" t="n">
        <v/>
      </c>
      <c r="C1580" s="3" t="inlineStr">
        <is>
          <t>Roof tank fiberglass kap. 2 m3</t>
        </is>
      </c>
      <c r="D1580" s="3" t="inlineStr">
        <is>
          <t>unit</t>
        </is>
      </c>
      <c r="E1580" s="4" t="n">
        <v>6000000</v>
      </c>
    </row>
    <row r="1581">
      <c r="A1581" s="3" t="inlineStr">
        <is>
          <t>51</t>
        </is>
      </c>
      <c r="B1581" s="3" t="n">
        <v/>
      </c>
      <c r="C1581" s="3" t="inlineStr">
        <is>
          <t>Roof tank fiberglass kap. 4 m3</t>
        </is>
      </c>
      <c r="D1581" s="3" t="inlineStr">
        <is>
          <t>unit</t>
        </is>
      </c>
      <c r="E1581" s="4" t="n">
        <v>12000000</v>
      </c>
    </row>
    <row r="1582">
      <c r="A1582" s="3" t="inlineStr">
        <is>
          <t>52</t>
        </is>
      </c>
      <c r="B1582" s="3" t="n">
        <v/>
      </c>
      <c r="C1582" s="3" t="inlineStr">
        <is>
          <t>Roof tank stainless kap. 12 m3</t>
        </is>
      </c>
      <c r="D1582" s="3" t="inlineStr">
        <is>
          <t>unit</t>
        </is>
      </c>
      <c r="E1582" s="4" t="n">
        <v>48000000</v>
      </c>
    </row>
    <row r="1583">
      <c r="A1583" s="3" t="inlineStr">
        <is>
          <t>53</t>
        </is>
      </c>
      <c r="B1583" s="3" t="n">
        <v/>
      </c>
      <c r="C1583" s="3" t="inlineStr">
        <is>
          <t>Roof tank stainless kap. 2 m3</t>
        </is>
      </c>
      <c r="D1583" s="3" t="inlineStr">
        <is>
          <t>unit</t>
        </is>
      </c>
      <c r="E1583" s="4" t="n">
        <v>6400000</v>
      </c>
    </row>
    <row r="1584">
      <c r="A1584" s="3" t="inlineStr">
        <is>
          <t>54</t>
        </is>
      </c>
      <c r="B1584" s="3" t="n">
        <v/>
      </c>
      <c r="C1584" s="3" t="inlineStr">
        <is>
          <t>Roof tank stainless kap. 4 m3</t>
        </is>
      </c>
      <c r="D1584" s="3" t="inlineStr">
        <is>
          <t>unit</t>
        </is>
      </c>
      <c r="E1584" s="4" t="n">
        <v>15000000</v>
      </c>
    </row>
    <row r="1585">
      <c r="A1585" s="3" t="inlineStr">
        <is>
          <t>55</t>
        </is>
      </c>
      <c r="B1585" s="3" t="n">
        <v/>
      </c>
      <c r="C1585" s="3" t="inlineStr">
        <is>
          <t>Sand filter kap. 0,1 m3/hari</t>
        </is>
      </c>
      <c r="D1585" s="3" t="inlineStr">
        <is>
          <t>unit</t>
        </is>
      </c>
      <c r="E1585" s="4" t="n">
        <v>2500000</v>
      </c>
    </row>
    <row r="1586">
      <c r="A1586" s="3" t="inlineStr">
        <is>
          <t>56</t>
        </is>
      </c>
      <c r="B1586" s="3" t="n">
        <v/>
      </c>
      <c r="C1586" s="3" t="inlineStr">
        <is>
          <t>Sand filter kap. 14 m3/hari</t>
        </is>
      </c>
      <c r="D1586" s="3" t="inlineStr">
        <is>
          <t>unit</t>
        </is>
      </c>
      <c r="E1586" s="4" t="n">
        <v>4800000</v>
      </c>
    </row>
    <row r="1587">
      <c r="A1587" s="3" t="inlineStr">
        <is>
          <t>57</t>
        </is>
      </c>
      <c r="B1587" s="3" t="n">
        <v/>
      </c>
      <c r="C1587" s="3" t="inlineStr">
        <is>
          <t>Sekat kubikel</t>
        </is>
      </c>
      <c r="D1587" s="3" t="inlineStr">
        <is>
          <t>m2</t>
        </is>
      </c>
      <c r="E1587" s="4" t="n">
        <v>1200000</v>
      </c>
    </row>
    <row r="1588">
      <c r="A1588" s="3" t="inlineStr">
        <is>
          <t>58</t>
        </is>
      </c>
      <c r="B1588" s="3" t="n">
        <v/>
      </c>
      <c r="C1588" s="3" t="inlineStr">
        <is>
          <t>Septic  0,6</t>
        </is>
      </c>
      <c r="D1588" s="3" t="inlineStr">
        <is>
          <t>unit</t>
        </is>
      </c>
      <c r="E1588" s="4" t="n">
        <v>3200000</v>
      </c>
    </row>
    <row r="1589">
      <c r="A1589" s="3" t="inlineStr">
        <is>
          <t>59</t>
        </is>
      </c>
      <c r="B1589" s="3" t="n">
        <v/>
      </c>
      <c r="C1589" s="3" t="inlineStr">
        <is>
          <t>Septic  0,8</t>
        </is>
      </c>
      <c r="D1589" s="3" t="inlineStr">
        <is>
          <t>unit</t>
        </is>
      </c>
      <c r="E1589" s="4" t="n">
        <v>3500000</v>
      </c>
    </row>
    <row r="1590">
      <c r="A1590" s="3" t="inlineStr">
        <is>
          <t>60</t>
        </is>
      </c>
      <c r="B1590" s="3" t="n">
        <v/>
      </c>
      <c r="C1590" s="3" t="inlineStr">
        <is>
          <t>Septic  1</t>
        </is>
      </c>
      <c r="D1590" s="3" t="inlineStr">
        <is>
          <t>unit</t>
        </is>
      </c>
      <c r="E1590" s="4" t="n">
        <v>3600000</v>
      </c>
    </row>
    <row r="1591">
      <c r="A1591" s="3" t="inlineStr">
        <is>
          <t>61</t>
        </is>
      </c>
      <c r="B1591" s="3" t="n">
        <v/>
      </c>
      <c r="C1591" s="3" t="inlineStr">
        <is>
          <t>Septic  2</t>
        </is>
      </c>
      <c r="D1591" s="3" t="inlineStr">
        <is>
          <t>unit</t>
        </is>
      </c>
      <c r="E1591" s="4" t="n">
        <v>4600000</v>
      </c>
    </row>
    <row r="1592">
      <c r="A1592" s="3" t="inlineStr">
        <is>
          <t>62</t>
        </is>
      </c>
      <c r="B1592" s="3" t="n">
        <v/>
      </c>
      <c r="C1592" s="3" t="inlineStr">
        <is>
          <t>Septic  5</t>
        </is>
      </c>
      <c r="D1592" s="3" t="inlineStr">
        <is>
          <t>unit</t>
        </is>
      </c>
      <c r="E1592" s="4" t="n">
        <v>16000000</v>
      </c>
    </row>
    <row r="1593">
      <c r="A1593" s="3" t="inlineStr">
        <is>
          <t>63</t>
        </is>
      </c>
      <c r="B1593" s="3" t="n">
        <v/>
      </c>
      <c r="C1593" s="3" t="inlineStr">
        <is>
          <t>Sewage Treatment Plant (STP) fiberglass kap. 10 m3</t>
        </is>
      </c>
      <c r="D1593" s="3" t="inlineStr">
        <is>
          <t>unit</t>
        </is>
      </c>
      <c r="E1593" s="4" t="n">
        <v>53200000</v>
      </c>
    </row>
    <row r="1594">
      <c r="A1594" s="3" t="inlineStr">
        <is>
          <t>64</t>
        </is>
      </c>
      <c r="B1594" s="3" t="n">
        <v/>
      </c>
      <c r="C1594" s="3" t="inlineStr">
        <is>
          <t>Sewage Treatment Plant (STP) fiberglass kap. 2 m3</t>
        </is>
      </c>
      <c r="D1594" s="3" t="inlineStr">
        <is>
          <t>unit</t>
        </is>
      </c>
      <c r="E1594" s="4" t="n">
        <v>19500000</v>
      </c>
    </row>
    <row r="1595">
      <c r="A1595" s="3" t="inlineStr">
        <is>
          <t>65</t>
        </is>
      </c>
      <c r="B1595" s="3" t="n">
        <v/>
      </c>
      <c r="C1595" s="3" t="inlineStr">
        <is>
          <t>Sewage Treatment Plant (STP) fiberglass kap. 30 m3</t>
        </is>
      </c>
      <c r="D1595" s="3" t="inlineStr">
        <is>
          <t>unit</t>
        </is>
      </c>
      <c r="E1595" s="4" t="n">
        <v>100000000</v>
      </c>
    </row>
    <row r="1596">
      <c r="A1596" s="3" t="inlineStr">
        <is>
          <t>66</t>
        </is>
      </c>
      <c r="B1596" s="3" t="n">
        <v/>
      </c>
      <c r="C1596" s="3" t="inlineStr">
        <is>
          <t>Sewage Treatment Plant (STP) fiberglass kap. 5 m3</t>
        </is>
      </c>
      <c r="D1596" s="3" t="inlineStr">
        <is>
          <t>unit</t>
        </is>
      </c>
      <c r="E1596" s="4" t="n">
        <v>33000000</v>
      </c>
    </row>
    <row r="1597">
      <c r="A1597" s="3" t="inlineStr">
        <is>
          <t>67</t>
        </is>
      </c>
      <c r="B1597" s="3" t="n">
        <v/>
      </c>
      <c r="C1597" s="3" t="inlineStr">
        <is>
          <t>Sewage Treatment Plant (STP) precast kap. 30 m3</t>
        </is>
      </c>
      <c r="D1597" s="3" t="inlineStr">
        <is>
          <t>unit</t>
        </is>
      </c>
      <c r="E1597" s="4" t="n">
        <v>84000000</v>
      </c>
    </row>
    <row r="1598">
      <c r="A1598" s="3" t="n">
        <v/>
      </c>
      <c r="B1598" s="3" t="n">
        <v/>
      </c>
      <c r="C1598" s="3" t="inlineStr">
        <is>
          <t>BioFilter Anaerobic Aerobic Clarifier Packed Kap. 50 m3</t>
        </is>
      </c>
      <c r="D1598" s="3" t="inlineStr">
        <is>
          <t>unit</t>
        </is>
      </c>
      <c r="E1598" s="4" t="n">
        <v>280000000</v>
      </c>
    </row>
    <row r="1599">
      <c r="A1599" s="3" t="inlineStr">
        <is>
          <t>68</t>
        </is>
      </c>
      <c r="B1599" s="3" t="n">
        <v/>
      </c>
      <c r="C1599" s="3" t="inlineStr">
        <is>
          <t>Silika filter kap. 0,1 m3/hari</t>
        </is>
      </c>
      <c r="D1599" s="3" t="inlineStr">
        <is>
          <t>unit</t>
        </is>
      </c>
      <c r="E1599" s="4" t="n">
        <v>500000</v>
      </c>
    </row>
    <row r="1600">
      <c r="A1600" s="3" t="inlineStr">
        <is>
          <t>69</t>
        </is>
      </c>
      <c r="B1600" s="3" t="n">
        <v/>
      </c>
      <c r="C1600" s="3" t="inlineStr">
        <is>
          <t>Soap holder</t>
        </is>
      </c>
      <c r="D1600" s="3" t="inlineStr">
        <is>
          <t>buah</t>
        </is>
      </c>
      <c r="E1600" s="4" t="n">
        <v>150000</v>
      </c>
    </row>
    <row r="1601">
      <c r="A1601" s="3" t="inlineStr">
        <is>
          <t>70</t>
        </is>
      </c>
      <c r="B1601" s="3" t="n">
        <v/>
      </c>
      <c r="C1601" s="3" t="inlineStr">
        <is>
          <t>Stop kran PVC 1/2"</t>
        </is>
      </c>
      <c r="D1601" s="3" t="inlineStr">
        <is>
          <t>buah</t>
        </is>
      </c>
      <c r="E1601" s="4" t="n">
        <v>4000</v>
      </c>
    </row>
    <row r="1602">
      <c r="A1602" s="3" t="inlineStr">
        <is>
          <t>71</t>
        </is>
      </c>
      <c r="B1602" s="3" t="n">
        <v/>
      </c>
      <c r="C1602" s="3" t="inlineStr">
        <is>
          <t>Stop kran PVC 3/4"</t>
        </is>
      </c>
      <c r="D1602" s="3" t="inlineStr">
        <is>
          <t>buah</t>
        </is>
      </c>
      <c r="E1602" s="4" t="n">
        <v>6000</v>
      </c>
    </row>
    <row r="1603">
      <c r="A1603" s="3" t="inlineStr">
        <is>
          <t>72</t>
        </is>
      </c>
      <c r="B1603" s="3" t="n">
        <v/>
      </c>
      <c r="C1603" s="3" t="inlineStr">
        <is>
          <t>Submersible cutter pump kap. 100 lpm</t>
        </is>
      </c>
      <c r="D1603" s="3" t="inlineStr">
        <is>
          <t>unit</t>
        </is>
      </c>
      <c r="E1603" s="4" t="n">
        <v>8500000</v>
      </c>
    </row>
    <row r="1604">
      <c r="A1604" s="3" t="n">
        <v/>
      </c>
      <c r="B1604" s="3" t="n">
        <v/>
      </c>
      <c r="C1604" s="3" t="inlineStr">
        <is>
          <t>Pompa Jenis Submersible Cutter Pump Kap. 75 LPM</t>
        </is>
      </c>
      <c r="D1604" s="3" t="inlineStr">
        <is>
          <t>unit</t>
        </is>
      </c>
      <c r="E1604" s="4" t="n">
        <v>4500000</v>
      </c>
    </row>
    <row r="1605">
      <c r="A1605" s="3" t="n">
        <v/>
      </c>
      <c r="B1605" s="3" t="n">
        <v/>
      </c>
      <c r="C1605" s="3" t="inlineStr">
        <is>
          <t>Pompa Jenis Submersible Cutter Pump Kap. 100 LPM</t>
        </is>
      </c>
      <c r="D1605" s="3" t="inlineStr">
        <is>
          <t>unit</t>
        </is>
      </c>
      <c r="E1605" s="4" t="n">
        <v>6500000</v>
      </c>
    </row>
    <row r="1606">
      <c r="A1606" s="3" t="inlineStr">
        <is>
          <t>73</t>
        </is>
      </c>
      <c r="B1606" s="3" t="n">
        <v/>
      </c>
      <c r="C1606" s="3" t="inlineStr">
        <is>
          <t>Tangki toren kap. 0,7 m3</t>
        </is>
      </c>
      <c r="D1606" s="3" t="inlineStr">
        <is>
          <t>unit</t>
        </is>
      </c>
      <c r="E1606" s="4" t="n">
        <v>1100000</v>
      </c>
    </row>
    <row r="1607">
      <c r="A1607" s="3" t="inlineStr">
        <is>
          <t>74</t>
        </is>
      </c>
      <c r="B1607" s="3" t="n">
        <v/>
      </c>
      <c r="C1607" s="3" t="inlineStr">
        <is>
          <t>Tangki toren kap. 1,5 m3</t>
        </is>
      </c>
      <c r="D1607" s="3" t="inlineStr">
        <is>
          <t>unit</t>
        </is>
      </c>
      <c r="E1607" s="4" t="n">
        <v>1700000</v>
      </c>
    </row>
    <row r="1608">
      <c r="A1608" s="3" t="inlineStr">
        <is>
          <t>75</t>
        </is>
      </c>
      <c r="B1608" s="3" t="n">
        <v/>
      </c>
      <c r="C1608" s="3" t="inlineStr">
        <is>
          <t>Tangki toren kap. 2,5 m3</t>
        </is>
      </c>
      <c r="D1608" s="3" t="inlineStr">
        <is>
          <t>unit</t>
        </is>
      </c>
      <c r="E1608" s="4" t="n">
        <v>3400000</v>
      </c>
    </row>
    <row r="1609">
      <c r="A1609" s="3" t="inlineStr">
        <is>
          <t>76</t>
        </is>
      </c>
      <c r="B1609" s="3" t="n">
        <v/>
      </c>
      <c r="C1609" s="3" t="inlineStr">
        <is>
          <t>Tangki toren kap. 3 m3</t>
        </is>
      </c>
      <c r="D1609" s="3" t="inlineStr">
        <is>
          <t>unit</t>
        </is>
      </c>
      <c r="E1609" s="4" t="n">
        <v>4600000</v>
      </c>
    </row>
    <row r="1610">
      <c r="A1610" s="3" t="inlineStr">
        <is>
          <t>77</t>
        </is>
      </c>
      <c r="B1610" s="3" t="n">
        <v/>
      </c>
      <c r="C1610" s="3" t="inlineStr">
        <is>
          <t>Tangki toren kap. 4 m3</t>
        </is>
      </c>
      <c r="D1610" s="3" t="inlineStr">
        <is>
          <t>unit</t>
        </is>
      </c>
      <c r="E1610" s="4" t="n">
        <v>5500000</v>
      </c>
    </row>
    <row r="1611">
      <c r="A1611" s="3" t="inlineStr">
        <is>
          <t>78</t>
        </is>
      </c>
      <c r="B1611" s="3" t="n">
        <v/>
      </c>
      <c r="C1611" s="3" t="inlineStr">
        <is>
          <t>Tangki toren kap. 5 m3</t>
        </is>
      </c>
      <c r="D1611" s="3" t="inlineStr">
        <is>
          <t>unit</t>
        </is>
      </c>
      <c r="E1611" s="4" t="n">
        <v>6900000</v>
      </c>
    </row>
    <row r="1612">
      <c r="A1612" s="3" t="inlineStr">
        <is>
          <t>79</t>
        </is>
      </c>
      <c r="B1612" s="3" t="n">
        <v/>
      </c>
      <c r="C1612" s="3" t="inlineStr">
        <is>
          <t>Tangki toren kap. 5,5 m3</t>
        </is>
      </c>
      <c r="D1612" s="3" t="inlineStr">
        <is>
          <t>unit</t>
        </is>
      </c>
      <c r="E1612" s="4" t="n">
        <v>7100000</v>
      </c>
    </row>
    <row r="1613">
      <c r="A1613" s="3" t="inlineStr">
        <is>
          <t>80</t>
        </is>
      </c>
      <c r="B1613" s="3" t="n">
        <v/>
      </c>
      <c r="C1613" s="3" t="inlineStr">
        <is>
          <t>Tangki toren kap. 6 m3</t>
        </is>
      </c>
      <c r="D1613" s="3" t="inlineStr">
        <is>
          <t>unit</t>
        </is>
      </c>
      <c r="E1613" s="4" t="n">
        <v>7850000</v>
      </c>
    </row>
    <row r="1614">
      <c r="A1614" s="3" t="n">
        <v/>
      </c>
      <c r="B1614" s="3" t="n">
        <v/>
      </c>
      <c r="C1614" s="3" t="inlineStr">
        <is>
          <t>Tangki Panel FRP kap. 12 m3</t>
        </is>
      </c>
      <c r="D1614" s="3" t="inlineStr">
        <is>
          <t xml:space="preserve">unit </t>
        </is>
      </c>
      <c r="E1614" s="4" t="n">
        <v>15000000</v>
      </c>
    </row>
    <row r="1615">
      <c r="A1615" s="3" t="n">
        <v/>
      </c>
      <c r="B1615" s="3" t="n">
        <v/>
      </c>
      <c r="C1615" s="3" t="inlineStr">
        <is>
          <t>Tangki panel Stainless Steel kapasitas 12 m3 + Material Bantu / Aksesoris</t>
        </is>
      </c>
      <c r="D1615" s="3" t="inlineStr">
        <is>
          <t xml:space="preserve">Unit </t>
        </is>
      </c>
      <c r="E1615" s="4" t="n">
        <v>12500000</v>
      </c>
    </row>
    <row r="1616">
      <c r="A1616" s="3" t="n">
        <v/>
      </c>
      <c r="B1616" s="3" t="n">
        <v/>
      </c>
      <c r="C1616" s="3" t="inlineStr">
        <is>
          <t>Tangki panel GRP
kapasitas 12 m3 +
Material Bantu /
Aksesoris</t>
        </is>
      </c>
      <c r="D1616" s="3" t="inlineStr">
        <is>
          <t xml:space="preserve">Unit </t>
        </is>
      </c>
      <c r="E1616" s="4" t="n">
        <v>12000000</v>
      </c>
    </row>
    <row r="1617">
      <c r="A1617" s="3" t="n">
        <v/>
      </c>
      <c r="B1617" s="3" t="n">
        <v/>
      </c>
      <c r="C1617" s="3" t="inlineStr">
        <is>
          <t>Tangki panel GRP kapasitas 16 m3 + Material Bantu / Aksesoris</t>
        </is>
      </c>
      <c r="D1617" s="3" t="inlineStr">
        <is>
          <t xml:space="preserve">Unit </t>
        </is>
      </c>
      <c r="E1617" s="4" t="n">
        <v>18000000</v>
      </c>
    </row>
    <row r="1618">
      <c r="A1618" s="3" t="n">
        <v/>
      </c>
      <c r="B1618" s="3" t="n">
        <v/>
      </c>
      <c r="C1618" s="3" t="inlineStr">
        <is>
          <t>Tangki Toren Kapasitas 0,5 m3</t>
        </is>
      </c>
      <c r="D1618" s="3" t="inlineStr">
        <is>
          <t xml:space="preserve">Unit </t>
        </is>
      </c>
      <c r="E1618" s="4" t="n">
        <v>650000</v>
      </c>
    </row>
    <row r="1619">
      <c r="A1619" s="3" t="n">
        <v/>
      </c>
      <c r="B1619" s="3" t="n">
        <v/>
      </c>
      <c r="C1619" s="3" t="inlineStr">
        <is>
          <t>Tangki Toren Kapasitas 2.2 m3</t>
        </is>
      </c>
      <c r="D1619" s="3" t="inlineStr">
        <is>
          <t xml:space="preserve">Unit </t>
        </is>
      </c>
      <c r="E1619" s="4" t="n">
        <v>1200000</v>
      </c>
    </row>
    <row r="1620">
      <c r="A1620" s="3" t="n">
        <v/>
      </c>
      <c r="B1620" s="3" t="n">
        <v/>
      </c>
      <c r="C1620" s="3" t="inlineStr">
        <is>
          <t xml:space="preserve">Pompa Jet 30 lpm </t>
        </is>
      </c>
      <c r="D1620" s="3" t="inlineStr">
        <is>
          <t>unit</t>
        </is>
      </c>
      <c r="E1620" s="4" t="n">
        <v>730000</v>
      </c>
    </row>
    <row r="1621">
      <c r="A1621" s="3" t="n">
        <v/>
      </c>
      <c r="B1621" s="3" t="n">
        <v/>
      </c>
      <c r="C1621" s="3" t="inlineStr">
        <is>
          <t>Galian tanah biasa</t>
        </is>
      </c>
      <c r="D1621" s="3" t="inlineStr">
        <is>
          <t>m3</t>
        </is>
      </c>
      <c r="E1621" s="4" t="n">
        <v>45000</v>
      </c>
    </row>
    <row r="1622">
      <c r="A1622" s="3" t="n">
        <v/>
      </c>
      <c r="B1622" s="3" t="n">
        <v/>
      </c>
      <c r="C1622" s="3" t="inlineStr">
        <is>
          <t xml:space="preserve">Urukan Tanah </t>
        </is>
      </c>
      <c r="D1622" s="3" t="inlineStr">
        <is>
          <t>m2</t>
        </is>
      </c>
      <c r="E1622" s="4" t="n">
        <v>65000</v>
      </c>
    </row>
    <row r="1623">
      <c r="A1623" s="3" t="n">
        <v/>
      </c>
      <c r="B1623" s="3" t="n">
        <v/>
      </c>
      <c r="C1623" s="3" t="inlineStr">
        <is>
          <t xml:space="preserve">Timbunan Pasir </t>
        </is>
      </c>
      <c r="D1623" s="3" t="inlineStr">
        <is>
          <t>m3</t>
        </is>
      </c>
      <c r="E1623" s="4" t="n">
        <v>150000</v>
      </c>
    </row>
    <row r="1624">
      <c r="A1624" s="3" t="n">
        <v/>
      </c>
      <c r="B1624" s="3" t="n">
        <v/>
      </c>
      <c r="C1624" s="3" t="inlineStr">
        <is>
          <t xml:space="preserve">Buis Beton 1/2 dia. 30 cm </t>
        </is>
      </c>
      <c r="D1624" s="3" t="inlineStr">
        <is>
          <t xml:space="preserve">buah </t>
        </is>
      </c>
      <c r="E1624" s="4" t="n">
        <v>93000</v>
      </c>
    </row>
    <row r="1625">
      <c r="A1625" s="3" t="n">
        <v/>
      </c>
      <c r="B1625" s="3" t="n">
        <v/>
      </c>
      <c r="C1625" s="3" t="inlineStr">
        <is>
          <t xml:space="preserve">Buis Beton 1/2 dia. 40 cm </t>
        </is>
      </c>
      <c r="D1625" s="3" t="inlineStr">
        <is>
          <t xml:space="preserve">buah </t>
        </is>
      </c>
      <c r="E1625" s="4" t="n">
        <v>110250</v>
      </c>
    </row>
    <row r="1626">
      <c r="A1626" s="3" t="n">
        <v/>
      </c>
      <c r="B1626" s="3" t="n">
        <v/>
      </c>
      <c r="C1626" s="3" t="inlineStr">
        <is>
          <t xml:space="preserve">Buis Beton 1/2 dia. 50 cm </t>
        </is>
      </c>
      <c r="D1626" s="3" t="inlineStr">
        <is>
          <t xml:space="preserve">buah </t>
        </is>
      </c>
      <c r="E1626" s="4" t="n">
        <v>115000</v>
      </c>
    </row>
    <row r="1627">
      <c r="A1627" s="3" t="n">
        <v/>
      </c>
      <c r="B1627" s="3" t="n">
        <v/>
      </c>
      <c r="C1627" s="3" t="inlineStr">
        <is>
          <t xml:space="preserve">Buis Beton 1/2 dia. 60 cm </t>
        </is>
      </c>
      <c r="D1627" s="3" t="inlineStr">
        <is>
          <t xml:space="preserve">buah </t>
        </is>
      </c>
      <c r="E1627" s="4" t="n">
        <v>125500</v>
      </c>
    </row>
    <row r="1628">
      <c r="A1628" s="3" t="n">
        <v/>
      </c>
      <c r="B1628" s="3" t="n">
        <v/>
      </c>
      <c r="C1628" s="3" t="inlineStr">
        <is>
          <t xml:space="preserve">Buis beton 1/2 dia. 80 cm </t>
        </is>
      </c>
      <c r="D1628" s="3" t="inlineStr">
        <is>
          <t xml:space="preserve">buah </t>
        </is>
      </c>
      <c r="E1628" s="4" t="n">
        <v>150600</v>
      </c>
    </row>
    <row r="1629">
      <c r="A1629" s="3" t="n">
        <v/>
      </c>
      <c r="B1629" s="3" t="n">
        <v/>
      </c>
      <c r="C1629" s="3" t="inlineStr">
        <is>
          <t xml:space="preserve">Buis Beton 1/2 dia. 100 cm </t>
        </is>
      </c>
      <c r="D1629" s="3" t="inlineStr">
        <is>
          <t xml:space="preserve">buah </t>
        </is>
      </c>
      <c r="E1629" s="4" t="n">
        <v>190000</v>
      </c>
    </row>
    <row r="1630">
      <c r="A1630" s="3" t="n">
        <v/>
      </c>
      <c r="B1630" s="3" t="n">
        <v/>
      </c>
      <c r="C1630" s="3" t="inlineStr">
        <is>
          <t xml:space="preserve">Buis Beton dia. 30 cm </t>
        </is>
      </c>
      <c r="D1630" s="3" t="inlineStr">
        <is>
          <t xml:space="preserve">buah </t>
        </is>
      </c>
      <c r="E1630" s="4" t="n">
        <v>75000</v>
      </c>
    </row>
    <row r="1631">
      <c r="A1631" s="3" t="n">
        <v/>
      </c>
      <c r="B1631" s="3" t="n">
        <v/>
      </c>
      <c r="C1631" s="3" t="inlineStr">
        <is>
          <t xml:space="preserve">Buis Beton dia. 40 cm </t>
        </is>
      </c>
      <c r="D1631" s="3" t="inlineStr">
        <is>
          <t xml:space="preserve">buah </t>
        </is>
      </c>
      <c r="E1631" s="4" t="n">
        <v>120000</v>
      </c>
    </row>
    <row r="1632">
      <c r="A1632" s="3" t="n">
        <v/>
      </c>
      <c r="B1632" s="3" t="n">
        <v/>
      </c>
      <c r="C1632" s="3" t="inlineStr">
        <is>
          <t xml:space="preserve">Buis Beton dia. 50 cm </t>
        </is>
      </c>
      <c r="D1632" s="3" t="inlineStr">
        <is>
          <t xml:space="preserve">buah </t>
        </is>
      </c>
      <c r="E1632" s="4" t="n">
        <v>150000</v>
      </c>
    </row>
    <row r="1633">
      <c r="A1633" s="3" t="n">
        <v/>
      </c>
      <c r="B1633" s="3" t="n">
        <v/>
      </c>
      <c r="C1633" s="3" t="inlineStr">
        <is>
          <t xml:space="preserve">Buis Beton dia. 60 cm </t>
        </is>
      </c>
      <c r="D1633" s="3" t="inlineStr">
        <is>
          <t xml:space="preserve">buah </t>
        </is>
      </c>
      <c r="E1633" s="4" t="n">
        <v>250000</v>
      </c>
    </row>
    <row r="1634">
      <c r="A1634" s="3" t="n">
        <v/>
      </c>
      <c r="B1634" s="3" t="n">
        <v/>
      </c>
      <c r="C1634" s="3" t="inlineStr">
        <is>
          <t xml:space="preserve">Buis beton dia. 80 cm </t>
        </is>
      </c>
      <c r="D1634" s="3" t="inlineStr">
        <is>
          <t xml:space="preserve">buah </t>
        </is>
      </c>
      <c r="E1634" s="4" t="n">
        <v>255400</v>
      </c>
    </row>
    <row r="1635">
      <c r="A1635" s="3" t="n">
        <v/>
      </c>
      <c r="B1635" s="3" t="n">
        <v/>
      </c>
      <c r="C1635" s="3" t="inlineStr">
        <is>
          <t xml:space="preserve">Buis Beton dia. 100 cm </t>
        </is>
      </c>
      <c r="D1635" s="3" t="inlineStr">
        <is>
          <t xml:space="preserve">buah </t>
        </is>
      </c>
      <c r="E1635" s="4" t="n">
        <v>269500</v>
      </c>
    </row>
    <row r="1636">
      <c r="A1636" s="3" t="n">
        <v/>
      </c>
      <c r="B1636" s="3" t="n">
        <v/>
      </c>
      <c r="C1636" s="3" t="inlineStr">
        <is>
          <t xml:space="preserve">Ijuk </t>
        </is>
      </c>
      <c r="D1636" s="3" t="inlineStr">
        <is>
          <t xml:space="preserve">kg </t>
        </is>
      </c>
      <c r="E1636" s="4" t="n">
        <v>7000</v>
      </c>
    </row>
    <row r="1637">
      <c r="A1637" s="3" t="n">
        <v/>
      </c>
      <c r="B1637" s="3" t="n">
        <v/>
      </c>
      <c r="C1637" s="3" t="inlineStr">
        <is>
          <t xml:space="preserve">Beton </t>
        </is>
      </c>
      <c r="D1637" s="3" t="inlineStr">
        <is>
          <t>m3</t>
        </is>
      </c>
      <c r="E1637" s="4" t="n">
        <v>825000</v>
      </c>
    </row>
    <row r="1638">
      <c r="A1638" s="3" t="n">
        <v/>
      </c>
      <c r="B1638" s="3" t="n">
        <v/>
      </c>
      <c r="C1638" s="3" t="inlineStr">
        <is>
          <t xml:space="preserve">tulangan </t>
        </is>
      </c>
      <c r="D1638" s="3" t="inlineStr">
        <is>
          <t>kg</t>
        </is>
      </c>
      <c r="E1638" s="4" t="n">
        <v>10300</v>
      </c>
    </row>
    <row r="1639">
      <c r="A1639" s="3" t="n">
        <v/>
      </c>
      <c r="B1639" s="3" t="n">
        <v/>
      </c>
      <c r="C1639" s="3" t="inlineStr">
        <is>
          <t xml:space="preserve">Bekisting </t>
        </is>
      </c>
      <c r="D1639" s="3" t="inlineStr">
        <is>
          <t>m2</t>
        </is>
      </c>
      <c r="E1639" s="4" t="n">
        <v>37500</v>
      </c>
    </row>
    <row r="1640">
      <c r="A1640" s="3" t="n">
        <v/>
      </c>
      <c r="B1640" s="3" t="n">
        <v/>
      </c>
      <c r="C1640" s="3" t="inlineStr">
        <is>
          <t>Kanstin uk. 10x20x40</t>
        </is>
      </c>
      <c r="D1640" s="3" t="inlineStr">
        <is>
          <t xml:space="preserve">Buah </t>
        </is>
      </c>
      <c r="E1640" s="4" t="n">
        <v>27383</v>
      </c>
    </row>
    <row r="1641">
      <c r="A1641" s="3" t="n">
        <v/>
      </c>
      <c r="B1641" s="3" t="n">
        <v/>
      </c>
      <c r="C1641" s="3" t="inlineStr">
        <is>
          <t>Kanstin uk. 15x40x60</t>
        </is>
      </c>
      <c r="D1641" s="3" t="inlineStr">
        <is>
          <t xml:space="preserve">buah </t>
        </is>
      </c>
      <c r="E1641" s="4" t="n">
        <v>93000</v>
      </c>
    </row>
    <row r="1642">
      <c r="A1642" s="3" t="n">
        <v/>
      </c>
      <c r="B1642" s="3" t="n">
        <v/>
      </c>
      <c r="C1642" s="3" t="inlineStr">
        <is>
          <t>Box Culvert 40x40x100 cm</t>
        </is>
      </c>
      <c r="D1642" s="3" t="inlineStr">
        <is>
          <t xml:space="preserve">buah </t>
        </is>
      </c>
      <c r="E1642" s="4" t="n">
        <v>855000</v>
      </c>
    </row>
    <row r="1643">
      <c r="A1643" s="3" t="n">
        <v/>
      </c>
      <c r="B1643" s="3" t="n">
        <v/>
      </c>
      <c r="C1643" s="3" t="inlineStr">
        <is>
          <t>Box Culvert 50x50x100 cm</t>
        </is>
      </c>
      <c r="D1643" s="3" t="inlineStr">
        <is>
          <t xml:space="preserve">buah </t>
        </is>
      </c>
      <c r="E1643" s="4" t="n">
        <v>1119000</v>
      </c>
    </row>
    <row r="1644">
      <c r="A1644" s="3" t="n">
        <v/>
      </c>
      <c r="B1644" s="3" t="n">
        <v/>
      </c>
      <c r="C1644" s="3" t="inlineStr">
        <is>
          <t>Box Culvert 60x60x100 cm</t>
        </is>
      </c>
      <c r="D1644" s="3" t="inlineStr">
        <is>
          <t xml:space="preserve">buah </t>
        </is>
      </c>
      <c r="E1644" s="4" t="n">
        <v>1504000</v>
      </c>
    </row>
    <row r="1645">
      <c r="A1645" s="3" t="n">
        <v/>
      </c>
      <c r="B1645" s="3" t="n">
        <v/>
      </c>
      <c r="C1645" s="3" t="inlineStr">
        <is>
          <t>Box Culvert 80x80x100 cm</t>
        </is>
      </c>
      <c r="D1645" s="3" t="inlineStr">
        <is>
          <t xml:space="preserve">buah </t>
        </is>
      </c>
      <c r="E1645" s="4" t="n">
        <v>2560000</v>
      </c>
    </row>
    <row r="1646">
      <c r="A1646" s="3" t="n">
        <v/>
      </c>
      <c r="B1646" s="3" t="n">
        <v/>
      </c>
      <c r="C1646" s="3" t="inlineStr">
        <is>
          <t>Box Culvert 100x100x100 cm</t>
        </is>
      </c>
      <c r="D1646" s="3" t="inlineStr">
        <is>
          <t xml:space="preserve">buah </t>
        </is>
      </c>
      <c r="E1646" s="4" t="n">
        <v>3052000</v>
      </c>
    </row>
    <row r="1647">
      <c r="A1647" s="3" t="n">
        <v/>
      </c>
      <c r="B1647" s="3" t="n">
        <v/>
      </c>
      <c r="C1647" s="3" t="inlineStr">
        <is>
          <t>Box Culvert 150x150x100 cm</t>
        </is>
      </c>
      <c r="D1647" s="3" t="inlineStr">
        <is>
          <t xml:space="preserve">buah </t>
        </is>
      </c>
      <c r="E1647" s="4" t="n">
        <v>3570000</v>
      </c>
    </row>
    <row r="1648">
      <c r="A1648" s="3" t="n">
        <v/>
      </c>
      <c r="B1648" s="3" t="n">
        <v/>
      </c>
      <c r="C1648" s="3" t="inlineStr">
        <is>
          <t>Box Culvert 200x200x100 cm</t>
        </is>
      </c>
      <c r="D1648" s="3" t="inlineStr">
        <is>
          <t xml:space="preserve">buah </t>
        </is>
      </c>
      <c r="E1648" s="4" t="n">
        <v>3930000</v>
      </c>
    </row>
    <row r="1649">
      <c r="A1649" s="3" t="n">
        <v/>
      </c>
      <c r="B1649" s="3" t="n">
        <v/>
      </c>
      <c r="C1649" s="3" t="inlineStr">
        <is>
          <t>Box Culvert 300x300x100 cm</t>
        </is>
      </c>
      <c r="D1649" s="3" t="inlineStr">
        <is>
          <t xml:space="preserve">buah </t>
        </is>
      </c>
      <c r="E1649" s="4" t="n">
        <v>4110000</v>
      </c>
    </row>
    <row r="1650">
      <c r="A1650" s="3" t="inlineStr">
        <is>
          <t>81</t>
        </is>
      </c>
      <c r="B1650" s="3" t="n">
        <v/>
      </c>
      <c r="C1650" s="3" t="inlineStr">
        <is>
          <t>Tempat  sabun gantung</t>
        </is>
      </c>
      <c r="D1650" s="3" t="inlineStr">
        <is>
          <t>buah</t>
        </is>
      </c>
      <c r="E1650" s="4" t="n">
        <v>70100</v>
      </c>
    </row>
    <row r="1651">
      <c r="A1651" s="3" t="inlineStr">
        <is>
          <t>82</t>
        </is>
      </c>
      <c r="B1651" s="3" t="n">
        <v/>
      </c>
      <c r="C1651" s="3" t="inlineStr">
        <is>
          <t>Tempat  sabun tanam</t>
        </is>
      </c>
      <c r="D1651" s="3" t="inlineStr">
        <is>
          <t>buah</t>
        </is>
      </c>
      <c r="E1651" s="4" t="n">
        <v>53300</v>
      </c>
    </row>
    <row r="1652">
      <c r="A1652" s="3" t="inlineStr">
        <is>
          <t>83</t>
        </is>
      </c>
      <c r="B1652" s="3" t="n">
        <v/>
      </c>
      <c r="C1652" s="3" t="inlineStr">
        <is>
          <t>Tissue holder</t>
        </is>
      </c>
      <c r="D1652" s="3" t="inlineStr">
        <is>
          <t>buah</t>
        </is>
      </c>
      <c r="E1652" s="4" t="n">
        <v>150000</v>
      </c>
    </row>
    <row r="1653">
      <c r="A1653" s="3" t="inlineStr">
        <is>
          <t>84</t>
        </is>
      </c>
      <c r="B1653" s="3" t="n">
        <v/>
      </c>
      <c r="C1653" s="3" t="inlineStr">
        <is>
          <t>Towel bar</t>
        </is>
      </c>
      <c r="D1653" s="3" t="inlineStr">
        <is>
          <t>buah</t>
        </is>
      </c>
      <c r="E1653" s="4" t="n">
        <v>150000</v>
      </c>
    </row>
    <row r="1654">
      <c r="A1654" s="3" t="inlineStr">
        <is>
          <t>85</t>
        </is>
      </c>
      <c r="B1654" s="3" t="n">
        <v/>
      </c>
      <c r="C1654" s="3" t="inlineStr">
        <is>
          <t>Urinoir</t>
        </is>
      </c>
      <c r="D1654" s="3" t="inlineStr">
        <is>
          <t>buah</t>
        </is>
      </c>
      <c r="E1654" s="4" t="n">
        <v>456800</v>
      </c>
    </row>
    <row r="1655">
      <c r="A1655" s="3" t="inlineStr">
        <is>
          <t>86</t>
        </is>
      </c>
      <c r="B1655" s="3" t="n">
        <v/>
      </c>
      <c r="C1655" s="3" t="inlineStr">
        <is>
          <t>Wastafel</t>
        </is>
      </c>
      <c r="D1655" s="3" t="inlineStr">
        <is>
          <t>buah</t>
        </is>
      </c>
      <c r="E1655" s="4" t="n">
        <v>325100</v>
      </c>
    </row>
    <row r="1656">
      <c r="A1656" s="3" t="inlineStr">
        <is>
          <t>87</t>
        </is>
      </c>
      <c r="B1656" s="3" t="n">
        <v/>
      </c>
      <c r="C1656" s="3" t="inlineStr">
        <is>
          <t>Water drain</t>
        </is>
      </c>
      <c r="D1656" s="3" t="inlineStr">
        <is>
          <t>set</t>
        </is>
      </c>
      <c r="E1656" s="4" t="n">
        <v>321900</v>
      </c>
    </row>
    <row r="1657">
      <c r="A1657" s="3" t="n">
        <v/>
      </c>
      <c r="B1657" s="3" t="n">
        <v/>
      </c>
      <c r="C1657" s="3" t="inlineStr">
        <is>
          <t>MATERIAL MINYAK</t>
        </is>
      </c>
      <c r="D1657" s="3" t="n">
        <v/>
      </c>
      <c r="E1657" s="4" t="n">
        <v/>
      </c>
    </row>
    <row r="1658">
      <c r="A1658" s="3" t="inlineStr">
        <is>
          <t>1</t>
        </is>
      </c>
      <c r="B1658" s="3" t="n">
        <v/>
      </c>
      <c r="C1658" s="3" t="inlineStr">
        <is>
          <t>Bensin</t>
        </is>
      </c>
      <c r="D1658" s="3" t="inlineStr">
        <is>
          <t>liter</t>
        </is>
      </c>
      <c r="E1658" s="4" t="n">
        <v>7800</v>
      </c>
    </row>
    <row r="1659">
      <c r="A1659" s="3" t="inlineStr">
        <is>
          <t>2</t>
        </is>
      </c>
      <c r="B1659" s="3" t="n">
        <v/>
      </c>
      <c r="C1659" s="3" t="inlineStr">
        <is>
          <t>Bensin (industri)</t>
        </is>
      </c>
      <c r="D1659" s="3" t="inlineStr">
        <is>
          <t>liter</t>
        </is>
      </c>
      <c r="E1659" s="4" t="n">
        <v>8100</v>
      </c>
    </row>
    <row r="1660">
      <c r="A1660" s="3" t="inlineStr">
        <is>
          <t>3</t>
        </is>
      </c>
      <c r="B1660" s="3" t="n">
        <v/>
      </c>
      <c r="C1660" s="3" t="inlineStr">
        <is>
          <t>Bentonite</t>
        </is>
      </c>
      <c r="D1660" s="3" t="inlineStr">
        <is>
          <t>m3</t>
        </is>
      </c>
      <c r="E1660" s="4" t="n">
        <v>20000000</v>
      </c>
    </row>
    <row r="1661">
      <c r="A1661" s="3" t="inlineStr">
        <is>
          <t>4</t>
        </is>
      </c>
      <c r="B1661" s="3" t="n">
        <v/>
      </c>
      <c r="C1661" s="3" t="inlineStr">
        <is>
          <t>Cairan perontok karat</t>
        </is>
      </c>
      <c r="D1661" s="3" t="inlineStr">
        <is>
          <t>kg</t>
        </is>
      </c>
      <c r="E1661" s="4" t="n">
        <v>20000</v>
      </c>
    </row>
    <row r="1662">
      <c r="A1662" s="3" t="inlineStr">
        <is>
          <t>5</t>
        </is>
      </c>
      <c r="B1662" s="3" t="n">
        <v/>
      </c>
      <c r="C1662" s="3" t="inlineStr">
        <is>
          <t>Cuka bibit</t>
        </is>
      </c>
      <c r="D1662" s="3" t="inlineStr">
        <is>
          <t>liter</t>
        </is>
      </c>
      <c r="E1662" s="4" t="n">
        <v>50000</v>
      </c>
    </row>
    <row r="1663">
      <c r="A1663" s="3" t="inlineStr">
        <is>
          <t>6</t>
        </is>
      </c>
      <c r="B1663" s="3" t="n">
        <v/>
      </c>
      <c r="C1663" s="3" t="inlineStr">
        <is>
          <t>Minyak bekisting</t>
        </is>
      </c>
      <c r="D1663" s="3" t="inlineStr">
        <is>
          <t>liter</t>
        </is>
      </c>
      <c r="E1663" s="4" t="n">
        <v>16800</v>
      </c>
    </row>
    <row r="1664">
      <c r="A1664" s="3" t="inlineStr">
        <is>
          <t>7</t>
        </is>
      </c>
      <c r="B1664" s="3" t="n">
        <v/>
      </c>
      <c r="C1664" s="3" t="inlineStr">
        <is>
          <t>Minyak cat</t>
        </is>
      </c>
      <c r="D1664" s="3" t="inlineStr">
        <is>
          <t>kg</t>
        </is>
      </c>
      <c r="E1664" s="4" t="n">
        <v>24000</v>
      </c>
    </row>
    <row r="1665">
      <c r="A1665" s="3" t="inlineStr">
        <is>
          <t>8</t>
        </is>
      </c>
      <c r="B1665" s="3" t="n">
        <v/>
      </c>
      <c r="C1665" s="3" t="inlineStr">
        <is>
          <t>Minyak pelumas</t>
        </is>
      </c>
      <c r="D1665" s="3" t="inlineStr">
        <is>
          <t>liter</t>
        </is>
      </c>
      <c r="E1665" s="4" t="n">
        <v>28000</v>
      </c>
    </row>
    <row r="1666">
      <c r="A1666" s="3" t="inlineStr">
        <is>
          <t>9</t>
        </is>
      </c>
      <c r="B1666" s="3" t="n">
        <v/>
      </c>
      <c r="C1666" s="3" t="inlineStr">
        <is>
          <t>Minyak tanah</t>
        </is>
      </c>
      <c r="D1666" s="3" t="inlineStr">
        <is>
          <t>liter</t>
        </is>
      </c>
      <c r="E1666" s="4" t="n">
        <v>15300</v>
      </c>
    </row>
    <row r="1667">
      <c r="A1667" s="3" t="inlineStr">
        <is>
          <t>10</t>
        </is>
      </c>
      <c r="B1667" s="3" t="n">
        <v/>
      </c>
      <c r="C1667" s="3" t="inlineStr">
        <is>
          <t>Oli hidrolis</t>
        </is>
      </c>
      <c r="D1667" s="3" t="inlineStr">
        <is>
          <t>liter</t>
        </is>
      </c>
      <c r="E1667" s="4" t="n">
        <v>31300</v>
      </c>
    </row>
    <row r="1668">
      <c r="A1668" s="3" t="inlineStr">
        <is>
          <t>11</t>
        </is>
      </c>
      <c r="B1668" s="3" t="n">
        <v/>
      </c>
      <c r="C1668" s="3" t="inlineStr">
        <is>
          <t>Oli mesin</t>
        </is>
      </c>
      <c r="D1668" s="3" t="inlineStr">
        <is>
          <t>liter</t>
        </is>
      </c>
      <c r="E1668" s="4" t="n">
        <v>30300</v>
      </c>
    </row>
    <row r="1669">
      <c r="A1669" s="3" t="inlineStr">
        <is>
          <t>12</t>
        </is>
      </c>
      <c r="B1669" s="3" t="n">
        <v/>
      </c>
      <c r="C1669" s="3" t="inlineStr">
        <is>
          <t>Premium (industri)</t>
        </is>
      </c>
      <c r="D1669" s="3" t="inlineStr">
        <is>
          <t>liter</t>
        </is>
      </c>
      <c r="E1669" s="4" t="n">
        <v>9400</v>
      </c>
    </row>
    <row r="1670">
      <c r="A1670" s="3" t="inlineStr">
        <is>
          <t>13</t>
        </is>
      </c>
      <c r="B1670" s="3" t="n">
        <v/>
      </c>
      <c r="C1670" s="3" t="inlineStr">
        <is>
          <t>Residu</t>
        </is>
      </c>
      <c r="D1670" s="3" t="inlineStr">
        <is>
          <t>liter</t>
        </is>
      </c>
      <c r="E1670" s="4" t="n">
        <v>21000</v>
      </c>
    </row>
    <row r="1671">
      <c r="A1671" s="3" t="inlineStr">
        <is>
          <t>14</t>
        </is>
      </c>
      <c r="B1671" s="3" t="n">
        <v/>
      </c>
      <c r="C1671" s="3" t="inlineStr">
        <is>
          <t>Solar</t>
        </is>
      </c>
      <c r="D1671" s="3" t="inlineStr">
        <is>
          <t>liter</t>
        </is>
      </c>
      <c r="E1671" s="4" t="n">
        <v>6500</v>
      </c>
    </row>
    <row r="1672">
      <c r="A1672" s="3" t="inlineStr">
        <is>
          <t>15</t>
        </is>
      </c>
      <c r="B1672" s="3" t="n">
        <v/>
      </c>
      <c r="C1672" s="3" t="inlineStr">
        <is>
          <t>Solar (industri)</t>
        </is>
      </c>
      <c r="D1672" s="3" t="inlineStr">
        <is>
          <t>liter</t>
        </is>
      </c>
      <c r="E1672" s="4" t="n">
        <v>8800</v>
      </c>
    </row>
    <row r="1673">
      <c r="A1673" s="3" t="inlineStr">
        <is>
          <t>16</t>
        </is>
      </c>
      <c r="B1673" s="3" t="n">
        <v/>
      </c>
      <c r="C1673" s="3" t="inlineStr">
        <is>
          <t>Steamvet</t>
        </is>
      </c>
      <c r="D1673" s="3" t="inlineStr">
        <is>
          <t>liter</t>
        </is>
      </c>
      <c r="E1673" s="4" t="n">
        <v>51000</v>
      </c>
    </row>
    <row r="1674">
      <c r="A1674" s="3" t="inlineStr">
        <is>
          <t>17</t>
        </is>
      </c>
      <c r="B1674" s="3" t="n">
        <v/>
      </c>
      <c r="C1674" s="3" t="inlineStr">
        <is>
          <t>Teak oil</t>
        </is>
      </c>
      <c r="D1674" s="3" t="inlineStr">
        <is>
          <t>liter</t>
        </is>
      </c>
      <c r="E1674" s="4" t="n">
        <v>29200</v>
      </c>
    </row>
    <row r="1675">
      <c r="A1675" s="3" t="inlineStr">
        <is>
          <t>18</t>
        </is>
      </c>
      <c r="B1675" s="3" t="n">
        <v/>
      </c>
      <c r="C1675" s="3" t="inlineStr">
        <is>
          <t>Thinner</t>
        </is>
      </c>
      <c r="D1675" s="3" t="inlineStr">
        <is>
          <t>liter</t>
        </is>
      </c>
      <c r="E1675" s="4" t="n">
        <v>21800</v>
      </c>
    </row>
    <row r="1676">
      <c r="A1676" s="3" t="inlineStr">
        <is>
          <t>19</t>
        </is>
      </c>
      <c r="B1676" s="3" t="n">
        <v/>
      </c>
      <c r="C1676" s="3" t="inlineStr">
        <is>
          <t>Thinner A</t>
        </is>
      </c>
      <c r="D1676" s="3" t="inlineStr">
        <is>
          <t>liter</t>
        </is>
      </c>
      <c r="E1676" s="4" t="n">
        <v>18800</v>
      </c>
    </row>
    <row r="1677">
      <c r="A1677" s="3" t="n">
        <v/>
      </c>
      <c r="B1677" s="3" t="n">
        <v/>
      </c>
      <c r="C1677" s="3" t="inlineStr">
        <is>
          <t>MATERIAL ALUMINIUM DAN BESI</t>
        </is>
      </c>
      <c r="D1677" s="3" t="n">
        <v/>
      </c>
      <c r="E1677" s="4" t="n">
        <v/>
      </c>
    </row>
    <row r="1678">
      <c r="A1678" s="3" t="inlineStr">
        <is>
          <t>1</t>
        </is>
      </c>
      <c r="B1678" s="3" t="n">
        <v/>
      </c>
      <c r="C1678" s="3" t="inlineStr">
        <is>
          <t>Aluminium composite panel</t>
        </is>
      </c>
      <c r="D1678" s="3" t="inlineStr">
        <is>
          <t>m2</t>
        </is>
      </c>
      <c r="E1678" s="4" t="n">
        <v>225800</v>
      </c>
    </row>
    <row r="1679">
      <c r="A1679" s="3" t="inlineStr">
        <is>
          <t>2</t>
        </is>
      </c>
      <c r="B1679" s="3" t="n">
        <v/>
      </c>
      <c r="C1679" s="3" t="inlineStr">
        <is>
          <t>Aluminium spandrel 10x600 cm</t>
        </is>
      </c>
      <c r="D1679" s="3" t="inlineStr">
        <is>
          <t>lembar</t>
        </is>
      </c>
      <c r="E1679" s="4" t="n">
        <v>200000</v>
      </c>
    </row>
    <row r="1680">
      <c r="A1680" s="3" t="inlineStr">
        <is>
          <t>3</t>
        </is>
      </c>
      <c r="B1680" s="3" t="n">
        <v/>
      </c>
      <c r="C1680" s="3" t="inlineStr">
        <is>
          <t>Aluminium strip</t>
        </is>
      </c>
      <c r="D1680" s="3" t="inlineStr">
        <is>
          <t>m'</t>
        </is>
      </c>
      <c r="E1680" s="4" t="n">
        <v>50000</v>
      </c>
    </row>
    <row r="1681">
      <c r="A1681" s="3" t="inlineStr">
        <is>
          <t>4</t>
        </is>
      </c>
      <c r="B1681" s="3" t="n">
        <v/>
      </c>
      <c r="C1681" s="3" t="inlineStr">
        <is>
          <t>Besi as  drat</t>
        </is>
      </c>
      <c r="D1681" s="3" t="inlineStr">
        <is>
          <t>kg</t>
        </is>
      </c>
      <c r="E1681" s="4" t="n">
        <v>40200</v>
      </c>
    </row>
    <row r="1682">
      <c r="A1682" s="3" t="inlineStr">
        <is>
          <t>5</t>
        </is>
      </c>
      <c r="B1682" s="3" t="n">
        <v/>
      </c>
      <c r="C1682" s="3" t="inlineStr">
        <is>
          <t>Besi profil</t>
        </is>
      </c>
      <c r="D1682" s="3" t="inlineStr">
        <is>
          <t>kg</t>
        </is>
      </c>
      <c r="E1682" s="4" t="n">
        <v>34500</v>
      </c>
    </row>
    <row r="1683">
      <c r="A1683" s="3" t="inlineStr">
        <is>
          <t>6</t>
        </is>
      </c>
      <c r="B1683" s="3" t="n">
        <v/>
      </c>
      <c r="C1683" s="3" t="inlineStr">
        <is>
          <t>Blok besi cor type skep</t>
        </is>
      </c>
      <c r="D1683" s="3" t="inlineStr">
        <is>
          <t>bh</t>
        </is>
      </c>
      <c r="E1683" s="4" t="n">
        <v>1055700</v>
      </c>
    </row>
    <row r="1684">
      <c r="A1684" s="3" t="inlineStr">
        <is>
          <t>7</t>
        </is>
      </c>
      <c r="B1684" s="3" t="n">
        <v/>
      </c>
      <c r="C1684" s="3" t="inlineStr">
        <is>
          <t>Blok besi type ronsel</t>
        </is>
      </c>
      <c r="D1684" s="3" t="inlineStr">
        <is>
          <t>bh</t>
        </is>
      </c>
      <c r="E1684" s="4" t="n">
        <v>1508800</v>
      </c>
    </row>
    <row r="1685">
      <c r="A1685" s="3" t="inlineStr">
        <is>
          <t>8</t>
        </is>
      </c>
      <c r="B1685" s="3" t="n">
        <v/>
      </c>
      <c r="C1685" s="3" t="inlineStr">
        <is>
          <t>Buis  brons</t>
        </is>
      </c>
      <c r="D1685" s="3" t="inlineStr">
        <is>
          <t>bh</t>
        </is>
      </c>
      <c r="E1685" s="4" t="n">
        <v>422000</v>
      </c>
    </row>
    <row r="1686">
      <c r="A1686" s="3" t="inlineStr">
        <is>
          <t>9</t>
        </is>
      </c>
      <c r="B1686" s="3" t="n">
        <v/>
      </c>
      <c r="C1686" s="3" t="inlineStr">
        <is>
          <t>C  channel galvanis  lebar 40 mm</t>
        </is>
      </c>
      <c r="D1686" s="3" t="inlineStr">
        <is>
          <t>m'</t>
        </is>
      </c>
      <c r="E1686" s="4" t="n">
        <v>10700</v>
      </c>
    </row>
    <row r="1687">
      <c r="A1687" s="3" t="inlineStr">
        <is>
          <t>10</t>
        </is>
      </c>
      <c r="B1687" s="3" t="n">
        <v/>
      </c>
      <c r="C1687" s="3" t="inlineStr">
        <is>
          <t>C  channel galvanis  lebar 75 mm</t>
        </is>
      </c>
      <c r="D1687" s="3" t="inlineStr">
        <is>
          <t>m'</t>
        </is>
      </c>
      <c r="E1687" s="4" t="n">
        <v>13600</v>
      </c>
    </row>
    <row r="1688">
      <c r="A1688" s="3" t="inlineStr">
        <is>
          <t>11</t>
        </is>
      </c>
      <c r="B1688" s="3" t="n">
        <v/>
      </c>
      <c r="C1688" s="3" t="inlineStr">
        <is>
          <t>Cat  meni</t>
        </is>
      </c>
      <c r="D1688" s="3" t="inlineStr">
        <is>
          <t>kg</t>
        </is>
      </c>
      <c r="E1688" s="4" t="n">
        <v>50600</v>
      </c>
    </row>
    <row r="1689">
      <c r="A1689" s="3" t="inlineStr">
        <is>
          <t>12</t>
        </is>
      </c>
      <c r="B1689" s="3" t="n">
        <v/>
      </c>
      <c r="C1689" s="3" t="inlineStr">
        <is>
          <t>Daun Pintu HDF 36x720x2100</t>
        </is>
      </c>
      <c r="D1689" s="3" t="inlineStr">
        <is>
          <t>unit</t>
        </is>
      </c>
      <c r="E1689" s="4" t="n">
        <v>475000</v>
      </c>
    </row>
    <row r="1690">
      <c r="A1690" s="3" t="n">
        <v/>
      </c>
      <c r="B1690" s="3" t="n">
        <v/>
      </c>
      <c r="C1690" s="3" t="inlineStr">
        <is>
          <t xml:space="preserve">Pintu uPVC lebar 80 cm </t>
        </is>
      </c>
      <c r="D1690" s="3" t="inlineStr">
        <is>
          <t xml:space="preserve">buah </t>
        </is>
      </c>
      <c r="E1690" s="4" t="n">
        <v>1043100</v>
      </c>
    </row>
    <row r="1691">
      <c r="A1691" s="3" t="n">
        <v/>
      </c>
      <c r="B1691" s="3" t="n">
        <v/>
      </c>
      <c r="C1691" s="3" t="inlineStr">
        <is>
          <t xml:space="preserve">Pintu uPVC lebar 70 cm </t>
        </is>
      </c>
      <c r="D1691" s="3" t="inlineStr">
        <is>
          <t xml:space="preserve">buah </t>
        </is>
      </c>
      <c r="E1691" s="4" t="n">
        <v>730000</v>
      </c>
    </row>
    <row r="1692">
      <c r="A1692" s="3" t="inlineStr">
        <is>
          <t>13</t>
        </is>
      </c>
      <c r="B1692" s="3" t="n">
        <v/>
      </c>
      <c r="C1692" s="3" t="inlineStr">
        <is>
          <t>Frame aluminium</t>
        </is>
      </c>
      <c r="D1692" s="3" t="inlineStr">
        <is>
          <t>m'</t>
        </is>
      </c>
      <c r="E1692" s="4" t="n">
        <v>38333</v>
      </c>
    </row>
    <row r="1693">
      <c r="A1693" s="3" t="n">
        <v/>
      </c>
      <c r="B1693" s="3" t="n">
        <v/>
      </c>
      <c r="C1693" s="3" t="inlineStr">
        <is>
          <t>Rangka Aluminium</t>
        </is>
      </c>
      <c r="D1693" s="3" t="inlineStr">
        <is>
          <t>m'</t>
        </is>
      </c>
      <c r="E1693" s="4" t="n">
        <v>39000</v>
      </c>
    </row>
    <row r="1694">
      <c r="A1694" s="3" t="inlineStr">
        <is>
          <t>14</t>
        </is>
      </c>
      <c r="B1694" s="3" t="n">
        <v/>
      </c>
      <c r="C1694" s="3" t="inlineStr">
        <is>
          <t>Gembok</t>
        </is>
      </c>
      <c r="D1694" s="3" t="inlineStr">
        <is>
          <t>bh</t>
        </is>
      </c>
      <c r="E1694" s="4" t="n">
        <v>102300</v>
      </c>
    </row>
    <row r="1695">
      <c r="A1695" s="3" t="inlineStr">
        <is>
          <t>15</t>
        </is>
      </c>
      <c r="B1695" s="3" t="n">
        <v/>
      </c>
      <c r="C1695" s="3" t="inlineStr">
        <is>
          <t>Grease</t>
        </is>
      </c>
      <c r="D1695" s="3" t="inlineStr">
        <is>
          <t>kg</t>
        </is>
      </c>
      <c r="E1695" s="4" t="n">
        <v>67800</v>
      </c>
    </row>
    <row r="1696">
      <c r="A1696" s="3" t="inlineStr">
        <is>
          <t>16</t>
        </is>
      </c>
      <c r="B1696" s="3" t="n">
        <v/>
      </c>
      <c r="C1696" s="3" t="inlineStr">
        <is>
          <t>Hollow  galvanis  20x40x0,4 mm</t>
        </is>
      </c>
      <c r="D1696" s="3" t="inlineStr">
        <is>
          <t>m'</t>
        </is>
      </c>
      <c r="E1696" s="4" t="n">
        <v>7500</v>
      </c>
    </row>
    <row r="1697">
      <c r="A1697" s="3" t="n">
        <v/>
      </c>
      <c r="B1697" s="3" t="n">
        <v/>
      </c>
      <c r="C1697" s="3" t="inlineStr">
        <is>
          <t>Metal Hollow 20x40 mm</t>
        </is>
      </c>
      <c r="D1697" s="3" t="inlineStr">
        <is>
          <t>m'</t>
        </is>
      </c>
      <c r="E1697" s="4" t="n">
        <v>7500</v>
      </c>
    </row>
    <row r="1698">
      <c r="A1698" s="3" t="inlineStr">
        <is>
          <t>17</t>
        </is>
      </c>
      <c r="B1698" s="3" t="n">
        <v/>
      </c>
      <c r="C1698" s="3" t="inlineStr">
        <is>
          <t>Hollow galvanis 40x40x0,4 mm</t>
        </is>
      </c>
      <c r="D1698" s="3" t="inlineStr">
        <is>
          <t>m'</t>
        </is>
      </c>
      <c r="E1698" s="4" t="n">
        <v>10700</v>
      </c>
    </row>
    <row r="1699">
      <c r="A1699" s="3" t="inlineStr">
        <is>
          <t>18</t>
        </is>
      </c>
      <c r="B1699" s="3" t="n">
        <v/>
      </c>
      <c r="C1699" s="3" t="inlineStr">
        <is>
          <t>Jalusi aluminium</t>
        </is>
      </c>
      <c r="D1699" s="3" t="inlineStr">
        <is>
          <t>m2</t>
        </is>
      </c>
      <c r="E1699" s="4" t="n">
        <v>600000</v>
      </c>
    </row>
    <row r="1700">
      <c r="A1700" s="3" t="n">
        <v/>
      </c>
      <c r="B1700" s="3" t="n">
        <v/>
      </c>
      <c r="C1700" s="3" t="inlineStr">
        <is>
          <t>Jalusi uPVC</t>
        </is>
      </c>
      <c r="D1700" s="3" t="inlineStr">
        <is>
          <t xml:space="preserve">buah </t>
        </is>
      </c>
      <c r="E1700" s="4" t="n">
        <v>49500</v>
      </c>
    </row>
    <row r="1701">
      <c r="A1701" s="3" t="inlineStr">
        <is>
          <t>19</t>
        </is>
      </c>
      <c r="B1701" s="3" t="n">
        <v/>
      </c>
      <c r="C1701" s="3" t="inlineStr">
        <is>
          <t>Kontra mur type ronsel</t>
        </is>
      </c>
      <c r="D1701" s="3" t="inlineStr">
        <is>
          <t>bh</t>
        </is>
      </c>
      <c r="E1701" s="4" t="n">
        <v>343800</v>
      </c>
    </row>
    <row r="1702">
      <c r="A1702" s="3" t="inlineStr">
        <is>
          <t>20</t>
        </is>
      </c>
      <c r="B1702" s="3" t="n">
        <v/>
      </c>
      <c r="C1702" s="3" t="inlineStr">
        <is>
          <t>Kontra mur type skep</t>
        </is>
      </c>
      <c r="D1702" s="3" t="inlineStr">
        <is>
          <t>bh</t>
        </is>
      </c>
      <c r="E1702" s="4" t="n">
        <v>301300</v>
      </c>
    </row>
    <row r="1703">
      <c r="A1703" s="3" t="inlineStr">
        <is>
          <t>21</t>
        </is>
      </c>
      <c r="B1703" s="3" t="n">
        <v/>
      </c>
      <c r="C1703" s="3" t="inlineStr">
        <is>
          <t>kopel/universal join</t>
        </is>
      </c>
      <c r="D1703" s="3" t="inlineStr">
        <is>
          <t>bh</t>
        </is>
      </c>
      <c r="E1703" s="4" t="n">
        <v>542800</v>
      </c>
    </row>
    <row r="1704">
      <c r="A1704" s="3" t="inlineStr">
        <is>
          <t>22</t>
        </is>
      </c>
      <c r="B1704" s="3" t="n">
        <v/>
      </c>
      <c r="C1704" s="3" t="inlineStr">
        <is>
          <t>Kusen aluminium 4"  putih</t>
        </is>
      </c>
      <c r="D1704" s="3" t="inlineStr">
        <is>
          <t>m'</t>
        </is>
      </c>
      <c r="E1704" s="4" t="n">
        <v>107000</v>
      </c>
    </row>
    <row r="1705">
      <c r="A1705" s="3" t="n">
        <v/>
      </c>
      <c r="B1705" s="3" t="n">
        <v/>
      </c>
      <c r="C1705" s="3" t="inlineStr">
        <is>
          <t>Kusen Bovenlight Upvc</t>
        </is>
      </c>
      <c r="D1705" s="3" t="inlineStr">
        <is>
          <t xml:space="preserve">bauh </t>
        </is>
      </c>
      <c r="E1705" s="4" t="n">
        <v>270000</v>
      </c>
    </row>
    <row r="1706">
      <c r="A1706" s="3" t="inlineStr">
        <is>
          <t>23</t>
        </is>
      </c>
      <c r="B1706" s="3" t="n">
        <v/>
      </c>
      <c r="C1706" s="3" t="inlineStr">
        <is>
          <t>Lager type ronsel</t>
        </is>
      </c>
      <c r="D1706" s="3" t="inlineStr">
        <is>
          <t>bh</t>
        </is>
      </c>
      <c r="E1706" s="4" t="n">
        <v>905000</v>
      </c>
    </row>
    <row r="1707">
      <c r="A1707" s="3" t="inlineStr">
        <is>
          <t>24</t>
        </is>
      </c>
      <c r="B1707" s="3" t="n">
        <v/>
      </c>
      <c r="C1707" s="3" t="inlineStr">
        <is>
          <t>Lager type skep</t>
        </is>
      </c>
      <c r="D1707" s="3" t="inlineStr">
        <is>
          <t>bh</t>
        </is>
      </c>
      <c r="E1707" s="4" t="n">
        <v>693400</v>
      </c>
    </row>
    <row r="1708">
      <c r="A1708" s="3" t="inlineStr">
        <is>
          <t>25</t>
        </is>
      </c>
      <c r="B1708" s="3" t="n">
        <v/>
      </c>
      <c r="C1708" s="3" t="inlineStr">
        <is>
          <t>Mur baut  1/2"  x  4"</t>
        </is>
      </c>
      <c r="D1708" s="3" t="inlineStr">
        <is>
          <t>bh</t>
        </is>
      </c>
      <c r="E1708" s="4" t="n">
        <v>16100</v>
      </c>
    </row>
    <row r="1709">
      <c r="A1709" s="3" t="inlineStr">
        <is>
          <t>26</t>
        </is>
      </c>
      <c r="B1709" s="3" t="n">
        <v/>
      </c>
      <c r="C1709" s="3" t="inlineStr">
        <is>
          <t>Mur baut  5/8"  x  4"</t>
        </is>
      </c>
      <c r="D1709" s="3" t="inlineStr">
        <is>
          <t>bh</t>
        </is>
      </c>
      <c r="E1709" s="4" t="n">
        <v>19500</v>
      </c>
    </row>
    <row r="1710">
      <c r="A1710" s="3" t="inlineStr">
        <is>
          <t>27</t>
        </is>
      </c>
      <c r="B1710" s="3" t="n">
        <v/>
      </c>
      <c r="C1710" s="3" t="inlineStr">
        <is>
          <t>Mur baut  M8 steinless</t>
        </is>
      </c>
      <c r="D1710" s="3" t="inlineStr">
        <is>
          <t>bh</t>
        </is>
      </c>
      <c r="E1710" s="4" t="n">
        <v>19500</v>
      </c>
    </row>
    <row r="1711">
      <c r="A1711" s="3" t="n">
        <v/>
      </c>
      <c r="B1711" s="3" t="n">
        <v/>
      </c>
      <c r="C1711" s="3" t="inlineStr">
        <is>
          <t xml:space="preserve">Baut dan Mur f12 L=4" </t>
        </is>
      </c>
      <c r="D1711" s="3" t="inlineStr">
        <is>
          <t xml:space="preserve">buah </t>
        </is>
      </c>
      <c r="E1711" s="4" t="n">
        <v>20000</v>
      </c>
    </row>
    <row r="1712">
      <c r="A1712" s="3" t="n">
        <v/>
      </c>
      <c r="B1712" s="3" t="n">
        <v/>
      </c>
      <c r="C1712" s="3" t="inlineStr">
        <is>
          <t>Baut dan Mur f12, L=6"</t>
        </is>
      </c>
      <c r="D1712" s="3" t="inlineStr">
        <is>
          <t xml:space="preserve">buah </t>
        </is>
      </c>
      <c r="E1712" s="4" t="n">
        <v>22000</v>
      </c>
    </row>
    <row r="1713">
      <c r="A1713" s="3" t="n">
        <v/>
      </c>
      <c r="B1713" s="3" t="n">
        <v/>
      </c>
      <c r="C1713" s="3" t="inlineStr">
        <is>
          <t>Baut dan Mur f12, L=7"</t>
        </is>
      </c>
      <c r="D1713" s="3" t="inlineStr">
        <is>
          <t xml:space="preserve">buah </t>
        </is>
      </c>
      <c r="E1713" s="4" t="n">
        <v>23000</v>
      </c>
    </row>
    <row r="1714">
      <c r="A1714" s="3" t="n">
        <v/>
      </c>
      <c r="B1714" s="3" t="n">
        <v/>
      </c>
      <c r="C1714" s="3" t="inlineStr">
        <is>
          <t xml:space="preserve">Ring Plat </t>
        </is>
      </c>
      <c r="D1714" s="3" t="inlineStr">
        <is>
          <t xml:space="preserve">buah </t>
        </is>
      </c>
      <c r="E1714" s="4" t="n">
        <v>2500</v>
      </c>
    </row>
    <row r="1715">
      <c r="A1715" s="3" t="inlineStr">
        <is>
          <t>28</t>
        </is>
      </c>
      <c r="B1715" s="3" t="n">
        <v/>
      </c>
      <c r="C1715" s="3" t="inlineStr">
        <is>
          <t>Mur brons  ronsel</t>
        </is>
      </c>
      <c r="D1715" s="3" t="inlineStr">
        <is>
          <t>kg</t>
        </is>
      </c>
      <c r="E1715" s="4" t="n">
        <v>210400</v>
      </c>
    </row>
    <row r="1716">
      <c r="A1716" s="3" t="inlineStr">
        <is>
          <t>29</t>
        </is>
      </c>
      <c r="B1716" s="3" t="n">
        <v/>
      </c>
      <c r="C1716" s="3" t="inlineStr">
        <is>
          <t>Mur brons  type skep</t>
        </is>
      </c>
      <c r="D1716" s="3" t="inlineStr">
        <is>
          <t>kg</t>
        </is>
      </c>
      <c r="E1716" s="4" t="n">
        <v>210400</v>
      </c>
    </row>
    <row r="1717">
      <c r="A1717" s="3" t="inlineStr">
        <is>
          <t>30</t>
        </is>
      </c>
      <c r="B1717" s="3" t="n">
        <v/>
      </c>
      <c r="C1717" s="3" t="inlineStr">
        <is>
          <t>Pen spindie type ronsel</t>
        </is>
      </c>
      <c r="D1717" s="3" t="inlineStr">
        <is>
          <t>bh</t>
        </is>
      </c>
      <c r="E1717" s="4" t="n">
        <v>102300</v>
      </c>
    </row>
    <row r="1718">
      <c r="A1718" s="3" t="inlineStr">
        <is>
          <t>31</t>
        </is>
      </c>
      <c r="B1718" s="3" t="n">
        <v/>
      </c>
      <c r="C1718" s="3" t="inlineStr">
        <is>
          <t>Penyangga roda gigi</t>
        </is>
      </c>
      <c r="D1718" s="3" t="inlineStr">
        <is>
          <t>bh</t>
        </is>
      </c>
      <c r="E1718" s="4" t="n">
        <v>542800</v>
      </c>
    </row>
    <row r="1719">
      <c r="A1719" s="3" t="inlineStr">
        <is>
          <t>32</t>
        </is>
      </c>
      <c r="B1719" s="3" t="n">
        <v/>
      </c>
      <c r="C1719" s="3" t="inlineStr">
        <is>
          <t>Pintu alluminium</t>
        </is>
      </c>
      <c r="D1719" s="3" t="inlineStr">
        <is>
          <t>m'</t>
        </is>
      </c>
      <c r="E1719" s="4" t="n">
        <v>73600</v>
      </c>
    </row>
    <row r="1720">
      <c r="A1720" s="3" t="inlineStr">
        <is>
          <t>33</t>
        </is>
      </c>
      <c r="B1720" s="3" t="n">
        <v/>
      </c>
      <c r="C1720" s="3" t="inlineStr">
        <is>
          <t>Pintu KM  aluminium</t>
        </is>
      </c>
      <c r="D1720" s="3" t="inlineStr">
        <is>
          <t>unit</t>
        </is>
      </c>
      <c r="E1720" s="4" t="n">
        <v>1500000</v>
      </c>
    </row>
    <row r="1721">
      <c r="A1721" s="3" t="inlineStr">
        <is>
          <t>34</t>
        </is>
      </c>
      <c r="B1721" s="3" t="n">
        <v/>
      </c>
      <c r="C1721" s="3" t="inlineStr">
        <is>
          <t>Pintu lipat  besi</t>
        </is>
      </c>
      <c r="D1721" s="3" t="inlineStr">
        <is>
          <t>m2</t>
        </is>
      </c>
      <c r="E1721" s="4" t="n">
        <v>494200</v>
      </c>
    </row>
    <row r="1722">
      <c r="A1722" s="3" t="inlineStr">
        <is>
          <t>35</t>
        </is>
      </c>
      <c r="B1722" s="3" t="n">
        <v/>
      </c>
      <c r="C1722" s="3" t="inlineStr">
        <is>
          <t>Pintu lipat PVC</t>
        </is>
      </c>
      <c r="D1722" s="3" t="inlineStr">
        <is>
          <t>m2</t>
        </is>
      </c>
      <c r="E1722" s="4" t="n">
        <v>750000</v>
      </c>
    </row>
    <row r="1723">
      <c r="A1723" s="3" t="inlineStr">
        <is>
          <t>36</t>
        </is>
      </c>
      <c r="B1723" s="3" t="n">
        <v/>
      </c>
      <c r="C1723" s="3" t="inlineStr">
        <is>
          <t>Plat  peluncur</t>
        </is>
      </c>
      <c r="D1723" s="3" t="inlineStr">
        <is>
          <t>kg</t>
        </is>
      </c>
      <c r="E1723" s="4" t="n">
        <v>210400</v>
      </c>
    </row>
    <row r="1724">
      <c r="A1724" s="3" t="inlineStr">
        <is>
          <t>37</t>
        </is>
      </c>
      <c r="B1724" s="3" t="n">
        <v/>
      </c>
      <c r="C1724" s="3" t="inlineStr">
        <is>
          <t>Plat besi 3 mm</t>
        </is>
      </c>
      <c r="D1724" s="3" t="inlineStr">
        <is>
          <t>kg</t>
        </is>
      </c>
      <c r="E1724" s="4" t="n">
        <v>34500</v>
      </c>
    </row>
    <row r="1725">
      <c r="A1725" s="3" t="inlineStr">
        <is>
          <t>38</t>
        </is>
      </c>
      <c r="B1725" s="3" t="n">
        <v/>
      </c>
      <c r="C1725" s="3" t="inlineStr">
        <is>
          <t>Profil aluminium</t>
        </is>
      </c>
      <c r="D1725" s="3" t="inlineStr">
        <is>
          <t>m'</t>
        </is>
      </c>
      <c r="E1725" s="4" t="n">
        <v>130000</v>
      </c>
    </row>
    <row r="1726">
      <c r="A1726" s="3" t="inlineStr">
        <is>
          <t>39</t>
        </is>
      </c>
      <c r="B1726" s="3" t="n">
        <v/>
      </c>
      <c r="C1726" s="3" t="inlineStr">
        <is>
          <t>Profil Aluminium ”T”</t>
        </is>
      </c>
      <c r="D1726" s="3" t="inlineStr">
        <is>
          <t>m'</t>
        </is>
      </c>
      <c r="E1726" s="4" t="n">
        <v>15000</v>
      </c>
    </row>
    <row r="1727">
      <c r="A1727" s="3" t="inlineStr">
        <is>
          <t>40</t>
        </is>
      </c>
      <c r="B1727" s="3" t="n">
        <v/>
      </c>
      <c r="C1727" s="3" t="inlineStr">
        <is>
          <t>Profil slimar aluminium</t>
        </is>
      </c>
      <c r="D1727" s="3" t="inlineStr">
        <is>
          <t>m'</t>
        </is>
      </c>
      <c r="E1727" s="4" t="n">
        <v>60000</v>
      </c>
    </row>
    <row r="1728">
      <c r="A1728" s="3" t="inlineStr">
        <is>
          <t>41</t>
        </is>
      </c>
      <c r="B1728" s="3" t="n">
        <v/>
      </c>
      <c r="C1728" s="3" t="inlineStr">
        <is>
          <t>Rangka metal hollow 40.40.1,2 mm</t>
        </is>
      </c>
      <c r="D1728" s="3" t="inlineStr">
        <is>
          <t>m'</t>
        </is>
      </c>
      <c r="E1728" s="4" t="n">
        <v>16200</v>
      </c>
    </row>
    <row r="1729">
      <c r="A1729" s="3" t="inlineStr">
        <is>
          <t>42</t>
        </is>
      </c>
      <c r="B1729" s="3" t="n">
        <v/>
      </c>
      <c r="C1729" s="3" t="inlineStr">
        <is>
          <t>Rangka metal hollow 40.40.2 mm</t>
        </is>
      </c>
      <c r="D1729" s="3" t="inlineStr">
        <is>
          <t>m'</t>
        </is>
      </c>
      <c r="E1729" s="4" t="n">
        <v>19000</v>
      </c>
    </row>
    <row r="1730">
      <c r="A1730" s="3" t="inlineStr">
        <is>
          <t>43</t>
        </is>
      </c>
      <c r="B1730" s="3" t="n">
        <v/>
      </c>
      <c r="C1730" s="3" t="inlineStr">
        <is>
          <t>roda gigi nanas</t>
        </is>
      </c>
      <c r="D1730" s="3" t="inlineStr">
        <is>
          <t>bh</t>
        </is>
      </c>
      <c r="E1730" s="4" t="n">
        <v>1025800</v>
      </c>
    </row>
    <row r="1731">
      <c r="A1731" s="3" t="inlineStr">
        <is>
          <t>44</t>
        </is>
      </c>
      <c r="B1731" s="3" t="n">
        <v/>
      </c>
      <c r="C1731" s="3" t="inlineStr">
        <is>
          <t>Roda gigi pinggiran</t>
        </is>
      </c>
      <c r="D1731" s="3" t="inlineStr">
        <is>
          <t>bh</t>
        </is>
      </c>
      <c r="E1731" s="4" t="n">
        <v>1750300</v>
      </c>
    </row>
    <row r="1732">
      <c r="A1732" s="3" t="inlineStr">
        <is>
          <t>45</t>
        </is>
      </c>
      <c r="B1732" s="3" t="n">
        <v/>
      </c>
      <c r="C1732" s="3" t="inlineStr">
        <is>
          <t>Rolling door aluminium</t>
        </is>
      </c>
      <c r="D1732" s="3" t="inlineStr">
        <is>
          <t>m2</t>
        </is>
      </c>
      <c r="E1732" s="4" t="n">
        <v>600600</v>
      </c>
    </row>
    <row r="1733">
      <c r="A1733" s="3" t="inlineStr">
        <is>
          <t>46</t>
        </is>
      </c>
      <c r="B1733" s="3" t="n">
        <v/>
      </c>
      <c r="C1733" s="3" t="inlineStr">
        <is>
          <t>Rolling door besi</t>
        </is>
      </c>
      <c r="D1733" s="3" t="inlineStr">
        <is>
          <t>m2</t>
        </is>
      </c>
      <c r="E1733" s="4" t="n">
        <v>509100</v>
      </c>
    </row>
    <row r="1734">
      <c r="A1734" s="3" t="inlineStr">
        <is>
          <t>47</t>
        </is>
      </c>
      <c r="B1734" s="3" t="n">
        <v/>
      </c>
      <c r="C1734" s="3" t="inlineStr">
        <is>
          <t>Rubber seal</t>
        </is>
      </c>
      <c r="D1734" s="3" t="inlineStr">
        <is>
          <t>m'</t>
        </is>
      </c>
      <c r="E1734" s="4" t="n">
        <v>1811200</v>
      </c>
    </row>
    <row r="1735">
      <c r="A1735" s="3" t="inlineStr">
        <is>
          <t>48</t>
        </is>
      </c>
      <c r="B1735" s="3" t="n">
        <v/>
      </c>
      <c r="C1735" s="3" t="inlineStr">
        <is>
          <t>Sliding pintu J4</t>
        </is>
      </c>
      <c r="D1735" s="3" t="inlineStr">
        <is>
          <t>buah</t>
        </is>
      </c>
      <c r="E1735" s="4" t="n">
        <v>456000</v>
      </c>
    </row>
    <row r="1736">
      <c r="A1736" s="3" t="inlineStr">
        <is>
          <t>49</t>
        </is>
      </c>
      <c r="B1736" s="3" t="n">
        <v/>
      </c>
      <c r="C1736" s="3" t="inlineStr">
        <is>
          <t>Stang draft  diameter 1,5"  +  mur baut</t>
        </is>
      </c>
      <c r="D1736" s="3" t="inlineStr">
        <is>
          <t>m'</t>
        </is>
      </c>
      <c r="E1736" s="4" t="n">
        <v>2750000</v>
      </c>
    </row>
    <row r="1737">
      <c r="A1737" s="3" t="inlineStr">
        <is>
          <t>50</t>
        </is>
      </c>
      <c r="B1737" s="3" t="n">
        <v/>
      </c>
      <c r="C1737" s="3" t="inlineStr">
        <is>
          <t>Stang draft  diameter 1,75"  +  mur baut</t>
        </is>
      </c>
      <c r="D1737" s="3" t="inlineStr">
        <is>
          <t>m'</t>
        </is>
      </c>
      <c r="E1737" s="4" t="n">
        <v>3150000</v>
      </c>
    </row>
    <row r="1738">
      <c r="A1738" s="3" t="inlineStr">
        <is>
          <t>51</t>
        </is>
      </c>
      <c r="B1738" s="3" t="n">
        <v/>
      </c>
      <c r="C1738" s="3" t="inlineStr">
        <is>
          <t>Stang draft  diameter 2"  +  mur baut</t>
        </is>
      </c>
      <c r="D1738" s="3" t="inlineStr">
        <is>
          <t>m'</t>
        </is>
      </c>
      <c r="E1738" s="4" t="n">
        <v>3500000</v>
      </c>
    </row>
    <row r="1739">
      <c r="A1739" s="3" t="inlineStr">
        <is>
          <t>52</t>
        </is>
      </c>
      <c r="B1739" s="3" t="n">
        <v/>
      </c>
      <c r="C1739" s="3" t="inlineStr">
        <is>
          <t>Stang draft  diameter 2,25"  +  mur baut</t>
        </is>
      </c>
      <c r="D1739" s="3" t="inlineStr">
        <is>
          <t>m'</t>
        </is>
      </c>
      <c r="E1739" s="4" t="n">
        <v>3800000</v>
      </c>
    </row>
    <row r="1740">
      <c r="A1740" s="3" t="inlineStr">
        <is>
          <t>53</t>
        </is>
      </c>
      <c r="B1740" s="3" t="n">
        <v/>
      </c>
      <c r="C1740" s="3" t="inlineStr">
        <is>
          <t>Stang gembok</t>
        </is>
      </c>
      <c r="D1740" s="3" t="inlineStr">
        <is>
          <t>bh</t>
        </is>
      </c>
      <c r="E1740" s="4" t="n">
        <v>78200</v>
      </c>
    </row>
    <row r="1741">
      <c r="A1741" s="3" t="inlineStr">
        <is>
          <t>54</t>
        </is>
      </c>
      <c r="B1741" s="3" t="n">
        <v/>
      </c>
      <c r="C1741" s="3" t="inlineStr">
        <is>
          <t>Stang pemutar type ronsel</t>
        </is>
      </c>
      <c r="D1741" s="3" t="inlineStr">
        <is>
          <t>bh</t>
        </is>
      </c>
      <c r="E1741" s="4" t="n">
        <v>1146500</v>
      </c>
    </row>
    <row r="1742">
      <c r="A1742" s="3" t="inlineStr">
        <is>
          <t>55</t>
        </is>
      </c>
      <c r="B1742" s="3" t="n">
        <v/>
      </c>
      <c r="C1742" s="3" t="inlineStr">
        <is>
          <t>Stang pemutar type skep</t>
        </is>
      </c>
      <c r="D1742" s="3" t="inlineStr">
        <is>
          <t>bh</t>
        </is>
      </c>
      <c r="E1742" s="4" t="n">
        <v>633600</v>
      </c>
    </row>
    <row r="1743">
      <c r="A1743" s="3" t="inlineStr">
        <is>
          <t>56</t>
        </is>
      </c>
      <c r="B1743" s="3" t="n">
        <v/>
      </c>
      <c r="C1743" s="3" t="inlineStr">
        <is>
          <t>Sunscreen aluminium</t>
        </is>
      </c>
      <c r="D1743" s="3" t="inlineStr">
        <is>
          <t>m2</t>
        </is>
      </c>
      <c r="E1743" s="4" t="n">
        <v>381900</v>
      </c>
    </row>
    <row r="1744">
      <c r="A1744" s="3" t="inlineStr">
        <is>
          <t>57</t>
        </is>
      </c>
      <c r="B1744" s="3" t="n">
        <v/>
      </c>
      <c r="C1744" s="3" t="inlineStr">
        <is>
          <t>Talang galvalum lebar 50 cm tebal 0,4 mm</t>
        </is>
      </c>
      <c r="D1744" s="3" t="inlineStr">
        <is>
          <t>m'</t>
        </is>
      </c>
      <c r="E1744" s="4" t="n">
        <v>53300</v>
      </c>
    </row>
    <row r="1745">
      <c r="A1745" s="3" t="n">
        <v/>
      </c>
      <c r="B1745" s="3" t="n">
        <v/>
      </c>
      <c r="C1745" s="3" t="inlineStr">
        <is>
          <t>Talang datar/jurai seng lebar 90cm</t>
        </is>
      </c>
      <c r="D1745" s="3" t="inlineStr">
        <is>
          <t>m</t>
        </is>
      </c>
      <c r="E1745" s="4" t="n">
        <v>75000</v>
      </c>
    </row>
    <row r="1746">
      <c r="A1746" s="3" t="n">
        <v/>
      </c>
      <c r="B1746" s="3" t="n">
        <v/>
      </c>
      <c r="C1746" s="3" t="inlineStr">
        <is>
          <t xml:space="preserve">Talang Seng 1/2 lingkaran diameter 15cm </t>
        </is>
      </c>
      <c r="D1746" s="3" t="inlineStr">
        <is>
          <t>m</t>
        </is>
      </c>
      <c r="E1746" s="4" t="n">
        <v>133000</v>
      </c>
    </row>
    <row r="1747">
      <c r="A1747" s="3" t="inlineStr">
        <is>
          <t>58</t>
        </is>
      </c>
      <c r="B1747" s="3" t="n">
        <v/>
      </c>
      <c r="C1747" s="3" t="inlineStr">
        <is>
          <t>Thinner</t>
        </is>
      </c>
      <c r="D1747" s="3" t="inlineStr">
        <is>
          <t>ltr</t>
        </is>
      </c>
      <c r="E1747" s="4" t="n">
        <v>35600</v>
      </c>
    </row>
    <row r="1748">
      <c r="A1748" s="3" t="n">
        <v/>
      </c>
      <c r="B1748" s="3" t="n">
        <v/>
      </c>
      <c r="C1748" s="3" t="inlineStr">
        <is>
          <t>MATERIAL LISTRIK</t>
        </is>
      </c>
      <c r="D1748" s="3" t="n">
        <v/>
      </c>
      <c r="E1748" s="4" t="n">
        <v/>
      </c>
    </row>
    <row r="1749">
      <c r="A1749" s="3" t="inlineStr">
        <is>
          <t>1</t>
        </is>
      </c>
      <c r="B1749" s="3" t="n">
        <v/>
      </c>
      <c r="C1749" s="3" t="inlineStr">
        <is>
          <t>Hanger tray panjang 2,5 m</t>
        </is>
      </c>
      <c r="D1749" s="3" t="inlineStr">
        <is>
          <t>buah</t>
        </is>
      </c>
      <c r="E1749" s="4" t="n">
        <v>300000</v>
      </c>
    </row>
    <row r="1750">
      <c r="A1750" s="3" t="inlineStr">
        <is>
          <t>2</t>
        </is>
      </c>
      <c r="B1750" s="3" t="n">
        <v/>
      </c>
      <c r="C1750" s="3" t="inlineStr">
        <is>
          <t>Kabel BCC 10 mm² (0,10 kg/m)</t>
        </is>
      </c>
      <c r="D1750" s="3" t="inlineStr">
        <is>
          <t>m'</t>
        </is>
      </c>
      <c r="E1750" s="4" t="n">
        <v>29000</v>
      </c>
    </row>
    <row r="1751">
      <c r="A1751" s="3" t="inlineStr">
        <is>
          <t>3</t>
        </is>
      </c>
      <c r="B1751" s="3" t="n">
        <v/>
      </c>
      <c r="C1751" s="3" t="inlineStr">
        <is>
          <t>Kabel BCC 16 mm² (0,16 kg/m)</t>
        </is>
      </c>
      <c r="D1751" s="3" t="inlineStr">
        <is>
          <t>m'</t>
        </is>
      </c>
      <c r="E1751" s="4" t="n">
        <v>33000</v>
      </c>
    </row>
    <row r="1752">
      <c r="A1752" s="3" t="inlineStr">
        <is>
          <t>4</t>
        </is>
      </c>
      <c r="B1752" s="3" t="n">
        <v/>
      </c>
      <c r="C1752" s="3" t="inlineStr">
        <is>
          <t>Kabel BCC 25 mm² (0,25 kg/m)</t>
        </is>
      </c>
      <c r="D1752" s="3" t="inlineStr">
        <is>
          <t>m'</t>
        </is>
      </c>
      <c r="E1752" s="4" t="n">
        <v>53000</v>
      </c>
    </row>
    <row r="1753">
      <c r="A1753" s="3" t="inlineStr">
        <is>
          <t>5</t>
        </is>
      </c>
      <c r="B1753" s="3" t="n">
        <v/>
      </c>
      <c r="C1753" s="3" t="inlineStr">
        <is>
          <t>Kabel BCC 35 mm² (0,35 kg/m)</t>
        </is>
      </c>
      <c r="D1753" s="3" t="inlineStr">
        <is>
          <t>m'</t>
        </is>
      </c>
      <c r="E1753" s="4" t="n">
        <v>72000</v>
      </c>
    </row>
    <row r="1754">
      <c r="A1754" s="3" t="inlineStr">
        <is>
          <t>6</t>
        </is>
      </c>
      <c r="B1754" s="3" t="n">
        <v/>
      </c>
      <c r="C1754" s="3" t="inlineStr">
        <is>
          <t>Kabel BCC 4 mm² (0,04 kg/m)</t>
        </is>
      </c>
      <c r="D1754" s="3" t="inlineStr">
        <is>
          <t>m'</t>
        </is>
      </c>
      <c r="E1754" s="4" t="n">
        <v>12000</v>
      </c>
    </row>
    <row r="1755">
      <c r="A1755" s="3" t="inlineStr">
        <is>
          <t>7</t>
        </is>
      </c>
      <c r="B1755" s="3" t="n">
        <v/>
      </c>
      <c r="C1755" s="3" t="inlineStr">
        <is>
          <t>Kabel BCC 50 mm² (0,50 kg/m)</t>
        </is>
      </c>
      <c r="D1755" s="3" t="inlineStr">
        <is>
          <t>m'</t>
        </is>
      </c>
      <c r="E1755" s="4" t="n">
        <v>95500</v>
      </c>
    </row>
    <row r="1756">
      <c r="A1756" s="3" t="inlineStr">
        <is>
          <t>8</t>
        </is>
      </c>
      <c r="B1756" s="3" t="n">
        <v/>
      </c>
      <c r="C1756" s="3" t="inlineStr">
        <is>
          <t>Kabel BCC 6 mm² (0,06 kg/m)</t>
        </is>
      </c>
      <c r="D1756" s="3" t="inlineStr">
        <is>
          <t>m'</t>
        </is>
      </c>
      <c r="E1756" s="4" t="n">
        <v>13200</v>
      </c>
    </row>
    <row r="1757">
      <c r="A1757" s="3" t="n">
        <v/>
      </c>
      <c r="B1757" s="3" t="n">
        <v/>
      </c>
      <c r="C1757" s="3" t="inlineStr">
        <is>
          <t>BCC 6 mm2 (0,06 kg/m) dan aksesoris</t>
        </is>
      </c>
      <c r="D1757" s="3" t="inlineStr">
        <is>
          <t>m'</t>
        </is>
      </c>
      <c r="E1757" s="4" t="n">
        <v>38300</v>
      </c>
    </row>
    <row r="1758">
      <c r="A1758" s="3" t="inlineStr">
        <is>
          <t>9</t>
        </is>
      </c>
      <c r="B1758" s="3" t="n">
        <v/>
      </c>
      <c r="C1758" s="3" t="inlineStr">
        <is>
          <t>Kabel BCC 70 mm² (0,70 kg/m)</t>
        </is>
      </c>
      <c r="D1758" s="3" t="inlineStr">
        <is>
          <t>m'</t>
        </is>
      </c>
      <c r="E1758" s="4" t="n">
        <v>136000</v>
      </c>
    </row>
    <row r="1759">
      <c r="A1759" s="3" t="inlineStr">
        <is>
          <t>10</t>
        </is>
      </c>
      <c r="B1759" s="3" t="n">
        <v/>
      </c>
      <c r="C1759" s="3" t="inlineStr">
        <is>
          <t>Kabel BCC 95 mm² (0,95 kg/m)</t>
        </is>
      </c>
      <c r="D1759" s="3" t="inlineStr">
        <is>
          <t>m'</t>
        </is>
      </c>
      <c r="E1759" s="4" t="n">
        <v>185000</v>
      </c>
    </row>
    <row r="1760">
      <c r="A1760" s="3" t="inlineStr">
        <is>
          <t>11</t>
        </is>
      </c>
      <c r="B1760" s="3" t="n">
        <v/>
      </c>
      <c r="C1760" s="3" t="inlineStr">
        <is>
          <t>Kabel FRC 1 x 10 mm²</t>
        </is>
      </c>
      <c r="D1760" s="3" t="inlineStr">
        <is>
          <t>m'</t>
        </is>
      </c>
      <c r="E1760" s="4" t="n">
        <v>75000</v>
      </c>
    </row>
    <row r="1761">
      <c r="A1761" s="3" t="inlineStr">
        <is>
          <t>11</t>
        </is>
      </c>
      <c r="B1761" s="3" t="n">
        <v/>
      </c>
      <c r="C1761" s="3" t="inlineStr">
        <is>
          <t>Kabel FRC 1 x 150 mm²</t>
        </is>
      </c>
      <c r="D1761" s="3" t="inlineStr">
        <is>
          <t>m'</t>
        </is>
      </c>
      <c r="E1761" s="4" t="n">
        <v>275000</v>
      </c>
    </row>
    <row r="1762">
      <c r="A1762" s="3" t="inlineStr">
        <is>
          <t>12</t>
        </is>
      </c>
      <c r="B1762" s="3" t="n">
        <v/>
      </c>
      <c r="C1762" s="3" t="inlineStr">
        <is>
          <t>Kabel FRC 2 x 1,5 mm²</t>
        </is>
      </c>
      <c r="D1762" s="3" t="inlineStr">
        <is>
          <t>m'</t>
        </is>
      </c>
      <c r="E1762" s="4" t="n">
        <v>23000</v>
      </c>
    </row>
    <row r="1763">
      <c r="A1763" s="3" t="n">
        <v/>
      </c>
      <c r="B1763" s="3" t="n">
        <v/>
      </c>
      <c r="C1763" s="3" t="inlineStr">
        <is>
          <t>Kabel FRC 2 x 1,5 mm2 + PVC Conduit HI 20 mm dan aksesoris</t>
        </is>
      </c>
      <c r="D1763" s="3" t="inlineStr">
        <is>
          <t>m'</t>
        </is>
      </c>
      <c r="E1763" s="4" t="n">
        <v>27100</v>
      </c>
    </row>
    <row r="1764">
      <c r="A1764" s="3" t="inlineStr">
        <is>
          <t>13</t>
        </is>
      </c>
      <c r="B1764" s="3" t="n">
        <v/>
      </c>
      <c r="C1764" s="3" t="inlineStr">
        <is>
          <t>Kabel FRC 2 x 2,5 mm²</t>
        </is>
      </c>
      <c r="D1764" s="3" t="inlineStr">
        <is>
          <t>m'</t>
        </is>
      </c>
      <c r="E1764" s="4" t="n">
        <v>33500</v>
      </c>
    </row>
    <row r="1765">
      <c r="A1765" s="3" t="n">
        <v/>
      </c>
      <c r="B1765" s="3" t="n">
        <v/>
      </c>
      <c r="C1765" s="3" t="inlineStr">
        <is>
          <t>Kabel FRC 2 x 2,5 mm2 + PVC Conduit HI 20 mm dan aksesoris</t>
        </is>
      </c>
      <c r="D1765" s="3" t="inlineStr">
        <is>
          <t>m'</t>
        </is>
      </c>
      <c r="E1765" s="4" t="n">
        <v>37600</v>
      </c>
    </row>
    <row r="1766">
      <c r="A1766" s="3" t="inlineStr">
        <is>
          <t>14</t>
        </is>
      </c>
      <c r="B1766" s="3" t="n">
        <v/>
      </c>
      <c r="C1766" s="3" t="inlineStr">
        <is>
          <t>Kabel FRC 3 x 2,5 mm²</t>
        </is>
      </c>
      <c r="D1766" s="3" t="inlineStr">
        <is>
          <t>m'</t>
        </is>
      </c>
      <c r="E1766" s="4" t="n">
        <v>40000</v>
      </c>
    </row>
    <row r="1767">
      <c r="A1767" s="3" t="inlineStr">
        <is>
          <t>15</t>
        </is>
      </c>
      <c r="B1767" s="3" t="n">
        <v/>
      </c>
      <c r="C1767" s="3" t="inlineStr">
        <is>
          <t>Kabel FRC 4 x 150 mm²</t>
        </is>
      </c>
      <c r="D1767" s="3" t="inlineStr">
        <is>
          <t>m'</t>
        </is>
      </c>
      <c r="E1767" s="4" t="n">
        <v>1607400</v>
      </c>
    </row>
    <row r="1768">
      <c r="A1768" s="3" t="inlineStr">
        <is>
          <t>16</t>
        </is>
      </c>
      <c r="B1768" s="3" t="n">
        <v/>
      </c>
      <c r="C1768" s="3" t="inlineStr">
        <is>
          <t>Kabel FRC 4 x 4 mm²</t>
        </is>
      </c>
      <c r="D1768" s="3" t="inlineStr">
        <is>
          <t>m'</t>
        </is>
      </c>
      <c r="E1768" s="4" t="n">
        <v>90000</v>
      </c>
    </row>
    <row r="1769">
      <c r="A1769" s="3" t="inlineStr">
        <is>
          <t>17</t>
        </is>
      </c>
      <c r="B1769" s="3" t="n">
        <v/>
      </c>
      <c r="C1769" s="3" t="inlineStr">
        <is>
          <t>Kabel FRC 4 x 6 mm²</t>
        </is>
      </c>
      <c r="D1769" s="3" t="inlineStr">
        <is>
          <t>m'</t>
        </is>
      </c>
      <c r="E1769" s="4" t="n">
        <v>110000</v>
      </c>
    </row>
    <row r="1770">
      <c r="A1770" s="3" t="inlineStr">
        <is>
          <t>25</t>
        </is>
      </c>
      <c r="B1770" s="3" t="n">
        <v/>
      </c>
      <c r="C1770" s="3" t="inlineStr">
        <is>
          <t>Kabel NYA 1 x 1,5 mm²</t>
        </is>
      </c>
      <c r="D1770" s="3" t="inlineStr">
        <is>
          <t>m'</t>
        </is>
      </c>
      <c r="E1770" s="4" t="n">
        <v>3200</v>
      </c>
    </row>
    <row r="1771">
      <c r="A1771" s="3" t="inlineStr">
        <is>
          <t>26</t>
        </is>
      </c>
      <c r="B1771" s="3" t="n">
        <v/>
      </c>
      <c r="C1771" s="3" t="inlineStr">
        <is>
          <t>Kabel NYA 1 x 10 mm²</t>
        </is>
      </c>
      <c r="D1771" s="3" t="inlineStr">
        <is>
          <t>m'</t>
        </is>
      </c>
      <c r="E1771" s="4" t="n">
        <v>20000</v>
      </c>
    </row>
    <row r="1772">
      <c r="A1772" s="3" t="inlineStr">
        <is>
          <t>27</t>
        </is>
      </c>
      <c r="B1772" s="3" t="n">
        <v/>
      </c>
      <c r="C1772" s="3" t="inlineStr">
        <is>
          <t>Kabel NYA 1 x 16 mm²</t>
        </is>
      </c>
      <c r="D1772" s="3" t="inlineStr">
        <is>
          <t>m'</t>
        </is>
      </c>
      <c r="E1772" s="4" t="n">
        <v>33000</v>
      </c>
    </row>
    <row r="1773">
      <c r="A1773" s="3" t="inlineStr">
        <is>
          <t>28</t>
        </is>
      </c>
      <c r="B1773" s="3" t="n">
        <v/>
      </c>
      <c r="C1773" s="3" t="inlineStr">
        <is>
          <t>Kabel NYA 1 x 2,5 mm²</t>
        </is>
      </c>
      <c r="D1773" s="3" t="inlineStr">
        <is>
          <t>m'</t>
        </is>
      </c>
      <c r="E1773" s="4" t="n">
        <v>5300</v>
      </c>
    </row>
    <row r="1774">
      <c r="A1774" s="3" t="inlineStr">
        <is>
          <t>29</t>
        </is>
      </c>
      <c r="B1774" s="3" t="n">
        <v/>
      </c>
      <c r="C1774" s="3" t="inlineStr">
        <is>
          <t>Kabel NYA 1 x 4 mm²</t>
        </is>
      </c>
      <c r="D1774" s="3" t="inlineStr">
        <is>
          <t>m'</t>
        </is>
      </c>
      <c r="E1774" s="4" t="n">
        <v>8300</v>
      </c>
    </row>
    <row r="1775">
      <c r="A1775" s="3" t="inlineStr">
        <is>
          <t>30</t>
        </is>
      </c>
      <c r="B1775" s="3" t="n">
        <v/>
      </c>
      <c r="C1775" s="3" t="inlineStr">
        <is>
          <t>Kabel NYA 1 x 6 mm²</t>
        </is>
      </c>
      <c r="D1775" s="3" t="inlineStr">
        <is>
          <t>m'</t>
        </is>
      </c>
      <c r="E1775" s="4" t="n">
        <v>12200</v>
      </c>
    </row>
    <row r="1776">
      <c r="A1776" s="3" t="inlineStr">
        <is>
          <t>31</t>
        </is>
      </c>
      <c r="B1776" s="3" t="n">
        <v/>
      </c>
      <c r="C1776" s="3" t="inlineStr">
        <is>
          <t>Kabel NYA 2 x 1,5 mm²</t>
        </is>
      </c>
      <c r="D1776" s="3" t="inlineStr">
        <is>
          <t>m'</t>
        </is>
      </c>
      <c r="E1776" s="4" t="n">
        <v>9200</v>
      </c>
    </row>
    <row r="1777">
      <c r="A1777" s="3" t="inlineStr">
        <is>
          <t>32</t>
        </is>
      </c>
      <c r="B1777" s="3" t="n">
        <v/>
      </c>
      <c r="C1777" s="3" t="inlineStr">
        <is>
          <t>Kabel NYA 3 x 1,5 mm²</t>
        </is>
      </c>
      <c r="D1777" s="3" t="inlineStr">
        <is>
          <t>m'</t>
        </is>
      </c>
      <c r="E1777" s="4" t="n">
        <v>14000</v>
      </c>
    </row>
    <row r="1778">
      <c r="A1778" s="3" t="n">
        <v/>
      </c>
      <c r="B1778" s="3" t="n">
        <v/>
      </c>
      <c r="C1778" s="3" t="inlineStr">
        <is>
          <t>Kabel NYA 3 x 2,5 mm²</t>
        </is>
      </c>
      <c r="D1778" s="3" t="inlineStr">
        <is>
          <t>m'</t>
        </is>
      </c>
      <c r="E1778" s="4" t="n">
        <v>19448</v>
      </c>
    </row>
    <row r="1779">
      <c r="A1779" s="3" t="n">
        <v/>
      </c>
      <c r="B1779" s="3" t="n">
        <v/>
      </c>
      <c r="C1779" s="3" t="inlineStr">
        <is>
          <t>Kabel NYA 5 x 2,5 mm²</t>
        </is>
      </c>
      <c r="D1779" s="3" t="inlineStr">
        <is>
          <t>m'</t>
        </is>
      </c>
      <c r="E1779" s="4" t="n">
        <v>51500</v>
      </c>
    </row>
    <row r="1780">
      <c r="A1780" s="3" t="n">
        <v/>
      </c>
      <c r="B1780" s="3" t="n">
        <v/>
      </c>
      <c r="C1780" s="3" t="inlineStr">
        <is>
          <t>Kabel NYA 1 x 25 mm²</t>
        </is>
      </c>
      <c r="D1780" s="3" t="inlineStr">
        <is>
          <t>m'</t>
        </is>
      </c>
      <c r="E1780" s="4" t="n">
        <v>50000</v>
      </c>
    </row>
    <row r="1781">
      <c r="A1781" s="3" t="n">
        <v/>
      </c>
      <c r="B1781" s="3" t="n">
        <v/>
      </c>
      <c r="C1781" s="3" t="inlineStr">
        <is>
          <t>Kabel NYA 1 x 35 mm²</t>
        </is>
      </c>
      <c r="D1781" s="3" t="inlineStr">
        <is>
          <t>m'</t>
        </is>
      </c>
      <c r="E1781" s="4" t="n">
        <v>71250</v>
      </c>
    </row>
    <row r="1782">
      <c r="A1782" s="3" t="n">
        <v/>
      </c>
      <c r="B1782" s="3" t="n">
        <v/>
      </c>
      <c r="C1782" s="3" t="inlineStr">
        <is>
          <t>Kabel NYA 1 x 50 mm²</t>
        </is>
      </c>
      <c r="D1782" s="3" t="inlineStr">
        <is>
          <t>m'</t>
        </is>
      </c>
      <c r="E1782" s="4" t="n">
        <v>85000</v>
      </c>
    </row>
    <row r="1783">
      <c r="A1783" s="3" t="n">
        <v/>
      </c>
      <c r="B1783" s="3" t="n">
        <v/>
      </c>
      <c r="C1783" s="3" t="inlineStr">
        <is>
          <t>Kabel NYA 1 x 70 mm²</t>
        </is>
      </c>
      <c r="D1783" s="3" t="inlineStr">
        <is>
          <t>m'</t>
        </is>
      </c>
      <c r="E1783" s="4" t="n">
        <v>120000</v>
      </c>
    </row>
    <row r="1784">
      <c r="A1784" s="3" t="n">
        <v/>
      </c>
      <c r="B1784" s="3" t="n">
        <v/>
      </c>
      <c r="C1784" s="3" t="inlineStr">
        <is>
          <t>Kabel NYA 1 x 95 mm²</t>
        </is>
      </c>
      <c r="D1784" s="3" t="inlineStr">
        <is>
          <t>m'</t>
        </is>
      </c>
      <c r="E1784" s="4" t="n">
        <v>181000</v>
      </c>
    </row>
    <row r="1785">
      <c r="A1785" s="3" t="inlineStr">
        <is>
          <t>33</t>
        </is>
      </c>
      <c r="B1785" s="3" t="n">
        <v/>
      </c>
      <c r="C1785" s="3" t="inlineStr">
        <is>
          <t>Kabel NYFGBY 2 x 1,5 mm²</t>
        </is>
      </c>
      <c r="D1785" s="3" t="inlineStr">
        <is>
          <t>m'</t>
        </is>
      </c>
      <c r="E1785" s="4" t="n">
        <v>22750</v>
      </c>
    </row>
    <row r="1786">
      <c r="A1786" s="3" t="inlineStr">
        <is>
          <t>34</t>
        </is>
      </c>
      <c r="B1786" s="3" t="n">
        <v/>
      </c>
      <c r="C1786" s="3" t="inlineStr">
        <is>
          <t>Kabel NYFGBY 2 x 10 mm²</t>
        </is>
      </c>
      <c r="D1786" s="3" t="inlineStr">
        <is>
          <t>m'</t>
        </is>
      </c>
      <c r="E1786" s="4" t="n">
        <v>60750</v>
      </c>
    </row>
    <row r="1787">
      <c r="A1787" s="3" t="inlineStr">
        <is>
          <t>35</t>
        </is>
      </c>
      <c r="B1787" s="3" t="n">
        <v/>
      </c>
      <c r="C1787" s="3" t="inlineStr">
        <is>
          <t>Kabel NYFGBY 2 x 16 mm²</t>
        </is>
      </c>
      <c r="D1787" s="3" t="inlineStr">
        <is>
          <t>m'</t>
        </is>
      </c>
      <c r="E1787" s="4" t="n">
        <v>82000</v>
      </c>
    </row>
    <row r="1788">
      <c r="A1788" s="3" t="inlineStr">
        <is>
          <t>36</t>
        </is>
      </c>
      <c r="B1788" s="3" t="n">
        <v/>
      </c>
      <c r="C1788" s="3" t="inlineStr">
        <is>
          <t>Kabel NYFGBY 2 x 2,5 mm²</t>
        </is>
      </c>
      <c r="D1788" s="3" t="inlineStr">
        <is>
          <t>m'</t>
        </is>
      </c>
      <c r="E1788" s="4" t="n">
        <v>30500</v>
      </c>
    </row>
    <row r="1789">
      <c r="A1789" s="3" t="inlineStr">
        <is>
          <t>37</t>
        </is>
      </c>
      <c r="B1789" s="3" t="n">
        <v/>
      </c>
      <c r="C1789" s="3" t="inlineStr">
        <is>
          <t>Kabel NYFGBY 2 x 4 mm²</t>
        </is>
      </c>
      <c r="D1789" s="3" t="inlineStr">
        <is>
          <t>m'</t>
        </is>
      </c>
      <c r="E1789" s="4" t="n">
        <v>35200</v>
      </c>
    </row>
    <row r="1790">
      <c r="A1790" s="3" t="inlineStr">
        <is>
          <t>38</t>
        </is>
      </c>
      <c r="B1790" s="3" t="n">
        <v/>
      </c>
      <c r="C1790" s="3" t="inlineStr">
        <is>
          <t>Kabel NYFGBY 2 x 6 mm²</t>
        </is>
      </c>
      <c r="D1790" s="3" t="inlineStr">
        <is>
          <t>m'</t>
        </is>
      </c>
      <c r="E1790" s="4" t="n">
        <v>43350</v>
      </c>
    </row>
    <row r="1791">
      <c r="A1791" s="3" t="inlineStr">
        <is>
          <t>40</t>
        </is>
      </c>
      <c r="B1791" s="3" t="n">
        <v/>
      </c>
      <c r="C1791" s="3" t="inlineStr">
        <is>
          <t>Kabel NYFGBY 3 x 1,5 mm²</t>
        </is>
      </c>
      <c r="D1791" s="3" t="inlineStr">
        <is>
          <t>m'</t>
        </is>
      </c>
      <c r="E1791" s="4" t="n">
        <v>28500</v>
      </c>
    </row>
    <row r="1792">
      <c r="A1792" s="3" t="inlineStr">
        <is>
          <t>41</t>
        </is>
      </c>
      <c r="B1792" s="3" t="n">
        <v/>
      </c>
      <c r="C1792" s="3" t="inlineStr">
        <is>
          <t>Kabel NYFGBY 3 x 10 mm²</t>
        </is>
      </c>
      <c r="D1792" s="3" t="inlineStr">
        <is>
          <t>m'</t>
        </is>
      </c>
      <c r="E1792" s="4" t="n">
        <v>79600</v>
      </c>
    </row>
    <row r="1793">
      <c r="A1793" s="3" t="inlineStr">
        <is>
          <t>42</t>
        </is>
      </c>
      <c r="B1793" s="3" t="n">
        <v/>
      </c>
      <c r="C1793" s="3" t="inlineStr">
        <is>
          <t>Kabel NYFGBY 3 x 16 mm²</t>
        </is>
      </c>
      <c r="D1793" s="3" t="inlineStr">
        <is>
          <t>m'</t>
        </is>
      </c>
      <c r="E1793" s="4" t="n">
        <v>128900</v>
      </c>
    </row>
    <row r="1794">
      <c r="A1794" s="3" t="inlineStr">
        <is>
          <t>43</t>
        </is>
      </c>
      <c r="B1794" s="3" t="n">
        <v/>
      </c>
      <c r="C1794" s="3" t="inlineStr">
        <is>
          <t>Kabel NYFGBY 3 x 2,5 mm²</t>
        </is>
      </c>
      <c r="D1794" s="3" t="inlineStr">
        <is>
          <t>m'</t>
        </is>
      </c>
      <c r="E1794" s="4" t="n">
        <v>32900</v>
      </c>
    </row>
    <row r="1795">
      <c r="A1795" s="3" t="inlineStr">
        <is>
          <t>44</t>
        </is>
      </c>
      <c r="B1795" s="3" t="n">
        <v/>
      </c>
      <c r="C1795" s="3" t="inlineStr">
        <is>
          <t>Kabel NYFGBY 3 x 4 mm²</t>
        </is>
      </c>
      <c r="D1795" s="3" t="inlineStr">
        <is>
          <t>m'</t>
        </is>
      </c>
      <c r="E1795" s="4" t="n">
        <v>49000</v>
      </c>
    </row>
    <row r="1796">
      <c r="A1796" s="3" t="inlineStr">
        <is>
          <t>45</t>
        </is>
      </c>
      <c r="B1796" s="3" t="n">
        <v/>
      </c>
      <c r="C1796" s="3" t="inlineStr">
        <is>
          <t>Kabel NYFGBY 3 x 6 mm²</t>
        </is>
      </c>
      <c r="D1796" s="3" t="inlineStr">
        <is>
          <t>m'</t>
        </is>
      </c>
      <c r="E1796" s="4" t="n">
        <v>63500</v>
      </c>
    </row>
    <row r="1797">
      <c r="A1797" s="3" t="inlineStr">
        <is>
          <t>47</t>
        </is>
      </c>
      <c r="B1797" s="3" t="n">
        <v/>
      </c>
      <c r="C1797" s="3" t="inlineStr">
        <is>
          <t>Kabel NYFGBY 4 x 1,5 mm²</t>
        </is>
      </c>
      <c r="D1797" s="3" t="inlineStr">
        <is>
          <t>m'</t>
        </is>
      </c>
      <c r="E1797" s="4" t="n">
        <v>29400</v>
      </c>
    </row>
    <row r="1798">
      <c r="A1798" s="3" t="inlineStr">
        <is>
          <t>48</t>
        </is>
      </c>
      <c r="B1798" s="3" t="n">
        <v/>
      </c>
      <c r="C1798" s="3" t="inlineStr">
        <is>
          <t>Kabel NYFGBY 4 x 10 mm²</t>
        </is>
      </c>
      <c r="D1798" s="3" t="inlineStr">
        <is>
          <t>m'</t>
        </is>
      </c>
      <c r="E1798" s="4" t="n">
        <v>100600</v>
      </c>
    </row>
    <row r="1799">
      <c r="A1799" s="3" t="inlineStr">
        <is>
          <t>49</t>
        </is>
      </c>
      <c r="B1799" s="3" t="n">
        <v/>
      </c>
      <c r="C1799" s="3" t="inlineStr">
        <is>
          <t>Kabel NYFGBY 4 x 120 mm²</t>
        </is>
      </c>
      <c r="D1799" s="3" t="inlineStr">
        <is>
          <t>m'</t>
        </is>
      </c>
      <c r="E1799" s="4" t="n">
        <v>969500</v>
      </c>
    </row>
    <row r="1800">
      <c r="A1800" s="3" t="inlineStr">
        <is>
          <t>50</t>
        </is>
      </c>
      <c r="B1800" s="3" t="n">
        <v/>
      </c>
      <c r="C1800" s="3" t="inlineStr">
        <is>
          <t>Kabel NYFGBY 4 x 150 mm²</t>
        </is>
      </c>
      <c r="D1800" s="3" t="inlineStr">
        <is>
          <t>m'</t>
        </is>
      </c>
      <c r="E1800" s="4" t="n">
        <v>1187650</v>
      </c>
    </row>
    <row r="1801">
      <c r="A1801" s="3" t="inlineStr">
        <is>
          <t>51</t>
        </is>
      </c>
      <c r="B1801" s="3" t="n">
        <v/>
      </c>
      <c r="C1801" s="3" t="inlineStr">
        <is>
          <t>Kabel NYFGBY 4 x 16 mm²</t>
        </is>
      </c>
      <c r="D1801" s="3" t="inlineStr">
        <is>
          <t>m'</t>
        </is>
      </c>
      <c r="E1801" s="4" t="n">
        <v>159300</v>
      </c>
    </row>
    <row r="1802">
      <c r="A1802" s="3" t="inlineStr">
        <is>
          <t>52</t>
        </is>
      </c>
      <c r="B1802" s="3" t="n">
        <v/>
      </c>
      <c r="C1802" s="3" t="inlineStr">
        <is>
          <t>Kabel NYFGBY 4 x 185 mm²</t>
        </is>
      </c>
      <c r="D1802" s="3" t="inlineStr">
        <is>
          <t>m'</t>
        </is>
      </c>
      <c r="E1802" s="4" t="n">
        <v>1470650</v>
      </c>
    </row>
    <row r="1803">
      <c r="A1803" s="3" t="inlineStr">
        <is>
          <t>53</t>
        </is>
      </c>
      <c r="B1803" s="3" t="n">
        <v/>
      </c>
      <c r="C1803" s="3" t="inlineStr">
        <is>
          <t>Kabel NYFGBY 4 x 2,5 mm²</t>
        </is>
      </c>
      <c r="D1803" s="3" t="inlineStr">
        <is>
          <t>m'</t>
        </is>
      </c>
      <c r="E1803" s="4" t="n">
        <v>38600</v>
      </c>
    </row>
    <row r="1804">
      <c r="A1804" s="3" t="inlineStr">
        <is>
          <t>54</t>
        </is>
      </c>
      <c r="B1804" s="3" t="n">
        <v/>
      </c>
      <c r="C1804" s="3" t="inlineStr">
        <is>
          <t>Kabel NYFGBY 4 x 240 mm²</t>
        </is>
      </c>
      <c r="D1804" s="3" t="inlineStr">
        <is>
          <t>m'</t>
        </is>
      </c>
      <c r="E1804" s="4" t="n">
        <v>1921500</v>
      </c>
    </row>
    <row r="1805">
      <c r="A1805" s="3" t="inlineStr">
        <is>
          <t>55</t>
        </is>
      </c>
      <c r="B1805" s="3" t="n">
        <v/>
      </c>
      <c r="C1805" s="3" t="inlineStr">
        <is>
          <t>Kabel NYFGBY 4 x 25 mm²</t>
        </is>
      </c>
      <c r="D1805" s="3" t="inlineStr">
        <is>
          <t>m'</t>
        </is>
      </c>
      <c r="E1805" s="4" t="n">
        <v>247200</v>
      </c>
    </row>
    <row r="1806">
      <c r="A1806" s="3" t="inlineStr">
        <is>
          <t>56</t>
        </is>
      </c>
      <c r="B1806" s="3" t="n">
        <v/>
      </c>
      <c r="C1806" s="3" t="inlineStr">
        <is>
          <t>Kabel NYFGBY 4 x 300 mm²</t>
        </is>
      </c>
      <c r="D1806" s="3" t="inlineStr">
        <is>
          <t>m'</t>
        </is>
      </c>
      <c r="E1806" s="4" t="n">
        <v>2392250</v>
      </c>
    </row>
    <row r="1807">
      <c r="A1807" s="3" t="inlineStr">
        <is>
          <t>57</t>
        </is>
      </c>
      <c r="B1807" s="3" t="n">
        <v/>
      </c>
      <c r="C1807" s="3" t="inlineStr">
        <is>
          <t>Kabel NYFGBY 4 x 35 mm²</t>
        </is>
      </c>
      <c r="D1807" s="3" t="inlineStr">
        <is>
          <t>m'</t>
        </is>
      </c>
      <c r="E1807" s="4" t="n">
        <v>314750</v>
      </c>
    </row>
    <row r="1808">
      <c r="A1808" s="3" t="inlineStr">
        <is>
          <t>58</t>
        </is>
      </c>
      <c r="B1808" s="3" t="n">
        <v/>
      </c>
      <c r="C1808" s="3" t="inlineStr">
        <is>
          <t>Kabel NYFGBY 4 x 4 mm²</t>
        </is>
      </c>
      <c r="D1808" s="3" t="inlineStr">
        <is>
          <t>m'</t>
        </is>
      </c>
      <c r="E1808" s="4" t="n">
        <v>66000</v>
      </c>
    </row>
    <row r="1809">
      <c r="A1809" s="3" t="inlineStr">
        <is>
          <t>59</t>
        </is>
      </c>
      <c r="B1809" s="3" t="n">
        <v/>
      </c>
      <c r="C1809" s="3" t="inlineStr">
        <is>
          <t>Kabel NYFGBY 4 x 50 mm²</t>
        </is>
      </c>
      <c r="D1809" s="3" t="inlineStr">
        <is>
          <t>m'</t>
        </is>
      </c>
      <c r="E1809" s="4" t="n">
        <v>411600</v>
      </c>
    </row>
    <row r="1810">
      <c r="A1810" s="3" t="inlineStr">
        <is>
          <t>60</t>
        </is>
      </c>
      <c r="B1810" s="3" t="n">
        <v/>
      </c>
      <c r="C1810" s="3" t="inlineStr">
        <is>
          <t>Kabel NYFGBY 4 x 6 mm²</t>
        </is>
      </c>
      <c r="D1810" s="3" t="inlineStr">
        <is>
          <t>m'</t>
        </is>
      </c>
      <c r="E1810" s="4" t="n">
        <v>70200</v>
      </c>
    </row>
    <row r="1811">
      <c r="A1811" s="3" t="inlineStr">
        <is>
          <t>61</t>
        </is>
      </c>
      <c r="B1811" s="3" t="n">
        <v/>
      </c>
      <c r="C1811" s="3" t="inlineStr">
        <is>
          <t>Kabel NYFGBY 4 x 70 mm²</t>
        </is>
      </c>
      <c r="D1811" s="3" t="inlineStr">
        <is>
          <t>m'</t>
        </is>
      </c>
      <c r="E1811" s="4" t="n">
        <v>575250</v>
      </c>
    </row>
    <row r="1812">
      <c r="A1812" s="3" t="inlineStr">
        <is>
          <t>62</t>
        </is>
      </c>
      <c r="B1812" s="3" t="n">
        <v/>
      </c>
      <c r="C1812" s="3" t="inlineStr">
        <is>
          <t>Kabel NYFGBY 4 x 95 mm²</t>
        </is>
      </c>
      <c r="D1812" s="3" t="inlineStr">
        <is>
          <t>m'</t>
        </is>
      </c>
      <c r="E1812" s="4" t="n">
        <v>743750</v>
      </c>
    </row>
    <row r="1813">
      <c r="A1813" s="3" t="inlineStr">
        <is>
          <t>63</t>
        </is>
      </c>
      <c r="B1813" s="3" t="n">
        <v/>
      </c>
      <c r="C1813" s="3" t="inlineStr">
        <is>
          <t>Kabel NYM 2 x 1,5 mm²</t>
        </is>
      </c>
      <c r="D1813" s="3" t="inlineStr">
        <is>
          <t>m'</t>
        </is>
      </c>
      <c r="E1813" s="4" t="n">
        <v>8880</v>
      </c>
    </row>
    <row r="1814">
      <c r="A1814" s="3" t="inlineStr">
        <is>
          <t>64</t>
        </is>
      </c>
      <c r="B1814" s="3" t="n">
        <v/>
      </c>
      <c r="C1814" s="3" t="inlineStr">
        <is>
          <t>Kabel NYM 2 x 10 mm²</t>
        </is>
      </c>
      <c r="D1814" s="3" t="inlineStr">
        <is>
          <t>m'</t>
        </is>
      </c>
      <c r="E1814" s="4" t="n">
        <v>49000</v>
      </c>
    </row>
    <row r="1815">
      <c r="A1815" s="3" t="inlineStr">
        <is>
          <t>65</t>
        </is>
      </c>
      <c r="B1815" s="3" t="n">
        <v/>
      </c>
      <c r="C1815" s="3" t="inlineStr">
        <is>
          <t>Kabel NYM 2 x 2,5 mm²</t>
        </is>
      </c>
      <c r="D1815" s="3" t="inlineStr">
        <is>
          <t>m'</t>
        </is>
      </c>
      <c r="E1815" s="4" t="n">
        <v>13250</v>
      </c>
    </row>
    <row r="1816">
      <c r="A1816" s="3" t="inlineStr">
        <is>
          <t>66</t>
        </is>
      </c>
      <c r="B1816" s="3" t="n">
        <v/>
      </c>
      <c r="C1816" s="3" t="inlineStr">
        <is>
          <t>Kabel NYM 2 x 4 mm²</t>
        </is>
      </c>
      <c r="D1816" s="3" t="inlineStr">
        <is>
          <t>m'</t>
        </is>
      </c>
      <c r="E1816" s="4" t="n">
        <v>19950</v>
      </c>
    </row>
    <row r="1817">
      <c r="A1817" s="3" t="inlineStr">
        <is>
          <t>67</t>
        </is>
      </c>
      <c r="B1817" s="3" t="n">
        <v/>
      </c>
      <c r="C1817" s="3" t="inlineStr">
        <is>
          <t>Kabel NYM 2 x 6 mm²</t>
        </is>
      </c>
      <c r="D1817" s="3" t="inlineStr">
        <is>
          <t>m'</t>
        </is>
      </c>
      <c r="E1817" s="4" t="n">
        <v>29000</v>
      </c>
    </row>
    <row r="1818">
      <c r="A1818" s="3" t="inlineStr">
        <is>
          <t>68</t>
        </is>
      </c>
      <c r="B1818" s="3" t="n">
        <v/>
      </c>
      <c r="C1818" s="3" t="inlineStr">
        <is>
          <t>Kabel NYM 3 x 1,5 mm²</t>
        </is>
      </c>
      <c r="D1818" s="3" t="inlineStr">
        <is>
          <t>m'</t>
        </is>
      </c>
      <c r="E1818" s="4" t="n">
        <v>11400</v>
      </c>
    </row>
    <row r="1819">
      <c r="A1819" s="3" t="inlineStr">
        <is>
          <t>69</t>
        </is>
      </c>
      <c r="B1819" s="3" t="n">
        <v/>
      </c>
      <c r="C1819" s="3" t="inlineStr">
        <is>
          <t>Kabel NYM 3 x 10 mm²</t>
        </is>
      </c>
      <c r="D1819" s="3" t="inlineStr">
        <is>
          <t>m'</t>
        </is>
      </c>
      <c r="E1819" s="4" t="n">
        <v>69200</v>
      </c>
    </row>
    <row r="1820">
      <c r="A1820" s="3" t="inlineStr">
        <is>
          <t>70</t>
        </is>
      </c>
      <c r="B1820" s="3" t="n">
        <v/>
      </c>
      <c r="C1820" s="3" t="inlineStr">
        <is>
          <t>Kabel NYM 3 x 2,5 mm²</t>
        </is>
      </c>
      <c r="D1820" s="3" t="inlineStr">
        <is>
          <t>m'</t>
        </is>
      </c>
      <c r="E1820" s="4" t="n">
        <v>21300</v>
      </c>
    </row>
    <row r="1821">
      <c r="A1821" s="3" t="inlineStr">
        <is>
          <t>71</t>
        </is>
      </c>
      <c r="B1821" s="3" t="n">
        <v/>
      </c>
      <c r="C1821" s="3" t="inlineStr">
        <is>
          <t>Kabel NYM 3 x 4 mm²</t>
        </is>
      </c>
      <c r="D1821" s="3" t="inlineStr">
        <is>
          <t>m'</t>
        </is>
      </c>
      <c r="E1821" s="4" t="n">
        <v>27000</v>
      </c>
    </row>
    <row r="1822">
      <c r="A1822" s="3" t="n">
        <v/>
      </c>
      <c r="B1822" s="3" t="n">
        <v/>
      </c>
      <c r="C1822" s="3" t="inlineStr">
        <is>
          <t>Kabel NYM 3 x 2,5
mm2 (LSOH)</t>
        </is>
      </c>
      <c r="D1822" s="3" t="inlineStr">
        <is>
          <t>M'</t>
        </is>
      </c>
      <c r="E1822" s="4" t="n">
        <v>21300</v>
      </c>
    </row>
    <row r="1823">
      <c r="A1823" s="3" t="inlineStr">
        <is>
          <t>72</t>
        </is>
      </c>
      <c r="B1823" s="3" t="n">
        <v/>
      </c>
      <c r="C1823" s="3" t="inlineStr">
        <is>
          <t>Kabel NYM 3 x 6 mm²</t>
        </is>
      </c>
      <c r="D1823" s="3" t="inlineStr">
        <is>
          <t>m'</t>
        </is>
      </c>
      <c r="E1823" s="4" t="n">
        <v>43100</v>
      </c>
    </row>
    <row r="1824">
      <c r="A1824" s="3" t="inlineStr">
        <is>
          <t>73</t>
        </is>
      </c>
      <c r="B1824" s="3" t="n">
        <v/>
      </c>
      <c r="C1824" s="3" t="inlineStr">
        <is>
          <t>Kabel NYM 4 x 1,5 mm²</t>
        </is>
      </c>
      <c r="D1824" s="3" t="inlineStr">
        <is>
          <t>m'</t>
        </is>
      </c>
      <c r="E1824" s="4" t="n">
        <v>14400</v>
      </c>
    </row>
    <row r="1825">
      <c r="A1825" s="3" t="inlineStr">
        <is>
          <t>74</t>
        </is>
      </c>
      <c r="B1825" s="3" t="n">
        <v/>
      </c>
      <c r="C1825" s="3" t="inlineStr">
        <is>
          <t>Kabel NYM 4 x 10 mm²</t>
        </is>
      </c>
      <c r="D1825" s="3" t="inlineStr">
        <is>
          <t>m'</t>
        </is>
      </c>
      <c r="E1825" s="4" t="n">
        <v>92900</v>
      </c>
    </row>
    <row r="1826">
      <c r="A1826" s="3" t="inlineStr">
        <is>
          <t>75</t>
        </is>
      </c>
      <c r="B1826" s="3" t="n">
        <v/>
      </c>
      <c r="C1826" s="3" t="inlineStr">
        <is>
          <t>Kabel NYM 4 x 16 mm²</t>
        </is>
      </c>
      <c r="D1826" s="3" t="inlineStr">
        <is>
          <t>m'</t>
        </is>
      </c>
      <c r="E1826" s="4" t="n">
        <v>150000</v>
      </c>
    </row>
    <row r="1827">
      <c r="A1827" s="3" t="inlineStr">
        <is>
          <t>76</t>
        </is>
      </c>
      <c r="B1827" s="3" t="n">
        <v/>
      </c>
      <c r="C1827" s="3" t="inlineStr">
        <is>
          <t>Kabel NYM 4 x 2,5 mm²</t>
        </is>
      </c>
      <c r="D1827" s="3" t="inlineStr">
        <is>
          <t>m'</t>
        </is>
      </c>
      <c r="E1827" s="4" t="n">
        <v>22700</v>
      </c>
    </row>
    <row r="1828">
      <c r="A1828" s="3" t="inlineStr">
        <is>
          <t>77</t>
        </is>
      </c>
      <c r="B1828" s="3" t="n">
        <v/>
      </c>
      <c r="C1828" s="3" t="inlineStr">
        <is>
          <t>Kabel NYM 4 x 4 mm²</t>
        </is>
      </c>
      <c r="D1828" s="3" t="inlineStr">
        <is>
          <t>m'</t>
        </is>
      </c>
      <c r="E1828" s="4" t="n">
        <v>37000</v>
      </c>
    </row>
    <row r="1829">
      <c r="A1829" s="3" t="inlineStr">
        <is>
          <t>78</t>
        </is>
      </c>
      <c r="B1829" s="3" t="n">
        <v/>
      </c>
      <c r="C1829" s="3" t="inlineStr">
        <is>
          <t>Kabel NYM 4 x 6 mm²</t>
        </is>
      </c>
      <c r="D1829" s="3" t="inlineStr">
        <is>
          <t>m'</t>
        </is>
      </c>
      <c r="E1829" s="4" t="n">
        <v>54400</v>
      </c>
    </row>
    <row r="1830">
      <c r="A1830" s="3" t="inlineStr">
        <is>
          <t>79</t>
        </is>
      </c>
      <c r="B1830" s="3" t="n">
        <v/>
      </c>
      <c r="C1830" s="3" t="inlineStr">
        <is>
          <t>Kabel NYMHY 2 x 1,5 mm²</t>
        </is>
      </c>
      <c r="D1830" s="3" t="inlineStr">
        <is>
          <t>m'</t>
        </is>
      </c>
      <c r="E1830" s="4" t="n">
        <v>9300</v>
      </c>
    </row>
    <row r="1831">
      <c r="A1831" s="3" t="inlineStr">
        <is>
          <t>80</t>
        </is>
      </c>
      <c r="B1831" s="3" t="n">
        <v/>
      </c>
      <c r="C1831" s="3" t="inlineStr">
        <is>
          <t>Kabel NYMHY 2 x 2,5 mm²</t>
        </is>
      </c>
      <c r="D1831" s="3" t="inlineStr">
        <is>
          <t>m'</t>
        </is>
      </c>
      <c r="E1831" s="4" t="n">
        <v>13900</v>
      </c>
    </row>
    <row r="1832">
      <c r="A1832" s="3" t="inlineStr">
        <is>
          <t>81</t>
        </is>
      </c>
      <c r="B1832" s="3" t="n">
        <v/>
      </c>
      <c r="C1832" s="3" t="inlineStr">
        <is>
          <t>Kabel NYMHY 3 x 1,5 mm²</t>
        </is>
      </c>
      <c r="D1832" s="3" t="inlineStr">
        <is>
          <t>m'</t>
        </is>
      </c>
      <c r="E1832" s="4" t="n">
        <v>13400</v>
      </c>
    </row>
    <row r="1833">
      <c r="A1833" s="3" t="n">
        <v/>
      </c>
      <c r="B1833" s="3" t="n">
        <v/>
      </c>
      <c r="C1833" s="3" t="inlineStr">
        <is>
          <t>Kabel NYMHY 2(3 x
1,5 mm2) + Conduit
PVC HI 20 mm dan
aksesoris</t>
        </is>
      </c>
      <c r="D1833" s="3" t="inlineStr">
        <is>
          <t>m'</t>
        </is>
      </c>
      <c r="E1833" s="4" t="n">
        <v>35000</v>
      </c>
    </row>
    <row r="1834">
      <c r="A1834" s="3" t="n">
        <v/>
      </c>
      <c r="B1834" s="3" t="n">
        <v/>
      </c>
      <c r="C1834" s="3" t="inlineStr">
        <is>
          <t>Kabel NYMHY 3 x 1,5
mm2 + Conduit PVC
HI 20 mm dan
aksesoris</t>
        </is>
      </c>
      <c r="D1834" s="3" t="inlineStr">
        <is>
          <t>m'</t>
        </is>
      </c>
      <c r="E1834" s="4" t="n">
        <v>17500</v>
      </c>
    </row>
    <row r="1835">
      <c r="A1835" s="3" t="n">
        <v/>
      </c>
      <c r="B1835" s="3" t="n">
        <v/>
      </c>
      <c r="C1835" s="3" t="inlineStr">
        <is>
          <t>NYMHY 2 x 0,75 mm² + Conduit PVC HI 20 mm dan aksesoris</t>
        </is>
      </c>
      <c r="D1835" s="3" t="inlineStr">
        <is>
          <t>m'</t>
        </is>
      </c>
      <c r="E1835" s="4" t="n">
        <v>10000</v>
      </c>
    </row>
    <row r="1836">
      <c r="A1836" s="3" t="inlineStr">
        <is>
          <t>82</t>
        </is>
      </c>
      <c r="B1836" s="3" t="n">
        <v/>
      </c>
      <c r="C1836" s="3" t="inlineStr">
        <is>
          <t>Kabel NYMHY 3 x 2,5 mm²</t>
        </is>
      </c>
      <c r="D1836" s="3" t="inlineStr">
        <is>
          <t>m'</t>
        </is>
      </c>
      <c r="E1836" s="4" t="n">
        <v>21300</v>
      </c>
    </row>
    <row r="1837">
      <c r="A1837" s="3" t="inlineStr">
        <is>
          <t>83</t>
        </is>
      </c>
      <c r="B1837" s="3" t="n">
        <v/>
      </c>
      <c r="C1837" s="3" t="inlineStr">
        <is>
          <t>Kabel NYMHY 4 x 2,5 mm²</t>
        </is>
      </c>
      <c r="D1837" s="3" t="inlineStr">
        <is>
          <t>m'</t>
        </is>
      </c>
      <c r="E1837" s="4" t="n">
        <v>28700</v>
      </c>
    </row>
    <row r="1838">
      <c r="A1838" s="3" t="inlineStr">
        <is>
          <t>84</t>
        </is>
      </c>
      <c r="B1838" s="3" t="n">
        <v/>
      </c>
      <c r="C1838" s="3" t="inlineStr">
        <is>
          <t>Kabel NYY 1 x 10 mm²</t>
        </is>
      </c>
      <c r="D1838" s="3" t="inlineStr">
        <is>
          <t>m'</t>
        </is>
      </c>
      <c r="E1838" s="4" t="n">
        <v>18000</v>
      </c>
    </row>
    <row r="1839">
      <c r="A1839" s="3" t="inlineStr">
        <is>
          <t>85</t>
        </is>
      </c>
      <c r="B1839" s="3" t="n">
        <v/>
      </c>
      <c r="C1839" s="3" t="inlineStr">
        <is>
          <t>Kabel NYY 1 x 120 mm²</t>
        </is>
      </c>
      <c r="D1839" s="3" t="inlineStr">
        <is>
          <t>m'</t>
        </is>
      </c>
      <c r="E1839" s="4" t="n">
        <v>246500</v>
      </c>
    </row>
    <row r="1840">
      <c r="A1840" s="3" t="inlineStr">
        <is>
          <t>86</t>
        </is>
      </c>
      <c r="B1840" s="3" t="n">
        <v/>
      </c>
      <c r="C1840" s="3" t="inlineStr">
        <is>
          <t>Kabel NYY 1 x 150 mm²</t>
        </is>
      </c>
      <c r="D1840" s="3" t="inlineStr">
        <is>
          <t>m'</t>
        </is>
      </c>
      <c r="E1840" s="4" t="n">
        <v>303000</v>
      </c>
    </row>
    <row r="1841">
      <c r="A1841" s="3" t="inlineStr">
        <is>
          <t>87</t>
        </is>
      </c>
      <c r="B1841" s="3" t="n">
        <v/>
      </c>
      <c r="C1841" s="3" t="inlineStr">
        <is>
          <t>Kabel NYY 1 x 16 mm²</t>
        </is>
      </c>
      <c r="D1841" s="3" t="inlineStr">
        <is>
          <t>m'</t>
        </is>
      </c>
      <c r="E1841" s="4" t="n">
        <v>36000</v>
      </c>
    </row>
    <row r="1842">
      <c r="A1842" s="3" t="inlineStr">
        <is>
          <t>88</t>
        </is>
      </c>
      <c r="B1842" s="3" t="n">
        <v/>
      </c>
      <c r="C1842" s="3" t="inlineStr">
        <is>
          <t>Kabel NYY 1 x 185 mm²</t>
        </is>
      </c>
      <c r="D1842" s="3" t="inlineStr">
        <is>
          <t>m'</t>
        </is>
      </c>
      <c r="E1842" s="4" t="n">
        <v>377000</v>
      </c>
    </row>
    <row r="1843">
      <c r="A1843" s="3" t="inlineStr">
        <is>
          <t>89</t>
        </is>
      </c>
      <c r="B1843" s="3" t="n">
        <v/>
      </c>
      <c r="C1843" s="3" t="inlineStr">
        <is>
          <t>Kabel NYY 1 x 25 mm²</t>
        </is>
      </c>
      <c r="D1843" s="3" t="inlineStr">
        <is>
          <t>m'</t>
        </is>
      </c>
      <c r="E1843" s="4" t="n">
        <v>56000</v>
      </c>
    </row>
    <row r="1844">
      <c r="A1844" s="3" t="inlineStr">
        <is>
          <t>90</t>
        </is>
      </c>
      <c r="B1844" s="3" t="n">
        <v/>
      </c>
      <c r="C1844" s="3" t="inlineStr">
        <is>
          <t>Kabel NYY 1 x 240 mm²</t>
        </is>
      </c>
      <c r="D1844" s="3" t="inlineStr">
        <is>
          <t>m'</t>
        </is>
      </c>
      <c r="E1844" s="4" t="n">
        <v>450000</v>
      </c>
    </row>
    <row r="1845">
      <c r="A1845" s="3" t="inlineStr">
        <is>
          <t>90</t>
        </is>
      </c>
      <c r="B1845" s="3" t="n">
        <v/>
      </c>
      <c r="C1845" s="3" t="inlineStr">
        <is>
          <t>Kabel NYY 1 x 250 mm²</t>
        </is>
      </c>
      <c r="D1845" s="3" t="inlineStr">
        <is>
          <t>m'</t>
        </is>
      </c>
      <c r="E1845" s="4" t="n">
        <v>496000</v>
      </c>
    </row>
    <row r="1846">
      <c r="A1846" s="3" t="inlineStr">
        <is>
          <t>91</t>
        </is>
      </c>
      <c r="B1846" s="3" t="n">
        <v/>
      </c>
      <c r="C1846" s="3" t="inlineStr">
        <is>
          <t>Kabel NYY 1 x 300 mm²</t>
        </is>
      </c>
      <c r="D1846" s="3" t="inlineStr">
        <is>
          <t>m'</t>
        </is>
      </c>
      <c r="E1846" s="4" t="n">
        <v>619000</v>
      </c>
    </row>
    <row r="1847">
      <c r="A1847" s="3" t="inlineStr">
        <is>
          <t>92</t>
        </is>
      </c>
      <c r="B1847" s="3" t="n">
        <v/>
      </c>
      <c r="C1847" s="3" t="inlineStr">
        <is>
          <t>Kabel NYY 1 x 35 mm²</t>
        </is>
      </c>
      <c r="D1847" s="3" t="inlineStr">
        <is>
          <t>m'</t>
        </is>
      </c>
      <c r="E1847" s="4" t="n">
        <v>75000</v>
      </c>
    </row>
    <row r="1848">
      <c r="A1848" s="3" t="inlineStr">
        <is>
          <t>93</t>
        </is>
      </c>
      <c r="B1848" s="3" t="n">
        <v/>
      </c>
      <c r="C1848" s="3" t="inlineStr">
        <is>
          <t>Kabel NYY 1 x 4 mm²</t>
        </is>
      </c>
      <c r="D1848" s="3" t="inlineStr">
        <is>
          <t>m'</t>
        </is>
      </c>
      <c r="E1848" s="4" t="n">
        <v>7500</v>
      </c>
    </row>
    <row r="1849">
      <c r="A1849" s="3" t="inlineStr">
        <is>
          <t>94</t>
        </is>
      </c>
      <c r="B1849" s="3" t="n">
        <v/>
      </c>
      <c r="C1849" s="3" t="inlineStr">
        <is>
          <t>Kabel NYY 1 x 400 mm²</t>
        </is>
      </c>
      <c r="D1849" s="3" t="inlineStr">
        <is>
          <t>m'</t>
        </is>
      </c>
      <c r="E1849" s="4" t="n">
        <v>786000</v>
      </c>
    </row>
    <row r="1850">
      <c r="A1850" s="3" t="inlineStr">
        <is>
          <t>95</t>
        </is>
      </c>
      <c r="B1850" s="3" t="n">
        <v/>
      </c>
      <c r="C1850" s="3" t="inlineStr">
        <is>
          <t>Kabel NYY 1 x 50 mm²</t>
        </is>
      </c>
      <c r="D1850" s="3" t="inlineStr">
        <is>
          <t>m'</t>
        </is>
      </c>
      <c r="E1850" s="4" t="n">
        <v>99600</v>
      </c>
    </row>
    <row r="1851">
      <c r="A1851" s="3" t="inlineStr">
        <is>
          <t>96</t>
        </is>
      </c>
      <c r="B1851" s="3" t="n">
        <v/>
      </c>
      <c r="C1851" s="3" t="inlineStr">
        <is>
          <t>Kabel NYY 1 x 500 mm²</t>
        </is>
      </c>
      <c r="D1851" s="3" t="inlineStr">
        <is>
          <t>m'</t>
        </is>
      </c>
      <c r="E1851" s="4" t="n">
        <v>1004400</v>
      </c>
    </row>
    <row r="1852">
      <c r="A1852" s="3" t="inlineStr">
        <is>
          <t>97</t>
        </is>
      </c>
      <c r="B1852" s="3" t="n">
        <v/>
      </c>
      <c r="C1852" s="3" t="inlineStr">
        <is>
          <t>Kabel NYY 1 x 6 mm²</t>
        </is>
      </c>
      <c r="D1852" s="3" t="inlineStr">
        <is>
          <t>m'</t>
        </is>
      </c>
      <c r="E1852" s="4" t="n">
        <v>12000</v>
      </c>
    </row>
    <row r="1853">
      <c r="A1853" s="3" t="inlineStr">
        <is>
          <t>98</t>
        </is>
      </c>
      <c r="B1853" s="3" t="n">
        <v/>
      </c>
      <c r="C1853" s="3" t="inlineStr">
        <is>
          <t>Kabel NYY 1 x 630 mm²</t>
        </is>
      </c>
      <c r="D1853" s="3" t="inlineStr">
        <is>
          <t>m'</t>
        </is>
      </c>
      <c r="E1853" s="4" t="n">
        <v>1245000</v>
      </c>
    </row>
    <row r="1854">
      <c r="A1854" s="3" t="inlineStr">
        <is>
          <t>99</t>
        </is>
      </c>
      <c r="B1854" s="3" t="n">
        <v/>
      </c>
      <c r="C1854" s="3" t="inlineStr">
        <is>
          <t>Kabel NYY 1 x 70 mm²</t>
        </is>
      </c>
      <c r="D1854" s="3" t="inlineStr">
        <is>
          <t>m'</t>
        </is>
      </c>
      <c r="E1854" s="4" t="n">
        <v>142000</v>
      </c>
    </row>
    <row r="1855">
      <c r="A1855" s="3" t="inlineStr">
        <is>
          <t>100</t>
        </is>
      </c>
      <c r="B1855" s="3" t="n">
        <v/>
      </c>
      <c r="C1855" s="3" t="inlineStr">
        <is>
          <t>Kabel NYY 1 x 95 mm²</t>
        </is>
      </c>
      <c r="D1855" s="3" t="inlineStr">
        <is>
          <t>m'</t>
        </is>
      </c>
      <c r="E1855" s="4" t="n">
        <v>196500</v>
      </c>
    </row>
    <row r="1856">
      <c r="A1856" s="3" t="inlineStr">
        <is>
          <t>101</t>
        </is>
      </c>
      <c r="B1856" s="3" t="n">
        <v/>
      </c>
      <c r="C1856" s="3" t="inlineStr">
        <is>
          <t>Kabel NYY 2 x 1,5 mm²</t>
        </is>
      </c>
      <c r="D1856" s="3" t="inlineStr">
        <is>
          <t>m'</t>
        </is>
      </c>
      <c r="E1856" s="4" t="n">
        <v>12000</v>
      </c>
    </row>
    <row r="1857">
      <c r="A1857" s="3" t="inlineStr">
        <is>
          <t>102</t>
        </is>
      </c>
      <c r="B1857" s="3" t="n">
        <v/>
      </c>
      <c r="C1857" s="3" t="inlineStr">
        <is>
          <t>Kabel NYY 2 x 10 mm²</t>
        </is>
      </c>
      <c r="D1857" s="3" t="inlineStr">
        <is>
          <t>m'</t>
        </is>
      </c>
      <c r="E1857" s="4" t="n">
        <v>57500</v>
      </c>
    </row>
    <row r="1858">
      <c r="A1858" s="3" t="inlineStr">
        <is>
          <t>103</t>
        </is>
      </c>
      <c r="B1858" s="3" t="n">
        <v/>
      </c>
      <c r="C1858" s="3" t="inlineStr">
        <is>
          <t>Kabel NYY 2 x 16 mm²</t>
        </is>
      </c>
      <c r="D1858" s="3" t="inlineStr">
        <is>
          <t>m'</t>
        </is>
      </c>
      <c r="E1858" s="4" t="n">
        <v>92000</v>
      </c>
    </row>
    <row r="1859">
      <c r="A1859" s="3" t="inlineStr">
        <is>
          <t>104</t>
        </is>
      </c>
      <c r="B1859" s="3" t="n">
        <v/>
      </c>
      <c r="C1859" s="3" t="inlineStr">
        <is>
          <t>Kabel NYY 2 x 2,5 mm²</t>
        </is>
      </c>
      <c r="D1859" s="3" t="inlineStr">
        <is>
          <t>m'</t>
        </is>
      </c>
      <c r="E1859" s="4" t="n">
        <v>16560</v>
      </c>
    </row>
    <row r="1860">
      <c r="A1860" s="3" t="inlineStr">
        <is>
          <t>105</t>
        </is>
      </c>
      <c r="B1860" s="3" t="n">
        <v/>
      </c>
      <c r="C1860" s="3" t="inlineStr">
        <is>
          <t>Kabel NYY 2 x 4 mm²</t>
        </is>
      </c>
      <c r="D1860" s="3" t="inlineStr">
        <is>
          <t>m'</t>
        </is>
      </c>
      <c r="E1860" s="4" t="n">
        <v>23000</v>
      </c>
    </row>
    <row r="1861">
      <c r="A1861" s="3" t="inlineStr">
        <is>
          <t>106</t>
        </is>
      </c>
      <c r="B1861" s="3" t="n">
        <v/>
      </c>
      <c r="C1861" s="3" t="inlineStr">
        <is>
          <t>Kabel NYY 2 x 6 mm²</t>
        </is>
      </c>
      <c r="D1861" s="3" t="inlineStr">
        <is>
          <t>m'</t>
        </is>
      </c>
      <c r="E1861" s="4" t="n">
        <v>35000</v>
      </c>
    </row>
    <row r="1862">
      <c r="A1862" s="3" t="inlineStr">
        <is>
          <t>107</t>
        </is>
      </c>
      <c r="B1862" s="3" t="n">
        <v/>
      </c>
      <c r="C1862" s="3" t="inlineStr">
        <is>
          <t>Kabel NYY 3 x 1,5 mm²</t>
        </is>
      </c>
      <c r="D1862" s="3" t="inlineStr">
        <is>
          <t>m'</t>
        </is>
      </c>
      <c r="E1862" s="4" t="n">
        <v>15000</v>
      </c>
    </row>
    <row r="1863">
      <c r="A1863" s="3" t="inlineStr">
        <is>
          <t>108</t>
        </is>
      </c>
      <c r="B1863" s="3" t="n">
        <v/>
      </c>
      <c r="C1863" s="3" t="inlineStr">
        <is>
          <t>Kabel NYY 3 x 10 mm²</t>
        </is>
      </c>
      <c r="D1863" s="3" t="inlineStr">
        <is>
          <t>m'</t>
        </is>
      </c>
      <c r="E1863" s="4" t="n">
        <v>74600</v>
      </c>
    </row>
    <row r="1864">
      <c r="A1864" s="3" t="inlineStr">
        <is>
          <t>109</t>
        </is>
      </c>
      <c r="B1864" s="3" t="n">
        <v/>
      </c>
      <c r="C1864" s="3" t="inlineStr">
        <is>
          <t>Kabel NYY 3 x 16 mm²</t>
        </is>
      </c>
      <c r="D1864" s="3" t="inlineStr">
        <is>
          <t>m'</t>
        </is>
      </c>
      <c r="E1864" s="4" t="n">
        <v>114000</v>
      </c>
    </row>
    <row r="1865">
      <c r="A1865" s="3" t="inlineStr">
        <is>
          <t>110</t>
        </is>
      </c>
      <c r="B1865" s="3" t="n">
        <v/>
      </c>
      <c r="C1865" s="3" t="inlineStr">
        <is>
          <t>Kabel NYY 3 x 2,5 mm²</t>
        </is>
      </c>
      <c r="D1865" s="3" t="inlineStr">
        <is>
          <t>m'</t>
        </is>
      </c>
      <c r="E1865" s="4" t="n">
        <v>21500</v>
      </c>
    </row>
    <row r="1866">
      <c r="A1866" s="3" t="inlineStr">
        <is>
          <t>111</t>
        </is>
      </c>
      <c r="B1866" s="3" t="n">
        <v/>
      </c>
      <c r="C1866" s="3" t="inlineStr">
        <is>
          <t>Kabel NYY 3 x 25 mm²</t>
        </is>
      </c>
      <c r="D1866" s="3" t="inlineStr">
        <is>
          <t>m'</t>
        </is>
      </c>
      <c r="E1866" s="4" t="n">
        <v>174900</v>
      </c>
    </row>
    <row r="1867">
      <c r="A1867" s="3" t="inlineStr">
        <is>
          <t>112</t>
        </is>
      </c>
      <c r="B1867" s="3" t="n">
        <v/>
      </c>
      <c r="C1867" s="3" t="inlineStr">
        <is>
          <t>Kabel NYY 3 x 35 mm²</t>
        </is>
      </c>
      <c r="D1867" s="3" t="inlineStr">
        <is>
          <t>m'</t>
        </is>
      </c>
      <c r="E1867" s="4" t="n">
        <v>235500</v>
      </c>
    </row>
    <row r="1868">
      <c r="A1868" s="3" t="inlineStr">
        <is>
          <t>113</t>
        </is>
      </c>
      <c r="B1868" s="3" t="n">
        <v/>
      </c>
      <c r="C1868" s="3" t="inlineStr">
        <is>
          <t>Kabel NYY 3 x 4 mm²</t>
        </is>
      </c>
      <c r="D1868" s="3" t="inlineStr">
        <is>
          <t>m'</t>
        </is>
      </c>
      <c r="E1868" s="4" t="n">
        <v>33000</v>
      </c>
    </row>
    <row r="1869">
      <c r="A1869" s="3" t="inlineStr">
        <is>
          <t>114</t>
        </is>
      </c>
      <c r="B1869" s="3" t="n">
        <v/>
      </c>
      <c r="C1869" s="3" t="inlineStr">
        <is>
          <t>Kabel NYY 3 x 50 mm²</t>
        </is>
      </c>
      <c r="D1869" s="3" t="inlineStr">
        <is>
          <t>m'</t>
        </is>
      </c>
      <c r="E1869" s="4" t="n">
        <v>305700</v>
      </c>
    </row>
    <row r="1870">
      <c r="A1870" s="3" t="inlineStr">
        <is>
          <t>115</t>
        </is>
      </c>
      <c r="B1870" s="3" t="n">
        <v/>
      </c>
      <c r="C1870" s="3" t="inlineStr">
        <is>
          <t>Kabel NYY 3 x 6 mm²</t>
        </is>
      </c>
      <c r="D1870" s="3" t="inlineStr">
        <is>
          <t>m'</t>
        </is>
      </c>
      <c r="E1870" s="4" t="n">
        <v>46000</v>
      </c>
    </row>
    <row r="1871">
      <c r="A1871" s="3" t="inlineStr">
        <is>
          <t>116</t>
        </is>
      </c>
      <c r="B1871" s="3" t="n">
        <v/>
      </c>
      <c r="C1871" s="3" t="inlineStr">
        <is>
          <t>Kabel NYY 4 x 1,5 mm²</t>
        </is>
      </c>
      <c r="D1871" s="3" t="inlineStr">
        <is>
          <t>m'</t>
        </is>
      </c>
      <c r="E1871" s="4" t="n">
        <v>18600</v>
      </c>
    </row>
    <row r="1872">
      <c r="A1872" s="3" t="inlineStr">
        <is>
          <t>117</t>
        </is>
      </c>
      <c r="B1872" s="3" t="n">
        <v/>
      </c>
      <c r="C1872" s="3" t="inlineStr">
        <is>
          <t>Kabel NYY 4 x 10 mm²</t>
        </is>
      </c>
      <c r="D1872" s="3" t="inlineStr">
        <is>
          <t>m'</t>
        </is>
      </c>
      <c r="E1872" s="4" t="n">
        <v>96000</v>
      </c>
    </row>
    <row r="1873">
      <c r="A1873" s="3" t="inlineStr">
        <is>
          <t>118</t>
        </is>
      </c>
      <c r="B1873" s="3" t="n">
        <v/>
      </c>
      <c r="C1873" s="3" t="inlineStr">
        <is>
          <t>Kabel NYY 4 x 120 mm²</t>
        </is>
      </c>
      <c r="D1873" s="3" t="inlineStr">
        <is>
          <t>m'</t>
        </is>
      </c>
      <c r="E1873" s="4" t="n">
        <v>1011900</v>
      </c>
    </row>
    <row r="1874">
      <c r="A1874" s="3" t="inlineStr">
        <is>
          <t>119</t>
        </is>
      </c>
      <c r="B1874" s="3" t="n">
        <v/>
      </c>
      <c r="C1874" s="3" t="inlineStr">
        <is>
          <t>Kabel NYY 4 x 150 mm²</t>
        </is>
      </c>
      <c r="D1874" s="3" t="inlineStr">
        <is>
          <t>m'</t>
        </is>
      </c>
      <c r="E1874" s="4" t="n">
        <v>1245000</v>
      </c>
    </row>
    <row r="1875">
      <c r="A1875" s="3" t="inlineStr">
        <is>
          <t>120</t>
        </is>
      </c>
      <c r="B1875" s="3" t="n">
        <v/>
      </c>
      <c r="C1875" s="3" t="inlineStr">
        <is>
          <t>Kabel NYY 4 x 16 mm²</t>
        </is>
      </c>
      <c r="D1875" s="3" t="inlineStr">
        <is>
          <t>m'</t>
        </is>
      </c>
      <c r="E1875" s="4" t="n">
        <v>148500</v>
      </c>
    </row>
    <row r="1876">
      <c r="A1876" s="3" t="inlineStr">
        <is>
          <t>121</t>
        </is>
      </c>
      <c r="B1876" s="3" t="n">
        <v/>
      </c>
      <c r="C1876" s="3" t="inlineStr">
        <is>
          <t>Kabel NYY 4 x 185 mm²</t>
        </is>
      </c>
      <c r="D1876" s="3" t="inlineStr">
        <is>
          <t>m'</t>
        </is>
      </c>
      <c r="E1876" s="4" t="n">
        <v>1552800</v>
      </c>
    </row>
    <row r="1877">
      <c r="A1877" s="3" t="inlineStr">
        <is>
          <t>122</t>
        </is>
      </c>
      <c r="B1877" s="3" t="n">
        <v/>
      </c>
      <c r="C1877" s="3" t="inlineStr">
        <is>
          <t>Kabel NYY 4 x 2,5 mm²</t>
        </is>
      </c>
      <c r="D1877" s="3" t="inlineStr">
        <is>
          <t>m'</t>
        </is>
      </c>
      <c r="E1877" s="4" t="n">
        <v>28620</v>
      </c>
    </row>
    <row r="1878">
      <c r="A1878" s="3" t="inlineStr">
        <is>
          <t>123</t>
        </is>
      </c>
      <c r="B1878" s="3" t="n">
        <v/>
      </c>
      <c r="C1878" s="3" t="inlineStr">
        <is>
          <t>Kabel NYY 4 x 240 mm²</t>
        </is>
      </c>
      <c r="D1878" s="3" t="inlineStr">
        <is>
          <t>m'</t>
        </is>
      </c>
      <c r="E1878" s="4" t="n">
        <v>2044800</v>
      </c>
    </row>
    <row r="1879">
      <c r="A1879" s="3" t="inlineStr">
        <is>
          <t>124</t>
        </is>
      </c>
      <c r="B1879" s="3" t="n">
        <v/>
      </c>
      <c r="C1879" s="3" t="inlineStr">
        <is>
          <t>Kabel NYY 4 x 25 mm²</t>
        </is>
      </c>
      <c r="D1879" s="3" t="inlineStr">
        <is>
          <t>m'</t>
        </is>
      </c>
      <c r="E1879" s="4" t="n">
        <v>228000</v>
      </c>
    </row>
    <row r="1880">
      <c r="A1880" s="3" t="inlineStr">
        <is>
          <t>125</t>
        </is>
      </c>
      <c r="B1880" s="3" t="n">
        <v/>
      </c>
      <c r="C1880" s="3" t="inlineStr">
        <is>
          <t>Kabel NYY 4 x 300 mm²</t>
        </is>
      </c>
      <c r="D1880" s="3" t="inlineStr">
        <is>
          <t>m'</t>
        </is>
      </c>
      <c r="E1880" s="4" t="n">
        <v>2550900</v>
      </c>
    </row>
    <row r="1881">
      <c r="A1881" s="3" t="inlineStr">
        <is>
          <t>126</t>
        </is>
      </c>
      <c r="B1881" s="3" t="n">
        <v/>
      </c>
      <c r="C1881" s="3" t="inlineStr">
        <is>
          <t>Kabel NYY 4 x 35 mm²</t>
        </is>
      </c>
      <c r="D1881" s="3" t="inlineStr">
        <is>
          <t>m'</t>
        </is>
      </c>
      <c r="E1881" s="4" t="n">
        <v>310500</v>
      </c>
    </row>
    <row r="1882">
      <c r="A1882" s="3" t="inlineStr">
        <is>
          <t>127</t>
        </is>
      </c>
      <c r="B1882" s="3" t="n">
        <v/>
      </c>
      <c r="C1882" s="3" t="inlineStr">
        <is>
          <t>Kabel NYY 4 x 4 mm²</t>
        </is>
      </c>
      <c r="D1882" s="3" t="inlineStr">
        <is>
          <t>m'</t>
        </is>
      </c>
      <c r="E1882" s="4" t="n">
        <v>43000</v>
      </c>
    </row>
    <row r="1883">
      <c r="A1883" s="3" t="inlineStr">
        <is>
          <t>128</t>
        </is>
      </c>
      <c r="B1883" s="3" t="n">
        <v/>
      </c>
      <c r="C1883" s="3" t="inlineStr">
        <is>
          <t>Kabel NYY 4 x 50 mm²</t>
        </is>
      </c>
      <c r="D1883" s="3" t="inlineStr">
        <is>
          <t>m'</t>
        </is>
      </c>
      <c r="E1883" s="4" t="n">
        <v>412200</v>
      </c>
    </row>
    <row r="1884">
      <c r="A1884" s="3" t="inlineStr">
        <is>
          <t>129</t>
        </is>
      </c>
      <c r="B1884" s="3" t="n">
        <v/>
      </c>
      <c r="C1884" s="3" t="inlineStr">
        <is>
          <t>Kabel NYY 4 x 6 mm²</t>
        </is>
      </c>
      <c r="D1884" s="3" t="inlineStr">
        <is>
          <t>m'</t>
        </is>
      </c>
      <c r="E1884" s="4" t="n">
        <v>61000</v>
      </c>
    </row>
    <row r="1885">
      <c r="A1885" s="3" t="inlineStr">
        <is>
          <t>130</t>
        </is>
      </c>
      <c r="B1885" s="3" t="n">
        <v/>
      </c>
      <c r="C1885" s="3" t="inlineStr">
        <is>
          <t>Kabel NYY 4 x 70 mm²</t>
        </is>
      </c>
      <c r="D1885" s="3" t="inlineStr">
        <is>
          <t>m'</t>
        </is>
      </c>
      <c r="E1885" s="4" t="n">
        <v>584700</v>
      </c>
    </row>
    <row r="1886">
      <c r="A1886" s="3" t="inlineStr">
        <is>
          <t>131</t>
        </is>
      </c>
      <c r="B1886" s="3" t="n">
        <v/>
      </c>
      <c r="C1886" s="3" t="inlineStr">
        <is>
          <t>Kabel NYY 4 x 95 mm²</t>
        </is>
      </c>
      <c r="D1886" s="3" t="inlineStr">
        <is>
          <t>m'</t>
        </is>
      </c>
      <c r="E1886" s="4" t="n">
        <v>805200</v>
      </c>
    </row>
    <row r="1887">
      <c r="A1887" s="3" t="n">
        <v/>
      </c>
      <c r="B1887" s="3" t="n">
        <v/>
      </c>
      <c r="C1887" s="3" t="inlineStr">
        <is>
          <t>Kabel N2XSYGBY 3 x 120 mm² dan aksesoris</t>
        </is>
      </c>
      <c r="D1887" s="3" t="inlineStr">
        <is>
          <t>m'</t>
        </is>
      </c>
      <c r="E1887" s="4" t="n">
        <v>1726000</v>
      </c>
    </row>
    <row r="1888">
      <c r="A1888" s="3" t="n">
        <v/>
      </c>
      <c r="B1888" s="3" t="n">
        <v/>
      </c>
      <c r="C1888" s="3" t="inlineStr">
        <is>
          <t xml:space="preserve">Kabel STP AWG 18 </t>
        </is>
      </c>
      <c r="D1888" s="3" t="inlineStr">
        <is>
          <t>m'</t>
        </is>
      </c>
      <c r="E1888" s="4" t="n">
        <v>4500</v>
      </c>
    </row>
    <row r="1889">
      <c r="A1889" s="3" t="n">
        <v/>
      </c>
      <c r="B1889" s="3" t="n">
        <v/>
      </c>
      <c r="C1889" s="3" t="inlineStr">
        <is>
          <t>Kabel STP AWG 18 + PVC Conduit HI 20 mm (dari MCFA ke TB) dan aksesoris</t>
        </is>
      </c>
      <c r="D1889" s="3" t="n">
        <v/>
      </c>
      <c r="E1889" s="4" t="n">
        <v>10700</v>
      </c>
    </row>
    <row r="1890">
      <c r="A1890" s="3" t="n">
        <v/>
      </c>
      <c r="B1890" s="3" t="n">
        <v/>
      </c>
      <c r="C1890" s="3" t="inlineStr">
        <is>
          <t>Kabel ITC 2x2x0,6 mm2</t>
        </is>
      </c>
      <c r="D1890" s="3" t="inlineStr">
        <is>
          <t>m'</t>
        </is>
      </c>
      <c r="E1890" s="4" t="n">
        <v>3924</v>
      </c>
    </row>
    <row r="1891">
      <c r="A1891" s="3" t="n">
        <v/>
      </c>
      <c r="B1891" s="3" t="n">
        <v/>
      </c>
      <c r="C1891" s="3" t="inlineStr">
        <is>
          <t>Kabel ITC 2 x 2 x 0,6 mm2 + PVC Conduit HI 20 mm dan aksesoris</t>
        </is>
      </c>
      <c r="D1891" s="3" t="inlineStr">
        <is>
          <t>m'</t>
        </is>
      </c>
      <c r="E1891" s="4" t="n">
        <v>13100</v>
      </c>
    </row>
    <row r="1892">
      <c r="A1892" s="3" t="n">
        <v/>
      </c>
      <c r="B1892" s="3" t="n">
        <v/>
      </c>
      <c r="C1892" s="3" t="inlineStr">
        <is>
          <t>Kabel ITC 20 x 2 x 0,6 mm2 + PVC Conduit HI 20 mm dan aksesoris</t>
        </is>
      </c>
      <c r="D1892" s="3" t="inlineStr">
        <is>
          <t>m'</t>
        </is>
      </c>
      <c r="E1892" s="4" t="n">
        <v>100000</v>
      </c>
    </row>
    <row r="1893">
      <c r="A1893" s="3" t="n">
        <v/>
      </c>
      <c r="B1893" s="3" t="n">
        <v/>
      </c>
      <c r="C1893" s="3" t="inlineStr">
        <is>
          <t>Kabel UTP CAT 6</t>
        </is>
      </c>
      <c r="D1893" s="3" t="inlineStr">
        <is>
          <t>m'</t>
        </is>
      </c>
      <c r="E1893" s="4" t="n">
        <v>1500</v>
      </c>
    </row>
    <row r="1894">
      <c r="A1894" s="3" t="n">
        <v/>
      </c>
      <c r="B1894" s="3" t="n">
        <v/>
      </c>
      <c r="C1894" s="3" t="inlineStr">
        <is>
          <t xml:space="preserve">Kabel Coaxial 7C-2V </t>
        </is>
      </c>
      <c r="D1894" s="3" t="inlineStr">
        <is>
          <t>m'</t>
        </is>
      </c>
      <c r="E1894" s="4" t="n">
        <v>22800</v>
      </c>
    </row>
    <row r="1895">
      <c r="A1895" s="3" t="n">
        <v/>
      </c>
      <c r="B1895" s="3" t="n">
        <v/>
      </c>
      <c r="C1895" s="3" t="inlineStr">
        <is>
          <t xml:space="preserve">Kabel Ladder 500 x100 mm </t>
        </is>
      </c>
      <c r="D1895" s="3" t="inlineStr">
        <is>
          <t xml:space="preserve">unit </t>
        </is>
      </c>
      <c r="E1895" s="4" t="n">
        <v>494000</v>
      </c>
    </row>
    <row r="1896">
      <c r="A1896" s="3" t="n">
        <v/>
      </c>
      <c r="B1896" s="3" t="n">
        <v/>
      </c>
      <c r="C1896" s="3" t="inlineStr">
        <is>
          <t xml:space="preserve">Kabel Ladder 600 x100 mm </t>
        </is>
      </c>
      <c r="D1896" s="3" t="inlineStr">
        <is>
          <t xml:space="preserve">Unit </t>
        </is>
      </c>
      <c r="E1896" s="4" t="n">
        <v>535000</v>
      </c>
    </row>
    <row r="1897">
      <c r="A1897" s="3" t="n">
        <v/>
      </c>
      <c r="B1897" s="3" t="n">
        <v/>
      </c>
      <c r="C1897" s="3" t="inlineStr">
        <is>
          <t xml:space="preserve">Kabel Ladder 800 x100 mm </t>
        </is>
      </c>
      <c r="D1897" s="3" t="inlineStr">
        <is>
          <t xml:space="preserve">Unit </t>
        </is>
      </c>
      <c r="E1897" s="4" t="n">
        <v>569000</v>
      </c>
    </row>
    <row r="1898">
      <c r="A1898" s="3" t="n">
        <v/>
      </c>
      <c r="B1898" s="3" t="n">
        <v/>
      </c>
      <c r="C1898" s="3" t="inlineStr">
        <is>
          <t xml:space="preserve">Kabel Tray 600 x 100 mm Hotdip Galvanized </t>
        </is>
      </c>
      <c r="D1898" s="3" t="inlineStr">
        <is>
          <t xml:space="preserve">Unit </t>
        </is>
      </c>
      <c r="E1898" s="4" t="n">
        <v>1639000</v>
      </c>
    </row>
    <row r="1899">
      <c r="A1899" s="3" t="n">
        <v/>
      </c>
      <c r="B1899" s="3" t="n">
        <v/>
      </c>
      <c r="C1899" s="3" t="inlineStr">
        <is>
          <t xml:space="preserve">Kabel Tray 600 x100 mm Elektro Galvanized </t>
        </is>
      </c>
      <c r="D1899" s="3" t="inlineStr">
        <is>
          <t>Unit</t>
        </is>
      </c>
      <c r="E1899" s="4" t="n">
        <v>1255500</v>
      </c>
    </row>
    <row r="1900">
      <c r="A1900" s="3" t="n">
        <v/>
      </c>
      <c r="B1900" s="3" t="n">
        <v/>
      </c>
      <c r="C1900" s="3" t="inlineStr">
        <is>
          <t xml:space="preserve">Kabel Tray 600 x 100 mm Powder Coating </t>
        </is>
      </c>
      <c r="D1900" s="3" t="inlineStr">
        <is>
          <t xml:space="preserve">Unit </t>
        </is>
      </c>
      <c r="E1900" s="4" t="n">
        <v>890000</v>
      </c>
    </row>
    <row r="1901">
      <c r="A1901" s="3" t="n">
        <v/>
      </c>
      <c r="B1901" s="3" t="n">
        <v/>
      </c>
      <c r="C1901" s="3" t="inlineStr">
        <is>
          <t>Kabel Tray (Horizontal) 1000 x 100 mm TRU Powder Coating dan aksesoris</t>
        </is>
      </c>
      <c r="D1901" s="3" t="inlineStr">
        <is>
          <t>Unit</t>
        </is>
      </c>
      <c r="E1901" s="4" t="n">
        <v>650000</v>
      </c>
    </row>
    <row r="1902">
      <c r="A1902" s="3" t="n">
        <v/>
      </c>
      <c r="B1902" s="3" t="n">
        <v/>
      </c>
      <c r="C1902" s="3" t="inlineStr">
        <is>
          <t>Kabel Tray (Horizontal) 1000 x 100 mm TRU Hot Dip Galvanized dan aksesoris</t>
        </is>
      </c>
      <c r="D1902" s="3" t="inlineStr">
        <is>
          <t>unit</t>
        </is>
      </c>
      <c r="E1902" s="4" t="n">
        <v>670000</v>
      </c>
    </row>
    <row r="1903">
      <c r="A1903" s="3" t="n">
        <v/>
      </c>
      <c r="B1903" s="3" t="n">
        <v/>
      </c>
      <c r="C1903" s="3" t="inlineStr">
        <is>
          <t>Kabel Tray (Horizontal) 1000 x 100 mm TRU OCP dan aksesoris</t>
        </is>
      </c>
      <c r="D1903" s="3" t="inlineStr">
        <is>
          <t>Unit</t>
        </is>
      </c>
      <c r="E1903" s="4" t="n">
        <v>710000</v>
      </c>
    </row>
    <row r="1904">
      <c r="A1904" s="3" t="n">
        <v/>
      </c>
      <c r="B1904" s="3" t="n">
        <v/>
      </c>
      <c r="C1904" s="3" t="inlineStr">
        <is>
          <t>Kabel Tray (Horizontal) 1000 x 100 mm TRC Powder Coating dan aksesoris</t>
        </is>
      </c>
      <c r="D1904" s="3" t="inlineStr">
        <is>
          <t xml:space="preserve">Unit </t>
        </is>
      </c>
      <c r="E1904" s="4" t="n">
        <v>750000</v>
      </c>
    </row>
    <row r="1905">
      <c r="A1905" s="3" t="n">
        <v/>
      </c>
      <c r="B1905" s="3" t="n">
        <v/>
      </c>
      <c r="C1905" s="3" t="inlineStr">
        <is>
          <t>Kabel Tray (Horizontal) 1000 x 100 mm TRC Hot Dip Galvanized dan aksesoris</t>
        </is>
      </c>
      <c r="D1905" s="3" t="inlineStr">
        <is>
          <t xml:space="preserve">Unit </t>
        </is>
      </c>
      <c r="E1905" s="4" t="n">
        <v>670000</v>
      </c>
    </row>
    <row r="1906">
      <c r="A1906" s="3" t="n">
        <v/>
      </c>
      <c r="B1906" s="3" t="n">
        <v/>
      </c>
      <c r="C1906" s="3" t="inlineStr">
        <is>
          <t>Kabel Tray (Horizontal) 1000 x 100 mm TRC OCP dan aksesoris</t>
        </is>
      </c>
      <c r="D1906" s="3" t="inlineStr">
        <is>
          <t xml:space="preserve">Unit </t>
        </is>
      </c>
      <c r="E1906" s="4" t="n">
        <v>710000</v>
      </c>
    </row>
    <row r="1907">
      <c r="A1907" s="3" t="n">
        <v/>
      </c>
      <c r="B1907" s="3" t="n">
        <v/>
      </c>
      <c r="C1907" s="3" t="inlineStr">
        <is>
          <t>Kabel Tray (Horizontal) 900 x 100 mm TRU Powder Coating dan aksesoris</t>
        </is>
      </c>
      <c r="D1907" s="3" t="inlineStr">
        <is>
          <t xml:space="preserve">Unit </t>
        </is>
      </c>
      <c r="E1907" s="4" t="n">
        <v>550000</v>
      </c>
    </row>
    <row r="1908">
      <c r="A1908" s="3" t="n">
        <v/>
      </c>
      <c r="B1908" s="3" t="n">
        <v/>
      </c>
      <c r="C1908" s="3" t="inlineStr">
        <is>
          <t>Kabel Tray
(Horizontal) 900 x
100 mm TRU Hot Dip
Galvanized dan
aksesoris</t>
        </is>
      </c>
      <c r="D1908" s="3" t="inlineStr">
        <is>
          <t>Unit</t>
        </is>
      </c>
      <c r="E1908" s="4" t="n">
        <v>570000</v>
      </c>
    </row>
    <row r="1909">
      <c r="A1909" s="3" t="n">
        <v/>
      </c>
      <c r="B1909" s="3" t="n">
        <v/>
      </c>
      <c r="C1909" s="3" t="inlineStr">
        <is>
          <t>Kabel Tray
(Horizontal) 900 x
100 mm TRU OCP
dan aksesoris</t>
        </is>
      </c>
      <c r="D1909" s="3" t="inlineStr">
        <is>
          <t>Unit</t>
        </is>
      </c>
      <c r="E1909" s="4" t="n">
        <v>590000</v>
      </c>
    </row>
    <row r="1910">
      <c r="A1910" s="3" t="n">
        <v/>
      </c>
      <c r="B1910" s="3" t="n">
        <v/>
      </c>
      <c r="C1910" s="3" t="inlineStr">
        <is>
          <t>Kabel Tray (Horizontal) 900 x 100 mm TRC Powder Coating dan aksesoris</t>
        </is>
      </c>
      <c r="D1910" s="3" t="inlineStr">
        <is>
          <t xml:space="preserve">unit </t>
        </is>
      </c>
      <c r="E1910" s="4" t="n">
        <v>600000</v>
      </c>
    </row>
    <row r="1911">
      <c r="A1911" s="3" t="n">
        <v/>
      </c>
      <c r="B1911" s="3" t="n">
        <v/>
      </c>
      <c r="C1911" s="3" t="inlineStr">
        <is>
          <t>Kabel Tray (Horizontal) 900 x 100 mm TRC Hot Dip Galvanized dan aksesoris</t>
        </is>
      </c>
      <c r="D1911" s="3" t="inlineStr">
        <is>
          <t>Unit</t>
        </is>
      </c>
      <c r="E1911" s="4" t="n">
        <v>630000</v>
      </c>
    </row>
    <row r="1912">
      <c r="A1912" s="3" t="n">
        <v/>
      </c>
      <c r="B1912" s="3" t="n">
        <v/>
      </c>
      <c r="C1912" s="3" t="inlineStr">
        <is>
          <t>Kabel Tray
(Horizontal) 900 x
100 mm TRC OCP
dan aksesoris</t>
        </is>
      </c>
      <c r="D1912" s="3" t="inlineStr">
        <is>
          <t>Unit</t>
        </is>
      </c>
      <c r="E1912" s="4" t="n">
        <v>650000</v>
      </c>
    </row>
    <row r="1913">
      <c r="A1913" s="3" t="n">
        <v/>
      </c>
      <c r="B1913" s="3" t="n">
        <v/>
      </c>
      <c r="C1913" s="3" t="inlineStr">
        <is>
          <t>Kabel Tray
(Horizontal) 800 x
100 mm TRU Powder
Coating dan aksesoris</t>
        </is>
      </c>
      <c r="D1913" s="3" t="inlineStr">
        <is>
          <t>Unit</t>
        </is>
      </c>
      <c r="E1913" s="4" t="n">
        <v>400000</v>
      </c>
    </row>
    <row r="1914">
      <c r="A1914" s="3" t="n">
        <v/>
      </c>
      <c r="B1914" s="3" t="n">
        <v/>
      </c>
      <c r="C1914" s="3" t="inlineStr">
        <is>
          <t>Kabel Tray
(Horizontal) 800 x
100 mm TRU Hot Dip
Galvanized dan
aksesoris</t>
        </is>
      </c>
      <c r="D1914" s="3" t="inlineStr">
        <is>
          <t xml:space="preserve">unit </t>
        </is>
      </c>
      <c r="E1914" s="4" t="n">
        <v>430000</v>
      </c>
    </row>
    <row r="1915">
      <c r="A1915" s="3" t="n">
        <v/>
      </c>
      <c r="B1915" s="3" t="n">
        <v/>
      </c>
      <c r="C1915" s="3" t="inlineStr">
        <is>
          <t>Kabel Tray
(Horizontal) 800 x
100 mm TRU OCP
dan aksesoris</t>
        </is>
      </c>
      <c r="D1915" s="3" t="inlineStr">
        <is>
          <t>Unit</t>
        </is>
      </c>
      <c r="E1915" s="4" t="n">
        <v>450000</v>
      </c>
    </row>
    <row r="1916">
      <c r="A1916" s="3" t="n">
        <v/>
      </c>
      <c r="B1916" s="3" t="n">
        <v/>
      </c>
      <c r="C1916" s="3" t="inlineStr">
        <is>
          <t>Kabel Tray
(Horizontal) 800 x
100 mm TRC Powder
Coating dan aksesoris</t>
        </is>
      </c>
      <c r="D1916" s="3" t="inlineStr">
        <is>
          <t>Unit</t>
        </is>
      </c>
      <c r="E1916" s="4" t="n">
        <v>470000</v>
      </c>
    </row>
    <row r="1917">
      <c r="A1917" s="3" t="n">
        <v/>
      </c>
      <c r="B1917" s="3" t="n">
        <v/>
      </c>
      <c r="C1917" s="3" t="inlineStr">
        <is>
          <t>Kabel Tray
(Horizontal) 800 x
100 mm TRC Hot Dip
Galvanized dan
aksesoris</t>
        </is>
      </c>
      <c r="D1917" s="3" t="inlineStr">
        <is>
          <t>Unit</t>
        </is>
      </c>
      <c r="E1917" s="4" t="n">
        <v>490000</v>
      </c>
    </row>
    <row r="1918">
      <c r="A1918" s="3" t="n">
        <v/>
      </c>
      <c r="B1918" s="3" t="n">
        <v/>
      </c>
      <c r="C1918" s="3" t="inlineStr">
        <is>
          <t>Kabel Tray (Horizontal) 800 x 100 mm TRC OCP dan aksesoris</t>
        </is>
      </c>
      <c r="D1918" s="3" t="inlineStr">
        <is>
          <t xml:space="preserve">unit </t>
        </is>
      </c>
      <c r="E1918" s="4" t="n">
        <v>510000</v>
      </c>
    </row>
    <row r="1919">
      <c r="A1919" s="3" t="n">
        <v/>
      </c>
      <c r="B1919" s="3" t="n">
        <v/>
      </c>
      <c r="C1919" s="3" t="inlineStr">
        <is>
          <t>Kabel Tray (Horizontal) 700 x 100 mm TRU Powder Coating dan aksesoris</t>
        </is>
      </c>
      <c r="D1919" s="3" t="inlineStr">
        <is>
          <t>Unit</t>
        </is>
      </c>
      <c r="E1919" s="4" t="n">
        <v>350000</v>
      </c>
    </row>
    <row r="1920">
      <c r="A1920" s="3" t="n">
        <v/>
      </c>
      <c r="B1920" s="3" t="n">
        <v/>
      </c>
      <c r="C1920" s="3" t="inlineStr">
        <is>
          <t>Kabel Tray (Horizontal) 700 x 100 mm TRU Hot Dip Galvanized dan aksesoris</t>
        </is>
      </c>
      <c r="D1920" s="3" t="inlineStr">
        <is>
          <t>Unit</t>
        </is>
      </c>
      <c r="E1920" s="4" t="n">
        <v>370000</v>
      </c>
    </row>
    <row r="1921">
      <c r="A1921" s="3" t="n">
        <v/>
      </c>
      <c r="B1921" s="3" t="n">
        <v/>
      </c>
      <c r="C1921" s="3" t="inlineStr">
        <is>
          <t>Kabel Tray (Horizontal) 700 x 100 mm TRU OCP dan aksesoris</t>
        </is>
      </c>
      <c r="D1921" s="3" t="inlineStr">
        <is>
          <t>Unit</t>
        </is>
      </c>
      <c r="E1921" s="4" t="n">
        <v>390000</v>
      </c>
    </row>
    <row r="1922">
      <c r="A1922" s="3" t="n">
        <v/>
      </c>
      <c r="B1922" s="3" t="n">
        <v/>
      </c>
      <c r="C1922" s="3" t="inlineStr">
        <is>
          <t>Kabel Tray (Horizontal) 700 x 100 mm TRC Powder Coating dan aksesoris</t>
        </is>
      </c>
      <c r="D1922" s="3" t="inlineStr">
        <is>
          <t xml:space="preserve">unit </t>
        </is>
      </c>
      <c r="E1922" s="4" t="n">
        <v>410000</v>
      </c>
    </row>
    <row r="1923">
      <c r="A1923" s="3" t="n">
        <v/>
      </c>
      <c r="B1923" s="3" t="n">
        <v/>
      </c>
      <c r="C1923" s="3" t="inlineStr">
        <is>
          <t>Kabel Tray (Horizontal) 700 x 100 mm TRC Hot Dip Galvanized dan aksesoris</t>
        </is>
      </c>
      <c r="D1923" s="3" t="inlineStr">
        <is>
          <t>Unit</t>
        </is>
      </c>
      <c r="E1923" s="4" t="n">
        <v>430000</v>
      </c>
    </row>
    <row r="1924">
      <c r="A1924" s="3" t="n">
        <v/>
      </c>
      <c r="B1924" s="3" t="n">
        <v/>
      </c>
      <c r="C1924" s="3" t="inlineStr">
        <is>
          <t>Kabel Tray (Horizontal) 700 x 100 mm TRC</t>
        </is>
      </c>
      <c r="D1924" s="3" t="inlineStr">
        <is>
          <t>Unit</t>
        </is>
      </c>
      <c r="E1924" s="4" t="n">
        <v>450000</v>
      </c>
    </row>
    <row r="1925">
      <c r="A1925" s="3" t="n">
        <v/>
      </c>
      <c r="B1925" s="3" t="n">
        <v/>
      </c>
      <c r="C1925" s="3" t="inlineStr">
        <is>
          <t>Kabel Tray (Horizontal) 600 x 100 mm TRU Hot Dip Galvanized dan aksesoris</t>
        </is>
      </c>
      <c r="D1925" s="3" t="inlineStr">
        <is>
          <t>Unit</t>
        </is>
      </c>
      <c r="E1925" s="4" t="n">
        <v>470000</v>
      </c>
    </row>
    <row r="1926">
      <c r="A1926" s="3" t="n">
        <v/>
      </c>
      <c r="B1926" s="3" t="n">
        <v/>
      </c>
      <c r="C1926" s="3" t="inlineStr">
        <is>
          <t>(Horizontal) 600 x 100 mm TRC Hot Dip Galvanized dan aksesoris</t>
        </is>
      </c>
      <c r="D1926" s="3" t="inlineStr">
        <is>
          <t xml:space="preserve">Unit </t>
        </is>
      </c>
      <c r="E1926" s="4" t="n">
        <v>350000</v>
      </c>
    </row>
    <row r="1927">
      <c r="A1927" s="3" t="n">
        <v/>
      </c>
      <c r="B1927" s="3" t="n">
        <v/>
      </c>
      <c r="C1927" s="3" t="inlineStr">
        <is>
          <t>Pemasangan 1 Unit Kabel Tray (Horizontal) 600 x 100 mm TRC OCP</t>
        </is>
      </c>
      <c r="D1927" s="3" t="inlineStr">
        <is>
          <t>Unit</t>
        </is>
      </c>
      <c r="E1927" s="4" t="n">
        <v>370000</v>
      </c>
    </row>
    <row r="1928">
      <c r="A1928" s="3" t="n">
        <v/>
      </c>
      <c r="B1928" s="3" t="n">
        <v/>
      </c>
      <c r="C1928" s="3" t="inlineStr">
        <is>
          <t>Kabel Tray (Horizontal) 500 x 100 mm TRU Hot Dip Galvanized dan aksesoris</t>
        </is>
      </c>
      <c r="D1928" s="3" t="inlineStr">
        <is>
          <t xml:space="preserve">Unit </t>
        </is>
      </c>
      <c r="E1928" s="4" t="n">
        <v>385000</v>
      </c>
    </row>
    <row r="1929">
      <c r="A1929" s="3" t="n">
        <v/>
      </c>
      <c r="B1929" s="3" t="n">
        <v/>
      </c>
      <c r="C1929" s="3" t="inlineStr">
        <is>
          <t>Kabel Tray (Horizontal) 500 x 100 mm TRU OCP dan aksesoris</t>
        </is>
      </c>
      <c r="D1929" s="3" t="inlineStr">
        <is>
          <t>Unit</t>
        </is>
      </c>
      <c r="E1929" s="4" t="n">
        <v>395000</v>
      </c>
    </row>
    <row r="1930">
      <c r="A1930" s="3" t="n">
        <v/>
      </c>
      <c r="B1930" s="3" t="n">
        <v/>
      </c>
      <c r="C1930" s="3" t="inlineStr">
        <is>
          <t>Kabel Tray (Horizontal) 500 x 100 mm TRC Powder Coating dan aksesoris</t>
        </is>
      </c>
      <c r="D1930" s="3" t="inlineStr">
        <is>
          <t xml:space="preserve">Unit </t>
        </is>
      </c>
      <c r="E1930" s="4" t="n">
        <v>415000</v>
      </c>
    </row>
    <row r="1931">
      <c r="A1931" s="3" t="n">
        <v/>
      </c>
      <c r="B1931" s="3" t="n">
        <v/>
      </c>
      <c r="C1931" s="3" t="inlineStr">
        <is>
          <t>Kabel Tray (Horizontal) 500 x 100 mm TRC Hot Dip Galvanized dan aksesoris</t>
        </is>
      </c>
      <c r="D1931" s="3" t="inlineStr">
        <is>
          <t>Unit</t>
        </is>
      </c>
      <c r="E1931" s="4" t="n">
        <v>430000</v>
      </c>
    </row>
    <row r="1932">
      <c r="A1932" s="3" t="n">
        <v/>
      </c>
      <c r="B1932" s="3" t="n">
        <v/>
      </c>
      <c r="C1932" s="3" t="inlineStr">
        <is>
          <t>Kabel Tray (Horizontal) 500 x 100 mm TRC OCP dan aksesoris</t>
        </is>
      </c>
      <c r="D1932" s="3" t="inlineStr">
        <is>
          <t xml:space="preserve">Unit </t>
        </is>
      </c>
      <c r="E1932" s="4" t="n">
        <v>445000</v>
      </c>
    </row>
    <row r="1933">
      <c r="A1933" s="3" t="n">
        <v/>
      </c>
      <c r="B1933" s="3" t="n">
        <v/>
      </c>
      <c r="C1933" s="3" t="inlineStr">
        <is>
          <t>Kabel Tray (Horizontal) 400 x 100 mm TRU Hot Dip Galvanized dan aksesoris</t>
        </is>
      </c>
      <c r="D1933" s="3" t="inlineStr">
        <is>
          <t>Unit</t>
        </is>
      </c>
      <c r="E1933" s="4" t="n">
        <v>350000</v>
      </c>
    </row>
    <row r="1934">
      <c r="A1934" s="3" t="n">
        <v/>
      </c>
      <c r="B1934" s="3" t="n">
        <v/>
      </c>
      <c r="C1934" s="3" t="inlineStr">
        <is>
          <t>Kabel Tray (Horizontal) 400 x 100 mm TRU OCP dan aksesoris</t>
        </is>
      </c>
      <c r="D1934" s="3" t="inlineStr">
        <is>
          <t xml:space="preserve">Unit </t>
        </is>
      </c>
      <c r="E1934" s="4" t="n">
        <v>365000</v>
      </c>
    </row>
    <row r="1935">
      <c r="A1935" s="3" t="n">
        <v/>
      </c>
      <c r="B1935" s="3" t="n">
        <v/>
      </c>
      <c r="C1935" s="3" t="inlineStr">
        <is>
          <t>Kabel Tray (Horizontal) 400 x 100 mm TRC Powder Coating dan aksesoris</t>
        </is>
      </c>
      <c r="D1935" s="3" t="inlineStr">
        <is>
          <t>Unit</t>
        </is>
      </c>
      <c r="E1935" s="4" t="n">
        <v>380000</v>
      </c>
    </row>
    <row r="1936">
      <c r="A1936" s="3" t="n">
        <v/>
      </c>
      <c r="B1936" s="3" t="n">
        <v/>
      </c>
      <c r="C1936" s="3" t="inlineStr">
        <is>
          <t>Kabel Tray (Horizontal) 400 x 100 mm TRC Hot Dip Galvanized dan aksesoris</t>
        </is>
      </c>
      <c r="D1936" s="3" t="inlineStr">
        <is>
          <t xml:space="preserve">Unit </t>
        </is>
      </c>
      <c r="E1936" s="4" t="n">
        <v>395000</v>
      </c>
    </row>
    <row r="1937">
      <c r="A1937" s="3" t="n">
        <v/>
      </c>
      <c r="B1937" s="3" t="n">
        <v/>
      </c>
      <c r="C1937" s="3" t="inlineStr">
        <is>
          <t>Kabel Tray (Horizontal) 400 x 100 mm TRC OCP dan aksesoris</t>
        </is>
      </c>
      <c r="D1937" s="3" t="inlineStr">
        <is>
          <t>Unit</t>
        </is>
      </c>
      <c r="E1937" s="4" t="n">
        <v>410000</v>
      </c>
    </row>
    <row r="1938">
      <c r="A1938" s="3" t="n">
        <v/>
      </c>
      <c r="B1938" s="3" t="n">
        <v/>
      </c>
      <c r="C1938" s="3" t="inlineStr">
        <is>
          <t>Kabel Tray (Horizontal) 300 x 100 mm TRU Hot Dip Galvanized dan aksesoris</t>
        </is>
      </c>
      <c r="D1938" s="3" t="inlineStr">
        <is>
          <t xml:space="preserve">Unit </t>
        </is>
      </c>
      <c r="E1938" s="4" t="n">
        <v>300000</v>
      </c>
    </row>
    <row r="1939">
      <c r="A1939" s="3" t="n">
        <v/>
      </c>
      <c r="B1939" s="3" t="n">
        <v/>
      </c>
      <c r="C1939" s="3" t="inlineStr">
        <is>
          <t>Kabel Tray (Horizontal) 300 x 100 mm TRU OCP dan aksesoris</t>
        </is>
      </c>
      <c r="D1939" s="3" t="inlineStr">
        <is>
          <t>Unit</t>
        </is>
      </c>
      <c r="E1939" s="4" t="n">
        <v>320000</v>
      </c>
    </row>
    <row r="1940">
      <c r="A1940" s="3" t="n">
        <v/>
      </c>
      <c r="B1940" s="3" t="n">
        <v/>
      </c>
      <c r="C1940" s="3" t="inlineStr">
        <is>
          <t>Kabel Tray (Horizontal) 300 x 100 mm TRC Powder Coating dan aksesoris</t>
        </is>
      </c>
      <c r="D1940" s="3" t="inlineStr">
        <is>
          <t xml:space="preserve">Unit </t>
        </is>
      </c>
      <c r="E1940" s="4" t="n">
        <v>340000</v>
      </c>
    </row>
    <row r="1941">
      <c r="A1941" s="3" t="n">
        <v/>
      </c>
      <c r="B1941" s="3" t="n">
        <v/>
      </c>
      <c r="C1941" s="3" t="inlineStr">
        <is>
          <t>Kabel Tray (Horizontal) 300 x 100 mm TRC Hot Dip Galvanized dan aksesoris</t>
        </is>
      </c>
      <c r="D1941" s="3" t="inlineStr">
        <is>
          <t>Unit</t>
        </is>
      </c>
      <c r="E1941" s="4" t="n">
        <v>360000</v>
      </c>
    </row>
    <row r="1942">
      <c r="A1942" s="3" t="n">
        <v/>
      </c>
      <c r="B1942" s="3" t="n">
        <v/>
      </c>
      <c r="C1942" s="3" t="inlineStr">
        <is>
          <t>Kabel Tray (Horizontal) 300 x 100 mm TRC OCP dan aksesoris</t>
        </is>
      </c>
      <c r="D1942" s="3" t="inlineStr">
        <is>
          <t xml:space="preserve">Unit </t>
        </is>
      </c>
      <c r="E1942" s="4" t="n">
        <v>380000</v>
      </c>
    </row>
    <row r="1943">
      <c r="A1943" s="3" t="n">
        <v/>
      </c>
      <c r="B1943" s="3" t="n">
        <v/>
      </c>
      <c r="C1943" s="3" t="inlineStr">
        <is>
          <t>Kabel Tray (Horizontal) 200 x 100 mm TRU Hot Dip Galvanized dan aksesoris</t>
        </is>
      </c>
      <c r="D1943" s="3" t="inlineStr">
        <is>
          <t>Unit</t>
        </is>
      </c>
      <c r="E1943" s="4" t="n">
        <v>400000</v>
      </c>
    </row>
    <row r="1944">
      <c r="A1944" s="3" t="n">
        <v/>
      </c>
      <c r="B1944" s="3" t="n">
        <v/>
      </c>
      <c r="C1944" s="3" t="inlineStr">
        <is>
          <t>Kabel Tray (Horizontal) 200 x 100 mm TRU OCP dan aksesoris</t>
        </is>
      </c>
      <c r="D1944" s="3" t="inlineStr">
        <is>
          <t xml:space="preserve">Unit </t>
        </is>
      </c>
      <c r="E1944" s="4" t="n">
        <v>250000</v>
      </c>
    </row>
    <row r="1945">
      <c r="A1945" s="3" t="n">
        <v/>
      </c>
      <c r="B1945" s="3" t="n">
        <v/>
      </c>
      <c r="C1945" s="3" t="inlineStr">
        <is>
          <t>Kabel Tray (Horizontal) 200 x 100 mm TRC Powder Coating dan aksesoris</t>
        </is>
      </c>
      <c r="D1945" s="3" t="inlineStr">
        <is>
          <t>Unit</t>
        </is>
      </c>
      <c r="E1945" s="4" t="n">
        <v>270000</v>
      </c>
    </row>
    <row r="1946">
      <c r="A1946" s="3" t="n">
        <v/>
      </c>
      <c r="B1946" s="3" t="n">
        <v/>
      </c>
      <c r="C1946" s="3" t="inlineStr">
        <is>
          <t>Kabel Tray (Horizontal) 200 x 100 mm TRC Hot Dip Galvanized dan aksesoris</t>
        </is>
      </c>
      <c r="D1946" s="3" t="inlineStr">
        <is>
          <t xml:space="preserve">Unit </t>
        </is>
      </c>
      <c r="E1946" s="4" t="n">
        <v>280000</v>
      </c>
    </row>
    <row r="1947">
      <c r="A1947" s="3" t="n">
        <v/>
      </c>
      <c r="B1947" s="3" t="n">
        <v/>
      </c>
      <c r="C1947" s="3" t="inlineStr">
        <is>
          <t>Kabel Tray (Horizontal) 200 x 100 mm TRC OCP dan aksesoris</t>
        </is>
      </c>
      <c r="D1947" s="3" t="inlineStr">
        <is>
          <t>Unit</t>
        </is>
      </c>
      <c r="E1947" s="4" t="n">
        <v>300000</v>
      </c>
    </row>
    <row r="1948">
      <c r="A1948" s="3" t="n">
        <v/>
      </c>
      <c r="B1948" s="3" t="n">
        <v/>
      </c>
      <c r="C1948" s="3" t="inlineStr">
        <is>
          <t>Kabel Tray (Horizontal) 150 x 100 mm TRU Powder Coating dan aksesoris</t>
        </is>
      </c>
      <c r="D1948" s="3" t="inlineStr">
        <is>
          <t xml:space="preserve">Unit </t>
        </is>
      </c>
      <c r="E1948" s="4" t="n">
        <v>250000</v>
      </c>
    </row>
    <row r="1949">
      <c r="A1949" s="3" t="n">
        <v/>
      </c>
      <c r="B1949" s="3" t="n">
        <v/>
      </c>
      <c r="C1949" s="3" t="inlineStr">
        <is>
          <t>Kabel Tray (Horizontal) 150 x 100 mm TRU Hot Dip Galvanized dan aksesoris</t>
        </is>
      </c>
      <c r="D1949" s="3" t="inlineStr">
        <is>
          <t>Unit</t>
        </is>
      </c>
      <c r="E1949" s="4" t="n">
        <v>260000</v>
      </c>
    </row>
    <row r="1950">
      <c r="A1950" s="3" t="n">
        <v/>
      </c>
      <c r="B1950" s="3" t="n">
        <v/>
      </c>
      <c r="C1950" s="3" t="inlineStr">
        <is>
          <t>Kabel Tray (Horizontal) 150 x 100 mm TRU OCP dan aksesoris</t>
        </is>
      </c>
      <c r="D1950" s="3" t="inlineStr">
        <is>
          <t xml:space="preserve">Unit </t>
        </is>
      </c>
      <c r="E1950" s="4" t="n">
        <v>280000</v>
      </c>
    </row>
    <row r="1951">
      <c r="A1951" s="3" t="n">
        <v/>
      </c>
      <c r="B1951" s="3" t="n">
        <v/>
      </c>
      <c r="C1951" s="3" t="inlineStr">
        <is>
          <t>Kabel Tray (Horizontal) 150 x 100 mm TRC Powder Coating dan aksesoris</t>
        </is>
      </c>
      <c r="D1951" s="3" t="inlineStr">
        <is>
          <t>Unit</t>
        </is>
      </c>
      <c r="E1951" s="4" t="n">
        <v>300000</v>
      </c>
    </row>
    <row r="1952">
      <c r="A1952" s="3" t="n">
        <v/>
      </c>
      <c r="B1952" s="3" t="n">
        <v/>
      </c>
      <c r="C1952" s="3" t="inlineStr">
        <is>
          <t>Kabel Tray (Horizontal) 150 x 100 mm TRC Hot Dip Galvanized dan aksesoris</t>
        </is>
      </c>
      <c r="D1952" s="3" t="inlineStr">
        <is>
          <t xml:space="preserve">Unit </t>
        </is>
      </c>
      <c r="E1952" s="4" t="n">
        <v>320000</v>
      </c>
    </row>
    <row r="1953">
      <c r="A1953" s="3" t="n">
        <v/>
      </c>
      <c r="B1953" s="3" t="n">
        <v/>
      </c>
      <c r="C1953" s="3" t="inlineStr">
        <is>
          <t>Kabel Tray (Horizontal) 150 x 100 mm TRC OCP dan aksesoris</t>
        </is>
      </c>
      <c r="D1953" s="3" t="inlineStr">
        <is>
          <t>Unit</t>
        </is>
      </c>
      <c r="E1953" s="4" t="n">
        <v>350000</v>
      </c>
    </row>
    <row r="1954">
      <c r="A1954" s="3" t="n">
        <v/>
      </c>
      <c r="B1954" s="3" t="n">
        <v/>
      </c>
      <c r="C1954" s="3" t="inlineStr">
        <is>
          <t>Kabel Tray (Vertikal) 1000 x 100 mm TRU Powder Coating dan aksesoris</t>
        </is>
      </c>
      <c r="D1954" s="3" t="inlineStr">
        <is>
          <t xml:space="preserve">Unit </t>
        </is>
      </c>
      <c r="E1954" s="4" t="n">
        <v>350000</v>
      </c>
    </row>
    <row r="1955">
      <c r="A1955" s="3" t="n">
        <v/>
      </c>
      <c r="B1955" s="3" t="n">
        <v/>
      </c>
      <c r="C1955" s="3" t="inlineStr">
        <is>
          <t>Kabel Tray (Vertikal) 1000 x 100 mm TRU Hot Dip Galvanized dan aksesoris</t>
        </is>
      </c>
      <c r="D1955" s="3" t="inlineStr">
        <is>
          <t>Unit</t>
        </is>
      </c>
      <c r="E1955" s="4" t="n">
        <v>370000</v>
      </c>
    </row>
    <row r="1956">
      <c r="A1956" s="3" t="n">
        <v/>
      </c>
      <c r="B1956" s="3" t="n">
        <v/>
      </c>
      <c r="C1956" s="3" t="inlineStr">
        <is>
          <t>Kabel Tray (Vertikal) 1000 x 100 mm TRU OCP dan aksesoris</t>
        </is>
      </c>
      <c r="D1956" s="3" t="inlineStr">
        <is>
          <t xml:space="preserve">Unit </t>
        </is>
      </c>
      <c r="E1956" s="4" t="n">
        <v>390000</v>
      </c>
    </row>
    <row r="1957">
      <c r="A1957" s="3" t="n">
        <v/>
      </c>
      <c r="B1957" s="3" t="n">
        <v/>
      </c>
      <c r="C1957" s="3" t="inlineStr">
        <is>
          <t>Kabel Tray (Vertikal) 1000 x 100 mm TRC Powder Coating dan aksesoris</t>
        </is>
      </c>
      <c r="D1957" s="3" t="inlineStr">
        <is>
          <t>Unit</t>
        </is>
      </c>
      <c r="E1957" s="4" t="n">
        <v>400000</v>
      </c>
    </row>
    <row r="1958">
      <c r="A1958" s="3" t="n">
        <v/>
      </c>
      <c r="B1958" s="3" t="n">
        <v/>
      </c>
      <c r="C1958" s="3" t="inlineStr">
        <is>
          <t>Kabel Tray (Vertikal) 1000 x 100 mm TRC Hot Dip Galvanized dan aksesoris</t>
        </is>
      </c>
      <c r="D1958" s="3" t="inlineStr">
        <is>
          <t xml:space="preserve">Unit </t>
        </is>
      </c>
      <c r="E1958" s="4" t="n">
        <v>410000</v>
      </c>
    </row>
    <row r="1959">
      <c r="A1959" s="3" t="n">
        <v/>
      </c>
      <c r="B1959" s="3" t="n">
        <v/>
      </c>
      <c r="C1959" s="3" t="inlineStr">
        <is>
          <t>Kabel Tray (Vertikal) 1000 x 100 mm TRC OCP dan aksesoris</t>
        </is>
      </c>
      <c r="D1959" s="3" t="inlineStr">
        <is>
          <t>Unit</t>
        </is>
      </c>
      <c r="E1959" s="4" t="n">
        <v>420000</v>
      </c>
    </row>
    <row r="1960">
      <c r="A1960" s="3" t="n">
        <v/>
      </c>
      <c r="B1960" s="3" t="n">
        <v/>
      </c>
      <c r="C1960" s="3" t="inlineStr">
        <is>
          <t>Kabel Tray (Vertikal) 900 x 100 mm TRU Powder Coating dan aksesoris</t>
        </is>
      </c>
      <c r="D1960" s="3" t="inlineStr">
        <is>
          <t>Unit</t>
        </is>
      </c>
      <c r="E1960" s="4" t="n">
        <v>340000</v>
      </c>
    </row>
    <row r="1961">
      <c r="A1961" s="3" t="n">
        <v/>
      </c>
      <c r="B1961" s="3" t="n">
        <v/>
      </c>
      <c r="C1961" s="3" t="inlineStr">
        <is>
          <t>Kabel Tray (Vertikal) 900 x 100 mm TRU Hot Dip Galvanized dan aksesoris</t>
        </is>
      </c>
      <c r="D1961" s="3" t="inlineStr">
        <is>
          <t xml:space="preserve">Unit </t>
        </is>
      </c>
      <c r="E1961" s="4" t="n">
        <v>350000</v>
      </c>
    </row>
    <row r="1962">
      <c r="A1962" s="3" t="n">
        <v/>
      </c>
      <c r="B1962" s="3" t="n">
        <v/>
      </c>
      <c r="C1962" s="3" t="inlineStr">
        <is>
          <t>Kabel Tray (Vertikal) 900 x 100 mm TRU OCP dan aksesoris</t>
        </is>
      </c>
      <c r="D1962" s="3" t="inlineStr">
        <is>
          <t>Unit</t>
        </is>
      </c>
      <c r="E1962" s="4" t="n">
        <v>360000</v>
      </c>
    </row>
    <row r="1963">
      <c r="A1963" s="3" t="n">
        <v/>
      </c>
      <c r="B1963" s="3" t="n">
        <v/>
      </c>
      <c r="C1963" s="3" t="inlineStr">
        <is>
          <t>Kabel Tray (Vertikal) 900 x 100 mm TRC Powder Coating dan aksesoris</t>
        </is>
      </c>
      <c r="D1963" s="3" t="inlineStr">
        <is>
          <t>Unit</t>
        </is>
      </c>
      <c r="E1963" s="4" t="n">
        <v>370000</v>
      </c>
    </row>
    <row r="1964">
      <c r="A1964" s="3" t="n">
        <v/>
      </c>
      <c r="B1964" s="3" t="n">
        <v/>
      </c>
      <c r="C1964" s="3" t="inlineStr">
        <is>
          <t>Kabel Tray (Vertikal) 900 x 100 mm TRC Hot Dip Galvanized dan aksesoris</t>
        </is>
      </c>
      <c r="D1964" s="3" t="inlineStr">
        <is>
          <t xml:space="preserve">Unit </t>
        </is>
      </c>
      <c r="E1964" s="4" t="n">
        <v>380000</v>
      </c>
    </row>
    <row r="1965">
      <c r="A1965" s="3" t="n">
        <v/>
      </c>
      <c r="B1965" s="3" t="n">
        <v/>
      </c>
      <c r="C1965" s="3" t="inlineStr">
        <is>
          <t>Kabel Tray (Vertikal) 900 x 100 mm TRC OCP dan aksesoris</t>
        </is>
      </c>
      <c r="D1965" s="3" t="inlineStr">
        <is>
          <t>Unit</t>
        </is>
      </c>
      <c r="E1965" s="4" t="n">
        <v>390000</v>
      </c>
    </row>
    <row r="1966">
      <c r="A1966" s="3" t="n">
        <v/>
      </c>
      <c r="B1966" s="3" t="n">
        <v/>
      </c>
      <c r="C1966" s="3" t="inlineStr">
        <is>
          <t>Kabel Tray (Vertikal) 800 x 100 mm TRU Powder Coating dan aksesoris</t>
        </is>
      </c>
      <c r="D1966" s="3" t="inlineStr">
        <is>
          <t>Unit</t>
        </is>
      </c>
      <c r="E1966" s="4" t="n">
        <v>350000</v>
      </c>
    </row>
    <row r="1967">
      <c r="A1967" s="3" t="n">
        <v/>
      </c>
      <c r="B1967" s="3" t="n">
        <v/>
      </c>
      <c r="C1967" s="3" t="inlineStr">
        <is>
          <t>Kabel Tray (Vertikal) 800 x 100 mm TRU Hot Dip Galvanized dan aksesoris</t>
        </is>
      </c>
      <c r="D1967" s="3" t="inlineStr">
        <is>
          <t xml:space="preserve">Unit </t>
        </is>
      </c>
      <c r="E1967" s="4" t="n">
        <v>360000</v>
      </c>
    </row>
    <row r="1968">
      <c r="A1968" s="3" t="n">
        <v/>
      </c>
      <c r="B1968" s="3" t="n">
        <v/>
      </c>
      <c r="C1968" s="3" t="inlineStr">
        <is>
          <t>Kabel Tray (Vertikal) 800 x 100 mm TRU OCP dan aksesoris</t>
        </is>
      </c>
      <c r="D1968" s="3" t="inlineStr">
        <is>
          <t>Unit</t>
        </is>
      </c>
      <c r="E1968" s="4" t="n">
        <v>370000</v>
      </c>
    </row>
    <row r="1969">
      <c r="A1969" s="3" t="n">
        <v/>
      </c>
      <c r="B1969" s="3" t="n">
        <v/>
      </c>
      <c r="C1969" s="3" t="inlineStr">
        <is>
          <t>Kabel Tray (Vertikal) 800 x 100 mm TRC Powder Coating dan aksesoris</t>
        </is>
      </c>
      <c r="D1969" s="3" t="inlineStr">
        <is>
          <t>Unit</t>
        </is>
      </c>
      <c r="E1969" s="4" t="n">
        <v>380000</v>
      </c>
    </row>
    <row r="1970">
      <c r="A1970" s="3" t="n">
        <v/>
      </c>
      <c r="B1970" s="3" t="n">
        <v/>
      </c>
      <c r="C1970" s="3" t="inlineStr">
        <is>
          <t>Kabel Tray (Vertikal) 800 x 100 mm TRC Hot Dip Galvanized dan aksesoris</t>
        </is>
      </c>
      <c r="D1970" s="3" t="inlineStr">
        <is>
          <t xml:space="preserve">Unit </t>
        </is>
      </c>
      <c r="E1970" s="4" t="n">
        <v>390000</v>
      </c>
    </row>
    <row r="1971">
      <c r="A1971" s="3" t="n">
        <v/>
      </c>
      <c r="B1971" s="3" t="n">
        <v/>
      </c>
      <c r="C1971" s="3" t="inlineStr">
        <is>
          <t>Kabel Tray (Vertikal) 800 x 100 mm TRC OCP dan aksesoris</t>
        </is>
      </c>
      <c r="D1971" s="3" t="inlineStr">
        <is>
          <t>Unit</t>
        </is>
      </c>
      <c r="E1971" s="4" t="n">
        <v>400000</v>
      </c>
    </row>
    <row r="1972">
      <c r="A1972" s="3" t="n">
        <v/>
      </c>
      <c r="B1972" s="3" t="n">
        <v/>
      </c>
      <c r="C1972" s="3" t="inlineStr">
        <is>
          <t>Kabel Tray (Vertikal) 700 x 100 mm TRU Powder Coating dan aksesoris</t>
        </is>
      </c>
      <c r="D1972" s="3" t="inlineStr">
        <is>
          <t>Unit</t>
        </is>
      </c>
      <c r="E1972" s="4" t="n">
        <v>340000</v>
      </c>
    </row>
    <row r="1973">
      <c r="A1973" s="3" t="n">
        <v/>
      </c>
      <c r="B1973" s="3" t="n">
        <v/>
      </c>
      <c r="C1973" s="3" t="inlineStr">
        <is>
          <t>Kabel Tray (Vertikal) 700 x 100 mm TRU Hot Dip Galvanized dan aksesoris</t>
        </is>
      </c>
      <c r="D1973" s="3" t="inlineStr">
        <is>
          <t xml:space="preserve">Unit </t>
        </is>
      </c>
      <c r="E1973" s="4" t="n">
        <v>350000</v>
      </c>
    </row>
    <row r="1974">
      <c r="A1974" s="3" t="n">
        <v/>
      </c>
      <c r="B1974" s="3" t="n">
        <v/>
      </c>
      <c r="C1974" s="3" t="inlineStr">
        <is>
          <t>Kabel Tray (Vertikal) 700 x 100 mm TRU OCP dan aksesoris</t>
        </is>
      </c>
      <c r="D1974" s="3" t="inlineStr">
        <is>
          <t>Unit</t>
        </is>
      </c>
      <c r="E1974" s="4" t="n">
        <v>360000</v>
      </c>
    </row>
    <row r="1975">
      <c r="A1975" s="3" t="n">
        <v/>
      </c>
      <c r="B1975" s="3" t="n">
        <v/>
      </c>
      <c r="C1975" s="3" t="inlineStr">
        <is>
          <t>Kabel Tray (Vertikal) 700 x 100 mm TRC Powder Coating dan aksesoris</t>
        </is>
      </c>
      <c r="D1975" s="3" t="inlineStr">
        <is>
          <t>Unit</t>
        </is>
      </c>
      <c r="E1975" s="4" t="n">
        <v>370000</v>
      </c>
    </row>
    <row r="1976">
      <c r="A1976" s="3" t="n">
        <v/>
      </c>
      <c r="B1976" s="3" t="n">
        <v/>
      </c>
      <c r="C1976" s="3" t="inlineStr">
        <is>
          <t>Kabel Tray (Vertikal) 700 x 100 mm TRC Hot Dip Galvanized dan aksesoris</t>
        </is>
      </c>
      <c r="D1976" s="3" t="inlineStr">
        <is>
          <t xml:space="preserve">Unit </t>
        </is>
      </c>
      <c r="E1976" s="4" t="n">
        <v>380000</v>
      </c>
    </row>
    <row r="1977">
      <c r="A1977" s="3" t="n">
        <v/>
      </c>
      <c r="B1977" s="3" t="n">
        <v/>
      </c>
      <c r="C1977" s="3" t="inlineStr">
        <is>
          <t>Kabel Tray (Vertikal) 700 x 100 mm TRC OCP dan aksesoris</t>
        </is>
      </c>
      <c r="D1977" s="3" t="inlineStr">
        <is>
          <t>Unit</t>
        </is>
      </c>
      <c r="E1977" s="4" t="n">
        <v>390000</v>
      </c>
    </row>
    <row r="1978">
      <c r="A1978" s="3" t="n">
        <v/>
      </c>
      <c r="B1978" s="3" t="n">
        <v/>
      </c>
      <c r="C1978" s="3" t="inlineStr">
        <is>
          <t>Kabel Tray (Vertikal) 600 x 100 mm TRU Hot Dip Galvanized dan aksesoris</t>
        </is>
      </c>
      <c r="D1978" s="3" t="inlineStr">
        <is>
          <t>Unit</t>
        </is>
      </c>
      <c r="E1978" s="4" t="n">
        <v>340000</v>
      </c>
    </row>
    <row r="1979">
      <c r="A1979" s="3" t="n">
        <v/>
      </c>
      <c r="B1979" s="3" t="n">
        <v/>
      </c>
      <c r="C1979" s="3" t="inlineStr">
        <is>
          <t>Kabel Tray (Vertikal) 600 x 100 mm TRU OCP dan aksesoris</t>
        </is>
      </c>
      <c r="D1979" s="3" t="inlineStr">
        <is>
          <t xml:space="preserve">Unit </t>
        </is>
      </c>
      <c r="E1979" s="4" t="n">
        <v>350000</v>
      </c>
    </row>
    <row r="1980">
      <c r="A1980" s="3" t="n">
        <v/>
      </c>
      <c r="B1980" s="3" t="n">
        <v/>
      </c>
      <c r="C1980" s="3" t="inlineStr">
        <is>
          <t>Kabel Tray (Vertikal)
600 x 100 mm TRC
Powder Coating dan
aksesoris</t>
        </is>
      </c>
      <c r="D1980" s="3" t="inlineStr">
        <is>
          <t xml:space="preserve">Unit </t>
        </is>
      </c>
      <c r="E1980" s="4" t="n">
        <v>360000</v>
      </c>
    </row>
    <row r="1981">
      <c r="A1981" s="3" t="n">
        <v/>
      </c>
      <c r="B1981" s="3" t="n">
        <v/>
      </c>
      <c r="C1981" s="3" t="inlineStr">
        <is>
          <t>Kabel Tray (Vertikal)
600 x 100 mm TRC
Hot Dip Galvanized
dan aksesoris</t>
        </is>
      </c>
      <c r="D1981" s="3" t="inlineStr">
        <is>
          <t>Unit</t>
        </is>
      </c>
      <c r="E1981" s="4" t="n">
        <v>370000</v>
      </c>
    </row>
    <row r="1982">
      <c r="A1982" s="3" t="n">
        <v/>
      </c>
      <c r="B1982" s="3" t="n">
        <v/>
      </c>
      <c r="C1982" s="3" t="inlineStr">
        <is>
          <t>Kabel Tray (Vertikal)
600 x 100 mm TRC
OCP dan aksesoris</t>
        </is>
      </c>
      <c r="D1982" s="3" t="inlineStr">
        <is>
          <t xml:space="preserve">Unit </t>
        </is>
      </c>
      <c r="E1982" s="4" t="n">
        <v>390000</v>
      </c>
    </row>
    <row r="1983">
      <c r="A1983" s="3" t="n">
        <v/>
      </c>
      <c r="B1983" s="3" t="n">
        <v/>
      </c>
      <c r="C1983" s="3" t="inlineStr">
        <is>
          <t>Kabel Tray (Vertikal)
500 x 100 mm TRU
Hot Dip Galvanized
dan aksesoris</t>
        </is>
      </c>
      <c r="D1983" s="3" t="inlineStr">
        <is>
          <t>Unit</t>
        </is>
      </c>
      <c r="E1983" s="4" t="n">
        <v>340000</v>
      </c>
    </row>
    <row r="1984">
      <c r="A1984" s="3" t="n">
        <v/>
      </c>
      <c r="B1984" s="3" t="n">
        <v/>
      </c>
      <c r="C1984" s="3" t="inlineStr">
        <is>
          <t>Kabel Tray (Vertikal)
500 x 100 mm TRU
OCP dan aksesoris</t>
        </is>
      </c>
      <c r="D1984" s="3" t="inlineStr">
        <is>
          <t xml:space="preserve">Unit </t>
        </is>
      </c>
      <c r="E1984" s="4" t="n">
        <v>350000</v>
      </c>
    </row>
    <row r="1985">
      <c r="A1985" s="3" t="n">
        <v/>
      </c>
      <c r="B1985" s="3" t="n">
        <v/>
      </c>
      <c r="C1985" s="3" t="inlineStr">
        <is>
          <t>Kabel Tray (Vertikal)
500 x 100 mm TRC
Powder Coating dan
aksesoris</t>
        </is>
      </c>
      <c r="D1985" s="3" t="inlineStr">
        <is>
          <t>Unit</t>
        </is>
      </c>
      <c r="E1985" s="4" t="n">
        <v>360000</v>
      </c>
    </row>
    <row r="1986">
      <c r="A1986" s="3" t="n">
        <v/>
      </c>
      <c r="B1986" s="3" t="n">
        <v/>
      </c>
      <c r="C1986" s="3" t="inlineStr">
        <is>
          <t>Kabel Tray (Vertikal)
500 x 100 mm TRC
Hot Dip Galvanized
dan aksesoris</t>
        </is>
      </c>
      <c r="D1986" s="3" t="inlineStr">
        <is>
          <t xml:space="preserve">Unit </t>
        </is>
      </c>
      <c r="E1986" s="4" t="n">
        <v>370000</v>
      </c>
    </row>
    <row r="1987">
      <c r="A1987" s="3" t="n">
        <v/>
      </c>
      <c r="B1987" s="3" t="n">
        <v/>
      </c>
      <c r="C1987" s="3" t="inlineStr">
        <is>
          <t>Kabel Tray (Vertikal)
500 x 100 mm TRC
OCP dan aksesoris</t>
        </is>
      </c>
      <c r="D1987" s="3" t="inlineStr">
        <is>
          <t>Unit</t>
        </is>
      </c>
      <c r="E1987" s="4" t="n">
        <v>380000</v>
      </c>
    </row>
    <row r="1988">
      <c r="A1988" s="3" t="n">
        <v/>
      </c>
      <c r="B1988" s="3" t="n">
        <v/>
      </c>
      <c r="C1988" s="3" t="inlineStr">
        <is>
          <t>Kabel Tray (Vertikal)
400 x 100 mm TRU
Hot Dip Galvanized
dan aksesoris</t>
        </is>
      </c>
      <c r="D1988" s="3" t="inlineStr">
        <is>
          <t xml:space="preserve">Unit </t>
        </is>
      </c>
      <c r="E1988" s="4" t="n">
        <v>340000</v>
      </c>
    </row>
    <row r="1989">
      <c r="A1989" s="3" t="n">
        <v/>
      </c>
      <c r="B1989" s="3" t="n">
        <v/>
      </c>
      <c r="C1989" s="3" t="inlineStr">
        <is>
          <t>Kabel Tray (Vertikal)
400 x 100 mm TRU
OCP dan aksesoris</t>
        </is>
      </c>
      <c r="D1989" s="3" t="inlineStr">
        <is>
          <t>Unit</t>
        </is>
      </c>
      <c r="E1989" s="4" t="n">
        <v>350000</v>
      </c>
    </row>
    <row r="1990">
      <c r="A1990" s="3" t="n">
        <v/>
      </c>
      <c r="B1990" s="3" t="n">
        <v/>
      </c>
      <c r="C1990" s="3" t="inlineStr">
        <is>
          <t>Kabel Tray (Vertikal)
400 x 100 mm TRC
Powder Coating dan
aksesoris</t>
        </is>
      </c>
      <c r="D1990" s="3" t="inlineStr">
        <is>
          <t xml:space="preserve">Unit </t>
        </is>
      </c>
      <c r="E1990" s="4" t="n">
        <v>360000</v>
      </c>
    </row>
    <row r="1991">
      <c r="A1991" s="3" t="n">
        <v/>
      </c>
      <c r="B1991" s="3" t="n">
        <v/>
      </c>
      <c r="C1991" s="3" t="inlineStr">
        <is>
          <t>Kabel Tray (Vertikal)
400 x 100 mm TRC
Hot Dip Galvanized
dan aksesoris</t>
        </is>
      </c>
      <c r="D1991" s="3" t="inlineStr">
        <is>
          <t>Unit</t>
        </is>
      </c>
      <c r="E1991" s="4" t="n">
        <v>370000</v>
      </c>
    </row>
    <row r="1992">
      <c r="A1992" s="3" t="n">
        <v/>
      </c>
      <c r="B1992" s="3" t="n">
        <v/>
      </c>
      <c r="C1992" s="3" t="inlineStr">
        <is>
          <t>Kabel Tray (Vertikal)
400 x 100 mm TRC
OCP dan aksesoris</t>
        </is>
      </c>
      <c r="D1992" s="3" t="inlineStr">
        <is>
          <t xml:space="preserve">Unit </t>
        </is>
      </c>
      <c r="E1992" s="4" t="n">
        <v>380000</v>
      </c>
    </row>
    <row r="1993">
      <c r="A1993" s="3" t="n">
        <v/>
      </c>
      <c r="B1993" s="3" t="n">
        <v/>
      </c>
      <c r="C1993" s="3" t="inlineStr">
        <is>
          <t>Kabel Tray (Vertikal)
300 x 100 mm TRU
Hot Dip Galvanized
dan aksesoris</t>
        </is>
      </c>
      <c r="D1993" s="3" t="inlineStr">
        <is>
          <t>Unit</t>
        </is>
      </c>
      <c r="E1993" s="4" t="n">
        <v>340000</v>
      </c>
    </row>
    <row r="1994">
      <c r="A1994" s="3" t="n">
        <v/>
      </c>
      <c r="B1994" s="3" t="n">
        <v/>
      </c>
      <c r="C1994" s="3" t="inlineStr">
        <is>
          <t>Kabel Tray (Vertikal)
300 x 100 mm TRU
OCP dan aksesoris</t>
        </is>
      </c>
      <c r="D1994" s="3" t="inlineStr">
        <is>
          <t xml:space="preserve">Unit </t>
        </is>
      </c>
      <c r="E1994" s="4" t="n">
        <v>350000</v>
      </c>
    </row>
    <row r="1995">
      <c r="A1995" s="3" t="n">
        <v/>
      </c>
      <c r="B1995" s="3" t="n">
        <v/>
      </c>
      <c r="C1995" s="3" t="inlineStr">
        <is>
          <t>Kabel Tray (Vertikal)
300 x 100 mm TRC
Powder Coating dan
aksesoris</t>
        </is>
      </c>
      <c r="D1995" s="3" t="inlineStr">
        <is>
          <t>Unit</t>
        </is>
      </c>
      <c r="E1995" s="4" t="n">
        <v>360000</v>
      </c>
    </row>
    <row r="1996">
      <c r="A1996" s="3" t="n">
        <v/>
      </c>
      <c r="B1996" s="3" t="n">
        <v/>
      </c>
      <c r="C1996" s="3" t="inlineStr">
        <is>
          <t>Kabel Tray (Vertikal)
300 x 100 mm TRC
Hot Dip Galvanized
dan aksesoris</t>
        </is>
      </c>
      <c r="D1996" s="3" t="inlineStr">
        <is>
          <t xml:space="preserve">Unit </t>
        </is>
      </c>
      <c r="E1996" s="4" t="n">
        <v>370000</v>
      </c>
    </row>
    <row r="1997">
      <c r="A1997" s="3" t="n">
        <v/>
      </c>
      <c r="B1997" s="3" t="n">
        <v/>
      </c>
      <c r="C1997" s="3" t="inlineStr">
        <is>
          <t>Kabel Tray (Vertikal)
300 x 100 mm TRC
OCP dan aksesoris</t>
        </is>
      </c>
      <c r="D1997" s="3" t="inlineStr">
        <is>
          <t>Unit</t>
        </is>
      </c>
      <c r="E1997" s="4" t="n">
        <v>380000</v>
      </c>
    </row>
    <row r="1998">
      <c r="A1998" s="3" t="n">
        <v/>
      </c>
      <c r="B1998" s="3" t="n">
        <v/>
      </c>
      <c r="C1998" s="3" t="inlineStr">
        <is>
          <t>Kabel Tray (Vertikal)
200 x 100 mm TRU
Hot Dip Galvanized
dan aksesoris</t>
        </is>
      </c>
      <c r="D1998" s="3" t="inlineStr">
        <is>
          <t xml:space="preserve">Unit </t>
        </is>
      </c>
      <c r="E1998" s="4" t="n">
        <v>330000</v>
      </c>
    </row>
    <row r="1999">
      <c r="A1999" s="3" t="n">
        <v/>
      </c>
      <c r="B1999" s="3" t="n">
        <v/>
      </c>
      <c r="C1999" s="3" t="inlineStr">
        <is>
          <t>Kabel Tray (Vertikal)
200 x 100 mm TRU
OCP dan aksesoris</t>
        </is>
      </c>
      <c r="D1999" s="3" t="inlineStr">
        <is>
          <t>Unit</t>
        </is>
      </c>
      <c r="E1999" s="4" t="n">
        <v>340000</v>
      </c>
    </row>
    <row r="2000">
      <c r="A2000" s="3" t="n">
        <v/>
      </c>
      <c r="B2000" s="3" t="n">
        <v/>
      </c>
      <c r="C2000" s="3" t="inlineStr">
        <is>
          <t>Kabel Tray (Vertikal)
200 x 100 mm TRC
Powder Coating dan
aksesoris</t>
        </is>
      </c>
      <c r="D2000" s="3" t="inlineStr">
        <is>
          <t xml:space="preserve">Unit </t>
        </is>
      </c>
      <c r="E2000" s="4" t="n">
        <v>350000</v>
      </c>
    </row>
    <row r="2001">
      <c r="A2001" s="3" t="n">
        <v/>
      </c>
      <c r="B2001" s="3" t="n">
        <v/>
      </c>
      <c r="C2001" s="3" t="inlineStr">
        <is>
          <t>Kabel Tray (Vertikal)
200 x 100 mm TRC
Hot Dip Galvanized
dan aksesoris</t>
        </is>
      </c>
      <c r="D2001" s="3" t="inlineStr">
        <is>
          <t>Unit</t>
        </is>
      </c>
      <c r="E2001" s="4" t="n">
        <v>360000</v>
      </c>
    </row>
    <row r="2002">
      <c r="A2002" s="3" t="n">
        <v/>
      </c>
      <c r="B2002" s="3" t="n">
        <v/>
      </c>
      <c r="C2002" s="3" t="inlineStr">
        <is>
          <t>Kabel Tray (Vertikal)
200 x 100 mm TRC
OCP dan aksesoris</t>
        </is>
      </c>
      <c r="D2002" s="3" t="inlineStr">
        <is>
          <t xml:space="preserve">Unit </t>
        </is>
      </c>
      <c r="E2002" s="4" t="n">
        <v>370000</v>
      </c>
    </row>
    <row r="2003">
      <c r="A2003" s="3" t="n">
        <v/>
      </c>
      <c r="B2003" s="3" t="n">
        <v/>
      </c>
      <c r="C2003" s="3" t="inlineStr">
        <is>
          <t>Kabel Tray (Vertikal)
150 x 100 mm TRU
Powder Coating dan
aksesoris</t>
        </is>
      </c>
      <c r="D2003" s="3" t="inlineStr">
        <is>
          <t>Unit</t>
        </is>
      </c>
      <c r="E2003" s="4" t="n">
        <v>330000</v>
      </c>
    </row>
    <row r="2004">
      <c r="A2004" s="3" t="n">
        <v/>
      </c>
      <c r="B2004" s="3" t="n">
        <v/>
      </c>
      <c r="C2004" s="3" t="inlineStr">
        <is>
          <t>Kabel Tray (Vertikal)
150 x 100 mm TRU
Hot Dip Galvanized
dan aksesoris</t>
        </is>
      </c>
      <c r="D2004" s="3" t="inlineStr">
        <is>
          <t xml:space="preserve">Unit </t>
        </is>
      </c>
      <c r="E2004" s="4" t="n">
        <v>340000</v>
      </c>
    </row>
    <row r="2005">
      <c r="A2005" s="3" t="n">
        <v/>
      </c>
      <c r="B2005" s="3" t="n">
        <v/>
      </c>
      <c r="C2005" s="3" t="inlineStr">
        <is>
          <t>Kabel Tray (Vertikal)
150 x 100 mm TRU
OCP dan aksesoris</t>
        </is>
      </c>
      <c r="D2005" s="3" t="inlineStr">
        <is>
          <t>Unit</t>
        </is>
      </c>
      <c r="E2005" s="4" t="n">
        <v>350000</v>
      </c>
    </row>
    <row r="2006">
      <c r="A2006" s="3" t="n">
        <v/>
      </c>
      <c r="B2006" s="3" t="n">
        <v/>
      </c>
      <c r="C2006" s="3" t="inlineStr">
        <is>
          <t>Kabel Tray (Vertikal)
150 x 100 mm TRC
Powder Coating dan
aksesoris</t>
        </is>
      </c>
      <c r="D2006" s="3" t="inlineStr">
        <is>
          <t xml:space="preserve">Unit </t>
        </is>
      </c>
      <c r="E2006" s="4" t="n">
        <v>360000</v>
      </c>
    </row>
    <row r="2007">
      <c r="A2007" s="3" t="n">
        <v/>
      </c>
      <c r="B2007" s="3" t="n">
        <v/>
      </c>
      <c r="C2007" s="3" t="inlineStr">
        <is>
          <t>Kabel Tray (Vertikal)
150 x 100 mm TRC
Hot Dip Galvanized
dan aksesoris</t>
        </is>
      </c>
      <c r="D2007" s="3" t="inlineStr">
        <is>
          <t>Unit</t>
        </is>
      </c>
      <c r="E2007" s="4" t="n">
        <v>370000</v>
      </c>
    </row>
    <row r="2008">
      <c r="A2008" s="3" t="n">
        <v/>
      </c>
      <c r="B2008" s="3" t="n">
        <v/>
      </c>
      <c r="C2008" s="3" t="inlineStr">
        <is>
          <t>Kabel Tray (Vertikal)
150 x 100 mm TRC
OCP dan aksesoris</t>
        </is>
      </c>
      <c r="D2008" s="3" t="inlineStr">
        <is>
          <t xml:space="preserve">Unit </t>
        </is>
      </c>
      <c r="E2008" s="4" t="n">
        <v>380000</v>
      </c>
    </row>
    <row r="2009">
      <c r="A2009" s="3" t="inlineStr">
        <is>
          <t>132</t>
        </is>
      </c>
      <c r="B2009" s="3" t="n">
        <v/>
      </c>
      <c r="C2009" s="3" t="inlineStr">
        <is>
          <t>Kabel tray 200 x 100 mm</t>
        </is>
      </c>
      <c r="D2009" s="3" t="inlineStr">
        <is>
          <t>m'</t>
        </is>
      </c>
      <c r="E2009" s="4" t="n">
        <v>175000</v>
      </c>
    </row>
    <row r="2010">
      <c r="A2010" s="3" t="inlineStr">
        <is>
          <t>133</t>
        </is>
      </c>
      <c r="B2010" s="3" t="n">
        <v/>
      </c>
      <c r="C2010" s="3" t="inlineStr">
        <is>
          <t>Kabel tray 300 x 100 mm</t>
        </is>
      </c>
      <c r="D2010" s="3" t="inlineStr">
        <is>
          <t>m'</t>
        </is>
      </c>
      <c r="E2010" s="4" t="n">
        <v>219000</v>
      </c>
    </row>
    <row r="2011">
      <c r="A2011" s="3" t="inlineStr">
        <is>
          <t>134</t>
        </is>
      </c>
      <c r="B2011" s="3" t="n">
        <v/>
      </c>
      <c r="C2011" s="3" t="inlineStr">
        <is>
          <t>Kabel tray 400 x 100 mm</t>
        </is>
      </c>
      <c r="D2011" s="3" t="inlineStr">
        <is>
          <t>m'</t>
        </is>
      </c>
      <c r="E2011" s="4" t="n">
        <v>265000</v>
      </c>
    </row>
    <row r="2012">
      <c r="A2012" s="3" t="inlineStr">
        <is>
          <t>135</t>
        </is>
      </c>
      <c r="B2012" s="3" t="n">
        <v/>
      </c>
      <c r="C2012" s="3" t="inlineStr">
        <is>
          <t>Kabel tray 500 x 100 mm</t>
        </is>
      </c>
      <c r="D2012" s="3" t="inlineStr">
        <is>
          <t>m'</t>
        </is>
      </c>
      <c r="E2012" s="4" t="n">
        <v>309000</v>
      </c>
    </row>
    <row r="2013">
      <c r="A2013" s="3" t="inlineStr">
        <is>
          <t>136</t>
        </is>
      </c>
      <c r="B2013" s="3" t="n">
        <v/>
      </c>
      <c r="C2013" s="3" t="inlineStr">
        <is>
          <t>Kabel tray 600 x 100 mm</t>
        </is>
      </c>
      <c r="D2013" s="3" t="inlineStr">
        <is>
          <t>m'</t>
        </is>
      </c>
      <c r="E2013" s="4" t="n">
        <v>352000</v>
      </c>
    </row>
    <row r="2014">
      <c r="A2014" s="3" t="inlineStr">
        <is>
          <t>137</t>
        </is>
      </c>
      <c r="B2014" s="3" t="n">
        <v/>
      </c>
      <c r="C2014" s="3" t="inlineStr">
        <is>
          <t>Klem kabel tray</t>
        </is>
      </c>
      <c r="D2014" s="3" t="inlineStr">
        <is>
          <t>buah</t>
        </is>
      </c>
      <c r="E2014" s="4" t="n">
        <v>6000</v>
      </c>
    </row>
    <row r="2015">
      <c r="A2015" s="3" t="n">
        <v/>
      </c>
      <c r="B2015" s="3" t="n">
        <v/>
      </c>
      <c r="C2015" s="3" t="inlineStr">
        <is>
          <t>Klem 20 mm</t>
        </is>
      </c>
      <c r="D2015" s="3" t="inlineStr">
        <is>
          <t xml:space="preserve">buah </t>
        </is>
      </c>
      <c r="E2015" s="4" t="n">
        <v>900</v>
      </c>
    </row>
    <row r="2016">
      <c r="A2016" s="3" t="inlineStr">
        <is>
          <t>138</t>
        </is>
      </c>
      <c r="B2016" s="3" t="n">
        <v/>
      </c>
      <c r="C2016" s="3" t="inlineStr">
        <is>
          <t>Mur baut kabel tray</t>
        </is>
      </c>
      <c r="D2016" s="3" t="inlineStr">
        <is>
          <t>buah</t>
        </is>
      </c>
      <c r="E2016" s="4" t="n">
        <v>1000</v>
      </c>
    </row>
    <row r="2017">
      <c r="A2017" s="3" t="inlineStr">
        <is>
          <t>139</t>
        </is>
      </c>
      <c r="B2017" s="3" t="n">
        <v/>
      </c>
      <c r="C2017" s="3" t="inlineStr">
        <is>
          <t>PVC conduit HI 20 mm²</t>
        </is>
      </c>
      <c r="D2017" s="3" t="inlineStr">
        <is>
          <t>m'</t>
        </is>
      </c>
      <c r="E2017" s="4" t="n">
        <v>4100</v>
      </c>
    </row>
    <row r="2018">
      <c r="A2018" s="3" t="n">
        <v/>
      </c>
      <c r="B2018" s="3" t="n">
        <v/>
      </c>
      <c r="C2018" s="3" t="inlineStr">
        <is>
          <t>Flexible Conduit 20 mm</t>
        </is>
      </c>
      <c r="D2018" s="3" t="inlineStr">
        <is>
          <t>m</t>
        </is>
      </c>
      <c r="E2018" s="4" t="n">
        <v>5400</v>
      </c>
    </row>
    <row r="2019">
      <c r="A2019" s="3" t="n">
        <v/>
      </c>
      <c r="B2019" s="3" t="n">
        <v/>
      </c>
      <c r="C2019" s="3" t="inlineStr">
        <is>
          <t>PVC conduit HI 32 mm²</t>
        </is>
      </c>
      <c r="D2019" s="3" t="inlineStr">
        <is>
          <t>m1</t>
        </is>
      </c>
      <c r="E2019" s="4" t="n">
        <v>20000</v>
      </c>
    </row>
    <row r="2020">
      <c r="A2020" s="3" t="n">
        <v/>
      </c>
      <c r="B2020" s="3" t="n">
        <v/>
      </c>
      <c r="C2020" s="3" t="inlineStr">
        <is>
          <t xml:space="preserve">Conduit HI 20 mm </t>
        </is>
      </c>
      <c r="D2020" s="3" t="inlineStr">
        <is>
          <t>m</t>
        </is>
      </c>
      <c r="E2020" s="4" t="n">
        <v>4000</v>
      </c>
    </row>
    <row r="2021">
      <c r="A2021" s="3" t="n">
        <v/>
      </c>
      <c r="B2021" s="3" t="n">
        <v/>
      </c>
      <c r="C2021" s="3" t="inlineStr">
        <is>
          <t xml:space="preserve">Saklar Tunggal </t>
        </is>
      </c>
      <c r="D2021" s="3" t="inlineStr">
        <is>
          <t xml:space="preserve">buah </t>
        </is>
      </c>
      <c r="E2021" s="4" t="n">
        <v>24000</v>
      </c>
    </row>
    <row r="2022">
      <c r="A2022" s="3" t="n">
        <v/>
      </c>
      <c r="B2022" s="3" t="n">
        <v/>
      </c>
      <c r="C2022" s="3" t="inlineStr">
        <is>
          <t xml:space="preserve">Saklar Ganda </t>
        </is>
      </c>
      <c r="D2022" s="3" t="inlineStr">
        <is>
          <t xml:space="preserve">Buah </t>
        </is>
      </c>
      <c r="E2022" s="4" t="n">
        <v>33000</v>
      </c>
    </row>
    <row r="2023">
      <c r="A2023" s="3" t="n">
        <v/>
      </c>
      <c r="B2023" s="3" t="n">
        <v/>
      </c>
      <c r="C2023" s="3" t="inlineStr">
        <is>
          <t xml:space="preserve">Saklar Triple </t>
        </is>
      </c>
      <c r="D2023" s="3" t="inlineStr">
        <is>
          <t xml:space="preserve">Buag </t>
        </is>
      </c>
      <c r="E2023" s="4" t="n">
        <v>76000</v>
      </c>
    </row>
    <row r="2024">
      <c r="A2024" s="3" t="n">
        <v/>
      </c>
      <c r="B2024" s="3" t="n">
        <v/>
      </c>
      <c r="C2024" s="3" t="inlineStr">
        <is>
          <t xml:space="preserve">Grid Switch </t>
        </is>
      </c>
      <c r="D2024" s="3" t="inlineStr">
        <is>
          <t xml:space="preserve">Buah </t>
        </is>
      </c>
      <c r="E2024" s="4" t="n">
        <v>108000</v>
      </c>
    </row>
    <row r="2025">
      <c r="A2025" s="3" t="n">
        <v/>
      </c>
      <c r="B2025" s="3" t="n">
        <v/>
      </c>
      <c r="C2025" s="3" t="inlineStr">
        <is>
          <t xml:space="preserve">Grid Switch 4 x 2 Gang </t>
        </is>
      </c>
      <c r="D2025" s="3" t="inlineStr">
        <is>
          <t xml:space="preserve">buah </t>
        </is>
      </c>
      <c r="E2025" s="4" t="n">
        <v>180000</v>
      </c>
    </row>
    <row r="2026">
      <c r="A2026" s="3" t="n">
        <v/>
      </c>
      <c r="B2026" s="3" t="n">
        <v/>
      </c>
      <c r="C2026" s="3" t="inlineStr">
        <is>
          <t xml:space="preserve">Stop Kontak </t>
        </is>
      </c>
      <c r="D2026" s="3" t="inlineStr">
        <is>
          <t xml:space="preserve">Buah </t>
        </is>
      </c>
      <c r="E2026" s="4" t="n">
        <v>70000</v>
      </c>
    </row>
    <row r="2027">
      <c r="A2027" s="3" t="n">
        <v/>
      </c>
      <c r="B2027" s="3" t="n">
        <v/>
      </c>
      <c r="C2027" s="3" t="inlineStr">
        <is>
          <t>Stop Kontak 1 P, 10 A, 200 W</t>
        </is>
      </c>
      <c r="D2027" s="3" t="inlineStr">
        <is>
          <t xml:space="preserve">Buah </t>
        </is>
      </c>
      <c r="E2027" s="4" t="n">
        <v>45000</v>
      </c>
    </row>
    <row r="2028">
      <c r="A2028" s="3" t="n">
        <v/>
      </c>
      <c r="B2028" s="3" t="n">
        <v/>
      </c>
      <c r="C2028" s="3" t="inlineStr">
        <is>
          <t>Stop Kontak 1 P, 10 A, 200 W + cover</t>
        </is>
      </c>
      <c r="D2028" s="3" t="inlineStr">
        <is>
          <t xml:space="preserve">Buah </t>
        </is>
      </c>
      <c r="E2028" s="4" t="n">
        <v>60000</v>
      </c>
    </row>
    <row r="2029">
      <c r="A2029" s="3" t="n">
        <v/>
      </c>
      <c r="B2029" s="3" t="n">
        <v/>
      </c>
      <c r="C2029" s="3" t="inlineStr">
        <is>
          <t>Stop Kontak 1 P, 16 A, 200 W</t>
        </is>
      </c>
      <c r="D2029" s="3" t="inlineStr">
        <is>
          <t xml:space="preserve">Buah </t>
        </is>
      </c>
      <c r="E2029" s="4" t="n">
        <v>65000</v>
      </c>
    </row>
    <row r="2030">
      <c r="A2030" s="3" t="n">
        <v/>
      </c>
      <c r="B2030" s="3" t="n">
        <v/>
      </c>
      <c r="C2030" s="3" t="inlineStr">
        <is>
          <t>Stop Kontak 1 P, 16 A, 200 W + cover</t>
        </is>
      </c>
      <c r="D2030" s="3" t="inlineStr">
        <is>
          <t xml:space="preserve">Buah </t>
        </is>
      </c>
      <c r="E2030" s="4" t="n">
        <v>80000</v>
      </c>
    </row>
    <row r="2031">
      <c r="A2031" s="3" t="n">
        <v/>
      </c>
      <c r="B2031" s="3" t="n">
        <v/>
      </c>
      <c r="C2031" s="3" t="inlineStr">
        <is>
          <t>Stop Kontak Hand Dryer 1 Ph 1.000 W dan aksesoris</t>
        </is>
      </c>
      <c r="D2031" s="3" t="inlineStr">
        <is>
          <t xml:space="preserve">Buah </t>
        </is>
      </c>
      <c r="E2031" s="4" t="n">
        <v>80000</v>
      </c>
    </row>
    <row r="2032">
      <c r="A2032" s="3" t="n">
        <v/>
      </c>
      <c r="B2032" s="3" t="n">
        <v/>
      </c>
      <c r="C2032" s="3" t="inlineStr">
        <is>
          <t>Stop Kontak AC</t>
        </is>
      </c>
      <c r="D2032" s="3" t="inlineStr">
        <is>
          <t xml:space="preserve">buah </t>
        </is>
      </c>
      <c r="E2032" s="4" t="n">
        <v>67900</v>
      </c>
    </row>
    <row r="2033">
      <c r="A2033" s="3" t="n">
        <v/>
      </c>
      <c r="B2033" s="3" t="n">
        <v/>
      </c>
      <c r="C2033" s="3" t="inlineStr">
        <is>
          <t>Stop Kontak Lantai</t>
        </is>
      </c>
      <c r="D2033" s="3" t="inlineStr">
        <is>
          <t xml:space="preserve">buah </t>
        </is>
      </c>
      <c r="E2033" s="4" t="n">
        <v>250000</v>
      </c>
    </row>
    <row r="2034">
      <c r="A2034" s="3" t="n">
        <v/>
      </c>
      <c r="B2034" s="3" t="n">
        <v/>
      </c>
      <c r="C2034" s="3" t="inlineStr">
        <is>
          <t xml:space="preserve">T Dus </t>
        </is>
      </c>
      <c r="D2034" s="3" t="inlineStr">
        <is>
          <t xml:space="preserve">buah </t>
        </is>
      </c>
      <c r="E2034" s="4" t="n">
        <v>4000</v>
      </c>
    </row>
    <row r="2035">
      <c r="A2035" s="3" t="n">
        <v/>
      </c>
      <c r="B2035" s="3" t="n">
        <v/>
      </c>
      <c r="C2035" s="3" t="inlineStr">
        <is>
          <t>Socket Conduit 20 mm</t>
        </is>
      </c>
      <c r="D2035" s="3" t="inlineStr">
        <is>
          <t xml:space="preserve">buah </t>
        </is>
      </c>
      <c r="E2035" s="4" t="n">
        <v>700</v>
      </c>
    </row>
    <row r="2036">
      <c r="A2036" s="3" t="n">
        <v/>
      </c>
      <c r="B2036" s="3" t="n">
        <v/>
      </c>
      <c r="C2036" s="3" t="inlineStr">
        <is>
          <t xml:space="preserve">Klem 20 mm </t>
        </is>
      </c>
      <c r="D2036" s="3" t="inlineStr">
        <is>
          <t xml:space="preserve">buah </t>
        </is>
      </c>
      <c r="E2036" s="4" t="n">
        <v>298</v>
      </c>
    </row>
    <row r="2037">
      <c r="A2037" s="3" t="n">
        <v/>
      </c>
      <c r="B2037" s="3" t="n">
        <v/>
      </c>
      <c r="C2037" s="3" t="inlineStr">
        <is>
          <t xml:space="preserve">Isolasi </t>
        </is>
      </c>
      <c r="D2037" s="3" t="inlineStr">
        <is>
          <t>m</t>
        </is>
      </c>
      <c r="E2037" s="4" t="n">
        <v>416</v>
      </c>
    </row>
    <row r="2038">
      <c r="A2038" s="3" t="n">
        <v/>
      </c>
      <c r="B2038" s="3" t="n">
        <v/>
      </c>
      <c r="C2038" s="3" t="inlineStr">
        <is>
          <t xml:space="preserve">lasdop </t>
        </is>
      </c>
      <c r="D2038" s="3" t="inlineStr">
        <is>
          <t xml:space="preserve">buah </t>
        </is>
      </c>
      <c r="E2038" s="4" t="n">
        <v>580</v>
      </c>
    </row>
    <row r="2039">
      <c r="A2039" s="3" t="n">
        <v/>
      </c>
      <c r="B2039" s="3" t="n">
        <v/>
      </c>
      <c r="C2039" s="3" t="inlineStr">
        <is>
          <t xml:space="preserve">Elbow </t>
        </is>
      </c>
      <c r="D2039" s="3" t="inlineStr">
        <is>
          <t xml:space="preserve">buah </t>
        </is>
      </c>
      <c r="E2039" s="4" t="n">
        <v>550</v>
      </c>
    </row>
    <row r="2040">
      <c r="A2040" s="3" t="n">
        <v/>
      </c>
      <c r="B2040" s="3" t="n">
        <v/>
      </c>
      <c r="C2040" s="3" t="inlineStr">
        <is>
          <t xml:space="preserve">Fischer S6 + Sekrup </t>
        </is>
      </c>
      <c r="D2040" s="3" t="inlineStr">
        <is>
          <t xml:space="preserve">buah </t>
        </is>
      </c>
      <c r="E2040" s="4" t="n">
        <v>21.5</v>
      </c>
    </row>
    <row r="2041">
      <c r="A2041" s="3" t="n">
        <v/>
      </c>
      <c r="B2041" s="3" t="n">
        <v/>
      </c>
      <c r="C2041" s="3" t="inlineStr">
        <is>
          <t xml:space="preserve">kWh meter Token 1 Phase </t>
        </is>
      </c>
      <c r="D2041" s="3" t="inlineStr">
        <is>
          <t xml:space="preserve">unit </t>
        </is>
      </c>
      <c r="E2041" s="4" t="n">
        <v>534000</v>
      </c>
    </row>
    <row r="2042">
      <c r="A2042" s="3" t="n">
        <v/>
      </c>
      <c r="B2042" s="3" t="n">
        <v/>
      </c>
      <c r="C2042" s="3" t="inlineStr">
        <is>
          <t xml:space="preserve">kWh meter Token 3 Phase </t>
        </is>
      </c>
      <c r="D2042" s="3" t="inlineStr">
        <is>
          <t xml:space="preserve">unit </t>
        </is>
      </c>
      <c r="E2042" s="4" t="n">
        <v>3150000</v>
      </c>
    </row>
    <row r="2043">
      <c r="A2043" s="3" t="n">
        <v/>
      </c>
      <c r="B2043" s="3" t="n">
        <v/>
      </c>
      <c r="C2043" s="3" t="inlineStr">
        <is>
          <t xml:space="preserve">Software sistem kwh meter swakelola prabayar </t>
        </is>
      </c>
      <c r="D2043" s="3" t="inlineStr">
        <is>
          <t xml:space="preserve">buah </t>
        </is>
      </c>
      <c r="E2043" s="4" t="n">
        <v>2000000</v>
      </c>
    </row>
    <row r="2044">
      <c r="A2044" s="3" t="n">
        <v/>
      </c>
      <c r="B2044" s="3" t="n">
        <v/>
      </c>
      <c r="C2044" s="3" t="inlineStr">
        <is>
          <t xml:space="preserve">PC Server </t>
        </is>
      </c>
      <c r="D2044" s="3" t="inlineStr">
        <is>
          <t xml:space="preserve">buah </t>
        </is>
      </c>
      <c r="E2044" s="4" t="n">
        <v>33900000</v>
      </c>
    </row>
    <row r="2045">
      <c r="A2045" s="3" t="n">
        <v/>
      </c>
      <c r="B2045" s="3" t="n">
        <v/>
      </c>
      <c r="C2045" s="3" t="inlineStr">
        <is>
          <t>Panel Utama Tegangan Menengah</t>
        </is>
      </c>
      <c r="D2045" s="3" t="inlineStr">
        <is>
          <t xml:space="preserve">unit </t>
        </is>
      </c>
      <c r="E2045" s="4" t="n">
        <v>3100000</v>
      </c>
    </row>
    <row r="2046">
      <c r="A2046" s="3" t="n">
        <v/>
      </c>
      <c r="B2046" s="3" t="n">
        <v/>
      </c>
      <c r="C2046" s="3" t="inlineStr">
        <is>
          <t>Panel Utama Tegangan Rendah</t>
        </is>
      </c>
      <c r="D2046" s="3" t="inlineStr">
        <is>
          <t xml:space="preserve">unit </t>
        </is>
      </c>
      <c r="E2046" s="4" t="n">
        <v>1500000</v>
      </c>
    </row>
    <row r="2047">
      <c r="A2047" s="3" t="n">
        <v/>
      </c>
      <c r="B2047" s="3" t="n">
        <v/>
      </c>
      <c r="C2047" s="3" t="inlineStr">
        <is>
          <t>MDP Floor Standing</t>
        </is>
      </c>
      <c r="D2047" s="3" t="inlineStr">
        <is>
          <t xml:space="preserve">unit </t>
        </is>
      </c>
      <c r="E2047" s="4" t="n">
        <v>4500000</v>
      </c>
    </row>
    <row r="2048">
      <c r="A2048" s="3" t="n">
        <v/>
      </c>
      <c r="B2048" s="3" t="n">
        <v/>
      </c>
      <c r="C2048" s="3" t="inlineStr">
        <is>
          <t xml:space="preserve">MDP Wall Mounted </t>
        </is>
      </c>
      <c r="D2048" s="3" t="inlineStr">
        <is>
          <t xml:space="preserve">Unit </t>
        </is>
      </c>
      <c r="E2048" s="4" t="n">
        <v>4900000</v>
      </c>
    </row>
    <row r="2049">
      <c r="A2049" s="3" t="n">
        <v/>
      </c>
      <c r="B2049" s="3" t="n">
        <v/>
      </c>
      <c r="C2049" s="3" t="inlineStr">
        <is>
          <t xml:space="preserve">SDP Floor Standing </t>
        </is>
      </c>
      <c r="D2049" s="3" t="inlineStr">
        <is>
          <t>unit</t>
        </is>
      </c>
      <c r="E2049" s="4" t="n">
        <v>3500000</v>
      </c>
    </row>
    <row r="2050">
      <c r="A2050" s="3" t="n">
        <v/>
      </c>
      <c r="B2050" s="3" t="n">
        <v/>
      </c>
      <c r="C2050" s="3" t="inlineStr">
        <is>
          <t xml:space="preserve">SDP Wall  Mounted </t>
        </is>
      </c>
      <c r="D2050" s="3" t="inlineStr">
        <is>
          <t>unit</t>
        </is>
      </c>
      <c r="E2050" s="4" t="n">
        <v>3300000</v>
      </c>
    </row>
    <row r="2051">
      <c r="A2051" s="3" t="n">
        <v/>
      </c>
      <c r="B2051" s="3" t="n">
        <v/>
      </c>
      <c r="C2051" s="3" t="inlineStr">
        <is>
          <t>Panel Lantai Wall Mounted 800x600x200</t>
        </is>
      </c>
      <c r="D2051" s="3" t="inlineStr">
        <is>
          <t xml:space="preserve">Unit </t>
        </is>
      </c>
      <c r="E2051" s="4" t="n">
        <v>3200000</v>
      </c>
    </row>
    <row r="2052">
      <c r="A2052" s="3" t="n">
        <v/>
      </c>
      <c r="B2052" s="3" t="n">
        <v/>
      </c>
      <c r="C2052" s="3" t="inlineStr">
        <is>
          <t>Panel Lantai Wall Mounted 600x 400 x200</t>
        </is>
      </c>
      <c r="D2052" s="3" t="inlineStr">
        <is>
          <t>unit</t>
        </is>
      </c>
      <c r="E2052" s="4" t="n">
        <v>3000000</v>
      </c>
    </row>
    <row r="2053">
      <c r="A2053" s="3" t="n">
        <v/>
      </c>
      <c r="B2053" s="3" t="n">
        <v/>
      </c>
      <c r="C2053" s="3" t="inlineStr">
        <is>
          <t xml:space="preserve">Panel kWh Meter </t>
        </is>
      </c>
      <c r="D2053" s="3" t="inlineStr">
        <is>
          <t>unit</t>
        </is>
      </c>
      <c r="E2053" s="4" t="n">
        <v>2500000</v>
      </c>
    </row>
    <row r="2054">
      <c r="A2054" s="3" t="n">
        <v/>
      </c>
      <c r="B2054" s="3" t="n">
        <v/>
      </c>
      <c r="C2054" s="3" t="inlineStr">
        <is>
          <t xml:space="preserve">Panel Penerang Luar Outdoor termasuk material batu </t>
        </is>
      </c>
      <c r="D2054" s="3" t="inlineStr">
        <is>
          <t>Unit</t>
        </is>
      </c>
      <c r="E2054" s="4" t="n">
        <v>3500000</v>
      </c>
    </row>
    <row r="2055">
      <c r="A2055" s="3" t="n">
        <v/>
      </c>
      <c r="B2055" s="3" t="n">
        <v/>
      </c>
      <c r="C2055" s="3" t="inlineStr">
        <is>
          <t>Panel Kontrol Pompa</t>
        </is>
      </c>
      <c r="D2055" s="3" t="inlineStr">
        <is>
          <t>unit</t>
        </is>
      </c>
      <c r="E2055" s="4" t="n">
        <v>5500000</v>
      </c>
    </row>
    <row r="2056">
      <c r="A2056" s="3" t="n">
        <v/>
      </c>
      <c r="B2056" s="3" t="n">
        <v/>
      </c>
      <c r="C2056" s="3" t="inlineStr">
        <is>
          <t>Panel Power Gondola termasuk material bantu</t>
        </is>
      </c>
      <c r="D2056" s="3" t="inlineStr">
        <is>
          <t xml:space="preserve">unit </t>
        </is>
      </c>
      <c r="E2056" s="4" t="n">
        <v>5700000</v>
      </c>
    </row>
    <row r="2057">
      <c r="A2057" s="3" t="n">
        <v/>
      </c>
      <c r="B2057" s="3" t="n">
        <v/>
      </c>
      <c r="C2057" s="3" t="inlineStr">
        <is>
          <t>Panel Power Elektronik termasuk material bantu</t>
        </is>
      </c>
      <c r="D2057" s="3" t="inlineStr">
        <is>
          <t>unit</t>
        </is>
      </c>
      <c r="E2057" s="4" t="n">
        <v>3500000</v>
      </c>
    </row>
    <row r="2058">
      <c r="A2058" s="3" t="n">
        <v/>
      </c>
      <c r="B2058" s="3" t="n">
        <v/>
      </c>
      <c r="C2058" s="3" t="inlineStr">
        <is>
          <t xml:space="preserve">Panel Power AHU termasuk material bantu </t>
        </is>
      </c>
      <c r="D2058" s="3" t="inlineStr">
        <is>
          <t xml:space="preserve">unit </t>
        </is>
      </c>
      <c r="E2058" s="4" t="n">
        <v>4900000</v>
      </c>
    </row>
    <row r="2059">
      <c r="A2059" s="3" t="n">
        <v/>
      </c>
      <c r="B2059" s="3" t="n">
        <v/>
      </c>
      <c r="C2059" s="3" t="inlineStr">
        <is>
          <t xml:space="preserve">Panel Power AC termasuk material bantu </t>
        </is>
      </c>
      <c r="D2059" s="3" t="inlineStr">
        <is>
          <t xml:space="preserve">unit </t>
        </is>
      </c>
      <c r="E2059" s="4" t="n">
        <v>1700000</v>
      </c>
    </row>
    <row r="2060">
      <c r="A2060" s="3" t="n">
        <v/>
      </c>
      <c r="B2060" s="3" t="n">
        <v/>
      </c>
      <c r="C2060" s="3" t="inlineStr">
        <is>
          <t xml:space="preserve">Panel Power Chiller termasuk material bantu </t>
        </is>
      </c>
      <c r="D2060" s="3" t="inlineStr">
        <is>
          <t xml:space="preserve">unit </t>
        </is>
      </c>
      <c r="E2060" s="4" t="n">
        <v>2300000</v>
      </c>
    </row>
    <row r="2061">
      <c r="A2061" s="3" t="n">
        <v/>
      </c>
      <c r="B2061" s="3" t="n">
        <v/>
      </c>
      <c r="C2061" s="3" t="inlineStr">
        <is>
          <t>Panel Kontrol Power Chiller termasuk material bantu</t>
        </is>
      </c>
      <c r="D2061" s="3" t="inlineStr">
        <is>
          <t xml:space="preserve">unit </t>
        </is>
      </c>
      <c r="E2061" s="4" t="n">
        <v>2500000</v>
      </c>
    </row>
    <row r="2062">
      <c r="A2062" s="3" t="n">
        <v/>
      </c>
      <c r="B2062" s="3" t="n">
        <v/>
      </c>
      <c r="C2062" s="3" t="inlineStr">
        <is>
          <t xml:space="preserve">Panel Kontrol Power Cooling Tower termasuk material bantu </t>
        </is>
      </c>
      <c r="D2062" s="3" t="inlineStr">
        <is>
          <t xml:space="preserve">unit </t>
        </is>
      </c>
      <c r="E2062" s="4" t="n">
        <v>1900000</v>
      </c>
    </row>
    <row r="2063">
      <c r="A2063" s="3" t="n">
        <v/>
      </c>
      <c r="B2063" s="3" t="n">
        <v/>
      </c>
      <c r="C2063" s="3" t="inlineStr">
        <is>
          <t>Panel Kontrol Fan Presurisasi termasuk material bantu</t>
        </is>
      </c>
      <c r="D2063" s="3" t="inlineStr">
        <is>
          <t xml:space="preserve">unit </t>
        </is>
      </c>
      <c r="E2063" s="4" t="n">
        <v>2100000</v>
      </c>
    </row>
    <row r="2064">
      <c r="A2064" s="3" t="n">
        <v/>
      </c>
      <c r="B2064" s="3" t="n">
        <v/>
      </c>
      <c r="C2064" s="3" t="inlineStr">
        <is>
          <t xml:space="preserve">MCB Box </t>
        </is>
      </c>
      <c r="D2064" s="3" t="inlineStr">
        <is>
          <t xml:space="preserve">unit </t>
        </is>
      </c>
      <c r="E2064" s="4" t="n">
        <v>450000</v>
      </c>
    </row>
    <row r="2065">
      <c r="A2065" s="3" t="n">
        <v/>
      </c>
      <c r="B2065" s="3" t="n">
        <v/>
      </c>
      <c r="C2065" s="3" t="inlineStr">
        <is>
          <t xml:space="preserve">Genset Kap : 35kVA Silent Type dan aksesoris </t>
        </is>
      </c>
      <c r="D2065" s="3" t="inlineStr">
        <is>
          <t>unit</t>
        </is>
      </c>
      <c r="E2065" s="4" t="n">
        <v>175000000</v>
      </c>
    </row>
    <row r="2066">
      <c r="A2066" s="3" t="n">
        <v/>
      </c>
      <c r="B2066" s="3" t="n">
        <v/>
      </c>
      <c r="C2066" s="3" t="inlineStr">
        <is>
          <t xml:space="preserve">Genset Kap : 75kVA Silent Type dan aksesoris </t>
        </is>
      </c>
      <c r="D2066" s="3" t="inlineStr">
        <is>
          <t>unit</t>
        </is>
      </c>
      <c r="E2066" s="4" t="n">
        <v>275000000</v>
      </c>
    </row>
    <row r="2067">
      <c r="A2067" s="3" t="n">
        <v/>
      </c>
      <c r="B2067" s="3" t="n">
        <v/>
      </c>
      <c r="C2067" s="3" t="inlineStr">
        <is>
          <t xml:space="preserve">Genset Kap : 100 kVA Silent Type dan aksesoris </t>
        </is>
      </c>
      <c r="D2067" s="3" t="inlineStr">
        <is>
          <t xml:space="preserve">unit </t>
        </is>
      </c>
      <c r="E2067" s="4" t="n">
        <v>379000000</v>
      </c>
    </row>
    <row r="2068">
      <c r="A2068" s="3" t="n">
        <v/>
      </c>
      <c r="B2068" s="3" t="n">
        <v/>
      </c>
      <c r="C2068" s="3" t="inlineStr">
        <is>
          <t xml:space="preserve">Genset Kap : 400 kVA Silent Type dan aksesoris </t>
        </is>
      </c>
      <c r="D2068" s="3" t="inlineStr">
        <is>
          <t xml:space="preserve">unit </t>
        </is>
      </c>
      <c r="E2068" s="4" t="n">
        <v>485000000</v>
      </c>
    </row>
    <row r="2069">
      <c r="A2069" s="3" t="n">
        <v/>
      </c>
      <c r="B2069" s="3" t="n">
        <v/>
      </c>
      <c r="C2069" s="3" t="inlineStr">
        <is>
          <t xml:space="preserve">Genset Kap : 700 kVA Silent Type dan aksesoris </t>
        </is>
      </c>
      <c r="D2069" s="3" t="inlineStr">
        <is>
          <t xml:space="preserve">unit </t>
        </is>
      </c>
      <c r="E2069" s="4" t="n">
        <v>1785000000</v>
      </c>
    </row>
    <row r="2070">
      <c r="A2070" s="3" t="n">
        <v/>
      </c>
      <c r="B2070" s="3" t="n">
        <v/>
      </c>
      <c r="C2070" s="3" t="inlineStr">
        <is>
          <t xml:space="preserve">Genset Kap : 1000 kVA Silent Type dan aksesoris </t>
        </is>
      </c>
      <c r="D2070" s="3" t="inlineStr">
        <is>
          <t xml:space="preserve">unit </t>
        </is>
      </c>
      <c r="E2070" s="4" t="n">
        <v>2000000000</v>
      </c>
    </row>
    <row r="2071">
      <c r="A2071" s="3" t="n">
        <v/>
      </c>
      <c r="B2071" s="3" t="n">
        <v/>
      </c>
      <c r="C2071" s="3" t="inlineStr">
        <is>
          <t xml:space="preserve">UPS 5 KVA </t>
        </is>
      </c>
      <c r="D2071" s="3" t="inlineStr">
        <is>
          <t xml:space="preserve">unit </t>
        </is>
      </c>
      <c r="E2071" s="4" t="n">
        <v>18000000</v>
      </c>
    </row>
    <row r="2072">
      <c r="A2072" s="3" t="n">
        <v/>
      </c>
      <c r="B2072" s="3" t="n">
        <v/>
      </c>
      <c r="C2072" s="3" t="inlineStr">
        <is>
          <t xml:space="preserve">Tangki Solar Harian 500 liter </t>
        </is>
      </c>
      <c r="D2072" s="3" t="inlineStr">
        <is>
          <t xml:space="preserve">unit </t>
        </is>
      </c>
      <c r="E2072" s="4" t="n">
        <v>4000000</v>
      </c>
    </row>
    <row r="2073">
      <c r="A2073" s="3" t="n">
        <v/>
      </c>
      <c r="B2073" s="3" t="n">
        <v/>
      </c>
      <c r="C2073" s="3" t="inlineStr">
        <is>
          <t>Hand Pump Solar
dan aksesoris</t>
        </is>
      </c>
      <c r="D2073" s="3" t="inlineStr">
        <is>
          <t xml:space="preserve">Buah </t>
        </is>
      </c>
      <c r="E2073" s="4" t="n">
        <v>4000000</v>
      </c>
    </row>
    <row r="2074">
      <c r="A2074" s="3" t="n">
        <v/>
      </c>
      <c r="B2074" s="3" t="n">
        <v/>
      </c>
      <c r="C2074" s="3" t="inlineStr">
        <is>
          <t>Trafo Kap : 630 Kva : Synthetic Oil Ester</t>
        </is>
      </c>
      <c r="D2074" s="3" t="inlineStr">
        <is>
          <t>unit</t>
        </is>
      </c>
      <c r="E2074" s="4" t="n">
        <v>250000000</v>
      </c>
    </row>
    <row r="2075">
      <c r="A2075" s="3" t="n">
        <v/>
      </c>
      <c r="B2075" s="3" t="n">
        <v/>
      </c>
      <c r="C2075" s="3" t="inlineStr">
        <is>
          <t>Trafo Kap : 1.250 Kva : Synthetic Oil Ester</t>
        </is>
      </c>
      <c r="D2075" s="3" t="inlineStr">
        <is>
          <t>unit</t>
        </is>
      </c>
      <c r="E2075" s="4" t="n">
        <v>500000000</v>
      </c>
    </row>
    <row r="2076">
      <c r="A2076" s="3" t="n">
        <v/>
      </c>
      <c r="B2076" s="3" t="n">
        <v/>
      </c>
      <c r="C2076" s="3" t="inlineStr">
        <is>
          <t>Downlight 5 Inch 14, 5 Watt LED + Aksesoris</t>
        </is>
      </c>
      <c r="D2076" s="3" t="inlineStr">
        <is>
          <t xml:space="preserve">buah </t>
        </is>
      </c>
      <c r="E2076" s="4" t="n">
        <v>82000</v>
      </c>
    </row>
    <row r="2077">
      <c r="A2077" s="3" t="n">
        <v/>
      </c>
      <c r="B2077" s="3" t="n">
        <v/>
      </c>
      <c r="C2077" s="3" t="inlineStr">
        <is>
          <t>Downlight LED-E27 9W 3000K (Recessed)</t>
        </is>
      </c>
      <c r="D2077" s="3" t="inlineStr">
        <is>
          <t xml:space="preserve">buah </t>
        </is>
      </c>
      <c r="E2077" s="4" t="n">
        <v>95000</v>
      </c>
    </row>
    <row r="2078">
      <c r="A2078" s="3" t="n">
        <v/>
      </c>
      <c r="B2078" s="3" t="n">
        <v/>
      </c>
      <c r="C2078" s="3" t="inlineStr">
        <is>
          <t>Downlight LED-E27 9W 4000K (Recessed)</t>
        </is>
      </c>
      <c r="D2078" s="3" t="inlineStr">
        <is>
          <t xml:space="preserve">buah </t>
        </is>
      </c>
      <c r="E2078" s="4" t="n">
        <v>110000</v>
      </c>
    </row>
    <row r="2079">
      <c r="A2079" s="3" t="n">
        <v/>
      </c>
      <c r="B2079" s="3" t="n">
        <v/>
      </c>
      <c r="C2079" s="3" t="inlineStr">
        <is>
          <t>Downlight LED-E27 9W 4000K (Recessed) + Battery</t>
        </is>
      </c>
      <c r="D2079" s="3" t="inlineStr">
        <is>
          <t xml:space="preserve">buah </t>
        </is>
      </c>
      <c r="E2079" s="4" t="n">
        <v>160000</v>
      </c>
    </row>
    <row r="2080">
      <c r="A2080" s="3" t="n">
        <v/>
      </c>
      <c r="B2080" s="3" t="n">
        <v/>
      </c>
      <c r="C2080" s="3" t="inlineStr">
        <is>
          <t>Downlight LED 9 Watt</t>
        </is>
      </c>
      <c r="D2080" s="3" t="inlineStr">
        <is>
          <t xml:space="preserve">buah </t>
        </is>
      </c>
      <c r="E2080" s="4" t="n">
        <v>50000</v>
      </c>
    </row>
    <row r="2081">
      <c r="A2081" s="3" t="n">
        <v/>
      </c>
      <c r="B2081" s="3" t="n">
        <v/>
      </c>
      <c r="C2081" s="3" t="inlineStr">
        <is>
          <t>Downlight LED 17 Watt</t>
        </is>
      </c>
      <c r="D2081" s="3" t="inlineStr">
        <is>
          <t xml:space="preserve">buah </t>
        </is>
      </c>
      <c r="E2081" s="4" t="n">
        <v>70000</v>
      </c>
    </row>
    <row r="2082">
      <c r="A2082" s="3" t="n">
        <v/>
      </c>
      <c r="B2082" s="3" t="n">
        <v/>
      </c>
      <c r="C2082" s="3" t="inlineStr">
        <is>
          <t>Downlight LED 24 Watt</t>
        </is>
      </c>
      <c r="D2082" s="3" t="inlineStr">
        <is>
          <t xml:space="preserve">buah </t>
        </is>
      </c>
      <c r="E2082" s="4" t="n">
        <v>90000</v>
      </c>
    </row>
    <row r="2083">
      <c r="A2083" s="3" t="n">
        <v/>
      </c>
      <c r="B2083" s="3" t="n">
        <v/>
      </c>
      <c r="C2083" s="3" t="inlineStr">
        <is>
          <t>Downlight 5 Inch 12 Watt LED</t>
        </is>
      </c>
      <c r="D2083" s="3" t="inlineStr">
        <is>
          <t xml:space="preserve">buah </t>
        </is>
      </c>
      <c r="E2083" s="4" t="n">
        <v>65000</v>
      </c>
    </row>
    <row r="2084">
      <c r="A2084" s="3" t="n">
        <v/>
      </c>
      <c r="B2084" s="3" t="n">
        <v/>
      </c>
      <c r="C2084" s="3" t="inlineStr">
        <is>
          <t>Downlight 13 Watt</t>
        </is>
      </c>
      <c r="D2084" s="3" t="inlineStr">
        <is>
          <t xml:space="preserve">buah </t>
        </is>
      </c>
      <c r="E2084" s="4" t="n">
        <v>35000</v>
      </c>
    </row>
    <row r="2085">
      <c r="A2085" s="3" t="n">
        <v/>
      </c>
      <c r="B2085" s="3" t="n">
        <v/>
      </c>
      <c r="C2085" s="3" t="inlineStr">
        <is>
          <t>Downlight Outbow LED 9W 4000K</t>
        </is>
      </c>
      <c r="D2085" s="3" t="inlineStr">
        <is>
          <t xml:space="preserve">buah </t>
        </is>
      </c>
      <c r="E2085" s="4" t="n">
        <v>130000</v>
      </c>
    </row>
    <row r="2086">
      <c r="A2086" s="3" t="n">
        <v/>
      </c>
      <c r="B2086" s="3" t="n">
        <v/>
      </c>
      <c r="C2086" s="3" t="inlineStr">
        <is>
          <t>Lampu Baret 32 Watt termasuk fitting + Battery</t>
        </is>
      </c>
      <c r="D2086" s="3" t="inlineStr">
        <is>
          <t xml:space="preserve">buah </t>
        </is>
      </c>
      <c r="E2086" s="4" t="n">
        <v>230000</v>
      </c>
    </row>
    <row r="2087">
      <c r="A2087" s="3" t="n">
        <v/>
      </c>
      <c r="B2087" s="3" t="n">
        <v/>
      </c>
      <c r="C2087" s="3" t="inlineStr">
        <is>
          <t>Spotlight LED-E27 20W 4000K</t>
        </is>
      </c>
      <c r="D2087" s="3" t="inlineStr">
        <is>
          <t xml:space="preserve">buah </t>
        </is>
      </c>
      <c r="E2087" s="4" t="n">
        <v>150000</v>
      </c>
    </row>
    <row r="2088">
      <c r="A2088" s="3" t="n">
        <v/>
      </c>
      <c r="B2088" s="3" t="n">
        <v/>
      </c>
      <c r="C2088" s="3" t="inlineStr">
        <is>
          <t>Lampu Bollard LED 20 Watt</t>
        </is>
      </c>
      <c r="D2088" s="3" t="inlineStr">
        <is>
          <t xml:space="preserve">buah </t>
        </is>
      </c>
      <c r="E2088" s="4" t="n">
        <v>140000</v>
      </c>
    </row>
    <row r="2089">
      <c r="A2089" s="3" t="n">
        <v/>
      </c>
      <c r="B2089" s="3" t="n">
        <v/>
      </c>
      <c r="C2089" s="3" t="inlineStr">
        <is>
          <t>LED Panel 36 Watt Uk 30 x 120 cm</t>
        </is>
      </c>
      <c r="D2089" s="3" t="inlineStr">
        <is>
          <t xml:space="preserve">buah </t>
        </is>
      </c>
      <c r="E2089" s="4" t="n">
        <v>275000</v>
      </c>
    </row>
    <row r="2090">
      <c r="A2090" s="3" t="n">
        <v/>
      </c>
      <c r="B2090" s="3" t="n">
        <v/>
      </c>
      <c r="C2090" s="3" t="inlineStr">
        <is>
          <t>Downlight LED panel dia. 150 mm 15 Watt</t>
        </is>
      </c>
      <c r="D2090" s="3" t="inlineStr">
        <is>
          <t xml:space="preserve">buah </t>
        </is>
      </c>
      <c r="E2090" s="4" t="n">
        <v>200000</v>
      </c>
    </row>
    <row r="2091">
      <c r="A2091" s="3" t="n">
        <v/>
      </c>
      <c r="B2091" s="3" t="n">
        <v/>
      </c>
      <c r="C2091" s="3" t="inlineStr">
        <is>
          <t>LED Slim panel dia. 127 mm 10 Watt</t>
        </is>
      </c>
      <c r="D2091" s="3" t="inlineStr">
        <is>
          <t xml:space="preserve">buah </t>
        </is>
      </c>
      <c r="E2091" s="4" t="n">
        <v>250000</v>
      </c>
    </row>
    <row r="2092">
      <c r="A2092" s="3" t="n">
        <v/>
      </c>
      <c r="B2092" s="3" t="n">
        <v/>
      </c>
      <c r="C2092" s="3" t="inlineStr">
        <is>
          <t>Lampu Sorot Washlight LED 3 Watt</t>
        </is>
      </c>
      <c r="D2092" s="3" t="inlineStr">
        <is>
          <t xml:space="preserve">buah </t>
        </is>
      </c>
      <c r="E2092" s="4" t="n">
        <v>70000</v>
      </c>
    </row>
    <row r="2093">
      <c r="A2093" s="3" t="n">
        <v/>
      </c>
      <c r="B2093" s="3" t="n">
        <v/>
      </c>
      <c r="C2093" s="3" t="inlineStr">
        <is>
          <t>Lampu Sorot LED 50 Watt</t>
        </is>
      </c>
      <c r="D2093" s="3" t="inlineStr">
        <is>
          <t xml:space="preserve">buah </t>
        </is>
      </c>
      <c r="E2093" s="4" t="n">
        <v>150000</v>
      </c>
    </row>
    <row r="2094">
      <c r="A2094" s="3" t="n">
        <v/>
      </c>
      <c r="B2094" s="3" t="n">
        <v/>
      </c>
      <c r="C2094" s="3" t="inlineStr">
        <is>
          <t>Lampu Sorot LED 9 Watt</t>
        </is>
      </c>
      <c r="D2094" s="3" t="inlineStr">
        <is>
          <t xml:space="preserve">buah </t>
        </is>
      </c>
      <c r="E2094" s="4" t="n">
        <v>50000</v>
      </c>
    </row>
    <row r="2095">
      <c r="A2095" s="3" t="n">
        <v/>
      </c>
      <c r="B2095" s="3" t="n">
        <v/>
      </c>
      <c r="C2095" s="3" t="inlineStr">
        <is>
          <t>Lampu TLED 1x18W 4000K</t>
        </is>
      </c>
      <c r="D2095" s="3" t="inlineStr">
        <is>
          <t xml:space="preserve">buah </t>
        </is>
      </c>
      <c r="E2095" s="4" t="n">
        <v>75000</v>
      </c>
    </row>
    <row r="2096">
      <c r="A2096" s="3" t="n">
        <v/>
      </c>
      <c r="B2096" s="3" t="n">
        <v/>
      </c>
      <c r="C2096" s="3" t="inlineStr">
        <is>
          <t>Lampu TLED 2x18W</t>
        </is>
      </c>
      <c r="D2096" s="3" t="inlineStr">
        <is>
          <t xml:space="preserve">buah </t>
        </is>
      </c>
      <c r="E2096" s="4" t="n">
        <v>140000</v>
      </c>
    </row>
    <row r="2097">
      <c r="A2097" s="3" t="n">
        <v/>
      </c>
      <c r="B2097" s="3" t="n">
        <v/>
      </c>
      <c r="C2097" s="3" t="inlineStr">
        <is>
          <t>Lampu Taman LED 50 watt + Tiang 3,8 m (single pool)</t>
        </is>
      </c>
      <c r="D2097" s="3" t="inlineStr">
        <is>
          <t xml:space="preserve">buah </t>
        </is>
      </c>
      <c r="E2097" s="4" t="n">
        <v>3000000</v>
      </c>
    </row>
    <row r="2098">
      <c r="A2098" s="3" t="n">
        <v/>
      </c>
      <c r="B2098" s="3" t="n">
        <v/>
      </c>
      <c r="C2098" s="3" t="inlineStr">
        <is>
          <t>Lampu Taman LED 18 watt + Tiang 3 m (single pool)</t>
        </is>
      </c>
      <c r="D2098" s="3" t="inlineStr">
        <is>
          <t xml:space="preserve">buah </t>
        </is>
      </c>
      <c r="E2098" s="4" t="n">
        <v>1700000</v>
      </c>
    </row>
    <row r="2099">
      <c r="A2099" s="3" t="n">
        <v/>
      </c>
      <c r="B2099" s="3" t="n">
        <v/>
      </c>
      <c r="C2099" s="3" t="inlineStr">
        <is>
          <t>Lampu Baret 20 Watt termasuk fitting</t>
        </is>
      </c>
      <c r="D2099" s="3" t="inlineStr">
        <is>
          <t xml:space="preserve">buah </t>
        </is>
      </c>
      <c r="E2099" s="4" t="n">
        <v>150000</v>
      </c>
    </row>
    <row r="2100">
      <c r="A2100" s="3" t="n">
        <v/>
      </c>
      <c r="B2100" s="3" t="n">
        <v/>
      </c>
      <c r="C2100" s="3" t="inlineStr">
        <is>
          <t>Lampu Baret 32 Watt termasuk fitting</t>
        </is>
      </c>
      <c r="D2100" s="3" t="inlineStr">
        <is>
          <t xml:space="preserve">buah </t>
        </is>
      </c>
      <c r="E2100" s="4" t="n">
        <v>230000</v>
      </c>
    </row>
    <row r="2101">
      <c r="A2101" s="3" t="n">
        <v/>
      </c>
      <c r="B2101" s="3" t="n">
        <v/>
      </c>
      <c r="C2101" s="3" t="inlineStr">
        <is>
          <t>Lampu PJU dan aksesoris</t>
        </is>
      </c>
      <c r="D2101" s="3" t="inlineStr">
        <is>
          <t xml:space="preserve">buah </t>
        </is>
      </c>
      <c r="E2101" s="4" t="n">
        <v>300000</v>
      </c>
    </row>
    <row r="2102">
      <c r="A2102" s="3" t="n">
        <v/>
      </c>
      <c r="B2102" s="3" t="n">
        <v/>
      </c>
      <c r="C2102" s="3" t="inlineStr">
        <is>
          <t>Tiang PJU Octagonal Single Ornament + pondasi</t>
        </is>
      </c>
      <c r="D2102" s="3" t="inlineStr">
        <is>
          <t xml:space="preserve">buah </t>
        </is>
      </c>
      <c r="E2102" s="4" t="n">
        <v>3500000</v>
      </c>
    </row>
    <row r="2103">
      <c r="A2103" s="3" t="n">
        <v/>
      </c>
      <c r="B2103" s="3" t="n">
        <v/>
      </c>
      <c r="C2103" s="3" t="inlineStr">
        <is>
          <t>Tiang PJU Octagonal Double Ornament + pondasi</t>
        </is>
      </c>
      <c r="D2103" s="3" t="inlineStr">
        <is>
          <t xml:space="preserve">buah </t>
        </is>
      </c>
      <c r="E2103" s="4" t="n">
        <v>7500000</v>
      </c>
    </row>
    <row r="2104">
      <c r="A2104" s="3" t="n">
        <v/>
      </c>
      <c r="B2104" s="3" t="n">
        <v/>
      </c>
      <c r="C2104" s="3" t="inlineStr">
        <is>
          <t>Lampu Outdoor Bollard H400xW110 10W 4000K, IP65 + Tiang 1m</t>
        </is>
      </c>
      <c r="D2104" s="3" t="inlineStr">
        <is>
          <t>buah</t>
        </is>
      </c>
      <c r="E2104" s="4" t="n">
        <v>1700000</v>
      </c>
    </row>
    <row r="2105">
      <c r="A2105" s="3" t="n">
        <v/>
      </c>
      <c r="B2105" s="3" t="n">
        <v/>
      </c>
      <c r="C2105" s="3" t="inlineStr">
        <is>
          <t xml:space="preserve">Lampu LED E27 10 watt + Aksesoris </t>
        </is>
      </c>
      <c r="D2105" s="3" t="inlineStr">
        <is>
          <t xml:space="preserve">buah </t>
        </is>
      </c>
      <c r="E2105" s="4" t="n">
        <v>22000</v>
      </c>
    </row>
    <row r="2106">
      <c r="A2106" s="3" t="n">
        <v/>
      </c>
      <c r="B2106" s="3" t="n">
        <v/>
      </c>
      <c r="C2106" s="3" t="inlineStr">
        <is>
          <t xml:space="preserve">Fitting E27 + Aksesoris </t>
        </is>
      </c>
      <c r="D2106" s="3" t="inlineStr">
        <is>
          <t xml:space="preserve">buah </t>
        </is>
      </c>
      <c r="E2106" s="4" t="n">
        <v>5200</v>
      </c>
    </row>
    <row r="2107">
      <c r="A2107" s="3" t="n">
        <v/>
      </c>
      <c r="B2107" s="3" t="n">
        <v/>
      </c>
      <c r="C2107" s="3" t="inlineStr">
        <is>
          <t xml:space="preserve">Nicad Battery </t>
        </is>
      </c>
      <c r="D2107" s="3" t="inlineStr">
        <is>
          <t>buah</t>
        </is>
      </c>
      <c r="E2107" s="4" t="n">
        <v>110000</v>
      </c>
    </row>
    <row r="2108">
      <c r="A2108" s="3" t="n">
        <v/>
      </c>
      <c r="B2108" s="3" t="n">
        <v/>
      </c>
      <c r="C2108" s="3" t="inlineStr">
        <is>
          <t>Lampu LED E27 19 watt</t>
        </is>
      </c>
      <c r="D2108" s="3" t="inlineStr">
        <is>
          <t xml:space="preserve">buah </t>
        </is>
      </c>
      <c r="E2108" s="4" t="n">
        <v>70500</v>
      </c>
    </row>
    <row r="2109">
      <c r="A2109" s="3" t="n">
        <v/>
      </c>
      <c r="B2109" s="3" t="n">
        <v/>
      </c>
      <c r="C2109" s="3" t="inlineStr">
        <is>
          <t>RM TKI 2 x 16 Watt LED</t>
        </is>
      </c>
      <c r="D2109" s="3" t="inlineStr">
        <is>
          <t>unit</t>
        </is>
      </c>
      <c r="E2109" s="4" t="n">
        <v>265000</v>
      </c>
    </row>
    <row r="2110">
      <c r="A2110" s="3" t="n">
        <v/>
      </c>
      <c r="B2110" s="3" t="n">
        <v/>
      </c>
      <c r="C2110" s="3" t="inlineStr">
        <is>
          <t>Lampu Sorot LED 100 Watt</t>
        </is>
      </c>
      <c r="D2110" s="3" t="inlineStr">
        <is>
          <t xml:space="preserve">unit </t>
        </is>
      </c>
      <c r="E2110" s="4" t="n">
        <v>125000</v>
      </c>
    </row>
    <row r="2111">
      <c r="A2111" s="3" t="n">
        <v/>
      </c>
      <c r="B2111" s="3" t="n">
        <v/>
      </c>
      <c r="C2111" s="3" t="inlineStr">
        <is>
          <t xml:space="preserve">Lampu Sorot RGB 30 Watt untuk Outdoor </t>
        </is>
      </c>
      <c r="D2111" s="3" t="inlineStr">
        <is>
          <t xml:space="preserve">unit </t>
        </is>
      </c>
      <c r="E2111" s="4" t="n">
        <v>34000</v>
      </c>
    </row>
    <row r="2112">
      <c r="A2112" s="3" t="n">
        <v/>
      </c>
      <c r="B2112" s="3" t="n">
        <v/>
      </c>
      <c r="C2112" s="3" t="inlineStr">
        <is>
          <t xml:space="preserve">Pelindung Lampu </t>
        </is>
      </c>
      <c r="D2112" s="3" t="inlineStr">
        <is>
          <t xml:space="preserve">unit </t>
        </is>
      </c>
      <c r="E2112" s="4" t="n">
        <v>18000</v>
      </c>
    </row>
    <row r="2113">
      <c r="A2113" s="3" t="n">
        <v/>
      </c>
      <c r="B2113" s="3" t="n">
        <v/>
      </c>
      <c r="C2113" s="3" t="inlineStr">
        <is>
          <t xml:space="preserve">Lampu High Bay 100 Watt </t>
        </is>
      </c>
      <c r="D2113" s="3" t="inlineStr">
        <is>
          <t xml:space="preserve">unit </t>
        </is>
      </c>
      <c r="E2113" s="4" t="n">
        <v>1620000</v>
      </c>
    </row>
    <row r="2114">
      <c r="A2114" s="3" t="n">
        <v/>
      </c>
      <c r="B2114" s="3" t="n">
        <v/>
      </c>
      <c r="C2114" s="3" t="inlineStr">
        <is>
          <t xml:space="preserve">Lampu Eksit LED 3 Watt c/w Battery </t>
        </is>
      </c>
      <c r="D2114" s="3" t="inlineStr">
        <is>
          <t xml:space="preserve">buah </t>
        </is>
      </c>
      <c r="E2114" s="4" t="n">
        <v>148000</v>
      </c>
    </row>
    <row r="2115">
      <c r="A2115" s="3" t="n">
        <v/>
      </c>
      <c r="B2115" s="3" t="n">
        <v/>
      </c>
      <c r="C2115" s="3" t="inlineStr">
        <is>
          <t xml:space="preserve">Lampu TLED 1  x 14 Watt 2.100 Lumen </t>
        </is>
      </c>
      <c r="D2115" s="3" t="inlineStr">
        <is>
          <t>buah</t>
        </is>
      </c>
      <c r="E2115" s="4" t="n">
        <v>65000</v>
      </c>
    </row>
    <row r="2116">
      <c r="A2116" s="3" t="n">
        <v/>
      </c>
      <c r="B2116" s="3" t="n">
        <v/>
      </c>
      <c r="C2116" s="3" t="inlineStr">
        <is>
          <t>Lampu TLED 1 x 24 Watt 2.100 Lumen</t>
        </is>
      </c>
      <c r="D2116" s="3" t="inlineStr">
        <is>
          <t xml:space="preserve">buah </t>
        </is>
      </c>
      <c r="E2116" s="4" t="n">
        <v>72000</v>
      </c>
    </row>
    <row r="2117">
      <c r="A2117" s="3" t="n">
        <v/>
      </c>
      <c r="B2117" s="3" t="n">
        <v/>
      </c>
      <c r="C2117" s="3" t="inlineStr">
        <is>
          <t>Lampu TLED 2 x 24 Watt 2.100 Lumen</t>
        </is>
      </c>
      <c r="D2117" s="3" t="inlineStr">
        <is>
          <t xml:space="preserve">buah </t>
        </is>
      </c>
      <c r="E2117" s="4" t="n">
        <v>144000</v>
      </c>
    </row>
    <row r="2118">
      <c r="A2118" s="3" t="n">
        <v/>
      </c>
      <c r="B2118" s="3" t="n">
        <v/>
      </c>
      <c r="C2118" s="3" t="inlineStr">
        <is>
          <t>Lampu TLED Panel 31 Watt</t>
        </is>
      </c>
      <c r="D2118" s="3" t="inlineStr">
        <is>
          <t xml:space="preserve">buah </t>
        </is>
      </c>
      <c r="E2118" s="4" t="n">
        <v>350000</v>
      </c>
    </row>
    <row r="2119">
      <c r="A2119" s="3" t="n">
        <v/>
      </c>
      <c r="B2119" s="3" t="n">
        <v/>
      </c>
      <c r="C2119" s="3" t="inlineStr">
        <is>
          <t>Lampu TLED Panel 31 Watt + Battery</t>
        </is>
      </c>
      <c r="D2119" s="3" t="inlineStr">
        <is>
          <t xml:space="preserve">buah </t>
        </is>
      </c>
      <c r="E2119" s="4" t="n">
        <v>500000</v>
      </c>
    </row>
    <row r="2120">
      <c r="A2120" s="3" t="n">
        <v/>
      </c>
      <c r="B2120" s="3" t="n">
        <v/>
      </c>
      <c r="C2120" s="3" t="inlineStr">
        <is>
          <t xml:space="preserve">Lampu PJU LED 50 Watt </t>
        </is>
      </c>
      <c r="D2120" s="3" t="inlineStr">
        <is>
          <t xml:space="preserve">buah </t>
        </is>
      </c>
      <c r="E2120" s="4" t="n">
        <v>495000</v>
      </c>
    </row>
    <row r="2121">
      <c r="A2121" s="3" t="n">
        <v/>
      </c>
      <c r="B2121" s="3" t="n">
        <v/>
      </c>
      <c r="C2121" s="3" t="inlineStr">
        <is>
          <t>Tiang PJU Kawasan 6-7 m</t>
        </is>
      </c>
      <c r="D2121" s="3" t="inlineStr">
        <is>
          <t xml:space="preserve">buah </t>
        </is>
      </c>
      <c r="E2121" s="4" t="n">
        <v>2000000</v>
      </c>
    </row>
    <row r="2122">
      <c r="A2122" s="3" t="n">
        <v/>
      </c>
      <c r="B2122" s="3" t="n">
        <v/>
      </c>
      <c r="C2122" s="3" t="inlineStr">
        <is>
          <t>Lampu PJU LED 50 Watt + Solar Cell</t>
        </is>
      </c>
      <c r="D2122" s="3" t="inlineStr">
        <is>
          <t xml:space="preserve">buah </t>
        </is>
      </c>
      <c r="E2122" s="4" t="n">
        <v>700000</v>
      </c>
    </row>
    <row r="2123">
      <c r="A2123" s="3" t="n">
        <v/>
      </c>
      <c r="B2123" s="3" t="n">
        <v/>
      </c>
      <c r="C2123" s="3" t="inlineStr">
        <is>
          <t>Lampu Taman 25 Watt +Tiang 1 m</t>
        </is>
      </c>
      <c r="D2123" s="3" t="inlineStr">
        <is>
          <t xml:space="preserve">buah </t>
        </is>
      </c>
      <c r="E2123" s="4" t="n">
        <v>155000</v>
      </c>
    </row>
    <row r="2124">
      <c r="A2124" s="3" t="n">
        <v/>
      </c>
      <c r="B2124" s="3" t="n">
        <v/>
      </c>
      <c r="C2124" s="3" t="inlineStr">
        <is>
          <t>Fitting</t>
        </is>
      </c>
      <c r="D2124" s="3" t="inlineStr">
        <is>
          <t xml:space="preserve">buah </t>
        </is>
      </c>
      <c r="E2124" s="4" t="n">
        <v>16000</v>
      </c>
    </row>
    <row r="2125">
      <c r="A2125" s="3" t="n">
        <v/>
      </c>
      <c r="B2125" s="3" t="n">
        <v/>
      </c>
      <c r="C2125" s="3" t="inlineStr">
        <is>
          <t xml:space="preserve">Lampu LED 7 Watt </t>
        </is>
      </c>
      <c r="D2125" s="3" t="inlineStr">
        <is>
          <t xml:space="preserve">buah </t>
        </is>
      </c>
      <c r="E2125" s="4" t="n">
        <v>27000</v>
      </c>
    </row>
    <row r="2126">
      <c r="A2126" s="3" t="n">
        <v/>
      </c>
      <c r="B2126" s="3" t="n">
        <v/>
      </c>
      <c r="C2126" s="3" t="inlineStr">
        <is>
          <t xml:space="preserve">Lampu LED 9 Watt </t>
        </is>
      </c>
      <c r="D2126" s="3" t="inlineStr">
        <is>
          <t xml:space="preserve">buah </t>
        </is>
      </c>
      <c r="E2126" s="4" t="n">
        <v>34000</v>
      </c>
    </row>
    <row r="2127">
      <c r="A2127" s="3" t="n">
        <v/>
      </c>
      <c r="B2127" s="3" t="n">
        <v/>
      </c>
      <c r="C2127" s="3" t="inlineStr">
        <is>
          <t>Lampu Baret 20 Watt</t>
        </is>
      </c>
      <c r="D2127" s="3" t="inlineStr">
        <is>
          <t xml:space="preserve">buah </t>
        </is>
      </c>
      <c r="E2127" s="4" t="n">
        <v>77000</v>
      </c>
    </row>
    <row r="2128">
      <c r="A2128" s="3" t="n">
        <v/>
      </c>
      <c r="B2128" s="3" t="n">
        <v/>
      </c>
      <c r="C2128" s="3" t="inlineStr">
        <is>
          <t>Lampu Baret 32 Watt</t>
        </is>
      </c>
      <c r="D2128" s="3" t="n">
        <v/>
      </c>
      <c r="E2128" s="4" t="n">
        <v>97000</v>
      </c>
    </row>
    <row r="2129">
      <c r="A2129" s="3" t="n">
        <v/>
      </c>
      <c r="B2129" s="3" t="n">
        <v/>
      </c>
      <c r="C2129" s="3" t="inlineStr">
        <is>
          <t xml:space="preserve">Lampu Pijar 40 Watt </t>
        </is>
      </c>
      <c r="D2129" s="3" t="n">
        <v/>
      </c>
      <c r="E2129" s="4" t="n">
        <v>28000</v>
      </c>
    </row>
    <row r="2130">
      <c r="A2130" s="3" t="n">
        <v/>
      </c>
      <c r="B2130" s="3" t="n">
        <v/>
      </c>
      <c r="C2130" s="3" t="inlineStr">
        <is>
          <t xml:space="preserve">Lampu TL 18 Watt </t>
        </is>
      </c>
      <c r="D2130" s="3" t="n">
        <v/>
      </c>
      <c r="E2130" s="4" t="n">
        <v>20000</v>
      </c>
    </row>
    <row r="2131">
      <c r="A2131" s="3" t="n">
        <v/>
      </c>
      <c r="B2131" s="3" t="n">
        <v/>
      </c>
      <c r="C2131" s="3" t="inlineStr">
        <is>
          <t xml:space="preserve">Lampu TLED 18 Watt </t>
        </is>
      </c>
      <c r="D2131" s="3" t="n">
        <v/>
      </c>
      <c r="E2131" s="4" t="n">
        <v>30000</v>
      </c>
    </row>
    <row r="2132">
      <c r="A2132" s="3" t="n">
        <v/>
      </c>
      <c r="B2132" s="3" t="n">
        <v/>
      </c>
      <c r="C2132" s="3" t="inlineStr">
        <is>
          <t>Lampu TL  36 Watt</t>
        </is>
      </c>
      <c r="D2132" s="3" t="n">
        <v/>
      </c>
      <c r="E2132" s="4" t="n">
        <v>25000</v>
      </c>
    </row>
    <row r="2133">
      <c r="A2133" s="3" t="n">
        <v/>
      </c>
      <c r="B2133" s="3" t="n">
        <v/>
      </c>
      <c r="C2133" s="3" t="inlineStr">
        <is>
          <t>Lampu TLED  36 Watt</t>
        </is>
      </c>
      <c r="D2133" s="3" t="n">
        <v/>
      </c>
      <c r="E2133" s="4" t="n">
        <v>75000</v>
      </c>
    </row>
    <row r="2134">
      <c r="A2134" s="3" t="n">
        <v/>
      </c>
      <c r="B2134" s="3" t="n">
        <v/>
      </c>
      <c r="C2134" s="3" t="inlineStr">
        <is>
          <t xml:space="preserve">Lampu Sport Floodlight Led </t>
        </is>
      </c>
      <c r="D2134" s="3" t="inlineStr">
        <is>
          <t xml:space="preserve">buah </t>
        </is>
      </c>
      <c r="E2134" s="4" t="n">
        <v>375000</v>
      </c>
    </row>
    <row r="2135">
      <c r="A2135" s="3" t="n">
        <v/>
      </c>
      <c r="B2135" s="3" t="n">
        <v/>
      </c>
      <c r="C2135" s="3" t="inlineStr">
        <is>
          <t xml:space="preserve">Brackket </t>
        </is>
      </c>
      <c r="D2135" s="3" t="inlineStr">
        <is>
          <t xml:space="preserve">buah </t>
        </is>
      </c>
      <c r="E2135" s="4" t="n">
        <v>11500</v>
      </c>
    </row>
    <row r="2136">
      <c r="A2136" s="3" t="n">
        <v/>
      </c>
      <c r="B2136" s="3" t="n">
        <v/>
      </c>
      <c r="C2136" s="3" t="inlineStr">
        <is>
          <t xml:space="preserve">Junction Box IP Rated </t>
        </is>
      </c>
      <c r="D2136" s="3" t="inlineStr">
        <is>
          <t xml:space="preserve">buah </t>
        </is>
      </c>
      <c r="E2136" s="4" t="n">
        <v>142000</v>
      </c>
    </row>
    <row r="2137">
      <c r="A2137" s="3" t="n">
        <v/>
      </c>
      <c r="B2137" s="3" t="n">
        <v/>
      </c>
      <c r="C2137" s="3" t="inlineStr">
        <is>
          <t xml:space="preserve">Kabel Fiber Optic Dual Core Single Mode </t>
        </is>
      </c>
      <c r="D2137" s="3" t="inlineStr">
        <is>
          <t>m'</t>
        </is>
      </c>
      <c r="E2137" s="4" t="n">
        <v>11300</v>
      </c>
    </row>
    <row r="2138">
      <c r="A2138" s="3" t="n">
        <v/>
      </c>
      <c r="B2138" s="3" t="n">
        <v/>
      </c>
      <c r="C2138" s="3" t="inlineStr">
        <is>
          <t>Kabel Fiber Optic 4 Core</t>
        </is>
      </c>
      <c r="D2138" s="3" t="inlineStr">
        <is>
          <t>m'</t>
        </is>
      </c>
      <c r="E2138" s="4" t="n">
        <v>20000</v>
      </c>
    </row>
    <row r="2139">
      <c r="A2139" s="3" t="n">
        <v/>
      </c>
      <c r="B2139" s="3" t="n">
        <v/>
      </c>
      <c r="C2139" s="3" t="inlineStr">
        <is>
          <t>Pipa HDPE Conduit 20 mm</t>
        </is>
      </c>
      <c r="D2139" s="3" t="inlineStr">
        <is>
          <t>m'</t>
        </is>
      </c>
      <c r="E2139" s="4" t="n">
        <v>3800</v>
      </c>
    </row>
    <row r="2140">
      <c r="A2140" s="3" t="n">
        <v/>
      </c>
      <c r="B2140" s="3" t="n">
        <v/>
      </c>
      <c r="C2140" s="3" t="inlineStr">
        <is>
          <t>Wireless Access Point Outdoor</t>
        </is>
      </c>
      <c r="D2140" s="3" t="inlineStr">
        <is>
          <t>unit</t>
        </is>
      </c>
      <c r="E2140" s="4" t="n">
        <v>1500000</v>
      </c>
    </row>
    <row r="2141">
      <c r="A2141" s="3" t="n">
        <v/>
      </c>
      <c r="B2141" s="3" t="n">
        <v/>
      </c>
      <c r="C2141" s="3" t="inlineStr">
        <is>
          <t>DMX LED Controller 1 Universe</t>
        </is>
      </c>
      <c r="D2141" s="3" t="inlineStr">
        <is>
          <t xml:space="preserve">buah </t>
        </is>
      </c>
      <c r="E2141" s="4" t="n">
        <v>1400000</v>
      </c>
    </row>
    <row r="2142">
      <c r="A2142" s="3" t="n">
        <v/>
      </c>
      <c r="B2142" s="3" t="n">
        <v/>
      </c>
      <c r="C2142" s="3" t="inlineStr">
        <is>
          <t xml:space="preserve">Sensor Cahaya </t>
        </is>
      </c>
      <c r="D2142" s="3" t="inlineStr">
        <is>
          <t xml:space="preserve">buah </t>
        </is>
      </c>
      <c r="E2142" s="4" t="n">
        <v>58000</v>
      </c>
    </row>
    <row r="2143">
      <c r="A2143" s="3" t="n">
        <v/>
      </c>
      <c r="B2143" s="3" t="n">
        <v/>
      </c>
      <c r="C2143" s="3" t="inlineStr">
        <is>
          <t xml:space="preserve">Sensor Gerak </t>
        </is>
      </c>
      <c r="D2143" s="3" t="inlineStr">
        <is>
          <t xml:space="preserve">buah </t>
        </is>
      </c>
      <c r="E2143" s="4" t="n">
        <v>65900</v>
      </c>
    </row>
    <row r="2144">
      <c r="A2144" s="3" t="n">
        <v/>
      </c>
      <c r="B2144" s="3" t="n">
        <v/>
      </c>
      <c r="C2144" s="3" t="inlineStr">
        <is>
          <t>MCP-FA (Semi Addressable 1 Loop)</t>
        </is>
      </c>
      <c r="D2144" s="3" t="inlineStr">
        <is>
          <t>unit</t>
        </is>
      </c>
      <c r="E2144" s="4" t="n">
        <v>26250000</v>
      </c>
    </row>
    <row r="2145">
      <c r="A2145" s="3" t="n">
        <v/>
      </c>
      <c r="B2145" s="3" t="n">
        <v/>
      </c>
      <c r="C2145" s="3" t="inlineStr">
        <is>
          <t>Programming, Testing &amp; commisioning</t>
        </is>
      </c>
      <c r="D2145" s="3" t="inlineStr">
        <is>
          <t xml:space="preserve">lot </t>
        </is>
      </c>
      <c r="E2145" s="4" t="n">
        <v>3500000</v>
      </c>
    </row>
    <row r="2146">
      <c r="A2146" s="3" t="n">
        <v/>
      </c>
      <c r="B2146" s="3" t="n">
        <v/>
      </c>
      <c r="C2146" s="3" t="inlineStr">
        <is>
          <t xml:space="preserve">PC Komputer </t>
        </is>
      </c>
      <c r="D2146" s="3" t="inlineStr">
        <is>
          <t xml:space="preserve">Unit </t>
        </is>
      </c>
      <c r="E2146" s="4" t="n">
        <v>3500000</v>
      </c>
    </row>
    <row r="2147">
      <c r="A2147" s="3" t="n">
        <v/>
      </c>
      <c r="B2147" s="3" t="n">
        <v/>
      </c>
      <c r="C2147" s="3" t="inlineStr">
        <is>
          <t xml:space="preserve">Alarm Printer </t>
        </is>
      </c>
      <c r="D2147" s="3" t="inlineStr">
        <is>
          <t>unit</t>
        </is>
      </c>
      <c r="E2147" s="4" t="n">
        <v>2500000</v>
      </c>
    </row>
    <row r="2148">
      <c r="A2148" s="3" t="n">
        <v/>
      </c>
      <c r="B2148" s="3" t="n">
        <v/>
      </c>
      <c r="C2148" s="3" t="inlineStr">
        <is>
          <t>Report Printer</t>
        </is>
      </c>
      <c r="D2148" s="3" t="inlineStr">
        <is>
          <t>unit</t>
        </is>
      </c>
      <c r="E2148" s="4" t="n">
        <v>1900000</v>
      </c>
    </row>
    <row r="2149">
      <c r="A2149" s="3" t="n">
        <v/>
      </c>
      <c r="B2149" s="3" t="n">
        <v/>
      </c>
      <c r="C2149" s="3" t="inlineStr">
        <is>
          <t>Announciator</t>
        </is>
      </c>
      <c r="D2149" s="3" t="inlineStr">
        <is>
          <t>unit</t>
        </is>
      </c>
      <c r="E2149" s="4" t="n">
        <v>2100000</v>
      </c>
    </row>
    <row r="2150">
      <c r="A2150" s="3" t="n">
        <v/>
      </c>
      <c r="B2150" s="3" t="n">
        <v/>
      </c>
      <c r="C2150" s="3" t="inlineStr">
        <is>
          <t>Main Control Unit (MCU)</t>
        </is>
      </c>
      <c r="D2150" s="3" t="inlineStr">
        <is>
          <t>unit</t>
        </is>
      </c>
      <c r="E2150" s="4" t="n">
        <v>15000000</v>
      </c>
    </row>
    <row r="2151">
      <c r="A2151" s="3" t="n">
        <v/>
      </c>
      <c r="B2151" s="3" t="n">
        <v/>
      </c>
      <c r="C2151" s="3" t="inlineStr">
        <is>
          <t>Remote Display 10''</t>
        </is>
      </c>
      <c r="D2151" s="3" t="inlineStr">
        <is>
          <t>unit</t>
        </is>
      </c>
      <c r="E2151" s="4" t="n">
        <v>1000000</v>
      </c>
    </row>
    <row r="2152">
      <c r="A2152" s="3" t="n">
        <v/>
      </c>
      <c r="B2152" s="3" t="n">
        <v/>
      </c>
      <c r="C2152" s="3" t="inlineStr">
        <is>
          <t>Cable Communication Module</t>
        </is>
      </c>
      <c r="D2152" s="3" t="inlineStr">
        <is>
          <t>unit</t>
        </is>
      </c>
      <c r="E2152" s="4" t="n">
        <v>2500000</v>
      </c>
    </row>
    <row r="2153">
      <c r="A2153" s="3" t="n">
        <v/>
      </c>
      <c r="B2153" s="3" t="n">
        <v/>
      </c>
      <c r="C2153" s="3" t="inlineStr">
        <is>
          <t>Box Panel DDC</t>
        </is>
      </c>
      <c r="D2153" s="3" t="inlineStr">
        <is>
          <t>unit</t>
        </is>
      </c>
      <c r="E2153" s="4" t="n">
        <v>1500000</v>
      </c>
    </row>
    <row r="2154">
      <c r="A2154" s="3" t="n">
        <v/>
      </c>
      <c r="B2154" s="3" t="n">
        <v/>
      </c>
      <c r="C2154" s="3" t="inlineStr">
        <is>
          <t>Room Temperature Sensor</t>
        </is>
      </c>
      <c r="D2154" s="3" t="inlineStr">
        <is>
          <t>unit</t>
        </is>
      </c>
      <c r="E2154" s="4" t="n">
        <v>1200000</v>
      </c>
    </row>
    <row r="2155">
      <c r="A2155" s="3" t="n">
        <v/>
      </c>
      <c r="B2155" s="3" t="n">
        <v/>
      </c>
      <c r="C2155" s="3" t="inlineStr">
        <is>
          <t>Level Switch</t>
        </is>
      </c>
      <c r="D2155" s="3" t="inlineStr">
        <is>
          <t>unit</t>
        </is>
      </c>
      <c r="E2155" s="4" t="n">
        <v>185000</v>
      </c>
    </row>
    <row r="2156">
      <c r="A2156" s="3" t="n">
        <v/>
      </c>
      <c r="B2156" s="3" t="n">
        <v/>
      </c>
      <c r="C2156" s="3" t="inlineStr">
        <is>
          <t>Digital Input</t>
        </is>
      </c>
      <c r="D2156" s="3" t="inlineStr">
        <is>
          <t>unit</t>
        </is>
      </c>
      <c r="E2156" s="4" t="n">
        <v>5000000</v>
      </c>
    </row>
    <row r="2157">
      <c r="A2157" s="3" t="n">
        <v/>
      </c>
      <c r="B2157" s="3" t="n">
        <v/>
      </c>
      <c r="C2157" s="3" t="inlineStr">
        <is>
          <t xml:space="preserve">Terminal Box Fire Alarm </t>
        </is>
      </c>
      <c r="D2157" s="3" t="inlineStr">
        <is>
          <t xml:space="preserve">unit </t>
        </is>
      </c>
      <c r="E2157" s="4" t="n">
        <v>265000</v>
      </c>
    </row>
    <row r="2158">
      <c r="A2158" s="3" t="n">
        <v/>
      </c>
      <c r="B2158" s="3" t="n">
        <v/>
      </c>
      <c r="C2158" s="3" t="inlineStr">
        <is>
          <t xml:space="preserve">Smoke Detector Addressable </t>
        </is>
      </c>
      <c r="D2158" s="3" t="inlineStr">
        <is>
          <t>Unit</t>
        </is>
      </c>
      <c r="E2158" s="4" t="n">
        <v>780000</v>
      </c>
    </row>
    <row r="2159">
      <c r="A2159" s="3" t="n">
        <v/>
      </c>
      <c r="B2159" s="3" t="n">
        <v/>
      </c>
      <c r="C2159" s="3" t="inlineStr">
        <is>
          <t xml:space="preserve">Rate of Rise Detector Addressable </t>
        </is>
      </c>
      <c r="D2159" s="3" t="inlineStr">
        <is>
          <t xml:space="preserve">unit </t>
        </is>
      </c>
      <c r="E2159" s="4" t="n">
        <v>343000</v>
      </c>
    </row>
    <row r="2160">
      <c r="A2160" s="3" t="n">
        <v/>
      </c>
      <c r="B2160" s="3" t="n">
        <v/>
      </c>
      <c r="C2160" s="3" t="inlineStr">
        <is>
          <t xml:space="preserve">Fix Heat Detector Addressable </t>
        </is>
      </c>
      <c r="D2160" s="3" t="inlineStr">
        <is>
          <t xml:space="preserve">unit </t>
        </is>
      </c>
      <c r="E2160" s="4" t="n">
        <v>318000</v>
      </c>
    </row>
    <row r="2161">
      <c r="A2161" s="3" t="n">
        <v/>
      </c>
      <c r="B2161" s="3" t="n">
        <v/>
      </c>
      <c r="C2161" s="3" t="inlineStr">
        <is>
          <t xml:space="preserve">Smoke Detector Konvensional </t>
        </is>
      </c>
      <c r="D2161" s="3" t="inlineStr">
        <is>
          <t xml:space="preserve">unit </t>
        </is>
      </c>
      <c r="E2161" s="4" t="n">
        <v>245000</v>
      </c>
    </row>
    <row r="2162">
      <c r="A2162" s="3" t="n">
        <v/>
      </c>
      <c r="B2162" s="3" t="n">
        <v/>
      </c>
      <c r="C2162" s="3" t="inlineStr">
        <is>
          <t>Rate of Rise Detector Konvensional</t>
        </is>
      </c>
      <c r="D2162" s="3" t="inlineStr">
        <is>
          <t xml:space="preserve">unit </t>
        </is>
      </c>
      <c r="E2162" s="4" t="n">
        <v>240000</v>
      </c>
    </row>
    <row r="2163">
      <c r="A2163" s="3" t="n">
        <v/>
      </c>
      <c r="B2163" s="3" t="n">
        <v/>
      </c>
      <c r="C2163" s="3" t="inlineStr">
        <is>
          <t>Fix Heat Detector Konvensioanl</t>
        </is>
      </c>
      <c r="D2163" s="3" t="inlineStr">
        <is>
          <t xml:space="preserve">unit </t>
        </is>
      </c>
      <c r="E2163" s="4" t="n">
        <v>290000</v>
      </c>
    </row>
    <row r="2164">
      <c r="A2164" s="3" t="n">
        <v/>
      </c>
      <c r="B2164" s="3" t="n">
        <v/>
      </c>
      <c r="C2164" s="3" t="inlineStr">
        <is>
          <t xml:space="preserve">Lamp Indicator </t>
        </is>
      </c>
      <c r="D2164" s="3" t="inlineStr">
        <is>
          <t xml:space="preserve">unit </t>
        </is>
      </c>
      <c r="E2164" s="4" t="n">
        <v>57000</v>
      </c>
    </row>
    <row r="2165">
      <c r="A2165" s="3" t="n">
        <v/>
      </c>
      <c r="B2165" s="3" t="n">
        <v/>
      </c>
      <c r="C2165" s="3" t="inlineStr">
        <is>
          <t>Manual Break Glass</t>
        </is>
      </c>
      <c r="D2165" s="3" t="inlineStr">
        <is>
          <t xml:space="preserve">unit </t>
        </is>
      </c>
      <c r="E2165" s="4" t="n">
        <v>60000</v>
      </c>
    </row>
    <row r="2166">
      <c r="A2166" s="3" t="n">
        <v/>
      </c>
      <c r="B2166" s="3" t="n">
        <v/>
      </c>
      <c r="C2166" s="3" t="inlineStr">
        <is>
          <t>Horn Strobe</t>
        </is>
      </c>
      <c r="D2166" s="3" t="inlineStr">
        <is>
          <t xml:space="preserve">unit </t>
        </is>
      </c>
      <c r="E2166" s="4" t="n">
        <v>175000</v>
      </c>
    </row>
    <row r="2167">
      <c r="A2167" s="3" t="n">
        <v/>
      </c>
      <c r="B2167" s="3" t="n">
        <v/>
      </c>
      <c r="C2167" s="3" t="inlineStr">
        <is>
          <t xml:space="preserve">Fire Fighting Telepon </t>
        </is>
      </c>
      <c r="D2167" s="3" t="inlineStr">
        <is>
          <t xml:space="preserve">unit </t>
        </is>
      </c>
      <c r="E2167" s="4" t="n">
        <v>135000</v>
      </c>
    </row>
    <row r="2168">
      <c r="A2168" s="3" t="n">
        <v/>
      </c>
      <c r="B2168" s="3" t="n">
        <v/>
      </c>
      <c r="C2168" s="3" t="inlineStr">
        <is>
          <t>Alarm Bell</t>
        </is>
      </c>
      <c r="D2168" s="3" t="inlineStr">
        <is>
          <t xml:space="preserve">unit </t>
        </is>
      </c>
      <c r="E2168" s="4" t="n">
        <v>85000</v>
      </c>
    </row>
    <row r="2169">
      <c r="A2169" s="3" t="n">
        <v/>
      </c>
      <c r="B2169" s="3" t="n">
        <v/>
      </c>
      <c r="C2169" s="3" t="inlineStr">
        <is>
          <t xml:space="preserve">Sirine Module </t>
        </is>
      </c>
      <c r="D2169" s="3" t="inlineStr">
        <is>
          <t>buah</t>
        </is>
      </c>
      <c r="E2169" s="4" t="n">
        <v>650000</v>
      </c>
    </row>
    <row r="2170">
      <c r="A2170" s="3" t="n">
        <v/>
      </c>
      <c r="B2170" s="3" t="n">
        <v/>
      </c>
      <c r="C2170" s="3" t="inlineStr">
        <is>
          <t>Control Module</t>
        </is>
      </c>
      <c r="D2170" s="3" t="inlineStr">
        <is>
          <t>Buah</t>
        </is>
      </c>
      <c r="E2170" s="4" t="n">
        <v>350000</v>
      </c>
    </row>
    <row r="2171">
      <c r="A2171" s="3" t="n">
        <v/>
      </c>
      <c r="B2171" s="3" t="n">
        <v/>
      </c>
      <c r="C2171" s="3" t="inlineStr">
        <is>
          <t>Relay Module</t>
        </is>
      </c>
      <c r="D2171" s="3" t="inlineStr">
        <is>
          <t xml:space="preserve">buah </t>
        </is>
      </c>
      <c r="E2171" s="4" t="n">
        <v>103500</v>
      </c>
    </row>
    <row r="2172">
      <c r="A2172" s="3" t="n">
        <v/>
      </c>
      <c r="B2172" s="3" t="n">
        <v/>
      </c>
      <c r="C2172" s="3" t="inlineStr">
        <is>
          <t xml:space="preserve">Isolator Module </t>
        </is>
      </c>
      <c r="D2172" s="3" t="inlineStr">
        <is>
          <t xml:space="preserve">buah </t>
        </is>
      </c>
      <c r="E2172" s="4" t="n">
        <v>220000</v>
      </c>
    </row>
    <row r="2173">
      <c r="A2173" s="3" t="n">
        <v/>
      </c>
      <c r="B2173" s="3" t="n">
        <v/>
      </c>
      <c r="C2173" s="3" t="inlineStr">
        <is>
          <t>Monitor Module</t>
        </is>
      </c>
      <c r="D2173" s="3" t="inlineStr">
        <is>
          <t>buah</t>
        </is>
      </c>
      <c r="E2173" s="4" t="n">
        <v>200000</v>
      </c>
    </row>
    <row r="2174">
      <c r="A2174" s="3" t="n">
        <v/>
      </c>
      <c r="B2174" s="3" t="n">
        <v/>
      </c>
      <c r="C2174" s="3" t="inlineStr">
        <is>
          <t>Rectifier</t>
        </is>
      </c>
      <c r="D2174" s="3" t="inlineStr">
        <is>
          <t>unit</t>
        </is>
      </c>
      <c r="E2174" s="4" t="n">
        <v>3500000</v>
      </c>
    </row>
    <row r="2175">
      <c r="A2175" s="3" t="n">
        <v/>
      </c>
      <c r="B2175" s="3" t="n">
        <v/>
      </c>
      <c r="C2175" s="3" t="inlineStr">
        <is>
          <t>Power Surge Arrester</t>
        </is>
      </c>
      <c r="D2175" s="3" t="inlineStr">
        <is>
          <t>unit</t>
        </is>
      </c>
      <c r="E2175" s="4" t="n">
        <v>1279000</v>
      </c>
    </row>
    <row r="2176">
      <c r="A2176" s="3" t="n">
        <v/>
      </c>
      <c r="B2176" s="3" t="n">
        <v/>
      </c>
      <c r="C2176" s="3" t="inlineStr">
        <is>
          <t>UPS 1 KVA (Inverter, Rectifier, Battery Backup 15 menit)</t>
        </is>
      </c>
      <c r="D2176" s="3" t="inlineStr">
        <is>
          <t>unit</t>
        </is>
      </c>
      <c r="E2176" s="4" t="n">
        <v>3800000</v>
      </c>
    </row>
    <row r="2177">
      <c r="A2177" s="3" t="n">
        <v/>
      </c>
      <c r="B2177" s="3" t="n">
        <v/>
      </c>
      <c r="C2177" s="3" t="inlineStr">
        <is>
          <t>UPS 1 KVA (Inverter, Rectifier, Battery Backup 30 menit)</t>
        </is>
      </c>
      <c r="D2177" s="3" t="inlineStr">
        <is>
          <t>unit</t>
        </is>
      </c>
      <c r="E2177" s="4" t="n">
        <v>4100000</v>
      </c>
    </row>
    <row r="2178">
      <c r="A2178" s="3" t="n">
        <v/>
      </c>
      <c r="B2178" s="3" t="n">
        <v/>
      </c>
      <c r="C2178" s="3" t="inlineStr">
        <is>
          <t>UPS 1 KVA (Inverter, Rectifier, Battery Backup 1 jam)</t>
        </is>
      </c>
      <c r="D2178" s="3" t="inlineStr">
        <is>
          <t>unit</t>
        </is>
      </c>
      <c r="E2178" s="4" t="n">
        <v>4900000</v>
      </c>
    </row>
    <row r="2179">
      <c r="A2179" s="3" t="n">
        <v/>
      </c>
      <c r="B2179" s="3" t="n">
        <v/>
      </c>
      <c r="C2179" s="3" t="inlineStr">
        <is>
          <t>UPS 1 KVA (Inverter, Rectifier, Battery Backup 2 jam)</t>
        </is>
      </c>
      <c r="D2179" s="3" t="inlineStr">
        <is>
          <t>unit</t>
        </is>
      </c>
      <c r="E2179" s="4" t="n">
        <v>5200000</v>
      </c>
    </row>
    <row r="2180">
      <c r="A2180" s="3" t="n">
        <v/>
      </c>
      <c r="B2180" s="3" t="n">
        <v/>
      </c>
      <c r="C2180" s="3" t="inlineStr">
        <is>
          <t xml:space="preserve">UPS 2 KVA 15 Menit </t>
        </is>
      </c>
      <c r="D2180" s="3" t="inlineStr">
        <is>
          <t>unit</t>
        </is>
      </c>
      <c r="E2180" s="4" t="n">
        <v>3800000</v>
      </c>
    </row>
    <row r="2181">
      <c r="A2181" s="3" t="n">
        <v/>
      </c>
      <c r="B2181" s="3" t="n">
        <v/>
      </c>
      <c r="C2181" s="3" t="inlineStr">
        <is>
          <t>UPS 2 KVA 30 Menit</t>
        </is>
      </c>
      <c r="D2181" s="3" t="inlineStr">
        <is>
          <t>unit</t>
        </is>
      </c>
      <c r="E2181" s="4" t="n">
        <v>4100000</v>
      </c>
    </row>
    <row r="2182">
      <c r="A2182" s="3" t="n">
        <v/>
      </c>
      <c r="B2182" s="3" t="n">
        <v/>
      </c>
      <c r="C2182" s="3" t="inlineStr">
        <is>
          <t>UPS 2 KVA 1 Jam</t>
        </is>
      </c>
      <c r="D2182" s="3" t="inlineStr">
        <is>
          <t>unit</t>
        </is>
      </c>
      <c r="E2182" s="4" t="n">
        <v>4900000</v>
      </c>
    </row>
    <row r="2183">
      <c r="A2183" s="3" t="n">
        <v/>
      </c>
      <c r="B2183" s="3" t="n">
        <v/>
      </c>
      <c r="C2183" s="3" t="inlineStr">
        <is>
          <t>UPS 2 KVA 2 Jam</t>
        </is>
      </c>
      <c r="D2183" s="3" t="inlineStr">
        <is>
          <t>unit</t>
        </is>
      </c>
      <c r="E2183" s="4" t="n">
        <v>5200000</v>
      </c>
    </row>
    <row r="2184">
      <c r="A2184" s="3" t="n">
        <v/>
      </c>
      <c r="B2184" s="3" t="n">
        <v/>
      </c>
      <c r="C2184" s="3" t="inlineStr">
        <is>
          <t>UPS 2 KVA 4 Jam</t>
        </is>
      </c>
      <c r="D2184" s="3" t="inlineStr">
        <is>
          <t>unit</t>
        </is>
      </c>
      <c r="E2184" s="4" t="n">
        <v>5700000</v>
      </c>
    </row>
    <row r="2185">
      <c r="A2185" s="3" t="n">
        <v/>
      </c>
      <c r="B2185" s="3" t="n">
        <v/>
      </c>
      <c r="C2185" s="3" t="inlineStr">
        <is>
          <t xml:space="preserve">End of Line Resistor </t>
        </is>
      </c>
      <c r="D2185" s="3" t="inlineStr">
        <is>
          <t>unit</t>
        </is>
      </c>
      <c r="E2185" s="4" t="n">
        <v>20000</v>
      </c>
    </row>
    <row r="2186">
      <c r="A2186" s="3" t="n">
        <v/>
      </c>
      <c r="B2186" s="3" t="n">
        <v/>
      </c>
      <c r="C2186" s="3" t="inlineStr">
        <is>
          <t>Patch Panel UTP Cat 6 4 Port</t>
        </is>
      </c>
      <c r="D2186" s="3" t="inlineStr">
        <is>
          <t>unit</t>
        </is>
      </c>
      <c r="E2186" s="4" t="n">
        <v>1540000</v>
      </c>
    </row>
    <row r="2187">
      <c r="A2187" s="3" t="n">
        <v/>
      </c>
      <c r="B2187" s="3" t="n">
        <v/>
      </c>
      <c r="C2187" s="3" t="inlineStr">
        <is>
          <t>Wiring Management</t>
        </is>
      </c>
      <c r="D2187" s="3" t="n">
        <v/>
      </c>
      <c r="E2187" s="4" t="n">
        <v>110000</v>
      </c>
    </row>
    <row r="2188">
      <c r="A2188" s="3" t="n">
        <v/>
      </c>
      <c r="B2188" s="3" t="n">
        <v/>
      </c>
      <c r="C2188" s="3" t="inlineStr">
        <is>
          <t>PoE Switch HUB</t>
        </is>
      </c>
      <c r="D2188" s="3" t="n">
        <v/>
      </c>
      <c r="E2188" s="4" t="n">
        <v>273000</v>
      </c>
    </row>
    <row r="2189">
      <c r="A2189" s="3" t="n">
        <v/>
      </c>
      <c r="B2189" s="3" t="n">
        <v/>
      </c>
      <c r="C2189" s="3" t="inlineStr">
        <is>
          <t>Network  Video Recorder (NVR) Kapasitas 32 Chanel</t>
        </is>
      </c>
      <c r="D2189" s="3" t="n">
        <v/>
      </c>
      <c r="E2189" s="4" t="n">
        <v>5500000</v>
      </c>
    </row>
    <row r="2190">
      <c r="A2190" s="3" t="n">
        <v/>
      </c>
      <c r="B2190" s="3" t="n">
        <v/>
      </c>
      <c r="C2190" s="3" t="inlineStr">
        <is>
          <t xml:space="preserve">8 TB Hardisk </t>
        </is>
      </c>
      <c r="D2190" s="3" t="n">
        <v/>
      </c>
      <c r="E2190" s="4" t="n">
        <v>1960000</v>
      </c>
    </row>
    <row r="2191">
      <c r="A2191" s="3" t="n">
        <v/>
      </c>
      <c r="B2191" s="3" t="n">
        <v/>
      </c>
      <c r="C2191" s="3" t="inlineStr">
        <is>
          <t xml:space="preserve">Rak 19" 12 U Lengkap dengan Power Outlet </t>
        </is>
      </c>
      <c r="D2191" s="3" t="n">
        <v/>
      </c>
      <c r="E2191" s="4" t="n">
        <v>770000</v>
      </c>
    </row>
    <row r="2192">
      <c r="A2192" s="3" t="n">
        <v/>
      </c>
      <c r="B2192" s="3" t="n">
        <v/>
      </c>
      <c r="C2192" s="3" t="inlineStr">
        <is>
          <t xml:space="preserve">Rak 19" 15 U Lengkap dengan Power Outlet </t>
        </is>
      </c>
      <c r="D2192" s="3" t="n">
        <v/>
      </c>
      <c r="E2192" s="4" t="n">
        <v>1200000</v>
      </c>
    </row>
    <row r="2193">
      <c r="A2193" s="3" t="n">
        <v/>
      </c>
      <c r="B2193" s="3" t="n">
        <v/>
      </c>
      <c r="C2193" s="3" t="inlineStr">
        <is>
          <t>Rack Mount 10 U</t>
        </is>
      </c>
      <c r="D2193" s="3" t="n">
        <v/>
      </c>
      <c r="E2193" s="4" t="n">
        <v>600000</v>
      </c>
    </row>
    <row r="2194">
      <c r="A2194" s="3" t="n">
        <v/>
      </c>
      <c r="B2194" s="3" t="n">
        <v/>
      </c>
      <c r="C2194" s="3" t="inlineStr">
        <is>
          <t>LCD Monitor 32"</t>
        </is>
      </c>
      <c r="D2194" s="3" t="n">
        <v/>
      </c>
      <c r="E2194" s="4" t="n">
        <v>2380000</v>
      </c>
    </row>
    <row r="2195">
      <c r="A2195" s="3" t="n">
        <v/>
      </c>
      <c r="B2195" s="3" t="n">
        <v/>
      </c>
      <c r="C2195" s="3" t="inlineStr">
        <is>
          <t>Bracket Monitor 32"</t>
        </is>
      </c>
      <c r="D2195" s="3" t="n">
        <v/>
      </c>
      <c r="E2195" s="4" t="n">
        <v>88500</v>
      </c>
    </row>
    <row r="2196">
      <c r="A2196" s="3" t="n">
        <v/>
      </c>
      <c r="B2196" s="3" t="n">
        <v/>
      </c>
      <c r="C2196" s="3" t="inlineStr">
        <is>
          <t>LED Monitor 50"</t>
        </is>
      </c>
      <c r="D2196" s="3" t="n">
        <v/>
      </c>
      <c r="E2196" s="4" t="n">
        <v>3500000</v>
      </c>
    </row>
    <row r="2197">
      <c r="A2197" s="3" t="n">
        <v/>
      </c>
      <c r="B2197" s="3" t="n">
        <v/>
      </c>
      <c r="C2197" s="3" t="inlineStr">
        <is>
          <t>Bracket Monitor 50"</t>
        </is>
      </c>
      <c r="D2197" s="3" t="n">
        <v/>
      </c>
      <c r="E2197" s="4" t="n">
        <v>150000</v>
      </c>
    </row>
    <row r="2198">
      <c r="A2198" s="3" t="n">
        <v/>
      </c>
      <c r="B2198" s="3" t="n">
        <v/>
      </c>
      <c r="C2198" s="3" t="inlineStr">
        <is>
          <t>LED Monitor 43"</t>
        </is>
      </c>
      <c r="D2198" s="3" t="n">
        <v/>
      </c>
      <c r="E2198" s="4" t="n">
        <v>3000000</v>
      </c>
    </row>
    <row r="2199">
      <c r="A2199" s="3" t="n">
        <v/>
      </c>
      <c r="B2199" s="3" t="n">
        <v/>
      </c>
      <c r="C2199" s="3" t="inlineStr">
        <is>
          <t>Bracket Monitor 43"</t>
        </is>
      </c>
      <c r="D2199" s="3" t="n">
        <v/>
      </c>
      <c r="E2199" s="4" t="n">
        <v>150000</v>
      </c>
    </row>
    <row r="2200">
      <c r="A2200" s="3" t="n">
        <v/>
      </c>
      <c r="B2200" s="3" t="n">
        <v/>
      </c>
      <c r="C2200" s="3" t="inlineStr">
        <is>
          <t>LED Monitor 32"</t>
        </is>
      </c>
      <c r="D2200" s="3" t="n">
        <v/>
      </c>
      <c r="E2200" s="4" t="n">
        <v>2500000</v>
      </c>
    </row>
    <row r="2201">
      <c r="A2201" s="3" t="n">
        <v/>
      </c>
      <c r="B2201" s="3" t="n">
        <v/>
      </c>
      <c r="C2201" s="3" t="inlineStr">
        <is>
          <t>Bracket Monitor 32"</t>
        </is>
      </c>
      <c r="D2201" s="3" t="n">
        <v/>
      </c>
      <c r="E2201" s="4" t="n">
        <v>120000</v>
      </c>
    </row>
    <row r="2202">
      <c r="A2202" s="3" t="n">
        <v/>
      </c>
      <c r="B2202" s="3" t="n">
        <v/>
      </c>
      <c r="C2202" s="3" t="inlineStr">
        <is>
          <t xml:space="preserve">Keyboard + Mouse </t>
        </is>
      </c>
      <c r="D2202" s="3" t="n">
        <v/>
      </c>
      <c r="E2202" s="4" t="n">
        <v>350000</v>
      </c>
    </row>
    <row r="2203">
      <c r="A2203" s="3" t="n">
        <v/>
      </c>
      <c r="B2203" s="3" t="n">
        <v/>
      </c>
      <c r="C2203" s="3" t="inlineStr">
        <is>
          <t xml:space="preserve">Indoor Fix Dome IP Camera </t>
        </is>
      </c>
      <c r="D2203" s="3" t="n">
        <v/>
      </c>
      <c r="E2203" s="4" t="n">
        <v>465000</v>
      </c>
    </row>
    <row r="2204">
      <c r="A2204" s="3" t="n">
        <v/>
      </c>
      <c r="B2204" s="3" t="n">
        <v/>
      </c>
      <c r="C2204" s="3" t="inlineStr">
        <is>
          <t xml:space="preserve">Outdoor Fix Dome IP Camera </t>
        </is>
      </c>
      <c r="D2204" s="3" t="n">
        <v/>
      </c>
      <c r="E2204" s="4" t="n">
        <v>504000</v>
      </c>
    </row>
    <row r="2205">
      <c r="A2205" s="3" t="n">
        <v/>
      </c>
      <c r="B2205" s="3" t="n">
        <v/>
      </c>
      <c r="C2205" s="3" t="inlineStr">
        <is>
          <t>Outdoor Smart Wifi CCTV 360 termasuk breket PTZ</t>
        </is>
      </c>
      <c r="D2205" s="3" t="inlineStr">
        <is>
          <t>unit</t>
        </is>
      </c>
      <c r="E2205" s="4" t="n">
        <v>2500000</v>
      </c>
    </row>
    <row r="2206">
      <c r="A2206" s="3" t="n">
        <v/>
      </c>
      <c r="B2206" s="3" t="n">
        <v/>
      </c>
      <c r="C2206" s="3" t="inlineStr">
        <is>
          <t>MDF-SS</t>
        </is>
      </c>
      <c r="D2206" s="3" t="n">
        <v/>
      </c>
      <c r="E2206" s="4" t="n">
        <v>1450000</v>
      </c>
    </row>
    <row r="2207">
      <c r="A2207" s="3" t="n">
        <v/>
      </c>
      <c r="B2207" s="3" t="n">
        <v/>
      </c>
      <c r="C2207" s="3" t="inlineStr">
        <is>
          <t>Selector Switch c/w Control Panel</t>
        </is>
      </c>
      <c r="D2207" s="3" t="n">
        <v/>
      </c>
      <c r="E2207" s="4" t="n">
        <v>850000</v>
      </c>
    </row>
    <row r="2208">
      <c r="A2208" s="3" t="n">
        <v/>
      </c>
      <c r="B2208" s="3" t="n">
        <v/>
      </c>
      <c r="C2208" s="3" t="inlineStr">
        <is>
          <t>Power Amplifier 480 Watt</t>
        </is>
      </c>
      <c r="D2208" s="3" t="n">
        <v/>
      </c>
      <c r="E2208" s="4" t="n">
        <v>2500000</v>
      </c>
    </row>
    <row r="2209">
      <c r="A2209" s="3" t="n">
        <v/>
      </c>
      <c r="B2209" s="3" t="n">
        <v/>
      </c>
      <c r="C2209" s="3" t="inlineStr">
        <is>
          <t>Power Amplifier 360 Watt</t>
        </is>
      </c>
      <c r="D2209" s="3" t="n">
        <v/>
      </c>
      <c r="E2209" s="4" t="n">
        <v>1500000</v>
      </c>
    </row>
    <row r="2210">
      <c r="A2210" s="3" t="n">
        <v/>
      </c>
      <c r="B2210" s="3" t="n">
        <v/>
      </c>
      <c r="C2210" s="3" t="inlineStr">
        <is>
          <t>Power Amplifier 240 Watt</t>
        </is>
      </c>
      <c r="D2210" s="3" t="n">
        <v/>
      </c>
      <c r="E2210" s="4" t="n">
        <v>1200000</v>
      </c>
    </row>
    <row r="2211">
      <c r="A2211" s="3" t="n">
        <v/>
      </c>
      <c r="B2211" s="3" t="n">
        <v/>
      </c>
      <c r="C2211" s="3" t="inlineStr">
        <is>
          <t>Power Amplifier 120 Watt</t>
        </is>
      </c>
      <c r="D2211" s="3" t="n">
        <v/>
      </c>
      <c r="E2211" s="4" t="n">
        <v>1000000</v>
      </c>
    </row>
    <row r="2212">
      <c r="A2212" s="3" t="n">
        <v/>
      </c>
      <c r="B2212" s="3" t="n">
        <v/>
      </c>
      <c r="C2212" s="3" t="inlineStr">
        <is>
          <t>Firedome Speaker c/w Wall Metal Box</t>
        </is>
      </c>
      <c r="D2212" s="3" t="inlineStr">
        <is>
          <t>unit</t>
        </is>
      </c>
      <c r="E2212" s="4" t="n">
        <v>1500000</v>
      </c>
    </row>
    <row r="2213">
      <c r="A2213" s="3" t="n">
        <v/>
      </c>
      <c r="B2213" s="3" t="n">
        <v/>
      </c>
      <c r="C2213" s="3" t="inlineStr">
        <is>
          <t>System Controller (Mixer Pre Amp + Equalizer)</t>
        </is>
      </c>
      <c r="D2213" s="3" t="n">
        <v/>
      </c>
      <c r="E2213" s="4" t="n">
        <v>250000</v>
      </c>
    </row>
    <row r="2214">
      <c r="A2214" s="3" t="n">
        <v/>
      </c>
      <c r="B2214" s="3" t="n">
        <v/>
      </c>
      <c r="C2214" s="3" t="inlineStr">
        <is>
          <t>Equalizer</t>
        </is>
      </c>
      <c r="D2214" s="3" t="inlineStr">
        <is>
          <t>Unit</t>
        </is>
      </c>
      <c r="E2214" s="4" t="n">
        <v>1500000</v>
      </c>
    </row>
    <row r="2215">
      <c r="A2215" s="3" t="n">
        <v/>
      </c>
      <c r="B2215" s="3" t="n">
        <v/>
      </c>
      <c r="C2215" s="3" t="inlineStr">
        <is>
          <t>Volume Control</t>
        </is>
      </c>
      <c r="D2215" s="3" t="inlineStr">
        <is>
          <t>Unit</t>
        </is>
      </c>
      <c r="E2215" s="4" t="n">
        <v>500000</v>
      </c>
    </row>
    <row r="2216">
      <c r="A2216" s="3" t="n">
        <v/>
      </c>
      <c r="B2216" s="3" t="n">
        <v/>
      </c>
      <c r="C2216" s="3" t="inlineStr">
        <is>
          <t>VCD/DVD/MP3/Mp4</t>
        </is>
      </c>
      <c r="D2216" s="3" t="n">
        <v/>
      </c>
      <c r="E2216" s="4" t="n">
        <v>250000</v>
      </c>
    </row>
    <row r="2217">
      <c r="A2217" s="3" t="n">
        <v/>
      </c>
      <c r="B2217" s="3" t="n">
        <v/>
      </c>
      <c r="C2217" s="3" t="inlineStr">
        <is>
          <t>Automatic Alarm System</t>
        </is>
      </c>
      <c r="D2217" s="3" t="inlineStr">
        <is>
          <t xml:space="preserve">unit </t>
        </is>
      </c>
      <c r="E2217" s="4" t="n">
        <v>1000000</v>
      </c>
    </row>
    <row r="2218">
      <c r="A2218" s="3" t="n">
        <v/>
      </c>
      <c r="B2218" s="3" t="n">
        <v/>
      </c>
      <c r="C2218" s="3" t="inlineStr">
        <is>
          <t>Paging Mic Keypad</t>
        </is>
      </c>
      <c r="D2218" s="3" t="n">
        <v/>
      </c>
      <c r="E2218" s="4" t="n">
        <v>640000</v>
      </c>
    </row>
    <row r="2219">
      <c r="A2219" s="3" t="n">
        <v/>
      </c>
      <c r="B2219" s="3" t="n">
        <v/>
      </c>
      <c r="C2219" s="3" t="inlineStr">
        <is>
          <t xml:space="preserve">UPS 1 KVA 4 Jam </t>
        </is>
      </c>
      <c r="D2219" s="3" t="n">
        <v/>
      </c>
      <c r="E2219" s="4" t="n">
        <v>2475000</v>
      </c>
    </row>
    <row r="2220">
      <c r="A2220" s="3" t="n">
        <v/>
      </c>
      <c r="B2220" s="3" t="n">
        <v/>
      </c>
      <c r="C2220" s="3" t="inlineStr">
        <is>
          <t>Rack Cabinet</t>
        </is>
      </c>
      <c r="D2220" s="3" t="n">
        <v/>
      </c>
      <c r="E2220" s="4" t="n">
        <v>670000</v>
      </c>
    </row>
    <row r="2221">
      <c r="A2221" s="3" t="n">
        <v/>
      </c>
      <c r="B2221" s="3" t="n">
        <v/>
      </c>
      <c r="C2221" s="3" t="inlineStr">
        <is>
          <t>Terminal Box Tata Suara (TBTS)</t>
        </is>
      </c>
      <c r="D2221" s="3" t="n">
        <v/>
      </c>
      <c r="E2221" s="4" t="n">
        <v>75000</v>
      </c>
    </row>
    <row r="2222">
      <c r="A2222" s="3" t="n">
        <v/>
      </c>
      <c r="B2222" s="3" t="n">
        <v/>
      </c>
      <c r="C2222" s="3" t="inlineStr">
        <is>
          <t>Ceiling Speaker</t>
        </is>
      </c>
      <c r="D2222" s="3" t="n">
        <v/>
      </c>
      <c r="E2222" s="4" t="n">
        <v>680000</v>
      </c>
    </row>
    <row r="2223">
      <c r="A2223" s="3" t="n">
        <v/>
      </c>
      <c r="B2223" s="3" t="n">
        <v/>
      </c>
      <c r="C2223" s="3" t="inlineStr">
        <is>
          <t>Wall Speaker</t>
        </is>
      </c>
      <c r="D2223" s="3" t="n">
        <v/>
      </c>
      <c r="E2223" s="4" t="n">
        <v>650000</v>
      </c>
    </row>
    <row r="2224">
      <c r="A2224" s="3" t="n">
        <v/>
      </c>
      <c r="B2224" s="3" t="n">
        <v/>
      </c>
      <c r="C2224" s="3" t="inlineStr">
        <is>
          <t>Horn Speaker</t>
        </is>
      </c>
      <c r="D2224" s="3" t="n">
        <v/>
      </c>
      <c r="E2224" s="4" t="n">
        <v>250000</v>
      </c>
    </row>
    <row r="2225">
      <c r="A2225" s="3" t="n">
        <v/>
      </c>
      <c r="B2225" s="3" t="n">
        <v/>
      </c>
      <c r="C2225" s="3" t="inlineStr">
        <is>
          <t xml:space="preserve">Tiang </t>
        </is>
      </c>
      <c r="D2225" s="3" t="inlineStr">
        <is>
          <t>m'</t>
        </is>
      </c>
      <c r="E2225" s="4" t="n">
        <v>55500</v>
      </c>
    </row>
    <row r="2226">
      <c r="A2226" s="3" t="n">
        <v/>
      </c>
      <c r="B2226" s="3" t="n">
        <v/>
      </c>
      <c r="C2226" s="3" t="inlineStr">
        <is>
          <t>MDF 2 x 8 Pair</t>
        </is>
      </c>
      <c r="D2226" s="3" t="inlineStr">
        <is>
          <t>Unit</t>
        </is>
      </c>
      <c r="E2226" s="4" t="n">
        <v>125000</v>
      </c>
    </row>
    <row r="2227">
      <c r="A2227" s="3" t="n">
        <v/>
      </c>
      <c r="B2227" s="3" t="n">
        <v/>
      </c>
      <c r="C2227" s="3" t="inlineStr">
        <is>
          <t>MDF 2 x 10 Pair</t>
        </is>
      </c>
      <c r="D2227" s="3" t="inlineStr">
        <is>
          <t>Unit</t>
        </is>
      </c>
      <c r="E2227" s="4" t="n">
        <v>150000</v>
      </c>
    </row>
    <row r="2228">
      <c r="A2228" s="3" t="n">
        <v/>
      </c>
      <c r="B2228" s="3" t="n">
        <v/>
      </c>
      <c r="C2228" s="3" t="inlineStr">
        <is>
          <t xml:space="preserve">Pemasangan 1 Unit PABX Kap: 1 Line 10 Extension </t>
        </is>
      </c>
      <c r="D2228" s="3" t="inlineStr">
        <is>
          <t xml:space="preserve">Unit </t>
        </is>
      </c>
      <c r="E2228" s="4" t="n">
        <v>1000000</v>
      </c>
    </row>
    <row r="2229">
      <c r="A2229" s="3" t="n">
        <v/>
      </c>
      <c r="B2229" s="3" t="n">
        <v/>
      </c>
      <c r="C2229" s="3" t="inlineStr">
        <is>
          <t xml:space="preserve">Pemasangan 1 Unit PABX Kap: 1 Line 8 Extension </t>
        </is>
      </c>
      <c r="D2229" s="3" t="inlineStr">
        <is>
          <t xml:space="preserve">Unit </t>
        </is>
      </c>
      <c r="E2229" s="4" t="n">
        <v>870000</v>
      </c>
    </row>
    <row r="2230">
      <c r="A2230" s="3" t="n">
        <v/>
      </c>
      <c r="B2230" s="3" t="n">
        <v/>
      </c>
      <c r="C2230" s="3" t="inlineStr">
        <is>
          <t>Terminal Box Telepon</t>
        </is>
      </c>
      <c r="D2230" s="3" t="n">
        <v/>
      </c>
      <c r="E2230" s="4" t="n">
        <v>250000</v>
      </c>
    </row>
    <row r="2231">
      <c r="A2231" s="3" t="n">
        <v/>
      </c>
      <c r="B2231" s="3" t="n">
        <v/>
      </c>
      <c r="C2231" s="3" t="inlineStr">
        <is>
          <t>Outlet Telepon</t>
        </is>
      </c>
      <c r="D2231" s="3" t="inlineStr">
        <is>
          <t xml:space="preserve">unit </t>
        </is>
      </c>
      <c r="E2231" s="4" t="n">
        <v>102000</v>
      </c>
    </row>
    <row r="2232">
      <c r="A2232" s="3" t="n">
        <v/>
      </c>
      <c r="B2232" s="3" t="n">
        <v/>
      </c>
      <c r="C2232" s="3" t="inlineStr">
        <is>
          <t>Telepon Kabel</t>
        </is>
      </c>
      <c r="D2232" s="3" t="inlineStr">
        <is>
          <t xml:space="preserve">unit </t>
        </is>
      </c>
      <c r="E2232" s="4" t="n">
        <v>600000</v>
      </c>
    </row>
    <row r="2233">
      <c r="A2233" s="3" t="n">
        <v/>
      </c>
      <c r="B2233" s="3" t="n">
        <v/>
      </c>
      <c r="C2233" s="3" t="inlineStr">
        <is>
          <t>Server / Gateway c/w PC, Monitor, Keyboard, Mouse</t>
        </is>
      </c>
      <c r="D2233" s="3" t="inlineStr">
        <is>
          <t xml:space="preserve">Unit </t>
        </is>
      </c>
      <c r="E2233" s="4" t="n">
        <v>6500000</v>
      </c>
    </row>
    <row r="2234">
      <c r="A2234" s="3" t="n">
        <v/>
      </c>
      <c r="B2234" s="3" t="n">
        <v/>
      </c>
      <c r="C2234" s="3" t="inlineStr">
        <is>
          <t>Main Switch HUB 24 Port</t>
        </is>
      </c>
      <c r="D2234" s="3" t="inlineStr">
        <is>
          <t>unit</t>
        </is>
      </c>
      <c r="E2234" s="4" t="n">
        <v>950000</v>
      </c>
    </row>
    <row r="2235">
      <c r="A2235" s="3" t="n">
        <v/>
      </c>
      <c r="B2235" s="3" t="n">
        <v/>
      </c>
      <c r="C2235" s="3" t="inlineStr">
        <is>
          <t>Main Switch HUB 12 Port</t>
        </is>
      </c>
      <c r="D2235" s="3" t="inlineStr">
        <is>
          <t>unit</t>
        </is>
      </c>
      <c r="E2235" s="4" t="n">
        <v>650000</v>
      </c>
    </row>
    <row r="2236">
      <c r="A2236" s="3" t="n">
        <v/>
      </c>
      <c r="B2236" s="3" t="n">
        <v/>
      </c>
      <c r="C2236" s="3" t="inlineStr">
        <is>
          <t>Router Broadband</t>
        </is>
      </c>
      <c r="D2236" s="3" t="n">
        <v/>
      </c>
      <c r="E2236" s="4" t="n">
        <v>550000</v>
      </c>
    </row>
    <row r="2237">
      <c r="A2237" s="3" t="n">
        <v/>
      </c>
      <c r="B2237" s="3" t="n">
        <v/>
      </c>
      <c r="C2237" s="3" t="inlineStr">
        <is>
          <t>Fire Wall + Anti Virus</t>
        </is>
      </c>
      <c r="D2237" s="3" t="n">
        <v/>
      </c>
      <c r="E2237" s="4" t="n">
        <v>250000</v>
      </c>
    </row>
    <row r="2238">
      <c r="A2238" s="3" t="n">
        <v/>
      </c>
      <c r="B2238" s="3" t="n">
        <v/>
      </c>
      <c r="C2238" s="3" t="inlineStr">
        <is>
          <t>Outlet Data</t>
        </is>
      </c>
      <c r="D2238" s="3" t="n">
        <v/>
      </c>
      <c r="E2238" s="4" t="n">
        <v>150000</v>
      </c>
    </row>
    <row r="2239">
      <c r="A2239" s="3" t="n">
        <v/>
      </c>
      <c r="B2239" s="3" t="n">
        <v/>
      </c>
      <c r="C2239" s="3" t="inlineStr">
        <is>
          <t>Patch Cord</t>
        </is>
      </c>
      <c r="D2239" s="3" t="n">
        <v/>
      </c>
      <c r="E2239" s="4" t="n">
        <v>30000</v>
      </c>
    </row>
    <row r="2240">
      <c r="A2240" s="3" t="n">
        <v/>
      </c>
      <c r="B2240" s="3" t="n">
        <v/>
      </c>
      <c r="C2240" s="3" t="inlineStr">
        <is>
          <t>Patch Panel 24 Port</t>
        </is>
      </c>
      <c r="D2240" s="3" t="n">
        <v/>
      </c>
      <c r="E2240" s="4" t="n">
        <v>500000</v>
      </c>
    </row>
    <row r="2241">
      <c r="A2241" s="3" t="n">
        <v/>
      </c>
      <c r="B2241" s="3" t="n">
        <v/>
      </c>
      <c r="C2241" s="3" t="inlineStr">
        <is>
          <t>Wifi Access Point (Wifi 6 Radius 50 M)</t>
        </is>
      </c>
      <c r="D2241" s="3" t="n">
        <v/>
      </c>
      <c r="E2241" s="4" t="n">
        <v>1500000</v>
      </c>
    </row>
    <row r="2242">
      <c r="A2242" s="3" t="n">
        <v/>
      </c>
      <c r="B2242" s="3" t="n">
        <v/>
      </c>
      <c r="C2242" s="3" t="inlineStr">
        <is>
          <t>Switch Hub 8 Port</t>
        </is>
      </c>
      <c r="D2242" s="3" t="n">
        <v/>
      </c>
      <c r="E2242" s="4" t="n">
        <v>250000</v>
      </c>
    </row>
    <row r="2243">
      <c r="A2243" s="3" t="n">
        <v/>
      </c>
      <c r="B2243" s="3" t="n">
        <v/>
      </c>
      <c r="C2243" s="3" t="inlineStr">
        <is>
          <t xml:space="preserve">Media Converter </t>
        </is>
      </c>
      <c r="D2243" s="3" t="n">
        <v/>
      </c>
      <c r="E2243" s="4" t="n">
        <v>110000</v>
      </c>
    </row>
    <row r="2244">
      <c r="A2244" s="3" t="n">
        <v/>
      </c>
      <c r="B2244" s="3" t="n">
        <v/>
      </c>
      <c r="C2244" s="3" t="inlineStr">
        <is>
          <t xml:space="preserve">OTB </t>
        </is>
      </c>
      <c r="D2244" s="3" t="n">
        <v/>
      </c>
      <c r="E2244" s="4" t="n">
        <v>150000</v>
      </c>
    </row>
    <row r="2245">
      <c r="A2245" s="3" t="n">
        <v/>
      </c>
      <c r="B2245" s="3" t="n">
        <v/>
      </c>
      <c r="C2245" s="3" t="inlineStr">
        <is>
          <t>Touch Screen Panel 7"</t>
        </is>
      </c>
      <c r="D2245" s="3" t="n">
        <v/>
      </c>
      <c r="E2245" s="4" t="n">
        <v>2300000</v>
      </c>
    </row>
    <row r="2246">
      <c r="A2246" s="3" t="n">
        <v/>
      </c>
      <c r="B2246" s="3" t="n">
        <v/>
      </c>
      <c r="C2246" s="3" t="inlineStr">
        <is>
          <t>Touch Screen Panel 10"</t>
        </is>
      </c>
      <c r="D2246" s="3" t="n">
        <v/>
      </c>
      <c r="E2246" s="4" t="n">
        <v>2500000</v>
      </c>
    </row>
    <row r="2247">
      <c r="A2247" s="3" t="n">
        <v/>
      </c>
      <c r="B2247" s="3" t="n">
        <v/>
      </c>
      <c r="C2247" s="3" t="inlineStr">
        <is>
          <t>Touch Screen Panel 12"</t>
        </is>
      </c>
      <c r="D2247" s="3" t="n">
        <v/>
      </c>
      <c r="E2247" s="4" t="n">
        <v>2900000</v>
      </c>
    </row>
    <row r="2248">
      <c r="A2248" s="3" t="n">
        <v/>
      </c>
      <c r="B2248" s="3" t="n">
        <v/>
      </c>
      <c r="C2248" s="3" t="inlineStr">
        <is>
          <t>Touch Screen Panel 14"</t>
        </is>
      </c>
      <c r="D2248" s="3" t="n">
        <v/>
      </c>
      <c r="E2248" s="4" t="n">
        <v>3200000</v>
      </c>
    </row>
    <row r="2249">
      <c r="A2249" s="3" t="n">
        <v/>
      </c>
      <c r="B2249" s="3" t="n">
        <v/>
      </c>
      <c r="C2249" s="3" t="inlineStr">
        <is>
          <t>Wall Mounted Rack 15U</t>
        </is>
      </c>
      <c r="D2249" s="3" t="n">
        <v/>
      </c>
      <c r="E2249" s="4" t="n">
        <v>150000</v>
      </c>
    </row>
    <row r="2250">
      <c r="A2250" s="3" t="n">
        <v/>
      </c>
      <c r="B2250" s="3" t="n">
        <v/>
      </c>
      <c r="C2250" s="3" t="inlineStr">
        <is>
          <t>Workstation, Meja+Kursi</t>
        </is>
      </c>
      <c r="D2250" s="3" t="n">
        <v/>
      </c>
      <c r="E2250" s="4" t="n">
        <v>2550000</v>
      </c>
    </row>
    <row r="2251">
      <c r="A2251" s="3" t="n">
        <v/>
      </c>
      <c r="B2251" s="3" t="n">
        <v/>
      </c>
      <c r="C2251" s="3" t="inlineStr">
        <is>
          <t>Modular Jack</t>
        </is>
      </c>
      <c r="D2251" s="3" t="n">
        <v/>
      </c>
      <c r="E2251" s="4" t="n">
        <v>100000</v>
      </c>
    </row>
    <row r="2252">
      <c r="A2252" s="3" t="n">
        <v/>
      </c>
      <c r="B2252" s="3" t="n">
        <v/>
      </c>
      <c r="C2252" s="3" t="inlineStr">
        <is>
          <t xml:space="preserve">Connector </t>
        </is>
      </c>
      <c r="D2252" s="3" t="n">
        <v/>
      </c>
      <c r="E2252" s="4" t="n">
        <v>2550</v>
      </c>
    </row>
    <row r="2253">
      <c r="A2253" s="3" t="n">
        <v/>
      </c>
      <c r="B2253" s="3" t="n">
        <v/>
      </c>
      <c r="C2253" s="3" t="inlineStr">
        <is>
          <t>Splitter TV 6 Port</t>
        </is>
      </c>
      <c r="D2253" s="3" t="n">
        <v/>
      </c>
      <c r="E2253" s="4" t="n">
        <v>100000</v>
      </c>
    </row>
    <row r="2254">
      <c r="A2254" s="3" t="n">
        <v/>
      </c>
      <c r="B2254" s="3" t="n">
        <v/>
      </c>
      <c r="C2254" s="3" t="inlineStr">
        <is>
          <t>Splitter TV 7 Port</t>
        </is>
      </c>
      <c r="D2254" s="3" t="n">
        <v/>
      </c>
      <c r="E2254" s="4" t="n">
        <v>125000</v>
      </c>
    </row>
    <row r="2255">
      <c r="A2255" s="3" t="n">
        <v/>
      </c>
      <c r="B2255" s="3" t="n">
        <v/>
      </c>
      <c r="C2255" s="3" t="inlineStr">
        <is>
          <t>Terminal Bocx TV</t>
        </is>
      </c>
      <c r="D2255" s="3" t="n">
        <v/>
      </c>
      <c r="E2255" s="4" t="n">
        <v>250000</v>
      </c>
    </row>
    <row r="2256">
      <c r="A2256" s="3" t="n">
        <v/>
      </c>
      <c r="B2256" s="3" t="n">
        <v/>
      </c>
      <c r="C2256" s="3" t="inlineStr">
        <is>
          <t>Antena UHF</t>
        </is>
      </c>
      <c r="D2256" s="3" t="n">
        <v/>
      </c>
      <c r="E2256" s="4" t="n">
        <v>130000</v>
      </c>
    </row>
    <row r="2257">
      <c r="A2257" s="3" t="n">
        <v/>
      </c>
      <c r="B2257" s="3" t="n">
        <v/>
      </c>
      <c r="C2257" s="3" t="inlineStr">
        <is>
          <t>Antena VHF</t>
        </is>
      </c>
      <c r="D2257" s="3" t="n">
        <v/>
      </c>
      <c r="E2257" s="4" t="n">
        <v>150000</v>
      </c>
    </row>
    <row r="2258">
      <c r="A2258" s="3" t="n">
        <v/>
      </c>
      <c r="B2258" s="3" t="n">
        <v/>
      </c>
      <c r="C2258" s="3" t="inlineStr">
        <is>
          <t>AC Wall Mounted Kap : 5.000 BTUH</t>
        </is>
      </c>
      <c r="D2258" s="3" t="n">
        <v/>
      </c>
      <c r="E2258" s="4" t="n">
        <v>3200000</v>
      </c>
    </row>
    <row r="2259">
      <c r="A2259" s="3" t="n">
        <v/>
      </c>
      <c r="B2259" s="3" t="n">
        <v/>
      </c>
      <c r="C2259" s="3" t="inlineStr">
        <is>
          <t>AC Wall Mounted Kap : 6.500 BTUH</t>
        </is>
      </c>
      <c r="D2259" s="3" t="n">
        <v/>
      </c>
      <c r="E2259" s="4" t="n">
        <v>3800000</v>
      </c>
    </row>
    <row r="2260">
      <c r="A2260" s="3" t="n">
        <v/>
      </c>
      <c r="B2260" s="3" t="n">
        <v/>
      </c>
      <c r="C2260" s="3" t="inlineStr">
        <is>
          <t>AC Wall Mounted Kap : 7.000 BTUH</t>
        </is>
      </c>
      <c r="D2260" s="3" t="n">
        <v/>
      </c>
      <c r="E2260" s="4" t="n">
        <v>4200000</v>
      </c>
    </row>
    <row r="2261">
      <c r="A2261" s="3" t="n">
        <v/>
      </c>
      <c r="B2261" s="3" t="n">
        <v/>
      </c>
      <c r="C2261" s="3" t="inlineStr">
        <is>
          <t>AC Wall Mounted Kap : 9.000 BTUH</t>
        </is>
      </c>
      <c r="D2261" s="3" t="n">
        <v/>
      </c>
      <c r="E2261" s="4" t="n">
        <v>4500000</v>
      </c>
    </row>
    <row r="2262">
      <c r="A2262" s="3" t="n">
        <v/>
      </c>
      <c r="B2262" s="3" t="n">
        <v/>
      </c>
      <c r="C2262" s="3" t="inlineStr">
        <is>
          <t>AC Wall Mounted Kap : 12.000 BTUH</t>
        </is>
      </c>
      <c r="D2262" s="3" t="n">
        <v/>
      </c>
      <c r="E2262" s="4" t="n">
        <v>5300000</v>
      </c>
    </row>
    <row r="2263">
      <c r="A2263" s="3" t="n">
        <v/>
      </c>
      <c r="B2263" s="3" t="n">
        <v/>
      </c>
      <c r="C2263" s="3" t="inlineStr">
        <is>
          <t>AC Wall Mounted Kap : 15.400 BTUH</t>
        </is>
      </c>
      <c r="D2263" s="3" t="n">
        <v/>
      </c>
      <c r="E2263" s="4" t="n">
        <v>6000000</v>
      </c>
    </row>
    <row r="2264">
      <c r="A2264" s="3" t="n">
        <v/>
      </c>
      <c r="B2264" s="3" t="n">
        <v/>
      </c>
      <c r="C2264" s="3" t="inlineStr">
        <is>
          <t>AC Wall Mounted Kap : 19.100 BTUH</t>
        </is>
      </c>
      <c r="D2264" s="3" t="n">
        <v/>
      </c>
      <c r="E2264" s="4" t="n">
        <v>6500000</v>
      </c>
    </row>
    <row r="2265">
      <c r="A2265" s="3" t="n">
        <v/>
      </c>
      <c r="B2265" s="3" t="n">
        <v/>
      </c>
      <c r="C2265" s="3" t="inlineStr">
        <is>
          <t>AC Wall Mounted Kap : 24.000 BTUH</t>
        </is>
      </c>
      <c r="D2265" s="3" t="n">
        <v/>
      </c>
      <c r="E2265" s="4" t="n">
        <v>7600000</v>
      </c>
    </row>
    <row r="2266">
      <c r="A2266" s="3" t="n">
        <v/>
      </c>
      <c r="B2266" s="3" t="n">
        <v/>
      </c>
      <c r="C2266" s="3" t="inlineStr">
        <is>
          <t>AC Wall Mounted Kap : 35.000 BTUH</t>
        </is>
      </c>
      <c r="D2266" s="3" t="n">
        <v/>
      </c>
      <c r="E2266" s="4" t="n">
        <v>10000000</v>
      </c>
    </row>
    <row r="2267">
      <c r="A2267" s="3" t="n">
        <v/>
      </c>
      <c r="B2267" s="3" t="n">
        <v/>
      </c>
      <c r="C2267" s="3" t="inlineStr">
        <is>
          <t>AC Cassette Kap : 15.400 BTUH</t>
        </is>
      </c>
      <c r="D2267" s="3" t="inlineStr">
        <is>
          <t>unit</t>
        </is>
      </c>
      <c r="E2267" s="4" t="n">
        <v>15000000</v>
      </c>
    </row>
    <row r="2268">
      <c r="A2268" s="3" t="n">
        <v/>
      </c>
      <c r="B2268" s="3" t="n">
        <v/>
      </c>
      <c r="C2268" s="3" t="inlineStr">
        <is>
          <t>AC Cassette Kap : 19.100 BTUH</t>
        </is>
      </c>
      <c r="D2268" s="3" t="inlineStr">
        <is>
          <t>unit</t>
        </is>
      </c>
      <c r="E2268" s="4" t="n">
        <v>17500000</v>
      </c>
    </row>
    <row r="2269">
      <c r="A2269" s="3" t="n">
        <v/>
      </c>
      <c r="B2269" s="3" t="n">
        <v/>
      </c>
      <c r="C2269" s="3" t="inlineStr">
        <is>
          <t>AC Cassette Kap : 24.200 BTUH</t>
        </is>
      </c>
      <c r="D2269" s="3" t="inlineStr">
        <is>
          <t>unit</t>
        </is>
      </c>
      <c r="E2269" s="4" t="n">
        <v>22500000</v>
      </c>
    </row>
    <row r="2270">
      <c r="A2270" s="3" t="n">
        <v/>
      </c>
      <c r="B2270" s="3" t="n">
        <v/>
      </c>
      <c r="C2270" s="3" t="inlineStr">
        <is>
          <t>AC Cassette Kap : 30.700 BTUH</t>
        </is>
      </c>
      <c r="D2270" s="3" t="inlineStr">
        <is>
          <t>unit</t>
        </is>
      </c>
      <c r="E2270" s="4" t="n">
        <v>30000000</v>
      </c>
    </row>
    <row r="2271">
      <c r="A2271" s="3" t="n">
        <v/>
      </c>
      <c r="B2271" s="3" t="n">
        <v/>
      </c>
      <c r="C2271" s="3" t="inlineStr">
        <is>
          <t>AC Cassette Kap : 38.200 BTUH</t>
        </is>
      </c>
      <c r="D2271" s="3" t="inlineStr">
        <is>
          <t>unit</t>
        </is>
      </c>
      <c r="E2271" s="4" t="n">
        <v>35000000</v>
      </c>
    </row>
    <row r="2272">
      <c r="A2272" s="3" t="n">
        <v/>
      </c>
      <c r="B2272" s="3" t="n">
        <v/>
      </c>
      <c r="C2272" s="3" t="inlineStr">
        <is>
          <t>AC Cassette Kap : 47.800 BTUH</t>
        </is>
      </c>
      <c r="D2272" s="3" t="inlineStr">
        <is>
          <t>unit</t>
        </is>
      </c>
      <c r="E2272" s="4" t="n">
        <v>40000000</v>
      </c>
    </row>
    <row r="2273">
      <c r="A2273" s="3" t="n">
        <v/>
      </c>
      <c r="B2273" s="3" t="n">
        <v/>
      </c>
      <c r="C2273" s="3" t="inlineStr">
        <is>
          <t>AC Cassette Kap : 54.600 BTUH</t>
        </is>
      </c>
      <c r="D2273" s="3" t="inlineStr">
        <is>
          <t>unit</t>
        </is>
      </c>
      <c r="E2273" s="4" t="n">
        <v>45000000</v>
      </c>
    </row>
    <row r="2274">
      <c r="A2274" s="3" t="n">
        <v/>
      </c>
      <c r="B2274" s="3" t="n">
        <v/>
      </c>
      <c r="C2274" s="3" t="inlineStr">
        <is>
          <t>AC Cassette Duct Kap. 24.200 Btu/h</t>
        </is>
      </c>
      <c r="D2274" s="3" t="inlineStr">
        <is>
          <t>unit</t>
        </is>
      </c>
      <c r="E2274" s="4" t="n">
        <v>16500000</v>
      </c>
    </row>
    <row r="2275">
      <c r="A2275" s="3" t="n">
        <v/>
      </c>
      <c r="B2275" s="3" t="n">
        <v/>
      </c>
      <c r="C2275" s="3" t="inlineStr">
        <is>
          <t>AC Cassette Duct Kap. 30.700 Btu/h</t>
        </is>
      </c>
      <c r="D2275" s="3" t="inlineStr">
        <is>
          <t>unit</t>
        </is>
      </c>
      <c r="E2275" s="4" t="n">
        <v>32000000</v>
      </c>
    </row>
    <row r="2276">
      <c r="A2276" s="3" t="n">
        <v/>
      </c>
      <c r="B2276" s="3" t="n">
        <v/>
      </c>
      <c r="C2276" s="3" t="inlineStr">
        <is>
          <t>AC Cassette Duct Kap. 38.200 Btu/h</t>
        </is>
      </c>
      <c r="D2276" s="3" t="inlineStr">
        <is>
          <t>unit</t>
        </is>
      </c>
      <c r="E2276" s="4" t="n">
        <v>37000000</v>
      </c>
    </row>
    <row r="2277">
      <c r="A2277" s="3" t="n">
        <v/>
      </c>
      <c r="B2277" s="3" t="n">
        <v/>
      </c>
      <c r="C2277" s="3" t="inlineStr">
        <is>
          <t>AC Split Duct Kap. 12.300 Btu/h</t>
        </is>
      </c>
      <c r="D2277" s="3" t="inlineStr">
        <is>
          <t>unit</t>
        </is>
      </c>
      <c r="E2277" s="4" t="n">
        <v>11000000</v>
      </c>
    </row>
    <row r="2278">
      <c r="A2278" s="3" t="n">
        <v/>
      </c>
      <c r="B2278" s="3" t="n">
        <v/>
      </c>
      <c r="C2278" s="3" t="inlineStr">
        <is>
          <t>AC Split Duct Kap. 15.400 Btu/h</t>
        </is>
      </c>
      <c r="D2278" s="3" t="inlineStr">
        <is>
          <t>unit</t>
        </is>
      </c>
      <c r="E2278" s="4" t="n">
        <v>16000000</v>
      </c>
    </row>
    <row r="2279">
      <c r="A2279" s="3" t="n">
        <v/>
      </c>
      <c r="B2279" s="3" t="n">
        <v/>
      </c>
      <c r="C2279" s="3" t="inlineStr">
        <is>
          <t>AC Split Duct Kap. 24.200 Btu/h</t>
        </is>
      </c>
      <c r="D2279" s="3" t="inlineStr">
        <is>
          <t>unit</t>
        </is>
      </c>
      <c r="E2279" s="4" t="n">
        <v>23500000</v>
      </c>
    </row>
    <row r="2280">
      <c r="A2280" s="3" t="n">
        <v/>
      </c>
      <c r="B2280" s="3" t="n">
        <v/>
      </c>
      <c r="C2280" s="3" t="inlineStr">
        <is>
          <t>AC Split Duct Kap. 30.700 Btu/h</t>
        </is>
      </c>
      <c r="D2280" s="3" t="inlineStr">
        <is>
          <t>unit</t>
        </is>
      </c>
      <c r="E2280" s="4" t="n">
        <v>31000000</v>
      </c>
    </row>
    <row r="2281">
      <c r="A2281" s="3" t="n">
        <v/>
      </c>
      <c r="B2281" s="3" t="n">
        <v/>
      </c>
      <c r="C2281" s="3" t="inlineStr">
        <is>
          <t>AC Split Duct Kap. 38.200 Btu/h</t>
        </is>
      </c>
      <c r="D2281" s="3" t="inlineStr">
        <is>
          <t>unit</t>
        </is>
      </c>
      <c r="E2281" s="4" t="n">
        <v>36000000</v>
      </c>
    </row>
    <row r="2282">
      <c r="A2282" s="3" t="n">
        <v/>
      </c>
      <c r="B2282" s="3" t="n">
        <v/>
      </c>
      <c r="C2282" s="3" t="inlineStr">
        <is>
          <t>AC Split Duct Kap. 47.800 Btu/h</t>
        </is>
      </c>
      <c r="D2282" s="3" t="inlineStr">
        <is>
          <t>unit</t>
        </is>
      </c>
      <c r="E2282" s="4" t="n">
        <v>41000000</v>
      </c>
    </row>
    <row r="2283">
      <c r="A2283" s="3" t="n">
        <v/>
      </c>
      <c r="B2283" s="3" t="n">
        <v/>
      </c>
      <c r="C2283" s="3" t="inlineStr">
        <is>
          <t>AC Split Duct Kap. 54.600 Btu/h</t>
        </is>
      </c>
      <c r="D2283" s="3" t="inlineStr">
        <is>
          <t>unit</t>
        </is>
      </c>
      <c r="E2283" s="4" t="n">
        <v>47000000</v>
      </c>
    </row>
    <row r="2284">
      <c r="A2284" s="3" t="n">
        <v/>
      </c>
      <c r="B2284" s="3" t="n">
        <v/>
      </c>
      <c r="C2284" s="3" t="inlineStr">
        <is>
          <t>AC High Static Duct Kap. 76.400 Btu/h</t>
        </is>
      </c>
      <c r="D2284" s="3" t="inlineStr">
        <is>
          <t>unit</t>
        </is>
      </c>
      <c r="E2284" s="4" t="n">
        <v>57000000</v>
      </c>
    </row>
    <row r="2285">
      <c r="A2285" s="3" t="n">
        <v/>
      </c>
      <c r="B2285" s="3" t="n">
        <v/>
      </c>
      <c r="C2285" s="3" t="inlineStr">
        <is>
          <t>AC High Static Duct Kap. 95.500 Btu/h</t>
        </is>
      </c>
      <c r="D2285" s="3" t="inlineStr">
        <is>
          <t>unit</t>
        </is>
      </c>
      <c r="E2285" s="4" t="n">
        <v>77000000</v>
      </c>
    </row>
    <row r="2286">
      <c r="A2286" s="3" t="n">
        <v/>
      </c>
      <c r="B2286" s="3" t="n">
        <v/>
      </c>
      <c r="C2286" s="3" t="inlineStr">
        <is>
          <t>Outdoor Air Processing Kap. 30.700 Btu/h</t>
        </is>
      </c>
      <c r="D2286" s="3" t="inlineStr">
        <is>
          <t>unit</t>
        </is>
      </c>
      <c r="E2286" s="4" t="n">
        <v>35000000</v>
      </c>
    </row>
    <row r="2287">
      <c r="A2287" s="3" t="n">
        <v/>
      </c>
      <c r="B2287" s="3" t="n">
        <v/>
      </c>
      <c r="C2287" s="3" t="inlineStr">
        <is>
          <t>Outdoor Air Processing Kap. 38.200 Btu/h</t>
        </is>
      </c>
      <c r="D2287" s="3" t="inlineStr">
        <is>
          <t>unit</t>
        </is>
      </c>
      <c r="E2287" s="4" t="n">
        <v>45000000</v>
      </c>
    </row>
    <row r="2288">
      <c r="A2288" s="3" t="n">
        <v/>
      </c>
      <c r="B2288" s="3" t="n">
        <v/>
      </c>
      <c r="C2288" s="3" t="inlineStr">
        <is>
          <t>Outdoor Air Processing Kap. 76.400 Btu/h</t>
        </is>
      </c>
      <c r="D2288" s="3" t="inlineStr">
        <is>
          <t>unit</t>
        </is>
      </c>
      <c r="E2288" s="4" t="n">
        <v>75000000</v>
      </c>
    </row>
    <row r="2289">
      <c r="A2289" s="3" t="n">
        <v/>
      </c>
      <c r="B2289" s="3" t="n">
        <v/>
      </c>
      <c r="C2289" s="3" t="inlineStr">
        <is>
          <t>Outdoor Air Processing Kap. 95.500 Btu/h</t>
        </is>
      </c>
      <c r="D2289" s="3" t="inlineStr">
        <is>
          <t>unit</t>
        </is>
      </c>
      <c r="E2289" s="4" t="n">
        <v>95000000</v>
      </c>
    </row>
    <row r="2290">
      <c r="A2290" s="3" t="n">
        <v/>
      </c>
      <c r="B2290" s="3" t="n">
        <v/>
      </c>
      <c r="C2290" s="3" t="inlineStr">
        <is>
          <t>Ceiling Fan, 50 CFM</t>
        </is>
      </c>
      <c r="D2290" s="3" t="inlineStr">
        <is>
          <t>unit</t>
        </is>
      </c>
      <c r="E2290" s="4" t="n">
        <v>900000</v>
      </c>
    </row>
    <row r="2291">
      <c r="A2291" s="3" t="n">
        <v/>
      </c>
      <c r="B2291" s="3" t="n">
        <v/>
      </c>
      <c r="C2291" s="3" t="inlineStr">
        <is>
          <t>Ceiling Fan, 75 CFM</t>
        </is>
      </c>
      <c r="D2291" s="3" t="inlineStr">
        <is>
          <t>unit</t>
        </is>
      </c>
      <c r="E2291" s="4" t="n">
        <v>1200000</v>
      </c>
    </row>
    <row r="2292">
      <c r="A2292" s="3" t="n">
        <v/>
      </c>
      <c r="B2292" s="3" t="n">
        <v/>
      </c>
      <c r="C2292" s="3" t="inlineStr">
        <is>
          <t>Ceiling Fan, 100 CFM</t>
        </is>
      </c>
      <c r="D2292" s="3" t="inlineStr">
        <is>
          <t>unit</t>
        </is>
      </c>
      <c r="E2292" s="4" t="n">
        <v>1350000</v>
      </c>
    </row>
    <row r="2293">
      <c r="A2293" s="3" t="n">
        <v/>
      </c>
      <c r="B2293" s="3" t="n">
        <v/>
      </c>
      <c r="C2293" s="3" t="inlineStr">
        <is>
          <t>Ceiling Fan, 200 CFM</t>
        </is>
      </c>
      <c r="D2293" s="3" t="inlineStr">
        <is>
          <t>unit</t>
        </is>
      </c>
      <c r="E2293" s="4" t="n">
        <v>1500000</v>
      </c>
    </row>
    <row r="2294">
      <c r="A2294" s="3" t="n">
        <v/>
      </c>
      <c r="B2294" s="3" t="n">
        <v/>
      </c>
      <c r="C2294" s="3" t="inlineStr">
        <is>
          <t>Ceiling Fan Sirroco</t>
        </is>
      </c>
      <c r="D2294" s="3" t="inlineStr">
        <is>
          <t>unit</t>
        </is>
      </c>
      <c r="E2294" s="4" t="n">
        <v>2500000</v>
      </c>
    </row>
    <row r="2295">
      <c r="A2295" s="3" t="n">
        <v/>
      </c>
      <c r="B2295" s="3" t="n">
        <v/>
      </c>
      <c r="C2295" s="3" t="inlineStr">
        <is>
          <t>Inline  Fan, 500 CFM</t>
        </is>
      </c>
      <c r="D2295" s="3" t="inlineStr">
        <is>
          <t>unit</t>
        </is>
      </c>
      <c r="E2295" s="4" t="n">
        <v>1300000</v>
      </c>
    </row>
    <row r="2296">
      <c r="A2296" s="3" t="n">
        <v/>
      </c>
      <c r="B2296" s="3" t="n">
        <v/>
      </c>
      <c r="C2296" s="3" t="inlineStr">
        <is>
          <t>Inline  Fan, 700 CFM</t>
        </is>
      </c>
      <c r="D2296" s="3" t="inlineStr">
        <is>
          <t>unit</t>
        </is>
      </c>
      <c r="E2296" s="4" t="n">
        <v>1700000</v>
      </c>
    </row>
    <row r="2297">
      <c r="A2297" s="3" t="n">
        <v/>
      </c>
      <c r="B2297" s="3" t="n">
        <v/>
      </c>
      <c r="C2297" s="3" t="inlineStr">
        <is>
          <t>Axial Fan ; 2.600 CFM</t>
        </is>
      </c>
      <c r="D2297" s="3" t="inlineStr">
        <is>
          <t>unit</t>
        </is>
      </c>
      <c r="E2297" s="4" t="n">
        <v>780000</v>
      </c>
    </row>
    <row r="2298">
      <c r="A2298" s="3" t="n">
        <v/>
      </c>
      <c r="B2298" s="3" t="n">
        <v/>
      </c>
      <c r="C2298" s="3" t="inlineStr">
        <is>
          <t>Axial Fan ; 2.800 CFM</t>
        </is>
      </c>
      <c r="D2298" s="3" t="inlineStr">
        <is>
          <t>unit</t>
        </is>
      </c>
      <c r="E2298" s="4" t="n">
        <v>860000</v>
      </c>
    </row>
    <row r="2299">
      <c r="A2299" s="3" t="n">
        <v/>
      </c>
      <c r="B2299" s="3" t="n">
        <v/>
      </c>
      <c r="C2299" s="3" t="inlineStr">
        <is>
          <t>Axial Fan ; 3.200 CFM</t>
        </is>
      </c>
      <c r="D2299" s="3" t="inlineStr">
        <is>
          <t>unit</t>
        </is>
      </c>
      <c r="E2299" s="4" t="n">
        <v>995000</v>
      </c>
    </row>
    <row r="2300">
      <c r="A2300" s="3" t="n">
        <v/>
      </c>
      <c r="B2300" s="3" t="n">
        <v/>
      </c>
      <c r="C2300" s="3" t="inlineStr">
        <is>
          <t>Axial Fan ; 3.500 CFM</t>
        </is>
      </c>
      <c r="D2300" s="3" t="inlineStr">
        <is>
          <t>unit</t>
        </is>
      </c>
      <c r="E2300" s="4" t="n">
        <v>1020000</v>
      </c>
    </row>
    <row r="2301">
      <c r="A2301" s="3" t="n">
        <v/>
      </c>
      <c r="B2301" s="3" t="n">
        <v/>
      </c>
      <c r="C2301" s="3" t="inlineStr">
        <is>
          <t>Axial Fan ; 4.000 CFM</t>
        </is>
      </c>
      <c r="D2301" s="3" t="inlineStr">
        <is>
          <t>unit</t>
        </is>
      </c>
      <c r="E2301" s="4" t="n">
        <v>1350000</v>
      </c>
    </row>
    <row r="2302">
      <c r="A2302" s="3" t="n">
        <v/>
      </c>
      <c r="B2302" s="3" t="n">
        <v/>
      </c>
      <c r="C2302" s="3" t="inlineStr">
        <is>
          <t>Axial Fan ; 5.500 CFM</t>
        </is>
      </c>
      <c r="D2302" s="3" t="inlineStr">
        <is>
          <t>unit</t>
        </is>
      </c>
      <c r="E2302" s="4" t="n">
        <v>1700000</v>
      </c>
    </row>
    <row r="2303">
      <c r="A2303" s="3" t="n">
        <v/>
      </c>
      <c r="B2303" s="3" t="n">
        <v/>
      </c>
      <c r="C2303" s="3" t="inlineStr">
        <is>
          <t>Rotary Fan</t>
        </is>
      </c>
      <c r="D2303" s="3" t="inlineStr">
        <is>
          <t>unit</t>
        </is>
      </c>
      <c r="E2303" s="4" t="n">
        <v>750000</v>
      </c>
    </row>
    <row r="2304">
      <c r="A2304" s="3" t="n">
        <v/>
      </c>
      <c r="B2304" s="3" t="n">
        <v/>
      </c>
      <c r="C2304" s="3" t="inlineStr">
        <is>
          <t>Ceiling Fan Rotary</t>
        </is>
      </c>
      <c r="D2304" s="3" t="inlineStr">
        <is>
          <t>unit</t>
        </is>
      </c>
      <c r="E2304" s="4" t="n">
        <v>1500000</v>
      </c>
    </row>
    <row r="2305">
      <c r="A2305" s="3" t="n">
        <v/>
      </c>
      <c r="B2305" s="3" t="n">
        <v/>
      </c>
      <c r="C2305" s="3" t="inlineStr">
        <is>
          <t>Bifurcated Fan; 1.500 CFM</t>
        </is>
      </c>
      <c r="D2305" s="3" t="inlineStr">
        <is>
          <t>unit</t>
        </is>
      </c>
      <c r="E2305" s="4" t="n">
        <v>8300000</v>
      </c>
    </row>
    <row r="2306">
      <c r="A2306" s="3" t="n">
        <v/>
      </c>
      <c r="B2306" s="3" t="n">
        <v/>
      </c>
      <c r="C2306" s="3" t="inlineStr">
        <is>
          <t>Propeller Fan, 75 CFM</t>
        </is>
      </c>
      <c r="D2306" s="3" t="inlineStr">
        <is>
          <t>unit</t>
        </is>
      </c>
      <c r="E2306" s="4" t="n">
        <v>1800000</v>
      </c>
    </row>
    <row r="2307">
      <c r="A2307" s="3" t="n">
        <v/>
      </c>
      <c r="B2307" s="3" t="n">
        <v/>
      </c>
      <c r="C2307" s="3" t="inlineStr">
        <is>
          <t>Propeller Fan, 100 CFM</t>
        </is>
      </c>
      <c r="D2307" s="3" t="inlineStr">
        <is>
          <t>unit</t>
        </is>
      </c>
      <c r="E2307" s="4" t="n">
        <v>2100000</v>
      </c>
    </row>
    <row r="2308">
      <c r="A2308" s="3" t="n">
        <v/>
      </c>
      <c r="B2308" s="3" t="n">
        <v/>
      </c>
      <c r="C2308" s="3" t="inlineStr">
        <is>
          <t>Propeller Fan, 150 CFM</t>
        </is>
      </c>
      <c r="D2308" s="3" t="inlineStr">
        <is>
          <t>unit</t>
        </is>
      </c>
      <c r="E2308" s="4" t="n">
        <v>2300000</v>
      </c>
    </row>
    <row r="2309">
      <c r="A2309" s="3" t="n">
        <v/>
      </c>
      <c r="B2309" s="3" t="n">
        <v/>
      </c>
      <c r="C2309" s="3" t="inlineStr">
        <is>
          <t>Propeller Fan, 370 CFM</t>
        </is>
      </c>
      <c r="D2309" s="3" t="inlineStr">
        <is>
          <t>unit</t>
        </is>
      </c>
      <c r="E2309" s="4" t="n">
        <v>250000</v>
      </c>
    </row>
    <row r="2310">
      <c r="A2310" s="3" t="n">
        <v/>
      </c>
      <c r="B2310" s="3" t="n">
        <v/>
      </c>
      <c r="C2310" s="3" t="inlineStr">
        <is>
          <t>Propeller Fan, 375 CFM</t>
        </is>
      </c>
      <c r="D2310" s="3" t="inlineStr">
        <is>
          <t>unit</t>
        </is>
      </c>
      <c r="E2310" s="4" t="n">
        <v>2900000</v>
      </c>
    </row>
    <row r="2311">
      <c r="A2311" s="3" t="n">
        <v/>
      </c>
      <c r="B2311" s="3" t="n">
        <v/>
      </c>
      <c r="C2311" s="3" t="inlineStr">
        <is>
          <t>Propeller Fan, 500 CFM</t>
        </is>
      </c>
      <c r="D2311" s="3" t="inlineStr">
        <is>
          <t>unit</t>
        </is>
      </c>
      <c r="E2311" s="4" t="n">
        <v>3500000</v>
      </c>
    </row>
    <row r="2312">
      <c r="A2312" s="3" t="n">
        <v/>
      </c>
      <c r="B2312" s="3" t="n">
        <v/>
      </c>
      <c r="C2312" s="3" t="inlineStr">
        <is>
          <t>Propeller Fan, 600 CFM</t>
        </is>
      </c>
      <c r="D2312" s="3" t="inlineStr">
        <is>
          <t>unit</t>
        </is>
      </c>
      <c r="E2312" s="4" t="n">
        <v>3900000</v>
      </c>
    </row>
    <row r="2313">
      <c r="A2313" s="3" t="n">
        <v/>
      </c>
      <c r="B2313" s="3" t="n">
        <v/>
      </c>
      <c r="C2313" s="3" t="inlineStr">
        <is>
          <t>Propeller Fan, 1200 CFM</t>
        </is>
      </c>
      <c r="D2313" s="3" t="inlineStr">
        <is>
          <t>unit</t>
        </is>
      </c>
      <c r="E2313" s="4" t="n">
        <v>4500000</v>
      </c>
    </row>
    <row r="2314">
      <c r="A2314" s="3" t="n">
        <v/>
      </c>
      <c r="B2314" s="3" t="n">
        <v/>
      </c>
      <c r="C2314" s="3" t="inlineStr">
        <is>
          <t>Intake Grille 600 x 300 mm</t>
        </is>
      </c>
      <c r="D2314" s="3" t="inlineStr">
        <is>
          <t>unit</t>
        </is>
      </c>
      <c r="E2314" s="4" t="n">
        <v>95000</v>
      </c>
    </row>
    <row r="2315">
      <c r="A2315" s="3" t="n">
        <v/>
      </c>
      <c r="B2315" s="3" t="n">
        <v/>
      </c>
      <c r="C2315" s="3" t="inlineStr">
        <is>
          <t>Intake Grille 650 x 350 mm</t>
        </is>
      </c>
      <c r="D2315" s="3" t="inlineStr">
        <is>
          <t>unit</t>
        </is>
      </c>
      <c r="E2315" s="4" t="n">
        <v>115000</v>
      </c>
    </row>
    <row r="2316">
      <c r="A2316" s="3" t="n">
        <v/>
      </c>
      <c r="B2316" s="3" t="n">
        <v/>
      </c>
      <c r="C2316" s="3" t="inlineStr">
        <is>
          <t>Intake Grille 800 x 350 mm</t>
        </is>
      </c>
      <c r="D2316" s="3" t="inlineStr">
        <is>
          <t>unit</t>
        </is>
      </c>
      <c r="E2316" s="4" t="n">
        <v>130000</v>
      </c>
    </row>
    <row r="2317">
      <c r="A2317" s="3" t="n">
        <v/>
      </c>
      <c r="B2317" s="3" t="n">
        <v/>
      </c>
      <c r="C2317" s="3" t="inlineStr">
        <is>
          <t>Intake Grille 800 x 400 mm</t>
        </is>
      </c>
      <c r="D2317" s="3" t="inlineStr">
        <is>
          <t>unit</t>
        </is>
      </c>
      <c r="E2317" s="4" t="n">
        <v>145000</v>
      </c>
    </row>
    <row r="2318">
      <c r="A2318" s="3" t="n">
        <v/>
      </c>
      <c r="B2318" s="3" t="n">
        <v/>
      </c>
      <c r="C2318" s="3" t="inlineStr">
        <is>
          <t xml:space="preserve"> Intake Louvre 700 x 400 mm</t>
        </is>
      </c>
      <c r="D2318" s="3" t="inlineStr">
        <is>
          <t>unit</t>
        </is>
      </c>
      <c r="E2318" s="4" t="n">
        <v>135000</v>
      </c>
    </row>
    <row r="2319">
      <c r="A2319" s="3" t="n">
        <v/>
      </c>
      <c r="B2319" s="3" t="n">
        <v/>
      </c>
      <c r="C2319" s="3" t="inlineStr">
        <is>
          <t xml:space="preserve"> Fan Louvre 750 x 400 mm</t>
        </is>
      </c>
      <c r="D2319" s="3" t="inlineStr">
        <is>
          <t>unit</t>
        </is>
      </c>
      <c r="E2319" s="4" t="n">
        <v>150000</v>
      </c>
    </row>
    <row r="2320">
      <c r="A2320" s="3" t="n">
        <v/>
      </c>
      <c r="B2320" s="3" t="n">
        <v/>
      </c>
      <c r="C2320" s="3" t="inlineStr">
        <is>
          <t xml:space="preserve"> Fan Louvre 900 x 500 mm</t>
        </is>
      </c>
      <c r="D2320" s="3" t="inlineStr">
        <is>
          <t>unit</t>
        </is>
      </c>
      <c r="E2320" s="4" t="n">
        <v>220000</v>
      </c>
    </row>
    <row r="2321">
      <c r="A2321" s="3" t="n">
        <v/>
      </c>
      <c r="B2321" s="3" t="n">
        <v/>
      </c>
      <c r="C2321" s="3" t="inlineStr">
        <is>
          <t xml:space="preserve"> Fan Louvre 1.000 x 400 mm</t>
        </is>
      </c>
      <c r="D2321" s="3" t="inlineStr">
        <is>
          <t>unit</t>
        </is>
      </c>
      <c r="E2321" s="4" t="n">
        <v>250000</v>
      </c>
    </row>
    <row r="2322">
      <c r="A2322" s="3" t="n">
        <v/>
      </c>
      <c r="B2322" s="3" t="n">
        <v/>
      </c>
      <c r="C2322" s="3" t="inlineStr">
        <is>
          <t xml:space="preserve"> Fan Louvre 1.000 x 450 mm</t>
        </is>
      </c>
      <c r="D2322" s="3" t="inlineStr">
        <is>
          <t>unit</t>
        </is>
      </c>
      <c r="E2322" s="4" t="n">
        <v>270000</v>
      </c>
    </row>
    <row r="2323">
      <c r="A2323" s="3" t="n">
        <v/>
      </c>
      <c r="B2323" s="3" t="n">
        <v/>
      </c>
      <c r="C2323" s="3" t="inlineStr">
        <is>
          <t>Box Louvre 450 x 300 mm</t>
        </is>
      </c>
      <c r="D2323" s="3" t="inlineStr">
        <is>
          <t>unit</t>
        </is>
      </c>
      <c r="E2323" s="4" t="n">
        <v>75000</v>
      </c>
    </row>
    <row r="2324">
      <c r="A2324" s="3" t="n">
        <v/>
      </c>
      <c r="B2324" s="3" t="n">
        <v/>
      </c>
      <c r="C2324" s="3" t="inlineStr">
        <is>
          <t>Exhaust Grille 150 x 150 mm</t>
        </is>
      </c>
      <c r="D2324" s="3" t="inlineStr">
        <is>
          <t>unit</t>
        </is>
      </c>
      <c r="E2324" s="4" t="n">
        <v>140000</v>
      </c>
    </row>
    <row r="2325">
      <c r="A2325" s="3" t="n">
        <v/>
      </c>
      <c r="B2325" s="3" t="n">
        <v/>
      </c>
      <c r="C2325" s="3" t="inlineStr">
        <is>
          <t>Exhaust Grille 200 x 200 mm</t>
        </is>
      </c>
      <c r="D2325" s="3" t="inlineStr">
        <is>
          <t>unit</t>
        </is>
      </c>
      <c r="E2325" s="4" t="n">
        <v>160000</v>
      </c>
    </row>
    <row r="2326">
      <c r="A2326" s="3" t="n">
        <v/>
      </c>
      <c r="B2326" s="3" t="n">
        <v/>
      </c>
      <c r="C2326" s="3" t="inlineStr">
        <is>
          <t>Exhaust Grille 600 x 300 mm</t>
        </is>
      </c>
      <c r="D2326" s="3" t="inlineStr">
        <is>
          <t>unit</t>
        </is>
      </c>
      <c r="E2326" s="4" t="n">
        <v>200000</v>
      </c>
    </row>
    <row r="2327">
      <c r="A2327" s="3" t="n">
        <v/>
      </c>
      <c r="B2327" s="3" t="n">
        <v/>
      </c>
      <c r="C2327" s="3" t="inlineStr">
        <is>
          <t>Exhaust Grille 650 x 350 mm</t>
        </is>
      </c>
      <c r="D2327" s="3" t="inlineStr">
        <is>
          <t>unit</t>
        </is>
      </c>
      <c r="E2327" s="4" t="n">
        <v>230000</v>
      </c>
    </row>
    <row r="2328">
      <c r="A2328" s="3" t="n">
        <v/>
      </c>
      <c r="B2328" s="3" t="n">
        <v/>
      </c>
      <c r="C2328" s="3" t="inlineStr">
        <is>
          <t>Exhaust Grille 900 x 400 mm</t>
        </is>
      </c>
      <c r="D2328" s="3" t="inlineStr">
        <is>
          <t>unit</t>
        </is>
      </c>
      <c r="E2328" s="4" t="n">
        <v>300000</v>
      </c>
    </row>
    <row r="2329">
      <c r="A2329" s="3" t="n">
        <v/>
      </c>
      <c r="B2329" s="3" t="n">
        <v/>
      </c>
      <c r="C2329" s="3" t="inlineStr">
        <is>
          <t>Exhaust Grille dia. 4"</t>
        </is>
      </c>
      <c r="D2329" s="3" t="inlineStr">
        <is>
          <t>unit</t>
        </is>
      </c>
      <c r="E2329" s="4" t="n">
        <v>150000</v>
      </c>
    </row>
    <row r="2330">
      <c r="A2330" s="3" t="n">
        <v/>
      </c>
      <c r="B2330" s="3" t="n">
        <v/>
      </c>
      <c r="C2330" s="3" t="inlineStr">
        <is>
          <t>Exhaust Louvre</t>
        </is>
      </c>
      <c r="D2330" s="3" t="inlineStr">
        <is>
          <t>unit</t>
        </is>
      </c>
      <c r="E2330" s="4" t="n">
        <v>450000</v>
      </c>
    </row>
    <row r="2331">
      <c r="A2331" s="3" t="n">
        <v/>
      </c>
      <c r="B2331" s="3" t="n">
        <v/>
      </c>
      <c r="C2331" s="3" t="inlineStr">
        <is>
          <t>Exhaust Louvre 450 x 300 mm</t>
        </is>
      </c>
      <c r="D2331" s="3" t="inlineStr">
        <is>
          <t>unit</t>
        </is>
      </c>
      <c r="E2331" s="4" t="n">
        <v>300000</v>
      </c>
    </row>
    <row r="2332">
      <c r="A2332" s="3" t="n">
        <v/>
      </c>
      <c r="B2332" s="3" t="n">
        <v/>
      </c>
      <c r="C2332" s="3" t="inlineStr">
        <is>
          <t>Centrifugal Fan Kap. 15.800 cfm</t>
        </is>
      </c>
      <c r="D2332" s="3" t="inlineStr">
        <is>
          <t>unit</t>
        </is>
      </c>
      <c r="E2332" s="4" t="n">
        <v>25000000</v>
      </c>
    </row>
    <row r="2333">
      <c r="A2333" s="3" t="n">
        <v/>
      </c>
      <c r="B2333" s="3" t="n">
        <v/>
      </c>
      <c r="C2333" s="3" t="inlineStr">
        <is>
          <t>Centrifugal Fan Kap. 15.800 cfm c/w Panel Control VSD</t>
        </is>
      </c>
      <c r="D2333" s="3" t="inlineStr">
        <is>
          <t>unit</t>
        </is>
      </c>
      <c r="E2333" s="4" t="n">
        <v>30000000</v>
      </c>
    </row>
    <row r="2334">
      <c r="A2334" s="3" t="n">
        <v/>
      </c>
      <c r="B2334" s="3" t="n">
        <v/>
      </c>
      <c r="C2334" s="3" t="inlineStr">
        <is>
          <t>Centrifugal Fan Kap. 9.600 cfm</t>
        </is>
      </c>
      <c r="D2334" s="3" t="inlineStr">
        <is>
          <t>unit</t>
        </is>
      </c>
      <c r="E2334" s="4" t="n">
        <v>17000000</v>
      </c>
    </row>
    <row r="2335">
      <c r="A2335" s="3" t="n">
        <v/>
      </c>
      <c r="B2335" s="3" t="n">
        <v/>
      </c>
      <c r="C2335" s="3" t="inlineStr">
        <is>
          <t>Centrifugal Fan Kap. 9.600 cfm c/w Panel Control VSD</t>
        </is>
      </c>
      <c r="D2335" s="3" t="inlineStr">
        <is>
          <t>unit</t>
        </is>
      </c>
      <c r="E2335" s="4" t="n">
        <v>20000000</v>
      </c>
    </row>
    <row r="2336">
      <c r="A2336" s="3" t="n">
        <v/>
      </c>
      <c r="B2336" s="3" t="n">
        <v/>
      </c>
      <c r="C2336" s="3" t="inlineStr">
        <is>
          <t>Centrifugal Fan Kap. 4.800 cfm</t>
        </is>
      </c>
      <c r="D2336" s="3" t="inlineStr">
        <is>
          <t>unit</t>
        </is>
      </c>
      <c r="E2336" s="4" t="n">
        <v>12000000</v>
      </c>
    </row>
    <row r="2337">
      <c r="A2337" s="3" t="n">
        <v/>
      </c>
      <c r="B2337" s="3" t="n">
        <v/>
      </c>
      <c r="C2337" s="3" t="inlineStr">
        <is>
          <t>Centrifugal Fan Kap. 4.800 cfm c/w Panel Control VSD</t>
        </is>
      </c>
      <c r="D2337" s="3" t="inlineStr">
        <is>
          <t>unit</t>
        </is>
      </c>
      <c r="E2337" s="4" t="n">
        <v>15000000</v>
      </c>
    </row>
    <row r="2338">
      <c r="A2338" s="3" t="n">
        <v/>
      </c>
      <c r="B2338" s="3" t="n">
        <v/>
      </c>
      <c r="C2338" s="3" t="inlineStr">
        <is>
          <t>BJLS 50 (Tanpa Isolasi)</t>
        </is>
      </c>
      <c r="D2338" s="3" t="inlineStr">
        <is>
          <t>m2</t>
        </is>
      </c>
      <c r="E2338" s="4" t="n">
        <v>220000</v>
      </c>
    </row>
    <row r="2339">
      <c r="A2339" s="3" t="n">
        <v/>
      </c>
      <c r="B2339" s="3" t="n">
        <v/>
      </c>
      <c r="C2339" s="3" t="inlineStr">
        <is>
          <t>BJLS 60 (Tanpa Isolasi)</t>
        </is>
      </c>
      <c r="D2339" s="3" t="inlineStr">
        <is>
          <t>m2</t>
        </is>
      </c>
      <c r="E2339" s="4" t="n">
        <v>320000</v>
      </c>
    </row>
    <row r="2340">
      <c r="A2340" s="3" t="n">
        <v/>
      </c>
      <c r="B2340" s="3" t="n">
        <v/>
      </c>
      <c r="C2340" s="3" t="inlineStr">
        <is>
          <t>BJLS 70 (Tanpa Isolasi)</t>
        </is>
      </c>
      <c r="D2340" s="3" t="inlineStr">
        <is>
          <t>m2</t>
        </is>
      </c>
      <c r="E2340" s="4" t="n">
        <v>420000</v>
      </c>
    </row>
    <row r="2341">
      <c r="A2341" s="3" t="n">
        <v/>
      </c>
      <c r="B2341" s="3" t="n">
        <v/>
      </c>
      <c r="C2341" s="3" t="inlineStr">
        <is>
          <t>BJLS 80 (Tanpa Isolasi)</t>
        </is>
      </c>
      <c r="D2341" s="3" t="inlineStr">
        <is>
          <t>m2</t>
        </is>
      </c>
      <c r="E2341" s="4" t="n">
        <v>520000</v>
      </c>
    </row>
    <row r="2342">
      <c r="A2342" s="3" t="n">
        <v/>
      </c>
      <c r="B2342" s="3" t="n">
        <v/>
      </c>
      <c r="C2342" s="3" t="inlineStr">
        <is>
          <t>BJLS 100 (Tanpa Isolasi)</t>
        </is>
      </c>
      <c r="D2342" s="3" t="inlineStr">
        <is>
          <t>m2</t>
        </is>
      </c>
      <c r="E2342" s="4" t="n">
        <v>820000</v>
      </c>
    </row>
    <row r="2343">
      <c r="A2343" s="3" t="n">
        <v/>
      </c>
      <c r="B2343" s="3" t="n">
        <v/>
      </c>
      <c r="C2343" s="3" t="inlineStr">
        <is>
          <t>BJLS 50 (Isolasi Luar)</t>
        </is>
      </c>
      <c r="D2343" s="3" t="inlineStr">
        <is>
          <t>m2</t>
        </is>
      </c>
      <c r="E2343" s="4" t="n">
        <v>290000</v>
      </c>
    </row>
    <row r="2344">
      <c r="A2344" s="3" t="n">
        <v/>
      </c>
      <c r="B2344" s="3" t="n">
        <v/>
      </c>
      <c r="C2344" s="3" t="inlineStr">
        <is>
          <t>BJLS 60 (Isolasi Luar)</t>
        </is>
      </c>
      <c r="D2344" s="3" t="inlineStr">
        <is>
          <t>m2</t>
        </is>
      </c>
      <c r="E2344" s="4" t="n">
        <v>390000</v>
      </c>
    </row>
    <row r="2345">
      <c r="A2345" s="3" t="n">
        <v/>
      </c>
      <c r="B2345" s="3" t="n">
        <v/>
      </c>
      <c r="C2345" s="3" t="inlineStr">
        <is>
          <t>BJLS 70 (Isolasi Luar)</t>
        </is>
      </c>
      <c r="D2345" s="3" t="inlineStr">
        <is>
          <t>m2</t>
        </is>
      </c>
      <c r="E2345" s="4" t="n">
        <v>490000</v>
      </c>
    </row>
    <row r="2346">
      <c r="A2346" s="3" t="n">
        <v/>
      </c>
      <c r="B2346" s="3" t="n">
        <v/>
      </c>
      <c r="C2346" s="3" t="inlineStr">
        <is>
          <t>BJLS 80 (Isolasi Luar)</t>
        </is>
      </c>
      <c r="D2346" s="3" t="inlineStr">
        <is>
          <t>m2</t>
        </is>
      </c>
      <c r="E2346" s="4" t="n">
        <v>590000</v>
      </c>
    </row>
    <row r="2347">
      <c r="A2347" s="3" t="n">
        <v/>
      </c>
      <c r="B2347" s="3" t="n">
        <v/>
      </c>
      <c r="C2347" s="3" t="inlineStr">
        <is>
          <t>BJLS 100 (Isolasi Luar)</t>
        </is>
      </c>
      <c r="D2347" s="3" t="inlineStr">
        <is>
          <t>m2</t>
        </is>
      </c>
      <c r="E2347" s="4" t="n">
        <v>990000</v>
      </c>
    </row>
    <row r="2348">
      <c r="A2348" s="3" t="n">
        <v/>
      </c>
      <c r="B2348" s="3" t="n">
        <v/>
      </c>
      <c r="C2348" s="3" t="inlineStr">
        <is>
          <t>BJLS 50 (Isolasi Luar Dalam)</t>
        </is>
      </c>
      <c r="D2348" s="3" t="inlineStr">
        <is>
          <t>m2</t>
        </is>
      </c>
      <c r="E2348" s="4" t="n">
        <v>390000</v>
      </c>
    </row>
    <row r="2349">
      <c r="A2349" s="3" t="n">
        <v/>
      </c>
      <c r="B2349" s="3" t="n">
        <v/>
      </c>
      <c r="C2349" s="3" t="inlineStr">
        <is>
          <t>BJLS 60 (Isolasi Luar Dalam)</t>
        </is>
      </c>
      <c r="D2349" s="3" t="inlineStr">
        <is>
          <t>m2</t>
        </is>
      </c>
      <c r="E2349" s="4" t="n">
        <v>490000</v>
      </c>
    </row>
    <row r="2350">
      <c r="A2350" s="3" t="n">
        <v/>
      </c>
      <c r="B2350" s="3" t="n">
        <v/>
      </c>
      <c r="C2350" s="3" t="inlineStr">
        <is>
          <t>BJLS 70 (Isolasi Luar Dalam)</t>
        </is>
      </c>
      <c r="D2350" s="3" t="inlineStr">
        <is>
          <t>m2</t>
        </is>
      </c>
      <c r="E2350" s="4" t="n">
        <v>590000</v>
      </c>
    </row>
    <row r="2351">
      <c r="A2351" s="3" t="n">
        <v/>
      </c>
      <c r="B2351" s="3" t="n">
        <v/>
      </c>
      <c r="C2351" s="3" t="inlineStr">
        <is>
          <t>BJLS 80 (Isolasi Luar Dalam)</t>
        </is>
      </c>
      <c r="D2351" s="3" t="inlineStr">
        <is>
          <t>m2</t>
        </is>
      </c>
      <c r="E2351" s="4" t="n">
        <v>690000</v>
      </c>
    </row>
    <row r="2352">
      <c r="A2352" s="3" t="n">
        <v/>
      </c>
      <c r="B2352" s="3" t="n">
        <v/>
      </c>
      <c r="C2352" s="3" t="inlineStr">
        <is>
          <t>BJLS 100 (Isolasi Luar Dalam)</t>
        </is>
      </c>
      <c r="D2352" s="3" t="inlineStr">
        <is>
          <t>m2</t>
        </is>
      </c>
      <c r="E2352" s="4" t="n">
        <v>1100000</v>
      </c>
    </row>
    <row r="2353">
      <c r="A2353" s="3" t="n">
        <v/>
      </c>
      <c r="B2353" s="3" t="n">
        <v/>
      </c>
      <c r="C2353" s="3" t="inlineStr">
        <is>
          <t>Ducting PU</t>
        </is>
      </c>
      <c r="D2353" s="3" t="inlineStr">
        <is>
          <t>m2</t>
        </is>
      </c>
      <c r="E2353" s="4" t="n">
        <v>450000</v>
      </c>
    </row>
    <row r="2354">
      <c r="A2354" s="3" t="n">
        <v/>
      </c>
      <c r="B2354" s="3" t="n">
        <v/>
      </c>
      <c r="C2354" s="3" t="inlineStr">
        <is>
          <t>Flexible Duct 200 mm</t>
        </is>
      </c>
      <c r="D2354" s="3" t="inlineStr">
        <is>
          <t>m'</t>
        </is>
      </c>
      <c r="E2354" s="4" t="n">
        <v>130000</v>
      </c>
    </row>
    <row r="2355">
      <c r="A2355" s="3" t="n">
        <v/>
      </c>
      <c r="B2355" s="3" t="n">
        <v/>
      </c>
      <c r="C2355" s="3" t="inlineStr">
        <is>
          <t>Flexible Duct 250 mm</t>
        </is>
      </c>
      <c r="D2355" s="3" t="inlineStr">
        <is>
          <t>m'</t>
        </is>
      </c>
      <c r="E2355" s="4" t="n">
        <v>180000</v>
      </c>
    </row>
    <row r="2356">
      <c r="A2356" s="3" t="n">
        <v/>
      </c>
      <c r="B2356" s="3" t="n">
        <v/>
      </c>
      <c r="C2356" s="3" t="inlineStr">
        <is>
          <t xml:space="preserve">Flinkote </t>
        </is>
      </c>
      <c r="D2356" s="3" t="inlineStr">
        <is>
          <t xml:space="preserve">lot </t>
        </is>
      </c>
      <c r="E2356" s="4" t="n">
        <v>56500</v>
      </c>
    </row>
    <row r="2357">
      <c r="A2357" s="3" t="n">
        <v/>
      </c>
      <c r="B2357" s="3" t="n">
        <v/>
      </c>
      <c r="C2357" s="3" t="inlineStr">
        <is>
          <t xml:space="preserve">finish Cat </t>
        </is>
      </c>
      <c r="D2357" s="3" t="inlineStr">
        <is>
          <t xml:space="preserve">lot </t>
        </is>
      </c>
      <c r="E2357" s="4" t="n">
        <v>92000</v>
      </c>
    </row>
    <row r="2358">
      <c r="A2358" s="3" t="n">
        <v/>
      </c>
      <c r="B2358" s="3" t="n">
        <v/>
      </c>
      <c r="C2358" s="3" t="inlineStr">
        <is>
          <t>Hanger + Support</t>
        </is>
      </c>
      <c r="D2358" s="3" t="inlineStr">
        <is>
          <t xml:space="preserve">lolt </t>
        </is>
      </c>
      <c r="E2358" s="4" t="n">
        <v>55000</v>
      </c>
    </row>
    <row r="2359">
      <c r="A2359" s="3" t="n">
        <v/>
      </c>
      <c r="B2359" s="3" t="n">
        <v/>
      </c>
      <c r="C2359" s="3" t="inlineStr">
        <is>
          <t>Busduct 1.000A</t>
        </is>
      </c>
      <c r="D2359" s="3" t="inlineStr">
        <is>
          <t>m'</t>
        </is>
      </c>
      <c r="E2359" s="4" t="n">
        <v>2500000</v>
      </c>
    </row>
    <row r="2360">
      <c r="A2360" s="3" t="n">
        <v/>
      </c>
      <c r="B2360" s="3" t="n">
        <v/>
      </c>
      <c r="C2360" s="3" t="inlineStr">
        <is>
          <t>Busduct 2.000A</t>
        </is>
      </c>
      <c r="D2360" s="3" t="inlineStr">
        <is>
          <t>m'</t>
        </is>
      </c>
      <c r="E2360" s="4" t="n">
        <v>4500000</v>
      </c>
    </row>
    <row r="2361">
      <c r="A2361" s="3" t="n">
        <v/>
      </c>
      <c r="B2361" s="3" t="n">
        <v/>
      </c>
      <c r="C2361" s="3" t="inlineStr">
        <is>
          <t>Plug in Busway 1.000A</t>
        </is>
      </c>
      <c r="D2361" s="3" t="inlineStr">
        <is>
          <t>m'</t>
        </is>
      </c>
      <c r="E2361" s="4" t="n">
        <v>3000000</v>
      </c>
    </row>
    <row r="2362">
      <c r="A2362" s="3" t="n">
        <v/>
      </c>
      <c r="B2362" s="3" t="n">
        <v/>
      </c>
      <c r="C2362" s="3" t="inlineStr">
        <is>
          <t>Plug in Busway 2.000A</t>
        </is>
      </c>
      <c r="D2362" s="3" t="inlineStr">
        <is>
          <t>m'</t>
        </is>
      </c>
      <c r="E2362" s="4" t="n">
        <v>5500000</v>
      </c>
    </row>
    <row r="2363">
      <c r="A2363" s="3" t="n">
        <v/>
      </c>
      <c r="B2363" s="3" t="n">
        <v/>
      </c>
      <c r="C2363" s="3" t="inlineStr">
        <is>
          <t>Flange End 1.000A</t>
        </is>
      </c>
      <c r="D2363" s="3" t="inlineStr">
        <is>
          <t>unit</t>
        </is>
      </c>
      <c r="E2363" s="4" t="n">
        <v>5000000</v>
      </c>
    </row>
    <row r="2364">
      <c r="A2364" s="3" t="n">
        <v/>
      </c>
      <c r="B2364" s="3" t="n">
        <v/>
      </c>
      <c r="C2364" s="3" t="inlineStr">
        <is>
          <t>Flange End 2.000A</t>
        </is>
      </c>
      <c r="D2364" s="3" t="inlineStr">
        <is>
          <t>unit</t>
        </is>
      </c>
      <c r="E2364" s="4" t="n">
        <v>9500000</v>
      </c>
    </row>
    <row r="2365">
      <c r="A2365" s="3" t="n">
        <v/>
      </c>
      <c r="B2365" s="3" t="n">
        <v/>
      </c>
      <c r="C2365" s="3" t="inlineStr">
        <is>
          <t>Edgewise Elbow 1.000A</t>
        </is>
      </c>
      <c r="D2365" s="3" t="inlineStr">
        <is>
          <t>unit</t>
        </is>
      </c>
      <c r="E2365" s="4" t="n">
        <v>8500000</v>
      </c>
    </row>
    <row r="2366">
      <c r="A2366" s="3" t="n">
        <v/>
      </c>
      <c r="B2366" s="3" t="n">
        <v/>
      </c>
      <c r="C2366" s="3" t="inlineStr">
        <is>
          <t>Edgewise Elbow 2.000A</t>
        </is>
      </c>
      <c r="D2366" s="3" t="inlineStr">
        <is>
          <t>unit</t>
        </is>
      </c>
      <c r="E2366" s="4" t="n">
        <v>16000000</v>
      </c>
    </row>
    <row r="2367">
      <c r="A2367" s="3" t="n">
        <v/>
      </c>
      <c r="B2367" s="3" t="n">
        <v/>
      </c>
      <c r="C2367" s="3" t="inlineStr">
        <is>
          <t>End Closure 1.000A</t>
        </is>
      </c>
      <c r="D2367" s="3" t="inlineStr">
        <is>
          <t>unit</t>
        </is>
      </c>
      <c r="E2367" s="4" t="n">
        <v>5000000</v>
      </c>
    </row>
    <row r="2368">
      <c r="A2368" s="3" t="n">
        <v/>
      </c>
      <c r="B2368" s="3" t="n">
        <v/>
      </c>
      <c r="C2368" s="3" t="inlineStr">
        <is>
          <t>End Closure 2.000A</t>
        </is>
      </c>
      <c r="D2368" s="3" t="inlineStr">
        <is>
          <t>unit</t>
        </is>
      </c>
      <c r="E2368" s="4" t="n">
        <v>9000000</v>
      </c>
    </row>
    <row r="2369">
      <c r="A2369" s="3" t="n">
        <v/>
      </c>
      <c r="B2369" s="3" t="n">
        <v/>
      </c>
      <c r="C2369" s="3" t="inlineStr">
        <is>
          <t>Plug in Box (with MCCB 800A/50KA)</t>
        </is>
      </c>
      <c r="D2369" s="3" t="inlineStr">
        <is>
          <t>unit</t>
        </is>
      </c>
      <c r="E2369" s="4" t="n">
        <v>35000000</v>
      </c>
    </row>
    <row r="2370">
      <c r="A2370" s="3" t="n">
        <v/>
      </c>
      <c r="B2370" s="3" t="n">
        <v/>
      </c>
      <c r="C2370" s="3" t="inlineStr">
        <is>
          <t>Plug in Box (with MCCB 400A/50KA)</t>
        </is>
      </c>
      <c r="D2370" s="3" t="inlineStr">
        <is>
          <t>unit</t>
        </is>
      </c>
      <c r="E2370" s="4" t="n">
        <v>17000000</v>
      </c>
    </row>
    <row r="2371">
      <c r="A2371" s="3" t="n">
        <v/>
      </c>
      <c r="B2371" s="3" t="n">
        <v/>
      </c>
      <c r="C2371" s="3" t="inlineStr">
        <is>
          <t>Plug in Box (with MCCB 150A/36KA)</t>
        </is>
      </c>
      <c r="D2371" s="3" t="inlineStr">
        <is>
          <t>unit</t>
        </is>
      </c>
      <c r="E2371" s="4" t="n">
        <v>10000000</v>
      </c>
    </row>
    <row r="2372">
      <c r="A2372" s="3" t="n">
        <v/>
      </c>
      <c r="B2372" s="3" t="n">
        <v/>
      </c>
      <c r="C2372" s="3" t="inlineStr">
        <is>
          <t>Plug in Box (with MCCB 100A/36KA)</t>
        </is>
      </c>
      <c r="D2372" s="3" t="inlineStr">
        <is>
          <t>unit</t>
        </is>
      </c>
      <c r="E2372" s="4" t="n">
        <v>7500000</v>
      </c>
    </row>
    <row r="2373">
      <c r="A2373" s="3" t="n">
        <v/>
      </c>
      <c r="B2373" s="3" t="n">
        <v/>
      </c>
      <c r="C2373" s="3" t="inlineStr">
        <is>
          <t>Plug in Box (with MCCB 80A/36KA)</t>
        </is>
      </c>
      <c r="D2373" s="3" t="inlineStr">
        <is>
          <t>unit</t>
        </is>
      </c>
      <c r="E2373" s="4" t="n">
        <v>5000000</v>
      </c>
    </row>
    <row r="2374">
      <c r="A2374" s="3" t="n">
        <v/>
      </c>
      <c r="B2374" s="3" t="n">
        <v/>
      </c>
      <c r="C2374" s="3" t="inlineStr">
        <is>
          <t>Plug in Box (with MCCB 50A/36KA)</t>
        </is>
      </c>
      <c r="D2374" s="3" t="inlineStr">
        <is>
          <t>unit</t>
        </is>
      </c>
      <c r="E2374" s="4" t="n">
        <v>3000000</v>
      </c>
    </row>
    <row r="2375">
      <c r="A2375" s="3" t="n">
        <v/>
      </c>
      <c r="B2375" s="3" t="n">
        <v/>
      </c>
      <c r="C2375" s="3" t="inlineStr">
        <is>
          <t xml:space="preserve">MATERIAL SISTEM PEMBUMIAN </t>
        </is>
      </c>
      <c r="D2375" s="3" t="n">
        <v/>
      </c>
      <c r="E2375" s="4" t="n">
        <v/>
      </c>
    </row>
    <row r="2376">
      <c r="A2376" s="3" t="n">
        <v/>
      </c>
      <c r="B2376" s="3" t="n">
        <v/>
      </c>
      <c r="C2376" s="3" t="inlineStr">
        <is>
          <t>Bak Kontrol Pemeriksaan dari Batu Bata 45 x 45 x 45 cm + Tutup Beton 45 x 45 x 10 cm</t>
        </is>
      </c>
      <c r="D2376" s="3" t="inlineStr">
        <is>
          <t xml:space="preserve">buah </t>
        </is>
      </c>
      <c r="E2376" s="4" t="n">
        <v>829900</v>
      </c>
    </row>
    <row r="2377">
      <c r="A2377" s="3" t="n">
        <v/>
      </c>
      <c r="B2377" s="3" t="n">
        <v/>
      </c>
      <c r="C2377" s="3" t="inlineStr">
        <is>
          <t>Terminal Busbar 300 x 50 x 5 mm</t>
        </is>
      </c>
      <c r="D2377" s="3" t="inlineStr">
        <is>
          <t>buah</t>
        </is>
      </c>
      <c r="E2377" s="4" t="n">
        <v>135000</v>
      </c>
    </row>
    <row r="2378">
      <c r="A2378" s="3" t="n">
        <v/>
      </c>
      <c r="B2378" s="3" t="n">
        <v/>
      </c>
      <c r="C2378" s="3" t="inlineStr">
        <is>
          <t>Batang Tembaga Pembumian Dia.5/8” (kedalaman min. 12 m)</t>
        </is>
      </c>
      <c r="D2378" s="3" t="inlineStr">
        <is>
          <t>batang</t>
        </is>
      </c>
      <c r="E2378" s="4" t="n">
        <v>1135000</v>
      </c>
    </row>
    <row r="2379">
      <c r="A2379" s="3" t="n">
        <v/>
      </c>
      <c r="B2379" s="3" t="n">
        <v/>
      </c>
      <c r="C2379" s="3" t="inlineStr">
        <is>
          <t>Pantek (kedalaman min. 12 m)</t>
        </is>
      </c>
      <c r="D2379" s="3" t="inlineStr">
        <is>
          <t>lot</t>
        </is>
      </c>
      <c r="E2379" s="4" t="n">
        <v>245000</v>
      </c>
    </row>
    <row r="2380">
      <c r="A2380" s="3" t="n">
        <v/>
      </c>
      <c r="B2380" s="3" t="n">
        <v/>
      </c>
      <c r="C2380" s="3" t="inlineStr">
        <is>
          <t>Kabel BC 95 mm2</t>
        </is>
      </c>
      <c r="D2380" s="3" t="inlineStr">
        <is>
          <t>m</t>
        </is>
      </c>
      <c r="E2380" s="4" t="n">
        <v>145000</v>
      </c>
    </row>
    <row r="2381">
      <c r="A2381" s="3" t="n">
        <v/>
      </c>
      <c r="B2381" s="3" t="n">
        <v/>
      </c>
      <c r="C2381" s="3" t="inlineStr">
        <is>
          <t>Kabel Skun 95 mm2</t>
        </is>
      </c>
      <c r="D2381" s="3" t="inlineStr">
        <is>
          <t>m</t>
        </is>
      </c>
      <c r="E2381" s="4" t="n">
        <v>26400</v>
      </c>
    </row>
    <row r="2382">
      <c r="A2382" s="3" t="n">
        <v/>
      </c>
      <c r="B2382" s="3" t="n">
        <v/>
      </c>
      <c r="C2382" s="3" t="inlineStr">
        <is>
          <t>Rod Coupling</t>
        </is>
      </c>
      <c r="D2382" s="3" t="inlineStr">
        <is>
          <t>buah</t>
        </is>
      </c>
      <c r="E2382" s="4" t="n">
        <v>130000</v>
      </c>
    </row>
    <row r="2383">
      <c r="A2383" s="3" t="n">
        <v/>
      </c>
      <c r="B2383" s="3" t="n">
        <v/>
      </c>
      <c r="C2383" s="3" t="inlineStr">
        <is>
          <t>Material Bantu</t>
        </is>
      </c>
      <c r="D2383" s="3" t="inlineStr">
        <is>
          <t>lot</t>
        </is>
      </c>
      <c r="E2383" s="4" t="n">
        <v>50000</v>
      </c>
    </row>
    <row r="2384">
      <c r="A2384" s="3" t="n">
        <v/>
      </c>
      <c r="B2384" s="3" t="n">
        <v/>
      </c>
      <c r="C2384" s="3" t="inlineStr">
        <is>
          <t>Batang Tembaga Pembumian Dia.3/4” (kedalaman min. 12 m)</t>
        </is>
      </c>
      <c r="D2384" s="3" t="inlineStr">
        <is>
          <t>batang</t>
        </is>
      </c>
      <c r="E2384" s="4" t="n">
        <v>1666000</v>
      </c>
    </row>
    <row r="2385">
      <c r="A2385" s="3" t="n">
        <v/>
      </c>
      <c r="B2385" s="3" t="n">
        <v/>
      </c>
      <c r="C2385" s="3" t="inlineStr">
        <is>
          <t xml:space="preserve">Air Terminal </t>
        </is>
      </c>
      <c r="D2385" s="3" t="inlineStr">
        <is>
          <t>unit</t>
        </is>
      </c>
      <c r="E2385" s="4" t="n">
        <v>1634000</v>
      </c>
    </row>
    <row r="2386">
      <c r="A2386" s="3" t="n">
        <v/>
      </c>
      <c r="B2386" s="3" t="n">
        <v/>
      </c>
      <c r="C2386" s="3" t="inlineStr">
        <is>
          <t xml:space="preserve">Base Air Terminal </t>
        </is>
      </c>
      <c r="D2386" s="3" t="inlineStr">
        <is>
          <t xml:space="preserve">unit </t>
        </is>
      </c>
      <c r="E2386" s="4" t="n">
        <v>587600</v>
      </c>
    </row>
    <row r="2387">
      <c r="A2387" s="3" t="n">
        <v/>
      </c>
      <c r="B2387" s="3" t="n">
        <v/>
      </c>
      <c r="C2387" s="3" t="inlineStr">
        <is>
          <t xml:space="preserve">DC Clip Non Metalic Clamp </t>
        </is>
      </c>
      <c r="D2387" s="3" t="inlineStr">
        <is>
          <t>unit</t>
        </is>
      </c>
      <c r="E2387" s="4" t="n">
        <v>13500</v>
      </c>
    </row>
    <row r="2388">
      <c r="A2388" s="3" t="n">
        <v/>
      </c>
      <c r="B2388" s="3" t="n">
        <v/>
      </c>
      <c r="C2388" s="3" t="inlineStr">
        <is>
          <t>Square Tape Clamp</t>
        </is>
      </c>
      <c r="D2388" s="3" t="inlineStr">
        <is>
          <t>unit</t>
        </is>
      </c>
      <c r="E2388" s="4" t="n">
        <v>55000</v>
      </c>
    </row>
    <row r="2389">
      <c r="A2389" s="3" t="n">
        <v/>
      </c>
      <c r="B2389" s="3" t="n">
        <v/>
      </c>
      <c r="C2389" s="3" t="inlineStr">
        <is>
          <t xml:space="preserve">Bimetallic Connector </t>
        </is>
      </c>
      <c r="D2389" s="3" t="inlineStr">
        <is>
          <t xml:space="preserve">unit </t>
        </is>
      </c>
      <c r="E2389" s="4" t="n">
        <v>35000</v>
      </c>
    </row>
    <row r="2390">
      <c r="A2390" s="3" t="n">
        <v/>
      </c>
      <c r="B2390" s="3" t="n">
        <v/>
      </c>
      <c r="C2390" s="3" t="inlineStr">
        <is>
          <t>Grounding Test Box</t>
        </is>
      </c>
      <c r="D2390" s="3" t="inlineStr">
        <is>
          <t>unit</t>
        </is>
      </c>
      <c r="E2390" s="4" t="n">
        <v>492000</v>
      </c>
    </row>
    <row r="2391">
      <c r="A2391" s="3" t="n">
        <v/>
      </c>
      <c r="B2391" s="3" t="n">
        <v/>
      </c>
      <c r="C2391" s="3" t="inlineStr">
        <is>
          <t xml:space="preserve">5/8" Rod Coupling </t>
        </is>
      </c>
      <c r="D2391" s="3" t="inlineStr">
        <is>
          <t xml:space="preserve">unit </t>
        </is>
      </c>
      <c r="E2391" s="4" t="n">
        <v>45000</v>
      </c>
    </row>
    <row r="2392">
      <c r="A2392" s="3" t="n">
        <v/>
      </c>
      <c r="B2392" s="3" t="n">
        <v/>
      </c>
      <c r="C2392" s="3" t="inlineStr">
        <is>
          <t xml:space="preserve">5/8" Driving Stud </t>
        </is>
      </c>
      <c r="D2392" s="3" t="inlineStr">
        <is>
          <t>unit</t>
        </is>
      </c>
      <c r="E2392" s="4" t="n">
        <v>83000</v>
      </c>
    </row>
    <row r="2393">
      <c r="A2393" s="3" t="n">
        <v/>
      </c>
      <c r="B2393" s="3" t="n">
        <v/>
      </c>
      <c r="C2393" s="3" t="inlineStr">
        <is>
          <t>Rod to Cable Clamp (Type GUV)</t>
        </is>
      </c>
      <c r="D2393" s="3" t="inlineStr">
        <is>
          <t xml:space="preserve">unit </t>
        </is>
      </c>
      <c r="E2393" s="4" t="n">
        <v>252900</v>
      </c>
    </row>
    <row r="2394">
      <c r="A2394" s="3" t="n">
        <v/>
      </c>
      <c r="B2394" s="3" t="n">
        <v/>
      </c>
      <c r="C2394" s="3" t="inlineStr">
        <is>
          <t>Polymer Inspection Pit</t>
        </is>
      </c>
      <c r="D2394" s="3" t="inlineStr">
        <is>
          <t>unit</t>
        </is>
      </c>
      <c r="E2394" s="4" t="n">
        <v>530000</v>
      </c>
    </row>
    <row r="2395">
      <c r="A2395" s="3" t="n">
        <v/>
      </c>
      <c r="B2395" s="3" t="n">
        <v/>
      </c>
      <c r="C2395" s="3" t="inlineStr">
        <is>
          <t>Coupling Bonding Grounded Rod 70 mm2</t>
        </is>
      </c>
      <c r="D2395" s="3" t="inlineStr">
        <is>
          <t xml:space="preserve">unit </t>
        </is>
      </c>
      <c r="E2395" s="4" t="n">
        <v>2040000</v>
      </c>
    </row>
    <row r="2396">
      <c r="A2396" s="3" t="n">
        <v/>
      </c>
      <c r="B2396" s="3" t="n">
        <v/>
      </c>
      <c r="C2396" s="3" t="inlineStr">
        <is>
          <t>Clamp BC L ukuran BC 70 mm2</t>
        </is>
      </c>
      <c r="D2396" s="3" t="inlineStr">
        <is>
          <t xml:space="preserve">unit </t>
        </is>
      </c>
      <c r="E2396" s="4" t="n">
        <v>25500</v>
      </c>
    </row>
    <row r="2397">
      <c r="A2397" s="3" t="n">
        <v/>
      </c>
      <c r="B2397" s="3" t="n">
        <v/>
      </c>
      <c r="C2397" s="3" t="inlineStr">
        <is>
          <t>Clamp PVC 1"</t>
        </is>
      </c>
      <c r="D2397" s="3" t="inlineStr">
        <is>
          <t xml:space="preserve">unit </t>
        </is>
      </c>
      <c r="E2397" s="4" t="n">
        <v>1500</v>
      </c>
    </row>
    <row r="2398">
      <c r="A2398" s="3" t="n">
        <v/>
      </c>
      <c r="B2398" s="3" t="n">
        <v/>
      </c>
      <c r="C2398" s="3" t="inlineStr">
        <is>
          <t xml:space="preserve">Copper Air Terminal Base 15 mm </t>
        </is>
      </c>
      <c r="D2398" s="3" t="n">
        <v/>
      </c>
      <c r="E2398" s="4" t="n">
        <v>189000</v>
      </c>
    </row>
    <row r="2399">
      <c r="A2399" s="3" t="n">
        <v/>
      </c>
      <c r="B2399" s="3" t="n">
        <v/>
      </c>
      <c r="C2399" s="3" t="inlineStr">
        <is>
          <t xml:space="preserve">15x500 mm Aluminium Air Rod </t>
        </is>
      </c>
      <c r="D2399" s="3" t="n">
        <v/>
      </c>
      <c r="E2399" s="4" t="n">
        <v>160000</v>
      </c>
    </row>
    <row r="2400">
      <c r="A2400" s="3" t="n">
        <v/>
      </c>
      <c r="B2400" s="3" t="n">
        <v/>
      </c>
      <c r="C2400" s="3" t="inlineStr">
        <is>
          <t xml:space="preserve">15x500 mm Copper Air Rod </t>
        </is>
      </c>
      <c r="D2400" s="3" t="n">
        <v/>
      </c>
      <c r="E2400" s="4" t="n">
        <v>582000</v>
      </c>
    </row>
    <row r="2401">
      <c r="A2401" s="3" t="n">
        <v/>
      </c>
      <c r="B2401" s="3" t="n">
        <v/>
      </c>
      <c r="C2401" s="3" t="inlineStr">
        <is>
          <t>25x3 mm Bare Aluminium Tape</t>
        </is>
      </c>
      <c r="D2401" s="3" t="inlineStr">
        <is>
          <t>m'</t>
        </is>
      </c>
      <c r="E2401" s="4" t="n">
        <v>58620</v>
      </c>
    </row>
    <row r="2402">
      <c r="A2402" s="3" t="n">
        <v/>
      </c>
      <c r="B2402" s="3" t="n">
        <v/>
      </c>
      <c r="C2402" s="3" t="inlineStr">
        <is>
          <t xml:space="preserve">5/8" x 1800 mm Extensible Copperbond Rod </t>
        </is>
      </c>
      <c r="D2402" s="3" t="inlineStr">
        <is>
          <t xml:space="preserve">buah </t>
        </is>
      </c>
      <c r="E2402" s="4" t="n">
        <v>496000</v>
      </c>
    </row>
    <row r="2403">
      <c r="A2403" s="3" t="n">
        <v/>
      </c>
      <c r="B2403" s="3" t="n">
        <v/>
      </c>
      <c r="C2403" s="3" t="inlineStr">
        <is>
          <t xml:space="preserve">5/8" Copperbond Rod </t>
        </is>
      </c>
      <c r="D2403" s="3" t="inlineStr">
        <is>
          <t xml:space="preserve">buah </t>
        </is>
      </c>
      <c r="E2403" s="4" t="n">
        <v>185000</v>
      </c>
    </row>
    <row r="2404">
      <c r="A2404" s="3" t="n">
        <v/>
      </c>
      <c r="B2404" s="3" t="n">
        <v/>
      </c>
      <c r="C2404" s="3" t="inlineStr">
        <is>
          <t xml:space="preserve">Grounding Rod Gip 1" Panjang 1 m </t>
        </is>
      </c>
      <c r="D2404" s="3" t="inlineStr">
        <is>
          <t>buah</t>
        </is>
      </c>
      <c r="E2404" s="4" t="n">
        <v>142500</v>
      </c>
    </row>
    <row r="2405">
      <c r="A2405" s="3" t="n">
        <v/>
      </c>
      <c r="B2405" s="3" t="n">
        <v/>
      </c>
      <c r="C2405" s="3" t="inlineStr">
        <is>
          <t xml:space="preserve">Grounding Rod Gip 1" Panjang 2 m </t>
        </is>
      </c>
      <c r="D2405" s="3" t="inlineStr">
        <is>
          <t>buah</t>
        </is>
      </c>
      <c r="E2405" s="4" t="n">
        <v>285000</v>
      </c>
    </row>
    <row r="2406">
      <c r="A2406" s="3" t="n">
        <v/>
      </c>
      <c r="B2406" s="3" t="n">
        <v/>
      </c>
      <c r="C2406" s="3" t="inlineStr">
        <is>
          <t>Exothermic Welding</t>
        </is>
      </c>
      <c r="D2406" s="3" t="inlineStr">
        <is>
          <t xml:space="preserve">buah </t>
        </is>
      </c>
      <c r="E2406" s="4" t="n">
        <v>185000</v>
      </c>
    </row>
    <row r="2407">
      <c r="A2407" s="3" t="n">
        <v/>
      </c>
      <c r="B2407" s="3" t="n">
        <v/>
      </c>
      <c r="C2407" s="3" t="inlineStr">
        <is>
          <t>Surge Arrester 1 Phase (15 KA)</t>
        </is>
      </c>
      <c r="D2407" s="3" t="inlineStr">
        <is>
          <t xml:space="preserve">unit </t>
        </is>
      </c>
      <c r="E2407" s="4" t="n">
        <v>690000</v>
      </c>
    </row>
    <row r="2408">
      <c r="A2408" s="3" t="n">
        <v/>
      </c>
      <c r="B2408" s="3" t="n">
        <v/>
      </c>
      <c r="C2408" s="3" t="inlineStr">
        <is>
          <t>Surge Arrester 3 Phase (15 KA)</t>
        </is>
      </c>
      <c r="D2408" s="3" t="inlineStr">
        <is>
          <t xml:space="preserve">unit </t>
        </is>
      </c>
      <c r="E2408" s="4" t="n">
        <v>962000</v>
      </c>
    </row>
    <row r="2409">
      <c r="A2409" s="3" t="n">
        <v/>
      </c>
      <c r="B2409" s="3" t="n">
        <v/>
      </c>
      <c r="C2409" s="3" t="inlineStr">
        <is>
          <t>MATERIAL LAIN-LAIN</t>
        </is>
      </c>
      <c r="D2409" s="3" t="n">
        <v/>
      </c>
      <c r="E2409" s="4" t="n">
        <v/>
      </c>
    </row>
    <row r="2410">
      <c r="A2410" s="3" t="inlineStr">
        <is>
          <t>1</t>
        </is>
      </c>
      <c r="B2410" s="3" t="n">
        <v/>
      </c>
      <c r="C2410" s="3" t="inlineStr">
        <is>
          <t>Air</t>
        </is>
      </c>
      <c r="D2410" s="3" t="inlineStr">
        <is>
          <t>liter</t>
        </is>
      </c>
      <c r="E2410" s="4" t="n">
        <v>200</v>
      </c>
    </row>
    <row r="2411">
      <c r="A2411" s="3" t="n">
        <v/>
      </c>
      <c r="B2411" s="3" t="n">
        <v/>
      </c>
      <c r="C2411" s="3" t="inlineStr">
        <is>
          <t>Banner plastik 0.6x0.8 m2</t>
        </is>
      </c>
      <c r="D2411" s="3" t="inlineStr">
        <is>
          <t>m2</t>
        </is>
      </c>
      <c r="E2411" s="4" t="n">
        <v>100000</v>
      </c>
    </row>
    <row r="2412">
      <c r="A2412" s="3" t="inlineStr">
        <is>
          <t>2</t>
        </is>
      </c>
      <c r="B2412" s="3" t="n">
        <v/>
      </c>
      <c r="C2412" s="3" t="inlineStr">
        <is>
          <t>Air (m3)</t>
        </is>
      </c>
      <c r="D2412" s="3" t="inlineStr">
        <is>
          <t>m3</t>
        </is>
      </c>
      <c r="E2412" s="4" t="n">
        <v>50000</v>
      </c>
    </row>
    <row r="2413">
      <c r="A2413" s="3" t="inlineStr">
        <is>
          <t>3</t>
        </is>
      </c>
      <c r="B2413" s="3" t="n">
        <v/>
      </c>
      <c r="C2413" s="3" t="inlineStr">
        <is>
          <t>Akrilik 4 mm</t>
        </is>
      </c>
      <c r="D2413" s="3" t="inlineStr">
        <is>
          <t>m2</t>
        </is>
      </c>
      <c r="E2413" s="4" t="n">
        <v>179000</v>
      </c>
    </row>
    <row r="2414">
      <c r="A2414" s="3" t="inlineStr">
        <is>
          <t>4</t>
        </is>
      </c>
      <c r="B2414" s="3" t="n">
        <v/>
      </c>
      <c r="C2414" s="3" t="inlineStr">
        <is>
          <t>Alang-alang</t>
        </is>
      </c>
      <c r="D2414" s="3" t="inlineStr">
        <is>
          <t>ikat</t>
        </is>
      </c>
      <c r="E2414" s="4" t="n">
        <v>30000</v>
      </c>
    </row>
    <row r="2415">
      <c r="A2415" s="3" t="inlineStr">
        <is>
          <t>5</t>
        </is>
      </c>
      <c r="B2415" s="3" t="n">
        <v/>
      </c>
      <c r="C2415" s="3" t="inlineStr">
        <is>
          <t>Alat  tulis</t>
        </is>
      </c>
      <c r="D2415" s="3" t="inlineStr">
        <is>
          <t>buah</t>
        </is>
      </c>
      <c r="E2415" s="4" t="n">
        <v>68600</v>
      </c>
    </row>
    <row r="2416">
      <c r="A2416" s="3" t="inlineStr">
        <is>
          <t>6</t>
        </is>
      </c>
      <c r="B2416" s="3" t="n">
        <v/>
      </c>
      <c r="C2416" s="3" t="inlineStr">
        <is>
          <t>Aluminium foil</t>
        </is>
      </c>
      <c r="D2416" s="3" t="inlineStr">
        <is>
          <t>m2</t>
        </is>
      </c>
      <c r="E2416" s="4" t="n">
        <v>10000</v>
      </c>
    </row>
    <row r="2417">
      <c r="A2417" s="3" t="inlineStr">
        <is>
          <t>7</t>
        </is>
      </c>
      <c r="B2417" s="3" t="n">
        <v/>
      </c>
      <c r="C2417" s="3" t="inlineStr">
        <is>
          <t>Aluminium foil double side</t>
        </is>
      </c>
      <c r="D2417" s="3" t="inlineStr">
        <is>
          <t>m2</t>
        </is>
      </c>
      <c r="E2417" s="4" t="n">
        <v>11000</v>
      </c>
    </row>
    <row r="2418">
      <c r="A2418" s="3" t="inlineStr">
        <is>
          <t>8</t>
        </is>
      </c>
      <c r="B2418" s="3" t="n">
        <v/>
      </c>
      <c r="C2418" s="3" t="inlineStr">
        <is>
          <t>Amplas</t>
        </is>
      </c>
      <c r="D2418" s="3" t="inlineStr">
        <is>
          <t>lembar</t>
        </is>
      </c>
      <c r="E2418" s="4" t="n">
        <v>3900</v>
      </c>
    </row>
    <row r="2419">
      <c r="A2419" s="3" t="inlineStr">
        <is>
          <t>9</t>
        </is>
      </c>
      <c r="B2419" s="3" t="n">
        <v/>
      </c>
      <c r="C2419" s="3" t="inlineStr">
        <is>
          <t>Baja Ringan C75, t=1 mm (Batang Utama)</t>
        </is>
      </c>
      <c r="D2419" s="3" t="inlineStr">
        <is>
          <t>batang</t>
        </is>
      </c>
      <c r="E2419" s="4" t="n">
        <v>77200</v>
      </c>
    </row>
    <row r="2420">
      <c r="A2420" s="3" t="n">
        <v/>
      </c>
      <c r="B2420" s="3" t="n">
        <v/>
      </c>
      <c r="C2420" s="3" t="inlineStr">
        <is>
          <t>Baja Ringan C75, t=0,75 mm (Batang Pengaku)</t>
        </is>
      </c>
      <c r="D2420" s="3" t="inlineStr">
        <is>
          <t>batang</t>
        </is>
      </c>
      <c r="E2420" s="4" t="n">
        <v>60000</v>
      </c>
    </row>
    <row r="2421">
      <c r="A2421" s="3" t="n">
        <v/>
      </c>
      <c r="B2421" s="3" t="n">
        <v/>
      </c>
      <c r="C2421" s="3" t="inlineStr">
        <is>
          <t>Baja Ringan C.75, t=1,00 mm (L Bracket)</t>
        </is>
      </c>
      <c r="D2421" s="3" t="inlineStr">
        <is>
          <t>batang</t>
        </is>
      </c>
      <c r="E2421" s="4" t="n">
        <v>77200</v>
      </c>
    </row>
    <row r="2422">
      <c r="A2422" s="3" t="n">
        <v/>
      </c>
      <c r="B2422" s="3" t="n">
        <v/>
      </c>
      <c r="C2422" s="3" t="inlineStr">
        <is>
          <t>Dynabolt dia. 12 x 120 mm</t>
        </is>
      </c>
      <c r="D2422" s="3" t="inlineStr">
        <is>
          <t>buah</t>
        </is>
      </c>
      <c r="E2422" s="4" t="n">
        <v>4000</v>
      </c>
    </row>
    <row r="2423">
      <c r="A2423" s="3" t="n">
        <v/>
      </c>
      <c r="B2423" s="3" t="n">
        <v/>
      </c>
      <c r="C2423" s="3" t="inlineStr">
        <is>
          <t>Self Drilling Screw dia-6 x 20 mm (Main Truss Screw)</t>
        </is>
      </c>
      <c r="D2423" s="3" t="inlineStr">
        <is>
          <t>buah</t>
        </is>
      </c>
      <c r="E2423" s="4" t="n">
        <v>500</v>
      </c>
    </row>
    <row r="2424">
      <c r="A2424" s="3" t="n">
        <v/>
      </c>
      <c r="B2424" s="3" t="n">
        <v/>
      </c>
      <c r="C2424" s="3" t="inlineStr">
        <is>
          <t>Reng/ Roof Bottom RT-35 t=0,45 mm</t>
        </is>
      </c>
      <c r="D2424" s="3" t="inlineStr">
        <is>
          <t>batang</t>
        </is>
      </c>
      <c r="E2424" s="4" t="n">
        <v>106000</v>
      </c>
    </row>
    <row r="2425">
      <c r="A2425" s="3" t="n">
        <v/>
      </c>
      <c r="B2425" s="3" t="n">
        <v/>
      </c>
      <c r="C2425" s="3" t="inlineStr">
        <is>
          <t>Self Drilling Screw dia-4 x 16 mm (Roof Bottom Screw)</t>
        </is>
      </c>
      <c r="D2425" s="3" t="inlineStr">
        <is>
          <t>buah</t>
        </is>
      </c>
      <c r="E2425" s="4" t="n">
        <v>400</v>
      </c>
    </row>
    <row r="2426">
      <c r="A2426" s="3" t="n">
        <v/>
      </c>
      <c r="B2426" s="3" t="n">
        <v/>
      </c>
      <c r="C2426" s="3" t="inlineStr">
        <is>
          <t>Baja ringan C75 x 0,75 mm</t>
        </is>
      </c>
      <c r="D2426" s="3" t="inlineStr">
        <is>
          <t>batang</t>
        </is>
      </c>
      <c r="E2426" s="4" t="n">
        <v>77200</v>
      </c>
    </row>
    <row r="2427">
      <c r="A2427" s="3" t="n">
        <v/>
      </c>
      <c r="B2427" s="3" t="n">
        <v/>
      </c>
      <c r="C2427" s="3" t="inlineStr">
        <is>
          <t>Baja ringan C75 x 0,75 mm (permeter)</t>
        </is>
      </c>
      <c r="D2427" s="3" t="inlineStr">
        <is>
          <t>m</t>
        </is>
      </c>
      <c r="E2427" s="4" t="n">
        <v>12866.66666666667</v>
      </c>
    </row>
    <row r="2428">
      <c r="A2428" s="3" t="n">
        <v/>
      </c>
      <c r="B2428" s="3" t="n">
        <v/>
      </c>
      <c r="C2428" s="3" t="inlineStr">
        <is>
          <t xml:space="preserve">Baja Profil </t>
        </is>
      </c>
      <c r="D2428" s="3" t="inlineStr">
        <is>
          <t>kg</t>
        </is>
      </c>
      <c r="E2428" s="4" t="n">
        <v>16480</v>
      </c>
    </row>
    <row r="2429">
      <c r="A2429" s="3" t="inlineStr">
        <is>
          <t>10</t>
        </is>
      </c>
      <c r="B2429" s="3" t="n">
        <v/>
      </c>
      <c r="C2429" s="3" t="inlineStr">
        <is>
          <t>Baja ringan C75 x 0,8 mm</t>
        </is>
      </c>
      <c r="D2429" s="3" t="inlineStr">
        <is>
          <t>batang</t>
        </is>
      </c>
      <c r="E2429" s="4" t="n">
        <v>82400</v>
      </c>
    </row>
    <row r="2430">
      <c r="A2430" s="3" t="inlineStr">
        <is>
          <t>11</t>
        </is>
      </c>
      <c r="B2430" s="3" t="n">
        <v/>
      </c>
      <c r="C2430" s="3" t="inlineStr">
        <is>
          <t>Baja ringan C75 x 1,00 mm</t>
        </is>
      </c>
      <c r="D2430" s="3" t="inlineStr">
        <is>
          <t>batang</t>
        </is>
      </c>
      <c r="E2430" s="4" t="n">
        <v>106000</v>
      </c>
    </row>
    <row r="2431">
      <c r="A2431" s="3" t="inlineStr">
        <is>
          <t>12</t>
        </is>
      </c>
      <c r="B2431" s="3" t="n">
        <v/>
      </c>
      <c r="C2431" s="3" t="inlineStr">
        <is>
          <t>Baja ringan C75 x 1,00 mm (m)</t>
        </is>
      </c>
      <c r="D2431" s="3" t="inlineStr">
        <is>
          <t>m'</t>
        </is>
      </c>
      <c r="E2431" s="4" t="n">
        <v>17667</v>
      </c>
    </row>
    <row r="2432">
      <c r="A2432" s="3" t="inlineStr">
        <is>
          <t>13</t>
        </is>
      </c>
      <c r="B2432" s="3" t="n">
        <v/>
      </c>
      <c r="C2432" s="3" t="inlineStr">
        <is>
          <t>Bata Ringan (ukuran 60x20x10 cm)</t>
        </is>
      </c>
      <c r="D2432" s="3" t="inlineStr">
        <is>
          <t>m3</t>
        </is>
      </c>
      <c r="E2432" s="4" t="n">
        <v>755000</v>
      </c>
    </row>
    <row r="2433">
      <c r="A2433" s="3" t="inlineStr">
        <is>
          <t>14</t>
        </is>
      </c>
      <c r="B2433" s="3" t="n">
        <v/>
      </c>
      <c r="C2433" s="3" t="inlineStr">
        <is>
          <t>Batu Andesit  Bakar 10x10, t=3cm</t>
        </is>
      </c>
      <c r="D2433" s="3" t="inlineStr">
        <is>
          <t>Unit</t>
        </is>
      </c>
      <c r="E2433" s="4" t="n">
        <v>145000</v>
      </c>
    </row>
    <row r="2434">
      <c r="A2434" s="3" t="inlineStr">
        <is>
          <t>15</t>
        </is>
      </c>
      <c r="B2434" s="3" t="n">
        <v/>
      </c>
      <c r="C2434" s="3" t="inlineStr">
        <is>
          <t>Batu Andesit  Bakar 30x30, t=3cm</t>
        </is>
      </c>
      <c r="D2434" s="3" t="inlineStr">
        <is>
          <t>Unit</t>
        </is>
      </c>
      <c r="E2434" s="4" t="n">
        <v>170000</v>
      </c>
    </row>
    <row r="2435">
      <c r="A2435" s="3" t="inlineStr">
        <is>
          <t>16</t>
        </is>
      </c>
      <c r="B2435" s="3" t="n">
        <v/>
      </c>
      <c r="C2435" s="3" t="inlineStr">
        <is>
          <t>Batu apung</t>
        </is>
      </c>
      <c r="D2435" s="3" t="inlineStr">
        <is>
          <t>kg</t>
        </is>
      </c>
      <c r="E2435" s="4" t="n">
        <v>6100</v>
      </c>
    </row>
    <row r="2436">
      <c r="A2436" s="3" t="inlineStr">
        <is>
          <t>17</t>
        </is>
      </c>
      <c r="B2436" s="3" t="n">
        <v/>
      </c>
      <c r="C2436" s="3" t="inlineStr">
        <is>
          <t>Bollard Besi Tempa (BL1)</t>
        </is>
      </c>
      <c r="D2436" s="3" t="inlineStr">
        <is>
          <t>unit</t>
        </is>
      </c>
      <c r="E2436" s="4" t="n">
        <v>1262500</v>
      </c>
    </row>
    <row r="2437">
      <c r="A2437" s="3" t="inlineStr">
        <is>
          <t>18</t>
        </is>
      </c>
      <c r="B2437" s="3" t="n">
        <v/>
      </c>
      <c r="C2437" s="3" t="inlineStr">
        <is>
          <t>Bollard Besi Tempa (BL2)</t>
        </is>
      </c>
      <c r="D2437" s="3" t="inlineStr">
        <is>
          <t>unit</t>
        </is>
      </c>
      <c r="E2437" s="4" t="n">
        <v>1040000</v>
      </c>
    </row>
    <row r="2438">
      <c r="A2438" s="3" t="inlineStr">
        <is>
          <t>19</t>
        </is>
      </c>
      <c r="B2438" s="3" t="n">
        <v/>
      </c>
      <c r="C2438" s="3" t="inlineStr">
        <is>
          <t>Bollard cast  iron (tinggi 1,2m ; Ø bawah 5"  ; Ø atas  4")</t>
        </is>
      </c>
      <c r="D2438" s="3" t="inlineStr">
        <is>
          <t>buah</t>
        </is>
      </c>
      <c r="E2438" s="4" t="n">
        <v>2626500</v>
      </c>
    </row>
    <row r="2439">
      <c r="A2439" s="3" t="inlineStr">
        <is>
          <t>20</t>
        </is>
      </c>
      <c r="B2439" s="3" t="n">
        <v/>
      </c>
      <c r="C2439" s="3" t="inlineStr">
        <is>
          <t>Bollard stainless  steel (tinggi 1m ; Ø 4")</t>
        </is>
      </c>
      <c r="D2439" s="3" t="inlineStr">
        <is>
          <t>buah</t>
        </is>
      </c>
      <c r="E2439" s="4" t="n">
        <v>555600</v>
      </c>
    </row>
    <row r="2440">
      <c r="A2440" s="3" t="inlineStr">
        <is>
          <t>21</t>
        </is>
      </c>
      <c r="B2440" s="3" t="n">
        <v/>
      </c>
      <c r="C2440" s="3" t="inlineStr">
        <is>
          <t>Bubuk poles</t>
        </is>
      </c>
      <c r="D2440" s="3" t="inlineStr">
        <is>
          <t>kg</t>
        </is>
      </c>
      <c r="E2440" s="4" t="n">
        <v>180000</v>
      </c>
    </row>
    <row r="2441">
      <c r="A2441" s="3" t="n">
        <v/>
      </c>
      <c r="B2441" s="3" t="n">
        <v/>
      </c>
      <c r="C2441" s="3" t="inlineStr">
        <is>
          <t>Aspal</t>
        </is>
      </c>
      <c r="D2441" s="3" t="inlineStr">
        <is>
          <t>kg</t>
        </is>
      </c>
      <c r="E2441" s="4" t="n">
        <v>1200</v>
      </c>
    </row>
    <row r="2442">
      <c r="A2442" s="3" t="inlineStr">
        <is>
          <t>22</t>
        </is>
      </c>
      <c r="B2442" s="3" t="n">
        <v/>
      </c>
      <c r="C2442" s="3" t="inlineStr">
        <is>
          <t>Coldmix  (Aspal Tambal Dingin) 25 kg</t>
        </is>
      </c>
      <c r="D2442" s="3" t="inlineStr">
        <is>
          <t>Zak</t>
        </is>
      </c>
      <c r="E2442" s="4" t="n">
        <v>225000</v>
      </c>
    </row>
    <row r="2443">
      <c r="A2443" s="3" t="inlineStr">
        <is>
          <t>23</t>
        </is>
      </c>
      <c r="B2443" s="3" t="n">
        <v/>
      </c>
      <c r="C2443" s="3" t="inlineStr">
        <is>
          <t>Cutting sticker</t>
        </is>
      </c>
      <c r="D2443" s="3" t="inlineStr">
        <is>
          <t>m2</t>
        </is>
      </c>
      <c r="E2443" s="4" t="n">
        <v>100000</v>
      </c>
    </row>
    <row r="2444">
      <c r="A2444" s="3" t="inlineStr">
        <is>
          <t>24</t>
        </is>
      </c>
      <c r="B2444" s="3" t="n">
        <v/>
      </c>
      <c r="C2444" s="3" t="inlineStr">
        <is>
          <t>Epoxy resin grout</t>
        </is>
      </c>
      <c r="D2444" s="3" t="inlineStr">
        <is>
          <t>kg</t>
        </is>
      </c>
      <c r="E2444" s="4" t="n">
        <v>216700</v>
      </c>
    </row>
    <row r="2445">
      <c r="A2445" s="3" t="inlineStr">
        <is>
          <t>25</t>
        </is>
      </c>
      <c r="B2445" s="3" t="n">
        <v/>
      </c>
      <c r="C2445" s="3" t="inlineStr">
        <is>
          <t>Formica</t>
        </is>
      </c>
      <c r="D2445" s="3" t="inlineStr">
        <is>
          <t>lembar</t>
        </is>
      </c>
      <c r="E2445" s="4" t="n">
        <v>51400</v>
      </c>
    </row>
    <row r="2446">
      <c r="A2446" s="3" t="inlineStr">
        <is>
          <t>26</t>
        </is>
      </c>
      <c r="B2446" s="3" t="n">
        <v/>
      </c>
      <c r="C2446" s="3" t="inlineStr">
        <is>
          <t>Formika</t>
        </is>
      </c>
      <c r="D2446" s="3" t="inlineStr">
        <is>
          <t>lembar</t>
        </is>
      </c>
      <c r="E2446" s="4" t="n">
        <v>170000</v>
      </c>
    </row>
    <row r="2447">
      <c r="A2447" s="3" t="inlineStr">
        <is>
          <t>27</t>
        </is>
      </c>
      <c r="B2447" s="3" t="n">
        <v/>
      </c>
      <c r="C2447" s="3" t="inlineStr">
        <is>
          <t>Gebalan Rumput  Jenis  Lamuran</t>
        </is>
      </c>
      <c r="D2447" s="3" t="inlineStr">
        <is>
          <t>m²</t>
        </is>
      </c>
      <c r="E2447" s="4" t="n">
        <v>10600</v>
      </c>
    </row>
    <row r="2448">
      <c r="A2448" s="3" t="inlineStr">
        <is>
          <t>28</t>
        </is>
      </c>
      <c r="B2448" s="3" t="n">
        <v/>
      </c>
      <c r="C2448" s="3" t="inlineStr">
        <is>
          <t>Glasswool tebal 8 cm</t>
        </is>
      </c>
      <c r="D2448" s="3" t="inlineStr">
        <is>
          <t>m2</t>
        </is>
      </c>
      <c r="E2448" s="4" t="n">
        <v>29167</v>
      </c>
    </row>
    <row r="2449">
      <c r="A2449" s="3" t="inlineStr">
        <is>
          <t>29</t>
        </is>
      </c>
      <c r="B2449" s="3" t="n">
        <v/>
      </c>
      <c r="C2449" s="3" t="inlineStr">
        <is>
          <t>Guardrail</t>
        </is>
      </c>
      <c r="D2449" s="3" t="inlineStr">
        <is>
          <t>m'</t>
        </is>
      </c>
      <c r="E2449" s="4" t="n">
        <v>761200</v>
      </c>
    </row>
    <row r="2450">
      <c r="A2450" s="3" t="inlineStr">
        <is>
          <t>30</t>
        </is>
      </c>
      <c r="B2450" s="3" t="n">
        <v/>
      </c>
      <c r="C2450" s="3" t="inlineStr">
        <is>
          <t>Hebel Block (ukuran 60x20x15 cm)</t>
        </is>
      </c>
      <c r="D2450" s="3" t="inlineStr">
        <is>
          <t>buah</t>
        </is>
      </c>
      <c r="E2450" s="4" t="n">
        <v>20200</v>
      </c>
    </row>
    <row r="2451">
      <c r="A2451" s="3" t="inlineStr">
        <is>
          <t>31</t>
        </is>
      </c>
      <c r="B2451" s="3" t="n">
        <v/>
      </c>
      <c r="C2451" s="3" t="inlineStr">
        <is>
          <t>Huruf/letter timbul stainless  steel</t>
        </is>
      </c>
      <c r="D2451" s="3" t="inlineStr">
        <is>
          <t>buah</t>
        </is>
      </c>
      <c r="E2451" s="4" t="n">
        <v>9200</v>
      </c>
    </row>
    <row r="2452">
      <c r="A2452" s="3" t="inlineStr">
        <is>
          <t>32</t>
        </is>
      </c>
      <c r="B2452" s="3" t="n">
        <v/>
      </c>
      <c r="C2452" s="3" t="inlineStr">
        <is>
          <t>Ijuk</t>
        </is>
      </c>
      <c r="D2452" s="3" t="inlineStr">
        <is>
          <t>m3</t>
        </is>
      </c>
      <c r="E2452" s="4" t="n">
        <v>39700</v>
      </c>
    </row>
    <row r="2453">
      <c r="A2453" s="3" t="inlineStr">
        <is>
          <t>33</t>
        </is>
      </c>
      <c r="B2453" s="3" t="n">
        <v/>
      </c>
      <c r="C2453" s="3" t="inlineStr">
        <is>
          <t>Insulasi foam</t>
        </is>
      </c>
      <c r="D2453" s="3" t="inlineStr">
        <is>
          <t>m2</t>
        </is>
      </c>
      <c r="E2453" s="4" t="n">
        <v>70000</v>
      </c>
    </row>
    <row r="2454">
      <c r="A2454" s="3" t="inlineStr">
        <is>
          <t>34</t>
        </is>
      </c>
      <c r="B2454" s="3" t="n">
        <v/>
      </c>
      <c r="C2454" s="3" t="inlineStr">
        <is>
          <t>Jaringan udara (LVTC  2x15 mm)</t>
        </is>
      </c>
      <c r="D2454" s="3" t="inlineStr">
        <is>
          <t>unit</t>
        </is>
      </c>
      <c r="E2454" s="4" t="n">
        <v>2156800</v>
      </c>
    </row>
    <row r="2455">
      <c r="A2455" s="3" t="inlineStr">
        <is>
          <t>35</t>
        </is>
      </c>
      <c r="B2455" s="3" t="n">
        <v/>
      </c>
      <c r="C2455" s="3" t="inlineStr">
        <is>
          <t>Jendela type J1</t>
        </is>
      </c>
      <c r="D2455" s="3" t="inlineStr">
        <is>
          <t>unit</t>
        </is>
      </c>
      <c r="E2455" s="4" t="n">
        <v>2740500</v>
      </c>
    </row>
    <row r="2456">
      <c r="A2456" s="3" t="inlineStr">
        <is>
          <t>36</t>
        </is>
      </c>
      <c r="B2456" s="3" t="n">
        <v/>
      </c>
      <c r="C2456" s="3" t="inlineStr">
        <is>
          <t>Jendela type J2</t>
        </is>
      </c>
      <c r="D2456" s="3" t="inlineStr">
        <is>
          <t>unit</t>
        </is>
      </c>
      <c r="E2456" s="4" t="n">
        <v>5481000</v>
      </c>
    </row>
    <row r="2457">
      <c r="A2457" s="3" t="inlineStr">
        <is>
          <t>37</t>
        </is>
      </c>
      <c r="B2457" s="3" t="n">
        <v/>
      </c>
      <c r="C2457" s="3" t="inlineStr">
        <is>
          <t>Joint  Sealent</t>
        </is>
      </c>
      <c r="D2457" s="3" t="inlineStr">
        <is>
          <t>kg</t>
        </is>
      </c>
      <c r="E2457" s="4" t="n">
        <v>37300</v>
      </c>
    </row>
    <row r="2458">
      <c r="A2458" s="3" t="inlineStr">
        <is>
          <t>38</t>
        </is>
      </c>
      <c r="B2458" s="3" t="n">
        <v/>
      </c>
      <c r="C2458" s="3" t="inlineStr">
        <is>
          <t>Kapur</t>
        </is>
      </c>
      <c r="D2458" s="3" t="inlineStr">
        <is>
          <t>m3</t>
        </is>
      </c>
      <c r="E2458" s="4" t="n">
        <v>263700</v>
      </c>
    </row>
    <row r="2459">
      <c r="A2459" s="3" t="inlineStr">
        <is>
          <t>39</t>
        </is>
      </c>
      <c r="B2459" s="3" t="n">
        <v/>
      </c>
      <c r="C2459" s="3" t="inlineStr">
        <is>
          <t>Kapur padam</t>
        </is>
      </c>
      <c r="D2459" s="3" t="inlineStr">
        <is>
          <t>kg</t>
        </is>
      </c>
      <c r="E2459" s="4" t="n">
        <v>7000</v>
      </c>
    </row>
    <row r="2460">
      <c r="A2460" s="3" t="inlineStr">
        <is>
          <t>40</t>
        </is>
      </c>
      <c r="B2460" s="3" t="n">
        <v/>
      </c>
      <c r="C2460" s="3" t="inlineStr">
        <is>
          <t>Karung goni</t>
        </is>
      </c>
      <c r="D2460" s="3" t="inlineStr">
        <is>
          <t>m2</t>
        </is>
      </c>
      <c r="E2460" s="4" t="n">
        <v>14500</v>
      </c>
    </row>
    <row r="2461">
      <c r="A2461" s="3" t="inlineStr">
        <is>
          <t>41</t>
        </is>
      </c>
      <c r="B2461" s="3" t="n">
        <v/>
      </c>
      <c r="C2461" s="3" t="inlineStr">
        <is>
          <t>Karung plastik</t>
        </is>
      </c>
      <c r="D2461" s="3" t="inlineStr">
        <is>
          <t>buah</t>
        </is>
      </c>
      <c r="E2461" s="4" t="n">
        <v>3900</v>
      </c>
    </row>
    <row r="2462">
      <c r="A2462" s="3" t="inlineStr">
        <is>
          <t>42</t>
        </is>
      </c>
      <c r="B2462" s="3" t="n">
        <v/>
      </c>
      <c r="C2462" s="3" t="inlineStr">
        <is>
          <t>Kisdam (sewa sheet  pile selama 2 bulan)</t>
        </is>
      </c>
      <c r="D2462" s="3" t="inlineStr">
        <is>
          <t>batang</t>
        </is>
      </c>
      <c r="E2462" s="4" t="n">
        <v>710500</v>
      </c>
    </row>
    <row r="2463">
      <c r="A2463" s="3" t="inlineStr">
        <is>
          <t>43</t>
        </is>
      </c>
      <c r="B2463" s="3" t="n">
        <v/>
      </c>
      <c r="C2463" s="3" t="inlineStr">
        <is>
          <t>Lem Aibon</t>
        </is>
      </c>
      <c r="D2463" s="3" t="inlineStr">
        <is>
          <t>kg</t>
        </is>
      </c>
      <c r="E2463" s="4" t="n">
        <v>42500</v>
      </c>
    </row>
    <row r="2464">
      <c r="A2464" s="3" t="inlineStr">
        <is>
          <t>44</t>
        </is>
      </c>
      <c r="B2464" s="3" t="n">
        <v/>
      </c>
      <c r="C2464" s="3" t="inlineStr">
        <is>
          <t>Lem epoxy</t>
        </is>
      </c>
      <c r="D2464" s="3" t="inlineStr">
        <is>
          <t>kg</t>
        </is>
      </c>
      <c r="E2464" s="4" t="n">
        <v>145000</v>
      </c>
    </row>
    <row r="2465">
      <c r="A2465" s="3" t="inlineStr">
        <is>
          <t>45</t>
        </is>
      </c>
      <c r="B2465" s="3" t="n">
        <v/>
      </c>
      <c r="C2465" s="3" t="inlineStr">
        <is>
          <t>Lem kayu</t>
        </is>
      </c>
      <c r="D2465" s="3" t="inlineStr">
        <is>
          <t>kg</t>
        </is>
      </c>
      <c r="E2465" s="4" t="n">
        <v>16400</v>
      </c>
    </row>
    <row r="2466">
      <c r="A2466" s="3" t="inlineStr">
        <is>
          <t>46</t>
        </is>
      </c>
      <c r="B2466" s="3" t="n">
        <v/>
      </c>
      <c r="C2466" s="3" t="inlineStr">
        <is>
          <t>Lem vinyl</t>
        </is>
      </c>
      <c r="D2466" s="3" t="inlineStr">
        <is>
          <t>kg</t>
        </is>
      </c>
      <c r="E2466" s="4" t="n">
        <v>36900</v>
      </c>
    </row>
    <row r="2467">
      <c r="A2467" s="3" t="n">
        <v/>
      </c>
      <c r="B2467" s="3" t="n">
        <v/>
      </c>
      <c r="C2467" s="3" t="inlineStr">
        <is>
          <t xml:space="preserve">Lem Karpet </t>
        </is>
      </c>
      <c r="D2467" s="3" t="inlineStr">
        <is>
          <t>kg</t>
        </is>
      </c>
      <c r="E2467" s="4" t="n">
        <v>75000</v>
      </c>
    </row>
    <row r="2468">
      <c r="A2468" s="3" t="inlineStr">
        <is>
          <t>47</t>
        </is>
      </c>
      <c r="B2468" s="3" t="n">
        <v/>
      </c>
      <c r="C2468" s="3" t="inlineStr">
        <is>
          <t>Lethering akrilik tinggi 100 tebal 20 cm</t>
        </is>
      </c>
      <c r="D2468" s="3" t="inlineStr">
        <is>
          <t>buah</t>
        </is>
      </c>
      <c r="E2468" s="4" t="n">
        <v>1167200</v>
      </c>
    </row>
    <row r="2469">
      <c r="A2469" s="3" t="inlineStr">
        <is>
          <t>48</t>
        </is>
      </c>
      <c r="B2469" s="3" t="n">
        <v/>
      </c>
      <c r="C2469" s="3" t="inlineStr">
        <is>
          <t>Lethering akrilik tinggi 25 tebal 5 cm</t>
        </is>
      </c>
      <c r="D2469" s="3" t="inlineStr">
        <is>
          <t>buah</t>
        </is>
      </c>
      <c r="E2469" s="4" t="n">
        <v>140000</v>
      </c>
    </row>
    <row r="2470">
      <c r="A2470" s="3" t="inlineStr">
        <is>
          <t>49</t>
        </is>
      </c>
      <c r="B2470" s="3" t="n">
        <v/>
      </c>
      <c r="C2470" s="3" t="inlineStr">
        <is>
          <t>Lethering akrilik tinggi 45 tebal 20 cm</t>
        </is>
      </c>
      <c r="D2470" s="3" t="inlineStr">
        <is>
          <t>buah</t>
        </is>
      </c>
      <c r="E2470" s="4" t="n">
        <v>525200</v>
      </c>
    </row>
    <row r="2471">
      <c r="A2471" s="3" t="inlineStr">
        <is>
          <t>50</t>
        </is>
      </c>
      <c r="B2471" s="3" t="n">
        <v/>
      </c>
      <c r="C2471" s="3" t="inlineStr">
        <is>
          <t>Lethering akrilik tinggi 70 tebal 20 cm</t>
        </is>
      </c>
      <c r="D2471" s="3" t="inlineStr">
        <is>
          <t>buah</t>
        </is>
      </c>
      <c r="E2471" s="4" t="n">
        <v>817000</v>
      </c>
    </row>
    <row r="2472">
      <c r="A2472" s="3" t="inlineStr">
        <is>
          <t>51</t>
        </is>
      </c>
      <c r="B2472" s="3" t="n">
        <v/>
      </c>
      <c r="C2472" s="3" t="inlineStr">
        <is>
          <t>Lis  profil beton (50 cm)</t>
        </is>
      </c>
      <c r="D2472" s="3" t="inlineStr">
        <is>
          <t>buah</t>
        </is>
      </c>
      <c r="E2472" s="4" t="n">
        <v>8000</v>
      </c>
    </row>
    <row r="2473">
      <c r="A2473" s="3" t="inlineStr">
        <is>
          <t>52</t>
        </is>
      </c>
      <c r="B2473" s="3" t="n">
        <v/>
      </c>
      <c r="C2473" s="3" t="inlineStr">
        <is>
          <t>Mortar Acian Bata Ringan</t>
        </is>
      </c>
      <c r="D2473" s="3" t="inlineStr">
        <is>
          <t>zak</t>
        </is>
      </c>
      <c r="E2473" s="4" t="n">
        <v>99600</v>
      </c>
    </row>
    <row r="2474">
      <c r="A2474" s="3" t="inlineStr">
        <is>
          <t>53</t>
        </is>
      </c>
      <c r="B2474" s="3" t="n">
        <v/>
      </c>
      <c r="C2474" s="3" t="inlineStr">
        <is>
          <t>Mortar Perekat  Bata Ringan</t>
        </is>
      </c>
      <c r="D2474" s="3" t="inlineStr">
        <is>
          <t>zak</t>
        </is>
      </c>
      <c r="E2474" s="4" t="n">
        <v>85600</v>
      </c>
    </row>
    <row r="2475">
      <c r="A2475" s="3" t="inlineStr">
        <is>
          <t>54</t>
        </is>
      </c>
      <c r="B2475" s="3" t="n">
        <v/>
      </c>
      <c r="C2475" s="3" t="inlineStr">
        <is>
          <t>Mortar Plesteran Bata Ringan</t>
        </is>
      </c>
      <c r="D2475" s="3" t="inlineStr">
        <is>
          <t>zak</t>
        </is>
      </c>
      <c r="E2475" s="4" t="n">
        <v>82600</v>
      </c>
    </row>
    <row r="2476">
      <c r="A2476" s="3" t="inlineStr">
        <is>
          <t>55</t>
        </is>
      </c>
      <c r="B2476" s="3" t="n">
        <v/>
      </c>
      <c r="C2476" s="3" t="inlineStr">
        <is>
          <t>Mortar siap pakai</t>
        </is>
      </c>
      <c r="D2476" s="3" t="inlineStr">
        <is>
          <t>kg</t>
        </is>
      </c>
      <c r="E2476" s="4" t="n">
        <v>1850</v>
      </c>
    </row>
    <row r="2477">
      <c r="A2477" s="3" t="n">
        <v/>
      </c>
      <c r="B2477" s="3" t="n">
        <v/>
      </c>
      <c r="C2477" s="3" t="inlineStr">
        <is>
          <t>Mortar Skimcoat</t>
        </is>
      </c>
      <c r="D2477" s="3" t="inlineStr">
        <is>
          <t>kg</t>
        </is>
      </c>
      <c r="E2477" s="4" t="n">
        <v>5070</v>
      </c>
    </row>
    <row r="2478">
      <c r="A2478" s="3" t="inlineStr">
        <is>
          <t>56</t>
        </is>
      </c>
      <c r="B2478" s="3" t="n">
        <v/>
      </c>
      <c r="C2478" s="3" t="inlineStr">
        <is>
          <t>Nako  per daun</t>
        </is>
      </c>
      <c r="D2478" s="3" t="inlineStr">
        <is>
          <t>buah</t>
        </is>
      </c>
      <c r="E2478" s="4" t="n">
        <v>8700</v>
      </c>
    </row>
    <row r="2479">
      <c r="A2479" s="3" t="inlineStr">
        <is>
          <t>57</t>
        </is>
      </c>
      <c r="B2479" s="3" t="n">
        <v/>
      </c>
      <c r="C2479" s="3" t="inlineStr">
        <is>
          <t>Pasir Ottawa</t>
        </is>
      </c>
      <c r="D2479" s="3" t="inlineStr">
        <is>
          <t>Zak</t>
        </is>
      </c>
      <c r="E2479" s="4" t="n">
        <v>515000</v>
      </c>
    </row>
    <row r="2480">
      <c r="A2480" s="3" t="inlineStr">
        <is>
          <t>58</t>
        </is>
      </c>
      <c r="B2480" s="3" t="n">
        <v/>
      </c>
      <c r="C2480" s="3" t="inlineStr">
        <is>
          <t>Pemasangan lantai tempered laminated glass  Jemabatan Kaca</t>
        </is>
      </c>
      <c r="D2480" s="3" t="inlineStr">
        <is>
          <t>Unit</t>
        </is>
      </c>
      <c r="E2480" s="4" t="n">
        <v>107070707</v>
      </c>
    </row>
    <row r="2481">
      <c r="A2481" s="3" t="inlineStr">
        <is>
          <t>59</t>
        </is>
      </c>
      <c r="B2481" s="3" t="n">
        <v/>
      </c>
      <c r="C2481" s="3" t="inlineStr">
        <is>
          <t>Pen akrilik</t>
        </is>
      </c>
      <c r="D2481" s="3" t="inlineStr">
        <is>
          <t>buah</t>
        </is>
      </c>
      <c r="E2481" s="4" t="n">
        <v>7000</v>
      </c>
    </row>
    <row r="2482">
      <c r="A2482" s="3" t="inlineStr">
        <is>
          <t>60</t>
        </is>
      </c>
      <c r="B2482" s="3" t="n">
        <v/>
      </c>
      <c r="C2482" s="3" t="inlineStr">
        <is>
          <t>Perekat untuk  wallpaper</t>
        </is>
      </c>
      <c r="D2482" s="3" t="inlineStr">
        <is>
          <t>kg</t>
        </is>
      </c>
      <c r="E2482" s="4" t="n">
        <v>36800</v>
      </c>
    </row>
    <row r="2483">
      <c r="A2483" s="3" t="inlineStr">
        <is>
          <t>61</t>
        </is>
      </c>
      <c r="B2483" s="3" t="n">
        <v/>
      </c>
      <c r="C2483" s="3" t="inlineStr">
        <is>
          <t>Pintu lipat  (folding door) bahan plastik/PVC</t>
        </is>
      </c>
      <c r="D2483" s="3" t="inlineStr">
        <is>
          <t>m2</t>
        </is>
      </c>
      <c r="E2483" s="4" t="n">
        <v>215000</v>
      </c>
    </row>
    <row r="2484">
      <c r="A2484" s="3" t="inlineStr">
        <is>
          <t>62</t>
        </is>
      </c>
      <c r="B2484" s="3" t="n">
        <v/>
      </c>
      <c r="C2484" s="3" t="inlineStr">
        <is>
          <t>Pintu type P1</t>
        </is>
      </c>
      <c r="D2484" s="3" t="inlineStr">
        <is>
          <t>unit</t>
        </is>
      </c>
      <c r="E2484" s="4" t="n">
        <v>4689300</v>
      </c>
    </row>
    <row r="2485">
      <c r="A2485" s="3" t="inlineStr">
        <is>
          <t>63</t>
        </is>
      </c>
      <c r="B2485" s="3" t="n">
        <v/>
      </c>
      <c r="C2485" s="3" t="inlineStr">
        <is>
          <t>Pipa screen pvc  Ø 4"</t>
        </is>
      </c>
      <c r="D2485" s="3" t="inlineStr">
        <is>
          <t>m¹</t>
        </is>
      </c>
      <c r="E2485" s="4" t="n">
        <v>94600</v>
      </c>
    </row>
    <row r="2486">
      <c r="A2486" s="3" t="inlineStr">
        <is>
          <t>64</t>
        </is>
      </c>
      <c r="B2486" s="3" t="n">
        <v/>
      </c>
      <c r="C2486" s="3" t="inlineStr">
        <is>
          <t>Pipa stainless  steel diameter 0,5 "  panjang 6 m</t>
        </is>
      </c>
      <c r="D2486" s="3" t="inlineStr">
        <is>
          <t>batang</t>
        </is>
      </c>
      <c r="E2486" s="4" t="n">
        <v>1152000</v>
      </c>
    </row>
    <row r="2487">
      <c r="A2487" s="3" t="inlineStr">
        <is>
          <t>65</t>
        </is>
      </c>
      <c r="B2487" s="3" t="n">
        <v/>
      </c>
      <c r="C2487" s="3" t="inlineStr">
        <is>
          <t>Pipa stainless  steel diameter 0,75 "  panjang 6 m</t>
        </is>
      </c>
      <c r="D2487" s="3" t="inlineStr">
        <is>
          <t>batang</t>
        </is>
      </c>
      <c r="E2487" s="4" t="n">
        <v>1253500</v>
      </c>
    </row>
    <row r="2488">
      <c r="A2488" s="3" t="inlineStr">
        <is>
          <t>66</t>
        </is>
      </c>
      <c r="B2488" s="3" t="n">
        <v/>
      </c>
      <c r="C2488" s="3" t="inlineStr">
        <is>
          <t>Pipa stainless  steel diameter 1 "  panjang 6 m</t>
        </is>
      </c>
      <c r="D2488" s="3" t="inlineStr">
        <is>
          <t>batang</t>
        </is>
      </c>
      <c r="E2488" s="4" t="n">
        <v>1598600</v>
      </c>
    </row>
    <row r="2489">
      <c r="A2489" s="3" t="inlineStr">
        <is>
          <t>67</t>
        </is>
      </c>
      <c r="B2489" s="3" t="n">
        <v/>
      </c>
      <c r="C2489" s="3" t="inlineStr">
        <is>
          <t>Pipa stainless  steel diameter 1,5 "  panjang 6 m</t>
        </is>
      </c>
      <c r="D2489" s="3" t="inlineStr">
        <is>
          <t>batang</t>
        </is>
      </c>
      <c r="E2489" s="4" t="n">
        <v>1877700</v>
      </c>
    </row>
    <row r="2490">
      <c r="A2490" s="3" t="inlineStr">
        <is>
          <t>68</t>
        </is>
      </c>
      <c r="B2490" s="3" t="n">
        <v/>
      </c>
      <c r="C2490" s="3" t="inlineStr">
        <is>
          <t>Pipa stainless  steel diameter 2 "  panjang 6 m</t>
        </is>
      </c>
      <c r="D2490" s="3" t="inlineStr">
        <is>
          <t>batang</t>
        </is>
      </c>
      <c r="E2490" s="4" t="n">
        <v>2461300</v>
      </c>
    </row>
    <row r="2491">
      <c r="A2491" s="3" t="inlineStr">
        <is>
          <t>69</t>
        </is>
      </c>
      <c r="B2491" s="3" t="n">
        <v/>
      </c>
      <c r="C2491" s="3" t="inlineStr">
        <is>
          <t>Pipa stainless  steel diameter 2,5 "  panjang 6 m</t>
        </is>
      </c>
      <c r="D2491" s="3" t="inlineStr">
        <is>
          <t>batang</t>
        </is>
      </c>
      <c r="E2491" s="4" t="n">
        <v>3045000</v>
      </c>
    </row>
    <row r="2492">
      <c r="A2492" s="3" t="inlineStr">
        <is>
          <t>70</t>
        </is>
      </c>
      <c r="B2492" s="3" t="n">
        <v/>
      </c>
      <c r="C2492" s="3" t="inlineStr">
        <is>
          <t>Pipa stainless  steel diameter 3 "  panjang 6 m</t>
        </is>
      </c>
      <c r="D2492" s="3" t="inlineStr">
        <is>
          <t>batang</t>
        </is>
      </c>
      <c r="E2492" s="4" t="n">
        <v>4403200</v>
      </c>
    </row>
    <row r="2493">
      <c r="A2493" s="3" t="inlineStr">
        <is>
          <t>71</t>
        </is>
      </c>
      <c r="B2493" s="3" t="n">
        <v/>
      </c>
      <c r="C2493" s="3" t="inlineStr">
        <is>
          <t>Plastik aerator</t>
        </is>
      </c>
      <c r="D2493" s="3" t="inlineStr">
        <is>
          <t>buah</t>
        </is>
      </c>
      <c r="E2493" s="4" t="n">
        <v>15900</v>
      </c>
    </row>
    <row r="2494">
      <c r="A2494" s="3" t="inlineStr">
        <is>
          <t>72</t>
        </is>
      </c>
      <c r="B2494" s="3" t="n">
        <v/>
      </c>
      <c r="C2494" s="3" t="inlineStr">
        <is>
          <t>Prasasti marmer 20x20</t>
        </is>
      </c>
      <c r="D2494" s="3" t="inlineStr">
        <is>
          <t>Unit</t>
        </is>
      </c>
      <c r="E2494" s="4" t="n">
        <v>120000</v>
      </c>
    </row>
    <row r="2495">
      <c r="A2495" s="3" t="inlineStr">
        <is>
          <t>73</t>
        </is>
      </c>
      <c r="B2495" s="3" t="n">
        <v/>
      </c>
      <c r="C2495" s="3" t="inlineStr">
        <is>
          <t>Ramset</t>
        </is>
      </c>
      <c r="D2495" s="3" t="inlineStr">
        <is>
          <t>buah</t>
        </is>
      </c>
      <c r="E2495" s="4" t="n">
        <v>3200</v>
      </c>
    </row>
    <row r="2496">
      <c r="A2496" s="3" t="inlineStr">
        <is>
          <t>74</t>
        </is>
      </c>
      <c r="B2496" s="3" t="n">
        <v/>
      </c>
      <c r="C2496" s="3" t="inlineStr">
        <is>
          <t>Recorder paper</t>
        </is>
      </c>
      <c r="D2496" s="3" t="inlineStr">
        <is>
          <t>set</t>
        </is>
      </c>
      <c r="E2496" s="4" t="n">
        <v>174100</v>
      </c>
    </row>
    <row r="2497">
      <c r="A2497" s="3" t="inlineStr">
        <is>
          <t>75</t>
        </is>
      </c>
      <c r="B2497" s="3" t="n">
        <v/>
      </c>
      <c r="C2497" s="3" t="inlineStr">
        <is>
          <t>Rel pintu dorong</t>
        </is>
      </c>
      <c r="D2497" s="3" t="inlineStr">
        <is>
          <t>buah</t>
        </is>
      </c>
      <c r="E2497" s="4" t="n">
        <v>243700</v>
      </c>
    </row>
    <row r="2498">
      <c r="A2498" s="3" t="inlineStr">
        <is>
          <t>76</t>
        </is>
      </c>
      <c r="B2498" s="3" t="n">
        <v/>
      </c>
      <c r="C2498" s="3" t="inlineStr">
        <is>
          <t>Reng baja ringan</t>
        </is>
      </c>
      <c r="D2498" s="3" t="inlineStr">
        <is>
          <t>batang</t>
        </is>
      </c>
      <c r="E2498" s="4" t="n">
        <v>33900</v>
      </c>
    </row>
    <row r="2499">
      <c r="A2499" s="3" t="n">
        <v/>
      </c>
      <c r="B2499" s="3" t="n">
        <v/>
      </c>
      <c r="C2499" s="3" t="inlineStr">
        <is>
          <t>Reng baja ringan</t>
        </is>
      </c>
      <c r="D2499" s="3" t="inlineStr">
        <is>
          <t>m</t>
        </is>
      </c>
      <c r="E2499" s="4" t="n">
        <v>6000</v>
      </c>
    </row>
    <row r="2500">
      <c r="A2500" s="3" t="inlineStr">
        <is>
          <t>77</t>
        </is>
      </c>
      <c r="B2500" s="3" t="n">
        <v/>
      </c>
      <c r="C2500" s="3" t="inlineStr">
        <is>
          <t>Roster 10 x  20 cm</t>
        </is>
      </c>
      <c r="D2500" s="3" t="inlineStr">
        <is>
          <t>buah</t>
        </is>
      </c>
      <c r="E2500" s="4" t="n">
        <v>11300</v>
      </c>
    </row>
    <row r="2501">
      <c r="A2501" s="3" t="inlineStr">
        <is>
          <t>78</t>
        </is>
      </c>
      <c r="B2501" s="3" t="n">
        <v/>
      </c>
      <c r="C2501" s="3" t="inlineStr">
        <is>
          <t>Roster 15 x  25 cm</t>
        </is>
      </c>
      <c r="D2501" s="3" t="inlineStr">
        <is>
          <t>buah</t>
        </is>
      </c>
      <c r="E2501" s="4" t="n">
        <v>19300</v>
      </c>
    </row>
    <row r="2502">
      <c r="A2502" s="3" t="inlineStr">
        <is>
          <t>79</t>
        </is>
      </c>
      <c r="B2502" s="3" t="n">
        <v/>
      </c>
      <c r="C2502" s="3" t="inlineStr">
        <is>
          <t>Roster 15 x  30 cm</t>
        </is>
      </c>
      <c r="D2502" s="3" t="inlineStr">
        <is>
          <t>buah</t>
        </is>
      </c>
      <c r="E2502" s="4" t="n">
        <v>19800</v>
      </c>
    </row>
    <row r="2503">
      <c r="A2503" s="3" t="inlineStr">
        <is>
          <t>80</t>
        </is>
      </c>
      <c r="B2503" s="3" t="n">
        <v/>
      </c>
      <c r="C2503" s="3" t="inlineStr">
        <is>
          <t>Roster 20 x 20 cm</t>
        </is>
      </c>
      <c r="D2503" s="3" t="inlineStr">
        <is>
          <t>buah</t>
        </is>
      </c>
      <c r="E2503" s="4" t="n">
        <v>13100</v>
      </c>
    </row>
    <row r="2504">
      <c r="A2504" s="3" t="inlineStr">
        <is>
          <t>81</t>
        </is>
      </c>
      <c r="B2504" s="3" t="n">
        <v/>
      </c>
      <c r="C2504" s="3" t="inlineStr">
        <is>
          <t>Roster 25 x  25 cm</t>
        </is>
      </c>
      <c r="D2504" s="3" t="inlineStr">
        <is>
          <t>buah</t>
        </is>
      </c>
      <c r="E2504" s="4" t="n">
        <v>16500</v>
      </c>
    </row>
    <row r="2505">
      <c r="A2505" s="3" t="inlineStr">
        <is>
          <t>82</t>
        </is>
      </c>
      <c r="B2505" s="3" t="n">
        <v/>
      </c>
      <c r="C2505" s="3" t="inlineStr">
        <is>
          <t>Roster 30 x  30 cm</t>
        </is>
      </c>
      <c r="D2505" s="3" t="inlineStr">
        <is>
          <t>buah</t>
        </is>
      </c>
      <c r="E2505" s="4" t="n">
        <v>20500</v>
      </c>
    </row>
    <row r="2506">
      <c r="A2506" s="3" t="inlineStr">
        <is>
          <t>83</t>
        </is>
      </c>
      <c r="B2506" s="3" t="n">
        <v/>
      </c>
      <c r="C2506" s="3" t="inlineStr">
        <is>
          <t>Roster/terawang</t>
        </is>
      </c>
      <c r="D2506" s="3" t="inlineStr">
        <is>
          <t>buah</t>
        </is>
      </c>
      <c r="E2506" s="4" t="n">
        <v>21500</v>
      </c>
    </row>
    <row r="2507">
      <c r="A2507" s="3" t="inlineStr">
        <is>
          <t>84</t>
        </is>
      </c>
      <c r="B2507" s="3" t="n">
        <v/>
      </c>
      <c r="C2507" s="3" t="inlineStr">
        <is>
          <t>Rumput  sintetis  uk. 1mx1m tebal 2 cm</t>
        </is>
      </c>
      <c r="D2507" s="3" t="inlineStr">
        <is>
          <t>buah</t>
        </is>
      </c>
      <c r="E2507" s="4" t="n">
        <v>149300</v>
      </c>
    </row>
    <row r="2508">
      <c r="A2508" s="3" t="inlineStr">
        <is>
          <t>85</t>
        </is>
      </c>
      <c r="B2508" s="3" t="n">
        <v/>
      </c>
      <c r="C2508" s="3" t="inlineStr">
        <is>
          <t>Sabun</t>
        </is>
      </c>
      <c r="D2508" s="3" t="inlineStr">
        <is>
          <t>Kg</t>
        </is>
      </c>
      <c r="E2508" s="4" t="n">
        <v>19400</v>
      </c>
    </row>
    <row r="2509">
      <c r="A2509" s="3" t="inlineStr">
        <is>
          <t>86</t>
        </is>
      </c>
      <c r="B2509" s="3" t="n">
        <v/>
      </c>
      <c r="C2509" s="3" t="inlineStr">
        <is>
          <t>Screen low  carbon</t>
        </is>
      </c>
      <c r="D2509" s="3" t="inlineStr">
        <is>
          <t>m¹</t>
        </is>
      </c>
      <c r="E2509" s="4" t="n">
        <v>549300</v>
      </c>
    </row>
    <row r="2510">
      <c r="A2510" s="3" t="inlineStr">
        <is>
          <t>87</t>
        </is>
      </c>
      <c r="B2510" s="3" t="n">
        <v/>
      </c>
      <c r="C2510" s="3" t="inlineStr">
        <is>
          <t>Screen stainless  steel ø  4"</t>
        </is>
      </c>
      <c r="D2510" s="3" t="inlineStr">
        <is>
          <t>m¹</t>
        </is>
      </c>
      <c r="E2510" s="4" t="n">
        <v>1137800</v>
      </c>
    </row>
    <row r="2511">
      <c r="A2511" s="3" t="inlineStr">
        <is>
          <t>88</t>
        </is>
      </c>
      <c r="B2511" s="3" t="n">
        <v/>
      </c>
      <c r="C2511" s="3" t="inlineStr">
        <is>
          <t>Sealant</t>
        </is>
      </c>
      <c r="D2511" s="3" t="inlineStr">
        <is>
          <t>tube</t>
        </is>
      </c>
      <c r="E2511" s="4" t="n">
        <v>33100</v>
      </c>
    </row>
    <row r="2512">
      <c r="A2512" s="3" t="inlineStr">
        <is>
          <t>89</t>
        </is>
      </c>
      <c r="B2512" s="3" t="n">
        <v/>
      </c>
      <c r="C2512" s="3" t="inlineStr">
        <is>
          <t>Sealant</t>
        </is>
      </c>
      <c r="D2512" s="3" t="inlineStr">
        <is>
          <t>tube</t>
        </is>
      </c>
      <c r="E2512" s="4" t="n">
        <v>33500</v>
      </c>
    </row>
    <row r="2513">
      <c r="A2513" s="3" t="inlineStr">
        <is>
          <t>90</t>
        </is>
      </c>
      <c r="B2513" s="3" t="n">
        <v/>
      </c>
      <c r="C2513" s="3" t="inlineStr">
        <is>
          <t>Sealant  kaca</t>
        </is>
      </c>
      <c r="D2513" s="3" t="inlineStr">
        <is>
          <t>kg</t>
        </is>
      </c>
      <c r="E2513" s="4" t="n">
        <v>32100</v>
      </c>
    </row>
    <row r="2514">
      <c r="A2514" s="3" t="inlineStr">
        <is>
          <t>91</t>
        </is>
      </c>
      <c r="B2514" s="3" t="n">
        <v/>
      </c>
      <c r="C2514" s="3" t="inlineStr">
        <is>
          <t>Sealtape</t>
        </is>
      </c>
      <c r="D2514" s="3" t="inlineStr">
        <is>
          <t>buah</t>
        </is>
      </c>
      <c r="E2514" s="4" t="n">
        <v>5700</v>
      </c>
    </row>
    <row r="2515">
      <c r="A2515" s="3" t="inlineStr">
        <is>
          <t>92</t>
        </is>
      </c>
      <c r="B2515" s="3" t="n">
        <v/>
      </c>
      <c r="C2515" s="3" t="inlineStr">
        <is>
          <t>Semen Sika</t>
        </is>
      </c>
      <c r="D2515" s="3" t="inlineStr">
        <is>
          <t>Zak</t>
        </is>
      </c>
      <c r="E2515" s="4" t="n">
        <v>163900</v>
      </c>
    </row>
    <row r="2516">
      <c r="A2516" s="3" t="inlineStr">
        <is>
          <t>93</t>
        </is>
      </c>
      <c r="B2516" s="3" t="n">
        <v/>
      </c>
      <c r="C2516" s="3" t="inlineStr">
        <is>
          <t>Septic  tank pabrikasi 1000 liter</t>
        </is>
      </c>
      <c r="D2516" s="3" t="inlineStr">
        <is>
          <t>buah</t>
        </is>
      </c>
      <c r="E2516" s="4" t="n">
        <v>3605000</v>
      </c>
    </row>
    <row r="2517">
      <c r="A2517" s="3" t="inlineStr">
        <is>
          <t>94</t>
        </is>
      </c>
      <c r="B2517" s="3" t="n">
        <v/>
      </c>
      <c r="C2517" s="3" t="inlineStr">
        <is>
          <t>Septic  tank pabrikasi 1200 liter</t>
        </is>
      </c>
      <c r="D2517" s="3" t="inlineStr">
        <is>
          <t>buah</t>
        </is>
      </c>
      <c r="E2517" s="4" t="n">
        <v>5150000</v>
      </c>
    </row>
    <row r="2518">
      <c r="A2518" s="3" t="inlineStr">
        <is>
          <t>95</t>
        </is>
      </c>
      <c r="B2518" s="3" t="n">
        <v/>
      </c>
      <c r="C2518" s="3" t="inlineStr">
        <is>
          <t>Septic  tank pabrikasi 2000 liter</t>
        </is>
      </c>
      <c r="D2518" s="3" t="inlineStr">
        <is>
          <t>buah</t>
        </is>
      </c>
      <c r="E2518" s="4" t="n">
        <v>9785000</v>
      </c>
    </row>
    <row r="2519">
      <c r="A2519" s="3" t="inlineStr">
        <is>
          <t>96</t>
        </is>
      </c>
      <c r="B2519" s="3" t="n">
        <v/>
      </c>
      <c r="C2519" s="3" t="inlineStr">
        <is>
          <t>Septic  tank pabrikasi 800 liter</t>
        </is>
      </c>
      <c r="D2519" s="3" t="inlineStr">
        <is>
          <t>buah</t>
        </is>
      </c>
      <c r="E2519" s="4" t="n">
        <v>2629500</v>
      </c>
    </row>
    <row r="2520">
      <c r="A2520" s="3" t="inlineStr">
        <is>
          <t>97</t>
        </is>
      </c>
      <c r="B2520" s="3" t="n">
        <v/>
      </c>
      <c r="C2520" s="3" t="inlineStr">
        <is>
          <t>Sesek bambu</t>
        </is>
      </c>
      <c r="D2520" s="3" t="inlineStr">
        <is>
          <t>lembar</t>
        </is>
      </c>
      <c r="E2520" s="4" t="n">
        <v>19100</v>
      </c>
    </row>
    <row r="2521">
      <c r="A2521" s="3" t="inlineStr">
        <is>
          <t>98</t>
        </is>
      </c>
      <c r="B2521" s="3" t="n">
        <v/>
      </c>
      <c r="C2521" s="3" t="inlineStr">
        <is>
          <t>Signage RMJ</t>
        </is>
      </c>
      <c r="D2521" s="3" t="inlineStr">
        <is>
          <t>unit</t>
        </is>
      </c>
      <c r="E2521" s="4" t="n">
        <v>1987300</v>
      </c>
    </row>
    <row r="2522">
      <c r="A2522" s="3" t="n">
        <v/>
      </c>
      <c r="B2522" s="3" t="n">
        <v/>
      </c>
      <c r="C2522" s="3" t="inlineStr">
        <is>
          <t>Signage Plat Baja lengkap dengan accessories</t>
        </is>
      </c>
      <c r="D2522" s="3" t="inlineStr">
        <is>
          <t xml:space="preserve">buah </t>
        </is>
      </c>
      <c r="E2522" s="4" t="n">
        <v>1500000</v>
      </c>
    </row>
    <row r="2523">
      <c r="A2523" s="3" t="inlineStr">
        <is>
          <t>99</t>
        </is>
      </c>
      <c r="B2523" s="3" t="n">
        <v/>
      </c>
      <c r="C2523" s="3" t="inlineStr">
        <is>
          <t>Sitting Group (cast  iron, kayu)</t>
        </is>
      </c>
      <c r="D2523" s="3" t="inlineStr">
        <is>
          <t>unit</t>
        </is>
      </c>
      <c r="E2523" s="4" t="n">
        <v>2389300</v>
      </c>
    </row>
    <row r="2524">
      <c r="A2524" s="3" t="inlineStr">
        <is>
          <t>100</t>
        </is>
      </c>
      <c r="B2524" s="3" t="n">
        <v/>
      </c>
      <c r="C2524" s="3" t="inlineStr">
        <is>
          <t>Skrup fixer</t>
        </is>
      </c>
      <c r="D2524" s="3" t="inlineStr">
        <is>
          <t>buah</t>
        </is>
      </c>
      <c r="E2524" s="4" t="n">
        <v>1600</v>
      </c>
    </row>
    <row r="2525">
      <c r="A2525" s="3" t="inlineStr">
        <is>
          <t>101</t>
        </is>
      </c>
      <c r="B2525" s="3" t="n">
        <v/>
      </c>
      <c r="C2525" s="3" t="inlineStr">
        <is>
          <t>Soda api</t>
        </is>
      </c>
      <c r="D2525" s="3" t="inlineStr">
        <is>
          <t>kg</t>
        </is>
      </c>
      <c r="E2525" s="4" t="n">
        <v>17900</v>
      </c>
    </row>
    <row r="2526">
      <c r="A2526" s="3" t="inlineStr">
        <is>
          <t>102</t>
        </is>
      </c>
      <c r="B2526" s="3" t="n">
        <v/>
      </c>
      <c r="C2526" s="3" t="inlineStr">
        <is>
          <t>Strorox-100</t>
        </is>
      </c>
      <c r="D2526" s="3" t="inlineStr">
        <is>
          <t>kg</t>
        </is>
      </c>
      <c r="E2526" s="4" t="n">
        <v>40000</v>
      </c>
    </row>
    <row r="2527">
      <c r="A2527" s="3" t="inlineStr">
        <is>
          <t>103</t>
        </is>
      </c>
      <c r="B2527" s="3" t="n">
        <v/>
      </c>
      <c r="C2527" s="3" t="inlineStr">
        <is>
          <t>Tali ijuk</t>
        </is>
      </c>
      <c r="D2527" s="3" t="inlineStr">
        <is>
          <t>kg</t>
        </is>
      </c>
      <c r="E2527" s="4" t="n">
        <v>8200</v>
      </c>
    </row>
    <row r="2528">
      <c r="A2528" s="3" t="n">
        <v/>
      </c>
      <c r="B2528" s="3" t="n">
        <v/>
      </c>
      <c r="C2528" s="3" t="inlineStr">
        <is>
          <t xml:space="preserve">Tali Ijuk </t>
        </is>
      </c>
      <c r="D2528" s="3" t="inlineStr">
        <is>
          <t>m'</t>
        </is>
      </c>
      <c r="E2528" s="4" t="n">
        <v>200</v>
      </c>
    </row>
    <row r="2529">
      <c r="A2529" s="3" t="inlineStr">
        <is>
          <t>104</t>
        </is>
      </c>
      <c r="B2529" s="3" t="n">
        <v/>
      </c>
      <c r="C2529" s="3" t="inlineStr">
        <is>
          <t>Terpal</t>
        </is>
      </c>
      <c r="D2529" s="3" t="inlineStr">
        <is>
          <t>m2</t>
        </is>
      </c>
      <c r="E2529" s="4" t="n">
        <v>12000</v>
      </c>
    </row>
    <row r="2530">
      <c r="A2530" s="3" t="inlineStr">
        <is>
          <t>105</t>
        </is>
      </c>
      <c r="B2530" s="3" t="n">
        <v/>
      </c>
      <c r="C2530" s="3" t="inlineStr">
        <is>
          <t>Tiang Bolard (Bollard cast  iron) tinggi 1,2 m; ø bawah 5"; ø atas  4"</t>
        </is>
      </c>
      <c r="D2530" s="3" t="inlineStr">
        <is>
          <t>buah</t>
        </is>
      </c>
      <c r="E2530" s="4" t="n">
        <v>1429100</v>
      </c>
    </row>
    <row r="2531">
      <c r="A2531" s="3" t="inlineStr">
        <is>
          <t>106</t>
        </is>
      </c>
      <c r="B2531" s="3" t="n">
        <v/>
      </c>
      <c r="C2531" s="3" t="inlineStr">
        <is>
          <t>Venetions  blinds  dan vertical blinds  (tirai)</t>
        </is>
      </c>
      <c r="D2531" s="3" t="inlineStr">
        <is>
          <t>m2</t>
        </is>
      </c>
      <c r="E2531" s="4" t="n">
        <v>7400</v>
      </c>
    </row>
    <row r="2532">
      <c r="A2532" s="3" t="inlineStr">
        <is>
          <t>107</t>
        </is>
      </c>
      <c r="B2532" s="3" t="n">
        <v/>
      </c>
      <c r="C2532" s="3" t="inlineStr">
        <is>
          <t>Wallpaper</t>
        </is>
      </c>
      <c r="D2532" s="3" t="inlineStr">
        <is>
          <t>m'</t>
        </is>
      </c>
      <c r="E2532" s="4" t="n">
        <v>13500</v>
      </c>
    </row>
    <row r="2533">
      <c r="A2533" s="3" t="inlineStr">
        <is>
          <t>108</t>
        </is>
      </c>
      <c r="B2533" s="3" t="n">
        <v/>
      </c>
      <c r="C2533" s="3" t="inlineStr">
        <is>
          <t>Waterstop lebar 150 mm</t>
        </is>
      </c>
      <c r="D2533" s="3" t="inlineStr">
        <is>
          <t>m'</t>
        </is>
      </c>
      <c r="E2533" s="4" t="n">
        <v>75000</v>
      </c>
    </row>
    <row r="2534">
      <c r="A2534" s="3" t="inlineStr">
        <is>
          <t>109</t>
        </is>
      </c>
      <c r="B2534" s="3" t="n">
        <v/>
      </c>
      <c r="C2534" s="3" t="inlineStr">
        <is>
          <t>Waterstop lebar 200 mm</t>
        </is>
      </c>
      <c r="D2534" s="3" t="inlineStr">
        <is>
          <t>m'</t>
        </is>
      </c>
      <c r="E2534" s="4" t="n">
        <v>94000</v>
      </c>
    </row>
    <row r="2535">
      <c r="A2535" s="3" t="inlineStr">
        <is>
          <t>110</t>
        </is>
      </c>
      <c r="B2535" s="3" t="n">
        <v/>
      </c>
      <c r="C2535" s="3" t="inlineStr">
        <is>
          <t>Waterstop lebar 250 mm</t>
        </is>
      </c>
      <c r="D2535" s="3" t="inlineStr">
        <is>
          <t>m'</t>
        </is>
      </c>
      <c r="E2535" s="4" t="n">
        <v>136000</v>
      </c>
    </row>
    <row r="2536">
      <c r="A2536" s="3" t="inlineStr">
        <is>
          <t>111</t>
        </is>
      </c>
      <c r="B2536" s="3" t="n">
        <v/>
      </c>
      <c r="C2536" s="3" t="inlineStr">
        <is>
          <t>Wax</t>
        </is>
      </c>
      <c r="D2536" s="3" t="inlineStr">
        <is>
          <t>kg</t>
        </is>
      </c>
      <c r="E2536" s="4" t="n">
        <v>130000</v>
      </c>
    </row>
    <row r="2537">
      <c r="A2537" s="3" t="n">
        <v/>
      </c>
      <c r="B2537" s="3" t="n">
        <v/>
      </c>
      <c r="C2537" s="3" t="inlineStr">
        <is>
          <t>Paving Block Tebal 6 cm fc 20 Mpa</t>
        </is>
      </c>
      <c r="D2537" s="3" t="inlineStr">
        <is>
          <t>m2</t>
        </is>
      </c>
      <c r="E2537" s="4" t="n">
        <v>70000</v>
      </c>
    </row>
    <row r="2538">
      <c r="A2538" s="3" t="n">
        <v/>
      </c>
      <c r="B2538" s="3" t="n">
        <v/>
      </c>
      <c r="C2538" s="3" t="inlineStr">
        <is>
          <t xml:space="preserve">Pasir Filler </t>
        </is>
      </c>
      <c r="D2538" s="3" t="inlineStr">
        <is>
          <t>m3</t>
        </is>
      </c>
      <c r="E2538" s="4" t="n">
        <v>300000</v>
      </c>
    </row>
    <row r="2539">
      <c r="A2539" s="3" t="n">
        <v/>
      </c>
      <c r="B2539" s="3" t="n">
        <v/>
      </c>
      <c r="C2539" s="3" t="inlineStr">
        <is>
          <t>Paving Block Tebal 6 cm fc 25 Mpa</t>
        </is>
      </c>
      <c r="D2539" s="3" t="inlineStr">
        <is>
          <t>m2</t>
        </is>
      </c>
      <c r="E2539" s="4" t="n">
        <v>82000</v>
      </c>
    </row>
    <row r="2540">
      <c r="A2540" s="3" t="n">
        <v/>
      </c>
      <c r="B2540" s="3" t="n">
        <v/>
      </c>
      <c r="C2540" s="3" t="inlineStr">
        <is>
          <t>Paving Block Tebal 8 cm fc 20 Mpa</t>
        </is>
      </c>
      <c r="D2540" s="3" t="inlineStr">
        <is>
          <t>m2</t>
        </is>
      </c>
      <c r="E2540" s="4" t="n">
        <v>85000</v>
      </c>
    </row>
    <row r="2541">
      <c r="A2541" s="3" t="n">
        <v/>
      </c>
      <c r="B2541" s="3" t="n">
        <v/>
      </c>
      <c r="C2541" s="3" t="inlineStr">
        <is>
          <t>Paving Block Tebal 8 cm fc 25 Mpa</t>
        </is>
      </c>
      <c r="D2541" s="3" t="inlineStr">
        <is>
          <t>m2</t>
        </is>
      </c>
      <c r="E2541" s="4" t="n">
        <v>97000</v>
      </c>
    </row>
    <row r="2542">
      <c r="A2542" s="3" t="n">
        <v/>
      </c>
      <c r="B2542" s="3" t="n">
        <v/>
      </c>
      <c r="C2542" s="3" t="inlineStr">
        <is>
          <t>Stepping Band Lebar 15 mm</t>
        </is>
      </c>
      <c r="D2542" s="3" t="inlineStr">
        <is>
          <t>m</t>
        </is>
      </c>
      <c r="E2542" s="4" t="n">
        <v>8570</v>
      </c>
    </row>
    <row r="2543">
      <c r="A2543" s="3" t="n">
        <v/>
      </c>
      <c r="B2543" s="3" t="n">
        <v/>
      </c>
      <c r="C2543" s="3" t="inlineStr">
        <is>
          <t xml:space="preserve">Palet Kayu uk. 120x120x10 cm </t>
        </is>
      </c>
      <c r="D2543" s="3" t="inlineStr">
        <is>
          <t xml:space="preserve">buah </t>
        </is>
      </c>
      <c r="E2543" s="4" t="n">
        <v>123000</v>
      </c>
    </row>
    <row r="2544">
      <c r="A2544" s="3" t="n">
        <v/>
      </c>
      <c r="B2544" s="3" t="n">
        <v/>
      </c>
      <c r="C2544" s="3" t="inlineStr">
        <is>
          <t>Geotextile &gt;100 gr/m2</t>
        </is>
      </c>
      <c r="D2544" s="3" t="inlineStr">
        <is>
          <t>m2</t>
        </is>
      </c>
      <c r="E2544" s="4" t="n">
        <v>17500</v>
      </c>
    </row>
    <row r="2545">
      <c r="A2545" s="3" t="n">
        <v/>
      </c>
      <c r="B2545" s="3" t="n">
        <v/>
      </c>
      <c r="C2545" s="3" t="inlineStr">
        <is>
          <t>Geotextile &gt;400 gr/m2</t>
        </is>
      </c>
      <c r="D2545" s="3" t="inlineStr">
        <is>
          <t>m2</t>
        </is>
      </c>
      <c r="E2545" s="4" t="n">
        <v>21000</v>
      </c>
    </row>
    <row r="2546">
      <c r="A2546" s="3" t="n">
        <v/>
      </c>
      <c r="B2546" s="3" t="n">
        <v/>
      </c>
      <c r="C2546" s="3" t="inlineStr">
        <is>
          <t>Geotextile &gt;800 gr/m2</t>
        </is>
      </c>
      <c r="D2546" s="3" t="inlineStr">
        <is>
          <t>m2</t>
        </is>
      </c>
      <c r="E2546" s="4" t="n">
        <v>32000</v>
      </c>
    </row>
    <row r="2547">
      <c r="A2547" s="3" t="n">
        <v/>
      </c>
      <c r="B2547" s="3" t="n">
        <v/>
      </c>
      <c r="C2547" s="3" t="inlineStr">
        <is>
          <t>Geotekstil woven 400 gr/m2</t>
        </is>
      </c>
      <c r="D2547" s="3" t="inlineStr">
        <is>
          <t>m2</t>
        </is>
      </c>
      <c r="E2547" s="4" t="n">
        <v>25000</v>
      </c>
    </row>
    <row r="2548">
      <c r="A2548" s="3" t="n">
        <v/>
      </c>
      <c r="B2548" s="3" t="n">
        <v/>
      </c>
      <c r="C2548" s="3" t="inlineStr">
        <is>
          <t xml:space="preserve">Geomembran </t>
        </is>
      </c>
      <c r="D2548" s="3" t="inlineStr">
        <is>
          <t>m2</t>
        </is>
      </c>
      <c r="E2548" s="4" t="n">
        <v>18950</v>
      </c>
    </row>
    <row r="2549">
      <c r="A2549" s="3" t="n">
        <v/>
      </c>
      <c r="B2549" s="3" t="n">
        <v/>
      </c>
      <c r="C2549" s="3" t="inlineStr">
        <is>
          <t>Geosynthetic Clay Liner</t>
        </is>
      </c>
      <c r="D2549" s="3" t="inlineStr">
        <is>
          <t>m2</t>
        </is>
      </c>
      <c r="E2549" s="4" t="n">
        <v>25000</v>
      </c>
    </row>
    <row r="2550">
      <c r="A2550" s="3" t="n">
        <v/>
      </c>
      <c r="B2550" s="3" t="n">
        <v/>
      </c>
      <c r="C2550" s="3" t="inlineStr">
        <is>
          <t xml:space="preserve">Bentonite </t>
        </is>
      </c>
      <c r="D2550" s="3" t="inlineStr">
        <is>
          <t xml:space="preserve">kg </t>
        </is>
      </c>
      <c r="E2550" s="4" t="n">
        <v>25000</v>
      </c>
    </row>
    <row r="2551">
      <c r="A2551" s="3" t="n">
        <v/>
      </c>
      <c r="B2551" s="3" t="n">
        <v/>
      </c>
      <c r="C2551" s="3" t="inlineStr">
        <is>
          <t xml:space="preserve">MATERIAL LANSEKAP </t>
        </is>
      </c>
      <c r="D2551" s="3" t="n">
        <v/>
      </c>
      <c r="E2551" s="4" t="n">
        <v/>
      </c>
    </row>
    <row r="2552">
      <c r="A2552" s="3" t="n">
        <v/>
      </c>
      <c r="B2552" s="3" t="n">
        <v/>
      </c>
      <c r="C2552" s="3" t="inlineStr">
        <is>
          <t xml:space="preserve">Pupuk Organik </t>
        </is>
      </c>
      <c r="D2552" s="3" t="inlineStr">
        <is>
          <t>m3</t>
        </is>
      </c>
      <c r="E2552" s="4" t="n">
        <v>178000</v>
      </c>
    </row>
    <row r="2553">
      <c r="A2553" s="3" t="n">
        <v/>
      </c>
      <c r="B2553" s="3" t="n">
        <v/>
      </c>
      <c r="C2553" s="3" t="inlineStr">
        <is>
          <t xml:space="preserve">Kompos </t>
        </is>
      </c>
      <c r="D2553" s="3" t="inlineStr">
        <is>
          <t>m3</t>
        </is>
      </c>
      <c r="E2553" s="4" t="n">
        <v>165000</v>
      </c>
    </row>
    <row r="2554">
      <c r="A2554" s="3" t="n">
        <v/>
      </c>
      <c r="B2554" s="3" t="n">
        <v/>
      </c>
      <c r="C2554" s="3" t="inlineStr">
        <is>
          <t xml:space="preserve">Pohon Bunga Mentega di Polybag 20 Liter </t>
        </is>
      </c>
      <c r="D2554" s="3" t="inlineStr">
        <is>
          <t xml:space="preserve">buah </t>
        </is>
      </c>
      <c r="E2554" s="4" t="n">
        <v>135000</v>
      </c>
    </row>
    <row r="2555">
      <c r="A2555" s="3" t="n">
        <v/>
      </c>
      <c r="B2555" s="3" t="n">
        <v/>
      </c>
      <c r="C2555" s="3" t="inlineStr">
        <is>
          <t>Pohon Bunga Mentega di
Polybag 25 Liter</t>
        </is>
      </c>
      <c r="D2555" s="3" t="inlineStr">
        <is>
          <t xml:space="preserve">Buah </t>
        </is>
      </c>
      <c r="E2555" s="4" t="n">
        <v>150000</v>
      </c>
    </row>
    <row r="2556">
      <c r="A2556" s="3" t="n">
        <v/>
      </c>
      <c r="B2556" s="3" t="n">
        <v/>
      </c>
      <c r="C2556" s="3" t="inlineStr">
        <is>
          <t>Pohon Bunga Terompet Kuning di Polybag 20 Liter</t>
        </is>
      </c>
      <c r="D2556" s="3" t="inlineStr">
        <is>
          <t xml:space="preserve">buah </t>
        </is>
      </c>
      <c r="E2556" s="4" t="n">
        <v>135000</v>
      </c>
    </row>
    <row r="2557">
      <c r="A2557" s="3" t="n">
        <v/>
      </c>
      <c r="B2557" s="3" t="n">
        <v/>
      </c>
      <c r="C2557" s="3" t="inlineStr">
        <is>
          <t>Pohon Bunga Terompet
Kuning di Polybag 25 Liter</t>
        </is>
      </c>
      <c r="D2557" s="3" t="inlineStr">
        <is>
          <t xml:space="preserve">Buah </t>
        </is>
      </c>
      <c r="E2557" s="4" t="n">
        <v>150000</v>
      </c>
    </row>
    <row r="2558">
      <c r="A2558" s="3" t="n">
        <v/>
      </c>
      <c r="B2558" s="3" t="n">
        <v/>
      </c>
      <c r="C2558" s="3" t="inlineStr">
        <is>
          <t>Pohon Bunga Terompet Kuning di Polybag 50 Liter</t>
        </is>
      </c>
      <c r="D2558" s="3" t="inlineStr">
        <is>
          <t xml:space="preserve">Buah </t>
        </is>
      </c>
      <c r="E2558" s="4" t="n">
        <v>200000</v>
      </c>
    </row>
    <row r="2559">
      <c r="A2559" s="3" t="n">
        <v/>
      </c>
      <c r="B2559" s="3" t="n">
        <v/>
      </c>
      <c r="C2559" s="3" t="inlineStr">
        <is>
          <t xml:space="preserve">Pohon Bungur Sakura di Polybag 20 Liter </t>
        </is>
      </c>
      <c r="D2559" s="3" t="inlineStr">
        <is>
          <t xml:space="preserve">buah </t>
        </is>
      </c>
      <c r="E2559" s="4" t="n">
        <v>150000</v>
      </c>
    </row>
    <row r="2560">
      <c r="A2560" s="3" t="n">
        <v/>
      </c>
      <c r="B2560" s="3" t="n">
        <v/>
      </c>
      <c r="C2560" s="3" t="inlineStr">
        <is>
          <t>Pohon Bungur
Sakura/Bungur Jepang di
Polybag 25 Liter</t>
        </is>
      </c>
      <c r="D2560" s="3" t="inlineStr">
        <is>
          <t xml:space="preserve">Buah </t>
        </is>
      </c>
      <c r="E2560" s="4" t="n">
        <v>175000</v>
      </c>
    </row>
    <row r="2561">
      <c r="A2561" s="3" t="n">
        <v/>
      </c>
      <c r="B2561" s="3" t="n">
        <v/>
      </c>
      <c r="C2561" s="3" t="inlineStr">
        <is>
          <t>Pohon Bungur di Polybag 75 Liter</t>
        </is>
      </c>
      <c r="D2561" s="3" t="inlineStr">
        <is>
          <t xml:space="preserve">Buah </t>
        </is>
      </c>
      <c r="E2561" s="4" t="n">
        <v>350000</v>
      </c>
    </row>
    <row r="2562">
      <c r="A2562" s="3" t="n">
        <v/>
      </c>
      <c r="B2562" s="3" t="n">
        <v/>
      </c>
      <c r="C2562" s="3" t="inlineStr">
        <is>
          <t>Pohon Bungur di Polybag 100 Liter</t>
        </is>
      </c>
      <c r="D2562" s="3" t="inlineStr">
        <is>
          <t xml:space="preserve">buah </t>
        </is>
      </c>
      <c r="E2562" s="4" t="n">
        <v>375000</v>
      </c>
    </row>
    <row r="2563">
      <c r="A2563" s="3" t="n">
        <v/>
      </c>
      <c r="B2563" s="3" t="n">
        <v/>
      </c>
      <c r="C2563" s="3" t="inlineStr">
        <is>
          <t xml:space="preserve">Pohon Cassia Glauca di Polybag 20 Liter </t>
        </is>
      </c>
      <c r="D2563" s="3" t="inlineStr">
        <is>
          <t xml:space="preserve">buah </t>
        </is>
      </c>
      <c r="E2563" s="4" t="n">
        <v>155000</v>
      </c>
    </row>
    <row r="2564">
      <c r="A2564" s="3" t="n">
        <v/>
      </c>
      <c r="B2564" s="3" t="n">
        <v/>
      </c>
      <c r="C2564" s="3" t="inlineStr">
        <is>
          <t>Pohon Cassia glauca di
Polybag 25 Liter</t>
        </is>
      </c>
      <c r="D2564" s="3" t="inlineStr">
        <is>
          <t xml:space="preserve">buah </t>
        </is>
      </c>
      <c r="E2564" s="4" t="n">
        <v>170000</v>
      </c>
    </row>
    <row r="2565">
      <c r="A2565" s="3" t="n">
        <v/>
      </c>
      <c r="B2565" s="3" t="n">
        <v/>
      </c>
      <c r="C2565" s="3" t="inlineStr">
        <is>
          <t>Pohon Dracaena'song of india' di polybag 20 liter</t>
        </is>
      </c>
      <c r="D2565" s="3" t="inlineStr">
        <is>
          <t xml:space="preserve">Buah </t>
        </is>
      </c>
      <c r="E2565" s="4" t="n">
        <v>165000</v>
      </c>
    </row>
    <row r="2566">
      <c r="A2566" s="3" t="n">
        <v/>
      </c>
      <c r="B2566" s="3" t="n">
        <v/>
      </c>
      <c r="C2566" s="3" t="inlineStr">
        <is>
          <t>Pohon Dracaena ‘Song of
India’ di Polybag 25 Liter</t>
        </is>
      </c>
      <c r="D2566" s="3" t="inlineStr">
        <is>
          <t xml:space="preserve">Buah </t>
        </is>
      </c>
      <c r="E2566" s="4" t="n">
        <v>180000</v>
      </c>
    </row>
    <row r="2567">
      <c r="A2567" s="3" t="n">
        <v/>
      </c>
      <c r="B2567" s="3" t="n">
        <v/>
      </c>
      <c r="C2567" s="3" t="inlineStr">
        <is>
          <t>Pohon Dracaena 'Song of
Jamaica' di Polybag 20
Liter</t>
        </is>
      </c>
      <c r="D2567" s="3" t="inlineStr">
        <is>
          <t xml:space="preserve">Buah </t>
        </is>
      </c>
      <c r="E2567" s="4" t="n">
        <v>170000</v>
      </c>
    </row>
    <row r="2568">
      <c r="A2568" s="3" t="n">
        <v/>
      </c>
      <c r="B2568" s="3" t="n">
        <v/>
      </c>
      <c r="C2568" s="3" t="inlineStr">
        <is>
          <t>Pohon Dracaena 'Song of
Jamaica' di Polybag 25
Liter</t>
        </is>
      </c>
      <c r="D2568" s="3" t="inlineStr">
        <is>
          <t>Buah</t>
        </is>
      </c>
      <c r="E2568" s="4" t="n">
        <v>190000</v>
      </c>
    </row>
    <row r="2569">
      <c r="A2569" s="3" t="n">
        <v/>
      </c>
      <c r="B2569" s="3" t="n">
        <v/>
      </c>
      <c r="C2569" s="3" t="inlineStr">
        <is>
          <t>Pohon Jarak Batavia di
Polybag 20 Liter</t>
        </is>
      </c>
      <c r="D2569" s="3" t="inlineStr">
        <is>
          <t xml:space="preserve">Buah </t>
        </is>
      </c>
      <c r="E2569" s="4" t="n">
        <v>175000</v>
      </c>
    </row>
    <row r="2570">
      <c r="A2570" s="3" t="n">
        <v/>
      </c>
      <c r="B2570" s="3" t="n">
        <v/>
      </c>
      <c r="C2570" s="3" t="inlineStr">
        <is>
          <t>Pohon Jarak Batavia di Polybag 25 Liter</t>
        </is>
      </c>
      <c r="D2570" s="3" t="inlineStr">
        <is>
          <t>Buah</t>
        </is>
      </c>
      <c r="E2570" s="4" t="n">
        <v>190000</v>
      </c>
    </row>
    <row r="2571">
      <c r="A2571" s="3" t="n">
        <v/>
      </c>
      <c r="B2571" s="3" t="n">
        <v/>
      </c>
      <c r="C2571" s="3" t="inlineStr">
        <is>
          <t>Pohon Kayu Putih
Kuning di Polybag 20
Liter</t>
        </is>
      </c>
      <c r="D2571" s="3" t="inlineStr">
        <is>
          <t xml:space="preserve">Buah </t>
        </is>
      </c>
      <c r="E2571" s="4" t="n">
        <v>180000</v>
      </c>
    </row>
    <row r="2572">
      <c r="A2572" s="3" t="n">
        <v/>
      </c>
      <c r="B2572" s="3" t="n">
        <v/>
      </c>
      <c r="C2572" s="3" t="inlineStr">
        <is>
          <t>Pohon Kayu Putih Kuning di Polybag 25 Liter</t>
        </is>
      </c>
      <c r="D2572" s="3" t="inlineStr">
        <is>
          <t xml:space="preserve">Buah </t>
        </is>
      </c>
      <c r="E2572" s="4" t="n">
        <v>190000</v>
      </c>
    </row>
    <row r="2573">
      <c r="A2573" s="3" t="n">
        <v/>
      </c>
      <c r="B2573" s="3" t="n">
        <v/>
      </c>
      <c r="C2573" s="3" t="inlineStr">
        <is>
          <t>Pohon Bugenvil/bunga
kertas di Polybag 20 Liter</t>
        </is>
      </c>
      <c r="D2573" s="3" t="inlineStr">
        <is>
          <t xml:space="preserve">Buah </t>
        </is>
      </c>
      <c r="E2573" s="4" t="n">
        <v>185000</v>
      </c>
    </row>
    <row r="2574">
      <c r="A2574" s="3" t="n">
        <v/>
      </c>
      <c r="B2574" s="3" t="n">
        <v/>
      </c>
      <c r="C2574" s="3" t="inlineStr">
        <is>
          <t>Pohon Penda Merah di
Polybag 20 Liter</t>
        </is>
      </c>
      <c r="D2574" s="3" t="inlineStr">
        <is>
          <t xml:space="preserve">Buah </t>
        </is>
      </c>
      <c r="E2574" s="4" t="n">
        <v>190000</v>
      </c>
    </row>
    <row r="2575">
      <c r="A2575" s="3" t="n">
        <v/>
      </c>
      <c r="B2575" s="3" t="n">
        <v/>
      </c>
      <c r="C2575" s="3" t="inlineStr">
        <is>
          <t>Pohon Pucuk merah di Polybag 25 Liter</t>
        </is>
      </c>
      <c r="D2575" s="3" t="inlineStr">
        <is>
          <t xml:space="preserve">Buah </t>
        </is>
      </c>
      <c r="E2575" s="4" t="n">
        <v>200000</v>
      </c>
    </row>
    <row r="2576">
      <c r="A2576" s="3" t="n">
        <v/>
      </c>
      <c r="B2576" s="3" t="n">
        <v/>
      </c>
      <c r="C2576" s="3" t="inlineStr">
        <is>
          <t>Pohon Sikat Botol di
Polybag 20 Liter</t>
        </is>
      </c>
      <c r="D2576" s="3" t="inlineStr">
        <is>
          <t xml:space="preserve">buah </t>
        </is>
      </c>
      <c r="E2576" s="4" t="n">
        <v>150000</v>
      </c>
    </row>
    <row r="2577">
      <c r="A2577" s="3" t="n">
        <v/>
      </c>
      <c r="B2577" s="3" t="n">
        <v/>
      </c>
      <c r="C2577" s="3" t="inlineStr">
        <is>
          <t>Pohon Sikat Botol di
Polybag 25 Liter</t>
        </is>
      </c>
      <c r="D2577" s="3" t="inlineStr">
        <is>
          <t xml:space="preserve">Buah </t>
        </is>
      </c>
      <c r="E2577" s="4" t="n">
        <v>165000</v>
      </c>
    </row>
    <row r="2578">
      <c r="A2578" s="3" t="n">
        <v/>
      </c>
      <c r="B2578" s="3" t="n">
        <v/>
      </c>
      <c r="C2578" s="3" t="inlineStr">
        <is>
          <t xml:space="preserve">Pohon kecil Anggur terompet </t>
        </is>
      </c>
      <c r="D2578" s="3" t="inlineStr">
        <is>
          <t xml:space="preserve">buah </t>
        </is>
      </c>
      <c r="E2578" s="4" t="n">
        <v>18000</v>
      </c>
    </row>
    <row r="2579">
      <c r="A2579" s="3" t="n">
        <v/>
      </c>
      <c r="B2579" s="3" t="n">
        <v/>
      </c>
      <c r="C2579" s="3" t="inlineStr">
        <is>
          <t xml:space="preserve">Anti Rayap tanah </t>
        </is>
      </c>
      <c r="D2579" s="3" t="inlineStr">
        <is>
          <t>kg</t>
        </is>
      </c>
      <c r="E2579" s="4" t="n">
        <v>28500</v>
      </c>
    </row>
    <row r="2580">
      <c r="A2580" s="3" t="n">
        <v/>
      </c>
      <c r="B2580" s="3" t="n">
        <v/>
      </c>
      <c r="C2580" s="3" t="inlineStr">
        <is>
          <t xml:space="preserve">Pohon kecil Pucuk merah </t>
        </is>
      </c>
      <c r="D2580" s="3" t="inlineStr">
        <is>
          <t>buah</t>
        </is>
      </c>
      <c r="E2580" s="4" t="n">
        <v>50000</v>
      </c>
    </row>
    <row r="2581">
      <c r="A2581" s="3" t="n">
        <v/>
      </c>
      <c r="B2581" s="3" t="n">
        <v/>
      </c>
      <c r="C2581" s="3" t="inlineStr">
        <is>
          <t>Pohon Pulai di Polybag 75
Liter</t>
        </is>
      </c>
      <c r="D2581" s="3" t="inlineStr">
        <is>
          <t xml:space="preserve">Buah </t>
        </is>
      </c>
      <c r="E2581" s="4" t="n">
        <v>150000</v>
      </c>
    </row>
    <row r="2582">
      <c r="A2582" s="3" t="n">
        <v/>
      </c>
      <c r="B2582" s="3" t="n">
        <v/>
      </c>
      <c r="C2582" s="3" t="inlineStr">
        <is>
          <t>Pohon Pulai di Polybag 100 Liter</t>
        </is>
      </c>
      <c r="D2582" s="3" t="inlineStr">
        <is>
          <t xml:space="preserve">Buah </t>
        </is>
      </c>
      <c r="E2582" s="4" t="n">
        <v>275000</v>
      </c>
    </row>
    <row r="2583">
      <c r="A2583" s="3" t="n">
        <v/>
      </c>
      <c r="B2583" s="3" t="n">
        <v/>
      </c>
      <c r="C2583" s="3" t="inlineStr">
        <is>
          <t>Pohon Pulai di Polybag 150 Liter</t>
        </is>
      </c>
      <c r="D2583" s="3" t="inlineStr">
        <is>
          <t xml:space="preserve">buah </t>
        </is>
      </c>
      <c r="E2583" s="4" t="n">
        <v>300000</v>
      </c>
    </row>
    <row r="2584">
      <c r="A2584" s="3" t="n">
        <v/>
      </c>
      <c r="B2584" s="3" t="n">
        <v/>
      </c>
      <c r="C2584" s="3" t="inlineStr">
        <is>
          <t>Pohon Pulai di Polybag 200 Liter</t>
        </is>
      </c>
      <c r="D2584" s="3" t="inlineStr">
        <is>
          <t xml:space="preserve">Buah </t>
        </is>
      </c>
      <c r="E2584" s="4" t="n">
        <v>325000</v>
      </c>
    </row>
    <row r="2585">
      <c r="A2585" s="3" t="n">
        <v/>
      </c>
      <c r="B2585" s="3" t="n">
        <v/>
      </c>
      <c r="C2585" s="3" t="inlineStr">
        <is>
          <t>Pohon Pulai di Polybag 250
Liter</t>
        </is>
      </c>
      <c r="D2585" s="3" t="inlineStr">
        <is>
          <t xml:space="preserve">Buah </t>
        </is>
      </c>
      <c r="E2585" s="4" t="n">
        <v>350000</v>
      </c>
    </row>
    <row r="2586">
      <c r="A2586" s="3" t="n">
        <v/>
      </c>
      <c r="B2586" s="3" t="n">
        <v/>
      </c>
      <c r="C2586" s="3" t="inlineStr">
        <is>
          <t xml:space="preserve">Pohon sedang Ketapang Kencana </t>
        </is>
      </c>
      <c r="D2586" s="3" t="inlineStr">
        <is>
          <t>buah</t>
        </is>
      </c>
      <c r="E2586" s="4" t="n">
        <v>150000</v>
      </c>
    </row>
    <row r="2587">
      <c r="A2587" s="3" t="n">
        <v/>
      </c>
      <c r="B2587" s="3" t="n">
        <v/>
      </c>
      <c r="C2587" s="3" t="inlineStr">
        <is>
          <t>Pohon Mahoni di Polybag
75 Liter</t>
        </is>
      </c>
      <c r="D2587" s="3" t="inlineStr">
        <is>
          <t>Buah</t>
        </is>
      </c>
      <c r="E2587" s="4" t="n">
        <v>150000</v>
      </c>
    </row>
    <row r="2588">
      <c r="A2588" s="3" t="n">
        <v/>
      </c>
      <c r="B2588" s="3" t="n">
        <v/>
      </c>
      <c r="C2588" s="3" t="inlineStr">
        <is>
          <t>Pohon Beringin di Polybag 100 Liter</t>
        </is>
      </c>
      <c r="D2588" s="3" t="inlineStr">
        <is>
          <t xml:space="preserve">buah </t>
        </is>
      </c>
      <c r="E2588" s="4" t="n">
        <v>250000</v>
      </c>
    </row>
    <row r="2589">
      <c r="A2589" s="3" t="n">
        <v/>
      </c>
      <c r="B2589" s="3" t="n">
        <v/>
      </c>
      <c r="C2589" s="3" t="inlineStr">
        <is>
          <t>Pohon Beringin di Polybag 150 Liter</t>
        </is>
      </c>
      <c r="D2589" s="3" t="inlineStr">
        <is>
          <t xml:space="preserve">Buah </t>
        </is>
      </c>
      <c r="E2589" s="4" t="n">
        <v>275000</v>
      </c>
    </row>
    <row r="2590">
      <c r="A2590" s="3" t="n">
        <v/>
      </c>
      <c r="B2590" s="3" t="n">
        <v/>
      </c>
      <c r="C2590" s="3" t="inlineStr">
        <is>
          <t>Pohon Beringin di Polybag
250 Liter</t>
        </is>
      </c>
      <c r="D2590" s="3" t="inlineStr">
        <is>
          <t xml:space="preserve">Buah </t>
        </is>
      </c>
      <c r="E2590" s="4" t="n">
        <v>300000</v>
      </c>
    </row>
    <row r="2591">
      <c r="A2591" s="3" t="n">
        <v/>
      </c>
      <c r="B2591" s="3" t="n">
        <v/>
      </c>
      <c r="C2591" s="3" t="inlineStr">
        <is>
          <t>Pohon sedang Tabebuya</t>
        </is>
      </c>
      <c r="D2591" s="3" t="inlineStr">
        <is>
          <t>buah</t>
        </is>
      </c>
      <c r="E2591" s="4" t="n">
        <v>450000</v>
      </c>
    </row>
    <row r="2592">
      <c r="A2592" s="3" t="n">
        <v/>
      </c>
      <c r="B2592" s="3" t="n">
        <v/>
      </c>
      <c r="C2592" s="3" t="inlineStr">
        <is>
          <t>Pohon Bintaro di Polybag
50 Liter</t>
        </is>
      </c>
      <c r="D2592" s="3" t="inlineStr">
        <is>
          <t xml:space="preserve">Buah </t>
        </is>
      </c>
      <c r="E2592" s="4" t="n">
        <v>220000</v>
      </c>
    </row>
    <row r="2593">
      <c r="A2593" s="3" t="n">
        <v/>
      </c>
      <c r="B2593" s="3" t="n">
        <v/>
      </c>
      <c r="C2593" s="3" t="inlineStr">
        <is>
          <t>Pohon Bintaro di Polybag 75 Liter</t>
        </is>
      </c>
      <c r="D2593" s="3" t="inlineStr">
        <is>
          <t xml:space="preserve">Buah </t>
        </is>
      </c>
      <c r="E2593" s="4" t="n">
        <v>350000</v>
      </c>
    </row>
    <row r="2594">
      <c r="A2594" s="3" t="n">
        <v/>
      </c>
      <c r="B2594" s="3" t="n">
        <v/>
      </c>
      <c r="C2594" s="3" t="inlineStr">
        <is>
          <t>Pohon Besar Kamboja</t>
        </is>
      </c>
      <c r="D2594" s="3" t="inlineStr">
        <is>
          <t>buah</t>
        </is>
      </c>
      <c r="E2594" s="4" t="n">
        <v>550000</v>
      </c>
    </row>
    <row r="2595">
      <c r="A2595" s="3" t="n">
        <v/>
      </c>
      <c r="B2595" s="3" t="n">
        <v/>
      </c>
      <c r="C2595" s="3" t="inlineStr">
        <is>
          <t>Pohon Besar Beringin</t>
        </is>
      </c>
      <c r="D2595" s="3" t="inlineStr">
        <is>
          <t>buah</t>
        </is>
      </c>
      <c r="E2595" s="4" t="n">
        <v>2900000</v>
      </c>
    </row>
    <row r="2596">
      <c r="A2596" s="3" t="n">
        <v/>
      </c>
      <c r="B2596" s="3" t="n">
        <v/>
      </c>
      <c r="C2596" s="3" t="inlineStr">
        <is>
          <t>Pohon Besar Pulai</t>
        </is>
      </c>
      <c r="D2596" s="3" t="inlineStr">
        <is>
          <t>buah</t>
        </is>
      </c>
      <c r="E2596" s="4" t="n">
        <v>5390000</v>
      </c>
    </row>
    <row r="2597">
      <c r="A2597" s="3" t="n">
        <v/>
      </c>
      <c r="B2597" s="3" t="n">
        <v/>
      </c>
      <c r="C2597" s="3" t="inlineStr">
        <is>
          <t>Pohon Besar Trembesi</t>
        </is>
      </c>
      <c r="D2597" s="3" t="inlineStr">
        <is>
          <t>buah</t>
        </is>
      </c>
      <c r="E2597" s="4" t="n">
        <v>650000</v>
      </c>
    </row>
    <row r="2598">
      <c r="A2598" s="3" t="n">
        <v/>
      </c>
      <c r="B2598" s="3" t="n">
        <v/>
      </c>
      <c r="C2598" s="3" t="inlineStr">
        <is>
          <t>Pohon Trembesi di Polybag 75 Liter</t>
        </is>
      </c>
      <c r="D2598" s="3" t="inlineStr">
        <is>
          <t xml:space="preserve">buah </t>
        </is>
      </c>
      <c r="E2598" s="4" t="n">
        <v>150000</v>
      </c>
    </row>
    <row r="2599">
      <c r="A2599" s="3" t="n">
        <v/>
      </c>
      <c r="B2599" s="3" t="n">
        <v/>
      </c>
      <c r="C2599" s="3" t="inlineStr">
        <is>
          <t>Pohon Trembesi di Polybag 100 Liter</t>
        </is>
      </c>
      <c r="D2599" s="3" t="inlineStr">
        <is>
          <t xml:space="preserve">buah </t>
        </is>
      </c>
      <c r="E2599" s="4" t="n">
        <v>275000</v>
      </c>
    </row>
    <row r="2600">
      <c r="A2600" s="3" t="n">
        <v/>
      </c>
      <c r="B2600" s="3" t="n">
        <v/>
      </c>
      <c r="C2600" s="3" t="inlineStr">
        <is>
          <t>Pohon Trembesi di Polybag 150 Liter</t>
        </is>
      </c>
      <c r="D2600" s="3" t="inlineStr">
        <is>
          <t xml:space="preserve">Buah </t>
        </is>
      </c>
      <c r="E2600" s="4" t="n">
        <v>300000</v>
      </c>
    </row>
    <row r="2601">
      <c r="A2601" s="3" t="n">
        <v/>
      </c>
      <c r="B2601" s="3" t="n">
        <v/>
      </c>
      <c r="C2601" s="3" t="inlineStr">
        <is>
          <t>Pohon Trembesi di Polybag 200
Liter</t>
        </is>
      </c>
      <c r="D2601" s="3" t="inlineStr">
        <is>
          <t>Buah</t>
        </is>
      </c>
      <c r="E2601" s="4" t="n">
        <v>325000</v>
      </c>
    </row>
    <row r="2602">
      <c r="A2602" s="3" t="n">
        <v/>
      </c>
      <c r="B2602" s="3" t="n">
        <v/>
      </c>
      <c r="C2602" s="3" t="inlineStr">
        <is>
          <t>Pohon Trembesi di Polybag 250 Liter</t>
        </is>
      </c>
      <c r="D2602" s="3" t="inlineStr">
        <is>
          <t>Buah</t>
        </is>
      </c>
      <c r="E2602" s="4" t="n">
        <v>350000</v>
      </c>
    </row>
    <row r="2603">
      <c r="A2603" s="3" t="n">
        <v/>
      </c>
      <c r="B2603" s="3" t="n">
        <v/>
      </c>
      <c r="C2603" s="3" t="inlineStr">
        <is>
          <t>Pohon Thevetia di
Polybag 20 Liter</t>
        </is>
      </c>
      <c r="D2603" s="3" t="inlineStr">
        <is>
          <t xml:space="preserve">buah </t>
        </is>
      </c>
      <c r="E2603" s="4" t="n">
        <v>170000</v>
      </c>
    </row>
    <row r="2604">
      <c r="A2604" s="3" t="n">
        <v/>
      </c>
      <c r="B2604" s="3" t="n">
        <v/>
      </c>
      <c r="C2604" s="3" t="inlineStr">
        <is>
          <t>Pohon Thevetia di Polybag 25 Liter</t>
        </is>
      </c>
      <c r="D2604" s="3" t="inlineStr">
        <is>
          <t xml:space="preserve">Buah </t>
        </is>
      </c>
      <c r="E2604" s="4" t="n">
        <v>190000</v>
      </c>
    </row>
    <row r="2605">
      <c r="A2605" s="3" t="n">
        <v/>
      </c>
      <c r="B2605" s="3" t="n">
        <v/>
      </c>
      <c r="C2605" s="3" t="inlineStr">
        <is>
          <t>Pohon Turi di Polybag 20
Liter</t>
        </is>
      </c>
      <c r="D2605" s="3" t="inlineStr">
        <is>
          <t xml:space="preserve">buah </t>
        </is>
      </c>
      <c r="E2605" s="4" t="n">
        <v>180000</v>
      </c>
    </row>
    <row r="2606">
      <c r="A2606" s="3" t="n">
        <v/>
      </c>
      <c r="B2606" s="3" t="n">
        <v/>
      </c>
      <c r="C2606" s="3" t="inlineStr">
        <is>
          <t>Pohon Turi di Polybag 25 Liter</t>
        </is>
      </c>
      <c r="D2606" s="3" t="inlineStr">
        <is>
          <t xml:space="preserve">buah </t>
        </is>
      </c>
      <c r="E2606" s="4" t="n">
        <v>190000</v>
      </c>
    </row>
    <row r="2607">
      <c r="A2607" s="3" t="n">
        <v/>
      </c>
      <c r="B2607" s="3" t="n">
        <v/>
      </c>
      <c r="C2607" s="3" t="inlineStr">
        <is>
          <t>Pohon Kembang Merak di
Polybag 20 Liter</t>
        </is>
      </c>
      <c r="D2607" s="3" t="inlineStr">
        <is>
          <t xml:space="preserve">buah </t>
        </is>
      </c>
      <c r="E2607" s="4" t="n">
        <v>210000</v>
      </c>
    </row>
    <row r="2608">
      <c r="A2608" s="3" t="n">
        <v/>
      </c>
      <c r="B2608" s="3" t="n">
        <v/>
      </c>
      <c r="C2608" s="3" t="inlineStr">
        <is>
          <t>Pohon Pandan Bali di
Polybag 20 Liter</t>
        </is>
      </c>
      <c r="D2608" s="3" t="inlineStr">
        <is>
          <t xml:space="preserve">buah </t>
        </is>
      </c>
      <c r="E2608" s="4" t="n">
        <v>200000</v>
      </c>
    </row>
    <row r="2609">
      <c r="A2609" s="3" t="n">
        <v/>
      </c>
      <c r="B2609" s="3" t="n">
        <v/>
      </c>
      <c r="C2609" s="3" t="inlineStr">
        <is>
          <t>Pohon Yucca di Polybag
20 Liter</t>
        </is>
      </c>
      <c r="D2609" s="3" t="inlineStr">
        <is>
          <t xml:space="preserve">buah </t>
        </is>
      </c>
      <c r="E2609" s="4" t="n">
        <v>190000</v>
      </c>
    </row>
    <row r="2610">
      <c r="A2610" s="3" t="n">
        <v/>
      </c>
      <c r="B2610" s="3" t="n">
        <v/>
      </c>
      <c r="C2610" s="3" t="inlineStr">
        <is>
          <t>Pohon Flamboyan di Polybag 50 Liter</t>
        </is>
      </c>
      <c r="D2610" s="3" t="inlineStr">
        <is>
          <t xml:space="preserve">Buah </t>
        </is>
      </c>
      <c r="E2610" s="4" t="n">
        <v>210000</v>
      </c>
    </row>
    <row r="2611">
      <c r="A2611" s="3" t="n">
        <v/>
      </c>
      <c r="B2611" s="3" t="n">
        <v/>
      </c>
      <c r="C2611" s="3" t="inlineStr">
        <is>
          <t>Pohon Flamboyan Kuning di Polybag 50 Liter</t>
        </is>
      </c>
      <c r="D2611" s="3" t="inlineStr">
        <is>
          <t xml:space="preserve">Buah </t>
        </is>
      </c>
      <c r="E2611" s="4" t="n">
        <v>210000</v>
      </c>
    </row>
    <row r="2612">
      <c r="A2612" s="3" t="n">
        <v/>
      </c>
      <c r="B2612" s="3" t="n">
        <v/>
      </c>
      <c r="C2612" s="3" t="inlineStr">
        <is>
          <t>Pohon Flamboyan di Polybag 75 Liter</t>
        </is>
      </c>
      <c r="D2612" s="3" t="inlineStr">
        <is>
          <t xml:space="preserve">Buah </t>
        </is>
      </c>
      <c r="E2612" s="4" t="n">
        <v>350000</v>
      </c>
    </row>
    <row r="2613">
      <c r="A2613" s="3" t="n">
        <v/>
      </c>
      <c r="B2613" s="3" t="n">
        <v/>
      </c>
      <c r="C2613" s="3" t="inlineStr">
        <is>
          <t>Pohon Flamboyan di Polybag 100 Liter</t>
        </is>
      </c>
      <c r="D2613" s="3" t="inlineStr">
        <is>
          <t xml:space="preserve">Buah </t>
        </is>
      </c>
      <c r="E2613" s="4" t="n">
        <v>375000</v>
      </c>
    </row>
    <row r="2614">
      <c r="A2614" s="3" t="n">
        <v/>
      </c>
      <c r="B2614" s="3" t="n">
        <v/>
      </c>
      <c r="C2614" s="3" t="inlineStr">
        <is>
          <t>Pohon Flamboyan di Polybag 150 Liter</t>
        </is>
      </c>
      <c r="D2614" s="3" t="inlineStr">
        <is>
          <t xml:space="preserve">Buah </t>
        </is>
      </c>
      <c r="E2614" s="4" t="n">
        <v>400000</v>
      </c>
    </row>
    <row r="2615">
      <c r="A2615" s="3" t="n">
        <v/>
      </c>
      <c r="B2615" s="3" t="n">
        <v/>
      </c>
      <c r="C2615" s="3" t="inlineStr">
        <is>
          <t>Pohon Flamboyan di Polybag 200 Liter</t>
        </is>
      </c>
      <c r="D2615" s="3" t="inlineStr">
        <is>
          <t xml:space="preserve">Buah </t>
        </is>
      </c>
      <c r="E2615" s="4" t="n">
        <v>425000</v>
      </c>
    </row>
    <row r="2616">
      <c r="A2616" s="3" t="n">
        <v/>
      </c>
      <c r="B2616" s="3" t="n">
        <v/>
      </c>
      <c r="C2616" s="3" t="inlineStr">
        <is>
          <t>Pohon Flamboyan Kuning di Polybag 75 Liter</t>
        </is>
      </c>
      <c r="D2616" s="3" t="inlineStr">
        <is>
          <t xml:space="preserve">Buah </t>
        </is>
      </c>
      <c r="E2616" s="4" t="n">
        <v>350000</v>
      </c>
    </row>
    <row r="2617">
      <c r="A2617" s="3" t="n">
        <v/>
      </c>
      <c r="B2617" s="3" t="n">
        <v/>
      </c>
      <c r="C2617" s="3" t="inlineStr">
        <is>
          <t>Pohon Janda Merana di Polybag 50 Liter</t>
        </is>
      </c>
      <c r="D2617" s="3" t="inlineStr">
        <is>
          <t xml:space="preserve">Buah </t>
        </is>
      </c>
      <c r="E2617" s="4" t="n">
        <v>220000</v>
      </c>
    </row>
    <row r="2618">
      <c r="A2618" s="3" t="n">
        <v/>
      </c>
      <c r="B2618" s="3" t="n">
        <v/>
      </c>
      <c r="C2618" s="3" t="inlineStr">
        <is>
          <t>Pohon Janda Merana di Polybag 75 Liter</t>
        </is>
      </c>
      <c r="D2618" s="3" t="inlineStr">
        <is>
          <t xml:space="preserve">Buah </t>
        </is>
      </c>
      <c r="E2618" s="4" t="n">
        <v>350000</v>
      </c>
    </row>
    <row r="2619">
      <c r="A2619" s="3" t="n">
        <v/>
      </c>
      <c r="B2619" s="3" t="n">
        <v/>
      </c>
      <c r="C2619" s="3" t="inlineStr">
        <is>
          <t>Pohon Ketapang kencana di Polybag 50 Liter</t>
        </is>
      </c>
      <c r="D2619" s="3" t="inlineStr">
        <is>
          <t xml:space="preserve">Buah </t>
        </is>
      </c>
      <c r="E2619" s="4" t="n">
        <v>225000</v>
      </c>
    </row>
    <row r="2620">
      <c r="A2620" s="3" t="n">
        <v/>
      </c>
      <c r="B2620" s="3" t="n">
        <v/>
      </c>
      <c r="C2620" s="3" t="inlineStr">
        <is>
          <t>Pohon Ketapang kencana di Polybag 75 Liter</t>
        </is>
      </c>
      <c r="D2620" s="3" t="inlineStr">
        <is>
          <t xml:space="preserve">Buah </t>
        </is>
      </c>
      <c r="E2620" s="4" t="n">
        <v>350000</v>
      </c>
    </row>
    <row r="2621">
      <c r="A2621" s="3" t="n">
        <v/>
      </c>
      <c r="B2621" s="3" t="n">
        <v/>
      </c>
      <c r="C2621" s="3" t="inlineStr">
        <is>
          <t>Pohon Ketapang kencana di Polybag 100 Liter</t>
        </is>
      </c>
      <c r="D2621" s="3" t="inlineStr">
        <is>
          <t xml:space="preserve">Buah </t>
        </is>
      </c>
      <c r="E2621" s="4" t="n">
        <v>375000</v>
      </c>
    </row>
    <row r="2622">
      <c r="A2622" s="3" t="n">
        <v/>
      </c>
      <c r="B2622" s="3" t="n">
        <v/>
      </c>
      <c r="C2622" s="3" t="inlineStr">
        <is>
          <t>Pohon Sosis di Polybag 50 Liter</t>
        </is>
      </c>
      <c r="D2622" s="3" t="inlineStr">
        <is>
          <t xml:space="preserve">Buah </t>
        </is>
      </c>
      <c r="E2622" s="4" t="n">
        <v>225000</v>
      </c>
    </row>
    <row r="2623">
      <c r="A2623" s="3" t="n">
        <v/>
      </c>
      <c r="B2623" s="3" t="n">
        <v/>
      </c>
      <c r="C2623" s="3" t="inlineStr">
        <is>
          <t>Pohon Sosis di Polybag 75 Liter</t>
        </is>
      </c>
      <c r="D2623" s="3" t="inlineStr">
        <is>
          <t xml:space="preserve">Buah </t>
        </is>
      </c>
      <c r="E2623" s="4" t="n">
        <v>150000</v>
      </c>
    </row>
    <row r="2624">
      <c r="A2624" s="3" t="n">
        <v/>
      </c>
      <c r="B2624" s="3" t="n">
        <v/>
      </c>
      <c r="C2624" s="3" t="inlineStr">
        <is>
          <t>Pohon Sosis di Polybag 100 Liter</t>
        </is>
      </c>
      <c r="D2624" s="3" t="inlineStr">
        <is>
          <t xml:space="preserve">Buah </t>
        </is>
      </c>
      <c r="E2624" s="4" t="n">
        <v>275000</v>
      </c>
    </row>
    <row r="2625">
      <c r="A2625" s="3" t="n">
        <v/>
      </c>
      <c r="B2625" s="3" t="n">
        <v/>
      </c>
      <c r="C2625" s="3" t="inlineStr">
        <is>
          <t>Pohon Sosis di Polybag 150 Liter</t>
        </is>
      </c>
      <c r="D2625" s="3" t="inlineStr">
        <is>
          <t xml:space="preserve">Buah </t>
        </is>
      </c>
      <c r="E2625" s="4" t="n">
        <v>300000</v>
      </c>
    </row>
    <row r="2626">
      <c r="A2626" s="3" t="n">
        <v/>
      </c>
      <c r="B2626" s="3" t="n">
        <v/>
      </c>
      <c r="C2626" s="3" t="inlineStr">
        <is>
          <t>Pohon Sosis di Polybag 200 Liter</t>
        </is>
      </c>
      <c r="D2626" s="3" t="inlineStr">
        <is>
          <t xml:space="preserve">Buah </t>
        </is>
      </c>
      <c r="E2626" s="4" t="n">
        <v>325000</v>
      </c>
    </row>
    <row r="2627">
      <c r="A2627" s="3" t="n">
        <v/>
      </c>
      <c r="B2627" s="3" t="n">
        <v/>
      </c>
      <c r="C2627" s="3" t="inlineStr">
        <is>
          <t>Pohon Sosis di Polybag 250
Liter</t>
        </is>
      </c>
      <c r="D2627" s="3" t="inlineStr">
        <is>
          <t>Buah</t>
        </is>
      </c>
      <c r="E2627" s="4" t="n">
        <v>350000</v>
      </c>
    </row>
    <row r="2628">
      <c r="A2628" s="3" t="n">
        <v/>
      </c>
      <c r="B2628" s="3" t="n">
        <v/>
      </c>
      <c r="C2628" s="3" t="inlineStr">
        <is>
          <t>Pohon Tabebuya di Polybag 50 Liter</t>
        </is>
      </c>
      <c r="D2628" s="3" t="inlineStr">
        <is>
          <t xml:space="preserve">Buah </t>
        </is>
      </c>
      <c r="E2628" s="4" t="n">
        <v>225000</v>
      </c>
    </row>
    <row r="2629">
      <c r="A2629" s="3" t="n">
        <v/>
      </c>
      <c r="B2629" s="3" t="n">
        <v/>
      </c>
      <c r="C2629" s="3" t="inlineStr">
        <is>
          <t>Pohon Tabebuya di Polybag 75 Liter</t>
        </is>
      </c>
      <c r="D2629" s="3" t="inlineStr">
        <is>
          <t xml:space="preserve">Buah </t>
        </is>
      </c>
      <c r="E2629" s="4" t="n">
        <v>150000</v>
      </c>
    </row>
    <row r="2630">
      <c r="A2630" s="3" t="n">
        <v/>
      </c>
      <c r="B2630" s="3" t="n">
        <v/>
      </c>
      <c r="C2630" s="3" t="inlineStr">
        <is>
          <t>Pohon Waru di Polybag 50 Liter</t>
        </is>
      </c>
      <c r="D2630" s="3" t="inlineStr">
        <is>
          <t xml:space="preserve">Buah </t>
        </is>
      </c>
      <c r="E2630" s="4" t="n">
        <v>225000</v>
      </c>
    </row>
    <row r="2631">
      <c r="A2631" s="3" t="n">
        <v/>
      </c>
      <c r="B2631" s="3" t="n">
        <v/>
      </c>
      <c r="C2631" s="3" t="inlineStr">
        <is>
          <t>Pohon Waru di Polybag 75 Liter</t>
        </is>
      </c>
      <c r="D2631" s="3" t="inlineStr">
        <is>
          <t xml:space="preserve">Buah </t>
        </is>
      </c>
      <c r="E2631" s="4" t="n">
        <v>250000</v>
      </c>
    </row>
    <row r="2632">
      <c r="A2632" s="3" t="n">
        <v/>
      </c>
      <c r="B2632" s="3" t="n">
        <v/>
      </c>
      <c r="C2632" s="3" t="inlineStr">
        <is>
          <t>Pohon Pakis Brazil di Polybag 50 Liter</t>
        </is>
      </c>
      <c r="D2632" s="3" t="inlineStr">
        <is>
          <t xml:space="preserve">Buah </t>
        </is>
      </c>
      <c r="E2632" s="4" t="n">
        <v>300000</v>
      </c>
    </row>
    <row r="2633">
      <c r="A2633" s="3" t="n">
        <v/>
      </c>
      <c r="B2633" s="3" t="n">
        <v/>
      </c>
      <c r="C2633" s="3" t="inlineStr">
        <is>
          <t>Pohon Pakis Brazil di Polybag 75 Liter</t>
        </is>
      </c>
      <c r="D2633" s="3" t="inlineStr">
        <is>
          <t xml:space="preserve">Buah </t>
        </is>
      </c>
      <c r="E2633" s="4" t="n">
        <v>375000</v>
      </c>
    </row>
    <row r="2634">
      <c r="A2634" s="3" t="n">
        <v/>
      </c>
      <c r="B2634" s="3" t="n">
        <v/>
      </c>
      <c r="C2634" s="3" t="inlineStr">
        <is>
          <t>Pohon Leda di Polybag 50 Liter</t>
        </is>
      </c>
      <c r="D2634" s="3" t="inlineStr">
        <is>
          <t xml:space="preserve">Buah </t>
        </is>
      </c>
      <c r="E2634" s="4" t="n">
        <v>350000</v>
      </c>
    </row>
    <row r="2635">
      <c r="A2635" s="3" t="n">
        <v/>
      </c>
      <c r="B2635" s="3" t="n">
        <v/>
      </c>
      <c r="C2635" s="3" t="inlineStr">
        <is>
          <t>Pohon Leda di Polybag 75 Liter</t>
        </is>
      </c>
      <c r="D2635" s="3" t="inlineStr">
        <is>
          <t xml:space="preserve">Buah </t>
        </is>
      </c>
      <c r="E2635" s="4" t="n">
        <v>425000</v>
      </c>
    </row>
    <row r="2636">
      <c r="A2636" s="3" t="n">
        <v/>
      </c>
      <c r="B2636" s="3" t="n">
        <v/>
      </c>
      <c r="C2636" s="3" t="inlineStr">
        <is>
          <t>Pohon Saga di Polybag 50 Liter</t>
        </is>
      </c>
      <c r="D2636" s="3" t="inlineStr">
        <is>
          <t xml:space="preserve">Buah </t>
        </is>
      </c>
      <c r="E2636" s="4" t="n">
        <v>400000</v>
      </c>
    </row>
    <row r="2637">
      <c r="A2637" s="3" t="n">
        <v/>
      </c>
      <c r="B2637" s="3" t="n">
        <v/>
      </c>
      <c r="C2637" s="3" t="inlineStr">
        <is>
          <t>Pohon Saga di Polybag 75 Liter</t>
        </is>
      </c>
      <c r="D2637" s="3" t="inlineStr">
        <is>
          <t xml:space="preserve">Buah </t>
        </is>
      </c>
      <c r="E2637" s="4" t="n">
        <v>475000</v>
      </c>
    </row>
    <row r="2638">
      <c r="A2638" s="3" t="n">
        <v/>
      </c>
      <c r="B2638" s="3" t="n">
        <v/>
      </c>
      <c r="C2638" s="3" t="inlineStr">
        <is>
          <t>Pohon Kiara Payung di Polybag 50 Liter</t>
        </is>
      </c>
      <c r="D2638" s="3" t="inlineStr">
        <is>
          <t xml:space="preserve">Buah </t>
        </is>
      </c>
      <c r="E2638" s="4" t="n">
        <v>450000</v>
      </c>
    </row>
    <row r="2639">
      <c r="A2639" s="3" t="n">
        <v/>
      </c>
      <c r="B2639" s="3" t="n">
        <v/>
      </c>
      <c r="C2639" s="3" t="inlineStr">
        <is>
          <t>Pohon Kiara Payung di Polybag 75 Liter</t>
        </is>
      </c>
      <c r="D2639" s="3" t="inlineStr">
        <is>
          <t xml:space="preserve">Buah </t>
        </is>
      </c>
      <c r="E2639" s="4" t="n">
        <v>525000</v>
      </c>
    </row>
    <row r="2640">
      <c r="A2640" s="3" t="n">
        <v/>
      </c>
      <c r="B2640" s="3" t="n">
        <v/>
      </c>
      <c r="C2640" s="3" t="inlineStr">
        <is>
          <t>Pohon Biola Cantik di Polybag 75 Liter</t>
        </is>
      </c>
      <c r="D2640" s="3" t="inlineStr">
        <is>
          <t xml:space="preserve">Buah </t>
        </is>
      </c>
      <c r="E2640" s="4" t="n">
        <v>350000</v>
      </c>
    </row>
    <row r="2641">
      <c r="A2641" s="3" t="n">
        <v/>
      </c>
      <c r="B2641" s="3" t="n">
        <v/>
      </c>
      <c r="C2641" s="3" t="inlineStr">
        <is>
          <t>Pohon Biola Cantik di Polybag 100 Liter</t>
        </is>
      </c>
      <c r="D2641" s="3" t="inlineStr">
        <is>
          <t xml:space="preserve">Buah </t>
        </is>
      </c>
      <c r="E2641" s="4" t="n">
        <v>375000</v>
      </c>
    </row>
    <row r="2642">
      <c r="A2642" s="3" t="n">
        <v/>
      </c>
      <c r="B2642" s="3" t="n">
        <v/>
      </c>
      <c r="C2642" s="3" t="inlineStr">
        <is>
          <t>Pohon Kamboja di Polybag 75 Liter</t>
        </is>
      </c>
      <c r="D2642" s="3" t="inlineStr">
        <is>
          <t xml:space="preserve">Buah </t>
        </is>
      </c>
      <c r="E2642" s="4" t="n">
        <v>350000</v>
      </c>
    </row>
    <row r="2643">
      <c r="A2643" s="3" t="n">
        <v/>
      </c>
      <c r="B2643" s="3" t="n">
        <v/>
      </c>
      <c r="C2643" s="3" t="inlineStr">
        <is>
          <t>Pohon Kamboja di Polybag 100 Liter</t>
        </is>
      </c>
      <c r="D2643" s="3" t="inlineStr">
        <is>
          <t xml:space="preserve">buah </t>
        </is>
      </c>
      <c r="E2643" s="4" t="n">
        <v>375000</v>
      </c>
    </row>
    <row r="2644">
      <c r="A2644" s="3" t="n">
        <v/>
      </c>
      <c r="B2644" s="3" t="n">
        <v/>
      </c>
      <c r="C2644" s="3" t="inlineStr">
        <is>
          <t>Pohon Kamboja di Polybag 150 Liter</t>
        </is>
      </c>
      <c r="D2644" s="3" t="inlineStr">
        <is>
          <t xml:space="preserve">Buah </t>
        </is>
      </c>
      <c r="E2644" s="4" t="n">
        <v>400000</v>
      </c>
    </row>
    <row r="2645">
      <c r="A2645" s="3" t="n">
        <v/>
      </c>
      <c r="B2645" s="3" t="n">
        <v/>
      </c>
      <c r="C2645" s="3" t="inlineStr">
        <is>
          <t>Pohon Kamboja Fosil di Polybag 200 Liter</t>
        </is>
      </c>
      <c r="D2645" s="3" t="inlineStr">
        <is>
          <t xml:space="preserve">Buah </t>
        </is>
      </c>
      <c r="E2645" s="4" t="n">
        <v>425000</v>
      </c>
    </row>
    <row r="2646">
      <c r="A2646" s="3" t="n">
        <v/>
      </c>
      <c r="B2646" s="3" t="n">
        <v/>
      </c>
      <c r="C2646" s="3" t="inlineStr">
        <is>
          <t>Pohon Keben di Polybag 75 Liter</t>
        </is>
      </c>
      <c r="D2646" s="3" t="inlineStr">
        <is>
          <t xml:space="preserve">Buah </t>
        </is>
      </c>
      <c r="E2646" s="4" t="n">
        <v>350000</v>
      </c>
    </row>
    <row r="2647">
      <c r="A2647" s="3" t="n">
        <v/>
      </c>
      <c r="B2647" s="3" t="n">
        <v/>
      </c>
      <c r="C2647" s="3" t="inlineStr">
        <is>
          <t>Pohon Keben di Polybag 100 Liter</t>
        </is>
      </c>
      <c r="D2647" s="3" t="inlineStr">
        <is>
          <t xml:space="preserve">Buah </t>
        </is>
      </c>
      <c r="E2647" s="4" t="n">
        <v>350000</v>
      </c>
    </row>
    <row r="2648">
      <c r="A2648" s="3" t="n">
        <v/>
      </c>
      <c r="B2648" s="3" t="n">
        <v/>
      </c>
      <c r="C2648" s="3" t="inlineStr">
        <is>
          <t>Pohon Kecrutan di Polybag
75 Liter</t>
        </is>
      </c>
      <c r="D2648" s="3" t="inlineStr">
        <is>
          <t xml:space="preserve">Buah </t>
        </is>
      </c>
      <c r="E2648" s="4" t="n">
        <v>350000</v>
      </c>
    </row>
    <row r="2649">
      <c r="A2649" s="3" t="n">
        <v/>
      </c>
      <c r="B2649" s="3" t="n">
        <v/>
      </c>
      <c r="C2649" s="3" t="inlineStr">
        <is>
          <t>Pohon Kecrutan di Polybag 100 Liter</t>
        </is>
      </c>
      <c r="D2649" s="3" t="inlineStr">
        <is>
          <t xml:space="preserve">Buah </t>
        </is>
      </c>
      <c r="E2649" s="4" t="n">
        <v>375000</v>
      </c>
    </row>
    <row r="2650">
      <c r="A2650" s="3" t="n">
        <v/>
      </c>
      <c r="B2650" s="3" t="n">
        <v/>
      </c>
      <c r="C2650" s="3" t="inlineStr">
        <is>
          <t>Pohon Putat di Polybag 75
Liter</t>
        </is>
      </c>
      <c r="D2650" s="3" t="inlineStr">
        <is>
          <t xml:space="preserve">Buah </t>
        </is>
      </c>
      <c r="E2650" s="4" t="n">
        <v>150000</v>
      </c>
    </row>
    <row r="2651">
      <c r="A2651" s="3" t="n">
        <v/>
      </c>
      <c r="B2651" s="3" t="n">
        <v/>
      </c>
      <c r="C2651" s="3" t="inlineStr">
        <is>
          <t>Pohon Putat di Polybag 100 Liter</t>
        </is>
      </c>
      <c r="D2651" s="3" t="inlineStr">
        <is>
          <t xml:space="preserve">Buah </t>
        </is>
      </c>
      <c r="E2651" s="4" t="n">
        <v>275000</v>
      </c>
    </row>
    <row r="2652">
      <c r="A2652" s="3" t="n">
        <v/>
      </c>
      <c r="B2652" s="3" t="n">
        <v/>
      </c>
      <c r="C2652" s="3" t="inlineStr">
        <is>
          <t>Pohon Bodhi di Polybag 100 Liter</t>
        </is>
      </c>
      <c r="D2652" s="3" t="inlineStr">
        <is>
          <t xml:space="preserve">buah </t>
        </is>
      </c>
      <c r="E2652" s="4" t="n">
        <v>275000</v>
      </c>
    </row>
    <row r="2653">
      <c r="A2653" s="3" t="n">
        <v/>
      </c>
      <c r="B2653" s="3" t="n">
        <v/>
      </c>
      <c r="C2653" s="3" t="inlineStr">
        <is>
          <t>Pohon Bodhi di Polybag 150 Liter</t>
        </is>
      </c>
      <c r="D2653" s="3" t="inlineStr">
        <is>
          <t xml:space="preserve">Buah </t>
        </is>
      </c>
      <c r="E2653" s="4" t="n">
        <v>300000</v>
      </c>
    </row>
    <row r="2654">
      <c r="A2654" s="3" t="n">
        <v/>
      </c>
      <c r="B2654" s="3" t="n">
        <v/>
      </c>
      <c r="C2654" s="3" t="inlineStr">
        <is>
          <t>Pohon Bodhi di Polybag 200 Liter</t>
        </is>
      </c>
      <c r="D2654" s="3" t="inlineStr">
        <is>
          <t xml:space="preserve">Buah </t>
        </is>
      </c>
      <c r="E2654" s="4" t="n">
        <v>325000</v>
      </c>
    </row>
    <row r="2655">
      <c r="A2655" s="3" t="n">
        <v/>
      </c>
      <c r="B2655" s="3" t="n">
        <v/>
      </c>
      <c r="C2655" s="3" t="inlineStr">
        <is>
          <t>Pohon Bodhi di Polybag 250
Liter</t>
        </is>
      </c>
      <c r="D2655" s="3" t="inlineStr">
        <is>
          <t>Buah</t>
        </is>
      </c>
      <c r="E2655" s="4" t="n">
        <v>350000</v>
      </c>
    </row>
    <row r="2656">
      <c r="A2656" s="3" t="n">
        <v/>
      </c>
      <c r="B2656" s="3" t="n">
        <v/>
      </c>
      <c r="C2656" s="3" t="inlineStr">
        <is>
          <t>Pohon Baobab di Polybag 250
Liter</t>
        </is>
      </c>
      <c r="D2656" s="3" t="inlineStr">
        <is>
          <t>Buah</t>
        </is>
      </c>
      <c r="E2656" s="4" t="n">
        <v>350000</v>
      </c>
    </row>
    <row r="2657">
      <c r="A2657" s="3" t="n">
        <v/>
      </c>
      <c r="B2657" s="3" t="n">
        <v/>
      </c>
      <c r="C2657" s="3" t="inlineStr">
        <is>
          <t>Palem ekor tupai di Polybag 100
Liter</t>
        </is>
      </c>
      <c r="D2657" s="3" t="inlineStr">
        <is>
          <t xml:space="preserve">Buah </t>
        </is>
      </c>
      <c r="E2657" s="4" t="n">
        <v>250000</v>
      </c>
    </row>
    <row r="2658">
      <c r="A2658" s="3" t="n">
        <v/>
      </c>
      <c r="B2658" s="3" t="n">
        <v/>
      </c>
      <c r="C2658" s="3" t="inlineStr">
        <is>
          <t>Sylvertris di Polybag 100 Liter</t>
        </is>
      </c>
      <c r="D2658" s="3" t="inlineStr">
        <is>
          <t xml:space="preserve">Buah </t>
        </is>
      </c>
      <c r="E2658" s="4" t="n">
        <v>250000</v>
      </c>
    </row>
    <row r="2659">
      <c r="A2659" s="3" t="n">
        <v/>
      </c>
      <c r="B2659" s="3" t="n">
        <v/>
      </c>
      <c r="C2659" s="3" t="inlineStr">
        <is>
          <t>Sylvertris di Polybag 150 Liter</t>
        </is>
      </c>
      <c r="D2659" s="3" t="inlineStr">
        <is>
          <t xml:space="preserve">Buah </t>
        </is>
      </c>
      <c r="E2659" s="4" t="n">
        <v>300000</v>
      </c>
    </row>
    <row r="2660">
      <c r="A2660" s="3" t="n">
        <v/>
      </c>
      <c r="B2660" s="3" t="n">
        <v/>
      </c>
      <c r="C2660" s="3" t="inlineStr">
        <is>
          <t>Sylvertris di Polybag 200 Liter</t>
        </is>
      </c>
      <c r="D2660" s="3" t="inlineStr">
        <is>
          <t xml:space="preserve">Buah </t>
        </is>
      </c>
      <c r="E2660" s="4" t="n">
        <v>400000</v>
      </c>
    </row>
    <row r="2661">
      <c r="A2661" s="3" t="n">
        <v/>
      </c>
      <c r="B2661" s="3" t="n">
        <v/>
      </c>
      <c r="C2661" s="3" t="inlineStr">
        <is>
          <t>Sylvertris di Polybag 250 Liter</t>
        </is>
      </c>
      <c r="D2661" s="3" t="inlineStr">
        <is>
          <t xml:space="preserve">Buah </t>
        </is>
      </c>
      <c r="E2661" s="4" t="n">
        <v>450000</v>
      </c>
    </row>
    <row r="2662">
      <c r="A2662" s="3" t="n">
        <v/>
      </c>
      <c r="B2662" s="3" t="n">
        <v/>
      </c>
      <c r="C2662" s="3" t="inlineStr">
        <is>
          <t>Palem Rumpun (Palem Waregu) di Polybag 11 Liter</t>
        </is>
      </c>
      <c r="D2662" s="3" t="inlineStr">
        <is>
          <t xml:space="preserve">Polybag </t>
        </is>
      </c>
      <c r="E2662" s="4" t="n">
        <v>250000</v>
      </c>
    </row>
    <row r="2663">
      <c r="A2663" s="3" t="n">
        <v/>
      </c>
      <c r="B2663" s="3" t="n">
        <v/>
      </c>
      <c r="C2663" s="3" t="inlineStr">
        <is>
          <t>Palem Rumpun (Palem Waregu) di Polybag 20 Liter</t>
        </is>
      </c>
      <c r="D2663" s="3" t="inlineStr">
        <is>
          <t xml:space="preserve">Polybag </t>
        </is>
      </c>
      <c r="E2663" s="4" t="n">
        <v>300000</v>
      </c>
    </row>
    <row r="2664">
      <c r="A2664" s="3" t="n">
        <v/>
      </c>
      <c r="B2664" s="3" t="n">
        <v/>
      </c>
      <c r="C2664" s="3" t="inlineStr">
        <is>
          <t>Palem Rumpun (Palem Waregu) di Polybag 50 Liter</t>
        </is>
      </c>
      <c r="D2664" s="3" t="inlineStr">
        <is>
          <t xml:space="preserve">Polybag </t>
        </is>
      </c>
      <c r="E2664" s="4" t="n">
        <v>500000</v>
      </c>
    </row>
    <row r="2665">
      <c r="A2665" s="3" t="n">
        <v/>
      </c>
      <c r="B2665" s="3" t="n">
        <v/>
      </c>
      <c r="C2665" s="3" t="inlineStr">
        <is>
          <t>Palem Tunggal (Palem Kol) di Polybag 11 Liter</t>
        </is>
      </c>
      <c r="D2665" s="3" t="inlineStr">
        <is>
          <t xml:space="preserve">Polybag </t>
        </is>
      </c>
      <c r="E2665" s="4" t="n">
        <v>100000</v>
      </c>
    </row>
    <row r="2666">
      <c r="A2666" s="3" t="n">
        <v/>
      </c>
      <c r="B2666" s="3" t="n">
        <v/>
      </c>
      <c r="C2666" s="3" t="inlineStr">
        <is>
          <t>Palem Tunggal (Palem Kol) di Polybag 20 Liter</t>
        </is>
      </c>
      <c r="D2666" s="3" t="inlineStr">
        <is>
          <t xml:space="preserve">Polybag </t>
        </is>
      </c>
      <c r="E2666" s="4" t="n">
        <v>150000</v>
      </c>
    </row>
    <row r="2667">
      <c r="A2667" s="3" t="n">
        <v/>
      </c>
      <c r="B2667" s="3" t="n">
        <v/>
      </c>
      <c r="C2667" s="3" t="inlineStr">
        <is>
          <t>Palem Tunggal (Palem Kol) di Polybag 25 Liter</t>
        </is>
      </c>
      <c r="D2667" s="3" t="inlineStr">
        <is>
          <t xml:space="preserve">Polybag </t>
        </is>
      </c>
      <c r="E2667" s="4" t="n">
        <v>175000</v>
      </c>
    </row>
    <row r="2668">
      <c r="A2668" s="3" t="n">
        <v/>
      </c>
      <c r="B2668" s="3" t="n">
        <v/>
      </c>
      <c r="C2668" s="3" t="inlineStr">
        <is>
          <t>Palem Tunggal (Palem Kol) di Polybag 50 Liter</t>
        </is>
      </c>
      <c r="D2668" s="3" t="inlineStr">
        <is>
          <t xml:space="preserve">Polybag </t>
        </is>
      </c>
      <c r="E2668" s="4" t="n">
        <v>300000</v>
      </c>
    </row>
    <row r="2669">
      <c r="A2669" s="3" t="n">
        <v/>
      </c>
      <c r="B2669" s="3" t="n">
        <v/>
      </c>
      <c r="C2669" s="3" t="inlineStr">
        <is>
          <t>Palem Tunggal (Palem sadeng) di Polybag 100 Liter</t>
        </is>
      </c>
      <c r="D2669" s="3" t="inlineStr">
        <is>
          <t xml:space="preserve">Polybag </t>
        </is>
      </c>
      <c r="E2669" s="4" t="n">
        <v>700000</v>
      </c>
    </row>
    <row r="2670">
      <c r="A2670" s="3" t="n">
        <v/>
      </c>
      <c r="B2670" s="3" t="n">
        <v/>
      </c>
      <c r="C2670" s="3" t="inlineStr">
        <is>
          <t>Palem Tunggal (Palem sadeng) di Polybag 150 Liter</t>
        </is>
      </c>
      <c r="D2670" s="3" t="inlineStr">
        <is>
          <t xml:space="preserve">Polybag </t>
        </is>
      </c>
      <c r="E2670" s="4" t="n">
        <v>800000</v>
      </c>
    </row>
    <row r="2671">
      <c r="A2671" s="3" t="n">
        <v/>
      </c>
      <c r="B2671" s="3" t="n">
        <v/>
      </c>
      <c r="C2671" s="3" t="inlineStr">
        <is>
          <t>Palem ekor ikan rumpun di Polybag 50 Liter</t>
        </is>
      </c>
      <c r="D2671" s="3" t="inlineStr">
        <is>
          <t xml:space="preserve">Buah </t>
        </is>
      </c>
      <c r="E2671" s="4" t="n">
        <v>450000</v>
      </c>
    </row>
    <row r="2672">
      <c r="A2672" s="3" t="n">
        <v/>
      </c>
      <c r="B2672" s="3" t="n">
        <v/>
      </c>
      <c r="C2672" s="3" t="inlineStr">
        <is>
          <t>Palem ekor ikan tunggal/ Palem seledri di Polybag 100 Liter</t>
        </is>
      </c>
      <c r="D2672" s="3" t="inlineStr">
        <is>
          <t xml:space="preserve">Buah </t>
        </is>
      </c>
      <c r="E2672" s="4" t="n">
        <v>900000</v>
      </c>
    </row>
    <row r="2673">
      <c r="A2673" s="3" t="n">
        <v/>
      </c>
      <c r="B2673" s="3" t="n">
        <v/>
      </c>
      <c r="C2673" s="3" t="inlineStr">
        <is>
          <t>Palem ekor ikan tunggal/ Palem seledri di Polybag 150 Liter</t>
        </is>
      </c>
      <c r="D2673" s="3" t="inlineStr">
        <is>
          <t xml:space="preserve">Buah </t>
        </is>
      </c>
      <c r="E2673" s="4" t="n">
        <v>1000000</v>
      </c>
    </row>
    <row r="2674">
      <c r="A2674" s="3" t="n">
        <v/>
      </c>
      <c r="B2674" s="3" t="n">
        <v/>
      </c>
      <c r="C2674" s="3" t="inlineStr">
        <is>
          <t>Palem Putri di Polybag 50 Liter</t>
        </is>
      </c>
      <c r="D2674" s="3" t="inlineStr">
        <is>
          <t xml:space="preserve">Buah </t>
        </is>
      </c>
      <c r="E2674" s="4" t="n">
        <v>100000</v>
      </c>
    </row>
    <row r="2675">
      <c r="A2675" s="3" t="n">
        <v/>
      </c>
      <c r="B2675" s="3" t="n">
        <v/>
      </c>
      <c r="C2675" s="3" t="inlineStr">
        <is>
          <t>Palem Putri di Polybag 100 Liter</t>
        </is>
      </c>
      <c r="D2675" s="3" t="inlineStr">
        <is>
          <t xml:space="preserve">Buah </t>
        </is>
      </c>
      <c r="E2675" s="4" t="n">
        <v>200000</v>
      </c>
    </row>
    <row r="2676">
      <c r="A2676" s="3" t="n">
        <v/>
      </c>
      <c r="B2676" s="3" t="n">
        <v/>
      </c>
      <c r="C2676" s="3" t="inlineStr">
        <is>
          <t>Palem Putri di Polybag 150 Liter</t>
        </is>
      </c>
      <c r="D2676" s="3" t="inlineStr">
        <is>
          <t xml:space="preserve">Buah </t>
        </is>
      </c>
      <c r="E2676" s="4" t="n">
        <v>300000</v>
      </c>
    </row>
    <row r="2677">
      <c r="A2677" s="3" t="n">
        <v/>
      </c>
      <c r="B2677" s="3" t="n">
        <v/>
      </c>
      <c r="C2677" s="3" t="inlineStr">
        <is>
          <t>Palem Putri di Polybag 200 Liter</t>
        </is>
      </c>
      <c r="D2677" s="3" t="inlineStr">
        <is>
          <t xml:space="preserve">Buah </t>
        </is>
      </c>
      <c r="E2677" s="4" t="n">
        <v>400000</v>
      </c>
    </row>
    <row r="2678">
      <c r="A2678" s="3" t="n">
        <v/>
      </c>
      <c r="B2678" s="3" t="n">
        <v/>
      </c>
      <c r="C2678" s="3" t="inlineStr">
        <is>
          <t>Palem Putri di Polybag 250 Liter</t>
        </is>
      </c>
      <c r="D2678" s="3" t="inlineStr">
        <is>
          <t xml:space="preserve">Buah </t>
        </is>
      </c>
      <c r="E2678" s="4" t="n">
        <v>450000</v>
      </c>
    </row>
    <row r="2679">
      <c r="A2679" s="3" t="n">
        <v/>
      </c>
      <c r="B2679" s="3" t="n">
        <v/>
      </c>
      <c r="C2679" s="3" t="inlineStr">
        <is>
          <t>Palem raja di Polybag 100 Liter</t>
        </is>
      </c>
      <c r="D2679" s="3" t="inlineStr">
        <is>
          <t xml:space="preserve">Buah </t>
        </is>
      </c>
      <c r="E2679" s="4" t="n">
        <v>250000</v>
      </c>
    </row>
    <row r="2680">
      <c r="A2680" s="3" t="n">
        <v/>
      </c>
      <c r="B2680" s="3" t="n">
        <v/>
      </c>
      <c r="C2680" s="3" t="inlineStr">
        <is>
          <t>Palem raja di Polybag 150 Liter</t>
        </is>
      </c>
      <c r="D2680" s="3" t="inlineStr">
        <is>
          <t xml:space="preserve">Buah </t>
        </is>
      </c>
      <c r="E2680" s="4" t="n">
        <v>300000</v>
      </c>
    </row>
    <row r="2681">
      <c r="A2681" s="3" t="n">
        <v/>
      </c>
      <c r="B2681" s="3" t="n">
        <v/>
      </c>
      <c r="C2681" s="3" t="inlineStr">
        <is>
          <t>Palem raja di Polybag 200 Liter</t>
        </is>
      </c>
      <c r="D2681" s="3" t="inlineStr">
        <is>
          <t xml:space="preserve">Buah </t>
        </is>
      </c>
      <c r="E2681" s="4" t="n">
        <v>400000</v>
      </c>
    </row>
    <row r="2682">
      <c r="A2682" s="3" t="n">
        <v/>
      </c>
      <c r="B2682" s="3" t="n">
        <v/>
      </c>
      <c r="C2682" s="3" t="inlineStr">
        <is>
          <t>Palem raja di Polybag 250 Liter</t>
        </is>
      </c>
      <c r="D2682" s="3" t="inlineStr">
        <is>
          <t>Buah</t>
        </is>
      </c>
      <c r="E2682" s="4" t="n">
        <v>450000</v>
      </c>
    </row>
    <row r="2683">
      <c r="A2683" s="3" t="n">
        <v/>
      </c>
      <c r="B2683" s="3" t="n">
        <v/>
      </c>
      <c r="C2683" s="3" t="inlineStr">
        <is>
          <t>Palem sadeng di Polybag 100
Liter</t>
        </is>
      </c>
      <c r="D2683" s="3" t="inlineStr">
        <is>
          <t xml:space="preserve">Buah </t>
        </is>
      </c>
      <c r="E2683" s="4" t="n">
        <v>250000</v>
      </c>
    </row>
    <row r="2684">
      <c r="A2684" s="3" t="n">
        <v/>
      </c>
      <c r="B2684" s="3" t="n">
        <v/>
      </c>
      <c r="C2684" s="3" t="inlineStr">
        <is>
          <t>Palem sadeng di Polybag 150 Liter</t>
        </is>
      </c>
      <c r="D2684" s="3" t="inlineStr">
        <is>
          <t xml:space="preserve">Buah </t>
        </is>
      </c>
      <c r="E2684" s="4" t="n">
        <v>300000</v>
      </c>
    </row>
    <row r="2685">
      <c r="A2685" s="3" t="n">
        <v/>
      </c>
      <c r="B2685" s="3" t="n">
        <v/>
      </c>
      <c r="C2685" s="3" t="inlineStr">
        <is>
          <t>Palem sadeng di Polybag 200
Liter</t>
        </is>
      </c>
      <c r="D2685" s="3" t="inlineStr">
        <is>
          <t xml:space="preserve">Buah </t>
        </is>
      </c>
      <c r="E2685" s="4" t="n">
        <v>400000</v>
      </c>
    </row>
    <row r="2686">
      <c r="A2686" s="3" t="n">
        <v/>
      </c>
      <c r="B2686" s="3" t="n">
        <v/>
      </c>
      <c r="C2686" s="3" t="inlineStr">
        <is>
          <t>Palem Sadeng di Polybag 250
Liter</t>
        </is>
      </c>
      <c r="D2686" s="3" t="inlineStr">
        <is>
          <t xml:space="preserve">Buah </t>
        </is>
      </c>
      <c r="E2686" s="4" t="n">
        <v>450000</v>
      </c>
    </row>
    <row r="2687">
      <c r="A2687" s="3" t="n">
        <v/>
      </c>
      <c r="B2687" s="3" t="n">
        <v/>
      </c>
      <c r="C2687" s="3" t="inlineStr">
        <is>
          <t>Palem Kecil Palem Wregu</t>
        </is>
      </c>
      <c r="D2687" s="3" t="inlineStr">
        <is>
          <t>buah</t>
        </is>
      </c>
      <c r="E2687" s="4" t="n">
        <v>15000</v>
      </c>
    </row>
    <row r="2688">
      <c r="A2688" s="3" t="n">
        <v/>
      </c>
      <c r="B2688" s="3" t="n">
        <v/>
      </c>
      <c r="C2688" s="3" t="inlineStr">
        <is>
          <t>Palem Kecil Palem Kuning</t>
        </is>
      </c>
      <c r="D2688" s="3" t="inlineStr">
        <is>
          <t>buah</t>
        </is>
      </c>
      <c r="E2688" s="4" t="n">
        <v>45000</v>
      </c>
    </row>
    <row r="2689">
      <c r="A2689" s="3" t="n">
        <v/>
      </c>
      <c r="B2689" s="3" t="n">
        <v/>
      </c>
      <c r="C2689" s="3" t="inlineStr">
        <is>
          <t xml:space="preserve">Palem Besar Palem Ekor Tupai </t>
        </is>
      </c>
      <c r="D2689" s="3" t="inlineStr">
        <is>
          <t>buah</t>
        </is>
      </c>
      <c r="E2689" s="4" t="n">
        <v>230000</v>
      </c>
    </row>
    <row r="2690">
      <c r="A2690" s="3" t="n">
        <v/>
      </c>
      <c r="B2690" s="3" t="n">
        <v/>
      </c>
      <c r="C2690" s="3" t="inlineStr">
        <is>
          <t>Palem ekor tupai di Polybag 150
Liter</t>
        </is>
      </c>
      <c r="D2690" s="3" t="inlineStr">
        <is>
          <t xml:space="preserve">Buah </t>
        </is>
      </c>
      <c r="E2690" s="4" t="n">
        <v>300000</v>
      </c>
    </row>
    <row r="2691">
      <c r="A2691" s="3" t="n">
        <v/>
      </c>
      <c r="B2691" s="3" t="n">
        <v/>
      </c>
      <c r="C2691" s="3" t="inlineStr">
        <is>
          <t>Palem ekor tupai di Polybag 200
Liter</t>
        </is>
      </c>
      <c r="D2691" s="3" t="inlineStr">
        <is>
          <t xml:space="preserve">Buah </t>
        </is>
      </c>
      <c r="E2691" s="4" t="n">
        <v>400000</v>
      </c>
    </row>
    <row r="2692">
      <c r="A2692" s="3" t="n">
        <v/>
      </c>
      <c r="B2692" s="3" t="n">
        <v/>
      </c>
      <c r="C2692" s="3" t="inlineStr">
        <is>
          <t>Palem ekor tupai di Polybag 250
Liter</t>
        </is>
      </c>
      <c r="D2692" s="3" t="inlineStr">
        <is>
          <t xml:space="preserve">Buah </t>
        </is>
      </c>
      <c r="E2692" s="4" t="n">
        <v>450000</v>
      </c>
    </row>
    <row r="2693">
      <c r="A2693" s="3" t="n">
        <v/>
      </c>
      <c r="B2693" s="3" t="n">
        <v/>
      </c>
      <c r="C2693" s="3" t="inlineStr">
        <is>
          <t xml:space="preserve">Palem Besar Kelapa </t>
        </is>
      </c>
      <c r="D2693" s="3" t="inlineStr">
        <is>
          <t>buah</t>
        </is>
      </c>
      <c r="E2693" s="4" t="n">
        <v>445000</v>
      </c>
    </row>
    <row r="2694">
      <c r="A2694" s="3" t="n">
        <v/>
      </c>
      <c r="B2694" s="3" t="n">
        <v/>
      </c>
      <c r="C2694" s="3" t="inlineStr">
        <is>
          <t xml:space="preserve">Palem Besar Palem Botol </t>
        </is>
      </c>
      <c r="D2694" s="3" t="n">
        <v/>
      </c>
      <c r="E2694" s="4" t="n">
        <v>460000</v>
      </c>
    </row>
    <row r="2695">
      <c r="A2695" s="3" t="n">
        <v/>
      </c>
      <c r="B2695" s="3" t="n">
        <v/>
      </c>
      <c r="C2695" s="3" t="inlineStr">
        <is>
          <t>Palem jepang di Polybag 50 Liter</t>
        </is>
      </c>
      <c r="D2695" s="3" t="inlineStr">
        <is>
          <t xml:space="preserve">Buah </t>
        </is>
      </c>
      <c r="E2695" s="4" t="n">
        <v>150000</v>
      </c>
    </row>
    <row r="2696">
      <c r="A2696" s="3" t="n">
        <v/>
      </c>
      <c r="B2696" s="3" t="n">
        <v/>
      </c>
      <c r="C2696" s="3" t="inlineStr">
        <is>
          <t>Palem jepang di Polybag 75
Liter</t>
        </is>
      </c>
      <c r="D2696" s="3" t="inlineStr">
        <is>
          <t>Buah</t>
        </is>
      </c>
      <c r="E2696" s="4" t="n">
        <v>200000</v>
      </c>
    </row>
    <row r="2697">
      <c r="A2697" s="3" t="n">
        <v/>
      </c>
      <c r="B2697" s="3" t="n">
        <v/>
      </c>
      <c r="C2697" s="3" t="inlineStr">
        <is>
          <t>Palem komodoria/komodor/chamadorea di Polybag 11 Liter</t>
        </is>
      </c>
      <c r="D2697" s="3" t="inlineStr">
        <is>
          <t xml:space="preserve">Buah </t>
        </is>
      </c>
      <c r="E2697" s="4" t="n">
        <v>75000</v>
      </c>
    </row>
    <row r="2698">
      <c r="A2698" s="3" t="n">
        <v/>
      </c>
      <c r="B2698" s="3" t="n">
        <v/>
      </c>
      <c r="C2698" s="3" t="inlineStr">
        <is>
          <t>Palem komodoria/komodor/chamadorea di Polybag 20 Liter</t>
        </is>
      </c>
      <c r="D2698" s="3" t="inlineStr">
        <is>
          <t xml:space="preserve">Buah </t>
        </is>
      </c>
      <c r="E2698" s="4" t="n">
        <v>100000</v>
      </c>
    </row>
    <row r="2699">
      <c r="A2699" s="3" t="n">
        <v/>
      </c>
      <c r="B2699" s="3" t="n">
        <v/>
      </c>
      <c r="C2699" s="3" t="inlineStr">
        <is>
          <t>Palem komodoria/
komodor/chamadorea di
Polybag 50 Liter</t>
        </is>
      </c>
      <c r="D2699" s="3" t="inlineStr">
        <is>
          <t xml:space="preserve">Buah </t>
        </is>
      </c>
      <c r="E2699" s="4" t="n">
        <v>150000</v>
      </c>
    </row>
    <row r="2700">
      <c r="A2700" s="3" t="n">
        <v/>
      </c>
      <c r="B2700" s="3" t="n">
        <v/>
      </c>
      <c r="C2700" s="3" t="inlineStr">
        <is>
          <t>Palem komodoria/
komodor/chamadorea di
Polybag 75 Liter</t>
        </is>
      </c>
      <c r="D2700" s="3" t="inlineStr">
        <is>
          <t>Buah</t>
        </is>
      </c>
      <c r="E2700" s="4" t="n">
        <v>200000</v>
      </c>
    </row>
    <row r="2701">
      <c r="A2701" s="3" t="n">
        <v/>
      </c>
      <c r="B2701" s="3" t="n">
        <v/>
      </c>
      <c r="C2701" s="3" t="inlineStr">
        <is>
          <t>Palem kuning di Polybag 11 Liter</t>
        </is>
      </c>
      <c r="D2701" s="3" t="inlineStr">
        <is>
          <t xml:space="preserve">Buah </t>
        </is>
      </c>
      <c r="E2701" s="4" t="n">
        <v>50000</v>
      </c>
    </row>
    <row r="2702">
      <c r="A2702" s="3" t="n">
        <v/>
      </c>
      <c r="B2702" s="3" t="n">
        <v/>
      </c>
      <c r="C2702" s="3" t="inlineStr">
        <is>
          <t>Palem kuning di Polybag 20 Liter</t>
        </is>
      </c>
      <c r="D2702" s="3" t="inlineStr">
        <is>
          <t xml:space="preserve">Buah </t>
        </is>
      </c>
      <c r="E2702" s="4" t="n">
        <v>75000</v>
      </c>
    </row>
    <row r="2703">
      <c r="A2703" s="3" t="n">
        <v/>
      </c>
      <c r="B2703" s="3" t="n">
        <v/>
      </c>
      <c r="C2703" s="3" t="inlineStr">
        <is>
          <t>Palem kuning di Polybag 50
Liter</t>
        </is>
      </c>
      <c r="D2703" s="3" t="inlineStr">
        <is>
          <t xml:space="preserve">Buah </t>
        </is>
      </c>
      <c r="E2703" s="4" t="n">
        <v>150000</v>
      </c>
    </row>
    <row r="2704">
      <c r="A2704" s="3" t="n">
        <v/>
      </c>
      <c r="B2704" s="3" t="n">
        <v/>
      </c>
      <c r="C2704" s="3" t="inlineStr">
        <is>
          <t>Palem kuning di Polybag 75
Liter</t>
        </is>
      </c>
      <c r="D2704" s="3" t="inlineStr">
        <is>
          <t>Buah</t>
        </is>
      </c>
      <c r="E2704" s="4" t="n">
        <v>200000</v>
      </c>
    </row>
    <row r="2705">
      <c r="A2705" s="3" t="n">
        <v/>
      </c>
      <c r="B2705" s="3" t="n">
        <v/>
      </c>
      <c r="C2705" s="3" t="inlineStr">
        <is>
          <t>Palem Merah/ Pinang Merah di Polybag 50 Liter</t>
        </is>
      </c>
      <c r="D2705" s="3" t="inlineStr">
        <is>
          <t xml:space="preserve">Buah </t>
        </is>
      </c>
      <c r="E2705" s="4" t="n">
        <v>150000</v>
      </c>
    </row>
    <row r="2706">
      <c r="A2706" s="3" t="n">
        <v/>
      </c>
      <c r="B2706" s="3" t="n">
        <v/>
      </c>
      <c r="C2706" s="3" t="inlineStr">
        <is>
          <t>Palem waregu di Polybag 50
Liter</t>
        </is>
      </c>
      <c r="D2706" s="3" t="inlineStr">
        <is>
          <t xml:space="preserve">Buah </t>
        </is>
      </c>
      <c r="E2706" s="4" t="n">
        <v>150000</v>
      </c>
    </row>
    <row r="2707">
      <c r="A2707" s="3" t="n">
        <v/>
      </c>
      <c r="B2707" s="3" t="n">
        <v/>
      </c>
      <c r="C2707" s="3" t="inlineStr">
        <is>
          <t>Palem waregu di Polybag 75
Liter</t>
        </is>
      </c>
      <c r="D2707" s="3" t="inlineStr">
        <is>
          <t xml:space="preserve">Buah </t>
        </is>
      </c>
      <c r="E2707" s="4" t="n">
        <v>200000</v>
      </c>
    </row>
    <row r="2708">
      <c r="A2708" s="3" t="n">
        <v/>
      </c>
      <c r="B2708" s="3" t="n">
        <v/>
      </c>
      <c r="C2708" s="3" t="inlineStr">
        <is>
          <t>Sikas Halus/Mawar Jambe di Polybag 25 Liter</t>
        </is>
      </c>
      <c r="D2708" s="3" t="inlineStr">
        <is>
          <t>Buah</t>
        </is>
      </c>
      <c r="E2708" s="4" t="n">
        <v>75000</v>
      </c>
    </row>
    <row r="2709">
      <c r="A2709" s="3" t="n">
        <v/>
      </c>
      <c r="B2709" s="3" t="n">
        <v/>
      </c>
      <c r="C2709" s="3" t="inlineStr">
        <is>
          <t>Sikas Halus/Mawar Jambe di Polybag 50 Liter</t>
        </is>
      </c>
      <c r="D2709" s="3" t="inlineStr">
        <is>
          <t>Buah</t>
        </is>
      </c>
      <c r="E2709" s="4" t="n">
        <v>150000</v>
      </c>
    </row>
    <row r="2710">
      <c r="A2710" s="3" t="n">
        <v/>
      </c>
      <c r="B2710" s="3" t="n">
        <v/>
      </c>
      <c r="C2710" s="3" t="inlineStr">
        <is>
          <t>Sikas Halus/Mawar Jambe di
Polybag 75 Liter</t>
        </is>
      </c>
      <c r="D2710" s="3" t="inlineStr">
        <is>
          <t xml:space="preserve">Buah </t>
        </is>
      </c>
      <c r="E2710" s="4" t="n">
        <v>200000</v>
      </c>
    </row>
    <row r="2711">
      <c r="A2711" s="3" t="n">
        <v/>
      </c>
      <c r="B2711" s="3" t="n">
        <v/>
      </c>
      <c r="C2711" s="3" t="inlineStr">
        <is>
          <t>Palem Phoenix di Polybag 50 Liter</t>
        </is>
      </c>
      <c r="D2711" s="3" t="inlineStr">
        <is>
          <t>Buah</t>
        </is>
      </c>
      <c r="E2711" s="4" t="n">
        <v>150000</v>
      </c>
    </row>
    <row r="2712">
      <c r="A2712" s="3" t="n">
        <v/>
      </c>
      <c r="B2712" s="3" t="n">
        <v/>
      </c>
      <c r="C2712" s="3" t="inlineStr">
        <is>
          <t>Palem Phoenix di Polybag 75
Liter</t>
        </is>
      </c>
      <c r="D2712" s="3" t="inlineStr">
        <is>
          <t>Buah</t>
        </is>
      </c>
      <c r="E2712" s="4" t="n">
        <v>200000</v>
      </c>
    </row>
    <row r="2713">
      <c r="A2713" s="3" t="n">
        <v/>
      </c>
      <c r="B2713" s="3" t="n">
        <v/>
      </c>
      <c r="C2713" s="3" t="inlineStr">
        <is>
          <t>Palem Merah/ Pinang Merah di
Polybag 75 Liter</t>
        </is>
      </c>
      <c r="D2713" s="3" t="inlineStr">
        <is>
          <t xml:space="preserve">Buah </t>
        </is>
      </c>
      <c r="E2713" s="4" t="n">
        <v>200000</v>
      </c>
    </row>
    <row r="2714">
      <c r="A2714" s="3" t="n">
        <v/>
      </c>
      <c r="B2714" s="3" t="n">
        <v/>
      </c>
      <c r="C2714" s="3" t="inlineStr">
        <is>
          <t>Palem Besar Palem Sadeng</t>
        </is>
      </c>
      <c r="D2714" s="3" t="inlineStr">
        <is>
          <t xml:space="preserve">Buah </t>
        </is>
      </c>
      <c r="E2714" s="4" t="n">
        <v>510000</v>
      </c>
    </row>
    <row r="2715">
      <c r="A2715" s="3" t="n">
        <v/>
      </c>
      <c r="B2715" s="3" t="n">
        <v/>
      </c>
      <c r="C2715" s="3" t="inlineStr">
        <is>
          <t>Palem washingtonia di Polybag 100 Liter</t>
        </is>
      </c>
      <c r="D2715" s="3" t="inlineStr">
        <is>
          <t xml:space="preserve">Buah </t>
        </is>
      </c>
      <c r="E2715" s="4" t="n">
        <v>750000</v>
      </c>
    </row>
    <row r="2716">
      <c r="A2716" s="3" t="n">
        <v/>
      </c>
      <c r="B2716" s="3" t="n">
        <v/>
      </c>
      <c r="C2716" s="3" t="inlineStr">
        <is>
          <t>Palem washingtonia di Polybag 150 Liter</t>
        </is>
      </c>
      <c r="D2716" s="3" t="inlineStr">
        <is>
          <t xml:space="preserve">Buah </t>
        </is>
      </c>
      <c r="E2716" s="4" t="n">
        <v>850000</v>
      </c>
    </row>
    <row r="2717">
      <c r="A2717" s="3" t="n">
        <v/>
      </c>
      <c r="B2717" s="3" t="n">
        <v/>
      </c>
      <c r="C2717" s="3" t="inlineStr">
        <is>
          <t>Palem Sinensis di Polybag 100 Liter</t>
        </is>
      </c>
      <c r="D2717" s="3" t="inlineStr">
        <is>
          <t xml:space="preserve">Buah </t>
        </is>
      </c>
      <c r="E2717" s="4" t="n">
        <v>850000</v>
      </c>
    </row>
    <row r="2718">
      <c r="A2718" s="3" t="n">
        <v/>
      </c>
      <c r="B2718" s="3" t="n">
        <v/>
      </c>
      <c r="C2718" s="3" t="inlineStr">
        <is>
          <t>Palem Sinensis di Polybag 150 Liter</t>
        </is>
      </c>
      <c r="D2718" s="3" t="inlineStr">
        <is>
          <t xml:space="preserve">Buah </t>
        </is>
      </c>
      <c r="E2718" s="4" t="n">
        <v>950000</v>
      </c>
    </row>
    <row r="2719">
      <c r="A2719" s="3" t="n">
        <v/>
      </c>
      <c r="B2719" s="3" t="n">
        <v/>
      </c>
      <c r="C2719" s="3" t="inlineStr">
        <is>
          <t>Palem Bismarkia Silver di Polybag 100 Liter</t>
        </is>
      </c>
      <c r="D2719" s="3" t="inlineStr">
        <is>
          <t xml:space="preserve">Buah </t>
        </is>
      </c>
      <c r="E2719" s="4" t="n">
        <v>900000</v>
      </c>
    </row>
    <row r="2720">
      <c r="A2720" s="3" t="n">
        <v/>
      </c>
      <c r="B2720" s="3" t="n">
        <v/>
      </c>
      <c r="C2720" s="3" t="inlineStr">
        <is>
          <t>Palem Bismarkia Silver di Polybag 150 Liter</t>
        </is>
      </c>
      <c r="D2720" s="3" t="inlineStr">
        <is>
          <t xml:space="preserve">Buah </t>
        </is>
      </c>
      <c r="E2720" s="4" t="n">
        <v>950000</v>
      </c>
    </row>
    <row r="2721">
      <c r="A2721" s="3" t="n">
        <v/>
      </c>
      <c r="B2721" s="3" t="n">
        <v/>
      </c>
      <c r="C2721" s="3" t="inlineStr">
        <is>
          <t>Pinang Jambe di Polybag 100 Liter</t>
        </is>
      </c>
      <c r="D2721" s="3" t="inlineStr">
        <is>
          <t xml:space="preserve">Buah </t>
        </is>
      </c>
      <c r="E2721" s="4" t="n">
        <v>950000</v>
      </c>
    </row>
    <row r="2722">
      <c r="A2722" s="3" t="n">
        <v/>
      </c>
      <c r="B2722" s="3" t="n">
        <v/>
      </c>
      <c r="C2722" s="3" t="inlineStr">
        <is>
          <t>Pinang Jambe di Polybag 150 Liter</t>
        </is>
      </c>
      <c r="D2722" s="3" t="inlineStr">
        <is>
          <t xml:space="preserve">Buah </t>
        </is>
      </c>
      <c r="E2722" s="4" t="n">
        <v>1050000</v>
      </c>
    </row>
    <row r="2723">
      <c r="A2723" s="3" t="n">
        <v/>
      </c>
      <c r="B2723" s="3" t="n">
        <v/>
      </c>
      <c r="C2723" s="3" t="inlineStr">
        <is>
          <t>Semak Akar wangi di Polybag 5 Liter</t>
        </is>
      </c>
      <c r="D2723" s="3" t="inlineStr">
        <is>
          <t>buah</t>
        </is>
      </c>
      <c r="E2723" s="4" t="n">
        <v>3000</v>
      </c>
    </row>
    <row r="2724">
      <c r="A2724" s="3" t="n">
        <v/>
      </c>
      <c r="B2724" s="3" t="n">
        <v/>
      </c>
      <c r="C2724" s="3" t="inlineStr">
        <is>
          <t>Semak Alamanda di Polybag 5 Liter</t>
        </is>
      </c>
      <c r="D2724" s="3" t="inlineStr">
        <is>
          <t xml:space="preserve">Polybag </t>
        </is>
      </c>
      <c r="E2724" s="4" t="n">
        <v>10000</v>
      </c>
    </row>
    <row r="2725">
      <c r="A2725" s="3" t="n">
        <v/>
      </c>
      <c r="B2725" s="3" t="n">
        <v/>
      </c>
      <c r="C2725" s="3" t="inlineStr">
        <is>
          <t>Semak Alamanda di Polybag 11 Liter</t>
        </is>
      </c>
      <c r="D2725" s="3" t="inlineStr">
        <is>
          <t xml:space="preserve">Polybag </t>
        </is>
      </c>
      <c r="E2725" s="4" t="n">
        <v>15000</v>
      </c>
    </row>
    <row r="2726">
      <c r="A2726" s="3" t="n">
        <v/>
      </c>
      <c r="B2726" s="3" t="n">
        <v/>
      </c>
      <c r="C2726" s="3" t="inlineStr">
        <is>
          <t>Semak Alamanda di Polybag 20 Liter</t>
        </is>
      </c>
      <c r="D2726" s="3" t="inlineStr">
        <is>
          <t xml:space="preserve">Polybag </t>
        </is>
      </c>
      <c r="E2726" s="4" t="n">
        <v>20000</v>
      </c>
    </row>
    <row r="2727">
      <c r="A2727" s="3" t="n">
        <v/>
      </c>
      <c r="B2727" s="3" t="n">
        <v/>
      </c>
      <c r="C2727" s="3" t="inlineStr">
        <is>
          <t>Semak Alamanda/Bunga
terompet emas di Polybag 5
Liter</t>
        </is>
      </c>
      <c r="D2727" s="3" t="inlineStr">
        <is>
          <t>Buah</t>
        </is>
      </c>
      <c r="E2727" s="4" t="n">
        <v>3000</v>
      </c>
    </row>
    <row r="2728">
      <c r="A2728" s="3" t="n">
        <v/>
      </c>
      <c r="B2728" s="3" t="n">
        <v/>
      </c>
      <c r="C2728" s="3" t="inlineStr">
        <is>
          <t>Semak Alamanda/Bunga
terompet emas di Polybag 11
Liter</t>
        </is>
      </c>
      <c r="D2728" s="3" t="inlineStr">
        <is>
          <t xml:space="preserve">Buah </t>
        </is>
      </c>
      <c r="E2728" s="4" t="n">
        <v>5000</v>
      </c>
    </row>
    <row r="2729">
      <c r="A2729" s="3" t="n">
        <v/>
      </c>
      <c r="B2729" s="3" t="n">
        <v/>
      </c>
      <c r="C2729" s="3" t="inlineStr">
        <is>
          <t>Semak Alamanda/Bunga
terompet emas di Polybag 20 Liter</t>
        </is>
      </c>
      <c r="D2729" s="3" t="inlineStr">
        <is>
          <t xml:space="preserve">Buah </t>
        </is>
      </c>
      <c r="E2729" s="4" t="n">
        <v>9000</v>
      </c>
    </row>
    <row r="2730">
      <c r="A2730" s="3" t="n">
        <v/>
      </c>
      <c r="B2730" s="3" t="n">
        <v/>
      </c>
      <c r="C2730" s="3" t="inlineStr">
        <is>
          <t>Semak Alang-alang Merah di Polybag 5 Liter</t>
        </is>
      </c>
      <c r="D2730" s="3" t="inlineStr">
        <is>
          <t xml:space="preserve">Buah </t>
        </is>
      </c>
      <c r="E2730" s="4" t="n">
        <v>2500</v>
      </c>
    </row>
    <row r="2731">
      <c r="A2731" s="3" t="n">
        <v/>
      </c>
      <c r="B2731" s="3" t="n">
        <v/>
      </c>
      <c r="C2731" s="3" t="inlineStr">
        <is>
          <t>Semak Agave/lidah naga di
Polybag 11 Liter</t>
        </is>
      </c>
      <c r="D2731" s="3" t="inlineStr">
        <is>
          <t xml:space="preserve">Buah </t>
        </is>
      </c>
      <c r="E2731" s="4" t="n">
        <v>5000</v>
      </c>
    </row>
    <row r="2732">
      <c r="A2732" s="3" t="n">
        <v/>
      </c>
      <c r="B2732" s="3" t="n">
        <v/>
      </c>
      <c r="C2732" s="3" t="inlineStr">
        <is>
          <t>Semak Agave/lidah naga di
Polybag 20 Liter</t>
        </is>
      </c>
      <c r="D2732" s="3" t="inlineStr">
        <is>
          <t xml:space="preserve">Buah </t>
        </is>
      </c>
      <c r="E2732" s="4" t="n">
        <v>9000</v>
      </c>
    </row>
    <row r="2733">
      <c r="A2733" s="3" t="n">
        <v/>
      </c>
      <c r="B2733" s="3" t="n">
        <v/>
      </c>
      <c r="C2733" s="3" t="inlineStr">
        <is>
          <t>Semak Andong di Polybag 11 Liter</t>
        </is>
      </c>
      <c r="D2733" s="3" t="inlineStr">
        <is>
          <t xml:space="preserve">Buah </t>
        </is>
      </c>
      <c r="E2733" s="4" t="n">
        <v>5000</v>
      </c>
    </row>
    <row r="2734">
      <c r="A2734" s="3" t="n">
        <v/>
      </c>
      <c r="B2734" s="3" t="n">
        <v/>
      </c>
      <c r="C2734" s="3" t="inlineStr">
        <is>
          <t>Semak Ararea di Polybag 5 Liter</t>
        </is>
      </c>
      <c r="D2734" s="3" t="inlineStr">
        <is>
          <t xml:space="preserve">Buah </t>
        </is>
      </c>
      <c r="E2734" s="4" t="n">
        <v>3000</v>
      </c>
    </row>
    <row r="2735">
      <c r="A2735" s="3" t="n">
        <v/>
      </c>
      <c r="B2735" s="3" t="n">
        <v/>
      </c>
      <c r="C2735" s="3" t="inlineStr">
        <is>
          <t>Semak Bakung Lele di Polybag
5 Liter</t>
        </is>
      </c>
      <c r="D2735" s="3" t="inlineStr">
        <is>
          <t xml:space="preserve">Buah </t>
        </is>
      </c>
      <c r="E2735" s="4" t="n">
        <v>3500</v>
      </c>
    </row>
    <row r="2736">
      <c r="A2736" s="3" t="n">
        <v/>
      </c>
      <c r="B2736" s="3" t="n">
        <v/>
      </c>
      <c r="C2736" s="3" t="inlineStr">
        <is>
          <t>Semak Bakung Lele di
Polybag 11 Liter</t>
        </is>
      </c>
      <c r="D2736" s="3" t="inlineStr">
        <is>
          <t xml:space="preserve">Buah </t>
        </is>
      </c>
      <c r="E2736" s="4" t="n">
        <v>5000</v>
      </c>
    </row>
    <row r="2737">
      <c r="A2737" s="3" t="n">
        <v/>
      </c>
      <c r="B2737" s="3" t="n">
        <v/>
      </c>
      <c r="C2737" s="3" t="inlineStr">
        <is>
          <t>Semak Bakung Jawa di
Polybag 11 Liter</t>
        </is>
      </c>
      <c r="D2737" s="3" t="inlineStr">
        <is>
          <t xml:space="preserve">Buah </t>
        </is>
      </c>
      <c r="E2737" s="4" t="n">
        <v>5000</v>
      </c>
    </row>
    <row r="2738">
      <c r="A2738" s="3" t="n">
        <v/>
      </c>
      <c r="B2738" s="3" t="n">
        <v/>
      </c>
      <c r="C2738" s="3" t="inlineStr">
        <is>
          <t>Semak Bakung Jawa di Polybag
20 Liter</t>
        </is>
      </c>
      <c r="D2738" s="3" t="inlineStr">
        <is>
          <t xml:space="preserve">Buah </t>
        </is>
      </c>
      <c r="E2738" s="4" t="n">
        <v>9000</v>
      </c>
    </row>
    <row r="2739">
      <c r="A2739" s="3" t="n">
        <v/>
      </c>
      <c r="B2739" s="3" t="n">
        <v/>
      </c>
      <c r="C2739" s="3" t="inlineStr">
        <is>
          <t>Semak Blanceng di Polybag 5 Liter</t>
        </is>
      </c>
      <c r="D2739" s="3" t="inlineStr">
        <is>
          <t xml:space="preserve">Buah </t>
        </is>
      </c>
      <c r="E2739" s="4" t="n">
        <v>3500</v>
      </c>
    </row>
    <row r="2740">
      <c r="A2740" s="3" t="n">
        <v/>
      </c>
      <c r="B2740" s="3" t="n">
        <v/>
      </c>
      <c r="C2740" s="3" t="inlineStr">
        <is>
          <t>Semak Bromelia di Polybag
11 Liter</t>
        </is>
      </c>
      <c r="D2740" s="3" t="inlineStr">
        <is>
          <t xml:space="preserve">Buah </t>
        </is>
      </c>
      <c r="E2740" s="4" t="n">
        <v>5000</v>
      </c>
    </row>
    <row r="2741">
      <c r="A2741" s="3" t="n">
        <v/>
      </c>
      <c r="B2741" s="3" t="n">
        <v/>
      </c>
      <c r="C2741" s="3" t="inlineStr">
        <is>
          <t>Semak Bromelia di Polybag 20
Liter</t>
        </is>
      </c>
      <c r="D2741" s="3" t="inlineStr">
        <is>
          <t xml:space="preserve">Buah </t>
        </is>
      </c>
      <c r="E2741" s="4" t="n">
        <v>9000</v>
      </c>
    </row>
    <row r="2742">
      <c r="A2742" s="3" t="n">
        <v/>
      </c>
      <c r="B2742" s="3" t="n">
        <v/>
      </c>
      <c r="C2742" s="3" t="inlineStr">
        <is>
          <t>Semak Bugenvil/bunga kertas di
Polybag 20 Liter</t>
        </is>
      </c>
      <c r="D2742" s="3" t="inlineStr">
        <is>
          <t xml:space="preserve">Buah </t>
        </is>
      </c>
      <c r="E2742" s="4" t="n">
        <v>9000</v>
      </c>
    </row>
    <row r="2743">
      <c r="A2743" s="3" t="n">
        <v/>
      </c>
      <c r="B2743" s="3" t="n">
        <v/>
      </c>
      <c r="C2743" s="3" t="inlineStr">
        <is>
          <t>Semak Bunga Iris di Polybag 5
Liter</t>
        </is>
      </c>
      <c r="D2743" s="3" t="inlineStr">
        <is>
          <t xml:space="preserve">Buah </t>
        </is>
      </c>
      <c r="E2743" s="4" t="n">
        <v>3000</v>
      </c>
    </row>
    <row r="2744">
      <c r="A2744" s="3" t="n">
        <v/>
      </c>
      <c r="B2744" s="3" t="n">
        <v/>
      </c>
      <c r="C2744" s="3" t="inlineStr">
        <is>
          <t>Semak Bunga Terompet
Kuning di Polybag 11 Liter</t>
        </is>
      </c>
      <c r="D2744" s="3" t="inlineStr">
        <is>
          <t>Buah</t>
        </is>
      </c>
      <c r="E2744" s="4" t="n">
        <v>5000</v>
      </c>
    </row>
    <row r="2745">
      <c r="A2745" s="3" t="n">
        <v/>
      </c>
      <c r="B2745" s="3" t="n">
        <v/>
      </c>
      <c r="C2745" s="3" t="inlineStr">
        <is>
          <t>Semak Bunga Terompet Kuning di
Polybag 20 Liter</t>
        </is>
      </c>
      <c r="D2745" s="3" t="inlineStr">
        <is>
          <t xml:space="preserve">Buah </t>
        </is>
      </c>
      <c r="E2745" s="4" t="n">
        <v>9000</v>
      </c>
    </row>
    <row r="2746">
      <c r="A2746" s="3" t="n">
        <v/>
      </c>
      <c r="B2746" s="3" t="n">
        <v/>
      </c>
      <c r="C2746" s="3" t="inlineStr">
        <is>
          <t>Semak Calathea di Polybag 5
Liter</t>
        </is>
      </c>
      <c r="D2746" s="3" t="inlineStr">
        <is>
          <t xml:space="preserve">Buah </t>
        </is>
      </c>
      <c r="E2746" s="4" t="n">
        <v>3000</v>
      </c>
    </row>
    <row r="2747">
      <c r="A2747" s="3" t="n">
        <v/>
      </c>
      <c r="B2747" s="3" t="n">
        <v/>
      </c>
      <c r="C2747" s="3" t="inlineStr">
        <is>
          <t>Semak Canna di Polybag 20 Liter</t>
        </is>
      </c>
      <c r="D2747" s="3" t="inlineStr">
        <is>
          <t xml:space="preserve">Buah </t>
        </is>
      </c>
      <c r="E2747" s="4" t="n">
        <v>9000</v>
      </c>
    </row>
    <row r="2748">
      <c r="A2748" s="3" t="n">
        <v/>
      </c>
      <c r="B2748" s="3" t="n">
        <v/>
      </c>
      <c r="C2748" s="3" t="inlineStr">
        <is>
          <t>Semak Capit Udang</t>
        </is>
      </c>
      <c r="D2748" s="3" t="inlineStr">
        <is>
          <t xml:space="preserve">Buah </t>
        </is>
      </c>
      <c r="E2748" s="4" t="n">
        <v>2100</v>
      </c>
    </row>
    <row r="2749">
      <c r="A2749" s="3" t="n">
        <v/>
      </c>
      <c r="B2749" s="3" t="n">
        <v/>
      </c>
      <c r="C2749" s="3" t="inlineStr">
        <is>
          <t>Semak Cendrawasih di Polybag
5 Liter</t>
        </is>
      </c>
      <c r="D2749" s="3" t="inlineStr">
        <is>
          <t xml:space="preserve">Buah </t>
        </is>
      </c>
      <c r="E2749" s="4" t="n">
        <v>3000</v>
      </c>
    </row>
    <row r="2750">
      <c r="A2750" s="3" t="n">
        <v/>
      </c>
      <c r="B2750" s="3" t="n">
        <v/>
      </c>
      <c r="C2750" s="3" t="inlineStr">
        <is>
          <t>Semak Costus di Polybag 11
Liter</t>
        </is>
      </c>
      <c r="D2750" s="3" t="inlineStr">
        <is>
          <t>Buah</t>
        </is>
      </c>
      <c r="E2750" s="4" t="n">
        <v>5000</v>
      </c>
    </row>
    <row r="2751">
      <c r="A2751" s="3" t="n">
        <v/>
      </c>
      <c r="B2751" s="3" t="n">
        <v/>
      </c>
      <c r="C2751" s="3" t="inlineStr">
        <is>
          <t>Semak Costus di Polybag 11
Liter</t>
        </is>
      </c>
      <c r="D2751" s="3" t="inlineStr">
        <is>
          <t>Buah</t>
        </is>
      </c>
      <c r="E2751" s="4" t="n">
        <v>5000</v>
      </c>
    </row>
    <row r="2752">
      <c r="A2752" s="3" t="n">
        <v/>
      </c>
      <c r="B2752" s="3" t="n">
        <v/>
      </c>
      <c r="C2752" s="3" t="inlineStr">
        <is>
          <t>Semak Dracaena ‘Song of
India’ di Polybag 11 Liter</t>
        </is>
      </c>
      <c r="D2752" s="3" t="inlineStr">
        <is>
          <t xml:space="preserve">Buah </t>
        </is>
      </c>
      <c r="E2752" s="4" t="n">
        <v>5000</v>
      </c>
    </row>
    <row r="2753">
      <c r="A2753" s="3" t="n">
        <v/>
      </c>
      <c r="B2753" s="3" t="n">
        <v/>
      </c>
      <c r="C2753" s="3" t="inlineStr">
        <is>
          <t>Semak Dracaena 'Song of
Jamaica' di Polybag 11 Liter</t>
        </is>
      </c>
      <c r="D2753" s="3" t="inlineStr">
        <is>
          <t xml:space="preserve">Buah </t>
        </is>
      </c>
      <c r="E2753" s="4" t="n">
        <v>5000</v>
      </c>
    </row>
    <row r="2754">
      <c r="A2754" s="3" t="n">
        <v/>
      </c>
      <c r="B2754" s="3" t="n">
        <v/>
      </c>
      <c r="C2754" s="3" t="inlineStr">
        <is>
          <t>Semak Dracaena ‘Song of India’ di
Polybag 20 Liter</t>
        </is>
      </c>
      <c r="D2754" s="3" t="inlineStr">
        <is>
          <t xml:space="preserve">Buah </t>
        </is>
      </c>
      <c r="E2754" s="4" t="n">
        <v>9000</v>
      </c>
    </row>
    <row r="2755">
      <c r="A2755" s="3" t="n">
        <v/>
      </c>
      <c r="B2755" s="3" t="n">
        <v/>
      </c>
      <c r="C2755" s="3" t="inlineStr">
        <is>
          <t>Semak Dracaena 'Song of
Jamaica' di Polybag 20 Liter</t>
        </is>
      </c>
      <c r="D2755" s="3" t="inlineStr">
        <is>
          <t xml:space="preserve">Buah </t>
        </is>
      </c>
      <c r="E2755" s="4" t="n">
        <v>9000</v>
      </c>
    </row>
    <row r="2756">
      <c r="A2756" s="3" t="n">
        <v/>
      </c>
      <c r="B2756" s="3" t="n">
        <v/>
      </c>
      <c r="C2756" s="3" t="inlineStr">
        <is>
          <t>Semak Helliconia di Polybag
11 Liter</t>
        </is>
      </c>
      <c r="D2756" s="3" t="inlineStr">
        <is>
          <t xml:space="preserve">Buah </t>
        </is>
      </c>
      <c r="E2756" s="4" t="n">
        <v>5000</v>
      </c>
    </row>
    <row r="2757">
      <c r="A2757" s="3" t="n">
        <v/>
      </c>
      <c r="B2757" s="3" t="n">
        <v/>
      </c>
      <c r="C2757" s="3" t="inlineStr">
        <is>
          <t>Semak Helliconia di Polybag 20
Liter</t>
        </is>
      </c>
      <c r="D2757" s="3" t="inlineStr">
        <is>
          <t xml:space="preserve">Buah </t>
        </is>
      </c>
      <c r="E2757" s="4" t="n">
        <v>9000</v>
      </c>
    </row>
    <row r="2758">
      <c r="A2758" s="3" t="n">
        <v/>
      </c>
      <c r="B2758" s="3" t="n">
        <v/>
      </c>
      <c r="C2758" s="3" t="inlineStr">
        <is>
          <t>Semak Honje/Kecombrang di
Polybag 11 Liter</t>
        </is>
      </c>
      <c r="D2758" s="3" t="inlineStr">
        <is>
          <t xml:space="preserve">Buah </t>
        </is>
      </c>
      <c r="E2758" s="4" t="n">
        <v>5000</v>
      </c>
    </row>
    <row r="2759">
      <c r="A2759" s="3" t="n">
        <v/>
      </c>
      <c r="B2759" s="3" t="n">
        <v/>
      </c>
      <c r="C2759" s="3" t="inlineStr">
        <is>
          <t>Semak Honje/Kecombrang di
Polybag 20 Liter</t>
        </is>
      </c>
      <c r="D2759" s="3" t="inlineStr">
        <is>
          <t xml:space="preserve">Buah </t>
        </is>
      </c>
      <c r="E2759" s="4" t="n">
        <v>9000</v>
      </c>
    </row>
    <row r="2760">
      <c r="A2760" s="3" t="n">
        <v/>
      </c>
      <c r="B2760" s="3" t="n">
        <v/>
      </c>
      <c r="C2760" s="3" t="inlineStr">
        <is>
          <t>Semak Hujan Mas di Polybag 5
Liter</t>
        </is>
      </c>
      <c r="D2760" s="3" t="inlineStr">
        <is>
          <t xml:space="preserve">Buah </t>
        </is>
      </c>
      <c r="E2760" s="4" t="n">
        <v>3000</v>
      </c>
    </row>
    <row r="2761">
      <c r="A2761" s="3" t="n">
        <v/>
      </c>
      <c r="B2761" s="3" t="n">
        <v/>
      </c>
      <c r="C2761" s="3" t="inlineStr">
        <is>
          <t>Semak Hujan Mas di Polybag
11 Liter</t>
        </is>
      </c>
      <c r="D2761" s="3" t="inlineStr">
        <is>
          <t xml:space="preserve">Buah </t>
        </is>
      </c>
      <c r="E2761" s="4" t="n">
        <v>5000</v>
      </c>
    </row>
    <row r="2762">
      <c r="A2762" s="3" t="n">
        <v/>
      </c>
      <c r="B2762" s="3" t="n">
        <v/>
      </c>
      <c r="C2762" s="3" t="inlineStr">
        <is>
          <t>Semak Hujan Mas di Polybag 20
Liter</t>
        </is>
      </c>
      <c r="D2762" s="3" t="inlineStr">
        <is>
          <t xml:space="preserve">Buah </t>
        </is>
      </c>
      <c r="E2762" s="4" t="n">
        <v>9000</v>
      </c>
    </row>
    <row r="2763">
      <c r="A2763" s="3" t="n">
        <v/>
      </c>
      <c r="B2763" s="3" t="n">
        <v/>
      </c>
      <c r="C2763" s="3" t="inlineStr">
        <is>
          <t>Semak Kacapiring
wangi/Gardenia di Polybag 5
Liter</t>
        </is>
      </c>
      <c r="D2763" s="3" t="inlineStr">
        <is>
          <t xml:space="preserve">Buah </t>
        </is>
      </c>
      <c r="E2763" s="4" t="n">
        <v>3000</v>
      </c>
    </row>
    <row r="2764">
      <c r="A2764" s="3" t="n">
        <v/>
      </c>
      <c r="B2764" s="3" t="n">
        <v/>
      </c>
      <c r="C2764" s="3" t="inlineStr">
        <is>
          <t>Semak Kaca piring di Polybag
11 Liter</t>
        </is>
      </c>
      <c r="D2764" s="3" t="inlineStr">
        <is>
          <t>Buah</t>
        </is>
      </c>
      <c r="E2764" s="4" t="n">
        <v>5000</v>
      </c>
    </row>
    <row r="2765">
      <c r="A2765" s="3" t="n">
        <v/>
      </c>
      <c r="B2765" s="3" t="n">
        <v/>
      </c>
      <c r="C2765" s="3" t="inlineStr">
        <is>
          <t>Semak Kacapiring
wangi/Gardenia di Polybag
11 Liter</t>
        </is>
      </c>
      <c r="D2765" s="3" t="inlineStr">
        <is>
          <t xml:space="preserve">Buah </t>
        </is>
      </c>
      <c r="E2765" s="4" t="n">
        <v>5000</v>
      </c>
    </row>
    <row r="2766">
      <c r="A2766" s="3" t="n">
        <v/>
      </c>
      <c r="B2766" s="3" t="n">
        <v/>
      </c>
      <c r="C2766" s="3" t="inlineStr">
        <is>
          <t>Semak Kacapiring
wangi/Gardenia di Polybag 20
Liter</t>
        </is>
      </c>
      <c r="D2766" s="3" t="inlineStr">
        <is>
          <t xml:space="preserve">Buah </t>
        </is>
      </c>
      <c r="E2766" s="4" t="n">
        <v>9000</v>
      </c>
    </row>
    <row r="2767">
      <c r="A2767" s="3" t="n">
        <v/>
      </c>
      <c r="B2767" s="3" t="n">
        <v/>
      </c>
      <c r="C2767" s="3" t="inlineStr">
        <is>
          <t>Semak Keladi Sente di Polybag 20 Liter</t>
        </is>
      </c>
      <c r="D2767" s="3" t="inlineStr">
        <is>
          <t xml:space="preserve">Buah </t>
        </is>
      </c>
      <c r="E2767" s="4" t="n">
        <v>12000</v>
      </c>
    </row>
    <row r="2768">
      <c r="A2768" s="3" t="n">
        <v/>
      </c>
      <c r="B2768" s="3" t="n">
        <v/>
      </c>
      <c r="C2768" s="3" t="inlineStr">
        <is>
          <t>Semak Kembang sepatu di
Polybag 20 Liter</t>
        </is>
      </c>
      <c r="D2768" s="3" t="inlineStr">
        <is>
          <t xml:space="preserve">Buah </t>
        </is>
      </c>
      <c r="E2768" s="4" t="n">
        <v>9000</v>
      </c>
    </row>
    <row r="2769">
      <c r="A2769" s="3" t="n">
        <v/>
      </c>
      <c r="B2769" s="3" t="n">
        <v/>
      </c>
      <c r="C2769" s="3" t="inlineStr">
        <is>
          <t>Semak Kemuning di Polybag 5
Liter</t>
        </is>
      </c>
      <c r="D2769" s="3" t="inlineStr">
        <is>
          <t>Buah</t>
        </is>
      </c>
      <c r="E2769" s="4" t="n">
        <v>3000</v>
      </c>
    </row>
    <row r="2770">
      <c r="A2770" s="3" t="n">
        <v/>
      </c>
      <c r="B2770" s="3" t="n">
        <v/>
      </c>
      <c r="C2770" s="3" t="inlineStr">
        <is>
          <t>Semak Kana di Polybag 11
Liter</t>
        </is>
      </c>
      <c r="D2770" s="3" t="inlineStr">
        <is>
          <t xml:space="preserve">Buah </t>
        </is>
      </c>
      <c r="E2770" s="4" t="n">
        <v>5000</v>
      </c>
    </row>
    <row r="2771">
      <c r="A2771" s="3" t="n">
        <v/>
      </c>
      <c r="B2771" s="3" t="n">
        <v/>
      </c>
      <c r="C2771" s="3" t="inlineStr">
        <is>
          <t>Semak Lili Brazil di Polybag
11 Liter</t>
        </is>
      </c>
      <c r="D2771" s="3" t="inlineStr">
        <is>
          <t xml:space="preserve">Buah </t>
        </is>
      </c>
      <c r="E2771" s="4" t="n">
        <v>5000</v>
      </c>
    </row>
    <row r="2772">
      <c r="A2772" s="3" t="n">
        <v/>
      </c>
      <c r="B2772" s="3" t="n">
        <v/>
      </c>
      <c r="C2772" s="3" t="inlineStr">
        <is>
          <t>Semak Melati Putih di Polybag
5 Liter</t>
        </is>
      </c>
      <c r="D2772" s="3" t="inlineStr">
        <is>
          <t>Buah</t>
        </is>
      </c>
      <c r="E2772" s="4" t="n">
        <v>3000</v>
      </c>
    </row>
    <row r="2773">
      <c r="A2773" s="3" t="n">
        <v/>
      </c>
      <c r="B2773" s="3" t="n">
        <v/>
      </c>
      <c r="C2773" s="3" t="inlineStr">
        <is>
          <t>Semak Melati Putih di
Polybag 11 Liter</t>
        </is>
      </c>
      <c r="D2773" s="3" t="inlineStr">
        <is>
          <t xml:space="preserve">Buah </t>
        </is>
      </c>
      <c r="E2773" s="4" t="n">
        <v>5000</v>
      </c>
    </row>
    <row r="2774">
      <c r="A2774" s="3" t="n">
        <v/>
      </c>
      <c r="B2774" s="3" t="n">
        <v/>
      </c>
      <c r="C2774" s="3" t="inlineStr">
        <is>
          <t>Semak Nusa Indah di
Polybag 11 Liter</t>
        </is>
      </c>
      <c r="D2774" s="3" t="inlineStr">
        <is>
          <t>Buah</t>
        </is>
      </c>
      <c r="E2774" s="4" t="n">
        <v>5000</v>
      </c>
    </row>
    <row r="2775">
      <c r="A2775" s="3" t="n">
        <v/>
      </c>
      <c r="B2775" s="3" t="n">
        <v/>
      </c>
      <c r="C2775" s="3" t="inlineStr">
        <is>
          <t>Semak Oleander/Bunga
Mentega di Polybag 11 Liter</t>
        </is>
      </c>
      <c r="D2775" s="3" t="inlineStr">
        <is>
          <t xml:space="preserve">Buah </t>
        </is>
      </c>
      <c r="E2775" s="4" t="n">
        <v>5000</v>
      </c>
    </row>
    <row r="2776">
      <c r="A2776" s="3" t="n">
        <v/>
      </c>
      <c r="B2776" s="3" t="n">
        <v/>
      </c>
      <c r="C2776" s="3" t="inlineStr">
        <is>
          <t>Semak Oleander/Bunga Mentega
di Polybag 20 Liter</t>
        </is>
      </c>
      <c r="D2776" s="3" t="inlineStr">
        <is>
          <t xml:space="preserve">Buah </t>
        </is>
      </c>
      <c r="E2776" s="4" t="n">
        <v>9000</v>
      </c>
    </row>
    <row r="2777">
      <c r="A2777" s="3" t="n">
        <v/>
      </c>
      <c r="B2777" s="3" t="n">
        <v/>
      </c>
      <c r="C2777" s="3" t="inlineStr">
        <is>
          <t>Semak Paku Pedang di Polybag 5 Liter</t>
        </is>
      </c>
      <c r="D2777" s="3" t="inlineStr">
        <is>
          <t>Buah</t>
        </is>
      </c>
      <c r="E2777" s="4" t="n">
        <v>3000</v>
      </c>
    </row>
    <row r="2778">
      <c r="A2778" s="3" t="n">
        <v/>
      </c>
      <c r="B2778" s="3" t="n">
        <v/>
      </c>
      <c r="C2778" s="3" t="inlineStr">
        <is>
          <t>Semak Pandan Kuning di
Polybag 5 Liter</t>
        </is>
      </c>
      <c r="D2778" s="3" t="inlineStr">
        <is>
          <t>Buah</t>
        </is>
      </c>
      <c r="E2778" s="4" t="n">
        <v>3000</v>
      </c>
    </row>
    <row r="2779">
      <c r="A2779" s="3" t="n">
        <v/>
      </c>
      <c r="B2779" s="3" t="n">
        <v/>
      </c>
      <c r="C2779" s="3" t="inlineStr">
        <is>
          <t>Semak Peace Lily di Polybag 11 Liter</t>
        </is>
      </c>
      <c r="D2779" s="3" t="inlineStr">
        <is>
          <t xml:space="preserve">Buah </t>
        </is>
      </c>
      <c r="E2779" s="4" t="n">
        <v>6500</v>
      </c>
    </row>
    <row r="2780">
      <c r="A2780" s="3" t="n">
        <v/>
      </c>
      <c r="B2780" s="3" t="n">
        <v/>
      </c>
      <c r="C2780" s="3" t="inlineStr">
        <is>
          <t>Semak Penda Emas di Polybag 20
Liter</t>
        </is>
      </c>
      <c r="D2780" s="3" t="inlineStr">
        <is>
          <t xml:space="preserve">Buah </t>
        </is>
      </c>
      <c r="E2780" s="4" t="n">
        <v>9000</v>
      </c>
    </row>
    <row r="2781">
      <c r="A2781" s="3" t="n">
        <v/>
      </c>
      <c r="B2781" s="3" t="n">
        <v/>
      </c>
      <c r="C2781" s="3" t="inlineStr">
        <is>
          <t>Semak Philo Jari di Polybag 11 Liter</t>
        </is>
      </c>
      <c r="D2781" s="3" t="inlineStr">
        <is>
          <t xml:space="preserve">Buah </t>
        </is>
      </c>
      <c r="E2781" s="4" t="n">
        <v>6500</v>
      </c>
    </row>
    <row r="2782">
      <c r="A2782" s="3" t="n">
        <v/>
      </c>
      <c r="B2782" s="3" t="n">
        <v/>
      </c>
      <c r="C2782" s="3" t="inlineStr">
        <is>
          <t>Semak Pretty Pink di Polybag 5
Liter</t>
        </is>
      </c>
      <c r="D2782" s="3" t="inlineStr">
        <is>
          <t>Buah</t>
        </is>
      </c>
      <c r="E2782" s="4" t="n">
        <v>3000</v>
      </c>
    </row>
    <row r="2783">
      <c r="A2783" s="3" t="n">
        <v/>
      </c>
      <c r="B2783" s="3" t="n">
        <v/>
      </c>
      <c r="C2783" s="3" t="inlineStr">
        <is>
          <t>Semak Pretty Pink di Polybag
11 Liter</t>
        </is>
      </c>
      <c r="D2783" s="3" t="inlineStr">
        <is>
          <t xml:space="preserve">Buah </t>
        </is>
      </c>
      <c r="E2783" s="4" t="n">
        <v>5000</v>
      </c>
    </row>
    <row r="2784">
      <c r="A2784" s="3" t="n">
        <v/>
      </c>
      <c r="B2784" s="3" t="n">
        <v/>
      </c>
      <c r="C2784" s="3" t="inlineStr">
        <is>
          <t>Semak Puring di Polybag 11
Liter</t>
        </is>
      </c>
      <c r="D2784" s="3" t="inlineStr">
        <is>
          <t xml:space="preserve">Buah </t>
        </is>
      </c>
      <c r="E2784" s="4" t="n">
        <v>5000</v>
      </c>
    </row>
    <row r="2785">
      <c r="A2785" s="3" t="n">
        <v/>
      </c>
      <c r="B2785" s="3" t="n">
        <v/>
      </c>
      <c r="C2785" s="3" t="inlineStr">
        <is>
          <t>Semak Puring di Polybag 20 Liter</t>
        </is>
      </c>
      <c r="D2785" s="3" t="inlineStr">
        <is>
          <t xml:space="preserve">Buah </t>
        </is>
      </c>
      <c r="E2785" s="4" t="n">
        <v>9000</v>
      </c>
    </row>
    <row r="2786">
      <c r="A2786" s="3" t="n">
        <v/>
      </c>
      <c r="B2786" s="3" t="n">
        <v/>
      </c>
      <c r="C2786" s="3" t="inlineStr">
        <is>
          <t>Semak Rombusa di Polybag 11 Liter</t>
        </is>
      </c>
      <c r="D2786" s="3" t="inlineStr">
        <is>
          <t xml:space="preserve">Buah </t>
        </is>
      </c>
      <c r="E2786" s="4" t="n">
        <v>5000</v>
      </c>
    </row>
    <row r="2787">
      <c r="A2787" s="3" t="n">
        <v/>
      </c>
      <c r="B2787" s="3" t="n">
        <v/>
      </c>
      <c r="C2787" s="3" t="inlineStr">
        <is>
          <t>Semak Ruelia / Kencana Ungu di Polybag 5 Liter</t>
        </is>
      </c>
      <c r="D2787" s="3" t="inlineStr">
        <is>
          <t xml:space="preserve">Buah </t>
        </is>
      </c>
      <c r="E2787" s="4" t="n">
        <v>2000</v>
      </c>
    </row>
    <row r="2788">
      <c r="A2788" s="3" t="n">
        <v/>
      </c>
      <c r="B2788" s="3" t="n">
        <v/>
      </c>
      <c r="C2788" s="3" t="inlineStr">
        <is>
          <t>Semak Ruelia / Kencana
Ungu di Polybag 11 Liter</t>
        </is>
      </c>
      <c r="D2788" s="3" t="inlineStr">
        <is>
          <t xml:space="preserve">Buah </t>
        </is>
      </c>
      <c r="E2788" s="4" t="n">
        <v>5000</v>
      </c>
    </row>
    <row r="2789">
      <c r="A2789" s="3" t="n">
        <v/>
      </c>
      <c r="B2789" s="3" t="n">
        <v/>
      </c>
      <c r="C2789" s="3" t="inlineStr">
        <is>
          <t>Semak Rumput Ekor Kuda di Polybag 5 Liter</t>
        </is>
      </c>
      <c r="D2789" s="3" t="inlineStr">
        <is>
          <t xml:space="preserve">Buah </t>
        </is>
      </c>
      <c r="E2789" s="4" t="n">
        <v>2000</v>
      </c>
    </row>
    <row r="2790">
      <c r="A2790" s="3" t="n">
        <v/>
      </c>
      <c r="B2790" s="3" t="n">
        <v/>
      </c>
      <c r="C2790" s="3" t="inlineStr">
        <is>
          <t>Semak Sansevieria/Lidah
Mertua di Polybag 5 Liter</t>
        </is>
      </c>
      <c r="D2790" s="3" t="inlineStr">
        <is>
          <t xml:space="preserve">Buah </t>
        </is>
      </c>
      <c r="E2790" s="4" t="n">
        <v>3000</v>
      </c>
    </row>
    <row r="2791">
      <c r="A2791" s="3" t="n">
        <v/>
      </c>
      <c r="B2791" s="3" t="n">
        <v/>
      </c>
      <c r="C2791" s="3" t="inlineStr">
        <is>
          <t>Semak Sansevieria/Lidah
Mertua di Polybag 11 Liter</t>
        </is>
      </c>
      <c r="D2791" s="3" t="inlineStr">
        <is>
          <t xml:space="preserve">Buah </t>
        </is>
      </c>
      <c r="E2791" s="4" t="n">
        <v>5000</v>
      </c>
    </row>
    <row r="2792">
      <c r="A2792" s="3" t="n">
        <v/>
      </c>
      <c r="B2792" s="3" t="n">
        <v/>
      </c>
      <c r="C2792" s="3" t="inlineStr">
        <is>
          <t>Semak Soka di Polybag 11
Liter</t>
        </is>
      </c>
      <c r="D2792" s="3" t="inlineStr">
        <is>
          <t xml:space="preserve">Buah </t>
        </is>
      </c>
      <c r="E2792" s="4" t="n">
        <v>5000</v>
      </c>
    </row>
    <row r="2793">
      <c r="A2793" s="3" t="n">
        <v/>
      </c>
      <c r="B2793" s="3" t="n">
        <v/>
      </c>
      <c r="C2793" s="3" t="inlineStr">
        <is>
          <t>Semak Taiwan Beauty di Polybag 11 Liter</t>
        </is>
      </c>
      <c r="D2793" s="3" t="inlineStr">
        <is>
          <t xml:space="preserve">Buah </t>
        </is>
      </c>
      <c r="E2793" s="4" t="n">
        <v>6500</v>
      </c>
    </row>
    <row r="2794">
      <c r="A2794" s="3" t="n">
        <v/>
      </c>
      <c r="B2794" s="3" t="n">
        <v/>
      </c>
      <c r="C2794" s="3" t="inlineStr">
        <is>
          <t>Semak Tabernae di Polybag
11 Liter</t>
        </is>
      </c>
      <c r="D2794" s="3" t="inlineStr">
        <is>
          <t xml:space="preserve">Buah </t>
        </is>
      </c>
      <c r="E2794" s="4" t="n">
        <v>5000</v>
      </c>
    </row>
    <row r="2795">
      <c r="A2795" s="3" t="n">
        <v/>
      </c>
      <c r="B2795" s="3" t="n">
        <v/>
      </c>
      <c r="C2795" s="3" t="inlineStr">
        <is>
          <t>Semak Tabernac di Polybag 20
Liter</t>
        </is>
      </c>
      <c r="D2795" s="3" t="inlineStr">
        <is>
          <t xml:space="preserve">Buah </t>
        </is>
      </c>
      <c r="E2795" s="4" t="n">
        <v>9000</v>
      </c>
    </row>
    <row r="2796">
      <c r="A2796" s="3" t="n">
        <v/>
      </c>
      <c r="B2796" s="3" t="n">
        <v/>
      </c>
      <c r="C2796" s="3" t="inlineStr">
        <is>
          <t>Semak Tabernae/Mondokaki di
Polybag 5 Liter</t>
        </is>
      </c>
      <c r="D2796" s="3" t="inlineStr">
        <is>
          <t xml:space="preserve">Buah </t>
        </is>
      </c>
      <c r="E2796" s="4" t="n">
        <v>3000</v>
      </c>
    </row>
    <row r="2797">
      <c r="A2797" s="3" t="n">
        <v/>
      </c>
      <c r="B2797" s="3" t="n">
        <v/>
      </c>
      <c r="C2797" s="3" t="inlineStr">
        <is>
          <t>Semak Walisongo/Umbrella
tree di Polybag 5 Liter</t>
        </is>
      </c>
      <c r="D2797" s="3" t="inlineStr">
        <is>
          <t xml:space="preserve">Buah </t>
        </is>
      </c>
      <c r="E2797" s="4" t="n">
        <v>3000</v>
      </c>
    </row>
    <row r="2798">
      <c r="A2798" s="3" t="n">
        <v/>
      </c>
      <c r="B2798" s="3" t="n">
        <v/>
      </c>
      <c r="C2798" s="3" t="inlineStr">
        <is>
          <t>Semak Walisongo/Umbrella
Tree di Polybag 11 Liter</t>
        </is>
      </c>
      <c r="D2798" s="3" t="inlineStr">
        <is>
          <t xml:space="preserve">Buah </t>
        </is>
      </c>
      <c r="E2798" s="4" t="n">
        <v>5000</v>
      </c>
    </row>
    <row r="2799">
      <c r="A2799" s="3" t="n">
        <v/>
      </c>
      <c r="B2799" s="3" t="n">
        <v/>
      </c>
      <c r="C2799" s="3" t="inlineStr">
        <is>
          <t>Semak Walisongo/Umbrella Tree
di Polybag 20 Liter</t>
        </is>
      </c>
      <c r="D2799" s="3" t="inlineStr">
        <is>
          <t xml:space="preserve">Buah </t>
        </is>
      </c>
      <c r="E2799" s="4" t="n">
        <v>9000</v>
      </c>
    </row>
    <row r="2800">
      <c r="A2800" s="3" t="n">
        <v/>
      </c>
      <c r="B2800" s="3" t="n">
        <v/>
      </c>
      <c r="C2800" s="3" t="inlineStr">
        <is>
          <t xml:space="preserve">Penutup Tanah Kacang Hias </t>
        </is>
      </c>
      <c r="D2800" s="3" t="n">
        <v/>
      </c>
      <c r="E2800" s="4" t="n">
        <v>2500</v>
      </c>
    </row>
    <row r="2801">
      <c r="A2801" s="3" t="n">
        <v/>
      </c>
      <c r="B2801" s="3" t="n">
        <v/>
      </c>
      <c r="C2801" s="3" t="inlineStr">
        <is>
          <t>Penutup Tanah Kacang hias di
Polybag 0.5 Liter</t>
        </is>
      </c>
      <c r="D2801" s="3" t="inlineStr">
        <is>
          <t>m2</t>
        </is>
      </c>
      <c r="E2801" s="4" t="n">
        <v>15000</v>
      </c>
    </row>
    <row r="2802">
      <c r="A2802" s="3" t="n">
        <v/>
      </c>
      <c r="B2802" s="3" t="n">
        <v/>
      </c>
      <c r="C2802" s="3" t="inlineStr">
        <is>
          <t>Penutup Tanah Kucai Mini di
Polybag 0.5 Liter</t>
        </is>
      </c>
      <c r="D2802" s="3" t="inlineStr">
        <is>
          <t>m2</t>
        </is>
      </c>
      <c r="E2802" s="4" t="n">
        <v>15000</v>
      </c>
    </row>
    <row r="2803">
      <c r="A2803" s="3" t="n">
        <v/>
      </c>
      <c r="B2803" s="3" t="n">
        <v/>
      </c>
      <c r="C2803" s="3" t="inlineStr">
        <is>
          <t>Penutup Tanah Lantana di
Polybag 0.5 Liter</t>
        </is>
      </c>
      <c r="D2803" s="3" t="inlineStr">
        <is>
          <t>m2</t>
        </is>
      </c>
      <c r="E2803" s="4" t="n">
        <v>15000</v>
      </c>
    </row>
    <row r="2804">
      <c r="A2804" s="3" t="n">
        <v/>
      </c>
      <c r="B2804" s="3" t="n">
        <v/>
      </c>
      <c r="C2804" s="3" t="inlineStr">
        <is>
          <t>Penutup Tanah Sutra bombay
di Polybag 0.5 Liter</t>
        </is>
      </c>
      <c r="D2804" s="3" t="inlineStr">
        <is>
          <t>m2</t>
        </is>
      </c>
      <c r="E2804" s="4" t="n">
        <v>15000</v>
      </c>
    </row>
    <row r="2805">
      <c r="A2805" s="3" t="n">
        <v/>
      </c>
      <c r="B2805" s="3" t="n">
        <v/>
      </c>
      <c r="C2805" s="3" t="inlineStr">
        <is>
          <t>Penutup Tanah Widelia di
Polybag 0.5 Liter</t>
        </is>
      </c>
      <c r="D2805" s="3" t="inlineStr">
        <is>
          <t>m2</t>
        </is>
      </c>
      <c r="E2805" s="4" t="n">
        <v>15000</v>
      </c>
    </row>
    <row r="2806">
      <c r="A2806" s="3" t="n">
        <v/>
      </c>
      <c r="B2806" s="3" t="n">
        <v/>
      </c>
      <c r="C2806" s="3" t="inlineStr">
        <is>
          <t>Rumput embun</t>
        </is>
      </c>
      <c r="D2806" s="3" t="inlineStr">
        <is>
          <t>m2</t>
        </is>
      </c>
      <c r="E2806" s="4" t="n">
        <v>17000</v>
      </c>
    </row>
    <row r="2807">
      <c r="A2807" s="3" t="n">
        <v/>
      </c>
      <c r="B2807" s="3" t="n">
        <v/>
      </c>
      <c r="C2807" s="3" t="inlineStr">
        <is>
          <t>Rumput gajah</t>
        </is>
      </c>
      <c r="D2807" s="3" t="inlineStr">
        <is>
          <t>m2</t>
        </is>
      </c>
      <c r="E2807" s="4" t="n">
        <v>10000</v>
      </c>
    </row>
    <row r="2808">
      <c r="A2808" s="3" t="n">
        <v/>
      </c>
      <c r="B2808" s="3" t="n">
        <v/>
      </c>
      <c r="C2808" s="3" t="inlineStr">
        <is>
          <t>Rumput Gajah Mini</t>
        </is>
      </c>
      <c r="D2808" s="3" t="inlineStr">
        <is>
          <t>m2</t>
        </is>
      </c>
      <c r="E2808" s="4" t="n">
        <v>15000</v>
      </c>
    </row>
    <row r="2809">
      <c r="A2809" s="3" t="n">
        <v/>
      </c>
      <c r="B2809" s="3" t="n">
        <v/>
      </c>
      <c r="C2809" s="3" t="inlineStr">
        <is>
          <t>Rumput peking</t>
        </is>
      </c>
      <c r="D2809" s="3" t="inlineStr">
        <is>
          <t>m2</t>
        </is>
      </c>
      <c r="E2809" s="4" t="n">
        <v>19000</v>
      </c>
    </row>
    <row r="2810">
      <c r="A2810" s="3" t="n">
        <v/>
      </c>
      <c r="B2810" s="3" t="n">
        <v/>
      </c>
      <c r="C2810" s="3" t="inlineStr">
        <is>
          <t xml:space="preserve">Matras Tipe I, Termasuk angkur / penguat matras </t>
        </is>
      </c>
      <c r="D2810" s="3" t="inlineStr">
        <is>
          <t>m2</t>
        </is>
      </c>
      <c r="E2810" s="4" t="n">
        <v>5600</v>
      </c>
    </row>
    <row r="2811">
      <c r="A2811" s="3" t="n">
        <v/>
      </c>
      <c r="B2811" s="3" t="n">
        <v/>
      </c>
      <c r="C2811" s="3" t="inlineStr">
        <is>
          <t xml:space="preserve">Perekat Campuran Hydroseeding </t>
        </is>
      </c>
      <c r="D2811" s="3" t="inlineStr">
        <is>
          <t>kg</t>
        </is>
      </c>
      <c r="E2811" s="4" t="n">
        <v>16000</v>
      </c>
    </row>
    <row r="2812">
      <c r="A2812" s="3" t="n">
        <v/>
      </c>
      <c r="B2812" s="3" t="n">
        <v/>
      </c>
      <c r="C2812" s="3" t="inlineStr">
        <is>
          <t>Bibit Vegetasi (Biji Rumput)</t>
        </is>
      </c>
      <c r="D2812" s="3" t="inlineStr">
        <is>
          <t>kg</t>
        </is>
      </c>
      <c r="E2812" s="4" t="n">
        <v>80000</v>
      </c>
    </row>
    <row r="2813">
      <c r="A2813" s="3" t="n">
        <v/>
      </c>
      <c r="B2813" s="3" t="n">
        <v/>
      </c>
      <c r="C2813" s="3" t="inlineStr">
        <is>
          <t xml:space="preserve">Mulsa </t>
        </is>
      </c>
      <c r="D2813" s="3" t="inlineStr">
        <is>
          <t>kg</t>
        </is>
      </c>
      <c r="E2813" s="4" t="n">
        <v>35000</v>
      </c>
    </row>
    <row r="2814">
      <c r="A2814" s="3" t="n">
        <v/>
      </c>
      <c r="B2814" s="3" t="n">
        <v/>
      </c>
      <c r="C2814" s="3" t="inlineStr">
        <is>
          <t>Pupuk anorganik *)</t>
        </is>
      </c>
      <c r="D2814" s="3" t="inlineStr">
        <is>
          <t>kg</t>
        </is>
      </c>
      <c r="E2814" s="4" t="n">
        <v>18000</v>
      </c>
    </row>
    <row r="2815">
      <c r="A2815" s="3" t="n">
        <v/>
      </c>
      <c r="B2815" s="3" t="n">
        <v/>
      </c>
      <c r="C2815" s="3" t="inlineStr">
        <is>
          <t>Pupuk anorganik (ex: NPK)</t>
        </is>
      </c>
      <c r="D2815" s="3" t="inlineStr">
        <is>
          <t>m3</t>
        </is>
      </c>
      <c r="E2815" s="4" t="n">
        <v>180000</v>
      </c>
    </row>
    <row r="2816">
      <c r="A2816" s="3" t="n">
        <v/>
      </c>
      <c r="B2816" s="3" t="n">
        <v/>
      </c>
      <c r="C2816" s="3" t="inlineStr">
        <is>
          <t>Pupuk anorganik cair (ex: NPK)</t>
        </is>
      </c>
      <c r="D2816" s="3" t="inlineStr">
        <is>
          <t>M3</t>
        </is>
      </c>
      <c r="E2816" s="4" t="n">
        <v>150000</v>
      </c>
    </row>
    <row r="2817">
      <c r="A2817" s="3" t="n">
        <v/>
      </c>
      <c r="B2817" s="3" t="n">
        <v/>
      </c>
      <c r="C2817" s="3" t="inlineStr">
        <is>
          <t xml:space="preserve">Pupuk anorganik padat </t>
        </is>
      </c>
      <c r="D2817" s="3" t="inlineStr">
        <is>
          <t>m3</t>
        </is>
      </c>
      <c r="E2817" s="4" t="n">
        <v>150000</v>
      </c>
    </row>
    <row r="2818">
      <c r="A2818" s="3" t="n">
        <v/>
      </c>
      <c r="B2818" s="3" t="n">
        <v/>
      </c>
      <c r="C2818" s="3" t="inlineStr">
        <is>
          <t>Perekat Matras
Perkuatan (Lem)</t>
        </is>
      </c>
      <c r="D2818" s="3" t="inlineStr">
        <is>
          <t>kg</t>
        </is>
      </c>
      <c r="E2818" s="4" t="n">
        <v>18000</v>
      </c>
    </row>
    <row r="2819">
      <c r="A2819" s="3" t="n">
        <v/>
      </c>
      <c r="B2819" s="3" t="n">
        <v/>
      </c>
      <c r="C2819" s="3" t="inlineStr">
        <is>
          <t xml:space="preserve">Matras Tipe II, Termasuk angkur / penguat matras </t>
        </is>
      </c>
      <c r="D2819" s="3" t="inlineStr">
        <is>
          <t>m2</t>
        </is>
      </c>
      <c r="E2819" s="4" t="n">
        <v>7500</v>
      </c>
    </row>
    <row r="2820">
      <c r="A2820" s="3" t="n">
        <v/>
      </c>
      <c r="B2820" s="3" t="n">
        <v/>
      </c>
      <c r="C2820" s="3" t="inlineStr">
        <is>
          <t xml:space="preserve">Matras Tipe III, Termasuk angkur / penguat matras </t>
        </is>
      </c>
      <c r="D2820" s="3" t="n">
        <v/>
      </c>
      <c r="E2820" s="4" t="n">
        <v>9500</v>
      </c>
    </row>
    <row r="2821">
      <c r="A2821" s="3" t="n">
        <v/>
      </c>
      <c r="B2821" s="3" t="n">
        <v/>
      </c>
      <c r="C2821" s="3" t="inlineStr">
        <is>
          <t>Bibit Vegetasi (Biji Legume Crop Cover/LCC)</t>
        </is>
      </c>
      <c r="D2821" s="3" t="inlineStr">
        <is>
          <t>kg</t>
        </is>
      </c>
      <c r="E2821" s="4" t="n">
        <v>166000</v>
      </c>
    </row>
    <row r="2822">
      <c r="A2822" s="3" t="n">
        <v/>
      </c>
      <c r="B2822" s="3" t="n">
        <v/>
      </c>
      <c r="C2822" s="3" t="inlineStr">
        <is>
          <t xml:space="preserve">Material Organik </t>
        </is>
      </c>
      <c r="D2822" s="3" t="inlineStr">
        <is>
          <t>m3</t>
        </is>
      </c>
      <c r="E2822" s="4" t="n">
        <v>10500</v>
      </c>
    </row>
    <row r="2823">
      <c r="A2823" s="3" t="n">
        <v/>
      </c>
      <c r="B2823" s="3" t="n">
        <v/>
      </c>
      <c r="C2823" s="3" t="inlineStr">
        <is>
          <t xml:space="preserve">Kapur </t>
        </is>
      </c>
      <c r="D2823" s="3" t="inlineStr">
        <is>
          <t xml:space="preserve">kg </t>
        </is>
      </c>
      <c r="E2823" s="4" t="n">
        <v>3100</v>
      </c>
    </row>
    <row r="2824">
      <c r="A2824" s="3" t="n">
        <v/>
      </c>
      <c r="B2824" s="3" t="n">
        <v/>
      </c>
      <c r="C2824" s="3" t="inlineStr">
        <is>
          <t xml:space="preserve">Pasir </t>
        </is>
      </c>
      <c r="D2824" s="3" t="inlineStr">
        <is>
          <t>m3</t>
        </is>
      </c>
      <c r="E2824" s="4" t="n">
        <v>250000</v>
      </c>
    </row>
    <row r="2825">
      <c r="A2825" s="3" t="n">
        <v/>
      </c>
      <c r="B2825" s="3" t="n">
        <v/>
      </c>
      <c r="C2825" s="3" t="inlineStr">
        <is>
          <t xml:space="preserve">sulfur </t>
        </is>
      </c>
      <c r="D2825" s="3" t="inlineStr">
        <is>
          <t>kg</t>
        </is>
      </c>
      <c r="E2825" s="4" t="n">
        <v>12000</v>
      </c>
    </row>
    <row r="2826">
      <c r="A2826" s="3" t="n">
        <v/>
      </c>
      <c r="B2826" s="3" t="n">
        <v/>
      </c>
      <c r="C2826" s="3" t="inlineStr">
        <is>
          <t>Air Bersih</t>
        </is>
      </c>
      <c r="D2826" s="3" t="inlineStr">
        <is>
          <t xml:space="preserve">liter </t>
        </is>
      </c>
      <c r="E2826" s="4" t="n">
        <v>550</v>
      </c>
    </row>
    <row r="2827">
      <c r="A2827" s="3" t="n">
        <v/>
      </c>
      <c r="B2827" s="3" t="n">
        <v/>
      </c>
      <c r="C2827" s="3" t="inlineStr">
        <is>
          <t>Fungisida/Insektisida</t>
        </is>
      </c>
      <c r="D2827" s="3" t="inlineStr">
        <is>
          <t xml:space="preserve">kg </t>
        </is>
      </c>
      <c r="E2827" s="4" t="n">
        <v>430000</v>
      </c>
    </row>
    <row r="2828">
      <c r="A2828" s="3" t="n">
        <v/>
      </c>
      <c r="B2828" s="3" t="n">
        <v/>
      </c>
      <c r="C2828" s="3" t="inlineStr">
        <is>
          <t>Cat Minyak</t>
        </is>
      </c>
      <c r="D2828" s="3" t="inlineStr">
        <is>
          <t xml:space="preserve">liter </t>
        </is>
      </c>
      <c r="E2828" s="4" t="n">
        <v>48500</v>
      </c>
    </row>
    <row r="2829">
      <c r="A2829" s="3" t="n">
        <v/>
      </c>
      <c r="B2829" s="3" t="n">
        <v/>
      </c>
      <c r="C2829" s="3" t="inlineStr">
        <is>
          <t>Tong Sampah 2 tabung</t>
        </is>
      </c>
      <c r="D2829" s="3" t="inlineStr">
        <is>
          <t>buah</t>
        </is>
      </c>
      <c r="E2829" s="4" t="n">
        <v>340000</v>
      </c>
    </row>
    <row r="2830">
      <c r="A2830" s="3" t="n">
        <v/>
      </c>
      <c r="B2830" s="3" t="n">
        <v/>
      </c>
      <c r="C2830" s="3" t="inlineStr">
        <is>
          <t>Besi Hollow 30x60</t>
        </is>
      </c>
      <c r="D2830" s="3" t="inlineStr">
        <is>
          <t>m3</t>
        </is>
      </c>
      <c r="E2830" s="4" t="n">
        <v>13700</v>
      </c>
    </row>
    <row r="2831">
      <c r="A2831" s="3" t="n">
        <v/>
      </c>
      <c r="B2831" s="3" t="n">
        <v/>
      </c>
      <c r="C2831" s="3" t="inlineStr">
        <is>
          <t xml:space="preserve">Bambu* dia. 3-5 cm </t>
        </is>
      </c>
      <c r="D2831" s="3" t="inlineStr">
        <is>
          <t>m'</t>
        </is>
      </c>
      <c r="E2831" s="4" t="n">
        <v>700</v>
      </c>
    </row>
    <row r="2832">
      <c r="A2832" s="3" t="n">
        <v/>
      </c>
      <c r="B2832" s="3" t="n">
        <v/>
      </c>
      <c r="C2832" s="3" t="inlineStr">
        <is>
          <t xml:space="preserve">Bambu* dia. 5-8 cm </t>
        </is>
      </c>
      <c r="D2832" s="3" t="inlineStr">
        <is>
          <t>m</t>
        </is>
      </c>
      <c r="E2832" s="4" t="n">
        <v>900</v>
      </c>
    </row>
    <row r="2833">
      <c r="A2833" s="3" t="n">
        <v/>
      </c>
      <c r="B2833" s="3" t="n">
        <v/>
      </c>
      <c r="C2833" s="3" t="inlineStr">
        <is>
          <t xml:space="preserve">bambu* dia. 8-10 cm </t>
        </is>
      </c>
      <c r="D2833" s="3" t="inlineStr">
        <is>
          <t>M</t>
        </is>
      </c>
      <c r="E2833" s="4" t="n">
        <v>12000</v>
      </c>
    </row>
    <row r="2834">
      <c r="A2834" s="3" t="n">
        <v/>
      </c>
      <c r="B2834" s="3" t="n">
        <v/>
      </c>
      <c r="C2834" s="3" t="inlineStr">
        <is>
          <t xml:space="preserve">bambu* dia. 10-12 cm </t>
        </is>
      </c>
      <c r="D2834" s="3" t="inlineStr">
        <is>
          <t>m</t>
        </is>
      </c>
      <c r="E2834" s="4" t="n">
        <v>15000</v>
      </c>
    </row>
    <row r="2835">
      <c r="A2835" s="3" t="n">
        <v/>
      </c>
      <c r="B2835" s="3" t="n">
        <v/>
      </c>
      <c r="C2835" s="3" t="inlineStr">
        <is>
          <t xml:space="preserve">Tali/pengikat sejenisnya </t>
        </is>
      </c>
      <c r="D2835" s="3" t="inlineStr">
        <is>
          <t>m</t>
        </is>
      </c>
      <c r="E2835" s="4" t="n">
        <v>500</v>
      </c>
    </row>
    <row r="2836">
      <c r="A2836" s="3" t="inlineStr">
        <is>
          <t>III</t>
        </is>
      </c>
      <c r="B2836" s="3" t="n">
        <v/>
      </c>
      <c r="C2836" s="3" t="inlineStr">
        <is>
          <t>SEWA PERALATAN</t>
        </is>
      </c>
      <c r="D2836" s="3" t="n">
        <v/>
      </c>
      <c r="E2836" s="4" t="n">
        <v/>
      </c>
    </row>
    <row r="2837">
      <c r="A2837" s="3" t="inlineStr">
        <is>
          <t>1</t>
        </is>
      </c>
      <c r="B2837" s="3" t="n">
        <v/>
      </c>
      <c r="C2837" s="3" t="inlineStr">
        <is>
          <t>Alat  bantu</t>
        </is>
      </c>
      <c r="D2837" s="3" t="inlineStr">
        <is>
          <t>set</t>
        </is>
      </c>
      <c r="E2837" s="4" t="n">
        <v>50000</v>
      </c>
    </row>
    <row r="2838">
      <c r="A2838" s="3" t="inlineStr">
        <is>
          <t>2</t>
        </is>
      </c>
      <c r="B2838" s="3" t="n">
        <v/>
      </c>
      <c r="C2838" s="3" t="inlineStr">
        <is>
          <t>Asphalt Distributor</t>
        </is>
      </c>
      <c r="D2838" s="3" t="inlineStr">
        <is>
          <t>jam</t>
        </is>
      </c>
      <c r="E2838" s="4" t="n">
        <v>307300</v>
      </c>
    </row>
    <row r="2839">
      <c r="A2839" s="3" t="inlineStr">
        <is>
          <t>3</t>
        </is>
      </c>
      <c r="B2839" s="3" t="n">
        <v/>
      </c>
      <c r="C2839" s="3" t="inlineStr">
        <is>
          <t>Asphalt  finisher</t>
        </is>
      </c>
      <c r="D2839" s="3" t="inlineStr">
        <is>
          <t>jam</t>
        </is>
      </c>
      <c r="E2839" s="4" t="n">
        <v>602500</v>
      </c>
    </row>
    <row r="2840">
      <c r="A2840" s="3" t="inlineStr">
        <is>
          <t>4</t>
        </is>
      </c>
      <c r="B2840" s="3" t="n">
        <v/>
      </c>
      <c r="C2840" s="3" t="inlineStr">
        <is>
          <t>Asphalt  liquid mixer 1000 ℓ</t>
        </is>
      </c>
      <c r="D2840" s="3" t="inlineStr">
        <is>
          <t>jam</t>
        </is>
      </c>
      <c r="E2840" s="4" t="n">
        <v>61100</v>
      </c>
    </row>
    <row r="2841">
      <c r="A2841" s="3" t="inlineStr">
        <is>
          <t>5</t>
        </is>
      </c>
      <c r="B2841" s="3" t="n">
        <v/>
      </c>
      <c r="C2841" s="3" t="inlineStr">
        <is>
          <t>Asphalt  mixing plant</t>
        </is>
      </c>
      <c r="D2841" s="3" t="inlineStr">
        <is>
          <t>jam</t>
        </is>
      </c>
      <c r="E2841" s="4" t="n">
        <v>6253800</v>
      </c>
    </row>
    <row r="2842">
      <c r="A2842" s="3" t="inlineStr">
        <is>
          <t>6</t>
        </is>
      </c>
      <c r="B2842" s="3" t="n">
        <v/>
      </c>
      <c r="C2842" s="3" t="inlineStr">
        <is>
          <t>Asphalt  sprayer 850 ℓ</t>
        </is>
      </c>
      <c r="D2842" s="3" t="inlineStr">
        <is>
          <t>jam</t>
        </is>
      </c>
      <c r="E2842" s="4" t="n">
        <v>74900</v>
      </c>
    </row>
    <row r="2843">
      <c r="A2843" s="3" t="inlineStr">
        <is>
          <t>8</t>
        </is>
      </c>
      <c r="B2843" s="3" t="n">
        <v/>
      </c>
      <c r="C2843" s="3" t="inlineStr">
        <is>
          <t>Blending equipment</t>
        </is>
      </c>
      <c r="D2843" s="3" t="inlineStr">
        <is>
          <t>jam</t>
        </is>
      </c>
      <c r="E2843" s="4" t="n">
        <v>235000</v>
      </c>
    </row>
    <row r="2844">
      <c r="A2844" s="3" t="inlineStr">
        <is>
          <t>9</t>
        </is>
      </c>
      <c r="B2844" s="3" t="n">
        <v/>
      </c>
      <c r="C2844" s="3" t="inlineStr">
        <is>
          <t>Bore pile machine</t>
        </is>
      </c>
      <c r="D2844" s="3" t="inlineStr">
        <is>
          <t>jam</t>
        </is>
      </c>
      <c r="E2844" s="4" t="n">
        <v>476900</v>
      </c>
    </row>
    <row r="2845">
      <c r="A2845" s="3" t="inlineStr">
        <is>
          <t>10</t>
        </is>
      </c>
      <c r="B2845" s="3" t="n">
        <v/>
      </c>
      <c r="C2845" s="3" t="inlineStr">
        <is>
          <t>Bulldozer 100-150 HP</t>
        </is>
      </c>
      <c r="D2845" s="3" t="inlineStr">
        <is>
          <t>jam</t>
        </is>
      </c>
      <c r="E2845" s="4" t="n">
        <v>912500</v>
      </c>
    </row>
    <row r="2846">
      <c r="A2846" s="3" t="inlineStr">
        <is>
          <t>11</t>
        </is>
      </c>
      <c r="B2846" s="3" t="n">
        <v/>
      </c>
      <c r="C2846" s="3" t="inlineStr">
        <is>
          <t>Chain saw</t>
        </is>
      </c>
      <c r="D2846" s="3" t="inlineStr">
        <is>
          <t>jam</t>
        </is>
      </c>
      <c r="E2846" s="4" t="n">
        <v>60200</v>
      </c>
    </row>
    <row r="2847">
      <c r="A2847" s="3" t="inlineStr">
        <is>
          <t>13</t>
        </is>
      </c>
      <c r="B2847" s="3" t="n">
        <v/>
      </c>
      <c r="C2847" s="3" t="inlineStr">
        <is>
          <t>Cold milling machine</t>
        </is>
      </c>
      <c r="D2847" s="3" t="inlineStr">
        <is>
          <t>jam</t>
        </is>
      </c>
      <c r="E2847" s="4" t="n">
        <v>648500</v>
      </c>
    </row>
    <row r="2848">
      <c r="A2848" s="3" t="n">
        <v/>
      </c>
      <c r="B2848" s="3" t="n">
        <v/>
      </c>
      <c r="C2848" s="3" t="inlineStr">
        <is>
          <t>Colt T-120 (D); R-Blk. 4; 12 m3</t>
        </is>
      </c>
      <c r="D2848" s="3" t="inlineStr">
        <is>
          <t>jam</t>
        </is>
      </c>
      <c r="E2848" s="4" t="n">
        <v>314110.76</v>
      </c>
    </row>
    <row r="2849">
      <c r="A2849" s="3" t="inlineStr">
        <is>
          <t>14</t>
        </is>
      </c>
      <c r="B2849" s="3" t="n">
        <v/>
      </c>
      <c r="C2849" s="3" t="inlineStr">
        <is>
          <t>Compressor 4000-6500 ℓ\m</t>
        </is>
      </c>
      <c r="D2849" s="3" t="inlineStr">
        <is>
          <t>jam</t>
        </is>
      </c>
      <c r="E2849" s="4" t="n">
        <v>185500</v>
      </c>
    </row>
    <row r="2850">
      <c r="A2850" s="3" t="inlineStr">
        <is>
          <t>15</t>
        </is>
      </c>
      <c r="B2850" s="3" t="n">
        <v/>
      </c>
      <c r="C2850" s="3" t="inlineStr">
        <is>
          <t>Compressor bor</t>
        </is>
      </c>
      <c r="D2850" s="3" t="inlineStr">
        <is>
          <t>unit</t>
        </is>
      </c>
      <c r="E2850" s="4" t="n">
        <v>700000</v>
      </c>
    </row>
    <row r="2851">
      <c r="A2851" s="3" t="inlineStr">
        <is>
          <t>16</t>
        </is>
      </c>
      <c r="B2851" s="3" t="n">
        <v/>
      </c>
      <c r="C2851" s="3" t="inlineStr">
        <is>
          <t>Concrete mixer 350 ℓ</t>
        </is>
      </c>
      <c r="D2851" s="3" t="inlineStr">
        <is>
          <t>jam</t>
        </is>
      </c>
      <c r="E2851" s="4" t="n">
        <v>94600</v>
      </c>
    </row>
    <row r="2852">
      <c r="A2852" s="3" t="inlineStr">
        <is>
          <t>17</t>
        </is>
      </c>
      <c r="B2852" s="3" t="n">
        <v/>
      </c>
      <c r="C2852" s="3" t="inlineStr">
        <is>
          <t>Concrete mixer 500 ℓ</t>
        </is>
      </c>
      <c r="D2852" s="3" t="inlineStr">
        <is>
          <t>jam</t>
        </is>
      </c>
      <c r="E2852" s="4" t="n">
        <v>103400</v>
      </c>
    </row>
    <row r="2853">
      <c r="A2853" s="3" t="inlineStr">
        <is>
          <t>18</t>
        </is>
      </c>
      <c r="B2853" s="3" t="n">
        <v/>
      </c>
      <c r="C2853" s="3" t="inlineStr">
        <is>
          <t>Concrete mixer truck 5 m³</t>
        </is>
      </c>
      <c r="D2853" s="3" t="inlineStr">
        <is>
          <t>jam</t>
        </is>
      </c>
      <c r="E2853" s="4" t="n">
        <v>576100</v>
      </c>
    </row>
    <row r="2854">
      <c r="A2854" s="3" t="inlineStr">
        <is>
          <t>19</t>
        </is>
      </c>
      <c r="B2854" s="3" t="n">
        <v/>
      </c>
      <c r="C2854" s="3" t="inlineStr">
        <is>
          <t>Concrete pan mixer</t>
        </is>
      </c>
      <c r="D2854" s="3" t="inlineStr">
        <is>
          <t>jam</t>
        </is>
      </c>
      <c r="E2854" s="4" t="n">
        <v>800700</v>
      </c>
    </row>
    <row r="2855">
      <c r="A2855" s="3" t="inlineStr">
        <is>
          <t>20</t>
        </is>
      </c>
      <c r="B2855" s="3" t="n">
        <v/>
      </c>
      <c r="C2855" s="3" t="inlineStr">
        <is>
          <t>Concrete pump</t>
        </is>
      </c>
      <c r="D2855" s="3" t="inlineStr">
        <is>
          <t>jam</t>
        </is>
      </c>
      <c r="E2855" s="4" t="n">
        <v>296800</v>
      </c>
    </row>
    <row r="2856">
      <c r="A2856" s="3" t="inlineStr">
        <is>
          <t>21</t>
        </is>
      </c>
      <c r="B2856" s="3" t="n">
        <v/>
      </c>
      <c r="C2856" s="3" t="inlineStr">
        <is>
          <t>Concrete slip form paver</t>
        </is>
      </c>
      <c r="D2856" s="3" t="inlineStr">
        <is>
          <t>jam</t>
        </is>
      </c>
      <c r="E2856" s="4" t="n">
        <v>582400</v>
      </c>
    </row>
    <row r="2857">
      <c r="A2857" s="3" t="inlineStr">
        <is>
          <t>23</t>
        </is>
      </c>
      <c r="B2857" s="3" t="n">
        <v/>
      </c>
      <c r="C2857" s="3" t="inlineStr">
        <is>
          <t>Crane on track 35 ton</t>
        </is>
      </c>
      <c r="D2857" s="3" t="inlineStr">
        <is>
          <t>jam</t>
        </is>
      </c>
      <c r="E2857" s="4" t="n">
        <v>440800</v>
      </c>
    </row>
    <row r="2858">
      <c r="A2858" s="3" t="n">
        <v/>
      </c>
      <c r="B2858" s="3" t="n">
        <v/>
      </c>
      <c r="C2858" s="3" t="inlineStr">
        <is>
          <t>Crane Truck 3 ton; Winch 5 Ton</t>
        </is>
      </c>
      <c r="D2858" s="3" t="inlineStr">
        <is>
          <t>jam</t>
        </is>
      </c>
      <c r="E2858" s="4" t="n">
        <v>430662.86</v>
      </c>
    </row>
    <row r="2859">
      <c r="A2859" s="3" t="inlineStr">
        <is>
          <t>24</t>
        </is>
      </c>
      <c r="B2859" s="3" t="n">
        <v/>
      </c>
      <c r="C2859" s="3" t="inlineStr">
        <is>
          <t>Crane on wheel 10-15 ton</t>
        </is>
      </c>
      <c r="D2859" s="3" t="inlineStr">
        <is>
          <t>jam</t>
        </is>
      </c>
      <c r="E2859" s="4" t="n">
        <v>359800</v>
      </c>
    </row>
    <row r="2860">
      <c r="A2860" s="3" t="inlineStr">
        <is>
          <t>26</t>
        </is>
      </c>
      <c r="B2860" s="3" t="n">
        <v/>
      </c>
      <c r="C2860" s="3" t="inlineStr">
        <is>
          <t>Cutting machine</t>
        </is>
      </c>
      <c r="D2860" s="3" t="inlineStr">
        <is>
          <t>jam</t>
        </is>
      </c>
      <c r="E2860" s="4" t="n">
        <v>55100</v>
      </c>
    </row>
    <row r="2861">
      <c r="A2861" s="3" t="inlineStr">
        <is>
          <t>30</t>
        </is>
      </c>
      <c r="B2861" s="3" t="n">
        <v/>
      </c>
      <c r="C2861" s="3" t="inlineStr">
        <is>
          <t>Dump truck 1</t>
        </is>
      </c>
      <c r="D2861" s="3" t="inlineStr">
        <is>
          <t>jam</t>
        </is>
      </c>
      <c r="E2861" s="4" t="n">
        <v>556100</v>
      </c>
    </row>
    <row r="2862">
      <c r="A2862" s="3" t="inlineStr">
        <is>
          <t>30</t>
        </is>
      </c>
      <c r="B2862" s="3" t="n">
        <v/>
      </c>
      <c r="C2862" s="3" t="inlineStr">
        <is>
          <t>Dump truck 2</t>
        </is>
      </c>
      <c r="D2862" s="3" t="inlineStr">
        <is>
          <t>jam</t>
        </is>
      </c>
      <c r="E2862" s="4" t="n">
        <v>556100</v>
      </c>
    </row>
    <row r="2863">
      <c r="A2863" s="3" t="inlineStr">
        <is>
          <t>30</t>
        </is>
      </c>
      <c r="B2863" s="3" t="n">
        <v/>
      </c>
      <c r="C2863" s="3" t="inlineStr">
        <is>
          <t>Dump truck 3</t>
        </is>
      </c>
      <c r="D2863" s="3" t="inlineStr">
        <is>
          <t>jam</t>
        </is>
      </c>
      <c r="E2863" s="4" t="n">
        <v>556100</v>
      </c>
    </row>
    <row r="2864">
      <c r="A2864" s="3" t="inlineStr">
        <is>
          <t>30</t>
        </is>
      </c>
      <c r="B2864" s="3" t="n">
        <v/>
      </c>
      <c r="C2864" s="3" t="inlineStr">
        <is>
          <t>Dump truck 20 ton</t>
        </is>
      </c>
      <c r="D2864" s="3" t="inlineStr">
        <is>
          <t>jam</t>
        </is>
      </c>
      <c r="E2864" s="4" t="n">
        <v>556100</v>
      </c>
    </row>
    <row r="2865">
      <c r="A2865" s="3" t="inlineStr">
        <is>
          <t>31</t>
        </is>
      </c>
      <c r="B2865" s="3" t="n">
        <v/>
      </c>
      <c r="C2865" s="3" t="inlineStr">
        <is>
          <t>Dump truck 3,5 ton</t>
        </is>
      </c>
      <c r="D2865" s="3" t="inlineStr">
        <is>
          <t>jam</t>
        </is>
      </c>
      <c r="E2865" s="4" t="n">
        <v>304800</v>
      </c>
    </row>
    <row r="2866">
      <c r="A2866" s="3" t="inlineStr">
        <is>
          <t>32</t>
        </is>
      </c>
      <c r="B2866" s="3" t="n">
        <v/>
      </c>
      <c r="C2866" s="3" t="inlineStr">
        <is>
          <t>Dump truck 40 ton</t>
        </is>
      </c>
      <c r="D2866" s="3" t="inlineStr">
        <is>
          <t>jam</t>
        </is>
      </c>
      <c r="E2866" s="4" t="n">
        <v>676500</v>
      </c>
    </row>
    <row r="2867">
      <c r="A2867" s="3" t="inlineStr">
        <is>
          <t>33</t>
        </is>
      </c>
      <c r="B2867" s="3" t="n">
        <v/>
      </c>
      <c r="C2867" s="3" t="inlineStr">
        <is>
          <t>Dump truck 7,5 ton</t>
        </is>
      </c>
      <c r="D2867" s="3" t="inlineStr">
        <is>
          <t>jam</t>
        </is>
      </c>
      <c r="E2867" s="4" t="n">
        <v>344400</v>
      </c>
    </row>
    <row r="2868">
      <c r="A2868" s="3" t="n">
        <v/>
      </c>
      <c r="B2868" s="3" t="n">
        <v/>
      </c>
      <c r="C2868" s="3" t="inlineStr">
        <is>
          <t>Pick up L300</t>
        </is>
      </c>
      <c r="D2868" s="3" t="inlineStr">
        <is>
          <t>jam</t>
        </is>
      </c>
      <c r="E2868" s="4" t="n">
        <v>268539.71</v>
      </c>
    </row>
    <row r="2869">
      <c r="A2869" s="3" t="n">
        <v/>
      </c>
      <c r="B2869" s="3" t="n">
        <v/>
      </c>
      <c r="C2869" s="3" t="inlineStr">
        <is>
          <t>Fuso (D); R-Blk. 8; 35 m3</t>
        </is>
      </c>
      <c r="D2869" s="3" t="inlineStr">
        <is>
          <t>jam</t>
        </is>
      </c>
      <c r="E2869" s="4" t="n">
        <v>418543.76</v>
      </c>
    </row>
    <row r="2870">
      <c r="A2870" s="3" t="inlineStr">
        <is>
          <t>34</t>
        </is>
      </c>
      <c r="B2870" s="3" t="n">
        <v/>
      </c>
      <c r="C2870" s="3" t="inlineStr">
        <is>
          <t>Excavator 95 HP</t>
        </is>
      </c>
      <c r="D2870" s="3" t="inlineStr">
        <is>
          <t>jam</t>
        </is>
      </c>
      <c r="E2870" s="4" t="n">
        <v>480000</v>
      </c>
    </row>
    <row r="2871">
      <c r="A2871" s="3" t="inlineStr">
        <is>
          <t>34</t>
        </is>
      </c>
      <c r="B2871" s="3" t="n">
        <v/>
      </c>
      <c r="C2871" s="3" t="inlineStr">
        <is>
          <t>Excavator 80-140 HP</t>
        </is>
      </c>
      <c r="D2871" s="3" t="inlineStr">
        <is>
          <t>jam</t>
        </is>
      </c>
      <c r="E2871" s="4" t="n">
        <v>668200</v>
      </c>
    </row>
    <row r="2872">
      <c r="A2872" s="3" t="inlineStr">
        <is>
          <t>35</t>
        </is>
      </c>
      <c r="B2872" s="3" t="n">
        <v/>
      </c>
      <c r="C2872" s="3" t="inlineStr">
        <is>
          <t>Flat  bed truck 3-4 m³</t>
        </is>
      </c>
      <c r="D2872" s="3" t="inlineStr">
        <is>
          <t>jam</t>
        </is>
      </c>
      <c r="E2872" s="4" t="n">
        <v>465100</v>
      </c>
    </row>
    <row r="2873">
      <c r="A2873" s="3" t="inlineStr">
        <is>
          <t>36</t>
        </is>
      </c>
      <c r="B2873" s="3" t="n">
        <v/>
      </c>
      <c r="C2873" s="3" t="inlineStr">
        <is>
          <t>Generator set  135 KVA</t>
        </is>
      </c>
      <c r="D2873" s="3" t="inlineStr">
        <is>
          <t>jam</t>
        </is>
      </c>
      <c r="E2873" s="4" t="n">
        <v>410200</v>
      </c>
    </row>
    <row r="2874">
      <c r="A2874" s="3" t="inlineStr">
        <is>
          <t>39</t>
        </is>
      </c>
      <c r="B2874" s="3" t="n">
        <v/>
      </c>
      <c r="C2874" s="3" t="inlineStr">
        <is>
          <t>Logging</t>
        </is>
      </c>
      <c r="D2874" s="3" t="inlineStr">
        <is>
          <t>unit</t>
        </is>
      </c>
      <c r="E2874" s="4" t="n">
        <v>280000</v>
      </c>
    </row>
    <row r="2875">
      <c r="A2875" s="3" t="inlineStr">
        <is>
          <t>44</t>
        </is>
      </c>
      <c r="B2875" s="3" t="n">
        <v/>
      </c>
      <c r="C2875" s="3" t="inlineStr">
        <is>
          <t>Mesin bor</t>
        </is>
      </c>
      <c r="D2875" s="3" t="inlineStr">
        <is>
          <t>unit</t>
        </is>
      </c>
      <c r="E2875" s="4" t="n">
        <v>450000</v>
      </c>
    </row>
    <row r="2876">
      <c r="A2876" s="3" t="inlineStr">
        <is>
          <t>45</t>
        </is>
      </c>
      <c r="B2876" s="3" t="n">
        <v/>
      </c>
      <c r="C2876" s="3" t="inlineStr">
        <is>
          <t>Mesin gilas  2 roda 6 - 10 ton</t>
        </is>
      </c>
      <c r="D2876" s="3" t="inlineStr">
        <is>
          <t>jam</t>
        </is>
      </c>
      <c r="E2876" s="4" t="n">
        <v>325000</v>
      </c>
    </row>
    <row r="2877">
      <c r="A2877" s="3" t="inlineStr">
        <is>
          <t>46</t>
        </is>
      </c>
      <c r="B2877" s="3" t="n">
        <v/>
      </c>
      <c r="C2877" s="3" t="inlineStr">
        <is>
          <t>Mesin gilas  3 roda 6 - 10 ton</t>
        </is>
      </c>
      <c r="D2877" s="3" t="inlineStr">
        <is>
          <t>jam</t>
        </is>
      </c>
      <c r="E2877" s="4" t="n">
        <v>350000</v>
      </c>
    </row>
    <row r="2878">
      <c r="A2878" s="3" t="inlineStr">
        <is>
          <t>47</t>
        </is>
      </c>
      <c r="B2878" s="3" t="n">
        <v/>
      </c>
      <c r="C2878" s="3" t="inlineStr">
        <is>
          <t>Mesin gilas  roda karet  8 - 10 ton</t>
        </is>
      </c>
      <c r="D2878" s="3" t="inlineStr">
        <is>
          <t>jam</t>
        </is>
      </c>
      <c r="E2878" s="4" t="n">
        <v>415000</v>
      </c>
    </row>
    <row r="2879">
      <c r="A2879" s="3" t="inlineStr">
        <is>
          <t>48</t>
        </is>
      </c>
      <c r="B2879" s="3" t="n">
        <v/>
      </c>
      <c r="C2879" s="3" t="inlineStr">
        <is>
          <t>Mesin kerek</t>
        </is>
      </c>
      <c r="D2879" s="3" t="inlineStr">
        <is>
          <t>unit</t>
        </is>
      </c>
      <c r="E2879" s="4" t="n">
        <v>50000</v>
      </c>
    </row>
    <row r="2880">
      <c r="A2880" s="3" t="inlineStr">
        <is>
          <t>50</t>
        </is>
      </c>
      <c r="B2880" s="3" t="n">
        <v/>
      </c>
      <c r="C2880" s="3" t="inlineStr">
        <is>
          <t>Mesin trowel</t>
        </is>
      </c>
      <c r="D2880" s="3" t="inlineStr">
        <is>
          <t>jam</t>
        </is>
      </c>
      <c r="E2880" s="4" t="n">
        <v>45000</v>
      </c>
    </row>
    <row r="2881">
      <c r="A2881" s="3" t="n">
        <v/>
      </c>
      <c r="B2881" s="3" t="n">
        <v/>
      </c>
      <c r="C2881" s="3" t="inlineStr">
        <is>
          <t>Mesin Gendong</t>
        </is>
      </c>
      <c r="D2881" s="3" t="inlineStr">
        <is>
          <t xml:space="preserve">Jam </t>
        </is>
      </c>
      <c r="E2881" s="4" t="n">
        <v>150000</v>
      </c>
    </row>
    <row r="2882">
      <c r="A2882" s="3" t="inlineStr">
        <is>
          <t>51</t>
        </is>
      </c>
      <c r="B2882" s="3" t="n">
        <v/>
      </c>
      <c r="C2882" s="3" t="inlineStr">
        <is>
          <t>Motor grader &gt;100 HP</t>
        </is>
      </c>
      <c r="D2882" s="3" t="inlineStr">
        <is>
          <t>jam</t>
        </is>
      </c>
      <c r="E2882" s="4" t="n">
        <v>548600</v>
      </c>
    </row>
    <row r="2883">
      <c r="A2883" s="3" t="inlineStr">
        <is>
          <t>52</t>
        </is>
      </c>
      <c r="B2883" s="3" t="n">
        <v/>
      </c>
      <c r="C2883" s="3" t="inlineStr">
        <is>
          <t>Pedestrian Roller</t>
        </is>
      </c>
      <c r="D2883" s="3" t="inlineStr">
        <is>
          <t>jam</t>
        </is>
      </c>
      <c r="E2883" s="4" t="n">
        <v>99800</v>
      </c>
    </row>
    <row r="2884">
      <c r="A2884" s="3" t="inlineStr">
        <is>
          <t>53</t>
        </is>
      </c>
      <c r="B2884" s="3" t="n">
        <v/>
      </c>
      <c r="C2884" s="3" t="inlineStr">
        <is>
          <t>Pile driver +  hammer 2,5 ton</t>
        </is>
      </c>
      <c r="D2884" s="3" t="inlineStr">
        <is>
          <t>jam</t>
        </is>
      </c>
      <c r="E2884" s="4" t="n">
        <v>153400</v>
      </c>
    </row>
    <row r="2885">
      <c r="A2885" s="3" t="inlineStr">
        <is>
          <t>54</t>
        </is>
      </c>
      <c r="B2885" s="3" t="n">
        <v/>
      </c>
      <c r="C2885" s="3" t="inlineStr">
        <is>
          <t>Pneumatic  tire roller 8-10 ton</t>
        </is>
      </c>
      <c r="D2885" s="3" t="inlineStr">
        <is>
          <t>jam</t>
        </is>
      </c>
      <c r="E2885" s="4" t="n">
        <v>491000</v>
      </c>
    </row>
    <row r="2886">
      <c r="A2886" s="3" t="inlineStr">
        <is>
          <t>59</t>
        </is>
      </c>
      <c r="B2886" s="3" t="n">
        <v/>
      </c>
      <c r="C2886" s="3" t="inlineStr">
        <is>
          <t>Pompa injeksi</t>
        </is>
      </c>
      <c r="D2886" s="3" t="inlineStr">
        <is>
          <t>unit</t>
        </is>
      </c>
      <c r="E2886" s="4" t="n">
        <v>300000</v>
      </c>
    </row>
    <row r="2887">
      <c r="A2887" s="3" t="inlineStr">
        <is>
          <t>60</t>
        </is>
      </c>
      <c r="B2887" s="3" t="n">
        <v/>
      </c>
      <c r="C2887" s="3" t="inlineStr">
        <is>
          <t>Pompa tangan</t>
        </is>
      </c>
      <c r="D2887" s="3" t="inlineStr">
        <is>
          <t>unit</t>
        </is>
      </c>
      <c r="E2887" s="4" t="n">
        <v>160000</v>
      </c>
    </row>
    <row r="2888">
      <c r="A2888" s="3" t="inlineStr">
        <is>
          <t>61</t>
        </is>
      </c>
      <c r="B2888" s="3" t="n">
        <v/>
      </c>
      <c r="C2888" s="3" t="inlineStr">
        <is>
          <t>Road Marking Machine</t>
        </is>
      </c>
      <c r="D2888" s="3" t="inlineStr">
        <is>
          <t>jam</t>
        </is>
      </c>
      <c r="E2888" s="4" t="n">
        <v>491000</v>
      </c>
    </row>
    <row r="2889">
      <c r="A2889" s="3" t="n">
        <v/>
      </c>
      <c r="B2889" s="3" t="n">
        <v/>
      </c>
      <c r="C2889" s="3" t="inlineStr">
        <is>
          <t xml:space="preserve">Alat las listrik </t>
        </is>
      </c>
      <c r="D2889" s="3" t="inlineStr">
        <is>
          <t xml:space="preserve">jam </t>
        </is>
      </c>
      <c r="E2889" s="4" t="n">
        <v>3125</v>
      </c>
    </row>
    <row r="2890">
      <c r="A2890" s="3" t="n">
        <v/>
      </c>
      <c r="B2890" s="3" t="n">
        <v/>
      </c>
      <c r="C2890" s="3" t="inlineStr">
        <is>
          <t>Alat las listrik 150 A</t>
        </is>
      </c>
      <c r="D2890" s="3" t="inlineStr">
        <is>
          <t xml:space="preserve">jam </t>
        </is>
      </c>
      <c r="E2890" s="4" t="n">
        <v>3125</v>
      </c>
    </row>
    <row r="2891">
      <c r="A2891" s="3" t="n">
        <v/>
      </c>
      <c r="B2891" s="3" t="n">
        <v/>
      </c>
      <c r="C2891" s="3" t="inlineStr">
        <is>
          <t>Alat las listrik 250 A</t>
        </is>
      </c>
      <c r="D2891" s="3" t="inlineStr">
        <is>
          <t xml:space="preserve">jam </t>
        </is>
      </c>
      <c r="E2891" s="4" t="n">
        <v>3125</v>
      </c>
    </row>
    <row r="2892">
      <c r="A2892" s="3" t="n">
        <v/>
      </c>
      <c r="B2892" s="3" t="n">
        <v/>
      </c>
      <c r="C2892" s="3" t="inlineStr">
        <is>
          <t>Alat las listrik 350 A</t>
        </is>
      </c>
      <c r="D2892" s="3" t="inlineStr">
        <is>
          <t xml:space="preserve">jam </t>
        </is>
      </c>
      <c r="E2892" s="4" t="n">
        <v>3125</v>
      </c>
    </row>
    <row r="2893">
      <c r="A2893" s="3" t="n">
        <v/>
      </c>
      <c r="B2893" s="3" t="n">
        <v/>
      </c>
      <c r="C2893" s="3" t="inlineStr">
        <is>
          <t>Alat las listrik 500 A</t>
        </is>
      </c>
      <c r="D2893" s="3" t="inlineStr">
        <is>
          <t xml:space="preserve">jam </t>
        </is>
      </c>
      <c r="E2893" s="4" t="n">
        <v>3125</v>
      </c>
    </row>
    <row r="2894">
      <c r="A2894" s="3" t="inlineStr">
        <is>
          <t>65</t>
        </is>
      </c>
      <c r="B2894" s="3" t="n">
        <v/>
      </c>
      <c r="C2894" s="3" t="inlineStr">
        <is>
          <t>Sewa Scaffolding :</t>
        </is>
      </c>
      <c r="D2894" s="3" t="n">
        <v/>
      </c>
      <c r="E2894" s="4" t="n">
        <v/>
      </c>
    </row>
    <row r="2895">
      <c r="A2895" s="3" t="n">
        <v/>
      </c>
      <c r="B2895" s="3" t="n">
        <v/>
      </c>
      <c r="C2895" s="3" t="inlineStr">
        <is>
          <t>- ScaffoldingPipe brancing 3 m</t>
        </is>
      </c>
      <c r="D2895" s="3" t="inlineStr">
        <is>
          <t>bulan</t>
        </is>
      </c>
      <c r="E2895" s="4" t="n">
        <v>8800</v>
      </c>
    </row>
    <row r="2896">
      <c r="A2896" s="3" t="n">
        <v/>
      </c>
      <c r="B2896" s="3" t="n">
        <v/>
      </c>
      <c r="C2896" s="3" t="inlineStr">
        <is>
          <t>- Scaffolding Pipe brancing 6 m</t>
        </is>
      </c>
      <c r="D2896" s="3" t="inlineStr">
        <is>
          <t>bulan</t>
        </is>
      </c>
      <c r="E2896" s="4" t="n">
        <v>17600</v>
      </c>
    </row>
    <row r="2897">
      <c r="A2897" s="3" t="inlineStr">
        <is>
          <t>66</t>
        </is>
      </c>
      <c r="B2897" s="3" t="n">
        <v/>
      </c>
      <c r="C2897" s="3" t="inlineStr">
        <is>
          <t>Stamper</t>
        </is>
      </c>
      <c r="D2897" s="3" t="inlineStr">
        <is>
          <t>jam</t>
        </is>
      </c>
      <c r="E2897" s="4" t="n">
        <v>35000</v>
      </c>
    </row>
    <row r="2898">
      <c r="A2898" s="3" t="inlineStr">
        <is>
          <t>68</t>
        </is>
      </c>
      <c r="B2898" s="3" t="n">
        <v/>
      </c>
      <c r="C2898" s="3" t="inlineStr">
        <is>
          <t>Stone crusher</t>
        </is>
      </c>
      <c r="D2898" s="3" t="inlineStr">
        <is>
          <t>jam</t>
        </is>
      </c>
      <c r="E2898" s="4" t="n">
        <v>799500</v>
      </c>
    </row>
    <row r="2899">
      <c r="A2899" s="3" t="inlineStr">
        <is>
          <t>69</t>
        </is>
      </c>
      <c r="B2899" s="3" t="n">
        <v/>
      </c>
      <c r="C2899" s="3" t="inlineStr">
        <is>
          <t>Tandem roller 6-8 ton</t>
        </is>
      </c>
      <c r="D2899" s="3" t="inlineStr">
        <is>
          <t>jam</t>
        </is>
      </c>
      <c r="E2899" s="4" t="n">
        <v>469500</v>
      </c>
    </row>
    <row r="2900">
      <c r="A2900" s="3" t="inlineStr">
        <is>
          <t>71</t>
        </is>
      </c>
      <c r="B2900" s="3" t="n">
        <v/>
      </c>
      <c r="C2900" s="3" t="inlineStr">
        <is>
          <t>Three wheel roller</t>
        </is>
      </c>
      <c r="D2900" s="3" t="inlineStr">
        <is>
          <t>jam</t>
        </is>
      </c>
      <c r="E2900" s="4" t="n">
        <v>262300</v>
      </c>
    </row>
    <row r="2901">
      <c r="A2901" s="3" t="n">
        <v/>
      </c>
      <c r="B2901" s="3" t="n">
        <v/>
      </c>
      <c r="C2901" s="3" t="inlineStr">
        <is>
          <t xml:space="preserve">P. Tyre Roller </t>
        </is>
      </c>
      <c r="D2901" s="3" t="inlineStr">
        <is>
          <t xml:space="preserve">jam </t>
        </is>
      </c>
      <c r="E2901" s="4" t="n">
        <v>275000</v>
      </c>
    </row>
    <row r="2902">
      <c r="A2902" s="3" t="n">
        <v/>
      </c>
      <c r="B2902" s="3" t="n">
        <v/>
      </c>
      <c r="C2902" s="3" t="inlineStr">
        <is>
          <t xml:space="preserve">Crane </t>
        </is>
      </c>
      <c r="D2902" s="3" t="inlineStr">
        <is>
          <t xml:space="preserve">jam </t>
        </is>
      </c>
      <c r="E2902" s="4" t="n">
        <v>430000</v>
      </c>
    </row>
    <row r="2903">
      <c r="A2903" s="3" t="n">
        <v/>
      </c>
      <c r="B2903" s="3" t="n">
        <v/>
      </c>
      <c r="C2903" s="3" t="inlineStr">
        <is>
          <t xml:space="preserve">Sewa Crane kapasitas 1 ton </t>
        </is>
      </c>
      <c r="D2903" s="3" t="inlineStr">
        <is>
          <t xml:space="preserve">jam </t>
        </is>
      </c>
      <c r="E2903" s="4" t="n">
        <v>430000</v>
      </c>
    </row>
    <row r="2904">
      <c r="A2904" s="3" t="inlineStr">
        <is>
          <t>73</t>
        </is>
      </c>
      <c r="B2904" s="3" t="n">
        <v/>
      </c>
      <c r="C2904" s="3" t="inlineStr">
        <is>
          <t>Transportasi peralatan drailler</t>
        </is>
      </c>
      <c r="D2904" s="3" t="inlineStr">
        <is>
          <t>unit</t>
        </is>
      </c>
      <c r="E2904" s="4" t="n">
        <v>500000</v>
      </c>
    </row>
    <row r="2905">
      <c r="A2905" s="3" t="inlineStr">
        <is>
          <t>74</t>
        </is>
      </c>
      <c r="B2905" s="3" t="n">
        <v/>
      </c>
      <c r="C2905" s="3" t="inlineStr">
        <is>
          <t>Vibratory plate tamper</t>
        </is>
      </c>
      <c r="D2905" s="3" t="inlineStr">
        <is>
          <t>jam</t>
        </is>
      </c>
      <c r="E2905" s="4" t="n">
        <v>58800</v>
      </c>
    </row>
    <row r="2906">
      <c r="A2906" s="3" t="inlineStr">
        <is>
          <t>75</t>
        </is>
      </c>
      <c r="B2906" s="3" t="n">
        <v/>
      </c>
      <c r="C2906" s="3" t="inlineStr">
        <is>
          <t>Vibratory roller 1 ton</t>
        </is>
      </c>
      <c r="D2906" s="3" t="inlineStr">
        <is>
          <t>jam</t>
        </is>
      </c>
      <c r="E2906" s="4" t="n">
        <v>95000</v>
      </c>
    </row>
    <row r="2907">
      <c r="A2907" s="3" t="inlineStr">
        <is>
          <t>76</t>
        </is>
      </c>
      <c r="B2907" s="3" t="n">
        <v/>
      </c>
      <c r="C2907" s="3" t="inlineStr">
        <is>
          <t>Vibratory roller 5-8 ton</t>
        </is>
      </c>
      <c r="D2907" s="3" t="inlineStr">
        <is>
          <t>jam</t>
        </is>
      </c>
      <c r="E2907" s="4" t="n">
        <v>392200</v>
      </c>
    </row>
    <row r="2908">
      <c r="A2908" s="3" t="inlineStr">
        <is>
          <t>77</t>
        </is>
      </c>
      <c r="B2908" s="3" t="n">
        <v/>
      </c>
      <c r="C2908" s="3" t="inlineStr">
        <is>
          <t>Water pump 70-100 mm</t>
        </is>
      </c>
      <c r="D2908" s="3" t="inlineStr">
        <is>
          <t>jam</t>
        </is>
      </c>
      <c r="E2908" s="4" t="n">
        <v>71700</v>
      </c>
    </row>
    <row r="2909">
      <c r="A2909" s="3" t="inlineStr">
        <is>
          <t>78</t>
        </is>
      </c>
      <c r="B2909" s="3" t="n">
        <v/>
      </c>
      <c r="C2909" s="3" t="inlineStr">
        <is>
          <t>Water tanker truck 3000-4000 ℓ</t>
        </is>
      </c>
      <c r="D2909" s="3" t="inlineStr">
        <is>
          <t>jam</t>
        </is>
      </c>
      <c r="E2909" s="4" t="n">
        <v>255200</v>
      </c>
    </row>
    <row r="2910">
      <c r="A2910" s="3" t="inlineStr">
        <is>
          <t>80</t>
        </is>
      </c>
      <c r="B2910" s="3" t="n">
        <v/>
      </c>
      <c r="C2910" s="3" t="inlineStr">
        <is>
          <t>Wheel loader</t>
        </is>
      </c>
      <c r="D2910" s="3" t="inlineStr">
        <is>
          <t>jam</t>
        </is>
      </c>
      <c r="E2910" s="4" t="n">
        <v>472400</v>
      </c>
    </row>
    <row r="2911">
      <c r="A2911" s="3" t="n">
        <v/>
      </c>
      <c r="B2911" s="3" t="n">
        <v/>
      </c>
      <c r="C2911" s="3" t="inlineStr">
        <is>
          <t xml:space="preserve">AMP </t>
        </is>
      </c>
      <c r="D2911" s="3" t="inlineStr">
        <is>
          <t xml:space="preserve">Jam </t>
        </is>
      </c>
      <c r="E2911" s="4" t="n">
        <v>3981125</v>
      </c>
    </row>
    <row r="2912">
      <c r="A2912" s="3" t="n">
        <v/>
      </c>
      <c r="B2912" s="3" t="n">
        <v/>
      </c>
      <c r="C2912" s="3" t="inlineStr">
        <is>
          <t xml:space="preserve">Asphalt Finisher </t>
        </is>
      </c>
      <c r="D2912" s="3" t="inlineStr">
        <is>
          <t xml:space="preserve">Jam </t>
        </is>
      </c>
      <c r="E2912" s="4" t="n">
        <v>450000</v>
      </c>
    </row>
    <row r="2913">
      <c r="A2913" s="3" t="inlineStr">
        <is>
          <t>80</t>
        </is>
      </c>
      <c r="B2913" s="3" t="n">
        <v/>
      </c>
      <c r="C2913" s="3" t="inlineStr">
        <is>
          <t>Wheel loader 1,0-1,6 m³</t>
        </is>
      </c>
      <c r="D2913" s="3" t="inlineStr">
        <is>
          <t>jam</t>
        </is>
      </c>
      <c r="E2913" s="4" t="n">
        <v>472400</v>
      </c>
    </row>
    <row r="2914">
      <c r="A2914" s="3" t="n">
        <v/>
      </c>
      <c r="B2914" s="3" t="n">
        <v/>
      </c>
      <c r="C2914" s="3" t="inlineStr">
        <is>
          <t>Alat Penyambung Balok</t>
        </is>
      </c>
      <c r="D2914" s="3" t="inlineStr">
        <is>
          <t xml:space="preserve">buah </t>
        </is>
      </c>
      <c r="E2914" s="4" t="n">
        <v>200000</v>
      </c>
    </row>
    <row r="2915">
      <c r="A2915" s="3" t="n">
        <v/>
      </c>
      <c r="B2915" s="3" t="n">
        <v/>
      </c>
      <c r="C2915" s="3" t="inlineStr">
        <is>
          <t xml:space="preserve">Alat Penyambung Beton </t>
        </is>
      </c>
      <c r="D2915" s="3" t="inlineStr">
        <is>
          <t xml:space="preserve">buah </t>
        </is>
      </c>
      <c r="E2915" s="4" t="n">
        <v>250000</v>
      </c>
    </row>
    <row r="2916">
      <c r="A2916" s="3" t="n">
        <v/>
      </c>
      <c r="B2916" s="3" t="n">
        <v/>
      </c>
      <c r="C2916" s="3" t="inlineStr">
        <is>
          <t>Alat Penyambung Beton dia. 30 cm</t>
        </is>
      </c>
      <c r="D2916" s="3" t="inlineStr">
        <is>
          <t xml:space="preserve">buah </t>
        </is>
      </c>
      <c r="E2916" s="4" t="n">
        <v>250000</v>
      </c>
    </row>
    <row r="2917">
      <c r="A2917" s="3" t="n">
        <v/>
      </c>
      <c r="B2917" s="3" t="n">
        <v/>
      </c>
      <c r="C2917" s="3" t="inlineStr">
        <is>
          <t>Alat Penyambung Beton dia. 35 cm</t>
        </is>
      </c>
      <c r="D2917" s="3" t="inlineStr">
        <is>
          <t xml:space="preserve">buah </t>
        </is>
      </c>
      <c r="E2917" s="4" t="n">
        <v>255000</v>
      </c>
    </row>
    <row r="2918">
      <c r="A2918" s="3" t="n">
        <v/>
      </c>
      <c r="B2918" s="3" t="n">
        <v/>
      </c>
      <c r="C2918" s="3" t="inlineStr">
        <is>
          <t>Alat sambung kayu terbuat dari baja</t>
        </is>
      </c>
      <c r="D2918" s="3" t="inlineStr">
        <is>
          <t xml:space="preserve">buah </t>
        </is>
      </c>
      <c r="E2918" s="4" t="n">
        <v>250000</v>
      </c>
    </row>
    <row r="2919">
      <c r="A2919" s="3" t="n">
        <v/>
      </c>
      <c r="B2919" s="3" t="n">
        <v/>
      </c>
      <c r="C2919" s="3" t="inlineStr">
        <is>
          <t>Sepatu pancang</t>
        </is>
      </c>
      <c r="D2919" s="3" t="inlineStr">
        <is>
          <t xml:space="preserve">buah </t>
        </is>
      </c>
      <c r="E2919" s="4" t="n">
        <v>124500</v>
      </c>
    </row>
    <row r="2920">
      <c r="A2920" s="3" t="n">
        <v/>
      </c>
      <c r="B2920" s="3" t="n">
        <v/>
      </c>
      <c r="C2920" s="3" t="inlineStr">
        <is>
          <t>Sepatu pancang beton</t>
        </is>
      </c>
      <c r="D2920" s="3" t="inlineStr">
        <is>
          <t xml:space="preserve">buah </t>
        </is>
      </c>
      <c r="E2920" s="4" t="n">
        <v>124500</v>
      </c>
    </row>
    <row r="2921">
      <c r="A2921" s="3" t="n">
        <v/>
      </c>
      <c r="B2921" s="3" t="n">
        <v/>
      </c>
      <c r="C2921" s="3" t="inlineStr">
        <is>
          <t>Sepatu Pancang dia. 30 cm</t>
        </is>
      </c>
      <c r="D2921" s="3" t="inlineStr">
        <is>
          <t xml:space="preserve">buah </t>
        </is>
      </c>
      <c r="E2921" s="4" t="n">
        <v>135000</v>
      </c>
    </row>
    <row r="2922">
      <c r="A2922" s="3" t="n">
        <v/>
      </c>
      <c r="B2922" s="3" t="n">
        <v/>
      </c>
      <c r="C2922" s="3" t="inlineStr">
        <is>
          <t>Sepatu Pancang dia. 35 cm</t>
        </is>
      </c>
      <c r="D2922" s="3" t="inlineStr">
        <is>
          <t xml:space="preserve">buah </t>
        </is>
      </c>
      <c r="E2922" s="4" t="n">
        <v>140000</v>
      </c>
    </row>
    <row r="2923">
      <c r="A2923" s="3" t="n">
        <v/>
      </c>
      <c r="B2923" s="3" t="n">
        <v/>
      </c>
      <c r="C2923" s="3" t="inlineStr">
        <is>
          <t>Crawler Crane 10 Ton + Ladder 14 ton</t>
        </is>
      </c>
      <c r="D2923" s="3" t="inlineStr">
        <is>
          <t xml:space="preserve">jam </t>
        </is>
      </c>
      <c r="E2923" s="4" t="n">
        <v>500000</v>
      </c>
    </row>
    <row r="2924">
      <c r="A2924" s="3" t="n">
        <v/>
      </c>
      <c r="B2924" s="3" t="n">
        <v/>
      </c>
      <c r="C2924" s="3" t="inlineStr">
        <is>
          <t>Crawler Crane 20 Ton + Ladder 14 ton</t>
        </is>
      </c>
      <c r="D2924" s="3" t="inlineStr">
        <is>
          <t xml:space="preserve">jam </t>
        </is>
      </c>
      <c r="E2924" s="4" t="n">
        <v>550000</v>
      </c>
    </row>
    <row r="2925">
      <c r="A2925" s="3" t="n">
        <v/>
      </c>
      <c r="B2925" s="3" t="n">
        <v/>
      </c>
      <c r="C2925" s="3" t="inlineStr">
        <is>
          <t>Driver Hammer</t>
        </is>
      </c>
      <c r="D2925" s="3" t="inlineStr">
        <is>
          <t xml:space="preserve">jam </t>
        </is>
      </c>
      <c r="E2925" s="4" t="n">
        <v>50000</v>
      </c>
    </row>
    <row r="2926">
      <c r="A2926" s="3" t="n">
        <v/>
      </c>
      <c r="B2926" s="3" t="n">
        <v/>
      </c>
      <c r="C2926" s="3" t="inlineStr">
        <is>
          <t>Driver Hammer 2 ton</t>
        </is>
      </c>
      <c r="D2926" s="3" t="inlineStr">
        <is>
          <t xml:space="preserve">jam </t>
        </is>
      </c>
      <c r="E2926" s="4" t="n">
        <v>50000</v>
      </c>
    </row>
    <row r="2927">
      <c r="A2927" s="3" t="n">
        <v/>
      </c>
      <c r="B2927" s="3" t="n">
        <v/>
      </c>
      <c r="C2927" s="3" t="inlineStr">
        <is>
          <t xml:space="preserve">Sewa Mesin Hydroseeding 2000L </t>
        </is>
      </c>
      <c r="D2927" s="3" t="inlineStr">
        <is>
          <t xml:space="preserve">liter </t>
        </is>
      </c>
      <c r="E2927" s="4" t="n">
        <v>350000</v>
      </c>
    </row>
    <row r="2928">
      <c r="A2928" s="3" t="inlineStr">
        <is>
          <t>83</t>
        </is>
      </c>
      <c r="B2928" s="3" t="n">
        <v/>
      </c>
      <c r="C2928" s="3" t="inlineStr">
        <is>
          <t>Angkur/mur/baut</t>
        </is>
      </c>
      <c r="D2928" s="3" t="inlineStr">
        <is>
          <t>set</t>
        </is>
      </c>
      <c r="E2928" s="4" t="n">
        <v>45000</v>
      </c>
    </row>
    <row r="2929">
      <c r="A2929" s="3" t="n">
        <v/>
      </c>
      <c r="B2929" s="3" t="n">
        <v/>
      </c>
      <c r="C2929" s="3" t="inlineStr">
        <is>
          <t xml:space="preserve">Angkur M16 </t>
        </is>
      </c>
      <c r="D2929" s="3" t="inlineStr">
        <is>
          <t xml:space="preserve">buah </t>
        </is>
      </c>
      <c r="E2929" s="4" t="n">
        <v>18500</v>
      </c>
    </row>
    <row r="2930">
      <c r="A2930" s="3" t="inlineStr">
        <is>
          <t>84</t>
        </is>
      </c>
      <c r="B2930" s="3" t="n">
        <v/>
      </c>
      <c r="C2930" s="3" t="inlineStr">
        <is>
          <t>Beton Neser</t>
        </is>
      </c>
      <c r="D2930" s="3" t="inlineStr">
        <is>
          <t>batang</t>
        </is>
      </c>
      <c r="E2930" s="4" t="n">
        <v>52000</v>
      </c>
    </row>
    <row r="2931">
      <c r="A2931" s="3" t="inlineStr">
        <is>
          <t>85</t>
        </is>
      </c>
      <c r="B2931" s="3" t="n">
        <v/>
      </c>
      <c r="C2931" s="3" t="inlineStr">
        <is>
          <t>BP (Biaya Penyambungan)</t>
        </is>
      </c>
      <c r="D2931" s="3" t="inlineStr">
        <is>
          <t>VA</t>
        </is>
      </c>
      <c r="E2931" s="4" t="n">
        <v>969</v>
      </c>
    </row>
    <row r="2932">
      <c r="A2932" s="3" t="inlineStr">
        <is>
          <t>86</t>
        </is>
      </c>
      <c r="B2932" s="3" t="n">
        <v/>
      </c>
      <c r="C2932" s="3" t="inlineStr">
        <is>
          <t>Cutting stiker +  pasang</t>
        </is>
      </c>
      <c r="D2932" s="3" t="inlineStr">
        <is>
          <t>buah</t>
        </is>
      </c>
      <c r="E2932" s="4" t="n">
        <v>15000</v>
      </c>
    </row>
    <row r="2933">
      <c r="A2933" s="3" t="inlineStr">
        <is>
          <t>87</t>
        </is>
      </c>
      <c r="B2933" s="3" t="n">
        <v/>
      </c>
      <c r="C2933" s="3" t="inlineStr">
        <is>
          <t>Gergaji besi</t>
        </is>
      </c>
      <c r="D2933" s="3" t="inlineStr">
        <is>
          <t>buah</t>
        </is>
      </c>
      <c r="E2933" s="4" t="n">
        <v>3500</v>
      </c>
    </row>
    <row r="2934">
      <c r="A2934" s="3" t="inlineStr">
        <is>
          <t>88</t>
        </is>
      </c>
      <c r="B2934" s="3" t="n">
        <v/>
      </c>
      <c r="C2934" s="3" t="inlineStr">
        <is>
          <t>GIL  (Gambar Instalasi Langganan), administrasi pemasangan</t>
        </is>
      </c>
      <c r="D2934" s="3" t="inlineStr">
        <is>
          <t>VA</t>
        </is>
      </c>
      <c r="E2934" s="4" t="n">
        <v>850</v>
      </c>
    </row>
    <row r="2935">
      <c r="A2935" s="3" t="inlineStr">
        <is>
          <t>89</t>
        </is>
      </c>
      <c r="B2935" s="3" t="n">
        <v/>
      </c>
      <c r="C2935" s="3" t="inlineStr">
        <is>
          <t>Linggis (baja keras)</t>
        </is>
      </c>
      <c r="D2935" s="3" t="inlineStr">
        <is>
          <t>buah</t>
        </is>
      </c>
      <c r="E2935" s="4" t="n">
        <v>30000</v>
      </c>
    </row>
    <row r="2936">
      <c r="A2936" s="3" t="inlineStr">
        <is>
          <t>90</t>
        </is>
      </c>
      <c r="B2936" s="3" t="n">
        <v/>
      </c>
      <c r="C2936" s="3" t="inlineStr">
        <is>
          <t>Mesin bor (jam)</t>
        </is>
      </c>
      <c r="D2936" s="3" t="inlineStr">
        <is>
          <t>jam</t>
        </is>
      </c>
      <c r="E2936" s="4" t="n">
        <v>85000</v>
      </c>
    </row>
    <row r="2937">
      <c r="A2937" s="3" t="inlineStr">
        <is>
          <t>92</t>
        </is>
      </c>
      <c r="B2937" s="3" t="n">
        <v/>
      </c>
      <c r="C2937" s="3" t="inlineStr">
        <is>
          <t>Pahat beton (baja keras)</t>
        </is>
      </c>
      <c r="D2937" s="3" t="inlineStr">
        <is>
          <t>buah</t>
        </is>
      </c>
      <c r="E2937" s="4" t="n">
        <v>15000</v>
      </c>
    </row>
    <row r="2938">
      <c r="A2938" s="3" t="inlineStr">
        <is>
          <t>93</t>
        </is>
      </c>
      <c r="B2938" s="3" t="n">
        <v/>
      </c>
      <c r="C2938" s="3" t="inlineStr">
        <is>
          <t>Palu/godam (baja keras)</t>
        </is>
      </c>
      <c r="D2938" s="3" t="inlineStr">
        <is>
          <t>buah</t>
        </is>
      </c>
      <c r="E2938" s="4" t="n">
        <v>25000</v>
      </c>
    </row>
    <row r="2939">
      <c r="A2939" s="3" t="inlineStr">
        <is>
          <t>94</t>
        </is>
      </c>
      <c r="B2939" s="3" t="n">
        <v/>
      </c>
      <c r="C2939" s="3" t="inlineStr">
        <is>
          <t>Perapian lokasi kerja</t>
        </is>
      </c>
      <c r="D2939" s="3" t="inlineStr">
        <is>
          <t>ls</t>
        </is>
      </c>
      <c r="E2939" s="4" t="n">
        <v>20000</v>
      </c>
    </row>
    <row r="2940">
      <c r="A2940" s="3" t="inlineStr">
        <is>
          <t>95</t>
        </is>
      </c>
      <c r="B2940" s="3" t="n">
        <v/>
      </c>
      <c r="C2940" s="3" t="inlineStr">
        <is>
          <t>Pisau Gerinda</t>
        </is>
      </c>
      <c r="D2940" s="3" t="inlineStr">
        <is>
          <t>buah</t>
        </is>
      </c>
      <c r="E2940" s="4" t="n">
        <v>52000</v>
      </c>
    </row>
    <row r="2941">
      <c r="A2941" s="3" t="n">
        <v/>
      </c>
      <c r="B2941" s="3" t="n">
        <v/>
      </c>
      <c r="C2941" s="3" t="inlineStr">
        <is>
          <t xml:space="preserve">Mobil Sedot Lumpur </t>
        </is>
      </c>
      <c r="D2941" s="3" t="inlineStr">
        <is>
          <t>Jam</t>
        </is>
      </c>
      <c r="E2941" s="4" t="n">
        <v>67500</v>
      </c>
    </row>
    <row r="2942">
      <c r="A2942" s="3" t="inlineStr">
        <is>
          <t>99</t>
        </is>
      </c>
      <c r="B2942" s="3" t="n">
        <v/>
      </c>
      <c r="C2942" s="3" t="inlineStr">
        <is>
          <t>Pompa submesible</t>
        </is>
      </c>
      <c r="D2942" s="3" t="inlineStr">
        <is>
          <t>unit</t>
        </is>
      </c>
      <c r="E2942" s="4" t="n">
        <v>1920000</v>
      </c>
    </row>
    <row r="2943">
      <c r="A2943" s="3" t="inlineStr">
        <is>
          <t>100</t>
        </is>
      </c>
      <c r="B2943" s="3" t="n">
        <v/>
      </c>
      <c r="C2943" s="3" t="inlineStr">
        <is>
          <t>Pressure grout machine 30 KW; 60 -75 bar (D)</t>
        </is>
      </c>
      <c r="D2943" s="3" t="inlineStr">
        <is>
          <t>jam</t>
        </is>
      </c>
      <c r="E2943" s="4" t="n">
        <v>42000</v>
      </c>
    </row>
    <row r="2944">
      <c r="A2944" s="3" t="inlineStr">
        <is>
          <t>109</t>
        </is>
      </c>
      <c r="B2944" s="3" t="n">
        <v/>
      </c>
      <c r="C2944" s="3" t="inlineStr">
        <is>
          <t>Sewa tangga 7 meter</t>
        </is>
      </c>
      <c r="D2944" s="3" t="inlineStr">
        <is>
          <t>buah</t>
        </is>
      </c>
      <c r="E2944" s="4" t="n">
        <v>50000</v>
      </c>
    </row>
    <row r="2945">
      <c r="A2945" s="3" t="n">
        <v/>
      </c>
      <c r="B2945" s="3" t="n">
        <v/>
      </c>
      <c r="C2945" s="3" t="inlineStr">
        <is>
          <t xml:space="preserve">Tangga Service </t>
        </is>
      </c>
      <c r="D2945" s="3" t="inlineStr">
        <is>
          <t xml:space="preserve">buah </t>
        </is>
      </c>
      <c r="E2945" s="4" t="n">
        <v>1144000</v>
      </c>
    </row>
    <row r="2946">
      <c r="A2946" s="3" t="inlineStr">
        <is>
          <t>111</t>
        </is>
      </c>
      <c r="B2946" s="3" t="n">
        <v/>
      </c>
      <c r="C2946" s="3" t="inlineStr">
        <is>
          <t>SLO (Sertifikat  Laik Operasi)</t>
        </is>
      </c>
      <c r="D2946" s="3" t="inlineStr">
        <is>
          <t>VA</t>
        </is>
      </c>
      <c r="E2946" s="4" t="n">
        <v>30</v>
      </c>
    </row>
    <row r="2947">
      <c r="A2947" s="3" t="inlineStr">
        <is>
          <t>113</t>
        </is>
      </c>
      <c r="B2947" s="3" t="n">
        <v/>
      </c>
      <c r="C2947" s="3" t="inlineStr">
        <is>
          <t>Truck Crane 5 ton</t>
        </is>
      </c>
      <c r="D2947" s="3" t="inlineStr">
        <is>
          <t>jam</t>
        </is>
      </c>
      <c r="E2947" s="4" t="n">
        <v>525000</v>
      </c>
    </row>
    <row r="2948">
      <c r="A2948" s="3" t="inlineStr">
        <is>
          <t>114</t>
        </is>
      </c>
      <c r="B2948" s="3" t="n">
        <v/>
      </c>
      <c r="C2948" s="3" t="inlineStr">
        <is>
          <t>UJL  (Uang Jaminan Langganan)</t>
        </is>
      </c>
      <c r="D2948" s="3" t="inlineStr">
        <is>
          <t>VA</t>
        </is>
      </c>
      <c r="E2948" s="4" t="n">
        <v>165</v>
      </c>
    </row>
    <row r="2949">
      <c r="A2949" s="3" t="inlineStr">
        <is>
          <t>115</t>
        </is>
      </c>
      <c r="B2949" s="3" t="n">
        <v/>
      </c>
      <c r="C2949" s="3" t="inlineStr">
        <is>
          <t>Sewa casing PVC dia. 20 cm</t>
        </is>
      </c>
      <c r="D2949" s="3" t="inlineStr">
        <is>
          <t>m</t>
        </is>
      </c>
      <c r="E2949" s="4" t="n">
        <v>25000</v>
      </c>
    </row>
    <row r="2950">
      <c r="A2950" s="3" t="inlineStr">
        <is>
          <t>116</t>
        </is>
      </c>
      <c r="B2950" s="3" t="n">
        <v/>
      </c>
      <c r="C2950" s="3" t="inlineStr">
        <is>
          <t>Sewa casing pipa baja dia. 30 cm</t>
        </is>
      </c>
      <c r="D2950" s="3" t="inlineStr">
        <is>
          <t>m</t>
        </is>
      </c>
      <c r="E2950" s="4" t="n">
        <v>30700</v>
      </c>
    </row>
    <row r="2951">
      <c r="A2951" s="3" t="inlineStr">
        <is>
          <t>117</t>
        </is>
      </c>
      <c r="B2951" s="3" t="n">
        <v/>
      </c>
      <c r="C2951" s="3" t="inlineStr">
        <is>
          <t>Sewa casing pipa baja dia. 40 cm</t>
        </is>
      </c>
      <c r="D2951" s="3" t="inlineStr">
        <is>
          <t>m</t>
        </is>
      </c>
      <c r="E2951" s="4" t="n">
        <v>43500</v>
      </c>
    </row>
    <row r="2952">
      <c r="A2952" s="3" t="inlineStr">
        <is>
          <t>118</t>
        </is>
      </c>
      <c r="B2952" s="3" t="n">
        <v/>
      </c>
      <c r="C2952" s="3" t="inlineStr">
        <is>
          <t>Sewa casing pipa baja dia. 50 cm</t>
        </is>
      </c>
      <c r="D2952" s="3" t="inlineStr">
        <is>
          <t>m</t>
        </is>
      </c>
      <c r="E2952" s="4" t="n">
        <v>55800</v>
      </c>
    </row>
    <row r="2953">
      <c r="A2953" s="3" t="inlineStr">
        <is>
          <t>119</t>
        </is>
      </c>
      <c r="B2953" s="3" t="n">
        <v/>
      </c>
      <c r="C2953" s="3" t="inlineStr">
        <is>
          <t>Pengelasan</t>
        </is>
      </c>
      <c r="D2953" s="3" t="inlineStr">
        <is>
          <t>cm</t>
        </is>
      </c>
      <c r="E2953" s="4" t="n">
        <v>332</v>
      </c>
    </row>
    <row r="2954">
      <c r="A2954" s="3" t="n">
        <v/>
      </c>
      <c r="B2954" s="3" t="n">
        <v/>
      </c>
      <c r="C2954" s="3" t="inlineStr">
        <is>
          <t xml:space="preserve">Baja Strip </t>
        </is>
      </c>
      <c r="D2954" s="3" t="inlineStr">
        <is>
          <t xml:space="preserve">kg </t>
        </is>
      </c>
      <c r="E2954" s="4" t="n">
        <v>28000</v>
      </c>
    </row>
    <row r="2955">
      <c r="A2955" s="3" t="n">
        <v/>
      </c>
      <c r="B2955" s="3" t="n">
        <v/>
      </c>
      <c r="C2955" s="3" t="inlineStr">
        <is>
          <t>LAIN-LAIN</t>
        </is>
      </c>
      <c r="D2955" s="3" t="n">
        <v/>
      </c>
      <c r="E2955" s="4" t="n">
        <v/>
      </c>
    </row>
    <row r="2956">
      <c r="A2956" s="3" t="n">
        <v/>
      </c>
      <c r="B2956" s="3" t="n">
        <v/>
      </c>
      <c r="C2956" s="3" t="inlineStr">
        <is>
          <t>Sewa Lahan</t>
        </is>
      </c>
      <c r="D2956" s="3" t="inlineStr">
        <is>
          <t>m2</t>
        </is>
      </c>
      <c r="E2956" s="4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2026-06-23T15:19:27Z</dcterms:created>
  <dcterms:modified xmlns:dcterms="http://purl.org/dc/terms/" xmlns:xsi="http://www.w3.org/2001/XMLSchema-instance" xsi:type="dcterms:W3CDTF">2026-06-23T15:19:41Z</dcterms:modified>
</cp:coreProperties>
</file>